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uecoez\Downloads\"/>
    </mc:Choice>
  </mc:AlternateContent>
  <xr:revisionPtr revIDLastSave="0" documentId="8_{540B5F7A-5E92-4588-8453-C09A62BD999C}" xr6:coauthVersionLast="47" xr6:coauthVersionMax="47" xr10:uidLastSave="{00000000-0000-0000-0000-000000000000}"/>
  <bookViews>
    <workbookView xWindow="-120" yWindow="-120" windowWidth="29040" windowHeight="17520" tabRatio="500" firstSheet="5" activeTab="5" xr2:uid="{00000000-000D-0000-FFFF-FFFF00000000}"/>
  </bookViews>
  <sheets>
    <sheet name="📑 Executive PDF" sheetId="1" r:id="rId1"/>
    <sheet name="📄 Report" sheetId="2" r:id="rId2"/>
    <sheet name="CEO Report" sheetId="3" r:id="rId3"/>
    <sheet name="Dashboard" sheetId="4" r:id="rId4"/>
    <sheet name="📊 Diagramme" sheetId="5" r:id="rId5"/>
    <sheet name="MiT Strom Pipeline" sheetId="6" r:id="rId6"/>
    <sheet name="_data" sheetId="7" state="hidden" r:id="rId7"/>
  </sheets>
  <definedNames>
    <definedName name="_xlnm._FilterDatabase" localSheetId="2" hidden="1">'CEO Report'!$A$10:$L$72</definedName>
    <definedName name="_xlnm._FilterDatabase" localSheetId="3" hidden="1">Dashboard!$A$10:$K$72</definedName>
    <definedName name="_xlnm._FilterDatabase" localSheetId="5" hidden="1">'MiT Strom Pipeline'!$A$5:$X$860</definedName>
    <definedName name="_xlnm.Print_Area" localSheetId="2">'CEO Report'!$A$1:$L$206</definedName>
    <definedName name="_xlnm.Print_Area" localSheetId="3">Dashboard!$A$1:$K$206</definedName>
    <definedName name="_xlnm.Print_Area" localSheetId="5">'MiT Strom Pipeline'!$A$1:$Y$48</definedName>
    <definedName name="_xlnm.Print_Area" localSheetId="1">'📄 Report'!$A$1:$G$41</definedName>
    <definedName name="_xlnm.Print_Area" localSheetId="4">'📊 Diagramme'!$A$1:$R$44</definedName>
    <definedName name="_xlnm.Print_Area" localSheetId="0">'📑 Executive PDF'!$A$1:$H$35</definedName>
    <definedName name="_xlnm.Print_Titles" localSheetId="2">'CEO Report'!$1:$3</definedName>
    <definedName name="_xlnm.Print_Titles" localSheetId="3">Dashboard!$1:$3</definedName>
    <definedName name="_xlnm.Print_Titles" localSheetId="5">'MiT Strom Pipeline'!$1:$5</definedName>
  </definedNames>
  <calcPr calcId="191028" iterateDelta="1E-4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1" i="6" l="1"/>
  <c r="J71" i="6"/>
  <c r="M70" i="6"/>
  <c r="J70" i="6"/>
  <c r="I70" i="6"/>
  <c r="J69" i="6"/>
  <c r="AA73" i="6"/>
  <c r="Z73" i="6"/>
  <c r="Q73" i="6"/>
  <c r="O73" i="6"/>
  <c r="P73" i="6" s="1"/>
  <c r="N73" i="6"/>
  <c r="AA72" i="6"/>
  <c r="Z72" i="6"/>
  <c r="Q72" i="6"/>
  <c r="O72" i="6"/>
  <c r="P72" i="6" s="1"/>
  <c r="N72" i="6"/>
  <c r="AA71" i="6"/>
  <c r="Z71" i="6"/>
  <c r="Q71" i="6"/>
  <c r="N71" i="6"/>
  <c r="O71" i="6" s="1"/>
  <c r="P71" i="6" s="1"/>
  <c r="J68" i="6"/>
  <c r="I68" i="6"/>
  <c r="Q864" i="6"/>
  <c r="J67" i="6"/>
  <c r="J66" i="6"/>
  <c r="J60" i="6"/>
  <c r="Q65" i="6"/>
  <c r="M65" i="6"/>
  <c r="J65" i="6"/>
  <c r="M64" i="6"/>
  <c r="M43" i="6"/>
  <c r="J43" i="6"/>
  <c r="M61" i="6"/>
  <c r="J61" i="6"/>
  <c r="D39" i="7"/>
  <c r="C39" i="7"/>
  <c r="B39" i="7"/>
  <c r="E39" i="7" s="1"/>
  <c r="D38" i="7"/>
  <c r="C38" i="7"/>
  <c r="B38" i="7"/>
  <c r="E38" i="7" s="1"/>
  <c r="D37" i="7"/>
  <c r="C37" i="7"/>
  <c r="B37" i="7"/>
  <c r="E37" i="7" s="1"/>
  <c r="D36" i="7"/>
  <c r="C36" i="7"/>
  <c r="B36" i="7"/>
  <c r="E36" i="7" s="1"/>
  <c r="D35" i="7"/>
  <c r="C35" i="7"/>
  <c r="B35" i="7"/>
  <c r="E35" i="7" s="1"/>
  <c r="D34" i="7"/>
  <c r="C34" i="7"/>
  <c r="B34" i="7"/>
  <c r="E34" i="7" s="1"/>
  <c r="D33" i="7"/>
  <c r="C33" i="7"/>
  <c r="B33" i="7"/>
  <c r="E33" i="7" s="1"/>
  <c r="D32" i="7"/>
  <c r="C32" i="7"/>
  <c r="B32" i="7"/>
  <c r="E32" i="7" s="1"/>
  <c r="D31" i="7"/>
  <c r="C31" i="7"/>
  <c r="B31" i="7"/>
  <c r="E31" i="7" s="1"/>
  <c r="D30" i="7"/>
  <c r="C30" i="7"/>
  <c r="D29" i="7"/>
  <c r="C29" i="7"/>
  <c r="B29" i="7"/>
  <c r="E29" i="7" s="1"/>
  <c r="D28" i="7"/>
  <c r="C28" i="7"/>
  <c r="B28" i="7"/>
  <c r="E28" i="7" s="1"/>
  <c r="I27" i="7"/>
  <c r="H27" i="7"/>
  <c r="D27" i="7"/>
  <c r="C27" i="7"/>
  <c r="B27" i="7"/>
  <c r="E27" i="7" s="1"/>
  <c r="I26" i="7"/>
  <c r="H26" i="7"/>
  <c r="D26" i="7"/>
  <c r="C26" i="7"/>
  <c r="B26" i="7"/>
  <c r="E26" i="7" s="1"/>
  <c r="I25" i="7"/>
  <c r="H25" i="7"/>
  <c r="D25" i="7"/>
  <c r="C25" i="7"/>
  <c r="B25" i="7"/>
  <c r="E25" i="7" s="1"/>
  <c r="I24" i="7"/>
  <c r="H24" i="7"/>
  <c r="D24" i="7"/>
  <c r="C24" i="7"/>
  <c r="B24" i="7"/>
  <c r="E24" i="7" s="1"/>
  <c r="I23" i="7"/>
  <c r="H23" i="7"/>
  <c r="D23" i="7"/>
  <c r="C23" i="7"/>
  <c r="B23" i="7"/>
  <c r="E23" i="7" s="1"/>
  <c r="I22" i="7"/>
  <c r="D22" i="7"/>
  <c r="C22" i="7"/>
  <c r="B22" i="7"/>
  <c r="E22" i="7" s="1"/>
  <c r="I21" i="7"/>
  <c r="H21" i="7"/>
  <c r="D21" i="7"/>
  <c r="C21" i="7"/>
  <c r="B21" i="7"/>
  <c r="E21" i="7" s="1"/>
  <c r="I20" i="7"/>
  <c r="H20" i="7"/>
  <c r="D20" i="7"/>
  <c r="C20" i="7"/>
  <c r="B20" i="7"/>
  <c r="E20" i="7" s="1"/>
  <c r="I19" i="7"/>
  <c r="H19" i="7"/>
  <c r="D19" i="7"/>
  <c r="C19" i="7"/>
  <c r="B19" i="7"/>
  <c r="E19" i="7" s="1"/>
  <c r="I18" i="7"/>
  <c r="H18" i="7"/>
  <c r="D18" i="7"/>
  <c r="C18" i="7"/>
  <c r="B18" i="7"/>
  <c r="E18" i="7" s="1"/>
  <c r="I17" i="7"/>
  <c r="H17" i="7"/>
  <c r="D17" i="7"/>
  <c r="C17" i="7"/>
  <c r="B17" i="7"/>
  <c r="E17" i="7" s="1"/>
  <c r="I16" i="7"/>
  <c r="H16" i="7"/>
  <c r="D16" i="7"/>
  <c r="C16" i="7"/>
  <c r="B16" i="7"/>
  <c r="E16" i="7" s="1"/>
  <c r="I15" i="7"/>
  <c r="H15" i="7"/>
  <c r="D15" i="7"/>
  <c r="C15" i="7"/>
  <c r="B15" i="7"/>
  <c r="E15" i="7" s="1"/>
  <c r="I14" i="7"/>
  <c r="H14" i="7"/>
  <c r="D14" i="7"/>
  <c r="C14" i="7"/>
  <c r="B14" i="7"/>
  <c r="E14" i="7" s="1"/>
  <c r="I13" i="7"/>
  <c r="H13" i="7"/>
  <c r="I12" i="7"/>
  <c r="H12" i="7"/>
  <c r="I11" i="7"/>
  <c r="H11" i="7"/>
  <c r="D11" i="7"/>
  <c r="C11" i="7"/>
  <c r="I10" i="7"/>
  <c r="H10" i="7"/>
  <c r="D10" i="7"/>
  <c r="C10" i="7"/>
  <c r="I9" i="7"/>
  <c r="H9" i="7"/>
  <c r="D9" i="7"/>
  <c r="C9" i="7"/>
  <c r="I8" i="7"/>
  <c r="H8" i="7"/>
  <c r="D8" i="7"/>
  <c r="C8" i="7"/>
  <c r="I7" i="7"/>
  <c r="H7" i="7"/>
  <c r="D7" i="7"/>
  <c r="C7" i="7"/>
  <c r="I6" i="7"/>
  <c r="H6" i="7"/>
  <c r="D6" i="7"/>
  <c r="C6" i="7"/>
  <c r="I5" i="7"/>
  <c r="H5" i="7"/>
  <c r="D5" i="7"/>
  <c r="C5" i="7"/>
  <c r="I4" i="7"/>
  <c r="H4" i="7"/>
  <c r="D4" i="7"/>
  <c r="C4" i="7"/>
  <c r="I3" i="7"/>
  <c r="H3" i="7"/>
  <c r="C3" i="7"/>
  <c r="I2" i="7"/>
  <c r="H2" i="7"/>
  <c r="D2" i="7"/>
  <c r="C2" i="7"/>
  <c r="A206" i="4"/>
  <c r="F204" i="4"/>
  <c r="F202" i="4"/>
  <c r="I7" i="4"/>
  <c r="C10" i="2" s="1"/>
  <c r="G7" i="4"/>
  <c r="G8" i="1" s="1"/>
  <c r="D7" i="4"/>
  <c r="C8" i="2" s="1"/>
  <c r="A7" i="4"/>
  <c r="C7" i="2" s="1"/>
  <c r="G6" i="4"/>
  <c r="G6" i="1" s="1"/>
  <c r="A6" i="4"/>
  <c r="B7" i="2" s="1"/>
  <c r="A1" i="4"/>
  <c r="A206" i="3"/>
  <c r="F204" i="3"/>
  <c r="F202" i="3"/>
  <c r="I7" i="3"/>
  <c r="E7" i="3"/>
  <c r="A7" i="3"/>
  <c r="I6" i="3"/>
  <c r="A6" i="3"/>
  <c r="A1" i="3"/>
  <c r="K39" i="2"/>
  <c r="L39" i="2" s="1"/>
  <c r="K38" i="2"/>
  <c r="L38" i="2" s="1"/>
  <c r="K37" i="2"/>
  <c r="L37" i="2" s="1"/>
  <c r="K36" i="2"/>
  <c r="L36" i="2" s="1"/>
  <c r="K35" i="2"/>
  <c r="L35" i="2" s="1"/>
  <c r="K34" i="2"/>
  <c r="L34" i="2" s="1"/>
  <c r="K33" i="2"/>
  <c r="L33" i="2" s="1"/>
  <c r="K32" i="2"/>
  <c r="L32" i="2" s="1"/>
  <c r="K31" i="2"/>
  <c r="L31" i="2" s="1"/>
  <c r="K29" i="2"/>
  <c r="L29" i="2" s="1"/>
  <c r="K28" i="2"/>
  <c r="L28" i="2" s="1"/>
  <c r="K27" i="2"/>
  <c r="L27" i="2" s="1"/>
  <c r="K26" i="2"/>
  <c r="L26" i="2" s="1"/>
  <c r="K25" i="2"/>
  <c r="L25" i="2" s="1"/>
  <c r="K24" i="2"/>
  <c r="L24" i="2" s="1"/>
  <c r="K23" i="2"/>
  <c r="L23" i="2" s="1"/>
  <c r="K22" i="2"/>
  <c r="L22" i="2" s="1"/>
  <c r="K21" i="2"/>
  <c r="L21" i="2" s="1"/>
  <c r="K20" i="2"/>
  <c r="L20" i="2" s="1"/>
  <c r="K19" i="2"/>
  <c r="L19" i="2" s="1"/>
  <c r="K18" i="2"/>
  <c r="L18" i="2" s="1"/>
  <c r="K17" i="2"/>
  <c r="L17" i="2" s="1"/>
  <c r="K16" i="2"/>
  <c r="L16" i="2" s="1"/>
  <c r="K15" i="2"/>
  <c r="L15" i="2" s="1"/>
  <c r="K14" i="2"/>
  <c r="L14" i="2" s="1"/>
  <c r="A3" i="2"/>
  <c r="E30" i="1"/>
  <c r="D30" i="1"/>
  <c r="E29" i="1"/>
  <c r="D29" i="1"/>
  <c r="E28" i="1"/>
  <c r="D28" i="1"/>
  <c r="E27" i="1"/>
  <c r="D27" i="1"/>
  <c r="E26" i="1"/>
  <c r="D26" i="1"/>
  <c r="E25" i="1"/>
  <c r="D25" i="1"/>
  <c r="D24" i="1"/>
  <c r="E23" i="1"/>
  <c r="D23" i="1"/>
  <c r="A3" i="1"/>
  <c r="AA860" i="6"/>
  <c r="Z860" i="6"/>
  <c r="Q860" i="6"/>
  <c r="O860" i="6"/>
  <c r="P860" i="6" s="1"/>
  <c r="N860" i="6"/>
  <c r="AA859" i="6"/>
  <c r="Z859" i="6"/>
  <c r="Q859" i="6"/>
  <c r="O859" i="6"/>
  <c r="P859" i="6" s="1"/>
  <c r="N859" i="6"/>
  <c r="AA858" i="6"/>
  <c r="Z858" i="6"/>
  <c r="Q858" i="6"/>
  <c r="O858" i="6"/>
  <c r="P858" i="6" s="1"/>
  <c r="N858" i="6"/>
  <c r="AA857" i="6"/>
  <c r="Z857" i="6"/>
  <c r="Q857" i="6"/>
  <c r="O857" i="6"/>
  <c r="P857" i="6" s="1"/>
  <c r="N857" i="6"/>
  <c r="AA856" i="6"/>
  <c r="Z856" i="6"/>
  <c r="Q856" i="6"/>
  <c r="O856" i="6"/>
  <c r="P856" i="6" s="1"/>
  <c r="N856" i="6"/>
  <c r="AA855" i="6"/>
  <c r="Z855" i="6"/>
  <c r="Q855" i="6"/>
  <c r="O855" i="6"/>
  <c r="P855" i="6" s="1"/>
  <c r="N855" i="6"/>
  <c r="AA854" i="6"/>
  <c r="Z854" i="6"/>
  <c r="Q854" i="6"/>
  <c r="O854" i="6"/>
  <c r="P854" i="6" s="1"/>
  <c r="N854" i="6"/>
  <c r="AA853" i="6"/>
  <c r="Z853" i="6"/>
  <c r="Q853" i="6"/>
  <c r="O853" i="6"/>
  <c r="P853" i="6" s="1"/>
  <c r="N853" i="6"/>
  <c r="AA852" i="6"/>
  <c r="Z852" i="6"/>
  <c r="Q852" i="6"/>
  <c r="O852" i="6"/>
  <c r="P852" i="6" s="1"/>
  <c r="N852" i="6"/>
  <c r="AA851" i="6"/>
  <c r="Z851" i="6"/>
  <c r="Q851" i="6"/>
  <c r="O851" i="6"/>
  <c r="P851" i="6" s="1"/>
  <c r="N851" i="6"/>
  <c r="AA850" i="6"/>
  <c r="Z850" i="6"/>
  <c r="Q850" i="6"/>
  <c r="O850" i="6"/>
  <c r="P850" i="6" s="1"/>
  <c r="N850" i="6"/>
  <c r="AA849" i="6"/>
  <c r="Z849" i="6"/>
  <c r="Q849" i="6"/>
  <c r="O849" i="6"/>
  <c r="P849" i="6" s="1"/>
  <c r="N849" i="6"/>
  <c r="AA848" i="6"/>
  <c r="Z848" i="6"/>
  <c r="Q848" i="6"/>
  <c r="O848" i="6"/>
  <c r="P848" i="6" s="1"/>
  <c r="N848" i="6"/>
  <c r="AA847" i="6"/>
  <c r="Z847" i="6"/>
  <c r="Q847" i="6"/>
  <c r="O847" i="6"/>
  <c r="P847" i="6" s="1"/>
  <c r="N847" i="6"/>
  <c r="AA846" i="6"/>
  <c r="Z846" i="6"/>
  <c r="Q846" i="6"/>
  <c r="O846" i="6"/>
  <c r="P846" i="6" s="1"/>
  <c r="N846" i="6"/>
  <c r="AA845" i="6"/>
  <c r="Z845" i="6"/>
  <c r="Q845" i="6"/>
  <c r="O845" i="6"/>
  <c r="P845" i="6" s="1"/>
  <c r="N845" i="6"/>
  <c r="AA844" i="6"/>
  <c r="Z844" i="6"/>
  <c r="Q844" i="6"/>
  <c r="O844" i="6"/>
  <c r="P844" i="6" s="1"/>
  <c r="N844" i="6"/>
  <c r="AA843" i="6"/>
  <c r="Z843" i="6"/>
  <c r="Q843" i="6"/>
  <c r="O843" i="6"/>
  <c r="P843" i="6" s="1"/>
  <c r="N843" i="6"/>
  <c r="AA842" i="6"/>
  <c r="Z842" i="6"/>
  <c r="Q842" i="6"/>
  <c r="O842" i="6"/>
  <c r="P842" i="6" s="1"/>
  <c r="N842" i="6"/>
  <c r="AA841" i="6"/>
  <c r="Z841" i="6"/>
  <c r="Q841" i="6"/>
  <c r="O841" i="6"/>
  <c r="P841" i="6" s="1"/>
  <c r="N841" i="6"/>
  <c r="AA840" i="6"/>
  <c r="Z840" i="6"/>
  <c r="Q840" i="6"/>
  <c r="O840" i="6"/>
  <c r="P840" i="6" s="1"/>
  <c r="N840" i="6"/>
  <c r="AA839" i="6"/>
  <c r="Z839" i="6"/>
  <c r="Q839" i="6"/>
  <c r="O839" i="6"/>
  <c r="P839" i="6" s="1"/>
  <c r="N839" i="6"/>
  <c r="AA838" i="6"/>
  <c r="Z838" i="6"/>
  <c r="Q838" i="6"/>
  <c r="O838" i="6"/>
  <c r="P838" i="6" s="1"/>
  <c r="N838" i="6"/>
  <c r="AA837" i="6"/>
  <c r="Z837" i="6"/>
  <c r="Q837" i="6"/>
  <c r="O837" i="6"/>
  <c r="P837" i="6" s="1"/>
  <c r="N837" i="6"/>
  <c r="AA836" i="6"/>
  <c r="Z836" i="6"/>
  <c r="Q836" i="6"/>
  <c r="O836" i="6"/>
  <c r="P836" i="6" s="1"/>
  <c r="N836" i="6"/>
  <c r="AA835" i="6"/>
  <c r="Z835" i="6"/>
  <c r="Q835" i="6"/>
  <c r="O835" i="6"/>
  <c r="P835" i="6" s="1"/>
  <c r="N835" i="6"/>
  <c r="AA834" i="6"/>
  <c r="Z834" i="6"/>
  <c r="Q834" i="6"/>
  <c r="O834" i="6"/>
  <c r="P834" i="6" s="1"/>
  <c r="N834" i="6"/>
  <c r="AA833" i="6"/>
  <c r="Z833" i="6"/>
  <c r="Q833" i="6"/>
  <c r="O833" i="6"/>
  <c r="P833" i="6" s="1"/>
  <c r="N833" i="6"/>
  <c r="AA832" i="6"/>
  <c r="Z832" i="6"/>
  <c r="Q832" i="6"/>
  <c r="O832" i="6"/>
  <c r="P832" i="6" s="1"/>
  <c r="N832" i="6"/>
  <c r="AA831" i="6"/>
  <c r="Z831" i="6"/>
  <c r="Q831" i="6"/>
  <c r="O831" i="6"/>
  <c r="P831" i="6" s="1"/>
  <c r="N831" i="6"/>
  <c r="AA830" i="6"/>
  <c r="Z830" i="6"/>
  <c r="Q830" i="6"/>
  <c r="O830" i="6"/>
  <c r="P830" i="6" s="1"/>
  <c r="N830" i="6"/>
  <c r="AA829" i="6"/>
  <c r="Z829" i="6"/>
  <c r="Q829" i="6"/>
  <c r="O829" i="6"/>
  <c r="P829" i="6" s="1"/>
  <c r="N829" i="6"/>
  <c r="AA828" i="6"/>
  <c r="Z828" i="6"/>
  <c r="Q828" i="6"/>
  <c r="O828" i="6"/>
  <c r="P828" i="6" s="1"/>
  <c r="N828" i="6"/>
  <c r="AA827" i="6"/>
  <c r="Z827" i="6"/>
  <c r="Q827" i="6"/>
  <c r="O827" i="6"/>
  <c r="P827" i="6" s="1"/>
  <c r="N827" i="6"/>
  <c r="AA826" i="6"/>
  <c r="Z826" i="6"/>
  <c r="Q826" i="6"/>
  <c r="O826" i="6"/>
  <c r="P826" i="6" s="1"/>
  <c r="N826" i="6"/>
  <c r="AA825" i="6"/>
  <c r="Z825" i="6"/>
  <c r="Q825" i="6"/>
  <c r="O825" i="6"/>
  <c r="P825" i="6" s="1"/>
  <c r="N825" i="6"/>
  <c r="AA824" i="6"/>
  <c r="Z824" i="6"/>
  <c r="Q824" i="6"/>
  <c r="O824" i="6"/>
  <c r="P824" i="6" s="1"/>
  <c r="N824" i="6"/>
  <c r="AA823" i="6"/>
  <c r="Z823" i="6"/>
  <c r="Q823" i="6"/>
  <c r="O823" i="6"/>
  <c r="P823" i="6" s="1"/>
  <c r="N823" i="6"/>
  <c r="AA822" i="6"/>
  <c r="Z822" i="6"/>
  <c r="Q822" i="6"/>
  <c r="O822" i="6"/>
  <c r="P822" i="6" s="1"/>
  <c r="N822" i="6"/>
  <c r="AA821" i="6"/>
  <c r="Z821" i="6"/>
  <c r="Q821" i="6"/>
  <c r="O821" i="6"/>
  <c r="P821" i="6" s="1"/>
  <c r="N821" i="6"/>
  <c r="AA820" i="6"/>
  <c r="Z820" i="6"/>
  <c r="Q820" i="6"/>
  <c r="O820" i="6"/>
  <c r="P820" i="6" s="1"/>
  <c r="N820" i="6"/>
  <c r="AA819" i="6"/>
  <c r="Z819" i="6"/>
  <c r="Q819" i="6"/>
  <c r="O819" i="6"/>
  <c r="P819" i="6" s="1"/>
  <c r="N819" i="6"/>
  <c r="AA818" i="6"/>
  <c r="Z818" i="6"/>
  <c r="Q818" i="6"/>
  <c r="O818" i="6"/>
  <c r="P818" i="6" s="1"/>
  <c r="N818" i="6"/>
  <c r="AA817" i="6"/>
  <c r="Z817" i="6"/>
  <c r="Q817" i="6"/>
  <c r="O817" i="6"/>
  <c r="P817" i="6" s="1"/>
  <c r="N817" i="6"/>
  <c r="AA816" i="6"/>
  <c r="Z816" i="6"/>
  <c r="Q816" i="6"/>
  <c r="O816" i="6"/>
  <c r="P816" i="6" s="1"/>
  <c r="N816" i="6"/>
  <c r="AA815" i="6"/>
  <c r="Z815" i="6"/>
  <c r="Q815" i="6"/>
  <c r="O815" i="6"/>
  <c r="P815" i="6" s="1"/>
  <c r="N815" i="6"/>
  <c r="AA814" i="6"/>
  <c r="Z814" i="6"/>
  <c r="Q814" i="6"/>
  <c r="O814" i="6"/>
  <c r="P814" i="6" s="1"/>
  <c r="N814" i="6"/>
  <c r="AA813" i="6"/>
  <c r="Z813" i="6"/>
  <c r="Q813" i="6"/>
  <c r="O813" i="6"/>
  <c r="P813" i="6" s="1"/>
  <c r="N813" i="6"/>
  <c r="AA812" i="6"/>
  <c r="Z812" i="6"/>
  <c r="Q812" i="6"/>
  <c r="O812" i="6"/>
  <c r="P812" i="6" s="1"/>
  <c r="N812" i="6"/>
  <c r="AA811" i="6"/>
  <c r="Z811" i="6"/>
  <c r="Q811" i="6"/>
  <c r="O811" i="6"/>
  <c r="P811" i="6" s="1"/>
  <c r="N811" i="6"/>
  <c r="AA810" i="6"/>
  <c r="Z810" i="6"/>
  <c r="Q810" i="6"/>
  <c r="O810" i="6"/>
  <c r="P810" i="6" s="1"/>
  <c r="N810" i="6"/>
  <c r="AA809" i="6"/>
  <c r="Z809" i="6"/>
  <c r="Q809" i="6"/>
  <c r="O809" i="6"/>
  <c r="P809" i="6" s="1"/>
  <c r="N809" i="6"/>
  <c r="AA808" i="6"/>
  <c r="Z808" i="6"/>
  <c r="Q808" i="6"/>
  <c r="O808" i="6"/>
  <c r="P808" i="6" s="1"/>
  <c r="N808" i="6"/>
  <c r="AA807" i="6"/>
  <c r="Z807" i="6"/>
  <c r="Q807" i="6"/>
  <c r="O807" i="6"/>
  <c r="P807" i="6" s="1"/>
  <c r="N807" i="6"/>
  <c r="AA806" i="6"/>
  <c r="Z806" i="6"/>
  <c r="Q806" i="6"/>
  <c r="O806" i="6"/>
  <c r="P806" i="6" s="1"/>
  <c r="N806" i="6"/>
  <c r="AA805" i="6"/>
  <c r="Z805" i="6"/>
  <c r="Q805" i="6"/>
  <c r="O805" i="6"/>
  <c r="P805" i="6" s="1"/>
  <c r="N805" i="6"/>
  <c r="AA804" i="6"/>
  <c r="Z804" i="6"/>
  <c r="Q804" i="6"/>
  <c r="O804" i="6"/>
  <c r="P804" i="6" s="1"/>
  <c r="N804" i="6"/>
  <c r="AA803" i="6"/>
  <c r="Z803" i="6"/>
  <c r="Q803" i="6"/>
  <c r="O803" i="6"/>
  <c r="P803" i="6" s="1"/>
  <c r="N803" i="6"/>
  <c r="AA802" i="6"/>
  <c r="Z802" i="6"/>
  <c r="Q802" i="6"/>
  <c r="O802" i="6"/>
  <c r="P802" i="6" s="1"/>
  <c r="N802" i="6"/>
  <c r="AA801" i="6"/>
  <c r="Z801" i="6"/>
  <c r="Q801" i="6"/>
  <c r="O801" i="6"/>
  <c r="P801" i="6" s="1"/>
  <c r="N801" i="6"/>
  <c r="AA800" i="6"/>
  <c r="Z800" i="6"/>
  <c r="Q800" i="6"/>
  <c r="O800" i="6"/>
  <c r="P800" i="6" s="1"/>
  <c r="N800" i="6"/>
  <c r="AA799" i="6"/>
  <c r="Z799" i="6"/>
  <c r="Q799" i="6"/>
  <c r="O799" i="6"/>
  <c r="P799" i="6" s="1"/>
  <c r="N799" i="6"/>
  <c r="AA798" i="6"/>
  <c r="Z798" i="6"/>
  <c r="Q798" i="6"/>
  <c r="O798" i="6"/>
  <c r="P798" i="6" s="1"/>
  <c r="N798" i="6"/>
  <c r="AA797" i="6"/>
  <c r="Z797" i="6"/>
  <c r="Q797" i="6"/>
  <c r="O797" i="6"/>
  <c r="P797" i="6" s="1"/>
  <c r="N797" i="6"/>
  <c r="AA796" i="6"/>
  <c r="Z796" i="6"/>
  <c r="Q796" i="6"/>
  <c r="O796" i="6"/>
  <c r="P796" i="6" s="1"/>
  <c r="N796" i="6"/>
  <c r="AA795" i="6"/>
  <c r="Z795" i="6"/>
  <c r="Q795" i="6"/>
  <c r="O795" i="6"/>
  <c r="P795" i="6" s="1"/>
  <c r="N795" i="6"/>
  <c r="AA794" i="6"/>
  <c r="Z794" i="6"/>
  <c r="Q794" i="6"/>
  <c r="O794" i="6"/>
  <c r="P794" i="6" s="1"/>
  <c r="N794" i="6"/>
  <c r="AA793" i="6"/>
  <c r="Z793" i="6"/>
  <c r="Q793" i="6"/>
  <c r="O793" i="6"/>
  <c r="P793" i="6" s="1"/>
  <c r="N793" i="6"/>
  <c r="AA792" i="6"/>
  <c r="Z792" i="6"/>
  <c r="Q792" i="6"/>
  <c r="O792" i="6"/>
  <c r="P792" i="6" s="1"/>
  <c r="N792" i="6"/>
  <c r="AA791" i="6"/>
  <c r="Z791" i="6"/>
  <c r="Q791" i="6"/>
  <c r="O791" i="6"/>
  <c r="P791" i="6" s="1"/>
  <c r="N791" i="6"/>
  <c r="AA790" i="6"/>
  <c r="Z790" i="6"/>
  <c r="Q790" i="6"/>
  <c r="O790" i="6"/>
  <c r="P790" i="6" s="1"/>
  <c r="N790" i="6"/>
  <c r="AA789" i="6"/>
  <c r="Z789" i="6"/>
  <c r="Q789" i="6"/>
  <c r="O789" i="6"/>
  <c r="P789" i="6" s="1"/>
  <c r="N789" i="6"/>
  <c r="AA788" i="6"/>
  <c r="Z788" i="6"/>
  <c r="Q788" i="6"/>
  <c r="O788" i="6"/>
  <c r="P788" i="6" s="1"/>
  <c r="N788" i="6"/>
  <c r="AA787" i="6"/>
  <c r="Z787" i="6"/>
  <c r="Q787" i="6"/>
  <c r="O787" i="6"/>
  <c r="P787" i="6" s="1"/>
  <c r="N787" i="6"/>
  <c r="AA786" i="6"/>
  <c r="Z786" i="6"/>
  <c r="Q786" i="6"/>
  <c r="O786" i="6"/>
  <c r="P786" i="6" s="1"/>
  <c r="N786" i="6"/>
  <c r="AA785" i="6"/>
  <c r="Z785" i="6"/>
  <c r="Q785" i="6"/>
  <c r="O785" i="6"/>
  <c r="P785" i="6" s="1"/>
  <c r="N785" i="6"/>
  <c r="AA784" i="6"/>
  <c r="Z784" i="6"/>
  <c r="Q784" i="6"/>
  <c r="O784" i="6"/>
  <c r="P784" i="6" s="1"/>
  <c r="N784" i="6"/>
  <c r="AA783" i="6"/>
  <c r="Z783" i="6"/>
  <c r="Q783" i="6"/>
  <c r="O783" i="6"/>
  <c r="P783" i="6" s="1"/>
  <c r="N783" i="6"/>
  <c r="AA782" i="6"/>
  <c r="Z782" i="6"/>
  <c r="Q782" i="6"/>
  <c r="O782" i="6"/>
  <c r="P782" i="6" s="1"/>
  <c r="N782" i="6"/>
  <c r="AA781" i="6"/>
  <c r="Z781" i="6"/>
  <c r="Q781" i="6"/>
  <c r="O781" i="6"/>
  <c r="P781" i="6" s="1"/>
  <c r="N781" i="6"/>
  <c r="AA780" i="6"/>
  <c r="Z780" i="6"/>
  <c r="Q780" i="6"/>
  <c r="O780" i="6"/>
  <c r="P780" i="6" s="1"/>
  <c r="N780" i="6"/>
  <c r="AA779" i="6"/>
  <c r="Z779" i="6"/>
  <c r="Q779" i="6"/>
  <c r="O779" i="6"/>
  <c r="P779" i="6" s="1"/>
  <c r="N779" i="6"/>
  <c r="AA778" i="6"/>
  <c r="Z778" i="6"/>
  <c r="Q778" i="6"/>
  <c r="O778" i="6"/>
  <c r="P778" i="6" s="1"/>
  <c r="N778" i="6"/>
  <c r="AA777" i="6"/>
  <c r="Z777" i="6"/>
  <c r="Q777" i="6"/>
  <c r="O777" i="6"/>
  <c r="P777" i="6" s="1"/>
  <c r="N777" i="6"/>
  <c r="AA776" i="6"/>
  <c r="Z776" i="6"/>
  <c r="Q776" i="6"/>
  <c r="O776" i="6"/>
  <c r="P776" i="6" s="1"/>
  <c r="N776" i="6"/>
  <c r="AA775" i="6"/>
  <c r="Z775" i="6"/>
  <c r="Q775" i="6"/>
  <c r="O775" i="6"/>
  <c r="P775" i="6" s="1"/>
  <c r="N775" i="6"/>
  <c r="AA774" i="6"/>
  <c r="Z774" i="6"/>
  <c r="Q774" i="6"/>
  <c r="O774" i="6"/>
  <c r="P774" i="6" s="1"/>
  <c r="N774" i="6"/>
  <c r="AA773" i="6"/>
  <c r="Z773" i="6"/>
  <c r="Q773" i="6"/>
  <c r="O773" i="6"/>
  <c r="P773" i="6" s="1"/>
  <c r="N773" i="6"/>
  <c r="AA772" i="6"/>
  <c r="Z772" i="6"/>
  <c r="Q772" i="6"/>
  <c r="O772" i="6"/>
  <c r="P772" i="6" s="1"/>
  <c r="N772" i="6"/>
  <c r="AA771" i="6"/>
  <c r="Z771" i="6"/>
  <c r="Q771" i="6"/>
  <c r="O771" i="6"/>
  <c r="P771" i="6" s="1"/>
  <c r="N771" i="6"/>
  <c r="AA770" i="6"/>
  <c r="Z770" i="6"/>
  <c r="Q770" i="6"/>
  <c r="O770" i="6"/>
  <c r="P770" i="6" s="1"/>
  <c r="N770" i="6"/>
  <c r="AA769" i="6"/>
  <c r="Z769" i="6"/>
  <c r="Q769" i="6"/>
  <c r="O769" i="6"/>
  <c r="P769" i="6" s="1"/>
  <c r="N769" i="6"/>
  <c r="AA768" i="6"/>
  <c r="Z768" i="6"/>
  <c r="Q768" i="6"/>
  <c r="O768" i="6"/>
  <c r="P768" i="6" s="1"/>
  <c r="N768" i="6"/>
  <c r="AA767" i="6"/>
  <c r="Z767" i="6"/>
  <c r="Q767" i="6"/>
  <c r="O767" i="6"/>
  <c r="P767" i="6" s="1"/>
  <c r="N767" i="6"/>
  <c r="AA766" i="6"/>
  <c r="Z766" i="6"/>
  <c r="Q766" i="6"/>
  <c r="O766" i="6"/>
  <c r="P766" i="6" s="1"/>
  <c r="N766" i="6"/>
  <c r="AA765" i="6"/>
  <c r="Z765" i="6"/>
  <c r="Q765" i="6"/>
  <c r="O765" i="6"/>
  <c r="P765" i="6" s="1"/>
  <c r="N765" i="6"/>
  <c r="AA764" i="6"/>
  <c r="Z764" i="6"/>
  <c r="Q764" i="6"/>
  <c r="O764" i="6"/>
  <c r="P764" i="6" s="1"/>
  <c r="N764" i="6"/>
  <c r="AA763" i="6"/>
  <c r="Z763" i="6"/>
  <c r="Q763" i="6"/>
  <c r="O763" i="6"/>
  <c r="P763" i="6" s="1"/>
  <c r="N763" i="6"/>
  <c r="AA762" i="6"/>
  <c r="Z762" i="6"/>
  <c r="Q762" i="6"/>
  <c r="O762" i="6"/>
  <c r="P762" i="6" s="1"/>
  <c r="N762" i="6"/>
  <c r="AA761" i="6"/>
  <c r="Z761" i="6"/>
  <c r="Q761" i="6"/>
  <c r="O761" i="6"/>
  <c r="P761" i="6" s="1"/>
  <c r="N761" i="6"/>
  <c r="AA760" i="6"/>
  <c r="Z760" i="6"/>
  <c r="Q760" i="6"/>
  <c r="O760" i="6"/>
  <c r="P760" i="6" s="1"/>
  <c r="N760" i="6"/>
  <c r="AA759" i="6"/>
  <c r="Z759" i="6"/>
  <c r="Q759" i="6"/>
  <c r="O759" i="6"/>
  <c r="P759" i="6" s="1"/>
  <c r="N759" i="6"/>
  <c r="AA758" i="6"/>
  <c r="Z758" i="6"/>
  <c r="Q758" i="6"/>
  <c r="O758" i="6"/>
  <c r="P758" i="6" s="1"/>
  <c r="N758" i="6"/>
  <c r="AA757" i="6"/>
  <c r="Z757" i="6"/>
  <c r="Q757" i="6"/>
  <c r="O757" i="6"/>
  <c r="P757" i="6" s="1"/>
  <c r="N757" i="6"/>
  <c r="AA756" i="6"/>
  <c r="Z756" i="6"/>
  <c r="Q756" i="6"/>
  <c r="O756" i="6"/>
  <c r="P756" i="6" s="1"/>
  <c r="N756" i="6"/>
  <c r="AA755" i="6"/>
  <c r="Z755" i="6"/>
  <c r="Q755" i="6"/>
  <c r="O755" i="6"/>
  <c r="P755" i="6" s="1"/>
  <c r="N755" i="6"/>
  <c r="AA754" i="6"/>
  <c r="Z754" i="6"/>
  <c r="Q754" i="6"/>
  <c r="O754" i="6"/>
  <c r="P754" i="6" s="1"/>
  <c r="N754" i="6"/>
  <c r="AA753" i="6"/>
  <c r="Z753" i="6"/>
  <c r="Q753" i="6"/>
  <c r="O753" i="6"/>
  <c r="P753" i="6" s="1"/>
  <c r="N753" i="6"/>
  <c r="AA752" i="6"/>
  <c r="Z752" i="6"/>
  <c r="Q752" i="6"/>
  <c r="O752" i="6"/>
  <c r="P752" i="6" s="1"/>
  <c r="N752" i="6"/>
  <c r="AA751" i="6"/>
  <c r="Z751" i="6"/>
  <c r="Q751" i="6"/>
  <c r="O751" i="6"/>
  <c r="P751" i="6" s="1"/>
  <c r="N751" i="6"/>
  <c r="AA750" i="6"/>
  <c r="Z750" i="6"/>
  <c r="Q750" i="6"/>
  <c r="O750" i="6"/>
  <c r="P750" i="6" s="1"/>
  <c r="N750" i="6"/>
  <c r="AA749" i="6"/>
  <c r="Z749" i="6"/>
  <c r="Q749" i="6"/>
  <c r="O749" i="6"/>
  <c r="P749" i="6" s="1"/>
  <c r="N749" i="6"/>
  <c r="AA748" i="6"/>
  <c r="Z748" i="6"/>
  <c r="Q748" i="6"/>
  <c r="O748" i="6"/>
  <c r="P748" i="6" s="1"/>
  <c r="N748" i="6"/>
  <c r="AA747" i="6"/>
  <c r="Z747" i="6"/>
  <c r="Q747" i="6"/>
  <c r="O747" i="6"/>
  <c r="P747" i="6" s="1"/>
  <c r="N747" i="6"/>
  <c r="AA746" i="6"/>
  <c r="Z746" i="6"/>
  <c r="Q746" i="6"/>
  <c r="O746" i="6"/>
  <c r="P746" i="6" s="1"/>
  <c r="N746" i="6"/>
  <c r="AA745" i="6"/>
  <c r="Z745" i="6"/>
  <c r="Q745" i="6"/>
  <c r="O745" i="6"/>
  <c r="P745" i="6" s="1"/>
  <c r="N745" i="6"/>
  <c r="AA744" i="6"/>
  <c r="Z744" i="6"/>
  <c r="Q744" i="6"/>
  <c r="O744" i="6"/>
  <c r="P744" i="6" s="1"/>
  <c r="N744" i="6"/>
  <c r="AA743" i="6"/>
  <c r="Z743" i="6"/>
  <c r="Q743" i="6"/>
  <c r="O743" i="6"/>
  <c r="P743" i="6" s="1"/>
  <c r="N743" i="6"/>
  <c r="AA742" i="6"/>
  <c r="Z742" i="6"/>
  <c r="Q742" i="6"/>
  <c r="O742" i="6"/>
  <c r="P742" i="6" s="1"/>
  <c r="N742" i="6"/>
  <c r="AA741" i="6"/>
  <c r="Z741" i="6"/>
  <c r="Q741" i="6"/>
  <c r="O741" i="6"/>
  <c r="P741" i="6" s="1"/>
  <c r="N741" i="6"/>
  <c r="AA740" i="6"/>
  <c r="Z740" i="6"/>
  <c r="Q740" i="6"/>
  <c r="O740" i="6"/>
  <c r="P740" i="6" s="1"/>
  <c r="N740" i="6"/>
  <c r="AA739" i="6"/>
  <c r="Z739" i="6"/>
  <c r="Q739" i="6"/>
  <c r="O739" i="6"/>
  <c r="P739" i="6" s="1"/>
  <c r="N739" i="6"/>
  <c r="AA738" i="6"/>
  <c r="Z738" i="6"/>
  <c r="Q738" i="6"/>
  <c r="O738" i="6"/>
  <c r="P738" i="6" s="1"/>
  <c r="N738" i="6"/>
  <c r="AA737" i="6"/>
  <c r="Z737" i="6"/>
  <c r="Q737" i="6"/>
  <c r="O737" i="6"/>
  <c r="P737" i="6" s="1"/>
  <c r="N737" i="6"/>
  <c r="AA736" i="6"/>
  <c r="Z736" i="6"/>
  <c r="Q736" i="6"/>
  <c r="O736" i="6"/>
  <c r="P736" i="6" s="1"/>
  <c r="N736" i="6"/>
  <c r="AA735" i="6"/>
  <c r="Z735" i="6"/>
  <c r="Q735" i="6"/>
  <c r="O735" i="6"/>
  <c r="P735" i="6" s="1"/>
  <c r="N735" i="6"/>
  <c r="AA734" i="6"/>
  <c r="Z734" i="6"/>
  <c r="Q734" i="6"/>
  <c r="O734" i="6"/>
  <c r="P734" i="6" s="1"/>
  <c r="N734" i="6"/>
  <c r="AA733" i="6"/>
  <c r="Z733" i="6"/>
  <c r="Q733" i="6"/>
  <c r="O733" i="6"/>
  <c r="P733" i="6" s="1"/>
  <c r="N733" i="6"/>
  <c r="AA732" i="6"/>
  <c r="Z732" i="6"/>
  <c r="Q732" i="6"/>
  <c r="O732" i="6"/>
  <c r="P732" i="6" s="1"/>
  <c r="N732" i="6"/>
  <c r="AA731" i="6"/>
  <c r="Z731" i="6"/>
  <c r="Q731" i="6"/>
  <c r="O731" i="6"/>
  <c r="P731" i="6" s="1"/>
  <c r="N731" i="6"/>
  <c r="AA730" i="6"/>
  <c r="Z730" i="6"/>
  <c r="Q730" i="6"/>
  <c r="O730" i="6"/>
  <c r="P730" i="6" s="1"/>
  <c r="N730" i="6"/>
  <c r="AA729" i="6"/>
  <c r="Z729" i="6"/>
  <c r="Q729" i="6"/>
  <c r="O729" i="6"/>
  <c r="P729" i="6" s="1"/>
  <c r="N729" i="6"/>
  <c r="AA728" i="6"/>
  <c r="Z728" i="6"/>
  <c r="Q728" i="6"/>
  <c r="O728" i="6"/>
  <c r="P728" i="6" s="1"/>
  <c r="N728" i="6"/>
  <c r="AA727" i="6"/>
  <c r="Z727" i="6"/>
  <c r="Q727" i="6"/>
  <c r="O727" i="6"/>
  <c r="P727" i="6" s="1"/>
  <c r="N727" i="6"/>
  <c r="AA726" i="6"/>
  <c r="Z726" i="6"/>
  <c r="Q726" i="6"/>
  <c r="O726" i="6"/>
  <c r="P726" i="6" s="1"/>
  <c r="N726" i="6"/>
  <c r="AA725" i="6"/>
  <c r="Z725" i="6"/>
  <c r="Q725" i="6"/>
  <c r="O725" i="6"/>
  <c r="P725" i="6" s="1"/>
  <c r="N725" i="6"/>
  <c r="AA724" i="6"/>
  <c r="Z724" i="6"/>
  <c r="Q724" i="6"/>
  <c r="O724" i="6"/>
  <c r="P724" i="6" s="1"/>
  <c r="N724" i="6"/>
  <c r="AA723" i="6"/>
  <c r="Z723" i="6"/>
  <c r="Q723" i="6"/>
  <c r="O723" i="6"/>
  <c r="P723" i="6" s="1"/>
  <c r="N723" i="6"/>
  <c r="AA722" i="6"/>
  <c r="Z722" i="6"/>
  <c r="Q722" i="6"/>
  <c r="O722" i="6"/>
  <c r="P722" i="6" s="1"/>
  <c r="N722" i="6"/>
  <c r="AA721" i="6"/>
  <c r="Z721" i="6"/>
  <c r="Q721" i="6"/>
  <c r="O721" i="6"/>
  <c r="P721" i="6" s="1"/>
  <c r="N721" i="6"/>
  <c r="AA720" i="6"/>
  <c r="Z720" i="6"/>
  <c r="Q720" i="6"/>
  <c r="O720" i="6"/>
  <c r="P720" i="6" s="1"/>
  <c r="N720" i="6"/>
  <c r="AA719" i="6"/>
  <c r="Z719" i="6"/>
  <c r="Q719" i="6"/>
  <c r="O719" i="6"/>
  <c r="P719" i="6" s="1"/>
  <c r="N719" i="6"/>
  <c r="AA718" i="6"/>
  <c r="Z718" i="6"/>
  <c r="Q718" i="6"/>
  <c r="O718" i="6"/>
  <c r="P718" i="6" s="1"/>
  <c r="N718" i="6"/>
  <c r="AA717" i="6"/>
  <c r="Z717" i="6"/>
  <c r="Q717" i="6"/>
  <c r="O717" i="6"/>
  <c r="P717" i="6" s="1"/>
  <c r="N717" i="6"/>
  <c r="AA716" i="6"/>
  <c r="Z716" i="6"/>
  <c r="Q716" i="6"/>
  <c r="O716" i="6"/>
  <c r="P716" i="6" s="1"/>
  <c r="N716" i="6"/>
  <c r="AA715" i="6"/>
  <c r="Z715" i="6"/>
  <c r="Q715" i="6"/>
  <c r="O715" i="6"/>
  <c r="P715" i="6" s="1"/>
  <c r="N715" i="6"/>
  <c r="AA714" i="6"/>
  <c r="Z714" i="6"/>
  <c r="Q714" i="6"/>
  <c r="O714" i="6"/>
  <c r="P714" i="6" s="1"/>
  <c r="N714" i="6"/>
  <c r="AA713" i="6"/>
  <c r="Z713" i="6"/>
  <c r="Q713" i="6"/>
  <c r="O713" i="6"/>
  <c r="P713" i="6" s="1"/>
  <c r="N713" i="6"/>
  <c r="AA712" i="6"/>
  <c r="Z712" i="6"/>
  <c r="Q712" i="6"/>
  <c r="O712" i="6"/>
  <c r="P712" i="6" s="1"/>
  <c r="N712" i="6"/>
  <c r="AA711" i="6"/>
  <c r="Z711" i="6"/>
  <c r="Q711" i="6"/>
  <c r="O711" i="6"/>
  <c r="P711" i="6" s="1"/>
  <c r="N711" i="6"/>
  <c r="AA710" i="6"/>
  <c r="Z710" i="6"/>
  <c r="Q710" i="6"/>
  <c r="O710" i="6"/>
  <c r="P710" i="6" s="1"/>
  <c r="N710" i="6"/>
  <c r="AA709" i="6"/>
  <c r="Z709" i="6"/>
  <c r="Q709" i="6"/>
  <c r="O709" i="6"/>
  <c r="P709" i="6" s="1"/>
  <c r="N709" i="6"/>
  <c r="AA708" i="6"/>
  <c r="Z708" i="6"/>
  <c r="Q708" i="6"/>
  <c r="O708" i="6"/>
  <c r="P708" i="6" s="1"/>
  <c r="N708" i="6"/>
  <c r="AA707" i="6"/>
  <c r="Z707" i="6"/>
  <c r="Q707" i="6"/>
  <c r="O707" i="6"/>
  <c r="P707" i="6" s="1"/>
  <c r="N707" i="6"/>
  <c r="AA706" i="6"/>
  <c r="Z706" i="6"/>
  <c r="Q706" i="6"/>
  <c r="O706" i="6"/>
  <c r="P706" i="6" s="1"/>
  <c r="N706" i="6"/>
  <c r="AA705" i="6"/>
  <c r="Z705" i="6"/>
  <c r="Q705" i="6"/>
  <c r="O705" i="6"/>
  <c r="P705" i="6" s="1"/>
  <c r="N705" i="6"/>
  <c r="AA704" i="6"/>
  <c r="Z704" i="6"/>
  <c r="Q704" i="6"/>
  <c r="O704" i="6"/>
  <c r="P704" i="6" s="1"/>
  <c r="N704" i="6"/>
  <c r="AA703" i="6"/>
  <c r="Z703" i="6"/>
  <c r="Q703" i="6"/>
  <c r="O703" i="6"/>
  <c r="P703" i="6" s="1"/>
  <c r="N703" i="6"/>
  <c r="AA702" i="6"/>
  <c r="Z702" i="6"/>
  <c r="Q702" i="6"/>
  <c r="O702" i="6"/>
  <c r="P702" i="6" s="1"/>
  <c r="N702" i="6"/>
  <c r="AA701" i="6"/>
  <c r="Z701" i="6"/>
  <c r="Q701" i="6"/>
  <c r="O701" i="6"/>
  <c r="P701" i="6" s="1"/>
  <c r="N701" i="6"/>
  <c r="AA700" i="6"/>
  <c r="Z700" i="6"/>
  <c r="Q700" i="6"/>
  <c r="O700" i="6"/>
  <c r="P700" i="6" s="1"/>
  <c r="N700" i="6"/>
  <c r="AA699" i="6"/>
  <c r="Z699" i="6"/>
  <c r="Q699" i="6"/>
  <c r="O699" i="6"/>
  <c r="P699" i="6" s="1"/>
  <c r="N699" i="6"/>
  <c r="AA698" i="6"/>
  <c r="Z698" i="6"/>
  <c r="Q698" i="6"/>
  <c r="O698" i="6"/>
  <c r="P698" i="6" s="1"/>
  <c r="N698" i="6"/>
  <c r="AA697" i="6"/>
  <c r="Z697" i="6"/>
  <c r="Q697" i="6"/>
  <c r="O697" i="6"/>
  <c r="P697" i="6" s="1"/>
  <c r="N697" i="6"/>
  <c r="AA696" i="6"/>
  <c r="Z696" i="6"/>
  <c r="Q696" i="6"/>
  <c r="O696" i="6"/>
  <c r="P696" i="6" s="1"/>
  <c r="N696" i="6"/>
  <c r="AA695" i="6"/>
  <c r="Z695" i="6"/>
  <c r="Q695" i="6"/>
  <c r="O695" i="6"/>
  <c r="P695" i="6" s="1"/>
  <c r="N695" i="6"/>
  <c r="AA694" i="6"/>
  <c r="Z694" i="6"/>
  <c r="Q694" i="6"/>
  <c r="O694" i="6"/>
  <c r="P694" i="6" s="1"/>
  <c r="N694" i="6"/>
  <c r="AA693" i="6"/>
  <c r="Z693" i="6"/>
  <c r="Q693" i="6"/>
  <c r="O693" i="6"/>
  <c r="P693" i="6" s="1"/>
  <c r="N693" i="6"/>
  <c r="AA692" i="6"/>
  <c r="Z692" i="6"/>
  <c r="Q692" i="6"/>
  <c r="O692" i="6"/>
  <c r="P692" i="6" s="1"/>
  <c r="N692" i="6"/>
  <c r="AA691" i="6"/>
  <c r="Z691" i="6"/>
  <c r="Q691" i="6"/>
  <c r="O691" i="6"/>
  <c r="P691" i="6" s="1"/>
  <c r="N691" i="6"/>
  <c r="AA690" i="6"/>
  <c r="Z690" i="6"/>
  <c r="Q690" i="6"/>
  <c r="O690" i="6"/>
  <c r="P690" i="6" s="1"/>
  <c r="N690" i="6"/>
  <c r="AA689" i="6"/>
  <c r="Z689" i="6"/>
  <c r="Q689" i="6"/>
  <c r="O689" i="6"/>
  <c r="P689" i="6" s="1"/>
  <c r="N689" i="6"/>
  <c r="AA688" i="6"/>
  <c r="Z688" i="6"/>
  <c r="Q688" i="6"/>
  <c r="O688" i="6"/>
  <c r="P688" i="6" s="1"/>
  <c r="N688" i="6"/>
  <c r="AA687" i="6"/>
  <c r="Z687" i="6"/>
  <c r="Q687" i="6"/>
  <c r="O687" i="6"/>
  <c r="P687" i="6" s="1"/>
  <c r="N687" i="6"/>
  <c r="AA686" i="6"/>
  <c r="Z686" i="6"/>
  <c r="Q686" i="6"/>
  <c r="O686" i="6"/>
  <c r="P686" i="6" s="1"/>
  <c r="N686" i="6"/>
  <c r="AA685" i="6"/>
  <c r="Z685" i="6"/>
  <c r="Q685" i="6"/>
  <c r="O685" i="6"/>
  <c r="P685" i="6" s="1"/>
  <c r="N685" i="6"/>
  <c r="AA684" i="6"/>
  <c r="Z684" i="6"/>
  <c r="Q684" i="6"/>
  <c r="O684" i="6"/>
  <c r="P684" i="6" s="1"/>
  <c r="N684" i="6"/>
  <c r="AA683" i="6"/>
  <c r="Z683" i="6"/>
  <c r="Q683" i="6"/>
  <c r="O683" i="6"/>
  <c r="P683" i="6" s="1"/>
  <c r="N683" i="6"/>
  <c r="AA682" i="6"/>
  <c r="Z682" i="6"/>
  <c r="Q682" i="6"/>
  <c r="O682" i="6"/>
  <c r="P682" i="6" s="1"/>
  <c r="N682" i="6"/>
  <c r="AA681" i="6"/>
  <c r="Z681" i="6"/>
  <c r="Q681" i="6"/>
  <c r="O681" i="6"/>
  <c r="P681" i="6" s="1"/>
  <c r="N681" i="6"/>
  <c r="AA680" i="6"/>
  <c r="Z680" i="6"/>
  <c r="Q680" i="6"/>
  <c r="O680" i="6"/>
  <c r="P680" i="6" s="1"/>
  <c r="N680" i="6"/>
  <c r="AA679" i="6"/>
  <c r="Z679" i="6"/>
  <c r="Q679" i="6"/>
  <c r="O679" i="6"/>
  <c r="P679" i="6" s="1"/>
  <c r="N679" i="6"/>
  <c r="AA678" i="6"/>
  <c r="Z678" i="6"/>
  <c r="Q678" i="6"/>
  <c r="O678" i="6"/>
  <c r="P678" i="6" s="1"/>
  <c r="N678" i="6"/>
  <c r="AA677" i="6"/>
  <c r="Z677" i="6"/>
  <c r="Q677" i="6"/>
  <c r="O677" i="6"/>
  <c r="P677" i="6" s="1"/>
  <c r="N677" i="6"/>
  <c r="AA676" i="6"/>
  <c r="Z676" i="6"/>
  <c r="Q676" i="6"/>
  <c r="O676" i="6"/>
  <c r="P676" i="6" s="1"/>
  <c r="N676" i="6"/>
  <c r="AA675" i="6"/>
  <c r="Z675" i="6"/>
  <c r="Q675" i="6"/>
  <c r="O675" i="6"/>
  <c r="P675" i="6" s="1"/>
  <c r="N675" i="6"/>
  <c r="AA674" i="6"/>
  <c r="Z674" i="6"/>
  <c r="Q674" i="6"/>
  <c r="O674" i="6"/>
  <c r="P674" i="6" s="1"/>
  <c r="N674" i="6"/>
  <c r="AA673" i="6"/>
  <c r="Z673" i="6"/>
  <c r="Q673" i="6"/>
  <c r="O673" i="6"/>
  <c r="P673" i="6" s="1"/>
  <c r="N673" i="6"/>
  <c r="AA672" i="6"/>
  <c r="Z672" i="6"/>
  <c r="Q672" i="6"/>
  <c r="O672" i="6"/>
  <c r="P672" i="6" s="1"/>
  <c r="N672" i="6"/>
  <c r="AA671" i="6"/>
  <c r="Z671" i="6"/>
  <c r="Q671" i="6"/>
  <c r="O671" i="6"/>
  <c r="P671" i="6" s="1"/>
  <c r="N671" i="6"/>
  <c r="AA670" i="6"/>
  <c r="Z670" i="6"/>
  <c r="Q670" i="6"/>
  <c r="O670" i="6"/>
  <c r="P670" i="6" s="1"/>
  <c r="N670" i="6"/>
  <c r="AA669" i="6"/>
  <c r="Z669" i="6"/>
  <c r="Q669" i="6"/>
  <c r="O669" i="6"/>
  <c r="P669" i="6" s="1"/>
  <c r="N669" i="6"/>
  <c r="AA668" i="6"/>
  <c r="Z668" i="6"/>
  <c r="Q668" i="6"/>
  <c r="O668" i="6"/>
  <c r="P668" i="6" s="1"/>
  <c r="N668" i="6"/>
  <c r="AA667" i="6"/>
  <c r="Z667" i="6"/>
  <c r="Q667" i="6"/>
  <c r="O667" i="6"/>
  <c r="P667" i="6" s="1"/>
  <c r="N667" i="6"/>
  <c r="AA666" i="6"/>
  <c r="Z666" i="6"/>
  <c r="Q666" i="6"/>
  <c r="O666" i="6"/>
  <c r="P666" i="6" s="1"/>
  <c r="N666" i="6"/>
  <c r="AA665" i="6"/>
  <c r="Z665" i="6"/>
  <c r="Q665" i="6"/>
  <c r="O665" i="6"/>
  <c r="P665" i="6" s="1"/>
  <c r="N665" i="6"/>
  <c r="AA664" i="6"/>
  <c r="Z664" i="6"/>
  <c r="Q664" i="6"/>
  <c r="O664" i="6"/>
  <c r="P664" i="6" s="1"/>
  <c r="N664" i="6"/>
  <c r="AA663" i="6"/>
  <c r="Z663" i="6"/>
  <c r="Q663" i="6"/>
  <c r="O663" i="6"/>
  <c r="P663" i="6" s="1"/>
  <c r="N663" i="6"/>
  <c r="AA662" i="6"/>
  <c r="Z662" i="6"/>
  <c r="Q662" i="6"/>
  <c r="O662" i="6"/>
  <c r="P662" i="6" s="1"/>
  <c r="N662" i="6"/>
  <c r="AA661" i="6"/>
  <c r="Z661" i="6"/>
  <c r="Q661" i="6"/>
  <c r="O661" i="6"/>
  <c r="P661" i="6" s="1"/>
  <c r="N661" i="6"/>
  <c r="AA660" i="6"/>
  <c r="Z660" i="6"/>
  <c r="Q660" i="6"/>
  <c r="O660" i="6"/>
  <c r="P660" i="6" s="1"/>
  <c r="N660" i="6"/>
  <c r="AA659" i="6"/>
  <c r="Z659" i="6"/>
  <c r="Q659" i="6"/>
  <c r="O659" i="6"/>
  <c r="P659" i="6" s="1"/>
  <c r="N659" i="6"/>
  <c r="AA658" i="6"/>
  <c r="Z658" i="6"/>
  <c r="Q658" i="6"/>
  <c r="O658" i="6"/>
  <c r="P658" i="6" s="1"/>
  <c r="N658" i="6"/>
  <c r="AA657" i="6"/>
  <c r="Z657" i="6"/>
  <c r="Q657" i="6"/>
  <c r="O657" i="6"/>
  <c r="P657" i="6" s="1"/>
  <c r="N657" i="6"/>
  <c r="AA656" i="6"/>
  <c r="Z656" i="6"/>
  <c r="Q656" i="6"/>
  <c r="O656" i="6"/>
  <c r="P656" i="6" s="1"/>
  <c r="N656" i="6"/>
  <c r="AA655" i="6"/>
  <c r="Z655" i="6"/>
  <c r="Q655" i="6"/>
  <c r="O655" i="6"/>
  <c r="P655" i="6" s="1"/>
  <c r="N655" i="6"/>
  <c r="AA654" i="6"/>
  <c r="Z654" i="6"/>
  <c r="Q654" i="6"/>
  <c r="O654" i="6"/>
  <c r="P654" i="6" s="1"/>
  <c r="N654" i="6"/>
  <c r="AA653" i="6"/>
  <c r="Z653" i="6"/>
  <c r="Q653" i="6"/>
  <c r="O653" i="6"/>
  <c r="P653" i="6" s="1"/>
  <c r="N653" i="6"/>
  <c r="AA652" i="6"/>
  <c r="Z652" i="6"/>
  <c r="Q652" i="6"/>
  <c r="O652" i="6"/>
  <c r="P652" i="6" s="1"/>
  <c r="N652" i="6"/>
  <c r="AA651" i="6"/>
  <c r="Z651" i="6"/>
  <c r="Q651" i="6"/>
  <c r="O651" i="6"/>
  <c r="P651" i="6" s="1"/>
  <c r="N651" i="6"/>
  <c r="AA650" i="6"/>
  <c r="Z650" i="6"/>
  <c r="Q650" i="6"/>
  <c r="O650" i="6"/>
  <c r="P650" i="6" s="1"/>
  <c r="N650" i="6"/>
  <c r="AA649" i="6"/>
  <c r="Z649" i="6"/>
  <c r="Q649" i="6"/>
  <c r="O649" i="6"/>
  <c r="P649" i="6" s="1"/>
  <c r="N649" i="6"/>
  <c r="AA648" i="6"/>
  <c r="Z648" i="6"/>
  <c r="Q648" i="6"/>
  <c r="O648" i="6"/>
  <c r="P648" i="6" s="1"/>
  <c r="N648" i="6"/>
  <c r="AA647" i="6"/>
  <c r="Z647" i="6"/>
  <c r="Q647" i="6"/>
  <c r="O647" i="6"/>
  <c r="P647" i="6" s="1"/>
  <c r="N647" i="6"/>
  <c r="AA646" i="6"/>
  <c r="Z646" i="6"/>
  <c r="Q646" i="6"/>
  <c r="O646" i="6"/>
  <c r="P646" i="6" s="1"/>
  <c r="N646" i="6"/>
  <c r="AA645" i="6"/>
  <c r="Z645" i="6"/>
  <c r="Q645" i="6"/>
  <c r="O645" i="6"/>
  <c r="P645" i="6" s="1"/>
  <c r="N645" i="6"/>
  <c r="AA644" i="6"/>
  <c r="Z644" i="6"/>
  <c r="Q644" i="6"/>
  <c r="O644" i="6"/>
  <c r="P644" i="6" s="1"/>
  <c r="N644" i="6"/>
  <c r="AA643" i="6"/>
  <c r="Z643" i="6"/>
  <c r="Q643" i="6"/>
  <c r="O643" i="6"/>
  <c r="P643" i="6" s="1"/>
  <c r="N643" i="6"/>
  <c r="AA642" i="6"/>
  <c r="Z642" i="6"/>
  <c r="Q642" i="6"/>
  <c r="O642" i="6"/>
  <c r="P642" i="6" s="1"/>
  <c r="N642" i="6"/>
  <c r="AA641" i="6"/>
  <c r="Z641" i="6"/>
  <c r="Q641" i="6"/>
  <c r="O641" i="6"/>
  <c r="P641" i="6" s="1"/>
  <c r="N641" i="6"/>
  <c r="AA640" i="6"/>
  <c r="Z640" i="6"/>
  <c r="Q640" i="6"/>
  <c r="O640" i="6"/>
  <c r="P640" i="6" s="1"/>
  <c r="N640" i="6"/>
  <c r="AA639" i="6"/>
  <c r="Z639" i="6"/>
  <c r="Q639" i="6"/>
  <c r="O639" i="6"/>
  <c r="P639" i="6" s="1"/>
  <c r="N639" i="6"/>
  <c r="AA638" i="6"/>
  <c r="Z638" i="6"/>
  <c r="Q638" i="6"/>
  <c r="O638" i="6"/>
  <c r="P638" i="6" s="1"/>
  <c r="N638" i="6"/>
  <c r="AA637" i="6"/>
  <c r="Z637" i="6"/>
  <c r="Q637" i="6"/>
  <c r="O637" i="6"/>
  <c r="P637" i="6" s="1"/>
  <c r="N637" i="6"/>
  <c r="AA636" i="6"/>
  <c r="Z636" i="6"/>
  <c r="Q636" i="6"/>
  <c r="O636" i="6"/>
  <c r="P636" i="6" s="1"/>
  <c r="N636" i="6"/>
  <c r="AA635" i="6"/>
  <c r="Z635" i="6"/>
  <c r="Q635" i="6"/>
  <c r="O635" i="6"/>
  <c r="P635" i="6" s="1"/>
  <c r="N635" i="6"/>
  <c r="AA634" i="6"/>
  <c r="Z634" i="6"/>
  <c r="Q634" i="6"/>
  <c r="O634" i="6"/>
  <c r="P634" i="6" s="1"/>
  <c r="N634" i="6"/>
  <c r="AA633" i="6"/>
  <c r="Z633" i="6"/>
  <c r="Q633" i="6"/>
  <c r="O633" i="6"/>
  <c r="P633" i="6" s="1"/>
  <c r="N633" i="6"/>
  <c r="AA632" i="6"/>
  <c r="Z632" i="6"/>
  <c r="Q632" i="6"/>
  <c r="O632" i="6"/>
  <c r="P632" i="6" s="1"/>
  <c r="N632" i="6"/>
  <c r="AA631" i="6"/>
  <c r="Z631" i="6"/>
  <c r="Q631" i="6"/>
  <c r="O631" i="6"/>
  <c r="P631" i="6" s="1"/>
  <c r="N631" i="6"/>
  <c r="AA630" i="6"/>
  <c r="Z630" i="6"/>
  <c r="Q630" i="6"/>
  <c r="O630" i="6"/>
  <c r="P630" i="6" s="1"/>
  <c r="N630" i="6"/>
  <c r="AA629" i="6"/>
  <c r="Z629" i="6"/>
  <c r="Q629" i="6"/>
  <c r="O629" i="6"/>
  <c r="P629" i="6" s="1"/>
  <c r="N629" i="6"/>
  <c r="AA628" i="6"/>
  <c r="Z628" i="6"/>
  <c r="Q628" i="6"/>
  <c r="O628" i="6"/>
  <c r="P628" i="6" s="1"/>
  <c r="N628" i="6"/>
  <c r="AA627" i="6"/>
  <c r="Z627" i="6"/>
  <c r="Q627" i="6"/>
  <c r="O627" i="6"/>
  <c r="P627" i="6" s="1"/>
  <c r="N627" i="6"/>
  <c r="AA626" i="6"/>
  <c r="Z626" i="6"/>
  <c r="Q626" i="6"/>
  <c r="O626" i="6"/>
  <c r="P626" i="6" s="1"/>
  <c r="N626" i="6"/>
  <c r="AA625" i="6"/>
  <c r="Z625" i="6"/>
  <c r="Q625" i="6"/>
  <c r="O625" i="6"/>
  <c r="P625" i="6" s="1"/>
  <c r="N625" i="6"/>
  <c r="AA624" i="6"/>
  <c r="Z624" i="6"/>
  <c r="Q624" i="6"/>
  <c r="O624" i="6"/>
  <c r="P624" i="6" s="1"/>
  <c r="N624" i="6"/>
  <c r="AA623" i="6"/>
  <c r="Z623" i="6"/>
  <c r="Q623" i="6"/>
  <c r="O623" i="6"/>
  <c r="P623" i="6" s="1"/>
  <c r="N623" i="6"/>
  <c r="AA622" i="6"/>
  <c r="Z622" i="6"/>
  <c r="Q622" i="6"/>
  <c r="O622" i="6"/>
  <c r="P622" i="6" s="1"/>
  <c r="N622" i="6"/>
  <c r="AA621" i="6"/>
  <c r="Z621" i="6"/>
  <c r="Q621" i="6"/>
  <c r="O621" i="6"/>
  <c r="P621" i="6" s="1"/>
  <c r="N621" i="6"/>
  <c r="AA620" i="6"/>
  <c r="Z620" i="6"/>
  <c r="Q620" i="6"/>
  <c r="O620" i="6"/>
  <c r="P620" i="6" s="1"/>
  <c r="N620" i="6"/>
  <c r="AA619" i="6"/>
  <c r="Z619" i="6"/>
  <c r="Q619" i="6"/>
  <c r="O619" i="6"/>
  <c r="P619" i="6" s="1"/>
  <c r="N619" i="6"/>
  <c r="AA618" i="6"/>
  <c r="Z618" i="6"/>
  <c r="Q618" i="6"/>
  <c r="O618" i="6"/>
  <c r="P618" i="6" s="1"/>
  <c r="N618" i="6"/>
  <c r="AA617" i="6"/>
  <c r="Z617" i="6"/>
  <c r="Q617" i="6"/>
  <c r="O617" i="6"/>
  <c r="P617" i="6" s="1"/>
  <c r="N617" i="6"/>
  <c r="AA616" i="6"/>
  <c r="Z616" i="6"/>
  <c r="Q616" i="6"/>
  <c r="O616" i="6"/>
  <c r="P616" i="6" s="1"/>
  <c r="N616" i="6"/>
  <c r="AA615" i="6"/>
  <c r="Z615" i="6"/>
  <c r="Q615" i="6"/>
  <c r="O615" i="6"/>
  <c r="P615" i="6" s="1"/>
  <c r="N615" i="6"/>
  <c r="AA614" i="6"/>
  <c r="Z614" i="6"/>
  <c r="Q614" i="6"/>
  <c r="O614" i="6"/>
  <c r="P614" i="6" s="1"/>
  <c r="N614" i="6"/>
  <c r="AA613" i="6"/>
  <c r="Z613" i="6"/>
  <c r="Q613" i="6"/>
  <c r="O613" i="6"/>
  <c r="P613" i="6" s="1"/>
  <c r="N613" i="6"/>
  <c r="AA612" i="6"/>
  <c r="Z612" i="6"/>
  <c r="Q612" i="6"/>
  <c r="O612" i="6"/>
  <c r="P612" i="6" s="1"/>
  <c r="N612" i="6"/>
  <c r="AA611" i="6"/>
  <c r="Z611" i="6"/>
  <c r="Q611" i="6"/>
  <c r="O611" i="6"/>
  <c r="P611" i="6" s="1"/>
  <c r="N611" i="6"/>
  <c r="AA610" i="6"/>
  <c r="Z610" i="6"/>
  <c r="Q610" i="6"/>
  <c r="O610" i="6"/>
  <c r="P610" i="6" s="1"/>
  <c r="N610" i="6"/>
  <c r="AA609" i="6"/>
  <c r="Z609" i="6"/>
  <c r="Q609" i="6"/>
  <c r="O609" i="6"/>
  <c r="P609" i="6" s="1"/>
  <c r="N609" i="6"/>
  <c r="AA608" i="6"/>
  <c r="Z608" i="6"/>
  <c r="Q608" i="6"/>
  <c r="O608" i="6"/>
  <c r="P608" i="6" s="1"/>
  <c r="N608" i="6"/>
  <c r="AA607" i="6"/>
  <c r="Z607" i="6"/>
  <c r="Q607" i="6"/>
  <c r="O607" i="6"/>
  <c r="P607" i="6" s="1"/>
  <c r="N607" i="6"/>
  <c r="AA606" i="6"/>
  <c r="Z606" i="6"/>
  <c r="Q606" i="6"/>
  <c r="O606" i="6"/>
  <c r="P606" i="6" s="1"/>
  <c r="N606" i="6"/>
  <c r="AA605" i="6"/>
  <c r="Z605" i="6"/>
  <c r="Q605" i="6"/>
  <c r="O605" i="6"/>
  <c r="P605" i="6" s="1"/>
  <c r="N605" i="6"/>
  <c r="AA604" i="6"/>
  <c r="Z604" i="6"/>
  <c r="Q604" i="6"/>
  <c r="O604" i="6"/>
  <c r="P604" i="6" s="1"/>
  <c r="N604" i="6"/>
  <c r="AA603" i="6"/>
  <c r="Z603" i="6"/>
  <c r="Q603" i="6"/>
  <c r="O603" i="6"/>
  <c r="P603" i="6" s="1"/>
  <c r="N603" i="6"/>
  <c r="AA602" i="6"/>
  <c r="Z602" i="6"/>
  <c r="Q602" i="6"/>
  <c r="O602" i="6"/>
  <c r="P602" i="6" s="1"/>
  <c r="N602" i="6"/>
  <c r="AA601" i="6"/>
  <c r="Z601" i="6"/>
  <c r="Q601" i="6"/>
  <c r="O601" i="6"/>
  <c r="P601" i="6" s="1"/>
  <c r="N601" i="6"/>
  <c r="AA600" i="6"/>
  <c r="Z600" i="6"/>
  <c r="Q600" i="6"/>
  <c r="O600" i="6"/>
  <c r="P600" i="6" s="1"/>
  <c r="N600" i="6"/>
  <c r="AA599" i="6"/>
  <c r="Z599" i="6"/>
  <c r="Q599" i="6"/>
  <c r="O599" i="6"/>
  <c r="P599" i="6" s="1"/>
  <c r="N599" i="6"/>
  <c r="AA598" i="6"/>
  <c r="Z598" i="6"/>
  <c r="Q598" i="6"/>
  <c r="O598" i="6"/>
  <c r="P598" i="6" s="1"/>
  <c r="N598" i="6"/>
  <c r="AA597" i="6"/>
  <c r="Z597" i="6"/>
  <c r="Q597" i="6"/>
  <c r="O597" i="6"/>
  <c r="P597" i="6" s="1"/>
  <c r="N597" i="6"/>
  <c r="AA596" i="6"/>
  <c r="Z596" i="6"/>
  <c r="Q596" i="6"/>
  <c r="O596" i="6"/>
  <c r="P596" i="6" s="1"/>
  <c r="N596" i="6"/>
  <c r="AA595" i="6"/>
  <c r="Z595" i="6"/>
  <c r="Q595" i="6"/>
  <c r="O595" i="6"/>
  <c r="P595" i="6" s="1"/>
  <c r="N595" i="6"/>
  <c r="AA594" i="6"/>
  <c r="Z594" i="6"/>
  <c r="Q594" i="6"/>
  <c r="O594" i="6"/>
  <c r="P594" i="6" s="1"/>
  <c r="N594" i="6"/>
  <c r="AA593" i="6"/>
  <c r="Z593" i="6"/>
  <c r="Q593" i="6"/>
  <c r="O593" i="6"/>
  <c r="P593" i="6" s="1"/>
  <c r="N593" i="6"/>
  <c r="AA592" i="6"/>
  <c r="Z592" i="6"/>
  <c r="Q592" i="6"/>
  <c r="O592" i="6"/>
  <c r="P592" i="6" s="1"/>
  <c r="N592" i="6"/>
  <c r="AA591" i="6"/>
  <c r="Z591" i="6"/>
  <c r="Q591" i="6"/>
  <c r="O591" i="6"/>
  <c r="P591" i="6" s="1"/>
  <c r="N591" i="6"/>
  <c r="AA590" i="6"/>
  <c r="Z590" i="6"/>
  <c r="Q590" i="6"/>
  <c r="O590" i="6"/>
  <c r="P590" i="6" s="1"/>
  <c r="N590" i="6"/>
  <c r="AA589" i="6"/>
  <c r="Z589" i="6"/>
  <c r="Q589" i="6"/>
  <c r="O589" i="6"/>
  <c r="P589" i="6" s="1"/>
  <c r="N589" i="6"/>
  <c r="AA588" i="6"/>
  <c r="Z588" i="6"/>
  <c r="Q588" i="6"/>
  <c r="O588" i="6"/>
  <c r="P588" i="6" s="1"/>
  <c r="N588" i="6"/>
  <c r="AA587" i="6"/>
  <c r="Z587" i="6"/>
  <c r="Q587" i="6"/>
  <c r="O587" i="6"/>
  <c r="P587" i="6" s="1"/>
  <c r="N587" i="6"/>
  <c r="AA586" i="6"/>
  <c r="Z586" i="6"/>
  <c r="Q586" i="6"/>
  <c r="O586" i="6"/>
  <c r="P586" i="6" s="1"/>
  <c r="N586" i="6"/>
  <c r="AA585" i="6"/>
  <c r="Z585" i="6"/>
  <c r="Q585" i="6"/>
  <c r="O585" i="6"/>
  <c r="P585" i="6" s="1"/>
  <c r="N585" i="6"/>
  <c r="AA584" i="6"/>
  <c r="Z584" i="6"/>
  <c r="Q584" i="6"/>
  <c r="O584" i="6"/>
  <c r="P584" i="6" s="1"/>
  <c r="N584" i="6"/>
  <c r="AA583" i="6"/>
  <c r="Z583" i="6"/>
  <c r="Q583" i="6"/>
  <c r="O583" i="6"/>
  <c r="P583" i="6" s="1"/>
  <c r="N583" i="6"/>
  <c r="AA582" i="6"/>
  <c r="Z582" i="6"/>
  <c r="Q582" i="6"/>
  <c r="O582" i="6"/>
  <c r="P582" i="6" s="1"/>
  <c r="N582" i="6"/>
  <c r="AA581" i="6"/>
  <c r="Z581" i="6"/>
  <c r="Q581" i="6"/>
  <c r="O581" i="6"/>
  <c r="P581" i="6" s="1"/>
  <c r="N581" i="6"/>
  <c r="AA580" i="6"/>
  <c r="Z580" i="6"/>
  <c r="Q580" i="6"/>
  <c r="O580" i="6"/>
  <c r="P580" i="6" s="1"/>
  <c r="N580" i="6"/>
  <c r="AA579" i="6"/>
  <c r="Z579" i="6"/>
  <c r="Q579" i="6"/>
  <c r="O579" i="6"/>
  <c r="P579" i="6" s="1"/>
  <c r="N579" i="6"/>
  <c r="AA578" i="6"/>
  <c r="Z578" i="6"/>
  <c r="Q578" i="6"/>
  <c r="O578" i="6"/>
  <c r="P578" i="6" s="1"/>
  <c r="N578" i="6"/>
  <c r="AA577" i="6"/>
  <c r="Z577" i="6"/>
  <c r="Q577" i="6"/>
  <c r="O577" i="6"/>
  <c r="P577" i="6" s="1"/>
  <c r="N577" i="6"/>
  <c r="AA576" i="6"/>
  <c r="Z576" i="6"/>
  <c r="Q576" i="6"/>
  <c r="O576" i="6"/>
  <c r="P576" i="6" s="1"/>
  <c r="N576" i="6"/>
  <c r="AA575" i="6"/>
  <c r="Z575" i="6"/>
  <c r="Q575" i="6"/>
  <c r="O575" i="6"/>
  <c r="P575" i="6" s="1"/>
  <c r="N575" i="6"/>
  <c r="AA574" i="6"/>
  <c r="Z574" i="6"/>
  <c r="Q574" i="6"/>
  <c r="O574" i="6"/>
  <c r="P574" i="6" s="1"/>
  <c r="N574" i="6"/>
  <c r="AA573" i="6"/>
  <c r="Z573" i="6"/>
  <c r="Q573" i="6"/>
  <c r="O573" i="6"/>
  <c r="P573" i="6" s="1"/>
  <c r="N573" i="6"/>
  <c r="AA572" i="6"/>
  <c r="Z572" i="6"/>
  <c r="Q572" i="6"/>
  <c r="O572" i="6"/>
  <c r="P572" i="6" s="1"/>
  <c r="N572" i="6"/>
  <c r="AA571" i="6"/>
  <c r="Z571" i="6"/>
  <c r="Q571" i="6"/>
  <c r="O571" i="6"/>
  <c r="P571" i="6" s="1"/>
  <c r="N571" i="6"/>
  <c r="AA570" i="6"/>
  <c r="Z570" i="6"/>
  <c r="Q570" i="6"/>
  <c r="O570" i="6"/>
  <c r="P570" i="6" s="1"/>
  <c r="N570" i="6"/>
  <c r="AA569" i="6"/>
  <c r="Z569" i="6"/>
  <c r="Q569" i="6"/>
  <c r="O569" i="6"/>
  <c r="P569" i="6" s="1"/>
  <c r="N569" i="6"/>
  <c r="AA568" i="6"/>
  <c r="Z568" i="6"/>
  <c r="Q568" i="6"/>
  <c r="O568" i="6"/>
  <c r="P568" i="6" s="1"/>
  <c r="N568" i="6"/>
  <c r="AA567" i="6"/>
  <c r="Z567" i="6"/>
  <c r="Q567" i="6"/>
  <c r="O567" i="6"/>
  <c r="P567" i="6" s="1"/>
  <c r="N567" i="6"/>
  <c r="AA566" i="6"/>
  <c r="Z566" i="6"/>
  <c r="Q566" i="6"/>
  <c r="O566" i="6"/>
  <c r="P566" i="6" s="1"/>
  <c r="N566" i="6"/>
  <c r="AA565" i="6"/>
  <c r="Z565" i="6"/>
  <c r="Q565" i="6"/>
  <c r="O565" i="6"/>
  <c r="P565" i="6" s="1"/>
  <c r="N565" i="6"/>
  <c r="AA564" i="6"/>
  <c r="Z564" i="6"/>
  <c r="Q564" i="6"/>
  <c r="O564" i="6"/>
  <c r="P564" i="6" s="1"/>
  <c r="N564" i="6"/>
  <c r="AA563" i="6"/>
  <c r="Z563" i="6"/>
  <c r="Q563" i="6"/>
  <c r="O563" i="6"/>
  <c r="P563" i="6" s="1"/>
  <c r="N563" i="6"/>
  <c r="AA562" i="6"/>
  <c r="Z562" i="6"/>
  <c r="Q562" i="6"/>
  <c r="O562" i="6"/>
  <c r="P562" i="6" s="1"/>
  <c r="N562" i="6"/>
  <c r="AA561" i="6"/>
  <c r="Z561" i="6"/>
  <c r="Q561" i="6"/>
  <c r="O561" i="6"/>
  <c r="P561" i="6" s="1"/>
  <c r="N561" i="6"/>
  <c r="AA560" i="6"/>
  <c r="Z560" i="6"/>
  <c r="Q560" i="6"/>
  <c r="O560" i="6"/>
  <c r="P560" i="6" s="1"/>
  <c r="N560" i="6"/>
  <c r="AA559" i="6"/>
  <c r="Z559" i="6"/>
  <c r="Q559" i="6"/>
  <c r="O559" i="6"/>
  <c r="P559" i="6" s="1"/>
  <c r="N559" i="6"/>
  <c r="AA558" i="6"/>
  <c r="Z558" i="6"/>
  <c r="Q558" i="6"/>
  <c r="O558" i="6"/>
  <c r="P558" i="6" s="1"/>
  <c r="N558" i="6"/>
  <c r="AA557" i="6"/>
  <c r="Z557" i="6"/>
  <c r="Q557" i="6"/>
  <c r="O557" i="6"/>
  <c r="P557" i="6" s="1"/>
  <c r="N557" i="6"/>
  <c r="AA556" i="6"/>
  <c r="Z556" i="6"/>
  <c r="Q556" i="6"/>
  <c r="O556" i="6"/>
  <c r="P556" i="6" s="1"/>
  <c r="N556" i="6"/>
  <c r="AA555" i="6"/>
  <c r="Z555" i="6"/>
  <c r="Q555" i="6"/>
  <c r="O555" i="6"/>
  <c r="P555" i="6" s="1"/>
  <c r="N555" i="6"/>
  <c r="AA554" i="6"/>
  <c r="Z554" i="6"/>
  <c r="Q554" i="6"/>
  <c r="O554" i="6"/>
  <c r="P554" i="6" s="1"/>
  <c r="N554" i="6"/>
  <c r="AA553" i="6"/>
  <c r="Z553" i="6"/>
  <c r="Q553" i="6"/>
  <c r="O553" i="6"/>
  <c r="P553" i="6" s="1"/>
  <c r="N553" i="6"/>
  <c r="AA552" i="6"/>
  <c r="Z552" i="6"/>
  <c r="Q552" i="6"/>
  <c r="O552" i="6"/>
  <c r="P552" i="6" s="1"/>
  <c r="N552" i="6"/>
  <c r="AA551" i="6"/>
  <c r="Z551" i="6"/>
  <c r="Q551" i="6"/>
  <c r="O551" i="6"/>
  <c r="P551" i="6" s="1"/>
  <c r="N551" i="6"/>
  <c r="AA550" i="6"/>
  <c r="Z550" i="6"/>
  <c r="Q550" i="6"/>
  <c r="O550" i="6"/>
  <c r="P550" i="6" s="1"/>
  <c r="N550" i="6"/>
  <c r="AA549" i="6"/>
  <c r="Z549" i="6"/>
  <c r="Q549" i="6"/>
  <c r="O549" i="6"/>
  <c r="P549" i="6" s="1"/>
  <c r="N549" i="6"/>
  <c r="AA548" i="6"/>
  <c r="Z548" i="6"/>
  <c r="Q548" i="6"/>
  <c r="O548" i="6"/>
  <c r="P548" i="6" s="1"/>
  <c r="N548" i="6"/>
  <c r="AA547" i="6"/>
  <c r="Z547" i="6"/>
  <c r="Q547" i="6"/>
  <c r="O547" i="6"/>
  <c r="P547" i="6" s="1"/>
  <c r="N547" i="6"/>
  <c r="AA546" i="6"/>
  <c r="Z546" i="6"/>
  <c r="Q546" i="6"/>
  <c r="O546" i="6"/>
  <c r="P546" i="6" s="1"/>
  <c r="N546" i="6"/>
  <c r="AA545" i="6"/>
  <c r="Z545" i="6"/>
  <c r="Q545" i="6"/>
  <c r="O545" i="6"/>
  <c r="P545" i="6" s="1"/>
  <c r="N545" i="6"/>
  <c r="AA544" i="6"/>
  <c r="Z544" i="6"/>
  <c r="Q544" i="6"/>
  <c r="O544" i="6"/>
  <c r="P544" i="6" s="1"/>
  <c r="N544" i="6"/>
  <c r="AA543" i="6"/>
  <c r="Z543" i="6"/>
  <c r="Q543" i="6"/>
  <c r="O543" i="6"/>
  <c r="P543" i="6" s="1"/>
  <c r="N543" i="6"/>
  <c r="AA542" i="6"/>
  <c r="Z542" i="6"/>
  <c r="Q542" i="6"/>
  <c r="O542" i="6"/>
  <c r="P542" i="6" s="1"/>
  <c r="N542" i="6"/>
  <c r="AA541" i="6"/>
  <c r="Z541" i="6"/>
  <c r="Q541" i="6"/>
  <c r="O541" i="6"/>
  <c r="P541" i="6" s="1"/>
  <c r="N541" i="6"/>
  <c r="AA540" i="6"/>
  <c r="Z540" i="6"/>
  <c r="Q540" i="6"/>
  <c r="O540" i="6"/>
  <c r="P540" i="6" s="1"/>
  <c r="N540" i="6"/>
  <c r="AA539" i="6"/>
  <c r="Z539" i="6"/>
  <c r="Q539" i="6"/>
  <c r="O539" i="6"/>
  <c r="P539" i="6" s="1"/>
  <c r="N539" i="6"/>
  <c r="AA538" i="6"/>
  <c r="Z538" i="6"/>
  <c r="Q538" i="6"/>
  <c r="O538" i="6"/>
  <c r="P538" i="6" s="1"/>
  <c r="N538" i="6"/>
  <c r="AA537" i="6"/>
  <c r="Z537" i="6"/>
  <c r="Q537" i="6"/>
  <c r="O537" i="6"/>
  <c r="P537" i="6" s="1"/>
  <c r="N537" i="6"/>
  <c r="AA536" i="6"/>
  <c r="Z536" i="6"/>
  <c r="Q536" i="6"/>
  <c r="O536" i="6"/>
  <c r="P536" i="6" s="1"/>
  <c r="N536" i="6"/>
  <c r="AA535" i="6"/>
  <c r="Z535" i="6"/>
  <c r="Q535" i="6"/>
  <c r="O535" i="6"/>
  <c r="P535" i="6" s="1"/>
  <c r="N535" i="6"/>
  <c r="AA534" i="6"/>
  <c r="Z534" i="6"/>
  <c r="Q534" i="6"/>
  <c r="O534" i="6"/>
  <c r="P534" i="6" s="1"/>
  <c r="N534" i="6"/>
  <c r="AA533" i="6"/>
  <c r="Z533" i="6"/>
  <c r="Q533" i="6"/>
  <c r="O533" i="6"/>
  <c r="P533" i="6" s="1"/>
  <c r="N533" i="6"/>
  <c r="AA532" i="6"/>
  <c r="Z532" i="6"/>
  <c r="Q532" i="6"/>
  <c r="O532" i="6"/>
  <c r="P532" i="6" s="1"/>
  <c r="N532" i="6"/>
  <c r="AA531" i="6"/>
  <c r="Z531" i="6"/>
  <c r="Q531" i="6"/>
  <c r="O531" i="6"/>
  <c r="P531" i="6" s="1"/>
  <c r="N531" i="6"/>
  <c r="AA530" i="6"/>
  <c r="Z530" i="6"/>
  <c r="Q530" i="6"/>
  <c r="O530" i="6"/>
  <c r="P530" i="6" s="1"/>
  <c r="N530" i="6"/>
  <c r="AA529" i="6"/>
  <c r="Z529" i="6"/>
  <c r="Q529" i="6"/>
  <c r="O529" i="6"/>
  <c r="P529" i="6" s="1"/>
  <c r="N529" i="6"/>
  <c r="AA528" i="6"/>
  <c r="Z528" i="6"/>
  <c r="Q528" i="6"/>
  <c r="O528" i="6"/>
  <c r="P528" i="6" s="1"/>
  <c r="N528" i="6"/>
  <c r="AA527" i="6"/>
  <c r="Z527" i="6"/>
  <c r="Q527" i="6"/>
  <c r="O527" i="6"/>
  <c r="P527" i="6" s="1"/>
  <c r="N527" i="6"/>
  <c r="AA526" i="6"/>
  <c r="Z526" i="6"/>
  <c r="Q526" i="6"/>
  <c r="O526" i="6"/>
  <c r="P526" i="6" s="1"/>
  <c r="N526" i="6"/>
  <c r="AA525" i="6"/>
  <c r="Z525" i="6"/>
  <c r="Q525" i="6"/>
  <c r="O525" i="6"/>
  <c r="P525" i="6" s="1"/>
  <c r="N525" i="6"/>
  <c r="AA524" i="6"/>
  <c r="Z524" i="6"/>
  <c r="Q524" i="6"/>
  <c r="O524" i="6"/>
  <c r="P524" i="6" s="1"/>
  <c r="N524" i="6"/>
  <c r="AA523" i="6"/>
  <c r="Z523" i="6"/>
  <c r="Q523" i="6"/>
  <c r="O523" i="6"/>
  <c r="P523" i="6" s="1"/>
  <c r="N523" i="6"/>
  <c r="AA522" i="6"/>
  <c r="Z522" i="6"/>
  <c r="Q522" i="6"/>
  <c r="O522" i="6"/>
  <c r="P522" i="6" s="1"/>
  <c r="N522" i="6"/>
  <c r="AA521" i="6"/>
  <c r="Z521" i="6"/>
  <c r="Q521" i="6"/>
  <c r="O521" i="6"/>
  <c r="P521" i="6" s="1"/>
  <c r="N521" i="6"/>
  <c r="AA520" i="6"/>
  <c r="Z520" i="6"/>
  <c r="Q520" i="6"/>
  <c r="O520" i="6"/>
  <c r="P520" i="6" s="1"/>
  <c r="N520" i="6"/>
  <c r="AA519" i="6"/>
  <c r="Z519" i="6"/>
  <c r="Q519" i="6"/>
  <c r="O519" i="6"/>
  <c r="P519" i="6" s="1"/>
  <c r="N519" i="6"/>
  <c r="AA518" i="6"/>
  <c r="Z518" i="6"/>
  <c r="Q518" i="6"/>
  <c r="O518" i="6"/>
  <c r="P518" i="6" s="1"/>
  <c r="N518" i="6"/>
  <c r="AA517" i="6"/>
  <c r="Z517" i="6"/>
  <c r="Q517" i="6"/>
  <c r="O517" i="6"/>
  <c r="P517" i="6" s="1"/>
  <c r="N517" i="6"/>
  <c r="AA516" i="6"/>
  <c r="Z516" i="6"/>
  <c r="Q516" i="6"/>
  <c r="O516" i="6"/>
  <c r="P516" i="6" s="1"/>
  <c r="N516" i="6"/>
  <c r="AA515" i="6"/>
  <c r="Z515" i="6"/>
  <c r="Q515" i="6"/>
  <c r="O515" i="6"/>
  <c r="P515" i="6" s="1"/>
  <c r="N515" i="6"/>
  <c r="AA514" i="6"/>
  <c r="Z514" i="6"/>
  <c r="Q514" i="6"/>
  <c r="O514" i="6"/>
  <c r="P514" i="6" s="1"/>
  <c r="N514" i="6"/>
  <c r="AA513" i="6"/>
  <c r="Z513" i="6"/>
  <c r="Q513" i="6"/>
  <c r="O513" i="6"/>
  <c r="P513" i="6" s="1"/>
  <c r="N513" i="6"/>
  <c r="AA512" i="6"/>
  <c r="Z512" i="6"/>
  <c r="Q512" i="6"/>
  <c r="O512" i="6"/>
  <c r="P512" i="6" s="1"/>
  <c r="N512" i="6"/>
  <c r="AA511" i="6"/>
  <c r="Z511" i="6"/>
  <c r="Q511" i="6"/>
  <c r="O511" i="6"/>
  <c r="P511" i="6" s="1"/>
  <c r="N511" i="6"/>
  <c r="AA510" i="6"/>
  <c r="Z510" i="6"/>
  <c r="Q510" i="6"/>
  <c r="O510" i="6"/>
  <c r="P510" i="6" s="1"/>
  <c r="N510" i="6"/>
  <c r="AA509" i="6"/>
  <c r="Z509" i="6"/>
  <c r="Q509" i="6"/>
  <c r="O509" i="6"/>
  <c r="P509" i="6" s="1"/>
  <c r="N509" i="6"/>
  <c r="AA508" i="6"/>
  <c r="Z508" i="6"/>
  <c r="Q508" i="6"/>
  <c r="O508" i="6"/>
  <c r="P508" i="6" s="1"/>
  <c r="N508" i="6"/>
  <c r="AA507" i="6"/>
  <c r="Z507" i="6"/>
  <c r="Q507" i="6"/>
  <c r="O507" i="6"/>
  <c r="P507" i="6" s="1"/>
  <c r="N507" i="6"/>
  <c r="AA506" i="6"/>
  <c r="Z506" i="6"/>
  <c r="Q506" i="6"/>
  <c r="O506" i="6"/>
  <c r="P506" i="6" s="1"/>
  <c r="N506" i="6"/>
  <c r="AA505" i="6"/>
  <c r="Z505" i="6"/>
  <c r="Q505" i="6"/>
  <c r="O505" i="6"/>
  <c r="P505" i="6" s="1"/>
  <c r="N505" i="6"/>
  <c r="AA504" i="6"/>
  <c r="Z504" i="6"/>
  <c r="Q504" i="6"/>
  <c r="O504" i="6"/>
  <c r="P504" i="6" s="1"/>
  <c r="N504" i="6"/>
  <c r="AA503" i="6"/>
  <c r="Z503" i="6"/>
  <c r="Q503" i="6"/>
  <c r="O503" i="6"/>
  <c r="P503" i="6" s="1"/>
  <c r="N503" i="6"/>
  <c r="AA502" i="6"/>
  <c r="Z502" i="6"/>
  <c r="Q502" i="6"/>
  <c r="O502" i="6"/>
  <c r="P502" i="6" s="1"/>
  <c r="N502" i="6"/>
  <c r="AA501" i="6"/>
  <c r="Z501" i="6"/>
  <c r="Q501" i="6"/>
  <c r="O501" i="6"/>
  <c r="P501" i="6" s="1"/>
  <c r="N501" i="6"/>
  <c r="AA500" i="6"/>
  <c r="Z500" i="6"/>
  <c r="Q500" i="6"/>
  <c r="O500" i="6"/>
  <c r="P500" i="6" s="1"/>
  <c r="N500" i="6"/>
  <c r="AA499" i="6"/>
  <c r="Z499" i="6"/>
  <c r="Q499" i="6"/>
  <c r="O499" i="6"/>
  <c r="P499" i="6" s="1"/>
  <c r="N499" i="6"/>
  <c r="AA498" i="6"/>
  <c r="Z498" i="6"/>
  <c r="Q498" i="6"/>
  <c r="O498" i="6"/>
  <c r="P498" i="6" s="1"/>
  <c r="N498" i="6"/>
  <c r="AA497" i="6"/>
  <c r="Z497" i="6"/>
  <c r="Q497" i="6"/>
  <c r="O497" i="6"/>
  <c r="P497" i="6" s="1"/>
  <c r="N497" i="6"/>
  <c r="AA496" i="6"/>
  <c r="Z496" i="6"/>
  <c r="Q496" i="6"/>
  <c r="O496" i="6"/>
  <c r="P496" i="6" s="1"/>
  <c r="N496" i="6"/>
  <c r="AA495" i="6"/>
  <c r="Z495" i="6"/>
  <c r="Q495" i="6"/>
  <c r="O495" i="6"/>
  <c r="P495" i="6" s="1"/>
  <c r="N495" i="6"/>
  <c r="AA494" i="6"/>
  <c r="Z494" i="6"/>
  <c r="Q494" i="6"/>
  <c r="O494" i="6"/>
  <c r="P494" i="6" s="1"/>
  <c r="N494" i="6"/>
  <c r="AA493" i="6"/>
  <c r="Z493" i="6"/>
  <c r="Q493" i="6"/>
  <c r="O493" i="6"/>
  <c r="P493" i="6" s="1"/>
  <c r="N493" i="6"/>
  <c r="AA492" i="6"/>
  <c r="Z492" i="6"/>
  <c r="Q492" i="6"/>
  <c r="O492" i="6"/>
  <c r="P492" i="6" s="1"/>
  <c r="N492" i="6"/>
  <c r="AA491" i="6"/>
  <c r="Z491" i="6"/>
  <c r="Q491" i="6"/>
  <c r="O491" i="6"/>
  <c r="P491" i="6" s="1"/>
  <c r="N491" i="6"/>
  <c r="AA490" i="6"/>
  <c r="Z490" i="6"/>
  <c r="Q490" i="6"/>
  <c r="O490" i="6"/>
  <c r="P490" i="6" s="1"/>
  <c r="N490" i="6"/>
  <c r="AA489" i="6"/>
  <c r="Z489" i="6"/>
  <c r="Q489" i="6"/>
  <c r="O489" i="6"/>
  <c r="P489" i="6" s="1"/>
  <c r="N489" i="6"/>
  <c r="AA488" i="6"/>
  <c r="Z488" i="6"/>
  <c r="Q488" i="6"/>
  <c r="O488" i="6"/>
  <c r="P488" i="6" s="1"/>
  <c r="N488" i="6"/>
  <c r="AA487" i="6"/>
  <c r="Z487" i="6"/>
  <c r="Q487" i="6"/>
  <c r="O487" i="6"/>
  <c r="P487" i="6" s="1"/>
  <c r="N487" i="6"/>
  <c r="AA486" i="6"/>
  <c r="Z486" i="6"/>
  <c r="Q486" i="6"/>
  <c r="O486" i="6"/>
  <c r="P486" i="6" s="1"/>
  <c r="N486" i="6"/>
  <c r="AA485" i="6"/>
  <c r="Z485" i="6"/>
  <c r="Q485" i="6"/>
  <c r="O485" i="6"/>
  <c r="P485" i="6" s="1"/>
  <c r="N485" i="6"/>
  <c r="AA484" i="6"/>
  <c r="Z484" i="6"/>
  <c r="Q484" i="6"/>
  <c r="O484" i="6"/>
  <c r="P484" i="6" s="1"/>
  <c r="N484" i="6"/>
  <c r="AA483" i="6"/>
  <c r="Z483" i="6"/>
  <c r="Q483" i="6"/>
  <c r="O483" i="6"/>
  <c r="P483" i="6" s="1"/>
  <c r="N483" i="6"/>
  <c r="AA482" i="6"/>
  <c r="Z482" i="6"/>
  <c r="Q482" i="6"/>
  <c r="O482" i="6"/>
  <c r="P482" i="6" s="1"/>
  <c r="N482" i="6"/>
  <c r="AA481" i="6"/>
  <c r="Z481" i="6"/>
  <c r="Q481" i="6"/>
  <c r="O481" i="6"/>
  <c r="P481" i="6" s="1"/>
  <c r="N481" i="6"/>
  <c r="AA480" i="6"/>
  <c r="Z480" i="6"/>
  <c r="Q480" i="6"/>
  <c r="O480" i="6"/>
  <c r="P480" i="6" s="1"/>
  <c r="N480" i="6"/>
  <c r="AA479" i="6"/>
  <c r="Z479" i="6"/>
  <c r="Q479" i="6"/>
  <c r="O479" i="6"/>
  <c r="P479" i="6" s="1"/>
  <c r="N479" i="6"/>
  <c r="AA478" i="6"/>
  <c r="Z478" i="6"/>
  <c r="Q478" i="6"/>
  <c r="O478" i="6"/>
  <c r="P478" i="6" s="1"/>
  <c r="N478" i="6"/>
  <c r="AA477" i="6"/>
  <c r="Z477" i="6"/>
  <c r="Q477" i="6"/>
  <c r="O477" i="6"/>
  <c r="P477" i="6" s="1"/>
  <c r="N477" i="6"/>
  <c r="AA476" i="6"/>
  <c r="Z476" i="6"/>
  <c r="Q476" i="6"/>
  <c r="O476" i="6"/>
  <c r="P476" i="6" s="1"/>
  <c r="N476" i="6"/>
  <c r="AA475" i="6"/>
  <c r="Z475" i="6"/>
  <c r="Q475" i="6"/>
  <c r="O475" i="6"/>
  <c r="P475" i="6" s="1"/>
  <c r="N475" i="6"/>
  <c r="AA474" i="6"/>
  <c r="Z474" i="6"/>
  <c r="Q474" i="6"/>
  <c r="O474" i="6"/>
  <c r="P474" i="6" s="1"/>
  <c r="N474" i="6"/>
  <c r="AA473" i="6"/>
  <c r="Z473" i="6"/>
  <c r="Q473" i="6"/>
  <c r="O473" i="6"/>
  <c r="P473" i="6" s="1"/>
  <c r="N473" i="6"/>
  <c r="AA472" i="6"/>
  <c r="Z472" i="6"/>
  <c r="Q472" i="6"/>
  <c r="O472" i="6"/>
  <c r="P472" i="6" s="1"/>
  <c r="N472" i="6"/>
  <c r="AA471" i="6"/>
  <c r="Z471" i="6"/>
  <c r="Q471" i="6"/>
  <c r="O471" i="6"/>
  <c r="P471" i="6" s="1"/>
  <c r="N471" i="6"/>
  <c r="AA470" i="6"/>
  <c r="Z470" i="6"/>
  <c r="Q470" i="6"/>
  <c r="O470" i="6"/>
  <c r="P470" i="6" s="1"/>
  <c r="N470" i="6"/>
  <c r="AA469" i="6"/>
  <c r="Z469" i="6"/>
  <c r="Q469" i="6"/>
  <c r="O469" i="6"/>
  <c r="P469" i="6" s="1"/>
  <c r="N469" i="6"/>
  <c r="AA468" i="6"/>
  <c r="Z468" i="6"/>
  <c r="Q468" i="6"/>
  <c r="O468" i="6"/>
  <c r="P468" i="6" s="1"/>
  <c r="N468" i="6"/>
  <c r="AA467" i="6"/>
  <c r="Z467" i="6"/>
  <c r="Q467" i="6"/>
  <c r="O467" i="6"/>
  <c r="P467" i="6" s="1"/>
  <c r="N467" i="6"/>
  <c r="AA466" i="6"/>
  <c r="Z466" i="6"/>
  <c r="Q466" i="6"/>
  <c r="O466" i="6"/>
  <c r="P466" i="6" s="1"/>
  <c r="N466" i="6"/>
  <c r="AA465" i="6"/>
  <c r="Z465" i="6"/>
  <c r="Q465" i="6"/>
  <c r="O465" i="6"/>
  <c r="P465" i="6" s="1"/>
  <c r="N465" i="6"/>
  <c r="AA464" i="6"/>
  <c r="Z464" i="6"/>
  <c r="Q464" i="6"/>
  <c r="O464" i="6"/>
  <c r="P464" i="6" s="1"/>
  <c r="N464" i="6"/>
  <c r="AA463" i="6"/>
  <c r="Z463" i="6"/>
  <c r="Q463" i="6"/>
  <c r="O463" i="6"/>
  <c r="P463" i="6" s="1"/>
  <c r="N463" i="6"/>
  <c r="AA462" i="6"/>
  <c r="Z462" i="6"/>
  <c r="Q462" i="6"/>
  <c r="O462" i="6"/>
  <c r="P462" i="6" s="1"/>
  <c r="N462" i="6"/>
  <c r="AA461" i="6"/>
  <c r="Z461" i="6"/>
  <c r="Q461" i="6"/>
  <c r="O461" i="6"/>
  <c r="P461" i="6" s="1"/>
  <c r="N461" i="6"/>
  <c r="AA460" i="6"/>
  <c r="Z460" i="6"/>
  <c r="Q460" i="6"/>
  <c r="O460" i="6"/>
  <c r="P460" i="6" s="1"/>
  <c r="N460" i="6"/>
  <c r="AA459" i="6"/>
  <c r="Z459" i="6"/>
  <c r="Q459" i="6"/>
  <c r="O459" i="6"/>
  <c r="P459" i="6" s="1"/>
  <c r="N459" i="6"/>
  <c r="AA458" i="6"/>
  <c r="Z458" i="6"/>
  <c r="Q458" i="6"/>
  <c r="O458" i="6"/>
  <c r="P458" i="6" s="1"/>
  <c r="N458" i="6"/>
  <c r="AA457" i="6"/>
  <c r="Z457" i="6"/>
  <c r="Q457" i="6"/>
  <c r="O457" i="6"/>
  <c r="P457" i="6" s="1"/>
  <c r="N457" i="6"/>
  <c r="AA456" i="6"/>
  <c r="Z456" i="6"/>
  <c r="Q456" i="6"/>
  <c r="O456" i="6"/>
  <c r="P456" i="6" s="1"/>
  <c r="N456" i="6"/>
  <c r="AA455" i="6"/>
  <c r="Z455" i="6"/>
  <c r="Q455" i="6"/>
  <c r="O455" i="6"/>
  <c r="P455" i="6" s="1"/>
  <c r="N455" i="6"/>
  <c r="AA454" i="6"/>
  <c r="Z454" i="6"/>
  <c r="Q454" i="6"/>
  <c r="O454" i="6"/>
  <c r="P454" i="6" s="1"/>
  <c r="N454" i="6"/>
  <c r="AA453" i="6"/>
  <c r="Z453" i="6"/>
  <c r="Q453" i="6"/>
  <c r="O453" i="6"/>
  <c r="P453" i="6" s="1"/>
  <c r="N453" i="6"/>
  <c r="AA452" i="6"/>
  <c r="Z452" i="6"/>
  <c r="Q452" i="6"/>
  <c r="O452" i="6"/>
  <c r="P452" i="6" s="1"/>
  <c r="N452" i="6"/>
  <c r="AA451" i="6"/>
  <c r="Z451" i="6"/>
  <c r="Q451" i="6"/>
  <c r="O451" i="6"/>
  <c r="P451" i="6" s="1"/>
  <c r="N451" i="6"/>
  <c r="AA450" i="6"/>
  <c r="Z450" i="6"/>
  <c r="Q450" i="6"/>
  <c r="O450" i="6"/>
  <c r="P450" i="6" s="1"/>
  <c r="N450" i="6"/>
  <c r="AA449" i="6"/>
  <c r="Z449" i="6"/>
  <c r="Q449" i="6"/>
  <c r="O449" i="6"/>
  <c r="P449" i="6" s="1"/>
  <c r="N449" i="6"/>
  <c r="AA448" i="6"/>
  <c r="Z448" i="6"/>
  <c r="Q448" i="6"/>
  <c r="O448" i="6"/>
  <c r="P448" i="6" s="1"/>
  <c r="N448" i="6"/>
  <c r="AA447" i="6"/>
  <c r="Z447" i="6"/>
  <c r="Q447" i="6"/>
  <c r="O447" i="6"/>
  <c r="P447" i="6" s="1"/>
  <c r="N447" i="6"/>
  <c r="AA446" i="6"/>
  <c r="Z446" i="6"/>
  <c r="Q446" i="6"/>
  <c r="O446" i="6"/>
  <c r="P446" i="6" s="1"/>
  <c r="N446" i="6"/>
  <c r="AA445" i="6"/>
  <c r="Z445" i="6"/>
  <c r="Q445" i="6"/>
  <c r="O445" i="6"/>
  <c r="P445" i="6" s="1"/>
  <c r="N445" i="6"/>
  <c r="AA444" i="6"/>
  <c r="Z444" i="6"/>
  <c r="Q444" i="6"/>
  <c r="O444" i="6"/>
  <c r="P444" i="6" s="1"/>
  <c r="N444" i="6"/>
  <c r="AA443" i="6"/>
  <c r="Z443" i="6"/>
  <c r="Q443" i="6"/>
  <c r="O443" i="6"/>
  <c r="P443" i="6" s="1"/>
  <c r="N443" i="6"/>
  <c r="AA442" i="6"/>
  <c r="Z442" i="6"/>
  <c r="Q442" i="6"/>
  <c r="O442" i="6"/>
  <c r="P442" i="6" s="1"/>
  <c r="N442" i="6"/>
  <c r="AA441" i="6"/>
  <c r="Z441" i="6"/>
  <c r="Q441" i="6"/>
  <c r="O441" i="6"/>
  <c r="P441" i="6" s="1"/>
  <c r="N441" i="6"/>
  <c r="AA440" i="6"/>
  <c r="Z440" i="6"/>
  <c r="Q440" i="6"/>
  <c r="O440" i="6"/>
  <c r="P440" i="6" s="1"/>
  <c r="N440" i="6"/>
  <c r="AA439" i="6"/>
  <c r="Z439" i="6"/>
  <c r="Q439" i="6"/>
  <c r="O439" i="6"/>
  <c r="P439" i="6" s="1"/>
  <c r="N439" i="6"/>
  <c r="AA438" i="6"/>
  <c r="Z438" i="6"/>
  <c r="Q438" i="6"/>
  <c r="O438" i="6"/>
  <c r="P438" i="6" s="1"/>
  <c r="N438" i="6"/>
  <c r="AA437" i="6"/>
  <c r="Z437" i="6"/>
  <c r="Q437" i="6"/>
  <c r="O437" i="6"/>
  <c r="P437" i="6" s="1"/>
  <c r="N437" i="6"/>
  <c r="AA436" i="6"/>
  <c r="Z436" i="6"/>
  <c r="Q436" i="6"/>
  <c r="O436" i="6"/>
  <c r="P436" i="6" s="1"/>
  <c r="N436" i="6"/>
  <c r="AA435" i="6"/>
  <c r="Z435" i="6"/>
  <c r="Q435" i="6"/>
  <c r="O435" i="6"/>
  <c r="P435" i="6" s="1"/>
  <c r="N435" i="6"/>
  <c r="AA434" i="6"/>
  <c r="Z434" i="6"/>
  <c r="Q434" i="6"/>
  <c r="O434" i="6"/>
  <c r="P434" i="6" s="1"/>
  <c r="N434" i="6"/>
  <c r="AA433" i="6"/>
  <c r="Z433" i="6"/>
  <c r="Q433" i="6"/>
  <c r="O433" i="6"/>
  <c r="P433" i="6" s="1"/>
  <c r="N433" i="6"/>
  <c r="AA432" i="6"/>
  <c r="Z432" i="6"/>
  <c r="Q432" i="6"/>
  <c r="O432" i="6"/>
  <c r="P432" i="6" s="1"/>
  <c r="N432" i="6"/>
  <c r="AA431" i="6"/>
  <c r="Z431" i="6"/>
  <c r="Q431" i="6"/>
  <c r="O431" i="6"/>
  <c r="P431" i="6" s="1"/>
  <c r="N431" i="6"/>
  <c r="AA430" i="6"/>
  <c r="Z430" i="6"/>
  <c r="Q430" i="6"/>
  <c r="O430" i="6"/>
  <c r="P430" i="6" s="1"/>
  <c r="N430" i="6"/>
  <c r="AA429" i="6"/>
  <c r="Z429" i="6"/>
  <c r="Q429" i="6"/>
  <c r="O429" i="6"/>
  <c r="P429" i="6" s="1"/>
  <c r="N429" i="6"/>
  <c r="AA428" i="6"/>
  <c r="Z428" i="6"/>
  <c r="Q428" i="6"/>
  <c r="O428" i="6"/>
  <c r="P428" i="6" s="1"/>
  <c r="N428" i="6"/>
  <c r="AA427" i="6"/>
  <c r="Z427" i="6"/>
  <c r="Q427" i="6"/>
  <c r="O427" i="6"/>
  <c r="P427" i="6" s="1"/>
  <c r="N427" i="6"/>
  <c r="AA426" i="6"/>
  <c r="Z426" i="6"/>
  <c r="Q426" i="6"/>
  <c r="O426" i="6"/>
  <c r="P426" i="6" s="1"/>
  <c r="N426" i="6"/>
  <c r="AA425" i="6"/>
  <c r="Z425" i="6"/>
  <c r="Q425" i="6"/>
  <c r="O425" i="6"/>
  <c r="P425" i="6" s="1"/>
  <c r="N425" i="6"/>
  <c r="AA424" i="6"/>
  <c r="Z424" i="6"/>
  <c r="Q424" i="6"/>
  <c r="O424" i="6"/>
  <c r="P424" i="6" s="1"/>
  <c r="N424" i="6"/>
  <c r="AA423" i="6"/>
  <c r="Z423" i="6"/>
  <c r="Q423" i="6"/>
  <c r="O423" i="6"/>
  <c r="P423" i="6" s="1"/>
  <c r="N423" i="6"/>
  <c r="AA422" i="6"/>
  <c r="Z422" i="6"/>
  <c r="Q422" i="6"/>
  <c r="O422" i="6"/>
  <c r="P422" i="6" s="1"/>
  <c r="N422" i="6"/>
  <c r="AA421" i="6"/>
  <c r="Z421" i="6"/>
  <c r="Q421" i="6"/>
  <c r="O421" i="6"/>
  <c r="P421" i="6" s="1"/>
  <c r="N421" i="6"/>
  <c r="AA420" i="6"/>
  <c r="Z420" i="6"/>
  <c r="Q420" i="6"/>
  <c r="O420" i="6"/>
  <c r="P420" i="6" s="1"/>
  <c r="N420" i="6"/>
  <c r="AA419" i="6"/>
  <c r="Z419" i="6"/>
  <c r="Q419" i="6"/>
  <c r="O419" i="6"/>
  <c r="P419" i="6" s="1"/>
  <c r="N419" i="6"/>
  <c r="AA418" i="6"/>
  <c r="Z418" i="6"/>
  <c r="Q418" i="6"/>
  <c r="O418" i="6"/>
  <c r="P418" i="6" s="1"/>
  <c r="N418" i="6"/>
  <c r="AA417" i="6"/>
  <c r="Z417" i="6"/>
  <c r="Q417" i="6"/>
  <c r="O417" i="6"/>
  <c r="P417" i="6" s="1"/>
  <c r="N417" i="6"/>
  <c r="AA416" i="6"/>
  <c r="Z416" i="6"/>
  <c r="Q416" i="6"/>
  <c r="O416" i="6"/>
  <c r="P416" i="6" s="1"/>
  <c r="N416" i="6"/>
  <c r="AA415" i="6"/>
  <c r="Z415" i="6"/>
  <c r="Q415" i="6"/>
  <c r="O415" i="6"/>
  <c r="P415" i="6" s="1"/>
  <c r="N415" i="6"/>
  <c r="AA414" i="6"/>
  <c r="Z414" i="6"/>
  <c r="Q414" i="6"/>
  <c r="O414" i="6"/>
  <c r="P414" i="6" s="1"/>
  <c r="N414" i="6"/>
  <c r="AA413" i="6"/>
  <c r="Z413" i="6"/>
  <c r="Q413" i="6"/>
  <c r="O413" i="6"/>
  <c r="P413" i="6" s="1"/>
  <c r="N413" i="6"/>
  <c r="AA412" i="6"/>
  <c r="Z412" i="6"/>
  <c r="Q412" i="6"/>
  <c r="O412" i="6"/>
  <c r="P412" i="6" s="1"/>
  <c r="N412" i="6"/>
  <c r="AA411" i="6"/>
  <c r="Z411" i="6"/>
  <c r="Q411" i="6"/>
  <c r="O411" i="6"/>
  <c r="P411" i="6" s="1"/>
  <c r="N411" i="6"/>
  <c r="AA410" i="6"/>
  <c r="Z410" i="6"/>
  <c r="Q410" i="6"/>
  <c r="O410" i="6"/>
  <c r="P410" i="6" s="1"/>
  <c r="N410" i="6"/>
  <c r="AA409" i="6"/>
  <c r="Z409" i="6"/>
  <c r="Q409" i="6"/>
  <c r="O409" i="6"/>
  <c r="P409" i="6" s="1"/>
  <c r="N409" i="6"/>
  <c r="AA408" i="6"/>
  <c r="Z408" i="6"/>
  <c r="Q408" i="6"/>
  <c r="O408" i="6"/>
  <c r="P408" i="6" s="1"/>
  <c r="N408" i="6"/>
  <c r="AA407" i="6"/>
  <c r="Z407" i="6"/>
  <c r="Q407" i="6"/>
  <c r="O407" i="6"/>
  <c r="P407" i="6" s="1"/>
  <c r="N407" i="6"/>
  <c r="AA406" i="6"/>
  <c r="Z406" i="6"/>
  <c r="Q406" i="6"/>
  <c r="O406" i="6"/>
  <c r="P406" i="6" s="1"/>
  <c r="N406" i="6"/>
  <c r="AA405" i="6"/>
  <c r="Z405" i="6"/>
  <c r="Q405" i="6"/>
  <c r="O405" i="6"/>
  <c r="P405" i="6" s="1"/>
  <c r="N405" i="6"/>
  <c r="AA404" i="6"/>
  <c r="Z404" i="6"/>
  <c r="Q404" i="6"/>
  <c r="O404" i="6"/>
  <c r="P404" i="6" s="1"/>
  <c r="N404" i="6"/>
  <c r="AA403" i="6"/>
  <c r="Z403" i="6"/>
  <c r="Q403" i="6"/>
  <c r="O403" i="6"/>
  <c r="P403" i="6" s="1"/>
  <c r="N403" i="6"/>
  <c r="AA402" i="6"/>
  <c r="Z402" i="6"/>
  <c r="Q402" i="6"/>
  <c r="O402" i="6"/>
  <c r="P402" i="6" s="1"/>
  <c r="N402" i="6"/>
  <c r="AA401" i="6"/>
  <c r="Z401" i="6"/>
  <c r="Q401" i="6"/>
  <c r="O401" i="6"/>
  <c r="P401" i="6" s="1"/>
  <c r="N401" i="6"/>
  <c r="AA400" i="6"/>
  <c r="Z400" i="6"/>
  <c r="Q400" i="6"/>
  <c r="O400" i="6"/>
  <c r="P400" i="6" s="1"/>
  <c r="N400" i="6"/>
  <c r="AA399" i="6"/>
  <c r="Z399" i="6"/>
  <c r="Q399" i="6"/>
  <c r="O399" i="6"/>
  <c r="P399" i="6" s="1"/>
  <c r="N399" i="6"/>
  <c r="AA398" i="6"/>
  <c r="Z398" i="6"/>
  <c r="Q398" i="6"/>
  <c r="O398" i="6"/>
  <c r="P398" i="6" s="1"/>
  <c r="N398" i="6"/>
  <c r="AA397" i="6"/>
  <c r="Z397" i="6"/>
  <c r="Q397" i="6"/>
  <c r="O397" i="6"/>
  <c r="P397" i="6" s="1"/>
  <c r="N397" i="6"/>
  <c r="AA396" i="6"/>
  <c r="Z396" i="6"/>
  <c r="Q396" i="6"/>
  <c r="O396" i="6"/>
  <c r="P396" i="6" s="1"/>
  <c r="N396" i="6"/>
  <c r="AA395" i="6"/>
  <c r="Z395" i="6"/>
  <c r="Q395" i="6"/>
  <c r="O395" i="6"/>
  <c r="P395" i="6" s="1"/>
  <c r="N395" i="6"/>
  <c r="AA394" i="6"/>
  <c r="Z394" i="6"/>
  <c r="Q394" i="6"/>
  <c r="O394" i="6"/>
  <c r="P394" i="6" s="1"/>
  <c r="N394" i="6"/>
  <c r="AA393" i="6"/>
  <c r="Z393" i="6"/>
  <c r="Q393" i="6"/>
  <c r="O393" i="6"/>
  <c r="P393" i="6" s="1"/>
  <c r="N393" i="6"/>
  <c r="AA392" i="6"/>
  <c r="Z392" i="6"/>
  <c r="Q392" i="6"/>
  <c r="O392" i="6"/>
  <c r="P392" i="6" s="1"/>
  <c r="N392" i="6"/>
  <c r="AA391" i="6"/>
  <c r="Z391" i="6"/>
  <c r="Q391" i="6"/>
  <c r="O391" i="6"/>
  <c r="P391" i="6" s="1"/>
  <c r="N391" i="6"/>
  <c r="AA390" i="6"/>
  <c r="Z390" i="6"/>
  <c r="Q390" i="6"/>
  <c r="O390" i="6"/>
  <c r="P390" i="6" s="1"/>
  <c r="N390" i="6"/>
  <c r="AA389" i="6"/>
  <c r="Z389" i="6"/>
  <c r="Q389" i="6"/>
  <c r="O389" i="6"/>
  <c r="P389" i="6" s="1"/>
  <c r="N389" i="6"/>
  <c r="AA388" i="6"/>
  <c r="Z388" i="6"/>
  <c r="Q388" i="6"/>
  <c r="O388" i="6"/>
  <c r="P388" i="6" s="1"/>
  <c r="N388" i="6"/>
  <c r="AA387" i="6"/>
  <c r="Z387" i="6"/>
  <c r="Q387" i="6"/>
  <c r="O387" i="6"/>
  <c r="P387" i="6" s="1"/>
  <c r="N387" i="6"/>
  <c r="AA386" i="6"/>
  <c r="Z386" i="6"/>
  <c r="Q386" i="6"/>
  <c r="O386" i="6"/>
  <c r="P386" i="6" s="1"/>
  <c r="N386" i="6"/>
  <c r="AA385" i="6"/>
  <c r="Z385" i="6"/>
  <c r="Q385" i="6"/>
  <c r="O385" i="6"/>
  <c r="P385" i="6" s="1"/>
  <c r="N385" i="6"/>
  <c r="AA384" i="6"/>
  <c r="Z384" i="6"/>
  <c r="Q384" i="6"/>
  <c r="O384" i="6"/>
  <c r="P384" i="6" s="1"/>
  <c r="N384" i="6"/>
  <c r="AA383" i="6"/>
  <c r="Z383" i="6"/>
  <c r="Q383" i="6"/>
  <c r="O383" i="6"/>
  <c r="P383" i="6" s="1"/>
  <c r="N383" i="6"/>
  <c r="AA382" i="6"/>
  <c r="Z382" i="6"/>
  <c r="Q382" i="6"/>
  <c r="O382" i="6"/>
  <c r="P382" i="6" s="1"/>
  <c r="N382" i="6"/>
  <c r="AA381" i="6"/>
  <c r="Z381" i="6"/>
  <c r="Q381" i="6"/>
  <c r="O381" i="6"/>
  <c r="P381" i="6" s="1"/>
  <c r="N381" i="6"/>
  <c r="AA380" i="6"/>
  <c r="Z380" i="6"/>
  <c r="Q380" i="6"/>
  <c r="O380" i="6"/>
  <c r="P380" i="6" s="1"/>
  <c r="N380" i="6"/>
  <c r="AA379" i="6"/>
  <c r="Z379" i="6"/>
  <c r="Q379" i="6"/>
  <c r="O379" i="6"/>
  <c r="P379" i="6" s="1"/>
  <c r="N379" i="6"/>
  <c r="AA378" i="6"/>
  <c r="Z378" i="6"/>
  <c r="Q378" i="6"/>
  <c r="O378" i="6"/>
  <c r="P378" i="6" s="1"/>
  <c r="N378" i="6"/>
  <c r="AA377" i="6"/>
  <c r="Z377" i="6"/>
  <c r="Q377" i="6"/>
  <c r="O377" i="6"/>
  <c r="P377" i="6" s="1"/>
  <c r="N377" i="6"/>
  <c r="AA376" i="6"/>
  <c r="Z376" i="6"/>
  <c r="Q376" i="6"/>
  <c r="O376" i="6"/>
  <c r="P376" i="6" s="1"/>
  <c r="N376" i="6"/>
  <c r="AA375" i="6"/>
  <c r="Z375" i="6"/>
  <c r="Q375" i="6"/>
  <c r="O375" i="6"/>
  <c r="P375" i="6" s="1"/>
  <c r="N375" i="6"/>
  <c r="AA374" i="6"/>
  <c r="Z374" i="6"/>
  <c r="Q374" i="6"/>
  <c r="O374" i="6"/>
  <c r="P374" i="6" s="1"/>
  <c r="N374" i="6"/>
  <c r="AA373" i="6"/>
  <c r="Z373" i="6"/>
  <c r="Q373" i="6"/>
  <c r="O373" i="6"/>
  <c r="P373" i="6" s="1"/>
  <c r="N373" i="6"/>
  <c r="AA372" i="6"/>
  <c r="Z372" i="6"/>
  <c r="Q372" i="6"/>
  <c r="O372" i="6"/>
  <c r="P372" i="6" s="1"/>
  <c r="N372" i="6"/>
  <c r="AA371" i="6"/>
  <c r="Z371" i="6"/>
  <c r="Q371" i="6"/>
  <c r="O371" i="6"/>
  <c r="P371" i="6" s="1"/>
  <c r="N371" i="6"/>
  <c r="AA370" i="6"/>
  <c r="Z370" i="6"/>
  <c r="Q370" i="6"/>
  <c r="O370" i="6"/>
  <c r="P370" i="6" s="1"/>
  <c r="N370" i="6"/>
  <c r="AA369" i="6"/>
  <c r="Z369" i="6"/>
  <c r="Q369" i="6"/>
  <c r="O369" i="6"/>
  <c r="P369" i="6" s="1"/>
  <c r="N369" i="6"/>
  <c r="AA368" i="6"/>
  <c r="Z368" i="6"/>
  <c r="Q368" i="6"/>
  <c r="O368" i="6"/>
  <c r="P368" i="6" s="1"/>
  <c r="N368" i="6"/>
  <c r="AA367" i="6"/>
  <c r="Z367" i="6"/>
  <c r="Q367" i="6"/>
  <c r="O367" i="6"/>
  <c r="P367" i="6" s="1"/>
  <c r="N367" i="6"/>
  <c r="AA366" i="6"/>
  <c r="Z366" i="6"/>
  <c r="Q366" i="6"/>
  <c r="O366" i="6"/>
  <c r="P366" i="6" s="1"/>
  <c r="N366" i="6"/>
  <c r="AA365" i="6"/>
  <c r="Z365" i="6"/>
  <c r="Q365" i="6"/>
  <c r="O365" i="6"/>
  <c r="P365" i="6" s="1"/>
  <c r="N365" i="6"/>
  <c r="AA364" i="6"/>
  <c r="Z364" i="6"/>
  <c r="Q364" i="6"/>
  <c r="O364" i="6"/>
  <c r="P364" i="6" s="1"/>
  <c r="N364" i="6"/>
  <c r="AA363" i="6"/>
  <c r="Z363" i="6"/>
  <c r="Q363" i="6"/>
  <c r="O363" i="6"/>
  <c r="P363" i="6" s="1"/>
  <c r="N363" i="6"/>
  <c r="AA362" i="6"/>
  <c r="Z362" i="6"/>
  <c r="Q362" i="6"/>
  <c r="O362" i="6"/>
  <c r="P362" i="6" s="1"/>
  <c r="N362" i="6"/>
  <c r="AA361" i="6"/>
  <c r="Z361" i="6"/>
  <c r="Q361" i="6"/>
  <c r="O361" i="6"/>
  <c r="P361" i="6" s="1"/>
  <c r="N361" i="6"/>
  <c r="AA360" i="6"/>
  <c r="Z360" i="6"/>
  <c r="Q360" i="6"/>
  <c r="O360" i="6"/>
  <c r="P360" i="6" s="1"/>
  <c r="N360" i="6"/>
  <c r="AA359" i="6"/>
  <c r="Z359" i="6"/>
  <c r="Q359" i="6"/>
  <c r="O359" i="6"/>
  <c r="P359" i="6" s="1"/>
  <c r="N359" i="6"/>
  <c r="AA358" i="6"/>
  <c r="Z358" i="6"/>
  <c r="Q358" i="6"/>
  <c r="O358" i="6"/>
  <c r="P358" i="6" s="1"/>
  <c r="N358" i="6"/>
  <c r="AA357" i="6"/>
  <c r="Z357" i="6"/>
  <c r="Q357" i="6"/>
  <c r="O357" i="6"/>
  <c r="P357" i="6" s="1"/>
  <c r="N357" i="6"/>
  <c r="AA356" i="6"/>
  <c r="Z356" i="6"/>
  <c r="Q356" i="6"/>
  <c r="O356" i="6"/>
  <c r="P356" i="6" s="1"/>
  <c r="N356" i="6"/>
  <c r="AA355" i="6"/>
  <c r="Z355" i="6"/>
  <c r="Q355" i="6"/>
  <c r="O355" i="6"/>
  <c r="P355" i="6" s="1"/>
  <c r="N355" i="6"/>
  <c r="AA354" i="6"/>
  <c r="Z354" i="6"/>
  <c r="Q354" i="6"/>
  <c r="O354" i="6"/>
  <c r="P354" i="6" s="1"/>
  <c r="N354" i="6"/>
  <c r="AA353" i="6"/>
  <c r="Z353" i="6"/>
  <c r="Q353" i="6"/>
  <c r="O353" i="6"/>
  <c r="P353" i="6" s="1"/>
  <c r="N353" i="6"/>
  <c r="AA352" i="6"/>
  <c r="Z352" i="6"/>
  <c r="Q352" i="6"/>
  <c r="O352" i="6"/>
  <c r="P352" i="6" s="1"/>
  <c r="N352" i="6"/>
  <c r="AA351" i="6"/>
  <c r="Z351" i="6"/>
  <c r="Q351" i="6"/>
  <c r="O351" i="6"/>
  <c r="P351" i="6" s="1"/>
  <c r="N351" i="6"/>
  <c r="AA350" i="6"/>
  <c r="Z350" i="6"/>
  <c r="Q350" i="6"/>
  <c r="O350" i="6"/>
  <c r="P350" i="6" s="1"/>
  <c r="N350" i="6"/>
  <c r="AA349" i="6"/>
  <c r="Z349" i="6"/>
  <c r="Q349" i="6"/>
  <c r="O349" i="6"/>
  <c r="P349" i="6" s="1"/>
  <c r="N349" i="6"/>
  <c r="AA348" i="6"/>
  <c r="Z348" i="6"/>
  <c r="Q348" i="6"/>
  <c r="O348" i="6"/>
  <c r="P348" i="6" s="1"/>
  <c r="N348" i="6"/>
  <c r="AA347" i="6"/>
  <c r="Z347" i="6"/>
  <c r="Q347" i="6"/>
  <c r="O347" i="6"/>
  <c r="P347" i="6" s="1"/>
  <c r="N347" i="6"/>
  <c r="AA346" i="6"/>
  <c r="Z346" i="6"/>
  <c r="Q346" i="6"/>
  <c r="O346" i="6"/>
  <c r="P346" i="6" s="1"/>
  <c r="N346" i="6"/>
  <c r="AA345" i="6"/>
  <c r="Z345" i="6"/>
  <c r="Q345" i="6"/>
  <c r="O345" i="6"/>
  <c r="P345" i="6" s="1"/>
  <c r="N345" i="6"/>
  <c r="AA344" i="6"/>
  <c r="Z344" i="6"/>
  <c r="Q344" i="6"/>
  <c r="O344" i="6"/>
  <c r="P344" i="6" s="1"/>
  <c r="N344" i="6"/>
  <c r="AA343" i="6"/>
  <c r="Z343" i="6"/>
  <c r="Q343" i="6"/>
  <c r="O343" i="6"/>
  <c r="P343" i="6" s="1"/>
  <c r="N343" i="6"/>
  <c r="AA342" i="6"/>
  <c r="Z342" i="6"/>
  <c r="Q342" i="6"/>
  <c r="O342" i="6"/>
  <c r="P342" i="6" s="1"/>
  <c r="N342" i="6"/>
  <c r="AA341" i="6"/>
  <c r="Z341" i="6"/>
  <c r="Q341" i="6"/>
  <c r="O341" i="6"/>
  <c r="P341" i="6" s="1"/>
  <c r="N341" i="6"/>
  <c r="AA340" i="6"/>
  <c r="Z340" i="6"/>
  <c r="Q340" i="6"/>
  <c r="O340" i="6"/>
  <c r="P340" i="6" s="1"/>
  <c r="N340" i="6"/>
  <c r="AA339" i="6"/>
  <c r="Z339" i="6"/>
  <c r="Q339" i="6"/>
  <c r="O339" i="6"/>
  <c r="P339" i="6" s="1"/>
  <c r="N339" i="6"/>
  <c r="AA338" i="6"/>
  <c r="Z338" i="6"/>
  <c r="Q338" i="6"/>
  <c r="O338" i="6"/>
  <c r="P338" i="6" s="1"/>
  <c r="N338" i="6"/>
  <c r="AA337" i="6"/>
  <c r="Z337" i="6"/>
  <c r="Q337" i="6"/>
  <c r="O337" i="6"/>
  <c r="P337" i="6" s="1"/>
  <c r="N337" i="6"/>
  <c r="AA336" i="6"/>
  <c r="Z336" i="6"/>
  <c r="Q336" i="6"/>
  <c r="O336" i="6"/>
  <c r="P336" i="6" s="1"/>
  <c r="N336" i="6"/>
  <c r="AA335" i="6"/>
  <c r="Z335" i="6"/>
  <c r="Q335" i="6"/>
  <c r="O335" i="6"/>
  <c r="P335" i="6" s="1"/>
  <c r="N335" i="6"/>
  <c r="AA334" i="6"/>
  <c r="Z334" i="6"/>
  <c r="Q334" i="6"/>
  <c r="O334" i="6"/>
  <c r="P334" i="6" s="1"/>
  <c r="N334" i="6"/>
  <c r="AA333" i="6"/>
  <c r="Z333" i="6"/>
  <c r="Q333" i="6"/>
  <c r="O333" i="6"/>
  <c r="P333" i="6" s="1"/>
  <c r="N333" i="6"/>
  <c r="AA332" i="6"/>
  <c r="Z332" i="6"/>
  <c r="Q332" i="6"/>
  <c r="O332" i="6"/>
  <c r="P332" i="6" s="1"/>
  <c r="N332" i="6"/>
  <c r="AA331" i="6"/>
  <c r="Z331" i="6"/>
  <c r="Q331" i="6"/>
  <c r="O331" i="6"/>
  <c r="P331" i="6" s="1"/>
  <c r="N331" i="6"/>
  <c r="AA330" i="6"/>
  <c r="Z330" i="6"/>
  <c r="Q330" i="6"/>
  <c r="O330" i="6"/>
  <c r="P330" i="6" s="1"/>
  <c r="N330" i="6"/>
  <c r="AA329" i="6"/>
  <c r="Z329" i="6"/>
  <c r="Q329" i="6"/>
  <c r="O329" i="6"/>
  <c r="P329" i="6" s="1"/>
  <c r="N329" i="6"/>
  <c r="AA328" i="6"/>
  <c r="Z328" i="6"/>
  <c r="Q328" i="6"/>
  <c r="O328" i="6"/>
  <c r="P328" i="6" s="1"/>
  <c r="N328" i="6"/>
  <c r="AA327" i="6"/>
  <c r="Z327" i="6"/>
  <c r="Q327" i="6"/>
  <c r="O327" i="6"/>
  <c r="P327" i="6" s="1"/>
  <c r="N327" i="6"/>
  <c r="AA326" i="6"/>
  <c r="Z326" i="6"/>
  <c r="Q326" i="6"/>
  <c r="O326" i="6"/>
  <c r="P326" i="6" s="1"/>
  <c r="N326" i="6"/>
  <c r="AA325" i="6"/>
  <c r="Z325" i="6"/>
  <c r="Q325" i="6"/>
  <c r="O325" i="6"/>
  <c r="P325" i="6" s="1"/>
  <c r="N325" i="6"/>
  <c r="AA324" i="6"/>
  <c r="Z324" i="6"/>
  <c r="Q324" i="6"/>
  <c r="O324" i="6"/>
  <c r="P324" i="6" s="1"/>
  <c r="N324" i="6"/>
  <c r="AA323" i="6"/>
  <c r="Z323" i="6"/>
  <c r="Q323" i="6"/>
  <c r="O323" i="6"/>
  <c r="P323" i="6" s="1"/>
  <c r="N323" i="6"/>
  <c r="AA322" i="6"/>
  <c r="Z322" i="6"/>
  <c r="Q322" i="6"/>
  <c r="O322" i="6"/>
  <c r="P322" i="6" s="1"/>
  <c r="N322" i="6"/>
  <c r="AA321" i="6"/>
  <c r="Z321" i="6"/>
  <c r="Q321" i="6"/>
  <c r="O321" i="6"/>
  <c r="P321" i="6" s="1"/>
  <c r="N321" i="6"/>
  <c r="AA320" i="6"/>
  <c r="Z320" i="6"/>
  <c r="Q320" i="6"/>
  <c r="O320" i="6"/>
  <c r="P320" i="6" s="1"/>
  <c r="N320" i="6"/>
  <c r="AA319" i="6"/>
  <c r="Z319" i="6"/>
  <c r="Q319" i="6"/>
  <c r="O319" i="6"/>
  <c r="P319" i="6" s="1"/>
  <c r="N319" i="6"/>
  <c r="AA318" i="6"/>
  <c r="Z318" i="6"/>
  <c r="Q318" i="6"/>
  <c r="O318" i="6"/>
  <c r="P318" i="6" s="1"/>
  <c r="N318" i="6"/>
  <c r="AA317" i="6"/>
  <c r="Z317" i="6"/>
  <c r="Q317" i="6"/>
  <c r="O317" i="6"/>
  <c r="P317" i="6" s="1"/>
  <c r="N317" i="6"/>
  <c r="AA316" i="6"/>
  <c r="Z316" i="6"/>
  <c r="Q316" i="6"/>
  <c r="O316" i="6"/>
  <c r="P316" i="6" s="1"/>
  <c r="N316" i="6"/>
  <c r="AA315" i="6"/>
  <c r="Z315" i="6"/>
  <c r="Q315" i="6"/>
  <c r="O315" i="6"/>
  <c r="P315" i="6" s="1"/>
  <c r="N315" i="6"/>
  <c r="AA314" i="6"/>
  <c r="Z314" i="6"/>
  <c r="Q314" i="6"/>
  <c r="O314" i="6"/>
  <c r="P314" i="6" s="1"/>
  <c r="N314" i="6"/>
  <c r="AA313" i="6"/>
  <c r="Z313" i="6"/>
  <c r="Q313" i="6"/>
  <c r="O313" i="6"/>
  <c r="P313" i="6" s="1"/>
  <c r="N313" i="6"/>
  <c r="AA312" i="6"/>
  <c r="Z312" i="6"/>
  <c r="Q312" i="6"/>
  <c r="O312" i="6"/>
  <c r="P312" i="6" s="1"/>
  <c r="N312" i="6"/>
  <c r="AA311" i="6"/>
  <c r="Z311" i="6"/>
  <c r="Q311" i="6"/>
  <c r="O311" i="6"/>
  <c r="P311" i="6" s="1"/>
  <c r="N311" i="6"/>
  <c r="AA310" i="6"/>
  <c r="Z310" i="6"/>
  <c r="Q310" i="6"/>
  <c r="O310" i="6"/>
  <c r="P310" i="6" s="1"/>
  <c r="N310" i="6"/>
  <c r="AA309" i="6"/>
  <c r="Z309" i="6"/>
  <c r="Q309" i="6"/>
  <c r="O309" i="6"/>
  <c r="P309" i="6" s="1"/>
  <c r="N309" i="6"/>
  <c r="AA308" i="6"/>
  <c r="Z308" i="6"/>
  <c r="Q308" i="6"/>
  <c r="O308" i="6"/>
  <c r="P308" i="6" s="1"/>
  <c r="N308" i="6"/>
  <c r="AA307" i="6"/>
  <c r="Z307" i="6"/>
  <c r="Q307" i="6"/>
  <c r="O307" i="6"/>
  <c r="P307" i="6" s="1"/>
  <c r="N307" i="6"/>
  <c r="AA306" i="6"/>
  <c r="Z306" i="6"/>
  <c r="Q306" i="6"/>
  <c r="O306" i="6"/>
  <c r="P306" i="6" s="1"/>
  <c r="N306" i="6"/>
  <c r="AA305" i="6"/>
  <c r="Z305" i="6"/>
  <c r="Q305" i="6"/>
  <c r="O305" i="6"/>
  <c r="P305" i="6" s="1"/>
  <c r="N305" i="6"/>
  <c r="AA304" i="6"/>
  <c r="Z304" i="6"/>
  <c r="Q304" i="6"/>
  <c r="O304" i="6"/>
  <c r="P304" i="6" s="1"/>
  <c r="N304" i="6"/>
  <c r="AA303" i="6"/>
  <c r="Z303" i="6"/>
  <c r="Q303" i="6"/>
  <c r="O303" i="6"/>
  <c r="P303" i="6" s="1"/>
  <c r="N303" i="6"/>
  <c r="AA302" i="6"/>
  <c r="Z302" i="6"/>
  <c r="Q302" i="6"/>
  <c r="O302" i="6"/>
  <c r="P302" i="6" s="1"/>
  <c r="N302" i="6"/>
  <c r="AA301" i="6"/>
  <c r="Z301" i="6"/>
  <c r="Q301" i="6"/>
  <c r="O301" i="6"/>
  <c r="P301" i="6" s="1"/>
  <c r="N301" i="6"/>
  <c r="AA300" i="6"/>
  <c r="Z300" i="6"/>
  <c r="Q300" i="6"/>
  <c r="O300" i="6"/>
  <c r="P300" i="6" s="1"/>
  <c r="N300" i="6"/>
  <c r="AA299" i="6"/>
  <c r="Z299" i="6"/>
  <c r="Q299" i="6"/>
  <c r="O299" i="6"/>
  <c r="P299" i="6" s="1"/>
  <c r="N299" i="6"/>
  <c r="AA298" i="6"/>
  <c r="Z298" i="6"/>
  <c r="Q298" i="6"/>
  <c r="O298" i="6"/>
  <c r="P298" i="6" s="1"/>
  <c r="N298" i="6"/>
  <c r="AA297" i="6"/>
  <c r="Z297" i="6"/>
  <c r="Q297" i="6"/>
  <c r="O297" i="6"/>
  <c r="P297" i="6" s="1"/>
  <c r="N297" i="6"/>
  <c r="AA296" i="6"/>
  <c r="Z296" i="6"/>
  <c r="Q296" i="6"/>
  <c r="O296" i="6"/>
  <c r="P296" i="6" s="1"/>
  <c r="N296" i="6"/>
  <c r="AA295" i="6"/>
  <c r="Z295" i="6"/>
  <c r="Q295" i="6"/>
  <c r="O295" i="6"/>
  <c r="P295" i="6" s="1"/>
  <c r="N295" i="6"/>
  <c r="AA294" i="6"/>
  <c r="Z294" i="6"/>
  <c r="Q294" i="6"/>
  <c r="O294" i="6"/>
  <c r="P294" i="6" s="1"/>
  <c r="N294" i="6"/>
  <c r="AA293" i="6"/>
  <c r="Z293" i="6"/>
  <c r="Q293" i="6"/>
  <c r="O293" i="6"/>
  <c r="P293" i="6" s="1"/>
  <c r="N293" i="6"/>
  <c r="AA292" i="6"/>
  <c r="Z292" i="6"/>
  <c r="Q292" i="6"/>
  <c r="O292" i="6"/>
  <c r="P292" i="6" s="1"/>
  <c r="N292" i="6"/>
  <c r="AA291" i="6"/>
  <c r="Z291" i="6"/>
  <c r="Q291" i="6"/>
  <c r="O291" i="6"/>
  <c r="P291" i="6" s="1"/>
  <c r="N291" i="6"/>
  <c r="AA290" i="6"/>
  <c r="Z290" i="6"/>
  <c r="Q290" i="6"/>
  <c r="O290" i="6"/>
  <c r="P290" i="6" s="1"/>
  <c r="N290" i="6"/>
  <c r="AA289" i="6"/>
  <c r="Z289" i="6"/>
  <c r="Q289" i="6"/>
  <c r="O289" i="6"/>
  <c r="P289" i="6" s="1"/>
  <c r="N289" i="6"/>
  <c r="AA288" i="6"/>
  <c r="Z288" i="6"/>
  <c r="Q288" i="6"/>
  <c r="O288" i="6"/>
  <c r="P288" i="6" s="1"/>
  <c r="N288" i="6"/>
  <c r="AA287" i="6"/>
  <c r="Z287" i="6"/>
  <c r="Q287" i="6"/>
  <c r="O287" i="6"/>
  <c r="P287" i="6" s="1"/>
  <c r="N287" i="6"/>
  <c r="AA286" i="6"/>
  <c r="Z286" i="6"/>
  <c r="Q286" i="6"/>
  <c r="O286" i="6"/>
  <c r="P286" i="6" s="1"/>
  <c r="N286" i="6"/>
  <c r="AA285" i="6"/>
  <c r="Z285" i="6"/>
  <c r="Q285" i="6"/>
  <c r="O285" i="6"/>
  <c r="P285" i="6" s="1"/>
  <c r="N285" i="6"/>
  <c r="AA284" i="6"/>
  <c r="Z284" i="6"/>
  <c r="Q284" i="6"/>
  <c r="O284" i="6"/>
  <c r="P284" i="6" s="1"/>
  <c r="N284" i="6"/>
  <c r="AA283" i="6"/>
  <c r="Z283" i="6"/>
  <c r="Q283" i="6"/>
  <c r="O283" i="6"/>
  <c r="P283" i="6" s="1"/>
  <c r="N283" i="6"/>
  <c r="AA282" i="6"/>
  <c r="Z282" i="6"/>
  <c r="Q282" i="6"/>
  <c r="O282" i="6"/>
  <c r="P282" i="6" s="1"/>
  <c r="N282" i="6"/>
  <c r="AA281" i="6"/>
  <c r="Z281" i="6"/>
  <c r="Q281" i="6"/>
  <c r="O281" i="6"/>
  <c r="P281" i="6" s="1"/>
  <c r="N281" i="6"/>
  <c r="AA280" i="6"/>
  <c r="Z280" i="6"/>
  <c r="Q280" i="6"/>
  <c r="O280" i="6"/>
  <c r="P280" i="6" s="1"/>
  <c r="N280" i="6"/>
  <c r="AA279" i="6"/>
  <c r="Z279" i="6"/>
  <c r="Q279" i="6"/>
  <c r="O279" i="6"/>
  <c r="P279" i="6" s="1"/>
  <c r="N279" i="6"/>
  <c r="AA278" i="6"/>
  <c r="Z278" i="6"/>
  <c r="Q278" i="6"/>
  <c r="O278" i="6"/>
  <c r="P278" i="6" s="1"/>
  <c r="N278" i="6"/>
  <c r="AA277" i="6"/>
  <c r="Z277" i="6"/>
  <c r="Q277" i="6"/>
  <c r="O277" i="6"/>
  <c r="P277" i="6" s="1"/>
  <c r="N277" i="6"/>
  <c r="AA276" i="6"/>
  <c r="Z276" i="6"/>
  <c r="Q276" i="6"/>
  <c r="O276" i="6"/>
  <c r="P276" i="6" s="1"/>
  <c r="N276" i="6"/>
  <c r="AA275" i="6"/>
  <c r="Z275" i="6"/>
  <c r="Q275" i="6"/>
  <c r="O275" i="6"/>
  <c r="P275" i="6" s="1"/>
  <c r="N275" i="6"/>
  <c r="AA274" i="6"/>
  <c r="Z274" i="6"/>
  <c r="Q274" i="6"/>
  <c r="O274" i="6"/>
  <c r="P274" i="6" s="1"/>
  <c r="N274" i="6"/>
  <c r="AA273" i="6"/>
  <c r="Z273" i="6"/>
  <c r="Q273" i="6"/>
  <c r="O273" i="6"/>
  <c r="P273" i="6" s="1"/>
  <c r="N273" i="6"/>
  <c r="AA272" i="6"/>
  <c r="Z272" i="6"/>
  <c r="Q272" i="6"/>
  <c r="O272" i="6"/>
  <c r="P272" i="6" s="1"/>
  <c r="N272" i="6"/>
  <c r="AA271" i="6"/>
  <c r="Z271" i="6"/>
  <c r="Q271" i="6"/>
  <c r="O271" i="6"/>
  <c r="P271" i="6" s="1"/>
  <c r="N271" i="6"/>
  <c r="AA270" i="6"/>
  <c r="Z270" i="6"/>
  <c r="Q270" i="6"/>
  <c r="O270" i="6"/>
  <c r="P270" i="6" s="1"/>
  <c r="N270" i="6"/>
  <c r="AA269" i="6"/>
  <c r="Z269" i="6"/>
  <c r="Q269" i="6"/>
  <c r="O269" i="6"/>
  <c r="P269" i="6" s="1"/>
  <c r="N269" i="6"/>
  <c r="AA268" i="6"/>
  <c r="Z268" i="6"/>
  <c r="Q268" i="6"/>
  <c r="O268" i="6"/>
  <c r="P268" i="6" s="1"/>
  <c r="N268" i="6"/>
  <c r="AA267" i="6"/>
  <c r="Z267" i="6"/>
  <c r="Q267" i="6"/>
  <c r="O267" i="6"/>
  <c r="P267" i="6" s="1"/>
  <c r="N267" i="6"/>
  <c r="AA266" i="6"/>
  <c r="Z266" i="6"/>
  <c r="Q266" i="6"/>
  <c r="O266" i="6"/>
  <c r="P266" i="6" s="1"/>
  <c r="N266" i="6"/>
  <c r="AA265" i="6"/>
  <c r="Z265" i="6"/>
  <c r="Q265" i="6"/>
  <c r="O265" i="6"/>
  <c r="P265" i="6" s="1"/>
  <c r="N265" i="6"/>
  <c r="AA264" i="6"/>
  <c r="Z264" i="6"/>
  <c r="Q264" i="6"/>
  <c r="O264" i="6"/>
  <c r="P264" i="6" s="1"/>
  <c r="N264" i="6"/>
  <c r="AA263" i="6"/>
  <c r="Z263" i="6"/>
  <c r="Q263" i="6"/>
  <c r="O263" i="6"/>
  <c r="P263" i="6" s="1"/>
  <c r="N263" i="6"/>
  <c r="AA262" i="6"/>
  <c r="Z262" i="6"/>
  <c r="Q262" i="6"/>
  <c r="O262" i="6"/>
  <c r="P262" i="6" s="1"/>
  <c r="N262" i="6"/>
  <c r="AA261" i="6"/>
  <c r="Z261" i="6"/>
  <c r="Q261" i="6"/>
  <c r="O261" i="6"/>
  <c r="P261" i="6" s="1"/>
  <c r="N261" i="6"/>
  <c r="AA260" i="6"/>
  <c r="Z260" i="6"/>
  <c r="Q260" i="6"/>
  <c r="O260" i="6"/>
  <c r="P260" i="6" s="1"/>
  <c r="N260" i="6"/>
  <c r="AA259" i="6"/>
  <c r="Z259" i="6"/>
  <c r="Q259" i="6"/>
  <c r="O259" i="6"/>
  <c r="P259" i="6" s="1"/>
  <c r="N259" i="6"/>
  <c r="AA258" i="6"/>
  <c r="Z258" i="6"/>
  <c r="Q258" i="6"/>
  <c r="O258" i="6"/>
  <c r="P258" i="6" s="1"/>
  <c r="N258" i="6"/>
  <c r="AA257" i="6"/>
  <c r="Z257" i="6"/>
  <c r="Q257" i="6"/>
  <c r="O257" i="6"/>
  <c r="P257" i="6" s="1"/>
  <c r="N257" i="6"/>
  <c r="AA256" i="6"/>
  <c r="Z256" i="6"/>
  <c r="Q256" i="6"/>
  <c r="O256" i="6"/>
  <c r="P256" i="6" s="1"/>
  <c r="N256" i="6"/>
  <c r="AA255" i="6"/>
  <c r="Z255" i="6"/>
  <c r="Q255" i="6"/>
  <c r="O255" i="6"/>
  <c r="P255" i="6" s="1"/>
  <c r="N255" i="6"/>
  <c r="AA254" i="6"/>
  <c r="Z254" i="6"/>
  <c r="Q254" i="6"/>
  <c r="O254" i="6"/>
  <c r="P254" i="6" s="1"/>
  <c r="N254" i="6"/>
  <c r="AA253" i="6"/>
  <c r="Z253" i="6"/>
  <c r="Q253" i="6"/>
  <c r="O253" i="6"/>
  <c r="P253" i="6" s="1"/>
  <c r="N253" i="6"/>
  <c r="AA252" i="6"/>
  <c r="Z252" i="6"/>
  <c r="Q252" i="6"/>
  <c r="O252" i="6"/>
  <c r="P252" i="6" s="1"/>
  <c r="N252" i="6"/>
  <c r="AA251" i="6"/>
  <c r="Z251" i="6"/>
  <c r="Q251" i="6"/>
  <c r="O251" i="6"/>
  <c r="P251" i="6" s="1"/>
  <c r="N251" i="6"/>
  <c r="AA250" i="6"/>
  <c r="Z250" i="6"/>
  <c r="Q250" i="6"/>
  <c r="O250" i="6"/>
  <c r="P250" i="6" s="1"/>
  <c r="N250" i="6"/>
  <c r="AA249" i="6"/>
  <c r="Z249" i="6"/>
  <c r="Q249" i="6"/>
  <c r="O249" i="6"/>
  <c r="P249" i="6" s="1"/>
  <c r="N249" i="6"/>
  <c r="AA248" i="6"/>
  <c r="Z248" i="6"/>
  <c r="Q248" i="6"/>
  <c r="O248" i="6"/>
  <c r="P248" i="6" s="1"/>
  <c r="N248" i="6"/>
  <c r="AA247" i="6"/>
  <c r="Z247" i="6"/>
  <c r="Q247" i="6"/>
  <c r="O247" i="6"/>
  <c r="P247" i="6" s="1"/>
  <c r="N247" i="6"/>
  <c r="AA246" i="6"/>
  <c r="Z246" i="6"/>
  <c r="Q246" i="6"/>
  <c r="O246" i="6"/>
  <c r="P246" i="6" s="1"/>
  <c r="N246" i="6"/>
  <c r="AA245" i="6"/>
  <c r="Z245" i="6"/>
  <c r="Q245" i="6"/>
  <c r="O245" i="6"/>
  <c r="P245" i="6" s="1"/>
  <c r="N245" i="6"/>
  <c r="AA244" i="6"/>
  <c r="Z244" i="6"/>
  <c r="Q244" i="6"/>
  <c r="O244" i="6"/>
  <c r="P244" i="6" s="1"/>
  <c r="N244" i="6"/>
  <c r="AA243" i="6"/>
  <c r="Z243" i="6"/>
  <c r="Q243" i="6"/>
  <c r="O243" i="6"/>
  <c r="P243" i="6" s="1"/>
  <c r="N243" i="6"/>
  <c r="AA242" i="6"/>
  <c r="Z242" i="6"/>
  <c r="Q242" i="6"/>
  <c r="O242" i="6"/>
  <c r="P242" i="6" s="1"/>
  <c r="N242" i="6"/>
  <c r="AA241" i="6"/>
  <c r="Z241" i="6"/>
  <c r="Q241" i="6"/>
  <c r="O241" i="6"/>
  <c r="P241" i="6" s="1"/>
  <c r="N241" i="6"/>
  <c r="AA240" i="6"/>
  <c r="Z240" i="6"/>
  <c r="Q240" i="6"/>
  <c r="O240" i="6"/>
  <c r="P240" i="6" s="1"/>
  <c r="N240" i="6"/>
  <c r="AA239" i="6"/>
  <c r="Z239" i="6"/>
  <c r="Q239" i="6"/>
  <c r="O239" i="6"/>
  <c r="P239" i="6" s="1"/>
  <c r="N239" i="6"/>
  <c r="AA238" i="6"/>
  <c r="Z238" i="6"/>
  <c r="Q238" i="6"/>
  <c r="O238" i="6"/>
  <c r="P238" i="6" s="1"/>
  <c r="N238" i="6"/>
  <c r="AA237" i="6"/>
  <c r="Z237" i="6"/>
  <c r="Q237" i="6"/>
  <c r="O237" i="6"/>
  <c r="P237" i="6" s="1"/>
  <c r="N237" i="6"/>
  <c r="AA236" i="6"/>
  <c r="Z236" i="6"/>
  <c r="Q236" i="6"/>
  <c r="O236" i="6"/>
  <c r="P236" i="6" s="1"/>
  <c r="N236" i="6"/>
  <c r="AA235" i="6"/>
  <c r="Z235" i="6"/>
  <c r="Q235" i="6"/>
  <c r="O235" i="6"/>
  <c r="P235" i="6" s="1"/>
  <c r="N235" i="6"/>
  <c r="AA234" i="6"/>
  <c r="Z234" i="6"/>
  <c r="Q234" i="6"/>
  <c r="O234" i="6"/>
  <c r="P234" i="6" s="1"/>
  <c r="N234" i="6"/>
  <c r="AA233" i="6"/>
  <c r="Z233" i="6"/>
  <c r="Q233" i="6"/>
  <c r="O233" i="6"/>
  <c r="P233" i="6" s="1"/>
  <c r="N233" i="6"/>
  <c r="AA232" i="6"/>
  <c r="Z232" i="6"/>
  <c r="Q232" i="6"/>
  <c r="O232" i="6"/>
  <c r="P232" i="6" s="1"/>
  <c r="N232" i="6"/>
  <c r="AA231" i="6"/>
  <c r="Z231" i="6"/>
  <c r="Q231" i="6"/>
  <c r="O231" i="6"/>
  <c r="P231" i="6" s="1"/>
  <c r="N231" i="6"/>
  <c r="AA230" i="6"/>
  <c r="Z230" i="6"/>
  <c r="Q230" i="6"/>
  <c r="O230" i="6"/>
  <c r="P230" i="6" s="1"/>
  <c r="N230" i="6"/>
  <c r="AA229" i="6"/>
  <c r="Z229" i="6"/>
  <c r="Q229" i="6"/>
  <c r="O229" i="6"/>
  <c r="P229" i="6" s="1"/>
  <c r="N229" i="6"/>
  <c r="AA228" i="6"/>
  <c r="Z228" i="6"/>
  <c r="Q228" i="6"/>
  <c r="O228" i="6"/>
  <c r="P228" i="6" s="1"/>
  <c r="N228" i="6"/>
  <c r="AA227" i="6"/>
  <c r="Z227" i="6"/>
  <c r="Q227" i="6"/>
  <c r="O227" i="6"/>
  <c r="P227" i="6" s="1"/>
  <c r="N227" i="6"/>
  <c r="AA226" i="6"/>
  <c r="Z226" i="6"/>
  <c r="Q226" i="6"/>
  <c r="O226" i="6"/>
  <c r="P226" i="6" s="1"/>
  <c r="N226" i="6"/>
  <c r="AA225" i="6"/>
  <c r="Z225" i="6"/>
  <c r="Q225" i="6"/>
  <c r="O225" i="6"/>
  <c r="P225" i="6" s="1"/>
  <c r="N225" i="6"/>
  <c r="AA224" i="6"/>
  <c r="Z224" i="6"/>
  <c r="Q224" i="6"/>
  <c r="O224" i="6"/>
  <c r="P224" i="6" s="1"/>
  <c r="N224" i="6"/>
  <c r="AA223" i="6"/>
  <c r="Z223" i="6"/>
  <c r="Q223" i="6"/>
  <c r="O223" i="6"/>
  <c r="P223" i="6" s="1"/>
  <c r="N223" i="6"/>
  <c r="AA222" i="6"/>
  <c r="Z222" i="6"/>
  <c r="Q222" i="6"/>
  <c r="O222" i="6"/>
  <c r="P222" i="6" s="1"/>
  <c r="N222" i="6"/>
  <c r="AA221" i="6"/>
  <c r="Z221" i="6"/>
  <c r="Q221" i="6"/>
  <c r="O221" i="6"/>
  <c r="P221" i="6" s="1"/>
  <c r="N221" i="6"/>
  <c r="AA220" i="6"/>
  <c r="Z220" i="6"/>
  <c r="Q220" i="6"/>
  <c r="O220" i="6"/>
  <c r="P220" i="6" s="1"/>
  <c r="N220" i="6"/>
  <c r="AA219" i="6"/>
  <c r="Z219" i="6"/>
  <c r="Q219" i="6"/>
  <c r="O219" i="6"/>
  <c r="P219" i="6" s="1"/>
  <c r="N219" i="6"/>
  <c r="AA218" i="6"/>
  <c r="Z218" i="6"/>
  <c r="Q218" i="6"/>
  <c r="O218" i="6"/>
  <c r="P218" i="6" s="1"/>
  <c r="N218" i="6"/>
  <c r="AA217" i="6"/>
  <c r="Z217" i="6"/>
  <c r="Q217" i="6"/>
  <c r="O217" i="6"/>
  <c r="P217" i="6" s="1"/>
  <c r="N217" i="6"/>
  <c r="AA216" i="6"/>
  <c r="Z216" i="6"/>
  <c r="Q216" i="6"/>
  <c r="O216" i="6"/>
  <c r="P216" i="6" s="1"/>
  <c r="N216" i="6"/>
  <c r="AA215" i="6"/>
  <c r="Z215" i="6"/>
  <c r="Q215" i="6"/>
  <c r="O215" i="6"/>
  <c r="P215" i="6" s="1"/>
  <c r="N215" i="6"/>
  <c r="AA214" i="6"/>
  <c r="Z214" i="6"/>
  <c r="Q214" i="6"/>
  <c r="O214" i="6"/>
  <c r="P214" i="6" s="1"/>
  <c r="N214" i="6"/>
  <c r="AA213" i="6"/>
  <c r="Z213" i="6"/>
  <c r="Q213" i="6"/>
  <c r="O213" i="6"/>
  <c r="P213" i="6" s="1"/>
  <c r="N213" i="6"/>
  <c r="AA212" i="6"/>
  <c r="Z212" i="6"/>
  <c r="Q212" i="6"/>
  <c r="O212" i="6"/>
  <c r="P212" i="6" s="1"/>
  <c r="N212" i="6"/>
  <c r="AA211" i="6"/>
  <c r="Z211" i="6"/>
  <c r="Q211" i="6"/>
  <c r="O211" i="6"/>
  <c r="P211" i="6" s="1"/>
  <c r="N211" i="6"/>
  <c r="AA210" i="6"/>
  <c r="Z210" i="6"/>
  <c r="Q210" i="6"/>
  <c r="O210" i="6"/>
  <c r="P210" i="6" s="1"/>
  <c r="N210" i="6"/>
  <c r="AA209" i="6"/>
  <c r="Z209" i="6"/>
  <c r="Q209" i="6"/>
  <c r="O209" i="6"/>
  <c r="P209" i="6" s="1"/>
  <c r="N209" i="6"/>
  <c r="AA208" i="6"/>
  <c r="Z208" i="6"/>
  <c r="Q208" i="6"/>
  <c r="O208" i="6"/>
  <c r="P208" i="6" s="1"/>
  <c r="N208" i="6"/>
  <c r="AA207" i="6"/>
  <c r="Z207" i="6"/>
  <c r="Q207" i="6"/>
  <c r="O207" i="6"/>
  <c r="P207" i="6" s="1"/>
  <c r="N207" i="6"/>
  <c r="AA206" i="6"/>
  <c r="Z206" i="6"/>
  <c r="Q206" i="6"/>
  <c r="O206" i="6"/>
  <c r="P206" i="6" s="1"/>
  <c r="N206" i="6"/>
  <c r="AA205" i="6"/>
  <c r="Z205" i="6"/>
  <c r="Q205" i="6"/>
  <c r="O205" i="6"/>
  <c r="P205" i="6" s="1"/>
  <c r="N205" i="6"/>
  <c r="AA204" i="6"/>
  <c r="Z204" i="6"/>
  <c r="Q204" i="6"/>
  <c r="O204" i="6"/>
  <c r="P204" i="6" s="1"/>
  <c r="N204" i="6"/>
  <c r="AA203" i="6"/>
  <c r="Z203" i="6"/>
  <c r="Q203" i="6"/>
  <c r="O203" i="6"/>
  <c r="P203" i="6" s="1"/>
  <c r="N203" i="6"/>
  <c r="AA202" i="6"/>
  <c r="Z202" i="6"/>
  <c r="Q202" i="6"/>
  <c r="O202" i="6"/>
  <c r="P202" i="6" s="1"/>
  <c r="N202" i="6"/>
  <c r="AA201" i="6"/>
  <c r="Z201" i="6"/>
  <c r="Q201" i="6"/>
  <c r="O201" i="6"/>
  <c r="P201" i="6" s="1"/>
  <c r="N201" i="6"/>
  <c r="AA200" i="6"/>
  <c r="Z200" i="6"/>
  <c r="Q200" i="6"/>
  <c r="O200" i="6"/>
  <c r="P200" i="6" s="1"/>
  <c r="N200" i="6"/>
  <c r="AA199" i="6"/>
  <c r="Z199" i="6"/>
  <c r="Q199" i="6"/>
  <c r="O199" i="6"/>
  <c r="P199" i="6" s="1"/>
  <c r="N199" i="6"/>
  <c r="AA198" i="6"/>
  <c r="Z198" i="6"/>
  <c r="Q198" i="6"/>
  <c r="O198" i="6"/>
  <c r="P198" i="6" s="1"/>
  <c r="N198" i="6"/>
  <c r="AA197" i="6"/>
  <c r="Z197" i="6"/>
  <c r="Q197" i="6"/>
  <c r="O197" i="6"/>
  <c r="P197" i="6" s="1"/>
  <c r="N197" i="6"/>
  <c r="AA196" i="6"/>
  <c r="Z196" i="6"/>
  <c r="Q196" i="6"/>
  <c r="O196" i="6"/>
  <c r="P196" i="6" s="1"/>
  <c r="N196" i="6"/>
  <c r="AA195" i="6"/>
  <c r="Z195" i="6"/>
  <c r="Q195" i="6"/>
  <c r="O195" i="6"/>
  <c r="P195" i="6" s="1"/>
  <c r="N195" i="6"/>
  <c r="AA194" i="6"/>
  <c r="Z194" i="6"/>
  <c r="Q194" i="6"/>
  <c r="O194" i="6"/>
  <c r="P194" i="6" s="1"/>
  <c r="N194" i="6"/>
  <c r="AA193" i="6"/>
  <c r="Z193" i="6"/>
  <c r="Q193" i="6"/>
  <c r="O193" i="6"/>
  <c r="P193" i="6" s="1"/>
  <c r="N193" i="6"/>
  <c r="AA192" i="6"/>
  <c r="Z192" i="6"/>
  <c r="Q192" i="6"/>
  <c r="O192" i="6"/>
  <c r="P192" i="6" s="1"/>
  <c r="N192" i="6"/>
  <c r="AA191" i="6"/>
  <c r="Z191" i="6"/>
  <c r="Q191" i="6"/>
  <c r="O191" i="6"/>
  <c r="P191" i="6" s="1"/>
  <c r="N191" i="6"/>
  <c r="AA190" i="6"/>
  <c r="Z190" i="6"/>
  <c r="Q190" i="6"/>
  <c r="O190" i="6"/>
  <c r="P190" i="6" s="1"/>
  <c r="N190" i="6"/>
  <c r="AA189" i="6"/>
  <c r="Z189" i="6"/>
  <c r="Q189" i="6"/>
  <c r="O189" i="6"/>
  <c r="P189" i="6" s="1"/>
  <c r="N189" i="6"/>
  <c r="AA188" i="6"/>
  <c r="Z188" i="6"/>
  <c r="Q188" i="6"/>
  <c r="O188" i="6"/>
  <c r="P188" i="6" s="1"/>
  <c r="N188" i="6"/>
  <c r="AA187" i="6"/>
  <c r="Z187" i="6"/>
  <c r="Q187" i="6"/>
  <c r="O187" i="6"/>
  <c r="P187" i="6" s="1"/>
  <c r="N187" i="6"/>
  <c r="AA186" i="6"/>
  <c r="Z186" i="6"/>
  <c r="Q186" i="6"/>
  <c r="O186" i="6"/>
  <c r="P186" i="6" s="1"/>
  <c r="N186" i="6"/>
  <c r="AA185" i="6"/>
  <c r="Z185" i="6"/>
  <c r="Q185" i="6"/>
  <c r="O185" i="6"/>
  <c r="P185" i="6" s="1"/>
  <c r="N185" i="6"/>
  <c r="AA184" i="6"/>
  <c r="Z184" i="6"/>
  <c r="Q184" i="6"/>
  <c r="O184" i="6"/>
  <c r="P184" i="6" s="1"/>
  <c r="N184" i="6"/>
  <c r="AA183" i="6"/>
  <c r="Z183" i="6"/>
  <c r="Q183" i="6"/>
  <c r="O183" i="6"/>
  <c r="P183" i="6" s="1"/>
  <c r="N183" i="6"/>
  <c r="AA182" i="6"/>
  <c r="Z182" i="6"/>
  <c r="Q182" i="6"/>
  <c r="O182" i="6"/>
  <c r="P182" i="6" s="1"/>
  <c r="N182" i="6"/>
  <c r="AA181" i="6"/>
  <c r="Z181" i="6"/>
  <c r="Q181" i="6"/>
  <c r="O181" i="6"/>
  <c r="P181" i="6" s="1"/>
  <c r="N181" i="6"/>
  <c r="AA180" i="6"/>
  <c r="Z180" i="6"/>
  <c r="Q180" i="6"/>
  <c r="O180" i="6"/>
  <c r="P180" i="6" s="1"/>
  <c r="N180" i="6"/>
  <c r="AA179" i="6"/>
  <c r="Z179" i="6"/>
  <c r="Q179" i="6"/>
  <c r="O179" i="6"/>
  <c r="P179" i="6" s="1"/>
  <c r="N179" i="6"/>
  <c r="AA178" i="6"/>
  <c r="Z178" i="6"/>
  <c r="Q178" i="6"/>
  <c r="O178" i="6"/>
  <c r="P178" i="6" s="1"/>
  <c r="N178" i="6"/>
  <c r="AA177" i="6"/>
  <c r="Z177" i="6"/>
  <c r="Q177" i="6"/>
  <c r="O177" i="6"/>
  <c r="P177" i="6" s="1"/>
  <c r="N177" i="6"/>
  <c r="AA176" i="6"/>
  <c r="Z176" i="6"/>
  <c r="Q176" i="6"/>
  <c r="O176" i="6"/>
  <c r="P176" i="6" s="1"/>
  <c r="N176" i="6"/>
  <c r="AA175" i="6"/>
  <c r="Z175" i="6"/>
  <c r="Q175" i="6"/>
  <c r="O175" i="6"/>
  <c r="P175" i="6" s="1"/>
  <c r="N175" i="6"/>
  <c r="AA174" i="6"/>
  <c r="Z174" i="6"/>
  <c r="Q174" i="6"/>
  <c r="O174" i="6"/>
  <c r="P174" i="6" s="1"/>
  <c r="N174" i="6"/>
  <c r="AA173" i="6"/>
  <c r="Z173" i="6"/>
  <c r="Q173" i="6"/>
  <c r="O173" i="6"/>
  <c r="P173" i="6" s="1"/>
  <c r="N173" i="6"/>
  <c r="AA172" i="6"/>
  <c r="Z172" i="6"/>
  <c r="Q172" i="6"/>
  <c r="O172" i="6"/>
  <c r="P172" i="6" s="1"/>
  <c r="N172" i="6"/>
  <c r="AA171" i="6"/>
  <c r="Z171" i="6"/>
  <c r="Q171" i="6"/>
  <c r="O171" i="6"/>
  <c r="P171" i="6" s="1"/>
  <c r="N171" i="6"/>
  <c r="AA170" i="6"/>
  <c r="Z170" i="6"/>
  <c r="Q170" i="6"/>
  <c r="O170" i="6"/>
  <c r="P170" i="6" s="1"/>
  <c r="N170" i="6"/>
  <c r="AA169" i="6"/>
  <c r="Z169" i="6"/>
  <c r="Q169" i="6"/>
  <c r="O169" i="6"/>
  <c r="P169" i="6" s="1"/>
  <c r="N169" i="6"/>
  <c r="AA168" i="6"/>
  <c r="Z168" i="6"/>
  <c r="Q168" i="6"/>
  <c r="O168" i="6"/>
  <c r="P168" i="6" s="1"/>
  <c r="N168" i="6"/>
  <c r="AA167" i="6"/>
  <c r="Z167" i="6"/>
  <c r="Q167" i="6"/>
  <c r="O167" i="6"/>
  <c r="P167" i="6" s="1"/>
  <c r="N167" i="6"/>
  <c r="AA166" i="6"/>
  <c r="Z166" i="6"/>
  <c r="Q166" i="6"/>
  <c r="O166" i="6"/>
  <c r="P166" i="6" s="1"/>
  <c r="N166" i="6"/>
  <c r="AA165" i="6"/>
  <c r="Z165" i="6"/>
  <c r="Q165" i="6"/>
  <c r="O165" i="6"/>
  <c r="P165" i="6" s="1"/>
  <c r="N165" i="6"/>
  <c r="AA164" i="6"/>
  <c r="Z164" i="6"/>
  <c r="Q164" i="6"/>
  <c r="O164" i="6"/>
  <c r="P164" i="6" s="1"/>
  <c r="N164" i="6"/>
  <c r="AA163" i="6"/>
  <c r="Z163" i="6"/>
  <c r="Q163" i="6"/>
  <c r="O163" i="6"/>
  <c r="P163" i="6" s="1"/>
  <c r="N163" i="6"/>
  <c r="AA162" i="6"/>
  <c r="Z162" i="6"/>
  <c r="Q162" i="6"/>
  <c r="O162" i="6"/>
  <c r="P162" i="6" s="1"/>
  <c r="N162" i="6"/>
  <c r="AA161" i="6"/>
  <c r="Z161" i="6"/>
  <c r="Q161" i="6"/>
  <c r="O161" i="6"/>
  <c r="P161" i="6" s="1"/>
  <c r="N161" i="6"/>
  <c r="AA160" i="6"/>
  <c r="Z160" i="6"/>
  <c r="Q160" i="6"/>
  <c r="O160" i="6"/>
  <c r="P160" i="6" s="1"/>
  <c r="N160" i="6"/>
  <c r="AA159" i="6"/>
  <c r="Z159" i="6"/>
  <c r="Q159" i="6"/>
  <c r="O159" i="6"/>
  <c r="P159" i="6" s="1"/>
  <c r="N159" i="6"/>
  <c r="AA158" i="6"/>
  <c r="Z158" i="6"/>
  <c r="Q158" i="6"/>
  <c r="O158" i="6"/>
  <c r="P158" i="6" s="1"/>
  <c r="N158" i="6"/>
  <c r="AA157" i="6"/>
  <c r="Z157" i="6"/>
  <c r="Q157" i="6"/>
  <c r="O157" i="6"/>
  <c r="P157" i="6" s="1"/>
  <c r="N157" i="6"/>
  <c r="AA156" i="6"/>
  <c r="Z156" i="6"/>
  <c r="Q156" i="6"/>
  <c r="O156" i="6"/>
  <c r="P156" i="6" s="1"/>
  <c r="N156" i="6"/>
  <c r="AA155" i="6"/>
  <c r="Z155" i="6"/>
  <c r="Q155" i="6"/>
  <c r="O155" i="6"/>
  <c r="P155" i="6" s="1"/>
  <c r="N155" i="6"/>
  <c r="AA154" i="6"/>
  <c r="Z154" i="6"/>
  <c r="Q154" i="6"/>
  <c r="O154" i="6"/>
  <c r="P154" i="6" s="1"/>
  <c r="N154" i="6"/>
  <c r="AA153" i="6"/>
  <c r="Z153" i="6"/>
  <c r="Q153" i="6"/>
  <c r="O153" i="6"/>
  <c r="P153" i="6" s="1"/>
  <c r="N153" i="6"/>
  <c r="AA152" i="6"/>
  <c r="Z152" i="6"/>
  <c r="Q152" i="6"/>
  <c r="O152" i="6"/>
  <c r="P152" i="6" s="1"/>
  <c r="N152" i="6"/>
  <c r="AA151" i="6"/>
  <c r="Z151" i="6"/>
  <c r="Q151" i="6"/>
  <c r="O151" i="6"/>
  <c r="P151" i="6" s="1"/>
  <c r="N151" i="6"/>
  <c r="AA150" i="6"/>
  <c r="Z150" i="6"/>
  <c r="Q150" i="6"/>
  <c r="O150" i="6"/>
  <c r="P150" i="6" s="1"/>
  <c r="N150" i="6"/>
  <c r="AA149" i="6"/>
  <c r="Z149" i="6"/>
  <c r="Q149" i="6"/>
  <c r="O149" i="6"/>
  <c r="P149" i="6" s="1"/>
  <c r="N149" i="6"/>
  <c r="AA148" i="6"/>
  <c r="Z148" i="6"/>
  <c r="Q148" i="6"/>
  <c r="O148" i="6"/>
  <c r="P148" i="6" s="1"/>
  <c r="N148" i="6"/>
  <c r="AA147" i="6"/>
  <c r="Z147" i="6"/>
  <c r="Q147" i="6"/>
  <c r="O147" i="6"/>
  <c r="P147" i="6" s="1"/>
  <c r="N147" i="6"/>
  <c r="AA146" i="6"/>
  <c r="Z146" i="6"/>
  <c r="Q146" i="6"/>
  <c r="O146" i="6"/>
  <c r="P146" i="6" s="1"/>
  <c r="N146" i="6"/>
  <c r="AA145" i="6"/>
  <c r="Z145" i="6"/>
  <c r="Q145" i="6"/>
  <c r="O145" i="6"/>
  <c r="P145" i="6" s="1"/>
  <c r="N145" i="6"/>
  <c r="AA144" i="6"/>
  <c r="Z144" i="6"/>
  <c r="Q144" i="6"/>
  <c r="O144" i="6"/>
  <c r="P144" i="6" s="1"/>
  <c r="N144" i="6"/>
  <c r="AA143" i="6"/>
  <c r="Z143" i="6"/>
  <c r="Q143" i="6"/>
  <c r="O143" i="6"/>
  <c r="P143" i="6" s="1"/>
  <c r="N143" i="6"/>
  <c r="AA142" i="6"/>
  <c r="Z142" i="6"/>
  <c r="Q142" i="6"/>
  <c r="O142" i="6"/>
  <c r="P142" i="6" s="1"/>
  <c r="N142" i="6"/>
  <c r="AA141" i="6"/>
  <c r="Z141" i="6"/>
  <c r="Q141" i="6"/>
  <c r="O141" i="6"/>
  <c r="P141" i="6" s="1"/>
  <c r="N141" i="6"/>
  <c r="AA140" i="6"/>
  <c r="Z140" i="6"/>
  <c r="Q140" i="6"/>
  <c r="O140" i="6"/>
  <c r="P140" i="6" s="1"/>
  <c r="N140" i="6"/>
  <c r="AA139" i="6"/>
  <c r="Z139" i="6"/>
  <c r="Q139" i="6"/>
  <c r="O139" i="6"/>
  <c r="P139" i="6" s="1"/>
  <c r="N139" i="6"/>
  <c r="AA138" i="6"/>
  <c r="Z138" i="6"/>
  <c r="Q138" i="6"/>
  <c r="O138" i="6"/>
  <c r="P138" i="6" s="1"/>
  <c r="N138" i="6"/>
  <c r="AA137" i="6"/>
  <c r="Z137" i="6"/>
  <c r="Q137" i="6"/>
  <c r="O137" i="6"/>
  <c r="P137" i="6" s="1"/>
  <c r="N137" i="6"/>
  <c r="AA136" i="6"/>
  <c r="Z136" i="6"/>
  <c r="Q136" i="6"/>
  <c r="O136" i="6"/>
  <c r="P136" i="6" s="1"/>
  <c r="N136" i="6"/>
  <c r="AA135" i="6"/>
  <c r="Z135" i="6"/>
  <c r="Q135" i="6"/>
  <c r="O135" i="6"/>
  <c r="P135" i="6" s="1"/>
  <c r="N135" i="6"/>
  <c r="AA134" i="6"/>
  <c r="Z134" i="6"/>
  <c r="Q134" i="6"/>
  <c r="O134" i="6"/>
  <c r="P134" i="6" s="1"/>
  <c r="N134" i="6"/>
  <c r="AA133" i="6"/>
  <c r="Z133" i="6"/>
  <c r="Q133" i="6"/>
  <c r="O133" i="6"/>
  <c r="P133" i="6" s="1"/>
  <c r="N133" i="6"/>
  <c r="AA132" i="6"/>
  <c r="Z132" i="6"/>
  <c r="Q132" i="6"/>
  <c r="O132" i="6"/>
  <c r="P132" i="6" s="1"/>
  <c r="N132" i="6"/>
  <c r="AA131" i="6"/>
  <c r="Z131" i="6"/>
  <c r="Q131" i="6"/>
  <c r="O131" i="6"/>
  <c r="P131" i="6" s="1"/>
  <c r="N131" i="6"/>
  <c r="AA130" i="6"/>
  <c r="Z130" i="6"/>
  <c r="Q130" i="6"/>
  <c r="O130" i="6"/>
  <c r="P130" i="6" s="1"/>
  <c r="N130" i="6"/>
  <c r="AA129" i="6"/>
  <c r="Z129" i="6"/>
  <c r="Q129" i="6"/>
  <c r="O129" i="6"/>
  <c r="P129" i="6" s="1"/>
  <c r="N129" i="6"/>
  <c r="AA128" i="6"/>
  <c r="Z128" i="6"/>
  <c r="Q128" i="6"/>
  <c r="O128" i="6"/>
  <c r="P128" i="6" s="1"/>
  <c r="N128" i="6"/>
  <c r="AA127" i="6"/>
  <c r="Z127" i="6"/>
  <c r="Q127" i="6"/>
  <c r="O127" i="6"/>
  <c r="P127" i="6" s="1"/>
  <c r="N127" i="6"/>
  <c r="AA126" i="6"/>
  <c r="Z126" i="6"/>
  <c r="Q126" i="6"/>
  <c r="O126" i="6"/>
  <c r="P126" i="6" s="1"/>
  <c r="N126" i="6"/>
  <c r="AA125" i="6"/>
  <c r="Z125" i="6"/>
  <c r="Q125" i="6"/>
  <c r="O125" i="6"/>
  <c r="P125" i="6" s="1"/>
  <c r="N125" i="6"/>
  <c r="AA124" i="6"/>
  <c r="Z124" i="6"/>
  <c r="Q124" i="6"/>
  <c r="O124" i="6"/>
  <c r="P124" i="6" s="1"/>
  <c r="N124" i="6"/>
  <c r="AA123" i="6"/>
  <c r="Z123" i="6"/>
  <c r="Q123" i="6"/>
  <c r="O123" i="6"/>
  <c r="P123" i="6" s="1"/>
  <c r="N123" i="6"/>
  <c r="AA122" i="6"/>
  <c r="Z122" i="6"/>
  <c r="Q122" i="6"/>
  <c r="O122" i="6"/>
  <c r="P122" i="6" s="1"/>
  <c r="N122" i="6"/>
  <c r="AA121" i="6"/>
  <c r="Z121" i="6"/>
  <c r="Q121" i="6"/>
  <c r="O121" i="6"/>
  <c r="P121" i="6" s="1"/>
  <c r="N121" i="6"/>
  <c r="AA120" i="6"/>
  <c r="Z120" i="6"/>
  <c r="Q120" i="6"/>
  <c r="O120" i="6"/>
  <c r="P120" i="6" s="1"/>
  <c r="N120" i="6"/>
  <c r="AA119" i="6"/>
  <c r="Z119" i="6"/>
  <c r="Q119" i="6"/>
  <c r="O119" i="6"/>
  <c r="P119" i="6" s="1"/>
  <c r="N119" i="6"/>
  <c r="AA118" i="6"/>
  <c r="Z118" i="6"/>
  <c r="Q118" i="6"/>
  <c r="O118" i="6"/>
  <c r="P118" i="6" s="1"/>
  <c r="N118" i="6"/>
  <c r="AA117" i="6"/>
  <c r="Z117" i="6"/>
  <c r="Q117" i="6"/>
  <c r="O117" i="6"/>
  <c r="P117" i="6" s="1"/>
  <c r="N117" i="6"/>
  <c r="AA116" i="6"/>
  <c r="Z116" i="6"/>
  <c r="Q116" i="6"/>
  <c r="O116" i="6"/>
  <c r="P116" i="6" s="1"/>
  <c r="N116" i="6"/>
  <c r="AA115" i="6"/>
  <c r="Z115" i="6"/>
  <c r="Q115" i="6"/>
  <c r="O115" i="6"/>
  <c r="P115" i="6" s="1"/>
  <c r="N115" i="6"/>
  <c r="AA114" i="6"/>
  <c r="Z114" i="6"/>
  <c r="Q114" i="6"/>
  <c r="O114" i="6"/>
  <c r="P114" i="6" s="1"/>
  <c r="N114" i="6"/>
  <c r="AA113" i="6"/>
  <c r="Z113" i="6"/>
  <c r="Q113" i="6"/>
  <c r="O113" i="6"/>
  <c r="P113" i="6" s="1"/>
  <c r="N113" i="6"/>
  <c r="AA112" i="6"/>
  <c r="Z112" i="6"/>
  <c r="Q112" i="6"/>
  <c r="O112" i="6"/>
  <c r="P112" i="6" s="1"/>
  <c r="N112" i="6"/>
  <c r="AA111" i="6"/>
  <c r="Z111" i="6"/>
  <c r="Q111" i="6"/>
  <c r="O111" i="6"/>
  <c r="P111" i="6" s="1"/>
  <c r="N111" i="6"/>
  <c r="AA110" i="6"/>
  <c r="Z110" i="6"/>
  <c r="Q110" i="6"/>
  <c r="O110" i="6"/>
  <c r="P110" i="6" s="1"/>
  <c r="N110" i="6"/>
  <c r="AA109" i="6"/>
  <c r="Z109" i="6"/>
  <c r="Q109" i="6"/>
  <c r="O109" i="6"/>
  <c r="P109" i="6" s="1"/>
  <c r="N109" i="6"/>
  <c r="AA108" i="6"/>
  <c r="Z108" i="6"/>
  <c r="Q108" i="6"/>
  <c r="O108" i="6"/>
  <c r="P108" i="6" s="1"/>
  <c r="N108" i="6"/>
  <c r="AA107" i="6"/>
  <c r="Z107" i="6"/>
  <c r="Q107" i="6"/>
  <c r="O107" i="6"/>
  <c r="P107" i="6" s="1"/>
  <c r="N107" i="6"/>
  <c r="AA106" i="6"/>
  <c r="Z106" i="6"/>
  <c r="Q106" i="6"/>
  <c r="O106" i="6"/>
  <c r="P106" i="6" s="1"/>
  <c r="N106" i="6"/>
  <c r="AA105" i="6"/>
  <c r="Z105" i="6"/>
  <c r="Q105" i="6"/>
  <c r="O105" i="6"/>
  <c r="P105" i="6" s="1"/>
  <c r="N105" i="6"/>
  <c r="AA104" i="6"/>
  <c r="Z104" i="6"/>
  <c r="Q104" i="6"/>
  <c r="O104" i="6"/>
  <c r="P104" i="6" s="1"/>
  <c r="N104" i="6"/>
  <c r="AA103" i="6"/>
  <c r="Z103" i="6"/>
  <c r="Q103" i="6"/>
  <c r="O103" i="6"/>
  <c r="P103" i="6" s="1"/>
  <c r="N103" i="6"/>
  <c r="AA102" i="6"/>
  <c r="Z102" i="6"/>
  <c r="Q102" i="6"/>
  <c r="O102" i="6"/>
  <c r="P102" i="6" s="1"/>
  <c r="N102" i="6"/>
  <c r="AA101" i="6"/>
  <c r="Z101" i="6"/>
  <c r="Q101" i="6"/>
  <c r="O101" i="6"/>
  <c r="P101" i="6" s="1"/>
  <c r="N101" i="6"/>
  <c r="AA100" i="6"/>
  <c r="Z100" i="6"/>
  <c r="Q100" i="6"/>
  <c r="O100" i="6"/>
  <c r="P100" i="6" s="1"/>
  <c r="N100" i="6"/>
  <c r="AA99" i="6"/>
  <c r="Z99" i="6"/>
  <c r="Q99" i="6"/>
  <c r="O99" i="6"/>
  <c r="P99" i="6" s="1"/>
  <c r="N99" i="6"/>
  <c r="AA98" i="6"/>
  <c r="Z98" i="6"/>
  <c r="Q98" i="6"/>
  <c r="O98" i="6"/>
  <c r="P98" i="6" s="1"/>
  <c r="N98" i="6"/>
  <c r="AA97" i="6"/>
  <c r="Z97" i="6"/>
  <c r="Q97" i="6"/>
  <c r="O97" i="6"/>
  <c r="P97" i="6" s="1"/>
  <c r="N97" i="6"/>
  <c r="AA96" i="6"/>
  <c r="Z96" i="6"/>
  <c r="Q96" i="6"/>
  <c r="O96" i="6"/>
  <c r="P96" i="6" s="1"/>
  <c r="N96" i="6"/>
  <c r="AA95" i="6"/>
  <c r="Z95" i="6"/>
  <c r="Q95" i="6"/>
  <c r="O95" i="6"/>
  <c r="P95" i="6" s="1"/>
  <c r="N95" i="6"/>
  <c r="AA94" i="6"/>
  <c r="Z94" i="6"/>
  <c r="Q94" i="6"/>
  <c r="O94" i="6"/>
  <c r="P94" i="6" s="1"/>
  <c r="N94" i="6"/>
  <c r="AA93" i="6"/>
  <c r="Z93" i="6"/>
  <c r="Q93" i="6"/>
  <c r="O93" i="6"/>
  <c r="P93" i="6" s="1"/>
  <c r="N93" i="6"/>
  <c r="AA92" i="6"/>
  <c r="Z92" i="6"/>
  <c r="Q92" i="6"/>
  <c r="O92" i="6"/>
  <c r="P92" i="6" s="1"/>
  <c r="N92" i="6"/>
  <c r="AA91" i="6"/>
  <c r="Z91" i="6"/>
  <c r="Q91" i="6"/>
  <c r="O91" i="6"/>
  <c r="P91" i="6" s="1"/>
  <c r="N91" i="6"/>
  <c r="AA90" i="6"/>
  <c r="Z90" i="6"/>
  <c r="Q90" i="6"/>
  <c r="O90" i="6"/>
  <c r="P90" i="6" s="1"/>
  <c r="N90" i="6"/>
  <c r="AA89" i="6"/>
  <c r="Z89" i="6"/>
  <c r="Q89" i="6"/>
  <c r="O89" i="6"/>
  <c r="P89" i="6" s="1"/>
  <c r="N89" i="6"/>
  <c r="AA88" i="6"/>
  <c r="Z88" i="6"/>
  <c r="Q88" i="6"/>
  <c r="O88" i="6"/>
  <c r="P88" i="6" s="1"/>
  <c r="N88" i="6"/>
  <c r="AA87" i="6"/>
  <c r="Z87" i="6"/>
  <c r="Q87" i="6"/>
  <c r="O87" i="6"/>
  <c r="P87" i="6" s="1"/>
  <c r="N87" i="6"/>
  <c r="AA86" i="6"/>
  <c r="Z86" i="6"/>
  <c r="Q86" i="6"/>
  <c r="O86" i="6"/>
  <c r="P86" i="6" s="1"/>
  <c r="N86" i="6"/>
  <c r="AA85" i="6"/>
  <c r="Z85" i="6"/>
  <c r="Q85" i="6"/>
  <c r="O85" i="6"/>
  <c r="P85" i="6" s="1"/>
  <c r="N85" i="6"/>
  <c r="AA84" i="6"/>
  <c r="Z84" i="6"/>
  <c r="Q84" i="6"/>
  <c r="O84" i="6"/>
  <c r="P84" i="6" s="1"/>
  <c r="N84" i="6"/>
  <c r="AA83" i="6"/>
  <c r="Z83" i="6"/>
  <c r="Q83" i="6"/>
  <c r="O83" i="6"/>
  <c r="P83" i="6" s="1"/>
  <c r="N83" i="6"/>
  <c r="AA82" i="6"/>
  <c r="Z82" i="6"/>
  <c r="Q82" i="6"/>
  <c r="O82" i="6"/>
  <c r="P82" i="6" s="1"/>
  <c r="N82" i="6"/>
  <c r="AA81" i="6"/>
  <c r="Z81" i="6"/>
  <c r="Q81" i="6"/>
  <c r="O81" i="6"/>
  <c r="P81" i="6" s="1"/>
  <c r="N81" i="6"/>
  <c r="AA80" i="6"/>
  <c r="Z80" i="6"/>
  <c r="Q80" i="6"/>
  <c r="O80" i="6"/>
  <c r="P80" i="6" s="1"/>
  <c r="N80" i="6"/>
  <c r="AA79" i="6"/>
  <c r="Z79" i="6"/>
  <c r="Q79" i="6"/>
  <c r="O79" i="6"/>
  <c r="P79" i="6" s="1"/>
  <c r="N79" i="6"/>
  <c r="AA78" i="6"/>
  <c r="Z78" i="6"/>
  <c r="Q78" i="6"/>
  <c r="O78" i="6"/>
  <c r="P78" i="6" s="1"/>
  <c r="N78" i="6"/>
  <c r="AA77" i="6"/>
  <c r="Z77" i="6"/>
  <c r="Q77" i="6"/>
  <c r="O77" i="6"/>
  <c r="P77" i="6" s="1"/>
  <c r="N77" i="6"/>
  <c r="AA76" i="6"/>
  <c r="Z76" i="6"/>
  <c r="Q76" i="6"/>
  <c r="O76" i="6"/>
  <c r="P76" i="6" s="1"/>
  <c r="N76" i="6"/>
  <c r="AA75" i="6"/>
  <c r="Z75" i="6"/>
  <c r="Q75" i="6"/>
  <c r="O75" i="6"/>
  <c r="P75" i="6" s="1"/>
  <c r="N75" i="6"/>
  <c r="AA74" i="6"/>
  <c r="Z74" i="6"/>
  <c r="Q74" i="6"/>
  <c r="O74" i="6"/>
  <c r="P74" i="6" s="1"/>
  <c r="N74" i="6"/>
  <c r="AA70" i="6"/>
  <c r="Z70" i="6"/>
  <c r="Q70" i="6"/>
  <c r="N70" i="6"/>
  <c r="O70" i="6" s="1"/>
  <c r="P70" i="6" s="1"/>
  <c r="AA69" i="6"/>
  <c r="Z69" i="6"/>
  <c r="Q69" i="6"/>
  <c r="O69" i="6"/>
  <c r="P69" i="6" s="1"/>
  <c r="AA68" i="6"/>
  <c r="Z68" i="6"/>
  <c r="Q68" i="6"/>
  <c r="N68" i="6"/>
  <c r="O68" i="6" s="1"/>
  <c r="P68" i="6" s="1"/>
  <c r="AA67" i="6"/>
  <c r="Z67" i="6"/>
  <c r="Q67" i="6"/>
  <c r="N67" i="6"/>
  <c r="O67" i="6" s="1"/>
  <c r="P67" i="6" s="1"/>
  <c r="AA66" i="6"/>
  <c r="Z66" i="6"/>
  <c r="Q66" i="6"/>
  <c r="N66" i="6"/>
  <c r="O66" i="6" s="1"/>
  <c r="P66" i="6" s="1"/>
  <c r="AA65" i="6"/>
  <c r="Z65" i="6"/>
  <c r="N65" i="6"/>
  <c r="O65" i="6" s="1"/>
  <c r="P65" i="6" s="1"/>
  <c r="AA64" i="6"/>
  <c r="Z64" i="6"/>
  <c r="Q64" i="6"/>
  <c r="N64" i="6"/>
  <c r="O64" i="6" s="1"/>
  <c r="P64" i="6" s="1"/>
  <c r="AA63" i="6"/>
  <c r="Z63" i="6"/>
  <c r="Q63" i="6"/>
  <c r="N63" i="6"/>
  <c r="O63" i="6" s="1"/>
  <c r="P63" i="6" s="1"/>
  <c r="AA62" i="6"/>
  <c r="Z62" i="6"/>
  <c r="Q62" i="6"/>
  <c r="N62" i="6"/>
  <c r="O62" i="6" s="1"/>
  <c r="P62" i="6" s="1"/>
  <c r="AA61" i="6"/>
  <c r="Z61" i="6"/>
  <c r="Q61" i="6"/>
  <c r="N61" i="6"/>
  <c r="O61" i="6" s="1"/>
  <c r="P61" i="6" s="1"/>
  <c r="AA60" i="6"/>
  <c r="Z60" i="6"/>
  <c r="Q60" i="6"/>
  <c r="N60" i="6"/>
  <c r="M60" i="6"/>
  <c r="AA59" i="6"/>
  <c r="Z59" i="6"/>
  <c r="Q59" i="6"/>
  <c r="N59" i="6"/>
  <c r="J59" i="6"/>
  <c r="AA58" i="6"/>
  <c r="Z58" i="6"/>
  <c r="Q58" i="6"/>
  <c r="N58" i="6"/>
  <c r="J58" i="6"/>
  <c r="AA57" i="6"/>
  <c r="Z57" i="6"/>
  <c r="Q57" i="6"/>
  <c r="N57" i="6"/>
  <c r="M57" i="6"/>
  <c r="AA56" i="6"/>
  <c r="Z56" i="6"/>
  <c r="Q56" i="6"/>
  <c r="N56" i="6"/>
  <c r="O56" i="6" s="1"/>
  <c r="P56" i="6" s="1"/>
  <c r="AA55" i="6"/>
  <c r="Z55" i="6"/>
  <c r="Q55" i="6"/>
  <c r="N55" i="6"/>
  <c r="M55" i="6"/>
  <c r="J55" i="6"/>
  <c r="AA54" i="6"/>
  <c r="Z54" i="6"/>
  <c r="Q54" i="6"/>
  <c r="N54" i="6"/>
  <c r="O54" i="6" s="1"/>
  <c r="P54" i="6" s="1"/>
  <c r="AA53" i="6"/>
  <c r="Z53" i="6"/>
  <c r="Q53" i="6"/>
  <c r="N53" i="6"/>
  <c r="M53" i="6"/>
  <c r="AA52" i="6"/>
  <c r="Z52" i="6"/>
  <c r="Q52" i="6"/>
  <c r="O52" i="6"/>
  <c r="P52" i="6" s="1"/>
  <c r="AA51" i="6"/>
  <c r="Z51" i="6"/>
  <c r="Q51" i="6"/>
  <c r="O51" i="6"/>
  <c r="P51" i="6" s="1"/>
  <c r="N51" i="6"/>
  <c r="AA50" i="6"/>
  <c r="Z50" i="6"/>
  <c r="Q50" i="6"/>
  <c r="N50" i="6"/>
  <c r="M50" i="6"/>
  <c r="J50" i="6"/>
  <c r="AA49" i="6"/>
  <c r="Z49" i="6"/>
  <c r="Q49" i="6"/>
  <c r="O49" i="6"/>
  <c r="P49" i="6" s="1"/>
  <c r="N49" i="6"/>
  <c r="AA48" i="6"/>
  <c r="Z48" i="6"/>
  <c r="Q48" i="6"/>
  <c r="O48" i="6"/>
  <c r="P48" i="6" s="1"/>
  <c r="N48" i="6"/>
  <c r="AA47" i="6"/>
  <c r="Z47" i="6"/>
  <c r="Q47" i="6"/>
  <c r="N47" i="6"/>
  <c r="M47" i="6"/>
  <c r="J47" i="6"/>
  <c r="AA46" i="6"/>
  <c r="Z46" i="6"/>
  <c r="Q46" i="6"/>
  <c r="O46" i="6"/>
  <c r="P46" i="6" s="1"/>
  <c r="AA45" i="6"/>
  <c r="Z45" i="6"/>
  <c r="Q45" i="6"/>
  <c r="N45" i="6"/>
  <c r="J45" i="6"/>
  <c r="AA44" i="6"/>
  <c r="Z44" i="6"/>
  <c r="Q44" i="6"/>
  <c r="N44" i="6"/>
  <c r="M44" i="6"/>
  <c r="J44" i="6"/>
  <c r="AA43" i="6"/>
  <c r="Z43" i="6"/>
  <c r="Q43" i="6"/>
  <c r="N43" i="6"/>
  <c r="AA42" i="6"/>
  <c r="Z42" i="6"/>
  <c r="Q42" i="6"/>
  <c r="N42" i="6"/>
  <c r="M42" i="6"/>
  <c r="J42" i="6"/>
  <c r="AA41" i="6"/>
  <c r="Z41" i="6"/>
  <c r="Q41" i="6"/>
  <c r="N41" i="6"/>
  <c r="O41" i="6" s="1"/>
  <c r="P41" i="6" s="1"/>
  <c r="AA40" i="6"/>
  <c r="Z40" i="6"/>
  <c r="Q40" i="6"/>
  <c r="N40" i="6"/>
  <c r="M40" i="6"/>
  <c r="J40" i="6"/>
  <c r="I39" i="6"/>
  <c r="I38" i="6"/>
  <c r="O38" i="6" s="1"/>
  <c r="P38" i="6" s="1"/>
  <c r="I37" i="6"/>
  <c r="Z37" i="6" s="1"/>
  <c r="AA36" i="6"/>
  <c r="Z36" i="6"/>
  <c r="Q36" i="6"/>
  <c r="O36" i="6"/>
  <c r="P36" i="6" s="1"/>
  <c r="AA35" i="6"/>
  <c r="Z35" i="6"/>
  <c r="Q35" i="6"/>
  <c r="O35" i="6"/>
  <c r="P35" i="6" s="1"/>
  <c r="AA34" i="6"/>
  <c r="Z34" i="6"/>
  <c r="Q34" i="6"/>
  <c r="O34" i="6"/>
  <c r="P34" i="6" s="1"/>
  <c r="AA33" i="6"/>
  <c r="Z33" i="6"/>
  <c r="Q33" i="6"/>
  <c r="O33" i="6"/>
  <c r="P33" i="6" s="1"/>
  <c r="AA32" i="6"/>
  <c r="Z32" i="6"/>
  <c r="Q32" i="6"/>
  <c r="O32" i="6"/>
  <c r="P32" i="6" s="1"/>
  <c r="AA31" i="6"/>
  <c r="Z31" i="6"/>
  <c r="Q31" i="6"/>
  <c r="O31" i="6"/>
  <c r="P31" i="6" s="1"/>
  <c r="N31" i="6"/>
  <c r="AA30" i="6"/>
  <c r="Z30" i="6"/>
  <c r="Q30" i="6"/>
  <c r="O30" i="6"/>
  <c r="P30" i="6" s="1"/>
  <c r="AA29" i="6"/>
  <c r="Z29" i="6"/>
  <c r="Q29" i="6"/>
  <c r="N29" i="6"/>
  <c r="J29" i="6"/>
  <c r="AA28" i="6"/>
  <c r="Z28" i="6"/>
  <c r="Q28" i="6"/>
  <c r="O28" i="6"/>
  <c r="P28" i="6" s="1"/>
  <c r="AA27" i="6"/>
  <c r="Z27" i="6"/>
  <c r="Q27" i="6"/>
  <c r="N27" i="6"/>
  <c r="O27" i="6" s="1"/>
  <c r="P27" i="6" s="1"/>
  <c r="AA26" i="6"/>
  <c r="Z26" i="6"/>
  <c r="Q26" i="6"/>
  <c r="O26" i="6"/>
  <c r="P26" i="6" s="1"/>
  <c r="AA25" i="6"/>
  <c r="Z25" i="6"/>
  <c r="Q25" i="6"/>
  <c r="O25" i="6"/>
  <c r="P25" i="6" s="1"/>
  <c r="N25" i="6"/>
  <c r="AA24" i="6"/>
  <c r="Z24" i="6"/>
  <c r="Q24" i="6"/>
  <c r="O24" i="6"/>
  <c r="P24" i="6" s="1"/>
  <c r="AA23" i="6"/>
  <c r="Z23" i="6"/>
  <c r="Q23" i="6"/>
  <c r="O23" i="6"/>
  <c r="P23" i="6" s="1"/>
  <c r="AA22" i="6"/>
  <c r="Z22" i="6" s="1"/>
  <c r="Q22" i="6"/>
  <c r="O22" i="6"/>
  <c r="P22" i="6" s="1"/>
  <c r="AA21" i="6"/>
  <c r="Z21" i="6"/>
  <c r="Q21" i="6"/>
  <c r="O21" i="6"/>
  <c r="P21" i="6" s="1"/>
  <c r="AA20" i="6"/>
  <c r="Z20" i="6"/>
  <c r="Q20" i="6"/>
  <c r="N20" i="6"/>
  <c r="J20" i="6"/>
  <c r="AA19" i="6"/>
  <c r="Z19" i="6"/>
  <c r="Q19" i="6"/>
  <c r="N19" i="6"/>
  <c r="O19" i="6" s="1"/>
  <c r="P19" i="6" s="1"/>
  <c r="AA18" i="6"/>
  <c r="Z18" i="6"/>
  <c r="Q18" i="6"/>
  <c r="O18" i="6"/>
  <c r="P18" i="6" s="1"/>
  <c r="AA17" i="6"/>
  <c r="Z17" i="6"/>
  <c r="Q17" i="6"/>
  <c r="O17" i="6"/>
  <c r="P17" i="6" s="1"/>
  <c r="AA16" i="6"/>
  <c r="Z16" i="6"/>
  <c r="Q16" i="6"/>
  <c r="N16" i="6"/>
  <c r="O16" i="6" s="1"/>
  <c r="P16" i="6" s="1"/>
  <c r="AA15" i="6"/>
  <c r="Z15" i="6"/>
  <c r="Q15" i="6"/>
  <c r="O15" i="6"/>
  <c r="P15" i="6" s="1"/>
  <c r="AA14" i="6"/>
  <c r="Z14" i="6" s="1"/>
  <c r="Q14" i="6"/>
  <c r="O14" i="6"/>
  <c r="P14" i="6" s="1"/>
  <c r="AA13" i="6"/>
  <c r="Z13" i="6" s="1"/>
  <c r="O13" i="6"/>
  <c r="P13" i="6" s="1"/>
  <c r="AA12" i="6"/>
  <c r="Z12" i="6" s="1"/>
  <c r="Q12" i="6"/>
  <c r="O12" i="6"/>
  <c r="P12" i="6" s="1"/>
  <c r="AA11" i="6"/>
  <c r="Z11" i="6"/>
  <c r="Q11" i="6"/>
  <c r="O11" i="6"/>
  <c r="P11" i="6" s="1"/>
  <c r="AA10" i="6"/>
  <c r="Z10" i="6" s="1"/>
  <c r="Q10" i="6"/>
  <c r="O10" i="6"/>
  <c r="P10" i="6" s="1"/>
  <c r="AA9" i="6"/>
  <c r="Z9" i="6" s="1"/>
  <c r="Q9" i="6"/>
  <c r="O9" i="6"/>
  <c r="P9" i="6" s="1"/>
  <c r="AA8" i="6"/>
  <c r="Z8" i="6"/>
  <c r="Q8" i="6"/>
  <c r="O8" i="6"/>
  <c r="P8" i="6" s="1"/>
  <c r="AA7" i="6"/>
  <c r="Z7" i="6"/>
  <c r="Q7" i="6"/>
  <c r="O7" i="6"/>
  <c r="P7" i="6" s="1"/>
  <c r="AD6" i="6"/>
  <c r="AC6" i="6"/>
  <c r="AB6" i="6"/>
  <c r="AA6" i="6"/>
  <c r="Z6" i="6"/>
  <c r="Q6" i="6"/>
  <c r="O6" i="6"/>
  <c r="P6" i="6" s="1"/>
  <c r="I4" i="6"/>
  <c r="C4" i="6"/>
  <c r="Q862" i="6" l="1"/>
  <c r="C9" i="2"/>
  <c r="B6" i="1"/>
  <c r="B9" i="2"/>
  <c r="Z38" i="6"/>
  <c r="O53" i="6"/>
  <c r="P53" i="6" s="1"/>
  <c r="O45" i="6"/>
  <c r="P45" i="6" s="1"/>
  <c r="O29" i="6"/>
  <c r="P29" i="6" s="1"/>
  <c r="E8" i="1"/>
  <c r="O57" i="6"/>
  <c r="P57" i="6" s="1"/>
  <c r="O55" i="6"/>
  <c r="P55" i="6" s="1"/>
  <c r="O58" i="6"/>
  <c r="P58" i="6" s="1"/>
  <c r="Q37" i="6"/>
  <c r="B8" i="1"/>
  <c r="O44" i="6"/>
  <c r="P44" i="6" s="1"/>
  <c r="O60" i="6"/>
  <c r="P60" i="6" s="1"/>
  <c r="Q38" i="6"/>
  <c r="AA38" i="6"/>
  <c r="O42" i="6"/>
  <c r="P42" i="6" s="1"/>
  <c r="O47" i="6"/>
  <c r="P47" i="6" s="1"/>
  <c r="O43" i="6"/>
  <c r="P43" i="6" s="1"/>
  <c r="O20" i="6"/>
  <c r="P20" i="6" s="1"/>
  <c r="O40" i="6"/>
  <c r="P40" i="6" s="1"/>
  <c r="O50" i="6"/>
  <c r="P50" i="6" s="1"/>
  <c r="H22" i="7"/>
  <c r="B30" i="7"/>
  <c r="E30" i="7" s="1"/>
  <c r="F203" i="4"/>
  <c r="F203" i="3"/>
  <c r="F201" i="4"/>
  <c r="D3" i="7"/>
  <c r="F201" i="3"/>
  <c r="D6" i="4"/>
  <c r="I6" i="4"/>
  <c r="G26" i="1" s="1"/>
  <c r="K30" i="2"/>
  <c r="L30" i="2" s="1"/>
  <c r="B16" i="2" s="1"/>
  <c r="E6" i="3"/>
  <c r="E24" i="1"/>
  <c r="O4" i="6"/>
  <c r="AA37" i="6"/>
  <c r="O37" i="6"/>
  <c r="P37" i="6" s="1"/>
  <c r="AB7" i="6"/>
  <c r="AB8" i="6" s="1"/>
  <c r="AB9" i="6" s="1"/>
  <c r="AB10" i="6" s="1"/>
  <c r="AB11" i="6" s="1"/>
  <c r="AB12" i="6" s="1"/>
  <c r="AB13" i="6" s="1"/>
  <c r="AB14" i="6" s="1"/>
  <c r="AB15" i="6" s="1"/>
  <c r="AB16" i="6" s="1"/>
  <c r="AB17" i="6" s="1"/>
  <c r="AB18" i="6" s="1"/>
  <c r="AB19" i="6" s="1"/>
  <c r="AB20" i="6" s="1"/>
  <c r="AB21" i="6" s="1"/>
  <c r="AB22" i="6" s="1"/>
  <c r="AB23" i="6" s="1"/>
  <c r="AB24" i="6" s="1"/>
  <c r="AB25" i="6" s="1"/>
  <c r="AB26" i="6" s="1"/>
  <c r="AB27" i="6" s="1"/>
  <c r="AB28" i="6" s="1"/>
  <c r="AB29" i="6" s="1"/>
  <c r="AB30" i="6" s="1"/>
  <c r="AB31" i="6" s="1"/>
  <c r="AB32" i="6" s="1"/>
  <c r="AB33" i="6" s="1"/>
  <c r="AB34" i="6" s="1"/>
  <c r="AB35" i="6" s="1"/>
  <c r="AB36" i="6" s="1"/>
  <c r="AB37" i="6" s="1"/>
  <c r="AB38" i="6" s="1"/>
  <c r="AB39" i="6" s="1"/>
  <c r="AB40" i="6" s="1"/>
  <c r="AB41" i="6" s="1"/>
  <c r="AB42" i="6" s="1"/>
  <c r="AB43" i="6" s="1"/>
  <c r="AB44" i="6" s="1"/>
  <c r="AB45" i="6" s="1"/>
  <c r="AB46" i="6" s="1"/>
  <c r="AB47" i="6" s="1"/>
  <c r="AB48" i="6" s="1"/>
  <c r="AB49" i="6" s="1"/>
  <c r="AB50" i="6" s="1"/>
  <c r="AB51" i="6" s="1"/>
  <c r="AB52" i="6" s="1"/>
  <c r="AB53" i="6" s="1"/>
  <c r="AB54" i="6" s="1"/>
  <c r="AB55" i="6" s="1"/>
  <c r="AB56" i="6" s="1"/>
  <c r="AB57" i="6" s="1"/>
  <c r="AB58" i="6" s="1"/>
  <c r="AB59" i="6" s="1"/>
  <c r="AB60" i="6" s="1"/>
  <c r="AB61" i="6" s="1"/>
  <c r="AB62" i="6" s="1"/>
  <c r="AB63" i="6" s="1"/>
  <c r="AB64" i="6" s="1"/>
  <c r="AB65" i="6" s="1"/>
  <c r="AB66" i="6" s="1"/>
  <c r="AB67" i="6" s="1"/>
  <c r="AB68" i="6" s="1"/>
  <c r="AB69" i="6" s="1"/>
  <c r="AB70" i="6" s="1"/>
  <c r="AC7" i="6"/>
  <c r="AC8" i="6" s="1"/>
  <c r="AC9" i="6" s="1"/>
  <c r="AC10" i="6" s="1"/>
  <c r="AC11" i="6" s="1"/>
  <c r="AC12" i="6" s="1"/>
  <c r="AC13" i="6" s="1"/>
  <c r="AC14" i="6" s="1"/>
  <c r="AC15" i="6" s="1"/>
  <c r="AC16" i="6" s="1"/>
  <c r="AC17" i="6" s="1"/>
  <c r="AC18" i="6" s="1"/>
  <c r="AC19" i="6" s="1"/>
  <c r="AC20" i="6" s="1"/>
  <c r="AC21" i="6" s="1"/>
  <c r="AC22" i="6" s="1"/>
  <c r="AC23" i="6" s="1"/>
  <c r="AC24" i="6" s="1"/>
  <c r="AC25" i="6" s="1"/>
  <c r="AC26" i="6" s="1"/>
  <c r="AC27" i="6" s="1"/>
  <c r="AC28" i="6" s="1"/>
  <c r="AC29" i="6" s="1"/>
  <c r="AC30" i="6" s="1"/>
  <c r="AC31" i="6" s="1"/>
  <c r="AC32" i="6" s="1"/>
  <c r="AC33" i="6" s="1"/>
  <c r="AC34" i="6" s="1"/>
  <c r="AC35" i="6" s="1"/>
  <c r="AC36" i="6" s="1"/>
  <c r="AC37" i="6" s="1"/>
  <c r="AC38" i="6" s="1"/>
  <c r="AC39" i="6" s="1"/>
  <c r="AC40" i="6" s="1"/>
  <c r="AC41" i="6" s="1"/>
  <c r="AC42" i="6" s="1"/>
  <c r="AC43" i="6" s="1"/>
  <c r="AC44" i="6" s="1"/>
  <c r="AC45" i="6" s="1"/>
  <c r="AC46" i="6" s="1"/>
  <c r="AC47" i="6" s="1"/>
  <c r="AC48" i="6" s="1"/>
  <c r="AC49" i="6" s="1"/>
  <c r="AC50" i="6" s="1"/>
  <c r="AC51" i="6" s="1"/>
  <c r="AC52" i="6" s="1"/>
  <c r="AC53" i="6" s="1"/>
  <c r="AC54" i="6" s="1"/>
  <c r="AC55" i="6" s="1"/>
  <c r="AC56" i="6" s="1"/>
  <c r="AC57" i="6" s="1"/>
  <c r="AC58" i="6" s="1"/>
  <c r="AC59" i="6" s="1"/>
  <c r="AC60" i="6" s="1"/>
  <c r="AC61" i="6" s="1"/>
  <c r="AC62" i="6" s="1"/>
  <c r="AC63" i="6" s="1"/>
  <c r="AC64" i="6" s="1"/>
  <c r="AC65" i="6" s="1"/>
  <c r="AC66" i="6" s="1"/>
  <c r="AC67" i="6" s="1"/>
  <c r="AC68" i="6" s="1"/>
  <c r="AC69" i="6" s="1"/>
  <c r="AC70" i="6" s="1"/>
  <c r="O59" i="6"/>
  <c r="P59" i="6" s="1"/>
  <c r="Z39" i="6"/>
  <c r="AA39" i="6"/>
  <c r="Q39" i="6"/>
  <c r="O39" i="6"/>
  <c r="P39" i="6" s="1"/>
  <c r="AD7" i="6"/>
  <c r="AC71" i="6" l="1"/>
  <c r="AC72" i="6" s="1"/>
  <c r="AC73" i="6" s="1"/>
  <c r="AC74" i="6" s="1"/>
  <c r="AC75" i="6" s="1"/>
  <c r="AC76" i="6" s="1"/>
  <c r="AC77" i="6" s="1"/>
  <c r="AC78" i="6" s="1"/>
  <c r="AC79" i="6" s="1"/>
  <c r="AC80" i="6" s="1"/>
  <c r="AC81" i="6" s="1"/>
  <c r="AC82" i="6" s="1"/>
  <c r="AC83" i="6" s="1"/>
  <c r="AC84" i="6" s="1"/>
  <c r="AC85" i="6" s="1"/>
  <c r="AC86" i="6" s="1"/>
  <c r="AC87" i="6" s="1"/>
  <c r="AC88" i="6" s="1"/>
  <c r="AC89" i="6" s="1"/>
  <c r="AC90" i="6" s="1"/>
  <c r="AC91" i="6" s="1"/>
  <c r="AC92" i="6" s="1"/>
  <c r="AC93" i="6" s="1"/>
  <c r="AC94" i="6" s="1"/>
  <c r="AC95" i="6" s="1"/>
  <c r="AC96" i="6" s="1"/>
  <c r="AC97" i="6" s="1"/>
  <c r="AC98" i="6" s="1"/>
  <c r="AC99" i="6" s="1"/>
  <c r="AC100" i="6" s="1"/>
  <c r="AC101" i="6" s="1"/>
  <c r="AC102" i="6" s="1"/>
  <c r="AC103" i="6" s="1"/>
  <c r="AC104" i="6" s="1"/>
  <c r="AC105" i="6" s="1"/>
  <c r="AC106" i="6" s="1"/>
  <c r="AC107" i="6" s="1"/>
  <c r="AC108" i="6" s="1"/>
  <c r="AC109" i="6" s="1"/>
  <c r="AC110" i="6" s="1"/>
  <c r="AC111" i="6" s="1"/>
  <c r="AC112" i="6" s="1"/>
  <c r="AC113" i="6" s="1"/>
  <c r="AC114" i="6" s="1"/>
  <c r="AC115" i="6" s="1"/>
  <c r="AC116" i="6" s="1"/>
  <c r="AC117" i="6" s="1"/>
  <c r="AC118" i="6" s="1"/>
  <c r="AC119" i="6" s="1"/>
  <c r="AC120" i="6" s="1"/>
  <c r="AC121" i="6" s="1"/>
  <c r="AC122" i="6" s="1"/>
  <c r="AC123" i="6" s="1"/>
  <c r="AC124" i="6" s="1"/>
  <c r="AC125" i="6" s="1"/>
  <c r="AC126" i="6" s="1"/>
  <c r="AC127" i="6" s="1"/>
  <c r="AC128" i="6" s="1"/>
  <c r="AC129" i="6" s="1"/>
  <c r="AC130" i="6" s="1"/>
  <c r="AC131" i="6" s="1"/>
  <c r="AC132" i="6" s="1"/>
  <c r="AC133" i="6" s="1"/>
  <c r="AC134" i="6" s="1"/>
  <c r="AC135" i="6" s="1"/>
  <c r="AC136" i="6" s="1"/>
  <c r="AC137" i="6" s="1"/>
  <c r="AC138" i="6" s="1"/>
  <c r="AC139" i="6" s="1"/>
  <c r="AC140" i="6" s="1"/>
  <c r="AC141" i="6" s="1"/>
  <c r="AC142" i="6" s="1"/>
  <c r="AC143" i="6" s="1"/>
  <c r="AC144" i="6" s="1"/>
  <c r="AC145" i="6" s="1"/>
  <c r="AC146" i="6" s="1"/>
  <c r="AC147" i="6" s="1"/>
  <c r="AC148" i="6" s="1"/>
  <c r="AC149" i="6" s="1"/>
  <c r="AC150" i="6" s="1"/>
  <c r="AC151" i="6" s="1"/>
  <c r="AC152" i="6" s="1"/>
  <c r="AC153" i="6" s="1"/>
  <c r="AC154" i="6" s="1"/>
  <c r="AC155" i="6" s="1"/>
  <c r="AC156" i="6" s="1"/>
  <c r="AC157" i="6" s="1"/>
  <c r="AC158" i="6" s="1"/>
  <c r="AC159" i="6" s="1"/>
  <c r="AC160" i="6" s="1"/>
  <c r="AC161" i="6" s="1"/>
  <c r="AC162" i="6" s="1"/>
  <c r="AC163" i="6" s="1"/>
  <c r="AC164" i="6" s="1"/>
  <c r="AC165" i="6" s="1"/>
  <c r="AC166" i="6" s="1"/>
  <c r="AC167" i="6" s="1"/>
  <c r="AC168" i="6" s="1"/>
  <c r="AC169" i="6" s="1"/>
  <c r="AC170" i="6" s="1"/>
  <c r="AC171" i="6" s="1"/>
  <c r="AC172" i="6" s="1"/>
  <c r="AC173" i="6" s="1"/>
  <c r="AC174" i="6" s="1"/>
  <c r="AC175" i="6" s="1"/>
  <c r="AC176" i="6" s="1"/>
  <c r="AC177" i="6" s="1"/>
  <c r="AC178" i="6" s="1"/>
  <c r="AC179" i="6" s="1"/>
  <c r="AC180" i="6" s="1"/>
  <c r="AC181" i="6" s="1"/>
  <c r="AC182" i="6" s="1"/>
  <c r="AC183" i="6" s="1"/>
  <c r="AC184" i="6" s="1"/>
  <c r="AC185" i="6" s="1"/>
  <c r="AC186" i="6" s="1"/>
  <c r="AC187" i="6" s="1"/>
  <c r="AC188" i="6" s="1"/>
  <c r="AC189" i="6" s="1"/>
  <c r="AC190" i="6" s="1"/>
  <c r="AC191" i="6" s="1"/>
  <c r="AC192" i="6" s="1"/>
  <c r="AC193" i="6" s="1"/>
  <c r="AC194" i="6" s="1"/>
  <c r="AC195" i="6" s="1"/>
  <c r="AC196" i="6" s="1"/>
  <c r="AC197" i="6" s="1"/>
  <c r="AC198" i="6" s="1"/>
  <c r="AC199" i="6" s="1"/>
  <c r="AC200" i="6" s="1"/>
  <c r="AC201" i="6" s="1"/>
  <c r="AC202" i="6" s="1"/>
  <c r="AC203" i="6" s="1"/>
  <c r="AC204" i="6" s="1"/>
  <c r="AC205" i="6" s="1"/>
  <c r="AC206" i="6" s="1"/>
  <c r="AC207" i="6" s="1"/>
  <c r="AC208" i="6" s="1"/>
  <c r="AC209" i="6" s="1"/>
  <c r="AC210" i="6" s="1"/>
  <c r="AC211" i="6" s="1"/>
  <c r="AC212" i="6" s="1"/>
  <c r="AC213" i="6" s="1"/>
  <c r="AC214" i="6" s="1"/>
  <c r="AC215" i="6" s="1"/>
  <c r="AC216" i="6" s="1"/>
  <c r="AC217" i="6" s="1"/>
  <c r="AC218" i="6" s="1"/>
  <c r="AC219" i="6" s="1"/>
  <c r="AC220" i="6" s="1"/>
  <c r="AC221" i="6" s="1"/>
  <c r="AC222" i="6" s="1"/>
  <c r="AC223" i="6" s="1"/>
  <c r="AC224" i="6" s="1"/>
  <c r="AC225" i="6" s="1"/>
  <c r="AC226" i="6" s="1"/>
  <c r="AC227" i="6" s="1"/>
  <c r="AC228" i="6" s="1"/>
  <c r="AC229" i="6" s="1"/>
  <c r="AC230" i="6" s="1"/>
  <c r="AC231" i="6" s="1"/>
  <c r="AC232" i="6" s="1"/>
  <c r="AC233" i="6" s="1"/>
  <c r="AC234" i="6" s="1"/>
  <c r="AC235" i="6" s="1"/>
  <c r="AC236" i="6" s="1"/>
  <c r="AC237" i="6" s="1"/>
  <c r="AC238" i="6" s="1"/>
  <c r="AC239" i="6" s="1"/>
  <c r="AC240" i="6" s="1"/>
  <c r="AC241" i="6" s="1"/>
  <c r="AC242" i="6" s="1"/>
  <c r="AC243" i="6" s="1"/>
  <c r="AC244" i="6" s="1"/>
  <c r="AC245" i="6" s="1"/>
  <c r="AC246" i="6" s="1"/>
  <c r="AC247" i="6" s="1"/>
  <c r="AC248" i="6" s="1"/>
  <c r="AC249" i="6" s="1"/>
  <c r="AC250" i="6" s="1"/>
  <c r="AC251" i="6" s="1"/>
  <c r="AC252" i="6" s="1"/>
  <c r="AC253" i="6" s="1"/>
  <c r="AC254" i="6" s="1"/>
  <c r="AC255" i="6" s="1"/>
  <c r="AC256" i="6" s="1"/>
  <c r="AC257" i="6" s="1"/>
  <c r="AC258" i="6" s="1"/>
  <c r="AC259" i="6" s="1"/>
  <c r="AC260" i="6" s="1"/>
  <c r="AC261" i="6" s="1"/>
  <c r="AC262" i="6" s="1"/>
  <c r="AC263" i="6" s="1"/>
  <c r="AC264" i="6" s="1"/>
  <c r="AC265" i="6" s="1"/>
  <c r="AC266" i="6" s="1"/>
  <c r="AC267" i="6" s="1"/>
  <c r="AC268" i="6" s="1"/>
  <c r="AC269" i="6" s="1"/>
  <c r="AC270" i="6" s="1"/>
  <c r="AC271" i="6" s="1"/>
  <c r="AC272" i="6" s="1"/>
  <c r="AC273" i="6" s="1"/>
  <c r="AC274" i="6" s="1"/>
  <c r="AC275" i="6" s="1"/>
  <c r="AC276" i="6" s="1"/>
  <c r="AC277" i="6" s="1"/>
  <c r="AC278" i="6" s="1"/>
  <c r="AC279" i="6" s="1"/>
  <c r="AC280" i="6" s="1"/>
  <c r="AC281" i="6" s="1"/>
  <c r="AC282" i="6" s="1"/>
  <c r="AC283" i="6" s="1"/>
  <c r="AC284" i="6" s="1"/>
  <c r="AC285" i="6" s="1"/>
  <c r="AC286" i="6" s="1"/>
  <c r="AC287" i="6" s="1"/>
  <c r="AC288" i="6" s="1"/>
  <c r="AC289" i="6" s="1"/>
  <c r="AC290" i="6" s="1"/>
  <c r="AC291" i="6" s="1"/>
  <c r="AC292" i="6" s="1"/>
  <c r="AC293" i="6" s="1"/>
  <c r="AC294" i="6" s="1"/>
  <c r="AC295" i="6" s="1"/>
  <c r="AC296" i="6" s="1"/>
  <c r="AC297" i="6" s="1"/>
  <c r="AC298" i="6" s="1"/>
  <c r="AC299" i="6" s="1"/>
  <c r="AC300" i="6" s="1"/>
  <c r="AC301" i="6" s="1"/>
  <c r="AC302" i="6" s="1"/>
  <c r="AC303" i="6" s="1"/>
  <c r="AC304" i="6" s="1"/>
  <c r="AC305" i="6" s="1"/>
  <c r="AC306" i="6" s="1"/>
  <c r="AC307" i="6" s="1"/>
  <c r="AC308" i="6" s="1"/>
  <c r="AC309" i="6" s="1"/>
  <c r="AC310" i="6" s="1"/>
  <c r="AC311" i="6" s="1"/>
  <c r="AC312" i="6" s="1"/>
  <c r="AC313" i="6" s="1"/>
  <c r="AC314" i="6" s="1"/>
  <c r="AC315" i="6" s="1"/>
  <c r="AC316" i="6" s="1"/>
  <c r="AC317" i="6" s="1"/>
  <c r="AC318" i="6" s="1"/>
  <c r="AC319" i="6" s="1"/>
  <c r="AC320" i="6" s="1"/>
  <c r="AC321" i="6" s="1"/>
  <c r="AC322" i="6" s="1"/>
  <c r="AC323" i="6" s="1"/>
  <c r="AC324" i="6" s="1"/>
  <c r="AC325" i="6" s="1"/>
  <c r="AC326" i="6" s="1"/>
  <c r="AC327" i="6" s="1"/>
  <c r="AC328" i="6" s="1"/>
  <c r="AC329" i="6" s="1"/>
  <c r="AC330" i="6" s="1"/>
  <c r="AC331" i="6" s="1"/>
  <c r="AC332" i="6" s="1"/>
  <c r="AC333" i="6" s="1"/>
  <c r="AC334" i="6" s="1"/>
  <c r="AC335" i="6" s="1"/>
  <c r="AC336" i="6" s="1"/>
  <c r="AC337" i="6" s="1"/>
  <c r="AC338" i="6" s="1"/>
  <c r="AC339" i="6" s="1"/>
  <c r="AC340" i="6" s="1"/>
  <c r="AC341" i="6" s="1"/>
  <c r="AC342" i="6" s="1"/>
  <c r="AC343" i="6" s="1"/>
  <c r="AC344" i="6" s="1"/>
  <c r="AC345" i="6" s="1"/>
  <c r="AC346" i="6" s="1"/>
  <c r="AC347" i="6" s="1"/>
  <c r="AC348" i="6" s="1"/>
  <c r="AC349" i="6" s="1"/>
  <c r="AC350" i="6" s="1"/>
  <c r="AC351" i="6" s="1"/>
  <c r="AC352" i="6" s="1"/>
  <c r="AC353" i="6" s="1"/>
  <c r="AC354" i="6" s="1"/>
  <c r="AC355" i="6" s="1"/>
  <c r="AC356" i="6" s="1"/>
  <c r="AC357" i="6" s="1"/>
  <c r="AC358" i="6" s="1"/>
  <c r="AC359" i="6" s="1"/>
  <c r="AC360" i="6" s="1"/>
  <c r="AC361" i="6" s="1"/>
  <c r="AC362" i="6" s="1"/>
  <c r="AC363" i="6" s="1"/>
  <c r="AC364" i="6" s="1"/>
  <c r="AC365" i="6" s="1"/>
  <c r="AC366" i="6" s="1"/>
  <c r="AC367" i="6" s="1"/>
  <c r="AC368" i="6" s="1"/>
  <c r="AC369" i="6" s="1"/>
  <c r="AC370" i="6" s="1"/>
  <c r="AC371" i="6" s="1"/>
  <c r="AC372" i="6" s="1"/>
  <c r="AC373" i="6" s="1"/>
  <c r="AC374" i="6" s="1"/>
  <c r="AC375" i="6" s="1"/>
  <c r="AC376" i="6" s="1"/>
  <c r="AC377" i="6" s="1"/>
  <c r="AC378" i="6" s="1"/>
  <c r="AC379" i="6" s="1"/>
  <c r="AC380" i="6" s="1"/>
  <c r="AC381" i="6" s="1"/>
  <c r="AC382" i="6" s="1"/>
  <c r="AC383" i="6" s="1"/>
  <c r="AC384" i="6" s="1"/>
  <c r="AC385" i="6" s="1"/>
  <c r="AC386" i="6" s="1"/>
  <c r="AC387" i="6" s="1"/>
  <c r="AC388" i="6" s="1"/>
  <c r="AC389" i="6" s="1"/>
  <c r="AC390" i="6" s="1"/>
  <c r="AC391" i="6" s="1"/>
  <c r="AC392" i="6" s="1"/>
  <c r="AC393" i="6" s="1"/>
  <c r="AC394" i="6" s="1"/>
  <c r="AC395" i="6" s="1"/>
  <c r="AC396" i="6" s="1"/>
  <c r="AC397" i="6" s="1"/>
  <c r="AC398" i="6" s="1"/>
  <c r="AC399" i="6" s="1"/>
  <c r="AC400" i="6" s="1"/>
  <c r="AC401" i="6" s="1"/>
  <c r="AC402" i="6" s="1"/>
  <c r="AC403" i="6" s="1"/>
  <c r="AC404" i="6" s="1"/>
  <c r="AC405" i="6" s="1"/>
  <c r="AC406" i="6" s="1"/>
  <c r="AC407" i="6" s="1"/>
  <c r="AC408" i="6" s="1"/>
  <c r="AC409" i="6" s="1"/>
  <c r="AC410" i="6" s="1"/>
  <c r="AC411" i="6" s="1"/>
  <c r="AC412" i="6" s="1"/>
  <c r="AC413" i="6" s="1"/>
  <c r="AC414" i="6" s="1"/>
  <c r="AC415" i="6" s="1"/>
  <c r="AC416" i="6" s="1"/>
  <c r="AC417" i="6" s="1"/>
  <c r="AC418" i="6" s="1"/>
  <c r="AC419" i="6" s="1"/>
  <c r="AC420" i="6" s="1"/>
  <c r="AC421" i="6" s="1"/>
  <c r="AC422" i="6" s="1"/>
  <c r="AC423" i="6" s="1"/>
  <c r="AC424" i="6" s="1"/>
  <c r="AC425" i="6" s="1"/>
  <c r="AC426" i="6" s="1"/>
  <c r="AC427" i="6" s="1"/>
  <c r="AC428" i="6" s="1"/>
  <c r="AC429" i="6" s="1"/>
  <c r="AC430" i="6" s="1"/>
  <c r="AC431" i="6" s="1"/>
  <c r="AC432" i="6" s="1"/>
  <c r="AC433" i="6" s="1"/>
  <c r="AC434" i="6" s="1"/>
  <c r="AC435" i="6" s="1"/>
  <c r="AC436" i="6" s="1"/>
  <c r="AC437" i="6" s="1"/>
  <c r="AC438" i="6" s="1"/>
  <c r="AC439" i="6" s="1"/>
  <c r="AC440" i="6" s="1"/>
  <c r="AC441" i="6" s="1"/>
  <c r="AC442" i="6" s="1"/>
  <c r="AC443" i="6" s="1"/>
  <c r="AC444" i="6" s="1"/>
  <c r="AC445" i="6" s="1"/>
  <c r="AC446" i="6" s="1"/>
  <c r="AC447" i="6" s="1"/>
  <c r="AC448" i="6" s="1"/>
  <c r="AC449" i="6" s="1"/>
  <c r="AC450" i="6" s="1"/>
  <c r="AC451" i="6" s="1"/>
  <c r="AC452" i="6" s="1"/>
  <c r="AC453" i="6" s="1"/>
  <c r="AC454" i="6" s="1"/>
  <c r="AC455" i="6" s="1"/>
  <c r="AC456" i="6" s="1"/>
  <c r="AC457" i="6" s="1"/>
  <c r="AC458" i="6" s="1"/>
  <c r="AC459" i="6" s="1"/>
  <c r="AC460" i="6" s="1"/>
  <c r="AC461" i="6" s="1"/>
  <c r="AC462" i="6" s="1"/>
  <c r="AC463" i="6" s="1"/>
  <c r="AC464" i="6" s="1"/>
  <c r="AC465" i="6" s="1"/>
  <c r="AC466" i="6" s="1"/>
  <c r="AC467" i="6" s="1"/>
  <c r="AC468" i="6" s="1"/>
  <c r="AC469" i="6" s="1"/>
  <c r="AC470" i="6" s="1"/>
  <c r="AC471" i="6" s="1"/>
  <c r="AC472" i="6" s="1"/>
  <c r="AC473" i="6" s="1"/>
  <c r="AC474" i="6" s="1"/>
  <c r="AC475" i="6" s="1"/>
  <c r="AC476" i="6" s="1"/>
  <c r="AC477" i="6" s="1"/>
  <c r="AC478" i="6" s="1"/>
  <c r="AC479" i="6" s="1"/>
  <c r="AC480" i="6" s="1"/>
  <c r="AC481" i="6" s="1"/>
  <c r="AC482" i="6" s="1"/>
  <c r="AC483" i="6" s="1"/>
  <c r="AC484" i="6" s="1"/>
  <c r="AC485" i="6" s="1"/>
  <c r="AC486" i="6" s="1"/>
  <c r="AC487" i="6" s="1"/>
  <c r="AC488" i="6" s="1"/>
  <c r="AC489" i="6" s="1"/>
  <c r="AC490" i="6" s="1"/>
  <c r="AC491" i="6" s="1"/>
  <c r="AC492" i="6" s="1"/>
  <c r="AC493" i="6" s="1"/>
  <c r="AC494" i="6" s="1"/>
  <c r="AC495" i="6" s="1"/>
  <c r="AC496" i="6" s="1"/>
  <c r="AC497" i="6" s="1"/>
  <c r="AC498" i="6" s="1"/>
  <c r="AC499" i="6" s="1"/>
  <c r="AC500" i="6" s="1"/>
  <c r="AC501" i="6" s="1"/>
  <c r="AC502" i="6" s="1"/>
  <c r="AC503" i="6" s="1"/>
  <c r="AC504" i="6" s="1"/>
  <c r="AC505" i="6" s="1"/>
  <c r="AC506" i="6" s="1"/>
  <c r="AC507" i="6" s="1"/>
  <c r="AC508" i="6" s="1"/>
  <c r="AC509" i="6" s="1"/>
  <c r="AC510" i="6" s="1"/>
  <c r="AC511" i="6" s="1"/>
  <c r="AC512" i="6" s="1"/>
  <c r="AC513" i="6" s="1"/>
  <c r="AC514" i="6" s="1"/>
  <c r="AC515" i="6" s="1"/>
  <c r="AC516" i="6" s="1"/>
  <c r="AC517" i="6" s="1"/>
  <c r="AC518" i="6" s="1"/>
  <c r="AC519" i="6" s="1"/>
  <c r="AC520" i="6" s="1"/>
  <c r="AC521" i="6" s="1"/>
  <c r="AC522" i="6" s="1"/>
  <c r="AC523" i="6" s="1"/>
  <c r="AC524" i="6" s="1"/>
  <c r="AC525" i="6" s="1"/>
  <c r="AC526" i="6" s="1"/>
  <c r="AC527" i="6" s="1"/>
  <c r="AC528" i="6" s="1"/>
  <c r="AC529" i="6" s="1"/>
  <c r="AC530" i="6" s="1"/>
  <c r="AC531" i="6" s="1"/>
  <c r="AC532" i="6" s="1"/>
  <c r="AC533" i="6" s="1"/>
  <c r="AC534" i="6" s="1"/>
  <c r="AC535" i="6" s="1"/>
  <c r="AC536" i="6" s="1"/>
  <c r="AC537" i="6" s="1"/>
  <c r="AC538" i="6" s="1"/>
  <c r="AC539" i="6" s="1"/>
  <c r="AC540" i="6" s="1"/>
  <c r="AC541" i="6" s="1"/>
  <c r="AC542" i="6" s="1"/>
  <c r="AC543" i="6" s="1"/>
  <c r="AC544" i="6" s="1"/>
  <c r="AC545" i="6" s="1"/>
  <c r="AC546" i="6" s="1"/>
  <c r="AC547" i="6" s="1"/>
  <c r="AC548" i="6" s="1"/>
  <c r="AC549" i="6" s="1"/>
  <c r="AC550" i="6" s="1"/>
  <c r="AC551" i="6" s="1"/>
  <c r="AC552" i="6" s="1"/>
  <c r="AC553" i="6" s="1"/>
  <c r="AC554" i="6" s="1"/>
  <c r="AC555" i="6" s="1"/>
  <c r="AC556" i="6" s="1"/>
  <c r="AC557" i="6" s="1"/>
  <c r="AC558" i="6" s="1"/>
  <c r="AC559" i="6" s="1"/>
  <c r="AC560" i="6" s="1"/>
  <c r="AC561" i="6" s="1"/>
  <c r="AC562" i="6" s="1"/>
  <c r="AC563" i="6" s="1"/>
  <c r="AC564" i="6" s="1"/>
  <c r="AC565" i="6" s="1"/>
  <c r="AC566" i="6" s="1"/>
  <c r="AC567" i="6" s="1"/>
  <c r="AC568" i="6" s="1"/>
  <c r="AC569" i="6" s="1"/>
  <c r="AC570" i="6" s="1"/>
  <c r="AC571" i="6" s="1"/>
  <c r="AC572" i="6" s="1"/>
  <c r="AC573" i="6" s="1"/>
  <c r="AC574" i="6" s="1"/>
  <c r="AC575" i="6" s="1"/>
  <c r="AC576" i="6" s="1"/>
  <c r="AC577" i="6" s="1"/>
  <c r="AC578" i="6" s="1"/>
  <c r="AC579" i="6" s="1"/>
  <c r="AC580" i="6" s="1"/>
  <c r="AC581" i="6" s="1"/>
  <c r="AC582" i="6" s="1"/>
  <c r="AC583" i="6" s="1"/>
  <c r="AC584" i="6" s="1"/>
  <c r="AC585" i="6" s="1"/>
  <c r="AC586" i="6" s="1"/>
  <c r="AC587" i="6" s="1"/>
  <c r="AC588" i="6" s="1"/>
  <c r="AC589" i="6" s="1"/>
  <c r="AC590" i="6" s="1"/>
  <c r="AC591" i="6" s="1"/>
  <c r="AC592" i="6" s="1"/>
  <c r="AC593" i="6" s="1"/>
  <c r="AC594" i="6" s="1"/>
  <c r="AC595" i="6" s="1"/>
  <c r="AC596" i="6" s="1"/>
  <c r="AC597" i="6" s="1"/>
  <c r="AC598" i="6" s="1"/>
  <c r="AC599" i="6" s="1"/>
  <c r="AC600" i="6" s="1"/>
  <c r="AC601" i="6" s="1"/>
  <c r="AC602" i="6" s="1"/>
  <c r="AC603" i="6" s="1"/>
  <c r="AC604" i="6" s="1"/>
  <c r="AC605" i="6" s="1"/>
  <c r="AC606" i="6" s="1"/>
  <c r="AC607" i="6" s="1"/>
  <c r="AC608" i="6" s="1"/>
  <c r="AC609" i="6" s="1"/>
  <c r="AC610" i="6" s="1"/>
  <c r="AC611" i="6" s="1"/>
  <c r="AC612" i="6" s="1"/>
  <c r="AC613" i="6" s="1"/>
  <c r="AC614" i="6" s="1"/>
  <c r="AC615" i="6" s="1"/>
  <c r="AC616" i="6" s="1"/>
  <c r="AC617" i="6" s="1"/>
  <c r="AC618" i="6" s="1"/>
  <c r="AC619" i="6" s="1"/>
  <c r="AC620" i="6" s="1"/>
  <c r="AC621" i="6" s="1"/>
  <c r="AC622" i="6" s="1"/>
  <c r="AC623" i="6" s="1"/>
  <c r="AC624" i="6" s="1"/>
  <c r="AC625" i="6" s="1"/>
  <c r="AC626" i="6" s="1"/>
  <c r="AC627" i="6" s="1"/>
  <c r="AC628" i="6" s="1"/>
  <c r="AC629" i="6" s="1"/>
  <c r="AC630" i="6" s="1"/>
  <c r="AC631" i="6" s="1"/>
  <c r="AC632" i="6" s="1"/>
  <c r="AC633" i="6" s="1"/>
  <c r="AC634" i="6" s="1"/>
  <c r="AC635" i="6" s="1"/>
  <c r="AC636" i="6" s="1"/>
  <c r="AC637" i="6" s="1"/>
  <c r="AC638" i="6" s="1"/>
  <c r="AC639" i="6" s="1"/>
  <c r="AC640" i="6" s="1"/>
  <c r="AC641" i="6" s="1"/>
  <c r="AC642" i="6" s="1"/>
  <c r="AC643" i="6" s="1"/>
  <c r="AC644" i="6" s="1"/>
  <c r="AC645" i="6" s="1"/>
  <c r="AC646" i="6" s="1"/>
  <c r="AC647" i="6" s="1"/>
  <c r="AC648" i="6" s="1"/>
  <c r="AC649" i="6" s="1"/>
  <c r="AC650" i="6" s="1"/>
  <c r="AC651" i="6" s="1"/>
  <c r="AC652" i="6" s="1"/>
  <c r="AC653" i="6" s="1"/>
  <c r="AC654" i="6" s="1"/>
  <c r="AC655" i="6" s="1"/>
  <c r="AC656" i="6" s="1"/>
  <c r="AC657" i="6" s="1"/>
  <c r="AC658" i="6" s="1"/>
  <c r="AC659" i="6" s="1"/>
  <c r="AC660" i="6" s="1"/>
  <c r="AC661" i="6" s="1"/>
  <c r="AC662" i="6" s="1"/>
  <c r="AC663" i="6" s="1"/>
  <c r="AC664" i="6" s="1"/>
  <c r="AC665" i="6" s="1"/>
  <c r="AC666" i="6" s="1"/>
  <c r="AC667" i="6" s="1"/>
  <c r="AC668" i="6" s="1"/>
  <c r="AC669" i="6" s="1"/>
  <c r="AC670" i="6" s="1"/>
  <c r="AC671" i="6" s="1"/>
  <c r="AC672" i="6" s="1"/>
  <c r="AC673" i="6" s="1"/>
  <c r="AC674" i="6" s="1"/>
  <c r="AC675" i="6" s="1"/>
  <c r="AC676" i="6" s="1"/>
  <c r="AC677" i="6" s="1"/>
  <c r="AC678" i="6" s="1"/>
  <c r="AC679" i="6" s="1"/>
  <c r="AC680" i="6" s="1"/>
  <c r="AC681" i="6" s="1"/>
  <c r="AC682" i="6" s="1"/>
  <c r="AC683" i="6" s="1"/>
  <c r="AC684" i="6" s="1"/>
  <c r="AC685" i="6" s="1"/>
  <c r="AC686" i="6" s="1"/>
  <c r="AC687" i="6" s="1"/>
  <c r="AC688" i="6" s="1"/>
  <c r="AC689" i="6" s="1"/>
  <c r="AC690" i="6" s="1"/>
  <c r="AC691" i="6" s="1"/>
  <c r="AC692" i="6" s="1"/>
  <c r="AC693" i="6" s="1"/>
  <c r="AC694" i="6" s="1"/>
  <c r="AC695" i="6" s="1"/>
  <c r="AC696" i="6" s="1"/>
  <c r="AC697" i="6" s="1"/>
  <c r="AC698" i="6" s="1"/>
  <c r="AC699" i="6" s="1"/>
  <c r="AC700" i="6" s="1"/>
  <c r="AC701" i="6" s="1"/>
  <c r="AC702" i="6" s="1"/>
  <c r="AC703" i="6" s="1"/>
  <c r="AC704" i="6" s="1"/>
  <c r="AC705" i="6" s="1"/>
  <c r="AC706" i="6" s="1"/>
  <c r="AC707" i="6" s="1"/>
  <c r="AC708" i="6" s="1"/>
  <c r="AC709" i="6" s="1"/>
  <c r="AC710" i="6" s="1"/>
  <c r="AC711" i="6" s="1"/>
  <c r="AC712" i="6" s="1"/>
  <c r="AC713" i="6" s="1"/>
  <c r="AC714" i="6" s="1"/>
  <c r="AC715" i="6" s="1"/>
  <c r="AC716" i="6" s="1"/>
  <c r="AC717" i="6" s="1"/>
  <c r="AC718" i="6" s="1"/>
  <c r="AC719" i="6" s="1"/>
  <c r="AC720" i="6" s="1"/>
  <c r="AC721" i="6" s="1"/>
  <c r="AC722" i="6" s="1"/>
  <c r="AC723" i="6" s="1"/>
  <c r="AC724" i="6" s="1"/>
  <c r="AC725" i="6" s="1"/>
  <c r="AC726" i="6" s="1"/>
  <c r="AC727" i="6" s="1"/>
  <c r="AC728" i="6" s="1"/>
  <c r="AC729" i="6" s="1"/>
  <c r="AC730" i="6" s="1"/>
  <c r="AC731" i="6" s="1"/>
  <c r="AC732" i="6" s="1"/>
  <c r="AC733" i="6" s="1"/>
  <c r="AC734" i="6" s="1"/>
  <c r="AC735" i="6" s="1"/>
  <c r="AC736" i="6" s="1"/>
  <c r="AC737" i="6" s="1"/>
  <c r="AC738" i="6" s="1"/>
  <c r="AC739" i="6" s="1"/>
  <c r="AC740" i="6" s="1"/>
  <c r="AC741" i="6" s="1"/>
  <c r="AC742" i="6" s="1"/>
  <c r="AC743" i="6" s="1"/>
  <c r="AC744" i="6" s="1"/>
  <c r="AC745" i="6" s="1"/>
  <c r="AC746" i="6" s="1"/>
  <c r="AC747" i="6" s="1"/>
  <c r="AC748" i="6" s="1"/>
  <c r="AC749" i="6" s="1"/>
  <c r="AC750" i="6" s="1"/>
  <c r="AC751" i="6" s="1"/>
  <c r="AC752" i="6" s="1"/>
  <c r="AC753" i="6" s="1"/>
  <c r="AC754" i="6" s="1"/>
  <c r="AC755" i="6" s="1"/>
  <c r="AC756" i="6" s="1"/>
  <c r="AC757" i="6" s="1"/>
  <c r="AC758" i="6" s="1"/>
  <c r="AC759" i="6" s="1"/>
  <c r="AC760" i="6" s="1"/>
  <c r="AC761" i="6" s="1"/>
  <c r="AC762" i="6" s="1"/>
  <c r="AC763" i="6" s="1"/>
  <c r="AC764" i="6" s="1"/>
  <c r="AC765" i="6" s="1"/>
  <c r="AC766" i="6" s="1"/>
  <c r="AC767" i="6" s="1"/>
  <c r="AC768" i="6" s="1"/>
  <c r="AC769" i="6" s="1"/>
  <c r="AC770" i="6" s="1"/>
  <c r="AC771" i="6" s="1"/>
  <c r="AC772" i="6" s="1"/>
  <c r="AC773" i="6" s="1"/>
  <c r="AC774" i="6" s="1"/>
  <c r="AC775" i="6" s="1"/>
  <c r="AC776" i="6" s="1"/>
  <c r="AC777" i="6" s="1"/>
  <c r="AC778" i="6" s="1"/>
  <c r="AC779" i="6" s="1"/>
  <c r="AC780" i="6" s="1"/>
  <c r="AC781" i="6" s="1"/>
  <c r="AC782" i="6" s="1"/>
  <c r="AC783" i="6" s="1"/>
  <c r="AC784" i="6" s="1"/>
  <c r="AC785" i="6" s="1"/>
  <c r="AC786" i="6" s="1"/>
  <c r="AC787" i="6" s="1"/>
  <c r="AC788" i="6" s="1"/>
  <c r="AC789" i="6" s="1"/>
  <c r="AC790" i="6" s="1"/>
  <c r="AC791" i="6" s="1"/>
  <c r="AC792" i="6" s="1"/>
  <c r="AC793" i="6" s="1"/>
  <c r="AC794" i="6" s="1"/>
  <c r="AC795" i="6" s="1"/>
  <c r="AC796" i="6" s="1"/>
  <c r="AC797" i="6" s="1"/>
  <c r="AC798" i="6" s="1"/>
  <c r="AC799" i="6" s="1"/>
  <c r="AC800" i="6" s="1"/>
  <c r="AC801" i="6" s="1"/>
  <c r="AC802" i="6" s="1"/>
  <c r="AC803" i="6" s="1"/>
  <c r="AC804" i="6" s="1"/>
  <c r="AC805" i="6" s="1"/>
  <c r="AC806" i="6" s="1"/>
  <c r="AC807" i="6" s="1"/>
  <c r="AC808" i="6" s="1"/>
  <c r="AC809" i="6" s="1"/>
  <c r="AC810" i="6" s="1"/>
  <c r="AC811" i="6" s="1"/>
  <c r="AC812" i="6" s="1"/>
  <c r="AC813" i="6" s="1"/>
  <c r="AC814" i="6" s="1"/>
  <c r="AC815" i="6" s="1"/>
  <c r="AC816" i="6" s="1"/>
  <c r="AC817" i="6" s="1"/>
  <c r="AC818" i="6" s="1"/>
  <c r="AC819" i="6" s="1"/>
  <c r="AC820" i="6" s="1"/>
  <c r="AC821" i="6" s="1"/>
  <c r="AC822" i="6" s="1"/>
  <c r="AC823" i="6" s="1"/>
  <c r="AC824" i="6" s="1"/>
  <c r="AC825" i="6" s="1"/>
  <c r="AC826" i="6" s="1"/>
  <c r="AC827" i="6" s="1"/>
  <c r="AC828" i="6" s="1"/>
  <c r="AC829" i="6" s="1"/>
  <c r="AC830" i="6" s="1"/>
  <c r="AC831" i="6" s="1"/>
  <c r="AC832" i="6" s="1"/>
  <c r="AC833" i="6" s="1"/>
  <c r="AC834" i="6" s="1"/>
  <c r="AC835" i="6" s="1"/>
  <c r="AC836" i="6" s="1"/>
  <c r="AC837" i="6" s="1"/>
  <c r="AC838" i="6" s="1"/>
  <c r="AC839" i="6" s="1"/>
  <c r="AC840" i="6" s="1"/>
  <c r="AC841" i="6" s="1"/>
  <c r="AC842" i="6" s="1"/>
  <c r="AC843" i="6" s="1"/>
  <c r="AC844" i="6" s="1"/>
  <c r="AC845" i="6" s="1"/>
  <c r="AC846" i="6" s="1"/>
  <c r="AC847" i="6" s="1"/>
  <c r="AC848" i="6" s="1"/>
  <c r="AC849" i="6" s="1"/>
  <c r="AC850" i="6" s="1"/>
  <c r="AC851" i="6" s="1"/>
  <c r="AC852" i="6" s="1"/>
  <c r="AC853" i="6" s="1"/>
  <c r="AC854" i="6" s="1"/>
  <c r="AC855" i="6" s="1"/>
  <c r="AC856" i="6" s="1"/>
  <c r="AC857" i="6" s="1"/>
  <c r="AC858" i="6" s="1"/>
  <c r="AC859" i="6" s="1"/>
  <c r="AC860" i="6" s="1"/>
  <c r="AB71" i="6"/>
  <c r="AB72" i="6" s="1"/>
  <c r="AB73" i="6" s="1"/>
  <c r="AB74" i="6" s="1"/>
  <c r="AB75" i="6" s="1"/>
  <c r="AB76" i="6" s="1"/>
  <c r="AB77" i="6" s="1"/>
  <c r="AB78" i="6" s="1"/>
  <c r="AB79" i="6" s="1"/>
  <c r="AB80" i="6" s="1"/>
  <c r="AB81" i="6" s="1"/>
  <c r="AB82" i="6" s="1"/>
  <c r="AB83" i="6" s="1"/>
  <c r="AB84" i="6" s="1"/>
  <c r="AB85" i="6" s="1"/>
  <c r="AB86" i="6" s="1"/>
  <c r="AB87" i="6" s="1"/>
  <c r="AB88" i="6" s="1"/>
  <c r="AB89" i="6" s="1"/>
  <c r="AB90" i="6" s="1"/>
  <c r="AB91" i="6" s="1"/>
  <c r="AB92" i="6" s="1"/>
  <c r="AB93" i="6" s="1"/>
  <c r="AB94" i="6" s="1"/>
  <c r="AB95" i="6" s="1"/>
  <c r="AB96" i="6" s="1"/>
  <c r="AB97" i="6" s="1"/>
  <c r="AB98" i="6" s="1"/>
  <c r="AB99" i="6" s="1"/>
  <c r="AB100" i="6" s="1"/>
  <c r="AB101" i="6" s="1"/>
  <c r="AB102" i="6" s="1"/>
  <c r="AB103" i="6" s="1"/>
  <c r="AB104" i="6" s="1"/>
  <c r="AB105" i="6" s="1"/>
  <c r="AB106" i="6" s="1"/>
  <c r="AB107" i="6" s="1"/>
  <c r="AB108" i="6" s="1"/>
  <c r="AB109" i="6" s="1"/>
  <c r="AB110" i="6" s="1"/>
  <c r="AB111" i="6" s="1"/>
  <c r="AB112" i="6" s="1"/>
  <c r="AB113" i="6" s="1"/>
  <c r="AB114" i="6" s="1"/>
  <c r="AB115" i="6" s="1"/>
  <c r="AB116" i="6" s="1"/>
  <c r="AB117" i="6" s="1"/>
  <c r="AB118" i="6" s="1"/>
  <c r="AB119" i="6" s="1"/>
  <c r="AB120" i="6" s="1"/>
  <c r="AB121" i="6" s="1"/>
  <c r="AB122" i="6" s="1"/>
  <c r="AB123" i="6" s="1"/>
  <c r="AB124" i="6" s="1"/>
  <c r="AB125" i="6" s="1"/>
  <c r="AB126" i="6" s="1"/>
  <c r="AB127" i="6" s="1"/>
  <c r="AB128" i="6" s="1"/>
  <c r="AB129" i="6" s="1"/>
  <c r="AB130" i="6" s="1"/>
  <c r="AB131" i="6" s="1"/>
  <c r="AB132" i="6" s="1"/>
  <c r="AB133" i="6" s="1"/>
  <c r="AB134" i="6" s="1"/>
  <c r="AB135" i="6" s="1"/>
  <c r="AB136" i="6" s="1"/>
  <c r="AB137" i="6" s="1"/>
  <c r="AB138" i="6" s="1"/>
  <c r="AB139" i="6" s="1"/>
  <c r="AB140" i="6" s="1"/>
  <c r="AB141" i="6" s="1"/>
  <c r="AB142" i="6" s="1"/>
  <c r="AB143" i="6" s="1"/>
  <c r="AB144" i="6" s="1"/>
  <c r="AB145" i="6" s="1"/>
  <c r="AB146" i="6" s="1"/>
  <c r="AB147" i="6" s="1"/>
  <c r="AB148" i="6" s="1"/>
  <c r="AB149" i="6" s="1"/>
  <c r="AB150" i="6" s="1"/>
  <c r="AB151" i="6" s="1"/>
  <c r="AB152" i="6" s="1"/>
  <c r="AB153" i="6" s="1"/>
  <c r="AB154" i="6" s="1"/>
  <c r="AB155" i="6" s="1"/>
  <c r="AB156" i="6" s="1"/>
  <c r="AB157" i="6" s="1"/>
  <c r="AB158" i="6" s="1"/>
  <c r="AB159" i="6" s="1"/>
  <c r="AB160" i="6" s="1"/>
  <c r="AB161" i="6" s="1"/>
  <c r="AB162" i="6" s="1"/>
  <c r="AB163" i="6" s="1"/>
  <c r="AB164" i="6" s="1"/>
  <c r="AB165" i="6" s="1"/>
  <c r="AB166" i="6" s="1"/>
  <c r="AB167" i="6" s="1"/>
  <c r="AB168" i="6" s="1"/>
  <c r="AB169" i="6" s="1"/>
  <c r="AB170" i="6" s="1"/>
  <c r="AB171" i="6" s="1"/>
  <c r="AB172" i="6" s="1"/>
  <c r="AB173" i="6" s="1"/>
  <c r="AB174" i="6" s="1"/>
  <c r="AB175" i="6" s="1"/>
  <c r="AB176" i="6" s="1"/>
  <c r="AB177" i="6" s="1"/>
  <c r="AB178" i="6" s="1"/>
  <c r="AB179" i="6" s="1"/>
  <c r="AB180" i="6" s="1"/>
  <c r="AB181" i="6" s="1"/>
  <c r="AB182" i="6" s="1"/>
  <c r="AB183" i="6" s="1"/>
  <c r="AB184" i="6" s="1"/>
  <c r="AB185" i="6" s="1"/>
  <c r="AB186" i="6" s="1"/>
  <c r="AB187" i="6" s="1"/>
  <c r="AB188" i="6" s="1"/>
  <c r="AB189" i="6" s="1"/>
  <c r="AB190" i="6" s="1"/>
  <c r="AB191" i="6" s="1"/>
  <c r="AB192" i="6" s="1"/>
  <c r="AB193" i="6" s="1"/>
  <c r="AB194" i="6" s="1"/>
  <c r="AB195" i="6" s="1"/>
  <c r="AB196" i="6" s="1"/>
  <c r="AB197" i="6" s="1"/>
  <c r="AB198" i="6" s="1"/>
  <c r="AB199" i="6" s="1"/>
  <c r="AB200" i="6" s="1"/>
  <c r="AB201" i="6" s="1"/>
  <c r="AB202" i="6" s="1"/>
  <c r="AB203" i="6" s="1"/>
  <c r="AB204" i="6" s="1"/>
  <c r="AB205" i="6" s="1"/>
  <c r="AB206" i="6" s="1"/>
  <c r="AB207" i="6" s="1"/>
  <c r="AB208" i="6" s="1"/>
  <c r="AB209" i="6" s="1"/>
  <c r="AB210" i="6" s="1"/>
  <c r="AB211" i="6" s="1"/>
  <c r="AB212" i="6" s="1"/>
  <c r="AB213" i="6" s="1"/>
  <c r="AB214" i="6" s="1"/>
  <c r="AB215" i="6" s="1"/>
  <c r="AB216" i="6" s="1"/>
  <c r="AB217" i="6" s="1"/>
  <c r="AB218" i="6" s="1"/>
  <c r="AB219" i="6" s="1"/>
  <c r="AB220" i="6" s="1"/>
  <c r="AB221" i="6" s="1"/>
  <c r="AB222" i="6" s="1"/>
  <c r="AB223" i="6" s="1"/>
  <c r="AB224" i="6" s="1"/>
  <c r="AB225" i="6" s="1"/>
  <c r="AB226" i="6" s="1"/>
  <c r="AB227" i="6" s="1"/>
  <c r="AB228" i="6" s="1"/>
  <c r="AB229" i="6" s="1"/>
  <c r="AB230" i="6" s="1"/>
  <c r="AB231" i="6" s="1"/>
  <c r="AB232" i="6" s="1"/>
  <c r="AB233" i="6" s="1"/>
  <c r="AB234" i="6" s="1"/>
  <c r="AB235" i="6" s="1"/>
  <c r="AB236" i="6" s="1"/>
  <c r="AB237" i="6" s="1"/>
  <c r="AB238" i="6" s="1"/>
  <c r="AB239" i="6" s="1"/>
  <c r="AB240" i="6" s="1"/>
  <c r="AB241" i="6" s="1"/>
  <c r="AB242" i="6" s="1"/>
  <c r="AB243" i="6" s="1"/>
  <c r="AB244" i="6" s="1"/>
  <c r="AB245" i="6" s="1"/>
  <c r="AB246" i="6" s="1"/>
  <c r="AB247" i="6" s="1"/>
  <c r="AB248" i="6" s="1"/>
  <c r="AB249" i="6" s="1"/>
  <c r="AB250" i="6" s="1"/>
  <c r="AB251" i="6" s="1"/>
  <c r="AB252" i="6" s="1"/>
  <c r="AB253" i="6" s="1"/>
  <c r="AB254" i="6" s="1"/>
  <c r="AB255" i="6" s="1"/>
  <c r="AB256" i="6" s="1"/>
  <c r="AB257" i="6" s="1"/>
  <c r="AB258" i="6" s="1"/>
  <c r="AB259" i="6" s="1"/>
  <c r="AB260" i="6" s="1"/>
  <c r="AB261" i="6" s="1"/>
  <c r="AB262" i="6" s="1"/>
  <c r="AB263" i="6" s="1"/>
  <c r="AB264" i="6" s="1"/>
  <c r="AB265" i="6" s="1"/>
  <c r="AB266" i="6" s="1"/>
  <c r="AB267" i="6" s="1"/>
  <c r="AB268" i="6" s="1"/>
  <c r="AB269" i="6" s="1"/>
  <c r="AB270" i="6" s="1"/>
  <c r="AB271" i="6" s="1"/>
  <c r="AB272" i="6" s="1"/>
  <c r="AB273" i="6" s="1"/>
  <c r="AB274" i="6" s="1"/>
  <c r="AB275" i="6" s="1"/>
  <c r="AB276" i="6" s="1"/>
  <c r="AB277" i="6" s="1"/>
  <c r="AB278" i="6" s="1"/>
  <c r="AB279" i="6" s="1"/>
  <c r="AB280" i="6" s="1"/>
  <c r="AB281" i="6" s="1"/>
  <c r="AB282" i="6" s="1"/>
  <c r="AB283" i="6" s="1"/>
  <c r="AB284" i="6" s="1"/>
  <c r="AB285" i="6" s="1"/>
  <c r="AB286" i="6" s="1"/>
  <c r="AB287" i="6" s="1"/>
  <c r="AB288" i="6" s="1"/>
  <c r="AB289" i="6" s="1"/>
  <c r="AB290" i="6" s="1"/>
  <c r="AB291" i="6" s="1"/>
  <c r="AB292" i="6" s="1"/>
  <c r="AB293" i="6" s="1"/>
  <c r="AB294" i="6" s="1"/>
  <c r="AB295" i="6" s="1"/>
  <c r="AB296" i="6" s="1"/>
  <c r="AB297" i="6" s="1"/>
  <c r="AB298" i="6" s="1"/>
  <c r="AB299" i="6" s="1"/>
  <c r="AB300" i="6" s="1"/>
  <c r="AB301" i="6" s="1"/>
  <c r="AB302" i="6" s="1"/>
  <c r="AB303" i="6" s="1"/>
  <c r="AB304" i="6" s="1"/>
  <c r="AB305" i="6" s="1"/>
  <c r="AB306" i="6" s="1"/>
  <c r="AB307" i="6" s="1"/>
  <c r="AB308" i="6" s="1"/>
  <c r="AB309" i="6" s="1"/>
  <c r="AB310" i="6" s="1"/>
  <c r="AB311" i="6" s="1"/>
  <c r="AB312" i="6" s="1"/>
  <c r="AB313" i="6" s="1"/>
  <c r="AB314" i="6" s="1"/>
  <c r="AB315" i="6" s="1"/>
  <c r="AB316" i="6" s="1"/>
  <c r="AB317" i="6" s="1"/>
  <c r="AB318" i="6" s="1"/>
  <c r="AB319" i="6" s="1"/>
  <c r="AB320" i="6" s="1"/>
  <c r="AB321" i="6" s="1"/>
  <c r="AB322" i="6" s="1"/>
  <c r="AB323" i="6" s="1"/>
  <c r="AB324" i="6" s="1"/>
  <c r="AB325" i="6" s="1"/>
  <c r="AB326" i="6" s="1"/>
  <c r="AB327" i="6" s="1"/>
  <c r="AB328" i="6" s="1"/>
  <c r="AB329" i="6" s="1"/>
  <c r="AB330" i="6" s="1"/>
  <c r="AB331" i="6" s="1"/>
  <c r="AB332" i="6" s="1"/>
  <c r="AB333" i="6" s="1"/>
  <c r="AB334" i="6" s="1"/>
  <c r="AB335" i="6" s="1"/>
  <c r="AB336" i="6" s="1"/>
  <c r="AB337" i="6" s="1"/>
  <c r="AB338" i="6" s="1"/>
  <c r="AB339" i="6" s="1"/>
  <c r="AB340" i="6" s="1"/>
  <c r="AB341" i="6" s="1"/>
  <c r="AB342" i="6" s="1"/>
  <c r="AB343" i="6" s="1"/>
  <c r="AB344" i="6" s="1"/>
  <c r="AB345" i="6" s="1"/>
  <c r="AB346" i="6" s="1"/>
  <c r="AB347" i="6" s="1"/>
  <c r="AB348" i="6" s="1"/>
  <c r="AB349" i="6" s="1"/>
  <c r="AB350" i="6" s="1"/>
  <c r="AB351" i="6" s="1"/>
  <c r="AB352" i="6" s="1"/>
  <c r="AB353" i="6" s="1"/>
  <c r="AB354" i="6" s="1"/>
  <c r="AB355" i="6" s="1"/>
  <c r="AB356" i="6" s="1"/>
  <c r="AB357" i="6" s="1"/>
  <c r="AB358" i="6" s="1"/>
  <c r="AB359" i="6" s="1"/>
  <c r="AB360" i="6" s="1"/>
  <c r="AB361" i="6" s="1"/>
  <c r="AB362" i="6" s="1"/>
  <c r="AB363" i="6" s="1"/>
  <c r="AB364" i="6" s="1"/>
  <c r="AB365" i="6" s="1"/>
  <c r="AB366" i="6" s="1"/>
  <c r="AB367" i="6" s="1"/>
  <c r="AB368" i="6" s="1"/>
  <c r="AB369" i="6" s="1"/>
  <c r="AB370" i="6" s="1"/>
  <c r="AB371" i="6" s="1"/>
  <c r="AB372" i="6" s="1"/>
  <c r="AB373" i="6" s="1"/>
  <c r="AB374" i="6" s="1"/>
  <c r="AB375" i="6" s="1"/>
  <c r="AB376" i="6" s="1"/>
  <c r="AB377" i="6" s="1"/>
  <c r="AB378" i="6" s="1"/>
  <c r="AB379" i="6" s="1"/>
  <c r="AB380" i="6" s="1"/>
  <c r="AB381" i="6" s="1"/>
  <c r="AB382" i="6" s="1"/>
  <c r="AB383" i="6" s="1"/>
  <c r="AB384" i="6" s="1"/>
  <c r="AB385" i="6" s="1"/>
  <c r="AB386" i="6" s="1"/>
  <c r="AB387" i="6" s="1"/>
  <c r="AB388" i="6" s="1"/>
  <c r="AB389" i="6" s="1"/>
  <c r="AB390" i="6" s="1"/>
  <c r="AB391" i="6" s="1"/>
  <c r="AB392" i="6" s="1"/>
  <c r="AB393" i="6" s="1"/>
  <c r="AB394" i="6" s="1"/>
  <c r="AB395" i="6" s="1"/>
  <c r="AB396" i="6" s="1"/>
  <c r="AB397" i="6" s="1"/>
  <c r="AB398" i="6" s="1"/>
  <c r="AB399" i="6" s="1"/>
  <c r="AB400" i="6" s="1"/>
  <c r="AB401" i="6" s="1"/>
  <c r="AB402" i="6" s="1"/>
  <c r="AB403" i="6" s="1"/>
  <c r="AB404" i="6" s="1"/>
  <c r="AB405" i="6" s="1"/>
  <c r="AB406" i="6" s="1"/>
  <c r="AB407" i="6" s="1"/>
  <c r="AB408" i="6" s="1"/>
  <c r="AB409" i="6" s="1"/>
  <c r="AB410" i="6" s="1"/>
  <c r="AB411" i="6" s="1"/>
  <c r="AB412" i="6" s="1"/>
  <c r="AB413" i="6" s="1"/>
  <c r="AB414" i="6" s="1"/>
  <c r="AB415" i="6" s="1"/>
  <c r="AB416" i="6" s="1"/>
  <c r="AB417" i="6" s="1"/>
  <c r="AB418" i="6" s="1"/>
  <c r="AB419" i="6" s="1"/>
  <c r="AB420" i="6" s="1"/>
  <c r="AB421" i="6" s="1"/>
  <c r="AB422" i="6" s="1"/>
  <c r="AB423" i="6" s="1"/>
  <c r="AB424" i="6" s="1"/>
  <c r="AB425" i="6" s="1"/>
  <c r="AB426" i="6" s="1"/>
  <c r="AB427" i="6" s="1"/>
  <c r="AB428" i="6" s="1"/>
  <c r="AB429" i="6" s="1"/>
  <c r="AB430" i="6" s="1"/>
  <c r="AB431" i="6" s="1"/>
  <c r="AB432" i="6" s="1"/>
  <c r="AB433" i="6" s="1"/>
  <c r="AB434" i="6" s="1"/>
  <c r="AB435" i="6" s="1"/>
  <c r="AB436" i="6" s="1"/>
  <c r="AB437" i="6" s="1"/>
  <c r="AB438" i="6" s="1"/>
  <c r="AB439" i="6" s="1"/>
  <c r="AB440" i="6" s="1"/>
  <c r="AB441" i="6" s="1"/>
  <c r="AB442" i="6" s="1"/>
  <c r="AB443" i="6" s="1"/>
  <c r="AB444" i="6" s="1"/>
  <c r="AB445" i="6" s="1"/>
  <c r="AB446" i="6" s="1"/>
  <c r="AB447" i="6" s="1"/>
  <c r="AB448" i="6" s="1"/>
  <c r="AB449" i="6" s="1"/>
  <c r="AB450" i="6" s="1"/>
  <c r="AB451" i="6" s="1"/>
  <c r="AB452" i="6" s="1"/>
  <c r="AB453" i="6" s="1"/>
  <c r="AB454" i="6" s="1"/>
  <c r="AB455" i="6" s="1"/>
  <c r="AB456" i="6" s="1"/>
  <c r="AB457" i="6" s="1"/>
  <c r="AB458" i="6" s="1"/>
  <c r="AB459" i="6" s="1"/>
  <c r="AB460" i="6" s="1"/>
  <c r="AB461" i="6" s="1"/>
  <c r="AB462" i="6" s="1"/>
  <c r="AB463" i="6" s="1"/>
  <c r="AB464" i="6" s="1"/>
  <c r="AB465" i="6" s="1"/>
  <c r="AB466" i="6" s="1"/>
  <c r="AB467" i="6" s="1"/>
  <c r="AB468" i="6" s="1"/>
  <c r="AB469" i="6" s="1"/>
  <c r="AB470" i="6" s="1"/>
  <c r="AB471" i="6" s="1"/>
  <c r="AB472" i="6" s="1"/>
  <c r="AB473" i="6" s="1"/>
  <c r="AB474" i="6" s="1"/>
  <c r="AB475" i="6" s="1"/>
  <c r="AB476" i="6" s="1"/>
  <c r="AB477" i="6" s="1"/>
  <c r="AB478" i="6" s="1"/>
  <c r="AB479" i="6" s="1"/>
  <c r="AB480" i="6" s="1"/>
  <c r="AB481" i="6" s="1"/>
  <c r="AB482" i="6" s="1"/>
  <c r="AB483" i="6" s="1"/>
  <c r="AB484" i="6" s="1"/>
  <c r="AB485" i="6" s="1"/>
  <c r="AB486" i="6" s="1"/>
  <c r="AB487" i="6" s="1"/>
  <c r="AB488" i="6" s="1"/>
  <c r="AB489" i="6" s="1"/>
  <c r="AB490" i="6" s="1"/>
  <c r="AB491" i="6" s="1"/>
  <c r="AB492" i="6" s="1"/>
  <c r="AB493" i="6" s="1"/>
  <c r="AB494" i="6" s="1"/>
  <c r="AB495" i="6" s="1"/>
  <c r="AB496" i="6" s="1"/>
  <c r="AB497" i="6" s="1"/>
  <c r="AB498" i="6" s="1"/>
  <c r="AB499" i="6" s="1"/>
  <c r="AB500" i="6" s="1"/>
  <c r="AB501" i="6" s="1"/>
  <c r="AB502" i="6" s="1"/>
  <c r="AB503" i="6" s="1"/>
  <c r="AB504" i="6" s="1"/>
  <c r="AB505" i="6" s="1"/>
  <c r="AB506" i="6" s="1"/>
  <c r="AB507" i="6" s="1"/>
  <c r="AB508" i="6" s="1"/>
  <c r="AB509" i="6" s="1"/>
  <c r="AB510" i="6" s="1"/>
  <c r="AB511" i="6" s="1"/>
  <c r="AB512" i="6" s="1"/>
  <c r="AB513" i="6" s="1"/>
  <c r="AB514" i="6" s="1"/>
  <c r="AB515" i="6" s="1"/>
  <c r="AB516" i="6" s="1"/>
  <c r="AB517" i="6" s="1"/>
  <c r="AB518" i="6" s="1"/>
  <c r="AB519" i="6" s="1"/>
  <c r="AB520" i="6" s="1"/>
  <c r="AB521" i="6" s="1"/>
  <c r="AB522" i="6" s="1"/>
  <c r="AB523" i="6" s="1"/>
  <c r="AB524" i="6" s="1"/>
  <c r="AB525" i="6" s="1"/>
  <c r="AB526" i="6" s="1"/>
  <c r="AB527" i="6" s="1"/>
  <c r="AB528" i="6" s="1"/>
  <c r="AB529" i="6" s="1"/>
  <c r="AB530" i="6" s="1"/>
  <c r="AB531" i="6" s="1"/>
  <c r="AB532" i="6" s="1"/>
  <c r="AB533" i="6" s="1"/>
  <c r="AB534" i="6" s="1"/>
  <c r="AB535" i="6" s="1"/>
  <c r="AB536" i="6" s="1"/>
  <c r="AB537" i="6" s="1"/>
  <c r="AB538" i="6" s="1"/>
  <c r="AB539" i="6" s="1"/>
  <c r="AB540" i="6" s="1"/>
  <c r="AB541" i="6" s="1"/>
  <c r="AB542" i="6" s="1"/>
  <c r="AB543" i="6" s="1"/>
  <c r="AB544" i="6" s="1"/>
  <c r="AB545" i="6" s="1"/>
  <c r="AB546" i="6" s="1"/>
  <c r="AB547" i="6" s="1"/>
  <c r="AB548" i="6" s="1"/>
  <c r="AB549" i="6" s="1"/>
  <c r="AB550" i="6" s="1"/>
  <c r="AB551" i="6" s="1"/>
  <c r="AB552" i="6" s="1"/>
  <c r="AB553" i="6" s="1"/>
  <c r="AB554" i="6" s="1"/>
  <c r="AB555" i="6" s="1"/>
  <c r="AB556" i="6" s="1"/>
  <c r="AB557" i="6" s="1"/>
  <c r="AB558" i="6" s="1"/>
  <c r="AB559" i="6" s="1"/>
  <c r="AB560" i="6" s="1"/>
  <c r="AB561" i="6" s="1"/>
  <c r="AB562" i="6" s="1"/>
  <c r="AB563" i="6" s="1"/>
  <c r="AB564" i="6" s="1"/>
  <c r="AB565" i="6" s="1"/>
  <c r="AB566" i="6" s="1"/>
  <c r="AB567" i="6" s="1"/>
  <c r="AB568" i="6" s="1"/>
  <c r="AB569" i="6" s="1"/>
  <c r="AB570" i="6" s="1"/>
  <c r="AB571" i="6" s="1"/>
  <c r="AB572" i="6" s="1"/>
  <c r="AB573" i="6" s="1"/>
  <c r="AB574" i="6" s="1"/>
  <c r="AB575" i="6" s="1"/>
  <c r="AB576" i="6" s="1"/>
  <c r="AB577" i="6" s="1"/>
  <c r="AB578" i="6" s="1"/>
  <c r="AB579" i="6" s="1"/>
  <c r="AB580" i="6" s="1"/>
  <c r="AB581" i="6" s="1"/>
  <c r="AB582" i="6" s="1"/>
  <c r="AB583" i="6" s="1"/>
  <c r="AB584" i="6" s="1"/>
  <c r="AB585" i="6" s="1"/>
  <c r="AB586" i="6" s="1"/>
  <c r="AB587" i="6" s="1"/>
  <c r="AB588" i="6" s="1"/>
  <c r="AB589" i="6" s="1"/>
  <c r="AB590" i="6" s="1"/>
  <c r="AB591" i="6" s="1"/>
  <c r="AB592" i="6" s="1"/>
  <c r="AB593" i="6" s="1"/>
  <c r="AB594" i="6" s="1"/>
  <c r="AB595" i="6" s="1"/>
  <c r="AB596" i="6" s="1"/>
  <c r="AB597" i="6" s="1"/>
  <c r="AB598" i="6" s="1"/>
  <c r="AB599" i="6" s="1"/>
  <c r="AB600" i="6" s="1"/>
  <c r="AB601" i="6" s="1"/>
  <c r="AB602" i="6" s="1"/>
  <c r="AB603" i="6" s="1"/>
  <c r="AB604" i="6" s="1"/>
  <c r="AB605" i="6" s="1"/>
  <c r="AB606" i="6" s="1"/>
  <c r="AB607" i="6" s="1"/>
  <c r="AB608" i="6" s="1"/>
  <c r="AB609" i="6" s="1"/>
  <c r="AB610" i="6" s="1"/>
  <c r="AB611" i="6" s="1"/>
  <c r="AB612" i="6" s="1"/>
  <c r="AB613" i="6" s="1"/>
  <c r="AB614" i="6" s="1"/>
  <c r="AB615" i="6" s="1"/>
  <c r="AB616" i="6" s="1"/>
  <c r="AB617" i="6" s="1"/>
  <c r="AB618" i="6" s="1"/>
  <c r="AB619" i="6" s="1"/>
  <c r="AB620" i="6" s="1"/>
  <c r="AB621" i="6" s="1"/>
  <c r="AB622" i="6" s="1"/>
  <c r="AB623" i="6" s="1"/>
  <c r="AB624" i="6" s="1"/>
  <c r="AB625" i="6" s="1"/>
  <c r="AB626" i="6" s="1"/>
  <c r="AB627" i="6" s="1"/>
  <c r="AB628" i="6" s="1"/>
  <c r="AB629" i="6" s="1"/>
  <c r="AB630" i="6" s="1"/>
  <c r="AB631" i="6" s="1"/>
  <c r="AB632" i="6" s="1"/>
  <c r="AB633" i="6" s="1"/>
  <c r="AB634" i="6" s="1"/>
  <c r="AB635" i="6" s="1"/>
  <c r="AB636" i="6" s="1"/>
  <c r="AB637" i="6" s="1"/>
  <c r="AB638" i="6" s="1"/>
  <c r="AB639" i="6" s="1"/>
  <c r="AB640" i="6" s="1"/>
  <c r="AB641" i="6" s="1"/>
  <c r="AB642" i="6" s="1"/>
  <c r="AB643" i="6" s="1"/>
  <c r="AB644" i="6" s="1"/>
  <c r="AB645" i="6" s="1"/>
  <c r="AB646" i="6" s="1"/>
  <c r="AB647" i="6" s="1"/>
  <c r="AB648" i="6" s="1"/>
  <c r="AB649" i="6" s="1"/>
  <c r="AB650" i="6" s="1"/>
  <c r="AB651" i="6" s="1"/>
  <c r="AB652" i="6" s="1"/>
  <c r="AB653" i="6" s="1"/>
  <c r="AB654" i="6" s="1"/>
  <c r="AB655" i="6" s="1"/>
  <c r="AB656" i="6" s="1"/>
  <c r="AB657" i="6" s="1"/>
  <c r="AB658" i="6" s="1"/>
  <c r="AB659" i="6" s="1"/>
  <c r="AB660" i="6" s="1"/>
  <c r="AB661" i="6" s="1"/>
  <c r="AB662" i="6" s="1"/>
  <c r="AB663" i="6" s="1"/>
  <c r="AB664" i="6" s="1"/>
  <c r="AB665" i="6" s="1"/>
  <c r="AB666" i="6" s="1"/>
  <c r="AB667" i="6" s="1"/>
  <c r="AB668" i="6" s="1"/>
  <c r="AB669" i="6" s="1"/>
  <c r="AB670" i="6" s="1"/>
  <c r="AB671" i="6" s="1"/>
  <c r="AB672" i="6" s="1"/>
  <c r="AB673" i="6" s="1"/>
  <c r="AB674" i="6" s="1"/>
  <c r="AB675" i="6" s="1"/>
  <c r="AB676" i="6" s="1"/>
  <c r="AB677" i="6" s="1"/>
  <c r="AB678" i="6" s="1"/>
  <c r="AB679" i="6" s="1"/>
  <c r="AB680" i="6" s="1"/>
  <c r="AB681" i="6" s="1"/>
  <c r="AB682" i="6" s="1"/>
  <c r="AB683" i="6" s="1"/>
  <c r="AB684" i="6" s="1"/>
  <c r="AB685" i="6" s="1"/>
  <c r="AB686" i="6" s="1"/>
  <c r="AB687" i="6" s="1"/>
  <c r="AB688" i="6" s="1"/>
  <c r="AB689" i="6" s="1"/>
  <c r="AB690" i="6" s="1"/>
  <c r="AB691" i="6" s="1"/>
  <c r="AB692" i="6" s="1"/>
  <c r="AB693" i="6" s="1"/>
  <c r="AB694" i="6" s="1"/>
  <c r="AB695" i="6" s="1"/>
  <c r="AB696" i="6" s="1"/>
  <c r="AB697" i="6" s="1"/>
  <c r="AB698" i="6" s="1"/>
  <c r="AB699" i="6" s="1"/>
  <c r="AB700" i="6" s="1"/>
  <c r="AB701" i="6" s="1"/>
  <c r="AB702" i="6" s="1"/>
  <c r="AB703" i="6" s="1"/>
  <c r="AB704" i="6" s="1"/>
  <c r="AB705" i="6" s="1"/>
  <c r="AB706" i="6" s="1"/>
  <c r="AB707" i="6" s="1"/>
  <c r="AB708" i="6" s="1"/>
  <c r="AB709" i="6" s="1"/>
  <c r="AB710" i="6" s="1"/>
  <c r="AB711" i="6" s="1"/>
  <c r="AB712" i="6" s="1"/>
  <c r="AB713" i="6" s="1"/>
  <c r="AB714" i="6" s="1"/>
  <c r="AB715" i="6" s="1"/>
  <c r="AB716" i="6" s="1"/>
  <c r="AB717" i="6" s="1"/>
  <c r="AB718" i="6" s="1"/>
  <c r="AB719" i="6" s="1"/>
  <c r="AB720" i="6" s="1"/>
  <c r="AB721" i="6" s="1"/>
  <c r="AB722" i="6" s="1"/>
  <c r="AB723" i="6" s="1"/>
  <c r="AB724" i="6" s="1"/>
  <c r="AB725" i="6" s="1"/>
  <c r="AB726" i="6" s="1"/>
  <c r="AB727" i="6" s="1"/>
  <c r="AB728" i="6" s="1"/>
  <c r="AB729" i="6" s="1"/>
  <c r="AB730" i="6" s="1"/>
  <c r="AB731" i="6" s="1"/>
  <c r="AB732" i="6" s="1"/>
  <c r="AB733" i="6" s="1"/>
  <c r="AB734" i="6" s="1"/>
  <c r="AB735" i="6" s="1"/>
  <c r="AB736" i="6" s="1"/>
  <c r="AB737" i="6" s="1"/>
  <c r="AB738" i="6" s="1"/>
  <c r="AB739" i="6" s="1"/>
  <c r="AB740" i="6" s="1"/>
  <c r="AB741" i="6" s="1"/>
  <c r="AB742" i="6" s="1"/>
  <c r="AB743" i="6" s="1"/>
  <c r="AB744" i="6" s="1"/>
  <c r="AB745" i="6" s="1"/>
  <c r="AB746" i="6" s="1"/>
  <c r="AB747" i="6" s="1"/>
  <c r="AB748" i="6" s="1"/>
  <c r="AB749" i="6" s="1"/>
  <c r="AB750" i="6" s="1"/>
  <c r="AB751" i="6" s="1"/>
  <c r="AB752" i="6" s="1"/>
  <c r="AB753" i="6" s="1"/>
  <c r="AB754" i="6" s="1"/>
  <c r="AB755" i="6" s="1"/>
  <c r="AB756" i="6" s="1"/>
  <c r="AB757" i="6" s="1"/>
  <c r="AB758" i="6" s="1"/>
  <c r="AB759" i="6" s="1"/>
  <c r="AB760" i="6" s="1"/>
  <c r="AB761" i="6" s="1"/>
  <c r="AB762" i="6" s="1"/>
  <c r="AB763" i="6" s="1"/>
  <c r="AB764" i="6" s="1"/>
  <c r="AB765" i="6" s="1"/>
  <c r="AB766" i="6" s="1"/>
  <c r="AB767" i="6" s="1"/>
  <c r="AB768" i="6" s="1"/>
  <c r="AB769" i="6" s="1"/>
  <c r="AB770" i="6" s="1"/>
  <c r="AB771" i="6" s="1"/>
  <c r="AB772" i="6" s="1"/>
  <c r="AB773" i="6" s="1"/>
  <c r="AB774" i="6" s="1"/>
  <c r="AB775" i="6" s="1"/>
  <c r="AB776" i="6" s="1"/>
  <c r="AB777" i="6" s="1"/>
  <c r="AB778" i="6" s="1"/>
  <c r="AB779" i="6" s="1"/>
  <c r="AB780" i="6" s="1"/>
  <c r="AB781" i="6" s="1"/>
  <c r="AB782" i="6" s="1"/>
  <c r="AB783" i="6" s="1"/>
  <c r="AB784" i="6" s="1"/>
  <c r="AB785" i="6" s="1"/>
  <c r="AB786" i="6" s="1"/>
  <c r="AB787" i="6" s="1"/>
  <c r="AB788" i="6" s="1"/>
  <c r="AB789" i="6" s="1"/>
  <c r="AB790" i="6" s="1"/>
  <c r="AB791" i="6" s="1"/>
  <c r="AB792" i="6" s="1"/>
  <c r="AB793" i="6" s="1"/>
  <c r="AB794" i="6" s="1"/>
  <c r="AB795" i="6" s="1"/>
  <c r="AB796" i="6" s="1"/>
  <c r="AB797" i="6" s="1"/>
  <c r="AB798" i="6" s="1"/>
  <c r="AB799" i="6" s="1"/>
  <c r="AB800" i="6" s="1"/>
  <c r="AB801" i="6" s="1"/>
  <c r="AB802" i="6" s="1"/>
  <c r="AB803" i="6" s="1"/>
  <c r="AB804" i="6" s="1"/>
  <c r="AB805" i="6" s="1"/>
  <c r="AB806" i="6" s="1"/>
  <c r="AB807" i="6" s="1"/>
  <c r="AB808" i="6" s="1"/>
  <c r="AB809" i="6" s="1"/>
  <c r="AB810" i="6" s="1"/>
  <c r="AB811" i="6" s="1"/>
  <c r="AB812" i="6" s="1"/>
  <c r="AB813" i="6" s="1"/>
  <c r="AB814" i="6" s="1"/>
  <c r="AB815" i="6" s="1"/>
  <c r="AB816" i="6" s="1"/>
  <c r="AB817" i="6" s="1"/>
  <c r="AB818" i="6" s="1"/>
  <c r="AB819" i="6" s="1"/>
  <c r="AB820" i="6" s="1"/>
  <c r="AB821" i="6" s="1"/>
  <c r="AB822" i="6" s="1"/>
  <c r="AB823" i="6" s="1"/>
  <c r="AB824" i="6" s="1"/>
  <c r="AB825" i="6" s="1"/>
  <c r="AB826" i="6" s="1"/>
  <c r="AB827" i="6" s="1"/>
  <c r="AB828" i="6" s="1"/>
  <c r="AB829" i="6" s="1"/>
  <c r="AB830" i="6" s="1"/>
  <c r="AB831" i="6" s="1"/>
  <c r="AB832" i="6" s="1"/>
  <c r="AB833" i="6" s="1"/>
  <c r="AB834" i="6" s="1"/>
  <c r="AB835" i="6" s="1"/>
  <c r="AB836" i="6" s="1"/>
  <c r="AB837" i="6" s="1"/>
  <c r="AB838" i="6" s="1"/>
  <c r="AB839" i="6" s="1"/>
  <c r="AB840" i="6" s="1"/>
  <c r="AB841" i="6" s="1"/>
  <c r="AB842" i="6" s="1"/>
  <c r="AB843" i="6" s="1"/>
  <c r="AB844" i="6" s="1"/>
  <c r="AB845" i="6" s="1"/>
  <c r="AB846" i="6" s="1"/>
  <c r="AB847" i="6" s="1"/>
  <c r="AB848" i="6" s="1"/>
  <c r="AB849" i="6" s="1"/>
  <c r="AB850" i="6" s="1"/>
  <c r="AB851" i="6" s="1"/>
  <c r="AB852" i="6" s="1"/>
  <c r="AB853" i="6" s="1"/>
  <c r="AB854" i="6" s="1"/>
  <c r="AB855" i="6" s="1"/>
  <c r="AB856" i="6" s="1"/>
  <c r="AB857" i="6" s="1"/>
  <c r="AB858" i="6" s="1"/>
  <c r="AB859" i="6" s="1"/>
  <c r="AB860" i="6" s="1"/>
  <c r="AD8" i="6"/>
  <c r="AD9" i="6" s="1"/>
  <c r="AD10" i="6" s="1"/>
  <c r="AD11" i="6" s="1"/>
  <c r="AD12" i="6" s="1"/>
  <c r="AD13" i="6" s="1"/>
  <c r="AD14" i="6" s="1"/>
  <c r="AD15" i="6" s="1"/>
  <c r="AD16" i="6" s="1"/>
  <c r="AD17" i="6" s="1"/>
  <c r="AD18" i="6" s="1"/>
  <c r="AD19" i="6" s="1"/>
  <c r="AD20" i="6" s="1"/>
  <c r="AD21" i="6" s="1"/>
  <c r="AD22" i="6" s="1"/>
  <c r="AD23" i="6" s="1"/>
  <c r="AD24" i="6" s="1"/>
  <c r="AD25" i="6" s="1"/>
  <c r="AD26" i="6" s="1"/>
  <c r="AD27" i="6" s="1"/>
  <c r="AD28" i="6" s="1"/>
  <c r="AD29" i="6" s="1"/>
  <c r="AD30" i="6" s="1"/>
  <c r="AD31" i="6" s="1"/>
  <c r="AD32" i="6" s="1"/>
  <c r="AD33" i="6" s="1"/>
  <c r="AD34" i="6" s="1"/>
  <c r="AD35" i="6" s="1"/>
  <c r="AD36" i="6" s="1"/>
  <c r="AD37" i="6" s="1"/>
  <c r="AD38" i="6" s="1"/>
  <c r="AD39" i="6" s="1"/>
  <c r="AD40" i="6" s="1"/>
  <c r="AD41" i="6" s="1"/>
  <c r="AD42" i="6" s="1"/>
  <c r="AD43" i="6" s="1"/>
  <c r="AD44" i="6" s="1"/>
  <c r="AD45" i="6" s="1"/>
  <c r="AD46" i="6" s="1"/>
  <c r="AD47" i="6" s="1"/>
  <c r="AD48" i="6" s="1"/>
  <c r="AD49" i="6" s="1"/>
  <c r="AD50" i="6" s="1"/>
  <c r="AD51" i="6" s="1"/>
  <c r="AD52" i="6" s="1"/>
  <c r="AD53" i="6" s="1"/>
  <c r="AD54" i="6" s="1"/>
  <c r="AD55" i="6" s="1"/>
  <c r="AD56" i="6" s="1"/>
  <c r="AD57" i="6" s="1"/>
  <c r="AD58" i="6" s="1"/>
  <c r="AD59" i="6" s="1"/>
  <c r="AD60" i="6" s="1"/>
  <c r="AD61" i="6" s="1"/>
  <c r="AD62" i="6" s="1"/>
  <c r="AD63" i="6" s="1"/>
  <c r="AD64" i="6" s="1"/>
  <c r="AD65" i="6" s="1"/>
  <c r="AD66" i="6" s="1"/>
  <c r="AD67" i="6" s="1"/>
  <c r="AD68" i="6" s="1"/>
  <c r="AD69" i="6" s="1"/>
  <c r="AD70" i="6" s="1"/>
  <c r="U139" i="4"/>
  <c r="U139" i="3"/>
  <c r="B37" i="2"/>
  <c r="U12" i="4"/>
  <c r="G36" i="2"/>
  <c r="U13" i="3"/>
  <c r="D13" i="3" s="1"/>
  <c r="E35" i="2"/>
  <c r="B22" i="2"/>
  <c r="U80" i="4"/>
  <c r="U17" i="3"/>
  <c r="J17" i="3" s="1"/>
  <c r="B19" i="2"/>
  <c r="U85" i="4"/>
  <c r="F85" i="4" s="1"/>
  <c r="B24" i="2"/>
  <c r="D24" i="2" s="1"/>
  <c r="E24" i="2" s="1"/>
  <c r="U77" i="4"/>
  <c r="D77" i="4" s="1"/>
  <c r="U12" i="3"/>
  <c r="K12" i="3" s="1"/>
  <c r="B15" i="2"/>
  <c r="D15" i="2" s="1"/>
  <c r="E15" i="2" s="1"/>
  <c r="E14" i="1"/>
  <c r="B29" i="2"/>
  <c r="B17" i="2"/>
  <c r="D17" i="2" s="1"/>
  <c r="E17" i="2" s="1"/>
  <c r="U88" i="3"/>
  <c r="H88" i="3" s="1"/>
  <c r="U90" i="4"/>
  <c r="B20" i="2"/>
  <c r="D20" i="2" s="1"/>
  <c r="E20" i="2" s="1"/>
  <c r="U83" i="4"/>
  <c r="U13" i="4"/>
  <c r="J13" i="4" s="1"/>
  <c r="G33" i="2"/>
  <c r="C16" i="1"/>
  <c r="E38" i="2"/>
  <c r="U4" i="6"/>
  <c r="C14" i="1"/>
  <c r="G24" i="1"/>
  <c r="U16" i="4"/>
  <c r="D16" i="4" s="1"/>
  <c r="U49" i="3"/>
  <c r="E49" i="3" s="1"/>
  <c r="U40" i="3"/>
  <c r="A40" i="3" s="1"/>
  <c r="U59" i="3"/>
  <c r="C59" i="3" s="1"/>
  <c r="U88" i="4"/>
  <c r="K88" i="4" s="1"/>
  <c r="B23" i="2"/>
  <c r="U70" i="4"/>
  <c r="D70" i="4" s="1"/>
  <c r="B38" i="2"/>
  <c r="U16" i="3"/>
  <c r="E16" i="3" s="1"/>
  <c r="U34" i="4"/>
  <c r="D34" i="4" s="1"/>
  <c r="B21" i="2"/>
  <c r="D21" i="2" s="1"/>
  <c r="E21" i="2" s="1"/>
  <c r="U79" i="3"/>
  <c r="F79" i="3" s="1"/>
  <c r="G14" i="1"/>
  <c r="U43" i="3"/>
  <c r="A43" i="3" s="1"/>
  <c r="U11" i="4"/>
  <c r="J11" i="4" s="1"/>
  <c r="B18" i="2"/>
  <c r="U84" i="4"/>
  <c r="E84" i="4" s="1"/>
  <c r="U91" i="4"/>
  <c r="J91" i="4" s="1"/>
  <c r="U81" i="3"/>
  <c r="H81" i="3" s="1"/>
  <c r="B33" i="2"/>
  <c r="U15" i="3"/>
  <c r="B15" i="3" s="1"/>
  <c r="U17" i="4"/>
  <c r="E17" i="4" s="1"/>
  <c r="U82" i="4"/>
  <c r="G82" i="4" s="1"/>
  <c r="U14" i="3"/>
  <c r="L14" i="3" s="1"/>
  <c r="U41" i="4"/>
  <c r="G41" i="4" s="1"/>
  <c r="G29" i="1"/>
  <c r="U75" i="3"/>
  <c r="I75" i="3" s="1"/>
  <c r="F35" i="2"/>
  <c r="U11" i="3"/>
  <c r="U14" i="4"/>
  <c r="K14" i="4" s="1"/>
  <c r="G40" i="3"/>
  <c r="J40" i="3"/>
  <c r="U112" i="3"/>
  <c r="U98" i="4"/>
  <c r="E16" i="1"/>
  <c r="U20" i="4"/>
  <c r="U71" i="3"/>
  <c r="U116" i="3"/>
  <c r="U79" i="4"/>
  <c r="U87" i="4"/>
  <c r="D15" i="1"/>
  <c r="G18" i="1"/>
  <c r="F31" i="2"/>
  <c r="A17" i="3"/>
  <c r="U72" i="4"/>
  <c r="U65" i="4"/>
  <c r="D16" i="2"/>
  <c r="E16" i="2" s="1"/>
  <c r="C16" i="2"/>
  <c r="U135" i="3"/>
  <c r="U117" i="3"/>
  <c r="U93" i="3"/>
  <c r="U123" i="3"/>
  <c r="U134" i="4"/>
  <c r="U126" i="4"/>
  <c r="U125" i="4"/>
  <c r="U92" i="4"/>
  <c r="U131" i="4"/>
  <c r="H15" i="1"/>
  <c r="F17" i="1"/>
  <c r="B32" i="2"/>
  <c r="D30" i="2"/>
  <c r="F32" i="2"/>
  <c r="D33" i="2"/>
  <c r="U57" i="3"/>
  <c r="U52" i="3"/>
  <c r="U31" i="3"/>
  <c r="U72" i="3"/>
  <c r="U26" i="4"/>
  <c r="U55" i="4"/>
  <c r="U59" i="4"/>
  <c r="U60" i="4"/>
  <c r="U23" i="4"/>
  <c r="G70" i="4"/>
  <c r="B70" i="4"/>
  <c r="U38" i="4"/>
  <c r="U96" i="3"/>
  <c r="U111" i="3"/>
  <c r="E18" i="1"/>
  <c r="U19" i="3"/>
  <c r="U24" i="3"/>
  <c r="U51" i="4"/>
  <c r="G13" i="4"/>
  <c r="K13" i="4"/>
  <c r="B13" i="4"/>
  <c r="U125" i="3"/>
  <c r="U127" i="4"/>
  <c r="B30" i="2"/>
  <c r="F30" i="2"/>
  <c r="U38" i="3"/>
  <c r="U54" i="4"/>
  <c r="U103" i="3"/>
  <c r="U95" i="4"/>
  <c r="U106" i="4"/>
  <c r="B34" i="2"/>
  <c r="G34" i="2"/>
  <c r="U25" i="3"/>
  <c r="U55" i="3"/>
  <c r="U22" i="3"/>
  <c r="U46" i="3"/>
  <c r="U35" i="4"/>
  <c r="U63" i="4"/>
  <c r="E14" i="4"/>
  <c r="U57" i="4"/>
  <c r="G28" i="1"/>
  <c r="G27" i="1"/>
  <c r="B10" i="1"/>
  <c r="B10" i="2"/>
  <c r="G25" i="1"/>
  <c r="G23" i="1"/>
  <c r="G30" i="1"/>
  <c r="U21" i="4"/>
  <c r="D23" i="2"/>
  <c r="E23" i="2" s="1"/>
  <c r="C23" i="2"/>
  <c r="U105" i="3"/>
  <c r="L75" i="3"/>
  <c r="H75" i="3"/>
  <c r="F75" i="3"/>
  <c r="K75" i="3"/>
  <c r="U128" i="4"/>
  <c r="U102" i="4"/>
  <c r="C38" i="2"/>
  <c r="F37" i="2"/>
  <c r="G16" i="1"/>
  <c r="E37" i="2"/>
  <c r="U67" i="3"/>
  <c r="U27" i="4"/>
  <c r="C18" i="2"/>
  <c r="D18" i="2"/>
  <c r="E18" i="2" s="1"/>
  <c r="U80" i="3"/>
  <c r="U77" i="3"/>
  <c r="U83" i="3"/>
  <c r="U136" i="4"/>
  <c r="G15" i="1"/>
  <c r="U28" i="3"/>
  <c r="U56" i="4"/>
  <c r="U18" i="4"/>
  <c r="A139" i="4"/>
  <c r="K139" i="4"/>
  <c r="G139" i="4"/>
  <c r="F139" i="4"/>
  <c r="J139" i="4"/>
  <c r="H139" i="4"/>
  <c r="E139" i="4"/>
  <c r="D139" i="4"/>
  <c r="C139" i="4"/>
  <c r="B139" i="4"/>
  <c r="I139" i="4"/>
  <c r="U101" i="3"/>
  <c r="U136" i="3"/>
  <c r="U127" i="3"/>
  <c r="U103" i="4"/>
  <c r="U133" i="4"/>
  <c r="U114" i="4"/>
  <c r="D29" i="2"/>
  <c r="C34" i="2"/>
  <c r="D32" i="2"/>
  <c r="B35" i="2"/>
  <c r="U53" i="3"/>
  <c r="U97" i="3"/>
  <c r="U94" i="3"/>
  <c r="U110" i="3"/>
  <c r="U84" i="3"/>
  <c r="U86" i="4"/>
  <c r="U113" i="4"/>
  <c r="U76" i="4"/>
  <c r="U109" i="4"/>
  <c r="U119" i="4"/>
  <c r="C18" i="1"/>
  <c r="C31" i="2"/>
  <c r="D36" i="2"/>
  <c r="E34" i="2"/>
  <c r="F14" i="1"/>
  <c r="F38" i="2"/>
  <c r="U51" i="3"/>
  <c r="U61" i="3"/>
  <c r="U58" i="3"/>
  <c r="U36" i="3"/>
  <c r="U60" i="3"/>
  <c r="U45" i="4"/>
  <c r="U30" i="4"/>
  <c r="U19" i="4"/>
  <c r="U62" i="4"/>
  <c r="B8" i="2"/>
  <c r="E6" i="1"/>
  <c r="U130" i="3"/>
  <c r="U102" i="3"/>
  <c r="U105" i="4"/>
  <c r="U97" i="4"/>
  <c r="H91" i="4"/>
  <c r="F91" i="4"/>
  <c r="U98" i="3"/>
  <c r="C83" i="4"/>
  <c r="A83" i="4"/>
  <c r="I83" i="4"/>
  <c r="H83" i="4"/>
  <c r="K83" i="4"/>
  <c r="J83" i="4"/>
  <c r="G83" i="4"/>
  <c r="F83" i="4"/>
  <c r="D83" i="4"/>
  <c r="B83" i="4"/>
  <c r="E83" i="4"/>
  <c r="D18" i="1"/>
  <c r="H16" i="1"/>
  <c r="U42" i="4"/>
  <c r="U114" i="3"/>
  <c r="U134" i="3"/>
  <c r="U108" i="4"/>
  <c r="U96" i="4"/>
  <c r="G35" i="2"/>
  <c r="D14" i="1"/>
  <c r="E33" i="2"/>
  <c r="U40" i="4"/>
  <c r="U107" i="3"/>
  <c r="L88" i="3"/>
  <c r="K88" i="3"/>
  <c r="E88" i="3"/>
  <c r="D88" i="3"/>
  <c r="F88" i="3"/>
  <c r="B88" i="3"/>
  <c r="A88" i="3"/>
  <c r="U99" i="4"/>
  <c r="A84" i="4"/>
  <c r="G84" i="4"/>
  <c r="I84" i="4"/>
  <c r="H84" i="4"/>
  <c r="U131" i="3"/>
  <c r="U66" i="3"/>
  <c r="U113" i="3"/>
  <c r="U123" i="4"/>
  <c r="U63" i="3"/>
  <c r="U39" i="4"/>
  <c r="U126" i="3"/>
  <c r="U120" i="4"/>
  <c r="U99" i="3"/>
  <c r="U111" i="4"/>
  <c r="U135" i="4"/>
  <c r="C33" i="2"/>
  <c r="D38" i="2"/>
  <c r="F36" i="2"/>
  <c r="G31" i="2"/>
  <c r="U50" i="4"/>
  <c r="U120" i="3"/>
  <c r="D16" i="1"/>
  <c r="U62" i="3"/>
  <c r="D11" i="3"/>
  <c r="C11" i="3"/>
  <c r="B11" i="3"/>
  <c r="L11" i="3"/>
  <c r="K11" i="3"/>
  <c r="J11" i="3"/>
  <c r="I11" i="3"/>
  <c r="H11" i="3"/>
  <c r="G11" i="3"/>
  <c r="F11" i="3"/>
  <c r="E11" i="3"/>
  <c r="A11" i="3"/>
  <c r="F13" i="3"/>
  <c r="E13" i="3"/>
  <c r="B13" i="3"/>
  <c r="I13" i="3"/>
  <c r="L13" i="3"/>
  <c r="K13" i="3"/>
  <c r="J13" i="3"/>
  <c r="H13" i="3"/>
  <c r="G13" i="3"/>
  <c r="C13" i="3"/>
  <c r="A13" i="3"/>
  <c r="U36" i="4"/>
  <c r="U42" i="3"/>
  <c r="U68" i="4"/>
  <c r="G11" i="4"/>
  <c r="F11" i="4"/>
  <c r="E11" i="4"/>
  <c r="D11" i="4"/>
  <c r="B11" i="4"/>
  <c r="I11" i="4"/>
  <c r="A11" i="4"/>
  <c r="H11" i="4"/>
  <c r="U53" i="4"/>
  <c r="U69" i="4"/>
  <c r="U133" i="3"/>
  <c r="U82" i="3"/>
  <c r="U78" i="4"/>
  <c r="U101" i="4"/>
  <c r="B36" i="2"/>
  <c r="U18" i="3"/>
  <c r="U21" i="3"/>
  <c r="U37" i="4"/>
  <c r="U52" i="4"/>
  <c r="U89" i="3"/>
  <c r="U110" i="4"/>
  <c r="E15" i="1"/>
  <c r="U32" i="3"/>
  <c r="U35" i="3"/>
  <c r="U90" i="3"/>
  <c r="U91" i="3"/>
  <c r="U118" i="3"/>
  <c r="U92" i="3"/>
  <c r="U132" i="3"/>
  <c r="U116" i="4"/>
  <c r="U117" i="4"/>
  <c r="U122" i="4"/>
  <c r="U121" i="4"/>
  <c r="H17" i="1"/>
  <c r="E17" i="1"/>
  <c r="G17" i="1"/>
  <c r="C32" i="2"/>
  <c r="E30" i="2"/>
  <c r="D37" i="2"/>
  <c r="F33" i="2"/>
  <c r="U39" i="3"/>
  <c r="U47" i="3"/>
  <c r="U64" i="3"/>
  <c r="U56" i="3"/>
  <c r="U31" i="4"/>
  <c r="U58" i="4"/>
  <c r="U67" i="4"/>
  <c r="U121" i="3"/>
  <c r="U107" i="4"/>
  <c r="E31" i="2"/>
  <c r="F18" i="1"/>
  <c r="U68" i="3"/>
  <c r="U48" i="4"/>
  <c r="U109" i="3"/>
  <c r="U112" i="4"/>
  <c r="U104" i="4"/>
  <c r="C17" i="1"/>
  <c r="H18" i="1"/>
  <c r="U29" i="3"/>
  <c r="D19" i="2"/>
  <c r="E19" i="2" s="1"/>
  <c r="C19" i="2"/>
  <c r="U86" i="3"/>
  <c r="U119" i="3"/>
  <c r="U128" i="3"/>
  <c r="U106" i="3"/>
  <c r="U115" i="3"/>
  <c r="U115" i="4"/>
  <c r="U89" i="4"/>
  <c r="U130" i="4"/>
  <c r="U124" i="4"/>
  <c r="C36" i="2"/>
  <c r="C29" i="2"/>
  <c r="E29" i="2"/>
  <c r="D34" i="2"/>
  <c r="E32" i="2"/>
  <c r="H14" i="1"/>
  <c r="D35" i="2"/>
  <c r="U37" i="3"/>
  <c r="U65" i="3"/>
  <c r="U69" i="3"/>
  <c r="U20" i="3"/>
  <c r="U70" i="3"/>
  <c r="U61" i="4"/>
  <c r="U44" i="4"/>
  <c r="U71" i="4"/>
  <c r="U66" i="4"/>
  <c r="U129" i="4"/>
  <c r="H85" i="4"/>
  <c r="K85" i="4"/>
  <c r="J85" i="4"/>
  <c r="I85" i="4"/>
  <c r="G85" i="4"/>
  <c r="B85" i="4"/>
  <c r="A85" i="4"/>
  <c r="D85" i="4"/>
  <c r="U100" i="3"/>
  <c r="U108" i="3"/>
  <c r="J90" i="4"/>
  <c r="H90" i="4"/>
  <c r="F90" i="4"/>
  <c r="E90" i="4"/>
  <c r="C90" i="4"/>
  <c r="K90" i="4"/>
  <c r="I90" i="4"/>
  <c r="G90" i="4"/>
  <c r="D90" i="4"/>
  <c r="B90" i="4"/>
  <c r="A90" i="4"/>
  <c r="U30" i="3"/>
  <c r="J15" i="3"/>
  <c r="I15" i="3"/>
  <c r="E15" i="3"/>
  <c r="C15" i="3"/>
  <c r="U45" i="3"/>
  <c r="U24" i="4"/>
  <c r="U104" i="3"/>
  <c r="K80" i="4"/>
  <c r="I80" i="4"/>
  <c r="H80" i="4"/>
  <c r="F80" i="4"/>
  <c r="C80" i="4"/>
  <c r="B80" i="4"/>
  <c r="D80" i="4"/>
  <c r="A80" i="4"/>
  <c r="J80" i="4"/>
  <c r="E80" i="4"/>
  <c r="G80" i="4"/>
  <c r="F15" i="1"/>
  <c r="F29" i="2"/>
  <c r="G30" i="2"/>
  <c r="U50" i="3"/>
  <c r="U32" i="4"/>
  <c r="U43" i="4"/>
  <c r="U47" i="4"/>
  <c r="K139" i="3"/>
  <c r="J139" i="3"/>
  <c r="I139" i="3"/>
  <c r="G139" i="3"/>
  <c r="D139" i="3"/>
  <c r="F139" i="3"/>
  <c r="H139" i="3"/>
  <c r="E139" i="3"/>
  <c r="C139" i="3"/>
  <c r="B139" i="3"/>
  <c r="A139" i="3"/>
  <c r="L139" i="3"/>
  <c r="U122" i="3"/>
  <c r="U93" i="4"/>
  <c r="G37" i="2"/>
  <c r="F16" i="1"/>
  <c r="G32" i="2"/>
  <c r="C35" i="2"/>
  <c r="U27" i="3"/>
  <c r="E12" i="4"/>
  <c r="J12" i="4"/>
  <c r="I12" i="4"/>
  <c r="H12" i="4"/>
  <c r="G12" i="4"/>
  <c r="F12" i="4"/>
  <c r="B12" i="4"/>
  <c r="A12" i="4"/>
  <c r="K12" i="4"/>
  <c r="D12" i="4"/>
  <c r="C12" i="4"/>
  <c r="U46" i="4"/>
  <c r="U85" i="3"/>
  <c r="U87" i="3"/>
  <c r="U100" i="4"/>
  <c r="U118" i="4"/>
  <c r="C15" i="1"/>
  <c r="C30" i="2"/>
  <c r="C37" i="2"/>
  <c r="G38" i="2"/>
  <c r="U41" i="3"/>
  <c r="U95" i="3"/>
  <c r="U78" i="3"/>
  <c r="U76" i="3"/>
  <c r="U124" i="3"/>
  <c r="U129" i="3"/>
  <c r="U81" i="4"/>
  <c r="U94" i="4"/>
  <c r="U75" i="4"/>
  <c r="U132" i="4"/>
  <c r="G29" i="2"/>
  <c r="B31" i="2"/>
  <c r="D31" i="2"/>
  <c r="E36" i="2"/>
  <c r="F34" i="2"/>
  <c r="D17" i="1"/>
  <c r="U48" i="3"/>
  <c r="U33" i="3"/>
  <c r="F12" i="3"/>
  <c r="U34" i="3"/>
  <c r="U49" i="4"/>
  <c r="U22" i="4"/>
  <c r="U64" i="4"/>
  <c r="U28" i="4"/>
  <c r="U23" i="3"/>
  <c r="U44" i="3"/>
  <c r="U26" i="3"/>
  <c r="U54" i="3"/>
  <c r="U29" i="4"/>
  <c r="U25" i="4"/>
  <c r="U15" i="4"/>
  <c r="U33" i="4"/>
  <c r="AD71" i="6" l="1"/>
  <c r="D17" i="4"/>
  <c r="C91" i="4"/>
  <c r="C88" i="4"/>
  <c r="L17" i="3"/>
  <c r="C70" i="4"/>
  <c r="B17" i="3"/>
  <c r="E70" i="4"/>
  <c r="E17" i="3"/>
  <c r="F14" i="4"/>
  <c r="A70" i="4"/>
  <c r="G17" i="3"/>
  <c r="H14" i="4"/>
  <c r="A13" i="4"/>
  <c r="F70" i="4"/>
  <c r="K17" i="3"/>
  <c r="D84" i="4"/>
  <c r="J14" i="4"/>
  <c r="C13" i="4"/>
  <c r="C17" i="3"/>
  <c r="I70" i="4"/>
  <c r="I17" i="4"/>
  <c r="F84" i="4"/>
  <c r="G14" i="4"/>
  <c r="D13" i="4"/>
  <c r="D17" i="3"/>
  <c r="J84" i="4"/>
  <c r="B14" i="4"/>
  <c r="H13" i="4"/>
  <c r="F17" i="3"/>
  <c r="K84" i="4"/>
  <c r="C14" i="4"/>
  <c r="E13" i="4"/>
  <c r="H17" i="3"/>
  <c r="B84" i="4"/>
  <c r="D14" i="4"/>
  <c r="F13" i="4"/>
  <c r="K70" i="4"/>
  <c r="I17" i="3"/>
  <c r="C84" i="4"/>
  <c r="A14" i="4"/>
  <c r="I13" i="4"/>
  <c r="H70" i="4"/>
  <c r="I14" i="4"/>
  <c r="J70" i="4"/>
  <c r="I40" i="3"/>
  <c r="F40" i="3"/>
  <c r="I12" i="3"/>
  <c r="B12" i="3"/>
  <c r="C11" i="4"/>
  <c r="G88" i="3"/>
  <c r="C40" i="3"/>
  <c r="G12" i="3"/>
  <c r="H12" i="3"/>
  <c r="I88" i="3"/>
  <c r="D40" i="3"/>
  <c r="J88" i="3"/>
  <c r="K11" i="4"/>
  <c r="D88" i="4"/>
  <c r="C88" i="3"/>
  <c r="F17" i="4"/>
  <c r="G17" i="4"/>
  <c r="H17" i="4"/>
  <c r="J17" i="4"/>
  <c r="D15" i="3"/>
  <c r="C85" i="4"/>
  <c r="K81" i="3"/>
  <c r="E59" i="3"/>
  <c r="L15" i="3"/>
  <c r="A17" i="4"/>
  <c r="C12" i="3"/>
  <c r="D12" i="3"/>
  <c r="C24" i="2"/>
  <c r="F15" i="3"/>
  <c r="E85" i="4"/>
  <c r="F77" i="4"/>
  <c r="A12" i="3"/>
  <c r="K15" i="3"/>
  <c r="E12" i="3"/>
  <c r="G15" i="3"/>
  <c r="I77" i="4"/>
  <c r="L12" i="3"/>
  <c r="H15" i="3"/>
  <c r="B17" i="4"/>
  <c r="J12" i="3"/>
  <c r="C17" i="4"/>
  <c r="C21" i="2"/>
  <c r="G77" i="4"/>
  <c r="E88" i="4"/>
  <c r="H77" i="4"/>
  <c r="G88" i="4"/>
  <c r="J77" i="4"/>
  <c r="K77" i="4"/>
  <c r="C22" i="2"/>
  <c r="J88" i="4"/>
  <c r="H88" i="4"/>
  <c r="I88" i="4"/>
  <c r="A15" i="3"/>
  <c r="C20" i="2"/>
  <c r="B88" i="4"/>
  <c r="A91" i="4"/>
  <c r="C34" i="4"/>
  <c r="C77" i="4"/>
  <c r="D22" i="2"/>
  <c r="E22" i="2" s="1"/>
  <c r="B77" i="4"/>
  <c r="F88" i="4"/>
  <c r="D91" i="4"/>
  <c r="H34" i="4"/>
  <c r="E77" i="4"/>
  <c r="A88" i="4"/>
  <c r="A77" i="4"/>
  <c r="G79" i="3"/>
  <c r="J82" i="4"/>
  <c r="K17" i="4"/>
  <c r="I81" i="3"/>
  <c r="J75" i="3"/>
  <c r="E40" i="3"/>
  <c r="G16" i="3"/>
  <c r="D59" i="3"/>
  <c r="C15" i="2"/>
  <c r="H14" i="3"/>
  <c r="E43" i="3"/>
  <c r="I14" i="3"/>
  <c r="E16" i="4"/>
  <c r="K14" i="3"/>
  <c r="F16" i="4"/>
  <c r="A79" i="3"/>
  <c r="H79" i="3"/>
  <c r="J79" i="3"/>
  <c r="G16" i="4"/>
  <c r="B14" i="3"/>
  <c r="G49" i="3"/>
  <c r="G43" i="3"/>
  <c r="A41" i="4"/>
  <c r="I79" i="3"/>
  <c r="K41" i="4"/>
  <c r="K79" i="3"/>
  <c r="F81" i="3"/>
  <c r="B41" i="4"/>
  <c r="D14" i="3"/>
  <c r="I49" i="3"/>
  <c r="A49" i="3"/>
  <c r="L79" i="3"/>
  <c r="C41" i="4"/>
  <c r="J14" i="3"/>
  <c r="H49" i="3"/>
  <c r="J41" i="4"/>
  <c r="B16" i="4"/>
  <c r="A14" i="3"/>
  <c r="L49" i="3"/>
  <c r="D41" i="4"/>
  <c r="H16" i="4"/>
  <c r="C14" i="3"/>
  <c r="B49" i="3"/>
  <c r="D79" i="3"/>
  <c r="E41" i="4"/>
  <c r="I16" i="4"/>
  <c r="E14" i="3"/>
  <c r="F49" i="3"/>
  <c r="E79" i="3"/>
  <c r="F41" i="4"/>
  <c r="J16" i="4"/>
  <c r="F14" i="3"/>
  <c r="C17" i="2"/>
  <c r="H41" i="4"/>
  <c r="K16" i="4"/>
  <c r="G14" i="3"/>
  <c r="F59" i="3"/>
  <c r="B79" i="3"/>
  <c r="I41" i="4"/>
  <c r="A16" i="4"/>
  <c r="K43" i="3"/>
  <c r="C79" i="3"/>
  <c r="C16" i="4"/>
  <c r="J43" i="3"/>
  <c r="C43" i="3"/>
  <c r="H16" i="3"/>
  <c r="D81" i="3"/>
  <c r="A82" i="4"/>
  <c r="E34" i="4"/>
  <c r="G75" i="3"/>
  <c r="K40" i="3"/>
  <c r="G59" i="3"/>
  <c r="L43" i="3"/>
  <c r="J49" i="3"/>
  <c r="I16" i="3"/>
  <c r="E81" i="3"/>
  <c r="B91" i="4"/>
  <c r="F34" i="4"/>
  <c r="A75" i="3"/>
  <c r="B40" i="3"/>
  <c r="I59" i="3"/>
  <c r="B43" i="3"/>
  <c r="K49" i="3"/>
  <c r="H59" i="3"/>
  <c r="K16" i="3"/>
  <c r="H82" i="4"/>
  <c r="I91" i="4"/>
  <c r="K34" i="4"/>
  <c r="C75" i="3"/>
  <c r="H40" i="3"/>
  <c r="J59" i="3"/>
  <c r="H43" i="3"/>
  <c r="J81" i="3"/>
  <c r="E82" i="4"/>
  <c r="J34" i="4"/>
  <c r="A16" i="3"/>
  <c r="I82" i="4"/>
  <c r="K91" i="4"/>
  <c r="A34" i="4"/>
  <c r="D75" i="3"/>
  <c r="L40" i="3"/>
  <c r="K59" i="3"/>
  <c r="I43" i="3"/>
  <c r="J16" i="3"/>
  <c r="D16" i="3"/>
  <c r="L81" i="3"/>
  <c r="K82" i="4"/>
  <c r="B34" i="4"/>
  <c r="E75" i="3"/>
  <c r="L59" i="3"/>
  <c r="C49" i="3"/>
  <c r="B81" i="3"/>
  <c r="B82" i="4"/>
  <c r="L16" i="3"/>
  <c r="C81" i="3"/>
  <c r="C82" i="4"/>
  <c r="B75" i="3"/>
  <c r="F43" i="3"/>
  <c r="I34" i="4"/>
  <c r="F16" i="3"/>
  <c r="G34" i="4"/>
  <c r="B59" i="3"/>
  <c r="B16" i="3"/>
  <c r="G81" i="3"/>
  <c r="D82" i="4"/>
  <c r="E91" i="4"/>
  <c r="D8" i="2"/>
  <c r="C16" i="3"/>
  <c r="A81" i="3"/>
  <c r="F82" i="4"/>
  <c r="G91" i="4"/>
  <c r="A59" i="3"/>
  <c r="D43" i="3"/>
  <c r="D49" i="3"/>
  <c r="E47" i="4"/>
  <c r="K47" i="4"/>
  <c r="J47" i="4"/>
  <c r="I47" i="4"/>
  <c r="H47" i="4"/>
  <c r="D47" i="4"/>
  <c r="C47" i="4"/>
  <c r="B47" i="4"/>
  <c r="F47" i="4"/>
  <c r="A47" i="4"/>
  <c r="G47" i="4"/>
  <c r="H65" i="3"/>
  <c r="E65" i="3"/>
  <c r="D65" i="3"/>
  <c r="A65" i="3"/>
  <c r="L65" i="3"/>
  <c r="K65" i="3"/>
  <c r="F65" i="3"/>
  <c r="B65" i="3"/>
  <c r="J65" i="3"/>
  <c r="I65" i="3"/>
  <c r="G65" i="3"/>
  <c r="C65" i="3"/>
  <c r="G106" i="3"/>
  <c r="D106" i="3"/>
  <c r="C106" i="3"/>
  <c r="K106" i="3"/>
  <c r="J106" i="3"/>
  <c r="I106" i="3"/>
  <c r="H106" i="3"/>
  <c r="F106" i="3"/>
  <c r="A106" i="3"/>
  <c r="L106" i="3"/>
  <c r="B106" i="3"/>
  <c r="E106" i="3"/>
  <c r="K107" i="4"/>
  <c r="E107" i="4"/>
  <c r="D107" i="4"/>
  <c r="B107" i="4"/>
  <c r="J107" i="4"/>
  <c r="I107" i="4"/>
  <c r="H107" i="4"/>
  <c r="F107" i="4"/>
  <c r="C107" i="4"/>
  <c r="A107" i="4"/>
  <c r="G107" i="4"/>
  <c r="I122" i="4"/>
  <c r="G122" i="4"/>
  <c r="F122" i="4"/>
  <c r="K122" i="4"/>
  <c r="H122" i="4"/>
  <c r="E122" i="4"/>
  <c r="J122" i="4"/>
  <c r="D122" i="4"/>
  <c r="C122" i="4"/>
  <c r="A122" i="4"/>
  <c r="B122" i="4"/>
  <c r="A52" i="4"/>
  <c r="K52" i="4"/>
  <c r="J52" i="4"/>
  <c r="I52" i="4"/>
  <c r="H52" i="4"/>
  <c r="G52" i="4"/>
  <c r="F52" i="4"/>
  <c r="D52" i="4"/>
  <c r="B52" i="4"/>
  <c r="E52" i="4"/>
  <c r="C52" i="4"/>
  <c r="C39" i="4"/>
  <c r="B39" i="4"/>
  <c r="A39" i="4"/>
  <c r="H39" i="4"/>
  <c r="G39" i="4"/>
  <c r="F39" i="4"/>
  <c r="D39" i="4"/>
  <c r="E39" i="4"/>
  <c r="J39" i="4"/>
  <c r="I39" i="4"/>
  <c r="K39" i="4"/>
  <c r="D130" i="3"/>
  <c r="C130" i="3"/>
  <c r="B130" i="3"/>
  <c r="K130" i="3"/>
  <c r="A130" i="3"/>
  <c r="J130" i="3"/>
  <c r="E130" i="3"/>
  <c r="G130" i="3"/>
  <c r="F130" i="3"/>
  <c r="L130" i="3"/>
  <c r="H130" i="3"/>
  <c r="I130" i="3"/>
  <c r="A127" i="3"/>
  <c r="K127" i="3"/>
  <c r="B127" i="3"/>
  <c r="L127" i="3"/>
  <c r="H127" i="3"/>
  <c r="G127" i="3"/>
  <c r="E127" i="3"/>
  <c r="D127" i="3"/>
  <c r="C127" i="3"/>
  <c r="J127" i="3"/>
  <c r="I127" i="3"/>
  <c r="F127" i="3"/>
  <c r="I136" i="4"/>
  <c r="C136" i="4"/>
  <c r="B136" i="4"/>
  <c r="D136" i="4"/>
  <c r="K136" i="4"/>
  <c r="J136" i="4"/>
  <c r="F136" i="4"/>
  <c r="E136" i="4"/>
  <c r="A136" i="4"/>
  <c r="H136" i="4"/>
  <c r="G136" i="4"/>
  <c r="K57" i="4"/>
  <c r="J57" i="4"/>
  <c r="I57" i="4"/>
  <c r="H57" i="4"/>
  <c r="C57" i="4"/>
  <c r="B57" i="4"/>
  <c r="A57" i="4"/>
  <c r="F57" i="4"/>
  <c r="E57" i="4"/>
  <c r="D57" i="4"/>
  <c r="G57" i="4"/>
  <c r="C46" i="3"/>
  <c r="B46" i="3"/>
  <c r="A46" i="3"/>
  <c r="K46" i="3"/>
  <c r="J46" i="3"/>
  <c r="F46" i="3"/>
  <c r="D46" i="3"/>
  <c r="L46" i="3"/>
  <c r="I46" i="3"/>
  <c r="H46" i="3"/>
  <c r="E46" i="3"/>
  <c r="G46" i="3"/>
  <c r="L125" i="3"/>
  <c r="I125" i="3"/>
  <c r="H125" i="3"/>
  <c r="G125" i="3"/>
  <c r="D125" i="3"/>
  <c r="C125" i="3"/>
  <c r="F125" i="3"/>
  <c r="B125" i="3"/>
  <c r="A125" i="3"/>
  <c r="K125" i="3"/>
  <c r="J125" i="3"/>
  <c r="E125" i="3"/>
  <c r="I51" i="4"/>
  <c r="H51" i="4"/>
  <c r="G51" i="4"/>
  <c r="F51" i="4"/>
  <c r="E51" i="4"/>
  <c r="C51" i="4"/>
  <c r="B51" i="4"/>
  <c r="A51" i="4"/>
  <c r="K51" i="4"/>
  <c r="J51" i="4"/>
  <c r="D51" i="4"/>
  <c r="K121" i="4"/>
  <c r="G121" i="4"/>
  <c r="C121" i="4"/>
  <c r="B121" i="4"/>
  <c r="I121" i="4"/>
  <c r="H121" i="4"/>
  <c r="F121" i="4"/>
  <c r="E121" i="4"/>
  <c r="D121" i="4"/>
  <c r="J121" i="4"/>
  <c r="A121" i="4"/>
  <c r="C102" i="3"/>
  <c r="K102" i="3"/>
  <c r="J102" i="3"/>
  <c r="I102" i="3"/>
  <c r="H102" i="3"/>
  <c r="G102" i="3"/>
  <c r="L102" i="3"/>
  <c r="B102" i="3"/>
  <c r="F102" i="3"/>
  <c r="E102" i="3"/>
  <c r="D102" i="3"/>
  <c r="A102" i="3"/>
  <c r="D116" i="3"/>
  <c r="C116" i="3"/>
  <c r="L116" i="3"/>
  <c r="B116" i="3"/>
  <c r="K116" i="3"/>
  <c r="I116" i="3"/>
  <c r="G116" i="3"/>
  <c r="F116" i="3"/>
  <c r="A116" i="3"/>
  <c r="J116" i="3"/>
  <c r="H116" i="3"/>
  <c r="E116" i="3"/>
  <c r="D94" i="4"/>
  <c r="F94" i="4"/>
  <c r="C94" i="4"/>
  <c r="B94" i="4"/>
  <c r="K94" i="4"/>
  <c r="J94" i="4"/>
  <c r="I94" i="4"/>
  <c r="E94" i="4"/>
  <c r="A94" i="4"/>
  <c r="H94" i="4"/>
  <c r="G94" i="4"/>
  <c r="I28" i="4"/>
  <c r="K28" i="4"/>
  <c r="J28" i="4"/>
  <c r="A28" i="4"/>
  <c r="H28" i="4"/>
  <c r="G28" i="4"/>
  <c r="F28" i="4"/>
  <c r="E28" i="4"/>
  <c r="D28" i="4"/>
  <c r="B28" i="4"/>
  <c r="C28" i="4"/>
  <c r="K81" i="4"/>
  <c r="J81" i="4"/>
  <c r="H81" i="4"/>
  <c r="E81" i="4"/>
  <c r="D81" i="4"/>
  <c r="I81" i="4"/>
  <c r="A81" i="4"/>
  <c r="G81" i="4"/>
  <c r="F81" i="4"/>
  <c r="C81" i="4"/>
  <c r="B81" i="4"/>
  <c r="K43" i="4"/>
  <c r="J43" i="4"/>
  <c r="F43" i="4"/>
  <c r="E43" i="4"/>
  <c r="D43" i="4"/>
  <c r="B43" i="4"/>
  <c r="A43" i="4"/>
  <c r="I43" i="4"/>
  <c r="H43" i="4"/>
  <c r="G43" i="4"/>
  <c r="C43" i="4"/>
  <c r="B37" i="3"/>
  <c r="A37" i="3"/>
  <c r="L37" i="3"/>
  <c r="J37" i="3"/>
  <c r="I37" i="3"/>
  <c r="E37" i="3"/>
  <c r="C37" i="3"/>
  <c r="G37" i="3"/>
  <c r="F37" i="3"/>
  <c r="D37" i="3"/>
  <c r="K37" i="3"/>
  <c r="H37" i="3"/>
  <c r="B128" i="3"/>
  <c r="A128" i="3"/>
  <c r="L128" i="3"/>
  <c r="I128" i="3"/>
  <c r="F128" i="3"/>
  <c r="E128" i="3"/>
  <c r="K128" i="3"/>
  <c r="J128" i="3"/>
  <c r="G128" i="3"/>
  <c r="C128" i="3"/>
  <c r="H128" i="3"/>
  <c r="D128" i="3"/>
  <c r="I121" i="3"/>
  <c r="H121" i="3"/>
  <c r="E121" i="3"/>
  <c r="F121" i="3"/>
  <c r="B121" i="3"/>
  <c r="A121" i="3"/>
  <c r="D121" i="3"/>
  <c r="J121" i="3"/>
  <c r="G121" i="3"/>
  <c r="C121" i="3"/>
  <c r="K121" i="3"/>
  <c r="L121" i="3"/>
  <c r="C117" i="4"/>
  <c r="F117" i="4"/>
  <c r="E117" i="4"/>
  <c r="G117" i="4"/>
  <c r="B117" i="4"/>
  <c r="A117" i="4"/>
  <c r="K117" i="4"/>
  <c r="J117" i="4"/>
  <c r="I117" i="4"/>
  <c r="H117" i="4"/>
  <c r="D117" i="4"/>
  <c r="K37" i="4"/>
  <c r="J37" i="4"/>
  <c r="I37" i="4"/>
  <c r="H37" i="4"/>
  <c r="G37" i="4"/>
  <c r="F37" i="4"/>
  <c r="E37" i="4"/>
  <c r="D37" i="4"/>
  <c r="B37" i="4"/>
  <c r="A37" i="4"/>
  <c r="C37" i="4"/>
  <c r="F63" i="3"/>
  <c r="B63" i="3"/>
  <c r="J63" i="3"/>
  <c r="I63" i="3"/>
  <c r="H63" i="3"/>
  <c r="E63" i="3"/>
  <c r="C63" i="3"/>
  <c r="A63" i="3"/>
  <c r="K63" i="3"/>
  <c r="G63" i="3"/>
  <c r="D63" i="3"/>
  <c r="L63" i="3"/>
  <c r="G62" i="4"/>
  <c r="K62" i="4"/>
  <c r="J62" i="4"/>
  <c r="I62" i="4"/>
  <c r="H62" i="4"/>
  <c r="E62" i="4"/>
  <c r="D62" i="4"/>
  <c r="B62" i="4"/>
  <c r="C62" i="4"/>
  <c r="A62" i="4"/>
  <c r="F62" i="4"/>
  <c r="J136" i="3"/>
  <c r="I136" i="3"/>
  <c r="H136" i="3"/>
  <c r="F136" i="3"/>
  <c r="C136" i="3"/>
  <c r="L136" i="3"/>
  <c r="K136" i="3"/>
  <c r="G136" i="3"/>
  <c r="D136" i="3"/>
  <c r="B136" i="3"/>
  <c r="A136" i="3"/>
  <c r="E136" i="3"/>
  <c r="L83" i="3"/>
  <c r="H83" i="3"/>
  <c r="K83" i="3"/>
  <c r="J83" i="3"/>
  <c r="I83" i="3"/>
  <c r="F83" i="3"/>
  <c r="D83" i="3"/>
  <c r="C83" i="3"/>
  <c r="G83" i="3"/>
  <c r="E83" i="3"/>
  <c r="B83" i="3"/>
  <c r="A83" i="3"/>
  <c r="A22" i="3"/>
  <c r="K22" i="3"/>
  <c r="I22" i="3"/>
  <c r="H22" i="3"/>
  <c r="D22" i="3"/>
  <c r="L22" i="3"/>
  <c r="J22" i="3"/>
  <c r="G22" i="3"/>
  <c r="F22" i="3"/>
  <c r="E22" i="3"/>
  <c r="C22" i="3"/>
  <c r="B22" i="3"/>
  <c r="I111" i="3"/>
  <c r="J111" i="3"/>
  <c r="H111" i="3"/>
  <c r="B111" i="3"/>
  <c r="L111" i="3"/>
  <c r="D111" i="3"/>
  <c r="C111" i="3"/>
  <c r="A111" i="3"/>
  <c r="G111" i="3"/>
  <c r="E111" i="3"/>
  <c r="K111" i="3"/>
  <c r="F111" i="3"/>
  <c r="I35" i="4"/>
  <c r="E35" i="4"/>
  <c r="D35" i="4"/>
  <c r="C35" i="4"/>
  <c r="B35" i="4"/>
  <c r="A35" i="4"/>
  <c r="J35" i="4"/>
  <c r="H35" i="4"/>
  <c r="G35" i="4"/>
  <c r="F35" i="4"/>
  <c r="K35" i="4"/>
  <c r="K64" i="4"/>
  <c r="H64" i="4"/>
  <c r="E64" i="4"/>
  <c r="D64" i="4"/>
  <c r="C64" i="4"/>
  <c r="B64" i="4"/>
  <c r="A64" i="4"/>
  <c r="I64" i="4"/>
  <c r="G64" i="4"/>
  <c r="F64" i="4"/>
  <c r="J64" i="4"/>
  <c r="L21" i="3"/>
  <c r="J21" i="3"/>
  <c r="H21" i="3"/>
  <c r="G21" i="3"/>
  <c r="C21" i="3"/>
  <c r="K21" i="3"/>
  <c r="D21" i="3"/>
  <c r="B21" i="3"/>
  <c r="A21" i="3"/>
  <c r="F21" i="3"/>
  <c r="I21" i="3"/>
  <c r="E21" i="3"/>
  <c r="A86" i="3"/>
  <c r="K86" i="3"/>
  <c r="I86" i="3"/>
  <c r="F86" i="3"/>
  <c r="E86" i="3"/>
  <c r="D86" i="3"/>
  <c r="L86" i="3"/>
  <c r="H86" i="3"/>
  <c r="G86" i="3"/>
  <c r="J86" i="3"/>
  <c r="C86" i="3"/>
  <c r="B86" i="3"/>
  <c r="I49" i="4"/>
  <c r="C49" i="4"/>
  <c r="B49" i="4"/>
  <c r="A49" i="4"/>
  <c r="F49" i="4"/>
  <c r="E49" i="4"/>
  <c r="D49" i="4"/>
  <c r="H49" i="4"/>
  <c r="J49" i="4"/>
  <c r="K49" i="4"/>
  <c r="G49" i="4"/>
  <c r="L33" i="3"/>
  <c r="K33" i="3"/>
  <c r="J33" i="3"/>
  <c r="H33" i="3"/>
  <c r="F33" i="3"/>
  <c r="E33" i="3"/>
  <c r="A33" i="3"/>
  <c r="I33" i="3"/>
  <c r="B33" i="3"/>
  <c r="C33" i="3"/>
  <c r="G33" i="3"/>
  <c r="D33" i="3"/>
  <c r="C76" i="3"/>
  <c r="I76" i="3"/>
  <c r="H76" i="3"/>
  <c r="G76" i="3"/>
  <c r="E76" i="3"/>
  <c r="B76" i="3"/>
  <c r="A76" i="3"/>
  <c r="L76" i="3"/>
  <c r="J76" i="3"/>
  <c r="K76" i="3"/>
  <c r="F76" i="3"/>
  <c r="D76" i="3"/>
  <c r="E104" i="3"/>
  <c r="A104" i="3"/>
  <c r="D104" i="3"/>
  <c r="B104" i="3"/>
  <c r="L104" i="3"/>
  <c r="K104" i="3"/>
  <c r="G104" i="3"/>
  <c r="C104" i="3"/>
  <c r="H104" i="3"/>
  <c r="F104" i="3"/>
  <c r="I104" i="3"/>
  <c r="J104" i="3"/>
  <c r="I129" i="4"/>
  <c r="E129" i="4"/>
  <c r="D129" i="4"/>
  <c r="K129" i="4"/>
  <c r="H129" i="4"/>
  <c r="G129" i="4"/>
  <c r="F129" i="4"/>
  <c r="C129" i="4"/>
  <c r="B129" i="4"/>
  <c r="A129" i="4"/>
  <c r="J129" i="4"/>
  <c r="C67" i="4"/>
  <c r="H67" i="4"/>
  <c r="B67" i="4"/>
  <c r="A67" i="4"/>
  <c r="F67" i="4"/>
  <c r="E67" i="4"/>
  <c r="D67" i="4"/>
  <c r="K67" i="4"/>
  <c r="G67" i="4"/>
  <c r="J67" i="4"/>
  <c r="I67" i="4"/>
  <c r="I56" i="3"/>
  <c r="C56" i="3"/>
  <c r="B56" i="3"/>
  <c r="A56" i="3"/>
  <c r="L56" i="3"/>
  <c r="K56" i="3"/>
  <c r="F56" i="3"/>
  <c r="D56" i="3"/>
  <c r="J56" i="3"/>
  <c r="H56" i="3"/>
  <c r="G56" i="3"/>
  <c r="E56" i="3"/>
  <c r="G92" i="3"/>
  <c r="C92" i="3"/>
  <c r="K92" i="3"/>
  <c r="J92" i="3"/>
  <c r="I92" i="3"/>
  <c r="H92" i="3"/>
  <c r="F92" i="3"/>
  <c r="L92" i="3"/>
  <c r="E92" i="3"/>
  <c r="B92" i="3"/>
  <c r="D92" i="3"/>
  <c r="A92" i="3"/>
  <c r="E111" i="4"/>
  <c r="B111" i="4"/>
  <c r="A111" i="4"/>
  <c r="H111" i="4"/>
  <c r="F111" i="4"/>
  <c r="D111" i="4"/>
  <c r="I111" i="4"/>
  <c r="G111" i="4"/>
  <c r="C111" i="4"/>
  <c r="J111" i="4"/>
  <c r="K111" i="4"/>
  <c r="H107" i="3"/>
  <c r="E107" i="3"/>
  <c r="D107" i="3"/>
  <c r="L107" i="3"/>
  <c r="K107" i="3"/>
  <c r="J107" i="3"/>
  <c r="G107" i="3"/>
  <c r="F107" i="3"/>
  <c r="I107" i="3"/>
  <c r="C107" i="3"/>
  <c r="B107" i="3"/>
  <c r="A107" i="3"/>
  <c r="E40" i="4"/>
  <c r="F40" i="4"/>
  <c r="D40" i="4"/>
  <c r="C40" i="4"/>
  <c r="B40" i="4"/>
  <c r="A40" i="4"/>
  <c r="K40" i="4"/>
  <c r="I40" i="4"/>
  <c r="J40" i="4"/>
  <c r="G40" i="4"/>
  <c r="H40" i="4"/>
  <c r="A45" i="4"/>
  <c r="F45" i="4"/>
  <c r="E45" i="4"/>
  <c r="D45" i="4"/>
  <c r="C45" i="4"/>
  <c r="B45" i="4"/>
  <c r="H45" i="4"/>
  <c r="G45" i="4"/>
  <c r="I45" i="4"/>
  <c r="K45" i="4"/>
  <c r="J45" i="4"/>
  <c r="C76" i="4"/>
  <c r="A76" i="4"/>
  <c r="I76" i="4"/>
  <c r="H76" i="4"/>
  <c r="D76" i="4"/>
  <c r="B76" i="4"/>
  <c r="K76" i="4"/>
  <c r="J76" i="4"/>
  <c r="G76" i="4"/>
  <c r="F76" i="4"/>
  <c r="E76" i="4"/>
  <c r="C60" i="4"/>
  <c r="G60" i="4"/>
  <c r="F60" i="4"/>
  <c r="E60" i="4"/>
  <c r="D60" i="4"/>
  <c r="B60" i="4"/>
  <c r="K60" i="4"/>
  <c r="I60" i="4"/>
  <c r="H60" i="4"/>
  <c r="J60" i="4"/>
  <c r="A60" i="4"/>
  <c r="C131" i="4"/>
  <c r="F131" i="4"/>
  <c r="D131" i="4"/>
  <c r="B131" i="4"/>
  <c r="A131" i="4"/>
  <c r="K131" i="4"/>
  <c r="I131" i="4"/>
  <c r="H131" i="4"/>
  <c r="G131" i="4"/>
  <c r="E131" i="4"/>
  <c r="J131" i="4"/>
  <c r="K71" i="3"/>
  <c r="J71" i="3"/>
  <c r="L71" i="3"/>
  <c r="I71" i="3"/>
  <c r="G71" i="3"/>
  <c r="E71" i="3"/>
  <c r="D71" i="3"/>
  <c r="H71" i="3"/>
  <c r="F71" i="3"/>
  <c r="C71" i="3"/>
  <c r="B71" i="3"/>
  <c r="A71" i="3"/>
  <c r="B23" i="3"/>
  <c r="A23" i="3"/>
  <c r="L23" i="3"/>
  <c r="J23" i="3"/>
  <c r="I23" i="3"/>
  <c r="E23" i="3"/>
  <c r="F23" i="3"/>
  <c r="D23" i="3"/>
  <c r="C23" i="3"/>
  <c r="K23" i="3"/>
  <c r="H23" i="3"/>
  <c r="G23" i="3"/>
  <c r="C115" i="3"/>
  <c r="B115" i="3"/>
  <c r="L115" i="3"/>
  <c r="I115" i="3"/>
  <c r="H115" i="3"/>
  <c r="K115" i="3"/>
  <c r="J115" i="3"/>
  <c r="G115" i="3"/>
  <c r="F115" i="3"/>
  <c r="E115" i="3"/>
  <c r="D115" i="3"/>
  <c r="A115" i="3"/>
  <c r="I127" i="4"/>
  <c r="E127" i="4"/>
  <c r="K127" i="4"/>
  <c r="J127" i="4"/>
  <c r="H127" i="4"/>
  <c r="G127" i="4"/>
  <c r="F127" i="4"/>
  <c r="D127" i="4"/>
  <c r="C127" i="4"/>
  <c r="B127" i="4"/>
  <c r="A127" i="4"/>
  <c r="A116" i="4"/>
  <c r="C116" i="4"/>
  <c r="B116" i="4"/>
  <c r="K116" i="4"/>
  <c r="J116" i="4"/>
  <c r="H116" i="4"/>
  <c r="G116" i="4"/>
  <c r="I116" i="4"/>
  <c r="F116" i="4"/>
  <c r="E116" i="4"/>
  <c r="D116" i="4"/>
  <c r="B101" i="3"/>
  <c r="L101" i="3"/>
  <c r="J101" i="3"/>
  <c r="H101" i="3"/>
  <c r="G101" i="3"/>
  <c r="F101" i="3"/>
  <c r="E101" i="3"/>
  <c r="D101" i="3"/>
  <c r="K101" i="3"/>
  <c r="I101" i="3"/>
  <c r="C101" i="3"/>
  <c r="A101" i="3"/>
  <c r="D77" i="3"/>
  <c r="A77" i="3"/>
  <c r="L77" i="3"/>
  <c r="K77" i="3"/>
  <c r="I77" i="3"/>
  <c r="G77" i="3"/>
  <c r="F77" i="3"/>
  <c r="H77" i="3"/>
  <c r="E77" i="3"/>
  <c r="C77" i="3"/>
  <c r="B77" i="3"/>
  <c r="J77" i="3"/>
  <c r="I108" i="3"/>
  <c r="F108" i="3"/>
  <c r="E108" i="3"/>
  <c r="D108" i="3"/>
  <c r="B108" i="3"/>
  <c r="A108" i="3"/>
  <c r="J108" i="3"/>
  <c r="H108" i="3"/>
  <c r="G108" i="3"/>
  <c r="K108" i="3"/>
  <c r="L108" i="3"/>
  <c r="C108" i="3"/>
  <c r="A113" i="3"/>
  <c r="K113" i="3"/>
  <c r="D113" i="3"/>
  <c r="L113" i="3"/>
  <c r="J113" i="3"/>
  <c r="I113" i="3"/>
  <c r="H113" i="3"/>
  <c r="G113" i="3"/>
  <c r="E113" i="3"/>
  <c r="B113" i="3"/>
  <c r="F113" i="3"/>
  <c r="C113" i="3"/>
  <c r="D25" i="3"/>
  <c r="C25" i="3"/>
  <c r="B25" i="3"/>
  <c r="L25" i="3"/>
  <c r="K25" i="3"/>
  <c r="G25" i="3"/>
  <c r="A25" i="3"/>
  <c r="H25" i="3"/>
  <c r="F25" i="3"/>
  <c r="E25" i="3"/>
  <c r="J25" i="3"/>
  <c r="I25" i="3"/>
  <c r="A24" i="4"/>
  <c r="B24" i="4"/>
  <c r="C24" i="4"/>
  <c r="K24" i="4"/>
  <c r="J24" i="4"/>
  <c r="H24" i="4"/>
  <c r="G24" i="4"/>
  <c r="I24" i="4"/>
  <c r="F24" i="4"/>
  <c r="E24" i="4"/>
  <c r="D24" i="4"/>
  <c r="A58" i="4"/>
  <c r="K58" i="4"/>
  <c r="J58" i="4"/>
  <c r="I58" i="4"/>
  <c r="G58" i="4"/>
  <c r="F58" i="4"/>
  <c r="D58" i="4"/>
  <c r="H58" i="4"/>
  <c r="E58" i="4"/>
  <c r="C58" i="4"/>
  <c r="B58" i="4"/>
  <c r="A75" i="4"/>
  <c r="J75" i="4"/>
  <c r="G75" i="4"/>
  <c r="F75" i="4"/>
  <c r="K75" i="4"/>
  <c r="I75" i="4"/>
  <c r="H75" i="4"/>
  <c r="E75" i="4"/>
  <c r="C75" i="4"/>
  <c r="B75" i="4"/>
  <c r="D75" i="4"/>
  <c r="J85" i="3"/>
  <c r="F85" i="3"/>
  <c r="C85" i="3"/>
  <c r="B85" i="3"/>
  <c r="H85" i="3"/>
  <c r="G85" i="3"/>
  <c r="E85" i="3"/>
  <c r="A85" i="3"/>
  <c r="L85" i="3"/>
  <c r="I85" i="3"/>
  <c r="D85" i="3"/>
  <c r="K85" i="3"/>
  <c r="C60" i="3"/>
  <c r="K60" i="3"/>
  <c r="I60" i="3"/>
  <c r="H60" i="3"/>
  <c r="D60" i="3"/>
  <c r="A60" i="3"/>
  <c r="B60" i="3"/>
  <c r="G60" i="3"/>
  <c r="F60" i="3"/>
  <c r="E60" i="3"/>
  <c r="L60" i="3"/>
  <c r="J60" i="3"/>
  <c r="A59" i="4"/>
  <c r="D59" i="4"/>
  <c r="C59" i="4"/>
  <c r="B59" i="4"/>
  <c r="E59" i="4"/>
  <c r="F59" i="4"/>
  <c r="I59" i="4"/>
  <c r="K59" i="4"/>
  <c r="G59" i="4"/>
  <c r="H59" i="4"/>
  <c r="J59" i="4"/>
  <c r="G20" i="4"/>
  <c r="D20" i="4"/>
  <c r="C20" i="4"/>
  <c r="B20" i="4"/>
  <c r="A20" i="4"/>
  <c r="E20" i="4"/>
  <c r="I20" i="4"/>
  <c r="J20" i="4"/>
  <c r="F20" i="4"/>
  <c r="K20" i="4"/>
  <c r="H20" i="4"/>
  <c r="E33" i="4"/>
  <c r="K33" i="4"/>
  <c r="J33" i="4"/>
  <c r="H33" i="4"/>
  <c r="G33" i="4"/>
  <c r="F33" i="4"/>
  <c r="C33" i="4"/>
  <c r="B33" i="4"/>
  <c r="I33" i="4"/>
  <c r="D33" i="4"/>
  <c r="A33" i="4"/>
  <c r="J95" i="3"/>
  <c r="F95" i="3"/>
  <c r="G95" i="3"/>
  <c r="D95" i="3"/>
  <c r="C95" i="3"/>
  <c r="B95" i="3"/>
  <c r="A95" i="3"/>
  <c r="I95" i="3"/>
  <c r="E95" i="3"/>
  <c r="L95" i="3"/>
  <c r="K95" i="3"/>
  <c r="H95" i="3"/>
  <c r="B45" i="3"/>
  <c r="L45" i="3"/>
  <c r="J45" i="3"/>
  <c r="H45" i="3"/>
  <c r="G45" i="3"/>
  <c r="C45" i="3"/>
  <c r="E45" i="3"/>
  <c r="D45" i="3"/>
  <c r="A45" i="3"/>
  <c r="K45" i="3"/>
  <c r="I45" i="3"/>
  <c r="F45" i="3"/>
  <c r="G112" i="4"/>
  <c r="E112" i="4"/>
  <c r="D112" i="4"/>
  <c r="K112" i="4"/>
  <c r="J112" i="4"/>
  <c r="H112" i="4"/>
  <c r="B112" i="4"/>
  <c r="A112" i="4"/>
  <c r="F112" i="4"/>
  <c r="C112" i="4"/>
  <c r="I112" i="4"/>
  <c r="D47" i="3"/>
  <c r="F47" i="3"/>
  <c r="E47" i="3"/>
  <c r="C47" i="3"/>
  <c r="A47" i="3"/>
  <c r="I47" i="3"/>
  <c r="G47" i="3"/>
  <c r="L47" i="3"/>
  <c r="K47" i="3"/>
  <c r="J47" i="3"/>
  <c r="H47" i="3"/>
  <c r="B47" i="3"/>
  <c r="F91" i="3"/>
  <c r="B91" i="3"/>
  <c r="J91" i="3"/>
  <c r="G91" i="3"/>
  <c r="E91" i="3"/>
  <c r="D91" i="3"/>
  <c r="C91" i="3"/>
  <c r="L91" i="3"/>
  <c r="A91" i="3"/>
  <c r="K91" i="3"/>
  <c r="I91" i="3"/>
  <c r="H91" i="3"/>
  <c r="L35" i="3"/>
  <c r="J35" i="3"/>
  <c r="H35" i="3"/>
  <c r="G35" i="3"/>
  <c r="C35" i="3"/>
  <c r="A35" i="3"/>
  <c r="B35" i="3"/>
  <c r="F35" i="3"/>
  <c r="E35" i="3"/>
  <c r="D35" i="3"/>
  <c r="K35" i="3"/>
  <c r="I35" i="3"/>
  <c r="G78" i="4"/>
  <c r="E78" i="4"/>
  <c r="D78" i="4"/>
  <c r="B78" i="4"/>
  <c r="C78" i="4"/>
  <c r="A78" i="4"/>
  <c r="H78" i="4"/>
  <c r="F78" i="4"/>
  <c r="K78" i="4"/>
  <c r="J78" i="4"/>
  <c r="I78" i="4"/>
  <c r="A36" i="3"/>
  <c r="K36" i="3"/>
  <c r="I36" i="3"/>
  <c r="H36" i="3"/>
  <c r="D36" i="3"/>
  <c r="B36" i="3"/>
  <c r="L36" i="3"/>
  <c r="J36" i="3"/>
  <c r="G36" i="3"/>
  <c r="F36" i="3"/>
  <c r="E36" i="3"/>
  <c r="C36" i="3"/>
  <c r="B86" i="4"/>
  <c r="K86" i="4"/>
  <c r="I86" i="4"/>
  <c r="H86" i="4"/>
  <c r="F86" i="4"/>
  <c r="C86" i="4"/>
  <c r="A86" i="4"/>
  <c r="G86" i="4"/>
  <c r="E86" i="4"/>
  <c r="D86" i="4"/>
  <c r="J86" i="4"/>
  <c r="J53" i="3"/>
  <c r="F53" i="3"/>
  <c r="I53" i="3"/>
  <c r="H53" i="3"/>
  <c r="G53" i="3"/>
  <c r="D53" i="3"/>
  <c r="B53" i="3"/>
  <c r="A53" i="3"/>
  <c r="K53" i="3"/>
  <c r="L53" i="3"/>
  <c r="E53" i="3"/>
  <c r="C53" i="3"/>
  <c r="I106" i="4"/>
  <c r="A106" i="4"/>
  <c r="K106" i="4"/>
  <c r="H106" i="4"/>
  <c r="E106" i="4"/>
  <c r="D106" i="4"/>
  <c r="F106" i="4"/>
  <c r="C106" i="4"/>
  <c r="B106" i="4"/>
  <c r="J106" i="4"/>
  <c r="G106" i="4"/>
  <c r="G55" i="4"/>
  <c r="F55" i="4"/>
  <c r="E55" i="4"/>
  <c r="D55" i="4"/>
  <c r="C55" i="4"/>
  <c r="B55" i="4"/>
  <c r="A55" i="4"/>
  <c r="J55" i="4"/>
  <c r="I55" i="4"/>
  <c r="H55" i="4"/>
  <c r="K55" i="4"/>
  <c r="E125" i="4"/>
  <c r="A125" i="4"/>
  <c r="D125" i="4"/>
  <c r="C125" i="4"/>
  <c r="J125" i="4"/>
  <c r="I125" i="4"/>
  <c r="K125" i="4"/>
  <c r="G125" i="4"/>
  <c r="F125" i="4"/>
  <c r="B125" i="4"/>
  <c r="H125" i="4"/>
  <c r="F105" i="3"/>
  <c r="C105" i="3"/>
  <c r="B105" i="3"/>
  <c r="I105" i="3"/>
  <c r="G105" i="3"/>
  <c r="E105" i="3"/>
  <c r="D105" i="3"/>
  <c r="A105" i="3"/>
  <c r="L105" i="3"/>
  <c r="J105" i="3"/>
  <c r="K105" i="3"/>
  <c r="H105" i="3"/>
  <c r="L124" i="3"/>
  <c r="K124" i="3"/>
  <c r="H124" i="3"/>
  <c r="D124" i="3"/>
  <c r="C124" i="3"/>
  <c r="J124" i="3"/>
  <c r="I124" i="3"/>
  <c r="G124" i="3"/>
  <c r="F124" i="3"/>
  <c r="B124" i="3"/>
  <c r="A124" i="3"/>
  <c r="E124" i="3"/>
  <c r="E30" i="4"/>
  <c r="D30" i="4"/>
  <c r="C30" i="4"/>
  <c r="B30" i="4"/>
  <c r="A30" i="4"/>
  <c r="K30" i="4"/>
  <c r="I30" i="4"/>
  <c r="H30" i="4"/>
  <c r="J30" i="4"/>
  <c r="G30" i="4"/>
  <c r="F30" i="4"/>
  <c r="J104" i="4"/>
  <c r="F104" i="4"/>
  <c r="D104" i="4"/>
  <c r="C104" i="4"/>
  <c r="A104" i="4"/>
  <c r="B104" i="4"/>
  <c r="I104" i="4"/>
  <c r="H104" i="4"/>
  <c r="G104" i="4"/>
  <c r="K104" i="4"/>
  <c r="E104" i="4"/>
  <c r="F99" i="4"/>
  <c r="D99" i="4"/>
  <c r="C99" i="4"/>
  <c r="A99" i="4"/>
  <c r="K99" i="4"/>
  <c r="I99" i="4"/>
  <c r="H99" i="4"/>
  <c r="G99" i="4"/>
  <c r="E99" i="4"/>
  <c r="B99" i="4"/>
  <c r="J99" i="4"/>
  <c r="A38" i="4"/>
  <c r="K38" i="4"/>
  <c r="J38" i="4"/>
  <c r="I38" i="4"/>
  <c r="G38" i="4"/>
  <c r="E38" i="4"/>
  <c r="D38" i="4"/>
  <c r="C38" i="4"/>
  <c r="B38" i="4"/>
  <c r="H38" i="4"/>
  <c r="F38" i="4"/>
  <c r="K92" i="4"/>
  <c r="I92" i="4"/>
  <c r="F92" i="4"/>
  <c r="E92" i="4"/>
  <c r="J92" i="4"/>
  <c r="H92" i="4"/>
  <c r="G92" i="4"/>
  <c r="D92" i="4"/>
  <c r="C92" i="4"/>
  <c r="B92" i="4"/>
  <c r="A92" i="4"/>
  <c r="J112" i="3"/>
  <c r="A112" i="3"/>
  <c r="L112" i="3"/>
  <c r="H112" i="3"/>
  <c r="F112" i="3"/>
  <c r="E112" i="3"/>
  <c r="D112" i="3"/>
  <c r="C112" i="3"/>
  <c r="B112" i="3"/>
  <c r="K112" i="3"/>
  <c r="I112" i="3"/>
  <c r="G112" i="3"/>
  <c r="K15" i="4"/>
  <c r="D15" i="4"/>
  <c r="C15" i="4"/>
  <c r="B15" i="4"/>
  <c r="A15" i="4"/>
  <c r="J15" i="4"/>
  <c r="H15" i="4"/>
  <c r="G15" i="4"/>
  <c r="F15" i="4"/>
  <c r="E15" i="4"/>
  <c r="I15" i="4"/>
  <c r="C46" i="4"/>
  <c r="I46" i="4"/>
  <c r="H46" i="4"/>
  <c r="G46" i="4"/>
  <c r="F46" i="4"/>
  <c r="E46" i="4"/>
  <c r="K46" i="4"/>
  <c r="D46" i="4"/>
  <c r="J46" i="4"/>
  <c r="B46" i="4"/>
  <c r="A46" i="4"/>
  <c r="A66" i="4"/>
  <c r="K66" i="4"/>
  <c r="J66" i="4"/>
  <c r="I66" i="4"/>
  <c r="G66" i="4"/>
  <c r="F66" i="4"/>
  <c r="D66" i="4"/>
  <c r="B66" i="4"/>
  <c r="H66" i="4"/>
  <c r="C66" i="4"/>
  <c r="E66" i="4"/>
  <c r="J109" i="3"/>
  <c r="G109" i="3"/>
  <c r="F109" i="3"/>
  <c r="K109" i="3"/>
  <c r="H109" i="3"/>
  <c r="E109" i="3"/>
  <c r="D109" i="3"/>
  <c r="C109" i="3"/>
  <c r="B109" i="3"/>
  <c r="L109" i="3"/>
  <c r="I109" i="3"/>
  <c r="A109" i="3"/>
  <c r="D39" i="3"/>
  <c r="C39" i="3"/>
  <c r="B39" i="3"/>
  <c r="L39" i="3"/>
  <c r="K39" i="3"/>
  <c r="G39" i="3"/>
  <c r="E39" i="3"/>
  <c r="J39" i="3"/>
  <c r="I39" i="3"/>
  <c r="H39" i="3"/>
  <c r="F39" i="3"/>
  <c r="A39" i="3"/>
  <c r="E90" i="3"/>
  <c r="A90" i="3"/>
  <c r="G90" i="3"/>
  <c r="C90" i="3"/>
  <c r="B90" i="3"/>
  <c r="K90" i="3"/>
  <c r="J90" i="3"/>
  <c r="I90" i="3"/>
  <c r="F90" i="3"/>
  <c r="L90" i="3"/>
  <c r="H90" i="3"/>
  <c r="D90" i="3"/>
  <c r="K32" i="3"/>
  <c r="J32" i="3"/>
  <c r="I32" i="3"/>
  <c r="G32" i="3"/>
  <c r="E32" i="3"/>
  <c r="D32" i="3"/>
  <c r="L32" i="3"/>
  <c r="F32" i="3"/>
  <c r="C32" i="3"/>
  <c r="B32" i="3"/>
  <c r="A32" i="3"/>
  <c r="H32" i="3"/>
  <c r="K82" i="3"/>
  <c r="G82" i="3"/>
  <c r="I82" i="3"/>
  <c r="H82" i="3"/>
  <c r="D82" i="3"/>
  <c r="C82" i="3"/>
  <c r="B82" i="3"/>
  <c r="J82" i="3"/>
  <c r="E82" i="3"/>
  <c r="L82" i="3"/>
  <c r="A82" i="3"/>
  <c r="F82" i="3"/>
  <c r="I66" i="3"/>
  <c r="F66" i="3"/>
  <c r="E66" i="3"/>
  <c r="G66" i="3"/>
  <c r="D66" i="3"/>
  <c r="C66" i="3"/>
  <c r="A66" i="3"/>
  <c r="K66" i="3"/>
  <c r="H66" i="3"/>
  <c r="L66" i="3"/>
  <c r="J66" i="3"/>
  <c r="B66" i="3"/>
  <c r="A58" i="3"/>
  <c r="K58" i="3"/>
  <c r="I58" i="3"/>
  <c r="H58" i="3"/>
  <c r="G58" i="3"/>
  <c r="E58" i="3"/>
  <c r="C58" i="3"/>
  <c r="B58" i="3"/>
  <c r="J58" i="3"/>
  <c r="L58" i="3"/>
  <c r="F58" i="3"/>
  <c r="D58" i="3"/>
  <c r="I84" i="3"/>
  <c r="C84" i="3"/>
  <c r="A84" i="3"/>
  <c r="K84" i="3"/>
  <c r="J84" i="3"/>
  <c r="E84" i="3"/>
  <c r="B84" i="3"/>
  <c r="G84" i="3"/>
  <c r="F84" i="3"/>
  <c r="D84" i="3"/>
  <c r="L84" i="3"/>
  <c r="H84" i="3"/>
  <c r="F95" i="4"/>
  <c r="I95" i="4"/>
  <c r="G95" i="4"/>
  <c r="E95" i="4"/>
  <c r="C95" i="4"/>
  <c r="D95" i="4"/>
  <c r="B95" i="4"/>
  <c r="A95" i="4"/>
  <c r="H95" i="4"/>
  <c r="K95" i="4"/>
  <c r="J95" i="4"/>
  <c r="E26" i="4"/>
  <c r="H26" i="4"/>
  <c r="G26" i="4"/>
  <c r="F26" i="4"/>
  <c r="D26" i="4"/>
  <c r="C26" i="4"/>
  <c r="A26" i="4"/>
  <c r="J26" i="4"/>
  <c r="K26" i="4"/>
  <c r="I26" i="4"/>
  <c r="B26" i="4"/>
  <c r="G126" i="4"/>
  <c r="C126" i="4"/>
  <c r="I126" i="4"/>
  <c r="H126" i="4"/>
  <c r="J126" i="4"/>
  <c r="E126" i="4"/>
  <c r="D126" i="4"/>
  <c r="B126" i="4"/>
  <c r="A126" i="4"/>
  <c r="K126" i="4"/>
  <c r="F126" i="4"/>
  <c r="C98" i="4"/>
  <c r="A98" i="4"/>
  <c r="I98" i="4"/>
  <c r="H98" i="4"/>
  <c r="B98" i="4"/>
  <c r="K98" i="4"/>
  <c r="J98" i="4"/>
  <c r="G98" i="4"/>
  <c r="E98" i="4"/>
  <c r="D98" i="4"/>
  <c r="F98" i="4"/>
  <c r="H103" i="4"/>
  <c r="C103" i="4"/>
  <c r="A103" i="4"/>
  <c r="J103" i="4"/>
  <c r="I103" i="4"/>
  <c r="K103" i="4"/>
  <c r="G103" i="4"/>
  <c r="F103" i="4"/>
  <c r="E103" i="4"/>
  <c r="D103" i="4"/>
  <c r="B103" i="4"/>
  <c r="C129" i="3"/>
  <c r="B129" i="3"/>
  <c r="A129" i="3"/>
  <c r="J129" i="3"/>
  <c r="L129" i="3"/>
  <c r="H129" i="3"/>
  <c r="G129" i="3"/>
  <c r="D129" i="3"/>
  <c r="I129" i="3"/>
  <c r="F129" i="3"/>
  <c r="E129" i="3"/>
  <c r="K129" i="3"/>
  <c r="G119" i="3"/>
  <c r="F119" i="3"/>
  <c r="C119" i="3"/>
  <c r="K119" i="3"/>
  <c r="J119" i="3"/>
  <c r="H119" i="3"/>
  <c r="D119" i="3"/>
  <c r="B119" i="3"/>
  <c r="A119" i="3"/>
  <c r="L119" i="3"/>
  <c r="I119" i="3"/>
  <c r="E119" i="3"/>
  <c r="E19" i="4"/>
  <c r="A19" i="4"/>
  <c r="K19" i="4"/>
  <c r="J19" i="4"/>
  <c r="I19" i="4"/>
  <c r="G19" i="4"/>
  <c r="F19" i="4"/>
  <c r="H19" i="4"/>
  <c r="D19" i="4"/>
  <c r="C19" i="4"/>
  <c r="B19" i="4"/>
  <c r="K22" i="4"/>
  <c r="J22" i="4"/>
  <c r="I22" i="4"/>
  <c r="H22" i="4"/>
  <c r="G22" i="4"/>
  <c r="F22" i="4"/>
  <c r="A22" i="4"/>
  <c r="E22" i="4"/>
  <c r="D22" i="4"/>
  <c r="C22" i="4"/>
  <c r="B22" i="4"/>
  <c r="K23" i="4"/>
  <c r="J23" i="4"/>
  <c r="I23" i="4"/>
  <c r="H23" i="4"/>
  <c r="G23" i="4"/>
  <c r="E23" i="4"/>
  <c r="D23" i="4"/>
  <c r="A23" i="4"/>
  <c r="F23" i="4"/>
  <c r="C23" i="4"/>
  <c r="B23" i="4"/>
  <c r="F118" i="3"/>
  <c r="E118" i="3"/>
  <c r="B118" i="3"/>
  <c r="J118" i="3"/>
  <c r="G118" i="3"/>
  <c r="D118" i="3"/>
  <c r="L118" i="3"/>
  <c r="K118" i="3"/>
  <c r="H118" i="3"/>
  <c r="A118" i="3"/>
  <c r="I118" i="3"/>
  <c r="C118" i="3"/>
  <c r="J99" i="3"/>
  <c r="D99" i="3"/>
  <c r="B99" i="3"/>
  <c r="A99" i="3"/>
  <c r="G99" i="3"/>
  <c r="F99" i="3"/>
  <c r="E99" i="3"/>
  <c r="K99" i="3"/>
  <c r="H99" i="3"/>
  <c r="C99" i="3"/>
  <c r="I99" i="3"/>
  <c r="L99" i="3"/>
  <c r="I113" i="4"/>
  <c r="H113" i="4"/>
  <c r="G113" i="4"/>
  <c r="A113" i="4"/>
  <c r="J113" i="4"/>
  <c r="F113" i="4"/>
  <c r="K113" i="4"/>
  <c r="E113" i="4"/>
  <c r="D113" i="4"/>
  <c r="B113" i="4"/>
  <c r="C113" i="4"/>
  <c r="C25" i="4"/>
  <c r="E25" i="4"/>
  <c r="D25" i="4"/>
  <c r="B25" i="4"/>
  <c r="A25" i="4"/>
  <c r="K25" i="4"/>
  <c r="J25" i="4"/>
  <c r="I25" i="4"/>
  <c r="G25" i="4"/>
  <c r="F25" i="4"/>
  <c r="H25" i="4"/>
  <c r="K71" i="4"/>
  <c r="H71" i="4"/>
  <c r="F71" i="4"/>
  <c r="C71" i="4"/>
  <c r="B71" i="4"/>
  <c r="J71" i="4"/>
  <c r="I71" i="4"/>
  <c r="G71" i="4"/>
  <c r="D71" i="4"/>
  <c r="A71" i="4"/>
  <c r="E71" i="4"/>
  <c r="G133" i="3"/>
  <c r="F133" i="3"/>
  <c r="E133" i="3"/>
  <c r="C133" i="3"/>
  <c r="H133" i="3"/>
  <c r="D133" i="3"/>
  <c r="L133" i="3"/>
  <c r="J133" i="3"/>
  <c r="B133" i="3"/>
  <c r="A133" i="3"/>
  <c r="K133" i="3"/>
  <c r="I133" i="3"/>
  <c r="E68" i="4"/>
  <c r="B68" i="4"/>
  <c r="J68" i="4"/>
  <c r="I68" i="4"/>
  <c r="H68" i="4"/>
  <c r="G68" i="4"/>
  <c r="F68" i="4"/>
  <c r="D68" i="4"/>
  <c r="K68" i="4"/>
  <c r="A68" i="4"/>
  <c r="C68" i="4"/>
  <c r="H120" i="3"/>
  <c r="G120" i="3"/>
  <c r="D120" i="3"/>
  <c r="A120" i="3"/>
  <c r="L120" i="3"/>
  <c r="K120" i="3"/>
  <c r="J120" i="3"/>
  <c r="I120" i="3"/>
  <c r="F120" i="3"/>
  <c r="C120" i="3"/>
  <c r="E120" i="3"/>
  <c r="B120" i="3"/>
  <c r="E131" i="3"/>
  <c r="D131" i="3"/>
  <c r="C131" i="3"/>
  <c r="A131" i="3"/>
  <c r="L131" i="3"/>
  <c r="J131" i="3"/>
  <c r="I131" i="3"/>
  <c r="F131" i="3"/>
  <c r="B131" i="3"/>
  <c r="K131" i="3"/>
  <c r="H131" i="3"/>
  <c r="G131" i="3"/>
  <c r="H96" i="4"/>
  <c r="J96" i="4"/>
  <c r="I96" i="4"/>
  <c r="F96" i="4"/>
  <c r="C96" i="4"/>
  <c r="B96" i="4"/>
  <c r="G96" i="4"/>
  <c r="E96" i="4"/>
  <c r="D96" i="4"/>
  <c r="A96" i="4"/>
  <c r="K96" i="4"/>
  <c r="D61" i="3"/>
  <c r="C61" i="3"/>
  <c r="B61" i="3"/>
  <c r="A61" i="3"/>
  <c r="L61" i="3"/>
  <c r="K61" i="3"/>
  <c r="G61" i="3"/>
  <c r="E61" i="3"/>
  <c r="J61" i="3"/>
  <c r="I61" i="3"/>
  <c r="H61" i="3"/>
  <c r="F61" i="3"/>
  <c r="K110" i="3"/>
  <c r="H110" i="3"/>
  <c r="G110" i="3"/>
  <c r="L110" i="3"/>
  <c r="J110" i="3"/>
  <c r="I110" i="3"/>
  <c r="F110" i="3"/>
  <c r="E110" i="3"/>
  <c r="C110" i="3"/>
  <c r="A110" i="3"/>
  <c r="D110" i="3"/>
  <c r="B110" i="3"/>
  <c r="D103" i="3"/>
  <c r="A103" i="3"/>
  <c r="L103" i="3"/>
  <c r="K103" i="3"/>
  <c r="J103" i="3"/>
  <c r="I103" i="3"/>
  <c r="H103" i="3"/>
  <c r="G103" i="3"/>
  <c r="E103" i="3"/>
  <c r="B103" i="3"/>
  <c r="C103" i="3"/>
  <c r="F103" i="3"/>
  <c r="A72" i="3"/>
  <c r="L72" i="3"/>
  <c r="K72" i="3"/>
  <c r="I72" i="3"/>
  <c r="H72" i="3"/>
  <c r="D72" i="3"/>
  <c r="B72" i="3"/>
  <c r="F72" i="3"/>
  <c r="E72" i="3"/>
  <c r="C72" i="3"/>
  <c r="J72" i="3"/>
  <c r="G72" i="3"/>
  <c r="I134" i="4"/>
  <c r="E134" i="4"/>
  <c r="K134" i="4"/>
  <c r="J134" i="4"/>
  <c r="G134" i="4"/>
  <c r="D134" i="4"/>
  <c r="C134" i="4"/>
  <c r="B134" i="4"/>
  <c r="A134" i="4"/>
  <c r="F134" i="4"/>
  <c r="H134" i="4"/>
  <c r="C32" i="4"/>
  <c r="K32" i="4"/>
  <c r="J32" i="4"/>
  <c r="I32" i="4"/>
  <c r="H32" i="4"/>
  <c r="G32" i="4"/>
  <c r="B32" i="4"/>
  <c r="A32" i="4"/>
  <c r="F32" i="4"/>
  <c r="E32" i="4"/>
  <c r="D32" i="4"/>
  <c r="L55" i="3"/>
  <c r="H55" i="3"/>
  <c r="K55" i="3"/>
  <c r="I55" i="3"/>
  <c r="G55" i="3"/>
  <c r="C55" i="3"/>
  <c r="A55" i="3"/>
  <c r="J55" i="3"/>
  <c r="F55" i="3"/>
  <c r="E55" i="3"/>
  <c r="D55" i="3"/>
  <c r="B55" i="3"/>
  <c r="A31" i="4"/>
  <c r="H31" i="4"/>
  <c r="G31" i="4"/>
  <c r="F31" i="4"/>
  <c r="E31" i="4"/>
  <c r="D31" i="4"/>
  <c r="K31" i="4"/>
  <c r="J31" i="4"/>
  <c r="I31" i="4"/>
  <c r="B31" i="4"/>
  <c r="C31" i="4"/>
  <c r="A109" i="4"/>
  <c r="K109" i="4"/>
  <c r="J109" i="4"/>
  <c r="I109" i="4"/>
  <c r="G109" i="4"/>
  <c r="D109" i="4"/>
  <c r="C109" i="4"/>
  <c r="H109" i="4"/>
  <c r="F109" i="4"/>
  <c r="E109" i="4"/>
  <c r="B109" i="4"/>
  <c r="F41" i="3"/>
  <c r="E41" i="3"/>
  <c r="D41" i="3"/>
  <c r="B41" i="3"/>
  <c r="I41" i="3"/>
  <c r="G41" i="3"/>
  <c r="L41" i="3"/>
  <c r="K41" i="3"/>
  <c r="J41" i="3"/>
  <c r="H41" i="3"/>
  <c r="C41" i="3"/>
  <c r="A41" i="3"/>
  <c r="A100" i="3"/>
  <c r="K100" i="3"/>
  <c r="G100" i="3"/>
  <c r="E100" i="3"/>
  <c r="D100" i="3"/>
  <c r="C100" i="3"/>
  <c r="B100" i="3"/>
  <c r="J100" i="3"/>
  <c r="I100" i="3"/>
  <c r="L100" i="3"/>
  <c r="H100" i="3"/>
  <c r="F100" i="3"/>
  <c r="C124" i="4"/>
  <c r="J124" i="4"/>
  <c r="I124" i="4"/>
  <c r="H124" i="4"/>
  <c r="G124" i="4"/>
  <c r="F124" i="4"/>
  <c r="D124" i="4"/>
  <c r="B124" i="4"/>
  <c r="K124" i="4"/>
  <c r="E124" i="4"/>
  <c r="A124" i="4"/>
  <c r="C110" i="4"/>
  <c r="B110" i="4"/>
  <c r="I110" i="4"/>
  <c r="H110" i="4"/>
  <c r="K110" i="4"/>
  <c r="J110" i="4"/>
  <c r="G110" i="4"/>
  <c r="F110" i="4"/>
  <c r="E110" i="4"/>
  <c r="D110" i="4"/>
  <c r="A110" i="4"/>
  <c r="G42" i="3"/>
  <c r="F42" i="3"/>
  <c r="E42" i="3"/>
  <c r="C42" i="3"/>
  <c r="A42" i="3"/>
  <c r="J42" i="3"/>
  <c r="H42" i="3"/>
  <c r="I42" i="3"/>
  <c r="D42" i="3"/>
  <c r="B42" i="3"/>
  <c r="L42" i="3"/>
  <c r="K42" i="3"/>
  <c r="I120" i="4"/>
  <c r="E120" i="4"/>
  <c r="C120" i="4"/>
  <c r="B120" i="4"/>
  <c r="A120" i="4"/>
  <c r="K120" i="4"/>
  <c r="D120" i="4"/>
  <c r="J120" i="4"/>
  <c r="G120" i="4"/>
  <c r="F120" i="4"/>
  <c r="H120" i="4"/>
  <c r="H108" i="4"/>
  <c r="G108" i="4"/>
  <c r="I108" i="4"/>
  <c r="E108" i="4"/>
  <c r="D108" i="4"/>
  <c r="B108" i="4"/>
  <c r="K108" i="4"/>
  <c r="J108" i="4"/>
  <c r="F108" i="4"/>
  <c r="C108" i="4"/>
  <c r="A108" i="4"/>
  <c r="H51" i="3"/>
  <c r="D51" i="3"/>
  <c r="B51" i="3"/>
  <c r="A51" i="3"/>
  <c r="L51" i="3"/>
  <c r="K51" i="3"/>
  <c r="F51" i="3"/>
  <c r="C51" i="3"/>
  <c r="E51" i="3"/>
  <c r="J51" i="3"/>
  <c r="I51" i="3"/>
  <c r="G51" i="3"/>
  <c r="I94" i="3"/>
  <c r="E94" i="3"/>
  <c r="C94" i="3"/>
  <c r="A94" i="3"/>
  <c r="L94" i="3"/>
  <c r="K94" i="3"/>
  <c r="J94" i="3"/>
  <c r="G94" i="3"/>
  <c r="D94" i="3"/>
  <c r="B94" i="3"/>
  <c r="H94" i="3"/>
  <c r="F94" i="3"/>
  <c r="I21" i="4"/>
  <c r="G21" i="4"/>
  <c r="F21" i="4"/>
  <c r="E21" i="4"/>
  <c r="D21" i="4"/>
  <c r="C21" i="4"/>
  <c r="K21" i="4"/>
  <c r="H21" i="4"/>
  <c r="B21" i="4"/>
  <c r="J21" i="4"/>
  <c r="A21" i="4"/>
  <c r="E54" i="4"/>
  <c r="C54" i="4"/>
  <c r="B54" i="4"/>
  <c r="A54" i="4"/>
  <c r="K54" i="4"/>
  <c r="I54" i="4"/>
  <c r="H54" i="4"/>
  <c r="F54" i="4"/>
  <c r="J54" i="4"/>
  <c r="G54" i="4"/>
  <c r="D54" i="4"/>
  <c r="J31" i="3"/>
  <c r="I31" i="3"/>
  <c r="H31" i="3"/>
  <c r="F31" i="3"/>
  <c r="D31" i="3"/>
  <c r="C31" i="3"/>
  <c r="K31" i="3"/>
  <c r="L31" i="3"/>
  <c r="G31" i="3"/>
  <c r="E31" i="3"/>
  <c r="B31" i="3"/>
  <c r="A31" i="3"/>
  <c r="K123" i="3"/>
  <c r="J123" i="3"/>
  <c r="G123" i="3"/>
  <c r="L123" i="3"/>
  <c r="F123" i="3"/>
  <c r="D123" i="3"/>
  <c r="B123" i="3"/>
  <c r="A123" i="3"/>
  <c r="I123" i="3"/>
  <c r="H123" i="3"/>
  <c r="E123" i="3"/>
  <c r="C123" i="3"/>
  <c r="L69" i="3"/>
  <c r="I69" i="3"/>
  <c r="H69" i="3"/>
  <c r="C69" i="3"/>
  <c r="B69" i="3"/>
  <c r="A69" i="3"/>
  <c r="F69" i="3"/>
  <c r="D69" i="3"/>
  <c r="E69" i="3"/>
  <c r="K69" i="3"/>
  <c r="J69" i="3"/>
  <c r="G69" i="3"/>
  <c r="L19" i="3"/>
  <c r="K19" i="3"/>
  <c r="J19" i="3"/>
  <c r="H19" i="3"/>
  <c r="F19" i="3"/>
  <c r="E19" i="3"/>
  <c r="A19" i="3"/>
  <c r="I19" i="3"/>
  <c r="B19" i="3"/>
  <c r="G19" i="3"/>
  <c r="D19" i="3"/>
  <c r="C19" i="3"/>
  <c r="H29" i="3"/>
  <c r="G29" i="3"/>
  <c r="F29" i="3"/>
  <c r="D29" i="3"/>
  <c r="B29" i="3"/>
  <c r="A29" i="3"/>
  <c r="K29" i="3"/>
  <c r="I29" i="3"/>
  <c r="L29" i="3"/>
  <c r="J29" i="3"/>
  <c r="E29" i="3"/>
  <c r="C29" i="3"/>
  <c r="A123" i="4"/>
  <c r="K123" i="4"/>
  <c r="J123" i="4"/>
  <c r="F123" i="4"/>
  <c r="D123" i="4"/>
  <c r="C123" i="4"/>
  <c r="B123" i="4"/>
  <c r="H123" i="4"/>
  <c r="G123" i="4"/>
  <c r="E123" i="4"/>
  <c r="I123" i="4"/>
  <c r="F102" i="4"/>
  <c r="J102" i="4"/>
  <c r="G102" i="4"/>
  <c r="E102" i="4"/>
  <c r="A102" i="4"/>
  <c r="K102" i="4"/>
  <c r="I102" i="4"/>
  <c r="B102" i="4"/>
  <c r="H102" i="4"/>
  <c r="C102" i="4"/>
  <c r="D102" i="4"/>
  <c r="K135" i="4"/>
  <c r="G135" i="4"/>
  <c r="J135" i="4"/>
  <c r="I135" i="4"/>
  <c r="H135" i="4"/>
  <c r="F135" i="4"/>
  <c r="E135" i="4"/>
  <c r="D135" i="4"/>
  <c r="C135" i="4"/>
  <c r="B135" i="4"/>
  <c r="A135" i="4"/>
  <c r="K128" i="4"/>
  <c r="G128" i="4"/>
  <c r="A128" i="4"/>
  <c r="D128" i="4"/>
  <c r="B128" i="4"/>
  <c r="J128" i="4"/>
  <c r="E128" i="4"/>
  <c r="C128" i="4"/>
  <c r="H128" i="4"/>
  <c r="F128" i="4"/>
  <c r="I128" i="4"/>
  <c r="E48" i="3"/>
  <c r="A48" i="3"/>
  <c r="I48" i="3"/>
  <c r="H48" i="3"/>
  <c r="G48" i="3"/>
  <c r="D48" i="3"/>
  <c r="B48" i="3"/>
  <c r="L48" i="3"/>
  <c r="J48" i="3"/>
  <c r="C48" i="3"/>
  <c r="K48" i="3"/>
  <c r="F48" i="3"/>
  <c r="I30" i="3"/>
  <c r="H30" i="3"/>
  <c r="G30" i="3"/>
  <c r="E30" i="3"/>
  <c r="C30" i="3"/>
  <c r="B30" i="3"/>
  <c r="L30" i="3"/>
  <c r="J30" i="3"/>
  <c r="F30" i="3"/>
  <c r="D30" i="3"/>
  <c r="A30" i="3"/>
  <c r="K30" i="3"/>
  <c r="K29" i="4"/>
  <c r="B29" i="4"/>
  <c r="A29" i="4"/>
  <c r="I29" i="4"/>
  <c r="H29" i="4"/>
  <c r="G29" i="4"/>
  <c r="E29" i="4"/>
  <c r="D29" i="4"/>
  <c r="J29" i="4"/>
  <c r="F29" i="4"/>
  <c r="C29" i="4"/>
  <c r="E62" i="3"/>
  <c r="A62" i="3"/>
  <c r="G62" i="3"/>
  <c r="F62" i="3"/>
  <c r="D62" i="3"/>
  <c r="B62" i="3"/>
  <c r="J62" i="3"/>
  <c r="H62" i="3"/>
  <c r="L62" i="3"/>
  <c r="K62" i="3"/>
  <c r="I62" i="3"/>
  <c r="C62" i="3"/>
  <c r="K54" i="3"/>
  <c r="G54" i="3"/>
  <c r="L54" i="3"/>
  <c r="J54" i="3"/>
  <c r="H54" i="3"/>
  <c r="E54" i="3"/>
  <c r="D54" i="3"/>
  <c r="B54" i="3"/>
  <c r="A54" i="3"/>
  <c r="I54" i="3"/>
  <c r="F54" i="3"/>
  <c r="C54" i="3"/>
  <c r="E118" i="4"/>
  <c r="I118" i="4"/>
  <c r="H118" i="4"/>
  <c r="J118" i="4"/>
  <c r="G118" i="4"/>
  <c r="F118" i="4"/>
  <c r="D118" i="4"/>
  <c r="C118" i="4"/>
  <c r="A118" i="4"/>
  <c r="K118" i="4"/>
  <c r="B118" i="4"/>
  <c r="B93" i="4"/>
  <c r="C93" i="4"/>
  <c r="I93" i="4"/>
  <c r="H93" i="4"/>
  <c r="D93" i="4"/>
  <c r="A93" i="4"/>
  <c r="K93" i="4"/>
  <c r="G93" i="4"/>
  <c r="F93" i="4"/>
  <c r="E93" i="4"/>
  <c r="J93" i="4"/>
  <c r="E61" i="4"/>
  <c r="J61" i="4"/>
  <c r="I61" i="4"/>
  <c r="H61" i="4"/>
  <c r="G61" i="4"/>
  <c r="F61" i="4"/>
  <c r="A61" i="4"/>
  <c r="K61" i="4"/>
  <c r="D61" i="4"/>
  <c r="B61" i="4"/>
  <c r="C61" i="4"/>
  <c r="A130" i="4"/>
  <c r="K130" i="4"/>
  <c r="I130" i="4"/>
  <c r="H130" i="4"/>
  <c r="J130" i="4"/>
  <c r="G130" i="4"/>
  <c r="F130" i="4"/>
  <c r="E130" i="4"/>
  <c r="D130" i="4"/>
  <c r="C130" i="4"/>
  <c r="B130" i="4"/>
  <c r="G48" i="4"/>
  <c r="K48" i="4"/>
  <c r="I48" i="4"/>
  <c r="H48" i="4"/>
  <c r="E48" i="4"/>
  <c r="F48" i="4"/>
  <c r="D48" i="4"/>
  <c r="C48" i="4"/>
  <c r="B48" i="4"/>
  <c r="A48" i="4"/>
  <c r="J48" i="4"/>
  <c r="D89" i="3"/>
  <c r="C89" i="3"/>
  <c r="B89" i="3"/>
  <c r="A89" i="3"/>
  <c r="L89" i="3"/>
  <c r="K89" i="3"/>
  <c r="G89" i="3"/>
  <c r="E89" i="3"/>
  <c r="H89" i="3"/>
  <c r="F89" i="3"/>
  <c r="I89" i="3"/>
  <c r="J89" i="3"/>
  <c r="C53" i="4"/>
  <c r="K53" i="4"/>
  <c r="E53" i="4"/>
  <c r="D53" i="4"/>
  <c r="B53" i="4"/>
  <c r="J53" i="4"/>
  <c r="I53" i="4"/>
  <c r="A53" i="4"/>
  <c r="H53" i="4"/>
  <c r="G53" i="4"/>
  <c r="F53" i="4"/>
  <c r="J126" i="3"/>
  <c r="L126" i="3"/>
  <c r="H126" i="3"/>
  <c r="G126" i="3"/>
  <c r="D126" i="3"/>
  <c r="K126" i="3"/>
  <c r="I126" i="3"/>
  <c r="F126" i="3"/>
  <c r="C126" i="3"/>
  <c r="A126" i="3"/>
  <c r="E126" i="3"/>
  <c r="B126" i="3"/>
  <c r="H134" i="3"/>
  <c r="G134" i="3"/>
  <c r="F134" i="3"/>
  <c r="D134" i="3"/>
  <c r="A134" i="3"/>
  <c r="J134" i="3"/>
  <c r="I134" i="3"/>
  <c r="B134" i="3"/>
  <c r="L134" i="3"/>
  <c r="K134" i="3"/>
  <c r="E134" i="3"/>
  <c r="C134" i="3"/>
  <c r="L97" i="3"/>
  <c r="H97" i="3"/>
  <c r="K97" i="3"/>
  <c r="J97" i="3"/>
  <c r="I97" i="3"/>
  <c r="G97" i="3"/>
  <c r="F97" i="3"/>
  <c r="C97" i="3"/>
  <c r="B97" i="3"/>
  <c r="A97" i="3"/>
  <c r="D97" i="3"/>
  <c r="E97" i="3"/>
  <c r="C18" i="4"/>
  <c r="K18" i="4"/>
  <c r="J18" i="4"/>
  <c r="I18" i="4"/>
  <c r="B18" i="4"/>
  <c r="A18" i="4"/>
  <c r="G18" i="4"/>
  <c r="F18" i="4"/>
  <c r="D18" i="4"/>
  <c r="E18" i="4"/>
  <c r="H18" i="4"/>
  <c r="G27" i="4"/>
  <c r="K27" i="4"/>
  <c r="J27" i="4"/>
  <c r="I27" i="4"/>
  <c r="H27" i="4"/>
  <c r="F27" i="4"/>
  <c r="E27" i="4"/>
  <c r="C27" i="4"/>
  <c r="B27" i="4"/>
  <c r="D27" i="4"/>
  <c r="A27" i="4"/>
  <c r="D10" i="2"/>
  <c r="D7" i="2"/>
  <c r="D9" i="2"/>
  <c r="C38" i="3"/>
  <c r="B38" i="3"/>
  <c r="A38" i="3"/>
  <c r="K38" i="3"/>
  <c r="J38" i="3"/>
  <c r="F38" i="3"/>
  <c r="D38" i="3"/>
  <c r="L38" i="3"/>
  <c r="I38" i="3"/>
  <c r="G38" i="3"/>
  <c r="E38" i="3"/>
  <c r="H38" i="3"/>
  <c r="I52" i="3"/>
  <c r="E52" i="3"/>
  <c r="F52" i="3"/>
  <c r="D52" i="3"/>
  <c r="C52" i="3"/>
  <c r="A52" i="3"/>
  <c r="J52" i="3"/>
  <c r="G52" i="3"/>
  <c r="L52" i="3"/>
  <c r="K52" i="3"/>
  <c r="B52" i="3"/>
  <c r="H52" i="3"/>
  <c r="H93" i="3"/>
  <c r="D93" i="3"/>
  <c r="L93" i="3"/>
  <c r="K93" i="3"/>
  <c r="J93" i="3"/>
  <c r="A93" i="3"/>
  <c r="E93" i="3"/>
  <c r="B93" i="3"/>
  <c r="C93" i="3"/>
  <c r="I93" i="3"/>
  <c r="G93" i="3"/>
  <c r="F93" i="3"/>
  <c r="J65" i="4"/>
  <c r="I65" i="4"/>
  <c r="H65" i="4"/>
  <c r="G65" i="4"/>
  <c r="F65" i="4"/>
  <c r="E65" i="4"/>
  <c r="B65" i="4"/>
  <c r="A65" i="4"/>
  <c r="K65" i="4"/>
  <c r="D65" i="4"/>
  <c r="C65" i="4"/>
  <c r="G119" i="4"/>
  <c r="K119" i="4"/>
  <c r="J119" i="4"/>
  <c r="I119" i="4"/>
  <c r="F119" i="4"/>
  <c r="E119" i="4"/>
  <c r="H119" i="4"/>
  <c r="D119" i="4"/>
  <c r="C119" i="4"/>
  <c r="B119" i="4"/>
  <c r="A119" i="4"/>
  <c r="K96" i="3"/>
  <c r="G96" i="3"/>
  <c r="J96" i="3"/>
  <c r="H96" i="3"/>
  <c r="F96" i="3"/>
  <c r="E96" i="3"/>
  <c r="D96" i="3"/>
  <c r="C96" i="3"/>
  <c r="L96" i="3"/>
  <c r="B96" i="3"/>
  <c r="A96" i="3"/>
  <c r="I96" i="3"/>
  <c r="G50" i="3"/>
  <c r="C50" i="3"/>
  <c r="K50" i="3"/>
  <c r="I50" i="3"/>
  <c r="H50" i="3"/>
  <c r="B50" i="3"/>
  <c r="L50" i="3"/>
  <c r="J50" i="3"/>
  <c r="F50" i="3"/>
  <c r="E50" i="3"/>
  <c r="D50" i="3"/>
  <c r="A50" i="3"/>
  <c r="F132" i="3"/>
  <c r="E132" i="3"/>
  <c r="D132" i="3"/>
  <c r="B132" i="3"/>
  <c r="L132" i="3"/>
  <c r="K132" i="3"/>
  <c r="H132" i="3"/>
  <c r="I132" i="3"/>
  <c r="C132" i="3"/>
  <c r="A132" i="3"/>
  <c r="J132" i="3"/>
  <c r="G132" i="3"/>
  <c r="L34" i="3"/>
  <c r="K34" i="3"/>
  <c r="I34" i="3"/>
  <c r="G34" i="3"/>
  <c r="F34" i="3"/>
  <c r="B34" i="3"/>
  <c r="J34" i="3"/>
  <c r="H34" i="3"/>
  <c r="E34" i="3"/>
  <c r="D34" i="3"/>
  <c r="C34" i="3"/>
  <c r="A34" i="3"/>
  <c r="E78" i="3"/>
  <c r="B78" i="3"/>
  <c r="A78" i="3"/>
  <c r="K78" i="3"/>
  <c r="J78" i="3"/>
  <c r="F78" i="3"/>
  <c r="C78" i="3"/>
  <c r="G78" i="3"/>
  <c r="D78" i="3"/>
  <c r="I78" i="3"/>
  <c r="H78" i="3"/>
  <c r="L78" i="3"/>
  <c r="G64" i="3"/>
  <c r="D64" i="3"/>
  <c r="C64" i="3"/>
  <c r="L64" i="3"/>
  <c r="J64" i="3"/>
  <c r="H64" i="3"/>
  <c r="F64" i="3"/>
  <c r="K64" i="3"/>
  <c r="I64" i="3"/>
  <c r="E64" i="3"/>
  <c r="B64" i="3"/>
  <c r="A64" i="3"/>
  <c r="E26" i="3"/>
  <c r="D26" i="3"/>
  <c r="C26" i="3"/>
  <c r="A26" i="3"/>
  <c r="L26" i="3"/>
  <c r="H26" i="3"/>
  <c r="F26" i="3"/>
  <c r="K26" i="3"/>
  <c r="J26" i="3"/>
  <c r="I26" i="3"/>
  <c r="G26" i="3"/>
  <c r="B26" i="3"/>
  <c r="B100" i="4"/>
  <c r="I100" i="4"/>
  <c r="G100" i="4"/>
  <c r="F100" i="4"/>
  <c r="D100" i="4"/>
  <c r="K100" i="4"/>
  <c r="J100" i="4"/>
  <c r="E100" i="4"/>
  <c r="C100" i="4"/>
  <c r="A100" i="4"/>
  <c r="H100" i="4"/>
  <c r="J122" i="3"/>
  <c r="I122" i="3"/>
  <c r="F122" i="3"/>
  <c r="L122" i="3"/>
  <c r="G122" i="3"/>
  <c r="E122" i="3"/>
  <c r="B122" i="3"/>
  <c r="K122" i="3"/>
  <c r="H122" i="3"/>
  <c r="D122" i="3"/>
  <c r="C122" i="3"/>
  <c r="A122" i="3"/>
  <c r="J70" i="3"/>
  <c r="I70" i="3"/>
  <c r="G70" i="3"/>
  <c r="F70" i="3"/>
  <c r="E70" i="3"/>
  <c r="C70" i="3"/>
  <c r="A70" i="3"/>
  <c r="L70" i="3"/>
  <c r="H70" i="3"/>
  <c r="D70" i="3"/>
  <c r="B70" i="3"/>
  <c r="K70" i="3"/>
  <c r="H89" i="4"/>
  <c r="E89" i="4"/>
  <c r="C89" i="4"/>
  <c r="B89" i="4"/>
  <c r="K89" i="4"/>
  <c r="J89" i="4"/>
  <c r="I89" i="4"/>
  <c r="G89" i="4"/>
  <c r="F89" i="4"/>
  <c r="D89" i="4"/>
  <c r="A89" i="4"/>
  <c r="K68" i="3"/>
  <c r="H68" i="3"/>
  <c r="G68" i="3"/>
  <c r="L68" i="3"/>
  <c r="I68" i="3"/>
  <c r="F68" i="3"/>
  <c r="B68" i="3"/>
  <c r="J68" i="3"/>
  <c r="E68" i="3"/>
  <c r="D68" i="3"/>
  <c r="C68" i="3"/>
  <c r="A68" i="3"/>
  <c r="B114" i="3"/>
  <c r="A114" i="3"/>
  <c r="L114" i="3"/>
  <c r="H114" i="3"/>
  <c r="E114" i="3"/>
  <c r="D114" i="3"/>
  <c r="F114" i="3"/>
  <c r="I114" i="3"/>
  <c r="G114" i="3"/>
  <c r="C114" i="3"/>
  <c r="J114" i="3"/>
  <c r="K114" i="3"/>
  <c r="I42" i="4"/>
  <c r="K42" i="4"/>
  <c r="J42" i="4"/>
  <c r="H42" i="4"/>
  <c r="G42" i="4"/>
  <c r="E42" i="4"/>
  <c r="A42" i="4"/>
  <c r="D42" i="4"/>
  <c r="F42" i="4"/>
  <c r="B42" i="4"/>
  <c r="C42" i="4"/>
  <c r="I98" i="3"/>
  <c r="A98" i="3"/>
  <c r="L98" i="3"/>
  <c r="K98" i="3"/>
  <c r="J98" i="3"/>
  <c r="H98" i="3"/>
  <c r="F98" i="3"/>
  <c r="E98" i="3"/>
  <c r="C98" i="3"/>
  <c r="B98" i="3"/>
  <c r="G98" i="3"/>
  <c r="D98" i="3"/>
  <c r="J97" i="4"/>
  <c r="I97" i="4"/>
  <c r="F97" i="4"/>
  <c r="E97" i="4"/>
  <c r="G97" i="4"/>
  <c r="D97" i="4"/>
  <c r="C97" i="4"/>
  <c r="B97" i="4"/>
  <c r="A97" i="4"/>
  <c r="K97" i="4"/>
  <c r="H97" i="4"/>
  <c r="K114" i="4"/>
  <c r="J114" i="4"/>
  <c r="F114" i="4"/>
  <c r="D114" i="4"/>
  <c r="C114" i="4"/>
  <c r="A114" i="4"/>
  <c r="B114" i="4"/>
  <c r="I114" i="4"/>
  <c r="H114" i="4"/>
  <c r="G114" i="4"/>
  <c r="E114" i="4"/>
  <c r="I56" i="4"/>
  <c r="J56" i="4"/>
  <c r="H56" i="4"/>
  <c r="G56" i="4"/>
  <c r="F56" i="4"/>
  <c r="E56" i="4"/>
  <c r="K56" i="4"/>
  <c r="D56" i="4"/>
  <c r="B56" i="4"/>
  <c r="A56" i="4"/>
  <c r="C56" i="4"/>
  <c r="J67" i="3"/>
  <c r="G67" i="3"/>
  <c r="F67" i="3"/>
  <c r="L67" i="3"/>
  <c r="K67" i="3"/>
  <c r="I67" i="3"/>
  <c r="E67" i="3"/>
  <c r="C67" i="3"/>
  <c r="B67" i="3"/>
  <c r="H67" i="3"/>
  <c r="D67" i="3"/>
  <c r="A67" i="3"/>
  <c r="J57" i="3"/>
  <c r="F57" i="3"/>
  <c r="E57" i="3"/>
  <c r="D57" i="3"/>
  <c r="B57" i="3"/>
  <c r="I57" i="3"/>
  <c r="G57" i="3"/>
  <c r="A57" i="3"/>
  <c r="K57" i="3"/>
  <c r="H57" i="3"/>
  <c r="C57" i="3"/>
  <c r="L57" i="3"/>
  <c r="E117" i="3"/>
  <c r="D117" i="3"/>
  <c r="A117" i="3"/>
  <c r="F117" i="3"/>
  <c r="K117" i="3"/>
  <c r="I117" i="3"/>
  <c r="H117" i="3"/>
  <c r="G117" i="3"/>
  <c r="C117" i="3"/>
  <c r="B117" i="3"/>
  <c r="L117" i="3"/>
  <c r="J117" i="3"/>
  <c r="J72" i="4"/>
  <c r="H72" i="4"/>
  <c r="E72" i="4"/>
  <c r="D72" i="4"/>
  <c r="C72" i="4"/>
  <c r="B72" i="4"/>
  <c r="A72" i="4"/>
  <c r="K72" i="4"/>
  <c r="I72" i="4"/>
  <c r="G72" i="4"/>
  <c r="F72" i="4"/>
  <c r="D87" i="4"/>
  <c r="K87" i="4"/>
  <c r="I87" i="4"/>
  <c r="F87" i="4"/>
  <c r="E87" i="4"/>
  <c r="G87" i="4"/>
  <c r="C87" i="4"/>
  <c r="B87" i="4"/>
  <c r="H87" i="4"/>
  <c r="J87" i="4"/>
  <c r="A87" i="4"/>
  <c r="K18" i="3"/>
  <c r="J18" i="3"/>
  <c r="I18" i="3"/>
  <c r="G18" i="3"/>
  <c r="E18" i="3"/>
  <c r="D18" i="3"/>
  <c r="H18" i="3"/>
  <c r="F18" i="3"/>
  <c r="C18" i="3"/>
  <c r="B18" i="3"/>
  <c r="A18" i="3"/>
  <c r="L18" i="3"/>
  <c r="G80" i="3"/>
  <c r="D80" i="3"/>
  <c r="C80" i="3"/>
  <c r="K80" i="3"/>
  <c r="J80" i="3"/>
  <c r="I80" i="3"/>
  <c r="F80" i="3"/>
  <c r="B80" i="3"/>
  <c r="A80" i="3"/>
  <c r="L80" i="3"/>
  <c r="H80" i="3"/>
  <c r="E80" i="3"/>
  <c r="F27" i="3"/>
  <c r="E27" i="3"/>
  <c r="D27" i="3"/>
  <c r="B27" i="3"/>
  <c r="I27" i="3"/>
  <c r="G27" i="3"/>
  <c r="H27" i="3"/>
  <c r="C27" i="3"/>
  <c r="A27" i="3"/>
  <c r="L27" i="3"/>
  <c r="K27" i="3"/>
  <c r="J27" i="3"/>
  <c r="D101" i="4"/>
  <c r="J101" i="4"/>
  <c r="I101" i="4"/>
  <c r="G101" i="4"/>
  <c r="C101" i="4"/>
  <c r="B101" i="4"/>
  <c r="K101" i="4"/>
  <c r="H101" i="4"/>
  <c r="F101" i="4"/>
  <c r="E101" i="4"/>
  <c r="A101" i="4"/>
  <c r="C44" i="4"/>
  <c r="B44" i="4"/>
  <c r="A44" i="4"/>
  <c r="J44" i="4"/>
  <c r="I44" i="4"/>
  <c r="G44" i="4"/>
  <c r="K44" i="4"/>
  <c r="H44" i="4"/>
  <c r="F44" i="4"/>
  <c r="E44" i="4"/>
  <c r="D44" i="4"/>
  <c r="G69" i="4"/>
  <c r="D69" i="4"/>
  <c r="B69" i="4"/>
  <c r="K69" i="4"/>
  <c r="I69" i="4"/>
  <c r="H69" i="4"/>
  <c r="F69" i="4"/>
  <c r="C69" i="4"/>
  <c r="A69" i="4"/>
  <c r="J69" i="4"/>
  <c r="E69" i="4"/>
  <c r="A44" i="3"/>
  <c r="K44" i="3"/>
  <c r="L44" i="3"/>
  <c r="J44" i="3"/>
  <c r="I44" i="3"/>
  <c r="G44" i="3"/>
  <c r="E44" i="3"/>
  <c r="D44" i="3"/>
  <c r="H44" i="3"/>
  <c r="F44" i="3"/>
  <c r="C44" i="3"/>
  <c r="B44" i="3"/>
  <c r="E132" i="4"/>
  <c r="A132" i="4"/>
  <c r="B132" i="4"/>
  <c r="J132" i="4"/>
  <c r="I132" i="4"/>
  <c r="H132" i="4"/>
  <c r="G132" i="4"/>
  <c r="F132" i="4"/>
  <c r="D132" i="4"/>
  <c r="C132" i="4"/>
  <c r="K132" i="4"/>
  <c r="B87" i="3"/>
  <c r="L87" i="3"/>
  <c r="I87" i="3"/>
  <c r="H87" i="3"/>
  <c r="G87" i="3"/>
  <c r="D87" i="3"/>
  <c r="C87" i="3"/>
  <c r="A87" i="3"/>
  <c r="J87" i="3"/>
  <c r="E87" i="3"/>
  <c r="K87" i="3"/>
  <c r="F87" i="3"/>
  <c r="L20" i="3"/>
  <c r="K20" i="3"/>
  <c r="I20" i="3"/>
  <c r="G20" i="3"/>
  <c r="F20" i="3"/>
  <c r="B20" i="3"/>
  <c r="J20" i="3"/>
  <c r="H20" i="3"/>
  <c r="E20" i="3"/>
  <c r="D20" i="3"/>
  <c r="C20" i="3"/>
  <c r="A20" i="3"/>
  <c r="K115" i="4"/>
  <c r="I115" i="4"/>
  <c r="H115" i="4"/>
  <c r="F115" i="4"/>
  <c r="C115" i="4"/>
  <c r="B115" i="4"/>
  <c r="J115" i="4"/>
  <c r="G115" i="4"/>
  <c r="D115" i="4"/>
  <c r="A115" i="4"/>
  <c r="E115" i="4"/>
  <c r="K36" i="4"/>
  <c r="H36" i="4"/>
  <c r="G36" i="4"/>
  <c r="F36" i="4"/>
  <c r="E36" i="4"/>
  <c r="D36" i="4"/>
  <c r="J36" i="4"/>
  <c r="I36" i="4"/>
  <c r="C36" i="4"/>
  <c r="B36" i="4"/>
  <c r="A36" i="4"/>
  <c r="K50" i="4"/>
  <c r="F50" i="4"/>
  <c r="E50" i="4"/>
  <c r="D50" i="4"/>
  <c r="C50" i="4"/>
  <c r="B50" i="4"/>
  <c r="J50" i="4"/>
  <c r="I50" i="4"/>
  <c r="G50" i="4"/>
  <c r="H50" i="4"/>
  <c r="A50" i="4"/>
  <c r="G105" i="4"/>
  <c r="J105" i="4"/>
  <c r="H105" i="4"/>
  <c r="F105" i="4"/>
  <c r="D105" i="4"/>
  <c r="A105" i="4"/>
  <c r="K105" i="4"/>
  <c r="E105" i="4"/>
  <c r="C105" i="4"/>
  <c r="I105" i="4"/>
  <c r="B105" i="4"/>
  <c r="G133" i="4"/>
  <c r="C133" i="4"/>
  <c r="F133" i="4"/>
  <c r="E133" i="4"/>
  <c r="K133" i="4"/>
  <c r="J133" i="4"/>
  <c r="I133" i="4"/>
  <c r="H133" i="4"/>
  <c r="D133" i="4"/>
  <c r="A133" i="4"/>
  <c r="B133" i="4"/>
  <c r="G28" i="3"/>
  <c r="F28" i="3"/>
  <c r="E28" i="3"/>
  <c r="C28" i="3"/>
  <c r="A28" i="3"/>
  <c r="J28" i="3"/>
  <c r="H28" i="3"/>
  <c r="L28" i="3"/>
  <c r="K28" i="3"/>
  <c r="I28" i="3"/>
  <c r="D28" i="3"/>
  <c r="B28" i="3"/>
  <c r="I63" i="4"/>
  <c r="F63" i="4"/>
  <c r="A63" i="4"/>
  <c r="C63" i="4"/>
  <c r="B63" i="4"/>
  <c r="K63" i="4"/>
  <c r="E63" i="4"/>
  <c r="H63" i="4"/>
  <c r="G63" i="4"/>
  <c r="D63" i="4"/>
  <c r="J63" i="4"/>
  <c r="C24" i="3"/>
  <c r="B24" i="3"/>
  <c r="A24" i="3"/>
  <c r="K24" i="3"/>
  <c r="J24" i="3"/>
  <c r="F24" i="3"/>
  <c r="L24" i="3"/>
  <c r="I24" i="3"/>
  <c r="H24" i="3"/>
  <c r="G24" i="3"/>
  <c r="E24" i="3"/>
  <c r="D24" i="3"/>
  <c r="I135" i="3"/>
  <c r="H135" i="3"/>
  <c r="G135" i="3"/>
  <c r="E135" i="3"/>
  <c r="B135" i="3"/>
  <c r="A135" i="3"/>
  <c r="L135" i="3"/>
  <c r="D135" i="3"/>
  <c r="J135" i="3"/>
  <c r="F135" i="3"/>
  <c r="C135" i="3"/>
  <c r="K135" i="3"/>
  <c r="I79" i="4"/>
  <c r="G79" i="4"/>
  <c r="F79" i="4"/>
  <c r="D79" i="4"/>
  <c r="A79" i="4"/>
  <c r="K79" i="4"/>
  <c r="J79" i="4"/>
  <c r="H79" i="4"/>
  <c r="E79" i="4"/>
  <c r="C79" i="4"/>
  <c r="B79" i="4"/>
  <c r="AD72" i="6" l="1"/>
  <c r="AD73" i="6" l="1"/>
  <c r="AD74" i="6" l="1"/>
  <c r="AD75" i="6" l="1"/>
  <c r="AD76" i="6" l="1"/>
  <c r="AD77" i="6" l="1"/>
  <c r="AD78" i="6" l="1"/>
  <c r="AD79" i="6" l="1"/>
  <c r="AD80" i="6" l="1"/>
  <c r="AD81" i="6" l="1"/>
  <c r="AD82" i="6" l="1"/>
  <c r="AD83" i="6" l="1"/>
  <c r="AD84" i="6" l="1"/>
  <c r="AD85" i="6" l="1"/>
  <c r="AD86" i="6" l="1"/>
  <c r="AD87" i="6" l="1"/>
  <c r="AD88" i="6" l="1"/>
  <c r="AD89" i="6" l="1"/>
  <c r="AD90" i="6" l="1"/>
  <c r="AD91" i="6" l="1"/>
  <c r="AD92" i="6" l="1"/>
  <c r="AD93" i="6" l="1"/>
  <c r="AD94" i="6" l="1"/>
  <c r="AD95" i="6" l="1"/>
  <c r="AD96" i="6" l="1"/>
  <c r="AD97" i="6" l="1"/>
  <c r="AD98" i="6" l="1"/>
  <c r="AD99" i="6" l="1"/>
  <c r="AD100" i="6" l="1"/>
  <c r="AD101" i="6" l="1"/>
  <c r="AD102" i="6" l="1"/>
  <c r="AD103" i="6" l="1"/>
  <c r="AD104" i="6" l="1"/>
  <c r="AD105" i="6" l="1"/>
  <c r="AD106" i="6" l="1"/>
  <c r="AD107" i="6" l="1"/>
  <c r="AD108" i="6" l="1"/>
  <c r="AD109" i="6" l="1"/>
  <c r="AD110" i="6" l="1"/>
  <c r="AD111" i="6" l="1"/>
  <c r="AD112" i="6" l="1"/>
  <c r="AD113" i="6" l="1"/>
  <c r="AD114" i="6" l="1"/>
  <c r="AD115" i="6" l="1"/>
  <c r="AD116" i="6" l="1"/>
  <c r="AD117" i="6" l="1"/>
  <c r="AD118" i="6" l="1"/>
  <c r="AD119" i="6" l="1"/>
  <c r="AD120" i="6" l="1"/>
  <c r="AD121" i="6" l="1"/>
  <c r="AD122" i="6" l="1"/>
  <c r="AD123" i="6" l="1"/>
  <c r="AD124" i="6" l="1"/>
  <c r="AD125" i="6" l="1"/>
  <c r="AD126" i="6" l="1"/>
  <c r="AD127" i="6" l="1"/>
  <c r="AD128" i="6" l="1"/>
  <c r="AD129" i="6" l="1"/>
  <c r="AD130" i="6" l="1"/>
  <c r="AD131" i="6" l="1"/>
  <c r="AD132" i="6" l="1"/>
  <c r="AD133" i="6" l="1"/>
  <c r="AD134" i="6" l="1"/>
  <c r="AD135" i="6" l="1"/>
  <c r="AD136" i="6" l="1"/>
  <c r="AD137" i="6" l="1"/>
  <c r="AD138" i="6" l="1"/>
  <c r="AD139" i="6" l="1"/>
  <c r="AD140" i="6" l="1"/>
  <c r="AD141" i="6" l="1"/>
  <c r="AD142" i="6" l="1"/>
  <c r="AD143" i="6" l="1"/>
  <c r="AD144" i="6" l="1"/>
  <c r="AD145" i="6" l="1"/>
  <c r="AD146" i="6" l="1"/>
  <c r="AD147" i="6" l="1"/>
  <c r="AD148" i="6" l="1"/>
  <c r="AD149" i="6" l="1"/>
  <c r="AD150" i="6" l="1"/>
  <c r="AD151" i="6" l="1"/>
  <c r="AD152" i="6" l="1"/>
  <c r="AD153" i="6" l="1"/>
  <c r="AD154" i="6" l="1"/>
  <c r="AD155" i="6" l="1"/>
  <c r="AD156" i="6" l="1"/>
  <c r="AD157" i="6" l="1"/>
  <c r="AD158" i="6" l="1"/>
  <c r="AD159" i="6" l="1"/>
  <c r="AD160" i="6" l="1"/>
  <c r="AD161" i="6" l="1"/>
  <c r="AD162" i="6" l="1"/>
  <c r="AD163" i="6" l="1"/>
  <c r="AD164" i="6" l="1"/>
  <c r="AD165" i="6" l="1"/>
  <c r="AD166" i="6" l="1"/>
  <c r="AD167" i="6" l="1"/>
  <c r="AD168" i="6" l="1"/>
  <c r="AD169" i="6" l="1"/>
  <c r="AD170" i="6" l="1"/>
  <c r="AD171" i="6" l="1"/>
  <c r="AD172" i="6" l="1"/>
  <c r="AD173" i="6" l="1"/>
  <c r="AD174" i="6" l="1"/>
  <c r="AD175" i="6" l="1"/>
  <c r="AD176" i="6" l="1"/>
  <c r="AD177" i="6" l="1"/>
  <c r="AD178" i="6" l="1"/>
  <c r="AD179" i="6" l="1"/>
  <c r="AD180" i="6" l="1"/>
  <c r="AD181" i="6" l="1"/>
  <c r="AD182" i="6" l="1"/>
  <c r="AD183" i="6" l="1"/>
  <c r="AD184" i="6" l="1"/>
  <c r="AD185" i="6" l="1"/>
  <c r="AD186" i="6" l="1"/>
  <c r="AD187" i="6" l="1"/>
  <c r="AD188" i="6" l="1"/>
  <c r="AD189" i="6" l="1"/>
  <c r="AD190" i="6" l="1"/>
  <c r="AD191" i="6" l="1"/>
  <c r="AD192" i="6" l="1"/>
  <c r="AD193" i="6" l="1"/>
  <c r="AD194" i="6" l="1"/>
  <c r="AD195" i="6" l="1"/>
  <c r="AD196" i="6" l="1"/>
  <c r="AD197" i="6" l="1"/>
  <c r="AD198" i="6" l="1"/>
  <c r="AD199" i="6" l="1"/>
  <c r="AD200" i="6" l="1"/>
  <c r="AD201" i="6" l="1"/>
  <c r="AD202" i="6" l="1"/>
  <c r="AD203" i="6" l="1"/>
  <c r="AD204" i="6" l="1"/>
  <c r="AD205" i="6" l="1"/>
  <c r="AD206" i="6" l="1"/>
  <c r="AD207" i="6" l="1"/>
  <c r="AD208" i="6" l="1"/>
  <c r="AD209" i="6" l="1"/>
  <c r="AD210" i="6" l="1"/>
  <c r="AD211" i="6" l="1"/>
  <c r="AD212" i="6" l="1"/>
  <c r="AD213" i="6" l="1"/>
  <c r="AD214" i="6" l="1"/>
  <c r="AD215" i="6" l="1"/>
  <c r="AD216" i="6" l="1"/>
  <c r="AD217" i="6" l="1"/>
  <c r="AD218" i="6" l="1"/>
  <c r="AD219" i="6" l="1"/>
  <c r="AD220" i="6" l="1"/>
  <c r="AD221" i="6" l="1"/>
  <c r="AD222" i="6" l="1"/>
  <c r="AD223" i="6" l="1"/>
  <c r="AD224" i="6" l="1"/>
  <c r="AD225" i="6" l="1"/>
  <c r="AD226" i="6" l="1"/>
  <c r="AD227" i="6" l="1"/>
  <c r="AD228" i="6" l="1"/>
  <c r="AD229" i="6" l="1"/>
  <c r="AD230" i="6" l="1"/>
  <c r="AD231" i="6" l="1"/>
  <c r="AD232" i="6" l="1"/>
  <c r="AD233" i="6" l="1"/>
  <c r="AD234" i="6" l="1"/>
  <c r="AD235" i="6" l="1"/>
  <c r="AD236" i="6" l="1"/>
  <c r="AD237" i="6" l="1"/>
  <c r="AD238" i="6" l="1"/>
  <c r="AD239" i="6" l="1"/>
  <c r="AD240" i="6" l="1"/>
  <c r="AD241" i="6" l="1"/>
  <c r="AD242" i="6" l="1"/>
  <c r="AD243" i="6" l="1"/>
  <c r="AD244" i="6" l="1"/>
  <c r="AD245" i="6" l="1"/>
  <c r="AD246" i="6" l="1"/>
  <c r="AD247" i="6" l="1"/>
  <c r="AD248" i="6" l="1"/>
  <c r="AD249" i="6" l="1"/>
  <c r="AD250" i="6" l="1"/>
  <c r="AD251" i="6" l="1"/>
  <c r="AD252" i="6" l="1"/>
  <c r="AD253" i="6" l="1"/>
  <c r="AD254" i="6" l="1"/>
  <c r="AD255" i="6" l="1"/>
  <c r="AD256" i="6" l="1"/>
  <c r="AD257" i="6" l="1"/>
  <c r="AD258" i="6" l="1"/>
  <c r="AD259" i="6" l="1"/>
  <c r="AD260" i="6" l="1"/>
  <c r="AD261" i="6" l="1"/>
  <c r="AD262" i="6" l="1"/>
  <c r="AD263" i="6" l="1"/>
  <c r="AD264" i="6" l="1"/>
  <c r="AD265" i="6" l="1"/>
  <c r="AD266" i="6" l="1"/>
  <c r="AD267" i="6" l="1"/>
  <c r="AD268" i="6" l="1"/>
  <c r="AD269" i="6" l="1"/>
  <c r="AD270" i="6" l="1"/>
  <c r="AD271" i="6" l="1"/>
  <c r="AD272" i="6" l="1"/>
  <c r="AD273" i="6" l="1"/>
  <c r="AD274" i="6" l="1"/>
  <c r="AD275" i="6" l="1"/>
  <c r="AD276" i="6" l="1"/>
  <c r="AD277" i="6" l="1"/>
  <c r="AD278" i="6" l="1"/>
  <c r="AD279" i="6" l="1"/>
  <c r="AD280" i="6" l="1"/>
  <c r="AD281" i="6" l="1"/>
  <c r="AD282" i="6" l="1"/>
  <c r="AD283" i="6" l="1"/>
  <c r="AD284" i="6" l="1"/>
  <c r="AD285" i="6" l="1"/>
  <c r="AD286" i="6" l="1"/>
  <c r="AD287" i="6" l="1"/>
  <c r="AD288" i="6" l="1"/>
  <c r="AD289" i="6" l="1"/>
  <c r="AD290" i="6" l="1"/>
  <c r="AD291" i="6" l="1"/>
  <c r="AD292" i="6" l="1"/>
  <c r="AD293" i="6" l="1"/>
  <c r="AD294" i="6" l="1"/>
  <c r="AD295" i="6" l="1"/>
  <c r="AD296" i="6" l="1"/>
  <c r="AD297" i="6" l="1"/>
  <c r="AD298" i="6" l="1"/>
  <c r="AD299" i="6" l="1"/>
  <c r="AD300" i="6" l="1"/>
  <c r="AD301" i="6" l="1"/>
  <c r="AD302" i="6" l="1"/>
  <c r="AD303" i="6" l="1"/>
  <c r="AD304" i="6" l="1"/>
  <c r="AD305" i="6" l="1"/>
  <c r="AD306" i="6" l="1"/>
  <c r="AD307" i="6" l="1"/>
  <c r="AD308" i="6" l="1"/>
  <c r="AD309" i="6" l="1"/>
  <c r="AD310" i="6" l="1"/>
  <c r="AD311" i="6" l="1"/>
  <c r="AD312" i="6" l="1"/>
  <c r="AD313" i="6" l="1"/>
  <c r="AD314" i="6" l="1"/>
  <c r="AD315" i="6" l="1"/>
  <c r="AD316" i="6" l="1"/>
  <c r="AD317" i="6" l="1"/>
  <c r="AD318" i="6" l="1"/>
  <c r="AD319" i="6" l="1"/>
  <c r="AD320" i="6" l="1"/>
  <c r="AD321" i="6" l="1"/>
  <c r="AD322" i="6" l="1"/>
  <c r="AD323" i="6" l="1"/>
  <c r="AD324" i="6" l="1"/>
  <c r="AD325" i="6" l="1"/>
  <c r="AD326" i="6" l="1"/>
  <c r="AD327" i="6" l="1"/>
  <c r="AD328" i="6" l="1"/>
  <c r="AD329" i="6" l="1"/>
  <c r="AD330" i="6" l="1"/>
  <c r="AD331" i="6" l="1"/>
  <c r="AD332" i="6" l="1"/>
  <c r="AD333" i="6" l="1"/>
  <c r="AD334" i="6" l="1"/>
  <c r="AD335" i="6" l="1"/>
  <c r="AD336" i="6" l="1"/>
  <c r="AD337" i="6" l="1"/>
  <c r="AD338" i="6" l="1"/>
  <c r="AD339" i="6" l="1"/>
  <c r="AD340" i="6" l="1"/>
  <c r="AD341" i="6" l="1"/>
  <c r="AD342" i="6" l="1"/>
  <c r="AD343" i="6" l="1"/>
  <c r="AD344" i="6" l="1"/>
  <c r="AD345" i="6" l="1"/>
  <c r="AD346" i="6" l="1"/>
  <c r="AD347" i="6" l="1"/>
  <c r="AD348" i="6" l="1"/>
  <c r="AD349" i="6" l="1"/>
  <c r="AD350" i="6" l="1"/>
  <c r="AD351" i="6" l="1"/>
  <c r="AD352" i="6" l="1"/>
  <c r="AD353" i="6" l="1"/>
  <c r="AD354" i="6" l="1"/>
  <c r="AD355" i="6" l="1"/>
  <c r="AD356" i="6" l="1"/>
  <c r="AD357" i="6" l="1"/>
  <c r="AD358" i="6" l="1"/>
  <c r="AD359" i="6" l="1"/>
  <c r="AD360" i="6" l="1"/>
  <c r="AD361" i="6" l="1"/>
  <c r="AD362" i="6" l="1"/>
  <c r="AD363" i="6" l="1"/>
  <c r="AD364" i="6" l="1"/>
  <c r="AD365" i="6" l="1"/>
  <c r="AD366" i="6" l="1"/>
  <c r="AD367" i="6" l="1"/>
  <c r="AD368" i="6" l="1"/>
  <c r="AD369" i="6" l="1"/>
  <c r="AD370" i="6" l="1"/>
  <c r="AD371" i="6" l="1"/>
  <c r="AD372" i="6" l="1"/>
  <c r="AD373" i="6" l="1"/>
  <c r="AD374" i="6" l="1"/>
  <c r="AD375" i="6" l="1"/>
  <c r="AD376" i="6" l="1"/>
  <c r="AD377" i="6" l="1"/>
  <c r="AD378" i="6" l="1"/>
  <c r="AD379" i="6" l="1"/>
  <c r="AD380" i="6" l="1"/>
  <c r="AD381" i="6" l="1"/>
  <c r="AD382" i="6" l="1"/>
  <c r="AD383" i="6" l="1"/>
  <c r="AD384" i="6" l="1"/>
  <c r="AD385" i="6" l="1"/>
  <c r="AD386" i="6" l="1"/>
  <c r="AD387" i="6" l="1"/>
  <c r="AD388" i="6" l="1"/>
  <c r="AD389" i="6" l="1"/>
  <c r="AD390" i="6" l="1"/>
  <c r="AD391" i="6" l="1"/>
  <c r="AD392" i="6" l="1"/>
  <c r="AD393" i="6" l="1"/>
  <c r="AD394" i="6" l="1"/>
  <c r="AD395" i="6" l="1"/>
  <c r="AD396" i="6" l="1"/>
  <c r="AD397" i="6" l="1"/>
  <c r="AD398" i="6" l="1"/>
  <c r="AD399" i="6" l="1"/>
  <c r="AD400" i="6" l="1"/>
  <c r="AD401" i="6" l="1"/>
  <c r="AD402" i="6" l="1"/>
  <c r="AD403" i="6" l="1"/>
  <c r="AD404" i="6" l="1"/>
  <c r="AD405" i="6" l="1"/>
  <c r="AD406" i="6" l="1"/>
  <c r="AD407" i="6" l="1"/>
  <c r="AD408" i="6" l="1"/>
  <c r="AD409" i="6" l="1"/>
  <c r="AD410" i="6" l="1"/>
  <c r="AD411" i="6" l="1"/>
  <c r="AD412" i="6" l="1"/>
  <c r="AD413" i="6" l="1"/>
  <c r="AD414" i="6" l="1"/>
  <c r="AD415" i="6" l="1"/>
  <c r="AD416" i="6" l="1"/>
  <c r="AD417" i="6" l="1"/>
  <c r="AD418" i="6" l="1"/>
  <c r="AD419" i="6" l="1"/>
  <c r="AD420" i="6" l="1"/>
  <c r="AD421" i="6" l="1"/>
  <c r="AD422" i="6" l="1"/>
  <c r="AD423" i="6" l="1"/>
  <c r="AD424" i="6" l="1"/>
  <c r="AD425" i="6" l="1"/>
  <c r="AD426" i="6" l="1"/>
  <c r="AD427" i="6" l="1"/>
  <c r="AD428" i="6" l="1"/>
  <c r="AD429" i="6" l="1"/>
  <c r="AD430" i="6" l="1"/>
  <c r="AD431" i="6" l="1"/>
  <c r="AD432" i="6" l="1"/>
  <c r="AD433" i="6" l="1"/>
  <c r="AD434" i="6" l="1"/>
  <c r="AD435" i="6" l="1"/>
  <c r="AD436" i="6" l="1"/>
  <c r="AD437" i="6" l="1"/>
  <c r="AD438" i="6" l="1"/>
  <c r="AD439" i="6" l="1"/>
  <c r="AD440" i="6" l="1"/>
  <c r="AD441" i="6" l="1"/>
  <c r="AD442" i="6" l="1"/>
  <c r="AD443" i="6" l="1"/>
  <c r="AD444" i="6" l="1"/>
  <c r="AD445" i="6" l="1"/>
  <c r="AD446" i="6" l="1"/>
  <c r="AD447" i="6" l="1"/>
  <c r="AD448" i="6" l="1"/>
  <c r="AD449" i="6" l="1"/>
  <c r="AD450" i="6" l="1"/>
  <c r="AD451" i="6" l="1"/>
  <c r="AD452" i="6" l="1"/>
  <c r="AD453" i="6" l="1"/>
  <c r="AD454" i="6" l="1"/>
  <c r="AD455" i="6" l="1"/>
  <c r="AD456" i="6" l="1"/>
  <c r="AD457" i="6" l="1"/>
  <c r="AD458" i="6" l="1"/>
  <c r="AD459" i="6" l="1"/>
  <c r="AD460" i="6" l="1"/>
  <c r="AD461" i="6" l="1"/>
  <c r="AD462" i="6" l="1"/>
  <c r="AD463" i="6" l="1"/>
  <c r="AD464" i="6" l="1"/>
  <c r="AD465" i="6" l="1"/>
  <c r="AD466" i="6" l="1"/>
  <c r="AD467" i="6" l="1"/>
  <c r="AD468" i="6" l="1"/>
  <c r="AD469" i="6" l="1"/>
  <c r="AD470" i="6" l="1"/>
  <c r="AD471" i="6" l="1"/>
  <c r="AD472" i="6" l="1"/>
  <c r="AD473" i="6" l="1"/>
  <c r="AD474" i="6" l="1"/>
  <c r="AD475" i="6" l="1"/>
  <c r="AD476" i="6" l="1"/>
  <c r="AD477" i="6" l="1"/>
  <c r="AD478" i="6" l="1"/>
  <c r="AD479" i="6" l="1"/>
  <c r="AD480" i="6" l="1"/>
  <c r="AD481" i="6" l="1"/>
  <c r="AD482" i="6" l="1"/>
  <c r="AD483" i="6" l="1"/>
  <c r="AD484" i="6" l="1"/>
  <c r="AD485" i="6" l="1"/>
  <c r="AD486" i="6" l="1"/>
  <c r="AD487" i="6" l="1"/>
  <c r="AD488" i="6" l="1"/>
  <c r="AD489" i="6" l="1"/>
  <c r="AD490" i="6" l="1"/>
  <c r="AD491" i="6" l="1"/>
  <c r="AD492" i="6" l="1"/>
  <c r="AD493" i="6" l="1"/>
  <c r="AD494" i="6" l="1"/>
  <c r="AD495" i="6" l="1"/>
  <c r="AD496" i="6" l="1"/>
  <c r="AD497" i="6" l="1"/>
  <c r="AD498" i="6" l="1"/>
  <c r="AD499" i="6" l="1"/>
  <c r="AD500" i="6" l="1"/>
  <c r="AD501" i="6" l="1"/>
  <c r="AD502" i="6" l="1"/>
  <c r="AD503" i="6" l="1"/>
  <c r="AD504" i="6" l="1"/>
  <c r="AD505" i="6" l="1"/>
  <c r="AD506" i="6" l="1"/>
  <c r="AD507" i="6" l="1"/>
  <c r="AD508" i="6" l="1"/>
  <c r="AD509" i="6" l="1"/>
  <c r="AD510" i="6" l="1"/>
  <c r="AD511" i="6" l="1"/>
  <c r="AD512" i="6" l="1"/>
  <c r="AD513" i="6" l="1"/>
  <c r="AD514" i="6" l="1"/>
  <c r="AD515" i="6" l="1"/>
  <c r="AD516" i="6" l="1"/>
  <c r="AD517" i="6" l="1"/>
  <c r="AD518" i="6" l="1"/>
  <c r="AD519" i="6" l="1"/>
  <c r="AD520" i="6" l="1"/>
  <c r="AD521" i="6" l="1"/>
  <c r="AD522" i="6" l="1"/>
  <c r="AD523" i="6" l="1"/>
  <c r="AD524" i="6" l="1"/>
  <c r="AD525" i="6" l="1"/>
  <c r="AD526" i="6" l="1"/>
  <c r="AD527" i="6" l="1"/>
  <c r="AD528" i="6" l="1"/>
  <c r="AD529" i="6" l="1"/>
  <c r="AD530" i="6" l="1"/>
  <c r="AD531" i="6" l="1"/>
  <c r="AD532" i="6" l="1"/>
  <c r="AD533" i="6" l="1"/>
  <c r="AD534" i="6" l="1"/>
  <c r="AD535" i="6" l="1"/>
  <c r="AD536" i="6" l="1"/>
  <c r="AD537" i="6" l="1"/>
  <c r="AD538" i="6" l="1"/>
  <c r="AD539" i="6" l="1"/>
  <c r="AD540" i="6" l="1"/>
  <c r="AD541" i="6" l="1"/>
  <c r="AD542" i="6" l="1"/>
  <c r="AD543" i="6" l="1"/>
  <c r="AD544" i="6" l="1"/>
  <c r="AD545" i="6" l="1"/>
  <c r="AD546" i="6" l="1"/>
  <c r="AD547" i="6" l="1"/>
  <c r="AD548" i="6" l="1"/>
  <c r="AD549" i="6" l="1"/>
  <c r="AD550" i="6" l="1"/>
  <c r="AD551" i="6" l="1"/>
  <c r="AD552" i="6" l="1"/>
  <c r="AD553" i="6" l="1"/>
  <c r="AD554" i="6" l="1"/>
  <c r="AD555" i="6" l="1"/>
  <c r="AD556" i="6" l="1"/>
  <c r="AD557" i="6" l="1"/>
  <c r="AD558" i="6" l="1"/>
  <c r="AD559" i="6" l="1"/>
  <c r="AD560" i="6" l="1"/>
  <c r="AD561" i="6" l="1"/>
  <c r="AD562" i="6" l="1"/>
  <c r="AD563" i="6" l="1"/>
  <c r="AD564" i="6" l="1"/>
  <c r="AD565" i="6" l="1"/>
  <c r="AD566" i="6" l="1"/>
  <c r="AD567" i="6" l="1"/>
  <c r="AD568" i="6" l="1"/>
  <c r="AD569" i="6" l="1"/>
  <c r="AD570" i="6" l="1"/>
  <c r="AD571" i="6" l="1"/>
  <c r="AD572" i="6" l="1"/>
  <c r="AD573" i="6" l="1"/>
  <c r="AD574" i="6" l="1"/>
  <c r="AD575" i="6" l="1"/>
  <c r="AD576" i="6" l="1"/>
  <c r="AD577" i="6" l="1"/>
  <c r="AD578" i="6" l="1"/>
  <c r="AD579" i="6" l="1"/>
  <c r="AD580" i="6" l="1"/>
  <c r="AD581" i="6" l="1"/>
  <c r="AD582" i="6" l="1"/>
  <c r="AD583" i="6" l="1"/>
  <c r="AD584" i="6" l="1"/>
  <c r="AD585" i="6" l="1"/>
  <c r="AD586" i="6" l="1"/>
  <c r="AD587" i="6" l="1"/>
  <c r="AD588" i="6" l="1"/>
  <c r="AD589" i="6" l="1"/>
  <c r="AD590" i="6" l="1"/>
  <c r="AD591" i="6" l="1"/>
  <c r="AD592" i="6" l="1"/>
  <c r="AD593" i="6" l="1"/>
  <c r="AD594" i="6" l="1"/>
  <c r="AD595" i="6" l="1"/>
  <c r="AD596" i="6" l="1"/>
  <c r="AD597" i="6" l="1"/>
  <c r="AD598" i="6" l="1"/>
  <c r="AD599" i="6" l="1"/>
  <c r="AD600" i="6" l="1"/>
  <c r="AD601" i="6" l="1"/>
  <c r="AD602" i="6" l="1"/>
  <c r="AD603" i="6" l="1"/>
  <c r="AD604" i="6" l="1"/>
  <c r="AD605" i="6" l="1"/>
  <c r="AD606" i="6" l="1"/>
  <c r="AD607" i="6" l="1"/>
  <c r="AD608" i="6" l="1"/>
  <c r="AD609" i="6" l="1"/>
  <c r="AD610" i="6" l="1"/>
  <c r="AD611" i="6" l="1"/>
  <c r="AD612" i="6" l="1"/>
  <c r="AD613" i="6" l="1"/>
  <c r="AD614" i="6" l="1"/>
  <c r="AD615" i="6" l="1"/>
  <c r="AD616" i="6" l="1"/>
  <c r="AD617" i="6" l="1"/>
  <c r="AD618" i="6" l="1"/>
  <c r="AD619" i="6" l="1"/>
  <c r="AD620" i="6" l="1"/>
  <c r="AD621" i="6" l="1"/>
  <c r="AD622" i="6" l="1"/>
  <c r="AD623" i="6" l="1"/>
  <c r="AD624" i="6" l="1"/>
  <c r="AD625" i="6" l="1"/>
  <c r="AD626" i="6" l="1"/>
  <c r="AD627" i="6" l="1"/>
  <c r="AD628" i="6" l="1"/>
  <c r="AD629" i="6" l="1"/>
  <c r="AD630" i="6" l="1"/>
  <c r="AD631" i="6" l="1"/>
  <c r="AD632" i="6" l="1"/>
  <c r="AD633" i="6" l="1"/>
  <c r="AD634" i="6" l="1"/>
  <c r="AD635" i="6" l="1"/>
  <c r="AD636" i="6" l="1"/>
  <c r="AD637" i="6" l="1"/>
  <c r="AD638" i="6" l="1"/>
  <c r="AD639" i="6" l="1"/>
  <c r="AD640" i="6" l="1"/>
  <c r="AD641" i="6" l="1"/>
  <c r="AD642" i="6" l="1"/>
  <c r="AD643" i="6" l="1"/>
  <c r="AD644" i="6" l="1"/>
  <c r="AD645" i="6" l="1"/>
  <c r="AD646" i="6" l="1"/>
  <c r="AD647" i="6" l="1"/>
  <c r="AD648" i="6" l="1"/>
  <c r="AD649" i="6" l="1"/>
  <c r="AD650" i="6" l="1"/>
  <c r="AD651" i="6" l="1"/>
  <c r="AD652" i="6" l="1"/>
  <c r="AD653" i="6" l="1"/>
  <c r="AD654" i="6" l="1"/>
  <c r="AD655" i="6" l="1"/>
  <c r="AD656" i="6" l="1"/>
  <c r="AD657" i="6" l="1"/>
  <c r="AD658" i="6" l="1"/>
  <c r="AD659" i="6" l="1"/>
  <c r="AD660" i="6" l="1"/>
  <c r="AD661" i="6" l="1"/>
  <c r="AD662" i="6" l="1"/>
  <c r="AD663" i="6" l="1"/>
  <c r="AD664" i="6" l="1"/>
  <c r="AD665" i="6" s="1"/>
  <c r="AD666" i="6" s="1"/>
  <c r="AD667" i="6" s="1"/>
  <c r="AD668" i="6" s="1"/>
  <c r="AD669" i="6" s="1"/>
  <c r="AD670" i="6" s="1"/>
  <c r="AD671" i="6" s="1"/>
  <c r="AD672" i="6" s="1"/>
  <c r="AD673" i="6" s="1"/>
  <c r="AD674" i="6" s="1"/>
  <c r="AD675" i="6" s="1"/>
  <c r="AD676" i="6" s="1"/>
  <c r="AD677" i="6" s="1"/>
  <c r="AD678" i="6" s="1"/>
  <c r="AD679" i="6" s="1"/>
  <c r="AD680" i="6" s="1"/>
  <c r="AD681" i="6" s="1"/>
  <c r="AD682" i="6" s="1"/>
  <c r="AD683" i="6" s="1"/>
  <c r="AD684" i="6" s="1"/>
  <c r="AD685" i="6" s="1"/>
  <c r="AD686" i="6" s="1"/>
  <c r="AD687" i="6" s="1"/>
  <c r="AD688" i="6" s="1"/>
  <c r="AD689" i="6" s="1"/>
  <c r="AD690" i="6" s="1"/>
  <c r="AD691" i="6" s="1"/>
  <c r="AD692" i="6" s="1"/>
  <c r="AD693" i="6" s="1"/>
  <c r="AD694" i="6" s="1"/>
  <c r="AD695" i="6" s="1"/>
  <c r="AD696" i="6" s="1"/>
  <c r="AD697" i="6" s="1"/>
  <c r="AD698" i="6" s="1"/>
  <c r="AD699" i="6" s="1"/>
  <c r="AD700" i="6" s="1"/>
  <c r="AD701" i="6" s="1"/>
  <c r="AD702" i="6" s="1"/>
  <c r="AD703" i="6" s="1"/>
  <c r="AD704" i="6" s="1"/>
  <c r="AD705" i="6" s="1"/>
  <c r="AD706" i="6" s="1"/>
  <c r="AD707" i="6" s="1"/>
  <c r="AD708" i="6" s="1"/>
  <c r="AD709" i="6" s="1"/>
  <c r="AD710" i="6" s="1"/>
  <c r="AD711" i="6" s="1"/>
  <c r="AD712" i="6" s="1"/>
  <c r="AD713" i="6" s="1"/>
  <c r="AD714" i="6" s="1"/>
  <c r="AD715" i="6" s="1"/>
  <c r="AD716" i="6" s="1"/>
  <c r="AD717" i="6" s="1"/>
  <c r="AD718" i="6" s="1"/>
  <c r="AD719" i="6" s="1"/>
  <c r="AD720" i="6" s="1"/>
  <c r="AD721" i="6" s="1"/>
  <c r="AD722" i="6" s="1"/>
  <c r="AD723" i="6" s="1"/>
  <c r="AD724" i="6" s="1"/>
  <c r="AD725" i="6" s="1"/>
  <c r="AD726" i="6" s="1"/>
  <c r="AD727" i="6" s="1"/>
  <c r="AD728" i="6" s="1"/>
  <c r="AD729" i="6" s="1"/>
  <c r="AD730" i="6" s="1"/>
  <c r="AD731" i="6" s="1"/>
  <c r="AD732" i="6" s="1"/>
  <c r="AD733" i="6" s="1"/>
  <c r="AD734" i="6" s="1"/>
  <c r="AD735" i="6" s="1"/>
  <c r="AD736" i="6" s="1"/>
  <c r="AD737" i="6" s="1"/>
  <c r="AD738" i="6" s="1"/>
  <c r="AD739" i="6" s="1"/>
  <c r="AD740" i="6" s="1"/>
  <c r="AD741" i="6" s="1"/>
  <c r="AD742" i="6" s="1"/>
  <c r="AD743" i="6" s="1"/>
  <c r="AD744" i="6" s="1"/>
  <c r="AD745" i="6" s="1"/>
  <c r="AD746" i="6" s="1"/>
  <c r="AD747" i="6" s="1"/>
  <c r="AD748" i="6" s="1"/>
  <c r="AD749" i="6" s="1"/>
  <c r="AD750" i="6" s="1"/>
  <c r="AD751" i="6" s="1"/>
  <c r="AD752" i="6" s="1"/>
  <c r="AD753" i="6" s="1"/>
  <c r="AD754" i="6" s="1"/>
  <c r="AD755" i="6" s="1"/>
  <c r="AD756" i="6" s="1"/>
  <c r="AD757" i="6" s="1"/>
  <c r="AD758" i="6" s="1"/>
  <c r="AD759" i="6" s="1"/>
  <c r="AD760" i="6" s="1"/>
  <c r="AD761" i="6" s="1"/>
  <c r="AD762" i="6" s="1"/>
  <c r="AD763" i="6" s="1"/>
  <c r="AD764" i="6" s="1"/>
  <c r="AD765" i="6" s="1"/>
  <c r="AD766" i="6" s="1"/>
  <c r="AD767" i="6" s="1"/>
  <c r="AD768" i="6" s="1"/>
  <c r="AD769" i="6" s="1"/>
  <c r="AD770" i="6" s="1"/>
  <c r="AD771" i="6" s="1"/>
  <c r="AD772" i="6" s="1"/>
  <c r="AD773" i="6" s="1"/>
  <c r="AD774" i="6" s="1"/>
  <c r="AD775" i="6" s="1"/>
  <c r="AD776" i="6" s="1"/>
  <c r="AD777" i="6" s="1"/>
  <c r="AD778" i="6" s="1"/>
  <c r="AD779" i="6" s="1"/>
  <c r="AD780" i="6" s="1"/>
  <c r="AD781" i="6" s="1"/>
  <c r="AD782" i="6" s="1"/>
  <c r="AD783" i="6" s="1"/>
  <c r="AD784" i="6" s="1"/>
  <c r="AD785" i="6" s="1"/>
  <c r="AD786" i="6" s="1"/>
  <c r="AD787" i="6" s="1"/>
  <c r="AD788" i="6" s="1"/>
  <c r="AD789" i="6" s="1"/>
  <c r="AD790" i="6" s="1"/>
  <c r="AD791" i="6" s="1"/>
  <c r="AD792" i="6" s="1"/>
  <c r="AD793" i="6" s="1"/>
  <c r="AD794" i="6" s="1"/>
  <c r="AD795" i="6" s="1"/>
  <c r="AD796" i="6" s="1"/>
  <c r="AD797" i="6" s="1"/>
  <c r="AD798" i="6" s="1"/>
  <c r="AD799" i="6" s="1"/>
  <c r="AD800" i="6" s="1"/>
  <c r="AD801" i="6" s="1"/>
  <c r="AD802" i="6" s="1"/>
  <c r="AD803" i="6" s="1"/>
  <c r="AD804" i="6" s="1"/>
  <c r="AD805" i="6" s="1"/>
  <c r="AD806" i="6" s="1"/>
  <c r="AD807" i="6" s="1"/>
  <c r="AD808" i="6" s="1"/>
  <c r="AD809" i="6" s="1"/>
  <c r="AD810" i="6" s="1"/>
  <c r="AD811" i="6" s="1"/>
  <c r="AD812" i="6" s="1"/>
  <c r="AD813" i="6" s="1"/>
  <c r="AD814" i="6" s="1"/>
  <c r="AD815" i="6" s="1"/>
  <c r="AD816" i="6" s="1"/>
  <c r="AD817" i="6" s="1"/>
  <c r="AD818" i="6" s="1"/>
  <c r="AD819" i="6" s="1"/>
  <c r="AD820" i="6" s="1"/>
  <c r="AD821" i="6" s="1"/>
  <c r="AD822" i="6" s="1"/>
  <c r="AD823" i="6" s="1"/>
  <c r="AD824" i="6" s="1"/>
  <c r="AD825" i="6" s="1"/>
  <c r="AD826" i="6" s="1"/>
  <c r="AD827" i="6" s="1"/>
  <c r="AD828" i="6" s="1"/>
  <c r="AD829" i="6" s="1"/>
  <c r="AD830" i="6" s="1"/>
  <c r="AD831" i="6" s="1"/>
  <c r="AD832" i="6" s="1"/>
  <c r="AD833" i="6" s="1"/>
  <c r="AD834" i="6" s="1"/>
  <c r="AD835" i="6" s="1"/>
  <c r="AD836" i="6" s="1"/>
  <c r="AD837" i="6" s="1"/>
  <c r="AD838" i="6" s="1"/>
  <c r="AD839" i="6" s="1"/>
  <c r="AD840" i="6" s="1"/>
  <c r="AD841" i="6" s="1"/>
  <c r="AD842" i="6" s="1"/>
  <c r="AD843" i="6" s="1"/>
  <c r="AD844" i="6" s="1"/>
  <c r="AD845" i="6" s="1"/>
  <c r="AD846" i="6" s="1"/>
  <c r="AD847" i="6" s="1"/>
  <c r="AD848" i="6" s="1"/>
  <c r="AD849" i="6" s="1"/>
  <c r="AD850" i="6" s="1"/>
  <c r="AD851" i="6" s="1"/>
  <c r="AD852" i="6" s="1"/>
  <c r="AD853" i="6" s="1"/>
  <c r="AD854" i="6" s="1"/>
  <c r="AD855" i="6" s="1"/>
  <c r="AD856" i="6" s="1"/>
  <c r="AD857" i="6" s="1"/>
  <c r="AD858" i="6" s="1"/>
  <c r="AD859" i="6" s="1"/>
  <c r="AD860" i="6" s="1"/>
  <c r="U176" i="4" s="1"/>
  <c r="E176" i="4" l="1"/>
  <c r="A176" i="4"/>
  <c r="G176" i="4"/>
  <c r="F176" i="4"/>
  <c r="D176" i="4"/>
  <c r="B176" i="4"/>
  <c r="K176" i="4"/>
  <c r="J176" i="4"/>
  <c r="I176" i="4"/>
  <c r="H176" i="4"/>
  <c r="C176" i="4"/>
  <c r="U186" i="3"/>
  <c r="U183" i="3"/>
  <c r="U193" i="4"/>
  <c r="U155" i="4"/>
  <c r="U155" i="3"/>
  <c r="U158" i="4"/>
  <c r="U195" i="3"/>
  <c r="U140" i="3"/>
  <c r="U164" i="3"/>
  <c r="U166" i="3"/>
  <c r="U179" i="4"/>
  <c r="U164" i="4"/>
  <c r="U142" i="4"/>
  <c r="U198" i="3"/>
  <c r="U153" i="3"/>
  <c r="U142" i="3"/>
  <c r="U197" i="4"/>
  <c r="U174" i="3"/>
  <c r="U169" i="4"/>
  <c r="U165" i="4"/>
  <c r="U159" i="4"/>
  <c r="U172" i="3"/>
  <c r="U163" i="3"/>
  <c r="U156" i="3"/>
  <c r="U181" i="4"/>
  <c r="U195" i="4"/>
  <c r="U146" i="3"/>
  <c r="U180" i="4"/>
  <c r="U168" i="3"/>
  <c r="U146" i="4"/>
  <c r="U173" i="3"/>
  <c r="U188" i="4"/>
  <c r="U191" i="4"/>
  <c r="U194" i="4"/>
  <c r="U151" i="3"/>
  <c r="U158" i="3"/>
  <c r="U188" i="3"/>
  <c r="U175" i="3"/>
  <c r="U143" i="4"/>
  <c r="U167" i="4"/>
  <c r="U200" i="3"/>
  <c r="U161" i="3"/>
  <c r="U194" i="3"/>
  <c r="U199" i="4"/>
  <c r="U169" i="3"/>
  <c r="U167" i="3"/>
  <c r="U140" i="4"/>
  <c r="U197" i="3"/>
  <c r="U162" i="4"/>
  <c r="U150" i="3"/>
  <c r="U154" i="3"/>
  <c r="U199" i="3"/>
  <c r="U150" i="4"/>
  <c r="U174" i="4"/>
  <c r="U162" i="3"/>
  <c r="U147" i="4"/>
  <c r="U144" i="4"/>
  <c r="U160" i="4"/>
  <c r="U180" i="3"/>
  <c r="U175" i="4"/>
  <c r="U189" i="4"/>
  <c r="U183" i="4"/>
  <c r="U157" i="3"/>
  <c r="U165" i="3"/>
  <c r="U185" i="4"/>
  <c r="U186" i="4"/>
  <c r="U179" i="3"/>
  <c r="U190" i="4"/>
  <c r="U145" i="3"/>
  <c r="U192" i="4"/>
  <c r="U168" i="4"/>
  <c r="U181" i="3"/>
  <c r="U166" i="4"/>
  <c r="U151" i="4"/>
  <c r="U189" i="3"/>
  <c r="U170" i="4"/>
  <c r="U159" i="3"/>
  <c r="U156" i="4"/>
  <c r="U171" i="4"/>
  <c r="U173" i="4"/>
  <c r="U143" i="3"/>
  <c r="U147" i="3"/>
  <c r="U184" i="3"/>
  <c r="U191" i="3"/>
  <c r="U178" i="3"/>
  <c r="U145" i="4"/>
  <c r="U198" i="4"/>
  <c r="U196" i="4"/>
  <c r="U157" i="4"/>
  <c r="U149" i="4"/>
  <c r="U190" i="3"/>
  <c r="U187" i="3"/>
  <c r="U177" i="4"/>
  <c r="U152" i="4"/>
  <c r="U193" i="3"/>
  <c r="U141" i="4"/>
  <c r="U182" i="3"/>
  <c r="U196" i="3"/>
  <c r="U154" i="4"/>
  <c r="U176" i="3"/>
  <c r="U187" i="4"/>
  <c r="U171" i="3"/>
  <c r="U182" i="4"/>
  <c r="U161" i="4"/>
  <c r="U163" i="4"/>
  <c r="U178" i="4"/>
  <c r="U172" i="4"/>
  <c r="U185" i="3"/>
  <c r="U160" i="3"/>
  <c r="U177" i="3"/>
  <c r="U141" i="3"/>
  <c r="U148" i="4"/>
  <c r="U153" i="4"/>
  <c r="U192" i="3"/>
  <c r="U170" i="3"/>
  <c r="U148" i="3"/>
  <c r="U200" i="4"/>
  <c r="U152" i="3"/>
  <c r="U144" i="3"/>
  <c r="U184" i="4"/>
  <c r="U149" i="3"/>
  <c r="L167" i="3" l="1"/>
  <c r="J167" i="3"/>
  <c r="H167" i="3"/>
  <c r="G167" i="3"/>
  <c r="C167" i="3"/>
  <c r="B167" i="3"/>
  <c r="A167" i="3"/>
  <c r="K167" i="3"/>
  <c r="F167" i="3"/>
  <c r="I167" i="3"/>
  <c r="E167" i="3"/>
  <c r="D167" i="3"/>
  <c r="K194" i="3"/>
  <c r="J194" i="3"/>
  <c r="I194" i="3"/>
  <c r="G194" i="3"/>
  <c r="H194" i="3"/>
  <c r="F194" i="3"/>
  <c r="B194" i="3"/>
  <c r="L194" i="3"/>
  <c r="E194" i="3"/>
  <c r="D194" i="3"/>
  <c r="A194" i="3"/>
  <c r="C194" i="3"/>
  <c r="A167" i="4"/>
  <c r="K167" i="4"/>
  <c r="I167" i="4"/>
  <c r="G167" i="4"/>
  <c r="F167" i="4"/>
  <c r="E167" i="4"/>
  <c r="C167" i="4"/>
  <c r="J167" i="4"/>
  <c r="H167" i="4"/>
  <c r="D167" i="4"/>
  <c r="B167" i="4"/>
  <c r="E188" i="3"/>
  <c r="D188" i="3"/>
  <c r="C188" i="3"/>
  <c r="A188" i="3"/>
  <c r="L188" i="3"/>
  <c r="K188" i="3"/>
  <c r="H188" i="3"/>
  <c r="J188" i="3"/>
  <c r="I188" i="3"/>
  <c r="G188" i="3"/>
  <c r="F188" i="3"/>
  <c r="B188" i="3"/>
  <c r="I194" i="4"/>
  <c r="G194" i="4"/>
  <c r="D194" i="4"/>
  <c r="C194" i="4"/>
  <c r="B194" i="4"/>
  <c r="K194" i="4"/>
  <c r="F194" i="4"/>
  <c r="A194" i="4"/>
  <c r="J194" i="4"/>
  <c r="H194" i="4"/>
  <c r="E194" i="4"/>
  <c r="D173" i="3"/>
  <c r="B173" i="3"/>
  <c r="J173" i="3"/>
  <c r="I173" i="3"/>
  <c r="H173" i="3"/>
  <c r="G173" i="3"/>
  <c r="F173" i="3"/>
  <c r="A173" i="3"/>
  <c r="L173" i="3"/>
  <c r="E173" i="3"/>
  <c r="C173" i="3"/>
  <c r="K173" i="3"/>
  <c r="I180" i="4"/>
  <c r="G180" i="4"/>
  <c r="K180" i="4"/>
  <c r="J180" i="4"/>
  <c r="F180" i="4"/>
  <c r="A180" i="4"/>
  <c r="E180" i="4"/>
  <c r="C180" i="4"/>
  <c r="B180" i="4"/>
  <c r="H180" i="4"/>
  <c r="D180" i="4"/>
  <c r="A181" i="4"/>
  <c r="K181" i="4"/>
  <c r="I181" i="4"/>
  <c r="F181" i="4"/>
  <c r="J181" i="4"/>
  <c r="H181" i="4"/>
  <c r="G181" i="4"/>
  <c r="E181" i="4"/>
  <c r="D181" i="4"/>
  <c r="C181" i="4"/>
  <c r="B181" i="4"/>
  <c r="C172" i="3"/>
  <c r="A172" i="3"/>
  <c r="F172" i="3"/>
  <c r="E172" i="3"/>
  <c r="D172" i="3"/>
  <c r="B172" i="3"/>
  <c r="J172" i="3"/>
  <c r="H172" i="3"/>
  <c r="L172" i="3"/>
  <c r="K172" i="3"/>
  <c r="G172" i="3"/>
  <c r="I172" i="3"/>
  <c r="E169" i="4"/>
  <c r="A169" i="4"/>
  <c r="B169" i="4"/>
  <c r="H169" i="4"/>
  <c r="C169" i="4"/>
  <c r="K169" i="4"/>
  <c r="J169" i="4"/>
  <c r="D169" i="4"/>
  <c r="I169" i="4"/>
  <c r="G169" i="4"/>
  <c r="F169" i="4"/>
  <c r="L142" i="3"/>
  <c r="K142" i="3"/>
  <c r="J142" i="3"/>
  <c r="G142" i="3"/>
  <c r="E142" i="3"/>
  <c r="D142" i="3"/>
  <c r="C142" i="3"/>
  <c r="B142" i="3"/>
  <c r="I142" i="3"/>
  <c r="H142" i="3"/>
  <c r="F142" i="3"/>
  <c r="A142" i="3"/>
  <c r="G142" i="4"/>
  <c r="C142" i="4"/>
  <c r="D142" i="4"/>
  <c r="B142" i="4"/>
  <c r="J142" i="4"/>
  <c r="I142" i="4"/>
  <c r="H142" i="4"/>
  <c r="F142" i="4"/>
  <c r="E142" i="4"/>
  <c r="A142" i="4"/>
  <c r="K142" i="4"/>
  <c r="K166" i="3"/>
  <c r="I166" i="3"/>
  <c r="G166" i="3"/>
  <c r="L166" i="3"/>
  <c r="J166" i="3"/>
  <c r="H166" i="3"/>
  <c r="F166" i="3"/>
  <c r="C166" i="3"/>
  <c r="E166" i="3"/>
  <c r="B166" i="3"/>
  <c r="A166" i="3"/>
  <c r="D166" i="3"/>
  <c r="L195" i="3"/>
  <c r="K195" i="3"/>
  <c r="J195" i="3"/>
  <c r="H195" i="3"/>
  <c r="G195" i="3"/>
  <c r="D195" i="3"/>
  <c r="C195" i="3"/>
  <c r="B195" i="3"/>
  <c r="A195" i="3"/>
  <c r="I195" i="3"/>
  <c r="F195" i="3"/>
  <c r="E195" i="3"/>
  <c r="E155" i="4"/>
  <c r="A155" i="4"/>
  <c r="K155" i="4"/>
  <c r="J155" i="4"/>
  <c r="G155" i="4"/>
  <c r="I155" i="4"/>
  <c r="H155" i="4"/>
  <c r="F155" i="4"/>
  <c r="D155" i="4"/>
  <c r="C155" i="4"/>
  <c r="B155" i="4"/>
  <c r="C186" i="3"/>
  <c r="B186" i="3"/>
  <c r="A186" i="3"/>
  <c r="E186" i="3"/>
  <c r="D186" i="3"/>
  <c r="L186" i="3"/>
  <c r="H186" i="3"/>
  <c r="G186" i="3"/>
  <c r="F186" i="3"/>
  <c r="K186" i="3"/>
  <c r="J186" i="3"/>
  <c r="I186" i="3"/>
  <c r="L197" i="3"/>
  <c r="J197" i="3"/>
  <c r="I197" i="3"/>
  <c r="B197" i="3"/>
  <c r="A197" i="3"/>
  <c r="K197" i="3"/>
  <c r="E197" i="3"/>
  <c r="F197" i="3"/>
  <c r="C197" i="3"/>
  <c r="H197" i="3"/>
  <c r="G197" i="3"/>
  <c r="D197" i="3"/>
  <c r="L169" i="3"/>
  <c r="J169" i="3"/>
  <c r="H169" i="3"/>
  <c r="G169" i="3"/>
  <c r="F169" i="3"/>
  <c r="E169" i="3"/>
  <c r="D169" i="3"/>
  <c r="A169" i="3"/>
  <c r="I169" i="3"/>
  <c r="C169" i="3"/>
  <c r="B169" i="3"/>
  <c r="K169" i="3"/>
  <c r="E161" i="3"/>
  <c r="D161" i="3"/>
  <c r="C161" i="3"/>
  <c r="B161" i="3"/>
  <c r="A161" i="3"/>
  <c r="L161" i="3"/>
  <c r="F161" i="3"/>
  <c r="K161" i="3"/>
  <c r="I161" i="3"/>
  <c r="J161" i="3"/>
  <c r="G161" i="3"/>
  <c r="H161" i="3"/>
  <c r="I143" i="4"/>
  <c r="E143" i="4"/>
  <c r="C143" i="4"/>
  <c r="B143" i="4"/>
  <c r="D143" i="4"/>
  <c r="J143" i="4"/>
  <c r="K143" i="4"/>
  <c r="G143" i="4"/>
  <c r="A143" i="4"/>
  <c r="F143" i="4"/>
  <c r="H143" i="4"/>
  <c r="B158" i="3"/>
  <c r="A158" i="3"/>
  <c r="L158" i="3"/>
  <c r="I158" i="3"/>
  <c r="K158" i="3"/>
  <c r="H158" i="3"/>
  <c r="G158" i="3"/>
  <c r="D158" i="3"/>
  <c r="F158" i="3"/>
  <c r="E158" i="3"/>
  <c r="C158" i="3"/>
  <c r="J158" i="3"/>
  <c r="G191" i="4"/>
  <c r="C191" i="4"/>
  <c r="A191" i="4"/>
  <c r="E191" i="4"/>
  <c r="D191" i="4"/>
  <c r="B191" i="4"/>
  <c r="K191" i="4"/>
  <c r="J191" i="4"/>
  <c r="I191" i="4"/>
  <c r="H191" i="4"/>
  <c r="F191" i="4"/>
  <c r="A146" i="4"/>
  <c r="K146" i="4"/>
  <c r="E146" i="4"/>
  <c r="D146" i="4"/>
  <c r="B146" i="4"/>
  <c r="J146" i="4"/>
  <c r="I146" i="4"/>
  <c r="H146" i="4"/>
  <c r="G146" i="4"/>
  <c r="F146" i="4"/>
  <c r="C146" i="4"/>
  <c r="F146" i="3"/>
  <c r="G146" i="3"/>
  <c r="H146" i="3"/>
  <c r="I146" i="3"/>
  <c r="L146" i="3"/>
  <c r="K146" i="3"/>
  <c r="E146" i="3"/>
  <c r="A146" i="3"/>
  <c r="B146" i="3"/>
  <c r="J146" i="3"/>
  <c r="D146" i="3"/>
  <c r="C146" i="3"/>
  <c r="L156" i="3"/>
  <c r="K156" i="3"/>
  <c r="J156" i="3"/>
  <c r="G156" i="3"/>
  <c r="I156" i="3"/>
  <c r="H156" i="3"/>
  <c r="D156" i="3"/>
  <c r="B156" i="3"/>
  <c r="F156" i="3"/>
  <c r="E156" i="3"/>
  <c r="C156" i="3"/>
  <c r="A156" i="3"/>
  <c r="I159" i="4"/>
  <c r="G159" i="4"/>
  <c r="J159" i="4"/>
  <c r="C159" i="4"/>
  <c r="K159" i="4"/>
  <c r="H159" i="4"/>
  <c r="F159" i="4"/>
  <c r="E159" i="4"/>
  <c r="D159" i="4"/>
  <c r="B159" i="4"/>
  <c r="A159" i="4"/>
  <c r="E174" i="3"/>
  <c r="C174" i="3"/>
  <c r="A174" i="3"/>
  <c r="L174" i="3"/>
  <c r="K174" i="3"/>
  <c r="J174" i="3"/>
  <c r="G174" i="3"/>
  <c r="D174" i="3"/>
  <c r="B174" i="3"/>
  <c r="I174" i="3"/>
  <c r="H174" i="3"/>
  <c r="F174" i="3"/>
  <c r="K153" i="3"/>
  <c r="J153" i="3"/>
  <c r="I153" i="3"/>
  <c r="H153" i="3"/>
  <c r="G153" i="3"/>
  <c r="D153" i="3"/>
  <c r="L153" i="3"/>
  <c r="F153" i="3"/>
  <c r="E153" i="3"/>
  <c r="C153" i="3"/>
  <c r="A153" i="3"/>
  <c r="B153" i="3"/>
  <c r="I164" i="4"/>
  <c r="E164" i="4"/>
  <c r="C164" i="4"/>
  <c r="H164" i="4"/>
  <c r="G164" i="4"/>
  <c r="B164" i="4"/>
  <c r="F164" i="4"/>
  <c r="A164" i="4"/>
  <c r="K164" i="4"/>
  <c r="J164" i="4"/>
  <c r="D164" i="4"/>
  <c r="H164" i="3"/>
  <c r="G164" i="3"/>
  <c r="F164" i="3"/>
  <c r="E164" i="3"/>
  <c r="D164" i="3"/>
  <c r="A164" i="3"/>
  <c r="L164" i="3"/>
  <c r="K164" i="3"/>
  <c r="J164" i="3"/>
  <c r="C164" i="3"/>
  <c r="B164" i="3"/>
  <c r="I164" i="3"/>
  <c r="K158" i="4"/>
  <c r="G158" i="4"/>
  <c r="E158" i="4"/>
  <c r="I158" i="4"/>
  <c r="H158" i="4"/>
  <c r="C158" i="4"/>
  <c r="B158" i="4"/>
  <c r="F158" i="4"/>
  <c r="D158" i="4"/>
  <c r="A158" i="4"/>
  <c r="J158" i="4"/>
  <c r="K193" i="4"/>
  <c r="G193" i="4"/>
  <c r="E193" i="4"/>
  <c r="D193" i="4"/>
  <c r="J193" i="4"/>
  <c r="I193" i="4"/>
  <c r="H193" i="4"/>
  <c r="F193" i="4"/>
  <c r="C193" i="4"/>
  <c r="B193" i="4"/>
  <c r="A193" i="4"/>
  <c r="G149" i="3"/>
  <c r="F149" i="3"/>
  <c r="E149" i="3"/>
  <c r="D149" i="3"/>
  <c r="C149" i="3"/>
  <c r="L149" i="3"/>
  <c r="K149" i="3"/>
  <c r="J149" i="3"/>
  <c r="I149" i="3"/>
  <c r="B149" i="3"/>
  <c r="A149" i="3"/>
  <c r="H149" i="3"/>
  <c r="J152" i="3"/>
  <c r="I152" i="3"/>
  <c r="H152" i="3"/>
  <c r="G152" i="3"/>
  <c r="F152" i="3"/>
  <c r="C152" i="3"/>
  <c r="E152" i="3"/>
  <c r="B152" i="3"/>
  <c r="L152" i="3"/>
  <c r="D152" i="3"/>
  <c r="A152" i="3"/>
  <c r="K152" i="3"/>
  <c r="A170" i="3"/>
  <c r="K170" i="3"/>
  <c r="L170" i="3"/>
  <c r="J170" i="3"/>
  <c r="I170" i="3"/>
  <c r="H170" i="3"/>
  <c r="E170" i="3"/>
  <c r="D170" i="3"/>
  <c r="B170" i="3"/>
  <c r="G170" i="3"/>
  <c r="F170" i="3"/>
  <c r="C170" i="3"/>
  <c r="E148" i="4"/>
  <c r="A148" i="4"/>
  <c r="K148" i="4"/>
  <c r="J148" i="4"/>
  <c r="I148" i="4"/>
  <c r="H148" i="4"/>
  <c r="G148" i="4"/>
  <c r="F148" i="4"/>
  <c r="D148" i="4"/>
  <c r="C148" i="4"/>
  <c r="B148" i="4"/>
  <c r="D160" i="3"/>
  <c r="C160" i="3"/>
  <c r="B160" i="3"/>
  <c r="A160" i="3"/>
  <c r="K160" i="3"/>
  <c r="L160" i="3"/>
  <c r="J160" i="3"/>
  <c r="H160" i="3"/>
  <c r="G160" i="3"/>
  <c r="I160" i="3"/>
  <c r="F160" i="3"/>
  <c r="E160" i="3"/>
  <c r="I178" i="4"/>
  <c r="E178" i="4"/>
  <c r="C178" i="4"/>
  <c r="G178" i="4"/>
  <c r="D178" i="4"/>
  <c r="A178" i="4"/>
  <c r="B178" i="4"/>
  <c r="J178" i="4"/>
  <c r="K178" i="4"/>
  <c r="H178" i="4"/>
  <c r="F178" i="4"/>
  <c r="C182" i="4"/>
  <c r="K182" i="4"/>
  <c r="F182" i="4"/>
  <c r="E182" i="4"/>
  <c r="D182" i="4"/>
  <c r="A182" i="4"/>
  <c r="J182" i="4"/>
  <c r="H182" i="4"/>
  <c r="G182" i="4"/>
  <c r="B182" i="4"/>
  <c r="I182" i="4"/>
  <c r="G176" i="3"/>
  <c r="E176" i="3"/>
  <c r="C176" i="3"/>
  <c r="H176" i="3"/>
  <c r="F176" i="3"/>
  <c r="D176" i="3"/>
  <c r="B176" i="3"/>
  <c r="A176" i="3"/>
  <c r="K176" i="3"/>
  <c r="J176" i="3"/>
  <c r="I176" i="3"/>
  <c r="L176" i="3"/>
  <c r="K182" i="3"/>
  <c r="I182" i="3"/>
  <c r="A182" i="3"/>
  <c r="H182" i="3"/>
  <c r="L182" i="3"/>
  <c r="J182" i="3"/>
  <c r="E182" i="3"/>
  <c r="C182" i="3"/>
  <c r="F182" i="3"/>
  <c r="D182" i="3"/>
  <c r="B182" i="3"/>
  <c r="G182" i="3"/>
  <c r="I152" i="4"/>
  <c r="D152" i="4"/>
  <c r="G152" i="4"/>
  <c r="E152" i="4"/>
  <c r="C152" i="4"/>
  <c r="B152" i="4"/>
  <c r="A152" i="4"/>
  <c r="J152" i="4"/>
  <c r="H152" i="4"/>
  <c r="F152" i="4"/>
  <c r="K152" i="4"/>
  <c r="G190" i="3"/>
  <c r="F190" i="3"/>
  <c r="E190" i="3"/>
  <c r="C190" i="3"/>
  <c r="K190" i="3"/>
  <c r="J190" i="3"/>
  <c r="I190" i="3"/>
  <c r="H190" i="3"/>
  <c r="D190" i="3"/>
  <c r="B190" i="3"/>
  <c r="A190" i="3"/>
  <c r="L190" i="3"/>
  <c r="C196" i="4"/>
  <c r="K196" i="4"/>
  <c r="J196" i="4"/>
  <c r="E196" i="4"/>
  <c r="H196" i="4"/>
  <c r="F196" i="4"/>
  <c r="D196" i="4"/>
  <c r="B196" i="4"/>
  <c r="A196" i="4"/>
  <c r="I196" i="4"/>
  <c r="G196" i="4"/>
  <c r="I178" i="3"/>
  <c r="G178" i="3"/>
  <c r="E178" i="3"/>
  <c r="L178" i="3"/>
  <c r="H178" i="3"/>
  <c r="K178" i="3"/>
  <c r="J178" i="3"/>
  <c r="F178" i="3"/>
  <c r="C178" i="3"/>
  <c r="B178" i="3"/>
  <c r="A178" i="3"/>
  <c r="D178" i="3"/>
  <c r="E147" i="3"/>
  <c r="D147" i="3"/>
  <c r="C147" i="3"/>
  <c r="B147" i="3"/>
  <c r="A147" i="3"/>
  <c r="L147" i="3"/>
  <c r="K147" i="3"/>
  <c r="J147" i="3"/>
  <c r="I147" i="3"/>
  <c r="G147" i="3"/>
  <c r="F147" i="3"/>
  <c r="H147" i="3"/>
  <c r="I171" i="4"/>
  <c r="E171" i="4"/>
  <c r="C171" i="4"/>
  <c r="K171" i="4"/>
  <c r="H171" i="4"/>
  <c r="A171" i="4"/>
  <c r="D171" i="4"/>
  <c r="J171" i="4"/>
  <c r="G171" i="4"/>
  <c r="F171" i="4"/>
  <c r="B171" i="4"/>
  <c r="G170" i="4"/>
  <c r="C170" i="4"/>
  <c r="A170" i="4"/>
  <c r="H170" i="4"/>
  <c r="F170" i="4"/>
  <c r="E170" i="4"/>
  <c r="B170" i="4"/>
  <c r="K170" i="4"/>
  <c r="J170" i="4"/>
  <c r="I170" i="4"/>
  <c r="D170" i="4"/>
  <c r="I166" i="4"/>
  <c r="G166" i="4"/>
  <c r="B166" i="4"/>
  <c r="A166" i="4"/>
  <c r="H166" i="4"/>
  <c r="J166" i="4"/>
  <c r="E166" i="4"/>
  <c r="D166" i="4"/>
  <c r="C166" i="4"/>
  <c r="K166" i="4"/>
  <c r="F166" i="4"/>
  <c r="I192" i="4"/>
  <c r="E192" i="4"/>
  <c r="C192" i="4"/>
  <c r="K192" i="4"/>
  <c r="J192" i="4"/>
  <c r="H192" i="4"/>
  <c r="F192" i="4"/>
  <c r="A192" i="4"/>
  <c r="G192" i="4"/>
  <c r="D192" i="4"/>
  <c r="B192" i="4"/>
  <c r="J179" i="3"/>
  <c r="H179" i="3"/>
  <c r="F179" i="3"/>
  <c r="C179" i="3"/>
  <c r="B179" i="3"/>
  <c r="A179" i="3"/>
  <c r="D179" i="3"/>
  <c r="L179" i="3"/>
  <c r="I179" i="3"/>
  <c r="E179" i="3"/>
  <c r="K179" i="3"/>
  <c r="G179" i="3"/>
  <c r="I165" i="3"/>
  <c r="H165" i="3"/>
  <c r="G165" i="3"/>
  <c r="F165" i="3"/>
  <c r="E165" i="3"/>
  <c r="B165" i="3"/>
  <c r="K165" i="3"/>
  <c r="D165" i="3"/>
  <c r="J165" i="3"/>
  <c r="C165" i="3"/>
  <c r="A165" i="3"/>
  <c r="L165" i="3"/>
  <c r="C189" i="4"/>
  <c r="K189" i="4"/>
  <c r="J189" i="4"/>
  <c r="I189" i="4"/>
  <c r="H189" i="4"/>
  <c r="F189" i="4"/>
  <c r="E189" i="4"/>
  <c r="D189" i="4"/>
  <c r="B189" i="4"/>
  <c r="A189" i="4"/>
  <c r="G189" i="4"/>
  <c r="A160" i="4"/>
  <c r="K160" i="4"/>
  <c r="I160" i="4"/>
  <c r="C160" i="4"/>
  <c r="B160" i="4"/>
  <c r="H160" i="4"/>
  <c r="E160" i="4"/>
  <c r="J160" i="4"/>
  <c r="G160" i="4"/>
  <c r="F160" i="4"/>
  <c r="D160" i="4"/>
  <c r="F162" i="3"/>
  <c r="E162" i="3"/>
  <c r="D162" i="3"/>
  <c r="C162" i="3"/>
  <c r="B162" i="3"/>
  <c r="L162" i="3"/>
  <c r="K162" i="3"/>
  <c r="J162" i="3"/>
  <c r="H162" i="3"/>
  <c r="G162" i="3"/>
  <c r="I162" i="3"/>
  <c r="A162" i="3"/>
  <c r="C199" i="3"/>
  <c r="B199" i="3"/>
  <c r="A199" i="3"/>
  <c r="L199" i="3"/>
  <c r="K199" i="3"/>
  <c r="I199" i="3"/>
  <c r="H199" i="3"/>
  <c r="D199" i="3"/>
  <c r="J199" i="3"/>
  <c r="G199" i="3"/>
  <c r="F199" i="3"/>
  <c r="E199" i="3"/>
  <c r="E162" i="4"/>
  <c r="A162" i="4"/>
  <c r="I162" i="4"/>
  <c r="C162" i="4"/>
  <c r="F162" i="4"/>
  <c r="B162" i="4"/>
  <c r="H162" i="4"/>
  <c r="G162" i="4"/>
  <c r="D162" i="4"/>
  <c r="K162" i="4"/>
  <c r="J162" i="4"/>
  <c r="G184" i="4"/>
  <c r="C184" i="4"/>
  <c r="A184" i="4"/>
  <c r="F184" i="4"/>
  <c r="J184" i="4"/>
  <c r="I184" i="4"/>
  <c r="H184" i="4"/>
  <c r="E184" i="4"/>
  <c r="D184" i="4"/>
  <c r="B184" i="4"/>
  <c r="K184" i="4"/>
  <c r="K200" i="4"/>
  <c r="G200" i="4"/>
  <c r="E200" i="4"/>
  <c r="C200" i="4"/>
  <c r="B200" i="4"/>
  <c r="A200" i="4"/>
  <c r="J200" i="4"/>
  <c r="I200" i="4"/>
  <c r="H200" i="4"/>
  <c r="F200" i="4"/>
  <c r="D200" i="4"/>
  <c r="I192" i="3"/>
  <c r="H192" i="3"/>
  <c r="G192" i="3"/>
  <c r="E192" i="3"/>
  <c r="C192" i="3"/>
  <c r="B192" i="3"/>
  <c r="A192" i="3"/>
  <c r="J192" i="3"/>
  <c r="F192" i="3"/>
  <c r="D192" i="3"/>
  <c r="K192" i="3"/>
  <c r="L192" i="3"/>
  <c r="L141" i="3"/>
  <c r="D141" i="3"/>
  <c r="A141" i="3"/>
  <c r="I141" i="3"/>
  <c r="B141" i="3"/>
  <c r="E141" i="3"/>
  <c r="C141" i="3"/>
  <c r="G141" i="3"/>
  <c r="H141" i="3"/>
  <c r="F141" i="3"/>
  <c r="J141" i="3"/>
  <c r="K141" i="3"/>
  <c r="B185" i="3"/>
  <c r="A185" i="3"/>
  <c r="L185" i="3"/>
  <c r="K185" i="3"/>
  <c r="J185" i="3"/>
  <c r="G185" i="3"/>
  <c r="I185" i="3"/>
  <c r="H185" i="3"/>
  <c r="F185" i="3"/>
  <c r="E185" i="3"/>
  <c r="D185" i="3"/>
  <c r="C185" i="3"/>
  <c r="G163" i="4"/>
  <c r="C163" i="4"/>
  <c r="A163" i="4"/>
  <c r="B163" i="4"/>
  <c r="I163" i="4"/>
  <c r="K163" i="4"/>
  <c r="J163" i="4"/>
  <c r="H163" i="4"/>
  <c r="F163" i="4"/>
  <c r="E163" i="4"/>
  <c r="D163" i="4"/>
  <c r="B171" i="3"/>
  <c r="L171" i="3"/>
  <c r="A171" i="3"/>
  <c r="I171" i="3"/>
  <c r="J171" i="3"/>
  <c r="H171" i="3"/>
  <c r="G171" i="3"/>
  <c r="F171" i="3"/>
  <c r="D171" i="3"/>
  <c r="C171" i="3"/>
  <c r="K171" i="3"/>
  <c r="E171" i="3"/>
  <c r="C154" i="4"/>
  <c r="G154" i="4"/>
  <c r="F154" i="4"/>
  <c r="B154" i="4"/>
  <c r="E154" i="4"/>
  <c r="A154" i="4"/>
  <c r="K154" i="4"/>
  <c r="J154" i="4"/>
  <c r="I154" i="4"/>
  <c r="H154" i="4"/>
  <c r="D154" i="4"/>
  <c r="J141" i="4"/>
  <c r="D141" i="4"/>
  <c r="I141" i="4"/>
  <c r="C141" i="4"/>
  <c r="H141" i="4"/>
  <c r="K141" i="4"/>
  <c r="B141" i="4"/>
  <c r="G141" i="4"/>
  <c r="A141" i="4"/>
  <c r="F141" i="4"/>
  <c r="E141" i="4"/>
  <c r="G177" i="4"/>
  <c r="C177" i="4"/>
  <c r="A177" i="4"/>
  <c r="K177" i="4"/>
  <c r="J177" i="4"/>
  <c r="H177" i="4"/>
  <c r="I177" i="4"/>
  <c r="F177" i="4"/>
  <c r="E177" i="4"/>
  <c r="D177" i="4"/>
  <c r="B177" i="4"/>
  <c r="G149" i="4"/>
  <c r="C149" i="4"/>
  <c r="A149" i="4"/>
  <c r="E149" i="4"/>
  <c r="B149" i="4"/>
  <c r="K149" i="4"/>
  <c r="I149" i="4"/>
  <c r="H149" i="4"/>
  <c r="F149" i="4"/>
  <c r="J149" i="4"/>
  <c r="D149" i="4"/>
  <c r="G198" i="4"/>
  <c r="C198" i="4"/>
  <c r="A198" i="4"/>
  <c r="J198" i="4"/>
  <c r="I198" i="4"/>
  <c r="H198" i="4"/>
  <c r="E198" i="4"/>
  <c r="K198" i="4"/>
  <c r="F198" i="4"/>
  <c r="D198" i="4"/>
  <c r="B198" i="4"/>
  <c r="H191" i="3"/>
  <c r="G191" i="3"/>
  <c r="F191" i="3"/>
  <c r="D191" i="3"/>
  <c r="L191" i="3"/>
  <c r="I191" i="3"/>
  <c r="A191" i="3"/>
  <c r="K191" i="3"/>
  <c r="J191" i="3"/>
  <c r="E191" i="3"/>
  <c r="C191" i="3"/>
  <c r="B191" i="3"/>
  <c r="C143" i="3"/>
  <c r="H143" i="3"/>
  <c r="J143" i="3"/>
  <c r="G143" i="3"/>
  <c r="F143" i="3"/>
  <c r="D143" i="3"/>
  <c r="I143" i="3"/>
  <c r="K143" i="3"/>
  <c r="L143" i="3"/>
  <c r="A143" i="3"/>
  <c r="B143" i="3"/>
  <c r="E143" i="3"/>
  <c r="G156" i="4"/>
  <c r="C156" i="4"/>
  <c r="K156" i="4"/>
  <c r="E156" i="4"/>
  <c r="D156" i="4"/>
  <c r="A156" i="4"/>
  <c r="I156" i="4"/>
  <c r="H156" i="4"/>
  <c r="F156" i="4"/>
  <c r="B156" i="4"/>
  <c r="J156" i="4"/>
  <c r="F189" i="3"/>
  <c r="E189" i="3"/>
  <c r="D189" i="3"/>
  <c r="B189" i="3"/>
  <c r="C189" i="3"/>
  <c r="A189" i="3"/>
  <c r="I189" i="3"/>
  <c r="H189" i="3"/>
  <c r="G189" i="3"/>
  <c r="L189" i="3"/>
  <c r="K189" i="3"/>
  <c r="J189" i="3"/>
  <c r="L181" i="3"/>
  <c r="J181" i="3"/>
  <c r="H181" i="3"/>
  <c r="K181" i="3"/>
  <c r="I181" i="3"/>
  <c r="G181" i="3"/>
  <c r="D181" i="3"/>
  <c r="E181" i="3"/>
  <c r="C181" i="3"/>
  <c r="B181" i="3"/>
  <c r="A181" i="3"/>
  <c r="F181" i="3"/>
  <c r="C145" i="3"/>
  <c r="B145" i="3"/>
  <c r="A145" i="3"/>
  <c r="J145" i="3"/>
  <c r="L145" i="3"/>
  <c r="K145" i="3"/>
  <c r="I145" i="3"/>
  <c r="G145" i="3"/>
  <c r="F145" i="3"/>
  <c r="H145" i="3"/>
  <c r="D145" i="3"/>
  <c r="E145" i="3"/>
  <c r="K186" i="4"/>
  <c r="G186" i="4"/>
  <c r="E186" i="4"/>
  <c r="J186" i="4"/>
  <c r="I186" i="4"/>
  <c r="F186" i="4"/>
  <c r="H186" i="4"/>
  <c r="D186" i="4"/>
  <c r="C186" i="4"/>
  <c r="B186" i="4"/>
  <c r="A186" i="4"/>
  <c r="A157" i="3"/>
  <c r="L157" i="3"/>
  <c r="K157" i="3"/>
  <c r="H157" i="3"/>
  <c r="F157" i="3"/>
  <c r="E157" i="3"/>
  <c r="D157" i="3"/>
  <c r="C157" i="3"/>
  <c r="J157" i="3"/>
  <c r="G157" i="3"/>
  <c r="B157" i="3"/>
  <c r="I157" i="3"/>
  <c r="C175" i="4"/>
  <c r="K175" i="4"/>
  <c r="A175" i="4"/>
  <c r="G175" i="4"/>
  <c r="J175" i="4"/>
  <c r="H175" i="4"/>
  <c r="F175" i="4"/>
  <c r="E175" i="4"/>
  <c r="D175" i="4"/>
  <c r="B175" i="4"/>
  <c r="I175" i="4"/>
  <c r="K144" i="4"/>
  <c r="G144" i="4"/>
  <c r="F144" i="4"/>
  <c r="D144" i="4"/>
  <c r="C144" i="4"/>
  <c r="B144" i="4"/>
  <c r="A144" i="4"/>
  <c r="J144" i="4"/>
  <c r="I144" i="4"/>
  <c r="H144" i="4"/>
  <c r="E144" i="4"/>
  <c r="A174" i="4"/>
  <c r="K174" i="4"/>
  <c r="I174" i="4"/>
  <c r="J174" i="4"/>
  <c r="G174" i="4"/>
  <c r="B174" i="4"/>
  <c r="H174" i="4"/>
  <c r="F174" i="4"/>
  <c r="E174" i="4"/>
  <c r="D174" i="4"/>
  <c r="C174" i="4"/>
  <c r="L154" i="3"/>
  <c r="K154" i="3"/>
  <c r="J154" i="3"/>
  <c r="I154" i="3"/>
  <c r="H154" i="3"/>
  <c r="E154" i="3"/>
  <c r="D154" i="3"/>
  <c r="B154" i="3"/>
  <c r="F154" i="3"/>
  <c r="A154" i="3"/>
  <c r="G154" i="3"/>
  <c r="C154" i="3"/>
  <c r="B144" i="3"/>
  <c r="A144" i="3"/>
  <c r="L144" i="3"/>
  <c r="I144" i="3"/>
  <c r="E144" i="3"/>
  <c r="D144" i="3"/>
  <c r="C144" i="3"/>
  <c r="K144" i="3"/>
  <c r="H144" i="3"/>
  <c r="F144" i="3"/>
  <c r="J144" i="3"/>
  <c r="G144" i="3"/>
  <c r="F148" i="3"/>
  <c r="E148" i="3"/>
  <c r="D148" i="3"/>
  <c r="C148" i="3"/>
  <c r="B148" i="3"/>
  <c r="J148" i="3"/>
  <c r="H148" i="3"/>
  <c r="I148" i="3"/>
  <c r="A148" i="3"/>
  <c r="L148" i="3"/>
  <c r="K148" i="3"/>
  <c r="G148" i="3"/>
  <c r="A153" i="4"/>
  <c r="K153" i="4"/>
  <c r="C153" i="4"/>
  <c r="B153" i="4"/>
  <c r="H153" i="4"/>
  <c r="J153" i="4"/>
  <c r="I153" i="4"/>
  <c r="G153" i="4"/>
  <c r="F153" i="4"/>
  <c r="E153" i="4"/>
  <c r="D153" i="4"/>
  <c r="H177" i="3"/>
  <c r="F177" i="3"/>
  <c r="D177" i="3"/>
  <c r="L177" i="3"/>
  <c r="K177" i="3"/>
  <c r="J177" i="3"/>
  <c r="I177" i="3"/>
  <c r="G177" i="3"/>
  <c r="B177" i="3"/>
  <c r="E177" i="3"/>
  <c r="A177" i="3"/>
  <c r="C177" i="3"/>
  <c r="K172" i="4"/>
  <c r="G172" i="4"/>
  <c r="E172" i="4"/>
  <c r="A172" i="4"/>
  <c r="H172" i="4"/>
  <c r="J172" i="4"/>
  <c r="I172" i="4"/>
  <c r="F172" i="4"/>
  <c r="D172" i="4"/>
  <c r="C172" i="4"/>
  <c r="B172" i="4"/>
  <c r="C161" i="4"/>
  <c r="K161" i="4"/>
  <c r="H161" i="4"/>
  <c r="G161" i="4"/>
  <c r="D161" i="4"/>
  <c r="J161" i="4"/>
  <c r="I161" i="4"/>
  <c r="F161" i="4"/>
  <c r="E161" i="4"/>
  <c r="B161" i="4"/>
  <c r="A161" i="4"/>
  <c r="I187" i="4"/>
  <c r="G187" i="4"/>
  <c r="E187" i="4"/>
  <c r="F187" i="4"/>
  <c r="C187" i="4"/>
  <c r="B187" i="4"/>
  <c r="A187" i="4"/>
  <c r="K187" i="4"/>
  <c r="J187" i="4"/>
  <c r="H187" i="4"/>
  <c r="D187" i="4"/>
  <c r="L196" i="3"/>
  <c r="K196" i="3"/>
  <c r="I196" i="3"/>
  <c r="H196" i="3"/>
  <c r="J196" i="3"/>
  <c r="G196" i="3"/>
  <c r="F196" i="3"/>
  <c r="D196" i="3"/>
  <c r="C196" i="3"/>
  <c r="A196" i="3"/>
  <c r="E196" i="3"/>
  <c r="B196" i="3"/>
  <c r="J193" i="3"/>
  <c r="I193" i="3"/>
  <c r="H193" i="3"/>
  <c r="F193" i="3"/>
  <c r="L193" i="3"/>
  <c r="K193" i="3"/>
  <c r="G193" i="3"/>
  <c r="E193" i="3"/>
  <c r="D193" i="3"/>
  <c r="B193" i="3"/>
  <c r="A193" i="3"/>
  <c r="C193" i="3"/>
  <c r="D187" i="3"/>
  <c r="C187" i="3"/>
  <c r="B187" i="3"/>
  <c r="J187" i="3"/>
  <c r="I187" i="3"/>
  <c r="H187" i="3"/>
  <c r="G187" i="3"/>
  <c r="F187" i="3"/>
  <c r="E187" i="3"/>
  <c r="L187" i="3"/>
  <c r="K187" i="3"/>
  <c r="A187" i="3"/>
  <c r="I157" i="4"/>
  <c r="E157" i="4"/>
  <c r="C157" i="4"/>
  <c r="B157" i="4"/>
  <c r="J157" i="4"/>
  <c r="K157" i="4"/>
  <c r="H157" i="4"/>
  <c r="G157" i="4"/>
  <c r="F157" i="4"/>
  <c r="D157" i="4"/>
  <c r="A157" i="4"/>
  <c r="I145" i="4"/>
  <c r="A145" i="4"/>
  <c r="K145" i="4"/>
  <c r="J145" i="4"/>
  <c r="H145" i="4"/>
  <c r="G145" i="4"/>
  <c r="F145" i="4"/>
  <c r="E145" i="4"/>
  <c r="D145" i="4"/>
  <c r="C145" i="4"/>
  <c r="B145" i="4"/>
  <c r="A184" i="3"/>
  <c r="K184" i="3"/>
  <c r="I184" i="3"/>
  <c r="H184" i="3"/>
  <c r="G184" i="3"/>
  <c r="F184" i="3"/>
  <c r="E184" i="3"/>
  <c r="B184" i="3"/>
  <c r="L184" i="3"/>
  <c r="D184" i="3"/>
  <c r="C184" i="3"/>
  <c r="J184" i="3"/>
  <c r="I173" i="4"/>
  <c r="G173" i="4"/>
  <c r="F173" i="4"/>
  <c r="E173" i="4"/>
  <c r="D173" i="4"/>
  <c r="B173" i="4"/>
  <c r="J173" i="4"/>
  <c r="C173" i="4"/>
  <c r="A173" i="4"/>
  <c r="K173" i="4"/>
  <c r="H173" i="4"/>
  <c r="C159" i="3"/>
  <c r="B159" i="3"/>
  <c r="A159" i="3"/>
  <c r="J159" i="3"/>
  <c r="F159" i="3"/>
  <c r="E159" i="3"/>
  <c r="D159" i="3"/>
  <c r="L159" i="3"/>
  <c r="I159" i="3"/>
  <c r="K159" i="3"/>
  <c r="H159" i="3"/>
  <c r="G159" i="3"/>
  <c r="K151" i="4"/>
  <c r="G151" i="4"/>
  <c r="J151" i="4"/>
  <c r="I151" i="4"/>
  <c r="H151" i="4"/>
  <c r="F151" i="4"/>
  <c r="E151" i="4"/>
  <c r="D151" i="4"/>
  <c r="C151" i="4"/>
  <c r="B151" i="4"/>
  <c r="A151" i="4"/>
  <c r="C168" i="4"/>
  <c r="K168" i="4"/>
  <c r="J168" i="4"/>
  <c r="H168" i="4"/>
  <c r="B168" i="4"/>
  <c r="G168" i="4"/>
  <c r="F168" i="4"/>
  <c r="E168" i="4"/>
  <c r="D168" i="4"/>
  <c r="A168" i="4"/>
  <c r="I168" i="4"/>
  <c r="E190" i="4"/>
  <c r="A190" i="4"/>
  <c r="K190" i="4"/>
  <c r="F190" i="4"/>
  <c r="J190" i="4"/>
  <c r="I190" i="4"/>
  <c r="H190" i="4"/>
  <c r="G190" i="4"/>
  <c r="C190" i="4"/>
  <c r="B190" i="4"/>
  <c r="D190" i="4"/>
  <c r="I185" i="4"/>
  <c r="E185" i="4"/>
  <c r="C185" i="4"/>
  <c r="F185" i="4"/>
  <c r="D185" i="4"/>
  <c r="B185" i="4"/>
  <c r="A185" i="4"/>
  <c r="K185" i="4"/>
  <c r="H185" i="4"/>
  <c r="J185" i="4"/>
  <c r="G185" i="4"/>
  <c r="E183" i="4"/>
  <c r="A183" i="4"/>
  <c r="K183" i="4"/>
  <c r="J183" i="4"/>
  <c r="I183" i="4"/>
  <c r="G183" i="4"/>
  <c r="H183" i="4"/>
  <c r="F183" i="4"/>
  <c r="D183" i="4"/>
  <c r="C183" i="4"/>
  <c r="B183" i="4"/>
  <c r="K180" i="3"/>
  <c r="I180" i="3"/>
  <c r="G180" i="3"/>
  <c r="H180" i="3"/>
  <c r="F180" i="3"/>
  <c r="E180" i="3"/>
  <c r="D180" i="3"/>
  <c r="C180" i="3"/>
  <c r="L180" i="3"/>
  <c r="J180" i="3"/>
  <c r="B180" i="3"/>
  <c r="A180" i="3"/>
  <c r="C147" i="4"/>
  <c r="I147" i="4"/>
  <c r="H147" i="4"/>
  <c r="J147" i="4"/>
  <c r="F147" i="4"/>
  <c r="E147" i="4"/>
  <c r="D147" i="4"/>
  <c r="B147" i="4"/>
  <c r="A147" i="4"/>
  <c r="G147" i="4"/>
  <c r="K147" i="4"/>
  <c r="I150" i="4"/>
  <c r="E150" i="4"/>
  <c r="F150" i="4"/>
  <c r="D150" i="4"/>
  <c r="J150" i="4"/>
  <c r="H150" i="4"/>
  <c r="G150" i="4"/>
  <c r="C150" i="4"/>
  <c r="B150" i="4"/>
  <c r="A150" i="4"/>
  <c r="K150" i="4"/>
  <c r="H150" i="3"/>
  <c r="G150" i="3"/>
  <c r="F150" i="3"/>
  <c r="E150" i="3"/>
  <c r="D150" i="3"/>
  <c r="A150" i="3"/>
  <c r="J150" i="3"/>
  <c r="C150" i="3"/>
  <c r="L150" i="3"/>
  <c r="K150" i="3"/>
  <c r="B150" i="3"/>
  <c r="I150" i="3"/>
  <c r="B140" i="4"/>
  <c r="D140" i="4"/>
  <c r="E140" i="4"/>
  <c r="G140" i="4"/>
  <c r="I140" i="4"/>
  <c r="F140" i="4"/>
  <c r="H140" i="4"/>
  <c r="J140" i="4"/>
  <c r="K140" i="4"/>
  <c r="C140" i="4"/>
  <c r="A140" i="4"/>
  <c r="I199" i="4"/>
  <c r="E199" i="4"/>
  <c r="C199" i="4"/>
  <c r="K199" i="4"/>
  <c r="D199" i="4"/>
  <c r="A199" i="4"/>
  <c r="J199" i="4"/>
  <c r="H199" i="4"/>
  <c r="G199" i="4"/>
  <c r="F199" i="4"/>
  <c r="B199" i="4"/>
  <c r="A200" i="3"/>
  <c r="E200" i="3"/>
  <c r="D200" i="3"/>
  <c r="C200" i="3"/>
  <c r="H200" i="3"/>
  <c r="G200" i="3"/>
  <c r="F200" i="3"/>
  <c r="B200" i="3"/>
  <c r="K200" i="3"/>
  <c r="L200" i="3"/>
  <c r="J200" i="3"/>
  <c r="I200" i="3"/>
  <c r="F175" i="3"/>
  <c r="D175" i="3"/>
  <c r="B175" i="3"/>
  <c r="A175" i="3"/>
  <c r="K175" i="3"/>
  <c r="J175" i="3"/>
  <c r="I175" i="3"/>
  <c r="E175" i="3"/>
  <c r="L175" i="3"/>
  <c r="H175" i="3"/>
  <c r="G175" i="3"/>
  <c r="C175" i="3"/>
  <c r="I151" i="3"/>
  <c r="H151" i="3"/>
  <c r="G151" i="3"/>
  <c r="F151" i="3"/>
  <c r="E151" i="3"/>
  <c r="B151" i="3"/>
  <c r="L151" i="3"/>
  <c r="K151" i="3"/>
  <c r="J151" i="3"/>
  <c r="D151" i="3"/>
  <c r="A151" i="3"/>
  <c r="C151" i="3"/>
  <c r="A188" i="4"/>
  <c r="K188" i="4"/>
  <c r="I188" i="4"/>
  <c r="E188" i="4"/>
  <c r="D188" i="4"/>
  <c r="C188" i="4"/>
  <c r="J188" i="4"/>
  <c r="H188" i="4"/>
  <c r="G188" i="4"/>
  <c r="F188" i="4"/>
  <c r="B188" i="4"/>
  <c r="K168" i="3"/>
  <c r="I168" i="3"/>
  <c r="D168" i="3"/>
  <c r="C168" i="3"/>
  <c r="B168" i="3"/>
  <c r="A168" i="3"/>
  <c r="L168" i="3"/>
  <c r="H168" i="3"/>
  <c r="G168" i="3"/>
  <c r="J168" i="3"/>
  <c r="F168" i="3"/>
  <c r="E168" i="3"/>
  <c r="A195" i="4"/>
  <c r="K195" i="4"/>
  <c r="I195" i="4"/>
  <c r="J195" i="4"/>
  <c r="H195" i="4"/>
  <c r="G195" i="4"/>
  <c r="E195" i="4"/>
  <c r="F195" i="4"/>
  <c r="D195" i="4"/>
  <c r="C195" i="4"/>
  <c r="B195" i="4"/>
  <c r="G163" i="3"/>
  <c r="F163" i="3"/>
  <c r="E163" i="3"/>
  <c r="D163" i="3"/>
  <c r="C163" i="3"/>
  <c r="A163" i="3"/>
  <c r="K163" i="3"/>
  <c r="I163" i="3"/>
  <c r="L163" i="3"/>
  <c r="B163" i="3"/>
  <c r="H163" i="3"/>
  <c r="J163" i="3"/>
  <c r="K165" i="4"/>
  <c r="G165" i="4"/>
  <c r="E165" i="4"/>
  <c r="I165" i="4"/>
  <c r="B165" i="4"/>
  <c r="J165" i="4"/>
  <c r="H165" i="4"/>
  <c r="F165" i="4"/>
  <c r="D165" i="4"/>
  <c r="C165" i="4"/>
  <c r="A165" i="4"/>
  <c r="E197" i="4"/>
  <c r="A197" i="4"/>
  <c r="D197" i="4"/>
  <c r="C197" i="4"/>
  <c r="B197" i="4"/>
  <c r="J197" i="4"/>
  <c r="K197" i="4"/>
  <c r="I197" i="4"/>
  <c r="H197" i="4"/>
  <c r="G197" i="4"/>
  <c r="F197" i="4"/>
  <c r="A198" i="3"/>
  <c r="K198" i="3"/>
  <c r="J198" i="3"/>
  <c r="H198" i="3"/>
  <c r="G198" i="3"/>
  <c r="F198" i="3"/>
  <c r="E198" i="3"/>
  <c r="D198" i="3"/>
  <c r="B198" i="3"/>
  <c r="L198" i="3"/>
  <c r="I198" i="3"/>
  <c r="C198" i="3"/>
  <c r="K179" i="4"/>
  <c r="G179" i="4"/>
  <c r="E179" i="4"/>
  <c r="F179" i="4"/>
  <c r="D179" i="4"/>
  <c r="C179" i="4"/>
  <c r="A179" i="4"/>
  <c r="J179" i="4"/>
  <c r="I179" i="4"/>
  <c r="H179" i="4"/>
  <c r="B179" i="4"/>
  <c r="L140" i="3"/>
  <c r="K140" i="3"/>
  <c r="J140" i="3"/>
  <c r="H140" i="3"/>
  <c r="E140" i="3"/>
  <c r="G140" i="3"/>
  <c r="F140" i="3"/>
  <c r="D140" i="3"/>
  <c r="C140" i="3"/>
  <c r="A140" i="3"/>
  <c r="B140" i="3"/>
  <c r="I140" i="3"/>
  <c r="L155" i="3"/>
  <c r="K155" i="3"/>
  <c r="J155" i="3"/>
  <c r="I155" i="3"/>
  <c r="F155" i="3"/>
  <c r="G155" i="3"/>
  <c r="E155" i="3"/>
  <c r="D155" i="3"/>
  <c r="C155" i="3"/>
  <c r="A155" i="3"/>
  <c r="H155" i="3"/>
  <c r="B155" i="3"/>
  <c r="L183" i="3"/>
  <c r="J183" i="3"/>
  <c r="E183" i="3"/>
  <c r="D183" i="3"/>
  <c r="C183" i="3"/>
  <c r="B183" i="3"/>
  <c r="A183" i="3"/>
  <c r="K183" i="3"/>
  <c r="I183" i="3"/>
  <c r="H183" i="3"/>
  <c r="G183" i="3"/>
  <c r="F183" i="3"/>
</calcChain>
</file>

<file path=xl/sharedStrings.xml><?xml version="1.0" encoding="utf-8"?>
<sst xmlns="http://schemas.openxmlformats.org/spreadsheetml/2006/main" count="1099" uniqueCount="391">
  <si>
    <t>⚡  MiT Strom Schweiz — Executive Sales Summary</t>
  </si>
  <si>
    <t>Mobil in Time AG  ·  An Aggreko Company  ·  Burak Ücöz</t>
  </si>
  <si>
    <t>✅ WON</t>
  </si>
  <si>
    <t>📄 OFFERTE</t>
  </si>
  <si>
    <t>🎯 OPPORTUNITÄT</t>
  </si>
  <si>
    <t>🏆  Top 5 WON-Deals (nach Volumen)</t>
  </si>
  <si>
    <t>#</t>
  </si>
  <si>
    <t>Kunde</t>
  </si>
  <si>
    <t>Kt.</t>
  </si>
  <si>
    <t>Start</t>
  </si>
  <si>
    <t>Segment</t>
  </si>
  <si>
    <t>Volumen</t>
  </si>
  <si>
    <t>Marge</t>
  </si>
  <si>
    <t>📊  Status-Verteilung Pipeline</t>
  </si>
  <si>
    <t>Status</t>
  </si>
  <si>
    <t>Anzahl</t>
  </si>
  <si>
    <t>Volumen CHF</t>
  </si>
  <si>
    <t>Anteil %</t>
  </si>
  <si>
    <t>📄 Offerte (inkl. To Offer)</t>
  </si>
  <si>
    <t>🎯 Follow-Up</t>
  </si>
  <si>
    <t>🔍 Evaluation (inkl. In Eval)</t>
  </si>
  <si>
    <t>⏸ On Hold</t>
  </si>
  <si>
    <t>❓ TBD</t>
  </si>
  <si>
    <t>❌ LOST</t>
  </si>
  <si>
    <t>🚫 Declined</t>
  </si>
  <si>
    <t>🖨  Strg+P → Als PDF speichern  ·  Druckbereich ist bereits gesetzt (A4 Hochformat)</t>
  </si>
  <si>
    <t>MiT Strom Schweiz — Sales-Report</t>
  </si>
  <si>
    <t>Mobil in Time AG · An Aggreko Company · Burak Ücöz</t>
  </si>
  <si>
    <t>Key Performance Indicators</t>
  </si>
  <si>
    <t>KPI</t>
  </si>
  <si>
    <t>Wert CHF</t>
  </si>
  <si>
    <t>Anteil</t>
  </si>
  <si>
    <t>📄 Offerte</t>
  </si>
  <si>
    <t>🎯 Opportunität</t>
  </si>
  <si>
    <t>📊 TOTAL Pipeline</t>
  </si>
  <si>
    <t>Top Kantone (nach Volumen)</t>
  </si>
  <si>
    <t>_kt</t>
  </si>
  <si>
    <t>_vol</t>
  </si>
  <si>
    <t>_rankkey</t>
  </si>
  <si>
    <t>Rang</t>
  </si>
  <si>
    <t>Kanton</t>
  </si>
  <si>
    <t>Anzahl Deals</t>
  </si>
  <si>
    <t>WON-Rate</t>
  </si>
  <si>
    <t>AG</t>
  </si>
  <si>
    <t>AI</t>
  </si>
  <si>
    <t>AR</t>
  </si>
  <si>
    <t>BE</t>
  </si>
  <si>
    <t>BL</t>
  </si>
  <si>
    <t>BS</t>
  </si>
  <si>
    <t>FR</t>
  </si>
  <si>
    <t>GE</t>
  </si>
  <si>
    <t>GL</t>
  </si>
  <si>
    <t>GR</t>
  </si>
  <si>
    <t>JU</t>
  </si>
  <si>
    <t>LU</t>
  </si>
  <si>
    <t>NE</t>
  </si>
  <si>
    <t>Top WON-Deals</t>
  </si>
  <si>
    <t>NW</t>
  </si>
  <si>
    <t>Marge CHF</t>
  </si>
  <si>
    <t>OW</t>
  </si>
  <si>
    <t>SG</t>
  </si>
  <si>
    <t>SH</t>
  </si>
  <si>
    <t>SO</t>
  </si>
  <si>
    <t>SZ</t>
  </si>
  <si>
    <t>TG</t>
  </si>
  <si>
    <t>TI</t>
  </si>
  <si>
    <t>UR</t>
  </si>
  <si>
    <t>VD</t>
  </si>
  <si>
    <t>VS</t>
  </si>
  <si>
    <t>ZG</t>
  </si>
  <si>
    <t>ZH</t>
  </si>
  <si>
    <t>↻ Auto-Update aus Pipeline · Sortiert nach Volumen ↓ · Nur WON mit numerischem Volumen</t>
  </si>
  <si>
    <t>🖨  Strg+P → «Als PDF speichern» · Druckbereich A4 ist gesetzt</t>
  </si>
  <si>
    <t>Mobil in Time AG  ·  An Aggreko Company  ·  Burak Ücöz  ·  Neue Einträge in «MiT Strom Pipeline» erscheinen automatisch.</t>
  </si>
  <si>
    <t>✅  AUFTRAGSEINGANG (WON)</t>
  </si>
  <si>
    <t>📄  OFFERTE — Laufend</t>
  </si>
  <si>
    <t>🎯  OPPORTUNITÄT</t>
  </si>
  <si>
    <t>✅  1. AUFTRAGSEINGANG (WON) — Bestätigte Aufträge</t>
  </si>
  <si>
    <t>Kunde / Unternehmen</t>
  </si>
  <si>
    <t>Leistung / Fleet</t>
  </si>
  <si>
    <t>Gew.Wert CHF</t>
  </si>
  <si>
    <t>Wahr.%</t>
  </si>
  <si>
    <t>Nächster Schritt</t>
  </si>
  <si>
    <t>📄  2. OFFERTE — Versendete &amp; laufende Angebote</t>
  </si>
  <si>
    <t>🎯  3. OPPORTUNITÄT — Qualifizierte Leads</t>
  </si>
  <si>
    <t>📊  GESAMTTOTAL — Aktive Pipeline</t>
  </si>
  <si>
    <t xml:space="preserve">  → WON</t>
  </si>
  <si>
    <t xml:space="preserve">  → Offerte</t>
  </si>
  <si>
    <t xml:space="preserve">  → Opportunität</t>
  </si>
  <si>
    <t>✅  WON</t>
  </si>
  <si>
    <t>📄  OFFERTE</t>
  </si>
  <si>
    <t>🎯  OPP.</t>
  </si>
  <si>
    <t>📊  GESAMT</t>
  </si>
  <si>
    <t>✅  1. AUFTRAGSEINGANG (WON) — Gewonnene Aufträge</t>
  </si>
  <si>
    <t>📊  GESAMTTOTAL — Aktive Pipeline (exkl. Declined / LOST)</t>
  </si>
  <si>
    <t>📊  MiT Strom Schweiz — Diagramme &amp; Visualisierungen</t>
  </si>
  <si>
    <t xml:space="preserve">  Auto-Update aus «MiT Strom Pipeline» — keine Datenpflege hier nötig</t>
  </si>
  <si>
    <t>📊 Status-Verteilung (Anzahl)</t>
  </si>
  <si>
    <t>💰 Status nach Volumen CHF</t>
  </si>
  <si>
    <t>🗺  Volumen nach Kanton</t>
  </si>
  <si>
    <t>🏭 Volumen nach Segment</t>
  </si>
  <si>
    <t>⚡  MiT Strom Schweiz — Pipeline &amp; Deal Tracking  |  Mobil in Time AG – An Aggreko Company</t>
  </si>
  <si>
    <t xml:space="preserve">  ✏️  Nur in diesem Sheet Daten erfassen — Dashboard, CEO Report und Kantone aktualisieren sich automatisch.</t>
  </si>
  <si>
    <t>✅  WON Umsatz</t>
  </si>
  <si>
    <t>📋  Anzahl Deals (aktiv)</t>
  </si>
  <si>
    <t>💼  Offene Pipeline</t>
  </si>
  <si>
    <t>⚖️  Gewichteter Wert</t>
  </si>
  <si>
    <t>kW</t>
  </si>
  <si>
    <t>Dauer</t>
  </si>
  <si>
    <t>Volumen
CHF</t>
  </si>
  <si>
    <t>Equip.
CHF</t>
  </si>
  <si>
    <t>Transport
CHF</t>
  </si>
  <si>
    <t>Treibst.
CHF</t>
  </si>
  <si>
    <t>Technik.
CHF</t>
  </si>
  <si>
    <t>Übrige / MwSt 8.1%
CHF</t>
  </si>
  <si>
    <t>Marge
CHF</t>
  </si>
  <si>
    <t>Marge
%</t>
  </si>
  <si>
    <t>Gew.Wert
CHF</t>
  </si>
  <si>
    <t>Wahr.
%</t>
  </si>
  <si>
    <t>Akquise
Typ</t>
  </si>
  <si>
    <t>USP-Argument</t>
  </si>
  <si>
    <t>Follow-Up</t>
  </si>
  <si>
    <t>Notiz intern</t>
  </si>
  <si>
    <t>_WON_Sort</t>
  </si>
  <si>
    <t>_I_Num</t>
  </si>
  <si>
    <t>_cnt_won</t>
  </si>
  <si>
    <t>_cnt_offerte</t>
  </si>
  <si>
    <t>_cnt_opp</t>
  </si>
  <si>
    <t>Wincasa Solothurn</t>
  </si>
  <si>
    <t>Immobilien / FM</t>
  </si>
  <si>
    <t>BESS 1 MWh</t>
  </si>
  <si>
    <t>Mai</t>
  </si>
  <si>
    <t>offered</t>
  </si>
  <si>
    <t>Warm</t>
  </si>
  <si>
    <t>BESS-Hybridlösung, Energiekostensenkung</t>
  </si>
  <si>
    <t>Entscheider-Meeting anfordern, Businesscase Energie-ROI</t>
  </si>
  <si>
    <t>August</t>
  </si>
  <si>
    <t>Grösster offener Lead – Geduld + ROI-Argumentation</t>
  </si>
  <si>
    <t>Show-Concept.ch AG</t>
  </si>
  <si>
    <t>Events / Medien</t>
  </si>
  <si>
    <t>200 kW Lastbank</t>
  </si>
  <si>
    <t>tbd</t>
  </si>
  <si>
    <t>Declined</t>
  </si>
  <si>
    <t>Lastbank-Testing – Spezialprodukt MiT</t>
  </si>
  <si>
    <t>Use-Case klären – Lastbank oder Generator?</t>
  </si>
  <si>
    <t>Juni</t>
  </si>
  <si>
    <t>Spezialanfrage – konkreten Bedarf erst verstehen</t>
  </si>
  <si>
    <t>Gotthard Base Tunnel</t>
  </si>
  <si>
    <t>Infrastruktur / Bahn</t>
  </si>
  <si>
    <t>Grossanlage tbd</t>
  </si>
  <si>
    <t>Jahre</t>
  </si>
  <si>
    <t>on hold</t>
  </si>
  <si>
    <t>Warm – Aggreko</t>
  </si>
  <si>
    <t>NEA-Pflicht, kritische Infra (NIV Art. 13)</t>
  </si>
  <si>
    <t>Stakeholder identifizieren – AlpTransit/SBB kontaktieren</t>
  </si>
  <si>
    <t>Langfristig strategisch – Türöffner Bahnbereich</t>
  </si>
  <si>
    <t>Ice Hockey Championship</t>
  </si>
  <si>
    <t>Events &amp; Sport</t>
  </si>
  <si>
    <t>2×600+2×200 kVA</t>
  </si>
  <si>
    <t>WON</t>
  </si>
  <si>
    <t>Aggreko Event-Power + Redundanz</t>
  </si>
  <si>
    <t>Abgeschlossen</t>
  </si>
  <si>
    <t>–</t>
  </si>
  <si>
    <t>Grossreferenz CH Events – öffentlich nutzbar</t>
  </si>
  <si>
    <t>Oerlikon Metco Wohlen</t>
  </si>
  <si>
    <t>Industrie / Oberfläche</t>
  </si>
  <si>
    <t>240 kVA Generator</t>
  </si>
  <si>
    <t>April</t>
  </si>
  <si>
    <t>Schnelle Lieferung 24/7</t>
  </si>
  <si>
    <t>Erste Referenz Kanton AG</t>
  </si>
  <si>
    <t>Avia Volt Suisse AG</t>
  </si>
  <si>
    <t>EVU / Energie</t>
  </si>
  <si>
    <t>5×200 kVA Generator</t>
  </si>
  <si>
    <t>PQ-Monitoring inkl. – einzigartig in CH</t>
  </si>
  <si>
    <t>Angebotspräsentation Termin diese Woche</t>
  </si>
  <si>
    <t>EVU mit PQ-Bedarf – USP passt perfekt, Kunde hat kein bedarf zur Zeit</t>
  </si>
  <si>
    <t>Siemens</t>
  </si>
  <si>
    <t>Industrie / Elektro</t>
  </si>
  <si>
    <t>600 kVA Generator</t>
  </si>
  <si>
    <t>Aggreko-Backbone + Verfügbarkeit</t>
  </si>
  <si>
    <t>Referenz Industriebereich – sehr wertvoll</t>
  </si>
  <si>
    <t>Stagelight – OpenAir Frauenfeld</t>
  </si>
  <si>
    <t>Events &amp; Kultur</t>
  </si>
  <si>
    <t>~500 kVA Generator</t>
  </si>
  <si>
    <t>Juli</t>
  </si>
  <si>
    <t>Reaktionszeit &lt; 24h, Zuverlässigkeit</t>
  </si>
  <si>
    <t>OpenAir Festival – jährlich → Rahmenvertrag prüfen, Nicht umgehen den Ansprechpartner, Teams Meeting mit Aggreko Deutschland</t>
  </si>
  <si>
    <t>Murg Flums Energie</t>
  </si>
  <si>
    <t>250 kVA Generator</t>
  </si>
  <si>
    <t>Auf Abruf</t>
  </si>
  <si>
    <t>PQ-Expertise, NIV Art. 13 Compliance</t>
  </si>
  <si>
    <t>Abrufbereitschaft</t>
  </si>
  <si>
    <t>EVU SG – NEA-Bedarf qualifizieren, Alles ermittelt und Konzept erstellt und nur noch Offerte schicken mit dem Konzept</t>
  </si>
  <si>
    <t>X-Event</t>
  </si>
  <si>
    <t>100 kVA Generator</t>
  </si>
  <si>
    <t>Sponsoring</t>
  </si>
  <si>
    <t>Flexibilität, kleines Setup schnell verfügbar</t>
  </si>
  <si>
    <t>Kunde hat Angebot angenommen, im Gegenzug Starte er eine Social Media Kampagne für uns und sind jetzt ein Partner für seine Events</t>
  </si>
  <si>
    <t>Industrie</t>
  </si>
  <si>
    <t>300 kVA</t>
  </si>
  <si>
    <t>USV + PQ-Monitoring für Präzisionsanlagen</t>
  </si>
  <si>
    <t>Kunde wahr sehr Zufrieden mit dem 1. Auftrag und im Anschluss Folgeauftrag durch meine Aktivät</t>
  </si>
  <si>
    <t>Kunde angeschrieben, Kundentermin vor Ort in Juni 26, Termin Perfekt, Kunde benötigt Offerte, Kunde hat Offerte erhalteny, Kunde muss nur noch unterschreiben</t>
  </si>
  <si>
    <t>Kaltwasser 100 kW</t>
  </si>
  <si>
    <t>100 kW</t>
  </si>
  <si>
    <t>Proxima Fusion AG</t>
  </si>
  <si>
    <t>Forschung / Hightech</t>
  </si>
  <si>
    <t>Technisches Gespräch – USV + PQ-Anforderungen klären, Kunde hat Angebot und Technische Ausführung erhalten warten auf Feedback</t>
  </si>
  <si>
    <t>Fusionsforschung – sehr sensibler Strombedarf</t>
  </si>
  <si>
    <t>Reto EKAG</t>
  </si>
  <si>
    <t>Elektroinstallation</t>
  </si>
  <si>
    <t>Option B 1x 6 kVA Trafo, 1x 3000 kVA Trafo, 1x 6000 kVA Lastbank, 1x 3300 kVA Lastbank</t>
  </si>
  <si>
    <t>9000 kVA + 9300 kVA</t>
  </si>
  <si>
    <t>Okt</t>
  </si>
  <si>
    <t>Kunde Telefon Kontaktiert und Vor Ort 
Besichtigung und Aufbauort</t>
  </si>
  <si>
    <t>Kunde angeschrieben, Kundentermin vor Ort in Mai 26, Termin Perfekt, Kunde benötigt Offerte, Kunde hat Offerte erhalten, Kunde hat sich für uns entschieden, Kunde muss die Offerte noch unterschreiben</t>
  </si>
  <si>
    <t>MS Kabel 95mm</t>
  </si>
  <si>
    <t>Kabel 95mm</t>
  </si>
  <si>
    <t>WEF</t>
  </si>
  <si>
    <t>Event</t>
  </si>
  <si>
    <t>1500 kVA, 600 kVA, 450 kVA, 450 kVA</t>
  </si>
  <si>
    <t>3000 kVA</t>
  </si>
  <si>
    <t>Jan</t>
  </si>
  <si>
    <t>Kalt</t>
  </si>
  <si>
    <t>Offerte erstellt, Stefan hat die Offerte bekommen, Stefan muss alles weitere klären mit den Kunden</t>
  </si>
  <si>
    <t>Juni (Stefan)</t>
  </si>
  <si>
    <t>Anfrage von Stefan über kontakt, Kunde braucht Offerte und wir müssen in der Range bei 85K Chf bleiben, Wir sind unter 80K CHF</t>
  </si>
  <si>
    <t>Gampeln</t>
  </si>
  <si>
    <t>6x300 kVA, 9x200 kVA Generator ,1x150 kWH BESS</t>
  </si>
  <si>
    <t>3600 kVA + 150 kWH</t>
  </si>
  <si>
    <t>Aug</t>
  </si>
  <si>
    <t>Kalt (Burak)</t>
  </si>
  <si>
    <t>Preis klären wegen Transport</t>
  </si>
  <si>
    <t>Etavis Gossenbacher AG</t>
  </si>
  <si>
    <t>30 kVA USV/Generator</t>
  </si>
  <si>
    <t>Erstkontakt vertiefen – Bedarf qualifizieren, Kein bedarf mehr</t>
  </si>
  <si>
    <t>MAS ETH Architektur</t>
  </si>
  <si>
    <t>Bildung / Forschung</t>
  </si>
  <si>
    <t>FIP ISA</t>
  </si>
  <si>
    <t>AKSA Würenlos</t>
  </si>
  <si>
    <t>Industrie / Generatoren</t>
  </si>
  <si>
    <t>1500 kVA Generator</t>
  </si>
  <si>
    <t>Kunden angeschrieben 27.04.2026</t>
  </si>
  <si>
    <t>Wirtschaftlich nicht tragbar laut Kunde / Warten auf Rückmeldung</t>
  </si>
  <si>
    <t>Holinger</t>
  </si>
  <si>
    <t>Ingenieure / Planung</t>
  </si>
  <si>
    <t>LOST</t>
  </si>
  <si>
    <t>❌ Closed – in 12 Monaten wieder kontaktieren</t>
  </si>
  <si>
    <t>Bauherr Entscheid gegen MiT – kein Preisproblem</t>
  </si>
  <si>
    <t>Sade CGTH (Schweiz)</t>
  </si>
  <si>
    <t>Infrastruktur / Bau</t>
  </si>
  <si>
    <t>750 kVA Generator</t>
  </si>
  <si>
    <t>24/7 Service, Aggreko-Zuverlässigkeit</t>
  </si>
  <si>
    <t>Auftragsbestätigung anfordern – Entscheid steht bevor</t>
  </si>
  <si>
    <t>Sep</t>
  </si>
  <si>
    <t>Infrastrukturprojekt Romandie – Türöffner GE/VD</t>
  </si>
  <si>
    <t>Coolworld Rentals</t>
  </si>
  <si>
    <t>Kühlung / Konkurrenz</t>
  </si>
  <si>
    <t>400 kVA Generator</t>
  </si>
  <si>
    <t>Flexibilität, Einfaches Setup</t>
  </si>
  <si>
    <t>Email Kontaktiert, Telefoniert, Warten auf Rückmeldung erneut, Kunde braucht kein Power mehr, Absage so</t>
  </si>
  <si>
    <t>Kunde klärt ab und meldet sich was der Kunde sagt</t>
  </si>
  <si>
    <t>Etavis Chur</t>
  </si>
  <si>
    <t>30 kVA Generator</t>
  </si>
  <si>
    <t>Email Kontaktiert</t>
  </si>
  <si>
    <t>Kunde angeschrieben</t>
  </si>
  <si>
    <t>Wetzikon</t>
  </si>
  <si>
    <t>Gemeinde</t>
  </si>
  <si>
    <t>tbd (PQ-kritisch)</t>
  </si>
  <si>
    <t>Machbarkeitsstudei</t>
  </si>
  <si>
    <t>Burkhalter Technics AG</t>
  </si>
  <si>
    <t>150 kVA Generator</t>
  </si>
  <si>
    <t>Bestehende Beziehung, schnelle Lieferung</t>
  </si>
  <si>
    <t>Angebot finalisieren – CBM-Beziehung nutzen, Abrufbereit und Vertrag unterschreiben</t>
  </si>
  <si>
    <t>Bekannt aus CBM – Cross-Sell PQ-Monitoring möglich</t>
  </si>
  <si>
    <t>Trafag AG</t>
  </si>
  <si>
    <t>Industrie / Messtechnik</t>
  </si>
  <si>
    <t>450 kVA Generator</t>
  </si>
  <si>
    <t>PQ-zertifiziert für sensible Messtechnik</t>
  </si>
  <si>
    <t>Angebot vorbereiten – PQ-Argument für Messtechnik, Stefanie Hintermann kontaktieren für weiteren Ablauf, Kontakt aufgenommen und warten für die Zusage / Preisklärung</t>
  </si>
  <si>
    <t>Messtechnikhersteller – PQ-Argument optimal, Kunde hat alle Daten und Offerten</t>
  </si>
  <si>
    <t>OST Fachhochschule</t>
  </si>
  <si>
    <t>Hochschule</t>
  </si>
  <si>
    <t>200 kVA Lastbank</t>
  </si>
  <si>
    <t>Email Kontaktiert, Telefoniert, Kunde hat kein bedarf mehr</t>
  </si>
  <si>
    <t>Kunde angeschrieben, Kunde aus altem Netzwerk bekannt von CMB-Zeiten, Kunde hat kein Bedarf mehr</t>
  </si>
  <si>
    <t>BESS 500 kVA</t>
  </si>
  <si>
    <t>Kombi 450 kVA Generator / BESS 500 kVA</t>
  </si>
  <si>
    <t>Rimus &amp; Sstrada</t>
  </si>
  <si>
    <t>500 kWh Small BESS</t>
  </si>
  <si>
    <t>500 kWh</t>
  </si>
  <si>
    <t>inf</t>
  </si>
  <si>
    <t>Kunde angeschrieben, Kundentermin vor Ort in Mai 26, Termin Perfekt, Kunde benötigt Offerte, Kunde hat Offerte erhalten</t>
  </si>
  <si>
    <t>1 MWh Medium BESS</t>
  </si>
  <si>
    <t>1 MWh</t>
  </si>
  <si>
    <t>1,5 MWh Large BESS</t>
  </si>
  <si>
    <t>1,5 MWh</t>
  </si>
  <si>
    <t>Creabeton</t>
  </si>
  <si>
    <t>100 kVA</t>
  </si>
  <si>
    <t>Kunde angeschrieben, Warten auf Rückmeldung</t>
  </si>
  <si>
    <t>Basler Haustechnik AG</t>
  </si>
  <si>
    <t>45 kWH Batterie</t>
  </si>
  <si>
    <t>45 kWH</t>
  </si>
  <si>
    <t>Kunde angeschrieben, Offerte erstellt, Kunde hat Offerte bekommen, Warten auf Rückmeldung</t>
  </si>
  <si>
    <t>Linde Gas Schweiz AG</t>
  </si>
  <si>
    <t>60 kVA Generator</t>
  </si>
  <si>
    <t>60 kVA</t>
  </si>
  <si>
    <t>Baumeler Leitungsbau AG</t>
  </si>
  <si>
    <t xml:space="preserve">600 kVA </t>
  </si>
  <si>
    <t>600 kVA</t>
  </si>
  <si>
    <t>Kunde angeschrieben, Offerte erstellt, Kunde hat Offerte bekommen, Warten auf Rückmeldung, Kunde hat neue Offerte erhalten</t>
  </si>
  <si>
    <t>Verein Street Parade Zürich</t>
  </si>
  <si>
    <t xml:space="preserve">100 kVA </t>
  </si>
  <si>
    <t xml:space="preserve">Juni </t>
  </si>
  <si>
    <t>Holzplaner GmbH</t>
  </si>
  <si>
    <t>90 kWH Batterie</t>
  </si>
  <si>
    <t>90 kWH</t>
  </si>
  <si>
    <t>Kunde angeschrieben, Offerte erstellt, Kunde hat Offerte bekommen, Transportkosten zu Hoch daher die Absage</t>
  </si>
  <si>
    <t>Badermetaux Sàrl (Schweiz)</t>
  </si>
  <si>
    <t>Industrie / Metall</t>
  </si>
  <si>
    <t>600 kVA Langzeitmiete</t>
  </si>
  <si>
    <t>5 Jahre</t>
  </si>
  <si>
    <t>EN 50160-Zertifizierung, all-inclusive</t>
  </si>
  <si>
    <t>PQ-Analyse + Langzeitkonzept vorlegen</t>
  </si>
  <si>
    <t>500k CHF Potenzial – langer Zyklus, jetzt Vertrauen aufbauen</t>
  </si>
  <si>
    <t>Swisspro AG</t>
  </si>
  <si>
    <t>30 kVA</t>
  </si>
  <si>
    <t>Nestle</t>
  </si>
  <si>
    <t>Kunde angeschrieben, Telefoniert noch kein bedarf</t>
  </si>
  <si>
    <t>Equans Switzerland St.Galln</t>
  </si>
  <si>
    <t>150 kVA</t>
  </si>
  <si>
    <t xml:space="preserve">Warm </t>
  </si>
  <si>
    <t>WSP</t>
  </si>
  <si>
    <t>SMT</t>
  </si>
  <si>
    <t>1000 kVA</t>
  </si>
  <si>
    <t>Kunde angeschrieben, Offerte erstellt, Kunde hat Offerte bekommen, Kunde muss entscheiden da Transportkosten zu hoch sind</t>
  </si>
  <si>
    <t>Equans Switzerland Kloten</t>
  </si>
  <si>
    <t>Dez</t>
  </si>
  <si>
    <t>Kunde angeschrieben, Offerte erstellt, Kunde hat Offerte bekommen</t>
  </si>
  <si>
    <t>Oktober</t>
  </si>
  <si>
    <t>ETAVIS Basel</t>
  </si>
  <si>
    <t>Verein ANIMALZ</t>
  </si>
  <si>
    <t>Festival</t>
  </si>
  <si>
    <t>Kunde angeschrieben, Offerte erstellt, Kunde hat Offerte bekommen, Abgesagt Transport zu Aufwendig für ihn</t>
  </si>
  <si>
    <t>Kunde angeschrieben, Angerufen, Abgesagt</t>
  </si>
  <si>
    <t>Neuber Sounds GmbH</t>
  </si>
  <si>
    <t>Veranstaltung</t>
  </si>
  <si>
    <t xml:space="preserve">30 kVA </t>
  </si>
  <si>
    <t>Kunde angeschrieben, Offerte erstellt, Kunde hat Offerte bekommen, Abgesagt Transport kosten zu hoch</t>
  </si>
  <si>
    <t>Coutaz CVS SA</t>
  </si>
  <si>
    <t>EVU</t>
  </si>
  <si>
    <t>600 kVA, 200 kVA</t>
  </si>
  <si>
    <t>800 kVA</t>
  </si>
  <si>
    <t>Romand Energei SA</t>
  </si>
  <si>
    <t>EIDG AMT Agroscope</t>
  </si>
  <si>
    <t>Forschung</t>
  </si>
  <si>
    <t>450 kVA</t>
  </si>
  <si>
    <t>Kunde angeschrieben, Kunde wurde durch AD (Mauro) fasch beraten, nach korrektur wieder alles i.O</t>
  </si>
  <si>
    <t>(Megger) Power Diagnostix Service GmbH</t>
  </si>
  <si>
    <t>DPR Heat Loadbank</t>
  </si>
  <si>
    <t>Datacenter</t>
  </si>
  <si>
    <t>54x200 kVA Loadbank</t>
  </si>
  <si>
    <t>Aggreko &amp; MiT</t>
  </si>
  <si>
    <t>Kunde angeschrieben auf MiT seite mit aktueller CHF Preise und warten auf PO</t>
  </si>
  <si>
    <t>PO muss geändert werden, dann wird die bestellung ausgelöst</t>
  </si>
  <si>
    <t>DPR Generator Loadbank Test</t>
  </si>
  <si>
    <t>6000 kVA Loadbank</t>
  </si>
  <si>
    <t>Wyss Sound</t>
  </si>
  <si>
    <t>Schmidiger + Rosasco AG</t>
  </si>
  <si>
    <t>Elektroplaner</t>
  </si>
  <si>
    <t>200 kVA</t>
  </si>
  <si>
    <t>Winkler Livecom AG</t>
  </si>
  <si>
    <t>300 kVA, 300 kWh</t>
  </si>
  <si>
    <t>Nov</t>
  </si>
  <si>
    <t>Warten auf Rückmeldung</t>
  </si>
  <si>
    <t>Kull Elektro AG</t>
  </si>
  <si>
    <t>Promacom engineering GmbH</t>
  </si>
  <si>
    <t>Warm Burak</t>
  </si>
  <si>
    <t>September</t>
  </si>
  <si>
    <t>GETEC Park.Swiss AG</t>
  </si>
  <si>
    <t>-</t>
  </si>
  <si>
    <t>Status_Key</t>
  </si>
  <si>
    <t>Deals</t>
  </si>
  <si>
    <t>to be offered</t>
  </si>
  <si>
    <t>📝 To Offer</t>
  </si>
  <si>
    <t>follow-up</t>
  </si>
  <si>
    <t>Evaluation</t>
  </si>
  <si>
    <t>🔍 Evaluation</t>
  </si>
  <si>
    <t>In evaluation</t>
  </si>
  <si>
    <t>🔍 In Eval</t>
  </si>
  <si>
    <t>RankKey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</si>
</sst>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#,##0&quot; CHF&quot;"/>
    <numFmt numFmtId="165" formatCode="0.0%"/>
    <numFmt numFmtId="166" formatCode="0&quot; Deals&quot;"/>
    <numFmt numFmtId="167" formatCode="dd\.mm\.yyyy"/>
    <numFmt numFmtId="168" formatCode="m/d/yyyy"/>
    <numFmt numFmtId="169" formatCode="[$-407]d/\ mmm/;@"/>
  </numFmts>
  <fonts count="44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i/>
      <sz val="11"/>
      <color rgb="FF555555"/>
      <name val="Calibri"/>
      <charset val="1"/>
    </font>
    <font>
      <sz val="10"/>
      <color rgb="FF888888"/>
      <name val="Calibri"/>
      <charset val="1"/>
    </font>
    <font>
      <b/>
      <sz val="11"/>
      <color rgb="FFFFFFFF"/>
      <name val="Cambria"/>
      <charset val="1"/>
    </font>
    <font>
      <b/>
      <sz val="14"/>
      <color rgb="FF1F3864"/>
      <name val="Cambria"/>
      <charset val="1"/>
    </font>
    <font>
      <i/>
      <sz val="10"/>
      <color rgb="FF666666"/>
      <name val="Cambria"/>
      <charset val="1"/>
    </font>
    <font>
      <b/>
      <sz val="14"/>
      <color rgb="FFFFFFFF"/>
      <name val="Calibri"/>
      <charset val="1"/>
    </font>
    <font>
      <b/>
      <sz val="13"/>
      <color rgb="FF1F3864"/>
      <name val="Calibri"/>
      <charset val="1"/>
    </font>
    <font>
      <b/>
      <sz val="10"/>
      <color rgb="FFFFFFFF"/>
      <name val="Cambria"/>
      <charset val="1"/>
    </font>
    <font>
      <sz val="10"/>
      <name val="Cambria"/>
      <charset val="1"/>
    </font>
    <font>
      <b/>
      <sz val="10"/>
      <name val="Cambria"/>
      <charset val="1"/>
    </font>
    <font>
      <i/>
      <sz val="10"/>
      <color rgb="FF888888"/>
      <name val="Cambria"/>
      <charset val="1"/>
    </font>
    <font>
      <b/>
      <sz val="22"/>
      <color rgb="FF1F3864"/>
      <name val="Calibri"/>
      <charset val="1"/>
    </font>
    <font>
      <b/>
      <sz val="14"/>
      <color rgb="FF1F3864"/>
      <name val="Calibri"/>
      <charset val="1"/>
    </font>
    <font>
      <b/>
      <sz val="11"/>
      <name val="Cambria"/>
      <charset val="1"/>
    </font>
    <font>
      <b/>
      <sz val="12"/>
      <color rgb="FF1F3864"/>
      <name val="Cambria"/>
      <charset val="1"/>
    </font>
    <font>
      <b/>
      <sz val="15"/>
      <color rgb="FFFFFFFF"/>
      <name val="Arial"/>
      <charset val="1"/>
    </font>
    <font>
      <sz val="11"/>
      <name val="Cambria"/>
      <charset val="1"/>
    </font>
    <font>
      <i/>
      <sz val="9"/>
      <color rgb="FFAAAAAA"/>
      <name val="Arial"/>
      <charset val="1"/>
    </font>
    <font>
      <b/>
      <sz val="11"/>
      <color rgb="FFFFFFFF"/>
      <name val="Arial"/>
      <charset val="1"/>
    </font>
    <font>
      <b/>
      <sz val="22"/>
      <color rgb="FFFFFFFF"/>
      <name val="Arial"/>
      <charset val="1"/>
    </font>
    <font>
      <b/>
      <sz val="11"/>
      <color rgb="FFBBFFCC"/>
      <name val="Arial"/>
      <charset val="1"/>
    </font>
    <font>
      <b/>
      <sz val="11"/>
      <color rgb="FFBBDDFF"/>
      <name val="Arial"/>
      <charset val="1"/>
    </font>
    <font>
      <b/>
      <sz val="11"/>
      <color rgb="FFFFDDAA"/>
      <name val="Arial"/>
      <charset val="1"/>
    </font>
    <font>
      <b/>
      <sz val="9"/>
      <color rgb="FFFFFFFF"/>
      <name val="Arial"/>
      <charset val="1"/>
    </font>
    <font>
      <sz val="10"/>
      <color rgb="FF111111"/>
      <name val="Arial"/>
      <charset val="1"/>
    </font>
    <font>
      <b/>
      <sz val="15"/>
      <color rgb="FFD4A017"/>
      <name val="Arial"/>
      <charset val="1"/>
    </font>
    <font>
      <sz val="10"/>
      <color rgb="FF333333"/>
      <name val="Arial"/>
      <charset val="1"/>
    </font>
    <font>
      <b/>
      <sz val="11"/>
      <color rgb="FF166534"/>
      <name val="Arial"/>
      <charset val="1"/>
    </font>
    <font>
      <b/>
      <sz val="11"/>
      <color rgb="FF1E3A5F"/>
      <name val="Arial"/>
      <charset val="1"/>
    </font>
    <font>
      <b/>
      <sz val="11"/>
      <color rgb="FF7C2D12"/>
      <name val="Arial"/>
      <charset val="1"/>
    </font>
    <font>
      <i/>
      <sz val="8"/>
      <color rgb="FF888888"/>
      <name val="Arial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b/>
      <sz val="20"/>
      <color rgb="FFFFFFFF"/>
      <name val="Arial"/>
      <charset val="1"/>
    </font>
    <font>
      <b/>
      <sz val="11"/>
      <color rgb="FFDDBBFF"/>
      <name val="Arial"/>
      <charset val="1"/>
    </font>
    <font>
      <b/>
      <sz val="18"/>
      <color rgb="FFFFFFFF"/>
      <name val="Calibri"/>
      <charset val="1"/>
    </font>
    <font>
      <b/>
      <sz val="12"/>
      <color rgb="FF1F3864"/>
      <name val="Calibri"/>
      <charset val="1"/>
    </font>
    <font>
      <b/>
      <sz val="12"/>
      <color rgb="FFFFFFFF"/>
      <name val="Arial"/>
      <charset val="1"/>
    </font>
    <font>
      <b/>
      <sz val="12"/>
      <color rgb="FFD4A017"/>
      <name val="Arial"/>
      <charset val="1"/>
    </font>
    <font>
      <sz val="8"/>
      <color rgb="FFFFFFFF"/>
      <name val="Cambria"/>
      <charset val="1"/>
    </font>
    <font>
      <sz val="10"/>
      <color rgb="FF111111"/>
      <name val="Arial"/>
      <family val="2"/>
      <charset val="1"/>
    </font>
    <font>
      <b/>
      <sz val="11"/>
      <color theme="1"/>
      <name val="Calibri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rgb="FF1F3864"/>
        <bgColor rgb="FF1E3A5F"/>
      </patternFill>
    </fill>
    <fill>
      <patternFill patternType="solid">
        <fgColor rgb="FF2E7D32"/>
        <bgColor rgb="FF166534"/>
      </patternFill>
    </fill>
    <fill>
      <patternFill patternType="solid">
        <fgColor rgb="FF1565C0"/>
        <bgColor rgb="FF1976D2"/>
      </patternFill>
    </fill>
    <fill>
      <patternFill patternType="solid">
        <fgColor rgb="FFF57C00"/>
        <bgColor rgb="FFDB7C0C"/>
      </patternFill>
    </fill>
    <fill>
      <patternFill patternType="solid">
        <fgColor rgb="FFF5F5F5"/>
        <bgColor rgb="FFF8FAFC"/>
      </patternFill>
    </fill>
    <fill>
      <patternFill patternType="solid">
        <fgColor rgb="FF7D3230"/>
        <bgColor rgb="FF7C2D12"/>
      </patternFill>
    </fill>
    <fill>
      <patternFill patternType="solid">
        <fgColor rgb="FF65C030"/>
        <bgColor rgb="FF97A136"/>
      </patternFill>
    </fill>
    <fill>
      <patternFill patternType="solid">
        <fgColor rgb="FF7C0030"/>
        <bgColor rgb="FF7C2D12"/>
      </patternFill>
    </fill>
    <fill>
      <patternFill patternType="solid">
        <fgColor rgb="FFD60030"/>
        <bgColor rgb="FFC8102E"/>
      </patternFill>
    </fill>
    <fill>
      <patternFill patternType="solid">
        <fgColor rgb="FF97A136"/>
        <bgColor rgb="FFBDBD30"/>
      </patternFill>
    </fill>
    <fill>
      <patternFill patternType="solid">
        <fgColor rgb="FFBDBD30"/>
        <bgColor rgb="FFD4A017"/>
      </patternFill>
    </fill>
    <fill>
      <patternFill patternType="darkGray">
        <fgColor rgb="FF2A2A31"/>
        <bgColor rgb="FF1E293B"/>
      </patternFill>
    </fill>
    <fill>
      <patternFill patternType="solid">
        <fgColor rgb="FF1C1C30"/>
        <bgColor rgb="FF1E293B"/>
      </patternFill>
    </fill>
    <fill>
      <patternFill patternType="solid">
        <fgColor rgb="FFE8EDF4"/>
        <bgColor rgb="FFF5F5F5"/>
      </patternFill>
    </fill>
    <fill>
      <patternFill patternType="solid">
        <fgColor rgb="FF0D1117"/>
        <bgColor rgb="FF111111"/>
      </patternFill>
    </fill>
    <fill>
      <patternFill patternType="solid">
        <fgColor rgb="FFC8102E"/>
        <bgColor rgb="FFB71C1C"/>
      </patternFill>
    </fill>
    <fill>
      <patternFill patternType="solid">
        <fgColor rgb="FF166534"/>
        <bgColor rgb="FF2E7D32"/>
      </patternFill>
    </fill>
    <fill>
      <patternFill patternType="solid">
        <fgColor rgb="FF1E3A5F"/>
        <bgColor rgb="FF1F3864"/>
      </patternFill>
    </fill>
    <fill>
      <patternFill patternType="solid">
        <fgColor rgb="FF7C2D12"/>
        <bgColor rgb="FF7D3230"/>
      </patternFill>
    </fill>
    <fill>
      <patternFill patternType="solid">
        <fgColor rgb="FFFFFFFF"/>
        <bgColor rgb="FFF8FAFC"/>
      </patternFill>
    </fill>
    <fill>
      <patternFill patternType="solid">
        <fgColor rgb="FF1E293B"/>
        <bgColor rgb="FF2A2A31"/>
      </patternFill>
    </fill>
    <fill>
      <patternFill patternType="solid">
        <fgColor rgb="FFDCFCE7"/>
        <bgColor rgb="FFF0FDF4"/>
      </patternFill>
    </fill>
    <fill>
      <patternFill patternType="solid">
        <fgColor rgb="FFF8FAFC"/>
        <bgColor rgb="FFF5F5F5"/>
      </patternFill>
    </fill>
    <fill>
      <patternFill patternType="solid">
        <fgColor rgb="FF4C1D95"/>
        <bgColor rgb="FF1F3864"/>
      </patternFill>
    </fill>
    <fill>
      <patternFill patternType="solid">
        <fgColor rgb="FFF8FAFC"/>
        <bgColor rgb="FFF8FAFC"/>
      </patternFill>
    </fill>
    <fill>
      <patternFill patternType="solid">
        <fgColor rgb="FFF0FDF4"/>
        <bgColor rgb="FFF0FDF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BDBEBB"/>
      </left>
      <right style="thin">
        <color rgb="FFBDBEBB"/>
      </right>
      <top style="thin">
        <color rgb="FFBDBEBB"/>
      </top>
      <bottom style="thin">
        <color rgb="FFBDBEBB"/>
      </bottom>
      <diagonal/>
    </border>
    <border>
      <left/>
      <right/>
      <top/>
      <bottom style="medium">
        <color rgb="FF1F3864"/>
      </bottom>
      <diagonal/>
    </border>
    <border>
      <left style="thin">
        <color rgb="FFAFA7A9"/>
      </left>
      <right style="thin">
        <color rgb="FFAFA7A9"/>
      </right>
      <top style="thin">
        <color rgb="FFAFA7A9"/>
      </top>
      <bottom style="thin">
        <color rgb="FFAFA7A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BDBEBB"/>
      </top>
      <bottom/>
      <diagonal/>
    </border>
    <border>
      <left/>
      <right style="thin">
        <color rgb="FFBDBEBB"/>
      </right>
      <top style="thin">
        <color rgb="FFBDBEBB"/>
      </top>
      <bottom/>
      <diagonal/>
    </border>
    <border>
      <left/>
      <right style="thin">
        <color rgb="FFBDBEBB"/>
      </right>
      <top style="thin">
        <color rgb="FFBDBEBB"/>
      </top>
      <bottom style="thin">
        <color rgb="FFBDBEBB"/>
      </bottom>
      <diagonal/>
    </border>
    <border>
      <left style="thin">
        <color rgb="FFBDBEBB"/>
      </left>
      <right/>
      <top/>
      <bottom style="thin">
        <color rgb="FFBDBEBB"/>
      </bottom>
      <diagonal/>
    </border>
    <border>
      <left/>
      <right/>
      <top/>
      <bottom style="thin">
        <color rgb="FFBDBEBB"/>
      </bottom>
      <diagonal/>
    </border>
    <border>
      <left/>
      <right style="thin">
        <color rgb="FFBDBEBB"/>
      </right>
      <top/>
      <bottom style="thin">
        <color rgb="FFBDBEBB"/>
      </bottom>
      <diagonal/>
    </border>
    <border>
      <left/>
      <right/>
      <top style="thin">
        <color rgb="FFBDBEBB"/>
      </top>
      <bottom style="thin">
        <color rgb="FFBDBEBB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9" fillId="2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15" fillId="0" borderId="3" xfId="0" applyFont="1" applyBorder="1" applyAlignment="1">
      <alignment horizontal="left" vertical="center"/>
    </xf>
    <xf numFmtId="164" fontId="0" fillId="0" borderId="3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16" fillId="15" borderId="3" xfId="0" applyFont="1" applyFill="1" applyBorder="1" applyAlignment="1">
      <alignment horizontal="left" vertical="center"/>
    </xf>
    <xf numFmtId="164" fontId="16" fillId="15" borderId="3" xfId="0" applyNumberFormat="1" applyFont="1" applyFill="1" applyBorder="1" applyAlignment="1">
      <alignment horizontal="center" vertical="center"/>
    </xf>
    <xf numFmtId="166" fontId="16" fillId="15" borderId="3" xfId="0" applyNumberFormat="1" applyFont="1" applyFill="1" applyBorder="1" applyAlignment="1">
      <alignment horizontal="center" vertical="center"/>
    </xf>
    <xf numFmtId="165" fontId="16" fillId="15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0" fillId="0" borderId="3" xfId="0" applyNumberFormat="1" applyBorder="1"/>
    <xf numFmtId="1" fontId="0" fillId="0" borderId="3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18" fillId="0" borderId="0" xfId="0" applyFont="1"/>
    <xf numFmtId="164" fontId="18" fillId="0" borderId="0" xfId="0" applyNumberFormat="1" applyFont="1"/>
    <xf numFmtId="0" fontId="0" fillId="21" borderId="0" xfId="0" applyFill="1"/>
    <xf numFmtId="0" fontId="25" fillId="22" borderId="4" xfId="0" applyFont="1" applyFill="1" applyBorder="1" applyAlignment="1">
      <alignment horizontal="center" vertical="center"/>
    </xf>
    <xf numFmtId="0" fontId="26" fillId="23" borderId="4" xfId="0" applyFont="1" applyFill="1" applyBorder="1" applyAlignment="1">
      <alignment horizontal="center" vertical="center"/>
    </xf>
    <xf numFmtId="0" fontId="26" fillId="23" borderId="4" xfId="0" applyFont="1" applyFill="1" applyBorder="1" applyAlignment="1">
      <alignment horizontal="left" vertical="center"/>
    </xf>
    <xf numFmtId="3" fontId="26" fillId="23" borderId="4" xfId="0" applyNumberFormat="1" applyFont="1" applyFill="1" applyBorder="1" applyAlignment="1">
      <alignment horizontal="left" vertical="center"/>
    </xf>
    <xf numFmtId="9" fontId="26" fillId="23" borderId="4" xfId="0" applyNumberFormat="1" applyFont="1" applyFill="1" applyBorder="1" applyAlignment="1">
      <alignment horizontal="left" vertical="center"/>
    </xf>
    <xf numFmtId="167" fontId="26" fillId="23" borderId="4" xfId="0" applyNumberFormat="1" applyFont="1" applyFill="1" applyBorder="1" applyAlignment="1">
      <alignment horizontal="left" vertical="center"/>
    </xf>
    <xf numFmtId="0" fontId="26" fillId="23" borderId="4" xfId="0" applyFont="1" applyFill="1" applyBorder="1" applyAlignment="1">
      <alignment horizontal="left" vertical="center" wrapText="1"/>
    </xf>
    <xf numFmtId="168" fontId="26" fillId="23" borderId="4" xfId="0" applyNumberFormat="1" applyFont="1" applyFill="1" applyBorder="1" applyAlignment="1">
      <alignment horizontal="left" vertical="center"/>
    </xf>
    <xf numFmtId="3" fontId="27" fillId="16" borderId="4" xfId="0" applyNumberFormat="1" applyFont="1" applyFill="1" applyBorder="1" applyAlignment="1">
      <alignment horizontal="right" vertical="center"/>
    </xf>
    <xf numFmtId="0" fontId="0" fillId="16" borderId="4" xfId="0" applyFill="1" applyBorder="1"/>
    <xf numFmtId="0" fontId="0" fillId="16" borderId="4" xfId="0" applyFill="1" applyBorder="1" applyAlignment="1">
      <alignment vertical="top" wrapText="1"/>
    </xf>
    <xf numFmtId="3" fontId="29" fillId="24" borderId="0" xfId="0" applyNumberFormat="1" applyFont="1" applyFill="1" applyAlignment="1">
      <alignment horizontal="right" vertical="center"/>
    </xf>
    <xf numFmtId="0" fontId="0" fillId="24" borderId="0" xfId="0" applyFill="1"/>
    <xf numFmtId="0" fontId="0" fillId="24" borderId="0" xfId="0" applyFill="1" applyAlignment="1">
      <alignment vertical="top" wrapText="1"/>
    </xf>
    <xf numFmtId="3" fontId="30" fillId="24" borderId="0" xfId="0" applyNumberFormat="1" applyFont="1" applyFill="1" applyAlignment="1">
      <alignment horizontal="right" vertical="center"/>
    </xf>
    <xf numFmtId="3" fontId="31" fillId="24" borderId="0" xfId="0" applyNumberFormat="1" applyFont="1" applyFill="1" applyAlignment="1">
      <alignment horizontal="right" vertical="center"/>
    </xf>
    <xf numFmtId="0" fontId="0" fillId="0" borderId="0" xfId="0" applyAlignment="1">
      <alignment vertical="top" wrapText="1"/>
    </xf>
    <xf numFmtId="2" fontId="0" fillId="0" borderId="0" xfId="0" applyNumberFormat="1"/>
    <xf numFmtId="2" fontId="0" fillId="21" borderId="0" xfId="0" applyNumberFormat="1" applyFill="1"/>
    <xf numFmtId="2" fontId="0" fillId="16" borderId="4" xfId="0" applyNumberFormat="1" applyFill="1" applyBorder="1"/>
    <xf numFmtId="2" fontId="0" fillId="24" borderId="0" xfId="0" applyNumberFormat="1" applyFill="1"/>
    <xf numFmtId="0" fontId="38" fillId="0" borderId="0" xfId="0" applyFont="1" applyAlignment="1">
      <alignment horizontal="left"/>
    </xf>
    <xf numFmtId="164" fontId="38" fillId="0" borderId="0" xfId="0" applyNumberFormat="1" applyFont="1" applyAlignment="1">
      <alignment horizontal="left"/>
    </xf>
    <xf numFmtId="0" fontId="25" fillId="22" borderId="4" xfId="0" applyFont="1" applyFill="1" applyBorder="1" applyAlignment="1">
      <alignment horizontal="center" vertical="center" wrapText="1"/>
    </xf>
    <xf numFmtId="2" fontId="25" fillId="22" borderId="4" xfId="0" applyNumberFormat="1" applyFont="1" applyFill="1" applyBorder="1" applyAlignment="1">
      <alignment horizontal="center" vertical="center" wrapText="1"/>
    </xf>
    <xf numFmtId="0" fontId="41" fillId="0" borderId="0" xfId="0" applyFont="1"/>
    <xf numFmtId="169" fontId="25" fillId="22" borderId="4" xfId="0" applyNumberFormat="1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right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6" fillId="26" borderId="4" xfId="0" applyFont="1" applyFill="1" applyBorder="1" applyAlignment="1">
      <alignment horizontal="center" vertical="center"/>
    </xf>
    <xf numFmtId="0" fontId="26" fillId="26" borderId="4" xfId="0" applyFont="1" applyFill="1" applyBorder="1" applyAlignment="1">
      <alignment horizontal="left" vertical="center"/>
    </xf>
    <xf numFmtId="0" fontId="26" fillId="26" borderId="4" xfId="0" applyFont="1" applyFill="1" applyBorder="1" applyAlignment="1">
      <alignment horizontal="left" vertical="center" wrapText="1"/>
    </xf>
    <xf numFmtId="3" fontId="26" fillId="26" borderId="4" xfId="0" applyNumberFormat="1" applyFont="1" applyFill="1" applyBorder="1" applyAlignment="1">
      <alignment horizontal="right" vertical="center"/>
    </xf>
    <xf numFmtId="169" fontId="26" fillId="26" borderId="4" xfId="0" applyNumberFormat="1" applyFont="1" applyFill="1" applyBorder="1" applyAlignment="1">
      <alignment horizontal="center" vertical="center"/>
    </xf>
    <xf numFmtId="165" fontId="26" fillId="27" borderId="4" xfId="0" applyNumberFormat="1" applyFont="1" applyFill="1" applyBorder="1" applyAlignment="1">
      <alignment horizontal="right" vertical="center"/>
    </xf>
    <xf numFmtId="0" fontId="25" fillId="26" borderId="4" xfId="0" applyFont="1" applyFill="1" applyBorder="1" applyAlignment="1">
      <alignment horizontal="center" vertical="center"/>
    </xf>
    <xf numFmtId="9" fontId="26" fillId="26" borderId="4" xfId="0" applyNumberFormat="1" applyFont="1" applyFill="1" applyBorder="1" applyAlignment="1">
      <alignment horizontal="center" vertical="center"/>
    </xf>
    <xf numFmtId="0" fontId="26" fillId="26" borderId="4" xfId="0" applyFont="1" applyFill="1" applyBorder="1" applyAlignment="1">
      <alignment horizontal="right" vertical="center"/>
    </xf>
    <xf numFmtId="167" fontId="26" fillId="26" borderId="4" xfId="0" applyNumberFormat="1" applyFont="1" applyFill="1" applyBorder="1" applyAlignment="1">
      <alignment horizontal="center" vertical="center"/>
    </xf>
    <xf numFmtId="0" fontId="42" fillId="26" borderId="4" xfId="0" applyFont="1" applyFill="1" applyBorder="1" applyAlignment="1">
      <alignment horizontal="left" vertical="center" wrapText="1"/>
    </xf>
    <xf numFmtId="0" fontId="42" fillId="26" borderId="4" xfId="0" applyFont="1" applyFill="1" applyBorder="1" applyAlignment="1">
      <alignment horizontal="center" vertical="center"/>
    </xf>
    <xf numFmtId="0" fontId="42" fillId="26" borderId="4" xfId="0" applyFont="1" applyFill="1" applyBorder="1" applyAlignment="1">
      <alignment horizontal="left" vertical="center"/>
    </xf>
    <xf numFmtId="3" fontId="42" fillId="26" borderId="4" xfId="0" applyNumberFormat="1" applyFont="1" applyFill="1" applyBorder="1" applyAlignment="1">
      <alignment horizontal="right" vertical="center"/>
    </xf>
    <xf numFmtId="169" fontId="42" fillId="26" borderId="4" xfId="0" applyNumberFormat="1" applyFont="1" applyFill="1" applyBorder="1" applyAlignment="1">
      <alignment horizontal="center" vertical="center"/>
    </xf>
    <xf numFmtId="0" fontId="0" fillId="26" borderId="4" xfId="0" applyFill="1" applyBorder="1" applyAlignment="1">
      <alignment vertical="center" wrapText="1"/>
    </xf>
    <xf numFmtId="0" fontId="26" fillId="26" borderId="0" xfId="0" applyFont="1" applyFill="1" applyAlignment="1">
      <alignment horizontal="left" vertical="center" wrapText="1"/>
    </xf>
    <xf numFmtId="3" fontId="0" fillId="0" borderId="0" xfId="0" applyNumberFormat="1"/>
    <xf numFmtId="165" fontId="0" fillId="0" borderId="0" xfId="0" applyNumberFormat="1"/>
    <xf numFmtId="9" fontId="0" fillId="0" borderId="0" xfId="0" applyNumberFormat="1"/>
    <xf numFmtId="3" fontId="26" fillId="26" borderId="4" xfId="0" applyNumberFormat="1" applyFont="1" applyFill="1" applyBorder="1" applyAlignment="1">
      <alignment horizontal="left" vertical="center"/>
    </xf>
    <xf numFmtId="3" fontId="43" fillId="0" borderId="0" xfId="0" applyNumberFormat="1" applyFont="1"/>
    <xf numFmtId="3" fontId="26" fillId="28" borderId="4" xfId="0" applyNumberFormat="1" applyFont="1" applyFill="1" applyBorder="1" applyAlignment="1">
      <alignment horizontal="right" vertical="center"/>
    </xf>
    <xf numFmtId="3" fontId="43" fillId="28" borderId="0" xfId="0" applyNumberFormat="1" applyFont="1" applyFill="1"/>
    <xf numFmtId="0" fontId="19" fillId="16" borderId="0" xfId="0" applyFont="1" applyFill="1" applyAlignment="1">
      <alignment horizontal="left" vertical="center"/>
    </xf>
    <xf numFmtId="3" fontId="40" fillId="20" borderId="0" xfId="0" applyNumberFormat="1" applyFont="1" applyFill="1" applyAlignment="1">
      <alignment horizontal="right" vertical="center"/>
    </xf>
    <xf numFmtId="1" fontId="40" fillId="19" borderId="0" xfId="0" applyNumberFormat="1" applyFont="1" applyFill="1" applyAlignment="1">
      <alignment horizontal="right" vertical="center"/>
    </xf>
    <xf numFmtId="0" fontId="39" fillId="16" borderId="0" xfId="0" applyFont="1" applyFill="1" applyAlignment="1">
      <alignment horizontal="center" vertical="center"/>
    </xf>
    <xf numFmtId="2" fontId="25" fillId="19" borderId="0" xfId="0" applyNumberFormat="1" applyFont="1" applyFill="1" applyAlignment="1">
      <alignment horizontal="left" vertical="center" indent="1"/>
    </xf>
    <xf numFmtId="0" fontId="25" fillId="20" borderId="0" xfId="0" applyFont="1" applyFill="1" applyAlignment="1">
      <alignment horizontal="left" vertical="center" indent="1"/>
    </xf>
    <xf numFmtId="0" fontId="25" fillId="19" borderId="0" xfId="0" applyFont="1" applyFill="1" applyAlignment="1">
      <alignment horizontal="left" vertical="center" indent="1"/>
    </xf>
    <xf numFmtId="0" fontId="25" fillId="18" borderId="0" xfId="0" applyFont="1" applyFill="1" applyAlignment="1">
      <alignment horizontal="left" vertical="center" indent="1"/>
    </xf>
    <xf numFmtId="3" fontId="40" fillId="19" borderId="0" xfId="0" applyNumberFormat="1" applyFont="1" applyFill="1" applyAlignment="1">
      <alignment horizontal="right" vertical="center"/>
    </xf>
    <xf numFmtId="3" fontId="40" fillId="18" borderId="0" xfId="0" applyNumberFormat="1" applyFont="1" applyFill="1" applyAlignment="1">
      <alignment horizontal="right" vertical="center"/>
    </xf>
    <xf numFmtId="0" fontId="12" fillId="0" borderId="0" xfId="0" applyFont="1" applyAlignment="1">
      <alignment horizontal="center"/>
    </xf>
    <xf numFmtId="3" fontId="0" fillId="0" borderId="1" xfId="0" applyNumberFormat="1" applyBorder="1" applyAlignment="1">
      <alignment horizontal="right"/>
    </xf>
    <xf numFmtId="0" fontId="9" fillId="2" borderId="0" xfId="0" applyFont="1" applyFill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0" fillId="16" borderId="4" xfId="0" applyFont="1" applyFill="1" applyBorder="1" applyAlignment="1">
      <alignment horizontal="left" vertical="center" indent="1"/>
    </xf>
    <xf numFmtId="0" fontId="20" fillId="20" borderId="4" xfId="0" applyFont="1" applyFill="1" applyBorder="1" applyAlignment="1">
      <alignment horizontal="left" vertical="center" indent="1"/>
    </xf>
    <xf numFmtId="1" fontId="23" fillId="19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8" fillId="24" borderId="0" xfId="0" applyFont="1" applyFill="1" applyAlignment="1">
      <alignment horizontal="left" vertical="center" indent="2"/>
    </xf>
    <xf numFmtId="0" fontId="17" fillId="16" borderId="0" xfId="0" applyFont="1" applyFill="1" applyAlignment="1">
      <alignment horizontal="center" vertical="center"/>
    </xf>
    <xf numFmtId="3" fontId="21" fillId="19" borderId="0" xfId="0" applyNumberFormat="1" applyFont="1" applyFill="1" applyAlignment="1">
      <alignment horizontal="center" vertical="center"/>
    </xf>
    <xf numFmtId="0" fontId="20" fillId="20" borderId="0" xfId="0" applyFont="1" applyFill="1" applyAlignment="1">
      <alignment horizontal="center" vertical="center"/>
    </xf>
    <xf numFmtId="0" fontId="19" fillId="16" borderId="0" xfId="0" applyFont="1" applyFill="1" applyAlignment="1">
      <alignment horizontal="center" vertical="center"/>
    </xf>
    <xf numFmtId="3" fontId="21" fillId="20" borderId="0" xfId="0" applyNumberFormat="1" applyFont="1" applyFill="1" applyAlignment="1">
      <alignment horizontal="center" vertical="center"/>
    </xf>
    <xf numFmtId="0" fontId="20" fillId="19" borderId="0" xfId="0" applyFont="1" applyFill="1" applyAlignment="1">
      <alignment horizontal="center" vertical="center"/>
    </xf>
    <xf numFmtId="3" fontId="21" fillId="18" borderId="0" xfId="0" applyNumberFormat="1" applyFont="1" applyFill="1" applyAlignment="1">
      <alignment horizontal="center" vertical="center"/>
    </xf>
    <xf numFmtId="1" fontId="22" fillId="18" borderId="0" xfId="0" applyNumberFormat="1" applyFont="1" applyFill="1" applyAlignment="1">
      <alignment horizontal="center" vertical="center"/>
    </xf>
    <xf numFmtId="0" fontId="20" fillId="18" borderId="4" xfId="0" applyFont="1" applyFill="1" applyBorder="1" applyAlignment="1">
      <alignment horizontal="left" vertical="center" indent="1"/>
    </xf>
    <xf numFmtId="1" fontId="24" fillId="20" borderId="0" xfId="0" applyNumberFormat="1" applyFont="1" applyFill="1" applyAlignment="1">
      <alignment horizontal="center" vertical="center"/>
    </xf>
    <xf numFmtId="0" fontId="20" fillId="19" borderId="4" xfId="0" applyFont="1" applyFill="1" applyBorder="1" applyAlignment="1">
      <alignment horizontal="left" vertical="center" indent="1"/>
    </xf>
    <xf numFmtId="0" fontId="20" fillId="18" borderId="0" xfId="0" applyFont="1" applyFill="1" applyAlignment="1">
      <alignment horizontal="center" vertical="center"/>
    </xf>
    <xf numFmtId="3" fontId="35" fillId="25" borderId="0" xfId="0" applyNumberFormat="1" applyFont="1" applyFill="1" applyAlignment="1">
      <alignment horizontal="center" vertical="center"/>
    </xf>
    <xf numFmtId="3" fontId="35" fillId="18" borderId="0" xfId="0" applyNumberFormat="1" applyFont="1" applyFill="1" applyAlignment="1">
      <alignment horizontal="center" vertical="center"/>
    </xf>
    <xf numFmtId="3" fontId="35" fillId="19" borderId="0" xfId="0" applyNumberFormat="1" applyFont="1" applyFill="1" applyAlignment="1">
      <alignment horizontal="center" vertical="center"/>
    </xf>
    <xf numFmtId="0" fontId="33" fillId="16" borderId="0" xfId="0" applyFont="1" applyFill="1" applyAlignment="1">
      <alignment horizontal="center" vertical="center"/>
    </xf>
    <xf numFmtId="0" fontId="34" fillId="18" borderId="0" xfId="0" applyFont="1" applyFill="1" applyAlignment="1">
      <alignment horizontal="center" vertical="center"/>
    </xf>
    <xf numFmtId="0" fontId="34" fillId="25" borderId="0" xfId="0" applyFont="1" applyFill="1" applyAlignment="1">
      <alignment horizontal="center" vertical="center"/>
    </xf>
    <xf numFmtId="3" fontId="35" fillId="20" borderId="0" xfId="0" applyNumberFormat="1" applyFont="1" applyFill="1" applyAlignment="1">
      <alignment horizontal="center" vertical="center"/>
    </xf>
    <xf numFmtId="1" fontId="36" fillId="25" borderId="0" xfId="0" applyNumberFormat="1" applyFont="1" applyFill="1" applyAlignment="1">
      <alignment horizontal="center" vertical="center"/>
    </xf>
    <xf numFmtId="0" fontId="34" fillId="19" borderId="0" xfId="0" applyFont="1" applyFill="1" applyAlignment="1">
      <alignment horizontal="center" vertical="center"/>
    </xf>
    <xf numFmtId="0" fontId="34" fillId="20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0" fillId="0" borderId="0" xfId="0" applyAlignment="1"/>
    <xf numFmtId="0" fontId="0" fillId="0" borderId="11" xfId="0" applyBorder="1" applyAlignment="1"/>
    <xf numFmtId="0" fontId="0" fillId="0" borderId="7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8" fillId="0" borderId="2" xfId="0" applyFont="1" applyBorder="1" applyAlignment="1"/>
    <xf numFmtId="0" fontId="0" fillId="0" borderId="2" xfId="0" applyBorder="1" applyAlignment="1"/>
    <xf numFmtId="0" fontId="11" fillId="7" borderId="1" xfId="0" applyFont="1" applyFill="1" applyBorder="1" applyAlignment="1"/>
    <xf numFmtId="0" fontId="11" fillId="8" borderId="1" xfId="0" applyFont="1" applyFill="1" applyBorder="1" applyAlignment="1"/>
    <xf numFmtId="0" fontId="11" fillId="9" borderId="1" xfId="0" applyFont="1" applyFill="1" applyBorder="1" applyAlignment="1"/>
    <xf numFmtId="0" fontId="11" fillId="10" borderId="1" xfId="0" applyFont="1" applyFill="1" applyBorder="1" applyAlignment="1"/>
    <xf numFmtId="0" fontId="11" fillId="11" borderId="1" xfId="0" applyFont="1" applyFill="1" applyBorder="1" applyAlignment="1"/>
    <xf numFmtId="0" fontId="11" fillId="12" borderId="1" xfId="0" applyFont="1" applyFill="1" applyBorder="1" applyAlignment="1"/>
    <xf numFmtId="0" fontId="11" fillId="13" borderId="1" xfId="0" applyFont="1" applyFill="1" applyBorder="1" applyAlignment="1"/>
    <xf numFmtId="0" fontId="11" fillId="14" borderId="1" xfId="0" applyFont="1" applyFill="1" applyBorder="1" applyAlignment="1"/>
    <xf numFmtId="0" fontId="13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4" fillId="0" borderId="2" xfId="0" applyFont="1" applyBorder="1" applyAlignment="1"/>
    <xf numFmtId="0" fontId="12" fillId="0" borderId="0" xfId="0" applyFont="1" applyAlignment="1"/>
    <xf numFmtId="0" fontId="0" fillId="17" borderId="0" xfId="0" applyFill="1" applyAlignment="1"/>
    <xf numFmtId="0" fontId="0" fillId="0" borderId="12" xfId="0" applyBorder="1" applyAlignment="1"/>
    <xf numFmtId="0" fontId="0" fillId="0" borderId="13" xfId="0" applyBorder="1" applyAlignment="1"/>
    <xf numFmtId="2" fontId="0" fillId="0" borderId="0" xfId="0" applyNumberFormat="1" applyAlignment="1"/>
  </cellXfs>
  <cellStyles count="1">
    <cellStyle name="Standard" xfId="0" builtinId="0"/>
  </cellStyles>
  <dxfs count="30">
    <dxf>
      <font>
        <b/>
        <color rgb="FFFFFFFF"/>
      </font>
      <fill>
        <patternFill>
          <bgColor rgb="FFB71C1C"/>
        </patternFill>
      </fill>
    </dxf>
    <dxf>
      <font>
        <b/>
        <color rgb="FFFFFFFF"/>
      </font>
      <fill>
        <patternFill>
          <bgColor rgb="FFC62828"/>
        </patternFill>
      </fill>
    </dxf>
    <dxf>
      <font>
        <b/>
        <color rgb="FFFFFFFF"/>
      </font>
      <fill>
        <patternFill>
          <bgColor rgb="FFBDBDBD"/>
        </patternFill>
      </fill>
    </dxf>
    <dxf>
      <font>
        <b/>
        <color rgb="FFFFFFFF"/>
      </font>
      <fill>
        <patternFill>
          <bgColor rgb="FF9E9E9E"/>
        </patternFill>
      </fill>
    </dxf>
    <dxf>
      <font>
        <b/>
        <color rgb="FF000000"/>
      </font>
      <fill>
        <patternFill>
          <bgColor rgb="FFFFD600"/>
        </patternFill>
      </fill>
    </dxf>
    <dxf>
      <font>
        <b/>
        <color rgb="FF000000"/>
      </font>
      <fill>
        <patternFill>
          <bgColor rgb="FFFFD600"/>
        </patternFill>
      </fill>
    </dxf>
    <dxf>
      <font>
        <b/>
        <color rgb="FFFFFFFF"/>
      </font>
      <fill>
        <patternFill>
          <bgColor rgb="FFF57C00"/>
        </patternFill>
      </fill>
    </dxf>
    <dxf>
      <font>
        <b/>
        <color rgb="FFFFFFFF"/>
      </font>
      <fill>
        <patternFill>
          <bgColor rgb="FF1976D2"/>
        </patternFill>
      </fill>
    </dxf>
    <dxf>
      <font>
        <b/>
        <color rgb="FFFFFFFF"/>
      </font>
      <fill>
        <patternFill>
          <bgColor rgb="FF1565C0"/>
        </patternFill>
      </fill>
    </dxf>
    <dxf>
      <font>
        <b/>
        <color rgb="FFFFFFFF"/>
      </font>
      <fill>
        <patternFill>
          <bgColor rgb="FF2E7D32"/>
        </patternFill>
      </fill>
    </dxf>
    <dxf>
      <font>
        <b/>
        <color rgb="FFFFFFFF"/>
      </font>
      <fill>
        <patternFill>
          <bgColor rgb="FFB71C1C"/>
        </patternFill>
      </fill>
    </dxf>
    <dxf>
      <font>
        <b/>
        <color rgb="FFFFFFFF"/>
      </font>
      <fill>
        <patternFill>
          <bgColor rgb="FFC62828"/>
        </patternFill>
      </fill>
    </dxf>
    <dxf>
      <font>
        <b/>
        <color rgb="FFFFFFFF"/>
      </font>
      <fill>
        <patternFill>
          <bgColor rgb="FFBDBDBD"/>
        </patternFill>
      </fill>
    </dxf>
    <dxf>
      <font>
        <b/>
        <color rgb="FFFFFFFF"/>
      </font>
      <fill>
        <patternFill>
          <bgColor rgb="FF9E9E9E"/>
        </patternFill>
      </fill>
    </dxf>
    <dxf>
      <font>
        <b/>
        <color rgb="FF000000"/>
      </font>
      <fill>
        <patternFill>
          <bgColor rgb="FFFFD600"/>
        </patternFill>
      </fill>
    </dxf>
    <dxf>
      <font>
        <b/>
        <color rgb="FF000000"/>
      </font>
      <fill>
        <patternFill>
          <bgColor rgb="FFFFD600"/>
        </patternFill>
      </fill>
    </dxf>
    <dxf>
      <font>
        <b/>
        <color rgb="FFFFFFFF"/>
      </font>
      <fill>
        <patternFill>
          <bgColor rgb="FFF57C00"/>
        </patternFill>
      </fill>
    </dxf>
    <dxf>
      <font>
        <b/>
        <color rgb="FFFFFFFF"/>
      </font>
      <fill>
        <patternFill>
          <bgColor rgb="FF1976D2"/>
        </patternFill>
      </fill>
    </dxf>
    <dxf>
      <font>
        <b/>
        <color rgb="FFFFFFFF"/>
      </font>
      <fill>
        <patternFill>
          <bgColor rgb="FF1565C0"/>
        </patternFill>
      </fill>
    </dxf>
    <dxf>
      <font>
        <b/>
        <color rgb="FFFFFFFF"/>
      </font>
      <fill>
        <patternFill>
          <bgColor rgb="FF2E7D32"/>
        </patternFill>
      </fill>
    </dxf>
    <dxf>
      <font>
        <b/>
        <color rgb="FFFFFFFF"/>
      </font>
      <fill>
        <patternFill>
          <bgColor rgb="FFB71C1C"/>
        </patternFill>
      </fill>
    </dxf>
    <dxf>
      <font>
        <b/>
        <color rgb="FFFFFFFF"/>
      </font>
      <fill>
        <patternFill>
          <bgColor rgb="FFC62828"/>
        </patternFill>
      </fill>
    </dxf>
    <dxf>
      <font>
        <b/>
        <color rgb="FFFFFFFF"/>
      </font>
      <fill>
        <patternFill>
          <bgColor rgb="FFBDBDBD"/>
        </patternFill>
      </fill>
    </dxf>
    <dxf>
      <font>
        <b/>
        <color rgb="FFFFFFFF"/>
      </font>
      <fill>
        <patternFill>
          <bgColor rgb="FF9E9E9E"/>
        </patternFill>
      </fill>
    </dxf>
    <dxf>
      <font>
        <b/>
        <color rgb="FF000000"/>
      </font>
      <fill>
        <patternFill>
          <bgColor rgb="FFFFD600"/>
        </patternFill>
      </fill>
    </dxf>
    <dxf>
      <font>
        <b/>
        <color rgb="FF000000"/>
      </font>
      <fill>
        <patternFill>
          <bgColor rgb="FFFFD600"/>
        </patternFill>
      </fill>
    </dxf>
    <dxf>
      <font>
        <b/>
        <color rgb="FFFFFFFF"/>
      </font>
      <fill>
        <patternFill>
          <bgColor rgb="FFF57C00"/>
        </patternFill>
      </fill>
    </dxf>
    <dxf>
      <font>
        <b/>
        <color rgb="FFFFFFFF"/>
      </font>
      <fill>
        <patternFill>
          <bgColor rgb="FF1976D2"/>
        </patternFill>
      </fill>
    </dxf>
    <dxf>
      <font>
        <b/>
        <color rgb="FFFFFFFF"/>
      </font>
      <fill>
        <patternFill>
          <bgColor rgb="FF1565C0"/>
        </patternFill>
      </fill>
    </dxf>
    <dxf>
      <font>
        <b/>
        <color rgb="FFFFFFFF"/>
      </font>
      <fill>
        <patternFill>
          <bgColor rgb="FF2E7D32"/>
        </patternFill>
      </fill>
    </dxf>
  </dxfs>
  <tableStyles count="1" defaultTableStyle="TableStyleMedium2" defaultPivotStyle="PivotStyleLight16">
    <tableStyle name="Invisible" pivot="0" table="0" count="0" xr9:uid="{5800EDA7-48B5-4161-BA35-BDEFFE546E75}"/>
  </tableStyles>
  <colors>
    <indexedColors>
      <rgbColor rgb="FF000000"/>
      <rgbColor rgb="FFFFFFFF"/>
      <rgbColor rgb="FFD60030"/>
      <rgbColor rgb="FF65C030"/>
      <rgbColor rgb="FF2E5496"/>
      <rgbColor rgb="FFF5F5F5"/>
      <rgbColor rgb="FFDC2626"/>
      <rgbColor rgb="FFB3B3B3"/>
      <rgbColor rgb="FF7C0030"/>
      <rgbColor rgb="FF166534"/>
      <rgbColor rgb="FF1C1C30"/>
      <rgbColor rgb="FF97A136"/>
      <rgbColor rgb="FFC8102E"/>
      <rgbColor rgb="FF0891B2"/>
      <rgbColor rgb="FFBDBEBB"/>
      <rgbColor rgb="FF888888"/>
      <rgbColor rgb="FFA5A6BC"/>
      <rgbColor rgb="FF7D3230"/>
      <rgbColor rgb="FFF0FDF4"/>
      <rgbColor rgb="FFDCFCE7"/>
      <rgbColor rgb="FF1E3A5F"/>
      <rgbColor rgb="FFDB7C0C"/>
      <rgbColor rgb="FF1565C0"/>
      <rgbColor rgb="FFBBDDFF"/>
      <rgbColor rgb="FF111111"/>
      <rgbColor rgb="FF696272"/>
      <rgbColor rgb="FFF8FAFC"/>
      <rgbColor rgb="FF555555"/>
      <rgbColor rgb="FFB71C1C"/>
      <rgbColor rgb="FFC00000"/>
      <rgbColor rgb="FF1976D2"/>
      <rgbColor rgb="FF7C3AED"/>
      <rgbColor rgb="FF2E7D32"/>
      <rgbColor rgb="FFE8EDF4"/>
      <rgbColor rgb="FFBBFFCC"/>
      <rgbColor rgb="FFFEF2F2"/>
      <rgbColor rgb="FFBDBDBD"/>
      <rgbColor rgb="FFAFA7A9"/>
      <rgbColor rgb="FFDDBBFF"/>
      <rgbColor rgb="FFFFDDAA"/>
      <rgbColor rgb="FF2563EB"/>
      <rgbColor rgb="FF4B83B6"/>
      <rgbColor rgb="FFBDBD30"/>
      <rgbColor rgb="FFFFD600"/>
      <rgbColor rgb="FFD4A017"/>
      <rgbColor rgb="FFF57C00"/>
      <rgbColor rgb="FF6C7081"/>
      <rgbColor rgb="FF9E9E9E"/>
      <rgbColor rgb="FF1F3864"/>
      <rgbColor rgb="FF16A34A"/>
      <rgbColor rgb="FF0D1117"/>
      <rgbColor rgb="FF1E293B"/>
      <rgbColor rgb="FF7C2D12"/>
      <rgbColor rgb="FFC42B2B"/>
      <rgbColor rgb="FF4C1D95"/>
      <rgbColor rgb="FF2A2A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CH" sz="1800" b="1" strike="noStrike" spc="-1">
                <a:solidFill>
                  <a:srgbClr val="000000"/>
                </a:solidFill>
                <a:latin typeface="Calibri"/>
              </a:rPr>
              <a:t>Pipeline — Status (Anzahl)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_data!$C$1</c:f>
              <c:strCache>
                <c:ptCount val="1"/>
                <c:pt idx="0">
                  <c:v>Anzahl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2E7D3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EF1-4238-A3F4-109EB5880562}"/>
              </c:ext>
            </c:extLst>
          </c:dPt>
          <c:dPt>
            <c:idx val="1"/>
            <c:bubble3D val="0"/>
            <c:spPr>
              <a:solidFill>
                <a:srgbClr val="1565C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EF1-4238-A3F4-109EB5880562}"/>
              </c:ext>
            </c:extLst>
          </c:dPt>
          <c:dPt>
            <c:idx val="2"/>
            <c:bubble3D val="0"/>
            <c:spPr>
              <a:solidFill>
                <a:srgbClr val="1976D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EF1-4238-A3F4-109EB5880562}"/>
              </c:ext>
            </c:extLst>
          </c:dPt>
          <c:dPt>
            <c:idx val="3"/>
            <c:bubble3D val="0"/>
            <c:spPr>
              <a:solidFill>
                <a:srgbClr val="F57C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EF1-4238-A3F4-109EB5880562}"/>
              </c:ext>
            </c:extLst>
          </c:dPt>
          <c:dPt>
            <c:idx val="4"/>
            <c:bubble3D val="0"/>
            <c:spPr>
              <a:solidFill>
                <a:srgbClr val="FFD6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EF1-4238-A3F4-109EB5880562}"/>
              </c:ext>
            </c:extLst>
          </c:dPt>
          <c:dPt>
            <c:idx val="5"/>
            <c:bubble3D val="0"/>
            <c:spPr>
              <a:solidFill>
                <a:srgbClr val="FFD6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EF1-4238-A3F4-109EB5880562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EF1-4238-A3F4-109EB5880562}"/>
              </c:ext>
            </c:extLst>
          </c:dPt>
          <c:dPt>
            <c:idx val="7"/>
            <c:bubble3D val="0"/>
            <c:spPr>
              <a:solidFill>
                <a:srgbClr val="BDBDB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EF1-4238-A3F4-109EB5880562}"/>
              </c:ext>
            </c:extLst>
          </c:dPt>
          <c:dPt>
            <c:idx val="8"/>
            <c:bubble3D val="0"/>
            <c:spPr>
              <a:solidFill>
                <a:srgbClr val="C6282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EF1-4238-A3F4-109EB5880562}"/>
              </c:ext>
            </c:extLst>
          </c:dPt>
          <c:dPt>
            <c:idx val="9"/>
            <c:bubble3D val="0"/>
            <c:spPr>
              <a:solidFill>
                <a:srgbClr val="B71C1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EF1-4238-A3F4-109EB5880562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EF1-4238-A3F4-109EB5880562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EF1-4238-A3F4-109EB5880562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1EF1-4238-A3F4-109EB5880562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1EF1-4238-A3F4-109EB5880562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1EF1-4238-A3F4-109EB5880562}"/>
                </c:ext>
              </c:extLst>
            </c:dLbl>
            <c:dLbl>
              <c:idx val="5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1EF1-4238-A3F4-109EB5880562}"/>
                </c:ext>
              </c:extLst>
            </c:dLbl>
            <c:dLbl>
              <c:idx val="6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1EF1-4238-A3F4-109EB5880562}"/>
                </c:ext>
              </c:extLst>
            </c:dLbl>
            <c:dLbl>
              <c:idx val="7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1EF1-4238-A3F4-109EB5880562}"/>
                </c:ext>
              </c:extLst>
            </c:dLbl>
            <c:dLbl>
              <c:idx val="8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1EF1-4238-A3F4-109EB5880562}"/>
                </c:ext>
              </c:extLst>
            </c:dLbl>
            <c:dLbl>
              <c:idx val="9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1EF1-4238-A3F4-109EB588056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de-DE"/>
              </a:p>
            </c:tx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_data!$B$2:$B$11</c:f>
              <c:strCache>
                <c:ptCount val="10"/>
                <c:pt idx="0">
                  <c:v>✅ WON</c:v>
                </c:pt>
                <c:pt idx="1">
                  <c:v>📄 Offerte</c:v>
                </c:pt>
                <c:pt idx="2">
                  <c:v>📝 To Offer</c:v>
                </c:pt>
                <c:pt idx="3">
                  <c:v>🎯 Follow-Up</c:v>
                </c:pt>
                <c:pt idx="4">
                  <c:v>🔍 Evaluation</c:v>
                </c:pt>
                <c:pt idx="5">
                  <c:v>🔍 In Eval</c:v>
                </c:pt>
                <c:pt idx="6">
                  <c:v>⏸ On Hold</c:v>
                </c:pt>
                <c:pt idx="7">
                  <c:v>❓ TBD</c:v>
                </c:pt>
                <c:pt idx="8">
                  <c:v>❌ LOST</c:v>
                </c:pt>
                <c:pt idx="9">
                  <c:v>🚫 Declined</c:v>
                </c:pt>
              </c:strCache>
            </c:strRef>
          </c:cat>
          <c:val>
            <c:numRef>
              <c:f>_data!$C$2:$C$11</c:f>
              <c:numCache>
                <c:formatCode>General</c:formatCode>
                <c:ptCount val="10"/>
                <c:pt idx="0">
                  <c:v>12</c:v>
                </c:pt>
                <c:pt idx="1">
                  <c:v>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  <c:pt idx="8">
                  <c:v>7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EF1-4238-A3F4-109EB5880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CH" sz="1800" b="1" strike="noStrike" spc="-1">
                <a:solidFill>
                  <a:srgbClr val="000000"/>
                </a:solidFill>
                <a:latin typeface="Calibri"/>
              </a:rPr>
              <a:t>Pipeline — Status nach Volumen CHF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_data!$D$1</c:f>
              <c:strCache>
                <c:ptCount val="1"/>
                <c:pt idx="0">
                  <c:v>Volumen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2E7D3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266-4CDB-8BA2-910E33B8ACE4}"/>
              </c:ext>
            </c:extLst>
          </c:dPt>
          <c:dPt>
            <c:idx val="1"/>
            <c:invertIfNegative val="1"/>
            <c:bubble3D val="0"/>
            <c:spPr>
              <a:solidFill>
                <a:srgbClr val="1565C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266-4CDB-8BA2-910E33B8ACE4}"/>
              </c:ext>
            </c:extLst>
          </c:dPt>
          <c:dPt>
            <c:idx val="2"/>
            <c:invertIfNegative val="1"/>
            <c:bubble3D val="0"/>
            <c:spPr>
              <a:solidFill>
                <a:srgbClr val="1976D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266-4CDB-8BA2-910E33B8ACE4}"/>
              </c:ext>
            </c:extLst>
          </c:dPt>
          <c:dPt>
            <c:idx val="3"/>
            <c:invertIfNegative val="1"/>
            <c:bubble3D val="0"/>
            <c:spPr>
              <a:solidFill>
                <a:srgbClr val="F57C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266-4CDB-8BA2-910E33B8ACE4}"/>
              </c:ext>
            </c:extLst>
          </c:dPt>
          <c:dPt>
            <c:idx val="4"/>
            <c:invertIfNegative val="1"/>
            <c:bubble3D val="0"/>
            <c:spPr>
              <a:solidFill>
                <a:srgbClr val="FFD6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266-4CDB-8BA2-910E33B8ACE4}"/>
              </c:ext>
            </c:extLst>
          </c:dPt>
          <c:dPt>
            <c:idx val="5"/>
            <c:invertIfNegative val="1"/>
            <c:bubble3D val="0"/>
            <c:spPr>
              <a:solidFill>
                <a:srgbClr val="FFD6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266-4CDB-8BA2-910E33B8ACE4}"/>
              </c:ext>
            </c:extLst>
          </c:dPt>
          <c:dPt>
            <c:idx val="6"/>
            <c:invertIfNegative val="1"/>
            <c:bubble3D val="0"/>
            <c:spPr>
              <a:solidFill>
                <a:srgbClr val="9E9E9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266-4CDB-8BA2-910E33B8ACE4}"/>
              </c:ext>
            </c:extLst>
          </c:dPt>
          <c:dPt>
            <c:idx val="7"/>
            <c:invertIfNegative val="1"/>
            <c:bubble3D val="0"/>
            <c:spPr>
              <a:solidFill>
                <a:srgbClr val="BDBDB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266-4CDB-8BA2-910E33B8ACE4}"/>
              </c:ext>
            </c:extLst>
          </c:dPt>
          <c:dPt>
            <c:idx val="8"/>
            <c:invertIfNegative val="1"/>
            <c:bubble3D val="0"/>
            <c:spPr>
              <a:solidFill>
                <a:srgbClr val="C6282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266-4CDB-8BA2-910E33B8ACE4}"/>
              </c:ext>
            </c:extLst>
          </c:dPt>
          <c:dPt>
            <c:idx val="9"/>
            <c:invertIfNegative val="1"/>
            <c:bubble3D val="0"/>
            <c:spPr>
              <a:solidFill>
                <a:srgbClr val="B71C1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6266-4CDB-8BA2-910E33B8ACE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_data!$B$2:$B$11</c:f>
              <c:strCache>
                <c:ptCount val="10"/>
                <c:pt idx="0">
                  <c:v>✅ WON</c:v>
                </c:pt>
                <c:pt idx="1">
                  <c:v>📄 Offerte</c:v>
                </c:pt>
                <c:pt idx="2">
                  <c:v>📝 To Offer</c:v>
                </c:pt>
                <c:pt idx="3">
                  <c:v>🎯 Follow-Up</c:v>
                </c:pt>
                <c:pt idx="4">
                  <c:v>🔍 Evaluation</c:v>
                </c:pt>
                <c:pt idx="5">
                  <c:v>🔍 In Eval</c:v>
                </c:pt>
                <c:pt idx="6">
                  <c:v>⏸ On Hold</c:v>
                </c:pt>
                <c:pt idx="7">
                  <c:v>❓ TBD</c:v>
                </c:pt>
                <c:pt idx="8">
                  <c:v>❌ LOST</c:v>
                </c:pt>
                <c:pt idx="9">
                  <c:v>🚫 Declined</c:v>
                </c:pt>
              </c:strCache>
            </c:strRef>
          </c:cat>
          <c:val>
            <c:numRef>
              <c:f>_data!$D$2:$D$11</c:f>
              <c:numCache>
                <c:formatCode>General</c:formatCode>
                <c:ptCount val="10"/>
                <c:pt idx="0">
                  <c:v>1428553.1299999997</c:v>
                </c:pt>
                <c:pt idx="1">
                  <c:v>4887938.3000000007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545657.80000000005</c:v>
                </c:pt>
                <c:pt idx="7">
                  <c:v>0</c:v>
                </c:pt>
                <c:pt idx="8">
                  <c:v>78251.62</c:v>
                </c:pt>
                <c:pt idx="9">
                  <c:v>96029.01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266-4CDB-8BA2-910E33B8A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075192"/>
        <c:axId val="27447151"/>
      </c:barChart>
      <c:catAx>
        <c:axId val="8407519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27447151"/>
        <c:crosses val="autoZero"/>
        <c:auto val="1"/>
        <c:lblAlgn val="ctr"/>
        <c:lblOffset val="100"/>
        <c:noMultiLvlLbl val="0"/>
      </c:catAx>
      <c:valAx>
        <c:axId val="2744715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8407519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_data!$C$1</c:f>
              <c:strCache>
                <c:ptCount val="1"/>
                <c:pt idx="0">
                  <c:v>Anzahl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2E7D3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2EE-4978-9D00-F9F67CF941E1}"/>
              </c:ext>
            </c:extLst>
          </c:dPt>
          <c:dPt>
            <c:idx val="1"/>
            <c:bubble3D val="0"/>
            <c:spPr>
              <a:solidFill>
                <a:srgbClr val="1565C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2EE-4978-9D00-F9F67CF941E1}"/>
              </c:ext>
            </c:extLst>
          </c:dPt>
          <c:dPt>
            <c:idx val="2"/>
            <c:bubble3D val="0"/>
            <c:spPr>
              <a:solidFill>
                <a:srgbClr val="1976D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2EE-4978-9D00-F9F67CF941E1}"/>
              </c:ext>
            </c:extLst>
          </c:dPt>
          <c:dPt>
            <c:idx val="3"/>
            <c:bubble3D val="0"/>
            <c:spPr>
              <a:solidFill>
                <a:srgbClr val="F57C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2EE-4978-9D00-F9F67CF941E1}"/>
              </c:ext>
            </c:extLst>
          </c:dPt>
          <c:dPt>
            <c:idx val="4"/>
            <c:bubble3D val="0"/>
            <c:spPr>
              <a:solidFill>
                <a:srgbClr val="FFD6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2EE-4978-9D00-F9F67CF941E1}"/>
              </c:ext>
            </c:extLst>
          </c:dPt>
          <c:dPt>
            <c:idx val="5"/>
            <c:bubble3D val="0"/>
            <c:spPr>
              <a:solidFill>
                <a:srgbClr val="FFD6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2EE-4978-9D00-F9F67CF941E1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2EE-4978-9D00-F9F67CF941E1}"/>
              </c:ext>
            </c:extLst>
          </c:dPt>
          <c:dPt>
            <c:idx val="7"/>
            <c:bubble3D val="0"/>
            <c:spPr>
              <a:solidFill>
                <a:srgbClr val="BDBDB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2EE-4978-9D00-F9F67CF941E1}"/>
              </c:ext>
            </c:extLst>
          </c:dPt>
          <c:dPt>
            <c:idx val="8"/>
            <c:bubble3D val="0"/>
            <c:spPr>
              <a:solidFill>
                <a:srgbClr val="C6282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2EE-4978-9D00-F9F67CF941E1}"/>
              </c:ext>
            </c:extLst>
          </c:dPt>
          <c:dPt>
            <c:idx val="9"/>
            <c:bubble3D val="0"/>
            <c:spPr>
              <a:solidFill>
                <a:srgbClr val="B71C1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2EE-4978-9D00-F9F67CF941E1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2EE-4978-9D00-F9F67CF941E1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2EE-4978-9D00-F9F67CF941E1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2EE-4978-9D00-F9F67CF941E1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32EE-4978-9D00-F9F67CF941E1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32EE-4978-9D00-F9F67CF941E1}"/>
                </c:ext>
              </c:extLst>
            </c:dLbl>
            <c:dLbl>
              <c:idx val="5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32EE-4978-9D00-F9F67CF941E1}"/>
                </c:ext>
              </c:extLst>
            </c:dLbl>
            <c:dLbl>
              <c:idx val="6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32EE-4978-9D00-F9F67CF941E1}"/>
                </c:ext>
              </c:extLst>
            </c:dLbl>
            <c:dLbl>
              <c:idx val="7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32EE-4978-9D00-F9F67CF941E1}"/>
                </c:ext>
              </c:extLst>
            </c:dLbl>
            <c:dLbl>
              <c:idx val="8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32EE-4978-9D00-F9F67CF941E1}"/>
                </c:ext>
              </c:extLst>
            </c:dLbl>
            <c:dLbl>
              <c:idx val="9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de-DE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32EE-4978-9D00-F9F67CF941E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de-DE"/>
              </a:p>
            </c:txPr>
            <c:showLegendKey val="1"/>
            <c:showVal val="1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_data!$B$2:$B$11</c:f>
              <c:strCache>
                <c:ptCount val="10"/>
                <c:pt idx="0">
                  <c:v>✅ WON</c:v>
                </c:pt>
                <c:pt idx="1">
                  <c:v>📄 Offerte</c:v>
                </c:pt>
                <c:pt idx="2">
                  <c:v>📝 To Offer</c:v>
                </c:pt>
                <c:pt idx="3">
                  <c:v>🎯 Follow-Up</c:v>
                </c:pt>
                <c:pt idx="4">
                  <c:v>🔍 Evaluation</c:v>
                </c:pt>
                <c:pt idx="5">
                  <c:v>🔍 In Eval</c:v>
                </c:pt>
                <c:pt idx="6">
                  <c:v>⏸ On Hold</c:v>
                </c:pt>
                <c:pt idx="7">
                  <c:v>❓ TBD</c:v>
                </c:pt>
                <c:pt idx="8">
                  <c:v>❌ LOST</c:v>
                </c:pt>
                <c:pt idx="9">
                  <c:v>🚫 Declined</c:v>
                </c:pt>
              </c:strCache>
            </c:strRef>
          </c:cat>
          <c:val>
            <c:numRef>
              <c:f>_data!$C$2:$C$11</c:f>
              <c:numCache>
                <c:formatCode>General</c:formatCode>
                <c:ptCount val="10"/>
                <c:pt idx="0">
                  <c:v>12</c:v>
                </c:pt>
                <c:pt idx="1">
                  <c:v>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  <c:pt idx="8">
                  <c:v>7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2EE-4978-9D00-F9F67CF94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_data!$D$1</c:f>
              <c:strCache>
                <c:ptCount val="1"/>
                <c:pt idx="0">
                  <c:v>Volumen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2E7D3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EA6-4E34-BC5D-6536A5D6DF51}"/>
              </c:ext>
            </c:extLst>
          </c:dPt>
          <c:dPt>
            <c:idx val="1"/>
            <c:invertIfNegative val="1"/>
            <c:bubble3D val="0"/>
            <c:spPr>
              <a:solidFill>
                <a:srgbClr val="1565C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EA6-4E34-BC5D-6536A5D6DF51}"/>
              </c:ext>
            </c:extLst>
          </c:dPt>
          <c:dPt>
            <c:idx val="2"/>
            <c:invertIfNegative val="1"/>
            <c:bubble3D val="0"/>
            <c:spPr>
              <a:solidFill>
                <a:srgbClr val="1976D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EA6-4E34-BC5D-6536A5D6DF51}"/>
              </c:ext>
            </c:extLst>
          </c:dPt>
          <c:dPt>
            <c:idx val="3"/>
            <c:invertIfNegative val="1"/>
            <c:bubble3D val="0"/>
            <c:spPr>
              <a:solidFill>
                <a:srgbClr val="F57C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EA6-4E34-BC5D-6536A5D6DF51}"/>
              </c:ext>
            </c:extLst>
          </c:dPt>
          <c:dPt>
            <c:idx val="4"/>
            <c:invertIfNegative val="1"/>
            <c:bubble3D val="0"/>
            <c:spPr>
              <a:solidFill>
                <a:srgbClr val="FFD6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EA6-4E34-BC5D-6536A5D6DF51}"/>
              </c:ext>
            </c:extLst>
          </c:dPt>
          <c:dPt>
            <c:idx val="5"/>
            <c:invertIfNegative val="1"/>
            <c:bubble3D val="0"/>
            <c:spPr>
              <a:solidFill>
                <a:srgbClr val="FFD6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EA6-4E34-BC5D-6536A5D6DF51}"/>
              </c:ext>
            </c:extLst>
          </c:dPt>
          <c:dPt>
            <c:idx val="6"/>
            <c:invertIfNegative val="1"/>
            <c:bubble3D val="0"/>
            <c:spPr>
              <a:solidFill>
                <a:srgbClr val="9E9E9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EA6-4E34-BC5D-6536A5D6DF51}"/>
              </c:ext>
            </c:extLst>
          </c:dPt>
          <c:dPt>
            <c:idx val="7"/>
            <c:invertIfNegative val="1"/>
            <c:bubble3D val="0"/>
            <c:spPr>
              <a:solidFill>
                <a:srgbClr val="BDBDB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EA6-4E34-BC5D-6536A5D6DF51}"/>
              </c:ext>
            </c:extLst>
          </c:dPt>
          <c:dPt>
            <c:idx val="8"/>
            <c:invertIfNegative val="1"/>
            <c:bubble3D val="0"/>
            <c:spPr>
              <a:solidFill>
                <a:srgbClr val="C6282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EA6-4E34-BC5D-6536A5D6DF51}"/>
              </c:ext>
            </c:extLst>
          </c:dPt>
          <c:dPt>
            <c:idx val="9"/>
            <c:invertIfNegative val="1"/>
            <c:bubble3D val="0"/>
            <c:spPr>
              <a:solidFill>
                <a:srgbClr val="B71C1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EA6-4E34-BC5D-6536A5D6DF5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_data!$B$2:$B$11</c:f>
              <c:strCache>
                <c:ptCount val="10"/>
                <c:pt idx="0">
                  <c:v>✅ WON</c:v>
                </c:pt>
                <c:pt idx="1">
                  <c:v>📄 Offerte</c:v>
                </c:pt>
                <c:pt idx="2">
                  <c:v>📝 To Offer</c:v>
                </c:pt>
                <c:pt idx="3">
                  <c:v>🎯 Follow-Up</c:v>
                </c:pt>
                <c:pt idx="4">
                  <c:v>🔍 Evaluation</c:v>
                </c:pt>
                <c:pt idx="5">
                  <c:v>🔍 In Eval</c:v>
                </c:pt>
                <c:pt idx="6">
                  <c:v>⏸ On Hold</c:v>
                </c:pt>
                <c:pt idx="7">
                  <c:v>❓ TBD</c:v>
                </c:pt>
                <c:pt idx="8">
                  <c:v>❌ LOST</c:v>
                </c:pt>
                <c:pt idx="9">
                  <c:v>🚫 Declined</c:v>
                </c:pt>
              </c:strCache>
            </c:strRef>
          </c:cat>
          <c:val>
            <c:numRef>
              <c:f>_data!$D$2:$D$11</c:f>
              <c:numCache>
                <c:formatCode>General</c:formatCode>
                <c:ptCount val="10"/>
                <c:pt idx="0">
                  <c:v>1428553.1299999997</c:v>
                </c:pt>
                <c:pt idx="1">
                  <c:v>4887938.3000000007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545657.80000000005</c:v>
                </c:pt>
                <c:pt idx="7">
                  <c:v>0</c:v>
                </c:pt>
                <c:pt idx="8">
                  <c:v>78251.62</c:v>
                </c:pt>
                <c:pt idx="9">
                  <c:v>96029.01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EA6-4E34-BC5D-6536A5D6D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321874"/>
        <c:axId val="15179763"/>
      </c:barChart>
      <c:catAx>
        <c:axId val="9632187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15179763"/>
        <c:crosses val="autoZero"/>
        <c:auto val="1"/>
        <c:lblAlgn val="ctr"/>
        <c:lblOffset val="100"/>
        <c:noMultiLvlLbl val="0"/>
      </c:catAx>
      <c:valAx>
        <c:axId val="1517976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9632187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_data!$B$13</c:f>
              <c:strCache>
                <c:ptCount val="1"/>
                <c:pt idx="0">
                  <c:v>Volumen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_data!$A$14:$A$39</c:f>
              <c:strCache>
                <c:ptCount val="26"/>
                <c:pt idx="0">
                  <c:v>AG</c:v>
                </c:pt>
                <c:pt idx="1">
                  <c:v>AI</c:v>
                </c:pt>
                <c:pt idx="2">
                  <c:v>AR</c:v>
                </c:pt>
                <c:pt idx="3">
                  <c:v>BE</c:v>
                </c:pt>
                <c:pt idx="4">
                  <c:v>BL</c:v>
                </c:pt>
                <c:pt idx="5">
                  <c:v>BS</c:v>
                </c:pt>
                <c:pt idx="6">
                  <c:v>FR</c:v>
                </c:pt>
                <c:pt idx="7">
                  <c:v>GE</c:v>
                </c:pt>
                <c:pt idx="8">
                  <c:v>GL</c:v>
                </c:pt>
                <c:pt idx="9">
                  <c:v>GR</c:v>
                </c:pt>
                <c:pt idx="10">
                  <c:v>JU</c:v>
                </c:pt>
                <c:pt idx="11">
                  <c:v>LU</c:v>
                </c:pt>
                <c:pt idx="12">
                  <c:v>NE</c:v>
                </c:pt>
                <c:pt idx="13">
                  <c:v>NW</c:v>
                </c:pt>
                <c:pt idx="14">
                  <c:v>OW</c:v>
                </c:pt>
                <c:pt idx="15">
                  <c:v>SG</c:v>
                </c:pt>
                <c:pt idx="16">
                  <c:v>SH</c:v>
                </c:pt>
                <c:pt idx="17">
                  <c:v>SO</c:v>
                </c:pt>
                <c:pt idx="18">
                  <c:v>SZ</c:v>
                </c:pt>
                <c:pt idx="19">
                  <c:v>TG</c:v>
                </c:pt>
                <c:pt idx="20">
                  <c:v>TI</c:v>
                </c:pt>
                <c:pt idx="21">
                  <c:v>UR</c:v>
                </c:pt>
                <c:pt idx="22">
                  <c:v>VD</c:v>
                </c:pt>
                <c:pt idx="23">
                  <c:v>VS</c:v>
                </c:pt>
                <c:pt idx="24">
                  <c:v>ZG</c:v>
                </c:pt>
                <c:pt idx="25">
                  <c:v>ZH</c:v>
                </c:pt>
              </c:strCache>
            </c:strRef>
          </c:cat>
          <c:val>
            <c:numRef>
              <c:f>_data!$B$14:$B$39</c:f>
              <c:numCache>
                <c:formatCode>General</c:formatCode>
                <c:ptCount val="26"/>
                <c:pt idx="0">
                  <c:v>444672.94999999995</c:v>
                </c:pt>
                <c:pt idx="1">
                  <c:v>0</c:v>
                </c:pt>
                <c:pt idx="2">
                  <c:v>0</c:v>
                </c:pt>
                <c:pt idx="3">
                  <c:v>58012.12</c:v>
                </c:pt>
                <c:pt idx="4">
                  <c:v>13472.18</c:v>
                </c:pt>
                <c:pt idx="5">
                  <c:v>13866.21</c:v>
                </c:pt>
                <c:pt idx="6">
                  <c:v>0</c:v>
                </c:pt>
                <c:pt idx="7">
                  <c:v>38885</c:v>
                </c:pt>
                <c:pt idx="8">
                  <c:v>0</c:v>
                </c:pt>
                <c:pt idx="9">
                  <c:v>77325.62</c:v>
                </c:pt>
                <c:pt idx="10">
                  <c:v>0</c:v>
                </c:pt>
                <c:pt idx="11">
                  <c:v>23626.77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101192.62</c:v>
                </c:pt>
                <c:pt idx="16">
                  <c:v>2637287.63</c:v>
                </c:pt>
                <c:pt idx="17">
                  <c:v>390750.65</c:v>
                </c:pt>
                <c:pt idx="18">
                  <c:v>0</c:v>
                </c:pt>
                <c:pt idx="19">
                  <c:v>160817.25999999998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303790.2</c:v>
                </c:pt>
                <c:pt idx="24">
                  <c:v>40491.67</c:v>
                </c:pt>
                <c:pt idx="25">
                  <c:v>2732238.9799999995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7-4A4A-A622-B7230B900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303973"/>
        <c:axId val="69243823"/>
      </c:barChart>
      <c:catAx>
        <c:axId val="6730397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69243823"/>
        <c:crosses val="autoZero"/>
        <c:auto val="1"/>
        <c:lblAlgn val="ctr"/>
        <c:lblOffset val="100"/>
        <c:noMultiLvlLbl val="0"/>
      </c:catAx>
      <c:valAx>
        <c:axId val="6924382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6730397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_data!$H$1</c:f>
              <c:strCache>
                <c:ptCount val="1"/>
                <c:pt idx="0">
                  <c:v>Volumen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_data!$G$2:$G$27</c:f>
              <c:strCache>
                <c:ptCount val="26"/>
                <c:pt idx="0">
                  <c:v>Events &amp; Sport</c:v>
                </c:pt>
                <c:pt idx="1">
                  <c:v>Industrie / Oberfläche</c:v>
                </c:pt>
                <c:pt idx="2">
                  <c:v>Industrie / Elektro</c:v>
                </c:pt>
                <c:pt idx="3">
                  <c:v>Events &amp; Kultur</c:v>
                </c:pt>
                <c:pt idx="4">
                  <c:v>Immobilien / FM</c:v>
                </c:pt>
                <c:pt idx="5">
                  <c:v>EVU / Energie</c:v>
                </c:pt>
                <c:pt idx="6">
                  <c:v>Infrastruktur / Bau</c:v>
                </c:pt>
                <c:pt idx="7">
                  <c:v>Industrie / Metall</c:v>
                </c:pt>
                <c:pt idx="8">
                  <c:v>Elektroinstallation</c:v>
                </c:pt>
                <c:pt idx="9">
                  <c:v>Events / Medien</c:v>
                </c:pt>
                <c:pt idx="10">
                  <c:v>Forschung / Hightech</c:v>
                </c:pt>
                <c:pt idx="11">
                  <c:v>Industrie / Messtechnik</c:v>
                </c:pt>
                <c:pt idx="12">
                  <c:v>Infrastruktur / Bahn</c:v>
                </c:pt>
                <c:pt idx="13">
                  <c:v>Bildung / Forschung</c:v>
                </c:pt>
                <c:pt idx="14">
                  <c:v>tbd</c:v>
                </c:pt>
                <c:pt idx="15">
                  <c:v>Industrie / Generatoren</c:v>
                </c:pt>
                <c:pt idx="16">
                  <c:v>Ingenieure / Planung</c:v>
                </c:pt>
                <c:pt idx="17">
                  <c:v>Kühlung / Konkurrenz</c:v>
                </c:pt>
                <c:pt idx="18">
                  <c:v>Gemeinde</c:v>
                </c:pt>
                <c:pt idx="19">
                  <c:v>Hochschule</c:v>
                </c:pt>
                <c:pt idx="20">
                  <c:v>Industrie</c:v>
                </c:pt>
                <c:pt idx="21">
                  <c:v>Event</c:v>
                </c:pt>
                <c:pt idx="22">
                  <c:v>Festival</c:v>
                </c:pt>
                <c:pt idx="23">
                  <c:v>Veranstaltung</c:v>
                </c:pt>
                <c:pt idx="24">
                  <c:v>EVU</c:v>
                </c:pt>
                <c:pt idx="25">
                  <c:v>Forschung</c:v>
                </c:pt>
              </c:strCache>
            </c:strRef>
          </c:cat>
          <c:val>
            <c:numRef>
              <c:f>_data!$H$2:$H$27</c:f>
              <c:numCache>
                <c:formatCode>General</c:formatCode>
                <c:ptCount val="26"/>
                <c:pt idx="0">
                  <c:v>380000</c:v>
                </c:pt>
                <c:pt idx="1">
                  <c:v>13100</c:v>
                </c:pt>
                <c:pt idx="2">
                  <c:v>10000</c:v>
                </c:pt>
                <c:pt idx="3">
                  <c:v>150000</c:v>
                </c:pt>
                <c:pt idx="4">
                  <c:v>390000</c:v>
                </c:pt>
                <c:pt idx="5">
                  <c:v>137658.69</c:v>
                </c:pt>
                <c:pt idx="6">
                  <c:v>57897.120000000003</c:v>
                </c:pt>
                <c:pt idx="7">
                  <c:v>500000</c:v>
                </c:pt>
                <c:pt idx="8">
                  <c:v>97679.209999999992</c:v>
                </c:pt>
                <c:pt idx="9">
                  <c:v>0</c:v>
                </c:pt>
                <c:pt idx="10">
                  <c:v>365003</c:v>
                </c:pt>
                <c:pt idx="11">
                  <c:v>75769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48950</c:v>
                </c:pt>
                <c:pt idx="16">
                  <c:v>39000</c:v>
                </c:pt>
                <c:pt idx="17">
                  <c:v>12572.63</c:v>
                </c:pt>
                <c:pt idx="18">
                  <c:v>0</c:v>
                </c:pt>
                <c:pt idx="19">
                  <c:v>0</c:v>
                </c:pt>
                <c:pt idx="20">
                  <c:v>3224511.48</c:v>
                </c:pt>
                <c:pt idx="21">
                  <c:v>211297.08000000002</c:v>
                </c:pt>
                <c:pt idx="22">
                  <c:v>750.65</c:v>
                </c:pt>
                <c:pt idx="23">
                  <c:v>5328.36</c:v>
                </c:pt>
                <c:pt idx="24">
                  <c:v>231093.63999999998</c:v>
                </c:pt>
                <c:pt idx="25">
                  <c:v>13533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B-4F9C-BC6C-A226FFCD7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035484"/>
        <c:axId val="73790805"/>
      </c:barChart>
      <c:catAx>
        <c:axId val="7103548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73790805"/>
        <c:crosses val="autoZero"/>
        <c:auto val="1"/>
        <c:lblAlgn val="ctr"/>
        <c:lblOffset val="100"/>
        <c:noMultiLvlLbl val="0"/>
      </c:catAx>
      <c:valAx>
        <c:axId val="7379080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7103548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2457450</xdr:colOff>
      <xdr:row>207</xdr:row>
      <xdr:rowOff>133350</xdr:rowOff>
    </xdr:from>
    <xdr:to>
      <xdr:col>10</xdr:col>
      <xdr:colOff>1943100</xdr:colOff>
      <xdr:row>238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207</xdr:row>
      <xdr:rowOff>86444</xdr:rowOff>
    </xdr:from>
    <xdr:to>
      <xdr:col>5</xdr:col>
      <xdr:colOff>850847</xdr:colOff>
      <xdr:row>234</xdr:row>
      <xdr:rowOff>68035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8</xdr:col>
      <xdr:colOff>628650</xdr:colOff>
      <xdr:row>26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723900</xdr:colOff>
      <xdr:row>4</xdr:row>
      <xdr:rowOff>0</xdr:rowOff>
    </xdr:from>
    <xdr:to>
      <xdr:col>20</xdr:col>
      <xdr:colOff>371475</xdr:colOff>
      <xdr:row>26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8</xdr:col>
      <xdr:colOff>619125</xdr:colOff>
      <xdr:row>57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66675</xdr:colOff>
      <xdr:row>28</xdr:row>
      <xdr:rowOff>171450</xdr:rowOff>
    </xdr:from>
    <xdr:to>
      <xdr:col>21</xdr:col>
      <xdr:colOff>561975</xdr:colOff>
      <xdr:row>57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H35"/>
  <sheetViews>
    <sheetView showGridLines="0" zoomScaleNormal="100" workbookViewId="0">
      <selection sqref="A1:H1"/>
    </sheetView>
  </sheetViews>
  <sheetFormatPr defaultColWidth="8.5703125" defaultRowHeight="15"/>
  <cols>
    <col min="1" max="1" width="3" customWidth="1"/>
    <col min="2" max="2" width="5" customWidth="1"/>
    <col min="3" max="3" width="17" customWidth="1"/>
    <col min="4" max="4" width="5" customWidth="1"/>
    <col min="5" max="5" width="12" customWidth="1"/>
    <col min="6" max="6" width="17" customWidth="1"/>
    <col min="7" max="7" width="12" customWidth="1"/>
    <col min="8" max="8" width="21.140625" customWidth="1"/>
    <col min="9" max="9" width="3" customWidth="1"/>
  </cols>
  <sheetData>
    <row r="1" spans="1:8" ht="37.5" customHeight="1">
      <c r="A1" s="91" t="s">
        <v>0</v>
      </c>
      <c r="B1" s="126"/>
      <c r="C1" s="126"/>
      <c r="D1" s="126"/>
      <c r="E1" s="126"/>
      <c r="F1" s="126"/>
      <c r="G1" s="126"/>
      <c r="H1" s="126"/>
    </row>
    <row r="2" spans="1:8" ht="15" customHeight="1">
      <c r="A2" s="95" t="s">
        <v>1</v>
      </c>
      <c r="B2" s="126"/>
      <c r="C2" s="126"/>
      <c r="D2" s="126"/>
      <c r="E2" s="126"/>
      <c r="F2" s="126"/>
      <c r="G2" s="126"/>
      <c r="H2" s="126"/>
    </row>
    <row r="3" spans="1:8" ht="15" customHeight="1">
      <c r="A3" s="92" t="str">
        <f ca="1">"Stand: "&amp;TEXT(TODAY(),"DD.MM.YYYY")&amp;"  ·  Live aus Pipeline"</f>
        <v>Stand: DD.08.YYYY  ·  Live aus Pipeline</v>
      </c>
      <c r="B3" s="126"/>
      <c r="C3" s="126"/>
      <c r="D3" s="126"/>
      <c r="E3" s="126"/>
      <c r="F3" s="126"/>
      <c r="G3" s="126"/>
      <c r="H3" s="126"/>
    </row>
    <row r="5" spans="1:8" ht="21.75" customHeight="1">
      <c r="B5" s="93" t="s">
        <v>2</v>
      </c>
      <c r="C5" s="127"/>
      <c r="D5" s="128"/>
      <c r="E5" s="97" t="s">
        <v>3</v>
      </c>
      <c r="F5" s="128"/>
      <c r="G5" s="96" t="s">
        <v>4</v>
      </c>
      <c r="H5" s="128"/>
    </row>
    <row r="6" spans="1:8" ht="18" customHeight="1">
      <c r="B6" s="94">
        <f>Dashboard!A6</f>
        <v>1428553.1299999997</v>
      </c>
      <c r="C6" s="129"/>
      <c r="D6" s="130"/>
      <c r="E6" s="94">
        <f>Dashboard!D6</f>
        <v>5433596.1000000006</v>
      </c>
      <c r="F6" s="130"/>
      <c r="G6" s="94">
        <f>Dashboard!G6</f>
        <v>0</v>
      </c>
      <c r="H6" s="130"/>
    </row>
    <row r="7" spans="1:8" ht="18" customHeight="1">
      <c r="B7" s="131"/>
      <c r="C7" s="132"/>
      <c r="D7" s="133"/>
      <c r="E7" s="131"/>
      <c r="F7" s="133"/>
      <c r="G7" s="131"/>
      <c r="H7" s="133"/>
    </row>
    <row r="8" spans="1:8" ht="18" customHeight="1">
      <c r="B8" s="89" t="str">
        <f>Dashboard!A7&amp;" Deals"</f>
        <v>12 Deals</v>
      </c>
      <c r="C8" s="127"/>
      <c r="D8" s="128"/>
      <c r="E8" s="89" t="str">
        <f>Dashboard!D7&amp;" Deals"</f>
        <v>33 Deals</v>
      </c>
      <c r="F8" s="128"/>
      <c r="G8" s="89" t="str">
        <f>Dashboard!G7&amp;" Deals"</f>
        <v>1 Deals</v>
      </c>
      <c r="H8" s="128"/>
    </row>
    <row r="10" spans="1:8" ht="27.75" customHeight="1">
      <c r="B10" s="90" t="str">
        <f>"📊  GESAMT-PIPELINE: "&amp;TEXT(Dashboard!I6,"#,##0")&amp;" CHF  ·  "&amp;Dashboard!I7&amp;" aktive Deals"</f>
        <v>📊  GESAMT-PIPELINE: 6862149,230 CHF  ·  46 aktive Deals</v>
      </c>
      <c r="C10" s="126"/>
      <c r="D10" s="126"/>
      <c r="E10" s="126"/>
      <c r="F10" s="126"/>
      <c r="G10" s="126"/>
    </row>
    <row r="12" spans="1:8" ht="15.75" customHeight="1">
      <c r="B12" s="134" t="s">
        <v>5</v>
      </c>
      <c r="C12" s="135"/>
      <c r="D12" s="135"/>
      <c r="E12" s="135"/>
      <c r="F12" s="135"/>
      <c r="G12" s="135"/>
    </row>
    <row r="13" spans="1:8" ht="15" customHeight="1">
      <c r="B13" s="2" t="s">
        <v>6</v>
      </c>
      <c r="C13" s="2" t="s">
        <v>7</v>
      </c>
      <c r="D13" s="2" t="s">
        <v>8</v>
      </c>
      <c r="E13" s="2" t="s">
        <v>9</v>
      </c>
      <c r="F13" s="2" t="s">
        <v>10</v>
      </c>
      <c r="G13" s="2" t="s">
        <v>11</v>
      </c>
      <c r="H13" s="2" t="s">
        <v>12</v>
      </c>
    </row>
    <row r="14" spans="1:8" ht="15" customHeight="1">
      <c r="B14" s="3">
        <v>1</v>
      </c>
      <c r="C14" s="4" t="str">
        <f>IFERROR(INDEX('MiT Strom Pipeline'!B6:B860,MATCH(LARGE('MiT Strom Pipeline'!Z6:Z860,1),'MiT Strom Pipeline'!Z6:Z860,0)),"")</f>
        <v>Ice Hockey Championship</v>
      </c>
      <c r="D14" s="3" t="str">
        <f>IFERROR(INDEX('MiT Strom Pipeline'!C6:C860,MATCH(LARGE('MiT Strom Pipeline'!Z6:Z860,1),'MiT Strom Pipeline'!Z6:Z860,0)),"")</f>
        <v>ZH</v>
      </c>
      <c r="E14" s="3" t="str">
        <f>IFERROR(INDEX('MiT Strom Pipeline'!H6:H860,MATCH(LARGE('MiT Strom Pipeline'!Z6:Z860,1),'MiT Strom Pipeline'!Z6:Z860,0)),"")</f>
        <v>Mai</v>
      </c>
      <c r="F14" s="4" t="str">
        <f>IFERROR(INDEX('MiT Strom Pipeline'!D6:D860,MATCH(LARGE('MiT Strom Pipeline'!Z6:Z860,1),'MiT Strom Pipeline'!Z6:Z860,0)),"")</f>
        <v>Events &amp; Sport</v>
      </c>
      <c r="G14" s="49">
        <f>IFERROR(INDEX('MiT Strom Pipeline'!I6:I860,MATCH(LARGE('MiT Strom Pipeline'!Z6:Z860,1),'MiT Strom Pipeline'!Z6:Z860,0)),"")</f>
        <v>380000</v>
      </c>
      <c r="H14" s="49">
        <f>IFERROR(INDEX('MiT Strom Pipeline'!O6:O860,MATCH(LARGE('MiT Strom Pipeline'!Z6:Z860,1),'MiT Strom Pipeline'!Z6:Z860,0)),"")</f>
        <v>145000</v>
      </c>
    </row>
    <row r="15" spans="1:8" ht="15" customHeight="1">
      <c r="B15" s="3">
        <v>2</v>
      </c>
      <c r="C15" s="4" t="str">
        <f>IFERROR(INDEX('MiT Strom Pipeline'!B6:B860,MATCH(LARGE('MiT Strom Pipeline'!Z6:Z860,2),'MiT Strom Pipeline'!Z6:Z860,0)),"")</f>
        <v>DPR Heat Loadbank</v>
      </c>
      <c r="D15" s="3" t="str">
        <f>IFERROR(INDEX('MiT Strom Pipeline'!C6:C860,MATCH(LARGE('MiT Strom Pipeline'!Z6:Z860,2),'MiT Strom Pipeline'!Z6:Z860,0)),"")</f>
        <v>ZH</v>
      </c>
      <c r="E15" s="3" t="str">
        <f>IFERROR(INDEX('MiT Strom Pipeline'!H6:H860,MATCH(LARGE('MiT Strom Pipeline'!Z6:Z860,2),'MiT Strom Pipeline'!Z6:Z860,0)),"")</f>
        <v>Aug</v>
      </c>
      <c r="F15" s="4" t="str">
        <f>IFERROR(INDEX('MiT Strom Pipeline'!D6:D860,MATCH(LARGE('MiT Strom Pipeline'!Z6:Z860,2),'MiT Strom Pipeline'!Z6:Z860,0)),"")</f>
        <v>Datacenter</v>
      </c>
      <c r="G15" s="49">
        <f>IFERROR(INDEX('MiT Strom Pipeline'!I6:I860,MATCH(LARGE('MiT Strom Pipeline'!Z6:Z860,2),'MiT Strom Pipeline'!Z6:Z860,0)),"")</f>
        <v>333790</v>
      </c>
      <c r="H15" s="49">
        <f>IFERROR(INDEX('MiT Strom Pipeline'!O6:O860,MATCH(LARGE('MiT Strom Pipeline'!Z6:Z860,2),'MiT Strom Pipeline'!Z6:Z860,0)),"")</f>
        <v>-25011.090000000026</v>
      </c>
    </row>
    <row r="16" spans="1:8" ht="15" customHeight="1">
      <c r="B16" s="3">
        <v>3</v>
      </c>
      <c r="C16" s="4" t="str">
        <f>IFERROR(INDEX('MiT Strom Pipeline'!B6:B860,MATCH(LARGE('MiT Strom Pipeline'!Z6:Z860,3),'MiT Strom Pipeline'!Z6:Z860,0)),"")</f>
        <v>DPR Generator Loadbank Test</v>
      </c>
      <c r="D16" s="3" t="str">
        <f>IFERROR(INDEX('MiT Strom Pipeline'!C6:C860,MATCH(LARGE('MiT Strom Pipeline'!Z6:Z860,3),'MiT Strom Pipeline'!Z6:Z860,0)),"")</f>
        <v>ZH</v>
      </c>
      <c r="E16" s="3" t="str">
        <f>IFERROR(INDEX('MiT Strom Pipeline'!H6:H860,MATCH(LARGE('MiT Strom Pipeline'!Z6:Z860,3),'MiT Strom Pipeline'!Z6:Z860,0)),"")</f>
        <v>Aug</v>
      </c>
      <c r="F16" s="4" t="str">
        <f>IFERROR(INDEX('MiT Strom Pipeline'!D6:D860,MATCH(LARGE('MiT Strom Pipeline'!Z6:Z860,3),'MiT Strom Pipeline'!Z6:Z860,0)),"")</f>
        <v>Datacenter</v>
      </c>
      <c r="G16" s="49">
        <f>IFERROR(INDEX('MiT Strom Pipeline'!I6:I860,MATCH(LARGE('MiT Strom Pipeline'!Z6:Z860,3),'MiT Strom Pipeline'!Z6:Z860,0)),"")</f>
        <v>331889.15000000002</v>
      </c>
      <c r="H16" s="49">
        <f>IFERROR(INDEX('MiT Strom Pipeline'!O6:O860,MATCH(LARGE('MiT Strom Pipeline'!Z6:Z860,3),'MiT Strom Pipeline'!Z6:Z860,0)),"")</f>
        <v>-24868.659999999974</v>
      </c>
    </row>
    <row r="17" spans="2:8" ht="15" customHeight="1">
      <c r="B17" s="3">
        <v>4</v>
      </c>
      <c r="C17" s="4" t="str">
        <f>IFERROR(INDEX('MiT Strom Pipeline'!B6:B860,MATCH(LARGE('MiT Strom Pipeline'!Z6:Z860,4),'MiT Strom Pipeline'!Z6:Z860,0)),"")</f>
        <v>Stagelight – OpenAir Frauenfeld</v>
      </c>
      <c r="D17" s="3" t="str">
        <f>IFERROR(INDEX('MiT Strom Pipeline'!C6:C860,MATCH(LARGE('MiT Strom Pipeline'!Z6:Z860,4),'MiT Strom Pipeline'!Z6:Z860,0)),"")</f>
        <v>TG</v>
      </c>
      <c r="E17" s="3" t="str">
        <f>IFERROR(INDEX('MiT Strom Pipeline'!H6:H860,MATCH(LARGE('MiT Strom Pipeline'!Z6:Z860,4),'MiT Strom Pipeline'!Z6:Z860,0)),"")</f>
        <v>Juli</v>
      </c>
      <c r="F17" s="4" t="str">
        <f>IFERROR(INDEX('MiT Strom Pipeline'!D6:D860,MATCH(LARGE('MiT Strom Pipeline'!Z6:Z860,4),'MiT Strom Pipeline'!Z6:Z860,0)),"")</f>
        <v>Events &amp; Kultur</v>
      </c>
      <c r="G17" s="49">
        <f>IFERROR(INDEX('MiT Strom Pipeline'!I6:I860,MATCH(LARGE('MiT Strom Pipeline'!Z6:Z860,4),'MiT Strom Pipeline'!Z6:Z860,0)),"")</f>
        <v>150000</v>
      </c>
      <c r="H17" s="49">
        <f>IFERROR(INDEX('MiT Strom Pipeline'!O6:O860,MATCH(LARGE('MiT Strom Pipeline'!Z6:Z860,4),'MiT Strom Pipeline'!Z6:Z860,0)),"")</f>
        <v>39500</v>
      </c>
    </row>
    <row r="18" spans="2:8" ht="15" customHeight="1">
      <c r="B18" s="3">
        <v>5</v>
      </c>
      <c r="C18" s="4" t="str">
        <f>IFERROR(INDEX('MiT Strom Pipeline'!B6:B860,MATCH(LARGE('MiT Strom Pipeline'!Z6:Z860,5),'MiT Strom Pipeline'!Z6:Z860,0)),"")</f>
        <v>Murg Flums Energie</v>
      </c>
      <c r="D18" s="3" t="str">
        <f>IFERROR(INDEX('MiT Strom Pipeline'!C6:C860,MATCH(LARGE('MiT Strom Pipeline'!Z6:Z860,5),'MiT Strom Pipeline'!Z6:Z860,0)),"")</f>
        <v>SG</v>
      </c>
      <c r="E18" s="3" t="str">
        <f>IFERROR(INDEX('MiT Strom Pipeline'!H6:H860,MATCH(LARGE('MiT Strom Pipeline'!Z6:Z860,5),'MiT Strom Pipeline'!Z6:Z860,0)),"")</f>
        <v>Auf Abruf</v>
      </c>
      <c r="F18" s="4" t="str">
        <f>IFERROR(INDEX('MiT Strom Pipeline'!D6:D860,MATCH(LARGE('MiT Strom Pipeline'!Z6:Z860,5),'MiT Strom Pipeline'!Z6:Z860,0)),"")</f>
        <v>EVU / Energie</v>
      </c>
      <c r="G18" s="49">
        <f>IFERROR(INDEX('MiT Strom Pipeline'!I6:I860,MATCH(LARGE('MiT Strom Pipeline'!Z6:Z860,5),'MiT Strom Pipeline'!Z6:Z860,0)),"")</f>
        <v>96658.69</v>
      </c>
      <c r="H18" s="49">
        <f>IFERROR(INDEX('MiT Strom Pipeline'!O6:O860,MATCH(LARGE('MiT Strom Pipeline'!Z6:Z860,5),'MiT Strom Pipeline'!Z6:Z860,0)),"")</f>
        <v>7242.6900000000023</v>
      </c>
    </row>
    <row r="21" spans="2:8" ht="15.75" customHeight="1">
      <c r="B21" s="134" t="s">
        <v>13</v>
      </c>
      <c r="C21" s="135"/>
      <c r="D21" s="135"/>
      <c r="E21" s="135"/>
      <c r="F21" s="135"/>
      <c r="G21" s="135"/>
    </row>
    <row r="22" spans="2:8" ht="15" customHeight="1">
      <c r="B22" s="88" t="s">
        <v>14</v>
      </c>
      <c r="C22" s="126"/>
      <c r="D22" s="1" t="s">
        <v>15</v>
      </c>
      <c r="E22" s="88" t="s">
        <v>16</v>
      </c>
      <c r="F22" s="126"/>
      <c r="G22" s="1" t="s">
        <v>17</v>
      </c>
    </row>
    <row r="23" spans="2:8" ht="15" customHeight="1">
      <c r="B23" s="136" t="s">
        <v>2</v>
      </c>
      <c r="C23" s="128"/>
      <c r="D23" s="50">
        <f>COUNTIF('MiT Strom Pipeline'!R6:R860,"WON")</f>
        <v>12</v>
      </c>
      <c r="E23" s="87">
        <f>SUMIFS('MiT Strom Pipeline'!I6:I860,'MiT Strom Pipeline'!R6:R860,"WON")</f>
        <v>1428553.1299999997</v>
      </c>
      <c r="F23" s="128"/>
      <c r="G23" s="51">
        <f>IFERROR(E23/Dashboard!I6,0)</f>
        <v>0.2081786743655529</v>
      </c>
    </row>
    <row r="24" spans="2:8" ht="15" customHeight="1">
      <c r="B24" s="137" t="s">
        <v>18</v>
      </c>
      <c r="C24" s="128"/>
      <c r="D24" s="50">
        <f>COUNTIF('MiT Strom Pipeline'!R6:R860,"offered")+COUNTIF('MiT Strom Pipeline'!R6:R860,"to be offered")</f>
        <v>29</v>
      </c>
      <c r="E24" s="87">
        <f>SUMIFS('MiT Strom Pipeline'!I6:I860,'MiT Strom Pipeline'!R6:R860,"offered")+SUMIFS('MiT Strom Pipeline'!I6:I860,'MiT Strom Pipeline'!R6:R860,"to be offered")</f>
        <v>4887938.3000000007</v>
      </c>
      <c r="F24" s="128"/>
      <c r="G24" s="51">
        <f>IFERROR(E24/Dashboard!I6,0)</f>
        <v>0.71230428487781527</v>
      </c>
    </row>
    <row r="25" spans="2:8" ht="15" customHeight="1">
      <c r="B25" s="138" t="s">
        <v>19</v>
      </c>
      <c r="C25" s="128"/>
      <c r="D25" s="50">
        <f>COUNTIF('MiT Strom Pipeline'!R6:R860,"follow-up")</f>
        <v>0</v>
      </c>
      <c r="E25" s="87">
        <f>SUMIFS('MiT Strom Pipeline'!I6:I860,'MiT Strom Pipeline'!R6:R860,"follow-up")</f>
        <v>0</v>
      </c>
      <c r="F25" s="128"/>
      <c r="G25" s="51">
        <f>IFERROR(E25/Dashboard!I6,0)</f>
        <v>0</v>
      </c>
    </row>
    <row r="26" spans="2:8" ht="15" customHeight="1">
      <c r="B26" s="139" t="s">
        <v>20</v>
      </c>
      <c r="C26" s="128"/>
      <c r="D26" s="50">
        <f>COUNTIF('MiT Strom Pipeline'!R6:R860,"Evaluation")+COUNTIF('MiT Strom Pipeline'!R6:R860,"In evaluation")</f>
        <v>0</v>
      </c>
      <c r="E26" s="87">
        <f>SUMIFS('MiT Strom Pipeline'!I6:I860,'MiT Strom Pipeline'!R6:R860,"Evaluation")+SUMIFS('MiT Strom Pipeline'!I6:I860,'MiT Strom Pipeline'!R6:R860,"In evaluation")</f>
        <v>0</v>
      </c>
      <c r="F26" s="128"/>
      <c r="G26" s="51">
        <f>IFERROR(E26/Dashboard!I6,0)</f>
        <v>0</v>
      </c>
    </row>
    <row r="27" spans="2:8" ht="15" customHeight="1">
      <c r="B27" s="140" t="s">
        <v>21</v>
      </c>
      <c r="C27" s="128"/>
      <c r="D27" s="50">
        <f>COUNTIF('MiT Strom Pipeline'!R6:R860,"on hold")</f>
        <v>4</v>
      </c>
      <c r="E27" s="87">
        <f>SUMIFS('MiT Strom Pipeline'!I6:I860,'MiT Strom Pipeline'!R6:R860,"on hold")</f>
        <v>545657.80000000005</v>
      </c>
      <c r="F27" s="128"/>
      <c r="G27" s="51">
        <f>IFERROR(E27/Dashboard!I6,0)</f>
        <v>7.9517040756631865E-2</v>
      </c>
    </row>
    <row r="28" spans="2:8" ht="15" customHeight="1">
      <c r="B28" s="141" t="s">
        <v>22</v>
      </c>
      <c r="C28" s="128"/>
      <c r="D28" s="50">
        <f>COUNTIF('MiT Strom Pipeline'!R6:R860,"tbd")</f>
        <v>1</v>
      </c>
      <c r="E28" s="87">
        <f>SUMIFS('MiT Strom Pipeline'!I6:I860,'MiT Strom Pipeline'!R6:R860,"tbd")</f>
        <v>0</v>
      </c>
      <c r="F28" s="128"/>
      <c r="G28" s="51">
        <f>IFERROR(E28/Dashboard!I6,0)</f>
        <v>0</v>
      </c>
    </row>
    <row r="29" spans="2:8" ht="15" customHeight="1">
      <c r="B29" s="142" t="s">
        <v>23</v>
      </c>
      <c r="C29" s="128"/>
      <c r="D29" s="50">
        <f>COUNTIF('MiT Strom Pipeline'!R6:R860,"LOST")</f>
        <v>7</v>
      </c>
      <c r="E29" s="87">
        <f>SUMIFS('MiT Strom Pipeline'!I6:I860,'MiT Strom Pipeline'!R6:R860,"LOST")</f>
        <v>78251.62</v>
      </c>
      <c r="F29" s="128"/>
      <c r="G29" s="51">
        <f>IFERROR(E29/Dashboard!I6,0)</f>
        <v>1.1403369028743782E-2</v>
      </c>
    </row>
    <row r="30" spans="2:8" ht="15" customHeight="1">
      <c r="B30" s="143" t="s">
        <v>24</v>
      </c>
      <c r="C30" s="128"/>
      <c r="D30" s="50">
        <f>COUNTIF('MiT Strom Pipeline'!R6:R860,"Declined")</f>
        <v>13</v>
      </c>
      <c r="E30" s="87">
        <f>SUMIFS('MiT Strom Pipeline'!I6:I860,'MiT Strom Pipeline'!R6:R860,"Declined")</f>
        <v>96029.01</v>
      </c>
      <c r="F30" s="128"/>
      <c r="G30" s="51">
        <f>IFERROR(E30/Dashboard!I6,0)</f>
        <v>1.3994013651026354E-2</v>
      </c>
    </row>
    <row r="35" spans="1:8" ht="15" customHeight="1">
      <c r="A35" s="86" t="s">
        <v>25</v>
      </c>
      <c r="B35" s="126"/>
      <c r="C35" s="126"/>
      <c r="D35" s="126"/>
      <c r="E35" s="126"/>
      <c r="F35" s="126"/>
      <c r="G35" s="126"/>
      <c r="H35" s="126"/>
    </row>
  </sheetData>
  <mergeCells count="34">
    <mergeCell ref="A1:H1"/>
    <mergeCell ref="G8:H8"/>
    <mergeCell ref="A3:H3"/>
    <mergeCell ref="B5:D5"/>
    <mergeCell ref="E6:F7"/>
    <mergeCell ref="G6:H7"/>
    <mergeCell ref="B8:D8"/>
    <mergeCell ref="A2:H2"/>
    <mergeCell ref="G5:H5"/>
    <mergeCell ref="E5:F5"/>
    <mergeCell ref="B6:D7"/>
    <mergeCell ref="B27:C27"/>
    <mergeCell ref="E8:F8"/>
    <mergeCell ref="B10:G10"/>
    <mergeCell ref="B23:C23"/>
    <mergeCell ref="E23:F23"/>
    <mergeCell ref="B22:C22"/>
    <mergeCell ref="B25:C25"/>
    <mergeCell ref="A35:H35"/>
    <mergeCell ref="E25:F25"/>
    <mergeCell ref="E22:F22"/>
    <mergeCell ref="B12:G12"/>
    <mergeCell ref="B26:C26"/>
    <mergeCell ref="B21:G21"/>
    <mergeCell ref="E30:F30"/>
    <mergeCell ref="B29:C29"/>
    <mergeCell ref="B30:C30"/>
    <mergeCell ref="E29:F29"/>
    <mergeCell ref="E24:F24"/>
    <mergeCell ref="B28:C28"/>
    <mergeCell ref="E27:F27"/>
    <mergeCell ref="E28:F28"/>
    <mergeCell ref="E26:F26"/>
    <mergeCell ref="B24:C24"/>
  </mergeCells>
  <printOptions horizontalCentered="1"/>
  <pageMargins left="0.3" right="0.3" top="0.34722222222222199" bottom="0.5" header="0.511811023622047" footer="0.2"/>
  <pageSetup paperSize="9" fitToHeight="0" orientation="portrait" horizontalDpi="300" verticalDpi="300"/>
  <headerFooter>
    <oddFooter>&amp;C&amp;"Calibri,Italic"&amp;9 Mobil in Time AG · &amp;D · Seite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  <pageSetUpPr fitToPage="1"/>
  </sheetPr>
  <dimension ref="A1:L41"/>
  <sheetViews>
    <sheetView topLeftCell="A4" zoomScaleNormal="100" workbookViewId="0">
      <selection sqref="A1:H1"/>
    </sheetView>
  </sheetViews>
  <sheetFormatPr defaultColWidth="8.5703125" defaultRowHeight="15"/>
  <cols>
    <col min="1" max="1" width="18" customWidth="1"/>
    <col min="2" max="2" width="24" customWidth="1"/>
    <col min="3" max="3" width="14.7109375" bestFit="1" customWidth="1"/>
    <col min="4" max="4" width="20" customWidth="1"/>
    <col min="5" max="6" width="14" customWidth="1"/>
    <col min="7" max="8" width="13" customWidth="1"/>
    <col min="10" max="12" width="13" hidden="1" customWidth="1"/>
  </cols>
  <sheetData>
    <row r="1" spans="1:12" ht="36" customHeight="1">
      <c r="A1" s="144" t="s">
        <v>26</v>
      </c>
      <c r="B1" s="126"/>
      <c r="C1" s="126"/>
      <c r="D1" s="126"/>
      <c r="E1" s="126"/>
      <c r="F1" s="126"/>
      <c r="G1" s="126"/>
      <c r="H1" s="126"/>
    </row>
    <row r="2" spans="1:12" ht="15" customHeight="1">
      <c r="A2" s="145" t="s">
        <v>27</v>
      </c>
      <c r="B2" s="126"/>
      <c r="C2" s="126"/>
      <c r="D2" s="126"/>
      <c r="E2" s="126"/>
      <c r="F2" s="126"/>
      <c r="G2" s="126"/>
      <c r="H2" s="126"/>
    </row>
    <row r="3" spans="1:12" ht="15" customHeight="1">
      <c r="A3" s="146" t="str">
        <f ca="1">"Stand: "&amp;TEXT(TODAY(),"DD.MM.YYYY")&amp;"  ·  Auto-Update via Pipeline-Daten"</f>
        <v>Stand: DD.08.YYYY  ·  Auto-Update via Pipeline-Daten</v>
      </c>
      <c r="B3" s="126"/>
      <c r="C3" s="126"/>
      <c r="D3" s="126"/>
      <c r="E3" s="126"/>
      <c r="F3" s="126"/>
      <c r="G3" s="126"/>
      <c r="H3" s="126"/>
    </row>
    <row r="5" spans="1:12" ht="17.25" customHeight="1">
      <c r="A5" s="147" t="s">
        <v>28</v>
      </c>
      <c r="B5" s="135"/>
      <c r="C5" s="135"/>
      <c r="D5" s="135"/>
      <c r="E5" s="135"/>
      <c r="F5" s="135"/>
      <c r="G5" s="135"/>
      <c r="H5" s="135"/>
    </row>
    <row r="6" spans="1:12" ht="15" customHeight="1">
      <c r="A6" s="5" t="s">
        <v>29</v>
      </c>
      <c r="B6" s="5" t="s">
        <v>30</v>
      </c>
      <c r="C6" s="5" t="s">
        <v>15</v>
      </c>
      <c r="D6" s="5" t="s">
        <v>31</v>
      </c>
    </row>
    <row r="7" spans="1:12" ht="15" customHeight="1">
      <c r="A7" s="6" t="s">
        <v>2</v>
      </c>
      <c r="B7" s="7">
        <f>Dashboard!A6</f>
        <v>1428553.1299999997</v>
      </c>
      <c r="C7" s="8">
        <f>Dashboard!A7</f>
        <v>12</v>
      </c>
      <c r="D7" s="9">
        <f>IFERROR(B7/$B$10,0)</f>
        <v>0.2081786743655529</v>
      </c>
    </row>
    <row r="8" spans="1:12" ht="15" customHeight="1">
      <c r="A8" s="6" t="s">
        <v>32</v>
      </c>
      <c r="B8" s="7">
        <f>Dashboard!D6</f>
        <v>5433596.1000000006</v>
      </c>
      <c r="C8" s="8">
        <f>Dashboard!D7</f>
        <v>33</v>
      </c>
      <c r="D8" s="9">
        <f>IFERROR(B8/$B$10,0)</f>
        <v>0.79182132563444707</v>
      </c>
    </row>
    <row r="9" spans="1:12" ht="15" customHeight="1">
      <c r="A9" s="6" t="s">
        <v>33</v>
      </c>
      <c r="B9" s="7">
        <f>Dashboard!G6</f>
        <v>0</v>
      </c>
      <c r="C9" s="8">
        <f>Dashboard!G7</f>
        <v>1</v>
      </c>
      <c r="D9" s="9">
        <f>IFERROR(B9/$B$10,0)</f>
        <v>0</v>
      </c>
    </row>
    <row r="10" spans="1:12" ht="15" customHeight="1">
      <c r="A10" s="10" t="s">
        <v>34</v>
      </c>
      <c r="B10" s="11">
        <f>Dashboard!I6</f>
        <v>6862149.2300000004</v>
      </c>
      <c r="C10" s="12">
        <f>Dashboard!I7</f>
        <v>46</v>
      </c>
      <c r="D10" s="13">
        <f>IFERROR(B10/$B$10,0)</f>
        <v>1</v>
      </c>
    </row>
    <row r="13" spans="1:12" ht="17.25" customHeight="1">
      <c r="A13" s="147" t="s">
        <v>35</v>
      </c>
      <c r="B13" s="135"/>
      <c r="C13" s="135"/>
      <c r="D13" s="135"/>
      <c r="E13" s="135"/>
      <c r="F13" s="135"/>
      <c r="G13" s="135"/>
      <c r="H13" s="135"/>
      <c r="J13" t="s">
        <v>36</v>
      </c>
      <c r="K13" t="s">
        <v>37</v>
      </c>
      <c r="L13" t="s">
        <v>38</v>
      </c>
    </row>
    <row r="14" spans="1:12" ht="15" customHeight="1">
      <c r="A14" s="5" t="s">
        <v>39</v>
      </c>
      <c r="B14" s="5" t="s">
        <v>40</v>
      </c>
      <c r="C14" s="5" t="s">
        <v>16</v>
      </c>
      <c r="D14" s="5" t="s">
        <v>41</v>
      </c>
      <c r="E14" s="5" t="s">
        <v>42</v>
      </c>
      <c r="J14" t="s">
        <v>43</v>
      </c>
      <c r="K14">
        <f>SUMIF('MiT Strom Pipeline'!$C$6:$C$860,J14,'MiT Strom Pipeline'!$I$6:$I$860)</f>
        <v>444672.94999999995</v>
      </c>
      <c r="L14">
        <f t="shared" ref="L14:L39" si="0">K14+(26-ROW())*0.0001</f>
        <v>444672.95119999995</v>
      </c>
    </row>
    <row r="15" spans="1:12" ht="15" customHeight="1">
      <c r="A15" s="14">
        <v>1</v>
      </c>
      <c r="B15" s="15" t="str">
        <f>IFERROR(INDEX($J$14:$J$39,MATCH(LARGE($L$14:$L$39,1),$L$14:$L$39,0)),"")</f>
        <v>ZH</v>
      </c>
      <c r="C15" s="16">
        <f>IF(B15="","",SUMIF('MiT Strom Pipeline'!$C$6:$C$860,B15,'MiT Strom Pipeline'!$I$6:$I$860))</f>
        <v>2732238.9799999995</v>
      </c>
      <c r="D15" s="17">
        <f>IF(B15="","",COUNTIF('MiT Strom Pipeline'!$C$6:$C$860,B15))</f>
        <v>25</v>
      </c>
      <c r="E15" s="18">
        <f>IF(OR(B15="",D15=0),"",COUNTIFS('MiT Strom Pipeline'!$C$6:$C$860,B15,'MiT Strom Pipeline'!$R$6:$R$860,"WON")/D15)</f>
        <v>0.2</v>
      </c>
      <c r="J15" t="s">
        <v>44</v>
      </c>
      <c r="K15">
        <f>SUMIF('MiT Strom Pipeline'!$C$6:$C$860,J15,'MiT Strom Pipeline'!$I$6:$I$860)</f>
        <v>0</v>
      </c>
      <c r="L15">
        <f t="shared" si="0"/>
        <v>1.1000000000000001E-3</v>
      </c>
    </row>
    <row r="16" spans="1:12" ht="15" customHeight="1">
      <c r="A16" s="14">
        <v>2</v>
      </c>
      <c r="B16" s="15" t="str">
        <f>IFERROR(INDEX($J$14:$J$39,MATCH(LARGE($L$14:$L$39,2),$L$14:$L$39,0)),"")</f>
        <v>SH</v>
      </c>
      <c r="C16" s="16">
        <f>IF(B16="","",SUMIF('MiT Strom Pipeline'!$C$6:$C$860,B16,'MiT Strom Pipeline'!$I$6:$I$860))</f>
        <v>2637287.63</v>
      </c>
      <c r="D16" s="17">
        <f>IF(B16="","",COUNTIF('MiT Strom Pipeline'!$C$6:$C$860,B16))</f>
        <v>5</v>
      </c>
      <c r="E16" s="18">
        <f>IF(OR(B16="",D16=0),"",COUNTIFS('MiT Strom Pipeline'!$C$6:$C$860,B16,'MiT Strom Pipeline'!$R$6:$R$860,"WON")/D16)</f>
        <v>0.2</v>
      </c>
      <c r="J16" t="s">
        <v>45</v>
      </c>
      <c r="K16">
        <f>SUMIF('MiT Strom Pipeline'!$C$6:$C$860,J16,'MiT Strom Pipeline'!$I$6:$I$860)</f>
        <v>0</v>
      </c>
      <c r="L16">
        <f t="shared" si="0"/>
        <v>1E-3</v>
      </c>
    </row>
    <row r="17" spans="1:12" ht="15" customHeight="1">
      <c r="A17" s="14">
        <v>3</v>
      </c>
      <c r="B17" s="15" t="str">
        <f>IFERROR(INDEX($J$14:$J$39,MATCH(LARGE($L$14:$L$39,3),$L$14:$L$39,0)),"")</f>
        <v>AG</v>
      </c>
      <c r="C17" s="16">
        <f>IF(B17="","",SUMIF('MiT Strom Pipeline'!$C$6:$C$860,B17,'MiT Strom Pipeline'!$I$6:$I$860))</f>
        <v>444672.94999999995</v>
      </c>
      <c r="D17" s="17">
        <f>IF(B17="","",COUNTIF('MiT Strom Pipeline'!$C$6:$C$860,B17))</f>
        <v>7</v>
      </c>
      <c r="E17" s="18">
        <f>IF(OR(B17="",D17=0),"",COUNTIFS('MiT Strom Pipeline'!$C$6:$C$860,B17,'MiT Strom Pipeline'!$R$6:$R$860,"WON")/D17)</f>
        <v>0.14285714285714285</v>
      </c>
      <c r="J17" t="s">
        <v>46</v>
      </c>
      <c r="K17">
        <f>SUMIF('MiT Strom Pipeline'!$C$6:$C$860,J17,'MiT Strom Pipeline'!$I$6:$I$860)</f>
        <v>58012.12</v>
      </c>
      <c r="L17">
        <f t="shared" si="0"/>
        <v>58012.120900000002</v>
      </c>
    </row>
    <row r="18" spans="1:12" ht="15" customHeight="1">
      <c r="A18" s="14">
        <v>4</v>
      </c>
      <c r="B18" s="15" t="str">
        <f>IFERROR(INDEX($J$14:$J$39,MATCH(LARGE($L$14:$L$39,4),$L$14:$L$39,0)),"")</f>
        <v>SO</v>
      </c>
      <c r="C18" s="16">
        <f>IF(B18="","",SUMIF('MiT Strom Pipeline'!$C$6:$C$860,B18,'MiT Strom Pipeline'!$I$6:$I$860))</f>
        <v>390750.65</v>
      </c>
      <c r="D18" s="17">
        <f>IF(B18="","",COUNTIF('MiT Strom Pipeline'!$C$6:$C$860,B18))</f>
        <v>2</v>
      </c>
      <c r="E18" s="18">
        <f>IF(OR(B18="",D18=0),"",COUNTIFS('MiT Strom Pipeline'!$C$6:$C$860,B18,'MiT Strom Pipeline'!$R$6:$R$860,"WON")/D18)</f>
        <v>0</v>
      </c>
      <c r="J18" t="s">
        <v>47</v>
      </c>
      <c r="K18">
        <f>SUMIF('MiT Strom Pipeline'!$C$6:$C$860,J18,'MiT Strom Pipeline'!$I$6:$I$860)</f>
        <v>13472.18</v>
      </c>
      <c r="L18">
        <f t="shared" si="0"/>
        <v>13472.1808</v>
      </c>
    </row>
    <row r="19" spans="1:12" ht="15" customHeight="1">
      <c r="A19" s="14">
        <v>5</v>
      </c>
      <c r="B19" s="15" t="str">
        <f>IFERROR(INDEX($J$14:$J$39,MATCH(LARGE($L$14:$L$39,5),$L$14:$L$39,0)),"")</f>
        <v>VS</v>
      </c>
      <c r="C19" s="16">
        <f>IF(B19="","",SUMIF('MiT Strom Pipeline'!$C$6:$C$860,B19,'MiT Strom Pipeline'!$I$6:$I$860))</f>
        <v>303790.2</v>
      </c>
      <c r="D19" s="17">
        <f>IF(B19="","",COUNTIF('MiT Strom Pipeline'!$C$6:$C$860,B19))</f>
        <v>3</v>
      </c>
      <c r="E19" s="18">
        <f>IF(OR(B19="",D19=0),"",COUNTIFS('MiT Strom Pipeline'!$C$6:$C$860,B19,'MiT Strom Pipeline'!$R$6:$R$860,"WON")/D19)</f>
        <v>0.33333333333333331</v>
      </c>
      <c r="J19" t="s">
        <v>48</v>
      </c>
      <c r="K19">
        <f>SUMIF('MiT Strom Pipeline'!$C$6:$C$860,J19,'MiT Strom Pipeline'!$I$6:$I$860)</f>
        <v>13866.21</v>
      </c>
      <c r="L19">
        <f t="shared" si="0"/>
        <v>13866.2107</v>
      </c>
    </row>
    <row r="20" spans="1:12" ht="15" customHeight="1">
      <c r="A20" s="14">
        <v>6</v>
      </c>
      <c r="B20" s="15" t="str">
        <f>IFERROR(INDEX($J$14:$J$39,MATCH(LARGE($L$14:$L$39,6),$L$14:$L$39,0)),"")</f>
        <v>TG</v>
      </c>
      <c r="C20" s="16">
        <f>IF(B20="","",SUMIF('MiT Strom Pipeline'!$C$6:$C$860,B20,'MiT Strom Pipeline'!$I$6:$I$860))</f>
        <v>160817.25999999998</v>
      </c>
      <c r="D20" s="17">
        <f>IF(B20="","",COUNTIF('MiT Strom Pipeline'!$C$6:$C$860,B20))</f>
        <v>3</v>
      </c>
      <c r="E20" s="18">
        <f>IF(OR(B20="",D20=0),"",COUNTIFS('MiT Strom Pipeline'!$C$6:$C$860,B20,'MiT Strom Pipeline'!$R$6:$R$860,"WON")/D20)</f>
        <v>0.66666666666666663</v>
      </c>
      <c r="J20" t="s">
        <v>49</v>
      </c>
      <c r="K20">
        <f>SUMIF('MiT Strom Pipeline'!$C$6:$C$860,J20,'MiT Strom Pipeline'!$I$6:$I$860)</f>
        <v>0</v>
      </c>
      <c r="L20">
        <f t="shared" si="0"/>
        <v>6.0000000000000006E-4</v>
      </c>
    </row>
    <row r="21" spans="1:12" ht="15" customHeight="1">
      <c r="A21" s="14">
        <v>7</v>
      </c>
      <c r="B21" s="15" t="str">
        <f>IFERROR(INDEX($J$14:$J$39,MATCH(LARGE($L$14:$L$39,7),$L$14:$L$39,0)),"")</f>
        <v>SG</v>
      </c>
      <c r="C21" s="16">
        <f>IF(B21="","",SUMIF('MiT Strom Pipeline'!$C$6:$C$860,B21,'MiT Strom Pipeline'!$I$6:$I$860))</f>
        <v>101192.62</v>
      </c>
      <c r="D21" s="17">
        <f>IF(B21="","",COUNTIF('MiT Strom Pipeline'!$C$6:$C$860,B21))</f>
        <v>3</v>
      </c>
      <c r="E21" s="18">
        <f>IF(OR(B21="",D21=0),"",COUNTIFS('MiT Strom Pipeline'!$C$6:$C$860,B21,'MiT Strom Pipeline'!$R$6:$R$860,"WON")/D21)</f>
        <v>0.33333333333333331</v>
      </c>
      <c r="J21" t="s">
        <v>50</v>
      </c>
      <c r="K21">
        <f>SUMIF('MiT Strom Pipeline'!$C$6:$C$860,J21,'MiT Strom Pipeline'!$I$6:$I$860)</f>
        <v>38885</v>
      </c>
      <c r="L21">
        <f t="shared" si="0"/>
        <v>38885.000500000002</v>
      </c>
    </row>
    <row r="22" spans="1:12" ht="15" customHeight="1">
      <c r="A22" s="14">
        <v>8</v>
      </c>
      <c r="B22" s="15" t="str">
        <f>IFERROR(INDEX($J$14:$J$39,MATCH(LARGE($L$14:$L$39,8),$L$14:$L$39,0)),"")</f>
        <v>GR</v>
      </c>
      <c r="C22" s="16">
        <f>IF(B22="","",SUMIF('MiT Strom Pipeline'!$C$6:$C$860,B22,'MiT Strom Pipeline'!$I$6:$I$860))</f>
        <v>77325.62</v>
      </c>
      <c r="D22" s="17">
        <f>IF(B22="","",COUNTIF('MiT Strom Pipeline'!$C$6:$C$860,B22))</f>
        <v>2</v>
      </c>
      <c r="E22" s="18">
        <f>IF(OR(B22="",D22=0),"",COUNTIFS('MiT Strom Pipeline'!$C$6:$C$860,B22,'MiT Strom Pipeline'!$R$6:$R$860,"WON")/D22)</f>
        <v>0</v>
      </c>
      <c r="J22" t="s">
        <v>51</v>
      </c>
      <c r="K22">
        <f>SUMIF('MiT Strom Pipeline'!$C$6:$C$860,J22,'MiT Strom Pipeline'!$I$6:$I$860)</f>
        <v>0</v>
      </c>
      <c r="L22">
        <f t="shared" si="0"/>
        <v>4.0000000000000002E-4</v>
      </c>
    </row>
    <row r="23" spans="1:12" ht="15" customHeight="1">
      <c r="A23" s="14">
        <v>9</v>
      </c>
      <c r="B23" s="15" t="str">
        <f>IFERROR(INDEX($J$14:$J$39,MATCH(LARGE($L$14:$L$39,9),$L$14:$L$39,0)),"")</f>
        <v>BE</v>
      </c>
      <c r="C23" s="16">
        <f>IF(B23="","",SUMIF('MiT Strom Pipeline'!$C$6:$C$860,B23,'MiT Strom Pipeline'!$I$6:$I$860))</f>
        <v>58012.12</v>
      </c>
      <c r="D23" s="17">
        <f>IF(B23="","",COUNTIF('MiT Strom Pipeline'!$C$6:$C$860,B23))</f>
        <v>5</v>
      </c>
      <c r="E23" s="18">
        <f>IF(OR(B23="",D23=0),"",COUNTIFS('MiT Strom Pipeline'!$C$6:$C$860,B23,'MiT Strom Pipeline'!$R$6:$R$860,"WON")/D23)</f>
        <v>0</v>
      </c>
      <c r="J23" t="s">
        <v>52</v>
      </c>
      <c r="K23">
        <f>SUMIF('MiT Strom Pipeline'!$C$6:$C$860,J23,'MiT Strom Pipeline'!$I$6:$I$860)</f>
        <v>77325.62</v>
      </c>
      <c r="L23">
        <f t="shared" si="0"/>
        <v>77325.620299999995</v>
      </c>
    </row>
    <row r="24" spans="1:12" ht="15" customHeight="1">
      <c r="A24" s="14">
        <v>10</v>
      </c>
      <c r="B24" s="15" t="str">
        <f>IFERROR(INDEX($J$14:$J$39,MATCH(LARGE($L$14:$L$39,10),$L$14:$L$39,0)),"")</f>
        <v>ZG</v>
      </c>
      <c r="C24" s="16">
        <f>IF(B24="","",SUMIF('MiT Strom Pipeline'!$C$6:$C$860,B24,'MiT Strom Pipeline'!$I$6:$I$860))</f>
        <v>40491.67</v>
      </c>
      <c r="D24" s="17">
        <f>IF(B24="","",COUNTIF('MiT Strom Pipeline'!$C$6:$C$860,B24))</f>
        <v>1</v>
      </c>
      <c r="E24" s="18">
        <f>IF(OR(B24="",D24=0),"",COUNTIFS('MiT Strom Pipeline'!$C$6:$C$860,B24,'MiT Strom Pipeline'!$R$6:$R$860,"WON")/D24)</f>
        <v>0</v>
      </c>
      <c r="J24" t="s">
        <v>53</v>
      </c>
      <c r="K24">
        <f>SUMIF('MiT Strom Pipeline'!$C$6:$C$860,J24,'MiT Strom Pipeline'!$I$6:$I$860)</f>
        <v>0</v>
      </c>
      <c r="L24">
        <f t="shared" si="0"/>
        <v>2.0000000000000001E-4</v>
      </c>
    </row>
    <row r="25" spans="1:12" ht="15" customHeight="1">
      <c r="J25" t="s">
        <v>54</v>
      </c>
      <c r="K25">
        <f>SUMIF('MiT Strom Pipeline'!$C$6:$C$860,J25,'MiT Strom Pipeline'!$I$6:$I$860)</f>
        <v>23626.77</v>
      </c>
      <c r="L25">
        <f t="shared" si="0"/>
        <v>23626.770100000002</v>
      </c>
    </row>
    <row r="26" spans="1:12" ht="15" customHeight="1">
      <c r="J26" t="s">
        <v>55</v>
      </c>
      <c r="K26">
        <f>SUMIF('MiT Strom Pipeline'!$C$6:$C$860,J26,'MiT Strom Pipeline'!$I$6:$I$860)</f>
        <v>0</v>
      </c>
      <c r="L26">
        <f t="shared" si="0"/>
        <v>0</v>
      </c>
    </row>
    <row r="27" spans="1:12" ht="17.25" customHeight="1">
      <c r="A27" s="147" t="s">
        <v>56</v>
      </c>
      <c r="B27" s="135"/>
      <c r="C27" s="135"/>
      <c r="D27" s="135"/>
      <c r="E27" s="135"/>
      <c r="F27" s="135"/>
      <c r="G27" s="135"/>
      <c r="H27" s="135"/>
      <c r="J27" t="s">
        <v>57</v>
      </c>
      <c r="K27">
        <f>SUMIF('MiT Strom Pipeline'!$C$6:$C$860,J27,'MiT Strom Pipeline'!$I$6:$I$860)</f>
        <v>0</v>
      </c>
      <c r="L27">
        <f t="shared" si="0"/>
        <v>-1E-4</v>
      </c>
    </row>
    <row r="28" spans="1:12" ht="15" customHeight="1">
      <c r="A28" s="5" t="s">
        <v>39</v>
      </c>
      <c r="B28" s="5" t="s">
        <v>7</v>
      </c>
      <c r="C28" s="5" t="s">
        <v>40</v>
      </c>
      <c r="D28" s="5" t="s">
        <v>10</v>
      </c>
      <c r="E28" s="5" t="s">
        <v>16</v>
      </c>
      <c r="F28" s="5" t="s">
        <v>58</v>
      </c>
      <c r="G28" s="5" t="s">
        <v>9</v>
      </c>
      <c r="J28" t="s">
        <v>59</v>
      </c>
      <c r="K28">
        <f>SUMIF('MiT Strom Pipeline'!$C$6:$C$860,J28,'MiT Strom Pipeline'!$I$6:$I$860)</f>
        <v>0</v>
      </c>
      <c r="L28">
        <f t="shared" si="0"/>
        <v>-2.0000000000000001E-4</v>
      </c>
    </row>
    <row r="29" spans="1:12" ht="15" customHeight="1">
      <c r="A29" s="14">
        <v>1</v>
      </c>
      <c r="B29" s="15" t="str">
        <f>IFERROR(INDEX('MiT Strom Pipeline'!$B$6:$B$860,MATCH(LARGE('MiT Strom Pipeline'!$Z$6:$Z$860,1),'MiT Strom Pipeline'!$Z$6:$Z$860,0)),"")</f>
        <v>Ice Hockey Championship</v>
      </c>
      <c r="C29" s="14" t="str">
        <f>IFERROR(INDEX('MiT Strom Pipeline'!$C$6:$C$860,MATCH(LARGE('MiT Strom Pipeline'!$Z$6:$Z$860,1),'MiT Strom Pipeline'!$Z$6:$Z$860,0)),"")</f>
        <v>ZH</v>
      </c>
      <c r="D29" s="15" t="str">
        <f>IFERROR(INDEX('MiT Strom Pipeline'!$D$6:$D$860,MATCH(LARGE('MiT Strom Pipeline'!$Z$6:$Z$860,1),'MiT Strom Pipeline'!$Z$6:$Z$860,0)),"")</f>
        <v>Events &amp; Sport</v>
      </c>
      <c r="E29" s="16">
        <f>IFERROR(LARGE('MiT Strom Pipeline'!$Z$6:$Z$860,1),"")</f>
        <v>380000</v>
      </c>
      <c r="F29" s="16">
        <f>IFERROR(INDEX('MiT Strom Pipeline'!$O$6:$O$860,MATCH(LARGE('MiT Strom Pipeline'!$Z$6:$Z$860,1),'MiT Strom Pipeline'!$Z$6:$Z$860,0)),"")</f>
        <v>145000</v>
      </c>
      <c r="G29" s="15" t="str">
        <f>IFERROR(INDEX('MiT Strom Pipeline'!H6:H860,MATCH(LARGE('MiT Strom Pipeline'!Z6:Z860,1),'MiT Strom Pipeline'!Z6:Z860,0)),"")</f>
        <v>Mai</v>
      </c>
      <c r="J29" t="s">
        <v>60</v>
      </c>
      <c r="K29">
        <f>SUMIF('MiT Strom Pipeline'!$C$6:$C$860,J29,'MiT Strom Pipeline'!$I$6:$I$860)</f>
        <v>101192.62</v>
      </c>
      <c r="L29">
        <f t="shared" si="0"/>
        <v>101192.6197</v>
      </c>
    </row>
    <row r="30" spans="1:12" ht="15" customHeight="1">
      <c r="A30" s="14">
        <v>2</v>
      </c>
      <c r="B30" s="15" t="str">
        <f>IFERROR(INDEX('MiT Strom Pipeline'!$B$6:$B$860,MATCH(LARGE('MiT Strom Pipeline'!$Z$6:$Z$860,2),'MiT Strom Pipeline'!$Z$6:$Z$860,0)),"")</f>
        <v>DPR Heat Loadbank</v>
      </c>
      <c r="C30" s="14" t="str">
        <f>IFERROR(INDEX('MiT Strom Pipeline'!$C$6:$C$860,MATCH(LARGE('MiT Strom Pipeline'!$Z$6:$Z$860,2),'MiT Strom Pipeline'!$Z$6:$Z$860,0)),"")</f>
        <v>ZH</v>
      </c>
      <c r="D30" s="15" t="str">
        <f>IFERROR(INDEX('MiT Strom Pipeline'!$D$6:$D$860,MATCH(LARGE('MiT Strom Pipeline'!$Z$6:$Z$860,2),'MiT Strom Pipeline'!$Z$6:$Z$860,0)),"")</f>
        <v>Datacenter</v>
      </c>
      <c r="E30" s="16">
        <f>IFERROR(LARGE('MiT Strom Pipeline'!$Z$6:$Z$860,2),"")</f>
        <v>333790</v>
      </c>
      <c r="F30" s="16">
        <f>IFERROR(INDEX('MiT Strom Pipeline'!$O$6:$O$860,MATCH(LARGE('MiT Strom Pipeline'!$Z$6:$Z$860,2),'MiT Strom Pipeline'!$Z$6:$Z$860,0)),"")</f>
        <v>-25011.090000000026</v>
      </c>
      <c r="G30" s="15" t="str">
        <f>IFERROR(INDEX('MiT Strom Pipeline'!H6:H860,MATCH(LARGE('MiT Strom Pipeline'!Z6:Z860,2),'MiT Strom Pipeline'!Z6:Z860,0)),"")</f>
        <v>Aug</v>
      </c>
      <c r="J30" t="s">
        <v>61</v>
      </c>
      <c r="K30">
        <f>SUMIF('MiT Strom Pipeline'!$C$6:$C$860,J30,'MiT Strom Pipeline'!$I$6:$I$860)</f>
        <v>2637287.63</v>
      </c>
      <c r="L30">
        <f t="shared" si="0"/>
        <v>2637287.6296000001</v>
      </c>
    </row>
    <row r="31" spans="1:12" ht="15" customHeight="1">
      <c r="A31" s="14">
        <v>3</v>
      </c>
      <c r="B31" s="15" t="str">
        <f>IFERROR(INDEX('MiT Strom Pipeline'!$B$6:$B$860,MATCH(LARGE('MiT Strom Pipeline'!$Z$6:$Z$860,3),'MiT Strom Pipeline'!$Z$6:$Z$860,0)),"")</f>
        <v>DPR Generator Loadbank Test</v>
      </c>
      <c r="C31" s="14" t="str">
        <f>IFERROR(INDEX('MiT Strom Pipeline'!$C$6:$C$860,MATCH(LARGE('MiT Strom Pipeline'!$Z$6:$Z$860,3),'MiT Strom Pipeline'!$Z$6:$Z$860,0)),"")</f>
        <v>ZH</v>
      </c>
      <c r="D31" s="15" t="str">
        <f>IFERROR(INDEX('MiT Strom Pipeline'!$D$6:$D$860,MATCH(LARGE('MiT Strom Pipeline'!$Z$6:$Z$860,3),'MiT Strom Pipeline'!$Z$6:$Z$860,0)),"")</f>
        <v>Datacenter</v>
      </c>
      <c r="E31" s="16">
        <f>IFERROR(LARGE('MiT Strom Pipeline'!$Z$6:$Z$860,3),"")</f>
        <v>331889.15000000002</v>
      </c>
      <c r="F31" s="16">
        <f>IFERROR(INDEX('MiT Strom Pipeline'!$O$6:$O$860,MATCH(LARGE('MiT Strom Pipeline'!$Z$6:$Z$860,3),'MiT Strom Pipeline'!$Z$6:$Z$860,0)),"")</f>
        <v>-24868.659999999974</v>
      </c>
      <c r="G31" s="15" t="str">
        <f>IFERROR(INDEX('MiT Strom Pipeline'!H6:H860,MATCH(LARGE('MiT Strom Pipeline'!Z6:Z860,3),'MiT Strom Pipeline'!Z6:Z860,0)),"")</f>
        <v>Aug</v>
      </c>
      <c r="J31" t="s">
        <v>62</v>
      </c>
      <c r="K31">
        <f>SUMIF('MiT Strom Pipeline'!$C$6:$C$860,J31,'MiT Strom Pipeline'!$I$6:$I$860)</f>
        <v>390750.65</v>
      </c>
      <c r="L31">
        <f t="shared" si="0"/>
        <v>390750.6495</v>
      </c>
    </row>
    <row r="32" spans="1:12" ht="15" customHeight="1">
      <c r="A32" s="14">
        <v>4</v>
      </c>
      <c r="B32" s="15" t="str">
        <f>IFERROR(INDEX('MiT Strom Pipeline'!$B$6:$B$860,MATCH(LARGE('MiT Strom Pipeline'!$Z$6:$Z$860,4),'MiT Strom Pipeline'!$Z$6:$Z$860,0)),"")</f>
        <v>Stagelight – OpenAir Frauenfeld</v>
      </c>
      <c r="C32" s="14" t="str">
        <f>IFERROR(INDEX('MiT Strom Pipeline'!$C$6:$C$860,MATCH(LARGE('MiT Strom Pipeline'!$Z$6:$Z$860,4),'MiT Strom Pipeline'!$Z$6:$Z$860,0)),"")</f>
        <v>TG</v>
      </c>
      <c r="D32" s="15" t="str">
        <f>IFERROR(INDEX('MiT Strom Pipeline'!$D$6:$D$860,MATCH(LARGE('MiT Strom Pipeline'!$Z$6:$Z$860,4),'MiT Strom Pipeline'!$Z$6:$Z$860,0)),"")</f>
        <v>Events &amp; Kultur</v>
      </c>
      <c r="E32" s="16">
        <f>IFERROR(LARGE('MiT Strom Pipeline'!$Z$6:$Z$860,4),"")</f>
        <v>150000</v>
      </c>
      <c r="F32" s="16">
        <f>IFERROR(INDEX('MiT Strom Pipeline'!$O$6:$O$860,MATCH(LARGE('MiT Strom Pipeline'!$Z$6:$Z$860,4),'MiT Strom Pipeline'!$Z$6:$Z$860,0)),"")</f>
        <v>39500</v>
      </c>
      <c r="G32" s="15" t="str">
        <f>IFERROR(INDEX('MiT Strom Pipeline'!H6:H860,MATCH(LARGE('MiT Strom Pipeline'!Z6:Z860,4),'MiT Strom Pipeline'!Z6:Z860,0)),"")</f>
        <v>Juli</v>
      </c>
      <c r="J32" t="s">
        <v>63</v>
      </c>
      <c r="K32">
        <f>SUMIF('MiT Strom Pipeline'!$C$6:$C$860,J32,'MiT Strom Pipeline'!$I$6:$I$860)</f>
        <v>0</v>
      </c>
      <c r="L32">
        <f t="shared" si="0"/>
        <v>-6.0000000000000006E-4</v>
      </c>
    </row>
    <row r="33" spans="1:12" ht="15" customHeight="1">
      <c r="A33" s="14">
        <v>5</v>
      </c>
      <c r="B33" s="15" t="str">
        <f>IFERROR(INDEX('MiT Strom Pipeline'!$B$6:$B$860,MATCH(LARGE('MiT Strom Pipeline'!$Z$6:$Z$860,5),'MiT Strom Pipeline'!$Z$6:$Z$860,0)),"")</f>
        <v>Murg Flums Energie</v>
      </c>
      <c r="C33" s="14" t="str">
        <f>IFERROR(INDEX('MiT Strom Pipeline'!$C$6:$C$860,MATCH(LARGE('MiT Strom Pipeline'!$Z$6:$Z$860,5),'MiT Strom Pipeline'!$Z$6:$Z$860,0)),"")</f>
        <v>SG</v>
      </c>
      <c r="D33" s="15" t="str">
        <f>IFERROR(INDEX('MiT Strom Pipeline'!$D$6:$D$860,MATCH(LARGE('MiT Strom Pipeline'!$Z$6:$Z$860,5),'MiT Strom Pipeline'!$Z$6:$Z$860,0)),"")</f>
        <v>EVU / Energie</v>
      </c>
      <c r="E33" s="16">
        <f>IFERROR(LARGE('MiT Strom Pipeline'!$Z$6:$Z$860,5),"")</f>
        <v>96658.69</v>
      </c>
      <c r="F33" s="16">
        <f>IFERROR(INDEX('MiT Strom Pipeline'!$O$6:$O$860,MATCH(LARGE('MiT Strom Pipeline'!$Z$6:$Z$860,5),'MiT Strom Pipeline'!$Z$6:$Z$860,0)),"")</f>
        <v>7242.6900000000023</v>
      </c>
      <c r="G33" s="15" t="str">
        <f>IFERROR(INDEX('MiT Strom Pipeline'!H6:H860,MATCH(LARGE('MiT Strom Pipeline'!Z6:Z860,5),'MiT Strom Pipeline'!Z6:Z860,0)),"")</f>
        <v>Auf Abruf</v>
      </c>
      <c r="J33" t="s">
        <v>64</v>
      </c>
      <c r="K33">
        <f>SUMIF('MiT Strom Pipeline'!$C$6:$C$860,J33,'MiT Strom Pipeline'!$I$6:$I$860)</f>
        <v>160817.25999999998</v>
      </c>
      <c r="L33">
        <f t="shared" si="0"/>
        <v>160817.25929999998</v>
      </c>
    </row>
    <row r="34" spans="1:12" ht="15" customHeight="1">
      <c r="A34" s="14">
        <v>6</v>
      </c>
      <c r="B34" s="15" t="str">
        <f>IFERROR(INDEX('MiT Strom Pipeline'!$B$6:$B$860,MATCH(LARGE('MiT Strom Pipeline'!$Z$6:$Z$860,6),'MiT Strom Pipeline'!$Z$6:$Z$860,0)),"")</f>
        <v>Gampeln</v>
      </c>
      <c r="C34" s="14" t="str">
        <f>IFERROR(INDEX('MiT Strom Pipeline'!$C$6:$C$860,MATCH(LARGE('MiT Strom Pipeline'!$Z$6:$Z$860,6),'MiT Strom Pipeline'!$Z$6:$Z$860,0)),"")</f>
        <v>VS</v>
      </c>
      <c r="D34" s="15" t="str">
        <f>IFERROR(INDEX('MiT Strom Pipeline'!$D$6:$D$860,MATCH(LARGE('MiT Strom Pipeline'!$Z$6:$Z$860,6),'MiT Strom Pipeline'!$Z$6:$Z$860,0)),"")</f>
        <v>Event</v>
      </c>
      <c r="E34" s="16">
        <f>IFERROR(LARGE('MiT Strom Pipeline'!$Z$6:$Z$860,6),"")</f>
        <v>80621.210000000006</v>
      </c>
      <c r="F34" s="16">
        <f>IFERROR(INDEX('MiT Strom Pipeline'!$O$6:$O$860,MATCH(LARGE('MiT Strom Pipeline'!$Z$6:$Z$860,6),'MiT Strom Pipeline'!$Z$6:$Z$860,0)),"")</f>
        <v>-10507.899999999994</v>
      </c>
      <c r="G34" s="15" t="str">
        <f>IFERROR(INDEX('MiT Strom Pipeline'!H6:H860,MATCH(LARGE('MiT Strom Pipeline'!Z6:Z860,6),'MiT Strom Pipeline'!Z6:Z860,0)),"")</f>
        <v>Aug</v>
      </c>
      <c r="J34" t="s">
        <v>65</v>
      </c>
      <c r="K34">
        <f>SUMIF('MiT Strom Pipeline'!$C$6:$C$860,J34,'MiT Strom Pipeline'!$I$6:$I$860)</f>
        <v>0</v>
      </c>
      <c r="L34">
        <f t="shared" si="0"/>
        <v>-8.0000000000000004E-4</v>
      </c>
    </row>
    <row r="35" spans="1:12" ht="15" customHeight="1">
      <c r="A35" s="14">
        <v>7</v>
      </c>
      <c r="B35" s="15" t="str">
        <f>IFERROR(INDEX('MiT Strom Pipeline'!$B$6:$B$860,MATCH(LARGE('MiT Strom Pipeline'!$Z$6:$Z$860,7),'MiT Strom Pipeline'!$Z$6:$Z$860,0)),"")</f>
        <v>EIDG AMT Agroscope</v>
      </c>
      <c r="C35" s="14" t="str">
        <f>IFERROR(INDEX('MiT Strom Pipeline'!$C$6:$C$860,MATCH(LARGE('MiT Strom Pipeline'!$Z$6:$Z$860,7),'MiT Strom Pipeline'!$Z$6:$Z$860,0)),"")</f>
        <v>ZH</v>
      </c>
      <c r="D35" s="15" t="str">
        <f>IFERROR(INDEX('MiT Strom Pipeline'!$D$6:$D$860,MATCH(LARGE('MiT Strom Pipeline'!$Z$6:$Z$860,7),'MiT Strom Pipeline'!$Z$6:$Z$860,0)),"")</f>
        <v>Forschung</v>
      </c>
      <c r="E35" s="16">
        <f>IFERROR(LARGE('MiT Strom Pipeline'!$Z$6:$Z$860,7),"")</f>
        <v>13533</v>
      </c>
      <c r="F35" s="16">
        <f>IFERROR(INDEX('MiT Strom Pipeline'!$O$6:$O$860,MATCH(LARGE('MiT Strom Pipeline'!$Z$6:$Z$860,7),'MiT Strom Pipeline'!$Z$6:$Z$860,0)),"")</f>
        <v>155.45999999999913</v>
      </c>
      <c r="G35" s="15" t="str">
        <f>IFERROR(INDEX('MiT Strom Pipeline'!H6:H860,MATCH(LARGE('MiT Strom Pipeline'!Z6:Z860,7),'MiT Strom Pipeline'!Z6:Z860,0)),"")</f>
        <v>Aug</v>
      </c>
      <c r="J35" t="s">
        <v>66</v>
      </c>
      <c r="K35">
        <f>SUMIF('MiT Strom Pipeline'!$C$6:$C$860,J35,'MiT Strom Pipeline'!$I$6:$I$860)</f>
        <v>0</v>
      </c>
      <c r="L35">
        <f t="shared" si="0"/>
        <v>-9.0000000000000008E-4</v>
      </c>
    </row>
    <row r="36" spans="1:12" ht="15" customHeight="1">
      <c r="A36" s="14">
        <v>8</v>
      </c>
      <c r="B36" s="15" t="str">
        <f>IFERROR(INDEX('MiT Strom Pipeline'!$B$6:$B$860,MATCH(LARGE('MiT Strom Pipeline'!$Z$6:$Z$860,8),'MiT Strom Pipeline'!$Z$6:$Z$860,0)),"")</f>
        <v>GETEC Park.Swiss AG</v>
      </c>
      <c r="C36" s="14" t="str">
        <f>IFERROR(INDEX('MiT Strom Pipeline'!$C$6:$C$860,MATCH(LARGE('MiT Strom Pipeline'!$Z$6:$Z$860,8),'MiT Strom Pipeline'!$Z$6:$Z$860,0)),"")</f>
        <v>BL</v>
      </c>
      <c r="D36" s="15" t="str">
        <f>IFERROR(INDEX('MiT Strom Pipeline'!$D$6:$D$860,MATCH(LARGE('MiT Strom Pipeline'!$Z$6:$Z$860,8),'MiT Strom Pipeline'!$Z$6:$Z$860,0)),"")</f>
        <v>Industrie</v>
      </c>
      <c r="E36" s="16">
        <f>IFERROR(LARGE('MiT Strom Pipeline'!$Z$6:$Z$860,8),"")</f>
        <v>13472.18</v>
      </c>
      <c r="F36" s="16">
        <f>IFERROR(INDEX('MiT Strom Pipeline'!$O$6:$O$860,MATCH(LARGE('MiT Strom Pipeline'!$Z$6:$Z$860,8),'MiT Strom Pipeline'!$Z$6:$Z$860,0)),"")</f>
        <v>1.8189894035458565E-12</v>
      </c>
      <c r="G36" s="15" t="str">
        <f>IFERROR(INDEX('MiT Strom Pipeline'!H6:H860,MATCH(LARGE('MiT Strom Pipeline'!Z6:Z860,8),'MiT Strom Pipeline'!Z6:Z860,0)),"")</f>
        <v>August</v>
      </c>
      <c r="J36" t="s">
        <v>67</v>
      </c>
      <c r="K36">
        <f>SUMIF('MiT Strom Pipeline'!$C$6:$C$860,J36,'MiT Strom Pipeline'!$I$6:$I$860)</f>
        <v>0</v>
      </c>
      <c r="L36">
        <f t="shared" si="0"/>
        <v>-1E-3</v>
      </c>
    </row>
    <row r="37" spans="1:12" ht="15" customHeight="1">
      <c r="A37" s="14">
        <v>9</v>
      </c>
      <c r="B37" s="15" t="str">
        <f>IFERROR(INDEX('MiT Strom Pipeline'!$B$6:$B$860,MATCH(LARGE('MiT Strom Pipeline'!$Z$6:$Z$860,9),'MiT Strom Pipeline'!$Z$6:$Z$860,0)),"")</f>
        <v>Oerlikon Metco Wohlen</v>
      </c>
      <c r="C37" s="14" t="str">
        <f>IFERROR(INDEX('MiT Strom Pipeline'!$C$6:$C$860,MATCH(LARGE('MiT Strom Pipeline'!$Z$6:$Z$860,9),'MiT Strom Pipeline'!$Z$6:$Z$860,0)),"")</f>
        <v>AG</v>
      </c>
      <c r="D37" s="15" t="str">
        <f>IFERROR(INDEX('MiT Strom Pipeline'!$D$6:$D$860,MATCH(LARGE('MiT Strom Pipeline'!$Z$6:$Z$860,9),'MiT Strom Pipeline'!$Z$6:$Z$860,0)),"")</f>
        <v>Industrie / Oberfläche</v>
      </c>
      <c r="E37" s="16">
        <f>IFERROR(LARGE('MiT Strom Pipeline'!$Z$6:$Z$860,9),"")</f>
        <v>13100</v>
      </c>
      <c r="F37" s="16">
        <f>IFERROR(INDEX('MiT Strom Pipeline'!$O$6:$O$860,MATCH(LARGE('MiT Strom Pipeline'!$Z$6:$Z$860,9),'MiT Strom Pipeline'!$Z$6:$Z$860,0)),"")</f>
        <v>3000</v>
      </c>
      <c r="G37" s="15" t="str">
        <f>IFERROR(INDEX('MiT Strom Pipeline'!H6:H860,MATCH(LARGE('MiT Strom Pipeline'!Z6:Z860,9),'MiT Strom Pipeline'!Z6:Z860,0)),"")</f>
        <v>April</v>
      </c>
      <c r="J37" t="s">
        <v>68</v>
      </c>
      <c r="K37">
        <f>SUMIF('MiT Strom Pipeline'!$C$6:$C$860,J37,'MiT Strom Pipeline'!$I$6:$I$860)</f>
        <v>303790.2</v>
      </c>
      <c r="L37">
        <f t="shared" si="0"/>
        <v>303790.19890000002</v>
      </c>
    </row>
    <row r="38" spans="1:12" ht="15" customHeight="1">
      <c r="A38" s="14">
        <v>10</v>
      </c>
      <c r="B38" s="15" t="str">
        <f>IFERROR(INDEX('MiT Strom Pipeline'!$B$6:$B$860,MATCH(LARGE('MiT Strom Pipeline'!$Z$6:$Z$860,10),'MiT Strom Pipeline'!$Z$6:$Z$860,0)),"")</f>
        <v>Siemens</v>
      </c>
      <c r="C38" s="14" t="str">
        <f>IFERROR(INDEX('MiT Strom Pipeline'!$C$6:$C$860,MATCH(LARGE('MiT Strom Pipeline'!$Z$6:$Z$860,10),'MiT Strom Pipeline'!$Z$6:$Z$860,0)),"")</f>
        <v>ZH</v>
      </c>
      <c r="D38" s="15" t="str">
        <f>IFERROR(INDEX('MiT Strom Pipeline'!$D$6:$D$860,MATCH(LARGE('MiT Strom Pipeline'!$Z$6:$Z$860,10),'MiT Strom Pipeline'!$Z$6:$Z$860,0)),"")</f>
        <v>Industrie / Elektro</v>
      </c>
      <c r="E38" s="16">
        <f>IFERROR(LARGE('MiT Strom Pipeline'!$Z$6:$Z$860,10),"")</f>
        <v>10000</v>
      </c>
      <c r="F38" s="16">
        <f>IFERROR(INDEX('MiT Strom Pipeline'!$O$6:$O$860,MATCH(LARGE('MiT Strom Pipeline'!$Z$6:$Z$860,10),'MiT Strom Pipeline'!$Z$6:$Z$860,0)),"")</f>
        <v>10000</v>
      </c>
      <c r="G38" s="15" t="str">
        <f>IFERROR(INDEX('MiT Strom Pipeline'!H6:H860,MATCH(LARGE('MiT Strom Pipeline'!Z6:Z860,10),'MiT Strom Pipeline'!Z6:Z860,0)),"")</f>
        <v>tbd</v>
      </c>
      <c r="J38" t="s">
        <v>69</v>
      </c>
      <c r="K38">
        <f>SUMIF('MiT Strom Pipeline'!$C$6:$C$860,J38,'MiT Strom Pipeline'!$I$6:$I$860)</f>
        <v>40491.67</v>
      </c>
      <c r="L38">
        <f t="shared" si="0"/>
        <v>40491.668799999999</v>
      </c>
    </row>
    <row r="39" spans="1:12" ht="15" customHeight="1">
      <c r="J39" t="s">
        <v>70</v>
      </c>
      <c r="K39">
        <f>SUMIF('MiT Strom Pipeline'!$C$6:$C$860,J39,'MiT Strom Pipeline'!$I$6:$I$860)</f>
        <v>2732238.9799999995</v>
      </c>
      <c r="L39">
        <f t="shared" si="0"/>
        <v>2732238.9786999994</v>
      </c>
    </row>
    <row r="40" spans="1:12" ht="15" customHeight="1">
      <c r="A40" s="148" t="s">
        <v>71</v>
      </c>
      <c r="B40" s="126"/>
      <c r="C40" s="126"/>
      <c r="D40" s="126"/>
      <c r="E40" s="126"/>
      <c r="F40" s="126"/>
    </row>
    <row r="41" spans="1:12" ht="15" customHeight="1">
      <c r="A41" s="148" t="s">
        <v>72</v>
      </c>
      <c r="B41" s="126"/>
      <c r="C41" s="126"/>
      <c r="D41" s="126"/>
      <c r="E41" s="126"/>
      <c r="F41" s="126"/>
      <c r="G41" s="126"/>
      <c r="H41" s="126"/>
    </row>
  </sheetData>
  <mergeCells count="8">
    <mergeCell ref="A1:H1"/>
    <mergeCell ref="A3:H3"/>
    <mergeCell ref="A2:H2"/>
    <mergeCell ref="A41:H41"/>
    <mergeCell ref="A13:H13"/>
    <mergeCell ref="A40:F40"/>
    <mergeCell ref="A5:H5"/>
    <mergeCell ref="A27:H27"/>
  </mergeCells>
  <printOptions horizontalCentered="1"/>
  <pageMargins left="0.3" right="0.3" top="0.5" bottom="0.5" header="0.2" footer="0.2"/>
  <pageSetup paperSize="9" orientation="portrait" horizontalDpi="300" verticalDpi="300"/>
  <headerFooter>
    <oddHeader>&amp;C&amp;"Calibri,Bold"&amp;14 ⚡ MiT Strom Schweiz — Sales Report</oddHeader>
    <oddFooter>&amp;LMobil in Time AG · An Aggreko Company&amp;R&amp;"Calibri,Italic"&amp;9 Stand: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  <pageSetUpPr fitToPage="1"/>
  </sheetPr>
  <dimension ref="A1:U219"/>
  <sheetViews>
    <sheetView zoomScale="115" zoomScaleNormal="115" workbookViewId="0">
      <selection activeCell="D85" sqref="D85"/>
    </sheetView>
  </sheetViews>
  <sheetFormatPr defaultColWidth="9.140625" defaultRowHeight="15"/>
  <cols>
    <col min="1" max="1" width="4" customWidth="1"/>
    <col min="2" max="2" width="27.7109375" bestFit="1" customWidth="1"/>
    <col min="3" max="3" width="7.7109375" bestFit="1" customWidth="1"/>
    <col min="4" max="4" width="18" customWidth="1"/>
    <col min="5" max="5" width="13" customWidth="1"/>
    <col min="6" max="6" width="79.42578125" bestFit="1" customWidth="1"/>
    <col min="7" max="8" width="12" customWidth="1"/>
    <col min="9" max="10" width="11" customWidth="1"/>
    <col min="11" max="11" width="7" customWidth="1"/>
    <col min="12" max="12" width="52.5703125" bestFit="1" customWidth="1"/>
    <col min="13" max="20" width="8.42578125" customWidth="1"/>
    <col min="21" max="21" width="13" hidden="1" customWidth="1"/>
  </cols>
  <sheetData>
    <row r="1" spans="1:21" ht="39.75" customHeight="1">
      <c r="A1" s="103" t="str">
        <f ca="1">"⚡  MiT Strom Schweiz — CEO Sales Report  ·  "&amp;TEXT(TODAY(),"MMMM YYYY")</f>
        <v>⚡  MiT Strom Schweiz — CEO Sales Report  ·  August YYYY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9"/>
      <c r="N1" s="19"/>
      <c r="O1" s="19"/>
      <c r="P1" s="19"/>
      <c r="Q1" s="19"/>
      <c r="R1" s="19"/>
      <c r="S1" s="19"/>
    </row>
    <row r="2" spans="1:21" ht="18" customHeight="1">
      <c r="A2" s="106" t="s">
        <v>73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9"/>
      <c r="N2" s="19"/>
      <c r="O2" s="19"/>
      <c r="P2" s="19"/>
      <c r="Q2" s="19"/>
      <c r="R2" s="19"/>
      <c r="S2" s="19"/>
    </row>
    <row r="3" spans="1:21" ht="4.5" customHeight="1">
      <c r="A3" s="149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9"/>
      <c r="N3" s="19"/>
      <c r="O3" s="19"/>
      <c r="P3" s="19"/>
      <c r="Q3" s="19"/>
      <c r="R3" s="19"/>
      <c r="S3" s="19"/>
    </row>
    <row r="4" spans="1:21" ht="9.75" customHeight="1">
      <c r="M4" s="19"/>
      <c r="N4" s="19"/>
      <c r="O4" s="19"/>
      <c r="P4" s="19"/>
      <c r="Q4" s="19"/>
      <c r="R4" s="19"/>
      <c r="S4" s="19"/>
    </row>
    <row r="5" spans="1:21" ht="21.75" customHeight="1">
      <c r="A5" s="114" t="s">
        <v>74</v>
      </c>
      <c r="B5" s="126"/>
      <c r="C5" s="126"/>
      <c r="D5" s="126"/>
      <c r="E5" s="108" t="s">
        <v>75</v>
      </c>
      <c r="F5" s="126"/>
      <c r="G5" s="126"/>
      <c r="H5" s="126"/>
      <c r="I5" s="105" t="s">
        <v>76</v>
      </c>
      <c r="J5" s="126"/>
      <c r="K5" s="126"/>
      <c r="L5" s="126"/>
      <c r="M5" s="20"/>
      <c r="N5" s="19"/>
      <c r="O5" s="19"/>
      <c r="P5" s="19"/>
      <c r="Q5" s="19"/>
      <c r="R5" s="19"/>
      <c r="S5" s="19"/>
    </row>
    <row r="6" spans="1:21" ht="36" customHeight="1">
      <c r="A6" s="109">
        <f>SUMIFS('MiT Strom Pipeline'!I$6:I$860,'MiT Strom Pipeline'!R$6:R$860,"WON")</f>
        <v>1428553.1299999997</v>
      </c>
      <c r="B6" s="126"/>
      <c r="C6" s="126"/>
      <c r="D6" s="126"/>
      <c r="E6" s="104">
        <f>SUMIFS('MiT Strom Pipeline'!I$6:I$860,'MiT Strom Pipeline'!R$6:R$860,"offered")+SUMIFS('MiT Strom Pipeline'!I$6:I$860,'MiT Strom Pipeline'!R$6:R$860,"to be offered")+SUMIFS('MiT Strom Pipeline'!I$6:I$860,'MiT Strom Pipeline'!R$6:R$860,"on hold")</f>
        <v>5433596.1000000006</v>
      </c>
      <c r="F6" s="126"/>
      <c r="G6" s="126"/>
      <c r="H6" s="126"/>
      <c r="I6" s="107">
        <f>SUMIFS('MiT Strom Pipeline'!I$6:I$860,'MiT Strom Pipeline'!R$6:R$860,"follow-up")+SUMIFS('MiT Strom Pipeline'!I$6:I$860,'MiT Strom Pipeline'!R$6:R$860,"Evaluation")+SUMIFS('MiT Strom Pipeline'!I$6:I$860,'MiT Strom Pipeline'!R$6:R$860,"tbd")+SUMIFS('MiT Strom Pipeline'!I$6:I$860,'MiT Strom Pipeline'!R$6:R$860,"In evaluation")</f>
        <v>0</v>
      </c>
      <c r="J6" s="126"/>
      <c r="K6" s="126"/>
      <c r="L6" s="126"/>
      <c r="M6" s="20"/>
      <c r="N6" s="19"/>
      <c r="O6" s="19"/>
      <c r="P6" s="19"/>
      <c r="Q6" s="19"/>
      <c r="R6" s="19"/>
      <c r="S6" s="19"/>
    </row>
    <row r="7" spans="1:21" ht="19.5" customHeight="1">
      <c r="A7" s="110">
        <f>COUNTIF('MiT Strom Pipeline'!R$6:R$860,"WON")</f>
        <v>12</v>
      </c>
      <c r="B7" s="126"/>
      <c r="C7" s="126"/>
      <c r="D7" s="126"/>
      <c r="E7" s="100">
        <f>COUNTIF('MiT Strom Pipeline'!R$6:R$860,"offered")+COUNTIF('MiT Strom Pipeline'!R$6:R$860,"to be offered")+COUNTIF('MiT Strom Pipeline'!R$6:R$860,"on hold")</f>
        <v>33</v>
      </c>
      <c r="F7" s="126"/>
      <c r="G7" s="126"/>
      <c r="H7" s="126"/>
      <c r="I7" s="112">
        <f>COUNTIF('MiT Strom Pipeline'!R$6:R$860,"follow-up")+COUNTIF('MiT Strom Pipeline'!R$6:R$860,"Evaluation")+COUNTIF('MiT Strom Pipeline'!R$6:R$860,"tbd")+COUNTIF('MiT Strom Pipeline'!R$6:R$860,"In evaluation")</f>
        <v>1</v>
      </c>
      <c r="J7" s="126"/>
      <c r="K7" s="126"/>
      <c r="L7" s="126"/>
      <c r="M7" s="20"/>
      <c r="N7" s="19"/>
      <c r="O7" s="19"/>
      <c r="P7" s="19"/>
      <c r="Q7" s="19"/>
      <c r="R7" s="19"/>
      <c r="S7" s="19"/>
    </row>
    <row r="8" spans="1:21" ht="7.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0"/>
      <c r="N8" s="19"/>
      <c r="O8" s="19"/>
      <c r="P8" s="19"/>
      <c r="Q8" s="19"/>
      <c r="R8" s="19"/>
      <c r="S8" s="19"/>
    </row>
    <row r="9" spans="1:21" ht="24" customHeight="1">
      <c r="A9" s="111" t="s">
        <v>77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1"/>
      <c r="M9" s="20"/>
      <c r="N9" s="19"/>
      <c r="O9" s="19"/>
      <c r="P9" s="19"/>
      <c r="Q9" s="19"/>
      <c r="R9" s="19"/>
      <c r="S9" s="19"/>
    </row>
    <row r="10" spans="1:21" ht="19.5" customHeight="1">
      <c r="A10" s="22" t="s">
        <v>6</v>
      </c>
      <c r="B10" s="22" t="s">
        <v>78</v>
      </c>
      <c r="C10" s="22" t="s">
        <v>8</v>
      </c>
      <c r="D10" s="22" t="s">
        <v>10</v>
      </c>
      <c r="E10" s="22" t="s">
        <v>9</v>
      </c>
      <c r="F10" s="22" t="s">
        <v>79</v>
      </c>
      <c r="G10" s="22" t="s">
        <v>16</v>
      </c>
      <c r="H10" s="22" t="s">
        <v>80</v>
      </c>
      <c r="I10" s="22" t="s">
        <v>58</v>
      </c>
      <c r="J10" s="22" t="s">
        <v>14</v>
      </c>
      <c r="K10" s="22" t="s">
        <v>81</v>
      </c>
      <c r="L10" s="22" t="s">
        <v>82</v>
      </c>
      <c r="M10" s="19"/>
      <c r="N10" s="19"/>
      <c r="O10" s="19"/>
      <c r="P10" s="19"/>
      <c r="Q10" s="19"/>
      <c r="R10" s="19"/>
      <c r="S10" s="19"/>
    </row>
    <row r="11" spans="1:21" ht="15.75" customHeight="1">
      <c r="A11" s="23">
        <f>IF($U11="","",IF(ISNUMBER(INDEX('MiT Strom Pipeline'!$A:$A,$U11)),INDEX('MiT Strom Pipeline'!$A:$A,$U11),""))</f>
        <v>1</v>
      </c>
      <c r="B11" s="24" t="str">
        <f>IF($U11="","",IF(INDEX('MiT Strom Pipeline'!$B:$B,$U11)="","",INDEX('MiT Strom Pipeline'!$B:$B,$U11)))</f>
        <v>Ice Hockey Championship</v>
      </c>
      <c r="C11" s="24" t="str">
        <f>IF($U11="","",IF(INDEX('MiT Strom Pipeline'!$C:$C,$U11)="","",INDEX('MiT Strom Pipeline'!$C:$C,$U11)))</f>
        <v>ZH</v>
      </c>
      <c r="D11" s="24" t="str">
        <f>IF($U11="","",IF(INDEX('MiT Strom Pipeline'!$D:$D,$U11)="","",INDEX('MiT Strom Pipeline'!$D:$D,$U11)))</f>
        <v>Events &amp; Sport</v>
      </c>
      <c r="E11" s="24" t="str">
        <f>IF($U11="","",IF(INDEX('MiT Strom Pipeline'!$H:$H,$U11)="","",INDEX('MiT Strom Pipeline'!$H:$H,$U11)))</f>
        <v>Mai</v>
      </c>
      <c r="F11" s="24" t="str">
        <f>IF($U11="","",IF(INDEX('MiT Strom Pipeline'!$E:$E,$U11)="","",INDEX('MiT Strom Pipeline'!$E:$E,$U11)))</f>
        <v>2×600+2×200 kVA</v>
      </c>
      <c r="G11" s="25">
        <f>IF($U11="","",IF(ISNUMBER(INDEX('MiT Strom Pipeline'!$I:$I,$U11)),INDEX('MiT Strom Pipeline'!$I:$I,$U11),0))</f>
        <v>380000</v>
      </c>
      <c r="H11" s="25">
        <f>IF($U11="","",IF(ISNUMBER(INDEX('MiT Strom Pipeline'!$Q:$Q,$U11)),INDEX('MiT Strom Pipeline'!$Q:$Q,$U11),0))</f>
        <v>380000</v>
      </c>
      <c r="I11" s="25">
        <f>IF($U11="","",IF(ISNUMBER(INDEX('MiT Strom Pipeline'!$O:$O,$U11)),INDEX('MiT Strom Pipeline'!$O:$O,$U11),0))</f>
        <v>145000</v>
      </c>
      <c r="J11" s="24" t="str">
        <f>IF($U11="","",INDEX('MiT Strom Pipeline'!$R:$R,$U11))</f>
        <v>WON</v>
      </c>
      <c r="K11" s="26">
        <f>IF($U11="","",IF(ISNUMBER(INDEX('MiT Strom Pipeline'!$S:$S,$U11)),INDEX('MiT Strom Pipeline'!$S:$S,$U11),""))</f>
        <v>1</v>
      </c>
      <c r="L11" s="24" t="str">
        <f>IF($U11="","",IF(LEN(INDEX('MiT Strom Pipeline'!$V:$V,$U11))&gt;0,LEFT(INDEX('MiT Strom Pipeline'!$V:$V,$U11),55),""))</f>
        <v>Abgeschlossen</v>
      </c>
      <c r="M11" s="19"/>
      <c r="N11" s="19"/>
      <c r="O11" s="19"/>
      <c r="P11" s="19"/>
      <c r="Q11" s="19"/>
      <c r="R11" s="19"/>
      <c r="S11" s="19"/>
      <c r="U11">
        <f>IFERROR(MATCH(1,'MiT Strom Pipeline'!$AB$6:$AB$860,0)+5,"")</f>
        <v>9</v>
      </c>
    </row>
    <row r="12" spans="1:21" ht="15.75" customHeight="1">
      <c r="A12" s="23">
        <f>IF($U12="","",IF(ISNUMBER(INDEX('MiT Strom Pipeline'!$A:$A,$U12)),INDEX('MiT Strom Pipeline'!$A:$A,$U12),""))</f>
        <v>2</v>
      </c>
      <c r="B12" s="24" t="str">
        <f>IF($U12="","",IF(INDEX('MiT Strom Pipeline'!$B:$B,$U12)="","",INDEX('MiT Strom Pipeline'!$B:$B,$U12)))</f>
        <v>Oerlikon Metco Wohlen</v>
      </c>
      <c r="C12" s="24" t="str">
        <f>IF($U12="","",IF(INDEX('MiT Strom Pipeline'!$C:$C,$U12)="","",INDEX('MiT Strom Pipeline'!$C:$C,$U12)))</f>
        <v>AG</v>
      </c>
      <c r="D12" s="24" t="str">
        <f>IF($U12="","",IF(INDEX('MiT Strom Pipeline'!$D:$D,$U12)="","",INDEX('MiT Strom Pipeline'!$D:$D,$U12)))</f>
        <v>Industrie / Oberfläche</v>
      </c>
      <c r="E12" s="24" t="str">
        <f>IF($U12="","",IF(INDEX('MiT Strom Pipeline'!$H:$H,$U12)="","",INDEX('MiT Strom Pipeline'!$H:$H,$U12)))</f>
        <v>April</v>
      </c>
      <c r="F12" s="24" t="str">
        <f>IF($U12="","",IF(INDEX('MiT Strom Pipeline'!$E:$E,$U12)="","",INDEX('MiT Strom Pipeline'!$E:$E,$U12)))</f>
        <v>240 kVA Generator</v>
      </c>
      <c r="G12" s="25">
        <f>IF($U12="","",IF(ISNUMBER(INDEX('MiT Strom Pipeline'!$I:$I,$U12)),INDEX('MiT Strom Pipeline'!$I:$I,$U12),0))</f>
        <v>13100</v>
      </c>
      <c r="H12" s="25">
        <f>IF($U12="","",IF(ISNUMBER(INDEX('MiT Strom Pipeline'!$Q:$Q,$U12)),INDEX('MiT Strom Pipeline'!$Q:$Q,$U12),0))</f>
        <v>13100</v>
      </c>
      <c r="I12" s="25">
        <f>IF($U12="","",IF(ISNUMBER(INDEX('MiT Strom Pipeline'!$O:$O,$U12)),INDEX('MiT Strom Pipeline'!$O:$O,$U12),0))</f>
        <v>3000</v>
      </c>
      <c r="J12" s="24" t="str">
        <f>IF($U12="","",INDEX('MiT Strom Pipeline'!$R:$R,$U12))</f>
        <v>WON</v>
      </c>
      <c r="K12" s="26">
        <f>IF($U12="","",IF(ISNUMBER(INDEX('MiT Strom Pipeline'!$S:$S,$U12)),INDEX('MiT Strom Pipeline'!$S:$S,$U12),""))</f>
        <v>1</v>
      </c>
      <c r="L12" s="24" t="str">
        <f>IF($U12="","",IF(LEN(INDEX('MiT Strom Pipeline'!$V:$V,$U12))&gt;0,LEFT(INDEX('MiT Strom Pipeline'!$V:$V,$U12),55),""))</f>
        <v>Abgeschlossen</v>
      </c>
      <c r="M12" s="19"/>
      <c r="N12" s="19"/>
      <c r="O12" s="19"/>
      <c r="P12" s="19"/>
      <c r="Q12" s="19"/>
      <c r="R12" s="19"/>
      <c r="S12" s="19"/>
      <c r="U12">
        <f>IFERROR(MATCH(2,'MiT Strom Pipeline'!$AB$6:$AB$860,0)+5,"")</f>
        <v>10</v>
      </c>
    </row>
    <row r="13" spans="1:21" ht="15.75" customHeight="1">
      <c r="A13" s="23">
        <f>IF($U13="","",IF(ISNUMBER(INDEX('MiT Strom Pipeline'!$A:$A,$U13)),INDEX('MiT Strom Pipeline'!$A:$A,$U13),""))</f>
        <v>3</v>
      </c>
      <c r="B13" s="24" t="str">
        <f>IF($U13="","",IF(INDEX('MiT Strom Pipeline'!$B:$B,$U13)="","",INDEX('MiT Strom Pipeline'!$B:$B,$U13)))</f>
        <v>Siemens</v>
      </c>
      <c r="C13" s="24" t="str">
        <f>IF($U13="","",IF(INDEX('MiT Strom Pipeline'!$C:$C,$U13)="","",INDEX('MiT Strom Pipeline'!$C:$C,$U13)))</f>
        <v>ZH</v>
      </c>
      <c r="D13" s="24" t="str">
        <f>IF($U13="","",IF(INDEX('MiT Strom Pipeline'!$D:$D,$U13)="","",INDEX('MiT Strom Pipeline'!$D:$D,$U13)))</f>
        <v>Industrie / Elektro</v>
      </c>
      <c r="E13" s="24" t="str">
        <f>IF($U13="","",IF(INDEX('MiT Strom Pipeline'!$H:$H,$U13)="","",INDEX('MiT Strom Pipeline'!$H:$H,$U13)))</f>
        <v>tbd</v>
      </c>
      <c r="F13" s="24" t="str">
        <f>IF($U13="","",IF(INDEX('MiT Strom Pipeline'!$E:$E,$U13)="","",INDEX('MiT Strom Pipeline'!$E:$E,$U13)))</f>
        <v>600 kVA Generator</v>
      </c>
      <c r="G13" s="25">
        <f>IF($U13="","",IF(ISNUMBER(INDEX('MiT Strom Pipeline'!$I:$I,$U13)),INDEX('MiT Strom Pipeline'!$I:$I,$U13),0))</f>
        <v>10000</v>
      </c>
      <c r="H13" s="25">
        <f>IF($U13="","",IF(ISNUMBER(INDEX('MiT Strom Pipeline'!$Q:$Q,$U13)),INDEX('MiT Strom Pipeline'!$Q:$Q,$U13),0))</f>
        <v>10000</v>
      </c>
      <c r="I13" s="25">
        <f>IF($U13="","",IF(ISNUMBER(INDEX('MiT Strom Pipeline'!$O:$O,$U13)),INDEX('MiT Strom Pipeline'!$O:$O,$U13),0))</f>
        <v>10000</v>
      </c>
      <c r="J13" s="24" t="str">
        <f>IF($U13="","",INDEX('MiT Strom Pipeline'!$R:$R,$U13))</f>
        <v>WON</v>
      </c>
      <c r="K13" s="26">
        <f>IF($U13="","",IF(ISNUMBER(INDEX('MiT Strom Pipeline'!$S:$S,$U13)),INDEX('MiT Strom Pipeline'!$S:$S,$U13),""))</f>
        <v>1</v>
      </c>
      <c r="L13" s="24" t="str">
        <f>IF($U13="","",IF(LEN(INDEX('MiT Strom Pipeline'!$V:$V,$U13))&gt;0,LEFT(INDEX('MiT Strom Pipeline'!$V:$V,$U13),55),""))</f>
        <v>Abgeschlossen</v>
      </c>
      <c r="M13" s="19"/>
      <c r="N13" s="19"/>
      <c r="O13" s="19"/>
      <c r="P13" s="19"/>
      <c r="Q13" s="19"/>
      <c r="R13" s="19"/>
      <c r="S13" s="19"/>
      <c r="U13">
        <f>IFERROR(MATCH(3,'MiT Strom Pipeline'!$AB$6:$AB$860,0)+5,"")</f>
        <v>12</v>
      </c>
    </row>
    <row r="14" spans="1:21" ht="15.75" customHeight="1">
      <c r="A14" s="23">
        <f>IF($U14="","",IF(ISNUMBER(INDEX('MiT Strom Pipeline'!$A:$A,$U14)),INDEX('MiT Strom Pipeline'!$A:$A,$U14),""))</f>
        <v>4</v>
      </c>
      <c r="B14" s="24" t="str">
        <f>IF($U14="","",IF(INDEX('MiT Strom Pipeline'!$B:$B,$U14)="","",INDEX('MiT Strom Pipeline'!$B:$B,$U14)))</f>
        <v>Stagelight – OpenAir Frauenfeld</v>
      </c>
      <c r="C14" s="24" t="str">
        <f>IF($U14="","",IF(INDEX('MiT Strom Pipeline'!$C:$C,$U14)="","",INDEX('MiT Strom Pipeline'!$C:$C,$U14)))</f>
        <v>TG</v>
      </c>
      <c r="D14" s="24" t="str">
        <f>IF($U14="","",IF(INDEX('MiT Strom Pipeline'!$D:$D,$U14)="","",INDEX('MiT Strom Pipeline'!$D:$D,$U14)))</f>
        <v>Events &amp; Kultur</v>
      </c>
      <c r="E14" s="24" t="str">
        <f>IF($U14="","",IF(INDEX('MiT Strom Pipeline'!$H:$H,$U14)="","",INDEX('MiT Strom Pipeline'!$H:$H,$U14)))</f>
        <v>Juli</v>
      </c>
      <c r="F14" s="24" t="str">
        <f>IF($U14="","",IF(INDEX('MiT Strom Pipeline'!$E:$E,$U14)="","",INDEX('MiT Strom Pipeline'!$E:$E,$U14)))</f>
        <v>~500 kVA Generator</v>
      </c>
      <c r="G14" s="25">
        <f>IF($U14="","",IF(ISNUMBER(INDEX('MiT Strom Pipeline'!$I:$I,$U14)),INDEX('MiT Strom Pipeline'!$I:$I,$U14),0))</f>
        <v>150000</v>
      </c>
      <c r="H14" s="25">
        <f>IF($U14="","",IF(ISNUMBER(INDEX('MiT Strom Pipeline'!$Q:$Q,$U14)),INDEX('MiT Strom Pipeline'!$Q:$Q,$U14),0))</f>
        <v>0</v>
      </c>
      <c r="I14" s="25">
        <f>IF($U14="","",IF(ISNUMBER(INDEX('MiT Strom Pipeline'!$O:$O,$U14)),INDEX('MiT Strom Pipeline'!$O:$O,$U14),0))</f>
        <v>39500</v>
      </c>
      <c r="J14" s="24" t="str">
        <f>IF($U14="","",INDEX('MiT Strom Pipeline'!$R:$R,$U14))</f>
        <v>WON</v>
      </c>
      <c r="K14" s="26">
        <f>IF($U14="","",IF(ISNUMBER(INDEX('MiT Strom Pipeline'!$S:$S,$U14)),INDEX('MiT Strom Pipeline'!$S:$S,$U14),""))</f>
        <v>1</v>
      </c>
      <c r="L14" s="24" t="str">
        <f>IF($U14="","",IF(LEN(INDEX('MiT Strom Pipeline'!$V:$V,$U14))&gt;0,LEFT(INDEX('MiT Strom Pipeline'!$V:$V,$U14),55),""))</f>
        <v>Abgeschlossen</v>
      </c>
      <c r="M14" s="19"/>
      <c r="N14" s="19"/>
      <c r="O14" s="19"/>
      <c r="P14" s="19"/>
      <c r="Q14" s="19"/>
      <c r="R14" s="19"/>
      <c r="S14" s="19"/>
      <c r="U14">
        <f>IFERROR(MATCH(4,'MiT Strom Pipeline'!$AB$6:$AB$860,0)+5,"")</f>
        <v>13</v>
      </c>
    </row>
    <row r="15" spans="1:21" ht="15.75" customHeight="1">
      <c r="A15" s="23">
        <f>IF($U15="","",IF(ISNUMBER(INDEX('MiT Strom Pipeline'!$A:$A,$U15)),INDEX('MiT Strom Pipeline'!$A:$A,$U15),""))</f>
        <v>10</v>
      </c>
      <c r="B15" s="24" t="str">
        <f>IF($U15="","",IF(INDEX('MiT Strom Pipeline'!$B:$B,$U15)="","",INDEX('MiT Strom Pipeline'!$B:$B,$U15)))</f>
        <v>Murg Flums Energie</v>
      </c>
      <c r="C15" s="24" t="str">
        <f>IF($U15="","",IF(INDEX('MiT Strom Pipeline'!$C:$C,$U15)="","",INDEX('MiT Strom Pipeline'!$C:$C,$U15)))</f>
        <v>SG</v>
      </c>
      <c r="D15" s="24" t="str">
        <f>IF($U15="","",IF(INDEX('MiT Strom Pipeline'!$D:$D,$U15)="","",INDEX('MiT Strom Pipeline'!$D:$D,$U15)))</f>
        <v>EVU / Energie</v>
      </c>
      <c r="E15" s="24" t="str">
        <f>IF($U15="","",IF(INDEX('MiT Strom Pipeline'!$H:$H,$U15)="","",INDEX('MiT Strom Pipeline'!$H:$H,$U15)))</f>
        <v>Auf Abruf</v>
      </c>
      <c r="F15" s="24" t="str">
        <f>IF($U15="","",IF(INDEX('MiT Strom Pipeline'!$E:$E,$U15)="","",INDEX('MiT Strom Pipeline'!$E:$E,$U15)))</f>
        <v>250 kVA Generator</v>
      </c>
      <c r="G15" s="25">
        <f>IF($U15="","",IF(ISNUMBER(INDEX('MiT Strom Pipeline'!$I:$I,$U15)),INDEX('MiT Strom Pipeline'!$I:$I,$U15),0))</f>
        <v>96658.69</v>
      </c>
      <c r="H15" s="25">
        <f>IF($U15="","",IF(ISNUMBER(INDEX('MiT Strom Pipeline'!$Q:$Q,$U15)),INDEX('MiT Strom Pipeline'!$Q:$Q,$U15),0))</f>
        <v>96658.69</v>
      </c>
      <c r="I15" s="25">
        <f>IF($U15="","",IF(ISNUMBER(INDEX('MiT Strom Pipeline'!$O:$O,$U15)),INDEX('MiT Strom Pipeline'!$O:$O,$U15),0))</f>
        <v>7242.6900000000023</v>
      </c>
      <c r="J15" s="24" t="str">
        <f>IF($U15="","",INDEX('MiT Strom Pipeline'!$R:$R,$U15))</f>
        <v>WON</v>
      </c>
      <c r="K15" s="26">
        <f>IF($U15="","",IF(ISNUMBER(INDEX('MiT Strom Pipeline'!$S:$S,$U15)),INDEX('MiT Strom Pipeline'!$S:$S,$U15),""))</f>
        <v>1</v>
      </c>
      <c r="L15" s="24" t="str">
        <f>IF($U15="","",IF(LEN(INDEX('MiT Strom Pipeline'!$V:$V,$U15))&gt;0,LEFT(INDEX('MiT Strom Pipeline'!$V:$V,$U15),55),""))</f>
        <v>Abrufbereitschaft</v>
      </c>
      <c r="M15" s="19"/>
      <c r="N15" s="19"/>
      <c r="O15" s="19"/>
      <c r="P15" s="19"/>
      <c r="Q15" s="19"/>
      <c r="R15" s="19"/>
      <c r="S15" s="19"/>
      <c r="U15">
        <f>IFERROR(MATCH(5,'MiT Strom Pipeline'!$AB$6:$AB$860,0)+5,"")</f>
        <v>14</v>
      </c>
    </row>
    <row r="16" spans="1:21" ht="15.75" customHeight="1">
      <c r="A16" s="23">
        <f>IF($U16="","",IF(ISNUMBER(INDEX('MiT Strom Pipeline'!$A:$A,$U16)),INDEX('MiT Strom Pipeline'!$A:$A,$U16),""))</f>
        <v>21</v>
      </c>
      <c r="B16" s="24" t="str">
        <f>IF($U16="","",IF(INDEX('MiT Strom Pipeline'!$B:$B,$U16)="","",INDEX('MiT Strom Pipeline'!$B:$B,$U16)))</f>
        <v>X-Event</v>
      </c>
      <c r="C16" s="24" t="str">
        <f>IF($U16="","",IF(INDEX('MiT Strom Pipeline'!$C:$C,$U16)="","",INDEX('MiT Strom Pipeline'!$C:$C,$U16)))</f>
        <v>SH</v>
      </c>
      <c r="D16" s="24" t="str">
        <f>IF($U16="","",IF(INDEX('MiT Strom Pipeline'!$D:$D,$U16)="","",INDEX('MiT Strom Pipeline'!$D:$D,$U16)))</f>
        <v>Events / Medien</v>
      </c>
      <c r="E16" s="24" t="str">
        <f>IF($U16="","",IF(INDEX('MiT Strom Pipeline'!$H:$H,$U16)="","",INDEX('MiT Strom Pipeline'!$H:$H,$U16)))</f>
        <v>Juni</v>
      </c>
      <c r="F16" s="24" t="str">
        <f>IF($U16="","",IF(INDEX('MiT Strom Pipeline'!$E:$E,$U16)="","",INDEX('MiT Strom Pipeline'!$E:$E,$U16)))</f>
        <v>100 kVA Generator</v>
      </c>
      <c r="G16" s="25">
        <f>IF($U16="","",IF(ISNUMBER(INDEX('MiT Strom Pipeline'!$I:$I,$U16)),INDEX('MiT Strom Pipeline'!$I:$I,$U16),0))</f>
        <v>0</v>
      </c>
      <c r="H16" s="25">
        <f>IF($U16="","",IF(ISNUMBER(INDEX('MiT Strom Pipeline'!$Q:$Q,$U16)),INDEX('MiT Strom Pipeline'!$Q:$Q,$U16),0))</f>
        <v>0</v>
      </c>
      <c r="I16" s="25">
        <f>IF($U16="","",IF(ISNUMBER(INDEX('MiT Strom Pipeline'!$O:$O,$U16)),INDEX('MiT Strom Pipeline'!$O:$O,$U16),0))</f>
        <v>0</v>
      </c>
      <c r="J16" s="24" t="str">
        <f>IF($U16="","",INDEX('MiT Strom Pipeline'!$R:$R,$U16))</f>
        <v>WON</v>
      </c>
      <c r="K16" s="26">
        <f>IF($U16="","",IF(ISNUMBER(INDEX('MiT Strom Pipeline'!$S:$S,$U16)),INDEX('MiT Strom Pipeline'!$S:$S,$U16),""))</f>
        <v>1</v>
      </c>
      <c r="L16" s="24" t="str">
        <f>IF($U16="","",IF(LEN(INDEX('MiT Strom Pipeline'!$V:$V,$U16))&gt;0,LEFT(INDEX('MiT Strom Pipeline'!$V:$V,$U16),55),""))</f>
        <v>Abgeschlossen</v>
      </c>
      <c r="M16" s="19"/>
      <c r="N16" s="19"/>
      <c r="O16" s="19"/>
      <c r="P16" s="19"/>
      <c r="Q16" s="19"/>
      <c r="R16" s="19"/>
      <c r="S16" s="19"/>
      <c r="U16">
        <f>IFERROR(MATCH(6,'MiT Strom Pipeline'!$AB$6:$AB$860,0)+5,"")</f>
        <v>15</v>
      </c>
    </row>
    <row r="17" spans="1:21" ht="15.75" customHeight="1">
      <c r="A17" s="23">
        <f>IF($U17="","",IF(ISNUMBER(INDEX('MiT Strom Pipeline'!$A:$A,$U17)),INDEX('MiT Strom Pipeline'!$A:$A,$U17),""))</f>
        <v>29</v>
      </c>
      <c r="B17" s="24" t="str">
        <f>IF($U17="","",IF(INDEX('MiT Strom Pipeline'!$B:$B,$U17)="","",INDEX('MiT Strom Pipeline'!$B:$B,$U17)))</f>
        <v>Gampeln</v>
      </c>
      <c r="C17" s="24" t="str">
        <f>IF($U17="","",IF(INDEX('MiT Strom Pipeline'!$C:$C,$U17)="","",INDEX('MiT Strom Pipeline'!$C:$C,$U17)))</f>
        <v>VS</v>
      </c>
      <c r="D17" s="24" t="str">
        <f>IF($U17="","",IF(INDEX('MiT Strom Pipeline'!$D:$D,$U17)="","",INDEX('MiT Strom Pipeline'!$D:$D,$U17)))</f>
        <v>Event</v>
      </c>
      <c r="E17" s="24" t="str">
        <f>IF($U17="","",IF(INDEX('MiT Strom Pipeline'!$H:$H,$U17)="","",INDEX('MiT Strom Pipeline'!$H:$H,$U17)))</f>
        <v>Aug</v>
      </c>
      <c r="F17" s="24" t="str">
        <f>IF($U17="","",IF(INDEX('MiT Strom Pipeline'!$E:$E,$U17)="","",INDEX('MiT Strom Pipeline'!$E:$E,$U17)))</f>
        <v>6x300 kVA, 9x200 kVA Generator ,1x150 kWH BESS</v>
      </c>
      <c r="G17" s="25">
        <f>IF($U17="","",IF(ISNUMBER(INDEX('MiT Strom Pipeline'!$I:$I,$U17)),INDEX('MiT Strom Pipeline'!$I:$I,$U17),0))</f>
        <v>80621.210000000006</v>
      </c>
      <c r="H17" s="25">
        <f>IF($U17="","",IF(ISNUMBER(INDEX('MiT Strom Pipeline'!$Q:$Q,$U17)),INDEX('MiT Strom Pipeline'!$Q:$Q,$U17),0))</f>
        <v>80621.210000000006</v>
      </c>
      <c r="I17" s="25">
        <f>IF($U17="","",IF(ISNUMBER(INDEX('MiT Strom Pipeline'!$O:$O,$U17)),INDEX('MiT Strom Pipeline'!$O:$O,$U17),0))</f>
        <v>-10507.899999999994</v>
      </c>
      <c r="J17" s="24" t="str">
        <f>IF($U17="","",INDEX('MiT Strom Pipeline'!$R:$R,$U17))</f>
        <v>WON</v>
      </c>
      <c r="K17" s="26">
        <f>IF($U17="","",IF(ISNUMBER(INDEX('MiT Strom Pipeline'!$S:$S,$U17)),INDEX('MiT Strom Pipeline'!$S:$S,$U17),""))</f>
        <v>1</v>
      </c>
      <c r="L17" s="24" t="str">
        <f>IF($U17="","",IF(LEN(INDEX('MiT Strom Pipeline'!$V:$V,$U17))&gt;0,LEFT(INDEX('MiT Strom Pipeline'!$V:$V,$U17),55),""))</f>
        <v>Abgeschlossen</v>
      </c>
      <c r="M17" s="19"/>
      <c r="N17" s="19"/>
      <c r="O17" s="19"/>
      <c r="P17" s="19"/>
      <c r="Q17" s="19"/>
      <c r="R17" s="19"/>
      <c r="S17" s="19"/>
      <c r="U17">
        <f>IFERROR(MATCH(7,'MiT Strom Pipeline'!$AB$6:$AB$860,0)+5,"")</f>
        <v>22</v>
      </c>
    </row>
    <row r="18" spans="1:21" ht="15.75" customHeight="1">
      <c r="A18" s="23">
        <f>IF($U18="","",IF(ISNUMBER(INDEX('MiT Strom Pipeline'!$A:$A,$U18)),INDEX('MiT Strom Pipeline'!$A:$A,$U18),""))</f>
        <v>50</v>
      </c>
      <c r="B18" s="24" t="str">
        <f>IF($U18="","",IF(INDEX('MiT Strom Pipeline'!$B:$B,$U18)="","",INDEX('MiT Strom Pipeline'!$B:$B,$U18)))</f>
        <v>EIDG AMT Agroscope</v>
      </c>
      <c r="C18" s="24" t="str">
        <f>IF($U18="","",IF(INDEX('MiT Strom Pipeline'!$C:$C,$U18)="","",INDEX('MiT Strom Pipeline'!$C:$C,$U18)))</f>
        <v>ZH</v>
      </c>
      <c r="D18" s="24" t="str">
        <f>IF($U18="","",IF(INDEX('MiT Strom Pipeline'!$D:$D,$U18)="","",INDEX('MiT Strom Pipeline'!$D:$D,$U18)))</f>
        <v>Forschung</v>
      </c>
      <c r="E18" s="24" t="str">
        <f>IF($U18="","",IF(INDEX('MiT Strom Pipeline'!$H:$H,$U18)="","",INDEX('MiT Strom Pipeline'!$H:$H,$U18)))</f>
        <v>Aug</v>
      </c>
      <c r="F18" s="24" t="str">
        <f>IF($U18="","",IF(INDEX('MiT Strom Pipeline'!$E:$E,$U18)="","",INDEX('MiT Strom Pipeline'!$E:$E,$U18)))</f>
        <v>450 kVA</v>
      </c>
      <c r="G18" s="25">
        <f>IF($U18="","",IF(ISNUMBER(INDEX('MiT Strom Pipeline'!$I:$I,$U18)),INDEX('MiT Strom Pipeline'!$I:$I,$U18),0))</f>
        <v>13533</v>
      </c>
      <c r="H18" s="25">
        <f>IF($U18="","",IF(ISNUMBER(INDEX('MiT Strom Pipeline'!$Q:$Q,$U18)),INDEX('MiT Strom Pipeline'!$Q:$Q,$U18),0))</f>
        <v>13533</v>
      </c>
      <c r="I18" s="25">
        <f>IF($U18="","",IF(ISNUMBER(INDEX('MiT Strom Pipeline'!$O:$O,$U18)),INDEX('MiT Strom Pipeline'!$O:$O,$U18),0))</f>
        <v>155.45999999999913</v>
      </c>
      <c r="J18" s="24" t="str">
        <f>IF($U18="","",INDEX('MiT Strom Pipeline'!$R:$R,$U18))</f>
        <v>WON</v>
      </c>
      <c r="K18" s="26">
        <f>IF($U18="","",IF(ISNUMBER(INDEX('MiT Strom Pipeline'!$S:$S,$U18)),INDEX('MiT Strom Pipeline'!$S:$S,$U18),""))</f>
        <v>1</v>
      </c>
      <c r="L18" s="24" t="str">
        <f>IF($U18="","",IF(LEN(INDEX('MiT Strom Pipeline'!$V:$V,$U18))&gt;0,LEFT(INDEX('MiT Strom Pipeline'!$V:$V,$U18),55),""))</f>
        <v>Abgeschlossen</v>
      </c>
      <c r="M18" s="19"/>
      <c r="N18" s="19"/>
      <c r="O18" s="19"/>
      <c r="P18" s="19"/>
      <c r="Q18" s="19"/>
      <c r="R18" s="19"/>
      <c r="S18" s="19"/>
      <c r="U18">
        <f>IFERROR(MATCH(8,'MiT Strom Pipeline'!$AB$6:$AB$860,0)+5,"")</f>
        <v>60</v>
      </c>
    </row>
    <row r="19" spans="1:21" ht="15.75" customHeight="1">
      <c r="A19" s="23">
        <f>IF($U19="","",IF(ISNUMBER(INDEX('MiT Strom Pipeline'!$A:$A,$U19)),INDEX('MiT Strom Pipeline'!$A:$A,$U19),""))</f>
        <v>51</v>
      </c>
      <c r="B19" s="24" t="str">
        <f>IF($U19="","",IF(INDEX('MiT Strom Pipeline'!$B:$B,$U19)="","",INDEX('MiT Strom Pipeline'!$B:$B,$U19)))</f>
        <v>(Megger) Power Diagnostix Service GmbH</v>
      </c>
      <c r="C19" s="24" t="str">
        <f>IF($U19="","",IF(INDEX('MiT Strom Pipeline'!$C:$C,$U19)="","",INDEX('MiT Strom Pipeline'!$C:$C,$U19)))</f>
        <v>TG</v>
      </c>
      <c r="D19" s="24" t="str">
        <f>IF($U19="","",IF(INDEX('MiT Strom Pipeline'!$D:$D,$U19)="","",INDEX('MiT Strom Pipeline'!$D:$D,$U19)))</f>
        <v>EVU</v>
      </c>
      <c r="E19" s="24" t="str">
        <f>IF($U19="","",IF(INDEX('MiT Strom Pipeline'!$H:$H,$U19)="","",INDEX('MiT Strom Pipeline'!$H:$H,$U19)))</f>
        <v>Juli</v>
      </c>
      <c r="F19" s="24" t="str">
        <f>IF($U19="","",IF(INDEX('MiT Strom Pipeline'!$E:$E,$U19)="","",INDEX('MiT Strom Pipeline'!$E:$E,$U19)))</f>
        <v>600 kVA</v>
      </c>
      <c r="G19" s="25">
        <f>IF($U19="","",IF(ISNUMBER(INDEX('MiT Strom Pipeline'!$I:$I,$U19)),INDEX('MiT Strom Pipeline'!$I:$I,$U19),0))</f>
        <v>5488.9</v>
      </c>
      <c r="H19" s="25">
        <f>IF($U19="","",IF(ISNUMBER(INDEX('MiT Strom Pipeline'!$Q:$Q,$U19)),INDEX('MiT Strom Pipeline'!$Q:$Q,$U19),0))</f>
        <v>5488.9</v>
      </c>
      <c r="I19" s="25">
        <f>IF($U19="","",IF(ISNUMBER(INDEX('MiT Strom Pipeline'!$O:$O,$U19)),INDEX('MiT Strom Pipeline'!$O:$O,$U19),0))</f>
        <v>-411.28999999999996</v>
      </c>
      <c r="J19" s="24" t="str">
        <f>IF($U19="","",INDEX('MiT Strom Pipeline'!$R:$R,$U19))</f>
        <v>WON</v>
      </c>
      <c r="K19" s="26">
        <f>IF($U19="","",IF(ISNUMBER(INDEX('MiT Strom Pipeline'!$S:$S,$U19)),INDEX('MiT Strom Pipeline'!$S:$S,$U19),""))</f>
        <v>1</v>
      </c>
      <c r="L19" s="24" t="str">
        <f>IF($U19="","",IF(LEN(INDEX('MiT Strom Pipeline'!$V:$V,$U19))&gt;0,LEFT(INDEX('MiT Strom Pipeline'!$V:$V,$U19),55),""))</f>
        <v>Abgeschlossen</v>
      </c>
      <c r="M19" s="19"/>
      <c r="N19" s="19"/>
      <c r="O19" s="19"/>
      <c r="P19" s="19"/>
      <c r="Q19" s="19"/>
      <c r="R19" s="19"/>
      <c r="S19" s="19"/>
      <c r="U19">
        <f>IFERROR(MATCH(9,'MiT Strom Pipeline'!$AB$6:$AB$860,0)+5,"")</f>
        <v>61</v>
      </c>
    </row>
    <row r="20" spans="1:21" ht="15.75" customHeight="1">
      <c r="A20" s="23">
        <f>IF($U20="","",IF(ISNUMBER(INDEX('MiT Strom Pipeline'!$A:$A,$U20)),INDEX('MiT Strom Pipeline'!$A:$A,$U20),""))</f>
        <v>52</v>
      </c>
      <c r="B20" s="24" t="str">
        <f>IF($U20="","",IF(INDEX('MiT Strom Pipeline'!$B:$B,$U20)="","",INDEX('MiT Strom Pipeline'!$B:$B,$U20)))</f>
        <v>DPR Heat Loadbank</v>
      </c>
      <c r="C20" s="24" t="str">
        <f>IF($U20="","",IF(INDEX('MiT Strom Pipeline'!$C:$C,$U20)="","",INDEX('MiT Strom Pipeline'!$C:$C,$U20)))</f>
        <v>ZH</v>
      </c>
      <c r="D20" s="24" t="str">
        <f>IF($U20="","",IF(INDEX('MiT Strom Pipeline'!$D:$D,$U20)="","",INDEX('MiT Strom Pipeline'!$D:$D,$U20)))</f>
        <v>Datacenter</v>
      </c>
      <c r="E20" s="24" t="str">
        <f>IF($U20="","",IF(INDEX('MiT Strom Pipeline'!$H:$H,$U20)="","",INDEX('MiT Strom Pipeline'!$H:$H,$U20)))</f>
        <v>Aug</v>
      </c>
      <c r="F20" s="24" t="str">
        <f>IF($U20="","",IF(INDEX('MiT Strom Pipeline'!$E:$E,$U20)="","",INDEX('MiT Strom Pipeline'!$E:$E,$U20)))</f>
        <v>54x200 kVA Loadbank</v>
      </c>
      <c r="G20" s="25">
        <f>IF($U20="","",IF(ISNUMBER(INDEX('MiT Strom Pipeline'!$I:$I,$U20)),INDEX('MiT Strom Pipeline'!$I:$I,$U20),0))</f>
        <v>333790</v>
      </c>
      <c r="H20" s="25">
        <f>IF($U20="","",IF(ISNUMBER(INDEX('MiT Strom Pipeline'!$Q:$Q,$U20)),INDEX('MiT Strom Pipeline'!$Q:$Q,$U20),0))</f>
        <v>333790</v>
      </c>
      <c r="I20" s="25">
        <f>IF($U20="","",IF(ISNUMBER(INDEX('MiT Strom Pipeline'!$O:$O,$U20)),INDEX('MiT Strom Pipeline'!$O:$O,$U20),0))</f>
        <v>-25011.090000000026</v>
      </c>
      <c r="J20" s="24" t="str">
        <f>IF($U20="","",INDEX('MiT Strom Pipeline'!$R:$R,$U20))</f>
        <v>WON</v>
      </c>
      <c r="K20" s="26">
        <f>IF($U20="","",IF(ISNUMBER(INDEX('MiT Strom Pipeline'!$S:$S,$U20)),INDEX('MiT Strom Pipeline'!$S:$S,$U20),""))</f>
        <v>1</v>
      </c>
      <c r="L20" s="24" t="str">
        <f>IF($U20="","",IF(LEN(INDEX('MiT Strom Pipeline'!$V:$V,$U20))&gt;0,LEFT(INDEX('MiT Strom Pipeline'!$V:$V,$U20),55),""))</f>
        <v>Kunde angeschrieben auf MiT seite mit aktueller CHF Pre</v>
      </c>
      <c r="M20" s="19"/>
      <c r="N20" s="19"/>
      <c r="O20" s="19"/>
      <c r="P20" s="19"/>
      <c r="Q20" s="19"/>
      <c r="R20" s="19"/>
      <c r="S20" s="19"/>
      <c r="U20">
        <f>IFERROR(MATCH(10,'MiT Strom Pipeline'!$AB$6:$AB$860,0)+5,"")</f>
        <v>62</v>
      </c>
    </row>
    <row r="21" spans="1:21" ht="15.75" customHeight="1">
      <c r="A21" s="23">
        <f>IF($U21="","",IF(ISNUMBER(INDEX('MiT Strom Pipeline'!$A:$A,$U21)),INDEX('MiT Strom Pipeline'!$A:$A,$U21),""))</f>
        <v>53</v>
      </c>
      <c r="B21" s="24" t="str">
        <f>IF($U21="","",IF(INDEX('MiT Strom Pipeline'!$B:$B,$U21)="","",INDEX('MiT Strom Pipeline'!$B:$B,$U21)))</f>
        <v>DPR Generator Loadbank Test</v>
      </c>
      <c r="C21" s="24" t="str">
        <f>IF($U21="","",IF(INDEX('MiT Strom Pipeline'!$C:$C,$U21)="","",INDEX('MiT Strom Pipeline'!$C:$C,$U21)))</f>
        <v>ZH</v>
      </c>
      <c r="D21" s="24" t="str">
        <f>IF($U21="","",IF(INDEX('MiT Strom Pipeline'!$D:$D,$U21)="","",INDEX('MiT Strom Pipeline'!$D:$D,$U21)))</f>
        <v>Datacenter</v>
      </c>
      <c r="E21" s="24" t="str">
        <f>IF($U21="","",IF(INDEX('MiT Strom Pipeline'!$H:$H,$U21)="","",INDEX('MiT Strom Pipeline'!$H:$H,$U21)))</f>
        <v>Aug</v>
      </c>
      <c r="F21" s="24" t="str">
        <f>IF($U21="","",IF(INDEX('MiT Strom Pipeline'!$E:$E,$U21)="","",INDEX('MiT Strom Pipeline'!$E:$E,$U21)))</f>
        <v>6000 kVA Loadbank</v>
      </c>
      <c r="G21" s="25">
        <f>IF($U21="","",IF(ISNUMBER(INDEX('MiT Strom Pipeline'!$I:$I,$U21)),INDEX('MiT Strom Pipeline'!$I:$I,$U21),0))</f>
        <v>331889.15000000002</v>
      </c>
      <c r="H21" s="25">
        <f>IF($U21="","",IF(ISNUMBER(INDEX('MiT Strom Pipeline'!$Q:$Q,$U21)),INDEX('MiT Strom Pipeline'!$Q:$Q,$U21),0))</f>
        <v>331889.15000000002</v>
      </c>
      <c r="I21" s="25">
        <f>IF($U21="","",IF(ISNUMBER(INDEX('MiT Strom Pipeline'!$O:$O,$U21)),INDEX('MiT Strom Pipeline'!$O:$O,$U21),0))</f>
        <v>-24868.659999999974</v>
      </c>
      <c r="J21" s="24" t="str">
        <f>IF($U21="","",INDEX('MiT Strom Pipeline'!$R:$R,$U21))</f>
        <v>WON</v>
      </c>
      <c r="K21" s="26">
        <f>IF($U21="","",IF(ISNUMBER(INDEX('MiT Strom Pipeline'!$S:$S,$U21)),INDEX('MiT Strom Pipeline'!$S:$S,$U21),""))</f>
        <v>1</v>
      </c>
      <c r="L21" s="24" t="str">
        <f>IF($U21="","",IF(LEN(INDEX('MiT Strom Pipeline'!$V:$V,$U21))&gt;0,LEFT(INDEX('MiT Strom Pipeline'!$V:$V,$U21),55),""))</f>
        <v>Kunde angeschrieben auf MiT seite mit aktueller CHF Pre</v>
      </c>
      <c r="M21" s="19"/>
      <c r="N21" s="19"/>
      <c r="O21" s="19"/>
      <c r="P21" s="19"/>
      <c r="Q21" s="19"/>
      <c r="R21" s="19"/>
      <c r="S21" s="19"/>
      <c r="U21">
        <f>IFERROR(MATCH(11,'MiT Strom Pipeline'!$AB$6:$AB$860,0)+5,"")</f>
        <v>63</v>
      </c>
    </row>
    <row r="22" spans="1:21" ht="15.75" customHeight="1">
      <c r="A22" s="23">
        <f>IF($U22="","",IF(ISNUMBER(INDEX('MiT Strom Pipeline'!$A:$A,$U22)),INDEX('MiT Strom Pipeline'!$A:$A,$U22),""))</f>
        <v>61</v>
      </c>
      <c r="B22" s="24" t="str">
        <f>IF($U22="","",IF(INDEX('MiT Strom Pipeline'!$B:$B,$U22)="","",INDEX('MiT Strom Pipeline'!$B:$B,$U22)))</f>
        <v>GETEC Park.Swiss AG</v>
      </c>
      <c r="C22" s="24" t="str">
        <f>IF($U22="","",IF(INDEX('MiT Strom Pipeline'!$C:$C,$U22)="","",INDEX('MiT Strom Pipeline'!$C:$C,$U22)))</f>
        <v>BL</v>
      </c>
      <c r="D22" s="24" t="str">
        <f>IF($U22="","",IF(INDEX('MiT Strom Pipeline'!$D:$D,$U22)="","",INDEX('MiT Strom Pipeline'!$D:$D,$U22)))</f>
        <v>Industrie</v>
      </c>
      <c r="E22" s="24" t="str">
        <f>IF($U22="","",IF(INDEX('MiT Strom Pipeline'!$H:$H,$U22)="","",INDEX('MiT Strom Pipeline'!$H:$H,$U22)))</f>
        <v>August</v>
      </c>
      <c r="F22" s="24" t="str">
        <f>IF($U22="","",IF(INDEX('MiT Strom Pipeline'!$E:$E,$U22)="","",INDEX('MiT Strom Pipeline'!$E:$E,$U22)))</f>
        <v>600 kVA</v>
      </c>
      <c r="G22" s="25">
        <f>IF($U22="","",IF(ISNUMBER(INDEX('MiT Strom Pipeline'!$I:$I,$U22)),INDEX('MiT Strom Pipeline'!$I:$I,$U22),0))</f>
        <v>13472.18</v>
      </c>
      <c r="H22" s="25">
        <f>IF($U22="","",IF(ISNUMBER(INDEX('MiT Strom Pipeline'!$Q:$Q,$U22)),INDEX('MiT Strom Pipeline'!$Q:$Q,$U22),0))</f>
        <v>13472.18</v>
      </c>
      <c r="I22" s="25">
        <f>IF($U22="","",IF(ISNUMBER(INDEX('MiT Strom Pipeline'!$O:$O,$U22)),INDEX('MiT Strom Pipeline'!$O:$O,$U22),0))</f>
        <v>1.8189894035458565E-12</v>
      </c>
      <c r="J22" s="24" t="str">
        <f>IF($U22="","",INDEX('MiT Strom Pipeline'!$R:$R,$U22))</f>
        <v>WON</v>
      </c>
      <c r="K22" s="26">
        <f>IF($U22="","",IF(ISNUMBER(INDEX('MiT Strom Pipeline'!$S:$S,$U22)),INDEX('MiT Strom Pipeline'!$S:$S,$U22),""))</f>
        <v>1</v>
      </c>
      <c r="L22" s="24" t="str">
        <f>IF($U22="","",IF(LEN(INDEX('MiT Strom Pipeline'!$V:$V,$U22))&gt;0,LEFT(INDEX('MiT Strom Pipeline'!$V:$V,$U22),55),""))</f>
        <v>Kunde angeschrieben, Offerte erstellt, Kunde hat Offert</v>
      </c>
      <c r="M22" s="19"/>
      <c r="N22" s="19"/>
      <c r="O22" s="19"/>
      <c r="P22" s="19"/>
      <c r="Q22" s="19"/>
      <c r="R22" s="19"/>
      <c r="S22" s="19"/>
      <c r="U22">
        <f>IFERROR(MATCH(12,'MiT Strom Pipeline'!$AB$6:$AB$860,0)+5,"")</f>
        <v>71</v>
      </c>
    </row>
    <row r="23" spans="1:21" ht="15.75" customHeight="1">
      <c r="A23" s="23" t="str">
        <f>IF($U23="","",IF(ISNUMBER(INDEX('MiT Strom Pipeline'!$A:$A,$U23)),INDEX('MiT Strom Pipeline'!$A:$A,$U23),""))</f>
        <v/>
      </c>
      <c r="B23" s="24" t="str">
        <f>IF($U23="","",IF(INDEX('MiT Strom Pipeline'!$B:$B,$U23)="","",INDEX('MiT Strom Pipeline'!$B:$B,$U23)))</f>
        <v/>
      </c>
      <c r="C23" s="24" t="str">
        <f>IF($U23="","",IF(INDEX('MiT Strom Pipeline'!$C:$C,$U23)="","",INDEX('MiT Strom Pipeline'!$C:$C,$U23)))</f>
        <v/>
      </c>
      <c r="D23" s="24" t="str">
        <f>IF($U23="","",IF(INDEX('MiT Strom Pipeline'!$D:$D,$U23)="","",INDEX('MiT Strom Pipeline'!$D:$D,$U23)))</f>
        <v/>
      </c>
      <c r="E23" s="24" t="str">
        <f>IF($U23="","",IF(INDEX('MiT Strom Pipeline'!$H:$H,$U23)="","",INDEX('MiT Strom Pipeline'!$H:$H,$U23)))</f>
        <v/>
      </c>
      <c r="F23" s="24" t="str">
        <f>IF($U23="","",IF(INDEX('MiT Strom Pipeline'!$E:$E,$U23)="","",INDEX('MiT Strom Pipeline'!$E:$E,$U23)))</f>
        <v/>
      </c>
      <c r="G23" s="25" t="str">
        <f>IF($U23="","",IF(ISNUMBER(INDEX('MiT Strom Pipeline'!$I:$I,$U23)),INDEX('MiT Strom Pipeline'!$I:$I,$U23),0))</f>
        <v/>
      </c>
      <c r="H23" s="25" t="str">
        <f>IF($U23="","",IF(ISNUMBER(INDEX('MiT Strom Pipeline'!$Q:$Q,$U23)),INDEX('MiT Strom Pipeline'!$Q:$Q,$U23),0))</f>
        <v/>
      </c>
      <c r="I23" s="25" t="str">
        <f>IF($U23="","",IF(ISNUMBER(INDEX('MiT Strom Pipeline'!$O:$O,$U23)),INDEX('MiT Strom Pipeline'!$O:$O,$U23),0))</f>
        <v/>
      </c>
      <c r="J23" s="24" t="str">
        <f>IF($U23="","",INDEX('MiT Strom Pipeline'!$R:$R,$U23))</f>
        <v/>
      </c>
      <c r="K23" s="26" t="str">
        <f>IF($U23="","",IF(ISNUMBER(INDEX('MiT Strom Pipeline'!$S:$S,$U23)),INDEX('MiT Strom Pipeline'!$S:$S,$U23),""))</f>
        <v/>
      </c>
      <c r="L23" s="24" t="str">
        <f>IF($U23="","",IF(LEN(INDEX('MiT Strom Pipeline'!$V:$V,$U23))&gt;0,LEFT(INDEX('MiT Strom Pipeline'!$V:$V,$U23),55),""))</f>
        <v/>
      </c>
      <c r="M23" s="19"/>
      <c r="N23" s="19"/>
      <c r="O23" s="19"/>
      <c r="P23" s="19"/>
      <c r="Q23" s="19"/>
      <c r="R23" s="19"/>
      <c r="S23" s="19"/>
      <c r="U23" t="str">
        <f>IFERROR(MATCH(13,'MiT Strom Pipeline'!$AB$6:$AB$860,0)+5,"")</f>
        <v/>
      </c>
    </row>
    <row r="24" spans="1:21" ht="15.75" customHeight="1">
      <c r="A24" s="23" t="str">
        <f>IF($U24="","",IF(ISNUMBER(INDEX('MiT Strom Pipeline'!$A:$A,$U24)),INDEX('MiT Strom Pipeline'!$A:$A,$U24),""))</f>
        <v/>
      </c>
      <c r="B24" s="24" t="str">
        <f>IF($U24="","",IF(INDEX('MiT Strom Pipeline'!$B:$B,$U24)="","",INDEX('MiT Strom Pipeline'!$B:$B,$U24)))</f>
        <v/>
      </c>
      <c r="C24" s="24" t="str">
        <f>IF($U24="","",IF(INDEX('MiT Strom Pipeline'!$C:$C,$U24)="","",INDEX('MiT Strom Pipeline'!$C:$C,$U24)))</f>
        <v/>
      </c>
      <c r="D24" s="24" t="str">
        <f>IF($U24="","",IF(INDEX('MiT Strom Pipeline'!$D:$D,$U24)="","",INDEX('MiT Strom Pipeline'!$D:$D,$U24)))</f>
        <v/>
      </c>
      <c r="E24" s="24" t="str">
        <f>IF($U24="","",IF(INDEX('MiT Strom Pipeline'!$H:$H,$U24)="","",INDEX('MiT Strom Pipeline'!$H:$H,$U24)))</f>
        <v/>
      </c>
      <c r="F24" s="24" t="str">
        <f>IF($U24="","",IF(INDEX('MiT Strom Pipeline'!$E:$E,$U24)="","",INDEX('MiT Strom Pipeline'!$E:$E,$U24)))</f>
        <v/>
      </c>
      <c r="G24" s="25" t="str">
        <f>IF($U24="","",IF(ISNUMBER(INDEX('MiT Strom Pipeline'!$I:$I,$U24)),INDEX('MiT Strom Pipeline'!$I:$I,$U24),0))</f>
        <v/>
      </c>
      <c r="H24" s="25" t="str">
        <f>IF($U24="","",IF(ISNUMBER(INDEX('MiT Strom Pipeline'!$Q:$Q,$U24)),INDEX('MiT Strom Pipeline'!$Q:$Q,$U24),0))</f>
        <v/>
      </c>
      <c r="I24" s="25" t="str">
        <f>IF($U24="","",IF(ISNUMBER(INDEX('MiT Strom Pipeline'!$O:$O,$U24)),INDEX('MiT Strom Pipeline'!$O:$O,$U24),0))</f>
        <v/>
      </c>
      <c r="J24" s="24" t="str">
        <f>IF($U24="","",INDEX('MiT Strom Pipeline'!$R:$R,$U24))</f>
        <v/>
      </c>
      <c r="K24" s="26" t="str">
        <f>IF($U24="","",IF(ISNUMBER(INDEX('MiT Strom Pipeline'!$S:$S,$U24)),INDEX('MiT Strom Pipeline'!$S:$S,$U24),""))</f>
        <v/>
      </c>
      <c r="L24" s="24" t="str">
        <f>IF($U24="","",IF(LEN(INDEX('MiT Strom Pipeline'!$V:$V,$U24))&gt;0,LEFT(INDEX('MiT Strom Pipeline'!$V:$V,$U24),55),""))</f>
        <v/>
      </c>
      <c r="M24" s="19"/>
      <c r="N24" s="19"/>
      <c r="O24" s="19"/>
      <c r="P24" s="19"/>
      <c r="Q24" s="19"/>
      <c r="R24" s="19"/>
      <c r="S24" s="19"/>
      <c r="U24" t="str">
        <f>IFERROR(MATCH(14,'MiT Strom Pipeline'!$AB$6:$AB$860,0)+5,"")</f>
        <v/>
      </c>
    </row>
    <row r="25" spans="1:21" ht="15.75" customHeight="1">
      <c r="A25" s="23" t="str">
        <f>IF($U25="","",IF(ISNUMBER(INDEX('MiT Strom Pipeline'!$A:$A,$U25)),INDEX('MiT Strom Pipeline'!$A:$A,$U25),""))</f>
        <v/>
      </c>
      <c r="B25" s="24" t="str">
        <f>IF($U25="","",IF(INDEX('MiT Strom Pipeline'!$B:$B,$U25)="","",INDEX('MiT Strom Pipeline'!$B:$B,$U25)))</f>
        <v/>
      </c>
      <c r="C25" s="24" t="str">
        <f>IF($U25="","",IF(INDEX('MiT Strom Pipeline'!$C:$C,$U25)="","",INDEX('MiT Strom Pipeline'!$C:$C,$U25)))</f>
        <v/>
      </c>
      <c r="D25" s="24" t="str">
        <f>IF($U25="","",IF(INDEX('MiT Strom Pipeline'!$D:$D,$U25)="","",INDEX('MiT Strom Pipeline'!$D:$D,$U25)))</f>
        <v/>
      </c>
      <c r="E25" s="24" t="str">
        <f>IF($U25="","",IF(INDEX('MiT Strom Pipeline'!$H:$H,$U25)="","",INDEX('MiT Strom Pipeline'!$H:$H,$U25)))</f>
        <v/>
      </c>
      <c r="F25" s="24" t="str">
        <f>IF($U25="","",IF(INDEX('MiT Strom Pipeline'!$E:$E,$U25)="","",INDEX('MiT Strom Pipeline'!$E:$E,$U25)))</f>
        <v/>
      </c>
      <c r="G25" s="25" t="str">
        <f>IF($U25="","",IF(ISNUMBER(INDEX('MiT Strom Pipeline'!$I:$I,$U25)),INDEX('MiT Strom Pipeline'!$I:$I,$U25),0))</f>
        <v/>
      </c>
      <c r="H25" s="25" t="str">
        <f>IF($U25="","",IF(ISNUMBER(INDEX('MiT Strom Pipeline'!$Q:$Q,$U25)),INDEX('MiT Strom Pipeline'!$Q:$Q,$U25),0))</f>
        <v/>
      </c>
      <c r="I25" s="25" t="str">
        <f>IF($U25="","",IF(ISNUMBER(INDEX('MiT Strom Pipeline'!$O:$O,$U25)),INDEX('MiT Strom Pipeline'!$O:$O,$U25),0))</f>
        <v/>
      </c>
      <c r="J25" s="24" t="str">
        <f>IF($U25="","",INDEX('MiT Strom Pipeline'!$R:$R,$U25))</f>
        <v/>
      </c>
      <c r="K25" s="26" t="str">
        <f>IF($U25="","",IF(ISNUMBER(INDEX('MiT Strom Pipeline'!$S:$S,$U25)),INDEX('MiT Strom Pipeline'!$S:$S,$U25),""))</f>
        <v/>
      </c>
      <c r="L25" s="24" t="str">
        <f>IF($U25="","",IF(LEN(INDEX('MiT Strom Pipeline'!$V:$V,$U25))&gt;0,LEFT(INDEX('MiT Strom Pipeline'!$V:$V,$U25),55),""))</f>
        <v/>
      </c>
      <c r="M25" s="19"/>
      <c r="N25" s="19"/>
      <c r="O25" s="19"/>
      <c r="P25" s="19"/>
      <c r="Q25" s="19"/>
      <c r="R25" s="19"/>
      <c r="S25" s="19"/>
      <c r="U25" t="str">
        <f>IFERROR(MATCH(15,'MiT Strom Pipeline'!$AB$6:$AB$860,0)+5,"")</f>
        <v/>
      </c>
    </row>
    <row r="26" spans="1:21" ht="15.75" customHeight="1">
      <c r="A26" s="23" t="str">
        <f>IF($U26="","",IF(ISNUMBER(INDEX('MiT Strom Pipeline'!$A:$A,$U26)),INDEX('MiT Strom Pipeline'!$A:$A,$U26),""))</f>
        <v/>
      </c>
      <c r="B26" s="24" t="str">
        <f>IF($U26="","",IF(INDEX('MiT Strom Pipeline'!$B:$B,$U26)="","",INDEX('MiT Strom Pipeline'!$B:$B,$U26)))</f>
        <v/>
      </c>
      <c r="C26" s="24" t="str">
        <f>IF($U26="","",IF(INDEX('MiT Strom Pipeline'!$C:$C,$U26)="","",INDEX('MiT Strom Pipeline'!$C:$C,$U26)))</f>
        <v/>
      </c>
      <c r="D26" s="24" t="str">
        <f>IF($U26="","",IF(INDEX('MiT Strom Pipeline'!$D:$D,$U26)="","",INDEX('MiT Strom Pipeline'!$D:$D,$U26)))</f>
        <v/>
      </c>
      <c r="E26" s="24" t="str">
        <f>IF($U26="","",IF(INDEX('MiT Strom Pipeline'!$H:$H,$U26)="","",INDEX('MiT Strom Pipeline'!$H:$H,$U26)))</f>
        <v/>
      </c>
      <c r="F26" s="24" t="str">
        <f>IF($U26="","",IF(INDEX('MiT Strom Pipeline'!$E:$E,$U26)="","",INDEX('MiT Strom Pipeline'!$E:$E,$U26)))</f>
        <v/>
      </c>
      <c r="G26" s="25" t="str">
        <f>IF($U26="","",IF(ISNUMBER(INDEX('MiT Strom Pipeline'!$I:$I,$U26)),INDEX('MiT Strom Pipeline'!$I:$I,$U26),0))</f>
        <v/>
      </c>
      <c r="H26" s="25" t="str">
        <f>IF($U26="","",IF(ISNUMBER(INDEX('MiT Strom Pipeline'!$Q:$Q,$U26)),INDEX('MiT Strom Pipeline'!$Q:$Q,$U26),0))</f>
        <v/>
      </c>
      <c r="I26" s="25" t="str">
        <f>IF($U26="","",IF(ISNUMBER(INDEX('MiT Strom Pipeline'!$O:$O,$U26)),INDEX('MiT Strom Pipeline'!$O:$O,$U26),0))</f>
        <v/>
      </c>
      <c r="J26" s="24" t="str">
        <f>IF($U26="","",INDEX('MiT Strom Pipeline'!$R:$R,$U26))</f>
        <v/>
      </c>
      <c r="K26" s="26" t="str">
        <f>IF($U26="","",IF(ISNUMBER(INDEX('MiT Strom Pipeline'!$S:$S,$U26)),INDEX('MiT Strom Pipeline'!$S:$S,$U26),""))</f>
        <v/>
      </c>
      <c r="L26" s="24" t="str">
        <f>IF($U26="","",IF(LEN(INDEX('MiT Strom Pipeline'!$V:$V,$U26))&gt;0,LEFT(INDEX('MiT Strom Pipeline'!$V:$V,$U26),55),""))</f>
        <v/>
      </c>
      <c r="M26" s="19"/>
      <c r="N26" s="19"/>
      <c r="O26" s="19"/>
      <c r="P26" s="19"/>
      <c r="Q26" s="19"/>
      <c r="R26" s="19"/>
      <c r="S26" s="19"/>
      <c r="U26" t="str">
        <f>IFERROR(MATCH(16,'MiT Strom Pipeline'!$AB$6:$AB$860,0)+5,"")</f>
        <v/>
      </c>
    </row>
    <row r="27" spans="1:21" ht="15.75" customHeight="1">
      <c r="A27" s="23" t="str">
        <f>IF($U27="","",IF(ISNUMBER(INDEX('MiT Strom Pipeline'!$A:$A,$U27)),INDEX('MiT Strom Pipeline'!$A:$A,$U27),""))</f>
        <v/>
      </c>
      <c r="B27" s="24" t="str">
        <f>IF($U27="","",IF(INDEX('MiT Strom Pipeline'!$B:$B,$U27)="","",INDEX('MiT Strom Pipeline'!$B:$B,$U27)))</f>
        <v/>
      </c>
      <c r="C27" s="24" t="str">
        <f>IF($U27="","",IF(INDEX('MiT Strom Pipeline'!$C:$C,$U27)="","",INDEX('MiT Strom Pipeline'!$C:$C,$U27)))</f>
        <v/>
      </c>
      <c r="D27" s="24" t="str">
        <f>IF($U27="","",IF(INDEX('MiT Strom Pipeline'!$D:$D,$U27)="","",INDEX('MiT Strom Pipeline'!$D:$D,$U27)))</f>
        <v/>
      </c>
      <c r="E27" s="24" t="str">
        <f>IF($U27="","",IF(INDEX('MiT Strom Pipeline'!$H:$H,$U27)="","",INDEX('MiT Strom Pipeline'!$H:$H,$U27)))</f>
        <v/>
      </c>
      <c r="F27" s="24" t="str">
        <f>IF($U27="","",IF(INDEX('MiT Strom Pipeline'!$E:$E,$U27)="","",INDEX('MiT Strom Pipeline'!$E:$E,$U27)))</f>
        <v/>
      </c>
      <c r="G27" s="25" t="str">
        <f>IF($U27="","",IF(ISNUMBER(INDEX('MiT Strom Pipeline'!$I:$I,$U27)),INDEX('MiT Strom Pipeline'!$I:$I,$U27),0))</f>
        <v/>
      </c>
      <c r="H27" s="25" t="str">
        <f>IF($U27="","",IF(ISNUMBER(INDEX('MiT Strom Pipeline'!$Q:$Q,$U27)),INDEX('MiT Strom Pipeline'!$Q:$Q,$U27),0))</f>
        <v/>
      </c>
      <c r="I27" s="25" t="str">
        <f>IF($U27="","",IF(ISNUMBER(INDEX('MiT Strom Pipeline'!$O:$O,$U27)),INDEX('MiT Strom Pipeline'!$O:$O,$U27),0))</f>
        <v/>
      </c>
      <c r="J27" s="24" t="str">
        <f>IF($U27="","",INDEX('MiT Strom Pipeline'!$R:$R,$U27))</f>
        <v/>
      </c>
      <c r="K27" s="26" t="str">
        <f>IF($U27="","",IF(ISNUMBER(INDEX('MiT Strom Pipeline'!$S:$S,$U27)),INDEX('MiT Strom Pipeline'!$S:$S,$U27),""))</f>
        <v/>
      </c>
      <c r="L27" s="24" t="str">
        <f>IF($U27="","",IF(LEN(INDEX('MiT Strom Pipeline'!$V:$V,$U27))&gt;0,LEFT(INDEX('MiT Strom Pipeline'!$V:$V,$U27),55),""))</f>
        <v/>
      </c>
      <c r="M27" s="19"/>
      <c r="N27" s="19"/>
      <c r="O27" s="19"/>
      <c r="P27" s="19"/>
      <c r="Q27" s="19"/>
      <c r="R27" s="19"/>
      <c r="S27" s="19"/>
      <c r="U27" t="str">
        <f>IFERROR(MATCH(17,'MiT Strom Pipeline'!$AB$6:$AB$860,0)+5,"")</f>
        <v/>
      </c>
    </row>
    <row r="28" spans="1:21" ht="15.75" customHeight="1">
      <c r="A28" s="23" t="str">
        <f>IF($U28="","",IF(ISNUMBER(INDEX('MiT Strom Pipeline'!$A:$A,$U28)),INDEX('MiT Strom Pipeline'!$A:$A,$U28),""))</f>
        <v/>
      </c>
      <c r="B28" s="24" t="str">
        <f>IF($U28="","",IF(INDEX('MiT Strom Pipeline'!$B:$B,$U28)="","",INDEX('MiT Strom Pipeline'!$B:$B,$U28)))</f>
        <v/>
      </c>
      <c r="C28" s="24" t="str">
        <f>IF($U28="","",IF(INDEX('MiT Strom Pipeline'!$C:$C,$U28)="","",INDEX('MiT Strom Pipeline'!$C:$C,$U28)))</f>
        <v/>
      </c>
      <c r="D28" s="24" t="str">
        <f>IF($U28="","",IF(INDEX('MiT Strom Pipeline'!$D:$D,$U28)="","",INDEX('MiT Strom Pipeline'!$D:$D,$U28)))</f>
        <v/>
      </c>
      <c r="E28" s="24" t="str">
        <f>IF($U28="","",IF(INDEX('MiT Strom Pipeline'!$H:$H,$U28)="","",INDEX('MiT Strom Pipeline'!$H:$H,$U28)))</f>
        <v/>
      </c>
      <c r="F28" s="24" t="str">
        <f>IF($U28="","",IF(INDEX('MiT Strom Pipeline'!$E:$E,$U28)="","",INDEX('MiT Strom Pipeline'!$E:$E,$U28)))</f>
        <v/>
      </c>
      <c r="G28" s="25" t="str">
        <f>IF($U28="","",IF(ISNUMBER(INDEX('MiT Strom Pipeline'!$I:$I,$U28)),INDEX('MiT Strom Pipeline'!$I:$I,$U28),0))</f>
        <v/>
      </c>
      <c r="H28" s="25" t="str">
        <f>IF($U28="","",IF(ISNUMBER(INDEX('MiT Strom Pipeline'!$Q:$Q,$U28)),INDEX('MiT Strom Pipeline'!$Q:$Q,$U28),0))</f>
        <v/>
      </c>
      <c r="I28" s="25" t="str">
        <f>IF($U28="","",IF(ISNUMBER(INDEX('MiT Strom Pipeline'!$O:$O,$U28)),INDEX('MiT Strom Pipeline'!$O:$O,$U28),0))</f>
        <v/>
      </c>
      <c r="J28" s="24" t="str">
        <f>IF($U28="","",INDEX('MiT Strom Pipeline'!$R:$R,$U28))</f>
        <v/>
      </c>
      <c r="K28" s="26" t="str">
        <f>IF($U28="","",IF(ISNUMBER(INDEX('MiT Strom Pipeline'!$S:$S,$U28)),INDEX('MiT Strom Pipeline'!$S:$S,$U28),""))</f>
        <v/>
      </c>
      <c r="L28" s="24" t="str">
        <f>IF($U28="","",IF(LEN(INDEX('MiT Strom Pipeline'!$V:$V,$U28))&gt;0,LEFT(INDEX('MiT Strom Pipeline'!$V:$V,$U28),55),""))</f>
        <v/>
      </c>
      <c r="M28" s="19"/>
      <c r="N28" s="19"/>
      <c r="O28" s="19"/>
      <c r="P28" s="19"/>
      <c r="Q28" s="19"/>
      <c r="R28" s="19"/>
      <c r="S28" s="19"/>
      <c r="U28" t="str">
        <f>IFERROR(MATCH(18,'MiT Strom Pipeline'!$AB$6:$AB$860,0)+5,"")</f>
        <v/>
      </c>
    </row>
    <row r="29" spans="1:21" ht="15.75" customHeight="1">
      <c r="A29" s="23" t="str">
        <f>IF($U29="","",IF(ISNUMBER(INDEX('MiT Strom Pipeline'!$A:$A,$U29)),INDEX('MiT Strom Pipeline'!$A:$A,$U29),""))</f>
        <v/>
      </c>
      <c r="B29" s="24" t="str">
        <f>IF($U29="","",IF(INDEX('MiT Strom Pipeline'!$B:$B,$U29)="","",INDEX('MiT Strom Pipeline'!$B:$B,$U29)))</f>
        <v/>
      </c>
      <c r="C29" s="24" t="str">
        <f>IF($U29="","",IF(INDEX('MiT Strom Pipeline'!$C:$C,$U29)="","",INDEX('MiT Strom Pipeline'!$C:$C,$U29)))</f>
        <v/>
      </c>
      <c r="D29" s="24" t="str">
        <f>IF($U29="","",IF(INDEX('MiT Strom Pipeline'!$D:$D,$U29)="","",INDEX('MiT Strom Pipeline'!$D:$D,$U29)))</f>
        <v/>
      </c>
      <c r="E29" s="24" t="str">
        <f>IF($U29="","",IF(INDEX('MiT Strom Pipeline'!$H:$H,$U29)="","",INDEX('MiT Strom Pipeline'!$H:$H,$U29)))</f>
        <v/>
      </c>
      <c r="F29" s="24" t="str">
        <f>IF($U29="","",IF(INDEX('MiT Strom Pipeline'!$E:$E,$U29)="","",INDEX('MiT Strom Pipeline'!$E:$E,$U29)))</f>
        <v/>
      </c>
      <c r="G29" s="25" t="str">
        <f>IF($U29="","",IF(ISNUMBER(INDEX('MiT Strom Pipeline'!$I:$I,$U29)),INDEX('MiT Strom Pipeline'!$I:$I,$U29),0))</f>
        <v/>
      </c>
      <c r="H29" s="25" t="str">
        <f>IF($U29="","",IF(ISNUMBER(INDEX('MiT Strom Pipeline'!$Q:$Q,$U29)),INDEX('MiT Strom Pipeline'!$Q:$Q,$U29),0))</f>
        <v/>
      </c>
      <c r="I29" s="25" t="str">
        <f>IF($U29="","",IF(ISNUMBER(INDEX('MiT Strom Pipeline'!$O:$O,$U29)),INDEX('MiT Strom Pipeline'!$O:$O,$U29),0))</f>
        <v/>
      </c>
      <c r="J29" s="24" t="str">
        <f>IF($U29="","",INDEX('MiT Strom Pipeline'!$R:$R,$U29))</f>
        <v/>
      </c>
      <c r="K29" s="26" t="str">
        <f>IF($U29="","",IF(ISNUMBER(INDEX('MiT Strom Pipeline'!$S:$S,$U29)),INDEX('MiT Strom Pipeline'!$S:$S,$U29),""))</f>
        <v/>
      </c>
      <c r="L29" s="24" t="str">
        <f>IF($U29="","",IF(LEN(INDEX('MiT Strom Pipeline'!$V:$V,$U29))&gt;0,LEFT(INDEX('MiT Strom Pipeline'!$V:$V,$U29),55),""))</f>
        <v/>
      </c>
      <c r="M29" s="19"/>
      <c r="N29" s="19"/>
      <c r="O29" s="19"/>
      <c r="P29" s="19"/>
      <c r="Q29" s="19"/>
      <c r="R29" s="19"/>
      <c r="S29" s="19"/>
      <c r="U29" t="str">
        <f>IFERROR(MATCH(19,'MiT Strom Pipeline'!$AB$6:$AB$860,0)+5,"")</f>
        <v/>
      </c>
    </row>
    <row r="30" spans="1:21" ht="15.75" customHeight="1">
      <c r="A30" s="23" t="str">
        <f>IF($U30="","",IF(ISNUMBER(INDEX('MiT Strom Pipeline'!$A:$A,$U30)),INDEX('MiT Strom Pipeline'!$A:$A,$U30),""))</f>
        <v/>
      </c>
      <c r="B30" s="24" t="str">
        <f>IF($U30="","",IF(INDEX('MiT Strom Pipeline'!$B:$B,$U30)="","",INDEX('MiT Strom Pipeline'!$B:$B,$U30)))</f>
        <v/>
      </c>
      <c r="C30" s="24" t="str">
        <f>IF($U30="","",IF(INDEX('MiT Strom Pipeline'!$C:$C,$U30)="","",INDEX('MiT Strom Pipeline'!$C:$C,$U30)))</f>
        <v/>
      </c>
      <c r="D30" s="24" t="str">
        <f>IF($U30="","",IF(INDEX('MiT Strom Pipeline'!$D:$D,$U30)="","",INDEX('MiT Strom Pipeline'!$D:$D,$U30)))</f>
        <v/>
      </c>
      <c r="E30" s="24" t="str">
        <f>IF($U30="","",IF(INDEX('MiT Strom Pipeline'!$H:$H,$U30)="","",INDEX('MiT Strom Pipeline'!$H:$H,$U30)))</f>
        <v/>
      </c>
      <c r="F30" s="24" t="str">
        <f>IF($U30="","",IF(INDEX('MiT Strom Pipeline'!$E:$E,$U30)="","",INDEX('MiT Strom Pipeline'!$E:$E,$U30)))</f>
        <v/>
      </c>
      <c r="G30" s="25" t="str">
        <f>IF($U30="","",IF(ISNUMBER(INDEX('MiT Strom Pipeline'!$I:$I,$U30)),INDEX('MiT Strom Pipeline'!$I:$I,$U30),0))</f>
        <v/>
      </c>
      <c r="H30" s="25" t="str">
        <f>IF($U30="","",IF(ISNUMBER(INDEX('MiT Strom Pipeline'!$Q:$Q,$U30)),INDEX('MiT Strom Pipeline'!$Q:$Q,$U30),0))</f>
        <v/>
      </c>
      <c r="I30" s="25" t="str">
        <f>IF($U30="","",IF(ISNUMBER(INDEX('MiT Strom Pipeline'!$O:$O,$U30)),INDEX('MiT Strom Pipeline'!$O:$O,$U30),0))</f>
        <v/>
      </c>
      <c r="J30" s="24" t="str">
        <f>IF($U30="","",INDEX('MiT Strom Pipeline'!$R:$R,$U30))</f>
        <v/>
      </c>
      <c r="K30" s="26" t="str">
        <f>IF($U30="","",IF(ISNUMBER(INDEX('MiT Strom Pipeline'!$S:$S,$U30)),INDEX('MiT Strom Pipeline'!$S:$S,$U30),""))</f>
        <v/>
      </c>
      <c r="L30" s="24" t="str">
        <f>IF($U30="","",IF(LEN(INDEX('MiT Strom Pipeline'!$V:$V,$U30))&gt;0,LEFT(INDEX('MiT Strom Pipeline'!$V:$V,$U30),55),""))</f>
        <v/>
      </c>
      <c r="M30" s="19"/>
      <c r="N30" s="19"/>
      <c r="O30" s="19"/>
      <c r="P30" s="19"/>
      <c r="Q30" s="19"/>
      <c r="R30" s="19"/>
      <c r="S30" s="19"/>
      <c r="U30" t="str">
        <f>IFERROR(MATCH(20,'MiT Strom Pipeline'!$AB$6:$AB$860,0)+5,"")</f>
        <v/>
      </c>
    </row>
    <row r="31" spans="1:21" ht="15.75" customHeight="1">
      <c r="A31" s="23" t="str">
        <f>IF($U31="","",IF(ISNUMBER(INDEX('MiT Strom Pipeline'!$A:$A,$U31)),INDEX('MiT Strom Pipeline'!$A:$A,$U31),""))</f>
        <v/>
      </c>
      <c r="B31" s="24" t="str">
        <f>IF($U31="","",IF(INDEX('MiT Strom Pipeline'!$B:$B,$U31)="","",INDEX('MiT Strom Pipeline'!$B:$B,$U31)))</f>
        <v/>
      </c>
      <c r="C31" s="24" t="str">
        <f>IF($U31="","",IF(INDEX('MiT Strom Pipeline'!$C:$C,$U31)="","",INDEX('MiT Strom Pipeline'!$C:$C,$U31)))</f>
        <v/>
      </c>
      <c r="D31" s="24" t="str">
        <f>IF($U31="","",IF(INDEX('MiT Strom Pipeline'!$D:$D,$U31)="","",INDEX('MiT Strom Pipeline'!$D:$D,$U31)))</f>
        <v/>
      </c>
      <c r="E31" s="24" t="str">
        <f>IF($U31="","",IF(INDEX('MiT Strom Pipeline'!$H:$H,$U31)="","",INDEX('MiT Strom Pipeline'!$H:$H,$U31)))</f>
        <v/>
      </c>
      <c r="F31" s="24" t="str">
        <f>IF($U31="","",IF(INDEX('MiT Strom Pipeline'!$E:$E,$U31)="","",INDEX('MiT Strom Pipeline'!$E:$E,$U31)))</f>
        <v/>
      </c>
      <c r="G31" s="25" t="str">
        <f>IF($U31="","",IF(ISNUMBER(INDEX('MiT Strom Pipeline'!$I:$I,$U31)),INDEX('MiT Strom Pipeline'!$I:$I,$U31),0))</f>
        <v/>
      </c>
      <c r="H31" s="25" t="str">
        <f>IF($U31="","",IF(ISNUMBER(INDEX('MiT Strom Pipeline'!$Q:$Q,$U31)),INDEX('MiT Strom Pipeline'!$Q:$Q,$U31),0))</f>
        <v/>
      </c>
      <c r="I31" s="25" t="str">
        <f>IF($U31="","",IF(ISNUMBER(INDEX('MiT Strom Pipeline'!$O:$O,$U31)),INDEX('MiT Strom Pipeline'!$O:$O,$U31),0))</f>
        <v/>
      </c>
      <c r="J31" s="24" t="str">
        <f>IF($U31="","",INDEX('MiT Strom Pipeline'!$R:$R,$U31))</f>
        <v/>
      </c>
      <c r="K31" s="26" t="str">
        <f>IF($U31="","",IF(ISNUMBER(INDEX('MiT Strom Pipeline'!$S:$S,$U31)),INDEX('MiT Strom Pipeline'!$S:$S,$U31),""))</f>
        <v/>
      </c>
      <c r="L31" s="24" t="str">
        <f>IF($U31="","",IF(LEN(INDEX('MiT Strom Pipeline'!$V:$V,$U31))&gt;0,LEFT(INDEX('MiT Strom Pipeline'!$V:$V,$U31),55),""))</f>
        <v/>
      </c>
      <c r="M31" s="19"/>
      <c r="N31" s="19"/>
      <c r="O31" s="19"/>
      <c r="P31" s="19"/>
      <c r="Q31" s="19"/>
      <c r="R31" s="19"/>
      <c r="S31" s="19"/>
      <c r="U31" t="str">
        <f>IFERROR(MATCH(21,'MiT Strom Pipeline'!$AB$6:$AB$860,0)+5,"")</f>
        <v/>
      </c>
    </row>
    <row r="32" spans="1:21" ht="25.5" customHeight="1">
      <c r="A32" s="23" t="str">
        <f>IF($U32="","",IF(ISNUMBER(INDEX('MiT Strom Pipeline'!$A:$A,$U32)),INDEX('MiT Strom Pipeline'!$A:$A,$U32),""))</f>
        <v/>
      </c>
      <c r="B32" s="24" t="str">
        <f>IF($U32="","",IF(INDEX('MiT Strom Pipeline'!$B:$B,$U32)="","",INDEX('MiT Strom Pipeline'!$B:$B,$U32)))</f>
        <v/>
      </c>
      <c r="C32" s="24" t="str">
        <f>IF($U32="","",IF(INDEX('MiT Strom Pipeline'!$C:$C,$U32)="","",INDEX('MiT Strom Pipeline'!$C:$C,$U32)))</f>
        <v/>
      </c>
      <c r="D32" s="24" t="str">
        <f>IF($U32="","",IF(INDEX('MiT Strom Pipeline'!$D:$D,$U32)="","",INDEX('MiT Strom Pipeline'!$D:$D,$U32)))</f>
        <v/>
      </c>
      <c r="E32" s="27" t="str">
        <f>IF($U32="","",IF(INDEX('MiT Strom Pipeline'!$H:$H,$U32)="","",INDEX('MiT Strom Pipeline'!$H:$H,$U32)))</f>
        <v/>
      </c>
      <c r="F32" s="24" t="str">
        <f>IF($U32="","",IF(INDEX('MiT Strom Pipeline'!$E:$E,$U32)="","",INDEX('MiT Strom Pipeline'!$E:$E,$U32)))</f>
        <v/>
      </c>
      <c r="G32" s="25" t="str">
        <f>IF($U32="","",IF(ISNUMBER(INDEX('MiT Strom Pipeline'!$I:$I,$U32)),INDEX('MiT Strom Pipeline'!$I:$I,$U32),0))</f>
        <v/>
      </c>
      <c r="H32" s="25" t="str">
        <f>IF($U32="","",IF(ISNUMBER(INDEX('MiT Strom Pipeline'!$Q:$Q,$U32)),INDEX('MiT Strom Pipeline'!$Q:$Q,$U32),0))</f>
        <v/>
      </c>
      <c r="I32" s="25" t="str">
        <f>IF($U32="","",IF(ISNUMBER(INDEX('MiT Strom Pipeline'!$O:$O,$U32)),INDEX('MiT Strom Pipeline'!$O:$O,$U32),0))</f>
        <v/>
      </c>
      <c r="J32" s="24" t="str">
        <f>IF($U32="","",INDEX('MiT Strom Pipeline'!$R:$R,$U32))</f>
        <v/>
      </c>
      <c r="K32" s="26" t="str">
        <f>IF($U32="","",IF(ISNUMBER(INDEX('MiT Strom Pipeline'!$S:$S,$U32)),INDEX('MiT Strom Pipeline'!$S:$S,$U32),""))</f>
        <v/>
      </c>
      <c r="L32" s="28" t="str">
        <f>IF($U32="","",IF(LEN(INDEX('MiT Strom Pipeline'!$V:$V,$U32))&gt;0,LEFT(INDEX('MiT Strom Pipeline'!$V:$V,$U32),55),""))</f>
        <v/>
      </c>
      <c r="M32" s="19"/>
      <c r="N32" s="19"/>
      <c r="O32" s="19"/>
      <c r="P32" s="19"/>
      <c r="Q32" s="19"/>
      <c r="R32" s="19"/>
      <c r="S32" s="19"/>
      <c r="U32" t="str">
        <f>IFERROR(MATCH(22,'MiT Strom Pipeline'!$AB$6:$AB$860,0)+5,"")</f>
        <v/>
      </c>
    </row>
    <row r="33" spans="1:21" ht="15.75" customHeight="1">
      <c r="A33" s="23" t="str">
        <f>IF($U33="","",IF(ISNUMBER(INDEX('MiT Strom Pipeline'!$A:$A,$U33)),INDEX('MiT Strom Pipeline'!$A:$A,$U33),""))</f>
        <v/>
      </c>
      <c r="B33" s="24" t="str">
        <f>IF($U33="","",IF(INDEX('MiT Strom Pipeline'!$B:$B,$U33)="","",INDEX('MiT Strom Pipeline'!$B:$B,$U33)))</f>
        <v/>
      </c>
      <c r="C33" s="24" t="str">
        <f>IF($U33="","",IF(INDEX('MiT Strom Pipeline'!$C:$C,$U33)="","",INDEX('MiT Strom Pipeline'!$C:$C,$U33)))</f>
        <v/>
      </c>
      <c r="D33" s="24" t="str">
        <f>IF($U33="","",IF(INDEX('MiT Strom Pipeline'!$D:$D,$U33)="","",INDEX('MiT Strom Pipeline'!$D:$D,$U33)))</f>
        <v/>
      </c>
      <c r="E33" s="24" t="str">
        <f>IF($U33="","",IF(INDEX('MiT Strom Pipeline'!$H:$H,$U33)="","",INDEX('MiT Strom Pipeline'!$H:$H,$U33)))</f>
        <v/>
      </c>
      <c r="F33" s="24" t="str">
        <f>IF($U33="","",IF(INDEX('MiT Strom Pipeline'!$E:$E,$U33)="","",INDEX('MiT Strom Pipeline'!$E:$E,$U33)))</f>
        <v/>
      </c>
      <c r="G33" s="25" t="str">
        <f>IF($U33="","",IF(ISNUMBER(INDEX('MiT Strom Pipeline'!$I:$I,$U33)),INDEX('MiT Strom Pipeline'!$I:$I,$U33),0))</f>
        <v/>
      </c>
      <c r="H33" s="25" t="str">
        <f>IF($U33="","",IF(ISNUMBER(INDEX('MiT Strom Pipeline'!$Q:$Q,$U33)),INDEX('MiT Strom Pipeline'!$Q:$Q,$U33),0))</f>
        <v/>
      </c>
      <c r="I33" s="25" t="str">
        <f>IF($U33="","",IF(ISNUMBER(INDEX('MiT Strom Pipeline'!$O:$O,$U33)),INDEX('MiT Strom Pipeline'!$O:$O,$U33),0))</f>
        <v/>
      </c>
      <c r="J33" s="24" t="str">
        <f>IF($U33="","",INDEX('MiT Strom Pipeline'!$R:$R,$U33))</f>
        <v/>
      </c>
      <c r="K33" s="26" t="str">
        <f>IF($U33="","",IF(ISNUMBER(INDEX('MiT Strom Pipeline'!$S:$S,$U33)),INDEX('MiT Strom Pipeline'!$S:$S,$U33),""))</f>
        <v/>
      </c>
      <c r="L33" s="24" t="str">
        <f>IF($U33="","",IF(LEN(INDEX('MiT Strom Pipeline'!$V:$V,$U33))&gt;0,LEFT(INDEX('MiT Strom Pipeline'!$V:$V,$U33),55),""))</f>
        <v/>
      </c>
      <c r="M33" s="19"/>
      <c r="N33" s="19"/>
      <c r="O33" s="19"/>
      <c r="P33" s="19"/>
      <c r="Q33" s="19"/>
      <c r="R33" s="19"/>
      <c r="S33" s="19"/>
      <c r="U33" t="str">
        <f>IFERROR(MATCH(23,'MiT Strom Pipeline'!$AB$6:$AB$860,0)+5,"")</f>
        <v/>
      </c>
    </row>
    <row r="34" spans="1:21" ht="15.75" customHeight="1">
      <c r="A34" s="23" t="str">
        <f>IF($U34="","",IF(ISNUMBER(INDEX('MiT Strom Pipeline'!$A:$A,$U34)),INDEX('MiT Strom Pipeline'!$A:$A,$U34),""))</f>
        <v/>
      </c>
      <c r="B34" s="24" t="str">
        <f>IF($U34="","",IF(INDEX('MiT Strom Pipeline'!$B:$B,$U34)="","",INDEX('MiT Strom Pipeline'!$B:$B,$U34)))</f>
        <v/>
      </c>
      <c r="C34" s="24" t="str">
        <f>IF($U34="","",IF(INDEX('MiT Strom Pipeline'!$C:$C,$U34)="","",INDEX('MiT Strom Pipeline'!$C:$C,$U34)))</f>
        <v/>
      </c>
      <c r="D34" s="24" t="str">
        <f>IF($U34="","",IF(INDEX('MiT Strom Pipeline'!$D:$D,$U34)="","",INDEX('MiT Strom Pipeline'!$D:$D,$U34)))</f>
        <v/>
      </c>
      <c r="E34" s="24" t="str">
        <f>IF($U34="","",IF(INDEX('MiT Strom Pipeline'!$H:$H,$U34)="","",INDEX('MiT Strom Pipeline'!$H:$H,$U34)))</f>
        <v/>
      </c>
      <c r="F34" s="24" t="str">
        <f>IF($U34="","",IF(INDEX('MiT Strom Pipeline'!$E:$E,$U34)="","",INDEX('MiT Strom Pipeline'!$E:$E,$U34)))</f>
        <v/>
      </c>
      <c r="G34" s="25" t="str">
        <f>IF($U34="","",IF(ISNUMBER(INDEX('MiT Strom Pipeline'!$I:$I,$U34)),INDEX('MiT Strom Pipeline'!$I:$I,$U34),0))</f>
        <v/>
      </c>
      <c r="H34" s="25" t="str">
        <f>IF($U34="","",IF(ISNUMBER(INDEX('MiT Strom Pipeline'!$Q:$Q,$U34)),INDEX('MiT Strom Pipeline'!$Q:$Q,$U34),0))</f>
        <v/>
      </c>
      <c r="I34" s="25" t="str">
        <f>IF($U34="","",IF(ISNUMBER(INDEX('MiT Strom Pipeline'!$O:$O,$U34)),INDEX('MiT Strom Pipeline'!$O:$O,$U34),0))</f>
        <v/>
      </c>
      <c r="J34" s="24" t="str">
        <f>IF($U34="","",INDEX('MiT Strom Pipeline'!$R:$R,$U34))</f>
        <v/>
      </c>
      <c r="K34" s="26" t="str">
        <f>IF($U34="","",IF(ISNUMBER(INDEX('MiT Strom Pipeline'!$S:$S,$U34)),INDEX('MiT Strom Pipeline'!$S:$S,$U34),""))</f>
        <v/>
      </c>
      <c r="L34" s="24" t="str">
        <f>IF($U34="","",IF(LEN(INDEX('MiT Strom Pipeline'!$V:$V,$U34))&gt;0,LEFT(INDEX('MiT Strom Pipeline'!$V:$V,$U34),55),""))</f>
        <v/>
      </c>
      <c r="M34" s="19"/>
      <c r="N34" s="19"/>
      <c r="O34" s="19"/>
      <c r="P34" s="19"/>
      <c r="Q34" s="19"/>
      <c r="R34" s="19"/>
      <c r="S34" s="19"/>
      <c r="U34" t="str">
        <f>IFERROR(MATCH(24,'MiT Strom Pipeline'!$AB$6:$AB$860,0)+5,"")</f>
        <v/>
      </c>
    </row>
    <row r="35" spans="1:21" ht="15.75" customHeight="1">
      <c r="A35" s="23" t="str">
        <f>IF($U35="","",IF(ISNUMBER(INDEX('MiT Strom Pipeline'!$A:$A,$U35)),INDEX('MiT Strom Pipeline'!$A:$A,$U35),""))</f>
        <v/>
      </c>
      <c r="B35" s="24" t="str">
        <f>IF($U35="","",IF(INDEX('MiT Strom Pipeline'!$B:$B,$U35)="","",INDEX('MiT Strom Pipeline'!$B:$B,$U35)))</f>
        <v/>
      </c>
      <c r="C35" s="24" t="str">
        <f>IF($U35="","",IF(INDEX('MiT Strom Pipeline'!$C:$C,$U35)="","",INDEX('MiT Strom Pipeline'!$C:$C,$U35)))</f>
        <v/>
      </c>
      <c r="D35" s="24" t="str">
        <f>IF($U35="","",IF(INDEX('MiT Strom Pipeline'!$D:$D,$U35)="","",INDEX('MiT Strom Pipeline'!$D:$D,$U35)))</f>
        <v/>
      </c>
      <c r="E35" s="24" t="str">
        <f>IF($U35="","",IF(INDEX('MiT Strom Pipeline'!$H:$H,$U35)="","",INDEX('MiT Strom Pipeline'!$H:$H,$U35)))</f>
        <v/>
      </c>
      <c r="F35" s="24" t="str">
        <f>IF($U35="","",IF(INDEX('MiT Strom Pipeline'!$E:$E,$U35)="","",INDEX('MiT Strom Pipeline'!$E:$E,$U35)))</f>
        <v/>
      </c>
      <c r="G35" s="25" t="str">
        <f>IF($U35="","",IF(ISNUMBER(INDEX('MiT Strom Pipeline'!$I:$I,$U35)),INDEX('MiT Strom Pipeline'!$I:$I,$U35),0))</f>
        <v/>
      </c>
      <c r="H35" s="25" t="str">
        <f>IF($U35="","",IF(ISNUMBER(INDEX('MiT Strom Pipeline'!$Q:$Q,$U35)),INDEX('MiT Strom Pipeline'!$Q:$Q,$U35),0))</f>
        <v/>
      </c>
      <c r="I35" s="25" t="str">
        <f>IF($U35="","",IF(ISNUMBER(INDEX('MiT Strom Pipeline'!$O:$O,$U35)),INDEX('MiT Strom Pipeline'!$O:$O,$U35),0))</f>
        <v/>
      </c>
      <c r="J35" s="24" t="str">
        <f>IF($U35="","",INDEX('MiT Strom Pipeline'!$R:$R,$U35))</f>
        <v/>
      </c>
      <c r="K35" s="26" t="str">
        <f>IF($U35="","",IF(ISNUMBER(INDEX('MiT Strom Pipeline'!$S:$S,$U35)),INDEX('MiT Strom Pipeline'!$S:$S,$U35),""))</f>
        <v/>
      </c>
      <c r="L35" s="24" t="str">
        <f>IF($U35="","",IF(LEN(INDEX('MiT Strom Pipeline'!$V:$V,$U35))&gt;0,LEFT(INDEX('MiT Strom Pipeline'!$V:$V,$U35),55),""))</f>
        <v/>
      </c>
      <c r="M35" s="19"/>
      <c r="N35" s="19"/>
      <c r="O35" s="19"/>
      <c r="P35" s="19"/>
      <c r="Q35" s="19"/>
      <c r="R35" s="19"/>
      <c r="S35" s="19"/>
      <c r="U35" t="str">
        <f>IFERROR(MATCH(25,'MiT Strom Pipeline'!$AB$6:$AB$860,0)+5,"")</f>
        <v/>
      </c>
    </row>
    <row r="36" spans="1:21" ht="15.75" customHeight="1">
      <c r="A36" s="23" t="str">
        <f>IF($U36="","",IF(ISNUMBER(INDEX('MiT Strom Pipeline'!$A:$A,$U36)),INDEX('MiT Strom Pipeline'!$A:$A,$U36),""))</f>
        <v/>
      </c>
      <c r="B36" s="24" t="str">
        <f>IF($U36="","",IF(INDEX('MiT Strom Pipeline'!$B:$B,$U36)="","",INDEX('MiT Strom Pipeline'!$B:$B,$U36)))</f>
        <v/>
      </c>
      <c r="C36" s="24" t="str">
        <f>IF($U36="","",IF(INDEX('MiT Strom Pipeline'!$C:$C,$U36)="","",INDEX('MiT Strom Pipeline'!$C:$C,$U36)))</f>
        <v/>
      </c>
      <c r="D36" s="24" t="str">
        <f>IF($U36="","",IF(INDEX('MiT Strom Pipeline'!$D:$D,$U36)="","",INDEX('MiT Strom Pipeline'!$D:$D,$U36)))</f>
        <v/>
      </c>
      <c r="E36" s="24" t="str">
        <f>IF($U36="","",IF(INDEX('MiT Strom Pipeline'!$H:$H,$U36)="","",INDEX('MiT Strom Pipeline'!$H:$H,$U36)))</f>
        <v/>
      </c>
      <c r="F36" s="24" t="str">
        <f>IF($U36="","",IF(INDEX('MiT Strom Pipeline'!$E:$E,$U36)="","",INDEX('MiT Strom Pipeline'!$E:$E,$U36)))</f>
        <v/>
      </c>
      <c r="G36" s="25" t="str">
        <f>IF($U36="","",IF(ISNUMBER(INDEX('MiT Strom Pipeline'!$I:$I,$U36)),INDEX('MiT Strom Pipeline'!$I:$I,$U36),0))</f>
        <v/>
      </c>
      <c r="H36" s="25" t="str">
        <f>IF($U36="","",IF(ISNUMBER(INDEX('MiT Strom Pipeline'!$Q:$Q,$U36)),INDEX('MiT Strom Pipeline'!$Q:$Q,$U36),0))</f>
        <v/>
      </c>
      <c r="I36" s="25" t="str">
        <f>IF($U36="","",IF(ISNUMBER(INDEX('MiT Strom Pipeline'!$O:$O,$U36)),INDEX('MiT Strom Pipeline'!$O:$O,$U36),0))</f>
        <v/>
      </c>
      <c r="J36" s="24" t="str">
        <f>IF($U36="","",INDEX('MiT Strom Pipeline'!$R:$R,$U36))</f>
        <v/>
      </c>
      <c r="K36" s="26" t="str">
        <f>IF($U36="","",IF(ISNUMBER(INDEX('MiT Strom Pipeline'!$S:$S,$U36)),INDEX('MiT Strom Pipeline'!$S:$S,$U36),""))</f>
        <v/>
      </c>
      <c r="L36" s="24" t="str">
        <f>IF($U36="","",IF(LEN(INDEX('MiT Strom Pipeline'!$V:$V,$U36))&gt;0,LEFT(INDEX('MiT Strom Pipeline'!$V:$V,$U36),55),""))</f>
        <v/>
      </c>
      <c r="M36" s="19"/>
      <c r="N36" s="19"/>
      <c r="O36" s="19"/>
      <c r="P36" s="19"/>
      <c r="Q36" s="19"/>
      <c r="R36" s="19"/>
      <c r="S36" s="19"/>
      <c r="U36" t="str">
        <f>IFERROR(MATCH(26,'MiT Strom Pipeline'!$AB$6:$AB$860,0)+5,"")</f>
        <v/>
      </c>
    </row>
    <row r="37" spans="1:21" ht="15.75" customHeight="1">
      <c r="A37" s="23" t="str">
        <f>IF($U37="","",IF(ISNUMBER(INDEX('MiT Strom Pipeline'!$A:$A,$U37)),INDEX('MiT Strom Pipeline'!$A:$A,$U37),""))</f>
        <v/>
      </c>
      <c r="B37" s="24" t="str">
        <f>IF($U37="","",IF(INDEX('MiT Strom Pipeline'!$B:$B,$U37)="","",INDEX('MiT Strom Pipeline'!$B:$B,$U37)))</f>
        <v/>
      </c>
      <c r="C37" s="24" t="str">
        <f>IF($U37="","",IF(INDEX('MiT Strom Pipeline'!$C:$C,$U37)="","",INDEX('MiT Strom Pipeline'!$C:$C,$U37)))</f>
        <v/>
      </c>
      <c r="D37" s="24" t="str">
        <f>IF($U37="","",IF(INDEX('MiT Strom Pipeline'!$D:$D,$U37)="","",INDEX('MiT Strom Pipeline'!$D:$D,$U37)))</f>
        <v/>
      </c>
      <c r="E37" s="24" t="str">
        <f>IF($U37="","",IF(INDEX('MiT Strom Pipeline'!$H:$H,$U37)="","",INDEX('MiT Strom Pipeline'!$H:$H,$U37)))</f>
        <v/>
      </c>
      <c r="F37" s="24" t="str">
        <f>IF($U37="","",IF(INDEX('MiT Strom Pipeline'!$E:$E,$U37)="","",INDEX('MiT Strom Pipeline'!$E:$E,$U37)))</f>
        <v/>
      </c>
      <c r="G37" s="25" t="str">
        <f>IF($U37="","",IF(ISNUMBER(INDEX('MiT Strom Pipeline'!$I:$I,$U37)),INDEX('MiT Strom Pipeline'!$I:$I,$U37),0))</f>
        <v/>
      </c>
      <c r="H37" s="25" t="str">
        <f>IF($U37="","",IF(ISNUMBER(INDEX('MiT Strom Pipeline'!$Q:$Q,$U37)),INDEX('MiT Strom Pipeline'!$Q:$Q,$U37),0))</f>
        <v/>
      </c>
      <c r="I37" s="25" t="str">
        <f>IF($U37="","",IF(ISNUMBER(INDEX('MiT Strom Pipeline'!$O:$O,$U37)),INDEX('MiT Strom Pipeline'!$O:$O,$U37),0))</f>
        <v/>
      </c>
      <c r="J37" s="24" t="str">
        <f>IF($U37="","",INDEX('MiT Strom Pipeline'!$R:$R,$U37))</f>
        <v/>
      </c>
      <c r="K37" s="26" t="str">
        <f>IF($U37="","",IF(ISNUMBER(INDEX('MiT Strom Pipeline'!$S:$S,$U37)),INDEX('MiT Strom Pipeline'!$S:$S,$U37),""))</f>
        <v/>
      </c>
      <c r="L37" s="24" t="str">
        <f>IF($U37="","",IF(LEN(INDEX('MiT Strom Pipeline'!$V:$V,$U37))&gt;0,LEFT(INDEX('MiT Strom Pipeline'!$V:$V,$U37),55),""))</f>
        <v/>
      </c>
      <c r="M37" s="19"/>
      <c r="N37" s="19"/>
      <c r="O37" s="19"/>
      <c r="P37" s="19"/>
      <c r="Q37" s="19"/>
      <c r="R37" s="19"/>
      <c r="S37" s="19"/>
      <c r="U37" t="str">
        <f>IFERROR(MATCH(27,'MiT Strom Pipeline'!$AB$6:$AB$860,0)+5,"")</f>
        <v/>
      </c>
    </row>
    <row r="38" spans="1:21" ht="15.75" customHeight="1">
      <c r="A38" s="23" t="str">
        <f>IF($U38="","",IF(ISNUMBER(INDEX('MiT Strom Pipeline'!$A:$A,$U38)),INDEX('MiT Strom Pipeline'!$A:$A,$U38),""))</f>
        <v/>
      </c>
      <c r="B38" s="24" t="str">
        <f>IF($U38="","",IF(INDEX('MiT Strom Pipeline'!$B:$B,$U38)="","",INDEX('MiT Strom Pipeline'!$B:$B,$U38)))</f>
        <v/>
      </c>
      <c r="C38" s="24" t="str">
        <f>IF($U38="","",IF(INDEX('MiT Strom Pipeline'!$C:$C,$U38)="","",INDEX('MiT Strom Pipeline'!$C:$C,$U38)))</f>
        <v/>
      </c>
      <c r="D38" s="24" t="str">
        <f>IF($U38="","",IF(INDEX('MiT Strom Pipeline'!$D:$D,$U38)="","",INDEX('MiT Strom Pipeline'!$D:$D,$U38)))</f>
        <v/>
      </c>
      <c r="E38" s="24" t="str">
        <f>IF($U38="","",IF(INDEX('MiT Strom Pipeline'!$H:$H,$U38)="","",INDEX('MiT Strom Pipeline'!$H:$H,$U38)))</f>
        <v/>
      </c>
      <c r="F38" s="24" t="str">
        <f>IF($U38="","",IF(INDEX('MiT Strom Pipeline'!$E:$E,$U38)="","",INDEX('MiT Strom Pipeline'!$E:$E,$U38)))</f>
        <v/>
      </c>
      <c r="G38" s="25" t="str">
        <f>IF($U38="","",IF(ISNUMBER(INDEX('MiT Strom Pipeline'!$I:$I,$U38)),INDEX('MiT Strom Pipeline'!$I:$I,$U38),0))</f>
        <v/>
      </c>
      <c r="H38" s="25" t="str">
        <f>IF($U38="","",IF(ISNUMBER(INDEX('MiT Strom Pipeline'!$Q:$Q,$U38)),INDEX('MiT Strom Pipeline'!$Q:$Q,$U38),0))</f>
        <v/>
      </c>
      <c r="I38" s="25" t="str">
        <f>IF($U38="","",IF(ISNUMBER(INDEX('MiT Strom Pipeline'!$O:$O,$U38)),INDEX('MiT Strom Pipeline'!$O:$O,$U38),0))</f>
        <v/>
      </c>
      <c r="J38" s="24" t="str">
        <f>IF($U38="","",INDEX('MiT Strom Pipeline'!$R:$R,$U38))</f>
        <v/>
      </c>
      <c r="K38" s="26" t="str">
        <f>IF($U38="","",IF(ISNUMBER(INDEX('MiT Strom Pipeline'!$S:$S,$U38)),INDEX('MiT Strom Pipeline'!$S:$S,$U38),""))</f>
        <v/>
      </c>
      <c r="L38" s="24" t="str">
        <f>IF($U38="","",IF(LEN(INDEX('MiT Strom Pipeline'!$V:$V,$U38))&gt;0,LEFT(INDEX('MiT Strom Pipeline'!$V:$V,$U38),55),""))</f>
        <v/>
      </c>
      <c r="M38" s="19"/>
      <c r="N38" s="19"/>
      <c r="O38" s="19"/>
      <c r="P38" s="19"/>
      <c r="Q38" s="19"/>
      <c r="R38" s="19"/>
      <c r="S38" s="19"/>
      <c r="U38" t="str">
        <f>IFERROR(MATCH(28,'MiT Strom Pipeline'!$AB$6:$AB$860,0)+5,"")</f>
        <v/>
      </c>
    </row>
    <row r="39" spans="1:21" ht="15.75" customHeight="1">
      <c r="A39" s="23" t="str">
        <f>IF($U39="","",IF(ISNUMBER(INDEX('MiT Strom Pipeline'!$A:$A,$U39)),INDEX('MiT Strom Pipeline'!$A:$A,$U39),""))</f>
        <v/>
      </c>
      <c r="B39" s="24" t="str">
        <f>IF($U39="","",IF(INDEX('MiT Strom Pipeline'!$B:$B,$U39)="","",INDEX('MiT Strom Pipeline'!$B:$B,$U39)))</f>
        <v/>
      </c>
      <c r="C39" s="24" t="str">
        <f>IF($U39="","",IF(INDEX('MiT Strom Pipeline'!$C:$C,$U39)="","",INDEX('MiT Strom Pipeline'!$C:$C,$U39)))</f>
        <v/>
      </c>
      <c r="D39" s="24" t="str">
        <f>IF($U39="","",IF(INDEX('MiT Strom Pipeline'!$D:$D,$U39)="","",INDEX('MiT Strom Pipeline'!$D:$D,$U39)))</f>
        <v/>
      </c>
      <c r="E39" s="24" t="str">
        <f>IF($U39="","",IF(INDEX('MiT Strom Pipeline'!$H:$H,$U39)="","",INDEX('MiT Strom Pipeline'!$H:$H,$U39)))</f>
        <v/>
      </c>
      <c r="F39" s="24" t="str">
        <f>IF($U39="","",IF(INDEX('MiT Strom Pipeline'!$E:$E,$U39)="","",INDEX('MiT Strom Pipeline'!$E:$E,$U39)))</f>
        <v/>
      </c>
      <c r="G39" s="25" t="str">
        <f>IF($U39="","",IF(ISNUMBER(INDEX('MiT Strom Pipeline'!$I:$I,$U39)),INDEX('MiT Strom Pipeline'!$I:$I,$U39),0))</f>
        <v/>
      </c>
      <c r="H39" s="25" t="str">
        <f>IF($U39="","",IF(ISNUMBER(INDEX('MiT Strom Pipeline'!$Q:$Q,$U39)),INDEX('MiT Strom Pipeline'!$Q:$Q,$U39),0))</f>
        <v/>
      </c>
      <c r="I39" s="25" t="str">
        <f>IF($U39="","",IF(ISNUMBER(INDEX('MiT Strom Pipeline'!$O:$O,$U39)),INDEX('MiT Strom Pipeline'!$O:$O,$U39),0))</f>
        <v/>
      </c>
      <c r="J39" s="24" t="str">
        <f>IF($U39="","",INDEX('MiT Strom Pipeline'!$R:$R,$U39))</f>
        <v/>
      </c>
      <c r="K39" s="26" t="str">
        <f>IF($U39="","",IF(ISNUMBER(INDEX('MiT Strom Pipeline'!$S:$S,$U39)),INDEX('MiT Strom Pipeline'!$S:$S,$U39),""))</f>
        <v/>
      </c>
      <c r="L39" s="24" t="str">
        <f>IF($U39="","",IF(LEN(INDEX('MiT Strom Pipeline'!$V:$V,$U39))&gt;0,LEFT(INDEX('MiT Strom Pipeline'!$V:$V,$U39),55),""))</f>
        <v/>
      </c>
      <c r="M39" s="19"/>
      <c r="N39" s="19"/>
      <c r="O39" s="19"/>
      <c r="P39" s="19"/>
      <c r="Q39" s="19"/>
      <c r="R39" s="19"/>
      <c r="S39" s="19"/>
      <c r="U39" t="str">
        <f>IFERROR(MATCH(29,'MiT Strom Pipeline'!$AB$6:$AB$860,0)+5,"")</f>
        <v/>
      </c>
    </row>
    <row r="40" spans="1:21" ht="15.75" customHeight="1">
      <c r="A40" s="23" t="str">
        <f>IF($U40="","",IF(ISNUMBER(INDEX('MiT Strom Pipeline'!$A:$A,$U40)),INDEX('MiT Strom Pipeline'!$A:$A,$U40),""))</f>
        <v/>
      </c>
      <c r="B40" s="24" t="str">
        <f>IF($U40="","",IF(INDEX('MiT Strom Pipeline'!$B:$B,$U40)="","",INDEX('MiT Strom Pipeline'!$B:$B,$U40)))</f>
        <v/>
      </c>
      <c r="C40" s="24" t="str">
        <f>IF($U40="","",IF(INDEX('MiT Strom Pipeline'!$C:$C,$U40)="","",INDEX('MiT Strom Pipeline'!$C:$C,$U40)))</f>
        <v/>
      </c>
      <c r="D40" s="24" t="str">
        <f>IF($U40="","",IF(INDEX('MiT Strom Pipeline'!$D:$D,$U40)="","",INDEX('MiT Strom Pipeline'!$D:$D,$U40)))</f>
        <v/>
      </c>
      <c r="E40" s="24" t="str">
        <f>IF($U40="","",IF(INDEX('MiT Strom Pipeline'!$H:$H,$U40)="","",INDEX('MiT Strom Pipeline'!$H:$H,$U40)))</f>
        <v/>
      </c>
      <c r="F40" s="24" t="str">
        <f>IF($U40="","",IF(INDEX('MiT Strom Pipeline'!$E:$E,$U40)="","",INDEX('MiT Strom Pipeline'!$E:$E,$U40)))</f>
        <v/>
      </c>
      <c r="G40" s="25" t="str">
        <f>IF($U40="","",IF(ISNUMBER(INDEX('MiT Strom Pipeline'!$I:$I,$U40)),INDEX('MiT Strom Pipeline'!$I:$I,$U40),0))</f>
        <v/>
      </c>
      <c r="H40" s="25" t="str">
        <f>IF($U40="","",IF(ISNUMBER(INDEX('MiT Strom Pipeline'!$Q:$Q,$U40)),INDEX('MiT Strom Pipeline'!$Q:$Q,$U40),0))</f>
        <v/>
      </c>
      <c r="I40" s="25" t="str">
        <f>IF($U40="","",IF(ISNUMBER(INDEX('MiT Strom Pipeline'!$O:$O,$U40)),INDEX('MiT Strom Pipeline'!$O:$O,$U40),0))</f>
        <v/>
      </c>
      <c r="J40" s="24" t="str">
        <f>IF($U40="","",INDEX('MiT Strom Pipeline'!$R:$R,$U40))</f>
        <v/>
      </c>
      <c r="K40" s="26" t="str">
        <f>IF($U40="","",IF(ISNUMBER(INDEX('MiT Strom Pipeline'!$S:$S,$U40)),INDEX('MiT Strom Pipeline'!$S:$S,$U40),""))</f>
        <v/>
      </c>
      <c r="L40" s="24" t="str">
        <f>IF($U40="","",IF(LEN(INDEX('MiT Strom Pipeline'!$V:$V,$U40))&gt;0,LEFT(INDEX('MiT Strom Pipeline'!$V:$V,$U40),55),""))</f>
        <v/>
      </c>
      <c r="M40" s="19"/>
      <c r="N40" s="19"/>
      <c r="O40" s="19"/>
      <c r="P40" s="19"/>
      <c r="Q40" s="19"/>
      <c r="R40" s="19"/>
      <c r="S40" s="19"/>
      <c r="U40" t="str">
        <f>IFERROR(MATCH(30,'MiT Strom Pipeline'!$AB$6:$AB$860,0)+5,"")</f>
        <v/>
      </c>
    </row>
    <row r="41" spans="1:21" ht="15.75" customHeight="1">
      <c r="A41" s="23" t="str">
        <f>IF($U41="","",IF(ISNUMBER(INDEX('MiT Strom Pipeline'!$A:$A,$U41)),INDEX('MiT Strom Pipeline'!$A:$A,$U41),""))</f>
        <v/>
      </c>
      <c r="B41" s="24" t="str">
        <f>IF($U41="","",IF(INDEX('MiT Strom Pipeline'!$B:$B,$U41)="","",INDEX('MiT Strom Pipeline'!$B:$B,$U41)))</f>
        <v/>
      </c>
      <c r="C41" s="24" t="str">
        <f>IF($U41="","",IF(INDEX('MiT Strom Pipeline'!$C:$C,$U41)="","",INDEX('MiT Strom Pipeline'!$C:$C,$U41)))</f>
        <v/>
      </c>
      <c r="D41" s="24" t="str">
        <f>IF($U41="","",IF(INDEX('MiT Strom Pipeline'!$D:$D,$U41)="","",INDEX('MiT Strom Pipeline'!$D:$D,$U41)))</f>
        <v/>
      </c>
      <c r="E41" s="24" t="str">
        <f>IF($U41="","",IF(INDEX('MiT Strom Pipeline'!$H:$H,$U41)="","",INDEX('MiT Strom Pipeline'!$H:$H,$U41)))</f>
        <v/>
      </c>
      <c r="F41" s="24" t="str">
        <f>IF($U41="","",IF(INDEX('MiT Strom Pipeline'!$E:$E,$U41)="","",INDEX('MiT Strom Pipeline'!$E:$E,$U41)))</f>
        <v/>
      </c>
      <c r="G41" s="25" t="str">
        <f>IF($U41="","",IF(ISNUMBER(INDEX('MiT Strom Pipeline'!$I:$I,$U41)),INDEX('MiT Strom Pipeline'!$I:$I,$U41),0))</f>
        <v/>
      </c>
      <c r="H41" s="25" t="str">
        <f>IF($U41="","",IF(ISNUMBER(INDEX('MiT Strom Pipeline'!$Q:$Q,$U41)),INDEX('MiT Strom Pipeline'!$Q:$Q,$U41),0))</f>
        <v/>
      </c>
      <c r="I41" s="25" t="str">
        <f>IF($U41="","",IF(ISNUMBER(INDEX('MiT Strom Pipeline'!$O:$O,$U41)),INDEX('MiT Strom Pipeline'!$O:$O,$U41),0))</f>
        <v/>
      </c>
      <c r="J41" s="24" t="str">
        <f>IF($U41="","",INDEX('MiT Strom Pipeline'!$R:$R,$U41))</f>
        <v/>
      </c>
      <c r="K41" s="26" t="str">
        <f>IF($U41="","",IF(ISNUMBER(INDEX('MiT Strom Pipeline'!$S:$S,$U41)),INDEX('MiT Strom Pipeline'!$S:$S,$U41),""))</f>
        <v/>
      </c>
      <c r="L41" s="24" t="str">
        <f>IF($U41="","",IF(LEN(INDEX('MiT Strom Pipeline'!$V:$V,$U41))&gt;0,LEFT(INDEX('MiT Strom Pipeline'!$V:$V,$U41),55),""))</f>
        <v/>
      </c>
      <c r="M41" s="19"/>
      <c r="N41" s="19"/>
      <c r="O41" s="19"/>
      <c r="P41" s="19"/>
      <c r="Q41" s="19"/>
      <c r="R41" s="19"/>
      <c r="S41" s="19"/>
      <c r="U41" t="str">
        <f>IFERROR(MATCH(31,'MiT Strom Pipeline'!$AB$6:$AB$860,0)+5,"")</f>
        <v/>
      </c>
    </row>
    <row r="42" spans="1:21" ht="15.75" customHeight="1">
      <c r="A42" s="23" t="str">
        <f>IF($U42="","",IF(ISNUMBER(INDEX('MiT Strom Pipeline'!$A:$A,$U42)),INDEX('MiT Strom Pipeline'!$A:$A,$U42),""))</f>
        <v/>
      </c>
      <c r="B42" s="24" t="str">
        <f>IF($U42="","",IF(INDEX('MiT Strom Pipeline'!$B:$B,$U42)="","",INDEX('MiT Strom Pipeline'!$B:$B,$U42)))</f>
        <v/>
      </c>
      <c r="C42" s="24" t="str">
        <f>IF($U42="","",IF(INDEX('MiT Strom Pipeline'!$C:$C,$U42)="","",INDEX('MiT Strom Pipeline'!$C:$C,$U42)))</f>
        <v/>
      </c>
      <c r="D42" s="24" t="str">
        <f>IF($U42="","",IF(INDEX('MiT Strom Pipeline'!$D:$D,$U42)="","",INDEX('MiT Strom Pipeline'!$D:$D,$U42)))</f>
        <v/>
      </c>
      <c r="E42" s="24" t="str">
        <f>IF($U42="","",IF(INDEX('MiT Strom Pipeline'!$H:$H,$U42)="","",INDEX('MiT Strom Pipeline'!$H:$H,$U42)))</f>
        <v/>
      </c>
      <c r="F42" s="24" t="str">
        <f>IF($U42="","",IF(INDEX('MiT Strom Pipeline'!$E:$E,$U42)="","",INDEX('MiT Strom Pipeline'!$E:$E,$U42)))</f>
        <v/>
      </c>
      <c r="G42" s="25" t="str">
        <f>IF($U42="","",IF(ISNUMBER(INDEX('MiT Strom Pipeline'!$I:$I,$U42)),INDEX('MiT Strom Pipeline'!$I:$I,$U42),0))</f>
        <v/>
      </c>
      <c r="H42" s="25" t="str">
        <f>IF($U42="","",IF(ISNUMBER(INDEX('MiT Strom Pipeline'!$Q:$Q,$U42)),INDEX('MiT Strom Pipeline'!$Q:$Q,$U42),0))</f>
        <v/>
      </c>
      <c r="I42" s="25" t="str">
        <f>IF($U42="","",IF(ISNUMBER(INDEX('MiT Strom Pipeline'!$O:$O,$U42)),INDEX('MiT Strom Pipeline'!$O:$O,$U42),0))</f>
        <v/>
      </c>
      <c r="J42" s="24" t="str">
        <f>IF($U42="","",INDEX('MiT Strom Pipeline'!$R:$R,$U42))</f>
        <v/>
      </c>
      <c r="K42" s="26" t="str">
        <f>IF($U42="","",IF(ISNUMBER(INDEX('MiT Strom Pipeline'!$S:$S,$U42)),INDEX('MiT Strom Pipeline'!$S:$S,$U42),""))</f>
        <v/>
      </c>
      <c r="L42" s="24" t="str">
        <f>IF($U42="","",IF(LEN(INDEX('MiT Strom Pipeline'!$V:$V,$U42))&gt;0,LEFT(INDEX('MiT Strom Pipeline'!$V:$V,$U42),55),""))</f>
        <v/>
      </c>
      <c r="M42" s="19"/>
      <c r="N42" s="19"/>
      <c r="O42" s="19"/>
      <c r="P42" s="19"/>
      <c r="Q42" s="19"/>
      <c r="R42" s="19"/>
      <c r="S42" s="19"/>
      <c r="U42" t="str">
        <f>IFERROR(MATCH(32,'MiT Strom Pipeline'!$AB$6:$AB$860,0)+5,"")</f>
        <v/>
      </c>
    </row>
    <row r="43" spans="1:21" ht="15.75" customHeight="1">
      <c r="A43" s="23" t="str">
        <f>IF($U43="","",IF(ISNUMBER(INDEX('MiT Strom Pipeline'!$A:$A,$U43)),INDEX('MiT Strom Pipeline'!$A:$A,$U43),""))</f>
        <v/>
      </c>
      <c r="B43" s="24" t="str">
        <f>IF($U43="","",IF(INDEX('MiT Strom Pipeline'!$B:$B,$U43)="","",INDEX('MiT Strom Pipeline'!$B:$B,$U43)))</f>
        <v/>
      </c>
      <c r="C43" s="24" t="str">
        <f>IF($U43="","",IF(INDEX('MiT Strom Pipeline'!$C:$C,$U43)="","",INDEX('MiT Strom Pipeline'!$C:$C,$U43)))</f>
        <v/>
      </c>
      <c r="D43" s="24" t="str">
        <f>IF($U43="","",IF(INDEX('MiT Strom Pipeline'!$D:$D,$U43)="","",INDEX('MiT Strom Pipeline'!$D:$D,$U43)))</f>
        <v/>
      </c>
      <c r="E43" s="24" t="str">
        <f>IF($U43="","",IF(INDEX('MiT Strom Pipeline'!$H:$H,$U43)="","",INDEX('MiT Strom Pipeline'!$H:$H,$U43)))</f>
        <v/>
      </c>
      <c r="F43" s="24" t="str">
        <f>IF($U43="","",IF(INDEX('MiT Strom Pipeline'!$E:$E,$U43)="","",INDEX('MiT Strom Pipeline'!$E:$E,$U43)))</f>
        <v/>
      </c>
      <c r="G43" s="25" t="str">
        <f>IF($U43="","",IF(ISNUMBER(INDEX('MiT Strom Pipeline'!$I:$I,$U43)),INDEX('MiT Strom Pipeline'!$I:$I,$U43),0))</f>
        <v/>
      </c>
      <c r="H43" s="25" t="str">
        <f>IF($U43="","",IF(ISNUMBER(INDEX('MiT Strom Pipeline'!$Q:$Q,$U43)),INDEX('MiT Strom Pipeline'!$Q:$Q,$U43),0))</f>
        <v/>
      </c>
      <c r="I43" s="25" t="str">
        <f>IF($U43="","",IF(ISNUMBER(INDEX('MiT Strom Pipeline'!$O:$O,$U43)),INDEX('MiT Strom Pipeline'!$O:$O,$U43),0))</f>
        <v/>
      </c>
      <c r="J43" s="24" t="str">
        <f>IF($U43="","",INDEX('MiT Strom Pipeline'!$R:$R,$U43))</f>
        <v/>
      </c>
      <c r="K43" s="26" t="str">
        <f>IF($U43="","",IF(ISNUMBER(INDEX('MiT Strom Pipeline'!$S:$S,$U43)),INDEX('MiT Strom Pipeline'!$S:$S,$U43),""))</f>
        <v/>
      </c>
      <c r="L43" s="24" t="str">
        <f>IF($U43="","",IF(LEN(INDEX('MiT Strom Pipeline'!$V:$V,$U43))&gt;0,LEFT(INDEX('MiT Strom Pipeline'!$V:$V,$U43),55),""))</f>
        <v/>
      </c>
      <c r="M43" s="19"/>
      <c r="N43" s="19"/>
      <c r="O43" s="19"/>
      <c r="P43" s="19"/>
      <c r="Q43" s="19"/>
      <c r="R43" s="19"/>
      <c r="S43" s="19"/>
      <c r="U43" t="str">
        <f>IFERROR(MATCH(33,'MiT Strom Pipeline'!$AB$6:$AB$860,0)+5,"")</f>
        <v/>
      </c>
    </row>
    <row r="44" spans="1:21" ht="15.75" customHeight="1">
      <c r="A44" s="23" t="str">
        <f>IF($U44="","",IF(ISNUMBER(INDEX('MiT Strom Pipeline'!$A:$A,$U44)),INDEX('MiT Strom Pipeline'!$A:$A,$U44),""))</f>
        <v/>
      </c>
      <c r="B44" s="24" t="str">
        <f>IF($U44="","",IF(INDEX('MiT Strom Pipeline'!$B:$B,$U44)="","",INDEX('MiT Strom Pipeline'!$B:$B,$U44)))</f>
        <v/>
      </c>
      <c r="C44" s="24" t="str">
        <f>IF($U44="","",IF(INDEX('MiT Strom Pipeline'!$C:$C,$U44)="","",INDEX('MiT Strom Pipeline'!$C:$C,$U44)))</f>
        <v/>
      </c>
      <c r="D44" s="24" t="str">
        <f>IF($U44="","",IF(INDEX('MiT Strom Pipeline'!$D:$D,$U44)="","",INDEX('MiT Strom Pipeline'!$D:$D,$U44)))</f>
        <v/>
      </c>
      <c r="E44" s="24" t="str">
        <f>IF($U44="","",IF(INDEX('MiT Strom Pipeline'!$H:$H,$U44)="","",INDEX('MiT Strom Pipeline'!$H:$H,$U44)))</f>
        <v/>
      </c>
      <c r="F44" s="24" t="str">
        <f>IF($U44="","",IF(INDEX('MiT Strom Pipeline'!$E:$E,$U44)="","",INDEX('MiT Strom Pipeline'!$E:$E,$U44)))</f>
        <v/>
      </c>
      <c r="G44" s="25" t="str">
        <f>IF($U44="","",IF(ISNUMBER(INDEX('MiT Strom Pipeline'!$I:$I,$U44)),INDEX('MiT Strom Pipeline'!$I:$I,$U44),0))</f>
        <v/>
      </c>
      <c r="H44" s="25" t="str">
        <f>IF($U44="","",IF(ISNUMBER(INDEX('MiT Strom Pipeline'!$Q:$Q,$U44)),INDEX('MiT Strom Pipeline'!$Q:$Q,$U44),0))</f>
        <v/>
      </c>
      <c r="I44" s="25" t="str">
        <f>IF($U44="","",IF(ISNUMBER(INDEX('MiT Strom Pipeline'!$O:$O,$U44)),INDEX('MiT Strom Pipeline'!$O:$O,$U44),0))</f>
        <v/>
      </c>
      <c r="J44" s="24" t="str">
        <f>IF($U44="","",INDEX('MiT Strom Pipeline'!$R:$R,$U44))</f>
        <v/>
      </c>
      <c r="K44" s="26" t="str">
        <f>IF($U44="","",IF(ISNUMBER(INDEX('MiT Strom Pipeline'!$S:$S,$U44)),INDEX('MiT Strom Pipeline'!$S:$S,$U44),""))</f>
        <v/>
      </c>
      <c r="L44" s="24" t="str">
        <f>IF($U44="","",IF(LEN(INDEX('MiT Strom Pipeline'!$V:$V,$U44))&gt;0,LEFT(INDEX('MiT Strom Pipeline'!$V:$V,$U44),55),""))</f>
        <v/>
      </c>
      <c r="M44" s="19"/>
      <c r="N44" s="19"/>
      <c r="O44" s="19"/>
      <c r="P44" s="19"/>
      <c r="Q44" s="19"/>
      <c r="R44" s="19"/>
      <c r="S44" s="19"/>
      <c r="U44" t="str">
        <f>IFERROR(MATCH(34,'MiT Strom Pipeline'!$AB$6:$AB$860,0)+5,"")</f>
        <v/>
      </c>
    </row>
    <row r="45" spans="1:21" ht="15.75" customHeight="1">
      <c r="A45" s="23" t="str">
        <f>IF($U45="","",IF(ISNUMBER(INDEX('MiT Strom Pipeline'!$A:$A,$U45)),INDEX('MiT Strom Pipeline'!$A:$A,$U45),""))</f>
        <v/>
      </c>
      <c r="B45" s="24" t="str">
        <f>IF($U45="","",IF(INDEX('MiT Strom Pipeline'!$B:$B,$U45)="","",INDEX('MiT Strom Pipeline'!$B:$B,$U45)))</f>
        <v/>
      </c>
      <c r="C45" s="24" t="str">
        <f>IF($U45="","",IF(INDEX('MiT Strom Pipeline'!$C:$C,$U45)="","",INDEX('MiT Strom Pipeline'!$C:$C,$U45)))</f>
        <v/>
      </c>
      <c r="D45" s="24" t="str">
        <f>IF($U45="","",IF(INDEX('MiT Strom Pipeline'!$D:$D,$U45)="","",INDEX('MiT Strom Pipeline'!$D:$D,$U45)))</f>
        <v/>
      </c>
      <c r="E45" s="24" t="str">
        <f>IF($U45="","",IF(INDEX('MiT Strom Pipeline'!$H:$H,$U45)="","",INDEX('MiT Strom Pipeline'!$H:$H,$U45)))</f>
        <v/>
      </c>
      <c r="F45" s="24" t="str">
        <f>IF($U45="","",IF(INDEX('MiT Strom Pipeline'!$E:$E,$U45)="","",INDEX('MiT Strom Pipeline'!$E:$E,$U45)))</f>
        <v/>
      </c>
      <c r="G45" s="25" t="str">
        <f>IF($U45="","",IF(ISNUMBER(INDEX('MiT Strom Pipeline'!$I:$I,$U45)),INDEX('MiT Strom Pipeline'!$I:$I,$U45),0))</f>
        <v/>
      </c>
      <c r="H45" s="25" t="str">
        <f>IF($U45="","",IF(ISNUMBER(INDEX('MiT Strom Pipeline'!$Q:$Q,$U45)),INDEX('MiT Strom Pipeline'!$Q:$Q,$U45),0))</f>
        <v/>
      </c>
      <c r="I45" s="25" t="str">
        <f>IF($U45="","",IF(ISNUMBER(INDEX('MiT Strom Pipeline'!$O:$O,$U45)),INDEX('MiT Strom Pipeline'!$O:$O,$U45),0))</f>
        <v/>
      </c>
      <c r="J45" s="24" t="str">
        <f>IF($U45="","",INDEX('MiT Strom Pipeline'!$R:$R,$U45))</f>
        <v/>
      </c>
      <c r="K45" s="26" t="str">
        <f>IF($U45="","",IF(ISNUMBER(INDEX('MiT Strom Pipeline'!$S:$S,$U45)),INDEX('MiT Strom Pipeline'!$S:$S,$U45),""))</f>
        <v/>
      </c>
      <c r="L45" s="24" t="str">
        <f>IF($U45="","",IF(LEN(INDEX('MiT Strom Pipeline'!$V:$V,$U45))&gt;0,LEFT(INDEX('MiT Strom Pipeline'!$V:$V,$U45),55),""))</f>
        <v/>
      </c>
      <c r="M45" s="19"/>
      <c r="N45" s="19"/>
      <c r="O45" s="19"/>
      <c r="P45" s="19"/>
      <c r="Q45" s="19"/>
      <c r="R45" s="19"/>
      <c r="S45" s="19"/>
      <c r="U45" t="str">
        <f>IFERROR(MATCH(35,'MiT Strom Pipeline'!$AB$6:$AB$860,0)+5,"")</f>
        <v/>
      </c>
    </row>
    <row r="46" spans="1:21" ht="15.75" customHeight="1">
      <c r="A46" s="23" t="str">
        <f>IF($U46="","",IF(ISNUMBER(INDEX('MiT Strom Pipeline'!$A:$A,$U46)),INDEX('MiT Strom Pipeline'!$A:$A,$U46),""))</f>
        <v/>
      </c>
      <c r="B46" s="24" t="str">
        <f>IF($U46="","",IF(INDEX('MiT Strom Pipeline'!$B:$B,$U46)="","",INDEX('MiT Strom Pipeline'!$B:$B,$U46)))</f>
        <v/>
      </c>
      <c r="C46" s="24" t="str">
        <f>IF($U46="","",IF(INDEX('MiT Strom Pipeline'!$C:$C,$U46)="","",INDEX('MiT Strom Pipeline'!$C:$C,$U46)))</f>
        <v/>
      </c>
      <c r="D46" s="24" t="str">
        <f>IF($U46="","",IF(INDEX('MiT Strom Pipeline'!$D:$D,$U46)="","",INDEX('MiT Strom Pipeline'!$D:$D,$U46)))</f>
        <v/>
      </c>
      <c r="E46" s="24" t="str">
        <f>IF($U46="","",IF(INDEX('MiT Strom Pipeline'!$H:$H,$U46)="","",INDEX('MiT Strom Pipeline'!$H:$H,$U46)))</f>
        <v/>
      </c>
      <c r="F46" s="24" t="str">
        <f>IF($U46="","",IF(INDEX('MiT Strom Pipeline'!$E:$E,$U46)="","",INDEX('MiT Strom Pipeline'!$E:$E,$U46)))</f>
        <v/>
      </c>
      <c r="G46" s="25" t="str">
        <f>IF($U46="","",IF(ISNUMBER(INDEX('MiT Strom Pipeline'!$I:$I,$U46)),INDEX('MiT Strom Pipeline'!$I:$I,$U46),0))</f>
        <v/>
      </c>
      <c r="H46" s="25" t="str">
        <f>IF($U46="","",IF(ISNUMBER(INDEX('MiT Strom Pipeline'!$Q:$Q,$U46)),INDEX('MiT Strom Pipeline'!$Q:$Q,$U46),0))</f>
        <v/>
      </c>
      <c r="I46" s="25" t="str">
        <f>IF($U46="","",IF(ISNUMBER(INDEX('MiT Strom Pipeline'!$O:$O,$U46)),INDEX('MiT Strom Pipeline'!$O:$O,$U46),0))</f>
        <v/>
      </c>
      <c r="J46" s="24" t="str">
        <f>IF($U46="","",INDEX('MiT Strom Pipeline'!$R:$R,$U46))</f>
        <v/>
      </c>
      <c r="K46" s="26" t="str">
        <f>IF($U46="","",IF(ISNUMBER(INDEX('MiT Strom Pipeline'!$S:$S,$U46)),INDEX('MiT Strom Pipeline'!$S:$S,$U46),""))</f>
        <v/>
      </c>
      <c r="L46" s="24" t="str">
        <f>IF($U46="","",IF(LEN(INDEX('MiT Strom Pipeline'!$V:$V,$U46))&gt;0,LEFT(INDEX('MiT Strom Pipeline'!$V:$V,$U46),55),""))</f>
        <v/>
      </c>
      <c r="M46" s="19"/>
      <c r="N46" s="19"/>
      <c r="O46" s="19"/>
      <c r="P46" s="19"/>
      <c r="Q46" s="19"/>
      <c r="R46" s="19"/>
      <c r="S46" s="19"/>
      <c r="U46" t="str">
        <f>IFERROR(MATCH(36,'MiT Strom Pipeline'!$AB$6:$AB$860,0)+5,"")</f>
        <v/>
      </c>
    </row>
    <row r="47" spans="1:21" ht="15.75" customHeight="1">
      <c r="A47" s="23" t="str">
        <f>IF($U47="","",IF(ISNUMBER(INDEX('MiT Strom Pipeline'!$A:$A,$U47)),INDEX('MiT Strom Pipeline'!$A:$A,$U47),""))</f>
        <v/>
      </c>
      <c r="B47" s="24" t="str">
        <f>IF($U47="","",IF(INDEX('MiT Strom Pipeline'!$B:$B,$U47)="","",INDEX('MiT Strom Pipeline'!$B:$B,$U47)))</f>
        <v/>
      </c>
      <c r="C47" s="24" t="str">
        <f>IF($U47="","",IF(INDEX('MiT Strom Pipeline'!$C:$C,$U47)="","",INDEX('MiT Strom Pipeline'!$C:$C,$U47)))</f>
        <v/>
      </c>
      <c r="D47" s="24" t="str">
        <f>IF($U47="","",IF(INDEX('MiT Strom Pipeline'!$D:$D,$U47)="","",INDEX('MiT Strom Pipeline'!$D:$D,$U47)))</f>
        <v/>
      </c>
      <c r="E47" s="24" t="str">
        <f>IF($U47="","",IF(INDEX('MiT Strom Pipeline'!$H:$H,$U47)="","",INDEX('MiT Strom Pipeline'!$H:$H,$U47)))</f>
        <v/>
      </c>
      <c r="F47" s="24" t="str">
        <f>IF($U47="","",IF(INDEX('MiT Strom Pipeline'!$E:$E,$U47)="","",INDEX('MiT Strom Pipeline'!$E:$E,$U47)))</f>
        <v/>
      </c>
      <c r="G47" s="25" t="str">
        <f>IF($U47="","",IF(ISNUMBER(INDEX('MiT Strom Pipeline'!$I:$I,$U47)),INDEX('MiT Strom Pipeline'!$I:$I,$U47),0))</f>
        <v/>
      </c>
      <c r="H47" s="25" t="str">
        <f>IF($U47="","",IF(ISNUMBER(INDEX('MiT Strom Pipeline'!$Q:$Q,$U47)),INDEX('MiT Strom Pipeline'!$Q:$Q,$U47),0))</f>
        <v/>
      </c>
      <c r="I47" s="25" t="str">
        <f>IF($U47="","",IF(ISNUMBER(INDEX('MiT Strom Pipeline'!$O:$O,$U47)),INDEX('MiT Strom Pipeline'!$O:$O,$U47),0))</f>
        <v/>
      </c>
      <c r="J47" s="24" t="str">
        <f>IF($U47="","",INDEX('MiT Strom Pipeline'!$R:$R,$U47))</f>
        <v/>
      </c>
      <c r="K47" s="26" t="str">
        <f>IF($U47="","",IF(ISNUMBER(INDEX('MiT Strom Pipeline'!$S:$S,$U47)),INDEX('MiT Strom Pipeline'!$S:$S,$U47),""))</f>
        <v/>
      </c>
      <c r="L47" s="24" t="str">
        <f>IF($U47="","",IF(LEN(INDEX('MiT Strom Pipeline'!$V:$V,$U47))&gt;0,LEFT(INDEX('MiT Strom Pipeline'!$V:$V,$U47),55),""))</f>
        <v/>
      </c>
      <c r="M47" s="19"/>
      <c r="N47" s="19"/>
      <c r="O47" s="19"/>
      <c r="P47" s="19"/>
      <c r="Q47" s="19"/>
      <c r="R47" s="19"/>
      <c r="S47" s="19"/>
      <c r="U47" t="str">
        <f>IFERROR(MATCH(37,'MiT Strom Pipeline'!$AB$6:$AB$860,0)+5,"")</f>
        <v/>
      </c>
    </row>
    <row r="48" spans="1:21" ht="15.75" customHeight="1">
      <c r="A48" s="23" t="str">
        <f>IF($U48="","",IF(ISNUMBER(INDEX('MiT Strom Pipeline'!$A:$A,$U48)),INDEX('MiT Strom Pipeline'!$A:$A,$U48),""))</f>
        <v/>
      </c>
      <c r="B48" s="24" t="str">
        <f>IF($U48="","",IF(INDEX('MiT Strom Pipeline'!$B:$B,$U48)="","",INDEX('MiT Strom Pipeline'!$B:$B,$U48)))</f>
        <v/>
      </c>
      <c r="C48" s="24" t="str">
        <f>IF($U48="","",IF(INDEX('MiT Strom Pipeline'!$C:$C,$U48)="","",INDEX('MiT Strom Pipeline'!$C:$C,$U48)))</f>
        <v/>
      </c>
      <c r="D48" s="24" t="str">
        <f>IF($U48="","",IF(INDEX('MiT Strom Pipeline'!$D:$D,$U48)="","",INDEX('MiT Strom Pipeline'!$D:$D,$U48)))</f>
        <v/>
      </c>
      <c r="E48" s="24" t="str">
        <f>IF($U48="","",IF(INDEX('MiT Strom Pipeline'!$H:$H,$U48)="","",INDEX('MiT Strom Pipeline'!$H:$H,$U48)))</f>
        <v/>
      </c>
      <c r="F48" s="24" t="str">
        <f>IF($U48="","",IF(INDEX('MiT Strom Pipeline'!$E:$E,$U48)="","",INDEX('MiT Strom Pipeline'!$E:$E,$U48)))</f>
        <v/>
      </c>
      <c r="G48" s="25" t="str">
        <f>IF($U48="","",IF(ISNUMBER(INDEX('MiT Strom Pipeline'!$I:$I,$U48)),INDEX('MiT Strom Pipeline'!$I:$I,$U48),0))</f>
        <v/>
      </c>
      <c r="H48" s="25" t="str">
        <f>IF($U48="","",IF(ISNUMBER(INDEX('MiT Strom Pipeline'!$Q:$Q,$U48)),INDEX('MiT Strom Pipeline'!$Q:$Q,$U48),0))</f>
        <v/>
      </c>
      <c r="I48" s="25" t="str">
        <f>IF($U48="","",IF(ISNUMBER(INDEX('MiT Strom Pipeline'!$O:$O,$U48)),INDEX('MiT Strom Pipeline'!$O:$O,$U48),0))</f>
        <v/>
      </c>
      <c r="J48" s="24" t="str">
        <f>IF($U48="","",INDEX('MiT Strom Pipeline'!$R:$R,$U48))</f>
        <v/>
      </c>
      <c r="K48" s="26" t="str">
        <f>IF($U48="","",IF(ISNUMBER(INDEX('MiT Strom Pipeline'!$S:$S,$U48)),INDEX('MiT Strom Pipeline'!$S:$S,$U48),""))</f>
        <v/>
      </c>
      <c r="L48" s="24" t="str">
        <f>IF($U48="","",IF(LEN(INDEX('MiT Strom Pipeline'!$V:$V,$U48))&gt;0,LEFT(INDEX('MiT Strom Pipeline'!$V:$V,$U48),55),""))</f>
        <v/>
      </c>
      <c r="M48" s="19"/>
      <c r="N48" s="19"/>
      <c r="O48" s="19"/>
      <c r="P48" s="19"/>
      <c r="Q48" s="19"/>
      <c r="R48" s="19"/>
      <c r="S48" s="19"/>
      <c r="U48" t="str">
        <f>IFERROR(MATCH(38,'MiT Strom Pipeline'!$AB$6:$AB$860,0)+5,"")</f>
        <v/>
      </c>
    </row>
    <row r="49" spans="1:21" ht="15.75" customHeight="1">
      <c r="A49" s="23" t="str">
        <f>IF($U49="","",IF(ISNUMBER(INDEX('MiT Strom Pipeline'!$A:$A,$U49)),INDEX('MiT Strom Pipeline'!$A:$A,$U49),""))</f>
        <v/>
      </c>
      <c r="B49" s="24" t="str">
        <f>IF($U49="","",IF(INDEX('MiT Strom Pipeline'!$B:$B,$U49)="","",INDEX('MiT Strom Pipeline'!$B:$B,$U49)))</f>
        <v/>
      </c>
      <c r="C49" s="24" t="str">
        <f>IF($U49="","",IF(INDEX('MiT Strom Pipeline'!$C:$C,$U49)="","",INDEX('MiT Strom Pipeline'!$C:$C,$U49)))</f>
        <v/>
      </c>
      <c r="D49" s="24" t="str">
        <f>IF($U49="","",IF(INDEX('MiT Strom Pipeline'!$D:$D,$U49)="","",INDEX('MiT Strom Pipeline'!$D:$D,$U49)))</f>
        <v/>
      </c>
      <c r="E49" s="24" t="str">
        <f>IF($U49="","",IF(INDEX('MiT Strom Pipeline'!$H:$H,$U49)="","",INDEX('MiT Strom Pipeline'!$H:$H,$U49)))</f>
        <v/>
      </c>
      <c r="F49" s="24" t="str">
        <f>IF($U49="","",IF(INDEX('MiT Strom Pipeline'!$E:$E,$U49)="","",INDEX('MiT Strom Pipeline'!$E:$E,$U49)))</f>
        <v/>
      </c>
      <c r="G49" s="25" t="str">
        <f>IF($U49="","",IF(ISNUMBER(INDEX('MiT Strom Pipeline'!$I:$I,$U49)),INDEX('MiT Strom Pipeline'!$I:$I,$U49),0))</f>
        <v/>
      </c>
      <c r="H49" s="25" t="str">
        <f>IF($U49="","",IF(ISNUMBER(INDEX('MiT Strom Pipeline'!$Q:$Q,$U49)),INDEX('MiT Strom Pipeline'!$Q:$Q,$U49),0))</f>
        <v/>
      </c>
      <c r="I49" s="25" t="str">
        <f>IF($U49="","",IF(ISNUMBER(INDEX('MiT Strom Pipeline'!$O:$O,$U49)),INDEX('MiT Strom Pipeline'!$O:$O,$U49),0))</f>
        <v/>
      </c>
      <c r="J49" s="24" t="str">
        <f>IF($U49="","",INDEX('MiT Strom Pipeline'!$R:$R,$U49))</f>
        <v/>
      </c>
      <c r="K49" s="26" t="str">
        <f>IF($U49="","",IF(ISNUMBER(INDEX('MiT Strom Pipeline'!$S:$S,$U49)),INDEX('MiT Strom Pipeline'!$S:$S,$U49),""))</f>
        <v/>
      </c>
      <c r="L49" s="24" t="str">
        <f>IF($U49="","",IF(LEN(INDEX('MiT Strom Pipeline'!$V:$V,$U49))&gt;0,LEFT(INDEX('MiT Strom Pipeline'!$V:$V,$U49),55),""))</f>
        <v/>
      </c>
      <c r="M49" s="19"/>
      <c r="N49" s="19"/>
      <c r="O49" s="19"/>
      <c r="P49" s="19"/>
      <c r="Q49" s="19"/>
      <c r="R49" s="19"/>
      <c r="S49" s="19"/>
      <c r="U49" t="str">
        <f>IFERROR(MATCH(39,'MiT Strom Pipeline'!$AB$6:$AB$860,0)+5,"")</f>
        <v/>
      </c>
    </row>
    <row r="50" spans="1:21" ht="15.75" customHeight="1">
      <c r="A50" s="23" t="str">
        <f>IF($U50="","",IF(ISNUMBER(INDEX('MiT Strom Pipeline'!$A:$A,$U50)),INDEX('MiT Strom Pipeline'!$A:$A,$U50),""))</f>
        <v/>
      </c>
      <c r="B50" s="24" t="str">
        <f>IF($U50="","",IF(INDEX('MiT Strom Pipeline'!$B:$B,$U50)="","",INDEX('MiT Strom Pipeline'!$B:$B,$U50)))</f>
        <v/>
      </c>
      <c r="C50" s="24" t="str">
        <f>IF($U50="","",IF(INDEX('MiT Strom Pipeline'!$C:$C,$U50)="","",INDEX('MiT Strom Pipeline'!$C:$C,$U50)))</f>
        <v/>
      </c>
      <c r="D50" s="24" t="str">
        <f>IF($U50="","",IF(INDEX('MiT Strom Pipeline'!$D:$D,$U50)="","",INDEX('MiT Strom Pipeline'!$D:$D,$U50)))</f>
        <v/>
      </c>
      <c r="E50" s="24" t="str">
        <f>IF($U50="","",IF(INDEX('MiT Strom Pipeline'!$H:$H,$U50)="","",INDEX('MiT Strom Pipeline'!$H:$H,$U50)))</f>
        <v/>
      </c>
      <c r="F50" s="24" t="str">
        <f>IF($U50="","",IF(INDEX('MiT Strom Pipeline'!$E:$E,$U50)="","",INDEX('MiT Strom Pipeline'!$E:$E,$U50)))</f>
        <v/>
      </c>
      <c r="G50" s="25" t="str">
        <f>IF($U50="","",IF(ISNUMBER(INDEX('MiT Strom Pipeline'!$I:$I,$U50)),INDEX('MiT Strom Pipeline'!$I:$I,$U50),0))</f>
        <v/>
      </c>
      <c r="H50" s="25" t="str">
        <f>IF($U50="","",IF(ISNUMBER(INDEX('MiT Strom Pipeline'!$Q:$Q,$U50)),INDEX('MiT Strom Pipeline'!$Q:$Q,$U50),0))</f>
        <v/>
      </c>
      <c r="I50" s="25" t="str">
        <f>IF($U50="","",IF(ISNUMBER(INDEX('MiT Strom Pipeline'!$O:$O,$U50)),INDEX('MiT Strom Pipeline'!$O:$O,$U50),0))</f>
        <v/>
      </c>
      <c r="J50" s="24" t="str">
        <f>IF($U50="","",INDEX('MiT Strom Pipeline'!$R:$R,$U50))</f>
        <v/>
      </c>
      <c r="K50" s="26" t="str">
        <f>IF($U50="","",IF(ISNUMBER(INDEX('MiT Strom Pipeline'!$S:$S,$U50)),INDEX('MiT Strom Pipeline'!$S:$S,$U50),""))</f>
        <v/>
      </c>
      <c r="L50" s="24" t="str">
        <f>IF($U50="","",IF(LEN(INDEX('MiT Strom Pipeline'!$V:$V,$U50))&gt;0,LEFT(INDEX('MiT Strom Pipeline'!$V:$V,$U50),55),""))</f>
        <v/>
      </c>
      <c r="M50" s="19"/>
      <c r="N50" s="19"/>
      <c r="O50" s="19"/>
      <c r="P50" s="19"/>
      <c r="Q50" s="19"/>
      <c r="R50" s="19"/>
      <c r="S50" s="19"/>
      <c r="U50" t="str">
        <f>IFERROR(MATCH(40,'MiT Strom Pipeline'!$AB$6:$AB$860,0)+5,"")</f>
        <v/>
      </c>
    </row>
    <row r="51" spans="1:21" ht="15.75" customHeight="1">
      <c r="A51" s="23" t="str">
        <f>IF($U51="","",IF(ISNUMBER(INDEX('MiT Strom Pipeline'!$A:$A,$U51)),INDEX('MiT Strom Pipeline'!$A:$A,$U51),""))</f>
        <v/>
      </c>
      <c r="B51" s="24" t="str">
        <f>IF($U51="","",IF(INDEX('MiT Strom Pipeline'!$B:$B,$U51)="","",INDEX('MiT Strom Pipeline'!$B:$B,$U51)))</f>
        <v/>
      </c>
      <c r="C51" s="24" t="str">
        <f>IF($U51="","",IF(INDEX('MiT Strom Pipeline'!$C:$C,$U51)="","",INDEX('MiT Strom Pipeline'!$C:$C,$U51)))</f>
        <v/>
      </c>
      <c r="D51" s="24" t="str">
        <f>IF($U51="","",IF(INDEX('MiT Strom Pipeline'!$D:$D,$U51)="","",INDEX('MiT Strom Pipeline'!$D:$D,$U51)))</f>
        <v/>
      </c>
      <c r="E51" s="24" t="str">
        <f>IF($U51="","",IF(INDEX('MiT Strom Pipeline'!$H:$H,$U51)="","",INDEX('MiT Strom Pipeline'!$H:$H,$U51)))</f>
        <v/>
      </c>
      <c r="F51" s="24" t="str">
        <f>IF($U51="","",IF(INDEX('MiT Strom Pipeline'!$E:$E,$U51)="","",INDEX('MiT Strom Pipeline'!$E:$E,$U51)))</f>
        <v/>
      </c>
      <c r="G51" s="25" t="str">
        <f>IF($U51="","",IF(ISNUMBER(INDEX('MiT Strom Pipeline'!$I:$I,$U51)),INDEX('MiT Strom Pipeline'!$I:$I,$U51),0))</f>
        <v/>
      </c>
      <c r="H51" s="25" t="str">
        <f>IF($U51="","",IF(ISNUMBER(INDEX('MiT Strom Pipeline'!$Q:$Q,$U51)),INDEX('MiT Strom Pipeline'!$Q:$Q,$U51),0))</f>
        <v/>
      </c>
      <c r="I51" s="25" t="str">
        <f>IF($U51="","",IF(ISNUMBER(INDEX('MiT Strom Pipeline'!$O:$O,$U51)),INDEX('MiT Strom Pipeline'!$O:$O,$U51),0))</f>
        <v/>
      </c>
      <c r="J51" s="24" t="str">
        <f>IF($U51="","",INDEX('MiT Strom Pipeline'!$R:$R,$U51))</f>
        <v/>
      </c>
      <c r="K51" s="26" t="str">
        <f>IF($U51="","",IF(ISNUMBER(INDEX('MiT Strom Pipeline'!$S:$S,$U51)),INDEX('MiT Strom Pipeline'!$S:$S,$U51),""))</f>
        <v/>
      </c>
      <c r="L51" s="24" t="str">
        <f>IF($U51="","",IF(LEN(INDEX('MiT Strom Pipeline'!$V:$V,$U51))&gt;0,LEFT(INDEX('MiT Strom Pipeline'!$V:$V,$U51),55),""))</f>
        <v/>
      </c>
      <c r="M51" s="19"/>
      <c r="N51" s="19"/>
      <c r="O51" s="19"/>
      <c r="P51" s="19"/>
      <c r="Q51" s="19"/>
      <c r="R51" s="19"/>
      <c r="S51" s="19"/>
      <c r="U51" t="str">
        <f>IFERROR(MATCH(41,'MiT Strom Pipeline'!$AB$6:$AB$860,0)+5,"")</f>
        <v/>
      </c>
    </row>
    <row r="52" spans="1:21" ht="15.75" customHeight="1">
      <c r="A52" s="23" t="str">
        <f>IF($U52="","",IF(ISNUMBER(INDEX('MiT Strom Pipeline'!$A:$A,$U52)),INDEX('MiT Strom Pipeline'!$A:$A,$U52),""))</f>
        <v/>
      </c>
      <c r="B52" s="24" t="str">
        <f>IF($U52="","",IF(INDEX('MiT Strom Pipeline'!$B:$B,$U52)="","",INDEX('MiT Strom Pipeline'!$B:$B,$U52)))</f>
        <v/>
      </c>
      <c r="C52" s="24" t="str">
        <f>IF($U52="","",IF(INDEX('MiT Strom Pipeline'!$C:$C,$U52)="","",INDEX('MiT Strom Pipeline'!$C:$C,$U52)))</f>
        <v/>
      </c>
      <c r="D52" s="24" t="str">
        <f>IF($U52="","",IF(INDEX('MiT Strom Pipeline'!$D:$D,$U52)="","",INDEX('MiT Strom Pipeline'!$D:$D,$U52)))</f>
        <v/>
      </c>
      <c r="E52" s="24" t="str">
        <f>IF($U52="","",IF(INDEX('MiT Strom Pipeline'!$H:$H,$U52)="","",INDEX('MiT Strom Pipeline'!$H:$H,$U52)))</f>
        <v/>
      </c>
      <c r="F52" s="24" t="str">
        <f>IF($U52="","",IF(INDEX('MiT Strom Pipeline'!$E:$E,$U52)="","",INDEX('MiT Strom Pipeline'!$E:$E,$U52)))</f>
        <v/>
      </c>
      <c r="G52" s="25" t="str">
        <f>IF($U52="","",IF(ISNUMBER(INDEX('MiT Strom Pipeline'!$I:$I,$U52)),INDEX('MiT Strom Pipeline'!$I:$I,$U52),0))</f>
        <v/>
      </c>
      <c r="H52" s="25" t="str">
        <f>IF($U52="","",IF(ISNUMBER(INDEX('MiT Strom Pipeline'!$Q:$Q,$U52)),INDEX('MiT Strom Pipeline'!$Q:$Q,$U52),0))</f>
        <v/>
      </c>
      <c r="I52" s="25" t="str">
        <f>IF($U52="","",IF(ISNUMBER(INDEX('MiT Strom Pipeline'!$O:$O,$U52)),INDEX('MiT Strom Pipeline'!$O:$O,$U52),0))</f>
        <v/>
      </c>
      <c r="J52" s="24" t="str">
        <f>IF($U52="","",INDEX('MiT Strom Pipeline'!$R:$R,$U52))</f>
        <v/>
      </c>
      <c r="K52" s="26" t="str">
        <f>IF($U52="","",IF(ISNUMBER(INDEX('MiT Strom Pipeline'!$S:$S,$U52)),INDEX('MiT Strom Pipeline'!$S:$S,$U52),""))</f>
        <v/>
      </c>
      <c r="L52" s="24" t="str">
        <f>IF($U52="","",IF(LEN(INDEX('MiT Strom Pipeline'!$V:$V,$U52))&gt;0,LEFT(INDEX('MiT Strom Pipeline'!$V:$V,$U52),55),""))</f>
        <v/>
      </c>
      <c r="M52" s="19"/>
      <c r="N52" s="19"/>
      <c r="O52" s="19"/>
      <c r="P52" s="19"/>
      <c r="Q52" s="19"/>
      <c r="R52" s="19"/>
      <c r="S52" s="19"/>
      <c r="U52" t="str">
        <f>IFERROR(MATCH(42,'MiT Strom Pipeline'!$AB$6:$AB$860,0)+5,"")</f>
        <v/>
      </c>
    </row>
    <row r="53" spans="1:21" ht="15.75" customHeight="1">
      <c r="A53" s="23" t="str">
        <f>IF($U53="","",IF(ISNUMBER(INDEX('MiT Strom Pipeline'!$A:$A,$U53)),INDEX('MiT Strom Pipeline'!$A:$A,$U53),""))</f>
        <v/>
      </c>
      <c r="B53" s="24" t="str">
        <f>IF($U53="","",IF(INDEX('MiT Strom Pipeline'!$B:$B,$U53)="","",INDEX('MiT Strom Pipeline'!$B:$B,$U53)))</f>
        <v/>
      </c>
      <c r="C53" s="24" t="str">
        <f>IF($U53="","",IF(INDEX('MiT Strom Pipeline'!$C:$C,$U53)="","",INDEX('MiT Strom Pipeline'!$C:$C,$U53)))</f>
        <v/>
      </c>
      <c r="D53" s="24" t="str">
        <f>IF($U53="","",IF(INDEX('MiT Strom Pipeline'!$D:$D,$U53)="","",INDEX('MiT Strom Pipeline'!$D:$D,$U53)))</f>
        <v/>
      </c>
      <c r="E53" s="24" t="str">
        <f>IF($U53="","",IF(INDEX('MiT Strom Pipeline'!$H:$H,$U53)="","",INDEX('MiT Strom Pipeline'!$H:$H,$U53)))</f>
        <v/>
      </c>
      <c r="F53" s="24" t="str">
        <f>IF($U53="","",IF(INDEX('MiT Strom Pipeline'!$E:$E,$U53)="","",INDEX('MiT Strom Pipeline'!$E:$E,$U53)))</f>
        <v/>
      </c>
      <c r="G53" s="25" t="str">
        <f>IF($U53="","",IF(ISNUMBER(INDEX('MiT Strom Pipeline'!$I:$I,$U53)),INDEX('MiT Strom Pipeline'!$I:$I,$U53),0))</f>
        <v/>
      </c>
      <c r="H53" s="25" t="str">
        <f>IF($U53="","",IF(ISNUMBER(INDEX('MiT Strom Pipeline'!$Q:$Q,$U53)),INDEX('MiT Strom Pipeline'!$Q:$Q,$U53),0))</f>
        <v/>
      </c>
      <c r="I53" s="25" t="str">
        <f>IF($U53="","",IF(ISNUMBER(INDEX('MiT Strom Pipeline'!$O:$O,$U53)),INDEX('MiT Strom Pipeline'!$O:$O,$U53),0))</f>
        <v/>
      </c>
      <c r="J53" s="24" t="str">
        <f>IF($U53="","",INDEX('MiT Strom Pipeline'!$R:$R,$U53))</f>
        <v/>
      </c>
      <c r="K53" s="26" t="str">
        <f>IF($U53="","",IF(ISNUMBER(INDEX('MiT Strom Pipeline'!$S:$S,$U53)),INDEX('MiT Strom Pipeline'!$S:$S,$U53),""))</f>
        <v/>
      </c>
      <c r="L53" s="24" t="str">
        <f>IF($U53="","",IF(LEN(INDEX('MiT Strom Pipeline'!$V:$V,$U53))&gt;0,LEFT(INDEX('MiT Strom Pipeline'!$V:$V,$U53),55),""))</f>
        <v/>
      </c>
      <c r="M53" s="19"/>
      <c r="N53" s="19"/>
      <c r="O53" s="19"/>
      <c r="P53" s="19"/>
      <c r="Q53" s="19"/>
      <c r="R53" s="19"/>
      <c r="S53" s="19"/>
      <c r="U53" t="str">
        <f>IFERROR(MATCH(43,'MiT Strom Pipeline'!$AB$6:$AB$860,0)+5,"")</f>
        <v/>
      </c>
    </row>
    <row r="54" spans="1:21" ht="15.75" customHeight="1">
      <c r="A54" s="23" t="str">
        <f>IF($U54="","",IF(ISNUMBER(INDEX('MiT Strom Pipeline'!$A:$A,$U54)),INDEX('MiT Strom Pipeline'!$A:$A,$U54),""))</f>
        <v/>
      </c>
      <c r="B54" s="24" t="str">
        <f>IF($U54="","",IF(INDEX('MiT Strom Pipeline'!$B:$B,$U54)="","",INDEX('MiT Strom Pipeline'!$B:$B,$U54)))</f>
        <v/>
      </c>
      <c r="C54" s="24" t="str">
        <f>IF($U54="","",IF(INDEX('MiT Strom Pipeline'!$C:$C,$U54)="","",INDEX('MiT Strom Pipeline'!$C:$C,$U54)))</f>
        <v/>
      </c>
      <c r="D54" s="24" t="str">
        <f>IF($U54="","",IF(INDEX('MiT Strom Pipeline'!$D:$D,$U54)="","",INDEX('MiT Strom Pipeline'!$D:$D,$U54)))</f>
        <v/>
      </c>
      <c r="E54" s="24" t="str">
        <f>IF($U54="","",IF(INDEX('MiT Strom Pipeline'!$H:$H,$U54)="","",INDEX('MiT Strom Pipeline'!$H:$H,$U54)))</f>
        <v/>
      </c>
      <c r="F54" s="24" t="str">
        <f>IF($U54="","",IF(INDEX('MiT Strom Pipeline'!$E:$E,$U54)="","",INDEX('MiT Strom Pipeline'!$E:$E,$U54)))</f>
        <v/>
      </c>
      <c r="G54" s="25" t="str">
        <f>IF($U54="","",IF(ISNUMBER(INDEX('MiT Strom Pipeline'!$I:$I,$U54)),INDEX('MiT Strom Pipeline'!$I:$I,$U54),0))</f>
        <v/>
      </c>
      <c r="H54" s="25" t="str">
        <f>IF($U54="","",IF(ISNUMBER(INDEX('MiT Strom Pipeline'!$Q:$Q,$U54)),INDEX('MiT Strom Pipeline'!$Q:$Q,$U54),0))</f>
        <v/>
      </c>
      <c r="I54" s="25" t="str">
        <f>IF($U54="","",IF(ISNUMBER(INDEX('MiT Strom Pipeline'!$O:$O,$U54)),INDEX('MiT Strom Pipeline'!$O:$O,$U54),0))</f>
        <v/>
      </c>
      <c r="J54" s="24" t="str">
        <f>IF($U54="","",INDEX('MiT Strom Pipeline'!$R:$R,$U54))</f>
        <v/>
      </c>
      <c r="K54" s="26" t="str">
        <f>IF($U54="","",IF(ISNUMBER(INDEX('MiT Strom Pipeline'!$S:$S,$U54)),INDEX('MiT Strom Pipeline'!$S:$S,$U54),""))</f>
        <v/>
      </c>
      <c r="L54" s="24" t="str">
        <f>IF($U54="","",IF(LEN(INDEX('MiT Strom Pipeline'!$V:$V,$U54))&gt;0,LEFT(INDEX('MiT Strom Pipeline'!$V:$V,$U54),55),""))</f>
        <v/>
      </c>
      <c r="M54" s="19"/>
      <c r="N54" s="19"/>
      <c r="O54" s="19"/>
      <c r="P54" s="19"/>
      <c r="Q54" s="19"/>
      <c r="R54" s="19"/>
      <c r="S54" s="19"/>
      <c r="U54" t="str">
        <f>IFERROR(MATCH(44,'MiT Strom Pipeline'!$AB$6:$AB$860,0)+5,"")</f>
        <v/>
      </c>
    </row>
    <row r="55" spans="1:21" ht="15.75" customHeight="1">
      <c r="A55" s="23" t="str">
        <f>IF($U55="","",IF(ISNUMBER(INDEX('MiT Strom Pipeline'!$A:$A,$U55)),INDEX('MiT Strom Pipeline'!$A:$A,$U55),""))</f>
        <v/>
      </c>
      <c r="B55" s="24" t="str">
        <f>IF($U55="","",IF(INDEX('MiT Strom Pipeline'!$B:$B,$U55)="","",INDEX('MiT Strom Pipeline'!$B:$B,$U55)))</f>
        <v/>
      </c>
      <c r="C55" s="24" t="str">
        <f>IF($U55="","",IF(INDEX('MiT Strom Pipeline'!$C:$C,$U55)="","",INDEX('MiT Strom Pipeline'!$C:$C,$U55)))</f>
        <v/>
      </c>
      <c r="D55" s="24" t="str">
        <f>IF($U55="","",IF(INDEX('MiT Strom Pipeline'!$D:$D,$U55)="","",INDEX('MiT Strom Pipeline'!$D:$D,$U55)))</f>
        <v/>
      </c>
      <c r="E55" s="24" t="str">
        <f>IF($U55="","",IF(INDEX('MiT Strom Pipeline'!$H:$H,$U55)="","",INDEX('MiT Strom Pipeline'!$H:$H,$U55)))</f>
        <v/>
      </c>
      <c r="F55" s="24" t="str">
        <f>IF($U55="","",IF(INDEX('MiT Strom Pipeline'!$E:$E,$U55)="","",INDEX('MiT Strom Pipeline'!$E:$E,$U55)))</f>
        <v/>
      </c>
      <c r="G55" s="25" t="str">
        <f>IF($U55="","",IF(ISNUMBER(INDEX('MiT Strom Pipeline'!$I:$I,$U55)),INDEX('MiT Strom Pipeline'!$I:$I,$U55),0))</f>
        <v/>
      </c>
      <c r="H55" s="25" t="str">
        <f>IF($U55="","",IF(ISNUMBER(INDEX('MiT Strom Pipeline'!$Q:$Q,$U55)),INDEX('MiT Strom Pipeline'!$Q:$Q,$U55),0))</f>
        <v/>
      </c>
      <c r="I55" s="25" t="str">
        <f>IF($U55="","",IF(ISNUMBER(INDEX('MiT Strom Pipeline'!$O:$O,$U55)),INDEX('MiT Strom Pipeline'!$O:$O,$U55),0))</f>
        <v/>
      </c>
      <c r="J55" s="24" t="str">
        <f>IF($U55="","",INDEX('MiT Strom Pipeline'!$R:$R,$U55))</f>
        <v/>
      </c>
      <c r="K55" s="26" t="str">
        <f>IF($U55="","",IF(ISNUMBER(INDEX('MiT Strom Pipeline'!$S:$S,$U55)),INDEX('MiT Strom Pipeline'!$S:$S,$U55),""))</f>
        <v/>
      </c>
      <c r="L55" s="24" t="str">
        <f>IF($U55="","",IF(LEN(INDEX('MiT Strom Pipeline'!$V:$V,$U55))&gt;0,LEFT(INDEX('MiT Strom Pipeline'!$V:$V,$U55),55),""))</f>
        <v/>
      </c>
      <c r="M55" s="19"/>
      <c r="N55" s="19"/>
      <c r="O55" s="19"/>
      <c r="P55" s="19"/>
      <c r="Q55" s="19"/>
      <c r="R55" s="19"/>
      <c r="S55" s="19"/>
      <c r="U55" t="str">
        <f>IFERROR(MATCH(45,'MiT Strom Pipeline'!$AB$6:$AB$860,0)+5,"")</f>
        <v/>
      </c>
    </row>
    <row r="56" spans="1:21" ht="15.75" customHeight="1">
      <c r="A56" s="23" t="str">
        <f>IF($U56="","",IF(ISNUMBER(INDEX('MiT Strom Pipeline'!$A:$A,$U56)),INDEX('MiT Strom Pipeline'!$A:$A,$U56),""))</f>
        <v/>
      </c>
      <c r="B56" s="24" t="str">
        <f>IF($U56="","",IF(INDEX('MiT Strom Pipeline'!$B:$B,$U56)="","",INDEX('MiT Strom Pipeline'!$B:$B,$U56)))</f>
        <v/>
      </c>
      <c r="C56" s="24" t="str">
        <f>IF($U56="","",IF(INDEX('MiT Strom Pipeline'!$C:$C,$U56)="","",INDEX('MiT Strom Pipeline'!$C:$C,$U56)))</f>
        <v/>
      </c>
      <c r="D56" s="24" t="str">
        <f>IF($U56="","",IF(INDEX('MiT Strom Pipeline'!$D:$D,$U56)="","",INDEX('MiT Strom Pipeline'!$D:$D,$U56)))</f>
        <v/>
      </c>
      <c r="E56" s="24" t="str">
        <f>IF($U56="","",IF(INDEX('MiT Strom Pipeline'!$H:$H,$U56)="","",INDEX('MiT Strom Pipeline'!$H:$H,$U56)))</f>
        <v/>
      </c>
      <c r="F56" s="24" t="str">
        <f>IF($U56="","",IF(INDEX('MiT Strom Pipeline'!$E:$E,$U56)="","",INDEX('MiT Strom Pipeline'!$E:$E,$U56)))</f>
        <v/>
      </c>
      <c r="G56" s="25" t="str">
        <f>IF($U56="","",IF(ISNUMBER(INDEX('MiT Strom Pipeline'!$I:$I,$U56)),INDEX('MiT Strom Pipeline'!$I:$I,$U56),0))</f>
        <v/>
      </c>
      <c r="H56" s="25" t="str">
        <f>IF($U56="","",IF(ISNUMBER(INDEX('MiT Strom Pipeline'!$Q:$Q,$U56)),INDEX('MiT Strom Pipeline'!$Q:$Q,$U56),0))</f>
        <v/>
      </c>
      <c r="I56" s="25" t="str">
        <f>IF($U56="","",IF(ISNUMBER(INDEX('MiT Strom Pipeline'!$O:$O,$U56)),INDEX('MiT Strom Pipeline'!$O:$O,$U56),0))</f>
        <v/>
      </c>
      <c r="J56" s="24" t="str">
        <f>IF($U56="","",INDEX('MiT Strom Pipeline'!$R:$R,$U56))</f>
        <v/>
      </c>
      <c r="K56" s="26" t="str">
        <f>IF($U56="","",IF(ISNUMBER(INDEX('MiT Strom Pipeline'!$S:$S,$U56)),INDEX('MiT Strom Pipeline'!$S:$S,$U56),""))</f>
        <v/>
      </c>
      <c r="L56" s="24" t="str">
        <f>IF($U56="","",IF(LEN(INDEX('MiT Strom Pipeline'!$V:$V,$U56))&gt;0,LEFT(INDEX('MiT Strom Pipeline'!$V:$V,$U56),55),""))</f>
        <v/>
      </c>
      <c r="M56" s="19"/>
      <c r="N56" s="19"/>
      <c r="O56" s="19"/>
      <c r="P56" s="19"/>
      <c r="Q56" s="19"/>
      <c r="R56" s="19"/>
      <c r="S56" s="19"/>
      <c r="U56" t="str">
        <f>IFERROR(MATCH(46,'MiT Strom Pipeline'!$AB$6:$AB$860,0)+5,"")</f>
        <v/>
      </c>
    </row>
    <row r="57" spans="1:21" ht="15.75" customHeight="1">
      <c r="A57" s="23" t="str">
        <f>IF($U57="","",IF(ISNUMBER(INDEX('MiT Strom Pipeline'!$A:$A,$U57)),INDEX('MiT Strom Pipeline'!$A:$A,$U57),""))</f>
        <v/>
      </c>
      <c r="B57" s="24" t="str">
        <f>IF($U57="","",IF(INDEX('MiT Strom Pipeline'!$B:$B,$U57)="","",INDEX('MiT Strom Pipeline'!$B:$B,$U57)))</f>
        <v/>
      </c>
      <c r="C57" s="24" t="str">
        <f>IF($U57="","",IF(INDEX('MiT Strom Pipeline'!$C:$C,$U57)="","",INDEX('MiT Strom Pipeline'!$C:$C,$U57)))</f>
        <v/>
      </c>
      <c r="D57" s="24" t="str">
        <f>IF($U57="","",IF(INDEX('MiT Strom Pipeline'!$D:$D,$U57)="","",INDEX('MiT Strom Pipeline'!$D:$D,$U57)))</f>
        <v/>
      </c>
      <c r="E57" s="24" t="str">
        <f>IF($U57="","",IF(INDEX('MiT Strom Pipeline'!$H:$H,$U57)="","",INDEX('MiT Strom Pipeline'!$H:$H,$U57)))</f>
        <v/>
      </c>
      <c r="F57" s="24" t="str">
        <f>IF($U57="","",IF(INDEX('MiT Strom Pipeline'!$E:$E,$U57)="","",INDEX('MiT Strom Pipeline'!$E:$E,$U57)))</f>
        <v/>
      </c>
      <c r="G57" s="25" t="str">
        <f>IF($U57="","",IF(ISNUMBER(INDEX('MiT Strom Pipeline'!$I:$I,$U57)),INDEX('MiT Strom Pipeline'!$I:$I,$U57),0))</f>
        <v/>
      </c>
      <c r="H57" s="25" t="str">
        <f>IF($U57="","",IF(ISNUMBER(INDEX('MiT Strom Pipeline'!$Q:$Q,$U57)),INDEX('MiT Strom Pipeline'!$Q:$Q,$U57),0))</f>
        <v/>
      </c>
      <c r="I57" s="25" t="str">
        <f>IF($U57="","",IF(ISNUMBER(INDEX('MiT Strom Pipeline'!$O:$O,$U57)),INDEX('MiT Strom Pipeline'!$O:$O,$U57),0))</f>
        <v/>
      </c>
      <c r="J57" s="24" t="str">
        <f>IF($U57="","",INDEX('MiT Strom Pipeline'!$R:$R,$U57))</f>
        <v/>
      </c>
      <c r="K57" s="26" t="str">
        <f>IF($U57="","",IF(ISNUMBER(INDEX('MiT Strom Pipeline'!$S:$S,$U57)),INDEX('MiT Strom Pipeline'!$S:$S,$U57),""))</f>
        <v/>
      </c>
      <c r="L57" s="24" t="str">
        <f>IF($U57="","",IF(LEN(INDEX('MiT Strom Pipeline'!$V:$V,$U57))&gt;0,LEFT(INDEX('MiT Strom Pipeline'!$V:$V,$U57),55),""))</f>
        <v/>
      </c>
      <c r="M57" s="19"/>
      <c r="N57" s="19"/>
      <c r="O57" s="19"/>
      <c r="P57" s="19"/>
      <c r="Q57" s="19"/>
      <c r="R57" s="19"/>
      <c r="S57" s="19"/>
      <c r="U57" t="str">
        <f>IFERROR(MATCH(47,'MiT Strom Pipeline'!$AB$6:$AB$860,0)+5,"")</f>
        <v/>
      </c>
    </row>
    <row r="58" spans="1:21" ht="15.75" customHeight="1">
      <c r="A58" s="23" t="str">
        <f>IF($U58="","",IF(ISNUMBER(INDEX('MiT Strom Pipeline'!$A:$A,$U58)),INDEX('MiT Strom Pipeline'!$A:$A,$U58),""))</f>
        <v/>
      </c>
      <c r="B58" s="24" t="str">
        <f>IF($U58="","",IF(INDEX('MiT Strom Pipeline'!$B:$B,$U58)="","",INDEX('MiT Strom Pipeline'!$B:$B,$U58)))</f>
        <v/>
      </c>
      <c r="C58" s="24" t="str">
        <f>IF($U58="","",IF(INDEX('MiT Strom Pipeline'!$C:$C,$U58)="","",INDEX('MiT Strom Pipeline'!$C:$C,$U58)))</f>
        <v/>
      </c>
      <c r="D58" s="24" t="str">
        <f>IF($U58="","",IF(INDEX('MiT Strom Pipeline'!$D:$D,$U58)="","",INDEX('MiT Strom Pipeline'!$D:$D,$U58)))</f>
        <v/>
      </c>
      <c r="E58" s="24" t="str">
        <f>IF($U58="","",IF(INDEX('MiT Strom Pipeline'!$H:$H,$U58)="","",INDEX('MiT Strom Pipeline'!$H:$H,$U58)))</f>
        <v/>
      </c>
      <c r="F58" s="24" t="str">
        <f>IF($U58="","",IF(INDEX('MiT Strom Pipeline'!$E:$E,$U58)="","",INDEX('MiT Strom Pipeline'!$E:$E,$U58)))</f>
        <v/>
      </c>
      <c r="G58" s="25" t="str">
        <f>IF($U58="","",IF(ISNUMBER(INDEX('MiT Strom Pipeline'!$I:$I,$U58)),INDEX('MiT Strom Pipeline'!$I:$I,$U58),0))</f>
        <v/>
      </c>
      <c r="H58" s="25" t="str">
        <f>IF($U58="","",IF(ISNUMBER(INDEX('MiT Strom Pipeline'!$Q:$Q,$U58)),INDEX('MiT Strom Pipeline'!$Q:$Q,$U58),0))</f>
        <v/>
      </c>
      <c r="I58" s="25" t="str">
        <f>IF($U58="","",IF(ISNUMBER(INDEX('MiT Strom Pipeline'!$O:$O,$U58)),INDEX('MiT Strom Pipeline'!$O:$O,$U58),0))</f>
        <v/>
      </c>
      <c r="J58" s="24" t="str">
        <f>IF($U58="","",INDEX('MiT Strom Pipeline'!$R:$R,$U58))</f>
        <v/>
      </c>
      <c r="K58" s="26" t="str">
        <f>IF($U58="","",IF(ISNUMBER(INDEX('MiT Strom Pipeline'!$S:$S,$U58)),INDEX('MiT Strom Pipeline'!$S:$S,$U58),""))</f>
        <v/>
      </c>
      <c r="L58" s="24" t="str">
        <f>IF($U58="","",IF(LEN(INDEX('MiT Strom Pipeline'!$V:$V,$U58))&gt;0,LEFT(INDEX('MiT Strom Pipeline'!$V:$V,$U58),55),""))</f>
        <v/>
      </c>
      <c r="M58" s="19"/>
      <c r="N58" s="19"/>
      <c r="O58" s="19"/>
      <c r="P58" s="19"/>
      <c r="Q58" s="19"/>
      <c r="R58" s="19"/>
      <c r="S58" s="19"/>
      <c r="U58" t="str">
        <f>IFERROR(MATCH(48,'MiT Strom Pipeline'!$AB$6:$AB$860,0)+5,"")</f>
        <v/>
      </c>
    </row>
    <row r="59" spans="1:21" ht="15.75" customHeight="1">
      <c r="A59" s="23" t="str">
        <f>IF($U59="","",IF(ISNUMBER(INDEX('MiT Strom Pipeline'!$A:$A,$U59)),INDEX('MiT Strom Pipeline'!$A:$A,$U59),""))</f>
        <v/>
      </c>
      <c r="B59" s="24" t="str">
        <f>IF($U59="","",IF(INDEX('MiT Strom Pipeline'!$B:$B,$U59)="","",INDEX('MiT Strom Pipeline'!$B:$B,$U59)))</f>
        <v/>
      </c>
      <c r="C59" s="24" t="str">
        <f>IF($U59="","",IF(INDEX('MiT Strom Pipeline'!$C:$C,$U59)="","",INDEX('MiT Strom Pipeline'!$C:$C,$U59)))</f>
        <v/>
      </c>
      <c r="D59" s="24" t="str">
        <f>IF($U59="","",IF(INDEX('MiT Strom Pipeline'!$D:$D,$U59)="","",INDEX('MiT Strom Pipeline'!$D:$D,$U59)))</f>
        <v/>
      </c>
      <c r="E59" s="24" t="str">
        <f>IF($U59="","",IF(INDEX('MiT Strom Pipeline'!$H:$H,$U59)="","",INDEX('MiT Strom Pipeline'!$H:$H,$U59)))</f>
        <v/>
      </c>
      <c r="F59" s="24" t="str">
        <f>IF($U59="","",IF(INDEX('MiT Strom Pipeline'!$E:$E,$U59)="","",INDEX('MiT Strom Pipeline'!$E:$E,$U59)))</f>
        <v/>
      </c>
      <c r="G59" s="25" t="str">
        <f>IF($U59="","",IF(ISNUMBER(INDEX('MiT Strom Pipeline'!$I:$I,$U59)),INDEX('MiT Strom Pipeline'!$I:$I,$U59),0))</f>
        <v/>
      </c>
      <c r="H59" s="25" t="str">
        <f>IF($U59="","",IF(ISNUMBER(INDEX('MiT Strom Pipeline'!$Q:$Q,$U59)),INDEX('MiT Strom Pipeline'!$Q:$Q,$U59),0))</f>
        <v/>
      </c>
      <c r="I59" s="25" t="str">
        <f>IF($U59="","",IF(ISNUMBER(INDEX('MiT Strom Pipeline'!$O:$O,$U59)),INDEX('MiT Strom Pipeline'!$O:$O,$U59),0))</f>
        <v/>
      </c>
      <c r="J59" s="24" t="str">
        <f>IF($U59="","",INDEX('MiT Strom Pipeline'!$R:$R,$U59))</f>
        <v/>
      </c>
      <c r="K59" s="26" t="str">
        <f>IF($U59="","",IF(ISNUMBER(INDEX('MiT Strom Pipeline'!$S:$S,$U59)),INDEX('MiT Strom Pipeline'!$S:$S,$U59),""))</f>
        <v/>
      </c>
      <c r="L59" s="24" t="str">
        <f>IF($U59="","",IF(LEN(INDEX('MiT Strom Pipeline'!$V:$V,$U59))&gt;0,LEFT(INDEX('MiT Strom Pipeline'!$V:$V,$U59),55),""))</f>
        <v/>
      </c>
      <c r="M59" s="19"/>
      <c r="N59" s="19"/>
      <c r="O59" s="19"/>
      <c r="P59" s="19"/>
      <c r="Q59" s="19"/>
      <c r="R59" s="19"/>
      <c r="S59" s="19"/>
      <c r="U59" t="str">
        <f>IFERROR(MATCH(49,'MiT Strom Pipeline'!$AB$6:$AB$860,0)+5,"")</f>
        <v/>
      </c>
    </row>
    <row r="60" spans="1:21" ht="15.75" customHeight="1">
      <c r="A60" s="23" t="str">
        <f>IF($U60="","",IF(ISNUMBER(INDEX('MiT Strom Pipeline'!$A:$A,$U60)),INDEX('MiT Strom Pipeline'!$A:$A,$U60),""))</f>
        <v/>
      </c>
      <c r="B60" s="24" t="str">
        <f>IF($U60="","",IF(INDEX('MiT Strom Pipeline'!$B:$B,$U60)="","",INDEX('MiT Strom Pipeline'!$B:$B,$U60)))</f>
        <v/>
      </c>
      <c r="C60" s="24" t="str">
        <f>IF($U60="","",IF(INDEX('MiT Strom Pipeline'!$C:$C,$U60)="","",INDEX('MiT Strom Pipeline'!$C:$C,$U60)))</f>
        <v/>
      </c>
      <c r="D60" s="24" t="str">
        <f>IF($U60="","",IF(INDEX('MiT Strom Pipeline'!$D:$D,$U60)="","",INDEX('MiT Strom Pipeline'!$D:$D,$U60)))</f>
        <v/>
      </c>
      <c r="E60" s="24" t="str">
        <f>IF($U60="","",IF(INDEX('MiT Strom Pipeline'!$H:$H,$U60)="","",INDEX('MiT Strom Pipeline'!$H:$H,$U60)))</f>
        <v/>
      </c>
      <c r="F60" s="24" t="str">
        <f>IF($U60="","",IF(INDEX('MiT Strom Pipeline'!$E:$E,$U60)="","",INDEX('MiT Strom Pipeline'!$E:$E,$U60)))</f>
        <v/>
      </c>
      <c r="G60" s="25" t="str">
        <f>IF($U60="","",IF(ISNUMBER(INDEX('MiT Strom Pipeline'!$I:$I,$U60)),INDEX('MiT Strom Pipeline'!$I:$I,$U60),0))</f>
        <v/>
      </c>
      <c r="H60" s="25" t="str">
        <f>IF($U60="","",IF(ISNUMBER(INDEX('MiT Strom Pipeline'!$Q:$Q,$U60)),INDEX('MiT Strom Pipeline'!$Q:$Q,$U60),0))</f>
        <v/>
      </c>
      <c r="I60" s="25" t="str">
        <f>IF($U60="","",IF(ISNUMBER(INDEX('MiT Strom Pipeline'!$O:$O,$U60)),INDEX('MiT Strom Pipeline'!$O:$O,$U60),0))</f>
        <v/>
      </c>
      <c r="J60" s="24" t="str">
        <f>IF($U60="","",INDEX('MiT Strom Pipeline'!$R:$R,$U60))</f>
        <v/>
      </c>
      <c r="K60" s="26" t="str">
        <f>IF($U60="","",IF(ISNUMBER(INDEX('MiT Strom Pipeline'!$S:$S,$U60)),INDEX('MiT Strom Pipeline'!$S:$S,$U60),""))</f>
        <v/>
      </c>
      <c r="L60" s="24" t="str">
        <f>IF($U60="","",IF(LEN(INDEX('MiT Strom Pipeline'!$V:$V,$U60))&gt;0,LEFT(INDEX('MiT Strom Pipeline'!$V:$V,$U60),55),""))</f>
        <v/>
      </c>
      <c r="M60" s="19"/>
      <c r="N60" s="19"/>
      <c r="O60" s="19"/>
      <c r="P60" s="19"/>
      <c r="Q60" s="19"/>
      <c r="R60" s="19"/>
      <c r="S60" s="19"/>
      <c r="U60" t="str">
        <f>IFERROR(MATCH(50,'MiT Strom Pipeline'!$AB$6:$AB$860,0)+5,"")</f>
        <v/>
      </c>
    </row>
    <row r="61" spans="1:21" ht="15.75" customHeight="1">
      <c r="A61" s="23" t="str">
        <f>IF($U61="","",IF(ISNUMBER(INDEX('MiT Strom Pipeline'!$A:$A,$U61)),INDEX('MiT Strom Pipeline'!$A:$A,$U61),""))</f>
        <v/>
      </c>
      <c r="B61" s="24" t="str">
        <f>IF($U61="","",IF(INDEX('MiT Strom Pipeline'!$B:$B,$U61)="","",INDEX('MiT Strom Pipeline'!$B:$B,$U61)))</f>
        <v/>
      </c>
      <c r="C61" s="24" t="str">
        <f>IF($U61="","",IF(INDEX('MiT Strom Pipeline'!$C:$C,$U61)="","",INDEX('MiT Strom Pipeline'!$C:$C,$U61)))</f>
        <v/>
      </c>
      <c r="D61" s="24" t="str">
        <f>IF($U61="","",IF(INDEX('MiT Strom Pipeline'!$D:$D,$U61)="","",INDEX('MiT Strom Pipeline'!$D:$D,$U61)))</f>
        <v/>
      </c>
      <c r="E61" s="24" t="str">
        <f>IF($U61="","",IF(INDEX('MiT Strom Pipeline'!$H:$H,$U61)="","",INDEX('MiT Strom Pipeline'!$H:$H,$U61)))</f>
        <v/>
      </c>
      <c r="F61" s="24" t="str">
        <f>IF($U61="","",IF(INDEX('MiT Strom Pipeline'!$E:$E,$U61)="","",INDEX('MiT Strom Pipeline'!$E:$E,$U61)))</f>
        <v/>
      </c>
      <c r="G61" s="25" t="str">
        <f>IF($U61="","",IF(ISNUMBER(INDEX('MiT Strom Pipeline'!$I:$I,$U61)),INDEX('MiT Strom Pipeline'!$I:$I,$U61),0))</f>
        <v/>
      </c>
      <c r="H61" s="25" t="str">
        <f>IF($U61="","",IF(ISNUMBER(INDEX('MiT Strom Pipeline'!$Q:$Q,$U61)),INDEX('MiT Strom Pipeline'!$Q:$Q,$U61),0))</f>
        <v/>
      </c>
      <c r="I61" s="25" t="str">
        <f>IF($U61="","",IF(ISNUMBER(INDEX('MiT Strom Pipeline'!$O:$O,$U61)),INDEX('MiT Strom Pipeline'!$O:$O,$U61),0))</f>
        <v/>
      </c>
      <c r="J61" s="24" t="str">
        <f>IF($U61="","",INDEX('MiT Strom Pipeline'!$R:$R,$U61))</f>
        <v/>
      </c>
      <c r="K61" s="26" t="str">
        <f>IF($U61="","",IF(ISNUMBER(INDEX('MiT Strom Pipeline'!$S:$S,$U61)),INDEX('MiT Strom Pipeline'!$S:$S,$U61),""))</f>
        <v/>
      </c>
      <c r="L61" s="24" t="str">
        <f>IF($U61="","",IF(LEN(INDEX('MiT Strom Pipeline'!$V:$V,$U61))&gt;0,LEFT(INDEX('MiT Strom Pipeline'!$V:$V,$U61),55),""))</f>
        <v/>
      </c>
      <c r="M61" s="19"/>
      <c r="N61" s="19"/>
      <c r="O61" s="19"/>
      <c r="P61" s="19"/>
      <c r="Q61" s="19"/>
      <c r="R61" s="19"/>
      <c r="S61" s="19"/>
      <c r="U61" t="str">
        <f>IFERROR(MATCH(51,'MiT Strom Pipeline'!$AB$6:$AB$860,0)+5,"")</f>
        <v/>
      </c>
    </row>
    <row r="62" spans="1:21" ht="15.75" customHeight="1">
      <c r="A62" s="23" t="str">
        <f>IF($U62="","",IF(ISNUMBER(INDEX('MiT Strom Pipeline'!$A:$A,$U62)),INDEX('MiT Strom Pipeline'!$A:$A,$U62),""))</f>
        <v/>
      </c>
      <c r="B62" s="24" t="str">
        <f>IF($U62="","",IF(INDEX('MiT Strom Pipeline'!$B:$B,$U62)="","",INDEX('MiT Strom Pipeline'!$B:$B,$U62)))</f>
        <v/>
      </c>
      <c r="C62" s="24" t="str">
        <f>IF($U62="","",IF(INDEX('MiT Strom Pipeline'!$C:$C,$U62)="","",INDEX('MiT Strom Pipeline'!$C:$C,$U62)))</f>
        <v/>
      </c>
      <c r="D62" s="24" t="str">
        <f>IF($U62="","",IF(INDEX('MiT Strom Pipeline'!$D:$D,$U62)="","",INDEX('MiT Strom Pipeline'!$D:$D,$U62)))</f>
        <v/>
      </c>
      <c r="E62" s="24" t="str">
        <f>IF($U62="","",IF(INDEX('MiT Strom Pipeline'!$H:$H,$U62)="","",INDEX('MiT Strom Pipeline'!$H:$H,$U62)))</f>
        <v/>
      </c>
      <c r="F62" s="24" t="str">
        <f>IF($U62="","",IF(INDEX('MiT Strom Pipeline'!$E:$E,$U62)="","",INDEX('MiT Strom Pipeline'!$E:$E,$U62)))</f>
        <v/>
      </c>
      <c r="G62" s="25" t="str">
        <f>IF($U62="","",IF(ISNUMBER(INDEX('MiT Strom Pipeline'!$I:$I,$U62)),INDEX('MiT Strom Pipeline'!$I:$I,$U62),0))</f>
        <v/>
      </c>
      <c r="H62" s="25" t="str">
        <f>IF($U62="","",IF(ISNUMBER(INDEX('MiT Strom Pipeline'!$Q:$Q,$U62)),INDEX('MiT Strom Pipeline'!$Q:$Q,$U62),0))</f>
        <v/>
      </c>
      <c r="I62" s="25" t="str">
        <f>IF($U62="","",IF(ISNUMBER(INDEX('MiT Strom Pipeline'!$O:$O,$U62)),INDEX('MiT Strom Pipeline'!$O:$O,$U62),0))</f>
        <v/>
      </c>
      <c r="J62" s="24" t="str">
        <f>IF($U62="","",INDEX('MiT Strom Pipeline'!$R:$R,$U62))</f>
        <v/>
      </c>
      <c r="K62" s="26" t="str">
        <f>IF($U62="","",IF(ISNUMBER(INDEX('MiT Strom Pipeline'!$S:$S,$U62)),INDEX('MiT Strom Pipeline'!$S:$S,$U62),""))</f>
        <v/>
      </c>
      <c r="L62" s="24" t="str">
        <f>IF($U62="","",IF(LEN(INDEX('MiT Strom Pipeline'!$V:$V,$U62))&gt;0,LEFT(INDEX('MiT Strom Pipeline'!$V:$V,$U62),55),""))</f>
        <v/>
      </c>
      <c r="M62" s="19"/>
      <c r="N62" s="19"/>
      <c r="O62" s="19"/>
      <c r="P62" s="19"/>
      <c r="Q62" s="19"/>
      <c r="R62" s="19"/>
      <c r="S62" s="19"/>
      <c r="U62" t="str">
        <f>IFERROR(MATCH(52,'MiT Strom Pipeline'!$AB$6:$AB$860,0)+5,"")</f>
        <v/>
      </c>
    </row>
    <row r="63" spans="1:21" ht="15.75" customHeight="1">
      <c r="A63" s="23" t="str">
        <f>IF($U63="","",IF(ISNUMBER(INDEX('MiT Strom Pipeline'!$A:$A,$U63)),INDEX('MiT Strom Pipeline'!$A:$A,$U63),""))</f>
        <v/>
      </c>
      <c r="B63" s="24" t="str">
        <f>IF($U63="","",IF(INDEX('MiT Strom Pipeline'!$B:$B,$U63)="","",INDEX('MiT Strom Pipeline'!$B:$B,$U63)))</f>
        <v/>
      </c>
      <c r="C63" s="24" t="str">
        <f>IF($U63="","",IF(INDEX('MiT Strom Pipeline'!$C:$C,$U63)="","",INDEX('MiT Strom Pipeline'!$C:$C,$U63)))</f>
        <v/>
      </c>
      <c r="D63" s="24" t="str">
        <f>IF($U63="","",IF(INDEX('MiT Strom Pipeline'!$D:$D,$U63)="","",INDEX('MiT Strom Pipeline'!$D:$D,$U63)))</f>
        <v/>
      </c>
      <c r="E63" s="24" t="str">
        <f>IF($U63="","",IF(INDEX('MiT Strom Pipeline'!$H:$H,$U63)="","",INDEX('MiT Strom Pipeline'!$H:$H,$U63)))</f>
        <v/>
      </c>
      <c r="F63" s="24" t="str">
        <f>IF($U63="","",IF(INDEX('MiT Strom Pipeline'!$E:$E,$U63)="","",INDEX('MiT Strom Pipeline'!$E:$E,$U63)))</f>
        <v/>
      </c>
      <c r="G63" s="25" t="str">
        <f>IF($U63="","",IF(ISNUMBER(INDEX('MiT Strom Pipeline'!$I:$I,$U63)),INDEX('MiT Strom Pipeline'!$I:$I,$U63),0))</f>
        <v/>
      </c>
      <c r="H63" s="25" t="str">
        <f>IF($U63="","",IF(ISNUMBER(INDEX('MiT Strom Pipeline'!$Q:$Q,$U63)),INDEX('MiT Strom Pipeline'!$Q:$Q,$U63),0))</f>
        <v/>
      </c>
      <c r="I63" s="25" t="str">
        <f>IF($U63="","",IF(ISNUMBER(INDEX('MiT Strom Pipeline'!$O:$O,$U63)),INDEX('MiT Strom Pipeline'!$O:$O,$U63),0))</f>
        <v/>
      </c>
      <c r="J63" s="24" t="str">
        <f>IF($U63="","",INDEX('MiT Strom Pipeline'!$R:$R,$U63))</f>
        <v/>
      </c>
      <c r="K63" s="26" t="str">
        <f>IF($U63="","",IF(ISNUMBER(INDEX('MiT Strom Pipeline'!$S:$S,$U63)),INDEX('MiT Strom Pipeline'!$S:$S,$U63),""))</f>
        <v/>
      </c>
      <c r="L63" s="24" t="str">
        <f>IF($U63="","",IF(LEN(INDEX('MiT Strom Pipeline'!$V:$V,$U63))&gt;0,LEFT(INDEX('MiT Strom Pipeline'!$V:$V,$U63),55),""))</f>
        <v/>
      </c>
      <c r="M63" s="19"/>
      <c r="N63" s="19"/>
      <c r="O63" s="19"/>
      <c r="P63" s="19"/>
      <c r="Q63" s="19"/>
      <c r="R63" s="19"/>
      <c r="S63" s="19"/>
      <c r="U63" t="str">
        <f>IFERROR(MATCH(53,'MiT Strom Pipeline'!$AB$6:$AB$860,0)+5,"")</f>
        <v/>
      </c>
    </row>
    <row r="64" spans="1:21" ht="15.75" customHeight="1">
      <c r="A64" s="23" t="str">
        <f>IF($U64="","",IF(ISNUMBER(INDEX('MiT Strom Pipeline'!$A:$A,$U64)),INDEX('MiT Strom Pipeline'!$A:$A,$U64),""))</f>
        <v/>
      </c>
      <c r="B64" s="24" t="str">
        <f>IF($U64="","",IF(INDEX('MiT Strom Pipeline'!$B:$B,$U64)="","",INDEX('MiT Strom Pipeline'!$B:$B,$U64)))</f>
        <v/>
      </c>
      <c r="C64" s="24" t="str">
        <f>IF($U64="","",IF(INDEX('MiT Strom Pipeline'!$C:$C,$U64)="","",INDEX('MiT Strom Pipeline'!$C:$C,$U64)))</f>
        <v/>
      </c>
      <c r="D64" s="24" t="str">
        <f>IF($U64="","",IF(INDEX('MiT Strom Pipeline'!$D:$D,$U64)="","",INDEX('MiT Strom Pipeline'!$D:$D,$U64)))</f>
        <v/>
      </c>
      <c r="E64" s="24" t="str">
        <f>IF($U64="","",IF(INDEX('MiT Strom Pipeline'!$H:$H,$U64)="","",INDEX('MiT Strom Pipeline'!$H:$H,$U64)))</f>
        <v/>
      </c>
      <c r="F64" s="24" t="str">
        <f>IF($U64="","",IF(INDEX('MiT Strom Pipeline'!$E:$E,$U64)="","",INDEX('MiT Strom Pipeline'!$E:$E,$U64)))</f>
        <v/>
      </c>
      <c r="G64" s="25" t="str">
        <f>IF($U64="","",IF(ISNUMBER(INDEX('MiT Strom Pipeline'!$I:$I,$U64)),INDEX('MiT Strom Pipeline'!$I:$I,$U64),0))</f>
        <v/>
      </c>
      <c r="H64" s="25" t="str">
        <f>IF($U64="","",IF(ISNUMBER(INDEX('MiT Strom Pipeline'!$Q:$Q,$U64)),INDEX('MiT Strom Pipeline'!$Q:$Q,$U64),0))</f>
        <v/>
      </c>
      <c r="I64" s="25" t="str">
        <f>IF($U64="","",IF(ISNUMBER(INDEX('MiT Strom Pipeline'!$O:$O,$U64)),INDEX('MiT Strom Pipeline'!$O:$O,$U64),0))</f>
        <v/>
      </c>
      <c r="J64" s="24" t="str">
        <f>IF($U64="","",INDEX('MiT Strom Pipeline'!$R:$R,$U64))</f>
        <v/>
      </c>
      <c r="K64" s="26" t="str">
        <f>IF($U64="","",IF(ISNUMBER(INDEX('MiT Strom Pipeline'!$S:$S,$U64)),INDEX('MiT Strom Pipeline'!$S:$S,$U64),""))</f>
        <v/>
      </c>
      <c r="L64" s="24" t="str">
        <f>IF($U64="","",IF(LEN(INDEX('MiT Strom Pipeline'!$V:$V,$U64))&gt;0,LEFT(INDEX('MiT Strom Pipeline'!$V:$V,$U64),55),""))</f>
        <v/>
      </c>
      <c r="M64" s="19"/>
      <c r="N64" s="19"/>
      <c r="O64" s="19"/>
      <c r="P64" s="19"/>
      <c r="Q64" s="19"/>
      <c r="R64" s="19"/>
      <c r="S64" s="19"/>
      <c r="U64" t="str">
        <f>IFERROR(MATCH(54,'MiT Strom Pipeline'!$AB$6:$AB$860,0)+5,"")</f>
        <v/>
      </c>
    </row>
    <row r="65" spans="1:21" ht="15.75" customHeight="1">
      <c r="A65" s="23" t="str">
        <f>IF($U65="","",IF(ISNUMBER(INDEX('MiT Strom Pipeline'!$A:$A,$U65)),INDEX('MiT Strom Pipeline'!$A:$A,$U65),""))</f>
        <v/>
      </c>
      <c r="B65" s="24" t="str">
        <f>IF($U65="","",IF(INDEX('MiT Strom Pipeline'!$B:$B,$U65)="","",INDEX('MiT Strom Pipeline'!$B:$B,$U65)))</f>
        <v/>
      </c>
      <c r="C65" s="24" t="str">
        <f>IF($U65="","",IF(INDEX('MiT Strom Pipeline'!$C:$C,$U65)="","",INDEX('MiT Strom Pipeline'!$C:$C,$U65)))</f>
        <v/>
      </c>
      <c r="D65" s="24" t="str">
        <f>IF($U65="","",IF(INDEX('MiT Strom Pipeline'!$D:$D,$U65)="","",INDEX('MiT Strom Pipeline'!$D:$D,$U65)))</f>
        <v/>
      </c>
      <c r="E65" s="24" t="str">
        <f>IF($U65="","",IF(INDEX('MiT Strom Pipeline'!$H:$H,$U65)="","",INDEX('MiT Strom Pipeline'!$H:$H,$U65)))</f>
        <v/>
      </c>
      <c r="F65" s="24" t="str">
        <f>IF($U65="","",IF(INDEX('MiT Strom Pipeline'!$E:$E,$U65)="","",INDEX('MiT Strom Pipeline'!$E:$E,$U65)))</f>
        <v/>
      </c>
      <c r="G65" s="25" t="str">
        <f>IF($U65="","",IF(ISNUMBER(INDEX('MiT Strom Pipeline'!$I:$I,$U65)),INDEX('MiT Strom Pipeline'!$I:$I,$U65),0))</f>
        <v/>
      </c>
      <c r="H65" s="25" t="str">
        <f>IF($U65="","",IF(ISNUMBER(INDEX('MiT Strom Pipeline'!$Q:$Q,$U65)),INDEX('MiT Strom Pipeline'!$Q:$Q,$U65),0))</f>
        <v/>
      </c>
      <c r="I65" s="25" t="str">
        <f>IF($U65="","",IF(ISNUMBER(INDEX('MiT Strom Pipeline'!$O:$O,$U65)),INDEX('MiT Strom Pipeline'!$O:$O,$U65),0))</f>
        <v/>
      </c>
      <c r="J65" s="24" t="str">
        <f>IF($U65="","",INDEX('MiT Strom Pipeline'!$R:$R,$U65))</f>
        <v/>
      </c>
      <c r="K65" s="26" t="str">
        <f>IF($U65="","",IF(ISNUMBER(INDEX('MiT Strom Pipeline'!$S:$S,$U65)),INDEX('MiT Strom Pipeline'!$S:$S,$U65),""))</f>
        <v/>
      </c>
      <c r="L65" s="24" t="str">
        <f>IF($U65="","",IF(LEN(INDEX('MiT Strom Pipeline'!$V:$V,$U65))&gt;0,LEFT(INDEX('MiT Strom Pipeline'!$V:$V,$U65),55),""))</f>
        <v/>
      </c>
      <c r="M65" s="19"/>
      <c r="N65" s="19"/>
      <c r="O65" s="19"/>
      <c r="P65" s="19"/>
      <c r="Q65" s="19"/>
      <c r="R65" s="19"/>
      <c r="S65" s="19"/>
      <c r="U65" t="str">
        <f>IFERROR(MATCH(55,'MiT Strom Pipeline'!$AB$6:$AB$860,0)+5,"")</f>
        <v/>
      </c>
    </row>
    <row r="66" spans="1:21" ht="15.75" customHeight="1">
      <c r="A66" s="23" t="str">
        <f>IF($U66="","",IF(ISNUMBER(INDEX('MiT Strom Pipeline'!$A:$A,$U66)),INDEX('MiT Strom Pipeline'!$A:$A,$U66),""))</f>
        <v/>
      </c>
      <c r="B66" s="24" t="str">
        <f>IF($U66="","",IF(INDEX('MiT Strom Pipeline'!$B:$B,$U66)="","",INDEX('MiT Strom Pipeline'!$B:$B,$U66)))</f>
        <v/>
      </c>
      <c r="C66" s="24" t="str">
        <f>IF($U66="","",IF(INDEX('MiT Strom Pipeline'!$C:$C,$U66)="","",INDEX('MiT Strom Pipeline'!$C:$C,$U66)))</f>
        <v/>
      </c>
      <c r="D66" s="24" t="str">
        <f>IF($U66="","",IF(INDEX('MiT Strom Pipeline'!$D:$D,$U66)="","",INDEX('MiT Strom Pipeline'!$D:$D,$U66)))</f>
        <v/>
      </c>
      <c r="E66" s="24" t="str">
        <f>IF($U66="","",IF(INDEX('MiT Strom Pipeline'!$H:$H,$U66)="","",INDEX('MiT Strom Pipeline'!$H:$H,$U66)))</f>
        <v/>
      </c>
      <c r="F66" s="24" t="str">
        <f>IF($U66="","",IF(INDEX('MiT Strom Pipeline'!$E:$E,$U66)="","",INDEX('MiT Strom Pipeline'!$E:$E,$U66)))</f>
        <v/>
      </c>
      <c r="G66" s="25" t="str">
        <f>IF($U66="","",IF(ISNUMBER(INDEX('MiT Strom Pipeline'!$I:$I,$U66)),INDEX('MiT Strom Pipeline'!$I:$I,$U66),0))</f>
        <v/>
      </c>
      <c r="H66" s="25" t="str">
        <f>IF($U66="","",IF(ISNUMBER(INDEX('MiT Strom Pipeline'!$Q:$Q,$U66)),INDEX('MiT Strom Pipeline'!$Q:$Q,$U66),0))</f>
        <v/>
      </c>
      <c r="I66" s="25" t="str">
        <f>IF($U66="","",IF(ISNUMBER(INDEX('MiT Strom Pipeline'!$O:$O,$U66)),INDEX('MiT Strom Pipeline'!$O:$O,$U66),0))</f>
        <v/>
      </c>
      <c r="J66" s="24" t="str">
        <f>IF($U66="","",INDEX('MiT Strom Pipeline'!$R:$R,$U66))</f>
        <v/>
      </c>
      <c r="K66" s="26" t="str">
        <f>IF($U66="","",IF(ISNUMBER(INDEX('MiT Strom Pipeline'!$S:$S,$U66)),INDEX('MiT Strom Pipeline'!$S:$S,$U66),""))</f>
        <v/>
      </c>
      <c r="L66" s="24" t="str">
        <f>IF($U66="","",IF(LEN(INDEX('MiT Strom Pipeline'!$V:$V,$U66))&gt;0,LEFT(INDEX('MiT Strom Pipeline'!$V:$V,$U66),55),""))</f>
        <v/>
      </c>
      <c r="M66" s="19"/>
      <c r="N66" s="19"/>
      <c r="O66" s="19"/>
      <c r="P66" s="19"/>
      <c r="Q66" s="19"/>
      <c r="R66" s="19"/>
      <c r="S66" s="19"/>
      <c r="U66" t="str">
        <f>IFERROR(MATCH(56,'MiT Strom Pipeline'!$AB$6:$AB$860,0)+5,"")</f>
        <v/>
      </c>
    </row>
    <row r="67" spans="1:21" ht="15.75" customHeight="1">
      <c r="A67" s="23" t="str">
        <f>IF($U67="","",IF(ISNUMBER(INDEX('MiT Strom Pipeline'!$A:$A,$U67)),INDEX('MiT Strom Pipeline'!$A:$A,$U67),""))</f>
        <v/>
      </c>
      <c r="B67" s="24" t="str">
        <f>IF($U67="","",IF(INDEX('MiT Strom Pipeline'!$B:$B,$U67)="","",INDEX('MiT Strom Pipeline'!$B:$B,$U67)))</f>
        <v/>
      </c>
      <c r="C67" s="24" t="str">
        <f>IF($U67="","",IF(INDEX('MiT Strom Pipeline'!$C:$C,$U67)="","",INDEX('MiT Strom Pipeline'!$C:$C,$U67)))</f>
        <v/>
      </c>
      <c r="D67" s="24" t="str">
        <f>IF($U67="","",IF(INDEX('MiT Strom Pipeline'!$D:$D,$U67)="","",INDEX('MiT Strom Pipeline'!$D:$D,$U67)))</f>
        <v/>
      </c>
      <c r="E67" s="24" t="str">
        <f>IF($U67="","",IF(INDEX('MiT Strom Pipeline'!$H:$H,$U67)="","",INDEX('MiT Strom Pipeline'!$H:$H,$U67)))</f>
        <v/>
      </c>
      <c r="F67" s="24" t="str">
        <f>IF($U67="","",IF(INDEX('MiT Strom Pipeline'!$E:$E,$U67)="","",INDEX('MiT Strom Pipeline'!$E:$E,$U67)))</f>
        <v/>
      </c>
      <c r="G67" s="25" t="str">
        <f>IF($U67="","",IF(ISNUMBER(INDEX('MiT Strom Pipeline'!$I:$I,$U67)),INDEX('MiT Strom Pipeline'!$I:$I,$U67),0))</f>
        <v/>
      </c>
      <c r="H67" s="25" t="str">
        <f>IF($U67="","",IF(ISNUMBER(INDEX('MiT Strom Pipeline'!$Q:$Q,$U67)),INDEX('MiT Strom Pipeline'!$Q:$Q,$U67),0))</f>
        <v/>
      </c>
      <c r="I67" s="25" t="str">
        <f>IF($U67="","",IF(ISNUMBER(INDEX('MiT Strom Pipeline'!$O:$O,$U67)),INDEX('MiT Strom Pipeline'!$O:$O,$U67),0))</f>
        <v/>
      </c>
      <c r="J67" s="24" t="str">
        <f>IF($U67="","",INDEX('MiT Strom Pipeline'!$R:$R,$U67))</f>
        <v/>
      </c>
      <c r="K67" s="26" t="str">
        <f>IF($U67="","",IF(ISNUMBER(INDEX('MiT Strom Pipeline'!$S:$S,$U67)),INDEX('MiT Strom Pipeline'!$S:$S,$U67),""))</f>
        <v/>
      </c>
      <c r="L67" s="24" t="str">
        <f>IF($U67="","",IF(LEN(INDEX('MiT Strom Pipeline'!$V:$V,$U67))&gt;0,LEFT(INDEX('MiT Strom Pipeline'!$V:$V,$U67),55),""))</f>
        <v/>
      </c>
      <c r="M67" s="19"/>
      <c r="N67" s="19"/>
      <c r="O67" s="19"/>
      <c r="P67" s="19"/>
      <c r="Q67" s="19"/>
      <c r="R67" s="19"/>
      <c r="S67" s="19"/>
      <c r="U67" t="str">
        <f>IFERROR(MATCH(57,'MiT Strom Pipeline'!$AB$6:$AB$860,0)+5,"")</f>
        <v/>
      </c>
    </row>
    <row r="68" spans="1:21" ht="15.75" customHeight="1">
      <c r="A68" s="23" t="str">
        <f>IF($U68="","",IF(ISNUMBER(INDEX('MiT Strom Pipeline'!$A:$A,$U68)),INDEX('MiT Strom Pipeline'!$A:$A,$U68),""))</f>
        <v/>
      </c>
      <c r="B68" s="24" t="str">
        <f>IF($U68="","",IF(INDEX('MiT Strom Pipeline'!$B:$B,$U68)="","",INDEX('MiT Strom Pipeline'!$B:$B,$U68)))</f>
        <v/>
      </c>
      <c r="C68" s="24" t="str">
        <f>IF($U68="","",IF(INDEX('MiT Strom Pipeline'!$C:$C,$U68)="","",INDEX('MiT Strom Pipeline'!$C:$C,$U68)))</f>
        <v/>
      </c>
      <c r="D68" s="24" t="str">
        <f>IF($U68="","",IF(INDEX('MiT Strom Pipeline'!$D:$D,$U68)="","",INDEX('MiT Strom Pipeline'!$D:$D,$U68)))</f>
        <v/>
      </c>
      <c r="E68" s="24" t="str">
        <f>IF($U68="","",IF(INDEX('MiT Strom Pipeline'!$H:$H,$U68)="","",INDEX('MiT Strom Pipeline'!$H:$H,$U68)))</f>
        <v/>
      </c>
      <c r="F68" s="24" t="str">
        <f>IF($U68="","",IF(INDEX('MiT Strom Pipeline'!$E:$E,$U68)="","",INDEX('MiT Strom Pipeline'!$E:$E,$U68)))</f>
        <v/>
      </c>
      <c r="G68" s="25" t="str">
        <f>IF($U68="","",IF(ISNUMBER(INDEX('MiT Strom Pipeline'!$I:$I,$U68)),INDEX('MiT Strom Pipeline'!$I:$I,$U68),0))</f>
        <v/>
      </c>
      <c r="H68" s="25" t="str">
        <f>IF($U68="","",IF(ISNUMBER(INDEX('MiT Strom Pipeline'!$Q:$Q,$U68)),INDEX('MiT Strom Pipeline'!$Q:$Q,$U68),0))</f>
        <v/>
      </c>
      <c r="I68" s="25" t="str">
        <f>IF($U68="","",IF(ISNUMBER(INDEX('MiT Strom Pipeline'!$O:$O,$U68)),INDEX('MiT Strom Pipeline'!$O:$O,$U68),0))</f>
        <v/>
      </c>
      <c r="J68" s="24" t="str">
        <f>IF($U68="","",INDEX('MiT Strom Pipeline'!$R:$R,$U68))</f>
        <v/>
      </c>
      <c r="K68" s="26" t="str">
        <f>IF($U68="","",IF(ISNUMBER(INDEX('MiT Strom Pipeline'!$S:$S,$U68)),INDEX('MiT Strom Pipeline'!$S:$S,$U68),""))</f>
        <v/>
      </c>
      <c r="L68" s="24" t="str">
        <f>IF($U68="","",IF(LEN(INDEX('MiT Strom Pipeline'!$V:$V,$U68))&gt;0,LEFT(INDEX('MiT Strom Pipeline'!$V:$V,$U68),55),""))</f>
        <v/>
      </c>
      <c r="M68" s="19"/>
      <c r="N68" s="19"/>
      <c r="O68" s="19"/>
      <c r="P68" s="19"/>
      <c r="Q68" s="19"/>
      <c r="R68" s="19"/>
      <c r="S68" s="19"/>
      <c r="U68" t="str">
        <f>IFERROR(MATCH(58,'MiT Strom Pipeline'!$AB$6:$AB$860,0)+5,"")</f>
        <v/>
      </c>
    </row>
    <row r="69" spans="1:21" ht="15.75" customHeight="1">
      <c r="A69" s="23" t="str">
        <f>IF($U69="","",IF(ISNUMBER(INDEX('MiT Strom Pipeline'!$A:$A,$U69)),INDEX('MiT Strom Pipeline'!$A:$A,$U69),""))</f>
        <v/>
      </c>
      <c r="B69" s="24" t="str">
        <f>IF($U69="","",IF(INDEX('MiT Strom Pipeline'!$B:$B,$U69)="","",INDEX('MiT Strom Pipeline'!$B:$B,$U69)))</f>
        <v/>
      </c>
      <c r="C69" s="24" t="str">
        <f>IF($U69="","",IF(INDEX('MiT Strom Pipeline'!$C:$C,$U69)="","",INDEX('MiT Strom Pipeline'!$C:$C,$U69)))</f>
        <v/>
      </c>
      <c r="D69" s="24" t="str">
        <f>IF($U69="","",IF(INDEX('MiT Strom Pipeline'!$D:$D,$U69)="","",INDEX('MiT Strom Pipeline'!$D:$D,$U69)))</f>
        <v/>
      </c>
      <c r="E69" s="24" t="str">
        <f>IF($U69="","",IF(INDEX('MiT Strom Pipeline'!$H:$H,$U69)="","",INDEX('MiT Strom Pipeline'!$H:$H,$U69)))</f>
        <v/>
      </c>
      <c r="F69" s="24" t="str">
        <f>IF($U69="","",IF(INDEX('MiT Strom Pipeline'!$E:$E,$U69)="","",INDEX('MiT Strom Pipeline'!$E:$E,$U69)))</f>
        <v/>
      </c>
      <c r="G69" s="25" t="str">
        <f>IF($U69="","",IF(ISNUMBER(INDEX('MiT Strom Pipeline'!$I:$I,$U69)),INDEX('MiT Strom Pipeline'!$I:$I,$U69),0))</f>
        <v/>
      </c>
      <c r="H69" s="25" t="str">
        <f>IF($U69="","",IF(ISNUMBER(INDEX('MiT Strom Pipeline'!$Q:$Q,$U69)),INDEX('MiT Strom Pipeline'!$Q:$Q,$U69),0))</f>
        <v/>
      </c>
      <c r="I69" s="25" t="str">
        <f>IF($U69="","",IF(ISNUMBER(INDEX('MiT Strom Pipeline'!$O:$O,$U69)),INDEX('MiT Strom Pipeline'!$O:$O,$U69),0))</f>
        <v/>
      </c>
      <c r="J69" s="24" t="str">
        <f>IF($U69="","",INDEX('MiT Strom Pipeline'!$R:$R,$U69))</f>
        <v/>
      </c>
      <c r="K69" s="26" t="str">
        <f>IF($U69="","",IF(ISNUMBER(INDEX('MiT Strom Pipeline'!$S:$S,$U69)),INDEX('MiT Strom Pipeline'!$S:$S,$U69),""))</f>
        <v/>
      </c>
      <c r="L69" s="24" t="str">
        <f>IF($U69="","",IF(LEN(INDEX('MiT Strom Pipeline'!$V:$V,$U69))&gt;0,LEFT(INDEX('MiT Strom Pipeline'!$V:$V,$U69),55),""))</f>
        <v/>
      </c>
      <c r="M69" s="19"/>
      <c r="N69" s="19"/>
      <c r="O69" s="19"/>
      <c r="P69" s="19"/>
      <c r="Q69" s="19"/>
      <c r="R69" s="19"/>
      <c r="S69" s="19"/>
      <c r="U69" t="str">
        <f>IFERROR(MATCH(59,'MiT Strom Pipeline'!$AB$6:$AB$860,0)+5,"")</f>
        <v/>
      </c>
    </row>
    <row r="70" spans="1:21" ht="15.75" customHeight="1">
      <c r="A70" s="23" t="str">
        <f>IF($U70="","",IF(ISNUMBER(INDEX('MiT Strom Pipeline'!$A:$A,$U70)),INDEX('MiT Strom Pipeline'!$A:$A,$U70),""))</f>
        <v/>
      </c>
      <c r="B70" s="24" t="str">
        <f>IF($U70="","",IF(INDEX('MiT Strom Pipeline'!$B:$B,$U70)="","",INDEX('MiT Strom Pipeline'!$B:$B,$U70)))</f>
        <v/>
      </c>
      <c r="C70" s="24" t="str">
        <f>IF($U70="","",IF(INDEX('MiT Strom Pipeline'!$C:$C,$U70)="","",INDEX('MiT Strom Pipeline'!$C:$C,$U70)))</f>
        <v/>
      </c>
      <c r="D70" s="24" t="str">
        <f>IF($U70="","",IF(INDEX('MiT Strom Pipeline'!$D:$D,$U70)="","",INDEX('MiT Strom Pipeline'!$D:$D,$U70)))</f>
        <v/>
      </c>
      <c r="E70" s="24" t="str">
        <f>IF($U70="","",IF(INDEX('MiT Strom Pipeline'!$H:$H,$U70)="","",INDEX('MiT Strom Pipeline'!$H:$H,$U70)))</f>
        <v/>
      </c>
      <c r="F70" s="24" t="str">
        <f>IF($U70="","",IF(INDEX('MiT Strom Pipeline'!$E:$E,$U70)="","",INDEX('MiT Strom Pipeline'!$E:$E,$U70)))</f>
        <v/>
      </c>
      <c r="G70" s="25" t="str">
        <f>IF($U70="","",IF(ISNUMBER(INDEX('MiT Strom Pipeline'!$I:$I,$U70)),INDEX('MiT Strom Pipeline'!$I:$I,$U70),0))</f>
        <v/>
      </c>
      <c r="H70" s="25" t="str">
        <f>IF($U70="","",IF(ISNUMBER(INDEX('MiT Strom Pipeline'!$Q:$Q,$U70)),INDEX('MiT Strom Pipeline'!$Q:$Q,$U70),0))</f>
        <v/>
      </c>
      <c r="I70" s="25" t="str">
        <f>IF($U70="","",IF(ISNUMBER(INDEX('MiT Strom Pipeline'!$O:$O,$U70)),INDEX('MiT Strom Pipeline'!$O:$O,$U70),0))</f>
        <v/>
      </c>
      <c r="J70" s="24" t="str">
        <f>IF($U70="","",INDEX('MiT Strom Pipeline'!$R:$R,$U70))</f>
        <v/>
      </c>
      <c r="K70" s="26" t="str">
        <f>IF($U70="","",IF(ISNUMBER(INDEX('MiT Strom Pipeline'!$S:$S,$U70)),INDEX('MiT Strom Pipeline'!$S:$S,$U70),""))</f>
        <v/>
      </c>
      <c r="L70" s="24" t="str">
        <f>IF($U70="","",IF(LEN(INDEX('MiT Strom Pipeline'!$V:$V,$U70))&gt;0,LEFT(INDEX('MiT Strom Pipeline'!$V:$V,$U70),55),""))</f>
        <v/>
      </c>
      <c r="M70" s="19"/>
      <c r="N70" s="19"/>
      <c r="O70" s="19"/>
      <c r="P70" s="19"/>
      <c r="Q70" s="19"/>
      <c r="R70" s="19"/>
      <c r="S70" s="19"/>
      <c r="U70" t="str">
        <f>IFERROR(MATCH(60,'MiT Strom Pipeline'!$AB$6:$AB$860,0)+5,"")</f>
        <v/>
      </c>
    </row>
    <row r="71" spans="1:21" ht="21.75" customHeight="1">
      <c r="A71" s="23" t="str">
        <f>IF($U71="","",IF(ISNUMBER(INDEX('MiT Strom Pipeline'!$A:$A,$U71)),INDEX('MiT Strom Pipeline'!$A:$A,$U71),""))</f>
        <v/>
      </c>
      <c r="B71" s="24" t="str">
        <f>IF($U71="","",IF(INDEX('MiT Strom Pipeline'!$B:$B,$U71)="","",INDEX('MiT Strom Pipeline'!$B:$B,$U71)))</f>
        <v/>
      </c>
      <c r="C71" s="24" t="str">
        <f>IF($U71="","",IF(INDEX('MiT Strom Pipeline'!$C:$C,$U71)="","",INDEX('MiT Strom Pipeline'!$C:$C,$U71)))</f>
        <v/>
      </c>
      <c r="D71" s="24" t="str">
        <f>IF($U71="","",IF(INDEX('MiT Strom Pipeline'!$D:$D,$U71)="","",INDEX('MiT Strom Pipeline'!$D:$D,$U71)))</f>
        <v/>
      </c>
      <c r="E71" s="24" t="str">
        <f>IF($U71="","",IF(INDEX('MiT Strom Pipeline'!$H:$H,$U71)="","",INDEX('MiT Strom Pipeline'!$H:$H,$U71)))</f>
        <v/>
      </c>
      <c r="F71" s="24" t="str">
        <f>IF($U71="","",IF(INDEX('MiT Strom Pipeline'!$E:$E,$U71)="","",INDEX('MiT Strom Pipeline'!$E:$E,$U71)))</f>
        <v/>
      </c>
      <c r="G71" s="25" t="str">
        <f>IF($U71="","",IF(ISNUMBER(INDEX('MiT Strom Pipeline'!$I:$I,$U71)),INDEX('MiT Strom Pipeline'!$I:$I,$U71),0))</f>
        <v/>
      </c>
      <c r="H71" s="25" t="str">
        <f>IF($U71="","",IF(ISNUMBER(INDEX('MiT Strom Pipeline'!$Q:$Q,$U71)),INDEX('MiT Strom Pipeline'!$Q:$Q,$U71),0))</f>
        <v/>
      </c>
      <c r="I71" s="25" t="str">
        <f>IF($U71="","",IF(ISNUMBER(INDEX('MiT Strom Pipeline'!$O:$O,$U71)),INDEX('MiT Strom Pipeline'!$O:$O,$U71),0))</f>
        <v/>
      </c>
      <c r="J71" s="24" t="str">
        <f>IF($U71="","",INDEX('MiT Strom Pipeline'!$R:$R,$U71))</f>
        <v/>
      </c>
      <c r="K71" s="26" t="str">
        <f>IF($U71="","",IF(ISNUMBER(INDEX('MiT Strom Pipeline'!$S:$S,$U71)),INDEX('MiT Strom Pipeline'!$S:$S,$U71),""))</f>
        <v/>
      </c>
      <c r="L71" s="24" t="str">
        <f>IF($U71="","",IF(LEN(INDEX('MiT Strom Pipeline'!$V:$V,$U71))&gt;0,LEFT(INDEX('MiT Strom Pipeline'!$V:$V,$U71),55),""))</f>
        <v/>
      </c>
      <c r="M71" s="19"/>
      <c r="N71" s="19"/>
      <c r="O71" s="19"/>
      <c r="P71" s="19"/>
      <c r="Q71" s="19"/>
      <c r="R71" s="19"/>
      <c r="S71" s="19"/>
      <c r="U71" t="str">
        <f>IFERROR(MATCH(61,'MiT Strom Pipeline'!$AB$6:$AB$860,0)+5,"")</f>
        <v/>
      </c>
    </row>
    <row r="72" spans="1:21" ht="3.75" customHeight="1">
      <c r="A72" s="23" t="str">
        <f>IF($U72="","",IF(ISNUMBER(INDEX('MiT Strom Pipeline'!$A:$A,$U72)),INDEX('MiT Strom Pipeline'!$A:$A,$U72),""))</f>
        <v/>
      </c>
      <c r="B72" s="24" t="str">
        <f>IF($U72="","",IF(INDEX('MiT Strom Pipeline'!$B:$B,$U72)="","",INDEX('MiT Strom Pipeline'!$B:$B,$U72)))</f>
        <v/>
      </c>
      <c r="C72" s="24" t="str">
        <f>IF($U72="","",IF(INDEX('MiT Strom Pipeline'!$C:$C,$U72)="","",INDEX('MiT Strom Pipeline'!$C:$C,$U72)))</f>
        <v/>
      </c>
      <c r="D72" s="24" t="str">
        <f>IF($U72="","",IF(INDEX('MiT Strom Pipeline'!$D:$D,$U72)="","",INDEX('MiT Strom Pipeline'!$D:$D,$U72)))</f>
        <v/>
      </c>
      <c r="E72" s="24" t="str">
        <f>IF($U72="","",IF(INDEX('MiT Strom Pipeline'!$H:$H,$U72)="","",INDEX('MiT Strom Pipeline'!$H:$H,$U72)))</f>
        <v/>
      </c>
      <c r="F72" s="24" t="str">
        <f>IF($U72="","",IF(INDEX('MiT Strom Pipeline'!$E:$E,$U72)="","",INDEX('MiT Strom Pipeline'!$E:$E,$U72)))</f>
        <v/>
      </c>
      <c r="G72" s="25" t="str">
        <f>IF($U72="","",IF(ISNUMBER(INDEX('MiT Strom Pipeline'!$I:$I,$U72)),INDEX('MiT Strom Pipeline'!$I:$I,$U72),0))</f>
        <v/>
      </c>
      <c r="H72" s="25" t="str">
        <f>IF($U72="","",IF(ISNUMBER(INDEX('MiT Strom Pipeline'!$Q:$Q,$U72)),INDEX('MiT Strom Pipeline'!$Q:$Q,$U72),0))</f>
        <v/>
      </c>
      <c r="I72" s="25" t="str">
        <f>IF($U72="","",IF(ISNUMBER(INDEX('MiT Strom Pipeline'!$O:$O,$U72)),INDEX('MiT Strom Pipeline'!$O:$O,$U72),0))</f>
        <v/>
      </c>
      <c r="J72" s="24" t="str">
        <f>IF($U72="","",INDEX('MiT Strom Pipeline'!$R:$R,$U72))</f>
        <v/>
      </c>
      <c r="K72" s="26" t="str">
        <f>IF($U72="","",IF(ISNUMBER(INDEX('MiT Strom Pipeline'!$S:$S,$U72)),INDEX('MiT Strom Pipeline'!$S:$S,$U72),""))</f>
        <v/>
      </c>
      <c r="L72" s="24" t="str">
        <f>IF($U72="","",IF(LEN(INDEX('MiT Strom Pipeline'!$V:$V,$U72))&gt;0,LEFT(INDEX('MiT Strom Pipeline'!$V:$V,$U72),55),""))</f>
        <v/>
      </c>
      <c r="M72" s="19"/>
      <c r="N72" s="19"/>
      <c r="O72" s="19"/>
      <c r="P72" s="19"/>
      <c r="Q72" s="19"/>
      <c r="R72" s="19"/>
      <c r="S72" s="19"/>
      <c r="U72" t="str">
        <f>IFERROR(MATCH(62,'MiT Strom Pipeline'!$AB$6:$AB$860,0)+5,"")</f>
        <v/>
      </c>
    </row>
    <row r="73" spans="1:21" ht="24" customHeight="1">
      <c r="A73" s="113" t="s">
        <v>83</v>
      </c>
      <c r="B73" s="150"/>
      <c r="C73" s="150"/>
      <c r="D73" s="150"/>
      <c r="E73" s="150"/>
      <c r="F73" s="150"/>
      <c r="G73" s="150"/>
      <c r="H73" s="150"/>
      <c r="I73" s="150"/>
      <c r="J73" s="150"/>
      <c r="K73" s="150"/>
      <c r="L73" s="151"/>
      <c r="M73" s="19"/>
      <c r="N73" s="19"/>
      <c r="O73" s="19"/>
      <c r="P73" s="19"/>
      <c r="Q73" s="19"/>
      <c r="R73" s="19"/>
      <c r="S73" s="19"/>
    </row>
    <row r="74" spans="1:21" ht="19.5" customHeight="1">
      <c r="A74" s="22" t="s">
        <v>6</v>
      </c>
      <c r="B74" s="22" t="s">
        <v>78</v>
      </c>
      <c r="C74" s="22" t="s">
        <v>8</v>
      </c>
      <c r="D74" s="22" t="s">
        <v>10</v>
      </c>
      <c r="E74" s="22" t="s">
        <v>9</v>
      </c>
      <c r="F74" s="22" t="s">
        <v>79</v>
      </c>
      <c r="G74" s="22" t="s">
        <v>16</v>
      </c>
      <c r="H74" s="22" t="s">
        <v>80</v>
      </c>
      <c r="I74" s="22" t="s">
        <v>58</v>
      </c>
      <c r="J74" s="22" t="s">
        <v>14</v>
      </c>
      <c r="K74" s="22" t="s">
        <v>81</v>
      </c>
      <c r="L74" s="22" t="s">
        <v>82</v>
      </c>
      <c r="M74" s="19"/>
      <c r="N74" s="19"/>
      <c r="O74" s="19"/>
      <c r="P74" s="19"/>
      <c r="Q74" s="19"/>
      <c r="R74" s="19"/>
      <c r="S74" s="19"/>
    </row>
    <row r="75" spans="1:21" ht="15.75" customHeight="1">
      <c r="A75" s="23">
        <f>IF($U75="","",IF(ISNUMBER(INDEX('MiT Strom Pipeline'!$A:$A,$U75)),INDEX('MiT Strom Pipeline'!$A:$A,$U75),""))</f>
        <v>6</v>
      </c>
      <c r="B75" s="24" t="str">
        <f>IF($U75="","",IF(INDEX('MiT Strom Pipeline'!$B:$B,$U75)="","",INDEX('MiT Strom Pipeline'!$B:$B,$U75)))</f>
        <v>Wincasa Solothurn</v>
      </c>
      <c r="C75" s="24" t="str">
        <f>IF($U75="","",IF(INDEX('MiT Strom Pipeline'!$C:$C,$U75)="","",INDEX('MiT Strom Pipeline'!$C:$C,$U75)))</f>
        <v>SO</v>
      </c>
      <c r="D75" s="24" t="str">
        <f>IF($U75="","",IF(INDEX('MiT Strom Pipeline'!$D:$D,$U75)="","",INDEX('MiT Strom Pipeline'!$D:$D,$U75)))</f>
        <v>Immobilien / FM</v>
      </c>
      <c r="E75" s="24" t="str">
        <f>IF($U75="","",IF(INDEX('MiT Strom Pipeline'!$H:$H,$U75)="","",INDEX('MiT Strom Pipeline'!$H:$H,$U75)))</f>
        <v>Mai</v>
      </c>
      <c r="F75" s="24" t="str">
        <f>IF($U75="","",IF(INDEX('MiT Strom Pipeline'!$E:$E,$U75)="","",INDEX('MiT Strom Pipeline'!$E:$E,$U75)))</f>
        <v>BESS 1 MWh</v>
      </c>
      <c r="G75" s="25">
        <f>IF($U75="","",IF(ISNUMBER(INDEX('MiT Strom Pipeline'!$I:$I,$U75)),INDEX('MiT Strom Pipeline'!$I:$I,$U75),0))</f>
        <v>390000</v>
      </c>
      <c r="H75" s="25">
        <f>IF($U75="","",IF(ISNUMBER(INDEX('MiT Strom Pipeline'!$Q:$Q,$U75)),INDEX('MiT Strom Pipeline'!$Q:$Q,$U75),0))</f>
        <v>195000</v>
      </c>
      <c r="I75" s="25">
        <f>IF($U75="","",IF(ISNUMBER(INDEX('MiT Strom Pipeline'!$O:$O,$U75)),INDEX('MiT Strom Pipeline'!$O:$O,$U75),0))</f>
        <v>118000</v>
      </c>
      <c r="J75" s="24" t="str">
        <f>IF($U75="","",INDEX('MiT Strom Pipeline'!$R:$R,$U75))</f>
        <v>offered</v>
      </c>
      <c r="K75" s="26">
        <f>IF($U75="","",IF(ISNUMBER(INDEX('MiT Strom Pipeline'!$S:$S,$U75)),INDEX('MiT Strom Pipeline'!$S:$S,$U75),""))</f>
        <v>0.5</v>
      </c>
      <c r="L75" s="24" t="str">
        <f>IF($U75="","",IF(LEN(INDEX('MiT Strom Pipeline'!$V:$V,$U75))&gt;0,LEFT(INDEX('MiT Strom Pipeline'!$V:$V,$U75),55),""))</f>
        <v>Entscheider-Meeting anfordern, Businesscase Energie-ROI</v>
      </c>
      <c r="M75" s="19"/>
      <c r="N75" s="19"/>
      <c r="O75" s="19"/>
      <c r="P75" s="19"/>
      <c r="Q75" s="19"/>
      <c r="R75" s="19"/>
      <c r="S75" s="19"/>
      <c r="U75">
        <f>IFERROR(MATCH(1,'MiT Strom Pipeline'!$AC$6:$AC$860,0)+5,"")</f>
        <v>6</v>
      </c>
    </row>
    <row r="76" spans="1:21" ht="15.75" customHeight="1">
      <c r="A76" s="23">
        <f>IF($U76="","",IF(ISNUMBER(INDEX('MiT Strom Pipeline'!$A:$A,$U76)),INDEX('MiT Strom Pipeline'!$A:$A,$U76),""))</f>
        <v>15</v>
      </c>
      <c r="B76" s="24" t="str">
        <f>IF($U76="","",IF(INDEX('MiT Strom Pipeline'!$B:$B,$U76)="","",INDEX('MiT Strom Pipeline'!$B:$B,$U76)))</f>
        <v>Gotthard Base Tunnel</v>
      </c>
      <c r="C76" s="24" t="str">
        <f>IF($U76="","",IF(INDEX('MiT Strom Pipeline'!$C:$C,$U76)="","",INDEX('MiT Strom Pipeline'!$C:$C,$U76)))</f>
        <v>UR</v>
      </c>
      <c r="D76" s="24" t="str">
        <f>IF($U76="","",IF(INDEX('MiT Strom Pipeline'!$D:$D,$U76)="","",INDEX('MiT Strom Pipeline'!$D:$D,$U76)))</f>
        <v>Infrastruktur / Bahn</v>
      </c>
      <c r="E76" s="24" t="str">
        <f>IF($U76="","",IF(INDEX('MiT Strom Pipeline'!$H:$H,$U76)="","",INDEX('MiT Strom Pipeline'!$H:$H,$U76)))</f>
        <v>tbd</v>
      </c>
      <c r="F76" s="24" t="str">
        <f>IF($U76="","",IF(INDEX('MiT Strom Pipeline'!$E:$E,$U76)="","",INDEX('MiT Strom Pipeline'!$E:$E,$U76)))</f>
        <v>Grossanlage tbd</v>
      </c>
      <c r="G76" s="25">
        <f>IF($U76="","",IF(ISNUMBER(INDEX('MiT Strom Pipeline'!$I:$I,$U76)),INDEX('MiT Strom Pipeline'!$I:$I,$U76),0))</f>
        <v>0</v>
      </c>
      <c r="H76" s="25">
        <f>IF($U76="","",IF(ISNUMBER(INDEX('MiT Strom Pipeline'!$Q:$Q,$U76)),INDEX('MiT Strom Pipeline'!$Q:$Q,$U76),0))</f>
        <v>0</v>
      </c>
      <c r="I76" s="25">
        <f>IF($U76="","",IF(ISNUMBER(INDEX('MiT Strom Pipeline'!$O:$O,$U76)),INDEX('MiT Strom Pipeline'!$O:$O,$U76),0))</f>
        <v>0</v>
      </c>
      <c r="J76" s="24" t="str">
        <f>IF($U76="","",INDEX('MiT Strom Pipeline'!$R:$R,$U76))</f>
        <v>on hold</v>
      </c>
      <c r="K76" s="26">
        <f>IF($U76="","",IF(ISNUMBER(INDEX('MiT Strom Pipeline'!$S:$S,$U76)),INDEX('MiT Strom Pipeline'!$S:$S,$U76),""))</f>
        <v>0.1</v>
      </c>
      <c r="L76" s="24" t="str">
        <f>IF($U76="","",IF(LEN(INDEX('MiT Strom Pipeline'!$V:$V,$U76))&gt;0,LEFT(INDEX('MiT Strom Pipeline'!$V:$V,$U76),55),""))</f>
        <v>Stakeholder identifizieren – AlpTransit/SBB kontaktiere</v>
      </c>
      <c r="M76" s="19"/>
      <c r="N76" s="19"/>
      <c r="O76" s="19"/>
      <c r="P76" s="19"/>
      <c r="Q76" s="19"/>
      <c r="R76" s="19"/>
      <c r="S76" s="19"/>
      <c r="U76">
        <f>IFERROR(MATCH(2,'MiT Strom Pipeline'!$AC$6:$AC$860,0)+5,"")</f>
        <v>8</v>
      </c>
    </row>
    <row r="77" spans="1:21" ht="15.75" customHeight="1">
      <c r="A77" s="23">
        <f>IF($U77="","",IF(ISNUMBER(INDEX('MiT Strom Pipeline'!$A:$A,$U77)),INDEX('MiT Strom Pipeline'!$A:$A,$U77),""))</f>
        <v>33</v>
      </c>
      <c r="B77" s="24" t="str">
        <f>IF($U77="","",IF(INDEX('MiT Strom Pipeline'!$B:$B,$U77)="","",INDEX('MiT Strom Pipeline'!$B:$B,$U77)))</f>
        <v>Oerlikon Metco Wohlen</v>
      </c>
      <c r="C77" s="24" t="str">
        <f>IF($U77="","",IF(INDEX('MiT Strom Pipeline'!$C:$C,$U77)="","",INDEX('MiT Strom Pipeline'!$C:$C,$U77)))</f>
        <v>AG</v>
      </c>
      <c r="D77" s="24" t="str">
        <f>IF($U77="","",IF(INDEX('MiT Strom Pipeline'!$D:$D,$U77)="","",INDEX('MiT Strom Pipeline'!$D:$D,$U77)))</f>
        <v>Industrie</v>
      </c>
      <c r="E77" s="24" t="str">
        <f>IF($U77="","",IF(INDEX('MiT Strom Pipeline'!$H:$H,$U77)="","",INDEX('MiT Strom Pipeline'!$H:$H,$U77)))</f>
        <v>August</v>
      </c>
      <c r="F77" s="24" t="str">
        <f>IF($U77="","",IF(INDEX('MiT Strom Pipeline'!$E:$E,$U77)="","",INDEX('MiT Strom Pipeline'!$E:$E,$U77)))</f>
        <v>300 kVA</v>
      </c>
      <c r="G77" s="25">
        <f>IF($U77="","",IF(ISNUMBER(INDEX('MiT Strom Pipeline'!$I:$I,$U77)),INDEX('MiT Strom Pipeline'!$I:$I,$U77),0))</f>
        <v>193598.12</v>
      </c>
      <c r="H77" s="25">
        <f>IF($U77="","",IF(ISNUMBER(INDEX('MiT Strom Pipeline'!$Q:$Q,$U77)),INDEX('MiT Strom Pipeline'!$Q:$Q,$U77),0))</f>
        <v>154878.49600000001</v>
      </c>
      <c r="I77" s="25">
        <f>IF($U77="","",IF(ISNUMBER(INDEX('MiT Strom Pipeline'!$O:$O,$U77)),INDEX('MiT Strom Pipeline'!$O:$O,$U77),0))</f>
        <v>14506.419999999984</v>
      </c>
      <c r="J77" s="24" t="str">
        <f>IF($U77="","",INDEX('MiT Strom Pipeline'!$R:$R,$U77))</f>
        <v>offered</v>
      </c>
      <c r="K77" s="26">
        <f>IF($U77="","",IF(ISNUMBER(INDEX('MiT Strom Pipeline'!$S:$S,$U77)),INDEX('MiT Strom Pipeline'!$S:$S,$U77),""))</f>
        <v>0.8</v>
      </c>
      <c r="L77" s="24" t="str">
        <f>IF($U77="","",IF(LEN(INDEX('MiT Strom Pipeline'!$V:$V,$U77))&gt;0,LEFT(INDEX('MiT Strom Pipeline'!$V:$V,$U77),55),""))</f>
        <v>Kunde wahr sehr Zufrieden mit dem 1. Auftrag und im Ans</v>
      </c>
      <c r="M77" s="19"/>
      <c r="N77" s="19"/>
      <c r="O77" s="19"/>
      <c r="P77" s="19"/>
      <c r="Q77" s="19"/>
      <c r="R77" s="19"/>
      <c r="S77" s="19"/>
      <c r="U77">
        <f>IFERROR(MATCH(3,'MiT Strom Pipeline'!$AC$6:$AC$860,0)+5,"")</f>
        <v>16</v>
      </c>
    </row>
    <row r="78" spans="1:21" ht="15.75" customHeight="1">
      <c r="A78" s="23">
        <f>IF($U78="","",IF(ISNUMBER(INDEX('MiT Strom Pipeline'!$A:$A,$U78)),INDEX('MiT Strom Pipeline'!$A:$A,$U78),""))</f>
        <v>33</v>
      </c>
      <c r="B78" s="24" t="str">
        <f>IF($U78="","",IF(INDEX('MiT Strom Pipeline'!$B:$B,$U78)="","",INDEX('MiT Strom Pipeline'!$B:$B,$U78)))</f>
        <v>Oerlikon Metco Wohlen</v>
      </c>
      <c r="C78" s="24" t="str">
        <f>IF($U78="","",IF(INDEX('MiT Strom Pipeline'!$C:$C,$U78)="","",INDEX('MiT Strom Pipeline'!$C:$C,$U78)))</f>
        <v>AG</v>
      </c>
      <c r="D78" s="24" t="str">
        <f>IF($U78="","",IF(INDEX('MiT Strom Pipeline'!$D:$D,$U78)="","",INDEX('MiT Strom Pipeline'!$D:$D,$U78)))</f>
        <v>Industrie</v>
      </c>
      <c r="E78" s="24" t="str">
        <f>IF($U78="","",IF(INDEX('MiT Strom Pipeline'!$H:$H,$U78)="","",INDEX('MiT Strom Pipeline'!$H:$H,$U78)))</f>
        <v>August</v>
      </c>
      <c r="F78" s="24" t="str">
        <f>IF($U78="","",IF(INDEX('MiT Strom Pipeline'!$E:$E,$U78)="","",INDEX('MiT Strom Pipeline'!$E:$E,$U78)))</f>
        <v>Kaltwasser 100 kW</v>
      </c>
      <c r="G78" s="25">
        <f>IF($U78="","",IF(ISNUMBER(INDEX('MiT Strom Pipeline'!$I:$I,$U78)),INDEX('MiT Strom Pipeline'!$I:$I,$U78),0))</f>
        <v>74902.11</v>
      </c>
      <c r="H78" s="25">
        <f>IF($U78="","",IF(ISNUMBER(INDEX('MiT Strom Pipeline'!$Q:$Q,$U78)),INDEX('MiT Strom Pipeline'!$Q:$Q,$U78),0))</f>
        <v>59921.688000000002</v>
      </c>
      <c r="I78" s="25">
        <f>IF($U78="","",IF(ISNUMBER(INDEX('MiT Strom Pipeline'!$O:$O,$U78)),INDEX('MiT Strom Pipeline'!$O:$O,$U78),0))</f>
        <v>10935.080000000002</v>
      </c>
      <c r="J78" s="24" t="str">
        <f>IF($U78="","",INDEX('MiT Strom Pipeline'!$R:$R,$U78))</f>
        <v>offered</v>
      </c>
      <c r="K78" s="26">
        <f>IF($U78="","",IF(ISNUMBER(INDEX('MiT Strom Pipeline'!$S:$S,$U78)),INDEX('MiT Strom Pipeline'!$S:$S,$U78),""))</f>
        <v>0.8</v>
      </c>
      <c r="L78" s="24" t="str">
        <f>IF($U78="","",IF(LEN(INDEX('MiT Strom Pipeline'!$V:$V,$U78))&gt;0,LEFT(INDEX('MiT Strom Pipeline'!$V:$V,$U78),55),""))</f>
        <v>Kunde wahr sehr Zufrieden mit dem 1. Auftrag und im Ans</v>
      </c>
      <c r="M78" s="19"/>
      <c r="N78" s="19"/>
      <c r="O78" s="19"/>
      <c r="P78" s="19"/>
      <c r="Q78" s="19"/>
      <c r="R78" s="19"/>
      <c r="S78" s="19"/>
      <c r="U78">
        <f>IFERROR(MATCH(4,'MiT Strom Pipeline'!$AC$6:$AC$860,0)+5,"")</f>
        <v>17</v>
      </c>
    </row>
    <row r="79" spans="1:21" ht="15.75" customHeight="1">
      <c r="A79" s="23">
        <f>IF($U79="","",IF(ISNUMBER(INDEX('MiT Strom Pipeline'!$A:$A,$U79)),INDEX('MiT Strom Pipeline'!$A:$A,$U79),""))</f>
        <v>13</v>
      </c>
      <c r="B79" s="24" t="str">
        <f>IF($U79="","",IF(INDEX('MiT Strom Pipeline'!$B:$B,$U79)="","",INDEX('MiT Strom Pipeline'!$B:$B,$U79)))</f>
        <v>Proxima Fusion AG</v>
      </c>
      <c r="C79" s="24" t="str">
        <f>IF($U79="","",IF(INDEX('MiT Strom Pipeline'!$C:$C,$U79)="","",INDEX('MiT Strom Pipeline'!$C:$C,$U79)))</f>
        <v>ZH</v>
      </c>
      <c r="D79" s="24" t="str">
        <f>IF($U79="","",IF(INDEX('MiT Strom Pipeline'!$D:$D,$U79)="","",INDEX('MiT Strom Pipeline'!$D:$D,$U79)))</f>
        <v>Forschung / Hightech</v>
      </c>
      <c r="E79" s="24" t="str">
        <f>IF($U79="","",IF(INDEX('MiT Strom Pipeline'!$H:$H,$U79)="","",INDEX('MiT Strom Pipeline'!$H:$H,$U79)))</f>
        <v>Juli</v>
      </c>
      <c r="F79" s="24" t="str">
        <f>IF($U79="","",IF(INDEX('MiT Strom Pipeline'!$E:$E,$U79)="","",INDEX('MiT Strom Pipeline'!$E:$E,$U79)))</f>
        <v>BESS 1 MWh</v>
      </c>
      <c r="G79" s="25">
        <f>IF($U79="","",IF(ISNUMBER(INDEX('MiT Strom Pipeline'!$I:$I,$U79)),INDEX('MiT Strom Pipeline'!$I:$I,$U79),0))</f>
        <v>365003</v>
      </c>
      <c r="H79" s="25">
        <f>IF($U79="","",IF(ISNUMBER(INDEX('MiT Strom Pipeline'!$Q:$Q,$U79)),INDEX('MiT Strom Pipeline'!$Q:$Q,$U79),0))</f>
        <v>182501.5</v>
      </c>
      <c r="I79" s="25">
        <f>IF($U79="","",IF(ISNUMBER(INDEX('MiT Strom Pipeline'!$O:$O,$U79)),INDEX('MiT Strom Pipeline'!$O:$O,$U79),0))</f>
        <v>30087</v>
      </c>
      <c r="J79" s="24" t="str">
        <f>IF($U79="","",INDEX('MiT Strom Pipeline'!$R:$R,$U79))</f>
        <v>offered</v>
      </c>
      <c r="K79" s="26">
        <f>IF($U79="","",IF(ISNUMBER(INDEX('MiT Strom Pipeline'!$S:$S,$U79)),INDEX('MiT Strom Pipeline'!$S:$S,$U79),""))</f>
        <v>0.5</v>
      </c>
      <c r="L79" s="24" t="str">
        <f>IF($U79="","",IF(LEN(INDEX('MiT Strom Pipeline'!$V:$V,$U79))&gt;0,LEFT(INDEX('MiT Strom Pipeline'!$V:$V,$U79),55),""))</f>
        <v>Technisches Gespräch – USV + PQ-Anforderungen klären, K</v>
      </c>
      <c r="M79" s="19"/>
      <c r="N79" s="19"/>
      <c r="O79" s="19"/>
      <c r="P79" s="19"/>
      <c r="Q79" s="19"/>
      <c r="R79" s="19"/>
      <c r="S79" s="19"/>
      <c r="U79">
        <f>IFERROR(MATCH(5,'MiT Strom Pipeline'!$AC$6:$AC$860,0)+5,"")</f>
        <v>18</v>
      </c>
    </row>
    <row r="80" spans="1:21" ht="15.75" customHeight="1">
      <c r="A80" s="23">
        <f>IF($U80="","",IF(ISNUMBER(INDEX('MiT Strom Pipeline'!$A:$A,$U80)),INDEX('MiT Strom Pipeline'!$A:$A,$U80),""))</f>
        <v>25</v>
      </c>
      <c r="B80" s="24" t="str">
        <f>IF($U80="","",IF(INDEX('MiT Strom Pipeline'!$B:$B,$U80)="","",INDEX('MiT Strom Pipeline'!$B:$B,$U80)))</f>
        <v>Reto EKAG</v>
      </c>
      <c r="C80" s="24" t="str">
        <f>IF($U80="","",IF(INDEX('MiT Strom Pipeline'!$C:$C,$U80)="","",INDEX('MiT Strom Pipeline'!$C:$C,$U80)))</f>
        <v>AG</v>
      </c>
      <c r="D80" s="24" t="str">
        <f>IF($U80="","",IF(INDEX('MiT Strom Pipeline'!$D:$D,$U80)="","",INDEX('MiT Strom Pipeline'!$D:$D,$U80)))</f>
        <v>Elektroinstallation</v>
      </c>
      <c r="E80" s="24" t="str">
        <f>IF($U80="","",IF(INDEX('MiT Strom Pipeline'!$H:$H,$U80)="","",INDEX('MiT Strom Pipeline'!$H:$H,$U80)))</f>
        <v>Okt</v>
      </c>
      <c r="F80" s="24" t="str">
        <f>IF($U80="","",IF(INDEX('MiT Strom Pipeline'!$E:$E,$U80)="","",INDEX('MiT Strom Pipeline'!$E:$E,$U80)))</f>
        <v>Option B 1x 6 kVA Trafo, 1x 3000 kVA Trafo, 1x 6000 kVA Lastbank, 1x 3300 kVA Lastbank</v>
      </c>
      <c r="G80" s="25">
        <f>IF($U80="","",IF(ISNUMBER(INDEX('MiT Strom Pipeline'!$I:$I,$U80)),INDEX('MiT Strom Pipeline'!$I:$I,$U80),0))</f>
        <v>57249.54</v>
      </c>
      <c r="H80" s="25">
        <f>IF($U80="","",IF(ISNUMBER(INDEX('MiT Strom Pipeline'!$Q:$Q,$U80)),INDEX('MiT Strom Pipeline'!$Q:$Q,$U80),0))</f>
        <v>51524.586000000003</v>
      </c>
      <c r="I80" s="25">
        <f>IF($U80="","",IF(ISNUMBER(INDEX('MiT Strom Pipeline'!$O:$O,$U80)),INDEX('MiT Strom Pipeline'!$O:$O,$U80),0))</f>
        <v>-21565.770000000011</v>
      </c>
      <c r="J80" s="24" t="str">
        <f>IF($U80="","",INDEX('MiT Strom Pipeline'!$R:$R,$U80))</f>
        <v>offered</v>
      </c>
      <c r="K80" s="26">
        <f>IF($U80="","",IF(ISNUMBER(INDEX('MiT Strom Pipeline'!$S:$S,$U80)),INDEX('MiT Strom Pipeline'!$S:$S,$U80),""))</f>
        <v>0.9</v>
      </c>
      <c r="L80" s="24" t="str">
        <f>IF($U80="","",IF(LEN(INDEX('MiT Strom Pipeline'!$V:$V,$U80))&gt;0,LEFT(INDEX('MiT Strom Pipeline'!$V:$V,$U80),55),""))</f>
        <v>Kunde Telefon Kontaktiert und Vor Ort 
Besichtigung und</v>
      </c>
      <c r="M80" s="19"/>
      <c r="N80" s="19"/>
      <c r="O80" s="19"/>
      <c r="P80" s="19"/>
      <c r="Q80" s="19"/>
      <c r="R80" s="19"/>
      <c r="S80" s="19"/>
      <c r="U80">
        <f>IFERROR(MATCH(6,'MiT Strom Pipeline'!$AC$6:$AC$860,0)+5,"")</f>
        <v>19</v>
      </c>
    </row>
    <row r="81" spans="1:21" ht="15.75" customHeight="1">
      <c r="A81" s="23">
        <f>IF($U81="","",IF(ISNUMBER(INDEX('MiT Strom Pipeline'!$A:$A,$U81)),INDEX('MiT Strom Pipeline'!$A:$A,$U81),""))</f>
        <v>25</v>
      </c>
      <c r="B81" s="24" t="str">
        <f>IF($U81="","",IF(INDEX('MiT Strom Pipeline'!$B:$B,$U81)="","",INDEX('MiT Strom Pipeline'!$B:$B,$U81)))</f>
        <v>Reto EKAG</v>
      </c>
      <c r="C81" s="24" t="str">
        <f>IF($U81="","",IF(INDEX('MiT Strom Pipeline'!$C:$C,$U81)="","",INDEX('MiT Strom Pipeline'!$C:$C,$U81)))</f>
        <v>AG</v>
      </c>
      <c r="D81" s="24" t="str">
        <f>IF($U81="","",IF(INDEX('MiT Strom Pipeline'!$D:$D,$U81)="","",INDEX('MiT Strom Pipeline'!$D:$D,$U81)))</f>
        <v>Elektroinstallation</v>
      </c>
      <c r="E81" s="24" t="str">
        <f>IF($U81="","",IF(INDEX('MiT Strom Pipeline'!$H:$H,$U81)="","",INDEX('MiT Strom Pipeline'!$H:$H,$U81)))</f>
        <v>Okt</v>
      </c>
      <c r="F81" s="24" t="str">
        <f>IF($U81="","",IF(INDEX('MiT Strom Pipeline'!$E:$E,$U81)="","",INDEX('MiT Strom Pipeline'!$E:$E,$U81)))</f>
        <v>MS Kabel 95mm</v>
      </c>
      <c r="G81" s="25">
        <f>IF($U81="","",IF(ISNUMBER(INDEX('MiT Strom Pipeline'!$I:$I,$U81)),INDEX('MiT Strom Pipeline'!$I:$I,$U81),0))</f>
        <v>15664.18</v>
      </c>
      <c r="H81" s="25">
        <f>IF($U81="","",IF(ISNUMBER(INDEX('MiT Strom Pipeline'!$Q:$Q,$U81)),INDEX('MiT Strom Pipeline'!$Q:$Q,$U81),0))</f>
        <v>14097.762000000001</v>
      </c>
      <c r="I81" s="25">
        <f>IF($U81="","",IF(ISNUMBER(INDEX('MiT Strom Pipeline'!$O:$O,$U81)),INDEX('MiT Strom Pipeline'!$O:$O,$U81),0))</f>
        <v>18</v>
      </c>
      <c r="J81" s="24" t="str">
        <f>IF($U81="","",INDEX('MiT Strom Pipeline'!$R:$R,$U81))</f>
        <v>offered</v>
      </c>
      <c r="K81" s="26">
        <f>IF($U81="","",IF(ISNUMBER(INDEX('MiT Strom Pipeline'!$S:$S,$U81)),INDEX('MiT Strom Pipeline'!$S:$S,$U81),""))</f>
        <v>0.9</v>
      </c>
      <c r="L81" s="24" t="str">
        <f>IF($U81="","",IF(LEN(INDEX('MiT Strom Pipeline'!$V:$V,$U81))&gt;0,LEFT(INDEX('MiT Strom Pipeline'!$V:$V,$U81),55),""))</f>
        <v>Kunde Telefon Kontaktiert und Vor Ort 
Besichtigung und</v>
      </c>
      <c r="M81" s="19"/>
      <c r="N81" s="19"/>
      <c r="O81" s="19"/>
      <c r="P81" s="19"/>
      <c r="Q81" s="19"/>
      <c r="R81" s="19"/>
      <c r="S81" s="19"/>
      <c r="U81">
        <f>IFERROR(MATCH(7,'MiT Strom Pipeline'!$AC$6:$AC$860,0)+5,"")</f>
        <v>20</v>
      </c>
    </row>
    <row r="82" spans="1:21" ht="15.75" customHeight="1">
      <c r="A82" s="23">
        <f>IF($U82="","",IF(ISNUMBER(INDEX('MiT Strom Pipeline'!$A:$A,$U82)),INDEX('MiT Strom Pipeline'!$A:$A,$U82),""))</f>
        <v>28</v>
      </c>
      <c r="B82" s="24" t="str">
        <f>IF($U82="","",IF(INDEX('MiT Strom Pipeline'!$B:$B,$U82)="","",INDEX('MiT Strom Pipeline'!$B:$B,$U82)))</f>
        <v>WEF</v>
      </c>
      <c r="C82" s="24" t="str">
        <f>IF($U82="","",IF(INDEX('MiT Strom Pipeline'!$C:$C,$U82)="","",INDEX('MiT Strom Pipeline'!$C:$C,$U82)))</f>
        <v>GR</v>
      </c>
      <c r="D82" s="24" t="str">
        <f>IF($U82="","",IF(INDEX('MiT Strom Pipeline'!$D:$D,$U82)="","",INDEX('MiT Strom Pipeline'!$D:$D,$U82)))</f>
        <v>Event</v>
      </c>
      <c r="E82" s="24" t="str">
        <f>IF($U82="","",IF(INDEX('MiT Strom Pipeline'!$H:$H,$U82)="","",INDEX('MiT Strom Pipeline'!$H:$H,$U82)))</f>
        <v>Jan</v>
      </c>
      <c r="F82" s="24" t="str">
        <f>IF($U82="","",IF(INDEX('MiT Strom Pipeline'!$E:$E,$U82)="","",INDEX('MiT Strom Pipeline'!$E:$E,$U82)))</f>
        <v>1500 kVA, 600 kVA, 450 kVA, 450 kVA</v>
      </c>
      <c r="G82" s="25">
        <f>IF($U82="","",IF(ISNUMBER(INDEX('MiT Strom Pipeline'!$I:$I,$U82)),INDEX('MiT Strom Pipeline'!$I:$I,$U82),0))</f>
        <v>77325.62</v>
      </c>
      <c r="H82" s="25">
        <f>IF($U82="","",IF(ISNUMBER(INDEX('MiT Strom Pipeline'!$Q:$Q,$U82)),INDEX('MiT Strom Pipeline'!$Q:$Q,$U82),0))</f>
        <v>38662.81</v>
      </c>
      <c r="I82" s="25">
        <f>IF($U82="","",IF(ISNUMBER(INDEX('MiT Strom Pipeline'!$O:$O,$U82)),INDEX('MiT Strom Pipeline'!$O:$O,$U82),0))</f>
        <v>5794.0599999999977</v>
      </c>
      <c r="J82" s="24" t="str">
        <f>IF($U82="","",INDEX('MiT Strom Pipeline'!$R:$R,$U82))</f>
        <v>offered</v>
      </c>
      <c r="K82" s="26">
        <f>IF($U82="","",IF(ISNUMBER(INDEX('MiT Strom Pipeline'!$S:$S,$U82)),INDEX('MiT Strom Pipeline'!$S:$S,$U82),""))</f>
        <v>0.5</v>
      </c>
      <c r="L82" s="24" t="str">
        <f>IF($U82="","",IF(LEN(INDEX('MiT Strom Pipeline'!$V:$V,$U82))&gt;0,LEFT(INDEX('MiT Strom Pipeline'!$V:$V,$U82),55),""))</f>
        <v>Offerte erstellt, Stefan hat die Offerte bekommen, Stef</v>
      </c>
      <c r="M82" s="19"/>
      <c r="N82" s="19"/>
      <c r="O82" s="19"/>
      <c r="P82" s="19"/>
      <c r="Q82" s="19"/>
      <c r="R82" s="19"/>
      <c r="S82" s="19"/>
      <c r="U82">
        <f>IFERROR(MATCH(8,'MiT Strom Pipeline'!$AC$6:$AC$860,0)+5,"")</f>
        <v>21</v>
      </c>
    </row>
    <row r="83" spans="1:21" ht="15.75" customHeight="1">
      <c r="A83" s="23">
        <f>IF($U83="","",IF(ISNUMBER(INDEX('MiT Strom Pipeline'!$A:$A,$U83)),INDEX('MiT Strom Pipeline'!$A:$A,$U83),""))</f>
        <v>8</v>
      </c>
      <c r="B83" s="24" t="str">
        <f>IF($U83="","",IF(INDEX('MiT Strom Pipeline'!$B:$B,$U83)="","",INDEX('MiT Strom Pipeline'!$B:$B,$U83)))</f>
        <v>Sade CGTH (Schweiz)</v>
      </c>
      <c r="C83" s="24" t="str">
        <f>IF($U83="","",IF(INDEX('MiT Strom Pipeline'!$C:$C,$U83)="","",INDEX('MiT Strom Pipeline'!$C:$C,$U83)))</f>
        <v>GE</v>
      </c>
      <c r="D83" s="24" t="str">
        <f>IF($U83="","",IF(INDEX('MiT Strom Pipeline'!$D:$D,$U83)="","",INDEX('MiT Strom Pipeline'!$D:$D,$U83)))</f>
        <v>Infrastruktur / Bau</v>
      </c>
      <c r="E83" s="24" t="str">
        <f>IF($U83="","",IF(INDEX('MiT Strom Pipeline'!$H:$H,$U83)="","",INDEX('MiT Strom Pipeline'!$H:$H,$U83)))</f>
        <v>April</v>
      </c>
      <c r="F83" s="24" t="str">
        <f>IF($U83="","",IF(INDEX('MiT Strom Pipeline'!$E:$E,$U83)="","",INDEX('MiT Strom Pipeline'!$E:$E,$U83)))</f>
        <v>750 kVA Generator</v>
      </c>
      <c r="G83" s="25">
        <f>IF($U83="","",IF(ISNUMBER(INDEX('MiT Strom Pipeline'!$I:$I,$U83)),INDEX('MiT Strom Pipeline'!$I:$I,$U83),0))</f>
        <v>38885</v>
      </c>
      <c r="H83" s="25">
        <f>IF($U83="","",IF(ISNUMBER(INDEX('MiT Strom Pipeline'!$Q:$Q,$U83)),INDEX('MiT Strom Pipeline'!$Q:$Q,$U83),0))</f>
        <v>19442.5</v>
      </c>
      <c r="I83" s="25">
        <f>IF($U83="","",IF(ISNUMBER(INDEX('MiT Strom Pipeline'!$O:$O,$U83)),INDEX('MiT Strom Pipeline'!$O:$O,$U83),0))</f>
        <v>7085</v>
      </c>
      <c r="J83" s="24" t="str">
        <f>IF($U83="","",INDEX('MiT Strom Pipeline'!$R:$R,$U83))</f>
        <v>on hold</v>
      </c>
      <c r="K83" s="26">
        <f>IF($U83="","",IF(ISNUMBER(INDEX('MiT Strom Pipeline'!$S:$S,$U83)),INDEX('MiT Strom Pipeline'!$S:$S,$U83),""))</f>
        <v>0.5</v>
      </c>
      <c r="L83" s="24" t="str">
        <f>IF($U83="","",IF(LEN(INDEX('MiT Strom Pipeline'!$V:$V,$U83))&gt;0,LEFT(INDEX('MiT Strom Pipeline'!$V:$V,$U83),55),""))</f>
        <v>Auftragsbestätigung anfordern – Entscheid steht bevor</v>
      </c>
      <c r="M83" s="19"/>
      <c r="N83" s="19"/>
      <c r="O83" s="19"/>
      <c r="P83" s="19"/>
      <c r="Q83" s="19"/>
      <c r="R83" s="19"/>
      <c r="S83" s="19"/>
      <c r="U83">
        <f>IFERROR(MATCH(9,'MiT Strom Pipeline'!$AC$6:$AC$860,0)+5,"")</f>
        <v>28</v>
      </c>
    </row>
    <row r="84" spans="1:21" ht="15.75" customHeight="1">
      <c r="A84" s="23">
        <f>IF($U84="","",IF(ISNUMBER(INDEX('MiT Strom Pipeline'!$A:$A,$U84)),INDEX('MiT Strom Pipeline'!$A:$A,$U84),""))</f>
        <v>14</v>
      </c>
      <c r="B84" s="24" t="str">
        <f>IF($U84="","",IF(INDEX('MiT Strom Pipeline'!$B:$B,$U84)="","",INDEX('MiT Strom Pipeline'!$B:$B,$U84)))</f>
        <v>Trafag AG</v>
      </c>
      <c r="C84" s="24" t="str">
        <f>IF($U84="","",IF(INDEX('MiT Strom Pipeline'!$C:$C,$U84)="","",INDEX('MiT Strom Pipeline'!$C:$C,$U84)))</f>
        <v>ZH</v>
      </c>
      <c r="D84" s="24" t="str">
        <f>IF($U84="","",IF(INDEX('MiT Strom Pipeline'!$D:$D,$U84)="","",INDEX('MiT Strom Pipeline'!$D:$D,$U84)))</f>
        <v>Industrie / Messtechnik</v>
      </c>
      <c r="E84" s="24" t="str">
        <f>IF($U84="","",IF(INDEX('MiT Strom Pipeline'!$H:$H,$U84)="","",INDEX('MiT Strom Pipeline'!$H:$H,$U84)))</f>
        <v>tbd</v>
      </c>
      <c r="F84" s="24" t="str">
        <f>IF($U84="","",IF(INDEX('MiT Strom Pipeline'!$E:$E,$U84)="","",INDEX('MiT Strom Pipeline'!$E:$E,$U84)))</f>
        <v>450 kVA Generator</v>
      </c>
      <c r="G84" s="25">
        <f>IF($U84="","",IF(ISNUMBER(INDEX('MiT Strom Pipeline'!$I:$I,$U84)),INDEX('MiT Strom Pipeline'!$I:$I,$U84),0))</f>
        <v>17300</v>
      </c>
      <c r="H84" s="25">
        <f>IF($U84="","",IF(ISNUMBER(INDEX('MiT Strom Pipeline'!$Q:$Q,$U84)),INDEX('MiT Strom Pipeline'!$Q:$Q,$U84),0))</f>
        <v>3460</v>
      </c>
      <c r="I84" s="25">
        <f>IF($U84="","",IF(ISNUMBER(INDEX('MiT Strom Pipeline'!$O:$O,$U84)),INDEX('MiT Strom Pipeline'!$O:$O,$U84),0))</f>
        <v>17300</v>
      </c>
      <c r="J84" s="24" t="str">
        <f>IF($U84="","",INDEX('MiT Strom Pipeline'!$R:$R,$U84))</f>
        <v>offered</v>
      </c>
      <c r="K84" s="26">
        <f>IF($U84="","",IF(ISNUMBER(INDEX('MiT Strom Pipeline'!$S:$S,$U84)),INDEX('MiT Strom Pipeline'!$S:$S,$U84),""))</f>
        <v>0.2</v>
      </c>
      <c r="L84" s="24" t="str">
        <f>IF($U84="","",IF(LEN(INDEX('MiT Strom Pipeline'!$V:$V,$U84))&gt;0,LEFT(INDEX('MiT Strom Pipeline'!$V:$V,$U84),55),""))</f>
        <v>Angebot vorbereiten – PQ-Argument für Messtechnik, Stef</v>
      </c>
      <c r="M84" s="19"/>
      <c r="N84" s="19"/>
      <c r="O84" s="19"/>
      <c r="P84" s="19"/>
      <c r="Q84" s="19"/>
      <c r="R84" s="19"/>
      <c r="S84" s="19"/>
      <c r="U84">
        <f>IFERROR(MATCH(10,'MiT Strom Pipeline'!$AC$6:$AC$860,0)+5,"")</f>
        <v>33</v>
      </c>
    </row>
    <row r="85" spans="1:21" ht="15.75" customHeight="1">
      <c r="A85" s="23">
        <f>IF($U85="","",IF(ISNUMBER(INDEX('MiT Strom Pipeline'!$A:$A,$U85)),INDEX('MiT Strom Pipeline'!$A:$A,$U85),""))</f>
        <v>14</v>
      </c>
      <c r="B85" s="24" t="str">
        <f>IF($U85="","",IF(INDEX('MiT Strom Pipeline'!$B:$B,$U85)="","",INDEX('MiT Strom Pipeline'!$B:$B,$U85)))</f>
        <v>Trafag AG</v>
      </c>
      <c r="C85" s="24" t="str">
        <f>IF($U85="","",IF(INDEX('MiT Strom Pipeline'!$C:$C,$U85)="","",INDEX('MiT Strom Pipeline'!$C:$C,$U85)))</f>
        <v>ZH</v>
      </c>
      <c r="D85" s="24" t="str">
        <f>IF($U85="","",IF(INDEX('MiT Strom Pipeline'!$D:$D,$U85)="","",INDEX('MiT Strom Pipeline'!$D:$D,$U85)))</f>
        <v>Industrie / Messtechnik</v>
      </c>
      <c r="E85" s="24" t="str">
        <f>IF($U85="","",IF(INDEX('MiT Strom Pipeline'!$H:$H,$U85)="","",INDEX('MiT Strom Pipeline'!$H:$H,$U85)))</f>
        <v>tbd</v>
      </c>
      <c r="F85" s="24" t="str">
        <f>IF($U85="","",IF(INDEX('MiT Strom Pipeline'!$E:$E,$U85)="","",INDEX('MiT Strom Pipeline'!$E:$E,$U85)))</f>
        <v>BESS 500 kVA</v>
      </c>
      <c r="G85" s="25">
        <f>IF($U85="","",IF(ISNUMBER(INDEX('MiT Strom Pipeline'!$I:$I,$U85)),INDEX('MiT Strom Pipeline'!$I:$I,$U85),0))</f>
        <v>21025</v>
      </c>
      <c r="H85" s="25">
        <f>IF($U85="","",IF(ISNUMBER(INDEX('MiT Strom Pipeline'!$Q:$Q,$U85)),INDEX('MiT Strom Pipeline'!$Q:$Q,$U85),0))</f>
        <v>4205</v>
      </c>
      <c r="I85" s="25">
        <f>IF($U85="","",IF(ISNUMBER(INDEX('MiT Strom Pipeline'!$O:$O,$U85)),INDEX('MiT Strom Pipeline'!$O:$O,$U85),0))</f>
        <v>21025</v>
      </c>
      <c r="J85" s="24" t="str">
        <f>IF($U85="","",INDEX('MiT Strom Pipeline'!$R:$R,$U85))</f>
        <v>offered</v>
      </c>
      <c r="K85" s="26">
        <f>IF($U85="","",IF(ISNUMBER(INDEX('MiT Strom Pipeline'!$S:$S,$U85)),INDEX('MiT Strom Pipeline'!$S:$S,$U85),""))</f>
        <v>0.2</v>
      </c>
      <c r="L85" s="24" t="str">
        <f>IF($U85="","",IF(LEN(INDEX('MiT Strom Pipeline'!$V:$V,$U85))&gt;0,LEFT(INDEX('MiT Strom Pipeline'!$V:$V,$U85),55),""))</f>
        <v>Angebot vorbereiten – PQ-Argument für Messtechnik, Stef</v>
      </c>
      <c r="M85" s="19"/>
      <c r="N85" s="19"/>
      <c r="O85" s="19"/>
      <c r="P85" s="19"/>
      <c r="Q85" s="19"/>
      <c r="R85" s="19"/>
      <c r="S85" s="19"/>
      <c r="U85">
        <f>IFERROR(MATCH(11,'MiT Strom Pipeline'!$AC$6:$AC$860,0)+5,"")</f>
        <v>35</v>
      </c>
    </row>
    <row r="86" spans="1:21" ht="15.75" customHeight="1">
      <c r="A86" s="23">
        <f>IF($U86="","",IF(ISNUMBER(INDEX('MiT Strom Pipeline'!$A:$A,$U86)),INDEX('MiT Strom Pipeline'!$A:$A,$U86),""))</f>
        <v>14</v>
      </c>
      <c r="B86" s="24" t="str">
        <f>IF($U86="","",IF(INDEX('MiT Strom Pipeline'!$B:$B,$U86)="","",INDEX('MiT Strom Pipeline'!$B:$B,$U86)))</f>
        <v>Trafag AG</v>
      </c>
      <c r="C86" s="24" t="str">
        <f>IF($U86="","",IF(INDEX('MiT Strom Pipeline'!$C:$C,$U86)="","",INDEX('MiT Strom Pipeline'!$C:$C,$U86)))</f>
        <v>ZH</v>
      </c>
      <c r="D86" s="24" t="str">
        <f>IF($U86="","",IF(INDEX('MiT Strom Pipeline'!$D:$D,$U86)="","",INDEX('MiT Strom Pipeline'!$D:$D,$U86)))</f>
        <v>Industrie / Messtechnik</v>
      </c>
      <c r="E86" s="27" t="str">
        <f>IF($U86="","",IF(INDEX('MiT Strom Pipeline'!$H:$H,$U86)="","",INDEX('MiT Strom Pipeline'!$H:$H,$U86)))</f>
        <v>tbd</v>
      </c>
      <c r="F86" s="24" t="str">
        <f>IF($U86="","",IF(INDEX('MiT Strom Pipeline'!$E:$E,$U86)="","",INDEX('MiT Strom Pipeline'!$E:$E,$U86)))</f>
        <v>Kombi 450 kVA Generator / BESS 500 kVA</v>
      </c>
      <c r="G86" s="25">
        <f>IF($U86="","",IF(ISNUMBER(INDEX('MiT Strom Pipeline'!$I:$I,$U86)),INDEX('MiT Strom Pipeline'!$I:$I,$U86),0))</f>
        <v>37444</v>
      </c>
      <c r="H86" s="25">
        <f>IF($U86="","",IF(ISNUMBER(INDEX('MiT Strom Pipeline'!$Q:$Q,$U86)),INDEX('MiT Strom Pipeline'!$Q:$Q,$U86),0))</f>
        <v>7488.8</v>
      </c>
      <c r="I86" s="25">
        <f>IF($U86="","",IF(ISNUMBER(INDEX('MiT Strom Pipeline'!$O:$O,$U86)),INDEX('MiT Strom Pipeline'!$O:$O,$U86),0))</f>
        <v>37444</v>
      </c>
      <c r="J86" s="24" t="str">
        <f>IF($U86="","",INDEX('MiT Strom Pipeline'!$R:$R,$U86))</f>
        <v>offered</v>
      </c>
      <c r="K86" s="26">
        <f>IF($U86="","",IF(ISNUMBER(INDEX('MiT Strom Pipeline'!$S:$S,$U86)),INDEX('MiT Strom Pipeline'!$S:$S,$U86),""))</f>
        <v>0.2</v>
      </c>
      <c r="L86" s="24" t="str">
        <f>IF($U86="","",IF(LEN(INDEX('MiT Strom Pipeline'!$V:$V,$U86))&gt;0,LEFT(INDEX('MiT Strom Pipeline'!$V:$V,$U86),55),""))</f>
        <v>Angebot vorbereiten – PQ-Argument für Messtechnik, Stef</v>
      </c>
      <c r="M86" s="19"/>
      <c r="N86" s="19"/>
      <c r="O86" s="19"/>
      <c r="P86" s="19"/>
      <c r="Q86" s="19"/>
      <c r="R86" s="19"/>
      <c r="S86" s="19"/>
      <c r="U86">
        <f>IFERROR(MATCH(12,'MiT Strom Pipeline'!$AC$6:$AC$860,0)+5,"")</f>
        <v>36</v>
      </c>
    </row>
    <row r="87" spans="1:21" ht="15.75" customHeight="1">
      <c r="A87" s="23">
        <f>IF($U87="","",IF(ISNUMBER(INDEX('MiT Strom Pipeline'!$A:$A,$U87)),INDEX('MiT Strom Pipeline'!$A:$A,$U87),""))</f>
        <v>27</v>
      </c>
      <c r="B87" s="24" t="str">
        <f>IF($U87="","",IF(INDEX('MiT Strom Pipeline'!$B:$B,$U87)="","",INDEX('MiT Strom Pipeline'!$B:$B,$U87)))</f>
        <v>Rimus &amp; Sstrada</v>
      </c>
      <c r="C87" s="24" t="str">
        <f>IF($U87="","",IF(INDEX('MiT Strom Pipeline'!$C:$C,$U87)="","",INDEX('MiT Strom Pipeline'!$C:$C,$U87)))</f>
        <v>SH</v>
      </c>
      <c r="D87" s="24" t="str">
        <f>IF($U87="","",IF(INDEX('MiT Strom Pipeline'!$D:$D,$U87)="","",INDEX('MiT Strom Pipeline'!$D:$D,$U87)))</f>
        <v>Industrie</v>
      </c>
      <c r="E87" s="24" t="str">
        <f>IF($U87="","",IF(INDEX('MiT Strom Pipeline'!$H:$H,$U87)="","",INDEX('MiT Strom Pipeline'!$H:$H,$U87)))</f>
        <v>tbd</v>
      </c>
      <c r="F87" s="24" t="str">
        <f>IF($U87="","",IF(INDEX('MiT Strom Pipeline'!$E:$E,$U87)="","",INDEX('MiT Strom Pipeline'!$E:$E,$U87)))</f>
        <v>500 kWh Small BESS</v>
      </c>
      <c r="G87" s="25">
        <f>IF($U87="","",IF(ISNUMBER(INDEX('MiT Strom Pipeline'!$I:$I,$U87)),INDEX('MiT Strom Pipeline'!$I:$I,$U87),0))</f>
        <v>425955</v>
      </c>
      <c r="H87" s="25">
        <f>IF($U87="","",IF(ISNUMBER(INDEX('MiT Strom Pipeline'!$Q:$Q,$U87)),INDEX('MiT Strom Pipeline'!$Q:$Q,$U87),0))</f>
        <v>85191</v>
      </c>
      <c r="I87" s="25">
        <f>IF($U87="","",IF(ISNUMBER(INDEX('MiT Strom Pipeline'!$O:$O,$U87)),INDEX('MiT Strom Pipeline'!$O:$O,$U87),0))</f>
        <v>2235</v>
      </c>
      <c r="J87" s="24" t="str">
        <f>IF($U87="","",INDEX('MiT Strom Pipeline'!$R:$R,$U87))</f>
        <v>offered</v>
      </c>
      <c r="K87" s="26">
        <f>IF($U87="","",IF(ISNUMBER(INDEX('MiT Strom Pipeline'!$S:$S,$U87)),INDEX('MiT Strom Pipeline'!$S:$S,$U87),""))</f>
        <v>0.2</v>
      </c>
      <c r="L87" s="24" t="str">
        <f>IF($U87="","",IF(LEN(INDEX('MiT Strom Pipeline'!$V:$V,$U87))&gt;0,LEFT(INDEX('MiT Strom Pipeline'!$V:$V,$U87),55),""))</f>
        <v>Kunde Telefon Kontaktiert und Vor Ort 
Besichtigung und</v>
      </c>
      <c r="M87" s="19"/>
      <c r="N87" s="19"/>
      <c r="O87" s="19"/>
      <c r="P87" s="19"/>
      <c r="Q87" s="19"/>
      <c r="R87" s="19"/>
      <c r="S87" s="19"/>
      <c r="U87">
        <f>IFERROR(MATCH(13,'MiT Strom Pipeline'!$AC$6:$AC$860,0)+5,"")</f>
        <v>37</v>
      </c>
    </row>
    <row r="88" spans="1:21" ht="15.75" customHeight="1">
      <c r="A88" s="23">
        <f>IF($U88="","",IF(ISNUMBER(INDEX('MiT Strom Pipeline'!$A:$A,$U88)),INDEX('MiT Strom Pipeline'!$A:$A,$U88),""))</f>
        <v>27</v>
      </c>
      <c r="B88" s="24" t="str">
        <f>IF($U88="","",IF(INDEX('MiT Strom Pipeline'!$B:$B,$U88)="","",INDEX('MiT Strom Pipeline'!$B:$B,$U88)))</f>
        <v>Rimus &amp; Sstrada</v>
      </c>
      <c r="C88" s="24" t="str">
        <f>IF($U88="","",IF(INDEX('MiT Strom Pipeline'!$C:$C,$U88)="","",INDEX('MiT Strom Pipeline'!$C:$C,$U88)))</f>
        <v>SH</v>
      </c>
      <c r="D88" s="24" t="str">
        <f>IF($U88="","",IF(INDEX('MiT Strom Pipeline'!$D:$D,$U88)="","",INDEX('MiT Strom Pipeline'!$D:$D,$U88)))</f>
        <v>Industrie</v>
      </c>
      <c r="E88" s="24" t="str">
        <f>IF($U88="","",IF(INDEX('MiT Strom Pipeline'!$H:$H,$U88)="","",INDEX('MiT Strom Pipeline'!$H:$H,$U88)))</f>
        <v>tbd</v>
      </c>
      <c r="F88" s="24" t="str">
        <f>IF($U88="","",IF(INDEX('MiT Strom Pipeline'!$E:$E,$U88)="","",INDEX('MiT Strom Pipeline'!$E:$E,$U88)))</f>
        <v>1 MWh Medium BESS</v>
      </c>
      <c r="G88" s="25">
        <f>IF($U88="","",IF(ISNUMBER(INDEX('MiT Strom Pipeline'!$I:$I,$U88)),INDEX('MiT Strom Pipeline'!$I:$I,$U88),0))</f>
        <v>891330</v>
      </c>
      <c r="H88" s="25">
        <f>IF($U88="","",IF(ISNUMBER(INDEX('MiT Strom Pipeline'!$Q:$Q,$U88)),INDEX('MiT Strom Pipeline'!$Q:$Q,$U88),0))</f>
        <v>178266</v>
      </c>
      <c r="I88" s="25">
        <f>IF($U88="","",IF(ISNUMBER(INDEX('MiT Strom Pipeline'!$O:$O,$U88)),INDEX('MiT Strom Pipeline'!$O:$O,$U88),0))</f>
        <v>9900</v>
      </c>
      <c r="J88" s="24" t="str">
        <f>IF($U88="","",INDEX('MiT Strom Pipeline'!$R:$R,$U88))</f>
        <v>offered</v>
      </c>
      <c r="K88" s="26">
        <f>IF($U88="","",IF(ISNUMBER(INDEX('MiT Strom Pipeline'!$S:$S,$U88)),INDEX('MiT Strom Pipeline'!$S:$S,$U88),""))</f>
        <v>0.2</v>
      </c>
      <c r="L88" s="24" t="str">
        <f>IF($U88="","",IF(LEN(INDEX('MiT Strom Pipeline'!$V:$V,$U88))&gt;0,LEFT(INDEX('MiT Strom Pipeline'!$V:$V,$U88),55),""))</f>
        <v>Kunde Telefon Kontaktiert und Vor Ort 
Besichtigung und</v>
      </c>
      <c r="M88" s="19"/>
      <c r="N88" s="19"/>
      <c r="O88" s="19"/>
      <c r="P88" s="19"/>
      <c r="Q88" s="19"/>
      <c r="R88" s="19"/>
      <c r="S88" s="19"/>
      <c r="U88">
        <f>IFERROR(MATCH(14,'MiT Strom Pipeline'!$AC$6:$AC$860,0)+5,"")</f>
        <v>38</v>
      </c>
    </row>
    <row r="89" spans="1:21" ht="15.75" customHeight="1">
      <c r="A89" s="23">
        <f>IF($U89="","",IF(ISNUMBER(INDEX('MiT Strom Pipeline'!$A:$A,$U89)),INDEX('MiT Strom Pipeline'!$A:$A,$U89),""))</f>
        <v>27</v>
      </c>
      <c r="B89" s="24" t="str">
        <f>IF($U89="","",IF(INDEX('MiT Strom Pipeline'!$B:$B,$U89)="","",INDEX('MiT Strom Pipeline'!$B:$B,$U89)))</f>
        <v>Rimus &amp; Sstrada</v>
      </c>
      <c r="C89" s="24" t="str">
        <f>IF($U89="","",IF(INDEX('MiT Strom Pipeline'!$C:$C,$U89)="","",INDEX('MiT Strom Pipeline'!$C:$C,$U89)))</f>
        <v>SH</v>
      </c>
      <c r="D89" s="24" t="str">
        <f>IF($U89="","",IF(INDEX('MiT Strom Pipeline'!$D:$D,$U89)="","",INDEX('MiT Strom Pipeline'!$D:$D,$U89)))</f>
        <v>Industrie</v>
      </c>
      <c r="E89" s="24" t="str">
        <f>IF($U89="","",IF(INDEX('MiT Strom Pipeline'!$H:$H,$U89)="","",INDEX('MiT Strom Pipeline'!$H:$H,$U89)))</f>
        <v>tbd</v>
      </c>
      <c r="F89" s="24" t="str">
        <f>IF($U89="","",IF(INDEX('MiT Strom Pipeline'!$E:$E,$U89)="","",INDEX('MiT Strom Pipeline'!$E:$E,$U89)))</f>
        <v>1,5 MWh Large BESS</v>
      </c>
      <c r="G89" s="25">
        <f>IF($U89="","",IF(ISNUMBER(INDEX('MiT Strom Pipeline'!$I:$I,$U89)),INDEX('MiT Strom Pipeline'!$I:$I,$U89),0))</f>
        <v>1307430</v>
      </c>
      <c r="H89" s="25">
        <f>IF($U89="","",IF(ISNUMBER(INDEX('MiT Strom Pipeline'!$Q:$Q,$U89)),INDEX('MiT Strom Pipeline'!$Q:$Q,$U89),0))</f>
        <v>261486</v>
      </c>
      <c r="I89" s="25">
        <f>IF($U89="","",IF(ISNUMBER(INDEX('MiT Strom Pipeline'!$O:$O,$U89)),INDEX('MiT Strom Pipeline'!$O:$O,$U89),0))</f>
        <v>9900</v>
      </c>
      <c r="J89" s="24" t="str">
        <f>IF($U89="","",INDEX('MiT Strom Pipeline'!$R:$R,$U89))</f>
        <v>offered</v>
      </c>
      <c r="K89" s="26">
        <f>IF($U89="","",IF(ISNUMBER(INDEX('MiT Strom Pipeline'!$S:$S,$U89)),INDEX('MiT Strom Pipeline'!$S:$S,$U89),""))</f>
        <v>0.2</v>
      </c>
      <c r="L89" s="24" t="str">
        <f>IF($U89="","",IF(LEN(INDEX('MiT Strom Pipeline'!$V:$V,$U89))&gt;0,LEFT(INDEX('MiT Strom Pipeline'!$V:$V,$U89),55),""))</f>
        <v>Kunde Telefon Kontaktiert und Vor Ort 
Besichtigung und</v>
      </c>
      <c r="M89" s="19"/>
      <c r="N89" s="19"/>
      <c r="O89" s="19"/>
      <c r="P89" s="19"/>
      <c r="Q89" s="19"/>
      <c r="R89" s="19"/>
      <c r="S89" s="19"/>
      <c r="U89">
        <f>IFERROR(MATCH(15,'MiT Strom Pipeline'!$AC$6:$AC$860,0)+5,"")</f>
        <v>39</v>
      </c>
    </row>
    <row r="90" spans="1:21" ht="15.75" customHeight="1">
      <c r="A90" s="23">
        <f>IF($U90="","",IF(ISNUMBER(INDEX('MiT Strom Pipeline'!$A:$A,$U90)),INDEX('MiT Strom Pipeline'!$A:$A,$U90),""))</f>
        <v>34</v>
      </c>
      <c r="B90" s="24" t="str">
        <f>IF($U90="","",IF(INDEX('MiT Strom Pipeline'!$B:$B,$U90)="","",INDEX('MiT Strom Pipeline'!$B:$B,$U90)))</f>
        <v>Creabeton</v>
      </c>
      <c r="C90" s="24" t="str">
        <f>IF($U90="","",IF(INDEX('MiT Strom Pipeline'!$C:$C,$U90)="","",INDEX('MiT Strom Pipeline'!$C:$C,$U90)))</f>
        <v>BE</v>
      </c>
      <c r="D90" s="24" t="str">
        <f>IF($U90="","",IF(INDEX('MiT Strom Pipeline'!$D:$D,$U90)="","",INDEX('MiT Strom Pipeline'!$D:$D,$U90)))</f>
        <v>Infrastruktur / Bau</v>
      </c>
      <c r="E90" s="24" t="str">
        <f>IF($U90="","",IF(INDEX('MiT Strom Pipeline'!$H:$H,$U90)="","",INDEX('MiT Strom Pipeline'!$H:$H,$U90)))</f>
        <v>Juli</v>
      </c>
      <c r="F90" s="24" t="str">
        <f>IF($U90="","",IF(INDEX('MiT Strom Pipeline'!$E:$E,$U90)="","",INDEX('MiT Strom Pipeline'!$E:$E,$U90)))</f>
        <v>100 kVA Generator</v>
      </c>
      <c r="G90" s="25">
        <f>IF($U90="","",IF(ISNUMBER(INDEX('MiT Strom Pipeline'!$I:$I,$U90)),INDEX('MiT Strom Pipeline'!$I:$I,$U90),0))</f>
        <v>3232.41</v>
      </c>
      <c r="H90" s="25">
        <f>IF($U90="","",IF(ISNUMBER(INDEX('MiT Strom Pipeline'!$Q:$Q,$U90)),INDEX('MiT Strom Pipeline'!$Q:$Q,$U90),0))</f>
        <v>1616.2049999999999</v>
      </c>
      <c r="I90" s="25">
        <f>IF($U90="","",IF(ISNUMBER(INDEX('MiT Strom Pipeline'!$O:$O,$U90)),INDEX('MiT Strom Pipeline'!$O:$O,$U90),0))</f>
        <v>370</v>
      </c>
      <c r="J90" s="24" t="str">
        <f>IF($U90="","",INDEX('MiT Strom Pipeline'!$R:$R,$U90))</f>
        <v>offered</v>
      </c>
      <c r="K90" s="26">
        <f>IF($U90="","",IF(ISNUMBER(INDEX('MiT Strom Pipeline'!$S:$S,$U90)),INDEX('MiT Strom Pipeline'!$S:$S,$U90),""))</f>
        <v>0.5</v>
      </c>
      <c r="L90" s="24" t="str">
        <f>IF($U90="","",IF(LEN(INDEX('MiT Strom Pipeline'!$V:$V,$U90))&gt;0,LEFT(INDEX('MiT Strom Pipeline'!$V:$V,$U90),55),""))</f>
        <v>Kunde angeschrieben, Warten auf Rückmeldung</v>
      </c>
      <c r="M90" s="19"/>
      <c r="N90" s="19"/>
      <c r="O90" s="19"/>
      <c r="P90" s="19"/>
      <c r="Q90" s="19"/>
      <c r="R90" s="19"/>
      <c r="S90" s="19"/>
      <c r="U90">
        <f>IFERROR(MATCH(16,'MiT Strom Pipeline'!$AC$6:$AC$860,0)+5,"")</f>
        <v>40</v>
      </c>
    </row>
    <row r="91" spans="1:21" ht="15.75" customHeight="1">
      <c r="A91" s="23">
        <f>IF($U91="","",IF(ISNUMBER(INDEX('MiT Strom Pipeline'!$A:$A,$U91)),INDEX('MiT Strom Pipeline'!$A:$A,$U91),""))</f>
        <v>38</v>
      </c>
      <c r="B91" s="24" t="str">
        <f>IF($U91="","",IF(INDEX('MiT Strom Pipeline'!$B:$B,$U91)="","",INDEX('MiT Strom Pipeline'!$B:$B,$U91)))</f>
        <v>Linde Gas Schweiz AG</v>
      </c>
      <c r="C91" s="24" t="str">
        <f>IF($U91="","",IF(INDEX('MiT Strom Pipeline'!$C:$C,$U91)="","",INDEX('MiT Strom Pipeline'!$C:$C,$U91)))</f>
        <v>LU</v>
      </c>
      <c r="D91" s="24" t="str">
        <f>IF($U91="","",IF(INDEX('MiT Strom Pipeline'!$D:$D,$U91)="","",INDEX('MiT Strom Pipeline'!$D:$D,$U91)))</f>
        <v>Industrie</v>
      </c>
      <c r="E91" s="24" t="str">
        <f>IF($U91="","",IF(INDEX('MiT Strom Pipeline'!$H:$H,$U91)="","",INDEX('MiT Strom Pipeline'!$H:$H,$U91)))</f>
        <v>Jan</v>
      </c>
      <c r="F91" s="24" t="str">
        <f>IF($U91="","",IF(INDEX('MiT Strom Pipeline'!$E:$E,$U91)="","",INDEX('MiT Strom Pipeline'!$E:$E,$U91)))</f>
        <v>60 kVA Generator</v>
      </c>
      <c r="G91" s="25">
        <f>IF($U91="","",IF(ISNUMBER(INDEX('MiT Strom Pipeline'!$I:$I,$U91)),INDEX('MiT Strom Pipeline'!$I:$I,$U91),0))</f>
        <v>3686.2</v>
      </c>
      <c r="H91" s="25">
        <f>IF($U91="","",IF(ISNUMBER(INDEX('MiT Strom Pipeline'!$Q:$Q,$U91)),INDEX('MiT Strom Pipeline'!$Q:$Q,$U91),0))</f>
        <v>1843.1</v>
      </c>
      <c r="I91" s="25">
        <f>IF($U91="","",IF(ISNUMBER(INDEX('MiT Strom Pipeline'!$O:$O,$U91)),INDEX('MiT Strom Pipeline'!$O:$O,$U91),0))</f>
        <v>179.98999999999978</v>
      </c>
      <c r="J91" s="24" t="str">
        <f>IF($U91="","",INDEX('MiT Strom Pipeline'!$R:$R,$U91))</f>
        <v>offered</v>
      </c>
      <c r="K91" s="26">
        <f>IF($U91="","",IF(ISNUMBER(INDEX('MiT Strom Pipeline'!$S:$S,$U91)),INDEX('MiT Strom Pipeline'!$S:$S,$U91),""))</f>
        <v>0.5</v>
      </c>
      <c r="L91" s="24" t="str">
        <f>IF($U91="","",IF(LEN(INDEX('MiT Strom Pipeline'!$V:$V,$U91))&gt;0,LEFT(INDEX('MiT Strom Pipeline'!$V:$V,$U91),55),""))</f>
        <v/>
      </c>
      <c r="M91" s="19"/>
      <c r="N91" s="19"/>
      <c r="O91" s="19"/>
      <c r="P91" s="19"/>
      <c r="Q91" s="19"/>
      <c r="R91" s="19"/>
      <c r="S91" s="19"/>
      <c r="U91">
        <f>IFERROR(MATCH(17,'MiT Strom Pipeline'!$AC$6:$AC$860,0)+5,"")</f>
        <v>42</v>
      </c>
    </row>
    <row r="92" spans="1:21" ht="15.75" customHeight="1">
      <c r="A92" s="23">
        <f>IF($U92="","",IF(ISNUMBER(INDEX('MiT Strom Pipeline'!$A:$A,$U92)),INDEX('MiT Strom Pipeline'!$A:$A,$U92),""))</f>
        <v>39</v>
      </c>
      <c r="B92" s="24" t="str">
        <f>IF($U92="","",IF(INDEX('MiT Strom Pipeline'!$B:$B,$U92)="","",INDEX('MiT Strom Pipeline'!$B:$B,$U92)))</f>
        <v>Baumeler Leitungsbau AG</v>
      </c>
      <c r="C92" s="24" t="str">
        <f>IF($U92="","",IF(INDEX('MiT Strom Pipeline'!$C:$C,$U92)="","",INDEX('MiT Strom Pipeline'!$C:$C,$U92)))</f>
        <v>LU</v>
      </c>
      <c r="D92" s="24" t="str">
        <f>IF($U92="","",IF(INDEX('MiT Strom Pipeline'!$D:$D,$U92)="","",INDEX('MiT Strom Pipeline'!$D:$D,$U92)))</f>
        <v>Industrie</v>
      </c>
      <c r="E92" s="24" t="str">
        <f>IF($U92="","",IF(INDEX('MiT Strom Pipeline'!$H:$H,$U92)="","",INDEX('MiT Strom Pipeline'!$H:$H,$U92)))</f>
        <v>Juli</v>
      </c>
      <c r="F92" s="24" t="str">
        <f>IF($U92="","",IF(INDEX('MiT Strom Pipeline'!$E:$E,$U92)="","",INDEX('MiT Strom Pipeline'!$E:$E,$U92)))</f>
        <v xml:space="preserve">600 kVA </v>
      </c>
      <c r="G92" s="25">
        <f>IF($U92="","",IF(ISNUMBER(INDEX('MiT Strom Pipeline'!$I:$I,$U92)),INDEX('MiT Strom Pipeline'!$I:$I,$U92),0))</f>
        <v>11559.36</v>
      </c>
      <c r="H92" s="25">
        <f>IF($U92="","",IF(ISNUMBER(INDEX('MiT Strom Pipeline'!$Q:$Q,$U92)),INDEX('MiT Strom Pipeline'!$Q:$Q,$U92),0))</f>
        <v>5779.68</v>
      </c>
      <c r="I92" s="25">
        <f>IF($U92="","",IF(ISNUMBER(INDEX('MiT Strom Pipeline'!$O:$O,$U92)),INDEX('MiT Strom Pipeline'!$O:$O,$U92),0))</f>
        <v>2200.010000000002</v>
      </c>
      <c r="J92" s="24" t="str">
        <f>IF($U92="","",INDEX('MiT Strom Pipeline'!$R:$R,$U92))</f>
        <v>offered</v>
      </c>
      <c r="K92" s="26">
        <f>IF($U92="","",IF(ISNUMBER(INDEX('MiT Strom Pipeline'!$S:$S,$U92)),INDEX('MiT Strom Pipeline'!$S:$S,$U92),""))</f>
        <v>0.5</v>
      </c>
      <c r="L92" s="24" t="str">
        <f>IF($U92="","",IF(LEN(INDEX('MiT Strom Pipeline'!$V:$V,$U92))&gt;0,LEFT(INDEX('MiT Strom Pipeline'!$V:$V,$U92),55),""))</f>
        <v>Kunde angeschrieben, Offerte erstellt, Kunde hat Offert</v>
      </c>
      <c r="M92" s="19"/>
      <c r="N92" s="19"/>
      <c r="O92" s="19"/>
      <c r="P92" s="19"/>
      <c r="Q92" s="19"/>
      <c r="R92" s="19"/>
      <c r="S92" s="19"/>
      <c r="U92">
        <f>IFERROR(MATCH(18,'MiT Strom Pipeline'!$AC$6:$AC$860,0)+5,"")</f>
        <v>43</v>
      </c>
    </row>
    <row r="93" spans="1:21" ht="15.75" customHeight="1">
      <c r="A93" s="23">
        <f>IF($U93="","",IF(ISNUMBER(INDEX('MiT Strom Pipeline'!$A:$A,$U93)),INDEX('MiT Strom Pipeline'!$A:$A,$U93),""))</f>
        <v>41</v>
      </c>
      <c r="B93" s="24" t="str">
        <f>IF($U93="","",IF(INDEX('MiT Strom Pipeline'!$B:$B,$U93)="","",INDEX('MiT Strom Pipeline'!$B:$B,$U93)))</f>
        <v>Verein Street Parade Zürich</v>
      </c>
      <c r="C93" s="24" t="str">
        <f>IF($U93="","",IF(INDEX('MiT Strom Pipeline'!$C:$C,$U93)="","",INDEX('MiT Strom Pipeline'!$C:$C,$U93)))</f>
        <v>ZH</v>
      </c>
      <c r="D93" s="24" t="str">
        <f>IF($U93="","",IF(INDEX('MiT Strom Pipeline'!$D:$D,$U93)="","",INDEX('MiT Strom Pipeline'!$D:$D,$U93)))</f>
        <v>Event</v>
      </c>
      <c r="E93" s="24" t="str">
        <f>IF($U93="","",IF(INDEX('MiT Strom Pipeline'!$H:$H,$U93)="","",INDEX('MiT Strom Pipeline'!$H:$H,$U93)))</f>
        <v>Aug</v>
      </c>
      <c r="F93" s="24" t="str">
        <f>IF($U93="","",IF(INDEX('MiT Strom Pipeline'!$E:$E,$U93)="","",INDEX('MiT Strom Pipeline'!$E:$E,$U93)))</f>
        <v xml:space="preserve">100 kVA </v>
      </c>
      <c r="G93" s="25">
        <f>IF($U93="","",IF(ISNUMBER(INDEX('MiT Strom Pipeline'!$I:$I,$U93)),INDEX('MiT Strom Pipeline'!$I:$I,$U93),0))</f>
        <v>3760.04</v>
      </c>
      <c r="H93" s="25">
        <f>IF($U93="","",IF(ISNUMBER(INDEX('MiT Strom Pipeline'!$Q:$Q,$U93)),INDEX('MiT Strom Pipeline'!$Q:$Q,$U93),0))</f>
        <v>1880.02</v>
      </c>
      <c r="I93" s="25">
        <f>IF($U93="","",IF(ISNUMBER(INDEX('MiT Strom Pipeline'!$O:$O,$U93)),INDEX('MiT Strom Pipeline'!$O:$O,$U93),0))</f>
        <v>0</v>
      </c>
      <c r="J93" s="24" t="str">
        <f>IF($U93="","",INDEX('MiT Strom Pipeline'!$R:$R,$U93))</f>
        <v>offered</v>
      </c>
      <c r="K93" s="26">
        <f>IF($U93="","",IF(ISNUMBER(INDEX('MiT Strom Pipeline'!$S:$S,$U93)),INDEX('MiT Strom Pipeline'!$S:$S,$U93),""))</f>
        <v>0.5</v>
      </c>
      <c r="L93" s="24" t="str">
        <f>IF($U93="","",IF(LEN(INDEX('MiT Strom Pipeline'!$V:$V,$U93))&gt;0,LEFT(INDEX('MiT Strom Pipeline'!$V:$V,$U93),55),""))</f>
        <v>Kunde angeschrieben, Offerte erstellt, Kunde hat Offert</v>
      </c>
      <c r="M93" s="19"/>
      <c r="N93" s="19"/>
      <c r="O93" s="19"/>
      <c r="P93" s="19"/>
      <c r="Q93" s="19"/>
      <c r="R93" s="19"/>
      <c r="S93" s="19"/>
      <c r="U93">
        <f>IFERROR(MATCH(19,'MiT Strom Pipeline'!$AC$6:$AC$860,0)+5,"")</f>
        <v>44</v>
      </c>
    </row>
    <row r="94" spans="1:21" ht="15.75" customHeight="1">
      <c r="A94" s="23">
        <f>IF($U94="","",IF(ISNUMBER(INDEX('MiT Strom Pipeline'!$A:$A,$U94)),INDEX('MiT Strom Pipeline'!$A:$A,$U94),""))</f>
        <v>9</v>
      </c>
      <c r="B94" s="24" t="str">
        <f>IF($U94="","",IF(INDEX('MiT Strom Pipeline'!$B:$B,$U94)="","",INDEX('MiT Strom Pipeline'!$B:$B,$U94)))</f>
        <v>Badermetaux Sàrl (Schweiz)</v>
      </c>
      <c r="C94" s="24" t="str">
        <f>IF($U94="","",IF(INDEX('MiT Strom Pipeline'!$C:$C,$U94)="","",INDEX('MiT Strom Pipeline'!$C:$C,$U94)))</f>
        <v>ZH</v>
      </c>
      <c r="D94" s="24" t="str">
        <f>IF($U94="","",IF(INDEX('MiT Strom Pipeline'!$D:$D,$U94)="","",INDEX('MiT Strom Pipeline'!$D:$D,$U94)))</f>
        <v>Industrie / Metall</v>
      </c>
      <c r="E94" s="24" t="str">
        <f>IF($U94="","",IF(INDEX('MiT Strom Pipeline'!$H:$H,$U94)="","",INDEX('MiT Strom Pipeline'!$H:$H,$U94)))</f>
        <v>Mai</v>
      </c>
      <c r="F94" s="24" t="str">
        <f>IF($U94="","",IF(INDEX('MiT Strom Pipeline'!$E:$E,$U94)="","",INDEX('MiT Strom Pipeline'!$E:$E,$U94)))</f>
        <v>600 kVA Langzeitmiete</v>
      </c>
      <c r="G94" s="25">
        <f>IF($U94="","",IF(ISNUMBER(INDEX('MiT Strom Pipeline'!$I:$I,$U94)),INDEX('MiT Strom Pipeline'!$I:$I,$U94),0))</f>
        <v>500000</v>
      </c>
      <c r="H94" s="25">
        <f>IF($U94="","",IF(ISNUMBER(INDEX('MiT Strom Pipeline'!$Q:$Q,$U94)),INDEX('MiT Strom Pipeline'!$Q:$Q,$U94),0))</f>
        <v>250000</v>
      </c>
      <c r="I94" s="25">
        <f>IF($U94="","",IF(ISNUMBER(INDEX('MiT Strom Pipeline'!$O:$O,$U94)),INDEX('MiT Strom Pipeline'!$O:$O,$U94),0))</f>
        <v>130000</v>
      </c>
      <c r="J94" s="24" t="str">
        <f>IF($U94="","",INDEX('MiT Strom Pipeline'!$R:$R,$U94))</f>
        <v>on hold</v>
      </c>
      <c r="K94" s="26">
        <f>IF($U94="","",IF(ISNUMBER(INDEX('MiT Strom Pipeline'!$S:$S,$U94)),INDEX('MiT Strom Pipeline'!$S:$S,$U94),""))</f>
        <v>0.5</v>
      </c>
      <c r="L94" s="24" t="str">
        <f>IF($U94="","",IF(LEN(INDEX('MiT Strom Pipeline'!$V:$V,$U94))&gt;0,LEFT(INDEX('MiT Strom Pipeline'!$V:$V,$U94),55),""))</f>
        <v>PQ-Analyse + Langzeitkonzept vorlegen</v>
      </c>
      <c r="M94" s="19"/>
      <c r="N94" s="19"/>
      <c r="O94" s="19"/>
      <c r="P94" s="19"/>
      <c r="Q94" s="19"/>
      <c r="R94" s="19"/>
      <c r="S94" s="19"/>
      <c r="U94">
        <f>IFERROR(MATCH(20,'MiT Strom Pipeline'!$AC$6:$AC$860,0)+5,"")</f>
        <v>46</v>
      </c>
    </row>
    <row r="95" spans="1:21" ht="15.75" customHeight="1">
      <c r="A95" s="23">
        <f>IF($U95="","",IF(ISNUMBER(INDEX('MiT Strom Pipeline'!$A:$A,$U95)),INDEX('MiT Strom Pipeline'!$A:$A,$U95),""))</f>
        <v>42</v>
      </c>
      <c r="B95" s="24" t="str">
        <f>IF($U95="","",IF(INDEX('MiT Strom Pipeline'!$B:$B,$U95)="","",INDEX('MiT Strom Pipeline'!$B:$B,$U95)))</f>
        <v>SMT</v>
      </c>
      <c r="C95" s="24" t="str">
        <f>IF($U95="","",IF(INDEX('MiT Strom Pipeline'!$C:$C,$U95)="","",INDEX('MiT Strom Pipeline'!$C:$C,$U95)))</f>
        <v>ZH</v>
      </c>
      <c r="D95" s="24" t="str">
        <f>IF($U95="","",IF(INDEX('MiT Strom Pipeline'!$D:$D,$U95)="","",INDEX('MiT Strom Pipeline'!$D:$D,$U95)))</f>
        <v>Industrie</v>
      </c>
      <c r="E95" s="24" t="str">
        <f>IF($U95="","",IF(INDEX('MiT Strom Pipeline'!$H:$H,$U95)="","",INDEX('MiT Strom Pipeline'!$H:$H,$U95)))</f>
        <v>Aug</v>
      </c>
      <c r="F95" s="24" t="str">
        <f>IF($U95="","",IF(INDEX('MiT Strom Pipeline'!$E:$E,$U95)="","",INDEX('MiT Strom Pipeline'!$E:$E,$U95)))</f>
        <v>1000 kVA</v>
      </c>
      <c r="G95" s="25">
        <f>IF($U95="","",IF(ISNUMBER(INDEX('MiT Strom Pipeline'!$I:$I,$U95)),INDEX('MiT Strom Pipeline'!$I:$I,$U95),0))</f>
        <v>6772.8</v>
      </c>
      <c r="H95" s="25">
        <f>IF($U95="","",IF(ISNUMBER(INDEX('MiT Strom Pipeline'!$Q:$Q,$U95)),INDEX('MiT Strom Pipeline'!$Q:$Q,$U95),0))</f>
        <v>3386.4</v>
      </c>
      <c r="I95" s="25">
        <f>IF($U95="","",IF(ISNUMBER(INDEX('MiT Strom Pipeline'!$O:$O,$U95)),INDEX('MiT Strom Pipeline'!$O:$O,$U95),0))</f>
        <v>0</v>
      </c>
      <c r="J95" s="24" t="str">
        <f>IF($U95="","",INDEX('MiT Strom Pipeline'!$R:$R,$U95))</f>
        <v>on hold</v>
      </c>
      <c r="K95" s="26">
        <f>IF($U95="","",IF(ISNUMBER(INDEX('MiT Strom Pipeline'!$S:$S,$U95)),INDEX('MiT Strom Pipeline'!$S:$S,$U95),""))</f>
        <v>0.5</v>
      </c>
      <c r="L95" s="24" t="str">
        <f>IF($U95="","",IF(LEN(INDEX('MiT Strom Pipeline'!$V:$V,$U95))&gt;0,LEFT(INDEX('MiT Strom Pipeline'!$V:$V,$U95),55),""))</f>
        <v>Kunde angeschrieben, Offerte erstellt, Kunde hat Offert</v>
      </c>
      <c r="M95" s="19"/>
      <c r="N95" s="19"/>
      <c r="O95" s="19"/>
      <c r="P95" s="19"/>
      <c r="Q95" s="19"/>
      <c r="R95" s="19"/>
      <c r="S95" s="19"/>
      <c r="U95">
        <f>IFERROR(MATCH(21,'MiT Strom Pipeline'!$AC$6:$AC$860,0)+5,"")</f>
        <v>52</v>
      </c>
    </row>
    <row r="96" spans="1:21" ht="15.75" customHeight="1">
      <c r="A96" s="23">
        <f>IF($U96="","",IF(ISNUMBER(INDEX('MiT Strom Pipeline'!$A:$A,$U96)),INDEX('MiT Strom Pipeline'!$A:$A,$U96),""))</f>
        <v>43</v>
      </c>
      <c r="B96" s="24" t="str">
        <f>IF($U96="","",IF(INDEX('MiT Strom Pipeline'!$B:$B,$U96)="","",INDEX('MiT Strom Pipeline'!$B:$B,$U96)))</f>
        <v>Equans Switzerland Kloten</v>
      </c>
      <c r="C96" s="24" t="str">
        <f>IF($U96="","",IF(INDEX('MiT Strom Pipeline'!$C:$C,$U96)="","",INDEX('MiT Strom Pipeline'!$C:$C,$U96)))</f>
        <v>ZH</v>
      </c>
      <c r="D96" s="24" t="str">
        <f>IF($U96="","",IF(INDEX('MiT Strom Pipeline'!$D:$D,$U96)="","",INDEX('MiT Strom Pipeline'!$D:$D,$U96)))</f>
        <v>Industrie</v>
      </c>
      <c r="E96" s="24" t="str">
        <f>IF($U96="","",IF(INDEX('MiT Strom Pipeline'!$H:$H,$U96)="","",INDEX('MiT Strom Pipeline'!$H:$H,$U96)))</f>
        <v>Dez</v>
      </c>
      <c r="F96" s="24" t="str">
        <f>IF($U96="","",IF(INDEX('MiT Strom Pipeline'!$E:$E,$U96)="","",INDEX('MiT Strom Pipeline'!$E:$E,$U96)))</f>
        <v>600 kVA</v>
      </c>
      <c r="G96" s="25">
        <f>IF($U96="","",IF(ISNUMBER(INDEX('MiT Strom Pipeline'!$I:$I,$U96)),INDEX('MiT Strom Pipeline'!$I:$I,$U96),0))</f>
        <v>224236.15</v>
      </c>
      <c r="H96" s="25">
        <f>IF($U96="","",IF(ISNUMBER(INDEX('MiT Strom Pipeline'!$Q:$Q,$U96)),INDEX('MiT Strom Pipeline'!$Q:$Q,$U96),0))</f>
        <v>112118.075</v>
      </c>
      <c r="I96" s="25">
        <f>IF($U96="","",IF(ISNUMBER(INDEX('MiT Strom Pipeline'!$O:$O,$U96)),INDEX('MiT Strom Pipeline'!$O:$O,$U96),0))</f>
        <v>0</v>
      </c>
      <c r="J96" s="24" t="str">
        <f>IF($U96="","",INDEX('MiT Strom Pipeline'!$R:$R,$U96))</f>
        <v>offered</v>
      </c>
      <c r="K96" s="26">
        <f>IF($U96="","",IF(ISNUMBER(INDEX('MiT Strom Pipeline'!$S:$S,$U96)),INDEX('MiT Strom Pipeline'!$S:$S,$U96),""))</f>
        <v>0.5</v>
      </c>
      <c r="L96" s="24" t="str">
        <f>IF($U96="","",IF(LEN(INDEX('MiT Strom Pipeline'!$V:$V,$U96))&gt;0,LEFT(INDEX('MiT Strom Pipeline'!$V:$V,$U96),55),""))</f>
        <v>Kunde angeschrieben, Offerte erstellt, Kunde hat Offert</v>
      </c>
      <c r="M96" s="19"/>
      <c r="N96" s="19"/>
      <c r="O96" s="19"/>
      <c r="P96" s="19"/>
      <c r="Q96" s="19"/>
      <c r="R96" s="19"/>
      <c r="S96" s="19"/>
      <c r="U96">
        <f>IFERROR(MATCH(22,'MiT Strom Pipeline'!$AC$6:$AC$860,0)+5,"")</f>
        <v>53</v>
      </c>
    </row>
    <row r="97" spans="1:21" ht="15.75" customHeight="1">
      <c r="A97" s="23">
        <f>IF($U97="","",IF(ISNUMBER(INDEX('MiT Strom Pipeline'!$A:$A,$U97)),INDEX('MiT Strom Pipeline'!$A:$A,$U97),""))</f>
        <v>44</v>
      </c>
      <c r="B97" s="24" t="str">
        <f>IF($U97="","",IF(INDEX('MiT Strom Pipeline'!$B:$B,$U97)="","",INDEX('MiT Strom Pipeline'!$B:$B,$U97)))</f>
        <v>Equans Switzerland Kloten</v>
      </c>
      <c r="C97" s="24" t="str">
        <f>IF($U97="","",IF(INDEX('MiT Strom Pipeline'!$C:$C,$U97)="","",INDEX('MiT Strom Pipeline'!$C:$C,$U97)))</f>
        <v>ZH</v>
      </c>
      <c r="D97" s="24" t="str">
        <f>IF($U97="","",IF(INDEX('MiT Strom Pipeline'!$D:$D,$U97)="","",INDEX('MiT Strom Pipeline'!$D:$D,$U97)))</f>
        <v>Industrie</v>
      </c>
      <c r="E97" s="27" t="str">
        <f>IF($U97="","",IF(INDEX('MiT Strom Pipeline'!$H:$H,$U97)="","",INDEX('MiT Strom Pipeline'!$H:$H,$U97)))</f>
        <v>Juli</v>
      </c>
      <c r="F97" s="24" t="str">
        <f>IF($U97="","",IF(INDEX('MiT Strom Pipeline'!$E:$E,$U97)="","",INDEX('MiT Strom Pipeline'!$E:$E,$U97)))</f>
        <v>300 kVA</v>
      </c>
      <c r="G97" s="25">
        <f>IF($U97="","",IF(ISNUMBER(INDEX('MiT Strom Pipeline'!$I:$I,$U97)),INDEX('MiT Strom Pipeline'!$I:$I,$U97),0))</f>
        <v>31077.89</v>
      </c>
      <c r="H97" s="25">
        <f>IF($U97="","",IF(ISNUMBER(INDEX('MiT Strom Pipeline'!$Q:$Q,$U97)),INDEX('MiT Strom Pipeline'!$Q:$Q,$U97),0))</f>
        <v>15538.945</v>
      </c>
      <c r="I97" s="25">
        <f>IF($U97="","",IF(ISNUMBER(INDEX('MiT Strom Pipeline'!$O:$O,$U97)),INDEX('MiT Strom Pipeline'!$O:$O,$U97),0))</f>
        <v>0</v>
      </c>
      <c r="J97" s="24" t="str">
        <f>IF($U97="","",INDEX('MiT Strom Pipeline'!$R:$R,$U97))</f>
        <v>offered</v>
      </c>
      <c r="K97" s="26">
        <f>IF($U97="","",IF(ISNUMBER(INDEX('MiT Strom Pipeline'!$S:$S,$U97)),INDEX('MiT Strom Pipeline'!$S:$S,$U97),""))</f>
        <v>0.5</v>
      </c>
      <c r="L97" s="24" t="str">
        <f>IF($U97="","",IF(LEN(INDEX('MiT Strom Pipeline'!$V:$V,$U97))&gt;0,LEFT(INDEX('MiT Strom Pipeline'!$V:$V,$U97),55),""))</f>
        <v>Kunde angeschrieben, Offerte erstellt, Kunde hat Offert</v>
      </c>
      <c r="M97" s="19"/>
      <c r="N97" s="19"/>
      <c r="O97" s="19"/>
      <c r="P97" s="19"/>
      <c r="Q97" s="19"/>
      <c r="R97" s="19"/>
      <c r="S97" s="19"/>
      <c r="U97">
        <f>IFERROR(MATCH(23,'MiT Strom Pipeline'!$AC$6:$AC$860,0)+5,"")</f>
        <v>54</v>
      </c>
    </row>
    <row r="98" spans="1:21" ht="15.75" customHeight="1">
      <c r="A98" s="23">
        <f>IF($U98="","",IF(ISNUMBER(INDEX('MiT Strom Pipeline'!$A:$A,$U98)),INDEX('MiT Strom Pipeline'!$A:$A,$U98),""))</f>
        <v>45</v>
      </c>
      <c r="B98" s="24" t="str">
        <f>IF($U98="","",IF(INDEX('MiT Strom Pipeline'!$B:$B,$U98)="","",INDEX('MiT Strom Pipeline'!$B:$B,$U98)))</f>
        <v>ETAVIS Basel</v>
      </c>
      <c r="C98" s="24" t="str">
        <f>IF($U98="","",IF(INDEX('MiT Strom Pipeline'!$C:$C,$U98)="","",INDEX('MiT Strom Pipeline'!$C:$C,$U98)))</f>
        <v>BS</v>
      </c>
      <c r="D98" s="24" t="str">
        <f>IF($U98="","",IF(INDEX('MiT Strom Pipeline'!$D:$D,$U98)="","",INDEX('MiT Strom Pipeline'!$D:$D,$U98)))</f>
        <v>Elektroinstallation</v>
      </c>
      <c r="E98" s="24" t="str">
        <f>IF($U98="","",IF(INDEX('MiT Strom Pipeline'!$H:$H,$U98)="","",INDEX('MiT Strom Pipeline'!$H:$H,$U98)))</f>
        <v>Juli</v>
      </c>
      <c r="F98" s="24" t="str">
        <f>IF($U98="","",IF(INDEX('MiT Strom Pipeline'!$E:$E,$U98)="","",INDEX('MiT Strom Pipeline'!$E:$E,$U98)))</f>
        <v>300 kVA</v>
      </c>
      <c r="G98" s="25">
        <f>IF($U98="","",IF(ISNUMBER(INDEX('MiT Strom Pipeline'!$I:$I,$U98)),INDEX('MiT Strom Pipeline'!$I:$I,$U98),0))</f>
        <v>13866.21</v>
      </c>
      <c r="H98" s="25">
        <f>IF($U98="","",IF(ISNUMBER(INDEX('MiT Strom Pipeline'!$Q:$Q,$U98)),INDEX('MiT Strom Pipeline'!$Q:$Q,$U98),0))</f>
        <v>6933.1049999999996</v>
      </c>
      <c r="I98" s="25">
        <f>IF($U98="","",IF(ISNUMBER(INDEX('MiT Strom Pipeline'!$O:$O,$U98)),INDEX('MiT Strom Pipeline'!$O:$O,$U98),0))</f>
        <v>1.0000000000218279E-2</v>
      </c>
      <c r="J98" s="24" t="str">
        <f>IF($U98="","",INDEX('MiT Strom Pipeline'!$R:$R,$U98))</f>
        <v>offered</v>
      </c>
      <c r="K98" s="26">
        <f>IF($U98="","",IF(ISNUMBER(INDEX('MiT Strom Pipeline'!$S:$S,$U98)),INDEX('MiT Strom Pipeline'!$S:$S,$U98),""))</f>
        <v>0.5</v>
      </c>
      <c r="L98" s="24" t="str">
        <f>IF($U98="","",IF(LEN(INDEX('MiT Strom Pipeline'!$V:$V,$U98))&gt;0,LEFT(INDEX('MiT Strom Pipeline'!$V:$V,$U98),55),""))</f>
        <v>Kunde angeschrieben, Offerte erstellt, Kunde hat Offert</v>
      </c>
      <c r="M98" s="19"/>
      <c r="N98" s="19"/>
      <c r="O98" s="19"/>
      <c r="P98" s="19"/>
      <c r="Q98" s="19"/>
      <c r="R98" s="19"/>
      <c r="S98" s="19"/>
      <c r="U98">
        <f>IFERROR(MATCH(24,'MiT Strom Pipeline'!$AC$6:$AC$860,0)+5,"")</f>
        <v>55</v>
      </c>
    </row>
    <row r="99" spans="1:21" ht="15.75" customHeight="1">
      <c r="A99" s="23">
        <f>IF($U99="","",IF(ISNUMBER(INDEX('MiT Strom Pipeline'!$A:$A,$U99)),INDEX('MiT Strom Pipeline'!$A:$A,$U99),""))</f>
        <v>48</v>
      </c>
      <c r="B99" s="24" t="str">
        <f>IF($U99="","",IF(INDEX('MiT Strom Pipeline'!$B:$B,$U99)="","",INDEX('MiT Strom Pipeline'!$B:$B,$U99)))</f>
        <v>Coutaz CVS SA</v>
      </c>
      <c r="C99" s="24" t="str">
        <f>IF($U99="","",IF(INDEX('MiT Strom Pipeline'!$C:$C,$U99)="","",INDEX('MiT Strom Pipeline'!$C:$C,$U99)))</f>
        <v>VS</v>
      </c>
      <c r="D99" s="24" t="str">
        <f>IF($U99="","",IF(INDEX('MiT Strom Pipeline'!$D:$D,$U99)="","",INDEX('MiT Strom Pipeline'!$D:$D,$U99)))</f>
        <v>EVU</v>
      </c>
      <c r="E99" s="24" t="str">
        <f>IF($U99="","",IF(INDEX('MiT Strom Pipeline'!$H:$H,$U99)="","",INDEX('MiT Strom Pipeline'!$H:$H,$U99)))</f>
        <v>Okt</v>
      </c>
      <c r="F99" s="24" t="str">
        <f>IF($U99="","",IF(INDEX('MiT Strom Pipeline'!$E:$E,$U99)="","",INDEX('MiT Strom Pipeline'!$E:$E,$U99)))</f>
        <v>600 kVA, 200 kVA</v>
      </c>
      <c r="G99" s="25">
        <f>IF($U99="","",IF(ISNUMBER(INDEX('MiT Strom Pipeline'!$I:$I,$U99)),INDEX('MiT Strom Pipeline'!$I:$I,$U99),0))</f>
        <v>190701.37</v>
      </c>
      <c r="H99" s="25">
        <f>IF($U99="","",IF(ISNUMBER(INDEX('MiT Strom Pipeline'!$Q:$Q,$U99)),INDEX('MiT Strom Pipeline'!$Q:$Q,$U99),0))</f>
        <v>95350.684999999998</v>
      </c>
      <c r="I99" s="25">
        <f>IF($U99="","",IF(ISNUMBER(INDEX('MiT Strom Pipeline'!$O:$O,$U99)),INDEX('MiT Strom Pipeline'!$O:$O,$U99),0))</f>
        <v>10854</v>
      </c>
      <c r="J99" s="24" t="str">
        <f>IF($U99="","",INDEX('MiT Strom Pipeline'!$R:$R,$U99))</f>
        <v>offered</v>
      </c>
      <c r="K99" s="26">
        <f>IF($U99="","",IF(ISNUMBER(INDEX('MiT Strom Pipeline'!$S:$S,$U99)),INDEX('MiT Strom Pipeline'!$S:$S,$U99),""))</f>
        <v>0.5</v>
      </c>
      <c r="L99" s="24" t="str">
        <f>IF($U99="","",IF(LEN(INDEX('MiT Strom Pipeline'!$V:$V,$U99))&gt;0,LEFT(INDEX('MiT Strom Pipeline'!$V:$V,$U99),55),""))</f>
        <v>Kunde angeschrieben, Offerte erstellt, Kunde hat Offert</v>
      </c>
      <c r="M99" s="19"/>
      <c r="N99" s="19"/>
      <c r="O99" s="19"/>
      <c r="P99" s="19"/>
      <c r="Q99" s="19"/>
      <c r="R99" s="19"/>
      <c r="S99" s="19"/>
      <c r="U99">
        <f>IFERROR(MATCH(25,'MiT Strom Pipeline'!$AC$6:$AC$860,0)+5,"")</f>
        <v>58</v>
      </c>
    </row>
    <row r="100" spans="1:21" ht="25.5" customHeight="1">
      <c r="A100" s="23">
        <f>IF($U100="","",IF(ISNUMBER(INDEX('MiT Strom Pipeline'!$A:$A,$U100)),INDEX('MiT Strom Pipeline'!$A:$A,$U100),""))</f>
        <v>49</v>
      </c>
      <c r="B100" s="24" t="str">
        <f>IF($U100="","",IF(INDEX('MiT Strom Pipeline'!$B:$B,$U100)="","",INDEX('MiT Strom Pipeline'!$B:$B,$U100)))</f>
        <v>Romand Energei SA</v>
      </c>
      <c r="C100" s="24" t="str">
        <f>IF($U100="","",IF(INDEX('MiT Strom Pipeline'!$C:$C,$U100)="","",INDEX('MiT Strom Pipeline'!$C:$C,$U100)))</f>
        <v>VS</v>
      </c>
      <c r="D100" s="24" t="str">
        <f>IF($U100="","",IF(INDEX('MiT Strom Pipeline'!$D:$D,$U100)="","",INDEX('MiT Strom Pipeline'!$D:$D,$U100)))</f>
        <v>EVU</v>
      </c>
      <c r="E100" s="27" t="str">
        <f>IF($U100="","",IF(INDEX('MiT Strom Pipeline'!$H:$H,$U100)="","",INDEX('MiT Strom Pipeline'!$H:$H,$U100)))</f>
        <v>Aug</v>
      </c>
      <c r="F100" s="24" t="str">
        <f>IF($U100="","",IF(INDEX('MiT Strom Pipeline'!$E:$E,$U100)="","",INDEX('MiT Strom Pipeline'!$E:$E,$U100)))</f>
        <v>600 kVA</v>
      </c>
      <c r="G100" s="25">
        <f>IF($U100="","",IF(ISNUMBER(INDEX('MiT Strom Pipeline'!$I:$I,$U100)),INDEX('MiT Strom Pipeline'!$I:$I,$U100),0))</f>
        <v>32467.62</v>
      </c>
      <c r="H100" s="25">
        <f>IF($U100="","",IF(ISNUMBER(INDEX('MiT Strom Pipeline'!$Q:$Q,$U100)),INDEX('MiT Strom Pipeline'!$Q:$Q,$U100),0))</f>
        <v>16233.81</v>
      </c>
      <c r="I100" s="25">
        <f>IF($U100="","",IF(ISNUMBER(INDEX('MiT Strom Pipeline'!$O:$O,$U100)),INDEX('MiT Strom Pipeline'!$O:$O,$U100),0))</f>
        <v>870.99999999999636</v>
      </c>
      <c r="J100" s="24" t="str">
        <f>IF($U100="","",INDEX('MiT Strom Pipeline'!$R:$R,$U100))</f>
        <v>offered</v>
      </c>
      <c r="K100" s="26">
        <f>IF($U100="","",IF(ISNUMBER(INDEX('MiT Strom Pipeline'!$S:$S,$U100)),INDEX('MiT Strom Pipeline'!$S:$S,$U100),""))</f>
        <v>0.5</v>
      </c>
      <c r="L100" s="28" t="str">
        <f>IF($U100="","",IF(LEN(INDEX('MiT Strom Pipeline'!$V:$V,$U100))&gt;0,LEFT(INDEX('MiT Strom Pipeline'!$V:$V,$U100),55),""))</f>
        <v>Kunde angeschrieben, Offerte erstellt, Kunde hat Offert</v>
      </c>
      <c r="M100" s="19"/>
      <c r="N100" s="19"/>
      <c r="O100" s="19"/>
      <c r="P100" s="19"/>
      <c r="Q100" s="19"/>
      <c r="R100" s="19"/>
      <c r="S100" s="19"/>
      <c r="U100">
        <f>IFERROR(MATCH(26,'MiT Strom Pipeline'!$AC$6:$AC$860,0)+5,"")</f>
        <v>59</v>
      </c>
    </row>
    <row r="101" spans="1:21" ht="25.5" customHeight="1">
      <c r="A101" s="23">
        <f>IF($U101="","",IF(ISNUMBER(INDEX('MiT Strom Pipeline'!$A:$A,$U101)),INDEX('MiT Strom Pipeline'!$A:$A,$U101),""))</f>
        <v>54</v>
      </c>
      <c r="B101" s="24" t="str">
        <f>IF($U101="","",IF(INDEX('MiT Strom Pipeline'!$B:$B,$U101)="","",INDEX('MiT Strom Pipeline'!$B:$B,$U101)))</f>
        <v>Wyss Sound</v>
      </c>
      <c r="C101" s="24" t="str">
        <f>IF($U101="","",IF(INDEX('MiT Strom Pipeline'!$C:$C,$U101)="","",INDEX('MiT Strom Pipeline'!$C:$C,$U101)))</f>
        <v>LU</v>
      </c>
      <c r="D101" s="24" t="str">
        <f>IF($U101="","",IF(INDEX('MiT Strom Pipeline'!$D:$D,$U101)="","",INDEX('MiT Strom Pipeline'!$D:$D,$U101)))</f>
        <v>Event</v>
      </c>
      <c r="E101" s="27" t="str">
        <f>IF($U101="","",IF(INDEX('MiT Strom Pipeline'!$H:$H,$U101)="","",INDEX('MiT Strom Pipeline'!$H:$H,$U101)))</f>
        <v>Juli</v>
      </c>
      <c r="F101" s="24" t="str">
        <f>IF($U101="","",IF(INDEX('MiT Strom Pipeline'!$E:$E,$U101)="","",INDEX('MiT Strom Pipeline'!$E:$E,$U101)))</f>
        <v>300 kVA</v>
      </c>
      <c r="G101" s="25">
        <f>IF($U101="","",IF(ISNUMBER(INDEX('MiT Strom Pipeline'!$I:$I,$U101)),INDEX('MiT Strom Pipeline'!$I:$I,$U101),0))</f>
        <v>8381.2099999999991</v>
      </c>
      <c r="H101" s="25">
        <f>IF($U101="","",IF(ISNUMBER(INDEX('MiT Strom Pipeline'!$Q:$Q,$U101)),INDEX('MiT Strom Pipeline'!$Q:$Q,$U101),0))</f>
        <v>4190.6049999999996</v>
      </c>
      <c r="I101" s="25">
        <f>IF($U101="","",IF(ISNUMBER(INDEX('MiT Strom Pipeline'!$O:$O,$U101)),INDEX('MiT Strom Pipeline'!$O:$O,$U101),0))</f>
        <v>0</v>
      </c>
      <c r="J101" s="24" t="str">
        <f>IF($U101="","",INDEX('MiT Strom Pipeline'!$R:$R,$U101))</f>
        <v>offered</v>
      </c>
      <c r="K101" s="26">
        <f>IF($U101="","",IF(ISNUMBER(INDEX('MiT Strom Pipeline'!$S:$S,$U101)),INDEX('MiT Strom Pipeline'!$S:$S,$U101),""))</f>
        <v>0.5</v>
      </c>
      <c r="L101" s="28" t="str">
        <f>IF($U101="","",IF(LEN(INDEX('MiT Strom Pipeline'!$V:$V,$U101))&gt;0,LEFT(INDEX('MiT Strom Pipeline'!$V:$V,$U101),55),""))</f>
        <v>Kunde angeschrieben, Offerte erstellt, Kunde hat Offert</v>
      </c>
      <c r="M101" s="19"/>
      <c r="N101" s="19"/>
      <c r="O101" s="19"/>
      <c r="P101" s="19"/>
      <c r="Q101" s="19"/>
      <c r="R101" s="19"/>
      <c r="S101" s="19"/>
      <c r="U101">
        <f>IFERROR(MATCH(27,'MiT Strom Pipeline'!$AC$6:$AC$860,0)+5,"")</f>
        <v>64</v>
      </c>
    </row>
    <row r="102" spans="1:21" ht="15.75" customHeight="1">
      <c r="A102" s="23">
        <f>IF($U102="","",IF(ISNUMBER(INDEX('MiT Strom Pipeline'!$A:$A,$U102)),INDEX('MiT Strom Pipeline'!$A:$A,$U102),""))</f>
        <v>55</v>
      </c>
      <c r="B102" s="24" t="str">
        <f>IF($U102="","",IF(INDEX('MiT Strom Pipeline'!$B:$B,$U102)="","",INDEX('MiT Strom Pipeline'!$B:$B,$U102)))</f>
        <v>Schmidiger + Rosasco AG</v>
      </c>
      <c r="C102" s="24" t="str">
        <f>IF($U102="","",IF(INDEX('MiT Strom Pipeline'!$C:$C,$U102)="","",INDEX('MiT Strom Pipeline'!$C:$C,$U102)))</f>
        <v>ZH</v>
      </c>
      <c r="D102" s="24" t="str">
        <f>IF($U102="","",IF(INDEX('MiT Strom Pipeline'!$D:$D,$U102)="","",INDEX('MiT Strom Pipeline'!$D:$D,$U102)))</f>
        <v>Elektroplaner</v>
      </c>
      <c r="E102" s="24" t="str">
        <f>IF($U102="","",IF(INDEX('MiT Strom Pipeline'!$H:$H,$U102)="","",INDEX('MiT Strom Pipeline'!$H:$H,$U102)))</f>
        <v>Juli</v>
      </c>
      <c r="F102" s="24" t="str">
        <f>IF($U102="","",IF(INDEX('MiT Strom Pipeline'!$E:$E,$U102)="","",INDEX('MiT Strom Pipeline'!$E:$E,$U102)))</f>
        <v>200 kVA</v>
      </c>
      <c r="G102" s="25">
        <f>IF($U102="","",IF(ISNUMBER(INDEX('MiT Strom Pipeline'!$I:$I,$U102)),INDEX('MiT Strom Pipeline'!$I:$I,$U102),0))</f>
        <v>6227.21</v>
      </c>
      <c r="H102" s="25">
        <f>IF($U102="","",IF(ISNUMBER(INDEX('MiT Strom Pipeline'!$Q:$Q,$U102)),INDEX('MiT Strom Pipeline'!$Q:$Q,$U102),0))</f>
        <v>3113.605</v>
      </c>
      <c r="I102" s="25">
        <f>IF($U102="","",IF(ISNUMBER(INDEX('MiT Strom Pipeline'!$O:$O,$U102)),INDEX('MiT Strom Pipeline'!$O:$O,$U102),0))</f>
        <v>0</v>
      </c>
      <c r="J102" s="24" t="str">
        <f>IF($U102="","",INDEX('MiT Strom Pipeline'!$R:$R,$U102))</f>
        <v>offered</v>
      </c>
      <c r="K102" s="26">
        <f>IF($U102="","",IF(ISNUMBER(INDEX('MiT Strom Pipeline'!$S:$S,$U102)),INDEX('MiT Strom Pipeline'!$S:$S,$U102),""))</f>
        <v>0.5</v>
      </c>
      <c r="L102" s="24" t="str">
        <f>IF($U102="","",IF(LEN(INDEX('MiT Strom Pipeline'!$V:$V,$U102))&gt;0,LEFT(INDEX('MiT Strom Pipeline'!$V:$V,$U102),55),""))</f>
        <v>Kunde angeschrieben, Offerte erstellt, Kunde hat Offert</v>
      </c>
      <c r="M102" s="19"/>
      <c r="N102" s="19"/>
      <c r="O102" s="19"/>
      <c r="P102" s="19"/>
      <c r="Q102" s="19"/>
      <c r="R102" s="19"/>
      <c r="S102" s="19"/>
      <c r="U102">
        <f>IFERROR(MATCH(28,'MiT Strom Pipeline'!$AC$6:$AC$860,0)+5,"")</f>
        <v>65</v>
      </c>
    </row>
    <row r="103" spans="1:21" ht="15.75" customHeight="1">
      <c r="A103" s="23">
        <f>IF($U103="","",IF(ISNUMBER(INDEX('MiT Strom Pipeline'!$A:$A,$U103)),INDEX('MiT Strom Pipeline'!$A:$A,$U103),""))</f>
        <v>56</v>
      </c>
      <c r="B103" s="24" t="str">
        <f>IF($U103="","",IF(INDEX('MiT Strom Pipeline'!$B:$B,$U103)="","",INDEX('MiT Strom Pipeline'!$B:$B,$U103)))</f>
        <v>Winkler Livecom AG</v>
      </c>
      <c r="C103" s="24" t="str">
        <f>IF($U103="","",IF(INDEX('MiT Strom Pipeline'!$C:$C,$U103)="","",INDEX('MiT Strom Pipeline'!$C:$C,$U103)))</f>
        <v>AG</v>
      </c>
      <c r="D103" s="24" t="str">
        <f>IF($U103="","",IF(INDEX('MiT Strom Pipeline'!$D:$D,$U103)="","",INDEX('MiT Strom Pipeline'!$D:$D,$U103)))</f>
        <v>Event</v>
      </c>
      <c r="E103" s="24" t="str">
        <f>IF($U103="","",IF(INDEX('MiT Strom Pipeline'!$H:$H,$U103)="","",INDEX('MiT Strom Pipeline'!$H:$H,$U103)))</f>
        <v>Nov</v>
      </c>
      <c r="F103" s="24" t="str">
        <f>IF($U103="","",IF(INDEX('MiT Strom Pipeline'!$E:$E,$U103)="","",INDEX('MiT Strom Pipeline'!$E:$E,$U103)))</f>
        <v>300 kVA, 300 kWh</v>
      </c>
      <c r="G103" s="25">
        <f>IF($U103="","",IF(ISNUMBER(INDEX('MiT Strom Pipeline'!$I:$I,$U103)),INDEX('MiT Strom Pipeline'!$I:$I,$U103),0))</f>
        <v>41209</v>
      </c>
      <c r="H103" s="25">
        <f>IF($U103="","",IF(ISNUMBER(INDEX('MiT Strom Pipeline'!$Q:$Q,$U103)),INDEX('MiT Strom Pipeline'!$Q:$Q,$U103),0))</f>
        <v>20604.5</v>
      </c>
      <c r="I103" s="25">
        <f>IF($U103="","",IF(ISNUMBER(INDEX('MiT Strom Pipeline'!$O:$O,$U103)),INDEX('MiT Strom Pipeline'!$O:$O,$U103),0))</f>
        <v>2361.1800000000003</v>
      </c>
      <c r="J103" s="24" t="str">
        <f>IF($U103="","",INDEX('MiT Strom Pipeline'!$R:$R,$U103))</f>
        <v>offered</v>
      </c>
      <c r="K103" s="26">
        <f>IF($U103="","",IF(ISNUMBER(INDEX('MiT Strom Pipeline'!$S:$S,$U103)),INDEX('MiT Strom Pipeline'!$S:$S,$U103),""))</f>
        <v>0.5</v>
      </c>
      <c r="L103" s="28" t="str">
        <f>IF($U103="","",IF(LEN(INDEX('MiT Strom Pipeline'!$V:$V,$U103))&gt;0,LEFT(INDEX('MiT Strom Pipeline'!$V:$V,$U103),55),""))</f>
        <v>Kunde angeschrieben, Offerte erstellt, Kunde hat Offert</v>
      </c>
      <c r="M103" s="19"/>
      <c r="N103" s="19"/>
      <c r="O103" s="19"/>
      <c r="P103" s="19"/>
      <c r="Q103" s="19"/>
      <c r="R103" s="19"/>
      <c r="S103" s="19"/>
      <c r="U103">
        <f>IFERROR(MATCH(29,'MiT Strom Pipeline'!$AC$6:$AC$860,0)+5,"")</f>
        <v>66</v>
      </c>
    </row>
    <row r="104" spans="1:21" ht="15.75" customHeight="1">
      <c r="A104" s="23">
        <f>IF($U104="","",IF(ISNUMBER(INDEX('MiT Strom Pipeline'!$A:$A,$U104)),INDEX('MiT Strom Pipeline'!$A:$A,$U104),""))</f>
        <v>57</v>
      </c>
      <c r="B104" s="24" t="str">
        <f>IF($U104="","",IF(INDEX('MiT Strom Pipeline'!$B:$B,$U104)="","",INDEX('MiT Strom Pipeline'!$B:$B,$U104)))</f>
        <v>Siemens</v>
      </c>
      <c r="C104" s="24" t="str">
        <f>IF($U104="","",IF(INDEX('MiT Strom Pipeline'!$C:$C,$U104)="","",INDEX('MiT Strom Pipeline'!$C:$C,$U104)))</f>
        <v>ZG</v>
      </c>
      <c r="D104" s="24" t="str">
        <f>IF($U104="","",IF(INDEX('MiT Strom Pipeline'!$D:$D,$U104)="","",INDEX('MiT Strom Pipeline'!$D:$D,$U104)))</f>
        <v>Industrie</v>
      </c>
      <c r="E104" s="24" t="str">
        <f>IF($U104="","",IF(INDEX('MiT Strom Pipeline'!$H:$H,$U104)="","",INDEX('MiT Strom Pipeline'!$H:$H,$U104)))</f>
        <v>Sep</v>
      </c>
      <c r="F104" s="24" t="str">
        <f>IF($U104="","",IF(INDEX('MiT Strom Pipeline'!$E:$E,$U104)="","",INDEX('MiT Strom Pipeline'!$E:$E,$U104)))</f>
        <v>600 kVA</v>
      </c>
      <c r="G104" s="25">
        <f>IF($U104="","",IF(ISNUMBER(INDEX('MiT Strom Pipeline'!$I:$I,$U104)),INDEX('MiT Strom Pipeline'!$I:$I,$U104),0))</f>
        <v>40491.67</v>
      </c>
      <c r="H104" s="25">
        <f>IF($U104="","",IF(ISNUMBER(INDEX('MiT Strom Pipeline'!$Q:$Q,$U104)),INDEX('MiT Strom Pipeline'!$Q:$Q,$U104),0))</f>
        <v>20245.834999999999</v>
      </c>
      <c r="I104" s="25">
        <f>IF($U104="","",IF(ISNUMBER(INDEX('MiT Strom Pipeline'!$O:$O,$U104)),INDEX('MiT Strom Pipeline'!$O:$O,$U104),0))</f>
        <v>6056</v>
      </c>
      <c r="J104" s="24" t="str">
        <f>IF($U104="","",INDEX('MiT Strom Pipeline'!$R:$R,$U104))</f>
        <v>offered</v>
      </c>
      <c r="K104" s="26">
        <f>IF($U104="","",IF(ISNUMBER(INDEX('MiT Strom Pipeline'!$S:$S,$U104)),INDEX('MiT Strom Pipeline'!$S:$S,$U104),""))</f>
        <v>0.5</v>
      </c>
      <c r="L104" s="28" t="str">
        <f>IF($U104="","",IF(LEN(INDEX('MiT Strom Pipeline'!$V:$V,$U104))&gt;0,LEFT(INDEX('MiT Strom Pipeline'!$V:$V,$U104),55),""))</f>
        <v>Kunde angeschrieben, Offerte erstellt, Kunde hat Offert</v>
      </c>
      <c r="M104" s="19"/>
      <c r="N104" s="19"/>
      <c r="O104" s="19"/>
      <c r="P104" s="19"/>
      <c r="Q104" s="19"/>
      <c r="R104" s="19"/>
      <c r="S104" s="19"/>
      <c r="U104">
        <f>IFERROR(MATCH(30,'MiT Strom Pipeline'!$AC$6:$AC$860,0)+5,"")</f>
        <v>67</v>
      </c>
    </row>
    <row r="105" spans="1:21" ht="15.75" customHeight="1">
      <c r="A105" s="23">
        <f>IF($U105="","",IF(ISNUMBER(INDEX('MiT Strom Pipeline'!$A:$A,$U105)),INDEX('MiT Strom Pipeline'!$A:$A,$U105),""))</f>
        <v>58</v>
      </c>
      <c r="B105" s="24" t="str">
        <f>IF($U105="","",IF(INDEX('MiT Strom Pipeline'!$B:$B,$U105)="","",INDEX('MiT Strom Pipeline'!$B:$B,$U105)))</f>
        <v>Kull Elektro AG</v>
      </c>
      <c r="C105" s="24" t="str">
        <f>IF($U105="","",IF(INDEX('MiT Strom Pipeline'!$C:$C,$U105)="","",INDEX('MiT Strom Pipeline'!$C:$C,$U105)))</f>
        <v>ZH</v>
      </c>
      <c r="D105" s="24" t="str">
        <f>IF($U105="","",IF(INDEX('MiT Strom Pipeline'!$D:$D,$U105)="","",INDEX('MiT Strom Pipeline'!$D:$D,$U105)))</f>
        <v>Elektroplaner</v>
      </c>
      <c r="E105" s="24" t="str">
        <f>IF($U105="","",IF(INDEX('MiT Strom Pipeline'!$H:$H,$U105)="","",INDEX('MiT Strom Pipeline'!$H:$H,$U105)))</f>
        <v>August</v>
      </c>
      <c r="F105" s="24" t="str">
        <f>IF($U105="","",IF(INDEX('MiT Strom Pipeline'!$E:$E,$U105)="","",INDEX('MiT Strom Pipeline'!$E:$E,$U105)))</f>
        <v>150 kVA Generator</v>
      </c>
      <c r="G105" s="25">
        <f>IF($U105="","",IF(ISNUMBER(INDEX('MiT Strom Pipeline'!$I:$I,$U105)),INDEX('MiT Strom Pipeline'!$I:$I,$U105),0))</f>
        <v>113382.39999999999</v>
      </c>
      <c r="H105" s="25">
        <f>IF($U105="","",IF(ISNUMBER(INDEX('MiT Strom Pipeline'!$Q:$Q,$U105)),INDEX('MiT Strom Pipeline'!$Q:$Q,$U105),0))</f>
        <v>56691.199999999997</v>
      </c>
      <c r="I105" s="25">
        <f>IF($U105="","",IF(ISNUMBER(INDEX('MiT Strom Pipeline'!$O:$O,$U105)),INDEX('MiT Strom Pipeline'!$O:$O,$U105),0))</f>
        <v>-6495.8099999999977</v>
      </c>
      <c r="J105" s="24" t="str">
        <f>IF($U105="","",INDEX('MiT Strom Pipeline'!$R:$R,$U105))</f>
        <v>offered</v>
      </c>
      <c r="K105" s="26">
        <f>IF($U105="","",IF(ISNUMBER(INDEX('MiT Strom Pipeline'!$S:$S,$U105)),INDEX('MiT Strom Pipeline'!$S:$S,$U105),""))</f>
        <v>0.5</v>
      </c>
      <c r="L105" s="28" t="str">
        <f>IF($U105="","",IF(LEN(INDEX('MiT Strom Pipeline'!$V:$V,$U105))&gt;0,LEFT(INDEX('MiT Strom Pipeline'!$V:$V,$U105),55),""))</f>
        <v>Kunde angeschrieben, Offerte erstellt, Kunde hat Offert</v>
      </c>
      <c r="M105" s="19"/>
      <c r="N105" s="19"/>
      <c r="O105" s="19"/>
      <c r="P105" s="19"/>
      <c r="Q105" s="19"/>
      <c r="R105" s="19"/>
      <c r="S105" s="19"/>
      <c r="U105">
        <f>IFERROR(MATCH(31,'MiT Strom Pipeline'!$AC$6:$AC$860,0)+5,"")</f>
        <v>68</v>
      </c>
    </row>
    <row r="106" spans="1:21" ht="15.75" customHeight="1">
      <c r="A106" s="23">
        <f>IF($U106="","",IF(ISNUMBER(INDEX('MiT Strom Pipeline'!$A:$A,$U106)),INDEX('MiT Strom Pipeline'!$A:$A,$U106),""))</f>
        <v>59</v>
      </c>
      <c r="B106" s="24" t="str">
        <f>IF($U106="","",IF(INDEX('MiT Strom Pipeline'!$B:$B,$U106)="","",INDEX('MiT Strom Pipeline'!$B:$B,$U106)))</f>
        <v>(Megger) Power Diagnostix Service GmbH</v>
      </c>
      <c r="C106" s="24" t="str">
        <f>IF($U106="","",IF(INDEX('MiT Strom Pipeline'!$C:$C,$U106)="","",INDEX('MiT Strom Pipeline'!$C:$C,$U106)))</f>
        <v>ZH</v>
      </c>
      <c r="D106" s="24" t="str">
        <f>IF($U106="","",IF(INDEX('MiT Strom Pipeline'!$D:$D,$U106)="","",INDEX('MiT Strom Pipeline'!$D:$D,$U106)))</f>
        <v>EVU</v>
      </c>
      <c r="E106" s="27" t="str">
        <f>IF($U106="","",IF(INDEX('MiT Strom Pipeline'!$H:$H,$U106)="","",INDEX('MiT Strom Pipeline'!$H:$H,$U106)))</f>
        <v>August</v>
      </c>
      <c r="F106" s="24" t="str">
        <f>IF($U106="","",IF(INDEX('MiT Strom Pipeline'!$E:$E,$U106)="","",INDEX('MiT Strom Pipeline'!$E:$E,$U106)))</f>
        <v>150 kVA</v>
      </c>
      <c r="G106" s="25">
        <f>IF($U106="","",IF(ISNUMBER(INDEX('MiT Strom Pipeline'!$I:$I,$U106)),INDEX('MiT Strom Pipeline'!$I:$I,$U106),0))</f>
        <v>2435.75</v>
      </c>
      <c r="H106" s="25">
        <f>IF($U106="","",IF(ISNUMBER(INDEX('MiT Strom Pipeline'!$Q:$Q,$U106)),INDEX('MiT Strom Pipeline'!$Q:$Q,$U106),0))</f>
        <v>1217.875</v>
      </c>
      <c r="I106" s="25">
        <f>IF($U106="","",IF(ISNUMBER(INDEX('MiT Strom Pipeline'!$O:$O,$U106)),INDEX('MiT Strom Pipeline'!$O:$O,$U106),0))</f>
        <v>0</v>
      </c>
      <c r="J106" s="24" t="str">
        <f>IF($U106="","",INDEX('MiT Strom Pipeline'!$R:$R,$U106))</f>
        <v>offered</v>
      </c>
      <c r="K106" s="26">
        <f>IF($U106="","",IF(ISNUMBER(INDEX('MiT Strom Pipeline'!$S:$S,$U106)),INDEX('MiT Strom Pipeline'!$S:$S,$U106),""))</f>
        <v>0.5</v>
      </c>
      <c r="L106" s="24" t="str">
        <f>IF($U106="","",IF(LEN(INDEX('MiT Strom Pipeline'!$V:$V,$U106))&gt;0,LEFT(INDEX('MiT Strom Pipeline'!$V:$V,$U106),55),""))</f>
        <v>Kunde angeschrieben, Offerte erstellt, Kunde hat Offert</v>
      </c>
      <c r="M106" s="19"/>
      <c r="N106" s="19"/>
      <c r="O106" s="19"/>
      <c r="P106" s="19"/>
      <c r="Q106" s="19"/>
      <c r="R106" s="19"/>
      <c r="S106" s="19"/>
      <c r="U106">
        <f>IFERROR(MATCH(32,'MiT Strom Pipeline'!$AC$6:$AC$860,0)+5,"")</f>
        <v>69</v>
      </c>
    </row>
    <row r="107" spans="1:21" ht="15.75" customHeight="1">
      <c r="A107" s="23">
        <f>IF($U107="","",IF(ISNUMBER(INDEX('MiT Strom Pipeline'!$A:$A,$U107)),INDEX('MiT Strom Pipeline'!$A:$A,$U107),""))</f>
        <v>60</v>
      </c>
      <c r="B107" s="24" t="str">
        <f>IF($U107="","",IF(INDEX('MiT Strom Pipeline'!$B:$B,$U107)="","",INDEX('MiT Strom Pipeline'!$B:$B,$U107)))</f>
        <v>Promacom engineering GmbH</v>
      </c>
      <c r="C107" s="24" t="str">
        <f>IF($U107="","",IF(INDEX('MiT Strom Pipeline'!$C:$C,$U107)="","",INDEX('MiT Strom Pipeline'!$C:$C,$U107)))</f>
        <v>ZH</v>
      </c>
      <c r="D107" s="24" t="str">
        <f>IF($U107="","",IF(INDEX('MiT Strom Pipeline'!$D:$D,$U107)="","",INDEX('MiT Strom Pipeline'!$D:$D,$U107)))</f>
        <v>Elektroplaner</v>
      </c>
      <c r="E107" s="24" t="str">
        <f>IF($U107="","",IF(INDEX('MiT Strom Pipeline'!$H:$H,$U107)="","",INDEX('MiT Strom Pipeline'!$H:$H,$U107)))</f>
        <v>Jan</v>
      </c>
      <c r="F107" s="24" t="str">
        <f>IF($U107="","",IF(INDEX('MiT Strom Pipeline'!$E:$E,$U107)="","",INDEX('MiT Strom Pipeline'!$E:$E,$U107)))</f>
        <v>450 kVA</v>
      </c>
      <c r="G107" s="25">
        <f>IF($U107="","",IF(ISNUMBER(INDEX('MiT Strom Pipeline'!$I:$I,$U107)),INDEX('MiT Strom Pipeline'!$I:$I,$U107),0))</f>
        <v>286997.24</v>
      </c>
      <c r="H107" s="25">
        <f>IF($U107="","",IF(ISNUMBER(INDEX('MiT Strom Pipeline'!$Q:$Q,$U107)),INDEX('MiT Strom Pipeline'!$Q:$Q,$U107),0))</f>
        <v>143498.62</v>
      </c>
      <c r="I107" s="25">
        <f>IF($U107="","",IF(ISNUMBER(INDEX('MiT Strom Pipeline'!$O:$O,$U107)),INDEX('MiT Strom Pipeline'!$O:$O,$U107),0))</f>
        <v>-7150.2399999999907</v>
      </c>
      <c r="J107" s="24" t="str">
        <f>IF($U107="","",INDEX('MiT Strom Pipeline'!$R:$R,$U107))</f>
        <v>offered</v>
      </c>
      <c r="K107" s="26">
        <f>IF($U107="","",IF(ISNUMBER(INDEX('MiT Strom Pipeline'!$S:$S,$U107)),INDEX('MiT Strom Pipeline'!$S:$S,$U107),""))</f>
        <v>0.5</v>
      </c>
      <c r="L107" s="24" t="str">
        <f>IF($U107="","",IF(LEN(INDEX('MiT Strom Pipeline'!$V:$V,$U107))&gt;0,LEFT(INDEX('MiT Strom Pipeline'!$V:$V,$U107),55),""))</f>
        <v>Kunde angeschrieben, Offerte erstellt, Kunde hat Offert</v>
      </c>
      <c r="M107" s="19"/>
      <c r="N107" s="19"/>
      <c r="O107" s="19"/>
      <c r="P107" s="19"/>
      <c r="Q107" s="19"/>
      <c r="R107" s="19"/>
      <c r="S107" s="19"/>
      <c r="U107">
        <f>IFERROR(MATCH(33,'MiT Strom Pipeline'!$AC$6:$AC$860,0)+5,"")</f>
        <v>70</v>
      </c>
    </row>
    <row r="108" spans="1:21" ht="15.75" customHeight="1">
      <c r="A108" s="23" t="str">
        <f>IF($U108="","",IF(ISNUMBER(INDEX('MiT Strom Pipeline'!$A:$A,$U108)),INDEX('MiT Strom Pipeline'!$A:$A,$U108),""))</f>
        <v/>
      </c>
      <c r="B108" s="24" t="str">
        <f>IF($U108="","",IF(INDEX('MiT Strom Pipeline'!$B:$B,$U108)="","",INDEX('MiT Strom Pipeline'!$B:$B,$U108)))</f>
        <v/>
      </c>
      <c r="C108" s="24" t="str">
        <f>IF($U108="","",IF(INDEX('MiT Strom Pipeline'!$C:$C,$U108)="","",INDEX('MiT Strom Pipeline'!$C:$C,$U108)))</f>
        <v/>
      </c>
      <c r="D108" s="24" t="str">
        <f>IF($U108="","",IF(INDEX('MiT Strom Pipeline'!$D:$D,$U108)="","",INDEX('MiT Strom Pipeline'!$D:$D,$U108)))</f>
        <v/>
      </c>
      <c r="E108" s="24" t="str">
        <f>IF($U108="","",IF(INDEX('MiT Strom Pipeline'!$H:$H,$U108)="","",INDEX('MiT Strom Pipeline'!$H:$H,$U108)))</f>
        <v/>
      </c>
      <c r="F108" s="24" t="str">
        <f>IF($U108="","",IF(INDEX('MiT Strom Pipeline'!$E:$E,$U108)="","",INDEX('MiT Strom Pipeline'!$E:$E,$U108)))</f>
        <v/>
      </c>
      <c r="G108" s="25" t="str">
        <f>IF($U108="","",IF(ISNUMBER(INDEX('MiT Strom Pipeline'!$I:$I,$U108)),INDEX('MiT Strom Pipeline'!$I:$I,$U108),0))</f>
        <v/>
      </c>
      <c r="H108" s="25" t="str">
        <f>IF($U108="","",IF(ISNUMBER(INDEX('MiT Strom Pipeline'!$Q:$Q,$U108)),INDEX('MiT Strom Pipeline'!$Q:$Q,$U108),0))</f>
        <v/>
      </c>
      <c r="I108" s="25" t="str">
        <f>IF($U108="","",IF(ISNUMBER(INDEX('MiT Strom Pipeline'!$O:$O,$U108)),INDEX('MiT Strom Pipeline'!$O:$O,$U108),0))</f>
        <v/>
      </c>
      <c r="J108" s="24" t="str">
        <f>IF($U108="","",INDEX('MiT Strom Pipeline'!$R:$R,$U108))</f>
        <v/>
      </c>
      <c r="K108" s="26" t="str">
        <f>IF($U108="","",IF(ISNUMBER(INDEX('MiT Strom Pipeline'!$S:$S,$U108)),INDEX('MiT Strom Pipeline'!$S:$S,$U108),""))</f>
        <v/>
      </c>
      <c r="L108" s="24" t="str">
        <f>IF($U108="","",IF(LEN(INDEX('MiT Strom Pipeline'!$V:$V,$U108))&gt;0,LEFT(INDEX('MiT Strom Pipeline'!$V:$V,$U108),55),""))</f>
        <v/>
      </c>
      <c r="M108" s="19"/>
      <c r="N108" s="19"/>
      <c r="O108" s="19"/>
      <c r="P108" s="19"/>
      <c r="Q108" s="19"/>
      <c r="R108" s="19"/>
      <c r="S108" s="19"/>
      <c r="U108" t="str">
        <f>IFERROR(MATCH(34,'MiT Strom Pipeline'!$AC$6:$AC$860,0)+5,"")</f>
        <v/>
      </c>
    </row>
    <row r="109" spans="1:21" ht="15.75" customHeight="1">
      <c r="A109" s="23" t="str">
        <f>IF($U109="","",IF(ISNUMBER(INDEX('MiT Strom Pipeline'!$A:$A,$U109)),INDEX('MiT Strom Pipeline'!$A:$A,$U109),""))</f>
        <v/>
      </c>
      <c r="B109" s="24" t="str">
        <f>IF($U109="","",IF(INDEX('MiT Strom Pipeline'!$B:$B,$U109)="","",INDEX('MiT Strom Pipeline'!$B:$B,$U109)))</f>
        <v/>
      </c>
      <c r="C109" s="24" t="str">
        <f>IF($U109="","",IF(INDEX('MiT Strom Pipeline'!$C:$C,$U109)="","",INDEX('MiT Strom Pipeline'!$C:$C,$U109)))</f>
        <v/>
      </c>
      <c r="D109" s="24" t="str">
        <f>IF($U109="","",IF(INDEX('MiT Strom Pipeline'!$D:$D,$U109)="","",INDEX('MiT Strom Pipeline'!$D:$D,$U109)))</f>
        <v/>
      </c>
      <c r="E109" s="24" t="str">
        <f>IF($U109="","",IF(INDEX('MiT Strom Pipeline'!$H:$H,$U109)="","",INDEX('MiT Strom Pipeline'!$H:$H,$U109)))</f>
        <v/>
      </c>
      <c r="F109" s="24" t="str">
        <f>IF($U109="","",IF(INDEX('MiT Strom Pipeline'!$E:$E,$U109)="","",INDEX('MiT Strom Pipeline'!$E:$E,$U109)))</f>
        <v/>
      </c>
      <c r="G109" s="25" t="str">
        <f>IF($U109="","",IF(ISNUMBER(INDEX('MiT Strom Pipeline'!$I:$I,$U109)),INDEX('MiT Strom Pipeline'!$I:$I,$U109),0))</f>
        <v/>
      </c>
      <c r="H109" s="25" t="str">
        <f>IF($U109="","",IF(ISNUMBER(INDEX('MiT Strom Pipeline'!$Q:$Q,$U109)),INDEX('MiT Strom Pipeline'!$Q:$Q,$U109),0))</f>
        <v/>
      </c>
      <c r="I109" s="25" t="str">
        <f>IF($U109="","",IF(ISNUMBER(INDEX('MiT Strom Pipeline'!$O:$O,$U109)),INDEX('MiT Strom Pipeline'!$O:$O,$U109),0))</f>
        <v/>
      </c>
      <c r="J109" s="24" t="str">
        <f>IF($U109="","",INDEX('MiT Strom Pipeline'!$R:$R,$U109))</f>
        <v/>
      </c>
      <c r="K109" s="26" t="str">
        <f>IF($U109="","",IF(ISNUMBER(INDEX('MiT Strom Pipeline'!$S:$S,$U109)),INDEX('MiT Strom Pipeline'!$S:$S,$U109),""))</f>
        <v/>
      </c>
      <c r="L109" s="24" t="str">
        <f>IF($U109="","",IF(LEN(INDEX('MiT Strom Pipeline'!$V:$V,$U109))&gt;0,LEFT(INDEX('MiT Strom Pipeline'!$V:$V,$U109),55),""))</f>
        <v/>
      </c>
      <c r="M109" s="19"/>
      <c r="N109" s="19"/>
      <c r="O109" s="19"/>
      <c r="P109" s="19"/>
      <c r="Q109" s="19"/>
      <c r="R109" s="19"/>
      <c r="S109" s="19"/>
      <c r="U109" t="str">
        <f>IFERROR(MATCH(35,'MiT Strom Pipeline'!$AC$6:$AC$860,0)+5,"")</f>
        <v/>
      </c>
    </row>
    <row r="110" spans="1:21" ht="15.75" customHeight="1">
      <c r="A110" s="23" t="str">
        <f>IF($U110="","",IF(ISNUMBER(INDEX('MiT Strom Pipeline'!$A:$A,$U110)),INDEX('MiT Strom Pipeline'!$A:$A,$U110),""))</f>
        <v/>
      </c>
      <c r="B110" s="24" t="str">
        <f>IF($U110="","",IF(INDEX('MiT Strom Pipeline'!$B:$B,$U110)="","",INDEX('MiT Strom Pipeline'!$B:$B,$U110)))</f>
        <v/>
      </c>
      <c r="C110" s="24" t="str">
        <f>IF($U110="","",IF(INDEX('MiT Strom Pipeline'!$C:$C,$U110)="","",INDEX('MiT Strom Pipeline'!$C:$C,$U110)))</f>
        <v/>
      </c>
      <c r="D110" s="24" t="str">
        <f>IF($U110="","",IF(INDEX('MiT Strom Pipeline'!$D:$D,$U110)="","",INDEX('MiT Strom Pipeline'!$D:$D,$U110)))</f>
        <v/>
      </c>
      <c r="E110" s="24" t="str">
        <f>IF($U110="","",IF(INDEX('MiT Strom Pipeline'!$H:$H,$U110)="","",INDEX('MiT Strom Pipeline'!$H:$H,$U110)))</f>
        <v/>
      </c>
      <c r="F110" s="24" t="str">
        <f>IF($U110="","",IF(INDEX('MiT Strom Pipeline'!$E:$E,$U110)="","",INDEX('MiT Strom Pipeline'!$E:$E,$U110)))</f>
        <v/>
      </c>
      <c r="G110" s="25" t="str">
        <f>IF($U110="","",IF(ISNUMBER(INDEX('MiT Strom Pipeline'!$I:$I,$U110)),INDEX('MiT Strom Pipeline'!$I:$I,$U110),0))</f>
        <v/>
      </c>
      <c r="H110" s="25" t="str">
        <f>IF($U110="","",IF(ISNUMBER(INDEX('MiT Strom Pipeline'!$Q:$Q,$U110)),INDEX('MiT Strom Pipeline'!$Q:$Q,$U110),0))</f>
        <v/>
      </c>
      <c r="I110" s="25" t="str">
        <f>IF($U110="","",IF(ISNUMBER(INDEX('MiT Strom Pipeline'!$O:$O,$U110)),INDEX('MiT Strom Pipeline'!$O:$O,$U110),0))</f>
        <v/>
      </c>
      <c r="J110" s="24" t="str">
        <f>IF($U110="","",INDEX('MiT Strom Pipeline'!$R:$R,$U110))</f>
        <v/>
      </c>
      <c r="K110" s="26" t="str">
        <f>IF($U110="","",IF(ISNUMBER(INDEX('MiT Strom Pipeline'!$S:$S,$U110)),INDEX('MiT Strom Pipeline'!$S:$S,$U110),""))</f>
        <v/>
      </c>
      <c r="L110" s="24" t="str">
        <f>IF($U110="","",IF(LEN(INDEX('MiT Strom Pipeline'!$V:$V,$U110))&gt;0,LEFT(INDEX('MiT Strom Pipeline'!$V:$V,$U110),55),""))</f>
        <v/>
      </c>
      <c r="M110" s="19"/>
      <c r="N110" s="19"/>
      <c r="O110" s="19"/>
      <c r="P110" s="19"/>
      <c r="Q110" s="19"/>
      <c r="R110" s="19"/>
      <c r="S110" s="19"/>
      <c r="U110" t="str">
        <f>IFERROR(MATCH(36,'MiT Strom Pipeline'!$AC$6:$AC$860,0)+5,"")</f>
        <v/>
      </c>
    </row>
    <row r="111" spans="1:21" ht="15.75" customHeight="1">
      <c r="A111" s="23" t="str">
        <f>IF($U111="","",IF(ISNUMBER(INDEX('MiT Strom Pipeline'!$A:$A,$U111)),INDEX('MiT Strom Pipeline'!$A:$A,$U111),""))</f>
        <v/>
      </c>
      <c r="B111" s="24" t="str">
        <f>IF($U111="","",IF(INDEX('MiT Strom Pipeline'!$B:$B,$U111)="","",INDEX('MiT Strom Pipeline'!$B:$B,$U111)))</f>
        <v/>
      </c>
      <c r="C111" s="24" t="str">
        <f>IF($U111="","",IF(INDEX('MiT Strom Pipeline'!$C:$C,$U111)="","",INDEX('MiT Strom Pipeline'!$C:$C,$U111)))</f>
        <v/>
      </c>
      <c r="D111" s="24" t="str">
        <f>IF($U111="","",IF(INDEX('MiT Strom Pipeline'!$D:$D,$U111)="","",INDEX('MiT Strom Pipeline'!$D:$D,$U111)))</f>
        <v/>
      </c>
      <c r="E111" s="29" t="str">
        <f>IF($U111="","",IF(INDEX('MiT Strom Pipeline'!$H:$H,$U111)="","",INDEX('MiT Strom Pipeline'!$H:$H,$U111)))</f>
        <v/>
      </c>
      <c r="F111" s="24" t="str">
        <f>IF($U111="","",IF(INDEX('MiT Strom Pipeline'!$E:$E,$U111)="","",INDEX('MiT Strom Pipeline'!$E:$E,$U111)))</f>
        <v/>
      </c>
      <c r="G111" s="25" t="str">
        <f>IF($U111="","",IF(ISNUMBER(INDEX('MiT Strom Pipeline'!$I:$I,$U111)),INDEX('MiT Strom Pipeline'!$I:$I,$U111),0))</f>
        <v/>
      </c>
      <c r="H111" s="25" t="str">
        <f>IF($U111="","",IF(ISNUMBER(INDEX('MiT Strom Pipeline'!$Q:$Q,$U111)),INDEX('MiT Strom Pipeline'!$Q:$Q,$U111),0))</f>
        <v/>
      </c>
      <c r="I111" s="25" t="str">
        <f>IF($U111="","",IF(ISNUMBER(INDEX('MiT Strom Pipeline'!$O:$O,$U111)),INDEX('MiT Strom Pipeline'!$O:$O,$U111),0))</f>
        <v/>
      </c>
      <c r="J111" s="24" t="str">
        <f>IF($U111="","",INDEX('MiT Strom Pipeline'!$R:$R,$U111))</f>
        <v/>
      </c>
      <c r="K111" s="26" t="str">
        <f>IF($U111="","",IF(ISNUMBER(INDEX('MiT Strom Pipeline'!$S:$S,$U111)),INDEX('MiT Strom Pipeline'!$S:$S,$U111),""))</f>
        <v/>
      </c>
      <c r="L111" s="24" t="str">
        <f>IF($U111="","",IF(LEN(INDEX('MiT Strom Pipeline'!$V:$V,$U111))&gt;0,LEFT(INDEX('MiT Strom Pipeline'!$V:$V,$U111),55),""))</f>
        <v/>
      </c>
      <c r="M111" s="19"/>
      <c r="N111" s="19"/>
      <c r="O111" s="19"/>
      <c r="P111" s="19"/>
      <c r="Q111" s="19"/>
      <c r="R111" s="19"/>
      <c r="S111" s="19"/>
      <c r="U111" t="str">
        <f>IFERROR(MATCH(37,'MiT Strom Pipeline'!$AC$6:$AC$860,0)+5,"")</f>
        <v/>
      </c>
    </row>
    <row r="112" spans="1:21" ht="15.75" customHeight="1">
      <c r="A112" s="23" t="str">
        <f>IF($U112="","",IF(ISNUMBER(INDEX('MiT Strom Pipeline'!$A:$A,$U112)),INDEX('MiT Strom Pipeline'!$A:$A,$U112),""))</f>
        <v/>
      </c>
      <c r="B112" s="24" t="str">
        <f>IF($U112="","",IF(INDEX('MiT Strom Pipeline'!$B:$B,$U112)="","",INDEX('MiT Strom Pipeline'!$B:$B,$U112)))</f>
        <v/>
      </c>
      <c r="C112" s="24" t="str">
        <f>IF($U112="","",IF(INDEX('MiT Strom Pipeline'!$C:$C,$U112)="","",INDEX('MiT Strom Pipeline'!$C:$C,$U112)))</f>
        <v/>
      </c>
      <c r="D112" s="24" t="str">
        <f>IF($U112="","",IF(INDEX('MiT Strom Pipeline'!$D:$D,$U112)="","",INDEX('MiT Strom Pipeline'!$D:$D,$U112)))</f>
        <v/>
      </c>
      <c r="E112" s="29" t="str">
        <f>IF($U112="","",IF(INDEX('MiT Strom Pipeline'!$H:$H,$U112)="","",INDEX('MiT Strom Pipeline'!$H:$H,$U112)))</f>
        <v/>
      </c>
      <c r="F112" s="24" t="str">
        <f>IF($U112="","",IF(INDEX('MiT Strom Pipeline'!$E:$E,$U112)="","",INDEX('MiT Strom Pipeline'!$E:$E,$U112)))</f>
        <v/>
      </c>
      <c r="G112" s="25" t="str">
        <f>IF($U112="","",IF(ISNUMBER(INDEX('MiT Strom Pipeline'!$I:$I,$U112)),INDEX('MiT Strom Pipeline'!$I:$I,$U112),0))</f>
        <v/>
      </c>
      <c r="H112" s="25" t="str">
        <f>IF($U112="","",IF(ISNUMBER(INDEX('MiT Strom Pipeline'!$Q:$Q,$U112)),INDEX('MiT Strom Pipeline'!$Q:$Q,$U112),0))</f>
        <v/>
      </c>
      <c r="I112" s="25" t="str">
        <f>IF($U112="","",IF(ISNUMBER(INDEX('MiT Strom Pipeline'!$O:$O,$U112)),INDEX('MiT Strom Pipeline'!$O:$O,$U112),0))</f>
        <v/>
      </c>
      <c r="J112" s="24" t="str">
        <f>IF($U112="","",INDEX('MiT Strom Pipeline'!$R:$R,$U112))</f>
        <v/>
      </c>
      <c r="K112" s="26" t="str">
        <f>IF($U112="","",IF(ISNUMBER(INDEX('MiT Strom Pipeline'!$S:$S,$U112)),INDEX('MiT Strom Pipeline'!$S:$S,$U112),""))</f>
        <v/>
      </c>
      <c r="L112" s="24" t="str">
        <f>IF($U112="","",IF(LEN(INDEX('MiT Strom Pipeline'!$V:$V,$U112))&gt;0,LEFT(INDEX('MiT Strom Pipeline'!$V:$V,$U112),55),""))</f>
        <v/>
      </c>
      <c r="M112" s="19"/>
      <c r="N112" s="19"/>
      <c r="O112" s="19"/>
      <c r="P112" s="19"/>
      <c r="Q112" s="19"/>
      <c r="R112" s="19"/>
      <c r="S112" s="19"/>
      <c r="U112" t="str">
        <f>IFERROR(MATCH(38,'MiT Strom Pipeline'!$AC$6:$AC$860,0)+5,"")</f>
        <v/>
      </c>
    </row>
    <row r="113" spans="1:21" ht="15.75" customHeight="1">
      <c r="A113" s="23" t="str">
        <f>IF($U113="","",IF(ISNUMBER(INDEX('MiT Strom Pipeline'!$A:$A,$U113)),INDEX('MiT Strom Pipeline'!$A:$A,$U113),""))</f>
        <v/>
      </c>
      <c r="B113" s="24" t="str">
        <f>IF($U113="","",IF(INDEX('MiT Strom Pipeline'!$B:$B,$U113)="","",INDEX('MiT Strom Pipeline'!$B:$B,$U113)))</f>
        <v/>
      </c>
      <c r="C113" s="24" t="str">
        <f>IF($U113="","",IF(INDEX('MiT Strom Pipeline'!$C:$C,$U113)="","",INDEX('MiT Strom Pipeline'!$C:$C,$U113)))</f>
        <v/>
      </c>
      <c r="D113" s="24" t="str">
        <f>IF($U113="","",IF(INDEX('MiT Strom Pipeline'!$D:$D,$U113)="","",INDEX('MiT Strom Pipeline'!$D:$D,$U113)))</f>
        <v/>
      </c>
      <c r="E113" s="24" t="str">
        <f>IF($U113="","",IF(INDEX('MiT Strom Pipeline'!$H:$H,$U113)="","",INDEX('MiT Strom Pipeline'!$H:$H,$U113)))</f>
        <v/>
      </c>
      <c r="F113" s="24" t="str">
        <f>IF($U113="","",IF(INDEX('MiT Strom Pipeline'!$E:$E,$U113)="","",INDEX('MiT Strom Pipeline'!$E:$E,$U113)))</f>
        <v/>
      </c>
      <c r="G113" s="25" t="str">
        <f>IF($U113="","",IF(ISNUMBER(INDEX('MiT Strom Pipeline'!$I:$I,$U113)),INDEX('MiT Strom Pipeline'!$I:$I,$U113),0))</f>
        <v/>
      </c>
      <c r="H113" s="25" t="str">
        <f>IF($U113="","",IF(ISNUMBER(INDEX('MiT Strom Pipeline'!$Q:$Q,$U113)),INDEX('MiT Strom Pipeline'!$Q:$Q,$U113),0))</f>
        <v/>
      </c>
      <c r="I113" s="25" t="str">
        <f>IF($U113="","",IF(ISNUMBER(INDEX('MiT Strom Pipeline'!$O:$O,$U113)),INDEX('MiT Strom Pipeline'!$O:$O,$U113),0))</f>
        <v/>
      </c>
      <c r="J113" s="24" t="str">
        <f>IF($U113="","",INDEX('MiT Strom Pipeline'!$R:$R,$U113))</f>
        <v/>
      </c>
      <c r="K113" s="26" t="str">
        <f>IF($U113="","",IF(ISNUMBER(INDEX('MiT Strom Pipeline'!$S:$S,$U113)),INDEX('MiT Strom Pipeline'!$S:$S,$U113),""))</f>
        <v/>
      </c>
      <c r="L113" s="24" t="str">
        <f>IF($U113="","",IF(LEN(INDEX('MiT Strom Pipeline'!$V:$V,$U113))&gt;0,LEFT(INDEX('MiT Strom Pipeline'!$V:$V,$U113),55),""))</f>
        <v/>
      </c>
      <c r="M113" s="19"/>
      <c r="N113" s="19"/>
      <c r="O113" s="19"/>
      <c r="P113" s="19"/>
      <c r="Q113" s="19"/>
      <c r="R113" s="19"/>
      <c r="S113" s="19"/>
      <c r="U113" t="str">
        <f>IFERROR(MATCH(39,'MiT Strom Pipeline'!$AC$6:$AC$860,0)+5,"")</f>
        <v/>
      </c>
    </row>
    <row r="114" spans="1:21" ht="15.75" customHeight="1">
      <c r="A114" s="23" t="str">
        <f>IF($U114="","",IF(ISNUMBER(INDEX('MiT Strom Pipeline'!$A:$A,$U114)),INDEX('MiT Strom Pipeline'!$A:$A,$U114),""))</f>
        <v/>
      </c>
      <c r="B114" s="24" t="str">
        <f>IF($U114="","",IF(INDEX('MiT Strom Pipeline'!$B:$B,$U114)="","",INDEX('MiT Strom Pipeline'!$B:$B,$U114)))</f>
        <v/>
      </c>
      <c r="C114" s="24" t="str">
        <f>IF($U114="","",IF(INDEX('MiT Strom Pipeline'!$C:$C,$U114)="","",INDEX('MiT Strom Pipeline'!$C:$C,$U114)))</f>
        <v/>
      </c>
      <c r="D114" s="24" t="str">
        <f>IF($U114="","",IF(INDEX('MiT Strom Pipeline'!$D:$D,$U114)="","",INDEX('MiT Strom Pipeline'!$D:$D,$U114)))</f>
        <v/>
      </c>
      <c r="E114" s="27" t="str">
        <f>IF($U114="","",IF(INDEX('MiT Strom Pipeline'!$H:$H,$U114)="","",INDEX('MiT Strom Pipeline'!$H:$H,$U114)))</f>
        <v/>
      </c>
      <c r="F114" s="24" t="str">
        <f>IF($U114="","",IF(INDEX('MiT Strom Pipeline'!$E:$E,$U114)="","",INDEX('MiT Strom Pipeline'!$E:$E,$U114)))</f>
        <v/>
      </c>
      <c r="G114" s="25" t="str">
        <f>IF($U114="","",IF(ISNUMBER(INDEX('MiT Strom Pipeline'!$I:$I,$U114)),INDEX('MiT Strom Pipeline'!$I:$I,$U114),0))</f>
        <v/>
      </c>
      <c r="H114" s="25" t="str">
        <f>IF($U114="","",IF(ISNUMBER(INDEX('MiT Strom Pipeline'!$Q:$Q,$U114)),INDEX('MiT Strom Pipeline'!$Q:$Q,$U114),0))</f>
        <v/>
      </c>
      <c r="I114" s="25" t="str">
        <f>IF($U114="","",IF(ISNUMBER(INDEX('MiT Strom Pipeline'!$O:$O,$U114)),INDEX('MiT Strom Pipeline'!$O:$O,$U114),0))</f>
        <v/>
      </c>
      <c r="J114" s="24" t="str">
        <f>IF($U114="","",INDEX('MiT Strom Pipeline'!$R:$R,$U114))</f>
        <v/>
      </c>
      <c r="K114" s="26" t="str">
        <f>IF($U114="","",IF(ISNUMBER(INDEX('MiT Strom Pipeline'!$S:$S,$U114)),INDEX('MiT Strom Pipeline'!$S:$S,$U114),""))</f>
        <v/>
      </c>
      <c r="L114" s="24" t="str">
        <f>IF($U114="","",IF(LEN(INDEX('MiT Strom Pipeline'!$V:$V,$U114))&gt;0,LEFT(INDEX('MiT Strom Pipeline'!$V:$V,$U114),55),""))</f>
        <v/>
      </c>
      <c r="M114" s="19"/>
      <c r="N114" s="19"/>
      <c r="O114" s="19"/>
      <c r="P114" s="19"/>
      <c r="Q114" s="19"/>
      <c r="R114" s="19"/>
      <c r="S114" s="19"/>
      <c r="U114" t="str">
        <f>IFERROR(MATCH(40,'MiT Strom Pipeline'!$AC$6:$AC$860,0)+5,"")</f>
        <v/>
      </c>
    </row>
    <row r="115" spans="1:21" ht="15.75" customHeight="1">
      <c r="A115" s="23" t="str">
        <f>IF($U115="","",IF(ISNUMBER(INDEX('MiT Strom Pipeline'!$A:$A,$U115)),INDEX('MiT Strom Pipeline'!$A:$A,$U115),""))</f>
        <v/>
      </c>
      <c r="B115" s="24" t="str">
        <f>IF($U115="","",IF(INDEX('MiT Strom Pipeline'!$B:$B,$U115)="","",INDEX('MiT Strom Pipeline'!$B:$B,$U115)))</f>
        <v/>
      </c>
      <c r="C115" s="24" t="str">
        <f>IF($U115="","",IF(INDEX('MiT Strom Pipeline'!$C:$C,$U115)="","",INDEX('MiT Strom Pipeline'!$C:$C,$U115)))</f>
        <v/>
      </c>
      <c r="D115" s="24" t="str">
        <f>IF($U115="","",IF(INDEX('MiT Strom Pipeline'!$D:$D,$U115)="","",INDEX('MiT Strom Pipeline'!$D:$D,$U115)))</f>
        <v/>
      </c>
      <c r="E115" s="24" t="str">
        <f>IF($U115="","",IF(INDEX('MiT Strom Pipeline'!$H:$H,$U115)="","",INDEX('MiT Strom Pipeline'!$H:$H,$U115)))</f>
        <v/>
      </c>
      <c r="F115" s="24" t="str">
        <f>IF($U115="","",IF(INDEX('MiT Strom Pipeline'!$E:$E,$U115)="","",INDEX('MiT Strom Pipeline'!$E:$E,$U115)))</f>
        <v/>
      </c>
      <c r="G115" s="25" t="str">
        <f>IF($U115="","",IF(ISNUMBER(INDEX('MiT Strom Pipeline'!$I:$I,$U115)),INDEX('MiT Strom Pipeline'!$I:$I,$U115),0))</f>
        <v/>
      </c>
      <c r="H115" s="25" t="str">
        <f>IF($U115="","",IF(ISNUMBER(INDEX('MiT Strom Pipeline'!$Q:$Q,$U115)),INDEX('MiT Strom Pipeline'!$Q:$Q,$U115),0))</f>
        <v/>
      </c>
      <c r="I115" s="25" t="str">
        <f>IF($U115="","",IF(ISNUMBER(INDEX('MiT Strom Pipeline'!$O:$O,$U115)),INDEX('MiT Strom Pipeline'!$O:$O,$U115),0))</f>
        <v/>
      </c>
      <c r="J115" s="24" t="str">
        <f>IF($U115="","",INDEX('MiT Strom Pipeline'!$R:$R,$U115))</f>
        <v/>
      </c>
      <c r="K115" s="26" t="str">
        <f>IF($U115="","",IF(ISNUMBER(INDEX('MiT Strom Pipeline'!$S:$S,$U115)),INDEX('MiT Strom Pipeline'!$S:$S,$U115),""))</f>
        <v/>
      </c>
      <c r="L115" s="24" t="str">
        <f>IF($U115="","",IF(LEN(INDEX('MiT Strom Pipeline'!$V:$V,$U115))&gt;0,LEFT(INDEX('MiT Strom Pipeline'!$V:$V,$U115),55),""))</f>
        <v/>
      </c>
      <c r="M115" s="19"/>
      <c r="N115" s="19"/>
      <c r="O115" s="19"/>
      <c r="P115" s="19"/>
      <c r="Q115" s="19"/>
      <c r="R115" s="19"/>
      <c r="S115" s="19"/>
      <c r="U115" t="str">
        <f>IFERROR(MATCH(41,'MiT Strom Pipeline'!$AC$6:$AC$860,0)+5,"")</f>
        <v/>
      </c>
    </row>
    <row r="116" spans="1:21" ht="15.75" customHeight="1">
      <c r="A116" s="23" t="str">
        <f>IF($U116="","",IF(ISNUMBER(INDEX('MiT Strom Pipeline'!$A:$A,$U116)),INDEX('MiT Strom Pipeline'!$A:$A,$U116),""))</f>
        <v/>
      </c>
      <c r="B116" s="24" t="str">
        <f>IF($U116="","",IF(INDEX('MiT Strom Pipeline'!$B:$B,$U116)="","",INDEX('MiT Strom Pipeline'!$B:$B,$U116)))</f>
        <v/>
      </c>
      <c r="C116" s="24" t="str">
        <f>IF($U116="","",IF(INDEX('MiT Strom Pipeline'!$C:$C,$U116)="","",INDEX('MiT Strom Pipeline'!$C:$C,$U116)))</f>
        <v/>
      </c>
      <c r="D116" s="24" t="str">
        <f>IF($U116="","",IF(INDEX('MiT Strom Pipeline'!$D:$D,$U116)="","",INDEX('MiT Strom Pipeline'!$D:$D,$U116)))</f>
        <v/>
      </c>
      <c r="E116" s="27" t="str">
        <f>IF($U116="","",IF(INDEX('MiT Strom Pipeline'!$H:$H,$U116)="","",INDEX('MiT Strom Pipeline'!$H:$H,$U116)))</f>
        <v/>
      </c>
      <c r="F116" s="24" t="str">
        <f>IF($U116="","",IF(INDEX('MiT Strom Pipeline'!$E:$E,$U116)="","",INDEX('MiT Strom Pipeline'!$E:$E,$U116)))</f>
        <v/>
      </c>
      <c r="G116" s="25" t="str">
        <f>IF($U116="","",IF(ISNUMBER(INDEX('MiT Strom Pipeline'!$I:$I,$U116)),INDEX('MiT Strom Pipeline'!$I:$I,$U116),0))</f>
        <v/>
      </c>
      <c r="H116" s="25" t="str">
        <f>IF($U116="","",IF(ISNUMBER(INDEX('MiT Strom Pipeline'!$Q:$Q,$U116)),INDEX('MiT Strom Pipeline'!$Q:$Q,$U116),0))</f>
        <v/>
      </c>
      <c r="I116" s="25" t="str">
        <f>IF($U116="","",IF(ISNUMBER(INDEX('MiT Strom Pipeline'!$O:$O,$U116)),INDEX('MiT Strom Pipeline'!$O:$O,$U116),0))</f>
        <v/>
      </c>
      <c r="J116" s="24" t="str">
        <f>IF($U116="","",INDEX('MiT Strom Pipeline'!$R:$R,$U116))</f>
        <v/>
      </c>
      <c r="K116" s="26" t="str">
        <f>IF($U116="","",IF(ISNUMBER(INDEX('MiT Strom Pipeline'!$S:$S,$U116)),INDEX('MiT Strom Pipeline'!$S:$S,$U116),""))</f>
        <v/>
      </c>
      <c r="L116" s="24" t="str">
        <f>IF($U116="","",IF(LEN(INDEX('MiT Strom Pipeline'!$V:$V,$U116))&gt;0,LEFT(INDEX('MiT Strom Pipeline'!$V:$V,$U116),55),""))</f>
        <v/>
      </c>
      <c r="M116" s="19"/>
      <c r="N116" s="19"/>
      <c r="O116" s="19"/>
      <c r="P116" s="19"/>
      <c r="Q116" s="19"/>
      <c r="R116" s="19"/>
      <c r="S116" s="19"/>
      <c r="U116" t="str">
        <f>IFERROR(MATCH(42,'MiT Strom Pipeline'!$AC$6:$AC$860,0)+5,"")</f>
        <v/>
      </c>
    </row>
    <row r="117" spans="1:21" ht="15.75" customHeight="1">
      <c r="A117" s="23" t="str">
        <f>IF($U117="","",IF(ISNUMBER(INDEX('MiT Strom Pipeline'!$A:$A,$U117)),INDEX('MiT Strom Pipeline'!$A:$A,$U117),""))</f>
        <v/>
      </c>
      <c r="B117" s="24" t="str">
        <f>IF($U117="","",IF(INDEX('MiT Strom Pipeline'!$B:$B,$U117)="","",INDEX('MiT Strom Pipeline'!$B:$B,$U117)))</f>
        <v/>
      </c>
      <c r="C117" s="24" t="str">
        <f>IF($U117="","",IF(INDEX('MiT Strom Pipeline'!$C:$C,$U117)="","",INDEX('MiT Strom Pipeline'!$C:$C,$U117)))</f>
        <v/>
      </c>
      <c r="D117" s="24" t="str">
        <f>IF($U117="","",IF(INDEX('MiT Strom Pipeline'!$D:$D,$U117)="","",INDEX('MiT Strom Pipeline'!$D:$D,$U117)))</f>
        <v/>
      </c>
      <c r="E117" s="24" t="str">
        <f>IF($U117="","",IF(INDEX('MiT Strom Pipeline'!$H:$H,$U117)="","",INDEX('MiT Strom Pipeline'!$H:$H,$U117)))</f>
        <v/>
      </c>
      <c r="F117" s="24" t="str">
        <f>IF($U117="","",IF(INDEX('MiT Strom Pipeline'!$E:$E,$U117)="","",INDEX('MiT Strom Pipeline'!$E:$E,$U117)))</f>
        <v/>
      </c>
      <c r="G117" s="25" t="str">
        <f>IF($U117="","",IF(ISNUMBER(INDEX('MiT Strom Pipeline'!$I:$I,$U117)),INDEX('MiT Strom Pipeline'!$I:$I,$U117),0))</f>
        <v/>
      </c>
      <c r="H117" s="25" t="str">
        <f>IF($U117="","",IF(ISNUMBER(INDEX('MiT Strom Pipeline'!$Q:$Q,$U117)),INDEX('MiT Strom Pipeline'!$Q:$Q,$U117),0))</f>
        <v/>
      </c>
      <c r="I117" s="25" t="str">
        <f>IF($U117="","",IF(ISNUMBER(INDEX('MiT Strom Pipeline'!$O:$O,$U117)),INDEX('MiT Strom Pipeline'!$O:$O,$U117),0))</f>
        <v/>
      </c>
      <c r="J117" s="24" t="str">
        <f>IF($U117="","",INDEX('MiT Strom Pipeline'!$R:$R,$U117))</f>
        <v/>
      </c>
      <c r="K117" s="26" t="str">
        <f>IF($U117="","",IF(ISNUMBER(INDEX('MiT Strom Pipeline'!$S:$S,$U117)),INDEX('MiT Strom Pipeline'!$S:$S,$U117),""))</f>
        <v/>
      </c>
      <c r="L117" s="24" t="str">
        <f>IF($U117="","",IF(LEN(INDEX('MiT Strom Pipeline'!$V:$V,$U117))&gt;0,LEFT(INDEX('MiT Strom Pipeline'!$V:$V,$U117),55),""))</f>
        <v/>
      </c>
      <c r="M117" s="19"/>
      <c r="N117" s="19"/>
      <c r="O117" s="19"/>
      <c r="P117" s="19"/>
      <c r="Q117" s="19"/>
      <c r="R117" s="19"/>
      <c r="S117" s="19"/>
      <c r="U117" t="str">
        <f>IFERROR(MATCH(43,'MiT Strom Pipeline'!$AC$6:$AC$860,0)+5,"")</f>
        <v/>
      </c>
    </row>
    <row r="118" spans="1:21" ht="15.75" customHeight="1">
      <c r="A118" s="23" t="str">
        <f>IF($U118="","",IF(ISNUMBER(INDEX('MiT Strom Pipeline'!$A:$A,$U118)),INDEX('MiT Strom Pipeline'!$A:$A,$U118),""))</f>
        <v/>
      </c>
      <c r="B118" s="24" t="str">
        <f>IF($U118="","",IF(INDEX('MiT Strom Pipeline'!$B:$B,$U118)="","",INDEX('MiT Strom Pipeline'!$B:$B,$U118)))</f>
        <v/>
      </c>
      <c r="C118" s="24" t="str">
        <f>IF($U118="","",IF(INDEX('MiT Strom Pipeline'!$C:$C,$U118)="","",INDEX('MiT Strom Pipeline'!$C:$C,$U118)))</f>
        <v/>
      </c>
      <c r="D118" s="24" t="str">
        <f>IF($U118="","",IF(INDEX('MiT Strom Pipeline'!$D:$D,$U118)="","",INDEX('MiT Strom Pipeline'!$D:$D,$U118)))</f>
        <v/>
      </c>
      <c r="E118" s="24" t="str">
        <f>IF($U118="","",IF(INDEX('MiT Strom Pipeline'!$H:$H,$U118)="","",INDEX('MiT Strom Pipeline'!$H:$H,$U118)))</f>
        <v/>
      </c>
      <c r="F118" s="24" t="str">
        <f>IF($U118="","",IF(INDEX('MiT Strom Pipeline'!$E:$E,$U118)="","",INDEX('MiT Strom Pipeline'!$E:$E,$U118)))</f>
        <v/>
      </c>
      <c r="G118" s="25" t="str">
        <f>IF($U118="","",IF(ISNUMBER(INDEX('MiT Strom Pipeline'!$I:$I,$U118)),INDEX('MiT Strom Pipeline'!$I:$I,$U118),0))</f>
        <v/>
      </c>
      <c r="H118" s="25" t="str">
        <f>IF($U118="","",IF(ISNUMBER(INDEX('MiT Strom Pipeline'!$Q:$Q,$U118)),INDEX('MiT Strom Pipeline'!$Q:$Q,$U118),0))</f>
        <v/>
      </c>
      <c r="I118" s="25" t="str">
        <f>IF($U118="","",IF(ISNUMBER(INDEX('MiT Strom Pipeline'!$O:$O,$U118)),INDEX('MiT Strom Pipeline'!$O:$O,$U118),0))</f>
        <v/>
      </c>
      <c r="J118" s="24" t="str">
        <f>IF($U118="","",INDEX('MiT Strom Pipeline'!$R:$R,$U118))</f>
        <v/>
      </c>
      <c r="K118" s="26" t="str">
        <f>IF($U118="","",IF(ISNUMBER(INDEX('MiT Strom Pipeline'!$S:$S,$U118)),INDEX('MiT Strom Pipeline'!$S:$S,$U118),""))</f>
        <v/>
      </c>
      <c r="L118" s="24" t="str">
        <f>IF($U118="","",IF(LEN(INDEX('MiT Strom Pipeline'!$V:$V,$U118))&gt;0,LEFT(INDEX('MiT Strom Pipeline'!$V:$V,$U118),55),""))</f>
        <v/>
      </c>
      <c r="M118" s="19"/>
      <c r="N118" s="19"/>
      <c r="O118" s="19"/>
      <c r="P118" s="19"/>
      <c r="Q118" s="19"/>
      <c r="R118" s="19"/>
      <c r="S118" s="19"/>
      <c r="U118" t="str">
        <f>IFERROR(MATCH(44,'MiT Strom Pipeline'!$AC$6:$AC$860,0)+5,"")</f>
        <v/>
      </c>
    </row>
    <row r="119" spans="1:21" ht="15.75" customHeight="1">
      <c r="A119" s="23" t="str">
        <f>IF($U119="","",IF(ISNUMBER(INDEX('MiT Strom Pipeline'!$A:$A,$U119)),INDEX('MiT Strom Pipeline'!$A:$A,$U119),""))</f>
        <v/>
      </c>
      <c r="B119" s="24" t="str">
        <f>IF($U119="","",IF(INDEX('MiT Strom Pipeline'!$B:$B,$U119)="","",INDEX('MiT Strom Pipeline'!$B:$B,$U119)))</f>
        <v/>
      </c>
      <c r="C119" s="24" t="str">
        <f>IF($U119="","",IF(INDEX('MiT Strom Pipeline'!$C:$C,$U119)="","",INDEX('MiT Strom Pipeline'!$C:$C,$U119)))</f>
        <v/>
      </c>
      <c r="D119" s="24" t="str">
        <f>IF($U119="","",IF(INDEX('MiT Strom Pipeline'!$D:$D,$U119)="","",INDEX('MiT Strom Pipeline'!$D:$D,$U119)))</f>
        <v/>
      </c>
      <c r="E119" s="24" t="str">
        <f>IF($U119="","",IF(INDEX('MiT Strom Pipeline'!$H:$H,$U119)="","",INDEX('MiT Strom Pipeline'!$H:$H,$U119)))</f>
        <v/>
      </c>
      <c r="F119" s="24" t="str">
        <f>IF($U119="","",IF(INDEX('MiT Strom Pipeline'!$E:$E,$U119)="","",INDEX('MiT Strom Pipeline'!$E:$E,$U119)))</f>
        <v/>
      </c>
      <c r="G119" s="25" t="str">
        <f>IF($U119="","",IF(ISNUMBER(INDEX('MiT Strom Pipeline'!$I:$I,$U119)),INDEX('MiT Strom Pipeline'!$I:$I,$U119),0))</f>
        <v/>
      </c>
      <c r="H119" s="25" t="str">
        <f>IF($U119="","",IF(ISNUMBER(INDEX('MiT Strom Pipeline'!$Q:$Q,$U119)),INDEX('MiT Strom Pipeline'!$Q:$Q,$U119),0))</f>
        <v/>
      </c>
      <c r="I119" s="25" t="str">
        <f>IF($U119="","",IF(ISNUMBER(INDEX('MiT Strom Pipeline'!$O:$O,$U119)),INDEX('MiT Strom Pipeline'!$O:$O,$U119),0))</f>
        <v/>
      </c>
      <c r="J119" s="24" t="str">
        <f>IF($U119="","",INDEX('MiT Strom Pipeline'!$R:$R,$U119))</f>
        <v/>
      </c>
      <c r="K119" s="26" t="str">
        <f>IF($U119="","",IF(ISNUMBER(INDEX('MiT Strom Pipeline'!$S:$S,$U119)),INDEX('MiT Strom Pipeline'!$S:$S,$U119),""))</f>
        <v/>
      </c>
      <c r="L119" s="24" t="str">
        <f>IF($U119="","",IF(LEN(INDEX('MiT Strom Pipeline'!$V:$V,$U119))&gt;0,LEFT(INDEX('MiT Strom Pipeline'!$V:$V,$U119),55),""))</f>
        <v/>
      </c>
      <c r="M119" s="19"/>
      <c r="N119" s="19"/>
      <c r="O119" s="19"/>
      <c r="P119" s="19"/>
      <c r="Q119" s="19"/>
      <c r="R119" s="19"/>
      <c r="S119" s="19"/>
      <c r="U119" t="str">
        <f>IFERROR(MATCH(45,'MiT Strom Pipeline'!$AC$6:$AC$860,0)+5,"")</f>
        <v/>
      </c>
    </row>
    <row r="120" spans="1:21" ht="15.75" customHeight="1">
      <c r="A120" s="23" t="str">
        <f>IF($U120="","",IF(ISNUMBER(INDEX('MiT Strom Pipeline'!$A:$A,$U120)),INDEX('MiT Strom Pipeline'!$A:$A,$U120),""))</f>
        <v/>
      </c>
      <c r="B120" s="24" t="str">
        <f>IF($U120="","",IF(INDEX('MiT Strom Pipeline'!$B:$B,$U120)="","",INDEX('MiT Strom Pipeline'!$B:$B,$U120)))</f>
        <v/>
      </c>
      <c r="C120" s="24" t="str">
        <f>IF($U120="","",IF(INDEX('MiT Strom Pipeline'!$C:$C,$U120)="","",INDEX('MiT Strom Pipeline'!$C:$C,$U120)))</f>
        <v/>
      </c>
      <c r="D120" s="24" t="str">
        <f>IF($U120="","",IF(INDEX('MiT Strom Pipeline'!$D:$D,$U120)="","",INDEX('MiT Strom Pipeline'!$D:$D,$U120)))</f>
        <v/>
      </c>
      <c r="E120" s="24" t="str">
        <f>IF($U120="","",IF(INDEX('MiT Strom Pipeline'!$H:$H,$U120)="","",INDEX('MiT Strom Pipeline'!$H:$H,$U120)))</f>
        <v/>
      </c>
      <c r="F120" s="24" t="str">
        <f>IF($U120="","",IF(INDEX('MiT Strom Pipeline'!$E:$E,$U120)="","",INDEX('MiT Strom Pipeline'!$E:$E,$U120)))</f>
        <v/>
      </c>
      <c r="G120" s="25" t="str">
        <f>IF($U120="","",IF(ISNUMBER(INDEX('MiT Strom Pipeline'!$I:$I,$U120)),INDEX('MiT Strom Pipeline'!$I:$I,$U120),0))</f>
        <v/>
      </c>
      <c r="H120" s="25" t="str">
        <f>IF($U120="","",IF(ISNUMBER(INDEX('MiT Strom Pipeline'!$Q:$Q,$U120)),INDEX('MiT Strom Pipeline'!$Q:$Q,$U120),0))</f>
        <v/>
      </c>
      <c r="I120" s="25" t="str">
        <f>IF($U120="","",IF(ISNUMBER(INDEX('MiT Strom Pipeline'!$O:$O,$U120)),INDEX('MiT Strom Pipeline'!$O:$O,$U120),0))</f>
        <v/>
      </c>
      <c r="J120" s="24" t="str">
        <f>IF($U120="","",INDEX('MiT Strom Pipeline'!$R:$R,$U120))</f>
        <v/>
      </c>
      <c r="K120" s="26" t="str">
        <f>IF($U120="","",IF(ISNUMBER(INDEX('MiT Strom Pipeline'!$S:$S,$U120)),INDEX('MiT Strom Pipeline'!$S:$S,$U120),""))</f>
        <v/>
      </c>
      <c r="L120" s="24" t="str">
        <f>IF($U120="","",IF(LEN(INDEX('MiT Strom Pipeline'!$V:$V,$U120))&gt;0,LEFT(INDEX('MiT Strom Pipeline'!$V:$V,$U120),55),""))</f>
        <v/>
      </c>
      <c r="M120" s="19"/>
      <c r="N120" s="19"/>
      <c r="O120" s="19"/>
      <c r="P120" s="19"/>
      <c r="Q120" s="19"/>
      <c r="R120" s="19"/>
      <c r="S120" s="19"/>
      <c r="U120" t="str">
        <f>IFERROR(MATCH(46,'MiT Strom Pipeline'!$AC$6:$AC$860,0)+5,"")</f>
        <v/>
      </c>
    </row>
    <row r="121" spans="1:21" ht="15.75" customHeight="1">
      <c r="A121" s="23" t="str">
        <f>IF($U121="","",IF(ISNUMBER(INDEX('MiT Strom Pipeline'!$A:$A,$U121)),INDEX('MiT Strom Pipeline'!$A:$A,$U121),""))</f>
        <v/>
      </c>
      <c r="B121" s="24" t="str">
        <f>IF($U121="","",IF(INDEX('MiT Strom Pipeline'!$B:$B,$U121)="","",INDEX('MiT Strom Pipeline'!$B:$B,$U121)))</f>
        <v/>
      </c>
      <c r="C121" s="24" t="str">
        <f>IF($U121="","",IF(INDEX('MiT Strom Pipeline'!$C:$C,$U121)="","",INDEX('MiT Strom Pipeline'!$C:$C,$U121)))</f>
        <v/>
      </c>
      <c r="D121" s="24" t="str">
        <f>IF($U121="","",IF(INDEX('MiT Strom Pipeline'!$D:$D,$U121)="","",INDEX('MiT Strom Pipeline'!$D:$D,$U121)))</f>
        <v/>
      </c>
      <c r="E121" s="24" t="str">
        <f>IF($U121="","",IF(INDEX('MiT Strom Pipeline'!$H:$H,$U121)="","",INDEX('MiT Strom Pipeline'!$H:$H,$U121)))</f>
        <v/>
      </c>
      <c r="F121" s="24" t="str">
        <f>IF($U121="","",IF(INDEX('MiT Strom Pipeline'!$E:$E,$U121)="","",INDEX('MiT Strom Pipeline'!$E:$E,$U121)))</f>
        <v/>
      </c>
      <c r="G121" s="25" t="str">
        <f>IF($U121="","",IF(ISNUMBER(INDEX('MiT Strom Pipeline'!$I:$I,$U121)),INDEX('MiT Strom Pipeline'!$I:$I,$U121),0))</f>
        <v/>
      </c>
      <c r="H121" s="25" t="str">
        <f>IF($U121="","",IF(ISNUMBER(INDEX('MiT Strom Pipeline'!$Q:$Q,$U121)),INDEX('MiT Strom Pipeline'!$Q:$Q,$U121),0))</f>
        <v/>
      </c>
      <c r="I121" s="25" t="str">
        <f>IF($U121="","",IF(ISNUMBER(INDEX('MiT Strom Pipeline'!$O:$O,$U121)),INDEX('MiT Strom Pipeline'!$O:$O,$U121),0))</f>
        <v/>
      </c>
      <c r="J121" s="24" t="str">
        <f>IF($U121="","",INDEX('MiT Strom Pipeline'!$R:$R,$U121))</f>
        <v/>
      </c>
      <c r="K121" s="26" t="str">
        <f>IF($U121="","",IF(ISNUMBER(INDEX('MiT Strom Pipeline'!$S:$S,$U121)),INDEX('MiT Strom Pipeline'!$S:$S,$U121),""))</f>
        <v/>
      </c>
      <c r="L121" s="24" t="str">
        <f>IF($U121="","",IF(LEN(INDEX('MiT Strom Pipeline'!$V:$V,$U121))&gt;0,LEFT(INDEX('MiT Strom Pipeline'!$V:$V,$U121),55),""))</f>
        <v/>
      </c>
      <c r="M121" s="19"/>
      <c r="N121" s="19"/>
      <c r="O121" s="19"/>
      <c r="P121" s="19"/>
      <c r="Q121" s="19"/>
      <c r="R121" s="19"/>
      <c r="S121" s="19"/>
      <c r="U121" t="str">
        <f>IFERROR(MATCH(47,'MiT Strom Pipeline'!$AC$6:$AC$860,0)+5,"")</f>
        <v/>
      </c>
    </row>
    <row r="122" spans="1:21" ht="15.75" customHeight="1">
      <c r="A122" s="23" t="str">
        <f>IF($U122="","",IF(ISNUMBER(INDEX('MiT Strom Pipeline'!$A:$A,$U122)),INDEX('MiT Strom Pipeline'!$A:$A,$U122),""))</f>
        <v/>
      </c>
      <c r="B122" s="24" t="str">
        <f>IF($U122="","",IF(INDEX('MiT Strom Pipeline'!$B:$B,$U122)="","",INDEX('MiT Strom Pipeline'!$B:$B,$U122)))</f>
        <v/>
      </c>
      <c r="C122" s="24" t="str">
        <f>IF($U122="","",IF(INDEX('MiT Strom Pipeline'!$C:$C,$U122)="","",INDEX('MiT Strom Pipeline'!$C:$C,$U122)))</f>
        <v/>
      </c>
      <c r="D122" s="24" t="str">
        <f>IF($U122="","",IF(INDEX('MiT Strom Pipeline'!$D:$D,$U122)="","",INDEX('MiT Strom Pipeline'!$D:$D,$U122)))</f>
        <v/>
      </c>
      <c r="E122" s="24" t="str">
        <f>IF($U122="","",IF(INDEX('MiT Strom Pipeline'!$H:$H,$U122)="","",INDEX('MiT Strom Pipeline'!$H:$H,$U122)))</f>
        <v/>
      </c>
      <c r="F122" s="24" t="str">
        <f>IF($U122="","",IF(INDEX('MiT Strom Pipeline'!$E:$E,$U122)="","",INDEX('MiT Strom Pipeline'!$E:$E,$U122)))</f>
        <v/>
      </c>
      <c r="G122" s="25" t="str">
        <f>IF($U122="","",IF(ISNUMBER(INDEX('MiT Strom Pipeline'!$I:$I,$U122)),INDEX('MiT Strom Pipeline'!$I:$I,$U122),0))</f>
        <v/>
      </c>
      <c r="H122" s="25" t="str">
        <f>IF($U122="","",IF(ISNUMBER(INDEX('MiT Strom Pipeline'!$Q:$Q,$U122)),INDEX('MiT Strom Pipeline'!$Q:$Q,$U122),0))</f>
        <v/>
      </c>
      <c r="I122" s="25" t="str">
        <f>IF($U122="","",IF(ISNUMBER(INDEX('MiT Strom Pipeline'!$O:$O,$U122)),INDEX('MiT Strom Pipeline'!$O:$O,$U122),0))</f>
        <v/>
      </c>
      <c r="J122" s="24" t="str">
        <f>IF($U122="","",INDEX('MiT Strom Pipeline'!$R:$R,$U122))</f>
        <v/>
      </c>
      <c r="K122" s="26" t="str">
        <f>IF($U122="","",IF(ISNUMBER(INDEX('MiT Strom Pipeline'!$S:$S,$U122)),INDEX('MiT Strom Pipeline'!$S:$S,$U122),""))</f>
        <v/>
      </c>
      <c r="L122" s="24" t="str">
        <f>IF($U122="","",IF(LEN(INDEX('MiT Strom Pipeline'!$V:$V,$U122))&gt;0,LEFT(INDEX('MiT Strom Pipeline'!$V:$V,$U122),55),""))</f>
        <v/>
      </c>
      <c r="M122" s="19"/>
      <c r="N122" s="19"/>
      <c r="O122" s="19"/>
      <c r="P122" s="19"/>
      <c r="Q122" s="19"/>
      <c r="R122" s="19"/>
      <c r="S122" s="19"/>
      <c r="U122" t="str">
        <f>IFERROR(MATCH(48,'MiT Strom Pipeline'!$AC$6:$AC$860,0)+5,"")</f>
        <v/>
      </c>
    </row>
    <row r="123" spans="1:21" ht="15.75" customHeight="1">
      <c r="A123" s="23" t="str">
        <f>IF($U123="","",IF(ISNUMBER(INDEX('MiT Strom Pipeline'!$A:$A,$U123)),INDEX('MiT Strom Pipeline'!$A:$A,$U123),""))</f>
        <v/>
      </c>
      <c r="B123" s="24" t="str">
        <f>IF($U123="","",IF(INDEX('MiT Strom Pipeline'!$B:$B,$U123)="","",INDEX('MiT Strom Pipeline'!$B:$B,$U123)))</f>
        <v/>
      </c>
      <c r="C123" s="24" t="str">
        <f>IF($U123="","",IF(INDEX('MiT Strom Pipeline'!$C:$C,$U123)="","",INDEX('MiT Strom Pipeline'!$C:$C,$U123)))</f>
        <v/>
      </c>
      <c r="D123" s="24" t="str">
        <f>IF($U123="","",IF(INDEX('MiT Strom Pipeline'!$D:$D,$U123)="","",INDEX('MiT Strom Pipeline'!$D:$D,$U123)))</f>
        <v/>
      </c>
      <c r="E123" s="24" t="str">
        <f>IF($U123="","",IF(INDEX('MiT Strom Pipeline'!$H:$H,$U123)="","",INDEX('MiT Strom Pipeline'!$H:$H,$U123)))</f>
        <v/>
      </c>
      <c r="F123" s="24" t="str">
        <f>IF($U123="","",IF(INDEX('MiT Strom Pipeline'!$E:$E,$U123)="","",INDEX('MiT Strom Pipeline'!$E:$E,$U123)))</f>
        <v/>
      </c>
      <c r="G123" s="25" t="str">
        <f>IF($U123="","",IF(ISNUMBER(INDEX('MiT Strom Pipeline'!$I:$I,$U123)),INDEX('MiT Strom Pipeline'!$I:$I,$U123),0))</f>
        <v/>
      </c>
      <c r="H123" s="25" t="str">
        <f>IF($U123="","",IF(ISNUMBER(INDEX('MiT Strom Pipeline'!$Q:$Q,$U123)),INDEX('MiT Strom Pipeline'!$Q:$Q,$U123),0))</f>
        <v/>
      </c>
      <c r="I123" s="25" t="str">
        <f>IF($U123="","",IF(ISNUMBER(INDEX('MiT Strom Pipeline'!$O:$O,$U123)),INDEX('MiT Strom Pipeline'!$O:$O,$U123),0))</f>
        <v/>
      </c>
      <c r="J123" s="24" t="str">
        <f>IF($U123="","",INDEX('MiT Strom Pipeline'!$R:$R,$U123))</f>
        <v/>
      </c>
      <c r="K123" s="26" t="str">
        <f>IF($U123="","",IF(ISNUMBER(INDEX('MiT Strom Pipeline'!$S:$S,$U123)),INDEX('MiT Strom Pipeline'!$S:$S,$U123),""))</f>
        <v/>
      </c>
      <c r="L123" s="24" t="str">
        <f>IF($U123="","",IF(LEN(INDEX('MiT Strom Pipeline'!$V:$V,$U123))&gt;0,LEFT(INDEX('MiT Strom Pipeline'!$V:$V,$U123),55),""))</f>
        <v/>
      </c>
      <c r="M123" s="19"/>
      <c r="N123" s="19"/>
      <c r="O123" s="19"/>
      <c r="P123" s="19"/>
      <c r="Q123" s="19"/>
      <c r="R123" s="19"/>
      <c r="S123" s="19"/>
      <c r="U123" t="str">
        <f>IFERROR(MATCH(49,'MiT Strom Pipeline'!$AC$6:$AC$860,0)+5,"")</f>
        <v/>
      </c>
    </row>
    <row r="124" spans="1:21" ht="15.75" customHeight="1">
      <c r="A124" s="23" t="str">
        <f>IF($U124="","",IF(ISNUMBER(INDEX('MiT Strom Pipeline'!$A:$A,$U124)),INDEX('MiT Strom Pipeline'!$A:$A,$U124),""))</f>
        <v/>
      </c>
      <c r="B124" s="24" t="str">
        <f>IF($U124="","",IF(INDEX('MiT Strom Pipeline'!$B:$B,$U124)="","",INDEX('MiT Strom Pipeline'!$B:$B,$U124)))</f>
        <v/>
      </c>
      <c r="C124" s="24" t="str">
        <f>IF($U124="","",IF(INDEX('MiT Strom Pipeline'!$C:$C,$U124)="","",INDEX('MiT Strom Pipeline'!$C:$C,$U124)))</f>
        <v/>
      </c>
      <c r="D124" s="24" t="str">
        <f>IF($U124="","",IF(INDEX('MiT Strom Pipeline'!$D:$D,$U124)="","",INDEX('MiT Strom Pipeline'!$D:$D,$U124)))</f>
        <v/>
      </c>
      <c r="E124" s="24" t="str">
        <f>IF($U124="","",IF(INDEX('MiT Strom Pipeline'!$H:$H,$U124)="","",INDEX('MiT Strom Pipeline'!$H:$H,$U124)))</f>
        <v/>
      </c>
      <c r="F124" s="24" t="str">
        <f>IF($U124="","",IF(INDEX('MiT Strom Pipeline'!$E:$E,$U124)="","",INDEX('MiT Strom Pipeline'!$E:$E,$U124)))</f>
        <v/>
      </c>
      <c r="G124" s="25" t="str">
        <f>IF($U124="","",IF(ISNUMBER(INDEX('MiT Strom Pipeline'!$I:$I,$U124)),INDEX('MiT Strom Pipeline'!$I:$I,$U124),0))</f>
        <v/>
      </c>
      <c r="H124" s="25" t="str">
        <f>IF($U124="","",IF(ISNUMBER(INDEX('MiT Strom Pipeline'!$Q:$Q,$U124)),INDEX('MiT Strom Pipeline'!$Q:$Q,$U124),0))</f>
        <v/>
      </c>
      <c r="I124" s="25" t="str">
        <f>IF($U124="","",IF(ISNUMBER(INDEX('MiT Strom Pipeline'!$O:$O,$U124)),INDEX('MiT Strom Pipeline'!$O:$O,$U124),0))</f>
        <v/>
      </c>
      <c r="J124" s="24" t="str">
        <f>IF($U124="","",INDEX('MiT Strom Pipeline'!$R:$R,$U124))</f>
        <v/>
      </c>
      <c r="K124" s="26" t="str">
        <f>IF($U124="","",IF(ISNUMBER(INDEX('MiT Strom Pipeline'!$S:$S,$U124)),INDEX('MiT Strom Pipeline'!$S:$S,$U124),""))</f>
        <v/>
      </c>
      <c r="L124" s="24" t="str">
        <f>IF($U124="","",IF(LEN(INDEX('MiT Strom Pipeline'!$V:$V,$U124))&gt;0,LEFT(INDEX('MiT Strom Pipeline'!$V:$V,$U124),55),""))</f>
        <v/>
      </c>
      <c r="M124" s="19"/>
      <c r="N124" s="19"/>
      <c r="O124" s="19"/>
      <c r="P124" s="19"/>
      <c r="Q124" s="19"/>
      <c r="R124" s="19"/>
      <c r="S124" s="19"/>
      <c r="U124" t="str">
        <f>IFERROR(MATCH(50,'MiT Strom Pipeline'!$AC$6:$AC$860,0)+5,"")</f>
        <v/>
      </c>
    </row>
    <row r="125" spans="1:21" ht="15.75" customHeight="1">
      <c r="A125" s="23" t="str">
        <f>IF($U125="","",IF(ISNUMBER(INDEX('MiT Strom Pipeline'!$A:$A,$U125)),INDEX('MiT Strom Pipeline'!$A:$A,$U125),""))</f>
        <v/>
      </c>
      <c r="B125" s="24" t="str">
        <f>IF($U125="","",IF(INDEX('MiT Strom Pipeline'!$B:$B,$U125)="","",INDEX('MiT Strom Pipeline'!$B:$B,$U125)))</f>
        <v/>
      </c>
      <c r="C125" s="24" t="str">
        <f>IF($U125="","",IF(INDEX('MiT Strom Pipeline'!$C:$C,$U125)="","",INDEX('MiT Strom Pipeline'!$C:$C,$U125)))</f>
        <v/>
      </c>
      <c r="D125" s="24" t="str">
        <f>IF($U125="","",IF(INDEX('MiT Strom Pipeline'!$D:$D,$U125)="","",INDEX('MiT Strom Pipeline'!$D:$D,$U125)))</f>
        <v/>
      </c>
      <c r="E125" s="24" t="str">
        <f>IF($U125="","",IF(INDEX('MiT Strom Pipeline'!$H:$H,$U125)="","",INDEX('MiT Strom Pipeline'!$H:$H,$U125)))</f>
        <v/>
      </c>
      <c r="F125" s="24" t="str">
        <f>IF($U125="","",IF(INDEX('MiT Strom Pipeline'!$E:$E,$U125)="","",INDEX('MiT Strom Pipeline'!$E:$E,$U125)))</f>
        <v/>
      </c>
      <c r="G125" s="25" t="str">
        <f>IF($U125="","",IF(ISNUMBER(INDEX('MiT Strom Pipeline'!$I:$I,$U125)),INDEX('MiT Strom Pipeline'!$I:$I,$U125),0))</f>
        <v/>
      </c>
      <c r="H125" s="25" t="str">
        <f>IF($U125="","",IF(ISNUMBER(INDEX('MiT Strom Pipeline'!$Q:$Q,$U125)),INDEX('MiT Strom Pipeline'!$Q:$Q,$U125),0))</f>
        <v/>
      </c>
      <c r="I125" s="25" t="str">
        <f>IF($U125="","",IF(ISNUMBER(INDEX('MiT Strom Pipeline'!$O:$O,$U125)),INDEX('MiT Strom Pipeline'!$O:$O,$U125),0))</f>
        <v/>
      </c>
      <c r="J125" s="24" t="str">
        <f>IF($U125="","",INDEX('MiT Strom Pipeline'!$R:$R,$U125))</f>
        <v/>
      </c>
      <c r="K125" s="26" t="str">
        <f>IF($U125="","",IF(ISNUMBER(INDEX('MiT Strom Pipeline'!$S:$S,$U125)),INDEX('MiT Strom Pipeline'!$S:$S,$U125),""))</f>
        <v/>
      </c>
      <c r="L125" s="24" t="str">
        <f>IF($U125="","",IF(LEN(INDEX('MiT Strom Pipeline'!$V:$V,$U125))&gt;0,LEFT(INDEX('MiT Strom Pipeline'!$V:$V,$U125),55),""))</f>
        <v/>
      </c>
      <c r="M125" s="19"/>
      <c r="N125" s="19"/>
      <c r="O125" s="19"/>
      <c r="P125" s="19"/>
      <c r="Q125" s="19"/>
      <c r="R125" s="19"/>
      <c r="S125" s="19"/>
      <c r="U125" t="str">
        <f>IFERROR(MATCH(51,'MiT Strom Pipeline'!$AC$6:$AC$860,0)+5,"")</f>
        <v/>
      </c>
    </row>
    <row r="126" spans="1:21" ht="15.75" customHeight="1">
      <c r="A126" s="23" t="str">
        <f>IF($U126="","",IF(ISNUMBER(INDEX('MiT Strom Pipeline'!$A:$A,$U126)),INDEX('MiT Strom Pipeline'!$A:$A,$U126),""))</f>
        <v/>
      </c>
      <c r="B126" s="24" t="str">
        <f>IF($U126="","",IF(INDEX('MiT Strom Pipeline'!$B:$B,$U126)="","",INDEX('MiT Strom Pipeline'!$B:$B,$U126)))</f>
        <v/>
      </c>
      <c r="C126" s="24" t="str">
        <f>IF($U126="","",IF(INDEX('MiT Strom Pipeline'!$C:$C,$U126)="","",INDEX('MiT Strom Pipeline'!$C:$C,$U126)))</f>
        <v/>
      </c>
      <c r="D126" s="24" t="str">
        <f>IF($U126="","",IF(INDEX('MiT Strom Pipeline'!$D:$D,$U126)="","",INDEX('MiT Strom Pipeline'!$D:$D,$U126)))</f>
        <v/>
      </c>
      <c r="E126" s="24" t="str">
        <f>IF($U126="","",IF(INDEX('MiT Strom Pipeline'!$H:$H,$U126)="","",INDEX('MiT Strom Pipeline'!$H:$H,$U126)))</f>
        <v/>
      </c>
      <c r="F126" s="24" t="str">
        <f>IF($U126="","",IF(INDEX('MiT Strom Pipeline'!$E:$E,$U126)="","",INDEX('MiT Strom Pipeline'!$E:$E,$U126)))</f>
        <v/>
      </c>
      <c r="G126" s="25" t="str">
        <f>IF($U126="","",IF(ISNUMBER(INDEX('MiT Strom Pipeline'!$I:$I,$U126)),INDEX('MiT Strom Pipeline'!$I:$I,$U126),0))</f>
        <v/>
      </c>
      <c r="H126" s="25" t="str">
        <f>IF($U126="","",IF(ISNUMBER(INDEX('MiT Strom Pipeline'!$Q:$Q,$U126)),INDEX('MiT Strom Pipeline'!$Q:$Q,$U126),0))</f>
        <v/>
      </c>
      <c r="I126" s="25" t="str">
        <f>IF($U126="","",IF(ISNUMBER(INDEX('MiT Strom Pipeline'!$O:$O,$U126)),INDEX('MiT Strom Pipeline'!$O:$O,$U126),0))</f>
        <v/>
      </c>
      <c r="J126" s="24" t="str">
        <f>IF($U126="","",INDEX('MiT Strom Pipeline'!$R:$R,$U126))</f>
        <v/>
      </c>
      <c r="K126" s="26" t="str">
        <f>IF($U126="","",IF(ISNUMBER(INDEX('MiT Strom Pipeline'!$S:$S,$U126)),INDEX('MiT Strom Pipeline'!$S:$S,$U126),""))</f>
        <v/>
      </c>
      <c r="L126" s="24" t="str">
        <f>IF($U126="","",IF(LEN(INDEX('MiT Strom Pipeline'!$V:$V,$U126))&gt;0,LEFT(INDEX('MiT Strom Pipeline'!$V:$V,$U126),55),""))</f>
        <v/>
      </c>
      <c r="M126" s="19"/>
      <c r="N126" s="19"/>
      <c r="O126" s="19"/>
      <c r="P126" s="19"/>
      <c r="Q126" s="19"/>
      <c r="R126" s="19"/>
      <c r="S126" s="19"/>
      <c r="U126" t="str">
        <f>IFERROR(MATCH(52,'MiT Strom Pipeline'!$AC$6:$AC$860,0)+5,"")</f>
        <v/>
      </c>
    </row>
    <row r="127" spans="1:21" ht="15.75" customHeight="1">
      <c r="A127" s="23" t="str">
        <f>IF($U127="","",IF(ISNUMBER(INDEX('MiT Strom Pipeline'!$A:$A,$U127)),INDEX('MiT Strom Pipeline'!$A:$A,$U127),""))</f>
        <v/>
      </c>
      <c r="B127" s="24" t="str">
        <f>IF($U127="","",IF(INDEX('MiT Strom Pipeline'!$B:$B,$U127)="","",INDEX('MiT Strom Pipeline'!$B:$B,$U127)))</f>
        <v/>
      </c>
      <c r="C127" s="24" t="str">
        <f>IF($U127="","",IF(INDEX('MiT Strom Pipeline'!$C:$C,$U127)="","",INDEX('MiT Strom Pipeline'!$C:$C,$U127)))</f>
        <v/>
      </c>
      <c r="D127" s="24" t="str">
        <f>IF($U127="","",IF(INDEX('MiT Strom Pipeline'!$D:$D,$U127)="","",INDEX('MiT Strom Pipeline'!$D:$D,$U127)))</f>
        <v/>
      </c>
      <c r="E127" s="24" t="str">
        <f>IF($U127="","",IF(INDEX('MiT Strom Pipeline'!$H:$H,$U127)="","",INDEX('MiT Strom Pipeline'!$H:$H,$U127)))</f>
        <v/>
      </c>
      <c r="F127" s="24" t="str">
        <f>IF($U127="","",IF(INDEX('MiT Strom Pipeline'!$E:$E,$U127)="","",INDEX('MiT Strom Pipeline'!$E:$E,$U127)))</f>
        <v/>
      </c>
      <c r="G127" s="25" t="str">
        <f>IF($U127="","",IF(ISNUMBER(INDEX('MiT Strom Pipeline'!$I:$I,$U127)),INDEX('MiT Strom Pipeline'!$I:$I,$U127),0))</f>
        <v/>
      </c>
      <c r="H127" s="25" t="str">
        <f>IF($U127="","",IF(ISNUMBER(INDEX('MiT Strom Pipeline'!$Q:$Q,$U127)),INDEX('MiT Strom Pipeline'!$Q:$Q,$U127),0))</f>
        <v/>
      </c>
      <c r="I127" s="25" t="str">
        <f>IF($U127="","",IF(ISNUMBER(INDEX('MiT Strom Pipeline'!$O:$O,$U127)),INDEX('MiT Strom Pipeline'!$O:$O,$U127),0))</f>
        <v/>
      </c>
      <c r="J127" s="24" t="str">
        <f>IF($U127="","",INDEX('MiT Strom Pipeline'!$R:$R,$U127))</f>
        <v/>
      </c>
      <c r="K127" s="26" t="str">
        <f>IF($U127="","",IF(ISNUMBER(INDEX('MiT Strom Pipeline'!$S:$S,$U127)),INDEX('MiT Strom Pipeline'!$S:$S,$U127),""))</f>
        <v/>
      </c>
      <c r="L127" s="24" t="str">
        <f>IF($U127="","",IF(LEN(INDEX('MiT Strom Pipeline'!$V:$V,$U127))&gt;0,LEFT(INDEX('MiT Strom Pipeline'!$V:$V,$U127),55),""))</f>
        <v/>
      </c>
      <c r="M127" s="19"/>
      <c r="N127" s="19"/>
      <c r="O127" s="19"/>
      <c r="P127" s="19"/>
      <c r="Q127" s="19"/>
      <c r="R127" s="19"/>
      <c r="S127" s="19"/>
      <c r="U127" t="str">
        <f>IFERROR(MATCH(53,'MiT Strom Pipeline'!$AC$6:$AC$860,0)+5,"")</f>
        <v/>
      </c>
    </row>
    <row r="128" spans="1:21" ht="15.75" customHeight="1">
      <c r="A128" s="23" t="str">
        <f>IF($U128="","",IF(ISNUMBER(INDEX('MiT Strom Pipeline'!$A:$A,$U128)),INDEX('MiT Strom Pipeline'!$A:$A,$U128),""))</f>
        <v/>
      </c>
      <c r="B128" s="24" t="str">
        <f>IF($U128="","",IF(INDEX('MiT Strom Pipeline'!$B:$B,$U128)="","",INDEX('MiT Strom Pipeline'!$B:$B,$U128)))</f>
        <v/>
      </c>
      <c r="C128" s="24" t="str">
        <f>IF($U128="","",IF(INDEX('MiT Strom Pipeline'!$C:$C,$U128)="","",INDEX('MiT Strom Pipeline'!$C:$C,$U128)))</f>
        <v/>
      </c>
      <c r="D128" s="24" t="str">
        <f>IF($U128="","",IF(INDEX('MiT Strom Pipeline'!$D:$D,$U128)="","",INDEX('MiT Strom Pipeline'!$D:$D,$U128)))</f>
        <v/>
      </c>
      <c r="E128" s="24" t="str">
        <f>IF($U128="","",IF(INDEX('MiT Strom Pipeline'!$H:$H,$U128)="","",INDEX('MiT Strom Pipeline'!$H:$H,$U128)))</f>
        <v/>
      </c>
      <c r="F128" s="24" t="str">
        <f>IF($U128="","",IF(INDEX('MiT Strom Pipeline'!$E:$E,$U128)="","",INDEX('MiT Strom Pipeline'!$E:$E,$U128)))</f>
        <v/>
      </c>
      <c r="G128" s="25" t="str">
        <f>IF($U128="","",IF(ISNUMBER(INDEX('MiT Strom Pipeline'!$I:$I,$U128)),INDEX('MiT Strom Pipeline'!$I:$I,$U128),0))</f>
        <v/>
      </c>
      <c r="H128" s="25" t="str">
        <f>IF($U128="","",IF(ISNUMBER(INDEX('MiT Strom Pipeline'!$Q:$Q,$U128)),INDEX('MiT Strom Pipeline'!$Q:$Q,$U128),0))</f>
        <v/>
      </c>
      <c r="I128" s="25" t="str">
        <f>IF($U128="","",IF(ISNUMBER(INDEX('MiT Strom Pipeline'!$O:$O,$U128)),INDEX('MiT Strom Pipeline'!$O:$O,$U128),0))</f>
        <v/>
      </c>
      <c r="J128" s="24" t="str">
        <f>IF($U128="","",INDEX('MiT Strom Pipeline'!$R:$R,$U128))</f>
        <v/>
      </c>
      <c r="K128" s="26" t="str">
        <f>IF($U128="","",IF(ISNUMBER(INDEX('MiT Strom Pipeline'!$S:$S,$U128)),INDEX('MiT Strom Pipeline'!$S:$S,$U128),""))</f>
        <v/>
      </c>
      <c r="L128" s="24" t="str">
        <f>IF($U128="","",IF(LEN(INDEX('MiT Strom Pipeline'!$V:$V,$U128))&gt;0,LEFT(INDEX('MiT Strom Pipeline'!$V:$V,$U128),55),""))</f>
        <v/>
      </c>
      <c r="M128" s="19"/>
      <c r="N128" s="19"/>
      <c r="O128" s="19"/>
      <c r="P128" s="19"/>
      <c r="Q128" s="19"/>
      <c r="R128" s="19"/>
      <c r="S128" s="19"/>
      <c r="U128" t="str">
        <f>IFERROR(MATCH(54,'MiT Strom Pipeline'!$AC$6:$AC$860,0)+5,"")</f>
        <v/>
      </c>
    </row>
    <row r="129" spans="1:21" ht="15.75" customHeight="1">
      <c r="A129" s="23" t="str">
        <f>IF($U129="","",IF(ISNUMBER(INDEX('MiT Strom Pipeline'!$A:$A,$U129)),INDEX('MiT Strom Pipeline'!$A:$A,$U129),""))</f>
        <v/>
      </c>
      <c r="B129" s="24" t="str">
        <f>IF($U129="","",IF(INDEX('MiT Strom Pipeline'!$B:$B,$U129)="","",INDEX('MiT Strom Pipeline'!$B:$B,$U129)))</f>
        <v/>
      </c>
      <c r="C129" s="24" t="str">
        <f>IF($U129="","",IF(INDEX('MiT Strom Pipeline'!$C:$C,$U129)="","",INDEX('MiT Strom Pipeline'!$C:$C,$U129)))</f>
        <v/>
      </c>
      <c r="D129" s="24" t="str">
        <f>IF($U129="","",IF(INDEX('MiT Strom Pipeline'!$D:$D,$U129)="","",INDEX('MiT Strom Pipeline'!$D:$D,$U129)))</f>
        <v/>
      </c>
      <c r="E129" s="24" t="str">
        <f>IF($U129="","",IF(INDEX('MiT Strom Pipeline'!$H:$H,$U129)="","",INDEX('MiT Strom Pipeline'!$H:$H,$U129)))</f>
        <v/>
      </c>
      <c r="F129" s="24" t="str">
        <f>IF($U129="","",IF(INDEX('MiT Strom Pipeline'!$E:$E,$U129)="","",INDEX('MiT Strom Pipeline'!$E:$E,$U129)))</f>
        <v/>
      </c>
      <c r="G129" s="25" t="str">
        <f>IF($U129="","",IF(ISNUMBER(INDEX('MiT Strom Pipeline'!$I:$I,$U129)),INDEX('MiT Strom Pipeline'!$I:$I,$U129),0))</f>
        <v/>
      </c>
      <c r="H129" s="25" t="str">
        <f>IF($U129="","",IF(ISNUMBER(INDEX('MiT Strom Pipeline'!$Q:$Q,$U129)),INDEX('MiT Strom Pipeline'!$Q:$Q,$U129),0))</f>
        <v/>
      </c>
      <c r="I129" s="25" t="str">
        <f>IF($U129="","",IF(ISNUMBER(INDEX('MiT Strom Pipeline'!$O:$O,$U129)),INDEX('MiT Strom Pipeline'!$O:$O,$U129),0))</f>
        <v/>
      </c>
      <c r="J129" s="24" t="str">
        <f>IF($U129="","",INDEX('MiT Strom Pipeline'!$R:$R,$U129))</f>
        <v/>
      </c>
      <c r="K129" s="26" t="str">
        <f>IF($U129="","",IF(ISNUMBER(INDEX('MiT Strom Pipeline'!$S:$S,$U129)),INDEX('MiT Strom Pipeline'!$S:$S,$U129),""))</f>
        <v/>
      </c>
      <c r="L129" s="24" t="str">
        <f>IF($U129="","",IF(LEN(INDEX('MiT Strom Pipeline'!$V:$V,$U129))&gt;0,LEFT(INDEX('MiT Strom Pipeline'!$V:$V,$U129),55),""))</f>
        <v/>
      </c>
      <c r="M129" s="19"/>
      <c r="N129" s="19"/>
      <c r="O129" s="19"/>
      <c r="P129" s="19"/>
      <c r="Q129" s="19"/>
      <c r="R129" s="19"/>
      <c r="S129" s="19"/>
      <c r="U129" t="str">
        <f>IFERROR(MATCH(55,'MiT Strom Pipeline'!$AC$6:$AC$860,0)+5,"")</f>
        <v/>
      </c>
    </row>
    <row r="130" spans="1:21" ht="15.75" customHeight="1">
      <c r="A130" s="23" t="str">
        <f>IF($U130="","",IF(ISNUMBER(INDEX('MiT Strom Pipeline'!$A:$A,$U130)),INDEX('MiT Strom Pipeline'!$A:$A,$U130),""))</f>
        <v/>
      </c>
      <c r="B130" s="24" t="str">
        <f>IF($U130="","",IF(INDEX('MiT Strom Pipeline'!$B:$B,$U130)="","",INDEX('MiT Strom Pipeline'!$B:$B,$U130)))</f>
        <v/>
      </c>
      <c r="C130" s="24" t="str">
        <f>IF($U130="","",IF(INDEX('MiT Strom Pipeline'!$C:$C,$U130)="","",INDEX('MiT Strom Pipeline'!$C:$C,$U130)))</f>
        <v/>
      </c>
      <c r="D130" s="24" t="str">
        <f>IF($U130="","",IF(INDEX('MiT Strom Pipeline'!$D:$D,$U130)="","",INDEX('MiT Strom Pipeline'!$D:$D,$U130)))</f>
        <v/>
      </c>
      <c r="E130" s="24" t="str">
        <f>IF($U130="","",IF(INDEX('MiT Strom Pipeline'!$H:$H,$U130)="","",INDEX('MiT Strom Pipeline'!$H:$H,$U130)))</f>
        <v/>
      </c>
      <c r="F130" s="24" t="str">
        <f>IF($U130="","",IF(INDEX('MiT Strom Pipeline'!$E:$E,$U130)="","",INDEX('MiT Strom Pipeline'!$E:$E,$U130)))</f>
        <v/>
      </c>
      <c r="G130" s="25" t="str">
        <f>IF($U130="","",IF(ISNUMBER(INDEX('MiT Strom Pipeline'!$I:$I,$U130)),INDEX('MiT Strom Pipeline'!$I:$I,$U130),0))</f>
        <v/>
      </c>
      <c r="H130" s="25" t="str">
        <f>IF($U130="","",IF(ISNUMBER(INDEX('MiT Strom Pipeline'!$Q:$Q,$U130)),INDEX('MiT Strom Pipeline'!$Q:$Q,$U130),0))</f>
        <v/>
      </c>
      <c r="I130" s="25" t="str">
        <f>IF($U130="","",IF(ISNUMBER(INDEX('MiT Strom Pipeline'!$O:$O,$U130)),INDEX('MiT Strom Pipeline'!$O:$O,$U130),0))</f>
        <v/>
      </c>
      <c r="J130" s="24" t="str">
        <f>IF($U130="","",INDEX('MiT Strom Pipeline'!$R:$R,$U130))</f>
        <v/>
      </c>
      <c r="K130" s="26" t="str">
        <f>IF($U130="","",IF(ISNUMBER(INDEX('MiT Strom Pipeline'!$S:$S,$U130)),INDEX('MiT Strom Pipeline'!$S:$S,$U130),""))</f>
        <v/>
      </c>
      <c r="L130" s="24" t="str">
        <f>IF($U130="","",IF(LEN(INDEX('MiT Strom Pipeline'!$V:$V,$U130))&gt;0,LEFT(INDEX('MiT Strom Pipeline'!$V:$V,$U130),55),""))</f>
        <v/>
      </c>
      <c r="M130" s="19"/>
      <c r="N130" s="19"/>
      <c r="O130" s="19"/>
      <c r="P130" s="19"/>
      <c r="Q130" s="19"/>
      <c r="R130" s="19"/>
      <c r="S130" s="19"/>
      <c r="U130" t="str">
        <f>IFERROR(MATCH(56,'MiT Strom Pipeline'!$AC$6:$AC$860,0)+5,"")</f>
        <v/>
      </c>
    </row>
    <row r="131" spans="1:21" ht="15.75" customHeight="1">
      <c r="A131" s="23" t="str">
        <f>IF($U131="","",IF(ISNUMBER(INDEX('MiT Strom Pipeline'!$A:$A,$U131)),INDEX('MiT Strom Pipeline'!$A:$A,$U131),""))</f>
        <v/>
      </c>
      <c r="B131" s="24" t="str">
        <f>IF($U131="","",IF(INDEX('MiT Strom Pipeline'!$B:$B,$U131)="","",INDEX('MiT Strom Pipeline'!$B:$B,$U131)))</f>
        <v/>
      </c>
      <c r="C131" s="24" t="str">
        <f>IF($U131="","",IF(INDEX('MiT Strom Pipeline'!$C:$C,$U131)="","",INDEX('MiT Strom Pipeline'!$C:$C,$U131)))</f>
        <v/>
      </c>
      <c r="D131" s="24" t="str">
        <f>IF($U131="","",IF(INDEX('MiT Strom Pipeline'!$D:$D,$U131)="","",INDEX('MiT Strom Pipeline'!$D:$D,$U131)))</f>
        <v/>
      </c>
      <c r="E131" s="24" t="str">
        <f>IF($U131="","",IF(INDEX('MiT Strom Pipeline'!$H:$H,$U131)="","",INDEX('MiT Strom Pipeline'!$H:$H,$U131)))</f>
        <v/>
      </c>
      <c r="F131" s="24" t="str">
        <f>IF($U131="","",IF(INDEX('MiT Strom Pipeline'!$E:$E,$U131)="","",INDEX('MiT Strom Pipeline'!$E:$E,$U131)))</f>
        <v/>
      </c>
      <c r="G131" s="25" t="str">
        <f>IF($U131="","",IF(ISNUMBER(INDEX('MiT Strom Pipeline'!$I:$I,$U131)),INDEX('MiT Strom Pipeline'!$I:$I,$U131),0))</f>
        <v/>
      </c>
      <c r="H131" s="25" t="str">
        <f>IF($U131="","",IF(ISNUMBER(INDEX('MiT Strom Pipeline'!$Q:$Q,$U131)),INDEX('MiT Strom Pipeline'!$Q:$Q,$U131),0))</f>
        <v/>
      </c>
      <c r="I131" s="25" t="str">
        <f>IF($U131="","",IF(ISNUMBER(INDEX('MiT Strom Pipeline'!$O:$O,$U131)),INDEX('MiT Strom Pipeline'!$O:$O,$U131),0))</f>
        <v/>
      </c>
      <c r="J131" s="24" t="str">
        <f>IF($U131="","",INDEX('MiT Strom Pipeline'!$R:$R,$U131))</f>
        <v/>
      </c>
      <c r="K131" s="26" t="str">
        <f>IF($U131="","",IF(ISNUMBER(INDEX('MiT Strom Pipeline'!$S:$S,$U131)),INDEX('MiT Strom Pipeline'!$S:$S,$U131),""))</f>
        <v/>
      </c>
      <c r="L131" s="24" t="str">
        <f>IF($U131="","",IF(LEN(INDEX('MiT Strom Pipeline'!$V:$V,$U131))&gt;0,LEFT(INDEX('MiT Strom Pipeline'!$V:$V,$U131),55),""))</f>
        <v/>
      </c>
      <c r="M131" s="19"/>
      <c r="N131" s="19"/>
      <c r="O131" s="19"/>
      <c r="P131" s="19"/>
      <c r="Q131" s="19"/>
      <c r="R131" s="19"/>
      <c r="S131" s="19"/>
      <c r="U131" t="str">
        <f>IFERROR(MATCH(57,'MiT Strom Pipeline'!$AC$6:$AC$860,0)+5,"")</f>
        <v/>
      </c>
    </row>
    <row r="132" spans="1:21" ht="15.75" customHeight="1">
      <c r="A132" s="23" t="str">
        <f>IF($U132="","",IF(ISNUMBER(INDEX('MiT Strom Pipeline'!$A:$A,$U132)),INDEX('MiT Strom Pipeline'!$A:$A,$U132),""))</f>
        <v/>
      </c>
      <c r="B132" s="24" t="str">
        <f>IF($U132="","",IF(INDEX('MiT Strom Pipeline'!$B:$B,$U132)="","",INDEX('MiT Strom Pipeline'!$B:$B,$U132)))</f>
        <v/>
      </c>
      <c r="C132" s="24" t="str">
        <f>IF($U132="","",IF(INDEX('MiT Strom Pipeline'!$C:$C,$U132)="","",INDEX('MiT Strom Pipeline'!$C:$C,$U132)))</f>
        <v/>
      </c>
      <c r="D132" s="24" t="str">
        <f>IF($U132="","",IF(INDEX('MiT Strom Pipeline'!$D:$D,$U132)="","",INDEX('MiT Strom Pipeline'!$D:$D,$U132)))</f>
        <v/>
      </c>
      <c r="E132" s="24" t="str">
        <f>IF($U132="","",IF(INDEX('MiT Strom Pipeline'!$H:$H,$U132)="","",INDEX('MiT Strom Pipeline'!$H:$H,$U132)))</f>
        <v/>
      </c>
      <c r="F132" s="24" t="str">
        <f>IF($U132="","",IF(INDEX('MiT Strom Pipeline'!$E:$E,$U132)="","",INDEX('MiT Strom Pipeline'!$E:$E,$U132)))</f>
        <v/>
      </c>
      <c r="G132" s="25" t="str">
        <f>IF($U132="","",IF(ISNUMBER(INDEX('MiT Strom Pipeline'!$I:$I,$U132)),INDEX('MiT Strom Pipeline'!$I:$I,$U132),0))</f>
        <v/>
      </c>
      <c r="H132" s="25" t="str">
        <f>IF($U132="","",IF(ISNUMBER(INDEX('MiT Strom Pipeline'!$Q:$Q,$U132)),INDEX('MiT Strom Pipeline'!$Q:$Q,$U132),0))</f>
        <v/>
      </c>
      <c r="I132" s="25" t="str">
        <f>IF($U132="","",IF(ISNUMBER(INDEX('MiT Strom Pipeline'!$O:$O,$U132)),INDEX('MiT Strom Pipeline'!$O:$O,$U132),0))</f>
        <v/>
      </c>
      <c r="J132" s="24" t="str">
        <f>IF($U132="","",INDEX('MiT Strom Pipeline'!$R:$R,$U132))</f>
        <v/>
      </c>
      <c r="K132" s="26" t="str">
        <f>IF($U132="","",IF(ISNUMBER(INDEX('MiT Strom Pipeline'!$S:$S,$U132)),INDEX('MiT Strom Pipeline'!$S:$S,$U132),""))</f>
        <v/>
      </c>
      <c r="L132" s="24" t="str">
        <f>IF($U132="","",IF(LEN(INDEX('MiT Strom Pipeline'!$V:$V,$U132))&gt;0,LEFT(INDEX('MiT Strom Pipeline'!$V:$V,$U132),55),""))</f>
        <v/>
      </c>
      <c r="M132" s="19"/>
      <c r="N132" s="19"/>
      <c r="O132" s="19"/>
      <c r="P132" s="19"/>
      <c r="Q132" s="19"/>
      <c r="R132" s="19"/>
      <c r="S132" s="19"/>
      <c r="U132" t="str">
        <f>IFERROR(MATCH(58,'MiT Strom Pipeline'!$AC$6:$AC$860,0)+5,"")</f>
        <v/>
      </c>
    </row>
    <row r="133" spans="1:21" ht="15.75" customHeight="1">
      <c r="A133" s="23" t="str">
        <f>IF($U133="","",IF(ISNUMBER(INDEX('MiT Strom Pipeline'!$A:$A,$U133)),INDEX('MiT Strom Pipeline'!$A:$A,$U133),""))</f>
        <v/>
      </c>
      <c r="B133" s="24" t="str">
        <f>IF($U133="","",IF(INDEX('MiT Strom Pipeline'!$B:$B,$U133)="","",INDEX('MiT Strom Pipeline'!$B:$B,$U133)))</f>
        <v/>
      </c>
      <c r="C133" s="24" t="str">
        <f>IF($U133="","",IF(INDEX('MiT Strom Pipeline'!$C:$C,$U133)="","",INDEX('MiT Strom Pipeline'!$C:$C,$U133)))</f>
        <v/>
      </c>
      <c r="D133" s="24" t="str">
        <f>IF($U133="","",IF(INDEX('MiT Strom Pipeline'!$D:$D,$U133)="","",INDEX('MiT Strom Pipeline'!$D:$D,$U133)))</f>
        <v/>
      </c>
      <c r="E133" s="24" t="str">
        <f>IF($U133="","",IF(INDEX('MiT Strom Pipeline'!$H:$H,$U133)="","",INDEX('MiT Strom Pipeline'!$H:$H,$U133)))</f>
        <v/>
      </c>
      <c r="F133" s="24" t="str">
        <f>IF($U133="","",IF(INDEX('MiT Strom Pipeline'!$E:$E,$U133)="","",INDEX('MiT Strom Pipeline'!$E:$E,$U133)))</f>
        <v/>
      </c>
      <c r="G133" s="25" t="str">
        <f>IF($U133="","",IF(ISNUMBER(INDEX('MiT Strom Pipeline'!$I:$I,$U133)),INDEX('MiT Strom Pipeline'!$I:$I,$U133),0))</f>
        <v/>
      </c>
      <c r="H133" s="25" t="str">
        <f>IF($U133="","",IF(ISNUMBER(INDEX('MiT Strom Pipeline'!$Q:$Q,$U133)),INDEX('MiT Strom Pipeline'!$Q:$Q,$U133),0))</f>
        <v/>
      </c>
      <c r="I133" s="25" t="str">
        <f>IF($U133="","",IF(ISNUMBER(INDEX('MiT Strom Pipeline'!$O:$O,$U133)),INDEX('MiT Strom Pipeline'!$O:$O,$U133),0))</f>
        <v/>
      </c>
      <c r="J133" s="24" t="str">
        <f>IF($U133="","",INDEX('MiT Strom Pipeline'!$R:$R,$U133))</f>
        <v/>
      </c>
      <c r="K133" s="26" t="str">
        <f>IF($U133="","",IF(ISNUMBER(INDEX('MiT Strom Pipeline'!$S:$S,$U133)),INDEX('MiT Strom Pipeline'!$S:$S,$U133),""))</f>
        <v/>
      </c>
      <c r="L133" s="24" t="str">
        <f>IF($U133="","",IF(LEN(INDEX('MiT Strom Pipeline'!$V:$V,$U133))&gt;0,LEFT(INDEX('MiT Strom Pipeline'!$V:$V,$U133),55),""))</f>
        <v/>
      </c>
      <c r="M133" s="19"/>
      <c r="N133" s="19"/>
      <c r="O133" s="19"/>
      <c r="P133" s="19"/>
      <c r="Q133" s="19"/>
      <c r="R133" s="19"/>
      <c r="S133" s="19"/>
      <c r="U133" t="str">
        <f>IFERROR(MATCH(59,'MiT Strom Pipeline'!$AC$6:$AC$860,0)+5,"")</f>
        <v/>
      </c>
    </row>
    <row r="134" spans="1:21" ht="15.75" customHeight="1">
      <c r="A134" s="23" t="str">
        <f>IF($U134="","",IF(ISNUMBER(INDEX('MiT Strom Pipeline'!$A:$A,$U134)),INDEX('MiT Strom Pipeline'!$A:$A,$U134),""))</f>
        <v/>
      </c>
      <c r="B134" s="24" t="str">
        <f>IF($U134="","",IF(INDEX('MiT Strom Pipeline'!$B:$B,$U134)="","",INDEX('MiT Strom Pipeline'!$B:$B,$U134)))</f>
        <v/>
      </c>
      <c r="C134" s="24" t="str">
        <f>IF($U134="","",IF(INDEX('MiT Strom Pipeline'!$C:$C,$U134)="","",INDEX('MiT Strom Pipeline'!$C:$C,$U134)))</f>
        <v/>
      </c>
      <c r="D134" s="24" t="str">
        <f>IF($U134="","",IF(INDEX('MiT Strom Pipeline'!$D:$D,$U134)="","",INDEX('MiT Strom Pipeline'!$D:$D,$U134)))</f>
        <v/>
      </c>
      <c r="E134" s="24" t="str">
        <f>IF($U134="","",IF(INDEX('MiT Strom Pipeline'!$H:$H,$U134)="","",INDEX('MiT Strom Pipeline'!$H:$H,$U134)))</f>
        <v/>
      </c>
      <c r="F134" s="24" t="str">
        <f>IF($U134="","",IF(INDEX('MiT Strom Pipeline'!$E:$E,$U134)="","",INDEX('MiT Strom Pipeline'!$E:$E,$U134)))</f>
        <v/>
      </c>
      <c r="G134" s="25" t="str">
        <f>IF($U134="","",IF(ISNUMBER(INDEX('MiT Strom Pipeline'!$I:$I,$U134)),INDEX('MiT Strom Pipeline'!$I:$I,$U134),0))</f>
        <v/>
      </c>
      <c r="H134" s="25" t="str">
        <f>IF($U134="","",IF(ISNUMBER(INDEX('MiT Strom Pipeline'!$Q:$Q,$U134)),INDEX('MiT Strom Pipeline'!$Q:$Q,$U134),0))</f>
        <v/>
      </c>
      <c r="I134" s="25" t="str">
        <f>IF($U134="","",IF(ISNUMBER(INDEX('MiT Strom Pipeline'!$O:$O,$U134)),INDEX('MiT Strom Pipeline'!$O:$O,$U134),0))</f>
        <v/>
      </c>
      <c r="J134" s="24" t="str">
        <f>IF($U134="","",INDEX('MiT Strom Pipeline'!$R:$R,$U134))</f>
        <v/>
      </c>
      <c r="K134" s="26" t="str">
        <f>IF($U134="","",IF(ISNUMBER(INDEX('MiT Strom Pipeline'!$S:$S,$U134)),INDEX('MiT Strom Pipeline'!$S:$S,$U134),""))</f>
        <v/>
      </c>
      <c r="L134" s="24" t="str">
        <f>IF($U134="","",IF(LEN(INDEX('MiT Strom Pipeline'!$V:$V,$U134))&gt;0,LEFT(INDEX('MiT Strom Pipeline'!$V:$V,$U134),55),""))</f>
        <v/>
      </c>
      <c r="M134" s="19"/>
      <c r="N134" s="19"/>
      <c r="O134" s="19"/>
      <c r="P134" s="19"/>
      <c r="Q134" s="19"/>
      <c r="R134" s="19"/>
      <c r="S134" s="19"/>
      <c r="U134" t="str">
        <f>IFERROR(MATCH(60,'MiT Strom Pipeline'!$AC$6:$AC$860,0)+5,"")</f>
        <v/>
      </c>
    </row>
    <row r="135" spans="1:21" ht="21.75" customHeight="1">
      <c r="A135" s="23" t="str">
        <f>IF($U135="","",IF(ISNUMBER(INDEX('MiT Strom Pipeline'!$A:$A,$U135)),INDEX('MiT Strom Pipeline'!$A:$A,$U135),""))</f>
        <v/>
      </c>
      <c r="B135" s="24" t="str">
        <f>IF($U135="","",IF(INDEX('MiT Strom Pipeline'!$B:$B,$U135)="","",INDEX('MiT Strom Pipeline'!$B:$B,$U135)))</f>
        <v/>
      </c>
      <c r="C135" s="24" t="str">
        <f>IF($U135="","",IF(INDEX('MiT Strom Pipeline'!$C:$C,$U135)="","",INDEX('MiT Strom Pipeline'!$C:$C,$U135)))</f>
        <v/>
      </c>
      <c r="D135" s="24" t="str">
        <f>IF($U135="","",IF(INDEX('MiT Strom Pipeline'!$D:$D,$U135)="","",INDEX('MiT Strom Pipeline'!$D:$D,$U135)))</f>
        <v/>
      </c>
      <c r="E135" s="24" t="str">
        <f>IF($U135="","",IF(INDEX('MiT Strom Pipeline'!$H:$H,$U135)="","",INDEX('MiT Strom Pipeline'!$H:$H,$U135)))</f>
        <v/>
      </c>
      <c r="F135" s="24" t="str">
        <f>IF($U135="","",IF(INDEX('MiT Strom Pipeline'!$E:$E,$U135)="","",INDEX('MiT Strom Pipeline'!$E:$E,$U135)))</f>
        <v/>
      </c>
      <c r="G135" s="25" t="str">
        <f>IF($U135="","",IF(ISNUMBER(INDEX('MiT Strom Pipeline'!$I:$I,$U135)),INDEX('MiT Strom Pipeline'!$I:$I,$U135),0))</f>
        <v/>
      </c>
      <c r="H135" s="25" t="str">
        <f>IF($U135="","",IF(ISNUMBER(INDEX('MiT Strom Pipeline'!$Q:$Q,$U135)),INDEX('MiT Strom Pipeline'!$Q:$Q,$U135),0))</f>
        <v/>
      </c>
      <c r="I135" s="25" t="str">
        <f>IF($U135="","",IF(ISNUMBER(INDEX('MiT Strom Pipeline'!$O:$O,$U135)),INDEX('MiT Strom Pipeline'!$O:$O,$U135),0))</f>
        <v/>
      </c>
      <c r="J135" s="24" t="str">
        <f>IF($U135="","",INDEX('MiT Strom Pipeline'!$R:$R,$U135))</f>
        <v/>
      </c>
      <c r="K135" s="26" t="str">
        <f>IF($U135="","",IF(ISNUMBER(INDEX('MiT Strom Pipeline'!$S:$S,$U135)),INDEX('MiT Strom Pipeline'!$S:$S,$U135),""))</f>
        <v/>
      </c>
      <c r="L135" s="24" t="str">
        <f>IF($U135="","",IF(LEN(INDEX('MiT Strom Pipeline'!$V:$V,$U135))&gt;0,LEFT(INDEX('MiT Strom Pipeline'!$V:$V,$U135),55),""))</f>
        <v/>
      </c>
      <c r="M135" s="19"/>
      <c r="N135" s="19"/>
      <c r="O135" s="19"/>
      <c r="P135" s="19"/>
      <c r="Q135" s="19"/>
      <c r="R135" s="19"/>
      <c r="S135" s="19"/>
      <c r="U135" t="str">
        <f>IFERROR(MATCH(61,'MiT Strom Pipeline'!$AC$6:$AC$860,0)+5,"")</f>
        <v/>
      </c>
    </row>
    <row r="136" spans="1:21" ht="3.75" customHeight="1">
      <c r="A136" s="23" t="str">
        <f>IF($U136="","",IF(ISNUMBER(INDEX('MiT Strom Pipeline'!$A:$A,$U136)),INDEX('MiT Strom Pipeline'!$A:$A,$U136),""))</f>
        <v/>
      </c>
      <c r="B136" s="24" t="str">
        <f>IF($U136="","",IF(INDEX('MiT Strom Pipeline'!$B:$B,$U136)="","",INDEX('MiT Strom Pipeline'!$B:$B,$U136)))</f>
        <v/>
      </c>
      <c r="C136" s="24" t="str">
        <f>IF($U136="","",IF(INDEX('MiT Strom Pipeline'!$C:$C,$U136)="","",INDEX('MiT Strom Pipeline'!$C:$C,$U136)))</f>
        <v/>
      </c>
      <c r="D136" s="24" t="str">
        <f>IF($U136="","",IF(INDEX('MiT Strom Pipeline'!$D:$D,$U136)="","",INDEX('MiT Strom Pipeline'!$D:$D,$U136)))</f>
        <v/>
      </c>
      <c r="E136" s="24" t="str">
        <f>IF($U136="","",IF(INDEX('MiT Strom Pipeline'!$H:$H,$U136)="","",INDEX('MiT Strom Pipeline'!$H:$H,$U136)))</f>
        <v/>
      </c>
      <c r="F136" s="24" t="str">
        <f>IF($U136="","",IF(INDEX('MiT Strom Pipeline'!$E:$E,$U136)="","",INDEX('MiT Strom Pipeline'!$E:$E,$U136)))</f>
        <v/>
      </c>
      <c r="G136" s="25" t="str">
        <f>IF($U136="","",IF(ISNUMBER(INDEX('MiT Strom Pipeline'!$I:$I,$U136)),INDEX('MiT Strom Pipeline'!$I:$I,$U136),0))</f>
        <v/>
      </c>
      <c r="H136" s="25" t="str">
        <f>IF($U136="","",IF(ISNUMBER(INDEX('MiT Strom Pipeline'!$Q:$Q,$U136)),INDEX('MiT Strom Pipeline'!$Q:$Q,$U136),0))</f>
        <v/>
      </c>
      <c r="I136" s="25" t="str">
        <f>IF($U136="","",IF(ISNUMBER(INDEX('MiT Strom Pipeline'!$O:$O,$U136)),INDEX('MiT Strom Pipeline'!$O:$O,$U136),0))</f>
        <v/>
      </c>
      <c r="J136" s="24" t="str">
        <f>IF($U136="","",INDEX('MiT Strom Pipeline'!$R:$R,$U136))</f>
        <v/>
      </c>
      <c r="K136" s="26" t="str">
        <f>IF($U136="","",IF(ISNUMBER(INDEX('MiT Strom Pipeline'!$S:$S,$U136)),INDEX('MiT Strom Pipeline'!$S:$S,$U136),""))</f>
        <v/>
      </c>
      <c r="L136" s="24" t="str">
        <f>IF($U136="","",IF(LEN(INDEX('MiT Strom Pipeline'!$V:$V,$U136))&gt;0,LEFT(INDEX('MiT Strom Pipeline'!$V:$V,$U136),55),""))</f>
        <v/>
      </c>
      <c r="M136" s="19"/>
      <c r="N136" s="19"/>
      <c r="O136" s="19"/>
      <c r="P136" s="19"/>
      <c r="Q136" s="19"/>
      <c r="R136" s="19"/>
      <c r="S136" s="19"/>
      <c r="U136" t="str">
        <f>IFERROR(MATCH(62,'MiT Strom Pipeline'!$AC$6:$AC$860,0)+5,"")</f>
        <v/>
      </c>
    </row>
    <row r="137" spans="1:21" ht="24" customHeight="1">
      <c r="A137" s="99" t="s">
        <v>84</v>
      </c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1"/>
      <c r="M137" s="19"/>
      <c r="N137" s="19"/>
      <c r="O137" s="19"/>
      <c r="P137" s="19"/>
      <c r="Q137" s="19"/>
      <c r="R137" s="19"/>
      <c r="S137" s="19"/>
    </row>
    <row r="138" spans="1:21" ht="19.5" customHeight="1">
      <c r="A138" s="22" t="s">
        <v>6</v>
      </c>
      <c r="B138" s="22" t="s">
        <v>78</v>
      </c>
      <c r="C138" s="22" t="s">
        <v>8</v>
      </c>
      <c r="D138" s="22" t="s">
        <v>10</v>
      </c>
      <c r="E138" s="22" t="s">
        <v>9</v>
      </c>
      <c r="F138" s="22" t="s">
        <v>79</v>
      </c>
      <c r="G138" s="22" t="s">
        <v>16</v>
      </c>
      <c r="H138" s="22" t="s">
        <v>80</v>
      </c>
      <c r="I138" s="22" t="s">
        <v>58</v>
      </c>
      <c r="J138" s="22" t="s">
        <v>14</v>
      </c>
      <c r="K138" s="22" t="s">
        <v>81</v>
      </c>
      <c r="L138" s="22" t="s">
        <v>82</v>
      </c>
      <c r="M138" s="19"/>
      <c r="N138" s="19"/>
      <c r="O138" s="19"/>
      <c r="P138" s="19"/>
      <c r="Q138" s="19"/>
      <c r="R138" s="19"/>
      <c r="S138" s="19"/>
    </row>
    <row r="139" spans="1:21" ht="15.75" customHeight="1">
      <c r="A139" s="23">
        <f>IF($U139="","",IF(ISNUMBER(INDEX('MiT Strom Pipeline'!$A:$A,$U139)),INDEX('MiT Strom Pipeline'!$A:$A,$U139),""))</f>
        <v>32</v>
      </c>
      <c r="B139" s="24" t="str">
        <f>IF($U139="","",IF(INDEX('MiT Strom Pipeline'!$B:$B,$U139)="","",INDEX('MiT Strom Pipeline'!$B:$B,$U139)))</f>
        <v>WSP</v>
      </c>
      <c r="C139" s="24" t="str">
        <f>IF($U139="","",IF(INDEX('MiT Strom Pipeline'!$C:$C,$U139)="","",INDEX('MiT Strom Pipeline'!$C:$C,$U139)))</f>
        <v>VD</v>
      </c>
      <c r="D139" s="24" t="str">
        <f>IF($U139="","",IF(INDEX('MiT Strom Pipeline'!$D:$D,$U139)="","",INDEX('MiT Strom Pipeline'!$D:$D,$U139)))</f>
        <v>Industrie</v>
      </c>
      <c r="E139" s="24" t="str">
        <f>IF($U139="","",IF(INDEX('MiT Strom Pipeline'!$H:$H,$U139)="","",INDEX('MiT Strom Pipeline'!$H:$H,$U139)))</f>
        <v>tbd</v>
      </c>
      <c r="F139" s="24" t="str">
        <f>IF($U139="","",IF(INDEX('MiT Strom Pipeline'!$E:$E,$U139)="","",INDEX('MiT Strom Pipeline'!$E:$E,$U139)))</f>
        <v>tbd</v>
      </c>
      <c r="G139" s="25">
        <f>IF($U139="","",IF(ISNUMBER(INDEX('MiT Strom Pipeline'!$I:$I,$U139)),INDEX('MiT Strom Pipeline'!$I:$I,$U139),0))</f>
        <v>0</v>
      </c>
      <c r="H139" s="25">
        <f>IF($U139="","",IF(ISNUMBER(INDEX('MiT Strom Pipeline'!$Q:$Q,$U139)),INDEX('MiT Strom Pipeline'!$Q:$Q,$U139),0))</f>
        <v>0</v>
      </c>
      <c r="I139" s="25">
        <f>IF($U139="","",IF(ISNUMBER(INDEX('MiT Strom Pipeline'!$O:$O,$U139)),INDEX('MiT Strom Pipeline'!$O:$O,$U139),0))</f>
        <v>0</v>
      </c>
      <c r="J139" s="24" t="str">
        <f>IF($U139="","",INDEX('MiT Strom Pipeline'!$R:$R,$U139))</f>
        <v>tbd</v>
      </c>
      <c r="K139" s="26">
        <f>IF($U139="","",IF(ISNUMBER(INDEX('MiT Strom Pipeline'!$S:$S,$U139)),INDEX('MiT Strom Pipeline'!$S:$S,$U139),""))</f>
        <v>0</v>
      </c>
      <c r="L139" s="24" t="str">
        <f>IF($U139="","",IF(LEN(INDEX('MiT Strom Pipeline'!$V:$V,$U139))&gt;0,LEFT(INDEX('MiT Strom Pipeline'!$V:$V,$U139),55),""))</f>
        <v>Kunde angeschrieben, Telefoniert noch kein bedarf</v>
      </c>
      <c r="M139" s="19"/>
      <c r="N139" s="19"/>
      <c r="O139" s="19"/>
      <c r="P139" s="19"/>
      <c r="Q139" s="19"/>
      <c r="R139" s="19"/>
      <c r="S139" s="19"/>
      <c r="U139">
        <f>IFERROR(MATCH(1,'MiT Strom Pipeline'!$AD$6:$AD$860,0)+5,"")</f>
        <v>51</v>
      </c>
    </row>
    <row r="140" spans="1:21" ht="15.75" customHeight="1">
      <c r="A140" s="23" t="str">
        <f>IF($U140="","",IF(ISNUMBER(INDEX('MiT Strom Pipeline'!$A:$A,$U140)),INDEX('MiT Strom Pipeline'!$A:$A,$U140),""))</f>
        <v/>
      </c>
      <c r="B140" s="24" t="str">
        <f>IF($U140="","",IF(INDEX('MiT Strom Pipeline'!$B:$B,$U140)="","",INDEX('MiT Strom Pipeline'!$B:$B,$U140)))</f>
        <v/>
      </c>
      <c r="C140" s="24" t="str">
        <f>IF($U140="","",IF(INDEX('MiT Strom Pipeline'!$C:$C,$U140)="","",INDEX('MiT Strom Pipeline'!$C:$C,$U140)))</f>
        <v/>
      </c>
      <c r="D140" s="24" t="str">
        <f>IF($U140="","",IF(INDEX('MiT Strom Pipeline'!$D:$D,$U140)="","",INDEX('MiT Strom Pipeline'!$D:$D,$U140)))</f>
        <v/>
      </c>
      <c r="E140" s="24" t="str">
        <f>IF($U140="","",IF(INDEX('MiT Strom Pipeline'!$H:$H,$U140)="","",INDEX('MiT Strom Pipeline'!$H:$H,$U140)))</f>
        <v/>
      </c>
      <c r="F140" s="24" t="str">
        <f>IF($U140="","",IF(INDEX('MiT Strom Pipeline'!$E:$E,$U140)="","",INDEX('MiT Strom Pipeline'!$E:$E,$U140)))</f>
        <v/>
      </c>
      <c r="G140" s="25" t="str">
        <f>IF($U140="","",IF(ISNUMBER(INDEX('MiT Strom Pipeline'!$I:$I,$U140)),INDEX('MiT Strom Pipeline'!$I:$I,$U140),0))</f>
        <v/>
      </c>
      <c r="H140" s="25" t="str">
        <f>IF($U140="","",IF(ISNUMBER(INDEX('MiT Strom Pipeline'!$Q:$Q,$U140)),INDEX('MiT Strom Pipeline'!$Q:$Q,$U140),0))</f>
        <v/>
      </c>
      <c r="I140" s="25" t="str">
        <f>IF($U140="","",IF(ISNUMBER(INDEX('MiT Strom Pipeline'!$O:$O,$U140)),INDEX('MiT Strom Pipeline'!$O:$O,$U140),0))</f>
        <v/>
      </c>
      <c r="J140" s="24" t="str">
        <f>IF($U140="","",INDEX('MiT Strom Pipeline'!$R:$R,$U140))</f>
        <v/>
      </c>
      <c r="K140" s="26" t="str">
        <f>IF($U140="","",IF(ISNUMBER(INDEX('MiT Strom Pipeline'!$S:$S,$U140)),INDEX('MiT Strom Pipeline'!$S:$S,$U140),""))</f>
        <v/>
      </c>
      <c r="L140" s="24" t="str">
        <f>IF($U140="","",IF(LEN(INDEX('MiT Strom Pipeline'!$V:$V,$U140))&gt;0,LEFT(INDEX('MiT Strom Pipeline'!$V:$V,$U140),55),""))</f>
        <v/>
      </c>
      <c r="M140" s="19"/>
      <c r="N140" s="19"/>
      <c r="O140" s="19"/>
      <c r="P140" s="19"/>
      <c r="Q140" s="19"/>
      <c r="R140" s="19"/>
      <c r="S140" s="19"/>
      <c r="U140" t="str">
        <f>IFERROR(MATCH(2,'MiT Strom Pipeline'!$AD$6:$AD$860,0)+5,"")</f>
        <v/>
      </c>
    </row>
    <row r="141" spans="1:21" ht="15.75" customHeight="1">
      <c r="A141" s="23" t="str">
        <f>IF($U141="","",IF(ISNUMBER(INDEX('MiT Strom Pipeline'!$A:$A,$U141)),INDEX('MiT Strom Pipeline'!$A:$A,$U141),""))</f>
        <v/>
      </c>
      <c r="B141" s="24" t="str">
        <f>IF($U141="","",IF(INDEX('MiT Strom Pipeline'!$B:$B,$U141)="","",INDEX('MiT Strom Pipeline'!$B:$B,$U141)))</f>
        <v/>
      </c>
      <c r="C141" s="24" t="str">
        <f>IF($U141="","",IF(INDEX('MiT Strom Pipeline'!$C:$C,$U141)="","",INDEX('MiT Strom Pipeline'!$C:$C,$U141)))</f>
        <v/>
      </c>
      <c r="D141" s="24" t="str">
        <f>IF($U141="","",IF(INDEX('MiT Strom Pipeline'!$D:$D,$U141)="","",INDEX('MiT Strom Pipeline'!$D:$D,$U141)))</f>
        <v/>
      </c>
      <c r="E141" s="24" t="str">
        <f>IF($U141="","",IF(INDEX('MiT Strom Pipeline'!$H:$H,$U141)="","",INDEX('MiT Strom Pipeline'!$H:$H,$U141)))</f>
        <v/>
      </c>
      <c r="F141" s="24" t="str">
        <f>IF($U141="","",IF(INDEX('MiT Strom Pipeline'!$E:$E,$U141)="","",INDEX('MiT Strom Pipeline'!$E:$E,$U141)))</f>
        <v/>
      </c>
      <c r="G141" s="25" t="str">
        <f>IF($U141="","",IF(ISNUMBER(INDEX('MiT Strom Pipeline'!$I:$I,$U141)),INDEX('MiT Strom Pipeline'!$I:$I,$U141),0))</f>
        <v/>
      </c>
      <c r="H141" s="25" t="str">
        <f>IF($U141="","",IF(ISNUMBER(INDEX('MiT Strom Pipeline'!$Q:$Q,$U141)),INDEX('MiT Strom Pipeline'!$Q:$Q,$U141),0))</f>
        <v/>
      </c>
      <c r="I141" s="25" t="str">
        <f>IF($U141="","",IF(ISNUMBER(INDEX('MiT Strom Pipeline'!$O:$O,$U141)),INDEX('MiT Strom Pipeline'!$O:$O,$U141),0))</f>
        <v/>
      </c>
      <c r="J141" s="24" t="str">
        <f>IF($U141="","",INDEX('MiT Strom Pipeline'!$R:$R,$U141))</f>
        <v/>
      </c>
      <c r="K141" s="26" t="str">
        <f>IF($U141="","",IF(ISNUMBER(INDEX('MiT Strom Pipeline'!$S:$S,$U141)),INDEX('MiT Strom Pipeline'!$S:$S,$U141),""))</f>
        <v/>
      </c>
      <c r="L141" s="24" t="str">
        <f>IF($U141="","",IF(LEN(INDEX('MiT Strom Pipeline'!$V:$V,$U141))&gt;0,LEFT(INDEX('MiT Strom Pipeline'!$V:$V,$U141),55),""))</f>
        <v/>
      </c>
      <c r="M141" s="19"/>
      <c r="N141" s="19"/>
      <c r="O141" s="19"/>
      <c r="P141" s="19"/>
      <c r="Q141" s="19"/>
      <c r="R141" s="19"/>
      <c r="S141" s="19"/>
      <c r="U141" t="str">
        <f>IFERROR(MATCH(3,'MiT Strom Pipeline'!$AD$6:$AD$860,0)+5,"")</f>
        <v/>
      </c>
    </row>
    <row r="142" spans="1:21" ht="15.75" customHeight="1">
      <c r="A142" s="23" t="str">
        <f>IF($U142="","",IF(ISNUMBER(INDEX('MiT Strom Pipeline'!$A:$A,$U142)),INDEX('MiT Strom Pipeline'!$A:$A,$U142),""))</f>
        <v/>
      </c>
      <c r="B142" s="24" t="str">
        <f>IF($U142="","",IF(INDEX('MiT Strom Pipeline'!$B:$B,$U142)="","",INDEX('MiT Strom Pipeline'!$B:$B,$U142)))</f>
        <v/>
      </c>
      <c r="C142" s="24" t="str">
        <f>IF($U142="","",IF(INDEX('MiT Strom Pipeline'!$C:$C,$U142)="","",INDEX('MiT Strom Pipeline'!$C:$C,$U142)))</f>
        <v/>
      </c>
      <c r="D142" s="24" t="str">
        <f>IF($U142="","",IF(INDEX('MiT Strom Pipeline'!$D:$D,$U142)="","",INDEX('MiT Strom Pipeline'!$D:$D,$U142)))</f>
        <v/>
      </c>
      <c r="E142" s="24" t="str">
        <f>IF($U142="","",IF(INDEX('MiT Strom Pipeline'!$H:$H,$U142)="","",INDEX('MiT Strom Pipeline'!$H:$H,$U142)))</f>
        <v/>
      </c>
      <c r="F142" s="24" t="str">
        <f>IF($U142="","",IF(INDEX('MiT Strom Pipeline'!$E:$E,$U142)="","",INDEX('MiT Strom Pipeline'!$E:$E,$U142)))</f>
        <v/>
      </c>
      <c r="G142" s="25" t="str">
        <f>IF($U142="","",IF(ISNUMBER(INDEX('MiT Strom Pipeline'!$I:$I,$U142)),INDEX('MiT Strom Pipeline'!$I:$I,$U142),0))</f>
        <v/>
      </c>
      <c r="H142" s="25" t="str">
        <f>IF($U142="","",IF(ISNUMBER(INDEX('MiT Strom Pipeline'!$Q:$Q,$U142)),INDEX('MiT Strom Pipeline'!$Q:$Q,$U142),0))</f>
        <v/>
      </c>
      <c r="I142" s="25" t="str">
        <f>IF($U142="","",IF(ISNUMBER(INDEX('MiT Strom Pipeline'!$O:$O,$U142)),INDEX('MiT Strom Pipeline'!$O:$O,$U142),0))</f>
        <v/>
      </c>
      <c r="J142" s="24" t="str">
        <f>IF($U142="","",INDEX('MiT Strom Pipeline'!$R:$R,$U142))</f>
        <v/>
      </c>
      <c r="K142" s="26" t="str">
        <f>IF($U142="","",IF(ISNUMBER(INDEX('MiT Strom Pipeline'!$S:$S,$U142)),INDEX('MiT Strom Pipeline'!$S:$S,$U142),""))</f>
        <v/>
      </c>
      <c r="L142" s="24" t="str">
        <f>IF($U142="","",IF(LEN(INDEX('MiT Strom Pipeline'!$V:$V,$U142))&gt;0,LEFT(INDEX('MiT Strom Pipeline'!$V:$V,$U142),55),""))</f>
        <v/>
      </c>
      <c r="M142" s="19"/>
      <c r="N142" s="19"/>
      <c r="O142" s="19"/>
      <c r="P142" s="19"/>
      <c r="Q142" s="19"/>
      <c r="R142" s="19"/>
      <c r="S142" s="19"/>
      <c r="U142" t="str">
        <f>IFERROR(MATCH(4,'MiT Strom Pipeline'!$AD$6:$AD$860,0)+5,"")</f>
        <v/>
      </c>
    </row>
    <row r="143" spans="1:21" ht="15.75" customHeight="1">
      <c r="A143" s="23" t="str">
        <f>IF($U143="","",IF(ISNUMBER(INDEX('MiT Strom Pipeline'!$A:$A,$U143)),INDEX('MiT Strom Pipeline'!$A:$A,$U143),""))</f>
        <v/>
      </c>
      <c r="B143" s="24" t="str">
        <f>IF($U143="","",IF(INDEX('MiT Strom Pipeline'!$B:$B,$U143)="","",INDEX('MiT Strom Pipeline'!$B:$B,$U143)))</f>
        <v/>
      </c>
      <c r="C143" s="24" t="str">
        <f>IF($U143="","",IF(INDEX('MiT Strom Pipeline'!$C:$C,$U143)="","",INDEX('MiT Strom Pipeline'!$C:$C,$U143)))</f>
        <v/>
      </c>
      <c r="D143" s="24" t="str">
        <f>IF($U143="","",IF(INDEX('MiT Strom Pipeline'!$D:$D,$U143)="","",INDEX('MiT Strom Pipeline'!$D:$D,$U143)))</f>
        <v/>
      </c>
      <c r="E143" s="24" t="str">
        <f>IF($U143="","",IF(INDEX('MiT Strom Pipeline'!$H:$H,$U143)="","",INDEX('MiT Strom Pipeline'!$H:$H,$U143)))</f>
        <v/>
      </c>
      <c r="F143" s="24" t="str">
        <f>IF($U143="","",IF(INDEX('MiT Strom Pipeline'!$E:$E,$U143)="","",INDEX('MiT Strom Pipeline'!$E:$E,$U143)))</f>
        <v/>
      </c>
      <c r="G143" s="25" t="str">
        <f>IF($U143="","",IF(ISNUMBER(INDEX('MiT Strom Pipeline'!$I:$I,$U143)),INDEX('MiT Strom Pipeline'!$I:$I,$U143),0))</f>
        <v/>
      </c>
      <c r="H143" s="25" t="str">
        <f>IF($U143="","",IF(ISNUMBER(INDEX('MiT Strom Pipeline'!$Q:$Q,$U143)),INDEX('MiT Strom Pipeline'!$Q:$Q,$U143),0))</f>
        <v/>
      </c>
      <c r="I143" s="25" t="str">
        <f>IF($U143="","",IF(ISNUMBER(INDEX('MiT Strom Pipeline'!$O:$O,$U143)),INDEX('MiT Strom Pipeline'!$O:$O,$U143),0))</f>
        <v/>
      </c>
      <c r="J143" s="24" t="str">
        <f>IF($U143="","",INDEX('MiT Strom Pipeline'!$R:$R,$U143))</f>
        <v/>
      </c>
      <c r="K143" s="26" t="str">
        <f>IF($U143="","",IF(ISNUMBER(INDEX('MiT Strom Pipeline'!$S:$S,$U143)),INDEX('MiT Strom Pipeline'!$S:$S,$U143),""))</f>
        <v/>
      </c>
      <c r="L143" s="24" t="str">
        <f>IF($U143="","",IF(LEN(INDEX('MiT Strom Pipeline'!$V:$V,$U143))&gt;0,LEFT(INDEX('MiT Strom Pipeline'!$V:$V,$U143),55),""))</f>
        <v/>
      </c>
      <c r="M143" s="19"/>
      <c r="N143" s="19"/>
      <c r="O143" s="19"/>
      <c r="P143" s="19"/>
      <c r="Q143" s="19"/>
      <c r="R143" s="19"/>
      <c r="S143" s="19"/>
      <c r="U143" t="str">
        <f>IFERROR(MATCH(5,'MiT Strom Pipeline'!$AD$6:$AD$860,0)+5,"")</f>
        <v/>
      </c>
    </row>
    <row r="144" spans="1:21" ht="15.75" customHeight="1">
      <c r="A144" s="23" t="str">
        <f>IF($U144="","",IF(ISNUMBER(INDEX('MiT Strom Pipeline'!$A:$A,$U144)),INDEX('MiT Strom Pipeline'!$A:$A,$U144),""))</f>
        <v/>
      </c>
      <c r="B144" s="24" t="str">
        <f>IF($U144="","",IF(INDEX('MiT Strom Pipeline'!$B:$B,$U144)="","",INDEX('MiT Strom Pipeline'!$B:$B,$U144)))</f>
        <v/>
      </c>
      <c r="C144" s="24" t="str">
        <f>IF($U144="","",IF(INDEX('MiT Strom Pipeline'!$C:$C,$U144)="","",INDEX('MiT Strom Pipeline'!$C:$C,$U144)))</f>
        <v/>
      </c>
      <c r="D144" s="24" t="str">
        <f>IF($U144="","",IF(INDEX('MiT Strom Pipeline'!$D:$D,$U144)="","",INDEX('MiT Strom Pipeline'!$D:$D,$U144)))</f>
        <v/>
      </c>
      <c r="E144" s="24" t="str">
        <f>IF($U144="","",IF(INDEX('MiT Strom Pipeline'!$H:$H,$U144)="","",INDEX('MiT Strom Pipeline'!$H:$H,$U144)))</f>
        <v/>
      </c>
      <c r="F144" s="24" t="str">
        <f>IF($U144="","",IF(INDEX('MiT Strom Pipeline'!$E:$E,$U144)="","",INDEX('MiT Strom Pipeline'!$E:$E,$U144)))</f>
        <v/>
      </c>
      <c r="G144" s="25" t="str">
        <f>IF($U144="","",IF(ISNUMBER(INDEX('MiT Strom Pipeline'!$I:$I,$U144)),INDEX('MiT Strom Pipeline'!$I:$I,$U144),0))</f>
        <v/>
      </c>
      <c r="H144" s="25" t="str">
        <f>IF($U144="","",IF(ISNUMBER(INDEX('MiT Strom Pipeline'!$Q:$Q,$U144)),INDEX('MiT Strom Pipeline'!$Q:$Q,$U144),0))</f>
        <v/>
      </c>
      <c r="I144" s="25" t="str">
        <f>IF($U144="","",IF(ISNUMBER(INDEX('MiT Strom Pipeline'!$O:$O,$U144)),INDEX('MiT Strom Pipeline'!$O:$O,$U144),0))</f>
        <v/>
      </c>
      <c r="J144" s="24" t="str">
        <f>IF($U144="","",INDEX('MiT Strom Pipeline'!$R:$R,$U144))</f>
        <v/>
      </c>
      <c r="K144" s="26" t="str">
        <f>IF($U144="","",IF(ISNUMBER(INDEX('MiT Strom Pipeline'!$S:$S,$U144)),INDEX('MiT Strom Pipeline'!$S:$S,$U144),""))</f>
        <v/>
      </c>
      <c r="L144" s="24" t="str">
        <f>IF($U144="","",IF(LEN(INDEX('MiT Strom Pipeline'!$V:$V,$U144))&gt;0,LEFT(INDEX('MiT Strom Pipeline'!$V:$V,$U144),55),""))</f>
        <v/>
      </c>
      <c r="M144" s="19"/>
      <c r="N144" s="19"/>
      <c r="O144" s="19"/>
      <c r="P144" s="19"/>
      <c r="Q144" s="19"/>
      <c r="R144" s="19"/>
      <c r="S144" s="19"/>
      <c r="U144" t="str">
        <f>IFERROR(MATCH(6,'MiT Strom Pipeline'!$AD$6:$AD$860,0)+5,"")</f>
        <v/>
      </c>
    </row>
    <row r="145" spans="1:21" ht="15.75" customHeight="1">
      <c r="A145" s="23" t="str">
        <f>IF($U145="","",IF(ISNUMBER(INDEX('MiT Strom Pipeline'!$A:$A,$U145)),INDEX('MiT Strom Pipeline'!$A:$A,$U145),""))</f>
        <v/>
      </c>
      <c r="B145" s="24" t="str">
        <f>IF($U145="","",IF(INDEX('MiT Strom Pipeline'!$B:$B,$U145)="","",INDEX('MiT Strom Pipeline'!$B:$B,$U145)))</f>
        <v/>
      </c>
      <c r="C145" s="24" t="str">
        <f>IF($U145="","",IF(INDEX('MiT Strom Pipeline'!$C:$C,$U145)="","",INDEX('MiT Strom Pipeline'!$C:$C,$U145)))</f>
        <v/>
      </c>
      <c r="D145" s="24" t="str">
        <f>IF($U145="","",IF(INDEX('MiT Strom Pipeline'!$D:$D,$U145)="","",INDEX('MiT Strom Pipeline'!$D:$D,$U145)))</f>
        <v/>
      </c>
      <c r="E145" s="24" t="str">
        <f>IF($U145="","",IF(INDEX('MiT Strom Pipeline'!$H:$H,$U145)="","",INDEX('MiT Strom Pipeline'!$H:$H,$U145)))</f>
        <v/>
      </c>
      <c r="F145" s="24" t="str">
        <f>IF($U145="","",IF(INDEX('MiT Strom Pipeline'!$E:$E,$U145)="","",INDEX('MiT Strom Pipeline'!$E:$E,$U145)))</f>
        <v/>
      </c>
      <c r="G145" s="25" t="str">
        <f>IF($U145="","",IF(ISNUMBER(INDEX('MiT Strom Pipeline'!$I:$I,$U145)),INDEX('MiT Strom Pipeline'!$I:$I,$U145),0))</f>
        <v/>
      </c>
      <c r="H145" s="25" t="str">
        <f>IF($U145="","",IF(ISNUMBER(INDEX('MiT Strom Pipeline'!$Q:$Q,$U145)),INDEX('MiT Strom Pipeline'!$Q:$Q,$U145),0))</f>
        <v/>
      </c>
      <c r="I145" s="25" t="str">
        <f>IF($U145="","",IF(ISNUMBER(INDEX('MiT Strom Pipeline'!$O:$O,$U145)),INDEX('MiT Strom Pipeline'!$O:$O,$U145),0))</f>
        <v/>
      </c>
      <c r="J145" s="24" t="str">
        <f>IF($U145="","",INDEX('MiT Strom Pipeline'!$R:$R,$U145))</f>
        <v/>
      </c>
      <c r="K145" s="26" t="str">
        <f>IF($U145="","",IF(ISNUMBER(INDEX('MiT Strom Pipeline'!$S:$S,$U145)),INDEX('MiT Strom Pipeline'!$S:$S,$U145),""))</f>
        <v/>
      </c>
      <c r="L145" s="24" t="str">
        <f>IF($U145="","",IF(LEN(INDEX('MiT Strom Pipeline'!$V:$V,$U145))&gt;0,LEFT(INDEX('MiT Strom Pipeline'!$V:$V,$U145),55),""))</f>
        <v/>
      </c>
      <c r="M145" s="19"/>
      <c r="N145" s="19"/>
      <c r="O145" s="19"/>
      <c r="P145" s="19"/>
      <c r="Q145" s="19"/>
      <c r="R145" s="19"/>
      <c r="S145" s="19"/>
      <c r="U145" t="str">
        <f>IFERROR(MATCH(7,'MiT Strom Pipeline'!$AD$6:$AD$860,0)+5,"")</f>
        <v/>
      </c>
    </row>
    <row r="146" spans="1:21" ht="15.75" customHeight="1">
      <c r="A146" s="23" t="str">
        <f>IF($U146="","",IF(ISNUMBER(INDEX('MiT Strom Pipeline'!$A:$A,$U146)),INDEX('MiT Strom Pipeline'!$A:$A,$U146),""))</f>
        <v/>
      </c>
      <c r="B146" s="24" t="str">
        <f>IF($U146="","",IF(INDEX('MiT Strom Pipeline'!$B:$B,$U146)="","",INDEX('MiT Strom Pipeline'!$B:$B,$U146)))</f>
        <v/>
      </c>
      <c r="C146" s="24" t="str">
        <f>IF($U146="","",IF(INDEX('MiT Strom Pipeline'!$C:$C,$U146)="","",INDEX('MiT Strom Pipeline'!$C:$C,$U146)))</f>
        <v/>
      </c>
      <c r="D146" s="24" t="str">
        <f>IF($U146="","",IF(INDEX('MiT Strom Pipeline'!$D:$D,$U146)="","",INDEX('MiT Strom Pipeline'!$D:$D,$U146)))</f>
        <v/>
      </c>
      <c r="E146" s="24" t="str">
        <f>IF($U146="","",IF(INDEX('MiT Strom Pipeline'!$H:$H,$U146)="","",INDEX('MiT Strom Pipeline'!$H:$H,$U146)))</f>
        <v/>
      </c>
      <c r="F146" s="24" t="str">
        <f>IF($U146="","",IF(INDEX('MiT Strom Pipeline'!$E:$E,$U146)="","",INDEX('MiT Strom Pipeline'!$E:$E,$U146)))</f>
        <v/>
      </c>
      <c r="G146" s="25" t="str">
        <f>IF($U146="","",IF(ISNUMBER(INDEX('MiT Strom Pipeline'!$I:$I,$U146)),INDEX('MiT Strom Pipeline'!$I:$I,$U146),0))</f>
        <v/>
      </c>
      <c r="H146" s="25" t="str">
        <f>IF($U146="","",IF(ISNUMBER(INDEX('MiT Strom Pipeline'!$Q:$Q,$U146)),INDEX('MiT Strom Pipeline'!$Q:$Q,$U146),0))</f>
        <v/>
      </c>
      <c r="I146" s="25" t="str">
        <f>IF($U146="","",IF(ISNUMBER(INDEX('MiT Strom Pipeline'!$O:$O,$U146)),INDEX('MiT Strom Pipeline'!$O:$O,$U146),0))</f>
        <v/>
      </c>
      <c r="J146" s="24" t="str">
        <f>IF($U146="","",INDEX('MiT Strom Pipeline'!$R:$R,$U146))</f>
        <v/>
      </c>
      <c r="K146" s="26" t="str">
        <f>IF($U146="","",IF(ISNUMBER(INDEX('MiT Strom Pipeline'!$S:$S,$U146)),INDEX('MiT Strom Pipeline'!$S:$S,$U146),""))</f>
        <v/>
      </c>
      <c r="L146" s="24" t="str">
        <f>IF($U146="","",IF(LEN(INDEX('MiT Strom Pipeline'!$V:$V,$U146))&gt;0,LEFT(INDEX('MiT Strom Pipeline'!$V:$V,$U146),55),""))</f>
        <v/>
      </c>
      <c r="M146" s="19"/>
      <c r="N146" s="19"/>
      <c r="O146" s="19"/>
      <c r="P146" s="19"/>
      <c r="Q146" s="19"/>
      <c r="R146" s="19"/>
      <c r="S146" s="19"/>
      <c r="U146" t="str">
        <f>IFERROR(MATCH(8,'MiT Strom Pipeline'!$AD$6:$AD$860,0)+5,"")</f>
        <v/>
      </c>
    </row>
    <row r="147" spans="1:21" ht="15.75" customHeight="1">
      <c r="A147" s="23" t="str">
        <f>IF($U147="","",IF(ISNUMBER(INDEX('MiT Strom Pipeline'!$A:$A,$U147)),INDEX('MiT Strom Pipeline'!$A:$A,$U147),""))</f>
        <v/>
      </c>
      <c r="B147" s="24" t="str">
        <f>IF($U147="","",IF(INDEX('MiT Strom Pipeline'!$B:$B,$U147)="","",INDEX('MiT Strom Pipeline'!$B:$B,$U147)))</f>
        <v/>
      </c>
      <c r="C147" s="24" t="str">
        <f>IF($U147="","",IF(INDEX('MiT Strom Pipeline'!$C:$C,$U147)="","",INDEX('MiT Strom Pipeline'!$C:$C,$U147)))</f>
        <v/>
      </c>
      <c r="D147" s="24" t="str">
        <f>IF($U147="","",IF(INDEX('MiT Strom Pipeline'!$D:$D,$U147)="","",INDEX('MiT Strom Pipeline'!$D:$D,$U147)))</f>
        <v/>
      </c>
      <c r="E147" s="24" t="str">
        <f>IF($U147="","",IF(INDEX('MiT Strom Pipeline'!$H:$H,$U147)="","",INDEX('MiT Strom Pipeline'!$H:$H,$U147)))</f>
        <v/>
      </c>
      <c r="F147" s="24" t="str">
        <f>IF($U147="","",IF(INDEX('MiT Strom Pipeline'!$E:$E,$U147)="","",INDEX('MiT Strom Pipeline'!$E:$E,$U147)))</f>
        <v/>
      </c>
      <c r="G147" s="25" t="str">
        <f>IF($U147="","",IF(ISNUMBER(INDEX('MiT Strom Pipeline'!$I:$I,$U147)),INDEX('MiT Strom Pipeline'!$I:$I,$U147),0))</f>
        <v/>
      </c>
      <c r="H147" s="25" t="str">
        <f>IF($U147="","",IF(ISNUMBER(INDEX('MiT Strom Pipeline'!$Q:$Q,$U147)),INDEX('MiT Strom Pipeline'!$Q:$Q,$U147),0))</f>
        <v/>
      </c>
      <c r="I147" s="25" t="str">
        <f>IF($U147="","",IF(ISNUMBER(INDEX('MiT Strom Pipeline'!$O:$O,$U147)),INDEX('MiT Strom Pipeline'!$O:$O,$U147),0))</f>
        <v/>
      </c>
      <c r="J147" s="24" t="str">
        <f>IF($U147="","",INDEX('MiT Strom Pipeline'!$R:$R,$U147))</f>
        <v/>
      </c>
      <c r="K147" s="26" t="str">
        <f>IF($U147="","",IF(ISNUMBER(INDEX('MiT Strom Pipeline'!$S:$S,$U147)),INDEX('MiT Strom Pipeline'!$S:$S,$U147),""))</f>
        <v/>
      </c>
      <c r="L147" s="24" t="str">
        <f>IF($U147="","",IF(LEN(INDEX('MiT Strom Pipeline'!$V:$V,$U147))&gt;0,LEFT(INDEX('MiT Strom Pipeline'!$V:$V,$U147),55),""))</f>
        <v/>
      </c>
      <c r="M147" s="19"/>
      <c r="N147" s="19"/>
      <c r="O147" s="19"/>
      <c r="P147" s="19"/>
      <c r="Q147" s="19"/>
      <c r="R147" s="19"/>
      <c r="S147" s="19"/>
      <c r="U147" t="str">
        <f>IFERROR(MATCH(9,'MiT Strom Pipeline'!$AD$6:$AD$860,0)+5,"")</f>
        <v/>
      </c>
    </row>
    <row r="148" spans="1:21" ht="15.75" customHeight="1">
      <c r="A148" s="23" t="str">
        <f>IF($U148="","",IF(ISNUMBER(INDEX('MiT Strom Pipeline'!$A:$A,$U148)),INDEX('MiT Strom Pipeline'!$A:$A,$U148),""))</f>
        <v/>
      </c>
      <c r="B148" s="24" t="str">
        <f>IF($U148="","",IF(INDEX('MiT Strom Pipeline'!$B:$B,$U148)="","",INDEX('MiT Strom Pipeline'!$B:$B,$U148)))</f>
        <v/>
      </c>
      <c r="C148" s="24" t="str">
        <f>IF($U148="","",IF(INDEX('MiT Strom Pipeline'!$C:$C,$U148)="","",INDEX('MiT Strom Pipeline'!$C:$C,$U148)))</f>
        <v/>
      </c>
      <c r="D148" s="24" t="str">
        <f>IF($U148="","",IF(INDEX('MiT Strom Pipeline'!$D:$D,$U148)="","",INDEX('MiT Strom Pipeline'!$D:$D,$U148)))</f>
        <v/>
      </c>
      <c r="E148" s="24" t="str">
        <f>IF($U148="","",IF(INDEX('MiT Strom Pipeline'!$H:$H,$U148)="","",INDEX('MiT Strom Pipeline'!$H:$H,$U148)))</f>
        <v/>
      </c>
      <c r="F148" s="24" t="str">
        <f>IF($U148="","",IF(INDEX('MiT Strom Pipeline'!$E:$E,$U148)="","",INDEX('MiT Strom Pipeline'!$E:$E,$U148)))</f>
        <v/>
      </c>
      <c r="G148" s="25" t="str">
        <f>IF($U148="","",IF(ISNUMBER(INDEX('MiT Strom Pipeline'!$I:$I,$U148)),INDEX('MiT Strom Pipeline'!$I:$I,$U148),0))</f>
        <v/>
      </c>
      <c r="H148" s="25" t="str">
        <f>IF($U148="","",IF(ISNUMBER(INDEX('MiT Strom Pipeline'!$Q:$Q,$U148)),INDEX('MiT Strom Pipeline'!$Q:$Q,$U148),0))</f>
        <v/>
      </c>
      <c r="I148" s="25" t="str">
        <f>IF($U148="","",IF(ISNUMBER(INDEX('MiT Strom Pipeline'!$O:$O,$U148)),INDEX('MiT Strom Pipeline'!$O:$O,$U148),0))</f>
        <v/>
      </c>
      <c r="J148" s="24" t="str">
        <f>IF($U148="","",INDEX('MiT Strom Pipeline'!$R:$R,$U148))</f>
        <v/>
      </c>
      <c r="K148" s="26" t="str">
        <f>IF($U148="","",IF(ISNUMBER(INDEX('MiT Strom Pipeline'!$S:$S,$U148)),INDEX('MiT Strom Pipeline'!$S:$S,$U148),""))</f>
        <v/>
      </c>
      <c r="L148" s="24" t="str">
        <f>IF($U148="","",IF(LEN(INDEX('MiT Strom Pipeline'!$V:$V,$U148))&gt;0,LEFT(INDEX('MiT Strom Pipeline'!$V:$V,$U148),55),""))</f>
        <v/>
      </c>
      <c r="M148" s="19"/>
      <c r="N148" s="19"/>
      <c r="O148" s="19"/>
      <c r="P148" s="19"/>
      <c r="Q148" s="19"/>
      <c r="R148" s="19"/>
      <c r="S148" s="19"/>
      <c r="U148" t="str">
        <f>IFERROR(MATCH(10,'MiT Strom Pipeline'!$AD$6:$AD$860,0)+5,"")</f>
        <v/>
      </c>
    </row>
    <row r="149" spans="1:21" ht="15.75" customHeight="1">
      <c r="A149" s="23" t="str">
        <f>IF($U149="","",IF(ISNUMBER(INDEX('MiT Strom Pipeline'!$A:$A,$U149)),INDEX('MiT Strom Pipeline'!$A:$A,$U149),""))</f>
        <v/>
      </c>
      <c r="B149" s="24" t="str">
        <f>IF($U149="","",IF(INDEX('MiT Strom Pipeline'!$B:$B,$U149)="","",INDEX('MiT Strom Pipeline'!$B:$B,$U149)))</f>
        <v/>
      </c>
      <c r="C149" s="24" t="str">
        <f>IF($U149="","",IF(INDEX('MiT Strom Pipeline'!$C:$C,$U149)="","",INDEX('MiT Strom Pipeline'!$C:$C,$U149)))</f>
        <v/>
      </c>
      <c r="D149" s="24" t="str">
        <f>IF($U149="","",IF(INDEX('MiT Strom Pipeline'!$D:$D,$U149)="","",INDEX('MiT Strom Pipeline'!$D:$D,$U149)))</f>
        <v/>
      </c>
      <c r="E149" s="24" t="str">
        <f>IF($U149="","",IF(INDEX('MiT Strom Pipeline'!$H:$H,$U149)="","",INDEX('MiT Strom Pipeline'!$H:$H,$U149)))</f>
        <v/>
      </c>
      <c r="F149" s="24" t="str">
        <f>IF($U149="","",IF(INDEX('MiT Strom Pipeline'!$E:$E,$U149)="","",INDEX('MiT Strom Pipeline'!$E:$E,$U149)))</f>
        <v/>
      </c>
      <c r="G149" s="25" t="str">
        <f>IF($U149="","",IF(ISNUMBER(INDEX('MiT Strom Pipeline'!$I:$I,$U149)),INDEX('MiT Strom Pipeline'!$I:$I,$U149),0))</f>
        <v/>
      </c>
      <c r="H149" s="25" t="str">
        <f>IF($U149="","",IF(ISNUMBER(INDEX('MiT Strom Pipeline'!$Q:$Q,$U149)),INDEX('MiT Strom Pipeline'!$Q:$Q,$U149),0))</f>
        <v/>
      </c>
      <c r="I149" s="25" t="str">
        <f>IF($U149="","",IF(ISNUMBER(INDEX('MiT Strom Pipeline'!$O:$O,$U149)),INDEX('MiT Strom Pipeline'!$O:$O,$U149),0))</f>
        <v/>
      </c>
      <c r="J149" s="24" t="str">
        <f>IF($U149="","",INDEX('MiT Strom Pipeline'!$R:$R,$U149))</f>
        <v/>
      </c>
      <c r="K149" s="26" t="str">
        <f>IF($U149="","",IF(ISNUMBER(INDEX('MiT Strom Pipeline'!$S:$S,$U149)),INDEX('MiT Strom Pipeline'!$S:$S,$U149),""))</f>
        <v/>
      </c>
      <c r="L149" s="24" t="str">
        <f>IF($U149="","",IF(LEN(INDEX('MiT Strom Pipeline'!$V:$V,$U149))&gt;0,LEFT(INDEX('MiT Strom Pipeline'!$V:$V,$U149),55),""))</f>
        <v/>
      </c>
      <c r="M149" s="19"/>
      <c r="N149" s="19"/>
      <c r="O149" s="19"/>
      <c r="P149" s="19"/>
      <c r="Q149" s="19"/>
      <c r="R149" s="19"/>
      <c r="S149" s="19"/>
      <c r="U149" t="str">
        <f>IFERROR(MATCH(11,'MiT Strom Pipeline'!$AD$6:$AD$860,0)+5,"")</f>
        <v/>
      </c>
    </row>
    <row r="150" spans="1:21" ht="15.75" customHeight="1">
      <c r="A150" s="23" t="str">
        <f>IF($U150="","",IF(ISNUMBER(INDEX('MiT Strom Pipeline'!$A:$A,$U150)),INDEX('MiT Strom Pipeline'!$A:$A,$U150),""))</f>
        <v/>
      </c>
      <c r="B150" s="24" t="str">
        <f>IF($U150="","",IF(INDEX('MiT Strom Pipeline'!$B:$B,$U150)="","",INDEX('MiT Strom Pipeline'!$B:$B,$U150)))</f>
        <v/>
      </c>
      <c r="C150" s="24" t="str">
        <f>IF($U150="","",IF(INDEX('MiT Strom Pipeline'!$C:$C,$U150)="","",INDEX('MiT Strom Pipeline'!$C:$C,$U150)))</f>
        <v/>
      </c>
      <c r="D150" s="24" t="str">
        <f>IF($U150="","",IF(INDEX('MiT Strom Pipeline'!$D:$D,$U150)="","",INDEX('MiT Strom Pipeline'!$D:$D,$U150)))</f>
        <v/>
      </c>
      <c r="E150" s="24" t="str">
        <f>IF($U150="","",IF(INDEX('MiT Strom Pipeline'!$H:$H,$U150)="","",INDEX('MiT Strom Pipeline'!$H:$H,$U150)))</f>
        <v/>
      </c>
      <c r="F150" s="24" t="str">
        <f>IF($U150="","",IF(INDEX('MiT Strom Pipeline'!$E:$E,$U150)="","",INDEX('MiT Strom Pipeline'!$E:$E,$U150)))</f>
        <v/>
      </c>
      <c r="G150" s="25" t="str">
        <f>IF($U150="","",IF(ISNUMBER(INDEX('MiT Strom Pipeline'!$I:$I,$U150)),INDEX('MiT Strom Pipeline'!$I:$I,$U150),0))</f>
        <v/>
      </c>
      <c r="H150" s="25" t="str">
        <f>IF($U150="","",IF(ISNUMBER(INDEX('MiT Strom Pipeline'!$Q:$Q,$U150)),INDEX('MiT Strom Pipeline'!$Q:$Q,$U150),0))</f>
        <v/>
      </c>
      <c r="I150" s="25" t="str">
        <f>IF($U150="","",IF(ISNUMBER(INDEX('MiT Strom Pipeline'!$O:$O,$U150)),INDEX('MiT Strom Pipeline'!$O:$O,$U150),0))</f>
        <v/>
      </c>
      <c r="J150" s="24" t="str">
        <f>IF($U150="","",INDEX('MiT Strom Pipeline'!$R:$R,$U150))</f>
        <v/>
      </c>
      <c r="K150" s="26" t="str">
        <f>IF($U150="","",IF(ISNUMBER(INDEX('MiT Strom Pipeline'!$S:$S,$U150)),INDEX('MiT Strom Pipeline'!$S:$S,$U150),""))</f>
        <v/>
      </c>
      <c r="L150" s="24" t="str">
        <f>IF($U150="","",IF(LEN(INDEX('MiT Strom Pipeline'!$V:$V,$U150))&gt;0,LEFT(INDEX('MiT Strom Pipeline'!$V:$V,$U150),55),""))</f>
        <v/>
      </c>
      <c r="M150" s="19"/>
      <c r="N150" s="19"/>
      <c r="O150" s="19"/>
      <c r="P150" s="19"/>
      <c r="Q150" s="19"/>
      <c r="R150" s="19"/>
      <c r="S150" s="19"/>
      <c r="U150" t="str">
        <f>IFERROR(MATCH(12,'MiT Strom Pipeline'!$AD$6:$AD$860,0)+5,"")</f>
        <v/>
      </c>
    </row>
    <row r="151" spans="1:21" ht="15.75" customHeight="1">
      <c r="A151" s="23" t="str">
        <f>IF($U151="","",IF(ISNUMBER(INDEX('MiT Strom Pipeline'!$A:$A,$U151)),INDEX('MiT Strom Pipeline'!$A:$A,$U151),""))</f>
        <v/>
      </c>
      <c r="B151" s="24" t="str">
        <f>IF($U151="","",IF(INDEX('MiT Strom Pipeline'!$B:$B,$U151)="","",INDEX('MiT Strom Pipeline'!$B:$B,$U151)))</f>
        <v/>
      </c>
      <c r="C151" s="24" t="str">
        <f>IF($U151="","",IF(INDEX('MiT Strom Pipeline'!$C:$C,$U151)="","",INDEX('MiT Strom Pipeline'!$C:$C,$U151)))</f>
        <v/>
      </c>
      <c r="D151" s="24" t="str">
        <f>IF($U151="","",IF(INDEX('MiT Strom Pipeline'!$D:$D,$U151)="","",INDEX('MiT Strom Pipeline'!$D:$D,$U151)))</f>
        <v/>
      </c>
      <c r="E151" s="24" t="str">
        <f>IF($U151="","",IF(INDEX('MiT Strom Pipeline'!$H:$H,$U151)="","",INDEX('MiT Strom Pipeline'!$H:$H,$U151)))</f>
        <v/>
      </c>
      <c r="F151" s="24" t="str">
        <f>IF($U151="","",IF(INDEX('MiT Strom Pipeline'!$E:$E,$U151)="","",INDEX('MiT Strom Pipeline'!$E:$E,$U151)))</f>
        <v/>
      </c>
      <c r="G151" s="25" t="str">
        <f>IF($U151="","",IF(ISNUMBER(INDEX('MiT Strom Pipeline'!$I:$I,$U151)),INDEX('MiT Strom Pipeline'!$I:$I,$U151),0))</f>
        <v/>
      </c>
      <c r="H151" s="25" t="str">
        <f>IF($U151="","",IF(ISNUMBER(INDEX('MiT Strom Pipeline'!$Q:$Q,$U151)),INDEX('MiT Strom Pipeline'!$Q:$Q,$U151),0))</f>
        <v/>
      </c>
      <c r="I151" s="25" t="str">
        <f>IF($U151="","",IF(ISNUMBER(INDEX('MiT Strom Pipeline'!$O:$O,$U151)),INDEX('MiT Strom Pipeline'!$O:$O,$U151),0))</f>
        <v/>
      </c>
      <c r="J151" s="24" t="str">
        <f>IF($U151="","",INDEX('MiT Strom Pipeline'!$R:$R,$U151))</f>
        <v/>
      </c>
      <c r="K151" s="26" t="str">
        <f>IF($U151="","",IF(ISNUMBER(INDEX('MiT Strom Pipeline'!$S:$S,$U151)),INDEX('MiT Strom Pipeline'!$S:$S,$U151),""))</f>
        <v/>
      </c>
      <c r="L151" s="24" t="str">
        <f>IF($U151="","",IF(LEN(INDEX('MiT Strom Pipeline'!$V:$V,$U151))&gt;0,LEFT(INDEX('MiT Strom Pipeline'!$V:$V,$U151),55),""))</f>
        <v/>
      </c>
      <c r="M151" s="19"/>
      <c r="N151" s="19"/>
      <c r="O151" s="19"/>
      <c r="P151" s="19"/>
      <c r="Q151" s="19"/>
      <c r="R151" s="19"/>
      <c r="S151" s="19"/>
      <c r="U151" t="str">
        <f>IFERROR(MATCH(13,'MiT Strom Pipeline'!$AD$6:$AD$860,0)+5,"")</f>
        <v/>
      </c>
    </row>
    <row r="152" spans="1:21" ht="15.75" customHeight="1">
      <c r="A152" s="23" t="str">
        <f>IF($U152="","",IF(ISNUMBER(INDEX('MiT Strom Pipeline'!$A:$A,$U152)),INDEX('MiT Strom Pipeline'!$A:$A,$U152),""))</f>
        <v/>
      </c>
      <c r="B152" s="24" t="str">
        <f>IF($U152="","",IF(INDEX('MiT Strom Pipeline'!$B:$B,$U152)="","",INDEX('MiT Strom Pipeline'!$B:$B,$U152)))</f>
        <v/>
      </c>
      <c r="C152" s="24" t="str">
        <f>IF($U152="","",IF(INDEX('MiT Strom Pipeline'!$C:$C,$U152)="","",INDEX('MiT Strom Pipeline'!$C:$C,$U152)))</f>
        <v/>
      </c>
      <c r="D152" s="24" t="str">
        <f>IF($U152="","",IF(INDEX('MiT Strom Pipeline'!$D:$D,$U152)="","",INDEX('MiT Strom Pipeline'!$D:$D,$U152)))</f>
        <v/>
      </c>
      <c r="E152" s="24" t="str">
        <f>IF($U152="","",IF(INDEX('MiT Strom Pipeline'!$H:$H,$U152)="","",INDEX('MiT Strom Pipeline'!$H:$H,$U152)))</f>
        <v/>
      </c>
      <c r="F152" s="24" t="str">
        <f>IF($U152="","",IF(INDEX('MiT Strom Pipeline'!$E:$E,$U152)="","",INDEX('MiT Strom Pipeline'!$E:$E,$U152)))</f>
        <v/>
      </c>
      <c r="G152" s="25" t="str">
        <f>IF($U152="","",IF(ISNUMBER(INDEX('MiT Strom Pipeline'!$I:$I,$U152)),INDEX('MiT Strom Pipeline'!$I:$I,$U152),0))</f>
        <v/>
      </c>
      <c r="H152" s="25" t="str">
        <f>IF($U152="","",IF(ISNUMBER(INDEX('MiT Strom Pipeline'!$Q:$Q,$U152)),INDEX('MiT Strom Pipeline'!$Q:$Q,$U152),0))</f>
        <v/>
      </c>
      <c r="I152" s="25" t="str">
        <f>IF($U152="","",IF(ISNUMBER(INDEX('MiT Strom Pipeline'!$O:$O,$U152)),INDEX('MiT Strom Pipeline'!$O:$O,$U152),0))</f>
        <v/>
      </c>
      <c r="J152" s="24" t="str">
        <f>IF($U152="","",INDEX('MiT Strom Pipeline'!$R:$R,$U152))</f>
        <v/>
      </c>
      <c r="K152" s="26" t="str">
        <f>IF($U152="","",IF(ISNUMBER(INDEX('MiT Strom Pipeline'!$S:$S,$U152)),INDEX('MiT Strom Pipeline'!$S:$S,$U152),""))</f>
        <v/>
      </c>
      <c r="L152" s="24" t="str">
        <f>IF($U152="","",IF(LEN(INDEX('MiT Strom Pipeline'!$V:$V,$U152))&gt;0,LEFT(INDEX('MiT Strom Pipeline'!$V:$V,$U152),55),""))</f>
        <v/>
      </c>
      <c r="M152" s="19"/>
      <c r="N152" s="19"/>
      <c r="O152" s="19"/>
      <c r="P152" s="19"/>
      <c r="Q152" s="19"/>
      <c r="R152" s="19"/>
      <c r="S152" s="19"/>
      <c r="U152" t="str">
        <f>IFERROR(MATCH(14,'MiT Strom Pipeline'!$AD$6:$AD$860,0)+5,"")</f>
        <v/>
      </c>
    </row>
    <row r="153" spans="1:21" ht="15.75" customHeight="1">
      <c r="A153" s="23" t="str">
        <f>IF($U153="","",IF(ISNUMBER(INDEX('MiT Strom Pipeline'!$A:$A,$U153)),INDEX('MiT Strom Pipeline'!$A:$A,$U153),""))</f>
        <v/>
      </c>
      <c r="B153" s="24" t="str">
        <f>IF($U153="","",IF(INDEX('MiT Strom Pipeline'!$B:$B,$U153)="","",INDEX('MiT Strom Pipeline'!$B:$B,$U153)))</f>
        <v/>
      </c>
      <c r="C153" s="24" t="str">
        <f>IF($U153="","",IF(INDEX('MiT Strom Pipeline'!$C:$C,$U153)="","",INDEX('MiT Strom Pipeline'!$C:$C,$U153)))</f>
        <v/>
      </c>
      <c r="D153" s="24" t="str">
        <f>IF($U153="","",IF(INDEX('MiT Strom Pipeline'!$D:$D,$U153)="","",INDEX('MiT Strom Pipeline'!$D:$D,$U153)))</f>
        <v/>
      </c>
      <c r="E153" s="24" t="str">
        <f>IF($U153="","",IF(INDEX('MiT Strom Pipeline'!$H:$H,$U153)="","",INDEX('MiT Strom Pipeline'!$H:$H,$U153)))</f>
        <v/>
      </c>
      <c r="F153" s="24" t="str">
        <f>IF($U153="","",IF(INDEX('MiT Strom Pipeline'!$E:$E,$U153)="","",INDEX('MiT Strom Pipeline'!$E:$E,$U153)))</f>
        <v/>
      </c>
      <c r="G153" s="25" t="str">
        <f>IF($U153="","",IF(ISNUMBER(INDEX('MiT Strom Pipeline'!$I:$I,$U153)),INDEX('MiT Strom Pipeline'!$I:$I,$U153),0))</f>
        <v/>
      </c>
      <c r="H153" s="25" t="str">
        <f>IF($U153="","",IF(ISNUMBER(INDEX('MiT Strom Pipeline'!$Q:$Q,$U153)),INDEX('MiT Strom Pipeline'!$Q:$Q,$U153),0))</f>
        <v/>
      </c>
      <c r="I153" s="25" t="str">
        <f>IF($U153="","",IF(ISNUMBER(INDEX('MiT Strom Pipeline'!$O:$O,$U153)),INDEX('MiT Strom Pipeline'!$O:$O,$U153),0))</f>
        <v/>
      </c>
      <c r="J153" s="24" t="str">
        <f>IF($U153="","",INDEX('MiT Strom Pipeline'!$R:$R,$U153))</f>
        <v/>
      </c>
      <c r="K153" s="26" t="str">
        <f>IF($U153="","",IF(ISNUMBER(INDEX('MiT Strom Pipeline'!$S:$S,$U153)),INDEX('MiT Strom Pipeline'!$S:$S,$U153),""))</f>
        <v/>
      </c>
      <c r="L153" s="24" t="str">
        <f>IF($U153="","",IF(LEN(INDEX('MiT Strom Pipeline'!$V:$V,$U153))&gt;0,LEFT(INDEX('MiT Strom Pipeline'!$V:$V,$U153),55),""))</f>
        <v/>
      </c>
      <c r="M153" s="19"/>
      <c r="N153" s="19"/>
      <c r="O153" s="19"/>
      <c r="P153" s="19"/>
      <c r="Q153" s="19"/>
      <c r="R153" s="19"/>
      <c r="S153" s="19"/>
      <c r="U153" t="str">
        <f>IFERROR(MATCH(15,'MiT Strom Pipeline'!$AD$6:$AD$860,0)+5,"")</f>
        <v/>
      </c>
    </row>
    <row r="154" spans="1:21" ht="15.75" customHeight="1">
      <c r="A154" s="23" t="str">
        <f>IF($U154="","",IF(ISNUMBER(INDEX('MiT Strom Pipeline'!$A:$A,$U154)),INDEX('MiT Strom Pipeline'!$A:$A,$U154),""))</f>
        <v/>
      </c>
      <c r="B154" s="24" t="str">
        <f>IF($U154="","",IF(INDEX('MiT Strom Pipeline'!$B:$B,$U154)="","",INDEX('MiT Strom Pipeline'!$B:$B,$U154)))</f>
        <v/>
      </c>
      <c r="C154" s="24" t="str">
        <f>IF($U154="","",IF(INDEX('MiT Strom Pipeline'!$C:$C,$U154)="","",INDEX('MiT Strom Pipeline'!$C:$C,$U154)))</f>
        <v/>
      </c>
      <c r="D154" s="24" t="str">
        <f>IF($U154="","",IF(INDEX('MiT Strom Pipeline'!$D:$D,$U154)="","",INDEX('MiT Strom Pipeline'!$D:$D,$U154)))</f>
        <v/>
      </c>
      <c r="E154" s="24" t="str">
        <f>IF($U154="","",IF(INDEX('MiT Strom Pipeline'!$H:$H,$U154)="","",INDEX('MiT Strom Pipeline'!$H:$H,$U154)))</f>
        <v/>
      </c>
      <c r="F154" s="24" t="str">
        <f>IF($U154="","",IF(INDEX('MiT Strom Pipeline'!$E:$E,$U154)="","",INDEX('MiT Strom Pipeline'!$E:$E,$U154)))</f>
        <v/>
      </c>
      <c r="G154" s="25" t="str">
        <f>IF($U154="","",IF(ISNUMBER(INDEX('MiT Strom Pipeline'!$I:$I,$U154)),INDEX('MiT Strom Pipeline'!$I:$I,$U154),0))</f>
        <v/>
      </c>
      <c r="H154" s="25" t="str">
        <f>IF($U154="","",IF(ISNUMBER(INDEX('MiT Strom Pipeline'!$Q:$Q,$U154)),INDEX('MiT Strom Pipeline'!$Q:$Q,$U154),0))</f>
        <v/>
      </c>
      <c r="I154" s="25" t="str">
        <f>IF($U154="","",IF(ISNUMBER(INDEX('MiT Strom Pipeline'!$O:$O,$U154)),INDEX('MiT Strom Pipeline'!$O:$O,$U154),0))</f>
        <v/>
      </c>
      <c r="J154" s="24" t="str">
        <f>IF($U154="","",INDEX('MiT Strom Pipeline'!$R:$R,$U154))</f>
        <v/>
      </c>
      <c r="K154" s="26" t="str">
        <f>IF($U154="","",IF(ISNUMBER(INDEX('MiT Strom Pipeline'!$S:$S,$U154)),INDEX('MiT Strom Pipeline'!$S:$S,$U154),""))</f>
        <v/>
      </c>
      <c r="L154" s="24" t="str">
        <f>IF($U154="","",IF(LEN(INDEX('MiT Strom Pipeline'!$V:$V,$U154))&gt;0,LEFT(INDEX('MiT Strom Pipeline'!$V:$V,$U154),55),""))</f>
        <v/>
      </c>
      <c r="M154" s="19"/>
      <c r="N154" s="19"/>
      <c r="O154" s="19"/>
      <c r="P154" s="19"/>
      <c r="Q154" s="19"/>
      <c r="R154" s="19"/>
      <c r="S154" s="19"/>
      <c r="U154" t="str">
        <f>IFERROR(MATCH(16,'MiT Strom Pipeline'!$AD$6:$AD$860,0)+5,"")</f>
        <v/>
      </c>
    </row>
    <row r="155" spans="1:21" ht="15.75" customHeight="1">
      <c r="A155" s="23" t="str">
        <f>IF($U155="","",IF(ISNUMBER(INDEX('MiT Strom Pipeline'!$A:$A,$U155)),INDEX('MiT Strom Pipeline'!$A:$A,$U155),""))</f>
        <v/>
      </c>
      <c r="B155" s="24" t="str">
        <f>IF($U155="","",IF(INDEX('MiT Strom Pipeline'!$B:$B,$U155)="","",INDEX('MiT Strom Pipeline'!$B:$B,$U155)))</f>
        <v/>
      </c>
      <c r="C155" s="24" t="str">
        <f>IF($U155="","",IF(INDEX('MiT Strom Pipeline'!$C:$C,$U155)="","",INDEX('MiT Strom Pipeline'!$C:$C,$U155)))</f>
        <v/>
      </c>
      <c r="D155" s="24" t="str">
        <f>IF($U155="","",IF(INDEX('MiT Strom Pipeline'!$D:$D,$U155)="","",INDEX('MiT Strom Pipeline'!$D:$D,$U155)))</f>
        <v/>
      </c>
      <c r="E155" s="24" t="str">
        <f>IF($U155="","",IF(INDEX('MiT Strom Pipeline'!$H:$H,$U155)="","",INDEX('MiT Strom Pipeline'!$H:$H,$U155)))</f>
        <v/>
      </c>
      <c r="F155" s="24" t="str">
        <f>IF($U155="","",IF(INDEX('MiT Strom Pipeline'!$E:$E,$U155)="","",INDEX('MiT Strom Pipeline'!$E:$E,$U155)))</f>
        <v/>
      </c>
      <c r="G155" s="25" t="str">
        <f>IF($U155="","",IF(ISNUMBER(INDEX('MiT Strom Pipeline'!$I:$I,$U155)),INDEX('MiT Strom Pipeline'!$I:$I,$U155),0))</f>
        <v/>
      </c>
      <c r="H155" s="25" t="str">
        <f>IF($U155="","",IF(ISNUMBER(INDEX('MiT Strom Pipeline'!$Q:$Q,$U155)),INDEX('MiT Strom Pipeline'!$Q:$Q,$U155),0))</f>
        <v/>
      </c>
      <c r="I155" s="25" t="str">
        <f>IF($U155="","",IF(ISNUMBER(INDEX('MiT Strom Pipeline'!$O:$O,$U155)),INDEX('MiT Strom Pipeline'!$O:$O,$U155),0))</f>
        <v/>
      </c>
      <c r="J155" s="24" t="str">
        <f>IF($U155="","",INDEX('MiT Strom Pipeline'!$R:$R,$U155))</f>
        <v/>
      </c>
      <c r="K155" s="26" t="str">
        <f>IF($U155="","",IF(ISNUMBER(INDEX('MiT Strom Pipeline'!$S:$S,$U155)),INDEX('MiT Strom Pipeline'!$S:$S,$U155),""))</f>
        <v/>
      </c>
      <c r="L155" s="24" t="str">
        <f>IF($U155="","",IF(LEN(INDEX('MiT Strom Pipeline'!$V:$V,$U155))&gt;0,LEFT(INDEX('MiT Strom Pipeline'!$V:$V,$U155),55),""))</f>
        <v/>
      </c>
      <c r="M155" s="19"/>
      <c r="N155" s="19"/>
      <c r="O155" s="19"/>
      <c r="P155" s="19"/>
      <c r="Q155" s="19"/>
      <c r="R155" s="19"/>
      <c r="S155" s="19"/>
      <c r="U155" t="str">
        <f>IFERROR(MATCH(17,'MiT Strom Pipeline'!$AD$6:$AD$860,0)+5,"")</f>
        <v/>
      </c>
    </row>
    <row r="156" spans="1:21" ht="15.75" customHeight="1">
      <c r="A156" s="23" t="str">
        <f>IF($U156="","",IF(ISNUMBER(INDEX('MiT Strom Pipeline'!$A:$A,$U156)),INDEX('MiT Strom Pipeline'!$A:$A,$U156),""))</f>
        <v/>
      </c>
      <c r="B156" s="24" t="str">
        <f>IF($U156="","",IF(INDEX('MiT Strom Pipeline'!$B:$B,$U156)="","",INDEX('MiT Strom Pipeline'!$B:$B,$U156)))</f>
        <v/>
      </c>
      <c r="C156" s="24" t="str">
        <f>IF($U156="","",IF(INDEX('MiT Strom Pipeline'!$C:$C,$U156)="","",INDEX('MiT Strom Pipeline'!$C:$C,$U156)))</f>
        <v/>
      </c>
      <c r="D156" s="24" t="str">
        <f>IF($U156="","",IF(INDEX('MiT Strom Pipeline'!$D:$D,$U156)="","",INDEX('MiT Strom Pipeline'!$D:$D,$U156)))</f>
        <v/>
      </c>
      <c r="E156" s="24" t="str">
        <f>IF($U156="","",IF(INDEX('MiT Strom Pipeline'!$H:$H,$U156)="","",INDEX('MiT Strom Pipeline'!$H:$H,$U156)))</f>
        <v/>
      </c>
      <c r="F156" s="24" t="str">
        <f>IF($U156="","",IF(INDEX('MiT Strom Pipeline'!$E:$E,$U156)="","",INDEX('MiT Strom Pipeline'!$E:$E,$U156)))</f>
        <v/>
      </c>
      <c r="G156" s="25" t="str">
        <f>IF($U156="","",IF(ISNUMBER(INDEX('MiT Strom Pipeline'!$I:$I,$U156)),INDEX('MiT Strom Pipeline'!$I:$I,$U156),0))</f>
        <v/>
      </c>
      <c r="H156" s="25" t="str">
        <f>IF($U156="","",IF(ISNUMBER(INDEX('MiT Strom Pipeline'!$Q:$Q,$U156)),INDEX('MiT Strom Pipeline'!$Q:$Q,$U156),0))</f>
        <v/>
      </c>
      <c r="I156" s="25" t="str">
        <f>IF($U156="","",IF(ISNUMBER(INDEX('MiT Strom Pipeline'!$O:$O,$U156)),INDEX('MiT Strom Pipeline'!$O:$O,$U156),0))</f>
        <v/>
      </c>
      <c r="J156" s="24" t="str">
        <f>IF($U156="","",INDEX('MiT Strom Pipeline'!$R:$R,$U156))</f>
        <v/>
      </c>
      <c r="K156" s="26" t="str">
        <f>IF($U156="","",IF(ISNUMBER(INDEX('MiT Strom Pipeline'!$S:$S,$U156)),INDEX('MiT Strom Pipeline'!$S:$S,$U156),""))</f>
        <v/>
      </c>
      <c r="L156" s="24" t="str">
        <f>IF($U156="","",IF(LEN(INDEX('MiT Strom Pipeline'!$V:$V,$U156))&gt;0,LEFT(INDEX('MiT Strom Pipeline'!$V:$V,$U156),55),""))</f>
        <v/>
      </c>
      <c r="M156" s="19"/>
      <c r="N156" s="19"/>
      <c r="O156" s="19"/>
      <c r="P156" s="19"/>
      <c r="Q156" s="19"/>
      <c r="R156" s="19"/>
      <c r="S156" s="19"/>
      <c r="U156" t="str">
        <f>IFERROR(MATCH(18,'MiT Strom Pipeline'!$AD$6:$AD$860,0)+5,"")</f>
        <v/>
      </c>
    </row>
    <row r="157" spans="1:21" ht="15.75" customHeight="1">
      <c r="A157" s="23" t="str">
        <f>IF($U157="","",IF(ISNUMBER(INDEX('MiT Strom Pipeline'!$A:$A,$U157)),INDEX('MiT Strom Pipeline'!$A:$A,$U157),""))</f>
        <v/>
      </c>
      <c r="B157" s="24" t="str">
        <f>IF($U157="","",IF(INDEX('MiT Strom Pipeline'!$B:$B,$U157)="","",INDEX('MiT Strom Pipeline'!$B:$B,$U157)))</f>
        <v/>
      </c>
      <c r="C157" s="24" t="str">
        <f>IF($U157="","",IF(INDEX('MiT Strom Pipeline'!$C:$C,$U157)="","",INDEX('MiT Strom Pipeline'!$C:$C,$U157)))</f>
        <v/>
      </c>
      <c r="D157" s="24" t="str">
        <f>IF($U157="","",IF(INDEX('MiT Strom Pipeline'!$D:$D,$U157)="","",INDEX('MiT Strom Pipeline'!$D:$D,$U157)))</f>
        <v/>
      </c>
      <c r="E157" s="24" t="str">
        <f>IF($U157="","",IF(INDEX('MiT Strom Pipeline'!$H:$H,$U157)="","",INDEX('MiT Strom Pipeline'!$H:$H,$U157)))</f>
        <v/>
      </c>
      <c r="F157" s="24" t="str">
        <f>IF($U157="","",IF(INDEX('MiT Strom Pipeline'!$E:$E,$U157)="","",INDEX('MiT Strom Pipeline'!$E:$E,$U157)))</f>
        <v/>
      </c>
      <c r="G157" s="25" t="str">
        <f>IF($U157="","",IF(ISNUMBER(INDEX('MiT Strom Pipeline'!$I:$I,$U157)),INDEX('MiT Strom Pipeline'!$I:$I,$U157),0))</f>
        <v/>
      </c>
      <c r="H157" s="25" t="str">
        <f>IF($U157="","",IF(ISNUMBER(INDEX('MiT Strom Pipeline'!$Q:$Q,$U157)),INDEX('MiT Strom Pipeline'!$Q:$Q,$U157),0))</f>
        <v/>
      </c>
      <c r="I157" s="25" t="str">
        <f>IF($U157="","",IF(ISNUMBER(INDEX('MiT Strom Pipeline'!$O:$O,$U157)),INDEX('MiT Strom Pipeline'!$O:$O,$U157),0))</f>
        <v/>
      </c>
      <c r="J157" s="24" t="str">
        <f>IF($U157="","",INDEX('MiT Strom Pipeline'!$R:$R,$U157))</f>
        <v/>
      </c>
      <c r="K157" s="26" t="str">
        <f>IF($U157="","",IF(ISNUMBER(INDEX('MiT Strom Pipeline'!$S:$S,$U157)),INDEX('MiT Strom Pipeline'!$S:$S,$U157),""))</f>
        <v/>
      </c>
      <c r="L157" s="24" t="str">
        <f>IF($U157="","",IF(LEN(INDEX('MiT Strom Pipeline'!$V:$V,$U157))&gt;0,LEFT(INDEX('MiT Strom Pipeline'!$V:$V,$U157),55),""))</f>
        <v/>
      </c>
      <c r="M157" s="19"/>
      <c r="N157" s="19"/>
      <c r="O157" s="19"/>
      <c r="P157" s="19"/>
      <c r="Q157" s="19"/>
      <c r="R157" s="19"/>
      <c r="S157" s="19"/>
      <c r="U157" t="str">
        <f>IFERROR(MATCH(19,'MiT Strom Pipeline'!$AD$6:$AD$860,0)+5,"")</f>
        <v/>
      </c>
    </row>
    <row r="158" spans="1:21" ht="15.75" customHeight="1">
      <c r="A158" s="23" t="str">
        <f>IF($U158="","",IF(ISNUMBER(INDEX('MiT Strom Pipeline'!$A:$A,$U158)),INDEX('MiT Strom Pipeline'!$A:$A,$U158),""))</f>
        <v/>
      </c>
      <c r="B158" s="24" t="str">
        <f>IF($U158="","",IF(INDEX('MiT Strom Pipeline'!$B:$B,$U158)="","",INDEX('MiT Strom Pipeline'!$B:$B,$U158)))</f>
        <v/>
      </c>
      <c r="C158" s="24" t="str">
        <f>IF($U158="","",IF(INDEX('MiT Strom Pipeline'!$C:$C,$U158)="","",INDEX('MiT Strom Pipeline'!$C:$C,$U158)))</f>
        <v/>
      </c>
      <c r="D158" s="24" t="str">
        <f>IF($U158="","",IF(INDEX('MiT Strom Pipeline'!$D:$D,$U158)="","",INDEX('MiT Strom Pipeline'!$D:$D,$U158)))</f>
        <v/>
      </c>
      <c r="E158" s="24" t="str">
        <f>IF($U158="","",IF(INDEX('MiT Strom Pipeline'!$H:$H,$U158)="","",INDEX('MiT Strom Pipeline'!$H:$H,$U158)))</f>
        <v/>
      </c>
      <c r="F158" s="24" t="str">
        <f>IF($U158="","",IF(INDEX('MiT Strom Pipeline'!$E:$E,$U158)="","",INDEX('MiT Strom Pipeline'!$E:$E,$U158)))</f>
        <v/>
      </c>
      <c r="G158" s="25" t="str">
        <f>IF($U158="","",IF(ISNUMBER(INDEX('MiT Strom Pipeline'!$I:$I,$U158)),INDEX('MiT Strom Pipeline'!$I:$I,$U158),0))</f>
        <v/>
      </c>
      <c r="H158" s="25" t="str">
        <f>IF($U158="","",IF(ISNUMBER(INDEX('MiT Strom Pipeline'!$Q:$Q,$U158)),INDEX('MiT Strom Pipeline'!$Q:$Q,$U158),0))</f>
        <v/>
      </c>
      <c r="I158" s="25" t="str">
        <f>IF($U158="","",IF(ISNUMBER(INDEX('MiT Strom Pipeline'!$O:$O,$U158)),INDEX('MiT Strom Pipeline'!$O:$O,$U158),0))</f>
        <v/>
      </c>
      <c r="J158" s="24" t="str">
        <f>IF($U158="","",INDEX('MiT Strom Pipeline'!$R:$R,$U158))</f>
        <v/>
      </c>
      <c r="K158" s="26" t="str">
        <f>IF($U158="","",IF(ISNUMBER(INDEX('MiT Strom Pipeline'!$S:$S,$U158)),INDEX('MiT Strom Pipeline'!$S:$S,$U158),""))</f>
        <v/>
      </c>
      <c r="L158" s="24" t="str">
        <f>IF($U158="","",IF(LEN(INDEX('MiT Strom Pipeline'!$V:$V,$U158))&gt;0,LEFT(INDEX('MiT Strom Pipeline'!$V:$V,$U158),55),""))</f>
        <v/>
      </c>
      <c r="M158" s="19"/>
      <c r="N158" s="19"/>
      <c r="O158" s="19"/>
      <c r="P158" s="19"/>
      <c r="Q158" s="19"/>
      <c r="R158" s="19"/>
      <c r="S158" s="19"/>
      <c r="U158" t="str">
        <f>IFERROR(MATCH(20,'MiT Strom Pipeline'!$AD$6:$AD$860,0)+5,"")</f>
        <v/>
      </c>
    </row>
    <row r="159" spans="1:21" ht="15.75" customHeight="1">
      <c r="A159" s="23" t="str">
        <f>IF($U159="","",IF(ISNUMBER(INDEX('MiT Strom Pipeline'!$A:$A,$U159)),INDEX('MiT Strom Pipeline'!$A:$A,$U159),""))</f>
        <v/>
      </c>
      <c r="B159" s="24" t="str">
        <f>IF($U159="","",IF(INDEX('MiT Strom Pipeline'!$B:$B,$U159)="","",INDEX('MiT Strom Pipeline'!$B:$B,$U159)))</f>
        <v/>
      </c>
      <c r="C159" s="24" t="str">
        <f>IF($U159="","",IF(INDEX('MiT Strom Pipeline'!$C:$C,$U159)="","",INDEX('MiT Strom Pipeline'!$C:$C,$U159)))</f>
        <v/>
      </c>
      <c r="D159" s="24" t="str">
        <f>IF($U159="","",IF(INDEX('MiT Strom Pipeline'!$D:$D,$U159)="","",INDEX('MiT Strom Pipeline'!$D:$D,$U159)))</f>
        <v/>
      </c>
      <c r="E159" s="24" t="str">
        <f>IF($U159="","",IF(INDEX('MiT Strom Pipeline'!$H:$H,$U159)="","",INDEX('MiT Strom Pipeline'!$H:$H,$U159)))</f>
        <v/>
      </c>
      <c r="F159" s="24" t="str">
        <f>IF($U159="","",IF(INDEX('MiT Strom Pipeline'!$E:$E,$U159)="","",INDEX('MiT Strom Pipeline'!$E:$E,$U159)))</f>
        <v/>
      </c>
      <c r="G159" s="25" t="str">
        <f>IF($U159="","",IF(ISNUMBER(INDEX('MiT Strom Pipeline'!$I:$I,$U159)),INDEX('MiT Strom Pipeline'!$I:$I,$U159),0))</f>
        <v/>
      </c>
      <c r="H159" s="25" t="str">
        <f>IF($U159="","",IF(ISNUMBER(INDEX('MiT Strom Pipeline'!$Q:$Q,$U159)),INDEX('MiT Strom Pipeline'!$Q:$Q,$U159),0))</f>
        <v/>
      </c>
      <c r="I159" s="25" t="str">
        <f>IF($U159="","",IF(ISNUMBER(INDEX('MiT Strom Pipeline'!$O:$O,$U159)),INDEX('MiT Strom Pipeline'!$O:$O,$U159),0))</f>
        <v/>
      </c>
      <c r="J159" s="24" t="str">
        <f>IF($U159="","",INDEX('MiT Strom Pipeline'!$R:$R,$U159))</f>
        <v/>
      </c>
      <c r="K159" s="26" t="str">
        <f>IF($U159="","",IF(ISNUMBER(INDEX('MiT Strom Pipeline'!$S:$S,$U159)),INDEX('MiT Strom Pipeline'!$S:$S,$U159),""))</f>
        <v/>
      </c>
      <c r="L159" s="24" t="str">
        <f>IF($U159="","",IF(LEN(INDEX('MiT Strom Pipeline'!$V:$V,$U159))&gt;0,LEFT(INDEX('MiT Strom Pipeline'!$V:$V,$U159),55),""))</f>
        <v/>
      </c>
      <c r="M159" s="19"/>
      <c r="N159" s="19"/>
      <c r="O159" s="19"/>
      <c r="P159" s="19"/>
      <c r="Q159" s="19"/>
      <c r="R159" s="19"/>
      <c r="S159" s="19"/>
      <c r="U159" t="str">
        <f>IFERROR(MATCH(21,'MiT Strom Pipeline'!$AD$6:$AD$860,0)+5,"")</f>
        <v/>
      </c>
    </row>
    <row r="160" spans="1:21" ht="15.75" customHeight="1">
      <c r="A160" s="23" t="str">
        <f>IF($U160="","",IF(ISNUMBER(INDEX('MiT Strom Pipeline'!$A:$A,$U160)),INDEX('MiT Strom Pipeline'!$A:$A,$U160),""))</f>
        <v/>
      </c>
      <c r="B160" s="24" t="str">
        <f>IF($U160="","",IF(INDEX('MiT Strom Pipeline'!$B:$B,$U160)="","",INDEX('MiT Strom Pipeline'!$B:$B,$U160)))</f>
        <v/>
      </c>
      <c r="C160" s="24" t="str">
        <f>IF($U160="","",IF(INDEX('MiT Strom Pipeline'!$C:$C,$U160)="","",INDEX('MiT Strom Pipeline'!$C:$C,$U160)))</f>
        <v/>
      </c>
      <c r="D160" s="24" t="str">
        <f>IF($U160="","",IF(INDEX('MiT Strom Pipeline'!$D:$D,$U160)="","",INDEX('MiT Strom Pipeline'!$D:$D,$U160)))</f>
        <v/>
      </c>
      <c r="E160" s="24" t="str">
        <f>IF($U160="","",IF(INDEX('MiT Strom Pipeline'!$H:$H,$U160)="","",INDEX('MiT Strom Pipeline'!$H:$H,$U160)))</f>
        <v/>
      </c>
      <c r="F160" s="24" t="str">
        <f>IF($U160="","",IF(INDEX('MiT Strom Pipeline'!$E:$E,$U160)="","",INDEX('MiT Strom Pipeline'!$E:$E,$U160)))</f>
        <v/>
      </c>
      <c r="G160" s="25" t="str">
        <f>IF($U160="","",IF(ISNUMBER(INDEX('MiT Strom Pipeline'!$I:$I,$U160)),INDEX('MiT Strom Pipeline'!$I:$I,$U160),0))</f>
        <v/>
      </c>
      <c r="H160" s="25" t="str">
        <f>IF($U160="","",IF(ISNUMBER(INDEX('MiT Strom Pipeline'!$Q:$Q,$U160)),INDEX('MiT Strom Pipeline'!$Q:$Q,$U160),0))</f>
        <v/>
      </c>
      <c r="I160" s="25" t="str">
        <f>IF($U160="","",IF(ISNUMBER(INDEX('MiT Strom Pipeline'!$O:$O,$U160)),INDEX('MiT Strom Pipeline'!$O:$O,$U160),0))</f>
        <v/>
      </c>
      <c r="J160" s="24" t="str">
        <f>IF($U160="","",INDEX('MiT Strom Pipeline'!$R:$R,$U160))</f>
        <v/>
      </c>
      <c r="K160" s="26" t="str">
        <f>IF($U160="","",IF(ISNUMBER(INDEX('MiT Strom Pipeline'!$S:$S,$U160)),INDEX('MiT Strom Pipeline'!$S:$S,$U160),""))</f>
        <v/>
      </c>
      <c r="L160" s="24" t="str">
        <f>IF($U160="","",IF(LEN(INDEX('MiT Strom Pipeline'!$V:$V,$U160))&gt;0,LEFT(INDEX('MiT Strom Pipeline'!$V:$V,$U160),55),""))</f>
        <v/>
      </c>
      <c r="M160" s="19"/>
      <c r="N160" s="19"/>
      <c r="O160" s="19"/>
      <c r="P160" s="19"/>
      <c r="Q160" s="19"/>
      <c r="R160" s="19"/>
      <c r="S160" s="19"/>
      <c r="U160" t="str">
        <f>IFERROR(MATCH(22,'MiT Strom Pipeline'!$AD$6:$AD$860,0)+5,"")</f>
        <v/>
      </c>
    </row>
    <row r="161" spans="1:21" ht="15.75" customHeight="1">
      <c r="A161" s="23" t="str">
        <f>IF($U161="","",IF(ISNUMBER(INDEX('MiT Strom Pipeline'!$A:$A,$U161)),INDEX('MiT Strom Pipeline'!$A:$A,$U161),""))</f>
        <v/>
      </c>
      <c r="B161" s="24" t="str">
        <f>IF($U161="","",IF(INDEX('MiT Strom Pipeline'!$B:$B,$U161)="","",INDEX('MiT Strom Pipeline'!$B:$B,$U161)))</f>
        <v/>
      </c>
      <c r="C161" s="24" t="str">
        <f>IF($U161="","",IF(INDEX('MiT Strom Pipeline'!$C:$C,$U161)="","",INDEX('MiT Strom Pipeline'!$C:$C,$U161)))</f>
        <v/>
      </c>
      <c r="D161" s="24" t="str">
        <f>IF($U161="","",IF(INDEX('MiT Strom Pipeline'!$D:$D,$U161)="","",INDEX('MiT Strom Pipeline'!$D:$D,$U161)))</f>
        <v/>
      </c>
      <c r="E161" s="24" t="str">
        <f>IF($U161="","",IF(INDEX('MiT Strom Pipeline'!$H:$H,$U161)="","",INDEX('MiT Strom Pipeline'!$H:$H,$U161)))</f>
        <v/>
      </c>
      <c r="F161" s="24" t="str">
        <f>IF($U161="","",IF(INDEX('MiT Strom Pipeline'!$E:$E,$U161)="","",INDEX('MiT Strom Pipeline'!$E:$E,$U161)))</f>
        <v/>
      </c>
      <c r="G161" s="25" t="str">
        <f>IF($U161="","",IF(ISNUMBER(INDEX('MiT Strom Pipeline'!$I:$I,$U161)),INDEX('MiT Strom Pipeline'!$I:$I,$U161),0))</f>
        <v/>
      </c>
      <c r="H161" s="25" t="str">
        <f>IF($U161="","",IF(ISNUMBER(INDEX('MiT Strom Pipeline'!$Q:$Q,$U161)),INDEX('MiT Strom Pipeline'!$Q:$Q,$U161),0))</f>
        <v/>
      </c>
      <c r="I161" s="25" t="str">
        <f>IF($U161="","",IF(ISNUMBER(INDEX('MiT Strom Pipeline'!$O:$O,$U161)),INDEX('MiT Strom Pipeline'!$O:$O,$U161),0))</f>
        <v/>
      </c>
      <c r="J161" s="24" t="str">
        <f>IF($U161="","",INDEX('MiT Strom Pipeline'!$R:$R,$U161))</f>
        <v/>
      </c>
      <c r="K161" s="26" t="str">
        <f>IF($U161="","",IF(ISNUMBER(INDEX('MiT Strom Pipeline'!$S:$S,$U161)),INDEX('MiT Strom Pipeline'!$S:$S,$U161),""))</f>
        <v/>
      </c>
      <c r="L161" s="24" t="str">
        <f>IF($U161="","",IF(LEN(INDEX('MiT Strom Pipeline'!$V:$V,$U161))&gt;0,LEFT(INDEX('MiT Strom Pipeline'!$V:$V,$U161),55),""))</f>
        <v/>
      </c>
      <c r="M161" s="19"/>
      <c r="N161" s="19"/>
      <c r="O161" s="19"/>
      <c r="P161" s="19"/>
      <c r="Q161" s="19"/>
      <c r="R161" s="19"/>
      <c r="S161" s="19"/>
      <c r="U161" t="str">
        <f>IFERROR(MATCH(23,'MiT Strom Pipeline'!$AD$6:$AD$860,0)+5,"")</f>
        <v/>
      </c>
    </row>
    <row r="162" spans="1:21" ht="15.75" customHeight="1">
      <c r="A162" s="23" t="str">
        <f>IF($U162="","",IF(ISNUMBER(INDEX('MiT Strom Pipeline'!$A:$A,$U162)),INDEX('MiT Strom Pipeline'!$A:$A,$U162),""))</f>
        <v/>
      </c>
      <c r="B162" s="24" t="str">
        <f>IF($U162="","",IF(INDEX('MiT Strom Pipeline'!$B:$B,$U162)="","",INDEX('MiT Strom Pipeline'!$B:$B,$U162)))</f>
        <v/>
      </c>
      <c r="C162" s="24" t="str">
        <f>IF($U162="","",IF(INDEX('MiT Strom Pipeline'!$C:$C,$U162)="","",INDEX('MiT Strom Pipeline'!$C:$C,$U162)))</f>
        <v/>
      </c>
      <c r="D162" s="24" t="str">
        <f>IF($U162="","",IF(INDEX('MiT Strom Pipeline'!$D:$D,$U162)="","",INDEX('MiT Strom Pipeline'!$D:$D,$U162)))</f>
        <v/>
      </c>
      <c r="E162" s="24" t="str">
        <f>IF($U162="","",IF(INDEX('MiT Strom Pipeline'!$H:$H,$U162)="","",INDEX('MiT Strom Pipeline'!$H:$H,$U162)))</f>
        <v/>
      </c>
      <c r="F162" s="24" t="str">
        <f>IF($U162="","",IF(INDEX('MiT Strom Pipeline'!$E:$E,$U162)="","",INDEX('MiT Strom Pipeline'!$E:$E,$U162)))</f>
        <v/>
      </c>
      <c r="G162" s="25" t="str">
        <f>IF($U162="","",IF(ISNUMBER(INDEX('MiT Strom Pipeline'!$I:$I,$U162)),INDEX('MiT Strom Pipeline'!$I:$I,$U162),0))</f>
        <v/>
      </c>
      <c r="H162" s="25" t="str">
        <f>IF($U162="","",IF(ISNUMBER(INDEX('MiT Strom Pipeline'!$Q:$Q,$U162)),INDEX('MiT Strom Pipeline'!$Q:$Q,$U162),0))</f>
        <v/>
      </c>
      <c r="I162" s="25" t="str">
        <f>IF($U162="","",IF(ISNUMBER(INDEX('MiT Strom Pipeline'!$O:$O,$U162)),INDEX('MiT Strom Pipeline'!$O:$O,$U162),0))</f>
        <v/>
      </c>
      <c r="J162" s="24" t="str">
        <f>IF($U162="","",INDEX('MiT Strom Pipeline'!$R:$R,$U162))</f>
        <v/>
      </c>
      <c r="K162" s="26" t="str">
        <f>IF($U162="","",IF(ISNUMBER(INDEX('MiT Strom Pipeline'!$S:$S,$U162)),INDEX('MiT Strom Pipeline'!$S:$S,$U162),""))</f>
        <v/>
      </c>
      <c r="L162" s="24" t="str">
        <f>IF($U162="","",IF(LEN(INDEX('MiT Strom Pipeline'!$V:$V,$U162))&gt;0,LEFT(INDEX('MiT Strom Pipeline'!$V:$V,$U162),55),""))</f>
        <v/>
      </c>
      <c r="M162" s="19"/>
      <c r="N162" s="19"/>
      <c r="O162" s="19"/>
      <c r="P162" s="19"/>
      <c r="Q162" s="19"/>
      <c r="R162" s="19"/>
      <c r="S162" s="19"/>
      <c r="U162" t="str">
        <f>IFERROR(MATCH(24,'MiT Strom Pipeline'!$AD$6:$AD$860,0)+5,"")</f>
        <v/>
      </c>
    </row>
    <row r="163" spans="1:21" ht="15.75" customHeight="1">
      <c r="A163" s="23" t="str">
        <f>IF($U163="","",IF(ISNUMBER(INDEX('MiT Strom Pipeline'!$A:$A,$U163)),INDEX('MiT Strom Pipeline'!$A:$A,$U163),""))</f>
        <v/>
      </c>
      <c r="B163" s="24" t="str">
        <f>IF($U163="","",IF(INDEX('MiT Strom Pipeline'!$B:$B,$U163)="","",INDEX('MiT Strom Pipeline'!$B:$B,$U163)))</f>
        <v/>
      </c>
      <c r="C163" s="24" t="str">
        <f>IF($U163="","",IF(INDEX('MiT Strom Pipeline'!$C:$C,$U163)="","",INDEX('MiT Strom Pipeline'!$C:$C,$U163)))</f>
        <v/>
      </c>
      <c r="D163" s="24" t="str">
        <f>IF($U163="","",IF(INDEX('MiT Strom Pipeline'!$D:$D,$U163)="","",INDEX('MiT Strom Pipeline'!$D:$D,$U163)))</f>
        <v/>
      </c>
      <c r="E163" s="24" t="str">
        <f>IF($U163="","",IF(INDEX('MiT Strom Pipeline'!$H:$H,$U163)="","",INDEX('MiT Strom Pipeline'!$H:$H,$U163)))</f>
        <v/>
      </c>
      <c r="F163" s="24" t="str">
        <f>IF($U163="","",IF(INDEX('MiT Strom Pipeline'!$E:$E,$U163)="","",INDEX('MiT Strom Pipeline'!$E:$E,$U163)))</f>
        <v/>
      </c>
      <c r="G163" s="25" t="str">
        <f>IF($U163="","",IF(ISNUMBER(INDEX('MiT Strom Pipeline'!$I:$I,$U163)),INDEX('MiT Strom Pipeline'!$I:$I,$U163),0))</f>
        <v/>
      </c>
      <c r="H163" s="25" t="str">
        <f>IF($U163="","",IF(ISNUMBER(INDEX('MiT Strom Pipeline'!$Q:$Q,$U163)),INDEX('MiT Strom Pipeline'!$Q:$Q,$U163),0))</f>
        <v/>
      </c>
      <c r="I163" s="25" t="str">
        <f>IF($U163="","",IF(ISNUMBER(INDEX('MiT Strom Pipeline'!$O:$O,$U163)),INDEX('MiT Strom Pipeline'!$O:$O,$U163),0))</f>
        <v/>
      </c>
      <c r="J163" s="24" t="str">
        <f>IF($U163="","",INDEX('MiT Strom Pipeline'!$R:$R,$U163))</f>
        <v/>
      </c>
      <c r="K163" s="26" t="str">
        <f>IF($U163="","",IF(ISNUMBER(INDEX('MiT Strom Pipeline'!$S:$S,$U163)),INDEX('MiT Strom Pipeline'!$S:$S,$U163),""))</f>
        <v/>
      </c>
      <c r="L163" s="24" t="str">
        <f>IF($U163="","",IF(LEN(INDEX('MiT Strom Pipeline'!$V:$V,$U163))&gt;0,LEFT(INDEX('MiT Strom Pipeline'!$V:$V,$U163),55),""))</f>
        <v/>
      </c>
      <c r="M163" s="19"/>
      <c r="N163" s="19"/>
      <c r="O163" s="19"/>
      <c r="P163" s="19"/>
      <c r="Q163" s="19"/>
      <c r="R163" s="19"/>
      <c r="S163" s="19"/>
      <c r="U163" t="str">
        <f>IFERROR(MATCH(25,'MiT Strom Pipeline'!$AD$6:$AD$860,0)+5,"")</f>
        <v/>
      </c>
    </row>
    <row r="164" spans="1:21" ht="15.75" customHeight="1">
      <c r="A164" s="23" t="str">
        <f>IF($U164="","",IF(ISNUMBER(INDEX('MiT Strom Pipeline'!$A:$A,$U164)),INDEX('MiT Strom Pipeline'!$A:$A,$U164),""))</f>
        <v/>
      </c>
      <c r="B164" s="24" t="str">
        <f>IF($U164="","",IF(INDEX('MiT Strom Pipeline'!$B:$B,$U164)="","",INDEX('MiT Strom Pipeline'!$B:$B,$U164)))</f>
        <v/>
      </c>
      <c r="C164" s="24" t="str">
        <f>IF($U164="","",IF(INDEX('MiT Strom Pipeline'!$C:$C,$U164)="","",INDEX('MiT Strom Pipeline'!$C:$C,$U164)))</f>
        <v/>
      </c>
      <c r="D164" s="24" t="str">
        <f>IF($U164="","",IF(INDEX('MiT Strom Pipeline'!$D:$D,$U164)="","",INDEX('MiT Strom Pipeline'!$D:$D,$U164)))</f>
        <v/>
      </c>
      <c r="E164" s="24" t="str">
        <f>IF($U164="","",IF(INDEX('MiT Strom Pipeline'!$H:$H,$U164)="","",INDEX('MiT Strom Pipeline'!$H:$H,$U164)))</f>
        <v/>
      </c>
      <c r="F164" s="24" t="str">
        <f>IF($U164="","",IF(INDEX('MiT Strom Pipeline'!$E:$E,$U164)="","",INDEX('MiT Strom Pipeline'!$E:$E,$U164)))</f>
        <v/>
      </c>
      <c r="G164" s="25" t="str">
        <f>IF($U164="","",IF(ISNUMBER(INDEX('MiT Strom Pipeline'!$I:$I,$U164)),INDEX('MiT Strom Pipeline'!$I:$I,$U164),0))</f>
        <v/>
      </c>
      <c r="H164" s="25" t="str">
        <f>IF($U164="","",IF(ISNUMBER(INDEX('MiT Strom Pipeline'!$Q:$Q,$U164)),INDEX('MiT Strom Pipeline'!$Q:$Q,$U164),0))</f>
        <v/>
      </c>
      <c r="I164" s="25" t="str">
        <f>IF($U164="","",IF(ISNUMBER(INDEX('MiT Strom Pipeline'!$O:$O,$U164)),INDEX('MiT Strom Pipeline'!$O:$O,$U164),0))</f>
        <v/>
      </c>
      <c r="J164" s="24" t="str">
        <f>IF($U164="","",INDEX('MiT Strom Pipeline'!$R:$R,$U164))</f>
        <v/>
      </c>
      <c r="K164" s="26" t="str">
        <f>IF($U164="","",IF(ISNUMBER(INDEX('MiT Strom Pipeline'!$S:$S,$U164)),INDEX('MiT Strom Pipeline'!$S:$S,$U164),""))</f>
        <v/>
      </c>
      <c r="L164" s="24" t="str">
        <f>IF($U164="","",IF(LEN(INDEX('MiT Strom Pipeline'!$V:$V,$U164))&gt;0,LEFT(INDEX('MiT Strom Pipeline'!$V:$V,$U164),55),""))</f>
        <v/>
      </c>
      <c r="M164" s="19"/>
      <c r="N164" s="19"/>
      <c r="O164" s="19"/>
      <c r="P164" s="19"/>
      <c r="Q164" s="19"/>
      <c r="R164" s="19"/>
      <c r="S164" s="19"/>
      <c r="U164" t="str">
        <f>IFERROR(MATCH(26,'MiT Strom Pipeline'!$AD$6:$AD$860,0)+5,"")</f>
        <v/>
      </c>
    </row>
    <row r="165" spans="1:21" ht="15.75" customHeight="1">
      <c r="A165" s="23" t="str">
        <f>IF($U165="","",IF(ISNUMBER(INDEX('MiT Strom Pipeline'!$A:$A,$U165)),INDEX('MiT Strom Pipeline'!$A:$A,$U165),""))</f>
        <v/>
      </c>
      <c r="B165" s="24" t="str">
        <f>IF($U165="","",IF(INDEX('MiT Strom Pipeline'!$B:$B,$U165)="","",INDEX('MiT Strom Pipeline'!$B:$B,$U165)))</f>
        <v/>
      </c>
      <c r="C165" s="24" t="str">
        <f>IF($U165="","",IF(INDEX('MiT Strom Pipeline'!$C:$C,$U165)="","",INDEX('MiT Strom Pipeline'!$C:$C,$U165)))</f>
        <v/>
      </c>
      <c r="D165" s="24" t="str">
        <f>IF($U165="","",IF(INDEX('MiT Strom Pipeline'!$D:$D,$U165)="","",INDEX('MiT Strom Pipeline'!$D:$D,$U165)))</f>
        <v/>
      </c>
      <c r="E165" s="24" t="str">
        <f>IF($U165="","",IF(INDEX('MiT Strom Pipeline'!$H:$H,$U165)="","",INDEX('MiT Strom Pipeline'!$H:$H,$U165)))</f>
        <v/>
      </c>
      <c r="F165" s="24" t="str">
        <f>IF($U165="","",IF(INDEX('MiT Strom Pipeline'!$E:$E,$U165)="","",INDEX('MiT Strom Pipeline'!$E:$E,$U165)))</f>
        <v/>
      </c>
      <c r="G165" s="25" t="str">
        <f>IF($U165="","",IF(ISNUMBER(INDEX('MiT Strom Pipeline'!$I:$I,$U165)),INDEX('MiT Strom Pipeline'!$I:$I,$U165),0))</f>
        <v/>
      </c>
      <c r="H165" s="25" t="str">
        <f>IF($U165="","",IF(ISNUMBER(INDEX('MiT Strom Pipeline'!$Q:$Q,$U165)),INDEX('MiT Strom Pipeline'!$Q:$Q,$U165),0))</f>
        <v/>
      </c>
      <c r="I165" s="25" t="str">
        <f>IF($U165="","",IF(ISNUMBER(INDEX('MiT Strom Pipeline'!$O:$O,$U165)),INDEX('MiT Strom Pipeline'!$O:$O,$U165),0))</f>
        <v/>
      </c>
      <c r="J165" s="24" t="str">
        <f>IF($U165="","",INDEX('MiT Strom Pipeline'!$R:$R,$U165))</f>
        <v/>
      </c>
      <c r="K165" s="26" t="str">
        <f>IF($U165="","",IF(ISNUMBER(INDEX('MiT Strom Pipeline'!$S:$S,$U165)),INDEX('MiT Strom Pipeline'!$S:$S,$U165),""))</f>
        <v/>
      </c>
      <c r="L165" s="24" t="str">
        <f>IF($U165="","",IF(LEN(INDEX('MiT Strom Pipeline'!$V:$V,$U165))&gt;0,LEFT(INDEX('MiT Strom Pipeline'!$V:$V,$U165),55),""))</f>
        <v/>
      </c>
      <c r="M165" s="19"/>
      <c r="N165" s="19"/>
      <c r="O165" s="19"/>
      <c r="P165" s="19"/>
      <c r="Q165" s="19"/>
      <c r="R165" s="19"/>
      <c r="S165" s="19"/>
      <c r="U165" t="str">
        <f>IFERROR(MATCH(27,'MiT Strom Pipeline'!$AD$6:$AD$860,0)+5,"")</f>
        <v/>
      </c>
    </row>
    <row r="166" spans="1:21" ht="15.75" customHeight="1">
      <c r="A166" s="23" t="str">
        <f>IF($U166="","",IF(ISNUMBER(INDEX('MiT Strom Pipeline'!$A:$A,$U166)),INDEX('MiT Strom Pipeline'!$A:$A,$U166),""))</f>
        <v/>
      </c>
      <c r="B166" s="24" t="str">
        <f>IF($U166="","",IF(INDEX('MiT Strom Pipeline'!$B:$B,$U166)="","",INDEX('MiT Strom Pipeline'!$B:$B,$U166)))</f>
        <v/>
      </c>
      <c r="C166" s="24" t="str">
        <f>IF($U166="","",IF(INDEX('MiT Strom Pipeline'!$C:$C,$U166)="","",INDEX('MiT Strom Pipeline'!$C:$C,$U166)))</f>
        <v/>
      </c>
      <c r="D166" s="24" t="str">
        <f>IF($U166="","",IF(INDEX('MiT Strom Pipeline'!$D:$D,$U166)="","",INDEX('MiT Strom Pipeline'!$D:$D,$U166)))</f>
        <v/>
      </c>
      <c r="E166" s="24" t="str">
        <f>IF($U166="","",IF(INDEX('MiT Strom Pipeline'!$H:$H,$U166)="","",INDEX('MiT Strom Pipeline'!$H:$H,$U166)))</f>
        <v/>
      </c>
      <c r="F166" s="24" t="str">
        <f>IF($U166="","",IF(INDEX('MiT Strom Pipeline'!$E:$E,$U166)="","",INDEX('MiT Strom Pipeline'!$E:$E,$U166)))</f>
        <v/>
      </c>
      <c r="G166" s="25" t="str">
        <f>IF($U166="","",IF(ISNUMBER(INDEX('MiT Strom Pipeline'!$I:$I,$U166)),INDEX('MiT Strom Pipeline'!$I:$I,$U166),0))</f>
        <v/>
      </c>
      <c r="H166" s="25" t="str">
        <f>IF($U166="","",IF(ISNUMBER(INDEX('MiT Strom Pipeline'!$Q:$Q,$U166)),INDEX('MiT Strom Pipeline'!$Q:$Q,$U166),0))</f>
        <v/>
      </c>
      <c r="I166" s="25" t="str">
        <f>IF($U166="","",IF(ISNUMBER(INDEX('MiT Strom Pipeline'!$O:$O,$U166)),INDEX('MiT Strom Pipeline'!$O:$O,$U166),0))</f>
        <v/>
      </c>
      <c r="J166" s="24" t="str">
        <f>IF($U166="","",INDEX('MiT Strom Pipeline'!$R:$R,$U166))</f>
        <v/>
      </c>
      <c r="K166" s="26" t="str">
        <f>IF($U166="","",IF(ISNUMBER(INDEX('MiT Strom Pipeline'!$S:$S,$U166)),INDEX('MiT Strom Pipeline'!$S:$S,$U166),""))</f>
        <v/>
      </c>
      <c r="L166" s="24" t="str">
        <f>IF($U166="","",IF(LEN(INDEX('MiT Strom Pipeline'!$V:$V,$U166))&gt;0,LEFT(INDEX('MiT Strom Pipeline'!$V:$V,$U166),55),""))</f>
        <v/>
      </c>
      <c r="M166" s="19"/>
      <c r="N166" s="19"/>
      <c r="O166" s="19"/>
      <c r="P166" s="19"/>
      <c r="Q166" s="19"/>
      <c r="R166" s="19"/>
      <c r="S166" s="19"/>
      <c r="U166" t="str">
        <f>IFERROR(MATCH(28,'MiT Strom Pipeline'!$AD$6:$AD$860,0)+5,"")</f>
        <v/>
      </c>
    </row>
    <row r="167" spans="1:21" ht="15.75" customHeight="1">
      <c r="A167" s="23" t="str">
        <f>IF($U167="","",IF(ISNUMBER(INDEX('MiT Strom Pipeline'!$A:$A,$U167)),INDEX('MiT Strom Pipeline'!$A:$A,$U167),""))</f>
        <v/>
      </c>
      <c r="B167" s="24" t="str">
        <f>IF($U167="","",IF(INDEX('MiT Strom Pipeline'!$B:$B,$U167)="","",INDEX('MiT Strom Pipeline'!$B:$B,$U167)))</f>
        <v/>
      </c>
      <c r="C167" s="24" t="str">
        <f>IF($U167="","",IF(INDEX('MiT Strom Pipeline'!$C:$C,$U167)="","",INDEX('MiT Strom Pipeline'!$C:$C,$U167)))</f>
        <v/>
      </c>
      <c r="D167" s="24" t="str">
        <f>IF($U167="","",IF(INDEX('MiT Strom Pipeline'!$D:$D,$U167)="","",INDEX('MiT Strom Pipeline'!$D:$D,$U167)))</f>
        <v/>
      </c>
      <c r="E167" s="24" t="str">
        <f>IF($U167="","",IF(INDEX('MiT Strom Pipeline'!$H:$H,$U167)="","",INDEX('MiT Strom Pipeline'!$H:$H,$U167)))</f>
        <v/>
      </c>
      <c r="F167" s="24" t="str">
        <f>IF($U167="","",IF(INDEX('MiT Strom Pipeline'!$E:$E,$U167)="","",INDEX('MiT Strom Pipeline'!$E:$E,$U167)))</f>
        <v/>
      </c>
      <c r="G167" s="25" t="str">
        <f>IF($U167="","",IF(ISNUMBER(INDEX('MiT Strom Pipeline'!$I:$I,$U167)),INDEX('MiT Strom Pipeline'!$I:$I,$U167),0))</f>
        <v/>
      </c>
      <c r="H167" s="25" t="str">
        <f>IF($U167="","",IF(ISNUMBER(INDEX('MiT Strom Pipeline'!$Q:$Q,$U167)),INDEX('MiT Strom Pipeline'!$Q:$Q,$U167),0))</f>
        <v/>
      </c>
      <c r="I167" s="25" t="str">
        <f>IF($U167="","",IF(ISNUMBER(INDEX('MiT Strom Pipeline'!$O:$O,$U167)),INDEX('MiT Strom Pipeline'!$O:$O,$U167),0))</f>
        <v/>
      </c>
      <c r="J167" s="24" t="str">
        <f>IF($U167="","",INDEX('MiT Strom Pipeline'!$R:$R,$U167))</f>
        <v/>
      </c>
      <c r="K167" s="26" t="str">
        <f>IF($U167="","",IF(ISNUMBER(INDEX('MiT Strom Pipeline'!$S:$S,$U167)),INDEX('MiT Strom Pipeline'!$S:$S,$U167),""))</f>
        <v/>
      </c>
      <c r="L167" s="24" t="str">
        <f>IF($U167="","",IF(LEN(INDEX('MiT Strom Pipeline'!$V:$V,$U167))&gt;0,LEFT(INDEX('MiT Strom Pipeline'!$V:$V,$U167),55),""))</f>
        <v/>
      </c>
      <c r="M167" s="19"/>
      <c r="N167" s="19"/>
      <c r="O167" s="19"/>
      <c r="P167" s="19"/>
      <c r="Q167" s="19"/>
      <c r="R167" s="19"/>
      <c r="S167" s="19"/>
      <c r="U167" t="str">
        <f>IFERROR(MATCH(29,'MiT Strom Pipeline'!$AD$6:$AD$860,0)+5,"")</f>
        <v/>
      </c>
    </row>
    <row r="168" spans="1:21" ht="15.75" customHeight="1">
      <c r="A168" s="23" t="str">
        <f>IF($U168="","",IF(ISNUMBER(INDEX('MiT Strom Pipeline'!$A:$A,$U168)),INDEX('MiT Strom Pipeline'!$A:$A,$U168),""))</f>
        <v/>
      </c>
      <c r="B168" s="24" t="str">
        <f>IF($U168="","",IF(INDEX('MiT Strom Pipeline'!$B:$B,$U168)="","",INDEX('MiT Strom Pipeline'!$B:$B,$U168)))</f>
        <v/>
      </c>
      <c r="C168" s="24" t="str">
        <f>IF($U168="","",IF(INDEX('MiT Strom Pipeline'!$C:$C,$U168)="","",INDEX('MiT Strom Pipeline'!$C:$C,$U168)))</f>
        <v/>
      </c>
      <c r="D168" s="24" t="str">
        <f>IF($U168="","",IF(INDEX('MiT Strom Pipeline'!$D:$D,$U168)="","",INDEX('MiT Strom Pipeline'!$D:$D,$U168)))</f>
        <v/>
      </c>
      <c r="E168" s="24" t="str">
        <f>IF($U168="","",IF(INDEX('MiT Strom Pipeline'!$H:$H,$U168)="","",INDEX('MiT Strom Pipeline'!$H:$H,$U168)))</f>
        <v/>
      </c>
      <c r="F168" s="24" t="str">
        <f>IF($U168="","",IF(INDEX('MiT Strom Pipeline'!$E:$E,$U168)="","",INDEX('MiT Strom Pipeline'!$E:$E,$U168)))</f>
        <v/>
      </c>
      <c r="G168" s="25" t="str">
        <f>IF($U168="","",IF(ISNUMBER(INDEX('MiT Strom Pipeline'!$I:$I,$U168)),INDEX('MiT Strom Pipeline'!$I:$I,$U168),0))</f>
        <v/>
      </c>
      <c r="H168" s="25" t="str">
        <f>IF($U168="","",IF(ISNUMBER(INDEX('MiT Strom Pipeline'!$Q:$Q,$U168)),INDEX('MiT Strom Pipeline'!$Q:$Q,$U168),0))</f>
        <v/>
      </c>
      <c r="I168" s="25" t="str">
        <f>IF($U168="","",IF(ISNUMBER(INDEX('MiT Strom Pipeline'!$O:$O,$U168)),INDEX('MiT Strom Pipeline'!$O:$O,$U168),0))</f>
        <v/>
      </c>
      <c r="J168" s="24" t="str">
        <f>IF($U168="","",INDEX('MiT Strom Pipeline'!$R:$R,$U168))</f>
        <v/>
      </c>
      <c r="K168" s="26" t="str">
        <f>IF($U168="","",IF(ISNUMBER(INDEX('MiT Strom Pipeline'!$S:$S,$U168)),INDEX('MiT Strom Pipeline'!$S:$S,$U168),""))</f>
        <v/>
      </c>
      <c r="L168" s="24" t="str">
        <f>IF($U168="","",IF(LEN(INDEX('MiT Strom Pipeline'!$V:$V,$U168))&gt;0,LEFT(INDEX('MiT Strom Pipeline'!$V:$V,$U168),55),""))</f>
        <v/>
      </c>
      <c r="M168" s="19"/>
      <c r="N168" s="19"/>
      <c r="O168" s="19"/>
      <c r="P168" s="19"/>
      <c r="Q168" s="19"/>
      <c r="R168" s="19"/>
      <c r="S168" s="19"/>
      <c r="U168" t="str">
        <f>IFERROR(MATCH(30,'MiT Strom Pipeline'!$AD$6:$AD$860,0)+5,"")</f>
        <v/>
      </c>
    </row>
    <row r="169" spans="1:21" ht="15.75" customHeight="1">
      <c r="A169" s="23" t="str">
        <f>IF($U169="","",IF(ISNUMBER(INDEX('MiT Strom Pipeline'!$A:$A,$U169)),INDEX('MiT Strom Pipeline'!$A:$A,$U169),""))</f>
        <v/>
      </c>
      <c r="B169" s="24" t="str">
        <f>IF($U169="","",IF(INDEX('MiT Strom Pipeline'!$B:$B,$U169)="","",INDEX('MiT Strom Pipeline'!$B:$B,$U169)))</f>
        <v/>
      </c>
      <c r="C169" s="24" t="str">
        <f>IF($U169="","",IF(INDEX('MiT Strom Pipeline'!$C:$C,$U169)="","",INDEX('MiT Strom Pipeline'!$C:$C,$U169)))</f>
        <v/>
      </c>
      <c r="D169" s="24" t="str">
        <f>IF($U169="","",IF(INDEX('MiT Strom Pipeline'!$D:$D,$U169)="","",INDEX('MiT Strom Pipeline'!$D:$D,$U169)))</f>
        <v/>
      </c>
      <c r="E169" s="24" t="str">
        <f>IF($U169="","",IF(INDEX('MiT Strom Pipeline'!$H:$H,$U169)="","",INDEX('MiT Strom Pipeline'!$H:$H,$U169)))</f>
        <v/>
      </c>
      <c r="F169" s="24" t="str">
        <f>IF($U169="","",IF(INDEX('MiT Strom Pipeline'!$E:$E,$U169)="","",INDEX('MiT Strom Pipeline'!$E:$E,$U169)))</f>
        <v/>
      </c>
      <c r="G169" s="25" t="str">
        <f>IF($U169="","",IF(ISNUMBER(INDEX('MiT Strom Pipeline'!$I:$I,$U169)),INDEX('MiT Strom Pipeline'!$I:$I,$U169),0))</f>
        <v/>
      </c>
      <c r="H169" s="25" t="str">
        <f>IF($U169="","",IF(ISNUMBER(INDEX('MiT Strom Pipeline'!$Q:$Q,$U169)),INDEX('MiT Strom Pipeline'!$Q:$Q,$U169),0))</f>
        <v/>
      </c>
      <c r="I169" s="25" t="str">
        <f>IF($U169="","",IF(ISNUMBER(INDEX('MiT Strom Pipeline'!$O:$O,$U169)),INDEX('MiT Strom Pipeline'!$O:$O,$U169),0))</f>
        <v/>
      </c>
      <c r="J169" s="24" t="str">
        <f>IF($U169="","",INDEX('MiT Strom Pipeline'!$R:$R,$U169))</f>
        <v/>
      </c>
      <c r="K169" s="26" t="str">
        <f>IF($U169="","",IF(ISNUMBER(INDEX('MiT Strom Pipeline'!$S:$S,$U169)),INDEX('MiT Strom Pipeline'!$S:$S,$U169),""))</f>
        <v/>
      </c>
      <c r="L169" s="24" t="str">
        <f>IF($U169="","",IF(LEN(INDEX('MiT Strom Pipeline'!$V:$V,$U169))&gt;0,LEFT(INDEX('MiT Strom Pipeline'!$V:$V,$U169),55),""))</f>
        <v/>
      </c>
      <c r="M169" s="19"/>
      <c r="N169" s="19"/>
      <c r="O169" s="19"/>
      <c r="P169" s="19"/>
      <c r="Q169" s="19"/>
      <c r="R169" s="19"/>
      <c r="S169" s="19"/>
      <c r="U169" t="str">
        <f>IFERROR(MATCH(31,'MiT Strom Pipeline'!$AD$6:$AD$860,0)+5,"")</f>
        <v/>
      </c>
    </row>
    <row r="170" spans="1:21" ht="15.75" customHeight="1">
      <c r="A170" s="23" t="str">
        <f>IF($U170="","",IF(ISNUMBER(INDEX('MiT Strom Pipeline'!$A:$A,$U170)),INDEX('MiT Strom Pipeline'!$A:$A,$U170),""))</f>
        <v/>
      </c>
      <c r="B170" s="24" t="str">
        <f>IF($U170="","",IF(INDEX('MiT Strom Pipeline'!$B:$B,$U170)="","",INDEX('MiT Strom Pipeline'!$B:$B,$U170)))</f>
        <v/>
      </c>
      <c r="C170" s="24" t="str">
        <f>IF($U170="","",IF(INDEX('MiT Strom Pipeline'!$C:$C,$U170)="","",INDEX('MiT Strom Pipeline'!$C:$C,$U170)))</f>
        <v/>
      </c>
      <c r="D170" s="24" t="str">
        <f>IF($U170="","",IF(INDEX('MiT Strom Pipeline'!$D:$D,$U170)="","",INDEX('MiT Strom Pipeline'!$D:$D,$U170)))</f>
        <v/>
      </c>
      <c r="E170" s="24" t="str">
        <f>IF($U170="","",IF(INDEX('MiT Strom Pipeline'!$H:$H,$U170)="","",INDEX('MiT Strom Pipeline'!$H:$H,$U170)))</f>
        <v/>
      </c>
      <c r="F170" s="24" t="str">
        <f>IF($U170="","",IF(INDEX('MiT Strom Pipeline'!$E:$E,$U170)="","",INDEX('MiT Strom Pipeline'!$E:$E,$U170)))</f>
        <v/>
      </c>
      <c r="G170" s="25" t="str">
        <f>IF($U170="","",IF(ISNUMBER(INDEX('MiT Strom Pipeline'!$I:$I,$U170)),INDEX('MiT Strom Pipeline'!$I:$I,$U170),0))</f>
        <v/>
      </c>
      <c r="H170" s="25" t="str">
        <f>IF($U170="","",IF(ISNUMBER(INDEX('MiT Strom Pipeline'!$Q:$Q,$U170)),INDEX('MiT Strom Pipeline'!$Q:$Q,$U170),0))</f>
        <v/>
      </c>
      <c r="I170" s="25" t="str">
        <f>IF($U170="","",IF(ISNUMBER(INDEX('MiT Strom Pipeline'!$O:$O,$U170)),INDEX('MiT Strom Pipeline'!$O:$O,$U170),0))</f>
        <v/>
      </c>
      <c r="J170" s="24" t="str">
        <f>IF($U170="","",INDEX('MiT Strom Pipeline'!$R:$R,$U170))</f>
        <v/>
      </c>
      <c r="K170" s="26" t="str">
        <f>IF($U170="","",IF(ISNUMBER(INDEX('MiT Strom Pipeline'!$S:$S,$U170)),INDEX('MiT Strom Pipeline'!$S:$S,$U170),""))</f>
        <v/>
      </c>
      <c r="L170" s="24" t="str">
        <f>IF($U170="","",IF(LEN(INDEX('MiT Strom Pipeline'!$V:$V,$U170))&gt;0,LEFT(INDEX('MiT Strom Pipeline'!$V:$V,$U170),55),""))</f>
        <v/>
      </c>
      <c r="M170" s="19"/>
      <c r="N170" s="19"/>
      <c r="O170" s="19"/>
      <c r="P170" s="19"/>
      <c r="Q170" s="19"/>
      <c r="R170" s="19"/>
      <c r="S170" s="19"/>
      <c r="U170" t="str">
        <f>IFERROR(MATCH(32,'MiT Strom Pipeline'!$AD$6:$AD$860,0)+5,"")</f>
        <v/>
      </c>
    </row>
    <row r="171" spans="1:21" ht="15.75" customHeight="1">
      <c r="A171" s="23" t="str">
        <f>IF($U171="","",IF(ISNUMBER(INDEX('MiT Strom Pipeline'!$A:$A,$U171)),INDEX('MiT Strom Pipeline'!$A:$A,$U171),""))</f>
        <v/>
      </c>
      <c r="B171" s="24" t="str">
        <f>IF($U171="","",IF(INDEX('MiT Strom Pipeline'!$B:$B,$U171)="","",INDEX('MiT Strom Pipeline'!$B:$B,$U171)))</f>
        <v/>
      </c>
      <c r="C171" s="24" t="str">
        <f>IF($U171="","",IF(INDEX('MiT Strom Pipeline'!$C:$C,$U171)="","",INDEX('MiT Strom Pipeline'!$C:$C,$U171)))</f>
        <v/>
      </c>
      <c r="D171" s="24" t="str">
        <f>IF($U171="","",IF(INDEX('MiT Strom Pipeline'!$D:$D,$U171)="","",INDEX('MiT Strom Pipeline'!$D:$D,$U171)))</f>
        <v/>
      </c>
      <c r="E171" s="29" t="str">
        <f>IF($U171="","",IF(INDEX('MiT Strom Pipeline'!$H:$H,$U171)="","",INDEX('MiT Strom Pipeline'!$H:$H,$U171)))</f>
        <v/>
      </c>
      <c r="F171" s="24" t="str">
        <f>IF($U171="","",IF(INDEX('MiT Strom Pipeline'!$E:$E,$U171)="","",INDEX('MiT Strom Pipeline'!$E:$E,$U171)))</f>
        <v/>
      </c>
      <c r="G171" s="25" t="str">
        <f>IF($U171="","",IF(ISNUMBER(INDEX('MiT Strom Pipeline'!$I:$I,$U171)),INDEX('MiT Strom Pipeline'!$I:$I,$U171),0))</f>
        <v/>
      </c>
      <c r="H171" s="25" t="str">
        <f>IF($U171="","",IF(ISNUMBER(INDEX('MiT Strom Pipeline'!$Q:$Q,$U171)),INDEX('MiT Strom Pipeline'!$Q:$Q,$U171),0))</f>
        <v/>
      </c>
      <c r="I171" s="25" t="str">
        <f>IF($U171="","",IF(ISNUMBER(INDEX('MiT Strom Pipeline'!$O:$O,$U171)),INDEX('MiT Strom Pipeline'!$O:$O,$U171),0))</f>
        <v/>
      </c>
      <c r="J171" s="24" t="str">
        <f>IF($U171="","",INDEX('MiT Strom Pipeline'!$R:$R,$U171))</f>
        <v/>
      </c>
      <c r="K171" s="26" t="str">
        <f>IF($U171="","",IF(ISNUMBER(INDEX('MiT Strom Pipeline'!$S:$S,$U171)),INDEX('MiT Strom Pipeline'!$S:$S,$U171),""))</f>
        <v/>
      </c>
      <c r="L171" s="24" t="str">
        <f>IF($U171="","",IF(LEN(INDEX('MiT Strom Pipeline'!$V:$V,$U171))&gt;0,LEFT(INDEX('MiT Strom Pipeline'!$V:$V,$U171),55),""))</f>
        <v/>
      </c>
      <c r="M171" s="19"/>
      <c r="N171" s="19"/>
      <c r="O171" s="19"/>
      <c r="P171" s="19"/>
      <c r="Q171" s="19"/>
      <c r="R171" s="19"/>
      <c r="S171" s="19"/>
      <c r="U171" t="str">
        <f>IFERROR(MATCH(33,'MiT Strom Pipeline'!$AD$6:$AD$860,0)+5,"")</f>
        <v/>
      </c>
    </row>
    <row r="172" spans="1:21" ht="15.75" customHeight="1">
      <c r="A172" s="23" t="str">
        <f>IF($U172="","",IF(ISNUMBER(INDEX('MiT Strom Pipeline'!$A:$A,$U172)),INDEX('MiT Strom Pipeline'!$A:$A,$U172),""))</f>
        <v/>
      </c>
      <c r="B172" s="24" t="str">
        <f>IF($U172="","",IF(INDEX('MiT Strom Pipeline'!$B:$B,$U172)="","",INDEX('MiT Strom Pipeline'!$B:$B,$U172)))</f>
        <v/>
      </c>
      <c r="C172" s="24" t="str">
        <f>IF($U172="","",IF(INDEX('MiT Strom Pipeline'!$C:$C,$U172)="","",INDEX('MiT Strom Pipeline'!$C:$C,$U172)))</f>
        <v/>
      </c>
      <c r="D172" s="24" t="str">
        <f>IF($U172="","",IF(INDEX('MiT Strom Pipeline'!$D:$D,$U172)="","",INDEX('MiT Strom Pipeline'!$D:$D,$U172)))</f>
        <v/>
      </c>
      <c r="E172" s="24" t="str">
        <f>IF($U172="","",IF(INDEX('MiT Strom Pipeline'!$H:$H,$U172)="","",INDEX('MiT Strom Pipeline'!$H:$H,$U172)))</f>
        <v/>
      </c>
      <c r="F172" s="24" t="str">
        <f>IF($U172="","",IF(INDEX('MiT Strom Pipeline'!$E:$E,$U172)="","",INDEX('MiT Strom Pipeline'!$E:$E,$U172)))</f>
        <v/>
      </c>
      <c r="G172" s="25" t="str">
        <f>IF($U172="","",IF(ISNUMBER(INDEX('MiT Strom Pipeline'!$I:$I,$U172)),INDEX('MiT Strom Pipeline'!$I:$I,$U172),0))</f>
        <v/>
      </c>
      <c r="H172" s="25" t="str">
        <f>IF($U172="","",IF(ISNUMBER(INDEX('MiT Strom Pipeline'!$Q:$Q,$U172)),INDEX('MiT Strom Pipeline'!$Q:$Q,$U172),0))</f>
        <v/>
      </c>
      <c r="I172" s="25" t="str">
        <f>IF($U172="","",IF(ISNUMBER(INDEX('MiT Strom Pipeline'!$O:$O,$U172)),INDEX('MiT Strom Pipeline'!$O:$O,$U172),0))</f>
        <v/>
      </c>
      <c r="J172" s="24" t="str">
        <f>IF($U172="","",INDEX('MiT Strom Pipeline'!$R:$R,$U172))</f>
        <v/>
      </c>
      <c r="K172" s="26" t="str">
        <f>IF($U172="","",IF(ISNUMBER(INDEX('MiT Strom Pipeline'!$S:$S,$U172)),INDEX('MiT Strom Pipeline'!$S:$S,$U172),""))</f>
        <v/>
      </c>
      <c r="L172" s="24" t="str">
        <f>IF($U172="","",IF(LEN(INDEX('MiT Strom Pipeline'!$V:$V,$U172))&gt;0,LEFT(INDEX('MiT Strom Pipeline'!$V:$V,$U172),55),""))</f>
        <v/>
      </c>
      <c r="M172" s="19"/>
      <c r="N172" s="19"/>
      <c r="O172" s="19"/>
      <c r="P172" s="19"/>
      <c r="Q172" s="19"/>
      <c r="R172" s="19"/>
      <c r="S172" s="19"/>
      <c r="U172" t="str">
        <f>IFERROR(MATCH(34,'MiT Strom Pipeline'!$AD$6:$AD$860,0)+5,"")</f>
        <v/>
      </c>
    </row>
    <row r="173" spans="1:21" ht="15.75" customHeight="1">
      <c r="A173" s="23" t="str">
        <f>IF($U173="","",IF(ISNUMBER(INDEX('MiT Strom Pipeline'!$A:$A,$U173)),INDEX('MiT Strom Pipeline'!$A:$A,$U173),""))</f>
        <v/>
      </c>
      <c r="B173" s="24" t="str">
        <f>IF($U173="","",IF(INDEX('MiT Strom Pipeline'!$B:$B,$U173)="","",INDEX('MiT Strom Pipeline'!$B:$B,$U173)))</f>
        <v/>
      </c>
      <c r="C173" s="24" t="str">
        <f>IF($U173="","",IF(INDEX('MiT Strom Pipeline'!$C:$C,$U173)="","",INDEX('MiT Strom Pipeline'!$C:$C,$U173)))</f>
        <v/>
      </c>
      <c r="D173" s="24" t="str">
        <f>IF($U173="","",IF(INDEX('MiT Strom Pipeline'!$D:$D,$U173)="","",INDEX('MiT Strom Pipeline'!$D:$D,$U173)))</f>
        <v/>
      </c>
      <c r="E173" s="24" t="str">
        <f>IF($U173="","",IF(INDEX('MiT Strom Pipeline'!$H:$H,$U173)="","",INDEX('MiT Strom Pipeline'!$H:$H,$U173)))</f>
        <v/>
      </c>
      <c r="F173" s="24" t="str">
        <f>IF($U173="","",IF(INDEX('MiT Strom Pipeline'!$E:$E,$U173)="","",INDEX('MiT Strom Pipeline'!$E:$E,$U173)))</f>
        <v/>
      </c>
      <c r="G173" s="25" t="str">
        <f>IF($U173="","",IF(ISNUMBER(INDEX('MiT Strom Pipeline'!$I:$I,$U173)),INDEX('MiT Strom Pipeline'!$I:$I,$U173),0))</f>
        <v/>
      </c>
      <c r="H173" s="25" t="str">
        <f>IF($U173="","",IF(ISNUMBER(INDEX('MiT Strom Pipeline'!$Q:$Q,$U173)),INDEX('MiT Strom Pipeline'!$Q:$Q,$U173),0))</f>
        <v/>
      </c>
      <c r="I173" s="25" t="str">
        <f>IF($U173="","",IF(ISNUMBER(INDEX('MiT Strom Pipeline'!$O:$O,$U173)),INDEX('MiT Strom Pipeline'!$O:$O,$U173),0))</f>
        <v/>
      </c>
      <c r="J173" s="24" t="str">
        <f>IF($U173="","",INDEX('MiT Strom Pipeline'!$R:$R,$U173))</f>
        <v/>
      </c>
      <c r="K173" s="26" t="str">
        <f>IF($U173="","",IF(ISNUMBER(INDEX('MiT Strom Pipeline'!$S:$S,$U173)),INDEX('MiT Strom Pipeline'!$S:$S,$U173),""))</f>
        <v/>
      </c>
      <c r="L173" s="24" t="str">
        <f>IF($U173="","",IF(LEN(INDEX('MiT Strom Pipeline'!$V:$V,$U173))&gt;0,LEFT(INDEX('MiT Strom Pipeline'!$V:$V,$U173),55),""))</f>
        <v/>
      </c>
      <c r="M173" s="19"/>
      <c r="N173" s="19"/>
      <c r="O173" s="19"/>
      <c r="P173" s="19"/>
      <c r="Q173" s="19"/>
      <c r="R173" s="19"/>
      <c r="S173" s="19"/>
      <c r="U173" t="str">
        <f>IFERROR(MATCH(35,'MiT Strom Pipeline'!$AD$6:$AD$860,0)+5,"")</f>
        <v/>
      </c>
    </row>
    <row r="174" spans="1:21" ht="15.75" customHeight="1">
      <c r="A174" s="23" t="str">
        <f>IF($U174="","",IF(ISNUMBER(INDEX('MiT Strom Pipeline'!$A:$A,$U174)),INDEX('MiT Strom Pipeline'!$A:$A,$U174),""))</f>
        <v/>
      </c>
      <c r="B174" s="24" t="str">
        <f>IF($U174="","",IF(INDEX('MiT Strom Pipeline'!$B:$B,$U174)="","",INDEX('MiT Strom Pipeline'!$B:$B,$U174)))</f>
        <v/>
      </c>
      <c r="C174" s="24" t="str">
        <f>IF($U174="","",IF(INDEX('MiT Strom Pipeline'!$C:$C,$U174)="","",INDEX('MiT Strom Pipeline'!$C:$C,$U174)))</f>
        <v/>
      </c>
      <c r="D174" s="24" t="str">
        <f>IF($U174="","",IF(INDEX('MiT Strom Pipeline'!$D:$D,$U174)="","",INDEX('MiT Strom Pipeline'!$D:$D,$U174)))</f>
        <v/>
      </c>
      <c r="E174" s="24" t="str">
        <f>IF($U174="","",IF(INDEX('MiT Strom Pipeline'!$H:$H,$U174)="","",INDEX('MiT Strom Pipeline'!$H:$H,$U174)))</f>
        <v/>
      </c>
      <c r="F174" s="24" t="str">
        <f>IF($U174="","",IF(INDEX('MiT Strom Pipeline'!$E:$E,$U174)="","",INDEX('MiT Strom Pipeline'!$E:$E,$U174)))</f>
        <v/>
      </c>
      <c r="G174" s="25" t="str">
        <f>IF($U174="","",IF(ISNUMBER(INDEX('MiT Strom Pipeline'!$I:$I,$U174)),INDEX('MiT Strom Pipeline'!$I:$I,$U174),0))</f>
        <v/>
      </c>
      <c r="H174" s="25" t="str">
        <f>IF($U174="","",IF(ISNUMBER(INDEX('MiT Strom Pipeline'!$Q:$Q,$U174)),INDEX('MiT Strom Pipeline'!$Q:$Q,$U174),0))</f>
        <v/>
      </c>
      <c r="I174" s="25" t="str">
        <f>IF($U174="","",IF(ISNUMBER(INDEX('MiT Strom Pipeline'!$O:$O,$U174)),INDEX('MiT Strom Pipeline'!$O:$O,$U174),0))</f>
        <v/>
      </c>
      <c r="J174" s="24" t="str">
        <f>IF($U174="","",INDEX('MiT Strom Pipeline'!$R:$R,$U174))</f>
        <v/>
      </c>
      <c r="K174" s="26" t="str">
        <f>IF($U174="","",IF(ISNUMBER(INDEX('MiT Strom Pipeline'!$S:$S,$U174)),INDEX('MiT Strom Pipeline'!$S:$S,$U174),""))</f>
        <v/>
      </c>
      <c r="L174" s="24" t="str">
        <f>IF($U174="","",IF(LEN(INDEX('MiT Strom Pipeline'!$V:$V,$U174))&gt;0,LEFT(INDEX('MiT Strom Pipeline'!$V:$V,$U174),55),""))</f>
        <v/>
      </c>
      <c r="M174" s="19"/>
      <c r="N174" s="19"/>
      <c r="O174" s="19"/>
      <c r="P174" s="19"/>
      <c r="Q174" s="19"/>
      <c r="R174" s="19"/>
      <c r="S174" s="19"/>
      <c r="U174" t="str">
        <f>IFERROR(MATCH(36,'MiT Strom Pipeline'!$AD$6:$AD$860,0)+5,"")</f>
        <v/>
      </c>
    </row>
    <row r="175" spans="1:21" ht="15.75" customHeight="1">
      <c r="A175" s="23" t="str">
        <f>IF($U175="","",IF(ISNUMBER(INDEX('MiT Strom Pipeline'!$A:$A,$U175)),INDEX('MiT Strom Pipeline'!$A:$A,$U175),""))</f>
        <v/>
      </c>
      <c r="B175" s="24" t="str">
        <f>IF($U175="","",IF(INDEX('MiT Strom Pipeline'!$B:$B,$U175)="","",INDEX('MiT Strom Pipeline'!$B:$B,$U175)))</f>
        <v/>
      </c>
      <c r="C175" s="24" t="str">
        <f>IF($U175="","",IF(INDEX('MiT Strom Pipeline'!$C:$C,$U175)="","",INDEX('MiT Strom Pipeline'!$C:$C,$U175)))</f>
        <v/>
      </c>
      <c r="D175" s="24" t="str">
        <f>IF($U175="","",IF(INDEX('MiT Strom Pipeline'!$D:$D,$U175)="","",INDEX('MiT Strom Pipeline'!$D:$D,$U175)))</f>
        <v/>
      </c>
      <c r="E175" s="24" t="str">
        <f>IF($U175="","",IF(INDEX('MiT Strom Pipeline'!$H:$H,$U175)="","",INDEX('MiT Strom Pipeline'!$H:$H,$U175)))</f>
        <v/>
      </c>
      <c r="F175" s="24" t="str">
        <f>IF($U175="","",IF(INDEX('MiT Strom Pipeline'!$E:$E,$U175)="","",INDEX('MiT Strom Pipeline'!$E:$E,$U175)))</f>
        <v/>
      </c>
      <c r="G175" s="25" t="str">
        <f>IF($U175="","",IF(ISNUMBER(INDEX('MiT Strom Pipeline'!$I:$I,$U175)),INDEX('MiT Strom Pipeline'!$I:$I,$U175),0))</f>
        <v/>
      </c>
      <c r="H175" s="25" t="str">
        <f>IF($U175="","",IF(ISNUMBER(INDEX('MiT Strom Pipeline'!$Q:$Q,$U175)),INDEX('MiT Strom Pipeline'!$Q:$Q,$U175),0))</f>
        <v/>
      </c>
      <c r="I175" s="25" t="str">
        <f>IF($U175="","",IF(ISNUMBER(INDEX('MiT Strom Pipeline'!$O:$O,$U175)),INDEX('MiT Strom Pipeline'!$O:$O,$U175),0))</f>
        <v/>
      </c>
      <c r="J175" s="24" t="str">
        <f>IF($U175="","",INDEX('MiT Strom Pipeline'!$R:$R,$U175))</f>
        <v/>
      </c>
      <c r="K175" s="26" t="str">
        <f>IF($U175="","",IF(ISNUMBER(INDEX('MiT Strom Pipeline'!$S:$S,$U175)),INDEX('MiT Strom Pipeline'!$S:$S,$U175),""))</f>
        <v/>
      </c>
      <c r="L175" s="24" t="str">
        <f>IF($U175="","",IF(LEN(INDEX('MiT Strom Pipeline'!$V:$V,$U175))&gt;0,LEFT(INDEX('MiT Strom Pipeline'!$V:$V,$U175),55),""))</f>
        <v/>
      </c>
      <c r="M175" s="19"/>
      <c r="N175" s="19"/>
      <c r="O175" s="19"/>
      <c r="P175" s="19"/>
      <c r="Q175" s="19"/>
      <c r="R175" s="19"/>
      <c r="S175" s="19"/>
      <c r="U175" t="str">
        <f>IFERROR(MATCH(37,'MiT Strom Pipeline'!$AD$6:$AD$860,0)+5,"")</f>
        <v/>
      </c>
    </row>
    <row r="176" spans="1:21" ht="15.75" customHeight="1">
      <c r="A176" s="23" t="str">
        <f>IF($U176="","",IF(ISNUMBER(INDEX('MiT Strom Pipeline'!$A:$A,$U176)),INDEX('MiT Strom Pipeline'!$A:$A,$U176),""))</f>
        <v/>
      </c>
      <c r="B176" s="24" t="str">
        <f>IF($U176="","",IF(INDEX('MiT Strom Pipeline'!$B:$B,$U176)="","",INDEX('MiT Strom Pipeline'!$B:$B,$U176)))</f>
        <v/>
      </c>
      <c r="C176" s="24" t="str">
        <f>IF($U176="","",IF(INDEX('MiT Strom Pipeline'!$C:$C,$U176)="","",INDEX('MiT Strom Pipeline'!$C:$C,$U176)))</f>
        <v/>
      </c>
      <c r="D176" s="24" t="str">
        <f>IF($U176="","",IF(INDEX('MiT Strom Pipeline'!$D:$D,$U176)="","",INDEX('MiT Strom Pipeline'!$D:$D,$U176)))</f>
        <v/>
      </c>
      <c r="E176" s="24" t="str">
        <f>IF($U176="","",IF(INDEX('MiT Strom Pipeline'!$H:$H,$U176)="","",INDEX('MiT Strom Pipeline'!$H:$H,$U176)))</f>
        <v/>
      </c>
      <c r="F176" s="24" t="str">
        <f>IF($U176="","",IF(INDEX('MiT Strom Pipeline'!$E:$E,$U176)="","",INDEX('MiT Strom Pipeline'!$E:$E,$U176)))</f>
        <v/>
      </c>
      <c r="G176" s="25" t="str">
        <f>IF($U176="","",IF(ISNUMBER(INDEX('MiT Strom Pipeline'!$I:$I,$U176)),INDEX('MiT Strom Pipeline'!$I:$I,$U176),0))</f>
        <v/>
      </c>
      <c r="H176" s="25" t="str">
        <f>IF($U176="","",IF(ISNUMBER(INDEX('MiT Strom Pipeline'!$Q:$Q,$U176)),INDEX('MiT Strom Pipeline'!$Q:$Q,$U176),0))</f>
        <v/>
      </c>
      <c r="I176" s="25" t="str">
        <f>IF($U176="","",IF(ISNUMBER(INDEX('MiT Strom Pipeline'!$O:$O,$U176)),INDEX('MiT Strom Pipeline'!$O:$O,$U176),0))</f>
        <v/>
      </c>
      <c r="J176" s="24" t="str">
        <f>IF($U176="","",INDEX('MiT Strom Pipeline'!$R:$R,$U176))</f>
        <v/>
      </c>
      <c r="K176" s="26" t="str">
        <f>IF($U176="","",IF(ISNUMBER(INDEX('MiT Strom Pipeline'!$S:$S,$U176)),INDEX('MiT Strom Pipeline'!$S:$S,$U176),""))</f>
        <v/>
      </c>
      <c r="L176" s="24" t="str">
        <f>IF($U176="","",IF(LEN(INDEX('MiT Strom Pipeline'!$V:$V,$U176))&gt;0,LEFT(INDEX('MiT Strom Pipeline'!$V:$V,$U176),55),""))</f>
        <v/>
      </c>
      <c r="M176" s="19"/>
      <c r="N176" s="19"/>
      <c r="O176" s="19"/>
      <c r="P176" s="19"/>
      <c r="Q176" s="19"/>
      <c r="R176" s="19"/>
      <c r="S176" s="19"/>
      <c r="U176" t="str">
        <f>IFERROR(MATCH(38,'MiT Strom Pipeline'!$AD$6:$AD$860,0)+5,"")</f>
        <v/>
      </c>
    </row>
    <row r="177" spans="1:21" ht="15.75" customHeight="1">
      <c r="A177" s="23" t="str">
        <f>IF($U177="","",IF(ISNUMBER(INDEX('MiT Strom Pipeline'!$A:$A,$U177)),INDEX('MiT Strom Pipeline'!$A:$A,$U177),""))</f>
        <v/>
      </c>
      <c r="B177" s="24" t="str">
        <f>IF($U177="","",IF(INDEX('MiT Strom Pipeline'!$B:$B,$U177)="","",INDEX('MiT Strom Pipeline'!$B:$B,$U177)))</f>
        <v/>
      </c>
      <c r="C177" s="24" t="str">
        <f>IF($U177="","",IF(INDEX('MiT Strom Pipeline'!$C:$C,$U177)="","",INDEX('MiT Strom Pipeline'!$C:$C,$U177)))</f>
        <v/>
      </c>
      <c r="D177" s="24" t="str">
        <f>IF($U177="","",IF(INDEX('MiT Strom Pipeline'!$D:$D,$U177)="","",INDEX('MiT Strom Pipeline'!$D:$D,$U177)))</f>
        <v/>
      </c>
      <c r="E177" s="24" t="str">
        <f>IF($U177="","",IF(INDEX('MiT Strom Pipeline'!$H:$H,$U177)="","",INDEX('MiT Strom Pipeline'!$H:$H,$U177)))</f>
        <v/>
      </c>
      <c r="F177" s="24" t="str">
        <f>IF($U177="","",IF(INDEX('MiT Strom Pipeline'!$E:$E,$U177)="","",INDEX('MiT Strom Pipeline'!$E:$E,$U177)))</f>
        <v/>
      </c>
      <c r="G177" s="25" t="str">
        <f>IF($U177="","",IF(ISNUMBER(INDEX('MiT Strom Pipeline'!$I:$I,$U177)),INDEX('MiT Strom Pipeline'!$I:$I,$U177),0))</f>
        <v/>
      </c>
      <c r="H177" s="25" t="str">
        <f>IF($U177="","",IF(ISNUMBER(INDEX('MiT Strom Pipeline'!$Q:$Q,$U177)),INDEX('MiT Strom Pipeline'!$Q:$Q,$U177),0))</f>
        <v/>
      </c>
      <c r="I177" s="25" t="str">
        <f>IF($U177="","",IF(ISNUMBER(INDEX('MiT Strom Pipeline'!$O:$O,$U177)),INDEX('MiT Strom Pipeline'!$O:$O,$U177),0))</f>
        <v/>
      </c>
      <c r="J177" s="24" t="str">
        <f>IF($U177="","",INDEX('MiT Strom Pipeline'!$R:$R,$U177))</f>
        <v/>
      </c>
      <c r="K177" s="26" t="str">
        <f>IF($U177="","",IF(ISNUMBER(INDEX('MiT Strom Pipeline'!$S:$S,$U177)),INDEX('MiT Strom Pipeline'!$S:$S,$U177),""))</f>
        <v/>
      </c>
      <c r="L177" s="24" t="str">
        <f>IF($U177="","",IF(LEN(INDEX('MiT Strom Pipeline'!$V:$V,$U177))&gt;0,LEFT(INDEX('MiT Strom Pipeline'!$V:$V,$U177),55),""))</f>
        <v/>
      </c>
      <c r="M177" s="19"/>
      <c r="N177" s="19"/>
      <c r="O177" s="19"/>
      <c r="P177" s="19"/>
      <c r="Q177" s="19"/>
      <c r="R177" s="19"/>
      <c r="S177" s="19"/>
      <c r="U177" t="str">
        <f>IFERROR(MATCH(39,'MiT Strom Pipeline'!$AD$6:$AD$860,0)+5,"")</f>
        <v/>
      </c>
    </row>
    <row r="178" spans="1:21" ht="15.75" customHeight="1">
      <c r="A178" s="23" t="str">
        <f>IF($U178="","",IF(ISNUMBER(INDEX('MiT Strom Pipeline'!$A:$A,$U178)),INDEX('MiT Strom Pipeline'!$A:$A,$U178),""))</f>
        <v/>
      </c>
      <c r="B178" s="24" t="str">
        <f>IF($U178="","",IF(INDEX('MiT Strom Pipeline'!$B:$B,$U178)="","",INDEX('MiT Strom Pipeline'!$B:$B,$U178)))</f>
        <v/>
      </c>
      <c r="C178" s="24" t="str">
        <f>IF($U178="","",IF(INDEX('MiT Strom Pipeline'!$C:$C,$U178)="","",INDEX('MiT Strom Pipeline'!$C:$C,$U178)))</f>
        <v/>
      </c>
      <c r="D178" s="24" t="str">
        <f>IF($U178="","",IF(INDEX('MiT Strom Pipeline'!$D:$D,$U178)="","",INDEX('MiT Strom Pipeline'!$D:$D,$U178)))</f>
        <v/>
      </c>
      <c r="E178" s="24" t="str">
        <f>IF($U178="","",IF(INDEX('MiT Strom Pipeline'!$H:$H,$U178)="","",INDEX('MiT Strom Pipeline'!$H:$H,$U178)))</f>
        <v/>
      </c>
      <c r="F178" s="24" t="str">
        <f>IF($U178="","",IF(INDEX('MiT Strom Pipeline'!$E:$E,$U178)="","",INDEX('MiT Strom Pipeline'!$E:$E,$U178)))</f>
        <v/>
      </c>
      <c r="G178" s="25" t="str">
        <f>IF($U178="","",IF(ISNUMBER(INDEX('MiT Strom Pipeline'!$I:$I,$U178)),INDEX('MiT Strom Pipeline'!$I:$I,$U178),0))</f>
        <v/>
      </c>
      <c r="H178" s="25" t="str">
        <f>IF($U178="","",IF(ISNUMBER(INDEX('MiT Strom Pipeline'!$Q:$Q,$U178)),INDEX('MiT Strom Pipeline'!$Q:$Q,$U178),0))</f>
        <v/>
      </c>
      <c r="I178" s="25" t="str">
        <f>IF($U178="","",IF(ISNUMBER(INDEX('MiT Strom Pipeline'!$O:$O,$U178)),INDEX('MiT Strom Pipeline'!$O:$O,$U178),0))</f>
        <v/>
      </c>
      <c r="J178" s="24" t="str">
        <f>IF($U178="","",INDEX('MiT Strom Pipeline'!$R:$R,$U178))</f>
        <v/>
      </c>
      <c r="K178" s="26" t="str">
        <f>IF($U178="","",IF(ISNUMBER(INDEX('MiT Strom Pipeline'!$S:$S,$U178)),INDEX('MiT Strom Pipeline'!$S:$S,$U178),""))</f>
        <v/>
      </c>
      <c r="L178" s="24" t="str">
        <f>IF($U178="","",IF(LEN(INDEX('MiT Strom Pipeline'!$V:$V,$U178))&gt;0,LEFT(INDEX('MiT Strom Pipeline'!$V:$V,$U178),55),""))</f>
        <v/>
      </c>
      <c r="M178" s="19"/>
      <c r="N178" s="19"/>
      <c r="O178" s="19"/>
      <c r="P178" s="19"/>
      <c r="Q178" s="19"/>
      <c r="R178" s="19"/>
      <c r="S178" s="19"/>
      <c r="U178" t="str">
        <f>IFERROR(MATCH(40,'MiT Strom Pipeline'!$AD$6:$AD$860,0)+5,"")</f>
        <v/>
      </c>
    </row>
    <row r="179" spans="1:21" ht="15.75" customHeight="1">
      <c r="A179" s="23" t="str">
        <f>IF($U179="","",IF(ISNUMBER(INDEX('MiT Strom Pipeline'!$A:$A,$U179)),INDEX('MiT Strom Pipeline'!$A:$A,$U179),""))</f>
        <v/>
      </c>
      <c r="B179" s="24" t="str">
        <f>IF($U179="","",IF(INDEX('MiT Strom Pipeline'!$B:$B,$U179)="","",INDEX('MiT Strom Pipeline'!$B:$B,$U179)))</f>
        <v/>
      </c>
      <c r="C179" s="24" t="str">
        <f>IF($U179="","",IF(INDEX('MiT Strom Pipeline'!$C:$C,$U179)="","",INDEX('MiT Strom Pipeline'!$C:$C,$U179)))</f>
        <v/>
      </c>
      <c r="D179" s="24" t="str">
        <f>IF($U179="","",IF(INDEX('MiT Strom Pipeline'!$D:$D,$U179)="","",INDEX('MiT Strom Pipeline'!$D:$D,$U179)))</f>
        <v/>
      </c>
      <c r="E179" s="24" t="str">
        <f>IF($U179="","",IF(INDEX('MiT Strom Pipeline'!$H:$H,$U179)="","",INDEX('MiT Strom Pipeline'!$H:$H,$U179)))</f>
        <v/>
      </c>
      <c r="F179" s="24" t="str">
        <f>IF($U179="","",IF(INDEX('MiT Strom Pipeline'!$E:$E,$U179)="","",INDEX('MiT Strom Pipeline'!$E:$E,$U179)))</f>
        <v/>
      </c>
      <c r="G179" s="25" t="str">
        <f>IF($U179="","",IF(ISNUMBER(INDEX('MiT Strom Pipeline'!$I:$I,$U179)),INDEX('MiT Strom Pipeline'!$I:$I,$U179),0))</f>
        <v/>
      </c>
      <c r="H179" s="25" t="str">
        <f>IF($U179="","",IF(ISNUMBER(INDEX('MiT Strom Pipeline'!$Q:$Q,$U179)),INDEX('MiT Strom Pipeline'!$Q:$Q,$U179),0))</f>
        <v/>
      </c>
      <c r="I179" s="25" t="str">
        <f>IF($U179="","",IF(ISNUMBER(INDEX('MiT Strom Pipeline'!$O:$O,$U179)),INDEX('MiT Strom Pipeline'!$O:$O,$U179),0))</f>
        <v/>
      </c>
      <c r="J179" s="24" t="str">
        <f>IF($U179="","",INDEX('MiT Strom Pipeline'!$R:$R,$U179))</f>
        <v/>
      </c>
      <c r="K179" s="26" t="str">
        <f>IF($U179="","",IF(ISNUMBER(INDEX('MiT Strom Pipeline'!$S:$S,$U179)),INDEX('MiT Strom Pipeline'!$S:$S,$U179),""))</f>
        <v/>
      </c>
      <c r="L179" s="24" t="str">
        <f>IF($U179="","",IF(LEN(INDEX('MiT Strom Pipeline'!$V:$V,$U179))&gt;0,LEFT(INDEX('MiT Strom Pipeline'!$V:$V,$U179),55),""))</f>
        <v/>
      </c>
      <c r="M179" s="19"/>
      <c r="N179" s="19"/>
      <c r="O179" s="19"/>
      <c r="P179" s="19"/>
      <c r="Q179" s="19"/>
      <c r="R179" s="19"/>
      <c r="S179" s="19"/>
      <c r="U179" t="str">
        <f>IFERROR(MATCH(41,'MiT Strom Pipeline'!$AD$6:$AD$860,0)+5,"")</f>
        <v/>
      </c>
    </row>
    <row r="180" spans="1:21" ht="15.75" customHeight="1">
      <c r="A180" s="23" t="str">
        <f>IF($U180="","",IF(ISNUMBER(INDEX('MiT Strom Pipeline'!$A:$A,$U180)),INDEX('MiT Strom Pipeline'!$A:$A,$U180),""))</f>
        <v/>
      </c>
      <c r="B180" s="24" t="str">
        <f>IF($U180="","",IF(INDEX('MiT Strom Pipeline'!$B:$B,$U180)="","",INDEX('MiT Strom Pipeline'!$B:$B,$U180)))</f>
        <v/>
      </c>
      <c r="C180" s="24" t="str">
        <f>IF($U180="","",IF(INDEX('MiT Strom Pipeline'!$C:$C,$U180)="","",INDEX('MiT Strom Pipeline'!$C:$C,$U180)))</f>
        <v/>
      </c>
      <c r="D180" s="24" t="str">
        <f>IF($U180="","",IF(INDEX('MiT Strom Pipeline'!$D:$D,$U180)="","",INDEX('MiT Strom Pipeline'!$D:$D,$U180)))</f>
        <v/>
      </c>
      <c r="E180" s="24" t="str">
        <f>IF($U180="","",IF(INDEX('MiT Strom Pipeline'!$H:$H,$U180)="","",INDEX('MiT Strom Pipeline'!$H:$H,$U180)))</f>
        <v/>
      </c>
      <c r="F180" s="24" t="str">
        <f>IF($U180="","",IF(INDEX('MiT Strom Pipeline'!$E:$E,$U180)="","",INDEX('MiT Strom Pipeline'!$E:$E,$U180)))</f>
        <v/>
      </c>
      <c r="G180" s="25" t="str">
        <f>IF($U180="","",IF(ISNUMBER(INDEX('MiT Strom Pipeline'!$I:$I,$U180)),INDEX('MiT Strom Pipeline'!$I:$I,$U180),0))</f>
        <v/>
      </c>
      <c r="H180" s="25" t="str">
        <f>IF($U180="","",IF(ISNUMBER(INDEX('MiT Strom Pipeline'!$Q:$Q,$U180)),INDEX('MiT Strom Pipeline'!$Q:$Q,$U180),0))</f>
        <v/>
      </c>
      <c r="I180" s="25" t="str">
        <f>IF($U180="","",IF(ISNUMBER(INDEX('MiT Strom Pipeline'!$O:$O,$U180)),INDEX('MiT Strom Pipeline'!$O:$O,$U180),0))</f>
        <v/>
      </c>
      <c r="J180" s="24" t="str">
        <f>IF($U180="","",INDEX('MiT Strom Pipeline'!$R:$R,$U180))</f>
        <v/>
      </c>
      <c r="K180" s="26" t="str">
        <f>IF($U180="","",IF(ISNUMBER(INDEX('MiT Strom Pipeline'!$S:$S,$U180)),INDEX('MiT Strom Pipeline'!$S:$S,$U180),""))</f>
        <v/>
      </c>
      <c r="L180" s="24" t="str">
        <f>IF($U180="","",IF(LEN(INDEX('MiT Strom Pipeline'!$V:$V,$U180))&gt;0,LEFT(INDEX('MiT Strom Pipeline'!$V:$V,$U180),55),""))</f>
        <v/>
      </c>
      <c r="M180" s="19"/>
      <c r="N180" s="19"/>
      <c r="O180" s="19"/>
      <c r="P180" s="19"/>
      <c r="Q180" s="19"/>
      <c r="R180" s="19"/>
      <c r="S180" s="19"/>
      <c r="U180" t="str">
        <f>IFERROR(MATCH(42,'MiT Strom Pipeline'!$AD$6:$AD$860,0)+5,"")</f>
        <v/>
      </c>
    </row>
    <row r="181" spans="1:21" ht="15.75" customHeight="1">
      <c r="A181" s="23" t="str">
        <f>IF($U181="","",IF(ISNUMBER(INDEX('MiT Strom Pipeline'!$A:$A,$U181)),INDEX('MiT Strom Pipeline'!$A:$A,$U181),""))</f>
        <v/>
      </c>
      <c r="B181" s="24" t="str">
        <f>IF($U181="","",IF(INDEX('MiT Strom Pipeline'!$B:$B,$U181)="","",INDEX('MiT Strom Pipeline'!$B:$B,$U181)))</f>
        <v/>
      </c>
      <c r="C181" s="24" t="str">
        <f>IF($U181="","",IF(INDEX('MiT Strom Pipeline'!$C:$C,$U181)="","",INDEX('MiT Strom Pipeline'!$C:$C,$U181)))</f>
        <v/>
      </c>
      <c r="D181" s="24" t="str">
        <f>IF($U181="","",IF(INDEX('MiT Strom Pipeline'!$D:$D,$U181)="","",INDEX('MiT Strom Pipeline'!$D:$D,$U181)))</f>
        <v/>
      </c>
      <c r="E181" s="27" t="str">
        <f>IF($U181="","",IF(INDEX('MiT Strom Pipeline'!$H:$H,$U181)="","",INDEX('MiT Strom Pipeline'!$H:$H,$U181)))</f>
        <v/>
      </c>
      <c r="F181" s="24" t="str">
        <f>IF($U181="","",IF(INDEX('MiT Strom Pipeline'!$E:$E,$U181)="","",INDEX('MiT Strom Pipeline'!$E:$E,$U181)))</f>
        <v/>
      </c>
      <c r="G181" s="25" t="str">
        <f>IF($U181="","",IF(ISNUMBER(INDEX('MiT Strom Pipeline'!$I:$I,$U181)),INDEX('MiT Strom Pipeline'!$I:$I,$U181),0))</f>
        <v/>
      </c>
      <c r="H181" s="25" t="str">
        <f>IF($U181="","",IF(ISNUMBER(INDEX('MiT Strom Pipeline'!$Q:$Q,$U181)),INDEX('MiT Strom Pipeline'!$Q:$Q,$U181),0))</f>
        <v/>
      </c>
      <c r="I181" s="25" t="str">
        <f>IF($U181="","",IF(ISNUMBER(INDEX('MiT Strom Pipeline'!$O:$O,$U181)),INDEX('MiT Strom Pipeline'!$O:$O,$U181),0))</f>
        <v/>
      </c>
      <c r="J181" s="24" t="str">
        <f>IF($U181="","",INDEX('MiT Strom Pipeline'!$R:$R,$U181))</f>
        <v/>
      </c>
      <c r="K181" s="26" t="str">
        <f>IF($U181="","",IF(ISNUMBER(INDEX('MiT Strom Pipeline'!$S:$S,$U181)),INDEX('MiT Strom Pipeline'!$S:$S,$U181),""))</f>
        <v/>
      </c>
      <c r="L181" s="24" t="str">
        <f>IF($U181="","",IF(LEN(INDEX('MiT Strom Pipeline'!$V:$V,$U181))&gt;0,LEFT(INDEX('MiT Strom Pipeline'!$V:$V,$U181),55),""))</f>
        <v/>
      </c>
      <c r="M181" s="19"/>
      <c r="N181" s="19"/>
      <c r="O181" s="19"/>
      <c r="P181" s="19"/>
      <c r="Q181" s="19"/>
      <c r="R181" s="19"/>
      <c r="S181" s="19"/>
      <c r="U181" t="str">
        <f>IFERROR(MATCH(43,'MiT Strom Pipeline'!$AD$6:$AD$860,0)+5,"")</f>
        <v/>
      </c>
    </row>
    <row r="182" spans="1:21" ht="15.75" customHeight="1">
      <c r="A182" s="23" t="str">
        <f>IF($U182="","",IF(ISNUMBER(INDEX('MiT Strom Pipeline'!$A:$A,$U182)),INDEX('MiT Strom Pipeline'!$A:$A,$U182),""))</f>
        <v/>
      </c>
      <c r="B182" s="24" t="str">
        <f>IF($U182="","",IF(INDEX('MiT Strom Pipeline'!$B:$B,$U182)="","",INDEX('MiT Strom Pipeline'!$B:$B,$U182)))</f>
        <v/>
      </c>
      <c r="C182" s="24" t="str">
        <f>IF($U182="","",IF(INDEX('MiT Strom Pipeline'!$C:$C,$U182)="","",INDEX('MiT Strom Pipeline'!$C:$C,$U182)))</f>
        <v/>
      </c>
      <c r="D182" s="24" t="str">
        <f>IF($U182="","",IF(INDEX('MiT Strom Pipeline'!$D:$D,$U182)="","",INDEX('MiT Strom Pipeline'!$D:$D,$U182)))</f>
        <v/>
      </c>
      <c r="E182" s="27" t="str">
        <f>IF($U182="","",IF(INDEX('MiT Strom Pipeline'!$H:$H,$U182)="","",INDEX('MiT Strom Pipeline'!$H:$H,$U182)))</f>
        <v/>
      </c>
      <c r="F182" s="24" t="str">
        <f>IF($U182="","",IF(INDEX('MiT Strom Pipeline'!$E:$E,$U182)="","",INDEX('MiT Strom Pipeline'!$E:$E,$U182)))</f>
        <v/>
      </c>
      <c r="G182" s="25" t="str">
        <f>IF($U182="","",IF(ISNUMBER(INDEX('MiT Strom Pipeline'!$I:$I,$U182)),INDEX('MiT Strom Pipeline'!$I:$I,$U182),0))</f>
        <v/>
      </c>
      <c r="H182" s="25" t="str">
        <f>IF($U182="","",IF(ISNUMBER(INDEX('MiT Strom Pipeline'!$Q:$Q,$U182)),INDEX('MiT Strom Pipeline'!$Q:$Q,$U182),0))</f>
        <v/>
      </c>
      <c r="I182" s="25" t="str">
        <f>IF($U182="","",IF(ISNUMBER(INDEX('MiT Strom Pipeline'!$O:$O,$U182)),INDEX('MiT Strom Pipeline'!$O:$O,$U182),0))</f>
        <v/>
      </c>
      <c r="J182" s="24" t="str">
        <f>IF($U182="","",INDEX('MiT Strom Pipeline'!$R:$R,$U182))</f>
        <v/>
      </c>
      <c r="K182" s="26" t="str">
        <f>IF($U182="","",IF(ISNUMBER(INDEX('MiT Strom Pipeline'!$S:$S,$U182)),INDEX('MiT Strom Pipeline'!$S:$S,$U182),""))</f>
        <v/>
      </c>
      <c r="L182" s="24" t="str">
        <f>IF($U182="","",IF(LEN(INDEX('MiT Strom Pipeline'!$V:$V,$U182))&gt;0,LEFT(INDEX('MiT Strom Pipeline'!$V:$V,$U182),55),""))</f>
        <v/>
      </c>
      <c r="M182" s="19"/>
      <c r="N182" s="19"/>
      <c r="O182" s="19"/>
      <c r="P182" s="19"/>
      <c r="Q182" s="19"/>
      <c r="R182" s="19"/>
      <c r="S182" s="19"/>
      <c r="U182" t="str">
        <f>IFERROR(MATCH(44,'MiT Strom Pipeline'!$AD$6:$AD$860,0)+5,"")</f>
        <v/>
      </c>
    </row>
    <row r="183" spans="1:21" ht="15.75" customHeight="1">
      <c r="A183" s="23" t="str">
        <f>IF($U183="","",IF(ISNUMBER(INDEX('MiT Strom Pipeline'!$A:$A,$U183)),INDEX('MiT Strom Pipeline'!$A:$A,$U183),""))</f>
        <v/>
      </c>
      <c r="B183" s="24" t="str">
        <f>IF($U183="","",IF(INDEX('MiT Strom Pipeline'!$B:$B,$U183)="","",INDEX('MiT Strom Pipeline'!$B:$B,$U183)))</f>
        <v/>
      </c>
      <c r="C183" s="24" t="str">
        <f>IF($U183="","",IF(INDEX('MiT Strom Pipeline'!$C:$C,$U183)="","",INDEX('MiT Strom Pipeline'!$C:$C,$U183)))</f>
        <v/>
      </c>
      <c r="D183" s="24" t="str">
        <f>IF($U183="","",IF(INDEX('MiT Strom Pipeline'!$D:$D,$U183)="","",INDEX('MiT Strom Pipeline'!$D:$D,$U183)))</f>
        <v/>
      </c>
      <c r="E183" s="27" t="str">
        <f>IF($U183="","",IF(INDEX('MiT Strom Pipeline'!$H:$H,$U183)="","",INDEX('MiT Strom Pipeline'!$H:$H,$U183)))</f>
        <v/>
      </c>
      <c r="F183" s="24" t="str">
        <f>IF($U183="","",IF(INDEX('MiT Strom Pipeline'!$E:$E,$U183)="","",INDEX('MiT Strom Pipeline'!$E:$E,$U183)))</f>
        <v/>
      </c>
      <c r="G183" s="25" t="str">
        <f>IF($U183="","",IF(ISNUMBER(INDEX('MiT Strom Pipeline'!$I:$I,$U183)),INDEX('MiT Strom Pipeline'!$I:$I,$U183),0))</f>
        <v/>
      </c>
      <c r="H183" s="25" t="str">
        <f>IF($U183="","",IF(ISNUMBER(INDEX('MiT Strom Pipeline'!$Q:$Q,$U183)),INDEX('MiT Strom Pipeline'!$Q:$Q,$U183),0))</f>
        <v/>
      </c>
      <c r="I183" s="25" t="str">
        <f>IF($U183="","",IF(ISNUMBER(INDEX('MiT Strom Pipeline'!$O:$O,$U183)),INDEX('MiT Strom Pipeline'!$O:$O,$U183),0))</f>
        <v/>
      </c>
      <c r="J183" s="24" t="str">
        <f>IF($U183="","",INDEX('MiT Strom Pipeline'!$R:$R,$U183))</f>
        <v/>
      </c>
      <c r="K183" s="26" t="str">
        <f>IF($U183="","",IF(ISNUMBER(INDEX('MiT Strom Pipeline'!$S:$S,$U183)),INDEX('MiT Strom Pipeline'!$S:$S,$U183),""))</f>
        <v/>
      </c>
      <c r="L183" s="24" t="str">
        <f>IF($U183="","",IF(LEN(INDEX('MiT Strom Pipeline'!$V:$V,$U183))&gt;0,LEFT(INDEX('MiT Strom Pipeline'!$V:$V,$U183),55),""))</f>
        <v/>
      </c>
      <c r="M183" s="19"/>
      <c r="N183" s="19"/>
      <c r="O183" s="19"/>
      <c r="P183" s="19"/>
      <c r="Q183" s="19"/>
      <c r="R183" s="19"/>
      <c r="S183" s="19"/>
      <c r="U183" t="str">
        <f>IFERROR(MATCH(45,'MiT Strom Pipeline'!$AD$6:$AD$860,0)+5,"")</f>
        <v/>
      </c>
    </row>
    <row r="184" spans="1:21" ht="15.75" customHeight="1">
      <c r="A184" s="23" t="str">
        <f>IF($U184="","",IF(ISNUMBER(INDEX('MiT Strom Pipeline'!$A:$A,$U184)),INDEX('MiT Strom Pipeline'!$A:$A,$U184),""))</f>
        <v/>
      </c>
      <c r="B184" s="24" t="str">
        <f>IF($U184="","",IF(INDEX('MiT Strom Pipeline'!$B:$B,$U184)="","",INDEX('MiT Strom Pipeline'!$B:$B,$U184)))</f>
        <v/>
      </c>
      <c r="C184" s="24" t="str">
        <f>IF($U184="","",IF(INDEX('MiT Strom Pipeline'!$C:$C,$U184)="","",INDEX('MiT Strom Pipeline'!$C:$C,$U184)))</f>
        <v/>
      </c>
      <c r="D184" s="24" t="str">
        <f>IF($U184="","",IF(INDEX('MiT Strom Pipeline'!$D:$D,$U184)="","",INDEX('MiT Strom Pipeline'!$D:$D,$U184)))</f>
        <v/>
      </c>
      <c r="E184" s="27" t="str">
        <f>IF($U184="","",IF(INDEX('MiT Strom Pipeline'!$H:$H,$U184)="","",INDEX('MiT Strom Pipeline'!$H:$H,$U184)))</f>
        <v/>
      </c>
      <c r="F184" s="24" t="str">
        <f>IF($U184="","",IF(INDEX('MiT Strom Pipeline'!$E:$E,$U184)="","",INDEX('MiT Strom Pipeline'!$E:$E,$U184)))</f>
        <v/>
      </c>
      <c r="G184" s="25" t="str">
        <f>IF($U184="","",IF(ISNUMBER(INDEX('MiT Strom Pipeline'!$I:$I,$U184)),INDEX('MiT Strom Pipeline'!$I:$I,$U184),0))</f>
        <v/>
      </c>
      <c r="H184" s="25" t="str">
        <f>IF($U184="","",IF(ISNUMBER(INDEX('MiT Strom Pipeline'!$Q:$Q,$U184)),INDEX('MiT Strom Pipeline'!$Q:$Q,$U184),0))</f>
        <v/>
      </c>
      <c r="I184" s="25" t="str">
        <f>IF($U184="","",IF(ISNUMBER(INDEX('MiT Strom Pipeline'!$O:$O,$U184)),INDEX('MiT Strom Pipeline'!$O:$O,$U184),0))</f>
        <v/>
      </c>
      <c r="J184" s="24" t="str">
        <f>IF($U184="","",INDEX('MiT Strom Pipeline'!$R:$R,$U184))</f>
        <v/>
      </c>
      <c r="K184" s="26" t="str">
        <f>IF($U184="","",IF(ISNUMBER(INDEX('MiT Strom Pipeline'!$S:$S,$U184)),INDEX('MiT Strom Pipeline'!$S:$S,$U184),""))</f>
        <v/>
      </c>
      <c r="L184" s="24" t="str">
        <f>IF($U184="","",IF(LEN(INDEX('MiT Strom Pipeline'!$V:$V,$U184))&gt;0,LEFT(INDEX('MiT Strom Pipeline'!$V:$V,$U184),55),""))</f>
        <v/>
      </c>
      <c r="M184" s="19"/>
      <c r="N184" s="19"/>
      <c r="O184" s="19"/>
      <c r="P184" s="19"/>
      <c r="Q184" s="19"/>
      <c r="R184" s="19"/>
      <c r="S184" s="19"/>
      <c r="U184" t="str">
        <f>IFERROR(MATCH(46,'MiT Strom Pipeline'!$AD$6:$AD$860,0)+5,"")</f>
        <v/>
      </c>
    </row>
    <row r="185" spans="1:21" ht="15.75" customHeight="1">
      <c r="A185" s="23" t="str">
        <f>IF($U185="","",IF(ISNUMBER(INDEX('MiT Strom Pipeline'!$A:$A,$U185)),INDEX('MiT Strom Pipeline'!$A:$A,$U185),""))</f>
        <v/>
      </c>
      <c r="B185" s="24" t="str">
        <f>IF($U185="","",IF(INDEX('MiT Strom Pipeline'!$B:$B,$U185)="","",INDEX('MiT Strom Pipeline'!$B:$B,$U185)))</f>
        <v/>
      </c>
      <c r="C185" s="24" t="str">
        <f>IF($U185="","",IF(INDEX('MiT Strom Pipeline'!$C:$C,$U185)="","",INDEX('MiT Strom Pipeline'!$C:$C,$U185)))</f>
        <v/>
      </c>
      <c r="D185" s="24" t="str">
        <f>IF($U185="","",IF(INDEX('MiT Strom Pipeline'!$D:$D,$U185)="","",INDEX('MiT Strom Pipeline'!$D:$D,$U185)))</f>
        <v/>
      </c>
      <c r="E185" s="27" t="str">
        <f>IF($U185="","",IF(INDEX('MiT Strom Pipeline'!$H:$H,$U185)="","",INDEX('MiT Strom Pipeline'!$H:$H,$U185)))</f>
        <v/>
      </c>
      <c r="F185" s="24" t="str">
        <f>IF($U185="","",IF(INDEX('MiT Strom Pipeline'!$E:$E,$U185)="","",INDEX('MiT Strom Pipeline'!$E:$E,$U185)))</f>
        <v/>
      </c>
      <c r="G185" s="25" t="str">
        <f>IF($U185="","",IF(ISNUMBER(INDEX('MiT Strom Pipeline'!$I:$I,$U185)),INDEX('MiT Strom Pipeline'!$I:$I,$U185),0))</f>
        <v/>
      </c>
      <c r="H185" s="25" t="str">
        <f>IF($U185="","",IF(ISNUMBER(INDEX('MiT Strom Pipeline'!$Q:$Q,$U185)),INDEX('MiT Strom Pipeline'!$Q:$Q,$U185),0))</f>
        <v/>
      </c>
      <c r="I185" s="25" t="str">
        <f>IF($U185="","",IF(ISNUMBER(INDEX('MiT Strom Pipeline'!$O:$O,$U185)),INDEX('MiT Strom Pipeline'!$O:$O,$U185),0))</f>
        <v/>
      </c>
      <c r="J185" s="24" t="str">
        <f>IF($U185="","",INDEX('MiT Strom Pipeline'!$R:$R,$U185))</f>
        <v/>
      </c>
      <c r="K185" s="26" t="str">
        <f>IF($U185="","",IF(ISNUMBER(INDEX('MiT Strom Pipeline'!$S:$S,$U185)),INDEX('MiT Strom Pipeline'!$S:$S,$U185),""))</f>
        <v/>
      </c>
      <c r="L185" s="24" t="str">
        <f>IF($U185="","",IF(LEN(INDEX('MiT Strom Pipeline'!$V:$V,$U185))&gt;0,LEFT(INDEX('MiT Strom Pipeline'!$V:$V,$U185),55),""))</f>
        <v/>
      </c>
      <c r="M185" s="19"/>
      <c r="N185" s="19"/>
      <c r="O185" s="19"/>
      <c r="P185" s="19"/>
      <c r="Q185" s="19"/>
      <c r="R185" s="19"/>
      <c r="S185" s="19"/>
      <c r="U185" t="str">
        <f>IFERROR(MATCH(47,'MiT Strom Pipeline'!$AD$6:$AD$860,0)+5,"")</f>
        <v/>
      </c>
    </row>
    <row r="186" spans="1:21" ht="15.75" customHeight="1">
      <c r="A186" s="23" t="str">
        <f>IF($U186="","",IF(ISNUMBER(INDEX('MiT Strom Pipeline'!$A:$A,$U186)),INDEX('MiT Strom Pipeline'!$A:$A,$U186),""))</f>
        <v/>
      </c>
      <c r="B186" s="24" t="str">
        <f>IF($U186="","",IF(INDEX('MiT Strom Pipeline'!$B:$B,$U186)="","",INDEX('MiT Strom Pipeline'!$B:$B,$U186)))</f>
        <v/>
      </c>
      <c r="C186" s="24" t="str">
        <f>IF($U186="","",IF(INDEX('MiT Strom Pipeline'!$C:$C,$U186)="","",INDEX('MiT Strom Pipeline'!$C:$C,$U186)))</f>
        <v/>
      </c>
      <c r="D186" s="24" t="str">
        <f>IF($U186="","",IF(INDEX('MiT Strom Pipeline'!$D:$D,$U186)="","",INDEX('MiT Strom Pipeline'!$D:$D,$U186)))</f>
        <v/>
      </c>
      <c r="E186" s="27" t="str">
        <f>IF($U186="","",IF(INDEX('MiT Strom Pipeline'!$H:$H,$U186)="","",INDEX('MiT Strom Pipeline'!$H:$H,$U186)))</f>
        <v/>
      </c>
      <c r="F186" s="24" t="str">
        <f>IF($U186="","",IF(INDEX('MiT Strom Pipeline'!$E:$E,$U186)="","",INDEX('MiT Strom Pipeline'!$E:$E,$U186)))</f>
        <v/>
      </c>
      <c r="G186" s="25" t="str">
        <f>IF($U186="","",IF(ISNUMBER(INDEX('MiT Strom Pipeline'!$I:$I,$U186)),INDEX('MiT Strom Pipeline'!$I:$I,$U186),0))</f>
        <v/>
      </c>
      <c r="H186" s="25" t="str">
        <f>IF($U186="","",IF(ISNUMBER(INDEX('MiT Strom Pipeline'!$Q:$Q,$U186)),INDEX('MiT Strom Pipeline'!$Q:$Q,$U186),0))</f>
        <v/>
      </c>
      <c r="I186" s="25" t="str">
        <f>IF($U186="","",IF(ISNUMBER(INDEX('MiT Strom Pipeline'!$O:$O,$U186)),INDEX('MiT Strom Pipeline'!$O:$O,$U186),0))</f>
        <v/>
      </c>
      <c r="J186" s="24" t="str">
        <f>IF($U186="","",INDEX('MiT Strom Pipeline'!$R:$R,$U186))</f>
        <v/>
      </c>
      <c r="K186" s="26" t="str">
        <f>IF($U186="","",IF(ISNUMBER(INDEX('MiT Strom Pipeline'!$S:$S,$U186)),INDEX('MiT Strom Pipeline'!$S:$S,$U186),""))</f>
        <v/>
      </c>
      <c r="L186" s="24" t="str">
        <f>IF($U186="","",IF(LEN(INDEX('MiT Strom Pipeline'!$V:$V,$U186))&gt;0,LEFT(INDEX('MiT Strom Pipeline'!$V:$V,$U186),55),""))</f>
        <v/>
      </c>
      <c r="M186" s="19"/>
      <c r="N186" s="19"/>
      <c r="O186" s="19"/>
      <c r="P186" s="19"/>
      <c r="Q186" s="19"/>
      <c r="R186" s="19"/>
      <c r="S186" s="19"/>
      <c r="U186" t="str">
        <f>IFERROR(MATCH(48,'MiT Strom Pipeline'!$AD$6:$AD$860,0)+5,"")</f>
        <v/>
      </c>
    </row>
    <row r="187" spans="1:21" ht="15.75" customHeight="1">
      <c r="A187" s="23" t="str">
        <f>IF($U187="","",IF(ISNUMBER(INDEX('MiT Strom Pipeline'!$A:$A,$U187)),INDEX('MiT Strom Pipeline'!$A:$A,$U187),""))</f>
        <v/>
      </c>
      <c r="B187" s="24" t="str">
        <f>IF($U187="","",IF(INDEX('MiT Strom Pipeline'!$B:$B,$U187)="","",INDEX('MiT Strom Pipeline'!$B:$B,$U187)))</f>
        <v/>
      </c>
      <c r="C187" s="24" t="str">
        <f>IF($U187="","",IF(INDEX('MiT Strom Pipeline'!$C:$C,$U187)="","",INDEX('MiT Strom Pipeline'!$C:$C,$U187)))</f>
        <v/>
      </c>
      <c r="D187" s="24" t="str">
        <f>IF($U187="","",IF(INDEX('MiT Strom Pipeline'!$D:$D,$U187)="","",INDEX('MiT Strom Pipeline'!$D:$D,$U187)))</f>
        <v/>
      </c>
      <c r="E187" s="27" t="str">
        <f>IF($U187="","",IF(INDEX('MiT Strom Pipeline'!$H:$H,$U187)="","",INDEX('MiT Strom Pipeline'!$H:$H,$U187)))</f>
        <v/>
      </c>
      <c r="F187" s="24" t="str">
        <f>IF($U187="","",IF(INDEX('MiT Strom Pipeline'!$E:$E,$U187)="","",INDEX('MiT Strom Pipeline'!$E:$E,$U187)))</f>
        <v/>
      </c>
      <c r="G187" s="25" t="str">
        <f>IF($U187="","",IF(ISNUMBER(INDEX('MiT Strom Pipeline'!$I:$I,$U187)),INDEX('MiT Strom Pipeline'!$I:$I,$U187),0))</f>
        <v/>
      </c>
      <c r="H187" s="25" t="str">
        <f>IF($U187="","",IF(ISNUMBER(INDEX('MiT Strom Pipeline'!$Q:$Q,$U187)),INDEX('MiT Strom Pipeline'!$Q:$Q,$U187),0))</f>
        <v/>
      </c>
      <c r="I187" s="25" t="str">
        <f>IF($U187="","",IF(ISNUMBER(INDEX('MiT Strom Pipeline'!$O:$O,$U187)),INDEX('MiT Strom Pipeline'!$O:$O,$U187),0))</f>
        <v/>
      </c>
      <c r="J187" s="24" t="str">
        <f>IF($U187="","",INDEX('MiT Strom Pipeline'!$R:$R,$U187))</f>
        <v/>
      </c>
      <c r="K187" s="26" t="str">
        <f>IF($U187="","",IF(ISNUMBER(INDEX('MiT Strom Pipeline'!$S:$S,$U187)),INDEX('MiT Strom Pipeline'!$S:$S,$U187),""))</f>
        <v/>
      </c>
      <c r="L187" s="24" t="str">
        <f>IF($U187="","",IF(LEN(INDEX('MiT Strom Pipeline'!$V:$V,$U187))&gt;0,LEFT(INDEX('MiT Strom Pipeline'!$V:$V,$U187),55),""))</f>
        <v/>
      </c>
      <c r="M187" s="19"/>
      <c r="N187" s="19"/>
      <c r="O187" s="19"/>
      <c r="P187" s="19"/>
      <c r="Q187" s="19"/>
      <c r="R187" s="19"/>
      <c r="S187" s="19"/>
      <c r="U187" t="str">
        <f>IFERROR(MATCH(49,'MiT Strom Pipeline'!$AD$6:$AD$860,0)+5,"")</f>
        <v/>
      </c>
    </row>
    <row r="188" spans="1:21" ht="15.75" customHeight="1">
      <c r="A188" s="23" t="str">
        <f>IF($U188="","",IF(ISNUMBER(INDEX('MiT Strom Pipeline'!$A:$A,$U188)),INDEX('MiT Strom Pipeline'!$A:$A,$U188),""))</f>
        <v/>
      </c>
      <c r="B188" s="24" t="str">
        <f>IF($U188="","",IF(INDEX('MiT Strom Pipeline'!$B:$B,$U188)="","",INDEX('MiT Strom Pipeline'!$B:$B,$U188)))</f>
        <v/>
      </c>
      <c r="C188" s="24" t="str">
        <f>IF($U188="","",IF(INDEX('MiT Strom Pipeline'!$C:$C,$U188)="","",INDEX('MiT Strom Pipeline'!$C:$C,$U188)))</f>
        <v/>
      </c>
      <c r="D188" s="24" t="str">
        <f>IF($U188="","",IF(INDEX('MiT Strom Pipeline'!$D:$D,$U188)="","",INDEX('MiT Strom Pipeline'!$D:$D,$U188)))</f>
        <v/>
      </c>
      <c r="E188" s="27" t="str">
        <f>IF($U188="","",IF(INDEX('MiT Strom Pipeline'!$H:$H,$U188)="","",INDEX('MiT Strom Pipeline'!$H:$H,$U188)))</f>
        <v/>
      </c>
      <c r="F188" s="24" t="str">
        <f>IF($U188="","",IF(INDEX('MiT Strom Pipeline'!$E:$E,$U188)="","",INDEX('MiT Strom Pipeline'!$E:$E,$U188)))</f>
        <v/>
      </c>
      <c r="G188" s="25" t="str">
        <f>IF($U188="","",IF(ISNUMBER(INDEX('MiT Strom Pipeline'!$I:$I,$U188)),INDEX('MiT Strom Pipeline'!$I:$I,$U188),0))</f>
        <v/>
      </c>
      <c r="H188" s="25" t="str">
        <f>IF($U188="","",IF(ISNUMBER(INDEX('MiT Strom Pipeline'!$Q:$Q,$U188)),INDEX('MiT Strom Pipeline'!$Q:$Q,$U188),0))</f>
        <v/>
      </c>
      <c r="I188" s="25" t="str">
        <f>IF($U188="","",IF(ISNUMBER(INDEX('MiT Strom Pipeline'!$O:$O,$U188)),INDEX('MiT Strom Pipeline'!$O:$O,$U188),0))</f>
        <v/>
      </c>
      <c r="J188" s="24" t="str">
        <f>IF($U188="","",INDEX('MiT Strom Pipeline'!$R:$R,$U188))</f>
        <v/>
      </c>
      <c r="K188" s="26" t="str">
        <f>IF($U188="","",IF(ISNUMBER(INDEX('MiT Strom Pipeline'!$S:$S,$U188)),INDEX('MiT Strom Pipeline'!$S:$S,$U188),""))</f>
        <v/>
      </c>
      <c r="L188" s="24" t="str">
        <f>IF($U188="","",IF(LEN(INDEX('MiT Strom Pipeline'!$V:$V,$U188))&gt;0,LEFT(INDEX('MiT Strom Pipeline'!$V:$V,$U188),55),""))</f>
        <v/>
      </c>
      <c r="M188" s="19"/>
      <c r="N188" s="19"/>
      <c r="O188" s="19"/>
      <c r="P188" s="19"/>
      <c r="Q188" s="19"/>
      <c r="R188" s="19"/>
      <c r="S188" s="19"/>
      <c r="U188" t="str">
        <f>IFERROR(MATCH(50,'MiT Strom Pipeline'!$AD$6:$AD$860,0)+5,"")</f>
        <v/>
      </c>
    </row>
    <row r="189" spans="1:21" ht="15.75" customHeight="1">
      <c r="A189" s="23" t="str">
        <f>IF($U189="","",IF(ISNUMBER(INDEX('MiT Strom Pipeline'!$A:$A,$U189)),INDEX('MiT Strom Pipeline'!$A:$A,$U189),""))</f>
        <v/>
      </c>
      <c r="B189" s="24" t="str">
        <f>IF($U189="","",IF(INDEX('MiT Strom Pipeline'!$B:$B,$U189)="","",INDEX('MiT Strom Pipeline'!$B:$B,$U189)))</f>
        <v/>
      </c>
      <c r="C189" s="24" t="str">
        <f>IF($U189="","",IF(INDEX('MiT Strom Pipeline'!$C:$C,$U189)="","",INDEX('MiT Strom Pipeline'!$C:$C,$U189)))</f>
        <v/>
      </c>
      <c r="D189" s="24" t="str">
        <f>IF($U189="","",IF(INDEX('MiT Strom Pipeline'!$D:$D,$U189)="","",INDEX('MiT Strom Pipeline'!$D:$D,$U189)))</f>
        <v/>
      </c>
      <c r="E189" s="27" t="str">
        <f>IF($U189="","",IF(INDEX('MiT Strom Pipeline'!$H:$H,$U189)="","",INDEX('MiT Strom Pipeline'!$H:$H,$U189)))</f>
        <v/>
      </c>
      <c r="F189" s="24" t="str">
        <f>IF($U189="","",IF(INDEX('MiT Strom Pipeline'!$E:$E,$U189)="","",INDEX('MiT Strom Pipeline'!$E:$E,$U189)))</f>
        <v/>
      </c>
      <c r="G189" s="25" t="str">
        <f>IF($U189="","",IF(ISNUMBER(INDEX('MiT Strom Pipeline'!$I:$I,$U189)),INDEX('MiT Strom Pipeline'!$I:$I,$U189),0))</f>
        <v/>
      </c>
      <c r="H189" s="25" t="str">
        <f>IF($U189="","",IF(ISNUMBER(INDEX('MiT Strom Pipeline'!$Q:$Q,$U189)),INDEX('MiT Strom Pipeline'!$Q:$Q,$U189),0))</f>
        <v/>
      </c>
      <c r="I189" s="25" t="str">
        <f>IF($U189="","",IF(ISNUMBER(INDEX('MiT Strom Pipeline'!$O:$O,$U189)),INDEX('MiT Strom Pipeline'!$O:$O,$U189),0))</f>
        <v/>
      </c>
      <c r="J189" s="24" t="str">
        <f>IF($U189="","",INDEX('MiT Strom Pipeline'!$R:$R,$U189))</f>
        <v/>
      </c>
      <c r="K189" s="26" t="str">
        <f>IF($U189="","",IF(ISNUMBER(INDEX('MiT Strom Pipeline'!$S:$S,$U189)),INDEX('MiT Strom Pipeline'!$S:$S,$U189),""))</f>
        <v/>
      </c>
      <c r="L189" s="24" t="str">
        <f>IF($U189="","",IF(LEN(INDEX('MiT Strom Pipeline'!$V:$V,$U189))&gt;0,LEFT(INDEX('MiT Strom Pipeline'!$V:$V,$U189),55),""))</f>
        <v/>
      </c>
      <c r="M189" s="19"/>
      <c r="N189" s="19"/>
      <c r="O189" s="19"/>
      <c r="P189" s="19"/>
      <c r="Q189" s="19"/>
      <c r="R189" s="19"/>
      <c r="S189" s="19"/>
      <c r="U189" t="str">
        <f>IFERROR(MATCH(51,'MiT Strom Pipeline'!$AD$6:$AD$860,0)+5,"")</f>
        <v/>
      </c>
    </row>
    <row r="190" spans="1:21" ht="15.75" customHeight="1">
      <c r="A190" s="23" t="str">
        <f>IF($U190="","",IF(ISNUMBER(INDEX('MiT Strom Pipeline'!$A:$A,$U190)),INDEX('MiT Strom Pipeline'!$A:$A,$U190),""))</f>
        <v/>
      </c>
      <c r="B190" s="24" t="str">
        <f>IF($U190="","",IF(INDEX('MiT Strom Pipeline'!$B:$B,$U190)="","",INDEX('MiT Strom Pipeline'!$B:$B,$U190)))</f>
        <v/>
      </c>
      <c r="C190" s="24" t="str">
        <f>IF($U190="","",IF(INDEX('MiT Strom Pipeline'!$C:$C,$U190)="","",INDEX('MiT Strom Pipeline'!$C:$C,$U190)))</f>
        <v/>
      </c>
      <c r="D190" s="24" t="str">
        <f>IF($U190="","",IF(INDEX('MiT Strom Pipeline'!$D:$D,$U190)="","",INDEX('MiT Strom Pipeline'!$D:$D,$U190)))</f>
        <v/>
      </c>
      <c r="E190" s="27" t="str">
        <f>IF($U190="","",IF(INDEX('MiT Strom Pipeline'!$H:$H,$U190)="","",INDEX('MiT Strom Pipeline'!$H:$H,$U190)))</f>
        <v/>
      </c>
      <c r="F190" s="24" t="str">
        <f>IF($U190="","",IF(INDEX('MiT Strom Pipeline'!$E:$E,$U190)="","",INDEX('MiT Strom Pipeline'!$E:$E,$U190)))</f>
        <v/>
      </c>
      <c r="G190" s="25" t="str">
        <f>IF($U190="","",IF(ISNUMBER(INDEX('MiT Strom Pipeline'!$I:$I,$U190)),INDEX('MiT Strom Pipeline'!$I:$I,$U190),0))</f>
        <v/>
      </c>
      <c r="H190" s="25" t="str">
        <f>IF($U190="","",IF(ISNUMBER(INDEX('MiT Strom Pipeline'!$Q:$Q,$U190)),INDEX('MiT Strom Pipeline'!$Q:$Q,$U190),0))</f>
        <v/>
      </c>
      <c r="I190" s="25" t="str">
        <f>IF($U190="","",IF(ISNUMBER(INDEX('MiT Strom Pipeline'!$O:$O,$U190)),INDEX('MiT Strom Pipeline'!$O:$O,$U190),0))</f>
        <v/>
      </c>
      <c r="J190" s="24" t="str">
        <f>IF($U190="","",INDEX('MiT Strom Pipeline'!$R:$R,$U190))</f>
        <v/>
      </c>
      <c r="K190" s="26" t="str">
        <f>IF($U190="","",IF(ISNUMBER(INDEX('MiT Strom Pipeline'!$S:$S,$U190)),INDEX('MiT Strom Pipeline'!$S:$S,$U190),""))</f>
        <v/>
      </c>
      <c r="L190" s="24" t="str">
        <f>IF($U190="","",IF(LEN(INDEX('MiT Strom Pipeline'!$V:$V,$U190))&gt;0,LEFT(INDEX('MiT Strom Pipeline'!$V:$V,$U190),55),""))</f>
        <v/>
      </c>
      <c r="M190" s="19"/>
      <c r="N190" s="19"/>
      <c r="O190" s="19"/>
      <c r="P190" s="19"/>
      <c r="Q190" s="19"/>
      <c r="R190" s="19"/>
      <c r="S190" s="19"/>
      <c r="U190" t="str">
        <f>IFERROR(MATCH(52,'MiT Strom Pipeline'!$AD$6:$AD$860,0)+5,"")</f>
        <v/>
      </c>
    </row>
    <row r="191" spans="1:21" ht="15.75" customHeight="1">
      <c r="A191" s="23" t="str">
        <f>IF($U191="","",IF(ISNUMBER(INDEX('MiT Strom Pipeline'!$A:$A,$U191)),INDEX('MiT Strom Pipeline'!$A:$A,$U191),""))</f>
        <v/>
      </c>
      <c r="B191" s="24" t="str">
        <f>IF($U191="","",IF(INDEX('MiT Strom Pipeline'!$B:$B,$U191)="","",INDEX('MiT Strom Pipeline'!$B:$B,$U191)))</f>
        <v/>
      </c>
      <c r="C191" s="24" t="str">
        <f>IF($U191="","",IF(INDEX('MiT Strom Pipeline'!$C:$C,$U191)="","",INDEX('MiT Strom Pipeline'!$C:$C,$U191)))</f>
        <v/>
      </c>
      <c r="D191" s="24" t="str">
        <f>IF($U191="","",IF(INDEX('MiT Strom Pipeline'!$D:$D,$U191)="","",INDEX('MiT Strom Pipeline'!$D:$D,$U191)))</f>
        <v/>
      </c>
      <c r="E191" s="27" t="str">
        <f>IF($U191="","",IF(INDEX('MiT Strom Pipeline'!$H:$H,$U191)="","",INDEX('MiT Strom Pipeline'!$H:$H,$U191)))</f>
        <v/>
      </c>
      <c r="F191" s="24" t="str">
        <f>IF($U191="","",IF(INDEX('MiT Strom Pipeline'!$E:$E,$U191)="","",INDEX('MiT Strom Pipeline'!$E:$E,$U191)))</f>
        <v/>
      </c>
      <c r="G191" s="25" t="str">
        <f>IF($U191="","",IF(ISNUMBER(INDEX('MiT Strom Pipeline'!$I:$I,$U191)),INDEX('MiT Strom Pipeline'!$I:$I,$U191),0))</f>
        <v/>
      </c>
      <c r="H191" s="25" t="str">
        <f>IF($U191="","",IF(ISNUMBER(INDEX('MiT Strom Pipeline'!$Q:$Q,$U191)),INDEX('MiT Strom Pipeline'!$Q:$Q,$U191),0))</f>
        <v/>
      </c>
      <c r="I191" s="25" t="str">
        <f>IF($U191="","",IF(ISNUMBER(INDEX('MiT Strom Pipeline'!$O:$O,$U191)),INDEX('MiT Strom Pipeline'!$O:$O,$U191),0))</f>
        <v/>
      </c>
      <c r="J191" s="24" t="str">
        <f>IF($U191="","",INDEX('MiT Strom Pipeline'!$R:$R,$U191))</f>
        <v/>
      </c>
      <c r="K191" s="26" t="str">
        <f>IF($U191="","",IF(ISNUMBER(INDEX('MiT Strom Pipeline'!$S:$S,$U191)),INDEX('MiT Strom Pipeline'!$S:$S,$U191),""))</f>
        <v/>
      </c>
      <c r="L191" s="24" t="str">
        <f>IF($U191="","",IF(LEN(INDEX('MiT Strom Pipeline'!$V:$V,$U191))&gt;0,LEFT(INDEX('MiT Strom Pipeline'!$V:$V,$U191),55),""))</f>
        <v/>
      </c>
      <c r="M191" s="19"/>
      <c r="N191" s="19"/>
      <c r="O191" s="19"/>
      <c r="P191" s="19"/>
      <c r="Q191" s="19"/>
      <c r="R191" s="19"/>
      <c r="S191" s="19"/>
      <c r="U191" t="str">
        <f>IFERROR(MATCH(53,'MiT Strom Pipeline'!$AD$6:$AD$860,0)+5,"")</f>
        <v/>
      </c>
    </row>
    <row r="192" spans="1:21" ht="15.75" customHeight="1">
      <c r="A192" s="23" t="str">
        <f>IF($U192="","",IF(ISNUMBER(INDEX('MiT Strom Pipeline'!$A:$A,$U192)),INDEX('MiT Strom Pipeline'!$A:$A,$U192),""))</f>
        <v/>
      </c>
      <c r="B192" s="24" t="str">
        <f>IF($U192="","",IF(INDEX('MiT Strom Pipeline'!$B:$B,$U192)="","",INDEX('MiT Strom Pipeline'!$B:$B,$U192)))</f>
        <v/>
      </c>
      <c r="C192" s="24" t="str">
        <f>IF($U192="","",IF(INDEX('MiT Strom Pipeline'!$C:$C,$U192)="","",INDEX('MiT Strom Pipeline'!$C:$C,$U192)))</f>
        <v/>
      </c>
      <c r="D192" s="24" t="str">
        <f>IF($U192="","",IF(INDEX('MiT Strom Pipeline'!$D:$D,$U192)="","",INDEX('MiT Strom Pipeline'!$D:$D,$U192)))</f>
        <v/>
      </c>
      <c r="E192" s="24" t="str">
        <f>IF($U192="","",IF(INDEX('MiT Strom Pipeline'!$H:$H,$U192)="","",INDEX('MiT Strom Pipeline'!$H:$H,$U192)))</f>
        <v/>
      </c>
      <c r="F192" s="24" t="str">
        <f>IF($U192="","",IF(INDEX('MiT Strom Pipeline'!$E:$E,$U192)="","",INDEX('MiT Strom Pipeline'!$E:$E,$U192)))</f>
        <v/>
      </c>
      <c r="G192" s="25" t="str">
        <f>IF($U192="","",IF(ISNUMBER(INDEX('MiT Strom Pipeline'!$I:$I,$U192)),INDEX('MiT Strom Pipeline'!$I:$I,$U192),0))</f>
        <v/>
      </c>
      <c r="H192" s="25" t="str">
        <f>IF($U192="","",IF(ISNUMBER(INDEX('MiT Strom Pipeline'!$Q:$Q,$U192)),INDEX('MiT Strom Pipeline'!$Q:$Q,$U192),0))</f>
        <v/>
      </c>
      <c r="I192" s="25" t="str">
        <f>IF($U192="","",IF(ISNUMBER(INDEX('MiT Strom Pipeline'!$O:$O,$U192)),INDEX('MiT Strom Pipeline'!$O:$O,$U192),0))</f>
        <v/>
      </c>
      <c r="J192" s="24" t="str">
        <f>IF($U192="","",INDEX('MiT Strom Pipeline'!$R:$R,$U192))</f>
        <v/>
      </c>
      <c r="K192" s="26" t="str">
        <f>IF($U192="","",IF(ISNUMBER(INDEX('MiT Strom Pipeline'!$S:$S,$U192)),INDEX('MiT Strom Pipeline'!$S:$S,$U192),""))</f>
        <v/>
      </c>
      <c r="L192" s="24" t="str">
        <f>IF($U192="","",IF(LEN(INDEX('MiT Strom Pipeline'!$V:$V,$U192))&gt;0,LEFT(INDEX('MiT Strom Pipeline'!$V:$V,$U192),55),""))</f>
        <v/>
      </c>
      <c r="M192" s="19"/>
      <c r="N192" s="19"/>
      <c r="O192" s="19"/>
      <c r="P192" s="19"/>
      <c r="Q192" s="19"/>
      <c r="R192" s="19"/>
      <c r="S192" s="19"/>
      <c r="U192" t="str">
        <f>IFERROR(MATCH(54,'MiT Strom Pipeline'!$AD$6:$AD$860,0)+5,"")</f>
        <v/>
      </c>
    </row>
    <row r="193" spans="1:21" ht="15.75" customHeight="1">
      <c r="A193" s="23" t="str">
        <f>IF($U193="","",IF(ISNUMBER(INDEX('MiT Strom Pipeline'!$A:$A,$U193)),INDEX('MiT Strom Pipeline'!$A:$A,$U193),""))</f>
        <v/>
      </c>
      <c r="B193" s="24" t="str">
        <f>IF($U193="","",IF(INDEX('MiT Strom Pipeline'!$B:$B,$U193)="","",INDEX('MiT Strom Pipeline'!$B:$B,$U193)))</f>
        <v/>
      </c>
      <c r="C193" s="24" t="str">
        <f>IF($U193="","",IF(INDEX('MiT Strom Pipeline'!$C:$C,$U193)="","",INDEX('MiT Strom Pipeline'!$C:$C,$U193)))</f>
        <v/>
      </c>
      <c r="D193" s="24" t="str">
        <f>IF($U193="","",IF(INDEX('MiT Strom Pipeline'!$D:$D,$U193)="","",INDEX('MiT Strom Pipeline'!$D:$D,$U193)))</f>
        <v/>
      </c>
      <c r="E193" s="24" t="str">
        <f>IF($U193="","",IF(INDEX('MiT Strom Pipeline'!$H:$H,$U193)="","",INDEX('MiT Strom Pipeline'!$H:$H,$U193)))</f>
        <v/>
      </c>
      <c r="F193" s="24" t="str">
        <f>IF($U193="","",IF(INDEX('MiT Strom Pipeline'!$E:$E,$U193)="","",INDEX('MiT Strom Pipeline'!$E:$E,$U193)))</f>
        <v/>
      </c>
      <c r="G193" s="25" t="str">
        <f>IF($U193="","",IF(ISNUMBER(INDEX('MiT Strom Pipeline'!$I:$I,$U193)),INDEX('MiT Strom Pipeline'!$I:$I,$U193),0))</f>
        <v/>
      </c>
      <c r="H193" s="25" t="str">
        <f>IF($U193="","",IF(ISNUMBER(INDEX('MiT Strom Pipeline'!$Q:$Q,$U193)),INDEX('MiT Strom Pipeline'!$Q:$Q,$U193),0))</f>
        <v/>
      </c>
      <c r="I193" s="25" t="str">
        <f>IF($U193="","",IF(ISNUMBER(INDEX('MiT Strom Pipeline'!$O:$O,$U193)),INDEX('MiT Strom Pipeline'!$O:$O,$U193),0))</f>
        <v/>
      </c>
      <c r="J193" s="24" t="str">
        <f>IF($U193="","",INDEX('MiT Strom Pipeline'!$R:$R,$U193))</f>
        <v/>
      </c>
      <c r="K193" s="26" t="str">
        <f>IF($U193="","",IF(ISNUMBER(INDEX('MiT Strom Pipeline'!$S:$S,$U193)),INDEX('MiT Strom Pipeline'!$S:$S,$U193),""))</f>
        <v/>
      </c>
      <c r="L193" s="24" t="str">
        <f>IF($U193="","",IF(LEN(INDEX('MiT Strom Pipeline'!$V:$V,$U193))&gt;0,LEFT(INDEX('MiT Strom Pipeline'!$V:$V,$U193),55),""))</f>
        <v/>
      </c>
      <c r="M193" s="19"/>
      <c r="N193" s="19"/>
      <c r="O193" s="19"/>
      <c r="P193" s="19"/>
      <c r="Q193" s="19"/>
      <c r="R193" s="19"/>
      <c r="S193" s="19"/>
      <c r="U193" t="str">
        <f>IFERROR(MATCH(55,'MiT Strom Pipeline'!$AD$6:$AD$860,0)+5,"")</f>
        <v/>
      </c>
    </row>
    <row r="194" spans="1:21" ht="15.75" customHeight="1">
      <c r="A194" s="23" t="str">
        <f>IF($U194="","",IF(ISNUMBER(INDEX('MiT Strom Pipeline'!$A:$A,$U194)),INDEX('MiT Strom Pipeline'!$A:$A,$U194),""))</f>
        <v/>
      </c>
      <c r="B194" s="24" t="str">
        <f>IF($U194="","",IF(INDEX('MiT Strom Pipeline'!$B:$B,$U194)="","",INDEX('MiT Strom Pipeline'!$B:$B,$U194)))</f>
        <v/>
      </c>
      <c r="C194" s="24" t="str">
        <f>IF($U194="","",IF(INDEX('MiT Strom Pipeline'!$C:$C,$U194)="","",INDEX('MiT Strom Pipeline'!$C:$C,$U194)))</f>
        <v/>
      </c>
      <c r="D194" s="24" t="str">
        <f>IF($U194="","",IF(INDEX('MiT Strom Pipeline'!$D:$D,$U194)="","",INDEX('MiT Strom Pipeline'!$D:$D,$U194)))</f>
        <v/>
      </c>
      <c r="E194" s="24" t="str">
        <f>IF($U194="","",IF(INDEX('MiT Strom Pipeline'!$H:$H,$U194)="","",INDEX('MiT Strom Pipeline'!$H:$H,$U194)))</f>
        <v/>
      </c>
      <c r="F194" s="24" t="str">
        <f>IF($U194="","",IF(INDEX('MiT Strom Pipeline'!$E:$E,$U194)="","",INDEX('MiT Strom Pipeline'!$E:$E,$U194)))</f>
        <v/>
      </c>
      <c r="G194" s="25" t="str">
        <f>IF($U194="","",IF(ISNUMBER(INDEX('MiT Strom Pipeline'!$I:$I,$U194)),INDEX('MiT Strom Pipeline'!$I:$I,$U194),0))</f>
        <v/>
      </c>
      <c r="H194" s="25" t="str">
        <f>IF($U194="","",IF(ISNUMBER(INDEX('MiT Strom Pipeline'!$Q:$Q,$U194)),INDEX('MiT Strom Pipeline'!$Q:$Q,$U194),0))</f>
        <v/>
      </c>
      <c r="I194" s="25" t="str">
        <f>IF($U194="","",IF(ISNUMBER(INDEX('MiT Strom Pipeline'!$O:$O,$U194)),INDEX('MiT Strom Pipeline'!$O:$O,$U194),0))</f>
        <v/>
      </c>
      <c r="J194" s="24" t="str">
        <f>IF($U194="","",INDEX('MiT Strom Pipeline'!$R:$R,$U194))</f>
        <v/>
      </c>
      <c r="K194" s="26" t="str">
        <f>IF($U194="","",IF(ISNUMBER(INDEX('MiT Strom Pipeline'!$S:$S,$U194)),INDEX('MiT Strom Pipeline'!$S:$S,$U194),""))</f>
        <v/>
      </c>
      <c r="L194" s="24" t="str">
        <f>IF($U194="","",IF(LEN(INDEX('MiT Strom Pipeline'!$V:$V,$U194))&gt;0,LEFT(INDEX('MiT Strom Pipeline'!$V:$V,$U194),55),""))</f>
        <v/>
      </c>
      <c r="M194" s="19"/>
      <c r="N194" s="19"/>
      <c r="O194" s="19"/>
      <c r="P194" s="19"/>
      <c r="Q194" s="19"/>
      <c r="R194" s="19"/>
      <c r="S194" s="19"/>
      <c r="U194" t="str">
        <f>IFERROR(MATCH(56,'MiT Strom Pipeline'!$AD$6:$AD$860,0)+5,"")</f>
        <v/>
      </c>
    </row>
    <row r="195" spans="1:21" ht="15.75" customHeight="1">
      <c r="A195" s="23" t="str">
        <f>IF($U195="","",IF(ISNUMBER(INDEX('MiT Strom Pipeline'!$A:$A,$U195)),INDEX('MiT Strom Pipeline'!$A:$A,$U195),""))</f>
        <v/>
      </c>
      <c r="B195" s="24" t="str">
        <f>IF($U195="","",IF(INDEX('MiT Strom Pipeline'!$B:$B,$U195)="","",INDEX('MiT Strom Pipeline'!$B:$B,$U195)))</f>
        <v/>
      </c>
      <c r="C195" s="24" t="str">
        <f>IF($U195="","",IF(INDEX('MiT Strom Pipeline'!$C:$C,$U195)="","",INDEX('MiT Strom Pipeline'!$C:$C,$U195)))</f>
        <v/>
      </c>
      <c r="D195" s="24" t="str">
        <f>IF($U195="","",IF(INDEX('MiT Strom Pipeline'!$D:$D,$U195)="","",INDEX('MiT Strom Pipeline'!$D:$D,$U195)))</f>
        <v/>
      </c>
      <c r="E195" s="24" t="str">
        <f>IF($U195="","",IF(INDEX('MiT Strom Pipeline'!$H:$H,$U195)="","",INDEX('MiT Strom Pipeline'!$H:$H,$U195)))</f>
        <v/>
      </c>
      <c r="F195" s="24" t="str">
        <f>IF($U195="","",IF(INDEX('MiT Strom Pipeline'!$E:$E,$U195)="","",INDEX('MiT Strom Pipeline'!$E:$E,$U195)))</f>
        <v/>
      </c>
      <c r="G195" s="25" t="str">
        <f>IF($U195="","",IF(ISNUMBER(INDEX('MiT Strom Pipeline'!$I:$I,$U195)),INDEX('MiT Strom Pipeline'!$I:$I,$U195),0))</f>
        <v/>
      </c>
      <c r="H195" s="25" t="str">
        <f>IF($U195="","",IF(ISNUMBER(INDEX('MiT Strom Pipeline'!$Q:$Q,$U195)),INDEX('MiT Strom Pipeline'!$Q:$Q,$U195),0))</f>
        <v/>
      </c>
      <c r="I195" s="25" t="str">
        <f>IF($U195="","",IF(ISNUMBER(INDEX('MiT Strom Pipeline'!$O:$O,$U195)),INDEX('MiT Strom Pipeline'!$O:$O,$U195),0))</f>
        <v/>
      </c>
      <c r="J195" s="24" t="str">
        <f>IF($U195="","",INDEX('MiT Strom Pipeline'!$R:$R,$U195))</f>
        <v/>
      </c>
      <c r="K195" s="26" t="str">
        <f>IF($U195="","",IF(ISNUMBER(INDEX('MiT Strom Pipeline'!$S:$S,$U195)),INDEX('MiT Strom Pipeline'!$S:$S,$U195),""))</f>
        <v/>
      </c>
      <c r="L195" s="24" t="str">
        <f>IF($U195="","",IF(LEN(INDEX('MiT Strom Pipeline'!$V:$V,$U195))&gt;0,LEFT(INDEX('MiT Strom Pipeline'!$V:$V,$U195),55),""))</f>
        <v/>
      </c>
      <c r="M195" s="19"/>
      <c r="N195" s="19"/>
      <c r="O195" s="19"/>
      <c r="P195" s="19"/>
      <c r="Q195" s="19"/>
      <c r="R195" s="19"/>
      <c r="S195" s="19"/>
      <c r="U195" t="str">
        <f>IFERROR(MATCH(57,'MiT Strom Pipeline'!$AD$6:$AD$860,0)+5,"")</f>
        <v/>
      </c>
    </row>
    <row r="196" spans="1:21" ht="15.75" customHeight="1">
      <c r="A196" s="23" t="str">
        <f>IF($U196="","",IF(ISNUMBER(INDEX('MiT Strom Pipeline'!$A:$A,$U196)),INDEX('MiT Strom Pipeline'!$A:$A,$U196),""))</f>
        <v/>
      </c>
      <c r="B196" s="24" t="str">
        <f>IF($U196="","",IF(INDEX('MiT Strom Pipeline'!$B:$B,$U196)="","",INDEX('MiT Strom Pipeline'!$B:$B,$U196)))</f>
        <v/>
      </c>
      <c r="C196" s="24" t="str">
        <f>IF($U196="","",IF(INDEX('MiT Strom Pipeline'!$C:$C,$U196)="","",INDEX('MiT Strom Pipeline'!$C:$C,$U196)))</f>
        <v/>
      </c>
      <c r="D196" s="24" t="str">
        <f>IF($U196="","",IF(INDEX('MiT Strom Pipeline'!$D:$D,$U196)="","",INDEX('MiT Strom Pipeline'!$D:$D,$U196)))</f>
        <v/>
      </c>
      <c r="E196" s="24" t="str">
        <f>IF($U196="","",IF(INDEX('MiT Strom Pipeline'!$H:$H,$U196)="","",INDEX('MiT Strom Pipeline'!$H:$H,$U196)))</f>
        <v/>
      </c>
      <c r="F196" s="24" t="str">
        <f>IF($U196="","",IF(INDEX('MiT Strom Pipeline'!$E:$E,$U196)="","",INDEX('MiT Strom Pipeline'!$E:$E,$U196)))</f>
        <v/>
      </c>
      <c r="G196" s="25" t="str">
        <f>IF($U196="","",IF(ISNUMBER(INDEX('MiT Strom Pipeline'!$I:$I,$U196)),INDEX('MiT Strom Pipeline'!$I:$I,$U196),0))</f>
        <v/>
      </c>
      <c r="H196" s="25" t="str">
        <f>IF($U196="","",IF(ISNUMBER(INDEX('MiT Strom Pipeline'!$Q:$Q,$U196)),INDEX('MiT Strom Pipeline'!$Q:$Q,$U196),0))</f>
        <v/>
      </c>
      <c r="I196" s="25" t="str">
        <f>IF($U196="","",IF(ISNUMBER(INDEX('MiT Strom Pipeline'!$O:$O,$U196)),INDEX('MiT Strom Pipeline'!$O:$O,$U196),0))</f>
        <v/>
      </c>
      <c r="J196" s="24" t="str">
        <f>IF($U196="","",INDEX('MiT Strom Pipeline'!$R:$R,$U196))</f>
        <v/>
      </c>
      <c r="K196" s="26" t="str">
        <f>IF($U196="","",IF(ISNUMBER(INDEX('MiT Strom Pipeline'!$S:$S,$U196)),INDEX('MiT Strom Pipeline'!$S:$S,$U196),""))</f>
        <v/>
      </c>
      <c r="L196" s="24" t="str">
        <f>IF($U196="","",IF(LEN(INDEX('MiT Strom Pipeline'!$V:$V,$U196))&gt;0,LEFT(INDEX('MiT Strom Pipeline'!$V:$V,$U196),55),""))</f>
        <v/>
      </c>
      <c r="M196" s="19"/>
      <c r="N196" s="19"/>
      <c r="O196" s="19"/>
      <c r="P196" s="19"/>
      <c r="Q196" s="19"/>
      <c r="R196" s="19"/>
      <c r="S196" s="19"/>
      <c r="U196" t="str">
        <f>IFERROR(MATCH(58,'MiT Strom Pipeline'!$AD$6:$AD$860,0)+5,"")</f>
        <v/>
      </c>
    </row>
    <row r="197" spans="1:21" ht="15.75" customHeight="1">
      <c r="A197" s="23" t="str">
        <f>IF($U197="","",IF(ISNUMBER(INDEX('MiT Strom Pipeline'!$A:$A,$U197)),INDEX('MiT Strom Pipeline'!$A:$A,$U197),""))</f>
        <v/>
      </c>
      <c r="B197" s="24" t="str">
        <f>IF($U197="","",IF(INDEX('MiT Strom Pipeline'!$B:$B,$U197)="","",INDEX('MiT Strom Pipeline'!$B:$B,$U197)))</f>
        <v/>
      </c>
      <c r="C197" s="24" t="str">
        <f>IF($U197="","",IF(INDEX('MiT Strom Pipeline'!$C:$C,$U197)="","",INDEX('MiT Strom Pipeline'!$C:$C,$U197)))</f>
        <v/>
      </c>
      <c r="D197" s="24" t="str">
        <f>IF($U197="","",IF(INDEX('MiT Strom Pipeline'!$D:$D,$U197)="","",INDEX('MiT Strom Pipeline'!$D:$D,$U197)))</f>
        <v/>
      </c>
      <c r="E197" s="24" t="str">
        <f>IF($U197="","",IF(INDEX('MiT Strom Pipeline'!$H:$H,$U197)="","",INDEX('MiT Strom Pipeline'!$H:$H,$U197)))</f>
        <v/>
      </c>
      <c r="F197" s="24" t="str">
        <f>IF($U197="","",IF(INDEX('MiT Strom Pipeline'!$E:$E,$U197)="","",INDEX('MiT Strom Pipeline'!$E:$E,$U197)))</f>
        <v/>
      </c>
      <c r="G197" s="25" t="str">
        <f>IF($U197="","",IF(ISNUMBER(INDEX('MiT Strom Pipeline'!$I:$I,$U197)),INDEX('MiT Strom Pipeline'!$I:$I,$U197),0))</f>
        <v/>
      </c>
      <c r="H197" s="25" t="str">
        <f>IF($U197="","",IF(ISNUMBER(INDEX('MiT Strom Pipeline'!$Q:$Q,$U197)),INDEX('MiT Strom Pipeline'!$Q:$Q,$U197),0))</f>
        <v/>
      </c>
      <c r="I197" s="25" t="str">
        <f>IF($U197="","",IF(ISNUMBER(INDEX('MiT Strom Pipeline'!$O:$O,$U197)),INDEX('MiT Strom Pipeline'!$O:$O,$U197),0))</f>
        <v/>
      </c>
      <c r="J197" s="24" t="str">
        <f>IF($U197="","",INDEX('MiT Strom Pipeline'!$R:$R,$U197))</f>
        <v/>
      </c>
      <c r="K197" s="26" t="str">
        <f>IF($U197="","",IF(ISNUMBER(INDEX('MiT Strom Pipeline'!$S:$S,$U197)),INDEX('MiT Strom Pipeline'!$S:$S,$U197),""))</f>
        <v/>
      </c>
      <c r="L197" s="24" t="str">
        <f>IF($U197="","",IF(LEN(INDEX('MiT Strom Pipeline'!$V:$V,$U197))&gt;0,LEFT(INDEX('MiT Strom Pipeline'!$V:$V,$U197),55),""))</f>
        <v/>
      </c>
      <c r="M197" s="19"/>
      <c r="N197" s="19"/>
      <c r="O197" s="19"/>
      <c r="P197" s="19"/>
      <c r="Q197" s="19"/>
      <c r="R197" s="19"/>
      <c r="S197" s="19"/>
      <c r="U197" t="str">
        <f>IFERROR(MATCH(59,'MiT Strom Pipeline'!$AD$6:$AD$860,0)+5,"")</f>
        <v/>
      </c>
    </row>
    <row r="198" spans="1:21" ht="15.75" customHeight="1">
      <c r="A198" s="23" t="str">
        <f>IF($U198="","",IF(ISNUMBER(INDEX('MiT Strom Pipeline'!$A:$A,$U198)),INDEX('MiT Strom Pipeline'!$A:$A,$U198),""))</f>
        <v/>
      </c>
      <c r="B198" s="24" t="str">
        <f>IF($U198="","",IF(INDEX('MiT Strom Pipeline'!$B:$B,$U198)="","",INDEX('MiT Strom Pipeline'!$B:$B,$U198)))</f>
        <v/>
      </c>
      <c r="C198" s="24" t="str">
        <f>IF($U198="","",IF(INDEX('MiT Strom Pipeline'!$C:$C,$U198)="","",INDEX('MiT Strom Pipeline'!$C:$C,$U198)))</f>
        <v/>
      </c>
      <c r="D198" s="24" t="str">
        <f>IF($U198="","",IF(INDEX('MiT Strom Pipeline'!$D:$D,$U198)="","",INDEX('MiT Strom Pipeline'!$D:$D,$U198)))</f>
        <v/>
      </c>
      <c r="E198" s="24" t="str">
        <f>IF($U198="","",IF(INDEX('MiT Strom Pipeline'!$H:$H,$U198)="","",INDEX('MiT Strom Pipeline'!$H:$H,$U198)))</f>
        <v/>
      </c>
      <c r="F198" s="24" t="str">
        <f>IF($U198="","",IF(INDEX('MiT Strom Pipeline'!$E:$E,$U198)="","",INDEX('MiT Strom Pipeline'!$E:$E,$U198)))</f>
        <v/>
      </c>
      <c r="G198" s="25" t="str">
        <f>IF($U198="","",IF(ISNUMBER(INDEX('MiT Strom Pipeline'!$I:$I,$U198)),INDEX('MiT Strom Pipeline'!$I:$I,$U198),0))</f>
        <v/>
      </c>
      <c r="H198" s="25" t="str">
        <f>IF($U198="","",IF(ISNUMBER(INDEX('MiT Strom Pipeline'!$Q:$Q,$U198)),INDEX('MiT Strom Pipeline'!$Q:$Q,$U198),0))</f>
        <v/>
      </c>
      <c r="I198" s="25" t="str">
        <f>IF($U198="","",IF(ISNUMBER(INDEX('MiT Strom Pipeline'!$O:$O,$U198)),INDEX('MiT Strom Pipeline'!$O:$O,$U198),0))</f>
        <v/>
      </c>
      <c r="J198" s="24" t="str">
        <f>IF($U198="","",INDEX('MiT Strom Pipeline'!$R:$R,$U198))</f>
        <v/>
      </c>
      <c r="K198" s="26" t="str">
        <f>IF($U198="","",IF(ISNUMBER(INDEX('MiT Strom Pipeline'!$S:$S,$U198)),INDEX('MiT Strom Pipeline'!$S:$S,$U198),""))</f>
        <v/>
      </c>
      <c r="L198" s="24" t="str">
        <f>IF($U198="","",IF(LEN(INDEX('MiT Strom Pipeline'!$V:$V,$U198))&gt;0,LEFT(INDEX('MiT Strom Pipeline'!$V:$V,$U198),55),""))</f>
        <v/>
      </c>
      <c r="M198" s="19"/>
      <c r="N198" s="19"/>
      <c r="O198" s="19"/>
      <c r="P198" s="19"/>
      <c r="Q198" s="19"/>
      <c r="R198" s="19"/>
      <c r="S198" s="19"/>
      <c r="U198" t="str">
        <f>IFERROR(MATCH(60,'MiT Strom Pipeline'!$AD$6:$AD$860,0)+5,"")</f>
        <v/>
      </c>
    </row>
    <row r="199" spans="1:21" ht="21.75" customHeight="1">
      <c r="A199" s="23" t="str">
        <f>IF($U199="","",IF(ISNUMBER(INDEX('MiT Strom Pipeline'!$A:$A,$U199)),INDEX('MiT Strom Pipeline'!$A:$A,$U199),""))</f>
        <v/>
      </c>
      <c r="B199" s="24" t="str">
        <f>IF($U199="","",IF(INDEX('MiT Strom Pipeline'!$B:$B,$U199)="","",INDEX('MiT Strom Pipeline'!$B:$B,$U199)))</f>
        <v/>
      </c>
      <c r="C199" s="24" t="str">
        <f>IF($U199="","",IF(INDEX('MiT Strom Pipeline'!$C:$C,$U199)="","",INDEX('MiT Strom Pipeline'!$C:$C,$U199)))</f>
        <v/>
      </c>
      <c r="D199" s="24" t="str">
        <f>IF($U199="","",IF(INDEX('MiT Strom Pipeline'!$D:$D,$U199)="","",INDEX('MiT Strom Pipeline'!$D:$D,$U199)))</f>
        <v/>
      </c>
      <c r="E199" s="24" t="str">
        <f>IF($U199="","",IF(INDEX('MiT Strom Pipeline'!$H:$H,$U199)="","",INDEX('MiT Strom Pipeline'!$H:$H,$U199)))</f>
        <v/>
      </c>
      <c r="F199" s="24" t="str">
        <f>IF($U199="","",IF(INDEX('MiT Strom Pipeline'!$E:$E,$U199)="","",INDEX('MiT Strom Pipeline'!$E:$E,$U199)))</f>
        <v/>
      </c>
      <c r="G199" s="25" t="str">
        <f>IF($U199="","",IF(ISNUMBER(INDEX('MiT Strom Pipeline'!$I:$I,$U199)),INDEX('MiT Strom Pipeline'!$I:$I,$U199),0))</f>
        <v/>
      </c>
      <c r="H199" s="25" t="str">
        <f>IF($U199="","",IF(ISNUMBER(INDEX('MiT Strom Pipeline'!$Q:$Q,$U199)),INDEX('MiT Strom Pipeline'!$Q:$Q,$U199),0))</f>
        <v/>
      </c>
      <c r="I199" s="25" t="str">
        <f>IF($U199="","",IF(ISNUMBER(INDEX('MiT Strom Pipeline'!$O:$O,$U199)),INDEX('MiT Strom Pipeline'!$O:$O,$U199),0))</f>
        <v/>
      </c>
      <c r="J199" s="24" t="str">
        <f>IF($U199="","",INDEX('MiT Strom Pipeline'!$R:$R,$U199))</f>
        <v/>
      </c>
      <c r="K199" s="26" t="str">
        <f>IF($U199="","",IF(ISNUMBER(INDEX('MiT Strom Pipeline'!$S:$S,$U199)),INDEX('MiT Strom Pipeline'!$S:$S,$U199),""))</f>
        <v/>
      </c>
      <c r="L199" s="24" t="str">
        <f>IF($U199="","",IF(LEN(INDEX('MiT Strom Pipeline'!$V:$V,$U199))&gt;0,LEFT(INDEX('MiT Strom Pipeline'!$V:$V,$U199),55),""))</f>
        <v/>
      </c>
      <c r="M199" s="19"/>
      <c r="N199" s="19"/>
      <c r="O199" s="19"/>
      <c r="P199" s="19"/>
      <c r="Q199" s="19"/>
      <c r="R199" s="19"/>
      <c r="S199" s="19"/>
      <c r="U199" t="str">
        <f>IFERROR(MATCH(61,'MiT Strom Pipeline'!$AD$6:$AD$860,0)+5,"")</f>
        <v/>
      </c>
    </row>
    <row r="200" spans="1:21" ht="3.75" customHeight="1">
      <c r="A200" s="23" t="str">
        <f>IF($U200="","",IF(ISNUMBER(INDEX('MiT Strom Pipeline'!$A:$A,$U200)),INDEX('MiT Strom Pipeline'!$A:$A,$U200),""))</f>
        <v/>
      </c>
      <c r="B200" s="24" t="str">
        <f>IF($U200="","",IF(INDEX('MiT Strom Pipeline'!$B:$B,$U200)="","",INDEX('MiT Strom Pipeline'!$B:$B,$U200)))</f>
        <v/>
      </c>
      <c r="C200" s="24" t="str">
        <f>IF($U200="","",IF(INDEX('MiT Strom Pipeline'!$C:$C,$U200)="","",INDEX('MiT Strom Pipeline'!$C:$C,$U200)))</f>
        <v/>
      </c>
      <c r="D200" s="24" t="str">
        <f>IF($U200="","",IF(INDEX('MiT Strom Pipeline'!$D:$D,$U200)="","",INDEX('MiT Strom Pipeline'!$D:$D,$U200)))</f>
        <v/>
      </c>
      <c r="E200" s="24" t="str">
        <f>IF($U200="","",IF(INDEX('MiT Strom Pipeline'!$H:$H,$U200)="","",INDEX('MiT Strom Pipeline'!$H:$H,$U200)))</f>
        <v/>
      </c>
      <c r="F200" s="24" t="str">
        <f>IF($U200="","",IF(INDEX('MiT Strom Pipeline'!$E:$E,$U200)="","",INDEX('MiT Strom Pipeline'!$E:$E,$U200)))</f>
        <v/>
      </c>
      <c r="G200" s="25" t="str">
        <f>IF($U200="","",IF(ISNUMBER(INDEX('MiT Strom Pipeline'!$I:$I,$U200)),INDEX('MiT Strom Pipeline'!$I:$I,$U200),0))</f>
        <v/>
      </c>
      <c r="H200" s="25" t="str">
        <f>IF($U200="","",IF(ISNUMBER(INDEX('MiT Strom Pipeline'!$Q:$Q,$U200)),INDEX('MiT Strom Pipeline'!$Q:$Q,$U200),0))</f>
        <v/>
      </c>
      <c r="I200" s="25" t="str">
        <f>IF($U200="","",IF(ISNUMBER(INDEX('MiT Strom Pipeline'!$O:$O,$U200)),INDEX('MiT Strom Pipeline'!$O:$O,$U200),0))</f>
        <v/>
      </c>
      <c r="J200" s="24" t="str">
        <f>IF($U200="","",INDEX('MiT Strom Pipeline'!$R:$R,$U200))</f>
        <v/>
      </c>
      <c r="K200" s="26" t="str">
        <f>IF($U200="","",IF(ISNUMBER(INDEX('MiT Strom Pipeline'!$S:$S,$U200)),INDEX('MiT Strom Pipeline'!$S:$S,$U200),""))</f>
        <v/>
      </c>
      <c r="L200" s="24" t="str">
        <f>IF($U200="","",IF(LEN(INDEX('MiT Strom Pipeline'!$V:$V,$U200))&gt;0,LEFT(INDEX('MiT Strom Pipeline'!$V:$V,$U200),55),""))</f>
        <v/>
      </c>
      <c r="M200" s="19"/>
      <c r="N200" s="19"/>
      <c r="O200" s="19"/>
      <c r="P200" s="19"/>
      <c r="Q200" s="19"/>
      <c r="R200" s="19"/>
      <c r="S200" s="19"/>
      <c r="U200" t="str">
        <f>IFERROR(MATCH(62,'MiT Strom Pipeline'!$AD$6:$AD$860,0)+5,"")</f>
        <v/>
      </c>
    </row>
    <row r="201" spans="1:21" ht="27.75" customHeight="1">
      <c r="A201" s="98" t="s">
        <v>85</v>
      </c>
      <c r="B201" s="150"/>
      <c r="C201" s="150"/>
      <c r="D201" s="150"/>
      <c r="E201" s="151"/>
      <c r="F201" s="30">
        <f>SUMIFS('MiT Strom Pipeline'!I$6:I$860,'MiT Strom Pipeline'!R$6:R$860,"WON")+SUMIFS('MiT Strom Pipeline'!I$6:I$860,'MiT Strom Pipeline'!R$6:R$860,"offered")+SUMIFS('MiT Strom Pipeline'!I$6:I$860,'MiT Strom Pipeline'!R$6:R$860,"to be offered")+SUMIFS('MiT Strom Pipeline'!I$6:I$860,'MiT Strom Pipeline'!R$6:R$860,"on hold")+SUMIFS('MiT Strom Pipeline'!I$6:I$860,'MiT Strom Pipeline'!R$6:R$860,"follow-up")+SUMIFS('MiT Strom Pipeline'!I$6:I$860,'MiT Strom Pipeline'!R$6:R$860,"Evaluation")+SUMIFS('MiT Strom Pipeline'!I$6:I$860,'MiT Strom Pipeline'!R$6:R$860,"tbd")+SUMIFS('MiT Strom Pipeline'!I$6:I$860,'MiT Strom Pipeline'!R$6:R$860,"In evaluation")</f>
        <v>6862149.2300000004</v>
      </c>
      <c r="G201" s="31"/>
      <c r="H201" s="31"/>
      <c r="I201" s="31"/>
      <c r="J201" s="31"/>
      <c r="K201" s="32"/>
      <c r="M201" s="19"/>
      <c r="N201" s="19"/>
      <c r="O201" s="19"/>
      <c r="P201" s="19"/>
      <c r="Q201" s="19"/>
      <c r="R201" s="19"/>
      <c r="S201" s="19"/>
    </row>
    <row r="202" spans="1:21" ht="18" customHeight="1">
      <c r="A202" s="102" t="s">
        <v>86</v>
      </c>
      <c r="B202" s="126"/>
      <c r="C202" s="126"/>
      <c r="D202" s="126"/>
      <c r="E202" s="126"/>
      <c r="F202" s="33">
        <f>SUMIFS('MiT Strom Pipeline'!I$6:I$860,'MiT Strom Pipeline'!R$6:R$860,"WON")</f>
        <v>1428553.1299999997</v>
      </c>
      <c r="G202" s="34"/>
      <c r="H202" s="34"/>
      <c r="I202" s="34"/>
      <c r="J202" s="34"/>
      <c r="K202" s="35"/>
      <c r="M202" s="19"/>
      <c r="N202" s="19"/>
      <c r="O202" s="19"/>
      <c r="P202" s="19"/>
      <c r="Q202" s="19"/>
      <c r="R202" s="19"/>
      <c r="S202" s="19"/>
    </row>
    <row r="203" spans="1:21" ht="18" customHeight="1">
      <c r="A203" s="102" t="s">
        <v>87</v>
      </c>
      <c r="B203" s="126"/>
      <c r="C203" s="126"/>
      <c r="D203" s="126"/>
      <c r="E203" s="126"/>
      <c r="F203" s="36">
        <f>SUMIFS('MiT Strom Pipeline'!I$6:I$860,'MiT Strom Pipeline'!R$6:R$860,"offered")+SUMIFS('MiT Strom Pipeline'!I$6:I$860,'MiT Strom Pipeline'!R$6:R$860,"to be offered")+SUMIFS('MiT Strom Pipeline'!I$6:I$860,'MiT Strom Pipeline'!R$6:R$860,"on hold")</f>
        <v>5433596.1000000006</v>
      </c>
      <c r="G203" s="34"/>
      <c r="H203" s="34"/>
      <c r="I203" s="34"/>
      <c r="J203" s="34"/>
      <c r="K203" s="35"/>
      <c r="M203" s="19"/>
      <c r="N203" s="19"/>
      <c r="O203" s="19"/>
      <c r="P203" s="19"/>
      <c r="Q203" s="19"/>
      <c r="R203" s="19"/>
      <c r="S203" s="19"/>
    </row>
    <row r="204" spans="1:21" ht="18" customHeight="1">
      <c r="A204" s="102" t="s">
        <v>88</v>
      </c>
      <c r="B204" s="126"/>
      <c r="C204" s="126"/>
      <c r="D204" s="126"/>
      <c r="E204" s="126"/>
      <c r="F204" s="37">
        <f>SUMIFS('MiT Strom Pipeline'!I$6:I$860,'MiT Strom Pipeline'!R$6:R$860,"follow-up")+SUMIFS('MiT Strom Pipeline'!I$6:I$860,'MiT Strom Pipeline'!R$6:R$860,"Evaluation")+SUMIFS('MiT Strom Pipeline'!I$6:I$860,'MiT Strom Pipeline'!R$6:R$860,"tbd")+SUMIFS('MiT Strom Pipeline'!I$6:I$860,'MiT Strom Pipeline'!R$6:R$860,"In evaluation")</f>
        <v>0</v>
      </c>
      <c r="G204" s="34"/>
      <c r="H204" s="34"/>
      <c r="I204" s="34"/>
      <c r="J204" s="34"/>
      <c r="K204" s="35"/>
      <c r="M204" s="19"/>
      <c r="N204" s="19"/>
      <c r="O204" s="19"/>
      <c r="P204" s="19"/>
      <c r="Q204" s="19"/>
      <c r="R204" s="19"/>
      <c r="S204" s="19"/>
    </row>
    <row r="205" spans="1:21" ht="15" customHeight="1">
      <c r="D205" s="38"/>
      <c r="E205" s="38"/>
      <c r="K205" s="38"/>
      <c r="M205" s="19"/>
      <c r="N205" s="19"/>
      <c r="O205" s="19"/>
      <c r="P205" s="19"/>
      <c r="Q205" s="19"/>
      <c r="R205" s="19"/>
      <c r="S205" s="19"/>
    </row>
    <row r="206" spans="1:21" ht="13.5" customHeight="1">
      <c r="A206" s="101" t="str">
        <f ca="1">"Stand: "&amp;TEXT(TODAY(),"DD.MM.YYYY")&amp;"  |  Burak Ücöz  |  Mobil in Time AG – An Aggreko Company  |  VERTRAULICH"</f>
        <v>Stand: DD.08.YYYY  |  Burak Ücöz  |  Mobil in Time AG – An Aggreko Company  |  VERTRAULICH</v>
      </c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M206" s="19"/>
      <c r="N206" s="19"/>
      <c r="O206" s="19"/>
      <c r="P206" s="19"/>
      <c r="Q206" s="19"/>
      <c r="R206" s="19"/>
      <c r="S206" s="19"/>
    </row>
    <row r="207" spans="1:21" ht="15" customHeight="1">
      <c r="M207" s="19"/>
      <c r="N207" s="19"/>
      <c r="O207" s="19"/>
      <c r="P207" s="19"/>
      <c r="Q207" s="19"/>
      <c r="R207" s="19"/>
      <c r="S207" s="19"/>
    </row>
    <row r="208" spans="1:21" ht="15" customHeight="1">
      <c r="M208" s="19"/>
      <c r="N208" s="19"/>
      <c r="O208" s="19"/>
      <c r="P208" s="19"/>
      <c r="Q208" s="19"/>
      <c r="R208" s="19"/>
      <c r="S208" s="19"/>
    </row>
    <row r="209" spans="13:19" ht="15" customHeight="1">
      <c r="M209" s="19"/>
      <c r="N209" s="19"/>
      <c r="O209" s="19"/>
      <c r="P209" s="19"/>
      <c r="Q209" s="19"/>
      <c r="R209" s="19"/>
      <c r="S209" s="19"/>
    </row>
    <row r="210" spans="13:19" ht="15" customHeight="1">
      <c r="M210" s="19"/>
      <c r="N210" s="19"/>
      <c r="O210" s="19"/>
      <c r="P210" s="19"/>
      <c r="Q210" s="19"/>
      <c r="R210" s="19"/>
      <c r="S210" s="19"/>
    </row>
    <row r="211" spans="13:19" ht="15" customHeight="1">
      <c r="M211" s="19"/>
      <c r="N211" s="19"/>
      <c r="O211" s="19"/>
      <c r="P211" s="19"/>
      <c r="Q211" s="19"/>
      <c r="R211" s="19"/>
      <c r="S211" s="19"/>
    </row>
    <row r="212" spans="13:19" ht="15" customHeight="1">
      <c r="M212" s="19"/>
      <c r="N212" s="19"/>
      <c r="O212" s="19"/>
      <c r="P212" s="19"/>
      <c r="Q212" s="19"/>
      <c r="R212" s="19"/>
      <c r="S212" s="19"/>
    </row>
    <row r="213" spans="13:19" ht="15" customHeight="1">
      <c r="M213" s="19"/>
      <c r="N213" s="19"/>
      <c r="O213" s="19"/>
      <c r="P213" s="19"/>
      <c r="Q213" s="19"/>
      <c r="R213" s="19"/>
      <c r="S213" s="19"/>
    </row>
    <row r="214" spans="13:19" ht="15" customHeight="1">
      <c r="M214" s="19"/>
      <c r="N214" s="19"/>
      <c r="O214" s="19"/>
      <c r="P214" s="19"/>
      <c r="Q214" s="19"/>
      <c r="R214" s="19"/>
      <c r="S214" s="19"/>
    </row>
    <row r="215" spans="13:19" ht="15" customHeight="1">
      <c r="M215" s="19"/>
      <c r="N215" s="19"/>
      <c r="O215" s="19"/>
      <c r="P215" s="19"/>
      <c r="Q215" s="19"/>
      <c r="R215" s="19"/>
      <c r="S215" s="19"/>
    </row>
    <row r="216" spans="13:19" ht="15" customHeight="1">
      <c r="M216" s="19"/>
      <c r="N216" s="19"/>
      <c r="O216" s="19"/>
      <c r="P216" s="19"/>
      <c r="Q216" s="19"/>
      <c r="R216" s="19"/>
      <c r="S216" s="19"/>
    </row>
    <row r="217" spans="13:19" ht="15" customHeight="1">
      <c r="M217" s="19"/>
      <c r="N217" s="19"/>
      <c r="O217" s="19"/>
      <c r="P217" s="19"/>
      <c r="Q217" s="19"/>
      <c r="R217" s="19"/>
      <c r="S217" s="19"/>
    </row>
    <row r="218" spans="13:19" ht="15" customHeight="1">
      <c r="M218" s="19"/>
      <c r="N218" s="19"/>
      <c r="O218" s="19"/>
      <c r="P218" s="19"/>
      <c r="Q218" s="19"/>
      <c r="R218" s="19"/>
      <c r="S218" s="19"/>
    </row>
    <row r="219" spans="13:19" ht="15" customHeight="1">
      <c r="M219" s="19"/>
      <c r="N219" s="19"/>
      <c r="O219" s="19"/>
      <c r="P219" s="19"/>
      <c r="Q219" s="19"/>
      <c r="R219" s="19"/>
      <c r="S219" s="19"/>
    </row>
  </sheetData>
  <autoFilter ref="A10:L72" xr:uid="{00000000-0009-0000-0000-000002000000}"/>
  <mergeCells count="20">
    <mergeCell ref="A1:L1"/>
    <mergeCell ref="E6:H6"/>
    <mergeCell ref="A202:E202"/>
    <mergeCell ref="I5:L5"/>
    <mergeCell ref="A2:L2"/>
    <mergeCell ref="I6:L6"/>
    <mergeCell ref="E5:H5"/>
    <mergeCell ref="A6:D6"/>
    <mergeCell ref="A7:D7"/>
    <mergeCell ref="A9:L9"/>
    <mergeCell ref="I7:L7"/>
    <mergeCell ref="A73:L73"/>
    <mergeCell ref="A5:D5"/>
    <mergeCell ref="A201:E201"/>
    <mergeCell ref="A137:L137"/>
    <mergeCell ref="E7:H7"/>
    <mergeCell ref="A3:L3"/>
    <mergeCell ref="A206:K206"/>
    <mergeCell ref="A204:E204"/>
    <mergeCell ref="A203:E203"/>
  </mergeCells>
  <conditionalFormatting sqref="J11:J200">
    <cfRule type="cellIs" dxfId="29" priority="1" stopIfTrue="1" operator="equal">
      <formula>"WON"</formula>
    </cfRule>
    <cfRule type="cellIs" dxfId="28" priority="2" stopIfTrue="1" operator="equal">
      <formula>"offered"</formula>
    </cfRule>
    <cfRule type="cellIs" dxfId="27" priority="3" stopIfTrue="1" operator="equal">
      <formula>"to be offered"</formula>
    </cfRule>
    <cfRule type="cellIs" dxfId="26" priority="4" stopIfTrue="1" operator="equal">
      <formula>"follow-up"</formula>
    </cfRule>
    <cfRule type="cellIs" dxfId="25" priority="5" stopIfTrue="1" operator="equal">
      <formula>"Evaluation"</formula>
    </cfRule>
    <cfRule type="cellIs" dxfId="24" priority="6" stopIfTrue="1" operator="equal">
      <formula>"In evaluation"</formula>
    </cfRule>
    <cfRule type="cellIs" dxfId="23" priority="7" stopIfTrue="1" operator="equal">
      <formula>"on hold"</formula>
    </cfRule>
    <cfRule type="cellIs" dxfId="22" priority="8" stopIfTrue="1" operator="equal">
      <formula>"tbd"</formula>
    </cfRule>
    <cfRule type="cellIs" dxfId="21" priority="9" stopIfTrue="1" operator="equal">
      <formula>"LOST"</formula>
    </cfRule>
    <cfRule type="cellIs" dxfId="20" priority="10" stopIfTrue="1" operator="equal">
      <formula>"Declined"</formula>
    </cfRule>
  </conditionalFormatting>
  <printOptions horizontalCentered="1"/>
  <pageMargins left="0.3" right="0.3" top="0.5" bottom="0.5" header="0.2" footer="0.2"/>
  <pageSetup paperSize="9" fitToHeight="0" orientation="landscape" horizontalDpi="300" verticalDpi="300"/>
  <headerFooter>
    <oddHeader>&amp;C&amp;"Calibri,Bold"&amp;14 MiT Strom Schweiz — CEO Report</oddHeader>
    <oddFooter>&amp;LMobil in Time AG · An Aggreko Company&amp;RSeite &amp;P von &amp;N</oddFooter>
  </headerFooter>
  <rowBreaks count="2" manualBreakCount="2">
    <brk id="72" max="16383" man="1"/>
    <brk id="13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496"/>
    <pageSetUpPr fitToPage="1"/>
  </sheetPr>
  <dimension ref="A1:U219"/>
  <sheetViews>
    <sheetView topLeftCell="A77" zoomScaleNormal="100" workbookViewId="0">
      <selection activeCell="F104" sqref="F104"/>
    </sheetView>
  </sheetViews>
  <sheetFormatPr defaultColWidth="9.140625" defaultRowHeight="15"/>
  <cols>
    <col min="1" max="1" width="5" customWidth="1"/>
    <col min="2" max="2" width="29.140625" bestFit="1" customWidth="1"/>
    <col min="3" max="3" width="9.7109375" bestFit="1" customWidth="1"/>
    <col min="4" max="4" width="18" customWidth="1"/>
    <col min="5" max="5" width="13" customWidth="1"/>
    <col min="6" max="6" width="79.42578125" style="39" bestFit="1" customWidth="1"/>
    <col min="7" max="7" width="17.5703125" style="39" bestFit="1" customWidth="1"/>
    <col min="8" max="8" width="18.42578125" bestFit="1" customWidth="1"/>
    <col min="9" max="9" width="12" customWidth="1"/>
    <col min="10" max="10" width="12.7109375" bestFit="1" customWidth="1"/>
    <col min="11" max="11" width="54.5703125" customWidth="1"/>
    <col min="12" max="19" width="8.42578125" customWidth="1"/>
    <col min="21" max="21" width="13" hidden="1" customWidth="1"/>
  </cols>
  <sheetData>
    <row r="1" spans="1:21" ht="39.75" customHeight="1">
      <c r="A1" s="118" t="str">
        <f ca="1">"⚡  MiT Strom Schweiz  |  Sales Dashboard  |  "&amp;TEXT(TODAY(),"MMMM YYYY")</f>
        <v>⚡  MiT Strom Schweiz  |  Sales Dashboard  |  August YYYY</v>
      </c>
      <c r="B1" s="126"/>
      <c r="C1" s="126"/>
      <c r="D1" s="126"/>
      <c r="E1" s="126"/>
      <c r="F1" s="152"/>
      <c r="G1" s="152"/>
      <c r="H1" s="126"/>
      <c r="I1" s="126"/>
      <c r="J1" s="126"/>
      <c r="K1" s="126"/>
      <c r="L1" s="19"/>
      <c r="M1" s="19"/>
      <c r="N1" s="19"/>
      <c r="O1" s="19"/>
      <c r="P1" s="19"/>
      <c r="Q1" s="19"/>
      <c r="R1" s="19"/>
      <c r="S1" s="19"/>
    </row>
    <row r="2" spans="1:21" ht="15.75" customHeight="1">
      <c r="A2" s="106" t="s">
        <v>73</v>
      </c>
      <c r="B2" s="126"/>
      <c r="C2" s="126"/>
      <c r="D2" s="126"/>
      <c r="E2" s="126"/>
      <c r="F2" s="152"/>
      <c r="G2" s="152"/>
      <c r="H2" s="126"/>
      <c r="I2" s="126"/>
      <c r="J2" s="126"/>
      <c r="K2" s="126"/>
      <c r="L2" s="19"/>
      <c r="M2" s="19"/>
      <c r="N2" s="19"/>
      <c r="O2" s="19"/>
      <c r="P2" s="19"/>
      <c r="Q2" s="19"/>
      <c r="R2" s="19"/>
      <c r="S2" s="19"/>
    </row>
    <row r="3" spans="1:21" ht="4.5" customHeight="1">
      <c r="A3" s="149"/>
      <c r="B3" s="126"/>
      <c r="C3" s="126"/>
      <c r="D3" s="126"/>
      <c r="E3" s="126"/>
      <c r="F3" s="152"/>
      <c r="G3" s="152"/>
      <c r="H3" s="126"/>
      <c r="I3" s="126"/>
      <c r="J3" s="126"/>
      <c r="K3" s="126"/>
      <c r="L3" s="19"/>
      <c r="M3" s="19"/>
      <c r="N3" s="19"/>
      <c r="O3" s="19"/>
      <c r="P3" s="19"/>
      <c r="Q3" s="19"/>
      <c r="R3" s="19"/>
      <c r="S3" s="19"/>
    </row>
    <row r="4" spans="1:21" ht="7.5" customHeight="1">
      <c r="L4" s="19"/>
      <c r="M4" s="19"/>
      <c r="N4" s="19"/>
      <c r="O4" s="19"/>
      <c r="P4" s="19"/>
      <c r="Q4" s="19"/>
      <c r="R4" s="19"/>
      <c r="S4" s="19"/>
    </row>
    <row r="5" spans="1:21" ht="21.75" customHeight="1">
      <c r="A5" s="119" t="s">
        <v>89</v>
      </c>
      <c r="B5" s="126"/>
      <c r="C5" s="126"/>
      <c r="D5" s="123" t="s">
        <v>90</v>
      </c>
      <c r="E5" s="126"/>
      <c r="F5" s="152"/>
      <c r="G5" s="124" t="s">
        <v>91</v>
      </c>
      <c r="H5" s="126"/>
      <c r="I5" s="120" t="s">
        <v>92</v>
      </c>
      <c r="J5" s="126"/>
      <c r="K5" s="126"/>
      <c r="L5" s="19"/>
      <c r="M5" s="19"/>
      <c r="N5" s="19"/>
      <c r="O5" s="19"/>
      <c r="P5" s="19"/>
      <c r="Q5" s="19"/>
      <c r="R5" s="19"/>
      <c r="S5" s="19"/>
    </row>
    <row r="6" spans="1:21" ht="36" customHeight="1">
      <c r="A6" s="116">
        <f>SUMIFS('MiT Strom Pipeline'!I$6:I$860,'MiT Strom Pipeline'!R$6:R$860,"WON")</f>
        <v>1428553.1299999997</v>
      </c>
      <c r="B6" s="126"/>
      <c r="C6" s="126"/>
      <c r="D6" s="117">
        <f>SUMIFS('MiT Strom Pipeline'!I$6:I$860,'MiT Strom Pipeline'!R$6:R$860,"offered")+SUMIFS('MiT Strom Pipeline'!I$6:I$860,'MiT Strom Pipeline'!R$6:R$860,"to be offered")+SUMIFS('MiT Strom Pipeline'!I$6:I$860,'MiT Strom Pipeline'!R$6:R$860,"on hold")</f>
        <v>5433596.1000000006</v>
      </c>
      <c r="E6" s="126"/>
      <c r="F6" s="152"/>
      <c r="G6" s="121">
        <f>SUMIFS('MiT Strom Pipeline'!I$6:I$860,'MiT Strom Pipeline'!R$6:R$860,"follow-up")+SUMIFS('MiT Strom Pipeline'!I$6:I$860,'MiT Strom Pipeline'!R$6:R$860,"Evaluation")+SUMIFS('MiT Strom Pipeline'!I$6:I$860,'MiT Strom Pipeline'!R$6:R$860,"tbd")+SUMIFS('MiT Strom Pipeline'!I$6:I$860,'MiT Strom Pipeline'!R$6:R$860,"In evaluation")</f>
        <v>0</v>
      </c>
      <c r="H6" s="126"/>
      <c r="I6" s="115">
        <f>SUMIFS('MiT Strom Pipeline'!I$6:I$860,'MiT Strom Pipeline'!R$6:R$860,"WON")+SUMIFS('MiT Strom Pipeline'!I$6:I$860,'MiT Strom Pipeline'!R$6:R$860,"offered")+SUMIFS('MiT Strom Pipeline'!I$6:I$860,'MiT Strom Pipeline'!R$6:R$860,"to be offered")+SUMIFS('MiT Strom Pipeline'!I$6:I$860,'MiT Strom Pipeline'!R$6:R$860,"on hold")+SUMIFS('MiT Strom Pipeline'!I$6:I$860,'MiT Strom Pipeline'!R$6:R$860,"follow-up")+SUMIFS('MiT Strom Pipeline'!I$6:I$860,'MiT Strom Pipeline'!R$6:R$860,"Evaluation")+SUMIFS('MiT Strom Pipeline'!I$6:I$860,'MiT Strom Pipeline'!R$6:R$860,"tbd")+SUMIFS('MiT Strom Pipeline'!I$6:I$860,'MiT Strom Pipeline'!R$6:R$860,"In evaluation")</f>
        <v>6862149.2300000004</v>
      </c>
      <c r="J6" s="126"/>
      <c r="K6" s="126"/>
      <c r="L6" s="19"/>
      <c r="M6" s="19"/>
      <c r="N6" s="20"/>
      <c r="O6" s="19"/>
      <c r="P6" s="19"/>
      <c r="Q6" s="19"/>
      <c r="R6" s="19"/>
      <c r="S6" s="19"/>
    </row>
    <row r="7" spans="1:21" ht="19.5" customHeight="1">
      <c r="A7" s="110">
        <f>COUNTIF('MiT Strom Pipeline'!R$6:R$860,"WON")</f>
        <v>12</v>
      </c>
      <c r="B7" s="126"/>
      <c r="C7" s="126"/>
      <c r="D7" s="100">
        <f>COUNTIF('MiT Strom Pipeline'!R$6:R$860,"offered")+COUNTIF('MiT Strom Pipeline'!R$6:R$860,"to be offered")+COUNTIF('MiT Strom Pipeline'!R$6:R$860,"on hold")</f>
        <v>33</v>
      </c>
      <c r="E7" s="126"/>
      <c r="F7" s="152"/>
      <c r="G7" s="112">
        <f>COUNTIF('MiT Strom Pipeline'!R$6:R$860,"follow-up")+COUNTIF('MiT Strom Pipeline'!R$6:R$860,"Evaluation")+COUNTIF('MiT Strom Pipeline'!R$6:R$860,"tbd")+COUNTIF('MiT Strom Pipeline'!R$6:R$860,"In evaluation")</f>
        <v>1</v>
      </c>
      <c r="H7" s="126"/>
      <c r="I7" s="122">
        <f>COUNTIF('MiT Strom Pipeline'!R$6:R$860,"WON")+COUNTIF('MiT Strom Pipeline'!R$6:R$860,"offered")+COUNTIF('MiT Strom Pipeline'!R$6:R$860,"to be offered")+COUNTIF('MiT Strom Pipeline'!R$6:R$860,"on hold")+COUNTIF('MiT Strom Pipeline'!R$6:R$860,"follow-up")+COUNTIF('MiT Strom Pipeline'!R$6:R$860,"Evaluation")+COUNTIF('MiT Strom Pipeline'!R$6:R$860,"tbd")+COUNTIF('MiT Strom Pipeline'!R$6:R$860,"In evaluation")</f>
        <v>46</v>
      </c>
      <c r="J7" s="126"/>
      <c r="K7" s="126"/>
      <c r="L7" s="19"/>
      <c r="M7" s="19"/>
      <c r="N7" s="20"/>
      <c r="O7" s="19"/>
      <c r="P7" s="19"/>
      <c r="Q7" s="19"/>
      <c r="R7" s="19"/>
      <c r="S7" s="19"/>
    </row>
    <row r="8" spans="1:21" ht="7.5" customHeight="1">
      <c r="A8" s="21"/>
      <c r="B8" s="21"/>
      <c r="C8" s="21"/>
      <c r="D8" s="21"/>
      <c r="E8" s="21"/>
      <c r="F8" s="40"/>
      <c r="G8" s="40"/>
      <c r="H8" s="21"/>
      <c r="I8" s="21"/>
      <c r="J8" s="21"/>
      <c r="L8" s="19"/>
      <c r="M8" s="19"/>
      <c r="N8" s="20"/>
      <c r="O8" s="19"/>
      <c r="P8" s="19"/>
      <c r="Q8" s="19"/>
      <c r="R8" s="19"/>
      <c r="S8" s="19"/>
    </row>
    <row r="9" spans="1:21" ht="24" customHeight="1">
      <c r="A9" s="111" t="s">
        <v>93</v>
      </c>
      <c r="B9" s="150"/>
      <c r="C9" s="150"/>
      <c r="D9" s="150"/>
      <c r="E9" s="150"/>
      <c r="F9" s="150"/>
      <c r="G9" s="150"/>
      <c r="H9" s="150"/>
      <c r="I9" s="150"/>
      <c r="J9" s="150"/>
      <c r="K9" s="151"/>
      <c r="L9" s="19"/>
      <c r="M9" s="19"/>
      <c r="N9" s="20"/>
      <c r="O9" s="19"/>
      <c r="P9" s="19"/>
      <c r="Q9" s="19"/>
      <c r="R9" s="19"/>
      <c r="S9" s="19"/>
    </row>
    <row r="10" spans="1:21" ht="19.5" customHeight="1">
      <c r="A10" s="22" t="s">
        <v>6</v>
      </c>
      <c r="B10" s="22" t="s">
        <v>78</v>
      </c>
      <c r="C10" s="22" t="s">
        <v>8</v>
      </c>
      <c r="D10" s="22" t="s">
        <v>10</v>
      </c>
      <c r="E10" s="22" t="s">
        <v>9</v>
      </c>
      <c r="F10" s="22" t="s">
        <v>79</v>
      </c>
      <c r="G10" s="22" t="s">
        <v>16</v>
      </c>
      <c r="H10" s="22" t="s">
        <v>80</v>
      </c>
      <c r="I10" s="22" t="s">
        <v>14</v>
      </c>
      <c r="J10" s="22" t="s">
        <v>81</v>
      </c>
      <c r="K10" s="22" t="s">
        <v>82</v>
      </c>
      <c r="L10" s="19"/>
      <c r="M10" s="19"/>
      <c r="N10" s="20"/>
      <c r="O10" s="19"/>
      <c r="P10" s="19"/>
      <c r="Q10" s="19"/>
      <c r="R10" s="19"/>
      <c r="S10" s="19"/>
    </row>
    <row r="11" spans="1:21" ht="15.75" customHeight="1">
      <c r="A11" s="23">
        <f>IF($U11="","",IF(ISNUMBER(INDEX('MiT Strom Pipeline'!$A:$A,$U11)),INDEX('MiT Strom Pipeline'!$A:$A,$U11),""))</f>
        <v>1</v>
      </c>
      <c r="B11" s="24" t="str">
        <f>IF($U11="","",IF(INDEX('MiT Strom Pipeline'!$B:$B,$U11)="","",INDEX('MiT Strom Pipeline'!$B:$B,$U11)))</f>
        <v>Ice Hockey Championship</v>
      </c>
      <c r="C11" s="24" t="str">
        <f>IF($U11="","",IF(INDEX('MiT Strom Pipeline'!$C:$C,$U11)="","",INDEX('MiT Strom Pipeline'!$C:$C,$U11)))</f>
        <v>ZH</v>
      </c>
      <c r="D11" s="24" t="str">
        <f>IF($U11="","",IF(INDEX('MiT Strom Pipeline'!$D:$D,$U11)="","",INDEX('MiT Strom Pipeline'!$D:$D,$U11)))</f>
        <v>Events &amp; Sport</v>
      </c>
      <c r="E11" s="24" t="str">
        <f>IF($U11="","",IF(INDEX('MiT Strom Pipeline'!$H:$H,$U11)="","",INDEX('MiT Strom Pipeline'!$H:$H,$U11)))</f>
        <v>Mai</v>
      </c>
      <c r="F11" s="24" t="str">
        <f>IF($U11="","",IF(INDEX('MiT Strom Pipeline'!$E:$E,$U11)="","",INDEX('MiT Strom Pipeline'!$E:$E,$U11)))</f>
        <v>2×600+2×200 kVA</v>
      </c>
      <c r="G11" s="25">
        <f>IF($U11="","",IF(ISNUMBER(INDEX('MiT Strom Pipeline'!$I:$I,$U11)),INDEX('MiT Strom Pipeline'!$I:$I,$U11),0))</f>
        <v>380000</v>
      </c>
      <c r="H11" s="25">
        <f>IF($U11="","",IF(ISNUMBER(INDEX('MiT Strom Pipeline'!$Q:$Q,$U11)),INDEX('MiT Strom Pipeline'!$Q:$Q,$U11),0))</f>
        <v>380000</v>
      </c>
      <c r="I11" s="24" t="str">
        <f>IF($U11="","",INDEX('MiT Strom Pipeline'!$R:$R,$U11))</f>
        <v>WON</v>
      </c>
      <c r="J11" s="26">
        <f>IF($U11="","",IF(ISNUMBER(INDEX('MiT Strom Pipeline'!$S:$S,$U11)),INDEX('MiT Strom Pipeline'!$S:$S,$U11),""))</f>
        <v>1</v>
      </c>
      <c r="K11" s="24" t="str">
        <f>IF($U11="","",IF(LEN(INDEX('MiT Strom Pipeline'!$V:$V,$U11))&gt;0,LEFT(INDEX('MiT Strom Pipeline'!$V:$V,$U11),55),""))</f>
        <v>Abgeschlossen</v>
      </c>
      <c r="L11" s="19"/>
      <c r="M11" s="19"/>
      <c r="N11" s="20"/>
      <c r="O11" s="19"/>
      <c r="P11" s="19"/>
      <c r="Q11" s="19"/>
      <c r="R11" s="19"/>
      <c r="S11" s="19"/>
      <c r="U11">
        <f>IFERROR(MATCH(1,'MiT Strom Pipeline'!$AB$6:$AB$860,0)+5,"")</f>
        <v>9</v>
      </c>
    </row>
    <row r="12" spans="1:21" ht="15.75" customHeight="1">
      <c r="A12" s="23">
        <f>IF($U12="","",IF(ISNUMBER(INDEX('MiT Strom Pipeline'!$A:$A,$U12)),INDEX('MiT Strom Pipeline'!$A:$A,$U12),""))</f>
        <v>2</v>
      </c>
      <c r="B12" s="24" t="str">
        <f>IF($U12="","",IF(INDEX('MiT Strom Pipeline'!$B:$B,$U12)="","",INDEX('MiT Strom Pipeline'!$B:$B,$U12)))</f>
        <v>Oerlikon Metco Wohlen</v>
      </c>
      <c r="C12" s="24" t="str">
        <f>IF($U12="","",IF(INDEX('MiT Strom Pipeline'!$C:$C,$U12)="","",INDEX('MiT Strom Pipeline'!$C:$C,$U12)))</f>
        <v>AG</v>
      </c>
      <c r="D12" s="24" t="str">
        <f>IF($U12="","",IF(INDEX('MiT Strom Pipeline'!$D:$D,$U12)="","",INDEX('MiT Strom Pipeline'!$D:$D,$U12)))</f>
        <v>Industrie / Oberfläche</v>
      </c>
      <c r="E12" s="24" t="str">
        <f>IF($U12="","",IF(INDEX('MiT Strom Pipeline'!$H:$H,$U12)="","",INDEX('MiT Strom Pipeline'!$H:$H,$U12)))</f>
        <v>April</v>
      </c>
      <c r="F12" s="24" t="str">
        <f>IF($U12="","",IF(INDEX('MiT Strom Pipeline'!$E:$E,$U12)="","",INDEX('MiT Strom Pipeline'!$E:$E,$U12)))</f>
        <v>240 kVA Generator</v>
      </c>
      <c r="G12" s="25">
        <f>IF($U12="","",IF(ISNUMBER(INDEX('MiT Strom Pipeline'!$I:$I,$U12)),INDEX('MiT Strom Pipeline'!$I:$I,$U12),0))</f>
        <v>13100</v>
      </c>
      <c r="H12" s="25">
        <f>IF($U12="","",IF(ISNUMBER(INDEX('MiT Strom Pipeline'!$Q:$Q,$U12)),INDEX('MiT Strom Pipeline'!$Q:$Q,$U12),0))</f>
        <v>13100</v>
      </c>
      <c r="I12" s="24" t="str">
        <f>IF($U12="","",INDEX('MiT Strom Pipeline'!$R:$R,$U12))</f>
        <v>WON</v>
      </c>
      <c r="J12" s="26">
        <f>IF($U12="","",IF(ISNUMBER(INDEX('MiT Strom Pipeline'!$S:$S,$U12)),INDEX('MiT Strom Pipeline'!$S:$S,$U12),""))</f>
        <v>1</v>
      </c>
      <c r="K12" s="24" t="str">
        <f>IF($U12="","",IF(LEN(INDEX('MiT Strom Pipeline'!$V:$V,$U12))&gt;0,LEFT(INDEX('MiT Strom Pipeline'!$V:$V,$U12),55),""))</f>
        <v>Abgeschlossen</v>
      </c>
      <c r="L12" s="19"/>
      <c r="M12" s="19"/>
      <c r="N12" s="20"/>
      <c r="O12" s="19"/>
      <c r="P12" s="19"/>
      <c r="Q12" s="19"/>
      <c r="R12" s="19"/>
      <c r="S12" s="19"/>
      <c r="U12">
        <f>IFERROR(MATCH(2,'MiT Strom Pipeline'!$AB$6:$AB$860,0)+5,"")</f>
        <v>10</v>
      </c>
    </row>
    <row r="13" spans="1:21" ht="15.75" customHeight="1">
      <c r="A13" s="23">
        <f>IF($U13="","",IF(ISNUMBER(INDEX('MiT Strom Pipeline'!$A:$A,$U13)),INDEX('MiT Strom Pipeline'!$A:$A,$U13),""))</f>
        <v>3</v>
      </c>
      <c r="B13" s="24" t="str">
        <f>IF($U13="","",IF(INDEX('MiT Strom Pipeline'!$B:$B,$U13)="","",INDEX('MiT Strom Pipeline'!$B:$B,$U13)))</f>
        <v>Siemens</v>
      </c>
      <c r="C13" s="24" t="str">
        <f>IF($U13="","",IF(INDEX('MiT Strom Pipeline'!$C:$C,$U13)="","",INDEX('MiT Strom Pipeline'!$C:$C,$U13)))</f>
        <v>ZH</v>
      </c>
      <c r="D13" s="24" t="str">
        <f>IF($U13="","",IF(INDEX('MiT Strom Pipeline'!$D:$D,$U13)="","",INDEX('MiT Strom Pipeline'!$D:$D,$U13)))</f>
        <v>Industrie / Elektro</v>
      </c>
      <c r="E13" s="24" t="str">
        <f>IF($U13="","",IF(INDEX('MiT Strom Pipeline'!$H:$H,$U13)="","",INDEX('MiT Strom Pipeline'!$H:$H,$U13)))</f>
        <v>tbd</v>
      </c>
      <c r="F13" s="24" t="str">
        <f>IF($U13="","",IF(INDEX('MiT Strom Pipeline'!$E:$E,$U13)="","",INDEX('MiT Strom Pipeline'!$E:$E,$U13)))</f>
        <v>600 kVA Generator</v>
      </c>
      <c r="G13" s="25">
        <f>IF($U13="","",IF(ISNUMBER(INDEX('MiT Strom Pipeline'!$I:$I,$U13)),INDEX('MiT Strom Pipeline'!$I:$I,$U13),0))</f>
        <v>10000</v>
      </c>
      <c r="H13" s="25">
        <f>IF($U13="","",IF(ISNUMBER(INDEX('MiT Strom Pipeline'!$Q:$Q,$U13)),INDEX('MiT Strom Pipeline'!$Q:$Q,$U13),0))</f>
        <v>10000</v>
      </c>
      <c r="I13" s="24" t="str">
        <f>IF($U13="","",INDEX('MiT Strom Pipeline'!$R:$R,$U13))</f>
        <v>WON</v>
      </c>
      <c r="J13" s="26">
        <f>IF($U13="","",IF(ISNUMBER(INDEX('MiT Strom Pipeline'!$S:$S,$U13)),INDEX('MiT Strom Pipeline'!$S:$S,$U13),""))</f>
        <v>1</v>
      </c>
      <c r="K13" s="24" t="str">
        <f>IF($U13="","",IF(LEN(INDEX('MiT Strom Pipeline'!$V:$V,$U13))&gt;0,LEFT(INDEX('MiT Strom Pipeline'!$V:$V,$U13),55),""))</f>
        <v>Abgeschlossen</v>
      </c>
      <c r="L13" s="19"/>
      <c r="M13" s="19"/>
      <c r="N13" s="20"/>
      <c r="O13" s="19"/>
      <c r="P13" s="19"/>
      <c r="Q13" s="19"/>
      <c r="R13" s="19"/>
      <c r="S13" s="19"/>
      <c r="U13">
        <f>IFERROR(MATCH(3,'MiT Strom Pipeline'!$AB$6:$AB$860,0)+5,"")</f>
        <v>12</v>
      </c>
    </row>
    <row r="14" spans="1:21" ht="15.75" customHeight="1">
      <c r="A14" s="23">
        <f>IF($U14="","",IF(ISNUMBER(INDEX('MiT Strom Pipeline'!$A:$A,$U14)),INDEX('MiT Strom Pipeline'!$A:$A,$U14),""))</f>
        <v>4</v>
      </c>
      <c r="B14" s="24" t="str">
        <f>IF($U14="","",IF(INDEX('MiT Strom Pipeline'!$B:$B,$U14)="","",INDEX('MiT Strom Pipeline'!$B:$B,$U14)))</f>
        <v>Stagelight – OpenAir Frauenfeld</v>
      </c>
      <c r="C14" s="24" t="str">
        <f>IF($U14="","",IF(INDEX('MiT Strom Pipeline'!$C:$C,$U14)="","",INDEX('MiT Strom Pipeline'!$C:$C,$U14)))</f>
        <v>TG</v>
      </c>
      <c r="D14" s="24" t="str">
        <f>IF($U14="","",IF(INDEX('MiT Strom Pipeline'!$D:$D,$U14)="","",INDEX('MiT Strom Pipeline'!$D:$D,$U14)))</f>
        <v>Events &amp; Kultur</v>
      </c>
      <c r="E14" s="24" t="str">
        <f>IF($U14="","",IF(INDEX('MiT Strom Pipeline'!$H:$H,$U14)="","",INDEX('MiT Strom Pipeline'!$H:$H,$U14)))</f>
        <v>Juli</v>
      </c>
      <c r="F14" s="24" t="str">
        <f>IF($U14="","",IF(INDEX('MiT Strom Pipeline'!$E:$E,$U14)="","",INDEX('MiT Strom Pipeline'!$E:$E,$U14)))</f>
        <v>~500 kVA Generator</v>
      </c>
      <c r="G14" s="25">
        <f>IF($U14="","",IF(ISNUMBER(INDEX('MiT Strom Pipeline'!$I:$I,$U14)),INDEX('MiT Strom Pipeline'!$I:$I,$U14),0))</f>
        <v>150000</v>
      </c>
      <c r="H14" s="25">
        <f>IF($U14="","",IF(ISNUMBER(INDEX('MiT Strom Pipeline'!$Q:$Q,$U14)),INDEX('MiT Strom Pipeline'!$Q:$Q,$U14),0))</f>
        <v>0</v>
      </c>
      <c r="I14" s="24" t="str">
        <f>IF($U14="","",INDEX('MiT Strom Pipeline'!$R:$R,$U14))</f>
        <v>WON</v>
      </c>
      <c r="J14" s="26">
        <f>IF($U14="","",IF(ISNUMBER(INDEX('MiT Strom Pipeline'!$S:$S,$U14)),INDEX('MiT Strom Pipeline'!$S:$S,$U14),""))</f>
        <v>1</v>
      </c>
      <c r="K14" s="24" t="str">
        <f>IF($U14="","",IF(LEN(INDEX('MiT Strom Pipeline'!$V:$V,$U14))&gt;0,LEFT(INDEX('MiT Strom Pipeline'!$V:$V,$U14),55),""))</f>
        <v>Abgeschlossen</v>
      </c>
      <c r="L14" s="19"/>
      <c r="M14" s="19"/>
      <c r="N14" s="20"/>
      <c r="O14" s="19"/>
      <c r="P14" s="19"/>
      <c r="Q14" s="19"/>
      <c r="R14" s="19"/>
      <c r="S14" s="19"/>
      <c r="U14">
        <f>IFERROR(MATCH(4,'MiT Strom Pipeline'!$AB$6:$AB$860,0)+5,"")</f>
        <v>13</v>
      </c>
    </row>
    <row r="15" spans="1:21" ht="15.75" customHeight="1">
      <c r="A15" s="23">
        <f>IF($U15="","",IF(ISNUMBER(INDEX('MiT Strom Pipeline'!$A:$A,$U15)),INDEX('MiT Strom Pipeline'!$A:$A,$U15),""))</f>
        <v>10</v>
      </c>
      <c r="B15" s="24" t="str">
        <f>IF($U15="","",IF(INDEX('MiT Strom Pipeline'!$B:$B,$U15)="","",INDEX('MiT Strom Pipeline'!$B:$B,$U15)))</f>
        <v>Murg Flums Energie</v>
      </c>
      <c r="C15" s="24" t="str">
        <f>IF($U15="","",IF(INDEX('MiT Strom Pipeline'!$C:$C,$U15)="","",INDEX('MiT Strom Pipeline'!$C:$C,$U15)))</f>
        <v>SG</v>
      </c>
      <c r="D15" s="24" t="str">
        <f>IF($U15="","",IF(INDEX('MiT Strom Pipeline'!$D:$D,$U15)="","",INDEX('MiT Strom Pipeline'!$D:$D,$U15)))</f>
        <v>EVU / Energie</v>
      </c>
      <c r="E15" s="24" t="str">
        <f>IF($U15="","",IF(INDEX('MiT Strom Pipeline'!$H:$H,$U15)="","",INDEX('MiT Strom Pipeline'!$H:$H,$U15)))</f>
        <v>Auf Abruf</v>
      </c>
      <c r="F15" s="24" t="str">
        <f>IF($U15="","",IF(INDEX('MiT Strom Pipeline'!$E:$E,$U15)="","",INDEX('MiT Strom Pipeline'!$E:$E,$U15)))</f>
        <v>250 kVA Generator</v>
      </c>
      <c r="G15" s="25">
        <f>IF($U15="","",IF(ISNUMBER(INDEX('MiT Strom Pipeline'!$I:$I,$U15)),INDEX('MiT Strom Pipeline'!$I:$I,$U15),0))</f>
        <v>96658.69</v>
      </c>
      <c r="H15" s="25">
        <f>IF($U15="","",IF(ISNUMBER(INDEX('MiT Strom Pipeline'!$Q:$Q,$U15)),INDEX('MiT Strom Pipeline'!$Q:$Q,$U15),0))</f>
        <v>96658.69</v>
      </c>
      <c r="I15" s="24" t="str">
        <f>IF($U15="","",INDEX('MiT Strom Pipeline'!$R:$R,$U15))</f>
        <v>WON</v>
      </c>
      <c r="J15" s="26">
        <f>IF($U15="","",IF(ISNUMBER(INDEX('MiT Strom Pipeline'!$S:$S,$U15)),INDEX('MiT Strom Pipeline'!$S:$S,$U15),""))</f>
        <v>1</v>
      </c>
      <c r="K15" s="24" t="str">
        <f>IF($U15="","",IF(LEN(INDEX('MiT Strom Pipeline'!$V:$V,$U15))&gt;0,LEFT(INDEX('MiT Strom Pipeline'!$V:$V,$U15),55),""))</f>
        <v>Abrufbereitschaft</v>
      </c>
      <c r="L15" s="19"/>
      <c r="M15" s="19"/>
      <c r="N15" s="20"/>
      <c r="O15" s="19"/>
      <c r="P15" s="19"/>
      <c r="Q15" s="19"/>
      <c r="R15" s="19"/>
      <c r="S15" s="19"/>
      <c r="U15">
        <f>IFERROR(MATCH(5,'MiT Strom Pipeline'!$AB$6:$AB$860,0)+5,"")</f>
        <v>14</v>
      </c>
    </row>
    <row r="16" spans="1:21" ht="15.75" customHeight="1">
      <c r="A16" s="23">
        <f>IF($U16="","",IF(ISNUMBER(INDEX('MiT Strom Pipeline'!$A:$A,$U16)),INDEX('MiT Strom Pipeline'!$A:$A,$U16),""))</f>
        <v>21</v>
      </c>
      <c r="B16" s="24" t="str">
        <f>IF($U16="","",IF(INDEX('MiT Strom Pipeline'!$B:$B,$U16)="","",INDEX('MiT Strom Pipeline'!$B:$B,$U16)))</f>
        <v>X-Event</v>
      </c>
      <c r="C16" s="24" t="str">
        <f>IF($U16="","",IF(INDEX('MiT Strom Pipeline'!$C:$C,$U16)="","",INDEX('MiT Strom Pipeline'!$C:$C,$U16)))</f>
        <v>SH</v>
      </c>
      <c r="D16" s="24" t="str">
        <f>IF($U16="","",IF(INDEX('MiT Strom Pipeline'!$D:$D,$U16)="","",INDEX('MiT Strom Pipeline'!$D:$D,$U16)))</f>
        <v>Events / Medien</v>
      </c>
      <c r="E16" s="24" t="str">
        <f>IF($U16="","",IF(INDEX('MiT Strom Pipeline'!$H:$H,$U16)="","",INDEX('MiT Strom Pipeline'!$H:$H,$U16)))</f>
        <v>Juni</v>
      </c>
      <c r="F16" s="24" t="str">
        <f>IF($U16="","",IF(INDEX('MiT Strom Pipeline'!$E:$E,$U16)="","",INDEX('MiT Strom Pipeline'!$E:$E,$U16)))</f>
        <v>100 kVA Generator</v>
      </c>
      <c r="G16" s="25">
        <f>IF($U16="","",IF(ISNUMBER(INDEX('MiT Strom Pipeline'!$I:$I,$U16)),INDEX('MiT Strom Pipeline'!$I:$I,$U16),0))</f>
        <v>0</v>
      </c>
      <c r="H16" s="25">
        <f>IF($U16="","",IF(ISNUMBER(INDEX('MiT Strom Pipeline'!$Q:$Q,$U16)),INDEX('MiT Strom Pipeline'!$Q:$Q,$U16),0))</f>
        <v>0</v>
      </c>
      <c r="I16" s="24" t="str">
        <f>IF($U16="","",INDEX('MiT Strom Pipeline'!$R:$R,$U16))</f>
        <v>WON</v>
      </c>
      <c r="J16" s="26">
        <f>IF($U16="","",IF(ISNUMBER(INDEX('MiT Strom Pipeline'!$S:$S,$U16)),INDEX('MiT Strom Pipeline'!$S:$S,$U16),""))</f>
        <v>1</v>
      </c>
      <c r="K16" s="24" t="str">
        <f>IF($U16="","",IF(LEN(INDEX('MiT Strom Pipeline'!$V:$V,$U16))&gt;0,LEFT(INDEX('MiT Strom Pipeline'!$V:$V,$U16),55),""))</f>
        <v>Abgeschlossen</v>
      </c>
      <c r="L16" s="19"/>
      <c r="M16" s="19"/>
      <c r="N16" s="19"/>
      <c r="O16" s="19"/>
      <c r="P16" s="19"/>
      <c r="Q16" s="19"/>
      <c r="R16" s="19"/>
      <c r="S16" s="19"/>
      <c r="U16">
        <f>IFERROR(MATCH(6,'MiT Strom Pipeline'!$AB$6:$AB$860,0)+5,"")</f>
        <v>15</v>
      </c>
    </row>
    <row r="17" spans="1:21" ht="15.75" customHeight="1">
      <c r="A17" s="23">
        <f>IF($U17="","",IF(ISNUMBER(INDEX('MiT Strom Pipeline'!$A:$A,$U17)),INDEX('MiT Strom Pipeline'!$A:$A,$U17),""))</f>
        <v>29</v>
      </c>
      <c r="B17" s="24" t="str">
        <f>IF($U17="","",IF(INDEX('MiT Strom Pipeline'!$B:$B,$U17)="","",INDEX('MiT Strom Pipeline'!$B:$B,$U17)))</f>
        <v>Gampeln</v>
      </c>
      <c r="C17" s="24" t="str">
        <f>IF($U17="","",IF(INDEX('MiT Strom Pipeline'!$C:$C,$U17)="","",INDEX('MiT Strom Pipeline'!$C:$C,$U17)))</f>
        <v>VS</v>
      </c>
      <c r="D17" s="24" t="str">
        <f>IF($U17="","",IF(INDEX('MiT Strom Pipeline'!$D:$D,$U17)="","",INDEX('MiT Strom Pipeline'!$D:$D,$U17)))</f>
        <v>Event</v>
      </c>
      <c r="E17" s="24" t="str">
        <f>IF($U17="","",IF(INDEX('MiT Strom Pipeline'!$H:$H,$U17)="","",INDEX('MiT Strom Pipeline'!$H:$H,$U17)))</f>
        <v>Aug</v>
      </c>
      <c r="F17" s="24" t="str">
        <f>IF($U17="","",IF(INDEX('MiT Strom Pipeline'!$E:$E,$U17)="","",INDEX('MiT Strom Pipeline'!$E:$E,$U17)))</f>
        <v>6x300 kVA, 9x200 kVA Generator ,1x150 kWH BESS</v>
      </c>
      <c r="G17" s="25">
        <f>IF($U17="","",IF(ISNUMBER(INDEX('MiT Strom Pipeline'!$I:$I,$U17)),INDEX('MiT Strom Pipeline'!$I:$I,$U17),0))</f>
        <v>80621.210000000006</v>
      </c>
      <c r="H17" s="25">
        <f>IF($U17="","",IF(ISNUMBER(INDEX('MiT Strom Pipeline'!$Q:$Q,$U17)),INDEX('MiT Strom Pipeline'!$Q:$Q,$U17),0))</f>
        <v>80621.210000000006</v>
      </c>
      <c r="I17" s="24" t="str">
        <f>IF($U17="","",INDEX('MiT Strom Pipeline'!$R:$R,$U17))</f>
        <v>WON</v>
      </c>
      <c r="J17" s="26">
        <f>IF($U17="","",IF(ISNUMBER(INDEX('MiT Strom Pipeline'!$S:$S,$U17)),INDEX('MiT Strom Pipeline'!$S:$S,$U17),""))</f>
        <v>1</v>
      </c>
      <c r="K17" s="24" t="str">
        <f>IF($U17="","",IF(LEN(INDEX('MiT Strom Pipeline'!$V:$V,$U17))&gt;0,LEFT(INDEX('MiT Strom Pipeline'!$V:$V,$U17),55),""))</f>
        <v>Abgeschlossen</v>
      </c>
      <c r="L17" s="19"/>
      <c r="M17" s="19"/>
      <c r="N17" s="19"/>
      <c r="O17" s="19"/>
      <c r="P17" s="19"/>
      <c r="Q17" s="19"/>
      <c r="R17" s="19"/>
      <c r="S17" s="19"/>
      <c r="U17">
        <f>IFERROR(MATCH(7,'MiT Strom Pipeline'!$AB$6:$AB$860,0)+5,"")</f>
        <v>22</v>
      </c>
    </row>
    <row r="18" spans="1:21" ht="15.75" customHeight="1">
      <c r="A18" s="23">
        <f>IF($U18="","",IF(ISNUMBER(INDEX('MiT Strom Pipeline'!$A:$A,$U18)),INDEX('MiT Strom Pipeline'!$A:$A,$U18),""))</f>
        <v>50</v>
      </c>
      <c r="B18" s="24" t="str">
        <f>IF($U18="","",IF(INDEX('MiT Strom Pipeline'!$B:$B,$U18)="","",INDEX('MiT Strom Pipeline'!$B:$B,$U18)))</f>
        <v>EIDG AMT Agroscope</v>
      </c>
      <c r="C18" s="24" t="str">
        <f>IF($U18="","",IF(INDEX('MiT Strom Pipeline'!$C:$C,$U18)="","",INDEX('MiT Strom Pipeline'!$C:$C,$U18)))</f>
        <v>ZH</v>
      </c>
      <c r="D18" s="24" t="str">
        <f>IF($U18="","",IF(INDEX('MiT Strom Pipeline'!$D:$D,$U18)="","",INDEX('MiT Strom Pipeline'!$D:$D,$U18)))</f>
        <v>Forschung</v>
      </c>
      <c r="E18" s="24" t="str">
        <f>IF($U18="","",IF(INDEX('MiT Strom Pipeline'!$H:$H,$U18)="","",INDEX('MiT Strom Pipeline'!$H:$H,$U18)))</f>
        <v>Aug</v>
      </c>
      <c r="F18" s="24" t="str">
        <f>IF($U18="","",IF(INDEX('MiT Strom Pipeline'!$E:$E,$U18)="","",INDEX('MiT Strom Pipeline'!$E:$E,$U18)))</f>
        <v>450 kVA</v>
      </c>
      <c r="G18" s="25">
        <f>IF($U18="","",IF(ISNUMBER(INDEX('MiT Strom Pipeline'!$I:$I,$U18)),INDEX('MiT Strom Pipeline'!$I:$I,$U18),0))</f>
        <v>13533</v>
      </c>
      <c r="H18" s="25">
        <f>IF($U18="","",IF(ISNUMBER(INDEX('MiT Strom Pipeline'!$Q:$Q,$U18)),INDEX('MiT Strom Pipeline'!$Q:$Q,$U18),0))</f>
        <v>13533</v>
      </c>
      <c r="I18" s="24" t="str">
        <f>IF($U18="","",INDEX('MiT Strom Pipeline'!$R:$R,$U18))</f>
        <v>WON</v>
      </c>
      <c r="J18" s="26">
        <f>IF($U18="","",IF(ISNUMBER(INDEX('MiT Strom Pipeline'!$S:$S,$U18)),INDEX('MiT Strom Pipeline'!$S:$S,$U18),""))</f>
        <v>1</v>
      </c>
      <c r="K18" s="24" t="str">
        <f>IF($U18="","",IF(LEN(INDEX('MiT Strom Pipeline'!$V:$V,$U18))&gt;0,LEFT(INDEX('MiT Strom Pipeline'!$V:$V,$U18),55),""))</f>
        <v>Abgeschlossen</v>
      </c>
      <c r="L18" s="19"/>
      <c r="M18" s="19"/>
      <c r="N18" s="19"/>
      <c r="O18" s="19"/>
      <c r="P18" s="19"/>
      <c r="Q18" s="19"/>
      <c r="R18" s="19"/>
      <c r="S18" s="19"/>
      <c r="U18">
        <f>IFERROR(MATCH(8,'MiT Strom Pipeline'!$AB$6:$AB$860,0)+5,"")</f>
        <v>60</v>
      </c>
    </row>
    <row r="19" spans="1:21" ht="15.75" customHeight="1">
      <c r="A19" s="23">
        <f>IF($U19="","",IF(ISNUMBER(INDEX('MiT Strom Pipeline'!$A:$A,$U19)),INDEX('MiT Strom Pipeline'!$A:$A,$U19),""))</f>
        <v>51</v>
      </c>
      <c r="B19" s="24" t="str">
        <f>IF($U19="","",IF(INDEX('MiT Strom Pipeline'!$B:$B,$U19)="","",INDEX('MiT Strom Pipeline'!$B:$B,$U19)))</f>
        <v>(Megger) Power Diagnostix Service GmbH</v>
      </c>
      <c r="C19" s="24" t="str">
        <f>IF($U19="","",IF(INDEX('MiT Strom Pipeline'!$C:$C,$U19)="","",INDEX('MiT Strom Pipeline'!$C:$C,$U19)))</f>
        <v>TG</v>
      </c>
      <c r="D19" s="24" t="str">
        <f>IF($U19="","",IF(INDEX('MiT Strom Pipeline'!$D:$D,$U19)="","",INDEX('MiT Strom Pipeline'!$D:$D,$U19)))</f>
        <v>EVU</v>
      </c>
      <c r="E19" s="24" t="str">
        <f>IF($U19="","",IF(INDEX('MiT Strom Pipeline'!$H:$H,$U19)="","",INDEX('MiT Strom Pipeline'!$H:$H,$U19)))</f>
        <v>Juli</v>
      </c>
      <c r="F19" s="24" t="str">
        <f>IF($U19="","",IF(INDEX('MiT Strom Pipeline'!$E:$E,$U19)="","",INDEX('MiT Strom Pipeline'!$E:$E,$U19)))</f>
        <v>600 kVA</v>
      </c>
      <c r="G19" s="25">
        <f>IF($U19="","",IF(ISNUMBER(INDEX('MiT Strom Pipeline'!$I:$I,$U19)),INDEX('MiT Strom Pipeline'!$I:$I,$U19),0))</f>
        <v>5488.9</v>
      </c>
      <c r="H19" s="25">
        <f>IF($U19="","",IF(ISNUMBER(INDEX('MiT Strom Pipeline'!$Q:$Q,$U19)),INDEX('MiT Strom Pipeline'!$Q:$Q,$U19),0))</f>
        <v>5488.9</v>
      </c>
      <c r="I19" s="24" t="str">
        <f>IF($U19="","",INDEX('MiT Strom Pipeline'!$R:$R,$U19))</f>
        <v>WON</v>
      </c>
      <c r="J19" s="26">
        <f>IF($U19="","",IF(ISNUMBER(INDEX('MiT Strom Pipeline'!$S:$S,$U19)),INDEX('MiT Strom Pipeline'!$S:$S,$U19),""))</f>
        <v>1</v>
      </c>
      <c r="K19" s="24" t="str">
        <f>IF($U19="","",IF(LEN(INDEX('MiT Strom Pipeline'!$V:$V,$U19))&gt;0,LEFT(INDEX('MiT Strom Pipeline'!$V:$V,$U19),55),""))</f>
        <v>Abgeschlossen</v>
      </c>
      <c r="L19" s="19"/>
      <c r="M19" s="19"/>
      <c r="N19" s="19"/>
      <c r="O19" s="19"/>
      <c r="P19" s="19"/>
      <c r="Q19" s="19"/>
      <c r="R19" s="19"/>
      <c r="S19" s="19"/>
      <c r="U19">
        <f>IFERROR(MATCH(9,'MiT Strom Pipeline'!$AB$6:$AB$860,0)+5,"")</f>
        <v>61</v>
      </c>
    </row>
    <row r="20" spans="1:21" ht="15.75" customHeight="1">
      <c r="A20" s="23">
        <f>IF($U20="","",IF(ISNUMBER(INDEX('MiT Strom Pipeline'!$A:$A,$U20)),INDEX('MiT Strom Pipeline'!$A:$A,$U20),""))</f>
        <v>52</v>
      </c>
      <c r="B20" s="24" t="str">
        <f>IF($U20="","",IF(INDEX('MiT Strom Pipeline'!$B:$B,$U20)="","",INDEX('MiT Strom Pipeline'!$B:$B,$U20)))</f>
        <v>DPR Heat Loadbank</v>
      </c>
      <c r="C20" s="24" t="str">
        <f>IF($U20="","",IF(INDEX('MiT Strom Pipeline'!$C:$C,$U20)="","",INDEX('MiT Strom Pipeline'!$C:$C,$U20)))</f>
        <v>ZH</v>
      </c>
      <c r="D20" s="24" t="str">
        <f>IF($U20="","",IF(INDEX('MiT Strom Pipeline'!$D:$D,$U20)="","",INDEX('MiT Strom Pipeline'!$D:$D,$U20)))</f>
        <v>Datacenter</v>
      </c>
      <c r="E20" s="24" t="str">
        <f>IF($U20="","",IF(INDEX('MiT Strom Pipeline'!$H:$H,$U20)="","",INDEX('MiT Strom Pipeline'!$H:$H,$U20)))</f>
        <v>Aug</v>
      </c>
      <c r="F20" s="24" t="str">
        <f>IF($U20="","",IF(INDEX('MiT Strom Pipeline'!$E:$E,$U20)="","",INDEX('MiT Strom Pipeline'!$E:$E,$U20)))</f>
        <v>54x200 kVA Loadbank</v>
      </c>
      <c r="G20" s="25">
        <f>IF($U20="","",IF(ISNUMBER(INDEX('MiT Strom Pipeline'!$I:$I,$U20)),INDEX('MiT Strom Pipeline'!$I:$I,$U20),0))</f>
        <v>333790</v>
      </c>
      <c r="H20" s="25">
        <f>IF($U20="","",IF(ISNUMBER(INDEX('MiT Strom Pipeline'!$Q:$Q,$U20)),INDEX('MiT Strom Pipeline'!$Q:$Q,$U20),0))</f>
        <v>333790</v>
      </c>
      <c r="I20" s="24" t="str">
        <f>IF($U20="","",INDEX('MiT Strom Pipeline'!$R:$R,$U20))</f>
        <v>WON</v>
      </c>
      <c r="J20" s="26">
        <f>IF($U20="","",IF(ISNUMBER(INDEX('MiT Strom Pipeline'!$S:$S,$U20)),INDEX('MiT Strom Pipeline'!$S:$S,$U20),""))</f>
        <v>1</v>
      </c>
      <c r="K20" s="24" t="str">
        <f>IF($U20="","",IF(LEN(INDEX('MiT Strom Pipeline'!$V:$V,$U20))&gt;0,LEFT(INDEX('MiT Strom Pipeline'!$V:$V,$U20),55),""))</f>
        <v>Kunde angeschrieben auf MiT seite mit aktueller CHF Pre</v>
      </c>
      <c r="L20" s="19"/>
      <c r="M20" s="19"/>
      <c r="N20" s="19"/>
      <c r="O20" s="19"/>
      <c r="P20" s="19"/>
      <c r="Q20" s="19"/>
      <c r="R20" s="19"/>
      <c r="S20" s="19"/>
      <c r="U20">
        <f>IFERROR(MATCH(10,'MiT Strom Pipeline'!$AB$6:$AB$860,0)+5,"")</f>
        <v>62</v>
      </c>
    </row>
    <row r="21" spans="1:21" ht="15.75" customHeight="1">
      <c r="A21" s="23">
        <f>IF($U21="","",IF(ISNUMBER(INDEX('MiT Strom Pipeline'!$A:$A,$U21)),INDEX('MiT Strom Pipeline'!$A:$A,$U21),""))</f>
        <v>53</v>
      </c>
      <c r="B21" s="24" t="str">
        <f>IF($U21="","",IF(INDEX('MiT Strom Pipeline'!$B:$B,$U21)="","",INDEX('MiT Strom Pipeline'!$B:$B,$U21)))</f>
        <v>DPR Generator Loadbank Test</v>
      </c>
      <c r="C21" s="24" t="str">
        <f>IF($U21="","",IF(INDEX('MiT Strom Pipeline'!$C:$C,$U21)="","",INDEX('MiT Strom Pipeline'!$C:$C,$U21)))</f>
        <v>ZH</v>
      </c>
      <c r="D21" s="24" t="str">
        <f>IF($U21="","",IF(INDEX('MiT Strom Pipeline'!$D:$D,$U21)="","",INDEX('MiT Strom Pipeline'!$D:$D,$U21)))</f>
        <v>Datacenter</v>
      </c>
      <c r="E21" s="24" t="str">
        <f>IF($U21="","",IF(INDEX('MiT Strom Pipeline'!$H:$H,$U21)="","",INDEX('MiT Strom Pipeline'!$H:$H,$U21)))</f>
        <v>Aug</v>
      </c>
      <c r="F21" s="24" t="str">
        <f>IF($U21="","",IF(INDEX('MiT Strom Pipeline'!$E:$E,$U21)="","",INDEX('MiT Strom Pipeline'!$E:$E,$U21)))</f>
        <v>6000 kVA Loadbank</v>
      </c>
      <c r="G21" s="25">
        <f>IF($U21="","",IF(ISNUMBER(INDEX('MiT Strom Pipeline'!$I:$I,$U21)),INDEX('MiT Strom Pipeline'!$I:$I,$U21),0))</f>
        <v>331889.15000000002</v>
      </c>
      <c r="H21" s="25">
        <f>IF($U21="","",IF(ISNUMBER(INDEX('MiT Strom Pipeline'!$Q:$Q,$U21)),INDEX('MiT Strom Pipeline'!$Q:$Q,$U21),0))</f>
        <v>331889.15000000002</v>
      </c>
      <c r="I21" s="24" t="str">
        <f>IF($U21="","",INDEX('MiT Strom Pipeline'!$R:$R,$U21))</f>
        <v>WON</v>
      </c>
      <c r="J21" s="26">
        <f>IF($U21="","",IF(ISNUMBER(INDEX('MiT Strom Pipeline'!$S:$S,$U21)),INDEX('MiT Strom Pipeline'!$S:$S,$U21),""))</f>
        <v>1</v>
      </c>
      <c r="K21" s="24" t="str">
        <f>IF($U21="","",IF(LEN(INDEX('MiT Strom Pipeline'!$V:$V,$U21))&gt;0,LEFT(INDEX('MiT Strom Pipeline'!$V:$V,$U21),55),""))</f>
        <v>Kunde angeschrieben auf MiT seite mit aktueller CHF Pre</v>
      </c>
      <c r="L21" s="19"/>
      <c r="M21" s="19"/>
      <c r="N21" s="19"/>
      <c r="O21" s="19"/>
      <c r="P21" s="19"/>
      <c r="Q21" s="19"/>
      <c r="R21" s="19"/>
      <c r="S21" s="19"/>
      <c r="U21">
        <f>IFERROR(MATCH(11,'MiT Strom Pipeline'!$AB$6:$AB$860,0)+5,"")</f>
        <v>63</v>
      </c>
    </row>
    <row r="22" spans="1:21" ht="15.75" customHeight="1">
      <c r="A22" s="23">
        <f>IF($U22="","",IF(ISNUMBER(INDEX('MiT Strom Pipeline'!$A:$A,$U22)),INDEX('MiT Strom Pipeline'!$A:$A,$U22),""))</f>
        <v>61</v>
      </c>
      <c r="B22" s="24" t="str">
        <f>IF($U22="","",IF(INDEX('MiT Strom Pipeline'!$B:$B,$U22)="","",INDEX('MiT Strom Pipeline'!$B:$B,$U22)))</f>
        <v>GETEC Park.Swiss AG</v>
      </c>
      <c r="C22" s="24" t="str">
        <f>IF($U22="","",IF(INDEX('MiT Strom Pipeline'!$C:$C,$U22)="","",INDEX('MiT Strom Pipeline'!$C:$C,$U22)))</f>
        <v>BL</v>
      </c>
      <c r="D22" s="24" t="str">
        <f>IF($U22="","",IF(INDEX('MiT Strom Pipeline'!$D:$D,$U22)="","",INDEX('MiT Strom Pipeline'!$D:$D,$U22)))</f>
        <v>Industrie</v>
      </c>
      <c r="E22" s="24" t="str">
        <f>IF($U22="","",IF(INDEX('MiT Strom Pipeline'!$H:$H,$U22)="","",INDEX('MiT Strom Pipeline'!$H:$H,$U22)))</f>
        <v>August</v>
      </c>
      <c r="F22" s="24" t="str">
        <f>IF($U22="","",IF(INDEX('MiT Strom Pipeline'!$E:$E,$U22)="","",INDEX('MiT Strom Pipeline'!$E:$E,$U22)))</f>
        <v>600 kVA</v>
      </c>
      <c r="G22" s="25">
        <f>IF($U22="","",IF(ISNUMBER(INDEX('MiT Strom Pipeline'!$I:$I,$U22)),INDEX('MiT Strom Pipeline'!$I:$I,$U22),0))</f>
        <v>13472.18</v>
      </c>
      <c r="H22" s="25">
        <f>IF($U22="","",IF(ISNUMBER(INDEX('MiT Strom Pipeline'!$Q:$Q,$U22)),INDEX('MiT Strom Pipeline'!$Q:$Q,$U22),0))</f>
        <v>13472.18</v>
      </c>
      <c r="I22" s="24" t="str">
        <f>IF($U22="","",INDEX('MiT Strom Pipeline'!$R:$R,$U22))</f>
        <v>WON</v>
      </c>
      <c r="J22" s="26">
        <f>IF($U22="","",IF(ISNUMBER(INDEX('MiT Strom Pipeline'!$S:$S,$U22)),INDEX('MiT Strom Pipeline'!$S:$S,$U22),""))</f>
        <v>1</v>
      </c>
      <c r="K22" s="24" t="str">
        <f>IF($U22="","",IF(LEN(INDEX('MiT Strom Pipeline'!$V:$V,$U22))&gt;0,LEFT(INDEX('MiT Strom Pipeline'!$V:$V,$U22),55),""))</f>
        <v>Kunde angeschrieben, Offerte erstellt, Kunde hat Offert</v>
      </c>
      <c r="L22" s="19"/>
      <c r="M22" s="19"/>
      <c r="N22" s="19"/>
      <c r="O22" s="19"/>
      <c r="P22" s="19"/>
      <c r="Q22" s="19"/>
      <c r="R22" s="19"/>
      <c r="S22" s="19"/>
      <c r="U22">
        <f>IFERROR(MATCH(12,'MiT Strom Pipeline'!$AB$6:$AB$860,0)+5,"")</f>
        <v>71</v>
      </c>
    </row>
    <row r="23" spans="1:21" ht="15.75" customHeight="1">
      <c r="A23" s="23" t="str">
        <f>IF($U23="","",IF(ISNUMBER(INDEX('MiT Strom Pipeline'!$A:$A,$U23)),INDEX('MiT Strom Pipeline'!$A:$A,$U23),""))</f>
        <v/>
      </c>
      <c r="B23" s="24" t="str">
        <f>IF($U23="","",IF(INDEX('MiT Strom Pipeline'!$B:$B,$U23)="","",INDEX('MiT Strom Pipeline'!$B:$B,$U23)))</f>
        <v/>
      </c>
      <c r="C23" s="24" t="str">
        <f>IF($U23="","",IF(INDEX('MiT Strom Pipeline'!$C:$C,$U23)="","",INDEX('MiT Strom Pipeline'!$C:$C,$U23)))</f>
        <v/>
      </c>
      <c r="D23" s="24" t="str">
        <f>IF($U23="","",IF(INDEX('MiT Strom Pipeline'!$D:$D,$U23)="","",INDEX('MiT Strom Pipeline'!$D:$D,$U23)))</f>
        <v/>
      </c>
      <c r="E23" s="24" t="str">
        <f>IF($U23="","",IF(INDEX('MiT Strom Pipeline'!$H:$H,$U23)="","",INDEX('MiT Strom Pipeline'!$H:$H,$U23)))</f>
        <v/>
      </c>
      <c r="F23" s="24" t="str">
        <f>IF($U23="","",IF(INDEX('MiT Strom Pipeline'!$E:$E,$U23)="","",INDEX('MiT Strom Pipeline'!$E:$E,$U23)))</f>
        <v/>
      </c>
      <c r="G23" s="25" t="str">
        <f>IF($U23="","",IF(ISNUMBER(INDEX('MiT Strom Pipeline'!$I:$I,$U23)),INDEX('MiT Strom Pipeline'!$I:$I,$U23),0))</f>
        <v/>
      </c>
      <c r="H23" s="25" t="str">
        <f>IF($U23="","",IF(ISNUMBER(INDEX('MiT Strom Pipeline'!$Q:$Q,$U23)),INDEX('MiT Strom Pipeline'!$Q:$Q,$U23),0))</f>
        <v/>
      </c>
      <c r="I23" s="24" t="str">
        <f>IF($U23="","",INDEX('MiT Strom Pipeline'!$R:$R,$U23))</f>
        <v/>
      </c>
      <c r="J23" s="26" t="str">
        <f>IF($U23="","",IF(ISNUMBER(INDEX('MiT Strom Pipeline'!$S:$S,$U23)),INDEX('MiT Strom Pipeline'!$S:$S,$U23),""))</f>
        <v/>
      </c>
      <c r="K23" s="24" t="str">
        <f>IF($U23="","",IF(LEN(INDEX('MiT Strom Pipeline'!$V:$V,$U23))&gt;0,LEFT(INDEX('MiT Strom Pipeline'!$V:$V,$U23),55),""))</f>
        <v/>
      </c>
      <c r="L23" s="19"/>
      <c r="M23" s="19"/>
      <c r="N23" s="19"/>
      <c r="O23" s="19"/>
      <c r="P23" s="19"/>
      <c r="Q23" s="19"/>
      <c r="R23" s="19"/>
      <c r="S23" s="19"/>
      <c r="U23" t="str">
        <f>IFERROR(MATCH(13,'MiT Strom Pipeline'!$AB$6:$AB$860,0)+5,"")</f>
        <v/>
      </c>
    </row>
    <row r="24" spans="1:21" ht="15.75" customHeight="1">
      <c r="A24" s="23" t="str">
        <f>IF($U24="","",IF(ISNUMBER(INDEX('MiT Strom Pipeline'!$A:$A,$U24)),INDEX('MiT Strom Pipeline'!$A:$A,$U24),""))</f>
        <v/>
      </c>
      <c r="B24" s="24" t="str">
        <f>IF($U24="","",IF(INDEX('MiT Strom Pipeline'!$B:$B,$U24)="","",INDEX('MiT Strom Pipeline'!$B:$B,$U24)))</f>
        <v/>
      </c>
      <c r="C24" s="24" t="str">
        <f>IF($U24="","",IF(INDEX('MiT Strom Pipeline'!$C:$C,$U24)="","",INDEX('MiT Strom Pipeline'!$C:$C,$U24)))</f>
        <v/>
      </c>
      <c r="D24" s="24" t="str">
        <f>IF($U24="","",IF(INDEX('MiT Strom Pipeline'!$D:$D,$U24)="","",INDEX('MiT Strom Pipeline'!$D:$D,$U24)))</f>
        <v/>
      </c>
      <c r="E24" s="24" t="str">
        <f>IF($U24="","",IF(INDEX('MiT Strom Pipeline'!$H:$H,$U24)="","",INDEX('MiT Strom Pipeline'!$H:$H,$U24)))</f>
        <v/>
      </c>
      <c r="F24" s="24" t="str">
        <f>IF($U24="","",IF(INDEX('MiT Strom Pipeline'!$E:$E,$U24)="","",INDEX('MiT Strom Pipeline'!$E:$E,$U24)))</f>
        <v/>
      </c>
      <c r="G24" s="25" t="str">
        <f>IF($U24="","",IF(ISNUMBER(INDEX('MiT Strom Pipeline'!$I:$I,$U24)),INDEX('MiT Strom Pipeline'!$I:$I,$U24),0))</f>
        <v/>
      </c>
      <c r="H24" s="25" t="str">
        <f>IF($U24="","",IF(ISNUMBER(INDEX('MiT Strom Pipeline'!$Q:$Q,$U24)),INDEX('MiT Strom Pipeline'!$Q:$Q,$U24),0))</f>
        <v/>
      </c>
      <c r="I24" s="24" t="str">
        <f>IF($U24="","",INDEX('MiT Strom Pipeline'!$R:$R,$U24))</f>
        <v/>
      </c>
      <c r="J24" s="26" t="str">
        <f>IF($U24="","",IF(ISNUMBER(INDEX('MiT Strom Pipeline'!$S:$S,$U24)),INDEX('MiT Strom Pipeline'!$S:$S,$U24),""))</f>
        <v/>
      </c>
      <c r="K24" s="24" t="str">
        <f>IF($U24="","",IF(LEN(INDEX('MiT Strom Pipeline'!$V:$V,$U24))&gt;0,LEFT(INDEX('MiT Strom Pipeline'!$V:$V,$U24),55),""))</f>
        <v/>
      </c>
      <c r="L24" s="19"/>
      <c r="M24" s="19"/>
      <c r="N24" s="19"/>
      <c r="O24" s="19"/>
      <c r="P24" s="19"/>
      <c r="Q24" s="19"/>
      <c r="R24" s="19"/>
      <c r="S24" s="19"/>
      <c r="U24" t="str">
        <f>IFERROR(MATCH(14,'MiT Strom Pipeline'!$AB$6:$AB$860,0)+5,"")</f>
        <v/>
      </c>
    </row>
    <row r="25" spans="1:21" ht="15.75" customHeight="1">
      <c r="A25" s="23" t="str">
        <f>IF($U25="","",IF(ISNUMBER(INDEX('MiT Strom Pipeline'!$A:$A,$U25)),INDEX('MiT Strom Pipeline'!$A:$A,$U25),""))</f>
        <v/>
      </c>
      <c r="B25" s="24" t="str">
        <f>IF($U25="","",IF(INDEX('MiT Strom Pipeline'!$B:$B,$U25)="","",INDEX('MiT Strom Pipeline'!$B:$B,$U25)))</f>
        <v/>
      </c>
      <c r="C25" s="24" t="str">
        <f>IF($U25="","",IF(INDEX('MiT Strom Pipeline'!$C:$C,$U25)="","",INDEX('MiT Strom Pipeline'!$C:$C,$U25)))</f>
        <v/>
      </c>
      <c r="D25" s="24" t="str">
        <f>IF($U25="","",IF(INDEX('MiT Strom Pipeline'!$D:$D,$U25)="","",INDEX('MiT Strom Pipeline'!$D:$D,$U25)))</f>
        <v/>
      </c>
      <c r="E25" s="24" t="str">
        <f>IF($U25="","",IF(INDEX('MiT Strom Pipeline'!$H:$H,$U25)="","",INDEX('MiT Strom Pipeline'!$H:$H,$U25)))</f>
        <v/>
      </c>
      <c r="F25" s="24" t="str">
        <f>IF($U25="","",IF(INDEX('MiT Strom Pipeline'!$E:$E,$U25)="","",INDEX('MiT Strom Pipeline'!$E:$E,$U25)))</f>
        <v/>
      </c>
      <c r="G25" s="25" t="str">
        <f>IF($U25="","",IF(ISNUMBER(INDEX('MiT Strom Pipeline'!$I:$I,$U25)),INDEX('MiT Strom Pipeline'!$I:$I,$U25),0))</f>
        <v/>
      </c>
      <c r="H25" s="25" t="str">
        <f>IF($U25="","",IF(ISNUMBER(INDEX('MiT Strom Pipeline'!$Q:$Q,$U25)),INDEX('MiT Strom Pipeline'!$Q:$Q,$U25),0))</f>
        <v/>
      </c>
      <c r="I25" s="24" t="str">
        <f>IF($U25="","",INDEX('MiT Strom Pipeline'!$R:$R,$U25))</f>
        <v/>
      </c>
      <c r="J25" s="26" t="str">
        <f>IF($U25="","",IF(ISNUMBER(INDEX('MiT Strom Pipeline'!$S:$S,$U25)),INDEX('MiT Strom Pipeline'!$S:$S,$U25),""))</f>
        <v/>
      </c>
      <c r="K25" s="24" t="str">
        <f>IF($U25="","",IF(LEN(INDEX('MiT Strom Pipeline'!$V:$V,$U25))&gt;0,LEFT(INDEX('MiT Strom Pipeline'!$V:$V,$U25),55),""))</f>
        <v/>
      </c>
      <c r="L25" s="19"/>
      <c r="M25" s="19"/>
      <c r="N25" s="19"/>
      <c r="O25" s="19"/>
      <c r="P25" s="19"/>
      <c r="Q25" s="19"/>
      <c r="R25" s="19"/>
      <c r="S25" s="19"/>
      <c r="U25" t="str">
        <f>IFERROR(MATCH(15,'MiT Strom Pipeline'!$AB$6:$AB$860,0)+5,"")</f>
        <v/>
      </c>
    </row>
    <row r="26" spans="1:21" ht="15.75" customHeight="1">
      <c r="A26" s="23" t="str">
        <f>IF($U26="","",IF(ISNUMBER(INDEX('MiT Strom Pipeline'!$A:$A,$U26)),INDEX('MiT Strom Pipeline'!$A:$A,$U26),""))</f>
        <v/>
      </c>
      <c r="B26" s="24" t="str">
        <f>IF($U26="","",IF(INDEX('MiT Strom Pipeline'!$B:$B,$U26)="","",INDEX('MiT Strom Pipeline'!$B:$B,$U26)))</f>
        <v/>
      </c>
      <c r="C26" s="24" t="str">
        <f>IF($U26="","",IF(INDEX('MiT Strom Pipeline'!$C:$C,$U26)="","",INDEX('MiT Strom Pipeline'!$C:$C,$U26)))</f>
        <v/>
      </c>
      <c r="D26" s="24" t="str">
        <f>IF($U26="","",IF(INDEX('MiT Strom Pipeline'!$D:$D,$U26)="","",INDEX('MiT Strom Pipeline'!$D:$D,$U26)))</f>
        <v/>
      </c>
      <c r="E26" s="24" t="str">
        <f>IF($U26="","",IF(INDEX('MiT Strom Pipeline'!$H:$H,$U26)="","",INDEX('MiT Strom Pipeline'!$H:$H,$U26)))</f>
        <v/>
      </c>
      <c r="F26" s="24" t="str">
        <f>IF($U26="","",IF(INDEX('MiT Strom Pipeline'!$E:$E,$U26)="","",INDEX('MiT Strom Pipeline'!$E:$E,$U26)))</f>
        <v/>
      </c>
      <c r="G26" s="25" t="str">
        <f>IF($U26="","",IF(ISNUMBER(INDEX('MiT Strom Pipeline'!$I:$I,$U26)),INDEX('MiT Strom Pipeline'!$I:$I,$U26),0))</f>
        <v/>
      </c>
      <c r="H26" s="25" t="str">
        <f>IF($U26="","",IF(ISNUMBER(INDEX('MiT Strom Pipeline'!$Q:$Q,$U26)),INDEX('MiT Strom Pipeline'!$Q:$Q,$U26),0))</f>
        <v/>
      </c>
      <c r="I26" s="24" t="str">
        <f>IF($U26="","",INDEX('MiT Strom Pipeline'!$R:$R,$U26))</f>
        <v/>
      </c>
      <c r="J26" s="26" t="str">
        <f>IF($U26="","",IF(ISNUMBER(INDEX('MiT Strom Pipeline'!$S:$S,$U26)),INDEX('MiT Strom Pipeline'!$S:$S,$U26),""))</f>
        <v/>
      </c>
      <c r="K26" s="24" t="str">
        <f>IF($U26="","",IF(LEN(INDEX('MiT Strom Pipeline'!$V:$V,$U26))&gt;0,LEFT(INDEX('MiT Strom Pipeline'!$V:$V,$U26),55),""))</f>
        <v/>
      </c>
      <c r="L26" s="19"/>
      <c r="M26" s="19"/>
      <c r="N26" s="19"/>
      <c r="O26" s="19"/>
      <c r="P26" s="19"/>
      <c r="Q26" s="19"/>
      <c r="R26" s="19"/>
      <c r="S26" s="19"/>
      <c r="U26" t="str">
        <f>IFERROR(MATCH(16,'MiT Strom Pipeline'!$AB$6:$AB$860,0)+5,"")</f>
        <v/>
      </c>
    </row>
    <row r="27" spans="1:21" ht="15.75" customHeight="1">
      <c r="A27" s="23" t="str">
        <f>IF($U27="","",IF(ISNUMBER(INDEX('MiT Strom Pipeline'!$A:$A,$U27)),INDEX('MiT Strom Pipeline'!$A:$A,$U27),""))</f>
        <v/>
      </c>
      <c r="B27" s="24" t="str">
        <f>IF($U27="","",IF(INDEX('MiT Strom Pipeline'!$B:$B,$U27)="","",INDEX('MiT Strom Pipeline'!$B:$B,$U27)))</f>
        <v/>
      </c>
      <c r="C27" s="24" t="str">
        <f>IF($U27="","",IF(INDEX('MiT Strom Pipeline'!$C:$C,$U27)="","",INDEX('MiT Strom Pipeline'!$C:$C,$U27)))</f>
        <v/>
      </c>
      <c r="D27" s="24" t="str">
        <f>IF($U27="","",IF(INDEX('MiT Strom Pipeline'!$D:$D,$U27)="","",INDEX('MiT Strom Pipeline'!$D:$D,$U27)))</f>
        <v/>
      </c>
      <c r="E27" s="24" t="str">
        <f>IF($U27="","",IF(INDEX('MiT Strom Pipeline'!$H:$H,$U27)="","",INDEX('MiT Strom Pipeline'!$H:$H,$U27)))</f>
        <v/>
      </c>
      <c r="F27" s="24" t="str">
        <f>IF($U27="","",IF(INDEX('MiT Strom Pipeline'!$E:$E,$U27)="","",INDEX('MiT Strom Pipeline'!$E:$E,$U27)))</f>
        <v/>
      </c>
      <c r="G27" s="25" t="str">
        <f>IF($U27="","",IF(ISNUMBER(INDEX('MiT Strom Pipeline'!$I:$I,$U27)),INDEX('MiT Strom Pipeline'!$I:$I,$U27),0))</f>
        <v/>
      </c>
      <c r="H27" s="25" t="str">
        <f>IF($U27="","",IF(ISNUMBER(INDEX('MiT Strom Pipeline'!$Q:$Q,$U27)),INDEX('MiT Strom Pipeline'!$Q:$Q,$U27),0))</f>
        <v/>
      </c>
      <c r="I27" s="24" t="str">
        <f>IF($U27="","",INDEX('MiT Strom Pipeline'!$R:$R,$U27))</f>
        <v/>
      </c>
      <c r="J27" s="26" t="str">
        <f>IF($U27="","",IF(ISNUMBER(INDEX('MiT Strom Pipeline'!$S:$S,$U27)),INDEX('MiT Strom Pipeline'!$S:$S,$U27),""))</f>
        <v/>
      </c>
      <c r="K27" s="24" t="str">
        <f>IF($U27="","",IF(LEN(INDEX('MiT Strom Pipeline'!$V:$V,$U27))&gt;0,LEFT(INDEX('MiT Strom Pipeline'!$V:$V,$U27),55),""))</f>
        <v/>
      </c>
      <c r="L27" s="19"/>
      <c r="M27" s="19"/>
      <c r="N27" s="19"/>
      <c r="O27" s="19"/>
      <c r="P27" s="19"/>
      <c r="Q27" s="19"/>
      <c r="R27" s="19"/>
      <c r="S27" s="19"/>
      <c r="U27" t="str">
        <f>IFERROR(MATCH(17,'MiT Strom Pipeline'!$AB$6:$AB$860,0)+5,"")</f>
        <v/>
      </c>
    </row>
    <row r="28" spans="1:21" ht="15.75" customHeight="1">
      <c r="A28" s="23" t="str">
        <f>IF($U28="","",IF(ISNUMBER(INDEX('MiT Strom Pipeline'!$A:$A,$U28)),INDEX('MiT Strom Pipeline'!$A:$A,$U28),""))</f>
        <v/>
      </c>
      <c r="B28" s="24" t="str">
        <f>IF($U28="","",IF(INDEX('MiT Strom Pipeline'!$B:$B,$U28)="","",INDEX('MiT Strom Pipeline'!$B:$B,$U28)))</f>
        <v/>
      </c>
      <c r="C28" s="24" t="str">
        <f>IF($U28="","",IF(INDEX('MiT Strom Pipeline'!$C:$C,$U28)="","",INDEX('MiT Strom Pipeline'!$C:$C,$U28)))</f>
        <v/>
      </c>
      <c r="D28" s="24" t="str">
        <f>IF($U28="","",IF(INDEX('MiT Strom Pipeline'!$D:$D,$U28)="","",INDEX('MiT Strom Pipeline'!$D:$D,$U28)))</f>
        <v/>
      </c>
      <c r="E28" s="24" t="str">
        <f>IF($U28="","",IF(INDEX('MiT Strom Pipeline'!$H:$H,$U28)="","",INDEX('MiT Strom Pipeline'!$H:$H,$U28)))</f>
        <v/>
      </c>
      <c r="F28" s="24" t="str">
        <f>IF($U28="","",IF(INDEX('MiT Strom Pipeline'!$E:$E,$U28)="","",INDEX('MiT Strom Pipeline'!$E:$E,$U28)))</f>
        <v/>
      </c>
      <c r="G28" s="25" t="str">
        <f>IF($U28="","",IF(ISNUMBER(INDEX('MiT Strom Pipeline'!$I:$I,$U28)),INDEX('MiT Strom Pipeline'!$I:$I,$U28),0))</f>
        <v/>
      </c>
      <c r="H28" s="25" t="str">
        <f>IF($U28="","",IF(ISNUMBER(INDEX('MiT Strom Pipeline'!$Q:$Q,$U28)),INDEX('MiT Strom Pipeline'!$Q:$Q,$U28),0))</f>
        <v/>
      </c>
      <c r="I28" s="24" t="str">
        <f>IF($U28="","",INDEX('MiT Strom Pipeline'!$R:$R,$U28))</f>
        <v/>
      </c>
      <c r="J28" s="26" t="str">
        <f>IF($U28="","",IF(ISNUMBER(INDEX('MiT Strom Pipeline'!$S:$S,$U28)),INDEX('MiT Strom Pipeline'!$S:$S,$U28),""))</f>
        <v/>
      </c>
      <c r="K28" s="24" t="str">
        <f>IF($U28="","",IF(LEN(INDEX('MiT Strom Pipeline'!$V:$V,$U28))&gt;0,LEFT(INDEX('MiT Strom Pipeline'!$V:$V,$U28),55),""))</f>
        <v/>
      </c>
      <c r="L28" s="19"/>
      <c r="M28" s="19"/>
      <c r="N28" s="19"/>
      <c r="O28" s="19"/>
      <c r="P28" s="19"/>
      <c r="Q28" s="19"/>
      <c r="R28" s="19"/>
      <c r="S28" s="19"/>
      <c r="U28" t="str">
        <f>IFERROR(MATCH(18,'MiT Strom Pipeline'!$AB$6:$AB$860,0)+5,"")</f>
        <v/>
      </c>
    </row>
    <row r="29" spans="1:21" ht="15.75" customHeight="1">
      <c r="A29" s="23" t="str">
        <f>IF($U29="","",IF(ISNUMBER(INDEX('MiT Strom Pipeline'!$A:$A,$U29)),INDEX('MiT Strom Pipeline'!$A:$A,$U29),""))</f>
        <v/>
      </c>
      <c r="B29" s="24" t="str">
        <f>IF($U29="","",IF(INDEX('MiT Strom Pipeline'!$B:$B,$U29)="","",INDEX('MiT Strom Pipeline'!$B:$B,$U29)))</f>
        <v/>
      </c>
      <c r="C29" s="24" t="str">
        <f>IF($U29="","",IF(INDEX('MiT Strom Pipeline'!$C:$C,$U29)="","",INDEX('MiT Strom Pipeline'!$C:$C,$U29)))</f>
        <v/>
      </c>
      <c r="D29" s="24" t="str">
        <f>IF($U29="","",IF(INDEX('MiT Strom Pipeline'!$D:$D,$U29)="","",INDEX('MiT Strom Pipeline'!$D:$D,$U29)))</f>
        <v/>
      </c>
      <c r="E29" s="24" t="str">
        <f>IF($U29="","",IF(INDEX('MiT Strom Pipeline'!$H:$H,$U29)="","",INDEX('MiT Strom Pipeline'!$H:$H,$U29)))</f>
        <v/>
      </c>
      <c r="F29" s="24" t="str">
        <f>IF($U29="","",IF(INDEX('MiT Strom Pipeline'!$E:$E,$U29)="","",INDEX('MiT Strom Pipeline'!$E:$E,$U29)))</f>
        <v/>
      </c>
      <c r="G29" s="25" t="str">
        <f>IF($U29="","",IF(ISNUMBER(INDEX('MiT Strom Pipeline'!$I:$I,$U29)),INDEX('MiT Strom Pipeline'!$I:$I,$U29),0))</f>
        <v/>
      </c>
      <c r="H29" s="25" t="str">
        <f>IF($U29="","",IF(ISNUMBER(INDEX('MiT Strom Pipeline'!$Q:$Q,$U29)),INDEX('MiT Strom Pipeline'!$Q:$Q,$U29),0))</f>
        <v/>
      </c>
      <c r="I29" s="24" t="str">
        <f>IF($U29="","",INDEX('MiT Strom Pipeline'!$R:$R,$U29))</f>
        <v/>
      </c>
      <c r="J29" s="26" t="str">
        <f>IF($U29="","",IF(ISNUMBER(INDEX('MiT Strom Pipeline'!$S:$S,$U29)),INDEX('MiT Strom Pipeline'!$S:$S,$U29),""))</f>
        <v/>
      </c>
      <c r="K29" s="24" t="str">
        <f>IF($U29="","",IF(LEN(INDEX('MiT Strom Pipeline'!$V:$V,$U29))&gt;0,LEFT(INDEX('MiT Strom Pipeline'!$V:$V,$U29),55),""))</f>
        <v/>
      </c>
      <c r="L29" s="19"/>
      <c r="M29" s="19"/>
      <c r="N29" s="19"/>
      <c r="O29" s="19"/>
      <c r="P29" s="19"/>
      <c r="Q29" s="19"/>
      <c r="R29" s="19"/>
      <c r="S29" s="19"/>
      <c r="U29" t="str">
        <f>IFERROR(MATCH(19,'MiT Strom Pipeline'!$AB$6:$AB$860,0)+5,"")</f>
        <v/>
      </c>
    </row>
    <row r="30" spans="1:21" ht="15.75" customHeight="1">
      <c r="A30" s="23" t="str">
        <f>IF($U30="","",IF(ISNUMBER(INDEX('MiT Strom Pipeline'!$A:$A,$U30)),INDEX('MiT Strom Pipeline'!$A:$A,$U30),""))</f>
        <v/>
      </c>
      <c r="B30" s="24" t="str">
        <f>IF($U30="","",IF(INDEX('MiT Strom Pipeline'!$B:$B,$U30)="","",INDEX('MiT Strom Pipeline'!$B:$B,$U30)))</f>
        <v/>
      </c>
      <c r="C30" s="24" t="str">
        <f>IF($U30="","",IF(INDEX('MiT Strom Pipeline'!$C:$C,$U30)="","",INDEX('MiT Strom Pipeline'!$C:$C,$U30)))</f>
        <v/>
      </c>
      <c r="D30" s="24" t="str">
        <f>IF($U30="","",IF(INDEX('MiT Strom Pipeline'!$D:$D,$U30)="","",INDEX('MiT Strom Pipeline'!$D:$D,$U30)))</f>
        <v/>
      </c>
      <c r="E30" s="24" t="str">
        <f>IF($U30="","",IF(INDEX('MiT Strom Pipeline'!$H:$H,$U30)="","",INDEX('MiT Strom Pipeline'!$H:$H,$U30)))</f>
        <v/>
      </c>
      <c r="F30" s="24" t="str">
        <f>IF($U30="","",IF(INDEX('MiT Strom Pipeline'!$E:$E,$U30)="","",INDEX('MiT Strom Pipeline'!$E:$E,$U30)))</f>
        <v/>
      </c>
      <c r="G30" s="25" t="str">
        <f>IF($U30="","",IF(ISNUMBER(INDEX('MiT Strom Pipeline'!$I:$I,$U30)),INDEX('MiT Strom Pipeline'!$I:$I,$U30),0))</f>
        <v/>
      </c>
      <c r="H30" s="25" t="str">
        <f>IF($U30="","",IF(ISNUMBER(INDEX('MiT Strom Pipeline'!$Q:$Q,$U30)),INDEX('MiT Strom Pipeline'!$Q:$Q,$U30),0))</f>
        <v/>
      </c>
      <c r="I30" s="24" t="str">
        <f>IF($U30="","",INDEX('MiT Strom Pipeline'!$R:$R,$U30))</f>
        <v/>
      </c>
      <c r="J30" s="26" t="str">
        <f>IF($U30="","",IF(ISNUMBER(INDEX('MiT Strom Pipeline'!$S:$S,$U30)),INDEX('MiT Strom Pipeline'!$S:$S,$U30),""))</f>
        <v/>
      </c>
      <c r="K30" s="24" t="str">
        <f>IF($U30="","",IF(LEN(INDEX('MiT Strom Pipeline'!$V:$V,$U30))&gt;0,LEFT(INDEX('MiT Strom Pipeline'!$V:$V,$U30),55),""))</f>
        <v/>
      </c>
      <c r="L30" s="19"/>
      <c r="M30" s="19"/>
      <c r="N30" s="19"/>
      <c r="O30" s="19"/>
      <c r="P30" s="19"/>
      <c r="Q30" s="19"/>
      <c r="R30" s="19"/>
      <c r="S30" s="19"/>
      <c r="U30" t="str">
        <f>IFERROR(MATCH(20,'MiT Strom Pipeline'!$AB$6:$AB$860,0)+5,"")</f>
        <v/>
      </c>
    </row>
    <row r="31" spans="1:21" ht="15.75" customHeight="1">
      <c r="A31" s="23" t="str">
        <f>IF($U31="","",IF(ISNUMBER(INDEX('MiT Strom Pipeline'!$A:$A,$U31)),INDEX('MiT Strom Pipeline'!$A:$A,$U31),""))</f>
        <v/>
      </c>
      <c r="B31" s="24" t="str">
        <f>IF($U31="","",IF(INDEX('MiT Strom Pipeline'!$B:$B,$U31)="","",INDEX('MiT Strom Pipeline'!$B:$B,$U31)))</f>
        <v/>
      </c>
      <c r="C31" s="24" t="str">
        <f>IF($U31="","",IF(INDEX('MiT Strom Pipeline'!$C:$C,$U31)="","",INDEX('MiT Strom Pipeline'!$C:$C,$U31)))</f>
        <v/>
      </c>
      <c r="D31" s="24" t="str">
        <f>IF($U31="","",IF(INDEX('MiT Strom Pipeline'!$D:$D,$U31)="","",INDEX('MiT Strom Pipeline'!$D:$D,$U31)))</f>
        <v/>
      </c>
      <c r="E31" s="24" t="str">
        <f>IF($U31="","",IF(INDEX('MiT Strom Pipeline'!$H:$H,$U31)="","",INDEX('MiT Strom Pipeline'!$H:$H,$U31)))</f>
        <v/>
      </c>
      <c r="F31" s="24" t="str">
        <f>IF($U31="","",IF(INDEX('MiT Strom Pipeline'!$E:$E,$U31)="","",INDEX('MiT Strom Pipeline'!$E:$E,$U31)))</f>
        <v/>
      </c>
      <c r="G31" s="25" t="str">
        <f>IF($U31="","",IF(ISNUMBER(INDEX('MiT Strom Pipeline'!$I:$I,$U31)),INDEX('MiT Strom Pipeline'!$I:$I,$U31),0))</f>
        <v/>
      </c>
      <c r="H31" s="25" t="str">
        <f>IF($U31="","",IF(ISNUMBER(INDEX('MiT Strom Pipeline'!$Q:$Q,$U31)),INDEX('MiT Strom Pipeline'!$Q:$Q,$U31),0))</f>
        <v/>
      </c>
      <c r="I31" s="24" t="str">
        <f>IF($U31="","",INDEX('MiT Strom Pipeline'!$R:$R,$U31))</f>
        <v/>
      </c>
      <c r="J31" s="26" t="str">
        <f>IF($U31="","",IF(ISNUMBER(INDEX('MiT Strom Pipeline'!$S:$S,$U31)),INDEX('MiT Strom Pipeline'!$S:$S,$U31),""))</f>
        <v/>
      </c>
      <c r="K31" s="24" t="str">
        <f>IF($U31="","",IF(LEN(INDEX('MiT Strom Pipeline'!$V:$V,$U31))&gt;0,LEFT(INDEX('MiT Strom Pipeline'!$V:$V,$U31),55),""))</f>
        <v/>
      </c>
      <c r="L31" s="19"/>
      <c r="M31" s="19"/>
      <c r="N31" s="19"/>
      <c r="O31" s="19"/>
      <c r="P31" s="19"/>
      <c r="Q31" s="19"/>
      <c r="R31" s="19"/>
      <c r="S31" s="19"/>
      <c r="U31" t="str">
        <f>IFERROR(MATCH(21,'MiT Strom Pipeline'!$AB$6:$AB$860,0)+5,"")</f>
        <v/>
      </c>
    </row>
    <row r="32" spans="1:21" ht="23.25" customHeight="1">
      <c r="A32" s="23" t="str">
        <f>IF($U32="","",IF(ISNUMBER(INDEX('MiT Strom Pipeline'!$A:$A,$U32)),INDEX('MiT Strom Pipeline'!$A:$A,$U32),""))</f>
        <v/>
      </c>
      <c r="B32" s="24" t="str">
        <f>IF($U32="","",IF(INDEX('MiT Strom Pipeline'!$B:$B,$U32)="","",INDEX('MiT Strom Pipeline'!$B:$B,$U32)))</f>
        <v/>
      </c>
      <c r="C32" s="24" t="str">
        <f>IF($U32="","",IF(INDEX('MiT Strom Pipeline'!$C:$C,$U32)="","",INDEX('MiT Strom Pipeline'!$C:$C,$U32)))</f>
        <v/>
      </c>
      <c r="D32" s="24" t="str">
        <f>IF($U32="","",IF(INDEX('MiT Strom Pipeline'!$D:$D,$U32)="","",INDEX('MiT Strom Pipeline'!$D:$D,$U32)))</f>
        <v/>
      </c>
      <c r="E32" s="27" t="str">
        <f>IF($U32="","",IF(INDEX('MiT Strom Pipeline'!$H:$H,$U32)="","",INDEX('MiT Strom Pipeline'!$H:$H,$U32)))</f>
        <v/>
      </c>
      <c r="F32" s="24" t="str">
        <f>IF($U32="","",IF(INDEX('MiT Strom Pipeline'!$E:$E,$U32)="","",INDEX('MiT Strom Pipeline'!$E:$E,$U32)))</f>
        <v/>
      </c>
      <c r="G32" s="25" t="str">
        <f>IF($U32="","",IF(ISNUMBER(INDEX('MiT Strom Pipeline'!$I:$I,$U32)),INDEX('MiT Strom Pipeline'!$I:$I,$U32),0))</f>
        <v/>
      </c>
      <c r="H32" s="25" t="str">
        <f>IF($U32="","",IF(ISNUMBER(INDEX('MiT Strom Pipeline'!$Q:$Q,$U32)),INDEX('MiT Strom Pipeline'!$Q:$Q,$U32),0))</f>
        <v/>
      </c>
      <c r="I32" s="24" t="str">
        <f>IF($U32="","",INDEX('MiT Strom Pipeline'!$R:$R,$U32))</f>
        <v/>
      </c>
      <c r="J32" s="26" t="str">
        <f>IF($U32="","",IF(ISNUMBER(INDEX('MiT Strom Pipeline'!$S:$S,$U32)),INDEX('MiT Strom Pipeline'!$S:$S,$U32),""))</f>
        <v/>
      </c>
      <c r="K32" s="28" t="str">
        <f>IF($U32="","",IF(LEN(INDEX('MiT Strom Pipeline'!$V:$V,$U32))&gt;0,LEFT(INDEX('MiT Strom Pipeline'!$V:$V,$U32),55),""))</f>
        <v/>
      </c>
      <c r="L32" s="19"/>
      <c r="M32" s="19"/>
      <c r="N32" s="19"/>
      <c r="O32" s="19"/>
      <c r="P32" s="19"/>
      <c r="Q32" s="19"/>
      <c r="R32" s="19"/>
      <c r="S32" s="19"/>
      <c r="U32" t="str">
        <f>IFERROR(MATCH(22,'MiT Strom Pipeline'!$AB$6:$AB$860,0)+5,"")</f>
        <v/>
      </c>
    </row>
    <row r="33" spans="1:21" ht="15.75" customHeight="1">
      <c r="A33" s="23" t="str">
        <f>IF($U33="","",IF(ISNUMBER(INDEX('MiT Strom Pipeline'!$A:$A,$U33)),INDEX('MiT Strom Pipeline'!$A:$A,$U33),""))</f>
        <v/>
      </c>
      <c r="B33" s="24" t="str">
        <f>IF($U33="","",IF(INDEX('MiT Strom Pipeline'!$B:$B,$U33)="","",INDEX('MiT Strom Pipeline'!$B:$B,$U33)))</f>
        <v/>
      </c>
      <c r="C33" s="24" t="str">
        <f>IF($U33="","",IF(INDEX('MiT Strom Pipeline'!$C:$C,$U33)="","",INDEX('MiT Strom Pipeline'!$C:$C,$U33)))</f>
        <v/>
      </c>
      <c r="D33" s="24" t="str">
        <f>IF($U33="","",IF(INDEX('MiT Strom Pipeline'!$D:$D,$U33)="","",INDEX('MiT Strom Pipeline'!$D:$D,$U33)))</f>
        <v/>
      </c>
      <c r="E33" s="24" t="str">
        <f>IF($U33="","",IF(INDEX('MiT Strom Pipeline'!$H:$H,$U33)="","",INDEX('MiT Strom Pipeline'!$H:$H,$U33)))</f>
        <v/>
      </c>
      <c r="F33" s="24" t="str">
        <f>IF($U33="","",IF(INDEX('MiT Strom Pipeline'!$E:$E,$U33)="","",INDEX('MiT Strom Pipeline'!$E:$E,$U33)))</f>
        <v/>
      </c>
      <c r="G33" s="25" t="str">
        <f>IF($U33="","",IF(ISNUMBER(INDEX('MiT Strom Pipeline'!$I:$I,$U33)),INDEX('MiT Strom Pipeline'!$I:$I,$U33),0))</f>
        <v/>
      </c>
      <c r="H33" s="25" t="str">
        <f>IF($U33="","",IF(ISNUMBER(INDEX('MiT Strom Pipeline'!$Q:$Q,$U33)),INDEX('MiT Strom Pipeline'!$Q:$Q,$U33),0))</f>
        <v/>
      </c>
      <c r="I33" s="24" t="str">
        <f>IF($U33="","",INDEX('MiT Strom Pipeline'!$R:$R,$U33))</f>
        <v/>
      </c>
      <c r="J33" s="26" t="str">
        <f>IF($U33="","",IF(ISNUMBER(INDEX('MiT Strom Pipeline'!$S:$S,$U33)),INDEX('MiT Strom Pipeline'!$S:$S,$U33),""))</f>
        <v/>
      </c>
      <c r="K33" s="24" t="str">
        <f>IF($U33="","",IF(LEN(INDEX('MiT Strom Pipeline'!$V:$V,$U33))&gt;0,LEFT(INDEX('MiT Strom Pipeline'!$V:$V,$U33),55),""))</f>
        <v/>
      </c>
      <c r="L33" s="19"/>
      <c r="M33" s="19"/>
      <c r="N33" s="19"/>
      <c r="O33" s="19"/>
      <c r="P33" s="19"/>
      <c r="Q33" s="19"/>
      <c r="R33" s="19"/>
      <c r="S33" s="19"/>
      <c r="U33" t="str">
        <f>IFERROR(MATCH(23,'MiT Strom Pipeline'!$AB$6:$AB$860,0)+5,"")</f>
        <v/>
      </c>
    </row>
    <row r="34" spans="1:21" ht="15.75" customHeight="1">
      <c r="A34" s="23" t="str">
        <f>IF($U34="","",IF(ISNUMBER(INDEX('MiT Strom Pipeline'!$A:$A,$U34)),INDEX('MiT Strom Pipeline'!$A:$A,$U34),""))</f>
        <v/>
      </c>
      <c r="B34" s="24" t="str">
        <f>IF($U34="","",IF(INDEX('MiT Strom Pipeline'!$B:$B,$U34)="","",INDEX('MiT Strom Pipeline'!$B:$B,$U34)))</f>
        <v/>
      </c>
      <c r="C34" s="24" t="str">
        <f>IF($U34="","",IF(INDEX('MiT Strom Pipeline'!$C:$C,$U34)="","",INDEX('MiT Strom Pipeline'!$C:$C,$U34)))</f>
        <v/>
      </c>
      <c r="D34" s="24" t="str">
        <f>IF($U34="","",IF(INDEX('MiT Strom Pipeline'!$D:$D,$U34)="","",INDEX('MiT Strom Pipeline'!$D:$D,$U34)))</f>
        <v/>
      </c>
      <c r="E34" s="24" t="str">
        <f>IF($U34="","",IF(INDEX('MiT Strom Pipeline'!$H:$H,$U34)="","",INDEX('MiT Strom Pipeline'!$H:$H,$U34)))</f>
        <v/>
      </c>
      <c r="F34" s="24" t="str">
        <f>IF($U34="","",IF(INDEX('MiT Strom Pipeline'!$E:$E,$U34)="","",INDEX('MiT Strom Pipeline'!$E:$E,$U34)))</f>
        <v/>
      </c>
      <c r="G34" s="25" t="str">
        <f>IF($U34="","",IF(ISNUMBER(INDEX('MiT Strom Pipeline'!$I:$I,$U34)),INDEX('MiT Strom Pipeline'!$I:$I,$U34),0))</f>
        <v/>
      </c>
      <c r="H34" s="25" t="str">
        <f>IF($U34="","",IF(ISNUMBER(INDEX('MiT Strom Pipeline'!$Q:$Q,$U34)),INDEX('MiT Strom Pipeline'!$Q:$Q,$U34),0))</f>
        <v/>
      </c>
      <c r="I34" s="24" t="str">
        <f>IF($U34="","",INDEX('MiT Strom Pipeline'!$R:$R,$U34))</f>
        <v/>
      </c>
      <c r="J34" s="26" t="str">
        <f>IF($U34="","",IF(ISNUMBER(INDEX('MiT Strom Pipeline'!$S:$S,$U34)),INDEX('MiT Strom Pipeline'!$S:$S,$U34),""))</f>
        <v/>
      </c>
      <c r="K34" s="24" t="str">
        <f>IF($U34="","",IF(LEN(INDEX('MiT Strom Pipeline'!$V:$V,$U34))&gt;0,LEFT(INDEX('MiT Strom Pipeline'!$V:$V,$U34),55),""))</f>
        <v/>
      </c>
      <c r="L34" s="19"/>
      <c r="M34" s="19"/>
      <c r="N34" s="19"/>
      <c r="O34" s="19"/>
      <c r="P34" s="19"/>
      <c r="Q34" s="19"/>
      <c r="R34" s="19"/>
      <c r="S34" s="19"/>
      <c r="U34" t="str">
        <f>IFERROR(MATCH(24,'MiT Strom Pipeline'!$AB$6:$AB$860,0)+5,"")</f>
        <v/>
      </c>
    </row>
    <row r="35" spans="1:21" ht="15.75" customHeight="1">
      <c r="A35" s="23" t="str">
        <f>IF($U35="","",IF(ISNUMBER(INDEX('MiT Strom Pipeline'!$A:$A,$U35)),INDEX('MiT Strom Pipeline'!$A:$A,$U35),""))</f>
        <v/>
      </c>
      <c r="B35" s="24" t="str">
        <f>IF($U35="","",IF(INDEX('MiT Strom Pipeline'!$B:$B,$U35)="","",INDEX('MiT Strom Pipeline'!$B:$B,$U35)))</f>
        <v/>
      </c>
      <c r="C35" s="24" t="str">
        <f>IF($U35="","",IF(INDEX('MiT Strom Pipeline'!$C:$C,$U35)="","",INDEX('MiT Strom Pipeline'!$C:$C,$U35)))</f>
        <v/>
      </c>
      <c r="D35" s="24" t="str">
        <f>IF($U35="","",IF(INDEX('MiT Strom Pipeline'!$D:$D,$U35)="","",INDEX('MiT Strom Pipeline'!$D:$D,$U35)))</f>
        <v/>
      </c>
      <c r="E35" s="24" t="str">
        <f>IF($U35="","",IF(INDEX('MiT Strom Pipeline'!$H:$H,$U35)="","",INDEX('MiT Strom Pipeline'!$H:$H,$U35)))</f>
        <v/>
      </c>
      <c r="F35" s="24" t="str">
        <f>IF($U35="","",IF(INDEX('MiT Strom Pipeline'!$E:$E,$U35)="","",INDEX('MiT Strom Pipeline'!$E:$E,$U35)))</f>
        <v/>
      </c>
      <c r="G35" s="25" t="str">
        <f>IF($U35="","",IF(ISNUMBER(INDEX('MiT Strom Pipeline'!$I:$I,$U35)),INDEX('MiT Strom Pipeline'!$I:$I,$U35),0))</f>
        <v/>
      </c>
      <c r="H35" s="25" t="str">
        <f>IF($U35="","",IF(ISNUMBER(INDEX('MiT Strom Pipeline'!$Q:$Q,$U35)),INDEX('MiT Strom Pipeline'!$Q:$Q,$U35),0))</f>
        <v/>
      </c>
      <c r="I35" s="24" t="str">
        <f>IF($U35="","",INDEX('MiT Strom Pipeline'!$R:$R,$U35))</f>
        <v/>
      </c>
      <c r="J35" s="26" t="str">
        <f>IF($U35="","",IF(ISNUMBER(INDEX('MiT Strom Pipeline'!$S:$S,$U35)),INDEX('MiT Strom Pipeline'!$S:$S,$U35),""))</f>
        <v/>
      </c>
      <c r="K35" s="24" t="str">
        <f>IF($U35="","",IF(LEN(INDEX('MiT Strom Pipeline'!$V:$V,$U35))&gt;0,LEFT(INDEX('MiT Strom Pipeline'!$V:$V,$U35),55),""))</f>
        <v/>
      </c>
      <c r="L35" s="19"/>
      <c r="M35" s="19"/>
      <c r="N35" s="19"/>
      <c r="O35" s="19"/>
      <c r="P35" s="19"/>
      <c r="Q35" s="19"/>
      <c r="R35" s="19"/>
      <c r="S35" s="19"/>
      <c r="U35" t="str">
        <f>IFERROR(MATCH(25,'MiT Strom Pipeline'!$AB$6:$AB$860,0)+5,"")</f>
        <v/>
      </c>
    </row>
    <row r="36" spans="1:21" ht="15.75" customHeight="1">
      <c r="A36" s="23" t="str">
        <f>IF($U36="","",IF(ISNUMBER(INDEX('MiT Strom Pipeline'!$A:$A,$U36)),INDEX('MiT Strom Pipeline'!$A:$A,$U36),""))</f>
        <v/>
      </c>
      <c r="B36" s="24" t="str">
        <f>IF($U36="","",IF(INDEX('MiT Strom Pipeline'!$B:$B,$U36)="","",INDEX('MiT Strom Pipeline'!$B:$B,$U36)))</f>
        <v/>
      </c>
      <c r="C36" s="24" t="str">
        <f>IF($U36="","",IF(INDEX('MiT Strom Pipeline'!$C:$C,$U36)="","",INDEX('MiT Strom Pipeline'!$C:$C,$U36)))</f>
        <v/>
      </c>
      <c r="D36" s="24" t="str">
        <f>IF($U36="","",IF(INDEX('MiT Strom Pipeline'!$D:$D,$U36)="","",INDEX('MiT Strom Pipeline'!$D:$D,$U36)))</f>
        <v/>
      </c>
      <c r="E36" s="24" t="str">
        <f>IF($U36="","",IF(INDEX('MiT Strom Pipeline'!$H:$H,$U36)="","",INDEX('MiT Strom Pipeline'!$H:$H,$U36)))</f>
        <v/>
      </c>
      <c r="F36" s="24" t="str">
        <f>IF($U36="","",IF(INDEX('MiT Strom Pipeline'!$E:$E,$U36)="","",INDEX('MiT Strom Pipeline'!$E:$E,$U36)))</f>
        <v/>
      </c>
      <c r="G36" s="25" t="str">
        <f>IF($U36="","",IF(ISNUMBER(INDEX('MiT Strom Pipeline'!$I:$I,$U36)),INDEX('MiT Strom Pipeline'!$I:$I,$U36),0))</f>
        <v/>
      </c>
      <c r="H36" s="25" t="str">
        <f>IF($U36="","",IF(ISNUMBER(INDEX('MiT Strom Pipeline'!$Q:$Q,$U36)),INDEX('MiT Strom Pipeline'!$Q:$Q,$U36),0))</f>
        <v/>
      </c>
      <c r="I36" s="24" t="str">
        <f>IF($U36="","",INDEX('MiT Strom Pipeline'!$R:$R,$U36))</f>
        <v/>
      </c>
      <c r="J36" s="26" t="str">
        <f>IF($U36="","",IF(ISNUMBER(INDEX('MiT Strom Pipeline'!$S:$S,$U36)),INDEX('MiT Strom Pipeline'!$S:$S,$U36),""))</f>
        <v/>
      </c>
      <c r="K36" s="24" t="str">
        <f>IF($U36="","",IF(LEN(INDEX('MiT Strom Pipeline'!$V:$V,$U36))&gt;0,LEFT(INDEX('MiT Strom Pipeline'!$V:$V,$U36),55),""))</f>
        <v/>
      </c>
      <c r="L36" s="19"/>
      <c r="M36" s="19"/>
      <c r="N36" s="19"/>
      <c r="O36" s="19"/>
      <c r="P36" s="19"/>
      <c r="Q36" s="19"/>
      <c r="R36" s="19"/>
      <c r="S36" s="19"/>
      <c r="U36" t="str">
        <f>IFERROR(MATCH(26,'MiT Strom Pipeline'!$AB$6:$AB$860,0)+5,"")</f>
        <v/>
      </c>
    </row>
    <row r="37" spans="1:21" ht="15.75" customHeight="1">
      <c r="A37" s="23" t="str">
        <f>IF($U37="","",IF(ISNUMBER(INDEX('MiT Strom Pipeline'!$A:$A,$U37)),INDEX('MiT Strom Pipeline'!$A:$A,$U37),""))</f>
        <v/>
      </c>
      <c r="B37" s="24" t="str">
        <f>IF($U37="","",IF(INDEX('MiT Strom Pipeline'!$B:$B,$U37)="","",INDEX('MiT Strom Pipeline'!$B:$B,$U37)))</f>
        <v/>
      </c>
      <c r="C37" s="24" t="str">
        <f>IF($U37="","",IF(INDEX('MiT Strom Pipeline'!$C:$C,$U37)="","",INDEX('MiT Strom Pipeline'!$C:$C,$U37)))</f>
        <v/>
      </c>
      <c r="D37" s="24" t="str">
        <f>IF($U37="","",IF(INDEX('MiT Strom Pipeline'!$D:$D,$U37)="","",INDEX('MiT Strom Pipeline'!$D:$D,$U37)))</f>
        <v/>
      </c>
      <c r="E37" s="24" t="str">
        <f>IF($U37="","",IF(INDEX('MiT Strom Pipeline'!$H:$H,$U37)="","",INDEX('MiT Strom Pipeline'!$H:$H,$U37)))</f>
        <v/>
      </c>
      <c r="F37" s="24" t="str">
        <f>IF($U37="","",IF(INDEX('MiT Strom Pipeline'!$E:$E,$U37)="","",INDEX('MiT Strom Pipeline'!$E:$E,$U37)))</f>
        <v/>
      </c>
      <c r="G37" s="25" t="str">
        <f>IF($U37="","",IF(ISNUMBER(INDEX('MiT Strom Pipeline'!$I:$I,$U37)),INDEX('MiT Strom Pipeline'!$I:$I,$U37),0))</f>
        <v/>
      </c>
      <c r="H37" s="25" t="str">
        <f>IF($U37="","",IF(ISNUMBER(INDEX('MiT Strom Pipeline'!$Q:$Q,$U37)),INDEX('MiT Strom Pipeline'!$Q:$Q,$U37),0))</f>
        <v/>
      </c>
      <c r="I37" s="24" t="str">
        <f>IF($U37="","",INDEX('MiT Strom Pipeline'!$R:$R,$U37))</f>
        <v/>
      </c>
      <c r="J37" s="26" t="str">
        <f>IF($U37="","",IF(ISNUMBER(INDEX('MiT Strom Pipeline'!$S:$S,$U37)),INDEX('MiT Strom Pipeline'!$S:$S,$U37),""))</f>
        <v/>
      </c>
      <c r="K37" s="24" t="str">
        <f>IF($U37="","",IF(LEN(INDEX('MiT Strom Pipeline'!$V:$V,$U37))&gt;0,LEFT(INDEX('MiT Strom Pipeline'!$V:$V,$U37),55),""))</f>
        <v/>
      </c>
      <c r="L37" s="19"/>
      <c r="M37" s="19"/>
      <c r="N37" s="19"/>
      <c r="O37" s="19"/>
      <c r="P37" s="19"/>
      <c r="Q37" s="19"/>
      <c r="R37" s="19"/>
      <c r="S37" s="19"/>
      <c r="U37" t="str">
        <f>IFERROR(MATCH(27,'MiT Strom Pipeline'!$AB$6:$AB$860,0)+5,"")</f>
        <v/>
      </c>
    </row>
    <row r="38" spans="1:21" ht="15.75" customHeight="1">
      <c r="A38" s="23" t="str">
        <f>IF($U38="","",IF(ISNUMBER(INDEX('MiT Strom Pipeline'!$A:$A,$U38)),INDEX('MiT Strom Pipeline'!$A:$A,$U38),""))</f>
        <v/>
      </c>
      <c r="B38" s="24" t="str">
        <f>IF($U38="","",IF(INDEX('MiT Strom Pipeline'!$B:$B,$U38)="","",INDEX('MiT Strom Pipeline'!$B:$B,$U38)))</f>
        <v/>
      </c>
      <c r="C38" s="24" t="str">
        <f>IF($U38="","",IF(INDEX('MiT Strom Pipeline'!$C:$C,$U38)="","",INDEX('MiT Strom Pipeline'!$C:$C,$U38)))</f>
        <v/>
      </c>
      <c r="D38" s="24" t="str">
        <f>IF($U38="","",IF(INDEX('MiT Strom Pipeline'!$D:$D,$U38)="","",INDEX('MiT Strom Pipeline'!$D:$D,$U38)))</f>
        <v/>
      </c>
      <c r="E38" s="24" t="str">
        <f>IF($U38="","",IF(INDEX('MiT Strom Pipeline'!$H:$H,$U38)="","",INDEX('MiT Strom Pipeline'!$H:$H,$U38)))</f>
        <v/>
      </c>
      <c r="F38" s="24" t="str">
        <f>IF($U38="","",IF(INDEX('MiT Strom Pipeline'!$E:$E,$U38)="","",INDEX('MiT Strom Pipeline'!$E:$E,$U38)))</f>
        <v/>
      </c>
      <c r="G38" s="25" t="str">
        <f>IF($U38="","",IF(ISNUMBER(INDEX('MiT Strom Pipeline'!$I:$I,$U38)),INDEX('MiT Strom Pipeline'!$I:$I,$U38),0))</f>
        <v/>
      </c>
      <c r="H38" s="25" t="str">
        <f>IF($U38="","",IF(ISNUMBER(INDEX('MiT Strom Pipeline'!$Q:$Q,$U38)),INDEX('MiT Strom Pipeline'!$Q:$Q,$U38),0))</f>
        <v/>
      </c>
      <c r="I38" s="24" t="str">
        <f>IF($U38="","",INDEX('MiT Strom Pipeline'!$R:$R,$U38))</f>
        <v/>
      </c>
      <c r="J38" s="26" t="str">
        <f>IF($U38="","",IF(ISNUMBER(INDEX('MiT Strom Pipeline'!$S:$S,$U38)),INDEX('MiT Strom Pipeline'!$S:$S,$U38),""))</f>
        <v/>
      </c>
      <c r="K38" s="24" t="str">
        <f>IF($U38="","",IF(LEN(INDEX('MiT Strom Pipeline'!$V:$V,$U38))&gt;0,LEFT(INDEX('MiT Strom Pipeline'!$V:$V,$U38),55),""))</f>
        <v/>
      </c>
      <c r="L38" s="19"/>
      <c r="M38" s="19"/>
      <c r="N38" s="19"/>
      <c r="O38" s="19"/>
      <c r="P38" s="19"/>
      <c r="Q38" s="19"/>
      <c r="R38" s="19"/>
      <c r="S38" s="19"/>
      <c r="U38" t="str">
        <f>IFERROR(MATCH(28,'MiT Strom Pipeline'!$AB$6:$AB$860,0)+5,"")</f>
        <v/>
      </c>
    </row>
    <row r="39" spans="1:21" ht="15.75" customHeight="1">
      <c r="A39" s="23" t="str">
        <f>IF($U39="","",IF(ISNUMBER(INDEX('MiT Strom Pipeline'!$A:$A,$U39)),INDEX('MiT Strom Pipeline'!$A:$A,$U39),""))</f>
        <v/>
      </c>
      <c r="B39" s="24" t="str">
        <f>IF($U39="","",IF(INDEX('MiT Strom Pipeline'!$B:$B,$U39)="","",INDEX('MiT Strom Pipeline'!$B:$B,$U39)))</f>
        <v/>
      </c>
      <c r="C39" s="24" t="str">
        <f>IF($U39="","",IF(INDEX('MiT Strom Pipeline'!$C:$C,$U39)="","",INDEX('MiT Strom Pipeline'!$C:$C,$U39)))</f>
        <v/>
      </c>
      <c r="D39" s="24" t="str">
        <f>IF($U39="","",IF(INDEX('MiT Strom Pipeline'!$D:$D,$U39)="","",INDEX('MiT Strom Pipeline'!$D:$D,$U39)))</f>
        <v/>
      </c>
      <c r="E39" s="24" t="str">
        <f>IF($U39="","",IF(INDEX('MiT Strom Pipeline'!$H:$H,$U39)="","",INDEX('MiT Strom Pipeline'!$H:$H,$U39)))</f>
        <v/>
      </c>
      <c r="F39" s="24" t="str">
        <f>IF($U39="","",IF(INDEX('MiT Strom Pipeline'!$E:$E,$U39)="","",INDEX('MiT Strom Pipeline'!$E:$E,$U39)))</f>
        <v/>
      </c>
      <c r="G39" s="25" t="str">
        <f>IF($U39="","",IF(ISNUMBER(INDEX('MiT Strom Pipeline'!$I:$I,$U39)),INDEX('MiT Strom Pipeline'!$I:$I,$U39),0))</f>
        <v/>
      </c>
      <c r="H39" s="25" t="str">
        <f>IF($U39="","",IF(ISNUMBER(INDEX('MiT Strom Pipeline'!$Q:$Q,$U39)),INDEX('MiT Strom Pipeline'!$Q:$Q,$U39),0))</f>
        <v/>
      </c>
      <c r="I39" s="24" t="str">
        <f>IF($U39="","",INDEX('MiT Strom Pipeline'!$R:$R,$U39))</f>
        <v/>
      </c>
      <c r="J39" s="26" t="str">
        <f>IF($U39="","",IF(ISNUMBER(INDEX('MiT Strom Pipeline'!$S:$S,$U39)),INDEX('MiT Strom Pipeline'!$S:$S,$U39),""))</f>
        <v/>
      </c>
      <c r="K39" s="24" t="str">
        <f>IF($U39="","",IF(LEN(INDEX('MiT Strom Pipeline'!$V:$V,$U39))&gt;0,LEFT(INDEX('MiT Strom Pipeline'!$V:$V,$U39),55),""))</f>
        <v/>
      </c>
      <c r="L39" s="19"/>
      <c r="M39" s="19"/>
      <c r="N39" s="19"/>
      <c r="O39" s="19"/>
      <c r="P39" s="19"/>
      <c r="Q39" s="19"/>
      <c r="R39" s="19"/>
      <c r="S39" s="19"/>
      <c r="U39" t="str">
        <f>IFERROR(MATCH(29,'MiT Strom Pipeline'!$AB$6:$AB$860,0)+5,"")</f>
        <v/>
      </c>
    </row>
    <row r="40" spans="1:21" ht="15.75" customHeight="1">
      <c r="A40" s="23" t="str">
        <f>IF($U40="","",IF(ISNUMBER(INDEX('MiT Strom Pipeline'!$A:$A,$U40)),INDEX('MiT Strom Pipeline'!$A:$A,$U40),""))</f>
        <v/>
      </c>
      <c r="B40" s="24" t="str">
        <f>IF($U40="","",IF(INDEX('MiT Strom Pipeline'!$B:$B,$U40)="","",INDEX('MiT Strom Pipeline'!$B:$B,$U40)))</f>
        <v/>
      </c>
      <c r="C40" s="24" t="str">
        <f>IF($U40="","",IF(INDEX('MiT Strom Pipeline'!$C:$C,$U40)="","",INDEX('MiT Strom Pipeline'!$C:$C,$U40)))</f>
        <v/>
      </c>
      <c r="D40" s="24" t="str">
        <f>IF($U40="","",IF(INDEX('MiT Strom Pipeline'!$D:$D,$U40)="","",INDEX('MiT Strom Pipeline'!$D:$D,$U40)))</f>
        <v/>
      </c>
      <c r="E40" s="24" t="str">
        <f>IF($U40="","",IF(INDEX('MiT Strom Pipeline'!$H:$H,$U40)="","",INDEX('MiT Strom Pipeline'!$H:$H,$U40)))</f>
        <v/>
      </c>
      <c r="F40" s="24" t="str">
        <f>IF($U40="","",IF(INDEX('MiT Strom Pipeline'!$E:$E,$U40)="","",INDEX('MiT Strom Pipeline'!$E:$E,$U40)))</f>
        <v/>
      </c>
      <c r="G40" s="25" t="str">
        <f>IF($U40="","",IF(ISNUMBER(INDEX('MiT Strom Pipeline'!$I:$I,$U40)),INDEX('MiT Strom Pipeline'!$I:$I,$U40),0))</f>
        <v/>
      </c>
      <c r="H40" s="25" t="str">
        <f>IF($U40="","",IF(ISNUMBER(INDEX('MiT Strom Pipeline'!$Q:$Q,$U40)),INDEX('MiT Strom Pipeline'!$Q:$Q,$U40),0))</f>
        <v/>
      </c>
      <c r="I40" s="24" t="str">
        <f>IF($U40="","",INDEX('MiT Strom Pipeline'!$R:$R,$U40))</f>
        <v/>
      </c>
      <c r="J40" s="26" t="str">
        <f>IF($U40="","",IF(ISNUMBER(INDEX('MiT Strom Pipeline'!$S:$S,$U40)),INDEX('MiT Strom Pipeline'!$S:$S,$U40),""))</f>
        <v/>
      </c>
      <c r="K40" s="24" t="str">
        <f>IF($U40="","",IF(LEN(INDEX('MiT Strom Pipeline'!$V:$V,$U40))&gt;0,LEFT(INDEX('MiT Strom Pipeline'!$V:$V,$U40),55),""))</f>
        <v/>
      </c>
      <c r="L40" s="19"/>
      <c r="M40" s="19"/>
      <c r="N40" s="19"/>
      <c r="O40" s="19"/>
      <c r="P40" s="19"/>
      <c r="Q40" s="19"/>
      <c r="R40" s="19"/>
      <c r="S40" s="19"/>
      <c r="U40" t="str">
        <f>IFERROR(MATCH(30,'MiT Strom Pipeline'!$AB$6:$AB$860,0)+5,"")</f>
        <v/>
      </c>
    </row>
    <row r="41" spans="1:21" ht="15.75" customHeight="1">
      <c r="A41" s="23" t="str">
        <f>IF($U41="","",IF(ISNUMBER(INDEX('MiT Strom Pipeline'!$A:$A,$U41)),INDEX('MiT Strom Pipeline'!$A:$A,$U41),""))</f>
        <v/>
      </c>
      <c r="B41" s="24" t="str">
        <f>IF($U41="","",IF(INDEX('MiT Strom Pipeline'!$B:$B,$U41)="","",INDEX('MiT Strom Pipeline'!$B:$B,$U41)))</f>
        <v/>
      </c>
      <c r="C41" s="24" t="str">
        <f>IF($U41="","",IF(INDEX('MiT Strom Pipeline'!$C:$C,$U41)="","",INDEX('MiT Strom Pipeline'!$C:$C,$U41)))</f>
        <v/>
      </c>
      <c r="D41" s="24" t="str">
        <f>IF($U41="","",IF(INDEX('MiT Strom Pipeline'!$D:$D,$U41)="","",INDEX('MiT Strom Pipeline'!$D:$D,$U41)))</f>
        <v/>
      </c>
      <c r="E41" s="24" t="str">
        <f>IF($U41="","",IF(INDEX('MiT Strom Pipeline'!$H:$H,$U41)="","",INDEX('MiT Strom Pipeline'!$H:$H,$U41)))</f>
        <v/>
      </c>
      <c r="F41" s="24" t="str">
        <f>IF($U41="","",IF(INDEX('MiT Strom Pipeline'!$E:$E,$U41)="","",INDEX('MiT Strom Pipeline'!$E:$E,$U41)))</f>
        <v/>
      </c>
      <c r="G41" s="25" t="str">
        <f>IF($U41="","",IF(ISNUMBER(INDEX('MiT Strom Pipeline'!$I:$I,$U41)),INDEX('MiT Strom Pipeline'!$I:$I,$U41),0))</f>
        <v/>
      </c>
      <c r="H41" s="25" t="str">
        <f>IF($U41="","",IF(ISNUMBER(INDEX('MiT Strom Pipeline'!$Q:$Q,$U41)),INDEX('MiT Strom Pipeline'!$Q:$Q,$U41),0))</f>
        <v/>
      </c>
      <c r="I41" s="24" t="str">
        <f>IF($U41="","",INDEX('MiT Strom Pipeline'!$R:$R,$U41))</f>
        <v/>
      </c>
      <c r="J41" s="26" t="str">
        <f>IF($U41="","",IF(ISNUMBER(INDEX('MiT Strom Pipeline'!$S:$S,$U41)),INDEX('MiT Strom Pipeline'!$S:$S,$U41),""))</f>
        <v/>
      </c>
      <c r="K41" s="24" t="str">
        <f>IF($U41="","",IF(LEN(INDEX('MiT Strom Pipeline'!$V:$V,$U41))&gt;0,LEFT(INDEX('MiT Strom Pipeline'!$V:$V,$U41),55),""))</f>
        <v/>
      </c>
      <c r="L41" s="19"/>
      <c r="M41" s="19"/>
      <c r="N41" s="19"/>
      <c r="O41" s="19"/>
      <c r="P41" s="19"/>
      <c r="Q41" s="19"/>
      <c r="R41" s="19"/>
      <c r="S41" s="19"/>
      <c r="U41" t="str">
        <f>IFERROR(MATCH(31,'MiT Strom Pipeline'!$AB$6:$AB$860,0)+5,"")</f>
        <v/>
      </c>
    </row>
    <row r="42" spans="1:21" ht="15.75" customHeight="1">
      <c r="A42" s="23" t="str">
        <f>IF($U42="","",IF(ISNUMBER(INDEX('MiT Strom Pipeline'!$A:$A,$U42)),INDEX('MiT Strom Pipeline'!$A:$A,$U42),""))</f>
        <v/>
      </c>
      <c r="B42" s="24" t="str">
        <f>IF($U42="","",IF(INDEX('MiT Strom Pipeline'!$B:$B,$U42)="","",INDEX('MiT Strom Pipeline'!$B:$B,$U42)))</f>
        <v/>
      </c>
      <c r="C42" s="24" t="str">
        <f>IF($U42="","",IF(INDEX('MiT Strom Pipeline'!$C:$C,$U42)="","",INDEX('MiT Strom Pipeline'!$C:$C,$U42)))</f>
        <v/>
      </c>
      <c r="D42" s="24" t="str">
        <f>IF($U42="","",IF(INDEX('MiT Strom Pipeline'!$D:$D,$U42)="","",INDEX('MiT Strom Pipeline'!$D:$D,$U42)))</f>
        <v/>
      </c>
      <c r="E42" s="24" t="str">
        <f>IF($U42="","",IF(INDEX('MiT Strom Pipeline'!$H:$H,$U42)="","",INDEX('MiT Strom Pipeline'!$H:$H,$U42)))</f>
        <v/>
      </c>
      <c r="F42" s="24" t="str">
        <f>IF($U42="","",IF(INDEX('MiT Strom Pipeline'!$E:$E,$U42)="","",INDEX('MiT Strom Pipeline'!$E:$E,$U42)))</f>
        <v/>
      </c>
      <c r="G42" s="25" t="str">
        <f>IF($U42="","",IF(ISNUMBER(INDEX('MiT Strom Pipeline'!$I:$I,$U42)),INDEX('MiT Strom Pipeline'!$I:$I,$U42),0))</f>
        <v/>
      </c>
      <c r="H42" s="25" t="str">
        <f>IF($U42="","",IF(ISNUMBER(INDEX('MiT Strom Pipeline'!$Q:$Q,$U42)),INDEX('MiT Strom Pipeline'!$Q:$Q,$U42),0))</f>
        <v/>
      </c>
      <c r="I42" s="24" t="str">
        <f>IF($U42="","",INDEX('MiT Strom Pipeline'!$R:$R,$U42))</f>
        <v/>
      </c>
      <c r="J42" s="26" t="str">
        <f>IF($U42="","",IF(ISNUMBER(INDEX('MiT Strom Pipeline'!$S:$S,$U42)),INDEX('MiT Strom Pipeline'!$S:$S,$U42),""))</f>
        <v/>
      </c>
      <c r="K42" s="24" t="str">
        <f>IF($U42="","",IF(LEN(INDEX('MiT Strom Pipeline'!$V:$V,$U42))&gt;0,LEFT(INDEX('MiT Strom Pipeline'!$V:$V,$U42),55),""))</f>
        <v/>
      </c>
      <c r="L42" s="19"/>
      <c r="M42" s="19"/>
      <c r="N42" s="19"/>
      <c r="O42" s="19"/>
      <c r="P42" s="19"/>
      <c r="Q42" s="19"/>
      <c r="R42" s="19"/>
      <c r="S42" s="19"/>
      <c r="U42" t="str">
        <f>IFERROR(MATCH(32,'MiT Strom Pipeline'!$AB$6:$AB$860,0)+5,"")</f>
        <v/>
      </c>
    </row>
    <row r="43" spans="1:21" ht="15.75" customHeight="1">
      <c r="A43" s="23" t="str">
        <f>IF($U43="","",IF(ISNUMBER(INDEX('MiT Strom Pipeline'!$A:$A,$U43)),INDEX('MiT Strom Pipeline'!$A:$A,$U43),""))</f>
        <v/>
      </c>
      <c r="B43" s="24" t="str">
        <f>IF($U43="","",IF(INDEX('MiT Strom Pipeline'!$B:$B,$U43)="","",INDEX('MiT Strom Pipeline'!$B:$B,$U43)))</f>
        <v/>
      </c>
      <c r="C43" s="24" t="str">
        <f>IF($U43="","",IF(INDEX('MiT Strom Pipeline'!$C:$C,$U43)="","",INDEX('MiT Strom Pipeline'!$C:$C,$U43)))</f>
        <v/>
      </c>
      <c r="D43" s="24" t="str">
        <f>IF($U43="","",IF(INDEX('MiT Strom Pipeline'!$D:$D,$U43)="","",INDEX('MiT Strom Pipeline'!$D:$D,$U43)))</f>
        <v/>
      </c>
      <c r="E43" s="24" t="str">
        <f>IF($U43="","",IF(INDEX('MiT Strom Pipeline'!$H:$H,$U43)="","",INDEX('MiT Strom Pipeline'!$H:$H,$U43)))</f>
        <v/>
      </c>
      <c r="F43" s="24" t="str">
        <f>IF($U43="","",IF(INDEX('MiT Strom Pipeline'!$E:$E,$U43)="","",INDEX('MiT Strom Pipeline'!$E:$E,$U43)))</f>
        <v/>
      </c>
      <c r="G43" s="25" t="str">
        <f>IF($U43="","",IF(ISNUMBER(INDEX('MiT Strom Pipeline'!$I:$I,$U43)),INDEX('MiT Strom Pipeline'!$I:$I,$U43),0))</f>
        <v/>
      </c>
      <c r="H43" s="25" t="str">
        <f>IF($U43="","",IF(ISNUMBER(INDEX('MiT Strom Pipeline'!$Q:$Q,$U43)),INDEX('MiT Strom Pipeline'!$Q:$Q,$U43),0))</f>
        <v/>
      </c>
      <c r="I43" s="24" t="str">
        <f>IF($U43="","",INDEX('MiT Strom Pipeline'!$R:$R,$U43))</f>
        <v/>
      </c>
      <c r="J43" s="26" t="str">
        <f>IF($U43="","",IF(ISNUMBER(INDEX('MiT Strom Pipeline'!$S:$S,$U43)),INDEX('MiT Strom Pipeline'!$S:$S,$U43),""))</f>
        <v/>
      </c>
      <c r="K43" s="24" t="str">
        <f>IF($U43="","",IF(LEN(INDEX('MiT Strom Pipeline'!$V:$V,$U43))&gt;0,LEFT(INDEX('MiT Strom Pipeline'!$V:$V,$U43),55),""))</f>
        <v/>
      </c>
      <c r="L43" s="19"/>
      <c r="M43" s="19"/>
      <c r="N43" s="19"/>
      <c r="O43" s="19"/>
      <c r="P43" s="19"/>
      <c r="Q43" s="19"/>
      <c r="R43" s="19"/>
      <c r="S43" s="19"/>
      <c r="U43" t="str">
        <f>IFERROR(MATCH(33,'MiT Strom Pipeline'!$AB$6:$AB$860,0)+5,"")</f>
        <v/>
      </c>
    </row>
    <row r="44" spans="1:21" ht="15.75" customHeight="1">
      <c r="A44" s="23" t="str">
        <f>IF($U44="","",IF(ISNUMBER(INDEX('MiT Strom Pipeline'!$A:$A,$U44)),INDEX('MiT Strom Pipeline'!$A:$A,$U44),""))</f>
        <v/>
      </c>
      <c r="B44" s="24" t="str">
        <f>IF($U44="","",IF(INDEX('MiT Strom Pipeline'!$B:$B,$U44)="","",INDEX('MiT Strom Pipeline'!$B:$B,$U44)))</f>
        <v/>
      </c>
      <c r="C44" s="24" t="str">
        <f>IF($U44="","",IF(INDEX('MiT Strom Pipeline'!$C:$C,$U44)="","",INDEX('MiT Strom Pipeline'!$C:$C,$U44)))</f>
        <v/>
      </c>
      <c r="D44" s="24" t="str">
        <f>IF($U44="","",IF(INDEX('MiT Strom Pipeline'!$D:$D,$U44)="","",INDEX('MiT Strom Pipeline'!$D:$D,$U44)))</f>
        <v/>
      </c>
      <c r="E44" s="24" t="str">
        <f>IF($U44="","",IF(INDEX('MiT Strom Pipeline'!$H:$H,$U44)="","",INDEX('MiT Strom Pipeline'!$H:$H,$U44)))</f>
        <v/>
      </c>
      <c r="F44" s="24" t="str">
        <f>IF($U44="","",IF(INDEX('MiT Strom Pipeline'!$E:$E,$U44)="","",INDEX('MiT Strom Pipeline'!$E:$E,$U44)))</f>
        <v/>
      </c>
      <c r="G44" s="25" t="str">
        <f>IF($U44="","",IF(ISNUMBER(INDEX('MiT Strom Pipeline'!$I:$I,$U44)),INDEX('MiT Strom Pipeline'!$I:$I,$U44),0))</f>
        <v/>
      </c>
      <c r="H44" s="25" t="str">
        <f>IF($U44="","",IF(ISNUMBER(INDEX('MiT Strom Pipeline'!$Q:$Q,$U44)),INDEX('MiT Strom Pipeline'!$Q:$Q,$U44),0))</f>
        <v/>
      </c>
      <c r="I44" s="24" t="str">
        <f>IF($U44="","",INDEX('MiT Strom Pipeline'!$R:$R,$U44))</f>
        <v/>
      </c>
      <c r="J44" s="26" t="str">
        <f>IF($U44="","",IF(ISNUMBER(INDEX('MiT Strom Pipeline'!$S:$S,$U44)),INDEX('MiT Strom Pipeline'!$S:$S,$U44),""))</f>
        <v/>
      </c>
      <c r="K44" s="24" t="str">
        <f>IF($U44="","",IF(LEN(INDEX('MiT Strom Pipeline'!$V:$V,$U44))&gt;0,LEFT(INDEX('MiT Strom Pipeline'!$V:$V,$U44),55),""))</f>
        <v/>
      </c>
      <c r="L44" s="19"/>
      <c r="M44" s="19"/>
      <c r="N44" s="19"/>
      <c r="O44" s="19"/>
      <c r="P44" s="19"/>
      <c r="Q44" s="19"/>
      <c r="R44" s="19"/>
      <c r="S44" s="19"/>
      <c r="U44" t="str">
        <f>IFERROR(MATCH(34,'MiT Strom Pipeline'!$AB$6:$AB$860,0)+5,"")</f>
        <v/>
      </c>
    </row>
    <row r="45" spans="1:21" ht="15.75" customHeight="1">
      <c r="A45" s="23" t="str">
        <f>IF($U45="","",IF(ISNUMBER(INDEX('MiT Strom Pipeline'!$A:$A,$U45)),INDEX('MiT Strom Pipeline'!$A:$A,$U45),""))</f>
        <v/>
      </c>
      <c r="B45" s="24" t="str">
        <f>IF($U45="","",IF(INDEX('MiT Strom Pipeline'!$B:$B,$U45)="","",INDEX('MiT Strom Pipeline'!$B:$B,$U45)))</f>
        <v/>
      </c>
      <c r="C45" s="24" t="str">
        <f>IF($U45="","",IF(INDEX('MiT Strom Pipeline'!$C:$C,$U45)="","",INDEX('MiT Strom Pipeline'!$C:$C,$U45)))</f>
        <v/>
      </c>
      <c r="D45" s="24" t="str">
        <f>IF($U45="","",IF(INDEX('MiT Strom Pipeline'!$D:$D,$U45)="","",INDEX('MiT Strom Pipeline'!$D:$D,$U45)))</f>
        <v/>
      </c>
      <c r="E45" s="24" t="str">
        <f>IF($U45="","",IF(INDEX('MiT Strom Pipeline'!$H:$H,$U45)="","",INDEX('MiT Strom Pipeline'!$H:$H,$U45)))</f>
        <v/>
      </c>
      <c r="F45" s="24" t="str">
        <f>IF($U45="","",IF(INDEX('MiT Strom Pipeline'!$E:$E,$U45)="","",INDEX('MiT Strom Pipeline'!$E:$E,$U45)))</f>
        <v/>
      </c>
      <c r="G45" s="25" t="str">
        <f>IF($U45="","",IF(ISNUMBER(INDEX('MiT Strom Pipeline'!$I:$I,$U45)),INDEX('MiT Strom Pipeline'!$I:$I,$U45),0))</f>
        <v/>
      </c>
      <c r="H45" s="25" t="str">
        <f>IF($U45="","",IF(ISNUMBER(INDEX('MiT Strom Pipeline'!$Q:$Q,$U45)),INDEX('MiT Strom Pipeline'!$Q:$Q,$U45),0))</f>
        <v/>
      </c>
      <c r="I45" s="24" t="str">
        <f>IF($U45="","",INDEX('MiT Strom Pipeline'!$R:$R,$U45))</f>
        <v/>
      </c>
      <c r="J45" s="26" t="str">
        <f>IF($U45="","",IF(ISNUMBER(INDEX('MiT Strom Pipeline'!$S:$S,$U45)),INDEX('MiT Strom Pipeline'!$S:$S,$U45),""))</f>
        <v/>
      </c>
      <c r="K45" s="24" t="str">
        <f>IF($U45="","",IF(LEN(INDEX('MiT Strom Pipeline'!$V:$V,$U45))&gt;0,LEFT(INDEX('MiT Strom Pipeline'!$V:$V,$U45),55),""))</f>
        <v/>
      </c>
      <c r="L45" s="19"/>
      <c r="M45" s="19"/>
      <c r="N45" s="19"/>
      <c r="O45" s="19"/>
      <c r="P45" s="19"/>
      <c r="Q45" s="19"/>
      <c r="R45" s="19"/>
      <c r="S45" s="19"/>
      <c r="U45" t="str">
        <f>IFERROR(MATCH(35,'MiT Strom Pipeline'!$AB$6:$AB$860,0)+5,"")</f>
        <v/>
      </c>
    </row>
    <row r="46" spans="1:21" ht="15.75" customHeight="1">
      <c r="A46" s="23" t="str">
        <f>IF($U46="","",IF(ISNUMBER(INDEX('MiT Strom Pipeline'!$A:$A,$U46)),INDEX('MiT Strom Pipeline'!$A:$A,$U46),""))</f>
        <v/>
      </c>
      <c r="B46" s="24" t="str">
        <f>IF($U46="","",IF(INDEX('MiT Strom Pipeline'!$B:$B,$U46)="","",INDEX('MiT Strom Pipeline'!$B:$B,$U46)))</f>
        <v/>
      </c>
      <c r="C46" s="24" t="str">
        <f>IF($U46="","",IF(INDEX('MiT Strom Pipeline'!$C:$C,$U46)="","",INDEX('MiT Strom Pipeline'!$C:$C,$U46)))</f>
        <v/>
      </c>
      <c r="D46" s="24" t="str">
        <f>IF($U46="","",IF(INDEX('MiT Strom Pipeline'!$D:$D,$U46)="","",INDEX('MiT Strom Pipeline'!$D:$D,$U46)))</f>
        <v/>
      </c>
      <c r="E46" s="24" t="str">
        <f>IF($U46="","",IF(INDEX('MiT Strom Pipeline'!$H:$H,$U46)="","",INDEX('MiT Strom Pipeline'!$H:$H,$U46)))</f>
        <v/>
      </c>
      <c r="F46" s="24" t="str">
        <f>IF($U46="","",IF(INDEX('MiT Strom Pipeline'!$E:$E,$U46)="","",INDEX('MiT Strom Pipeline'!$E:$E,$U46)))</f>
        <v/>
      </c>
      <c r="G46" s="25" t="str">
        <f>IF($U46="","",IF(ISNUMBER(INDEX('MiT Strom Pipeline'!$I:$I,$U46)),INDEX('MiT Strom Pipeline'!$I:$I,$U46),0))</f>
        <v/>
      </c>
      <c r="H46" s="25" t="str">
        <f>IF($U46="","",IF(ISNUMBER(INDEX('MiT Strom Pipeline'!$Q:$Q,$U46)),INDEX('MiT Strom Pipeline'!$Q:$Q,$U46),0))</f>
        <v/>
      </c>
      <c r="I46" s="24" t="str">
        <f>IF($U46="","",INDEX('MiT Strom Pipeline'!$R:$R,$U46))</f>
        <v/>
      </c>
      <c r="J46" s="26" t="str">
        <f>IF($U46="","",IF(ISNUMBER(INDEX('MiT Strom Pipeline'!$S:$S,$U46)),INDEX('MiT Strom Pipeline'!$S:$S,$U46),""))</f>
        <v/>
      </c>
      <c r="K46" s="24" t="str">
        <f>IF($U46="","",IF(LEN(INDEX('MiT Strom Pipeline'!$V:$V,$U46))&gt;0,LEFT(INDEX('MiT Strom Pipeline'!$V:$V,$U46),55),""))</f>
        <v/>
      </c>
      <c r="L46" s="19"/>
      <c r="M46" s="19"/>
      <c r="N46" s="19"/>
      <c r="O46" s="19"/>
      <c r="P46" s="19"/>
      <c r="Q46" s="19"/>
      <c r="R46" s="19"/>
      <c r="S46" s="19"/>
      <c r="U46" t="str">
        <f>IFERROR(MATCH(36,'MiT Strom Pipeline'!$AB$6:$AB$860,0)+5,"")</f>
        <v/>
      </c>
    </row>
    <row r="47" spans="1:21" ht="15.75" customHeight="1">
      <c r="A47" s="23" t="str">
        <f>IF($U47="","",IF(ISNUMBER(INDEX('MiT Strom Pipeline'!$A:$A,$U47)),INDEX('MiT Strom Pipeline'!$A:$A,$U47),""))</f>
        <v/>
      </c>
      <c r="B47" s="24" t="str">
        <f>IF($U47="","",IF(INDEX('MiT Strom Pipeline'!$B:$B,$U47)="","",INDEX('MiT Strom Pipeline'!$B:$B,$U47)))</f>
        <v/>
      </c>
      <c r="C47" s="24" t="str">
        <f>IF($U47="","",IF(INDEX('MiT Strom Pipeline'!$C:$C,$U47)="","",INDEX('MiT Strom Pipeline'!$C:$C,$U47)))</f>
        <v/>
      </c>
      <c r="D47" s="24" t="str">
        <f>IF($U47="","",IF(INDEX('MiT Strom Pipeline'!$D:$D,$U47)="","",INDEX('MiT Strom Pipeline'!$D:$D,$U47)))</f>
        <v/>
      </c>
      <c r="E47" s="24" t="str">
        <f>IF($U47="","",IF(INDEX('MiT Strom Pipeline'!$H:$H,$U47)="","",INDEX('MiT Strom Pipeline'!$H:$H,$U47)))</f>
        <v/>
      </c>
      <c r="F47" s="24" t="str">
        <f>IF($U47="","",IF(INDEX('MiT Strom Pipeline'!$E:$E,$U47)="","",INDEX('MiT Strom Pipeline'!$E:$E,$U47)))</f>
        <v/>
      </c>
      <c r="G47" s="25" t="str">
        <f>IF($U47="","",IF(ISNUMBER(INDEX('MiT Strom Pipeline'!$I:$I,$U47)),INDEX('MiT Strom Pipeline'!$I:$I,$U47),0))</f>
        <v/>
      </c>
      <c r="H47" s="25" t="str">
        <f>IF($U47="","",IF(ISNUMBER(INDEX('MiT Strom Pipeline'!$Q:$Q,$U47)),INDEX('MiT Strom Pipeline'!$Q:$Q,$U47),0))</f>
        <v/>
      </c>
      <c r="I47" s="24" t="str">
        <f>IF($U47="","",INDEX('MiT Strom Pipeline'!$R:$R,$U47))</f>
        <v/>
      </c>
      <c r="J47" s="26" t="str">
        <f>IF($U47="","",IF(ISNUMBER(INDEX('MiT Strom Pipeline'!$S:$S,$U47)),INDEX('MiT Strom Pipeline'!$S:$S,$U47),""))</f>
        <v/>
      </c>
      <c r="K47" s="24" t="str">
        <f>IF($U47="","",IF(LEN(INDEX('MiT Strom Pipeline'!$V:$V,$U47))&gt;0,LEFT(INDEX('MiT Strom Pipeline'!$V:$V,$U47),55),""))</f>
        <v/>
      </c>
      <c r="L47" s="19"/>
      <c r="M47" s="19"/>
      <c r="N47" s="19"/>
      <c r="O47" s="19"/>
      <c r="P47" s="19"/>
      <c r="Q47" s="19"/>
      <c r="R47" s="19"/>
      <c r="S47" s="19"/>
      <c r="U47" t="str">
        <f>IFERROR(MATCH(37,'MiT Strom Pipeline'!$AB$6:$AB$860,0)+5,"")</f>
        <v/>
      </c>
    </row>
    <row r="48" spans="1:21" ht="15.75" customHeight="1">
      <c r="A48" s="23" t="str">
        <f>IF($U48="","",IF(ISNUMBER(INDEX('MiT Strom Pipeline'!$A:$A,$U48)),INDEX('MiT Strom Pipeline'!$A:$A,$U48),""))</f>
        <v/>
      </c>
      <c r="B48" s="24" t="str">
        <f>IF($U48="","",IF(INDEX('MiT Strom Pipeline'!$B:$B,$U48)="","",INDEX('MiT Strom Pipeline'!$B:$B,$U48)))</f>
        <v/>
      </c>
      <c r="C48" s="24" t="str">
        <f>IF($U48="","",IF(INDEX('MiT Strom Pipeline'!$C:$C,$U48)="","",INDEX('MiT Strom Pipeline'!$C:$C,$U48)))</f>
        <v/>
      </c>
      <c r="D48" s="24" t="str">
        <f>IF($U48="","",IF(INDEX('MiT Strom Pipeline'!$D:$D,$U48)="","",INDEX('MiT Strom Pipeline'!$D:$D,$U48)))</f>
        <v/>
      </c>
      <c r="E48" s="24" t="str">
        <f>IF($U48="","",IF(INDEX('MiT Strom Pipeline'!$H:$H,$U48)="","",INDEX('MiT Strom Pipeline'!$H:$H,$U48)))</f>
        <v/>
      </c>
      <c r="F48" s="24" t="str">
        <f>IF($U48="","",IF(INDEX('MiT Strom Pipeline'!$E:$E,$U48)="","",INDEX('MiT Strom Pipeline'!$E:$E,$U48)))</f>
        <v/>
      </c>
      <c r="G48" s="25" t="str">
        <f>IF($U48="","",IF(ISNUMBER(INDEX('MiT Strom Pipeline'!$I:$I,$U48)),INDEX('MiT Strom Pipeline'!$I:$I,$U48),0))</f>
        <v/>
      </c>
      <c r="H48" s="25" t="str">
        <f>IF($U48="","",IF(ISNUMBER(INDEX('MiT Strom Pipeline'!$Q:$Q,$U48)),INDEX('MiT Strom Pipeline'!$Q:$Q,$U48),0))</f>
        <v/>
      </c>
      <c r="I48" s="24" t="str">
        <f>IF($U48="","",INDEX('MiT Strom Pipeline'!$R:$R,$U48))</f>
        <v/>
      </c>
      <c r="J48" s="26" t="str">
        <f>IF($U48="","",IF(ISNUMBER(INDEX('MiT Strom Pipeline'!$S:$S,$U48)),INDEX('MiT Strom Pipeline'!$S:$S,$U48),""))</f>
        <v/>
      </c>
      <c r="K48" s="24" t="str">
        <f>IF($U48="","",IF(LEN(INDEX('MiT Strom Pipeline'!$V:$V,$U48))&gt;0,LEFT(INDEX('MiT Strom Pipeline'!$V:$V,$U48),55),""))</f>
        <v/>
      </c>
      <c r="L48" s="19"/>
      <c r="M48" s="19"/>
      <c r="N48" s="19"/>
      <c r="O48" s="19"/>
      <c r="P48" s="19"/>
      <c r="Q48" s="19"/>
      <c r="R48" s="19"/>
      <c r="S48" s="19"/>
      <c r="U48" t="str">
        <f>IFERROR(MATCH(38,'MiT Strom Pipeline'!$AB$6:$AB$860,0)+5,"")</f>
        <v/>
      </c>
    </row>
    <row r="49" spans="1:21" ht="15.75" customHeight="1">
      <c r="A49" s="23" t="str">
        <f>IF($U49="","",IF(ISNUMBER(INDEX('MiT Strom Pipeline'!$A:$A,$U49)),INDEX('MiT Strom Pipeline'!$A:$A,$U49),""))</f>
        <v/>
      </c>
      <c r="B49" s="24" t="str">
        <f>IF($U49="","",IF(INDEX('MiT Strom Pipeline'!$B:$B,$U49)="","",INDEX('MiT Strom Pipeline'!$B:$B,$U49)))</f>
        <v/>
      </c>
      <c r="C49" s="24" t="str">
        <f>IF($U49="","",IF(INDEX('MiT Strom Pipeline'!$C:$C,$U49)="","",INDEX('MiT Strom Pipeline'!$C:$C,$U49)))</f>
        <v/>
      </c>
      <c r="D49" s="24" t="str">
        <f>IF($U49="","",IF(INDEX('MiT Strom Pipeline'!$D:$D,$U49)="","",INDEX('MiT Strom Pipeline'!$D:$D,$U49)))</f>
        <v/>
      </c>
      <c r="E49" s="24" t="str">
        <f>IF($U49="","",IF(INDEX('MiT Strom Pipeline'!$H:$H,$U49)="","",INDEX('MiT Strom Pipeline'!$H:$H,$U49)))</f>
        <v/>
      </c>
      <c r="F49" s="24" t="str">
        <f>IF($U49="","",IF(INDEX('MiT Strom Pipeline'!$E:$E,$U49)="","",INDEX('MiT Strom Pipeline'!$E:$E,$U49)))</f>
        <v/>
      </c>
      <c r="G49" s="25" t="str">
        <f>IF($U49="","",IF(ISNUMBER(INDEX('MiT Strom Pipeline'!$I:$I,$U49)),INDEX('MiT Strom Pipeline'!$I:$I,$U49),0))</f>
        <v/>
      </c>
      <c r="H49" s="25" t="str">
        <f>IF($U49="","",IF(ISNUMBER(INDEX('MiT Strom Pipeline'!$Q:$Q,$U49)),INDEX('MiT Strom Pipeline'!$Q:$Q,$U49),0))</f>
        <v/>
      </c>
      <c r="I49" s="24" t="str">
        <f>IF($U49="","",INDEX('MiT Strom Pipeline'!$R:$R,$U49))</f>
        <v/>
      </c>
      <c r="J49" s="26" t="str">
        <f>IF($U49="","",IF(ISNUMBER(INDEX('MiT Strom Pipeline'!$S:$S,$U49)),INDEX('MiT Strom Pipeline'!$S:$S,$U49),""))</f>
        <v/>
      </c>
      <c r="K49" s="24" t="str">
        <f>IF($U49="","",IF(LEN(INDEX('MiT Strom Pipeline'!$V:$V,$U49))&gt;0,LEFT(INDEX('MiT Strom Pipeline'!$V:$V,$U49),55),""))</f>
        <v/>
      </c>
      <c r="L49" s="19"/>
      <c r="M49" s="19"/>
      <c r="N49" s="19"/>
      <c r="O49" s="19"/>
      <c r="P49" s="19"/>
      <c r="Q49" s="19"/>
      <c r="R49" s="19"/>
      <c r="S49" s="19"/>
      <c r="U49" t="str">
        <f>IFERROR(MATCH(39,'MiT Strom Pipeline'!$AB$6:$AB$860,0)+5,"")</f>
        <v/>
      </c>
    </row>
    <row r="50" spans="1:21" ht="15.75" customHeight="1">
      <c r="A50" s="23" t="str">
        <f>IF($U50="","",IF(ISNUMBER(INDEX('MiT Strom Pipeline'!$A:$A,$U50)),INDEX('MiT Strom Pipeline'!$A:$A,$U50),""))</f>
        <v/>
      </c>
      <c r="B50" s="24" t="str">
        <f>IF($U50="","",IF(INDEX('MiT Strom Pipeline'!$B:$B,$U50)="","",INDEX('MiT Strom Pipeline'!$B:$B,$U50)))</f>
        <v/>
      </c>
      <c r="C50" s="24" t="str">
        <f>IF($U50="","",IF(INDEX('MiT Strom Pipeline'!$C:$C,$U50)="","",INDEX('MiT Strom Pipeline'!$C:$C,$U50)))</f>
        <v/>
      </c>
      <c r="D50" s="24" t="str">
        <f>IF($U50="","",IF(INDEX('MiT Strom Pipeline'!$D:$D,$U50)="","",INDEX('MiT Strom Pipeline'!$D:$D,$U50)))</f>
        <v/>
      </c>
      <c r="E50" s="24" t="str">
        <f>IF($U50="","",IF(INDEX('MiT Strom Pipeline'!$H:$H,$U50)="","",INDEX('MiT Strom Pipeline'!$H:$H,$U50)))</f>
        <v/>
      </c>
      <c r="F50" s="24" t="str">
        <f>IF($U50="","",IF(INDEX('MiT Strom Pipeline'!$E:$E,$U50)="","",INDEX('MiT Strom Pipeline'!$E:$E,$U50)))</f>
        <v/>
      </c>
      <c r="G50" s="25" t="str">
        <f>IF($U50="","",IF(ISNUMBER(INDEX('MiT Strom Pipeline'!$I:$I,$U50)),INDEX('MiT Strom Pipeline'!$I:$I,$U50),0))</f>
        <v/>
      </c>
      <c r="H50" s="25" t="str">
        <f>IF($U50="","",IF(ISNUMBER(INDEX('MiT Strom Pipeline'!$Q:$Q,$U50)),INDEX('MiT Strom Pipeline'!$Q:$Q,$U50),0))</f>
        <v/>
      </c>
      <c r="I50" s="24" t="str">
        <f>IF($U50="","",INDEX('MiT Strom Pipeline'!$R:$R,$U50))</f>
        <v/>
      </c>
      <c r="J50" s="26" t="str">
        <f>IF($U50="","",IF(ISNUMBER(INDEX('MiT Strom Pipeline'!$S:$S,$U50)),INDEX('MiT Strom Pipeline'!$S:$S,$U50),""))</f>
        <v/>
      </c>
      <c r="K50" s="24" t="str">
        <f>IF($U50="","",IF(LEN(INDEX('MiT Strom Pipeline'!$V:$V,$U50))&gt;0,LEFT(INDEX('MiT Strom Pipeline'!$V:$V,$U50),55),""))</f>
        <v/>
      </c>
      <c r="L50" s="19"/>
      <c r="M50" s="19"/>
      <c r="N50" s="19"/>
      <c r="O50" s="19"/>
      <c r="P50" s="19"/>
      <c r="Q50" s="19"/>
      <c r="R50" s="19"/>
      <c r="S50" s="19"/>
      <c r="U50" t="str">
        <f>IFERROR(MATCH(40,'MiT Strom Pipeline'!$AB$6:$AB$860,0)+5,"")</f>
        <v/>
      </c>
    </row>
    <row r="51" spans="1:21" ht="15.75" customHeight="1">
      <c r="A51" s="23" t="str">
        <f>IF($U51="","",IF(ISNUMBER(INDEX('MiT Strom Pipeline'!$A:$A,$U51)),INDEX('MiT Strom Pipeline'!$A:$A,$U51),""))</f>
        <v/>
      </c>
      <c r="B51" s="24" t="str">
        <f>IF($U51="","",IF(INDEX('MiT Strom Pipeline'!$B:$B,$U51)="","",INDEX('MiT Strom Pipeline'!$B:$B,$U51)))</f>
        <v/>
      </c>
      <c r="C51" s="24" t="str">
        <f>IF($U51="","",IF(INDEX('MiT Strom Pipeline'!$C:$C,$U51)="","",INDEX('MiT Strom Pipeline'!$C:$C,$U51)))</f>
        <v/>
      </c>
      <c r="D51" s="24" t="str">
        <f>IF($U51="","",IF(INDEX('MiT Strom Pipeline'!$D:$D,$U51)="","",INDEX('MiT Strom Pipeline'!$D:$D,$U51)))</f>
        <v/>
      </c>
      <c r="E51" s="24" t="str">
        <f>IF($U51="","",IF(INDEX('MiT Strom Pipeline'!$H:$H,$U51)="","",INDEX('MiT Strom Pipeline'!$H:$H,$U51)))</f>
        <v/>
      </c>
      <c r="F51" s="24" t="str">
        <f>IF($U51="","",IF(INDEX('MiT Strom Pipeline'!$E:$E,$U51)="","",INDEX('MiT Strom Pipeline'!$E:$E,$U51)))</f>
        <v/>
      </c>
      <c r="G51" s="25" t="str">
        <f>IF($U51="","",IF(ISNUMBER(INDEX('MiT Strom Pipeline'!$I:$I,$U51)),INDEX('MiT Strom Pipeline'!$I:$I,$U51),0))</f>
        <v/>
      </c>
      <c r="H51" s="25" t="str">
        <f>IF($U51="","",IF(ISNUMBER(INDEX('MiT Strom Pipeline'!$Q:$Q,$U51)),INDEX('MiT Strom Pipeline'!$Q:$Q,$U51),0))</f>
        <v/>
      </c>
      <c r="I51" s="24" t="str">
        <f>IF($U51="","",INDEX('MiT Strom Pipeline'!$R:$R,$U51))</f>
        <v/>
      </c>
      <c r="J51" s="26" t="str">
        <f>IF($U51="","",IF(ISNUMBER(INDEX('MiT Strom Pipeline'!$S:$S,$U51)),INDEX('MiT Strom Pipeline'!$S:$S,$U51),""))</f>
        <v/>
      </c>
      <c r="K51" s="24" t="str">
        <f>IF($U51="","",IF(LEN(INDEX('MiT Strom Pipeline'!$V:$V,$U51))&gt;0,LEFT(INDEX('MiT Strom Pipeline'!$V:$V,$U51),55),""))</f>
        <v/>
      </c>
      <c r="L51" s="19"/>
      <c r="M51" s="19"/>
      <c r="N51" s="19"/>
      <c r="O51" s="19"/>
      <c r="P51" s="19"/>
      <c r="Q51" s="19"/>
      <c r="R51" s="19"/>
      <c r="S51" s="19"/>
      <c r="U51" t="str">
        <f>IFERROR(MATCH(41,'MiT Strom Pipeline'!$AB$6:$AB$860,0)+5,"")</f>
        <v/>
      </c>
    </row>
    <row r="52" spans="1:21" ht="15.75" customHeight="1">
      <c r="A52" s="23" t="str">
        <f>IF($U52="","",IF(ISNUMBER(INDEX('MiT Strom Pipeline'!$A:$A,$U52)),INDEX('MiT Strom Pipeline'!$A:$A,$U52),""))</f>
        <v/>
      </c>
      <c r="B52" s="24" t="str">
        <f>IF($U52="","",IF(INDEX('MiT Strom Pipeline'!$B:$B,$U52)="","",INDEX('MiT Strom Pipeline'!$B:$B,$U52)))</f>
        <v/>
      </c>
      <c r="C52" s="24" t="str">
        <f>IF($U52="","",IF(INDEX('MiT Strom Pipeline'!$C:$C,$U52)="","",INDEX('MiT Strom Pipeline'!$C:$C,$U52)))</f>
        <v/>
      </c>
      <c r="D52" s="24" t="str">
        <f>IF($U52="","",IF(INDEX('MiT Strom Pipeline'!$D:$D,$U52)="","",INDEX('MiT Strom Pipeline'!$D:$D,$U52)))</f>
        <v/>
      </c>
      <c r="E52" s="24" t="str">
        <f>IF($U52="","",IF(INDEX('MiT Strom Pipeline'!$H:$H,$U52)="","",INDEX('MiT Strom Pipeline'!$H:$H,$U52)))</f>
        <v/>
      </c>
      <c r="F52" s="24" t="str">
        <f>IF($U52="","",IF(INDEX('MiT Strom Pipeline'!$E:$E,$U52)="","",INDEX('MiT Strom Pipeline'!$E:$E,$U52)))</f>
        <v/>
      </c>
      <c r="G52" s="25" t="str">
        <f>IF($U52="","",IF(ISNUMBER(INDEX('MiT Strom Pipeline'!$I:$I,$U52)),INDEX('MiT Strom Pipeline'!$I:$I,$U52),0))</f>
        <v/>
      </c>
      <c r="H52" s="25" t="str">
        <f>IF($U52="","",IF(ISNUMBER(INDEX('MiT Strom Pipeline'!$Q:$Q,$U52)),INDEX('MiT Strom Pipeline'!$Q:$Q,$U52),0))</f>
        <v/>
      </c>
      <c r="I52" s="24" t="str">
        <f>IF($U52="","",INDEX('MiT Strom Pipeline'!$R:$R,$U52))</f>
        <v/>
      </c>
      <c r="J52" s="26" t="str">
        <f>IF($U52="","",IF(ISNUMBER(INDEX('MiT Strom Pipeline'!$S:$S,$U52)),INDEX('MiT Strom Pipeline'!$S:$S,$U52),""))</f>
        <v/>
      </c>
      <c r="K52" s="24" t="str">
        <f>IF($U52="","",IF(LEN(INDEX('MiT Strom Pipeline'!$V:$V,$U52))&gt;0,LEFT(INDEX('MiT Strom Pipeline'!$V:$V,$U52),55),""))</f>
        <v/>
      </c>
      <c r="L52" s="19"/>
      <c r="M52" s="19"/>
      <c r="N52" s="19"/>
      <c r="O52" s="19"/>
      <c r="P52" s="19"/>
      <c r="Q52" s="19"/>
      <c r="R52" s="19"/>
      <c r="S52" s="19"/>
      <c r="U52" t="str">
        <f>IFERROR(MATCH(42,'MiT Strom Pipeline'!$AB$6:$AB$860,0)+5,"")</f>
        <v/>
      </c>
    </row>
    <row r="53" spans="1:21" ht="15.75" customHeight="1">
      <c r="A53" s="23" t="str">
        <f>IF($U53="","",IF(ISNUMBER(INDEX('MiT Strom Pipeline'!$A:$A,$U53)),INDEX('MiT Strom Pipeline'!$A:$A,$U53),""))</f>
        <v/>
      </c>
      <c r="B53" s="24" t="str">
        <f>IF($U53="","",IF(INDEX('MiT Strom Pipeline'!$B:$B,$U53)="","",INDEX('MiT Strom Pipeline'!$B:$B,$U53)))</f>
        <v/>
      </c>
      <c r="C53" s="24" t="str">
        <f>IF($U53="","",IF(INDEX('MiT Strom Pipeline'!$C:$C,$U53)="","",INDEX('MiT Strom Pipeline'!$C:$C,$U53)))</f>
        <v/>
      </c>
      <c r="D53" s="24" t="str">
        <f>IF($U53="","",IF(INDEX('MiT Strom Pipeline'!$D:$D,$U53)="","",INDEX('MiT Strom Pipeline'!$D:$D,$U53)))</f>
        <v/>
      </c>
      <c r="E53" s="24" t="str">
        <f>IF($U53="","",IF(INDEX('MiT Strom Pipeline'!$H:$H,$U53)="","",INDEX('MiT Strom Pipeline'!$H:$H,$U53)))</f>
        <v/>
      </c>
      <c r="F53" s="24" t="str">
        <f>IF($U53="","",IF(INDEX('MiT Strom Pipeline'!$E:$E,$U53)="","",INDEX('MiT Strom Pipeline'!$E:$E,$U53)))</f>
        <v/>
      </c>
      <c r="G53" s="25" t="str">
        <f>IF($U53="","",IF(ISNUMBER(INDEX('MiT Strom Pipeline'!$I:$I,$U53)),INDEX('MiT Strom Pipeline'!$I:$I,$U53),0))</f>
        <v/>
      </c>
      <c r="H53" s="25" t="str">
        <f>IF($U53="","",IF(ISNUMBER(INDEX('MiT Strom Pipeline'!$Q:$Q,$U53)),INDEX('MiT Strom Pipeline'!$Q:$Q,$U53),0))</f>
        <v/>
      </c>
      <c r="I53" s="24" t="str">
        <f>IF($U53="","",INDEX('MiT Strom Pipeline'!$R:$R,$U53))</f>
        <v/>
      </c>
      <c r="J53" s="26" t="str">
        <f>IF($U53="","",IF(ISNUMBER(INDEX('MiT Strom Pipeline'!$S:$S,$U53)),INDEX('MiT Strom Pipeline'!$S:$S,$U53),""))</f>
        <v/>
      </c>
      <c r="K53" s="24" t="str">
        <f>IF($U53="","",IF(LEN(INDEX('MiT Strom Pipeline'!$V:$V,$U53))&gt;0,LEFT(INDEX('MiT Strom Pipeline'!$V:$V,$U53),55),""))</f>
        <v/>
      </c>
      <c r="L53" s="19"/>
      <c r="M53" s="19"/>
      <c r="N53" s="19"/>
      <c r="O53" s="19"/>
      <c r="P53" s="19"/>
      <c r="Q53" s="19"/>
      <c r="R53" s="19"/>
      <c r="S53" s="19"/>
      <c r="U53" t="str">
        <f>IFERROR(MATCH(43,'MiT Strom Pipeline'!$AB$6:$AB$860,0)+5,"")</f>
        <v/>
      </c>
    </row>
    <row r="54" spans="1:21" ht="15.75" customHeight="1">
      <c r="A54" s="23" t="str">
        <f>IF($U54="","",IF(ISNUMBER(INDEX('MiT Strom Pipeline'!$A:$A,$U54)),INDEX('MiT Strom Pipeline'!$A:$A,$U54),""))</f>
        <v/>
      </c>
      <c r="B54" s="24" t="str">
        <f>IF($U54="","",IF(INDEX('MiT Strom Pipeline'!$B:$B,$U54)="","",INDEX('MiT Strom Pipeline'!$B:$B,$U54)))</f>
        <v/>
      </c>
      <c r="C54" s="24" t="str">
        <f>IF($U54="","",IF(INDEX('MiT Strom Pipeline'!$C:$C,$U54)="","",INDEX('MiT Strom Pipeline'!$C:$C,$U54)))</f>
        <v/>
      </c>
      <c r="D54" s="24" t="str">
        <f>IF($U54="","",IF(INDEX('MiT Strom Pipeline'!$D:$D,$U54)="","",INDEX('MiT Strom Pipeline'!$D:$D,$U54)))</f>
        <v/>
      </c>
      <c r="E54" s="24" t="str">
        <f>IF($U54="","",IF(INDEX('MiT Strom Pipeline'!$H:$H,$U54)="","",INDEX('MiT Strom Pipeline'!$H:$H,$U54)))</f>
        <v/>
      </c>
      <c r="F54" s="24" t="str">
        <f>IF($U54="","",IF(INDEX('MiT Strom Pipeline'!$E:$E,$U54)="","",INDEX('MiT Strom Pipeline'!$E:$E,$U54)))</f>
        <v/>
      </c>
      <c r="G54" s="25" t="str">
        <f>IF($U54="","",IF(ISNUMBER(INDEX('MiT Strom Pipeline'!$I:$I,$U54)),INDEX('MiT Strom Pipeline'!$I:$I,$U54),0))</f>
        <v/>
      </c>
      <c r="H54" s="25" t="str">
        <f>IF($U54="","",IF(ISNUMBER(INDEX('MiT Strom Pipeline'!$Q:$Q,$U54)),INDEX('MiT Strom Pipeline'!$Q:$Q,$U54),0))</f>
        <v/>
      </c>
      <c r="I54" s="24" t="str">
        <f>IF($U54="","",INDEX('MiT Strom Pipeline'!$R:$R,$U54))</f>
        <v/>
      </c>
      <c r="J54" s="26" t="str">
        <f>IF($U54="","",IF(ISNUMBER(INDEX('MiT Strom Pipeline'!$S:$S,$U54)),INDEX('MiT Strom Pipeline'!$S:$S,$U54),""))</f>
        <v/>
      </c>
      <c r="K54" s="24" t="str">
        <f>IF($U54="","",IF(LEN(INDEX('MiT Strom Pipeline'!$V:$V,$U54))&gt;0,LEFT(INDEX('MiT Strom Pipeline'!$V:$V,$U54),55),""))</f>
        <v/>
      </c>
      <c r="L54" s="19"/>
      <c r="M54" s="19"/>
      <c r="N54" s="19"/>
      <c r="O54" s="19"/>
      <c r="P54" s="19"/>
      <c r="Q54" s="19"/>
      <c r="R54" s="19"/>
      <c r="S54" s="19"/>
      <c r="U54" t="str">
        <f>IFERROR(MATCH(44,'MiT Strom Pipeline'!$AB$6:$AB$860,0)+5,"")</f>
        <v/>
      </c>
    </row>
    <row r="55" spans="1:21" ht="15.75" customHeight="1">
      <c r="A55" s="23" t="str">
        <f>IF($U55="","",IF(ISNUMBER(INDEX('MiT Strom Pipeline'!$A:$A,$U55)),INDEX('MiT Strom Pipeline'!$A:$A,$U55),""))</f>
        <v/>
      </c>
      <c r="B55" s="24" t="str">
        <f>IF($U55="","",IF(INDEX('MiT Strom Pipeline'!$B:$B,$U55)="","",INDEX('MiT Strom Pipeline'!$B:$B,$U55)))</f>
        <v/>
      </c>
      <c r="C55" s="24" t="str">
        <f>IF($U55="","",IF(INDEX('MiT Strom Pipeline'!$C:$C,$U55)="","",INDEX('MiT Strom Pipeline'!$C:$C,$U55)))</f>
        <v/>
      </c>
      <c r="D55" s="24" t="str">
        <f>IF($U55="","",IF(INDEX('MiT Strom Pipeline'!$D:$D,$U55)="","",INDEX('MiT Strom Pipeline'!$D:$D,$U55)))</f>
        <v/>
      </c>
      <c r="E55" s="24" t="str">
        <f>IF($U55="","",IF(INDEX('MiT Strom Pipeline'!$H:$H,$U55)="","",INDEX('MiT Strom Pipeline'!$H:$H,$U55)))</f>
        <v/>
      </c>
      <c r="F55" s="24" t="str">
        <f>IF($U55="","",IF(INDEX('MiT Strom Pipeline'!$E:$E,$U55)="","",INDEX('MiT Strom Pipeline'!$E:$E,$U55)))</f>
        <v/>
      </c>
      <c r="G55" s="25" t="str">
        <f>IF($U55="","",IF(ISNUMBER(INDEX('MiT Strom Pipeline'!$I:$I,$U55)),INDEX('MiT Strom Pipeline'!$I:$I,$U55),0))</f>
        <v/>
      </c>
      <c r="H55" s="25" t="str">
        <f>IF($U55="","",IF(ISNUMBER(INDEX('MiT Strom Pipeline'!$Q:$Q,$U55)),INDEX('MiT Strom Pipeline'!$Q:$Q,$U55),0))</f>
        <v/>
      </c>
      <c r="I55" s="24" t="str">
        <f>IF($U55="","",INDEX('MiT Strom Pipeline'!$R:$R,$U55))</f>
        <v/>
      </c>
      <c r="J55" s="26" t="str">
        <f>IF($U55="","",IF(ISNUMBER(INDEX('MiT Strom Pipeline'!$S:$S,$U55)),INDEX('MiT Strom Pipeline'!$S:$S,$U55),""))</f>
        <v/>
      </c>
      <c r="K55" s="24" t="str">
        <f>IF($U55="","",IF(LEN(INDEX('MiT Strom Pipeline'!$V:$V,$U55))&gt;0,LEFT(INDEX('MiT Strom Pipeline'!$V:$V,$U55),55),""))</f>
        <v/>
      </c>
      <c r="L55" s="19"/>
      <c r="M55" s="19"/>
      <c r="N55" s="19"/>
      <c r="O55" s="19"/>
      <c r="P55" s="19"/>
      <c r="Q55" s="19"/>
      <c r="R55" s="19"/>
      <c r="S55" s="19"/>
      <c r="U55" t="str">
        <f>IFERROR(MATCH(45,'MiT Strom Pipeline'!$AB$6:$AB$860,0)+5,"")</f>
        <v/>
      </c>
    </row>
    <row r="56" spans="1:21" ht="15.75" customHeight="1">
      <c r="A56" s="23" t="str">
        <f>IF($U56="","",IF(ISNUMBER(INDEX('MiT Strom Pipeline'!$A:$A,$U56)),INDEX('MiT Strom Pipeline'!$A:$A,$U56),""))</f>
        <v/>
      </c>
      <c r="B56" s="24" t="str">
        <f>IF($U56="","",IF(INDEX('MiT Strom Pipeline'!$B:$B,$U56)="","",INDEX('MiT Strom Pipeline'!$B:$B,$U56)))</f>
        <v/>
      </c>
      <c r="C56" s="24" t="str">
        <f>IF($U56="","",IF(INDEX('MiT Strom Pipeline'!$C:$C,$U56)="","",INDEX('MiT Strom Pipeline'!$C:$C,$U56)))</f>
        <v/>
      </c>
      <c r="D56" s="24" t="str">
        <f>IF($U56="","",IF(INDEX('MiT Strom Pipeline'!$D:$D,$U56)="","",INDEX('MiT Strom Pipeline'!$D:$D,$U56)))</f>
        <v/>
      </c>
      <c r="E56" s="24" t="str">
        <f>IF($U56="","",IF(INDEX('MiT Strom Pipeline'!$H:$H,$U56)="","",INDEX('MiT Strom Pipeline'!$H:$H,$U56)))</f>
        <v/>
      </c>
      <c r="F56" s="24" t="str">
        <f>IF($U56="","",IF(INDEX('MiT Strom Pipeline'!$E:$E,$U56)="","",INDEX('MiT Strom Pipeline'!$E:$E,$U56)))</f>
        <v/>
      </c>
      <c r="G56" s="25" t="str">
        <f>IF($U56="","",IF(ISNUMBER(INDEX('MiT Strom Pipeline'!$I:$I,$U56)),INDEX('MiT Strom Pipeline'!$I:$I,$U56),0))</f>
        <v/>
      </c>
      <c r="H56" s="25" t="str">
        <f>IF($U56="","",IF(ISNUMBER(INDEX('MiT Strom Pipeline'!$Q:$Q,$U56)),INDEX('MiT Strom Pipeline'!$Q:$Q,$U56),0))</f>
        <v/>
      </c>
      <c r="I56" s="24" t="str">
        <f>IF($U56="","",INDEX('MiT Strom Pipeline'!$R:$R,$U56))</f>
        <v/>
      </c>
      <c r="J56" s="26" t="str">
        <f>IF($U56="","",IF(ISNUMBER(INDEX('MiT Strom Pipeline'!$S:$S,$U56)),INDEX('MiT Strom Pipeline'!$S:$S,$U56),""))</f>
        <v/>
      </c>
      <c r="K56" s="24" t="str">
        <f>IF($U56="","",IF(LEN(INDEX('MiT Strom Pipeline'!$V:$V,$U56))&gt;0,LEFT(INDEX('MiT Strom Pipeline'!$V:$V,$U56),55),""))</f>
        <v/>
      </c>
      <c r="L56" s="19"/>
      <c r="M56" s="19"/>
      <c r="N56" s="19"/>
      <c r="O56" s="19"/>
      <c r="P56" s="19"/>
      <c r="Q56" s="19"/>
      <c r="R56" s="19"/>
      <c r="S56" s="19"/>
      <c r="U56" t="str">
        <f>IFERROR(MATCH(46,'MiT Strom Pipeline'!$AB$6:$AB$860,0)+5,"")</f>
        <v/>
      </c>
    </row>
    <row r="57" spans="1:21" ht="15.75" customHeight="1">
      <c r="A57" s="23" t="str">
        <f>IF($U57="","",IF(ISNUMBER(INDEX('MiT Strom Pipeline'!$A:$A,$U57)),INDEX('MiT Strom Pipeline'!$A:$A,$U57),""))</f>
        <v/>
      </c>
      <c r="B57" s="24" t="str">
        <f>IF($U57="","",IF(INDEX('MiT Strom Pipeline'!$B:$B,$U57)="","",INDEX('MiT Strom Pipeline'!$B:$B,$U57)))</f>
        <v/>
      </c>
      <c r="C57" s="24" t="str">
        <f>IF($U57="","",IF(INDEX('MiT Strom Pipeline'!$C:$C,$U57)="","",INDEX('MiT Strom Pipeline'!$C:$C,$U57)))</f>
        <v/>
      </c>
      <c r="D57" s="24" t="str">
        <f>IF($U57="","",IF(INDEX('MiT Strom Pipeline'!$D:$D,$U57)="","",INDEX('MiT Strom Pipeline'!$D:$D,$U57)))</f>
        <v/>
      </c>
      <c r="E57" s="24" t="str">
        <f>IF($U57="","",IF(INDEX('MiT Strom Pipeline'!$H:$H,$U57)="","",INDEX('MiT Strom Pipeline'!$H:$H,$U57)))</f>
        <v/>
      </c>
      <c r="F57" s="24" t="str">
        <f>IF($U57="","",IF(INDEX('MiT Strom Pipeline'!$E:$E,$U57)="","",INDEX('MiT Strom Pipeline'!$E:$E,$U57)))</f>
        <v/>
      </c>
      <c r="G57" s="25" t="str">
        <f>IF($U57="","",IF(ISNUMBER(INDEX('MiT Strom Pipeline'!$I:$I,$U57)),INDEX('MiT Strom Pipeline'!$I:$I,$U57),0))</f>
        <v/>
      </c>
      <c r="H57" s="25" t="str">
        <f>IF($U57="","",IF(ISNUMBER(INDEX('MiT Strom Pipeline'!$Q:$Q,$U57)),INDEX('MiT Strom Pipeline'!$Q:$Q,$U57),0))</f>
        <v/>
      </c>
      <c r="I57" s="24" t="str">
        <f>IF($U57="","",INDEX('MiT Strom Pipeline'!$R:$R,$U57))</f>
        <v/>
      </c>
      <c r="J57" s="26" t="str">
        <f>IF($U57="","",IF(ISNUMBER(INDEX('MiT Strom Pipeline'!$S:$S,$U57)),INDEX('MiT Strom Pipeline'!$S:$S,$U57),""))</f>
        <v/>
      </c>
      <c r="K57" s="24" t="str">
        <f>IF($U57="","",IF(LEN(INDEX('MiT Strom Pipeline'!$V:$V,$U57))&gt;0,LEFT(INDEX('MiT Strom Pipeline'!$V:$V,$U57),55),""))</f>
        <v/>
      </c>
      <c r="L57" s="19"/>
      <c r="M57" s="19"/>
      <c r="N57" s="19"/>
      <c r="O57" s="19"/>
      <c r="P57" s="19"/>
      <c r="Q57" s="19"/>
      <c r="R57" s="19"/>
      <c r="S57" s="19"/>
      <c r="U57" t="str">
        <f>IFERROR(MATCH(47,'MiT Strom Pipeline'!$AB$6:$AB$860,0)+5,"")</f>
        <v/>
      </c>
    </row>
    <row r="58" spans="1:21" ht="15.75" customHeight="1">
      <c r="A58" s="23" t="str">
        <f>IF($U58="","",IF(ISNUMBER(INDEX('MiT Strom Pipeline'!$A:$A,$U58)),INDEX('MiT Strom Pipeline'!$A:$A,$U58),""))</f>
        <v/>
      </c>
      <c r="B58" s="24" t="str">
        <f>IF($U58="","",IF(INDEX('MiT Strom Pipeline'!$B:$B,$U58)="","",INDEX('MiT Strom Pipeline'!$B:$B,$U58)))</f>
        <v/>
      </c>
      <c r="C58" s="24" t="str">
        <f>IF($U58="","",IF(INDEX('MiT Strom Pipeline'!$C:$C,$U58)="","",INDEX('MiT Strom Pipeline'!$C:$C,$U58)))</f>
        <v/>
      </c>
      <c r="D58" s="24" t="str">
        <f>IF($U58="","",IF(INDEX('MiT Strom Pipeline'!$D:$D,$U58)="","",INDEX('MiT Strom Pipeline'!$D:$D,$U58)))</f>
        <v/>
      </c>
      <c r="E58" s="24" t="str">
        <f>IF($U58="","",IF(INDEX('MiT Strom Pipeline'!$H:$H,$U58)="","",INDEX('MiT Strom Pipeline'!$H:$H,$U58)))</f>
        <v/>
      </c>
      <c r="F58" s="24" t="str">
        <f>IF($U58="","",IF(INDEX('MiT Strom Pipeline'!$E:$E,$U58)="","",INDEX('MiT Strom Pipeline'!$E:$E,$U58)))</f>
        <v/>
      </c>
      <c r="G58" s="25" t="str">
        <f>IF($U58="","",IF(ISNUMBER(INDEX('MiT Strom Pipeline'!$I:$I,$U58)),INDEX('MiT Strom Pipeline'!$I:$I,$U58),0))</f>
        <v/>
      </c>
      <c r="H58" s="25" t="str">
        <f>IF($U58="","",IF(ISNUMBER(INDEX('MiT Strom Pipeline'!$Q:$Q,$U58)),INDEX('MiT Strom Pipeline'!$Q:$Q,$U58),0))</f>
        <v/>
      </c>
      <c r="I58" s="24" t="str">
        <f>IF($U58="","",INDEX('MiT Strom Pipeline'!$R:$R,$U58))</f>
        <v/>
      </c>
      <c r="J58" s="26" t="str">
        <f>IF($U58="","",IF(ISNUMBER(INDEX('MiT Strom Pipeline'!$S:$S,$U58)),INDEX('MiT Strom Pipeline'!$S:$S,$U58),""))</f>
        <v/>
      </c>
      <c r="K58" s="24" t="str">
        <f>IF($U58="","",IF(LEN(INDEX('MiT Strom Pipeline'!$V:$V,$U58))&gt;0,LEFT(INDEX('MiT Strom Pipeline'!$V:$V,$U58),55),""))</f>
        <v/>
      </c>
      <c r="L58" s="19"/>
      <c r="M58" s="19"/>
      <c r="N58" s="19"/>
      <c r="O58" s="19"/>
      <c r="P58" s="19"/>
      <c r="Q58" s="19"/>
      <c r="R58" s="19"/>
      <c r="S58" s="19"/>
      <c r="U58" t="str">
        <f>IFERROR(MATCH(48,'MiT Strom Pipeline'!$AB$6:$AB$860,0)+5,"")</f>
        <v/>
      </c>
    </row>
    <row r="59" spans="1:21" ht="15.75" customHeight="1">
      <c r="A59" s="23" t="str">
        <f>IF($U59="","",IF(ISNUMBER(INDEX('MiT Strom Pipeline'!$A:$A,$U59)),INDEX('MiT Strom Pipeline'!$A:$A,$U59),""))</f>
        <v/>
      </c>
      <c r="B59" s="24" t="str">
        <f>IF($U59="","",IF(INDEX('MiT Strom Pipeline'!$B:$B,$U59)="","",INDEX('MiT Strom Pipeline'!$B:$B,$U59)))</f>
        <v/>
      </c>
      <c r="C59" s="24" t="str">
        <f>IF($U59="","",IF(INDEX('MiT Strom Pipeline'!$C:$C,$U59)="","",INDEX('MiT Strom Pipeline'!$C:$C,$U59)))</f>
        <v/>
      </c>
      <c r="D59" s="24" t="str">
        <f>IF($U59="","",IF(INDEX('MiT Strom Pipeline'!$D:$D,$U59)="","",INDEX('MiT Strom Pipeline'!$D:$D,$U59)))</f>
        <v/>
      </c>
      <c r="E59" s="24" t="str">
        <f>IF($U59="","",IF(INDEX('MiT Strom Pipeline'!$H:$H,$U59)="","",INDEX('MiT Strom Pipeline'!$H:$H,$U59)))</f>
        <v/>
      </c>
      <c r="F59" s="24" t="str">
        <f>IF($U59="","",IF(INDEX('MiT Strom Pipeline'!$E:$E,$U59)="","",INDEX('MiT Strom Pipeline'!$E:$E,$U59)))</f>
        <v/>
      </c>
      <c r="G59" s="25" t="str">
        <f>IF($U59="","",IF(ISNUMBER(INDEX('MiT Strom Pipeline'!$I:$I,$U59)),INDEX('MiT Strom Pipeline'!$I:$I,$U59),0))</f>
        <v/>
      </c>
      <c r="H59" s="25" t="str">
        <f>IF($U59="","",IF(ISNUMBER(INDEX('MiT Strom Pipeline'!$Q:$Q,$U59)),INDEX('MiT Strom Pipeline'!$Q:$Q,$U59),0))</f>
        <v/>
      </c>
      <c r="I59" s="24" t="str">
        <f>IF($U59="","",INDEX('MiT Strom Pipeline'!$R:$R,$U59))</f>
        <v/>
      </c>
      <c r="J59" s="26" t="str">
        <f>IF($U59="","",IF(ISNUMBER(INDEX('MiT Strom Pipeline'!$S:$S,$U59)),INDEX('MiT Strom Pipeline'!$S:$S,$U59),""))</f>
        <v/>
      </c>
      <c r="K59" s="24" t="str">
        <f>IF($U59="","",IF(LEN(INDEX('MiT Strom Pipeline'!$V:$V,$U59))&gt;0,LEFT(INDEX('MiT Strom Pipeline'!$V:$V,$U59),55),""))</f>
        <v/>
      </c>
      <c r="L59" s="19"/>
      <c r="M59" s="19"/>
      <c r="N59" s="19"/>
      <c r="O59" s="19"/>
      <c r="P59" s="19"/>
      <c r="Q59" s="19"/>
      <c r="R59" s="19"/>
      <c r="S59" s="19"/>
      <c r="U59" t="str">
        <f>IFERROR(MATCH(49,'MiT Strom Pipeline'!$AB$6:$AB$860,0)+5,"")</f>
        <v/>
      </c>
    </row>
    <row r="60" spans="1:21" ht="15.75" customHeight="1">
      <c r="A60" s="23" t="str">
        <f>IF($U60="","",IF(ISNUMBER(INDEX('MiT Strom Pipeline'!$A:$A,$U60)),INDEX('MiT Strom Pipeline'!$A:$A,$U60),""))</f>
        <v/>
      </c>
      <c r="B60" s="24" t="str">
        <f>IF($U60="","",IF(INDEX('MiT Strom Pipeline'!$B:$B,$U60)="","",INDEX('MiT Strom Pipeline'!$B:$B,$U60)))</f>
        <v/>
      </c>
      <c r="C60" s="24" t="str">
        <f>IF($U60="","",IF(INDEX('MiT Strom Pipeline'!$C:$C,$U60)="","",INDEX('MiT Strom Pipeline'!$C:$C,$U60)))</f>
        <v/>
      </c>
      <c r="D60" s="24" t="str">
        <f>IF($U60="","",IF(INDEX('MiT Strom Pipeline'!$D:$D,$U60)="","",INDEX('MiT Strom Pipeline'!$D:$D,$U60)))</f>
        <v/>
      </c>
      <c r="E60" s="24" t="str">
        <f>IF($U60="","",IF(INDEX('MiT Strom Pipeline'!$H:$H,$U60)="","",INDEX('MiT Strom Pipeline'!$H:$H,$U60)))</f>
        <v/>
      </c>
      <c r="F60" s="24" t="str">
        <f>IF($U60="","",IF(INDEX('MiT Strom Pipeline'!$E:$E,$U60)="","",INDEX('MiT Strom Pipeline'!$E:$E,$U60)))</f>
        <v/>
      </c>
      <c r="G60" s="25" t="str">
        <f>IF($U60="","",IF(ISNUMBER(INDEX('MiT Strom Pipeline'!$I:$I,$U60)),INDEX('MiT Strom Pipeline'!$I:$I,$U60),0))</f>
        <v/>
      </c>
      <c r="H60" s="25" t="str">
        <f>IF($U60="","",IF(ISNUMBER(INDEX('MiT Strom Pipeline'!$Q:$Q,$U60)),INDEX('MiT Strom Pipeline'!$Q:$Q,$U60),0))</f>
        <v/>
      </c>
      <c r="I60" s="24" t="str">
        <f>IF($U60="","",INDEX('MiT Strom Pipeline'!$R:$R,$U60))</f>
        <v/>
      </c>
      <c r="J60" s="26" t="str">
        <f>IF($U60="","",IF(ISNUMBER(INDEX('MiT Strom Pipeline'!$S:$S,$U60)),INDEX('MiT Strom Pipeline'!$S:$S,$U60),""))</f>
        <v/>
      </c>
      <c r="K60" s="24" t="str">
        <f>IF($U60="","",IF(LEN(INDEX('MiT Strom Pipeline'!$V:$V,$U60))&gt;0,LEFT(INDEX('MiT Strom Pipeline'!$V:$V,$U60),55),""))</f>
        <v/>
      </c>
      <c r="L60" s="19"/>
      <c r="M60" s="19"/>
      <c r="N60" s="19"/>
      <c r="O60" s="19"/>
      <c r="P60" s="19"/>
      <c r="Q60" s="19"/>
      <c r="R60" s="19"/>
      <c r="S60" s="19"/>
      <c r="U60" t="str">
        <f>IFERROR(MATCH(50,'MiT Strom Pipeline'!$AB$6:$AB$860,0)+5,"")</f>
        <v/>
      </c>
    </row>
    <row r="61" spans="1:21" ht="15.75" customHeight="1">
      <c r="A61" s="23" t="str">
        <f>IF($U61="","",IF(ISNUMBER(INDEX('MiT Strom Pipeline'!$A:$A,$U61)),INDEX('MiT Strom Pipeline'!$A:$A,$U61),""))</f>
        <v/>
      </c>
      <c r="B61" s="24" t="str">
        <f>IF($U61="","",IF(INDEX('MiT Strom Pipeline'!$B:$B,$U61)="","",INDEX('MiT Strom Pipeline'!$B:$B,$U61)))</f>
        <v/>
      </c>
      <c r="C61" s="24" t="str">
        <f>IF($U61="","",IF(INDEX('MiT Strom Pipeline'!$C:$C,$U61)="","",INDEX('MiT Strom Pipeline'!$C:$C,$U61)))</f>
        <v/>
      </c>
      <c r="D61" s="24" t="str">
        <f>IF($U61="","",IF(INDEX('MiT Strom Pipeline'!$D:$D,$U61)="","",INDEX('MiT Strom Pipeline'!$D:$D,$U61)))</f>
        <v/>
      </c>
      <c r="E61" s="24" t="str">
        <f>IF($U61="","",IF(INDEX('MiT Strom Pipeline'!$H:$H,$U61)="","",INDEX('MiT Strom Pipeline'!$H:$H,$U61)))</f>
        <v/>
      </c>
      <c r="F61" s="24" t="str">
        <f>IF($U61="","",IF(INDEX('MiT Strom Pipeline'!$E:$E,$U61)="","",INDEX('MiT Strom Pipeline'!$E:$E,$U61)))</f>
        <v/>
      </c>
      <c r="G61" s="25" t="str">
        <f>IF($U61="","",IF(ISNUMBER(INDEX('MiT Strom Pipeline'!$I:$I,$U61)),INDEX('MiT Strom Pipeline'!$I:$I,$U61),0))</f>
        <v/>
      </c>
      <c r="H61" s="25" t="str">
        <f>IF($U61="","",IF(ISNUMBER(INDEX('MiT Strom Pipeline'!$Q:$Q,$U61)),INDEX('MiT Strom Pipeline'!$Q:$Q,$U61),0))</f>
        <v/>
      </c>
      <c r="I61" s="24" t="str">
        <f>IF($U61="","",INDEX('MiT Strom Pipeline'!$R:$R,$U61))</f>
        <v/>
      </c>
      <c r="J61" s="26" t="str">
        <f>IF($U61="","",IF(ISNUMBER(INDEX('MiT Strom Pipeline'!$S:$S,$U61)),INDEX('MiT Strom Pipeline'!$S:$S,$U61),""))</f>
        <v/>
      </c>
      <c r="K61" s="24" t="str">
        <f>IF($U61="","",IF(LEN(INDEX('MiT Strom Pipeline'!$V:$V,$U61))&gt;0,LEFT(INDEX('MiT Strom Pipeline'!$V:$V,$U61),55),""))</f>
        <v/>
      </c>
      <c r="L61" s="19"/>
      <c r="M61" s="19"/>
      <c r="N61" s="19"/>
      <c r="O61" s="19"/>
      <c r="P61" s="19"/>
      <c r="Q61" s="19"/>
      <c r="R61" s="19"/>
      <c r="S61" s="19"/>
      <c r="U61" t="str">
        <f>IFERROR(MATCH(51,'MiT Strom Pipeline'!$AB$6:$AB$860,0)+5,"")</f>
        <v/>
      </c>
    </row>
    <row r="62" spans="1:21" ht="15.75" customHeight="1">
      <c r="A62" s="23" t="str">
        <f>IF($U62="","",IF(ISNUMBER(INDEX('MiT Strom Pipeline'!$A:$A,$U62)),INDEX('MiT Strom Pipeline'!$A:$A,$U62),""))</f>
        <v/>
      </c>
      <c r="B62" s="24" t="str">
        <f>IF($U62="","",IF(INDEX('MiT Strom Pipeline'!$B:$B,$U62)="","",INDEX('MiT Strom Pipeline'!$B:$B,$U62)))</f>
        <v/>
      </c>
      <c r="C62" s="24" t="str">
        <f>IF($U62="","",IF(INDEX('MiT Strom Pipeline'!$C:$C,$U62)="","",INDEX('MiT Strom Pipeline'!$C:$C,$U62)))</f>
        <v/>
      </c>
      <c r="D62" s="24" t="str">
        <f>IF($U62="","",IF(INDEX('MiT Strom Pipeline'!$D:$D,$U62)="","",INDEX('MiT Strom Pipeline'!$D:$D,$U62)))</f>
        <v/>
      </c>
      <c r="E62" s="24" t="str">
        <f>IF($U62="","",IF(INDEX('MiT Strom Pipeline'!$H:$H,$U62)="","",INDEX('MiT Strom Pipeline'!$H:$H,$U62)))</f>
        <v/>
      </c>
      <c r="F62" s="24" t="str">
        <f>IF($U62="","",IF(INDEX('MiT Strom Pipeline'!$E:$E,$U62)="","",INDEX('MiT Strom Pipeline'!$E:$E,$U62)))</f>
        <v/>
      </c>
      <c r="G62" s="25" t="str">
        <f>IF($U62="","",IF(ISNUMBER(INDEX('MiT Strom Pipeline'!$I:$I,$U62)),INDEX('MiT Strom Pipeline'!$I:$I,$U62),0))</f>
        <v/>
      </c>
      <c r="H62" s="25" t="str">
        <f>IF($U62="","",IF(ISNUMBER(INDEX('MiT Strom Pipeline'!$Q:$Q,$U62)),INDEX('MiT Strom Pipeline'!$Q:$Q,$U62),0))</f>
        <v/>
      </c>
      <c r="I62" s="24" t="str">
        <f>IF($U62="","",INDEX('MiT Strom Pipeline'!$R:$R,$U62))</f>
        <v/>
      </c>
      <c r="J62" s="26" t="str">
        <f>IF($U62="","",IF(ISNUMBER(INDEX('MiT Strom Pipeline'!$S:$S,$U62)),INDEX('MiT Strom Pipeline'!$S:$S,$U62),""))</f>
        <v/>
      </c>
      <c r="K62" s="24" t="str">
        <f>IF($U62="","",IF(LEN(INDEX('MiT Strom Pipeline'!$V:$V,$U62))&gt;0,LEFT(INDEX('MiT Strom Pipeline'!$V:$V,$U62),55),""))</f>
        <v/>
      </c>
      <c r="L62" s="19"/>
      <c r="M62" s="19"/>
      <c r="N62" s="19"/>
      <c r="O62" s="19"/>
      <c r="P62" s="19"/>
      <c r="Q62" s="19"/>
      <c r="R62" s="19"/>
      <c r="S62" s="19"/>
      <c r="U62" t="str">
        <f>IFERROR(MATCH(52,'MiT Strom Pipeline'!$AB$6:$AB$860,0)+5,"")</f>
        <v/>
      </c>
    </row>
    <row r="63" spans="1:21" ht="15.75" customHeight="1">
      <c r="A63" s="23" t="str">
        <f>IF($U63="","",IF(ISNUMBER(INDEX('MiT Strom Pipeline'!$A:$A,$U63)),INDEX('MiT Strom Pipeline'!$A:$A,$U63),""))</f>
        <v/>
      </c>
      <c r="B63" s="24" t="str">
        <f>IF($U63="","",IF(INDEX('MiT Strom Pipeline'!$B:$B,$U63)="","",INDEX('MiT Strom Pipeline'!$B:$B,$U63)))</f>
        <v/>
      </c>
      <c r="C63" s="24" t="str">
        <f>IF($U63="","",IF(INDEX('MiT Strom Pipeline'!$C:$C,$U63)="","",INDEX('MiT Strom Pipeline'!$C:$C,$U63)))</f>
        <v/>
      </c>
      <c r="D63" s="24" t="str">
        <f>IF($U63="","",IF(INDEX('MiT Strom Pipeline'!$D:$D,$U63)="","",INDEX('MiT Strom Pipeline'!$D:$D,$U63)))</f>
        <v/>
      </c>
      <c r="E63" s="24" t="str">
        <f>IF($U63="","",IF(INDEX('MiT Strom Pipeline'!$H:$H,$U63)="","",INDEX('MiT Strom Pipeline'!$H:$H,$U63)))</f>
        <v/>
      </c>
      <c r="F63" s="24" t="str">
        <f>IF($U63="","",IF(INDEX('MiT Strom Pipeline'!$E:$E,$U63)="","",INDEX('MiT Strom Pipeline'!$E:$E,$U63)))</f>
        <v/>
      </c>
      <c r="G63" s="25" t="str">
        <f>IF($U63="","",IF(ISNUMBER(INDEX('MiT Strom Pipeline'!$I:$I,$U63)),INDEX('MiT Strom Pipeline'!$I:$I,$U63),0))</f>
        <v/>
      </c>
      <c r="H63" s="25" t="str">
        <f>IF($U63="","",IF(ISNUMBER(INDEX('MiT Strom Pipeline'!$Q:$Q,$U63)),INDEX('MiT Strom Pipeline'!$Q:$Q,$U63),0))</f>
        <v/>
      </c>
      <c r="I63" s="24" t="str">
        <f>IF($U63="","",INDEX('MiT Strom Pipeline'!$R:$R,$U63))</f>
        <v/>
      </c>
      <c r="J63" s="26" t="str">
        <f>IF($U63="","",IF(ISNUMBER(INDEX('MiT Strom Pipeline'!$S:$S,$U63)),INDEX('MiT Strom Pipeline'!$S:$S,$U63),""))</f>
        <v/>
      </c>
      <c r="K63" s="24" t="str">
        <f>IF($U63="","",IF(LEN(INDEX('MiT Strom Pipeline'!$V:$V,$U63))&gt;0,LEFT(INDEX('MiT Strom Pipeline'!$V:$V,$U63),55),""))</f>
        <v/>
      </c>
      <c r="L63" s="19"/>
      <c r="M63" s="19"/>
      <c r="N63" s="19"/>
      <c r="O63" s="19"/>
      <c r="P63" s="19"/>
      <c r="Q63" s="19"/>
      <c r="R63" s="19"/>
      <c r="S63" s="19"/>
      <c r="U63" t="str">
        <f>IFERROR(MATCH(53,'MiT Strom Pipeline'!$AB$6:$AB$860,0)+5,"")</f>
        <v/>
      </c>
    </row>
    <row r="64" spans="1:21" ht="15.75" customHeight="1">
      <c r="A64" s="23" t="str">
        <f>IF($U64="","",IF(ISNUMBER(INDEX('MiT Strom Pipeline'!$A:$A,$U64)),INDEX('MiT Strom Pipeline'!$A:$A,$U64),""))</f>
        <v/>
      </c>
      <c r="B64" s="24" t="str">
        <f>IF($U64="","",IF(INDEX('MiT Strom Pipeline'!$B:$B,$U64)="","",INDEX('MiT Strom Pipeline'!$B:$B,$U64)))</f>
        <v/>
      </c>
      <c r="C64" s="24" t="str">
        <f>IF($U64="","",IF(INDEX('MiT Strom Pipeline'!$C:$C,$U64)="","",INDEX('MiT Strom Pipeline'!$C:$C,$U64)))</f>
        <v/>
      </c>
      <c r="D64" s="24" t="str">
        <f>IF($U64="","",IF(INDEX('MiT Strom Pipeline'!$D:$D,$U64)="","",INDEX('MiT Strom Pipeline'!$D:$D,$U64)))</f>
        <v/>
      </c>
      <c r="E64" s="24" t="str">
        <f>IF($U64="","",IF(INDEX('MiT Strom Pipeline'!$H:$H,$U64)="","",INDEX('MiT Strom Pipeline'!$H:$H,$U64)))</f>
        <v/>
      </c>
      <c r="F64" s="24" t="str">
        <f>IF($U64="","",IF(INDEX('MiT Strom Pipeline'!$E:$E,$U64)="","",INDEX('MiT Strom Pipeline'!$E:$E,$U64)))</f>
        <v/>
      </c>
      <c r="G64" s="25" t="str">
        <f>IF($U64="","",IF(ISNUMBER(INDEX('MiT Strom Pipeline'!$I:$I,$U64)),INDEX('MiT Strom Pipeline'!$I:$I,$U64),0))</f>
        <v/>
      </c>
      <c r="H64" s="25" t="str">
        <f>IF($U64="","",IF(ISNUMBER(INDEX('MiT Strom Pipeline'!$Q:$Q,$U64)),INDEX('MiT Strom Pipeline'!$Q:$Q,$U64),0))</f>
        <v/>
      </c>
      <c r="I64" s="24" t="str">
        <f>IF($U64="","",INDEX('MiT Strom Pipeline'!$R:$R,$U64))</f>
        <v/>
      </c>
      <c r="J64" s="26" t="str">
        <f>IF($U64="","",IF(ISNUMBER(INDEX('MiT Strom Pipeline'!$S:$S,$U64)),INDEX('MiT Strom Pipeline'!$S:$S,$U64),""))</f>
        <v/>
      </c>
      <c r="K64" s="24" t="str">
        <f>IF($U64="","",IF(LEN(INDEX('MiT Strom Pipeline'!$V:$V,$U64))&gt;0,LEFT(INDEX('MiT Strom Pipeline'!$V:$V,$U64),55),""))</f>
        <v/>
      </c>
      <c r="L64" s="19"/>
      <c r="M64" s="19"/>
      <c r="N64" s="19"/>
      <c r="O64" s="19"/>
      <c r="P64" s="19"/>
      <c r="Q64" s="19"/>
      <c r="R64" s="19"/>
      <c r="S64" s="19"/>
      <c r="U64" t="str">
        <f>IFERROR(MATCH(54,'MiT Strom Pipeline'!$AB$6:$AB$860,0)+5,"")</f>
        <v/>
      </c>
    </row>
    <row r="65" spans="1:21" ht="15.75" customHeight="1">
      <c r="A65" s="23" t="str">
        <f>IF($U65="","",IF(ISNUMBER(INDEX('MiT Strom Pipeline'!$A:$A,$U65)),INDEX('MiT Strom Pipeline'!$A:$A,$U65),""))</f>
        <v/>
      </c>
      <c r="B65" s="24" t="str">
        <f>IF($U65="","",IF(INDEX('MiT Strom Pipeline'!$B:$B,$U65)="","",INDEX('MiT Strom Pipeline'!$B:$B,$U65)))</f>
        <v/>
      </c>
      <c r="C65" s="24" t="str">
        <f>IF($U65="","",IF(INDEX('MiT Strom Pipeline'!$C:$C,$U65)="","",INDEX('MiT Strom Pipeline'!$C:$C,$U65)))</f>
        <v/>
      </c>
      <c r="D65" s="24" t="str">
        <f>IF($U65="","",IF(INDEX('MiT Strom Pipeline'!$D:$D,$U65)="","",INDEX('MiT Strom Pipeline'!$D:$D,$U65)))</f>
        <v/>
      </c>
      <c r="E65" s="24" t="str">
        <f>IF($U65="","",IF(INDEX('MiT Strom Pipeline'!$H:$H,$U65)="","",INDEX('MiT Strom Pipeline'!$H:$H,$U65)))</f>
        <v/>
      </c>
      <c r="F65" s="24" t="str">
        <f>IF($U65="","",IF(INDEX('MiT Strom Pipeline'!$E:$E,$U65)="","",INDEX('MiT Strom Pipeline'!$E:$E,$U65)))</f>
        <v/>
      </c>
      <c r="G65" s="25" t="str">
        <f>IF($U65="","",IF(ISNUMBER(INDEX('MiT Strom Pipeline'!$I:$I,$U65)),INDEX('MiT Strom Pipeline'!$I:$I,$U65),0))</f>
        <v/>
      </c>
      <c r="H65" s="25" t="str">
        <f>IF($U65="","",IF(ISNUMBER(INDEX('MiT Strom Pipeline'!$Q:$Q,$U65)),INDEX('MiT Strom Pipeline'!$Q:$Q,$U65),0))</f>
        <v/>
      </c>
      <c r="I65" s="24" t="str">
        <f>IF($U65="","",INDEX('MiT Strom Pipeline'!$R:$R,$U65))</f>
        <v/>
      </c>
      <c r="J65" s="26" t="str">
        <f>IF($U65="","",IF(ISNUMBER(INDEX('MiT Strom Pipeline'!$S:$S,$U65)),INDEX('MiT Strom Pipeline'!$S:$S,$U65),""))</f>
        <v/>
      </c>
      <c r="K65" s="24" t="str">
        <f>IF($U65="","",IF(LEN(INDEX('MiT Strom Pipeline'!$V:$V,$U65))&gt;0,LEFT(INDEX('MiT Strom Pipeline'!$V:$V,$U65),55),""))</f>
        <v/>
      </c>
      <c r="L65" s="19"/>
      <c r="M65" s="19"/>
      <c r="N65" s="19"/>
      <c r="O65" s="19"/>
      <c r="P65" s="19"/>
      <c r="Q65" s="19"/>
      <c r="R65" s="19"/>
      <c r="S65" s="19"/>
      <c r="U65" t="str">
        <f>IFERROR(MATCH(55,'MiT Strom Pipeline'!$AB$6:$AB$860,0)+5,"")</f>
        <v/>
      </c>
    </row>
    <row r="66" spans="1:21" ht="15.75" customHeight="1">
      <c r="A66" s="23" t="str">
        <f>IF($U66="","",IF(ISNUMBER(INDEX('MiT Strom Pipeline'!$A:$A,$U66)),INDEX('MiT Strom Pipeline'!$A:$A,$U66),""))</f>
        <v/>
      </c>
      <c r="B66" s="24" t="str">
        <f>IF($U66="","",IF(INDEX('MiT Strom Pipeline'!$B:$B,$U66)="","",INDEX('MiT Strom Pipeline'!$B:$B,$U66)))</f>
        <v/>
      </c>
      <c r="C66" s="24" t="str">
        <f>IF($U66="","",IF(INDEX('MiT Strom Pipeline'!$C:$C,$U66)="","",INDEX('MiT Strom Pipeline'!$C:$C,$U66)))</f>
        <v/>
      </c>
      <c r="D66" s="24" t="str">
        <f>IF($U66="","",IF(INDEX('MiT Strom Pipeline'!$D:$D,$U66)="","",INDEX('MiT Strom Pipeline'!$D:$D,$U66)))</f>
        <v/>
      </c>
      <c r="E66" s="24" t="str">
        <f>IF($U66="","",IF(INDEX('MiT Strom Pipeline'!$H:$H,$U66)="","",INDEX('MiT Strom Pipeline'!$H:$H,$U66)))</f>
        <v/>
      </c>
      <c r="F66" s="24" t="str">
        <f>IF($U66="","",IF(INDEX('MiT Strom Pipeline'!$E:$E,$U66)="","",INDEX('MiT Strom Pipeline'!$E:$E,$U66)))</f>
        <v/>
      </c>
      <c r="G66" s="25" t="str">
        <f>IF($U66="","",IF(ISNUMBER(INDEX('MiT Strom Pipeline'!$I:$I,$U66)),INDEX('MiT Strom Pipeline'!$I:$I,$U66),0))</f>
        <v/>
      </c>
      <c r="H66" s="25" t="str">
        <f>IF($U66="","",IF(ISNUMBER(INDEX('MiT Strom Pipeline'!$Q:$Q,$U66)),INDEX('MiT Strom Pipeline'!$Q:$Q,$U66),0))</f>
        <v/>
      </c>
      <c r="I66" s="24" t="str">
        <f>IF($U66="","",INDEX('MiT Strom Pipeline'!$R:$R,$U66))</f>
        <v/>
      </c>
      <c r="J66" s="26" t="str">
        <f>IF($U66="","",IF(ISNUMBER(INDEX('MiT Strom Pipeline'!$S:$S,$U66)),INDEX('MiT Strom Pipeline'!$S:$S,$U66),""))</f>
        <v/>
      </c>
      <c r="K66" s="24" t="str">
        <f>IF($U66="","",IF(LEN(INDEX('MiT Strom Pipeline'!$V:$V,$U66))&gt;0,LEFT(INDEX('MiT Strom Pipeline'!$V:$V,$U66),55),""))</f>
        <v/>
      </c>
      <c r="L66" s="19"/>
      <c r="M66" s="19"/>
      <c r="N66" s="19"/>
      <c r="O66" s="19"/>
      <c r="P66" s="19"/>
      <c r="Q66" s="19"/>
      <c r="R66" s="19"/>
      <c r="S66" s="19"/>
      <c r="U66" t="str">
        <f>IFERROR(MATCH(56,'MiT Strom Pipeline'!$AB$6:$AB$860,0)+5,"")</f>
        <v/>
      </c>
    </row>
    <row r="67" spans="1:21" ht="15.75" customHeight="1">
      <c r="A67" s="23" t="str">
        <f>IF($U67="","",IF(ISNUMBER(INDEX('MiT Strom Pipeline'!$A:$A,$U67)),INDEX('MiT Strom Pipeline'!$A:$A,$U67),""))</f>
        <v/>
      </c>
      <c r="B67" s="24" t="str">
        <f>IF($U67="","",IF(INDEX('MiT Strom Pipeline'!$B:$B,$U67)="","",INDEX('MiT Strom Pipeline'!$B:$B,$U67)))</f>
        <v/>
      </c>
      <c r="C67" s="24" t="str">
        <f>IF($U67="","",IF(INDEX('MiT Strom Pipeline'!$C:$C,$U67)="","",INDEX('MiT Strom Pipeline'!$C:$C,$U67)))</f>
        <v/>
      </c>
      <c r="D67" s="24" t="str">
        <f>IF($U67="","",IF(INDEX('MiT Strom Pipeline'!$D:$D,$U67)="","",INDEX('MiT Strom Pipeline'!$D:$D,$U67)))</f>
        <v/>
      </c>
      <c r="E67" s="24" t="str">
        <f>IF($U67="","",IF(INDEX('MiT Strom Pipeline'!$H:$H,$U67)="","",INDEX('MiT Strom Pipeline'!$H:$H,$U67)))</f>
        <v/>
      </c>
      <c r="F67" s="24" t="str">
        <f>IF($U67="","",IF(INDEX('MiT Strom Pipeline'!$E:$E,$U67)="","",INDEX('MiT Strom Pipeline'!$E:$E,$U67)))</f>
        <v/>
      </c>
      <c r="G67" s="25" t="str">
        <f>IF($U67="","",IF(ISNUMBER(INDEX('MiT Strom Pipeline'!$I:$I,$U67)),INDEX('MiT Strom Pipeline'!$I:$I,$U67),0))</f>
        <v/>
      </c>
      <c r="H67" s="25" t="str">
        <f>IF($U67="","",IF(ISNUMBER(INDEX('MiT Strom Pipeline'!$Q:$Q,$U67)),INDEX('MiT Strom Pipeline'!$Q:$Q,$U67),0))</f>
        <v/>
      </c>
      <c r="I67" s="24" t="str">
        <f>IF($U67="","",INDEX('MiT Strom Pipeline'!$R:$R,$U67))</f>
        <v/>
      </c>
      <c r="J67" s="26" t="str">
        <f>IF($U67="","",IF(ISNUMBER(INDEX('MiT Strom Pipeline'!$S:$S,$U67)),INDEX('MiT Strom Pipeline'!$S:$S,$U67),""))</f>
        <v/>
      </c>
      <c r="K67" s="24" t="str">
        <f>IF($U67="","",IF(LEN(INDEX('MiT Strom Pipeline'!$V:$V,$U67))&gt;0,LEFT(INDEX('MiT Strom Pipeline'!$V:$V,$U67),55),""))</f>
        <v/>
      </c>
      <c r="L67" s="19"/>
      <c r="M67" s="19"/>
      <c r="N67" s="19"/>
      <c r="O67" s="19"/>
      <c r="P67" s="19"/>
      <c r="Q67" s="19"/>
      <c r="R67" s="19"/>
      <c r="S67" s="19"/>
      <c r="U67" t="str">
        <f>IFERROR(MATCH(57,'MiT Strom Pipeline'!$AB$6:$AB$860,0)+5,"")</f>
        <v/>
      </c>
    </row>
    <row r="68" spans="1:21" ht="15.75" customHeight="1">
      <c r="A68" s="23" t="str">
        <f>IF($U68="","",IF(ISNUMBER(INDEX('MiT Strom Pipeline'!$A:$A,$U68)),INDEX('MiT Strom Pipeline'!$A:$A,$U68),""))</f>
        <v/>
      </c>
      <c r="B68" s="24" t="str">
        <f>IF($U68="","",IF(INDEX('MiT Strom Pipeline'!$B:$B,$U68)="","",INDEX('MiT Strom Pipeline'!$B:$B,$U68)))</f>
        <v/>
      </c>
      <c r="C68" s="24" t="str">
        <f>IF($U68="","",IF(INDEX('MiT Strom Pipeline'!$C:$C,$U68)="","",INDEX('MiT Strom Pipeline'!$C:$C,$U68)))</f>
        <v/>
      </c>
      <c r="D68" s="24" t="str">
        <f>IF($U68="","",IF(INDEX('MiT Strom Pipeline'!$D:$D,$U68)="","",INDEX('MiT Strom Pipeline'!$D:$D,$U68)))</f>
        <v/>
      </c>
      <c r="E68" s="24" t="str">
        <f>IF($U68="","",IF(INDEX('MiT Strom Pipeline'!$H:$H,$U68)="","",INDEX('MiT Strom Pipeline'!$H:$H,$U68)))</f>
        <v/>
      </c>
      <c r="F68" s="24" t="str">
        <f>IF($U68="","",IF(INDEX('MiT Strom Pipeline'!$E:$E,$U68)="","",INDEX('MiT Strom Pipeline'!$E:$E,$U68)))</f>
        <v/>
      </c>
      <c r="G68" s="25" t="str">
        <f>IF($U68="","",IF(ISNUMBER(INDEX('MiT Strom Pipeline'!$I:$I,$U68)),INDEX('MiT Strom Pipeline'!$I:$I,$U68),0))</f>
        <v/>
      </c>
      <c r="H68" s="25" t="str">
        <f>IF($U68="","",IF(ISNUMBER(INDEX('MiT Strom Pipeline'!$Q:$Q,$U68)),INDEX('MiT Strom Pipeline'!$Q:$Q,$U68),0))</f>
        <v/>
      </c>
      <c r="I68" s="24" t="str">
        <f>IF($U68="","",INDEX('MiT Strom Pipeline'!$R:$R,$U68))</f>
        <v/>
      </c>
      <c r="J68" s="26" t="str">
        <f>IF($U68="","",IF(ISNUMBER(INDEX('MiT Strom Pipeline'!$S:$S,$U68)),INDEX('MiT Strom Pipeline'!$S:$S,$U68),""))</f>
        <v/>
      </c>
      <c r="K68" s="24" t="str">
        <f>IF($U68="","",IF(LEN(INDEX('MiT Strom Pipeline'!$V:$V,$U68))&gt;0,LEFT(INDEX('MiT Strom Pipeline'!$V:$V,$U68),55),""))</f>
        <v/>
      </c>
      <c r="L68" s="19"/>
      <c r="M68" s="19"/>
      <c r="N68" s="19"/>
      <c r="O68" s="19"/>
      <c r="P68" s="19"/>
      <c r="Q68" s="19"/>
      <c r="R68" s="19"/>
      <c r="S68" s="19"/>
      <c r="U68" t="str">
        <f>IFERROR(MATCH(58,'MiT Strom Pipeline'!$AB$6:$AB$860,0)+5,"")</f>
        <v/>
      </c>
    </row>
    <row r="69" spans="1:21" ht="15.75" customHeight="1">
      <c r="A69" s="23" t="str">
        <f>IF($U69="","",IF(ISNUMBER(INDEX('MiT Strom Pipeline'!$A:$A,$U69)),INDEX('MiT Strom Pipeline'!$A:$A,$U69),""))</f>
        <v/>
      </c>
      <c r="B69" s="24" t="str">
        <f>IF($U69="","",IF(INDEX('MiT Strom Pipeline'!$B:$B,$U69)="","",INDEX('MiT Strom Pipeline'!$B:$B,$U69)))</f>
        <v/>
      </c>
      <c r="C69" s="24" t="str">
        <f>IF($U69="","",IF(INDEX('MiT Strom Pipeline'!$C:$C,$U69)="","",INDEX('MiT Strom Pipeline'!$C:$C,$U69)))</f>
        <v/>
      </c>
      <c r="D69" s="24" t="str">
        <f>IF($U69="","",IF(INDEX('MiT Strom Pipeline'!$D:$D,$U69)="","",INDEX('MiT Strom Pipeline'!$D:$D,$U69)))</f>
        <v/>
      </c>
      <c r="E69" s="24" t="str">
        <f>IF($U69="","",IF(INDEX('MiT Strom Pipeline'!$H:$H,$U69)="","",INDEX('MiT Strom Pipeline'!$H:$H,$U69)))</f>
        <v/>
      </c>
      <c r="F69" s="24" t="str">
        <f>IF($U69="","",IF(INDEX('MiT Strom Pipeline'!$E:$E,$U69)="","",INDEX('MiT Strom Pipeline'!$E:$E,$U69)))</f>
        <v/>
      </c>
      <c r="G69" s="25" t="str">
        <f>IF($U69="","",IF(ISNUMBER(INDEX('MiT Strom Pipeline'!$I:$I,$U69)),INDEX('MiT Strom Pipeline'!$I:$I,$U69),0))</f>
        <v/>
      </c>
      <c r="H69" s="25" t="str">
        <f>IF($U69="","",IF(ISNUMBER(INDEX('MiT Strom Pipeline'!$Q:$Q,$U69)),INDEX('MiT Strom Pipeline'!$Q:$Q,$U69),0))</f>
        <v/>
      </c>
      <c r="I69" s="24" t="str">
        <f>IF($U69="","",INDEX('MiT Strom Pipeline'!$R:$R,$U69))</f>
        <v/>
      </c>
      <c r="J69" s="26" t="str">
        <f>IF($U69="","",IF(ISNUMBER(INDEX('MiT Strom Pipeline'!$S:$S,$U69)),INDEX('MiT Strom Pipeline'!$S:$S,$U69),""))</f>
        <v/>
      </c>
      <c r="K69" s="24" t="str">
        <f>IF($U69="","",IF(LEN(INDEX('MiT Strom Pipeline'!$V:$V,$U69))&gt;0,LEFT(INDEX('MiT Strom Pipeline'!$V:$V,$U69),55),""))</f>
        <v/>
      </c>
      <c r="L69" s="19"/>
      <c r="M69" s="19"/>
      <c r="N69" s="19"/>
      <c r="O69" s="19"/>
      <c r="P69" s="19"/>
      <c r="Q69" s="19"/>
      <c r="R69" s="19"/>
      <c r="S69" s="19"/>
      <c r="U69" t="str">
        <f>IFERROR(MATCH(59,'MiT Strom Pipeline'!$AB$6:$AB$860,0)+5,"")</f>
        <v/>
      </c>
    </row>
    <row r="70" spans="1:21" ht="15.75" customHeight="1">
      <c r="A70" s="23" t="str">
        <f>IF($U70="","",IF(ISNUMBER(INDEX('MiT Strom Pipeline'!$A:$A,$U70)),INDEX('MiT Strom Pipeline'!$A:$A,$U70),""))</f>
        <v/>
      </c>
      <c r="B70" s="24" t="str">
        <f>IF($U70="","",IF(INDEX('MiT Strom Pipeline'!$B:$B,$U70)="","",INDEX('MiT Strom Pipeline'!$B:$B,$U70)))</f>
        <v/>
      </c>
      <c r="C70" s="24" t="str">
        <f>IF($U70="","",IF(INDEX('MiT Strom Pipeline'!$C:$C,$U70)="","",INDEX('MiT Strom Pipeline'!$C:$C,$U70)))</f>
        <v/>
      </c>
      <c r="D70" s="24" t="str">
        <f>IF($U70="","",IF(INDEX('MiT Strom Pipeline'!$D:$D,$U70)="","",INDEX('MiT Strom Pipeline'!$D:$D,$U70)))</f>
        <v/>
      </c>
      <c r="E70" s="24" t="str">
        <f>IF($U70="","",IF(INDEX('MiT Strom Pipeline'!$H:$H,$U70)="","",INDEX('MiT Strom Pipeline'!$H:$H,$U70)))</f>
        <v/>
      </c>
      <c r="F70" s="24" t="str">
        <f>IF($U70="","",IF(INDEX('MiT Strom Pipeline'!$E:$E,$U70)="","",INDEX('MiT Strom Pipeline'!$E:$E,$U70)))</f>
        <v/>
      </c>
      <c r="G70" s="25" t="str">
        <f>IF($U70="","",IF(ISNUMBER(INDEX('MiT Strom Pipeline'!$I:$I,$U70)),INDEX('MiT Strom Pipeline'!$I:$I,$U70),0))</f>
        <v/>
      </c>
      <c r="H70" s="25" t="str">
        <f>IF($U70="","",IF(ISNUMBER(INDEX('MiT Strom Pipeline'!$Q:$Q,$U70)),INDEX('MiT Strom Pipeline'!$Q:$Q,$U70),0))</f>
        <v/>
      </c>
      <c r="I70" s="24" t="str">
        <f>IF($U70="","",INDEX('MiT Strom Pipeline'!$R:$R,$U70))</f>
        <v/>
      </c>
      <c r="J70" s="26" t="str">
        <f>IF($U70="","",IF(ISNUMBER(INDEX('MiT Strom Pipeline'!$S:$S,$U70)),INDEX('MiT Strom Pipeline'!$S:$S,$U70),""))</f>
        <v/>
      </c>
      <c r="K70" s="24" t="str">
        <f>IF($U70="","",IF(LEN(INDEX('MiT Strom Pipeline'!$V:$V,$U70))&gt;0,LEFT(INDEX('MiT Strom Pipeline'!$V:$V,$U70),55),""))</f>
        <v/>
      </c>
      <c r="L70" s="19"/>
      <c r="M70" s="19"/>
      <c r="N70" s="19"/>
      <c r="O70" s="19"/>
      <c r="P70" s="19"/>
      <c r="Q70" s="19"/>
      <c r="R70" s="19"/>
      <c r="S70" s="19"/>
      <c r="U70" t="str">
        <f>IFERROR(MATCH(60,'MiT Strom Pipeline'!$AB$6:$AB$860,0)+5,"")</f>
        <v/>
      </c>
    </row>
    <row r="71" spans="1:21" ht="21.75" customHeight="1">
      <c r="A71" s="23" t="str">
        <f>IF($U71="","",IF(ISNUMBER(INDEX('MiT Strom Pipeline'!$A:$A,$U71)),INDEX('MiT Strom Pipeline'!$A:$A,$U71),""))</f>
        <v/>
      </c>
      <c r="B71" s="24" t="str">
        <f>IF($U71="","",IF(INDEX('MiT Strom Pipeline'!$B:$B,$U71)="","",INDEX('MiT Strom Pipeline'!$B:$B,$U71)))</f>
        <v/>
      </c>
      <c r="C71" s="24" t="str">
        <f>IF($U71="","",IF(INDEX('MiT Strom Pipeline'!$C:$C,$U71)="","",INDEX('MiT Strom Pipeline'!$C:$C,$U71)))</f>
        <v/>
      </c>
      <c r="D71" s="24" t="str">
        <f>IF($U71="","",IF(INDEX('MiT Strom Pipeline'!$D:$D,$U71)="","",INDEX('MiT Strom Pipeline'!$D:$D,$U71)))</f>
        <v/>
      </c>
      <c r="E71" s="24" t="str">
        <f>IF($U71="","",IF(INDEX('MiT Strom Pipeline'!$H:$H,$U71)="","",INDEX('MiT Strom Pipeline'!$H:$H,$U71)))</f>
        <v/>
      </c>
      <c r="F71" s="24" t="str">
        <f>IF($U71="","",IF(INDEX('MiT Strom Pipeline'!$E:$E,$U71)="","",INDEX('MiT Strom Pipeline'!$E:$E,$U71)))</f>
        <v/>
      </c>
      <c r="G71" s="25" t="str">
        <f>IF($U71="","",IF(ISNUMBER(INDEX('MiT Strom Pipeline'!$I:$I,$U71)),INDEX('MiT Strom Pipeline'!$I:$I,$U71),0))</f>
        <v/>
      </c>
      <c r="H71" s="25" t="str">
        <f>IF($U71="","",IF(ISNUMBER(INDEX('MiT Strom Pipeline'!$Q:$Q,$U71)),INDEX('MiT Strom Pipeline'!$Q:$Q,$U71),0))</f>
        <v/>
      </c>
      <c r="I71" s="24" t="str">
        <f>IF($U71="","",INDEX('MiT Strom Pipeline'!$R:$R,$U71))</f>
        <v/>
      </c>
      <c r="J71" s="26" t="str">
        <f>IF($U71="","",IF(ISNUMBER(INDEX('MiT Strom Pipeline'!$S:$S,$U71)),INDEX('MiT Strom Pipeline'!$S:$S,$U71),""))</f>
        <v/>
      </c>
      <c r="K71" s="24" t="str">
        <f>IF($U71="","",IF(LEN(INDEX('MiT Strom Pipeline'!$V:$V,$U71))&gt;0,LEFT(INDEX('MiT Strom Pipeline'!$V:$V,$U71),55),""))</f>
        <v/>
      </c>
      <c r="L71" s="19"/>
      <c r="M71" s="19"/>
      <c r="N71" s="19"/>
      <c r="O71" s="19"/>
      <c r="P71" s="19"/>
      <c r="Q71" s="19"/>
      <c r="R71" s="19"/>
      <c r="S71" s="19"/>
      <c r="U71" t="str">
        <f>IFERROR(MATCH(61,'MiT Strom Pipeline'!$AB$6:$AB$860,0)+5,"")</f>
        <v/>
      </c>
    </row>
    <row r="72" spans="1:21" ht="19.5" customHeight="1">
      <c r="A72" s="23" t="str">
        <f>IF($U72="","",IF(ISNUMBER(INDEX('MiT Strom Pipeline'!$A:$A,$U72)),INDEX('MiT Strom Pipeline'!$A:$A,$U72),""))</f>
        <v/>
      </c>
      <c r="B72" s="24" t="str">
        <f>IF($U72="","",IF(INDEX('MiT Strom Pipeline'!$B:$B,$U72)="","",INDEX('MiT Strom Pipeline'!$B:$B,$U72)))</f>
        <v/>
      </c>
      <c r="C72" s="24" t="str">
        <f>IF($U72="","",IF(INDEX('MiT Strom Pipeline'!$C:$C,$U72)="","",INDEX('MiT Strom Pipeline'!$C:$C,$U72)))</f>
        <v/>
      </c>
      <c r="D72" s="24" t="str">
        <f>IF($U72="","",IF(INDEX('MiT Strom Pipeline'!$D:$D,$U72)="","",INDEX('MiT Strom Pipeline'!$D:$D,$U72)))</f>
        <v/>
      </c>
      <c r="E72" s="24" t="str">
        <f>IF($U72="","",IF(INDEX('MiT Strom Pipeline'!$H:$H,$U72)="","",INDEX('MiT Strom Pipeline'!$H:$H,$U72)))</f>
        <v/>
      </c>
      <c r="F72" s="24" t="str">
        <f>IF($U72="","",IF(INDEX('MiT Strom Pipeline'!$E:$E,$U72)="","",INDEX('MiT Strom Pipeline'!$E:$E,$U72)))</f>
        <v/>
      </c>
      <c r="G72" s="25" t="str">
        <f>IF($U72="","",IF(ISNUMBER(INDEX('MiT Strom Pipeline'!$I:$I,$U72)),INDEX('MiT Strom Pipeline'!$I:$I,$U72),0))</f>
        <v/>
      </c>
      <c r="H72" s="25" t="str">
        <f>IF($U72="","",IF(ISNUMBER(INDEX('MiT Strom Pipeline'!$Q:$Q,$U72)),INDEX('MiT Strom Pipeline'!$Q:$Q,$U72),0))</f>
        <v/>
      </c>
      <c r="I72" s="24" t="str">
        <f>IF($U72="","",INDEX('MiT Strom Pipeline'!$R:$R,$U72))</f>
        <v/>
      </c>
      <c r="J72" s="26" t="str">
        <f>IF($U72="","",IF(ISNUMBER(INDEX('MiT Strom Pipeline'!$S:$S,$U72)),INDEX('MiT Strom Pipeline'!$S:$S,$U72),""))</f>
        <v/>
      </c>
      <c r="K72" s="24" t="str">
        <f>IF($U72="","",IF(LEN(INDEX('MiT Strom Pipeline'!$V:$V,$U72))&gt;0,LEFT(INDEX('MiT Strom Pipeline'!$V:$V,$U72),55),""))</f>
        <v/>
      </c>
      <c r="L72" s="19"/>
      <c r="M72" s="19"/>
      <c r="N72" s="19"/>
      <c r="O72" s="19"/>
      <c r="P72" s="19"/>
      <c r="Q72" s="19"/>
      <c r="R72" s="19"/>
      <c r="S72" s="19"/>
      <c r="U72" t="str">
        <f>IFERROR(MATCH(62,'MiT Strom Pipeline'!$AB$6:$AB$860,0)+5,"")</f>
        <v/>
      </c>
    </row>
    <row r="73" spans="1:21" ht="24" customHeight="1">
      <c r="A73" s="113" t="s">
        <v>83</v>
      </c>
      <c r="B73" s="150"/>
      <c r="C73" s="150"/>
      <c r="D73" s="150"/>
      <c r="E73" s="150"/>
      <c r="F73" s="150"/>
      <c r="G73" s="150"/>
      <c r="H73" s="150"/>
      <c r="I73" s="150"/>
      <c r="J73" s="150"/>
      <c r="K73" s="151"/>
      <c r="L73" s="19"/>
      <c r="M73" s="19"/>
      <c r="N73" s="19"/>
      <c r="O73" s="19"/>
      <c r="P73" s="19"/>
      <c r="Q73" s="19"/>
      <c r="R73" s="19"/>
      <c r="S73" s="19"/>
    </row>
    <row r="74" spans="1:21" ht="19.5" customHeight="1">
      <c r="A74" s="22" t="s">
        <v>6</v>
      </c>
      <c r="B74" s="22" t="s">
        <v>78</v>
      </c>
      <c r="C74" s="22" t="s">
        <v>8</v>
      </c>
      <c r="D74" s="22" t="s">
        <v>10</v>
      </c>
      <c r="E74" s="22" t="s">
        <v>9</v>
      </c>
      <c r="F74" s="22" t="s">
        <v>79</v>
      </c>
      <c r="G74" s="22" t="s">
        <v>16</v>
      </c>
      <c r="H74" s="22" t="s">
        <v>80</v>
      </c>
      <c r="I74" s="22" t="s">
        <v>14</v>
      </c>
      <c r="J74" s="22" t="s">
        <v>81</v>
      </c>
      <c r="K74" s="22" t="s">
        <v>82</v>
      </c>
      <c r="L74" s="19"/>
      <c r="M74" s="19"/>
      <c r="N74" s="19"/>
      <c r="O74" s="19"/>
      <c r="P74" s="19"/>
      <c r="Q74" s="19"/>
      <c r="R74" s="19"/>
      <c r="S74" s="19"/>
    </row>
    <row r="75" spans="1:21" ht="15.75" customHeight="1">
      <c r="A75" s="23">
        <f>IF($U75="","",IF(ISNUMBER(INDEX('MiT Strom Pipeline'!$A:$A,$U75)),INDEX('MiT Strom Pipeline'!$A:$A,$U75),""))</f>
        <v>6</v>
      </c>
      <c r="B75" s="24" t="str">
        <f>IF($U75="","",IF(INDEX('MiT Strom Pipeline'!$B:$B,$U75)="","",INDEX('MiT Strom Pipeline'!$B:$B,$U75)))</f>
        <v>Wincasa Solothurn</v>
      </c>
      <c r="C75" s="24" t="str">
        <f>IF($U75="","",IF(INDEX('MiT Strom Pipeline'!$C:$C,$U75)="","",INDEX('MiT Strom Pipeline'!$C:$C,$U75)))</f>
        <v>SO</v>
      </c>
      <c r="D75" s="24" t="str">
        <f>IF($U75="","",IF(INDEX('MiT Strom Pipeline'!$D:$D,$U75)="","",INDEX('MiT Strom Pipeline'!$D:$D,$U75)))</f>
        <v>Immobilien / FM</v>
      </c>
      <c r="E75" s="24" t="str">
        <f>IF($U75="","",IF(INDEX('MiT Strom Pipeline'!$H:$H,$U75)="","",INDEX('MiT Strom Pipeline'!$H:$H,$U75)))</f>
        <v>Mai</v>
      </c>
      <c r="F75" s="24" t="str">
        <f>IF($U75="","",IF(INDEX('MiT Strom Pipeline'!$E:$E,$U75)="","",INDEX('MiT Strom Pipeline'!$E:$E,$U75)))</f>
        <v>BESS 1 MWh</v>
      </c>
      <c r="G75" s="25">
        <f>IF($U75="","",IF(ISNUMBER(INDEX('MiT Strom Pipeline'!$I:$I,$U75)),INDEX('MiT Strom Pipeline'!$I:$I,$U75),0))</f>
        <v>390000</v>
      </c>
      <c r="H75" s="25">
        <f>IF($U75="","",IF(ISNUMBER(INDEX('MiT Strom Pipeline'!$Q:$Q,$U75)),INDEX('MiT Strom Pipeline'!$Q:$Q,$U75),0))</f>
        <v>195000</v>
      </c>
      <c r="I75" s="24" t="str">
        <f>IF($U75="","",INDEX('MiT Strom Pipeline'!$R:$R,$U75))</f>
        <v>offered</v>
      </c>
      <c r="J75" s="26">
        <f>IF($U75="","",IF(ISNUMBER(INDEX('MiT Strom Pipeline'!$S:$S,$U75)),INDEX('MiT Strom Pipeline'!$S:$S,$U75),""))</f>
        <v>0.5</v>
      </c>
      <c r="K75" s="24" t="str">
        <f>IF($U75="","",IF(LEN(INDEX('MiT Strom Pipeline'!$V:$V,$U75))&gt;0,LEFT(INDEX('MiT Strom Pipeline'!$V:$V,$U75),55),""))</f>
        <v>Entscheider-Meeting anfordern, Businesscase Energie-ROI</v>
      </c>
      <c r="L75" s="19"/>
      <c r="M75" s="19"/>
      <c r="N75" s="19"/>
      <c r="O75" s="19"/>
      <c r="P75" s="19"/>
      <c r="Q75" s="19"/>
      <c r="R75" s="19"/>
      <c r="S75" s="19"/>
      <c r="U75">
        <f>IFERROR(MATCH(1,'MiT Strom Pipeline'!$AC$6:$AC$860,0)+5,"")</f>
        <v>6</v>
      </c>
    </row>
    <row r="76" spans="1:21" ht="15.75" customHeight="1">
      <c r="A76" s="23">
        <f>IF($U76="","",IF(ISNUMBER(INDEX('MiT Strom Pipeline'!$A:$A,$U76)),INDEX('MiT Strom Pipeline'!$A:$A,$U76),""))</f>
        <v>15</v>
      </c>
      <c r="B76" s="24" t="str">
        <f>IF($U76="","",IF(INDEX('MiT Strom Pipeline'!$B:$B,$U76)="","",INDEX('MiT Strom Pipeline'!$B:$B,$U76)))</f>
        <v>Gotthard Base Tunnel</v>
      </c>
      <c r="C76" s="24" t="str">
        <f>IF($U76="","",IF(INDEX('MiT Strom Pipeline'!$C:$C,$U76)="","",INDEX('MiT Strom Pipeline'!$C:$C,$U76)))</f>
        <v>UR</v>
      </c>
      <c r="D76" s="24" t="str">
        <f>IF($U76="","",IF(INDEX('MiT Strom Pipeline'!$D:$D,$U76)="","",INDEX('MiT Strom Pipeline'!$D:$D,$U76)))</f>
        <v>Infrastruktur / Bahn</v>
      </c>
      <c r="E76" s="24" t="str">
        <f>IF($U76="","",IF(INDEX('MiT Strom Pipeline'!$H:$H,$U76)="","",INDEX('MiT Strom Pipeline'!$H:$H,$U76)))</f>
        <v>tbd</v>
      </c>
      <c r="F76" s="24" t="str">
        <f>IF($U76="","",IF(INDEX('MiT Strom Pipeline'!$E:$E,$U76)="","",INDEX('MiT Strom Pipeline'!$E:$E,$U76)))</f>
        <v>Grossanlage tbd</v>
      </c>
      <c r="G76" s="25">
        <f>IF($U76="","",IF(ISNUMBER(INDEX('MiT Strom Pipeline'!$I:$I,$U76)),INDEX('MiT Strom Pipeline'!$I:$I,$U76),0))</f>
        <v>0</v>
      </c>
      <c r="H76" s="25">
        <f>IF($U76="","",IF(ISNUMBER(INDEX('MiT Strom Pipeline'!$Q:$Q,$U76)),INDEX('MiT Strom Pipeline'!$Q:$Q,$U76),0))</f>
        <v>0</v>
      </c>
      <c r="I76" s="24" t="str">
        <f>IF($U76="","",INDEX('MiT Strom Pipeline'!$R:$R,$U76))</f>
        <v>on hold</v>
      </c>
      <c r="J76" s="26">
        <f>IF($U76="","",IF(ISNUMBER(INDEX('MiT Strom Pipeline'!$S:$S,$U76)),INDEX('MiT Strom Pipeline'!$S:$S,$U76),""))</f>
        <v>0.1</v>
      </c>
      <c r="K76" s="24" t="str">
        <f>IF($U76="","",IF(LEN(INDEX('MiT Strom Pipeline'!$V:$V,$U76))&gt;0,LEFT(INDEX('MiT Strom Pipeline'!$V:$V,$U76),55),""))</f>
        <v>Stakeholder identifizieren – AlpTransit/SBB kontaktiere</v>
      </c>
      <c r="L76" s="19"/>
      <c r="M76" s="19"/>
      <c r="N76" s="19"/>
      <c r="O76" s="19"/>
      <c r="P76" s="19"/>
      <c r="Q76" s="19"/>
      <c r="R76" s="19"/>
      <c r="S76" s="19"/>
      <c r="U76">
        <f>IFERROR(MATCH(2,'MiT Strom Pipeline'!$AC$6:$AC$860,0)+5,"")</f>
        <v>8</v>
      </c>
    </row>
    <row r="77" spans="1:21" ht="15.75" customHeight="1">
      <c r="A77" s="23">
        <f>IF($U77="","",IF(ISNUMBER(INDEX('MiT Strom Pipeline'!$A:$A,$U77)),INDEX('MiT Strom Pipeline'!$A:$A,$U77),""))</f>
        <v>33</v>
      </c>
      <c r="B77" s="24" t="str">
        <f>IF($U77="","",IF(INDEX('MiT Strom Pipeline'!$B:$B,$U77)="","",INDEX('MiT Strom Pipeline'!$B:$B,$U77)))</f>
        <v>Oerlikon Metco Wohlen</v>
      </c>
      <c r="C77" s="24" t="str">
        <f>IF($U77="","",IF(INDEX('MiT Strom Pipeline'!$C:$C,$U77)="","",INDEX('MiT Strom Pipeline'!$C:$C,$U77)))</f>
        <v>AG</v>
      </c>
      <c r="D77" s="24" t="str">
        <f>IF($U77="","",IF(INDEX('MiT Strom Pipeline'!$D:$D,$U77)="","",INDEX('MiT Strom Pipeline'!$D:$D,$U77)))</f>
        <v>Industrie</v>
      </c>
      <c r="E77" s="24" t="str">
        <f>IF($U77="","",IF(INDEX('MiT Strom Pipeline'!$H:$H,$U77)="","",INDEX('MiT Strom Pipeline'!$H:$H,$U77)))</f>
        <v>August</v>
      </c>
      <c r="F77" s="24" t="str">
        <f>IF($U77="","",IF(INDEX('MiT Strom Pipeline'!$E:$E,$U77)="","",INDEX('MiT Strom Pipeline'!$E:$E,$U77)))</f>
        <v>300 kVA</v>
      </c>
      <c r="G77" s="25">
        <f>IF($U77="","",IF(ISNUMBER(INDEX('MiT Strom Pipeline'!$I:$I,$U77)),INDEX('MiT Strom Pipeline'!$I:$I,$U77),0))</f>
        <v>193598.12</v>
      </c>
      <c r="H77" s="25">
        <f>IF($U77="","",IF(ISNUMBER(INDEX('MiT Strom Pipeline'!$Q:$Q,$U77)),INDEX('MiT Strom Pipeline'!$Q:$Q,$U77),0))</f>
        <v>154878.49600000001</v>
      </c>
      <c r="I77" s="24" t="str">
        <f>IF($U77="","",INDEX('MiT Strom Pipeline'!$R:$R,$U77))</f>
        <v>offered</v>
      </c>
      <c r="J77" s="26">
        <f>IF($U77="","",IF(ISNUMBER(INDEX('MiT Strom Pipeline'!$S:$S,$U77)),INDEX('MiT Strom Pipeline'!$S:$S,$U77),""))</f>
        <v>0.8</v>
      </c>
      <c r="K77" s="24" t="str">
        <f>IF($U77="","",IF(LEN(INDEX('MiT Strom Pipeline'!$V:$V,$U77))&gt;0,LEFT(INDEX('MiT Strom Pipeline'!$V:$V,$U77),55),""))</f>
        <v>Kunde wahr sehr Zufrieden mit dem 1. Auftrag und im Ans</v>
      </c>
      <c r="L77" s="19"/>
      <c r="M77" s="19"/>
      <c r="N77" s="19"/>
      <c r="O77" s="19"/>
      <c r="P77" s="19"/>
      <c r="Q77" s="19"/>
      <c r="R77" s="19"/>
      <c r="S77" s="19"/>
      <c r="U77">
        <f>IFERROR(MATCH(3,'MiT Strom Pipeline'!$AC$6:$AC$860,0)+5,"")</f>
        <v>16</v>
      </c>
    </row>
    <row r="78" spans="1:21" ht="15.75" customHeight="1">
      <c r="A78" s="23">
        <f>IF($U78="","",IF(ISNUMBER(INDEX('MiT Strom Pipeline'!$A:$A,$U78)),INDEX('MiT Strom Pipeline'!$A:$A,$U78),""))</f>
        <v>33</v>
      </c>
      <c r="B78" s="24" t="str">
        <f>IF($U78="","",IF(INDEX('MiT Strom Pipeline'!$B:$B,$U78)="","",INDEX('MiT Strom Pipeline'!$B:$B,$U78)))</f>
        <v>Oerlikon Metco Wohlen</v>
      </c>
      <c r="C78" s="24" t="str">
        <f>IF($U78="","",IF(INDEX('MiT Strom Pipeline'!$C:$C,$U78)="","",INDEX('MiT Strom Pipeline'!$C:$C,$U78)))</f>
        <v>AG</v>
      </c>
      <c r="D78" s="24" t="str">
        <f>IF($U78="","",IF(INDEX('MiT Strom Pipeline'!$D:$D,$U78)="","",INDEX('MiT Strom Pipeline'!$D:$D,$U78)))</f>
        <v>Industrie</v>
      </c>
      <c r="E78" s="24" t="str">
        <f>IF($U78="","",IF(INDEX('MiT Strom Pipeline'!$H:$H,$U78)="","",INDEX('MiT Strom Pipeline'!$H:$H,$U78)))</f>
        <v>August</v>
      </c>
      <c r="F78" s="24" t="str">
        <f>IF($U78="","",IF(INDEX('MiT Strom Pipeline'!$E:$E,$U78)="","",INDEX('MiT Strom Pipeline'!$E:$E,$U78)))</f>
        <v>Kaltwasser 100 kW</v>
      </c>
      <c r="G78" s="25">
        <f>IF($U78="","",IF(ISNUMBER(INDEX('MiT Strom Pipeline'!$I:$I,$U78)),INDEX('MiT Strom Pipeline'!$I:$I,$U78),0))</f>
        <v>74902.11</v>
      </c>
      <c r="H78" s="25">
        <f>IF($U78="","",IF(ISNUMBER(INDEX('MiT Strom Pipeline'!$Q:$Q,$U78)),INDEX('MiT Strom Pipeline'!$Q:$Q,$U78),0))</f>
        <v>59921.688000000002</v>
      </c>
      <c r="I78" s="24" t="str">
        <f>IF($U78="","",INDEX('MiT Strom Pipeline'!$R:$R,$U78))</f>
        <v>offered</v>
      </c>
      <c r="J78" s="26">
        <f>IF($U78="","",IF(ISNUMBER(INDEX('MiT Strom Pipeline'!$S:$S,$U78)),INDEX('MiT Strom Pipeline'!$S:$S,$U78),""))</f>
        <v>0.8</v>
      </c>
      <c r="K78" s="24" t="str">
        <f>IF($U78="","",IF(LEN(INDEX('MiT Strom Pipeline'!$V:$V,$U78))&gt;0,LEFT(INDEX('MiT Strom Pipeline'!$V:$V,$U78),55),""))</f>
        <v>Kunde wahr sehr Zufrieden mit dem 1. Auftrag und im Ans</v>
      </c>
      <c r="L78" s="19"/>
      <c r="M78" s="19"/>
      <c r="N78" s="19"/>
      <c r="O78" s="19"/>
      <c r="P78" s="19"/>
      <c r="Q78" s="19"/>
      <c r="R78" s="19"/>
      <c r="S78" s="19"/>
      <c r="U78">
        <f>IFERROR(MATCH(4,'MiT Strom Pipeline'!$AC$6:$AC$860,0)+5,"")</f>
        <v>17</v>
      </c>
    </row>
    <row r="79" spans="1:21" ht="15.75" customHeight="1">
      <c r="A79" s="23">
        <f>IF($U79="","",IF(ISNUMBER(INDEX('MiT Strom Pipeline'!$A:$A,$U79)),INDEX('MiT Strom Pipeline'!$A:$A,$U79),""))</f>
        <v>13</v>
      </c>
      <c r="B79" s="24" t="str">
        <f>IF($U79="","",IF(INDEX('MiT Strom Pipeline'!$B:$B,$U79)="","",INDEX('MiT Strom Pipeline'!$B:$B,$U79)))</f>
        <v>Proxima Fusion AG</v>
      </c>
      <c r="C79" s="24" t="str">
        <f>IF($U79="","",IF(INDEX('MiT Strom Pipeline'!$C:$C,$U79)="","",INDEX('MiT Strom Pipeline'!$C:$C,$U79)))</f>
        <v>ZH</v>
      </c>
      <c r="D79" s="24" t="str">
        <f>IF($U79="","",IF(INDEX('MiT Strom Pipeline'!$D:$D,$U79)="","",INDEX('MiT Strom Pipeline'!$D:$D,$U79)))</f>
        <v>Forschung / Hightech</v>
      </c>
      <c r="E79" s="24" t="str">
        <f>IF($U79="","",IF(INDEX('MiT Strom Pipeline'!$H:$H,$U79)="","",INDEX('MiT Strom Pipeline'!$H:$H,$U79)))</f>
        <v>Juli</v>
      </c>
      <c r="F79" s="24" t="str">
        <f>IF($U79="","",IF(INDEX('MiT Strom Pipeline'!$E:$E,$U79)="","",INDEX('MiT Strom Pipeline'!$E:$E,$U79)))</f>
        <v>BESS 1 MWh</v>
      </c>
      <c r="G79" s="25">
        <f>IF($U79="","",IF(ISNUMBER(INDEX('MiT Strom Pipeline'!$I:$I,$U79)),INDEX('MiT Strom Pipeline'!$I:$I,$U79),0))</f>
        <v>365003</v>
      </c>
      <c r="H79" s="25">
        <f>IF($U79="","",IF(ISNUMBER(INDEX('MiT Strom Pipeline'!$Q:$Q,$U79)),INDEX('MiT Strom Pipeline'!$Q:$Q,$U79),0))</f>
        <v>182501.5</v>
      </c>
      <c r="I79" s="24" t="str">
        <f>IF($U79="","",INDEX('MiT Strom Pipeline'!$R:$R,$U79))</f>
        <v>offered</v>
      </c>
      <c r="J79" s="26">
        <f>IF($U79="","",IF(ISNUMBER(INDEX('MiT Strom Pipeline'!$S:$S,$U79)),INDEX('MiT Strom Pipeline'!$S:$S,$U79),""))</f>
        <v>0.5</v>
      </c>
      <c r="K79" s="24" t="str">
        <f>IF($U79="","",IF(LEN(INDEX('MiT Strom Pipeline'!$V:$V,$U79))&gt;0,LEFT(INDEX('MiT Strom Pipeline'!$V:$V,$U79),55),""))</f>
        <v>Technisches Gespräch – USV + PQ-Anforderungen klären, K</v>
      </c>
      <c r="L79" s="19"/>
      <c r="M79" s="19"/>
      <c r="N79" s="19"/>
      <c r="O79" s="19"/>
      <c r="P79" s="19"/>
      <c r="Q79" s="19"/>
      <c r="R79" s="19"/>
      <c r="S79" s="19"/>
      <c r="U79">
        <f>IFERROR(MATCH(5,'MiT Strom Pipeline'!$AC$6:$AC$860,0)+5,"")</f>
        <v>18</v>
      </c>
    </row>
    <row r="80" spans="1:21" ht="15.75" customHeight="1">
      <c r="A80" s="23">
        <f>IF($U80="","",IF(ISNUMBER(INDEX('MiT Strom Pipeline'!$A:$A,$U80)),INDEX('MiT Strom Pipeline'!$A:$A,$U80),""))</f>
        <v>25</v>
      </c>
      <c r="B80" s="24" t="str">
        <f>IF($U80="","",IF(INDEX('MiT Strom Pipeline'!$B:$B,$U80)="","",INDEX('MiT Strom Pipeline'!$B:$B,$U80)))</f>
        <v>Reto EKAG</v>
      </c>
      <c r="C80" s="24" t="str">
        <f>IF($U80="","",IF(INDEX('MiT Strom Pipeline'!$C:$C,$U80)="","",INDEX('MiT Strom Pipeline'!$C:$C,$U80)))</f>
        <v>AG</v>
      </c>
      <c r="D80" s="24" t="str">
        <f>IF($U80="","",IF(INDEX('MiT Strom Pipeline'!$D:$D,$U80)="","",INDEX('MiT Strom Pipeline'!$D:$D,$U80)))</f>
        <v>Elektroinstallation</v>
      </c>
      <c r="E80" s="24" t="str">
        <f>IF($U80="","",IF(INDEX('MiT Strom Pipeline'!$H:$H,$U80)="","",INDEX('MiT Strom Pipeline'!$H:$H,$U80)))</f>
        <v>Okt</v>
      </c>
      <c r="F80" s="24" t="str">
        <f>IF($U80="","",IF(INDEX('MiT Strom Pipeline'!$E:$E,$U80)="","",INDEX('MiT Strom Pipeline'!$E:$E,$U80)))</f>
        <v>Option B 1x 6 kVA Trafo, 1x 3000 kVA Trafo, 1x 6000 kVA Lastbank, 1x 3300 kVA Lastbank</v>
      </c>
      <c r="G80" s="25">
        <f>IF($U80="","",IF(ISNUMBER(INDEX('MiT Strom Pipeline'!$I:$I,$U80)),INDEX('MiT Strom Pipeline'!$I:$I,$U80),0))</f>
        <v>57249.54</v>
      </c>
      <c r="H80" s="25">
        <f>IF($U80="","",IF(ISNUMBER(INDEX('MiT Strom Pipeline'!$Q:$Q,$U80)),INDEX('MiT Strom Pipeline'!$Q:$Q,$U80),0))</f>
        <v>51524.586000000003</v>
      </c>
      <c r="I80" s="24" t="str">
        <f>IF($U80="","",INDEX('MiT Strom Pipeline'!$R:$R,$U80))</f>
        <v>offered</v>
      </c>
      <c r="J80" s="26">
        <f>IF($U80="","",IF(ISNUMBER(INDEX('MiT Strom Pipeline'!$S:$S,$U80)),INDEX('MiT Strom Pipeline'!$S:$S,$U80),""))</f>
        <v>0.9</v>
      </c>
      <c r="K80" s="24" t="str">
        <f>IF($U80="","",IF(LEN(INDEX('MiT Strom Pipeline'!$V:$V,$U80))&gt;0,LEFT(INDEX('MiT Strom Pipeline'!$V:$V,$U80),55),""))</f>
        <v>Kunde Telefon Kontaktiert und Vor Ort 
Besichtigung und</v>
      </c>
      <c r="L80" s="19"/>
      <c r="M80" s="19"/>
      <c r="N80" s="19"/>
      <c r="O80" s="19"/>
      <c r="P80" s="19"/>
      <c r="Q80" s="19"/>
      <c r="R80" s="19"/>
      <c r="S80" s="19"/>
      <c r="U80">
        <f>IFERROR(MATCH(6,'MiT Strom Pipeline'!$AC$6:$AC$860,0)+5,"")</f>
        <v>19</v>
      </c>
    </row>
    <row r="81" spans="1:21" ht="15.75" customHeight="1">
      <c r="A81" s="23">
        <f>IF($U81="","",IF(ISNUMBER(INDEX('MiT Strom Pipeline'!$A:$A,$U81)),INDEX('MiT Strom Pipeline'!$A:$A,$U81),""))</f>
        <v>25</v>
      </c>
      <c r="B81" s="24" t="str">
        <f>IF($U81="","",IF(INDEX('MiT Strom Pipeline'!$B:$B,$U81)="","",INDEX('MiT Strom Pipeline'!$B:$B,$U81)))</f>
        <v>Reto EKAG</v>
      </c>
      <c r="C81" s="24" t="str">
        <f>IF($U81="","",IF(INDEX('MiT Strom Pipeline'!$C:$C,$U81)="","",INDEX('MiT Strom Pipeline'!$C:$C,$U81)))</f>
        <v>AG</v>
      </c>
      <c r="D81" s="24" t="str">
        <f>IF($U81="","",IF(INDEX('MiT Strom Pipeline'!$D:$D,$U81)="","",INDEX('MiT Strom Pipeline'!$D:$D,$U81)))</f>
        <v>Elektroinstallation</v>
      </c>
      <c r="E81" s="24" t="str">
        <f>IF($U81="","",IF(INDEX('MiT Strom Pipeline'!$H:$H,$U81)="","",INDEX('MiT Strom Pipeline'!$H:$H,$U81)))</f>
        <v>Okt</v>
      </c>
      <c r="F81" s="24" t="str">
        <f>IF($U81="","",IF(INDEX('MiT Strom Pipeline'!$E:$E,$U81)="","",INDEX('MiT Strom Pipeline'!$E:$E,$U81)))</f>
        <v>MS Kabel 95mm</v>
      </c>
      <c r="G81" s="25">
        <f>IF($U81="","",IF(ISNUMBER(INDEX('MiT Strom Pipeline'!$I:$I,$U81)),INDEX('MiT Strom Pipeline'!$I:$I,$U81),0))</f>
        <v>15664.18</v>
      </c>
      <c r="H81" s="25">
        <f>IF($U81="","",IF(ISNUMBER(INDEX('MiT Strom Pipeline'!$Q:$Q,$U81)),INDEX('MiT Strom Pipeline'!$Q:$Q,$U81),0))</f>
        <v>14097.762000000001</v>
      </c>
      <c r="I81" s="24" t="str">
        <f>IF($U81="","",INDEX('MiT Strom Pipeline'!$R:$R,$U81))</f>
        <v>offered</v>
      </c>
      <c r="J81" s="26">
        <f>IF($U81="","",IF(ISNUMBER(INDEX('MiT Strom Pipeline'!$S:$S,$U81)),INDEX('MiT Strom Pipeline'!$S:$S,$U81),""))</f>
        <v>0.9</v>
      </c>
      <c r="K81" s="24" t="str">
        <f>IF($U81="","",IF(LEN(INDEX('MiT Strom Pipeline'!$V:$V,$U81))&gt;0,LEFT(INDEX('MiT Strom Pipeline'!$V:$V,$U81),55),""))</f>
        <v>Kunde Telefon Kontaktiert und Vor Ort 
Besichtigung und</v>
      </c>
      <c r="L81" s="19"/>
      <c r="M81" s="19"/>
      <c r="N81" s="19"/>
      <c r="O81" s="19"/>
      <c r="P81" s="19"/>
      <c r="Q81" s="19"/>
      <c r="R81" s="19"/>
      <c r="S81" s="19"/>
      <c r="U81">
        <f>IFERROR(MATCH(7,'MiT Strom Pipeline'!$AC$6:$AC$860,0)+5,"")</f>
        <v>20</v>
      </c>
    </row>
    <row r="82" spans="1:21" ht="15.75" customHeight="1">
      <c r="A82" s="23">
        <f>IF($U82="","",IF(ISNUMBER(INDEX('MiT Strom Pipeline'!$A:$A,$U82)),INDEX('MiT Strom Pipeline'!$A:$A,$U82),""))</f>
        <v>28</v>
      </c>
      <c r="B82" s="24" t="str">
        <f>IF($U82="","",IF(INDEX('MiT Strom Pipeline'!$B:$B,$U82)="","",INDEX('MiT Strom Pipeline'!$B:$B,$U82)))</f>
        <v>WEF</v>
      </c>
      <c r="C82" s="24" t="str">
        <f>IF($U82="","",IF(INDEX('MiT Strom Pipeline'!$C:$C,$U82)="","",INDEX('MiT Strom Pipeline'!$C:$C,$U82)))</f>
        <v>GR</v>
      </c>
      <c r="D82" s="24" t="str">
        <f>IF($U82="","",IF(INDEX('MiT Strom Pipeline'!$D:$D,$U82)="","",INDEX('MiT Strom Pipeline'!$D:$D,$U82)))</f>
        <v>Event</v>
      </c>
      <c r="E82" s="24" t="str">
        <f>IF($U82="","",IF(INDEX('MiT Strom Pipeline'!$H:$H,$U82)="","",INDEX('MiT Strom Pipeline'!$H:$H,$U82)))</f>
        <v>Jan</v>
      </c>
      <c r="F82" s="24" t="str">
        <f>IF($U82="","",IF(INDEX('MiT Strom Pipeline'!$E:$E,$U82)="","",INDEX('MiT Strom Pipeline'!$E:$E,$U82)))</f>
        <v>1500 kVA, 600 kVA, 450 kVA, 450 kVA</v>
      </c>
      <c r="G82" s="25">
        <f>IF($U82="","",IF(ISNUMBER(INDEX('MiT Strom Pipeline'!$I:$I,$U82)),INDEX('MiT Strom Pipeline'!$I:$I,$U82),0))</f>
        <v>77325.62</v>
      </c>
      <c r="H82" s="25">
        <f>IF($U82="","",IF(ISNUMBER(INDEX('MiT Strom Pipeline'!$Q:$Q,$U82)),INDEX('MiT Strom Pipeline'!$Q:$Q,$U82),0))</f>
        <v>38662.81</v>
      </c>
      <c r="I82" s="24" t="str">
        <f>IF($U82="","",INDEX('MiT Strom Pipeline'!$R:$R,$U82))</f>
        <v>offered</v>
      </c>
      <c r="J82" s="26">
        <f>IF($U82="","",IF(ISNUMBER(INDEX('MiT Strom Pipeline'!$S:$S,$U82)),INDEX('MiT Strom Pipeline'!$S:$S,$U82),""))</f>
        <v>0.5</v>
      </c>
      <c r="K82" s="24" t="str">
        <f>IF($U82="","",IF(LEN(INDEX('MiT Strom Pipeline'!$V:$V,$U82))&gt;0,LEFT(INDEX('MiT Strom Pipeline'!$V:$V,$U82),55),""))</f>
        <v>Offerte erstellt, Stefan hat die Offerte bekommen, Stef</v>
      </c>
      <c r="L82" s="19"/>
      <c r="M82" s="19"/>
      <c r="N82" s="19"/>
      <c r="O82" s="19"/>
      <c r="P82" s="19"/>
      <c r="Q82" s="19"/>
      <c r="R82" s="19"/>
      <c r="S82" s="19"/>
      <c r="U82">
        <f>IFERROR(MATCH(8,'MiT Strom Pipeline'!$AC$6:$AC$860,0)+5,"")</f>
        <v>21</v>
      </c>
    </row>
    <row r="83" spans="1:21" ht="15.75" customHeight="1">
      <c r="A83" s="23">
        <f>IF($U83="","",IF(ISNUMBER(INDEX('MiT Strom Pipeline'!$A:$A,$U83)),INDEX('MiT Strom Pipeline'!$A:$A,$U83),""))</f>
        <v>8</v>
      </c>
      <c r="B83" s="24" t="str">
        <f>IF($U83="","",IF(INDEX('MiT Strom Pipeline'!$B:$B,$U83)="","",INDEX('MiT Strom Pipeline'!$B:$B,$U83)))</f>
        <v>Sade CGTH (Schweiz)</v>
      </c>
      <c r="C83" s="24" t="str">
        <f>IF($U83="","",IF(INDEX('MiT Strom Pipeline'!$C:$C,$U83)="","",INDEX('MiT Strom Pipeline'!$C:$C,$U83)))</f>
        <v>GE</v>
      </c>
      <c r="D83" s="24" t="str">
        <f>IF($U83="","",IF(INDEX('MiT Strom Pipeline'!$D:$D,$U83)="","",INDEX('MiT Strom Pipeline'!$D:$D,$U83)))</f>
        <v>Infrastruktur / Bau</v>
      </c>
      <c r="E83" s="24" t="str">
        <f>IF($U83="","",IF(INDEX('MiT Strom Pipeline'!$H:$H,$U83)="","",INDEX('MiT Strom Pipeline'!$H:$H,$U83)))</f>
        <v>April</v>
      </c>
      <c r="F83" s="24" t="str">
        <f>IF($U83="","",IF(INDEX('MiT Strom Pipeline'!$E:$E,$U83)="","",INDEX('MiT Strom Pipeline'!$E:$E,$U83)))</f>
        <v>750 kVA Generator</v>
      </c>
      <c r="G83" s="25">
        <f>IF($U83="","",IF(ISNUMBER(INDEX('MiT Strom Pipeline'!$I:$I,$U83)),INDEX('MiT Strom Pipeline'!$I:$I,$U83),0))</f>
        <v>38885</v>
      </c>
      <c r="H83" s="25">
        <f>IF($U83="","",IF(ISNUMBER(INDEX('MiT Strom Pipeline'!$Q:$Q,$U83)),INDEX('MiT Strom Pipeline'!$Q:$Q,$U83),0))</f>
        <v>19442.5</v>
      </c>
      <c r="I83" s="24" t="str">
        <f>IF($U83="","",INDEX('MiT Strom Pipeline'!$R:$R,$U83))</f>
        <v>on hold</v>
      </c>
      <c r="J83" s="26">
        <f>IF($U83="","",IF(ISNUMBER(INDEX('MiT Strom Pipeline'!$S:$S,$U83)),INDEX('MiT Strom Pipeline'!$S:$S,$U83),""))</f>
        <v>0.5</v>
      </c>
      <c r="K83" s="24" t="str">
        <f>IF($U83="","",IF(LEN(INDEX('MiT Strom Pipeline'!$V:$V,$U83))&gt;0,LEFT(INDEX('MiT Strom Pipeline'!$V:$V,$U83),55),""))</f>
        <v>Auftragsbestätigung anfordern – Entscheid steht bevor</v>
      </c>
      <c r="L83" s="19"/>
      <c r="M83" s="19"/>
      <c r="N83" s="19"/>
      <c r="O83" s="19"/>
      <c r="P83" s="19"/>
      <c r="Q83" s="19"/>
      <c r="R83" s="19"/>
      <c r="S83" s="19"/>
      <c r="U83">
        <f>IFERROR(MATCH(9,'MiT Strom Pipeline'!$AC$6:$AC$860,0)+5,"")</f>
        <v>28</v>
      </c>
    </row>
    <row r="84" spans="1:21" ht="15.75" customHeight="1">
      <c r="A84" s="23">
        <f>IF($U84="","",IF(ISNUMBER(INDEX('MiT Strom Pipeline'!$A:$A,$U84)),INDEX('MiT Strom Pipeline'!$A:$A,$U84),""))</f>
        <v>14</v>
      </c>
      <c r="B84" s="24" t="str">
        <f>IF($U84="","",IF(INDEX('MiT Strom Pipeline'!$B:$B,$U84)="","",INDEX('MiT Strom Pipeline'!$B:$B,$U84)))</f>
        <v>Trafag AG</v>
      </c>
      <c r="C84" s="24" t="str">
        <f>IF($U84="","",IF(INDEX('MiT Strom Pipeline'!$C:$C,$U84)="","",INDEX('MiT Strom Pipeline'!$C:$C,$U84)))</f>
        <v>ZH</v>
      </c>
      <c r="D84" s="24" t="str">
        <f>IF($U84="","",IF(INDEX('MiT Strom Pipeline'!$D:$D,$U84)="","",INDEX('MiT Strom Pipeline'!$D:$D,$U84)))</f>
        <v>Industrie / Messtechnik</v>
      </c>
      <c r="E84" s="24" t="str">
        <f>IF($U84="","",IF(INDEX('MiT Strom Pipeline'!$H:$H,$U84)="","",INDEX('MiT Strom Pipeline'!$H:$H,$U84)))</f>
        <v>tbd</v>
      </c>
      <c r="F84" s="24" t="str">
        <f>IF($U84="","",IF(INDEX('MiT Strom Pipeline'!$E:$E,$U84)="","",INDEX('MiT Strom Pipeline'!$E:$E,$U84)))</f>
        <v>450 kVA Generator</v>
      </c>
      <c r="G84" s="25">
        <f>IF($U84="","",IF(ISNUMBER(INDEX('MiT Strom Pipeline'!$I:$I,$U84)),INDEX('MiT Strom Pipeline'!$I:$I,$U84),0))</f>
        <v>17300</v>
      </c>
      <c r="H84" s="25">
        <f>IF($U84="","",IF(ISNUMBER(INDEX('MiT Strom Pipeline'!$Q:$Q,$U84)),INDEX('MiT Strom Pipeline'!$Q:$Q,$U84),0))</f>
        <v>3460</v>
      </c>
      <c r="I84" s="24" t="str">
        <f>IF($U84="","",INDEX('MiT Strom Pipeline'!$R:$R,$U84))</f>
        <v>offered</v>
      </c>
      <c r="J84" s="26">
        <f>IF($U84="","",IF(ISNUMBER(INDEX('MiT Strom Pipeline'!$S:$S,$U84)),INDEX('MiT Strom Pipeline'!$S:$S,$U84),""))</f>
        <v>0.2</v>
      </c>
      <c r="K84" s="24" t="str">
        <f>IF($U84="","",IF(LEN(INDEX('MiT Strom Pipeline'!$V:$V,$U84))&gt;0,LEFT(INDEX('MiT Strom Pipeline'!$V:$V,$U84),55),""))</f>
        <v>Angebot vorbereiten – PQ-Argument für Messtechnik, Stef</v>
      </c>
      <c r="L84" s="19"/>
      <c r="M84" s="19"/>
      <c r="N84" s="19"/>
      <c r="O84" s="19"/>
      <c r="P84" s="19"/>
      <c r="Q84" s="19"/>
      <c r="R84" s="19"/>
      <c r="S84" s="19"/>
      <c r="U84">
        <f>IFERROR(MATCH(10,'MiT Strom Pipeline'!$AC$6:$AC$860,0)+5,"")</f>
        <v>33</v>
      </c>
    </row>
    <row r="85" spans="1:21" ht="15.75" customHeight="1">
      <c r="A85" s="23">
        <f>IF($U85="","",IF(ISNUMBER(INDEX('MiT Strom Pipeline'!$A:$A,$U85)),INDEX('MiT Strom Pipeline'!$A:$A,$U85),""))</f>
        <v>14</v>
      </c>
      <c r="B85" s="24" t="str">
        <f>IF($U85="","",IF(INDEX('MiT Strom Pipeline'!$B:$B,$U85)="","",INDEX('MiT Strom Pipeline'!$B:$B,$U85)))</f>
        <v>Trafag AG</v>
      </c>
      <c r="C85" s="24" t="str">
        <f>IF($U85="","",IF(INDEX('MiT Strom Pipeline'!$C:$C,$U85)="","",INDEX('MiT Strom Pipeline'!$C:$C,$U85)))</f>
        <v>ZH</v>
      </c>
      <c r="D85" s="24" t="str">
        <f>IF($U85="","",IF(INDEX('MiT Strom Pipeline'!$D:$D,$U85)="","",INDEX('MiT Strom Pipeline'!$D:$D,$U85)))</f>
        <v>Industrie / Messtechnik</v>
      </c>
      <c r="E85" s="24" t="str">
        <f>IF($U85="","",IF(INDEX('MiT Strom Pipeline'!$H:$H,$U85)="","",INDEX('MiT Strom Pipeline'!$H:$H,$U85)))</f>
        <v>tbd</v>
      </c>
      <c r="F85" s="24" t="str">
        <f>IF($U85="","",IF(INDEX('MiT Strom Pipeline'!$E:$E,$U85)="","",INDEX('MiT Strom Pipeline'!$E:$E,$U85)))</f>
        <v>BESS 500 kVA</v>
      </c>
      <c r="G85" s="25">
        <f>IF($U85="","",IF(ISNUMBER(INDEX('MiT Strom Pipeline'!$I:$I,$U85)),INDEX('MiT Strom Pipeline'!$I:$I,$U85),0))</f>
        <v>21025</v>
      </c>
      <c r="H85" s="25">
        <f>IF($U85="","",IF(ISNUMBER(INDEX('MiT Strom Pipeline'!$Q:$Q,$U85)),INDEX('MiT Strom Pipeline'!$Q:$Q,$U85),0))</f>
        <v>4205</v>
      </c>
      <c r="I85" s="24" t="str">
        <f>IF($U85="","",INDEX('MiT Strom Pipeline'!$R:$R,$U85))</f>
        <v>offered</v>
      </c>
      <c r="J85" s="26">
        <f>IF($U85="","",IF(ISNUMBER(INDEX('MiT Strom Pipeline'!$S:$S,$U85)),INDEX('MiT Strom Pipeline'!$S:$S,$U85),""))</f>
        <v>0.2</v>
      </c>
      <c r="K85" s="24" t="str">
        <f>IF($U85="","",IF(LEN(INDEX('MiT Strom Pipeline'!$V:$V,$U85))&gt;0,LEFT(INDEX('MiT Strom Pipeline'!$V:$V,$U85),55),""))</f>
        <v>Angebot vorbereiten – PQ-Argument für Messtechnik, Stef</v>
      </c>
      <c r="L85" s="19"/>
      <c r="M85" s="19"/>
      <c r="N85" s="19"/>
      <c r="O85" s="19"/>
      <c r="P85" s="19"/>
      <c r="Q85" s="19"/>
      <c r="R85" s="19"/>
      <c r="S85" s="19"/>
      <c r="U85">
        <f>IFERROR(MATCH(11,'MiT Strom Pipeline'!$AC$6:$AC$860,0)+5,"")</f>
        <v>35</v>
      </c>
    </row>
    <row r="86" spans="1:21" ht="15.75" customHeight="1">
      <c r="A86" s="23">
        <f>IF($U86="","",IF(ISNUMBER(INDEX('MiT Strom Pipeline'!$A:$A,$U86)),INDEX('MiT Strom Pipeline'!$A:$A,$U86),""))</f>
        <v>14</v>
      </c>
      <c r="B86" s="24" t="str">
        <f>IF($U86="","",IF(INDEX('MiT Strom Pipeline'!$B:$B,$U86)="","",INDEX('MiT Strom Pipeline'!$B:$B,$U86)))</f>
        <v>Trafag AG</v>
      </c>
      <c r="C86" s="24" t="str">
        <f>IF($U86="","",IF(INDEX('MiT Strom Pipeline'!$C:$C,$U86)="","",INDEX('MiT Strom Pipeline'!$C:$C,$U86)))</f>
        <v>ZH</v>
      </c>
      <c r="D86" s="24" t="str">
        <f>IF($U86="","",IF(INDEX('MiT Strom Pipeline'!$D:$D,$U86)="","",INDEX('MiT Strom Pipeline'!$D:$D,$U86)))</f>
        <v>Industrie / Messtechnik</v>
      </c>
      <c r="E86" s="27" t="str">
        <f>IF($U86="","",IF(INDEX('MiT Strom Pipeline'!$H:$H,$U86)="","",INDEX('MiT Strom Pipeline'!$H:$H,$U86)))</f>
        <v>tbd</v>
      </c>
      <c r="F86" s="24" t="str">
        <f>IF($U86="","",IF(INDEX('MiT Strom Pipeline'!$E:$E,$U86)="","",INDEX('MiT Strom Pipeline'!$E:$E,$U86)))</f>
        <v>Kombi 450 kVA Generator / BESS 500 kVA</v>
      </c>
      <c r="G86" s="25">
        <f>IF($U86="","",IF(ISNUMBER(INDEX('MiT Strom Pipeline'!$I:$I,$U86)),INDEX('MiT Strom Pipeline'!$I:$I,$U86),0))</f>
        <v>37444</v>
      </c>
      <c r="H86" s="25">
        <f>IF($U86="","",IF(ISNUMBER(INDEX('MiT Strom Pipeline'!$Q:$Q,$U86)),INDEX('MiT Strom Pipeline'!$Q:$Q,$U86),0))</f>
        <v>7488.8</v>
      </c>
      <c r="I86" s="24" t="str">
        <f>IF($U86="","",INDEX('MiT Strom Pipeline'!$R:$R,$U86))</f>
        <v>offered</v>
      </c>
      <c r="J86" s="26">
        <f>IF($U86="","",IF(ISNUMBER(INDEX('MiT Strom Pipeline'!$S:$S,$U86)),INDEX('MiT Strom Pipeline'!$S:$S,$U86),""))</f>
        <v>0.2</v>
      </c>
      <c r="K86" s="24" t="str">
        <f>IF($U86="","",IF(LEN(INDEX('MiT Strom Pipeline'!$V:$V,$U86))&gt;0,LEFT(INDEX('MiT Strom Pipeline'!$V:$V,$U86),55),""))</f>
        <v>Angebot vorbereiten – PQ-Argument für Messtechnik, Stef</v>
      </c>
      <c r="L86" s="19"/>
      <c r="M86" s="19"/>
      <c r="N86" s="19"/>
      <c r="O86" s="19"/>
      <c r="P86" s="19"/>
      <c r="Q86" s="19"/>
      <c r="R86" s="19"/>
      <c r="S86" s="19"/>
      <c r="U86">
        <f>IFERROR(MATCH(12,'MiT Strom Pipeline'!$AC$6:$AC$860,0)+5,"")</f>
        <v>36</v>
      </c>
    </row>
    <row r="87" spans="1:21" ht="15.75" customHeight="1">
      <c r="A87" s="23">
        <f>IF($U87="","",IF(ISNUMBER(INDEX('MiT Strom Pipeline'!$A:$A,$U87)),INDEX('MiT Strom Pipeline'!$A:$A,$U87),""))</f>
        <v>27</v>
      </c>
      <c r="B87" s="24" t="str">
        <f>IF($U87="","",IF(INDEX('MiT Strom Pipeline'!$B:$B,$U87)="","",INDEX('MiT Strom Pipeline'!$B:$B,$U87)))</f>
        <v>Rimus &amp; Sstrada</v>
      </c>
      <c r="C87" s="24" t="str">
        <f>IF($U87="","",IF(INDEX('MiT Strom Pipeline'!$C:$C,$U87)="","",INDEX('MiT Strom Pipeline'!$C:$C,$U87)))</f>
        <v>SH</v>
      </c>
      <c r="D87" s="24" t="str">
        <f>IF($U87="","",IF(INDEX('MiT Strom Pipeline'!$D:$D,$U87)="","",INDEX('MiT Strom Pipeline'!$D:$D,$U87)))</f>
        <v>Industrie</v>
      </c>
      <c r="E87" s="24" t="str">
        <f>IF($U87="","",IF(INDEX('MiT Strom Pipeline'!$H:$H,$U87)="","",INDEX('MiT Strom Pipeline'!$H:$H,$U87)))</f>
        <v>tbd</v>
      </c>
      <c r="F87" s="24" t="str">
        <f>IF($U87="","",IF(INDEX('MiT Strom Pipeline'!$E:$E,$U87)="","",INDEX('MiT Strom Pipeline'!$E:$E,$U87)))</f>
        <v>500 kWh Small BESS</v>
      </c>
      <c r="G87" s="25">
        <f>IF($U87="","",IF(ISNUMBER(INDEX('MiT Strom Pipeline'!$I:$I,$U87)),INDEX('MiT Strom Pipeline'!$I:$I,$U87),0))</f>
        <v>425955</v>
      </c>
      <c r="H87" s="25">
        <f>IF($U87="","",IF(ISNUMBER(INDEX('MiT Strom Pipeline'!$Q:$Q,$U87)),INDEX('MiT Strom Pipeline'!$Q:$Q,$U87),0))</f>
        <v>85191</v>
      </c>
      <c r="I87" s="24" t="str">
        <f>IF($U87="","",INDEX('MiT Strom Pipeline'!$R:$R,$U87))</f>
        <v>offered</v>
      </c>
      <c r="J87" s="26">
        <f>IF($U87="","",IF(ISNUMBER(INDEX('MiT Strom Pipeline'!$S:$S,$U87)),INDEX('MiT Strom Pipeline'!$S:$S,$U87),""))</f>
        <v>0.2</v>
      </c>
      <c r="K87" s="24" t="str">
        <f>IF($U87="","",IF(LEN(INDEX('MiT Strom Pipeline'!$V:$V,$U87))&gt;0,LEFT(INDEX('MiT Strom Pipeline'!$V:$V,$U87),55),""))</f>
        <v>Kunde Telefon Kontaktiert und Vor Ort 
Besichtigung und</v>
      </c>
      <c r="L87" s="19"/>
      <c r="M87" s="19"/>
      <c r="N87" s="19"/>
      <c r="O87" s="19"/>
      <c r="P87" s="19"/>
      <c r="Q87" s="19"/>
      <c r="R87" s="19"/>
      <c r="S87" s="19"/>
      <c r="U87">
        <f>IFERROR(MATCH(13,'MiT Strom Pipeline'!$AC$6:$AC$860,0)+5,"")</f>
        <v>37</v>
      </c>
    </row>
    <row r="88" spans="1:21" ht="15.75" customHeight="1">
      <c r="A88" s="23">
        <f>IF($U88="","",IF(ISNUMBER(INDEX('MiT Strom Pipeline'!$A:$A,$U88)),INDEX('MiT Strom Pipeline'!$A:$A,$U88),""))</f>
        <v>27</v>
      </c>
      <c r="B88" s="24" t="str">
        <f>IF($U88="","",IF(INDEX('MiT Strom Pipeline'!$B:$B,$U88)="","",INDEX('MiT Strom Pipeline'!$B:$B,$U88)))</f>
        <v>Rimus &amp; Sstrada</v>
      </c>
      <c r="C88" s="24" t="str">
        <f>IF($U88="","",IF(INDEX('MiT Strom Pipeline'!$C:$C,$U88)="","",INDEX('MiT Strom Pipeline'!$C:$C,$U88)))</f>
        <v>SH</v>
      </c>
      <c r="D88" s="24" t="str">
        <f>IF($U88="","",IF(INDEX('MiT Strom Pipeline'!$D:$D,$U88)="","",INDEX('MiT Strom Pipeline'!$D:$D,$U88)))</f>
        <v>Industrie</v>
      </c>
      <c r="E88" s="24" t="str">
        <f>IF($U88="","",IF(INDEX('MiT Strom Pipeline'!$H:$H,$U88)="","",INDEX('MiT Strom Pipeline'!$H:$H,$U88)))</f>
        <v>tbd</v>
      </c>
      <c r="F88" s="24" t="str">
        <f>IF($U88="","",IF(INDEX('MiT Strom Pipeline'!$E:$E,$U88)="","",INDEX('MiT Strom Pipeline'!$E:$E,$U88)))</f>
        <v>1 MWh Medium BESS</v>
      </c>
      <c r="G88" s="25">
        <f>IF($U88="","",IF(ISNUMBER(INDEX('MiT Strom Pipeline'!$I:$I,$U88)),INDEX('MiT Strom Pipeline'!$I:$I,$U88),0))</f>
        <v>891330</v>
      </c>
      <c r="H88" s="25">
        <f>IF($U88="","",IF(ISNUMBER(INDEX('MiT Strom Pipeline'!$Q:$Q,$U88)),INDEX('MiT Strom Pipeline'!$Q:$Q,$U88),0))</f>
        <v>178266</v>
      </c>
      <c r="I88" s="24" t="str">
        <f>IF($U88="","",INDEX('MiT Strom Pipeline'!$R:$R,$U88))</f>
        <v>offered</v>
      </c>
      <c r="J88" s="26">
        <f>IF($U88="","",IF(ISNUMBER(INDEX('MiT Strom Pipeline'!$S:$S,$U88)),INDEX('MiT Strom Pipeline'!$S:$S,$U88),""))</f>
        <v>0.2</v>
      </c>
      <c r="K88" s="24" t="str">
        <f>IF($U88="","",IF(LEN(INDEX('MiT Strom Pipeline'!$V:$V,$U88))&gt;0,LEFT(INDEX('MiT Strom Pipeline'!$V:$V,$U88),55),""))</f>
        <v>Kunde Telefon Kontaktiert und Vor Ort 
Besichtigung und</v>
      </c>
      <c r="L88" s="19"/>
      <c r="M88" s="19"/>
      <c r="N88" s="19"/>
      <c r="O88" s="19"/>
      <c r="P88" s="19"/>
      <c r="Q88" s="19"/>
      <c r="R88" s="19"/>
      <c r="S88" s="19"/>
      <c r="U88">
        <f>IFERROR(MATCH(14,'MiT Strom Pipeline'!$AC$6:$AC$860,0)+5,"")</f>
        <v>38</v>
      </c>
    </row>
    <row r="89" spans="1:21" ht="15.75" customHeight="1">
      <c r="A89" s="23">
        <f>IF($U89="","",IF(ISNUMBER(INDEX('MiT Strom Pipeline'!$A:$A,$U89)),INDEX('MiT Strom Pipeline'!$A:$A,$U89),""))</f>
        <v>27</v>
      </c>
      <c r="B89" s="24" t="str">
        <f>IF($U89="","",IF(INDEX('MiT Strom Pipeline'!$B:$B,$U89)="","",INDEX('MiT Strom Pipeline'!$B:$B,$U89)))</f>
        <v>Rimus &amp; Sstrada</v>
      </c>
      <c r="C89" s="24" t="str">
        <f>IF($U89="","",IF(INDEX('MiT Strom Pipeline'!$C:$C,$U89)="","",INDEX('MiT Strom Pipeline'!$C:$C,$U89)))</f>
        <v>SH</v>
      </c>
      <c r="D89" s="24" t="str">
        <f>IF($U89="","",IF(INDEX('MiT Strom Pipeline'!$D:$D,$U89)="","",INDEX('MiT Strom Pipeline'!$D:$D,$U89)))</f>
        <v>Industrie</v>
      </c>
      <c r="E89" s="24" t="str">
        <f>IF($U89="","",IF(INDEX('MiT Strom Pipeline'!$H:$H,$U89)="","",INDEX('MiT Strom Pipeline'!$H:$H,$U89)))</f>
        <v>tbd</v>
      </c>
      <c r="F89" s="24" t="str">
        <f>IF($U89="","",IF(INDEX('MiT Strom Pipeline'!$E:$E,$U89)="","",INDEX('MiT Strom Pipeline'!$E:$E,$U89)))</f>
        <v>1,5 MWh Large BESS</v>
      </c>
      <c r="G89" s="25">
        <f>IF($U89="","",IF(ISNUMBER(INDEX('MiT Strom Pipeline'!$I:$I,$U89)),INDEX('MiT Strom Pipeline'!$I:$I,$U89),0))</f>
        <v>1307430</v>
      </c>
      <c r="H89" s="25">
        <f>IF($U89="","",IF(ISNUMBER(INDEX('MiT Strom Pipeline'!$Q:$Q,$U89)),INDEX('MiT Strom Pipeline'!$Q:$Q,$U89),0))</f>
        <v>261486</v>
      </c>
      <c r="I89" s="24" t="str">
        <f>IF($U89="","",INDEX('MiT Strom Pipeline'!$R:$R,$U89))</f>
        <v>offered</v>
      </c>
      <c r="J89" s="26">
        <f>IF($U89="","",IF(ISNUMBER(INDEX('MiT Strom Pipeline'!$S:$S,$U89)),INDEX('MiT Strom Pipeline'!$S:$S,$U89),""))</f>
        <v>0.2</v>
      </c>
      <c r="K89" s="24" t="str">
        <f>IF($U89="","",IF(LEN(INDEX('MiT Strom Pipeline'!$V:$V,$U89))&gt;0,LEFT(INDEX('MiT Strom Pipeline'!$V:$V,$U89),55),""))</f>
        <v>Kunde Telefon Kontaktiert und Vor Ort 
Besichtigung und</v>
      </c>
      <c r="L89" s="19"/>
      <c r="M89" s="19"/>
      <c r="N89" s="19"/>
      <c r="O89" s="19"/>
      <c r="P89" s="19"/>
      <c r="Q89" s="19"/>
      <c r="R89" s="19"/>
      <c r="S89" s="19"/>
      <c r="U89">
        <f>IFERROR(MATCH(15,'MiT Strom Pipeline'!$AC$6:$AC$860,0)+5,"")</f>
        <v>39</v>
      </c>
    </row>
    <row r="90" spans="1:21" ht="15.75" customHeight="1">
      <c r="A90" s="23">
        <f>IF($U90="","",IF(ISNUMBER(INDEX('MiT Strom Pipeline'!$A:$A,$U90)),INDEX('MiT Strom Pipeline'!$A:$A,$U90),""))</f>
        <v>34</v>
      </c>
      <c r="B90" s="24" t="str">
        <f>IF($U90="","",IF(INDEX('MiT Strom Pipeline'!$B:$B,$U90)="","",INDEX('MiT Strom Pipeline'!$B:$B,$U90)))</f>
        <v>Creabeton</v>
      </c>
      <c r="C90" s="24" t="str">
        <f>IF($U90="","",IF(INDEX('MiT Strom Pipeline'!$C:$C,$U90)="","",INDEX('MiT Strom Pipeline'!$C:$C,$U90)))</f>
        <v>BE</v>
      </c>
      <c r="D90" s="24" t="str">
        <f>IF($U90="","",IF(INDEX('MiT Strom Pipeline'!$D:$D,$U90)="","",INDEX('MiT Strom Pipeline'!$D:$D,$U90)))</f>
        <v>Infrastruktur / Bau</v>
      </c>
      <c r="E90" s="24" t="str">
        <f>IF($U90="","",IF(INDEX('MiT Strom Pipeline'!$H:$H,$U90)="","",INDEX('MiT Strom Pipeline'!$H:$H,$U90)))</f>
        <v>Juli</v>
      </c>
      <c r="F90" s="24" t="str">
        <f>IF($U90="","",IF(INDEX('MiT Strom Pipeline'!$E:$E,$U90)="","",INDEX('MiT Strom Pipeline'!$E:$E,$U90)))</f>
        <v>100 kVA Generator</v>
      </c>
      <c r="G90" s="25">
        <f>IF($U90="","",IF(ISNUMBER(INDEX('MiT Strom Pipeline'!$I:$I,$U90)),INDEX('MiT Strom Pipeline'!$I:$I,$U90),0))</f>
        <v>3232.41</v>
      </c>
      <c r="H90" s="25">
        <f>IF($U90="","",IF(ISNUMBER(INDEX('MiT Strom Pipeline'!$Q:$Q,$U90)),INDEX('MiT Strom Pipeline'!$Q:$Q,$U90),0))</f>
        <v>1616.2049999999999</v>
      </c>
      <c r="I90" s="24" t="str">
        <f>IF($U90="","",INDEX('MiT Strom Pipeline'!$R:$R,$U90))</f>
        <v>offered</v>
      </c>
      <c r="J90" s="26">
        <f>IF($U90="","",IF(ISNUMBER(INDEX('MiT Strom Pipeline'!$S:$S,$U90)),INDEX('MiT Strom Pipeline'!$S:$S,$U90),""))</f>
        <v>0.5</v>
      </c>
      <c r="K90" s="24" t="str">
        <f>IF($U90="","",IF(LEN(INDEX('MiT Strom Pipeline'!$V:$V,$U90))&gt;0,LEFT(INDEX('MiT Strom Pipeline'!$V:$V,$U90),55),""))</f>
        <v>Kunde angeschrieben, Warten auf Rückmeldung</v>
      </c>
      <c r="L90" s="19"/>
      <c r="M90" s="19"/>
      <c r="N90" s="19"/>
      <c r="O90" s="19"/>
      <c r="P90" s="19"/>
      <c r="Q90" s="19"/>
      <c r="R90" s="19"/>
      <c r="S90" s="19"/>
      <c r="U90">
        <f>IFERROR(MATCH(16,'MiT Strom Pipeline'!$AC$6:$AC$860,0)+5,"")</f>
        <v>40</v>
      </c>
    </row>
    <row r="91" spans="1:21" ht="15.75" customHeight="1">
      <c r="A91" s="23">
        <f>IF($U91="","",IF(ISNUMBER(INDEX('MiT Strom Pipeline'!$A:$A,$U91)),INDEX('MiT Strom Pipeline'!$A:$A,$U91),""))</f>
        <v>38</v>
      </c>
      <c r="B91" s="24" t="str">
        <f>IF($U91="","",IF(INDEX('MiT Strom Pipeline'!$B:$B,$U91)="","",INDEX('MiT Strom Pipeline'!$B:$B,$U91)))</f>
        <v>Linde Gas Schweiz AG</v>
      </c>
      <c r="C91" s="24" t="str">
        <f>IF($U91="","",IF(INDEX('MiT Strom Pipeline'!$C:$C,$U91)="","",INDEX('MiT Strom Pipeline'!$C:$C,$U91)))</f>
        <v>LU</v>
      </c>
      <c r="D91" s="24" t="str">
        <f>IF($U91="","",IF(INDEX('MiT Strom Pipeline'!$D:$D,$U91)="","",INDEX('MiT Strom Pipeline'!$D:$D,$U91)))</f>
        <v>Industrie</v>
      </c>
      <c r="E91" s="24" t="str">
        <f>IF($U91="","",IF(INDEX('MiT Strom Pipeline'!$H:$H,$U91)="","",INDEX('MiT Strom Pipeline'!$H:$H,$U91)))</f>
        <v>Jan</v>
      </c>
      <c r="F91" s="24" t="str">
        <f>IF($U91="","",IF(INDEX('MiT Strom Pipeline'!$E:$E,$U91)="","",INDEX('MiT Strom Pipeline'!$E:$E,$U91)))</f>
        <v>60 kVA Generator</v>
      </c>
      <c r="G91" s="25">
        <f>IF($U91="","",IF(ISNUMBER(INDEX('MiT Strom Pipeline'!$I:$I,$U91)),INDEX('MiT Strom Pipeline'!$I:$I,$U91),0))</f>
        <v>3686.2</v>
      </c>
      <c r="H91" s="25">
        <f>IF($U91="","",IF(ISNUMBER(INDEX('MiT Strom Pipeline'!$Q:$Q,$U91)),INDEX('MiT Strom Pipeline'!$Q:$Q,$U91),0))</f>
        <v>1843.1</v>
      </c>
      <c r="I91" s="24" t="str">
        <f>IF($U91="","",INDEX('MiT Strom Pipeline'!$R:$R,$U91))</f>
        <v>offered</v>
      </c>
      <c r="J91" s="26">
        <f>IF($U91="","",IF(ISNUMBER(INDEX('MiT Strom Pipeline'!$S:$S,$U91)),INDEX('MiT Strom Pipeline'!$S:$S,$U91),""))</f>
        <v>0.5</v>
      </c>
      <c r="K91" s="24" t="str">
        <f>IF($U91="","",IF(LEN(INDEX('MiT Strom Pipeline'!$V:$V,$U91))&gt;0,LEFT(INDEX('MiT Strom Pipeline'!$V:$V,$U91),55),""))</f>
        <v/>
      </c>
      <c r="L91" s="19"/>
      <c r="M91" s="19"/>
      <c r="N91" s="19"/>
      <c r="O91" s="19"/>
      <c r="P91" s="19"/>
      <c r="Q91" s="19"/>
      <c r="R91" s="19"/>
      <c r="S91" s="19"/>
      <c r="U91">
        <f>IFERROR(MATCH(17,'MiT Strom Pipeline'!$AC$6:$AC$860,0)+5,"")</f>
        <v>42</v>
      </c>
    </row>
    <row r="92" spans="1:21" ht="15.75" customHeight="1">
      <c r="A92" s="23">
        <f>IF($U92="","",IF(ISNUMBER(INDEX('MiT Strom Pipeline'!$A:$A,$U92)),INDEX('MiT Strom Pipeline'!$A:$A,$U92),""))</f>
        <v>39</v>
      </c>
      <c r="B92" s="24" t="str">
        <f>IF($U92="","",IF(INDEX('MiT Strom Pipeline'!$B:$B,$U92)="","",INDEX('MiT Strom Pipeline'!$B:$B,$U92)))</f>
        <v>Baumeler Leitungsbau AG</v>
      </c>
      <c r="C92" s="24" t="str">
        <f>IF($U92="","",IF(INDEX('MiT Strom Pipeline'!$C:$C,$U92)="","",INDEX('MiT Strom Pipeline'!$C:$C,$U92)))</f>
        <v>LU</v>
      </c>
      <c r="D92" s="24" t="str">
        <f>IF($U92="","",IF(INDEX('MiT Strom Pipeline'!$D:$D,$U92)="","",INDEX('MiT Strom Pipeline'!$D:$D,$U92)))</f>
        <v>Industrie</v>
      </c>
      <c r="E92" s="24" t="str">
        <f>IF($U92="","",IF(INDEX('MiT Strom Pipeline'!$H:$H,$U92)="","",INDEX('MiT Strom Pipeline'!$H:$H,$U92)))</f>
        <v>Juli</v>
      </c>
      <c r="F92" s="24" t="str">
        <f>IF($U92="","",IF(INDEX('MiT Strom Pipeline'!$E:$E,$U92)="","",INDEX('MiT Strom Pipeline'!$E:$E,$U92)))</f>
        <v xml:space="preserve">600 kVA </v>
      </c>
      <c r="G92" s="25">
        <f>IF($U92="","",IF(ISNUMBER(INDEX('MiT Strom Pipeline'!$I:$I,$U92)),INDEX('MiT Strom Pipeline'!$I:$I,$U92),0))</f>
        <v>11559.36</v>
      </c>
      <c r="H92" s="25">
        <f>IF($U92="","",IF(ISNUMBER(INDEX('MiT Strom Pipeline'!$Q:$Q,$U92)),INDEX('MiT Strom Pipeline'!$Q:$Q,$U92),0))</f>
        <v>5779.68</v>
      </c>
      <c r="I92" s="24" t="str">
        <f>IF($U92="","",INDEX('MiT Strom Pipeline'!$R:$R,$U92))</f>
        <v>offered</v>
      </c>
      <c r="J92" s="26">
        <f>IF($U92="","",IF(ISNUMBER(INDEX('MiT Strom Pipeline'!$S:$S,$U92)),INDEX('MiT Strom Pipeline'!$S:$S,$U92),""))</f>
        <v>0.5</v>
      </c>
      <c r="K92" s="24" t="str">
        <f>IF($U92="","",IF(LEN(INDEX('MiT Strom Pipeline'!$V:$V,$U92))&gt;0,LEFT(INDEX('MiT Strom Pipeline'!$V:$V,$U92),55),""))</f>
        <v>Kunde angeschrieben, Offerte erstellt, Kunde hat Offert</v>
      </c>
      <c r="L92" s="19"/>
      <c r="M92" s="19"/>
      <c r="N92" s="19"/>
      <c r="O92" s="19"/>
      <c r="P92" s="19"/>
      <c r="Q92" s="19"/>
      <c r="R92" s="19"/>
      <c r="S92" s="19"/>
      <c r="U92">
        <f>IFERROR(MATCH(18,'MiT Strom Pipeline'!$AC$6:$AC$860,0)+5,"")</f>
        <v>43</v>
      </c>
    </row>
    <row r="93" spans="1:21" ht="15.75" customHeight="1">
      <c r="A93" s="23">
        <f>IF($U93="","",IF(ISNUMBER(INDEX('MiT Strom Pipeline'!$A:$A,$U93)),INDEX('MiT Strom Pipeline'!$A:$A,$U93),""))</f>
        <v>41</v>
      </c>
      <c r="B93" s="24" t="str">
        <f>IF($U93="","",IF(INDEX('MiT Strom Pipeline'!$B:$B,$U93)="","",INDEX('MiT Strom Pipeline'!$B:$B,$U93)))</f>
        <v>Verein Street Parade Zürich</v>
      </c>
      <c r="C93" s="24" t="str">
        <f>IF($U93="","",IF(INDEX('MiT Strom Pipeline'!$C:$C,$U93)="","",INDEX('MiT Strom Pipeline'!$C:$C,$U93)))</f>
        <v>ZH</v>
      </c>
      <c r="D93" s="24" t="str">
        <f>IF($U93="","",IF(INDEX('MiT Strom Pipeline'!$D:$D,$U93)="","",INDEX('MiT Strom Pipeline'!$D:$D,$U93)))</f>
        <v>Event</v>
      </c>
      <c r="E93" s="24" t="str">
        <f>IF($U93="","",IF(INDEX('MiT Strom Pipeline'!$H:$H,$U93)="","",INDEX('MiT Strom Pipeline'!$H:$H,$U93)))</f>
        <v>Aug</v>
      </c>
      <c r="F93" s="24" t="str">
        <f>IF($U93="","",IF(INDEX('MiT Strom Pipeline'!$E:$E,$U93)="","",INDEX('MiT Strom Pipeline'!$E:$E,$U93)))</f>
        <v xml:space="preserve">100 kVA </v>
      </c>
      <c r="G93" s="25">
        <f>IF($U93="","",IF(ISNUMBER(INDEX('MiT Strom Pipeline'!$I:$I,$U93)),INDEX('MiT Strom Pipeline'!$I:$I,$U93),0))</f>
        <v>3760.04</v>
      </c>
      <c r="H93" s="25">
        <f>IF($U93="","",IF(ISNUMBER(INDEX('MiT Strom Pipeline'!$Q:$Q,$U93)),INDEX('MiT Strom Pipeline'!$Q:$Q,$U93),0))</f>
        <v>1880.02</v>
      </c>
      <c r="I93" s="24" t="str">
        <f>IF($U93="","",INDEX('MiT Strom Pipeline'!$R:$R,$U93))</f>
        <v>offered</v>
      </c>
      <c r="J93" s="26">
        <f>IF($U93="","",IF(ISNUMBER(INDEX('MiT Strom Pipeline'!$S:$S,$U93)),INDEX('MiT Strom Pipeline'!$S:$S,$U93),""))</f>
        <v>0.5</v>
      </c>
      <c r="K93" s="24" t="str">
        <f>IF($U93="","",IF(LEN(INDEX('MiT Strom Pipeline'!$V:$V,$U93))&gt;0,LEFT(INDEX('MiT Strom Pipeline'!$V:$V,$U93),55),""))</f>
        <v>Kunde angeschrieben, Offerte erstellt, Kunde hat Offert</v>
      </c>
      <c r="L93" s="19"/>
      <c r="M93" s="19"/>
      <c r="N93" s="19"/>
      <c r="O93" s="19"/>
      <c r="P93" s="19"/>
      <c r="Q93" s="19"/>
      <c r="R93" s="19"/>
      <c r="S93" s="19"/>
      <c r="U93">
        <f>IFERROR(MATCH(19,'MiT Strom Pipeline'!$AC$6:$AC$860,0)+5,"")</f>
        <v>44</v>
      </c>
    </row>
    <row r="94" spans="1:21" ht="15.75" customHeight="1">
      <c r="A94" s="23">
        <f>IF($U94="","",IF(ISNUMBER(INDEX('MiT Strom Pipeline'!$A:$A,$U94)),INDEX('MiT Strom Pipeline'!$A:$A,$U94),""))</f>
        <v>9</v>
      </c>
      <c r="B94" s="24" t="str">
        <f>IF($U94="","",IF(INDEX('MiT Strom Pipeline'!$B:$B,$U94)="","",INDEX('MiT Strom Pipeline'!$B:$B,$U94)))</f>
        <v>Badermetaux Sàrl (Schweiz)</v>
      </c>
      <c r="C94" s="24" t="str">
        <f>IF($U94="","",IF(INDEX('MiT Strom Pipeline'!$C:$C,$U94)="","",INDEX('MiT Strom Pipeline'!$C:$C,$U94)))</f>
        <v>ZH</v>
      </c>
      <c r="D94" s="24" t="str">
        <f>IF($U94="","",IF(INDEX('MiT Strom Pipeline'!$D:$D,$U94)="","",INDEX('MiT Strom Pipeline'!$D:$D,$U94)))</f>
        <v>Industrie / Metall</v>
      </c>
      <c r="E94" s="24" t="str">
        <f>IF($U94="","",IF(INDEX('MiT Strom Pipeline'!$H:$H,$U94)="","",INDEX('MiT Strom Pipeline'!$H:$H,$U94)))</f>
        <v>Mai</v>
      </c>
      <c r="F94" s="24" t="str">
        <f>IF($U94="","",IF(INDEX('MiT Strom Pipeline'!$E:$E,$U94)="","",INDEX('MiT Strom Pipeline'!$E:$E,$U94)))</f>
        <v>600 kVA Langzeitmiete</v>
      </c>
      <c r="G94" s="25">
        <f>IF($U94="","",IF(ISNUMBER(INDEX('MiT Strom Pipeline'!$I:$I,$U94)),INDEX('MiT Strom Pipeline'!$I:$I,$U94),0))</f>
        <v>500000</v>
      </c>
      <c r="H94" s="25">
        <f>IF($U94="","",IF(ISNUMBER(INDEX('MiT Strom Pipeline'!$Q:$Q,$U94)),INDEX('MiT Strom Pipeline'!$Q:$Q,$U94),0))</f>
        <v>250000</v>
      </c>
      <c r="I94" s="24" t="str">
        <f>IF($U94="","",INDEX('MiT Strom Pipeline'!$R:$R,$U94))</f>
        <v>on hold</v>
      </c>
      <c r="J94" s="26">
        <f>IF($U94="","",IF(ISNUMBER(INDEX('MiT Strom Pipeline'!$S:$S,$U94)),INDEX('MiT Strom Pipeline'!$S:$S,$U94),""))</f>
        <v>0.5</v>
      </c>
      <c r="K94" s="24" t="str">
        <f>IF($U94="","",IF(LEN(INDEX('MiT Strom Pipeline'!$V:$V,$U94))&gt;0,LEFT(INDEX('MiT Strom Pipeline'!$V:$V,$U94),55),""))</f>
        <v>PQ-Analyse + Langzeitkonzept vorlegen</v>
      </c>
      <c r="L94" s="19"/>
      <c r="M94" s="19"/>
      <c r="N94" s="19"/>
      <c r="O94" s="19"/>
      <c r="P94" s="19"/>
      <c r="Q94" s="19"/>
      <c r="R94" s="19"/>
      <c r="S94" s="19"/>
      <c r="U94">
        <f>IFERROR(MATCH(20,'MiT Strom Pipeline'!$AC$6:$AC$860,0)+5,"")</f>
        <v>46</v>
      </c>
    </row>
    <row r="95" spans="1:21" ht="15.75" customHeight="1">
      <c r="A95" s="23">
        <f>IF($U95="","",IF(ISNUMBER(INDEX('MiT Strom Pipeline'!$A:$A,$U95)),INDEX('MiT Strom Pipeline'!$A:$A,$U95),""))</f>
        <v>42</v>
      </c>
      <c r="B95" s="24" t="str">
        <f>IF($U95="","",IF(INDEX('MiT Strom Pipeline'!$B:$B,$U95)="","",INDEX('MiT Strom Pipeline'!$B:$B,$U95)))</f>
        <v>SMT</v>
      </c>
      <c r="C95" s="24" t="str">
        <f>IF($U95="","",IF(INDEX('MiT Strom Pipeline'!$C:$C,$U95)="","",INDEX('MiT Strom Pipeline'!$C:$C,$U95)))</f>
        <v>ZH</v>
      </c>
      <c r="D95" s="24" t="str">
        <f>IF($U95="","",IF(INDEX('MiT Strom Pipeline'!$D:$D,$U95)="","",INDEX('MiT Strom Pipeline'!$D:$D,$U95)))</f>
        <v>Industrie</v>
      </c>
      <c r="E95" s="24" t="str">
        <f>IF($U95="","",IF(INDEX('MiT Strom Pipeline'!$H:$H,$U95)="","",INDEX('MiT Strom Pipeline'!$H:$H,$U95)))</f>
        <v>Aug</v>
      </c>
      <c r="F95" s="24" t="str">
        <f>IF($U95="","",IF(INDEX('MiT Strom Pipeline'!$E:$E,$U95)="","",INDEX('MiT Strom Pipeline'!$E:$E,$U95)))</f>
        <v>1000 kVA</v>
      </c>
      <c r="G95" s="25">
        <f>IF($U95="","",IF(ISNUMBER(INDEX('MiT Strom Pipeline'!$I:$I,$U95)),INDEX('MiT Strom Pipeline'!$I:$I,$U95),0))</f>
        <v>6772.8</v>
      </c>
      <c r="H95" s="25">
        <f>IF($U95="","",IF(ISNUMBER(INDEX('MiT Strom Pipeline'!$Q:$Q,$U95)),INDEX('MiT Strom Pipeline'!$Q:$Q,$U95),0))</f>
        <v>3386.4</v>
      </c>
      <c r="I95" s="24" t="str">
        <f>IF($U95="","",INDEX('MiT Strom Pipeline'!$R:$R,$U95))</f>
        <v>on hold</v>
      </c>
      <c r="J95" s="26">
        <f>IF($U95="","",IF(ISNUMBER(INDEX('MiT Strom Pipeline'!$S:$S,$U95)),INDEX('MiT Strom Pipeline'!$S:$S,$U95),""))</f>
        <v>0.5</v>
      </c>
      <c r="K95" s="24" t="str">
        <f>IF($U95="","",IF(LEN(INDEX('MiT Strom Pipeline'!$V:$V,$U95))&gt;0,LEFT(INDEX('MiT Strom Pipeline'!$V:$V,$U95),55),""))</f>
        <v>Kunde angeschrieben, Offerte erstellt, Kunde hat Offert</v>
      </c>
      <c r="L95" s="19"/>
      <c r="M95" s="19"/>
      <c r="N95" s="19"/>
      <c r="O95" s="19"/>
      <c r="P95" s="19"/>
      <c r="Q95" s="19"/>
      <c r="R95" s="19"/>
      <c r="S95" s="19"/>
      <c r="U95">
        <f>IFERROR(MATCH(21,'MiT Strom Pipeline'!$AC$6:$AC$860,0)+5,"")</f>
        <v>52</v>
      </c>
    </row>
    <row r="96" spans="1:21" ht="15.75" customHeight="1">
      <c r="A96" s="23">
        <f>IF($U96="","",IF(ISNUMBER(INDEX('MiT Strom Pipeline'!$A:$A,$U96)),INDEX('MiT Strom Pipeline'!$A:$A,$U96),""))</f>
        <v>43</v>
      </c>
      <c r="B96" s="24" t="str">
        <f>IF($U96="","",IF(INDEX('MiT Strom Pipeline'!$B:$B,$U96)="","",INDEX('MiT Strom Pipeline'!$B:$B,$U96)))</f>
        <v>Equans Switzerland Kloten</v>
      </c>
      <c r="C96" s="24" t="str">
        <f>IF($U96="","",IF(INDEX('MiT Strom Pipeline'!$C:$C,$U96)="","",INDEX('MiT Strom Pipeline'!$C:$C,$U96)))</f>
        <v>ZH</v>
      </c>
      <c r="D96" s="24" t="str">
        <f>IF($U96="","",IF(INDEX('MiT Strom Pipeline'!$D:$D,$U96)="","",INDEX('MiT Strom Pipeline'!$D:$D,$U96)))</f>
        <v>Industrie</v>
      </c>
      <c r="E96" s="24" t="str">
        <f>IF($U96="","",IF(INDEX('MiT Strom Pipeline'!$H:$H,$U96)="","",INDEX('MiT Strom Pipeline'!$H:$H,$U96)))</f>
        <v>Dez</v>
      </c>
      <c r="F96" s="24" t="str">
        <f>IF($U96="","",IF(INDEX('MiT Strom Pipeline'!$E:$E,$U96)="","",INDEX('MiT Strom Pipeline'!$E:$E,$U96)))</f>
        <v>600 kVA</v>
      </c>
      <c r="G96" s="25">
        <f>IF($U96="","",IF(ISNUMBER(INDEX('MiT Strom Pipeline'!$I:$I,$U96)),INDEX('MiT Strom Pipeline'!$I:$I,$U96),0))</f>
        <v>224236.15</v>
      </c>
      <c r="H96" s="25">
        <f>IF($U96="","",IF(ISNUMBER(INDEX('MiT Strom Pipeline'!$Q:$Q,$U96)),INDEX('MiT Strom Pipeline'!$Q:$Q,$U96),0))</f>
        <v>112118.075</v>
      </c>
      <c r="I96" s="24" t="str">
        <f>IF($U96="","",INDEX('MiT Strom Pipeline'!$R:$R,$U96))</f>
        <v>offered</v>
      </c>
      <c r="J96" s="26">
        <f>IF($U96="","",IF(ISNUMBER(INDEX('MiT Strom Pipeline'!$S:$S,$U96)),INDEX('MiT Strom Pipeline'!$S:$S,$U96),""))</f>
        <v>0.5</v>
      </c>
      <c r="K96" s="24" t="str">
        <f>IF($U96="","",IF(LEN(INDEX('MiT Strom Pipeline'!$V:$V,$U96))&gt;0,LEFT(INDEX('MiT Strom Pipeline'!$V:$V,$U96),55),""))</f>
        <v>Kunde angeschrieben, Offerte erstellt, Kunde hat Offert</v>
      </c>
      <c r="L96" s="19"/>
      <c r="M96" s="19"/>
      <c r="N96" s="19"/>
      <c r="O96" s="19"/>
      <c r="P96" s="19"/>
      <c r="Q96" s="19"/>
      <c r="R96" s="19"/>
      <c r="S96" s="19"/>
      <c r="U96">
        <f>IFERROR(MATCH(22,'MiT Strom Pipeline'!$AC$6:$AC$860,0)+5,"")</f>
        <v>53</v>
      </c>
    </row>
    <row r="97" spans="1:21" ht="15.75" customHeight="1">
      <c r="A97" s="23">
        <f>IF($U97="","",IF(ISNUMBER(INDEX('MiT Strom Pipeline'!$A:$A,$U97)),INDEX('MiT Strom Pipeline'!$A:$A,$U97),""))</f>
        <v>44</v>
      </c>
      <c r="B97" s="24" t="str">
        <f>IF($U97="","",IF(INDEX('MiT Strom Pipeline'!$B:$B,$U97)="","",INDEX('MiT Strom Pipeline'!$B:$B,$U97)))</f>
        <v>Equans Switzerland Kloten</v>
      </c>
      <c r="C97" s="24" t="str">
        <f>IF($U97="","",IF(INDEX('MiT Strom Pipeline'!$C:$C,$U97)="","",INDEX('MiT Strom Pipeline'!$C:$C,$U97)))</f>
        <v>ZH</v>
      </c>
      <c r="D97" s="24" t="str">
        <f>IF($U97="","",IF(INDEX('MiT Strom Pipeline'!$D:$D,$U97)="","",INDEX('MiT Strom Pipeline'!$D:$D,$U97)))</f>
        <v>Industrie</v>
      </c>
      <c r="E97" s="27" t="str">
        <f>IF($U97="","",IF(INDEX('MiT Strom Pipeline'!$H:$H,$U97)="","",INDEX('MiT Strom Pipeline'!$H:$H,$U97)))</f>
        <v>Juli</v>
      </c>
      <c r="F97" s="24" t="str">
        <f>IF($U97="","",IF(INDEX('MiT Strom Pipeline'!$E:$E,$U97)="","",INDEX('MiT Strom Pipeline'!$E:$E,$U97)))</f>
        <v>300 kVA</v>
      </c>
      <c r="G97" s="25">
        <f>IF($U97="","",IF(ISNUMBER(INDEX('MiT Strom Pipeline'!$I:$I,$U97)),INDEX('MiT Strom Pipeline'!$I:$I,$U97),0))</f>
        <v>31077.89</v>
      </c>
      <c r="H97" s="25">
        <f>IF($U97="","",IF(ISNUMBER(INDEX('MiT Strom Pipeline'!$Q:$Q,$U97)),INDEX('MiT Strom Pipeline'!$Q:$Q,$U97),0))</f>
        <v>15538.945</v>
      </c>
      <c r="I97" s="24" t="str">
        <f>IF($U97="","",INDEX('MiT Strom Pipeline'!$R:$R,$U97))</f>
        <v>offered</v>
      </c>
      <c r="J97" s="26">
        <f>IF($U97="","",IF(ISNUMBER(INDEX('MiT Strom Pipeline'!$S:$S,$U97)),INDEX('MiT Strom Pipeline'!$S:$S,$U97),""))</f>
        <v>0.5</v>
      </c>
      <c r="K97" s="24" t="str">
        <f>IF($U97="","",IF(LEN(INDEX('MiT Strom Pipeline'!$V:$V,$U97))&gt;0,LEFT(INDEX('MiT Strom Pipeline'!$V:$V,$U97),55),""))</f>
        <v>Kunde angeschrieben, Offerte erstellt, Kunde hat Offert</v>
      </c>
      <c r="L97" s="19"/>
      <c r="M97" s="19"/>
      <c r="N97" s="19"/>
      <c r="O97" s="19"/>
      <c r="P97" s="19"/>
      <c r="Q97" s="19"/>
      <c r="R97" s="19"/>
      <c r="S97" s="19"/>
      <c r="U97">
        <f>IFERROR(MATCH(23,'MiT Strom Pipeline'!$AC$6:$AC$860,0)+5,"")</f>
        <v>54</v>
      </c>
    </row>
    <row r="98" spans="1:21" ht="15.75" customHeight="1">
      <c r="A98" s="23">
        <f>IF($U98="","",IF(ISNUMBER(INDEX('MiT Strom Pipeline'!$A:$A,$U98)),INDEX('MiT Strom Pipeline'!$A:$A,$U98),""))</f>
        <v>45</v>
      </c>
      <c r="B98" s="24" t="str">
        <f>IF($U98="","",IF(INDEX('MiT Strom Pipeline'!$B:$B,$U98)="","",INDEX('MiT Strom Pipeline'!$B:$B,$U98)))</f>
        <v>ETAVIS Basel</v>
      </c>
      <c r="C98" s="24" t="str">
        <f>IF($U98="","",IF(INDEX('MiT Strom Pipeline'!$C:$C,$U98)="","",INDEX('MiT Strom Pipeline'!$C:$C,$U98)))</f>
        <v>BS</v>
      </c>
      <c r="D98" s="24" t="str">
        <f>IF($U98="","",IF(INDEX('MiT Strom Pipeline'!$D:$D,$U98)="","",INDEX('MiT Strom Pipeline'!$D:$D,$U98)))</f>
        <v>Elektroinstallation</v>
      </c>
      <c r="E98" s="24" t="str">
        <f>IF($U98="","",IF(INDEX('MiT Strom Pipeline'!$H:$H,$U98)="","",INDEX('MiT Strom Pipeline'!$H:$H,$U98)))</f>
        <v>Juli</v>
      </c>
      <c r="F98" s="24" t="str">
        <f>IF($U98="","",IF(INDEX('MiT Strom Pipeline'!$E:$E,$U98)="","",INDEX('MiT Strom Pipeline'!$E:$E,$U98)))</f>
        <v>300 kVA</v>
      </c>
      <c r="G98" s="25">
        <f>IF($U98="","",IF(ISNUMBER(INDEX('MiT Strom Pipeline'!$I:$I,$U98)),INDEX('MiT Strom Pipeline'!$I:$I,$U98),0))</f>
        <v>13866.21</v>
      </c>
      <c r="H98" s="25">
        <f>IF($U98="","",IF(ISNUMBER(INDEX('MiT Strom Pipeline'!$Q:$Q,$U98)),INDEX('MiT Strom Pipeline'!$Q:$Q,$U98),0))</f>
        <v>6933.1049999999996</v>
      </c>
      <c r="I98" s="24" t="str">
        <f>IF($U98="","",INDEX('MiT Strom Pipeline'!$R:$R,$U98))</f>
        <v>offered</v>
      </c>
      <c r="J98" s="26">
        <f>IF($U98="","",IF(ISNUMBER(INDEX('MiT Strom Pipeline'!$S:$S,$U98)),INDEX('MiT Strom Pipeline'!$S:$S,$U98),""))</f>
        <v>0.5</v>
      </c>
      <c r="K98" s="24" t="str">
        <f>IF($U98="","",IF(LEN(INDEX('MiT Strom Pipeline'!$V:$V,$U98))&gt;0,LEFT(INDEX('MiT Strom Pipeline'!$V:$V,$U98),55),""))</f>
        <v>Kunde angeschrieben, Offerte erstellt, Kunde hat Offert</v>
      </c>
      <c r="L98" s="19"/>
      <c r="M98" s="19"/>
      <c r="N98" s="19"/>
      <c r="O98" s="19"/>
      <c r="P98" s="19"/>
      <c r="Q98" s="19"/>
      <c r="R98" s="19"/>
      <c r="S98" s="19"/>
      <c r="U98">
        <f>IFERROR(MATCH(24,'MiT Strom Pipeline'!$AC$6:$AC$860,0)+5,"")</f>
        <v>55</v>
      </c>
    </row>
    <row r="99" spans="1:21" ht="15" customHeight="1">
      <c r="A99" s="23">
        <f>IF($U99="","",IF(ISNUMBER(INDEX('MiT Strom Pipeline'!$A:$A,$U99)),INDEX('MiT Strom Pipeline'!$A:$A,$U99),""))</f>
        <v>48</v>
      </c>
      <c r="B99" s="24" t="str">
        <f>IF($U99="","",IF(INDEX('MiT Strom Pipeline'!$B:$B,$U99)="","",INDEX('MiT Strom Pipeline'!$B:$B,$U99)))</f>
        <v>Coutaz CVS SA</v>
      </c>
      <c r="C99" s="24" t="str">
        <f>IF($U99="","",IF(INDEX('MiT Strom Pipeline'!$C:$C,$U99)="","",INDEX('MiT Strom Pipeline'!$C:$C,$U99)))</f>
        <v>VS</v>
      </c>
      <c r="D99" s="24" t="str">
        <f>IF($U99="","",IF(INDEX('MiT Strom Pipeline'!$D:$D,$U99)="","",INDEX('MiT Strom Pipeline'!$D:$D,$U99)))</f>
        <v>EVU</v>
      </c>
      <c r="E99" s="24" t="str">
        <f>IF($U99="","",IF(INDEX('MiT Strom Pipeline'!$H:$H,$U99)="","",INDEX('MiT Strom Pipeline'!$H:$H,$U99)))</f>
        <v>Okt</v>
      </c>
      <c r="F99" s="24" t="str">
        <f>IF($U99="","",IF(INDEX('MiT Strom Pipeline'!$E:$E,$U99)="","",INDEX('MiT Strom Pipeline'!$E:$E,$U99)))</f>
        <v>600 kVA, 200 kVA</v>
      </c>
      <c r="G99" s="25">
        <f>IF($U99="","",IF(ISNUMBER(INDEX('MiT Strom Pipeline'!$I:$I,$U99)),INDEX('MiT Strom Pipeline'!$I:$I,$U99),0))</f>
        <v>190701.37</v>
      </c>
      <c r="H99" s="25">
        <f>IF($U99="","",IF(ISNUMBER(INDEX('MiT Strom Pipeline'!$Q:$Q,$U99)),INDEX('MiT Strom Pipeline'!$Q:$Q,$U99),0))</f>
        <v>95350.684999999998</v>
      </c>
      <c r="I99" s="24" t="str">
        <f>IF($U99="","",INDEX('MiT Strom Pipeline'!$R:$R,$U99))</f>
        <v>offered</v>
      </c>
      <c r="J99" s="26">
        <f>IF($U99="","",IF(ISNUMBER(INDEX('MiT Strom Pipeline'!$S:$S,$U99)),INDEX('MiT Strom Pipeline'!$S:$S,$U99),""))</f>
        <v>0.5</v>
      </c>
      <c r="K99" s="24" t="str">
        <f>IF($U99="","",IF(LEN(INDEX('MiT Strom Pipeline'!$V:$V,$U99))&gt;0,LEFT(INDEX('MiT Strom Pipeline'!$V:$V,$U99),55),""))</f>
        <v>Kunde angeschrieben, Offerte erstellt, Kunde hat Offert</v>
      </c>
      <c r="L99" s="19"/>
      <c r="M99" s="19"/>
      <c r="N99" s="19"/>
      <c r="O99" s="19"/>
      <c r="P99" s="19"/>
      <c r="Q99" s="19"/>
      <c r="R99" s="19"/>
      <c r="S99" s="19"/>
      <c r="U99">
        <f>IFERROR(MATCH(25,'MiT Strom Pipeline'!$AC$6:$AC$860,0)+5,"")</f>
        <v>58</v>
      </c>
    </row>
    <row r="100" spans="1:21" ht="23.25" customHeight="1">
      <c r="A100" s="23">
        <f>IF($U100="","",IF(ISNUMBER(INDEX('MiT Strom Pipeline'!$A:$A,$U100)),INDEX('MiT Strom Pipeline'!$A:$A,$U100),""))</f>
        <v>49</v>
      </c>
      <c r="B100" s="24" t="str">
        <f>IF($U100="","",IF(INDEX('MiT Strom Pipeline'!$B:$B,$U100)="","",INDEX('MiT Strom Pipeline'!$B:$B,$U100)))</f>
        <v>Romand Energei SA</v>
      </c>
      <c r="C100" s="24" t="str">
        <f>IF($U100="","",IF(INDEX('MiT Strom Pipeline'!$C:$C,$U100)="","",INDEX('MiT Strom Pipeline'!$C:$C,$U100)))</f>
        <v>VS</v>
      </c>
      <c r="D100" s="24" t="str">
        <f>IF($U100="","",IF(INDEX('MiT Strom Pipeline'!$D:$D,$U100)="","",INDEX('MiT Strom Pipeline'!$D:$D,$U100)))</f>
        <v>EVU</v>
      </c>
      <c r="E100" s="27" t="str">
        <f>IF($U100="","",IF(INDEX('MiT Strom Pipeline'!$H:$H,$U100)="","",INDEX('MiT Strom Pipeline'!$H:$H,$U100)))</f>
        <v>Aug</v>
      </c>
      <c r="F100" s="24" t="str">
        <f>IF($U100="","",IF(INDEX('MiT Strom Pipeline'!$E:$E,$U100)="","",INDEX('MiT Strom Pipeline'!$E:$E,$U100)))</f>
        <v>600 kVA</v>
      </c>
      <c r="G100" s="25">
        <f>IF($U100="","",IF(ISNUMBER(INDEX('MiT Strom Pipeline'!$I:$I,$U100)),INDEX('MiT Strom Pipeline'!$I:$I,$U100),0))</f>
        <v>32467.62</v>
      </c>
      <c r="H100" s="25">
        <f>IF($U100="","",IF(ISNUMBER(INDEX('MiT Strom Pipeline'!$Q:$Q,$U100)),INDEX('MiT Strom Pipeline'!$Q:$Q,$U100),0))</f>
        <v>16233.81</v>
      </c>
      <c r="I100" s="24" t="str">
        <f>IF($U100="","",INDEX('MiT Strom Pipeline'!$R:$R,$U100))</f>
        <v>offered</v>
      </c>
      <c r="J100" s="26">
        <f>IF($U100="","",IF(ISNUMBER(INDEX('MiT Strom Pipeline'!$S:$S,$U100)),INDEX('MiT Strom Pipeline'!$S:$S,$U100),""))</f>
        <v>0.5</v>
      </c>
      <c r="K100" s="28" t="str">
        <f>IF($U100="","",IF(LEN(INDEX('MiT Strom Pipeline'!$V:$V,$U100))&gt;0,LEFT(INDEX('MiT Strom Pipeline'!$V:$V,$U100),55),""))</f>
        <v>Kunde angeschrieben, Offerte erstellt, Kunde hat Offert</v>
      </c>
      <c r="L100" s="19"/>
      <c r="M100" s="19"/>
      <c r="N100" s="19"/>
      <c r="O100" s="19"/>
      <c r="P100" s="19"/>
      <c r="Q100" s="19"/>
      <c r="R100" s="19"/>
      <c r="S100" s="19"/>
      <c r="U100">
        <f>IFERROR(MATCH(26,'MiT Strom Pipeline'!$AC$6:$AC$860,0)+5,"")</f>
        <v>59</v>
      </c>
    </row>
    <row r="101" spans="1:21" ht="23.25" customHeight="1">
      <c r="A101" s="23">
        <f>IF($U101="","",IF(ISNUMBER(INDEX('MiT Strom Pipeline'!$A:$A,$U101)),INDEX('MiT Strom Pipeline'!$A:$A,$U101),""))</f>
        <v>54</v>
      </c>
      <c r="B101" s="24" t="str">
        <f>IF($U101="","",IF(INDEX('MiT Strom Pipeline'!$B:$B,$U101)="","",INDEX('MiT Strom Pipeline'!$B:$B,$U101)))</f>
        <v>Wyss Sound</v>
      </c>
      <c r="C101" s="24" t="str">
        <f>IF($U101="","",IF(INDEX('MiT Strom Pipeline'!$C:$C,$U101)="","",INDEX('MiT Strom Pipeline'!$C:$C,$U101)))</f>
        <v>LU</v>
      </c>
      <c r="D101" s="24" t="str">
        <f>IF($U101="","",IF(INDEX('MiT Strom Pipeline'!$D:$D,$U101)="","",INDEX('MiT Strom Pipeline'!$D:$D,$U101)))</f>
        <v>Event</v>
      </c>
      <c r="E101" s="27" t="str">
        <f>IF($U101="","",IF(INDEX('MiT Strom Pipeline'!$H:$H,$U101)="","",INDEX('MiT Strom Pipeline'!$H:$H,$U101)))</f>
        <v>Juli</v>
      </c>
      <c r="F101" s="24" t="str">
        <f>IF($U101="","",IF(INDEX('MiT Strom Pipeline'!$E:$E,$U101)="","",INDEX('MiT Strom Pipeline'!$E:$E,$U101)))</f>
        <v>300 kVA</v>
      </c>
      <c r="G101" s="25">
        <f>IF($U101="","",IF(ISNUMBER(INDEX('MiT Strom Pipeline'!$I:$I,$U101)),INDEX('MiT Strom Pipeline'!$I:$I,$U101),0))</f>
        <v>8381.2099999999991</v>
      </c>
      <c r="H101" s="25">
        <f>IF($U101="","",IF(ISNUMBER(INDEX('MiT Strom Pipeline'!$Q:$Q,$U101)),INDEX('MiT Strom Pipeline'!$Q:$Q,$U101),0))</f>
        <v>4190.6049999999996</v>
      </c>
      <c r="I101" s="24" t="str">
        <f>IF($U101="","",INDEX('MiT Strom Pipeline'!$R:$R,$U101))</f>
        <v>offered</v>
      </c>
      <c r="J101" s="26">
        <f>IF($U101="","",IF(ISNUMBER(INDEX('MiT Strom Pipeline'!$S:$S,$U101)),INDEX('MiT Strom Pipeline'!$S:$S,$U101),""))</f>
        <v>0.5</v>
      </c>
      <c r="K101" s="28" t="str">
        <f>IF($U101="","",IF(LEN(INDEX('MiT Strom Pipeline'!$V:$V,$U101))&gt;0,LEFT(INDEX('MiT Strom Pipeline'!$V:$V,$U101),55),""))</f>
        <v>Kunde angeschrieben, Offerte erstellt, Kunde hat Offert</v>
      </c>
      <c r="L101" s="19"/>
      <c r="M101" s="19"/>
      <c r="N101" s="19"/>
      <c r="O101" s="19"/>
      <c r="P101" s="19"/>
      <c r="Q101" s="19"/>
      <c r="R101" s="19"/>
      <c r="S101" s="19"/>
      <c r="U101">
        <f>IFERROR(MATCH(27,'MiT Strom Pipeline'!$AC$6:$AC$860,0)+5,"")</f>
        <v>64</v>
      </c>
    </row>
    <row r="102" spans="1:21" ht="15" customHeight="1">
      <c r="A102" s="23">
        <f>IF($U102="","",IF(ISNUMBER(INDEX('MiT Strom Pipeline'!$A:$A,$U102)),INDEX('MiT Strom Pipeline'!$A:$A,$U102),""))</f>
        <v>55</v>
      </c>
      <c r="B102" s="24" t="str">
        <f>IF($U102="","",IF(INDEX('MiT Strom Pipeline'!$B:$B,$U102)="","",INDEX('MiT Strom Pipeline'!$B:$B,$U102)))</f>
        <v>Schmidiger + Rosasco AG</v>
      </c>
      <c r="C102" s="24" t="str">
        <f>IF($U102="","",IF(INDEX('MiT Strom Pipeline'!$C:$C,$U102)="","",INDEX('MiT Strom Pipeline'!$C:$C,$U102)))</f>
        <v>ZH</v>
      </c>
      <c r="D102" s="24" t="str">
        <f>IF($U102="","",IF(INDEX('MiT Strom Pipeline'!$D:$D,$U102)="","",INDEX('MiT Strom Pipeline'!$D:$D,$U102)))</f>
        <v>Elektroplaner</v>
      </c>
      <c r="E102" s="24" t="str">
        <f>IF($U102="","",IF(INDEX('MiT Strom Pipeline'!$H:$H,$U102)="","",INDEX('MiT Strom Pipeline'!$H:$H,$U102)))</f>
        <v>Juli</v>
      </c>
      <c r="F102" s="24" t="str">
        <f>IF($U102="","",IF(INDEX('MiT Strom Pipeline'!$E:$E,$U102)="","",INDEX('MiT Strom Pipeline'!$E:$E,$U102)))</f>
        <v>200 kVA</v>
      </c>
      <c r="G102" s="25">
        <f>IF($U102="","",IF(ISNUMBER(INDEX('MiT Strom Pipeline'!$I:$I,$U102)),INDEX('MiT Strom Pipeline'!$I:$I,$U102),0))</f>
        <v>6227.21</v>
      </c>
      <c r="H102" s="25">
        <f>IF($U102="","",IF(ISNUMBER(INDEX('MiT Strom Pipeline'!$Q:$Q,$U102)),INDEX('MiT Strom Pipeline'!$Q:$Q,$U102),0))</f>
        <v>3113.605</v>
      </c>
      <c r="I102" s="24" t="str">
        <f>IF($U102="","",INDEX('MiT Strom Pipeline'!$R:$R,$U102))</f>
        <v>offered</v>
      </c>
      <c r="J102" s="26">
        <f>IF($U102="","",IF(ISNUMBER(INDEX('MiT Strom Pipeline'!$S:$S,$U102)),INDEX('MiT Strom Pipeline'!$S:$S,$U102),""))</f>
        <v>0.5</v>
      </c>
      <c r="K102" s="24" t="str">
        <f>IF($U102="","",IF(LEN(INDEX('MiT Strom Pipeline'!$V:$V,$U102))&gt;0,LEFT(INDEX('MiT Strom Pipeline'!$V:$V,$U102),55),""))</f>
        <v>Kunde angeschrieben, Offerte erstellt, Kunde hat Offert</v>
      </c>
      <c r="L102" s="19"/>
      <c r="M102" s="19"/>
      <c r="N102" s="19"/>
      <c r="O102" s="19"/>
      <c r="P102" s="19"/>
      <c r="Q102" s="19"/>
      <c r="R102" s="19"/>
      <c r="S102" s="19"/>
      <c r="U102">
        <f>IFERROR(MATCH(28,'MiT Strom Pipeline'!$AC$6:$AC$860,0)+5,"")</f>
        <v>65</v>
      </c>
    </row>
    <row r="103" spans="1:21" ht="23.25" customHeight="1">
      <c r="A103" s="23">
        <f>IF($U103="","",IF(ISNUMBER(INDEX('MiT Strom Pipeline'!$A:$A,$U103)),INDEX('MiT Strom Pipeline'!$A:$A,$U103),""))</f>
        <v>56</v>
      </c>
      <c r="B103" s="24" t="str">
        <f>IF($U103="","",IF(INDEX('MiT Strom Pipeline'!$B:$B,$U103)="","",INDEX('MiT Strom Pipeline'!$B:$B,$U103)))</f>
        <v>Winkler Livecom AG</v>
      </c>
      <c r="C103" s="24" t="str">
        <f>IF($U103="","",IF(INDEX('MiT Strom Pipeline'!$C:$C,$U103)="","",INDEX('MiT Strom Pipeline'!$C:$C,$U103)))</f>
        <v>AG</v>
      </c>
      <c r="D103" s="24" t="str">
        <f>IF($U103="","",IF(INDEX('MiT Strom Pipeline'!$D:$D,$U103)="","",INDEX('MiT Strom Pipeline'!$D:$D,$U103)))</f>
        <v>Event</v>
      </c>
      <c r="E103" s="24" t="str">
        <f>IF($U103="","",IF(INDEX('MiT Strom Pipeline'!$H:$H,$U103)="","",INDEX('MiT Strom Pipeline'!$H:$H,$U103)))</f>
        <v>Nov</v>
      </c>
      <c r="F103" s="24" t="str">
        <f>IF($U103="","",IF(INDEX('MiT Strom Pipeline'!$E:$E,$U103)="","",INDEX('MiT Strom Pipeline'!$E:$E,$U103)))</f>
        <v>300 kVA, 300 kWh</v>
      </c>
      <c r="G103" s="25">
        <f>IF($U103="","",IF(ISNUMBER(INDEX('MiT Strom Pipeline'!$I:$I,$U103)),INDEX('MiT Strom Pipeline'!$I:$I,$U103),0))</f>
        <v>41209</v>
      </c>
      <c r="H103" s="25">
        <f>IF($U103="","",IF(ISNUMBER(INDEX('MiT Strom Pipeline'!$Q:$Q,$U103)),INDEX('MiT Strom Pipeline'!$Q:$Q,$U103),0))</f>
        <v>20604.5</v>
      </c>
      <c r="I103" s="24" t="str">
        <f>IF($U103="","",INDEX('MiT Strom Pipeline'!$R:$R,$U103))</f>
        <v>offered</v>
      </c>
      <c r="J103" s="26">
        <f>IF($U103="","",IF(ISNUMBER(INDEX('MiT Strom Pipeline'!$S:$S,$U103)),INDEX('MiT Strom Pipeline'!$S:$S,$U103),""))</f>
        <v>0.5</v>
      </c>
      <c r="K103" s="28" t="str">
        <f>IF($U103="","",IF(LEN(INDEX('MiT Strom Pipeline'!$V:$V,$U103))&gt;0,LEFT(INDEX('MiT Strom Pipeline'!$V:$V,$U103),55),""))</f>
        <v>Kunde angeschrieben, Offerte erstellt, Kunde hat Offert</v>
      </c>
      <c r="L103" s="19"/>
      <c r="M103" s="19"/>
      <c r="N103" s="19"/>
      <c r="O103" s="19"/>
      <c r="P103" s="19"/>
      <c r="Q103" s="19"/>
      <c r="R103" s="19"/>
      <c r="S103" s="19"/>
      <c r="U103">
        <f>IFERROR(MATCH(29,'MiT Strom Pipeline'!$AC$6:$AC$860,0)+5,"")</f>
        <v>66</v>
      </c>
    </row>
    <row r="104" spans="1:21" ht="23.25" customHeight="1">
      <c r="A104" s="23">
        <f>IF($U104="","",IF(ISNUMBER(INDEX('MiT Strom Pipeline'!$A:$A,$U104)),INDEX('MiT Strom Pipeline'!$A:$A,$U104),""))</f>
        <v>57</v>
      </c>
      <c r="B104" s="24" t="str">
        <f>IF($U104="","",IF(INDEX('MiT Strom Pipeline'!$B:$B,$U104)="","",INDEX('MiT Strom Pipeline'!$B:$B,$U104)))</f>
        <v>Siemens</v>
      </c>
      <c r="C104" s="24" t="str">
        <f>IF($U104="","",IF(INDEX('MiT Strom Pipeline'!$C:$C,$U104)="","",INDEX('MiT Strom Pipeline'!$C:$C,$U104)))</f>
        <v>ZG</v>
      </c>
      <c r="D104" s="24" t="str">
        <f>IF($U104="","",IF(INDEX('MiT Strom Pipeline'!$D:$D,$U104)="","",INDEX('MiT Strom Pipeline'!$D:$D,$U104)))</f>
        <v>Industrie</v>
      </c>
      <c r="E104" s="24" t="str">
        <f>IF($U104="","",IF(INDEX('MiT Strom Pipeline'!$H:$H,$U104)="","",INDEX('MiT Strom Pipeline'!$H:$H,$U104)))</f>
        <v>Sep</v>
      </c>
      <c r="F104" s="24" t="str">
        <f>IF($U104="","",IF(INDEX('MiT Strom Pipeline'!$E:$E,$U104)="","",INDEX('MiT Strom Pipeline'!$E:$E,$U104)))</f>
        <v>600 kVA</v>
      </c>
      <c r="G104" s="25">
        <f>IF($U104="","",IF(ISNUMBER(INDEX('MiT Strom Pipeline'!$I:$I,$U104)),INDEX('MiT Strom Pipeline'!$I:$I,$U104),0))</f>
        <v>40491.67</v>
      </c>
      <c r="H104" s="25">
        <f>IF($U104="","",IF(ISNUMBER(INDEX('MiT Strom Pipeline'!$Q:$Q,$U104)),INDEX('MiT Strom Pipeline'!$Q:$Q,$U104),0))</f>
        <v>20245.834999999999</v>
      </c>
      <c r="I104" s="24" t="str">
        <f>IF($U104="","",INDEX('MiT Strom Pipeline'!$R:$R,$U104))</f>
        <v>offered</v>
      </c>
      <c r="J104" s="26">
        <f>IF($U104="","",IF(ISNUMBER(INDEX('MiT Strom Pipeline'!$S:$S,$U104)),INDEX('MiT Strom Pipeline'!$S:$S,$U104),""))</f>
        <v>0.5</v>
      </c>
      <c r="K104" s="28" t="str">
        <f>IF($U104="","",IF(LEN(INDEX('MiT Strom Pipeline'!$V:$V,$U104))&gt;0,LEFT(INDEX('MiT Strom Pipeline'!$V:$V,$U104),55),""))</f>
        <v>Kunde angeschrieben, Offerte erstellt, Kunde hat Offert</v>
      </c>
      <c r="L104" s="19"/>
      <c r="M104" s="19"/>
      <c r="N104" s="19"/>
      <c r="O104" s="19"/>
      <c r="P104" s="19"/>
      <c r="Q104" s="19"/>
      <c r="R104" s="19"/>
      <c r="S104" s="19"/>
      <c r="U104">
        <f>IFERROR(MATCH(30,'MiT Strom Pipeline'!$AC$6:$AC$860,0)+5,"")</f>
        <v>67</v>
      </c>
    </row>
    <row r="105" spans="1:21" ht="23.25" customHeight="1">
      <c r="A105" s="23">
        <f>IF($U105="","",IF(ISNUMBER(INDEX('MiT Strom Pipeline'!$A:$A,$U105)),INDEX('MiT Strom Pipeline'!$A:$A,$U105),""))</f>
        <v>58</v>
      </c>
      <c r="B105" s="24" t="str">
        <f>IF($U105="","",IF(INDEX('MiT Strom Pipeline'!$B:$B,$U105)="","",INDEX('MiT Strom Pipeline'!$B:$B,$U105)))</f>
        <v>Kull Elektro AG</v>
      </c>
      <c r="C105" s="24" t="str">
        <f>IF($U105="","",IF(INDEX('MiT Strom Pipeline'!$C:$C,$U105)="","",INDEX('MiT Strom Pipeline'!$C:$C,$U105)))</f>
        <v>ZH</v>
      </c>
      <c r="D105" s="24" t="str">
        <f>IF($U105="","",IF(INDEX('MiT Strom Pipeline'!$D:$D,$U105)="","",INDEX('MiT Strom Pipeline'!$D:$D,$U105)))</f>
        <v>Elektroplaner</v>
      </c>
      <c r="E105" s="24" t="str">
        <f>IF($U105="","",IF(INDEX('MiT Strom Pipeline'!$H:$H,$U105)="","",INDEX('MiT Strom Pipeline'!$H:$H,$U105)))</f>
        <v>August</v>
      </c>
      <c r="F105" s="24" t="str">
        <f>IF($U105="","",IF(INDEX('MiT Strom Pipeline'!$E:$E,$U105)="","",INDEX('MiT Strom Pipeline'!$E:$E,$U105)))</f>
        <v>150 kVA Generator</v>
      </c>
      <c r="G105" s="25">
        <f>IF($U105="","",IF(ISNUMBER(INDEX('MiT Strom Pipeline'!$I:$I,$U105)),INDEX('MiT Strom Pipeline'!$I:$I,$U105),0))</f>
        <v>113382.39999999999</v>
      </c>
      <c r="H105" s="25">
        <f>IF($U105="","",IF(ISNUMBER(INDEX('MiT Strom Pipeline'!$Q:$Q,$U105)),INDEX('MiT Strom Pipeline'!$Q:$Q,$U105),0))</f>
        <v>56691.199999999997</v>
      </c>
      <c r="I105" s="24" t="str">
        <f>IF($U105="","",INDEX('MiT Strom Pipeline'!$R:$R,$U105))</f>
        <v>offered</v>
      </c>
      <c r="J105" s="26">
        <f>IF($U105="","",IF(ISNUMBER(INDEX('MiT Strom Pipeline'!$S:$S,$U105)),INDEX('MiT Strom Pipeline'!$S:$S,$U105),""))</f>
        <v>0.5</v>
      </c>
      <c r="K105" s="28" t="str">
        <f>IF($U105="","",IF(LEN(INDEX('MiT Strom Pipeline'!$V:$V,$U105))&gt;0,LEFT(INDEX('MiT Strom Pipeline'!$V:$V,$U105),55),""))</f>
        <v>Kunde angeschrieben, Offerte erstellt, Kunde hat Offert</v>
      </c>
      <c r="L105" s="19"/>
      <c r="M105" s="19"/>
      <c r="N105" s="19"/>
      <c r="O105" s="19"/>
      <c r="P105" s="19"/>
      <c r="Q105" s="19"/>
      <c r="R105" s="19"/>
      <c r="S105" s="19"/>
      <c r="U105">
        <f>IFERROR(MATCH(31,'MiT Strom Pipeline'!$AC$6:$AC$860,0)+5,"")</f>
        <v>68</v>
      </c>
    </row>
    <row r="106" spans="1:21" ht="15" customHeight="1">
      <c r="A106" s="23">
        <f>IF($U106="","",IF(ISNUMBER(INDEX('MiT Strom Pipeline'!$A:$A,$U106)),INDEX('MiT Strom Pipeline'!$A:$A,$U106),""))</f>
        <v>59</v>
      </c>
      <c r="B106" s="24" t="str">
        <f>IF($U106="","",IF(INDEX('MiT Strom Pipeline'!$B:$B,$U106)="","",INDEX('MiT Strom Pipeline'!$B:$B,$U106)))</f>
        <v>(Megger) Power Diagnostix Service GmbH</v>
      </c>
      <c r="C106" s="24" t="str">
        <f>IF($U106="","",IF(INDEX('MiT Strom Pipeline'!$C:$C,$U106)="","",INDEX('MiT Strom Pipeline'!$C:$C,$U106)))</f>
        <v>ZH</v>
      </c>
      <c r="D106" s="24" t="str">
        <f>IF($U106="","",IF(INDEX('MiT Strom Pipeline'!$D:$D,$U106)="","",INDEX('MiT Strom Pipeline'!$D:$D,$U106)))</f>
        <v>EVU</v>
      </c>
      <c r="E106" s="27" t="str">
        <f>IF($U106="","",IF(INDEX('MiT Strom Pipeline'!$H:$H,$U106)="","",INDEX('MiT Strom Pipeline'!$H:$H,$U106)))</f>
        <v>August</v>
      </c>
      <c r="F106" s="24" t="str">
        <f>IF($U106="","",IF(INDEX('MiT Strom Pipeline'!$E:$E,$U106)="","",INDEX('MiT Strom Pipeline'!$E:$E,$U106)))</f>
        <v>150 kVA</v>
      </c>
      <c r="G106" s="25">
        <f>IF($U106="","",IF(ISNUMBER(INDEX('MiT Strom Pipeline'!$I:$I,$U106)),INDEX('MiT Strom Pipeline'!$I:$I,$U106),0))</f>
        <v>2435.75</v>
      </c>
      <c r="H106" s="25">
        <f>IF($U106="","",IF(ISNUMBER(INDEX('MiT Strom Pipeline'!$Q:$Q,$U106)),INDEX('MiT Strom Pipeline'!$Q:$Q,$U106),0))</f>
        <v>1217.875</v>
      </c>
      <c r="I106" s="24" t="str">
        <f>IF($U106="","",INDEX('MiT Strom Pipeline'!$R:$R,$U106))</f>
        <v>offered</v>
      </c>
      <c r="J106" s="26">
        <f>IF($U106="","",IF(ISNUMBER(INDEX('MiT Strom Pipeline'!$S:$S,$U106)),INDEX('MiT Strom Pipeline'!$S:$S,$U106),""))</f>
        <v>0.5</v>
      </c>
      <c r="K106" s="24" t="str">
        <f>IF($U106="","",IF(LEN(INDEX('MiT Strom Pipeline'!$V:$V,$U106))&gt;0,LEFT(INDEX('MiT Strom Pipeline'!$V:$V,$U106),55),""))</f>
        <v>Kunde angeschrieben, Offerte erstellt, Kunde hat Offert</v>
      </c>
      <c r="L106" s="19"/>
      <c r="M106" s="19"/>
      <c r="N106" s="19"/>
      <c r="O106" s="19"/>
      <c r="P106" s="19"/>
      <c r="Q106" s="19"/>
      <c r="R106" s="19"/>
      <c r="S106" s="19"/>
      <c r="U106">
        <f>IFERROR(MATCH(32,'MiT Strom Pipeline'!$AC$6:$AC$860,0)+5,"")</f>
        <v>69</v>
      </c>
    </row>
    <row r="107" spans="1:21" ht="15.75" customHeight="1">
      <c r="A107" s="23">
        <f>IF($U107="","",IF(ISNUMBER(INDEX('MiT Strom Pipeline'!$A:$A,$U107)),INDEX('MiT Strom Pipeline'!$A:$A,$U107),""))</f>
        <v>60</v>
      </c>
      <c r="B107" s="24" t="str">
        <f>IF($U107="","",IF(INDEX('MiT Strom Pipeline'!$B:$B,$U107)="","",INDEX('MiT Strom Pipeline'!$B:$B,$U107)))</f>
        <v>Promacom engineering GmbH</v>
      </c>
      <c r="C107" s="24" t="str">
        <f>IF($U107="","",IF(INDEX('MiT Strom Pipeline'!$C:$C,$U107)="","",INDEX('MiT Strom Pipeline'!$C:$C,$U107)))</f>
        <v>ZH</v>
      </c>
      <c r="D107" s="24" t="str">
        <f>IF($U107="","",IF(INDEX('MiT Strom Pipeline'!$D:$D,$U107)="","",INDEX('MiT Strom Pipeline'!$D:$D,$U107)))</f>
        <v>Elektroplaner</v>
      </c>
      <c r="E107" s="24" t="str">
        <f>IF($U107="","",IF(INDEX('MiT Strom Pipeline'!$H:$H,$U107)="","",INDEX('MiT Strom Pipeline'!$H:$H,$U107)))</f>
        <v>Jan</v>
      </c>
      <c r="F107" s="24" t="str">
        <f>IF($U107="","",IF(INDEX('MiT Strom Pipeline'!$E:$E,$U107)="","",INDEX('MiT Strom Pipeline'!$E:$E,$U107)))</f>
        <v>450 kVA</v>
      </c>
      <c r="G107" s="25">
        <f>IF($U107="","",IF(ISNUMBER(INDEX('MiT Strom Pipeline'!$I:$I,$U107)),INDEX('MiT Strom Pipeline'!$I:$I,$U107),0))</f>
        <v>286997.24</v>
      </c>
      <c r="H107" s="25">
        <f>IF($U107="","",IF(ISNUMBER(INDEX('MiT Strom Pipeline'!$Q:$Q,$U107)),INDEX('MiT Strom Pipeline'!$Q:$Q,$U107),0))</f>
        <v>143498.62</v>
      </c>
      <c r="I107" s="24" t="str">
        <f>IF($U107="","",INDEX('MiT Strom Pipeline'!$R:$R,$U107))</f>
        <v>offered</v>
      </c>
      <c r="J107" s="26">
        <f>IF($U107="","",IF(ISNUMBER(INDEX('MiT Strom Pipeline'!$S:$S,$U107)),INDEX('MiT Strom Pipeline'!$S:$S,$U107),""))</f>
        <v>0.5</v>
      </c>
      <c r="K107" s="24" t="str">
        <f>IF($U107="","",IF(LEN(INDEX('MiT Strom Pipeline'!$V:$V,$U107))&gt;0,LEFT(INDEX('MiT Strom Pipeline'!$V:$V,$U107),55),""))</f>
        <v>Kunde angeschrieben, Offerte erstellt, Kunde hat Offert</v>
      </c>
      <c r="L107" s="19"/>
      <c r="M107" s="19"/>
      <c r="N107" s="19"/>
      <c r="O107" s="19"/>
      <c r="P107" s="19"/>
      <c r="Q107" s="19"/>
      <c r="R107" s="19"/>
      <c r="S107" s="19"/>
      <c r="U107">
        <f>IFERROR(MATCH(33,'MiT Strom Pipeline'!$AC$6:$AC$860,0)+5,"")</f>
        <v>70</v>
      </c>
    </row>
    <row r="108" spans="1:21" ht="15.75" customHeight="1">
      <c r="A108" s="23" t="str">
        <f>IF($U108="","",IF(ISNUMBER(INDEX('MiT Strom Pipeline'!$A:$A,$U108)),INDEX('MiT Strom Pipeline'!$A:$A,$U108),""))</f>
        <v/>
      </c>
      <c r="B108" s="24" t="str">
        <f>IF($U108="","",IF(INDEX('MiT Strom Pipeline'!$B:$B,$U108)="","",INDEX('MiT Strom Pipeline'!$B:$B,$U108)))</f>
        <v/>
      </c>
      <c r="C108" s="24" t="str">
        <f>IF($U108="","",IF(INDEX('MiT Strom Pipeline'!$C:$C,$U108)="","",INDEX('MiT Strom Pipeline'!$C:$C,$U108)))</f>
        <v/>
      </c>
      <c r="D108" s="24" t="str">
        <f>IF($U108="","",IF(INDEX('MiT Strom Pipeline'!$D:$D,$U108)="","",INDEX('MiT Strom Pipeline'!$D:$D,$U108)))</f>
        <v/>
      </c>
      <c r="E108" s="24" t="str">
        <f>IF($U108="","",IF(INDEX('MiT Strom Pipeline'!$H:$H,$U108)="","",INDEX('MiT Strom Pipeline'!$H:$H,$U108)))</f>
        <v/>
      </c>
      <c r="F108" s="24" t="str">
        <f>IF($U108="","",IF(INDEX('MiT Strom Pipeline'!$E:$E,$U108)="","",INDEX('MiT Strom Pipeline'!$E:$E,$U108)))</f>
        <v/>
      </c>
      <c r="G108" s="25" t="str">
        <f>IF($U108="","",IF(ISNUMBER(INDEX('MiT Strom Pipeline'!$I:$I,$U108)),INDEX('MiT Strom Pipeline'!$I:$I,$U108),0))</f>
        <v/>
      </c>
      <c r="H108" s="25" t="str">
        <f>IF($U108="","",IF(ISNUMBER(INDEX('MiT Strom Pipeline'!$Q:$Q,$U108)),INDEX('MiT Strom Pipeline'!$Q:$Q,$U108),0))</f>
        <v/>
      </c>
      <c r="I108" s="24" t="str">
        <f>IF($U108="","",INDEX('MiT Strom Pipeline'!$R:$R,$U108))</f>
        <v/>
      </c>
      <c r="J108" s="26" t="str">
        <f>IF($U108="","",IF(ISNUMBER(INDEX('MiT Strom Pipeline'!$S:$S,$U108)),INDEX('MiT Strom Pipeline'!$S:$S,$U108),""))</f>
        <v/>
      </c>
      <c r="K108" s="24" t="str">
        <f>IF($U108="","",IF(LEN(INDEX('MiT Strom Pipeline'!$V:$V,$U108))&gt;0,LEFT(INDEX('MiT Strom Pipeline'!$V:$V,$U108),55),""))</f>
        <v/>
      </c>
      <c r="L108" s="19"/>
      <c r="M108" s="19"/>
      <c r="N108" s="19"/>
      <c r="O108" s="19"/>
      <c r="P108" s="19"/>
      <c r="Q108" s="19"/>
      <c r="R108" s="19"/>
      <c r="S108" s="19"/>
      <c r="U108" t="str">
        <f>IFERROR(MATCH(34,'MiT Strom Pipeline'!$AC$6:$AC$860,0)+5,"")</f>
        <v/>
      </c>
    </row>
    <row r="109" spans="1:21" ht="15.75" customHeight="1">
      <c r="A109" s="23" t="str">
        <f>IF($U109="","",IF(ISNUMBER(INDEX('MiT Strom Pipeline'!$A:$A,$U109)),INDEX('MiT Strom Pipeline'!$A:$A,$U109),""))</f>
        <v/>
      </c>
      <c r="B109" s="24" t="str">
        <f>IF($U109="","",IF(INDEX('MiT Strom Pipeline'!$B:$B,$U109)="","",INDEX('MiT Strom Pipeline'!$B:$B,$U109)))</f>
        <v/>
      </c>
      <c r="C109" s="24" t="str">
        <f>IF($U109="","",IF(INDEX('MiT Strom Pipeline'!$C:$C,$U109)="","",INDEX('MiT Strom Pipeline'!$C:$C,$U109)))</f>
        <v/>
      </c>
      <c r="D109" s="24" t="str">
        <f>IF($U109="","",IF(INDEX('MiT Strom Pipeline'!$D:$D,$U109)="","",INDEX('MiT Strom Pipeline'!$D:$D,$U109)))</f>
        <v/>
      </c>
      <c r="E109" s="24" t="str">
        <f>IF($U109="","",IF(INDEX('MiT Strom Pipeline'!$H:$H,$U109)="","",INDEX('MiT Strom Pipeline'!$H:$H,$U109)))</f>
        <v/>
      </c>
      <c r="F109" s="24" t="str">
        <f>IF($U109="","",IF(INDEX('MiT Strom Pipeline'!$E:$E,$U109)="","",INDEX('MiT Strom Pipeline'!$E:$E,$U109)))</f>
        <v/>
      </c>
      <c r="G109" s="25" t="str">
        <f>IF($U109="","",IF(ISNUMBER(INDEX('MiT Strom Pipeline'!$I:$I,$U109)),INDEX('MiT Strom Pipeline'!$I:$I,$U109),0))</f>
        <v/>
      </c>
      <c r="H109" s="25" t="str">
        <f>IF($U109="","",IF(ISNUMBER(INDEX('MiT Strom Pipeline'!$Q:$Q,$U109)),INDEX('MiT Strom Pipeline'!$Q:$Q,$U109),0))</f>
        <v/>
      </c>
      <c r="I109" s="24" t="str">
        <f>IF($U109="","",INDEX('MiT Strom Pipeline'!$R:$R,$U109))</f>
        <v/>
      </c>
      <c r="J109" s="26" t="str">
        <f>IF($U109="","",IF(ISNUMBER(INDEX('MiT Strom Pipeline'!$S:$S,$U109)),INDEX('MiT Strom Pipeline'!$S:$S,$U109),""))</f>
        <v/>
      </c>
      <c r="K109" s="24" t="str">
        <f>IF($U109="","",IF(LEN(INDEX('MiT Strom Pipeline'!$V:$V,$U109))&gt;0,LEFT(INDEX('MiT Strom Pipeline'!$V:$V,$U109),55),""))</f>
        <v/>
      </c>
      <c r="L109" s="19"/>
      <c r="M109" s="19"/>
      <c r="N109" s="19"/>
      <c r="O109" s="19"/>
      <c r="P109" s="19"/>
      <c r="Q109" s="19"/>
      <c r="R109" s="19"/>
      <c r="S109" s="19"/>
      <c r="U109" t="str">
        <f>IFERROR(MATCH(35,'MiT Strom Pipeline'!$AC$6:$AC$860,0)+5,"")</f>
        <v/>
      </c>
    </row>
    <row r="110" spans="1:21" ht="15.75" customHeight="1">
      <c r="A110" s="23" t="str">
        <f>IF($U110="","",IF(ISNUMBER(INDEX('MiT Strom Pipeline'!$A:$A,$U110)),INDEX('MiT Strom Pipeline'!$A:$A,$U110),""))</f>
        <v/>
      </c>
      <c r="B110" s="24" t="str">
        <f>IF($U110="","",IF(INDEX('MiT Strom Pipeline'!$B:$B,$U110)="","",INDEX('MiT Strom Pipeline'!$B:$B,$U110)))</f>
        <v/>
      </c>
      <c r="C110" s="24" t="str">
        <f>IF($U110="","",IF(INDEX('MiT Strom Pipeline'!$C:$C,$U110)="","",INDEX('MiT Strom Pipeline'!$C:$C,$U110)))</f>
        <v/>
      </c>
      <c r="D110" s="24" t="str">
        <f>IF($U110="","",IF(INDEX('MiT Strom Pipeline'!$D:$D,$U110)="","",INDEX('MiT Strom Pipeline'!$D:$D,$U110)))</f>
        <v/>
      </c>
      <c r="E110" s="24" t="str">
        <f>IF($U110="","",IF(INDEX('MiT Strom Pipeline'!$H:$H,$U110)="","",INDEX('MiT Strom Pipeline'!$H:$H,$U110)))</f>
        <v/>
      </c>
      <c r="F110" s="24" t="str">
        <f>IF($U110="","",IF(INDEX('MiT Strom Pipeline'!$E:$E,$U110)="","",INDEX('MiT Strom Pipeline'!$E:$E,$U110)))</f>
        <v/>
      </c>
      <c r="G110" s="25" t="str">
        <f>IF($U110="","",IF(ISNUMBER(INDEX('MiT Strom Pipeline'!$I:$I,$U110)),INDEX('MiT Strom Pipeline'!$I:$I,$U110),0))</f>
        <v/>
      </c>
      <c r="H110" s="25" t="str">
        <f>IF($U110="","",IF(ISNUMBER(INDEX('MiT Strom Pipeline'!$Q:$Q,$U110)),INDEX('MiT Strom Pipeline'!$Q:$Q,$U110),0))</f>
        <v/>
      </c>
      <c r="I110" s="24" t="str">
        <f>IF($U110="","",INDEX('MiT Strom Pipeline'!$R:$R,$U110))</f>
        <v/>
      </c>
      <c r="J110" s="26" t="str">
        <f>IF($U110="","",IF(ISNUMBER(INDEX('MiT Strom Pipeline'!$S:$S,$U110)),INDEX('MiT Strom Pipeline'!$S:$S,$U110),""))</f>
        <v/>
      </c>
      <c r="K110" s="24" t="str">
        <f>IF($U110="","",IF(LEN(INDEX('MiT Strom Pipeline'!$V:$V,$U110))&gt;0,LEFT(INDEX('MiT Strom Pipeline'!$V:$V,$U110),55),""))</f>
        <v/>
      </c>
      <c r="L110" s="19"/>
      <c r="M110" s="19"/>
      <c r="N110" s="19"/>
      <c r="O110" s="19"/>
      <c r="P110" s="19"/>
      <c r="Q110" s="19"/>
      <c r="R110" s="19"/>
      <c r="S110" s="19"/>
      <c r="U110" t="str">
        <f>IFERROR(MATCH(36,'MiT Strom Pipeline'!$AC$6:$AC$860,0)+5,"")</f>
        <v/>
      </c>
    </row>
    <row r="111" spans="1:21" ht="15.75" customHeight="1">
      <c r="A111" s="23" t="str">
        <f>IF($U111="","",IF(ISNUMBER(INDEX('MiT Strom Pipeline'!$A:$A,$U111)),INDEX('MiT Strom Pipeline'!$A:$A,$U111),""))</f>
        <v/>
      </c>
      <c r="B111" s="24" t="str">
        <f>IF($U111="","",IF(INDEX('MiT Strom Pipeline'!$B:$B,$U111)="","",INDEX('MiT Strom Pipeline'!$B:$B,$U111)))</f>
        <v/>
      </c>
      <c r="C111" s="24" t="str">
        <f>IF($U111="","",IF(INDEX('MiT Strom Pipeline'!$C:$C,$U111)="","",INDEX('MiT Strom Pipeline'!$C:$C,$U111)))</f>
        <v/>
      </c>
      <c r="D111" s="24" t="str">
        <f>IF($U111="","",IF(INDEX('MiT Strom Pipeline'!$D:$D,$U111)="","",INDEX('MiT Strom Pipeline'!$D:$D,$U111)))</f>
        <v/>
      </c>
      <c r="E111" s="29" t="str">
        <f>IF($U111="","",IF(INDEX('MiT Strom Pipeline'!$H:$H,$U111)="","",INDEX('MiT Strom Pipeline'!$H:$H,$U111)))</f>
        <v/>
      </c>
      <c r="F111" s="24" t="str">
        <f>IF($U111="","",IF(INDEX('MiT Strom Pipeline'!$E:$E,$U111)="","",INDEX('MiT Strom Pipeline'!$E:$E,$U111)))</f>
        <v/>
      </c>
      <c r="G111" s="25" t="str">
        <f>IF($U111="","",IF(ISNUMBER(INDEX('MiT Strom Pipeline'!$I:$I,$U111)),INDEX('MiT Strom Pipeline'!$I:$I,$U111),0))</f>
        <v/>
      </c>
      <c r="H111" s="25" t="str">
        <f>IF($U111="","",IF(ISNUMBER(INDEX('MiT Strom Pipeline'!$Q:$Q,$U111)),INDEX('MiT Strom Pipeline'!$Q:$Q,$U111),0))</f>
        <v/>
      </c>
      <c r="I111" s="24" t="str">
        <f>IF($U111="","",INDEX('MiT Strom Pipeline'!$R:$R,$U111))</f>
        <v/>
      </c>
      <c r="J111" s="26" t="str">
        <f>IF($U111="","",IF(ISNUMBER(INDEX('MiT Strom Pipeline'!$S:$S,$U111)),INDEX('MiT Strom Pipeline'!$S:$S,$U111),""))</f>
        <v/>
      </c>
      <c r="K111" s="24" t="str">
        <f>IF($U111="","",IF(LEN(INDEX('MiT Strom Pipeline'!$V:$V,$U111))&gt;0,LEFT(INDEX('MiT Strom Pipeline'!$V:$V,$U111),55),""))</f>
        <v/>
      </c>
      <c r="L111" s="19"/>
      <c r="M111" s="19"/>
      <c r="N111" s="19"/>
      <c r="O111" s="19"/>
      <c r="P111" s="19"/>
      <c r="Q111" s="19"/>
      <c r="R111" s="19"/>
      <c r="S111" s="19"/>
      <c r="U111" t="str">
        <f>IFERROR(MATCH(37,'MiT Strom Pipeline'!$AC$6:$AC$860,0)+5,"")</f>
        <v/>
      </c>
    </row>
    <row r="112" spans="1:21" ht="15.75" customHeight="1">
      <c r="A112" s="23" t="str">
        <f>IF($U112="","",IF(ISNUMBER(INDEX('MiT Strom Pipeline'!$A:$A,$U112)),INDEX('MiT Strom Pipeline'!$A:$A,$U112),""))</f>
        <v/>
      </c>
      <c r="B112" s="24" t="str">
        <f>IF($U112="","",IF(INDEX('MiT Strom Pipeline'!$B:$B,$U112)="","",INDEX('MiT Strom Pipeline'!$B:$B,$U112)))</f>
        <v/>
      </c>
      <c r="C112" s="24" t="str">
        <f>IF($U112="","",IF(INDEX('MiT Strom Pipeline'!$C:$C,$U112)="","",INDEX('MiT Strom Pipeline'!$C:$C,$U112)))</f>
        <v/>
      </c>
      <c r="D112" s="24" t="str">
        <f>IF($U112="","",IF(INDEX('MiT Strom Pipeline'!$D:$D,$U112)="","",INDEX('MiT Strom Pipeline'!$D:$D,$U112)))</f>
        <v/>
      </c>
      <c r="E112" s="29" t="str">
        <f>IF($U112="","",IF(INDEX('MiT Strom Pipeline'!$H:$H,$U112)="","",INDEX('MiT Strom Pipeline'!$H:$H,$U112)))</f>
        <v/>
      </c>
      <c r="F112" s="24" t="str">
        <f>IF($U112="","",IF(INDEX('MiT Strom Pipeline'!$E:$E,$U112)="","",INDEX('MiT Strom Pipeline'!$E:$E,$U112)))</f>
        <v/>
      </c>
      <c r="G112" s="25" t="str">
        <f>IF($U112="","",IF(ISNUMBER(INDEX('MiT Strom Pipeline'!$I:$I,$U112)),INDEX('MiT Strom Pipeline'!$I:$I,$U112),0))</f>
        <v/>
      </c>
      <c r="H112" s="25" t="str">
        <f>IF($U112="","",IF(ISNUMBER(INDEX('MiT Strom Pipeline'!$Q:$Q,$U112)),INDEX('MiT Strom Pipeline'!$Q:$Q,$U112),0))</f>
        <v/>
      </c>
      <c r="I112" s="24" t="str">
        <f>IF($U112="","",INDEX('MiT Strom Pipeline'!$R:$R,$U112))</f>
        <v/>
      </c>
      <c r="J112" s="26" t="str">
        <f>IF($U112="","",IF(ISNUMBER(INDEX('MiT Strom Pipeline'!$S:$S,$U112)),INDEX('MiT Strom Pipeline'!$S:$S,$U112),""))</f>
        <v/>
      </c>
      <c r="K112" s="24" t="str">
        <f>IF($U112="","",IF(LEN(INDEX('MiT Strom Pipeline'!$V:$V,$U112))&gt;0,LEFT(INDEX('MiT Strom Pipeline'!$V:$V,$U112),55),""))</f>
        <v/>
      </c>
      <c r="L112" s="19"/>
      <c r="M112" s="19"/>
      <c r="N112" s="19"/>
      <c r="O112" s="19"/>
      <c r="P112" s="19"/>
      <c r="Q112" s="19"/>
      <c r="R112" s="19"/>
      <c r="S112" s="19"/>
      <c r="U112" t="str">
        <f>IFERROR(MATCH(38,'MiT Strom Pipeline'!$AC$6:$AC$860,0)+5,"")</f>
        <v/>
      </c>
    </row>
    <row r="113" spans="1:21" ht="15.75" customHeight="1">
      <c r="A113" s="23" t="str">
        <f>IF($U113="","",IF(ISNUMBER(INDEX('MiT Strom Pipeline'!$A:$A,$U113)),INDEX('MiT Strom Pipeline'!$A:$A,$U113),""))</f>
        <v/>
      </c>
      <c r="B113" s="24" t="str">
        <f>IF($U113="","",IF(INDEX('MiT Strom Pipeline'!$B:$B,$U113)="","",INDEX('MiT Strom Pipeline'!$B:$B,$U113)))</f>
        <v/>
      </c>
      <c r="C113" s="24" t="str">
        <f>IF($U113="","",IF(INDEX('MiT Strom Pipeline'!$C:$C,$U113)="","",INDEX('MiT Strom Pipeline'!$C:$C,$U113)))</f>
        <v/>
      </c>
      <c r="D113" s="24" t="str">
        <f>IF($U113="","",IF(INDEX('MiT Strom Pipeline'!$D:$D,$U113)="","",INDEX('MiT Strom Pipeline'!$D:$D,$U113)))</f>
        <v/>
      </c>
      <c r="E113" s="24" t="str">
        <f>IF($U113="","",IF(INDEX('MiT Strom Pipeline'!$H:$H,$U113)="","",INDEX('MiT Strom Pipeline'!$H:$H,$U113)))</f>
        <v/>
      </c>
      <c r="F113" s="24" t="str">
        <f>IF($U113="","",IF(INDEX('MiT Strom Pipeline'!$E:$E,$U113)="","",INDEX('MiT Strom Pipeline'!$E:$E,$U113)))</f>
        <v/>
      </c>
      <c r="G113" s="25" t="str">
        <f>IF($U113="","",IF(ISNUMBER(INDEX('MiT Strom Pipeline'!$I:$I,$U113)),INDEX('MiT Strom Pipeline'!$I:$I,$U113),0))</f>
        <v/>
      </c>
      <c r="H113" s="25" t="str">
        <f>IF($U113="","",IF(ISNUMBER(INDEX('MiT Strom Pipeline'!$Q:$Q,$U113)),INDEX('MiT Strom Pipeline'!$Q:$Q,$U113),0))</f>
        <v/>
      </c>
      <c r="I113" s="24" t="str">
        <f>IF($U113="","",INDEX('MiT Strom Pipeline'!$R:$R,$U113))</f>
        <v/>
      </c>
      <c r="J113" s="26" t="str">
        <f>IF($U113="","",IF(ISNUMBER(INDEX('MiT Strom Pipeline'!$S:$S,$U113)),INDEX('MiT Strom Pipeline'!$S:$S,$U113),""))</f>
        <v/>
      </c>
      <c r="K113" s="24" t="str">
        <f>IF($U113="","",IF(LEN(INDEX('MiT Strom Pipeline'!$V:$V,$U113))&gt;0,LEFT(INDEX('MiT Strom Pipeline'!$V:$V,$U113),55),""))</f>
        <v/>
      </c>
      <c r="L113" s="19"/>
      <c r="M113" s="19"/>
      <c r="N113" s="19"/>
      <c r="O113" s="19"/>
      <c r="P113" s="19"/>
      <c r="Q113" s="19"/>
      <c r="R113" s="19"/>
      <c r="S113" s="19"/>
      <c r="U113" t="str">
        <f>IFERROR(MATCH(39,'MiT Strom Pipeline'!$AC$6:$AC$860,0)+5,"")</f>
        <v/>
      </c>
    </row>
    <row r="114" spans="1:21" ht="15.75" customHeight="1">
      <c r="A114" s="23" t="str">
        <f>IF($U114="","",IF(ISNUMBER(INDEX('MiT Strom Pipeline'!$A:$A,$U114)),INDEX('MiT Strom Pipeline'!$A:$A,$U114),""))</f>
        <v/>
      </c>
      <c r="B114" s="24" t="str">
        <f>IF($U114="","",IF(INDEX('MiT Strom Pipeline'!$B:$B,$U114)="","",INDEX('MiT Strom Pipeline'!$B:$B,$U114)))</f>
        <v/>
      </c>
      <c r="C114" s="24" t="str">
        <f>IF($U114="","",IF(INDEX('MiT Strom Pipeline'!$C:$C,$U114)="","",INDEX('MiT Strom Pipeline'!$C:$C,$U114)))</f>
        <v/>
      </c>
      <c r="D114" s="24" t="str">
        <f>IF($U114="","",IF(INDEX('MiT Strom Pipeline'!$D:$D,$U114)="","",INDEX('MiT Strom Pipeline'!$D:$D,$U114)))</f>
        <v/>
      </c>
      <c r="E114" s="27" t="str">
        <f>IF($U114="","",IF(INDEX('MiT Strom Pipeline'!$H:$H,$U114)="","",INDEX('MiT Strom Pipeline'!$H:$H,$U114)))</f>
        <v/>
      </c>
      <c r="F114" s="24" t="str">
        <f>IF($U114="","",IF(INDEX('MiT Strom Pipeline'!$E:$E,$U114)="","",INDEX('MiT Strom Pipeline'!$E:$E,$U114)))</f>
        <v/>
      </c>
      <c r="G114" s="25" t="str">
        <f>IF($U114="","",IF(ISNUMBER(INDEX('MiT Strom Pipeline'!$I:$I,$U114)),INDEX('MiT Strom Pipeline'!$I:$I,$U114),0))</f>
        <v/>
      </c>
      <c r="H114" s="25" t="str">
        <f>IF($U114="","",IF(ISNUMBER(INDEX('MiT Strom Pipeline'!$Q:$Q,$U114)),INDEX('MiT Strom Pipeline'!$Q:$Q,$U114),0))</f>
        <v/>
      </c>
      <c r="I114" s="24" t="str">
        <f>IF($U114="","",INDEX('MiT Strom Pipeline'!$R:$R,$U114))</f>
        <v/>
      </c>
      <c r="J114" s="26" t="str">
        <f>IF($U114="","",IF(ISNUMBER(INDEX('MiT Strom Pipeline'!$S:$S,$U114)),INDEX('MiT Strom Pipeline'!$S:$S,$U114),""))</f>
        <v/>
      </c>
      <c r="K114" s="24" t="str">
        <f>IF($U114="","",IF(LEN(INDEX('MiT Strom Pipeline'!$V:$V,$U114))&gt;0,LEFT(INDEX('MiT Strom Pipeline'!$V:$V,$U114),55),""))</f>
        <v/>
      </c>
      <c r="L114" s="19"/>
      <c r="M114" s="19"/>
      <c r="N114" s="19"/>
      <c r="O114" s="19"/>
      <c r="P114" s="19"/>
      <c r="Q114" s="19"/>
      <c r="R114" s="19"/>
      <c r="S114" s="19"/>
      <c r="U114" t="str">
        <f>IFERROR(MATCH(40,'MiT Strom Pipeline'!$AC$6:$AC$860,0)+5,"")</f>
        <v/>
      </c>
    </row>
    <row r="115" spans="1:21" ht="15.75" customHeight="1">
      <c r="A115" s="23" t="str">
        <f>IF($U115="","",IF(ISNUMBER(INDEX('MiT Strom Pipeline'!$A:$A,$U115)),INDEX('MiT Strom Pipeline'!$A:$A,$U115),""))</f>
        <v/>
      </c>
      <c r="B115" s="24" t="str">
        <f>IF($U115="","",IF(INDEX('MiT Strom Pipeline'!$B:$B,$U115)="","",INDEX('MiT Strom Pipeline'!$B:$B,$U115)))</f>
        <v/>
      </c>
      <c r="C115" s="24" t="str">
        <f>IF($U115="","",IF(INDEX('MiT Strom Pipeline'!$C:$C,$U115)="","",INDEX('MiT Strom Pipeline'!$C:$C,$U115)))</f>
        <v/>
      </c>
      <c r="D115" s="24" t="str">
        <f>IF($U115="","",IF(INDEX('MiT Strom Pipeline'!$D:$D,$U115)="","",INDEX('MiT Strom Pipeline'!$D:$D,$U115)))</f>
        <v/>
      </c>
      <c r="E115" s="24" t="str">
        <f>IF($U115="","",IF(INDEX('MiT Strom Pipeline'!$H:$H,$U115)="","",INDEX('MiT Strom Pipeline'!$H:$H,$U115)))</f>
        <v/>
      </c>
      <c r="F115" s="24" t="str">
        <f>IF($U115="","",IF(INDEX('MiT Strom Pipeline'!$E:$E,$U115)="","",INDEX('MiT Strom Pipeline'!$E:$E,$U115)))</f>
        <v/>
      </c>
      <c r="G115" s="25" t="str">
        <f>IF($U115="","",IF(ISNUMBER(INDEX('MiT Strom Pipeline'!$I:$I,$U115)),INDEX('MiT Strom Pipeline'!$I:$I,$U115),0))</f>
        <v/>
      </c>
      <c r="H115" s="25" t="str">
        <f>IF($U115="","",IF(ISNUMBER(INDEX('MiT Strom Pipeline'!$Q:$Q,$U115)),INDEX('MiT Strom Pipeline'!$Q:$Q,$U115),0))</f>
        <v/>
      </c>
      <c r="I115" s="24" t="str">
        <f>IF($U115="","",INDEX('MiT Strom Pipeline'!$R:$R,$U115))</f>
        <v/>
      </c>
      <c r="J115" s="26" t="str">
        <f>IF($U115="","",IF(ISNUMBER(INDEX('MiT Strom Pipeline'!$S:$S,$U115)),INDEX('MiT Strom Pipeline'!$S:$S,$U115),""))</f>
        <v/>
      </c>
      <c r="K115" s="24" t="str">
        <f>IF($U115="","",IF(LEN(INDEX('MiT Strom Pipeline'!$V:$V,$U115))&gt;0,LEFT(INDEX('MiT Strom Pipeline'!$V:$V,$U115),55),""))</f>
        <v/>
      </c>
      <c r="L115" s="19"/>
      <c r="M115" s="19"/>
      <c r="N115" s="19"/>
      <c r="O115" s="19"/>
      <c r="P115" s="19"/>
      <c r="Q115" s="19"/>
      <c r="R115" s="19"/>
      <c r="S115" s="19"/>
      <c r="U115" t="str">
        <f>IFERROR(MATCH(41,'MiT Strom Pipeline'!$AC$6:$AC$860,0)+5,"")</f>
        <v/>
      </c>
    </row>
    <row r="116" spans="1:21" ht="15.75" customHeight="1">
      <c r="A116" s="23" t="str">
        <f>IF($U116="","",IF(ISNUMBER(INDEX('MiT Strom Pipeline'!$A:$A,$U116)),INDEX('MiT Strom Pipeline'!$A:$A,$U116),""))</f>
        <v/>
      </c>
      <c r="B116" s="24" t="str">
        <f>IF($U116="","",IF(INDEX('MiT Strom Pipeline'!$B:$B,$U116)="","",INDEX('MiT Strom Pipeline'!$B:$B,$U116)))</f>
        <v/>
      </c>
      <c r="C116" s="24" t="str">
        <f>IF($U116="","",IF(INDEX('MiT Strom Pipeline'!$C:$C,$U116)="","",INDEX('MiT Strom Pipeline'!$C:$C,$U116)))</f>
        <v/>
      </c>
      <c r="D116" s="24" t="str">
        <f>IF($U116="","",IF(INDEX('MiT Strom Pipeline'!$D:$D,$U116)="","",INDEX('MiT Strom Pipeline'!$D:$D,$U116)))</f>
        <v/>
      </c>
      <c r="E116" s="27" t="str">
        <f>IF($U116="","",IF(INDEX('MiT Strom Pipeline'!$H:$H,$U116)="","",INDEX('MiT Strom Pipeline'!$H:$H,$U116)))</f>
        <v/>
      </c>
      <c r="F116" s="24" t="str">
        <f>IF($U116="","",IF(INDEX('MiT Strom Pipeline'!$E:$E,$U116)="","",INDEX('MiT Strom Pipeline'!$E:$E,$U116)))</f>
        <v/>
      </c>
      <c r="G116" s="25" t="str">
        <f>IF($U116="","",IF(ISNUMBER(INDEX('MiT Strom Pipeline'!$I:$I,$U116)),INDEX('MiT Strom Pipeline'!$I:$I,$U116),0))</f>
        <v/>
      </c>
      <c r="H116" s="25" t="str">
        <f>IF($U116="","",IF(ISNUMBER(INDEX('MiT Strom Pipeline'!$Q:$Q,$U116)),INDEX('MiT Strom Pipeline'!$Q:$Q,$U116),0))</f>
        <v/>
      </c>
      <c r="I116" s="24" t="str">
        <f>IF($U116="","",INDEX('MiT Strom Pipeline'!$R:$R,$U116))</f>
        <v/>
      </c>
      <c r="J116" s="26" t="str">
        <f>IF($U116="","",IF(ISNUMBER(INDEX('MiT Strom Pipeline'!$S:$S,$U116)),INDEX('MiT Strom Pipeline'!$S:$S,$U116),""))</f>
        <v/>
      </c>
      <c r="K116" s="24" t="str">
        <f>IF($U116="","",IF(LEN(INDEX('MiT Strom Pipeline'!$V:$V,$U116))&gt;0,LEFT(INDEX('MiT Strom Pipeline'!$V:$V,$U116),55),""))</f>
        <v/>
      </c>
      <c r="L116" s="19"/>
      <c r="M116" s="19"/>
      <c r="N116" s="19"/>
      <c r="O116" s="19"/>
      <c r="P116" s="19"/>
      <c r="Q116" s="19"/>
      <c r="R116" s="19"/>
      <c r="S116" s="19"/>
      <c r="U116" t="str">
        <f>IFERROR(MATCH(42,'MiT Strom Pipeline'!$AC$6:$AC$860,0)+5,"")</f>
        <v/>
      </c>
    </row>
    <row r="117" spans="1:21" ht="15.75" customHeight="1">
      <c r="A117" s="23" t="str">
        <f>IF($U117="","",IF(ISNUMBER(INDEX('MiT Strom Pipeline'!$A:$A,$U117)),INDEX('MiT Strom Pipeline'!$A:$A,$U117),""))</f>
        <v/>
      </c>
      <c r="B117" s="24" t="str">
        <f>IF($U117="","",IF(INDEX('MiT Strom Pipeline'!$B:$B,$U117)="","",INDEX('MiT Strom Pipeline'!$B:$B,$U117)))</f>
        <v/>
      </c>
      <c r="C117" s="24" t="str">
        <f>IF($U117="","",IF(INDEX('MiT Strom Pipeline'!$C:$C,$U117)="","",INDEX('MiT Strom Pipeline'!$C:$C,$U117)))</f>
        <v/>
      </c>
      <c r="D117" s="24" t="str">
        <f>IF($U117="","",IF(INDEX('MiT Strom Pipeline'!$D:$D,$U117)="","",INDEX('MiT Strom Pipeline'!$D:$D,$U117)))</f>
        <v/>
      </c>
      <c r="E117" s="24" t="str">
        <f>IF($U117="","",IF(INDEX('MiT Strom Pipeline'!$H:$H,$U117)="","",INDEX('MiT Strom Pipeline'!$H:$H,$U117)))</f>
        <v/>
      </c>
      <c r="F117" s="24" t="str">
        <f>IF($U117="","",IF(INDEX('MiT Strom Pipeline'!$E:$E,$U117)="","",INDEX('MiT Strom Pipeline'!$E:$E,$U117)))</f>
        <v/>
      </c>
      <c r="G117" s="25" t="str">
        <f>IF($U117="","",IF(ISNUMBER(INDEX('MiT Strom Pipeline'!$I:$I,$U117)),INDEX('MiT Strom Pipeline'!$I:$I,$U117),0))</f>
        <v/>
      </c>
      <c r="H117" s="25" t="str">
        <f>IF($U117="","",IF(ISNUMBER(INDEX('MiT Strom Pipeline'!$Q:$Q,$U117)),INDEX('MiT Strom Pipeline'!$Q:$Q,$U117),0))</f>
        <v/>
      </c>
      <c r="I117" s="24" t="str">
        <f>IF($U117="","",INDEX('MiT Strom Pipeline'!$R:$R,$U117))</f>
        <v/>
      </c>
      <c r="J117" s="26" t="str">
        <f>IF($U117="","",IF(ISNUMBER(INDEX('MiT Strom Pipeline'!$S:$S,$U117)),INDEX('MiT Strom Pipeline'!$S:$S,$U117),""))</f>
        <v/>
      </c>
      <c r="K117" s="24" t="str">
        <f>IF($U117="","",IF(LEN(INDEX('MiT Strom Pipeline'!$V:$V,$U117))&gt;0,LEFT(INDEX('MiT Strom Pipeline'!$V:$V,$U117),55),""))</f>
        <v/>
      </c>
      <c r="L117" s="19"/>
      <c r="M117" s="19"/>
      <c r="N117" s="19"/>
      <c r="O117" s="19"/>
      <c r="P117" s="19"/>
      <c r="Q117" s="19"/>
      <c r="R117" s="19"/>
      <c r="S117" s="19"/>
      <c r="U117" t="str">
        <f>IFERROR(MATCH(43,'MiT Strom Pipeline'!$AC$6:$AC$860,0)+5,"")</f>
        <v/>
      </c>
    </row>
    <row r="118" spans="1:21" ht="15.75" customHeight="1">
      <c r="A118" s="23" t="str">
        <f>IF($U118="","",IF(ISNUMBER(INDEX('MiT Strom Pipeline'!$A:$A,$U118)),INDEX('MiT Strom Pipeline'!$A:$A,$U118),""))</f>
        <v/>
      </c>
      <c r="B118" s="24" t="str">
        <f>IF($U118="","",IF(INDEX('MiT Strom Pipeline'!$B:$B,$U118)="","",INDEX('MiT Strom Pipeline'!$B:$B,$U118)))</f>
        <v/>
      </c>
      <c r="C118" s="24" t="str">
        <f>IF($U118="","",IF(INDEX('MiT Strom Pipeline'!$C:$C,$U118)="","",INDEX('MiT Strom Pipeline'!$C:$C,$U118)))</f>
        <v/>
      </c>
      <c r="D118" s="24" t="str">
        <f>IF($U118="","",IF(INDEX('MiT Strom Pipeline'!$D:$D,$U118)="","",INDEX('MiT Strom Pipeline'!$D:$D,$U118)))</f>
        <v/>
      </c>
      <c r="E118" s="24" t="str">
        <f>IF($U118="","",IF(INDEX('MiT Strom Pipeline'!$H:$H,$U118)="","",INDEX('MiT Strom Pipeline'!$H:$H,$U118)))</f>
        <v/>
      </c>
      <c r="F118" s="24" t="str">
        <f>IF($U118="","",IF(INDEX('MiT Strom Pipeline'!$E:$E,$U118)="","",INDEX('MiT Strom Pipeline'!$E:$E,$U118)))</f>
        <v/>
      </c>
      <c r="G118" s="25" t="str">
        <f>IF($U118="","",IF(ISNUMBER(INDEX('MiT Strom Pipeline'!$I:$I,$U118)),INDEX('MiT Strom Pipeline'!$I:$I,$U118),0))</f>
        <v/>
      </c>
      <c r="H118" s="25" t="str">
        <f>IF($U118="","",IF(ISNUMBER(INDEX('MiT Strom Pipeline'!$Q:$Q,$U118)),INDEX('MiT Strom Pipeline'!$Q:$Q,$U118),0))</f>
        <v/>
      </c>
      <c r="I118" s="24" t="str">
        <f>IF($U118="","",INDEX('MiT Strom Pipeline'!$R:$R,$U118))</f>
        <v/>
      </c>
      <c r="J118" s="26" t="str">
        <f>IF($U118="","",IF(ISNUMBER(INDEX('MiT Strom Pipeline'!$S:$S,$U118)),INDEX('MiT Strom Pipeline'!$S:$S,$U118),""))</f>
        <v/>
      </c>
      <c r="K118" s="24" t="str">
        <f>IF($U118="","",IF(LEN(INDEX('MiT Strom Pipeline'!$V:$V,$U118))&gt;0,LEFT(INDEX('MiT Strom Pipeline'!$V:$V,$U118),55),""))</f>
        <v/>
      </c>
      <c r="L118" s="19"/>
      <c r="M118" s="19"/>
      <c r="N118" s="19"/>
      <c r="O118" s="19"/>
      <c r="P118" s="19"/>
      <c r="Q118" s="19"/>
      <c r="R118" s="19"/>
      <c r="S118" s="19"/>
      <c r="U118" t="str">
        <f>IFERROR(MATCH(44,'MiT Strom Pipeline'!$AC$6:$AC$860,0)+5,"")</f>
        <v/>
      </c>
    </row>
    <row r="119" spans="1:21" ht="15.75" customHeight="1">
      <c r="A119" s="23" t="str">
        <f>IF($U119="","",IF(ISNUMBER(INDEX('MiT Strom Pipeline'!$A:$A,$U119)),INDEX('MiT Strom Pipeline'!$A:$A,$U119),""))</f>
        <v/>
      </c>
      <c r="B119" s="24" t="str">
        <f>IF($U119="","",IF(INDEX('MiT Strom Pipeline'!$B:$B,$U119)="","",INDEX('MiT Strom Pipeline'!$B:$B,$U119)))</f>
        <v/>
      </c>
      <c r="C119" s="24" t="str">
        <f>IF($U119="","",IF(INDEX('MiT Strom Pipeline'!$C:$C,$U119)="","",INDEX('MiT Strom Pipeline'!$C:$C,$U119)))</f>
        <v/>
      </c>
      <c r="D119" s="24" t="str">
        <f>IF($U119="","",IF(INDEX('MiT Strom Pipeline'!$D:$D,$U119)="","",INDEX('MiT Strom Pipeline'!$D:$D,$U119)))</f>
        <v/>
      </c>
      <c r="E119" s="24" t="str">
        <f>IF($U119="","",IF(INDEX('MiT Strom Pipeline'!$H:$H,$U119)="","",INDEX('MiT Strom Pipeline'!$H:$H,$U119)))</f>
        <v/>
      </c>
      <c r="F119" s="24" t="str">
        <f>IF($U119="","",IF(INDEX('MiT Strom Pipeline'!$E:$E,$U119)="","",INDEX('MiT Strom Pipeline'!$E:$E,$U119)))</f>
        <v/>
      </c>
      <c r="G119" s="25" t="str">
        <f>IF($U119="","",IF(ISNUMBER(INDEX('MiT Strom Pipeline'!$I:$I,$U119)),INDEX('MiT Strom Pipeline'!$I:$I,$U119),0))</f>
        <v/>
      </c>
      <c r="H119" s="25" t="str">
        <f>IF($U119="","",IF(ISNUMBER(INDEX('MiT Strom Pipeline'!$Q:$Q,$U119)),INDEX('MiT Strom Pipeline'!$Q:$Q,$U119),0))</f>
        <v/>
      </c>
      <c r="I119" s="24" t="str">
        <f>IF($U119="","",INDEX('MiT Strom Pipeline'!$R:$R,$U119))</f>
        <v/>
      </c>
      <c r="J119" s="26" t="str">
        <f>IF($U119="","",IF(ISNUMBER(INDEX('MiT Strom Pipeline'!$S:$S,$U119)),INDEX('MiT Strom Pipeline'!$S:$S,$U119),""))</f>
        <v/>
      </c>
      <c r="K119" s="24" t="str">
        <f>IF($U119="","",IF(LEN(INDEX('MiT Strom Pipeline'!$V:$V,$U119))&gt;0,LEFT(INDEX('MiT Strom Pipeline'!$V:$V,$U119),55),""))</f>
        <v/>
      </c>
      <c r="L119" s="19"/>
      <c r="M119" s="19"/>
      <c r="N119" s="19"/>
      <c r="O119" s="19"/>
      <c r="P119" s="19"/>
      <c r="Q119" s="19"/>
      <c r="R119" s="19"/>
      <c r="S119" s="19"/>
      <c r="U119" t="str">
        <f>IFERROR(MATCH(45,'MiT Strom Pipeline'!$AC$6:$AC$860,0)+5,"")</f>
        <v/>
      </c>
    </row>
    <row r="120" spans="1:21" ht="15.75" customHeight="1">
      <c r="A120" s="23" t="str">
        <f>IF($U120="","",IF(ISNUMBER(INDEX('MiT Strom Pipeline'!$A:$A,$U120)),INDEX('MiT Strom Pipeline'!$A:$A,$U120),""))</f>
        <v/>
      </c>
      <c r="B120" s="24" t="str">
        <f>IF($U120="","",IF(INDEX('MiT Strom Pipeline'!$B:$B,$U120)="","",INDEX('MiT Strom Pipeline'!$B:$B,$U120)))</f>
        <v/>
      </c>
      <c r="C120" s="24" t="str">
        <f>IF($U120="","",IF(INDEX('MiT Strom Pipeline'!$C:$C,$U120)="","",INDEX('MiT Strom Pipeline'!$C:$C,$U120)))</f>
        <v/>
      </c>
      <c r="D120" s="24" t="str">
        <f>IF($U120="","",IF(INDEX('MiT Strom Pipeline'!$D:$D,$U120)="","",INDEX('MiT Strom Pipeline'!$D:$D,$U120)))</f>
        <v/>
      </c>
      <c r="E120" s="24" t="str">
        <f>IF($U120="","",IF(INDEX('MiT Strom Pipeline'!$H:$H,$U120)="","",INDEX('MiT Strom Pipeline'!$H:$H,$U120)))</f>
        <v/>
      </c>
      <c r="F120" s="24" t="str">
        <f>IF($U120="","",IF(INDEX('MiT Strom Pipeline'!$E:$E,$U120)="","",INDEX('MiT Strom Pipeline'!$E:$E,$U120)))</f>
        <v/>
      </c>
      <c r="G120" s="25" t="str">
        <f>IF($U120="","",IF(ISNUMBER(INDEX('MiT Strom Pipeline'!$I:$I,$U120)),INDEX('MiT Strom Pipeline'!$I:$I,$U120),0))</f>
        <v/>
      </c>
      <c r="H120" s="25" t="str">
        <f>IF($U120="","",IF(ISNUMBER(INDEX('MiT Strom Pipeline'!$Q:$Q,$U120)),INDEX('MiT Strom Pipeline'!$Q:$Q,$U120),0))</f>
        <v/>
      </c>
      <c r="I120" s="24" t="str">
        <f>IF($U120="","",INDEX('MiT Strom Pipeline'!$R:$R,$U120))</f>
        <v/>
      </c>
      <c r="J120" s="26" t="str">
        <f>IF($U120="","",IF(ISNUMBER(INDEX('MiT Strom Pipeline'!$S:$S,$U120)),INDEX('MiT Strom Pipeline'!$S:$S,$U120),""))</f>
        <v/>
      </c>
      <c r="K120" s="24" t="str">
        <f>IF($U120="","",IF(LEN(INDEX('MiT Strom Pipeline'!$V:$V,$U120))&gt;0,LEFT(INDEX('MiT Strom Pipeline'!$V:$V,$U120),55),""))</f>
        <v/>
      </c>
      <c r="L120" s="19"/>
      <c r="M120" s="19"/>
      <c r="N120" s="19"/>
      <c r="O120" s="19"/>
      <c r="P120" s="19"/>
      <c r="Q120" s="19"/>
      <c r="R120" s="19"/>
      <c r="S120" s="19"/>
      <c r="U120" t="str">
        <f>IFERROR(MATCH(46,'MiT Strom Pipeline'!$AC$6:$AC$860,0)+5,"")</f>
        <v/>
      </c>
    </row>
    <row r="121" spans="1:21" ht="15.75" customHeight="1">
      <c r="A121" s="23" t="str">
        <f>IF($U121="","",IF(ISNUMBER(INDEX('MiT Strom Pipeline'!$A:$A,$U121)),INDEX('MiT Strom Pipeline'!$A:$A,$U121),""))</f>
        <v/>
      </c>
      <c r="B121" s="24" t="str">
        <f>IF($U121="","",IF(INDEX('MiT Strom Pipeline'!$B:$B,$U121)="","",INDEX('MiT Strom Pipeline'!$B:$B,$U121)))</f>
        <v/>
      </c>
      <c r="C121" s="24" t="str">
        <f>IF($U121="","",IF(INDEX('MiT Strom Pipeline'!$C:$C,$U121)="","",INDEX('MiT Strom Pipeline'!$C:$C,$U121)))</f>
        <v/>
      </c>
      <c r="D121" s="24" t="str">
        <f>IF($U121="","",IF(INDEX('MiT Strom Pipeline'!$D:$D,$U121)="","",INDEX('MiT Strom Pipeline'!$D:$D,$U121)))</f>
        <v/>
      </c>
      <c r="E121" s="24" t="str">
        <f>IF($U121="","",IF(INDEX('MiT Strom Pipeline'!$H:$H,$U121)="","",INDEX('MiT Strom Pipeline'!$H:$H,$U121)))</f>
        <v/>
      </c>
      <c r="F121" s="24" t="str">
        <f>IF($U121="","",IF(INDEX('MiT Strom Pipeline'!$E:$E,$U121)="","",INDEX('MiT Strom Pipeline'!$E:$E,$U121)))</f>
        <v/>
      </c>
      <c r="G121" s="25" t="str">
        <f>IF($U121="","",IF(ISNUMBER(INDEX('MiT Strom Pipeline'!$I:$I,$U121)),INDEX('MiT Strom Pipeline'!$I:$I,$U121),0))</f>
        <v/>
      </c>
      <c r="H121" s="25" t="str">
        <f>IF($U121="","",IF(ISNUMBER(INDEX('MiT Strom Pipeline'!$Q:$Q,$U121)),INDEX('MiT Strom Pipeline'!$Q:$Q,$U121),0))</f>
        <v/>
      </c>
      <c r="I121" s="24" t="str">
        <f>IF($U121="","",INDEX('MiT Strom Pipeline'!$R:$R,$U121))</f>
        <v/>
      </c>
      <c r="J121" s="26" t="str">
        <f>IF($U121="","",IF(ISNUMBER(INDEX('MiT Strom Pipeline'!$S:$S,$U121)),INDEX('MiT Strom Pipeline'!$S:$S,$U121),""))</f>
        <v/>
      </c>
      <c r="K121" s="24" t="str">
        <f>IF($U121="","",IF(LEN(INDEX('MiT Strom Pipeline'!$V:$V,$U121))&gt;0,LEFT(INDEX('MiT Strom Pipeline'!$V:$V,$U121),55),""))</f>
        <v/>
      </c>
      <c r="L121" s="19"/>
      <c r="M121" s="19"/>
      <c r="N121" s="19"/>
      <c r="O121" s="19"/>
      <c r="P121" s="19"/>
      <c r="Q121" s="19"/>
      <c r="R121" s="19"/>
      <c r="S121" s="19"/>
      <c r="U121" t="str">
        <f>IFERROR(MATCH(47,'MiT Strom Pipeline'!$AC$6:$AC$860,0)+5,"")</f>
        <v/>
      </c>
    </row>
    <row r="122" spans="1:21" ht="15.75" customHeight="1">
      <c r="A122" s="23" t="str">
        <f>IF($U122="","",IF(ISNUMBER(INDEX('MiT Strom Pipeline'!$A:$A,$U122)),INDEX('MiT Strom Pipeline'!$A:$A,$U122),""))</f>
        <v/>
      </c>
      <c r="B122" s="24" t="str">
        <f>IF($U122="","",IF(INDEX('MiT Strom Pipeline'!$B:$B,$U122)="","",INDEX('MiT Strom Pipeline'!$B:$B,$U122)))</f>
        <v/>
      </c>
      <c r="C122" s="24" t="str">
        <f>IF($U122="","",IF(INDEX('MiT Strom Pipeline'!$C:$C,$U122)="","",INDEX('MiT Strom Pipeline'!$C:$C,$U122)))</f>
        <v/>
      </c>
      <c r="D122" s="24" t="str">
        <f>IF($U122="","",IF(INDEX('MiT Strom Pipeline'!$D:$D,$U122)="","",INDEX('MiT Strom Pipeline'!$D:$D,$U122)))</f>
        <v/>
      </c>
      <c r="E122" s="24" t="str">
        <f>IF($U122="","",IF(INDEX('MiT Strom Pipeline'!$H:$H,$U122)="","",INDEX('MiT Strom Pipeline'!$H:$H,$U122)))</f>
        <v/>
      </c>
      <c r="F122" s="24" t="str">
        <f>IF($U122="","",IF(INDEX('MiT Strom Pipeline'!$E:$E,$U122)="","",INDEX('MiT Strom Pipeline'!$E:$E,$U122)))</f>
        <v/>
      </c>
      <c r="G122" s="25" t="str">
        <f>IF($U122="","",IF(ISNUMBER(INDEX('MiT Strom Pipeline'!$I:$I,$U122)),INDEX('MiT Strom Pipeline'!$I:$I,$U122),0))</f>
        <v/>
      </c>
      <c r="H122" s="25" t="str">
        <f>IF($U122="","",IF(ISNUMBER(INDEX('MiT Strom Pipeline'!$Q:$Q,$U122)),INDEX('MiT Strom Pipeline'!$Q:$Q,$U122),0))</f>
        <v/>
      </c>
      <c r="I122" s="24" t="str">
        <f>IF($U122="","",INDEX('MiT Strom Pipeline'!$R:$R,$U122))</f>
        <v/>
      </c>
      <c r="J122" s="26" t="str">
        <f>IF($U122="","",IF(ISNUMBER(INDEX('MiT Strom Pipeline'!$S:$S,$U122)),INDEX('MiT Strom Pipeline'!$S:$S,$U122),""))</f>
        <v/>
      </c>
      <c r="K122" s="24" t="str">
        <f>IF($U122="","",IF(LEN(INDEX('MiT Strom Pipeline'!$V:$V,$U122))&gt;0,LEFT(INDEX('MiT Strom Pipeline'!$V:$V,$U122),55),""))</f>
        <v/>
      </c>
      <c r="L122" s="19"/>
      <c r="M122" s="19"/>
      <c r="N122" s="19"/>
      <c r="O122" s="19"/>
      <c r="P122" s="19"/>
      <c r="Q122" s="19"/>
      <c r="R122" s="19"/>
      <c r="S122" s="19"/>
      <c r="U122" t="str">
        <f>IFERROR(MATCH(48,'MiT Strom Pipeline'!$AC$6:$AC$860,0)+5,"")</f>
        <v/>
      </c>
    </row>
    <row r="123" spans="1:21" ht="15.75" customHeight="1">
      <c r="A123" s="23" t="str">
        <f>IF($U123="","",IF(ISNUMBER(INDEX('MiT Strom Pipeline'!$A:$A,$U123)),INDEX('MiT Strom Pipeline'!$A:$A,$U123),""))</f>
        <v/>
      </c>
      <c r="B123" s="24" t="str">
        <f>IF($U123="","",IF(INDEX('MiT Strom Pipeline'!$B:$B,$U123)="","",INDEX('MiT Strom Pipeline'!$B:$B,$U123)))</f>
        <v/>
      </c>
      <c r="C123" s="24" t="str">
        <f>IF($U123="","",IF(INDEX('MiT Strom Pipeline'!$C:$C,$U123)="","",INDEX('MiT Strom Pipeline'!$C:$C,$U123)))</f>
        <v/>
      </c>
      <c r="D123" s="24" t="str">
        <f>IF($U123="","",IF(INDEX('MiT Strom Pipeline'!$D:$D,$U123)="","",INDEX('MiT Strom Pipeline'!$D:$D,$U123)))</f>
        <v/>
      </c>
      <c r="E123" s="24" t="str">
        <f>IF($U123="","",IF(INDEX('MiT Strom Pipeline'!$H:$H,$U123)="","",INDEX('MiT Strom Pipeline'!$H:$H,$U123)))</f>
        <v/>
      </c>
      <c r="F123" s="24" t="str">
        <f>IF($U123="","",IF(INDEX('MiT Strom Pipeline'!$E:$E,$U123)="","",INDEX('MiT Strom Pipeline'!$E:$E,$U123)))</f>
        <v/>
      </c>
      <c r="G123" s="25" t="str">
        <f>IF($U123="","",IF(ISNUMBER(INDEX('MiT Strom Pipeline'!$I:$I,$U123)),INDEX('MiT Strom Pipeline'!$I:$I,$U123),0))</f>
        <v/>
      </c>
      <c r="H123" s="25" t="str">
        <f>IF($U123="","",IF(ISNUMBER(INDEX('MiT Strom Pipeline'!$Q:$Q,$U123)),INDEX('MiT Strom Pipeline'!$Q:$Q,$U123),0))</f>
        <v/>
      </c>
      <c r="I123" s="24" t="str">
        <f>IF($U123="","",INDEX('MiT Strom Pipeline'!$R:$R,$U123))</f>
        <v/>
      </c>
      <c r="J123" s="26" t="str">
        <f>IF($U123="","",IF(ISNUMBER(INDEX('MiT Strom Pipeline'!$S:$S,$U123)),INDEX('MiT Strom Pipeline'!$S:$S,$U123),""))</f>
        <v/>
      </c>
      <c r="K123" s="24" t="str">
        <f>IF($U123="","",IF(LEN(INDEX('MiT Strom Pipeline'!$V:$V,$U123))&gt;0,LEFT(INDEX('MiT Strom Pipeline'!$V:$V,$U123),55),""))</f>
        <v/>
      </c>
      <c r="L123" s="19"/>
      <c r="M123" s="19"/>
      <c r="N123" s="19"/>
      <c r="O123" s="19"/>
      <c r="P123" s="19"/>
      <c r="Q123" s="19"/>
      <c r="R123" s="19"/>
      <c r="S123" s="19"/>
      <c r="U123" t="str">
        <f>IFERROR(MATCH(49,'MiT Strom Pipeline'!$AC$6:$AC$860,0)+5,"")</f>
        <v/>
      </c>
    </row>
    <row r="124" spans="1:21" ht="15.75" customHeight="1">
      <c r="A124" s="23" t="str">
        <f>IF($U124="","",IF(ISNUMBER(INDEX('MiT Strom Pipeline'!$A:$A,$U124)),INDEX('MiT Strom Pipeline'!$A:$A,$U124),""))</f>
        <v/>
      </c>
      <c r="B124" s="24" t="str">
        <f>IF($U124="","",IF(INDEX('MiT Strom Pipeline'!$B:$B,$U124)="","",INDEX('MiT Strom Pipeline'!$B:$B,$U124)))</f>
        <v/>
      </c>
      <c r="C124" s="24" t="str">
        <f>IF($U124="","",IF(INDEX('MiT Strom Pipeline'!$C:$C,$U124)="","",INDEX('MiT Strom Pipeline'!$C:$C,$U124)))</f>
        <v/>
      </c>
      <c r="D124" s="24" t="str">
        <f>IF($U124="","",IF(INDEX('MiT Strom Pipeline'!$D:$D,$U124)="","",INDEX('MiT Strom Pipeline'!$D:$D,$U124)))</f>
        <v/>
      </c>
      <c r="E124" s="24" t="str">
        <f>IF($U124="","",IF(INDEX('MiT Strom Pipeline'!$H:$H,$U124)="","",INDEX('MiT Strom Pipeline'!$H:$H,$U124)))</f>
        <v/>
      </c>
      <c r="F124" s="24" t="str">
        <f>IF($U124="","",IF(INDEX('MiT Strom Pipeline'!$E:$E,$U124)="","",INDEX('MiT Strom Pipeline'!$E:$E,$U124)))</f>
        <v/>
      </c>
      <c r="G124" s="25" t="str">
        <f>IF($U124="","",IF(ISNUMBER(INDEX('MiT Strom Pipeline'!$I:$I,$U124)),INDEX('MiT Strom Pipeline'!$I:$I,$U124),0))</f>
        <v/>
      </c>
      <c r="H124" s="25" t="str">
        <f>IF($U124="","",IF(ISNUMBER(INDEX('MiT Strom Pipeline'!$Q:$Q,$U124)),INDEX('MiT Strom Pipeline'!$Q:$Q,$U124),0))</f>
        <v/>
      </c>
      <c r="I124" s="24" t="str">
        <f>IF($U124="","",INDEX('MiT Strom Pipeline'!$R:$R,$U124))</f>
        <v/>
      </c>
      <c r="J124" s="26" t="str">
        <f>IF($U124="","",IF(ISNUMBER(INDEX('MiT Strom Pipeline'!$S:$S,$U124)),INDEX('MiT Strom Pipeline'!$S:$S,$U124),""))</f>
        <v/>
      </c>
      <c r="K124" s="24" t="str">
        <f>IF($U124="","",IF(LEN(INDEX('MiT Strom Pipeline'!$V:$V,$U124))&gt;0,LEFT(INDEX('MiT Strom Pipeline'!$V:$V,$U124),55),""))</f>
        <v/>
      </c>
      <c r="L124" s="19"/>
      <c r="M124" s="19"/>
      <c r="N124" s="19"/>
      <c r="O124" s="19"/>
      <c r="P124" s="19"/>
      <c r="Q124" s="19"/>
      <c r="R124" s="19"/>
      <c r="S124" s="19"/>
      <c r="U124" t="str">
        <f>IFERROR(MATCH(50,'MiT Strom Pipeline'!$AC$6:$AC$860,0)+5,"")</f>
        <v/>
      </c>
    </row>
    <row r="125" spans="1:21" ht="15.75" customHeight="1">
      <c r="A125" s="23" t="str">
        <f>IF($U125="","",IF(ISNUMBER(INDEX('MiT Strom Pipeline'!$A:$A,$U125)),INDEX('MiT Strom Pipeline'!$A:$A,$U125),""))</f>
        <v/>
      </c>
      <c r="B125" s="24" t="str">
        <f>IF($U125="","",IF(INDEX('MiT Strom Pipeline'!$B:$B,$U125)="","",INDEX('MiT Strom Pipeline'!$B:$B,$U125)))</f>
        <v/>
      </c>
      <c r="C125" s="24" t="str">
        <f>IF($U125="","",IF(INDEX('MiT Strom Pipeline'!$C:$C,$U125)="","",INDEX('MiT Strom Pipeline'!$C:$C,$U125)))</f>
        <v/>
      </c>
      <c r="D125" s="24" t="str">
        <f>IF($U125="","",IF(INDEX('MiT Strom Pipeline'!$D:$D,$U125)="","",INDEX('MiT Strom Pipeline'!$D:$D,$U125)))</f>
        <v/>
      </c>
      <c r="E125" s="24" t="str">
        <f>IF($U125="","",IF(INDEX('MiT Strom Pipeline'!$H:$H,$U125)="","",INDEX('MiT Strom Pipeline'!$H:$H,$U125)))</f>
        <v/>
      </c>
      <c r="F125" s="24" t="str">
        <f>IF($U125="","",IF(INDEX('MiT Strom Pipeline'!$E:$E,$U125)="","",INDEX('MiT Strom Pipeline'!$E:$E,$U125)))</f>
        <v/>
      </c>
      <c r="G125" s="25" t="str">
        <f>IF($U125="","",IF(ISNUMBER(INDEX('MiT Strom Pipeline'!$I:$I,$U125)),INDEX('MiT Strom Pipeline'!$I:$I,$U125),0))</f>
        <v/>
      </c>
      <c r="H125" s="25" t="str">
        <f>IF($U125="","",IF(ISNUMBER(INDEX('MiT Strom Pipeline'!$Q:$Q,$U125)),INDEX('MiT Strom Pipeline'!$Q:$Q,$U125),0))</f>
        <v/>
      </c>
      <c r="I125" s="24" t="str">
        <f>IF($U125="","",INDEX('MiT Strom Pipeline'!$R:$R,$U125))</f>
        <v/>
      </c>
      <c r="J125" s="26" t="str">
        <f>IF($U125="","",IF(ISNUMBER(INDEX('MiT Strom Pipeline'!$S:$S,$U125)),INDEX('MiT Strom Pipeline'!$S:$S,$U125),""))</f>
        <v/>
      </c>
      <c r="K125" s="24" t="str">
        <f>IF($U125="","",IF(LEN(INDEX('MiT Strom Pipeline'!$V:$V,$U125))&gt;0,LEFT(INDEX('MiT Strom Pipeline'!$V:$V,$U125),55),""))</f>
        <v/>
      </c>
      <c r="L125" s="19"/>
      <c r="M125" s="19"/>
      <c r="N125" s="19"/>
      <c r="O125" s="19"/>
      <c r="P125" s="19"/>
      <c r="Q125" s="19"/>
      <c r="R125" s="19"/>
      <c r="S125" s="19"/>
      <c r="U125" t="str">
        <f>IFERROR(MATCH(51,'MiT Strom Pipeline'!$AC$6:$AC$860,0)+5,"")</f>
        <v/>
      </c>
    </row>
    <row r="126" spans="1:21" ht="15.75" customHeight="1">
      <c r="A126" s="23" t="str">
        <f>IF($U126="","",IF(ISNUMBER(INDEX('MiT Strom Pipeline'!$A:$A,$U126)),INDEX('MiT Strom Pipeline'!$A:$A,$U126),""))</f>
        <v/>
      </c>
      <c r="B126" s="24" t="str">
        <f>IF($U126="","",IF(INDEX('MiT Strom Pipeline'!$B:$B,$U126)="","",INDEX('MiT Strom Pipeline'!$B:$B,$U126)))</f>
        <v/>
      </c>
      <c r="C126" s="24" t="str">
        <f>IF($U126="","",IF(INDEX('MiT Strom Pipeline'!$C:$C,$U126)="","",INDEX('MiT Strom Pipeline'!$C:$C,$U126)))</f>
        <v/>
      </c>
      <c r="D126" s="24" t="str">
        <f>IF($U126="","",IF(INDEX('MiT Strom Pipeline'!$D:$D,$U126)="","",INDEX('MiT Strom Pipeline'!$D:$D,$U126)))</f>
        <v/>
      </c>
      <c r="E126" s="24" t="str">
        <f>IF($U126="","",IF(INDEX('MiT Strom Pipeline'!$H:$H,$U126)="","",INDEX('MiT Strom Pipeline'!$H:$H,$U126)))</f>
        <v/>
      </c>
      <c r="F126" s="24" t="str">
        <f>IF($U126="","",IF(INDEX('MiT Strom Pipeline'!$E:$E,$U126)="","",INDEX('MiT Strom Pipeline'!$E:$E,$U126)))</f>
        <v/>
      </c>
      <c r="G126" s="25" t="str">
        <f>IF($U126="","",IF(ISNUMBER(INDEX('MiT Strom Pipeline'!$I:$I,$U126)),INDEX('MiT Strom Pipeline'!$I:$I,$U126),0))</f>
        <v/>
      </c>
      <c r="H126" s="25" t="str">
        <f>IF($U126="","",IF(ISNUMBER(INDEX('MiT Strom Pipeline'!$Q:$Q,$U126)),INDEX('MiT Strom Pipeline'!$Q:$Q,$U126),0))</f>
        <v/>
      </c>
      <c r="I126" s="24" t="str">
        <f>IF($U126="","",INDEX('MiT Strom Pipeline'!$R:$R,$U126))</f>
        <v/>
      </c>
      <c r="J126" s="26" t="str">
        <f>IF($U126="","",IF(ISNUMBER(INDEX('MiT Strom Pipeline'!$S:$S,$U126)),INDEX('MiT Strom Pipeline'!$S:$S,$U126),""))</f>
        <v/>
      </c>
      <c r="K126" s="24" t="str">
        <f>IF($U126="","",IF(LEN(INDEX('MiT Strom Pipeline'!$V:$V,$U126))&gt;0,LEFT(INDEX('MiT Strom Pipeline'!$V:$V,$U126),55),""))</f>
        <v/>
      </c>
      <c r="L126" s="19"/>
      <c r="M126" s="19"/>
      <c r="N126" s="19"/>
      <c r="O126" s="19"/>
      <c r="P126" s="19"/>
      <c r="Q126" s="19"/>
      <c r="R126" s="19"/>
      <c r="S126" s="19"/>
      <c r="U126" t="str">
        <f>IFERROR(MATCH(52,'MiT Strom Pipeline'!$AC$6:$AC$860,0)+5,"")</f>
        <v/>
      </c>
    </row>
    <row r="127" spans="1:21" ht="15.75" customHeight="1">
      <c r="A127" s="23" t="str">
        <f>IF($U127="","",IF(ISNUMBER(INDEX('MiT Strom Pipeline'!$A:$A,$U127)),INDEX('MiT Strom Pipeline'!$A:$A,$U127),""))</f>
        <v/>
      </c>
      <c r="B127" s="24" t="str">
        <f>IF($U127="","",IF(INDEX('MiT Strom Pipeline'!$B:$B,$U127)="","",INDEX('MiT Strom Pipeline'!$B:$B,$U127)))</f>
        <v/>
      </c>
      <c r="C127" s="24" t="str">
        <f>IF($U127="","",IF(INDEX('MiT Strom Pipeline'!$C:$C,$U127)="","",INDEX('MiT Strom Pipeline'!$C:$C,$U127)))</f>
        <v/>
      </c>
      <c r="D127" s="24" t="str">
        <f>IF($U127="","",IF(INDEX('MiT Strom Pipeline'!$D:$D,$U127)="","",INDEX('MiT Strom Pipeline'!$D:$D,$U127)))</f>
        <v/>
      </c>
      <c r="E127" s="24" t="str">
        <f>IF($U127="","",IF(INDEX('MiT Strom Pipeline'!$H:$H,$U127)="","",INDEX('MiT Strom Pipeline'!$H:$H,$U127)))</f>
        <v/>
      </c>
      <c r="F127" s="24" t="str">
        <f>IF($U127="","",IF(INDEX('MiT Strom Pipeline'!$E:$E,$U127)="","",INDEX('MiT Strom Pipeline'!$E:$E,$U127)))</f>
        <v/>
      </c>
      <c r="G127" s="25" t="str">
        <f>IF($U127="","",IF(ISNUMBER(INDEX('MiT Strom Pipeline'!$I:$I,$U127)),INDEX('MiT Strom Pipeline'!$I:$I,$U127),0))</f>
        <v/>
      </c>
      <c r="H127" s="25" t="str">
        <f>IF($U127="","",IF(ISNUMBER(INDEX('MiT Strom Pipeline'!$Q:$Q,$U127)),INDEX('MiT Strom Pipeline'!$Q:$Q,$U127),0))</f>
        <v/>
      </c>
      <c r="I127" s="24" t="str">
        <f>IF($U127="","",INDEX('MiT Strom Pipeline'!$R:$R,$U127))</f>
        <v/>
      </c>
      <c r="J127" s="26" t="str">
        <f>IF($U127="","",IF(ISNUMBER(INDEX('MiT Strom Pipeline'!$S:$S,$U127)),INDEX('MiT Strom Pipeline'!$S:$S,$U127),""))</f>
        <v/>
      </c>
      <c r="K127" s="24" t="str">
        <f>IF($U127="","",IF(LEN(INDEX('MiT Strom Pipeline'!$V:$V,$U127))&gt;0,LEFT(INDEX('MiT Strom Pipeline'!$V:$V,$U127),55),""))</f>
        <v/>
      </c>
      <c r="L127" s="19"/>
      <c r="M127" s="19"/>
      <c r="N127" s="19"/>
      <c r="O127" s="19"/>
      <c r="P127" s="19"/>
      <c r="Q127" s="19"/>
      <c r="R127" s="19"/>
      <c r="S127" s="19"/>
      <c r="U127" t="str">
        <f>IFERROR(MATCH(53,'MiT Strom Pipeline'!$AC$6:$AC$860,0)+5,"")</f>
        <v/>
      </c>
    </row>
    <row r="128" spans="1:21" ht="15.75" customHeight="1">
      <c r="A128" s="23" t="str">
        <f>IF($U128="","",IF(ISNUMBER(INDEX('MiT Strom Pipeline'!$A:$A,$U128)),INDEX('MiT Strom Pipeline'!$A:$A,$U128),""))</f>
        <v/>
      </c>
      <c r="B128" s="24" t="str">
        <f>IF($U128="","",IF(INDEX('MiT Strom Pipeline'!$B:$B,$U128)="","",INDEX('MiT Strom Pipeline'!$B:$B,$U128)))</f>
        <v/>
      </c>
      <c r="C128" s="24" t="str">
        <f>IF($U128="","",IF(INDEX('MiT Strom Pipeline'!$C:$C,$U128)="","",INDEX('MiT Strom Pipeline'!$C:$C,$U128)))</f>
        <v/>
      </c>
      <c r="D128" s="24" t="str">
        <f>IF($U128="","",IF(INDEX('MiT Strom Pipeline'!$D:$D,$U128)="","",INDEX('MiT Strom Pipeline'!$D:$D,$U128)))</f>
        <v/>
      </c>
      <c r="E128" s="24" t="str">
        <f>IF($U128="","",IF(INDEX('MiT Strom Pipeline'!$H:$H,$U128)="","",INDEX('MiT Strom Pipeline'!$H:$H,$U128)))</f>
        <v/>
      </c>
      <c r="F128" s="24" t="str">
        <f>IF($U128="","",IF(INDEX('MiT Strom Pipeline'!$E:$E,$U128)="","",INDEX('MiT Strom Pipeline'!$E:$E,$U128)))</f>
        <v/>
      </c>
      <c r="G128" s="25" t="str">
        <f>IF($U128="","",IF(ISNUMBER(INDEX('MiT Strom Pipeline'!$I:$I,$U128)),INDEX('MiT Strom Pipeline'!$I:$I,$U128),0))</f>
        <v/>
      </c>
      <c r="H128" s="25" t="str">
        <f>IF($U128="","",IF(ISNUMBER(INDEX('MiT Strom Pipeline'!$Q:$Q,$U128)),INDEX('MiT Strom Pipeline'!$Q:$Q,$U128),0))</f>
        <v/>
      </c>
      <c r="I128" s="24" t="str">
        <f>IF($U128="","",INDEX('MiT Strom Pipeline'!$R:$R,$U128))</f>
        <v/>
      </c>
      <c r="J128" s="26" t="str">
        <f>IF($U128="","",IF(ISNUMBER(INDEX('MiT Strom Pipeline'!$S:$S,$U128)),INDEX('MiT Strom Pipeline'!$S:$S,$U128),""))</f>
        <v/>
      </c>
      <c r="K128" s="24" t="str">
        <f>IF($U128="","",IF(LEN(INDEX('MiT Strom Pipeline'!$V:$V,$U128))&gt;0,LEFT(INDEX('MiT Strom Pipeline'!$V:$V,$U128),55),""))</f>
        <v/>
      </c>
      <c r="L128" s="19"/>
      <c r="M128" s="19"/>
      <c r="N128" s="19"/>
      <c r="O128" s="19"/>
      <c r="P128" s="19"/>
      <c r="Q128" s="19"/>
      <c r="R128" s="19"/>
      <c r="S128" s="19"/>
      <c r="U128" t="str">
        <f>IFERROR(MATCH(54,'MiT Strom Pipeline'!$AC$6:$AC$860,0)+5,"")</f>
        <v/>
      </c>
    </row>
    <row r="129" spans="1:21" ht="15.75" customHeight="1">
      <c r="A129" s="23" t="str">
        <f>IF($U129="","",IF(ISNUMBER(INDEX('MiT Strom Pipeline'!$A:$A,$U129)),INDEX('MiT Strom Pipeline'!$A:$A,$U129),""))</f>
        <v/>
      </c>
      <c r="B129" s="24" t="str">
        <f>IF($U129="","",IF(INDEX('MiT Strom Pipeline'!$B:$B,$U129)="","",INDEX('MiT Strom Pipeline'!$B:$B,$U129)))</f>
        <v/>
      </c>
      <c r="C129" s="24" t="str">
        <f>IF($U129="","",IF(INDEX('MiT Strom Pipeline'!$C:$C,$U129)="","",INDEX('MiT Strom Pipeline'!$C:$C,$U129)))</f>
        <v/>
      </c>
      <c r="D129" s="24" t="str">
        <f>IF($U129="","",IF(INDEX('MiT Strom Pipeline'!$D:$D,$U129)="","",INDEX('MiT Strom Pipeline'!$D:$D,$U129)))</f>
        <v/>
      </c>
      <c r="E129" s="24" t="str">
        <f>IF($U129="","",IF(INDEX('MiT Strom Pipeline'!$H:$H,$U129)="","",INDEX('MiT Strom Pipeline'!$H:$H,$U129)))</f>
        <v/>
      </c>
      <c r="F129" s="24" t="str">
        <f>IF($U129="","",IF(INDEX('MiT Strom Pipeline'!$E:$E,$U129)="","",INDEX('MiT Strom Pipeline'!$E:$E,$U129)))</f>
        <v/>
      </c>
      <c r="G129" s="25" t="str">
        <f>IF($U129="","",IF(ISNUMBER(INDEX('MiT Strom Pipeline'!$I:$I,$U129)),INDEX('MiT Strom Pipeline'!$I:$I,$U129),0))</f>
        <v/>
      </c>
      <c r="H129" s="25" t="str">
        <f>IF($U129="","",IF(ISNUMBER(INDEX('MiT Strom Pipeline'!$Q:$Q,$U129)),INDEX('MiT Strom Pipeline'!$Q:$Q,$U129),0))</f>
        <v/>
      </c>
      <c r="I129" s="24" t="str">
        <f>IF($U129="","",INDEX('MiT Strom Pipeline'!$R:$R,$U129))</f>
        <v/>
      </c>
      <c r="J129" s="26" t="str">
        <f>IF($U129="","",IF(ISNUMBER(INDEX('MiT Strom Pipeline'!$S:$S,$U129)),INDEX('MiT Strom Pipeline'!$S:$S,$U129),""))</f>
        <v/>
      </c>
      <c r="K129" s="24" t="str">
        <f>IF($U129="","",IF(LEN(INDEX('MiT Strom Pipeline'!$V:$V,$U129))&gt;0,LEFT(INDEX('MiT Strom Pipeline'!$V:$V,$U129),55),""))</f>
        <v/>
      </c>
      <c r="L129" s="19"/>
      <c r="M129" s="19"/>
      <c r="N129" s="19"/>
      <c r="O129" s="19"/>
      <c r="P129" s="19"/>
      <c r="Q129" s="19"/>
      <c r="R129" s="19"/>
      <c r="S129" s="19"/>
      <c r="U129" t="str">
        <f>IFERROR(MATCH(55,'MiT Strom Pipeline'!$AC$6:$AC$860,0)+5,"")</f>
        <v/>
      </c>
    </row>
    <row r="130" spans="1:21" ht="15.75" customHeight="1">
      <c r="A130" s="23" t="str">
        <f>IF($U130="","",IF(ISNUMBER(INDEX('MiT Strom Pipeline'!$A:$A,$U130)),INDEX('MiT Strom Pipeline'!$A:$A,$U130),""))</f>
        <v/>
      </c>
      <c r="B130" s="24" t="str">
        <f>IF($U130="","",IF(INDEX('MiT Strom Pipeline'!$B:$B,$U130)="","",INDEX('MiT Strom Pipeline'!$B:$B,$U130)))</f>
        <v/>
      </c>
      <c r="C130" s="24" t="str">
        <f>IF($U130="","",IF(INDEX('MiT Strom Pipeline'!$C:$C,$U130)="","",INDEX('MiT Strom Pipeline'!$C:$C,$U130)))</f>
        <v/>
      </c>
      <c r="D130" s="24" t="str">
        <f>IF($U130="","",IF(INDEX('MiT Strom Pipeline'!$D:$D,$U130)="","",INDEX('MiT Strom Pipeline'!$D:$D,$U130)))</f>
        <v/>
      </c>
      <c r="E130" s="24" t="str">
        <f>IF($U130="","",IF(INDEX('MiT Strom Pipeline'!$H:$H,$U130)="","",INDEX('MiT Strom Pipeline'!$H:$H,$U130)))</f>
        <v/>
      </c>
      <c r="F130" s="24" t="str">
        <f>IF($U130="","",IF(INDEX('MiT Strom Pipeline'!$E:$E,$U130)="","",INDEX('MiT Strom Pipeline'!$E:$E,$U130)))</f>
        <v/>
      </c>
      <c r="G130" s="25" t="str">
        <f>IF($U130="","",IF(ISNUMBER(INDEX('MiT Strom Pipeline'!$I:$I,$U130)),INDEX('MiT Strom Pipeline'!$I:$I,$U130),0))</f>
        <v/>
      </c>
      <c r="H130" s="25" t="str">
        <f>IF($U130="","",IF(ISNUMBER(INDEX('MiT Strom Pipeline'!$Q:$Q,$U130)),INDEX('MiT Strom Pipeline'!$Q:$Q,$U130),0))</f>
        <v/>
      </c>
      <c r="I130" s="24" t="str">
        <f>IF($U130="","",INDEX('MiT Strom Pipeline'!$R:$R,$U130))</f>
        <v/>
      </c>
      <c r="J130" s="26" t="str">
        <f>IF($U130="","",IF(ISNUMBER(INDEX('MiT Strom Pipeline'!$S:$S,$U130)),INDEX('MiT Strom Pipeline'!$S:$S,$U130),""))</f>
        <v/>
      </c>
      <c r="K130" s="24" t="str">
        <f>IF($U130="","",IF(LEN(INDEX('MiT Strom Pipeline'!$V:$V,$U130))&gt;0,LEFT(INDEX('MiT Strom Pipeline'!$V:$V,$U130),55),""))</f>
        <v/>
      </c>
      <c r="L130" s="19"/>
      <c r="M130" s="19"/>
      <c r="N130" s="19"/>
      <c r="O130" s="19"/>
      <c r="P130" s="19"/>
      <c r="Q130" s="19"/>
      <c r="R130" s="19"/>
      <c r="S130" s="19"/>
      <c r="U130" t="str">
        <f>IFERROR(MATCH(56,'MiT Strom Pipeline'!$AC$6:$AC$860,0)+5,"")</f>
        <v/>
      </c>
    </row>
    <row r="131" spans="1:21" ht="15.75" customHeight="1">
      <c r="A131" s="23" t="str">
        <f>IF($U131="","",IF(ISNUMBER(INDEX('MiT Strom Pipeline'!$A:$A,$U131)),INDEX('MiT Strom Pipeline'!$A:$A,$U131),""))</f>
        <v/>
      </c>
      <c r="B131" s="24" t="str">
        <f>IF($U131="","",IF(INDEX('MiT Strom Pipeline'!$B:$B,$U131)="","",INDEX('MiT Strom Pipeline'!$B:$B,$U131)))</f>
        <v/>
      </c>
      <c r="C131" s="24" t="str">
        <f>IF($U131="","",IF(INDEX('MiT Strom Pipeline'!$C:$C,$U131)="","",INDEX('MiT Strom Pipeline'!$C:$C,$U131)))</f>
        <v/>
      </c>
      <c r="D131" s="24" t="str">
        <f>IF($U131="","",IF(INDEX('MiT Strom Pipeline'!$D:$D,$U131)="","",INDEX('MiT Strom Pipeline'!$D:$D,$U131)))</f>
        <v/>
      </c>
      <c r="E131" s="24" t="str">
        <f>IF($U131="","",IF(INDEX('MiT Strom Pipeline'!$H:$H,$U131)="","",INDEX('MiT Strom Pipeline'!$H:$H,$U131)))</f>
        <v/>
      </c>
      <c r="F131" s="24" t="str">
        <f>IF($U131="","",IF(INDEX('MiT Strom Pipeline'!$E:$E,$U131)="","",INDEX('MiT Strom Pipeline'!$E:$E,$U131)))</f>
        <v/>
      </c>
      <c r="G131" s="25" t="str">
        <f>IF($U131="","",IF(ISNUMBER(INDEX('MiT Strom Pipeline'!$I:$I,$U131)),INDEX('MiT Strom Pipeline'!$I:$I,$U131),0))</f>
        <v/>
      </c>
      <c r="H131" s="25" t="str">
        <f>IF($U131="","",IF(ISNUMBER(INDEX('MiT Strom Pipeline'!$Q:$Q,$U131)),INDEX('MiT Strom Pipeline'!$Q:$Q,$U131),0))</f>
        <v/>
      </c>
      <c r="I131" s="24" t="str">
        <f>IF($U131="","",INDEX('MiT Strom Pipeline'!$R:$R,$U131))</f>
        <v/>
      </c>
      <c r="J131" s="26" t="str">
        <f>IF($U131="","",IF(ISNUMBER(INDEX('MiT Strom Pipeline'!$S:$S,$U131)),INDEX('MiT Strom Pipeline'!$S:$S,$U131),""))</f>
        <v/>
      </c>
      <c r="K131" s="24" t="str">
        <f>IF($U131="","",IF(LEN(INDEX('MiT Strom Pipeline'!$V:$V,$U131))&gt;0,LEFT(INDEX('MiT Strom Pipeline'!$V:$V,$U131),55),""))</f>
        <v/>
      </c>
      <c r="L131" s="19"/>
      <c r="M131" s="19"/>
      <c r="N131" s="19"/>
      <c r="O131" s="19"/>
      <c r="P131" s="19"/>
      <c r="Q131" s="19"/>
      <c r="R131" s="19"/>
      <c r="S131" s="19"/>
      <c r="U131" t="str">
        <f>IFERROR(MATCH(57,'MiT Strom Pipeline'!$AC$6:$AC$860,0)+5,"")</f>
        <v/>
      </c>
    </row>
    <row r="132" spans="1:21" ht="15.75" customHeight="1">
      <c r="A132" s="23" t="str">
        <f>IF($U132="","",IF(ISNUMBER(INDEX('MiT Strom Pipeline'!$A:$A,$U132)),INDEX('MiT Strom Pipeline'!$A:$A,$U132),""))</f>
        <v/>
      </c>
      <c r="B132" s="24" t="str">
        <f>IF($U132="","",IF(INDEX('MiT Strom Pipeline'!$B:$B,$U132)="","",INDEX('MiT Strom Pipeline'!$B:$B,$U132)))</f>
        <v/>
      </c>
      <c r="C132" s="24" t="str">
        <f>IF($U132="","",IF(INDEX('MiT Strom Pipeline'!$C:$C,$U132)="","",INDEX('MiT Strom Pipeline'!$C:$C,$U132)))</f>
        <v/>
      </c>
      <c r="D132" s="24" t="str">
        <f>IF($U132="","",IF(INDEX('MiT Strom Pipeline'!$D:$D,$U132)="","",INDEX('MiT Strom Pipeline'!$D:$D,$U132)))</f>
        <v/>
      </c>
      <c r="E132" s="24" t="str">
        <f>IF($U132="","",IF(INDEX('MiT Strom Pipeline'!$H:$H,$U132)="","",INDEX('MiT Strom Pipeline'!$H:$H,$U132)))</f>
        <v/>
      </c>
      <c r="F132" s="24" t="str">
        <f>IF($U132="","",IF(INDEX('MiT Strom Pipeline'!$E:$E,$U132)="","",INDEX('MiT Strom Pipeline'!$E:$E,$U132)))</f>
        <v/>
      </c>
      <c r="G132" s="25" t="str">
        <f>IF($U132="","",IF(ISNUMBER(INDEX('MiT Strom Pipeline'!$I:$I,$U132)),INDEX('MiT Strom Pipeline'!$I:$I,$U132),0))</f>
        <v/>
      </c>
      <c r="H132" s="25" t="str">
        <f>IF($U132="","",IF(ISNUMBER(INDEX('MiT Strom Pipeline'!$Q:$Q,$U132)),INDEX('MiT Strom Pipeline'!$Q:$Q,$U132),0))</f>
        <v/>
      </c>
      <c r="I132" s="24" t="str">
        <f>IF($U132="","",INDEX('MiT Strom Pipeline'!$R:$R,$U132))</f>
        <v/>
      </c>
      <c r="J132" s="26" t="str">
        <f>IF($U132="","",IF(ISNUMBER(INDEX('MiT Strom Pipeline'!$S:$S,$U132)),INDEX('MiT Strom Pipeline'!$S:$S,$U132),""))</f>
        <v/>
      </c>
      <c r="K132" s="24" t="str">
        <f>IF($U132="","",IF(LEN(INDEX('MiT Strom Pipeline'!$V:$V,$U132))&gt;0,LEFT(INDEX('MiT Strom Pipeline'!$V:$V,$U132),55),""))</f>
        <v/>
      </c>
      <c r="L132" s="19"/>
      <c r="M132" s="19"/>
      <c r="N132" s="19"/>
      <c r="O132" s="19"/>
      <c r="P132" s="19"/>
      <c r="Q132" s="19"/>
      <c r="R132" s="19"/>
      <c r="S132" s="19"/>
      <c r="U132" t="str">
        <f>IFERROR(MATCH(58,'MiT Strom Pipeline'!$AC$6:$AC$860,0)+5,"")</f>
        <v/>
      </c>
    </row>
    <row r="133" spans="1:21" ht="15.75" customHeight="1">
      <c r="A133" s="23" t="str">
        <f>IF($U133="","",IF(ISNUMBER(INDEX('MiT Strom Pipeline'!$A:$A,$U133)),INDEX('MiT Strom Pipeline'!$A:$A,$U133),""))</f>
        <v/>
      </c>
      <c r="B133" s="24" t="str">
        <f>IF($U133="","",IF(INDEX('MiT Strom Pipeline'!$B:$B,$U133)="","",INDEX('MiT Strom Pipeline'!$B:$B,$U133)))</f>
        <v/>
      </c>
      <c r="C133" s="24" t="str">
        <f>IF($U133="","",IF(INDEX('MiT Strom Pipeline'!$C:$C,$U133)="","",INDEX('MiT Strom Pipeline'!$C:$C,$U133)))</f>
        <v/>
      </c>
      <c r="D133" s="24" t="str">
        <f>IF($U133="","",IF(INDEX('MiT Strom Pipeline'!$D:$D,$U133)="","",INDEX('MiT Strom Pipeline'!$D:$D,$U133)))</f>
        <v/>
      </c>
      <c r="E133" s="24" t="str">
        <f>IF($U133="","",IF(INDEX('MiT Strom Pipeline'!$H:$H,$U133)="","",INDEX('MiT Strom Pipeline'!$H:$H,$U133)))</f>
        <v/>
      </c>
      <c r="F133" s="24" t="str">
        <f>IF($U133="","",IF(INDEX('MiT Strom Pipeline'!$E:$E,$U133)="","",INDEX('MiT Strom Pipeline'!$E:$E,$U133)))</f>
        <v/>
      </c>
      <c r="G133" s="25" t="str">
        <f>IF($U133="","",IF(ISNUMBER(INDEX('MiT Strom Pipeline'!$I:$I,$U133)),INDEX('MiT Strom Pipeline'!$I:$I,$U133),0))</f>
        <v/>
      </c>
      <c r="H133" s="25" t="str">
        <f>IF($U133="","",IF(ISNUMBER(INDEX('MiT Strom Pipeline'!$Q:$Q,$U133)),INDEX('MiT Strom Pipeline'!$Q:$Q,$U133),0))</f>
        <v/>
      </c>
      <c r="I133" s="24" t="str">
        <f>IF($U133="","",INDEX('MiT Strom Pipeline'!$R:$R,$U133))</f>
        <v/>
      </c>
      <c r="J133" s="26" t="str">
        <f>IF($U133="","",IF(ISNUMBER(INDEX('MiT Strom Pipeline'!$S:$S,$U133)),INDEX('MiT Strom Pipeline'!$S:$S,$U133),""))</f>
        <v/>
      </c>
      <c r="K133" s="24" t="str">
        <f>IF($U133="","",IF(LEN(INDEX('MiT Strom Pipeline'!$V:$V,$U133))&gt;0,LEFT(INDEX('MiT Strom Pipeline'!$V:$V,$U133),55),""))</f>
        <v/>
      </c>
      <c r="L133" s="19"/>
      <c r="M133" s="19"/>
      <c r="N133" s="19"/>
      <c r="O133" s="19"/>
      <c r="P133" s="19"/>
      <c r="Q133" s="19"/>
      <c r="R133" s="19"/>
      <c r="S133" s="19"/>
      <c r="U133" t="str">
        <f>IFERROR(MATCH(59,'MiT Strom Pipeline'!$AC$6:$AC$860,0)+5,"")</f>
        <v/>
      </c>
    </row>
    <row r="134" spans="1:21" ht="15.75" customHeight="1">
      <c r="A134" s="23" t="str">
        <f>IF($U134="","",IF(ISNUMBER(INDEX('MiT Strom Pipeline'!$A:$A,$U134)),INDEX('MiT Strom Pipeline'!$A:$A,$U134),""))</f>
        <v/>
      </c>
      <c r="B134" s="24" t="str">
        <f>IF($U134="","",IF(INDEX('MiT Strom Pipeline'!$B:$B,$U134)="","",INDEX('MiT Strom Pipeline'!$B:$B,$U134)))</f>
        <v/>
      </c>
      <c r="C134" s="24" t="str">
        <f>IF($U134="","",IF(INDEX('MiT Strom Pipeline'!$C:$C,$U134)="","",INDEX('MiT Strom Pipeline'!$C:$C,$U134)))</f>
        <v/>
      </c>
      <c r="D134" s="24" t="str">
        <f>IF($U134="","",IF(INDEX('MiT Strom Pipeline'!$D:$D,$U134)="","",INDEX('MiT Strom Pipeline'!$D:$D,$U134)))</f>
        <v/>
      </c>
      <c r="E134" s="24" t="str">
        <f>IF($U134="","",IF(INDEX('MiT Strom Pipeline'!$H:$H,$U134)="","",INDEX('MiT Strom Pipeline'!$H:$H,$U134)))</f>
        <v/>
      </c>
      <c r="F134" s="24" t="str">
        <f>IF($U134="","",IF(INDEX('MiT Strom Pipeline'!$E:$E,$U134)="","",INDEX('MiT Strom Pipeline'!$E:$E,$U134)))</f>
        <v/>
      </c>
      <c r="G134" s="25" t="str">
        <f>IF($U134="","",IF(ISNUMBER(INDEX('MiT Strom Pipeline'!$I:$I,$U134)),INDEX('MiT Strom Pipeline'!$I:$I,$U134),0))</f>
        <v/>
      </c>
      <c r="H134" s="25" t="str">
        <f>IF($U134="","",IF(ISNUMBER(INDEX('MiT Strom Pipeline'!$Q:$Q,$U134)),INDEX('MiT Strom Pipeline'!$Q:$Q,$U134),0))</f>
        <v/>
      </c>
      <c r="I134" s="24" t="str">
        <f>IF($U134="","",INDEX('MiT Strom Pipeline'!$R:$R,$U134))</f>
        <v/>
      </c>
      <c r="J134" s="26" t="str">
        <f>IF($U134="","",IF(ISNUMBER(INDEX('MiT Strom Pipeline'!$S:$S,$U134)),INDEX('MiT Strom Pipeline'!$S:$S,$U134),""))</f>
        <v/>
      </c>
      <c r="K134" s="24" t="str">
        <f>IF($U134="","",IF(LEN(INDEX('MiT Strom Pipeline'!$V:$V,$U134))&gt;0,LEFT(INDEX('MiT Strom Pipeline'!$V:$V,$U134),55),""))</f>
        <v/>
      </c>
      <c r="L134" s="19"/>
      <c r="M134" s="19"/>
      <c r="N134" s="19"/>
      <c r="O134" s="19"/>
      <c r="P134" s="19"/>
      <c r="Q134" s="19"/>
      <c r="R134" s="19"/>
      <c r="S134" s="19"/>
      <c r="U134" t="str">
        <f>IFERROR(MATCH(60,'MiT Strom Pipeline'!$AC$6:$AC$860,0)+5,"")</f>
        <v/>
      </c>
    </row>
    <row r="135" spans="1:21" ht="21.75" customHeight="1">
      <c r="A135" s="23" t="str">
        <f>IF($U135="","",IF(ISNUMBER(INDEX('MiT Strom Pipeline'!$A:$A,$U135)),INDEX('MiT Strom Pipeline'!$A:$A,$U135),""))</f>
        <v/>
      </c>
      <c r="B135" s="24" t="str">
        <f>IF($U135="","",IF(INDEX('MiT Strom Pipeline'!$B:$B,$U135)="","",INDEX('MiT Strom Pipeline'!$B:$B,$U135)))</f>
        <v/>
      </c>
      <c r="C135" s="24" t="str">
        <f>IF($U135="","",IF(INDEX('MiT Strom Pipeline'!$C:$C,$U135)="","",INDEX('MiT Strom Pipeline'!$C:$C,$U135)))</f>
        <v/>
      </c>
      <c r="D135" s="24" t="str">
        <f>IF($U135="","",IF(INDEX('MiT Strom Pipeline'!$D:$D,$U135)="","",INDEX('MiT Strom Pipeline'!$D:$D,$U135)))</f>
        <v/>
      </c>
      <c r="E135" s="24" t="str">
        <f>IF($U135="","",IF(INDEX('MiT Strom Pipeline'!$H:$H,$U135)="","",INDEX('MiT Strom Pipeline'!$H:$H,$U135)))</f>
        <v/>
      </c>
      <c r="F135" s="24" t="str">
        <f>IF($U135="","",IF(INDEX('MiT Strom Pipeline'!$E:$E,$U135)="","",INDEX('MiT Strom Pipeline'!$E:$E,$U135)))</f>
        <v/>
      </c>
      <c r="G135" s="25" t="str">
        <f>IF($U135="","",IF(ISNUMBER(INDEX('MiT Strom Pipeline'!$I:$I,$U135)),INDEX('MiT Strom Pipeline'!$I:$I,$U135),0))</f>
        <v/>
      </c>
      <c r="H135" s="25" t="str">
        <f>IF($U135="","",IF(ISNUMBER(INDEX('MiT Strom Pipeline'!$Q:$Q,$U135)),INDEX('MiT Strom Pipeline'!$Q:$Q,$U135),0))</f>
        <v/>
      </c>
      <c r="I135" s="24" t="str">
        <f>IF($U135="","",INDEX('MiT Strom Pipeline'!$R:$R,$U135))</f>
        <v/>
      </c>
      <c r="J135" s="26" t="str">
        <f>IF($U135="","",IF(ISNUMBER(INDEX('MiT Strom Pipeline'!$S:$S,$U135)),INDEX('MiT Strom Pipeline'!$S:$S,$U135),""))</f>
        <v/>
      </c>
      <c r="K135" s="24" t="str">
        <f>IF($U135="","",IF(LEN(INDEX('MiT Strom Pipeline'!$V:$V,$U135))&gt;0,LEFT(INDEX('MiT Strom Pipeline'!$V:$V,$U135),55),""))</f>
        <v/>
      </c>
      <c r="L135" s="19"/>
      <c r="M135" s="19"/>
      <c r="N135" s="19"/>
      <c r="O135" s="19"/>
      <c r="P135" s="19"/>
      <c r="Q135" s="19"/>
      <c r="R135" s="19"/>
      <c r="S135" s="19"/>
      <c r="U135" t="str">
        <f>IFERROR(MATCH(61,'MiT Strom Pipeline'!$AC$6:$AC$860,0)+5,"")</f>
        <v/>
      </c>
    </row>
    <row r="136" spans="1:21" ht="18.75" customHeight="1">
      <c r="A136" s="23" t="str">
        <f>IF($U136="","",IF(ISNUMBER(INDEX('MiT Strom Pipeline'!$A:$A,$U136)),INDEX('MiT Strom Pipeline'!$A:$A,$U136),""))</f>
        <v/>
      </c>
      <c r="B136" s="24" t="str">
        <f>IF($U136="","",IF(INDEX('MiT Strom Pipeline'!$B:$B,$U136)="","",INDEX('MiT Strom Pipeline'!$B:$B,$U136)))</f>
        <v/>
      </c>
      <c r="C136" s="24" t="str">
        <f>IF($U136="","",IF(INDEX('MiT Strom Pipeline'!$C:$C,$U136)="","",INDEX('MiT Strom Pipeline'!$C:$C,$U136)))</f>
        <v/>
      </c>
      <c r="D136" s="24" t="str">
        <f>IF($U136="","",IF(INDEX('MiT Strom Pipeline'!$D:$D,$U136)="","",INDEX('MiT Strom Pipeline'!$D:$D,$U136)))</f>
        <v/>
      </c>
      <c r="E136" s="24" t="str">
        <f>IF($U136="","",IF(INDEX('MiT Strom Pipeline'!$H:$H,$U136)="","",INDEX('MiT Strom Pipeline'!$H:$H,$U136)))</f>
        <v/>
      </c>
      <c r="F136" s="24" t="str">
        <f>IF($U136="","",IF(INDEX('MiT Strom Pipeline'!$E:$E,$U136)="","",INDEX('MiT Strom Pipeline'!$E:$E,$U136)))</f>
        <v/>
      </c>
      <c r="G136" s="25" t="str">
        <f>IF($U136="","",IF(ISNUMBER(INDEX('MiT Strom Pipeline'!$I:$I,$U136)),INDEX('MiT Strom Pipeline'!$I:$I,$U136),0))</f>
        <v/>
      </c>
      <c r="H136" s="25" t="str">
        <f>IF($U136="","",IF(ISNUMBER(INDEX('MiT Strom Pipeline'!$Q:$Q,$U136)),INDEX('MiT Strom Pipeline'!$Q:$Q,$U136),0))</f>
        <v/>
      </c>
      <c r="I136" s="24" t="str">
        <f>IF($U136="","",INDEX('MiT Strom Pipeline'!$R:$R,$U136))</f>
        <v/>
      </c>
      <c r="J136" s="26" t="str">
        <f>IF($U136="","",IF(ISNUMBER(INDEX('MiT Strom Pipeline'!$S:$S,$U136)),INDEX('MiT Strom Pipeline'!$S:$S,$U136),""))</f>
        <v/>
      </c>
      <c r="K136" s="24" t="str">
        <f>IF($U136="","",IF(LEN(INDEX('MiT Strom Pipeline'!$V:$V,$U136))&gt;0,LEFT(INDEX('MiT Strom Pipeline'!$V:$V,$U136),55),""))</f>
        <v/>
      </c>
      <c r="L136" s="19"/>
      <c r="M136" s="19"/>
      <c r="N136" s="19"/>
      <c r="O136" s="19"/>
      <c r="P136" s="19"/>
      <c r="Q136" s="19"/>
      <c r="R136" s="19"/>
      <c r="S136" s="19"/>
      <c r="U136" t="str">
        <f>IFERROR(MATCH(62,'MiT Strom Pipeline'!$AC$6:$AC$860,0)+5,"")</f>
        <v/>
      </c>
    </row>
    <row r="137" spans="1:21" ht="24" customHeight="1">
      <c r="A137" s="99" t="s">
        <v>84</v>
      </c>
      <c r="B137" s="150"/>
      <c r="C137" s="150"/>
      <c r="D137" s="150"/>
      <c r="E137" s="150"/>
      <c r="F137" s="150"/>
      <c r="G137" s="150"/>
      <c r="H137" s="150"/>
      <c r="I137" s="150"/>
      <c r="J137" s="150"/>
      <c r="K137" s="151"/>
      <c r="L137" s="19"/>
      <c r="M137" s="19"/>
      <c r="N137" s="19"/>
      <c r="O137" s="19"/>
      <c r="P137" s="19"/>
      <c r="Q137" s="19"/>
      <c r="R137" s="19"/>
      <c r="S137" s="19"/>
    </row>
    <row r="138" spans="1:21" ht="19.5" customHeight="1">
      <c r="A138" s="22" t="s">
        <v>6</v>
      </c>
      <c r="B138" s="22" t="s">
        <v>78</v>
      </c>
      <c r="C138" s="22" t="s">
        <v>8</v>
      </c>
      <c r="D138" s="22" t="s">
        <v>10</v>
      </c>
      <c r="E138" s="22" t="s">
        <v>9</v>
      </c>
      <c r="F138" s="22" t="s">
        <v>79</v>
      </c>
      <c r="G138" s="22" t="s">
        <v>16</v>
      </c>
      <c r="H138" s="22" t="s">
        <v>80</v>
      </c>
      <c r="I138" s="22" t="s">
        <v>14</v>
      </c>
      <c r="J138" s="22" t="s">
        <v>81</v>
      </c>
      <c r="K138" s="22" t="s">
        <v>82</v>
      </c>
      <c r="L138" s="19"/>
      <c r="M138" s="19"/>
      <c r="N138" s="19"/>
      <c r="O138" s="19"/>
      <c r="P138" s="19"/>
      <c r="Q138" s="19"/>
      <c r="R138" s="19"/>
      <c r="S138" s="19"/>
    </row>
    <row r="139" spans="1:21" ht="15.75" customHeight="1">
      <c r="A139" s="23">
        <f>IF($U139="","",IF(ISNUMBER(INDEX('MiT Strom Pipeline'!$A:$A,$U139)),INDEX('MiT Strom Pipeline'!$A:$A,$U139),""))</f>
        <v>32</v>
      </c>
      <c r="B139" s="24" t="str">
        <f>IF($U139="","",IF(INDEX('MiT Strom Pipeline'!$B:$B,$U139)="","",INDEX('MiT Strom Pipeline'!$B:$B,$U139)))</f>
        <v>WSP</v>
      </c>
      <c r="C139" s="24" t="str">
        <f>IF($U139="","",IF(INDEX('MiT Strom Pipeline'!$C:$C,$U139)="","",INDEX('MiT Strom Pipeline'!$C:$C,$U139)))</f>
        <v>VD</v>
      </c>
      <c r="D139" s="24" t="str">
        <f>IF($U139="","",IF(INDEX('MiT Strom Pipeline'!$D:$D,$U139)="","",INDEX('MiT Strom Pipeline'!$D:$D,$U139)))</f>
        <v>Industrie</v>
      </c>
      <c r="E139" s="24" t="str">
        <f>IF($U139="","",IF(INDEX('MiT Strom Pipeline'!$H:$H,$U139)="","",INDEX('MiT Strom Pipeline'!$H:$H,$U139)))</f>
        <v>tbd</v>
      </c>
      <c r="F139" s="24" t="str">
        <f>IF($U139="","",IF(INDEX('MiT Strom Pipeline'!$E:$E,$U139)="","",INDEX('MiT Strom Pipeline'!$E:$E,$U139)))</f>
        <v>tbd</v>
      </c>
      <c r="G139" s="25">
        <f>IF($U139="","",IF(ISNUMBER(INDEX('MiT Strom Pipeline'!$I:$I,$U139)),INDEX('MiT Strom Pipeline'!$I:$I,$U139),0))</f>
        <v>0</v>
      </c>
      <c r="H139" s="25">
        <f>IF($U139="","",IF(ISNUMBER(INDEX('MiT Strom Pipeline'!$Q:$Q,$U139)),INDEX('MiT Strom Pipeline'!$Q:$Q,$U139),0))</f>
        <v>0</v>
      </c>
      <c r="I139" s="24" t="str">
        <f>IF($U139="","",INDEX('MiT Strom Pipeline'!$R:$R,$U139))</f>
        <v>tbd</v>
      </c>
      <c r="J139" s="26">
        <f>IF($U139="","",IF(ISNUMBER(INDEX('MiT Strom Pipeline'!$S:$S,$U139)),INDEX('MiT Strom Pipeline'!$S:$S,$U139),""))</f>
        <v>0</v>
      </c>
      <c r="K139" s="24" t="str">
        <f>IF($U139="","",IF(LEN(INDEX('MiT Strom Pipeline'!$V:$V,$U139))&gt;0,LEFT(INDEX('MiT Strom Pipeline'!$V:$V,$U139),55),""))</f>
        <v>Kunde angeschrieben, Telefoniert noch kein bedarf</v>
      </c>
      <c r="L139" s="19"/>
      <c r="M139" s="19"/>
      <c r="N139" s="19"/>
      <c r="O139" s="19"/>
      <c r="P139" s="19"/>
      <c r="Q139" s="19"/>
      <c r="R139" s="19"/>
      <c r="S139" s="19"/>
      <c r="U139">
        <f>IFERROR(MATCH(1,'MiT Strom Pipeline'!$AD$6:$AD$860,0)+5,"")</f>
        <v>51</v>
      </c>
    </row>
    <row r="140" spans="1:21" ht="15.75" customHeight="1">
      <c r="A140" s="23" t="str">
        <f>IF($U140="","",IF(ISNUMBER(INDEX('MiT Strom Pipeline'!$A:$A,$U140)),INDEX('MiT Strom Pipeline'!$A:$A,$U140),""))</f>
        <v/>
      </c>
      <c r="B140" s="24" t="str">
        <f>IF($U140="","",IF(INDEX('MiT Strom Pipeline'!$B:$B,$U140)="","",INDEX('MiT Strom Pipeline'!$B:$B,$U140)))</f>
        <v/>
      </c>
      <c r="C140" s="24" t="str">
        <f>IF($U140="","",IF(INDEX('MiT Strom Pipeline'!$C:$C,$U140)="","",INDEX('MiT Strom Pipeline'!$C:$C,$U140)))</f>
        <v/>
      </c>
      <c r="D140" s="24" t="str">
        <f>IF($U140="","",IF(INDEX('MiT Strom Pipeline'!$D:$D,$U140)="","",INDEX('MiT Strom Pipeline'!$D:$D,$U140)))</f>
        <v/>
      </c>
      <c r="E140" s="24" t="str">
        <f>IF($U140="","",IF(INDEX('MiT Strom Pipeline'!$H:$H,$U140)="","",INDEX('MiT Strom Pipeline'!$H:$H,$U140)))</f>
        <v/>
      </c>
      <c r="F140" s="24" t="str">
        <f>IF($U140="","",IF(INDEX('MiT Strom Pipeline'!$E:$E,$U140)="","",INDEX('MiT Strom Pipeline'!$E:$E,$U140)))</f>
        <v/>
      </c>
      <c r="G140" s="25" t="str">
        <f>IF($U140="","",IF(ISNUMBER(INDEX('MiT Strom Pipeline'!$I:$I,$U140)),INDEX('MiT Strom Pipeline'!$I:$I,$U140),0))</f>
        <v/>
      </c>
      <c r="H140" s="25" t="str">
        <f>IF($U140="","",IF(ISNUMBER(INDEX('MiT Strom Pipeline'!$Q:$Q,$U140)),INDEX('MiT Strom Pipeline'!$Q:$Q,$U140),0))</f>
        <v/>
      </c>
      <c r="I140" s="24" t="str">
        <f>IF($U140="","",INDEX('MiT Strom Pipeline'!$R:$R,$U140))</f>
        <v/>
      </c>
      <c r="J140" s="26" t="str">
        <f>IF($U140="","",IF(ISNUMBER(INDEX('MiT Strom Pipeline'!$S:$S,$U140)),INDEX('MiT Strom Pipeline'!$S:$S,$U140),""))</f>
        <v/>
      </c>
      <c r="K140" s="24" t="str">
        <f>IF($U140="","",IF(LEN(INDEX('MiT Strom Pipeline'!$V:$V,$U140))&gt;0,LEFT(INDEX('MiT Strom Pipeline'!$V:$V,$U140),55),""))</f>
        <v/>
      </c>
      <c r="L140" s="19"/>
      <c r="M140" s="19"/>
      <c r="N140" s="19"/>
      <c r="O140" s="19"/>
      <c r="P140" s="19"/>
      <c r="Q140" s="19"/>
      <c r="R140" s="19"/>
      <c r="S140" s="19"/>
      <c r="U140" t="str">
        <f>IFERROR(MATCH(2,'MiT Strom Pipeline'!$AD$6:$AD$860,0)+5,"")</f>
        <v/>
      </c>
    </row>
    <row r="141" spans="1:21" ht="15.75" customHeight="1">
      <c r="A141" s="23" t="str">
        <f>IF($U141="","",IF(ISNUMBER(INDEX('MiT Strom Pipeline'!$A:$A,$U141)),INDEX('MiT Strom Pipeline'!$A:$A,$U141),""))</f>
        <v/>
      </c>
      <c r="B141" s="24" t="str">
        <f>IF($U141="","",IF(INDEX('MiT Strom Pipeline'!$B:$B,$U141)="","",INDEX('MiT Strom Pipeline'!$B:$B,$U141)))</f>
        <v/>
      </c>
      <c r="C141" s="24" t="str">
        <f>IF($U141="","",IF(INDEX('MiT Strom Pipeline'!$C:$C,$U141)="","",INDEX('MiT Strom Pipeline'!$C:$C,$U141)))</f>
        <v/>
      </c>
      <c r="D141" s="24" t="str">
        <f>IF($U141="","",IF(INDEX('MiT Strom Pipeline'!$D:$D,$U141)="","",INDEX('MiT Strom Pipeline'!$D:$D,$U141)))</f>
        <v/>
      </c>
      <c r="E141" s="24" t="str">
        <f>IF($U141="","",IF(INDEX('MiT Strom Pipeline'!$H:$H,$U141)="","",INDEX('MiT Strom Pipeline'!$H:$H,$U141)))</f>
        <v/>
      </c>
      <c r="F141" s="24" t="str">
        <f>IF($U141="","",IF(INDEX('MiT Strom Pipeline'!$E:$E,$U141)="","",INDEX('MiT Strom Pipeline'!$E:$E,$U141)))</f>
        <v/>
      </c>
      <c r="G141" s="25" t="str">
        <f>IF($U141="","",IF(ISNUMBER(INDEX('MiT Strom Pipeline'!$I:$I,$U141)),INDEX('MiT Strom Pipeline'!$I:$I,$U141),0))</f>
        <v/>
      </c>
      <c r="H141" s="25" t="str">
        <f>IF($U141="","",IF(ISNUMBER(INDEX('MiT Strom Pipeline'!$Q:$Q,$U141)),INDEX('MiT Strom Pipeline'!$Q:$Q,$U141),0))</f>
        <v/>
      </c>
      <c r="I141" s="24" t="str">
        <f>IF($U141="","",INDEX('MiT Strom Pipeline'!$R:$R,$U141))</f>
        <v/>
      </c>
      <c r="J141" s="26" t="str">
        <f>IF($U141="","",IF(ISNUMBER(INDEX('MiT Strom Pipeline'!$S:$S,$U141)),INDEX('MiT Strom Pipeline'!$S:$S,$U141),""))</f>
        <v/>
      </c>
      <c r="K141" s="24" t="str">
        <f>IF($U141="","",IF(LEN(INDEX('MiT Strom Pipeline'!$V:$V,$U141))&gt;0,LEFT(INDEX('MiT Strom Pipeline'!$V:$V,$U141),55),""))</f>
        <v/>
      </c>
      <c r="L141" s="19"/>
      <c r="M141" s="19"/>
      <c r="N141" s="19"/>
      <c r="O141" s="19"/>
      <c r="P141" s="19"/>
      <c r="Q141" s="19"/>
      <c r="R141" s="19"/>
      <c r="S141" s="19"/>
      <c r="U141" t="str">
        <f>IFERROR(MATCH(3,'MiT Strom Pipeline'!$AD$6:$AD$860,0)+5,"")</f>
        <v/>
      </c>
    </row>
    <row r="142" spans="1:21" ht="15.75" customHeight="1">
      <c r="A142" s="23" t="str">
        <f>IF($U142="","",IF(ISNUMBER(INDEX('MiT Strom Pipeline'!$A:$A,$U142)),INDEX('MiT Strom Pipeline'!$A:$A,$U142),""))</f>
        <v/>
      </c>
      <c r="B142" s="24" t="str">
        <f>IF($U142="","",IF(INDEX('MiT Strom Pipeline'!$B:$B,$U142)="","",INDEX('MiT Strom Pipeline'!$B:$B,$U142)))</f>
        <v/>
      </c>
      <c r="C142" s="24" t="str">
        <f>IF($U142="","",IF(INDEX('MiT Strom Pipeline'!$C:$C,$U142)="","",INDEX('MiT Strom Pipeline'!$C:$C,$U142)))</f>
        <v/>
      </c>
      <c r="D142" s="24" t="str">
        <f>IF($U142="","",IF(INDEX('MiT Strom Pipeline'!$D:$D,$U142)="","",INDEX('MiT Strom Pipeline'!$D:$D,$U142)))</f>
        <v/>
      </c>
      <c r="E142" s="24" t="str">
        <f>IF($U142="","",IF(INDEX('MiT Strom Pipeline'!$H:$H,$U142)="","",INDEX('MiT Strom Pipeline'!$H:$H,$U142)))</f>
        <v/>
      </c>
      <c r="F142" s="24" t="str">
        <f>IF($U142="","",IF(INDEX('MiT Strom Pipeline'!$E:$E,$U142)="","",INDEX('MiT Strom Pipeline'!$E:$E,$U142)))</f>
        <v/>
      </c>
      <c r="G142" s="25" t="str">
        <f>IF($U142="","",IF(ISNUMBER(INDEX('MiT Strom Pipeline'!$I:$I,$U142)),INDEX('MiT Strom Pipeline'!$I:$I,$U142),0))</f>
        <v/>
      </c>
      <c r="H142" s="25" t="str">
        <f>IF($U142="","",IF(ISNUMBER(INDEX('MiT Strom Pipeline'!$Q:$Q,$U142)),INDEX('MiT Strom Pipeline'!$Q:$Q,$U142),0))</f>
        <v/>
      </c>
      <c r="I142" s="24" t="str">
        <f>IF($U142="","",INDEX('MiT Strom Pipeline'!$R:$R,$U142))</f>
        <v/>
      </c>
      <c r="J142" s="26" t="str">
        <f>IF($U142="","",IF(ISNUMBER(INDEX('MiT Strom Pipeline'!$S:$S,$U142)),INDEX('MiT Strom Pipeline'!$S:$S,$U142),""))</f>
        <v/>
      </c>
      <c r="K142" s="24" t="str">
        <f>IF($U142="","",IF(LEN(INDEX('MiT Strom Pipeline'!$V:$V,$U142))&gt;0,LEFT(INDEX('MiT Strom Pipeline'!$V:$V,$U142),55),""))</f>
        <v/>
      </c>
      <c r="L142" s="19"/>
      <c r="M142" s="19"/>
      <c r="N142" s="19"/>
      <c r="O142" s="19"/>
      <c r="P142" s="19"/>
      <c r="Q142" s="19"/>
      <c r="R142" s="19"/>
      <c r="S142" s="19"/>
      <c r="U142" t="str">
        <f>IFERROR(MATCH(4,'MiT Strom Pipeline'!$AD$6:$AD$860,0)+5,"")</f>
        <v/>
      </c>
    </row>
    <row r="143" spans="1:21" ht="15.75" customHeight="1">
      <c r="A143" s="23" t="str">
        <f>IF($U143="","",IF(ISNUMBER(INDEX('MiT Strom Pipeline'!$A:$A,$U143)),INDEX('MiT Strom Pipeline'!$A:$A,$U143),""))</f>
        <v/>
      </c>
      <c r="B143" s="24" t="str">
        <f>IF($U143="","",IF(INDEX('MiT Strom Pipeline'!$B:$B,$U143)="","",INDEX('MiT Strom Pipeline'!$B:$B,$U143)))</f>
        <v/>
      </c>
      <c r="C143" s="24" t="str">
        <f>IF($U143="","",IF(INDEX('MiT Strom Pipeline'!$C:$C,$U143)="","",INDEX('MiT Strom Pipeline'!$C:$C,$U143)))</f>
        <v/>
      </c>
      <c r="D143" s="24" t="str">
        <f>IF($U143="","",IF(INDEX('MiT Strom Pipeline'!$D:$D,$U143)="","",INDEX('MiT Strom Pipeline'!$D:$D,$U143)))</f>
        <v/>
      </c>
      <c r="E143" s="24" t="str">
        <f>IF($U143="","",IF(INDEX('MiT Strom Pipeline'!$H:$H,$U143)="","",INDEX('MiT Strom Pipeline'!$H:$H,$U143)))</f>
        <v/>
      </c>
      <c r="F143" s="24" t="str">
        <f>IF($U143="","",IF(INDEX('MiT Strom Pipeline'!$E:$E,$U143)="","",INDEX('MiT Strom Pipeline'!$E:$E,$U143)))</f>
        <v/>
      </c>
      <c r="G143" s="25" t="str">
        <f>IF($U143="","",IF(ISNUMBER(INDEX('MiT Strom Pipeline'!$I:$I,$U143)),INDEX('MiT Strom Pipeline'!$I:$I,$U143),0))</f>
        <v/>
      </c>
      <c r="H143" s="25" t="str">
        <f>IF($U143="","",IF(ISNUMBER(INDEX('MiT Strom Pipeline'!$Q:$Q,$U143)),INDEX('MiT Strom Pipeline'!$Q:$Q,$U143),0))</f>
        <v/>
      </c>
      <c r="I143" s="24" t="str">
        <f>IF($U143="","",INDEX('MiT Strom Pipeline'!$R:$R,$U143))</f>
        <v/>
      </c>
      <c r="J143" s="26" t="str">
        <f>IF($U143="","",IF(ISNUMBER(INDEX('MiT Strom Pipeline'!$S:$S,$U143)),INDEX('MiT Strom Pipeline'!$S:$S,$U143),""))</f>
        <v/>
      </c>
      <c r="K143" s="24" t="str">
        <f>IF($U143="","",IF(LEN(INDEX('MiT Strom Pipeline'!$V:$V,$U143))&gt;0,LEFT(INDEX('MiT Strom Pipeline'!$V:$V,$U143),55),""))</f>
        <v/>
      </c>
      <c r="L143" s="19"/>
      <c r="M143" s="19"/>
      <c r="N143" s="19"/>
      <c r="O143" s="19"/>
      <c r="P143" s="19"/>
      <c r="Q143" s="19"/>
      <c r="R143" s="19"/>
      <c r="S143" s="19"/>
      <c r="U143" t="str">
        <f>IFERROR(MATCH(5,'MiT Strom Pipeline'!$AD$6:$AD$860,0)+5,"")</f>
        <v/>
      </c>
    </row>
    <row r="144" spans="1:21" ht="15.75" customHeight="1">
      <c r="A144" s="23" t="str">
        <f>IF($U144="","",IF(ISNUMBER(INDEX('MiT Strom Pipeline'!$A:$A,$U144)),INDEX('MiT Strom Pipeline'!$A:$A,$U144),""))</f>
        <v/>
      </c>
      <c r="B144" s="24" t="str">
        <f>IF($U144="","",IF(INDEX('MiT Strom Pipeline'!$B:$B,$U144)="","",INDEX('MiT Strom Pipeline'!$B:$B,$U144)))</f>
        <v/>
      </c>
      <c r="C144" s="24" t="str">
        <f>IF($U144="","",IF(INDEX('MiT Strom Pipeline'!$C:$C,$U144)="","",INDEX('MiT Strom Pipeline'!$C:$C,$U144)))</f>
        <v/>
      </c>
      <c r="D144" s="24" t="str">
        <f>IF($U144="","",IF(INDEX('MiT Strom Pipeline'!$D:$D,$U144)="","",INDEX('MiT Strom Pipeline'!$D:$D,$U144)))</f>
        <v/>
      </c>
      <c r="E144" s="24" t="str">
        <f>IF($U144="","",IF(INDEX('MiT Strom Pipeline'!$H:$H,$U144)="","",INDEX('MiT Strom Pipeline'!$H:$H,$U144)))</f>
        <v/>
      </c>
      <c r="F144" s="24" t="str">
        <f>IF($U144="","",IF(INDEX('MiT Strom Pipeline'!$E:$E,$U144)="","",INDEX('MiT Strom Pipeline'!$E:$E,$U144)))</f>
        <v/>
      </c>
      <c r="G144" s="25" t="str">
        <f>IF($U144="","",IF(ISNUMBER(INDEX('MiT Strom Pipeline'!$I:$I,$U144)),INDEX('MiT Strom Pipeline'!$I:$I,$U144),0))</f>
        <v/>
      </c>
      <c r="H144" s="25" t="str">
        <f>IF($U144="","",IF(ISNUMBER(INDEX('MiT Strom Pipeline'!$Q:$Q,$U144)),INDEX('MiT Strom Pipeline'!$Q:$Q,$U144),0))</f>
        <v/>
      </c>
      <c r="I144" s="24" t="str">
        <f>IF($U144="","",INDEX('MiT Strom Pipeline'!$R:$R,$U144))</f>
        <v/>
      </c>
      <c r="J144" s="26" t="str">
        <f>IF($U144="","",IF(ISNUMBER(INDEX('MiT Strom Pipeline'!$S:$S,$U144)),INDEX('MiT Strom Pipeline'!$S:$S,$U144),""))</f>
        <v/>
      </c>
      <c r="K144" s="24" t="str">
        <f>IF($U144="","",IF(LEN(INDEX('MiT Strom Pipeline'!$V:$V,$U144))&gt;0,LEFT(INDEX('MiT Strom Pipeline'!$V:$V,$U144),55),""))</f>
        <v/>
      </c>
      <c r="L144" s="19"/>
      <c r="M144" s="19"/>
      <c r="N144" s="19"/>
      <c r="O144" s="19"/>
      <c r="P144" s="19"/>
      <c r="Q144" s="19"/>
      <c r="R144" s="19"/>
      <c r="S144" s="19"/>
      <c r="U144" t="str">
        <f>IFERROR(MATCH(6,'MiT Strom Pipeline'!$AD$6:$AD$860,0)+5,"")</f>
        <v/>
      </c>
    </row>
    <row r="145" spans="1:21" ht="15.75" customHeight="1">
      <c r="A145" s="23" t="str">
        <f>IF($U145="","",IF(ISNUMBER(INDEX('MiT Strom Pipeline'!$A:$A,$U145)),INDEX('MiT Strom Pipeline'!$A:$A,$U145),""))</f>
        <v/>
      </c>
      <c r="B145" s="24" t="str">
        <f>IF($U145="","",IF(INDEX('MiT Strom Pipeline'!$B:$B,$U145)="","",INDEX('MiT Strom Pipeline'!$B:$B,$U145)))</f>
        <v/>
      </c>
      <c r="C145" s="24" t="str">
        <f>IF($U145="","",IF(INDEX('MiT Strom Pipeline'!$C:$C,$U145)="","",INDEX('MiT Strom Pipeline'!$C:$C,$U145)))</f>
        <v/>
      </c>
      <c r="D145" s="24" t="str">
        <f>IF($U145="","",IF(INDEX('MiT Strom Pipeline'!$D:$D,$U145)="","",INDEX('MiT Strom Pipeline'!$D:$D,$U145)))</f>
        <v/>
      </c>
      <c r="E145" s="24" t="str">
        <f>IF($U145="","",IF(INDEX('MiT Strom Pipeline'!$H:$H,$U145)="","",INDEX('MiT Strom Pipeline'!$H:$H,$U145)))</f>
        <v/>
      </c>
      <c r="F145" s="24" t="str">
        <f>IF($U145="","",IF(INDEX('MiT Strom Pipeline'!$E:$E,$U145)="","",INDEX('MiT Strom Pipeline'!$E:$E,$U145)))</f>
        <v/>
      </c>
      <c r="G145" s="25" t="str">
        <f>IF($U145="","",IF(ISNUMBER(INDEX('MiT Strom Pipeline'!$I:$I,$U145)),INDEX('MiT Strom Pipeline'!$I:$I,$U145),0))</f>
        <v/>
      </c>
      <c r="H145" s="25" t="str">
        <f>IF($U145="","",IF(ISNUMBER(INDEX('MiT Strom Pipeline'!$Q:$Q,$U145)),INDEX('MiT Strom Pipeline'!$Q:$Q,$U145),0))</f>
        <v/>
      </c>
      <c r="I145" s="24" t="str">
        <f>IF($U145="","",INDEX('MiT Strom Pipeline'!$R:$R,$U145))</f>
        <v/>
      </c>
      <c r="J145" s="26" t="str">
        <f>IF($U145="","",IF(ISNUMBER(INDEX('MiT Strom Pipeline'!$S:$S,$U145)),INDEX('MiT Strom Pipeline'!$S:$S,$U145),""))</f>
        <v/>
      </c>
      <c r="K145" s="24" t="str">
        <f>IF($U145="","",IF(LEN(INDEX('MiT Strom Pipeline'!$V:$V,$U145))&gt;0,LEFT(INDEX('MiT Strom Pipeline'!$V:$V,$U145),55),""))</f>
        <v/>
      </c>
      <c r="L145" s="19"/>
      <c r="M145" s="19"/>
      <c r="N145" s="19"/>
      <c r="O145" s="19"/>
      <c r="P145" s="19"/>
      <c r="Q145" s="19"/>
      <c r="R145" s="19"/>
      <c r="S145" s="19"/>
      <c r="U145" t="str">
        <f>IFERROR(MATCH(7,'MiT Strom Pipeline'!$AD$6:$AD$860,0)+5,"")</f>
        <v/>
      </c>
    </row>
    <row r="146" spans="1:21" ht="15.75" customHeight="1">
      <c r="A146" s="23" t="str">
        <f>IF($U146="","",IF(ISNUMBER(INDEX('MiT Strom Pipeline'!$A:$A,$U146)),INDEX('MiT Strom Pipeline'!$A:$A,$U146),""))</f>
        <v/>
      </c>
      <c r="B146" s="24" t="str">
        <f>IF($U146="","",IF(INDEX('MiT Strom Pipeline'!$B:$B,$U146)="","",INDEX('MiT Strom Pipeline'!$B:$B,$U146)))</f>
        <v/>
      </c>
      <c r="C146" s="24" t="str">
        <f>IF($U146="","",IF(INDEX('MiT Strom Pipeline'!$C:$C,$U146)="","",INDEX('MiT Strom Pipeline'!$C:$C,$U146)))</f>
        <v/>
      </c>
      <c r="D146" s="24" t="str">
        <f>IF($U146="","",IF(INDEX('MiT Strom Pipeline'!$D:$D,$U146)="","",INDEX('MiT Strom Pipeline'!$D:$D,$U146)))</f>
        <v/>
      </c>
      <c r="E146" s="24" t="str">
        <f>IF($U146="","",IF(INDEX('MiT Strom Pipeline'!$H:$H,$U146)="","",INDEX('MiT Strom Pipeline'!$H:$H,$U146)))</f>
        <v/>
      </c>
      <c r="F146" s="24" t="str">
        <f>IF($U146="","",IF(INDEX('MiT Strom Pipeline'!$E:$E,$U146)="","",INDEX('MiT Strom Pipeline'!$E:$E,$U146)))</f>
        <v/>
      </c>
      <c r="G146" s="25" t="str">
        <f>IF($U146="","",IF(ISNUMBER(INDEX('MiT Strom Pipeline'!$I:$I,$U146)),INDEX('MiT Strom Pipeline'!$I:$I,$U146),0))</f>
        <v/>
      </c>
      <c r="H146" s="25" t="str">
        <f>IF($U146="","",IF(ISNUMBER(INDEX('MiT Strom Pipeline'!$Q:$Q,$U146)),INDEX('MiT Strom Pipeline'!$Q:$Q,$U146),0))</f>
        <v/>
      </c>
      <c r="I146" s="24" t="str">
        <f>IF($U146="","",INDEX('MiT Strom Pipeline'!$R:$R,$U146))</f>
        <v/>
      </c>
      <c r="J146" s="26" t="str">
        <f>IF($U146="","",IF(ISNUMBER(INDEX('MiT Strom Pipeline'!$S:$S,$U146)),INDEX('MiT Strom Pipeline'!$S:$S,$U146),""))</f>
        <v/>
      </c>
      <c r="K146" s="24" t="str">
        <f>IF($U146="","",IF(LEN(INDEX('MiT Strom Pipeline'!$V:$V,$U146))&gt;0,LEFT(INDEX('MiT Strom Pipeline'!$V:$V,$U146),55),""))</f>
        <v/>
      </c>
      <c r="L146" s="19"/>
      <c r="M146" s="19"/>
      <c r="N146" s="19"/>
      <c r="O146" s="19"/>
      <c r="P146" s="19"/>
      <c r="Q146" s="19"/>
      <c r="R146" s="19"/>
      <c r="S146" s="19"/>
      <c r="U146" t="str">
        <f>IFERROR(MATCH(8,'MiT Strom Pipeline'!$AD$6:$AD$860,0)+5,"")</f>
        <v/>
      </c>
    </row>
    <row r="147" spans="1:21" ht="15.75" customHeight="1">
      <c r="A147" s="23" t="str">
        <f>IF($U147="","",IF(ISNUMBER(INDEX('MiT Strom Pipeline'!$A:$A,$U147)),INDEX('MiT Strom Pipeline'!$A:$A,$U147),""))</f>
        <v/>
      </c>
      <c r="B147" s="24" t="str">
        <f>IF($U147="","",IF(INDEX('MiT Strom Pipeline'!$B:$B,$U147)="","",INDEX('MiT Strom Pipeline'!$B:$B,$U147)))</f>
        <v/>
      </c>
      <c r="C147" s="24" t="str">
        <f>IF($U147="","",IF(INDEX('MiT Strom Pipeline'!$C:$C,$U147)="","",INDEX('MiT Strom Pipeline'!$C:$C,$U147)))</f>
        <v/>
      </c>
      <c r="D147" s="24" t="str">
        <f>IF($U147="","",IF(INDEX('MiT Strom Pipeline'!$D:$D,$U147)="","",INDEX('MiT Strom Pipeline'!$D:$D,$U147)))</f>
        <v/>
      </c>
      <c r="E147" s="24" t="str">
        <f>IF($U147="","",IF(INDEX('MiT Strom Pipeline'!$H:$H,$U147)="","",INDEX('MiT Strom Pipeline'!$H:$H,$U147)))</f>
        <v/>
      </c>
      <c r="F147" s="24" t="str">
        <f>IF($U147="","",IF(INDEX('MiT Strom Pipeline'!$E:$E,$U147)="","",INDEX('MiT Strom Pipeline'!$E:$E,$U147)))</f>
        <v/>
      </c>
      <c r="G147" s="25" t="str">
        <f>IF($U147="","",IF(ISNUMBER(INDEX('MiT Strom Pipeline'!$I:$I,$U147)),INDEX('MiT Strom Pipeline'!$I:$I,$U147),0))</f>
        <v/>
      </c>
      <c r="H147" s="25" t="str">
        <f>IF($U147="","",IF(ISNUMBER(INDEX('MiT Strom Pipeline'!$Q:$Q,$U147)),INDEX('MiT Strom Pipeline'!$Q:$Q,$U147),0))</f>
        <v/>
      </c>
      <c r="I147" s="24" t="str">
        <f>IF($U147="","",INDEX('MiT Strom Pipeline'!$R:$R,$U147))</f>
        <v/>
      </c>
      <c r="J147" s="26" t="str">
        <f>IF($U147="","",IF(ISNUMBER(INDEX('MiT Strom Pipeline'!$S:$S,$U147)),INDEX('MiT Strom Pipeline'!$S:$S,$U147),""))</f>
        <v/>
      </c>
      <c r="K147" s="24" t="str">
        <f>IF($U147="","",IF(LEN(INDEX('MiT Strom Pipeline'!$V:$V,$U147))&gt;0,LEFT(INDEX('MiT Strom Pipeline'!$V:$V,$U147),55),""))</f>
        <v/>
      </c>
      <c r="L147" s="19"/>
      <c r="M147" s="19"/>
      <c r="N147" s="19"/>
      <c r="O147" s="19"/>
      <c r="P147" s="19"/>
      <c r="Q147" s="19"/>
      <c r="R147" s="19"/>
      <c r="S147" s="19"/>
      <c r="U147" t="str">
        <f>IFERROR(MATCH(9,'MiT Strom Pipeline'!$AD$6:$AD$860,0)+5,"")</f>
        <v/>
      </c>
    </row>
    <row r="148" spans="1:21" ht="15.75" customHeight="1">
      <c r="A148" s="23" t="str">
        <f>IF($U148="","",IF(ISNUMBER(INDEX('MiT Strom Pipeline'!$A:$A,$U148)),INDEX('MiT Strom Pipeline'!$A:$A,$U148),""))</f>
        <v/>
      </c>
      <c r="B148" s="24" t="str">
        <f>IF($U148="","",IF(INDEX('MiT Strom Pipeline'!$B:$B,$U148)="","",INDEX('MiT Strom Pipeline'!$B:$B,$U148)))</f>
        <v/>
      </c>
      <c r="C148" s="24" t="str">
        <f>IF($U148="","",IF(INDEX('MiT Strom Pipeline'!$C:$C,$U148)="","",INDEX('MiT Strom Pipeline'!$C:$C,$U148)))</f>
        <v/>
      </c>
      <c r="D148" s="24" t="str">
        <f>IF($U148="","",IF(INDEX('MiT Strom Pipeline'!$D:$D,$U148)="","",INDEX('MiT Strom Pipeline'!$D:$D,$U148)))</f>
        <v/>
      </c>
      <c r="E148" s="24" t="str">
        <f>IF($U148="","",IF(INDEX('MiT Strom Pipeline'!$H:$H,$U148)="","",INDEX('MiT Strom Pipeline'!$H:$H,$U148)))</f>
        <v/>
      </c>
      <c r="F148" s="24" t="str">
        <f>IF($U148="","",IF(INDEX('MiT Strom Pipeline'!$E:$E,$U148)="","",INDEX('MiT Strom Pipeline'!$E:$E,$U148)))</f>
        <v/>
      </c>
      <c r="G148" s="25" t="str">
        <f>IF($U148="","",IF(ISNUMBER(INDEX('MiT Strom Pipeline'!$I:$I,$U148)),INDEX('MiT Strom Pipeline'!$I:$I,$U148),0))</f>
        <v/>
      </c>
      <c r="H148" s="25" t="str">
        <f>IF($U148="","",IF(ISNUMBER(INDEX('MiT Strom Pipeline'!$Q:$Q,$U148)),INDEX('MiT Strom Pipeline'!$Q:$Q,$U148),0))</f>
        <v/>
      </c>
      <c r="I148" s="24" t="str">
        <f>IF($U148="","",INDEX('MiT Strom Pipeline'!$R:$R,$U148))</f>
        <v/>
      </c>
      <c r="J148" s="26" t="str">
        <f>IF($U148="","",IF(ISNUMBER(INDEX('MiT Strom Pipeline'!$S:$S,$U148)),INDEX('MiT Strom Pipeline'!$S:$S,$U148),""))</f>
        <v/>
      </c>
      <c r="K148" s="24" t="str">
        <f>IF($U148="","",IF(LEN(INDEX('MiT Strom Pipeline'!$V:$V,$U148))&gt;0,LEFT(INDEX('MiT Strom Pipeline'!$V:$V,$U148),55),""))</f>
        <v/>
      </c>
      <c r="L148" s="19"/>
      <c r="M148" s="19"/>
      <c r="N148" s="19"/>
      <c r="O148" s="19"/>
      <c r="P148" s="19"/>
      <c r="Q148" s="19"/>
      <c r="R148" s="19"/>
      <c r="S148" s="19"/>
      <c r="U148" t="str">
        <f>IFERROR(MATCH(10,'MiT Strom Pipeline'!$AD$6:$AD$860,0)+5,"")</f>
        <v/>
      </c>
    </row>
    <row r="149" spans="1:21" ht="15.75" customHeight="1">
      <c r="A149" s="23" t="str">
        <f>IF($U149="","",IF(ISNUMBER(INDEX('MiT Strom Pipeline'!$A:$A,$U149)),INDEX('MiT Strom Pipeline'!$A:$A,$U149),""))</f>
        <v/>
      </c>
      <c r="B149" s="24" t="str">
        <f>IF($U149="","",IF(INDEX('MiT Strom Pipeline'!$B:$B,$U149)="","",INDEX('MiT Strom Pipeline'!$B:$B,$U149)))</f>
        <v/>
      </c>
      <c r="C149" s="24" t="str">
        <f>IF($U149="","",IF(INDEX('MiT Strom Pipeline'!$C:$C,$U149)="","",INDEX('MiT Strom Pipeline'!$C:$C,$U149)))</f>
        <v/>
      </c>
      <c r="D149" s="24" t="str">
        <f>IF($U149="","",IF(INDEX('MiT Strom Pipeline'!$D:$D,$U149)="","",INDEX('MiT Strom Pipeline'!$D:$D,$U149)))</f>
        <v/>
      </c>
      <c r="E149" s="24" t="str">
        <f>IF($U149="","",IF(INDEX('MiT Strom Pipeline'!$H:$H,$U149)="","",INDEX('MiT Strom Pipeline'!$H:$H,$U149)))</f>
        <v/>
      </c>
      <c r="F149" s="24" t="str">
        <f>IF($U149="","",IF(INDEX('MiT Strom Pipeline'!$E:$E,$U149)="","",INDEX('MiT Strom Pipeline'!$E:$E,$U149)))</f>
        <v/>
      </c>
      <c r="G149" s="25" t="str">
        <f>IF($U149="","",IF(ISNUMBER(INDEX('MiT Strom Pipeline'!$I:$I,$U149)),INDEX('MiT Strom Pipeline'!$I:$I,$U149),0))</f>
        <v/>
      </c>
      <c r="H149" s="25" t="str">
        <f>IF($U149="","",IF(ISNUMBER(INDEX('MiT Strom Pipeline'!$Q:$Q,$U149)),INDEX('MiT Strom Pipeline'!$Q:$Q,$U149),0))</f>
        <v/>
      </c>
      <c r="I149" s="24" t="str">
        <f>IF($U149="","",INDEX('MiT Strom Pipeline'!$R:$R,$U149))</f>
        <v/>
      </c>
      <c r="J149" s="26" t="str">
        <f>IF($U149="","",IF(ISNUMBER(INDEX('MiT Strom Pipeline'!$S:$S,$U149)),INDEX('MiT Strom Pipeline'!$S:$S,$U149),""))</f>
        <v/>
      </c>
      <c r="K149" s="24" t="str">
        <f>IF($U149="","",IF(LEN(INDEX('MiT Strom Pipeline'!$V:$V,$U149))&gt;0,LEFT(INDEX('MiT Strom Pipeline'!$V:$V,$U149),55),""))</f>
        <v/>
      </c>
      <c r="L149" s="19"/>
      <c r="M149" s="19"/>
      <c r="N149" s="19"/>
      <c r="O149" s="19"/>
      <c r="P149" s="19"/>
      <c r="Q149" s="19"/>
      <c r="R149" s="19"/>
      <c r="S149" s="19"/>
      <c r="U149" t="str">
        <f>IFERROR(MATCH(11,'MiT Strom Pipeline'!$AD$6:$AD$860,0)+5,"")</f>
        <v/>
      </c>
    </row>
    <row r="150" spans="1:21" ht="15.75" customHeight="1">
      <c r="A150" s="23" t="str">
        <f>IF($U150="","",IF(ISNUMBER(INDEX('MiT Strom Pipeline'!$A:$A,$U150)),INDEX('MiT Strom Pipeline'!$A:$A,$U150),""))</f>
        <v/>
      </c>
      <c r="B150" s="24" t="str">
        <f>IF($U150="","",IF(INDEX('MiT Strom Pipeline'!$B:$B,$U150)="","",INDEX('MiT Strom Pipeline'!$B:$B,$U150)))</f>
        <v/>
      </c>
      <c r="C150" s="24" t="str">
        <f>IF($U150="","",IF(INDEX('MiT Strom Pipeline'!$C:$C,$U150)="","",INDEX('MiT Strom Pipeline'!$C:$C,$U150)))</f>
        <v/>
      </c>
      <c r="D150" s="24" t="str">
        <f>IF($U150="","",IF(INDEX('MiT Strom Pipeline'!$D:$D,$U150)="","",INDEX('MiT Strom Pipeline'!$D:$D,$U150)))</f>
        <v/>
      </c>
      <c r="E150" s="24" t="str">
        <f>IF($U150="","",IF(INDEX('MiT Strom Pipeline'!$H:$H,$U150)="","",INDEX('MiT Strom Pipeline'!$H:$H,$U150)))</f>
        <v/>
      </c>
      <c r="F150" s="24" t="str">
        <f>IF($U150="","",IF(INDEX('MiT Strom Pipeline'!$E:$E,$U150)="","",INDEX('MiT Strom Pipeline'!$E:$E,$U150)))</f>
        <v/>
      </c>
      <c r="G150" s="25" t="str">
        <f>IF($U150="","",IF(ISNUMBER(INDEX('MiT Strom Pipeline'!$I:$I,$U150)),INDEX('MiT Strom Pipeline'!$I:$I,$U150),0))</f>
        <v/>
      </c>
      <c r="H150" s="25" t="str">
        <f>IF($U150="","",IF(ISNUMBER(INDEX('MiT Strom Pipeline'!$Q:$Q,$U150)),INDEX('MiT Strom Pipeline'!$Q:$Q,$U150),0))</f>
        <v/>
      </c>
      <c r="I150" s="24" t="str">
        <f>IF($U150="","",INDEX('MiT Strom Pipeline'!$R:$R,$U150))</f>
        <v/>
      </c>
      <c r="J150" s="26" t="str">
        <f>IF($U150="","",IF(ISNUMBER(INDEX('MiT Strom Pipeline'!$S:$S,$U150)),INDEX('MiT Strom Pipeline'!$S:$S,$U150),""))</f>
        <v/>
      </c>
      <c r="K150" s="24" t="str">
        <f>IF($U150="","",IF(LEN(INDEX('MiT Strom Pipeline'!$V:$V,$U150))&gt;0,LEFT(INDEX('MiT Strom Pipeline'!$V:$V,$U150),55),""))</f>
        <v/>
      </c>
      <c r="L150" s="19"/>
      <c r="M150" s="19"/>
      <c r="N150" s="19"/>
      <c r="O150" s="19"/>
      <c r="P150" s="19"/>
      <c r="Q150" s="19"/>
      <c r="R150" s="19"/>
      <c r="S150" s="19"/>
      <c r="U150" t="str">
        <f>IFERROR(MATCH(12,'MiT Strom Pipeline'!$AD$6:$AD$860,0)+5,"")</f>
        <v/>
      </c>
    </row>
    <row r="151" spans="1:21" ht="15.75" customHeight="1">
      <c r="A151" s="23" t="str">
        <f>IF($U151="","",IF(ISNUMBER(INDEX('MiT Strom Pipeline'!$A:$A,$U151)),INDEX('MiT Strom Pipeline'!$A:$A,$U151),""))</f>
        <v/>
      </c>
      <c r="B151" s="24" t="str">
        <f>IF($U151="","",IF(INDEX('MiT Strom Pipeline'!$B:$B,$U151)="","",INDEX('MiT Strom Pipeline'!$B:$B,$U151)))</f>
        <v/>
      </c>
      <c r="C151" s="24" t="str">
        <f>IF($U151="","",IF(INDEX('MiT Strom Pipeline'!$C:$C,$U151)="","",INDEX('MiT Strom Pipeline'!$C:$C,$U151)))</f>
        <v/>
      </c>
      <c r="D151" s="24" t="str">
        <f>IF($U151="","",IF(INDEX('MiT Strom Pipeline'!$D:$D,$U151)="","",INDEX('MiT Strom Pipeline'!$D:$D,$U151)))</f>
        <v/>
      </c>
      <c r="E151" s="24" t="str">
        <f>IF($U151="","",IF(INDEX('MiT Strom Pipeline'!$H:$H,$U151)="","",INDEX('MiT Strom Pipeline'!$H:$H,$U151)))</f>
        <v/>
      </c>
      <c r="F151" s="24" t="str">
        <f>IF($U151="","",IF(INDEX('MiT Strom Pipeline'!$E:$E,$U151)="","",INDEX('MiT Strom Pipeline'!$E:$E,$U151)))</f>
        <v/>
      </c>
      <c r="G151" s="25" t="str">
        <f>IF($U151="","",IF(ISNUMBER(INDEX('MiT Strom Pipeline'!$I:$I,$U151)),INDEX('MiT Strom Pipeline'!$I:$I,$U151),0))</f>
        <v/>
      </c>
      <c r="H151" s="25" t="str">
        <f>IF($U151="","",IF(ISNUMBER(INDEX('MiT Strom Pipeline'!$Q:$Q,$U151)),INDEX('MiT Strom Pipeline'!$Q:$Q,$U151),0))</f>
        <v/>
      </c>
      <c r="I151" s="24" t="str">
        <f>IF($U151="","",INDEX('MiT Strom Pipeline'!$R:$R,$U151))</f>
        <v/>
      </c>
      <c r="J151" s="26" t="str">
        <f>IF($U151="","",IF(ISNUMBER(INDEX('MiT Strom Pipeline'!$S:$S,$U151)),INDEX('MiT Strom Pipeline'!$S:$S,$U151),""))</f>
        <v/>
      </c>
      <c r="K151" s="24" t="str">
        <f>IF($U151="","",IF(LEN(INDEX('MiT Strom Pipeline'!$V:$V,$U151))&gt;0,LEFT(INDEX('MiT Strom Pipeline'!$V:$V,$U151),55),""))</f>
        <v/>
      </c>
      <c r="L151" s="19"/>
      <c r="M151" s="19"/>
      <c r="N151" s="19"/>
      <c r="O151" s="19"/>
      <c r="P151" s="19"/>
      <c r="Q151" s="19"/>
      <c r="R151" s="19"/>
      <c r="S151" s="19"/>
      <c r="U151" t="str">
        <f>IFERROR(MATCH(13,'MiT Strom Pipeline'!$AD$6:$AD$860,0)+5,"")</f>
        <v/>
      </c>
    </row>
    <row r="152" spans="1:21" ht="15.75" customHeight="1">
      <c r="A152" s="23" t="str">
        <f>IF($U152="","",IF(ISNUMBER(INDEX('MiT Strom Pipeline'!$A:$A,$U152)),INDEX('MiT Strom Pipeline'!$A:$A,$U152),""))</f>
        <v/>
      </c>
      <c r="B152" s="24" t="str">
        <f>IF($U152="","",IF(INDEX('MiT Strom Pipeline'!$B:$B,$U152)="","",INDEX('MiT Strom Pipeline'!$B:$B,$U152)))</f>
        <v/>
      </c>
      <c r="C152" s="24" t="str">
        <f>IF($U152="","",IF(INDEX('MiT Strom Pipeline'!$C:$C,$U152)="","",INDEX('MiT Strom Pipeline'!$C:$C,$U152)))</f>
        <v/>
      </c>
      <c r="D152" s="24" t="str">
        <f>IF($U152="","",IF(INDEX('MiT Strom Pipeline'!$D:$D,$U152)="","",INDEX('MiT Strom Pipeline'!$D:$D,$U152)))</f>
        <v/>
      </c>
      <c r="E152" s="24" t="str">
        <f>IF($U152="","",IF(INDEX('MiT Strom Pipeline'!$H:$H,$U152)="","",INDEX('MiT Strom Pipeline'!$H:$H,$U152)))</f>
        <v/>
      </c>
      <c r="F152" s="24" t="str">
        <f>IF($U152="","",IF(INDEX('MiT Strom Pipeline'!$E:$E,$U152)="","",INDEX('MiT Strom Pipeline'!$E:$E,$U152)))</f>
        <v/>
      </c>
      <c r="G152" s="25" t="str">
        <f>IF($U152="","",IF(ISNUMBER(INDEX('MiT Strom Pipeline'!$I:$I,$U152)),INDEX('MiT Strom Pipeline'!$I:$I,$U152),0))</f>
        <v/>
      </c>
      <c r="H152" s="25" t="str">
        <f>IF($U152="","",IF(ISNUMBER(INDEX('MiT Strom Pipeline'!$Q:$Q,$U152)),INDEX('MiT Strom Pipeline'!$Q:$Q,$U152),0))</f>
        <v/>
      </c>
      <c r="I152" s="24" t="str">
        <f>IF($U152="","",INDEX('MiT Strom Pipeline'!$R:$R,$U152))</f>
        <v/>
      </c>
      <c r="J152" s="26" t="str">
        <f>IF($U152="","",IF(ISNUMBER(INDEX('MiT Strom Pipeline'!$S:$S,$U152)),INDEX('MiT Strom Pipeline'!$S:$S,$U152),""))</f>
        <v/>
      </c>
      <c r="K152" s="24" t="str">
        <f>IF($U152="","",IF(LEN(INDEX('MiT Strom Pipeline'!$V:$V,$U152))&gt;0,LEFT(INDEX('MiT Strom Pipeline'!$V:$V,$U152),55),""))</f>
        <v/>
      </c>
      <c r="L152" s="19"/>
      <c r="M152" s="19"/>
      <c r="N152" s="19"/>
      <c r="O152" s="19"/>
      <c r="P152" s="19"/>
      <c r="Q152" s="19"/>
      <c r="R152" s="19"/>
      <c r="S152" s="19"/>
      <c r="U152" t="str">
        <f>IFERROR(MATCH(14,'MiT Strom Pipeline'!$AD$6:$AD$860,0)+5,"")</f>
        <v/>
      </c>
    </row>
    <row r="153" spans="1:21" ht="15.75" customHeight="1">
      <c r="A153" s="23" t="str">
        <f>IF($U153="","",IF(ISNUMBER(INDEX('MiT Strom Pipeline'!$A:$A,$U153)),INDEX('MiT Strom Pipeline'!$A:$A,$U153),""))</f>
        <v/>
      </c>
      <c r="B153" s="24" t="str">
        <f>IF($U153="","",IF(INDEX('MiT Strom Pipeline'!$B:$B,$U153)="","",INDEX('MiT Strom Pipeline'!$B:$B,$U153)))</f>
        <v/>
      </c>
      <c r="C153" s="24" t="str">
        <f>IF($U153="","",IF(INDEX('MiT Strom Pipeline'!$C:$C,$U153)="","",INDEX('MiT Strom Pipeline'!$C:$C,$U153)))</f>
        <v/>
      </c>
      <c r="D153" s="24" t="str">
        <f>IF($U153="","",IF(INDEX('MiT Strom Pipeline'!$D:$D,$U153)="","",INDEX('MiT Strom Pipeline'!$D:$D,$U153)))</f>
        <v/>
      </c>
      <c r="E153" s="24" t="str">
        <f>IF($U153="","",IF(INDEX('MiT Strom Pipeline'!$H:$H,$U153)="","",INDEX('MiT Strom Pipeline'!$H:$H,$U153)))</f>
        <v/>
      </c>
      <c r="F153" s="24" t="str">
        <f>IF($U153="","",IF(INDEX('MiT Strom Pipeline'!$E:$E,$U153)="","",INDEX('MiT Strom Pipeline'!$E:$E,$U153)))</f>
        <v/>
      </c>
      <c r="G153" s="25" t="str">
        <f>IF($U153="","",IF(ISNUMBER(INDEX('MiT Strom Pipeline'!$I:$I,$U153)),INDEX('MiT Strom Pipeline'!$I:$I,$U153),0))</f>
        <v/>
      </c>
      <c r="H153" s="25" t="str">
        <f>IF($U153="","",IF(ISNUMBER(INDEX('MiT Strom Pipeline'!$Q:$Q,$U153)),INDEX('MiT Strom Pipeline'!$Q:$Q,$U153),0))</f>
        <v/>
      </c>
      <c r="I153" s="24" t="str">
        <f>IF($U153="","",INDEX('MiT Strom Pipeline'!$R:$R,$U153))</f>
        <v/>
      </c>
      <c r="J153" s="26" t="str">
        <f>IF($U153="","",IF(ISNUMBER(INDEX('MiT Strom Pipeline'!$S:$S,$U153)),INDEX('MiT Strom Pipeline'!$S:$S,$U153),""))</f>
        <v/>
      </c>
      <c r="K153" s="24" t="str">
        <f>IF($U153="","",IF(LEN(INDEX('MiT Strom Pipeline'!$V:$V,$U153))&gt;0,LEFT(INDEX('MiT Strom Pipeline'!$V:$V,$U153),55),""))</f>
        <v/>
      </c>
      <c r="L153" s="19"/>
      <c r="M153" s="19"/>
      <c r="N153" s="19"/>
      <c r="O153" s="19"/>
      <c r="P153" s="19"/>
      <c r="Q153" s="19"/>
      <c r="R153" s="19"/>
      <c r="S153" s="19"/>
      <c r="U153" t="str">
        <f>IFERROR(MATCH(15,'MiT Strom Pipeline'!$AD$6:$AD$860,0)+5,"")</f>
        <v/>
      </c>
    </row>
    <row r="154" spans="1:21" ht="15.75" customHeight="1">
      <c r="A154" s="23" t="str">
        <f>IF($U154="","",IF(ISNUMBER(INDEX('MiT Strom Pipeline'!$A:$A,$U154)),INDEX('MiT Strom Pipeline'!$A:$A,$U154),""))</f>
        <v/>
      </c>
      <c r="B154" s="24" t="str">
        <f>IF($U154="","",IF(INDEX('MiT Strom Pipeline'!$B:$B,$U154)="","",INDEX('MiT Strom Pipeline'!$B:$B,$U154)))</f>
        <v/>
      </c>
      <c r="C154" s="24" t="str">
        <f>IF($U154="","",IF(INDEX('MiT Strom Pipeline'!$C:$C,$U154)="","",INDEX('MiT Strom Pipeline'!$C:$C,$U154)))</f>
        <v/>
      </c>
      <c r="D154" s="24" t="str">
        <f>IF($U154="","",IF(INDEX('MiT Strom Pipeline'!$D:$D,$U154)="","",INDEX('MiT Strom Pipeline'!$D:$D,$U154)))</f>
        <v/>
      </c>
      <c r="E154" s="24" t="str">
        <f>IF($U154="","",IF(INDEX('MiT Strom Pipeline'!$H:$H,$U154)="","",INDEX('MiT Strom Pipeline'!$H:$H,$U154)))</f>
        <v/>
      </c>
      <c r="F154" s="24" t="str">
        <f>IF($U154="","",IF(INDEX('MiT Strom Pipeline'!$E:$E,$U154)="","",INDEX('MiT Strom Pipeline'!$E:$E,$U154)))</f>
        <v/>
      </c>
      <c r="G154" s="25" t="str">
        <f>IF($U154="","",IF(ISNUMBER(INDEX('MiT Strom Pipeline'!$I:$I,$U154)),INDEX('MiT Strom Pipeline'!$I:$I,$U154),0))</f>
        <v/>
      </c>
      <c r="H154" s="25" t="str">
        <f>IF($U154="","",IF(ISNUMBER(INDEX('MiT Strom Pipeline'!$Q:$Q,$U154)),INDEX('MiT Strom Pipeline'!$Q:$Q,$U154),0))</f>
        <v/>
      </c>
      <c r="I154" s="24" t="str">
        <f>IF($U154="","",INDEX('MiT Strom Pipeline'!$R:$R,$U154))</f>
        <v/>
      </c>
      <c r="J154" s="26" t="str">
        <f>IF($U154="","",IF(ISNUMBER(INDEX('MiT Strom Pipeline'!$S:$S,$U154)),INDEX('MiT Strom Pipeline'!$S:$S,$U154),""))</f>
        <v/>
      </c>
      <c r="K154" s="24" t="str">
        <f>IF($U154="","",IF(LEN(INDEX('MiT Strom Pipeline'!$V:$V,$U154))&gt;0,LEFT(INDEX('MiT Strom Pipeline'!$V:$V,$U154),55),""))</f>
        <v/>
      </c>
      <c r="L154" s="19"/>
      <c r="M154" s="19"/>
      <c r="N154" s="19"/>
      <c r="O154" s="19"/>
      <c r="P154" s="19"/>
      <c r="Q154" s="19"/>
      <c r="R154" s="19"/>
      <c r="S154" s="19"/>
      <c r="U154" t="str">
        <f>IFERROR(MATCH(16,'MiT Strom Pipeline'!$AD$6:$AD$860,0)+5,"")</f>
        <v/>
      </c>
    </row>
    <row r="155" spans="1:21" ht="15.75" customHeight="1">
      <c r="A155" s="23" t="str">
        <f>IF($U155="","",IF(ISNUMBER(INDEX('MiT Strom Pipeline'!$A:$A,$U155)),INDEX('MiT Strom Pipeline'!$A:$A,$U155),""))</f>
        <v/>
      </c>
      <c r="B155" s="24" t="str">
        <f>IF($U155="","",IF(INDEX('MiT Strom Pipeline'!$B:$B,$U155)="","",INDEX('MiT Strom Pipeline'!$B:$B,$U155)))</f>
        <v/>
      </c>
      <c r="C155" s="24" t="str">
        <f>IF($U155="","",IF(INDEX('MiT Strom Pipeline'!$C:$C,$U155)="","",INDEX('MiT Strom Pipeline'!$C:$C,$U155)))</f>
        <v/>
      </c>
      <c r="D155" s="24" t="str">
        <f>IF($U155="","",IF(INDEX('MiT Strom Pipeline'!$D:$D,$U155)="","",INDEX('MiT Strom Pipeline'!$D:$D,$U155)))</f>
        <v/>
      </c>
      <c r="E155" s="24" t="str">
        <f>IF($U155="","",IF(INDEX('MiT Strom Pipeline'!$H:$H,$U155)="","",INDEX('MiT Strom Pipeline'!$H:$H,$U155)))</f>
        <v/>
      </c>
      <c r="F155" s="24" t="str">
        <f>IF($U155="","",IF(INDEX('MiT Strom Pipeline'!$E:$E,$U155)="","",INDEX('MiT Strom Pipeline'!$E:$E,$U155)))</f>
        <v/>
      </c>
      <c r="G155" s="25" t="str">
        <f>IF($U155="","",IF(ISNUMBER(INDEX('MiT Strom Pipeline'!$I:$I,$U155)),INDEX('MiT Strom Pipeline'!$I:$I,$U155),0))</f>
        <v/>
      </c>
      <c r="H155" s="25" t="str">
        <f>IF($U155="","",IF(ISNUMBER(INDEX('MiT Strom Pipeline'!$Q:$Q,$U155)),INDEX('MiT Strom Pipeline'!$Q:$Q,$U155),0))</f>
        <v/>
      </c>
      <c r="I155" s="24" t="str">
        <f>IF($U155="","",INDEX('MiT Strom Pipeline'!$R:$R,$U155))</f>
        <v/>
      </c>
      <c r="J155" s="26" t="str">
        <f>IF($U155="","",IF(ISNUMBER(INDEX('MiT Strom Pipeline'!$S:$S,$U155)),INDEX('MiT Strom Pipeline'!$S:$S,$U155),""))</f>
        <v/>
      </c>
      <c r="K155" s="24" t="str">
        <f>IF($U155="","",IF(LEN(INDEX('MiT Strom Pipeline'!$V:$V,$U155))&gt;0,LEFT(INDEX('MiT Strom Pipeline'!$V:$V,$U155),55),""))</f>
        <v/>
      </c>
      <c r="L155" s="19"/>
      <c r="M155" s="19"/>
      <c r="N155" s="19"/>
      <c r="O155" s="19"/>
      <c r="P155" s="19"/>
      <c r="Q155" s="19"/>
      <c r="R155" s="19"/>
      <c r="S155" s="19"/>
      <c r="U155" t="str">
        <f>IFERROR(MATCH(17,'MiT Strom Pipeline'!$AD$6:$AD$860,0)+5,"")</f>
        <v/>
      </c>
    </row>
    <row r="156" spans="1:21" ht="15.75" customHeight="1">
      <c r="A156" s="23" t="str">
        <f>IF($U156="","",IF(ISNUMBER(INDEX('MiT Strom Pipeline'!$A:$A,$U156)),INDEX('MiT Strom Pipeline'!$A:$A,$U156),""))</f>
        <v/>
      </c>
      <c r="B156" s="24" t="str">
        <f>IF($U156="","",IF(INDEX('MiT Strom Pipeline'!$B:$B,$U156)="","",INDEX('MiT Strom Pipeline'!$B:$B,$U156)))</f>
        <v/>
      </c>
      <c r="C156" s="24" t="str">
        <f>IF($U156="","",IF(INDEX('MiT Strom Pipeline'!$C:$C,$U156)="","",INDEX('MiT Strom Pipeline'!$C:$C,$U156)))</f>
        <v/>
      </c>
      <c r="D156" s="24" t="str">
        <f>IF($U156="","",IF(INDEX('MiT Strom Pipeline'!$D:$D,$U156)="","",INDEX('MiT Strom Pipeline'!$D:$D,$U156)))</f>
        <v/>
      </c>
      <c r="E156" s="24" t="str">
        <f>IF($U156="","",IF(INDEX('MiT Strom Pipeline'!$H:$H,$U156)="","",INDEX('MiT Strom Pipeline'!$H:$H,$U156)))</f>
        <v/>
      </c>
      <c r="F156" s="24" t="str">
        <f>IF($U156="","",IF(INDEX('MiT Strom Pipeline'!$E:$E,$U156)="","",INDEX('MiT Strom Pipeline'!$E:$E,$U156)))</f>
        <v/>
      </c>
      <c r="G156" s="25" t="str">
        <f>IF($U156="","",IF(ISNUMBER(INDEX('MiT Strom Pipeline'!$I:$I,$U156)),INDEX('MiT Strom Pipeline'!$I:$I,$U156),0))</f>
        <v/>
      </c>
      <c r="H156" s="25" t="str">
        <f>IF($U156="","",IF(ISNUMBER(INDEX('MiT Strom Pipeline'!$Q:$Q,$U156)),INDEX('MiT Strom Pipeline'!$Q:$Q,$U156),0))</f>
        <v/>
      </c>
      <c r="I156" s="24" t="str">
        <f>IF($U156="","",INDEX('MiT Strom Pipeline'!$R:$R,$U156))</f>
        <v/>
      </c>
      <c r="J156" s="26" t="str">
        <f>IF($U156="","",IF(ISNUMBER(INDEX('MiT Strom Pipeline'!$S:$S,$U156)),INDEX('MiT Strom Pipeline'!$S:$S,$U156),""))</f>
        <v/>
      </c>
      <c r="K156" s="24" t="str">
        <f>IF($U156="","",IF(LEN(INDEX('MiT Strom Pipeline'!$V:$V,$U156))&gt;0,LEFT(INDEX('MiT Strom Pipeline'!$V:$V,$U156),55),""))</f>
        <v/>
      </c>
      <c r="L156" s="19"/>
      <c r="M156" s="19"/>
      <c r="N156" s="19"/>
      <c r="O156" s="19"/>
      <c r="P156" s="19"/>
      <c r="Q156" s="19"/>
      <c r="R156" s="19"/>
      <c r="S156" s="19"/>
      <c r="U156" t="str">
        <f>IFERROR(MATCH(18,'MiT Strom Pipeline'!$AD$6:$AD$860,0)+5,"")</f>
        <v/>
      </c>
    </row>
    <row r="157" spans="1:21" ht="15.75" customHeight="1">
      <c r="A157" s="23" t="str">
        <f>IF($U157="","",IF(ISNUMBER(INDEX('MiT Strom Pipeline'!$A:$A,$U157)),INDEX('MiT Strom Pipeline'!$A:$A,$U157),""))</f>
        <v/>
      </c>
      <c r="B157" s="24" t="str">
        <f>IF($U157="","",IF(INDEX('MiT Strom Pipeline'!$B:$B,$U157)="","",INDEX('MiT Strom Pipeline'!$B:$B,$U157)))</f>
        <v/>
      </c>
      <c r="C157" s="24" t="str">
        <f>IF($U157="","",IF(INDEX('MiT Strom Pipeline'!$C:$C,$U157)="","",INDEX('MiT Strom Pipeline'!$C:$C,$U157)))</f>
        <v/>
      </c>
      <c r="D157" s="24" t="str">
        <f>IF($U157="","",IF(INDEX('MiT Strom Pipeline'!$D:$D,$U157)="","",INDEX('MiT Strom Pipeline'!$D:$D,$U157)))</f>
        <v/>
      </c>
      <c r="E157" s="24" t="str">
        <f>IF($U157="","",IF(INDEX('MiT Strom Pipeline'!$H:$H,$U157)="","",INDEX('MiT Strom Pipeline'!$H:$H,$U157)))</f>
        <v/>
      </c>
      <c r="F157" s="24" t="str">
        <f>IF($U157="","",IF(INDEX('MiT Strom Pipeline'!$E:$E,$U157)="","",INDEX('MiT Strom Pipeline'!$E:$E,$U157)))</f>
        <v/>
      </c>
      <c r="G157" s="25" t="str">
        <f>IF($U157="","",IF(ISNUMBER(INDEX('MiT Strom Pipeline'!$I:$I,$U157)),INDEX('MiT Strom Pipeline'!$I:$I,$U157),0))</f>
        <v/>
      </c>
      <c r="H157" s="25" t="str">
        <f>IF($U157="","",IF(ISNUMBER(INDEX('MiT Strom Pipeline'!$Q:$Q,$U157)),INDEX('MiT Strom Pipeline'!$Q:$Q,$U157),0))</f>
        <v/>
      </c>
      <c r="I157" s="24" t="str">
        <f>IF($U157="","",INDEX('MiT Strom Pipeline'!$R:$R,$U157))</f>
        <v/>
      </c>
      <c r="J157" s="26" t="str">
        <f>IF($U157="","",IF(ISNUMBER(INDEX('MiT Strom Pipeline'!$S:$S,$U157)),INDEX('MiT Strom Pipeline'!$S:$S,$U157),""))</f>
        <v/>
      </c>
      <c r="K157" s="24" t="str">
        <f>IF($U157="","",IF(LEN(INDEX('MiT Strom Pipeline'!$V:$V,$U157))&gt;0,LEFT(INDEX('MiT Strom Pipeline'!$V:$V,$U157),55),""))</f>
        <v/>
      </c>
      <c r="L157" s="19"/>
      <c r="M157" s="19"/>
      <c r="N157" s="19"/>
      <c r="O157" s="19"/>
      <c r="P157" s="19"/>
      <c r="Q157" s="19"/>
      <c r="R157" s="19"/>
      <c r="S157" s="19"/>
      <c r="U157" t="str">
        <f>IFERROR(MATCH(19,'MiT Strom Pipeline'!$AD$6:$AD$860,0)+5,"")</f>
        <v/>
      </c>
    </row>
    <row r="158" spans="1:21" ht="15.75" customHeight="1">
      <c r="A158" s="23" t="str">
        <f>IF($U158="","",IF(ISNUMBER(INDEX('MiT Strom Pipeline'!$A:$A,$U158)),INDEX('MiT Strom Pipeline'!$A:$A,$U158),""))</f>
        <v/>
      </c>
      <c r="B158" s="24" t="str">
        <f>IF($U158="","",IF(INDEX('MiT Strom Pipeline'!$B:$B,$U158)="","",INDEX('MiT Strom Pipeline'!$B:$B,$U158)))</f>
        <v/>
      </c>
      <c r="C158" s="24" t="str">
        <f>IF($U158="","",IF(INDEX('MiT Strom Pipeline'!$C:$C,$U158)="","",INDEX('MiT Strom Pipeline'!$C:$C,$U158)))</f>
        <v/>
      </c>
      <c r="D158" s="24" t="str">
        <f>IF($U158="","",IF(INDEX('MiT Strom Pipeline'!$D:$D,$U158)="","",INDEX('MiT Strom Pipeline'!$D:$D,$U158)))</f>
        <v/>
      </c>
      <c r="E158" s="24" t="str">
        <f>IF($U158="","",IF(INDEX('MiT Strom Pipeline'!$H:$H,$U158)="","",INDEX('MiT Strom Pipeline'!$H:$H,$U158)))</f>
        <v/>
      </c>
      <c r="F158" s="24" t="str">
        <f>IF($U158="","",IF(INDEX('MiT Strom Pipeline'!$E:$E,$U158)="","",INDEX('MiT Strom Pipeline'!$E:$E,$U158)))</f>
        <v/>
      </c>
      <c r="G158" s="25" t="str">
        <f>IF($U158="","",IF(ISNUMBER(INDEX('MiT Strom Pipeline'!$I:$I,$U158)),INDEX('MiT Strom Pipeline'!$I:$I,$U158),0))</f>
        <v/>
      </c>
      <c r="H158" s="25" t="str">
        <f>IF($U158="","",IF(ISNUMBER(INDEX('MiT Strom Pipeline'!$Q:$Q,$U158)),INDEX('MiT Strom Pipeline'!$Q:$Q,$U158),0))</f>
        <v/>
      </c>
      <c r="I158" s="24" t="str">
        <f>IF($U158="","",INDEX('MiT Strom Pipeline'!$R:$R,$U158))</f>
        <v/>
      </c>
      <c r="J158" s="26" t="str">
        <f>IF($U158="","",IF(ISNUMBER(INDEX('MiT Strom Pipeline'!$S:$S,$U158)),INDEX('MiT Strom Pipeline'!$S:$S,$U158),""))</f>
        <v/>
      </c>
      <c r="K158" s="24" t="str">
        <f>IF($U158="","",IF(LEN(INDEX('MiT Strom Pipeline'!$V:$V,$U158))&gt;0,LEFT(INDEX('MiT Strom Pipeline'!$V:$V,$U158),55),""))</f>
        <v/>
      </c>
      <c r="L158" s="19"/>
      <c r="M158" s="19"/>
      <c r="N158" s="19"/>
      <c r="O158" s="19"/>
      <c r="P158" s="19"/>
      <c r="Q158" s="19"/>
      <c r="R158" s="19"/>
      <c r="S158" s="19"/>
      <c r="U158" t="str">
        <f>IFERROR(MATCH(20,'MiT Strom Pipeline'!$AD$6:$AD$860,0)+5,"")</f>
        <v/>
      </c>
    </row>
    <row r="159" spans="1:21" ht="15.75" customHeight="1">
      <c r="A159" s="23" t="str">
        <f>IF($U159="","",IF(ISNUMBER(INDEX('MiT Strom Pipeline'!$A:$A,$U159)),INDEX('MiT Strom Pipeline'!$A:$A,$U159),""))</f>
        <v/>
      </c>
      <c r="B159" s="24" t="str">
        <f>IF($U159="","",IF(INDEX('MiT Strom Pipeline'!$B:$B,$U159)="","",INDEX('MiT Strom Pipeline'!$B:$B,$U159)))</f>
        <v/>
      </c>
      <c r="C159" s="24" t="str">
        <f>IF($U159="","",IF(INDEX('MiT Strom Pipeline'!$C:$C,$U159)="","",INDEX('MiT Strom Pipeline'!$C:$C,$U159)))</f>
        <v/>
      </c>
      <c r="D159" s="24" t="str">
        <f>IF($U159="","",IF(INDEX('MiT Strom Pipeline'!$D:$D,$U159)="","",INDEX('MiT Strom Pipeline'!$D:$D,$U159)))</f>
        <v/>
      </c>
      <c r="E159" s="24" t="str">
        <f>IF($U159="","",IF(INDEX('MiT Strom Pipeline'!$H:$H,$U159)="","",INDEX('MiT Strom Pipeline'!$H:$H,$U159)))</f>
        <v/>
      </c>
      <c r="F159" s="24" t="str">
        <f>IF($U159="","",IF(INDEX('MiT Strom Pipeline'!$E:$E,$U159)="","",INDEX('MiT Strom Pipeline'!$E:$E,$U159)))</f>
        <v/>
      </c>
      <c r="G159" s="25" t="str">
        <f>IF($U159="","",IF(ISNUMBER(INDEX('MiT Strom Pipeline'!$I:$I,$U159)),INDEX('MiT Strom Pipeline'!$I:$I,$U159),0))</f>
        <v/>
      </c>
      <c r="H159" s="25" t="str">
        <f>IF($U159="","",IF(ISNUMBER(INDEX('MiT Strom Pipeline'!$Q:$Q,$U159)),INDEX('MiT Strom Pipeline'!$Q:$Q,$U159),0))</f>
        <v/>
      </c>
      <c r="I159" s="24" t="str">
        <f>IF($U159="","",INDEX('MiT Strom Pipeline'!$R:$R,$U159))</f>
        <v/>
      </c>
      <c r="J159" s="26" t="str">
        <f>IF($U159="","",IF(ISNUMBER(INDEX('MiT Strom Pipeline'!$S:$S,$U159)),INDEX('MiT Strom Pipeline'!$S:$S,$U159),""))</f>
        <v/>
      </c>
      <c r="K159" s="24" t="str">
        <f>IF($U159="","",IF(LEN(INDEX('MiT Strom Pipeline'!$V:$V,$U159))&gt;0,LEFT(INDEX('MiT Strom Pipeline'!$V:$V,$U159),55),""))</f>
        <v/>
      </c>
      <c r="L159" s="19"/>
      <c r="M159" s="19"/>
      <c r="N159" s="19"/>
      <c r="O159" s="19"/>
      <c r="P159" s="19"/>
      <c r="Q159" s="19"/>
      <c r="R159" s="19"/>
      <c r="S159" s="19"/>
      <c r="U159" t="str">
        <f>IFERROR(MATCH(21,'MiT Strom Pipeline'!$AD$6:$AD$860,0)+5,"")</f>
        <v/>
      </c>
    </row>
    <row r="160" spans="1:21" ht="15.75" customHeight="1">
      <c r="A160" s="23" t="str">
        <f>IF($U160="","",IF(ISNUMBER(INDEX('MiT Strom Pipeline'!$A:$A,$U160)),INDEX('MiT Strom Pipeline'!$A:$A,$U160),""))</f>
        <v/>
      </c>
      <c r="B160" s="24" t="str">
        <f>IF($U160="","",IF(INDEX('MiT Strom Pipeline'!$B:$B,$U160)="","",INDEX('MiT Strom Pipeline'!$B:$B,$U160)))</f>
        <v/>
      </c>
      <c r="C160" s="24" t="str">
        <f>IF($U160="","",IF(INDEX('MiT Strom Pipeline'!$C:$C,$U160)="","",INDEX('MiT Strom Pipeline'!$C:$C,$U160)))</f>
        <v/>
      </c>
      <c r="D160" s="24" t="str">
        <f>IF($U160="","",IF(INDEX('MiT Strom Pipeline'!$D:$D,$U160)="","",INDEX('MiT Strom Pipeline'!$D:$D,$U160)))</f>
        <v/>
      </c>
      <c r="E160" s="24" t="str">
        <f>IF($U160="","",IF(INDEX('MiT Strom Pipeline'!$H:$H,$U160)="","",INDEX('MiT Strom Pipeline'!$H:$H,$U160)))</f>
        <v/>
      </c>
      <c r="F160" s="24" t="str">
        <f>IF($U160="","",IF(INDEX('MiT Strom Pipeline'!$E:$E,$U160)="","",INDEX('MiT Strom Pipeline'!$E:$E,$U160)))</f>
        <v/>
      </c>
      <c r="G160" s="25" t="str">
        <f>IF($U160="","",IF(ISNUMBER(INDEX('MiT Strom Pipeline'!$I:$I,$U160)),INDEX('MiT Strom Pipeline'!$I:$I,$U160),0))</f>
        <v/>
      </c>
      <c r="H160" s="25" t="str">
        <f>IF($U160="","",IF(ISNUMBER(INDEX('MiT Strom Pipeline'!$Q:$Q,$U160)),INDEX('MiT Strom Pipeline'!$Q:$Q,$U160),0))</f>
        <v/>
      </c>
      <c r="I160" s="24" t="str">
        <f>IF($U160="","",INDEX('MiT Strom Pipeline'!$R:$R,$U160))</f>
        <v/>
      </c>
      <c r="J160" s="26" t="str">
        <f>IF($U160="","",IF(ISNUMBER(INDEX('MiT Strom Pipeline'!$S:$S,$U160)),INDEX('MiT Strom Pipeline'!$S:$S,$U160),""))</f>
        <v/>
      </c>
      <c r="K160" s="24" t="str">
        <f>IF($U160="","",IF(LEN(INDEX('MiT Strom Pipeline'!$V:$V,$U160))&gt;0,LEFT(INDEX('MiT Strom Pipeline'!$V:$V,$U160),55),""))</f>
        <v/>
      </c>
      <c r="L160" s="19"/>
      <c r="M160" s="19"/>
      <c r="N160" s="19"/>
      <c r="O160" s="19"/>
      <c r="P160" s="19"/>
      <c r="Q160" s="19"/>
      <c r="R160" s="19"/>
      <c r="S160" s="19"/>
      <c r="U160" t="str">
        <f>IFERROR(MATCH(22,'MiT Strom Pipeline'!$AD$6:$AD$860,0)+5,"")</f>
        <v/>
      </c>
    </row>
    <row r="161" spans="1:21" ht="15.75" customHeight="1">
      <c r="A161" s="23" t="str">
        <f>IF($U161="","",IF(ISNUMBER(INDEX('MiT Strom Pipeline'!$A:$A,$U161)),INDEX('MiT Strom Pipeline'!$A:$A,$U161),""))</f>
        <v/>
      </c>
      <c r="B161" s="24" t="str">
        <f>IF($U161="","",IF(INDEX('MiT Strom Pipeline'!$B:$B,$U161)="","",INDEX('MiT Strom Pipeline'!$B:$B,$U161)))</f>
        <v/>
      </c>
      <c r="C161" s="24" t="str">
        <f>IF($U161="","",IF(INDEX('MiT Strom Pipeline'!$C:$C,$U161)="","",INDEX('MiT Strom Pipeline'!$C:$C,$U161)))</f>
        <v/>
      </c>
      <c r="D161" s="24" t="str">
        <f>IF($U161="","",IF(INDEX('MiT Strom Pipeline'!$D:$D,$U161)="","",INDEX('MiT Strom Pipeline'!$D:$D,$U161)))</f>
        <v/>
      </c>
      <c r="E161" s="24" t="str">
        <f>IF($U161="","",IF(INDEX('MiT Strom Pipeline'!$H:$H,$U161)="","",INDEX('MiT Strom Pipeline'!$H:$H,$U161)))</f>
        <v/>
      </c>
      <c r="F161" s="24" t="str">
        <f>IF($U161="","",IF(INDEX('MiT Strom Pipeline'!$E:$E,$U161)="","",INDEX('MiT Strom Pipeline'!$E:$E,$U161)))</f>
        <v/>
      </c>
      <c r="G161" s="25" t="str">
        <f>IF($U161="","",IF(ISNUMBER(INDEX('MiT Strom Pipeline'!$I:$I,$U161)),INDEX('MiT Strom Pipeline'!$I:$I,$U161),0))</f>
        <v/>
      </c>
      <c r="H161" s="25" t="str">
        <f>IF($U161="","",IF(ISNUMBER(INDEX('MiT Strom Pipeline'!$Q:$Q,$U161)),INDEX('MiT Strom Pipeline'!$Q:$Q,$U161),0))</f>
        <v/>
      </c>
      <c r="I161" s="24" t="str">
        <f>IF($U161="","",INDEX('MiT Strom Pipeline'!$R:$R,$U161))</f>
        <v/>
      </c>
      <c r="J161" s="26" t="str">
        <f>IF($U161="","",IF(ISNUMBER(INDEX('MiT Strom Pipeline'!$S:$S,$U161)),INDEX('MiT Strom Pipeline'!$S:$S,$U161),""))</f>
        <v/>
      </c>
      <c r="K161" s="24" t="str">
        <f>IF($U161="","",IF(LEN(INDEX('MiT Strom Pipeline'!$V:$V,$U161))&gt;0,LEFT(INDEX('MiT Strom Pipeline'!$V:$V,$U161),55),""))</f>
        <v/>
      </c>
      <c r="L161" s="19"/>
      <c r="M161" s="19"/>
      <c r="N161" s="19"/>
      <c r="O161" s="19"/>
      <c r="P161" s="19"/>
      <c r="Q161" s="19"/>
      <c r="R161" s="19"/>
      <c r="S161" s="19"/>
      <c r="U161" t="str">
        <f>IFERROR(MATCH(23,'MiT Strom Pipeline'!$AD$6:$AD$860,0)+5,"")</f>
        <v/>
      </c>
    </row>
    <row r="162" spans="1:21" ht="15.75" customHeight="1">
      <c r="A162" s="23" t="str">
        <f>IF($U162="","",IF(ISNUMBER(INDEX('MiT Strom Pipeline'!$A:$A,$U162)),INDEX('MiT Strom Pipeline'!$A:$A,$U162),""))</f>
        <v/>
      </c>
      <c r="B162" s="24" t="str">
        <f>IF($U162="","",IF(INDEX('MiT Strom Pipeline'!$B:$B,$U162)="","",INDEX('MiT Strom Pipeline'!$B:$B,$U162)))</f>
        <v/>
      </c>
      <c r="C162" s="24" t="str">
        <f>IF($U162="","",IF(INDEX('MiT Strom Pipeline'!$C:$C,$U162)="","",INDEX('MiT Strom Pipeline'!$C:$C,$U162)))</f>
        <v/>
      </c>
      <c r="D162" s="24" t="str">
        <f>IF($U162="","",IF(INDEX('MiT Strom Pipeline'!$D:$D,$U162)="","",INDEX('MiT Strom Pipeline'!$D:$D,$U162)))</f>
        <v/>
      </c>
      <c r="E162" s="24" t="str">
        <f>IF($U162="","",IF(INDEX('MiT Strom Pipeline'!$H:$H,$U162)="","",INDEX('MiT Strom Pipeline'!$H:$H,$U162)))</f>
        <v/>
      </c>
      <c r="F162" s="24" t="str">
        <f>IF($U162="","",IF(INDEX('MiT Strom Pipeline'!$E:$E,$U162)="","",INDEX('MiT Strom Pipeline'!$E:$E,$U162)))</f>
        <v/>
      </c>
      <c r="G162" s="25" t="str">
        <f>IF($U162="","",IF(ISNUMBER(INDEX('MiT Strom Pipeline'!$I:$I,$U162)),INDEX('MiT Strom Pipeline'!$I:$I,$U162),0))</f>
        <v/>
      </c>
      <c r="H162" s="25" t="str">
        <f>IF($U162="","",IF(ISNUMBER(INDEX('MiT Strom Pipeline'!$Q:$Q,$U162)),INDEX('MiT Strom Pipeline'!$Q:$Q,$U162),0))</f>
        <v/>
      </c>
      <c r="I162" s="24" t="str">
        <f>IF($U162="","",INDEX('MiT Strom Pipeline'!$R:$R,$U162))</f>
        <v/>
      </c>
      <c r="J162" s="26" t="str">
        <f>IF($U162="","",IF(ISNUMBER(INDEX('MiT Strom Pipeline'!$S:$S,$U162)),INDEX('MiT Strom Pipeline'!$S:$S,$U162),""))</f>
        <v/>
      </c>
      <c r="K162" s="24" t="str">
        <f>IF($U162="","",IF(LEN(INDEX('MiT Strom Pipeline'!$V:$V,$U162))&gt;0,LEFT(INDEX('MiT Strom Pipeline'!$V:$V,$U162),55),""))</f>
        <v/>
      </c>
      <c r="L162" s="19"/>
      <c r="M162" s="19"/>
      <c r="N162" s="19"/>
      <c r="O162" s="19"/>
      <c r="P162" s="19"/>
      <c r="Q162" s="19"/>
      <c r="R162" s="19"/>
      <c r="S162" s="19"/>
      <c r="U162" t="str">
        <f>IFERROR(MATCH(24,'MiT Strom Pipeline'!$AD$6:$AD$860,0)+5,"")</f>
        <v/>
      </c>
    </row>
    <row r="163" spans="1:21" ht="15.75" customHeight="1">
      <c r="A163" s="23" t="str">
        <f>IF($U163="","",IF(ISNUMBER(INDEX('MiT Strom Pipeline'!$A:$A,$U163)),INDEX('MiT Strom Pipeline'!$A:$A,$U163),""))</f>
        <v/>
      </c>
      <c r="B163" s="24" t="str">
        <f>IF($U163="","",IF(INDEX('MiT Strom Pipeline'!$B:$B,$U163)="","",INDEX('MiT Strom Pipeline'!$B:$B,$U163)))</f>
        <v/>
      </c>
      <c r="C163" s="24" t="str">
        <f>IF($U163="","",IF(INDEX('MiT Strom Pipeline'!$C:$C,$U163)="","",INDEX('MiT Strom Pipeline'!$C:$C,$U163)))</f>
        <v/>
      </c>
      <c r="D163" s="24" t="str">
        <f>IF($U163="","",IF(INDEX('MiT Strom Pipeline'!$D:$D,$U163)="","",INDEX('MiT Strom Pipeline'!$D:$D,$U163)))</f>
        <v/>
      </c>
      <c r="E163" s="24" t="str">
        <f>IF($U163="","",IF(INDEX('MiT Strom Pipeline'!$H:$H,$U163)="","",INDEX('MiT Strom Pipeline'!$H:$H,$U163)))</f>
        <v/>
      </c>
      <c r="F163" s="24" t="str">
        <f>IF($U163="","",IF(INDEX('MiT Strom Pipeline'!$E:$E,$U163)="","",INDEX('MiT Strom Pipeline'!$E:$E,$U163)))</f>
        <v/>
      </c>
      <c r="G163" s="25" t="str">
        <f>IF($U163="","",IF(ISNUMBER(INDEX('MiT Strom Pipeline'!$I:$I,$U163)),INDEX('MiT Strom Pipeline'!$I:$I,$U163),0))</f>
        <v/>
      </c>
      <c r="H163" s="25" t="str">
        <f>IF($U163="","",IF(ISNUMBER(INDEX('MiT Strom Pipeline'!$Q:$Q,$U163)),INDEX('MiT Strom Pipeline'!$Q:$Q,$U163),0))</f>
        <v/>
      </c>
      <c r="I163" s="24" t="str">
        <f>IF($U163="","",INDEX('MiT Strom Pipeline'!$R:$R,$U163))</f>
        <v/>
      </c>
      <c r="J163" s="26" t="str">
        <f>IF($U163="","",IF(ISNUMBER(INDEX('MiT Strom Pipeline'!$S:$S,$U163)),INDEX('MiT Strom Pipeline'!$S:$S,$U163),""))</f>
        <v/>
      </c>
      <c r="K163" s="24" t="str">
        <f>IF($U163="","",IF(LEN(INDEX('MiT Strom Pipeline'!$V:$V,$U163))&gt;0,LEFT(INDEX('MiT Strom Pipeline'!$V:$V,$U163),55),""))</f>
        <v/>
      </c>
      <c r="L163" s="19"/>
      <c r="M163" s="19"/>
      <c r="N163" s="19"/>
      <c r="O163" s="19"/>
      <c r="P163" s="19"/>
      <c r="Q163" s="19"/>
      <c r="R163" s="19"/>
      <c r="S163" s="19"/>
      <c r="U163" t="str">
        <f>IFERROR(MATCH(25,'MiT Strom Pipeline'!$AD$6:$AD$860,0)+5,"")</f>
        <v/>
      </c>
    </row>
    <row r="164" spans="1:21" ht="15.75" customHeight="1">
      <c r="A164" s="23" t="str">
        <f>IF($U164="","",IF(ISNUMBER(INDEX('MiT Strom Pipeline'!$A:$A,$U164)),INDEX('MiT Strom Pipeline'!$A:$A,$U164),""))</f>
        <v/>
      </c>
      <c r="B164" s="24" t="str">
        <f>IF($U164="","",IF(INDEX('MiT Strom Pipeline'!$B:$B,$U164)="","",INDEX('MiT Strom Pipeline'!$B:$B,$U164)))</f>
        <v/>
      </c>
      <c r="C164" s="24" t="str">
        <f>IF($U164="","",IF(INDEX('MiT Strom Pipeline'!$C:$C,$U164)="","",INDEX('MiT Strom Pipeline'!$C:$C,$U164)))</f>
        <v/>
      </c>
      <c r="D164" s="24" t="str">
        <f>IF($U164="","",IF(INDEX('MiT Strom Pipeline'!$D:$D,$U164)="","",INDEX('MiT Strom Pipeline'!$D:$D,$U164)))</f>
        <v/>
      </c>
      <c r="E164" s="24" t="str">
        <f>IF($U164="","",IF(INDEX('MiT Strom Pipeline'!$H:$H,$U164)="","",INDEX('MiT Strom Pipeline'!$H:$H,$U164)))</f>
        <v/>
      </c>
      <c r="F164" s="24" t="str">
        <f>IF($U164="","",IF(INDEX('MiT Strom Pipeline'!$E:$E,$U164)="","",INDEX('MiT Strom Pipeline'!$E:$E,$U164)))</f>
        <v/>
      </c>
      <c r="G164" s="25" t="str">
        <f>IF($U164="","",IF(ISNUMBER(INDEX('MiT Strom Pipeline'!$I:$I,$U164)),INDEX('MiT Strom Pipeline'!$I:$I,$U164),0))</f>
        <v/>
      </c>
      <c r="H164" s="25" t="str">
        <f>IF($U164="","",IF(ISNUMBER(INDEX('MiT Strom Pipeline'!$Q:$Q,$U164)),INDEX('MiT Strom Pipeline'!$Q:$Q,$U164),0))</f>
        <v/>
      </c>
      <c r="I164" s="24" t="str">
        <f>IF($U164="","",INDEX('MiT Strom Pipeline'!$R:$R,$U164))</f>
        <v/>
      </c>
      <c r="J164" s="26" t="str">
        <f>IF($U164="","",IF(ISNUMBER(INDEX('MiT Strom Pipeline'!$S:$S,$U164)),INDEX('MiT Strom Pipeline'!$S:$S,$U164),""))</f>
        <v/>
      </c>
      <c r="K164" s="24" t="str">
        <f>IF($U164="","",IF(LEN(INDEX('MiT Strom Pipeline'!$V:$V,$U164))&gt;0,LEFT(INDEX('MiT Strom Pipeline'!$V:$V,$U164),55),""))</f>
        <v/>
      </c>
      <c r="L164" s="19"/>
      <c r="M164" s="19"/>
      <c r="N164" s="19"/>
      <c r="O164" s="19"/>
      <c r="P164" s="19"/>
      <c r="Q164" s="19"/>
      <c r="R164" s="19"/>
      <c r="S164" s="19"/>
      <c r="U164" t="str">
        <f>IFERROR(MATCH(26,'MiT Strom Pipeline'!$AD$6:$AD$860,0)+5,"")</f>
        <v/>
      </c>
    </row>
    <row r="165" spans="1:21" ht="15.75" customHeight="1">
      <c r="A165" s="23" t="str">
        <f>IF($U165="","",IF(ISNUMBER(INDEX('MiT Strom Pipeline'!$A:$A,$U165)),INDEX('MiT Strom Pipeline'!$A:$A,$U165),""))</f>
        <v/>
      </c>
      <c r="B165" s="24" t="str">
        <f>IF($U165="","",IF(INDEX('MiT Strom Pipeline'!$B:$B,$U165)="","",INDEX('MiT Strom Pipeline'!$B:$B,$U165)))</f>
        <v/>
      </c>
      <c r="C165" s="24" t="str">
        <f>IF($U165="","",IF(INDEX('MiT Strom Pipeline'!$C:$C,$U165)="","",INDEX('MiT Strom Pipeline'!$C:$C,$U165)))</f>
        <v/>
      </c>
      <c r="D165" s="24" t="str">
        <f>IF($U165="","",IF(INDEX('MiT Strom Pipeline'!$D:$D,$U165)="","",INDEX('MiT Strom Pipeline'!$D:$D,$U165)))</f>
        <v/>
      </c>
      <c r="E165" s="24" t="str">
        <f>IF($U165="","",IF(INDEX('MiT Strom Pipeline'!$H:$H,$U165)="","",INDEX('MiT Strom Pipeline'!$H:$H,$U165)))</f>
        <v/>
      </c>
      <c r="F165" s="24" t="str">
        <f>IF($U165="","",IF(INDEX('MiT Strom Pipeline'!$E:$E,$U165)="","",INDEX('MiT Strom Pipeline'!$E:$E,$U165)))</f>
        <v/>
      </c>
      <c r="G165" s="25" t="str">
        <f>IF($U165="","",IF(ISNUMBER(INDEX('MiT Strom Pipeline'!$I:$I,$U165)),INDEX('MiT Strom Pipeline'!$I:$I,$U165),0))</f>
        <v/>
      </c>
      <c r="H165" s="25" t="str">
        <f>IF($U165="","",IF(ISNUMBER(INDEX('MiT Strom Pipeline'!$Q:$Q,$U165)),INDEX('MiT Strom Pipeline'!$Q:$Q,$U165),0))</f>
        <v/>
      </c>
      <c r="I165" s="24" t="str">
        <f>IF($U165="","",INDEX('MiT Strom Pipeline'!$R:$R,$U165))</f>
        <v/>
      </c>
      <c r="J165" s="26" t="str">
        <f>IF($U165="","",IF(ISNUMBER(INDEX('MiT Strom Pipeline'!$S:$S,$U165)),INDEX('MiT Strom Pipeline'!$S:$S,$U165),""))</f>
        <v/>
      </c>
      <c r="K165" s="24" t="str">
        <f>IF($U165="","",IF(LEN(INDEX('MiT Strom Pipeline'!$V:$V,$U165))&gt;0,LEFT(INDEX('MiT Strom Pipeline'!$V:$V,$U165),55),""))</f>
        <v/>
      </c>
      <c r="L165" s="19"/>
      <c r="M165" s="19"/>
      <c r="N165" s="19"/>
      <c r="O165" s="19"/>
      <c r="P165" s="19"/>
      <c r="Q165" s="19"/>
      <c r="R165" s="19"/>
      <c r="S165" s="19"/>
      <c r="U165" t="str">
        <f>IFERROR(MATCH(27,'MiT Strom Pipeline'!$AD$6:$AD$860,0)+5,"")</f>
        <v/>
      </c>
    </row>
    <row r="166" spans="1:21" ht="15.75" customHeight="1">
      <c r="A166" s="23" t="str">
        <f>IF($U166="","",IF(ISNUMBER(INDEX('MiT Strom Pipeline'!$A:$A,$U166)),INDEX('MiT Strom Pipeline'!$A:$A,$U166),""))</f>
        <v/>
      </c>
      <c r="B166" s="24" t="str">
        <f>IF($U166="","",IF(INDEX('MiT Strom Pipeline'!$B:$B,$U166)="","",INDEX('MiT Strom Pipeline'!$B:$B,$U166)))</f>
        <v/>
      </c>
      <c r="C166" s="24" t="str">
        <f>IF($U166="","",IF(INDEX('MiT Strom Pipeline'!$C:$C,$U166)="","",INDEX('MiT Strom Pipeline'!$C:$C,$U166)))</f>
        <v/>
      </c>
      <c r="D166" s="24" t="str">
        <f>IF($U166="","",IF(INDEX('MiT Strom Pipeline'!$D:$D,$U166)="","",INDEX('MiT Strom Pipeline'!$D:$D,$U166)))</f>
        <v/>
      </c>
      <c r="E166" s="24" t="str">
        <f>IF($U166="","",IF(INDEX('MiT Strom Pipeline'!$H:$H,$U166)="","",INDEX('MiT Strom Pipeline'!$H:$H,$U166)))</f>
        <v/>
      </c>
      <c r="F166" s="24" t="str">
        <f>IF($U166="","",IF(INDEX('MiT Strom Pipeline'!$E:$E,$U166)="","",INDEX('MiT Strom Pipeline'!$E:$E,$U166)))</f>
        <v/>
      </c>
      <c r="G166" s="25" t="str">
        <f>IF($U166="","",IF(ISNUMBER(INDEX('MiT Strom Pipeline'!$I:$I,$U166)),INDEX('MiT Strom Pipeline'!$I:$I,$U166),0))</f>
        <v/>
      </c>
      <c r="H166" s="25" t="str">
        <f>IF($U166="","",IF(ISNUMBER(INDEX('MiT Strom Pipeline'!$Q:$Q,$U166)),INDEX('MiT Strom Pipeline'!$Q:$Q,$U166),0))</f>
        <v/>
      </c>
      <c r="I166" s="24" t="str">
        <f>IF($U166="","",INDEX('MiT Strom Pipeline'!$R:$R,$U166))</f>
        <v/>
      </c>
      <c r="J166" s="26" t="str">
        <f>IF($U166="","",IF(ISNUMBER(INDEX('MiT Strom Pipeline'!$S:$S,$U166)),INDEX('MiT Strom Pipeline'!$S:$S,$U166),""))</f>
        <v/>
      </c>
      <c r="K166" s="24" t="str">
        <f>IF($U166="","",IF(LEN(INDEX('MiT Strom Pipeline'!$V:$V,$U166))&gt;0,LEFT(INDEX('MiT Strom Pipeline'!$V:$V,$U166),55),""))</f>
        <v/>
      </c>
      <c r="L166" s="19"/>
      <c r="M166" s="19"/>
      <c r="N166" s="19"/>
      <c r="O166" s="19"/>
      <c r="P166" s="19"/>
      <c r="Q166" s="19"/>
      <c r="R166" s="19"/>
      <c r="S166" s="19"/>
      <c r="U166" t="str">
        <f>IFERROR(MATCH(28,'MiT Strom Pipeline'!$AD$6:$AD$860,0)+5,"")</f>
        <v/>
      </c>
    </row>
    <row r="167" spans="1:21" ht="15.75" customHeight="1">
      <c r="A167" s="23" t="str">
        <f>IF($U167="","",IF(ISNUMBER(INDEX('MiT Strom Pipeline'!$A:$A,$U167)),INDEX('MiT Strom Pipeline'!$A:$A,$U167),""))</f>
        <v/>
      </c>
      <c r="B167" s="24" t="str">
        <f>IF($U167="","",IF(INDEX('MiT Strom Pipeline'!$B:$B,$U167)="","",INDEX('MiT Strom Pipeline'!$B:$B,$U167)))</f>
        <v/>
      </c>
      <c r="C167" s="24" t="str">
        <f>IF($U167="","",IF(INDEX('MiT Strom Pipeline'!$C:$C,$U167)="","",INDEX('MiT Strom Pipeline'!$C:$C,$U167)))</f>
        <v/>
      </c>
      <c r="D167" s="24" t="str">
        <f>IF($U167="","",IF(INDEX('MiT Strom Pipeline'!$D:$D,$U167)="","",INDEX('MiT Strom Pipeline'!$D:$D,$U167)))</f>
        <v/>
      </c>
      <c r="E167" s="24" t="str">
        <f>IF($U167="","",IF(INDEX('MiT Strom Pipeline'!$H:$H,$U167)="","",INDEX('MiT Strom Pipeline'!$H:$H,$U167)))</f>
        <v/>
      </c>
      <c r="F167" s="24" t="str">
        <f>IF($U167="","",IF(INDEX('MiT Strom Pipeline'!$E:$E,$U167)="","",INDEX('MiT Strom Pipeline'!$E:$E,$U167)))</f>
        <v/>
      </c>
      <c r="G167" s="25" t="str">
        <f>IF($U167="","",IF(ISNUMBER(INDEX('MiT Strom Pipeline'!$I:$I,$U167)),INDEX('MiT Strom Pipeline'!$I:$I,$U167),0))</f>
        <v/>
      </c>
      <c r="H167" s="25" t="str">
        <f>IF($U167="","",IF(ISNUMBER(INDEX('MiT Strom Pipeline'!$Q:$Q,$U167)),INDEX('MiT Strom Pipeline'!$Q:$Q,$U167),0))</f>
        <v/>
      </c>
      <c r="I167" s="24" t="str">
        <f>IF($U167="","",INDEX('MiT Strom Pipeline'!$R:$R,$U167))</f>
        <v/>
      </c>
      <c r="J167" s="26" t="str">
        <f>IF($U167="","",IF(ISNUMBER(INDEX('MiT Strom Pipeline'!$S:$S,$U167)),INDEX('MiT Strom Pipeline'!$S:$S,$U167),""))</f>
        <v/>
      </c>
      <c r="K167" s="24" t="str">
        <f>IF($U167="","",IF(LEN(INDEX('MiT Strom Pipeline'!$V:$V,$U167))&gt;0,LEFT(INDEX('MiT Strom Pipeline'!$V:$V,$U167),55),""))</f>
        <v/>
      </c>
      <c r="L167" s="19"/>
      <c r="M167" s="19"/>
      <c r="N167" s="19"/>
      <c r="O167" s="19"/>
      <c r="P167" s="19"/>
      <c r="Q167" s="19"/>
      <c r="R167" s="19"/>
      <c r="S167" s="19"/>
      <c r="U167" t="str">
        <f>IFERROR(MATCH(29,'MiT Strom Pipeline'!$AD$6:$AD$860,0)+5,"")</f>
        <v/>
      </c>
    </row>
    <row r="168" spans="1:21" ht="15.75" customHeight="1">
      <c r="A168" s="23" t="str">
        <f>IF($U168="","",IF(ISNUMBER(INDEX('MiT Strom Pipeline'!$A:$A,$U168)),INDEX('MiT Strom Pipeline'!$A:$A,$U168),""))</f>
        <v/>
      </c>
      <c r="B168" s="24" t="str">
        <f>IF($U168="","",IF(INDEX('MiT Strom Pipeline'!$B:$B,$U168)="","",INDEX('MiT Strom Pipeline'!$B:$B,$U168)))</f>
        <v/>
      </c>
      <c r="C168" s="24" t="str">
        <f>IF($U168="","",IF(INDEX('MiT Strom Pipeline'!$C:$C,$U168)="","",INDEX('MiT Strom Pipeline'!$C:$C,$U168)))</f>
        <v/>
      </c>
      <c r="D168" s="24" t="str">
        <f>IF($U168="","",IF(INDEX('MiT Strom Pipeline'!$D:$D,$U168)="","",INDEX('MiT Strom Pipeline'!$D:$D,$U168)))</f>
        <v/>
      </c>
      <c r="E168" s="24" t="str">
        <f>IF($U168="","",IF(INDEX('MiT Strom Pipeline'!$H:$H,$U168)="","",INDEX('MiT Strom Pipeline'!$H:$H,$U168)))</f>
        <v/>
      </c>
      <c r="F168" s="24" t="str">
        <f>IF($U168="","",IF(INDEX('MiT Strom Pipeline'!$E:$E,$U168)="","",INDEX('MiT Strom Pipeline'!$E:$E,$U168)))</f>
        <v/>
      </c>
      <c r="G168" s="25" t="str">
        <f>IF($U168="","",IF(ISNUMBER(INDEX('MiT Strom Pipeline'!$I:$I,$U168)),INDEX('MiT Strom Pipeline'!$I:$I,$U168),0))</f>
        <v/>
      </c>
      <c r="H168" s="25" t="str">
        <f>IF($U168="","",IF(ISNUMBER(INDEX('MiT Strom Pipeline'!$Q:$Q,$U168)),INDEX('MiT Strom Pipeline'!$Q:$Q,$U168),0))</f>
        <v/>
      </c>
      <c r="I168" s="24" t="str">
        <f>IF($U168="","",INDEX('MiT Strom Pipeline'!$R:$R,$U168))</f>
        <v/>
      </c>
      <c r="J168" s="26" t="str">
        <f>IF($U168="","",IF(ISNUMBER(INDEX('MiT Strom Pipeline'!$S:$S,$U168)),INDEX('MiT Strom Pipeline'!$S:$S,$U168),""))</f>
        <v/>
      </c>
      <c r="K168" s="24" t="str">
        <f>IF($U168="","",IF(LEN(INDEX('MiT Strom Pipeline'!$V:$V,$U168))&gt;0,LEFT(INDEX('MiT Strom Pipeline'!$V:$V,$U168),55),""))</f>
        <v/>
      </c>
      <c r="L168" s="19"/>
      <c r="M168" s="19"/>
      <c r="N168" s="19"/>
      <c r="O168" s="19"/>
      <c r="P168" s="19"/>
      <c r="Q168" s="19"/>
      <c r="R168" s="19"/>
      <c r="S168" s="19"/>
      <c r="U168" t="str">
        <f>IFERROR(MATCH(30,'MiT Strom Pipeline'!$AD$6:$AD$860,0)+5,"")</f>
        <v/>
      </c>
    </row>
    <row r="169" spans="1:21" ht="15.75" customHeight="1">
      <c r="A169" s="23" t="str">
        <f>IF($U169="","",IF(ISNUMBER(INDEX('MiT Strom Pipeline'!$A:$A,$U169)),INDEX('MiT Strom Pipeline'!$A:$A,$U169),""))</f>
        <v/>
      </c>
      <c r="B169" s="24" t="str">
        <f>IF($U169="","",IF(INDEX('MiT Strom Pipeline'!$B:$B,$U169)="","",INDEX('MiT Strom Pipeline'!$B:$B,$U169)))</f>
        <v/>
      </c>
      <c r="C169" s="24" t="str">
        <f>IF($U169="","",IF(INDEX('MiT Strom Pipeline'!$C:$C,$U169)="","",INDEX('MiT Strom Pipeline'!$C:$C,$U169)))</f>
        <v/>
      </c>
      <c r="D169" s="24" t="str">
        <f>IF($U169="","",IF(INDEX('MiT Strom Pipeline'!$D:$D,$U169)="","",INDEX('MiT Strom Pipeline'!$D:$D,$U169)))</f>
        <v/>
      </c>
      <c r="E169" s="24" t="str">
        <f>IF($U169="","",IF(INDEX('MiT Strom Pipeline'!$H:$H,$U169)="","",INDEX('MiT Strom Pipeline'!$H:$H,$U169)))</f>
        <v/>
      </c>
      <c r="F169" s="24" t="str">
        <f>IF($U169="","",IF(INDEX('MiT Strom Pipeline'!$E:$E,$U169)="","",INDEX('MiT Strom Pipeline'!$E:$E,$U169)))</f>
        <v/>
      </c>
      <c r="G169" s="25" t="str">
        <f>IF($U169="","",IF(ISNUMBER(INDEX('MiT Strom Pipeline'!$I:$I,$U169)),INDEX('MiT Strom Pipeline'!$I:$I,$U169),0))</f>
        <v/>
      </c>
      <c r="H169" s="25" t="str">
        <f>IF($U169="","",IF(ISNUMBER(INDEX('MiT Strom Pipeline'!$Q:$Q,$U169)),INDEX('MiT Strom Pipeline'!$Q:$Q,$U169),0))</f>
        <v/>
      </c>
      <c r="I169" s="24" t="str">
        <f>IF($U169="","",INDEX('MiT Strom Pipeline'!$R:$R,$U169))</f>
        <v/>
      </c>
      <c r="J169" s="26" t="str">
        <f>IF($U169="","",IF(ISNUMBER(INDEX('MiT Strom Pipeline'!$S:$S,$U169)),INDEX('MiT Strom Pipeline'!$S:$S,$U169),""))</f>
        <v/>
      </c>
      <c r="K169" s="24" t="str">
        <f>IF($U169="","",IF(LEN(INDEX('MiT Strom Pipeline'!$V:$V,$U169))&gt;0,LEFT(INDEX('MiT Strom Pipeline'!$V:$V,$U169),55),""))</f>
        <v/>
      </c>
      <c r="L169" s="19"/>
      <c r="M169" s="19"/>
      <c r="N169" s="19"/>
      <c r="O169" s="19"/>
      <c r="P169" s="19"/>
      <c r="Q169" s="19"/>
      <c r="R169" s="19"/>
      <c r="S169" s="19"/>
      <c r="U169" t="str">
        <f>IFERROR(MATCH(31,'MiT Strom Pipeline'!$AD$6:$AD$860,0)+5,"")</f>
        <v/>
      </c>
    </row>
    <row r="170" spans="1:21" ht="15.75" customHeight="1">
      <c r="A170" s="23" t="str">
        <f>IF($U170="","",IF(ISNUMBER(INDEX('MiT Strom Pipeline'!$A:$A,$U170)),INDEX('MiT Strom Pipeline'!$A:$A,$U170),""))</f>
        <v/>
      </c>
      <c r="B170" s="24" t="str">
        <f>IF($U170="","",IF(INDEX('MiT Strom Pipeline'!$B:$B,$U170)="","",INDEX('MiT Strom Pipeline'!$B:$B,$U170)))</f>
        <v/>
      </c>
      <c r="C170" s="24" t="str">
        <f>IF($U170="","",IF(INDEX('MiT Strom Pipeline'!$C:$C,$U170)="","",INDEX('MiT Strom Pipeline'!$C:$C,$U170)))</f>
        <v/>
      </c>
      <c r="D170" s="24" t="str">
        <f>IF($U170="","",IF(INDEX('MiT Strom Pipeline'!$D:$D,$U170)="","",INDEX('MiT Strom Pipeline'!$D:$D,$U170)))</f>
        <v/>
      </c>
      <c r="E170" s="24" t="str">
        <f>IF($U170="","",IF(INDEX('MiT Strom Pipeline'!$H:$H,$U170)="","",INDEX('MiT Strom Pipeline'!$H:$H,$U170)))</f>
        <v/>
      </c>
      <c r="F170" s="24" t="str">
        <f>IF($U170="","",IF(INDEX('MiT Strom Pipeline'!$E:$E,$U170)="","",INDEX('MiT Strom Pipeline'!$E:$E,$U170)))</f>
        <v/>
      </c>
      <c r="G170" s="25" t="str">
        <f>IF($U170="","",IF(ISNUMBER(INDEX('MiT Strom Pipeline'!$I:$I,$U170)),INDEX('MiT Strom Pipeline'!$I:$I,$U170),0))</f>
        <v/>
      </c>
      <c r="H170" s="25" t="str">
        <f>IF($U170="","",IF(ISNUMBER(INDEX('MiT Strom Pipeline'!$Q:$Q,$U170)),INDEX('MiT Strom Pipeline'!$Q:$Q,$U170),0))</f>
        <v/>
      </c>
      <c r="I170" s="24" t="str">
        <f>IF($U170="","",INDEX('MiT Strom Pipeline'!$R:$R,$U170))</f>
        <v/>
      </c>
      <c r="J170" s="26" t="str">
        <f>IF($U170="","",IF(ISNUMBER(INDEX('MiT Strom Pipeline'!$S:$S,$U170)),INDEX('MiT Strom Pipeline'!$S:$S,$U170),""))</f>
        <v/>
      </c>
      <c r="K170" s="24" t="str">
        <f>IF($U170="","",IF(LEN(INDEX('MiT Strom Pipeline'!$V:$V,$U170))&gt;0,LEFT(INDEX('MiT Strom Pipeline'!$V:$V,$U170),55),""))</f>
        <v/>
      </c>
      <c r="L170" s="19"/>
      <c r="M170" s="19"/>
      <c r="N170" s="19"/>
      <c r="O170" s="19"/>
      <c r="P170" s="19"/>
      <c r="Q170" s="19"/>
      <c r="R170" s="19"/>
      <c r="S170" s="19"/>
      <c r="U170" t="str">
        <f>IFERROR(MATCH(32,'MiT Strom Pipeline'!$AD$6:$AD$860,0)+5,"")</f>
        <v/>
      </c>
    </row>
    <row r="171" spans="1:21" ht="15.75" customHeight="1">
      <c r="A171" s="23" t="str">
        <f>IF($U171="","",IF(ISNUMBER(INDEX('MiT Strom Pipeline'!$A:$A,$U171)),INDEX('MiT Strom Pipeline'!$A:$A,$U171),""))</f>
        <v/>
      </c>
      <c r="B171" s="24" t="str">
        <f>IF($U171="","",IF(INDEX('MiT Strom Pipeline'!$B:$B,$U171)="","",INDEX('MiT Strom Pipeline'!$B:$B,$U171)))</f>
        <v/>
      </c>
      <c r="C171" s="24" t="str">
        <f>IF($U171="","",IF(INDEX('MiT Strom Pipeline'!$C:$C,$U171)="","",INDEX('MiT Strom Pipeline'!$C:$C,$U171)))</f>
        <v/>
      </c>
      <c r="D171" s="24" t="str">
        <f>IF($U171="","",IF(INDEX('MiT Strom Pipeline'!$D:$D,$U171)="","",INDEX('MiT Strom Pipeline'!$D:$D,$U171)))</f>
        <v/>
      </c>
      <c r="E171" s="29" t="str">
        <f>IF($U171="","",IF(INDEX('MiT Strom Pipeline'!$H:$H,$U171)="","",INDEX('MiT Strom Pipeline'!$H:$H,$U171)))</f>
        <v/>
      </c>
      <c r="F171" s="24" t="str">
        <f>IF($U171="","",IF(INDEX('MiT Strom Pipeline'!$E:$E,$U171)="","",INDEX('MiT Strom Pipeline'!$E:$E,$U171)))</f>
        <v/>
      </c>
      <c r="G171" s="25" t="str">
        <f>IF($U171="","",IF(ISNUMBER(INDEX('MiT Strom Pipeline'!$I:$I,$U171)),INDEX('MiT Strom Pipeline'!$I:$I,$U171),0))</f>
        <v/>
      </c>
      <c r="H171" s="25" t="str">
        <f>IF($U171="","",IF(ISNUMBER(INDEX('MiT Strom Pipeline'!$Q:$Q,$U171)),INDEX('MiT Strom Pipeline'!$Q:$Q,$U171),0))</f>
        <v/>
      </c>
      <c r="I171" s="24" t="str">
        <f>IF($U171="","",INDEX('MiT Strom Pipeline'!$R:$R,$U171))</f>
        <v/>
      </c>
      <c r="J171" s="26" t="str">
        <f>IF($U171="","",IF(ISNUMBER(INDEX('MiT Strom Pipeline'!$S:$S,$U171)),INDEX('MiT Strom Pipeline'!$S:$S,$U171),""))</f>
        <v/>
      </c>
      <c r="K171" s="24" t="str">
        <f>IF($U171="","",IF(LEN(INDEX('MiT Strom Pipeline'!$V:$V,$U171))&gt;0,LEFT(INDEX('MiT Strom Pipeline'!$V:$V,$U171),55),""))</f>
        <v/>
      </c>
      <c r="L171" s="19"/>
      <c r="M171" s="19"/>
      <c r="N171" s="19"/>
      <c r="O171" s="19"/>
      <c r="P171" s="19"/>
      <c r="Q171" s="19"/>
      <c r="R171" s="19"/>
      <c r="S171" s="19"/>
      <c r="U171" t="str">
        <f>IFERROR(MATCH(33,'MiT Strom Pipeline'!$AD$6:$AD$860,0)+5,"")</f>
        <v/>
      </c>
    </row>
    <row r="172" spans="1:21" ht="15.75" customHeight="1">
      <c r="A172" s="23" t="str">
        <f>IF($U172="","",IF(ISNUMBER(INDEX('MiT Strom Pipeline'!$A:$A,$U172)),INDEX('MiT Strom Pipeline'!$A:$A,$U172),""))</f>
        <v/>
      </c>
      <c r="B172" s="24" t="str">
        <f>IF($U172="","",IF(INDEX('MiT Strom Pipeline'!$B:$B,$U172)="","",INDEX('MiT Strom Pipeline'!$B:$B,$U172)))</f>
        <v/>
      </c>
      <c r="C172" s="24" t="str">
        <f>IF($U172="","",IF(INDEX('MiT Strom Pipeline'!$C:$C,$U172)="","",INDEX('MiT Strom Pipeline'!$C:$C,$U172)))</f>
        <v/>
      </c>
      <c r="D172" s="24" t="str">
        <f>IF($U172="","",IF(INDEX('MiT Strom Pipeline'!$D:$D,$U172)="","",INDEX('MiT Strom Pipeline'!$D:$D,$U172)))</f>
        <v/>
      </c>
      <c r="E172" s="24" t="str">
        <f>IF($U172="","",IF(INDEX('MiT Strom Pipeline'!$H:$H,$U172)="","",INDEX('MiT Strom Pipeline'!$H:$H,$U172)))</f>
        <v/>
      </c>
      <c r="F172" s="24" t="str">
        <f>IF($U172="","",IF(INDEX('MiT Strom Pipeline'!$E:$E,$U172)="","",INDEX('MiT Strom Pipeline'!$E:$E,$U172)))</f>
        <v/>
      </c>
      <c r="G172" s="25" t="str">
        <f>IF($U172="","",IF(ISNUMBER(INDEX('MiT Strom Pipeline'!$I:$I,$U172)),INDEX('MiT Strom Pipeline'!$I:$I,$U172),0))</f>
        <v/>
      </c>
      <c r="H172" s="25" t="str">
        <f>IF($U172="","",IF(ISNUMBER(INDEX('MiT Strom Pipeline'!$Q:$Q,$U172)),INDEX('MiT Strom Pipeline'!$Q:$Q,$U172),0))</f>
        <v/>
      </c>
      <c r="I172" s="24" t="str">
        <f>IF($U172="","",INDEX('MiT Strom Pipeline'!$R:$R,$U172))</f>
        <v/>
      </c>
      <c r="J172" s="26" t="str">
        <f>IF($U172="","",IF(ISNUMBER(INDEX('MiT Strom Pipeline'!$S:$S,$U172)),INDEX('MiT Strom Pipeline'!$S:$S,$U172),""))</f>
        <v/>
      </c>
      <c r="K172" s="24" t="str">
        <f>IF($U172="","",IF(LEN(INDEX('MiT Strom Pipeline'!$V:$V,$U172))&gt;0,LEFT(INDEX('MiT Strom Pipeline'!$V:$V,$U172),55),""))</f>
        <v/>
      </c>
      <c r="L172" s="19"/>
      <c r="M172" s="19"/>
      <c r="N172" s="19"/>
      <c r="O172" s="19"/>
      <c r="P172" s="19"/>
      <c r="Q172" s="19"/>
      <c r="R172" s="19"/>
      <c r="S172" s="19"/>
      <c r="U172" t="str">
        <f>IFERROR(MATCH(34,'MiT Strom Pipeline'!$AD$6:$AD$860,0)+5,"")</f>
        <v/>
      </c>
    </row>
    <row r="173" spans="1:21" ht="15.75" customHeight="1">
      <c r="A173" s="23" t="str">
        <f>IF($U173="","",IF(ISNUMBER(INDEX('MiT Strom Pipeline'!$A:$A,$U173)),INDEX('MiT Strom Pipeline'!$A:$A,$U173),""))</f>
        <v/>
      </c>
      <c r="B173" s="24" t="str">
        <f>IF($U173="","",IF(INDEX('MiT Strom Pipeline'!$B:$B,$U173)="","",INDEX('MiT Strom Pipeline'!$B:$B,$U173)))</f>
        <v/>
      </c>
      <c r="C173" s="24" t="str">
        <f>IF($U173="","",IF(INDEX('MiT Strom Pipeline'!$C:$C,$U173)="","",INDEX('MiT Strom Pipeline'!$C:$C,$U173)))</f>
        <v/>
      </c>
      <c r="D173" s="24" t="str">
        <f>IF($U173="","",IF(INDEX('MiT Strom Pipeline'!$D:$D,$U173)="","",INDEX('MiT Strom Pipeline'!$D:$D,$U173)))</f>
        <v/>
      </c>
      <c r="E173" s="24" t="str">
        <f>IF($U173="","",IF(INDEX('MiT Strom Pipeline'!$H:$H,$U173)="","",INDEX('MiT Strom Pipeline'!$H:$H,$U173)))</f>
        <v/>
      </c>
      <c r="F173" s="24" t="str">
        <f>IF($U173="","",IF(INDEX('MiT Strom Pipeline'!$E:$E,$U173)="","",INDEX('MiT Strom Pipeline'!$E:$E,$U173)))</f>
        <v/>
      </c>
      <c r="G173" s="25" t="str">
        <f>IF($U173="","",IF(ISNUMBER(INDEX('MiT Strom Pipeline'!$I:$I,$U173)),INDEX('MiT Strom Pipeline'!$I:$I,$U173),0))</f>
        <v/>
      </c>
      <c r="H173" s="25" t="str">
        <f>IF($U173="","",IF(ISNUMBER(INDEX('MiT Strom Pipeline'!$Q:$Q,$U173)),INDEX('MiT Strom Pipeline'!$Q:$Q,$U173),0))</f>
        <v/>
      </c>
      <c r="I173" s="24" t="str">
        <f>IF($U173="","",INDEX('MiT Strom Pipeline'!$R:$R,$U173))</f>
        <v/>
      </c>
      <c r="J173" s="26" t="str">
        <f>IF($U173="","",IF(ISNUMBER(INDEX('MiT Strom Pipeline'!$S:$S,$U173)),INDEX('MiT Strom Pipeline'!$S:$S,$U173),""))</f>
        <v/>
      </c>
      <c r="K173" s="24" t="str">
        <f>IF($U173="","",IF(LEN(INDEX('MiT Strom Pipeline'!$V:$V,$U173))&gt;0,LEFT(INDEX('MiT Strom Pipeline'!$V:$V,$U173),55),""))</f>
        <v/>
      </c>
      <c r="L173" s="19"/>
      <c r="M173" s="19"/>
      <c r="N173" s="19"/>
      <c r="O173" s="19"/>
      <c r="P173" s="19"/>
      <c r="Q173" s="19"/>
      <c r="R173" s="19"/>
      <c r="S173" s="19"/>
      <c r="U173" t="str">
        <f>IFERROR(MATCH(35,'MiT Strom Pipeline'!$AD$6:$AD$860,0)+5,"")</f>
        <v/>
      </c>
    </row>
    <row r="174" spans="1:21" ht="15.75" customHeight="1">
      <c r="A174" s="23" t="str">
        <f>IF($U174="","",IF(ISNUMBER(INDEX('MiT Strom Pipeline'!$A:$A,$U174)),INDEX('MiT Strom Pipeline'!$A:$A,$U174),""))</f>
        <v/>
      </c>
      <c r="B174" s="24" t="str">
        <f>IF($U174="","",IF(INDEX('MiT Strom Pipeline'!$B:$B,$U174)="","",INDEX('MiT Strom Pipeline'!$B:$B,$U174)))</f>
        <v/>
      </c>
      <c r="C174" s="24" t="str">
        <f>IF($U174="","",IF(INDEX('MiT Strom Pipeline'!$C:$C,$U174)="","",INDEX('MiT Strom Pipeline'!$C:$C,$U174)))</f>
        <v/>
      </c>
      <c r="D174" s="24" t="str">
        <f>IF($U174="","",IF(INDEX('MiT Strom Pipeline'!$D:$D,$U174)="","",INDEX('MiT Strom Pipeline'!$D:$D,$U174)))</f>
        <v/>
      </c>
      <c r="E174" s="24" t="str">
        <f>IF($U174="","",IF(INDEX('MiT Strom Pipeline'!$H:$H,$U174)="","",INDEX('MiT Strom Pipeline'!$H:$H,$U174)))</f>
        <v/>
      </c>
      <c r="F174" s="24" t="str">
        <f>IF($U174="","",IF(INDEX('MiT Strom Pipeline'!$E:$E,$U174)="","",INDEX('MiT Strom Pipeline'!$E:$E,$U174)))</f>
        <v/>
      </c>
      <c r="G174" s="25" t="str">
        <f>IF($U174="","",IF(ISNUMBER(INDEX('MiT Strom Pipeline'!$I:$I,$U174)),INDEX('MiT Strom Pipeline'!$I:$I,$U174),0))</f>
        <v/>
      </c>
      <c r="H174" s="25" t="str">
        <f>IF($U174="","",IF(ISNUMBER(INDEX('MiT Strom Pipeline'!$Q:$Q,$U174)),INDEX('MiT Strom Pipeline'!$Q:$Q,$U174),0))</f>
        <v/>
      </c>
      <c r="I174" s="24" t="str">
        <f>IF($U174="","",INDEX('MiT Strom Pipeline'!$R:$R,$U174))</f>
        <v/>
      </c>
      <c r="J174" s="26" t="str">
        <f>IF($U174="","",IF(ISNUMBER(INDEX('MiT Strom Pipeline'!$S:$S,$U174)),INDEX('MiT Strom Pipeline'!$S:$S,$U174),""))</f>
        <v/>
      </c>
      <c r="K174" s="24" t="str">
        <f>IF($U174="","",IF(LEN(INDEX('MiT Strom Pipeline'!$V:$V,$U174))&gt;0,LEFT(INDEX('MiT Strom Pipeline'!$V:$V,$U174),55),""))</f>
        <v/>
      </c>
      <c r="L174" s="19"/>
      <c r="M174" s="19"/>
      <c r="N174" s="19"/>
      <c r="O174" s="19"/>
      <c r="P174" s="19"/>
      <c r="Q174" s="19"/>
      <c r="R174" s="19"/>
      <c r="S174" s="19"/>
      <c r="U174" t="str">
        <f>IFERROR(MATCH(36,'MiT Strom Pipeline'!$AD$6:$AD$860,0)+5,"")</f>
        <v/>
      </c>
    </row>
    <row r="175" spans="1:21" ht="15.75" customHeight="1">
      <c r="A175" s="23" t="str">
        <f>IF($U175="","",IF(ISNUMBER(INDEX('MiT Strom Pipeline'!$A:$A,$U175)),INDEX('MiT Strom Pipeline'!$A:$A,$U175),""))</f>
        <v/>
      </c>
      <c r="B175" s="24" t="str">
        <f>IF($U175="","",IF(INDEX('MiT Strom Pipeline'!$B:$B,$U175)="","",INDEX('MiT Strom Pipeline'!$B:$B,$U175)))</f>
        <v/>
      </c>
      <c r="C175" s="24" t="str">
        <f>IF($U175="","",IF(INDEX('MiT Strom Pipeline'!$C:$C,$U175)="","",INDEX('MiT Strom Pipeline'!$C:$C,$U175)))</f>
        <v/>
      </c>
      <c r="D175" s="24" t="str">
        <f>IF($U175="","",IF(INDEX('MiT Strom Pipeline'!$D:$D,$U175)="","",INDEX('MiT Strom Pipeline'!$D:$D,$U175)))</f>
        <v/>
      </c>
      <c r="E175" s="24" t="str">
        <f>IF($U175="","",IF(INDEX('MiT Strom Pipeline'!$H:$H,$U175)="","",INDEX('MiT Strom Pipeline'!$H:$H,$U175)))</f>
        <v/>
      </c>
      <c r="F175" s="24" t="str">
        <f>IF($U175="","",IF(INDEX('MiT Strom Pipeline'!$E:$E,$U175)="","",INDEX('MiT Strom Pipeline'!$E:$E,$U175)))</f>
        <v/>
      </c>
      <c r="G175" s="25" t="str">
        <f>IF($U175="","",IF(ISNUMBER(INDEX('MiT Strom Pipeline'!$I:$I,$U175)),INDEX('MiT Strom Pipeline'!$I:$I,$U175),0))</f>
        <v/>
      </c>
      <c r="H175" s="25" t="str">
        <f>IF($U175="","",IF(ISNUMBER(INDEX('MiT Strom Pipeline'!$Q:$Q,$U175)),INDEX('MiT Strom Pipeline'!$Q:$Q,$U175),0))</f>
        <v/>
      </c>
      <c r="I175" s="24" t="str">
        <f>IF($U175="","",INDEX('MiT Strom Pipeline'!$R:$R,$U175))</f>
        <v/>
      </c>
      <c r="J175" s="26" t="str">
        <f>IF($U175="","",IF(ISNUMBER(INDEX('MiT Strom Pipeline'!$S:$S,$U175)),INDEX('MiT Strom Pipeline'!$S:$S,$U175),""))</f>
        <v/>
      </c>
      <c r="K175" s="24" t="str">
        <f>IF($U175="","",IF(LEN(INDEX('MiT Strom Pipeline'!$V:$V,$U175))&gt;0,LEFT(INDEX('MiT Strom Pipeline'!$V:$V,$U175),55),""))</f>
        <v/>
      </c>
      <c r="L175" s="19"/>
      <c r="M175" s="19"/>
      <c r="N175" s="19"/>
      <c r="O175" s="19"/>
      <c r="P175" s="19"/>
      <c r="Q175" s="19"/>
      <c r="R175" s="19"/>
      <c r="S175" s="19"/>
      <c r="U175" t="str">
        <f>IFERROR(MATCH(37,'MiT Strom Pipeline'!$AD$6:$AD$860,0)+5,"")</f>
        <v/>
      </c>
    </row>
    <row r="176" spans="1:21" ht="15.75" customHeight="1">
      <c r="A176" s="23" t="str">
        <f>IF($U176="","",IF(ISNUMBER(INDEX('MiT Strom Pipeline'!$A:$A,$U176)),INDEX('MiT Strom Pipeline'!$A:$A,$U176),""))</f>
        <v/>
      </c>
      <c r="B176" s="24" t="str">
        <f>IF($U176="","",IF(INDEX('MiT Strom Pipeline'!$B:$B,$U176)="","",INDEX('MiT Strom Pipeline'!$B:$B,$U176)))</f>
        <v/>
      </c>
      <c r="C176" s="24" t="str">
        <f>IF($U176="","",IF(INDEX('MiT Strom Pipeline'!$C:$C,$U176)="","",INDEX('MiT Strom Pipeline'!$C:$C,$U176)))</f>
        <v/>
      </c>
      <c r="D176" s="24" t="str">
        <f>IF($U176="","",IF(INDEX('MiT Strom Pipeline'!$D:$D,$U176)="","",INDEX('MiT Strom Pipeline'!$D:$D,$U176)))</f>
        <v/>
      </c>
      <c r="E176" s="24" t="str">
        <f>IF($U176="","",IF(INDEX('MiT Strom Pipeline'!$H:$H,$U176)="","",INDEX('MiT Strom Pipeline'!$H:$H,$U176)))</f>
        <v/>
      </c>
      <c r="F176" s="24" t="str">
        <f>IF($U176="","",IF(INDEX('MiT Strom Pipeline'!$E:$E,$U176)="","",INDEX('MiT Strom Pipeline'!$E:$E,$U176)))</f>
        <v/>
      </c>
      <c r="G176" s="25" t="str">
        <f>IF($U176="","",IF(ISNUMBER(INDEX('MiT Strom Pipeline'!$I:$I,$U176)),INDEX('MiT Strom Pipeline'!$I:$I,$U176),0))</f>
        <v/>
      </c>
      <c r="H176" s="25" t="str">
        <f>IF($U176="","",IF(ISNUMBER(INDEX('MiT Strom Pipeline'!$Q:$Q,$U176)),INDEX('MiT Strom Pipeline'!$Q:$Q,$U176),0))</f>
        <v/>
      </c>
      <c r="I176" s="24" t="str">
        <f>IF($U176="","",INDEX('MiT Strom Pipeline'!$R:$R,$U176))</f>
        <v/>
      </c>
      <c r="J176" s="26" t="str">
        <f>IF($U176="","",IF(ISNUMBER(INDEX('MiT Strom Pipeline'!$S:$S,$U176)),INDEX('MiT Strom Pipeline'!$S:$S,$U176),""))</f>
        <v/>
      </c>
      <c r="K176" s="24" t="str">
        <f>IF($U176="","",IF(LEN(INDEX('MiT Strom Pipeline'!$V:$V,$U176))&gt;0,LEFT(INDEX('MiT Strom Pipeline'!$V:$V,$U176),55),""))</f>
        <v/>
      </c>
      <c r="L176" s="19"/>
      <c r="M176" s="19"/>
      <c r="N176" s="19"/>
      <c r="O176" s="19"/>
      <c r="P176" s="19"/>
      <c r="Q176" s="19"/>
      <c r="R176" s="19"/>
      <c r="S176" s="19"/>
      <c r="U176" t="str">
        <f>IFERROR(MATCH(38,'MiT Strom Pipeline'!$AD$6:$AD$860,0)+5,"")</f>
        <v/>
      </c>
    </row>
    <row r="177" spans="1:21" ht="15.75" customHeight="1">
      <c r="A177" s="23" t="str">
        <f>IF($U177="","",IF(ISNUMBER(INDEX('MiT Strom Pipeline'!$A:$A,$U177)),INDEX('MiT Strom Pipeline'!$A:$A,$U177),""))</f>
        <v/>
      </c>
      <c r="B177" s="24" t="str">
        <f>IF($U177="","",IF(INDEX('MiT Strom Pipeline'!$B:$B,$U177)="","",INDEX('MiT Strom Pipeline'!$B:$B,$U177)))</f>
        <v/>
      </c>
      <c r="C177" s="24" t="str">
        <f>IF($U177="","",IF(INDEX('MiT Strom Pipeline'!$C:$C,$U177)="","",INDEX('MiT Strom Pipeline'!$C:$C,$U177)))</f>
        <v/>
      </c>
      <c r="D177" s="24" t="str">
        <f>IF($U177="","",IF(INDEX('MiT Strom Pipeline'!$D:$D,$U177)="","",INDEX('MiT Strom Pipeline'!$D:$D,$U177)))</f>
        <v/>
      </c>
      <c r="E177" s="24" t="str">
        <f>IF($U177="","",IF(INDEX('MiT Strom Pipeline'!$H:$H,$U177)="","",INDEX('MiT Strom Pipeline'!$H:$H,$U177)))</f>
        <v/>
      </c>
      <c r="F177" s="24" t="str">
        <f>IF($U177="","",IF(INDEX('MiT Strom Pipeline'!$E:$E,$U177)="","",INDEX('MiT Strom Pipeline'!$E:$E,$U177)))</f>
        <v/>
      </c>
      <c r="G177" s="25" t="str">
        <f>IF($U177="","",IF(ISNUMBER(INDEX('MiT Strom Pipeline'!$I:$I,$U177)),INDEX('MiT Strom Pipeline'!$I:$I,$U177),0))</f>
        <v/>
      </c>
      <c r="H177" s="25" t="str">
        <f>IF($U177="","",IF(ISNUMBER(INDEX('MiT Strom Pipeline'!$Q:$Q,$U177)),INDEX('MiT Strom Pipeline'!$Q:$Q,$U177),0))</f>
        <v/>
      </c>
      <c r="I177" s="24" t="str">
        <f>IF($U177="","",INDEX('MiT Strom Pipeline'!$R:$R,$U177))</f>
        <v/>
      </c>
      <c r="J177" s="26" t="str">
        <f>IF($U177="","",IF(ISNUMBER(INDEX('MiT Strom Pipeline'!$S:$S,$U177)),INDEX('MiT Strom Pipeline'!$S:$S,$U177),""))</f>
        <v/>
      </c>
      <c r="K177" s="24" t="str">
        <f>IF($U177="","",IF(LEN(INDEX('MiT Strom Pipeline'!$V:$V,$U177))&gt;0,LEFT(INDEX('MiT Strom Pipeline'!$V:$V,$U177),55),""))</f>
        <v/>
      </c>
      <c r="L177" s="19"/>
      <c r="M177" s="19"/>
      <c r="N177" s="19"/>
      <c r="O177" s="19"/>
      <c r="P177" s="19"/>
      <c r="Q177" s="19"/>
      <c r="R177" s="19"/>
      <c r="S177" s="19"/>
      <c r="U177" t="str">
        <f>IFERROR(MATCH(39,'MiT Strom Pipeline'!$AD$6:$AD$860,0)+5,"")</f>
        <v/>
      </c>
    </row>
    <row r="178" spans="1:21" ht="15.75" customHeight="1">
      <c r="A178" s="23" t="str">
        <f>IF($U178="","",IF(ISNUMBER(INDEX('MiT Strom Pipeline'!$A:$A,$U178)),INDEX('MiT Strom Pipeline'!$A:$A,$U178),""))</f>
        <v/>
      </c>
      <c r="B178" s="24" t="str">
        <f>IF($U178="","",IF(INDEX('MiT Strom Pipeline'!$B:$B,$U178)="","",INDEX('MiT Strom Pipeline'!$B:$B,$U178)))</f>
        <v/>
      </c>
      <c r="C178" s="24" t="str">
        <f>IF($U178="","",IF(INDEX('MiT Strom Pipeline'!$C:$C,$U178)="","",INDEX('MiT Strom Pipeline'!$C:$C,$U178)))</f>
        <v/>
      </c>
      <c r="D178" s="24" t="str">
        <f>IF($U178="","",IF(INDEX('MiT Strom Pipeline'!$D:$D,$U178)="","",INDEX('MiT Strom Pipeline'!$D:$D,$U178)))</f>
        <v/>
      </c>
      <c r="E178" s="24" t="str">
        <f>IF($U178="","",IF(INDEX('MiT Strom Pipeline'!$H:$H,$U178)="","",INDEX('MiT Strom Pipeline'!$H:$H,$U178)))</f>
        <v/>
      </c>
      <c r="F178" s="24" t="str">
        <f>IF($U178="","",IF(INDEX('MiT Strom Pipeline'!$E:$E,$U178)="","",INDEX('MiT Strom Pipeline'!$E:$E,$U178)))</f>
        <v/>
      </c>
      <c r="G178" s="25" t="str">
        <f>IF($U178="","",IF(ISNUMBER(INDEX('MiT Strom Pipeline'!$I:$I,$U178)),INDEX('MiT Strom Pipeline'!$I:$I,$U178),0))</f>
        <v/>
      </c>
      <c r="H178" s="25" t="str">
        <f>IF($U178="","",IF(ISNUMBER(INDEX('MiT Strom Pipeline'!$Q:$Q,$U178)),INDEX('MiT Strom Pipeline'!$Q:$Q,$U178),0))</f>
        <v/>
      </c>
      <c r="I178" s="24" t="str">
        <f>IF($U178="","",INDEX('MiT Strom Pipeline'!$R:$R,$U178))</f>
        <v/>
      </c>
      <c r="J178" s="26" t="str">
        <f>IF($U178="","",IF(ISNUMBER(INDEX('MiT Strom Pipeline'!$S:$S,$U178)),INDEX('MiT Strom Pipeline'!$S:$S,$U178),""))</f>
        <v/>
      </c>
      <c r="K178" s="24" t="str">
        <f>IF($U178="","",IF(LEN(INDEX('MiT Strom Pipeline'!$V:$V,$U178))&gt;0,LEFT(INDEX('MiT Strom Pipeline'!$V:$V,$U178),55),""))</f>
        <v/>
      </c>
      <c r="L178" s="19"/>
      <c r="M178" s="19"/>
      <c r="N178" s="19"/>
      <c r="O178" s="19"/>
      <c r="P178" s="19"/>
      <c r="Q178" s="19"/>
      <c r="R178" s="19"/>
      <c r="S178" s="19"/>
      <c r="U178" t="str">
        <f>IFERROR(MATCH(40,'MiT Strom Pipeline'!$AD$6:$AD$860,0)+5,"")</f>
        <v/>
      </c>
    </row>
    <row r="179" spans="1:21" ht="15.75" customHeight="1">
      <c r="A179" s="23" t="str">
        <f>IF($U179="","",IF(ISNUMBER(INDEX('MiT Strom Pipeline'!$A:$A,$U179)),INDEX('MiT Strom Pipeline'!$A:$A,$U179),""))</f>
        <v/>
      </c>
      <c r="B179" s="24" t="str">
        <f>IF($U179="","",IF(INDEX('MiT Strom Pipeline'!$B:$B,$U179)="","",INDEX('MiT Strom Pipeline'!$B:$B,$U179)))</f>
        <v/>
      </c>
      <c r="C179" s="24" t="str">
        <f>IF($U179="","",IF(INDEX('MiT Strom Pipeline'!$C:$C,$U179)="","",INDEX('MiT Strom Pipeline'!$C:$C,$U179)))</f>
        <v/>
      </c>
      <c r="D179" s="24" t="str">
        <f>IF($U179="","",IF(INDEX('MiT Strom Pipeline'!$D:$D,$U179)="","",INDEX('MiT Strom Pipeline'!$D:$D,$U179)))</f>
        <v/>
      </c>
      <c r="E179" s="24" t="str">
        <f>IF($U179="","",IF(INDEX('MiT Strom Pipeline'!$H:$H,$U179)="","",INDEX('MiT Strom Pipeline'!$H:$H,$U179)))</f>
        <v/>
      </c>
      <c r="F179" s="24" t="str">
        <f>IF($U179="","",IF(INDEX('MiT Strom Pipeline'!$E:$E,$U179)="","",INDEX('MiT Strom Pipeline'!$E:$E,$U179)))</f>
        <v/>
      </c>
      <c r="G179" s="25" t="str">
        <f>IF($U179="","",IF(ISNUMBER(INDEX('MiT Strom Pipeline'!$I:$I,$U179)),INDEX('MiT Strom Pipeline'!$I:$I,$U179),0))</f>
        <v/>
      </c>
      <c r="H179" s="25" t="str">
        <f>IF($U179="","",IF(ISNUMBER(INDEX('MiT Strom Pipeline'!$Q:$Q,$U179)),INDEX('MiT Strom Pipeline'!$Q:$Q,$U179),0))</f>
        <v/>
      </c>
      <c r="I179" s="24" t="str">
        <f>IF($U179="","",INDEX('MiT Strom Pipeline'!$R:$R,$U179))</f>
        <v/>
      </c>
      <c r="J179" s="26" t="str">
        <f>IF($U179="","",IF(ISNUMBER(INDEX('MiT Strom Pipeline'!$S:$S,$U179)),INDEX('MiT Strom Pipeline'!$S:$S,$U179),""))</f>
        <v/>
      </c>
      <c r="K179" s="24" t="str">
        <f>IF($U179="","",IF(LEN(INDEX('MiT Strom Pipeline'!$V:$V,$U179))&gt;0,LEFT(INDEX('MiT Strom Pipeline'!$V:$V,$U179),55),""))</f>
        <v/>
      </c>
      <c r="L179" s="19"/>
      <c r="M179" s="19"/>
      <c r="N179" s="19"/>
      <c r="O179" s="19"/>
      <c r="P179" s="19"/>
      <c r="Q179" s="19"/>
      <c r="R179" s="19"/>
      <c r="S179" s="19"/>
      <c r="U179" t="str">
        <f>IFERROR(MATCH(41,'MiT Strom Pipeline'!$AD$6:$AD$860,0)+5,"")</f>
        <v/>
      </c>
    </row>
    <row r="180" spans="1:21" ht="15.75" customHeight="1">
      <c r="A180" s="23" t="str">
        <f>IF($U180="","",IF(ISNUMBER(INDEX('MiT Strom Pipeline'!$A:$A,$U180)),INDEX('MiT Strom Pipeline'!$A:$A,$U180),""))</f>
        <v/>
      </c>
      <c r="B180" s="24" t="str">
        <f>IF($U180="","",IF(INDEX('MiT Strom Pipeline'!$B:$B,$U180)="","",INDEX('MiT Strom Pipeline'!$B:$B,$U180)))</f>
        <v/>
      </c>
      <c r="C180" s="24" t="str">
        <f>IF($U180="","",IF(INDEX('MiT Strom Pipeline'!$C:$C,$U180)="","",INDEX('MiT Strom Pipeline'!$C:$C,$U180)))</f>
        <v/>
      </c>
      <c r="D180" s="24" t="str">
        <f>IF($U180="","",IF(INDEX('MiT Strom Pipeline'!$D:$D,$U180)="","",INDEX('MiT Strom Pipeline'!$D:$D,$U180)))</f>
        <v/>
      </c>
      <c r="E180" s="24" t="str">
        <f>IF($U180="","",IF(INDEX('MiT Strom Pipeline'!$H:$H,$U180)="","",INDEX('MiT Strom Pipeline'!$H:$H,$U180)))</f>
        <v/>
      </c>
      <c r="F180" s="24" t="str">
        <f>IF($U180="","",IF(INDEX('MiT Strom Pipeline'!$E:$E,$U180)="","",INDEX('MiT Strom Pipeline'!$E:$E,$U180)))</f>
        <v/>
      </c>
      <c r="G180" s="25" t="str">
        <f>IF($U180="","",IF(ISNUMBER(INDEX('MiT Strom Pipeline'!$I:$I,$U180)),INDEX('MiT Strom Pipeline'!$I:$I,$U180),0))</f>
        <v/>
      </c>
      <c r="H180" s="25" t="str">
        <f>IF($U180="","",IF(ISNUMBER(INDEX('MiT Strom Pipeline'!$Q:$Q,$U180)),INDEX('MiT Strom Pipeline'!$Q:$Q,$U180),0))</f>
        <v/>
      </c>
      <c r="I180" s="24" t="str">
        <f>IF($U180="","",INDEX('MiT Strom Pipeline'!$R:$R,$U180))</f>
        <v/>
      </c>
      <c r="J180" s="26" t="str">
        <f>IF($U180="","",IF(ISNUMBER(INDEX('MiT Strom Pipeline'!$S:$S,$U180)),INDEX('MiT Strom Pipeline'!$S:$S,$U180),""))</f>
        <v/>
      </c>
      <c r="K180" s="24" t="str">
        <f>IF($U180="","",IF(LEN(INDEX('MiT Strom Pipeline'!$V:$V,$U180))&gt;0,LEFT(INDEX('MiT Strom Pipeline'!$V:$V,$U180),55),""))</f>
        <v/>
      </c>
      <c r="L180" s="19"/>
      <c r="M180" s="19"/>
      <c r="N180" s="19"/>
      <c r="O180" s="19"/>
      <c r="P180" s="19"/>
      <c r="Q180" s="19"/>
      <c r="R180" s="19"/>
      <c r="S180" s="19"/>
      <c r="U180" t="str">
        <f>IFERROR(MATCH(42,'MiT Strom Pipeline'!$AD$6:$AD$860,0)+5,"")</f>
        <v/>
      </c>
    </row>
    <row r="181" spans="1:21" ht="15.75" customHeight="1">
      <c r="A181" s="23" t="str">
        <f>IF($U181="","",IF(ISNUMBER(INDEX('MiT Strom Pipeline'!$A:$A,$U181)),INDEX('MiT Strom Pipeline'!$A:$A,$U181),""))</f>
        <v/>
      </c>
      <c r="B181" s="24" t="str">
        <f>IF($U181="","",IF(INDEX('MiT Strom Pipeline'!$B:$B,$U181)="","",INDEX('MiT Strom Pipeline'!$B:$B,$U181)))</f>
        <v/>
      </c>
      <c r="C181" s="24" t="str">
        <f>IF($U181="","",IF(INDEX('MiT Strom Pipeline'!$C:$C,$U181)="","",INDEX('MiT Strom Pipeline'!$C:$C,$U181)))</f>
        <v/>
      </c>
      <c r="D181" s="24" t="str">
        <f>IF($U181="","",IF(INDEX('MiT Strom Pipeline'!$D:$D,$U181)="","",INDEX('MiT Strom Pipeline'!$D:$D,$U181)))</f>
        <v/>
      </c>
      <c r="E181" s="27" t="str">
        <f>IF($U181="","",IF(INDEX('MiT Strom Pipeline'!$H:$H,$U181)="","",INDEX('MiT Strom Pipeline'!$H:$H,$U181)))</f>
        <v/>
      </c>
      <c r="F181" s="24" t="str">
        <f>IF($U181="","",IF(INDEX('MiT Strom Pipeline'!$E:$E,$U181)="","",INDEX('MiT Strom Pipeline'!$E:$E,$U181)))</f>
        <v/>
      </c>
      <c r="G181" s="25" t="str">
        <f>IF($U181="","",IF(ISNUMBER(INDEX('MiT Strom Pipeline'!$I:$I,$U181)),INDEX('MiT Strom Pipeline'!$I:$I,$U181),0))</f>
        <v/>
      </c>
      <c r="H181" s="25" t="str">
        <f>IF($U181="","",IF(ISNUMBER(INDEX('MiT Strom Pipeline'!$Q:$Q,$U181)),INDEX('MiT Strom Pipeline'!$Q:$Q,$U181),0))</f>
        <v/>
      </c>
      <c r="I181" s="24" t="str">
        <f>IF($U181="","",INDEX('MiT Strom Pipeline'!$R:$R,$U181))</f>
        <v/>
      </c>
      <c r="J181" s="26" t="str">
        <f>IF($U181="","",IF(ISNUMBER(INDEX('MiT Strom Pipeline'!$S:$S,$U181)),INDEX('MiT Strom Pipeline'!$S:$S,$U181),""))</f>
        <v/>
      </c>
      <c r="K181" s="24" t="str">
        <f>IF($U181="","",IF(LEN(INDEX('MiT Strom Pipeline'!$V:$V,$U181))&gt;0,LEFT(INDEX('MiT Strom Pipeline'!$V:$V,$U181),55),""))</f>
        <v/>
      </c>
      <c r="L181" s="19"/>
      <c r="M181" s="19"/>
      <c r="N181" s="19"/>
      <c r="O181" s="19"/>
      <c r="P181" s="19"/>
      <c r="Q181" s="19"/>
      <c r="R181" s="19"/>
      <c r="S181" s="19"/>
      <c r="U181" t="str">
        <f>IFERROR(MATCH(43,'MiT Strom Pipeline'!$AD$6:$AD$860,0)+5,"")</f>
        <v/>
      </c>
    </row>
    <row r="182" spans="1:21" ht="15.75" customHeight="1">
      <c r="A182" s="23" t="str">
        <f>IF($U182="","",IF(ISNUMBER(INDEX('MiT Strom Pipeline'!$A:$A,$U182)),INDEX('MiT Strom Pipeline'!$A:$A,$U182),""))</f>
        <v/>
      </c>
      <c r="B182" s="24" t="str">
        <f>IF($U182="","",IF(INDEX('MiT Strom Pipeline'!$B:$B,$U182)="","",INDEX('MiT Strom Pipeline'!$B:$B,$U182)))</f>
        <v/>
      </c>
      <c r="C182" s="24" t="str">
        <f>IF($U182="","",IF(INDEX('MiT Strom Pipeline'!$C:$C,$U182)="","",INDEX('MiT Strom Pipeline'!$C:$C,$U182)))</f>
        <v/>
      </c>
      <c r="D182" s="24" t="str">
        <f>IF($U182="","",IF(INDEX('MiT Strom Pipeline'!$D:$D,$U182)="","",INDEX('MiT Strom Pipeline'!$D:$D,$U182)))</f>
        <v/>
      </c>
      <c r="E182" s="27" t="str">
        <f>IF($U182="","",IF(INDEX('MiT Strom Pipeline'!$H:$H,$U182)="","",INDEX('MiT Strom Pipeline'!$H:$H,$U182)))</f>
        <v/>
      </c>
      <c r="F182" s="24" t="str">
        <f>IF($U182="","",IF(INDEX('MiT Strom Pipeline'!$E:$E,$U182)="","",INDEX('MiT Strom Pipeline'!$E:$E,$U182)))</f>
        <v/>
      </c>
      <c r="G182" s="25" t="str">
        <f>IF($U182="","",IF(ISNUMBER(INDEX('MiT Strom Pipeline'!$I:$I,$U182)),INDEX('MiT Strom Pipeline'!$I:$I,$U182),0))</f>
        <v/>
      </c>
      <c r="H182" s="25" t="str">
        <f>IF($U182="","",IF(ISNUMBER(INDEX('MiT Strom Pipeline'!$Q:$Q,$U182)),INDEX('MiT Strom Pipeline'!$Q:$Q,$U182),0))</f>
        <v/>
      </c>
      <c r="I182" s="24" t="str">
        <f>IF($U182="","",INDEX('MiT Strom Pipeline'!$R:$R,$U182))</f>
        <v/>
      </c>
      <c r="J182" s="26" t="str">
        <f>IF($U182="","",IF(ISNUMBER(INDEX('MiT Strom Pipeline'!$S:$S,$U182)),INDEX('MiT Strom Pipeline'!$S:$S,$U182),""))</f>
        <v/>
      </c>
      <c r="K182" s="24" t="str">
        <f>IF($U182="","",IF(LEN(INDEX('MiT Strom Pipeline'!$V:$V,$U182))&gt;0,LEFT(INDEX('MiT Strom Pipeline'!$V:$V,$U182),55),""))</f>
        <v/>
      </c>
      <c r="L182" s="19"/>
      <c r="M182" s="19"/>
      <c r="N182" s="19"/>
      <c r="O182" s="19"/>
      <c r="P182" s="19"/>
      <c r="Q182" s="19"/>
      <c r="R182" s="19"/>
      <c r="S182" s="19"/>
      <c r="U182" t="str">
        <f>IFERROR(MATCH(44,'MiT Strom Pipeline'!$AD$6:$AD$860,0)+5,"")</f>
        <v/>
      </c>
    </row>
    <row r="183" spans="1:21" ht="15.75" customHeight="1">
      <c r="A183" s="23" t="str">
        <f>IF($U183="","",IF(ISNUMBER(INDEX('MiT Strom Pipeline'!$A:$A,$U183)),INDEX('MiT Strom Pipeline'!$A:$A,$U183),""))</f>
        <v/>
      </c>
      <c r="B183" s="24" t="str">
        <f>IF($U183="","",IF(INDEX('MiT Strom Pipeline'!$B:$B,$U183)="","",INDEX('MiT Strom Pipeline'!$B:$B,$U183)))</f>
        <v/>
      </c>
      <c r="C183" s="24" t="str">
        <f>IF($U183="","",IF(INDEX('MiT Strom Pipeline'!$C:$C,$U183)="","",INDEX('MiT Strom Pipeline'!$C:$C,$U183)))</f>
        <v/>
      </c>
      <c r="D183" s="24" t="str">
        <f>IF($U183="","",IF(INDEX('MiT Strom Pipeline'!$D:$D,$U183)="","",INDEX('MiT Strom Pipeline'!$D:$D,$U183)))</f>
        <v/>
      </c>
      <c r="E183" s="27" t="str">
        <f>IF($U183="","",IF(INDEX('MiT Strom Pipeline'!$H:$H,$U183)="","",INDEX('MiT Strom Pipeline'!$H:$H,$U183)))</f>
        <v/>
      </c>
      <c r="F183" s="24" t="str">
        <f>IF($U183="","",IF(INDEX('MiT Strom Pipeline'!$E:$E,$U183)="","",INDEX('MiT Strom Pipeline'!$E:$E,$U183)))</f>
        <v/>
      </c>
      <c r="G183" s="25" t="str">
        <f>IF($U183="","",IF(ISNUMBER(INDEX('MiT Strom Pipeline'!$I:$I,$U183)),INDEX('MiT Strom Pipeline'!$I:$I,$U183),0))</f>
        <v/>
      </c>
      <c r="H183" s="25" t="str">
        <f>IF($U183="","",IF(ISNUMBER(INDEX('MiT Strom Pipeline'!$Q:$Q,$U183)),INDEX('MiT Strom Pipeline'!$Q:$Q,$U183),0))</f>
        <v/>
      </c>
      <c r="I183" s="24" t="str">
        <f>IF($U183="","",INDEX('MiT Strom Pipeline'!$R:$R,$U183))</f>
        <v/>
      </c>
      <c r="J183" s="26" t="str">
        <f>IF($U183="","",IF(ISNUMBER(INDEX('MiT Strom Pipeline'!$S:$S,$U183)),INDEX('MiT Strom Pipeline'!$S:$S,$U183),""))</f>
        <v/>
      </c>
      <c r="K183" s="24" t="str">
        <f>IF($U183="","",IF(LEN(INDEX('MiT Strom Pipeline'!$V:$V,$U183))&gt;0,LEFT(INDEX('MiT Strom Pipeline'!$V:$V,$U183),55),""))</f>
        <v/>
      </c>
      <c r="L183" s="19"/>
      <c r="M183" s="19"/>
      <c r="N183" s="19"/>
      <c r="O183" s="19"/>
      <c r="P183" s="19"/>
      <c r="Q183" s="19"/>
      <c r="R183" s="19"/>
      <c r="S183" s="19"/>
      <c r="U183" t="str">
        <f>IFERROR(MATCH(45,'MiT Strom Pipeline'!$AD$6:$AD$860,0)+5,"")</f>
        <v/>
      </c>
    </row>
    <row r="184" spans="1:21" ht="15.75" customHeight="1">
      <c r="A184" s="23" t="str">
        <f>IF($U184="","",IF(ISNUMBER(INDEX('MiT Strom Pipeline'!$A:$A,$U184)),INDEX('MiT Strom Pipeline'!$A:$A,$U184),""))</f>
        <v/>
      </c>
      <c r="B184" s="24" t="str">
        <f>IF($U184="","",IF(INDEX('MiT Strom Pipeline'!$B:$B,$U184)="","",INDEX('MiT Strom Pipeline'!$B:$B,$U184)))</f>
        <v/>
      </c>
      <c r="C184" s="24" t="str">
        <f>IF($U184="","",IF(INDEX('MiT Strom Pipeline'!$C:$C,$U184)="","",INDEX('MiT Strom Pipeline'!$C:$C,$U184)))</f>
        <v/>
      </c>
      <c r="D184" s="24" t="str">
        <f>IF($U184="","",IF(INDEX('MiT Strom Pipeline'!$D:$D,$U184)="","",INDEX('MiT Strom Pipeline'!$D:$D,$U184)))</f>
        <v/>
      </c>
      <c r="E184" s="27" t="str">
        <f>IF($U184="","",IF(INDEX('MiT Strom Pipeline'!$H:$H,$U184)="","",INDEX('MiT Strom Pipeline'!$H:$H,$U184)))</f>
        <v/>
      </c>
      <c r="F184" s="24" t="str">
        <f>IF($U184="","",IF(INDEX('MiT Strom Pipeline'!$E:$E,$U184)="","",INDEX('MiT Strom Pipeline'!$E:$E,$U184)))</f>
        <v/>
      </c>
      <c r="G184" s="25" t="str">
        <f>IF($U184="","",IF(ISNUMBER(INDEX('MiT Strom Pipeline'!$I:$I,$U184)),INDEX('MiT Strom Pipeline'!$I:$I,$U184),0))</f>
        <v/>
      </c>
      <c r="H184" s="25" t="str">
        <f>IF($U184="","",IF(ISNUMBER(INDEX('MiT Strom Pipeline'!$Q:$Q,$U184)),INDEX('MiT Strom Pipeline'!$Q:$Q,$U184),0))</f>
        <v/>
      </c>
      <c r="I184" s="24" t="str">
        <f>IF($U184="","",INDEX('MiT Strom Pipeline'!$R:$R,$U184))</f>
        <v/>
      </c>
      <c r="J184" s="26" t="str">
        <f>IF($U184="","",IF(ISNUMBER(INDEX('MiT Strom Pipeline'!$S:$S,$U184)),INDEX('MiT Strom Pipeline'!$S:$S,$U184),""))</f>
        <v/>
      </c>
      <c r="K184" s="24" t="str">
        <f>IF($U184="","",IF(LEN(INDEX('MiT Strom Pipeline'!$V:$V,$U184))&gt;0,LEFT(INDEX('MiT Strom Pipeline'!$V:$V,$U184),55),""))</f>
        <v/>
      </c>
      <c r="L184" s="19"/>
      <c r="M184" s="19"/>
      <c r="N184" s="19"/>
      <c r="O184" s="19"/>
      <c r="P184" s="19"/>
      <c r="Q184" s="19"/>
      <c r="R184" s="19"/>
      <c r="S184" s="19"/>
      <c r="U184" t="str">
        <f>IFERROR(MATCH(46,'MiT Strom Pipeline'!$AD$6:$AD$860,0)+5,"")</f>
        <v/>
      </c>
    </row>
    <row r="185" spans="1:21" ht="15.75" customHeight="1">
      <c r="A185" s="23" t="str">
        <f>IF($U185="","",IF(ISNUMBER(INDEX('MiT Strom Pipeline'!$A:$A,$U185)),INDEX('MiT Strom Pipeline'!$A:$A,$U185),""))</f>
        <v/>
      </c>
      <c r="B185" s="24" t="str">
        <f>IF($U185="","",IF(INDEX('MiT Strom Pipeline'!$B:$B,$U185)="","",INDEX('MiT Strom Pipeline'!$B:$B,$U185)))</f>
        <v/>
      </c>
      <c r="C185" s="24" t="str">
        <f>IF($U185="","",IF(INDEX('MiT Strom Pipeline'!$C:$C,$U185)="","",INDEX('MiT Strom Pipeline'!$C:$C,$U185)))</f>
        <v/>
      </c>
      <c r="D185" s="24" t="str">
        <f>IF($U185="","",IF(INDEX('MiT Strom Pipeline'!$D:$D,$U185)="","",INDEX('MiT Strom Pipeline'!$D:$D,$U185)))</f>
        <v/>
      </c>
      <c r="E185" s="27" t="str">
        <f>IF($U185="","",IF(INDEX('MiT Strom Pipeline'!$H:$H,$U185)="","",INDEX('MiT Strom Pipeline'!$H:$H,$U185)))</f>
        <v/>
      </c>
      <c r="F185" s="24" t="str">
        <f>IF($U185="","",IF(INDEX('MiT Strom Pipeline'!$E:$E,$U185)="","",INDEX('MiT Strom Pipeline'!$E:$E,$U185)))</f>
        <v/>
      </c>
      <c r="G185" s="25" t="str">
        <f>IF($U185="","",IF(ISNUMBER(INDEX('MiT Strom Pipeline'!$I:$I,$U185)),INDEX('MiT Strom Pipeline'!$I:$I,$U185),0))</f>
        <v/>
      </c>
      <c r="H185" s="25" t="str">
        <f>IF($U185="","",IF(ISNUMBER(INDEX('MiT Strom Pipeline'!$Q:$Q,$U185)),INDEX('MiT Strom Pipeline'!$Q:$Q,$U185),0))</f>
        <v/>
      </c>
      <c r="I185" s="24" t="str">
        <f>IF($U185="","",INDEX('MiT Strom Pipeline'!$R:$R,$U185))</f>
        <v/>
      </c>
      <c r="J185" s="26" t="str">
        <f>IF($U185="","",IF(ISNUMBER(INDEX('MiT Strom Pipeline'!$S:$S,$U185)),INDEX('MiT Strom Pipeline'!$S:$S,$U185),""))</f>
        <v/>
      </c>
      <c r="K185" s="24" t="str">
        <f>IF($U185="","",IF(LEN(INDEX('MiT Strom Pipeline'!$V:$V,$U185))&gt;0,LEFT(INDEX('MiT Strom Pipeline'!$V:$V,$U185),55),""))</f>
        <v/>
      </c>
      <c r="L185" s="19"/>
      <c r="M185" s="19"/>
      <c r="N185" s="19"/>
      <c r="O185" s="19"/>
      <c r="P185" s="19"/>
      <c r="Q185" s="19"/>
      <c r="R185" s="19"/>
      <c r="S185" s="19"/>
      <c r="U185" t="str">
        <f>IFERROR(MATCH(47,'MiT Strom Pipeline'!$AD$6:$AD$860,0)+5,"")</f>
        <v/>
      </c>
    </row>
    <row r="186" spans="1:21" ht="15.75" customHeight="1">
      <c r="A186" s="23" t="str">
        <f>IF($U186="","",IF(ISNUMBER(INDEX('MiT Strom Pipeline'!$A:$A,$U186)),INDEX('MiT Strom Pipeline'!$A:$A,$U186),""))</f>
        <v/>
      </c>
      <c r="B186" s="24" t="str">
        <f>IF($U186="","",IF(INDEX('MiT Strom Pipeline'!$B:$B,$U186)="","",INDEX('MiT Strom Pipeline'!$B:$B,$U186)))</f>
        <v/>
      </c>
      <c r="C186" s="24" t="str">
        <f>IF($U186="","",IF(INDEX('MiT Strom Pipeline'!$C:$C,$U186)="","",INDEX('MiT Strom Pipeline'!$C:$C,$U186)))</f>
        <v/>
      </c>
      <c r="D186" s="24" t="str">
        <f>IF($U186="","",IF(INDEX('MiT Strom Pipeline'!$D:$D,$U186)="","",INDEX('MiT Strom Pipeline'!$D:$D,$U186)))</f>
        <v/>
      </c>
      <c r="E186" s="27" t="str">
        <f>IF($U186="","",IF(INDEX('MiT Strom Pipeline'!$H:$H,$U186)="","",INDEX('MiT Strom Pipeline'!$H:$H,$U186)))</f>
        <v/>
      </c>
      <c r="F186" s="24" t="str">
        <f>IF($U186="","",IF(INDEX('MiT Strom Pipeline'!$E:$E,$U186)="","",INDEX('MiT Strom Pipeline'!$E:$E,$U186)))</f>
        <v/>
      </c>
      <c r="G186" s="25" t="str">
        <f>IF($U186="","",IF(ISNUMBER(INDEX('MiT Strom Pipeline'!$I:$I,$U186)),INDEX('MiT Strom Pipeline'!$I:$I,$U186),0))</f>
        <v/>
      </c>
      <c r="H186" s="25" t="str">
        <f>IF($U186="","",IF(ISNUMBER(INDEX('MiT Strom Pipeline'!$Q:$Q,$U186)),INDEX('MiT Strom Pipeline'!$Q:$Q,$U186),0))</f>
        <v/>
      </c>
      <c r="I186" s="24" t="str">
        <f>IF($U186="","",INDEX('MiT Strom Pipeline'!$R:$R,$U186))</f>
        <v/>
      </c>
      <c r="J186" s="26" t="str">
        <f>IF($U186="","",IF(ISNUMBER(INDEX('MiT Strom Pipeline'!$S:$S,$U186)),INDEX('MiT Strom Pipeline'!$S:$S,$U186),""))</f>
        <v/>
      </c>
      <c r="K186" s="24" t="str">
        <f>IF($U186="","",IF(LEN(INDEX('MiT Strom Pipeline'!$V:$V,$U186))&gt;0,LEFT(INDEX('MiT Strom Pipeline'!$V:$V,$U186),55),""))</f>
        <v/>
      </c>
      <c r="L186" s="19"/>
      <c r="M186" s="19"/>
      <c r="N186" s="19"/>
      <c r="O186" s="19"/>
      <c r="P186" s="19"/>
      <c r="Q186" s="19"/>
      <c r="R186" s="19"/>
      <c r="S186" s="19"/>
      <c r="U186" t="str">
        <f>IFERROR(MATCH(48,'MiT Strom Pipeline'!$AD$6:$AD$860,0)+5,"")</f>
        <v/>
      </c>
    </row>
    <row r="187" spans="1:21" ht="15.75" customHeight="1">
      <c r="A187" s="23" t="str">
        <f>IF($U187="","",IF(ISNUMBER(INDEX('MiT Strom Pipeline'!$A:$A,$U187)),INDEX('MiT Strom Pipeline'!$A:$A,$U187),""))</f>
        <v/>
      </c>
      <c r="B187" s="24" t="str">
        <f>IF($U187="","",IF(INDEX('MiT Strom Pipeline'!$B:$B,$U187)="","",INDEX('MiT Strom Pipeline'!$B:$B,$U187)))</f>
        <v/>
      </c>
      <c r="C187" s="24" t="str">
        <f>IF($U187="","",IF(INDEX('MiT Strom Pipeline'!$C:$C,$U187)="","",INDEX('MiT Strom Pipeline'!$C:$C,$U187)))</f>
        <v/>
      </c>
      <c r="D187" s="24" t="str">
        <f>IF($U187="","",IF(INDEX('MiT Strom Pipeline'!$D:$D,$U187)="","",INDEX('MiT Strom Pipeline'!$D:$D,$U187)))</f>
        <v/>
      </c>
      <c r="E187" s="27" t="str">
        <f>IF($U187="","",IF(INDEX('MiT Strom Pipeline'!$H:$H,$U187)="","",INDEX('MiT Strom Pipeline'!$H:$H,$U187)))</f>
        <v/>
      </c>
      <c r="F187" s="24" t="str">
        <f>IF($U187="","",IF(INDEX('MiT Strom Pipeline'!$E:$E,$U187)="","",INDEX('MiT Strom Pipeline'!$E:$E,$U187)))</f>
        <v/>
      </c>
      <c r="G187" s="25" t="str">
        <f>IF($U187="","",IF(ISNUMBER(INDEX('MiT Strom Pipeline'!$I:$I,$U187)),INDEX('MiT Strom Pipeline'!$I:$I,$U187),0))</f>
        <v/>
      </c>
      <c r="H187" s="25" t="str">
        <f>IF($U187="","",IF(ISNUMBER(INDEX('MiT Strom Pipeline'!$Q:$Q,$U187)),INDEX('MiT Strom Pipeline'!$Q:$Q,$U187),0))</f>
        <v/>
      </c>
      <c r="I187" s="24" t="str">
        <f>IF($U187="","",INDEX('MiT Strom Pipeline'!$R:$R,$U187))</f>
        <v/>
      </c>
      <c r="J187" s="26" t="str">
        <f>IF($U187="","",IF(ISNUMBER(INDEX('MiT Strom Pipeline'!$S:$S,$U187)),INDEX('MiT Strom Pipeline'!$S:$S,$U187),""))</f>
        <v/>
      </c>
      <c r="K187" s="24" t="str">
        <f>IF($U187="","",IF(LEN(INDEX('MiT Strom Pipeline'!$V:$V,$U187))&gt;0,LEFT(INDEX('MiT Strom Pipeline'!$V:$V,$U187),55),""))</f>
        <v/>
      </c>
      <c r="L187" s="19"/>
      <c r="M187" s="19"/>
      <c r="N187" s="19"/>
      <c r="O187" s="19"/>
      <c r="P187" s="19"/>
      <c r="Q187" s="19"/>
      <c r="R187" s="19"/>
      <c r="S187" s="19"/>
      <c r="U187" t="str">
        <f>IFERROR(MATCH(49,'MiT Strom Pipeline'!$AD$6:$AD$860,0)+5,"")</f>
        <v/>
      </c>
    </row>
    <row r="188" spans="1:21" ht="15.75" customHeight="1">
      <c r="A188" s="23" t="str">
        <f>IF($U188="","",IF(ISNUMBER(INDEX('MiT Strom Pipeline'!$A:$A,$U188)),INDEX('MiT Strom Pipeline'!$A:$A,$U188),""))</f>
        <v/>
      </c>
      <c r="B188" s="24" t="str">
        <f>IF($U188="","",IF(INDEX('MiT Strom Pipeline'!$B:$B,$U188)="","",INDEX('MiT Strom Pipeline'!$B:$B,$U188)))</f>
        <v/>
      </c>
      <c r="C188" s="24" t="str">
        <f>IF($U188="","",IF(INDEX('MiT Strom Pipeline'!$C:$C,$U188)="","",INDEX('MiT Strom Pipeline'!$C:$C,$U188)))</f>
        <v/>
      </c>
      <c r="D188" s="24" t="str">
        <f>IF($U188="","",IF(INDEX('MiT Strom Pipeline'!$D:$D,$U188)="","",INDEX('MiT Strom Pipeline'!$D:$D,$U188)))</f>
        <v/>
      </c>
      <c r="E188" s="27" t="str">
        <f>IF($U188="","",IF(INDEX('MiT Strom Pipeline'!$H:$H,$U188)="","",INDEX('MiT Strom Pipeline'!$H:$H,$U188)))</f>
        <v/>
      </c>
      <c r="F188" s="24" t="str">
        <f>IF($U188="","",IF(INDEX('MiT Strom Pipeline'!$E:$E,$U188)="","",INDEX('MiT Strom Pipeline'!$E:$E,$U188)))</f>
        <v/>
      </c>
      <c r="G188" s="25" t="str">
        <f>IF($U188="","",IF(ISNUMBER(INDEX('MiT Strom Pipeline'!$I:$I,$U188)),INDEX('MiT Strom Pipeline'!$I:$I,$U188),0))</f>
        <v/>
      </c>
      <c r="H188" s="25" t="str">
        <f>IF($U188="","",IF(ISNUMBER(INDEX('MiT Strom Pipeline'!$Q:$Q,$U188)),INDEX('MiT Strom Pipeline'!$Q:$Q,$U188),0))</f>
        <v/>
      </c>
      <c r="I188" s="24" t="str">
        <f>IF($U188="","",INDEX('MiT Strom Pipeline'!$R:$R,$U188))</f>
        <v/>
      </c>
      <c r="J188" s="26" t="str">
        <f>IF($U188="","",IF(ISNUMBER(INDEX('MiT Strom Pipeline'!$S:$S,$U188)),INDEX('MiT Strom Pipeline'!$S:$S,$U188),""))</f>
        <v/>
      </c>
      <c r="K188" s="24" t="str">
        <f>IF($U188="","",IF(LEN(INDEX('MiT Strom Pipeline'!$V:$V,$U188))&gt;0,LEFT(INDEX('MiT Strom Pipeline'!$V:$V,$U188),55),""))</f>
        <v/>
      </c>
      <c r="L188" s="19"/>
      <c r="M188" s="19"/>
      <c r="N188" s="19"/>
      <c r="O188" s="19"/>
      <c r="P188" s="19"/>
      <c r="Q188" s="19"/>
      <c r="R188" s="19"/>
      <c r="S188" s="19"/>
      <c r="U188" t="str">
        <f>IFERROR(MATCH(50,'MiT Strom Pipeline'!$AD$6:$AD$860,0)+5,"")</f>
        <v/>
      </c>
    </row>
    <row r="189" spans="1:21" ht="15.75" customHeight="1">
      <c r="A189" s="23" t="str">
        <f>IF($U189="","",IF(ISNUMBER(INDEX('MiT Strom Pipeline'!$A:$A,$U189)),INDEX('MiT Strom Pipeline'!$A:$A,$U189),""))</f>
        <v/>
      </c>
      <c r="B189" s="24" t="str">
        <f>IF($U189="","",IF(INDEX('MiT Strom Pipeline'!$B:$B,$U189)="","",INDEX('MiT Strom Pipeline'!$B:$B,$U189)))</f>
        <v/>
      </c>
      <c r="C189" s="24" t="str">
        <f>IF($U189="","",IF(INDEX('MiT Strom Pipeline'!$C:$C,$U189)="","",INDEX('MiT Strom Pipeline'!$C:$C,$U189)))</f>
        <v/>
      </c>
      <c r="D189" s="24" t="str">
        <f>IF($U189="","",IF(INDEX('MiT Strom Pipeline'!$D:$D,$U189)="","",INDEX('MiT Strom Pipeline'!$D:$D,$U189)))</f>
        <v/>
      </c>
      <c r="E189" s="27" t="str">
        <f>IF($U189="","",IF(INDEX('MiT Strom Pipeline'!$H:$H,$U189)="","",INDEX('MiT Strom Pipeline'!$H:$H,$U189)))</f>
        <v/>
      </c>
      <c r="F189" s="24" t="str">
        <f>IF($U189="","",IF(INDEX('MiT Strom Pipeline'!$E:$E,$U189)="","",INDEX('MiT Strom Pipeline'!$E:$E,$U189)))</f>
        <v/>
      </c>
      <c r="G189" s="25" t="str">
        <f>IF($U189="","",IF(ISNUMBER(INDEX('MiT Strom Pipeline'!$I:$I,$U189)),INDEX('MiT Strom Pipeline'!$I:$I,$U189),0))</f>
        <v/>
      </c>
      <c r="H189" s="25" t="str">
        <f>IF($U189="","",IF(ISNUMBER(INDEX('MiT Strom Pipeline'!$Q:$Q,$U189)),INDEX('MiT Strom Pipeline'!$Q:$Q,$U189),0))</f>
        <v/>
      </c>
      <c r="I189" s="24" t="str">
        <f>IF($U189="","",INDEX('MiT Strom Pipeline'!$R:$R,$U189))</f>
        <v/>
      </c>
      <c r="J189" s="26" t="str">
        <f>IF($U189="","",IF(ISNUMBER(INDEX('MiT Strom Pipeline'!$S:$S,$U189)),INDEX('MiT Strom Pipeline'!$S:$S,$U189),""))</f>
        <v/>
      </c>
      <c r="K189" s="24" t="str">
        <f>IF($U189="","",IF(LEN(INDEX('MiT Strom Pipeline'!$V:$V,$U189))&gt;0,LEFT(INDEX('MiT Strom Pipeline'!$V:$V,$U189),55),""))</f>
        <v/>
      </c>
      <c r="L189" s="19"/>
      <c r="M189" s="19"/>
      <c r="N189" s="19"/>
      <c r="O189" s="19"/>
      <c r="P189" s="19"/>
      <c r="Q189" s="19"/>
      <c r="R189" s="19"/>
      <c r="S189" s="19"/>
      <c r="U189" t="str">
        <f>IFERROR(MATCH(51,'MiT Strom Pipeline'!$AD$6:$AD$860,0)+5,"")</f>
        <v/>
      </c>
    </row>
    <row r="190" spans="1:21" ht="15.75" customHeight="1">
      <c r="A190" s="23" t="str">
        <f>IF($U190="","",IF(ISNUMBER(INDEX('MiT Strom Pipeline'!$A:$A,$U190)),INDEX('MiT Strom Pipeline'!$A:$A,$U190),""))</f>
        <v/>
      </c>
      <c r="B190" s="24" t="str">
        <f>IF($U190="","",IF(INDEX('MiT Strom Pipeline'!$B:$B,$U190)="","",INDEX('MiT Strom Pipeline'!$B:$B,$U190)))</f>
        <v/>
      </c>
      <c r="C190" s="24" t="str">
        <f>IF($U190="","",IF(INDEX('MiT Strom Pipeline'!$C:$C,$U190)="","",INDEX('MiT Strom Pipeline'!$C:$C,$U190)))</f>
        <v/>
      </c>
      <c r="D190" s="24" t="str">
        <f>IF($U190="","",IF(INDEX('MiT Strom Pipeline'!$D:$D,$U190)="","",INDEX('MiT Strom Pipeline'!$D:$D,$U190)))</f>
        <v/>
      </c>
      <c r="E190" s="27" t="str">
        <f>IF($U190="","",IF(INDEX('MiT Strom Pipeline'!$H:$H,$U190)="","",INDEX('MiT Strom Pipeline'!$H:$H,$U190)))</f>
        <v/>
      </c>
      <c r="F190" s="24" t="str">
        <f>IF($U190="","",IF(INDEX('MiT Strom Pipeline'!$E:$E,$U190)="","",INDEX('MiT Strom Pipeline'!$E:$E,$U190)))</f>
        <v/>
      </c>
      <c r="G190" s="25" t="str">
        <f>IF($U190="","",IF(ISNUMBER(INDEX('MiT Strom Pipeline'!$I:$I,$U190)),INDEX('MiT Strom Pipeline'!$I:$I,$U190),0))</f>
        <v/>
      </c>
      <c r="H190" s="25" t="str">
        <f>IF($U190="","",IF(ISNUMBER(INDEX('MiT Strom Pipeline'!$Q:$Q,$U190)),INDEX('MiT Strom Pipeline'!$Q:$Q,$U190),0))</f>
        <v/>
      </c>
      <c r="I190" s="24" t="str">
        <f>IF($U190="","",INDEX('MiT Strom Pipeline'!$R:$R,$U190))</f>
        <v/>
      </c>
      <c r="J190" s="26" t="str">
        <f>IF($U190="","",IF(ISNUMBER(INDEX('MiT Strom Pipeline'!$S:$S,$U190)),INDEX('MiT Strom Pipeline'!$S:$S,$U190),""))</f>
        <v/>
      </c>
      <c r="K190" s="24" t="str">
        <f>IF($U190="","",IF(LEN(INDEX('MiT Strom Pipeline'!$V:$V,$U190))&gt;0,LEFT(INDEX('MiT Strom Pipeline'!$V:$V,$U190),55),""))</f>
        <v/>
      </c>
      <c r="L190" s="19"/>
      <c r="M190" s="19"/>
      <c r="N190" s="19"/>
      <c r="O190" s="19"/>
      <c r="P190" s="19"/>
      <c r="Q190" s="19"/>
      <c r="R190" s="19"/>
      <c r="S190" s="19"/>
      <c r="U190" t="str">
        <f>IFERROR(MATCH(52,'MiT Strom Pipeline'!$AD$6:$AD$860,0)+5,"")</f>
        <v/>
      </c>
    </row>
    <row r="191" spans="1:21" ht="15.75" customHeight="1">
      <c r="A191" s="23" t="str">
        <f>IF($U191="","",IF(ISNUMBER(INDEX('MiT Strom Pipeline'!$A:$A,$U191)),INDEX('MiT Strom Pipeline'!$A:$A,$U191),""))</f>
        <v/>
      </c>
      <c r="B191" s="24" t="str">
        <f>IF($U191="","",IF(INDEX('MiT Strom Pipeline'!$B:$B,$U191)="","",INDEX('MiT Strom Pipeline'!$B:$B,$U191)))</f>
        <v/>
      </c>
      <c r="C191" s="24" t="str">
        <f>IF($U191="","",IF(INDEX('MiT Strom Pipeline'!$C:$C,$U191)="","",INDEX('MiT Strom Pipeline'!$C:$C,$U191)))</f>
        <v/>
      </c>
      <c r="D191" s="24" t="str">
        <f>IF($U191="","",IF(INDEX('MiT Strom Pipeline'!$D:$D,$U191)="","",INDEX('MiT Strom Pipeline'!$D:$D,$U191)))</f>
        <v/>
      </c>
      <c r="E191" s="27" t="str">
        <f>IF($U191="","",IF(INDEX('MiT Strom Pipeline'!$H:$H,$U191)="","",INDEX('MiT Strom Pipeline'!$H:$H,$U191)))</f>
        <v/>
      </c>
      <c r="F191" s="24" t="str">
        <f>IF($U191="","",IF(INDEX('MiT Strom Pipeline'!$E:$E,$U191)="","",INDEX('MiT Strom Pipeline'!$E:$E,$U191)))</f>
        <v/>
      </c>
      <c r="G191" s="25" t="str">
        <f>IF($U191="","",IF(ISNUMBER(INDEX('MiT Strom Pipeline'!$I:$I,$U191)),INDEX('MiT Strom Pipeline'!$I:$I,$U191),0))</f>
        <v/>
      </c>
      <c r="H191" s="25" t="str">
        <f>IF($U191="","",IF(ISNUMBER(INDEX('MiT Strom Pipeline'!$Q:$Q,$U191)),INDEX('MiT Strom Pipeline'!$Q:$Q,$U191),0))</f>
        <v/>
      </c>
      <c r="I191" s="24" t="str">
        <f>IF($U191="","",INDEX('MiT Strom Pipeline'!$R:$R,$U191))</f>
        <v/>
      </c>
      <c r="J191" s="26" t="str">
        <f>IF($U191="","",IF(ISNUMBER(INDEX('MiT Strom Pipeline'!$S:$S,$U191)),INDEX('MiT Strom Pipeline'!$S:$S,$U191),""))</f>
        <v/>
      </c>
      <c r="K191" s="24" t="str">
        <f>IF($U191="","",IF(LEN(INDEX('MiT Strom Pipeline'!$V:$V,$U191))&gt;0,LEFT(INDEX('MiT Strom Pipeline'!$V:$V,$U191),55),""))</f>
        <v/>
      </c>
      <c r="L191" s="19"/>
      <c r="M191" s="19"/>
      <c r="N191" s="19"/>
      <c r="O191" s="19"/>
      <c r="P191" s="19"/>
      <c r="Q191" s="19"/>
      <c r="R191" s="19"/>
      <c r="S191" s="19"/>
      <c r="U191" t="str">
        <f>IFERROR(MATCH(53,'MiT Strom Pipeline'!$AD$6:$AD$860,0)+5,"")</f>
        <v/>
      </c>
    </row>
    <row r="192" spans="1:21" ht="15.75" customHeight="1">
      <c r="A192" s="23" t="str">
        <f>IF($U192="","",IF(ISNUMBER(INDEX('MiT Strom Pipeline'!$A:$A,$U192)),INDEX('MiT Strom Pipeline'!$A:$A,$U192),""))</f>
        <v/>
      </c>
      <c r="B192" s="24" t="str">
        <f>IF($U192="","",IF(INDEX('MiT Strom Pipeline'!$B:$B,$U192)="","",INDEX('MiT Strom Pipeline'!$B:$B,$U192)))</f>
        <v/>
      </c>
      <c r="C192" s="24" t="str">
        <f>IF($U192="","",IF(INDEX('MiT Strom Pipeline'!$C:$C,$U192)="","",INDEX('MiT Strom Pipeline'!$C:$C,$U192)))</f>
        <v/>
      </c>
      <c r="D192" s="24" t="str">
        <f>IF($U192="","",IF(INDEX('MiT Strom Pipeline'!$D:$D,$U192)="","",INDEX('MiT Strom Pipeline'!$D:$D,$U192)))</f>
        <v/>
      </c>
      <c r="E192" s="24" t="str">
        <f>IF($U192="","",IF(INDEX('MiT Strom Pipeline'!$H:$H,$U192)="","",INDEX('MiT Strom Pipeline'!$H:$H,$U192)))</f>
        <v/>
      </c>
      <c r="F192" s="24" t="str">
        <f>IF($U192="","",IF(INDEX('MiT Strom Pipeline'!$E:$E,$U192)="","",INDEX('MiT Strom Pipeline'!$E:$E,$U192)))</f>
        <v/>
      </c>
      <c r="G192" s="25" t="str">
        <f>IF($U192="","",IF(ISNUMBER(INDEX('MiT Strom Pipeline'!$I:$I,$U192)),INDEX('MiT Strom Pipeline'!$I:$I,$U192),0))</f>
        <v/>
      </c>
      <c r="H192" s="25" t="str">
        <f>IF($U192="","",IF(ISNUMBER(INDEX('MiT Strom Pipeline'!$Q:$Q,$U192)),INDEX('MiT Strom Pipeline'!$Q:$Q,$U192),0))</f>
        <v/>
      </c>
      <c r="I192" s="24" t="str">
        <f>IF($U192="","",INDEX('MiT Strom Pipeline'!$R:$R,$U192))</f>
        <v/>
      </c>
      <c r="J192" s="26" t="str">
        <f>IF($U192="","",IF(ISNUMBER(INDEX('MiT Strom Pipeline'!$S:$S,$U192)),INDEX('MiT Strom Pipeline'!$S:$S,$U192),""))</f>
        <v/>
      </c>
      <c r="K192" s="24" t="str">
        <f>IF($U192="","",IF(LEN(INDEX('MiT Strom Pipeline'!$V:$V,$U192))&gt;0,LEFT(INDEX('MiT Strom Pipeline'!$V:$V,$U192),55),""))</f>
        <v/>
      </c>
      <c r="L192" s="19"/>
      <c r="M192" s="19"/>
      <c r="N192" s="19"/>
      <c r="O192" s="19"/>
      <c r="P192" s="19"/>
      <c r="Q192" s="19"/>
      <c r="R192" s="19"/>
      <c r="S192" s="19"/>
      <c r="U192" t="str">
        <f>IFERROR(MATCH(54,'MiT Strom Pipeline'!$AD$6:$AD$860,0)+5,"")</f>
        <v/>
      </c>
    </row>
    <row r="193" spans="1:21" ht="15.75" customHeight="1">
      <c r="A193" s="23" t="str">
        <f>IF($U193="","",IF(ISNUMBER(INDEX('MiT Strom Pipeline'!$A:$A,$U193)),INDEX('MiT Strom Pipeline'!$A:$A,$U193),""))</f>
        <v/>
      </c>
      <c r="B193" s="24" t="str">
        <f>IF($U193="","",IF(INDEX('MiT Strom Pipeline'!$B:$B,$U193)="","",INDEX('MiT Strom Pipeline'!$B:$B,$U193)))</f>
        <v/>
      </c>
      <c r="C193" s="24" t="str">
        <f>IF($U193="","",IF(INDEX('MiT Strom Pipeline'!$C:$C,$U193)="","",INDEX('MiT Strom Pipeline'!$C:$C,$U193)))</f>
        <v/>
      </c>
      <c r="D193" s="24" t="str">
        <f>IF($U193="","",IF(INDEX('MiT Strom Pipeline'!$D:$D,$U193)="","",INDEX('MiT Strom Pipeline'!$D:$D,$U193)))</f>
        <v/>
      </c>
      <c r="E193" s="24" t="str">
        <f>IF($U193="","",IF(INDEX('MiT Strom Pipeline'!$H:$H,$U193)="","",INDEX('MiT Strom Pipeline'!$H:$H,$U193)))</f>
        <v/>
      </c>
      <c r="F193" s="24" t="str">
        <f>IF($U193="","",IF(INDEX('MiT Strom Pipeline'!$E:$E,$U193)="","",INDEX('MiT Strom Pipeline'!$E:$E,$U193)))</f>
        <v/>
      </c>
      <c r="G193" s="25" t="str">
        <f>IF($U193="","",IF(ISNUMBER(INDEX('MiT Strom Pipeline'!$I:$I,$U193)),INDEX('MiT Strom Pipeline'!$I:$I,$U193),0))</f>
        <v/>
      </c>
      <c r="H193" s="25" t="str">
        <f>IF($U193="","",IF(ISNUMBER(INDEX('MiT Strom Pipeline'!$Q:$Q,$U193)),INDEX('MiT Strom Pipeline'!$Q:$Q,$U193),0))</f>
        <v/>
      </c>
      <c r="I193" s="24" t="str">
        <f>IF($U193="","",INDEX('MiT Strom Pipeline'!$R:$R,$U193))</f>
        <v/>
      </c>
      <c r="J193" s="26" t="str">
        <f>IF($U193="","",IF(ISNUMBER(INDEX('MiT Strom Pipeline'!$S:$S,$U193)),INDEX('MiT Strom Pipeline'!$S:$S,$U193),""))</f>
        <v/>
      </c>
      <c r="K193" s="24" t="str">
        <f>IF($U193="","",IF(LEN(INDEX('MiT Strom Pipeline'!$V:$V,$U193))&gt;0,LEFT(INDEX('MiT Strom Pipeline'!$V:$V,$U193),55),""))</f>
        <v/>
      </c>
      <c r="L193" s="19"/>
      <c r="M193" s="19"/>
      <c r="N193" s="19"/>
      <c r="O193" s="19"/>
      <c r="P193" s="19"/>
      <c r="Q193" s="19"/>
      <c r="R193" s="19"/>
      <c r="S193" s="19"/>
      <c r="U193" t="str">
        <f>IFERROR(MATCH(55,'MiT Strom Pipeline'!$AD$6:$AD$860,0)+5,"")</f>
        <v/>
      </c>
    </row>
    <row r="194" spans="1:21" ht="15.75" customHeight="1">
      <c r="A194" s="23" t="str">
        <f>IF($U194="","",IF(ISNUMBER(INDEX('MiT Strom Pipeline'!$A:$A,$U194)),INDEX('MiT Strom Pipeline'!$A:$A,$U194),""))</f>
        <v/>
      </c>
      <c r="B194" s="24" t="str">
        <f>IF($U194="","",IF(INDEX('MiT Strom Pipeline'!$B:$B,$U194)="","",INDEX('MiT Strom Pipeline'!$B:$B,$U194)))</f>
        <v/>
      </c>
      <c r="C194" s="24" t="str">
        <f>IF($U194="","",IF(INDEX('MiT Strom Pipeline'!$C:$C,$U194)="","",INDEX('MiT Strom Pipeline'!$C:$C,$U194)))</f>
        <v/>
      </c>
      <c r="D194" s="24" t="str">
        <f>IF($U194="","",IF(INDEX('MiT Strom Pipeline'!$D:$D,$U194)="","",INDEX('MiT Strom Pipeline'!$D:$D,$U194)))</f>
        <v/>
      </c>
      <c r="E194" s="24" t="str">
        <f>IF($U194="","",IF(INDEX('MiT Strom Pipeline'!$H:$H,$U194)="","",INDEX('MiT Strom Pipeline'!$H:$H,$U194)))</f>
        <v/>
      </c>
      <c r="F194" s="24" t="str">
        <f>IF($U194="","",IF(INDEX('MiT Strom Pipeline'!$E:$E,$U194)="","",INDEX('MiT Strom Pipeline'!$E:$E,$U194)))</f>
        <v/>
      </c>
      <c r="G194" s="25" t="str">
        <f>IF($U194="","",IF(ISNUMBER(INDEX('MiT Strom Pipeline'!$I:$I,$U194)),INDEX('MiT Strom Pipeline'!$I:$I,$U194),0))</f>
        <v/>
      </c>
      <c r="H194" s="25" t="str">
        <f>IF($U194="","",IF(ISNUMBER(INDEX('MiT Strom Pipeline'!$Q:$Q,$U194)),INDEX('MiT Strom Pipeline'!$Q:$Q,$U194),0))</f>
        <v/>
      </c>
      <c r="I194" s="24" t="str">
        <f>IF($U194="","",INDEX('MiT Strom Pipeline'!$R:$R,$U194))</f>
        <v/>
      </c>
      <c r="J194" s="26" t="str">
        <f>IF($U194="","",IF(ISNUMBER(INDEX('MiT Strom Pipeline'!$S:$S,$U194)),INDEX('MiT Strom Pipeline'!$S:$S,$U194),""))</f>
        <v/>
      </c>
      <c r="K194" s="24" t="str">
        <f>IF($U194="","",IF(LEN(INDEX('MiT Strom Pipeline'!$V:$V,$U194))&gt;0,LEFT(INDEX('MiT Strom Pipeline'!$V:$V,$U194),55),""))</f>
        <v/>
      </c>
      <c r="L194" s="19"/>
      <c r="M194" s="19"/>
      <c r="N194" s="19"/>
      <c r="O194" s="19"/>
      <c r="P194" s="19"/>
      <c r="Q194" s="19"/>
      <c r="R194" s="19"/>
      <c r="S194" s="19"/>
      <c r="U194" t="str">
        <f>IFERROR(MATCH(56,'MiT Strom Pipeline'!$AD$6:$AD$860,0)+5,"")</f>
        <v/>
      </c>
    </row>
    <row r="195" spans="1:21" ht="15.75" customHeight="1">
      <c r="A195" s="23" t="str">
        <f>IF($U195="","",IF(ISNUMBER(INDEX('MiT Strom Pipeline'!$A:$A,$U195)),INDEX('MiT Strom Pipeline'!$A:$A,$U195),""))</f>
        <v/>
      </c>
      <c r="B195" s="24" t="str">
        <f>IF($U195="","",IF(INDEX('MiT Strom Pipeline'!$B:$B,$U195)="","",INDEX('MiT Strom Pipeline'!$B:$B,$U195)))</f>
        <v/>
      </c>
      <c r="C195" s="24" t="str">
        <f>IF($U195="","",IF(INDEX('MiT Strom Pipeline'!$C:$C,$U195)="","",INDEX('MiT Strom Pipeline'!$C:$C,$U195)))</f>
        <v/>
      </c>
      <c r="D195" s="24" t="str">
        <f>IF($U195="","",IF(INDEX('MiT Strom Pipeline'!$D:$D,$U195)="","",INDEX('MiT Strom Pipeline'!$D:$D,$U195)))</f>
        <v/>
      </c>
      <c r="E195" s="24" t="str">
        <f>IF($U195="","",IF(INDEX('MiT Strom Pipeline'!$H:$H,$U195)="","",INDEX('MiT Strom Pipeline'!$H:$H,$U195)))</f>
        <v/>
      </c>
      <c r="F195" s="24" t="str">
        <f>IF($U195="","",IF(INDEX('MiT Strom Pipeline'!$E:$E,$U195)="","",INDEX('MiT Strom Pipeline'!$E:$E,$U195)))</f>
        <v/>
      </c>
      <c r="G195" s="25" t="str">
        <f>IF($U195="","",IF(ISNUMBER(INDEX('MiT Strom Pipeline'!$I:$I,$U195)),INDEX('MiT Strom Pipeline'!$I:$I,$U195),0))</f>
        <v/>
      </c>
      <c r="H195" s="25" t="str">
        <f>IF($U195="","",IF(ISNUMBER(INDEX('MiT Strom Pipeline'!$Q:$Q,$U195)),INDEX('MiT Strom Pipeline'!$Q:$Q,$U195),0))</f>
        <v/>
      </c>
      <c r="I195" s="24" t="str">
        <f>IF($U195="","",INDEX('MiT Strom Pipeline'!$R:$R,$U195))</f>
        <v/>
      </c>
      <c r="J195" s="26" t="str">
        <f>IF($U195="","",IF(ISNUMBER(INDEX('MiT Strom Pipeline'!$S:$S,$U195)),INDEX('MiT Strom Pipeline'!$S:$S,$U195),""))</f>
        <v/>
      </c>
      <c r="K195" s="24" t="str">
        <f>IF($U195="","",IF(LEN(INDEX('MiT Strom Pipeline'!$V:$V,$U195))&gt;0,LEFT(INDEX('MiT Strom Pipeline'!$V:$V,$U195),55),""))</f>
        <v/>
      </c>
      <c r="L195" s="19"/>
      <c r="M195" s="19"/>
      <c r="N195" s="19"/>
      <c r="O195" s="19"/>
      <c r="P195" s="19"/>
      <c r="Q195" s="19"/>
      <c r="R195" s="19"/>
      <c r="S195" s="19"/>
      <c r="U195" t="str">
        <f>IFERROR(MATCH(57,'MiT Strom Pipeline'!$AD$6:$AD$860,0)+5,"")</f>
        <v/>
      </c>
    </row>
    <row r="196" spans="1:21" ht="15.75" customHeight="1">
      <c r="A196" s="23" t="str">
        <f>IF($U196="","",IF(ISNUMBER(INDEX('MiT Strom Pipeline'!$A:$A,$U196)),INDEX('MiT Strom Pipeline'!$A:$A,$U196),""))</f>
        <v/>
      </c>
      <c r="B196" s="24" t="str">
        <f>IF($U196="","",IF(INDEX('MiT Strom Pipeline'!$B:$B,$U196)="","",INDEX('MiT Strom Pipeline'!$B:$B,$U196)))</f>
        <v/>
      </c>
      <c r="C196" s="24" t="str">
        <f>IF($U196="","",IF(INDEX('MiT Strom Pipeline'!$C:$C,$U196)="","",INDEX('MiT Strom Pipeline'!$C:$C,$U196)))</f>
        <v/>
      </c>
      <c r="D196" s="24" t="str">
        <f>IF($U196="","",IF(INDEX('MiT Strom Pipeline'!$D:$D,$U196)="","",INDEX('MiT Strom Pipeline'!$D:$D,$U196)))</f>
        <v/>
      </c>
      <c r="E196" s="24" t="str">
        <f>IF($U196="","",IF(INDEX('MiT Strom Pipeline'!$H:$H,$U196)="","",INDEX('MiT Strom Pipeline'!$H:$H,$U196)))</f>
        <v/>
      </c>
      <c r="F196" s="24" t="str">
        <f>IF($U196="","",IF(INDEX('MiT Strom Pipeline'!$E:$E,$U196)="","",INDEX('MiT Strom Pipeline'!$E:$E,$U196)))</f>
        <v/>
      </c>
      <c r="G196" s="25" t="str">
        <f>IF($U196="","",IF(ISNUMBER(INDEX('MiT Strom Pipeline'!$I:$I,$U196)),INDEX('MiT Strom Pipeline'!$I:$I,$U196),0))</f>
        <v/>
      </c>
      <c r="H196" s="25" t="str">
        <f>IF($U196="","",IF(ISNUMBER(INDEX('MiT Strom Pipeline'!$Q:$Q,$U196)),INDEX('MiT Strom Pipeline'!$Q:$Q,$U196),0))</f>
        <v/>
      </c>
      <c r="I196" s="24" t="str">
        <f>IF($U196="","",INDEX('MiT Strom Pipeline'!$R:$R,$U196))</f>
        <v/>
      </c>
      <c r="J196" s="26" t="str">
        <f>IF($U196="","",IF(ISNUMBER(INDEX('MiT Strom Pipeline'!$S:$S,$U196)),INDEX('MiT Strom Pipeline'!$S:$S,$U196),""))</f>
        <v/>
      </c>
      <c r="K196" s="24" t="str">
        <f>IF($U196="","",IF(LEN(INDEX('MiT Strom Pipeline'!$V:$V,$U196))&gt;0,LEFT(INDEX('MiT Strom Pipeline'!$V:$V,$U196),55),""))</f>
        <v/>
      </c>
      <c r="L196" s="19"/>
      <c r="M196" s="19"/>
      <c r="N196" s="19"/>
      <c r="O196" s="19"/>
      <c r="P196" s="19"/>
      <c r="Q196" s="19"/>
      <c r="R196" s="19"/>
      <c r="S196" s="19"/>
      <c r="U196" t="str">
        <f>IFERROR(MATCH(58,'MiT Strom Pipeline'!$AD$6:$AD$860,0)+5,"")</f>
        <v/>
      </c>
    </row>
    <row r="197" spans="1:21" ht="15.75" customHeight="1">
      <c r="A197" s="23" t="str">
        <f>IF($U197="","",IF(ISNUMBER(INDEX('MiT Strom Pipeline'!$A:$A,$U197)),INDEX('MiT Strom Pipeline'!$A:$A,$U197),""))</f>
        <v/>
      </c>
      <c r="B197" s="24" t="str">
        <f>IF($U197="","",IF(INDEX('MiT Strom Pipeline'!$B:$B,$U197)="","",INDEX('MiT Strom Pipeline'!$B:$B,$U197)))</f>
        <v/>
      </c>
      <c r="C197" s="24" t="str">
        <f>IF($U197="","",IF(INDEX('MiT Strom Pipeline'!$C:$C,$U197)="","",INDEX('MiT Strom Pipeline'!$C:$C,$U197)))</f>
        <v/>
      </c>
      <c r="D197" s="24" t="str">
        <f>IF($U197="","",IF(INDEX('MiT Strom Pipeline'!$D:$D,$U197)="","",INDEX('MiT Strom Pipeline'!$D:$D,$U197)))</f>
        <v/>
      </c>
      <c r="E197" s="24" t="str">
        <f>IF($U197="","",IF(INDEX('MiT Strom Pipeline'!$H:$H,$U197)="","",INDEX('MiT Strom Pipeline'!$H:$H,$U197)))</f>
        <v/>
      </c>
      <c r="F197" s="24" t="str">
        <f>IF($U197="","",IF(INDEX('MiT Strom Pipeline'!$E:$E,$U197)="","",INDEX('MiT Strom Pipeline'!$E:$E,$U197)))</f>
        <v/>
      </c>
      <c r="G197" s="25" t="str">
        <f>IF($U197="","",IF(ISNUMBER(INDEX('MiT Strom Pipeline'!$I:$I,$U197)),INDEX('MiT Strom Pipeline'!$I:$I,$U197),0))</f>
        <v/>
      </c>
      <c r="H197" s="25" t="str">
        <f>IF($U197="","",IF(ISNUMBER(INDEX('MiT Strom Pipeline'!$Q:$Q,$U197)),INDEX('MiT Strom Pipeline'!$Q:$Q,$U197),0))</f>
        <v/>
      </c>
      <c r="I197" s="24" t="str">
        <f>IF($U197="","",INDEX('MiT Strom Pipeline'!$R:$R,$U197))</f>
        <v/>
      </c>
      <c r="J197" s="26" t="str">
        <f>IF($U197="","",IF(ISNUMBER(INDEX('MiT Strom Pipeline'!$S:$S,$U197)),INDEX('MiT Strom Pipeline'!$S:$S,$U197),""))</f>
        <v/>
      </c>
      <c r="K197" s="24" t="str">
        <f>IF($U197="","",IF(LEN(INDEX('MiT Strom Pipeline'!$V:$V,$U197))&gt;0,LEFT(INDEX('MiT Strom Pipeline'!$V:$V,$U197),55),""))</f>
        <v/>
      </c>
      <c r="L197" s="19"/>
      <c r="M197" s="19"/>
      <c r="N197" s="19"/>
      <c r="O197" s="19"/>
      <c r="P197" s="19"/>
      <c r="Q197" s="19"/>
      <c r="R197" s="19"/>
      <c r="S197" s="19"/>
      <c r="U197" t="str">
        <f>IFERROR(MATCH(59,'MiT Strom Pipeline'!$AD$6:$AD$860,0)+5,"")</f>
        <v/>
      </c>
    </row>
    <row r="198" spans="1:21" ht="15.75" customHeight="1">
      <c r="A198" s="23" t="str">
        <f>IF($U198="","",IF(ISNUMBER(INDEX('MiT Strom Pipeline'!$A:$A,$U198)),INDEX('MiT Strom Pipeline'!$A:$A,$U198),""))</f>
        <v/>
      </c>
      <c r="B198" s="24" t="str">
        <f>IF($U198="","",IF(INDEX('MiT Strom Pipeline'!$B:$B,$U198)="","",INDEX('MiT Strom Pipeline'!$B:$B,$U198)))</f>
        <v/>
      </c>
      <c r="C198" s="24" t="str">
        <f>IF($U198="","",IF(INDEX('MiT Strom Pipeline'!$C:$C,$U198)="","",INDEX('MiT Strom Pipeline'!$C:$C,$U198)))</f>
        <v/>
      </c>
      <c r="D198" s="24" t="str">
        <f>IF($U198="","",IF(INDEX('MiT Strom Pipeline'!$D:$D,$U198)="","",INDEX('MiT Strom Pipeline'!$D:$D,$U198)))</f>
        <v/>
      </c>
      <c r="E198" s="24" t="str">
        <f>IF($U198="","",IF(INDEX('MiT Strom Pipeline'!$H:$H,$U198)="","",INDEX('MiT Strom Pipeline'!$H:$H,$U198)))</f>
        <v/>
      </c>
      <c r="F198" s="24" t="str">
        <f>IF($U198="","",IF(INDEX('MiT Strom Pipeline'!$E:$E,$U198)="","",INDEX('MiT Strom Pipeline'!$E:$E,$U198)))</f>
        <v/>
      </c>
      <c r="G198" s="25" t="str">
        <f>IF($U198="","",IF(ISNUMBER(INDEX('MiT Strom Pipeline'!$I:$I,$U198)),INDEX('MiT Strom Pipeline'!$I:$I,$U198),0))</f>
        <v/>
      </c>
      <c r="H198" s="25" t="str">
        <f>IF($U198="","",IF(ISNUMBER(INDEX('MiT Strom Pipeline'!$Q:$Q,$U198)),INDEX('MiT Strom Pipeline'!$Q:$Q,$U198),0))</f>
        <v/>
      </c>
      <c r="I198" s="24" t="str">
        <f>IF($U198="","",INDEX('MiT Strom Pipeline'!$R:$R,$U198))</f>
        <v/>
      </c>
      <c r="J198" s="26" t="str">
        <f>IF($U198="","",IF(ISNUMBER(INDEX('MiT Strom Pipeline'!$S:$S,$U198)),INDEX('MiT Strom Pipeline'!$S:$S,$U198),""))</f>
        <v/>
      </c>
      <c r="K198" s="24" t="str">
        <f>IF($U198="","",IF(LEN(INDEX('MiT Strom Pipeline'!$V:$V,$U198))&gt;0,LEFT(INDEX('MiT Strom Pipeline'!$V:$V,$U198),55),""))</f>
        <v/>
      </c>
      <c r="L198" s="19"/>
      <c r="M198" s="19"/>
      <c r="N198" s="19"/>
      <c r="O198" s="19"/>
      <c r="P198" s="19"/>
      <c r="Q198" s="19"/>
      <c r="R198" s="19"/>
      <c r="S198" s="19"/>
      <c r="U198" t="str">
        <f>IFERROR(MATCH(60,'MiT Strom Pipeline'!$AD$6:$AD$860,0)+5,"")</f>
        <v/>
      </c>
    </row>
    <row r="199" spans="1:21" ht="21.75" customHeight="1">
      <c r="A199" s="23" t="str">
        <f>IF($U199="","",IF(ISNUMBER(INDEX('MiT Strom Pipeline'!$A:$A,$U199)),INDEX('MiT Strom Pipeline'!$A:$A,$U199),""))</f>
        <v/>
      </c>
      <c r="B199" s="24" t="str">
        <f>IF($U199="","",IF(INDEX('MiT Strom Pipeline'!$B:$B,$U199)="","",INDEX('MiT Strom Pipeline'!$B:$B,$U199)))</f>
        <v/>
      </c>
      <c r="C199" s="24" t="str">
        <f>IF($U199="","",IF(INDEX('MiT Strom Pipeline'!$C:$C,$U199)="","",INDEX('MiT Strom Pipeline'!$C:$C,$U199)))</f>
        <v/>
      </c>
      <c r="D199" s="24" t="str">
        <f>IF($U199="","",IF(INDEX('MiT Strom Pipeline'!$D:$D,$U199)="","",INDEX('MiT Strom Pipeline'!$D:$D,$U199)))</f>
        <v/>
      </c>
      <c r="E199" s="24" t="str">
        <f>IF($U199="","",IF(INDEX('MiT Strom Pipeline'!$H:$H,$U199)="","",INDEX('MiT Strom Pipeline'!$H:$H,$U199)))</f>
        <v/>
      </c>
      <c r="F199" s="24" t="str">
        <f>IF($U199="","",IF(INDEX('MiT Strom Pipeline'!$E:$E,$U199)="","",INDEX('MiT Strom Pipeline'!$E:$E,$U199)))</f>
        <v/>
      </c>
      <c r="G199" s="25" t="str">
        <f>IF($U199="","",IF(ISNUMBER(INDEX('MiT Strom Pipeline'!$I:$I,$U199)),INDEX('MiT Strom Pipeline'!$I:$I,$U199),0))</f>
        <v/>
      </c>
      <c r="H199" s="25" t="str">
        <f>IF($U199="","",IF(ISNUMBER(INDEX('MiT Strom Pipeline'!$Q:$Q,$U199)),INDEX('MiT Strom Pipeline'!$Q:$Q,$U199),0))</f>
        <v/>
      </c>
      <c r="I199" s="24" t="str">
        <f>IF($U199="","",INDEX('MiT Strom Pipeline'!$R:$R,$U199))</f>
        <v/>
      </c>
      <c r="J199" s="26" t="str">
        <f>IF($U199="","",IF(ISNUMBER(INDEX('MiT Strom Pipeline'!$S:$S,$U199)),INDEX('MiT Strom Pipeline'!$S:$S,$U199),""))</f>
        <v/>
      </c>
      <c r="K199" s="24" t="str">
        <f>IF($U199="","",IF(LEN(INDEX('MiT Strom Pipeline'!$V:$V,$U199))&gt;0,LEFT(INDEX('MiT Strom Pipeline'!$V:$V,$U199),55),""))</f>
        <v/>
      </c>
      <c r="L199" s="19"/>
      <c r="M199" s="19"/>
      <c r="N199" s="19"/>
      <c r="O199" s="19"/>
      <c r="P199" s="19"/>
      <c r="Q199" s="19"/>
      <c r="R199" s="19"/>
      <c r="S199" s="19"/>
      <c r="U199" t="str">
        <f>IFERROR(MATCH(61,'MiT Strom Pipeline'!$AD$6:$AD$860,0)+5,"")</f>
        <v/>
      </c>
    </row>
    <row r="200" spans="1:21" ht="3.75" customHeight="1">
      <c r="A200" s="23" t="str">
        <f>IF($U200="","",IF(ISNUMBER(INDEX('MiT Strom Pipeline'!$A:$A,$U200)),INDEX('MiT Strom Pipeline'!$A:$A,$U200),""))</f>
        <v/>
      </c>
      <c r="B200" s="24" t="str">
        <f>IF($U200="","",IF(INDEX('MiT Strom Pipeline'!$B:$B,$U200)="","",INDEX('MiT Strom Pipeline'!$B:$B,$U200)))</f>
        <v/>
      </c>
      <c r="C200" s="24" t="str">
        <f>IF($U200="","",IF(INDEX('MiT Strom Pipeline'!$C:$C,$U200)="","",INDEX('MiT Strom Pipeline'!$C:$C,$U200)))</f>
        <v/>
      </c>
      <c r="D200" s="24" t="str">
        <f>IF($U200="","",IF(INDEX('MiT Strom Pipeline'!$D:$D,$U200)="","",INDEX('MiT Strom Pipeline'!$D:$D,$U200)))</f>
        <v/>
      </c>
      <c r="E200" s="24" t="str">
        <f>IF($U200="","",IF(INDEX('MiT Strom Pipeline'!$H:$H,$U200)="","",INDEX('MiT Strom Pipeline'!$H:$H,$U200)))</f>
        <v/>
      </c>
      <c r="F200" s="24" t="str">
        <f>IF($U200="","",IF(INDEX('MiT Strom Pipeline'!$E:$E,$U200)="","",INDEX('MiT Strom Pipeline'!$E:$E,$U200)))</f>
        <v/>
      </c>
      <c r="G200" s="25" t="str">
        <f>IF($U200="","",IF(ISNUMBER(INDEX('MiT Strom Pipeline'!$I:$I,$U200)),INDEX('MiT Strom Pipeline'!$I:$I,$U200),0))</f>
        <v/>
      </c>
      <c r="H200" s="25" t="str">
        <f>IF($U200="","",IF(ISNUMBER(INDEX('MiT Strom Pipeline'!$Q:$Q,$U200)),INDEX('MiT Strom Pipeline'!$Q:$Q,$U200),0))</f>
        <v/>
      </c>
      <c r="I200" s="24" t="str">
        <f>IF($U200="","",INDEX('MiT Strom Pipeline'!$R:$R,$U200))</f>
        <v/>
      </c>
      <c r="J200" s="26" t="str">
        <f>IF($U200="","",IF(ISNUMBER(INDEX('MiT Strom Pipeline'!$S:$S,$U200)),INDEX('MiT Strom Pipeline'!$S:$S,$U200),""))</f>
        <v/>
      </c>
      <c r="K200" s="24" t="str">
        <f>IF($U200="","",IF(LEN(INDEX('MiT Strom Pipeline'!$V:$V,$U200))&gt;0,LEFT(INDEX('MiT Strom Pipeline'!$V:$V,$U200),55),""))</f>
        <v/>
      </c>
      <c r="L200" s="19"/>
      <c r="M200" s="19"/>
      <c r="N200" s="19"/>
      <c r="O200" s="19"/>
      <c r="P200" s="19"/>
      <c r="Q200" s="19"/>
      <c r="R200" s="19"/>
      <c r="S200" s="19"/>
      <c r="U200" t="str">
        <f>IFERROR(MATCH(62,'MiT Strom Pipeline'!$AD$6:$AD$860,0)+5,"")</f>
        <v/>
      </c>
    </row>
    <row r="201" spans="1:21" ht="27.75" customHeight="1">
      <c r="A201" s="98" t="s">
        <v>94</v>
      </c>
      <c r="B201" s="150"/>
      <c r="C201" s="150"/>
      <c r="D201" s="150"/>
      <c r="E201" s="151"/>
      <c r="F201" s="30">
        <f>SUMIFS('MiT Strom Pipeline'!I$6:I$860,'MiT Strom Pipeline'!R$6:R$860,"WON")+SUMIFS('MiT Strom Pipeline'!I$6:I$860,'MiT Strom Pipeline'!R$6:R$860,"offered")+SUMIFS('MiT Strom Pipeline'!I$6:I$860,'MiT Strom Pipeline'!R$6:R$860,"to be offered")+SUMIFS('MiT Strom Pipeline'!I$6:I$860,'MiT Strom Pipeline'!R$6:R$860,"on hold")+SUMIFS('MiT Strom Pipeline'!I$6:I$860,'MiT Strom Pipeline'!R$6:R$860,"follow-up")+SUMIFS('MiT Strom Pipeline'!I$6:I$860,'MiT Strom Pipeline'!R$6:R$860,"Evaluation")+SUMIFS('MiT Strom Pipeline'!I$6:I$860,'MiT Strom Pipeline'!R$6:R$860,"tbd")+SUMIFS('MiT Strom Pipeline'!I$6:I$860,'MiT Strom Pipeline'!R$6:R$860,"In evaluation")</f>
        <v>6862149.2300000004</v>
      </c>
      <c r="G201" s="41"/>
      <c r="H201" s="31"/>
      <c r="I201" s="31"/>
      <c r="J201" s="32"/>
      <c r="L201" s="19"/>
      <c r="M201" s="19"/>
      <c r="N201" s="19"/>
      <c r="O201" s="19"/>
      <c r="P201" s="19"/>
      <c r="Q201" s="19"/>
      <c r="R201" s="19"/>
      <c r="S201" s="19"/>
    </row>
    <row r="202" spans="1:21" ht="18" customHeight="1">
      <c r="A202" s="102" t="s">
        <v>86</v>
      </c>
      <c r="B202" s="126"/>
      <c r="C202" s="126"/>
      <c r="D202" s="126"/>
      <c r="E202" s="126"/>
      <c r="F202" s="33">
        <f>SUMIFS('MiT Strom Pipeline'!I$6:I$860,'MiT Strom Pipeline'!R$6:R$860,"WON")</f>
        <v>1428553.1299999997</v>
      </c>
      <c r="G202" s="42"/>
      <c r="H202" s="34"/>
      <c r="I202" s="34"/>
      <c r="J202" s="35"/>
      <c r="L202" s="19"/>
      <c r="M202" s="19"/>
      <c r="N202" s="19"/>
      <c r="O202" s="19"/>
      <c r="P202" s="19"/>
      <c r="Q202" s="19"/>
      <c r="R202" s="19"/>
      <c r="S202" s="19"/>
    </row>
    <row r="203" spans="1:21" ht="18" customHeight="1">
      <c r="A203" s="102" t="s">
        <v>87</v>
      </c>
      <c r="B203" s="126"/>
      <c r="C203" s="126"/>
      <c r="D203" s="126"/>
      <c r="E203" s="126"/>
      <c r="F203" s="36">
        <f>SUMIFS('MiT Strom Pipeline'!I$6:I$860,'MiT Strom Pipeline'!R$6:R$860,"offered")+SUMIFS('MiT Strom Pipeline'!I$6:I$860,'MiT Strom Pipeline'!R$6:R$860,"to be offered")+SUMIFS('MiT Strom Pipeline'!I$6:I$860,'MiT Strom Pipeline'!R$6:R$860,"on hold")</f>
        <v>5433596.1000000006</v>
      </c>
      <c r="G203" s="42"/>
      <c r="H203" s="34"/>
      <c r="I203" s="34"/>
      <c r="J203" s="35"/>
      <c r="L203" s="19"/>
      <c r="M203" s="19"/>
      <c r="N203" s="19"/>
      <c r="O203" s="19"/>
      <c r="P203" s="19"/>
      <c r="Q203" s="19"/>
      <c r="R203" s="19"/>
      <c r="S203" s="19"/>
    </row>
    <row r="204" spans="1:21" ht="18" customHeight="1">
      <c r="A204" s="102" t="s">
        <v>88</v>
      </c>
      <c r="B204" s="126"/>
      <c r="C204" s="126"/>
      <c r="D204" s="126"/>
      <c r="E204" s="126"/>
      <c r="F204" s="37">
        <f>SUMIFS('MiT Strom Pipeline'!I$6:I$860,'MiT Strom Pipeline'!R$6:R$860,"follow-up")+SUMIFS('MiT Strom Pipeline'!I$6:I$860,'MiT Strom Pipeline'!R$6:R$860,"Evaluation")+SUMIFS('MiT Strom Pipeline'!I$6:I$860,'MiT Strom Pipeline'!R$6:R$860,"tbd")+SUMIFS('MiT Strom Pipeline'!I$6:I$860,'MiT Strom Pipeline'!R$6:R$860,"In evaluation")</f>
        <v>0</v>
      </c>
      <c r="G204" s="42"/>
      <c r="H204" s="34"/>
      <c r="I204" s="34"/>
      <c r="J204" s="35"/>
      <c r="L204" s="19"/>
      <c r="M204" s="19"/>
      <c r="N204" s="19"/>
      <c r="O204" s="19"/>
      <c r="P204" s="19"/>
      <c r="Q204" s="19"/>
      <c r="R204" s="19"/>
      <c r="S204" s="19"/>
    </row>
    <row r="205" spans="1:21" ht="15" customHeight="1">
      <c r="D205" s="38"/>
      <c r="E205" s="38"/>
      <c r="J205" s="38"/>
      <c r="L205" s="19"/>
      <c r="M205" s="19"/>
      <c r="N205" s="19"/>
      <c r="O205" s="19"/>
      <c r="P205" s="19"/>
      <c r="Q205" s="19"/>
      <c r="R205" s="19"/>
      <c r="S205" s="19"/>
    </row>
    <row r="206" spans="1:21" ht="13.5" customHeight="1">
      <c r="A206" s="101" t="str">
        <f ca="1">"Stand: "&amp;TEXT(TODAY(),"DD.MM.YYYY")&amp;"  |  Burak Ücöz  |  Mobil in Time AG – An Aggreko Company  |  VERTRAULICH"</f>
        <v>Stand: DD.08.YYYY  |  Burak Ücöz  |  Mobil in Time AG – An Aggreko Company  |  VERTRAULICH</v>
      </c>
      <c r="B206" s="126"/>
      <c r="C206" s="126"/>
      <c r="D206" s="126"/>
      <c r="E206" s="126"/>
      <c r="F206" s="152"/>
      <c r="G206" s="152"/>
      <c r="H206" s="126"/>
      <c r="I206" s="126"/>
      <c r="J206" s="126"/>
      <c r="L206" s="19"/>
      <c r="M206" s="19"/>
      <c r="N206" s="19"/>
      <c r="O206" s="19"/>
      <c r="P206" s="19"/>
      <c r="Q206" s="19"/>
      <c r="R206" s="19"/>
      <c r="S206" s="19"/>
    </row>
    <row r="207" spans="1:21" ht="15" customHeight="1">
      <c r="L207" s="19"/>
      <c r="M207" s="19"/>
      <c r="N207" s="19"/>
      <c r="O207" s="19"/>
      <c r="P207" s="19"/>
      <c r="Q207" s="19"/>
      <c r="R207" s="19"/>
      <c r="S207" s="19"/>
    </row>
    <row r="208" spans="1:21" ht="15" customHeight="1">
      <c r="L208" s="19"/>
      <c r="M208" s="19"/>
      <c r="N208" s="19"/>
      <c r="O208" s="19"/>
      <c r="P208" s="19"/>
      <c r="Q208" s="19"/>
      <c r="R208" s="19"/>
      <c r="S208" s="19"/>
    </row>
    <row r="209" spans="12:19" ht="15" customHeight="1">
      <c r="L209" s="19"/>
      <c r="M209" s="19"/>
      <c r="N209" s="19"/>
      <c r="O209" s="19"/>
      <c r="P209" s="19"/>
      <c r="Q209" s="19"/>
      <c r="R209" s="19"/>
      <c r="S209" s="19"/>
    </row>
    <row r="210" spans="12:19" ht="15" customHeight="1">
      <c r="L210" s="19"/>
      <c r="M210" s="19"/>
      <c r="N210" s="19"/>
      <c r="O210" s="19"/>
      <c r="P210" s="19"/>
      <c r="Q210" s="19"/>
      <c r="R210" s="19"/>
      <c r="S210" s="19"/>
    </row>
    <row r="211" spans="12:19" ht="15" customHeight="1">
      <c r="L211" s="19"/>
      <c r="M211" s="19"/>
      <c r="N211" s="19"/>
      <c r="O211" s="19"/>
      <c r="P211" s="19"/>
      <c r="Q211" s="19"/>
      <c r="R211" s="19"/>
      <c r="S211" s="19"/>
    </row>
    <row r="212" spans="12:19" ht="15" customHeight="1">
      <c r="L212" s="19"/>
      <c r="M212" s="19"/>
      <c r="N212" s="19"/>
      <c r="O212" s="19"/>
      <c r="P212" s="19"/>
      <c r="Q212" s="19"/>
      <c r="R212" s="19"/>
      <c r="S212" s="19"/>
    </row>
    <row r="213" spans="12:19" ht="15" customHeight="1">
      <c r="L213" s="19"/>
      <c r="M213" s="19"/>
      <c r="N213" s="19"/>
      <c r="O213" s="19"/>
      <c r="P213" s="19"/>
      <c r="Q213" s="19"/>
      <c r="R213" s="19"/>
      <c r="S213" s="19"/>
    </row>
    <row r="214" spans="12:19" ht="15" customHeight="1">
      <c r="L214" s="19"/>
      <c r="M214" s="19"/>
      <c r="N214" s="19"/>
      <c r="O214" s="19"/>
      <c r="P214" s="19"/>
      <c r="Q214" s="19"/>
      <c r="R214" s="19"/>
      <c r="S214" s="19"/>
    </row>
    <row r="215" spans="12:19" ht="15" customHeight="1">
      <c r="L215" s="19"/>
      <c r="M215" s="19"/>
      <c r="N215" s="19"/>
      <c r="O215" s="19"/>
      <c r="P215" s="19"/>
      <c r="Q215" s="19"/>
      <c r="R215" s="19"/>
      <c r="S215" s="19"/>
    </row>
    <row r="216" spans="12:19" ht="15" customHeight="1">
      <c r="L216" s="19"/>
      <c r="M216" s="19"/>
      <c r="N216" s="19"/>
      <c r="O216" s="19"/>
      <c r="P216" s="19"/>
      <c r="Q216" s="19"/>
      <c r="R216" s="19"/>
      <c r="S216" s="19"/>
    </row>
    <row r="217" spans="12:19" ht="15" customHeight="1">
      <c r="L217" s="19"/>
      <c r="M217" s="19"/>
      <c r="N217" s="19"/>
      <c r="O217" s="19"/>
      <c r="P217" s="19"/>
      <c r="Q217" s="19"/>
      <c r="R217" s="19"/>
      <c r="S217" s="19"/>
    </row>
    <row r="218" spans="12:19" ht="15" customHeight="1">
      <c r="L218" s="19"/>
      <c r="M218" s="19"/>
      <c r="N218" s="19"/>
      <c r="O218" s="19"/>
      <c r="P218" s="19"/>
      <c r="Q218" s="19"/>
      <c r="R218" s="19"/>
      <c r="S218" s="19"/>
    </row>
    <row r="219" spans="12:19" ht="15" customHeight="1">
      <c r="L219" s="19"/>
      <c r="M219" s="19"/>
      <c r="N219" s="19"/>
      <c r="O219" s="19"/>
      <c r="P219" s="19"/>
      <c r="Q219" s="19"/>
      <c r="R219" s="19"/>
      <c r="S219" s="19"/>
    </row>
  </sheetData>
  <autoFilter ref="A10:K72" xr:uid="{00000000-0009-0000-0000-000003000000}"/>
  <mergeCells count="23">
    <mergeCell ref="A206:J206"/>
    <mergeCell ref="A73:K73"/>
    <mergeCell ref="D7:F7"/>
    <mergeCell ref="A1:K1"/>
    <mergeCell ref="G7:H7"/>
    <mergeCell ref="A5:C5"/>
    <mergeCell ref="I5:K5"/>
    <mergeCell ref="A137:K137"/>
    <mergeCell ref="G6:H6"/>
    <mergeCell ref="I7:K7"/>
    <mergeCell ref="A3:K3"/>
    <mergeCell ref="A204:E204"/>
    <mergeCell ref="D5:F5"/>
    <mergeCell ref="A2:K2"/>
    <mergeCell ref="G5:H5"/>
    <mergeCell ref="A203:E203"/>
    <mergeCell ref="I6:K6"/>
    <mergeCell ref="A6:C6"/>
    <mergeCell ref="A202:E202"/>
    <mergeCell ref="A7:C7"/>
    <mergeCell ref="D6:F6"/>
    <mergeCell ref="A9:K9"/>
    <mergeCell ref="A201:E201"/>
  </mergeCells>
  <conditionalFormatting sqref="I11:I200">
    <cfRule type="cellIs" dxfId="19" priority="1" stopIfTrue="1" operator="equal">
      <formula>"WON"</formula>
    </cfRule>
    <cfRule type="cellIs" dxfId="18" priority="2" stopIfTrue="1" operator="equal">
      <formula>"offered"</formula>
    </cfRule>
    <cfRule type="cellIs" dxfId="17" priority="3" stopIfTrue="1" operator="equal">
      <formula>"to be offered"</formula>
    </cfRule>
    <cfRule type="cellIs" dxfId="16" priority="4" stopIfTrue="1" operator="equal">
      <formula>"follow-up"</formula>
    </cfRule>
    <cfRule type="cellIs" dxfId="15" priority="5" stopIfTrue="1" operator="equal">
      <formula>"Evaluation"</formula>
    </cfRule>
    <cfRule type="cellIs" dxfId="14" priority="6" stopIfTrue="1" operator="equal">
      <formula>"In evaluation"</formula>
    </cfRule>
    <cfRule type="cellIs" dxfId="13" priority="7" stopIfTrue="1" operator="equal">
      <formula>"on hold"</formula>
    </cfRule>
    <cfRule type="cellIs" dxfId="12" priority="8" stopIfTrue="1" operator="equal">
      <formula>"tbd"</formula>
    </cfRule>
    <cfRule type="cellIs" dxfId="11" priority="9" stopIfTrue="1" operator="equal">
      <formula>"LOST"</formula>
    </cfRule>
    <cfRule type="cellIs" dxfId="10" priority="10" stopIfTrue="1" operator="equal">
      <formula>"Declined"</formula>
    </cfRule>
  </conditionalFormatting>
  <printOptions horizontalCentered="1"/>
  <pageMargins left="0.3" right="0.3" top="0.5" bottom="0.5" header="0.2" footer="0.2"/>
  <pageSetup paperSize="9" fitToHeight="0" orientation="landscape" horizontalDpi="300" verticalDpi="300"/>
  <headerFooter>
    <oddHeader>&amp;C&amp;"Calibri,Bold"&amp;14 MiT Strom Schweiz — Dashboard</oddHeader>
    <oddFooter>&amp;LMobil in Time AG · An Aggreko Company&amp;RSeite &amp;P von &amp;N</oddFooter>
  </headerFooter>
  <rowBreaks count="2" manualBreakCount="2">
    <brk id="72" max="16383" man="1"/>
    <brk id="136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7C00"/>
    <pageSetUpPr fitToPage="1"/>
  </sheetPr>
  <dimension ref="A1:R100"/>
  <sheetViews>
    <sheetView showGridLines="0" zoomScale="85" zoomScaleNormal="85" workbookViewId="0"/>
  </sheetViews>
  <sheetFormatPr defaultColWidth="8.5703125" defaultRowHeight="15"/>
  <cols>
    <col min="1" max="18" width="11" customWidth="1"/>
  </cols>
  <sheetData>
    <row r="1" spans="1:18" ht="31.5" customHeight="1">
      <c r="A1" s="125" t="s">
        <v>95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</row>
    <row r="2" spans="1:18" ht="15.75" customHeight="1">
      <c r="A2" s="145" t="s">
        <v>96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</row>
    <row r="3" spans="1:18" ht="15.75" customHeight="1"/>
    <row r="4" spans="1:18" ht="15.75" customHeight="1">
      <c r="A4" s="43" t="s">
        <v>97</v>
      </c>
      <c r="B4" s="19"/>
      <c r="C4" s="19"/>
      <c r="D4" s="19"/>
      <c r="E4" s="19"/>
      <c r="F4" s="19"/>
      <c r="G4" s="19"/>
      <c r="H4" s="19"/>
      <c r="I4" s="19"/>
      <c r="J4" s="43" t="s">
        <v>98</v>
      </c>
      <c r="K4" s="19"/>
      <c r="L4" s="19"/>
      <c r="M4" s="19"/>
      <c r="N4" s="19"/>
      <c r="O4" s="19"/>
      <c r="P4" s="19"/>
      <c r="Q4" s="19"/>
      <c r="R4" s="19"/>
    </row>
    <row r="5" spans="1:18" ht="15.7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15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15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15.7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15.75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15.7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15.7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15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15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15.7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15.7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15.7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  <row r="17" spans="1:18" ht="15.7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18" ht="15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5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7.5" customHeight="1">
      <c r="A22" s="19"/>
      <c r="B22" s="19"/>
      <c r="C22" s="20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</row>
    <row r="23" spans="1:18" ht="7.5" customHeight="1">
      <c r="A23" s="19"/>
      <c r="B23" s="19"/>
      <c r="C23" s="20"/>
      <c r="D23" s="19"/>
      <c r="E23" s="19"/>
      <c r="F23" s="20"/>
      <c r="G23" s="19"/>
      <c r="H23" s="19"/>
      <c r="I23" s="19"/>
      <c r="J23" s="20"/>
      <c r="K23" s="19"/>
      <c r="L23" s="19"/>
      <c r="M23" s="19"/>
      <c r="N23" s="19"/>
      <c r="O23" s="19"/>
      <c r="P23" s="19"/>
      <c r="Q23" s="19"/>
      <c r="R23" s="19"/>
    </row>
    <row r="24" spans="1:18" ht="15.75" customHeight="1">
      <c r="B24" s="19"/>
      <c r="C24" s="20"/>
      <c r="D24" s="19"/>
      <c r="E24" s="19"/>
      <c r="F24" s="20"/>
      <c r="G24" s="19"/>
      <c r="H24" s="19"/>
      <c r="I24" s="19"/>
      <c r="M24" s="19"/>
      <c r="N24" s="19"/>
      <c r="O24" s="19"/>
      <c r="P24" s="19"/>
      <c r="Q24" s="19"/>
      <c r="R24" s="19"/>
    </row>
    <row r="25" spans="1:18" ht="15.75" customHeight="1">
      <c r="A25" s="19"/>
      <c r="B25" s="19"/>
      <c r="C25" s="20"/>
      <c r="D25" s="19"/>
      <c r="E25" s="19"/>
      <c r="F25" s="20"/>
      <c r="G25" s="19"/>
      <c r="H25" s="19"/>
      <c r="I25" s="19"/>
      <c r="J25" s="20"/>
      <c r="K25" s="19"/>
      <c r="L25" s="19"/>
      <c r="M25" s="19"/>
      <c r="N25" s="19"/>
      <c r="O25" s="19"/>
      <c r="P25" s="19"/>
      <c r="Q25" s="19"/>
      <c r="R25" s="19"/>
    </row>
    <row r="26" spans="1:18" ht="15.75" customHeight="1">
      <c r="A26" s="19"/>
      <c r="B26" s="19"/>
      <c r="C26" s="20"/>
      <c r="D26" s="19"/>
      <c r="E26" s="19"/>
      <c r="F26" s="20"/>
      <c r="G26" s="19"/>
      <c r="H26" s="19"/>
      <c r="I26" s="19"/>
      <c r="J26" s="20"/>
      <c r="K26" s="19"/>
      <c r="L26" s="19"/>
      <c r="M26" s="19"/>
      <c r="N26" s="19"/>
      <c r="O26" s="19"/>
      <c r="P26" s="19"/>
      <c r="Q26" s="19"/>
      <c r="R26" s="19"/>
    </row>
    <row r="27" spans="1:18" ht="15.75" customHeight="1">
      <c r="A27" s="19"/>
      <c r="B27" s="19"/>
      <c r="C27" s="20"/>
      <c r="D27" s="19"/>
      <c r="E27" s="19"/>
      <c r="F27" s="20"/>
      <c r="G27" s="19"/>
      <c r="H27" s="19"/>
      <c r="I27" s="19"/>
      <c r="J27" s="20"/>
      <c r="K27" s="19"/>
      <c r="L27" s="19"/>
      <c r="M27" s="19"/>
      <c r="N27" s="19"/>
      <c r="O27" s="19"/>
      <c r="P27" s="19"/>
      <c r="Q27" s="19"/>
      <c r="R27" s="19"/>
    </row>
    <row r="28" spans="1:18" ht="15.75" customHeight="1">
      <c r="A28" s="43" t="s">
        <v>99</v>
      </c>
      <c r="B28" s="19"/>
      <c r="C28" s="20"/>
      <c r="D28" s="19"/>
      <c r="E28" s="19"/>
      <c r="F28" s="20"/>
      <c r="G28" s="19"/>
      <c r="H28" s="19"/>
      <c r="I28" s="19"/>
      <c r="J28" s="44" t="s">
        <v>100</v>
      </c>
      <c r="K28" s="19"/>
      <c r="L28" s="19"/>
      <c r="M28" s="19"/>
      <c r="N28" s="19"/>
      <c r="O28" s="19"/>
      <c r="P28" s="19"/>
      <c r="Q28" s="19"/>
      <c r="R28" s="19"/>
    </row>
    <row r="29" spans="1:18" ht="15.75" customHeight="1">
      <c r="A29" s="19"/>
      <c r="B29" s="19"/>
      <c r="C29" s="20"/>
      <c r="D29" s="19"/>
      <c r="E29" s="19"/>
      <c r="F29" s="20"/>
      <c r="G29" s="19"/>
      <c r="H29" s="19"/>
      <c r="I29" s="19"/>
      <c r="J29" s="20"/>
      <c r="K29" s="19"/>
      <c r="L29" s="19"/>
      <c r="M29" s="19"/>
      <c r="N29" s="19"/>
      <c r="O29" s="19"/>
      <c r="P29" s="19"/>
      <c r="Q29" s="19"/>
      <c r="R29" s="19"/>
    </row>
    <row r="30" spans="1:18" ht="15.75" customHeight="1">
      <c r="A30" s="19"/>
      <c r="B30" s="19"/>
      <c r="C30" s="20"/>
      <c r="D30" s="19"/>
      <c r="E30" s="19"/>
      <c r="F30" s="20"/>
      <c r="G30" s="19"/>
      <c r="H30" s="19"/>
      <c r="I30" s="19"/>
      <c r="J30" s="20"/>
      <c r="K30" s="19"/>
      <c r="L30" s="19"/>
      <c r="M30" s="19"/>
      <c r="N30" s="19"/>
      <c r="O30" s="19"/>
      <c r="P30" s="19"/>
      <c r="Q30" s="19"/>
      <c r="R30" s="19"/>
    </row>
    <row r="31" spans="1:18" ht="15.75" customHeight="1">
      <c r="A31" s="19"/>
      <c r="B31" s="19"/>
      <c r="C31" s="20"/>
      <c r="D31" s="19"/>
      <c r="E31" s="19"/>
      <c r="F31" s="20"/>
      <c r="G31" s="19"/>
      <c r="H31" s="19"/>
      <c r="I31" s="19"/>
      <c r="J31" s="20"/>
      <c r="K31" s="19"/>
      <c r="L31" s="19"/>
      <c r="M31" s="19"/>
      <c r="N31" s="19"/>
      <c r="O31" s="19"/>
      <c r="P31" s="19"/>
      <c r="Q31" s="19"/>
      <c r="R31" s="19"/>
    </row>
    <row r="32" spans="1:18" ht="15.75" customHeight="1">
      <c r="A32" s="19"/>
      <c r="B32" s="19"/>
      <c r="C32" s="19"/>
      <c r="D32" s="19"/>
      <c r="E32" s="19"/>
      <c r="F32" s="20"/>
      <c r="G32" s="19"/>
      <c r="H32" s="19"/>
      <c r="I32" s="19"/>
      <c r="J32" s="20"/>
      <c r="K32" s="19"/>
      <c r="L32" s="19"/>
      <c r="M32" s="19"/>
      <c r="N32" s="19"/>
      <c r="O32" s="19"/>
      <c r="P32" s="19"/>
      <c r="Q32" s="19"/>
      <c r="R32" s="19"/>
    </row>
    <row r="33" spans="1:18" ht="15.75" customHeight="1">
      <c r="A33" s="19"/>
      <c r="B33" s="19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</row>
    <row r="34" spans="1:18" ht="15.75" customHeight="1">
      <c r="A34" s="19"/>
      <c r="B34" s="19"/>
      <c r="C34" s="19"/>
      <c r="D34" s="19"/>
      <c r="E34" s="19"/>
      <c r="F34" s="20"/>
      <c r="G34" s="19"/>
      <c r="H34" s="19"/>
      <c r="I34" s="19"/>
      <c r="J34" s="20"/>
      <c r="K34" s="19"/>
      <c r="L34" s="19"/>
      <c r="M34" s="19"/>
      <c r="N34" s="19"/>
      <c r="O34" s="19"/>
      <c r="P34" s="19"/>
      <c r="Q34" s="19"/>
      <c r="R34" s="19"/>
    </row>
    <row r="35" spans="1:18" ht="15.75" customHeight="1">
      <c r="A35" s="19"/>
      <c r="B35" s="19"/>
      <c r="C35" s="19"/>
      <c r="D35" s="19"/>
      <c r="E35" s="19"/>
      <c r="F35" s="20"/>
      <c r="G35" s="19"/>
      <c r="H35" s="19"/>
      <c r="I35" s="19"/>
      <c r="J35" s="20"/>
      <c r="K35" s="19"/>
      <c r="L35" s="19"/>
      <c r="M35" s="19"/>
      <c r="N35" s="19"/>
      <c r="O35" s="19"/>
      <c r="P35" s="19"/>
      <c r="Q35" s="19"/>
      <c r="R35" s="19"/>
    </row>
    <row r="36" spans="1:18" ht="15.75" customHeight="1">
      <c r="A36" s="19"/>
      <c r="B36" s="19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</row>
    <row r="37" spans="1:18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20"/>
      <c r="K37" s="19"/>
      <c r="L37" s="19"/>
      <c r="M37" s="19"/>
      <c r="N37" s="19"/>
      <c r="O37" s="19"/>
      <c r="P37" s="19"/>
      <c r="Q37" s="19"/>
      <c r="R37" s="19"/>
    </row>
    <row r="38" spans="1:1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20"/>
      <c r="K38" s="19"/>
      <c r="L38" s="19"/>
      <c r="M38" s="19"/>
      <c r="N38" s="19"/>
      <c r="O38" s="19"/>
      <c r="P38" s="19"/>
      <c r="Q38" s="19"/>
      <c r="R38" s="19"/>
    </row>
    <row r="39" spans="1:18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20"/>
      <c r="K39" s="19"/>
      <c r="L39" s="19"/>
      <c r="M39" s="19"/>
      <c r="N39" s="19"/>
      <c r="O39" s="19"/>
      <c r="P39" s="19"/>
      <c r="Q39" s="19"/>
      <c r="R39" s="19"/>
    </row>
    <row r="40" spans="1:18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20"/>
      <c r="K40" s="19"/>
      <c r="L40" s="19"/>
      <c r="M40" s="19"/>
      <c r="N40" s="19"/>
      <c r="O40" s="19"/>
      <c r="P40" s="19"/>
      <c r="Q40" s="19"/>
      <c r="R40" s="19"/>
    </row>
    <row r="41" spans="1:18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20"/>
      <c r="K41" s="19"/>
      <c r="L41" s="19"/>
      <c r="M41" s="19"/>
      <c r="N41" s="19"/>
      <c r="O41" s="19"/>
      <c r="P41" s="19"/>
      <c r="Q41" s="19"/>
      <c r="R41" s="19"/>
    </row>
    <row r="42" spans="1:18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20"/>
      <c r="K42" s="19"/>
      <c r="L42" s="19"/>
      <c r="M42" s="19"/>
      <c r="N42" s="19"/>
      <c r="O42" s="19"/>
      <c r="P42" s="19"/>
      <c r="Q42" s="19"/>
      <c r="R42" s="19"/>
    </row>
    <row r="43" spans="1:18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20"/>
      <c r="K43" s="19"/>
      <c r="L43" s="19"/>
      <c r="M43" s="19"/>
      <c r="N43" s="19"/>
      <c r="O43" s="19"/>
      <c r="P43" s="19"/>
      <c r="Q43" s="19"/>
      <c r="R43" s="19"/>
    </row>
    <row r="44" spans="1:18" ht="15" customHeight="1">
      <c r="A44" s="19"/>
      <c r="B44" s="19"/>
      <c r="C44" s="19"/>
      <c r="D44" s="19"/>
      <c r="E44" s="19"/>
      <c r="F44" s="19"/>
      <c r="G44" s="19"/>
      <c r="H44" s="19"/>
      <c r="I44" s="19"/>
      <c r="J44" s="20"/>
      <c r="K44" s="19"/>
      <c r="L44" s="19"/>
      <c r="M44" s="19"/>
      <c r="N44" s="19"/>
      <c r="O44" s="19"/>
      <c r="P44" s="19"/>
      <c r="Q44" s="19"/>
      <c r="R44" s="19"/>
    </row>
    <row r="45" spans="1:18" ht="15" customHeight="1">
      <c r="A45" s="19"/>
      <c r="B45" s="19"/>
      <c r="C45" s="19"/>
      <c r="D45" s="19"/>
      <c r="E45" s="19"/>
      <c r="F45" s="19"/>
      <c r="G45" s="19"/>
      <c r="H45" s="19"/>
      <c r="I45" s="19"/>
      <c r="J45" s="20"/>
      <c r="K45" s="19"/>
      <c r="L45" s="19"/>
      <c r="M45" s="19"/>
      <c r="N45" s="19"/>
      <c r="O45" s="19"/>
      <c r="P45" s="19"/>
      <c r="Q45" s="19"/>
      <c r="R45" s="19"/>
    </row>
    <row r="46" spans="1:18" ht="1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</row>
    <row r="47" spans="1:18" ht="1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</row>
    <row r="48" spans="1:18" ht="1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</row>
    <row r="49" spans="1:18" ht="1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</row>
    <row r="50" spans="1:18" ht="1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</row>
    <row r="51" spans="1:18" ht="1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</row>
    <row r="52" spans="1:18" ht="1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 ht="1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</row>
    <row r="54" spans="1:18" ht="1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</row>
    <row r="55" spans="1:18" ht="1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</row>
    <row r="56" spans="1:18" ht="1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</row>
    <row r="57" spans="1:18" ht="1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</row>
    <row r="58" spans="1:18" ht="1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</row>
    <row r="59" spans="1:18" ht="1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</row>
    <row r="60" spans="1:18" ht="1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</row>
    <row r="61" spans="1:18" ht="1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 spans="1:18" ht="1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</row>
    <row r="63" spans="1:18" ht="1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</row>
    <row r="64" spans="1:18" ht="1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</row>
    <row r="65" spans="1:18" ht="1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</row>
    <row r="66" spans="1:18" ht="1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</row>
    <row r="67" spans="1:18" ht="1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</row>
    <row r="68" spans="1:18" ht="1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</row>
    <row r="69" spans="1:18" ht="1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</row>
    <row r="70" spans="1:18" ht="1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</row>
    <row r="71" spans="1:18" ht="1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</row>
    <row r="72" spans="1:18" ht="1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</row>
    <row r="73" spans="1:18" ht="1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</row>
    <row r="74" spans="1:18" ht="1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spans="1:18" ht="1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spans="1:18" ht="1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spans="1:18" ht="1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1:18" ht="1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spans="1:18" ht="1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spans="1:18" ht="1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</row>
    <row r="81" spans="1:18" ht="1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</row>
    <row r="82" spans="1:18" ht="1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</row>
    <row r="83" spans="1:18" ht="1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</row>
    <row r="84" spans="1:18" ht="1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</row>
    <row r="85" spans="1:18" ht="1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r="86" spans="1:18" ht="1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</row>
    <row r="87" spans="1:18" ht="1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18" ht="1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ht="1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</row>
    <row r="90" spans="1:18" ht="1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</row>
    <row r="91" spans="1:18" ht="1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</row>
    <row r="92" spans="1:18" ht="1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</row>
    <row r="93" spans="1:18" ht="1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</row>
    <row r="94" spans="1:18" ht="1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</row>
    <row r="95" spans="1:18" ht="1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</row>
    <row r="96" spans="1:18" ht="1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</row>
    <row r="97" spans="1:18" ht="1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</row>
    <row r="98" spans="1:18" ht="1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</row>
    <row r="99" spans="1:18" ht="1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</row>
    <row r="100" spans="1:18" ht="1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</row>
  </sheetData>
  <mergeCells count="2">
    <mergeCell ref="A2:R2"/>
    <mergeCell ref="A1:R1"/>
  </mergeCells>
  <printOptions horizontalCentered="1" verticalCentered="1"/>
  <pageMargins left="0.3" right="0.3" top="0.5" bottom="0.5" header="0.2" footer="0.2"/>
  <pageSetup paperSize="9" orientation="landscape" horizontalDpi="300" verticalDpi="300"/>
  <headerFooter>
    <oddHeader>&amp;C&amp;"Calibri,Bold"&amp;14 MiT Strom Schweiz — Visualisierungen</oddHeader>
    <oddFooter>&amp;R&amp;P/&amp;N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55555"/>
    <pageSetUpPr fitToPage="1"/>
  </sheetPr>
  <dimension ref="A1:AD864"/>
  <sheetViews>
    <sheetView tabSelected="1" zoomScaleNormal="100" workbookViewId="0">
      <pane ySplit="5" topLeftCell="A6" activePane="bottomLeft" state="frozen"/>
      <selection pane="bottomLeft" activeCell="I863" sqref="I863"/>
    </sheetView>
  </sheetViews>
  <sheetFormatPr defaultColWidth="9.140625" defaultRowHeight="15"/>
  <cols>
    <col min="1" max="1" width="4" customWidth="1"/>
    <col min="2" max="2" width="37.140625" bestFit="1" customWidth="1"/>
    <col min="3" max="3" width="6" customWidth="1"/>
    <col min="4" max="4" width="18" customWidth="1"/>
    <col min="5" max="5" width="20.140625" bestFit="1" customWidth="1"/>
    <col min="6" max="6" width="13.5703125" customWidth="1"/>
    <col min="7" max="7" width="9" customWidth="1"/>
    <col min="8" max="8" width="14.140625" customWidth="1"/>
    <col min="9" max="9" width="11" customWidth="1"/>
    <col min="10" max="10" width="12" customWidth="1"/>
    <col min="11" max="11" width="11.28515625" customWidth="1"/>
    <col min="12" max="12" width="10.5703125" customWidth="1"/>
    <col min="14" max="14" width="12" customWidth="1"/>
    <col min="16" max="16" width="8" customWidth="1"/>
    <col min="17" max="17" width="13" customWidth="1"/>
    <col min="18" max="18" width="14" customWidth="1"/>
    <col min="19" max="19" width="8" customWidth="1"/>
    <col min="20" max="20" width="15" customWidth="1"/>
    <col min="21" max="21" width="20.85546875" customWidth="1"/>
    <col min="22" max="22" width="97.140625" customWidth="1"/>
    <col min="23" max="23" width="12" customWidth="1"/>
    <col min="24" max="24" width="97.140625" customWidth="1"/>
    <col min="25" max="30" width="13" hidden="1" customWidth="1"/>
  </cols>
  <sheetData>
    <row r="1" spans="1:30" ht="36" customHeight="1">
      <c r="A1" s="79" t="s">
        <v>101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</row>
    <row r="2" spans="1:30" ht="15.75" customHeight="1">
      <c r="A2" s="76" t="s">
        <v>102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</row>
    <row r="3" spans="1:30" ht="4.5" customHeight="1">
      <c r="A3" s="149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</row>
    <row r="4" spans="1:30" ht="25.5" customHeight="1">
      <c r="A4" s="83" t="s">
        <v>103</v>
      </c>
      <c r="B4" s="126"/>
      <c r="C4" s="85">
        <f>SUMIFS(I$6:I$860,R$6:R$860,"WON")</f>
        <v>1428553.1299999997</v>
      </c>
      <c r="D4" s="126"/>
      <c r="E4" s="126"/>
      <c r="F4" s="126"/>
      <c r="G4" s="82" t="s">
        <v>104</v>
      </c>
      <c r="H4" s="126"/>
      <c r="I4" s="78">
        <f>COUNTIF(R$6:R$860,"WON")+COUNTIF(R$6:R$860,"offered")+COUNTIF(R$6:R$860,"to be offered")+COUNTIF(R$6:R$860,"on hold")+COUNTIF(R$6:R$860,"follow-up")+COUNTIF(R$6:R$860,"Evaluation")+COUNTIF(R$6:R$860,"tbd")+COUNTIF(R$6:R$860,"In evaluation")</f>
        <v>46</v>
      </c>
      <c r="J4" s="126"/>
      <c r="K4" s="126"/>
      <c r="L4" s="126"/>
      <c r="M4" s="80" t="s">
        <v>105</v>
      </c>
      <c r="N4" s="126"/>
      <c r="O4" s="84">
        <f>SUMIFS(I$6:I$860,R$6:R$860,"offered")+SUMIFS(I$6:I$860,R$6:R$860,"to be offered")+SUMIFS(I$6:I$860,R$6:R$860,"on hold")</f>
        <v>5433596.1000000006</v>
      </c>
      <c r="P4" s="126"/>
      <c r="Q4" s="126"/>
      <c r="R4" s="126"/>
      <c r="S4" s="81" t="s">
        <v>106</v>
      </c>
      <c r="T4" s="126"/>
      <c r="U4" s="77">
        <f>SUM(Q$6:Q$860)</f>
        <v>3294921.5370000005</v>
      </c>
      <c r="V4" s="126"/>
      <c r="W4" s="126"/>
      <c r="X4" s="126"/>
    </row>
    <row r="5" spans="1:30" ht="36" customHeight="1">
      <c r="A5" s="45" t="s">
        <v>6</v>
      </c>
      <c r="B5" s="45" t="s">
        <v>78</v>
      </c>
      <c r="C5" s="45" t="s">
        <v>8</v>
      </c>
      <c r="D5" s="45" t="s">
        <v>10</v>
      </c>
      <c r="E5" s="45" t="s">
        <v>79</v>
      </c>
      <c r="F5" s="45" t="s">
        <v>107</v>
      </c>
      <c r="G5" s="45" t="s">
        <v>108</v>
      </c>
      <c r="H5" s="48" t="s">
        <v>9</v>
      </c>
      <c r="I5" s="46" t="s">
        <v>109</v>
      </c>
      <c r="J5" s="46" t="s">
        <v>110</v>
      </c>
      <c r="K5" s="46" t="s">
        <v>111</v>
      </c>
      <c r="L5" s="46" t="s">
        <v>112</v>
      </c>
      <c r="M5" s="46" t="s">
        <v>113</v>
      </c>
      <c r="N5" s="46" t="s">
        <v>114</v>
      </c>
      <c r="O5" s="46" t="s">
        <v>115</v>
      </c>
      <c r="P5" s="45" t="s">
        <v>116</v>
      </c>
      <c r="Q5" s="46" t="s">
        <v>117</v>
      </c>
      <c r="R5" s="45" t="s">
        <v>14</v>
      </c>
      <c r="S5" s="45" t="s">
        <v>118</v>
      </c>
      <c r="T5" s="45" t="s">
        <v>119</v>
      </c>
      <c r="U5" s="45" t="s">
        <v>120</v>
      </c>
      <c r="V5" s="45" t="s">
        <v>82</v>
      </c>
      <c r="W5" s="45" t="s">
        <v>121</v>
      </c>
      <c r="X5" s="45" t="s">
        <v>122</v>
      </c>
      <c r="Z5" s="47" t="s">
        <v>123</v>
      </c>
      <c r="AA5" s="47" t="s">
        <v>124</v>
      </c>
      <c r="AB5" t="s">
        <v>125</v>
      </c>
      <c r="AC5" t="s">
        <v>126</v>
      </c>
      <c r="AD5" t="s">
        <v>127</v>
      </c>
    </row>
    <row r="6" spans="1:30" ht="30" customHeight="1">
      <c r="A6" s="52">
        <v>6</v>
      </c>
      <c r="B6" s="53" t="s">
        <v>128</v>
      </c>
      <c r="C6" s="52" t="s">
        <v>62</v>
      </c>
      <c r="D6" s="54" t="s">
        <v>129</v>
      </c>
      <c r="E6" s="54" t="s">
        <v>130</v>
      </c>
      <c r="F6" s="55">
        <v>1000</v>
      </c>
      <c r="G6" s="52">
        <v>365</v>
      </c>
      <c r="H6" s="56" t="s">
        <v>131</v>
      </c>
      <c r="I6" s="55">
        <v>390000</v>
      </c>
      <c r="J6" s="55">
        <v>240000</v>
      </c>
      <c r="K6" s="55">
        <v>6000</v>
      </c>
      <c r="L6" s="55">
        <v>0</v>
      </c>
      <c r="M6" s="55">
        <v>18000</v>
      </c>
      <c r="N6" s="55">
        <v>8000</v>
      </c>
      <c r="O6" s="55">
        <f t="shared" ref="O6:O69" si="0">IF(ISNUMBER(I6),I6-SUM(J6:N6),"")</f>
        <v>118000</v>
      </c>
      <c r="P6" s="57">
        <f t="shared" ref="P6:P69" si="1">IFERROR(IF(AND(ISNUMBER(O6),ISNUMBER(I6),I6&lt;&gt;0),O6/I6,""),"")</f>
        <v>0.30256410256410254</v>
      </c>
      <c r="Q6" s="55">
        <f t="shared" ref="Q6:Q69" si="2">IF(AND(ISNUMBER(I6),ISNUMBER(S6)),I6*IF(S6&lt;=1,S6,S6/100),IF(OR(I6&lt;&gt;"",S6&lt;&gt;""),"tbd",""))</f>
        <v>195000</v>
      </c>
      <c r="R6" s="58" t="s">
        <v>132</v>
      </c>
      <c r="S6" s="59">
        <v>0.5</v>
      </c>
      <c r="T6" s="53" t="s">
        <v>133</v>
      </c>
      <c r="U6" s="54" t="s">
        <v>134</v>
      </c>
      <c r="V6" s="54" t="s">
        <v>135</v>
      </c>
      <c r="W6" s="52" t="s">
        <v>136</v>
      </c>
      <c r="X6" s="54" t="s">
        <v>137</v>
      </c>
      <c r="Z6" t="str">
        <f t="shared" ref="Z6:Z69" si="3">IF(AND(R6="WON",ISNUMBER(I6)),AA6,"")</f>
        <v/>
      </c>
      <c r="AA6">
        <f t="shared" ref="AA6:AA69" si="4">IFERROR(I6*1,0)</f>
        <v>390000</v>
      </c>
      <c r="AB6">
        <f t="shared" ref="AB6:AB69" si="5">N(AB5)+IF(AND(R6="WON",B6&lt;&gt;""),1,0)</f>
        <v>0</v>
      </c>
      <c r="AC6">
        <f t="shared" ref="AC6:AC69" si="6">N(AC5)+IF(AND(OR(R6="offered",R6="to be offered",R6="on hold"),B6&lt;&gt;""),1,0)</f>
        <v>1</v>
      </c>
      <c r="AD6">
        <f t="shared" ref="AD6:AD69" si="7">N(AD5)+IF(AND(OR(R6="follow-up",R6="Evaluation",R6="tbd",R6="In evaluation"),B6&lt;&gt;""),1,0)</f>
        <v>0</v>
      </c>
    </row>
    <row r="7" spans="1:30" ht="30" customHeight="1">
      <c r="A7" s="52">
        <v>12</v>
      </c>
      <c r="B7" s="53" t="s">
        <v>138</v>
      </c>
      <c r="C7" s="52" t="s">
        <v>70</v>
      </c>
      <c r="D7" s="54" t="s">
        <v>139</v>
      </c>
      <c r="E7" s="54" t="s">
        <v>140</v>
      </c>
      <c r="F7" s="55">
        <v>200</v>
      </c>
      <c r="G7" s="52" t="s">
        <v>141</v>
      </c>
      <c r="H7" s="56" t="s">
        <v>141</v>
      </c>
      <c r="I7" s="55">
        <v>0</v>
      </c>
      <c r="J7" s="55">
        <v>0</v>
      </c>
      <c r="K7" s="55">
        <v>0</v>
      </c>
      <c r="L7" s="55">
        <v>0</v>
      </c>
      <c r="M7" s="55">
        <v>0</v>
      </c>
      <c r="N7" s="55">
        <v>0</v>
      </c>
      <c r="O7" s="55">
        <f t="shared" si="0"/>
        <v>0</v>
      </c>
      <c r="P7" s="57" t="str">
        <f t="shared" si="1"/>
        <v/>
      </c>
      <c r="Q7" s="55">
        <f t="shared" si="2"/>
        <v>0</v>
      </c>
      <c r="R7" s="58" t="s">
        <v>142</v>
      </c>
      <c r="S7" s="59">
        <v>0</v>
      </c>
      <c r="T7" s="53" t="s">
        <v>133</v>
      </c>
      <c r="U7" s="54" t="s">
        <v>143</v>
      </c>
      <c r="V7" s="54" t="s">
        <v>144</v>
      </c>
      <c r="W7" s="52" t="s">
        <v>145</v>
      </c>
      <c r="X7" s="54" t="s">
        <v>146</v>
      </c>
      <c r="Z7" t="str">
        <f t="shared" si="3"/>
        <v/>
      </c>
      <c r="AA7">
        <f t="shared" si="4"/>
        <v>0</v>
      </c>
      <c r="AB7">
        <f t="shared" si="5"/>
        <v>0</v>
      </c>
      <c r="AC7">
        <f t="shared" si="6"/>
        <v>1</v>
      </c>
      <c r="AD7">
        <f t="shared" si="7"/>
        <v>0</v>
      </c>
    </row>
    <row r="8" spans="1:30" ht="30" customHeight="1">
      <c r="A8" s="52">
        <v>15</v>
      </c>
      <c r="B8" s="53" t="s">
        <v>147</v>
      </c>
      <c r="C8" s="52" t="s">
        <v>66</v>
      </c>
      <c r="D8" s="54" t="s">
        <v>148</v>
      </c>
      <c r="E8" s="54" t="s">
        <v>149</v>
      </c>
      <c r="F8" s="60"/>
      <c r="G8" s="52" t="s">
        <v>150</v>
      </c>
      <c r="H8" s="56" t="s">
        <v>141</v>
      </c>
      <c r="I8" s="55">
        <v>0</v>
      </c>
      <c r="J8" s="55">
        <v>0</v>
      </c>
      <c r="K8" s="55">
        <v>0</v>
      </c>
      <c r="L8" s="55">
        <v>0</v>
      </c>
      <c r="M8" s="55">
        <v>0</v>
      </c>
      <c r="N8" s="55">
        <v>0</v>
      </c>
      <c r="O8" s="55">
        <f t="shared" si="0"/>
        <v>0</v>
      </c>
      <c r="P8" s="57" t="str">
        <f t="shared" si="1"/>
        <v/>
      </c>
      <c r="Q8" s="55">
        <f t="shared" si="2"/>
        <v>0</v>
      </c>
      <c r="R8" s="58" t="s">
        <v>151</v>
      </c>
      <c r="S8" s="59">
        <v>0.1</v>
      </c>
      <c r="T8" s="53" t="s">
        <v>152</v>
      </c>
      <c r="U8" s="54" t="s">
        <v>153</v>
      </c>
      <c r="V8" s="54" t="s">
        <v>154</v>
      </c>
      <c r="W8" s="52" t="s">
        <v>145</v>
      </c>
      <c r="X8" s="54" t="s">
        <v>155</v>
      </c>
      <c r="Z8" t="str">
        <f t="shared" si="3"/>
        <v/>
      </c>
      <c r="AA8">
        <f t="shared" si="4"/>
        <v>0</v>
      </c>
      <c r="AB8">
        <f t="shared" si="5"/>
        <v>0</v>
      </c>
      <c r="AC8">
        <f t="shared" si="6"/>
        <v>2</v>
      </c>
      <c r="AD8">
        <f t="shared" si="7"/>
        <v>0</v>
      </c>
    </row>
    <row r="9" spans="1:30" ht="30" customHeight="1">
      <c r="A9" s="52">
        <v>1</v>
      </c>
      <c r="B9" s="53" t="s">
        <v>156</v>
      </c>
      <c r="C9" s="52" t="s">
        <v>70</v>
      </c>
      <c r="D9" s="54" t="s">
        <v>157</v>
      </c>
      <c r="E9" s="54" t="s">
        <v>158</v>
      </c>
      <c r="F9" s="55">
        <v>1600</v>
      </c>
      <c r="G9" s="52">
        <v>28</v>
      </c>
      <c r="H9" s="56" t="s">
        <v>131</v>
      </c>
      <c r="I9" s="55">
        <v>380000</v>
      </c>
      <c r="J9" s="55">
        <v>195000</v>
      </c>
      <c r="K9" s="55">
        <v>8000</v>
      </c>
      <c r="L9" s="55">
        <v>12000</v>
      </c>
      <c r="M9" s="55">
        <v>15000</v>
      </c>
      <c r="N9" s="55">
        <v>5000</v>
      </c>
      <c r="O9" s="55">
        <f t="shared" si="0"/>
        <v>145000</v>
      </c>
      <c r="P9" s="57">
        <f t="shared" si="1"/>
        <v>0.38157894736842107</v>
      </c>
      <c r="Q9" s="55">
        <f t="shared" si="2"/>
        <v>380000</v>
      </c>
      <c r="R9" s="58" t="s">
        <v>159</v>
      </c>
      <c r="S9" s="59">
        <v>1</v>
      </c>
      <c r="T9" s="53" t="s">
        <v>152</v>
      </c>
      <c r="U9" s="54" t="s">
        <v>160</v>
      </c>
      <c r="V9" s="54" t="s">
        <v>161</v>
      </c>
      <c r="W9" s="52" t="s">
        <v>162</v>
      </c>
      <c r="X9" s="54" t="s">
        <v>163</v>
      </c>
      <c r="Z9">
        <f t="shared" si="3"/>
        <v>380000</v>
      </c>
      <c r="AA9">
        <f t="shared" si="4"/>
        <v>380000</v>
      </c>
      <c r="AB9">
        <f t="shared" si="5"/>
        <v>1</v>
      </c>
      <c r="AC9">
        <f t="shared" si="6"/>
        <v>2</v>
      </c>
      <c r="AD9">
        <f t="shared" si="7"/>
        <v>0</v>
      </c>
    </row>
    <row r="10" spans="1:30" ht="30" customHeight="1">
      <c r="A10" s="52">
        <v>2</v>
      </c>
      <c r="B10" s="53" t="s">
        <v>164</v>
      </c>
      <c r="C10" s="52" t="s">
        <v>43</v>
      </c>
      <c r="D10" s="54" t="s">
        <v>165</v>
      </c>
      <c r="E10" s="54" t="s">
        <v>166</v>
      </c>
      <c r="F10" s="55">
        <v>240</v>
      </c>
      <c r="G10" s="52">
        <v>21</v>
      </c>
      <c r="H10" s="56" t="s">
        <v>167</v>
      </c>
      <c r="I10" s="55">
        <v>13100</v>
      </c>
      <c r="J10" s="55">
        <v>7500</v>
      </c>
      <c r="K10" s="55">
        <v>800</v>
      </c>
      <c r="L10" s="55">
        <v>600</v>
      </c>
      <c r="M10" s="55">
        <v>900</v>
      </c>
      <c r="N10" s="55">
        <v>300</v>
      </c>
      <c r="O10" s="55">
        <f t="shared" si="0"/>
        <v>3000</v>
      </c>
      <c r="P10" s="57">
        <f t="shared" si="1"/>
        <v>0.22900763358778625</v>
      </c>
      <c r="Q10" s="55">
        <f t="shared" si="2"/>
        <v>13100</v>
      </c>
      <c r="R10" s="58" t="s">
        <v>159</v>
      </c>
      <c r="S10" s="59">
        <v>1</v>
      </c>
      <c r="T10" s="53" t="s">
        <v>152</v>
      </c>
      <c r="U10" s="54" t="s">
        <v>168</v>
      </c>
      <c r="V10" s="54" t="s">
        <v>161</v>
      </c>
      <c r="W10" s="52" t="s">
        <v>162</v>
      </c>
      <c r="X10" s="54" t="s">
        <v>169</v>
      </c>
      <c r="Z10">
        <f t="shared" si="3"/>
        <v>13100</v>
      </c>
      <c r="AA10">
        <f t="shared" si="4"/>
        <v>13100</v>
      </c>
      <c r="AB10">
        <f t="shared" si="5"/>
        <v>2</v>
      </c>
      <c r="AC10">
        <f t="shared" si="6"/>
        <v>2</v>
      </c>
      <c r="AD10">
        <f t="shared" si="7"/>
        <v>0</v>
      </c>
    </row>
    <row r="11" spans="1:30" ht="30" customHeight="1">
      <c r="A11" s="52">
        <v>7</v>
      </c>
      <c r="B11" s="53" t="s">
        <v>170</v>
      </c>
      <c r="C11" s="52" t="s">
        <v>70</v>
      </c>
      <c r="D11" s="54" t="s">
        <v>171</v>
      </c>
      <c r="E11" s="54" t="s">
        <v>172</v>
      </c>
      <c r="F11" s="55">
        <v>1000</v>
      </c>
      <c r="G11" s="52">
        <v>30</v>
      </c>
      <c r="H11" s="61" t="s">
        <v>131</v>
      </c>
      <c r="I11" s="55">
        <v>41000</v>
      </c>
      <c r="J11" s="55">
        <v>24000</v>
      </c>
      <c r="K11" s="55">
        <v>2000</v>
      </c>
      <c r="L11" s="55">
        <v>2500</v>
      </c>
      <c r="M11" s="55">
        <v>3000</v>
      </c>
      <c r="N11" s="55">
        <v>500</v>
      </c>
      <c r="O11" s="55">
        <f t="shared" si="0"/>
        <v>9000</v>
      </c>
      <c r="P11" s="57">
        <f t="shared" si="1"/>
        <v>0.21951219512195122</v>
      </c>
      <c r="Q11" s="55">
        <f t="shared" si="2"/>
        <v>0</v>
      </c>
      <c r="R11" s="58" t="s">
        <v>142</v>
      </c>
      <c r="S11" s="59">
        <v>0</v>
      </c>
      <c r="T11" s="53" t="s">
        <v>133</v>
      </c>
      <c r="U11" s="54" t="s">
        <v>173</v>
      </c>
      <c r="V11" s="54" t="s">
        <v>174</v>
      </c>
      <c r="W11" s="52" t="s">
        <v>145</v>
      </c>
      <c r="X11" s="54" t="s">
        <v>175</v>
      </c>
      <c r="Z11" t="str">
        <f t="shared" si="3"/>
        <v/>
      </c>
      <c r="AA11">
        <f t="shared" si="4"/>
        <v>41000</v>
      </c>
      <c r="AB11">
        <f t="shared" si="5"/>
        <v>2</v>
      </c>
      <c r="AC11">
        <f t="shared" si="6"/>
        <v>2</v>
      </c>
      <c r="AD11">
        <f t="shared" si="7"/>
        <v>0</v>
      </c>
    </row>
    <row r="12" spans="1:30" ht="30" customHeight="1">
      <c r="A12" s="52">
        <v>3</v>
      </c>
      <c r="B12" s="53" t="s">
        <v>176</v>
      </c>
      <c r="C12" s="52" t="s">
        <v>70</v>
      </c>
      <c r="D12" s="54" t="s">
        <v>177</v>
      </c>
      <c r="E12" s="54" t="s">
        <v>178</v>
      </c>
      <c r="F12" s="55">
        <v>600</v>
      </c>
      <c r="G12" s="52">
        <v>21</v>
      </c>
      <c r="H12" s="56" t="s">
        <v>141</v>
      </c>
      <c r="I12" s="55">
        <v>10000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f t="shared" si="0"/>
        <v>10000</v>
      </c>
      <c r="P12" s="57">
        <f t="shared" si="1"/>
        <v>1</v>
      </c>
      <c r="Q12" s="55">
        <f t="shared" si="2"/>
        <v>10000</v>
      </c>
      <c r="R12" s="58" t="s">
        <v>159</v>
      </c>
      <c r="S12" s="59">
        <v>1</v>
      </c>
      <c r="T12" s="53" t="s">
        <v>133</v>
      </c>
      <c r="U12" s="54" t="s">
        <v>179</v>
      </c>
      <c r="V12" s="54" t="s">
        <v>161</v>
      </c>
      <c r="W12" s="52" t="s">
        <v>162</v>
      </c>
      <c r="X12" s="54" t="s">
        <v>180</v>
      </c>
      <c r="Z12">
        <f t="shared" si="3"/>
        <v>10000</v>
      </c>
      <c r="AA12">
        <f t="shared" si="4"/>
        <v>10000</v>
      </c>
      <c r="AB12">
        <f t="shared" si="5"/>
        <v>3</v>
      </c>
      <c r="AC12">
        <f t="shared" si="6"/>
        <v>2</v>
      </c>
      <c r="AD12">
        <f t="shared" si="7"/>
        <v>0</v>
      </c>
    </row>
    <row r="13" spans="1:30" ht="30" customHeight="1">
      <c r="A13" s="52">
        <v>4</v>
      </c>
      <c r="B13" s="53" t="s">
        <v>181</v>
      </c>
      <c r="C13" s="52" t="s">
        <v>64</v>
      </c>
      <c r="D13" s="54" t="s">
        <v>182</v>
      </c>
      <c r="E13" s="54" t="s">
        <v>183</v>
      </c>
      <c r="F13" s="55">
        <v>500</v>
      </c>
      <c r="G13" s="52">
        <v>14</v>
      </c>
      <c r="H13" s="56" t="s">
        <v>184</v>
      </c>
      <c r="I13" s="55">
        <v>150000</v>
      </c>
      <c r="J13" s="55">
        <v>88000</v>
      </c>
      <c r="K13" s="55">
        <v>4500</v>
      </c>
      <c r="L13" s="55">
        <v>7000</v>
      </c>
      <c r="M13" s="55">
        <v>9000</v>
      </c>
      <c r="N13" s="55">
        <v>2000</v>
      </c>
      <c r="O13" s="55">
        <f t="shared" si="0"/>
        <v>39500</v>
      </c>
      <c r="P13" s="57">
        <f t="shared" si="1"/>
        <v>0.26333333333333331</v>
      </c>
      <c r="Q13" s="74">
        <v>0</v>
      </c>
      <c r="R13" s="58" t="s">
        <v>159</v>
      </c>
      <c r="S13" s="59">
        <v>1</v>
      </c>
      <c r="T13" s="53" t="s">
        <v>152</v>
      </c>
      <c r="U13" s="54" t="s">
        <v>185</v>
      </c>
      <c r="V13" s="54" t="s">
        <v>161</v>
      </c>
      <c r="W13" s="52" t="s">
        <v>162</v>
      </c>
      <c r="X13" s="54" t="s">
        <v>186</v>
      </c>
      <c r="Z13">
        <f t="shared" si="3"/>
        <v>150000</v>
      </c>
      <c r="AA13">
        <f t="shared" si="4"/>
        <v>150000</v>
      </c>
      <c r="AB13">
        <f t="shared" si="5"/>
        <v>4</v>
      </c>
      <c r="AC13">
        <f t="shared" si="6"/>
        <v>2</v>
      </c>
      <c r="AD13">
        <f t="shared" si="7"/>
        <v>0</v>
      </c>
    </row>
    <row r="14" spans="1:30" ht="30" customHeight="1">
      <c r="A14" s="52">
        <v>10</v>
      </c>
      <c r="B14" s="53" t="s">
        <v>187</v>
      </c>
      <c r="C14" s="52" t="s">
        <v>60</v>
      </c>
      <c r="D14" s="54" t="s">
        <v>171</v>
      </c>
      <c r="E14" s="54" t="s">
        <v>188</v>
      </c>
      <c r="F14" s="55">
        <v>250</v>
      </c>
      <c r="G14" s="52">
        <v>365</v>
      </c>
      <c r="H14" s="56" t="s">
        <v>189</v>
      </c>
      <c r="I14" s="55">
        <v>96658.69</v>
      </c>
      <c r="J14" s="55">
        <v>83232</v>
      </c>
      <c r="K14" s="55">
        <v>3100</v>
      </c>
      <c r="L14" s="55">
        <v>0</v>
      </c>
      <c r="M14" s="55">
        <v>870</v>
      </c>
      <c r="N14" s="55">
        <v>2214</v>
      </c>
      <c r="O14" s="55">
        <f t="shared" si="0"/>
        <v>7242.6900000000023</v>
      </c>
      <c r="P14" s="57">
        <f t="shared" si="1"/>
        <v>7.4930562373646925E-2</v>
      </c>
      <c r="Q14" s="55">
        <f t="shared" si="2"/>
        <v>96658.69</v>
      </c>
      <c r="R14" s="58" t="s">
        <v>159</v>
      </c>
      <c r="S14" s="59">
        <v>1</v>
      </c>
      <c r="T14" s="53" t="s">
        <v>133</v>
      </c>
      <c r="U14" s="54" t="s">
        <v>190</v>
      </c>
      <c r="V14" s="54" t="s">
        <v>191</v>
      </c>
      <c r="W14" s="52" t="s">
        <v>162</v>
      </c>
      <c r="X14" s="54" t="s">
        <v>192</v>
      </c>
      <c r="Z14">
        <f t="shared" si="3"/>
        <v>96658.69</v>
      </c>
      <c r="AA14">
        <f t="shared" si="4"/>
        <v>96658.69</v>
      </c>
      <c r="AB14">
        <f t="shared" si="5"/>
        <v>5</v>
      </c>
      <c r="AC14">
        <f t="shared" si="6"/>
        <v>2</v>
      </c>
      <c r="AD14">
        <f t="shared" si="7"/>
        <v>0</v>
      </c>
    </row>
    <row r="15" spans="1:30" ht="30" customHeight="1">
      <c r="A15" s="52">
        <v>21</v>
      </c>
      <c r="B15" s="53" t="s">
        <v>193</v>
      </c>
      <c r="C15" s="52" t="s">
        <v>61</v>
      </c>
      <c r="D15" s="54" t="s">
        <v>139</v>
      </c>
      <c r="E15" s="54" t="s">
        <v>194</v>
      </c>
      <c r="F15" s="55">
        <v>150</v>
      </c>
      <c r="G15" s="52">
        <v>1</v>
      </c>
      <c r="H15" s="56" t="s">
        <v>145</v>
      </c>
      <c r="I15" s="55" t="s">
        <v>195</v>
      </c>
      <c r="J15" s="55" t="s">
        <v>195</v>
      </c>
      <c r="K15" s="55" t="s">
        <v>195</v>
      </c>
      <c r="L15" s="55" t="s">
        <v>195</v>
      </c>
      <c r="M15" s="55" t="s">
        <v>195</v>
      </c>
      <c r="N15" s="55" t="s">
        <v>195</v>
      </c>
      <c r="O15" s="55" t="str">
        <f t="shared" si="0"/>
        <v/>
      </c>
      <c r="P15" s="57" t="str">
        <f t="shared" si="1"/>
        <v/>
      </c>
      <c r="Q15" s="55" t="str">
        <f t="shared" si="2"/>
        <v>tbd</v>
      </c>
      <c r="R15" s="58" t="s">
        <v>159</v>
      </c>
      <c r="S15" s="59">
        <v>1</v>
      </c>
      <c r="T15" s="53" t="s">
        <v>133</v>
      </c>
      <c r="U15" s="54" t="s">
        <v>196</v>
      </c>
      <c r="V15" s="54" t="s">
        <v>161</v>
      </c>
      <c r="W15" s="52" t="s">
        <v>162</v>
      </c>
      <c r="X15" s="54" t="s">
        <v>197</v>
      </c>
      <c r="Z15" t="str">
        <f t="shared" si="3"/>
        <v/>
      </c>
      <c r="AA15">
        <f t="shared" si="4"/>
        <v>0</v>
      </c>
      <c r="AB15">
        <f t="shared" si="5"/>
        <v>6</v>
      </c>
      <c r="AC15">
        <f t="shared" si="6"/>
        <v>2</v>
      </c>
      <c r="AD15">
        <f t="shared" si="7"/>
        <v>0</v>
      </c>
    </row>
    <row r="16" spans="1:30" ht="30" customHeight="1">
      <c r="A16" s="52">
        <v>33</v>
      </c>
      <c r="B16" s="53" t="s">
        <v>164</v>
      </c>
      <c r="C16" s="52" t="s">
        <v>43</v>
      </c>
      <c r="D16" s="54" t="s">
        <v>198</v>
      </c>
      <c r="E16" s="54" t="s">
        <v>199</v>
      </c>
      <c r="F16" s="60">
        <v>300</v>
      </c>
      <c r="G16" s="52">
        <v>365</v>
      </c>
      <c r="H16" s="56" t="s">
        <v>136</v>
      </c>
      <c r="I16" s="55">
        <v>193598.12</v>
      </c>
      <c r="J16" s="55">
        <v>173039.2</v>
      </c>
      <c r="K16" s="55">
        <v>2950</v>
      </c>
      <c r="L16" s="55">
        <v>0</v>
      </c>
      <c r="M16" s="55">
        <v>1232.5</v>
      </c>
      <c r="N16" s="55">
        <f>370+1500</f>
        <v>1870</v>
      </c>
      <c r="O16" s="55">
        <f t="shared" si="0"/>
        <v>14506.419999999984</v>
      </c>
      <c r="P16" s="57">
        <f t="shared" si="1"/>
        <v>7.4930583003595203E-2</v>
      </c>
      <c r="Q16" s="55">
        <f t="shared" si="2"/>
        <v>154878.49600000001</v>
      </c>
      <c r="R16" s="58" t="s">
        <v>132</v>
      </c>
      <c r="S16" s="59">
        <v>0.8</v>
      </c>
      <c r="T16" s="53" t="s">
        <v>133</v>
      </c>
      <c r="U16" s="54" t="s">
        <v>200</v>
      </c>
      <c r="V16" s="54" t="s">
        <v>201</v>
      </c>
      <c r="W16" s="52" t="s">
        <v>136</v>
      </c>
      <c r="X16" s="54" t="s">
        <v>202</v>
      </c>
      <c r="Z16" t="str">
        <f t="shared" si="3"/>
        <v/>
      </c>
      <c r="AA16">
        <f t="shared" si="4"/>
        <v>193598.12</v>
      </c>
      <c r="AB16">
        <f t="shared" si="5"/>
        <v>6</v>
      </c>
      <c r="AC16">
        <f t="shared" si="6"/>
        <v>3</v>
      </c>
      <c r="AD16">
        <f t="shared" si="7"/>
        <v>0</v>
      </c>
    </row>
    <row r="17" spans="1:30" ht="30" customHeight="1">
      <c r="A17" s="52">
        <v>33</v>
      </c>
      <c r="B17" s="53" t="s">
        <v>164</v>
      </c>
      <c r="C17" s="52" t="s">
        <v>43</v>
      </c>
      <c r="D17" s="54" t="s">
        <v>198</v>
      </c>
      <c r="E17" s="54" t="s">
        <v>203</v>
      </c>
      <c r="F17" s="60" t="s">
        <v>204</v>
      </c>
      <c r="G17" s="52">
        <v>365</v>
      </c>
      <c r="H17" s="56" t="s">
        <v>136</v>
      </c>
      <c r="I17" s="55">
        <v>74902.11</v>
      </c>
      <c r="J17" s="55">
        <v>56475.040000000001</v>
      </c>
      <c r="K17" s="55">
        <v>1800</v>
      </c>
      <c r="L17" s="55">
        <v>0</v>
      </c>
      <c r="M17" s="55">
        <v>0</v>
      </c>
      <c r="N17" s="55">
        <v>5691.99</v>
      </c>
      <c r="O17" s="55">
        <f t="shared" si="0"/>
        <v>10935.080000000002</v>
      </c>
      <c r="P17" s="57">
        <f t="shared" si="1"/>
        <v>0.14599161492246349</v>
      </c>
      <c r="Q17" s="55">
        <f t="shared" si="2"/>
        <v>59921.688000000002</v>
      </c>
      <c r="R17" s="58" t="s">
        <v>132</v>
      </c>
      <c r="S17" s="59">
        <v>0.8</v>
      </c>
      <c r="T17" s="53" t="s">
        <v>133</v>
      </c>
      <c r="U17" s="54" t="s">
        <v>200</v>
      </c>
      <c r="V17" s="54" t="s">
        <v>201</v>
      </c>
      <c r="W17" s="52" t="s">
        <v>136</v>
      </c>
      <c r="X17" s="54" t="s">
        <v>202</v>
      </c>
      <c r="Z17" t="str">
        <f t="shared" si="3"/>
        <v/>
      </c>
      <c r="AA17">
        <f t="shared" si="4"/>
        <v>74902.11</v>
      </c>
      <c r="AB17">
        <f t="shared" si="5"/>
        <v>6</v>
      </c>
      <c r="AC17">
        <f t="shared" si="6"/>
        <v>4</v>
      </c>
      <c r="AD17">
        <f t="shared" si="7"/>
        <v>0</v>
      </c>
    </row>
    <row r="18" spans="1:30" ht="30" customHeight="1">
      <c r="A18" s="52">
        <v>13</v>
      </c>
      <c r="B18" s="53" t="s">
        <v>205</v>
      </c>
      <c r="C18" s="52" t="s">
        <v>70</v>
      </c>
      <c r="D18" s="54" t="s">
        <v>206</v>
      </c>
      <c r="E18" s="54" t="s">
        <v>130</v>
      </c>
      <c r="F18" s="55">
        <v>1000</v>
      </c>
      <c r="G18" s="52">
        <v>365</v>
      </c>
      <c r="H18" s="56" t="s">
        <v>184</v>
      </c>
      <c r="I18" s="55">
        <v>365003</v>
      </c>
      <c r="J18" s="55">
        <v>326376</v>
      </c>
      <c r="K18" s="55">
        <v>6900</v>
      </c>
      <c r="L18" s="55">
        <v>0</v>
      </c>
      <c r="M18" s="55">
        <v>1160</v>
      </c>
      <c r="N18" s="55">
        <v>480</v>
      </c>
      <c r="O18" s="55">
        <f t="shared" si="0"/>
        <v>30087</v>
      </c>
      <c r="P18" s="57">
        <f t="shared" si="1"/>
        <v>8.2429459483894657E-2</v>
      </c>
      <c r="Q18" s="55">
        <f t="shared" si="2"/>
        <v>182501.5</v>
      </c>
      <c r="R18" s="58" t="s">
        <v>132</v>
      </c>
      <c r="S18" s="59">
        <v>0.5</v>
      </c>
      <c r="T18" s="53" t="s">
        <v>152</v>
      </c>
      <c r="U18" s="54" t="s">
        <v>200</v>
      </c>
      <c r="V18" s="54" t="s">
        <v>207</v>
      </c>
      <c r="W18" s="52" t="s">
        <v>145</v>
      </c>
      <c r="X18" s="54" t="s">
        <v>208</v>
      </c>
      <c r="Z18" t="str">
        <f t="shared" si="3"/>
        <v/>
      </c>
      <c r="AA18">
        <f t="shared" si="4"/>
        <v>365003</v>
      </c>
      <c r="AB18">
        <f t="shared" si="5"/>
        <v>6</v>
      </c>
      <c r="AC18">
        <f t="shared" si="6"/>
        <v>5</v>
      </c>
      <c r="AD18">
        <f t="shared" si="7"/>
        <v>0</v>
      </c>
    </row>
    <row r="19" spans="1:30" ht="60" customHeight="1">
      <c r="A19" s="52">
        <v>25</v>
      </c>
      <c r="B19" s="53" t="s">
        <v>209</v>
      </c>
      <c r="C19" s="52" t="s">
        <v>43</v>
      </c>
      <c r="D19" s="54" t="s">
        <v>210</v>
      </c>
      <c r="E19" s="54" t="s">
        <v>211</v>
      </c>
      <c r="F19" s="60" t="s">
        <v>212</v>
      </c>
      <c r="G19" s="52">
        <v>21</v>
      </c>
      <c r="H19" s="56" t="s">
        <v>213</v>
      </c>
      <c r="I19" s="55">
        <v>57249.54</v>
      </c>
      <c r="J19" s="55">
        <v>46525.57</v>
      </c>
      <c r="K19" s="55">
        <v>4000</v>
      </c>
      <c r="L19" s="55">
        <v>0</v>
      </c>
      <c r="M19" s="55">
        <v>24000</v>
      </c>
      <c r="N19" s="55">
        <f>IF(ISNUMBER(I19),ROUND(I19-I19/1.081,2),"")</f>
        <v>4289.74</v>
      </c>
      <c r="O19" s="55">
        <f t="shared" si="0"/>
        <v>-21565.770000000011</v>
      </c>
      <c r="P19" s="57">
        <f t="shared" si="1"/>
        <v>-0.37669769923042196</v>
      </c>
      <c r="Q19" s="55">
        <f t="shared" si="2"/>
        <v>51524.586000000003</v>
      </c>
      <c r="R19" s="58" t="s">
        <v>132</v>
      </c>
      <c r="S19" s="59">
        <v>0.9</v>
      </c>
      <c r="T19" s="53" t="s">
        <v>152</v>
      </c>
      <c r="U19" s="54" t="s">
        <v>200</v>
      </c>
      <c r="V19" s="54" t="s">
        <v>214</v>
      </c>
      <c r="W19" s="52" t="s">
        <v>184</v>
      </c>
      <c r="X19" s="54" t="s">
        <v>215</v>
      </c>
      <c r="Z19" t="str">
        <f t="shared" si="3"/>
        <v/>
      </c>
      <c r="AA19">
        <f t="shared" si="4"/>
        <v>57249.54</v>
      </c>
      <c r="AB19">
        <f t="shared" si="5"/>
        <v>6</v>
      </c>
      <c r="AC19">
        <f t="shared" si="6"/>
        <v>6</v>
      </c>
      <c r="AD19">
        <f t="shared" si="7"/>
        <v>0</v>
      </c>
    </row>
    <row r="20" spans="1:30" ht="24" customHeight="1">
      <c r="A20" s="52">
        <v>25</v>
      </c>
      <c r="B20" s="53" t="s">
        <v>209</v>
      </c>
      <c r="C20" s="52" t="s">
        <v>43</v>
      </c>
      <c r="D20" s="54" t="s">
        <v>210</v>
      </c>
      <c r="E20" s="54" t="s">
        <v>216</v>
      </c>
      <c r="F20" s="60" t="s">
        <v>217</v>
      </c>
      <c r="G20" s="52">
        <v>21</v>
      </c>
      <c r="H20" s="56" t="s">
        <v>213</v>
      </c>
      <c r="I20" s="55">
        <v>15664.18</v>
      </c>
      <c r="J20" s="55">
        <f>3635.52+8340.93</f>
        <v>11976.45</v>
      </c>
      <c r="K20" s="55">
        <v>2496</v>
      </c>
      <c r="L20" s="55">
        <v>0</v>
      </c>
      <c r="M20" s="55">
        <v>0</v>
      </c>
      <c r="N20" s="55">
        <f>IF(ISNUMBER(I20),ROUND(I20-I20/1.081,2),"")</f>
        <v>1173.73</v>
      </c>
      <c r="O20" s="55">
        <f t="shared" si="0"/>
        <v>18</v>
      </c>
      <c r="P20" s="57">
        <f t="shared" si="1"/>
        <v>1.1491185622228548E-3</v>
      </c>
      <c r="Q20" s="55">
        <f t="shared" si="2"/>
        <v>14097.762000000001</v>
      </c>
      <c r="R20" s="58" t="s">
        <v>132</v>
      </c>
      <c r="S20" s="59">
        <v>0.9</v>
      </c>
      <c r="T20" s="53" t="s">
        <v>152</v>
      </c>
      <c r="U20" s="54" t="s">
        <v>200</v>
      </c>
      <c r="V20" s="54" t="s">
        <v>214</v>
      </c>
      <c r="W20" s="52" t="s">
        <v>184</v>
      </c>
      <c r="X20" s="54" t="s">
        <v>215</v>
      </c>
      <c r="Z20" t="str">
        <f t="shared" si="3"/>
        <v/>
      </c>
      <c r="AA20">
        <f t="shared" si="4"/>
        <v>15664.18</v>
      </c>
      <c r="AB20">
        <f t="shared" si="5"/>
        <v>6</v>
      </c>
      <c r="AC20">
        <f t="shared" si="6"/>
        <v>7</v>
      </c>
      <c r="AD20">
        <f t="shared" si="7"/>
        <v>0</v>
      </c>
    </row>
    <row r="21" spans="1:30" ht="30" customHeight="1">
      <c r="A21" s="52">
        <v>28</v>
      </c>
      <c r="B21" s="53" t="s">
        <v>218</v>
      </c>
      <c r="C21" s="52" t="s">
        <v>52</v>
      </c>
      <c r="D21" s="54" t="s">
        <v>219</v>
      </c>
      <c r="E21" s="54" t="s">
        <v>220</v>
      </c>
      <c r="F21" s="55" t="s">
        <v>221</v>
      </c>
      <c r="G21" s="52">
        <v>28</v>
      </c>
      <c r="H21" s="56" t="s">
        <v>222</v>
      </c>
      <c r="I21" s="55">
        <v>77325.62</v>
      </c>
      <c r="J21" s="55">
        <v>54334.559999999998</v>
      </c>
      <c r="K21" s="55" t="s">
        <v>141</v>
      </c>
      <c r="L21" s="55">
        <v>0</v>
      </c>
      <c r="M21" s="55">
        <v>10353</v>
      </c>
      <c r="N21" s="55">
        <v>6844</v>
      </c>
      <c r="O21" s="55">
        <f t="shared" si="0"/>
        <v>5794.0599999999977</v>
      </c>
      <c r="P21" s="57">
        <f t="shared" si="1"/>
        <v>7.4930663342886852E-2</v>
      </c>
      <c r="Q21" s="55">
        <f t="shared" si="2"/>
        <v>38662.81</v>
      </c>
      <c r="R21" s="58" t="s">
        <v>132</v>
      </c>
      <c r="S21" s="59">
        <v>0.5</v>
      </c>
      <c r="T21" s="53" t="s">
        <v>223</v>
      </c>
      <c r="U21" s="54" t="s">
        <v>168</v>
      </c>
      <c r="V21" s="62" t="s">
        <v>224</v>
      </c>
      <c r="W21" s="63" t="s">
        <v>225</v>
      </c>
      <c r="X21" s="54" t="s">
        <v>226</v>
      </c>
      <c r="Z21" t="str">
        <f t="shared" si="3"/>
        <v/>
      </c>
      <c r="AA21">
        <f t="shared" si="4"/>
        <v>77325.62</v>
      </c>
      <c r="AB21">
        <f t="shared" si="5"/>
        <v>6</v>
      </c>
      <c r="AC21">
        <f t="shared" si="6"/>
        <v>8</v>
      </c>
      <c r="AD21">
        <f t="shared" si="7"/>
        <v>0</v>
      </c>
    </row>
    <row r="22" spans="1:30" ht="36" customHeight="1">
      <c r="A22" s="52">
        <v>29</v>
      </c>
      <c r="B22" s="53" t="s">
        <v>227</v>
      </c>
      <c r="C22" s="52" t="s">
        <v>68</v>
      </c>
      <c r="D22" s="54" t="s">
        <v>219</v>
      </c>
      <c r="E22" s="54" t="s">
        <v>228</v>
      </c>
      <c r="F22" s="60" t="s">
        <v>229</v>
      </c>
      <c r="G22" s="52">
        <v>3</v>
      </c>
      <c r="H22" s="56" t="s">
        <v>230</v>
      </c>
      <c r="I22" s="55">
        <v>80621.210000000006</v>
      </c>
      <c r="J22" s="55">
        <v>38750</v>
      </c>
      <c r="K22" s="55">
        <v>40000</v>
      </c>
      <c r="L22" s="55">
        <v>0</v>
      </c>
      <c r="M22" s="55">
        <v>6380</v>
      </c>
      <c r="N22" s="55">
        <v>5999.11</v>
      </c>
      <c r="O22" s="55">
        <f t="shared" si="0"/>
        <v>-10507.899999999994</v>
      </c>
      <c r="P22" s="57">
        <f t="shared" si="1"/>
        <v>-0.13033666946948569</v>
      </c>
      <c r="Q22" s="55">
        <f t="shared" si="2"/>
        <v>80621.210000000006</v>
      </c>
      <c r="R22" s="58" t="s">
        <v>159</v>
      </c>
      <c r="S22" s="59">
        <v>1</v>
      </c>
      <c r="T22" s="53" t="s">
        <v>231</v>
      </c>
      <c r="U22" s="54" t="s">
        <v>200</v>
      </c>
      <c r="V22" s="54" t="s">
        <v>161</v>
      </c>
      <c r="W22" s="52" t="s">
        <v>162</v>
      </c>
      <c r="X22" s="54" t="s">
        <v>232</v>
      </c>
      <c r="Z22">
        <f t="shared" si="3"/>
        <v>80621.210000000006</v>
      </c>
      <c r="AA22">
        <f t="shared" si="4"/>
        <v>80621.210000000006</v>
      </c>
      <c r="AB22">
        <f t="shared" si="5"/>
        <v>7</v>
      </c>
      <c r="AC22">
        <f t="shared" si="6"/>
        <v>8</v>
      </c>
      <c r="AD22">
        <f t="shared" si="7"/>
        <v>0</v>
      </c>
    </row>
    <row r="23" spans="1:30" ht="30" customHeight="1">
      <c r="A23" s="52">
        <v>16</v>
      </c>
      <c r="B23" s="53" t="s">
        <v>233</v>
      </c>
      <c r="C23" s="52" t="s">
        <v>70</v>
      </c>
      <c r="D23" s="54" t="s">
        <v>210</v>
      </c>
      <c r="E23" s="54" t="s">
        <v>234</v>
      </c>
      <c r="F23" s="55">
        <v>30</v>
      </c>
      <c r="G23" s="52">
        <v>90</v>
      </c>
      <c r="H23" s="52" t="s">
        <v>141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f t="shared" si="0"/>
        <v>0</v>
      </c>
      <c r="P23" s="57" t="str">
        <f t="shared" si="1"/>
        <v/>
      </c>
      <c r="Q23" s="55">
        <f t="shared" si="2"/>
        <v>0</v>
      </c>
      <c r="R23" s="58" t="s">
        <v>142</v>
      </c>
      <c r="S23" s="59">
        <v>0</v>
      </c>
      <c r="T23" s="53" t="s">
        <v>133</v>
      </c>
      <c r="U23" s="54" t="s">
        <v>196</v>
      </c>
      <c r="V23" s="54" t="s">
        <v>235</v>
      </c>
      <c r="W23" s="52" t="s">
        <v>145</v>
      </c>
      <c r="X23" s="54" t="s">
        <v>235</v>
      </c>
      <c r="Z23" t="str">
        <f t="shared" si="3"/>
        <v/>
      </c>
      <c r="AA23">
        <f t="shared" si="4"/>
        <v>0</v>
      </c>
      <c r="AB23">
        <f t="shared" si="5"/>
        <v>7</v>
      </c>
      <c r="AC23">
        <f t="shared" si="6"/>
        <v>8</v>
      </c>
      <c r="AD23">
        <f t="shared" si="7"/>
        <v>0</v>
      </c>
    </row>
    <row r="24" spans="1:30" ht="30" customHeight="1">
      <c r="A24" s="52">
        <v>17</v>
      </c>
      <c r="B24" s="53" t="s">
        <v>236</v>
      </c>
      <c r="C24" s="52" t="s">
        <v>70</v>
      </c>
      <c r="D24" s="54" t="s">
        <v>237</v>
      </c>
      <c r="E24" s="54" t="s">
        <v>141</v>
      </c>
      <c r="F24" s="60"/>
      <c r="G24" s="52" t="s">
        <v>141</v>
      </c>
      <c r="H24" s="52" t="s">
        <v>141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f t="shared" si="0"/>
        <v>0</v>
      </c>
      <c r="P24" s="57" t="str">
        <f t="shared" si="1"/>
        <v/>
      </c>
      <c r="Q24" s="55">
        <f t="shared" si="2"/>
        <v>0</v>
      </c>
      <c r="R24" s="58" t="s">
        <v>142</v>
      </c>
      <c r="S24" s="59">
        <v>0</v>
      </c>
      <c r="T24" s="53" t="s">
        <v>152</v>
      </c>
      <c r="U24" s="54" t="s">
        <v>141</v>
      </c>
      <c r="V24" s="54" t="s">
        <v>235</v>
      </c>
      <c r="W24" s="52" t="s">
        <v>145</v>
      </c>
      <c r="X24" s="54" t="s">
        <v>235</v>
      </c>
      <c r="Z24" t="str">
        <f t="shared" si="3"/>
        <v/>
      </c>
      <c r="AA24">
        <f t="shared" si="4"/>
        <v>0</v>
      </c>
      <c r="AB24">
        <f t="shared" si="5"/>
        <v>7</v>
      </c>
      <c r="AC24">
        <f t="shared" si="6"/>
        <v>8</v>
      </c>
      <c r="AD24">
        <f t="shared" si="7"/>
        <v>0</v>
      </c>
    </row>
    <row r="25" spans="1:30" ht="30" customHeight="1">
      <c r="A25" s="52">
        <v>18</v>
      </c>
      <c r="B25" s="53" t="s">
        <v>238</v>
      </c>
      <c r="C25" s="52" t="s">
        <v>141</v>
      </c>
      <c r="D25" s="54" t="s">
        <v>141</v>
      </c>
      <c r="E25" s="54" t="s">
        <v>141</v>
      </c>
      <c r="F25" s="60"/>
      <c r="G25" s="52" t="s">
        <v>141</v>
      </c>
      <c r="H25" s="52" t="s">
        <v>141</v>
      </c>
      <c r="I25" s="55"/>
      <c r="J25" s="55"/>
      <c r="K25" s="55"/>
      <c r="L25" s="55">
        <v>0</v>
      </c>
      <c r="M25" s="55"/>
      <c r="N25" s="55" t="str">
        <f>IF(ISNUMBER(I25),ROUND(I25-I25/1.081,2),"")</f>
        <v/>
      </c>
      <c r="O25" s="55" t="str">
        <f t="shared" si="0"/>
        <v/>
      </c>
      <c r="P25" s="57" t="str">
        <f t="shared" si="1"/>
        <v/>
      </c>
      <c r="Q25" s="55" t="str">
        <f t="shared" si="2"/>
        <v>tbd</v>
      </c>
      <c r="R25" s="58" t="s">
        <v>142</v>
      </c>
      <c r="S25" s="59">
        <v>0</v>
      </c>
      <c r="T25" s="53" t="s">
        <v>152</v>
      </c>
      <c r="U25" s="54" t="s">
        <v>141</v>
      </c>
      <c r="V25" s="54" t="s">
        <v>235</v>
      </c>
      <c r="W25" s="52" t="s">
        <v>145</v>
      </c>
      <c r="X25" s="54" t="s">
        <v>235</v>
      </c>
      <c r="Z25" t="str">
        <f t="shared" si="3"/>
        <v/>
      </c>
      <c r="AA25">
        <f t="shared" si="4"/>
        <v>0</v>
      </c>
      <c r="AB25">
        <f t="shared" si="5"/>
        <v>7</v>
      </c>
      <c r="AC25">
        <f t="shared" si="6"/>
        <v>8</v>
      </c>
      <c r="AD25">
        <f t="shared" si="7"/>
        <v>0</v>
      </c>
    </row>
    <row r="26" spans="1:30" ht="30" customHeight="1">
      <c r="A26" s="52">
        <v>19</v>
      </c>
      <c r="B26" s="53" t="s">
        <v>239</v>
      </c>
      <c r="C26" s="52" t="s">
        <v>43</v>
      </c>
      <c r="D26" s="54" t="s">
        <v>240</v>
      </c>
      <c r="E26" s="54" t="s">
        <v>241</v>
      </c>
      <c r="F26" s="55">
        <v>1500</v>
      </c>
      <c r="G26" s="52">
        <v>19</v>
      </c>
      <c r="H26" s="61" t="s">
        <v>167</v>
      </c>
      <c r="I26" s="55">
        <v>48950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f t="shared" si="0"/>
        <v>48950</v>
      </c>
      <c r="P26" s="57">
        <f t="shared" si="1"/>
        <v>1</v>
      </c>
      <c r="Q26" s="55">
        <f t="shared" si="2"/>
        <v>0</v>
      </c>
      <c r="R26" s="58" t="s">
        <v>142</v>
      </c>
      <c r="S26" s="59">
        <v>0</v>
      </c>
      <c r="T26" s="53" t="s">
        <v>133</v>
      </c>
      <c r="U26" s="54" t="s">
        <v>162</v>
      </c>
      <c r="V26" s="54" t="s">
        <v>242</v>
      </c>
      <c r="W26" s="52" t="s">
        <v>145</v>
      </c>
      <c r="X26" s="54" t="s">
        <v>243</v>
      </c>
      <c r="Z26" t="str">
        <f t="shared" si="3"/>
        <v/>
      </c>
      <c r="AA26">
        <f t="shared" si="4"/>
        <v>48950</v>
      </c>
      <c r="AB26">
        <f t="shared" si="5"/>
        <v>7</v>
      </c>
      <c r="AC26">
        <f t="shared" si="6"/>
        <v>8</v>
      </c>
      <c r="AD26">
        <f t="shared" si="7"/>
        <v>0</v>
      </c>
    </row>
    <row r="27" spans="1:30" ht="30" customHeight="1">
      <c r="A27" s="52">
        <v>20</v>
      </c>
      <c r="B27" s="53" t="s">
        <v>244</v>
      </c>
      <c r="C27" s="52" t="s">
        <v>46</v>
      </c>
      <c r="D27" s="54" t="s">
        <v>245</v>
      </c>
      <c r="E27" s="54" t="s">
        <v>188</v>
      </c>
      <c r="F27" s="55">
        <v>250</v>
      </c>
      <c r="G27" s="52">
        <v>90</v>
      </c>
      <c r="H27" s="61" t="s">
        <v>131</v>
      </c>
      <c r="I27" s="55">
        <v>39000</v>
      </c>
      <c r="J27" s="55"/>
      <c r="K27" s="55"/>
      <c r="L27" s="55">
        <v>0</v>
      </c>
      <c r="M27" s="55"/>
      <c r="N27" s="55">
        <f>IF(ISNUMBER(I27),ROUND(I27-I27/1.081,2),"")</f>
        <v>2922.29</v>
      </c>
      <c r="O27" s="55">
        <f t="shared" si="0"/>
        <v>36077.71</v>
      </c>
      <c r="P27" s="57">
        <f t="shared" si="1"/>
        <v>0.92506948717948712</v>
      </c>
      <c r="Q27" s="55">
        <f t="shared" si="2"/>
        <v>0</v>
      </c>
      <c r="R27" s="58" t="s">
        <v>246</v>
      </c>
      <c r="S27" s="59">
        <v>0</v>
      </c>
      <c r="T27" s="53" t="s">
        <v>133</v>
      </c>
      <c r="U27" s="54" t="s">
        <v>162</v>
      </c>
      <c r="V27" s="54" t="s">
        <v>247</v>
      </c>
      <c r="W27" s="52" t="s">
        <v>145</v>
      </c>
      <c r="X27" s="54" t="s">
        <v>248</v>
      </c>
      <c r="Z27" t="str">
        <f t="shared" si="3"/>
        <v/>
      </c>
      <c r="AA27">
        <f t="shared" si="4"/>
        <v>39000</v>
      </c>
      <c r="AB27">
        <f t="shared" si="5"/>
        <v>7</v>
      </c>
      <c r="AC27">
        <f t="shared" si="6"/>
        <v>8</v>
      </c>
      <c r="AD27">
        <f t="shared" si="7"/>
        <v>0</v>
      </c>
    </row>
    <row r="28" spans="1:30" ht="30" customHeight="1">
      <c r="A28" s="52">
        <v>8</v>
      </c>
      <c r="B28" s="53" t="s">
        <v>249</v>
      </c>
      <c r="C28" s="52" t="s">
        <v>50</v>
      </c>
      <c r="D28" s="54" t="s">
        <v>250</v>
      </c>
      <c r="E28" s="54" t="s">
        <v>251</v>
      </c>
      <c r="F28" s="55">
        <v>750</v>
      </c>
      <c r="G28" s="52">
        <v>42</v>
      </c>
      <c r="H28" s="56" t="s">
        <v>167</v>
      </c>
      <c r="I28" s="55">
        <v>38885</v>
      </c>
      <c r="J28" s="55">
        <v>22000</v>
      </c>
      <c r="K28" s="55">
        <v>2500</v>
      </c>
      <c r="L28" s="55">
        <v>3500</v>
      </c>
      <c r="M28" s="55">
        <v>3000</v>
      </c>
      <c r="N28" s="55">
        <v>800</v>
      </c>
      <c r="O28" s="55">
        <f t="shared" si="0"/>
        <v>7085</v>
      </c>
      <c r="P28" s="57">
        <f t="shared" si="1"/>
        <v>0.18220393467918219</v>
      </c>
      <c r="Q28" s="55">
        <f t="shared" si="2"/>
        <v>19442.5</v>
      </c>
      <c r="R28" s="58" t="s">
        <v>151</v>
      </c>
      <c r="S28" s="59">
        <v>0.5</v>
      </c>
      <c r="T28" s="53" t="s">
        <v>133</v>
      </c>
      <c r="U28" s="54" t="s">
        <v>252</v>
      </c>
      <c r="V28" s="54" t="s">
        <v>253</v>
      </c>
      <c r="W28" s="52" t="s">
        <v>254</v>
      </c>
      <c r="X28" s="54" t="s">
        <v>255</v>
      </c>
      <c r="Z28" t="str">
        <f t="shared" si="3"/>
        <v/>
      </c>
      <c r="AA28">
        <f t="shared" si="4"/>
        <v>38885</v>
      </c>
      <c r="AB28">
        <f t="shared" si="5"/>
        <v>7</v>
      </c>
      <c r="AC28">
        <f t="shared" si="6"/>
        <v>9</v>
      </c>
      <c r="AD28">
        <f t="shared" si="7"/>
        <v>0</v>
      </c>
    </row>
    <row r="29" spans="1:30" ht="30" customHeight="1">
      <c r="A29" s="52">
        <v>22</v>
      </c>
      <c r="B29" s="53" t="s">
        <v>256</v>
      </c>
      <c r="C29" s="52" t="s">
        <v>61</v>
      </c>
      <c r="D29" s="54" t="s">
        <v>257</v>
      </c>
      <c r="E29" s="54" t="s">
        <v>258</v>
      </c>
      <c r="F29" s="55">
        <v>400</v>
      </c>
      <c r="G29" s="52">
        <v>21</v>
      </c>
      <c r="H29" s="61" t="s">
        <v>184</v>
      </c>
      <c r="I29" s="55">
        <v>12572.63</v>
      </c>
      <c r="J29" s="55">
        <f>6763.05+672+168</f>
        <v>7603.05</v>
      </c>
      <c r="K29" s="55">
        <v>3000</v>
      </c>
      <c r="L29" s="55">
        <v>0</v>
      </c>
      <c r="M29" s="55">
        <v>870</v>
      </c>
      <c r="N29" s="55">
        <f>IF(ISNUMBER(I29),ROUND(I29-I29/1.081,2),"")</f>
        <v>942.07</v>
      </c>
      <c r="O29" s="55">
        <f t="shared" si="0"/>
        <v>157.51000000000022</v>
      </c>
      <c r="P29" s="57">
        <f t="shared" si="1"/>
        <v>1.2528007266578291E-2</v>
      </c>
      <c r="Q29" s="55">
        <f t="shared" si="2"/>
        <v>0</v>
      </c>
      <c r="R29" s="58" t="s">
        <v>246</v>
      </c>
      <c r="S29" s="59">
        <v>0</v>
      </c>
      <c r="T29" s="53" t="s">
        <v>133</v>
      </c>
      <c r="U29" s="54" t="s">
        <v>259</v>
      </c>
      <c r="V29" s="62" t="s">
        <v>260</v>
      </c>
      <c r="W29" s="52" t="s">
        <v>145</v>
      </c>
      <c r="X29" s="54" t="s">
        <v>261</v>
      </c>
      <c r="Z29" t="str">
        <f t="shared" si="3"/>
        <v/>
      </c>
      <c r="AA29">
        <f t="shared" si="4"/>
        <v>12572.63</v>
      </c>
      <c r="AB29">
        <f t="shared" si="5"/>
        <v>7</v>
      </c>
      <c r="AC29">
        <f t="shared" si="6"/>
        <v>9</v>
      </c>
      <c r="AD29">
        <f t="shared" si="7"/>
        <v>0</v>
      </c>
    </row>
    <row r="30" spans="1:30" ht="30" customHeight="1">
      <c r="A30" s="52">
        <v>23</v>
      </c>
      <c r="B30" s="53" t="s">
        <v>262</v>
      </c>
      <c r="C30" s="52" t="s">
        <v>52</v>
      </c>
      <c r="D30" s="54" t="s">
        <v>210</v>
      </c>
      <c r="E30" s="54" t="s">
        <v>263</v>
      </c>
      <c r="F30" s="55">
        <v>30</v>
      </c>
      <c r="G30" s="52" t="s">
        <v>141</v>
      </c>
      <c r="H30" s="52" t="s">
        <v>141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f t="shared" si="0"/>
        <v>0</v>
      </c>
      <c r="P30" s="57" t="str">
        <f t="shared" si="1"/>
        <v/>
      </c>
      <c r="Q30" s="55">
        <f t="shared" si="2"/>
        <v>0</v>
      </c>
      <c r="R30" s="58" t="s">
        <v>142</v>
      </c>
      <c r="S30" s="59">
        <v>0</v>
      </c>
      <c r="T30" s="53" t="s">
        <v>152</v>
      </c>
      <c r="U30" s="54"/>
      <c r="V30" s="54" t="s">
        <v>264</v>
      </c>
      <c r="W30" s="52" t="s">
        <v>145</v>
      </c>
      <c r="X30" s="54" t="s">
        <v>265</v>
      </c>
      <c r="Z30" t="str">
        <f t="shared" si="3"/>
        <v/>
      </c>
      <c r="AA30">
        <f t="shared" si="4"/>
        <v>0</v>
      </c>
      <c r="AB30">
        <f t="shared" si="5"/>
        <v>7</v>
      </c>
      <c r="AC30">
        <f t="shared" si="6"/>
        <v>9</v>
      </c>
      <c r="AD30">
        <f t="shared" si="7"/>
        <v>0</v>
      </c>
    </row>
    <row r="31" spans="1:30" ht="30" customHeight="1">
      <c r="A31" s="52">
        <v>24</v>
      </c>
      <c r="B31" s="53" t="s">
        <v>266</v>
      </c>
      <c r="C31" s="52" t="s">
        <v>70</v>
      </c>
      <c r="D31" s="54" t="s">
        <v>267</v>
      </c>
      <c r="E31" s="54" t="s">
        <v>268</v>
      </c>
      <c r="F31" s="60" t="s">
        <v>141</v>
      </c>
      <c r="G31" s="52" t="s">
        <v>141</v>
      </c>
      <c r="H31" s="52" t="s">
        <v>141</v>
      </c>
      <c r="I31" s="55"/>
      <c r="J31" s="55"/>
      <c r="K31" s="55"/>
      <c r="L31" s="55">
        <v>0</v>
      </c>
      <c r="M31" s="55"/>
      <c r="N31" s="55" t="str">
        <f>IF(ISNUMBER(I31),ROUND(I31-I31/1.081,2),"")</f>
        <v/>
      </c>
      <c r="O31" s="55" t="str">
        <f t="shared" si="0"/>
        <v/>
      </c>
      <c r="P31" s="57" t="str">
        <f t="shared" si="1"/>
        <v/>
      </c>
      <c r="Q31" s="55" t="str">
        <f t="shared" si="2"/>
        <v>tbd</v>
      </c>
      <c r="R31" s="58" t="s">
        <v>246</v>
      </c>
      <c r="S31" s="59">
        <v>0</v>
      </c>
      <c r="T31" s="53" t="s">
        <v>133</v>
      </c>
      <c r="U31" s="54" t="s">
        <v>269</v>
      </c>
      <c r="V31" s="54" t="s">
        <v>264</v>
      </c>
      <c r="W31" s="52" t="s">
        <v>145</v>
      </c>
      <c r="X31" s="54" t="s">
        <v>265</v>
      </c>
      <c r="Z31" t="str">
        <f t="shared" si="3"/>
        <v/>
      </c>
      <c r="AA31">
        <f t="shared" si="4"/>
        <v>0</v>
      </c>
      <c r="AB31">
        <f t="shared" si="5"/>
        <v>7</v>
      </c>
      <c r="AC31">
        <f t="shared" si="6"/>
        <v>9</v>
      </c>
      <c r="AD31">
        <f t="shared" si="7"/>
        <v>0</v>
      </c>
    </row>
    <row r="32" spans="1:30" ht="36" customHeight="1">
      <c r="A32" s="52">
        <v>11</v>
      </c>
      <c r="B32" s="53" t="s">
        <v>270</v>
      </c>
      <c r="C32" s="52" t="s">
        <v>70</v>
      </c>
      <c r="D32" s="54" t="s">
        <v>210</v>
      </c>
      <c r="E32" s="54" t="s">
        <v>271</v>
      </c>
      <c r="F32" s="55">
        <v>150</v>
      </c>
      <c r="G32" s="52">
        <v>14</v>
      </c>
      <c r="H32" s="56" t="s">
        <v>131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f t="shared" si="0"/>
        <v>0</v>
      </c>
      <c r="P32" s="57" t="str">
        <f t="shared" si="1"/>
        <v/>
      </c>
      <c r="Q32" s="55">
        <f t="shared" si="2"/>
        <v>0</v>
      </c>
      <c r="R32" s="58" t="s">
        <v>142</v>
      </c>
      <c r="S32" s="59">
        <v>0</v>
      </c>
      <c r="T32" s="53" t="s">
        <v>133</v>
      </c>
      <c r="U32" s="54" t="s">
        <v>272</v>
      </c>
      <c r="V32" s="54" t="s">
        <v>273</v>
      </c>
      <c r="W32" s="52" t="s">
        <v>145</v>
      </c>
      <c r="X32" s="54" t="s">
        <v>274</v>
      </c>
      <c r="Z32" t="str">
        <f t="shared" si="3"/>
        <v/>
      </c>
      <c r="AA32">
        <f t="shared" si="4"/>
        <v>0</v>
      </c>
      <c r="AB32">
        <f t="shared" si="5"/>
        <v>7</v>
      </c>
      <c r="AC32">
        <f t="shared" si="6"/>
        <v>9</v>
      </c>
      <c r="AD32">
        <f t="shared" si="7"/>
        <v>0</v>
      </c>
    </row>
    <row r="33" spans="1:30" ht="24" customHeight="1">
      <c r="A33" s="52">
        <v>14</v>
      </c>
      <c r="B33" s="53" t="s">
        <v>275</v>
      </c>
      <c r="C33" s="52" t="s">
        <v>70</v>
      </c>
      <c r="D33" s="54" t="s">
        <v>276</v>
      </c>
      <c r="E33" s="54" t="s">
        <v>277</v>
      </c>
      <c r="F33" s="55">
        <v>450</v>
      </c>
      <c r="G33" s="52" t="s">
        <v>141</v>
      </c>
      <c r="H33" s="56" t="s">
        <v>141</v>
      </c>
      <c r="I33" s="55">
        <v>17300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f t="shared" si="0"/>
        <v>17300</v>
      </c>
      <c r="P33" s="57">
        <f t="shared" si="1"/>
        <v>1</v>
      </c>
      <c r="Q33" s="55">
        <f t="shared" si="2"/>
        <v>3460</v>
      </c>
      <c r="R33" s="58" t="s">
        <v>132</v>
      </c>
      <c r="S33" s="59">
        <v>0.2</v>
      </c>
      <c r="T33" s="53" t="s">
        <v>152</v>
      </c>
      <c r="U33" s="54" t="s">
        <v>278</v>
      </c>
      <c r="V33" s="54" t="s">
        <v>279</v>
      </c>
      <c r="W33" s="52" t="s">
        <v>145</v>
      </c>
      <c r="X33" s="54" t="s">
        <v>280</v>
      </c>
      <c r="Z33" t="str">
        <f t="shared" si="3"/>
        <v/>
      </c>
      <c r="AA33">
        <f t="shared" si="4"/>
        <v>17300</v>
      </c>
      <c r="AB33">
        <f t="shared" si="5"/>
        <v>7</v>
      </c>
      <c r="AC33">
        <f t="shared" si="6"/>
        <v>10</v>
      </c>
      <c r="AD33">
        <f t="shared" si="7"/>
        <v>0</v>
      </c>
    </row>
    <row r="34" spans="1:30" ht="30" customHeight="1">
      <c r="A34" s="52">
        <v>26</v>
      </c>
      <c r="B34" s="53" t="s">
        <v>281</v>
      </c>
      <c r="C34" s="52" t="s">
        <v>60</v>
      </c>
      <c r="D34" s="54" t="s">
        <v>282</v>
      </c>
      <c r="E34" s="54" t="s">
        <v>283</v>
      </c>
      <c r="F34" s="55">
        <v>200</v>
      </c>
      <c r="G34" s="56" t="s">
        <v>141</v>
      </c>
      <c r="H34" s="56" t="s">
        <v>141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f t="shared" si="0"/>
        <v>0</v>
      </c>
      <c r="P34" s="57" t="str">
        <f t="shared" si="1"/>
        <v/>
      </c>
      <c r="Q34" s="55">
        <f t="shared" si="2"/>
        <v>0</v>
      </c>
      <c r="R34" s="58" t="s">
        <v>142</v>
      </c>
      <c r="S34" s="59">
        <v>0</v>
      </c>
      <c r="T34" s="53" t="s">
        <v>152</v>
      </c>
      <c r="U34" s="54" t="s">
        <v>259</v>
      </c>
      <c r="V34" s="54" t="s">
        <v>284</v>
      </c>
      <c r="W34" s="52" t="s">
        <v>145</v>
      </c>
      <c r="X34" s="54" t="s">
        <v>285</v>
      </c>
      <c r="Z34" t="str">
        <f t="shared" si="3"/>
        <v/>
      </c>
      <c r="AA34">
        <f t="shared" si="4"/>
        <v>0</v>
      </c>
      <c r="AB34">
        <f t="shared" si="5"/>
        <v>7</v>
      </c>
      <c r="AC34">
        <f t="shared" si="6"/>
        <v>10</v>
      </c>
      <c r="AD34">
        <f t="shared" si="7"/>
        <v>0</v>
      </c>
    </row>
    <row r="35" spans="1:30" ht="30" customHeight="1">
      <c r="A35" s="52">
        <v>14</v>
      </c>
      <c r="B35" s="53" t="s">
        <v>275</v>
      </c>
      <c r="C35" s="52" t="s">
        <v>70</v>
      </c>
      <c r="D35" s="54" t="s">
        <v>276</v>
      </c>
      <c r="E35" s="54" t="s">
        <v>286</v>
      </c>
      <c r="F35" s="55">
        <v>450</v>
      </c>
      <c r="G35" s="52" t="s">
        <v>141</v>
      </c>
      <c r="H35" s="56" t="s">
        <v>141</v>
      </c>
      <c r="I35" s="55">
        <v>21025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f t="shared" si="0"/>
        <v>21025</v>
      </c>
      <c r="P35" s="57">
        <f t="shared" si="1"/>
        <v>1</v>
      </c>
      <c r="Q35" s="55">
        <f t="shared" si="2"/>
        <v>4205</v>
      </c>
      <c r="R35" s="58" t="s">
        <v>132</v>
      </c>
      <c r="S35" s="59">
        <v>0.2</v>
      </c>
      <c r="T35" s="53" t="s">
        <v>152</v>
      </c>
      <c r="U35" s="54" t="s">
        <v>278</v>
      </c>
      <c r="V35" s="54" t="s">
        <v>279</v>
      </c>
      <c r="W35" s="52" t="s">
        <v>145</v>
      </c>
      <c r="X35" s="54" t="s">
        <v>280</v>
      </c>
      <c r="Z35" t="str">
        <f t="shared" si="3"/>
        <v/>
      </c>
      <c r="AA35">
        <f t="shared" si="4"/>
        <v>21025</v>
      </c>
      <c r="AB35">
        <f t="shared" si="5"/>
        <v>7</v>
      </c>
      <c r="AC35">
        <f t="shared" si="6"/>
        <v>11</v>
      </c>
      <c r="AD35">
        <f t="shared" si="7"/>
        <v>0</v>
      </c>
    </row>
    <row r="36" spans="1:30" ht="30" customHeight="1">
      <c r="A36" s="52">
        <v>14</v>
      </c>
      <c r="B36" s="53" t="s">
        <v>275</v>
      </c>
      <c r="C36" s="52" t="s">
        <v>70</v>
      </c>
      <c r="D36" s="54" t="s">
        <v>276</v>
      </c>
      <c r="E36" s="54" t="s">
        <v>287</v>
      </c>
      <c r="F36" s="55">
        <v>450</v>
      </c>
      <c r="G36" s="52" t="s">
        <v>141</v>
      </c>
      <c r="H36" s="56" t="s">
        <v>141</v>
      </c>
      <c r="I36" s="55">
        <v>37444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f t="shared" si="0"/>
        <v>37444</v>
      </c>
      <c r="P36" s="57">
        <f t="shared" si="1"/>
        <v>1</v>
      </c>
      <c r="Q36" s="55">
        <f t="shared" si="2"/>
        <v>7488.8</v>
      </c>
      <c r="R36" s="58" t="s">
        <v>132</v>
      </c>
      <c r="S36" s="59">
        <v>0.2</v>
      </c>
      <c r="T36" s="53" t="s">
        <v>152</v>
      </c>
      <c r="U36" s="54" t="s">
        <v>278</v>
      </c>
      <c r="V36" s="54" t="s">
        <v>279</v>
      </c>
      <c r="W36" s="52" t="s">
        <v>145</v>
      </c>
      <c r="X36" s="54" t="s">
        <v>280</v>
      </c>
      <c r="Z36" t="str">
        <f t="shared" si="3"/>
        <v/>
      </c>
      <c r="AA36">
        <f t="shared" si="4"/>
        <v>37444</v>
      </c>
      <c r="AB36">
        <f t="shared" si="5"/>
        <v>7</v>
      </c>
      <c r="AC36">
        <f t="shared" si="6"/>
        <v>12</v>
      </c>
      <c r="AD36">
        <f t="shared" si="7"/>
        <v>0</v>
      </c>
    </row>
    <row r="37" spans="1:30" ht="30" customHeight="1">
      <c r="A37" s="52">
        <v>27</v>
      </c>
      <c r="B37" s="53" t="s">
        <v>288</v>
      </c>
      <c r="C37" s="52" t="s">
        <v>61</v>
      </c>
      <c r="D37" s="54" t="s">
        <v>198</v>
      </c>
      <c r="E37" s="54" t="s">
        <v>289</v>
      </c>
      <c r="F37" s="60" t="s">
        <v>290</v>
      </c>
      <c r="G37" s="52" t="s">
        <v>291</v>
      </c>
      <c r="H37" s="56" t="s">
        <v>141</v>
      </c>
      <c r="I37" s="55">
        <f>416100+7665+2190</f>
        <v>425955</v>
      </c>
      <c r="J37" s="55">
        <v>416100</v>
      </c>
      <c r="K37" s="55">
        <v>7620</v>
      </c>
      <c r="L37" s="55">
        <v>0</v>
      </c>
      <c r="M37" s="55">
        <v>0</v>
      </c>
      <c r="N37" s="55">
        <v>0</v>
      </c>
      <c r="O37" s="55">
        <f t="shared" si="0"/>
        <v>2235</v>
      </c>
      <c r="P37" s="57">
        <f t="shared" si="1"/>
        <v>5.2470331373032364E-3</v>
      </c>
      <c r="Q37" s="55">
        <f t="shared" si="2"/>
        <v>85191</v>
      </c>
      <c r="R37" s="58" t="s">
        <v>132</v>
      </c>
      <c r="S37" s="59">
        <v>0.2</v>
      </c>
      <c r="T37" s="53" t="s">
        <v>133</v>
      </c>
      <c r="U37" s="54" t="s">
        <v>200</v>
      </c>
      <c r="V37" s="54" t="s">
        <v>214</v>
      </c>
      <c r="W37" s="52" t="s">
        <v>145</v>
      </c>
      <c r="X37" s="54" t="s">
        <v>292</v>
      </c>
      <c r="Z37" t="str">
        <f t="shared" si="3"/>
        <v/>
      </c>
      <c r="AA37">
        <f t="shared" si="4"/>
        <v>425955</v>
      </c>
      <c r="AB37">
        <f t="shared" si="5"/>
        <v>7</v>
      </c>
      <c r="AC37">
        <f t="shared" si="6"/>
        <v>13</v>
      </c>
      <c r="AD37">
        <f t="shared" si="7"/>
        <v>0</v>
      </c>
    </row>
    <row r="38" spans="1:30" ht="30" customHeight="1">
      <c r="A38" s="52">
        <v>27</v>
      </c>
      <c r="B38" s="53" t="s">
        <v>288</v>
      </c>
      <c r="C38" s="52" t="s">
        <v>61</v>
      </c>
      <c r="D38" s="54" t="s">
        <v>198</v>
      </c>
      <c r="E38" s="54" t="s">
        <v>293</v>
      </c>
      <c r="F38" s="60" t="s">
        <v>294</v>
      </c>
      <c r="G38" s="52" t="s">
        <v>291</v>
      </c>
      <c r="H38" s="56" t="s">
        <v>141</v>
      </c>
      <c r="I38" s="55">
        <f>873810+15330+2190</f>
        <v>891330</v>
      </c>
      <c r="J38" s="55">
        <v>873810</v>
      </c>
      <c r="K38" s="55">
        <v>7620</v>
      </c>
      <c r="L38" s="55">
        <v>0</v>
      </c>
      <c r="M38" s="55">
        <v>0</v>
      </c>
      <c r="N38" s="55">
        <v>0</v>
      </c>
      <c r="O38" s="55">
        <f t="shared" si="0"/>
        <v>9900</v>
      </c>
      <c r="P38" s="57">
        <f t="shared" si="1"/>
        <v>1.1106997408367271E-2</v>
      </c>
      <c r="Q38" s="55">
        <f t="shared" si="2"/>
        <v>178266</v>
      </c>
      <c r="R38" s="58" t="s">
        <v>132</v>
      </c>
      <c r="S38" s="59">
        <v>0.2</v>
      </c>
      <c r="T38" s="53" t="s">
        <v>133</v>
      </c>
      <c r="U38" s="54" t="s">
        <v>200</v>
      </c>
      <c r="V38" s="54" t="s">
        <v>214</v>
      </c>
      <c r="W38" s="52" t="s">
        <v>145</v>
      </c>
      <c r="X38" s="54" t="s">
        <v>292</v>
      </c>
      <c r="Z38" t="str">
        <f t="shared" si="3"/>
        <v/>
      </c>
      <c r="AA38">
        <f t="shared" si="4"/>
        <v>891330</v>
      </c>
      <c r="AB38">
        <f t="shared" si="5"/>
        <v>7</v>
      </c>
      <c r="AC38">
        <f t="shared" si="6"/>
        <v>14</v>
      </c>
      <c r="AD38">
        <f t="shared" si="7"/>
        <v>0</v>
      </c>
    </row>
    <row r="39" spans="1:30" ht="24" customHeight="1">
      <c r="A39" s="52">
        <v>27</v>
      </c>
      <c r="B39" s="53" t="s">
        <v>288</v>
      </c>
      <c r="C39" s="52" t="s">
        <v>61</v>
      </c>
      <c r="D39" s="54" t="s">
        <v>198</v>
      </c>
      <c r="E39" s="54" t="s">
        <v>295</v>
      </c>
      <c r="F39" s="60" t="s">
        <v>296</v>
      </c>
      <c r="G39" s="52" t="s">
        <v>291</v>
      </c>
      <c r="H39" s="56" t="s">
        <v>141</v>
      </c>
      <c r="I39" s="55">
        <f>1289910+15330+2190</f>
        <v>1307430</v>
      </c>
      <c r="J39" s="55">
        <v>1289910</v>
      </c>
      <c r="K39" s="55">
        <v>7620</v>
      </c>
      <c r="L39" s="55">
        <v>0</v>
      </c>
      <c r="M39" s="55">
        <v>0</v>
      </c>
      <c r="N39" s="55">
        <v>0</v>
      </c>
      <c r="O39" s="55">
        <f t="shared" si="0"/>
        <v>9900</v>
      </c>
      <c r="P39" s="57">
        <f t="shared" si="1"/>
        <v>7.5721071108969503E-3</v>
      </c>
      <c r="Q39" s="55">
        <f t="shared" si="2"/>
        <v>261486</v>
      </c>
      <c r="R39" s="58" t="s">
        <v>132</v>
      </c>
      <c r="S39" s="59">
        <v>0.2</v>
      </c>
      <c r="T39" s="53" t="s">
        <v>133</v>
      </c>
      <c r="U39" s="54" t="s">
        <v>200</v>
      </c>
      <c r="V39" s="54" t="s">
        <v>214</v>
      </c>
      <c r="W39" s="52" t="s">
        <v>145</v>
      </c>
      <c r="X39" s="54" t="s">
        <v>292</v>
      </c>
      <c r="Z39" t="str">
        <f t="shared" si="3"/>
        <v/>
      </c>
      <c r="AA39">
        <f t="shared" si="4"/>
        <v>1307430</v>
      </c>
      <c r="AB39">
        <f t="shared" si="5"/>
        <v>7</v>
      </c>
      <c r="AC39">
        <f t="shared" si="6"/>
        <v>15</v>
      </c>
      <c r="AD39">
        <f t="shared" si="7"/>
        <v>0</v>
      </c>
    </row>
    <row r="40" spans="1:30" ht="30" customHeight="1">
      <c r="A40" s="52">
        <v>34</v>
      </c>
      <c r="B40" s="53" t="s">
        <v>297</v>
      </c>
      <c r="C40" s="52" t="s">
        <v>46</v>
      </c>
      <c r="D40" s="54" t="s">
        <v>250</v>
      </c>
      <c r="E40" s="54" t="s">
        <v>194</v>
      </c>
      <c r="F40" s="60" t="s">
        <v>298</v>
      </c>
      <c r="G40" s="52">
        <v>4</v>
      </c>
      <c r="H40" s="56" t="s">
        <v>184</v>
      </c>
      <c r="I40" s="55">
        <v>3232.41</v>
      </c>
      <c r="J40" s="55">
        <f>435.2+102.4</f>
        <v>537.6</v>
      </c>
      <c r="K40" s="55">
        <v>1300</v>
      </c>
      <c r="L40" s="55">
        <v>0</v>
      </c>
      <c r="M40" s="55">
        <f>725+57.6</f>
        <v>782.6</v>
      </c>
      <c r="N40" s="55">
        <f t="shared" ref="N40:N45" si="8">IF(ISNUMBER(I40),ROUND(I40-I40/1.081,2),"")</f>
        <v>242.21</v>
      </c>
      <c r="O40" s="55">
        <f t="shared" si="0"/>
        <v>370</v>
      </c>
      <c r="P40" s="57">
        <f t="shared" si="1"/>
        <v>0.11446567731197466</v>
      </c>
      <c r="Q40" s="55">
        <f t="shared" si="2"/>
        <v>1616.2049999999999</v>
      </c>
      <c r="R40" s="58" t="s">
        <v>132</v>
      </c>
      <c r="S40" s="59">
        <v>0.5</v>
      </c>
      <c r="T40" s="53" t="s">
        <v>133</v>
      </c>
      <c r="U40" s="54" t="s">
        <v>200</v>
      </c>
      <c r="V40" s="54" t="s">
        <v>299</v>
      </c>
      <c r="W40" s="52" t="s">
        <v>145</v>
      </c>
      <c r="X40" s="54" t="s">
        <v>299</v>
      </c>
      <c r="Z40" t="str">
        <f t="shared" si="3"/>
        <v/>
      </c>
      <c r="AA40">
        <f t="shared" si="4"/>
        <v>3232.41</v>
      </c>
      <c r="AB40">
        <f t="shared" si="5"/>
        <v>7</v>
      </c>
      <c r="AC40">
        <f t="shared" si="6"/>
        <v>16</v>
      </c>
      <c r="AD40">
        <f t="shared" si="7"/>
        <v>0</v>
      </c>
    </row>
    <row r="41" spans="1:30" ht="30" customHeight="1">
      <c r="A41" s="52">
        <v>36</v>
      </c>
      <c r="B41" s="64" t="s">
        <v>300</v>
      </c>
      <c r="C41" s="63" t="s">
        <v>46</v>
      </c>
      <c r="D41" s="54" t="s">
        <v>250</v>
      </c>
      <c r="E41" s="62" t="s">
        <v>301</v>
      </c>
      <c r="F41" s="65" t="s">
        <v>302</v>
      </c>
      <c r="G41" s="52">
        <v>28</v>
      </c>
      <c r="H41" s="66" t="s">
        <v>145</v>
      </c>
      <c r="I41" s="55">
        <v>8574.7099999999991</v>
      </c>
      <c r="J41" s="55">
        <v>3427.2</v>
      </c>
      <c r="K41" s="55">
        <v>3200</v>
      </c>
      <c r="L41" s="55">
        <v>0</v>
      </c>
      <c r="M41" s="55">
        <v>1305</v>
      </c>
      <c r="N41" s="55">
        <f t="shared" si="8"/>
        <v>642.51</v>
      </c>
      <c r="O41" s="55">
        <f t="shared" si="0"/>
        <v>0</v>
      </c>
      <c r="P41" s="57">
        <f t="shared" si="1"/>
        <v>0</v>
      </c>
      <c r="Q41" s="55">
        <f t="shared" si="2"/>
        <v>0</v>
      </c>
      <c r="R41" s="58" t="s">
        <v>246</v>
      </c>
      <c r="S41" s="59">
        <v>0</v>
      </c>
      <c r="T41" s="64" t="s">
        <v>133</v>
      </c>
      <c r="U41" s="54" t="s">
        <v>200</v>
      </c>
      <c r="V41" s="62" t="s">
        <v>303</v>
      </c>
      <c r="W41" s="63" t="s">
        <v>145</v>
      </c>
      <c r="X41" s="62" t="s">
        <v>303</v>
      </c>
      <c r="Z41" t="str">
        <f t="shared" si="3"/>
        <v/>
      </c>
      <c r="AA41">
        <f t="shared" si="4"/>
        <v>8574.7099999999991</v>
      </c>
      <c r="AB41">
        <f t="shared" si="5"/>
        <v>7</v>
      </c>
      <c r="AC41">
        <f t="shared" si="6"/>
        <v>16</v>
      </c>
      <c r="AD41">
        <f t="shared" si="7"/>
        <v>0</v>
      </c>
    </row>
    <row r="42" spans="1:30" ht="30" customHeight="1">
      <c r="A42" s="52">
        <v>38</v>
      </c>
      <c r="B42" s="64" t="s">
        <v>304</v>
      </c>
      <c r="C42" s="63" t="s">
        <v>54</v>
      </c>
      <c r="D42" s="54" t="s">
        <v>198</v>
      </c>
      <c r="E42" s="62" t="s">
        <v>305</v>
      </c>
      <c r="F42" s="65" t="s">
        <v>306</v>
      </c>
      <c r="G42" s="52">
        <v>7</v>
      </c>
      <c r="H42" s="56" t="s">
        <v>222</v>
      </c>
      <c r="I42" s="55">
        <v>3686.2</v>
      </c>
      <c r="J42" s="55">
        <f>699.3+21.6+12.6+18.9+6.3+44.1</f>
        <v>802.8</v>
      </c>
      <c r="K42" s="55">
        <v>1200</v>
      </c>
      <c r="L42" s="55">
        <v>0</v>
      </c>
      <c r="M42" s="55">
        <f>1160+67.2</f>
        <v>1227.2</v>
      </c>
      <c r="N42" s="55">
        <f t="shared" si="8"/>
        <v>276.20999999999998</v>
      </c>
      <c r="O42" s="55">
        <f t="shared" si="0"/>
        <v>179.98999999999978</v>
      </c>
      <c r="P42" s="57">
        <f t="shared" si="1"/>
        <v>4.8828061418262653E-2</v>
      </c>
      <c r="Q42" s="55">
        <f t="shared" si="2"/>
        <v>1843.1</v>
      </c>
      <c r="R42" s="58" t="s">
        <v>132</v>
      </c>
      <c r="S42" s="59">
        <v>0.5</v>
      </c>
      <c r="T42" s="64" t="s">
        <v>133</v>
      </c>
      <c r="U42" s="54" t="s">
        <v>200</v>
      </c>
      <c r="V42" s="67"/>
      <c r="W42" s="63" t="s">
        <v>145</v>
      </c>
      <c r="X42" s="62" t="s">
        <v>303</v>
      </c>
      <c r="Z42" t="str">
        <f t="shared" si="3"/>
        <v/>
      </c>
      <c r="AA42">
        <f t="shared" si="4"/>
        <v>3686.2</v>
      </c>
      <c r="AB42">
        <f t="shared" si="5"/>
        <v>7</v>
      </c>
      <c r="AC42">
        <f t="shared" si="6"/>
        <v>17</v>
      </c>
      <c r="AD42">
        <f t="shared" si="7"/>
        <v>0</v>
      </c>
    </row>
    <row r="43" spans="1:30" ht="30" customHeight="1">
      <c r="A43" s="52">
        <v>39</v>
      </c>
      <c r="B43" s="53" t="s">
        <v>307</v>
      </c>
      <c r="C43" s="52" t="s">
        <v>54</v>
      </c>
      <c r="D43" s="53" t="s">
        <v>198</v>
      </c>
      <c r="E43" s="53" t="s">
        <v>308</v>
      </c>
      <c r="F43" s="55" t="s">
        <v>309</v>
      </c>
      <c r="G43" s="52">
        <v>7</v>
      </c>
      <c r="H43" s="56" t="s">
        <v>184</v>
      </c>
      <c r="I43" s="55">
        <v>11559.36</v>
      </c>
      <c r="J43" s="55">
        <f>2217.6+1276.8+179.2</f>
        <v>3673.5999999999995</v>
      </c>
      <c r="K43" s="55">
        <v>2400</v>
      </c>
      <c r="L43" s="55">
        <v>0</v>
      </c>
      <c r="M43" s="55">
        <f>1450+969.6</f>
        <v>2419.6</v>
      </c>
      <c r="N43" s="55">
        <f t="shared" si="8"/>
        <v>866.15</v>
      </c>
      <c r="O43" s="55">
        <f t="shared" si="0"/>
        <v>2200.010000000002</v>
      </c>
      <c r="P43" s="57">
        <f t="shared" si="1"/>
        <v>0.19032282064058925</v>
      </c>
      <c r="Q43" s="55">
        <f t="shared" si="2"/>
        <v>5779.68</v>
      </c>
      <c r="R43" s="58" t="s">
        <v>132</v>
      </c>
      <c r="S43" s="59">
        <v>0.5</v>
      </c>
      <c r="T43" s="53" t="s">
        <v>133</v>
      </c>
      <c r="U43" s="54" t="s">
        <v>200</v>
      </c>
      <c r="V43" s="64" t="s">
        <v>310</v>
      </c>
      <c r="W43" s="52" t="s">
        <v>145</v>
      </c>
      <c r="X43" s="62" t="s">
        <v>303</v>
      </c>
      <c r="Z43" t="str">
        <f t="shared" si="3"/>
        <v/>
      </c>
      <c r="AA43">
        <f t="shared" si="4"/>
        <v>11559.36</v>
      </c>
      <c r="AB43">
        <f t="shared" si="5"/>
        <v>7</v>
      </c>
      <c r="AC43">
        <f t="shared" si="6"/>
        <v>18</v>
      </c>
      <c r="AD43">
        <f t="shared" si="7"/>
        <v>0</v>
      </c>
    </row>
    <row r="44" spans="1:30" ht="30" customHeight="1">
      <c r="A44" s="52">
        <v>41</v>
      </c>
      <c r="B44" s="53" t="s">
        <v>311</v>
      </c>
      <c r="C44" s="52" t="s">
        <v>70</v>
      </c>
      <c r="D44" s="53" t="s">
        <v>219</v>
      </c>
      <c r="E44" s="53" t="s">
        <v>312</v>
      </c>
      <c r="F44" s="55" t="s">
        <v>298</v>
      </c>
      <c r="G44" s="52">
        <v>7</v>
      </c>
      <c r="H44" s="56" t="s">
        <v>230</v>
      </c>
      <c r="I44" s="55">
        <v>3760.04</v>
      </c>
      <c r="J44" s="55">
        <f>666.4+73.5+78.4+14.7+78.4+4.9</f>
        <v>916.3</v>
      </c>
      <c r="K44" s="55">
        <v>1500</v>
      </c>
      <c r="L44" s="55">
        <v>0</v>
      </c>
      <c r="M44" s="55">
        <f>192+870</f>
        <v>1062</v>
      </c>
      <c r="N44" s="55">
        <f t="shared" si="8"/>
        <v>281.74</v>
      </c>
      <c r="O44" s="55">
        <f t="shared" si="0"/>
        <v>0</v>
      </c>
      <c r="P44" s="57">
        <f t="shared" si="1"/>
        <v>0</v>
      </c>
      <c r="Q44" s="55">
        <f t="shared" si="2"/>
        <v>1880.02</v>
      </c>
      <c r="R44" s="58" t="s">
        <v>132</v>
      </c>
      <c r="S44" s="59">
        <v>0.5</v>
      </c>
      <c r="T44" s="53" t="s">
        <v>231</v>
      </c>
      <c r="U44" s="54" t="s">
        <v>200</v>
      </c>
      <c r="V44" s="64" t="s">
        <v>303</v>
      </c>
      <c r="W44" s="52" t="s">
        <v>313</v>
      </c>
      <c r="X44" s="64" t="s">
        <v>303</v>
      </c>
      <c r="Z44" t="str">
        <f t="shared" si="3"/>
        <v/>
      </c>
      <c r="AA44">
        <f t="shared" si="4"/>
        <v>3760.04</v>
      </c>
      <c r="AB44">
        <f t="shared" si="5"/>
        <v>7</v>
      </c>
      <c r="AC44">
        <f t="shared" si="6"/>
        <v>19</v>
      </c>
      <c r="AD44">
        <f t="shared" si="7"/>
        <v>0</v>
      </c>
    </row>
    <row r="45" spans="1:30" ht="30" customHeight="1">
      <c r="A45" s="52">
        <v>35</v>
      </c>
      <c r="B45" s="53" t="s">
        <v>314</v>
      </c>
      <c r="C45" s="52" t="s">
        <v>46</v>
      </c>
      <c r="D45" s="54" t="s">
        <v>250</v>
      </c>
      <c r="E45" s="54" t="s">
        <v>315</v>
      </c>
      <c r="F45" s="55" t="s">
        <v>316</v>
      </c>
      <c r="G45" s="52">
        <v>6</v>
      </c>
      <c r="H45" s="61" t="s">
        <v>145</v>
      </c>
      <c r="I45" s="55">
        <v>7205</v>
      </c>
      <c r="J45" s="55">
        <f>1132.8+57.6+90</f>
        <v>1280.3999999999999</v>
      </c>
      <c r="K45" s="55">
        <v>3500</v>
      </c>
      <c r="L45" s="55">
        <v>0</v>
      </c>
      <c r="M45" s="55">
        <v>1885</v>
      </c>
      <c r="N45" s="55">
        <f t="shared" si="8"/>
        <v>539.88</v>
      </c>
      <c r="O45" s="55">
        <f t="shared" si="0"/>
        <v>-0.27999999999974534</v>
      </c>
      <c r="P45" s="57">
        <f t="shared" si="1"/>
        <v>-3.886190145728596E-5</v>
      </c>
      <c r="Q45" s="55">
        <f t="shared" si="2"/>
        <v>0</v>
      </c>
      <c r="R45" s="58" t="s">
        <v>246</v>
      </c>
      <c r="S45" s="59">
        <v>0</v>
      </c>
      <c r="T45" s="53" t="s">
        <v>133</v>
      </c>
      <c r="U45" s="54" t="s">
        <v>200</v>
      </c>
      <c r="V45" s="54" t="s">
        <v>317</v>
      </c>
      <c r="W45" s="52" t="s">
        <v>145</v>
      </c>
      <c r="X45" s="54" t="s">
        <v>317</v>
      </c>
      <c r="Z45" t="str">
        <f t="shared" si="3"/>
        <v/>
      </c>
      <c r="AA45">
        <f t="shared" si="4"/>
        <v>7205</v>
      </c>
      <c r="AB45">
        <f t="shared" si="5"/>
        <v>7</v>
      </c>
      <c r="AC45">
        <f t="shared" si="6"/>
        <v>19</v>
      </c>
      <c r="AD45">
        <f t="shared" si="7"/>
        <v>0</v>
      </c>
    </row>
    <row r="46" spans="1:30" ht="24">
      <c r="A46" s="52">
        <v>9</v>
      </c>
      <c r="B46" s="53" t="s">
        <v>318</v>
      </c>
      <c r="C46" s="52" t="s">
        <v>70</v>
      </c>
      <c r="D46" s="54" t="s">
        <v>319</v>
      </c>
      <c r="E46" s="54" t="s">
        <v>320</v>
      </c>
      <c r="F46" s="55">
        <v>600</v>
      </c>
      <c r="G46" s="52" t="s">
        <v>321</v>
      </c>
      <c r="H46" s="56" t="s">
        <v>131</v>
      </c>
      <c r="I46" s="55">
        <v>500000</v>
      </c>
      <c r="J46" s="55">
        <v>300000</v>
      </c>
      <c r="K46" s="55">
        <v>5000</v>
      </c>
      <c r="L46" s="55">
        <v>25000</v>
      </c>
      <c r="M46" s="55">
        <v>30000</v>
      </c>
      <c r="N46" s="55">
        <v>10000</v>
      </c>
      <c r="O46" s="55">
        <f t="shared" si="0"/>
        <v>130000</v>
      </c>
      <c r="P46" s="57">
        <f t="shared" si="1"/>
        <v>0.26</v>
      </c>
      <c r="Q46" s="55">
        <f t="shared" si="2"/>
        <v>250000</v>
      </c>
      <c r="R46" s="58" t="s">
        <v>151</v>
      </c>
      <c r="S46" s="59">
        <v>0.5</v>
      </c>
      <c r="T46" s="53" t="s">
        <v>231</v>
      </c>
      <c r="U46" s="54" t="s">
        <v>322</v>
      </c>
      <c r="V46" s="54" t="s">
        <v>323</v>
      </c>
      <c r="W46" s="52" t="s">
        <v>254</v>
      </c>
      <c r="X46" s="54" t="s">
        <v>324</v>
      </c>
      <c r="Z46" t="str">
        <f t="shared" si="3"/>
        <v/>
      </c>
      <c r="AA46">
        <f t="shared" si="4"/>
        <v>500000</v>
      </c>
      <c r="AB46">
        <f t="shared" si="5"/>
        <v>7</v>
      </c>
      <c r="AC46">
        <f t="shared" si="6"/>
        <v>20</v>
      </c>
      <c r="AD46">
        <f t="shared" si="7"/>
        <v>0</v>
      </c>
    </row>
    <row r="47" spans="1:30" ht="30" customHeight="1">
      <c r="A47" s="52">
        <v>37</v>
      </c>
      <c r="B47" s="64" t="s">
        <v>325</v>
      </c>
      <c r="C47" s="63" t="s">
        <v>70</v>
      </c>
      <c r="D47" s="54" t="s">
        <v>210</v>
      </c>
      <c r="E47" s="62" t="s">
        <v>263</v>
      </c>
      <c r="F47" s="65" t="s">
        <v>326</v>
      </c>
      <c r="G47" s="52">
        <v>4</v>
      </c>
      <c r="H47" s="61" t="s">
        <v>184</v>
      </c>
      <c r="I47" s="55">
        <v>6365.35</v>
      </c>
      <c r="J47" s="55">
        <f>320.4+10.8+25.2+115.2</f>
        <v>471.59999999999997</v>
      </c>
      <c r="K47" s="55">
        <v>2400</v>
      </c>
      <c r="L47" s="55">
        <v>0</v>
      </c>
      <c r="M47" s="55">
        <f>1740+1276.8</f>
        <v>3016.8</v>
      </c>
      <c r="N47" s="55">
        <f>IF(ISNUMBER(I47),ROUND(I47-I47/1.081,2),"")</f>
        <v>476.96</v>
      </c>
      <c r="O47" s="55">
        <f t="shared" si="0"/>
        <v>-9.999999999308784E-3</v>
      </c>
      <c r="P47" s="57">
        <f t="shared" si="1"/>
        <v>-1.5710055219758195E-6</v>
      </c>
      <c r="Q47" s="55">
        <f t="shared" si="2"/>
        <v>0</v>
      </c>
      <c r="R47" s="58" t="s">
        <v>246</v>
      </c>
      <c r="S47" s="59">
        <v>0</v>
      </c>
      <c r="T47" s="64" t="s">
        <v>133</v>
      </c>
      <c r="U47" s="54" t="s">
        <v>200</v>
      </c>
      <c r="V47" s="54" t="s">
        <v>317</v>
      </c>
      <c r="W47" s="63" t="s">
        <v>145</v>
      </c>
      <c r="X47" s="54" t="s">
        <v>317</v>
      </c>
      <c r="Z47" t="str">
        <f t="shared" si="3"/>
        <v/>
      </c>
      <c r="AA47">
        <f t="shared" si="4"/>
        <v>6365.35</v>
      </c>
      <c r="AB47">
        <f t="shared" si="5"/>
        <v>7</v>
      </c>
      <c r="AC47">
        <f t="shared" si="6"/>
        <v>20</v>
      </c>
      <c r="AD47">
        <f t="shared" si="7"/>
        <v>0</v>
      </c>
    </row>
    <row r="48" spans="1:30" ht="30" customHeight="1">
      <c r="A48" s="52">
        <v>30</v>
      </c>
      <c r="B48" s="53" t="s">
        <v>327</v>
      </c>
      <c r="C48" s="52" t="s">
        <v>46</v>
      </c>
      <c r="D48" s="54" t="s">
        <v>198</v>
      </c>
      <c r="E48" s="54" t="s">
        <v>141</v>
      </c>
      <c r="F48" s="60" t="s">
        <v>141</v>
      </c>
      <c r="G48" s="52" t="s">
        <v>141</v>
      </c>
      <c r="H48" s="52" t="s">
        <v>141</v>
      </c>
      <c r="I48" s="55" t="s">
        <v>141</v>
      </c>
      <c r="J48" s="55" t="s">
        <v>141</v>
      </c>
      <c r="K48" s="55" t="s">
        <v>141</v>
      </c>
      <c r="L48" s="55">
        <v>0</v>
      </c>
      <c r="M48" s="55" t="s">
        <v>141</v>
      </c>
      <c r="N48" s="55" t="str">
        <f>IF(ISNUMBER(I48),ROUND(I48-I48/1.081,2),"")</f>
        <v/>
      </c>
      <c r="O48" s="55" t="str">
        <f t="shared" si="0"/>
        <v/>
      </c>
      <c r="P48" s="57" t="str">
        <f t="shared" si="1"/>
        <v/>
      </c>
      <c r="Q48" s="55" t="str">
        <f t="shared" si="2"/>
        <v>tbd</v>
      </c>
      <c r="R48" s="58" t="s">
        <v>142</v>
      </c>
      <c r="S48" s="59">
        <v>0</v>
      </c>
      <c r="T48" s="53" t="s">
        <v>152</v>
      </c>
      <c r="U48" s="54" t="s">
        <v>200</v>
      </c>
      <c r="V48" s="68" t="s">
        <v>328</v>
      </c>
      <c r="W48" s="52" t="s">
        <v>145</v>
      </c>
      <c r="X48" s="54" t="s">
        <v>328</v>
      </c>
      <c r="Z48" t="str">
        <f t="shared" si="3"/>
        <v/>
      </c>
      <c r="AA48">
        <f t="shared" si="4"/>
        <v>0</v>
      </c>
      <c r="AB48">
        <f t="shared" si="5"/>
        <v>7</v>
      </c>
      <c r="AC48">
        <f t="shared" si="6"/>
        <v>20</v>
      </c>
      <c r="AD48">
        <f t="shared" si="7"/>
        <v>0</v>
      </c>
    </row>
    <row r="49" spans="1:30" ht="24" customHeight="1">
      <c r="A49" s="52">
        <v>31</v>
      </c>
      <c r="B49" s="53" t="s">
        <v>67</v>
      </c>
      <c r="C49" s="52" t="s">
        <v>67</v>
      </c>
      <c r="D49" s="54" t="s">
        <v>198</v>
      </c>
      <c r="E49" s="54" t="s">
        <v>141</v>
      </c>
      <c r="F49" s="60" t="s">
        <v>141</v>
      </c>
      <c r="G49" s="52" t="s">
        <v>141</v>
      </c>
      <c r="H49" s="56" t="s">
        <v>141</v>
      </c>
      <c r="I49" s="55" t="s">
        <v>141</v>
      </c>
      <c r="J49" s="55" t="s">
        <v>141</v>
      </c>
      <c r="K49" s="55" t="s">
        <v>141</v>
      </c>
      <c r="L49" s="55">
        <v>0</v>
      </c>
      <c r="M49" s="55" t="s">
        <v>141</v>
      </c>
      <c r="N49" s="55" t="str">
        <f>IF(ISNUMBER(I49),ROUND(I49-I49/1.081,2),"")</f>
        <v/>
      </c>
      <c r="O49" s="55" t="str">
        <f t="shared" si="0"/>
        <v/>
      </c>
      <c r="P49" s="57" t="str">
        <f t="shared" si="1"/>
        <v/>
      </c>
      <c r="Q49" s="55" t="str">
        <f t="shared" si="2"/>
        <v>tbd</v>
      </c>
      <c r="R49" s="58" t="s">
        <v>142</v>
      </c>
      <c r="S49" s="59">
        <v>0</v>
      </c>
      <c r="T49" s="53" t="s">
        <v>152</v>
      </c>
      <c r="U49" s="54" t="s">
        <v>200</v>
      </c>
      <c r="V49" s="54" t="s">
        <v>328</v>
      </c>
      <c r="W49" s="52" t="s">
        <v>145</v>
      </c>
      <c r="X49" s="54" t="s">
        <v>328</v>
      </c>
      <c r="Z49" t="str">
        <f t="shared" si="3"/>
        <v/>
      </c>
      <c r="AA49">
        <f t="shared" si="4"/>
        <v>0</v>
      </c>
      <c r="AB49">
        <f t="shared" si="5"/>
        <v>7</v>
      </c>
      <c r="AC49">
        <f t="shared" si="6"/>
        <v>20</v>
      </c>
      <c r="AD49">
        <f t="shared" si="7"/>
        <v>0</v>
      </c>
    </row>
    <row r="50" spans="1:30" ht="24" customHeight="1">
      <c r="A50" s="52">
        <v>40</v>
      </c>
      <c r="B50" s="53" t="s">
        <v>329</v>
      </c>
      <c r="C50" s="52" t="s">
        <v>60</v>
      </c>
      <c r="D50" s="54" t="s">
        <v>210</v>
      </c>
      <c r="E50" s="53" t="s">
        <v>330</v>
      </c>
      <c r="F50" s="55" t="s">
        <v>330</v>
      </c>
      <c r="G50" s="52">
        <v>4</v>
      </c>
      <c r="H50" s="61" t="s">
        <v>131</v>
      </c>
      <c r="I50" s="55">
        <v>4533.93</v>
      </c>
      <c r="J50" s="55">
        <f>649.8</f>
        <v>649.79999999999995</v>
      </c>
      <c r="K50" s="55">
        <v>1650</v>
      </c>
      <c r="L50" s="55">
        <v>0</v>
      </c>
      <c r="M50" s="55">
        <f>1160+734.4</f>
        <v>1894.4</v>
      </c>
      <c r="N50" s="55">
        <f>IF(ISNUMBER(I50),ROUND(I50-I50/1.081,2),"")</f>
        <v>339.73</v>
      </c>
      <c r="O50" s="55">
        <f t="shared" si="0"/>
        <v>0</v>
      </c>
      <c r="P50" s="57">
        <f t="shared" si="1"/>
        <v>0</v>
      </c>
      <c r="Q50" s="55">
        <f t="shared" si="2"/>
        <v>0</v>
      </c>
      <c r="R50" s="58" t="s">
        <v>246</v>
      </c>
      <c r="S50" s="59">
        <v>0</v>
      </c>
      <c r="T50" s="53" t="s">
        <v>331</v>
      </c>
      <c r="U50" s="54" t="s">
        <v>200</v>
      </c>
      <c r="V50" s="64" t="s">
        <v>317</v>
      </c>
      <c r="W50" s="52" t="s">
        <v>131</v>
      </c>
      <c r="X50" s="64" t="s">
        <v>317</v>
      </c>
      <c r="Z50" t="str">
        <f t="shared" si="3"/>
        <v/>
      </c>
      <c r="AA50">
        <f t="shared" si="4"/>
        <v>4533.93</v>
      </c>
      <c r="AB50">
        <f t="shared" si="5"/>
        <v>7</v>
      </c>
      <c r="AC50">
        <f t="shared" si="6"/>
        <v>20</v>
      </c>
      <c r="AD50">
        <f t="shared" si="7"/>
        <v>0</v>
      </c>
    </row>
    <row r="51" spans="1:30" ht="24" customHeight="1">
      <c r="A51" s="52">
        <v>32</v>
      </c>
      <c r="B51" s="53" t="s">
        <v>332</v>
      </c>
      <c r="C51" s="52" t="s">
        <v>67</v>
      </c>
      <c r="D51" s="54" t="s">
        <v>198</v>
      </c>
      <c r="E51" s="54" t="s">
        <v>141</v>
      </c>
      <c r="F51" s="60" t="s">
        <v>141</v>
      </c>
      <c r="G51" s="52" t="s">
        <v>141</v>
      </c>
      <c r="H51" s="56" t="s">
        <v>141</v>
      </c>
      <c r="I51" s="55" t="s">
        <v>141</v>
      </c>
      <c r="J51" s="55" t="s">
        <v>141</v>
      </c>
      <c r="K51" s="55" t="s">
        <v>141</v>
      </c>
      <c r="L51" s="55">
        <v>0</v>
      </c>
      <c r="M51" s="55" t="s">
        <v>141</v>
      </c>
      <c r="N51" s="55" t="str">
        <f>IF(ISNUMBER(I51),ROUND(I51-I51/1.081,2),"")</f>
        <v/>
      </c>
      <c r="O51" s="55" t="str">
        <f t="shared" si="0"/>
        <v/>
      </c>
      <c r="P51" s="57" t="str">
        <f t="shared" si="1"/>
        <v/>
      </c>
      <c r="Q51" s="55" t="str">
        <f t="shared" si="2"/>
        <v>tbd</v>
      </c>
      <c r="R51" s="58" t="s">
        <v>141</v>
      </c>
      <c r="S51" s="59">
        <v>0</v>
      </c>
      <c r="T51" s="53" t="s">
        <v>152</v>
      </c>
      <c r="U51" s="54" t="s">
        <v>200</v>
      </c>
      <c r="V51" s="54" t="s">
        <v>328</v>
      </c>
      <c r="W51" s="52" t="s">
        <v>145</v>
      </c>
      <c r="X51" s="54" t="s">
        <v>328</v>
      </c>
      <c r="Z51" t="str">
        <f t="shared" si="3"/>
        <v/>
      </c>
      <c r="AA51">
        <f t="shared" si="4"/>
        <v>0</v>
      </c>
      <c r="AB51">
        <f t="shared" si="5"/>
        <v>7</v>
      </c>
      <c r="AC51">
        <f t="shared" si="6"/>
        <v>20</v>
      </c>
      <c r="AD51">
        <f t="shared" si="7"/>
        <v>1</v>
      </c>
    </row>
    <row r="52" spans="1:30" ht="24" customHeight="1">
      <c r="A52" s="52">
        <v>42</v>
      </c>
      <c r="B52" s="53" t="s">
        <v>333</v>
      </c>
      <c r="C52" s="52" t="s">
        <v>70</v>
      </c>
      <c r="D52" s="53" t="s">
        <v>198</v>
      </c>
      <c r="E52" s="53" t="s">
        <v>334</v>
      </c>
      <c r="F52" s="55" t="s">
        <v>334</v>
      </c>
      <c r="G52" s="52">
        <v>4</v>
      </c>
      <c r="H52" s="56" t="s">
        <v>230</v>
      </c>
      <c r="I52" s="55">
        <v>6772.8</v>
      </c>
      <c r="J52" s="55">
        <v>3834</v>
      </c>
      <c r="K52" s="55">
        <v>1800</v>
      </c>
      <c r="L52" s="55">
        <v>0</v>
      </c>
      <c r="M52" s="55">
        <v>1138.8</v>
      </c>
      <c r="N52" s="55">
        <v>0</v>
      </c>
      <c r="O52" s="55">
        <f t="shared" si="0"/>
        <v>0</v>
      </c>
      <c r="P52" s="57">
        <f t="shared" si="1"/>
        <v>0</v>
      </c>
      <c r="Q52" s="55">
        <f t="shared" si="2"/>
        <v>3386.4</v>
      </c>
      <c r="R52" s="58" t="s">
        <v>151</v>
      </c>
      <c r="S52" s="59">
        <v>0.5</v>
      </c>
      <c r="T52" s="53" t="s">
        <v>152</v>
      </c>
      <c r="U52" s="54" t="s">
        <v>200</v>
      </c>
      <c r="V52" s="54" t="s">
        <v>335</v>
      </c>
      <c r="W52" s="52" t="s">
        <v>136</v>
      </c>
      <c r="X52" s="54" t="s">
        <v>265</v>
      </c>
      <c r="Z52" t="str">
        <f t="shared" si="3"/>
        <v/>
      </c>
      <c r="AA52">
        <f t="shared" si="4"/>
        <v>6772.8</v>
      </c>
      <c r="AB52">
        <f t="shared" si="5"/>
        <v>7</v>
      </c>
      <c r="AC52">
        <f t="shared" si="6"/>
        <v>21</v>
      </c>
      <c r="AD52">
        <f t="shared" si="7"/>
        <v>1</v>
      </c>
    </row>
    <row r="53" spans="1:30" ht="24" customHeight="1">
      <c r="A53" s="52">
        <v>43</v>
      </c>
      <c r="B53" s="53" t="s">
        <v>336</v>
      </c>
      <c r="C53" s="52" t="s">
        <v>70</v>
      </c>
      <c r="D53" s="53" t="s">
        <v>198</v>
      </c>
      <c r="E53" s="53" t="s">
        <v>309</v>
      </c>
      <c r="F53" s="55" t="s">
        <v>309</v>
      </c>
      <c r="G53" s="52">
        <v>480</v>
      </c>
      <c r="H53" s="56" t="s">
        <v>337</v>
      </c>
      <c r="I53" s="55">
        <v>224236.15</v>
      </c>
      <c r="J53" s="55">
        <v>204672</v>
      </c>
      <c r="K53" s="55">
        <v>1700</v>
      </c>
      <c r="L53" s="55">
        <v>0</v>
      </c>
      <c r="M53" s="55">
        <f>870+192</f>
        <v>1062</v>
      </c>
      <c r="N53" s="55">
        <f t="shared" ref="N53:N116" si="9">IF(ISNUMBER(I53),ROUND(I53-I53/1.081,2),"")</f>
        <v>16802.150000000001</v>
      </c>
      <c r="O53" s="55">
        <f t="shared" si="0"/>
        <v>0</v>
      </c>
      <c r="P53" s="57">
        <f t="shared" si="1"/>
        <v>0</v>
      </c>
      <c r="Q53" s="55">
        <f t="shared" si="2"/>
        <v>112118.075</v>
      </c>
      <c r="R53" s="58" t="s">
        <v>132</v>
      </c>
      <c r="S53" s="59">
        <v>0.5</v>
      </c>
      <c r="T53" s="53" t="s">
        <v>231</v>
      </c>
      <c r="U53" s="54" t="s">
        <v>200</v>
      </c>
      <c r="V53" s="54" t="s">
        <v>338</v>
      </c>
      <c r="W53" s="52" t="s">
        <v>339</v>
      </c>
      <c r="X53" s="54" t="s">
        <v>265</v>
      </c>
      <c r="Z53" t="str">
        <f t="shared" si="3"/>
        <v/>
      </c>
      <c r="AA53">
        <f t="shared" si="4"/>
        <v>224236.15</v>
      </c>
      <c r="AB53">
        <f t="shared" si="5"/>
        <v>7</v>
      </c>
      <c r="AC53">
        <f t="shared" si="6"/>
        <v>22</v>
      </c>
      <c r="AD53">
        <f t="shared" si="7"/>
        <v>1</v>
      </c>
    </row>
    <row r="54" spans="1:30" ht="24" customHeight="1">
      <c r="A54" s="52">
        <v>44</v>
      </c>
      <c r="B54" s="53" t="s">
        <v>336</v>
      </c>
      <c r="C54" s="52" t="s">
        <v>70</v>
      </c>
      <c r="D54" s="53" t="s">
        <v>198</v>
      </c>
      <c r="E54" s="53" t="s">
        <v>199</v>
      </c>
      <c r="F54" s="55" t="s">
        <v>199</v>
      </c>
      <c r="G54" s="52">
        <v>66</v>
      </c>
      <c r="H54" s="56" t="s">
        <v>184</v>
      </c>
      <c r="I54" s="55">
        <v>31077.89</v>
      </c>
      <c r="J54" s="55">
        <v>26030.400000000001</v>
      </c>
      <c r="K54" s="55">
        <v>1700</v>
      </c>
      <c r="L54" s="55">
        <v>0</v>
      </c>
      <c r="M54" s="55">
        <v>1018.8</v>
      </c>
      <c r="N54" s="55">
        <f t="shared" si="9"/>
        <v>2328.69</v>
      </c>
      <c r="O54" s="55">
        <f t="shared" si="0"/>
        <v>0</v>
      </c>
      <c r="P54" s="57">
        <f t="shared" si="1"/>
        <v>0</v>
      </c>
      <c r="Q54" s="55">
        <f t="shared" si="2"/>
        <v>15538.945</v>
      </c>
      <c r="R54" s="58" t="s">
        <v>132</v>
      </c>
      <c r="S54" s="59">
        <v>0.5</v>
      </c>
      <c r="T54" s="53" t="s">
        <v>231</v>
      </c>
      <c r="U54" s="54" t="s">
        <v>200</v>
      </c>
      <c r="V54" s="54" t="s">
        <v>338</v>
      </c>
      <c r="W54" s="52" t="s">
        <v>339</v>
      </c>
      <c r="X54" s="54" t="s">
        <v>265</v>
      </c>
      <c r="Z54" t="str">
        <f t="shared" si="3"/>
        <v/>
      </c>
      <c r="AA54">
        <f t="shared" si="4"/>
        <v>31077.89</v>
      </c>
      <c r="AB54">
        <f t="shared" si="5"/>
        <v>7</v>
      </c>
      <c r="AC54">
        <f t="shared" si="6"/>
        <v>23</v>
      </c>
      <c r="AD54">
        <f t="shared" si="7"/>
        <v>1</v>
      </c>
    </row>
    <row r="55" spans="1:30" ht="24" customHeight="1">
      <c r="A55" s="52">
        <v>45</v>
      </c>
      <c r="B55" s="53" t="s">
        <v>340</v>
      </c>
      <c r="C55" s="52" t="s">
        <v>48</v>
      </c>
      <c r="D55" s="53" t="s">
        <v>210</v>
      </c>
      <c r="E55" s="53" t="s">
        <v>199</v>
      </c>
      <c r="F55" s="55" t="s">
        <v>199</v>
      </c>
      <c r="G55" s="52">
        <v>14</v>
      </c>
      <c r="H55" s="56" t="s">
        <v>184</v>
      </c>
      <c r="I55" s="55">
        <v>13866.21</v>
      </c>
      <c r="J55" s="55">
        <f>3515.4+2835+336+1512+420</f>
        <v>8618.4</v>
      </c>
      <c r="K55" s="55">
        <v>2400</v>
      </c>
      <c r="L55" s="55">
        <v>0</v>
      </c>
      <c r="M55" s="55">
        <f>1228.8+580</f>
        <v>1808.8</v>
      </c>
      <c r="N55" s="55">
        <f t="shared" si="9"/>
        <v>1039</v>
      </c>
      <c r="O55" s="55">
        <f t="shared" si="0"/>
        <v>1.0000000000218279E-2</v>
      </c>
      <c r="P55" s="57">
        <f t="shared" si="1"/>
        <v>7.2117759648947188E-7</v>
      </c>
      <c r="Q55" s="55">
        <f t="shared" si="2"/>
        <v>6933.1049999999996</v>
      </c>
      <c r="R55" s="58" t="s">
        <v>132</v>
      </c>
      <c r="S55" s="59">
        <v>0.5</v>
      </c>
      <c r="T55" s="53" t="s">
        <v>231</v>
      </c>
      <c r="U55" s="54" t="s">
        <v>200</v>
      </c>
      <c r="V55" s="54" t="s">
        <v>338</v>
      </c>
      <c r="W55" s="52" t="s">
        <v>184</v>
      </c>
      <c r="X55" s="54" t="s">
        <v>265</v>
      </c>
      <c r="Z55" t="str">
        <f t="shared" si="3"/>
        <v/>
      </c>
      <c r="AA55">
        <f t="shared" si="4"/>
        <v>13866.21</v>
      </c>
      <c r="AB55">
        <f t="shared" si="5"/>
        <v>7</v>
      </c>
      <c r="AC55">
        <f t="shared" si="6"/>
        <v>24</v>
      </c>
      <c r="AD55">
        <f t="shared" si="7"/>
        <v>1</v>
      </c>
    </row>
    <row r="56" spans="1:30" ht="24" customHeight="1">
      <c r="A56" s="52">
        <v>46</v>
      </c>
      <c r="B56" s="53" t="s">
        <v>341</v>
      </c>
      <c r="C56" s="52" t="s">
        <v>62</v>
      </c>
      <c r="D56" s="53" t="s">
        <v>342</v>
      </c>
      <c r="E56" s="53" t="s">
        <v>298</v>
      </c>
      <c r="F56" s="55" t="s">
        <v>298</v>
      </c>
      <c r="G56" s="52">
        <v>7</v>
      </c>
      <c r="H56" s="56" t="s">
        <v>230</v>
      </c>
      <c r="I56" s="55">
        <v>750.65</v>
      </c>
      <c r="J56" s="55">
        <v>695.5</v>
      </c>
      <c r="K56" s="55">
        <v>0</v>
      </c>
      <c r="L56" s="55">
        <v>0</v>
      </c>
      <c r="M56" s="55">
        <v>0</v>
      </c>
      <c r="N56" s="55">
        <f t="shared" si="9"/>
        <v>56.25</v>
      </c>
      <c r="O56" s="55">
        <f t="shared" si="0"/>
        <v>-1.1000000000000227</v>
      </c>
      <c r="P56" s="57">
        <f t="shared" si="1"/>
        <v>-1.4653966562312966E-3</v>
      </c>
      <c r="Q56" s="55">
        <f t="shared" si="2"/>
        <v>0</v>
      </c>
      <c r="R56" s="58" t="s">
        <v>142</v>
      </c>
      <c r="S56" s="59">
        <v>0</v>
      </c>
      <c r="T56" s="53" t="s">
        <v>133</v>
      </c>
      <c r="U56" s="54" t="s">
        <v>200</v>
      </c>
      <c r="V56" s="54" t="s">
        <v>343</v>
      </c>
      <c r="W56" s="52" t="s">
        <v>184</v>
      </c>
      <c r="X56" s="54" t="s">
        <v>344</v>
      </c>
      <c r="Z56" t="str">
        <f t="shared" si="3"/>
        <v/>
      </c>
      <c r="AA56">
        <f t="shared" si="4"/>
        <v>750.65</v>
      </c>
      <c r="AB56">
        <f t="shared" si="5"/>
        <v>7</v>
      </c>
      <c r="AC56">
        <f t="shared" si="6"/>
        <v>24</v>
      </c>
      <c r="AD56">
        <f t="shared" si="7"/>
        <v>1</v>
      </c>
    </row>
    <row r="57" spans="1:30" ht="24" customHeight="1">
      <c r="A57" s="52">
        <v>47</v>
      </c>
      <c r="B57" s="53" t="s">
        <v>345</v>
      </c>
      <c r="C57" s="52" t="s">
        <v>64</v>
      </c>
      <c r="D57" s="53" t="s">
        <v>346</v>
      </c>
      <c r="E57" s="53" t="s">
        <v>347</v>
      </c>
      <c r="F57" s="55" t="s">
        <v>326</v>
      </c>
      <c r="G57" s="52">
        <v>3</v>
      </c>
      <c r="H57" s="56" t="s">
        <v>184</v>
      </c>
      <c r="I57" s="55">
        <v>5328.36</v>
      </c>
      <c r="J57" s="55">
        <v>789.9</v>
      </c>
      <c r="K57" s="55">
        <v>2000</v>
      </c>
      <c r="L57" s="55">
        <v>0</v>
      </c>
      <c r="M57" s="55">
        <f>1160+979.2</f>
        <v>2139.1999999999998</v>
      </c>
      <c r="N57" s="55">
        <f t="shared" si="9"/>
        <v>399.26</v>
      </c>
      <c r="O57" s="55">
        <f t="shared" si="0"/>
        <v>-9.0949470177292824E-13</v>
      </c>
      <c r="P57" s="57">
        <f t="shared" si="1"/>
        <v>-1.7068942447074301E-16</v>
      </c>
      <c r="Q57" s="55">
        <f t="shared" si="2"/>
        <v>0</v>
      </c>
      <c r="R57" s="58" t="s">
        <v>142</v>
      </c>
      <c r="S57" s="59">
        <v>0</v>
      </c>
      <c r="T57" s="53" t="s">
        <v>133</v>
      </c>
      <c r="U57" s="54" t="s">
        <v>200</v>
      </c>
      <c r="V57" s="54" t="s">
        <v>348</v>
      </c>
      <c r="W57" s="52" t="s">
        <v>184</v>
      </c>
      <c r="X57" s="54" t="s">
        <v>344</v>
      </c>
      <c r="Z57" t="str">
        <f t="shared" si="3"/>
        <v/>
      </c>
      <c r="AA57">
        <f t="shared" si="4"/>
        <v>5328.36</v>
      </c>
      <c r="AB57">
        <f t="shared" si="5"/>
        <v>7</v>
      </c>
      <c r="AC57">
        <f t="shared" si="6"/>
        <v>24</v>
      </c>
      <c r="AD57">
        <f t="shared" si="7"/>
        <v>1</v>
      </c>
    </row>
    <row r="58" spans="1:30" ht="24" customHeight="1">
      <c r="A58" s="52">
        <v>48</v>
      </c>
      <c r="B58" s="53" t="s">
        <v>349</v>
      </c>
      <c r="C58" s="52" t="s">
        <v>68</v>
      </c>
      <c r="D58" s="53" t="s">
        <v>350</v>
      </c>
      <c r="E58" s="53" t="s">
        <v>351</v>
      </c>
      <c r="F58" s="55" t="s">
        <v>352</v>
      </c>
      <c r="G58" s="52">
        <v>180</v>
      </c>
      <c r="H58" s="56" t="s">
        <v>213</v>
      </c>
      <c r="I58" s="55">
        <v>190701.37</v>
      </c>
      <c r="J58" s="55">
        <f>64152+30618+10854+43416+10368</f>
        <v>159408</v>
      </c>
      <c r="K58" s="55">
        <v>4700</v>
      </c>
      <c r="L58" s="55">
        <v>0</v>
      </c>
      <c r="M58" s="55">
        <v>1450</v>
      </c>
      <c r="N58" s="55">
        <f t="shared" si="9"/>
        <v>14289.37</v>
      </c>
      <c r="O58" s="55">
        <f t="shared" si="0"/>
        <v>10854</v>
      </c>
      <c r="P58" s="57">
        <f t="shared" si="1"/>
        <v>5.69162140785879E-2</v>
      </c>
      <c r="Q58" s="55">
        <f t="shared" si="2"/>
        <v>95350.684999999998</v>
      </c>
      <c r="R58" s="58" t="s">
        <v>132</v>
      </c>
      <c r="S58" s="59">
        <v>0.5</v>
      </c>
      <c r="T58" s="53" t="s">
        <v>152</v>
      </c>
      <c r="U58" s="54" t="s">
        <v>200</v>
      </c>
      <c r="V58" s="54" t="s">
        <v>338</v>
      </c>
      <c r="W58" s="52" t="s">
        <v>184</v>
      </c>
      <c r="X58" s="54" t="s">
        <v>265</v>
      </c>
      <c r="Z58" t="str">
        <f t="shared" si="3"/>
        <v/>
      </c>
      <c r="AA58">
        <f t="shared" si="4"/>
        <v>190701.37</v>
      </c>
      <c r="AB58">
        <f t="shared" si="5"/>
        <v>7</v>
      </c>
      <c r="AC58">
        <f t="shared" si="6"/>
        <v>25</v>
      </c>
      <c r="AD58">
        <f t="shared" si="7"/>
        <v>1</v>
      </c>
    </row>
    <row r="59" spans="1:30" ht="24" customHeight="1">
      <c r="A59" s="52">
        <v>49</v>
      </c>
      <c r="B59" s="53" t="s">
        <v>353</v>
      </c>
      <c r="C59" s="52" t="s">
        <v>68</v>
      </c>
      <c r="D59" s="54" t="s">
        <v>350</v>
      </c>
      <c r="E59" s="54" t="s">
        <v>309</v>
      </c>
      <c r="F59" s="55" t="s">
        <v>309</v>
      </c>
      <c r="G59" s="52">
        <v>12</v>
      </c>
      <c r="H59" s="56" t="s">
        <v>230</v>
      </c>
      <c r="I59" s="55">
        <v>32467.62</v>
      </c>
      <c r="J59" s="55">
        <f>8553.6+691.2+7775+2592+3888</f>
        <v>23499.800000000003</v>
      </c>
      <c r="K59" s="55">
        <v>2800</v>
      </c>
      <c r="L59" s="55">
        <v>0</v>
      </c>
      <c r="M59" s="55">
        <v>2864</v>
      </c>
      <c r="N59" s="55">
        <f t="shared" si="9"/>
        <v>2432.8200000000002</v>
      </c>
      <c r="O59" s="55">
        <f t="shared" si="0"/>
        <v>870.99999999999636</v>
      </c>
      <c r="P59" s="57">
        <f t="shared" si="1"/>
        <v>2.6826727675142076E-2</v>
      </c>
      <c r="Q59" s="55">
        <f t="shared" si="2"/>
        <v>16233.81</v>
      </c>
      <c r="R59" s="58" t="s">
        <v>132</v>
      </c>
      <c r="S59" s="59">
        <v>0.5</v>
      </c>
      <c r="T59" s="53" t="s">
        <v>152</v>
      </c>
      <c r="U59" s="54" t="s">
        <v>200</v>
      </c>
      <c r="V59" s="54" t="s">
        <v>338</v>
      </c>
      <c r="W59" s="52" t="s">
        <v>184</v>
      </c>
      <c r="X59" s="54" t="s">
        <v>265</v>
      </c>
      <c r="Z59" t="str">
        <f t="shared" si="3"/>
        <v/>
      </c>
      <c r="AA59">
        <f t="shared" si="4"/>
        <v>32467.62</v>
      </c>
      <c r="AB59">
        <f t="shared" si="5"/>
        <v>7</v>
      </c>
      <c r="AC59">
        <f t="shared" si="6"/>
        <v>26</v>
      </c>
      <c r="AD59">
        <f t="shared" si="7"/>
        <v>1</v>
      </c>
    </row>
    <row r="60" spans="1:30" ht="24">
      <c r="A60" s="52">
        <v>50</v>
      </c>
      <c r="B60" s="53" t="s">
        <v>354</v>
      </c>
      <c r="C60" s="52" t="s">
        <v>70</v>
      </c>
      <c r="D60" s="54" t="s">
        <v>355</v>
      </c>
      <c r="E60" s="54" t="s">
        <v>356</v>
      </c>
      <c r="F60" s="55" t="s">
        <v>356</v>
      </c>
      <c r="G60" s="52">
        <v>7</v>
      </c>
      <c r="H60" s="56" t="s">
        <v>230</v>
      </c>
      <c r="I60" s="55">
        <v>13533</v>
      </c>
      <c r="J60" s="55">
        <f>2135.7+189</f>
        <v>2324.6999999999998</v>
      </c>
      <c r="K60" s="55">
        <v>1400</v>
      </c>
      <c r="L60" s="55">
        <v>7500</v>
      </c>
      <c r="M60" s="55">
        <f>870+268.8</f>
        <v>1138.8</v>
      </c>
      <c r="N60" s="55">
        <f t="shared" si="9"/>
        <v>1014.04</v>
      </c>
      <c r="O60" s="55">
        <f t="shared" si="0"/>
        <v>155.45999999999913</v>
      </c>
      <c r="P60" s="57">
        <f t="shared" si="1"/>
        <v>1.1487475060962028E-2</v>
      </c>
      <c r="Q60" s="55">
        <f t="shared" si="2"/>
        <v>13533</v>
      </c>
      <c r="R60" s="58" t="s">
        <v>159</v>
      </c>
      <c r="S60" s="59">
        <v>1</v>
      </c>
      <c r="T60" s="53" t="s">
        <v>231</v>
      </c>
      <c r="U60" s="54" t="s">
        <v>200</v>
      </c>
      <c r="V60" s="54" t="s">
        <v>161</v>
      </c>
      <c r="W60" s="52" t="s">
        <v>162</v>
      </c>
      <c r="X60" s="54" t="s">
        <v>357</v>
      </c>
      <c r="Z60">
        <f t="shared" si="3"/>
        <v>13533</v>
      </c>
      <c r="AA60">
        <f t="shared" si="4"/>
        <v>13533</v>
      </c>
      <c r="AB60">
        <f t="shared" si="5"/>
        <v>8</v>
      </c>
      <c r="AC60">
        <f t="shared" si="6"/>
        <v>26</v>
      </c>
      <c r="AD60">
        <f t="shared" si="7"/>
        <v>1</v>
      </c>
    </row>
    <row r="61" spans="1:30" ht="24">
      <c r="A61" s="52">
        <v>51</v>
      </c>
      <c r="B61" s="53" t="s">
        <v>358</v>
      </c>
      <c r="C61" s="52" t="s">
        <v>64</v>
      </c>
      <c r="D61" s="54" t="s">
        <v>350</v>
      </c>
      <c r="E61" s="54" t="s">
        <v>309</v>
      </c>
      <c r="F61" s="55" t="s">
        <v>309</v>
      </c>
      <c r="G61" s="52">
        <v>7</v>
      </c>
      <c r="H61" s="56" t="s">
        <v>184</v>
      </c>
      <c r="I61" s="55">
        <v>5488.9</v>
      </c>
      <c r="J61" s="55">
        <f>2494.8+201.6+189+144.9</f>
        <v>3030.3</v>
      </c>
      <c r="K61" s="55">
        <v>1400</v>
      </c>
      <c r="L61" s="55">
        <v>0</v>
      </c>
      <c r="M61" s="55">
        <f>333.6+725</f>
        <v>1058.5999999999999</v>
      </c>
      <c r="N61" s="55">
        <f t="shared" si="9"/>
        <v>411.29</v>
      </c>
      <c r="O61" s="55">
        <f t="shared" si="0"/>
        <v>-411.28999999999996</v>
      </c>
      <c r="P61" s="57">
        <f t="shared" si="1"/>
        <v>-7.4931224835577251E-2</v>
      </c>
      <c r="Q61" s="55">
        <f t="shared" si="2"/>
        <v>5488.9</v>
      </c>
      <c r="R61" s="58" t="s">
        <v>159</v>
      </c>
      <c r="S61" s="59">
        <v>1</v>
      </c>
      <c r="T61" s="53" t="s">
        <v>152</v>
      </c>
      <c r="U61" s="54" t="s">
        <v>200</v>
      </c>
      <c r="V61" s="54" t="s">
        <v>161</v>
      </c>
      <c r="W61" s="52" t="s">
        <v>162</v>
      </c>
      <c r="X61" s="54" t="s">
        <v>161</v>
      </c>
      <c r="Z61">
        <f t="shared" si="3"/>
        <v>5488.9</v>
      </c>
      <c r="AA61">
        <f t="shared" si="4"/>
        <v>5488.9</v>
      </c>
      <c r="AB61">
        <f t="shared" si="5"/>
        <v>9</v>
      </c>
      <c r="AC61">
        <f t="shared" si="6"/>
        <v>26</v>
      </c>
      <c r="AD61">
        <f t="shared" si="7"/>
        <v>1</v>
      </c>
    </row>
    <row r="62" spans="1:30" ht="15" customHeight="1">
      <c r="A62" s="52">
        <v>52</v>
      </c>
      <c r="B62" s="53" t="s">
        <v>359</v>
      </c>
      <c r="C62" s="52" t="s">
        <v>70</v>
      </c>
      <c r="D62" s="54" t="s">
        <v>360</v>
      </c>
      <c r="E62" s="72" t="s">
        <v>361</v>
      </c>
      <c r="F62" s="55" t="s">
        <v>361</v>
      </c>
      <c r="G62" s="52">
        <v>110</v>
      </c>
      <c r="H62" s="56" t="s">
        <v>230</v>
      </c>
      <c r="I62" s="55">
        <v>333790</v>
      </c>
      <c r="J62" s="55">
        <v>333790</v>
      </c>
      <c r="K62" s="55">
        <v>0</v>
      </c>
      <c r="L62" s="55">
        <v>0</v>
      </c>
      <c r="M62" s="55">
        <v>0</v>
      </c>
      <c r="N62" s="55">
        <f t="shared" si="9"/>
        <v>25011.09</v>
      </c>
      <c r="O62" s="55">
        <f t="shared" si="0"/>
        <v>-25011.090000000026</v>
      </c>
      <c r="P62" s="57">
        <f t="shared" si="1"/>
        <v>-7.4930615057371475E-2</v>
      </c>
      <c r="Q62" s="55">
        <f t="shared" si="2"/>
        <v>333790</v>
      </c>
      <c r="R62" s="58" t="s">
        <v>159</v>
      </c>
      <c r="S62" s="59">
        <v>1</v>
      </c>
      <c r="T62" s="53" t="s">
        <v>152</v>
      </c>
      <c r="U62" s="54" t="s">
        <v>362</v>
      </c>
      <c r="V62" s="54" t="s">
        <v>363</v>
      </c>
      <c r="W62" s="52" t="s">
        <v>184</v>
      </c>
      <c r="X62" s="54" t="s">
        <v>364</v>
      </c>
      <c r="Z62">
        <f t="shared" si="3"/>
        <v>333790</v>
      </c>
      <c r="AA62">
        <f t="shared" si="4"/>
        <v>333790</v>
      </c>
      <c r="AB62">
        <f t="shared" si="5"/>
        <v>10</v>
      </c>
      <c r="AC62">
        <f t="shared" si="6"/>
        <v>26</v>
      </c>
      <c r="AD62">
        <f t="shared" si="7"/>
        <v>1</v>
      </c>
    </row>
    <row r="63" spans="1:30" ht="15" customHeight="1">
      <c r="A63" s="52">
        <v>53</v>
      </c>
      <c r="B63" s="53" t="s">
        <v>365</v>
      </c>
      <c r="C63" s="52" t="s">
        <v>70</v>
      </c>
      <c r="D63" s="54" t="s">
        <v>360</v>
      </c>
      <c r="E63" s="54" t="s">
        <v>366</v>
      </c>
      <c r="F63" s="55" t="s">
        <v>366</v>
      </c>
      <c r="G63" s="52">
        <v>110</v>
      </c>
      <c r="H63" s="56" t="s">
        <v>230</v>
      </c>
      <c r="I63" s="55">
        <v>331889.15000000002</v>
      </c>
      <c r="J63" s="55">
        <v>331889.15000000002</v>
      </c>
      <c r="K63" s="55">
        <v>0</v>
      </c>
      <c r="L63" s="55">
        <v>0</v>
      </c>
      <c r="M63" s="55">
        <v>0</v>
      </c>
      <c r="N63" s="55">
        <f t="shared" si="9"/>
        <v>24868.66</v>
      </c>
      <c r="O63" s="55">
        <f t="shared" si="0"/>
        <v>-24868.659999999974</v>
      </c>
      <c r="P63" s="57">
        <f t="shared" si="1"/>
        <v>-7.4930620660542749E-2</v>
      </c>
      <c r="Q63" s="55">
        <f t="shared" si="2"/>
        <v>331889.15000000002</v>
      </c>
      <c r="R63" s="58" t="s">
        <v>159</v>
      </c>
      <c r="S63" s="59">
        <v>1</v>
      </c>
      <c r="T63" s="53" t="s">
        <v>152</v>
      </c>
      <c r="U63" s="54" t="s">
        <v>362</v>
      </c>
      <c r="V63" s="54" t="s">
        <v>363</v>
      </c>
      <c r="W63" s="52" t="s">
        <v>184</v>
      </c>
      <c r="X63" s="54" t="s">
        <v>364</v>
      </c>
      <c r="Z63">
        <f t="shared" si="3"/>
        <v>331889.15000000002</v>
      </c>
      <c r="AA63">
        <f t="shared" si="4"/>
        <v>331889.15000000002</v>
      </c>
      <c r="AB63">
        <f t="shared" si="5"/>
        <v>11</v>
      </c>
      <c r="AC63">
        <f t="shared" si="6"/>
        <v>26</v>
      </c>
      <c r="AD63">
        <f t="shared" si="7"/>
        <v>1</v>
      </c>
    </row>
    <row r="64" spans="1:30" ht="24">
      <c r="A64" s="52">
        <v>54</v>
      </c>
      <c r="B64" s="53" t="s">
        <v>367</v>
      </c>
      <c r="C64" s="52" t="s">
        <v>54</v>
      </c>
      <c r="D64" s="54" t="s">
        <v>219</v>
      </c>
      <c r="E64" s="54" t="s">
        <v>199</v>
      </c>
      <c r="F64" s="55" t="s">
        <v>199</v>
      </c>
      <c r="G64" s="52">
        <v>5</v>
      </c>
      <c r="H64" s="56" t="s">
        <v>184</v>
      </c>
      <c r="I64" s="55">
        <v>8381.2099999999991</v>
      </c>
      <c r="J64" s="55">
        <v>2511</v>
      </c>
      <c r="K64" s="55">
        <v>3200</v>
      </c>
      <c r="L64" s="55">
        <v>0</v>
      </c>
      <c r="M64" s="55">
        <f>1015+1027.2</f>
        <v>2042.2</v>
      </c>
      <c r="N64" s="55">
        <f t="shared" si="9"/>
        <v>628.01</v>
      </c>
      <c r="O64" s="55">
        <f t="shared" si="0"/>
        <v>0</v>
      </c>
      <c r="P64" s="57">
        <f t="shared" si="1"/>
        <v>0</v>
      </c>
      <c r="Q64" s="55">
        <f t="shared" si="2"/>
        <v>4190.6049999999996</v>
      </c>
      <c r="R64" s="58" t="s">
        <v>132</v>
      </c>
      <c r="S64" s="59">
        <v>0.5</v>
      </c>
      <c r="T64" s="53" t="s">
        <v>133</v>
      </c>
      <c r="U64" s="54" t="s">
        <v>200</v>
      </c>
      <c r="V64" s="54" t="s">
        <v>338</v>
      </c>
      <c r="W64" s="52" t="s">
        <v>136</v>
      </c>
      <c r="X64" s="54" t="s">
        <v>265</v>
      </c>
      <c r="Z64" t="str">
        <f t="shared" si="3"/>
        <v/>
      </c>
      <c r="AA64">
        <f t="shared" si="4"/>
        <v>8381.2099999999991</v>
      </c>
      <c r="AB64">
        <f t="shared" si="5"/>
        <v>11</v>
      </c>
      <c r="AC64">
        <f t="shared" si="6"/>
        <v>27</v>
      </c>
      <c r="AD64">
        <f t="shared" si="7"/>
        <v>1</v>
      </c>
    </row>
    <row r="65" spans="1:30" ht="24">
      <c r="A65" s="52">
        <v>55</v>
      </c>
      <c r="B65" s="53" t="s">
        <v>368</v>
      </c>
      <c r="C65" s="52" t="s">
        <v>70</v>
      </c>
      <c r="D65" s="54" t="s">
        <v>369</v>
      </c>
      <c r="E65" s="54" t="s">
        <v>370</v>
      </c>
      <c r="F65" s="55" t="s">
        <v>370</v>
      </c>
      <c r="G65" s="52">
        <v>14</v>
      </c>
      <c r="H65" s="56" t="s">
        <v>184</v>
      </c>
      <c r="I65" s="55">
        <v>6227.21</v>
      </c>
      <c r="J65" s="55">
        <f>2381.4+126+403.2</f>
        <v>2910.6</v>
      </c>
      <c r="K65" s="55">
        <v>1500</v>
      </c>
      <c r="L65" s="55">
        <v>0</v>
      </c>
      <c r="M65" s="55">
        <f>870+480</f>
        <v>1350</v>
      </c>
      <c r="N65" s="55">
        <f t="shared" si="9"/>
        <v>466.61</v>
      </c>
      <c r="O65" s="55">
        <f t="shared" si="0"/>
        <v>0</v>
      </c>
      <c r="P65" s="57">
        <f t="shared" si="1"/>
        <v>0</v>
      </c>
      <c r="Q65" s="55">
        <f t="shared" si="2"/>
        <v>3113.605</v>
      </c>
      <c r="R65" s="58" t="s">
        <v>132</v>
      </c>
      <c r="S65" s="59">
        <v>0.5</v>
      </c>
      <c r="T65" s="53" t="s">
        <v>133</v>
      </c>
      <c r="U65" s="54" t="s">
        <v>200</v>
      </c>
      <c r="V65" s="54" t="s">
        <v>338</v>
      </c>
      <c r="W65" s="52" t="s">
        <v>136</v>
      </c>
      <c r="X65" s="54" t="s">
        <v>265</v>
      </c>
      <c r="Z65" t="str">
        <f t="shared" si="3"/>
        <v/>
      </c>
      <c r="AA65">
        <f t="shared" si="4"/>
        <v>6227.21</v>
      </c>
      <c r="AB65">
        <f t="shared" si="5"/>
        <v>11</v>
      </c>
      <c r="AC65">
        <f t="shared" si="6"/>
        <v>28</v>
      </c>
      <c r="AD65">
        <f t="shared" si="7"/>
        <v>1</v>
      </c>
    </row>
    <row r="66" spans="1:30" ht="24">
      <c r="A66" s="52">
        <v>56</v>
      </c>
      <c r="B66" s="53" t="s">
        <v>371</v>
      </c>
      <c r="C66" s="52" t="s">
        <v>43</v>
      </c>
      <c r="D66" s="54" t="s">
        <v>219</v>
      </c>
      <c r="E66" s="54" t="s">
        <v>372</v>
      </c>
      <c r="F66" s="54" t="s">
        <v>372</v>
      </c>
      <c r="G66" s="52">
        <v>12</v>
      </c>
      <c r="H66" s="56" t="s">
        <v>373</v>
      </c>
      <c r="I66" s="55">
        <v>41209</v>
      </c>
      <c r="J66" s="55">
        <f>10713.6+15436.8+460.8+288+230.4+307.2+67.2</f>
        <v>27504.000000000004</v>
      </c>
      <c r="K66" s="55">
        <v>8190</v>
      </c>
      <c r="L66" s="55">
        <v>0</v>
      </c>
      <c r="M66" s="55">
        <v>66</v>
      </c>
      <c r="N66" s="55">
        <f t="shared" si="9"/>
        <v>3087.82</v>
      </c>
      <c r="O66" s="55">
        <f t="shared" si="0"/>
        <v>2361.1800000000003</v>
      </c>
      <c r="P66" s="57">
        <f t="shared" si="1"/>
        <v>5.7297677691766372E-2</v>
      </c>
      <c r="Q66" s="55">
        <f t="shared" si="2"/>
        <v>20604.5</v>
      </c>
      <c r="R66" s="58" t="s">
        <v>132</v>
      </c>
      <c r="S66" s="59">
        <v>0.5</v>
      </c>
      <c r="T66" s="53" t="s">
        <v>133</v>
      </c>
      <c r="U66" s="54" t="s">
        <v>200</v>
      </c>
      <c r="V66" s="54" t="s">
        <v>338</v>
      </c>
      <c r="W66" s="52" t="s">
        <v>136</v>
      </c>
      <c r="X66" s="54" t="s">
        <v>265</v>
      </c>
      <c r="Z66" t="str">
        <f t="shared" si="3"/>
        <v/>
      </c>
      <c r="AA66">
        <f t="shared" si="4"/>
        <v>41209</v>
      </c>
      <c r="AB66">
        <f t="shared" si="5"/>
        <v>11</v>
      </c>
      <c r="AC66">
        <f t="shared" si="6"/>
        <v>29</v>
      </c>
      <c r="AD66">
        <f t="shared" si="7"/>
        <v>1</v>
      </c>
    </row>
    <row r="67" spans="1:30" ht="24">
      <c r="A67" s="52">
        <v>57</v>
      </c>
      <c r="B67" s="53" t="s">
        <v>176</v>
      </c>
      <c r="C67" s="52" t="s">
        <v>69</v>
      </c>
      <c r="D67" s="54" t="s">
        <v>198</v>
      </c>
      <c r="E67" s="54" t="s">
        <v>309</v>
      </c>
      <c r="F67" s="55" t="s">
        <v>309</v>
      </c>
      <c r="G67" s="52">
        <v>22</v>
      </c>
      <c r="H67" s="56" t="s">
        <v>254</v>
      </c>
      <c r="I67" s="55">
        <v>40491.67</v>
      </c>
      <c r="J67" s="55">
        <f>15681.6+1320+1408+528</f>
        <v>18937.599999999999</v>
      </c>
      <c r="K67" s="55">
        <v>864</v>
      </c>
      <c r="L67" s="55">
        <v>0</v>
      </c>
      <c r="M67" s="55">
        <v>11600</v>
      </c>
      <c r="N67" s="55">
        <f t="shared" si="9"/>
        <v>3034.07</v>
      </c>
      <c r="O67" s="55">
        <f t="shared" si="0"/>
        <v>6056</v>
      </c>
      <c r="P67" s="57">
        <f t="shared" si="1"/>
        <v>0.14956162588502772</v>
      </c>
      <c r="Q67" s="55">
        <f t="shared" si="2"/>
        <v>20245.834999999999</v>
      </c>
      <c r="R67" s="58" t="s">
        <v>132</v>
      </c>
      <c r="S67" s="59">
        <v>0.5</v>
      </c>
      <c r="T67" s="53" t="s">
        <v>133</v>
      </c>
      <c r="U67" s="54" t="s">
        <v>200</v>
      </c>
      <c r="V67" s="54" t="s">
        <v>338</v>
      </c>
      <c r="W67" s="52" t="s">
        <v>136</v>
      </c>
      <c r="X67" s="54" t="s">
        <v>374</v>
      </c>
      <c r="Z67" t="str">
        <f t="shared" si="3"/>
        <v/>
      </c>
      <c r="AA67">
        <f t="shared" si="4"/>
        <v>40491.67</v>
      </c>
      <c r="AB67">
        <f t="shared" si="5"/>
        <v>11</v>
      </c>
      <c r="AC67">
        <f t="shared" si="6"/>
        <v>30</v>
      </c>
      <c r="AD67">
        <f t="shared" si="7"/>
        <v>1</v>
      </c>
    </row>
    <row r="68" spans="1:30" ht="24">
      <c r="A68" s="52">
        <v>58</v>
      </c>
      <c r="B68" s="53" t="s">
        <v>375</v>
      </c>
      <c r="C68" s="52" t="s">
        <v>70</v>
      </c>
      <c r="D68" s="54" t="s">
        <v>369</v>
      </c>
      <c r="E68" s="54" t="s">
        <v>271</v>
      </c>
      <c r="F68" s="55" t="s">
        <v>330</v>
      </c>
      <c r="G68" s="52">
        <v>540</v>
      </c>
      <c r="H68" s="56" t="s">
        <v>136</v>
      </c>
      <c r="I68" s="55">
        <f>79300+34082.4</f>
        <v>113382.39999999999</v>
      </c>
      <c r="J68" s="55">
        <f>92340+17280</f>
        <v>109620</v>
      </c>
      <c r="K68" s="55">
        <v>1160</v>
      </c>
      <c r="L68" s="55">
        <v>0</v>
      </c>
      <c r="M68" s="55">
        <v>602.4</v>
      </c>
      <c r="N68" s="55">
        <f t="shared" si="9"/>
        <v>8495.81</v>
      </c>
      <c r="O68" s="55">
        <f t="shared" si="0"/>
        <v>-6495.8099999999977</v>
      </c>
      <c r="P68" s="57">
        <f t="shared" si="1"/>
        <v>-5.7291166883043559E-2</v>
      </c>
      <c r="Q68" s="55">
        <f t="shared" si="2"/>
        <v>56691.199999999997</v>
      </c>
      <c r="R68" s="58" t="s">
        <v>132</v>
      </c>
      <c r="S68" s="59">
        <v>0.5</v>
      </c>
      <c r="T68" s="53" t="s">
        <v>133</v>
      </c>
      <c r="U68" s="54" t="s">
        <v>200</v>
      </c>
      <c r="V68" s="54" t="s">
        <v>338</v>
      </c>
      <c r="W68" s="52" t="s">
        <v>136</v>
      </c>
      <c r="X68" s="54" t="s">
        <v>374</v>
      </c>
      <c r="Z68" t="str">
        <f t="shared" si="3"/>
        <v/>
      </c>
      <c r="AA68">
        <f t="shared" si="4"/>
        <v>113382.39999999999</v>
      </c>
      <c r="AB68">
        <f t="shared" si="5"/>
        <v>11</v>
      </c>
      <c r="AC68">
        <f t="shared" si="6"/>
        <v>31</v>
      </c>
      <c r="AD68">
        <f t="shared" si="7"/>
        <v>1</v>
      </c>
    </row>
    <row r="69" spans="1:30" ht="24">
      <c r="A69" s="52">
        <v>59</v>
      </c>
      <c r="B69" s="53" t="s">
        <v>358</v>
      </c>
      <c r="C69" s="52" t="s">
        <v>70</v>
      </c>
      <c r="D69" s="54" t="s">
        <v>350</v>
      </c>
      <c r="E69" s="54" t="s">
        <v>330</v>
      </c>
      <c r="F69" s="55" t="s">
        <v>330</v>
      </c>
      <c r="G69" s="52">
        <v>7</v>
      </c>
      <c r="H69" s="56" t="s">
        <v>136</v>
      </c>
      <c r="I69" s="55">
        <v>2435.75</v>
      </c>
      <c r="J69" s="55">
        <f>897.75+168+70</f>
        <v>1135.75</v>
      </c>
      <c r="K69" s="55">
        <v>1300</v>
      </c>
      <c r="L69" s="55">
        <v>0</v>
      </c>
      <c r="M69" s="55">
        <v>0</v>
      </c>
      <c r="N69" s="55">
        <v>0</v>
      </c>
      <c r="O69" s="55">
        <f t="shared" si="0"/>
        <v>0</v>
      </c>
      <c r="P69" s="57">
        <f t="shared" si="1"/>
        <v>0</v>
      </c>
      <c r="Q69" s="55">
        <f t="shared" si="2"/>
        <v>1217.875</v>
      </c>
      <c r="R69" s="58" t="s">
        <v>132</v>
      </c>
      <c r="S69" s="59">
        <v>0.5</v>
      </c>
      <c r="T69" s="53" t="s">
        <v>133</v>
      </c>
      <c r="U69" s="54" t="s">
        <v>200</v>
      </c>
      <c r="V69" s="54" t="s">
        <v>338</v>
      </c>
      <c r="W69" s="52" t="s">
        <v>136</v>
      </c>
      <c r="X69" s="54" t="s">
        <v>374</v>
      </c>
      <c r="Z69" t="str">
        <f t="shared" si="3"/>
        <v/>
      </c>
      <c r="AA69">
        <f t="shared" si="4"/>
        <v>2435.75</v>
      </c>
      <c r="AB69">
        <f t="shared" si="5"/>
        <v>11</v>
      </c>
      <c r="AC69">
        <f t="shared" si="6"/>
        <v>32</v>
      </c>
      <c r="AD69">
        <f t="shared" si="7"/>
        <v>1</v>
      </c>
    </row>
    <row r="70" spans="1:30" ht="24">
      <c r="A70" s="52">
        <v>60</v>
      </c>
      <c r="B70" s="53" t="s">
        <v>376</v>
      </c>
      <c r="C70" s="52" t="s">
        <v>70</v>
      </c>
      <c r="D70" s="54" t="s">
        <v>369</v>
      </c>
      <c r="E70" s="54" t="s">
        <v>356</v>
      </c>
      <c r="F70" s="55" t="s">
        <v>356</v>
      </c>
      <c r="G70" s="52">
        <v>670</v>
      </c>
      <c r="H70" s="56" t="s">
        <v>222</v>
      </c>
      <c r="I70" s="55">
        <f>227130+21440+20100+2000+1015+957.6+14354.64</f>
        <v>286997.24</v>
      </c>
      <c r="J70" s="55">
        <f>227130+21440+20100</f>
        <v>268670</v>
      </c>
      <c r="K70" s="55">
        <v>2000</v>
      </c>
      <c r="L70" s="55">
        <v>0</v>
      </c>
      <c r="M70" s="55">
        <f>1015+957.6</f>
        <v>1972.6</v>
      </c>
      <c r="N70" s="55">
        <f t="shared" si="9"/>
        <v>21504.880000000001</v>
      </c>
      <c r="O70" s="55">
        <f t="shared" ref="O70:O133" si="10">IF(ISNUMBER(I70),I70-SUM(J70:N70),"")</f>
        <v>-7150.2399999999907</v>
      </c>
      <c r="P70" s="57">
        <f t="shared" ref="P70:P133" si="11">IFERROR(IF(AND(ISNUMBER(O70),ISNUMBER(I70),I70&lt;&gt;0),O70/I70,""),"")</f>
        <v>-2.4913967813767098E-2</v>
      </c>
      <c r="Q70" s="55">
        <f t="shared" ref="Q70:Q133" si="12">IF(AND(ISNUMBER(I70),ISNUMBER(S70)),I70*IF(S70&lt;=1,S70,S70/100),IF(OR(I70&lt;&gt;"",S70&lt;&gt;""),"tbd",""))</f>
        <v>143498.62</v>
      </c>
      <c r="R70" s="58" t="s">
        <v>132</v>
      </c>
      <c r="S70" s="59">
        <v>0.5</v>
      </c>
      <c r="T70" s="53" t="s">
        <v>377</v>
      </c>
      <c r="U70" s="54" t="s">
        <v>200</v>
      </c>
      <c r="V70" s="54" t="s">
        <v>338</v>
      </c>
      <c r="W70" s="52" t="s">
        <v>378</v>
      </c>
      <c r="X70" s="54" t="s">
        <v>374</v>
      </c>
      <c r="Z70" t="str">
        <f t="shared" ref="Z70:Z133" si="13">IF(AND(R70="WON",ISNUMBER(I70)),AA70,"")</f>
        <v/>
      </c>
      <c r="AA70">
        <f t="shared" ref="AA70:AA133" si="14">IFERROR(I70*1,0)</f>
        <v>286997.24</v>
      </c>
      <c r="AB70">
        <f t="shared" ref="AB70:AB133" si="15">N(AB69)+IF(AND(R70="WON",B70&lt;&gt;""),1,0)</f>
        <v>11</v>
      </c>
      <c r="AC70">
        <f t="shared" ref="AC70:AC133" si="16">N(AC69)+IF(AND(OR(R70="offered",R70="to be offered",R70="on hold"),B70&lt;&gt;""),1,0)</f>
        <v>33</v>
      </c>
      <c r="AD70">
        <f t="shared" ref="AD70:AD133" si="17">N(AD69)+IF(AND(OR(R70="follow-up",R70="Evaluation",R70="tbd",R70="In evaluation"),B70&lt;&gt;""),1,0)</f>
        <v>1</v>
      </c>
    </row>
    <row r="71" spans="1:30" ht="24">
      <c r="A71" s="52">
        <v>61</v>
      </c>
      <c r="B71" s="53" t="s">
        <v>379</v>
      </c>
      <c r="C71" s="52" t="s">
        <v>47</v>
      </c>
      <c r="D71" s="54" t="s">
        <v>198</v>
      </c>
      <c r="E71" s="54" t="s">
        <v>309</v>
      </c>
      <c r="F71" s="55" t="s">
        <v>309</v>
      </c>
      <c r="G71" s="52">
        <v>21</v>
      </c>
      <c r="H71" s="56" t="s">
        <v>136</v>
      </c>
      <c r="I71" s="55">
        <v>13472.18</v>
      </c>
      <c r="J71" s="55">
        <f>7484.4+672+189</f>
        <v>8345.4</v>
      </c>
      <c r="K71" s="55">
        <v>2400</v>
      </c>
      <c r="L71" s="55">
        <v>0</v>
      </c>
      <c r="M71" s="55">
        <f>484.8+1232.5</f>
        <v>1717.3</v>
      </c>
      <c r="N71" s="55">
        <f t="shared" ref="N71:N73" si="18">IF(ISNUMBER(I71),ROUND(I71-I71/1.081,2),"")</f>
        <v>1009.48</v>
      </c>
      <c r="O71" s="55">
        <f t="shared" ref="O71:O73" si="19">IF(ISNUMBER(I71),I71-SUM(J71:N71),"")</f>
        <v>1.8189894035458565E-12</v>
      </c>
      <c r="P71" s="57">
        <f t="shared" ref="P71:P73" si="20">IFERROR(IF(AND(ISNUMBER(O71),ISNUMBER(I71),I71&lt;&gt;0),O71/I71,""),"")</f>
        <v>1.3501819330990651E-16</v>
      </c>
      <c r="Q71" s="55">
        <f t="shared" ref="Q71:Q73" si="21">IF(AND(ISNUMBER(I71),ISNUMBER(S71)),I71*IF(S71&lt;=1,S71,S71/100),IF(OR(I71&lt;&gt;"",S71&lt;&gt;""),"tbd",""))</f>
        <v>13472.18</v>
      </c>
      <c r="R71" s="58" t="s">
        <v>159</v>
      </c>
      <c r="S71" s="59">
        <v>1</v>
      </c>
      <c r="T71" s="53" t="s">
        <v>133</v>
      </c>
      <c r="U71" s="54" t="s">
        <v>200</v>
      </c>
      <c r="V71" s="54" t="s">
        <v>338</v>
      </c>
      <c r="W71" s="52" t="s">
        <v>380</v>
      </c>
      <c r="X71" s="54"/>
      <c r="Z71">
        <f t="shared" ref="Z71:Z73" si="22">IF(AND(R71="WON",ISNUMBER(I71)),AA71,"")</f>
        <v>13472.18</v>
      </c>
      <c r="AA71">
        <f t="shared" ref="AA71:AA73" si="23">IFERROR(I71*1,0)</f>
        <v>13472.18</v>
      </c>
      <c r="AB71">
        <f t="shared" ref="AB71:AB73" si="24">N(AB70)+IF(AND(R71="WON",B71&lt;&gt;""),1,0)</f>
        <v>12</v>
      </c>
      <c r="AC71">
        <f t="shared" ref="AC71:AC73" si="25">N(AC70)+IF(AND(OR(R71="offered",R71="to be offered",R71="on hold"),B71&lt;&gt;""),1,0)</f>
        <v>33</v>
      </c>
      <c r="AD71">
        <f t="shared" ref="AD71:AD73" si="26">N(AD70)+IF(AND(OR(R71="follow-up",R71="Evaluation",R71="tbd",R71="In evaluation"),B71&lt;&gt;""),1,0)</f>
        <v>1</v>
      </c>
    </row>
    <row r="72" spans="1:30" ht="15" customHeight="1">
      <c r="A72" s="52"/>
      <c r="B72" s="53"/>
      <c r="C72" s="52"/>
      <c r="D72" s="54"/>
      <c r="E72" s="54"/>
      <c r="F72" s="55"/>
      <c r="G72" s="52"/>
      <c r="H72" s="56"/>
      <c r="I72" s="55"/>
      <c r="J72" s="55"/>
      <c r="K72" s="55"/>
      <c r="L72" s="55"/>
      <c r="M72" s="55"/>
      <c r="N72" s="55" t="str">
        <f t="shared" si="18"/>
        <v/>
      </c>
      <c r="O72" s="55" t="str">
        <f t="shared" si="19"/>
        <v/>
      </c>
      <c r="P72" s="57" t="str">
        <f t="shared" si="20"/>
        <v/>
      </c>
      <c r="Q72" s="55" t="str">
        <f t="shared" si="21"/>
        <v/>
      </c>
      <c r="R72" s="58"/>
      <c r="S72" s="59"/>
      <c r="T72" s="53"/>
      <c r="U72" s="54"/>
      <c r="V72" s="54"/>
      <c r="W72" s="52"/>
      <c r="X72" s="54"/>
      <c r="Z72" t="str">
        <f t="shared" si="22"/>
        <v/>
      </c>
      <c r="AA72">
        <f t="shared" si="23"/>
        <v>0</v>
      </c>
      <c r="AB72">
        <f t="shared" si="24"/>
        <v>12</v>
      </c>
      <c r="AC72">
        <f t="shared" si="25"/>
        <v>33</v>
      </c>
      <c r="AD72">
        <f t="shared" si="26"/>
        <v>1</v>
      </c>
    </row>
    <row r="73" spans="1:30" ht="15" customHeight="1">
      <c r="A73" s="52"/>
      <c r="B73" s="53"/>
      <c r="C73" s="52"/>
      <c r="D73" s="54"/>
      <c r="E73" s="54"/>
      <c r="F73" s="55"/>
      <c r="G73" s="52"/>
      <c r="H73" s="56"/>
      <c r="I73" s="55"/>
      <c r="J73" s="55"/>
      <c r="K73" s="55"/>
      <c r="L73" s="55"/>
      <c r="M73" s="55"/>
      <c r="N73" s="55" t="str">
        <f t="shared" si="18"/>
        <v/>
      </c>
      <c r="O73" s="55" t="str">
        <f t="shared" si="19"/>
        <v/>
      </c>
      <c r="P73" s="57" t="str">
        <f t="shared" si="20"/>
        <v/>
      </c>
      <c r="Q73" s="55" t="str">
        <f t="shared" si="21"/>
        <v/>
      </c>
      <c r="R73" s="58"/>
      <c r="S73" s="59"/>
      <c r="T73" s="53"/>
      <c r="U73" s="54"/>
      <c r="V73" s="54"/>
      <c r="W73" s="52"/>
      <c r="X73" s="54"/>
      <c r="Z73" t="str">
        <f t="shared" si="22"/>
        <v/>
      </c>
      <c r="AA73">
        <f t="shared" si="23"/>
        <v>0</v>
      </c>
      <c r="AB73">
        <f t="shared" si="24"/>
        <v>12</v>
      </c>
      <c r="AC73">
        <f t="shared" si="25"/>
        <v>33</v>
      </c>
      <c r="AD73">
        <f t="shared" si="26"/>
        <v>1</v>
      </c>
    </row>
    <row r="74" spans="1:30" ht="15" customHeight="1">
      <c r="A74" s="52"/>
      <c r="B74" s="53"/>
      <c r="C74" s="52"/>
      <c r="D74" s="54"/>
      <c r="E74" s="54"/>
      <c r="F74" s="55"/>
      <c r="G74" s="52"/>
      <c r="H74" s="56"/>
      <c r="I74" s="55"/>
      <c r="J74" s="55"/>
      <c r="K74" s="55"/>
      <c r="L74" s="55"/>
      <c r="M74" s="55"/>
      <c r="N74" s="55" t="str">
        <f t="shared" si="9"/>
        <v/>
      </c>
      <c r="O74" s="55" t="str">
        <f t="shared" si="10"/>
        <v/>
      </c>
      <c r="P74" s="57" t="str">
        <f t="shared" si="11"/>
        <v/>
      </c>
      <c r="Q74" s="55" t="str">
        <f t="shared" si="12"/>
        <v/>
      </c>
      <c r="R74" s="58"/>
      <c r="S74" s="59"/>
      <c r="T74" s="53"/>
      <c r="U74" s="54"/>
      <c r="V74" s="54"/>
      <c r="W74" s="52"/>
      <c r="X74" s="54"/>
      <c r="Z74" t="str">
        <f t="shared" si="13"/>
        <v/>
      </c>
      <c r="AA74">
        <f t="shared" si="14"/>
        <v>0</v>
      </c>
      <c r="AB74">
        <f t="shared" si="15"/>
        <v>12</v>
      </c>
      <c r="AC74">
        <f t="shared" si="16"/>
        <v>33</v>
      </c>
      <c r="AD74">
        <f t="shared" si="17"/>
        <v>1</v>
      </c>
    </row>
    <row r="75" spans="1:30" ht="15" customHeight="1">
      <c r="A75" s="52"/>
      <c r="B75" s="53"/>
      <c r="C75" s="52"/>
      <c r="D75" s="54"/>
      <c r="E75" s="54"/>
      <c r="F75" s="55"/>
      <c r="G75" s="52"/>
      <c r="H75" s="56"/>
      <c r="I75" s="55"/>
      <c r="J75" s="55"/>
      <c r="K75" s="55"/>
      <c r="L75" s="55"/>
      <c r="M75" s="55"/>
      <c r="N75" s="55" t="str">
        <f t="shared" si="9"/>
        <v/>
      </c>
      <c r="O75" s="55" t="str">
        <f t="shared" si="10"/>
        <v/>
      </c>
      <c r="P75" s="57" t="str">
        <f t="shared" si="11"/>
        <v/>
      </c>
      <c r="Q75" s="55" t="str">
        <f t="shared" si="12"/>
        <v/>
      </c>
      <c r="R75" s="58"/>
      <c r="S75" s="59"/>
      <c r="T75" s="53"/>
      <c r="U75" s="54"/>
      <c r="V75" s="54"/>
      <c r="W75" s="52"/>
      <c r="X75" s="54"/>
      <c r="Z75" t="str">
        <f t="shared" si="13"/>
        <v/>
      </c>
      <c r="AA75">
        <f t="shared" si="14"/>
        <v>0</v>
      </c>
      <c r="AB75">
        <f t="shared" si="15"/>
        <v>12</v>
      </c>
      <c r="AC75">
        <f t="shared" si="16"/>
        <v>33</v>
      </c>
      <c r="AD75">
        <f t="shared" si="17"/>
        <v>1</v>
      </c>
    </row>
    <row r="76" spans="1:30" ht="15" customHeight="1">
      <c r="A76" s="52"/>
      <c r="B76" s="53"/>
      <c r="C76" s="52"/>
      <c r="D76" s="54"/>
      <c r="E76" s="54"/>
      <c r="F76" s="55"/>
      <c r="G76" s="52"/>
      <c r="H76" s="56"/>
      <c r="I76" s="55"/>
      <c r="J76" s="55"/>
      <c r="K76" s="55"/>
      <c r="L76" s="55"/>
      <c r="M76" s="55"/>
      <c r="N76" s="55" t="str">
        <f t="shared" si="9"/>
        <v/>
      </c>
      <c r="O76" s="55" t="str">
        <f t="shared" si="10"/>
        <v/>
      </c>
      <c r="P76" s="57" t="str">
        <f t="shared" si="11"/>
        <v/>
      </c>
      <c r="Q76" s="55" t="str">
        <f t="shared" si="12"/>
        <v/>
      </c>
      <c r="R76" s="58"/>
      <c r="S76" s="59"/>
      <c r="T76" s="53"/>
      <c r="U76" s="54"/>
      <c r="V76" s="54"/>
      <c r="W76" s="52"/>
      <c r="X76" s="54"/>
      <c r="Z76" t="str">
        <f t="shared" si="13"/>
        <v/>
      </c>
      <c r="AA76">
        <f t="shared" si="14"/>
        <v>0</v>
      </c>
      <c r="AB76">
        <f t="shared" si="15"/>
        <v>12</v>
      </c>
      <c r="AC76">
        <f t="shared" si="16"/>
        <v>33</v>
      </c>
      <c r="AD76">
        <f t="shared" si="17"/>
        <v>1</v>
      </c>
    </row>
    <row r="77" spans="1:30" ht="15" customHeight="1">
      <c r="A77" s="52"/>
      <c r="B77" s="53"/>
      <c r="C77" s="52"/>
      <c r="D77" s="54"/>
      <c r="E77" s="54"/>
      <c r="F77" s="55"/>
      <c r="G77" s="52"/>
      <c r="H77" s="56"/>
      <c r="I77" s="55"/>
      <c r="J77" s="55"/>
      <c r="K77" s="55"/>
      <c r="L77" s="55"/>
      <c r="M77" s="55"/>
      <c r="N77" s="55" t="str">
        <f t="shared" si="9"/>
        <v/>
      </c>
      <c r="O77" s="55" t="str">
        <f t="shared" si="10"/>
        <v/>
      </c>
      <c r="P77" s="57" t="str">
        <f t="shared" si="11"/>
        <v/>
      </c>
      <c r="Q77" s="55" t="str">
        <f t="shared" si="12"/>
        <v/>
      </c>
      <c r="R77" s="58"/>
      <c r="S77" s="59"/>
      <c r="T77" s="53"/>
      <c r="U77" s="54"/>
      <c r="V77" s="54"/>
      <c r="W77" s="52"/>
      <c r="X77" s="54"/>
      <c r="Z77" t="str">
        <f t="shared" si="13"/>
        <v/>
      </c>
      <c r="AA77">
        <f t="shared" si="14"/>
        <v>0</v>
      </c>
      <c r="AB77">
        <f t="shared" si="15"/>
        <v>12</v>
      </c>
      <c r="AC77">
        <f t="shared" si="16"/>
        <v>33</v>
      </c>
      <c r="AD77">
        <f t="shared" si="17"/>
        <v>1</v>
      </c>
    </row>
    <row r="78" spans="1:30" ht="15" customHeight="1">
      <c r="A78" s="52"/>
      <c r="B78" s="53"/>
      <c r="C78" s="52"/>
      <c r="D78" s="54"/>
      <c r="E78" s="54"/>
      <c r="F78" s="55"/>
      <c r="G78" s="52"/>
      <c r="H78" s="56"/>
      <c r="I78" s="55"/>
      <c r="J78" s="55"/>
      <c r="K78" s="55"/>
      <c r="L78" s="55"/>
      <c r="M78" s="55"/>
      <c r="N78" s="55" t="str">
        <f t="shared" si="9"/>
        <v/>
      </c>
      <c r="O78" s="55" t="str">
        <f t="shared" si="10"/>
        <v/>
      </c>
      <c r="P78" s="57" t="str">
        <f t="shared" si="11"/>
        <v/>
      </c>
      <c r="Q78" s="55" t="str">
        <f t="shared" si="12"/>
        <v/>
      </c>
      <c r="R78" s="58"/>
      <c r="S78" s="59"/>
      <c r="T78" s="53"/>
      <c r="U78" s="54"/>
      <c r="V78" s="54"/>
      <c r="W78" s="52"/>
      <c r="X78" s="54"/>
      <c r="Z78" t="str">
        <f t="shared" si="13"/>
        <v/>
      </c>
      <c r="AA78">
        <f t="shared" si="14"/>
        <v>0</v>
      </c>
      <c r="AB78">
        <f t="shared" si="15"/>
        <v>12</v>
      </c>
      <c r="AC78">
        <f t="shared" si="16"/>
        <v>33</v>
      </c>
      <c r="AD78">
        <f t="shared" si="17"/>
        <v>1</v>
      </c>
    </row>
    <row r="79" spans="1:30" ht="15" customHeight="1">
      <c r="A79" s="52"/>
      <c r="B79" s="53"/>
      <c r="C79" s="52"/>
      <c r="D79" s="54"/>
      <c r="E79" s="54"/>
      <c r="F79" s="55"/>
      <c r="G79" s="52"/>
      <c r="H79" s="56"/>
      <c r="I79" s="55"/>
      <c r="J79" s="55"/>
      <c r="K79" s="55"/>
      <c r="L79" s="55"/>
      <c r="M79" s="55"/>
      <c r="N79" s="55" t="str">
        <f t="shared" si="9"/>
        <v/>
      </c>
      <c r="O79" s="55" t="str">
        <f t="shared" si="10"/>
        <v/>
      </c>
      <c r="P79" s="57" t="str">
        <f t="shared" si="11"/>
        <v/>
      </c>
      <c r="Q79" s="55" t="str">
        <f t="shared" si="12"/>
        <v/>
      </c>
      <c r="R79" s="58"/>
      <c r="S79" s="59"/>
      <c r="T79" s="53"/>
      <c r="U79" s="54"/>
      <c r="V79" s="54"/>
      <c r="W79" s="52"/>
      <c r="X79" s="54"/>
      <c r="Z79" t="str">
        <f t="shared" si="13"/>
        <v/>
      </c>
      <c r="AA79">
        <f t="shared" si="14"/>
        <v>0</v>
      </c>
      <c r="AB79">
        <f t="shared" si="15"/>
        <v>12</v>
      </c>
      <c r="AC79">
        <f t="shared" si="16"/>
        <v>33</v>
      </c>
      <c r="AD79">
        <f t="shared" si="17"/>
        <v>1</v>
      </c>
    </row>
    <row r="80" spans="1:30" ht="15" customHeight="1">
      <c r="A80" s="52"/>
      <c r="B80" s="53"/>
      <c r="C80" s="52"/>
      <c r="D80" s="54"/>
      <c r="E80" s="54"/>
      <c r="F80" s="55"/>
      <c r="G80" s="52"/>
      <c r="H80" s="56"/>
      <c r="I80" s="55"/>
      <c r="J80" s="55"/>
      <c r="K80" s="55"/>
      <c r="L80" s="55"/>
      <c r="M80" s="55"/>
      <c r="N80" s="55" t="str">
        <f t="shared" si="9"/>
        <v/>
      </c>
      <c r="O80" s="55" t="str">
        <f t="shared" si="10"/>
        <v/>
      </c>
      <c r="P80" s="57" t="str">
        <f t="shared" si="11"/>
        <v/>
      </c>
      <c r="Q80" s="55" t="str">
        <f t="shared" si="12"/>
        <v/>
      </c>
      <c r="R80" s="58"/>
      <c r="S80" s="59"/>
      <c r="T80" s="53"/>
      <c r="U80" s="54"/>
      <c r="V80" s="54"/>
      <c r="W80" s="52"/>
      <c r="X80" s="54"/>
      <c r="Z80" t="str">
        <f t="shared" si="13"/>
        <v/>
      </c>
      <c r="AA80">
        <f t="shared" si="14"/>
        <v>0</v>
      </c>
      <c r="AB80">
        <f t="shared" si="15"/>
        <v>12</v>
      </c>
      <c r="AC80">
        <f t="shared" si="16"/>
        <v>33</v>
      </c>
      <c r="AD80">
        <f t="shared" si="17"/>
        <v>1</v>
      </c>
    </row>
    <row r="81" spans="1:30" ht="15" customHeight="1">
      <c r="A81" s="52"/>
      <c r="B81" s="53"/>
      <c r="C81" s="52"/>
      <c r="D81" s="54"/>
      <c r="E81" s="54"/>
      <c r="F81" s="55"/>
      <c r="G81" s="52"/>
      <c r="H81" s="56"/>
      <c r="I81" s="55"/>
      <c r="J81" s="55"/>
      <c r="K81" s="55"/>
      <c r="L81" s="55"/>
      <c r="M81" s="55"/>
      <c r="N81" s="55" t="str">
        <f t="shared" si="9"/>
        <v/>
      </c>
      <c r="O81" s="55" t="str">
        <f t="shared" si="10"/>
        <v/>
      </c>
      <c r="P81" s="57" t="str">
        <f t="shared" si="11"/>
        <v/>
      </c>
      <c r="Q81" s="55" t="str">
        <f t="shared" si="12"/>
        <v/>
      </c>
      <c r="R81" s="58"/>
      <c r="S81" s="59"/>
      <c r="T81" s="53"/>
      <c r="U81" s="54"/>
      <c r="V81" s="54"/>
      <c r="W81" s="52"/>
      <c r="X81" s="54"/>
      <c r="Z81" t="str">
        <f t="shared" si="13"/>
        <v/>
      </c>
      <c r="AA81">
        <f t="shared" si="14"/>
        <v>0</v>
      </c>
      <c r="AB81">
        <f t="shared" si="15"/>
        <v>12</v>
      </c>
      <c r="AC81">
        <f t="shared" si="16"/>
        <v>33</v>
      </c>
      <c r="AD81">
        <f t="shared" si="17"/>
        <v>1</v>
      </c>
    </row>
    <row r="82" spans="1:30" ht="15" customHeight="1">
      <c r="A82" s="52"/>
      <c r="B82" s="53"/>
      <c r="C82" s="52"/>
      <c r="D82" s="54"/>
      <c r="E82" s="54"/>
      <c r="F82" s="55"/>
      <c r="G82" s="52"/>
      <c r="H82" s="56"/>
      <c r="I82" s="55"/>
      <c r="J82" s="55"/>
      <c r="K82" s="55"/>
      <c r="L82" s="55"/>
      <c r="M82" s="55"/>
      <c r="N82" s="55" t="str">
        <f t="shared" si="9"/>
        <v/>
      </c>
      <c r="O82" s="55" t="str">
        <f t="shared" si="10"/>
        <v/>
      </c>
      <c r="P82" s="57" t="str">
        <f t="shared" si="11"/>
        <v/>
      </c>
      <c r="Q82" s="55" t="str">
        <f t="shared" si="12"/>
        <v/>
      </c>
      <c r="R82" s="58"/>
      <c r="S82" s="59"/>
      <c r="T82" s="53"/>
      <c r="U82" s="54"/>
      <c r="V82" s="54"/>
      <c r="W82" s="52"/>
      <c r="X82" s="54"/>
      <c r="Z82" t="str">
        <f t="shared" si="13"/>
        <v/>
      </c>
      <c r="AA82">
        <f t="shared" si="14"/>
        <v>0</v>
      </c>
      <c r="AB82">
        <f t="shared" si="15"/>
        <v>12</v>
      </c>
      <c r="AC82">
        <f t="shared" si="16"/>
        <v>33</v>
      </c>
      <c r="AD82">
        <f t="shared" si="17"/>
        <v>1</v>
      </c>
    </row>
    <row r="83" spans="1:30" ht="15" customHeight="1">
      <c r="A83" s="52"/>
      <c r="B83" s="53"/>
      <c r="C83" s="52"/>
      <c r="D83" s="54"/>
      <c r="E83" s="54"/>
      <c r="F83" s="55"/>
      <c r="G83" s="52"/>
      <c r="H83" s="56"/>
      <c r="I83" s="55"/>
      <c r="J83" s="55"/>
      <c r="K83" s="55"/>
      <c r="L83" s="55"/>
      <c r="M83" s="55"/>
      <c r="N83" s="55" t="str">
        <f t="shared" si="9"/>
        <v/>
      </c>
      <c r="O83" s="55" t="str">
        <f t="shared" si="10"/>
        <v/>
      </c>
      <c r="P83" s="57" t="str">
        <f t="shared" si="11"/>
        <v/>
      </c>
      <c r="Q83" s="55" t="str">
        <f t="shared" si="12"/>
        <v/>
      </c>
      <c r="R83" s="58"/>
      <c r="S83" s="59"/>
      <c r="T83" s="53"/>
      <c r="U83" s="54"/>
      <c r="V83" s="54"/>
      <c r="W83" s="52"/>
      <c r="X83" s="54"/>
      <c r="Z83" t="str">
        <f t="shared" si="13"/>
        <v/>
      </c>
      <c r="AA83">
        <f t="shared" si="14"/>
        <v>0</v>
      </c>
      <c r="AB83">
        <f t="shared" si="15"/>
        <v>12</v>
      </c>
      <c r="AC83">
        <f t="shared" si="16"/>
        <v>33</v>
      </c>
      <c r="AD83">
        <f t="shared" si="17"/>
        <v>1</v>
      </c>
    </row>
    <row r="84" spans="1:30" ht="15" customHeight="1">
      <c r="A84" s="52"/>
      <c r="B84" s="53"/>
      <c r="C84" s="52"/>
      <c r="D84" s="54"/>
      <c r="E84" s="54"/>
      <c r="F84" s="55"/>
      <c r="G84" s="52"/>
      <c r="H84" s="56"/>
      <c r="I84" s="55"/>
      <c r="J84" s="55"/>
      <c r="K84" s="55"/>
      <c r="L84" s="55"/>
      <c r="M84" s="55"/>
      <c r="N84" s="55" t="str">
        <f t="shared" si="9"/>
        <v/>
      </c>
      <c r="O84" s="55" t="str">
        <f t="shared" si="10"/>
        <v/>
      </c>
      <c r="P84" s="57" t="str">
        <f t="shared" si="11"/>
        <v/>
      </c>
      <c r="Q84" s="55" t="str">
        <f t="shared" si="12"/>
        <v/>
      </c>
      <c r="R84" s="58"/>
      <c r="S84" s="59"/>
      <c r="T84" s="53"/>
      <c r="U84" s="54"/>
      <c r="V84" s="54"/>
      <c r="W84" s="52"/>
      <c r="X84" s="54"/>
      <c r="Z84" t="str">
        <f t="shared" si="13"/>
        <v/>
      </c>
      <c r="AA84">
        <f t="shared" si="14"/>
        <v>0</v>
      </c>
      <c r="AB84">
        <f t="shared" si="15"/>
        <v>12</v>
      </c>
      <c r="AC84">
        <f t="shared" si="16"/>
        <v>33</v>
      </c>
      <c r="AD84">
        <f t="shared" si="17"/>
        <v>1</v>
      </c>
    </row>
    <row r="85" spans="1:30" ht="15" customHeight="1">
      <c r="A85" s="52"/>
      <c r="B85" s="53"/>
      <c r="C85" s="52"/>
      <c r="D85" s="54"/>
      <c r="E85" s="54"/>
      <c r="F85" s="55"/>
      <c r="G85" s="52"/>
      <c r="H85" s="56"/>
      <c r="I85" s="55"/>
      <c r="J85" s="55"/>
      <c r="K85" s="55"/>
      <c r="L85" s="55"/>
      <c r="M85" s="55"/>
      <c r="N85" s="55" t="str">
        <f t="shared" si="9"/>
        <v/>
      </c>
      <c r="O85" s="55" t="str">
        <f t="shared" si="10"/>
        <v/>
      </c>
      <c r="P85" s="57" t="str">
        <f t="shared" si="11"/>
        <v/>
      </c>
      <c r="Q85" s="55" t="str">
        <f t="shared" si="12"/>
        <v/>
      </c>
      <c r="R85" s="58"/>
      <c r="S85" s="59"/>
      <c r="T85" s="53"/>
      <c r="U85" s="54"/>
      <c r="V85" s="54"/>
      <c r="W85" s="52"/>
      <c r="X85" s="54"/>
      <c r="Z85" t="str">
        <f t="shared" si="13"/>
        <v/>
      </c>
      <c r="AA85">
        <f t="shared" si="14"/>
        <v>0</v>
      </c>
      <c r="AB85">
        <f t="shared" si="15"/>
        <v>12</v>
      </c>
      <c r="AC85">
        <f t="shared" si="16"/>
        <v>33</v>
      </c>
      <c r="AD85">
        <f t="shared" si="17"/>
        <v>1</v>
      </c>
    </row>
    <row r="86" spans="1:30" ht="15" customHeight="1">
      <c r="A86" s="52"/>
      <c r="B86" s="53"/>
      <c r="C86" s="52"/>
      <c r="D86" s="54"/>
      <c r="E86" s="54"/>
      <c r="F86" s="55"/>
      <c r="G86" s="52"/>
      <c r="H86" s="56"/>
      <c r="I86" s="55"/>
      <c r="J86" s="55"/>
      <c r="K86" s="55"/>
      <c r="L86" s="55"/>
      <c r="M86" s="55"/>
      <c r="N86" s="55" t="str">
        <f t="shared" si="9"/>
        <v/>
      </c>
      <c r="O86" s="55" t="str">
        <f t="shared" si="10"/>
        <v/>
      </c>
      <c r="P86" s="57" t="str">
        <f t="shared" si="11"/>
        <v/>
      </c>
      <c r="Q86" s="55" t="str">
        <f t="shared" si="12"/>
        <v/>
      </c>
      <c r="R86" s="58"/>
      <c r="S86" s="59"/>
      <c r="T86" s="53"/>
      <c r="U86" s="54"/>
      <c r="V86" s="54"/>
      <c r="W86" s="52"/>
      <c r="X86" s="54"/>
      <c r="Z86" t="str">
        <f t="shared" si="13"/>
        <v/>
      </c>
      <c r="AA86">
        <f t="shared" si="14"/>
        <v>0</v>
      </c>
      <c r="AB86">
        <f t="shared" si="15"/>
        <v>12</v>
      </c>
      <c r="AC86">
        <f t="shared" si="16"/>
        <v>33</v>
      </c>
      <c r="AD86">
        <f t="shared" si="17"/>
        <v>1</v>
      </c>
    </row>
    <row r="87" spans="1:30" ht="15" customHeight="1">
      <c r="A87" s="52"/>
      <c r="B87" s="53"/>
      <c r="C87" s="52"/>
      <c r="D87" s="54"/>
      <c r="E87" s="54"/>
      <c r="F87" s="55"/>
      <c r="G87" s="52"/>
      <c r="H87" s="56"/>
      <c r="I87" s="55"/>
      <c r="J87" s="55"/>
      <c r="K87" s="55"/>
      <c r="L87" s="55"/>
      <c r="M87" s="55"/>
      <c r="N87" s="55" t="str">
        <f t="shared" si="9"/>
        <v/>
      </c>
      <c r="O87" s="55" t="str">
        <f t="shared" si="10"/>
        <v/>
      </c>
      <c r="P87" s="57" t="str">
        <f t="shared" si="11"/>
        <v/>
      </c>
      <c r="Q87" s="55" t="str">
        <f t="shared" si="12"/>
        <v/>
      </c>
      <c r="R87" s="58"/>
      <c r="S87" s="59"/>
      <c r="T87" s="53"/>
      <c r="U87" s="54"/>
      <c r="V87" s="54"/>
      <c r="W87" s="52"/>
      <c r="X87" s="54"/>
      <c r="Z87" t="str">
        <f t="shared" si="13"/>
        <v/>
      </c>
      <c r="AA87">
        <f t="shared" si="14"/>
        <v>0</v>
      </c>
      <c r="AB87">
        <f t="shared" si="15"/>
        <v>12</v>
      </c>
      <c r="AC87">
        <f t="shared" si="16"/>
        <v>33</v>
      </c>
      <c r="AD87">
        <f t="shared" si="17"/>
        <v>1</v>
      </c>
    </row>
    <row r="88" spans="1:30" ht="15" customHeight="1">
      <c r="A88" s="52"/>
      <c r="B88" s="53"/>
      <c r="C88" s="52"/>
      <c r="D88" s="54"/>
      <c r="E88" s="54"/>
      <c r="F88" s="55"/>
      <c r="G88" s="52"/>
      <c r="H88" s="56"/>
      <c r="I88" s="55"/>
      <c r="J88" s="55"/>
      <c r="K88" s="55"/>
      <c r="L88" s="55"/>
      <c r="M88" s="55"/>
      <c r="N88" s="55" t="str">
        <f t="shared" si="9"/>
        <v/>
      </c>
      <c r="O88" s="55" t="str">
        <f t="shared" si="10"/>
        <v/>
      </c>
      <c r="P88" s="57" t="str">
        <f t="shared" si="11"/>
        <v/>
      </c>
      <c r="Q88" s="55" t="str">
        <f t="shared" si="12"/>
        <v/>
      </c>
      <c r="R88" s="58"/>
      <c r="S88" s="59"/>
      <c r="T88" s="53"/>
      <c r="U88" s="54"/>
      <c r="V88" s="54"/>
      <c r="W88" s="52"/>
      <c r="X88" s="54"/>
      <c r="Z88" t="str">
        <f t="shared" si="13"/>
        <v/>
      </c>
      <c r="AA88">
        <f t="shared" si="14"/>
        <v>0</v>
      </c>
      <c r="AB88">
        <f t="shared" si="15"/>
        <v>12</v>
      </c>
      <c r="AC88">
        <f t="shared" si="16"/>
        <v>33</v>
      </c>
      <c r="AD88">
        <f t="shared" si="17"/>
        <v>1</v>
      </c>
    </row>
    <row r="89" spans="1:30" ht="15" customHeight="1">
      <c r="A89" s="52"/>
      <c r="B89" s="53"/>
      <c r="C89" s="52"/>
      <c r="D89" s="54"/>
      <c r="E89" s="54"/>
      <c r="F89" s="55"/>
      <c r="G89" s="52"/>
      <c r="H89" s="56"/>
      <c r="I89" s="55"/>
      <c r="J89" s="55"/>
      <c r="K89" s="55"/>
      <c r="L89" s="55"/>
      <c r="M89" s="55"/>
      <c r="N89" s="55" t="str">
        <f t="shared" si="9"/>
        <v/>
      </c>
      <c r="O89" s="55" t="str">
        <f t="shared" si="10"/>
        <v/>
      </c>
      <c r="P89" s="57" t="str">
        <f t="shared" si="11"/>
        <v/>
      </c>
      <c r="Q89" s="55" t="str">
        <f t="shared" si="12"/>
        <v/>
      </c>
      <c r="R89" s="58"/>
      <c r="S89" s="59"/>
      <c r="T89" s="53"/>
      <c r="U89" s="54"/>
      <c r="V89" s="54"/>
      <c r="W89" s="52"/>
      <c r="X89" s="54"/>
      <c r="Z89" t="str">
        <f t="shared" si="13"/>
        <v/>
      </c>
      <c r="AA89">
        <f t="shared" si="14"/>
        <v>0</v>
      </c>
      <c r="AB89">
        <f t="shared" si="15"/>
        <v>12</v>
      </c>
      <c r="AC89">
        <f t="shared" si="16"/>
        <v>33</v>
      </c>
      <c r="AD89">
        <f t="shared" si="17"/>
        <v>1</v>
      </c>
    </row>
    <row r="90" spans="1:30" ht="15" customHeight="1">
      <c r="A90" s="52"/>
      <c r="B90" s="53"/>
      <c r="C90" s="52"/>
      <c r="D90" s="54"/>
      <c r="E90" s="54"/>
      <c r="F90" s="55"/>
      <c r="G90" s="52"/>
      <c r="H90" s="56"/>
      <c r="I90" s="55"/>
      <c r="J90" s="55"/>
      <c r="K90" s="55"/>
      <c r="L90" s="55"/>
      <c r="M90" s="55"/>
      <c r="N90" s="55" t="str">
        <f t="shared" si="9"/>
        <v/>
      </c>
      <c r="O90" s="55" t="str">
        <f t="shared" si="10"/>
        <v/>
      </c>
      <c r="P90" s="57" t="str">
        <f t="shared" si="11"/>
        <v/>
      </c>
      <c r="Q90" s="55" t="str">
        <f t="shared" si="12"/>
        <v/>
      </c>
      <c r="R90" s="58"/>
      <c r="S90" s="59"/>
      <c r="T90" s="53"/>
      <c r="U90" s="54"/>
      <c r="V90" s="54"/>
      <c r="W90" s="52"/>
      <c r="X90" s="54"/>
      <c r="Z90" t="str">
        <f t="shared" si="13"/>
        <v/>
      </c>
      <c r="AA90">
        <f t="shared" si="14"/>
        <v>0</v>
      </c>
      <c r="AB90">
        <f t="shared" si="15"/>
        <v>12</v>
      </c>
      <c r="AC90">
        <f t="shared" si="16"/>
        <v>33</v>
      </c>
      <c r="AD90">
        <f t="shared" si="17"/>
        <v>1</v>
      </c>
    </row>
    <row r="91" spans="1:30" ht="15" customHeight="1">
      <c r="A91" s="52"/>
      <c r="B91" s="53"/>
      <c r="C91" s="52"/>
      <c r="D91" s="54"/>
      <c r="E91" s="54"/>
      <c r="F91" s="55"/>
      <c r="G91" s="52"/>
      <c r="H91" s="56"/>
      <c r="I91" s="55"/>
      <c r="J91" s="55"/>
      <c r="K91" s="55"/>
      <c r="L91" s="55"/>
      <c r="M91" s="55"/>
      <c r="N91" s="55" t="str">
        <f t="shared" si="9"/>
        <v/>
      </c>
      <c r="O91" s="55" t="str">
        <f t="shared" si="10"/>
        <v/>
      </c>
      <c r="P91" s="57" t="str">
        <f t="shared" si="11"/>
        <v/>
      </c>
      <c r="Q91" s="55" t="str">
        <f t="shared" si="12"/>
        <v/>
      </c>
      <c r="R91" s="58"/>
      <c r="S91" s="59"/>
      <c r="T91" s="53"/>
      <c r="U91" s="54"/>
      <c r="V91" s="54"/>
      <c r="W91" s="52"/>
      <c r="X91" s="54"/>
      <c r="Z91" t="str">
        <f t="shared" si="13"/>
        <v/>
      </c>
      <c r="AA91">
        <f t="shared" si="14"/>
        <v>0</v>
      </c>
      <c r="AB91">
        <f t="shared" si="15"/>
        <v>12</v>
      </c>
      <c r="AC91">
        <f t="shared" si="16"/>
        <v>33</v>
      </c>
      <c r="AD91">
        <f t="shared" si="17"/>
        <v>1</v>
      </c>
    </row>
    <row r="92" spans="1:30" ht="15" customHeight="1">
      <c r="A92" s="52"/>
      <c r="B92" s="53"/>
      <c r="C92" s="52"/>
      <c r="D92" s="54"/>
      <c r="E92" s="54"/>
      <c r="F92" s="55"/>
      <c r="G92" s="52"/>
      <c r="H92" s="56"/>
      <c r="I92" s="55"/>
      <c r="J92" s="55"/>
      <c r="K92" s="55"/>
      <c r="L92" s="55"/>
      <c r="M92" s="55"/>
      <c r="N92" s="55" t="str">
        <f t="shared" si="9"/>
        <v/>
      </c>
      <c r="O92" s="55" t="str">
        <f t="shared" si="10"/>
        <v/>
      </c>
      <c r="P92" s="57" t="str">
        <f t="shared" si="11"/>
        <v/>
      </c>
      <c r="Q92" s="55" t="str">
        <f t="shared" si="12"/>
        <v/>
      </c>
      <c r="R92" s="58"/>
      <c r="S92" s="59"/>
      <c r="T92" s="53"/>
      <c r="U92" s="54"/>
      <c r="V92" s="54"/>
      <c r="W92" s="52"/>
      <c r="X92" s="54"/>
      <c r="Z92" t="str">
        <f t="shared" si="13"/>
        <v/>
      </c>
      <c r="AA92">
        <f t="shared" si="14"/>
        <v>0</v>
      </c>
      <c r="AB92">
        <f t="shared" si="15"/>
        <v>12</v>
      </c>
      <c r="AC92">
        <f t="shared" si="16"/>
        <v>33</v>
      </c>
      <c r="AD92">
        <f t="shared" si="17"/>
        <v>1</v>
      </c>
    </row>
    <row r="93" spans="1:30" ht="15" customHeight="1">
      <c r="A93" s="52"/>
      <c r="B93" s="53"/>
      <c r="C93" s="52"/>
      <c r="D93" s="54"/>
      <c r="E93" s="54"/>
      <c r="F93" s="55"/>
      <c r="G93" s="52"/>
      <c r="H93" s="56"/>
      <c r="I93" s="55"/>
      <c r="J93" s="55"/>
      <c r="K93" s="55"/>
      <c r="L93" s="55"/>
      <c r="M93" s="55"/>
      <c r="N93" s="55" t="str">
        <f t="shared" si="9"/>
        <v/>
      </c>
      <c r="O93" s="55" t="str">
        <f t="shared" si="10"/>
        <v/>
      </c>
      <c r="P93" s="57" t="str">
        <f t="shared" si="11"/>
        <v/>
      </c>
      <c r="Q93" s="55" t="str">
        <f t="shared" si="12"/>
        <v/>
      </c>
      <c r="R93" s="58"/>
      <c r="S93" s="59"/>
      <c r="T93" s="53"/>
      <c r="U93" s="54"/>
      <c r="V93" s="54"/>
      <c r="W93" s="52"/>
      <c r="X93" s="54"/>
      <c r="Z93" t="str">
        <f t="shared" si="13"/>
        <v/>
      </c>
      <c r="AA93">
        <f t="shared" si="14"/>
        <v>0</v>
      </c>
      <c r="AB93">
        <f t="shared" si="15"/>
        <v>12</v>
      </c>
      <c r="AC93">
        <f t="shared" si="16"/>
        <v>33</v>
      </c>
      <c r="AD93">
        <f t="shared" si="17"/>
        <v>1</v>
      </c>
    </row>
    <row r="94" spans="1:30" ht="15" customHeight="1">
      <c r="A94" s="52"/>
      <c r="B94" s="53"/>
      <c r="C94" s="52"/>
      <c r="D94" s="54"/>
      <c r="E94" s="54"/>
      <c r="F94" s="55"/>
      <c r="G94" s="52"/>
      <c r="H94" s="56"/>
      <c r="I94" s="55"/>
      <c r="J94" s="55"/>
      <c r="K94" s="55"/>
      <c r="L94" s="55"/>
      <c r="M94" s="55"/>
      <c r="N94" s="55" t="str">
        <f t="shared" si="9"/>
        <v/>
      </c>
      <c r="O94" s="55" t="str">
        <f t="shared" si="10"/>
        <v/>
      </c>
      <c r="P94" s="57" t="str">
        <f t="shared" si="11"/>
        <v/>
      </c>
      <c r="Q94" s="55" t="str">
        <f t="shared" si="12"/>
        <v/>
      </c>
      <c r="R94" s="58"/>
      <c r="S94" s="59"/>
      <c r="T94" s="53"/>
      <c r="U94" s="54"/>
      <c r="V94" s="54"/>
      <c r="W94" s="52"/>
      <c r="X94" s="54"/>
      <c r="Z94" t="str">
        <f t="shared" si="13"/>
        <v/>
      </c>
      <c r="AA94">
        <f t="shared" si="14"/>
        <v>0</v>
      </c>
      <c r="AB94">
        <f t="shared" si="15"/>
        <v>12</v>
      </c>
      <c r="AC94">
        <f t="shared" si="16"/>
        <v>33</v>
      </c>
      <c r="AD94">
        <f t="shared" si="17"/>
        <v>1</v>
      </c>
    </row>
    <row r="95" spans="1:30" ht="15" customHeight="1">
      <c r="A95" s="52"/>
      <c r="B95" s="53"/>
      <c r="C95" s="52"/>
      <c r="D95" s="54"/>
      <c r="E95" s="54"/>
      <c r="F95" s="55"/>
      <c r="G95" s="52"/>
      <c r="H95" s="56"/>
      <c r="I95" s="55"/>
      <c r="J95" s="55"/>
      <c r="K95" s="55"/>
      <c r="L95" s="55"/>
      <c r="M95" s="55"/>
      <c r="N95" s="55" t="str">
        <f t="shared" si="9"/>
        <v/>
      </c>
      <c r="O95" s="55" t="str">
        <f t="shared" si="10"/>
        <v/>
      </c>
      <c r="P95" s="57" t="str">
        <f t="shared" si="11"/>
        <v/>
      </c>
      <c r="Q95" s="55" t="str">
        <f t="shared" si="12"/>
        <v/>
      </c>
      <c r="R95" s="58"/>
      <c r="S95" s="59"/>
      <c r="T95" s="53"/>
      <c r="U95" s="54"/>
      <c r="V95" s="54"/>
      <c r="W95" s="52"/>
      <c r="X95" s="54"/>
      <c r="Z95" t="str">
        <f t="shared" si="13"/>
        <v/>
      </c>
      <c r="AA95">
        <f t="shared" si="14"/>
        <v>0</v>
      </c>
      <c r="AB95">
        <f t="shared" si="15"/>
        <v>12</v>
      </c>
      <c r="AC95">
        <f t="shared" si="16"/>
        <v>33</v>
      </c>
      <c r="AD95">
        <f t="shared" si="17"/>
        <v>1</v>
      </c>
    </row>
    <row r="96" spans="1:30" ht="15" customHeight="1">
      <c r="A96" s="52"/>
      <c r="B96" s="53"/>
      <c r="C96" s="52"/>
      <c r="D96" s="54"/>
      <c r="E96" s="54"/>
      <c r="F96" s="55"/>
      <c r="G96" s="52"/>
      <c r="H96" s="56"/>
      <c r="I96" s="55"/>
      <c r="J96" s="55"/>
      <c r="K96" s="55"/>
      <c r="L96" s="55"/>
      <c r="M96" s="55"/>
      <c r="N96" s="55" t="str">
        <f t="shared" si="9"/>
        <v/>
      </c>
      <c r="O96" s="55" t="str">
        <f t="shared" si="10"/>
        <v/>
      </c>
      <c r="P96" s="57" t="str">
        <f t="shared" si="11"/>
        <v/>
      </c>
      <c r="Q96" s="55" t="str">
        <f t="shared" si="12"/>
        <v/>
      </c>
      <c r="R96" s="58"/>
      <c r="S96" s="59"/>
      <c r="T96" s="53"/>
      <c r="U96" s="54"/>
      <c r="V96" s="54"/>
      <c r="W96" s="52"/>
      <c r="X96" s="54"/>
      <c r="Z96" t="str">
        <f t="shared" si="13"/>
        <v/>
      </c>
      <c r="AA96">
        <f t="shared" si="14"/>
        <v>0</v>
      </c>
      <c r="AB96">
        <f t="shared" si="15"/>
        <v>12</v>
      </c>
      <c r="AC96">
        <f t="shared" si="16"/>
        <v>33</v>
      </c>
      <c r="AD96">
        <f t="shared" si="17"/>
        <v>1</v>
      </c>
    </row>
    <row r="97" spans="1:30" ht="15" customHeight="1">
      <c r="A97" s="52"/>
      <c r="B97" s="53"/>
      <c r="C97" s="52"/>
      <c r="D97" s="54"/>
      <c r="E97" s="54"/>
      <c r="F97" s="55"/>
      <c r="G97" s="52"/>
      <c r="H97" s="56"/>
      <c r="I97" s="55"/>
      <c r="J97" s="55"/>
      <c r="K97" s="55"/>
      <c r="L97" s="55"/>
      <c r="M97" s="55"/>
      <c r="N97" s="55" t="str">
        <f t="shared" si="9"/>
        <v/>
      </c>
      <c r="O97" s="55" t="str">
        <f t="shared" si="10"/>
        <v/>
      </c>
      <c r="P97" s="57" t="str">
        <f t="shared" si="11"/>
        <v/>
      </c>
      <c r="Q97" s="55" t="str">
        <f t="shared" si="12"/>
        <v/>
      </c>
      <c r="R97" s="58"/>
      <c r="S97" s="59"/>
      <c r="T97" s="53"/>
      <c r="U97" s="54"/>
      <c r="V97" s="54"/>
      <c r="W97" s="52"/>
      <c r="X97" s="54"/>
      <c r="Z97" t="str">
        <f t="shared" si="13"/>
        <v/>
      </c>
      <c r="AA97">
        <f t="shared" si="14"/>
        <v>0</v>
      </c>
      <c r="AB97">
        <f t="shared" si="15"/>
        <v>12</v>
      </c>
      <c r="AC97">
        <f t="shared" si="16"/>
        <v>33</v>
      </c>
      <c r="AD97">
        <f t="shared" si="17"/>
        <v>1</v>
      </c>
    </row>
    <row r="98" spans="1:30" ht="15" customHeight="1">
      <c r="A98" s="52"/>
      <c r="B98" s="53"/>
      <c r="C98" s="52"/>
      <c r="D98" s="54"/>
      <c r="E98" s="54"/>
      <c r="F98" s="55"/>
      <c r="G98" s="52"/>
      <c r="H98" s="56"/>
      <c r="I98" s="55"/>
      <c r="J98" s="55"/>
      <c r="K98" s="55"/>
      <c r="L98" s="55"/>
      <c r="M98" s="55"/>
      <c r="N98" s="55" t="str">
        <f t="shared" si="9"/>
        <v/>
      </c>
      <c r="O98" s="55" t="str">
        <f t="shared" si="10"/>
        <v/>
      </c>
      <c r="P98" s="57" t="str">
        <f t="shared" si="11"/>
        <v/>
      </c>
      <c r="Q98" s="55" t="str">
        <f t="shared" si="12"/>
        <v/>
      </c>
      <c r="R98" s="58"/>
      <c r="S98" s="59"/>
      <c r="T98" s="53"/>
      <c r="U98" s="54"/>
      <c r="V98" s="54"/>
      <c r="W98" s="52"/>
      <c r="X98" s="54"/>
      <c r="Z98" t="str">
        <f t="shared" si="13"/>
        <v/>
      </c>
      <c r="AA98">
        <f t="shared" si="14"/>
        <v>0</v>
      </c>
      <c r="AB98">
        <f t="shared" si="15"/>
        <v>12</v>
      </c>
      <c r="AC98">
        <f t="shared" si="16"/>
        <v>33</v>
      </c>
      <c r="AD98">
        <f t="shared" si="17"/>
        <v>1</v>
      </c>
    </row>
    <row r="99" spans="1:30" ht="15" customHeight="1">
      <c r="A99" s="52"/>
      <c r="B99" s="53"/>
      <c r="C99" s="52"/>
      <c r="D99" s="54"/>
      <c r="E99" s="54"/>
      <c r="F99" s="55"/>
      <c r="G99" s="52"/>
      <c r="H99" s="56"/>
      <c r="I99" s="55"/>
      <c r="J99" s="55"/>
      <c r="K99" s="55"/>
      <c r="L99" s="55"/>
      <c r="M99" s="55"/>
      <c r="N99" s="55" t="str">
        <f t="shared" si="9"/>
        <v/>
      </c>
      <c r="O99" s="55" t="str">
        <f t="shared" si="10"/>
        <v/>
      </c>
      <c r="P99" s="57" t="str">
        <f t="shared" si="11"/>
        <v/>
      </c>
      <c r="Q99" s="55" t="str">
        <f t="shared" si="12"/>
        <v/>
      </c>
      <c r="R99" s="58"/>
      <c r="S99" s="59"/>
      <c r="T99" s="53"/>
      <c r="U99" s="54"/>
      <c r="V99" s="54"/>
      <c r="W99" s="52"/>
      <c r="X99" s="54"/>
      <c r="Z99" t="str">
        <f t="shared" si="13"/>
        <v/>
      </c>
      <c r="AA99">
        <f t="shared" si="14"/>
        <v>0</v>
      </c>
      <c r="AB99">
        <f t="shared" si="15"/>
        <v>12</v>
      </c>
      <c r="AC99">
        <f t="shared" si="16"/>
        <v>33</v>
      </c>
      <c r="AD99">
        <f t="shared" si="17"/>
        <v>1</v>
      </c>
    </row>
    <row r="100" spans="1:30" ht="15" customHeight="1">
      <c r="A100" s="52"/>
      <c r="B100" s="53"/>
      <c r="C100" s="52"/>
      <c r="D100" s="54"/>
      <c r="E100" s="54"/>
      <c r="F100" s="55"/>
      <c r="G100" s="52"/>
      <c r="H100" s="56"/>
      <c r="I100" s="55"/>
      <c r="J100" s="55"/>
      <c r="K100" s="55"/>
      <c r="L100" s="55"/>
      <c r="M100" s="55"/>
      <c r="N100" s="55" t="str">
        <f t="shared" si="9"/>
        <v/>
      </c>
      <c r="O100" s="55" t="str">
        <f t="shared" si="10"/>
        <v/>
      </c>
      <c r="P100" s="57" t="str">
        <f t="shared" si="11"/>
        <v/>
      </c>
      <c r="Q100" s="55" t="str">
        <f t="shared" si="12"/>
        <v/>
      </c>
      <c r="R100" s="58"/>
      <c r="S100" s="59"/>
      <c r="T100" s="53"/>
      <c r="U100" s="54"/>
      <c r="V100" s="54"/>
      <c r="W100" s="52"/>
      <c r="X100" s="54"/>
      <c r="Z100" t="str">
        <f t="shared" si="13"/>
        <v/>
      </c>
      <c r="AA100">
        <f t="shared" si="14"/>
        <v>0</v>
      </c>
      <c r="AB100">
        <f t="shared" si="15"/>
        <v>12</v>
      </c>
      <c r="AC100">
        <f t="shared" si="16"/>
        <v>33</v>
      </c>
      <c r="AD100">
        <f t="shared" si="17"/>
        <v>1</v>
      </c>
    </row>
    <row r="101" spans="1:30" ht="15" customHeight="1">
      <c r="A101" s="52"/>
      <c r="B101" s="53"/>
      <c r="C101" s="52"/>
      <c r="D101" s="54"/>
      <c r="E101" s="54"/>
      <c r="F101" s="55"/>
      <c r="G101" s="52"/>
      <c r="H101" s="56"/>
      <c r="I101" s="55"/>
      <c r="J101" s="55"/>
      <c r="K101" s="55"/>
      <c r="L101" s="55"/>
      <c r="M101" s="55"/>
      <c r="N101" s="55" t="str">
        <f t="shared" si="9"/>
        <v/>
      </c>
      <c r="O101" s="55" t="str">
        <f t="shared" si="10"/>
        <v/>
      </c>
      <c r="P101" s="57" t="str">
        <f t="shared" si="11"/>
        <v/>
      </c>
      <c r="Q101" s="55" t="str">
        <f t="shared" si="12"/>
        <v/>
      </c>
      <c r="R101" s="58"/>
      <c r="S101" s="59"/>
      <c r="T101" s="53"/>
      <c r="U101" s="54"/>
      <c r="V101" s="54"/>
      <c r="W101" s="52"/>
      <c r="X101" s="54"/>
      <c r="Z101" t="str">
        <f t="shared" si="13"/>
        <v/>
      </c>
      <c r="AA101">
        <f t="shared" si="14"/>
        <v>0</v>
      </c>
      <c r="AB101">
        <f t="shared" si="15"/>
        <v>12</v>
      </c>
      <c r="AC101">
        <f t="shared" si="16"/>
        <v>33</v>
      </c>
      <c r="AD101">
        <f t="shared" si="17"/>
        <v>1</v>
      </c>
    </row>
    <row r="102" spans="1:30" ht="15" customHeight="1">
      <c r="A102" s="52"/>
      <c r="B102" s="53"/>
      <c r="C102" s="52"/>
      <c r="D102" s="54"/>
      <c r="E102" s="54"/>
      <c r="F102" s="55"/>
      <c r="G102" s="52"/>
      <c r="H102" s="56"/>
      <c r="I102" s="55"/>
      <c r="J102" s="55"/>
      <c r="K102" s="55"/>
      <c r="L102" s="55"/>
      <c r="M102" s="55"/>
      <c r="N102" s="55" t="str">
        <f t="shared" si="9"/>
        <v/>
      </c>
      <c r="O102" s="55" t="str">
        <f t="shared" si="10"/>
        <v/>
      </c>
      <c r="P102" s="57" t="str">
        <f t="shared" si="11"/>
        <v/>
      </c>
      <c r="Q102" s="55" t="str">
        <f t="shared" si="12"/>
        <v/>
      </c>
      <c r="R102" s="58"/>
      <c r="S102" s="59"/>
      <c r="T102" s="53"/>
      <c r="U102" s="54"/>
      <c r="V102" s="54"/>
      <c r="W102" s="52"/>
      <c r="X102" s="54"/>
      <c r="Z102" t="str">
        <f t="shared" si="13"/>
        <v/>
      </c>
      <c r="AA102">
        <f t="shared" si="14"/>
        <v>0</v>
      </c>
      <c r="AB102">
        <f t="shared" si="15"/>
        <v>12</v>
      </c>
      <c r="AC102">
        <f t="shared" si="16"/>
        <v>33</v>
      </c>
      <c r="AD102">
        <f t="shared" si="17"/>
        <v>1</v>
      </c>
    </row>
    <row r="103" spans="1:30" ht="15" customHeight="1">
      <c r="A103" s="52"/>
      <c r="B103" s="53"/>
      <c r="C103" s="52"/>
      <c r="D103" s="54"/>
      <c r="E103" s="54"/>
      <c r="F103" s="55"/>
      <c r="G103" s="52"/>
      <c r="H103" s="56"/>
      <c r="I103" s="55"/>
      <c r="J103" s="55"/>
      <c r="K103" s="55"/>
      <c r="L103" s="55"/>
      <c r="M103" s="55"/>
      <c r="N103" s="55" t="str">
        <f t="shared" si="9"/>
        <v/>
      </c>
      <c r="O103" s="55" t="str">
        <f t="shared" si="10"/>
        <v/>
      </c>
      <c r="P103" s="57" t="str">
        <f t="shared" si="11"/>
        <v/>
      </c>
      <c r="Q103" s="55" t="str">
        <f t="shared" si="12"/>
        <v/>
      </c>
      <c r="R103" s="58"/>
      <c r="S103" s="59"/>
      <c r="T103" s="53"/>
      <c r="U103" s="54"/>
      <c r="V103" s="54"/>
      <c r="W103" s="52"/>
      <c r="X103" s="54"/>
      <c r="Z103" t="str">
        <f t="shared" si="13"/>
        <v/>
      </c>
      <c r="AA103">
        <f t="shared" si="14"/>
        <v>0</v>
      </c>
      <c r="AB103">
        <f t="shared" si="15"/>
        <v>12</v>
      </c>
      <c r="AC103">
        <f t="shared" si="16"/>
        <v>33</v>
      </c>
      <c r="AD103">
        <f t="shared" si="17"/>
        <v>1</v>
      </c>
    </row>
    <row r="104" spans="1:30" ht="15" customHeight="1">
      <c r="A104" s="52"/>
      <c r="B104" s="53"/>
      <c r="C104" s="52"/>
      <c r="D104" s="54"/>
      <c r="E104" s="54"/>
      <c r="F104" s="55"/>
      <c r="G104" s="52"/>
      <c r="H104" s="56"/>
      <c r="I104" s="55"/>
      <c r="J104" s="55"/>
      <c r="K104" s="55"/>
      <c r="L104" s="55"/>
      <c r="M104" s="55"/>
      <c r="N104" s="55" t="str">
        <f t="shared" si="9"/>
        <v/>
      </c>
      <c r="O104" s="55" t="str">
        <f t="shared" si="10"/>
        <v/>
      </c>
      <c r="P104" s="57" t="str">
        <f t="shared" si="11"/>
        <v/>
      </c>
      <c r="Q104" s="55" t="str">
        <f t="shared" si="12"/>
        <v/>
      </c>
      <c r="R104" s="58"/>
      <c r="S104" s="59"/>
      <c r="T104" s="53"/>
      <c r="U104" s="54"/>
      <c r="V104" s="54"/>
      <c r="W104" s="52"/>
      <c r="X104" s="54"/>
      <c r="Z104" t="str">
        <f t="shared" si="13"/>
        <v/>
      </c>
      <c r="AA104">
        <f t="shared" si="14"/>
        <v>0</v>
      </c>
      <c r="AB104">
        <f t="shared" si="15"/>
        <v>12</v>
      </c>
      <c r="AC104">
        <f t="shared" si="16"/>
        <v>33</v>
      </c>
      <c r="AD104">
        <f t="shared" si="17"/>
        <v>1</v>
      </c>
    </row>
    <row r="105" spans="1:30" ht="15" customHeight="1">
      <c r="A105" s="52"/>
      <c r="B105" s="53"/>
      <c r="C105" s="52"/>
      <c r="D105" s="54"/>
      <c r="E105" s="54"/>
      <c r="F105" s="55"/>
      <c r="G105" s="52"/>
      <c r="H105" s="56"/>
      <c r="I105" s="55"/>
      <c r="J105" s="55"/>
      <c r="K105" s="55"/>
      <c r="L105" s="55"/>
      <c r="M105" s="55"/>
      <c r="N105" s="55" t="str">
        <f t="shared" si="9"/>
        <v/>
      </c>
      <c r="O105" s="55" t="str">
        <f t="shared" si="10"/>
        <v/>
      </c>
      <c r="P105" s="57" t="str">
        <f t="shared" si="11"/>
        <v/>
      </c>
      <c r="Q105" s="55" t="str">
        <f t="shared" si="12"/>
        <v/>
      </c>
      <c r="R105" s="58"/>
      <c r="S105" s="59"/>
      <c r="T105" s="53"/>
      <c r="U105" s="54"/>
      <c r="V105" s="54"/>
      <c r="W105" s="52"/>
      <c r="X105" s="54"/>
      <c r="Z105" t="str">
        <f t="shared" si="13"/>
        <v/>
      </c>
      <c r="AA105">
        <f t="shared" si="14"/>
        <v>0</v>
      </c>
      <c r="AB105">
        <f t="shared" si="15"/>
        <v>12</v>
      </c>
      <c r="AC105">
        <f t="shared" si="16"/>
        <v>33</v>
      </c>
      <c r="AD105">
        <f t="shared" si="17"/>
        <v>1</v>
      </c>
    </row>
    <row r="106" spans="1:30" ht="15" customHeight="1">
      <c r="A106" s="52"/>
      <c r="B106" s="53"/>
      <c r="C106" s="52"/>
      <c r="D106" s="54"/>
      <c r="E106" s="54"/>
      <c r="F106" s="55"/>
      <c r="G106" s="52"/>
      <c r="H106" s="56"/>
      <c r="I106" s="55"/>
      <c r="J106" s="55"/>
      <c r="K106" s="55"/>
      <c r="L106" s="55"/>
      <c r="M106" s="55"/>
      <c r="N106" s="55" t="str">
        <f t="shared" si="9"/>
        <v/>
      </c>
      <c r="O106" s="55" t="str">
        <f t="shared" si="10"/>
        <v/>
      </c>
      <c r="P106" s="57" t="str">
        <f t="shared" si="11"/>
        <v/>
      </c>
      <c r="Q106" s="55" t="str">
        <f t="shared" si="12"/>
        <v/>
      </c>
      <c r="R106" s="58"/>
      <c r="S106" s="59"/>
      <c r="T106" s="53"/>
      <c r="U106" s="54"/>
      <c r="V106" s="54"/>
      <c r="W106" s="52"/>
      <c r="X106" s="54"/>
      <c r="Z106" t="str">
        <f t="shared" si="13"/>
        <v/>
      </c>
      <c r="AA106">
        <f t="shared" si="14"/>
        <v>0</v>
      </c>
      <c r="AB106">
        <f t="shared" si="15"/>
        <v>12</v>
      </c>
      <c r="AC106">
        <f t="shared" si="16"/>
        <v>33</v>
      </c>
      <c r="AD106">
        <f t="shared" si="17"/>
        <v>1</v>
      </c>
    </row>
    <row r="107" spans="1:30" ht="15" customHeight="1">
      <c r="A107" s="52"/>
      <c r="B107" s="53"/>
      <c r="C107" s="52"/>
      <c r="D107" s="54"/>
      <c r="E107" s="54"/>
      <c r="F107" s="55"/>
      <c r="G107" s="52"/>
      <c r="H107" s="56"/>
      <c r="I107" s="55"/>
      <c r="J107" s="55"/>
      <c r="K107" s="55"/>
      <c r="L107" s="55"/>
      <c r="M107" s="55"/>
      <c r="N107" s="55" t="str">
        <f t="shared" si="9"/>
        <v/>
      </c>
      <c r="O107" s="55" t="str">
        <f t="shared" si="10"/>
        <v/>
      </c>
      <c r="P107" s="57" t="str">
        <f t="shared" si="11"/>
        <v/>
      </c>
      <c r="Q107" s="55" t="str">
        <f t="shared" si="12"/>
        <v/>
      </c>
      <c r="R107" s="58"/>
      <c r="S107" s="59"/>
      <c r="T107" s="53"/>
      <c r="U107" s="54"/>
      <c r="V107" s="54"/>
      <c r="W107" s="52"/>
      <c r="X107" s="54"/>
      <c r="Z107" t="str">
        <f t="shared" si="13"/>
        <v/>
      </c>
      <c r="AA107">
        <f t="shared" si="14"/>
        <v>0</v>
      </c>
      <c r="AB107">
        <f t="shared" si="15"/>
        <v>12</v>
      </c>
      <c r="AC107">
        <f t="shared" si="16"/>
        <v>33</v>
      </c>
      <c r="AD107">
        <f t="shared" si="17"/>
        <v>1</v>
      </c>
    </row>
    <row r="108" spans="1:30" ht="15" customHeight="1">
      <c r="A108" s="52"/>
      <c r="B108" s="53"/>
      <c r="C108" s="52"/>
      <c r="D108" s="54"/>
      <c r="E108" s="54"/>
      <c r="F108" s="55"/>
      <c r="G108" s="52"/>
      <c r="H108" s="56"/>
      <c r="I108" s="55"/>
      <c r="J108" s="55"/>
      <c r="K108" s="55"/>
      <c r="L108" s="55"/>
      <c r="M108" s="55"/>
      <c r="N108" s="55" t="str">
        <f t="shared" si="9"/>
        <v/>
      </c>
      <c r="O108" s="55" t="str">
        <f t="shared" si="10"/>
        <v/>
      </c>
      <c r="P108" s="57" t="str">
        <f t="shared" si="11"/>
        <v/>
      </c>
      <c r="Q108" s="55" t="str">
        <f t="shared" si="12"/>
        <v/>
      </c>
      <c r="R108" s="58"/>
      <c r="S108" s="59"/>
      <c r="T108" s="53"/>
      <c r="U108" s="54"/>
      <c r="V108" s="54"/>
      <c r="W108" s="52"/>
      <c r="X108" s="54"/>
      <c r="Z108" t="str">
        <f t="shared" si="13"/>
        <v/>
      </c>
      <c r="AA108">
        <f t="shared" si="14"/>
        <v>0</v>
      </c>
      <c r="AB108">
        <f t="shared" si="15"/>
        <v>12</v>
      </c>
      <c r="AC108">
        <f t="shared" si="16"/>
        <v>33</v>
      </c>
      <c r="AD108">
        <f t="shared" si="17"/>
        <v>1</v>
      </c>
    </row>
    <row r="109" spans="1:30" ht="15" customHeight="1">
      <c r="A109" s="52"/>
      <c r="B109" s="53"/>
      <c r="C109" s="52"/>
      <c r="D109" s="54"/>
      <c r="E109" s="54"/>
      <c r="F109" s="55"/>
      <c r="G109" s="52"/>
      <c r="H109" s="56"/>
      <c r="I109" s="55"/>
      <c r="J109" s="55"/>
      <c r="K109" s="55"/>
      <c r="L109" s="55"/>
      <c r="M109" s="55"/>
      <c r="N109" s="55" t="str">
        <f t="shared" si="9"/>
        <v/>
      </c>
      <c r="O109" s="55" t="str">
        <f t="shared" si="10"/>
        <v/>
      </c>
      <c r="P109" s="57" t="str">
        <f t="shared" si="11"/>
        <v/>
      </c>
      <c r="Q109" s="55" t="str">
        <f t="shared" si="12"/>
        <v/>
      </c>
      <c r="R109" s="58"/>
      <c r="S109" s="59"/>
      <c r="T109" s="53"/>
      <c r="U109" s="54"/>
      <c r="V109" s="54"/>
      <c r="W109" s="52"/>
      <c r="X109" s="54"/>
      <c r="Z109" t="str">
        <f t="shared" si="13"/>
        <v/>
      </c>
      <c r="AA109">
        <f t="shared" si="14"/>
        <v>0</v>
      </c>
      <c r="AB109">
        <f t="shared" si="15"/>
        <v>12</v>
      </c>
      <c r="AC109">
        <f t="shared" si="16"/>
        <v>33</v>
      </c>
      <c r="AD109">
        <f t="shared" si="17"/>
        <v>1</v>
      </c>
    </row>
    <row r="110" spans="1:30" ht="15" customHeight="1">
      <c r="A110" s="52"/>
      <c r="B110" s="53"/>
      <c r="C110" s="52"/>
      <c r="D110" s="54"/>
      <c r="E110" s="54"/>
      <c r="F110" s="55"/>
      <c r="G110" s="52"/>
      <c r="H110" s="56"/>
      <c r="I110" s="55"/>
      <c r="J110" s="55"/>
      <c r="K110" s="55"/>
      <c r="L110" s="55"/>
      <c r="M110" s="55"/>
      <c r="N110" s="55" t="str">
        <f t="shared" si="9"/>
        <v/>
      </c>
      <c r="O110" s="55" t="str">
        <f t="shared" si="10"/>
        <v/>
      </c>
      <c r="P110" s="57" t="str">
        <f t="shared" si="11"/>
        <v/>
      </c>
      <c r="Q110" s="55" t="str">
        <f t="shared" si="12"/>
        <v/>
      </c>
      <c r="R110" s="58"/>
      <c r="S110" s="59"/>
      <c r="T110" s="53"/>
      <c r="U110" s="54"/>
      <c r="V110" s="54"/>
      <c r="W110" s="52"/>
      <c r="X110" s="54"/>
      <c r="Z110" t="str">
        <f t="shared" si="13"/>
        <v/>
      </c>
      <c r="AA110">
        <f t="shared" si="14"/>
        <v>0</v>
      </c>
      <c r="AB110">
        <f t="shared" si="15"/>
        <v>12</v>
      </c>
      <c r="AC110">
        <f t="shared" si="16"/>
        <v>33</v>
      </c>
      <c r="AD110">
        <f t="shared" si="17"/>
        <v>1</v>
      </c>
    </row>
    <row r="111" spans="1:30" ht="15" customHeight="1">
      <c r="A111" s="52"/>
      <c r="B111" s="53"/>
      <c r="C111" s="52"/>
      <c r="D111" s="54"/>
      <c r="E111" s="54"/>
      <c r="F111" s="55"/>
      <c r="G111" s="52"/>
      <c r="H111" s="56"/>
      <c r="I111" s="55"/>
      <c r="J111" s="55"/>
      <c r="K111" s="55"/>
      <c r="L111" s="55"/>
      <c r="M111" s="55"/>
      <c r="N111" s="55" t="str">
        <f t="shared" si="9"/>
        <v/>
      </c>
      <c r="O111" s="55" t="str">
        <f t="shared" si="10"/>
        <v/>
      </c>
      <c r="P111" s="57" t="str">
        <f t="shared" si="11"/>
        <v/>
      </c>
      <c r="Q111" s="55" t="str">
        <f t="shared" si="12"/>
        <v/>
      </c>
      <c r="R111" s="58"/>
      <c r="S111" s="59"/>
      <c r="T111" s="53"/>
      <c r="U111" s="54"/>
      <c r="V111" s="54"/>
      <c r="W111" s="52"/>
      <c r="X111" s="54"/>
      <c r="Z111" t="str">
        <f t="shared" si="13"/>
        <v/>
      </c>
      <c r="AA111">
        <f t="shared" si="14"/>
        <v>0</v>
      </c>
      <c r="AB111">
        <f t="shared" si="15"/>
        <v>12</v>
      </c>
      <c r="AC111">
        <f t="shared" si="16"/>
        <v>33</v>
      </c>
      <c r="AD111">
        <f t="shared" si="17"/>
        <v>1</v>
      </c>
    </row>
    <row r="112" spans="1:30" ht="15" customHeight="1">
      <c r="A112" s="52"/>
      <c r="B112" s="53"/>
      <c r="C112" s="52"/>
      <c r="D112" s="54"/>
      <c r="E112" s="54"/>
      <c r="F112" s="55"/>
      <c r="G112" s="52"/>
      <c r="H112" s="56"/>
      <c r="I112" s="55"/>
      <c r="J112" s="55"/>
      <c r="K112" s="55"/>
      <c r="L112" s="55"/>
      <c r="M112" s="55"/>
      <c r="N112" s="55" t="str">
        <f t="shared" si="9"/>
        <v/>
      </c>
      <c r="O112" s="55" t="str">
        <f t="shared" si="10"/>
        <v/>
      </c>
      <c r="P112" s="57" t="str">
        <f t="shared" si="11"/>
        <v/>
      </c>
      <c r="Q112" s="55" t="str">
        <f t="shared" si="12"/>
        <v/>
      </c>
      <c r="R112" s="58"/>
      <c r="S112" s="59"/>
      <c r="T112" s="53"/>
      <c r="U112" s="54"/>
      <c r="V112" s="54"/>
      <c r="W112" s="52"/>
      <c r="X112" s="54"/>
      <c r="Z112" t="str">
        <f t="shared" si="13"/>
        <v/>
      </c>
      <c r="AA112">
        <f t="shared" si="14"/>
        <v>0</v>
      </c>
      <c r="AB112">
        <f t="shared" si="15"/>
        <v>12</v>
      </c>
      <c r="AC112">
        <f t="shared" si="16"/>
        <v>33</v>
      </c>
      <c r="AD112">
        <f t="shared" si="17"/>
        <v>1</v>
      </c>
    </row>
    <row r="113" spans="1:30" ht="15" customHeight="1">
      <c r="A113" s="52"/>
      <c r="B113" s="53"/>
      <c r="C113" s="52"/>
      <c r="D113" s="54"/>
      <c r="E113" s="54"/>
      <c r="F113" s="55"/>
      <c r="G113" s="52"/>
      <c r="H113" s="56"/>
      <c r="I113" s="55"/>
      <c r="J113" s="55"/>
      <c r="K113" s="55"/>
      <c r="L113" s="55"/>
      <c r="M113" s="55"/>
      <c r="N113" s="55" t="str">
        <f t="shared" si="9"/>
        <v/>
      </c>
      <c r="O113" s="55" t="str">
        <f t="shared" si="10"/>
        <v/>
      </c>
      <c r="P113" s="57" t="str">
        <f t="shared" si="11"/>
        <v/>
      </c>
      <c r="Q113" s="55" t="str">
        <f t="shared" si="12"/>
        <v/>
      </c>
      <c r="R113" s="58"/>
      <c r="S113" s="59"/>
      <c r="T113" s="53"/>
      <c r="U113" s="54"/>
      <c r="V113" s="54"/>
      <c r="W113" s="52"/>
      <c r="X113" s="54"/>
      <c r="Z113" t="str">
        <f t="shared" si="13"/>
        <v/>
      </c>
      <c r="AA113">
        <f t="shared" si="14"/>
        <v>0</v>
      </c>
      <c r="AB113">
        <f t="shared" si="15"/>
        <v>12</v>
      </c>
      <c r="AC113">
        <f t="shared" si="16"/>
        <v>33</v>
      </c>
      <c r="AD113">
        <f t="shared" si="17"/>
        <v>1</v>
      </c>
    </row>
    <row r="114" spans="1:30" ht="15" customHeight="1">
      <c r="A114" s="52"/>
      <c r="B114" s="53"/>
      <c r="C114" s="52"/>
      <c r="D114" s="54"/>
      <c r="E114" s="54"/>
      <c r="F114" s="55"/>
      <c r="G114" s="52"/>
      <c r="H114" s="56"/>
      <c r="I114" s="55"/>
      <c r="J114" s="55"/>
      <c r="K114" s="55"/>
      <c r="L114" s="55"/>
      <c r="M114" s="55"/>
      <c r="N114" s="55" t="str">
        <f t="shared" si="9"/>
        <v/>
      </c>
      <c r="O114" s="55" t="str">
        <f t="shared" si="10"/>
        <v/>
      </c>
      <c r="P114" s="57" t="str">
        <f t="shared" si="11"/>
        <v/>
      </c>
      <c r="Q114" s="55" t="str">
        <f t="shared" si="12"/>
        <v/>
      </c>
      <c r="R114" s="58"/>
      <c r="S114" s="59"/>
      <c r="T114" s="53"/>
      <c r="U114" s="54"/>
      <c r="V114" s="54"/>
      <c r="W114" s="52"/>
      <c r="X114" s="54"/>
      <c r="Z114" t="str">
        <f t="shared" si="13"/>
        <v/>
      </c>
      <c r="AA114">
        <f t="shared" si="14"/>
        <v>0</v>
      </c>
      <c r="AB114">
        <f t="shared" si="15"/>
        <v>12</v>
      </c>
      <c r="AC114">
        <f t="shared" si="16"/>
        <v>33</v>
      </c>
      <c r="AD114">
        <f t="shared" si="17"/>
        <v>1</v>
      </c>
    </row>
    <row r="115" spans="1:30" ht="15" customHeight="1">
      <c r="A115" s="52"/>
      <c r="B115" s="53"/>
      <c r="C115" s="52"/>
      <c r="D115" s="54"/>
      <c r="E115" s="54"/>
      <c r="F115" s="55"/>
      <c r="G115" s="52"/>
      <c r="H115" s="56"/>
      <c r="I115" s="55"/>
      <c r="J115" s="55"/>
      <c r="K115" s="55"/>
      <c r="L115" s="55"/>
      <c r="M115" s="55"/>
      <c r="N115" s="55" t="str">
        <f t="shared" si="9"/>
        <v/>
      </c>
      <c r="O115" s="55" t="str">
        <f t="shared" si="10"/>
        <v/>
      </c>
      <c r="P115" s="57" t="str">
        <f t="shared" si="11"/>
        <v/>
      </c>
      <c r="Q115" s="55" t="str">
        <f t="shared" si="12"/>
        <v/>
      </c>
      <c r="R115" s="58"/>
      <c r="S115" s="59"/>
      <c r="T115" s="53"/>
      <c r="U115" s="54"/>
      <c r="V115" s="54"/>
      <c r="W115" s="52"/>
      <c r="X115" s="54"/>
      <c r="Z115" t="str">
        <f t="shared" si="13"/>
        <v/>
      </c>
      <c r="AA115">
        <f t="shared" si="14"/>
        <v>0</v>
      </c>
      <c r="AB115">
        <f t="shared" si="15"/>
        <v>12</v>
      </c>
      <c r="AC115">
        <f t="shared" si="16"/>
        <v>33</v>
      </c>
      <c r="AD115">
        <f t="shared" si="17"/>
        <v>1</v>
      </c>
    </row>
    <row r="116" spans="1:30" ht="15" customHeight="1">
      <c r="A116" s="52"/>
      <c r="B116" s="53"/>
      <c r="C116" s="52"/>
      <c r="D116" s="54"/>
      <c r="E116" s="54"/>
      <c r="F116" s="55"/>
      <c r="G116" s="52"/>
      <c r="H116" s="56"/>
      <c r="I116" s="55"/>
      <c r="J116" s="55"/>
      <c r="K116" s="55"/>
      <c r="L116" s="55"/>
      <c r="M116" s="55"/>
      <c r="N116" s="55" t="str">
        <f t="shared" si="9"/>
        <v/>
      </c>
      <c r="O116" s="55" t="str">
        <f t="shared" si="10"/>
        <v/>
      </c>
      <c r="P116" s="57" t="str">
        <f t="shared" si="11"/>
        <v/>
      </c>
      <c r="Q116" s="55" t="str">
        <f t="shared" si="12"/>
        <v/>
      </c>
      <c r="R116" s="58"/>
      <c r="S116" s="59"/>
      <c r="T116" s="53"/>
      <c r="U116" s="54"/>
      <c r="V116" s="54"/>
      <c r="W116" s="52"/>
      <c r="X116" s="54"/>
      <c r="Z116" t="str">
        <f t="shared" si="13"/>
        <v/>
      </c>
      <c r="AA116">
        <f t="shared" si="14"/>
        <v>0</v>
      </c>
      <c r="AB116">
        <f t="shared" si="15"/>
        <v>12</v>
      </c>
      <c r="AC116">
        <f t="shared" si="16"/>
        <v>33</v>
      </c>
      <c r="AD116">
        <f t="shared" si="17"/>
        <v>1</v>
      </c>
    </row>
    <row r="117" spans="1:30" ht="15" customHeight="1">
      <c r="A117" s="52"/>
      <c r="B117" s="53"/>
      <c r="C117" s="52"/>
      <c r="D117" s="54"/>
      <c r="E117" s="54"/>
      <c r="F117" s="55"/>
      <c r="G117" s="52"/>
      <c r="H117" s="56"/>
      <c r="I117" s="55"/>
      <c r="J117" s="55"/>
      <c r="K117" s="55"/>
      <c r="L117" s="55"/>
      <c r="M117" s="55"/>
      <c r="N117" s="55" t="str">
        <f t="shared" ref="N117:N180" si="27">IF(ISNUMBER(I117),ROUND(I117-I117/1.081,2),"")</f>
        <v/>
      </c>
      <c r="O117" s="55" t="str">
        <f t="shared" si="10"/>
        <v/>
      </c>
      <c r="P117" s="57" t="str">
        <f t="shared" si="11"/>
        <v/>
      </c>
      <c r="Q117" s="55" t="str">
        <f t="shared" si="12"/>
        <v/>
      </c>
      <c r="R117" s="58"/>
      <c r="S117" s="59"/>
      <c r="T117" s="53"/>
      <c r="U117" s="54"/>
      <c r="V117" s="54"/>
      <c r="W117" s="52"/>
      <c r="X117" s="54"/>
      <c r="Z117" t="str">
        <f t="shared" si="13"/>
        <v/>
      </c>
      <c r="AA117">
        <f t="shared" si="14"/>
        <v>0</v>
      </c>
      <c r="AB117">
        <f t="shared" si="15"/>
        <v>12</v>
      </c>
      <c r="AC117">
        <f t="shared" si="16"/>
        <v>33</v>
      </c>
      <c r="AD117">
        <f t="shared" si="17"/>
        <v>1</v>
      </c>
    </row>
    <row r="118" spans="1:30" ht="15" customHeight="1">
      <c r="A118" s="52"/>
      <c r="B118" s="53"/>
      <c r="C118" s="52"/>
      <c r="D118" s="54"/>
      <c r="E118" s="54"/>
      <c r="F118" s="55"/>
      <c r="G118" s="52"/>
      <c r="H118" s="56"/>
      <c r="I118" s="55"/>
      <c r="J118" s="55"/>
      <c r="K118" s="55"/>
      <c r="L118" s="55"/>
      <c r="M118" s="55"/>
      <c r="N118" s="55" t="str">
        <f t="shared" si="27"/>
        <v/>
      </c>
      <c r="O118" s="55" t="str">
        <f t="shared" si="10"/>
        <v/>
      </c>
      <c r="P118" s="57" t="str">
        <f t="shared" si="11"/>
        <v/>
      </c>
      <c r="Q118" s="55" t="str">
        <f t="shared" si="12"/>
        <v/>
      </c>
      <c r="R118" s="58"/>
      <c r="S118" s="59"/>
      <c r="T118" s="53"/>
      <c r="U118" s="54"/>
      <c r="V118" s="54"/>
      <c r="W118" s="52"/>
      <c r="X118" s="54"/>
      <c r="Z118" t="str">
        <f t="shared" si="13"/>
        <v/>
      </c>
      <c r="AA118">
        <f t="shared" si="14"/>
        <v>0</v>
      </c>
      <c r="AB118">
        <f t="shared" si="15"/>
        <v>12</v>
      </c>
      <c r="AC118">
        <f t="shared" si="16"/>
        <v>33</v>
      </c>
      <c r="AD118">
        <f t="shared" si="17"/>
        <v>1</v>
      </c>
    </row>
    <row r="119" spans="1:30" ht="15" customHeight="1">
      <c r="A119" s="52"/>
      <c r="B119" s="53"/>
      <c r="C119" s="52"/>
      <c r="D119" s="54"/>
      <c r="E119" s="54"/>
      <c r="F119" s="55"/>
      <c r="G119" s="52"/>
      <c r="H119" s="56"/>
      <c r="I119" s="55"/>
      <c r="J119" s="55"/>
      <c r="K119" s="55"/>
      <c r="L119" s="55"/>
      <c r="M119" s="55"/>
      <c r="N119" s="55" t="str">
        <f t="shared" si="27"/>
        <v/>
      </c>
      <c r="O119" s="55" t="str">
        <f t="shared" si="10"/>
        <v/>
      </c>
      <c r="P119" s="57" t="str">
        <f t="shared" si="11"/>
        <v/>
      </c>
      <c r="Q119" s="55" t="str">
        <f t="shared" si="12"/>
        <v/>
      </c>
      <c r="R119" s="58"/>
      <c r="S119" s="59"/>
      <c r="T119" s="53"/>
      <c r="U119" s="54"/>
      <c r="V119" s="54"/>
      <c r="W119" s="52"/>
      <c r="X119" s="54"/>
      <c r="Z119" t="str">
        <f t="shared" si="13"/>
        <v/>
      </c>
      <c r="AA119">
        <f t="shared" si="14"/>
        <v>0</v>
      </c>
      <c r="AB119">
        <f t="shared" si="15"/>
        <v>12</v>
      </c>
      <c r="AC119">
        <f t="shared" si="16"/>
        <v>33</v>
      </c>
      <c r="AD119">
        <f t="shared" si="17"/>
        <v>1</v>
      </c>
    </row>
    <row r="120" spans="1:30" ht="15" customHeight="1">
      <c r="A120" s="52"/>
      <c r="B120" s="53"/>
      <c r="C120" s="52"/>
      <c r="D120" s="54"/>
      <c r="E120" s="54"/>
      <c r="F120" s="55"/>
      <c r="G120" s="52"/>
      <c r="H120" s="56"/>
      <c r="I120" s="55"/>
      <c r="J120" s="55"/>
      <c r="K120" s="55"/>
      <c r="L120" s="55"/>
      <c r="M120" s="55"/>
      <c r="N120" s="55" t="str">
        <f t="shared" si="27"/>
        <v/>
      </c>
      <c r="O120" s="55" t="str">
        <f t="shared" si="10"/>
        <v/>
      </c>
      <c r="P120" s="57" t="str">
        <f t="shared" si="11"/>
        <v/>
      </c>
      <c r="Q120" s="55" t="str">
        <f t="shared" si="12"/>
        <v/>
      </c>
      <c r="R120" s="58"/>
      <c r="S120" s="59"/>
      <c r="T120" s="53"/>
      <c r="U120" s="54"/>
      <c r="V120" s="54"/>
      <c r="W120" s="52"/>
      <c r="X120" s="54"/>
      <c r="Z120" t="str">
        <f t="shared" si="13"/>
        <v/>
      </c>
      <c r="AA120">
        <f t="shared" si="14"/>
        <v>0</v>
      </c>
      <c r="AB120">
        <f t="shared" si="15"/>
        <v>12</v>
      </c>
      <c r="AC120">
        <f t="shared" si="16"/>
        <v>33</v>
      </c>
      <c r="AD120">
        <f t="shared" si="17"/>
        <v>1</v>
      </c>
    </row>
    <row r="121" spans="1:30" ht="15" customHeight="1">
      <c r="I121" s="69"/>
      <c r="J121" s="69"/>
      <c r="K121" s="69"/>
      <c r="L121" s="69"/>
      <c r="M121" s="69"/>
      <c r="N121" s="69" t="str">
        <f t="shared" si="27"/>
        <v/>
      </c>
      <c r="O121" s="69" t="str">
        <f t="shared" si="10"/>
        <v/>
      </c>
      <c r="P121" s="70" t="str">
        <f t="shared" si="11"/>
        <v/>
      </c>
      <c r="Q121" s="69" t="str">
        <f t="shared" si="12"/>
        <v/>
      </c>
      <c r="S121" s="71"/>
      <c r="Z121" t="str">
        <f t="shared" si="13"/>
        <v/>
      </c>
      <c r="AA121">
        <f t="shared" si="14"/>
        <v>0</v>
      </c>
      <c r="AB121">
        <f t="shared" si="15"/>
        <v>12</v>
      </c>
      <c r="AC121">
        <f t="shared" si="16"/>
        <v>33</v>
      </c>
      <c r="AD121">
        <f t="shared" si="17"/>
        <v>1</v>
      </c>
    </row>
    <row r="122" spans="1:30" ht="15" customHeight="1">
      <c r="I122" s="69"/>
      <c r="J122" s="69"/>
      <c r="K122" s="69"/>
      <c r="L122" s="69"/>
      <c r="M122" s="69"/>
      <c r="N122" s="69" t="str">
        <f t="shared" si="27"/>
        <v/>
      </c>
      <c r="O122" s="69" t="str">
        <f t="shared" si="10"/>
        <v/>
      </c>
      <c r="P122" s="70" t="str">
        <f t="shared" si="11"/>
        <v/>
      </c>
      <c r="Q122" s="69" t="str">
        <f t="shared" si="12"/>
        <v/>
      </c>
      <c r="S122" s="71"/>
      <c r="Z122" t="str">
        <f t="shared" si="13"/>
        <v/>
      </c>
      <c r="AA122">
        <f t="shared" si="14"/>
        <v>0</v>
      </c>
      <c r="AB122">
        <f t="shared" si="15"/>
        <v>12</v>
      </c>
      <c r="AC122">
        <f t="shared" si="16"/>
        <v>33</v>
      </c>
      <c r="AD122">
        <f t="shared" si="17"/>
        <v>1</v>
      </c>
    </row>
    <row r="123" spans="1:30" ht="15" customHeight="1">
      <c r="I123" s="69"/>
      <c r="J123" s="69"/>
      <c r="K123" s="69"/>
      <c r="L123" s="69"/>
      <c r="M123" s="69"/>
      <c r="N123" s="69" t="str">
        <f t="shared" si="27"/>
        <v/>
      </c>
      <c r="O123" s="69" t="str">
        <f t="shared" si="10"/>
        <v/>
      </c>
      <c r="P123" s="70" t="str">
        <f t="shared" si="11"/>
        <v/>
      </c>
      <c r="Q123" s="69" t="str">
        <f t="shared" si="12"/>
        <v/>
      </c>
      <c r="S123" s="71"/>
      <c r="Z123" t="str">
        <f t="shared" si="13"/>
        <v/>
      </c>
      <c r="AA123">
        <f t="shared" si="14"/>
        <v>0</v>
      </c>
      <c r="AB123">
        <f t="shared" si="15"/>
        <v>12</v>
      </c>
      <c r="AC123">
        <f t="shared" si="16"/>
        <v>33</v>
      </c>
      <c r="AD123">
        <f t="shared" si="17"/>
        <v>1</v>
      </c>
    </row>
    <row r="124" spans="1:30" ht="15" customHeight="1">
      <c r="I124" s="69"/>
      <c r="J124" s="69"/>
      <c r="K124" s="69"/>
      <c r="L124" s="69"/>
      <c r="M124" s="69"/>
      <c r="N124" s="69" t="str">
        <f t="shared" si="27"/>
        <v/>
      </c>
      <c r="O124" s="69" t="str">
        <f t="shared" si="10"/>
        <v/>
      </c>
      <c r="P124" s="70" t="str">
        <f t="shared" si="11"/>
        <v/>
      </c>
      <c r="Q124" s="69" t="str">
        <f t="shared" si="12"/>
        <v/>
      </c>
      <c r="S124" s="71"/>
      <c r="Z124" t="str">
        <f t="shared" si="13"/>
        <v/>
      </c>
      <c r="AA124">
        <f t="shared" si="14"/>
        <v>0</v>
      </c>
      <c r="AB124">
        <f t="shared" si="15"/>
        <v>12</v>
      </c>
      <c r="AC124">
        <f t="shared" si="16"/>
        <v>33</v>
      </c>
      <c r="AD124">
        <f t="shared" si="17"/>
        <v>1</v>
      </c>
    </row>
    <row r="125" spans="1:30" ht="15" customHeight="1">
      <c r="I125" s="69"/>
      <c r="J125" s="69"/>
      <c r="K125" s="69"/>
      <c r="L125" s="69"/>
      <c r="M125" s="69"/>
      <c r="N125" s="69" t="str">
        <f t="shared" si="27"/>
        <v/>
      </c>
      <c r="O125" s="69" t="str">
        <f t="shared" si="10"/>
        <v/>
      </c>
      <c r="P125" s="70" t="str">
        <f t="shared" si="11"/>
        <v/>
      </c>
      <c r="Q125" s="69" t="str">
        <f t="shared" si="12"/>
        <v/>
      </c>
      <c r="S125" s="71"/>
      <c r="Z125" t="str">
        <f t="shared" si="13"/>
        <v/>
      </c>
      <c r="AA125">
        <f t="shared" si="14"/>
        <v>0</v>
      </c>
      <c r="AB125">
        <f t="shared" si="15"/>
        <v>12</v>
      </c>
      <c r="AC125">
        <f t="shared" si="16"/>
        <v>33</v>
      </c>
      <c r="AD125">
        <f t="shared" si="17"/>
        <v>1</v>
      </c>
    </row>
    <row r="126" spans="1:30" ht="15" customHeight="1">
      <c r="I126" s="69"/>
      <c r="J126" s="69"/>
      <c r="K126" s="69"/>
      <c r="L126" s="69"/>
      <c r="M126" s="69"/>
      <c r="N126" s="69" t="str">
        <f t="shared" si="27"/>
        <v/>
      </c>
      <c r="O126" s="69" t="str">
        <f t="shared" si="10"/>
        <v/>
      </c>
      <c r="P126" s="70" t="str">
        <f t="shared" si="11"/>
        <v/>
      </c>
      <c r="Q126" s="69" t="str">
        <f t="shared" si="12"/>
        <v/>
      </c>
      <c r="S126" s="71"/>
      <c r="Z126" t="str">
        <f t="shared" si="13"/>
        <v/>
      </c>
      <c r="AA126">
        <f t="shared" si="14"/>
        <v>0</v>
      </c>
      <c r="AB126">
        <f t="shared" si="15"/>
        <v>12</v>
      </c>
      <c r="AC126">
        <f t="shared" si="16"/>
        <v>33</v>
      </c>
      <c r="AD126">
        <f t="shared" si="17"/>
        <v>1</v>
      </c>
    </row>
    <row r="127" spans="1:30" ht="15" customHeight="1">
      <c r="I127" s="69"/>
      <c r="J127" s="69"/>
      <c r="K127" s="69"/>
      <c r="L127" s="69"/>
      <c r="M127" s="69"/>
      <c r="N127" s="69" t="str">
        <f t="shared" si="27"/>
        <v/>
      </c>
      <c r="O127" s="69" t="str">
        <f t="shared" si="10"/>
        <v/>
      </c>
      <c r="P127" s="70" t="str">
        <f t="shared" si="11"/>
        <v/>
      </c>
      <c r="Q127" s="69" t="str">
        <f t="shared" si="12"/>
        <v/>
      </c>
      <c r="S127" s="71"/>
      <c r="Z127" t="str">
        <f t="shared" si="13"/>
        <v/>
      </c>
      <c r="AA127">
        <f t="shared" si="14"/>
        <v>0</v>
      </c>
      <c r="AB127">
        <f t="shared" si="15"/>
        <v>12</v>
      </c>
      <c r="AC127">
        <f t="shared" si="16"/>
        <v>33</v>
      </c>
      <c r="AD127">
        <f t="shared" si="17"/>
        <v>1</v>
      </c>
    </row>
    <row r="128" spans="1:30" ht="15" customHeight="1">
      <c r="I128" s="69"/>
      <c r="J128" s="69"/>
      <c r="K128" s="69"/>
      <c r="L128" s="69"/>
      <c r="M128" s="69"/>
      <c r="N128" s="69" t="str">
        <f t="shared" si="27"/>
        <v/>
      </c>
      <c r="O128" s="69" t="str">
        <f t="shared" si="10"/>
        <v/>
      </c>
      <c r="P128" s="70" t="str">
        <f t="shared" si="11"/>
        <v/>
      </c>
      <c r="Q128" s="69" t="str">
        <f t="shared" si="12"/>
        <v/>
      </c>
      <c r="S128" s="71"/>
      <c r="Z128" t="str">
        <f t="shared" si="13"/>
        <v/>
      </c>
      <c r="AA128">
        <f t="shared" si="14"/>
        <v>0</v>
      </c>
      <c r="AB128">
        <f t="shared" si="15"/>
        <v>12</v>
      </c>
      <c r="AC128">
        <f t="shared" si="16"/>
        <v>33</v>
      </c>
      <c r="AD128">
        <f t="shared" si="17"/>
        <v>1</v>
      </c>
    </row>
    <row r="129" spans="9:30" ht="15" customHeight="1">
      <c r="I129" s="69"/>
      <c r="J129" s="69"/>
      <c r="K129" s="69"/>
      <c r="L129" s="69"/>
      <c r="M129" s="69"/>
      <c r="N129" s="69" t="str">
        <f t="shared" si="27"/>
        <v/>
      </c>
      <c r="O129" s="69" t="str">
        <f t="shared" si="10"/>
        <v/>
      </c>
      <c r="P129" s="70" t="str">
        <f t="shared" si="11"/>
        <v/>
      </c>
      <c r="Q129" s="69" t="str">
        <f t="shared" si="12"/>
        <v/>
      </c>
      <c r="S129" s="71"/>
      <c r="Z129" t="str">
        <f t="shared" si="13"/>
        <v/>
      </c>
      <c r="AA129">
        <f t="shared" si="14"/>
        <v>0</v>
      </c>
      <c r="AB129">
        <f t="shared" si="15"/>
        <v>12</v>
      </c>
      <c r="AC129">
        <f t="shared" si="16"/>
        <v>33</v>
      </c>
      <c r="AD129">
        <f t="shared" si="17"/>
        <v>1</v>
      </c>
    </row>
    <row r="130" spans="9:30" ht="15" customHeight="1">
      <c r="I130" s="69"/>
      <c r="J130" s="69"/>
      <c r="K130" s="69"/>
      <c r="L130" s="69"/>
      <c r="M130" s="69"/>
      <c r="N130" s="69" t="str">
        <f t="shared" si="27"/>
        <v/>
      </c>
      <c r="O130" s="69" t="str">
        <f t="shared" si="10"/>
        <v/>
      </c>
      <c r="P130" s="70" t="str">
        <f t="shared" si="11"/>
        <v/>
      </c>
      <c r="Q130" s="69" t="str">
        <f t="shared" si="12"/>
        <v/>
      </c>
      <c r="S130" s="71"/>
      <c r="Z130" t="str">
        <f t="shared" si="13"/>
        <v/>
      </c>
      <c r="AA130">
        <f t="shared" si="14"/>
        <v>0</v>
      </c>
      <c r="AB130">
        <f t="shared" si="15"/>
        <v>12</v>
      </c>
      <c r="AC130">
        <f t="shared" si="16"/>
        <v>33</v>
      </c>
      <c r="AD130">
        <f t="shared" si="17"/>
        <v>1</v>
      </c>
    </row>
    <row r="131" spans="9:30" ht="15" customHeight="1">
      <c r="I131" s="69"/>
      <c r="J131" s="69"/>
      <c r="K131" s="69"/>
      <c r="L131" s="69"/>
      <c r="M131" s="69"/>
      <c r="N131" s="69" t="str">
        <f t="shared" si="27"/>
        <v/>
      </c>
      <c r="O131" s="69" t="str">
        <f t="shared" si="10"/>
        <v/>
      </c>
      <c r="P131" s="70" t="str">
        <f t="shared" si="11"/>
        <v/>
      </c>
      <c r="Q131" s="69" t="str">
        <f t="shared" si="12"/>
        <v/>
      </c>
      <c r="S131" s="71"/>
      <c r="Z131" t="str">
        <f t="shared" si="13"/>
        <v/>
      </c>
      <c r="AA131">
        <f t="shared" si="14"/>
        <v>0</v>
      </c>
      <c r="AB131">
        <f t="shared" si="15"/>
        <v>12</v>
      </c>
      <c r="AC131">
        <f t="shared" si="16"/>
        <v>33</v>
      </c>
      <c r="AD131">
        <f t="shared" si="17"/>
        <v>1</v>
      </c>
    </row>
    <row r="132" spans="9:30" ht="15" customHeight="1">
      <c r="I132" s="69"/>
      <c r="J132" s="69"/>
      <c r="K132" s="69"/>
      <c r="L132" s="69"/>
      <c r="M132" s="69"/>
      <c r="N132" s="69" t="str">
        <f t="shared" si="27"/>
        <v/>
      </c>
      <c r="O132" s="69" t="str">
        <f t="shared" si="10"/>
        <v/>
      </c>
      <c r="P132" s="70" t="str">
        <f t="shared" si="11"/>
        <v/>
      </c>
      <c r="Q132" s="69" t="str">
        <f t="shared" si="12"/>
        <v/>
      </c>
      <c r="S132" s="71"/>
      <c r="Z132" t="str">
        <f t="shared" si="13"/>
        <v/>
      </c>
      <c r="AA132">
        <f t="shared" si="14"/>
        <v>0</v>
      </c>
      <c r="AB132">
        <f t="shared" si="15"/>
        <v>12</v>
      </c>
      <c r="AC132">
        <f t="shared" si="16"/>
        <v>33</v>
      </c>
      <c r="AD132">
        <f t="shared" si="17"/>
        <v>1</v>
      </c>
    </row>
    <row r="133" spans="9:30" ht="15" customHeight="1">
      <c r="I133" s="69"/>
      <c r="J133" s="69"/>
      <c r="K133" s="69"/>
      <c r="L133" s="69"/>
      <c r="M133" s="69"/>
      <c r="N133" s="69" t="str">
        <f t="shared" si="27"/>
        <v/>
      </c>
      <c r="O133" s="69" t="str">
        <f t="shared" si="10"/>
        <v/>
      </c>
      <c r="P133" s="70" t="str">
        <f t="shared" si="11"/>
        <v/>
      </c>
      <c r="Q133" s="69" t="str">
        <f t="shared" si="12"/>
        <v/>
      </c>
      <c r="S133" s="71"/>
      <c r="Z133" t="str">
        <f t="shared" si="13"/>
        <v/>
      </c>
      <c r="AA133">
        <f t="shared" si="14"/>
        <v>0</v>
      </c>
      <c r="AB133">
        <f t="shared" si="15"/>
        <v>12</v>
      </c>
      <c r="AC133">
        <f t="shared" si="16"/>
        <v>33</v>
      </c>
      <c r="AD133">
        <f t="shared" si="17"/>
        <v>1</v>
      </c>
    </row>
    <row r="134" spans="9:30" ht="15" customHeight="1">
      <c r="I134" s="69"/>
      <c r="J134" s="69"/>
      <c r="K134" s="69"/>
      <c r="L134" s="69"/>
      <c r="M134" s="69"/>
      <c r="N134" s="69" t="str">
        <f t="shared" si="27"/>
        <v/>
      </c>
      <c r="O134" s="69" t="str">
        <f t="shared" ref="O134:O197" si="28">IF(ISNUMBER(I134),I134-SUM(J134:N134),"")</f>
        <v/>
      </c>
      <c r="P134" s="70" t="str">
        <f t="shared" ref="P134:P197" si="29">IFERROR(IF(AND(ISNUMBER(O134),ISNUMBER(I134),I134&lt;&gt;0),O134/I134,""),"")</f>
        <v/>
      </c>
      <c r="Q134" s="69" t="str">
        <f t="shared" ref="Q134:Q197" si="30">IF(AND(ISNUMBER(I134),ISNUMBER(S134)),I134*IF(S134&lt;=1,S134,S134/100),IF(OR(I134&lt;&gt;"",S134&lt;&gt;""),"tbd",""))</f>
        <v/>
      </c>
      <c r="S134" s="71"/>
      <c r="Z134" t="str">
        <f t="shared" ref="Z134:Z197" si="31">IF(AND(R134="WON",ISNUMBER(I134)),AA134,"")</f>
        <v/>
      </c>
      <c r="AA134">
        <f t="shared" ref="AA134:AA197" si="32">IFERROR(I134*1,0)</f>
        <v>0</v>
      </c>
      <c r="AB134">
        <f t="shared" ref="AB134:AB197" si="33">N(AB133)+IF(AND(R134="WON",B134&lt;&gt;""),1,0)</f>
        <v>12</v>
      </c>
      <c r="AC134">
        <f t="shared" ref="AC134:AC197" si="34">N(AC133)+IF(AND(OR(R134="offered",R134="to be offered",R134="on hold"),B134&lt;&gt;""),1,0)</f>
        <v>33</v>
      </c>
      <c r="AD134">
        <f t="shared" ref="AD134:AD197" si="35">N(AD133)+IF(AND(OR(R134="follow-up",R134="Evaluation",R134="tbd",R134="In evaluation"),B134&lt;&gt;""),1,0)</f>
        <v>1</v>
      </c>
    </row>
    <row r="135" spans="9:30" ht="15" customHeight="1">
      <c r="I135" s="69"/>
      <c r="J135" s="69"/>
      <c r="K135" s="69"/>
      <c r="L135" s="69"/>
      <c r="M135" s="69"/>
      <c r="N135" s="69" t="str">
        <f t="shared" si="27"/>
        <v/>
      </c>
      <c r="O135" s="69" t="str">
        <f t="shared" si="28"/>
        <v/>
      </c>
      <c r="P135" s="70" t="str">
        <f t="shared" si="29"/>
        <v/>
      </c>
      <c r="Q135" s="69" t="str">
        <f t="shared" si="30"/>
        <v/>
      </c>
      <c r="S135" s="71"/>
      <c r="Z135" t="str">
        <f t="shared" si="31"/>
        <v/>
      </c>
      <c r="AA135">
        <f t="shared" si="32"/>
        <v>0</v>
      </c>
      <c r="AB135">
        <f t="shared" si="33"/>
        <v>12</v>
      </c>
      <c r="AC135">
        <f t="shared" si="34"/>
        <v>33</v>
      </c>
      <c r="AD135">
        <f t="shared" si="35"/>
        <v>1</v>
      </c>
    </row>
    <row r="136" spans="9:30" ht="15" customHeight="1">
      <c r="I136" s="69"/>
      <c r="J136" s="69"/>
      <c r="K136" s="69"/>
      <c r="L136" s="69"/>
      <c r="M136" s="69"/>
      <c r="N136" s="69" t="str">
        <f t="shared" si="27"/>
        <v/>
      </c>
      <c r="O136" s="69" t="str">
        <f t="shared" si="28"/>
        <v/>
      </c>
      <c r="P136" s="70" t="str">
        <f t="shared" si="29"/>
        <v/>
      </c>
      <c r="Q136" s="69" t="str">
        <f t="shared" si="30"/>
        <v/>
      </c>
      <c r="S136" s="71"/>
      <c r="Z136" t="str">
        <f t="shared" si="31"/>
        <v/>
      </c>
      <c r="AA136">
        <f t="shared" si="32"/>
        <v>0</v>
      </c>
      <c r="AB136">
        <f t="shared" si="33"/>
        <v>12</v>
      </c>
      <c r="AC136">
        <f t="shared" si="34"/>
        <v>33</v>
      </c>
      <c r="AD136">
        <f t="shared" si="35"/>
        <v>1</v>
      </c>
    </row>
    <row r="137" spans="9:30" ht="15" customHeight="1">
      <c r="I137" s="69"/>
      <c r="J137" s="69"/>
      <c r="K137" s="69"/>
      <c r="L137" s="69"/>
      <c r="M137" s="69"/>
      <c r="N137" s="69" t="str">
        <f t="shared" si="27"/>
        <v/>
      </c>
      <c r="O137" s="69" t="str">
        <f t="shared" si="28"/>
        <v/>
      </c>
      <c r="P137" s="70" t="str">
        <f t="shared" si="29"/>
        <v/>
      </c>
      <c r="Q137" s="69" t="str">
        <f t="shared" si="30"/>
        <v/>
      </c>
      <c r="S137" s="71"/>
      <c r="Z137" t="str">
        <f t="shared" si="31"/>
        <v/>
      </c>
      <c r="AA137">
        <f t="shared" si="32"/>
        <v>0</v>
      </c>
      <c r="AB137">
        <f t="shared" si="33"/>
        <v>12</v>
      </c>
      <c r="AC137">
        <f t="shared" si="34"/>
        <v>33</v>
      </c>
      <c r="AD137">
        <f t="shared" si="35"/>
        <v>1</v>
      </c>
    </row>
    <row r="138" spans="9:30" ht="15" customHeight="1">
      <c r="I138" s="69"/>
      <c r="J138" s="69"/>
      <c r="K138" s="69"/>
      <c r="L138" s="69"/>
      <c r="M138" s="69"/>
      <c r="N138" s="69" t="str">
        <f t="shared" si="27"/>
        <v/>
      </c>
      <c r="O138" s="69" t="str">
        <f t="shared" si="28"/>
        <v/>
      </c>
      <c r="P138" s="70" t="str">
        <f t="shared" si="29"/>
        <v/>
      </c>
      <c r="Q138" s="69" t="str">
        <f t="shared" si="30"/>
        <v/>
      </c>
      <c r="S138" s="71"/>
      <c r="Z138" t="str">
        <f t="shared" si="31"/>
        <v/>
      </c>
      <c r="AA138">
        <f t="shared" si="32"/>
        <v>0</v>
      </c>
      <c r="AB138">
        <f t="shared" si="33"/>
        <v>12</v>
      </c>
      <c r="AC138">
        <f t="shared" si="34"/>
        <v>33</v>
      </c>
      <c r="AD138">
        <f t="shared" si="35"/>
        <v>1</v>
      </c>
    </row>
    <row r="139" spans="9:30" ht="15" customHeight="1">
      <c r="I139" s="69"/>
      <c r="J139" s="69"/>
      <c r="K139" s="69"/>
      <c r="L139" s="69"/>
      <c r="M139" s="69"/>
      <c r="N139" s="69" t="str">
        <f t="shared" si="27"/>
        <v/>
      </c>
      <c r="O139" s="69" t="str">
        <f t="shared" si="28"/>
        <v/>
      </c>
      <c r="P139" s="70" t="str">
        <f t="shared" si="29"/>
        <v/>
      </c>
      <c r="Q139" s="69" t="str">
        <f t="shared" si="30"/>
        <v/>
      </c>
      <c r="S139" s="71"/>
      <c r="Z139" t="str">
        <f t="shared" si="31"/>
        <v/>
      </c>
      <c r="AA139">
        <f t="shared" si="32"/>
        <v>0</v>
      </c>
      <c r="AB139">
        <f t="shared" si="33"/>
        <v>12</v>
      </c>
      <c r="AC139">
        <f t="shared" si="34"/>
        <v>33</v>
      </c>
      <c r="AD139">
        <f t="shared" si="35"/>
        <v>1</v>
      </c>
    </row>
    <row r="140" spans="9:30" ht="15" customHeight="1">
      <c r="I140" s="69"/>
      <c r="J140" s="69"/>
      <c r="K140" s="69"/>
      <c r="L140" s="69"/>
      <c r="M140" s="69"/>
      <c r="N140" s="69" t="str">
        <f t="shared" si="27"/>
        <v/>
      </c>
      <c r="O140" s="69" t="str">
        <f t="shared" si="28"/>
        <v/>
      </c>
      <c r="P140" s="70" t="str">
        <f t="shared" si="29"/>
        <v/>
      </c>
      <c r="Q140" s="69" t="str">
        <f t="shared" si="30"/>
        <v/>
      </c>
      <c r="S140" s="71"/>
      <c r="Z140" t="str">
        <f t="shared" si="31"/>
        <v/>
      </c>
      <c r="AA140">
        <f t="shared" si="32"/>
        <v>0</v>
      </c>
      <c r="AB140">
        <f t="shared" si="33"/>
        <v>12</v>
      </c>
      <c r="AC140">
        <f t="shared" si="34"/>
        <v>33</v>
      </c>
      <c r="AD140">
        <f t="shared" si="35"/>
        <v>1</v>
      </c>
    </row>
    <row r="141" spans="9:30" ht="15" customHeight="1">
      <c r="I141" s="69"/>
      <c r="J141" s="69"/>
      <c r="K141" s="69"/>
      <c r="L141" s="69"/>
      <c r="M141" s="69"/>
      <c r="N141" s="69" t="str">
        <f t="shared" si="27"/>
        <v/>
      </c>
      <c r="O141" s="69" t="str">
        <f t="shared" si="28"/>
        <v/>
      </c>
      <c r="P141" s="70" t="str">
        <f t="shared" si="29"/>
        <v/>
      </c>
      <c r="Q141" s="69" t="str">
        <f t="shared" si="30"/>
        <v/>
      </c>
      <c r="S141" s="71"/>
      <c r="Z141" t="str">
        <f t="shared" si="31"/>
        <v/>
      </c>
      <c r="AA141">
        <f t="shared" si="32"/>
        <v>0</v>
      </c>
      <c r="AB141">
        <f t="shared" si="33"/>
        <v>12</v>
      </c>
      <c r="AC141">
        <f t="shared" si="34"/>
        <v>33</v>
      </c>
      <c r="AD141">
        <f t="shared" si="35"/>
        <v>1</v>
      </c>
    </row>
    <row r="142" spans="9:30" ht="15" customHeight="1">
      <c r="I142" s="69"/>
      <c r="J142" s="69"/>
      <c r="K142" s="69"/>
      <c r="L142" s="69"/>
      <c r="M142" s="69"/>
      <c r="N142" s="69" t="str">
        <f t="shared" si="27"/>
        <v/>
      </c>
      <c r="O142" s="69" t="str">
        <f t="shared" si="28"/>
        <v/>
      </c>
      <c r="P142" s="70" t="str">
        <f t="shared" si="29"/>
        <v/>
      </c>
      <c r="Q142" s="69" t="str">
        <f t="shared" si="30"/>
        <v/>
      </c>
      <c r="S142" s="71"/>
      <c r="Z142" t="str">
        <f t="shared" si="31"/>
        <v/>
      </c>
      <c r="AA142">
        <f t="shared" si="32"/>
        <v>0</v>
      </c>
      <c r="AB142">
        <f t="shared" si="33"/>
        <v>12</v>
      </c>
      <c r="AC142">
        <f t="shared" si="34"/>
        <v>33</v>
      </c>
      <c r="AD142">
        <f t="shared" si="35"/>
        <v>1</v>
      </c>
    </row>
    <row r="143" spans="9:30" ht="15" customHeight="1">
      <c r="I143" s="69"/>
      <c r="J143" s="69"/>
      <c r="K143" s="69"/>
      <c r="L143" s="69"/>
      <c r="M143" s="69"/>
      <c r="N143" s="69" t="str">
        <f t="shared" si="27"/>
        <v/>
      </c>
      <c r="O143" s="69" t="str">
        <f t="shared" si="28"/>
        <v/>
      </c>
      <c r="P143" s="70" t="str">
        <f t="shared" si="29"/>
        <v/>
      </c>
      <c r="Q143" s="69" t="str">
        <f t="shared" si="30"/>
        <v/>
      </c>
      <c r="S143" s="71"/>
      <c r="Z143" t="str">
        <f t="shared" si="31"/>
        <v/>
      </c>
      <c r="AA143">
        <f t="shared" si="32"/>
        <v>0</v>
      </c>
      <c r="AB143">
        <f t="shared" si="33"/>
        <v>12</v>
      </c>
      <c r="AC143">
        <f t="shared" si="34"/>
        <v>33</v>
      </c>
      <c r="AD143">
        <f t="shared" si="35"/>
        <v>1</v>
      </c>
    </row>
    <row r="144" spans="9:30" ht="15" customHeight="1">
      <c r="I144" s="69"/>
      <c r="J144" s="69"/>
      <c r="K144" s="69"/>
      <c r="L144" s="69"/>
      <c r="M144" s="69"/>
      <c r="N144" s="69" t="str">
        <f t="shared" si="27"/>
        <v/>
      </c>
      <c r="O144" s="69" t="str">
        <f t="shared" si="28"/>
        <v/>
      </c>
      <c r="P144" s="70" t="str">
        <f t="shared" si="29"/>
        <v/>
      </c>
      <c r="Q144" s="69" t="str">
        <f t="shared" si="30"/>
        <v/>
      </c>
      <c r="S144" s="71"/>
      <c r="Z144" t="str">
        <f t="shared" si="31"/>
        <v/>
      </c>
      <c r="AA144">
        <f t="shared" si="32"/>
        <v>0</v>
      </c>
      <c r="AB144">
        <f t="shared" si="33"/>
        <v>12</v>
      </c>
      <c r="AC144">
        <f t="shared" si="34"/>
        <v>33</v>
      </c>
      <c r="AD144">
        <f t="shared" si="35"/>
        <v>1</v>
      </c>
    </row>
    <row r="145" spans="9:30" ht="15" customHeight="1">
      <c r="I145" s="69"/>
      <c r="J145" s="69"/>
      <c r="K145" s="69"/>
      <c r="L145" s="69"/>
      <c r="M145" s="69"/>
      <c r="N145" s="69" t="str">
        <f t="shared" si="27"/>
        <v/>
      </c>
      <c r="O145" s="69" t="str">
        <f t="shared" si="28"/>
        <v/>
      </c>
      <c r="P145" s="70" t="str">
        <f t="shared" si="29"/>
        <v/>
      </c>
      <c r="Q145" s="69" t="str">
        <f t="shared" si="30"/>
        <v/>
      </c>
      <c r="S145" s="71"/>
      <c r="Z145" t="str">
        <f t="shared" si="31"/>
        <v/>
      </c>
      <c r="AA145">
        <f t="shared" si="32"/>
        <v>0</v>
      </c>
      <c r="AB145">
        <f t="shared" si="33"/>
        <v>12</v>
      </c>
      <c r="AC145">
        <f t="shared" si="34"/>
        <v>33</v>
      </c>
      <c r="AD145">
        <f t="shared" si="35"/>
        <v>1</v>
      </c>
    </row>
    <row r="146" spans="9:30" ht="15" customHeight="1">
      <c r="I146" s="69"/>
      <c r="J146" s="69"/>
      <c r="K146" s="69"/>
      <c r="L146" s="69"/>
      <c r="M146" s="69"/>
      <c r="N146" s="69" t="str">
        <f t="shared" si="27"/>
        <v/>
      </c>
      <c r="O146" s="69" t="str">
        <f t="shared" si="28"/>
        <v/>
      </c>
      <c r="P146" s="70" t="str">
        <f t="shared" si="29"/>
        <v/>
      </c>
      <c r="Q146" s="69" t="str">
        <f t="shared" si="30"/>
        <v/>
      </c>
      <c r="S146" s="71"/>
      <c r="Z146" t="str">
        <f t="shared" si="31"/>
        <v/>
      </c>
      <c r="AA146">
        <f t="shared" si="32"/>
        <v>0</v>
      </c>
      <c r="AB146">
        <f t="shared" si="33"/>
        <v>12</v>
      </c>
      <c r="AC146">
        <f t="shared" si="34"/>
        <v>33</v>
      </c>
      <c r="AD146">
        <f t="shared" si="35"/>
        <v>1</v>
      </c>
    </row>
    <row r="147" spans="9:30" ht="15" customHeight="1">
      <c r="I147" s="69"/>
      <c r="J147" s="69"/>
      <c r="K147" s="69"/>
      <c r="L147" s="69"/>
      <c r="M147" s="69"/>
      <c r="N147" s="69" t="str">
        <f t="shared" si="27"/>
        <v/>
      </c>
      <c r="O147" s="69" t="str">
        <f t="shared" si="28"/>
        <v/>
      </c>
      <c r="P147" s="70" t="str">
        <f t="shared" si="29"/>
        <v/>
      </c>
      <c r="Q147" s="69" t="str">
        <f t="shared" si="30"/>
        <v/>
      </c>
      <c r="S147" s="71"/>
      <c r="Z147" t="str">
        <f t="shared" si="31"/>
        <v/>
      </c>
      <c r="AA147">
        <f t="shared" si="32"/>
        <v>0</v>
      </c>
      <c r="AB147">
        <f t="shared" si="33"/>
        <v>12</v>
      </c>
      <c r="AC147">
        <f t="shared" si="34"/>
        <v>33</v>
      </c>
      <c r="AD147">
        <f t="shared" si="35"/>
        <v>1</v>
      </c>
    </row>
    <row r="148" spans="9:30" ht="15" customHeight="1">
      <c r="I148" s="69"/>
      <c r="J148" s="69"/>
      <c r="K148" s="69"/>
      <c r="L148" s="69"/>
      <c r="M148" s="69"/>
      <c r="N148" s="69" t="str">
        <f t="shared" si="27"/>
        <v/>
      </c>
      <c r="O148" s="69" t="str">
        <f t="shared" si="28"/>
        <v/>
      </c>
      <c r="P148" s="70" t="str">
        <f t="shared" si="29"/>
        <v/>
      </c>
      <c r="Q148" s="69" t="str">
        <f t="shared" si="30"/>
        <v/>
      </c>
      <c r="S148" s="71"/>
      <c r="Z148" t="str">
        <f t="shared" si="31"/>
        <v/>
      </c>
      <c r="AA148">
        <f t="shared" si="32"/>
        <v>0</v>
      </c>
      <c r="AB148">
        <f t="shared" si="33"/>
        <v>12</v>
      </c>
      <c r="AC148">
        <f t="shared" si="34"/>
        <v>33</v>
      </c>
      <c r="AD148">
        <f t="shared" si="35"/>
        <v>1</v>
      </c>
    </row>
    <row r="149" spans="9:30" ht="15" customHeight="1">
      <c r="I149" s="69"/>
      <c r="J149" s="69"/>
      <c r="K149" s="69"/>
      <c r="L149" s="69"/>
      <c r="M149" s="69"/>
      <c r="N149" s="69" t="str">
        <f t="shared" si="27"/>
        <v/>
      </c>
      <c r="O149" s="69" t="str">
        <f t="shared" si="28"/>
        <v/>
      </c>
      <c r="P149" s="70" t="str">
        <f t="shared" si="29"/>
        <v/>
      </c>
      <c r="Q149" s="69" t="str">
        <f t="shared" si="30"/>
        <v/>
      </c>
      <c r="S149" s="71"/>
      <c r="Z149" t="str">
        <f t="shared" si="31"/>
        <v/>
      </c>
      <c r="AA149">
        <f t="shared" si="32"/>
        <v>0</v>
      </c>
      <c r="AB149">
        <f t="shared" si="33"/>
        <v>12</v>
      </c>
      <c r="AC149">
        <f t="shared" si="34"/>
        <v>33</v>
      </c>
      <c r="AD149">
        <f t="shared" si="35"/>
        <v>1</v>
      </c>
    </row>
    <row r="150" spans="9:30" ht="15" customHeight="1">
      <c r="I150" s="69"/>
      <c r="J150" s="69"/>
      <c r="K150" s="69"/>
      <c r="L150" s="69"/>
      <c r="M150" s="69"/>
      <c r="N150" s="69" t="str">
        <f t="shared" si="27"/>
        <v/>
      </c>
      <c r="O150" s="69" t="str">
        <f t="shared" si="28"/>
        <v/>
      </c>
      <c r="P150" s="70" t="str">
        <f t="shared" si="29"/>
        <v/>
      </c>
      <c r="Q150" s="69" t="str">
        <f t="shared" si="30"/>
        <v/>
      </c>
      <c r="S150" s="71"/>
      <c r="Z150" t="str">
        <f t="shared" si="31"/>
        <v/>
      </c>
      <c r="AA150">
        <f t="shared" si="32"/>
        <v>0</v>
      </c>
      <c r="AB150">
        <f t="shared" si="33"/>
        <v>12</v>
      </c>
      <c r="AC150">
        <f t="shared" si="34"/>
        <v>33</v>
      </c>
      <c r="AD150">
        <f t="shared" si="35"/>
        <v>1</v>
      </c>
    </row>
    <row r="151" spans="9:30" ht="15" customHeight="1">
      <c r="I151" s="69"/>
      <c r="J151" s="69"/>
      <c r="K151" s="69"/>
      <c r="L151" s="69"/>
      <c r="M151" s="69"/>
      <c r="N151" s="69" t="str">
        <f t="shared" si="27"/>
        <v/>
      </c>
      <c r="O151" s="69" t="str">
        <f t="shared" si="28"/>
        <v/>
      </c>
      <c r="P151" s="70" t="str">
        <f t="shared" si="29"/>
        <v/>
      </c>
      <c r="Q151" s="69" t="str">
        <f t="shared" si="30"/>
        <v/>
      </c>
      <c r="S151" s="71"/>
      <c r="Z151" t="str">
        <f t="shared" si="31"/>
        <v/>
      </c>
      <c r="AA151">
        <f t="shared" si="32"/>
        <v>0</v>
      </c>
      <c r="AB151">
        <f t="shared" si="33"/>
        <v>12</v>
      </c>
      <c r="AC151">
        <f t="shared" si="34"/>
        <v>33</v>
      </c>
      <c r="AD151">
        <f t="shared" si="35"/>
        <v>1</v>
      </c>
    </row>
    <row r="152" spans="9:30" ht="15" customHeight="1">
      <c r="I152" s="69"/>
      <c r="J152" s="69"/>
      <c r="K152" s="69"/>
      <c r="L152" s="69"/>
      <c r="M152" s="69"/>
      <c r="N152" s="69" t="str">
        <f t="shared" si="27"/>
        <v/>
      </c>
      <c r="O152" s="69" t="str">
        <f t="shared" si="28"/>
        <v/>
      </c>
      <c r="P152" s="70" t="str">
        <f t="shared" si="29"/>
        <v/>
      </c>
      <c r="Q152" s="69" t="str">
        <f t="shared" si="30"/>
        <v/>
      </c>
      <c r="S152" s="71"/>
      <c r="Z152" t="str">
        <f t="shared" si="31"/>
        <v/>
      </c>
      <c r="AA152">
        <f t="shared" si="32"/>
        <v>0</v>
      </c>
      <c r="AB152">
        <f t="shared" si="33"/>
        <v>12</v>
      </c>
      <c r="AC152">
        <f t="shared" si="34"/>
        <v>33</v>
      </c>
      <c r="AD152">
        <f t="shared" si="35"/>
        <v>1</v>
      </c>
    </row>
    <row r="153" spans="9:30" ht="15" customHeight="1">
      <c r="I153" s="69"/>
      <c r="J153" s="69"/>
      <c r="K153" s="69"/>
      <c r="L153" s="69"/>
      <c r="M153" s="69"/>
      <c r="N153" s="69" t="str">
        <f t="shared" si="27"/>
        <v/>
      </c>
      <c r="O153" s="69" t="str">
        <f t="shared" si="28"/>
        <v/>
      </c>
      <c r="P153" s="70" t="str">
        <f t="shared" si="29"/>
        <v/>
      </c>
      <c r="Q153" s="69" t="str">
        <f t="shared" si="30"/>
        <v/>
      </c>
      <c r="S153" s="71"/>
      <c r="Z153" t="str">
        <f t="shared" si="31"/>
        <v/>
      </c>
      <c r="AA153">
        <f t="shared" si="32"/>
        <v>0</v>
      </c>
      <c r="AB153">
        <f t="shared" si="33"/>
        <v>12</v>
      </c>
      <c r="AC153">
        <f t="shared" si="34"/>
        <v>33</v>
      </c>
      <c r="AD153">
        <f t="shared" si="35"/>
        <v>1</v>
      </c>
    </row>
    <row r="154" spans="9:30" ht="15" customHeight="1">
      <c r="I154" s="69"/>
      <c r="J154" s="69"/>
      <c r="K154" s="69"/>
      <c r="L154" s="69"/>
      <c r="M154" s="69"/>
      <c r="N154" s="69" t="str">
        <f t="shared" si="27"/>
        <v/>
      </c>
      <c r="O154" s="69" t="str">
        <f t="shared" si="28"/>
        <v/>
      </c>
      <c r="P154" s="70" t="str">
        <f t="shared" si="29"/>
        <v/>
      </c>
      <c r="Q154" s="69" t="str">
        <f t="shared" si="30"/>
        <v/>
      </c>
      <c r="S154" s="71"/>
      <c r="Z154" t="str">
        <f t="shared" si="31"/>
        <v/>
      </c>
      <c r="AA154">
        <f t="shared" si="32"/>
        <v>0</v>
      </c>
      <c r="AB154">
        <f t="shared" si="33"/>
        <v>12</v>
      </c>
      <c r="AC154">
        <f t="shared" si="34"/>
        <v>33</v>
      </c>
      <c r="AD154">
        <f t="shared" si="35"/>
        <v>1</v>
      </c>
    </row>
    <row r="155" spans="9:30" ht="15" customHeight="1">
      <c r="I155" s="69"/>
      <c r="J155" s="69"/>
      <c r="K155" s="69"/>
      <c r="L155" s="69"/>
      <c r="M155" s="69"/>
      <c r="N155" s="69" t="str">
        <f t="shared" si="27"/>
        <v/>
      </c>
      <c r="O155" s="69" t="str">
        <f t="shared" si="28"/>
        <v/>
      </c>
      <c r="P155" s="70" t="str">
        <f t="shared" si="29"/>
        <v/>
      </c>
      <c r="Q155" s="69" t="str">
        <f t="shared" si="30"/>
        <v/>
      </c>
      <c r="S155" s="71"/>
      <c r="Z155" t="str">
        <f t="shared" si="31"/>
        <v/>
      </c>
      <c r="AA155">
        <f t="shared" si="32"/>
        <v>0</v>
      </c>
      <c r="AB155">
        <f t="shared" si="33"/>
        <v>12</v>
      </c>
      <c r="AC155">
        <f t="shared" si="34"/>
        <v>33</v>
      </c>
      <c r="AD155">
        <f t="shared" si="35"/>
        <v>1</v>
      </c>
    </row>
    <row r="156" spans="9:30" ht="15" customHeight="1">
      <c r="I156" s="69"/>
      <c r="J156" s="69"/>
      <c r="K156" s="69"/>
      <c r="L156" s="69"/>
      <c r="M156" s="69"/>
      <c r="N156" s="69" t="str">
        <f t="shared" si="27"/>
        <v/>
      </c>
      <c r="O156" s="69" t="str">
        <f t="shared" si="28"/>
        <v/>
      </c>
      <c r="P156" s="70" t="str">
        <f t="shared" si="29"/>
        <v/>
      </c>
      <c r="Q156" s="69" t="str">
        <f t="shared" si="30"/>
        <v/>
      </c>
      <c r="S156" s="71"/>
      <c r="Z156" t="str">
        <f t="shared" si="31"/>
        <v/>
      </c>
      <c r="AA156">
        <f t="shared" si="32"/>
        <v>0</v>
      </c>
      <c r="AB156">
        <f t="shared" si="33"/>
        <v>12</v>
      </c>
      <c r="AC156">
        <f t="shared" si="34"/>
        <v>33</v>
      </c>
      <c r="AD156">
        <f t="shared" si="35"/>
        <v>1</v>
      </c>
    </row>
    <row r="157" spans="9:30" ht="15" customHeight="1">
      <c r="I157" s="69"/>
      <c r="J157" s="69"/>
      <c r="K157" s="69"/>
      <c r="L157" s="69"/>
      <c r="M157" s="69"/>
      <c r="N157" s="69" t="str">
        <f t="shared" si="27"/>
        <v/>
      </c>
      <c r="O157" s="69" t="str">
        <f t="shared" si="28"/>
        <v/>
      </c>
      <c r="P157" s="70" t="str">
        <f t="shared" si="29"/>
        <v/>
      </c>
      <c r="Q157" s="69" t="str">
        <f t="shared" si="30"/>
        <v/>
      </c>
      <c r="S157" s="71"/>
      <c r="Z157" t="str">
        <f t="shared" si="31"/>
        <v/>
      </c>
      <c r="AA157">
        <f t="shared" si="32"/>
        <v>0</v>
      </c>
      <c r="AB157">
        <f t="shared" si="33"/>
        <v>12</v>
      </c>
      <c r="AC157">
        <f t="shared" si="34"/>
        <v>33</v>
      </c>
      <c r="AD157">
        <f t="shared" si="35"/>
        <v>1</v>
      </c>
    </row>
    <row r="158" spans="9:30" ht="15" customHeight="1">
      <c r="I158" s="69"/>
      <c r="J158" s="69"/>
      <c r="K158" s="69"/>
      <c r="L158" s="69"/>
      <c r="M158" s="69"/>
      <c r="N158" s="69" t="str">
        <f t="shared" si="27"/>
        <v/>
      </c>
      <c r="O158" s="69" t="str">
        <f t="shared" si="28"/>
        <v/>
      </c>
      <c r="P158" s="70" t="str">
        <f t="shared" si="29"/>
        <v/>
      </c>
      <c r="Q158" s="69" t="str">
        <f t="shared" si="30"/>
        <v/>
      </c>
      <c r="S158" s="71"/>
      <c r="Z158" t="str">
        <f t="shared" si="31"/>
        <v/>
      </c>
      <c r="AA158">
        <f t="shared" si="32"/>
        <v>0</v>
      </c>
      <c r="AB158">
        <f t="shared" si="33"/>
        <v>12</v>
      </c>
      <c r="AC158">
        <f t="shared" si="34"/>
        <v>33</v>
      </c>
      <c r="AD158">
        <f t="shared" si="35"/>
        <v>1</v>
      </c>
    </row>
    <row r="159" spans="9:30" ht="15" customHeight="1">
      <c r="I159" s="69"/>
      <c r="J159" s="69"/>
      <c r="K159" s="69"/>
      <c r="L159" s="69"/>
      <c r="M159" s="69"/>
      <c r="N159" s="69" t="str">
        <f t="shared" si="27"/>
        <v/>
      </c>
      <c r="O159" s="69" t="str">
        <f t="shared" si="28"/>
        <v/>
      </c>
      <c r="P159" s="70" t="str">
        <f t="shared" si="29"/>
        <v/>
      </c>
      <c r="Q159" s="69" t="str">
        <f t="shared" si="30"/>
        <v/>
      </c>
      <c r="S159" s="71"/>
      <c r="Z159" t="str">
        <f t="shared" si="31"/>
        <v/>
      </c>
      <c r="AA159">
        <f t="shared" si="32"/>
        <v>0</v>
      </c>
      <c r="AB159">
        <f t="shared" si="33"/>
        <v>12</v>
      </c>
      <c r="AC159">
        <f t="shared" si="34"/>
        <v>33</v>
      </c>
      <c r="AD159">
        <f t="shared" si="35"/>
        <v>1</v>
      </c>
    </row>
    <row r="160" spans="9:30" ht="15" customHeight="1">
      <c r="I160" s="69"/>
      <c r="J160" s="69"/>
      <c r="K160" s="69"/>
      <c r="L160" s="69"/>
      <c r="M160" s="69"/>
      <c r="N160" s="69" t="str">
        <f t="shared" si="27"/>
        <v/>
      </c>
      <c r="O160" s="69" t="str">
        <f t="shared" si="28"/>
        <v/>
      </c>
      <c r="P160" s="70" t="str">
        <f t="shared" si="29"/>
        <v/>
      </c>
      <c r="Q160" s="69" t="str">
        <f t="shared" si="30"/>
        <v/>
      </c>
      <c r="S160" s="71"/>
      <c r="Z160" t="str">
        <f t="shared" si="31"/>
        <v/>
      </c>
      <c r="AA160">
        <f t="shared" si="32"/>
        <v>0</v>
      </c>
      <c r="AB160">
        <f t="shared" si="33"/>
        <v>12</v>
      </c>
      <c r="AC160">
        <f t="shared" si="34"/>
        <v>33</v>
      </c>
      <c r="AD160">
        <f t="shared" si="35"/>
        <v>1</v>
      </c>
    </row>
    <row r="161" spans="9:30" ht="15" customHeight="1">
      <c r="I161" s="69"/>
      <c r="J161" s="69"/>
      <c r="K161" s="69"/>
      <c r="L161" s="69"/>
      <c r="M161" s="69"/>
      <c r="N161" s="69" t="str">
        <f t="shared" si="27"/>
        <v/>
      </c>
      <c r="O161" s="69" t="str">
        <f t="shared" si="28"/>
        <v/>
      </c>
      <c r="P161" s="70" t="str">
        <f t="shared" si="29"/>
        <v/>
      </c>
      <c r="Q161" s="69" t="str">
        <f t="shared" si="30"/>
        <v/>
      </c>
      <c r="S161" s="71"/>
      <c r="Z161" t="str">
        <f t="shared" si="31"/>
        <v/>
      </c>
      <c r="AA161">
        <f t="shared" si="32"/>
        <v>0</v>
      </c>
      <c r="AB161">
        <f t="shared" si="33"/>
        <v>12</v>
      </c>
      <c r="AC161">
        <f t="shared" si="34"/>
        <v>33</v>
      </c>
      <c r="AD161">
        <f t="shared" si="35"/>
        <v>1</v>
      </c>
    </row>
    <row r="162" spans="9:30" ht="15" customHeight="1">
      <c r="I162" s="69"/>
      <c r="J162" s="69"/>
      <c r="K162" s="69"/>
      <c r="L162" s="69"/>
      <c r="M162" s="69"/>
      <c r="N162" s="69" t="str">
        <f t="shared" si="27"/>
        <v/>
      </c>
      <c r="O162" s="69" t="str">
        <f t="shared" si="28"/>
        <v/>
      </c>
      <c r="P162" s="70" t="str">
        <f t="shared" si="29"/>
        <v/>
      </c>
      <c r="Q162" s="69" t="str">
        <f t="shared" si="30"/>
        <v/>
      </c>
      <c r="S162" s="71"/>
      <c r="Z162" t="str">
        <f t="shared" si="31"/>
        <v/>
      </c>
      <c r="AA162">
        <f t="shared" si="32"/>
        <v>0</v>
      </c>
      <c r="AB162">
        <f t="shared" si="33"/>
        <v>12</v>
      </c>
      <c r="AC162">
        <f t="shared" si="34"/>
        <v>33</v>
      </c>
      <c r="AD162">
        <f t="shared" si="35"/>
        <v>1</v>
      </c>
    </row>
    <row r="163" spans="9:30" ht="15" customHeight="1">
      <c r="I163" s="69"/>
      <c r="J163" s="69"/>
      <c r="K163" s="69"/>
      <c r="L163" s="69"/>
      <c r="M163" s="69"/>
      <c r="N163" s="69" t="str">
        <f t="shared" si="27"/>
        <v/>
      </c>
      <c r="O163" s="69" t="str">
        <f t="shared" si="28"/>
        <v/>
      </c>
      <c r="P163" s="70" t="str">
        <f t="shared" si="29"/>
        <v/>
      </c>
      <c r="Q163" s="69" t="str">
        <f t="shared" si="30"/>
        <v/>
      </c>
      <c r="S163" s="71"/>
      <c r="Z163" t="str">
        <f t="shared" si="31"/>
        <v/>
      </c>
      <c r="AA163">
        <f t="shared" si="32"/>
        <v>0</v>
      </c>
      <c r="AB163">
        <f t="shared" si="33"/>
        <v>12</v>
      </c>
      <c r="AC163">
        <f t="shared" si="34"/>
        <v>33</v>
      </c>
      <c r="AD163">
        <f t="shared" si="35"/>
        <v>1</v>
      </c>
    </row>
    <row r="164" spans="9:30" ht="15" customHeight="1">
      <c r="I164" s="69"/>
      <c r="J164" s="69"/>
      <c r="K164" s="69"/>
      <c r="L164" s="69"/>
      <c r="M164" s="69"/>
      <c r="N164" s="69" t="str">
        <f t="shared" si="27"/>
        <v/>
      </c>
      <c r="O164" s="69" t="str">
        <f t="shared" si="28"/>
        <v/>
      </c>
      <c r="P164" s="70" t="str">
        <f t="shared" si="29"/>
        <v/>
      </c>
      <c r="Q164" s="69" t="str">
        <f t="shared" si="30"/>
        <v/>
      </c>
      <c r="S164" s="71"/>
      <c r="Z164" t="str">
        <f t="shared" si="31"/>
        <v/>
      </c>
      <c r="AA164">
        <f t="shared" si="32"/>
        <v>0</v>
      </c>
      <c r="AB164">
        <f t="shared" si="33"/>
        <v>12</v>
      </c>
      <c r="AC164">
        <f t="shared" si="34"/>
        <v>33</v>
      </c>
      <c r="AD164">
        <f t="shared" si="35"/>
        <v>1</v>
      </c>
    </row>
    <row r="165" spans="9:30" ht="15" customHeight="1">
      <c r="I165" s="69"/>
      <c r="J165" s="69"/>
      <c r="K165" s="69"/>
      <c r="L165" s="69"/>
      <c r="M165" s="69"/>
      <c r="N165" s="69" t="str">
        <f t="shared" si="27"/>
        <v/>
      </c>
      <c r="O165" s="69" t="str">
        <f t="shared" si="28"/>
        <v/>
      </c>
      <c r="P165" s="70" t="str">
        <f t="shared" si="29"/>
        <v/>
      </c>
      <c r="Q165" s="69" t="str">
        <f t="shared" si="30"/>
        <v/>
      </c>
      <c r="S165" s="71"/>
      <c r="Z165" t="str">
        <f t="shared" si="31"/>
        <v/>
      </c>
      <c r="AA165">
        <f t="shared" si="32"/>
        <v>0</v>
      </c>
      <c r="AB165">
        <f t="shared" si="33"/>
        <v>12</v>
      </c>
      <c r="AC165">
        <f t="shared" si="34"/>
        <v>33</v>
      </c>
      <c r="AD165">
        <f t="shared" si="35"/>
        <v>1</v>
      </c>
    </row>
    <row r="166" spans="9:30" ht="15" customHeight="1">
      <c r="I166" s="69"/>
      <c r="J166" s="69"/>
      <c r="K166" s="69"/>
      <c r="L166" s="69"/>
      <c r="M166" s="69"/>
      <c r="N166" s="69" t="str">
        <f t="shared" si="27"/>
        <v/>
      </c>
      <c r="O166" s="69" t="str">
        <f t="shared" si="28"/>
        <v/>
      </c>
      <c r="P166" s="70" t="str">
        <f t="shared" si="29"/>
        <v/>
      </c>
      <c r="Q166" s="69" t="str">
        <f t="shared" si="30"/>
        <v/>
      </c>
      <c r="S166" s="71"/>
      <c r="Z166" t="str">
        <f t="shared" si="31"/>
        <v/>
      </c>
      <c r="AA166">
        <f t="shared" si="32"/>
        <v>0</v>
      </c>
      <c r="AB166">
        <f t="shared" si="33"/>
        <v>12</v>
      </c>
      <c r="AC166">
        <f t="shared" si="34"/>
        <v>33</v>
      </c>
      <c r="AD166">
        <f t="shared" si="35"/>
        <v>1</v>
      </c>
    </row>
    <row r="167" spans="9:30" ht="15" customHeight="1">
      <c r="I167" s="69"/>
      <c r="J167" s="69"/>
      <c r="K167" s="69"/>
      <c r="L167" s="69"/>
      <c r="M167" s="69"/>
      <c r="N167" s="69" t="str">
        <f t="shared" si="27"/>
        <v/>
      </c>
      <c r="O167" s="69" t="str">
        <f t="shared" si="28"/>
        <v/>
      </c>
      <c r="P167" s="70" t="str">
        <f t="shared" si="29"/>
        <v/>
      </c>
      <c r="Q167" s="69" t="str">
        <f t="shared" si="30"/>
        <v/>
      </c>
      <c r="S167" s="71"/>
      <c r="Z167" t="str">
        <f t="shared" si="31"/>
        <v/>
      </c>
      <c r="AA167">
        <f t="shared" si="32"/>
        <v>0</v>
      </c>
      <c r="AB167">
        <f t="shared" si="33"/>
        <v>12</v>
      </c>
      <c r="AC167">
        <f t="shared" si="34"/>
        <v>33</v>
      </c>
      <c r="AD167">
        <f t="shared" si="35"/>
        <v>1</v>
      </c>
    </row>
    <row r="168" spans="9:30" ht="15" customHeight="1">
      <c r="I168" s="69"/>
      <c r="J168" s="69"/>
      <c r="K168" s="69"/>
      <c r="L168" s="69"/>
      <c r="M168" s="69"/>
      <c r="N168" s="69" t="str">
        <f t="shared" si="27"/>
        <v/>
      </c>
      <c r="O168" s="69" t="str">
        <f t="shared" si="28"/>
        <v/>
      </c>
      <c r="P168" s="70" t="str">
        <f t="shared" si="29"/>
        <v/>
      </c>
      <c r="Q168" s="69" t="str">
        <f t="shared" si="30"/>
        <v/>
      </c>
      <c r="S168" s="71"/>
      <c r="Z168" t="str">
        <f t="shared" si="31"/>
        <v/>
      </c>
      <c r="AA168">
        <f t="shared" si="32"/>
        <v>0</v>
      </c>
      <c r="AB168">
        <f t="shared" si="33"/>
        <v>12</v>
      </c>
      <c r="AC168">
        <f t="shared" si="34"/>
        <v>33</v>
      </c>
      <c r="AD168">
        <f t="shared" si="35"/>
        <v>1</v>
      </c>
    </row>
    <row r="169" spans="9:30" ht="15" customHeight="1">
      <c r="I169" s="69"/>
      <c r="J169" s="69"/>
      <c r="K169" s="69"/>
      <c r="L169" s="69"/>
      <c r="M169" s="69"/>
      <c r="N169" s="69" t="str">
        <f t="shared" si="27"/>
        <v/>
      </c>
      <c r="O169" s="69" t="str">
        <f t="shared" si="28"/>
        <v/>
      </c>
      <c r="P169" s="70" t="str">
        <f t="shared" si="29"/>
        <v/>
      </c>
      <c r="Q169" s="69" t="str">
        <f t="shared" si="30"/>
        <v/>
      </c>
      <c r="S169" s="71"/>
      <c r="Z169" t="str">
        <f t="shared" si="31"/>
        <v/>
      </c>
      <c r="AA169">
        <f t="shared" si="32"/>
        <v>0</v>
      </c>
      <c r="AB169">
        <f t="shared" si="33"/>
        <v>12</v>
      </c>
      <c r="AC169">
        <f t="shared" si="34"/>
        <v>33</v>
      </c>
      <c r="AD169">
        <f t="shared" si="35"/>
        <v>1</v>
      </c>
    </row>
    <row r="170" spans="9:30" ht="15" customHeight="1">
      <c r="I170" s="69"/>
      <c r="J170" s="69"/>
      <c r="K170" s="69"/>
      <c r="L170" s="69"/>
      <c r="M170" s="69"/>
      <c r="N170" s="69" t="str">
        <f t="shared" si="27"/>
        <v/>
      </c>
      <c r="O170" s="69" t="str">
        <f t="shared" si="28"/>
        <v/>
      </c>
      <c r="P170" s="70" t="str">
        <f t="shared" si="29"/>
        <v/>
      </c>
      <c r="Q170" s="69" t="str">
        <f t="shared" si="30"/>
        <v/>
      </c>
      <c r="S170" s="71"/>
      <c r="Z170" t="str">
        <f t="shared" si="31"/>
        <v/>
      </c>
      <c r="AA170">
        <f t="shared" si="32"/>
        <v>0</v>
      </c>
      <c r="AB170">
        <f t="shared" si="33"/>
        <v>12</v>
      </c>
      <c r="AC170">
        <f t="shared" si="34"/>
        <v>33</v>
      </c>
      <c r="AD170">
        <f t="shared" si="35"/>
        <v>1</v>
      </c>
    </row>
    <row r="171" spans="9:30" ht="15" customHeight="1">
      <c r="I171" s="69"/>
      <c r="J171" s="69"/>
      <c r="K171" s="69"/>
      <c r="L171" s="69"/>
      <c r="M171" s="69"/>
      <c r="N171" s="69" t="str">
        <f t="shared" si="27"/>
        <v/>
      </c>
      <c r="O171" s="69" t="str">
        <f t="shared" si="28"/>
        <v/>
      </c>
      <c r="P171" s="70" t="str">
        <f t="shared" si="29"/>
        <v/>
      </c>
      <c r="Q171" s="69" t="str">
        <f t="shared" si="30"/>
        <v/>
      </c>
      <c r="S171" s="71"/>
      <c r="Z171" t="str">
        <f t="shared" si="31"/>
        <v/>
      </c>
      <c r="AA171">
        <f t="shared" si="32"/>
        <v>0</v>
      </c>
      <c r="AB171">
        <f t="shared" si="33"/>
        <v>12</v>
      </c>
      <c r="AC171">
        <f t="shared" si="34"/>
        <v>33</v>
      </c>
      <c r="AD171">
        <f t="shared" si="35"/>
        <v>1</v>
      </c>
    </row>
    <row r="172" spans="9:30" ht="15" customHeight="1">
      <c r="I172" s="69"/>
      <c r="J172" s="69"/>
      <c r="K172" s="69"/>
      <c r="L172" s="69"/>
      <c r="M172" s="69"/>
      <c r="N172" s="69" t="str">
        <f t="shared" si="27"/>
        <v/>
      </c>
      <c r="O172" s="69" t="str">
        <f t="shared" si="28"/>
        <v/>
      </c>
      <c r="P172" s="70" t="str">
        <f t="shared" si="29"/>
        <v/>
      </c>
      <c r="Q172" s="69" t="str">
        <f t="shared" si="30"/>
        <v/>
      </c>
      <c r="S172" s="71"/>
      <c r="Z172" t="str">
        <f t="shared" si="31"/>
        <v/>
      </c>
      <c r="AA172">
        <f t="shared" si="32"/>
        <v>0</v>
      </c>
      <c r="AB172">
        <f t="shared" si="33"/>
        <v>12</v>
      </c>
      <c r="AC172">
        <f t="shared" si="34"/>
        <v>33</v>
      </c>
      <c r="AD172">
        <f t="shared" si="35"/>
        <v>1</v>
      </c>
    </row>
    <row r="173" spans="9:30" ht="15" customHeight="1">
      <c r="I173" s="69"/>
      <c r="J173" s="69"/>
      <c r="K173" s="69"/>
      <c r="L173" s="69"/>
      <c r="M173" s="69"/>
      <c r="N173" s="69" t="str">
        <f t="shared" si="27"/>
        <v/>
      </c>
      <c r="O173" s="69" t="str">
        <f t="shared" si="28"/>
        <v/>
      </c>
      <c r="P173" s="70" t="str">
        <f t="shared" si="29"/>
        <v/>
      </c>
      <c r="Q173" s="69" t="str">
        <f t="shared" si="30"/>
        <v/>
      </c>
      <c r="S173" s="71"/>
      <c r="Z173" t="str">
        <f t="shared" si="31"/>
        <v/>
      </c>
      <c r="AA173">
        <f t="shared" si="32"/>
        <v>0</v>
      </c>
      <c r="AB173">
        <f t="shared" si="33"/>
        <v>12</v>
      </c>
      <c r="AC173">
        <f t="shared" si="34"/>
        <v>33</v>
      </c>
      <c r="AD173">
        <f t="shared" si="35"/>
        <v>1</v>
      </c>
    </row>
    <row r="174" spans="9:30" ht="15" customHeight="1">
      <c r="I174" s="69"/>
      <c r="J174" s="69"/>
      <c r="K174" s="69"/>
      <c r="L174" s="69"/>
      <c r="M174" s="69"/>
      <c r="N174" s="69" t="str">
        <f t="shared" si="27"/>
        <v/>
      </c>
      <c r="O174" s="69" t="str">
        <f t="shared" si="28"/>
        <v/>
      </c>
      <c r="P174" s="70" t="str">
        <f t="shared" si="29"/>
        <v/>
      </c>
      <c r="Q174" s="69" t="str">
        <f t="shared" si="30"/>
        <v/>
      </c>
      <c r="S174" s="71"/>
      <c r="Z174" t="str">
        <f t="shared" si="31"/>
        <v/>
      </c>
      <c r="AA174">
        <f t="shared" si="32"/>
        <v>0</v>
      </c>
      <c r="AB174">
        <f t="shared" si="33"/>
        <v>12</v>
      </c>
      <c r="AC174">
        <f t="shared" si="34"/>
        <v>33</v>
      </c>
      <c r="AD174">
        <f t="shared" si="35"/>
        <v>1</v>
      </c>
    </row>
    <row r="175" spans="9:30" ht="15" customHeight="1">
      <c r="I175" s="69"/>
      <c r="J175" s="69"/>
      <c r="K175" s="69"/>
      <c r="L175" s="69"/>
      <c r="M175" s="69"/>
      <c r="N175" s="69" t="str">
        <f t="shared" si="27"/>
        <v/>
      </c>
      <c r="O175" s="69" t="str">
        <f t="shared" si="28"/>
        <v/>
      </c>
      <c r="P175" s="70" t="str">
        <f t="shared" si="29"/>
        <v/>
      </c>
      <c r="Q175" s="69" t="str">
        <f t="shared" si="30"/>
        <v/>
      </c>
      <c r="S175" s="71"/>
      <c r="Z175" t="str">
        <f t="shared" si="31"/>
        <v/>
      </c>
      <c r="AA175">
        <f t="shared" si="32"/>
        <v>0</v>
      </c>
      <c r="AB175">
        <f t="shared" si="33"/>
        <v>12</v>
      </c>
      <c r="AC175">
        <f t="shared" si="34"/>
        <v>33</v>
      </c>
      <c r="AD175">
        <f t="shared" si="35"/>
        <v>1</v>
      </c>
    </row>
    <row r="176" spans="9:30" ht="15" customHeight="1">
      <c r="I176" s="69"/>
      <c r="J176" s="69"/>
      <c r="K176" s="69"/>
      <c r="L176" s="69"/>
      <c r="M176" s="69"/>
      <c r="N176" s="69" t="str">
        <f t="shared" si="27"/>
        <v/>
      </c>
      <c r="O176" s="69" t="str">
        <f t="shared" si="28"/>
        <v/>
      </c>
      <c r="P176" s="70" t="str">
        <f t="shared" si="29"/>
        <v/>
      </c>
      <c r="Q176" s="69" t="str">
        <f t="shared" si="30"/>
        <v/>
      </c>
      <c r="S176" s="71"/>
      <c r="Z176" t="str">
        <f t="shared" si="31"/>
        <v/>
      </c>
      <c r="AA176">
        <f t="shared" si="32"/>
        <v>0</v>
      </c>
      <c r="AB176">
        <f t="shared" si="33"/>
        <v>12</v>
      </c>
      <c r="AC176">
        <f t="shared" si="34"/>
        <v>33</v>
      </c>
      <c r="AD176">
        <f t="shared" si="35"/>
        <v>1</v>
      </c>
    </row>
    <row r="177" spans="9:30" ht="15" customHeight="1">
      <c r="I177" s="69"/>
      <c r="J177" s="69"/>
      <c r="K177" s="69"/>
      <c r="L177" s="69"/>
      <c r="M177" s="69"/>
      <c r="N177" s="69" t="str">
        <f t="shared" si="27"/>
        <v/>
      </c>
      <c r="O177" s="69" t="str">
        <f t="shared" si="28"/>
        <v/>
      </c>
      <c r="P177" s="70" t="str">
        <f t="shared" si="29"/>
        <v/>
      </c>
      <c r="Q177" s="69" t="str">
        <f t="shared" si="30"/>
        <v/>
      </c>
      <c r="S177" s="71"/>
      <c r="Z177" t="str">
        <f t="shared" si="31"/>
        <v/>
      </c>
      <c r="AA177">
        <f t="shared" si="32"/>
        <v>0</v>
      </c>
      <c r="AB177">
        <f t="shared" si="33"/>
        <v>12</v>
      </c>
      <c r="AC177">
        <f t="shared" si="34"/>
        <v>33</v>
      </c>
      <c r="AD177">
        <f t="shared" si="35"/>
        <v>1</v>
      </c>
    </row>
    <row r="178" spans="9:30" ht="15" customHeight="1">
      <c r="I178" s="69"/>
      <c r="J178" s="69"/>
      <c r="K178" s="69"/>
      <c r="L178" s="69"/>
      <c r="M178" s="69"/>
      <c r="N178" s="69" t="str">
        <f t="shared" si="27"/>
        <v/>
      </c>
      <c r="O178" s="69" t="str">
        <f t="shared" si="28"/>
        <v/>
      </c>
      <c r="P178" s="70" t="str">
        <f t="shared" si="29"/>
        <v/>
      </c>
      <c r="Q178" s="69" t="str">
        <f t="shared" si="30"/>
        <v/>
      </c>
      <c r="S178" s="71"/>
      <c r="Z178" t="str">
        <f t="shared" si="31"/>
        <v/>
      </c>
      <c r="AA178">
        <f t="shared" si="32"/>
        <v>0</v>
      </c>
      <c r="AB178">
        <f t="shared" si="33"/>
        <v>12</v>
      </c>
      <c r="AC178">
        <f t="shared" si="34"/>
        <v>33</v>
      </c>
      <c r="AD178">
        <f t="shared" si="35"/>
        <v>1</v>
      </c>
    </row>
    <row r="179" spans="9:30" ht="15" customHeight="1">
      <c r="I179" s="69"/>
      <c r="J179" s="69"/>
      <c r="K179" s="69"/>
      <c r="L179" s="69"/>
      <c r="M179" s="69"/>
      <c r="N179" s="69" t="str">
        <f t="shared" si="27"/>
        <v/>
      </c>
      <c r="O179" s="69" t="str">
        <f t="shared" si="28"/>
        <v/>
      </c>
      <c r="P179" s="70" t="str">
        <f t="shared" si="29"/>
        <v/>
      </c>
      <c r="Q179" s="69" t="str">
        <f t="shared" si="30"/>
        <v/>
      </c>
      <c r="S179" s="71"/>
      <c r="Z179" t="str">
        <f t="shared" si="31"/>
        <v/>
      </c>
      <c r="AA179">
        <f t="shared" si="32"/>
        <v>0</v>
      </c>
      <c r="AB179">
        <f t="shared" si="33"/>
        <v>12</v>
      </c>
      <c r="AC179">
        <f t="shared" si="34"/>
        <v>33</v>
      </c>
      <c r="AD179">
        <f t="shared" si="35"/>
        <v>1</v>
      </c>
    </row>
    <row r="180" spans="9:30" ht="15" customHeight="1">
      <c r="I180" s="69"/>
      <c r="J180" s="69"/>
      <c r="K180" s="69"/>
      <c r="L180" s="69"/>
      <c r="M180" s="69"/>
      <c r="N180" s="69" t="str">
        <f t="shared" si="27"/>
        <v/>
      </c>
      <c r="O180" s="69" t="str">
        <f t="shared" si="28"/>
        <v/>
      </c>
      <c r="P180" s="70" t="str">
        <f t="shared" si="29"/>
        <v/>
      </c>
      <c r="Q180" s="69" t="str">
        <f t="shared" si="30"/>
        <v/>
      </c>
      <c r="S180" s="71"/>
      <c r="Z180" t="str">
        <f t="shared" si="31"/>
        <v/>
      </c>
      <c r="AA180">
        <f t="shared" si="32"/>
        <v>0</v>
      </c>
      <c r="AB180">
        <f t="shared" si="33"/>
        <v>12</v>
      </c>
      <c r="AC180">
        <f t="shared" si="34"/>
        <v>33</v>
      </c>
      <c r="AD180">
        <f t="shared" si="35"/>
        <v>1</v>
      </c>
    </row>
    <row r="181" spans="9:30" ht="15" customHeight="1">
      <c r="I181" s="69"/>
      <c r="J181" s="69"/>
      <c r="K181" s="69"/>
      <c r="L181" s="69"/>
      <c r="M181" s="69"/>
      <c r="N181" s="69" t="str">
        <f t="shared" ref="N181:N244" si="36">IF(ISNUMBER(I181),ROUND(I181-I181/1.081,2),"")</f>
        <v/>
      </c>
      <c r="O181" s="69" t="str">
        <f t="shared" si="28"/>
        <v/>
      </c>
      <c r="P181" s="70" t="str">
        <f t="shared" si="29"/>
        <v/>
      </c>
      <c r="Q181" s="69" t="str">
        <f t="shared" si="30"/>
        <v/>
      </c>
      <c r="S181" s="71"/>
      <c r="Z181" t="str">
        <f t="shared" si="31"/>
        <v/>
      </c>
      <c r="AA181">
        <f t="shared" si="32"/>
        <v>0</v>
      </c>
      <c r="AB181">
        <f t="shared" si="33"/>
        <v>12</v>
      </c>
      <c r="AC181">
        <f t="shared" si="34"/>
        <v>33</v>
      </c>
      <c r="AD181">
        <f t="shared" si="35"/>
        <v>1</v>
      </c>
    </row>
    <row r="182" spans="9:30" ht="15" customHeight="1">
      <c r="I182" s="69"/>
      <c r="J182" s="69"/>
      <c r="K182" s="69"/>
      <c r="L182" s="69"/>
      <c r="M182" s="69"/>
      <c r="N182" s="69" t="str">
        <f t="shared" si="36"/>
        <v/>
      </c>
      <c r="O182" s="69" t="str">
        <f t="shared" si="28"/>
        <v/>
      </c>
      <c r="P182" s="70" t="str">
        <f t="shared" si="29"/>
        <v/>
      </c>
      <c r="Q182" s="69" t="str">
        <f t="shared" si="30"/>
        <v/>
      </c>
      <c r="S182" s="71"/>
      <c r="Z182" t="str">
        <f t="shared" si="31"/>
        <v/>
      </c>
      <c r="AA182">
        <f t="shared" si="32"/>
        <v>0</v>
      </c>
      <c r="AB182">
        <f t="shared" si="33"/>
        <v>12</v>
      </c>
      <c r="AC182">
        <f t="shared" si="34"/>
        <v>33</v>
      </c>
      <c r="AD182">
        <f t="shared" si="35"/>
        <v>1</v>
      </c>
    </row>
    <row r="183" spans="9:30" ht="15" customHeight="1">
      <c r="I183" s="69"/>
      <c r="J183" s="69"/>
      <c r="K183" s="69"/>
      <c r="L183" s="69"/>
      <c r="M183" s="69"/>
      <c r="N183" s="69" t="str">
        <f t="shared" si="36"/>
        <v/>
      </c>
      <c r="O183" s="69" t="str">
        <f t="shared" si="28"/>
        <v/>
      </c>
      <c r="P183" s="70" t="str">
        <f t="shared" si="29"/>
        <v/>
      </c>
      <c r="Q183" s="69" t="str">
        <f t="shared" si="30"/>
        <v/>
      </c>
      <c r="S183" s="71"/>
      <c r="Z183" t="str">
        <f t="shared" si="31"/>
        <v/>
      </c>
      <c r="AA183">
        <f t="shared" si="32"/>
        <v>0</v>
      </c>
      <c r="AB183">
        <f t="shared" si="33"/>
        <v>12</v>
      </c>
      <c r="AC183">
        <f t="shared" si="34"/>
        <v>33</v>
      </c>
      <c r="AD183">
        <f t="shared" si="35"/>
        <v>1</v>
      </c>
    </row>
    <row r="184" spans="9:30" ht="15" customHeight="1">
      <c r="I184" s="69"/>
      <c r="J184" s="69"/>
      <c r="K184" s="69"/>
      <c r="L184" s="69"/>
      <c r="M184" s="69"/>
      <c r="N184" s="69" t="str">
        <f t="shared" si="36"/>
        <v/>
      </c>
      <c r="O184" s="69" t="str">
        <f t="shared" si="28"/>
        <v/>
      </c>
      <c r="P184" s="70" t="str">
        <f t="shared" si="29"/>
        <v/>
      </c>
      <c r="Q184" s="69" t="str">
        <f t="shared" si="30"/>
        <v/>
      </c>
      <c r="S184" s="71"/>
      <c r="Z184" t="str">
        <f t="shared" si="31"/>
        <v/>
      </c>
      <c r="AA184">
        <f t="shared" si="32"/>
        <v>0</v>
      </c>
      <c r="AB184">
        <f t="shared" si="33"/>
        <v>12</v>
      </c>
      <c r="AC184">
        <f t="shared" si="34"/>
        <v>33</v>
      </c>
      <c r="AD184">
        <f t="shared" si="35"/>
        <v>1</v>
      </c>
    </row>
    <row r="185" spans="9:30" ht="15" customHeight="1">
      <c r="I185" s="69"/>
      <c r="J185" s="69"/>
      <c r="K185" s="69"/>
      <c r="L185" s="69"/>
      <c r="M185" s="69"/>
      <c r="N185" s="69" t="str">
        <f t="shared" si="36"/>
        <v/>
      </c>
      <c r="O185" s="69" t="str">
        <f t="shared" si="28"/>
        <v/>
      </c>
      <c r="P185" s="70" t="str">
        <f t="shared" si="29"/>
        <v/>
      </c>
      <c r="Q185" s="69" t="str">
        <f t="shared" si="30"/>
        <v/>
      </c>
      <c r="S185" s="71"/>
      <c r="Z185" t="str">
        <f t="shared" si="31"/>
        <v/>
      </c>
      <c r="AA185">
        <f t="shared" si="32"/>
        <v>0</v>
      </c>
      <c r="AB185">
        <f t="shared" si="33"/>
        <v>12</v>
      </c>
      <c r="AC185">
        <f t="shared" si="34"/>
        <v>33</v>
      </c>
      <c r="AD185">
        <f t="shared" si="35"/>
        <v>1</v>
      </c>
    </row>
    <row r="186" spans="9:30" ht="15" customHeight="1">
      <c r="I186" s="69"/>
      <c r="J186" s="69"/>
      <c r="K186" s="69"/>
      <c r="L186" s="69"/>
      <c r="M186" s="69"/>
      <c r="N186" s="69" t="str">
        <f t="shared" si="36"/>
        <v/>
      </c>
      <c r="O186" s="69" t="str">
        <f t="shared" si="28"/>
        <v/>
      </c>
      <c r="P186" s="70" t="str">
        <f t="shared" si="29"/>
        <v/>
      </c>
      <c r="Q186" s="69" t="str">
        <f t="shared" si="30"/>
        <v/>
      </c>
      <c r="S186" s="71"/>
      <c r="Z186" t="str">
        <f t="shared" si="31"/>
        <v/>
      </c>
      <c r="AA186">
        <f t="shared" si="32"/>
        <v>0</v>
      </c>
      <c r="AB186">
        <f t="shared" si="33"/>
        <v>12</v>
      </c>
      <c r="AC186">
        <f t="shared" si="34"/>
        <v>33</v>
      </c>
      <c r="AD186">
        <f t="shared" si="35"/>
        <v>1</v>
      </c>
    </row>
    <row r="187" spans="9:30" ht="15" customHeight="1">
      <c r="I187" s="69"/>
      <c r="J187" s="69"/>
      <c r="K187" s="69"/>
      <c r="L187" s="69"/>
      <c r="M187" s="69"/>
      <c r="N187" s="69" t="str">
        <f t="shared" si="36"/>
        <v/>
      </c>
      <c r="O187" s="69" t="str">
        <f t="shared" si="28"/>
        <v/>
      </c>
      <c r="P187" s="70" t="str">
        <f t="shared" si="29"/>
        <v/>
      </c>
      <c r="Q187" s="69" t="str">
        <f t="shared" si="30"/>
        <v/>
      </c>
      <c r="S187" s="71"/>
      <c r="Z187" t="str">
        <f t="shared" si="31"/>
        <v/>
      </c>
      <c r="AA187">
        <f t="shared" si="32"/>
        <v>0</v>
      </c>
      <c r="AB187">
        <f t="shared" si="33"/>
        <v>12</v>
      </c>
      <c r="AC187">
        <f t="shared" si="34"/>
        <v>33</v>
      </c>
      <c r="AD187">
        <f t="shared" si="35"/>
        <v>1</v>
      </c>
    </row>
    <row r="188" spans="9:30" ht="15" customHeight="1">
      <c r="I188" s="69"/>
      <c r="J188" s="69"/>
      <c r="K188" s="69"/>
      <c r="L188" s="69"/>
      <c r="M188" s="69"/>
      <c r="N188" s="69" t="str">
        <f t="shared" si="36"/>
        <v/>
      </c>
      <c r="O188" s="69" t="str">
        <f t="shared" si="28"/>
        <v/>
      </c>
      <c r="P188" s="70" t="str">
        <f t="shared" si="29"/>
        <v/>
      </c>
      <c r="Q188" s="69" t="str">
        <f t="shared" si="30"/>
        <v/>
      </c>
      <c r="S188" s="71"/>
      <c r="Z188" t="str">
        <f t="shared" si="31"/>
        <v/>
      </c>
      <c r="AA188">
        <f t="shared" si="32"/>
        <v>0</v>
      </c>
      <c r="AB188">
        <f t="shared" si="33"/>
        <v>12</v>
      </c>
      <c r="AC188">
        <f t="shared" si="34"/>
        <v>33</v>
      </c>
      <c r="AD188">
        <f t="shared" si="35"/>
        <v>1</v>
      </c>
    </row>
    <row r="189" spans="9:30" ht="15" customHeight="1">
      <c r="I189" s="69"/>
      <c r="J189" s="69"/>
      <c r="K189" s="69"/>
      <c r="L189" s="69"/>
      <c r="M189" s="69"/>
      <c r="N189" s="69" t="str">
        <f t="shared" si="36"/>
        <v/>
      </c>
      <c r="O189" s="69" t="str">
        <f t="shared" si="28"/>
        <v/>
      </c>
      <c r="P189" s="70" t="str">
        <f t="shared" si="29"/>
        <v/>
      </c>
      <c r="Q189" s="69" t="str">
        <f t="shared" si="30"/>
        <v/>
      </c>
      <c r="S189" s="71"/>
      <c r="Z189" t="str">
        <f t="shared" si="31"/>
        <v/>
      </c>
      <c r="AA189">
        <f t="shared" si="32"/>
        <v>0</v>
      </c>
      <c r="AB189">
        <f t="shared" si="33"/>
        <v>12</v>
      </c>
      <c r="AC189">
        <f t="shared" si="34"/>
        <v>33</v>
      </c>
      <c r="AD189">
        <f t="shared" si="35"/>
        <v>1</v>
      </c>
    </row>
    <row r="190" spans="9:30" ht="15" customHeight="1">
      <c r="I190" s="69"/>
      <c r="J190" s="69"/>
      <c r="K190" s="69"/>
      <c r="L190" s="69"/>
      <c r="M190" s="69"/>
      <c r="N190" s="69" t="str">
        <f t="shared" si="36"/>
        <v/>
      </c>
      <c r="O190" s="69" t="str">
        <f t="shared" si="28"/>
        <v/>
      </c>
      <c r="P190" s="70" t="str">
        <f t="shared" si="29"/>
        <v/>
      </c>
      <c r="Q190" s="69" t="str">
        <f t="shared" si="30"/>
        <v/>
      </c>
      <c r="S190" s="71"/>
      <c r="Z190" t="str">
        <f t="shared" si="31"/>
        <v/>
      </c>
      <c r="AA190">
        <f t="shared" si="32"/>
        <v>0</v>
      </c>
      <c r="AB190">
        <f t="shared" si="33"/>
        <v>12</v>
      </c>
      <c r="AC190">
        <f t="shared" si="34"/>
        <v>33</v>
      </c>
      <c r="AD190">
        <f t="shared" si="35"/>
        <v>1</v>
      </c>
    </row>
    <row r="191" spans="9:30" ht="15" customHeight="1">
      <c r="I191" s="69"/>
      <c r="J191" s="69"/>
      <c r="K191" s="69"/>
      <c r="L191" s="69"/>
      <c r="M191" s="69"/>
      <c r="N191" s="69" t="str">
        <f t="shared" si="36"/>
        <v/>
      </c>
      <c r="O191" s="69" t="str">
        <f t="shared" si="28"/>
        <v/>
      </c>
      <c r="P191" s="70" t="str">
        <f t="shared" si="29"/>
        <v/>
      </c>
      <c r="Q191" s="69" t="str">
        <f t="shared" si="30"/>
        <v/>
      </c>
      <c r="S191" s="71"/>
      <c r="Z191" t="str">
        <f t="shared" si="31"/>
        <v/>
      </c>
      <c r="AA191">
        <f t="shared" si="32"/>
        <v>0</v>
      </c>
      <c r="AB191">
        <f t="shared" si="33"/>
        <v>12</v>
      </c>
      <c r="AC191">
        <f t="shared" si="34"/>
        <v>33</v>
      </c>
      <c r="AD191">
        <f t="shared" si="35"/>
        <v>1</v>
      </c>
    </row>
    <row r="192" spans="9:30" ht="15" customHeight="1">
      <c r="I192" s="69"/>
      <c r="J192" s="69"/>
      <c r="K192" s="69"/>
      <c r="L192" s="69"/>
      <c r="M192" s="69"/>
      <c r="N192" s="69" t="str">
        <f t="shared" si="36"/>
        <v/>
      </c>
      <c r="O192" s="69" t="str">
        <f t="shared" si="28"/>
        <v/>
      </c>
      <c r="P192" s="70" t="str">
        <f t="shared" si="29"/>
        <v/>
      </c>
      <c r="Q192" s="69" t="str">
        <f t="shared" si="30"/>
        <v/>
      </c>
      <c r="S192" s="71"/>
      <c r="Z192" t="str">
        <f t="shared" si="31"/>
        <v/>
      </c>
      <c r="AA192">
        <f t="shared" si="32"/>
        <v>0</v>
      </c>
      <c r="AB192">
        <f t="shared" si="33"/>
        <v>12</v>
      </c>
      <c r="AC192">
        <f t="shared" si="34"/>
        <v>33</v>
      </c>
      <c r="AD192">
        <f t="shared" si="35"/>
        <v>1</v>
      </c>
    </row>
    <row r="193" spans="9:30" ht="15" customHeight="1">
      <c r="I193" s="69"/>
      <c r="J193" s="69"/>
      <c r="K193" s="69"/>
      <c r="L193" s="69"/>
      <c r="M193" s="69"/>
      <c r="N193" s="69" t="str">
        <f t="shared" si="36"/>
        <v/>
      </c>
      <c r="O193" s="69" t="str">
        <f t="shared" si="28"/>
        <v/>
      </c>
      <c r="P193" s="70" t="str">
        <f t="shared" si="29"/>
        <v/>
      </c>
      <c r="Q193" s="69" t="str">
        <f t="shared" si="30"/>
        <v/>
      </c>
      <c r="S193" s="71"/>
      <c r="Z193" t="str">
        <f t="shared" si="31"/>
        <v/>
      </c>
      <c r="AA193">
        <f t="shared" si="32"/>
        <v>0</v>
      </c>
      <c r="AB193">
        <f t="shared" si="33"/>
        <v>12</v>
      </c>
      <c r="AC193">
        <f t="shared" si="34"/>
        <v>33</v>
      </c>
      <c r="AD193">
        <f t="shared" si="35"/>
        <v>1</v>
      </c>
    </row>
    <row r="194" spans="9:30" ht="15" customHeight="1">
      <c r="I194" s="69"/>
      <c r="J194" s="69"/>
      <c r="K194" s="69"/>
      <c r="L194" s="69"/>
      <c r="M194" s="69"/>
      <c r="N194" s="69" t="str">
        <f t="shared" si="36"/>
        <v/>
      </c>
      <c r="O194" s="69" t="str">
        <f t="shared" si="28"/>
        <v/>
      </c>
      <c r="P194" s="70" t="str">
        <f t="shared" si="29"/>
        <v/>
      </c>
      <c r="Q194" s="69" t="str">
        <f t="shared" si="30"/>
        <v/>
      </c>
      <c r="S194" s="71"/>
      <c r="Z194" t="str">
        <f t="shared" si="31"/>
        <v/>
      </c>
      <c r="AA194">
        <f t="shared" si="32"/>
        <v>0</v>
      </c>
      <c r="AB194">
        <f t="shared" si="33"/>
        <v>12</v>
      </c>
      <c r="AC194">
        <f t="shared" si="34"/>
        <v>33</v>
      </c>
      <c r="AD194">
        <f t="shared" si="35"/>
        <v>1</v>
      </c>
    </row>
    <row r="195" spans="9:30" ht="15" customHeight="1">
      <c r="I195" s="69"/>
      <c r="J195" s="69"/>
      <c r="K195" s="69"/>
      <c r="L195" s="69"/>
      <c r="M195" s="69"/>
      <c r="N195" s="69" t="str">
        <f t="shared" si="36"/>
        <v/>
      </c>
      <c r="O195" s="69" t="str">
        <f t="shared" si="28"/>
        <v/>
      </c>
      <c r="P195" s="70" t="str">
        <f t="shared" si="29"/>
        <v/>
      </c>
      <c r="Q195" s="69" t="str">
        <f t="shared" si="30"/>
        <v/>
      </c>
      <c r="S195" s="71"/>
      <c r="Z195" t="str">
        <f t="shared" si="31"/>
        <v/>
      </c>
      <c r="AA195">
        <f t="shared" si="32"/>
        <v>0</v>
      </c>
      <c r="AB195">
        <f t="shared" si="33"/>
        <v>12</v>
      </c>
      <c r="AC195">
        <f t="shared" si="34"/>
        <v>33</v>
      </c>
      <c r="AD195">
        <f t="shared" si="35"/>
        <v>1</v>
      </c>
    </row>
    <row r="196" spans="9:30" ht="15" customHeight="1">
      <c r="I196" s="69"/>
      <c r="J196" s="69"/>
      <c r="K196" s="69"/>
      <c r="L196" s="69"/>
      <c r="M196" s="69"/>
      <c r="N196" s="69" t="str">
        <f t="shared" si="36"/>
        <v/>
      </c>
      <c r="O196" s="69" t="str">
        <f t="shared" si="28"/>
        <v/>
      </c>
      <c r="P196" s="70" t="str">
        <f t="shared" si="29"/>
        <v/>
      </c>
      <c r="Q196" s="69" t="str">
        <f t="shared" si="30"/>
        <v/>
      </c>
      <c r="S196" s="71"/>
      <c r="Z196" t="str">
        <f t="shared" si="31"/>
        <v/>
      </c>
      <c r="AA196">
        <f t="shared" si="32"/>
        <v>0</v>
      </c>
      <c r="AB196">
        <f t="shared" si="33"/>
        <v>12</v>
      </c>
      <c r="AC196">
        <f t="shared" si="34"/>
        <v>33</v>
      </c>
      <c r="AD196">
        <f t="shared" si="35"/>
        <v>1</v>
      </c>
    </row>
    <row r="197" spans="9:30" ht="15" customHeight="1">
      <c r="I197" s="69"/>
      <c r="J197" s="69"/>
      <c r="K197" s="69"/>
      <c r="L197" s="69"/>
      <c r="M197" s="69"/>
      <c r="N197" s="69" t="str">
        <f t="shared" si="36"/>
        <v/>
      </c>
      <c r="O197" s="69" t="str">
        <f t="shared" si="28"/>
        <v/>
      </c>
      <c r="P197" s="70" t="str">
        <f t="shared" si="29"/>
        <v/>
      </c>
      <c r="Q197" s="69" t="str">
        <f t="shared" si="30"/>
        <v/>
      </c>
      <c r="S197" s="71"/>
      <c r="Z197" t="str">
        <f t="shared" si="31"/>
        <v/>
      </c>
      <c r="AA197">
        <f t="shared" si="32"/>
        <v>0</v>
      </c>
      <c r="AB197">
        <f t="shared" si="33"/>
        <v>12</v>
      </c>
      <c r="AC197">
        <f t="shared" si="34"/>
        <v>33</v>
      </c>
      <c r="AD197">
        <f t="shared" si="35"/>
        <v>1</v>
      </c>
    </row>
    <row r="198" spans="9:30" ht="15" customHeight="1">
      <c r="I198" s="69"/>
      <c r="J198" s="69"/>
      <c r="K198" s="69"/>
      <c r="L198" s="69"/>
      <c r="M198" s="69"/>
      <c r="N198" s="69" t="str">
        <f t="shared" si="36"/>
        <v/>
      </c>
      <c r="O198" s="69" t="str">
        <f t="shared" ref="O198:O261" si="37">IF(ISNUMBER(I198),I198-SUM(J198:N198),"")</f>
        <v/>
      </c>
      <c r="P198" s="70" t="str">
        <f t="shared" ref="P198:P261" si="38">IFERROR(IF(AND(ISNUMBER(O198),ISNUMBER(I198),I198&lt;&gt;0),O198/I198,""),"")</f>
        <v/>
      </c>
      <c r="Q198" s="69" t="str">
        <f t="shared" ref="Q198:Q261" si="39">IF(AND(ISNUMBER(I198),ISNUMBER(S198)),I198*IF(S198&lt;=1,S198,S198/100),IF(OR(I198&lt;&gt;"",S198&lt;&gt;""),"tbd",""))</f>
        <v/>
      </c>
      <c r="S198" s="71"/>
      <c r="Z198" t="str">
        <f t="shared" ref="Z198:Z261" si="40">IF(AND(R198="WON",ISNUMBER(I198)),AA198,"")</f>
        <v/>
      </c>
      <c r="AA198">
        <f t="shared" ref="AA198:AA261" si="41">IFERROR(I198*1,0)</f>
        <v>0</v>
      </c>
      <c r="AB198">
        <f t="shared" ref="AB198:AB261" si="42">N(AB197)+IF(AND(R198="WON",B198&lt;&gt;""),1,0)</f>
        <v>12</v>
      </c>
      <c r="AC198">
        <f t="shared" ref="AC198:AC261" si="43">N(AC197)+IF(AND(OR(R198="offered",R198="to be offered",R198="on hold"),B198&lt;&gt;""),1,0)</f>
        <v>33</v>
      </c>
      <c r="AD198">
        <f t="shared" ref="AD198:AD261" si="44">N(AD197)+IF(AND(OR(R198="follow-up",R198="Evaluation",R198="tbd",R198="In evaluation"),B198&lt;&gt;""),1,0)</f>
        <v>1</v>
      </c>
    </row>
    <row r="199" spans="9:30" ht="15" customHeight="1">
      <c r="I199" s="69"/>
      <c r="J199" s="69"/>
      <c r="K199" s="69"/>
      <c r="L199" s="69"/>
      <c r="M199" s="69"/>
      <c r="N199" s="69" t="str">
        <f t="shared" si="36"/>
        <v/>
      </c>
      <c r="O199" s="69" t="str">
        <f t="shared" si="37"/>
        <v/>
      </c>
      <c r="P199" s="70" t="str">
        <f t="shared" si="38"/>
        <v/>
      </c>
      <c r="Q199" s="69" t="str">
        <f t="shared" si="39"/>
        <v/>
      </c>
      <c r="S199" s="71"/>
      <c r="Z199" t="str">
        <f t="shared" si="40"/>
        <v/>
      </c>
      <c r="AA199">
        <f t="shared" si="41"/>
        <v>0</v>
      </c>
      <c r="AB199">
        <f t="shared" si="42"/>
        <v>12</v>
      </c>
      <c r="AC199">
        <f t="shared" si="43"/>
        <v>33</v>
      </c>
      <c r="AD199">
        <f t="shared" si="44"/>
        <v>1</v>
      </c>
    </row>
    <row r="200" spans="9:30" ht="15" customHeight="1">
      <c r="I200" s="69"/>
      <c r="J200" s="69"/>
      <c r="K200" s="69"/>
      <c r="L200" s="69"/>
      <c r="M200" s="69"/>
      <c r="N200" s="69" t="str">
        <f t="shared" si="36"/>
        <v/>
      </c>
      <c r="O200" s="69" t="str">
        <f t="shared" si="37"/>
        <v/>
      </c>
      <c r="P200" s="70" t="str">
        <f t="shared" si="38"/>
        <v/>
      </c>
      <c r="Q200" s="69" t="str">
        <f t="shared" si="39"/>
        <v/>
      </c>
      <c r="S200" s="71"/>
      <c r="Z200" t="str">
        <f t="shared" si="40"/>
        <v/>
      </c>
      <c r="AA200">
        <f t="shared" si="41"/>
        <v>0</v>
      </c>
      <c r="AB200">
        <f t="shared" si="42"/>
        <v>12</v>
      </c>
      <c r="AC200">
        <f t="shared" si="43"/>
        <v>33</v>
      </c>
      <c r="AD200">
        <f t="shared" si="44"/>
        <v>1</v>
      </c>
    </row>
    <row r="201" spans="9:30" ht="15" customHeight="1">
      <c r="I201" s="69"/>
      <c r="J201" s="69"/>
      <c r="K201" s="69"/>
      <c r="L201" s="69"/>
      <c r="M201" s="69"/>
      <c r="N201" s="69" t="str">
        <f t="shared" si="36"/>
        <v/>
      </c>
      <c r="O201" s="69" t="str">
        <f t="shared" si="37"/>
        <v/>
      </c>
      <c r="P201" s="70" t="str">
        <f t="shared" si="38"/>
        <v/>
      </c>
      <c r="Q201" s="69" t="str">
        <f t="shared" si="39"/>
        <v/>
      </c>
      <c r="S201" s="71"/>
      <c r="Z201" t="str">
        <f t="shared" si="40"/>
        <v/>
      </c>
      <c r="AA201">
        <f t="shared" si="41"/>
        <v>0</v>
      </c>
      <c r="AB201">
        <f t="shared" si="42"/>
        <v>12</v>
      </c>
      <c r="AC201">
        <f t="shared" si="43"/>
        <v>33</v>
      </c>
      <c r="AD201">
        <f t="shared" si="44"/>
        <v>1</v>
      </c>
    </row>
    <row r="202" spans="9:30" ht="15" customHeight="1">
      <c r="I202" s="69"/>
      <c r="J202" s="69"/>
      <c r="K202" s="69"/>
      <c r="L202" s="69"/>
      <c r="M202" s="69"/>
      <c r="N202" s="69" t="str">
        <f t="shared" si="36"/>
        <v/>
      </c>
      <c r="O202" s="69" t="str">
        <f t="shared" si="37"/>
        <v/>
      </c>
      <c r="P202" s="70" t="str">
        <f t="shared" si="38"/>
        <v/>
      </c>
      <c r="Q202" s="69" t="str">
        <f t="shared" si="39"/>
        <v/>
      </c>
      <c r="S202" s="71"/>
      <c r="Z202" t="str">
        <f t="shared" si="40"/>
        <v/>
      </c>
      <c r="AA202">
        <f t="shared" si="41"/>
        <v>0</v>
      </c>
      <c r="AB202">
        <f t="shared" si="42"/>
        <v>12</v>
      </c>
      <c r="AC202">
        <f t="shared" si="43"/>
        <v>33</v>
      </c>
      <c r="AD202">
        <f t="shared" si="44"/>
        <v>1</v>
      </c>
    </row>
    <row r="203" spans="9:30" ht="15" customHeight="1">
      <c r="I203" s="69"/>
      <c r="J203" s="69"/>
      <c r="K203" s="69"/>
      <c r="L203" s="69"/>
      <c r="M203" s="69"/>
      <c r="N203" s="69" t="str">
        <f t="shared" si="36"/>
        <v/>
      </c>
      <c r="O203" s="69" t="str">
        <f t="shared" si="37"/>
        <v/>
      </c>
      <c r="P203" s="70" t="str">
        <f t="shared" si="38"/>
        <v/>
      </c>
      <c r="Q203" s="69" t="str">
        <f t="shared" si="39"/>
        <v/>
      </c>
      <c r="S203" s="71"/>
      <c r="Z203" t="str">
        <f t="shared" si="40"/>
        <v/>
      </c>
      <c r="AA203">
        <f t="shared" si="41"/>
        <v>0</v>
      </c>
      <c r="AB203">
        <f t="shared" si="42"/>
        <v>12</v>
      </c>
      <c r="AC203">
        <f t="shared" si="43"/>
        <v>33</v>
      </c>
      <c r="AD203">
        <f t="shared" si="44"/>
        <v>1</v>
      </c>
    </row>
    <row r="204" spans="9:30" ht="15" customHeight="1">
      <c r="I204" s="69"/>
      <c r="J204" s="69"/>
      <c r="K204" s="69"/>
      <c r="L204" s="69"/>
      <c r="M204" s="69"/>
      <c r="N204" s="69" t="str">
        <f t="shared" si="36"/>
        <v/>
      </c>
      <c r="O204" s="69" t="str">
        <f t="shared" si="37"/>
        <v/>
      </c>
      <c r="P204" s="70" t="str">
        <f t="shared" si="38"/>
        <v/>
      </c>
      <c r="Q204" s="69" t="str">
        <f t="shared" si="39"/>
        <v/>
      </c>
      <c r="S204" s="71"/>
      <c r="Z204" t="str">
        <f t="shared" si="40"/>
        <v/>
      </c>
      <c r="AA204">
        <f t="shared" si="41"/>
        <v>0</v>
      </c>
      <c r="AB204">
        <f t="shared" si="42"/>
        <v>12</v>
      </c>
      <c r="AC204">
        <f t="shared" si="43"/>
        <v>33</v>
      </c>
      <c r="AD204">
        <f t="shared" si="44"/>
        <v>1</v>
      </c>
    </row>
    <row r="205" spans="9:30" ht="15" customHeight="1">
      <c r="I205" s="69"/>
      <c r="J205" s="69"/>
      <c r="K205" s="69"/>
      <c r="L205" s="69"/>
      <c r="M205" s="69"/>
      <c r="N205" s="69" t="str">
        <f t="shared" si="36"/>
        <v/>
      </c>
      <c r="O205" s="69" t="str">
        <f t="shared" si="37"/>
        <v/>
      </c>
      <c r="P205" s="70" t="str">
        <f t="shared" si="38"/>
        <v/>
      </c>
      <c r="Q205" s="69" t="str">
        <f t="shared" si="39"/>
        <v/>
      </c>
      <c r="S205" s="71"/>
      <c r="Z205" t="str">
        <f t="shared" si="40"/>
        <v/>
      </c>
      <c r="AA205">
        <f t="shared" si="41"/>
        <v>0</v>
      </c>
      <c r="AB205">
        <f t="shared" si="42"/>
        <v>12</v>
      </c>
      <c r="AC205">
        <f t="shared" si="43"/>
        <v>33</v>
      </c>
      <c r="AD205">
        <f t="shared" si="44"/>
        <v>1</v>
      </c>
    </row>
    <row r="206" spans="9:30" ht="15" customHeight="1">
      <c r="I206" s="69"/>
      <c r="J206" s="69"/>
      <c r="K206" s="69"/>
      <c r="L206" s="69"/>
      <c r="M206" s="69"/>
      <c r="N206" s="69" t="str">
        <f t="shared" si="36"/>
        <v/>
      </c>
      <c r="O206" s="69" t="str">
        <f t="shared" si="37"/>
        <v/>
      </c>
      <c r="P206" s="70" t="str">
        <f t="shared" si="38"/>
        <v/>
      </c>
      <c r="Q206" s="69" t="str">
        <f t="shared" si="39"/>
        <v/>
      </c>
      <c r="S206" s="71"/>
      <c r="Z206" t="str">
        <f t="shared" si="40"/>
        <v/>
      </c>
      <c r="AA206">
        <f t="shared" si="41"/>
        <v>0</v>
      </c>
      <c r="AB206">
        <f t="shared" si="42"/>
        <v>12</v>
      </c>
      <c r="AC206">
        <f t="shared" si="43"/>
        <v>33</v>
      </c>
      <c r="AD206">
        <f t="shared" si="44"/>
        <v>1</v>
      </c>
    </row>
    <row r="207" spans="9:30" ht="15" customHeight="1">
      <c r="I207" s="69"/>
      <c r="J207" s="69"/>
      <c r="K207" s="69"/>
      <c r="L207" s="69"/>
      <c r="M207" s="69"/>
      <c r="N207" s="69" t="str">
        <f t="shared" si="36"/>
        <v/>
      </c>
      <c r="O207" s="69" t="str">
        <f t="shared" si="37"/>
        <v/>
      </c>
      <c r="P207" s="70" t="str">
        <f t="shared" si="38"/>
        <v/>
      </c>
      <c r="Q207" s="69" t="str">
        <f t="shared" si="39"/>
        <v/>
      </c>
      <c r="S207" s="71"/>
      <c r="Z207" t="str">
        <f t="shared" si="40"/>
        <v/>
      </c>
      <c r="AA207">
        <f t="shared" si="41"/>
        <v>0</v>
      </c>
      <c r="AB207">
        <f t="shared" si="42"/>
        <v>12</v>
      </c>
      <c r="AC207">
        <f t="shared" si="43"/>
        <v>33</v>
      </c>
      <c r="AD207">
        <f t="shared" si="44"/>
        <v>1</v>
      </c>
    </row>
    <row r="208" spans="9:30" ht="15" customHeight="1">
      <c r="I208" s="69"/>
      <c r="J208" s="69"/>
      <c r="K208" s="69"/>
      <c r="L208" s="69"/>
      <c r="M208" s="69"/>
      <c r="N208" s="69" t="str">
        <f t="shared" si="36"/>
        <v/>
      </c>
      <c r="O208" s="69" t="str">
        <f t="shared" si="37"/>
        <v/>
      </c>
      <c r="P208" s="70" t="str">
        <f t="shared" si="38"/>
        <v/>
      </c>
      <c r="Q208" s="69" t="str">
        <f t="shared" si="39"/>
        <v/>
      </c>
      <c r="S208" s="71"/>
      <c r="Z208" t="str">
        <f t="shared" si="40"/>
        <v/>
      </c>
      <c r="AA208">
        <f t="shared" si="41"/>
        <v>0</v>
      </c>
      <c r="AB208">
        <f t="shared" si="42"/>
        <v>12</v>
      </c>
      <c r="AC208">
        <f t="shared" si="43"/>
        <v>33</v>
      </c>
      <c r="AD208">
        <f t="shared" si="44"/>
        <v>1</v>
      </c>
    </row>
    <row r="209" spans="9:30" ht="15" customHeight="1">
      <c r="I209" s="69"/>
      <c r="J209" s="69"/>
      <c r="K209" s="69"/>
      <c r="L209" s="69"/>
      <c r="M209" s="69"/>
      <c r="N209" s="69" t="str">
        <f t="shared" si="36"/>
        <v/>
      </c>
      <c r="O209" s="69" t="str">
        <f t="shared" si="37"/>
        <v/>
      </c>
      <c r="P209" s="70" t="str">
        <f t="shared" si="38"/>
        <v/>
      </c>
      <c r="Q209" s="69" t="str">
        <f t="shared" si="39"/>
        <v/>
      </c>
      <c r="S209" s="71"/>
      <c r="Z209" t="str">
        <f t="shared" si="40"/>
        <v/>
      </c>
      <c r="AA209">
        <f t="shared" si="41"/>
        <v>0</v>
      </c>
      <c r="AB209">
        <f t="shared" si="42"/>
        <v>12</v>
      </c>
      <c r="AC209">
        <f t="shared" si="43"/>
        <v>33</v>
      </c>
      <c r="AD209">
        <f t="shared" si="44"/>
        <v>1</v>
      </c>
    </row>
    <row r="210" spans="9:30" ht="15" customHeight="1">
      <c r="I210" s="69"/>
      <c r="J210" s="69"/>
      <c r="K210" s="69"/>
      <c r="L210" s="69"/>
      <c r="M210" s="69"/>
      <c r="N210" s="69" t="str">
        <f t="shared" si="36"/>
        <v/>
      </c>
      <c r="O210" s="69" t="str">
        <f t="shared" si="37"/>
        <v/>
      </c>
      <c r="P210" s="70" t="str">
        <f t="shared" si="38"/>
        <v/>
      </c>
      <c r="Q210" s="69" t="str">
        <f t="shared" si="39"/>
        <v/>
      </c>
      <c r="S210" s="71"/>
      <c r="Z210" t="str">
        <f t="shared" si="40"/>
        <v/>
      </c>
      <c r="AA210">
        <f t="shared" si="41"/>
        <v>0</v>
      </c>
      <c r="AB210">
        <f t="shared" si="42"/>
        <v>12</v>
      </c>
      <c r="AC210">
        <f t="shared" si="43"/>
        <v>33</v>
      </c>
      <c r="AD210">
        <f t="shared" si="44"/>
        <v>1</v>
      </c>
    </row>
    <row r="211" spans="9:30" ht="15" customHeight="1">
      <c r="I211" s="69"/>
      <c r="J211" s="69"/>
      <c r="K211" s="69"/>
      <c r="L211" s="69"/>
      <c r="M211" s="69"/>
      <c r="N211" s="69" t="str">
        <f t="shared" si="36"/>
        <v/>
      </c>
      <c r="O211" s="69" t="str">
        <f t="shared" si="37"/>
        <v/>
      </c>
      <c r="P211" s="70" t="str">
        <f t="shared" si="38"/>
        <v/>
      </c>
      <c r="Q211" s="69" t="str">
        <f t="shared" si="39"/>
        <v/>
      </c>
      <c r="S211" s="71"/>
      <c r="Z211" t="str">
        <f t="shared" si="40"/>
        <v/>
      </c>
      <c r="AA211">
        <f t="shared" si="41"/>
        <v>0</v>
      </c>
      <c r="AB211">
        <f t="shared" si="42"/>
        <v>12</v>
      </c>
      <c r="AC211">
        <f t="shared" si="43"/>
        <v>33</v>
      </c>
      <c r="AD211">
        <f t="shared" si="44"/>
        <v>1</v>
      </c>
    </row>
    <row r="212" spans="9:30" ht="15" customHeight="1">
      <c r="I212" s="69"/>
      <c r="J212" s="69"/>
      <c r="K212" s="69"/>
      <c r="L212" s="69"/>
      <c r="M212" s="69"/>
      <c r="N212" s="69" t="str">
        <f t="shared" si="36"/>
        <v/>
      </c>
      <c r="O212" s="69" t="str">
        <f t="shared" si="37"/>
        <v/>
      </c>
      <c r="P212" s="70" t="str">
        <f t="shared" si="38"/>
        <v/>
      </c>
      <c r="Q212" s="69" t="str">
        <f t="shared" si="39"/>
        <v/>
      </c>
      <c r="S212" s="71"/>
      <c r="Z212" t="str">
        <f t="shared" si="40"/>
        <v/>
      </c>
      <c r="AA212">
        <f t="shared" si="41"/>
        <v>0</v>
      </c>
      <c r="AB212">
        <f t="shared" si="42"/>
        <v>12</v>
      </c>
      <c r="AC212">
        <f t="shared" si="43"/>
        <v>33</v>
      </c>
      <c r="AD212">
        <f t="shared" si="44"/>
        <v>1</v>
      </c>
    </row>
    <row r="213" spans="9:30" ht="15" customHeight="1">
      <c r="I213" s="69"/>
      <c r="J213" s="69"/>
      <c r="K213" s="69"/>
      <c r="L213" s="69"/>
      <c r="M213" s="69"/>
      <c r="N213" s="69" t="str">
        <f t="shared" si="36"/>
        <v/>
      </c>
      <c r="O213" s="69" t="str">
        <f t="shared" si="37"/>
        <v/>
      </c>
      <c r="P213" s="70" t="str">
        <f t="shared" si="38"/>
        <v/>
      </c>
      <c r="Q213" s="69" t="str">
        <f t="shared" si="39"/>
        <v/>
      </c>
      <c r="S213" s="71"/>
      <c r="Z213" t="str">
        <f t="shared" si="40"/>
        <v/>
      </c>
      <c r="AA213">
        <f t="shared" si="41"/>
        <v>0</v>
      </c>
      <c r="AB213">
        <f t="shared" si="42"/>
        <v>12</v>
      </c>
      <c r="AC213">
        <f t="shared" si="43"/>
        <v>33</v>
      </c>
      <c r="AD213">
        <f t="shared" si="44"/>
        <v>1</v>
      </c>
    </row>
    <row r="214" spans="9:30" ht="15" customHeight="1">
      <c r="I214" s="69"/>
      <c r="J214" s="69"/>
      <c r="K214" s="69"/>
      <c r="L214" s="69"/>
      <c r="M214" s="69"/>
      <c r="N214" s="69" t="str">
        <f t="shared" si="36"/>
        <v/>
      </c>
      <c r="O214" s="69" t="str">
        <f t="shared" si="37"/>
        <v/>
      </c>
      <c r="P214" s="70" t="str">
        <f t="shared" si="38"/>
        <v/>
      </c>
      <c r="Q214" s="69" t="str">
        <f t="shared" si="39"/>
        <v/>
      </c>
      <c r="S214" s="71"/>
      <c r="Z214" t="str">
        <f t="shared" si="40"/>
        <v/>
      </c>
      <c r="AA214">
        <f t="shared" si="41"/>
        <v>0</v>
      </c>
      <c r="AB214">
        <f t="shared" si="42"/>
        <v>12</v>
      </c>
      <c r="AC214">
        <f t="shared" si="43"/>
        <v>33</v>
      </c>
      <c r="AD214">
        <f t="shared" si="44"/>
        <v>1</v>
      </c>
    </row>
    <row r="215" spans="9:30" ht="15" customHeight="1">
      <c r="I215" s="69"/>
      <c r="J215" s="69"/>
      <c r="K215" s="69"/>
      <c r="L215" s="69"/>
      <c r="M215" s="69"/>
      <c r="N215" s="69" t="str">
        <f t="shared" si="36"/>
        <v/>
      </c>
      <c r="O215" s="69" t="str">
        <f t="shared" si="37"/>
        <v/>
      </c>
      <c r="P215" s="70" t="str">
        <f t="shared" si="38"/>
        <v/>
      </c>
      <c r="Q215" s="69" t="str">
        <f t="shared" si="39"/>
        <v/>
      </c>
      <c r="S215" s="71"/>
      <c r="Z215" t="str">
        <f t="shared" si="40"/>
        <v/>
      </c>
      <c r="AA215">
        <f t="shared" si="41"/>
        <v>0</v>
      </c>
      <c r="AB215">
        <f t="shared" si="42"/>
        <v>12</v>
      </c>
      <c r="AC215">
        <f t="shared" si="43"/>
        <v>33</v>
      </c>
      <c r="AD215">
        <f t="shared" si="44"/>
        <v>1</v>
      </c>
    </row>
    <row r="216" spans="9:30" ht="15" customHeight="1">
      <c r="I216" s="69"/>
      <c r="J216" s="69"/>
      <c r="K216" s="69"/>
      <c r="L216" s="69"/>
      <c r="M216" s="69"/>
      <c r="N216" s="69" t="str">
        <f t="shared" si="36"/>
        <v/>
      </c>
      <c r="O216" s="69" t="str">
        <f t="shared" si="37"/>
        <v/>
      </c>
      <c r="P216" s="70" t="str">
        <f t="shared" si="38"/>
        <v/>
      </c>
      <c r="Q216" s="69" t="str">
        <f t="shared" si="39"/>
        <v/>
      </c>
      <c r="S216" s="71"/>
      <c r="Z216" t="str">
        <f t="shared" si="40"/>
        <v/>
      </c>
      <c r="AA216">
        <f t="shared" si="41"/>
        <v>0</v>
      </c>
      <c r="AB216">
        <f t="shared" si="42"/>
        <v>12</v>
      </c>
      <c r="AC216">
        <f t="shared" si="43"/>
        <v>33</v>
      </c>
      <c r="AD216">
        <f t="shared" si="44"/>
        <v>1</v>
      </c>
    </row>
    <row r="217" spans="9:30" ht="15" customHeight="1">
      <c r="I217" s="69"/>
      <c r="J217" s="69"/>
      <c r="K217" s="69"/>
      <c r="L217" s="69"/>
      <c r="M217" s="69"/>
      <c r="N217" s="69" t="str">
        <f t="shared" si="36"/>
        <v/>
      </c>
      <c r="O217" s="69" t="str">
        <f t="shared" si="37"/>
        <v/>
      </c>
      <c r="P217" s="70" t="str">
        <f t="shared" si="38"/>
        <v/>
      </c>
      <c r="Q217" s="69" t="str">
        <f t="shared" si="39"/>
        <v/>
      </c>
      <c r="S217" s="71"/>
      <c r="Z217" t="str">
        <f t="shared" si="40"/>
        <v/>
      </c>
      <c r="AA217">
        <f t="shared" si="41"/>
        <v>0</v>
      </c>
      <c r="AB217">
        <f t="shared" si="42"/>
        <v>12</v>
      </c>
      <c r="AC217">
        <f t="shared" si="43"/>
        <v>33</v>
      </c>
      <c r="AD217">
        <f t="shared" si="44"/>
        <v>1</v>
      </c>
    </row>
    <row r="218" spans="9:30" ht="15" customHeight="1">
      <c r="I218" s="69"/>
      <c r="J218" s="69"/>
      <c r="K218" s="69"/>
      <c r="L218" s="69"/>
      <c r="M218" s="69"/>
      <c r="N218" s="69" t="str">
        <f t="shared" si="36"/>
        <v/>
      </c>
      <c r="O218" s="69" t="str">
        <f t="shared" si="37"/>
        <v/>
      </c>
      <c r="P218" s="70" t="str">
        <f t="shared" si="38"/>
        <v/>
      </c>
      <c r="Q218" s="69" t="str">
        <f t="shared" si="39"/>
        <v/>
      </c>
      <c r="S218" s="71"/>
      <c r="Z218" t="str">
        <f t="shared" si="40"/>
        <v/>
      </c>
      <c r="AA218">
        <f t="shared" si="41"/>
        <v>0</v>
      </c>
      <c r="AB218">
        <f t="shared" si="42"/>
        <v>12</v>
      </c>
      <c r="AC218">
        <f t="shared" si="43"/>
        <v>33</v>
      </c>
      <c r="AD218">
        <f t="shared" si="44"/>
        <v>1</v>
      </c>
    </row>
    <row r="219" spans="9:30" ht="15" customHeight="1">
      <c r="I219" s="69"/>
      <c r="J219" s="69"/>
      <c r="K219" s="69"/>
      <c r="L219" s="69"/>
      <c r="M219" s="69"/>
      <c r="N219" s="69" t="str">
        <f t="shared" si="36"/>
        <v/>
      </c>
      <c r="O219" s="69" t="str">
        <f t="shared" si="37"/>
        <v/>
      </c>
      <c r="P219" s="70" t="str">
        <f t="shared" si="38"/>
        <v/>
      </c>
      <c r="Q219" s="69" t="str">
        <f t="shared" si="39"/>
        <v/>
      </c>
      <c r="S219" s="71"/>
      <c r="Z219" t="str">
        <f t="shared" si="40"/>
        <v/>
      </c>
      <c r="AA219">
        <f t="shared" si="41"/>
        <v>0</v>
      </c>
      <c r="AB219">
        <f t="shared" si="42"/>
        <v>12</v>
      </c>
      <c r="AC219">
        <f t="shared" si="43"/>
        <v>33</v>
      </c>
      <c r="AD219">
        <f t="shared" si="44"/>
        <v>1</v>
      </c>
    </row>
    <row r="220" spans="9:30" ht="15" customHeight="1">
      <c r="I220" s="69"/>
      <c r="J220" s="69"/>
      <c r="K220" s="69"/>
      <c r="L220" s="69"/>
      <c r="M220" s="69"/>
      <c r="N220" s="69" t="str">
        <f t="shared" si="36"/>
        <v/>
      </c>
      <c r="O220" s="69" t="str">
        <f t="shared" si="37"/>
        <v/>
      </c>
      <c r="P220" s="70" t="str">
        <f t="shared" si="38"/>
        <v/>
      </c>
      <c r="Q220" s="69" t="str">
        <f t="shared" si="39"/>
        <v/>
      </c>
      <c r="S220" s="71"/>
      <c r="Z220" t="str">
        <f t="shared" si="40"/>
        <v/>
      </c>
      <c r="AA220">
        <f t="shared" si="41"/>
        <v>0</v>
      </c>
      <c r="AB220">
        <f t="shared" si="42"/>
        <v>12</v>
      </c>
      <c r="AC220">
        <f t="shared" si="43"/>
        <v>33</v>
      </c>
      <c r="AD220">
        <f t="shared" si="44"/>
        <v>1</v>
      </c>
    </row>
    <row r="221" spans="9:30" ht="15" customHeight="1">
      <c r="I221" s="69"/>
      <c r="J221" s="69"/>
      <c r="K221" s="69"/>
      <c r="L221" s="69"/>
      <c r="M221" s="69"/>
      <c r="N221" s="69" t="str">
        <f t="shared" si="36"/>
        <v/>
      </c>
      <c r="O221" s="69" t="str">
        <f t="shared" si="37"/>
        <v/>
      </c>
      <c r="P221" s="70" t="str">
        <f t="shared" si="38"/>
        <v/>
      </c>
      <c r="Q221" s="69" t="str">
        <f t="shared" si="39"/>
        <v/>
      </c>
      <c r="S221" s="71"/>
      <c r="Z221" t="str">
        <f t="shared" si="40"/>
        <v/>
      </c>
      <c r="AA221">
        <f t="shared" si="41"/>
        <v>0</v>
      </c>
      <c r="AB221">
        <f t="shared" si="42"/>
        <v>12</v>
      </c>
      <c r="AC221">
        <f t="shared" si="43"/>
        <v>33</v>
      </c>
      <c r="AD221">
        <f t="shared" si="44"/>
        <v>1</v>
      </c>
    </row>
    <row r="222" spans="9:30" ht="15" customHeight="1">
      <c r="I222" s="69"/>
      <c r="J222" s="69"/>
      <c r="K222" s="69"/>
      <c r="L222" s="69"/>
      <c r="M222" s="69"/>
      <c r="N222" s="69" t="str">
        <f t="shared" si="36"/>
        <v/>
      </c>
      <c r="O222" s="69" t="str">
        <f t="shared" si="37"/>
        <v/>
      </c>
      <c r="P222" s="70" t="str">
        <f t="shared" si="38"/>
        <v/>
      </c>
      <c r="Q222" s="69" t="str">
        <f t="shared" si="39"/>
        <v/>
      </c>
      <c r="S222" s="71"/>
      <c r="Z222" t="str">
        <f t="shared" si="40"/>
        <v/>
      </c>
      <c r="AA222">
        <f t="shared" si="41"/>
        <v>0</v>
      </c>
      <c r="AB222">
        <f t="shared" si="42"/>
        <v>12</v>
      </c>
      <c r="AC222">
        <f t="shared" si="43"/>
        <v>33</v>
      </c>
      <c r="AD222">
        <f t="shared" si="44"/>
        <v>1</v>
      </c>
    </row>
    <row r="223" spans="9:30" ht="15" customHeight="1">
      <c r="I223" s="69"/>
      <c r="J223" s="69"/>
      <c r="K223" s="69"/>
      <c r="L223" s="69"/>
      <c r="M223" s="69"/>
      <c r="N223" s="69" t="str">
        <f t="shared" si="36"/>
        <v/>
      </c>
      <c r="O223" s="69" t="str">
        <f t="shared" si="37"/>
        <v/>
      </c>
      <c r="P223" s="70" t="str">
        <f t="shared" si="38"/>
        <v/>
      </c>
      <c r="Q223" s="69" t="str">
        <f t="shared" si="39"/>
        <v/>
      </c>
      <c r="S223" s="71"/>
      <c r="Z223" t="str">
        <f t="shared" si="40"/>
        <v/>
      </c>
      <c r="AA223">
        <f t="shared" si="41"/>
        <v>0</v>
      </c>
      <c r="AB223">
        <f t="shared" si="42"/>
        <v>12</v>
      </c>
      <c r="AC223">
        <f t="shared" si="43"/>
        <v>33</v>
      </c>
      <c r="AD223">
        <f t="shared" si="44"/>
        <v>1</v>
      </c>
    </row>
    <row r="224" spans="9:30" ht="15" customHeight="1">
      <c r="I224" s="69"/>
      <c r="J224" s="69"/>
      <c r="K224" s="69"/>
      <c r="L224" s="69"/>
      <c r="M224" s="69"/>
      <c r="N224" s="69" t="str">
        <f t="shared" si="36"/>
        <v/>
      </c>
      <c r="O224" s="69" t="str">
        <f t="shared" si="37"/>
        <v/>
      </c>
      <c r="P224" s="70" t="str">
        <f t="shared" si="38"/>
        <v/>
      </c>
      <c r="Q224" s="69" t="str">
        <f t="shared" si="39"/>
        <v/>
      </c>
      <c r="S224" s="71"/>
      <c r="Z224" t="str">
        <f t="shared" si="40"/>
        <v/>
      </c>
      <c r="AA224">
        <f t="shared" si="41"/>
        <v>0</v>
      </c>
      <c r="AB224">
        <f t="shared" si="42"/>
        <v>12</v>
      </c>
      <c r="AC224">
        <f t="shared" si="43"/>
        <v>33</v>
      </c>
      <c r="AD224">
        <f t="shared" si="44"/>
        <v>1</v>
      </c>
    </row>
    <row r="225" spans="9:30" ht="15" customHeight="1">
      <c r="I225" s="69"/>
      <c r="J225" s="69"/>
      <c r="K225" s="69"/>
      <c r="L225" s="69"/>
      <c r="M225" s="69"/>
      <c r="N225" s="69" t="str">
        <f t="shared" si="36"/>
        <v/>
      </c>
      <c r="O225" s="69" t="str">
        <f t="shared" si="37"/>
        <v/>
      </c>
      <c r="P225" s="70" t="str">
        <f t="shared" si="38"/>
        <v/>
      </c>
      <c r="Q225" s="69" t="str">
        <f t="shared" si="39"/>
        <v/>
      </c>
      <c r="S225" s="71"/>
      <c r="Z225" t="str">
        <f t="shared" si="40"/>
        <v/>
      </c>
      <c r="AA225">
        <f t="shared" si="41"/>
        <v>0</v>
      </c>
      <c r="AB225">
        <f t="shared" si="42"/>
        <v>12</v>
      </c>
      <c r="AC225">
        <f t="shared" si="43"/>
        <v>33</v>
      </c>
      <c r="AD225">
        <f t="shared" si="44"/>
        <v>1</v>
      </c>
    </row>
    <row r="226" spans="9:30" ht="15" customHeight="1">
      <c r="I226" s="69"/>
      <c r="J226" s="69"/>
      <c r="K226" s="69"/>
      <c r="L226" s="69"/>
      <c r="M226" s="69"/>
      <c r="N226" s="69" t="str">
        <f t="shared" si="36"/>
        <v/>
      </c>
      <c r="O226" s="69" t="str">
        <f t="shared" si="37"/>
        <v/>
      </c>
      <c r="P226" s="70" t="str">
        <f t="shared" si="38"/>
        <v/>
      </c>
      <c r="Q226" s="69" t="str">
        <f t="shared" si="39"/>
        <v/>
      </c>
      <c r="S226" s="71"/>
      <c r="Z226" t="str">
        <f t="shared" si="40"/>
        <v/>
      </c>
      <c r="AA226">
        <f t="shared" si="41"/>
        <v>0</v>
      </c>
      <c r="AB226">
        <f t="shared" si="42"/>
        <v>12</v>
      </c>
      <c r="AC226">
        <f t="shared" si="43"/>
        <v>33</v>
      </c>
      <c r="AD226">
        <f t="shared" si="44"/>
        <v>1</v>
      </c>
    </row>
    <row r="227" spans="9:30" ht="15" customHeight="1">
      <c r="I227" s="69"/>
      <c r="J227" s="69"/>
      <c r="K227" s="69"/>
      <c r="L227" s="69"/>
      <c r="M227" s="69"/>
      <c r="N227" s="69" t="str">
        <f t="shared" si="36"/>
        <v/>
      </c>
      <c r="O227" s="69" t="str">
        <f t="shared" si="37"/>
        <v/>
      </c>
      <c r="P227" s="70" t="str">
        <f t="shared" si="38"/>
        <v/>
      </c>
      <c r="Q227" s="69" t="str">
        <f t="shared" si="39"/>
        <v/>
      </c>
      <c r="S227" s="71"/>
      <c r="Z227" t="str">
        <f t="shared" si="40"/>
        <v/>
      </c>
      <c r="AA227">
        <f t="shared" si="41"/>
        <v>0</v>
      </c>
      <c r="AB227">
        <f t="shared" si="42"/>
        <v>12</v>
      </c>
      <c r="AC227">
        <f t="shared" si="43"/>
        <v>33</v>
      </c>
      <c r="AD227">
        <f t="shared" si="44"/>
        <v>1</v>
      </c>
    </row>
    <row r="228" spans="9:30" ht="15" customHeight="1">
      <c r="I228" s="69"/>
      <c r="J228" s="69"/>
      <c r="K228" s="69"/>
      <c r="L228" s="69"/>
      <c r="M228" s="69"/>
      <c r="N228" s="69" t="str">
        <f t="shared" si="36"/>
        <v/>
      </c>
      <c r="O228" s="69" t="str">
        <f t="shared" si="37"/>
        <v/>
      </c>
      <c r="P228" s="70" t="str">
        <f t="shared" si="38"/>
        <v/>
      </c>
      <c r="Q228" s="69" t="str">
        <f t="shared" si="39"/>
        <v/>
      </c>
      <c r="S228" s="71"/>
      <c r="Z228" t="str">
        <f t="shared" si="40"/>
        <v/>
      </c>
      <c r="AA228">
        <f t="shared" si="41"/>
        <v>0</v>
      </c>
      <c r="AB228">
        <f t="shared" si="42"/>
        <v>12</v>
      </c>
      <c r="AC228">
        <f t="shared" si="43"/>
        <v>33</v>
      </c>
      <c r="AD228">
        <f t="shared" si="44"/>
        <v>1</v>
      </c>
    </row>
    <row r="229" spans="9:30" ht="15" customHeight="1">
      <c r="I229" s="69"/>
      <c r="J229" s="69"/>
      <c r="K229" s="69"/>
      <c r="L229" s="69"/>
      <c r="M229" s="69"/>
      <c r="N229" s="69" t="str">
        <f t="shared" si="36"/>
        <v/>
      </c>
      <c r="O229" s="69" t="str">
        <f t="shared" si="37"/>
        <v/>
      </c>
      <c r="P229" s="70" t="str">
        <f t="shared" si="38"/>
        <v/>
      </c>
      <c r="Q229" s="69" t="str">
        <f t="shared" si="39"/>
        <v/>
      </c>
      <c r="S229" s="71"/>
      <c r="Z229" t="str">
        <f t="shared" si="40"/>
        <v/>
      </c>
      <c r="AA229">
        <f t="shared" si="41"/>
        <v>0</v>
      </c>
      <c r="AB229">
        <f t="shared" si="42"/>
        <v>12</v>
      </c>
      <c r="AC229">
        <f t="shared" si="43"/>
        <v>33</v>
      </c>
      <c r="AD229">
        <f t="shared" si="44"/>
        <v>1</v>
      </c>
    </row>
    <row r="230" spans="9:30" ht="15" customHeight="1">
      <c r="I230" s="69"/>
      <c r="J230" s="69"/>
      <c r="K230" s="69"/>
      <c r="L230" s="69"/>
      <c r="M230" s="69"/>
      <c r="N230" s="69" t="str">
        <f t="shared" si="36"/>
        <v/>
      </c>
      <c r="O230" s="69" t="str">
        <f t="shared" si="37"/>
        <v/>
      </c>
      <c r="P230" s="70" t="str">
        <f t="shared" si="38"/>
        <v/>
      </c>
      <c r="Q230" s="69" t="str">
        <f t="shared" si="39"/>
        <v/>
      </c>
      <c r="S230" s="71"/>
      <c r="Z230" t="str">
        <f t="shared" si="40"/>
        <v/>
      </c>
      <c r="AA230">
        <f t="shared" si="41"/>
        <v>0</v>
      </c>
      <c r="AB230">
        <f t="shared" si="42"/>
        <v>12</v>
      </c>
      <c r="AC230">
        <f t="shared" si="43"/>
        <v>33</v>
      </c>
      <c r="AD230">
        <f t="shared" si="44"/>
        <v>1</v>
      </c>
    </row>
    <row r="231" spans="9:30" ht="15" customHeight="1">
      <c r="I231" s="69"/>
      <c r="J231" s="69"/>
      <c r="K231" s="69"/>
      <c r="L231" s="69"/>
      <c r="M231" s="69"/>
      <c r="N231" s="69" t="str">
        <f t="shared" si="36"/>
        <v/>
      </c>
      <c r="O231" s="69" t="str">
        <f t="shared" si="37"/>
        <v/>
      </c>
      <c r="P231" s="70" t="str">
        <f t="shared" si="38"/>
        <v/>
      </c>
      <c r="Q231" s="69" t="str">
        <f t="shared" si="39"/>
        <v/>
      </c>
      <c r="S231" s="71"/>
      <c r="Z231" t="str">
        <f t="shared" si="40"/>
        <v/>
      </c>
      <c r="AA231">
        <f t="shared" si="41"/>
        <v>0</v>
      </c>
      <c r="AB231">
        <f t="shared" si="42"/>
        <v>12</v>
      </c>
      <c r="AC231">
        <f t="shared" si="43"/>
        <v>33</v>
      </c>
      <c r="AD231">
        <f t="shared" si="44"/>
        <v>1</v>
      </c>
    </row>
    <row r="232" spans="9:30" ht="15" customHeight="1">
      <c r="I232" s="69"/>
      <c r="J232" s="69"/>
      <c r="K232" s="69"/>
      <c r="L232" s="69"/>
      <c r="M232" s="69"/>
      <c r="N232" s="69" t="str">
        <f t="shared" si="36"/>
        <v/>
      </c>
      <c r="O232" s="69" t="str">
        <f t="shared" si="37"/>
        <v/>
      </c>
      <c r="P232" s="70" t="str">
        <f t="shared" si="38"/>
        <v/>
      </c>
      <c r="Q232" s="69" t="str">
        <f t="shared" si="39"/>
        <v/>
      </c>
      <c r="S232" s="71"/>
      <c r="Z232" t="str">
        <f t="shared" si="40"/>
        <v/>
      </c>
      <c r="AA232">
        <f t="shared" si="41"/>
        <v>0</v>
      </c>
      <c r="AB232">
        <f t="shared" si="42"/>
        <v>12</v>
      </c>
      <c r="AC232">
        <f t="shared" si="43"/>
        <v>33</v>
      </c>
      <c r="AD232">
        <f t="shared" si="44"/>
        <v>1</v>
      </c>
    </row>
    <row r="233" spans="9:30" ht="15" customHeight="1">
      <c r="I233" s="69"/>
      <c r="J233" s="69"/>
      <c r="K233" s="69"/>
      <c r="L233" s="69"/>
      <c r="M233" s="69"/>
      <c r="N233" s="69" t="str">
        <f t="shared" si="36"/>
        <v/>
      </c>
      <c r="O233" s="69" t="str">
        <f t="shared" si="37"/>
        <v/>
      </c>
      <c r="P233" s="70" t="str">
        <f t="shared" si="38"/>
        <v/>
      </c>
      <c r="Q233" s="69" t="str">
        <f t="shared" si="39"/>
        <v/>
      </c>
      <c r="S233" s="71"/>
      <c r="Z233" t="str">
        <f t="shared" si="40"/>
        <v/>
      </c>
      <c r="AA233">
        <f t="shared" si="41"/>
        <v>0</v>
      </c>
      <c r="AB233">
        <f t="shared" si="42"/>
        <v>12</v>
      </c>
      <c r="AC233">
        <f t="shared" si="43"/>
        <v>33</v>
      </c>
      <c r="AD233">
        <f t="shared" si="44"/>
        <v>1</v>
      </c>
    </row>
    <row r="234" spans="9:30" ht="15" customHeight="1">
      <c r="I234" s="69"/>
      <c r="J234" s="69"/>
      <c r="K234" s="69"/>
      <c r="L234" s="69"/>
      <c r="M234" s="69"/>
      <c r="N234" s="69" t="str">
        <f t="shared" si="36"/>
        <v/>
      </c>
      <c r="O234" s="69" t="str">
        <f t="shared" si="37"/>
        <v/>
      </c>
      <c r="P234" s="70" t="str">
        <f t="shared" si="38"/>
        <v/>
      </c>
      <c r="Q234" s="69" t="str">
        <f t="shared" si="39"/>
        <v/>
      </c>
      <c r="S234" s="71"/>
      <c r="Z234" t="str">
        <f t="shared" si="40"/>
        <v/>
      </c>
      <c r="AA234">
        <f t="shared" si="41"/>
        <v>0</v>
      </c>
      <c r="AB234">
        <f t="shared" si="42"/>
        <v>12</v>
      </c>
      <c r="AC234">
        <f t="shared" si="43"/>
        <v>33</v>
      </c>
      <c r="AD234">
        <f t="shared" si="44"/>
        <v>1</v>
      </c>
    </row>
    <row r="235" spans="9:30" ht="15" customHeight="1">
      <c r="I235" s="69"/>
      <c r="J235" s="69"/>
      <c r="K235" s="69"/>
      <c r="L235" s="69"/>
      <c r="M235" s="69"/>
      <c r="N235" s="69" t="str">
        <f t="shared" si="36"/>
        <v/>
      </c>
      <c r="O235" s="69" t="str">
        <f t="shared" si="37"/>
        <v/>
      </c>
      <c r="P235" s="70" t="str">
        <f t="shared" si="38"/>
        <v/>
      </c>
      <c r="Q235" s="69" t="str">
        <f t="shared" si="39"/>
        <v/>
      </c>
      <c r="S235" s="71"/>
      <c r="Z235" t="str">
        <f t="shared" si="40"/>
        <v/>
      </c>
      <c r="AA235">
        <f t="shared" si="41"/>
        <v>0</v>
      </c>
      <c r="AB235">
        <f t="shared" si="42"/>
        <v>12</v>
      </c>
      <c r="AC235">
        <f t="shared" si="43"/>
        <v>33</v>
      </c>
      <c r="AD235">
        <f t="shared" si="44"/>
        <v>1</v>
      </c>
    </row>
    <row r="236" spans="9:30" ht="15" customHeight="1">
      <c r="I236" s="69"/>
      <c r="J236" s="69"/>
      <c r="K236" s="69"/>
      <c r="L236" s="69"/>
      <c r="M236" s="69"/>
      <c r="N236" s="69" t="str">
        <f t="shared" si="36"/>
        <v/>
      </c>
      <c r="O236" s="69" t="str">
        <f t="shared" si="37"/>
        <v/>
      </c>
      <c r="P236" s="70" t="str">
        <f t="shared" si="38"/>
        <v/>
      </c>
      <c r="Q236" s="69" t="str">
        <f t="shared" si="39"/>
        <v/>
      </c>
      <c r="S236" s="71"/>
      <c r="Z236" t="str">
        <f t="shared" si="40"/>
        <v/>
      </c>
      <c r="AA236">
        <f t="shared" si="41"/>
        <v>0</v>
      </c>
      <c r="AB236">
        <f t="shared" si="42"/>
        <v>12</v>
      </c>
      <c r="AC236">
        <f t="shared" si="43"/>
        <v>33</v>
      </c>
      <c r="AD236">
        <f t="shared" si="44"/>
        <v>1</v>
      </c>
    </row>
    <row r="237" spans="9:30" ht="15" customHeight="1">
      <c r="I237" s="69"/>
      <c r="J237" s="69"/>
      <c r="K237" s="69"/>
      <c r="L237" s="69"/>
      <c r="M237" s="69"/>
      <c r="N237" s="69" t="str">
        <f t="shared" si="36"/>
        <v/>
      </c>
      <c r="O237" s="69" t="str">
        <f t="shared" si="37"/>
        <v/>
      </c>
      <c r="P237" s="70" t="str">
        <f t="shared" si="38"/>
        <v/>
      </c>
      <c r="Q237" s="69" t="str">
        <f t="shared" si="39"/>
        <v/>
      </c>
      <c r="S237" s="71"/>
      <c r="Z237" t="str">
        <f t="shared" si="40"/>
        <v/>
      </c>
      <c r="AA237">
        <f t="shared" si="41"/>
        <v>0</v>
      </c>
      <c r="AB237">
        <f t="shared" si="42"/>
        <v>12</v>
      </c>
      <c r="AC237">
        <f t="shared" si="43"/>
        <v>33</v>
      </c>
      <c r="AD237">
        <f t="shared" si="44"/>
        <v>1</v>
      </c>
    </row>
    <row r="238" spans="9:30" ht="15" customHeight="1">
      <c r="I238" s="69"/>
      <c r="J238" s="69"/>
      <c r="K238" s="69"/>
      <c r="L238" s="69"/>
      <c r="M238" s="69"/>
      <c r="N238" s="69" t="str">
        <f t="shared" si="36"/>
        <v/>
      </c>
      <c r="O238" s="69" t="str">
        <f t="shared" si="37"/>
        <v/>
      </c>
      <c r="P238" s="70" t="str">
        <f t="shared" si="38"/>
        <v/>
      </c>
      <c r="Q238" s="69" t="str">
        <f t="shared" si="39"/>
        <v/>
      </c>
      <c r="S238" s="71"/>
      <c r="Z238" t="str">
        <f t="shared" si="40"/>
        <v/>
      </c>
      <c r="AA238">
        <f t="shared" si="41"/>
        <v>0</v>
      </c>
      <c r="AB238">
        <f t="shared" si="42"/>
        <v>12</v>
      </c>
      <c r="AC238">
        <f t="shared" si="43"/>
        <v>33</v>
      </c>
      <c r="AD238">
        <f t="shared" si="44"/>
        <v>1</v>
      </c>
    </row>
    <row r="239" spans="9:30" ht="15" customHeight="1">
      <c r="I239" s="69"/>
      <c r="J239" s="69"/>
      <c r="K239" s="69"/>
      <c r="L239" s="69"/>
      <c r="M239" s="69"/>
      <c r="N239" s="69" t="str">
        <f t="shared" si="36"/>
        <v/>
      </c>
      <c r="O239" s="69" t="str">
        <f t="shared" si="37"/>
        <v/>
      </c>
      <c r="P239" s="70" t="str">
        <f t="shared" si="38"/>
        <v/>
      </c>
      <c r="Q239" s="69" t="str">
        <f t="shared" si="39"/>
        <v/>
      </c>
      <c r="S239" s="71"/>
      <c r="Z239" t="str">
        <f t="shared" si="40"/>
        <v/>
      </c>
      <c r="AA239">
        <f t="shared" si="41"/>
        <v>0</v>
      </c>
      <c r="AB239">
        <f t="shared" si="42"/>
        <v>12</v>
      </c>
      <c r="AC239">
        <f t="shared" si="43"/>
        <v>33</v>
      </c>
      <c r="AD239">
        <f t="shared" si="44"/>
        <v>1</v>
      </c>
    </row>
    <row r="240" spans="9:30" ht="15" customHeight="1">
      <c r="I240" s="69"/>
      <c r="J240" s="69"/>
      <c r="K240" s="69"/>
      <c r="L240" s="69"/>
      <c r="M240" s="69"/>
      <c r="N240" s="69" t="str">
        <f t="shared" si="36"/>
        <v/>
      </c>
      <c r="O240" s="69" t="str">
        <f t="shared" si="37"/>
        <v/>
      </c>
      <c r="P240" s="70" t="str">
        <f t="shared" si="38"/>
        <v/>
      </c>
      <c r="Q240" s="69" t="str">
        <f t="shared" si="39"/>
        <v/>
      </c>
      <c r="S240" s="71"/>
      <c r="Z240" t="str">
        <f t="shared" si="40"/>
        <v/>
      </c>
      <c r="AA240">
        <f t="shared" si="41"/>
        <v>0</v>
      </c>
      <c r="AB240">
        <f t="shared" si="42"/>
        <v>12</v>
      </c>
      <c r="AC240">
        <f t="shared" si="43"/>
        <v>33</v>
      </c>
      <c r="AD240">
        <f t="shared" si="44"/>
        <v>1</v>
      </c>
    </row>
    <row r="241" spans="9:30" ht="15" customHeight="1">
      <c r="I241" s="69"/>
      <c r="J241" s="69"/>
      <c r="K241" s="69"/>
      <c r="L241" s="69"/>
      <c r="M241" s="69"/>
      <c r="N241" s="69" t="str">
        <f t="shared" si="36"/>
        <v/>
      </c>
      <c r="O241" s="69" t="str">
        <f t="shared" si="37"/>
        <v/>
      </c>
      <c r="P241" s="70" t="str">
        <f t="shared" si="38"/>
        <v/>
      </c>
      <c r="Q241" s="69" t="str">
        <f t="shared" si="39"/>
        <v/>
      </c>
      <c r="S241" s="71"/>
      <c r="Z241" t="str">
        <f t="shared" si="40"/>
        <v/>
      </c>
      <c r="AA241">
        <f t="shared" si="41"/>
        <v>0</v>
      </c>
      <c r="AB241">
        <f t="shared" si="42"/>
        <v>12</v>
      </c>
      <c r="AC241">
        <f t="shared" si="43"/>
        <v>33</v>
      </c>
      <c r="AD241">
        <f t="shared" si="44"/>
        <v>1</v>
      </c>
    </row>
    <row r="242" spans="9:30" ht="15" customHeight="1">
      <c r="I242" s="69"/>
      <c r="J242" s="69"/>
      <c r="K242" s="69"/>
      <c r="L242" s="69"/>
      <c r="M242" s="69"/>
      <c r="N242" s="69" t="str">
        <f t="shared" si="36"/>
        <v/>
      </c>
      <c r="O242" s="69" t="str">
        <f t="shared" si="37"/>
        <v/>
      </c>
      <c r="P242" s="70" t="str">
        <f t="shared" si="38"/>
        <v/>
      </c>
      <c r="Q242" s="69" t="str">
        <f t="shared" si="39"/>
        <v/>
      </c>
      <c r="S242" s="71"/>
      <c r="Z242" t="str">
        <f t="shared" si="40"/>
        <v/>
      </c>
      <c r="AA242">
        <f t="shared" si="41"/>
        <v>0</v>
      </c>
      <c r="AB242">
        <f t="shared" si="42"/>
        <v>12</v>
      </c>
      <c r="AC242">
        <f t="shared" si="43"/>
        <v>33</v>
      </c>
      <c r="AD242">
        <f t="shared" si="44"/>
        <v>1</v>
      </c>
    </row>
    <row r="243" spans="9:30" ht="15" customHeight="1">
      <c r="I243" s="69"/>
      <c r="J243" s="69"/>
      <c r="K243" s="69"/>
      <c r="L243" s="69"/>
      <c r="M243" s="69"/>
      <c r="N243" s="69" t="str">
        <f t="shared" si="36"/>
        <v/>
      </c>
      <c r="O243" s="69" t="str">
        <f t="shared" si="37"/>
        <v/>
      </c>
      <c r="P243" s="70" t="str">
        <f t="shared" si="38"/>
        <v/>
      </c>
      <c r="Q243" s="69" t="str">
        <f t="shared" si="39"/>
        <v/>
      </c>
      <c r="S243" s="71"/>
      <c r="Z243" t="str">
        <f t="shared" si="40"/>
        <v/>
      </c>
      <c r="AA243">
        <f t="shared" si="41"/>
        <v>0</v>
      </c>
      <c r="AB243">
        <f t="shared" si="42"/>
        <v>12</v>
      </c>
      <c r="AC243">
        <f t="shared" si="43"/>
        <v>33</v>
      </c>
      <c r="AD243">
        <f t="shared" si="44"/>
        <v>1</v>
      </c>
    </row>
    <row r="244" spans="9:30" ht="15" customHeight="1">
      <c r="I244" s="69"/>
      <c r="J244" s="69"/>
      <c r="K244" s="69"/>
      <c r="L244" s="69"/>
      <c r="M244" s="69"/>
      <c r="N244" s="69" t="str">
        <f t="shared" si="36"/>
        <v/>
      </c>
      <c r="O244" s="69" t="str">
        <f t="shared" si="37"/>
        <v/>
      </c>
      <c r="P244" s="70" t="str">
        <f t="shared" si="38"/>
        <v/>
      </c>
      <c r="Q244" s="69" t="str">
        <f t="shared" si="39"/>
        <v/>
      </c>
      <c r="S244" s="71"/>
      <c r="Z244" t="str">
        <f t="shared" si="40"/>
        <v/>
      </c>
      <c r="AA244">
        <f t="shared" si="41"/>
        <v>0</v>
      </c>
      <c r="AB244">
        <f t="shared" si="42"/>
        <v>12</v>
      </c>
      <c r="AC244">
        <f t="shared" si="43"/>
        <v>33</v>
      </c>
      <c r="AD244">
        <f t="shared" si="44"/>
        <v>1</v>
      </c>
    </row>
    <row r="245" spans="9:30" ht="15" customHeight="1">
      <c r="I245" s="69"/>
      <c r="J245" s="69"/>
      <c r="K245" s="69"/>
      <c r="L245" s="69"/>
      <c r="M245" s="69"/>
      <c r="N245" s="69" t="str">
        <f t="shared" ref="N245:N308" si="45">IF(ISNUMBER(I245),ROUND(I245-I245/1.081,2),"")</f>
        <v/>
      </c>
      <c r="O245" s="69" t="str">
        <f t="shared" si="37"/>
        <v/>
      </c>
      <c r="P245" s="70" t="str">
        <f t="shared" si="38"/>
        <v/>
      </c>
      <c r="Q245" s="69" t="str">
        <f t="shared" si="39"/>
        <v/>
      </c>
      <c r="S245" s="71"/>
      <c r="Z245" t="str">
        <f t="shared" si="40"/>
        <v/>
      </c>
      <c r="AA245">
        <f t="shared" si="41"/>
        <v>0</v>
      </c>
      <c r="AB245">
        <f t="shared" si="42"/>
        <v>12</v>
      </c>
      <c r="AC245">
        <f t="shared" si="43"/>
        <v>33</v>
      </c>
      <c r="AD245">
        <f t="shared" si="44"/>
        <v>1</v>
      </c>
    </row>
    <row r="246" spans="9:30" ht="15" customHeight="1">
      <c r="I246" s="69"/>
      <c r="J246" s="69"/>
      <c r="K246" s="69"/>
      <c r="L246" s="69"/>
      <c r="M246" s="69"/>
      <c r="N246" s="69" t="str">
        <f t="shared" si="45"/>
        <v/>
      </c>
      <c r="O246" s="69" t="str">
        <f t="shared" si="37"/>
        <v/>
      </c>
      <c r="P246" s="70" t="str">
        <f t="shared" si="38"/>
        <v/>
      </c>
      <c r="Q246" s="69" t="str">
        <f t="shared" si="39"/>
        <v/>
      </c>
      <c r="S246" s="71"/>
      <c r="Z246" t="str">
        <f t="shared" si="40"/>
        <v/>
      </c>
      <c r="AA246">
        <f t="shared" si="41"/>
        <v>0</v>
      </c>
      <c r="AB246">
        <f t="shared" si="42"/>
        <v>12</v>
      </c>
      <c r="AC246">
        <f t="shared" si="43"/>
        <v>33</v>
      </c>
      <c r="AD246">
        <f t="shared" si="44"/>
        <v>1</v>
      </c>
    </row>
    <row r="247" spans="9:30" ht="15" customHeight="1">
      <c r="I247" s="69"/>
      <c r="J247" s="69"/>
      <c r="K247" s="69"/>
      <c r="L247" s="69"/>
      <c r="M247" s="69"/>
      <c r="N247" s="69" t="str">
        <f t="shared" si="45"/>
        <v/>
      </c>
      <c r="O247" s="69" t="str">
        <f t="shared" si="37"/>
        <v/>
      </c>
      <c r="P247" s="70" t="str">
        <f t="shared" si="38"/>
        <v/>
      </c>
      <c r="Q247" s="69" t="str">
        <f t="shared" si="39"/>
        <v/>
      </c>
      <c r="S247" s="71"/>
      <c r="Z247" t="str">
        <f t="shared" si="40"/>
        <v/>
      </c>
      <c r="AA247">
        <f t="shared" si="41"/>
        <v>0</v>
      </c>
      <c r="AB247">
        <f t="shared" si="42"/>
        <v>12</v>
      </c>
      <c r="AC247">
        <f t="shared" si="43"/>
        <v>33</v>
      </c>
      <c r="AD247">
        <f t="shared" si="44"/>
        <v>1</v>
      </c>
    </row>
    <row r="248" spans="9:30" ht="15" customHeight="1">
      <c r="I248" s="69"/>
      <c r="J248" s="69"/>
      <c r="K248" s="69"/>
      <c r="L248" s="69"/>
      <c r="M248" s="69"/>
      <c r="N248" s="69" t="str">
        <f t="shared" si="45"/>
        <v/>
      </c>
      <c r="O248" s="69" t="str">
        <f t="shared" si="37"/>
        <v/>
      </c>
      <c r="P248" s="70" t="str">
        <f t="shared" si="38"/>
        <v/>
      </c>
      <c r="Q248" s="69" t="str">
        <f t="shared" si="39"/>
        <v/>
      </c>
      <c r="S248" s="71"/>
      <c r="Z248" t="str">
        <f t="shared" si="40"/>
        <v/>
      </c>
      <c r="AA248">
        <f t="shared" si="41"/>
        <v>0</v>
      </c>
      <c r="AB248">
        <f t="shared" si="42"/>
        <v>12</v>
      </c>
      <c r="AC248">
        <f t="shared" si="43"/>
        <v>33</v>
      </c>
      <c r="AD248">
        <f t="shared" si="44"/>
        <v>1</v>
      </c>
    </row>
    <row r="249" spans="9:30" ht="15" customHeight="1">
      <c r="I249" s="69"/>
      <c r="J249" s="69"/>
      <c r="K249" s="69"/>
      <c r="L249" s="69"/>
      <c r="M249" s="69"/>
      <c r="N249" s="69" t="str">
        <f t="shared" si="45"/>
        <v/>
      </c>
      <c r="O249" s="69" t="str">
        <f t="shared" si="37"/>
        <v/>
      </c>
      <c r="P249" s="70" t="str">
        <f t="shared" si="38"/>
        <v/>
      </c>
      <c r="Q249" s="69" t="str">
        <f t="shared" si="39"/>
        <v/>
      </c>
      <c r="S249" s="71"/>
      <c r="Z249" t="str">
        <f t="shared" si="40"/>
        <v/>
      </c>
      <c r="AA249">
        <f t="shared" si="41"/>
        <v>0</v>
      </c>
      <c r="AB249">
        <f t="shared" si="42"/>
        <v>12</v>
      </c>
      <c r="AC249">
        <f t="shared" si="43"/>
        <v>33</v>
      </c>
      <c r="AD249">
        <f t="shared" si="44"/>
        <v>1</v>
      </c>
    </row>
    <row r="250" spans="9:30" ht="15" customHeight="1">
      <c r="I250" s="69"/>
      <c r="J250" s="69"/>
      <c r="K250" s="69"/>
      <c r="L250" s="69"/>
      <c r="M250" s="69"/>
      <c r="N250" s="69" t="str">
        <f t="shared" si="45"/>
        <v/>
      </c>
      <c r="O250" s="69" t="str">
        <f t="shared" si="37"/>
        <v/>
      </c>
      <c r="P250" s="70" t="str">
        <f t="shared" si="38"/>
        <v/>
      </c>
      <c r="Q250" s="69" t="str">
        <f t="shared" si="39"/>
        <v/>
      </c>
      <c r="S250" s="71"/>
      <c r="Z250" t="str">
        <f t="shared" si="40"/>
        <v/>
      </c>
      <c r="AA250">
        <f t="shared" si="41"/>
        <v>0</v>
      </c>
      <c r="AB250">
        <f t="shared" si="42"/>
        <v>12</v>
      </c>
      <c r="AC250">
        <f t="shared" si="43"/>
        <v>33</v>
      </c>
      <c r="AD250">
        <f t="shared" si="44"/>
        <v>1</v>
      </c>
    </row>
    <row r="251" spans="9:30" ht="15" customHeight="1">
      <c r="I251" s="69"/>
      <c r="J251" s="69"/>
      <c r="K251" s="69"/>
      <c r="L251" s="69"/>
      <c r="M251" s="69"/>
      <c r="N251" s="69" t="str">
        <f t="shared" si="45"/>
        <v/>
      </c>
      <c r="O251" s="69" t="str">
        <f t="shared" si="37"/>
        <v/>
      </c>
      <c r="P251" s="70" t="str">
        <f t="shared" si="38"/>
        <v/>
      </c>
      <c r="Q251" s="69" t="str">
        <f t="shared" si="39"/>
        <v/>
      </c>
      <c r="S251" s="71"/>
      <c r="Z251" t="str">
        <f t="shared" si="40"/>
        <v/>
      </c>
      <c r="AA251">
        <f t="shared" si="41"/>
        <v>0</v>
      </c>
      <c r="AB251">
        <f t="shared" si="42"/>
        <v>12</v>
      </c>
      <c r="AC251">
        <f t="shared" si="43"/>
        <v>33</v>
      </c>
      <c r="AD251">
        <f t="shared" si="44"/>
        <v>1</v>
      </c>
    </row>
    <row r="252" spans="9:30" ht="15" customHeight="1">
      <c r="I252" s="69"/>
      <c r="J252" s="69"/>
      <c r="K252" s="69"/>
      <c r="L252" s="69"/>
      <c r="M252" s="69"/>
      <c r="N252" s="69" t="str">
        <f t="shared" si="45"/>
        <v/>
      </c>
      <c r="O252" s="69" t="str">
        <f t="shared" si="37"/>
        <v/>
      </c>
      <c r="P252" s="70" t="str">
        <f t="shared" si="38"/>
        <v/>
      </c>
      <c r="Q252" s="69" t="str">
        <f t="shared" si="39"/>
        <v/>
      </c>
      <c r="S252" s="71"/>
      <c r="Z252" t="str">
        <f t="shared" si="40"/>
        <v/>
      </c>
      <c r="AA252">
        <f t="shared" si="41"/>
        <v>0</v>
      </c>
      <c r="AB252">
        <f t="shared" si="42"/>
        <v>12</v>
      </c>
      <c r="AC252">
        <f t="shared" si="43"/>
        <v>33</v>
      </c>
      <c r="AD252">
        <f t="shared" si="44"/>
        <v>1</v>
      </c>
    </row>
    <row r="253" spans="9:30" ht="15" customHeight="1">
      <c r="I253" s="69"/>
      <c r="J253" s="69"/>
      <c r="K253" s="69"/>
      <c r="L253" s="69"/>
      <c r="M253" s="69"/>
      <c r="N253" s="69" t="str">
        <f t="shared" si="45"/>
        <v/>
      </c>
      <c r="O253" s="69" t="str">
        <f t="shared" si="37"/>
        <v/>
      </c>
      <c r="P253" s="70" t="str">
        <f t="shared" si="38"/>
        <v/>
      </c>
      <c r="Q253" s="69" t="str">
        <f t="shared" si="39"/>
        <v/>
      </c>
      <c r="S253" s="71"/>
      <c r="Z253" t="str">
        <f t="shared" si="40"/>
        <v/>
      </c>
      <c r="AA253">
        <f t="shared" si="41"/>
        <v>0</v>
      </c>
      <c r="AB253">
        <f t="shared" si="42"/>
        <v>12</v>
      </c>
      <c r="AC253">
        <f t="shared" si="43"/>
        <v>33</v>
      </c>
      <c r="AD253">
        <f t="shared" si="44"/>
        <v>1</v>
      </c>
    </row>
    <row r="254" spans="9:30" ht="15" customHeight="1">
      <c r="I254" s="69"/>
      <c r="J254" s="69"/>
      <c r="K254" s="69"/>
      <c r="L254" s="69"/>
      <c r="M254" s="69"/>
      <c r="N254" s="69" t="str">
        <f t="shared" si="45"/>
        <v/>
      </c>
      <c r="O254" s="69" t="str">
        <f t="shared" si="37"/>
        <v/>
      </c>
      <c r="P254" s="70" t="str">
        <f t="shared" si="38"/>
        <v/>
      </c>
      <c r="Q254" s="69" t="str">
        <f t="shared" si="39"/>
        <v/>
      </c>
      <c r="S254" s="71"/>
      <c r="Z254" t="str">
        <f t="shared" si="40"/>
        <v/>
      </c>
      <c r="AA254">
        <f t="shared" si="41"/>
        <v>0</v>
      </c>
      <c r="AB254">
        <f t="shared" si="42"/>
        <v>12</v>
      </c>
      <c r="AC254">
        <f t="shared" si="43"/>
        <v>33</v>
      </c>
      <c r="AD254">
        <f t="shared" si="44"/>
        <v>1</v>
      </c>
    </row>
    <row r="255" spans="9:30" ht="15" customHeight="1">
      <c r="I255" s="69"/>
      <c r="J255" s="69"/>
      <c r="K255" s="69"/>
      <c r="L255" s="69"/>
      <c r="M255" s="69"/>
      <c r="N255" s="69" t="str">
        <f t="shared" si="45"/>
        <v/>
      </c>
      <c r="O255" s="69" t="str">
        <f t="shared" si="37"/>
        <v/>
      </c>
      <c r="P255" s="70" t="str">
        <f t="shared" si="38"/>
        <v/>
      </c>
      <c r="Q255" s="69" t="str">
        <f t="shared" si="39"/>
        <v/>
      </c>
      <c r="S255" s="71"/>
      <c r="Z255" t="str">
        <f t="shared" si="40"/>
        <v/>
      </c>
      <c r="AA255">
        <f t="shared" si="41"/>
        <v>0</v>
      </c>
      <c r="AB255">
        <f t="shared" si="42"/>
        <v>12</v>
      </c>
      <c r="AC255">
        <f t="shared" si="43"/>
        <v>33</v>
      </c>
      <c r="AD255">
        <f t="shared" si="44"/>
        <v>1</v>
      </c>
    </row>
    <row r="256" spans="9:30" ht="15" customHeight="1">
      <c r="I256" s="69"/>
      <c r="J256" s="69"/>
      <c r="K256" s="69"/>
      <c r="L256" s="69"/>
      <c r="M256" s="69"/>
      <c r="N256" s="69" t="str">
        <f t="shared" si="45"/>
        <v/>
      </c>
      <c r="O256" s="69" t="str">
        <f t="shared" si="37"/>
        <v/>
      </c>
      <c r="P256" s="70" t="str">
        <f t="shared" si="38"/>
        <v/>
      </c>
      <c r="Q256" s="69" t="str">
        <f t="shared" si="39"/>
        <v/>
      </c>
      <c r="S256" s="71"/>
      <c r="Z256" t="str">
        <f t="shared" si="40"/>
        <v/>
      </c>
      <c r="AA256">
        <f t="shared" si="41"/>
        <v>0</v>
      </c>
      <c r="AB256">
        <f t="shared" si="42"/>
        <v>12</v>
      </c>
      <c r="AC256">
        <f t="shared" si="43"/>
        <v>33</v>
      </c>
      <c r="AD256">
        <f t="shared" si="44"/>
        <v>1</v>
      </c>
    </row>
    <row r="257" spans="9:30" ht="15" customHeight="1">
      <c r="I257" s="69"/>
      <c r="J257" s="69"/>
      <c r="K257" s="69"/>
      <c r="L257" s="69"/>
      <c r="M257" s="69"/>
      <c r="N257" s="69" t="str">
        <f t="shared" si="45"/>
        <v/>
      </c>
      <c r="O257" s="69" t="str">
        <f t="shared" si="37"/>
        <v/>
      </c>
      <c r="P257" s="70" t="str">
        <f t="shared" si="38"/>
        <v/>
      </c>
      <c r="Q257" s="69" t="str">
        <f t="shared" si="39"/>
        <v/>
      </c>
      <c r="S257" s="71"/>
      <c r="Z257" t="str">
        <f t="shared" si="40"/>
        <v/>
      </c>
      <c r="AA257">
        <f t="shared" si="41"/>
        <v>0</v>
      </c>
      <c r="AB257">
        <f t="shared" si="42"/>
        <v>12</v>
      </c>
      <c r="AC257">
        <f t="shared" si="43"/>
        <v>33</v>
      </c>
      <c r="AD257">
        <f t="shared" si="44"/>
        <v>1</v>
      </c>
    </row>
    <row r="258" spans="9:30" ht="15" customHeight="1">
      <c r="I258" s="69"/>
      <c r="J258" s="69"/>
      <c r="K258" s="69"/>
      <c r="L258" s="69"/>
      <c r="M258" s="69"/>
      <c r="N258" s="69" t="str">
        <f t="shared" si="45"/>
        <v/>
      </c>
      <c r="O258" s="69" t="str">
        <f t="shared" si="37"/>
        <v/>
      </c>
      <c r="P258" s="70" t="str">
        <f t="shared" si="38"/>
        <v/>
      </c>
      <c r="Q258" s="69" t="str">
        <f t="shared" si="39"/>
        <v/>
      </c>
      <c r="S258" s="71"/>
      <c r="Z258" t="str">
        <f t="shared" si="40"/>
        <v/>
      </c>
      <c r="AA258">
        <f t="shared" si="41"/>
        <v>0</v>
      </c>
      <c r="AB258">
        <f t="shared" si="42"/>
        <v>12</v>
      </c>
      <c r="AC258">
        <f t="shared" si="43"/>
        <v>33</v>
      </c>
      <c r="AD258">
        <f t="shared" si="44"/>
        <v>1</v>
      </c>
    </row>
    <row r="259" spans="9:30" ht="15" customHeight="1">
      <c r="I259" s="69"/>
      <c r="J259" s="69"/>
      <c r="K259" s="69"/>
      <c r="L259" s="69"/>
      <c r="M259" s="69"/>
      <c r="N259" s="69" t="str">
        <f t="shared" si="45"/>
        <v/>
      </c>
      <c r="O259" s="69" t="str">
        <f t="shared" si="37"/>
        <v/>
      </c>
      <c r="P259" s="70" t="str">
        <f t="shared" si="38"/>
        <v/>
      </c>
      <c r="Q259" s="69" t="str">
        <f t="shared" si="39"/>
        <v/>
      </c>
      <c r="S259" s="71"/>
      <c r="Z259" t="str">
        <f t="shared" si="40"/>
        <v/>
      </c>
      <c r="AA259">
        <f t="shared" si="41"/>
        <v>0</v>
      </c>
      <c r="AB259">
        <f t="shared" si="42"/>
        <v>12</v>
      </c>
      <c r="AC259">
        <f t="shared" si="43"/>
        <v>33</v>
      </c>
      <c r="AD259">
        <f t="shared" si="44"/>
        <v>1</v>
      </c>
    </row>
    <row r="260" spans="9:30" ht="15" customHeight="1">
      <c r="I260" s="69"/>
      <c r="J260" s="69"/>
      <c r="K260" s="69"/>
      <c r="L260" s="69"/>
      <c r="M260" s="69"/>
      <c r="N260" s="69" t="str">
        <f t="shared" si="45"/>
        <v/>
      </c>
      <c r="O260" s="69" t="str">
        <f t="shared" si="37"/>
        <v/>
      </c>
      <c r="P260" s="70" t="str">
        <f t="shared" si="38"/>
        <v/>
      </c>
      <c r="Q260" s="69" t="str">
        <f t="shared" si="39"/>
        <v/>
      </c>
      <c r="S260" s="71"/>
      <c r="Z260" t="str">
        <f t="shared" si="40"/>
        <v/>
      </c>
      <c r="AA260">
        <f t="shared" si="41"/>
        <v>0</v>
      </c>
      <c r="AB260">
        <f t="shared" si="42"/>
        <v>12</v>
      </c>
      <c r="AC260">
        <f t="shared" si="43"/>
        <v>33</v>
      </c>
      <c r="AD260">
        <f t="shared" si="44"/>
        <v>1</v>
      </c>
    </row>
    <row r="261" spans="9:30" ht="15" customHeight="1">
      <c r="I261" s="69"/>
      <c r="J261" s="69"/>
      <c r="K261" s="69"/>
      <c r="L261" s="69"/>
      <c r="M261" s="69"/>
      <c r="N261" s="69" t="str">
        <f t="shared" si="45"/>
        <v/>
      </c>
      <c r="O261" s="69" t="str">
        <f t="shared" si="37"/>
        <v/>
      </c>
      <c r="P261" s="70" t="str">
        <f t="shared" si="38"/>
        <v/>
      </c>
      <c r="Q261" s="69" t="str">
        <f t="shared" si="39"/>
        <v/>
      </c>
      <c r="S261" s="71"/>
      <c r="Z261" t="str">
        <f t="shared" si="40"/>
        <v/>
      </c>
      <c r="AA261">
        <f t="shared" si="41"/>
        <v>0</v>
      </c>
      <c r="AB261">
        <f t="shared" si="42"/>
        <v>12</v>
      </c>
      <c r="AC261">
        <f t="shared" si="43"/>
        <v>33</v>
      </c>
      <c r="AD261">
        <f t="shared" si="44"/>
        <v>1</v>
      </c>
    </row>
    <row r="262" spans="9:30" ht="15" customHeight="1">
      <c r="I262" s="69"/>
      <c r="J262" s="69"/>
      <c r="K262" s="69"/>
      <c r="L262" s="69"/>
      <c r="M262" s="69"/>
      <c r="N262" s="69" t="str">
        <f t="shared" si="45"/>
        <v/>
      </c>
      <c r="O262" s="69" t="str">
        <f t="shared" ref="O262:O325" si="46">IF(ISNUMBER(I262),I262-SUM(J262:N262),"")</f>
        <v/>
      </c>
      <c r="P262" s="70" t="str">
        <f t="shared" ref="P262:P325" si="47">IFERROR(IF(AND(ISNUMBER(O262),ISNUMBER(I262),I262&lt;&gt;0),O262/I262,""),"")</f>
        <v/>
      </c>
      <c r="Q262" s="69" t="str">
        <f t="shared" ref="Q262:Q325" si="48">IF(AND(ISNUMBER(I262),ISNUMBER(S262)),I262*IF(S262&lt;=1,S262,S262/100),IF(OR(I262&lt;&gt;"",S262&lt;&gt;""),"tbd",""))</f>
        <v/>
      </c>
      <c r="S262" s="71"/>
      <c r="Z262" t="str">
        <f t="shared" ref="Z262:Z325" si="49">IF(AND(R262="WON",ISNUMBER(I262)),AA262,"")</f>
        <v/>
      </c>
      <c r="AA262">
        <f t="shared" ref="AA262:AA325" si="50">IFERROR(I262*1,0)</f>
        <v>0</v>
      </c>
      <c r="AB262">
        <f t="shared" ref="AB262:AB325" si="51">N(AB261)+IF(AND(R262="WON",B262&lt;&gt;""),1,0)</f>
        <v>12</v>
      </c>
      <c r="AC262">
        <f t="shared" ref="AC262:AC325" si="52">N(AC261)+IF(AND(OR(R262="offered",R262="to be offered",R262="on hold"),B262&lt;&gt;""),1,0)</f>
        <v>33</v>
      </c>
      <c r="AD262">
        <f t="shared" ref="AD262:AD325" si="53">N(AD261)+IF(AND(OR(R262="follow-up",R262="Evaluation",R262="tbd",R262="In evaluation"),B262&lt;&gt;""),1,0)</f>
        <v>1</v>
      </c>
    </row>
    <row r="263" spans="9:30" ht="15" customHeight="1">
      <c r="I263" s="69"/>
      <c r="J263" s="69"/>
      <c r="K263" s="69"/>
      <c r="L263" s="69"/>
      <c r="M263" s="69"/>
      <c r="N263" s="69" t="str">
        <f t="shared" si="45"/>
        <v/>
      </c>
      <c r="O263" s="69" t="str">
        <f t="shared" si="46"/>
        <v/>
      </c>
      <c r="P263" s="70" t="str">
        <f t="shared" si="47"/>
        <v/>
      </c>
      <c r="Q263" s="69" t="str">
        <f t="shared" si="48"/>
        <v/>
      </c>
      <c r="S263" s="71"/>
      <c r="Z263" t="str">
        <f t="shared" si="49"/>
        <v/>
      </c>
      <c r="AA263">
        <f t="shared" si="50"/>
        <v>0</v>
      </c>
      <c r="AB263">
        <f t="shared" si="51"/>
        <v>12</v>
      </c>
      <c r="AC263">
        <f t="shared" si="52"/>
        <v>33</v>
      </c>
      <c r="AD263">
        <f t="shared" si="53"/>
        <v>1</v>
      </c>
    </row>
    <row r="264" spans="9:30" ht="15" customHeight="1">
      <c r="I264" s="69"/>
      <c r="J264" s="69"/>
      <c r="K264" s="69"/>
      <c r="L264" s="69"/>
      <c r="M264" s="69"/>
      <c r="N264" s="69" t="str">
        <f t="shared" si="45"/>
        <v/>
      </c>
      <c r="O264" s="69" t="str">
        <f t="shared" si="46"/>
        <v/>
      </c>
      <c r="P264" s="70" t="str">
        <f t="shared" si="47"/>
        <v/>
      </c>
      <c r="Q264" s="69" t="str">
        <f t="shared" si="48"/>
        <v/>
      </c>
      <c r="S264" s="71"/>
      <c r="Z264" t="str">
        <f t="shared" si="49"/>
        <v/>
      </c>
      <c r="AA264">
        <f t="shared" si="50"/>
        <v>0</v>
      </c>
      <c r="AB264">
        <f t="shared" si="51"/>
        <v>12</v>
      </c>
      <c r="AC264">
        <f t="shared" si="52"/>
        <v>33</v>
      </c>
      <c r="AD264">
        <f t="shared" si="53"/>
        <v>1</v>
      </c>
    </row>
    <row r="265" spans="9:30" ht="15" customHeight="1">
      <c r="I265" s="69"/>
      <c r="J265" s="69"/>
      <c r="K265" s="69"/>
      <c r="L265" s="69"/>
      <c r="M265" s="69"/>
      <c r="N265" s="69" t="str">
        <f t="shared" si="45"/>
        <v/>
      </c>
      <c r="O265" s="69" t="str">
        <f t="shared" si="46"/>
        <v/>
      </c>
      <c r="P265" s="70" t="str">
        <f t="shared" si="47"/>
        <v/>
      </c>
      <c r="Q265" s="69" t="str">
        <f t="shared" si="48"/>
        <v/>
      </c>
      <c r="S265" s="71"/>
      <c r="Z265" t="str">
        <f t="shared" si="49"/>
        <v/>
      </c>
      <c r="AA265">
        <f t="shared" si="50"/>
        <v>0</v>
      </c>
      <c r="AB265">
        <f t="shared" si="51"/>
        <v>12</v>
      </c>
      <c r="AC265">
        <f t="shared" si="52"/>
        <v>33</v>
      </c>
      <c r="AD265">
        <f t="shared" si="53"/>
        <v>1</v>
      </c>
    </row>
    <row r="266" spans="9:30" ht="15" customHeight="1">
      <c r="I266" s="69"/>
      <c r="J266" s="69"/>
      <c r="K266" s="69"/>
      <c r="L266" s="69"/>
      <c r="M266" s="69"/>
      <c r="N266" s="69" t="str">
        <f t="shared" si="45"/>
        <v/>
      </c>
      <c r="O266" s="69" t="str">
        <f t="shared" si="46"/>
        <v/>
      </c>
      <c r="P266" s="70" t="str">
        <f t="shared" si="47"/>
        <v/>
      </c>
      <c r="Q266" s="69" t="str">
        <f t="shared" si="48"/>
        <v/>
      </c>
      <c r="S266" s="71"/>
      <c r="Z266" t="str">
        <f t="shared" si="49"/>
        <v/>
      </c>
      <c r="AA266">
        <f t="shared" si="50"/>
        <v>0</v>
      </c>
      <c r="AB266">
        <f t="shared" si="51"/>
        <v>12</v>
      </c>
      <c r="AC266">
        <f t="shared" si="52"/>
        <v>33</v>
      </c>
      <c r="AD266">
        <f t="shared" si="53"/>
        <v>1</v>
      </c>
    </row>
    <row r="267" spans="9:30" ht="15" customHeight="1">
      <c r="I267" s="69"/>
      <c r="J267" s="69"/>
      <c r="K267" s="69"/>
      <c r="L267" s="69"/>
      <c r="M267" s="69"/>
      <c r="N267" s="69" t="str">
        <f t="shared" si="45"/>
        <v/>
      </c>
      <c r="O267" s="69" t="str">
        <f t="shared" si="46"/>
        <v/>
      </c>
      <c r="P267" s="70" t="str">
        <f t="shared" si="47"/>
        <v/>
      </c>
      <c r="Q267" s="69" t="str">
        <f t="shared" si="48"/>
        <v/>
      </c>
      <c r="S267" s="71"/>
      <c r="Z267" t="str">
        <f t="shared" si="49"/>
        <v/>
      </c>
      <c r="AA267">
        <f t="shared" si="50"/>
        <v>0</v>
      </c>
      <c r="AB267">
        <f t="shared" si="51"/>
        <v>12</v>
      </c>
      <c r="AC267">
        <f t="shared" si="52"/>
        <v>33</v>
      </c>
      <c r="AD267">
        <f t="shared" si="53"/>
        <v>1</v>
      </c>
    </row>
    <row r="268" spans="9:30" ht="15" customHeight="1">
      <c r="I268" s="69"/>
      <c r="J268" s="69"/>
      <c r="K268" s="69"/>
      <c r="L268" s="69"/>
      <c r="M268" s="69"/>
      <c r="N268" s="69" t="str">
        <f t="shared" si="45"/>
        <v/>
      </c>
      <c r="O268" s="69" t="str">
        <f t="shared" si="46"/>
        <v/>
      </c>
      <c r="P268" s="70" t="str">
        <f t="shared" si="47"/>
        <v/>
      </c>
      <c r="Q268" s="69" t="str">
        <f t="shared" si="48"/>
        <v/>
      </c>
      <c r="S268" s="71"/>
      <c r="Z268" t="str">
        <f t="shared" si="49"/>
        <v/>
      </c>
      <c r="AA268">
        <f t="shared" si="50"/>
        <v>0</v>
      </c>
      <c r="AB268">
        <f t="shared" si="51"/>
        <v>12</v>
      </c>
      <c r="AC268">
        <f t="shared" si="52"/>
        <v>33</v>
      </c>
      <c r="AD268">
        <f t="shared" si="53"/>
        <v>1</v>
      </c>
    </row>
    <row r="269" spans="9:30" ht="15" customHeight="1">
      <c r="I269" s="69"/>
      <c r="J269" s="69"/>
      <c r="K269" s="69"/>
      <c r="L269" s="69"/>
      <c r="M269" s="69"/>
      <c r="N269" s="69" t="str">
        <f t="shared" si="45"/>
        <v/>
      </c>
      <c r="O269" s="69" t="str">
        <f t="shared" si="46"/>
        <v/>
      </c>
      <c r="P269" s="70" t="str">
        <f t="shared" si="47"/>
        <v/>
      </c>
      <c r="Q269" s="69" t="str">
        <f t="shared" si="48"/>
        <v/>
      </c>
      <c r="S269" s="71"/>
      <c r="Z269" t="str">
        <f t="shared" si="49"/>
        <v/>
      </c>
      <c r="AA269">
        <f t="shared" si="50"/>
        <v>0</v>
      </c>
      <c r="AB269">
        <f t="shared" si="51"/>
        <v>12</v>
      </c>
      <c r="AC269">
        <f t="shared" si="52"/>
        <v>33</v>
      </c>
      <c r="AD269">
        <f t="shared" si="53"/>
        <v>1</v>
      </c>
    </row>
    <row r="270" spans="9:30" ht="15" customHeight="1">
      <c r="I270" s="69"/>
      <c r="J270" s="69"/>
      <c r="K270" s="69"/>
      <c r="L270" s="69"/>
      <c r="M270" s="69"/>
      <c r="N270" s="69" t="str">
        <f t="shared" si="45"/>
        <v/>
      </c>
      <c r="O270" s="69" t="str">
        <f t="shared" si="46"/>
        <v/>
      </c>
      <c r="P270" s="70" t="str">
        <f t="shared" si="47"/>
        <v/>
      </c>
      <c r="Q270" s="69" t="str">
        <f t="shared" si="48"/>
        <v/>
      </c>
      <c r="S270" s="71"/>
      <c r="Z270" t="str">
        <f t="shared" si="49"/>
        <v/>
      </c>
      <c r="AA270">
        <f t="shared" si="50"/>
        <v>0</v>
      </c>
      <c r="AB270">
        <f t="shared" si="51"/>
        <v>12</v>
      </c>
      <c r="AC270">
        <f t="shared" si="52"/>
        <v>33</v>
      </c>
      <c r="AD270">
        <f t="shared" si="53"/>
        <v>1</v>
      </c>
    </row>
    <row r="271" spans="9:30" ht="15" customHeight="1">
      <c r="I271" s="69"/>
      <c r="J271" s="69"/>
      <c r="K271" s="69"/>
      <c r="L271" s="69"/>
      <c r="M271" s="69"/>
      <c r="N271" s="69" t="str">
        <f t="shared" si="45"/>
        <v/>
      </c>
      <c r="O271" s="69" t="str">
        <f t="shared" si="46"/>
        <v/>
      </c>
      <c r="P271" s="70" t="str">
        <f t="shared" si="47"/>
        <v/>
      </c>
      <c r="Q271" s="69" t="str">
        <f t="shared" si="48"/>
        <v/>
      </c>
      <c r="S271" s="71"/>
      <c r="Z271" t="str">
        <f t="shared" si="49"/>
        <v/>
      </c>
      <c r="AA271">
        <f t="shared" si="50"/>
        <v>0</v>
      </c>
      <c r="AB271">
        <f t="shared" si="51"/>
        <v>12</v>
      </c>
      <c r="AC271">
        <f t="shared" si="52"/>
        <v>33</v>
      </c>
      <c r="AD271">
        <f t="shared" si="53"/>
        <v>1</v>
      </c>
    </row>
    <row r="272" spans="9:30" ht="15" customHeight="1">
      <c r="I272" s="69"/>
      <c r="J272" s="69"/>
      <c r="K272" s="69"/>
      <c r="L272" s="69"/>
      <c r="M272" s="69"/>
      <c r="N272" s="69" t="str">
        <f t="shared" si="45"/>
        <v/>
      </c>
      <c r="O272" s="69" t="str">
        <f t="shared" si="46"/>
        <v/>
      </c>
      <c r="P272" s="70" t="str">
        <f t="shared" si="47"/>
        <v/>
      </c>
      <c r="Q272" s="69" t="str">
        <f t="shared" si="48"/>
        <v/>
      </c>
      <c r="S272" s="71"/>
      <c r="Z272" t="str">
        <f t="shared" si="49"/>
        <v/>
      </c>
      <c r="AA272">
        <f t="shared" si="50"/>
        <v>0</v>
      </c>
      <c r="AB272">
        <f t="shared" si="51"/>
        <v>12</v>
      </c>
      <c r="AC272">
        <f t="shared" si="52"/>
        <v>33</v>
      </c>
      <c r="AD272">
        <f t="shared" si="53"/>
        <v>1</v>
      </c>
    </row>
    <row r="273" spans="9:30" ht="15" customHeight="1">
      <c r="I273" s="69"/>
      <c r="J273" s="69"/>
      <c r="K273" s="69"/>
      <c r="L273" s="69"/>
      <c r="M273" s="69"/>
      <c r="N273" s="69" t="str">
        <f t="shared" si="45"/>
        <v/>
      </c>
      <c r="O273" s="69" t="str">
        <f t="shared" si="46"/>
        <v/>
      </c>
      <c r="P273" s="70" t="str">
        <f t="shared" si="47"/>
        <v/>
      </c>
      <c r="Q273" s="69" t="str">
        <f t="shared" si="48"/>
        <v/>
      </c>
      <c r="S273" s="71"/>
      <c r="Z273" t="str">
        <f t="shared" si="49"/>
        <v/>
      </c>
      <c r="AA273">
        <f t="shared" si="50"/>
        <v>0</v>
      </c>
      <c r="AB273">
        <f t="shared" si="51"/>
        <v>12</v>
      </c>
      <c r="AC273">
        <f t="shared" si="52"/>
        <v>33</v>
      </c>
      <c r="AD273">
        <f t="shared" si="53"/>
        <v>1</v>
      </c>
    </row>
    <row r="274" spans="9:30" ht="15" customHeight="1">
      <c r="I274" s="69"/>
      <c r="J274" s="69"/>
      <c r="K274" s="69"/>
      <c r="L274" s="69"/>
      <c r="M274" s="69"/>
      <c r="N274" s="69" t="str">
        <f t="shared" si="45"/>
        <v/>
      </c>
      <c r="O274" s="69" t="str">
        <f t="shared" si="46"/>
        <v/>
      </c>
      <c r="P274" s="70" t="str">
        <f t="shared" si="47"/>
        <v/>
      </c>
      <c r="Q274" s="69" t="str">
        <f t="shared" si="48"/>
        <v/>
      </c>
      <c r="S274" s="71"/>
      <c r="Z274" t="str">
        <f t="shared" si="49"/>
        <v/>
      </c>
      <c r="AA274">
        <f t="shared" si="50"/>
        <v>0</v>
      </c>
      <c r="AB274">
        <f t="shared" si="51"/>
        <v>12</v>
      </c>
      <c r="AC274">
        <f t="shared" si="52"/>
        <v>33</v>
      </c>
      <c r="AD274">
        <f t="shared" si="53"/>
        <v>1</v>
      </c>
    </row>
    <row r="275" spans="9:30" ht="15" customHeight="1">
      <c r="I275" s="69"/>
      <c r="J275" s="69"/>
      <c r="K275" s="69"/>
      <c r="L275" s="69"/>
      <c r="M275" s="69"/>
      <c r="N275" s="69" t="str">
        <f t="shared" si="45"/>
        <v/>
      </c>
      <c r="O275" s="69" t="str">
        <f t="shared" si="46"/>
        <v/>
      </c>
      <c r="P275" s="70" t="str">
        <f t="shared" si="47"/>
        <v/>
      </c>
      <c r="Q275" s="69" t="str">
        <f t="shared" si="48"/>
        <v/>
      </c>
      <c r="S275" s="71"/>
      <c r="Z275" t="str">
        <f t="shared" si="49"/>
        <v/>
      </c>
      <c r="AA275">
        <f t="shared" si="50"/>
        <v>0</v>
      </c>
      <c r="AB275">
        <f t="shared" si="51"/>
        <v>12</v>
      </c>
      <c r="AC275">
        <f t="shared" si="52"/>
        <v>33</v>
      </c>
      <c r="AD275">
        <f t="shared" si="53"/>
        <v>1</v>
      </c>
    </row>
    <row r="276" spans="9:30" ht="15" customHeight="1">
      <c r="I276" s="69"/>
      <c r="J276" s="69"/>
      <c r="K276" s="69"/>
      <c r="L276" s="69"/>
      <c r="M276" s="69"/>
      <c r="N276" s="69" t="str">
        <f t="shared" si="45"/>
        <v/>
      </c>
      <c r="O276" s="69" t="str">
        <f t="shared" si="46"/>
        <v/>
      </c>
      <c r="P276" s="70" t="str">
        <f t="shared" si="47"/>
        <v/>
      </c>
      <c r="Q276" s="69" t="str">
        <f t="shared" si="48"/>
        <v/>
      </c>
      <c r="S276" s="71"/>
      <c r="Z276" t="str">
        <f t="shared" si="49"/>
        <v/>
      </c>
      <c r="AA276">
        <f t="shared" si="50"/>
        <v>0</v>
      </c>
      <c r="AB276">
        <f t="shared" si="51"/>
        <v>12</v>
      </c>
      <c r="AC276">
        <f t="shared" si="52"/>
        <v>33</v>
      </c>
      <c r="AD276">
        <f t="shared" si="53"/>
        <v>1</v>
      </c>
    </row>
    <row r="277" spans="9:30" ht="15" customHeight="1">
      <c r="I277" s="69"/>
      <c r="J277" s="69"/>
      <c r="K277" s="69"/>
      <c r="L277" s="69"/>
      <c r="M277" s="69"/>
      <c r="N277" s="69" t="str">
        <f t="shared" si="45"/>
        <v/>
      </c>
      <c r="O277" s="69" t="str">
        <f t="shared" si="46"/>
        <v/>
      </c>
      <c r="P277" s="70" t="str">
        <f t="shared" si="47"/>
        <v/>
      </c>
      <c r="Q277" s="69" t="str">
        <f t="shared" si="48"/>
        <v/>
      </c>
      <c r="S277" s="71"/>
      <c r="Z277" t="str">
        <f t="shared" si="49"/>
        <v/>
      </c>
      <c r="AA277">
        <f t="shared" si="50"/>
        <v>0</v>
      </c>
      <c r="AB277">
        <f t="shared" si="51"/>
        <v>12</v>
      </c>
      <c r="AC277">
        <f t="shared" si="52"/>
        <v>33</v>
      </c>
      <c r="AD277">
        <f t="shared" si="53"/>
        <v>1</v>
      </c>
    </row>
    <row r="278" spans="9:30" ht="15" customHeight="1">
      <c r="I278" s="69"/>
      <c r="J278" s="69"/>
      <c r="K278" s="69"/>
      <c r="L278" s="69"/>
      <c r="M278" s="69"/>
      <c r="N278" s="69" t="str">
        <f t="shared" si="45"/>
        <v/>
      </c>
      <c r="O278" s="69" t="str">
        <f t="shared" si="46"/>
        <v/>
      </c>
      <c r="P278" s="70" t="str">
        <f t="shared" si="47"/>
        <v/>
      </c>
      <c r="Q278" s="69" t="str">
        <f t="shared" si="48"/>
        <v/>
      </c>
      <c r="S278" s="71"/>
      <c r="Z278" t="str">
        <f t="shared" si="49"/>
        <v/>
      </c>
      <c r="AA278">
        <f t="shared" si="50"/>
        <v>0</v>
      </c>
      <c r="AB278">
        <f t="shared" si="51"/>
        <v>12</v>
      </c>
      <c r="AC278">
        <f t="shared" si="52"/>
        <v>33</v>
      </c>
      <c r="AD278">
        <f t="shared" si="53"/>
        <v>1</v>
      </c>
    </row>
    <row r="279" spans="9:30" ht="15" customHeight="1">
      <c r="I279" s="69"/>
      <c r="J279" s="69"/>
      <c r="K279" s="69"/>
      <c r="L279" s="69"/>
      <c r="M279" s="69"/>
      <c r="N279" s="69" t="str">
        <f t="shared" si="45"/>
        <v/>
      </c>
      <c r="O279" s="69" t="str">
        <f t="shared" si="46"/>
        <v/>
      </c>
      <c r="P279" s="70" t="str">
        <f t="shared" si="47"/>
        <v/>
      </c>
      <c r="Q279" s="69" t="str">
        <f t="shared" si="48"/>
        <v/>
      </c>
      <c r="S279" s="71"/>
      <c r="Z279" t="str">
        <f t="shared" si="49"/>
        <v/>
      </c>
      <c r="AA279">
        <f t="shared" si="50"/>
        <v>0</v>
      </c>
      <c r="AB279">
        <f t="shared" si="51"/>
        <v>12</v>
      </c>
      <c r="AC279">
        <f t="shared" si="52"/>
        <v>33</v>
      </c>
      <c r="AD279">
        <f t="shared" si="53"/>
        <v>1</v>
      </c>
    </row>
    <row r="280" spans="9:30" ht="15" customHeight="1">
      <c r="I280" s="69"/>
      <c r="J280" s="69"/>
      <c r="K280" s="69"/>
      <c r="L280" s="69"/>
      <c r="M280" s="69"/>
      <c r="N280" s="69" t="str">
        <f t="shared" si="45"/>
        <v/>
      </c>
      <c r="O280" s="69" t="str">
        <f t="shared" si="46"/>
        <v/>
      </c>
      <c r="P280" s="70" t="str">
        <f t="shared" si="47"/>
        <v/>
      </c>
      <c r="Q280" s="69" t="str">
        <f t="shared" si="48"/>
        <v/>
      </c>
      <c r="S280" s="71"/>
      <c r="Z280" t="str">
        <f t="shared" si="49"/>
        <v/>
      </c>
      <c r="AA280">
        <f t="shared" si="50"/>
        <v>0</v>
      </c>
      <c r="AB280">
        <f t="shared" si="51"/>
        <v>12</v>
      </c>
      <c r="AC280">
        <f t="shared" si="52"/>
        <v>33</v>
      </c>
      <c r="AD280">
        <f t="shared" si="53"/>
        <v>1</v>
      </c>
    </row>
    <row r="281" spans="9:30" ht="15" customHeight="1">
      <c r="I281" s="69"/>
      <c r="J281" s="69"/>
      <c r="K281" s="69"/>
      <c r="L281" s="69"/>
      <c r="M281" s="69"/>
      <c r="N281" s="69" t="str">
        <f t="shared" si="45"/>
        <v/>
      </c>
      <c r="O281" s="69" t="str">
        <f t="shared" si="46"/>
        <v/>
      </c>
      <c r="P281" s="70" t="str">
        <f t="shared" si="47"/>
        <v/>
      </c>
      <c r="Q281" s="69" t="str">
        <f t="shared" si="48"/>
        <v/>
      </c>
      <c r="S281" s="71"/>
      <c r="Z281" t="str">
        <f t="shared" si="49"/>
        <v/>
      </c>
      <c r="AA281">
        <f t="shared" si="50"/>
        <v>0</v>
      </c>
      <c r="AB281">
        <f t="shared" si="51"/>
        <v>12</v>
      </c>
      <c r="AC281">
        <f t="shared" si="52"/>
        <v>33</v>
      </c>
      <c r="AD281">
        <f t="shared" si="53"/>
        <v>1</v>
      </c>
    </row>
    <row r="282" spans="9:30" ht="15" customHeight="1">
      <c r="I282" s="69"/>
      <c r="J282" s="69"/>
      <c r="K282" s="69"/>
      <c r="L282" s="69"/>
      <c r="M282" s="69"/>
      <c r="N282" s="69" t="str">
        <f t="shared" si="45"/>
        <v/>
      </c>
      <c r="O282" s="69" t="str">
        <f t="shared" si="46"/>
        <v/>
      </c>
      <c r="P282" s="70" t="str">
        <f t="shared" si="47"/>
        <v/>
      </c>
      <c r="Q282" s="69" t="str">
        <f t="shared" si="48"/>
        <v/>
      </c>
      <c r="S282" s="71"/>
      <c r="Z282" t="str">
        <f t="shared" si="49"/>
        <v/>
      </c>
      <c r="AA282">
        <f t="shared" si="50"/>
        <v>0</v>
      </c>
      <c r="AB282">
        <f t="shared" si="51"/>
        <v>12</v>
      </c>
      <c r="AC282">
        <f t="shared" si="52"/>
        <v>33</v>
      </c>
      <c r="AD282">
        <f t="shared" si="53"/>
        <v>1</v>
      </c>
    </row>
    <row r="283" spans="9:30" ht="15" customHeight="1">
      <c r="I283" s="69"/>
      <c r="J283" s="69"/>
      <c r="K283" s="69"/>
      <c r="L283" s="69"/>
      <c r="M283" s="69"/>
      <c r="N283" s="69" t="str">
        <f t="shared" si="45"/>
        <v/>
      </c>
      <c r="O283" s="69" t="str">
        <f t="shared" si="46"/>
        <v/>
      </c>
      <c r="P283" s="70" t="str">
        <f t="shared" si="47"/>
        <v/>
      </c>
      <c r="Q283" s="69" t="str">
        <f t="shared" si="48"/>
        <v/>
      </c>
      <c r="S283" s="71"/>
      <c r="Z283" t="str">
        <f t="shared" si="49"/>
        <v/>
      </c>
      <c r="AA283">
        <f t="shared" si="50"/>
        <v>0</v>
      </c>
      <c r="AB283">
        <f t="shared" si="51"/>
        <v>12</v>
      </c>
      <c r="AC283">
        <f t="shared" si="52"/>
        <v>33</v>
      </c>
      <c r="AD283">
        <f t="shared" si="53"/>
        <v>1</v>
      </c>
    </row>
    <row r="284" spans="9:30" ht="15" customHeight="1">
      <c r="I284" s="69"/>
      <c r="J284" s="69"/>
      <c r="K284" s="69"/>
      <c r="L284" s="69"/>
      <c r="M284" s="69"/>
      <c r="N284" s="69" t="str">
        <f t="shared" si="45"/>
        <v/>
      </c>
      <c r="O284" s="69" t="str">
        <f t="shared" si="46"/>
        <v/>
      </c>
      <c r="P284" s="70" t="str">
        <f t="shared" si="47"/>
        <v/>
      </c>
      <c r="Q284" s="69" t="str">
        <f t="shared" si="48"/>
        <v/>
      </c>
      <c r="S284" s="71"/>
      <c r="Z284" t="str">
        <f t="shared" si="49"/>
        <v/>
      </c>
      <c r="AA284">
        <f t="shared" si="50"/>
        <v>0</v>
      </c>
      <c r="AB284">
        <f t="shared" si="51"/>
        <v>12</v>
      </c>
      <c r="AC284">
        <f t="shared" si="52"/>
        <v>33</v>
      </c>
      <c r="AD284">
        <f t="shared" si="53"/>
        <v>1</v>
      </c>
    </row>
    <row r="285" spans="9:30" ht="15" customHeight="1">
      <c r="I285" s="69"/>
      <c r="J285" s="69"/>
      <c r="K285" s="69"/>
      <c r="L285" s="69"/>
      <c r="M285" s="69"/>
      <c r="N285" s="69" t="str">
        <f t="shared" si="45"/>
        <v/>
      </c>
      <c r="O285" s="69" t="str">
        <f t="shared" si="46"/>
        <v/>
      </c>
      <c r="P285" s="70" t="str">
        <f t="shared" si="47"/>
        <v/>
      </c>
      <c r="Q285" s="69" t="str">
        <f t="shared" si="48"/>
        <v/>
      </c>
      <c r="S285" s="71"/>
      <c r="Z285" t="str">
        <f t="shared" si="49"/>
        <v/>
      </c>
      <c r="AA285">
        <f t="shared" si="50"/>
        <v>0</v>
      </c>
      <c r="AB285">
        <f t="shared" si="51"/>
        <v>12</v>
      </c>
      <c r="AC285">
        <f t="shared" si="52"/>
        <v>33</v>
      </c>
      <c r="AD285">
        <f t="shared" si="53"/>
        <v>1</v>
      </c>
    </row>
    <row r="286" spans="9:30" ht="15" customHeight="1">
      <c r="I286" s="69"/>
      <c r="J286" s="69"/>
      <c r="K286" s="69"/>
      <c r="L286" s="69"/>
      <c r="M286" s="69"/>
      <c r="N286" s="69" t="str">
        <f t="shared" si="45"/>
        <v/>
      </c>
      <c r="O286" s="69" t="str">
        <f t="shared" si="46"/>
        <v/>
      </c>
      <c r="P286" s="70" t="str">
        <f t="shared" si="47"/>
        <v/>
      </c>
      <c r="Q286" s="69" t="str">
        <f t="shared" si="48"/>
        <v/>
      </c>
      <c r="S286" s="71"/>
      <c r="Z286" t="str">
        <f t="shared" si="49"/>
        <v/>
      </c>
      <c r="AA286">
        <f t="shared" si="50"/>
        <v>0</v>
      </c>
      <c r="AB286">
        <f t="shared" si="51"/>
        <v>12</v>
      </c>
      <c r="AC286">
        <f t="shared" si="52"/>
        <v>33</v>
      </c>
      <c r="AD286">
        <f t="shared" si="53"/>
        <v>1</v>
      </c>
    </row>
    <row r="287" spans="9:30" ht="15" customHeight="1">
      <c r="I287" s="69"/>
      <c r="J287" s="69"/>
      <c r="K287" s="69"/>
      <c r="L287" s="69"/>
      <c r="M287" s="69"/>
      <c r="N287" s="69" t="str">
        <f t="shared" si="45"/>
        <v/>
      </c>
      <c r="O287" s="69" t="str">
        <f t="shared" si="46"/>
        <v/>
      </c>
      <c r="P287" s="70" t="str">
        <f t="shared" si="47"/>
        <v/>
      </c>
      <c r="Q287" s="69" t="str">
        <f t="shared" si="48"/>
        <v/>
      </c>
      <c r="S287" s="71"/>
      <c r="Z287" t="str">
        <f t="shared" si="49"/>
        <v/>
      </c>
      <c r="AA287">
        <f t="shared" si="50"/>
        <v>0</v>
      </c>
      <c r="AB287">
        <f t="shared" si="51"/>
        <v>12</v>
      </c>
      <c r="AC287">
        <f t="shared" si="52"/>
        <v>33</v>
      </c>
      <c r="AD287">
        <f t="shared" si="53"/>
        <v>1</v>
      </c>
    </row>
    <row r="288" spans="9:30" ht="15" customHeight="1">
      <c r="I288" s="69"/>
      <c r="J288" s="69"/>
      <c r="K288" s="69"/>
      <c r="L288" s="69"/>
      <c r="M288" s="69"/>
      <c r="N288" s="69" t="str">
        <f t="shared" si="45"/>
        <v/>
      </c>
      <c r="O288" s="69" t="str">
        <f t="shared" si="46"/>
        <v/>
      </c>
      <c r="P288" s="70" t="str">
        <f t="shared" si="47"/>
        <v/>
      </c>
      <c r="Q288" s="69" t="str">
        <f t="shared" si="48"/>
        <v/>
      </c>
      <c r="S288" s="71"/>
      <c r="Z288" t="str">
        <f t="shared" si="49"/>
        <v/>
      </c>
      <c r="AA288">
        <f t="shared" si="50"/>
        <v>0</v>
      </c>
      <c r="AB288">
        <f t="shared" si="51"/>
        <v>12</v>
      </c>
      <c r="AC288">
        <f t="shared" si="52"/>
        <v>33</v>
      </c>
      <c r="AD288">
        <f t="shared" si="53"/>
        <v>1</v>
      </c>
    </row>
    <row r="289" spans="9:30" ht="15" customHeight="1">
      <c r="I289" s="69"/>
      <c r="J289" s="69"/>
      <c r="K289" s="69"/>
      <c r="L289" s="69"/>
      <c r="M289" s="69"/>
      <c r="N289" s="69" t="str">
        <f t="shared" si="45"/>
        <v/>
      </c>
      <c r="O289" s="69" t="str">
        <f t="shared" si="46"/>
        <v/>
      </c>
      <c r="P289" s="70" t="str">
        <f t="shared" si="47"/>
        <v/>
      </c>
      <c r="Q289" s="69" t="str">
        <f t="shared" si="48"/>
        <v/>
      </c>
      <c r="S289" s="71"/>
      <c r="Z289" t="str">
        <f t="shared" si="49"/>
        <v/>
      </c>
      <c r="AA289">
        <f t="shared" si="50"/>
        <v>0</v>
      </c>
      <c r="AB289">
        <f t="shared" si="51"/>
        <v>12</v>
      </c>
      <c r="AC289">
        <f t="shared" si="52"/>
        <v>33</v>
      </c>
      <c r="AD289">
        <f t="shared" si="53"/>
        <v>1</v>
      </c>
    </row>
    <row r="290" spans="9:30" ht="15" customHeight="1">
      <c r="I290" s="69"/>
      <c r="J290" s="69"/>
      <c r="K290" s="69"/>
      <c r="L290" s="69"/>
      <c r="M290" s="69"/>
      <c r="N290" s="69" t="str">
        <f t="shared" si="45"/>
        <v/>
      </c>
      <c r="O290" s="69" t="str">
        <f t="shared" si="46"/>
        <v/>
      </c>
      <c r="P290" s="70" t="str">
        <f t="shared" si="47"/>
        <v/>
      </c>
      <c r="Q290" s="69" t="str">
        <f t="shared" si="48"/>
        <v/>
      </c>
      <c r="S290" s="71"/>
      <c r="Z290" t="str">
        <f t="shared" si="49"/>
        <v/>
      </c>
      <c r="AA290">
        <f t="shared" si="50"/>
        <v>0</v>
      </c>
      <c r="AB290">
        <f t="shared" si="51"/>
        <v>12</v>
      </c>
      <c r="AC290">
        <f t="shared" si="52"/>
        <v>33</v>
      </c>
      <c r="AD290">
        <f t="shared" si="53"/>
        <v>1</v>
      </c>
    </row>
    <row r="291" spans="9:30" ht="15" customHeight="1">
      <c r="I291" s="69"/>
      <c r="J291" s="69"/>
      <c r="K291" s="69"/>
      <c r="L291" s="69"/>
      <c r="M291" s="69"/>
      <c r="N291" s="69" t="str">
        <f t="shared" si="45"/>
        <v/>
      </c>
      <c r="O291" s="69" t="str">
        <f t="shared" si="46"/>
        <v/>
      </c>
      <c r="P291" s="70" t="str">
        <f t="shared" si="47"/>
        <v/>
      </c>
      <c r="Q291" s="69" t="str">
        <f t="shared" si="48"/>
        <v/>
      </c>
      <c r="S291" s="71"/>
      <c r="Z291" t="str">
        <f t="shared" si="49"/>
        <v/>
      </c>
      <c r="AA291">
        <f t="shared" si="50"/>
        <v>0</v>
      </c>
      <c r="AB291">
        <f t="shared" si="51"/>
        <v>12</v>
      </c>
      <c r="AC291">
        <f t="shared" si="52"/>
        <v>33</v>
      </c>
      <c r="AD291">
        <f t="shared" si="53"/>
        <v>1</v>
      </c>
    </row>
    <row r="292" spans="9:30" ht="15" customHeight="1">
      <c r="I292" s="69"/>
      <c r="J292" s="69"/>
      <c r="K292" s="69"/>
      <c r="L292" s="69"/>
      <c r="M292" s="69"/>
      <c r="N292" s="69" t="str">
        <f t="shared" si="45"/>
        <v/>
      </c>
      <c r="O292" s="69" t="str">
        <f t="shared" si="46"/>
        <v/>
      </c>
      <c r="P292" s="70" t="str">
        <f t="shared" si="47"/>
        <v/>
      </c>
      <c r="Q292" s="69" t="str">
        <f t="shared" si="48"/>
        <v/>
      </c>
      <c r="S292" s="71"/>
      <c r="Z292" t="str">
        <f t="shared" si="49"/>
        <v/>
      </c>
      <c r="AA292">
        <f t="shared" si="50"/>
        <v>0</v>
      </c>
      <c r="AB292">
        <f t="shared" si="51"/>
        <v>12</v>
      </c>
      <c r="AC292">
        <f t="shared" si="52"/>
        <v>33</v>
      </c>
      <c r="AD292">
        <f t="shared" si="53"/>
        <v>1</v>
      </c>
    </row>
    <row r="293" spans="9:30" ht="15" customHeight="1">
      <c r="I293" s="69"/>
      <c r="J293" s="69"/>
      <c r="K293" s="69"/>
      <c r="L293" s="69"/>
      <c r="M293" s="69"/>
      <c r="N293" s="69" t="str">
        <f t="shared" si="45"/>
        <v/>
      </c>
      <c r="O293" s="69" t="str">
        <f t="shared" si="46"/>
        <v/>
      </c>
      <c r="P293" s="70" t="str">
        <f t="shared" si="47"/>
        <v/>
      </c>
      <c r="Q293" s="69" t="str">
        <f t="shared" si="48"/>
        <v/>
      </c>
      <c r="S293" s="71"/>
      <c r="Z293" t="str">
        <f t="shared" si="49"/>
        <v/>
      </c>
      <c r="AA293">
        <f t="shared" si="50"/>
        <v>0</v>
      </c>
      <c r="AB293">
        <f t="shared" si="51"/>
        <v>12</v>
      </c>
      <c r="AC293">
        <f t="shared" si="52"/>
        <v>33</v>
      </c>
      <c r="AD293">
        <f t="shared" si="53"/>
        <v>1</v>
      </c>
    </row>
    <row r="294" spans="9:30" ht="15" customHeight="1">
      <c r="I294" s="69"/>
      <c r="J294" s="69"/>
      <c r="K294" s="69"/>
      <c r="L294" s="69"/>
      <c r="M294" s="69"/>
      <c r="N294" s="69" t="str">
        <f t="shared" si="45"/>
        <v/>
      </c>
      <c r="O294" s="69" t="str">
        <f t="shared" si="46"/>
        <v/>
      </c>
      <c r="P294" s="70" t="str">
        <f t="shared" si="47"/>
        <v/>
      </c>
      <c r="Q294" s="69" t="str">
        <f t="shared" si="48"/>
        <v/>
      </c>
      <c r="S294" s="71"/>
      <c r="Z294" t="str">
        <f t="shared" si="49"/>
        <v/>
      </c>
      <c r="AA294">
        <f t="shared" si="50"/>
        <v>0</v>
      </c>
      <c r="AB294">
        <f t="shared" si="51"/>
        <v>12</v>
      </c>
      <c r="AC294">
        <f t="shared" si="52"/>
        <v>33</v>
      </c>
      <c r="AD294">
        <f t="shared" si="53"/>
        <v>1</v>
      </c>
    </row>
    <row r="295" spans="9:30" ht="15" customHeight="1">
      <c r="I295" s="69"/>
      <c r="J295" s="69"/>
      <c r="K295" s="69"/>
      <c r="L295" s="69"/>
      <c r="M295" s="69"/>
      <c r="N295" s="69" t="str">
        <f t="shared" si="45"/>
        <v/>
      </c>
      <c r="O295" s="69" t="str">
        <f t="shared" si="46"/>
        <v/>
      </c>
      <c r="P295" s="70" t="str">
        <f t="shared" si="47"/>
        <v/>
      </c>
      <c r="Q295" s="69" t="str">
        <f t="shared" si="48"/>
        <v/>
      </c>
      <c r="S295" s="71"/>
      <c r="Z295" t="str">
        <f t="shared" si="49"/>
        <v/>
      </c>
      <c r="AA295">
        <f t="shared" si="50"/>
        <v>0</v>
      </c>
      <c r="AB295">
        <f t="shared" si="51"/>
        <v>12</v>
      </c>
      <c r="AC295">
        <f t="shared" si="52"/>
        <v>33</v>
      </c>
      <c r="AD295">
        <f t="shared" si="53"/>
        <v>1</v>
      </c>
    </row>
    <row r="296" spans="9:30" ht="15" customHeight="1">
      <c r="I296" s="69"/>
      <c r="J296" s="69"/>
      <c r="K296" s="69"/>
      <c r="L296" s="69"/>
      <c r="M296" s="69"/>
      <c r="N296" s="69" t="str">
        <f t="shared" si="45"/>
        <v/>
      </c>
      <c r="O296" s="69" t="str">
        <f t="shared" si="46"/>
        <v/>
      </c>
      <c r="P296" s="70" t="str">
        <f t="shared" si="47"/>
        <v/>
      </c>
      <c r="Q296" s="69" t="str">
        <f t="shared" si="48"/>
        <v/>
      </c>
      <c r="S296" s="71"/>
      <c r="Z296" t="str">
        <f t="shared" si="49"/>
        <v/>
      </c>
      <c r="AA296">
        <f t="shared" si="50"/>
        <v>0</v>
      </c>
      <c r="AB296">
        <f t="shared" si="51"/>
        <v>12</v>
      </c>
      <c r="AC296">
        <f t="shared" si="52"/>
        <v>33</v>
      </c>
      <c r="AD296">
        <f t="shared" si="53"/>
        <v>1</v>
      </c>
    </row>
    <row r="297" spans="9:30" ht="15" customHeight="1">
      <c r="I297" s="69"/>
      <c r="J297" s="69"/>
      <c r="K297" s="69"/>
      <c r="L297" s="69"/>
      <c r="M297" s="69"/>
      <c r="N297" s="69" t="str">
        <f t="shared" si="45"/>
        <v/>
      </c>
      <c r="O297" s="69" t="str">
        <f t="shared" si="46"/>
        <v/>
      </c>
      <c r="P297" s="70" t="str">
        <f t="shared" si="47"/>
        <v/>
      </c>
      <c r="Q297" s="69" t="str">
        <f t="shared" si="48"/>
        <v/>
      </c>
      <c r="S297" s="71"/>
      <c r="Z297" t="str">
        <f t="shared" si="49"/>
        <v/>
      </c>
      <c r="AA297">
        <f t="shared" si="50"/>
        <v>0</v>
      </c>
      <c r="AB297">
        <f t="shared" si="51"/>
        <v>12</v>
      </c>
      <c r="AC297">
        <f t="shared" si="52"/>
        <v>33</v>
      </c>
      <c r="AD297">
        <f t="shared" si="53"/>
        <v>1</v>
      </c>
    </row>
    <row r="298" spans="9:30" ht="15" customHeight="1">
      <c r="I298" s="69"/>
      <c r="J298" s="69"/>
      <c r="K298" s="69"/>
      <c r="L298" s="69"/>
      <c r="M298" s="69"/>
      <c r="N298" s="69" t="str">
        <f t="shared" si="45"/>
        <v/>
      </c>
      <c r="O298" s="69" t="str">
        <f t="shared" si="46"/>
        <v/>
      </c>
      <c r="P298" s="70" t="str">
        <f t="shared" si="47"/>
        <v/>
      </c>
      <c r="Q298" s="69" t="str">
        <f t="shared" si="48"/>
        <v/>
      </c>
      <c r="S298" s="71"/>
      <c r="Z298" t="str">
        <f t="shared" si="49"/>
        <v/>
      </c>
      <c r="AA298">
        <f t="shared" si="50"/>
        <v>0</v>
      </c>
      <c r="AB298">
        <f t="shared" si="51"/>
        <v>12</v>
      </c>
      <c r="AC298">
        <f t="shared" si="52"/>
        <v>33</v>
      </c>
      <c r="AD298">
        <f t="shared" si="53"/>
        <v>1</v>
      </c>
    </row>
    <row r="299" spans="9:30" ht="15" customHeight="1">
      <c r="I299" s="69"/>
      <c r="J299" s="69"/>
      <c r="K299" s="69"/>
      <c r="L299" s="69"/>
      <c r="M299" s="69"/>
      <c r="N299" s="69" t="str">
        <f t="shared" si="45"/>
        <v/>
      </c>
      <c r="O299" s="69" t="str">
        <f t="shared" si="46"/>
        <v/>
      </c>
      <c r="P299" s="70" t="str">
        <f t="shared" si="47"/>
        <v/>
      </c>
      <c r="Q299" s="69" t="str">
        <f t="shared" si="48"/>
        <v/>
      </c>
      <c r="S299" s="71"/>
      <c r="Z299" t="str">
        <f t="shared" si="49"/>
        <v/>
      </c>
      <c r="AA299">
        <f t="shared" si="50"/>
        <v>0</v>
      </c>
      <c r="AB299">
        <f t="shared" si="51"/>
        <v>12</v>
      </c>
      <c r="AC299">
        <f t="shared" si="52"/>
        <v>33</v>
      </c>
      <c r="AD299">
        <f t="shared" si="53"/>
        <v>1</v>
      </c>
    </row>
    <row r="300" spans="9:30" ht="15" customHeight="1">
      <c r="I300" s="69"/>
      <c r="J300" s="69"/>
      <c r="K300" s="69"/>
      <c r="L300" s="69"/>
      <c r="M300" s="69"/>
      <c r="N300" s="69" t="str">
        <f t="shared" si="45"/>
        <v/>
      </c>
      <c r="O300" s="69" t="str">
        <f t="shared" si="46"/>
        <v/>
      </c>
      <c r="P300" s="70" t="str">
        <f t="shared" si="47"/>
        <v/>
      </c>
      <c r="Q300" s="69" t="str">
        <f t="shared" si="48"/>
        <v/>
      </c>
      <c r="S300" s="71"/>
      <c r="Z300" t="str">
        <f t="shared" si="49"/>
        <v/>
      </c>
      <c r="AA300">
        <f t="shared" si="50"/>
        <v>0</v>
      </c>
      <c r="AB300">
        <f t="shared" si="51"/>
        <v>12</v>
      </c>
      <c r="AC300">
        <f t="shared" si="52"/>
        <v>33</v>
      </c>
      <c r="AD300">
        <f t="shared" si="53"/>
        <v>1</v>
      </c>
    </row>
    <row r="301" spans="9:30" ht="15" customHeight="1">
      <c r="I301" s="69"/>
      <c r="J301" s="69"/>
      <c r="K301" s="69"/>
      <c r="L301" s="69"/>
      <c r="M301" s="69"/>
      <c r="N301" s="69" t="str">
        <f t="shared" si="45"/>
        <v/>
      </c>
      <c r="O301" s="69" t="str">
        <f t="shared" si="46"/>
        <v/>
      </c>
      <c r="P301" s="70" t="str">
        <f t="shared" si="47"/>
        <v/>
      </c>
      <c r="Q301" s="69" t="str">
        <f t="shared" si="48"/>
        <v/>
      </c>
      <c r="S301" s="71"/>
      <c r="Z301" t="str">
        <f t="shared" si="49"/>
        <v/>
      </c>
      <c r="AA301">
        <f t="shared" si="50"/>
        <v>0</v>
      </c>
      <c r="AB301">
        <f t="shared" si="51"/>
        <v>12</v>
      </c>
      <c r="AC301">
        <f t="shared" si="52"/>
        <v>33</v>
      </c>
      <c r="AD301">
        <f t="shared" si="53"/>
        <v>1</v>
      </c>
    </row>
    <row r="302" spans="9:30" ht="15" customHeight="1">
      <c r="I302" s="69"/>
      <c r="J302" s="69"/>
      <c r="K302" s="69"/>
      <c r="L302" s="69"/>
      <c r="M302" s="69"/>
      <c r="N302" s="69" t="str">
        <f t="shared" si="45"/>
        <v/>
      </c>
      <c r="O302" s="69" t="str">
        <f t="shared" si="46"/>
        <v/>
      </c>
      <c r="P302" s="70" t="str">
        <f t="shared" si="47"/>
        <v/>
      </c>
      <c r="Q302" s="69" t="str">
        <f t="shared" si="48"/>
        <v/>
      </c>
      <c r="S302" s="71"/>
      <c r="Z302" t="str">
        <f t="shared" si="49"/>
        <v/>
      </c>
      <c r="AA302">
        <f t="shared" si="50"/>
        <v>0</v>
      </c>
      <c r="AB302">
        <f t="shared" si="51"/>
        <v>12</v>
      </c>
      <c r="AC302">
        <f t="shared" si="52"/>
        <v>33</v>
      </c>
      <c r="AD302">
        <f t="shared" si="53"/>
        <v>1</v>
      </c>
    </row>
    <row r="303" spans="9:30" ht="15" customHeight="1">
      <c r="I303" s="69"/>
      <c r="J303" s="69"/>
      <c r="K303" s="69"/>
      <c r="L303" s="69"/>
      <c r="M303" s="69"/>
      <c r="N303" s="69" t="str">
        <f t="shared" si="45"/>
        <v/>
      </c>
      <c r="O303" s="69" t="str">
        <f t="shared" si="46"/>
        <v/>
      </c>
      <c r="P303" s="70" t="str">
        <f t="shared" si="47"/>
        <v/>
      </c>
      <c r="Q303" s="69" t="str">
        <f t="shared" si="48"/>
        <v/>
      </c>
      <c r="S303" s="71"/>
      <c r="Z303" t="str">
        <f t="shared" si="49"/>
        <v/>
      </c>
      <c r="AA303">
        <f t="shared" si="50"/>
        <v>0</v>
      </c>
      <c r="AB303">
        <f t="shared" si="51"/>
        <v>12</v>
      </c>
      <c r="AC303">
        <f t="shared" si="52"/>
        <v>33</v>
      </c>
      <c r="AD303">
        <f t="shared" si="53"/>
        <v>1</v>
      </c>
    </row>
    <row r="304" spans="9:30" ht="15" customHeight="1">
      <c r="I304" s="69"/>
      <c r="J304" s="69"/>
      <c r="K304" s="69"/>
      <c r="L304" s="69"/>
      <c r="M304" s="69"/>
      <c r="N304" s="69" t="str">
        <f t="shared" si="45"/>
        <v/>
      </c>
      <c r="O304" s="69" t="str">
        <f t="shared" si="46"/>
        <v/>
      </c>
      <c r="P304" s="70" t="str">
        <f t="shared" si="47"/>
        <v/>
      </c>
      <c r="Q304" s="69" t="str">
        <f t="shared" si="48"/>
        <v/>
      </c>
      <c r="S304" s="71"/>
      <c r="Z304" t="str">
        <f t="shared" si="49"/>
        <v/>
      </c>
      <c r="AA304">
        <f t="shared" si="50"/>
        <v>0</v>
      </c>
      <c r="AB304">
        <f t="shared" si="51"/>
        <v>12</v>
      </c>
      <c r="AC304">
        <f t="shared" si="52"/>
        <v>33</v>
      </c>
      <c r="AD304">
        <f t="shared" si="53"/>
        <v>1</v>
      </c>
    </row>
    <row r="305" spans="9:30" ht="15" customHeight="1">
      <c r="I305" s="69"/>
      <c r="J305" s="69"/>
      <c r="K305" s="69"/>
      <c r="L305" s="69"/>
      <c r="M305" s="69"/>
      <c r="N305" s="69" t="str">
        <f t="shared" si="45"/>
        <v/>
      </c>
      <c r="O305" s="69" t="str">
        <f t="shared" si="46"/>
        <v/>
      </c>
      <c r="P305" s="70" t="str">
        <f t="shared" si="47"/>
        <v/>
      </c>
      <c r="Q305" s="69" t="str">
        <f t="shared" si="48"/>
        <v/>
      </c>
      <c r="S305" s="71"/>
      <c r="Z305" t="str">
        <f t="shared" si="49"/>
        <v/>
      </c>
      <c r="AA305">
        <f t="shared" si="50"/>
        <v>0</v>
      </c>
      <c r="AB305">
        <f t="shared" si="51"/>
        <v>12</v>
      </c>
      <c r="AC305">
        <f t="shared" si="52"/>
        <v>33</v>
      </c>
      <c r="AD305">
        <f t="shared" si="53"/>
        <v>1</v>
      </c>
    </row>
    <row r="306" spans="9:30" ht="15" customHeight="1">
      <c r="I306" s="69"/>
      <c r="J306" s="69"/>
      <c r="K306" s="69"/>
      <c r="L306" s="69"/>
      <c r="M306" s="69"/>
      <c r="N306" s="69" t="str">
        <f t="shared" si="45"/>
        <v/>
      </c>
      <c r="O306" s="69" t="str">
        <f t="shared" si="46"/>
        <v/>
      </c>
      <c r="P306" s="70" t="str">
        <f t="shared" si="47"/>
        <v/>
      </c>
      <c r="Q306" s="69" t="str">
        <f t="shared" si="48"/>
        <v/>
      </c>
      <c r="S306" s="71"/>
      <c r="Z306" t="str">
        <f t="shared" si="49"/>
        <v/>
      </c>
      <c r="AA306">
        <f t="shared" si="50"/>
        <v>0</v>
      </c>
      <c r="AB306">
        <f t="shared" si="51"/>
        <v>12</v>
      </c>
      <c r="AC306">
        <f t="shared" si="52"/>
        <v>33</v>
      </c>
      <c r="AD306">
        <f t="shared" si="53"/>
        <v>1</v>
      </c>
    </row>
    <row r="307" spans="9:30" ht="15" customHeight="1">
      <c r="I307" s="69"/>
      <c r="J307" s="69"/>
      <c r="K307" s="69"/>
      <c r="L307" s="69"/>
      <c r="M307" s="69"/>
      <c r="N307" s="69" t="str">
        <f t="shared" si="45"/>
        <v/>
      </c>
      <c r="O307" s="69" t="str">
        <f t="shared" si="46"/>
        <v/>
      </c>
      <c r="P307" s="70" t="str">
        <f t="shared" si="47"/>
        <v/>
      </c>
      <c r="Q307" s="69" t="str">
        <f t="shared" si="48"/>
        <v/>
      </c>
      <c r="S307" s="71"/>
      <c r="Z307" t="str">
        <f t="shared" si="49"/>
        <v/>
      </c>
      <c r="AA307">
        <f t="shared" si="50"/>
        <v>0</v>
      </c>
      <c r="AB307">
        <f t="shared" si="51"/>
        <v>12</v>
      </c>
      <c r="AC307">
        <f t="shared" si="52"/>
        <v>33</v>
      </c>
      <c r="AD307">
        <f t="shared" si="53"/>
        <v>1</v>
      </c>
    </row>
    <row r="308" spans="9:30" ht="15" customHeight="1">
      <c r="I308" s="69"/>
      <c r="J308" s="69"/>
      <c r="K308" s="69"/>
      <c r="L308" s="69"/>
      <c r="M308" s="69"/>
      <c r="N308" s="69" t="str">
        <f t="shared" si="45"/>
        <v/>
      </c>
      <c r="O308" s="69" t="str">
        <f t="shared" si="46"/>
        <v/>
      </c>
      <c r="P308" s="70" t="str">
        <f t="shared" si="47"/>
        <v/>
      </c>
      <c r="Q308" s="69" t="str">
        <f t="shared" si="48"/>
        <v/>
      </c>
      <c r="S308" s="71"/>
      <c r="Z308" t="str">
        <f t="shared" si="49"/>
        <v/>
      </c>
      <c r="AA308">
        <f t="shared" si="50"/>
        <v>0</v>
      </c>
      <c r="AB308">
        <f t="shared" si="51"/>
        <v>12</v>
      </c>
      <c r="AC308">
        <f t="shared" si="52"/>
        <v>33</v>
      </c>
      <c r="AD308">
        <f t="shared" si="53"/>
        <v>1</v>
      </c>
    </row>
    <row r="309" spans="9:30" ht="15" customHeight="1">
      <c r="I309" s="69"/>
      <c r="J309" s="69"/>
      <c r="K309" s="69"/>
      <c r="L309" s="69"/>
      <c r="M309" s="69"/>
      <c r="N309" s="69" t="str">
        <f t="shared" ref="N309:N372" si="54">IF(ISNUMBER(I309),ROUND(I309-I309/1.081,2),"")</f>
        <v/>
      </c>
      <c r="O309" s="69" t="str">
        <f t="shared" si="46"/>
        <v/>
      </c>
      <c r="P309" s="70" t="str">
        <f t="shared" si="47"/>
        <v/>
      </c>
      <c r="Q309" s="69" t="str">
        <f t="shared" si="48"/>
        <v/>
      </c>
      <c r="S309" s="71"/>
      <c r="Z309" t="str">
        <f t="shared" si="49"/>
        <v/>
      </c>
      <c r="AA309">
        <f t="shared" si="50"/>
        <v>0</v>
      </c>
      <c r="AB309">
        <f t="shared" si="51"/>
        <v>12</v>
      </c>
      <c r="AC309">
        <f t="shared" si="52"/>
        <v>33</v>
      </c>
      <c r="AD309">
        <f t="shared" si="53"/>
        <v>1</v>
      </c>
    </row>
    <row r="310" spans="9:30" ht="15" customHeight="1">
      <c r="I310" s="69"/>
      <c r="J310" s="69"/>
      <c r="K310" s="69"/>
      <c r="L310" s="69"/>
      <c r="M310" s="69"/>
      <c r="N310" s="69" t="str">
        <f t="shared" si="54"/>
        <v/>
      </c>
      <c r="O310" s="69" t="str">
        <f t="shared" si="46"/>
        <v/>
      </c>
      <c r="P310" s="70" t="str">
        <f t="shared" si="47"/>
        <v/>
      </c>
      <c r="Q310" s="69" t="str">
        <f t="shared" si="48"/>
        <v/>
      </c>
      <c r="S310" s="71"/>
      <c r="Z310" t="str">
        <f t="shared" si="49"/>
        <v/>
      </c>
      <c r="AA310">
        <f t="shared" si="50"/>
        <v>0</v>
      </c>
      <c r="AB310">
        <f t="shared" si="51"/>
        <v>12</v>
      </c>
      <c r="AC310">
        <f t="shared" si="52"/>
        <v>33</v>
      </c>
      <c r="AD310">
        <f t="shared" si="53"/>
        <v>1</v>
      </c>
    </row>
    <row r="311" spans="9:30" ht="15" customHeight="1">
      <c r="I311" s="69"/>
      <c r="J311" s="69"/>
      <c r="K311" s="69"/>
      <c r="L311" s="69"/>
      <c r="M311" s="69"/>
      <c r="N311" s="69" t="str">
        <f t="shared" si="54"/>
        <v/>
      </c>
      <c r="O311" s="69" t="str">
        <f t="shared" si="46"/>
        <v/>
      </c>
      <c r="P311" s="70" t="str">
        <f t="shared" si="47"/>
        <v/>
      </c>
      <c r="Q311" s="69" t="str">
        <f t="shared" si="48"/>
        <v/>
      </c>
      <c r="S311" s="71"/>
      <c r="Z311" t="str">
        <f t="shared" si="49"/>
        <v/>
      </c>
      <c r="AA311">
        <f t="shared" si="50"/>
        <v>0</v>
      </c>
      <c r="AB311">
        <f t="shared" si="51"/>
        <v>12</v>
      </c>
      <c r="AC311">
        <f t="shared" si="52"/>
        <v>33</v>
      </c>
      <c r="AD311">
        <f t="shared" si="53"/>
        <v>1</v>
      </c>
    </row>
    <row r="312" spans="9:30" ht="15" customHeight="1">
      <c r="I312" s="69"/>
      <c r="J312" s="69"/>
      <c r="K312" s="69"/>
      <c r="L312" s="69"/>
      <c r="M312" s="69"/>
      <c r="N312" s="69" t="str">
        <f t="shared" si="54"/>
        <v/>
      </c>
      <c r="O312" s="69" t="str">
        <f t="shared" si="46"/>
        <v/>
      </c>
      <c r="P312" s="70" t="str">
        <f t="shared" si="47"/>
        <v/>
      </c>
      <c r="Q312" s="69" t="str">
        <f t="shared" si="48"/>
        <v/>
      </c>
      <c r="S312" s="71"/>
      <c r="Z312" t="str">
        <f t="shared" si="49"/>
        <v/>
      </c>
      <c r="AA312">
        <f t="shared" si="50"/>
        <v>0</v>
      </c>
      <c r="AB312">
        <f t="shared" si="51"/>
        <v>12</v>
      </c>
      <c r="AC312">
        <f t="shared" si="52"/>
        <v>33</v>
      </c>
      <c r="AD312">
        <f t="shared" si="53"/>
        <v>1</v>
      </c>
    </row>
    <row r="313" spans="9:30" ht="15" customHeight="1">
      <c r="I313" s="69"/>
      <c r="J313" s="69"/>
      <c r="K313" s="69"/>
      <c r="L313" s="69"/>
      <c r="M313" s="69"/>
      <c r="N313" s="69" t="str">
        <f t="shared" si="54"/>
        <v/>
      </c>
      <c r="O313" s="69" t="str">
        <f t="shared" si="46"/>
        <v/>
      </c>
      <c r="P313" s="70" t="str">
        <f t="shared" si="47"/>
        <v/>
      </c>
      <c r="Q313" s="69" t="str">
        <f t="shared" si="48"/>
        <v/>
      </c>
      <c r="S313" s="71"/>
      <c r="Z313" t="str">
        <f t="shared" si="49"/>
        <v/>
      </c>
      <c r="AA313">
        <f t="shared" si="50"/>
        <v>0</v>
      </c>
      <c r="AB313">
        <f t="shared" si="51"/>
        <v>12</v>
      </c>
      <c r="AC313">
        <f t="shared" si="52"/>
        <v>33</v>
      </c>
      <c r="AD313">
        <f t="shared" si="53"/>
        <v>1</v>
      </c>
    </row>
    <row r="314" spans="9:30" ht="15" customHeight="1">
      <c r="I314" s="69"/>
      <c r="J314" s="69"/>
      <c r="K314" s="69"/>
      <c r="L314" s="69"/>
      <c r="M314" s="69"/>
      <c r="N314" s="69" t="str">
        <f t="shared" si="54"/>
        <v/>
      </c>
      <c r="O314" s="69" t="str">
        <f t="shared" si="46"/>
        <v/>
      </c>
      <c r="P314" s="70" t="str">
        <f t="shared" si="47"/>
        <v/>
      </c>
      <c r="Q314" s="69" t="str">
        <f t="shared" si="48"/>
        <v/>
      </c>
      <c r="S314" s="71"/>
      <c r="Z314" t="str">
        <f t="shared" si="49"/>
        <v/>
      </c>
      <c r="AA314">
        <f t="shared" si="50"/>
        <v>0</v>
      </c>
      <c r="AB314">
        <f t="shared" si="51"/>
        <v>12</v>
      </c>
      <c r="AC314">
        <f t="shared" si="52"/>
        <v>33</v>
      </c>
      <c r="AD314">
        <f t="shared" si="53"/>
        <v>1</v>
      </c>
    </row>
    <row r="315" spans="9:30" ht="15" customHeight="1">
      <c r="I315" s="69"/>
      <c r="J315" s="69"/>
      <c r="K315" s="69"/>
      <c r="L315" s="69"/>
      <c r="M315" s="69"/>
      <c r="N315" s="69" t="str">
        <f t="shared" si="54"/>
        <v/>
      </c>
      <c r="O315" s="69" t="str">
        <f t="shared" si="46"/>
        <v/>
      </c>
      <c r="P315" s="70" t="str">
        <f t="shared" si="47"/>
        <v/>
      </c>
      <c r="Q315" s="69" t="str">
        <f t="shared" si="48"/>
        <v/>
      </c>
      <c r="S315" s="71"/>
      <c r="Z315" t="str">
        <f t="shared" si="49"/>
        <v/>
      </c>
      <c r="AA315">
        <f t="shared" si="50"/>
        <v>0</v>
      </c>
      <c r="AB315">
        <f t="shared" si="51"/>
        <v>12</v>
      </c>
      <c r="AC315">
        <f t="shared" si="52"/>
        <v>33</v>
      </c>
      <c r="AD315">
        <f t="shared" si="53"/>
        <v>1</v>
      </c>
    </row>
    <row r="316" spans="9:30" ht="15" customHeight="1">
      <c r="I316" s="69"/>
      <c r="J316" s="69"/>
      <c r="K316" s="69"/>
      <c r="L316" s="69"/>
      <c r="M316" s="69"/>
      <c r="N316" s="69" t="str">
        <f t="shared" si="54"/>
        <v/>
      </c>
      <c r="O316" s="69" t="str">
        <f t="shared" si="46"/>
        <v/>
      </c>
      <c r="P316" s="70" t="str">
        <f t="shared" si="47"/>
        <v/>
      </c>
      <c r="Q316" s="69" t="str">
        <f t="shared" si="48"/>
        <v/>
      </c>
      <c r="S316" s="71"/>
      <c r="Z316" t="str">
        <f t="shared" si="49"/>
        <v/>
      </c>
      <c r="AA316">
        <f t="shared" si="50"/>
        <v>0</v>
      </c>
      <c r="AB316">
        <f t="shared" si="51"/>
        <v>12</v>
      </c>
      <c r="AC316">
        <f t="shared" si="52"/>
        <v>33</v>
      </c>
      <c r="AD316">
        <f t="shared" si="53"/>
        <v>1</v>
      </c>
    </row>
    <row r="317" spans="9:30" ht="15" customHeight="1">
      <c r="I317" s="69"/>
      <c r="J317" s="69"/>
      <c r="K317" s="69"/>
      <c r="L317" s="69"/>
      <c r="M317" s="69"/>
      <c r="N317" s="69" t="str">
        <f t="shared" si="54"/>
        <v/>
      </c>
      <c r="O317" s="69" t="str">
        <f t="shared" si="46"/>
        <v/>
      </c>
      <c r="P317" s="70" t="str">
        <f t="shared" si="47"/>
        <v/>
      </c>
      <c r="Q317" s="69" t="str">
        <f t="shared" si="48"/>
        <v/>
      </c>
      <c r="S317" s="71"/>
      <c r="Z317" t="str">
        <f t="shared" si="49"/>
        <v/>
      </c>
      <c r="AA317">
        <f t="shared" si="50"/>
        <v>0</v>
      </c>
      <c r="AB317">
        <f t="shared" si="51"/>
        <v>12</v>
      </c>
      <c r="AC317">
        <f t="shared" si="52"/>
        <v>33</v>
      </c>
      <c r="AD317">
        <f t="shared" si="53"/>
        <v>1</v>
      </c>
    </row>
    <row r="318" spans="9:30" ht="15" customHeight="1">
      <c r="I318" s="69"/>
      <c r="J318" s="69"/>
      <c r="K318" s="69"/>
      <c r="L318" s="69"/>
      <c r="M318" s="69"/>
      <c r="N318" s="69" t="str">
        <f t="shared" si="54"/>
        <v/>
      </c>
      <c r="O318" s="69" t="str">
        <f t="shared" si="46"/>
        <v/>
      </c>
      <c r="P318" s="70" t="str">
        <f t="shared" si="47"/>
        <v/>
      </c>
      <c r="Q318" s="69" t="str">
        <f t="shared" si="48"/>
        <v/>
      </c>
      <c r="S318" s="71"/>
      <c r="Z318" t="str">
        <f t="shared" si="49"/>
        <v/>
      </c>
      <c r="AA318">
        <f t="shared" si="50"/>
        <v>0</v>
      </c>
      <c r="AB318">
        <f t="shared" si="51"/>
        <v>12</v>
      </c>
      <c r="AC318">
        <f t="shared" si="52"/>
        <v>33</v>
      </c>
      <c r="AD318">
        <f t="shared" si="53"/>
        <v>1</v>
      </c>
    </row>
    <row r="319" spans="9:30" ht="15" customHeight="1">
      <c r="I319" s="69"/>
      <c r="J319" s="69"/>
      <c r="K319" s="69"/>
      <c r="L319" s="69"/>
      <c r="M319" s="69"/>
      <c r="N319" s="69" t="str">
        <f t="shared" si="54"/>
        <v/>
      </c>
      <c r="O319" s="69" t="str">
        <f t="shared" si="46"/>
        <v/>
      </c>
      <c r="P319" s="70" t="str">
        <f t="shared" si="47"/>
        <v/>
      </c>
      <c r="Q319" s="69" t="str">
        <f t="shared" si="48"/>
        <v/>
      </c>
      <c r="S319" s="71"/>
      <c r="Z319" t="str">
        <f t="shared" si="49"/>
        <v/>
      </c>
      <c r="AA319">
        <f t="shared" si="50"/>
        <v>0</v>
      </c>
      <c r="AB319">
        <f t="shared" si="51"/>
        <v>12</v>
      </c>
      <c r="AC319">
        <f t="shared" si="52"/>
        <v>33</v>
      </c>
      <c r="AD319">
        <f t="shared" si="53"/>
        <v>1</v>
      </c>
    </row>
    <row r="320" spans="9:30" ht="15" customHeight="1">
      <c r="I320" s="69"/>
      <c r="J320" s="69"/>
      <c r="K320" s="69"/>
      <c r="L320" s="69"/>
      <c r="M320" s="69"/>
      <c r="N320" s="69" t="str">
        <f t="shared" si="54"/>
        <v/>
      </c>
      <c r="O320" s="69" t="str">
        <f t="shared" si="46"/>
        <v/>
      </c>
      <c r="P320" s="70" t="str">
        <f t="shared" si="47"/>
        <v/>
      </c>
      <c r="Q320" s="69" t="str">
        <f t="shared" si="48"/>
        <v/>
      </c>
      <c r="S320" s="71"/>
      <c r="Z320" t="str">
        <f t="shared" si="49"/>
        <v/>
      </c>
      <c r="AA320">
        <f t="shared" si="50"/>
        <v>0</v>
      </c>
      <c r="AB320">
        <f t="shared" si="51"/>
        <v>12</v>
      </c>
      <c r="AC320">
        <f t="shared" si="52"/>
        <v>33</v>
      </c>
      <c r="AD320">
        <f t="shared" si="53"/>
        <v>1</v>
      </c>
    </row>
    <row r="321" spans="9:30" ht="15" customHeight="1">
      <c r="I321" s="69"/>
      <c r="J321" s="69"/>
      <c r="K321" s="69"/>
      <c r="L321" s="69"/>
      <c r="M321" s="69"/>
      <c r="N321" s="69" t="str">
        <f t="shared" si="54"/>
        <v/>
      </c>
      <c r="O321" s="69" t="str">
        <f t="shared" si="46"/>
        <v/>
      </c>
      <c r="P321" s="70" t="str">
        <f t="shared" si="47"/>
        <v/>
      </c>
      <c r="Q321" s="69" t="str">
        <f t="shared" si="48"/>
        <v/>
      </c>
      <c r="S321" s="71"/>
      <c r="Z321" t="str">
        <f t="shared" si="49"/>
        <v/>
      </c>
      <c r="AA321">
        <f t="shared" si="50"/>
        <v>0</v>
      </c>
      <c r="AB321">
        <f t="shared" si="51"/>
        <v>12</v>
      </c>
      <c r="AC321">
        <f t="shared" si="52"/>
        <v>33</v>
      </c>
      <c r="AD321">
        <f t="shared" si="53"/>
        <v>1</v>
      </c>
    </row>
    <row r="322" spans="9:30" ht="15" customHeight="1">
      <c r="I322" s="69"/>
      <c r="J322" s="69"/>
      <c r="K322" s="69"/>
      <c r="L322" s="69"/>
      <c r="M322" s="69"/>
      <c r="N322" s="69" t="str">
        <f t="shared" si="54"/>
        <v/>
      </c>
      <c r="O322" s="69" t="str">
        <f t="shared" si="46"/>
        <v/>
      </c>
      <c r="P322" s="70" t="str">
        <f t="shared" si="47"/>
        <v/>
      </c>
      <c r="Q322" s="69" t="str">
        <f t="shared" si="48"/>
        <v/>
      </c>
      <c r="S322" s="71"/>
      <c r="Z322" t="str">
        <f t="shared" si="49"/>
        <v/>
      </c>
      <c r="AA322">
        <f t="shared" si="50"/>
        <v>0</v>
      </c>
      <c r="AB322">
        <f t="shared" si="51"/>
        <v>12</v>
      </c>
      <c r="AC322">
        <f t="shared" si="52"/>
        <v>33</v>
      </c>
      <c r="AD322">
        <f t="shared" si="53"/>
        <v>1</v>
      </c>
    </row>
    <row r="323" spans="9:30" ht="15" customHeight="1">
      <c r="I323" s="69"/>
      <c r="J323" s="69"/>
      <c r="K323" s="69"/>
      <c r="L323" s="69"/>
      <c r="M323" s="69"/>
      <c r="N323" s="69" t="str">
        <f t="shared" si="54"/>
        <v/>
      </c>
      <c r="O323" s="69" t="str">
        <f t="shared" si="46"/>
        <v/>
      </c>
      <c r="P323" s="70" t="str">
        <f t="shared" si="47"/>
        <v/>
      </c>
      <c r="Q323" s="69" t="str">
        <f t="shared" si="48"/>
        <v/>
      </c>
      <c r="S323" s="71"/>
      <c r="Z323" t="str">
        <f t="shared" si="49"/>
        <v/>
      </c>
      <c r="AA323">
        <f t="shared" si="50"/>
        <v>0</v>
      </c>
      <c r="AB323">
        <f t="shared" si="51"/>
        <v>12</v>
      </c>
      <c r="AC323">
        <f t="shared" si="52"/>
        <v>33</v>
      </c>
      <c r="AD323">
        <f t="shared" si="53"/>
        <v>1</v>
      </c>
    </row>
    <row r="324" spans="9:30" ht="15" customHeight="1">
      <c r="I324" s="69"/>
      <c r="J324" s="69"/>
      <c r="K324" s="69"/>
      <c r="L324" s="69"/>
      <c r="M324" s="69"/>
      <c r="N324" s="69" t="str">
        <f t="shared" si="54"/>
        <v/>
      </c>
      <c r="O324" s="69" t="str">
        <f t="shared" si="46"/>
        <v/>
      </c>
      <c r="P324" s="70" t="str">
        <f t="shared" si="47"/>
        <v/>
      </c>
      <c r="Q324" s="69" t="str">
        <f t="shared" si="48"/>
        <v/>
      </c>
      <c r="S324" s="71"/>
      <c r="Z324" t="str">
        <f t="shared" si="49"/>
        <v/>
      </c>
      <c r="AA324">
        <f t="shared" si="50"/>
        <v>0</v>
      </c>
      <c r="AB324">
        <f t="shared" si="51"/>
        <v>12</v>
      </c>
      <c r="AC324">
        <f t="shared" si="52"/>
        <v>33</v>
      </c>
      <c r="AD324">
        <f t="shared" si="53"/>
        <v>1</v>
      </c>
    </row>
    <row r="325" spans="9:30" ht="15" customHeight="1">
      <c r="I325" s="69"/>
      <c r="J325" s="69"/>
      <c r="K325" s="69"/>
      <c r="L325" s="69"/>
      <c r="M325" s="69"/>
      <c r="N325" s="69" t="str">
        <f t="shared" si="54"/>
        <v/>
      </c>
      <c r="O325" s="69" t="str">
        <f t="shared" si="46"/>
        <v/>
      </c>
      <c r="P325" s="70" t="str">
        <f t="shared" si="47"/>
        <v/>
      </c>
      <c r="Q325" s="69" t="str">
        <f t="shared" si="48"/>
        <v/>
      </c>
      <c r="S325" s="71"/>
      <c r="Z325" t="str">
        <f t="shared" si="49"/>
        <v/>
      </c>
      <c r="AA325">
        <f t="shared" si="50"/>
        <v>0</v>
      </c>
      <c r="AB325">
        <f t="shared" si="51"/>
        <v>12</v>
      </c>
      <c r="AC325">
        <f t="shared" si="52"/>
        <v>33</v>
      </c>
      <c r="AD325">
        <f t="shared" si="53"/>
        <v>1</v>
      </c>
    </row>
    <row r="326" spans="9:30" ht="15" customHeight="1">
      <c r="I326" s="69"/>
      <c r="J326" s="69"/>
      <c r="K326" s="69"/>
      <c r="L326" s="69"/>
      <c r="M326" s="69"/>
      <c r="N326" s="69" t="str">
        <f t="shared" si="54"/>
        <v/>
      </c>
      <c r="O326" s="69" t="str">
        <f t="shared" ref="O326:O389" si="55">IF(ISNUMBER(I326),I326-SUM(J326:N326),"")</f>
        <v/>
      </c>
      <c r="P326" s="70" t="str">
        <f t="shared" ref="P326:P389" si="56">IFERROR(IF(AND(ISNUMBER(O326),ISNUMBER(I326),I326&lt;&gt;0),O326/I326,""),"")</f>
        <v/>
      </c>
      <c r="Q326" s="69" t="str">
        <f t="shared" ref="Q326:Q389" si="57">IF(AND(ISNUMBER(I326),ISNUMBER(S326)),I326*IF(S326&lt;=1,S326,S326/100),IF(OR(I326&lt;&gt;"",S326&lt;&gt;""),"tbd",""))</f>
        <v/>
      </c>
      <c r="S326" s="71"/>
      <c r="Z326" t="str">
        <f t="shared" ref="Z326:Z389" si="58">IF(AND(R326="WON",ISNUMBER(I326)),AA326,"")</f>
        <v/>
      </c>
      <c r="AA326">
        <f t="shared" ref="AA326:AA389" si="59">IFERROR(I326*1,0)</f>
        <v>0</v>
      </c>
      <c r="AB326">
        <f t="shared" ref="AB326:AB389" si="60">N(AB325)+IF(AND(R326="WON",B326&lt;&gt;""),1,0)</f>
        <v>12</v>
      </c>
      <c r="AC326">
        <f t="shared" ref="AC326:AC389" si="61">N(AC325)+IF(AND(OR(R326="offered",R326="to be offered",R326="on hold"),B326&lt;&gt;""),1,0)</f>
        <v>33</v>
      </c>
      <c r="AD326">
        <f t="shared" ref="AD326:AD389" si="62">N(AD325)+IF(AND(OR(R326="follow-up",R326="Evaluation",R326="tbd",R326="In evaluation"),B326&lt;&gt;""),1,0)</f>
        <v>1</v>
      </c>
    </row>
    <row r="327" spans="9:30" ht="15" customHeight="1">
      <c r="I327" s="69"/>
      <c r="J327" s="69"/>
      <c r="K327" s="69"/>
      <c r="L327" s="69"/>
      <c r="M327" s="69"/>
      <c r="N327" s="69" t="str">
        <f t="shared" si="54"/>
        <v/>
      </c>
      <c r="O327" s="69" t="str">
        <f t="shared" si="55"/>
        <v/>
      </c>
      <c r="P327" s="70" t="str">
        <f t="shared" si="56"/>
        <v/>
      </c>
      <c r="Q327" s="69" t="str">
        <f t="shared" si="57"/>
        <v/>
      </c>
      <c r="S327" s="71"/>
      <c r="Z327" t="str">
        <f t="shared" si="58"/>
        <v/>
      </c>
      <c r="AA327">
        <f t="shared" si="59"/>
        <v>0</v>
      </c>
      <c r="AB327">
        <f t="shared" si="60"/>
        <v>12</v>
      </c>
      <c r="AC327">
        <f t="shared" si="61"/>
        <v>33</v>
      </c>
      <c r="AD327">
        <f t="shared" si="62"/>
        <v>1</v>
      </c>
    </row>
    <row r="328" spans="9:30" ht="15" customHeight="1">
      <c r="I328" s="69"/>
      <c r="J328" s="69"/>
      <c r="K328" s="69"/>
      <c r="L328" s="69"/>
      <c r="M328" s="69"/>
      <c r="N328" s="69" t="str">
        <f t="shared" si="54"/>
        <v/>
      </c>
      <c r="O328" s="69" t="str">
        <f t="shared" si="55"/>
        <v/>
      </c>
      <c r="P328" s="70" t="str">
        <f t="shared" si="56"/>
        <v/>
      </c>
      <c r="Q328" s="69" t="str">
        <f t="shared" si="57"/>
        <v/>
      </c>
      <c r="S328" s="71"/>
      <c r="Z328" t="str">
        <f t="shared" si="58"/>
        <v/>
      </c>
      <c r="AA328">
        <f t="shared" si="59"/>
        <v>0</v>
      </c>
      <c r="AB328">
        <f t="shared" si="60"/>
        <v>12</v>
      </c>
      <c r="AC328">
        <f t="shared" si="61"/>
        <v>33</v>
      </c>
      <c r="AD328">
        <f t="shared" si="62"/>
        <v>1</v>
      </c>
    </row>
    <row r="329" spans="9:30" ht="15" customHeight="1">
      <c r="I329" s="69"/>
      <c r="J329" s="69"/>
      <c r="K329" s="69"/>
      <c r="L329" s="69"/>
      <c r="M329" s="69"/>
      <c r="N329" s="69" t="str">
        <f t="shared" si="54"/>
        <v/>
      </c>
      <c r="O329" s="69" t="str">
        <f t="shared" si="55"/>
        <v/>
      </c>
      <c r="P329" s="70" t="str">
        <f t="shared" si="56"/>
        <v/>
      </c>
      <c r="Q329" s="69" t="str">
        <f t="shared" si="57"/>
        <v/>
      </c>
      <c r="S329" s="71"/>
      <c r="Z329" t="str">
        <f t="shared" si="58"/>
        <v/>
      </c>
      <c r="AA329">
        <f t="shared" si="59"/>
        <v>0</v>
      </c>
      <c r="AB329">
        <f t="shared" si="60"/>
        <v>12</v>
      </c>
      <c r="AC329">
        <f t="shared" si="61"/>
        <v>33</v>
      </c>
      <c r="AD329">
        <f t="shared" si="62"/>
        <v>1</v>
      </c>
    </row>
    <row r="330" spans="9:30" ht="15" customHeight="1">
      <c r="I330" s="69"/>
      <c r="J330" s="69"/>
      <c r="K330" s="69"/>
      <c r="L330" s="69"/>
      <c r="M330" s="69"/>
      <c r="N330" s="69" t="str">
        <f t="shared" si="54"/>
        <v/>
      </c>
      <c r="O330" s="69" t="str">
        <f t="shared" si="55"/>
        <v/>
      </c>
      <c r="P330" s="70" t="str">
        <f t="shared" si="56"/>
        <v/>
      </c>
      <c r="Q330" s="69" t="str">
        <f t="shared" si="57"/>
        <v/>
      </c>
      <c r="S330" s="71"/>
      <c r="Z330" t="str">
        <f t="shared" si="58"/>
        <v/>
      </c>
      <c r="AA330">
        <f t="shared" si="59"/>
        <v>0</v>
      </c>
      <c r="AB330">
        <f t="shared" si="60"/>
        <v>12</v>
      </c>
      <c r="AC330">
        <f t="shared" si="61"/>
        <v>33</v>
      </c>
      <c r="AD330">
        <f t="shared" si="62"/>
        <v>1</v>
      </c>
    </row>
    <row r="331" spans="9:30" ht="15" customHeight="1">
      <c r="I331" s="69"/>
      <c r="J331" s="69"/>
      <c r="K331" s="69"/>
      <c r="L331" s="69"/>
      <c r="M331" s="69"/>
      <c r="N331" s="69" t="str">
        <f t="shared" si="54"/>
        <v/>
      </c>
      <c r="O331" s="69" t="str">
        <f t="shared" si="55"/>
        <v/>
      </c>
      <c r="P331" s="70" t="str">
        <f t="shared" si="56"/>
        <v/>
      </c>
      <c r="Q331" s="69" t="str">
        <f t="shared" si="57"/>
        <v/>
      </c>
      <c r="S331" s="71"/>
      <c r="Z331" t="str">
        <f t="shared" si="58"/>
        <v/>
      </c>
      <c r="AA331">
        <f t="shared" si="59"/>
        <v>0</v>
      </c>
      <c r="AB331">
        <f t="shared" si="60"/>
        <v>12</v>
      </c>
      <c r="AC331">
        <f t="shared" si="61"/>
        <v>33</v>
      </c>
      <c r="AD331">
        <f t="shared" si="62"/>
        <v>1</v>
      </c>
    </row>
    <row r="332" spans="9:30" ht="15" customHeight="1">
      <c r="I332" s="69"/>
      <c r="J332" s="69"/>
      <c r="K332" s="69"/>
      <c r="L332" s="69"/>
      <c r="M332" s="69"/>
      <c r="N332" s="69" t="str">
        <f t="shared" si="54"/>
        <v/>
      </c>
      <c r="O332" s="69" t="str">
        <f t="shared" si="55"/>
        <v/>
      </c>
      <c r="P332" s="70" t="str">
        <f t="shared" si="56"/>
        <v/>
      </c>
      <c r="Q332" s="69" t="str">
        <f t="shared" si="57"/>
        <v/>
      </c>
      <c r="S332" s="71"/>
      <c r="Z332" t="str">
        <f t="shared" si="58"/>
        <v/>
      </c>
      <c r="AA332">
        <f t="shared" si="59"/>
        <v>0</v>
      </c>
      <c r="AB332">
        <f t="shared" si="60"/>
        <v>12</v>
      </c>
      <c r="AC332">
        <f t="shared" si="61"/>
        <v>33</v>
      </c>
      <c r="AD332">
        <f t="shared" si="62"/>
        <v>1</v>
      </c>
    </row>
    <row r="333" spans="9:30" ht="15" customHeight="1">
      <c r="I333" s="69"/>
      <c r="J333" s="69"/>
      <c r="K333" s="69"/>
      <c r="L333" s="69"/>
      <c r="M333" s="69"/>
      <c r="N333" s="69" t="str">
        <f t="shared" si="54"/>
        <v/>
      </c>
      <c r="O333" s="69" t="str">
        <f t="shared" si="55"/>
        <v/>
      </c>
      <c r="P333" s="70" t="str">
        <f t="shared" si="56"/>
        <v/>
      </c>
      <c r="Q333" s="69" t="str">
        <f t="shared" si="57"/>
        <v/>
      </c>
      <c r="S333" s="71"/>
      <c r="Z333" t="str">
        <f t="shared" si="58"/>
        <v/>
      </c>
      <c r="AA333">
        <f t="shared" si="59"/>
        <v>0</v>
      </c>
      <c r="AB333">
        <f t="shared" si="60"/>
        <v>12</v>
      </c>
      <c r="AC333">
        <f t="shared" si="61"/>
        <v>33</v>
      </c>
      <c r="AD333">
        <f t="shared" si="62"/>
        <v>1</v>
      </c>
    </row>
    <row r="334" spans="9:30" ht="15" customHeight="1">
      <c r="I334" s="69"/>
      <c r="J334" s="69"/>
      <c r="K334" s="69"/>
      <c r="L334" s="69"/>
      <c r="M334" s="69"/>
      <c r="N334" s="69" t="str">
        <f t="shared" si="54"/>
        <v/>
      </c>
      <c r="O334" s="69" t="str">
        <f t="shared" si="55"/>
        <v/>
      </c>
      <c r="P334" s="70" t="str">
        <f t="shared" si="56"/>
        <v/>
      </c>
      <c r="Q334" s="69" t="str">
        <f t="shared" si="57"/>
        <v/>
      </c>
      <c r="S334" s="71"/>
      <c r="Z334" t="str">
        <f t="shared" si="58"/>
        <v/>
      </c>
      <c r="AA334">
        <f t="shared" si="59"/>
        <v>0</v>
      </c>
      <c r="AB334">
        <f t="shared" si="60"/>
        <v>12</v>
      </c>
      <c r="AC334">
        <f t="shared" si="61"/>
        <v>33</v>
      </c>
      <c r="AD334">
        <f t="shared" si="62"/>
        <v>1</v>
      </c>
    </row>
    <row r="335" spans="9:30" ht="15" customHeight="1">
      <c r="I335" s="69"/>
      <c r="J335" s="69"/>
      <c r="K335" s="69"/>
      <c r="L335" s="69"/>
      <c r="M335" s="69"/>
      <c r="N335" s="69" t="str">
        <f t="shared" si="54"/>
        <v/>
      </c>
      <c r="O335" s="69" t="str">
        <f t="shared" si="55"/>
        <v/>
      </c>
      <c r="P335" s="70" t="str">
        <f t="shared" si="56"/>
        <v/>
      </c>
      <c r="Q335" s="69" t="str">
        <f t="shared" si="57"/>
        <v/>
      </c>
      <c r="S335" s="71"/>
      <c r="Z335" t="str">
        <f t="shared" si="58"/>
        <v/>
      </c>
      <c r="AA335">
        <f t="shared" si="59"/>
        <v>0</v>
      </c>
      <c r="AB335">
        <f t="shared" si="60"/>
        <v>12</v>
      </c>
      <c r="AC335">
        <f t="shared" si="61"/>
        <v>33</v>
      </c>
      <c r="AD335">
        <f t="shared" si="62"/>
        <v>1</v>
      </c>
    </row>
    <row r="336" spans="9:30" ht="15" customHeight="1">
      <c r="I336" s="69"/>
      <c r="J336" s="69"/>
      <c r="K336" s="69"/>
      <c r="L336" s="69"/>
      <c r="M336" s="69"/>
      <c r="N336" s="69" t="str">
        <f t="shared" si="54"/>
        <v/>
      </c>
      <c r="O336" s="69" t="str">
        <f t="shared" si="55"/>
        <v/>
      </c>
      <c r="P336" s="70" t="str">
        <f t="shared" si="56"/>
        <v/>
      </c>
      <c r="Q336" s="69" t="str">
        <f t="shared" si="57"/>
        <v/>
      </c>
      <c r="S336" s="71"/>
      <c r="Z336" t="str">
        <f t="shared" si="58"/>
        <v/>
      </c>
      <c r="AA336">
        <f t="shared" si="59"/>
        <v>0</v>
      </c>
      <c r="AB336">
        <f t="shared" si="60"/>
        <v>12</v>
      </c>
      <c r="AC336">
        <f t="shared" si="61"/>
        <v>33</v>
      </c>
      <c r="AD336">
        <f t="shared" si="62"/>
        <v>1</v>
      </c>
    </row>
    <row r="337" spans="9:30" ht="15" customHeight="1">
      <c r="I337" s="69"/>
      <c r="J337" s="69"/>
      <c r="K337" s="69"/>
      <c r="L337" s="69"/>
      <c r="M337" s="69"/>
      <c r="N337" s="69" t="str">
        <f t="shared" si="54"/>
        <v/>
      </c>
      <c r="O337" s="69" t="str">
        <f t="shared" si="55"/>
        <v/>
      </c>
      <c r="P337" s="70" t="str">
        <f t="shared" si="56"/>
        <v/>
      </c>
      <c r="Q337" s="69" t="str">
        <f t="shared" si="57"/>
        <v/>
      </c>
      <c r="S337" s="71"/>
      <c r="Z337" t="str">
        <f t="shared" si="58"/>
        <v/>
      </c>
      <c r="AA337">
        <f t="shared" si="59"/>
        <v>0</v>
      </c>
      <c r="AB337">
        <f t="shared" si="60"/>
        <v>12</v>
      </c>
      <c r="AC337">
        <f t="shared" si="61"/>
        <v>33</v>
      </c>
      <c r="AD337">
        <f t="shared" si="62"/>
        <v>1</v>
      </c>
    </row>
    <row r="338" spans="9:30" ht="15" customHeight="1">
      <c r="I338" s="69"/>
      <c r="J338" s="69"/>
      <c r="K338" s="69"/>
      <c r="L338" s="69"/>
      <c r="M338" s="69"/>
      <c r="N338" s="69" t="str">
        <f t="shared" si="54"/>
        <v/>
      </c>
      <c r="O338" s="69" t="str">
        <f t="shared" si="55"/>
        <v/>
      </c>
      <c r="P338" s="70" t="str">
        <f t="shared" si="56"/>
        <v/>
      </c>
      <c r="Q338" s="69" t="str">
        <f t="shared" si="57"/>
        <v/>
      </c>
      <c r="S338" s="71"/>
      <c r="Z338" t="str">
        <f t="shared" si="58"/>
        <v/>
      </c>
      <c r="AA338">
        <f t="shared" si="59"/>
        <v>0</v>
      </c>
      <c r="AB338">
        <f t="shared" si="60"/>
        <v>12</v>
      </c>
      <c r="AC338">
        <f t="shared" si="61"/>
        <v>33</v>
      </c>
      <c r="AD338">
        <f t="shared" si="62"/>
        <v>1</v>
      </c>
    </row>
    <row r="339" spans="9:30" ht="15" customHeight="1">
      <c r="I339" s="69"/>
      <c r="J339" s="69"/>
      <c r="K339" s="69"/>
      <c r="L339" s="69"/>
      <c r="M339" s="69"/>
      <c r="N339" s="69" t="str">
        <f t="shared" si="54"/>
        <v/>
      </c>
      <c r="O339" s="69" t="str">
        <f t="shared" si="55"/>
        <v/>
      </c>
      <c r="P339" s="70" t="str">
        <f t="shared" si="56"/>
        <v/>
      </c>
      <c r="Q339" s="69" t="str">
        <f t="shared" si="57"/>
        <v/>
      </c>
      <c r="S339" s="71"/>
      <c r="Z339" t="str">
        <f t="shared" si="58"/>
        <v/>
      </c>
      <c r="AA339">
        <f t="shared" si="59"/>
        <v>0</v>
      </c>
      <c r="AB339">
        <f t="shared" si="60"/>
        <v>12</v>
      </c>
      <c r="AC339">
        <f t="shared" si="61"/>
        <v>33</v>
      </c>
      <c r="AD339">
        <f t="shared" si="62"/>
        <v>1</v>
      </c>
    </row>
    <row r="340" spans="9:30" ht="15" customHeight="1">
      <c r="I340" s="69"/>
      <c r="J340" s="69"/>
      <c r="K340" s="69"/>
      <c r="L340" s="69"/>
      <c r="M340" s="69"/>
      <c r="N340" s="69" t="str">
        <f t="shared" si="54"/>
        <v/>
      </c>
      <c r="O340" s="69" t="str">
        <f t="shared" si="55"/>
        <v/>
      </c>
      <c r="P340" s="70" t="str">
        <f t="shared" si="56"/>
        <v/>
      </c>
      <c r="Q340" s="69" t="str">
        <f t="shared" si="57"/>
        <v/>
      </c>
      <c r="S340" s="71"/>
      <c r="Z340" t="str">
        <f t="shared" si="58"/>
        <v/>
      </c>
      <c r="AA340">
        <f t="shared" si="59"/>
        <v>0</v>
      </c>
      <c r="AB340">
        <f t="shared" si="60"/>
        <v>12</v>
      </c>
      <c r="AC340">
        <f t="shared" si="61"/>
        <v>33</v>
      </c>
      <c r="AD340">
        <f t="shared" si="62"/>
        <v>1</v>
      </c>
    </row>
    <row r="341" spans="9:30" ht="15" customHeight="1">
      <c r="I341" s="69"/>
      <c r="J341" s="69"/>
      <c r="K341" s="69"/>
      <c r="L341" s="69"/>
      <c r="M341" s="69"/>
      <c r="N341" s="69" t="str">
        <f t="shared" si="54"/>
        <v/>
      </c>
      <c r="O341" s="69" t="str">
        <f t="shared" si="55"/>
        <v/>
      </c>
      <c r="P341" s="70" t="str">
        <f t="shared" si="56"/>
        <v/>
      </c>
      <c r="Q341" s="69" t="str">
        <f t="shared" si="57"/>
        <v/>
      </c>
      <c r="S341" s="71"/>
      <c r="Z341" t="str">
        <f t="shared" si="58"/>
        <v/>
      </c>
      <c r="AA341">
        <f t="shared" si="59"/>
        <v>0</v>
      </c>
      <c r="AB341">
        <f t="shared" si="60"/>
        <v>12</v>
      </c>
      <c r="AC341">
        <f t="shared" si="61"/>
        <v>33</v>
      </c>
      <c r="AD341">
        <f t="shared" si="62"/>
        <v>1</v>
      </c>
    </row>
    <row r="342" spans="9:30" ht="15" customHeight="1">
      <c r="I342" s="69"/>
      <c r="J342" s="69"/>
      <c r="K342" s="69"/>
      <c r="L342" s="69"/>
      <c r="M342" s="69"/>
      <c r="N342" s="69" t="str">
        <f t="shared" si="54"/>
        <v/>
      </c>
      <c r="O342" s="69" t="str">
        <f t="shared" si="55"/>
        <v/>
      </c>
      <c r="P342" s="70" t="str">
        <f t="shared" si="56"/>
        <v/>
      </c>
      <c r="Q342" s="69" t="str">
        <f t="shared" si="57"/>
        <v/>
      </c>
      <c r="S342" s="71"/>
      <c r="Z342" t="str">
        <f t="shared" si="58"/>
        <v/>
      </c>
      <c r="AA342">
        <f t="shared" si="59"/>
        <v>0</v>
      </c>
      <c r="AB342">
        <f t="shared" si="60"/>
        <v>12</v>
      </c>
      <c r="AC342">
        <f t="shared" si="61"/>
        <v>33</v>
      </c>
      <c r="AD342">
        <f t="shared" si="62"/>
        <v>1</v>
      </c>
    </row>
    <row r="343" spans="9:30" ht="15" customHeight="1">
      <c r="I343" s="69"/>
      <c r="J343" s="69"/>
      <c r="K343" s="69"/>
      <c r="L343" s="69"/>
      <c r="M343" s="69"/>
      <c r="N343" s="69" t="str">
        <f t="shared" si="54"/>
        <v/>
      </c>
      <c r="O343" s="69" t="str">
        <f t="shared" si="55"/>
        <v/>
      </c>
      <c r="P343" s="70" t="str">
        <f t="shared" si="56"/>
        <v/>
      </c>
      <c r="Q343" s="69" t="str">
        <f t="shared" si="57"/>
        <v/>
      </c>
      <c r="S343" s="71"/>
      <c r="Z343" t="str">
        <f t="shared" si="58"/>
        <v/>
      </c>
      <c r="AA343">
        <f t="shared" si="59"/>
        <v>0</v>
      </c>
      <c r="AB343">
        <f t="shared" si="60"/>
        <v>12</v>
      </c>
      <c r="AC343">
        <f t="shared" si="61"/>
        <v>33</v>
      </c>
      <c r="AD343">
        <f t="shared" si="62"/>
        <v>1</v>
      </c>
    </row>
    <row r="344" spans="9:30" ht="15" customHeight="1">
      <c r="I344" s="69"/>
      <c r="J344" s="69"/>
      <c r="K344" s="69"/>
      <c r="L344" s="69"/>
      <c r="M344" s="69"/>
      <c r="N344" s="69" t="str">
        <f t="shared" si="54"/>
        <v/>
      </c>
      <c r="O344" s="69" t="str">
        <f t="shared" si="55"/>
        <v/>
      </c>
      <c r="P344" s="70" t="str">
        <f t="shared" si="56"/>
        <v/>
      </c>
      <c r="Q344" s="69" t="str">
        <f t="shared" si="57"/>
        <v/>
      </c>
      <c r="S344" s="71"/>
      <c r="Z344" t="str">
        <f t="shared" si="58"/>
        <v/>
      </c>
      <c r="AA344">
        <f t="shared" si="59"/>
        <v>0</v>
      </c>
      <c r="AB344">
        <f t="shared" si="60"/>
        <v>12</v>
      </c>
      <c r="AC344">
        <f t="shared" si="61"/>
        <v>33</v>
      </c>
      <c r="AD344">
        <f t="shared" si="62"/>
        <v>1</v>
      </c>
    </row>
    <row r="345" spans="9:30" ht="15" customHeight="1">
      <c r="I345" s="69"/>
      <c r="J345" s="69"/>
      <c r="K345" s="69"/>
      <c r="L345" s="69"/>
      <c r="M345" s="69"/>
      <c r="N345" s="69" t="str">
        <f t="shared" si="54"/>
        <v/>
      </c>
      <c r="O345" s="69" t="str">
        <f t="shared" si="55"/>
        <v/>
      </c>
      <c r="P345" s="70" t="str">
        <f t="shared" si="56"/>
        <v/>
      </c>
      <c r="Q345" s="69" t="str">
        <f t="shared" si="57"/>
        <v/>
      </c>
      <c r="S345" s="71"/>
      <c r="Z345" t="str">
        <f t="shared" si="58"/>
        <v/>
      </c>
      <c r="AA345">
        <f t="shared" si="59"/>
        <v>0</v>
      </c>
      <c r="AB345">
        <f t="shared" si="60"/>
        <v>12</v>
      </c>
      <c r="AC345">
        <f t="shared" si="61"/>
        <v>33</v>
      </c>
      <c r="AD345">
        <f t="shared" si="62"/>
        <v>1</v>
      </c>
    </row>
    <row r="346" spans="9:30" ht="15" customHeight="1">
      <c r="I346" s="69"/>
      <c r="J346" s="69"/>
      <c r="K346" s="69"/>
      <c r="L346" s="69"/>
      <c r="M346" s="69"/>
      <c r="N346" s="69" t="str">
        <f t="shared" si="54"/>
        <v/>
      </c>
      <c r="O346" s="69" t="str">
        <f t="shared" si="55"/>
        <v/>
      </c>
      <c r="P346" s="70" t="str">
        <f t="shared" si="56"/>
        <v/>
      </c>
      <c r="Q346" s="69" t="str">
        <f t="shared" si="57"/>
        <v/>
      </c>
      <c r="S346" s="71"/>
      <c r="Z346" t="str">
        <f t="shared" si="58"/>
        <v/>
      </c>
      <c r="AA346">
        <f t="shared" si="59"/>
        <v>0</v>
      </c>
      <c r="AB346">
        <f t="shared" si="60"/>
        <v>12</v>
      </c>
      <c r="AC346">
        <f t="shared" si="61"/>
        <v>33</v>
      </c>
      <c r="AD346">
        <f t="shared" si="62"/>
        <v>1</v>
      </c>
    </row>
    <row r="347" spans="9:30" ht="15" customHeight="1">
      <c r="I347" s="69"/>
      <c r="J347" s="69"/>
      <c r="K347" s="69"/>
      <c r="L347" s="69"/>
      <c r="M347" s="69"/>
      <c r="N347" s="69" t="str">
        <f t="shared" si="54"/>
        <v/>
      </c>
      <c r="O347" s="69" t="str">
        <f t="shared" si="55"/>
        <v/>
      </c>
      <c r="P347" s="70" t="str">
        <f t="shared" si="56"/>
        <v/>
      </c>
      <c r="Q347" s="69" t="str">
        <f t="shared" si="57"/>
        <v/>
      </c>
      <c r="S347" s="71"/>
      <c r="Z347" t="str">
        <f t="shared" si="58"/>
        <v/>
      </c>
      <c r="AA347">
        <f t="shared" si="59"/>
        <v>0</v>
      </c>
      <c r="AB347">
        <f t="shared" si="60"/>
        <v>12</v>
      </c>
      <c r="AC347">
        <f t="shared" si="61"/>
        <v>33</v>
      </c>
      <c r="AD347">
        <f t="shared" si="62"/>
        <v>1</v>
      </c>
    </row>
    <row r="348" spans="9:30" ht="15" customHeight="1">
      <c r="I348" s="69"/>
      <c r="J348" s="69"/>
      <c r="K348" s="69"/>
      <c r="L348" s="69"/>
      <c r="M348" s="69"/>
      <c r="N348" s="69" t="str">
        <f t="shared" si="54"/>
        <v/>
      </c>
      <c r="O348" s="69" t="str">
        <f t="shared" si="55"/>
        <v/>
      </c>
      <c r="P348" s="70" t="str">
        <f t="shared" si="56"/>
        <v/>
      </c>
      <c r="Q348" s="69" t="str">
        <f t="shared" si="57"/>
        <v/>
      </c>
      <c r="S348" s="71"/>
      <c r="Z348" t="str">
        <f t="shared" si="58"/>
        <v/>
      </c>
      <c r="AA348">
        <f t="shared" si="59"/>
        <v>0</v>
      </c>
      <c r="AB348">
        <f t="shared" si="60"/>
        <v>12</v>
      </c>
      <c r="AC348">
        <f t="shared" si="61"/>
        <v>33</v>
      </c>
      <c r="AD348">
        <f t="shared" si="62"/>
        <v>1</v>
      </c>
    </row>
    <row r="349" spans="9:30" ht="15" customHeight="1">
      <c r="I349" s="69"/>
      <c r="J349" s="69"/>
      <c r="K349" s="69"/>
      <c r="L349" s="69"/>
      <c r="M349" s="69"/>
      <c r="N349" s="69" t="str">
        <f t="shared" si="54"/>
        <v/>
      </c>
      <c r="O349" s="69" t="str">
        <f t="shared" si="55"/>
        <v/>
      </c>
      <c r="P349" s="70" t="str">
        <f t="shared" si="56"/>
        <v/>
      </c>
      <c r="Q349" s="69" t="str">
        <f t="shared" si="57"/>
        <v/>
      </c>
      <c r="S349" s="71"/>
      <c r="Z349" t="str">
        <f t="shared" si="58"/>
        <v/>
      </c>
      <c r="AA349">
        <f t="shared" si="59"/>
        <v>0</v>
      </c>
      <c r="AB349">
        <f t="shared" si="60"/>
        <v>12</v>
      </c>
      <c r="AC349">
        <f t="shared" si="61"/>
        <v>33</v>
      </c>
      <c r="AD349">
        <f t="shared" si="62"/>
        <v>1</v>
      </c>
    </row>
    <row r="350" spans="9:30" ht="15" customHeight="1">
      <c r="I350" s="69"/>
      <c r="J350" s="69"/>
      <c r="K350" s="69"/>
      <c r="L350" s="69"/>
      <c r="M350" s="69"/>
      <c r="N350" s="69" t="str">
        <f t="shared" si="54"/>
        <v/>
      </c>
      <c r="O350" s="69" t="str">
        <f t="shared" si="55"/>
        <v/>
      </c>
      <c r="P350" s="70" t="str">
        <f t="shared" si="56"/>
        <v/>
      </c>
      <c r="Q350" s="69" t="str">
        <f t="shared" si="57"/>
        <v/>
      </c>
      <c r="S350" s="71"/>
      <c r="Z350" t="str">
        <f t="shared" si="58"/>
        <v/>
      </c>
      <c r="AA350">
        <f t="shared" si="59"/>
        <v>0</v>
      </c>
      <c r="AB350">
        <f t="shared" si="60"/>
        <v>12</v>
      </c>
      <c r="AC350">
        <f t="shared" si="61"/>
        <v>33</v>
      </c>
      <c r="AD350">
        <f t="shared" si="62"/>
        <v>1</v>
      </c>
    </row>
    <row r="351" spans="9:30" ht="15" customHeight="1">
      <c r="I351" s="69"/>
      <c r="J351" s="69"/>
      <c r="K351" s="69"/>
      <c r="L351" s="69"/>
      <c r="M351" s="69"/>
      <c r="N351" s="69" t="str">
        <f t="shared" si="54"/>
        <v/>
      </c>
      <c r="O351" s="69" t="str">
        <f t="shared" si="55"/>
        <v/>
      </c>
      <c r="P351" s="70" t="str">
        <f t="shared" si="56"/>
        <v/>
      </c>
      <c r="Q351" s="69" t="str">
        <f t="shared" si="57"/>
        <v/>
      </c>
      <c r="S351" s="71"/>
      <c r="Z351" t="str">
        <f t="shared" si="58"/>
        <v/>
      </c>
      <c r="AA351">
        <f t="shared" si="59"/>
        <v>0</v>
      </c>
      <c r="AB351">
        <f t="shared" si="60"/>
        <v>12</v>
      </c>
      <c r="AC351">
        <f t="shared" si="61"/>
        <v>33</v>
      </c>
      <c r="AD351">
        <f t="shared" si="62"/>
        <v>1</v>
      </c>
    </row>
    <row r="352" spans="9:30" ht="15" customHeight="1">
      <c r="I352" s="69"/>
      <c r="J352" s="69"/>
      <c r="K352" s="69"/>
      <c r="L352" s="69"/>
      <c r="M352" s="69"/>
      <c r="N352" s="69" t="str">
        <f t="shared" si="54"/>
        <v/>
      </c>
      <c r="O352" s="69" t="str">
        <f t="shared" si="55"/>
        <v/>
      </c>
      <c r="P352" s="70" t="str">
        <f t="shared" si="56"/>
        <v/>
      </c>
      <c r="Q352" s="69" t="str">
        <f t="shared" si="57"/>
        <v/>
      </c>
      <c r="S352" s="71"/>
      <c r="Z352" t="str">
        <f t="shared" si="58"/>
        <v/>
      </c>
      <c r="AA352">
        <f t="shared" si="59"/>
        <v>0</v>
      </c>
      <c r="AB352">
        <f t="shared" si="60"/>
        <v>12</v>
      </c>
      <c r="AC352">
        <f t="shared" si="61"/>
        <v>33</v>
      </c>
      <c r="AD352">
        <f t="shared" si="62"/>
        <v>1</v>
      </c>
    </row>
    <row r="353" spans="9:30" ht="15" customHeight="1">
      <c r="I353" s="69"/>
      <c r="J353" s="69"/>
      <c r="K353" s="69"/>
      <c r="L353" s="69"/>
      <c r="M353" s="69"/>
      <c r="N353" s="69" t="str">
        <f t="shared" si="54"/>
        <v/>
      </c>
      <c r="O353" s="69" t="str">
        <f t="shared" si="55"/>
        <v/>
      </c>
      <c r="P353" s="70" t="str">
        <f t="shared" si="56"/>
        <v/>
      </c>
      <c r="Q353" s="69" t="str">
        <f t="shared" si="57"/>
        <v/>
      </c>
      <c r="S353" s="71"/>
      <c r="Z353" t="str">
        <f t="shared" si="58"/>
        <v/>
      </c>
      <c r="AA353">
        <f t="shared" si="59"/>
        <v>0</v>
      </c>
      <c r="AB353">
        <f t="shared" si="60"/>
        <v>12</v>
      </c>
      <c r="AC353">
        <f t="shared" si="61"/>
        <v>33</v>
      </c>
      <c r="AD353">
        <f t="shared" si="62"/>
        <v>1</v>
      </c>
    </row>
    <row r="354" spans="9:30" ht="15" customHeight="1">
      <c r="I354" s="69"/>
      <c r="J354" s="69"/>
      <c r="K354" s="69"/>
      <c r="L354" s="69"/>
      <c r="M354" s="69"/>
      <c r="N354" s="69" t="str">
        <f t="shared" si="54"/>
        <v/>
      </c>
      <c r="O354" s="69" t="str">
        <f t="shared" si="55"/>
        <v/>
      </c>
      <c r="P354" s="70" t="str">
        <f t="shared" si="56"/>
        <v/>
      </c>
      <c r="Q354" s="69" t="str">
        <f t="shared" si="57"/>
        <v/>
      </c>
      <c r="S354" s="71"/>
      <c r="Z354" t="str">
        <f t="shared" si="58"/>
        <v/>
      </c>
      <c r="AA354">
        <f t="shared" si="59"/>
        <v>0</v>
      </c>
      <c r="AB354">
        <f t="shared" si="60"/>
        <v>12</v>
      </c>
      <c r="AC354">
        <f t="shared" si="61"/>
        <v>33</v>
      </c>
      <c r="AD354">
        <f t="shared" si="62"/>
        <v>1</v>
      </c>
    </row>
    <row r="355" spans="9:30" ht="15" customHeight="1">
      <c r="I355" s="69"/>
      <c r="J355" s="69"/>
      <c r="K355" s="69"/>
      <c r="L355" s="69"/>
      <c r="M355" s="69"/>
      <c r="N355" s="69" t="str">
        <f t="shared" si="54"/>
        <v/>
      </c>
      <c r="O355" s="69" t="str">
        <f t="shared" si="55"/>
        <v/>
      </c>
      <c r="P355" s="70" t="str">
        <f t="shared" si="56"/>
        <v/>
      </c>
      <c r="Q355" s="69" t="str">
        <f t="shared" si="57"/>
        <v/>
      </c>
      <c r="S355" s="71"/>
      <c r="Z355" t="str">
        <f t="shared" si="58"/>
        <v/>
      </c>
      <c r="AA355">
        <f t="shared" si="59"/>
        <v>0</v>
      </c>
      <c r="AB355">
        <f t="shared" si="60"/>
        <v>12</v>
      </c>
      <c r="AC355">
        <f t="shared" si="61"/>
        <v>33</v>
      </c>
      <c r="AD355">
        <f t="shared" si="62"/>
        <v>1</v>
      </c>
    </row>
    <row r="356" spans="9:30" ht="15" customHeight="1">
      <c r="I356" s="69"/>
      <c r="J356" s="69"/>
      <c r="K356" s="69"/>
      <c r="L356" s="69"/>
      <c r="M356" s="69"/>
      <c r="N356" s="69" t="str">
        <f t="shared" si="54"/>
        <v/>
      </c>
      <c r="O356" s="69" t="str">
        <f t="shared" si="55"/>
        <v/>
      </c>
      <c r="P356" s="70" t="str">
        <f t="shared" si="56"/>
        <v/>
      </c>
      <c r="Q356" s="69" t="str">
        <f t="shared" si="57"/>
        <v/>
      </c>
      <c r="S356" s="71"/>
      <c r="Z356" t="str">
        <f t="shared" si="58"/>
        <v/>
      </c>
      <c r="AA356">
        <f t="shared" si="59"/>
        <v>0</v>
      </c>
      <c r="AB356">
        <f t="shared" si="60"/>
        <v>12</v>
      </c>
      <c r="AC356">
        <f t="shared" si="61"/>
        <v>33</v>
      </c>
      <c r="AD356">
        <f t="shared" si="62"/>
        <v>1</v>
      </c>
    </row>
    <row r="357" spans="9:30" ht="15" customHeight="1">
      <c r="I357" s="69"/>
      <c r="J357" s="69"/>
      <c r="K357" s="69"/>
      <c r="L357" s="69"/>
      <c r="M357" s="69"/>
      <c r="N357" s="69" t="str">
        <f t="shared" si="54"/>
        <v/>
      </c>
      <c r="O357" s="69" t="str">
        <f t="shared" si="55"/>
        <v/>
      </c>
      <c r="P357" s="70" t="str">
        <f t="shared" si="56"/>
        <v/>
      </c>
      <c r="Q357" s="69" t="str">
        <f t="shared" si="57"/>
        <v/>
      </c>
      <c r="S357" s="71"/>
      <c r="Z357" t="str">
        <f t="shared" si="58"/>
        <v/>
      </c>
      <c r="AA357">
        <f t="shared" si="59"/>
        <v>0</v>
      </c>
      <c r="AB357">
        <f t="shared" si="60"/>
        <v>12</v>
      </c>
      <c r="AC357">
        <f t="shared" si="61"/>
        <v>33</v>
      </c>
      <c r="AD357">
        <f t="shared" si="62"/>
        <v>1</v>
      </c>
    </row>
    <row r="358" spans="9:30" ht="15" customHeight="1">
      <c r="I358" s="69"/>
      <c r="J358" s="69"/>
      <c r="K358" s="69"/>
      <c r="L358" s="69"/>
      <c r="M358" s="69"/>
      <c r="N358" s="69" t="str">
        <f t="shared" si="54"/>
        <v/>
      </c>
      <c r="O358" s="69" t="str">
        <f t="shared" si="55"/>
        <v/>
      </c>
      <c r="P358" s="70" t="str">
        <f t="shared" si="56"/>
        <v/>
      </c>
      <c r="Q358" s="69" t="str">
        <f t="shared" si="57"/>
        <v/>
      </c>
      <c r="S358" s="71"/>
      <c r="Z358" t="str">
        <f t="shared" si="58"/>
        <v/>
      </c>
      <c r="AA358">
        <f t="shared" si="59"/>
        <v>0</v>
      </c>
      <c r="AB358">
        <f t="shared" si="60"/>
        <v>12</v>
      </c>
      <c r="AC358">
        <f t="shared" si="61"/>
        <v>33</v>
      </c>
      <c r="AD358">
        <f t="shared" si="62"/>
        <v>1</v>
      </c>
    </row>
    <row r="359" spans="9:30" ht="15" customHeight="1">
      <c r="I359" s="69"/>
      <c r="J359" s="69"/>
      <c r="K359" s="69"/>
      <c r="L359" s="69"/>
      <c r="M359" s="69"/>
      <c r="N359" s="69" t="str">
        <f t="shared" si="54"/>
        <v/>
      </c>
      <c r="O359" s="69" t="str">
        <f t="shared" si="55"/>
        <v/>
      </c>
      <c r="P359" s="70" t="str">
        <f t="shared" si="56"/>
        <v/>
      </c>
      <c r="Q359" s="69" t="str">
        <f t="shared" si="57"/>
        <v/>
      </c>
      <c r="S359" s="71"/>
      <c r="Z359" t="str">
        <f t="shared" si="58"/>
        <v/>
      </c>
      <c r="AA359">
        <f t="shared" si="59"/>
        <v>0</v>
      </c>
      <c r="AB359">
        <f t="shared" si="60"/>
        <v>12</v>
      </c>
      <c r="AC359">
        <f t="shared" si="61"/>
        <v>33</v>
      </c>
      <c r="AD359">
        <f t="shared" si="62"/>
        <v>1</v>
      </c>
    </row>
    <row r="360" spans="9:30" ht="15" customHeight="1">
      <c r="I360" s="69"/>
      <c r="J360" s="69"/>
      <c r="K360" s="69"/>
      <c r="L360" s="69"/>
      <c r="M360" s="69"/>
      <c r="N360" s="69" t="str">
        <f t="shared" si="54"/>
        <v/>
      </c>
      <c r="O360" s="69" t="str">
        <f t="shared" si="55"/>
        <v/>
      </c>
      <c r="P360" s="70" t="str">
        <f t="shared" si="56"/>
        <v/>
      </c>
      <c r="Q360" s="69" t="str">
        <f t="shared" si="57"/>
        <v/>
      </c>
      <c r="S360" s="71"/>
      <c r="Z360" t="str">
        <f t="shared" si="58"/>
        <v/>
      </c>
      <c r="AA360">
        <f t="shared" si="59"/>
        <v>0</v>
      </c>
      <c r="AB360">
        <f t="shared" si="60"/>
        <v>12</v>
      </c>
      <c r="AC360">
        <f t="shared" si="61"/>
        <v>33</v>
      </c>
      <c r="AD360">
        <f t="shared" si="62"/>
        <v>1</v>
      </c>
    </row>
    <row r="361" spans="9:30" ht="15" customHeight="1">
      <c r="I361" s="69"/>
      <c r="J361" s="69"/>
      <c r="K361" s="69"/>
      <c r="L361" s="69"/>
      <c r="M361" s="69"/>
      <c r="N361" s="69" t="str">
        <f t="shared" si="54"/>
        <v/>
      </c>
      <c r="O361" s="69" t="str">
        <f t="shared" si="55"/>
        <v/>
      </c>
      <c r="P361" s="70" t="str">
        <f t="shared" si="56"/>
        <v/>
      </c>
      <c r="Q361" s="69" t="str">
        <f t="shared" si="57"/>
        <v/>
      </c>
      <c r="S361" s="71"/>
      <c r="Z361" t="str">
        <f t="shared" si="58"/>
        <v/>
      </c>
      <c r="AA361">
        <f t="shared" si="59"/>
        <v>0</v>
      </c>
      <c r="AB361">
        <f t="shared" si="60"/>
        <v>12</v>
      </c>
      <c r="AC361">
        <f t="shared" si="61"/>
        <v>33</v>
      </c>
      <c r="AD361">
        <f t="shared" si="62"/>
        <v>1</v>
      </c>
    </row>
    <row r="362" spans="9:30" ht="15" customHeight="1">
      <c r="I362" s="69"/>
      <c r="J362" s="69"/>
      <c r="K362" s="69"/>
      <c r="L362" s="69"/>
      <c r="M362" s="69"/>
      <c r="N362" s="69" t="str">
        <f t="shared" si="54"/>
        <v/>
      </c>
      <c r="O362" s="69" t="str">
        <f t="shared" si="55"/>
        <v/>
      </c>
      <c r="P362" s="70" t="str">
        <f t="shared" si="56"/>
        <v/>
      </c>
      <c r="Q362" s="69" t="str">
        <f t="shared" si="57"/>
        <v/>
      </c>
      <c r="S362" s="71"/>
      <c r="Z362" t="str">
        <f t="shared" si="58"/>
        <v/>
      </c>
      <c r="AA362">
        <f t="shared" si="59"/>
        <v>0</v>
      </c>
      <c r="AB362">
        <f t="shared" si="60"/>
        <v>12</v>
      </c>
      <c r="AC362">
        <f t="shared" si="61"/>
        <v>33</v>
      </c>
      <c r="AD362">
        <f t="shared" si="62"/>
        <v>1</v>
      </c>
    </row>
    <row r="363" spans="9:30" ht="15" customHeight="1">
      <c r="I363" s="69"/>
      <c r="J363" s="69"/>
      <c r="K363" s="69"/>
      <c r="L363" s="69"/>
      <c r="M363" s="69"/>
      <c r="N363" s="69" t="str">
        <f t="shared" si="54"/>
        <v/>
      </c>
      <c r="O363" s="69" t="str">
        <f t="shared" si="55"/>
        <v/>
      </c>
      <c r="P363" s="70" t="str">
        <f t="shared" si="56"/>
        <v/>
      </c>
      <c r="Q363" s="69" t="str">
        <f t="shared" si="57"/>
        <v/>
      </c>
      <c r="S363" s="71"/>
      <c r="Z363" t="str">
        <f t="shared" si="58"/>
        <v/>
      </c>
      <c r="AA363">
        <f t="shared" si="59"/>
        <v>0</v>
      </c>
      <c r="AB363">
        <f t="shared" si="60"/>
        <v>12</v>
      </c>
      <c r="AC363">
        <f t="shared" si="61"/>
        <v>33</v>
      </c>
      <c r="AD363">
        <f t="shared" si="62"/>
        <v>1</v>
      </c>
    </row>
    <row r="364" spans="9:30" ht="15" customHeight="1">
      <c r="I364" s="69"/>
      <c r="J364" s="69"/>
      <c r="K364" s="69"/>
      <c r="L364" s="69"/>
      <c r="M364" s="69"/>
      <c r="N364" s="69" t="str">
        <f t="shared" si="54"/>
        <v/>
      </c>
      <c r="O364" s="69" t="str">
        <f t="shared" si="55"/>
        <v/>
      </c>
      <c r="P364" s="70" t="str">
        <f t="shared" si="56"/>
        <v/>
      </c>
      <c r="Q364" s="69" t="str">
        <f t="shared" si="57"/>
        <v/>
      </c>
      <c r="S364" s="71"/>
      <c r="Z364" t="str">
        <f t="shared" si="58"/>
        <v/>
      </c>
      <c r="AA364">
        <f t="shared" si="59"/>
        <v>0</v>
      </c>
      <c r="AB364">
        <f t="shared" si="60"/>
        <v>12</v>
      </c>
      <c r="AC364">
        <f t="shared" si="61"/>
        <v>33</v>
      </c>
      <c r="AD364">
        <f t="shared" si="62"/>
        <v>1</v>
      </c>
    </row>
    <row r="365" spans="9:30" ht="15" customHeight="1">
      <c r="I365" s="69"/>
      <c r="J365" s="69"/>
      <c r="K365" s="69"/>
      <c r="L365" s="69"/>
      <c r="M365" s="69"/>
      <c r="N365" s="69" t="str">
        <f t="shared" si="54"/>
        <v/>
      </c>
      <c r="O365" s="69" t="str">
        <f t="shared" si="55"/>
        <v/>
      </c>
      <c r="P365" s="70" t="str">
        <f t="shared" si="56"/>
        <v/>
      </c>
      <c r="Q365" s="69" t="str">
        <f t="shared" si="57"/>
        <v/>
      </c>
      <c r="S365" s="71"/>
      <c r="Z365" t="str">
        <f t="shared" si="58"/>
        <v/>
      </c>
      <c r="AA365">
        <f t="shared" si="59"/>
        <v>0</v>
      </c>
      <c r="AB365">
        <f t="shared" si="60"/>
        <v>12</v>
      </c>
      <c r="AC365">
        <f t="shared" si="61"/>
        <v>33</v>
      </c>
      <c r="AD365">
        <f t="shared" si="62"/>
        <v>1</v>
      </c>
    </row>
    <row r="366" spans="9:30" ht="15" customHeight="1">
      <c r="I366" s="69"/>
      <c r="J366" s="69"/>
      <c r="K366" s="69"/>
      <c r="L366" s="69"/>
      <c r="M366" s="69"/>
      <c r="N366" s="69" t="str">
        <f t="shared" si="54"/>
        <v/>
      </c>
      <c r="O366" s="69" t="str">
        <f t="shared" si="55"/>
        <v/>
      </c>
      <c r="P366" s="70" t="str">
        <f t="shared" si="56"/>
        <v/>
      </c>
      <c r="Q366" s="69" t="str">
        <f t="shared" si="57"/>
        <v/>
      </c>
      <c r="S366" s="71"/>
      <c r="Z366" t="str">
        <f t="shared" si="58"/>
        <v/>
      </c>
      <c r="AA366">
        <f t="shared" si="59"/>
        <v>0</v>
      </c>
      <c r="AB366">
        <f t="shared" si="60"/>
        <v>12</v>
      </c>
      <c r="AC366">
        <f t="shared" si="61"/>
        <v>33</v>
      </c>
      <c r="AD366">
        <f t="shared" si="62"/>
        <v>1</v>
      </c>
    </row>
    <row r="367" spans="9:30" ht="15" customHeight="1">
      <c r="I367" s="69"/>
      <c r="J367" s="69"/>
      <c r="K367" s="69"/>
      <c r="L367" s="69"/>
      <c r="M367" s="69"/>
      <c r="N367" s="69" t="str">
        <f t="shared" si="54"/>
        <v/>
      </c>
      <c r="O367" s="69" t="str">
        <f t="shared" si="55"/>
        <v/>
      </c>
      <c r="P367" s="70" t="str">
        <f t="shared" si="56"/>
        <v/>
      </c>
      <c r="Q367" s="69" t="str">
        <f t="shared" si="57"/>
        <v/>
      </c>
      <c r="S367" s="71"/>
      <c r="Z367" t="str">
        <f t="shared" si="58"/>
        <v/>
      </c>
      <c r="AA367">
        <f t="shared" si="59"/>
        <v>0</v>
      </c>
      <c r="AB367">
        <f t="shared" si="60"/>
        <v>12</v>
      </c>
      <c r="AC367">
        <f t="shared" si="61"/>
        <v>33</v>
      </c>
      <c r="AD367">
        <f t="shared" si="62"/>
        <v>1</v>
      </c>
    </row>
    <row r="368" spans="9:30" ht="15" customHeight="1">
      <c r="I368" s="69"/>
      <c r="J368" s="69"/>
      <c r="K368" s="69"/>
      <c r="L368" s="69"/>
      <c r="M368" s="69"/>
      <c r="N368" s="69" t="str">
        <f t="shared" si="54"/>
        <v/>
      </c>
      <c r="O368" s="69" t="str">
        <f t="shared" si="55"/>
        <v/>
      </c>
      <c r="P368" s="70" t="str">
        <f t="shared" si="56"/>
        <v/>
      </c>
      <c r="Q368" s="69" t="str">
        <f t="shared" si="57"/>
        <v/>
      </c>
      <c r="S368" s="71"/>
      <c r="Z368" t="str">
        <f t="shared" si="58"/>
        <v/>
      </c>
      <c r="AA368">
        <f t="shared" si="59"/>
        <v>0</v>
      </c>
      <c r="AB368">
        <f t="shared" si="60"/>
        <v>12</v>
      </c>
      <c r="AC368">
        <f t="shared" si="61"/>
        <v>33</v>
      </c>
      <c r="AD368">
        <f t="shared" si="62"/>
        <v>1</v>
      </c>
    </row>
    <row r="369" spans="9:30" ht="15" customHeight="1">
      <c r="I369" s="69"/>
      <c r="J369" s="69"/>
      <c r="K369" s="69"/>
      <c r="L369" s="69"/>
      <c r="M369" s="69"/>
      <c r="N369" s="69" t="str">
        <f t="shared" si="54"/>
        <v/>
      </c>
      <c r="O369" s="69" t="str">
        <f t="shared" si="55"/>
        <v/>
      </c>
      <c r="P369" s="70" t="str">
        <f t="shared" si="56"/>
        <v/>
      </c>
      <c r="Q369" s="69" t="str">
        <f t="shared" si="57"/>
        <v/>
      </c>
      <c r="S369" s="71"/>
      <c r="Z369" t="str">
        <f t="shared" si="58"/>
        <v/>
      </c>
      <c r="AA369">
        <f t="shared" si="59"/>
        <v>0</v>
      </c>
      <c r="AB369">
        <f t="shared" si="60"/>
        <v>12</v>
      </c>
      <c r="AC369">
        <f t="shared" si="61"/>
        <v>33</v>
      </c>
      <c r="AD369">
        <f t="shared" si="62"/>
        <v>1</v>
      </c>
    </row>
    <row r="370" spans="9:30" ht="15" customHeight="1">
      <c r="I370" s="69"/>
      <c r="J370" s="69"/>
      <c r="K370" s="69"/>
      <c r="L370" s="69"/>
      <c r="M370" s="69"/>
      <c r="N370" s="69" t="str">
        <f t="shared" si="54"/>
        <v/>
      </c>
      <c r="O370" s="69" t="str">
        <f t="shared" si="55"/>
        <v/>
      </c>
      <c r="P370" s="70" t="str">
        <f t="shared" si="56"/>
        <v/>
      </c>
      <c r="Q370" s="69" t="str">
        <f t="shared" si="57"/>
        <v/>
      </c>
      <c r="S370" s="71"/>
      <c r="Z370" t="str">
        <f t="shared" si="58"/>
        <v/>
      </c>
      <c r="AA370">
        <f t="shared" si="59"/>
        <v>0</v>
      </c>
      <c r="AB370">
        <f t="shared" si="60"/>
        <v>12</v>
      </c>
      <c r="AC370">
        <f t="shared" si="61"/>
        <v>33</v>
      </c>
      <c r="AD370">
        <f t="shared" si="62"/>
        <v>1</v>
      </c>
    </row>
    <row r="371" spans="9:30" ht="15" customHeight="1">
      <c r="I371" s="69"/>
      <c r="J371" s="69"/>
      <c r="K371" s="69"/>
      <c r="L371" s="69"/>
      <c r="M371" s="69"/>
      <c r="N371" s="69" t="str">
        <f t="shared" si="54"/>
        <v/>
      </c>
      <c r="O371" s="69" t="str">
        <f t="shared" si="55"/>
        <v/>
      </c>
      <c r="P371" s="70" t="str">
        <f t="shared" si="56"/>
        <v/>
      </c>
      <c r="Q371" s="69" t="str">
        <f t="shared" si="57"/>
        <v/>
      </c>
      <c r="S371" s="71"/>
      <c r="Z371" t="str">
        <f t="shared" si="58"/>
        <v/>
      </c>
      <c r="AA371">
        <f t="shared" si="59"/>
        <v>0</v>
      </c>
      <c r="AB371">
        <f t="shared" si="60"/>
        <v>12</v>
      </c>
      <c r="AC371">
        <f t="shared" si="61"/>
        <v>33</v>
      </c>
      <c r="AD371">
        <f t="shared" si="62"/>
        <v>1</v>
      </c>
    </row>
    <row r="372" spans="9:30" ht="15" customHeight="1">
      <c r="I372" s="69"/>
      <c r="J372" s="69"/>
      <c r="K372" s="69"/>
      <c r="L372" s="69"/>
      <c r="M372" s="69"/>
      <c r="N372" s="69" t="str">
        <f t="shared" si="54"/>
        <v/>
      </c>
      <c r="O372" s="69" t="str">
        <f t="shared" si="55"/>
        <v/>
      </c>
      <c r="P372" s="70" t="str">
        <f t="shared" si="56"/>
        <v/>
      </c>
      <c r="Q372" s="69" t="str">
        <f t="shared" si="57"/>
        <v/>
      </c>
      <c r="S372" s="71"/>
      <c r="Z372" t="str">
        <f t="shared" si="58"/>
        <v/>
      </c>
      <c r="AA372">
        <f t="shared" si="59"/>
        <v>0</v>
      </c>
      <c r="AB372">
        <f t="shared" si="60"/>
        <v>12</v>
      </c>
      <c r="AC372">
        <f t="shared" si="61"/>
        <v>33</v>
      </c>
      <c r="AD372">
        <f t="shared" si="62"/>
        <v>1</v>
      </c>
    </row>
    <row r="373" spans="9:30" ht="15" customHeight="1">
      <c r="I373" s="69"/>
      <c r="J373" s="69"/>
      <c r="K373" s="69"/>
      <c r="L373" s="69"/>
      <c r="M373" s="69"/>
      <c r="N373" s="69" t="str">
        <f t="shared" ref="N373:N436" si="63">IF(ISNUMBER(I373),ROUND(I373-I373/1.081,2),"")</f>
        <v/>
      </c>
      <c r="O373" s="69" t="str">
        <f t="shared" si="55"/>
        <v/>
      </c>
      <c r="P373" s="70" t="str">
        <f t="shared" si="56"/>
        <v/>
      </c>
      <c r="Q373" s="69" t="str">
        <f t="shared" si="57"/>
        <v/>
      </c>
      <c r="S373" s="71"/>
      <c r="Z373" t="str">
        <f t="shared" si="58"/>
        <v/>
      </c>
      <c r="AA373">
        <f t="shared" si="59"/>
        <v>0</v>
      </c>
      <c r="AB373">
        <f t="shared" si="60"/>
        <v>12</v>
      </c>
      <c r="AC373">
        <f t="shared" si="61"/>
        <v>33</v>
      </c>
      <c r="AD373">
        <f t="shared" si="62"/>
        <v>1</v>
      </c>
    </row>
    <row r="374" spans="9:30" ht="15" customHeight="1">
      <c r="I374" s="69"/>
      <c r="J374" s="69"/>
      <c r="K374" s="69"/>
      <c r="L374" s="69"/>
      <c r="M374" s="69"/>
      <c r="N374" s="69" t="str">
        <f t="shared" si="63"/>
        <v/>
      </c>
      <c r="O374" s="69" t="str">
        <f t="shared" si="55"/>
        <v/>
      </c>
      <c r="P374" s="70" t="str">
        <f t="shared" si="56"/>
        <v/>
      </c>
      <c r="Q374" s="69" t="str">
        <f t="shared" si="57"/>
        <v/>
      </c>
      <c r="S374" s="71"/>
      <c r="Z374" t="str">
        <f t="shared" si="58"/>
        <v/>
      </c>
      <c r="AA374">
        <f t="shared" si="59"/>
        <v>0</v>
      </c>
      <c r="AB374">
        <f t="shared" si="60"/>
        <v>12</v>
      </c>
      <c r="AC374">
        <f t="shared" si="61"/>
        <v>33</v>
      </c>
      <c r="AD374">
        <f t="shared" si="62"/>
        <v>1</v>
      </c>
    </row>
    <row r="375" spans="9:30" ht="15" customHeight="1">
      <c r="I375" s="69"/>
      <c r="J375" s="69"/>
      <c r="K375" s="69"/>
      <c r="L375" s="69"/>
      <c r="M375" s="69"/>
      <c r="N375" s="69" t="str">
        <f t="shared" si="63"/>
        <v/>
      </c>
      <c r="O375" s="69" t="str">
        <f t="shared" si="55"/>
        <v/>
      </c>
      <c r="P375" s="70" t="str">
        <f t="shared" si="56"/>
        <v/>
      </c>
      <c r="Q375" s="69" t="str">
        <f t="shared" si="57"/>
        <v/>
      </c>
      <c r="S375" s="71"/>
      <c r="Z375" t="str">
        <f t="shared" si="58"/>
        <v/>
      </c>
      <c r="AA375">
        <f t="shared" si="59"/>
        <v>0</v>
      </c>
      <c r="AB375">
        <f t="shared" si="60"/>
        <v>12</v>
      </c>
      <c r="AC375">
        <f t="shared" si="61"/>
        <v>33</v>
      </c>
      <c r="AD375">
        <f t="shared" si="62"/>
        <v>1</v>
      </c>
    </row>
    <row r="376" spans="9:30" ht="15" customHeight="1">
      <c r="I376" s="69"/>
      <c r="J376" s="69"/>
      <c r="K376" s="69"/>
      <c r="L376" s="69"/>
      <c r="M376" s="69"/>
      <c r="N376" s="69" t="str">
        <f t="shared" si="63"/>
        <v/>
      </c>
      <c r="O376" s="69" t="str">
        <f t="shared" si="55"/>
        <v/>
      </c>
      <c r="P376" s="70" t="str">
        <f t="shared" si="56"/>
        <v/>
      </c>
      <c r="Q376" s="69" t="str">
        <f t="shared" si="57"/>
        <v/>
      </c>
      <c r="S376" s="71"/>
      <c r="Z376" t="str">
        <f t="shared" si="58"/>
        <v/>
      </c>
      <c r="AA376">
        <f t="shared" si="59"/>
        <v>0</v>
      </c>
      <c r="AB376">
        <f t="shared" si="60"/>
        <v>12</v>
      </c>
      <c r="AC376">
        <f t="shared" si="61"/>
        <v>33</v>
      </c>
      <c r="AD376">
        <f t="shared" si="62"/>
        <v>1</v>
      </c>
    </row>
    <row r="377" spans="9:30" ht="15" customHeight="1">
      <c r="I377" s="69"/>
      <c r="J377" s="69"/>
      <c r="K377" s="69"/>
      <c r="L377" s="69"/>
      <c r="M377" s="69"/>
      <c r="N377" s="69" t="str">
        <f t="shared" si="63"/>
        <v/>
      </c>
      <c r="O377" s="69" t="str">
        <f t="shared" si="55"/>
        <v/>
      </c>
      <c r="P377" s="70" t="str">
        <f t="shared" si="56"/>
        <v/>
      </c>
      <c r="Q377" s="69" t="str">
        <f t="shared" si="57"/>
        <v/>
      </c>
      <c r="S377" s="71"/>
      <c r="Z377" t="str">
        <f t="shared" si="58"/>
        <v/>
      </c>
      <c r="AA377">
        <f t="shared" si="59"/>
        <v>0</v>
      </c>
      <c r="AB377">
        <f t="shared" si="60"/>
        <v>12</v>
      </c>
      <c r="AC377">
        <f t="shared" si="61"/>
        <v>33</v>
      </c>
      <c r="AD377">
        <f t="shared" si="62"/>
        <v>1</v>
      </c>
    </row>
    <row r="378" spans="9:30" ht="15" customHeight="1">
      <c r="I378" s="69"/>
      <c r="J378" s="69"/>
      <c r="K378" s="69"/>
      <c r="L378" s="69"/>
      <c r="M378" s="69"/>
      <c r="N378" s="69" t="str">
        <f t="shared" si="63"/>
        <v/>
      </c>
      <c r="O378" s="69" t="str">
        <f t="shared" si="55"/>
        <v/>
      </c>
      <c r="P378" s="70" t="str">
        <f t="shared" si="56"/>
        <v/>
      </c>
      <c r="Q378" s="69" t="str">
        <f t="shared" si="57"/>
        <v/>
      </c>
      <c r="S378" s="71"/>
      <c r="Z378" t="str">
        <f t="shared" si="58"/>
        <v/>
      </c>
      <c r="AA378">
        <f t="shared" si="59"/>
        <v>0</v>
      </c>
      <c r="AB378">
        <f t="shared" si="60"/>
        <v>12</v>
      </c>
      <c r="AC378">
        <f t="shared" si="61"/>
        <v>33</v>
      </c>
      <c r="AD378">
        <f t="shared" si="62"/>
        <v>1</v>
      </c>
    </row>
    <row r="379" spans="9:30" ht="15" customHeight="1">
      <c r="I379" s="69"/>
      <c r="J379" s="69"/>
      <c r="K379" s="69"/>
      <c r="L379" s="69"/>
      <c r="M379" s="69"/>
      <c r="N379" s="69" t="str">
        <f t="shared" si="63"/>
        <v/>
      </c>
      <c r="O379" s="69" t="str">
        <f t="shared" si="55"/>
        <v/>
      </c>
      <c r="P379" s="70" t="str">
        <f t="shared" si="56"/>
        <v/>
      </c>
      <c r="Q379" s="69" t="str">
        <f t="shared" si="57"/>
        <v/>
      </c>
      <c r="S379" s="71"/>
      <c r="Z379" t="str">
        <f t="shared" si="58"/>
        <v/>
      </c>
      <c r="AA379">
        <f t="shared" si="59"/>
        <v>0</v>
      </c>
      <c r="AB379">
        <f t="shared" si="60"/>
        <v>12</v>
      </c>
      <c r="AC379">
        <f t="shared" si="61"/>
        <v>33</v>
      </c>
      <c r="AD379">
        <f t="shared" si="62"/>
        <v>1</v>
      </c>
    </row>
    <row r="380" spans="9:30" ht="15" customHeight="1">
      <c r="I380" s="69"/>
      <c r="J380" s="69"/>
      <c r="K380" s="69"/>
      <c r="L380" s="69"/>
      <c r="M380" s="69"/>
      <c r="N380" s="69" t="str">
        <f t="shared" si="63"/>
        <v/>
      </c>
      <c r="O380" s="69" t="str">
        <f t="shared" si="55"/>
        <v/>
      </c>
      <c r="P380" s="70" t="str">
        <f t="shared" si="56"/>
        <v/>
      </c>
      <c r="Q380" s="69" t="str">
        <f t="shared" si="57"/>
        <v/>
      </c>
      <c r="S380" s="71"/>
      <c r="Z380" t="str">
        <f t="shared" si="58"/>
        <v/>
      </c>
      <c r="AA380">
        <f t="shared" si="59"/>
        <v>0</v>
      </c>
      <c r="AB380">
        <f t="shared" si="60"/>
        <v>12</v>
      </c>
      <c r="AC380">
        <f t="shared" si="61"/>
        <v>33</v>
      </c>
      <c r="AD380">
        <f t="shared" si="62"/>
        <v>1</v>
      </c>
    </row>
    <row r="381" spans="9:30" ht="15" customHeight="1">
      <c r="I381" s="69"/>
      <c r="J381" s="69"/>
      <c r="K381" s="69"/>
      <c r="L381" s="69"/>
      <c r="M381" s="69"/>
      <c r="N381" s="69" t="str">
        <f t="shared" si="63"/>
        <v/>
      </c>
      <c r="O381" s="69" t="str">
        <f t="shared" si="55"/>
        <v/>
      </c>
      <c r="P381" s="70" t="str">
        <f t="shared" si="56"/>
        <v/>
      </c>
      <c r="Q381" s="69" t="str">
        <f t="shared" si="57"/>
        <v/>
      </c>
      <c r="S381" s="71"/>
      <c r="Z381" t="str">
        <f t="shared" si="58"/>
        <v/>
      </c>
      <c r="AA381">
        <f t="shared" si="59"/>
        <v>0</v>
      </c>
      <c r="AB381">
        <f t="shared" si="60"/>
        <v>12</v>
      </c>
      <c r="AC381">
        <f t="shared" si="61"/>
        <v>33</v>
      </c>
      <c r="AD381">
        <f t="shared" si="62"/>
        <v>1</v>
      </c>
    </row>
    <row r="382" spans="9:30" ht="15" customHeight="1">
      <c r="I382" s="69"/>
      <c r="J382" s="69"/>
      <c r="K382" s="69"/>
      <c r="L382" s="69"/>
      <c r="M382" s="69"/>
      <c r="N382" s="69" t="str">
        <f t="shared" si="63"/>
        <v/>
      </c>
      <c r="O382" s="69" t="str">
        <f t="shared" si="55"/>
        <v/>
      </c>
      <c r="P382" s="70" t="str">
        <f t="shared" si="56"/>
        <v/>
      </c>
      <c r="Q382" s="69" t="str">
        <f t="shared" si="57"/>
        <v/>
      </c>
      <c r="S382" s="71"/>
      <c r="Z382" t="str">
        <f t="shared" si="58"/>
        <v/>
      </c>
      <c r="AA382">
        <f t="shared" si="59"/>
        <v>0</v>
      </c>
      <c r="AB382">
        <f t="shared" si="60"/>
        <v>12</v>
      </c>
      <c r="AC382">
        <f t="shared" si="61"/>
        <v>33</v>
      </c>
      <c r="AD382">
        <f t="shared" si="62"/>
        <v>1</v>
      </c>
    </row>
    <row r="383" spans="9:30" ht="15" customHeight="1">
      <c r="I383" s="69"/>
      <c r="J383" s="69"/>
      <c r="K383" s="69"/>
      <c r="L383" s="69"/>
      <c r="M383" s="69"/>
      <c r="N383" s="69" t="str">
        <f t="shared" si="63"/>
        <v/>
      </c>
      <c r="O383" s="69" t="str">
        <f t="shared" si="55"/>
        <v/>
      </c>
      <c r="P383" s="70" t="str">
        <f t="shared" si="56"/>
        <v/>
      </c>
      <c r="Q383" s="69" t="str">
        <f t="shared" si="57"/>
        <v/>
      </c>
      <c r="S383" s="71"/>
      <c r="Z383" t="str">
        <f t="shared" si="58"/>
        <v/>
      </c>
      <c r="AA383">
        <f t="shared" si="59"/>
        <v>0</v>
      </c>
      <c r="AB383">
        <f t="shared" si="60"/>
        <v>12</v>
      </c>
      <c r="AC383">
        <f t="shared" si="61"/>
        <v>33</v>
      </c>
      <c r="AD383">
        <f t="shared" si="62"/>
        <v>1</v>
      </c>
    </row>
    <row r="384" spans="9:30" ht="15" customHeight="1">
      <c r="I384" s="69"/>
      <c r="J384" s="69"/>
      <c r="K384" s="69"/>
      <c r="L384" s="69"/>
      <c r="M384" s="69"/>
      <c r="N384" s="69" t="str">
        <f t="shared" si="63"/>
        <v/>
      </c>
      <c r="O384" s="69" t="str">
        <f t="shared" si="55"/>
        <v/>
      </c>
      <c r="P384" s="70" t="str">
        <f t="shared" si="56"/>
        <v/>
      </c>
      <c r="Q384" s="69" t="str">
        <f t="shared" si="57"/>
        <v/>
      </c>
      <c r="S384" s="71"/>
      <c r="Z384" t="str">
        <f t="shared" si="58"/>
        <v/>
      </c>
      <c r="AA384">
        <f t="shared" si="59"/>
        <v>0</v>
      </c>
      <c r="AB384">
        <f t="shared" si="60"/>
        <v>12</v>
      </c>
      <c r="AC384">
        <f t="shared" si="61"/>
        <v>33</v>
      </c>
      <c r="AD384">
        <f t="shared" si="62"/>
        <v>1</v>
      </c>
    </row>
    <row r="385" spans="9:30" ht="15" customHeight="1">
      <c r="I385" s="69"/>
      <c r="J385" s="69"/>
      <c r="K385" s="69"/>
      <c r="L385" s="69"/>
      <c r="M385" s="69"/>
      <c r="N385" s="69" t="str">
        <f t="shared" si="63"/>
        <v/>
      </c>
      <c r="O385" s="69" t="str">
        <f t="shared" si="55"/>
        <v/>
      </c>
      <c r="P385" s="70" t="str">
        <f t="shared" si="56"/>
        <v/>
      </c>
      <c r="Q385" s="69" t="str">
        <f t="shared" si="57"/>
        <v/>
      </c>
      <c r="S385" s="71"/>
      <c r="Z385" t="str">
        <f t="shared" si="58"/>
        <v/>
      </c>
      <c r="AA385">
        <f t="shared" si="59"/>
        <v>0</v>
      </c>
      <c r="AB385">
        <f t="shared" si="60"/>
        <v>12</v>
      </c>
      <c r="AC385">
        <f t="shared" si="61"/>
        <v>33</v>
      </c>
      <c r="AD385">
        <f t="shared" si="62"/>
        <v>1</v>
      </c>
    </row>
    <row r="386" spans="9:30" ht="15" customHeight="1">
      <c r="I386" s="69"/>
      <c r="J386" s="69"/>
      <c r="K386" s="69"/>
      <c r="L386" s="69"/>
      <c r="M386" s="69"/>
      <c r="N386" s="69" t="str">
        <f t="shared" si="63"/>
        <v/>
      </c>
      <c r="O386" s="69" t="str">
        <f t="shared" si="55"/>
        <v/>
      </c>
      <c r="P386" s="70" t="str">
        <f t="shared" si="56"/>
        <v/>
      </c>
      <c r="Q386" s="69" t="str">
        <f t="shared" si="57"/>
        <v/>
      </c>
      <c r="S386" s="71"/>
      <c r="Z386" t="str">
        <f t="shared" si="58"/>
        <v/>
      </c>
      <c r="AA386">
        <f t="shared" si="59"/>
        <v>0</v>
      </c>
      <c r="AB386">
        <f t="shared" si="60"/>
        <v>12</v>
      </c>
      <c r="AC386">
        <f t="shared" si="61"/>
        <v>33</v>
      </c>
      <c r="AD386">
        <f t="shared" si="62"/>
        <v>1</v>
      </c>
    </row>
    <row r="387" spans="9:30" ht="15" customHeight="1">
      <c r="I387" s="69"/>
      <c r="J387" s="69"/>
      <c r="K387" s="69"/>
      <c r="L387" s="69"/>
      <c r="M387" s="69"/>
      <c r="N387" s="69" t="str">
        <f t="shared" si="63"/>
        <v/>
      </c>
      <c r="O387" s="69" t="str">
        <f t="shared" si="55"/>
        <v/>
      </c>
      <c r="P387" s="70" t="str">
        <f t="shared" si="56"/>
        <v/>
      </c>
      <c r="Q387" s="69" t="str">
        <f t="shared" si="57"/>
        <v/>
      </c>
      <c r="S387" s="71"/>
      <c r="Z387" t="str">
        <f t="shared" si="58"/>
        <v/>
      </c>
      <c r="AA387">
        <f t="shared" si="59"/>
        <v>0</v>
      </c>
      <c r="AB387">
        <f t="shared" si="60"/>
        <v>12</v>
      </c>
      <c r="AC387">
        <f t="shared" si="61"/>
        <v>33</v>
      </c>
      <c r="AD387">
        <f t="shared" si="62"/>
        <v>1</v>
      </c>
    </row>
    <row r="388" spans="9:30" ht="15" customHeight="1">
      <c r="I388" s="69"/>
      <c r="J388" s="69"/>
      <c r="K388" s="69"/>
      <c r="L388" s="69"/>
      <c r="M388" s="69"/>
      <c r="N388" s="69" t="str">
        <f t="shared" si="63"/>
        <v/>
      </c>
      <c r="O388" s="69" t="str">
        <f t="shared" si="55"/>
        <v/>
      </c>
      <c r="P388" s="70" t="str">
        <f t="shared" si="56"/>
        <v/>
      </c>
      <c r="Q388" s="69" t="str">
        <f t="shared" si="57"/>
        <v/>
      </c>
      <c r="S388" s="71"/>
      <c r="Z388" t="str">
        <f t="shared" si="58"/>
        <v/>
      </c>
      <c r="AA388">
        <f t="shared" si="59"/>
        <v>0</v>
      </c>
      <c r="AB388">
        <f t="shared" si="60"/>
        <v>12</v>
      </c>
      <c r="AC388">
        <f t="shared" si="61"/>
        <v>33</v>
      </c>
      <c r="AD388">
        <f t="shared" si="62"/>
        <v>1</v>
      </c>
    </row>
    <row r="389" spans="9:30" ht="15" customHeight="1">
      <c r="I389" s="69"/>
      <c r="J389" s="69"/>
      <c r="K389" s="69"/>
      <c r="L389" s="69"/>
      <c r="M389" s="69"/>
      <c r="N389" s="69" t="str">
        <f t="shared" si="63"/>
        <v/>
      </c>
      <c r="O389" s="69" t="str">
        <f t="shared" si="55"/>
        <v/>
      </c>
      <c r="P389" s="70" t="str">
        <f t="shared" si="56"/>
        <v/>
      </c>
      <c r="Q389" s="69" t="str">
        <f t="shared" si="57"/>
        <v/>
      </c>
      <c r="S389" s="71"/>
      <c r="Z389" t="str">
        <f t="shared" si="58"/>
        <v/>
      </c>
      <c r="AA389">
        <f t="shared" si="59"/>
        <v>0</v>
      </c>
      <c r="AB389">
        <f t="shared" si="60"/>
        <v>12</v>
      </c>
      <c r="AC389">
        <f t="shared" si="61"/>
        <v>33</v>
      </c>
      <c r="AD389">
        <f t="shared" si="62"/>
        <v>1</v>
      </c>
    </row>
    <row r="390" spans="9:30" ht="15" customHeight="1">
      <c r="I390" s="69"/>
      <c r="J390" s="69"/>
      <c r="K390" s="69"/>
      <c r="L390" s="69"/>
      <c r="M390" s="69"/>
      <c r="N390" s="69" t="str">
        <f t="shared" si="63"/>
        <v/>
      </c>
      <c r="O390" s="69" t="str">
        <f t="shared" ref="O390:O453" si="64">IF(ISNUMBER(I390),I390-SUM(J390:N390),"")</f>
        <v/>
      </c>
      <c r="P390" s="70" t="str">
        <f t="shared" ref="P390:P453" si="65">IFERROR(IF(AND(ISNUMBER(O390),ISNUMBER(I390),I390&lt;&gt;0),O390/I390,""),"")</f>
        <v/>
      </c>
      <c r="Q390" s="69" t="str">
        <f t="shared" ref="Q390:Q453" si="66">IF(AND(ISNUMBER(I390),ISNUMBER(S390)),I390*IF(S390&lt;=1,S390,S390/100),IF(OR(I390&lt;&gt;"",S390&lt;&gt;""),"tbd",""))</f>
        <v/>
      </c>
      <c r="S390" s="71"/>
      <c r="Z390" t="str">
        <f t="shared" ref="Z390:Z453" si="67">IF(AND(R390="WON",ISNUMBER(I390)),AA390,"")</f>
        <v/>
      </c>
      <c r="AA390">
        <f t="shared" ref="AA390:AA453" si="68">IFERROR(I390*1,0)</f>
        <v>0</v>
      </c>
      <c r="AB390">
        <f t="shared" ref="AB390:AB453" si="69">N(AB389)+IF(AND(R390="WON",B390&lt;&gt;""),1,0)</f>
        <v>12</v>
      </c>
      <c r="AC390">
        <f t="shared" ref="AC390:AC453" si="70">N(AC389)+IF(AND(OR(R390="offered",R390="to be offered",R390="on hold"),B390&lt;&gt;""),1,0)</f>
        <v>33</v>
      </c>
      <c r="AD390">
        <f t="shared" ref="AD390:AD453" si="71">N(AD389)+IF(AND(OR(R390="follow-up",R390="Evaluation",R390="tbd",R390="In evaluation"),B390&lt;&gt;""),1,0)</f>
        <v>1</v>
      </c>
    </row>
    <row r="391" spans="9:30" ht="15" customHeight="1">
      <c r="I391" s="69"/>
      <c r="J391" s="69"/>
      <c r="K391" s="69"/>
      <c r="L391" s="69"/>
      <c r="M391" s="69"/>
      <c r="N391" s="69" t="str">
        <f t="shared" si="63"/>
        <v/>
      </c>
      <c r="O391" s="69" t="str">
        <f t="shared" si="64"/>
        <v/>
      </c>
      <c r="P391" s="70" t="str">
        <f t="shared" si="65"/>
        <v/>
      </c>
      <c r="Q391" s="69" t="str">
        <f t="shared" si="66"/>
        <v/>
      </c>
      <c r="S391" s="71"/>
      <c r="Z391" t="str">
        <f t="shared" si="67"/>
        <v/>
      </c>
      <c r="AA391">
        <f t="shared" si="68"/>
        <v>0</v>
      </c>
      <c r="AB391">
        <f t="shared" si="69"/>
        <v>12</v>
      </c>
      <c r="AC391">
        <f t="shared" si="70"/>
        <v>33</v>
      </c>
      <c r="AD391">
        <f t="shared" si="71"/>
        <v>1</v>
      </c>
    </row>
    <row r="392" spans="9:30" ht="15" customHeight="1">
      <c r="I392" s="69"/>
      <c r="J392" s="69"/>
      <c r="K392" s="69"/>
      <c r="L392" s="69"/>
      <c r="M392" s="69"/>
      <c r="N392" s="69" t="str">
        <f t="shared" si="63"/>
        <v/>
      </c>
      <c r="O392" s="69" t="str">
        <f t="shared" si="64"/>
        <v/>
      </c>
      <c r="P392" s="70" t="str">
        <f t="shared" si="65"/>
        <v/>
      </c>
      <c r="Q392" s="69" t="str">
        <f t="shared" si="66"/>
        <v/>
      </c>
      <c r="S392" s="71"/>
      <c r="Z392" t="str">
        <f t="shared" si="67"/>
        <v/>
      </c>
      <c r="AA392">
        <f t="shared" si="68"/>
        <v>0</v>
      </c>
      <c r="AB392">
        <f t="shared" si="69"/>
        <v>12</v>
      </c>
      <c r="AC392">
        <f t="shared" si="70"/>
        <v>33</v>
      </c>
      <c r="AD392">
        <f t="shared" si="71"/>
        <v>1</v>
      </c>
    </row>
    <row r="393" spans="9:30" ht="15" customHeight="1">
      <c r="I393" s="69"/>
      <c r="J393" s="69"/>
      <c r="K393" s="69"/>
      <c r="L393" s="69"/>
      <c r="M393" s="69"/>
      <c r="N393" s="69" t="str">
        <f t="shared" si="63"/>
        <v/>
      </c>
      <c r="O393" s="69" t="str">
        <f t="shared" si="64"/>
        <v/>
      </c>
      <c r="P393" s="70" t="str">
        <f t="shared" si="65"/>
        <v/>
      </c>
      <c r="Q393" s="69" t="str">
        <f t="shared" si="66"/>
        <v/>
      </c>
      <c r="S393" s="71"/>
      <c r="Z393" t="str">
        <f t="shared" si="67"/>
        <v/>
      </c>
      <c r="AA393">
        <f t="shared" si="68"/>
        <v>0</v>
      </c>
      <c r="AB393">
        <f t="shared" si="69"/>
        <v>12</v>
      </c>
      <c r="AC393">
        <f t="shared" si="70"/>
        <v>33</v>
      </c>
      <c r="AD393">
        <f t="shared" si="71"/>
        <v>1</v>
      </c>
    </row>
    <row r="394" spans="9:30" ht="15" customHeight="1">
      <c r="I394" s="69"/>
      <c r="J394" s="69"/>
      <c r="K394" s="69"/>
      <c r="L394" s="69"/>
      <c r="M394" s="69"/>
      <c r="N394" s="69" t="str">
        <f t="shared" si="63"/>
        <v/>
      </c>
      <c r="O394" s="69" t="str">
        <f t="shared" si="64"/>
        <v/>
      </c>
      <c r="P394" s="70" t="str">
        <f t="shared" si="65"/>
        <v/>
      </c>
      <c r="Q394" s="69" t="str">
        <f t="shared" si="66"/>
        <v/>
      </c>
      <c r="S394" s="71"/>
      <c r="Z394" t="str">
        <f t="shared" si="67"/>
        <v/>
      </c>
      <c r="AA394">
        <f t="shared" si="68"/>
        <v>0</v>
      </c>
      <c r="AB394">
        <f t="shared" si="69"/>
        <v>12</v>
      </c>
      <c r="AC394">
        <f t="shared" si="70"/>
        <v>33</v>
      </c>
      <c r="AD394">
        <f t="shared" si="71"/>
        <v>1</v>
      </c>
    </row>
    <row r="395" spans="9:30" ht="15" customHeight="1">
      <c r="I395" s="69"/>
      <c r="J395" s="69"/>
      <c r="K395" s="69"/>
      <c r="L395" s="69"/>
      <c r="M395" s="69"/>
      <c r="N395" s="69" t="str">
        <f t="shared" si="63"/>
        <v/>
      </c>
      <c r="O395" s="69" t="str">
        <f t="shared" si="64"/>
        <v/>
      </c>
      <c r="P395" s="70" t="str">
        <f t="shared" si="65"/>
        <v/>
      </c>
      <c r="Q395" s="69" t="str">
        <f t="shared" si="66"/>
        <v/>
      </c>
      <c r="S395" s="71"/>
      <c r="Z395" t="str">
        <f t="shared" si="67"/>
        <v/>
      </c>
      <c r="AA395">
        <f t="shared" si="68"/>
        <v>0</v>
      </c>
      <c r="AB395">
        <f t="shared" si="69"/>
        <v>12</v>
      </c>
      <c r="AC395">
        <f t="shared" si="70"/>
        <v>33</v>
      </c>
      <c r="AD395">
        <f t="shared" si="71"/>
        <v>1</v>
      </c>
    </row>
    <row r="396" spans="9:30" ht="15" customHeight="1">
      <c r="I396" s="69"/>
      <c r="J396" s="69"/>
      <c r="K396" s="69"/>
      <c r="L396" s="69"/>
      <c r="M396" s="69"/>
      <c r="N396" s="69" t="str">
        <f t="shared" si="63"/>
        <v/>
      </c>
      <c r="O396" s="69" t="str">
        <f t="shared" si="64"/>
        <v/>
      </c>
      <c r="P396" s="70" t="str">
        <f t="shared" si="65"/>
        <v/>
      </c>
      <c r="Q396" s="69" t="str">
        <f t="shared" si="66"/>
        <v/>
      </c>
      <c r="S396" s="71"/>
      <c r="Z396" t="str">
        <f t="shared" si="67"/>
        <v/>
      </c>
      <c r="AA396">
        <f t="shared" si="68"/>
        <v>0</v>
      </c>
      <c r="AB396">
        <f t="shared" si="69"/>
        <v>12</v>
      </c>
      <c r="AC396">
        <f t="shared" si="70"/>
        <v>33</v>
      </c>
      <c r="AD396">
        <f t="shared" si="71"/>
        <v>1</v>
      </c>
    </row>
    <row r="397" spans="9:30" ht="15" customHeight="1">
      <c r="I397" s="69"/>
      <c r="J397" s="69"/>
      <c r="K397" s="69"/>
      <c r="L397" s="69"/>
      <c r="M397" s="69"/>
      <c r="N397" s="69" t="str">
        <f t="shared" si="63"/>
        <v/>
      </c>
      <c r="O397" s="69" t="str">
        <f t="shared" si="64"/>
        <v/>
      </c>
      <c r="P397" s="70" t="str">
        <f t="shared" si="65"/>
        <v/>
      </c>
      <c r="Q397" s="69" t="str">
        <f t="shared" si="66"/>
        <v/>
      </c>
      <c r="S397" s="71"/>
      <c r="Z397" t="str">
        <f t="shared" si="67"/>
        <v/>
      </c>
      <c r="AA397">
        <f t="shared" si="68"/>
        <v>0</v>
      </c>
      <c r="AB397">
        <f t="shared" si="69"/>
        <v>12</v>
      </c>
      <c r="AC397">
        <f t="shared" si="70"/>
        <v>33</v>
      </c>
      <c r="AD397">
        <f t="shared" si="71"/>
        <v>1</v>
      </c>
    </row>
    <row r="398" spans="9:30" ht="15" customHeight="1">
      <c r="I398" s="69"/>
      <c r="J398" s="69"/>
      <c r="K398" s="69"/>
      <c r="L398" s="69"/>
      <c r="M398" s="69"/>
      <c r="N398" s="69" t="str">
        <f t="shared" si="63"/>
        <v/>
      </c>
      <c r="O398" s="69" t="str">
        <f t="shared" si="64"/>
        <v/>
      </c>
      <c r="P398" s="70" t="str">
        <f t="shared" si="65"/>
        <v/>
      </c>
      <c r="Q398" s="69" t="str">
        <f t="shared" si="66"/>
        <v/>
      </c>
      <c r="S398" s="71"/>
      <c r="Z398" t="str">
        <f t="shared" si="67"/>
        <v/>
      </c>
      <c r="AA398">
        <f t="shared" si="68"/>
        <v>0</v>
      </c>
      <c r="AB398">
        <f t="shared" si="69"/>
        <v>12</v>
      </c>
      <c r="AC398">
        <f t="shared" si="70"/>
        <v>33</v>
      </c>
      <c r="AD398">
        <f t="shared" si="71"/>
        <v>1</v>
      </c>
    </row>
    <row r="399" spans="9:30" ht="15" customHeight="1">
      <c r="I399" s="69"/>
      <c r="J399" s="69"/>
      <c r="K399" s="69"/>
      <c r="L399" s="69"/>
      <c r="M399" s="69"/>
      <c r="N399" s="69" t="str">
        <f t="shared" si="63"/>
        <v/>
      </c>
      <c r="O399" s="69" t="str">
        <f t="shared" si="64"/>
        <v/>
      </c>
      <c r="P399" s="70" t="str">
        <f t="shared" si="65"/>
        <v/>
      </c>
      <c r="Q399" s="69" t="str">
        <f t="shared" si="66"/>
        <v/>
      </c>
      <c r="S399" s="71"/>
      <c r="Z399" t="str">
        <f t="shared" si="67"/>
        <v/>
      </c>
      <c r="AA399">
        <f t="shared" si="68"/>
        <v>0</v>
      </c>
      <c r="AB399">
        <f t="shared" si="69"/>
        <v>12</v>
      </c>
      <c r="AC399">
        <f t="shared" si="70"/>
        <v>33</v>
      </c>
      <c r="AD399">
        <f t="shared" si="71"/>
        <v>1</v>
      </c>
    </row>
    <row r="400" spans="9:30" ht="15" customHeight="1">
      <c r="I400" s="69"/>
      <c r="J400" s="69"/>
      <c r="K400" s="69"/>
      <c r="L400" s="69"/>
      <c r="M400" s="69"/>
      <c r="N400" s="69" t="str">
        <f t="shared" si="63"/>
        <v/>
      </c>
      <c r="O400" s="69" t="str">
        <f t="shared" si="64"/>
        <v/>
      </c>
      <c r="P400" s="70" t="str">
        <f t="shared" si="65"/>
        <v/>
      </c>
      <c r="Q400" s="69" t="str">
        <f t="shared" si="66"/>
        <v/>
      </c>
      <c r="S400" s="71"/>
      <c r="Z400" t="str">
        <f t="shared" si="67"/>
        <v/>
      </c>
      <c r="AA400">
        <f t="shared" si="68"/>
        <v>0</v>
      </c>
      <c r="AB400">
        <f t="shared" si="69"/>
        <v>12</v>
      </c>
      <c r="AC400">
        <f t="shared" si="70"/>
        <v>33</v>
      </c>
      <c r="AD400">
        <f t="shared" si="71"/>
        <v>1</v>
      </c>
    </row>
    <row r="401" spans="9:30" ht="15" customHeight="1">
      <c r="I401" s="69"/>
      <c r="J401" s="69"/>
      <c r="K401" s="69"/>
      <c r="L401" s="69"/>
      <c r="M401" s="69"/>
      <c r="N401" s="69" t="str">
        <f t="shared" si="63"/>
        <v/>
      </c>
      <c r="O401" s="69" t="str">
        <f t="shared" si="64"/>
        <v/>
      </c>
      <c r="P401" s="70" t="str">
        <f t="shared" si="65"/>
        <v/>
      </c>
      <c r="Q401" s="69" t="str">
        <f t="shared" si="66"/>
        <v/>
      </c>
      <c r="S401" s="71"/>
      <c r="Z401" t="str">
        <f t="shared" si="67"/>
        <v/>
      </c>
      <c r="AA401">
        <f t="shared" si="68"/>
        <v>0</v>
      </c>
      <c r="AB401">
        <f t="shared" si="69"/>
        <v>12</v>
      </c>
      <c r="AC401">
        <f t="shared" si="70"/>
        <v>33</v>
      </c>
      <c r="AD401">
        <f t="shared" si="71"/>
        <v>1</v>
      </c>
    </row>
    <row r="402" spans="9:30" ht="15" customHeight="1">
      <c r="I402" s="69"/>
      <c r="J402" s="69"/>
      <c r="K402" s="69"/>
      <c r="L402" s="69"/>
      <c r="M402" s="69"/>
      <c r="N402" s="69" t="str">
        <f t="shared" si="63"/>
        <v/>
      </c>
      <c r="O402" s="69" t="str">
        <f t="shared" si="64"/>
        <v/>
      </c>
      <c r="P402" s="70" t="str">
        <f t="shared" si="65"/>
        <v/>
      </c>
      <c r="Q402" s="69" t="str">
        <f t="shared" si="66"/>
        <v/>
      </c>
      <c r="S402" s="71"/>
      <c r="Z402" t="str">
        <f t="shared" si="67"/>
        <v/>
      </c>
      <c r="AA402">
        <f t="shared" si="68"/>
        <v>0</v>
      </c>
      <c r="AB402">
        <f t="shared" si="69"/>
        <v>12</v>
      </c>
      <c r="AC402">
        <f t="shared" si="70"/>
        <v>33</v>
      </c>
      <c r="AD402">
        <f t="shared" si="71"/>
        <v>1</v>
      </c>
    </row>
    <row r="403" spans="9:30" ht="15" customHeight="1">
      <c r="I403" s="69"/>
      <c r="J403" s="69"/>
      <c r="K403" s="69"/>
      <c r="L403" s="69"/>
      <c r="M403" s="69"/>
      <c r="N403" s="69" t="str">
        <f t="shared" si="63"/>
        <v/>
      </c>
      <c r="O403" s="69" t="str">
        <f t="shared" si="64"/>
        <v/>
      </c>
      <c r="P403" s="70" t="str">
        <f t="shared" si="65"/>
        <v/>
      </c>
      <c r="Q403" s="69" t="str">
        <f t="shared" si="66"/>
        <v/>
      </c>
      <c r="S403" s="71"/>
      <c r="Z403" t="str">
        <f t="shared" si="67"/>
        <v/>
      </c>
      <c r="AA403">
        <f t="shared" si="68"/>
        <v>0</v>
      </c>
      <c r="AB403">
        <f t="shared" si="69"/>
        <v>12</v>
      </c>
      <c r="AC403">
        <f t="shared" si="70"/>
        <v>33</v>
      </c>
      <c r="AD403">
        <f t="shared" si="71"/>
        <v>1</v>
      </c>
    </row>
    <row r="404" spans="9:30" ht="15" customHeight="1">
      <c r="I404" s="69"/>
      <c r="J404" s="69"/>
      <c r="K404" s="69"/>
      <c r="L404" s="69"/>
      <c r="M404" s="69"/>
      <c r="N404" s="69" t="str">
        <f t="shared" si="63"/>
        <v/>
      </c>
      <c r="O404" s="69" t="str">
        <f t="shared" si="64"/>
        <v/>
      </c>
      <c r="P404" s="70" t="str">
        <f t="shared" si="65"/>
        <v/>
      </c>
      <c r="Q404" s="69" t="str">
        <f t="shared" si="66"/>
        <v/>
      </c>
      <c r="S404" s="71"/>
      <c r="Z404" t="str">
        <f t="shared" si="67"/>
        <v/>
      </c>
      <c r="AA404">
        <f t="shared" si="68"/>
        <v>0</v>
      </c>
      <c r="AB404">
        <f t="shared" si="69"/>
        <v>12</v>
      </c>
      <c r="AC404">
        <f t="shared" si="70"/>
        <v>33</v>
      </c>
      <c r="AD404">
        <f t="shared" si="71"/>
        <v>1</v>
      </c>
    </row>
    <row r="405" spans="9:30" ht="15" customHeight="1">
      <c r="I405" s="69"/>
      <c r="J405" s="69"/>
      <c r="K405" s="69"/>
      <c r="L405" s="69"/>
      <c r="M405" s="69"/>
      <c r="N405" s="69" t="str">
        <f t="shared" si="63"/>
        <v/>
      </c>
      <c r="O405" s="69" t="str">
        <f t="shared" si="64"/>
        <v/>
      </c>
      <c r="P405" s="70" t="str">
        <f t="shared" si="65"/>
        <v/>
      </c>
      <c r="Q405" s="69" t="str">
        <f t="shared" si="66"/>
        <v/>
      </c>
      <c r="S405" s="71"/>
      <c r="Z405" t="str">
        <f t="shared" si="67"/>
        <v/>
      </c>
      <c r="AA405">
        <f t="shared" si="68"/>
        <v>0</v>
      </c>
      <c r="AB405">
        <f t="shared" si="69"/>
        <v>12</v>
      </c>
      <c r="AC405">
        <f t="shared" si="70"/>
        <v>33</v>
      </c>
      <c r="AD405">
        <f t="shared" si="71"/>
        <v>1</v>
      </c>
    </row>
    <row r="406" spans="9:30" ht="15" customHeight="1">
      <c r="I406" s="69"/>
      <c r="J406" s="69"/>
      <c r="K406" s="69"/>
      <c r="L406" s="69"/>
      <c r="M406" s="69"/>
      <c r="N406" s="69" t="str">
        <f t="shared" si="63"/>
        <v/>
      </c>
      <c r="O406" s="69" t="str">
        <f t="shared" si="64"/>
        <v/>
      </c>
      <c r="P406" s="70" t="str">
        <f t="shared" si="65"/>
        <v/>
      </c>
      <c r="Q406" s="69" t="str">
        <f t="shared" si="66"/>
        <v/>
      </c>
      <c r="S406" s="71"/>
      <c r="Z406" t="str">
        <f t="shared" si="67"/>
        <v/>
      </c>
      <c r="AA406">
        <f t="shared" si="68"/>
        <v>0</v>
      </c>
      <c r="AB406">
        <f t="shared" si="69"/>
        <v>12</v>
      </c>
      <c r="AC406">
        <f t="shared" si="70"/>
        <v>33</v>
      </c>
      <c r="AD406">
        <f t="shared" si="71"/>
        <v>1</v>
      </c>
    </row>
    <row r="407" spans="9:30" ht="15" customHeight="1">
      <c r="I407" s="69"/>
      <c r="J407" s="69"/>
      <c r="K407" s="69"/>
      <c r="L407" s="69"/>
      <c r="M407" s="69"/>
      <c r="N407" s="69" t="str">
        <f t="shared" si="63"/>
        <v/>
      </c>
      <c r="O407" s="69" t="str">
        <f t="shared" si="64"/>
        <v/>
      </c>
      <c r="P407" s="70" t="str">
        <f t="shared" si="65"/>
        <v/>
      </c>
      <c r="Q407" s="69" t="str">
        <f t="shared" si="66"/>
        <v/>
      </c>
      <c r="S407" s="71"/>
      <c r="Z407" t="str">
        <f t="shared" si="67"/>
        <v/>
      </c>
      <c r="AA407">
        <f t="shared" si="68"/>
        <v>0</v>
      </c>
      <c r="AB407">
        <f t="shared" si="69"/>
        <v>12</v>
      </c>
      <c r="AC407">
        <f t="shared" si="70"/>
        <v>33</v>
      </c>
      <c r="AD407">
        <f t="shared" si="71"/>
        <v>1</v>
      </c>
    </row>
    <row r="408" spans="9:30" ht="15" customHeight="1">
      <c r="I408" s="69"/>
      <c r="J408" s="69"/>
      <c r="K408" s="69"/>
      <c r="L408" s="69"/>
      <c r="M408" s="69"/>
      <c r="N408" s="69" t="str">
        <f t="shared" si="63"/>
        <v/>
      </c>
      <c r="O408" s="69" t="str">
        <f t="shared" si="64"/>
        <v/>
      </c>
      <c r="P408" s="70" t="str">
        <f t="shared" si="65"/>
        <v/>
      </c>
      <c r="Q408" s="69" t="str">
        <f t="shared" si="66"/>
        <v/>
      </c>
      <c r="S408" s="71"/>
      <c r="Z408" t="str">
        <f t="shared" si="67"/>
        <v/>
      </c>
      <c r="AA408">
        <f t="shared" si="68"/>
        <v>0</v>
      </c>
      <c r="AB408">
        <f t="shared" si="69"/>
        <v>12</v>
      </c>
      <c r="AC408">
        <f t="shared" si="70"/>
        <v>33</v>
      </c>
      <c r="AD408">
        <f t="shared" si="71"/>
        <v>1</v>
      </c>
    </row>
    <row r="409" spans="9:30" ht="15" customHeight="1">
      <c r="I409" s="69"/>
      <c r="J409" s="69"/>
      <c r="K409" s="69"/>
      <c r="L409" s="69"/>
      <c r="M409" s="69"/>
      <c r="N409" s="69" t="str">
        <f t="shared" si="63"/>
        <v/>
      </c>
      <c r="O409" s="69" t="str">
        <f t="shared" si="64"/>
        <v/>
      </c>
      <c r="P409" s="70" t="str">
        <f t="shared" si="65"/>
        <v/>
      </c>
      <c r="Q409" s="69" t="str">
        <f t="shared" si="66"/>
        <v/>
      </c>
      <c r="S409" s="71"/>
      <c r="Z409" t="str">
        <f t="shared" si="67"/>
        <v/>
      </c>
      <c r="AA409">
        <f t="shared" si="68"/>
        <v>0</v>
      </c>
      <c r="AB409">
        <f t="shared" si="69"/>
        <v>12</v>
      </c>
      <c r="AC409">
        <f t="shared" si="70"/>
        <v>33</v>
      </c>
      <c r="AD409">
        <f t="shared" si="71"/>
        <v>1</v>
      </c>
    </row>
    <row r="410" spans="9:30" ht="15" customHeight="1">
      <c r="I410" s="69"/>
      <c r="J410" s="69"/>
      <c r="K410" s="69"/>
      <c r="L410" s="69"/>
      <c r="M410" s="69"/>
      <c r="N410" s="69" t="str">
        <f t="shared" si="63"/>
        <v/>
      </c>
      <c r="O410" s="69" t="str">
        <f t="shared" si="64"/>
        <v/>
      </c>
      <c r="P410" s="70" t="str">
        <f t="shared" si="65"/>
        <v/>
      </c>
      <c r="Q410" s="69" t="str">
        <f t="shared" si="66"/>
        <v/>
      </c>
      <c r="S410" s="71"/>
      <c r="Z410" t="str">
        <f t="shared" si="67"/>
        <v/>
      </c>
      <c r="AA410">
        <f t="shared" si="68"/>
        <v>0</v>
      </c>
      <c r="AB410">
        <f t="shared" si="69"/>
        <v>12</v>
      </c>
      <c r="AC410">
        <f t="shared" si="70"/>
        <v>33</v>
      </c>
      <c r="AD410">
        <f t="shared" si="71"/>
        <v>1</v>
      </c>
    </row>
    <row r="411" spans="9:30" ht="15" customHeight="1">
      <c r="I411" s="69"/>
      <c r="J411" s="69"/>
      <c r="K411" s="69"/>
      <c r="L411" s="69"/>
      <c r="M411" s="69"/>
      <c r="N411" s="69" t="str">
        <f t="shared" si="63"/>
        <v/>
      </c>
      <c r="O411" s="69" t="str">
        <f t="shared" si="64"/>
        <v/>
      </c>
      <c r="P411" s="70" t="str">
        <f t="shared" si="65"/>
        <v/>
      </c>
      <c r="Q411" s="69" t="str">
        <f t="shared" si="66"/>
        <v/>
      </c>
      <c r="S411" s="71"/>
      <c r="Z411" t="str">
        <f t="shared" si="67"/>
        <v/>
      </c>
      <c r="AA411">
        <f t="shared" si="68"/>
        <v>0</v>
      </c>
      <c r="AB411">
        <f t="shared" si="69"/>
        <v>12</v>
      </c>
      <c r="AC411">
        <f t="shared" si="70"/>
        <v>33</v>
      </c>
      <c r="AD411">
        <f t="shared" si="71"/>
        <v>1</v>
      </c>
    </row>
    <row r="412" spans="9:30" ht="15" customHeight="1">
      <c r="I412" s="69"/>
      <c r="J412" s="69"/>
      <c r="K412" s="69"/>
      <c r="L412" s="69"/>
      <c r="M412" s="69"/>
      <c r="N412" s="69" t="str">
        <f t="shared" si="63"/>
        <v/>
      </c>
      <c r="O412" s="69" t="str">
        <f t="shared" si="64"/>
        <v/>
      </c>
      <c r="P412" s="70" t="str">
        <f t="shared" si="65"/>
        <v/>
      </c>
      <c r="Q412" s="69" t="str">
        <f t="shared" si="66"/>
        <v/>
      </c>
      <c r="S412" s="71"/>
      <c r="Z412" t="str">
        <f t="shared" si="67"/>
        <v/>
      </c>
      <c r="AA412">
        <f t="shared" si="68"/>
        <v>0</v>
      </c>
      <c r="AB412">
        <f t="shared" si="69"/>
        <v>12</v>
      </c>
      <c r="AC412">
        <f t="shared" si="70"/>
        <v>33</v>
      </c>
      <c r="AD412">
        <f t="shared" si="71"/>
        <v>1</v>
      </c>
    </row>
    <row r="413" spans="9:30" ht="15" customHeight="1">
      <c r="I413" s="69"/>
      <c r="J413" s="69"/>
      <c r="K413" s="69"/>
      <c r="L413" s="69"/>
      <c r="M413" s="69"/>
      <c r="N413" s="69" t="str">
        <f t="shared" si="63"/>
        <v/>
      </c>
      <c r="O413" s="69" t="str">
        <f t="shared" si="64"/>
        <v/>
      </c>
      <c r="P413" s="70" t="str">
        <f t="shared" si="65"/>
        <v/>
      </c>
      <c r="Q413" s="69" t="str">
        <f t="shared" si="66"/>
        <v/>
      </c>
      <c r="S413" s="71"/>
      <c r="Z413" t="str">
        <f t="shared" si="67"/>
        <v/>
      </c>
      <c r="AA413">
        <f t="shared" si="68"/>
        <v>0</v>
      </c>
      <c r="AB413">
        <f t="shared" si="69"/>
        <v>12</v>
      </c>
      <c r="AC413">
        <f t="shared" si="70"/>
        <v>33</v>
      </c>
      <c r="AD413">
        <f t="shared" si="71"/>
        <v>1</v>
      </c>
    </row>
    <row r="414" spans="9:30" ht="15" customHeight="1">
      <c r="I414" s="69"/>
      <c r="J414" s="69"/>
      <c r="K414" s="69"/>
      <c r="L414" s="69"/>
      <c r="M414" s="69"/>
      <c r="N414" s="69" t="str">
        <f t="shared" si="63"/>
        <v/>
      </c>
      <c r="O414" s="69" t="str">
        <f t="shared" si="64"/>
        <v/>
      </c>
      <c r="P414" s="70" t="str">
        <f t="shared" si="65"/>
        <v/>
      </c>
      <c r="Q414" s="69" t="str">
        <f t="shared" si="66"/>
        <v/>
      </c>
      <c r="S414" s="71"/>
      <c r="Z414" t="str">
        <f t="shared" si="67"/>
        <v/>
      </c>
      <c r="AA414">
        <f t="shared" si="68"/>
        <v>0</v>
      </c>
      <c r="AB414">
        <f t="shared" si="69"/>
        <v>12</v>
      </c>
      <c r="AC414">
        <f t="shared" si="70"/>
        <v>33</v>
      </c>
      <c r="AD414">
        <f t="shared" si="71"/>
        <v>1</v>
      </c>
    </row>
    <row r="415" spans="9:30" ht="15" customHeight="1">
      <c r="I415" s="69"/>
      <c r="J415" s="69"/>
      <c r="K415" s="69"/>
      <c r="L415" s="69"/>
      <c r="M415" s="69"/>
      <c r="N415" s="69" t="str">
        <f t="shared" si="63"/>
        <v/>
      </c>
      <c r="O415" s="69" t="str">
        <f t="shared" si="64"/>
        <v/>
      </c>
      <c r="P415" s="70" t="str">
        <f t="shared" si="65"/>
        <v/>
      </c>
      <c r="Q415" s="69" t="str">
        <f t="shared" si="66"/>
        <v/>
      </c>
      <c r="S415" s="71"/>
      <c r="Z415" t="str">
        <f t="shared" si="67"/>
        <v/>
      </c>
      <c r="AA415">
        <f t="shared" si="68"/>
        <v>0</v>
      </c>
      <c r="AB415">
        <f t="shared" si="69"/>
        <v>12</v>
      </c>
      <c r="AC415">
        <f t="shared" si="70"/>
        <v>33</v>
      </c>
      <c r="AD415">
        <f t="shared" si="71"/>
        <v>1</v>
      </c>
    </row>
    <row r="416" spans="9:30" ht="15" customHeight="1">
      <c r="I416" s="69"/>
      <c r="J416" s="69"/>
      <c r="K416" s="69"/>
      <c r="L416" s="69"/>
      <c r="M416" s="69"/>
      <c r="N416" s="69" t="str">
        <f t="shared" si="63"/>
        <v/>
      </c>
      <c r="O416" s="69" t="str">
        <f t="shared" si="64"/>
        <v/>
      </c>
      <c r="P416" s="70" t="str">
        <f t="shared" si="65"/>
        <v/>
      </c>
      <c r="Q416" s="69" t="str">
        <f t="shared" si="66"/>
        <v/>
      </c>
      <c r="S416" s="71"/>
      <c r="Z416" t="str">
        <f t="shared" si="67"/>
        <v/>
      </c>
      <c r="AA416">
        <f t="shared" si="68"/>
        <v>0</v>
      </c>
      <c r="AB416">
        <f t="shared" si="69"/>
        <v>12</v>
      </c>
      <c r="AC416">
        <f t="shared" si="70"/>
        <v>33</v>
      </c>
      <c r="AD416">
        <f t="shared" si="71"/>
        <v>1</v>
      </c>
    </row>
    <row r="417" spans="9:30" ht="15" customHeight="1">
      <c r="I417" s="69"/>
      <c r="J417" s="69"/>
      <c r="K417" s="69"/>
      <c r="L417" s="69"/>
      <c r="M417" s="69"/>
      <c r="N417" s="69" t="str">
        <f t="shared" si="63"/>
        <v/>
      </c>
      <c r="O417" s="69" t="str">
        <f t="shared" si="64"/>
        <v/>
      </c>
      <c r="P417" s="70" t="str">
        <f t="shared" si="65"/>
        <v/>
      </c>
      <c r="Q417" s="69" t="str">
        <f t="shared" si="66"/>
        <v/>
      </c>
      <c r="S417" s="71"/>
      <c r="Z417" t="str">
        <f t="shared" si="67"/>
        <v/>
      </c>
      <c r="AA417">
        <f t="shared" si="68"/>
        <v>0</v>
      </c>
      <c r="AB417">
        <f t="shared" si="69"/>
        <v>12</v>
      </c>
      <c r="AC417">
        <f t="shared" si="70"/>
        <v>33</v>
      </c>
      <c r="AD417">
        <f t="shared" si="71"/>
        <v>1</v>
      </c>
    </row>
    <row r="418" spans="9:30" ht="15" customHeight="1">
      <c r="I418" s="69"/>
      <c r="J418" s="69"/>
      <c r="K418" s="69"/>
      <c r="L418" s="69"/>
      <c r="M418" s="69"/>
      <c r="N418" s="69" t="str">
        <f t="shared" si="63"/>
        <v/>
      </c>
      <c r="O418" s="69" t="str">
        <f t="shared" si="64"/>
        <v/>
      </c>
      <c r="P418" s="70" t="str">
        <f t="shared" si="65"/>
        <v/>
      </c>
      <c r="Q418" s="69" t="str">
        <f t="shared" si="66"/>
        <v/>
      </c>
      <c r="S418" s="71"/>
      <c r="Z418" t="str">
        <f t="shared" si="67"/>
        <v/>
      </c>
      <c r="AA418">
        <f t="shared" si="68"/>
        <v>0</v>
      </c>
      <c r="AB418">
        <f t="shared" si="69"/>
        <v>12</v>
      </c>
      <c r="AC418">
        <f t="shared" si="70"/>
        <v>33</v>
      </c>
      <c r="AD418">
        <f t="shared" si="71"/>
        <v>1</v>
      </c>
    </row>
    <row r="419" spans="9:30" ht="15" customHeight="1">
      <c r="I419" s="69"/>
      <c r="J419" s="69"/>
      <c r="K419" s="69"/>
      <c r="L419" s="69"/>
      <c r="M419" s="69"/>
      <c r="N419" s="69" t="str">
        <f t="shared" si="63"/>
        <v/>
      </c>
      <c r="O419" s="69" t="str">
        <f t="shared" si="64"/>
        <v/>
      </c>
      <c r="P419" s="70" t="str">
        <f t="shared" si="65"/>
        <v/>
      </c>
      <c r="Q419" s="69" t="str">
        <f t="shared" si="66"/>
        <v/>
      </c>
      <c r="S419" s="71"/>
      <c r="Z419" t="str">
        <f t="shared" si="67"/>
        <v/>
      </c>
      <c r="AA419">
        <f t="shared" si="68"/>
        <v>0</v>
      </c>
      <c r="AB419">
        <f t="shared" si="69"/>
        <v>12</v>
      </c>
      <c r="AC419">
        <f t="shared" si="70"/>
        <v>33</v>
      </c>
      <c r="AD419">
        <f t="shared" si="71"/>
        <v>1</v>
      </c>
    </row>
    <row r="420" spans="9:30" ht="15" customHeight="1">
      <c r="I420" s="69"/>
      <c r="J420" s="69"/>
      <c r="K420" s="69"/>
      <c r="L420" s="69"/>
      <c r="M420" s="69"/>
      <c r="N420" s="69" t="str">
        <f t="shared" si="63"/>
        <v/>
      </c>
      <c r="O420" s="69" t="str">
        <f t="shared" si="64"/>
        <v/>
      </c>
      <c r="P420" s="70" t="str">
        <f t="shared" si="65"/>
        <v/>
      </c>
      <c r="Q420" s="69" t="str">
        <f t="shared" si="66"/>
        <v/>
      </c>
      <c r="S420" s="71"/>
      <c r="Z420" t="str">
        <f t="shared" si="67"/>
        <v/>
      </c>
      <c r="AA420">
        <f t="shared" si="68"/>
        <v>0</v>
      </c>
      <c r="AB420">
        <f t="shared" si="69"/>
        <v>12</v>
      </c>
      <c r="AC420">
        <f t="shared" si="70"/>
        <v>33</v>
      </c>
      <c r="AD420">
        <f t="shared" si="71"/>
        <v>1</v>
      </c>
    </row>
    <row r="421" spans="9:30" ht="15" customHeight="1">
      <c r="I421" s="69"/>
      <c r="J421" s="69"/>
      <c r="K421" s="69"/>
      <c r="L421" s="69"/>
      <c r="M421" s="69"/>
      <c r="N421" s="69" t="str">
        <f t="shared" si="63"/>
        <v/>
      </c>
      <c r="O421" s="69" t="str">
        <f t="shared" si="64"/>
        <v/>
      </c>
      <c r="P421" s="70" t="str">
        <f t="shared" si="65"/>
        <v/>
      </c>
      <c r="Q421" s="69" t="str">
        <f t="shared" si="66"/>
        <v/>
      </c>
      <c r="S421" s="71"/>
      <c r="Z421" t="str">
        <f t="shared" si="67"/>
        <v/>
      </c>
      <c r="AA421">
        <f t="shared" si="68"/>
        <v>0</v>
      </c>
      <c r="AB421">
        <f t="shared" si="69"/>
        <v>12</v>
      </c>
      <c r="AC421">
        <f t="shared" si="70"/>
        <v>33</v>
      </c>
      <c r="AD421">
        <f t="shared" si="71"/>
        <v>1</v>
      </c>
    </row>
    <row r="422" spans="9:30" ht="15" customHeight="1">
      <c r="I422" s="69"/>
      <c r="J422" s="69"/>
      <c r="K422" s="69"/>
      <c r="L422" s="69"/>
      <c r="M422" s="69"/>
      <c r="N422" s="69" t="str">
        <f t="shared" si="63"/>
        <v/>
      </c>
      <c r="O422" s="69" t="str">
        <f t="shared" si="64"/>
        <v/>
      </c>
      <c r="P422" s="70" t="str">
        <f t="shared" si="65"/>
        <v/>
      </c>
      <c r="Q422" s="69" t="str">
        <f t="shared" si="66"/>
        <v/>
      </c>
      <c r="S422" s="71"/>
      <c r="Z422" t="str">
        <f t="shared" si="67"/>
        <v/>
      </c>
      <c r="AA422">
        <f t="shared" si="68"/>
        <v>0</v>
      </c>
      <c r="AB422">
        <f t="shared" si="69"/>
        <v>12</v>
      </c>
      <c r="AC422">
        <f t="shared" si="70"/>
        <v>33</v>
      </c>
      <c r="AD422">
        <f t="shared" si="71"/>
        <v>1</v>
      </c>
    </row>
    <row r="423" spans="9:30" ht="15" customHeight="1">
      <c r="I423" s="69"/>
      <c r="J423" s="69"/>
      <c r="K423" s="69"/>
      <c r="L423" s="69"/>
      <c r="M423" s="69"/>
      <c r="N423" s="69" t="str">
        <f t="shared" si="63"/>
        <v/>
      </c>
      <c r="O423" s="69" t="str">
        <f t="shared" si="64"/>
        <v/>
      </c>
      <c r="P423" s="70" t="str">
        <f t="shared" si="65"/>
        <v/>
      </c>
      <c r="Q423" s="69" t="str">
        <f t="shared" si="66"/>
        <v/>
      </c>
      <c r="S423" s="71"/>
      <c r="Z423" t="str">
        <f t="shared" si="67"/>
        <v/>
      </c>
      <c r="AA423">
        <f t="shared" si="68"/>
        <v>0</v>
      </c>
      <c r="AB423">
        <f t="shared" si="69"/>
        <v>12</v>
      </c>
      <c r="AC423">
        <f t="shared" si="70"/>
        <v>33</v>
      </c>
      <c r="AD423">
        <f t="shared" si="71"/>
        <v>1</v>
      </c>
    </row>
    <row r="424" spans="9:30" ht="15" customHeight="1">
      <c r="I424" s="69"/>
      <c r="J424" s="69"/>
      <c r="K424" s="69"/>
      <c r="L424" s="69"/>
      <c r="M424" s="69"/>
      <c r="N424" s="69" t="str">
        <f t="shared" si="63"/>
        <v/>
      </c>
      <c r="O424" s="69" t="str">
        <f t="shared" si="64"/>
        <v/>
      </c>
      <c r="P424" s="70" t="str">
        <f t="shared" si="65"/>
        <v/>
      </c>
      <c r="Q424" s="69" t="str">
        <f t="shared" si="66"/>
        <v/>
      </c>
      <c r="S424" s="71"/>
      <c r="Z424" t="str">
        <f t="shared" si="67"/>
        <v/>
      </c>
      <c r="AA424">
        <f t="shared" si="68"/>
        <v>0</v>
      </c>
      <c r="AB424">
        <f t="shared" si="69"/>
        <v>12</v>
      </c>
      <c r="AC424">
        <f t="shared" si="70"/>
        <v>33</v>
      </c>
      <c r="AD424">
        <f t="shared" si="71"/>
        <v>1</v>
      </c>
    </row>
    <row r="425" spans="9:30" ht="15" customHeight="1">
      <c r="I425" s="69"/>
      <c r="J425" s="69"/>
      <c r="K425" s="69"/>
      <c r="L425" s="69"/>
      <c r="M425" s="69"/>
      <c r="N425" s="69" t="str">
        <f t="shared" si="63"/>
        <v/>
      </c>
      <c r="O425" s="69" t="str">
        <f t="shared" si="64"/>
        <v/>
      </c>
      <c r="P425" s="70" t="str">
        <f t="shared" si="65"/>
        <v/>
      </c>
      <c r="Q425" s="69" t="str">
        <f t="shared" si="66"/>
        <v/>
      </c>
      <c r="S425" s="71"/>
      <c r="Z425" t="str">
        <f t="shared" si="67"/>
        <v/>
      </c>
      <c r="AA425">
        <f t="shared" si="68"/>
        <v>0</v>
      </c>
      <c r="AB425">
        <f t="shared" si="69"/>
        <v>12</v>
      </c>
      <c r="AC425">
        <f t="shared" si="70"/>
        <v>33</v>
      </c>
      <c r="AD425">
        <f t="shared" si="71"/>
        <v>1</v>
      </c>
    </row>
    <row r="426" spans="9:30" ht="15" customHeight="1">
      <c r="I426" s="69"/>
      <c r="J426" s="69"/>
      <c r="K426" s="69"/>
      <c r="L426" s="69"/>
      <c r="M426" s="69"/>
      <c r="N426" s="69" t="str">
        <f t="shared" si="63"/>
        <v/>
      </c>
      <c r="O426" s="69" t="str">
        <f t="shared" si="64"/>
        <v/>
      </c>
      <c r="P426" s="70" t="str">
        <f t="shared" si="65"/>
        <v/>
      </c>
      <c r="Q426" s="69" t="str">
        <f t="shared" si="66"/>
        <v/>
      </c>
      <c r="S426" s="71"/>
      <c r="Z426" t="str">
        <f t="shared" si="67"/>
        <v/>
      </c>
      <c r="AA426">
        <f t="shared" si="68"/>
        <v>0</v>
      </c>
      <c r="AB426">
        <f t="shared" si="69"/>
        <v>12</v>
      </c>
      <c r="AC426">
        <f t="shared" si="70"/>
        <v>33</v>
      </c>
      <c r="AD426">
        <f t="shared" si="71"/>
        <v>1</v>
      </c>
    </row>
    <row r="427" spans="9:30" ht="15" customHeight="1">
      <c r="I427" s="69"/>
      <c r="J427" s="69"/>
      <c r="K427" s="69"/>
      <c r="L427" s="69"/>
      <c r="M427" s="69"/>
      <c r="N427" s="69" t="str">
        <f t="shared" si="63"/>
        <v/>
      </c>
      <c r="O427" s="69" t="str">
        <f t="shared" si="64"/>
        <v/>
      </c>
      <c r="P427" s="70" t="str">
        <f t="shared" si="65"/>
        <v/>
      </c>
      <c r="Q427" s="69" t="str">
        <f t="shared" si="66"/>
        <v/>
      </c>
      <c r="S427" s="71"/>
      <c r="Z427" t="str">
        <f t="shared" si="67"/>
        <v/>
      </c>
      <c r="AA427">
        <f t="shared" si="68"/>
        <v>0</v>
      </c>
      <c r="AB427">
        <f t="shared" si="69"/>
        <v>12</v>
      </c>
      <c r="AC427">
        <f t="shared" si="70"/>
        <v>33</v>
      </c>
      <c r="AD427">
        <f t="shared" si="71"/>
        <v>1</v>
      </c>
    </row>
    <row r="428" spans="9:30" ht="15" customHeight="1">
      <c r="I428" s="69"/>
      <c r="J428" s="69"/>
      <c r="K428" s="69"/>
      <c r="L428" s="69"/>
      <c r="M428" s="69"/>
      <c r="N428" s="69" t="str">
        <f t="shared" si="63"/>
        <v/>
      </c>
      <c r="O428" s="69" t="str">
        <f t="shared" si="64"/>
        <v/>
      </c>
      <c r="P428" s="70" t="str">
        <f t="shared" si="65"/>
        <v/>
      </c>
      <c r="Q428" s="69" t="str">
        <f t="shared" si="66"/>
        <v/>
      </c>
      <c r="S428" s="71"/>
      <c r="Z428" t="str">
        <f t="shared" si="67"/>
        <v/>
      </c>
      <c r="AA428">
        <f t="shared" si="68"/>
        <v>0</v>
      </c>
      <c r="AB428">
        <f t="shared" si="69"/>
        <v>12</v>
      </c>
      <c r="AC428">
        <f t="shared" si="70"/>
        <v>33</v>
      </c>
      <c r="AD428">
        <f t="shared" si="71"/>
        <v>1</v>
      </c>
    </row>
    <row r="429" spans="9:30" ht="15" customHeight="1">
      <c r="I429" s="69"/>
      <c r="J429" s="69"/>
      <c r="K429" s="69"/>
      <c r="L429" s="69"/>
      <c r="M429" s="69"/>
      <c r="N429" s="69" t="str">
        <f t="shared" si="63"/>
        <v/>
      </c>
      <c r="O429" s="69" t="str">
        <f t="shared" si="64"/>
        <v/>
      </c>
      <c r="P429" s="70" t="str">
        <f t="shared" si="65"/>
        <v/>
      </c>
      <c r="Q429" s="69" t="str">
        <f t="shared" si="66"/>
        <v/>
      </c>
      <c r="S429" s="71"/>
      <c r="Z429" t="str">
        <f t="shared" si="67"/>
        <v/>
      </c>
      <c r="AA429">
        <f t="shared" si="68"/>
        <v>0</v>
      </c>
      <c r="AB429">
        <f t="shared" si="69"/>
        <v>12</v>
      </c>
      <c r="AC429">
        <f t="shared" si="70"/>
        <v>33</v>
      </c>
      <c r="AD429">
        <f t="shared" si="71"/>
        <v>1</v>
      </c>
    </row>
    <row r="430" spans="9:30" ht="15" customHeight="1">
      <c r="I430" s="69"/>
      <c r="J430" s="69"/>
      <c r="K430" s="69"/>
      <c r="L430" s="69"/>
      <c r="M430" s="69"/>
      <c r="N430" s="69" t="str">
        <f t="shared" si="63"/>
        <v/>
      </c>
      <c r="O430" s="69" t="str">
        <f t="shared" si="64"/>
        <v/>
      </c>
      <c r="P430" s="70" t="str">
        <f t="shared" si="65"/>
        <v/>
      </c>
      <c r="Q430" s="69" t="str">
        <f t="shared" si="66"/>
        <v/>
      </c>
      <c r="S430" s="71"/>
      <c r="Z430" t="str">
        <f t="shared" si="67"/>
        <v/>
      </c>
      <c r="AA430">
        <f t="shared" si="68"/>
        <v>0</v>
      </c>
      <c r="AB430">
        <f t="shared" si="69"/>
        <v>12</v>
      </c>
      <c r="AC430">
        <f t="shared" si="70"/>
        <v>33</v>
      </c>
      <c r="AD430">
        <f t="shared" si="71"/>
        <v>1</v>
      </c>
    </row>
    <row r="431" spans="9:30" ht="15" customHeight="1">
      <c r="I431" s="69"/>
      <c r="J431" s="69"/>
      <c r="K431" s="69"/>
      <c r="L431" s="69"/>
      <c r="M431" s="69"/>
      <c r="N431" s="69" t="str">
        <f t="shared" si="63"/>
        <v/>
      </c>
      <c r="O431" s="69" t="str">
        <f t="shared" si="64"/>
        <v/>
      </c>
      <c r="P431" s="70" t="str">
        <f t="shared" si="65"/>
        <v/>
      </c>
      <c r="Q431" s="69" t="str">
        <f t="shared" si="66"/>
        <v/>
      </c>
      <c r="S431" s="71"/>
      <c r="Z431" t="str">
        <f t="shared" si="67"/>
        <v/>
      </c>
      <c r="AA431">
        <f t="shared" si="68"/>
        <v>0</v>
      </c>
      <c r="AB431">
        <f t="shared" si="69"/>
        <v>12</v>
      </c>
      <c r="AC431">
        <f t="shared" si="70"/>
        <v>33</v>
      </c>
      <c r="AD431">
        <f t="shared" si="71"/>
        <v>1</v>
      </c>
    </row>
    <row r="432" spans="9:30" ht="15" customHeight="1">
      <c r="I432" s="69"/>
      <c r="J432" s="69"/>
      <c r="K432" s="69"/>
      <c r="L432" s="69"/>
      <c r="M432" s="69"/>
      <c r="N432" s="69" t="str">
        <f t="shared" si="63"/>
        <v/>
      </c>
      <c r="O432" s="69" t="str">
        <f t="shared" si="64"/>
        <v/>
      </c>
      <c r="P432" s="70" t="str">
        <f t="shared" si="65"/>
        <v/>
      </c>
      <c r="Q432" s="69" t="str">
        <f t="shared" si="66"/>
        <v/>
      </c>
      <c r="S432" s="71"/>
      <c r="Z432" t="str">
        <f t="shared" si="67"/>
        <v/>
      </c>
      <c r="AA432">
        <f t="shared" si="68"/>
        <v>0</v>
      </c>
      <c r="AB432">
        <f t="shared" si="69"/>
        <v>12</v>
      </c>
      <c r="AC432">
        <f t="shared" si="70"/>
        <v>33</v>
      </c>
      <c r="AD432">
        <f t="shared" si="71"/>
        <v>1</v>
      </c>
    </row>
    <row r="433" spans="9:30" ht="15" customHeight="1">
      <c r="I433" s="69"/>
      <c r="J433" s="69"/>
      <c r="K433" s="69"/>
      <c r="L433" s="69"/>
      <c r="M433" s="69"/>
      <c r="N433" s="69" t="str">
        <f t="shared" si="63"/>
        <v/>
      </c>
      <c r="O433" s="69" t="str">
        <f t="shared" si="64"/>
        <v/>
      </c>
      <c r="P433" s="70" t="str">
        <f t="shared" si="65"/>
        <v/>
      </c>
      <c r="Q433" s="69" t="str">
        <f t="shared" si="66"/>
        <v/>
      </c>
      <c r="S433" s="71"/>
      <c r="Z433" t="str">
        <f t="shared" si="67"/>
        <v/>
      </c>
      <c r="AA433">
        <f t="shared" si="68"/>
        <v>0</v>
      </c>
      <c r="AB433">
        <f t="shared" si="69"/>
        <v>12</v>
      </c>
      <c r="AC433">
        <f t="shared" si="70"/>
        <v>33</v>
      </c>
      <c r="AD433">
        <f t="shared" si="71"/>
        <v>1</v>
      </c>
    </row>
    <row r="434" spans="9:30" ht="15" customHeight="1">
      <c r="I434" s="69"/>
      <c r="J434" s="69"/>
      <c r="K434" s="69"/>
      <c r="L434" s="69"/>
      <c r="M434" s="69"/>
      <c r="N434" s="69" t="str">
        <f t="shared" si="63"/>
        <v/>
      </c>
      <c r="O434" s="69" t="str">
        <f t="shared" si="64"/>
        <v/>
      </c>
      <c r="P434" s="70" t="str">
        <f t="shared" si="65"/>
        <v/>
      </c>
      <c r="Q434" s="69" t="str">
        <f t="shared" si="66"/>
        <v/>
      </c>
      <c r="S434" s="71"/>
      <c r="Z434" t="str">
        <f t="shared" si="67"/>
        <v/>
      </c>
      <c r="AA434">
        <f t="shared" si="68"/>
        <v>0</v>
      </c>
      <c r="AB434">
        <f t="shared" si="69"/>
        <v>12</v>
      </c>
      <c r="AC434">
        <f t="shared" si="70"/>
        <v>33</v>
      </c>
      <c r="AD434">
        <f t="shared" si="71"/>
        <v>1</v>
      </c>
    </row>
    <row r="435" spans="9:30" ht="15" customHeight="1">
      <c r="I435" s="69"/>
      <c r="J435" s="69"/>
      <c r="K435" s="69"/>
      <c r="L435" s="69"/>
      <c r="M435" s="69"/>
      <c r="N435" s="69" t="str">
        <f t="shared" si="63"/>
        <v/>
      </c>
      <c r="O435" s="69" t="str">
        <f t="shared" si="64"/>
        <v/>
      </c>
      <c r="P435" s="70" t="str">
        <f t="shared" si="65"/>
        <v/>
      </c>
      <c r="Q435" s="69" t="str">
        <f t="shared" si="66"/>
        <v/>
      </c>
      <c r="S435" s="71"/>
      <c r="Z435" t="str">
        <f t="shared" si="67"/>
        <v/>
      </c>
      <c r="AA435">
        <f t="shared" si="68"/>
        <v>0</v>
      </c>
      <c r="AB435">
        <f t="shared" si="69"/>
        <v>12</v>
      </c>
      <c r="AC435">
        <f t="shared" si="70"/>
        <v>33</v>
      </c>
      <c r="AD435">
        <f t="shared" si="71"/>
        <v>1</v>
      </c>
    </row>
    <row r="436" spans="9:30" ht="15" customHeight="1">
      <c r="I436" s="69"/>
      <c r="J436" s="69"/>
      <c r="K436" s="69"/>
      <c r="L436" s="69"/>
      <c r="M436" s="69"/>
      <c r="N436" s="69" t="str">
        <f t="shared" si="63"/>
        <v/>
      </c>
      <c r="O436" s="69" t="str">
        <f t="shared" si="64"/>
        <v/>
      </c>
      <c r="P436" s="70" t="str">
        <f t="shared" si="65"/>
        <v/>
      </c>
      <c r="Q436" s="69" t="str">
        <f t="shared" si="66"/>
        <v/>
      </c>
      <c r="S436" s="71"/>
      <c r="Z436" t="str">
        <f t="shared" si="67"/>
        <v/>
      </c>
      <c r="AA436">
        <f t="shared" si="68"/>
        <v>0</v>
      </c>
      <c r="AB436">
        <f t="shared" si="69"/>
        <v>12</v>
      </c>
      <c r="AC436">
        <f t="shared" si="70"/>
        <v>33</v>
      </c>
      <c r="AD436">
        <f t="shared" si="71"/>
        <v>1</v>
      </c>
    </row>
    <row r="437" spans="9:30" ht="15" customHeight="1">
      <c r="I437" s="69"/>
      <c r="J437" s="69"/>
      <c r="K437" s="69"/>
      <c r="L437" s="69"/>
      <c r="M437" s="69"/>
      <c r="N437" s="69" t="str">
        <f t="shared" ref="N437:N500" si="72">IF(ISNUMBER(I437),ROUND(I437-I437/1.081,2),"")</f>
        <v/>
      </c>
      <c r="O437" s="69" t="str">
        <f t="shared" si="64"/>
        <v/>
      </c>
      <c r="P437" s="70" t="str">
        <f t="shared" si="65"/>
        <v/>
      </c>
      <c r="Q437" s="69" t="str">
        <f t="shared" si="66"/>
        <v/>
      </c>
      <c r="S437" s="71"/>
      <c r="Z437" t="str">
        <f t="shared" si="67"/>
        <v/>
      </c>
      <c r="AA437">
        <f t="shared" si="68"/>
        <v>0</v>
      </c>
      <c r="AB437">
        <f t="shared" si="69"/>
        <v>12</v>
      </c>
      <c r="AC437">
        <f t="shared" si="70"/>
        <v>33</v>
      </c>
      <c r="AD437">
        <f t="shared" si="71"/>
        <v>1</v>
      </c>
    </row>
    <row r="438" spans="9:30" ht="15" customHeight="1">
      <c r="I438" s="69"/>
      <c r="J438" s="69"/>
      <c r="K438" s="69"/>
      <c r="L438" s="69"/>
      <c r="M438" s="69"/>
      <c r="N438" s="69" t="str">
        <f t="shared" si="72"/>
        <v/>
      </c>
      <c r="O438" s="69" t="str">
        <f t="shared" si="64"/>
        <v/>
      </c>
      <c r="P438" s="70" t="str">
        <f t="shared" si="65"/>
        <v/>
      </c>
      <c r="Q438" s="69" t="str">
        <f t="shared" si="66"/>
        <v/>
      </c>
      <c r="S438" s="71"/>
      <c r="Z438" t="str">
        <f t="shared" si="67"/>
        <v/>
      </c>
      <c r="AA438">
        <f t="shared" si="68"/>
        <v>0</v>
      </c>
      <c r="AB438">
        <f t="shared" si="69"/>
        <v>12</v>
      </c>
      <c r="AC438">
        <f t="shared" si="70"/>
        <v>33</v>
      </c>
      <c r="AD438">
        <f t="shared" si="71"/>
        <v>1</v>
      </c>
    </row>
    <row r="439" spans="9:30" ht="15" customHeight="1">
      <c r="I439" s="69"/>
      <c r="J439" s="69"/>
      <c r="K439" s="69"/>
      <c r="L439" s="69"/>
      <c r="M439" s="69"/>
      <c r="N439" s="69" t="str">
        <f t="shared" si="72"/>
        <v/>
      </c>
      <c r="O439" s="69" t="str">
        <f t="shared" si="64"/>
        <v/>
      </c>
      <c r="P439" s="70" t="str">
        <f t="shared" si="65"/>
        <v/>
      </c>
      <c r="Q439" s="69" t="str">
        <f t="shared" si="66"/>
        <v/>
      </c>
      <c r="S439" s="71"/>
      <c r="Z439" t="str">
        <f t="shared" si="67"/>
        <v/>
      </c>
      <c r="AA439">
        <f t="shared" si="68"/>
        <v>0</v>
      </c>
      <c r="AB439">
        <f t="shared" si="69"/>
        <v>12</v>
      </c>
      <c r="AC439">
        <f t="shared" si="70"/>
        <v>33</v>
      </c>
      <c r="AD439">
        <f t="shared" si="71"/>
        <v>1</v>
      </c>
    </row>
    <row r="440" spans="9:30" ht="15" customHeight="1">
      <c r="I440" s="69"/>
      <c r="J440" s="69"/>
      <c r="K440" s="69"/>
      <c r="L440" s="69"/>
      <c r="M440" s="69"/>
      <c r="N440" s="69" t="str">
        <f t="shared" si="72"/>
        <v/>
      </c>
      <c r="O440" s="69" t="str">
        <f t="shared" si="64"/>
        <v/>
      </c>
      <c r="P440" s="70" t="str">
        <f t="shared" si="65"/>
        <v/>
      </c>
      <c r="Q440" s="69" t="str">
        <f t="shared" si="66"/>
        <v/>
      </c>
      <c r="S440" s="71"/>
      <c r="Z440" t="str">
        <f t="shared" si="67"/>
        <v/>
      </c>
      <c r="AA440">
        <f t="shared" si="68"/>
        <v>0</v>
      </c>
      <c r="AB440">
        <f t="shared" si="69"/>
        <v>12</v>
      </c>
      <c r="AC440">
        <f t="shared" si="70"/>
        <v>33</v>
      </c>
      <c r="AD440">
        <f t="shared" si="71"/>
        <v>1</v>
      </c>
    </row>
    <row r="441" spans="9:30" ht="15" customHeight="1">
      <c r="I441" s="69"/>
      <c r="J441" s="69"/>
      <c r="K441" s="69"/>
      <c r="L441" s="69"/>
      <c r="M441" s="69"/>
      <c r="N441" s="69" t="str">
        <f t="shared" si="72"/>
        <v/>
      </c>
      <c r="O441" s="69" t="str">
        <f t="shared" si="64"/>
        <v/>
      </c>
      <c r="P441" s="70" t="str">
        <f t="shared" si="65"/>
        <v/>
      </c>
      <c r="Q441" s="69" t="str">
        <f t="shared" si="66"/>
        <v/>
      </c>
      <c r="S441" s="71"/>
      <c r="Z441" t="str">
        <f t="shared" si="67"/>
        <v/>
      </c>
      <c r="AA441">
        <f t="shared" si="68"/>
        <v>0</v>
      </c>
      <c r="AB441">
        <f t="shared" si="69"/>
        <v>12</v>
      </c>
      <c r="AC441">
        <f t="shared" si="70"/>
        <v>33</v>
      </c>
      <c r="AD441">
        <f t="shared" si="71"/>
        <v>1</v>
      </c>
    </row>
    <row r="442" spans="9:30" ht="15" customHeight="1">
      <c r="I442" s="69"/>
      <c r="J442" s="69"/>
      <c r="K442" s="69"/>
      <c r="L442" s="69"/>
      <c r="M442" s="69"/>
      <c r="N442" s="69" t="str">
        <f t="shared" si="72"/>
        <v/>
      </c>
      <c r="O442" s="69" t="str">
        <f t="shared" si="64"/>
        <v/>
      </c>
      <c r="P442" s="70" t="str">
        <f t="shared" si="65"/>
        <v/>
      </c>
      <c r="Q442" s="69" t="str">
        <f t="shared" si="66"/>
        <v/>
      </c>
      <c r="S442" s="71"/>
      <c r="Z442" t="str">
        <f t="shared" si="67"/>
        <v/>
      </c>
      <c r="AA442">
        <f t="shared" si="68"/>
        <v>0</v>
      </c>
      <c r="AB442">
        <f t="shared" si="69"/>
        <v>12</v>
      </c>
      <c r="AC442">
        <f t="shared" si="70"/>
        <v>33</v>
      </c>
      <c r="AD442">
        <f t="shared" si="71"/>
        <v>1</v>
      </c>
    </row>
    <row r="443" spans="9:30" ht="15" customHeight="1">
      <c r="I443" s="69"/>
      <c r="J443" s="69"/>
      <c r="K443" s="69"/>
      <c r="L443" s="69"/>
      <c r="M443" s="69"/>
      <c r="N443" s="69" t="str">
        <f t="shared" si="72"/>
        <v/>
      </c>
      <c r="O443" s="69" t="str">
        <f t="shared" si="64"/>
        <v/>
      </c>
      <c r="P443" s="70" t="str">
        <f t="shared" si="65"/>
        <v/>
      </c>
      <c r="Q443" s="69" t="str">
        <f t="shared" si="66"/>
        <v/>
      </c>
      <c r="S443" s="71"/>
      <c r="Z443" t="str">
        <f t="shared" si="67"/>
        <v/>
      </c>
      <c r="AA443">
        <f t="shared" si="68"/>
        <v>0</v>
      </c>
      <c r="AB443">
        <f t="shared" si="69"/>
        <v>12</v>
      </c>
      <c r="AC443">
        <f t="shared" si="70"/>
        <v>33</v>
      </c>
      <c r="AD443">
        <f t="shared" si="71"/>
        <v>1</v>
      </c>
    </row>
    <row r="444" spans="9:30" ht="15" customHeight="1">
      <c r="I444" s="69"/>
      <c r="J444" s="69"/>
      <c r="K444" s="69"/>
      <c r="L444" s="69"/>
      <c r="M444" s="69"/>
      <c r="N444" s="69" t="str">
        <f t="shared" si="72"/>
        <v/>
      </c>
      <c r="O444" s="69" t="str">
        <f t="shared" si="64"/>
        <v/>
      </c>
      <c r="P444" s="70" t="str">
        <f t="shared" si="65"/>
        <v/>
      </c>
      <c r="Q444" s="69" t="str">
        <f t="shared" si="66"/>
        <v/>
      </c>
      <c r="S444" s="71"/>
      <c r="Z444" t="str">
        <f t="shared" si="67"/>
        <v/>
      </c>
      <c r="AA444">
        <f t="shared" si="68"/>
        <v>0</v>
      </c>
      <c r="AB444">
        <f t="shared" si="69"/>
        <v>12</v>
      </c>
      <c r="AC444">
        <f t="shared" si="70"/>
        <v>33</v>
      </c>
      <c r="AD444">
        <f t="shared" si="71"/>
        <v>1</v>
      </c>
    </row>
    <row r="445" spans="9:30" ht="15" customHeight="1">
      <c r="I445" s="69"/>
      <c r="J445" s="69"/>
      <c r="K445" s="69"/>
      <c r="L445" s="69"/>
      <c r="M445" s="69"/>
      <c r="N445" s="69" t="str">
        <f t="shared" si="72"/>
        <v/>
      </c>
      <c r="O445" s="69" t="str">
        <f t="shared" si="64"/>
        <v/>
      </c>
      <c r="P445" s="70" t="str">
        <f t="shared" si="65"/>
        <v/>
      </c>
      <c r="Q445" s="69" t="str">
        <f t="shared" si="66"/>
        <v/>
      </c>
      <c r="S445" s="71"/>
      <c r="Z445" t="str">
        <f t="shared" si="67"/>
        <v/>
      </c>
      <c r="AA445">
        <f t="shared" si="68"/>
        <v>0</v>
      </c>
      <c r="AB445">
        <f t="shared" si="69"/>
        <v>12</v>
      </c>
      <c r="AC445">
        <f t="shared" si="70"/>
        <v>33</v>
      </c>
      <c r="AD445">
        <f t="shared" si="71"/>
        <v>1</v>
      </c>
    </row>
    <row r="446" spans="9:30" ht="15" customHeight="1">
      <c r="I446" s="69"/>
      <c r="J446" s="69"/>
      <c r="K446" s="69"/>
      <c r="L446" s="69"/>
      <c r="M446" s="69"/>
      <c r="N446" s="69" t="str">
        <f t="shared" si="72"/>
        <v/>
      </c>
      <c r="O446" s="69" t="str">
        <f t="shared" si="64"/>
        <v/>
      </c>
      <c r="P446" s="70" t="str">
        <f t="shared" si="65"/>
        <v/>
      </c>
      <c r="Q446" s="69" t="str">
        <f t="shared" si="66"/>
        <v/>
      </c>
      <c r="S446" s="71"/>
      <c r="Z446" t="str">
        <f t="shared" si="67"/>
        <v/>
      </c>
      <c r="AA446">
        <f t="shared" si="68"/>
        <v>0</v>
      </c>
      <c r="AB446">
        <f t="shared" si="69"/>
        <v>12</v>
      </c>
      <c r="AC446">
        <f t="shared" si="70"/>
        <v>33</v>
      </c>
      <c r="AD446">
        <f t="shared" si="71"/>
        <v>1</v>
      </c>
    </row>
    <row r="447" spans="9:30" ht="15" customHeight="1">
      <c r="I447" s="69"/>
      <c r="J447" s="69"/>
      <c r="K447" s="69"/>
      <c r="L447" s="69"/>
      <c r="M447" s="69"/>
      <c r="N447" s="69" t="str">
        <f t="shared" si="72"/>
        <v/>
      </c>
      <c r="O447" s="69" t="str">
        <f t="shared" si="64"/>
        <v/>
      </c>
      <c r="P447" s="70" t="str">
        <f t="shared" si="65"/>
        <v/>
      </c>
      <c r="Q447" s="69" t="str">
        <f t="shared" si="66"/>
        <v/>
      </c>
      <c r="S447" s="71"/>
      <c r="Z447" t="str">
        <f t="shared" si="67"/>
        <v/>
      </c>
      <c r="AA447">
        <f t="shared" si="68"/>
        <v>0</v>
      </c>
      <c r="AB447">
        <f t="shared" si="69"/>
        <v>12</v>
      </c>
      <c r="AC447">
        <f t="shared" si="70"/>
        <v>33</v>
      </c>
      <c r="AD447">
        <f t="shared" si="71"/>
        <v>1</v>
      </c>
    </row>
    <row r="448" spans="9:30" ht="15" customHeight="1">
      <c r="I448" s="69"/>
      <c r="J448" s="69"/>
      <c r="K448" s="69"/>
      <c r="L448" s="69"/>
      <c r="M448" s="69"/>
      <c r="N448" s="69" t="str">
        <f t="shared" si="72"/>
        <v/>
      </c>
      <c r="O448" s="69" t="str">
        <f t="shared" si="64"/>
        <v/>
      </c>
      <c r="P448" s="70" t="str">
        <f t="shared" si="65"/>
        <v/>
      </c>
      <c r="Q448" s="69" t="str">
        <f t="shared" si="66"/>
        <v/>
      </c>
      <c r="S448" s="71"/>
      <c r="Z448" t="str">
        <f t="shared" si="67"/>
        <v/>
      </c>
      <c r="AA448">
        <f t="shared" si="68"/>
        <v>0</v>
      </c>
      <c r="AB448">
        <f t="shared" si="69"/>
        <v>12</v>
      </c>
      <c r="AC448">
        <f t="shared" si="70"/>
        <v>33</v>
      </c>
      <c r="AD448">
        <f t="shared" si="71"/>
        <v>1</v>
      </c>
    </row>
    <row r="449" spans="9:30" ht="15" customHeight="1">
      <c r="I449" s="69"/>
      <c r="J449" s="69"/>
      <c r="K449" s="69"/>
      <c r="L449" s="69"/>
      <c r="M449" s="69"/>
      <c r="N449" s="69" t="str">
        <f t="shared" si="72"/>
        <v/>
      </c>
      <c r="O449" s="69" t="str">
        <f t="shared" si="64"/>
        <v/>
      </c>
      <c r="P449" s="70" t="str">
        <f t="shared" si="65"/>
        <v/>
      </c>
      <c r="Q449" s="69" t="str">
        <f t="shared" si="66"/>
        <v/>
      </c>
      <c r="S449" s="71"/>
      <c r="Z449" t="str">
        <f t="shared" si="67"/>
        <v/>
      </c>
      <c r="AA449">
        <f t="shared" si="68"/>
        <v>0</v>
      </c>
      <c r="AB449">
        <f t="shared" si="69"/>
        <v>12</v>
      </c>
      <c r="AC449">
        <f t="shared" si="70"/>
        <v>33</v>
      </c>
      <c r="AD449">
        <f t="shared" si="71"/>
        <v>1</v>
      </c>
    </row>
    <row r="450" spans="9:30" ht="15" customHeight="1">
      <c r="I450" s="69"/>
      <c r="J450" s="69"/>
      <c r="K450" s="69"/>
      <c r="L450" s="69"/>
      <c r="M450" s="69"/>
      <c r="N450" s="69" t="str">
        <f t="shared" si="72"/>
        <v/>
      </c>
      <c r="O450" s="69" t="str">
        <f t="shared" si="64"/>
        <v/>
      </c>
      <c r="P450" s="70" t="str">
        <f t="shared" si="65"/>
        <v/>
      </c>
      <c r="Q450" s="69" t="str">
        <f t="shared" si="66"/>
        <v/>
      </c>
      <c r="S450" s="71"/>
      <c r="Z450" t="str">
        <f t="shared" si="67"/>
        <v/>
      </c>
      <c r="AA450">
        <f t="shared" si="68"/>
        <v>0</v>
      </c>
      <c r="AB450">
        <f t="shared" si="69"/>
        <v>12</v>
      </c>
      <c r="AC450">
        <f t="shared" si="70"/>
        <v>33</v>
      </c>
      <c r="AD450">
        <f t="shared" si="71"/>
        <v>1</v>
      </c>
    </row>
    <row r="451" spans="9:30" ht="15" customHeight="1">
      <c r="I451" s="69"/>
      <c r="J451" s="69"/>
      <c r="K451" s="69"/>
      <c r="L451" s="69"/>
      <c r="M451" s="69"/>
      <c r="N451" s="69" t="str">
        <f t="shared" si="72"/>
        <v/>
      </c>
      <c r="O451" s="69" t="str">
        <f t="shared" si="64"/>
        <v/>
      </c>
      <c r="P451" s="70" t="str">
        <f t="shared" si="65"/>
        <v/>
      </c>
      <c r="Q451" s="69" t="str">
        <f t="shared" si="66"/>
        <v/>
      </c>
      <c r="S451" s="71"/>
      <c r="Z451" t="str">
        <f t="shared" si="67"/>
        <v/>
      </c>
      <c r="AA451">
        <f t="shared" si="68"/>
        <v>0</v>
      </c>
      <c r="AB451">
        <f t="shared" si="69"/>
        <v>12</v>
      </c>
      <c r="AC451">
        <f t="shared" si="70"/>
        <v>33</v>
      </c>
      <c r="AD451">
        <f t="shared" si="71"/>
        <v>1</v>
      </c>
    </row>
    <row r="452" spans="9:30" ht="15" customHeight="1">
      <c r="I452" s="69"/>
      <c r="J452" s="69"/>
      <c r="K452" s="69"/>
      <c r="L452" s="69"/>
      <c r="M452" s="69"/>
      <c r="N452" s="69" t="str">
        <f t="shared" si="72"/>
        <v/>
      </c>
      <c r="O452" s="69" t="str">
        <f t="shared" si="64"/>
        <v/>
      </c>
      <c r="P452" s="70" t="str">
        <f t="shared" si="65"/>
        <v/>
      </c>
      <c r="Q452" s="69" t="str">
        <f t="shared" si="66"/>
        <v/>
      </c>
      <c r="S452" s="71"/>
      <c r="Z452" t="str">
        <f t="shared" si="67"/>
        <v/>
      </c>
      <c r="AA452">
        <f t="shared" si="68"/>
        <v>0</v>
      </c>
      <c r="AB452">
        <f t="shared" si="69"/>
        <v>12</v>
      </c>
      <c r="AC452">
        <f t="shared" si="70"/>
        <v>33</v>
      </c>
      <c r="AD452">
        <f t="shared" si="71"/>
        <v>1</v>
      </c>
    </row>
    <row r="453" spans="9:30" ht="15" customHeight="1">
      <c r="I453" s="69"/>
      <c r="J453" s="69"/>
      <c r="K453" s="69"/>
      <c r="L453" s="69"/>
      <c r="M453" s="69"/>
      <c r="N453" s="69" t="str">
        <f t="shared" si="72"/>
        <v/>
      </c>
      <c r="O453" s="69" t="str">
        <f t="shared" si="64"/>
        <v/>
      </c>
      <c r="P453" s="70" t="str">
        <f t="shared" si="65"/>
        <v/>
      </c>
      <c r="Q453" s="69" t="str">
        <f t="shared" si="66"/>
        <v/>
      </c>
      <c r="S453" s="71"/>
      <c r="Z453" t="str">
        <f t="shared" si="67"/>
        <v/>
      </c>
      <c r="AA453">
        <f t="shared" si="68"/>
        <v>0</v>
      </c>
      <c r="AB453">
        <f t="shared" si="69"/>
        <v>12</v>
      </c>
      <c r="AC453">
        <f t="shared" si="70"/>
        <v>33</v>
      </c>
      <c r="AD453">
        <f t="shared" si="71"/>
        <v>1</v>
      </c>
    </row>
    <row r="454" spans="9:30" ht="15" customHeight="1">
      <c r="I454" s="69"/>
      <c r="J454" s="69"/>
      <c r="K454" s="69"/>
      <c r="L454" s="69"/>
      <c r="M454" s="69"/>
      <c r="N454" s="69" t="str">
        <f t="shared" si="72"/>
        <v/>
      </c>
      <c r="O454" s="69" t="str">
        <f t="shared" ref="O454:O517" si="73">IF(ISNUMBER(I454),I454-SUM(J454:N454),"")</f>
        <v/>
      </c>
      <c r="P454" s="70" t="str">
        <f t="shared" ref="P454:P517" si="74">IFERROR(IF(AND(ISNUMBER(O454),ISNUMBER(I454),I454&lt;&gt;0),O454/I454,""),"")</f>
        <v/>
      </c>
      <c r="Q454" s="69" t="str">
        <f t="shared" ref="Q454:Q517" si="75">IF(AND(ISNUMBER(I454),ISNUMBER(S454)),I454*IF(S454&lt;=1,S454,S454/100),IF(OR(I454&lt;&gt;"",S454&lt;&gt;""),"tbd",""))</f>
        <v/>
      </c>
      <c r="S454" s="71"/>
      <c r="Z454" t="str">
        <f t="shared" ref="Z454:Z517" si="76">IF(AND(R454="WON",ISNUMBER(I454)),AA454,"")</f>
        <v/>
      </c>
      <c r="AA454">
        <f t="shared" ref="AA454:AA517" si="77">IFERROR(I454*1,0)</f>
        <v>0</v>
      </c>
      <c r="AB454">
        <f t="shared" ref="AB454:AB517" si="78">N(AB453)+IF(AND(R454="WON",B454&lt;&gt;""),1,0)</f>
        <v>12</v>
      </c>
      <c r="AC454">
        <f t="shared" ref="AC454:AC517" si="79">N(AC453)+IF(AND(OR(R454="offered",R454="to be offered",R454="on hold"),B454&lt;&gt;""),1,0)</f>
        <v>33</v>
      </c>
      <c r="AD454">
        <f t="shared" ref="AD454:AD517" si="80">N(AD453)+IF(AND(OR(R454="follow-up",R454="Evaluation",R454="tbd",R454="In evaluation"),B454&lt;&gt;""),1,0)</f>
        <v>1</v>
      </c>
    </row>
    <row r="455" spans="9:30" ht="15" customHeight="1">
      <c r="I455" s="69"/>
      <c r="J455" s="69"/>
      <c r="K455" s="69"/>
      <c r="L455" s="69"/>
      <c r="M455" s="69"/>
      <c r="N455" s="69" t="str">
        <f t="shared" si="72"/>
        <v/>
      </c>
      <c r="O455" s="69" t="str">
        <f t="shared" si="73"/>
        <v/>
      </c>
      <c r="P455" s="70" t="str">
        <f t="shared" si="74"/>
        <v/>
      </c>
      <c r="Q455" s="69" t="str">
        <f t="shared" si="75"/>
        <v/>
      </c>
      <c r="S455" s="71"/>
      <c r="Z455" t="str">
        <f t="shared" si="76"/>
        <v/>
      </c>
      <c r="AA455">
        <f t="shared" si="77"/>
        <v>0</v>
      </c>
      <c r="AB455">
        <f t="shared" si="78"/>
        <v>12</v>
      </c>
      <c r="AC455">
        <f t="shared" si="79"/>
        <v>33</v>
      </c>
      <c r="AD455">
        <f t="shared" si="80"/>
        <v>1</v>
      </c>
    </row>
    <row r="456" spans="9:30" ht="15" customHeight="1">
      <c r="I456" s="69"/>
      <c r="J456" s="69"/>
      <c r="K456" s="69"/>
      <c r="L456" s="69"/>
      <c r="M456" s="69"/>
      <c r="N456" s="69" t="str">
        <f t="shared" si="72"/>
        <v/>
      </c>
      <c r="O456" s="69" t="str">
        <f t="shared" si="73"/>
        <v/>
      </c>
      <c r="P456" s="70" t="str">
        <f t="shared" si="74"/>
        <v/>
      </c>
      <c r="Q456" s="69" t="str">
        <f t="shared" si="75"/>
        <v/>
      </c>
      <c r="S456" s="71"/>
      <c r="Z456" t="str">
        <f t="shared" si="76"/>
        <v/>
      </c>
      <c r="AA456">
        <f t="shared" si="77"/>
        <v>0</v>
      </c>
      <c r="AB456">
        <f t="shared" si="78"/>
        <v>12</v>
      </c>
      <c r="AC456">
        <f t="shared" si="79"/>
        <v>33</v>
      </c>
      <c r="AD456">
        <f t="shared" si="80"/>
        <v>1</v>
      </c>
    </row>
    <row r="457" spans="9:30" ht="15" customHeight="1">
      <c r="I457" s="69"/>
      <c r="J457" s="69"/>
      <c r="K457" s="69"/>
      <c r="L457" s="69"/>
      <c r="M457" s="69"/>
      <c r="N457" s="69" t="str">
        <f t="shared" si="72"/>
        <v/>
      </c>
      <c r="O457" s="69" t="str">
        <f t="shared" si="73"/>
        <v/>
      </c>
      <c r="P457" s="70" t="str">
        <f t="shared" si="74"/>
        <v/>
      </c>
      <c r="Q457" s="69" t="str">
        <f t="shared" si="75"/>
        <v/>
      </c>
      <c r="S457" s="71"/>
      <c r="Z457" t="str">
        <f t="shared" si="76"/>
        <v/>
      </c>
      <c r="AA457">
        <f t="shared" si="77"/>
        <v>0</v>
      </c>
      <c r="AB457">
        <f t="shared" si="78"/>
        <v>12</v>
      </c>
      <c r="AC457">
        <f t="shared" si="79"/>
        <v>33</v>
      </c>
      <c r="AD457">
        <f t="shared" si="80"/>
        <v>1</v>
      </c>
    </row>
    <row r="458" spans="9:30" ht="15" customHeight="1">
      <c r="I458" s="69"/>
      <c r="J458" s="69"/>
      <c r="K458" s="69"/>
      <c r="L458" s="69"/>
      <c r="M458" s="69"/>
      <c r="N458" s="69" t="str">
        <f t="shared" si="72"/>
        <v/>
      </c>
      <c r="O458" s="69" t="str">
        <f t="shared" si="73"/>
        <v/>
      </c>
      <c r="P458" s="70" t="str">
        <f t="shared" si="74"/>
        <v/>
      </c>
      <c r="Q458" s="69" t="str">
        <f t="shared" si="75"/>
        <v/>
      </c>
      <c r="S458" s="71"/>
      <c r="Z458" t="str">
        <f t="shared" si="76"/>
        <v/>
      </c>
      <c r="AA458">
        <f t="shared" si="77"/>
        <v>0</v>
      </c>
      <c r="AB458">
        <f t="shared" si="78"/>
        <v>12</v>
      </c>
      <c r="AC458">
        <f t="shared" si="79"/>
        <v>33</v>
      </c>
      <c r="AD458">
        <f t="shared" si="80"/>
        <v>1</v>
      </c>
    </row>
    <row r="459" spans="9:30" ht="15" customHeight="1">
      <c r="I459" s="69"/>
      <c r="J459" s="69"/>
      <c r="K459" s="69"/>
      <c r="L459" s="69"/>
      <c r="M459" s="69"/>
      <c r="N459" s="69" t="str">
        <f t="shared" si="72"/>
        <v/>
      </c>
      <c r="O459" s="69" t="str">
        <f t="shared" si="73"/>
        <v/>
      </c>
      <c r="P459" s="70" t="str">
        <f t="shared" si="74"/>
        <v/>
      </c>
      <c r="Q459" s="69" t="str">
        <f t="shared" si="75"/>
        <v/>
      </c>
      <c r="S459" s="71"/>
      <c r="Z459" t="str">
        <f t="shared" si="76"/>
        <v/>
      </c>
      <c r="AA459">
        <f t="shared" si="77"/>
        <v>0</v>
      </c>
      <c r="AB459">
        <f t="shared" si="78"/>
        <v>12</v>
      </c>
      <c r="AC459">
        <f t="shared" si="79"/>
        <v>33</v>
      </c>
      <c r="AD459">
        <f t="shared" si="80"/>
        <v>1</v>
      </c>
    </row>
    <row r="460" spans="9:30" ht="15" customHeight="1">
      <c r="I460" s="69"/>
      <c r="J460" s="69"/>
      <c r="K460" s="69"/>
      <c r="L460" s="69"/>
      <c r="M460" s="69"/>
      <c r="N460" s="69" t="str">
        <f t="shared" si="72"/>
        <v/>
      </c>
      <c r="O460" s="69" t="str">
        <f t="shared" si="73"/>
        <v/>
      </c>
      <c r="P460" s="70" t="str">
        <f t="shared" si="74"/>
        <v/>
      </c>
      <c r="Q460" s="69" t="str">
        <f t="shared" si="75"/>
        <v/>
      </c>
      <c r="S460" s="71"/>
      <c r="Z460" t="str">
        <f t="shared" si="76"/>
        <v/>
      </c>
      <c r="AA460">
        <f t="shared" si="77"/>
        <v>0</v>
      </c>
      <c r="AB460">
        <f t="shared" si="78"/>
        <v>12</v>
      </c>
      <c r="AC460">
        <f t="shared" si="79"/>
        <v>33</v>
      </c>
      <c r="AD460">
        <f t="shared" si="80"/>
        <v>1</v>
      </c>
    </row>
    <row r="461" spans="9:30" ht="15" customHeight="1">
      <c r="I461" s="69"/>
      <c r="J461" s="69"/>
      <c r="K461" s="69"/>
      <c r="L461" s="69"/>
      <c r="M461" s="69"/>
      <c r="N461" s="69" t="str">
        <f t="shared" si="72"/>
        <v/>
      </c>
      <c r="O461" s="69" t="str">
        <f t="shared" si="73"/>
        <v/>
      </c>
      <c r="P461" s="70" t="str">
        <f t="shared" si="74"/>
        <v/>
      </c>
      <c r="Q461" s="69" t="str">
        <f t="shared" si="75"/>
        <v/>
      </c>
      <c r="S461" s="71"/>
      <c r="Z461" t="str">
        <f t="shared" si="76"/>
        <v/>
      </c>
      <c r="AA461">
        <f t="shared" si="77"/>
        <v>0</v>
      </c>
      <c r="AB461">
        <f t="shared" si="78"/>
        <v>12</v>
      </c>
      <c r="AC461">
        <f t="shared" si="79"/>
        <v>33</v>
      </c>
      <c r="AD461">
        <f t="shared" si="80"/>
        <v>1</v>
      </c>
    </row>
    <row r="462" spans="9:30" ht="15" customHeight="1">
      <c r="I462" s="69"/>
      <c r="J462" s="69"/>
      <c r="K462" s="69"/>
      <c r="L462" s="69"/>
      <c r="M462" s="69"/>
      <c r="N462" s="69" t="str">
        <f t="shared" si="72"/>
        <v/>
      </c>
      <c r="O462" s="69" t="str">
        <f t="shared" si="73"/>
        <v/>
      </c>
      <c r="P462" s="70" t="str">
        <f t="shared" si="74"/>
        <v/>
      </c>
      <c r="Q462" s="69" t="str">
        <f t="shared" si="75"/>
        <v/>
      </c>
      <c r="S462" s="71"/>
      <c r="Z462" t="str">
        <f t="shared" si="76"/>
        <v/>
      </c>
      <c r="AA462">
        <f t="shared" si="77"/>
        <v>0</v>
      </c>
      <c r="AB462">
        <f t="shared" si="78"/>
        <v>12</v>
      </c>
      <c r="AC462">
        <f t="shared" si="79"/>
        <v>33</v>
      </c>
      <c r="AD462">
        <f t="shared" si="80"/>
        <v>1</v>
      </c>
    </row>
    <row r="463" spans="9:30" ht="15" customHeight="1">
      <c r="I463" s="69"/>
      <c r="J463" s="69"/>
      <c r="K463" s="69"/>
      <c r="L463" s="69"/>
      <c r="M463" s="69"/>
      <c r="N463" s="69" t="str">
        <f t="shared" si="72"/>
        <v/>
      </c>
      <c r="O463" s="69" t="str">
        <f t="shared" si="73"/>
        <v/>
      </c>
      <c r="P463" s="70" t="str">
        <f t="shared" si="74"/>
        <v/>
      </c>
      <c r="Q463" s="69" t="str">
        <f t="shared" si="75"/>
        <v/>
      </c>
      <c r="S463" s="71"/>
      <c r="Z463" t="str">
        <f t="shared" si="76"/>
        <v/>
      </c>
      <c r="AA463">
        <f t="shared" si="77"/>
        <v>0</v>
      </c>
      <c r="AB463">
        <f t="shared" si="78"/>
        <v>12</v>
      </c>
      <c r="AC463">
        <f t="shared" si="79"/>
        <v>33</v>
      </c>
      <c r="AD463">
        <f t="shared" si="80"/>
        <v>1</v>
      </c>
    </row>
    <row r="464" spans="9:30" ht="15" customHeight="1">
      <c r="I464" s="69"/>
      <c r="J464" s="69"/>
      <c r="K464" s="69"/>
      <c r="L464" s="69"/>
      <c r="M464" s="69"/>
      <c r="N464" s="69" t="str">
        <f t="shared" si="72"/>
        <v/>
      </c>
      <c r="O464" s="69" t="str">
        <f t="shared" si="73"/>
        <v/>
      </c>
      <c r="P464" s="70" t="str">
        <f t="shared" si="74"/>
        <v/>
      </c>
      <c r="Q464" s="69" t="str">
        <f t="shared" si="75"/>
        <v/>
      </c>
      <c r="S464" s="71"/>
      <c r="Z464" t="str">
        <f t="shared" si="76"/>
        <v/>
      </c>
      <c r="AA464">
        <f t="shared" si="77"/>
        <v>0</v>
      </c>
      <c r="AB464">
        <f t="shared" si="78"/>
        <v>12</v>
      </c>
      <c r="AC464">
        <f t="shared" si="79"/>
        <v>33</v>
      </c>
      <c r="AD464">
        <f t="shared" si="80"/>
        <v>1</v>
      </c>
    </row>
    <row r="465" spans="9:30" ht="15" customHeight="1">
      <c r="I465" s="69"/>
      <c r="J465" s="69"/>
      <c r="K465" s="69"/>
      <c r="L465" s="69"/>
      <c r="M465" s="69"/>
      <c r="N465" s="69" t="str">
        <f t="shared" si="72"/>
        <v/>
      </c>
      <c r="O465" s="69" t="str">
        <f t="shared" si="73"/>
        <v/>
      </c>
      <c r="P465" s="70" t="str">
        <f t="shared" si="74"/>
        <v/>
      </c>
      <c r="Q465" s="69" t="str">
        <f t="shared" si="75"/>
        <v/>
      </c>
      <c r="S465" s="71"/>
      <c r="Z465" t="str">
        <f t="shared" si="76"/>
        <v/>
      </c>
      <c r="AA465">
        <f t="shared" si="77"/>
        <v>0</v>
      </c>
      <c r="AB465">
        <f t="shared" si="78"/>
        <v>12</v>
      </c>
      <c r="AC465">
        <f t="shared" si="79"/>
        <v>33</v>
      </c>
      <c r="AD465">
        <f t="shared" si="80"/>
        <v>1</v>
      </c>
    </row>
    <row r="466" spans="9:30" ht="15" customHeight="1">
      <c r="I466" s="69"/>
      <c r="J466" s="69"/>
      <c r="K466" s="69"/>
      <c r="L466" s="69"/>
      <c r="M466" s="69"/>
      <c r="N466" s="69" t="str">
        <f t="shared" si="72"/>
        <v/>
      </c>
      <c r="O466" s="69" t="str">
        <f t="shared" si="73"/>
        <v/>
      </c>
      <c r="P466" s="70" t="str">
        <f t="shared" si="74"/>
        <v/>
      </c>
      <c r="Q466" s="69" t="str">
        <f t="shared" si="75"/>
        <v/>
      </c>
      <c r="S466" s="71"/>
      <c r="Z466" t="str">
        <f t="shared" si="76"/>
        <v/>
      </c>
      <c r="AA466">
        <f t="shared" si="77"/>
        <v>0</v>
      </c>
      <c r="AB466">
        <f t="shared" si="78"/>
        <v>12</v>
      </c>
      <c r="AC466">
        <f t="shared" si="79"/>
        <v>33</v>
      </c>
      <c r="AD466">
        <f t="shared" si="80"/>
        <v>1</v>
      </c>
    </row>
    <row r="467" spans="9:30" ht="15" customHeight="1">
      <c r="I467" s="69"/>
      <c r="J467" s="69"/>
      <c r="K467" s="69"/>
      <c r="L467" s="69"/>
      <c r="M467" s="69"/>
      <c r="N467" s="69" t="str">
        <f t="shared" si="72"/>
        <v/>
      </c>
      <c r="O467" s="69" t="str">
        <f t="shared" si="73"/>
        <v/>
      </c>
      <c r="P467" s="70" t="str">
        <f t="shared" si="74"/>
        <v/>
      </c>
      <c r="Q467" s="69" t="str">
        <f t="shared" si="75"/>
        <v/>
      </c>
      <c r="S467" s="71"/>
      <c r="Z467" t="str">
        <f t="shared" si="76"/>
        <v/>
      </c>
      <c r="AA467">
        <f t="shared" si="77"/>
        <v>0</v>
      </c>
      <c r="AB467">
        <f t="shared" si="78"/>
        <v>12</v>
      </c>
      <c r="AC467">
        <f t="shared" si="79"/>
        <v>33</v>
      </c>
      <c r="AD467">
        <f t="shared" si="80"/>
        <v>1</v>
      </c>
    </row>
    <row r="468" spans="9:30" ht="15" customHeight="1">
      <c r="I468" s="69"/>
      <c r="J468" s="69"/>
      <c r="K468" s="69"/>
      <c r="L468" s="69"/>
      <c r="M468" s="69"/>
      <c r="N468" s="69" t="str">
        <f t="shared" si="72"/>
        <v/>
      </c>
      <c r="O468" s="69" t="str">
        <f t="shared" si="73"/>
        <v/>
      </c>
      <c r="P468" s="70" t="str">
        <f t="shared" si="74"/>
        <v/>
      </c>
      <c r="Q468" s="69" t="str">
        <f t="shared" si="75"/>
        <v/>
      </c>
      <c r="S468" s="71"/>
      <c r="Z468" t="str">
        <f t="shared" si="76"/>
        <v/>
      </c>
      <c r="AA468">
        <f t="shared" si="77"/>
        <v>0</v>
      </c>
      <c r="AB468">
        <f t="shared" si="78"/>
        <v>12</v>
      </c>
      <c r="AC468">
        <f t="shared" si="79"/>
        <v>33</v>
      </c>
      <c r="AD468">
        <f t="shared" si="80"/>
        <v>1</v>
      </c>
    </row>
    <row r="469" spans="9:30" ht="15" customHeight="1">
      <c r="I469" s="69"/>
      <c r="J469" s="69"/>
      <c r="K469" s="69"/>
      <c r="L469" s="69"/>
      <c r="M469" s="69"/>
      <c r="N469" s="69" t="str">
        <f t="shared" si="72"/>
        <v/>
      </c>
      <c r="O469" s="69" t="str">
        <f t="shared" si="73"/>
        <v/>
      </c>
      <c r="P469" s="70" t="str">
        <f t="shared" si="74"/>
        <v/>
      </c>
      <c r="Q469" s="69" t="str">
        <f t="shared" si="75"/>
        <v/>
      </c>
      <c r="S469" s="71"/>
      <c r="Z469" t="str">
        <f t="shared" si="76"/>
        <v/>
      </c>
      <c r="AA469">
        <f t="shared" si="77"/>
        <v>0</v>
      </c>
      <c r="AB469">
        <f t="shared" si="78"/>
        <v>12</v>
      </c>
      <c r="AC469">
        <f t="shared" si="79"/>
        <v>33</v>
      </c>
      <c r="AD469">
        <f t="shared" si="80"/>
        <v>1</v>
      </c>
    </row>
    <row r="470" spans="9:30" ht="15" customHeight="1">
      <c r="I470" s="69"/>
      <c r="J470" s="69"/>
      <c r="K470" s="69"/>
      <c r="L470" s="69"/>
      <c r="M470" s="69"/>
      <c r="N470" s="69" t="str">
        <f t="shared" si="72"/>
        <v/>
      </c>
      <c r="O470" s="69" t="str">
        <f t="shared" si="73"/>
        <v/>
      </c>
      <c r="P470" s="70" t="str">
        <f t="shared" si="74"/>
        <v/>
      </c>
      <c r="Q470" s="69" t="str">
        <f t="shared" si="75"/>
        <v/>
      </c>
      <c r="S470" s="71"/>
      <c r="Z470" t="str">
        <f t="shared" si="76"/>
        <v/>
      </c>
      <c r="AA470">
        <f t="shared" si="77"/>
        <v>0</v>
      </c>
      <c r="AB470">
        <f t="shared" si="78"/>
        <v>12</v>
      </c>
      <c r="AC470">
        <f t="shared" si="79"/>
        <v>33</v>
      </c>
      <c r="AD470">
        <f t="shared" si="80"/>
        <v>1</v>
      </c>
    </row>
    <row r="471" spans="9:30" ht="15" customHeight="1">
      <c r="I471" s="69"/>
      <c r="J471" s="69"/>
      <c r="K471" s="69"/>
      <c r="L471" s="69"/>
      <c r="M471" s="69"/>
      <c r="N471" s="69" t="str">
        <f t="shared" si="72"/>
        <v/>
      </c>
      <c r="O471" s="69" t="str">
        <f t="shared" si="73"/>
        <v/>
      </c>
      <c r="P471" s="70" t="str">
        <f t="shared" si="74"/>
        <v/>
      </c>
      <c r="Q471" s="69" t="str">
        <f t="shared" si="75"/>
        <v/>
      </c>
      <c r="S471" s="71"/>
      <c r="Z471" t="str">
        <f t="shared" si="76"/>
        <v/>
      </c>
      <c r="AA471">
        <f t="shared" si="77"/>
        <v>0</v>
      </c>
      <c r="AB471">
        <f t="shared" si="78"/>
        <v>12</v>
      </c>
      <c r="AC471">
        <f t="shared" si="79"/>
        <v>33</v>
      </c>
      <c r="AD471">
        <f t="shared" si="80"/>
        <v>1</v>
      </c>
    </row>
    <row r="472" spans="9:30" ht="15" customHeight="1">
      <c r="I472" s="69"/>
      <c r="J472" s="69"/>
      <c r="K472" s="69"/>
      <c r="L472" s="69"/>
      <c r="M472" s="69"/>
      <c r="N472" s="69" t="str">
        <f t="shared" si="72"/>
        <v/>
      </c>
      <c r="O472" s="69" t="str">
        <f t="shared" si="73"/>
        <v/>
      </c>
      <c r="P472" s="70" t="str">
        <f t="shared" si="74"/>
        <v/>
      </c>
      <c r="Q472" s="69" t="str">
        <f t="shared" si="75"/>
        <v/>
      </c>
      <c r="S472" s="71"/>
      <c r="Z472" t="str">
        <f t="shared" si="76"/>
        <v/>
      </c>
      <c r="AA472">
        <f t="shared" si="77"/>
        <v>0</v>
      </c>
      <c r="AB472">
        <f t="shared" si="78"/>
        <v>12</v>
      </c>
      <c r="AC472">
        <f t="shared" si="79"/>
        <v>33</v>
      </c>
      <c r="AD472">
        <f t="shared" si="80"/>
        <v>1</v>
      </c>
    </row>
    <row r="473" spans="9:30" ht="15" customHeight="1">
      <c r="I473" s="69"/>
      <c r="J473" s="69"/>
      <c r="K473" s="69"/>
      <c r="L473" s="69"/>
      <c r="M473" s="69"/>
      <c r="N473" s="69" t="str">
        <f t="shared" si="72"/>
        <v/>
      </c>
      <c r="O473" s="69" t="str">
        <f t="shared" si="73"/>
        <v/>
      </c>
      <c r="P473" s="70" t="str">
        <f t="shared" si="74"/>
        <v/>
      </c>
      <c r="Q473" s="69" t="str">
        <f t="shared" si="75"/>
        <v/>
      </c>
      <c r="S473" s="71"/>
      <c r="Z473" t="str">
        <f t="shared" si="76"/>
        <v/>
      </c>
      <c r="AA473">
        <f t="shared" si="77"/>
        <v>0</v>
      </c>
      <c r="AB473">
        <f t="shared" si="78"/>
        <v>12</v>
      </c>
      <c r="AC473">
        <f t="shared" si="79"/>
        <v>33</v>
      </c>
      <c r="AD473">
        <f t="shared" si="80"/>
        <v>1</v>
      </c>
    </row>
    <row r="474" spans="9:30" ht="15" customHeight="1">
      <c r="I474" s="69"/>
      <c r="J474" s="69"/>
      <c r="K474" s="69"/>
      <c r="L474" s="69"/>
      <c r="M474" s="69"/>
      <c r="N474" s="69" t="str">
        <f t="shared" si="72"/>
        <v/>
      </c>
      <c r="O474" s="69" t="str">
        <f t="shared" si="73"/>
        <v/>
      </c>
      <c r="P474" s="70" t="str">
        <f t="shared" si="74"/>
        <v/>
      </c>
      <c r="Q474" s="69" t="str">
        <f t="shared" si="75"/>
        <v/>
      </c>
      <c r="S474" s="71"/>
      <c r="Z474" t="str">
        <f t="shared" si="76"/>
        <v/>
      </c>
      <c r="AA474">
        <f t="shared" si="77"/>
        <v>0</v>
      </c>
      <c r="AB474">
        <f t="shared" si="78"/>
        <v>12</v>
      </c>
      <c r="AC474">
        <f t="shared" si="79"/>
        <v>33</v>
      </c>
      <c r="AD474">
        <f t="shared" si="80"/>
        <v>1</v>
      </c>
    </row>
    <row r="475" spans="9:30" ht="15" customHeight="1">
      <c r="I475" s="69"/>
      <c r="J475" s="69"/>
      <c r="K475" s="69"/>
      <c r="L475" s="69"/>
      <c r="M475" s="69"/>
      <c r="N475" s="69" t="str">
        <f t="shared" si="72"/>
        <v/>
      </c>
      <c r="O475" s="69" t="str">
        <f t="shared" si="73"/>
        <v/>
      </c>
      <c r="P475" s="70" t="str">
        <f t="shared" si="74"/>
        <v/>
      </c>
      <c r="Q475" s="69" t="str">
        <f t="shared" si="75"/>
        <v/>
      </c>
      <c r="S475" s="71"/>
      <c r="Z475" t="str">
        <f t="shared" si="76"/>
        <v/>
      </c>
      <c r="AA475">
        <f t="shared" si="77"/>
        <v>0</v>
      </c>
      <c r="AB475">
        <f t="shared" si="78"/>
        <v>12</v>
      </c>
      <c r="AC475">
        <f t="shared" si="79"/>
        <v>33</v>
      </c>
      <c r="AD475">
        <f t="shared" si="80"/>
        <v>1</v>
      </c>
    </row>
    <row r="476" spans="9:30" ht="15" customHeight="1">
      <c r="I476" s="69"/>
      <c r="J476" s="69"/>
      <c r="K476" s="69"/>
      <c r="L476" s="69"/>
      <c r="M476" s="69"/>
      <c r="N476" s="69" t="str">
        <f t="shared" si="72"/>
        <v/>
      </c>
      <c r="O476" s="69" t="str">
        <f t="shared" si="73"/>
        <v/>
      </c>
      <c r="P476" s="70" t="str">
        <f t="shared" si="74"/>
        <v/>
      </c>
      <c r="Q476" s="69" t="str">
        <f t="shared" si="75"/>
        <v/>
      </c>
      <c r="S476" s="71"/>
      <c r="Z476" t="str">
        <f t="shared" si="76"/>
        <v/>
      </c>
      <c r="AA476">
        <f t="shared" si="77"/>
        <v>0</v>
      </c>
      <c r="AB476">
        <f t="shared" si="78"/>
        <v>12</v>
      </c>
      <c r="AC476">
        <f t="shared" si="79"/>
        <v>33</v>
      </c>
      <c r="AD476">
        <f t="shared" si="80"/>
        <v>1</v>
      </c>
    </row>
    <row r="477" spans="9:30" ht="15" customHeight="1">
      <c r="I477" s="69"/>
      <c r="J477" s="69"/>
      <c r="K477" s="69"/>
      <c r="L477" s="69"/>
      <c r="M477" s="69"/>
      <c r="N477" s="69" t="str">
        <f t="shared" si="72"/>
        <v/>
      </c>
      <c r="O477" s="69" t="str">
        <f t="shared" si="73"/>
        <v/>
      </c>
      <c r="P477" s="70" t="str">
        <f t="shared" si="74"/>
        <v/>
      </c>
      <c r="Q477" s="69" t="str">
        <f t="shared" si="75"/>
        <v/>
      </c>
      <c r="S477" s="71"/>
      <c r="Z477" t="str">
        <f t="shared" si="76"/>
        <v/>
      </c>
      <c r="AA477">
        <f t="shared" si="77"/>
        <v>0</v>
      </c>
      <c r="AB477">
        <f t="shared" si="78"/>
        <v>12</v>
      </c>
      <c r="AC477">
        <f t="shared" si="79"/>
        <v>33</v>
      </c>
      <c r="AD477">
        <f t="shared" si="80"/>
        <v>1</v>
      </c>
    </row>
    <row r="478" spans="9:30" ht="15" customHeight="1">
      <c r="I478" s="69"/>
      <c r="J478" s="69"/>
      <c r="K478" s="69"/>
      <c r="L478" s="69"/>
      <c r="M478" s="69"/>
      <c r="N478" s="69" t="str">
        <f t="shared" si="72"/>
        <v/>
      </c>
      <c r="O478" s="69" t="str">
        <f t="shared" si="73"/>
        <v/>
      </c>
      <c r="P478" s="70" t="str">
        <f t="shared" si="74"/>
        <v/>
      </c>
      <c r="Q478" s="69" t="str">
        <f t="shared" si="75"/>
        <v/>
      </c>
      <c r="S478" s="71"/>
      <c r="Z478" t="str">
        <f t="shared" si="76"/>
        <v/>
      </c>
      <c r="AA478">
        <f t="shared" si="77"/>
        <v>0</v>
      </c>
      <c r="AB478">
        <f t="shared" si="78"/>
        <v>12</v>
      </c>
      <c r="AC478">
        <f t="shared" si="79"/>
        <v>33</v>
      </c>
      <c r="AD478">
        <f t="shared" si="80"/>
        <v>1</v>
      </c>
    </row>
    <row r="479" spans="9:30" ht="15" customHeight="1">
      <c r="I479" s="69"/>
      <c r="J479" s="69"/>
      <c r="K479" s="69"/>
      <c r="L479" s="69"/>
      <c r="M479" s="69"/>
      <c r="N479" s="69" t="str">
        <f t="shared" si="72"/>
        <v/>
      </c>
      <c r="O479" s="69" t="str">
        <f t="shared" si="73"/>
        <v/>
      </c>
      <c r="P479" s="70" t="str">
        <f t="shared" si="74"/>
        <v/>
      </c>
      <c r="Q479" s="69" t="str">
        <f t="shared" si="75"/>
        <v/>
      </c>
      <c r="S479" s="71"/>
      <c r="Z479" t="str">
        <f t="shared" si="76"/>
        <v/>
      </c>
      <c r="AA479">
        <f t="shared" si="77"/>
        <v>0</v>
      </c>
      <c r="AB479">
        <f t="shared" si="78"/>
        <v>12</v>
      </c>
      <c r="AC479">
        <f t="shared" si="79"/>
        <v>33</v>
      </c>
      <c r="AD479">
        <f t="shared" si="80"/>
        <v>1</v>
      </c>
    </row>
    <row r="480" spans="9:30" ht="15" customHeight="1">
      <c r="I480" s="69"/>
      <c r="J480" s="69"/>
      <c r="K480" s="69"/>
      <c r="L480" s="69"/>
      <c r="M480" s="69"/>
      <c r="N480" s="69" t="str">
        <f t="shared" si="72"/>
        <v/>
      </c>
      <c r="O480" s="69" t="str">
        <f t="shared" si="73"/>
        <v/>
      </c>
      <c r="P480" s="70" t="str">
        <f t="shared" si="74"/>
        <v/>
      </c>
      <c r="Q480" s="69" t="str">
        <f t="shared" si="75"/>
        <v/>
      </c>
      <c r="S480" s="71"/>
      <c r="Z480" t="str">
        <f t="shared" si="76"/>
        <v/>
      </c>
      <c r="AA480">
        <f t="shared" si="77"/>
        <v>0</v>
      </c>
      <c r="AB480">
        <f t="shared" si="78"/>
        <v>12</v>
      </c>
      <c r="AC480">
        <f t="shared" si="79"/>
        <v>33</v>
      </c>
      <c r="AD480">
        <f t="shared" si="80"/>
        <v>1</v>
      </c>
    </row>
    <row r="481" spans="9:30" ht="15" customHeight="1">
      <c r="I481" s="69"/>
      <c r="J481" s="69"/>
      <c r="K481" s="69"/>
      <c r="L481" s="69"/>
      <c r="M481" s="69"/>
      <c r="N481" s="69" t="str">
        <f t="shared" si="72"/>
        <v/>
      </c>
      <c r="O481" s="69" t="str">
        <f t="shared" si="73"/>
        <v/>
      </c>
      <c r="P481" s="70" t="str">
        <f t="shared" si="74"/>
        <v/>
      </c>
      <c r="Q481" s="69" t="str">
        <f t="shared" si="75"/>
        <v/>
      </c>
      <c r="S481" s="71"/>
      <c r="Z481" t="str">
        <f t="shared" si="76"/>
        <v/>
      </c>
      <c r="AA481">
        <f t="shared" si="77"/>
        <v>0</v>
      </c>
      <c r="AB481">
        <f t="shared" si="78"/>
        <v>12</v>
      </c>
      <c r="AC481">
        <f t="shared" si="79"/>
        <v>33</v>
      </c>
      <c r="AD481">
        <f t="shared" si="80"/>
        <v>1</v>
      </c>
    </row>
    <row r="482" spans="9:30" ht="15" customHeight="1">
      <c r="I482" s="69"/>
      <c r="J482" s="69"/>
      <c r="K482" s="69"/>
      <c r="L482" s="69"/>
      <c r="M482" s="69"/>
      <c r="N482" s="69" t="str">
        <f t="shared" si="72"/>
        <v/>
      </c>
      <c r="O482" s="69" t="str">
        <f t="shared" si="73"/>
        <v/>
      </c>
      <c r="P482" s="70" t="str">
        <f t="shared" si="74"/>
        <v/>
      </c>
      <c r="Q482" s="69" t="str">
        <f t="shared" si="75"/>
        <v/>
      </c>
      <c r="S482" s="71"/>
      <c r="Z482" t="str">
        <f t="shared" si="76"/>
        <v/>
      </c>
      <c r="AA482">
        <f t="shared" si="77"/>
        <v>0</v>
      </c>
      <c r="AB482">
        <f t="shared" si="78"/>
        <v>12</v>
      </c>
      <c r="AC482">
        <f t="shared" si="79"/>
        <v>33</v>
      </c>
      <c r="AD482">
        <f t="shared" si="80"/>
        <v>1</v>
      </c>
    </row>
    <row r="483" spans="9:30" ht="15" customHeight="1">
      <c r="I483" s="69"/>
      <c r="J483" s="69"/>
      <c r="K483" s="69"/>
      <c r="L483" s="69"/>
      <c r="M483" s="69"/>
      <c r="N483" s="69" t="str">
        <f t="shared" si="72"/>
        <v/>
      </c>
      <c r="O483" s="69" t="str">
        <f t="shared" si="73"/>
        <v/>
      </c>
      <c r="P483" s="70" t="str">
        <f t="shared" si="74"/>
        <v/>
      </c>
      <c r="Q483" s="69" t="str">
        <f t="shared" si="75"/>
        <v/>
      </c>
      <c r="S483" s="71"/>
      <c r="Z483" t="str">
        <f t="shared" si="76"/>
        <v/>
      </c>
      <c r="AA483">
        <f t="shared" si="77"/>
        <v>0</v>
      </c>
      <c r="AB483">
        <f t="shared" si="78"/>
        <v>12</v>
      </c>
      <c r="AC483">
        <f t="shared" si="79"/>
        <v>33</v>
      </c>
      <c r="AD483">
        <f t="shared" si="80"/>
        <v>1</v>
      </c>
    </row>
    <row r="484" spans="9:30" ht="15" customHeight="1">
      <c r="I484" s="69"/>
      <c r="J484" s="69"/>
      <c r="K484" s="69"/>
      <c r="L484" s="69"/>
      <c r="M484" s="69"/>
      <c r="N484" s="69" t="str">
        <f t="shared" si="72"/>
        <v/>
      </c>
      <c r="O484" s="69" t="str">
        <f t="shared" si="73"/>
        <v/>
      </c>
      <c r="P484" s="70" t="str">
        <f t="shared" si="74"/>
        <v/>
      </c>
      <c r="Q484" s="69" t="str">
        <f t="shared" si="75"/>
        <v/>
      </c>
      <c r="S484" s="71"/>
      <c r="Z484" t="str">
        <f t="shared" si="76"/>
        <v/>
      </c>
      <c r="AA484">
        <f t="shared" si="77"/>
        <v>0</v>
      </c>
      <c r="AB484">
        <f t="shared" si="78"/>
        <v>12</v>
      </c>
      <c r="AC484">
        <f t="shared" si="79"/>
        <v>33</v>
      </c>
      <c r="AD484">
        <f t="shared" si="80"/>
        <v>1</v>
      </c>
    </row>
    <row r="485" spans="9:30" ht="15" customHeight="1">
      <c r="I485" s="69"/>
      <c r="J485" s="69"/>
      <c r="K485" s="69"/>
      <c r="L485" s="69"/>
      <c r="M485" s="69"/>
      <c r="N485" s="69" t="str">
        <f t="shared" si="72"/>
        <v/>
      </c>
      <c r="O485" s="69" t="str">
        <f t="shared" si="73"/>
        <v/>
      </c>
      <c r="P485" s="70" t="str">
        <f t="shared" si="74"/>
        <v/>
      </c>
      <c r="Q485" s="69" t="str">
        <f t="shared" si="75"/>
        <v/>
      </c>
      <c r="S485" s="71"/>
      <c r="Z485" t="str">
        <f t="shared" si="76"/>
        <v/>
      </c>
      <c r="AA485">
        <f t="shared" si="77"/>
        <v>0</v>
      </c>
      <c r="AB485">
        <f t="shared" si="78"/>
        <v>12</v>
      </c>
      <c r="AC485">
        <f t="shared" si="79"/>
        <v>33</v>
      </c>
      <c r="AD485">
        <f t="shared" si="80"/>
        <v>1</v>
      </c>
    </row>
    <row r="486" spans="9:30" ht="15" customHeight="1">
      <c r="I486" s="69"/>
      <c r="J486" s="69"/>
      <c r="K486" s="69"/>
      <c r="L486" s="69"/>
      <c r="M486" s="69"/>
      <c r="N486" s="69" t="str">
        <f t="shared" si="72"/>
        <v/>
      </c>
      <c r="O486" s="69" t="str">
        <f t="shared" si="73"/>
        <v/>
      </c>
      <c r="P486" s="70" t="str">
        <f t="shared" si="74"/>
        <v/>
      </c>
      <c r="Q486" s="69" t="str">
        <f t="shared" si="75"/>
        <v/>
      </c>
      <c r="S486" s="71"/>
      <c r="Z486" t="str">
        <f t="shared" si="76"/>
        <v/>
      </c>
      <c r="AA486">
        <f t="shared" si="77"/>
        <v>0</v>
      </c>
      <c r="AB486">
        <f t="shared" si="78"/>
        <v>12</v>
      </c>
      <c r="AC486">
        <f t="shared" si="79"/>
        <v>33</v>
      </c>
      <c r="AD486">
        <f t="shared" si="80"/>
        <v>1</v>
      </c>
    </row>
    <row r="487" spans="9:30" ht="15" customHeight="1">
      <c r="I487" s="69"/>
      <c r="J487" s="69"/>
      <c r="K487" s="69"/>
      <c r="L487" s="69"/>
      <c r="M487" s="69"/>
      <c r="N487" s="69" t="str">
        <f t="shared" si="72"/>
        <v/>
      </c>
      <c r="O487" s="69" t="str">
        <f t="shared" si="73"/>
        <v/>
      </c>
      <c r="P487" s="70" t="str">
        <f t="shared" si="74"/>
        <v/>
      </c>
      <c r="Q487" s="69" t="str">
        <f t="shared" si="75"/>
        <v/>
      </c>
      <c r="S487" s="71"/>
      <c r="Z487" t="str">
        <f t="shared" si="76"/>
        <v/>
      </c>
      <c r="AA487">
        <f t="shared" si="77"/>
        <v>0</v>
      </c>
      <c r="AB487">
        <f t="shared" si="78"/>
        <v>12</v>
      </c>
      <c r="AC487">
        <f t="shared" si="79"/>
        <v>33</v>
      </c>
      <c r="AD487">
        <f t="shared" si="80"/>
        <v>1</v>
      </c>
    </row>
    <row r="488" spans="9:30" ht="15" customHeight="1">
      <c r="I488" s="69"/>
      <c r="J488" s="69"/>
      <c r="K488" s="69"/>
      <c r="L488" s="69"/>
      <c r="M488" s="69"/>
      <c r="N488" s="69" t="str">
        <f t="shared" si="72"/>
        <v/>
      </c>
      <c r="O488" s="69" t="str">
        <f t="shared" si="73"/>
        <v/>
      </c>
      <c r="P488" s="70" t="str">
        <f t="shared" si="74"/>
        <v/>
      </c>
      <c r="Q488" s="69" t="str">
        <f t="shared" si="75"/>
        <v/>
      </c>
      <c r="S488" s="71"/>
      <c r="Z488" t="str">
        <f t="shared" si="76"/>
        <v/>
      </c>
      <c r="AA488">
        <f t="shared" si="77"/>
        <v>0</v>
      </c>
      <c r="AB488">
        <f t="shared" si="78"/>
        <v>12</v>
      </c>
      <c r="AC488">
        <f t="shared" si="79"/>
        <v>33</v>
      </c>
      <c r="AD488">
        <f t="shared" si="80"/>
        <v>1</v>
      </c>
    </row>
    <row r="489" spans="9:30" ht="15" customHeight="1">
      <c r="I489" s="69"/>
      <c r="J489" s="69"/>
      <c r="K489" s="69"/>
      <c r="L489" s="69"/>
      <c r="M489" s="69"/>
      <c r="N489" s="69" t="str">
        <f t="shared" si="72"/>
        <v/>
      </c>
      <c r="O489" s="69" t="str">
        <f t="shared" si="73"/>
        <v/>
      </c>
      <c r="P489" s="70" t="str">
        <f t="shared" si="74"/>
        <v/>
      </c>
      <c r="Q489" s="69" t="str">
        <f t="shared" si="75"/>
        <v/>
      </c>
      <c r="S489" s="71"/>
      <c r="Z489" t="str">
        <f t="shared" si="76"/>
        <v/>
      </c>
      <c r="AA489">
        <f t="shared" si="77"/>
        <v>0</v>
      </c>
      <c r="AB489">
        <f t="shared" si="78"/>
        <v>12</v>
      </c>
      <c r="AC489">
        <f t="shared" si="79"/>
        <v>33</v>
      </c>
      <c r="AD489">
        <f t="shared" si="80"/>
        <v>1</v>
      </c>
    </row>
    <row r="490" spans="9:30" ht="15" customHeight="1">
      <c r="I490" s="69"/>
      <c r="J490" s="69"/>
      <c r="K490" s="69"/>
      <c r="L490" s="69"/>
      <c r="M490" s="69"/>
      <c r="N490" s="69" t="str">
        <f t="shared" si="72"/>
        <v/>
      </c>
      <c r="O490" s="69" t="str">
        <f t="shared" si="73"/>
        <v/>
      </c>
      <c r="P490" s="70" t="str">
        <f t="shared" si="74"/>
        <v/>
      </c>
      <c r="Q490" s="69" t="str">
        <f t="shared" si="75"/>
        <v/>
      </c>
      <c r="S490" s="71"/>
      <c r="Z490" t="str">
        <f t="shared" si="76"/>
        <v/>
      </c>
      <c r="AA490">
        <f t="shared" si="77"/>
        <v>0</v>
      </c>
      <c r="AB490">
        <f t="shared" si="78"/>
        <v>12</v>
      </c>
      <c r="AC490">
        <f t="shared" si="79"/>
        <v>33</v>
      </c>
      <c r="AD490">
        <f t="shared" si="80"/>
        <v>1</v>
      </c>
    </row>
    <row r="491" spans="9:30" ht="15" customHeight="1">
      <c r="I491" s="69"/>
      <c r="J491" s="69"/>
      <c r="K491" s="69"/>
      <c r="L491" s="69"/>
      <c r="M491" s="69"/>
      <c r="N491" s="69" t="str">
        <f t="shared" si="72"/>
        <v/>
      </c>
      <c r="O491" s="69" t="str">
        <f t="shared" si="73"/>
        <v/>
      </c>
      <c r="P491" s="70" t="str">
        <f t="shared" si="74"/>
        <v/>
      </c>
      <c r="Q491" s="69" t="str">
        <f t="shared" si="75"/>
        <v/>
      </c>
      <c r="S491" s="71"/>
      <c r="Z491" t="str">
        <f t="shared" si="76"/>
        <v/>
      </c>
      <c r="AA491">
        <f t="shared" si="77"/>
        <v>0</v>
      </c>
      <c r="AB491">
        <f t="shared" si="78"/>
        <v>12</v>
      </c>
      <c r="AC491">
        <f t="shared" si="79"/>
        <v>33</v>
      </c>
      <c r="AD491">
        <f t="shared" si="80"/>
        <v>1</v>
      </c>
    </row>
    <row r="492" spans="9:30" ht="15" customHeight="1">
      <c r="I492" s="69"/>
      <c r="J492" s="69"/>
      <c r="K492" s="69"/>
      <c r="L492" s="69"/>
      <c r="M492" s="69"/>
      <c r="N492" s="69" t="str">
        <f t="shared" si="72"/>
        <v/>
      </c>
      <c r="O492" s="69" t="str">
        <f t="shared" si="73"/>
        <v/>
      </c>
      <c r="P492" s="70" t="str">
        <f t="shared" si="74"/>
        <v/>
      </c>
      <c r="Q492" s="69" t="str">
        <f t="shared" si="75"/>
        <v/>
      </c>
      <c r="S492" s="71"/>
      <c r="Z492" t="str">
        <f t="shared" si="76"/>
        <v/>
      </c>
      <c r="AA492">
        <f t="shared" si="77"/>
        <v>0</v>
      </c>
      <c r="AB492">
        <f t="shared" si="78"/>
        <v>12</v>
      </c>
      <c r="AC492">
        <f t="shared" si="79"/>
        <v>33</v>
      </c>
      <c r="AD492">
        <f t="shared" si="80"/>
        <v>1</v>
      </c>
    </row>
    <row r="493" spans="9:30" ht="15" customHeight="1">
      <c r="I493" s="69"/>
      <c r="J493" s="69"/>
      <c r="K493" s="69"/>
      <c r="L493" s="69"/>
      <c r="M493" s="69"/>
      <c r="N493" s="69" t="str">
        <f t="shared" si="72"/>
        <v/>
      </c>
      <c r="O493" s="69" t="str">
        <f t="shared" si="73"/>
        <v/>
      </c>
      <c r="P493" s="70" t="str">
        <f t="shared" si="74"/>
        <v/>
      </c>
      <c r="Q493" s="69" t="str">
        <f t="shared" si="75"/>
        <v/>
      </c>
      <c r="S493" s="71"/>
      <c r="Z493" t="str">
        <f t="shared" si="76"/>
        <v/>
      </c>
      <c r="AA493">
        <f t="shared" si="77"/>
        <v>0</v>
      </c>
      <c r="AB493">
        <f t="shared" si="78"/>
        <v>12</v>
      </c>
      <c r="AC493">
        <f t="shared" si="79"/>
        <v>33</v>
      </c>
      <c r="AD493">
        <f t="shared" si="80"/>
        <v>1</v>
      </c>
    </row>
    <row r="494" spans="9:30" ht="15" customHeight="1">
      <c r="I494" s="69"/>
      <c r="J494" s="69"/>
      <c r="K494" s="69"/>
      <c r="L494" s="69"/>
      <c r="M494" s="69"/>
      <c r="N494" s="69" t="str">
        <f t="shared" si="72"/>
        <v/>
      </c>
      <c r="O494" s="69" t="str">
        <f t="shared" si="73"/>
        <v/>
      </c>
      <c r="P494" s="70" t="str">
        <f t="shared" si="74"/>
        <v/>
      </c>
      <c r="Q494" s="69" t="str">
        <f t="shared" si="75"/>
        <v/>
      </c>
      <c r="S494" s="71"/>
      <c r="Z494" t="str">
        <f t="shared" si="76"/>
        <v/>
      </c>
      <c r="AA494">
        <f t="shared" si="77"/>
        <v>0</v>
      </c>
      <c r="AB494">
        <f t="shared" si="78"/>
        <v>12</v>
      </c>
      <c r="AC494">
        <f t="shared" si="79"/>
        <v>33</v>
      </c>
      <c r="AD494">
        <f t="shared" si="80"/>
        <v>1</v>
      </c>
    </row>
    <row r="495" spans="9:30" ht="15" customHeight="1">
      <c r="I495" s="69"/>
      <c r="J495" s="69"/>
      <c r="K495" s="69"/>
      <c r="L495" s="69"/>
      <c r="M495" s="69"/>
      <c r="N495" s="69" t="str">
        <f t="shared" si="72"/>
        <v/>
      </c>
      <c r="O495" s="69" t="str">
        <f t="shared" si="73"/>
        <v/>
      </c>
      <c r="P495" s="70" t="str">
        <f t="shared" si="74"/>
        <v/>
      </c>
      <c r="Q495" s="69" t="str">
        <f t="shared" si="75"/>
        <v/>
      </c>
      <c r="S495" s="71"/>
      <c r="Z495" t="str">
        <f t="shared" si="76"/>
        <v/>
      </c>
      <c r="AA495">
        <f t="shared" si="77"/>
        <v>0</v>
      </c>
      <c r="AB495">
        <f t="shared" si="78"/>
        <v>12</v>
      </c>
      <c r="AC495">
        <f t="shared" si="79"/>
        <v>33</v>
      </c>
      <c r="AD495">
        <f t="shared" si="80"/>
        <v>1</v>
      </c>
    </row>
    <row r="496" spans="9:30" ht="15" customHeight="1">
      <c r="I496" s="69"/>
      <c r="J496" s="69"/>
      <c r="K496" s="69"/>
      <c r="L496" s="69"/>
      <c r="M496" s="69"/>
      <c r="N496" s="69" t="str">
        <f t="shared" si="72"/>
        <v/>
      </c>
      <c r="O496" s="69" t="str">
        <f t="shared" si="73"/>
        <v/>
      </c>
      <c r="P496" s="70" t="str">
        <f t="shared" si="74"/>
        <v/>
      </c>
      <c r="Q496" s="69" t="str">
        <f t="shared" si="75"/>
        <v/>
      </c>
      <c r="S496" s="71"/>
      <c r="Z496" t="str">
        <f t="shared" si="76"/>
        <v/>
      </c>
      <c r="AA496">
        <f t="shared" si="77"/>
        <v>0</v>
      </c>
      <c r="AB496">
        <f t="shared" si="78"/>
        <v>12</v>
      </c>
      <c r="AC496">
        <f t="shared" si="79"/>
        <v>33</v>
      </c>
      <c r="AD496">
        <f t="shared" si="80"/>
        <v>1</v>
      </c>
    </row>
    <row r="497" spans="9:30" ht="15" customHeight="1">
      <c r="I497" s="69"/>
      <c r="J497" s="69"/>
      <c r="K497" s="69"/>
      <c r="L497" s="69"/>
      <c r="M497" s="69"/>
      <c r="N497" s="69" t="str">
        <f t="shared" si="72"/>
        <v/>
      </c>
      <c r="O497" s="69" t="str">
        <f t="shared" si="73"/>
        <v/>
      </c>
      <c r="P497" s="70" t="str">
        <f t="shared" si="74"/>
        <v/>
      </c>
      <c r="Q497" s="69" t="str">
        <f t="shared" si="75"/>
        <v/>
      </c>
      <c r="S497" s="71"/>
      <c r="Z497" t="str">
        <f t="shared" si="76"/>
        <v/>
      </c>
      <c r="AA497">
        <f t="shared" si="77"/>
        <v>0</v>
      </c>
      <c r="AB497">
        <f t="shared" si="78"/>
        <v>12</v>
      </c>
      <c r="AC497">
        <f t="shared" si="79"/>
        <v>33</v>
      </c>
      <c r="AD497">
        <f t="shared" si="80"/>
        <v>1</v>
      </c>
    </row>
    <row r="498" spans="9:30" ht="15" customHeight="1">
      <c r="I498" s="69"/>
      <c r="J498" s="69"/>
      <c r="K498" s="69"/>
      <c r="L498" s="69"/>
      <c r="M498" s="69"/>
      <c r="N498" s="69" t="str">
        <f t="shared" si="72"/>
        <v/>
      </c>
      <c r="O498" s="69" t="str">
        <f t="shared" si="73"/>
        <v/>
      </c>
      <c r="P498" s="70" t="str">
        <f t="shared" si="74"/>
        <v/>
      </c>
      <c r="Q498" s="69" t="str">
        <f t="shared" si="75"/>
        <v/>
      </c>
      <c r="S498" s="71"/>
      <c r="Z498" t="str">
        <f t="shared" si="76"/>
        <v/>
      </c>
      <c r="AA498">
        <f t="shared" si="77"/>
        <v>0</v>
      </c>
      <c r="AB498">
        <f t="shared" si="78"/>
        <v>12</v>
      </c>
      <c r="AC498">
        <f t="shared" si="79"/>
        <v>33</v>
      </c>
      <c r="AD498">
        <f t="shared" si="80"/>
        <v>1</v>
      </c>
    </row>
    <row r="499" spans="9:30" ht="15" customHeight="1">
      <c r="I499" s="69"/>
      <c r="J499" s="69"/>
      <c r="K499" s="69"/>
      <c r="L499" s="69"/>
      <c r="M499" s="69"/>
      <c r="N499" s="69" t="str">
        <f t="shared" si="72"/>
        <v/>
      </c>
      <c r="O499" s="69" t="str">
        <f t="shared" si="73"/>
        <v/>
      </c>
      <c r="P499" s="70" t="str">
        <f t="shared" si="74"/>
        <v/>
      </c>
      <c r="Q499" s="69" t="str">
        <f t="shared" si="75"/>
        <v/>
      </c>
      <c r="S499" s="71"/>
      <c r="Z499" t="str">
        <f t="shared" si="76"/>
        <v/>
      </c>
      <c r="AA499">
        <f t="shared" si="77"/>
        <v>0</v>
      </c>
      <c r="AB499">
        <f t="shared" si="78"/>
        <v>12</v>
      </c>
      <c r="AC499">
        <f t="shared" si="79"/>
        <v>33</v>
      </c>
      <c r="AD499">
        <f t="shared" si="80"/>
        <v>1</v>
      </c>
    </row>
    <row r="500" spans="9:30" ht="15" customHeight="1">
      <c r="I500" s="69"/>
      <c r="J500" s="69"/>
      <c r="K500" s="69"/>
      <c r="L500" s="69"/>
      <c r="M500" s="69"/>
      <c r="N500" s="69" t="str">
        <f t="shared" si="72"/>
        <v/>
      </c>
      <c r="O500" s="69" t="str">
        <f t="shared" si="73"/>
        <v/>
      </c>
      <c r="P500" s="70" t="str">
        <f t="shared" si="74"/>
        <v/>
      </c>
      <c r="Q500" s="69" t="str">
        <f t="shared" si="75"/>
        <v/>
      </c>
      <c r="S500" s="71"/>
      <c r="Z500" t="str">
        <f t="shared" si="76"/>
        <v/>
      </c>
      <c r="AA500">
        <f t="shared" si="77"/>
        <v>0</v>
      </c>
      <c r="AB500">
        <f t="shared" si="78"/>
        <v>12</v>
      </c>
      <c r="AC500">
        <f t="shared" si="79"/>
        <v>33</v>
      </c>
      <c r="AD500">
        <f t="shared" si="80"/>
        <v>1</v>
      </c>
    </row>
    <row r="501" spans="9:30" ht="15" customHeight="1">
      <c r="I501" s="69"/>
      <c r="J501" s="69"/>
      <c r="K501" s="69"/>
      <c r="L501" s="69"/>
      <c r="M501" s="69"/>
      <c r="N501" s="69" t="str">
        <f t="shared" ref="N501:N564" si="81">IF(ISNUMBER(I501),ROUND(I501-I501/1.081,2),"")</f>
        <v/>
      </c>
      <c r="O501" s="69" t="str">
        <f t="shared" si="73"/>
        <v/>
      </c>
      <c r="P501" s="70" t="str">
        <f t="shared" si="74"/>
        <v/>
      </c>
      <c r="Q501" s="69" t="str">
        <f t="shared" si="75"/>
        <v/>
      </c>
      <c r="S501" s="71"/>
      <c r="Z501" t="str">
        <f t="shared" si="76"/>
        <v/>
      </c>
      <c r="AA501">
        <f t="shared" si="77"/>
        <v>0</v>
      </c>
      <c r="AB501">
        <f t="shared" si="78"/>
        <v>12</v>
      </c>
      <c r="AC501">
        <f t="shared" si="79"/>
        <v>33</v>
      </c>
      <c r="AD501">
        <f t="shared" si="80"/>
        <v>1</v>
      </c>
    </row>
    <row r="502" spans="9:30" ht="15" customHeight="1">
      <c r="I502" s="69"/>
      <c r="J502" s="69"/>
      <c r="K502" s="69"/>
      <c r="L502" s="69"/>
      <c r="M502" s="69"/>
      <c r="N502" s="69" t="str">
        <f t="shared" si="81"/>
        <v/>
      </c>
      <c r="O502" s="69" t="str">
        <f t="shared" si="73"/>
        <v/>
      </c>
      <c r="P502" s="70" t="str">
        <f t="shared" si="74"/>
        <v/>
      </c>
      <c r="Q502" s="69" t="str">
        <f t="shared" si="75"/>
        <v/>
      </c>
      <c r="S502" s="71"/>
      <c r="Z502" t="str">
        <f t="shared" si="76"/>
        <v/>
      </c>
      <c r="AA502">
        <f t="shared" si="77"/>
        <v>0</v>
      </c>
      <c r="AB502">
        <f t="shared" si="78"/>
        <v>12</v>
      </c>
      <c r="AC502">
        <f t="shared" si="79"/>
        <v>33</v>
      </c>
      <c r="AD502">
        <f t="shared" si="80"/>
        <v>1</v>
      </c>
    </row>
    <row r="503" spans="9:30" ht="15" customHeight="1">
      <c r="I503" s="69"/>
      <c r="J503" s="69"/>
      <c r="K503" s="69"/>
      <c r="L503" s="69"/>
      <c r="M503" s="69"/>
      <c r="N503" s="69" t="str">
        <f t="shared" si="81"/>
        <v/>
      </c>
      <c r="O503" s="69" t="str">
        <f t="shared" si="73"/>
        <v/>
      </c>
      <c r="P503" s="70" t="str">
        <f t="shared" si="74"/>
        <v/>
      </c>
      <c r="Q503" s="69" t="str">
        <f t="shared" si="75"/>
        <v/>
      </c>
      <c r="S503" s="71"/>
      <c r="Z503" t="str">
        <f t="shared" si="76"/>
        <v/>
      </c>
      <c r="AA503">
        <f t="shared" si="77"/>
        <v>0</v>
      </c>
      <c r="AB503">
        <f t="shared" si="78"/>
        <v>12</v>
      </c>
      <c r="AC503">
        <f t="shared" si="79"/>
        <v>33</v>
      </c>
      <c r="AD503">
        <f t="shared" si="80"/>
        <v>1</v>
      </c>
    </row>
    <row r="504" spans="9:30" ht="15" customHeight="1">
      <c r="I504" s="69"/>
      <c r="J504" s="69"/>
      <c r="K504" s="69"/>
      <c r="L504" s="69"/>
      <c r="M504" s="69"/>
      <c r="N504" s="69" t="str">
        <f t="shared" si="81"/>
        <v/>
      </c>
      <c r="O504" s="69" t="str">
        <f t="shared" si="73"/>
        <v/>
      </c>
      <c r="P504" s="70" t="str">
        <f t="shared" si="74"/>
        <v/>
      </c>
      <c r="Q504" s="69" t="str">
        <f t="shared" si="75"/>
        <v/>
      </c>
      <c r="S504" s="71"/>
      <c r="Z504" t="str">
        <f t="shared" si="76"/>
        <v/>
      </c>
      <c r="AA504">
        <f t="shared" si="77"/>
        <v>0</v>
      </c>
      <c r="AB504">
        <f t="shared" si="78"/>
        <v>12</v>
      </c>
      <c r="AC504">
        <f t="shared" si="79"/>
        <v>33</v>
      </c>
      <c r="AD504">
        <f t="shared" si="80"/>
        <v>1</v>
      </c>
    </row>
    <row r="505" spans="9:30" ht="15" customHeight="1">
      <c r="I505" s="69"/>
      <c r="J505" s="69"/>
      <c r="K505" s="69"/>
      <c r="L505" s="69"/>
      <c r="M505" s="69"/>
      <c r="N505" s="69" t="str">
        <f t="shared" si="81"/>
        <v/>
      </c>
      <c r="O505" s="69" t="str">
        <f t="shared" si="73"/>
        <v/>
      </c>
      <c r="P505" s="70" t="str">
        <f t="shared" si="74"/>
        <v/>
      </c>
      <c r="Q505" s="69" t="str">
        <f t="shared" si="75"/>
        <v/>
      </c>
      <c r="S505" s="71"/>
      <c r="Z505" t="str">
        <f t="shared" si="76"/>
        <v/>
      </c>
      <c r="AA505">
        <f t="shared" si="77"/>
        <v>0</v>
      </c>
      <c r="AB505">
        <f t="shared" si="78"/>
        <v>12</v>
      </c>
      <c r="AC505">
        <f t="shared" si="79"/>
        <v>33</v>
      </c>
      <c r="AD505">
        <f t="shared" si="80"/>
        <v>1</v>
      </c>
    </row>
    <row r="506" spans="9:30" ht="15" customHeight="1">
      <c r="I506" s="69"/>
      <c r="J506" s="69"/>
      <c r="K506" s="69"/>
      <c r="L506" s="69"/>
      <c r="M506" s="69"/>
      <c r="N506" s="69" t="str">
        <f t="shared" si="81"/>
        <v/>
      </c>
      <c r="O506" s="69" t="str">
        <f t="shared" si="73"/>
        <v/>
      </c>
      <c r="P506" s="70" t="str">
        <f t="shared" si="74"/>
        <v/>
      </c>
      <c r="Q506" s="69" t="str">
        <f t="shared" si="75"/>
        <v/>
      </c>
      <c r="S506" s="71"/>
      <c r="Z506" t="str">
        <f t="shared" si="76"/>
        <v/>
      </c>
      <c r="AA506">
        <f t="shared" si="77"/>
        <v>0</v>
      </c>
      <c r="AB506">
        <f t="shared" si="78"/>
        <v>12</v>
      </c>
      <c r="AC506">
        <f t="shared" si="79"/>
        <v>33</v>
      </c>
      <c r="AD506">
        <f t="shared" si="80"/>
        <v>1</v>
      </c>
    </row>
    <row r="507" spans="9:30" ht="15" customHeight="1">
      <c r="I507" s="69"/>
      <c r="J507" s="69"/>
      <c r="K507" s="69"/>
      <c r="L507" s="69"/>
      <c r="M507" s="69"/>
      <c r="N507" s="69" t="str">
        <f t="shared" si="81"/>
        <v/>
      </c>
      <c r="O507" s="69" t="str">
        <f t="shared" si="73"/>
        <v/>
      </c>
      <c r="P507" s="70" t="str">
        <f t="shared" si="74"/>
        <v/>
      </c>
      <c r="Q507" s="69" t="str">
        <f t="shared" si="75"/>
        <v/>
      </c>
      <c r="S507" s="71"/>
      <c r="Z507" t="str">
        <f t="shared" si="76"/>
        <v/>
      </c>
      <c r="AA507">
        <f t="shared" si="77"/>
        <v>0</v>
      </c>
      <c r="AB507">
        <f t="shared" si="78"/>
        <v>12</v>
      </c>
      <c r="AC507">
        <f t="shared" si="79"/>
        <v>33</v>
      </c>
      <c r="AD507">
        <f t="shared" si="80"/>
        <v>1</v>
      </c>
    </row>
    <row r="508" spans="9:30" ht="15" customHeight="1">
      <c r="I508" s="69"/>
      <c r="J508" s="69"/>
      <c r="K508" s="69"/>
      <c r="L508" s="69"/>
      <c r="M508" s="69"/>
      <c r="N508" s="69" t="str">
        <f t="shared" si="81"/>
        <v/>
      </c>
      <c r="O508" s="69" t="str">
        <f t="shared" si="73"/>
        <v/>
      </c>
      <c r="P508" s="70" t="str">
        <f t="shared" si="74"/>
        <v/>
      </c>
      <c r="Q508" s="69" t="str">
        <f t="shared" si="75"/>
        <v/>
      </c>
      <c r="S508" s="71"/>
      <c r="Z508" t="str">
        <f t="shared" si="76"/>
        <v/>
      </c>
      <c r="AA508">
        <f t="shared" si="77"/>
        <v>0</v>
      </c>
      <c r="AB508">
        <f t="shared" si="78"/>
        <v>12</v>
      </c>
      <c r="AC508">
        <f t="shared" si="79"/>
        <v>33</v>
      </c>
      <c r="AD508">
        <f t="shared" si="80"/>
        <v>1</v>
      </c>
    </row>
    <row r="509" spans="9:30" ht="15" customHeight="1">
      <c r="I509" s="69"/>
      <c r="J509" s="69"/>
      <c r="K509" s="69"/>
      <c r="L509" s="69"/>
      <c r="M509" s="69"/>
      <c r="N509" s="69" t="str">
        <f t="shared" si="81"/>
        <v/>
      </c>
      <c r="O509" s="69" t="str">
        <f t="shared" si="73"/>
        <v/>
      </c>
      <c r="P509" s="70" t="str">
        <f t="shared" si="74"/>
        <v/>
      </c>
      <c r="Q509" s="69" t="str">
        <f t="shared" si="75"/>
        <v/>
      </c>
      <c r="S509" s="71"/>
      <c r="Z509" t="str">
        <f t="shared" si="76"/>
        <v/>
      </c>
      <c r="AA509">
        <f t="shared" si="77"/>
        <v>0</v>
      </c>
      <c r="AB509">
        <f t="shared" si="78"/>
        <v>12</v>
      </c>
      <c r="AC509">
        <f t="shared" si="79"/>
        <v>33</v>
      </c>
      <c r="AD509">
        <f t="shared" si="80"/>
        <v>1</v>
      </c>
    </row>
    <row r="510" spans="9:30" ht="15" customHeight="1">
      <c r="I510" s="69"/>
      <c r="J510" s="69"/>
      <c r="K510" s="69"/>
      <c r="L510" s="69"/>
      <c r="M510" s="69"/>
      <c r="N510" s="69" t="str">
        <f t="shared" si="81"/>
        <v/>
      </c>
      <c r="O510" s="69" t="str">
        <f t="shared" si="73"/>
        <v/>
      </c>
      <c r="P510" s="70" t="str">
        <f t="shared" si="74"/>
        <v/>
      </c>
      <c r="Q510" s="69" t="str">
        <f t="shared" si="75"/>
        <v/>
      </c>
      <c r="S510" s="71"/>
      <c r="Z510" t="str">
        <f t="shared" si="76"/>
        <v/>
      </c>
      <c r="AA510">
        <f t="shared" si="77"/>
        <v>0</v>
      </c>
      <c r="AB510">
        <f t="shared" si="78"/>
        <v>12</v>
      </c>
      <c r="AC510">
        <f t="shared" si="79"/>
        <v>33</v>
      </c>
      <c r="AD510">
        <f t="shared" si="80"/>
        <v>1</v>
      </c>
    </row>
    <row r="511" spans="9:30" ht="15" customHeight="1">
      <c r="I511" s="69"/>
      <c r="J511" s="69"/>
      <c r="K511" s="69"/>
      <c r="L511" s="69"/>
      <c r="M511" s="69"/>
      <c r="N511" s="69" t="str">
        <f t="shared" si="81"/>
        <v/>
      </c>
      <c r="O511" s="69" t="str">
        <f t="shared" si="73"/>
        <v/>
      </c>
      <c r="P511" s="70" t="str">
        <f t="shared" si="74"/>
        <v/>
      </c>
      <c r="Q511" s="69" t="str">
        <f t="shared" si="75"/>
        <v/>
      </c>
      <c r="S511" s="71"/>
      <c r="Z511" t="str">
        <f t="shared" si="76"/>
        <v/>
      </c>
      <c r="AA511">
        <f t="shared" si="77"/>
        <v>0</v>
      </c>
      <c r="AB511">
        <f t="shared" si="78"/>
        <v>12</v>
      </c>
      <c r="AC511">
        <f t="shared" si="79"/>
        <v>33</v>
      </c>
      <c r="AD511">
        <f t="shared" si="80"/>
        <v>1</v>
      </c>
    </row>
    <row r="512" spans="9:30" ht="15" customHeight="1">
      <c r="I512" s="69"/>
      <c r="J512" s="69"/>
      <c r="K512" s="69"/>
      <c r="L512" s="69"/>
      <c r="M512" s="69"/>
      <c r="N512" s="69" t="str">
        <f t="shared" si="81"/>
        <v/>
      </c>
      <c r="O512" s="69" t="str">
        <f t="shared" si="73"/>
        <v/>
      </c>
      <c r="P512" s="70" t="str">
        <f t="shared" si="74"/>
        <v/>
      </c>
      <c r="Q512" s="69" t="str">
        <f t="shared" si="75"/>
        <v/>
      </c>
      <c r="S512" s="71"/>
      <c r="Z512" t="str">
        <f t="shared" si="76"/>
        <v/>
      </c>
      <c r="AA512">
        <f t="shared" si="77"/>
        <v>0</v>
      </c>
      <c r="AB512">
        <f t="shared" si="78"/>
        <v>12</v>
      </c>
      <c r="AC512">
        <f t="shared" si="79"/>
        <v>33</v>
      </c>
      <c r="AD512">
        <f t="shared" si="80"/>
        <v>1</v>
      </c>
    </row>
    <row r="513" spans="9:30" ht="15" customHeight="1">
      <c r="I513" s="69"/>
      <c r="J513" s="69"/>
      <c r="K513" s="69"/>
      <c r="L513" s="69"/>
      <c r="M513" s="69"/>
      <c r="N513" s="69" t="str">
        <f t="shared" si="81"/>
        <v/>
      </c>
      <c r="O513" s="69" t="str">
        <f t="shared" si="73"/>
        <v/>
      </c>
      <c r="P513" s="70" t="str">
        <f t="shared" si="74"/>
        <v/>
      </c>
      <c r="Q513" s="69" t="str">
        <f t="shared" si="75"/>
        <v/>
      </c>
      <c r="S513" s="71"/>
      <c r="Z513" t="str">
        <f t="shared" si="76"/>
        <v/>
      </c>
      <c r="AA513">
        <f t="shared" si="77"/>
        <v>0</v>
      </c>
      <c r="AB513">
        <f t="shared" si="78"/>
        <v>12</v>
      </c>
      <c r="AC513">
        <f t="shared" si="79"/>
        <v>33</v>
      </c>
      <c r="AD513">
        <f t="shared" si="80"/>
        <v>1</v>
      </c>
    </row>
    <row r="514" spans="9:30" ht="15" customHeight="1">
      <c r="I514" s="69"/>
      <c r="J514" s="69"/>
      <c r="K514" s="69"/>
      <c r="L514" s="69"/>
      <c r="M514" s="69"/>
      <c r="N514" s="69" t="str">
        <f t="shared" si="81"/>
        <v/>
      </c>
      <c r="O514" s="69" t="str">
        <f t="shared" si="73"/>
        <v/>
      </c>
      <c r="P514" s="70" t="str">
        <f t="shared" si="74"/>
        <v/>
      </c>
      <c r="Q514" s="69" t="str">
        <f t="shared" si="75"/>
        <v/>
      </c>
      <c r="S514" s="71"/>
      <c r="Z514" t="str">
        <f t="shared" si="76"/>
        <v/>
      </c>
      <c r="AA514">
        <f t="shared" si="77"/>
        <v>0</v>
      </c>
      <c r="AB514">
        <f t="shared" si="78"/>
        <v>12</v>
      </c>
      <c r="AC514">
        <f t="shared" si="79"/>
        <v>33</v>
      </c>
      <c r="AD514">
        <f t="shared" si="80"/>
        <v>1</v>
      </c>
    </row>
    <row r="515" spans="9:30" ht="15" customHeight="1">
      <c r="I515" s="69"/>
      <c r="J515" s="69"/>
      <c r="K515" s="69"/>
      <c r="L515" s="69"/>
      <c r="M515" s="69"/>
      <c r="N515" s="69" t="str">
        <f t="shared" si="81"/>
        <v/>
      </c>
      <c r="O515" s="69" t="str">
        <f t="shared" si="73"/>
        <v/>
      </c>
      <c r="P515" s="70" t="str">
        <f t="shared" si="74"/>
        <v/>
      </c>
      <c r="Q515" s="69" t="str">
        <f t="shared" si="75"/>
        <v/>
      </c>
      <c r="S515" s="71"/>
      <c r="Z515" t="str">
        <f t="shared" si="76"/>
        <v/>
      </c>
      <c r="AA515">
        <f t="shared" si="77"/>
        <v>0</v>
      </c>
      <c r="AB515">
        <f t="shared" si="78"/>
        <v>12</v>
      </c>
      <c r="AC515">
        <f t="shared" si="79"/>
        <v>33</v>
      </c>
      <c r="AD515">
        <f t="shared" si="80"/>
        <v>1</v>
      </c>
    </row>
    <row r="516" spans="9:30" ht="15" customHeight="1">
      <c r="I516" s="69"/>
      <c r="J516" s="69"/>
      <c r="K516" s="69"/>
      <c r="L516" s="69"/>
      <c r="M516" s="69"/>
      <c r="N516" s="69" t="str">
        <f t="shared" si="81"/>
        <v/>
      </c>
      <c r="O516" s="69" t="str">
        <f t="shared" si="73"/>
        <v/>
      </c>
      <c r="P516" s="70" t="str">
        <f t="shared" si="74"/>
        <v/>
      </c>
      <c r="Q516" s="69" t="str">
        <f t="shared" si="75"/>
        <v/>
      </c>
      <c r="S516" s="71"/>
      <c r="Z516" t="str">
        <f t="shared" si="76"/>
        <v/>
      </c>
      <c r="AA516">
        <f t="shared" si="77"/>
        <v>0</v>
      </c>
      <c r="AB516">
        <f t="shared" si="78"/>
        <v>12</v>
      </c>
      <c r="AC516">
        <f t="shared" si="79"/>
        <v>33</v>
      </c>
      <c r="AD516">
        <f t="shared" si="80"/>
        <v>1</v>
      </c>
    </row>
    <row r="517" spans="9:30" ht="15" customHeight="1">
      <c r="I517" s="69"/>
      <c r="J517" s="69"/>
      <c r="K517" s="69"/>
      <c r="L517" s="69"/>
      <c r="M517" s="69"/>
      <c r="N517" s="69" t="str">
        <f t="shared" si="81"/>
        <v/>
      </c>
      <c r="O517" s="69" t="str">
        <f t="shared" si="73"/>
        <v/>
      </c>
      <c r="P517" s="70" t="str">
        <f t="shared" si="74"/>
        <v/>
      </c>
      <c r="Q517" s="69" t="str">
        <f t="shared" si="75"/>
        <v/>
      </c>
      <c r="S517" s="71"/>
      <c r="Z517" t="str">
        <f t="shared" si="76"/>
        <v/>
      </c>
      <c r="AA517">
        <f t="shared" si="77"/>
        <v>0</v>
      </c>
      <c r="AB517">
        <f t="shared" si="78"/>
        <v>12</v>
      </c>
      <c r="AC517">
        <f t="shared" si="79"/>
        <v>33</v>
      </c>
      <c r="AD517">
        <f t="shared" si="80"/>
        <v>1</v>
      </c>
    </row>
    <row r="518" spans="9:30" ht="15" customHeight="1">
      <c r="I518" s="69"/>
      <c r="J518" s="69"/>
      <c r="K518" s="69"/>
      <c r="L518" s="69"/>
      <c r="M518" s="69"/>
      <c r="N518" s="69" t="str">
        <f t="shared" si="81"/>
        <v/>
      </c>
      <c r="O518" s="69" t="str">
        <f t="shared" ref="O518:O581" si="82">IF(ISNUMBER(I518),I518-SUM(J518:N518),"")</f>
        <v/>
      </c>
      <c r="P518" s="70" t="str">
        <f t="shared" ref="P518:P581" si="83">IFERROR(IF(AND(ISNUMBER(O518),ISNUMBER(I518),I518&lt;&gt;0),O518/I518,""),"")</f>
        <v/>
      </c>
      <c r="Q518" s="69" t="str">
        <f t="shared" ref="Q518:Q581" si="84">IF(AND(ISNUMBER(I518),ISNUMBER(S518)),I518*IF(S518&lt;=1,S518,S518/100),IF(OR(I518&lt;&gt;"",S518&lt;&gt;""),"tbd",""))</f>
        <v/>
      </c>
      <c r="S518" s="71"/>
      <c r="Z518" t="str">
        <f t="shared" ref="Z518:Z581" si="85">IF(AND(R518="WON",ISNUMBER(I518)),AA518,"")</f>
        <v/>
      </c>
      <c r="AA518">
        <f t="shared" ref="AA518:AA581" si="86">IFERROR(I518*1,0)</f>
        <v>0</v>
      </c>
      <c r="AB518">
        <f t="shared" ref="AB518:AB581" si="87">N(AB517)+IF(AND(R518="WON",B518&lt;&gt;""),1,0)</f>
        <v>12</v>
      </c>
      <c r="AC518">
        <f t="shared" ref="AC518:AC581" si="88">N(AC517)+IF(AND(OR(R518="offered",R518="to be offered",R518="on hold"),B518&lt;&gt;""),1,0)</f>
        <v>33</v>
      </c>
      <c r="AD518">
        <f t="shared" ref="AD518:AD581" si="89">N(AD517)+IF(AND(OR(R518="follow-up",R518="Evaluation",R518="tbd",R518="In evaluation"),B518&lt;&gt;""),1,0)</f>
        <v>1</v>
      </c>
    </row>
    <row r="519" spans="9:30" ht="15" customHeight="1">
      <c r="I519" s="69"/>
      <c r="J519" s="69"/>
      <c r="K519" s="69"/>
      <c r="L519" s="69"/>
      <c r="M519" s="69"/>
      <c r="N519" s="69" t="str">
        <f t="shared" si="81"/>
        <v/>
      </c>
      <c r="O519" s="69" t="str">
        <f t="shared" si="82"/>
        <v/>
      </c>
      <c r="P519" s="70" t="str">
        <f t="shared" si="83"/>
        <v/>
      </c>
      <c r="Q519" s="69" t="str">
        <f t="shared" si="84"/>
        <v/>
      </c>
      <c r="S519" s="71"/>
      <c r="Z519" t="str">
        <f t="shared" si="85"/>
        <v/>
      </c>
      <c r="AA519">
        <f t="shared" si="86"/>
        <v>0</v>
      </c>
      <c r="AB519">
        <f t="shared" si="87"/>
        <v>12</v>
      </c>
      <c r="AC519">
        <f t="shared" si="88"/>
        <v>33</v>
      </c>
      <c r="AD519">
        <f t="shared" si="89"/>
        <v>1</v>
      </c>
    </row>
    <row r="520" spans="9:30" ht="15" customHeight="1">
      <c r="I520" s="69"/>
      <c r="J520" s="69"/>
      <c r="K520" s="69"/>
      <c r="L520" s="69"/>
      <c r="M520" s="69"/>
      <c r="N520" s="69" t="str">
        <f t="shared" si="81"/>
        <v/>
      </c>
      <c r="O520" s="69" t="str">
        <f t="shared" si="82"/>
        <v/>
      </c>
      <c r="P520" s="70" t="str">
        <f t="shared" si="83"/>
        <v/>
      </c>
      <c r="Q520" s="69" t="str">
        <f t="shared" si="84"/>
        <v/>
      </c>
      <c r="S520" s="71"/>
      <c r="Z520" t="str">
        <f t="shared" si="85"/>
        <v/>
      </c>
      <c r="AA520">
        <f t="shared" si="86"/>
        <v>0</v>
      </c>
      <c r="AB520">
        <f t="shared" si="87"/>
        <v>12</v>
      </c>
      <c r="AC520">
        <f t="shared" si="88"/>
        <v>33</v>
      </c>
      <c r="AD520">
        <f t="shared" si="89"/>
        <v>1</v>
      </c>
    </row>
    <row r="521" spans="9:30" ht="15" customHeight="1">
      <c r="I521" s="69"/>
      <c r="J521" s="69"/>
      <c r="K521" s="69"/>
      <c r="L521" s="69"/>
      <c r="M521" s="69"/>
      <c r="N521" s="69" t="str">
        <f t="shared" si="81"/>
        <v/>
      </c>
      <c r="O521" s="69" t="str">
        <f t="shared" si="82"/>
        <v/>
      </c>
      <c r="P521" s="70" t="str">
        <f t="shared" si="83"/>
        <v/>
      </c>
      <c r="Q521" s="69" t="str">
        <f t="shared" si="84"/>
        <v/>
      </c>
      <c r="S521" s="71"/>
      <c r="Z521" t="str">
        <f t="shared" si="85"/>
        <v/>
      </c>
      <c r="AA521">
        <f t="shared" si="86"/>
        <v>0</v>
      </c>
      <c r="AB521">
        <f t="shared" si="87"/>
        <v>12</v>
      </c>
      <c r="AC521">
        <f t="shared" si="88"/>
        <v>33</v>
      </c>
      <c r="AD521">
        <f t="shared" si="89"/>
        <v>1</v>
      </c>
    </row>
    <row r="522" spans="9:30" ht="15" customHeight="1">
      <c r="I522" s="69"/>
      <c r="J522" s="69"/>
      <c r="K522" s="69"/>
      <c r="L522" s="69"/>
      <c r="M522" s="69"/>
      <c r="N522" s="69" t="str">
        <f t="shared" si="81"/>
        <v/>
      </c>
      <c r="O522" s="69" t="str">
        <f t="shared" si="82"/>
        <v/>
      </c>
      <c r="P522" s="70" t="str">
        <f t="shared" si="83"/>
        <v/>
      </c>
      <c r="Q522" s="69" t="str">
        <f t="shared" si="84"/>
        <v/>
      </c>
      <c r="S522" s="71"/>
      <c r="Z522" t="str">
        <f t="shared" si="85"/>
        <v/>
      </c>
      <c r="AA522">
        <f t="shared" si="86"/>
        <v>0</v>
      </c>
      <c r="AB522">
        <f t="shared" si="87"/>
        <v>12</v>
      </c>
      <c r="AC522">
        <f t="shared" si="88"/>
        <v>33</v>
      </c>
      <c r="AD522">
        <f t="shared" si="89"/>
        <v>1</v>
      </c>
    </row>
    <row r="523" spans="9:30" ht="15" customHeight="1">
      <c r="I523" s="69"/>
      <c r="J523" s="69"/>
      <c r="K523" s="69"/>
      <c r="L523" s="69"/>
      <c r="M523" s="69"/>
      <c r="N523" s="69" t="str">
        <f t="shared" si="81"/>
        <v/>
      </c>
      <c r="O523" s="69" t="str">
        <f t="shared" si="82"/>
        <v/>
      </c>
      <c r="P523" s="70" t="str">
        <f t="shared" si="83"/>
        <v/>
      </c>
      <c r="Q523" s="69" t="str">
        <f t="shared" si="84"/>
        <v/>
      </c>
      <c r="S523" s="71"/>
      <c r="Z523" t="str">
        <f t="shared" si="85"/>
        <v/>
      </c>
      <c r="AA523">
        <f t="shared" si="86"/>
        <v>0</v>
      </c>
      <c r="AB523">
        <f t="shared" si="87"/>
        <v>12</v>
      </c>
      <c r="AC523">
        <f t="shared" si="88"/>
        <v>33</v>
      </c>
      <c r="AD523">
        <f t="shared" si="89"/>
        <v>1</v>
      </c>
    </row>
    <row r="524" spans="9:30" ht="15" customHeight="1">
      <c r="I524" s="69"/>
      <c r="J524" s="69"/>
      <c r="K524" s="69"/>
      <c r="L524" s="69"/>
      <c r="M524" s="69"/>
      <c r="N524" s="69" t="str">
        <f t="shared" si="81"/>
        <v/>
      </c>
      <c r="O524" s="69" t="str">
        <f t="shared" si="82"/>
        <v/>
      </c>
      <c r="P524" s="70" t="str">
        <f t="shared" si="83"/>
        <v/>
      </c>
      <c r="Q524" s="69" t="str">
        <f t="shared" si="84"/>
        <v/>
      </c>
      <c r="S524" s="71"/>
      <c r="Z524" t="str">
        <f t="shared" si="85"/>
        <v/>
      </c>
      <c r="AA524">
        <f t="shared" si="86"/>
        <v>0</v>
      </c>
      <c r="AB524">
        <f t="shared" si="87"/>
        <v>12</v>
      </c>
      <c r="AC524">
        <f t="shared" si="88"/>
        <v>33</v>
      </c>
      <c r="AD524">
        <f t="shared" si="89"/>
        <v>1</v>
      </c>
    </row>
    <row r="525" spans="9:30" ht="15" customHeight="1">
      <c r="I525" s="69"/>
      <c r="J525" s="69"/>
      <c r="K525" s="69"/>
      <c r="L525" s="69"/>
      <c r="M525" s="69"/>
      <c r="N525" s="69" t="str">
        <f t="shared" si="81"/>
        <v/>
      </c>
      <c r="O525" s="69" t="str">
        <f t="shared" si="82"/>
        <v/>
      </c>
      <c r="P525" s="70" t="str">
        <f t="shared" si="83"/>
        <v/>
      </c>
      <c r="Q525" s="69" t="str">
        <f t="shared" si="84"/>
        <v/>
      </c>
      <c r="S525" s="71"/>
      <c r="Z525" t="str">
        <f t="shared" si="85"/>
        <v/>
      </c>
      <c r="AA525">
        <f t="shared" si="86"/>
        <v>0</v>
      </c>
      <c r="AB525">
        <f t="shared" si="87"/>
        <v>12</v>
      </c>
      <c r="AC525">
        <f t="shared" si="88"/>
        <v>33</v>
      </c>
      <c r="AD525">
        <f t="shared" si="89"/>
        <v>1</v>
      </c>
    </row>
    <row r="526" spans="9:30" ht="15" customHeight="1">
      <c r="I526" s="69"/>
      <c r="J526" s="69"/>
      <c r="K526" s="69"/>
      <c r="L526" s="69"/>
      <c r="M526" s="69"/>
      <c r="N526" s="69" t="str">
        <f t="shared" si="81"/>
        <v/>
      </c>
      <c r="O526" s="69" t="str">
        <f t="shared" si="82"/>
        <v/>
      </c>
      <c r="P526" s="70" t="str">
        <f t="shared" si="83"/>
        <v/>
      </c>
      <c r="Q526" s="69" t="str">
        <f t="shared" si="84"/>
        <v/>
      </c>
      <c r="S526" s="71"/>
      <c r="Z526" t="str">
        <f t="shared" si="85"/>
        <v/>
      </c>
      <c r="AA526">
        <f t="shared" si="86"/>
        <v>0</v>
      </c>
      <c r="AB526">
        <f t="shared" si="87"/>
        <v>12</v>
      </c>
      <c r="AC526">
        <f t="shared" si="88"/>
        <v>33</v>
      </c>
      <c r="AD526">
        <f t="shared" si="89"/>
        <v>1</v>
      </c>
    </row>
    <row r="527" spans="9:30" ht="15" customHeight="1">
      <c r="I527" s="69"/>
      <c r="J527" s="69"/>
      <c r="K527" s="69"/>
      <c r="L527" s="69"/>
      <c r="M527" s="69"/>
      <c r="N527" s="69" t="str">
        <f t="shared" si="81"/>
        <v/>
      </c>
      <c r="O527" s="69" t="str">
        <f t="shared" si="82"/>
        <v/>
      </c>
      <c r="P527" s="70" t="str">
        <f t="shared" si="83"/>
        <v/>
      </c>
      <c r="Q527" s="69" t="str">
        <f t="shared" si="84"/>
        <v/>
      </c>
      <c r="S527" s="71"/>
      <c r="Z527" t="str">
        <f t="shared" si="85"/>
        <v/>
      </c>
      <c r="AA527">
        <f t="shared" si="86"/>
        <v>0</v>
      </c>
      <c r="AB527">
        <f t="shared" si="87"/>
        <v>12</v>
      </c>
      <c r="AC527">
        <f t="shared" si="88"/>
        <v>33</v>
      </c>
      <c r="AD527">
        <f t="shared" si="89"/>
        <v>1</v>
      </c>
    </row>
    <row r="528" spans="9:30" ht="15" customHeight="1">
      <c r="I528" s="69"/>
      <c r="J528" s="69"/>
      <c r="K528" s="69"/>
      <c r="L528" s="69"/>
      <c r="M528" s="69"/>
      <c r="N528" s="69" t="str">
        <f t="shared" si="81"/>
        <v/>
      </c>
      <c r="O528" s="69" t="str">
        <f t="shared" si="82"/>
        <v/>
      </c>
      <c r="P528" s="70" t="str">
        <f t="shared" si="83"/>
        <v/>
      </c>
      <c r="Q528" s="69" t="str">
        <f t="shared" si="84"/>
        <v/>
      </c>
      <c r="S528" s="71"/>
      <c r="Z528" t="str">
        <f t="shared" si="85"/>
        <v/>
      </c>
      <c r="AA528">
        <f t="shared" si="86"/>
        <v>0</v>
      </c>
      <c r="AB528">
        <f t="shared" si="87"/>
        <v>12</v>
      </c>
      <c r="AC528">
        <f t="shared" si="88"/>
        <v>33</v>
      </c>
      <c r="AD528">
        <f t="shared" si="89"/>
        <v>1</v>
      </c>
    </row>
    <row r="529" spans="9:30" ht="15" customHeight="1">
      <c r="I529" s="69"/>
      <c r="J529" s="69"/>
      <c r="K529" s="69"/>
      <c r="L529" s="69"/>
      <c r="M529" s="69"/>
      <c r="N529" s="69" t="str">
        <f t="shared" si="81"/>
        <v/>
      </c>
      <c r="O529" s="69" t="str">
        <f t="shared" si="82"/>
        <v/>
      </c>
      <c r="P529" s="70" t="str">
        <f t="shared" si="83"/>
        <v/>
      </c>
      <c r="Q529" s="69" t="str">
        <f t="shared" si="84"/>
        <v/>
      </c>
      <c r="S529" s="71"/>
      <c r="Z529" t="str">
        <f t="shared" si="85"/>
        <v/>
      </c>
      <c r="AA529">
        <f t="shared" si="86"/>
        <v>0</v>
      </c>
      <c r="AB529">
        <f t="shared" si="87"/>
        <v>12</v>
      </c>
      <c r="AC529">
        <f t="shared" si="88"/>
        <v>33</v>
      </c>
      <c r="AD529">
        <f t="shared" si="89"/>
        <v>1</v>
      </c>
    </row>
    <row r="530" spans="9:30" ht="15" customHeight="1">
      <c r="I530" s="69"/>
      <c r="J530" s="69"/>
      <c r="K530" s="69"/>
      <c r="L530" s="69"/>
      <c r="M530" s="69"/>
      <c r="N530" s="69" t="str">
        <f t="shared" si="81"/>
        <v/>
      </c>
      <c r="O530" s="69" t="str">
        <f t="shared" si="82"/>
        <v/>
      </c>
      <c r="P530" s="70" t="str">
        <f t="shared" si="83"/>
        <v/>
      </c>
      <c r="Q530" s="69" t="str">
        <f t="shared" si="84"/>
        <v/>
      </c>
      <c r="S530" s="71"/>
      <c r="Z530" t="str">
        <f t="shared" si="85"/>
        <v/>
      </c>
      <c r="AA530">
        <f t="shared" si="86"/>
        <v>0</v>
      </c>
      <c r="AB530">
        <f t="shared" si="87"/>
        <v>12</v>
      </c>
      <c r="AC530">
        <f t="shared" si="88"/>
        <v>33</v>
      </c>
      <c r="AD530">
        <f t="shared" si="89"/>
        <v>1</v>
      </c>
    </row>
    <row r="531" spans="9:30" ht="15" customHeight="1">
      <c r="I531" s="69"/>
      <c r="J531" s="69"/>
      <c r="K531" s="69"/>
      <c r="L531" s="69"/>
      <c r="M531" s="69"/>
      <c r="N531" s="69" t="str">
        <f t="shared" si="81"/>
        <v/>
      </c>
      <c r="O531" s="69" t="str">
        <f t="shared" si="82"/>
        <v/>
      </c>
      <c r="P531" s="70" t="str">
        <f t="shared" si="83"/>
        <v/>
      </c>
      <c r="Q531" s="69" t="str">
        <f t="shared" si="84"/>
        <v/>
      </c>
      <c r="S531" s="71"/>
      <c r="Z531" t="str">
        <f t="shared" si="85"/>
        <v/>
      </c>
      <c r="AA531">
        <f t="shared" si="86"/>
        <v>0</v>
      </c>
      <c r="AB531">
        <f t="shared" si="87"/>
        <v>12</v>
      </c>
      <c r="AC531">
        <f t="shared" si="88"/>
        <v>33</v>
      </c>
      <c r="AD531">
        <f t="shared" si="89"/>
        <v>1</v>
      </c>
    </row>
    <row r="532" spans="9:30" ht="15" customHeight="1">
      <c r="I532" s="69"/>
      <c r="J532" s="69"/>
      <c r="K532" s="69"/>
      <c r="L532" s="69"/>
      <c r="M532" s="69"/>
      <c r="N532" s="69" t="str">
        <f t="shared" si="81"/>
        <v/>
      </c>
      <c r="O532" s="69" t="str">
        <f t="shared" si="82"/>
        <v/>
      </c>
      <c r="P532" s="70" t="str">
        <f t="shared" si="83"/>
        <v/>
      </c>
      <c r="Q532" s="69" t="str">
        <f t="shared" si="84"/>
        <v/>
      </c>
      <c r="S532" s="71"/>
      <c r="Z532" t="str">
        <f t="shared" si="85"/>
        <v/>
      </c>
      <c r="AA532">
        <f t="shared" si="86"/>
        <v>0</v>
      </c>
      <c r="AB532">
        <f t="shared" si="87"/>
        <v>12</v>
      </c>
      <c r="AC532">
        <f t="shared" si="88"/>
        <v>33</v>
      </c>
      <c r="AD532">
        <f t="shared" si="89"/>
        <v>1</v>
      </c>
    </row>
    <row r="533" spans="9:30" ht="15" customHeight="1">
      <c r="I533" s="69"/>
      <c r="J533" s="69"/>
      <c r="K533" s="69"/>
      <c r="L533" s="69"/>
      <c r="M533" s="69"/>
      <c r="N533" s="69" t="str">
        <f t="shared" si="81"/>
        <v/>
      </c>
      <c r="O533" s="69" t="str">
        <f t="shared" si="82"/>
        <v/>
      </c>
      <c r="P533" s="70" t="str">
        <f t="shared" si="83"/>
        <v/>
      </c>
      <c r="Q533" s="69" t="str">
        <f t="shared" si="84"/>
        <v/>
      </c>
      <c r="S533" s="71"/>
      <c r="Z533" t="str">
        <f t="shared" si="85"/>
        <v/>
      </c>
      <c r="AA533">
        <f t="shared" si="86"/>
        <v>0</v>
      </c>
      <c r="AB533">
        <f t="shared" si="87"/>
        <v>12</v>
      </c>
      <c r="AC533">
        <f t="shared" si="88"/>
        <v>33</v>
      </c>
      <c r="AD533">
        <f t="shared" si="89"/>
        <v>1</v>
      </c>
    </row>
    <row r="534" spans="9:30" ht="15" customHeight="1">
      <c r="I534" s="69"/>
      <c r="J534" s="69"/>
      <c r="K534" s="69"/>
      <c r="L534" s="69"/>
      <c r="M534" s="69"/>
      <c r="N534" s="69" t="str">
        <f t="shared" si="81"/>
        <v/>
      </c>
      <c r="O534" s="69" t="str">
        <f t="shared" si="82"/>
        <v/>
      </c>
      <c r="P534" s="70" t="str">
        <f t="shared" si="83"/>
        <v/>
      </c>
      <c r="Q534" s="69" t="str">
        <f t="shared" si="84"/>
        <v/>
      </c>
      <c r="S534" s="71"/>
      <c r="Z534" t="str">
        <f t="shared" si="85"/>
        <v/>
      </c>
      <c r="AA534">
        <f t="shared" si="86"/>
        <v>0</v>
      </c>
      <c r="AB534">
        <f t="shared" si="87"/>
        <v>12</v>
      </c>
      <c r="AC534">
        <f t="shared" si="88"/>
        <v>33</v>
      </c>
      <c r="AD534">
        <f t="shared" si="89"/>
        <v>1</v>
      </c>
    </row>
    <row r="535" spans="9:30" ht="15" customHeight="1">
      <c r="I535" s="69"/>
      <c r="J535" s="69"/>
      <c r="K535" s="69"/>
      <c r="L535" s="69"/>
      <c r="M535" s="69"/>
      <c r="N535" s="69" t="str">
        <f t="shared" si="81"/>
        <v/>
      </c>
      <c r="O535" s="69" t="str">
        <f t="shared" si="82"/>
        <v/>
      </c>
      <c r="P535" s="70" t="str">
        <f t="shared" si="83"/>
        <v/>
      </c>
      <c r="Q535" s="69" t="str">
        <f t="shared" si="84"/>
        <v/>
      </c>
      <c r="S535" s="71"/>
      <c r="Z535" t="str">
        <f t="shared" si="85"/>
        <v/>
      </c>
      <c r="AA535">
        <f t="shared" si="86"/>
        <v>0</v>
      </c>
      <c r="AB535">
        <f t="shared" si="87"/>
        <v>12</v>
      </c>
      <c r="AC535">
        <f t="shared" si="88"/>
        <v>33</v>
      </c>
      <c r="AD535">
        <f t="shared" si="89"/>
        <v>1</v>
      </c>
    </row>
    <row r="536" spans="9:30" ht="15" customHeight="1">
      <c r="I536" s="69"/>
      <c r="J536" s="69"/>
      <c r="K536" s="69"/>
      <c r="L536" s="69"/>
      <c r="M536" s="69"/>
      <c r="N536" s="69" t="str">
        <f t="shared" si="81"/>
        <v/>
      </c>
      <c r="O536" s="69" t="str">
        <f t="shared" si="82"/>
        <v/>
      </c>
      <c r="P536" s="70" t="str">
        <f t="shared" si="83"/>
        <v/>
      </c>
      <c r="Q536" s="69" t="str">
        <f t="shared" si="84"/>
        <v/>
      </c>
      <c r="S536" s="71"/>
      <c r="Z536" t="str">
        <f t="shared" si="85"/>
        <v/>
      </c>
      <c r="AA536">
        <f t="shared" si="86"/>
        <v>0</v>
      </c>
      <c r="AB536">
        <f t="shared" si="87"/>
        <v>12</v>
      </c>
      <c r="AC536">
        <f t="shared" si="88"/>
        <v>33</v>
      </c>
      <c r="AD536">
        <f t="shared" si="89"/>
        <v>1</v>
      </c>
    </row>
    <row r="537" spans="9:30" ht="15" customHeight="1">
      <c r="I537" s="69"/>
      <c r="J537" s="69"/>
      <c r="K537" s="69"/>
      <c r="L537" s="69"/>
      <c r="M537" s="69"/>
      <c r="N537" s="69" t="str">
        <f t="shared" si="81"/>
        <v/>
      </c>
      <c r="O537" s="69" t="str">
        <f t="shared" si="82"/>
        <v/>
      </c>
      <c r="P537" s="70" t="str">
        <f t="shared" si="83"/>
        <v/>
      </c>
      <c r="Q537" s="69" t="str">
        <f t="shared" si="84"/>
        <v/>
      </c>
      <c r="S537" s="71"/>
      <c r="Z537" t="str">
        <f t="shared" si="85"/>
        <v/>
      </c>
      <c r="AA537">
        <f t="shared" si="86"/>
        <v>0</v>
      </c>
      <c r="AB537">
        <f t="shared" si="87"/>
        <v>12</v>
      </c>
      <c r="AC537">
        <f t="shared" si="88"/>
        <v>33</v>
      </c>
      <c r="AD537">
        <f t="shared" si="89"/>
        <v>1</v>
      </c>
    </row>
    <row r="538" spans="9:30" ht="15" customHeight="1">
      <c r="I538" s="69"/>
      <c r="J538" s="69"/>
      <c r="K538" s="69"/>
      <c r="L538" s="69"/>
      <c r="M538" s="69"/>
      <c r="N538" s="69" t="str">
        <f t="shared" si="81"/>
        <v/>
      </c>
      <c r="O538" s="69" t="str">
        <f t="shared" si="82"/>
        <v/>
      </c>
      <c r="P538" s="70" t="str">
        <f t="shared" si="83"/>
        <v/>
      </c>
      <c r="Q538" s="69" t="str">
        <f t="shared" si="84"/>
        <v/>
      </c>
      <c r="S538" s="71"/>
      <c r="Z538" t="str">
        <f t="shared" si="85"/>
        <v/>
      </c>
      <c r="AA538">
        <f t="shared" si="86"/>
        <v>0</v>
      </c>
      <c r="AB538">
        <f t="shared" si="87"/>
        <v>12</v>
      </c>
      <c r="AC538">
        <f t="shared" si="88"/>
        <v>33</v>
      </c>
      <c r="AD538">
        <f t="shared" si="89"/>
        <v>1</v>
      </c>
    </row>
    <row r="539" spans="9:30" ht="15" customHeight="1">
      <c r="I539" s="69"/>
      <c r="J539" s="69"/>
      <c r="K539" s="69"/>
      <c r="L539" s="69"/>
      <c r="M539" s="69"/>
      <c r="N539" s="69" t="str">
        <f t="shared" si="81"/>
        <v/>
      </c>
      <c r="O539" s="69" t="str">
        <f t="shared" si="82"/>
        <v/>
      </c>
      <c r="P539" s="70" t="str">
        <f t="shared" si="83"/>
        <v/>
      </c>
      <c r="Q539" s="69" t="str">
        <f t="shared" si="84"/>
        <v/>
      </c>
      <c r="S539" s="71"/>
      <c r="Z539" t="str">
        <f t="shared" si="85"/>
        <v/>
      </c>
      <c r="AA539">
        <f t="shared" si="86"/>
        <v>0</v>
      </c>
      <c r="AB539">
        <f t="shared" si="87"/>
        <v>12</v>
      </c>
      <c r="AC539">
        <f t="shared" si="88"/>
        <v>33</v>
      </c>
      <c r="AD539">
        <f t="shared" si="89"/>
        <v>1</v>
      </c>
    </row>
    <row r="540" spans="9:30" ht="15" customHeight="1">
      <c r="I540" s="69"/>
      <c r="J540" s="69"/>
      <c r="K540" s="69"/>
      <c r="L540" s="69"/>
      <c r="M540" s="69"/>
      <c r="N540" s="69" t="str">
        <f t="shared" si="81"/>
        <v/>
      </c>
      <c r="O540" s="69" t="str">
        <f t="shared" si="82"/>
        <v/>
      </c>
      <c r="P540" s="70" t="str">
        <f t="shared" si="83"/>
        <v/>
      </c>
      <c r="Q540" s="69" t="str">
        <f t="shared" si="84"/>
        <v/>
      </c>
      <c r="S540" s="71"/>
      <c r="Z540" t="str">
        <f t="shared" si="85"/>
        <v/>
      </c>
      <c r="AA540">
        <f t="shared" si="86"/>
        <v>0</v>
      </c>
      <c r="AB540">
        <f t="shared" si="87"/>
        <v>12</v>
      </c>
      <c r="AC540">
        <f t="shared" si="88"/>
        <v>33</v>
      </c>
      <c r="AD540">
        <f t="shared" si="89"/>
        <v>1</v>
      </c>
    </row>
    <row r="541" spans="9:30" ht="15" customHeight="1">
      <c r="I541" s="69"/>
      <c r="J541" s="69"/>
      <c r="K541" s="69"/>
      <c r="L541" s="69"/>
      <c r="M541" s="69"/>
      <c r="N541" s="69" t="str">
        <f t="shared" si="81"/>
        <v/>
      </c>
      <c r="O541" s="69" t="str">
        <f t="shared" si="82"/>
        <v/>
      </c>
      <c r="P541" s="70" t="str">
        <f t="shared" si="83"/>
        <v/>
      </c>
      <c r="Q541" s="69" t="str">
        <f t="shared" si="84"/>
        <v/>
      </c>
      <c r="S541" s="71"/>
      <c r="Z541" t="str">
        <f t="shared" si="85"/>
        <v/>
      </c>
      <c r="AA541">
        <f t="shared" si="86"/>
        <v>0</v>
      </c>
      <c r="AB541">
        <f t="shared" si="87"/>
        <v>12</v>
      </c>
      <c r="AC541">
        <f t="shared" si="88"/>
        <v>33</v>
      </c>
      <c r="AD541">
        <f t="shared" si="89"/>
        <v>1</v>
      </c>
    </row>
    <row r="542" spans="9:30" ht="15" customHeight="1">
      <c r="I542" s="69"/>
      <c r="J542" s="69"/>
      <c r="K542" s="69"/>
      <c r="L542" s="69"/>
      <c r="M542" s="69"/>
      <c r="N542" s="69" t="str">
        <f t="shared" si="81"/>
        <v/>
      </c>
      <c r="O542" s="69" t="str">
        <f t="shared" si="82"/>
        <v/>
      </c>
      <c r="P542" s="70" t="str">
        <f t="shared" si="83"/>
        <v/>
      </c>
      <c r="Q542" s="69" t="str">
        <f t="shared" si="84"/>
        <v/>
      </c>
      <c r="S542" s="71"/>
      <c r="Z542" t="str">
        <f t="shared" si="85"/>
        <v/>
      </c>
      <c r="AA542">
        <f t="shared" si="86"/>
        <v>0</v>
      </c>
      <c r="AB542">
        <f t="shared" si="87"/>
        <v>12</v>
      </c>
      <c r="AC542">
        <f t="shared" si="88"/>
        <v>33</v>
      </c>
      <c r="AD542">
        <f t="shared" si="89"/>
        <v>1</v>
      </c>
    </row>
    <row r="543" spans="9:30" ht="15" customHeight="1">
      <c r="I543" s="69"/>
      <c r="J543" s="69"/>
      <c r="K543" s="69"/>
      <c r="L543" s="69"/>
      <c r="M543" s="69"/>
      <c r="N543" s="69" t="str">
        <f t="shared" si="81"/>
        <v/>
      </c>
      <c r="O543" s="69" t="str">
        <f t="shared" si="82"/>
        <v/>
      </c>
      <c r="P543" s="70" t="str">
        <f t="shared" si="83"/>
        <v/>
      </c>
      <c r="Q543" s="69" t="str">
        <f t="shared" si="84"/>
        <v/>
      </c>
      <c r="S543" s="71"/>
      <c r="Z543" t="str">
        <f t="shared" si="85"/>
        <v/>
      </c>
      <c r="AA543">
        <f t="shared" si="86"/>
        <v>0</v>
      </c>
      <c r="AB543">
        <f t="shared" si="87"/>
        <v>12</v>
      </c>
      <c r="AC543">
        <f t="shared" si="88"/>
        <v>33</v>
      </c>
      <c r="AD543">
        <f t="shared" si="89"/>
        <v>1</v>
      </c>
    </row>
    <row r="544" spans="9:30" ht="15" customHeight="1">
      <c r="I544" s="69"/>
      <c r="J544" s="69"/>
      <c r="K544" s="69"/>
      <c r="L544" s="69"/>
      <c r="M544" s="69"/>
      <c r="N544" s="69" t="str">
        <f t="shared" si="81"/>
        <v/>
      </c>
      <c r="O544" s="69" t="str">
        <f t="shared" si="82"/>
        <v/>
      </c>
      <c r="P544" s="70" t="str">
        <f t="shared" si="83"/>
        <v/>
      </c>
      <c r="Q544" s="69" t="str">
        <f t="shared" si="84"/>
        <v/>
      </c>
      <c r="S544" s="71"/>
      <c r="Z544" t="str">
        <f t="shared" si="85"/>
        <v/>
      </c>
      <c r="AA544">
        <f t="shared" si="86"/>
        <v>0</v>
      </c>
      <c r="AB544">
        <f t="shared" si="87"/>
        <v>12</v>
      </c>
      <c r="AC544">
        <f t="shared" si="88"/>
        <v>33</v>
      </c>
      <c r="AD544">
        <f t="shared" si="89"/>
        <v>1</v>
      </c>
    </row>
    <row r="545" spans="9:30" ht="15" customHeight="1">
      <c r="I545" s="69"/>
      <c r="J545" s="69"/>
      <c r="K545" s="69"/>
      <c r="L545" s="69"/>
      <c r="M545" s="69"/>
      <c r="N545" s="69" t="str">
        <f t="shared" si="81"/>
        <v/>
      </c>
      <c r="O545" s="69" t="str">
        <f t="shared" si="82"/>
        <v/>
      </c>
      <c r="P545" s="70" t="str">
        <f t="shared" si="83"/>
        <v/>
      </c>
      <c r="Q545" s="69" t="str">
        <f t="shared" si="84"/>
        <v/>
      </c>
      <c r="S545" s="71"/>
      <c r="Z545" t="str">
        <f t="shared" si="85"/>
        <v/>
      </c>
      <c r="AA545">
        <f t="shared" si="86"/>
        <v>0</v>
      </c>
      <c r="AB545">
        <f t="shared" si="87"/>
        <v>12</v>
      </c>
      <c r="AC545">
        <f t="shared" si="88"/>
        <v>33</v>
      </c>
      <c r="AD545">
        <f t="shared" si="89"/>
        <v>1</v>
      </c>
    </row>
    <row r="546" spans="9:30" ht="15" customHeight="1">
      <c r="I546" s="69"/>
      <c r="J546" s="69"/>
      <c r="K546" s="69"/>
      <c r="L546" s="69"/>
      <c r="M546" s="69"/>
      <c r="N546" s="69" t="str">
        <f t="shared" si="81"/>
        <v/>
      </c>
      <c r="O546" s="69" t="str">
        <f t="shared" si="82"/>
        <v/>
      </c>
      <c r="P546" s="70" t="str">
        <f t="shared" si="83"/>
        <v/>
      </c>
      <c r="Q546" s="69" t="str">
        <f t="shared" si="84"/>
        <v/>
      </c>
      <c r="S546" s="71"/>
      <c r="Z546" t="str">
        <f t="shared" si="85"/>
        <v/>
      </c>
      <c r="AA546">
        <f t="shared" si="86"/>
        <v>0</v>
      </c>
      <c r="AB546">
        <f t="shared" si="87"/>
        <v>12</v>
      </c>
      <c r="AC546">
        <f t="shared" si="88"/>
        <v>33</v>
      </c>
      <c r="AD546">
        <f t="shared" si="89"/>
        <v>1</v>
      </c>
    </row>
    <row r="547" spans="9:30" ht="15" customHeight="1">
      <c r="I547" s="69"/>
      <c r="J547" s="69"/>
      <c r="K547" s="69"/>
      <c r="L547" s="69"/>
      <c r="M547" s="69"/>
      <c r="N547" s="69" t="str">
        <f t="shared" si="81"/>
        <v/>
      </c>
      <c r="O547" s="69" t="str">
        <f t="shared" si="82"/>
        <v/>
      </c>
      <c r="P547" s="70" t="str">
        <f t="shared" si="83"/>
        <v/>
      </c>
      <c r="Q547" s="69" t="str">
        <f t="shared" si="84"/>
        <v/>
      </c>
      <c r="S547" s="71"/>
      <c r="Z547" t="str">
        <f t="shared" si="85"/>
        <v/>
      </c>
      <c r="AA547">
        <f t="shared" si="86"/>
        <v>0</v>
      </c>
      <c r="AB547">
        <f t="shared" si="87"/>
        <v>12</v>
      </c>
      <c r="AC547">
        <f t="shared" si="88"/>
        <v>33</v>
      </c>
      <c r="AD547">
        <f t="shared" si="89"/>
        <v>1</v>
      </c>
    </row>
    <row r="548" spans="9:30" ht="15" customHeight="1">
      <c r="I548" s="69"/>
      <c r="J548" s="69"/>
      <c r="K548" s="69"/>
      <c r="L548" s="69"/>
      <c r="M548" s="69"/>
      <c r="N548" s="69" t="str">
        <f t="shared" si="81"/>
        <v/>
      </c>
      <c r="O548" s="69" t="str">
        <f t="shared" si="82"/>
        <v/>
      </c>
      <c r="P548" s="70" t="str">
        <f t="shared" si="83"/>
        <v/>
      </c>
      <c r="Q548" s="69" t="str">
        <f t="shared" si="84"/>
        <v/>
      </c>
      <c r="S548" s="71"/>
      <c r="Z548" t="str">
        <f t="shared" si="85"/>
        <v/>
      </c>
      <c r="AA548">
        <f t="shared" si="86"/>
        <v>0</v>
      </c>
      <c r="AB548">
        <f t="shared" si="87"/>
        <v>12</v>
      </c>
      <c r="AC548">
        <f t="shared" si="88"/>
        <v>33</v>
      </c>
      <c r="AD548">
        <f t="shared" si="89"/>
        <v>1</v>
      </c>
    </row>
    <row r="549" spans="9:30" ht="15" customHeight="1">
      <c r="I549" s="69"/>
      <c r="J549" s="69"/>
      <c r="K549" s="69"/>
      <c r="L549" s="69"/>
      <c r="M549" s="69"/>
      <c r="N549" s="69" t="str">
        <f t="shared" si="81"/>
        <v/>
      </c>
      <c r="O549" s="69" t="str">
        <f t="shared" si="82"/>
        <v/>
      </c>
      <c r="P549" s="70" t="str">
        <f t="shared" si="83"/>
        <v/>
      </c>
      <c r="Q549" s="69" t="str">
        <f t="shared" si="84"/>
        <v/>
      </c>
      <c r="S549" s="71"/>
      <c r="Z549" t="str">
        <f t="shared" si="85"/>
        <v/>
      </c>
      <c r="AA549">
        <f t="shared" si="86"/>
        <v>0</v>
      </c>
      <c r="AB549">
        <f t="shared" si="87"/>
        <v>12</v>
      </c>
      <c r="AC549">
        <f t="shared" si="88"/>
        <v>33</v>
      </c>
      <c r="AD549">
        <f t="shared" si="89"/>
        <v>1</v>
      </c>
    </row>
    <row r="550" spans="9:30" ht="15" customHeight="1">
      <c r="I550" s="69"/>
      <c r="J550" s="69"/>
      <c r="K550" s="69"/>
      <c r="L550" s="69"/>
      <c r="M550" s="69"/>
      <c r="N550" s="69" t="str">
        <f t="shared" si="81"/>
        <v/>
      </c>
      <c r="O550" s="69" t="str">
        <f t="shared" si="82"/>
        <v/>
      </c>
      <c r="P550" s="70" t="str">
        <f t="shared" si="83"/>
        <v/>
      </c>
      <c r="Q550" s="69" t="str">
        <f t="shared" si="84"/>
        <v/>
      </c>
      <c r="S550" s="71"/>
      <c r="Z550" t="str">
        <f t="shared" si="85"/>
        <v/>
      </c>
      <c r="AA550">
        <f t="shared" si="86"/>
        <v>0</v>
      </c>
      <c r="AB550">
        <f t="shared" si="87"/>
        <v>12</v>
      </c>
      <c r="AC550">
        <f t="shared" si="88"/>
        <v>33</v>
      </c>
      <c r="AD550">
        <f t="shared" si="89"/>
        <v>1</v>
      </c>
    </row>
    <row r="551" spans="9:30" ht="15" customHeight="1">
      <c r="I551" s="69"/>
      <c r="J551" s="69"/>
      <c r="K551" s="69"/>
      <c r="L551" s="69"/>
      <c r="M551" s="69"/>
      <c r="N551" s="69" t="str">
        <f t="shared" si="81"/>
        <v/>
      </c>
      <c r="O551" s="69" t="str">
        <f t="shared" si="82"/>
        <v/>
      </c>
      <c r="P551" s="70" t="str">
        <f t="shared" si="83"/>
        <v/>
      </c>
      <c r="Q551" s="69" t="str">
        <f t="shared" si="84"/>
        <v/>
      </c>
      <c r="S551" s="71"/>
      <c r="Z551" t="str">
        <f t="shared" si="85"/>
        <v/>
      </c>
      <c r="AA551">
        <f t="shared" si="86"/>
        <v>0</v>
      </c>
      <c r="AB551">
        <f t="shared" si="87"/>
        <v>12</v>
      </c>
      <c r="AC551">
        <f t="shared" si="88"/>
        <v>33</v>
      </c>
      <c r="AD551">
        <f t="shared" si="89"/>
        <v>1</v>
      </c>
    </row>
    <row r="552" spans="9:30" ht="15" customHeight="1">
      <c r="I552" s="69"/>
      <c r="J552" s="69"/>
      <c r="K552" s="69"/>
      <c r="L552" s="69"/>
      <c r="M552" s="69"/>
      <c r="N552" s="69" t="str">
        <f t="shared" si="81"/>
        <v/>
      </c>
      <c r="O552" s="69" t="str">
        <f t="shared" si="82"/>
        <v/>
      </c>
      <c r="P552" s="70" t="str">
        <f t="shared" si="83"/>
        <v/>
      </c>
      <c r="Q552" s="69" t="str">
        <f t="shared" si="84"/>
        <v/>
      </c>
      <c r="S552" s="71"/>
      <c r="Z552" t="str">
        <f t="shared" si="85"/>
        <v/>
      </c>
      <c r="AA552">
        <f t="shared" si="86"/>
        <v>0</v>
      </c>
      <c r="AB552">
        <f t="shared" si="87"/>
        <v>12</v>
      </c>
      <c r="AC552">
        <f t="shared" si="88"/>
        <v>33</v>
      </c>
      <c r="AD552">
        <f t="shared" si="89"/>
        <v>1</v>
      </c>
    </row>
    <row r="553" spans="9:30" ht="15" customHeight="1">
      <c r="I553" s="69"/>
      <c r="J553" s="69"/>
      <c r="K553" s="69"/>
      <c r="L553" s="69"/>
      <c r="M553" s="69"/>
      <c r="N553" s="69" t="str">
        <f t="shared" si="81"/>
        <v/>
      </c>
      <c r="O553" s="69" t="str">
        <f t="shared" si="82"/>
        <v/>
      </c>
      <c r="P553" s="70" t="str">
        <f t="shared" si="83"/>
        <v/>
      </c>
      <c r="Q553" s="69" t="str">
        <f t="shared" si="84"/>
        <v/>
      </c>
      <c r="S553" s="71"/>
      <c r="Z553" t="str">
        <f t="shared" si="85"/>
        <v/>
      </c>
      <c r="AA553">
        <f t="shared" si="86"/>
        <v>0</v>
      </c>
      <c r="AB553">
        <f t="shared" si="87"/>
        <v>12</v>
      </c>
      <c r="AC553">
        <f t="shared" si="88"/>
        <v>33</v>
      </c>
      <c r="AD553">
        <f t="shared" si="89"/>
        <v>1</v>
      </c>
    </row>
    <row r="554" spans="9:30" ht="15" customHeight="1">
      <c r="I554" s="69"/>
      <c r="J554" s="69"/>
      <c r="K554" s="69"/>
      <c r="L554" s="69"/>
      <c r="M554" s="69"/>
      <c r="N554" s="69" t="str">
        <f t="shared" si="81"/>
        <v/>
      </c>
      <c r="O554" s="69" t="str">
        <f t="shared" si="82"/>
        <v/>
      </c>
      <c r="P554" s="70" t="str">
        <f t="shared" si="83"/>
        <v/>
      </c>
      <c r="Q554" s="69" t="str">
        <f t="shared" si="84"/>
        <v/>
      </c>
      <c r="S554" s="71"/>
      <c r="Z554" t="str">
        <f t="shared" si="85"/>
        <v/>
      </c>
      <c r="AA554">
        <f t="shared" si="86"/>
        <v>0</v>
      </c>
      <c r="AB554">
        <f t="shared" si="87"/>
        <v>12</v>
      </c>
      <c r="AC554">
        <f t="shared" si="88"/>
        <v>33</v>
      </c>
      <c r="AD554">
        <f t="shared" si="89"/>
        <v>1</v>
      </c>
    </row>
    <row r="555" spans="9:30" ht="15" customHeight="1">
      <c r="I555" s="69"/>
      <c r="J555" s="69"/>
      <c r="K555" s="69"/>
      <c r="L555" s="69"/>
      <c r="M555" s="69"/>
      <c r="N555" s="69" t="str">
        <f t="shared" si="81"/>
        <v/>
      </c>
      <c r="O555" s="69" t="str">
        <f t="shared" si="82"/>
        <v/>
      </c>
      <c r="P555" s="70" t="str">
        <f t="shared" si="83"/>
        <v/>
      </c>
      <c r="Q555" s="69" t="str">
        <f t="shared" si="84"/>
        <v/>
      </c>
      <c r="S555" s="71"/>
      <c r="Z555" t="str">
        <f t="shared" si="85"/>
        <v/>
      </c>
      <c r="AA555">
        <f t="shared" si="86"/>
        <v>0</v>
      </c>
      <c r="AB555">
        <f t="shared" si="87"/>
        <v>12</v>
      </c>
      <c r="AC555">
        <f t="shared" si="88"/>
        <v>33</v>
      </c>
      <c r="AD555">
        <f t="shared" si="89"/>
        <v>1</v>
      </c>
    </row>
    <row r="556" spans="9:30" ht="15" customHeight="1">
      <c r="I556" s="69"/>
      <c r="J556" s="69"/>
      <c r="K556" s="69"/>
      <c r="L556" s="69"/>
      <c r="M556" s="69"/>
      <c r="N556" s="69" t="str">
        <f t="shared" si="81"/>
        <v/>
      </c>
      <c r="O556" s="69" t="str">
        <f t="shared" si="82"/>
        <v/>
      </c>
      <c r="P556" s="70" t="str">
        <f t="shared" si="83"/>
        <v/>
      </c>
      <c r="Q556" s="69" t="str">
        <f t="shared" si="84"/>
        <v/>
      </c>
      <c r="S556" s="71"/>
      <c r="Z556" t="str">
        <f t="shared" si="85"/>
        <v/>
      </c>
      <c r="AA556">
        <f t="shared" si="86"/>
        <v>0</v>
      </c>
      <c r="AB556">
        <f t="shared" si="87"/>
        <v>12</v>
      </c>
      <c r="AC556">
        <f t="shared" si="88"/>
        <v>33</v>
      </c>
      <c r="AD556">
        <f t="shared" si="89"/>
        <v>1</v>
      </c>
    </row>
    <row r="557" spans="9:30" ht="15" customHeight="1">
      <c r="I557" s="69"/>
      <c r="J557" s="69"/>
      <c r="K557" s="69"/>
      <c r="L557" s="69"/>
      <c r="M557" s="69"/>
      <c r="N557" s="69" t="str">
        <f t="shared" si="81"/>
        <v/>
      </c>
      <c r="O557" s="69" t="str">
        <f t="shared" si="82"/>
        <v/>
      </c>
      <c r="P557" s="70" t="str">
        <f t="shared" si="83"/>
        <v/>
      </c>
      <c r="Q557" s="69" t="str">
        <f t="shared" si="84"/>
        <v/>
      </c>
      <c r="S557" s="71"/>
      <c r="Z557" t="str">
        <f t="shared" si="85"/>
        <v/>
      </c>
      <c r="AA557">
        <f t="shared" si="86"/>
        <v>0</v>
      </c>
      <c r="AB557">
        <f t="shared" si="87"/>
        <v>12</v>
      </c>
      <c r="AC557">
        <f t="shared" si="88"/>
        <v>33</v>
      </c>
      <c r="AD557">
        <f t="shared" si="89"/>
        <v>1</v>
      </c>
    </row>
    <row r="558" spans="9:30" ht="15" customHeight="1">
      <c r="I558" s="69"/>
      <c r="J558" s="69"/>
      <c r="K558" s="69"/>
      <c r="L558" s="69"/>
      <c r="M558" s="69"/>
      <c r="N558" s="69" t="str">
        <f t="shared" si="81"/>
        <v/>
      </c>
      <c r="O558" s="69" t="str">
        <f t="shared" si="82"/>
        <v/>
      </c>
      <c r="P558" s="70" t="str">
        <f t="shared" si="83"/>
        <v/>
      </c>
      <c r="Q558" s="69" t="str">
        <f t="shared" si="84"/>
        <v/>
      </c>
      <c r="S558" s="71"/>
      <c r="Z558" t="str">
        <f t="shared" si="85"/>
        <v/>
      </c>
      <c r="AA558">
        <f t="shared" si="86"/>
        <v>0</v>
      </c>
      <c r="AB558">
        <f t="shared" si="87"/>
        <v>12</v>
      </c>
      <c r="AC558">
        <f t="shared" si="88"/>
        <v>33</v>
      </c>
      <c r="AD558">
        <f t="shared" si="89"/>
        <v>1</v>
      </c>
    </row>
    <row r="559" spans="9:30" ht="15" customHeight="1">
      <c r="I559" s="69"/>
      <c r="J559" s="69"/>
      <c r="K559" s="69"/>
      <c r="L559" s="69"/>
      <c r="M559" s="69"/>
      <c r="N559" s="69" t="str">
        <f t="shared" si="81"/>
        <v/>
      </c>
      <c r="O559" s="69" t="str">
        <f t="shared" si="82"/>
        <v/>
      </c>
      <c r="P559" s="70" t="str">
        <f t="shared" si="83"/>
        <v/>
      </c>
      <c r="Q559" s="69" t="str">
        <f t="shared" si="84"/>
        <v/>
      </c>
      <c r="S559" s="71"/>
      <c r="Z559" t="str">
        <f t="shared" si="85"/>
        <v/>
      </c>
      <c r="AA559">
        <f t="shared" si="86"/>
        <v>0</v>
      </c>
      <c r="AB559">
        <f t="shared" si="87"/>
        <v>12</v>
      </c>
      <c r="AC559">
        <f t="shared" si="88"/>
        <v>33</v>
      </c>
      <c r="AD559">
        <f t="shared" si="89"/>
        <v>1</v>
      </c>
    </row>
    <row r="560" spans="9:30" ht="15" customHeight="1">
      <c r="I560" s="69"/>
      <c r="J560" s="69"/>
      <c r="K560" s="69"/>
      <c r="L560" s="69"/>
      <c r="M560" s="69"/>
      <c r="N560" s="69" t="str">
        <f t="shared" si="81"/>
        <v/>
      </c>
      <c r="O560" s="69" t="str">
        <f t="shared" si="82"/>
        <v/>
      </c>
      <c r="P560" s="70" t="str">
        <f t="shared" si="83"/>
        <v/>
      </c>
      <c r="Q560" s="69" t="str">
        <f t="shared" si="84"/>
        <v/>
      </c>
      <c r="S560" s="71"/>
      <c r="Z560" t="str">
        <f t="shared" si="85"/>
        <v/>
      </c>
      <c r="AA560">
        <f t="shared" si="86"/>
        <v>0</v>
      </c>
      <c r="AB560">
        <f t="shared" si="87"/>
        <v>12</v>
      </c>
      <c r="AC560">
        <f t="shared" si="88"/>
        <v>33</v>
      </c>
      <c r="AD560">
        <f t="shared" si="89"/>
        <v>1</v>
      </c>
    </row>
    <row r="561" spans="9:30" ht="15" customHeight="1">
      <c r="I561" s="69"/>
      <c r="J561" s="69"/>
      <c r="K561" s="69"/>
      <c r="L561" s="69"/>
      <c r="M561" s="69"/>
      <c r="N561" s="69" t="str">
        <f t="shared" si="81"/>
        <v/>
      </c>
      <c r="O561" s="69" t="str">
        <f t="shared" si="82"/>
        <v/>
      </c>
      <c r="P561" s="70" t="str">
        <f t="shared" si="83"/>
        <v/>
      </c>
      <c r="Q561" s="69" t="str">
        <f t="shared" si="84"/>
        <v/>
      </c>
      <c r="S561" s="71"/>
      <c r="Z561" t="str">
        <f t="shared" si="85"/>
        <v/>
      </c>
      <c r="AA561">
        <f t="shared" si="86"/>
        <v>0</v>
      </c>
      <c r="AB561">
        <f t="shared" si="87"/>
        <v>12</v>
      </c>
      <c r="AC561">
        <f t="shared" si="88"/>
        <v>33</v>
      </c>
      <c r="AD561">
        <f t="shared" si="89"/>
        <v>1</v>
      </c>
    </row>
    <row r="562" spans="9:30" ht="15" customHeight="1">
      <c r="I562" s="69"/>
      <c r="J562" s="69"/>
      <c r="K562" s="69"/>
      <c r="L562" s="69"/>
      <c r="M562" s="69"/>
      <c r="N562" s="69" t="str">
        <f t="shared" si="81"/>
        <v/>
      </c>
      <c r="O562" s="69" t="str">
        <f t="shared" si="82"/>
        <v/>
      </c>
      <c r="P562" s="70" t="str">
        <f t="shared" si="83"/>
        <v/>
      </c>
      <c r="Q562" s="69" t="str">
        <f t="shared" si="84"/>
        <v/>
      </c>
      <c r="S562" s="71"/>
      <c r="Z562" t="str">
        <f t="shared" si="85"/>
        <v/>
      </c>
      <c r="AA562">
        <f t="shared" si="86"/>
        <v>0</v>
      </c>
      <c r="AB562">
        <f t="shared" si="87"/>
        <v>12</v>
      </c>
      <c r="AC562">
        <f t="shared" si="88"/>
        <v>33</v>
      </c>
      <c r="AD562">
        <f t="shared" si="89"/>
        <v>1</v>
      </c>
    </row>
    <row r="563" spans="9:30" ht="15" customHeight="1">
      <c r="I563" s="69"/>
      <c r="J563" s="69"/>
      <c r="K563" s="69"/>
      <c r="L563" s="69"/>
      <c r="M563" s="69"/>
      <c r="N563" s="69" t="str">
        <f t="shared" si="81"/>
        <v/>
      </c>
      <c r="O563" s="69" t="str">
        <f t="shared" si="82"/>
        <v/>
      </c>
      <c r="P563" s="70" t="str">
        <f t="shared" si="83"/>
        <v/>
      </c>
      <c r="Q563" s="69" t="str">
        <f t="shared" si="84"/>
        <v/>
      </c>
      <c r="S563" s="71"/>
      <c r="Z563" t="str">
        <f t="shared" si="85"/>
        <v/>
      </c>
      <c r="AA563">
        <f t="shared" si="86"/>
        <v>0</v>
      </c>
      <c r="AB563">
        <f t="shared" si="87"/>
        <v>12</v>
      </c>
      <c r="AC563">
        <f t="shared" si="88"/>
        <v>33</v>
      </c>
      <c r="AD563">
        <f t="shared" si="89"/>
        <v>1</v>
      </c>
    </row>
    <row r="564" spans="9:30" ht="15" customHeight="1">
      <c r="I564" s="69"/>
      <c r="J564" s="69"/>
      <c r="K564" s="69"/>
      <c r="L564" s="69"/>
      <c r="M564" s="69"/>
      <c r="N564" s="69" t="str">
        <f t="shared" si="81"/>
        <v/>
      </c>
      <c r="O564" s="69" t="str">
        <f t="shared" si="82"/>
        <v/>
      </c>
      <c r="P564" s="70" t="str">
        <f t="shared" si="83"/>
        <v/>
      </c>
      <c r="Q564" s="69" t="str">
        <f t="shared" si="84"/>
        <v/>
      </c>
      <c r="S564" s="71"/>
      <c r="Z564" t="str">
        <f t="shared" si="85"/>
        <v/>
      </c>
      <c r="AA564">
        <f t="shared" si="86"/>
        <v>0</v>
      </c>
      <c r="AB564">
        <f t="shared" si="87"/>
        <v>12</v>
      </c>
      <c r="AC564">
        <f t="shared" si="88"/>
        <v>33</v>
      </c>
      <c r="AD564">
        <f t="shared" si="89"/>
        <v>1</v>
      </c>
    </row>
    <row r="565" spans="9:30" ht="15" customHeight="1">
      <c r="I565" s="69"/>
      <c r="J565" s="69"/>
      <c r="K565" s="69"/>
      <c r="L565" s="69"/>
      <c r="M565" s="69"/>
      <c r="N565" s="69" t="str">
        <f t="shared" ref="N565:N628" si="90">IF(ISNUMBER(I565),ROUND(I565-I565/1.081,2),"")</f>
        <v/>
      </c>
      <c r="O565" s="69" t="str">
        <f t="shared" si="82"/>
        <v/>
      </c>
      <c r="P565" s="70" t="str">
        <f t="shared" si="83"/>
        <v/>
      </c>
      <c r="Q565" s="69" t="str">
        <f t="shared" si="84"/>
        <v/>
      </c>
      <c r="S565" s="71"/>
      <c r="Z565" t="str">
        <f t="shared" si="85"/>
        <v/>
      </c>
      <c r="AA565">
        <f t="shared" si="86"/>
        <v>0</v>
      </c>
      <c r="AB565">
        <f t="shared" si="87"/>
        <v>12</v>
      </c>
      <c r="AC565">
        <f t="shared" si="88"/>
        <v>33</v>
      </c>
      <c r="AD565">
        <f t="shared" si="89"/>
        <v>1</v>
      </c>
    </row>
    <row r="566" spans="9:30" ht="15" customHeight="1">
      <c r="I566" s="69"/>
      <c r="J566" s="69"/>
      <c r="K566" s="69"/>
      <c r="L566" s="69"/>
      <c r="M566" s="69"/>
      <c r="N566" s="69" t="str">
        <f t="shared" si="90"/>
        <v/>
      </c>
      <c r="O566" s="69" t="str">
        <f t="shared" si="82"/>
        <v/>
      </c>
      <c r="P566" s="70" t="str">
        <f t="shared" si="83"/>
        <v/>
      </c>
      <c r="Q566" s="69" t="str">
        <f t="shared" si="84"/>
        <v/>
      </c>
      <c r="S566" s="71"/>
      <c r="Z566" t="str">
        <f t="shared" si="85"/>
        <v/>
      </c>
      <c r="AA566">
        <f t="shared" si="86"/>
        <v>0</v>
      </c>
      <c r="AB566">
        <f t="shared" si="87"/>
        <v>12</v>
      </c>
      <c r="AC566">
        <f t="shared" si="88"/>
        <v>33</v>
      </c>
      <c r="AD566">
        <f t="shared" si="89"/>
        <v>1</v>
      </c>
    </row>
    <row r="567" spans="9:30" ht="15" customHeight="1">
      <c r="I567" s="69"/>
      <c r="J567" s="69"/>
      <c r="K567" s="69"/>
      <c r="L567" s="69"/>
      <c r="M567" s="69"/>
      <c r="N567" s="69" t="str">
        <f t="shared" si="90"/>
        <v/>
      </c>
      <c r="O567" s="69" t="str">
        <f t="shared" si="82"/>
        <v/>
      </c>
      <c r="P567" s="70" t="str">
        <f t="shared" si="83"/>
        <v/>
      </c>
      <c r="Q567" s="69" t="str">
        <f t="shared" si="84"/>
        <v/>
      </c>
      <c r="S567" s="71"/>
      <c r="Z567" t="str">
        <f t="shared" si="85"/>
        <v/>
      </c>
      <c r="AA567">
        <f t="shared" si="86"/>
        <v>0</v>
      </c>
      <c r="AB567">
        <f t="shared" si="87"/>
        <v>12</v>
      </c>
      <c r="AC567">
        <f t="shared" si="88"/>
        <v>33</v>
      </c>
      <c r="AD567">
        <f t="shared" si="89"/>
        <v>1</v>
      </c>
    </row>
    <row r="568" spans="9:30" ht="15" customHeight="1">
      <c r="I568" s="69"/>
      <c r="J568" s="69"/>
      <c r="K568" s="69"/>
      <c r="L568" s="69"/>
      <c r="M568" s="69"/>
      <c r="N568" s="69" t="str">
        <f t="shared" si="90"/>
        <v/>
      </c>
      <c r="O568" s="69" t="str">
        <f t="shared" si="82"/>
        <v/>
      </c>
      <c r="P568" s="70" t="str">
        <f t="shared" si="83"/>
        <v/>
      </c>
      <c r="Q568" s="69" t="str">
        <f t="shared" si="84"/>
        <v/>
      </c>
      <c r="S568" s="71"/>
      <c r="Z568" t="str">
        <f t="shared" si="85"/>
        <v/>
      </c>
      <c r="AA568">
        <f t="shared" si="86"/>
        <v>0</v>
      </c>
      <c r="AB568">
        <f t="shared" si="87"/>
        <v>12</v>
      </c>
      <c r="AC568">
        <f t="shared" si="88"/>
        <v>33</v>
      </c>
      <c r="AD568">
        <f t="shared" si="89"/>
        <v>1</v>
      </c>
    </row>
    <row r="569" spans="9:30" ht="15" customHeight="1">
      <c r="I569" s="69"/>
      <c r="J569" s="69"/>
      <c r="K569" s="69"/>
      <c r="L569" s="69"/>
      <c r="M569" s="69"/>
      <c r="N569" s="69" t="str">
        <f t="shared" si="90"/>
        <v/>
      </c>
      <c r="O569" s="69" t="str">
        <f t="shared" si="82"/>
        <v/>
      </c>
      <c r="P569" s="70" t="str">
        <f t="shared" si="83"/>
        <v/>
      </c>
      <c r="Q569" s="69" t="str">
        <f t="shared" si="84"/>
        <v/>
      </c>
      <c r="S569" s="71"/>
      <c r="Z569" t="str">
        <f t="shared" si="85"/>
        <v/>
      </c>
      <c r="AA569">
        <f t="shared" si="86"/>
        <v>0</v>
      </c>
      <c r="AB569">
        <f t="shared" si="87"/>
        <v>12</v>
      </c>
      <c r="AC569">
        <f t="shared" si="88"/>
        <v>33</v>
      </c>
      <c r="AD569">
        <f t="shared" si="89"/>
        <v>1</v>
      </c>
    </row>
    <row r="570" spans="9:30" ht="15" customHeight="1">
      <c r="I570" s="69"/>
      <c r="J570" s="69"/>
      <c r="K570" s="69"/>
      <c r="L570" s="69"/>
      <c r="M570" s="69"/>
      <c r="N570" s="69" t="str">
        <f t="shared" si="90"/>
        <v/>
      </c>
      <c r="O570" s="69" t="str">
        <f t="shared" si="82"/>
        <v/>
      </c>
      <c r="P570" s="70" t="str">
        <f t="shared" si="83"/>
        <v/>
      </c>
      <c r="Q570" s="69" t="str">
        <f t="shared" si="84"/>
        <v/>
      </c>
      <c r="S570" s="71"/>
      <c r="Z570" t="str">
        <f t="shared" si="85"/>
        <v/>
      </c>
      <c r="AA570">
        <f t="shared" si="86"/>
        <v>0</v>
      </c>
      <c r="AB570">
        <f t="shared" si="87"/>
        <v>12</v>
      </c>
      <c r="AC570">
        <f t="shared" si="88"/>
        <v>33</v>
      </c>
      <c r="AD570">
        <f t="shared" si="89"/>
        <v>1</v>
      </c>
    </row>
    <row r="571" spans="9:30" ht="15" customHeight="1">
      <c r="I571" s="69"/>
      <c r="J571" s="69"/>
      <c r="K571" s="69"/>
      <c r="L571" s="69"/>
      <c r="M571" s="69"/>
      <c r="N571" s="69" t="str">
        <f t="shared" si="90"/>
        <v/>
      </c>
      <c r="O571" s="69" t="str">
        <f t="shared" si="82"/>
        <v/>
      </c>
      <c r="P571" s="70" t="str">
        <f t="shared" si="83"/>
        <v/>
      </c>
      <c r="Q571" s="69" t="str">
        <f t="shared" si="84"/>
        <v/>
      </c>
      <c r="S571" s="71"/>
      <c r="Z571" t="str">
        <f t="shared" si="85"/>
        <v/>
      </c>
      <c r="AA571">
        <f t="shared" si="86"/>
        <v>0</v>
      </c>
      <c r="AB571">
        <f t="shared" si="87"/>
        <v>12</v>
      </c>
      <c r="AC571">
        <f t="shared" si="88"/>
        <v>33</v>
      </c>
      <c r="AD571">
        <f t="shared" si="89"/>
        <v>1</v>
      </c>
    </row>
    <row r="572" spans="9:30" ht="15" customHeight="1">
      <c r="I572" s="69"/>
      <c r="J572" s="69"/>
      <c r="K572" s="69"/>
      <c r="L572" s="69"/>
      <c r="M572" s="69"/>
      <c r="N572" s="69" t="str">
        <f t="shared" si="90"/>
        <v/>
      </c>
      <c r="O572" s="69" t="str">
        <f t="shared" si="82"/>
        <v/>
      </c>
      <c r="P572" s="70" t="str">
        <f t="shared" si="83"/>
        <v/>
      </c>
      <c r="Q572" s="69" t="str">
        <f t="shared" si="84"/>
        <v/>
      </c>
      <c r="S572" s="71"/>
      <c r="Z572" t="str">
        <f t="shared" si="85"/>
        <v/>
      </c>
      <c r="AA572">
        <f t="shared" si="86"/>
        <v>0</v>
      </c>
      <c r="AB572">
        <f t="shared" si="87"/>
        <v>12</v>
      </c>
      <c r="AC572">
        <f t="shared" si="88"/>
        <v>33</v>
      </c>
      <c r="AD572">
        <f t="shared" si="89"/>
        <v>1</v>
      </c>
    </row>
    <row r="573" spans="9:30" ht="15" customHeight="1">
      <c r="I573" s="69"/>
      <c r="J573" s="69"/>
      <c r="K573" s="69"/>
      <c r="L573" s="69"/>
      <c r="M573" s="69"/>
      <c r="N573" s="69" t="str">
        <f t="shared" si="90"/>
        <v/>
      </c>
      <c r="O573" s="69" t="str">
        <f t="shared" si="82"/>
        <v/>
      </c>
      <c r="P573" s="70" t="str">
        <f t="shared" si="83"/>
        <v/>
      </c>
      <c r="Q573" s="69" t="str">
        <f t="shared" si="84"/>
        <v/>
      </c>
      <c r="S573" s="71"/>
      <c r="Z573" t="str">
        <f t="shared" si="85"/>
        <v/>
      </c>
      <c r="AA573">
        <f t="shared" si="86"/>
        <v>0</v>
      </c>
      <c r="AB573">
        <f t="shared" si="87"/>
        <v>12</v>
      </c>
      <c r="AC573">
        <f t="shared" si="88"/>
        <v>33</v>
      </c>
      <c r="AD573">
        <f t="shared" si="89"/>
        <v>1</v>
      </c>
    </row>
    <row r="574" spans="9:30" ht="15" customHeight="1">
      <c r="I574" s="69"/>
      <c r="J574" s="69"/>
      <c r="K574" s="69"/>
      <c r="L574" s="69"/>
      <c r="M574" s="69"/>
      <c r="N574" s="69" t="str">
        <f t="shared" si="90"/>
        <v/>
      </c>
      <c r="O574" s="69" t="str">
        <f t="shared" si="82"/>
        <v/>
      </c>
      <c r="P574" s="70" t="str">
        <f t="shared" si="83"/>
        <v/>
      </c>
      <c r="Q574" s="69" t="str">
        <f t="shared" si="84"/>
        <v/>
      </c>
      <c r="S574" s="71"/>
      <c r="Z574" t="str">
        <f t="shared" si="85"/>
        <v/>
      </c>
      <c r="AA574">
        <f t="shared" si="86"/>
        <v>0</v>
      </c>
      <c r="AB574">
        <f t="shared" si="87"/>
        <v>12</v>
      </c>
      <c r="AC574">
        <f t="shared" si="88"/>
        <v>33</v>
      </c>
      <c r="AD574">
        <f t="shared" si="89"/>
        <v>1</v>
      </c>
    </row>
    <row r="575" spans="9:30" ht="15" customHeight="1">
      <c r="I575" s="69"/>
      <c r="J575" s="69"/>
      <c r="K575" s="69"/>
      <c r="L575" s="69"/>
      <c r="M575" s="69"/>
      <c r="N575" s="69" t="str">
        <f t="shared" si="90"/>
        <v/>
      </c>
      <c r="O575" s="69" t="str">
        <f t="shared" si="82"/>
        <v/>
      </c>
      <c r="P575" s="70" t="str">
        <f t="shared" si="83"/>
        <v/>
      </c>
      <c r="Q575" s="69" t="str">
        <f t="shared" si="84"/>
        <v/>
      </c>
      <c r="S575" s="71"/>
      <c r="Z575" t="str">
        <f t="shared" si="85"/>
        <v/>
      </c>
      <c r="AA575">
        <f t="shared" si="86"/>
        <v>0</v>
      </c>
      <c r="AB575">
        <f t="shared" si="87"/>
        <v>12</v>
      </c>
      <c r="AC575">
        <f t="shared" si="88"/>
        <v>33</v>
      </c>
      <c r="AD575">
        <f t="shared" si="89"/>
        <v>1</v>
      </c>
    </row>
    <row r="576" spans="9:30" ht="15" customHeight="1">
      <c r="I576" s="69"/>
      <c r="J576" s="69"/>
      <c r="K576" s="69"/>
      <c r="L576" s="69"/>
      <c r="M576" s="69"/>
      <c r="N576" s="69" t="str">
        <f t="shared" si="90"/>
        <v/>
      </c>
      <c r="O576" s="69" t="str">
        <f t="shared" si="82"/>
        <v/>
      </c>
      <c r="P576" s="70" t="str">
        <f t="shared" si="83"/>
        <v/>
      </c>
      <c r="Q576" s="69" t="str">
        <f t="shared" si="84"/>
        <v/>
      </c>
      <c r="S576" s="71"/>
      <c r="Z576" t="str">
        <f t="shared" si="85"/>
        <v/>
      </c>
      <c r="AA576">
        <f t="shared" si="86"/>
        <v>0</v>
      </c>
      <c r="AB576">
        <f t="shared" si="87"/>
        <v>12</v>
      </c>
      <c r="AC576">
        <f t="shared" si="88"/>
        <v>33</v>
      </c>
      <c r="AD576">
        <f t="shared" si="89"/>
        <v>1</v>
      </c>
    </row>
    <row r="577" spans="9:30" ht="15" customHeight="1">
      <c r="I577" s="69"/>
      <c r="J577" s="69"/>
      <c r="K577" s="69"/>
      <c r="L577" s="69"/>
      <c r="M577" s="69"/>
      <c r="N577" s="69" t="str">
        <f t="shared" si="90"/>
        <v/>
      </c>
      <c r="O577" s="69" t="str">
        <f t="shared" si="82"/>
        <v/>
      </c>
      <c r="P577" s="70" t="str">
        <f t="shared" si="83"/>
        <v/>
      </c>
      <c r="Q577" s="69" t="str">
        <f t="shared" si="84"/>
        <v/>
      </c>
      <c r="S577" s="71"/>
      <c r="Z577" t="str">
        <f t="shared" si="85"/>
        <v/>
      </c>
      <c r="AA577">
        <f t="shared" si="86"/>
        <v>0</v>
      </c>
      <c r="AB577">
        <f t="shared" si="87"/>
        <v>12</v>
      </c>
      <c r="AC577">
        <f t="shared" si="88"/>
        <v>33</v>
      </c>
      <c r="AD577">
        <f t="shared" si="89"/>
        <v>1</v>
      </c>
    </row>
    <row r="578" spans="9:30" ht="15" customHeight="1">
      <c r="I578" s="69"/>
      <c r="J578" s="69"/>
      <c r="K578" s="69"/>
      <c r="L578" s="69"/>
      <c r="M578" s="69"/>
      <c r="N578" s="69" t="str">
        <f t="shared" si="90"/>
        <v/>
      </c>
      <c r="O578" s="69" t="str">
        <f t="shared" si="82"/>
        <v/>
      </c>
      <c r="P578" s="70" t="str">
        <f t="shared" si="83"/>
        <v/>
      </c>
      <c r="Q578" s="69" t="str">
        <f t="shared" si="84"/>
        <v/>
      </c>
      <c r="S578" s="71"/>
      <c r="Z578" t="str">
        <f t="shared" si="85"/>
        <v/>
      </c>
      <c r="AA578">
        <f t="shared" si="86"/>
        <v>0</v>
      </c>
      <c r="AB578">
        <f t="shared" si="87"/>
        <v>12</v>
      </c>
      <c r="AC578">
        <f t="shared" si="88"/>
        <v>33</v>
      </c>
      <c r="AD578">
        <f t="shared" si="89"/>
        <v>1</v>
      </c>
    </row>
    <row r="579" spans="9:30" ht="15" customHeight="1">
      <c r="I579" s="69"/>
      <c r="J579" s="69"/>
      <c r="K579" s="69"/>
      <c r="L579" s="69"/>
      <c r="M579" s="69"/>
      <c r="N579" s="69" t="str">
        <f t="shared" si="90"/>
        <v/>
      </c>
      <c r="O579" s="69" t="str">
        <f t="shared" si="82"/>
        <v/>
      </c>
      <c r="P579" s="70" t="str">
        <f t="shared" si="83"/>
        <v/>
      </c>
      <c r="Q579" s="69" t="str">
        <f t="shared" si="84"/>
        <v/>
      </c>
      <c r="S579" s="71"/>
      <c r="Z579" t="str">
        <f t="shared" si="85"/>
        <v/>
      </c>
      <c r="AA579">
        <f t="shared" si="86"/>
        <v>0</v>
      </c>
      <c r="AB579">
        <f t="shared" si="87"/>
        <v>12</v>
      </c>
      <c r="AC579">
        <f t="shared" si="88"/>
        <v>33</v>
      </c>
      <c r="AD579">
        <f t="shared" si="89"/>
        <v>1</v>
      </c>
    </row>
    <row r="580" spans="9:30" ht="15" customHeight="1">
      <c r="I580" s="69"/>
      <c r="J580" s="69"/>
      <c r="K580" s="69"/>
      <c r="L580" s="69"/>
      <c r="M580" s="69"/>
      <c r="N580" s="69" t="str">
        <f t="shared" si="90"/>
        <v/>
      </c>
      <c r="O580" s="69" t="str">
        <f t="shared" si="82"/>
        <v/>
      </c>
      <c r="P580" s="70" t="str">
        <f t="shared" si="83"/>
        <v/>
      </c>
      <c r="Q580" s="69" t="str">
        <f t="shared" si="84"/>
        <v/>
      </c>
      <c r="S580" s="71"/>
      <c r="Z580" t="str">
        <f t="shared" si="85"/>
        <v/>
      </c>
      <c r="AA580">
        <f t="shared" si="86"/>
        <v>0</v>
      </c>
      <c r="AB580">
        <f t="shared" si="87"/>
        <v>12</v>
      </c>
      <c r="AC580">
        <f t="shared" si="88"/>
        <v>33</v>
      </c>
      <c r="AD580">
        <f t="shared" si="89"/>
        <v>1</v>
      </c>
    </row>
    <row r="581" spans="9:30" ht="15" customHeight="1">
      <c r="I581" s="69"/>
      <c r="J581" s="69"/>
      <c r="K581" s="69"/>
      <c r="L581" s="69"/>
      <c r="M581" s="69"/>
      <c r="N581" s="69" t="str">
        <f t="shared" si="90"/>
        <v/>
      </c>
      <c r="O581" s="69" t="str">
        <f t="shared" si="82"/>
        <v/>
      </c>
      <c r="P581" s="70" t="str">
        <f t="shared" si="83"/>
        <v/>
      </c>
      <c r="Q581" s="69" t="str">
        <f t="shared" si="84"/>
        <v/>
      </c>
      <c r="S581" s="71"/>
      <c r="Z581" t="str">
        <f t="shared" si="85"/>
        <v/>
      </c>
      <c r="AA581">
        <f t="shared" si="86"/>
        <v>0</v>
      </c>
      <c r="AB581">
        <f t="shared" si="87"/>
        <v>12</v>
      </c>
      <c r="AC581">
        <f t="shared" si="88"/>
        <v>33</v>
      </c>
      <c r="AD581">
        <f t="shared" si="89"/>
        <v>1</v>
      </c>
    </row>
    <row r="582" spans="9:30" ht="15" customHeight="1">
      <c r="I582" s="69"/>
      <c r="J582" s="69"/>
      <c r="K582" s="69"/>
      <c r="L582" s="69"/>
      <c r="M582" s="69"/>
      <c r="N582" s="69" t="str">
        <f t="shared" si="90"/>
        <v/>
      </c>
      <c r="O582" s="69" t="str">
        <f t="shared" ref="O582:O645" si="91">IF(ISNUMBER(I582),I582-SUM(J582:N582),"")</f>
        <v/>
      </c>
      <c r="P582" s="70" t="str">
        <f t="shared" ref="P582:P645" si="92">IFERROR(IF(AND(ISNUMBER(O582),ISNUMBER(I582),I582&lt;&gt;0),O582/I582,""),"")</f>
        <v/>
      </c>
      <c r="Q582" s="69" t="str">
        <f t="shared" ref="Q582:Q645" si="93">IF(AND(ISNUMBER(I582),ISNUMBER(S582)),I582*IF(S582&lt;=1,S582,S582/100),IF(OR(I582&lt;&gt;"",S582&lt;&gt;""),"tbd",""))</f>
        <v/>
      </c>
      <c r="S582" s="71"/>
      <c r="Z582" t="str">
        <f t="shared" ref="Z582:Z645" si="94">IF(AND(R582="WON",ISNUMBER(I582)),AA582,"")</f>
        <v/>
      </c>
      <c r="AA582">
        <f t="shared" ref="AA582:AA645" si="95">IFERROR(I582*1,0)</f>
        <v>0</v>
      </c>
      <c r="AB582">
        <f t="shared" ref="AB582:AB645" si="96">N(AB581)+IF(AND(R582="WON",B582&lt;&gt;""),1,0)</f>
        <v>12</v>
      </c>
      <c r="AC582">
        <f t="shared" ref="AC582:AC645" si="97">N(AC581)+IF(AND(OR(R582="offered",R582="to be offered",R582="on hold"),B582&lt;&gt;""),1,0)</f>
        <v>33</v>
      </c>
      <c r="AD582">
        <f t="shared" ref="AD582:AD645" si="98">N(AD581)+IF(AND(OR(R582="follow-up",R582="Evaluation",R582="tbd",R582="In evaluation"),B582&lt;&gt;""),1,0)</f>
        <v>1</v>
      </c>
    </row>
    <row r="583" spans="9:30" ht="15" customHeight="1">
      <c r="I583" s="69"/>
      <c r="J583" s="69"/>
      <c r="K583" s="69"/>
      <c r="L583" s="69"/>
      <c r="M583" s="69"/>
      <c r="N583" s="69" t="str">
        <f t="shared" si="90"/>
        <v/>
      </c>
      <c r="O583" s="69" t="str">
        <f t="shared" si="91"/>
        <v/>
      </c>
      <c r="P583" s="70" t="str">
        <f t="shared" si="92"/>
        <v/>
      </c>
      <c r="Q583" s="69" t="str">
        <f t="shared" si="93"/>
        <v/>
      </c>
      <c r="S583" s="71"/>
      <c r="Z583" t="str">
        <f t="shared" si="94"/>
        <v/>
      </c>
      <c r="AA583">
        <f t="shared" si="95"/>
        <v>0</v>
      </c>
      <c r="AB583">
        <f t="shared" si="96"/>
        <v>12</v>
      </c>
      <c r="AC583">
        <f t="shared" si="97"/>
        <v>33</v>
      </c>
      <c r="AD583">
        <f t="shared" si="98"/>
        <v>1</v>
      </c>
    </row>
    <row r="584" spans="9:30" ht="15" customHeight="1">
      <c r="I584" s="69"/>
      <c r="J584" s="69"/>
      <c r="K584" s="69"/>
      <c r="L584" s="69"/>
      <c r="M584" s="69"/>
      <c r="N584" s="69" t="str">
        <f t="shared" si="90"/>
        <v/>
      </c>
      <c r="O584" s="69" t="str">
        <f t="shared" si="91"/>
        <v/>
      </c>
      <c r="P584" s="70" t="str">
        <f t="shared" si="92"/>
        <v/>
      </c>
      <c r="Q584" s="69" t="str">
        <f t="shared" si="93"/>
        <v/>
      </c>
      <c r="S584" s="71"/>
      <c r="Z584" t="str">
        <f t="shared" si="94"/>
        <v/>
      </c>
      <c r="AA584">
        <f t="shared" si="95"/>
        <v>0</v>
      </c>
      <c r="AB584">
        <f t="shared" si="96"/>
        <v>12</v>
      </c>
      <c r="AC584">
        <f t="shared" si="97"/>
        <v>33</v>
      </c>
      <c r="AD584">
        <f t="shared" si="98"/>
        <v>1</v>
      </c>
    </row>
    <row r="585" spans="9:30" ht="15" customHeight="1">
      <c r="I585" s="69"/>
      <c r="J585" s="69"/>
      <c r="K585" s="69"/>
      <c r="L585" s="69"/>
      <c r="M585" s="69"/>
      <c r="N585" s="69" t="str">
        <f t="shared" si="90"/>
        <v/>
      </c>
      <c r="O585" s="69" t="str">
        <f t="shared" si="91"/>
        <v/>
      </c>
      <c r="P585" s="70" t="str">
        <f t="shared" si="92"/>
        <v/>
      </c>
      <c r="Q585" s="69" t="str">
        <f t="shared" si="93"/>
        <v/>
      </c>
      <c r="S585" s="71"/>
      <c r="Z585" t="str">
        <f t="shared" si="94"/>
        <v/>
      </c>
      <c r="AA585">
        <f t="shared" si="95"/>
        <v>0</v>
      </c>
      <c r="AB585">
        <f t="shared" si="96"/>
        <v>12</v>
      </c>
      <c r="AC585">
        <f t="shared" si="97"/>
        <v>33</v>
      </c>
      <c r="AD585">
        <f t="shared" si="98"/>
        <v>1</v>
      </c>
    </row>
    <row r="586" spans="9:30" ht="15" customHeight="1">
      <c r="I586" s="69"/>
      <c r="J586" s="69"/>
      <c r="K586" s="69"/>
      <c r="L586" s="69"/>
      <c r="M586" s="69"/>
      <c r="N586" s="69" t="str">
        <f t="shared" si="90"/>
        <v/>
      </c>
      <c r="O586" s="69" t="str">
        <f t="shared" si="91"/>
        <v/>
      </c>
      <c r="P586" s="70" t="str">
        <f t="shared" si="92"/>
        <v/>
      </c>
      <c r="Q586" s="69" t="str">
        <f t="shared" si="93"/>
        <v/>
      </c>
      <c r="S586" s="71"/>
      <c r="Z586" t="str">
        <f t="shared" si="94"/>
        <v/>
      </c>
      <c r="AA586">
        <f t="shared" si="95"/>
        <v>0</v>
      </c>
      <c r="AB586">
        <f t="shared" si="96"/>
        <v>12</v>
      </c>
      <c r="AC586">
        <f t="shared" si="97"/>
        <v>33</v>
      </c>
      <c r="AD586">
        <f t="shared" si="98"/>
        <v>1</v>
      </c>
    </row>
    <row r="587" spans="9:30" ht="15" customHeight="1">
      <c r="I587" s="69"/>
      <c r="J587" s="69"/>
      <c r="K587" s="69"/>
      <c r="L587" s="69"/>
      <c r="M587" s="69"/>
      <c r="N587" s="69" t="str">
        <f t="shared" si="90"/>
        <v/>
      </c>
      <c r="O587" s="69" t="str">
        <f t="shared" si="91"/>
        <v/>
      </c>
      <c r="P587" s="70" t="str">
        <f t="shared" si="92"/>
        <v/>
      </c>
      <c r="Q587" s="69" t="str">
        <f t="shared" si="93"/>
        <v/>
      </c>
      <c r="S587" s="71"/>
      <c r="Z587" t="str">
        <f t="shared" si="94"/>
        <v/>
      </c>
      <c r="AA587">
        <f t="shared" si="95"/>
        <v>0</v>
      </c>
      <c r="AB587">
        <f t="shared" si="96"/>
        <v>12</v>
      </c>
      <c r="AC587">
        <f t="shared" si="97"/>
        <v>33</v>
      </c>
      <c r="AD587">
        <f t="shared" si="98"/>
        <v>1</v>
      </c>
    </row>
    <row r="588" spans="9:30" ht="15" customHeight="1">
      <c r="I588" s="69"/>
      <c r="J588" s="69"/>
      <c r="K588" s="69"/>
      <c r="L588" s="69"/>
      <c r="M588" s="69"/>
      <c r="N588" s="69" t="str">
        <f t="shared" si="90"/>
        <v/>
      </c>
      <c r="O588" s="69" t="str">
        <f t="shared" si="91"/>
        <v/>
      </c>
      <c r="P588" s="70" t="str">
        <f t="shared" si="92"/>
        <v/>
      </c>
      <c r="Q588" s="69" t="str">
        <f t="shared" si="93"/>
        <v/>
      </c>
      <c r="S588" s="71"/>
      <c r="Z588" t="str">
        <f t="shared" si="94"/>
        <v/>
      </c>
      <c r="AA588">
        <f t="shared" si="95"/>
        <v>0</v>
      </c>
      <c r="AB588">
        <f t="shared" si="96"/>
        <v>12</v>
      </c>
      <c r="AC588">
        <f t="shared" si="97"/>
        <v>33</v>
      </c>
      <c r="AD588">
        <f t="shared" si="98"/>
        <v>1</v>
      </c>
    </row>
    <row r="589" spans="9:30" ht="15" customHeight="1">
      <c r="I589" s="69"/>
      <c r="J589" s="69"/>
      <c r="K589" s="69"/>
      <c r="L589" s="69"/>
      <c r="M589" s="69"/>
      <c r="N589" s="69" t="str">
        <f t="shared" si="90"/>
        <v/>
      </c>
      <c r="O589" s="69" t="str">
        <f t="shared" si="91"/>
        <v/>
      </c>
      <c r="P589" s="70" t="str">
        <f t="shared" si="92"/>
        <v/>
      </c>
      <c r="Q589" s="69" t="str">
        <f t="shared" si="93"/>
        <v/>
      </c>
      <c r="S589" s="71"/>
      <c r="Z589" t="str">
        <f t="shared" si="94"/>
        <v/>
      </c>
      <c r="AA589">
        <f t="shared" si="95"/>
        <v>0</v>
      </c>
      <c r="AB589">
        <f t="shared" si="96"/>
        <v>12</v>
      </c>
      <c r="AC589">
        <f t="shared" si="97"/>
        <v>33</v>
      </c>
      <c r="AD589">
        <f t="shared" si="98"/>
        <v>1</v>
      </c>
    </row>
    <row r="590" spans="9:30" ht="15" customHeight="1">
      <c r="I590" s="69"/>
      <c r="J590" s="69"/>
      <c r="K590" s="69"/>
      <c r="L590" s="69"/>
      <c r="M590" s="69"/>
      <c r="N590" s="69" t="str">
        <f t="shared" si="90"/>
        <v/>
      </c>
      <c r="O590" s="69" t="str">
        <f t="shared" si="91"/>
        <v/>
      </c>
      <c r="P590" s="70" t="str">
        <f t="shared" si="92"/>
        <v/>
      </c>
      <c r="Q590" s="69" t="str">
        <f t="shared" si="93"/>
        <v/>
      </c>
      <c r="S590" s="71"/>
      <c r="Z590" t="str">
        <f t="shared" si="94"/>
        <v/>
      </c>
      <c r="AA590">
        <f t="shared" si="95"/>
        <v>0</v>
      </c>
      <c r="AB590">
        <f t="shared" si="96"/>
        <v>12</v>
      </c>
      <c r="AC590">
        <f t="shared" si="97"/>
        <v>33</v>
      </c>
      <c r="AD590">
        <f t="shared" si="98"/>
        <v>1</v>
      </c>
    </row>
    <row r="591" spans="9:30" ht="15" customHeight="1">
      <c r="I591" s="69"/>
      <c r="J591" s="69"/>
      <c r="K591" s="69"/>
      <c r="L591" s="69"/>
      <c r="M591" s="69"/>
      <c r="N591" s="69" t="str">
        <f t="shared" si="90"/>
        <v/>
      </c>
      <c r="O591" s="69" t="str">
        <f t="shared" si="91"/>
        <v/>
      </c>
      <c r="P591" s="70" t="str">
        <f t="shared" si="92"/>
        <v/>
      </c>
      <c r="Q591" s="69" t="str">
        <f t="shared" si="93"/>
        <v/>
      </c>
      <c r="S591" s="71"/>
      <c r="Z591" t="str">
        <f t="shared" si="94"/>
        <v/>
      </c>
      <c r="AA591">
        <f t="shared" si="95"/>
        <v>0</v>
      </c>
      <c r="AB591">
        <f t="shared" si="96"/>
        <v>12</v>
      </c>
      <c r="AC591">
        <f t="shared" si="97"/>
        <v>33</v>
      </c>
      <c r="AD591">
        <f t="shared" si="98"/>
        <v>1</v>
      </c>
    </row>
    <row r="592" spans="9:30" ht="15" customHeight="1">
      <c r="I592" s="69"/>
      <c r="J592" s="69"/>
      <c r="K592" s="69"/>
      <c r="L592" s="69"/>
      <c r="M592" s="69"/>
      <c r="N592" s="69" t="str">
        <f t="shared" si="90"/>
        <v/>
      </c>
      <c r="O592" s="69" t="str">
        <f t="shared" si="91"/>
        <v/>
      </c>
      <c r="P592" s="70" t="str">
        <f t="shared" si="92"/>
        <v/>
      </c>
      <c r="Q592" s="69" t="str">
        <f t="shared" si="93"/>
        <v/>
      </c>
      <c r="S592" s="71"/>
      <c r="Z592" t="str">
        <f t="shared" si="94"/>
        <v/>
      </c>
      <c r="AA592">
        <f t="shared" si="95"/>
        <v>0</v>
      </c>
      <c r="AB592">
        <f t="shared" si="96"/>
        <v>12</v>
      </c>
      <c r="AC592">
        <f t="shared" si="97"/>
        <v>33</v>
      </c>
      <c r="AD592">
        <f t="shared" si="98"/>
        <v>1</v>
      </c>
    </row>
    <row r="593" spans="9:30" ht="15" customHeight="1">
      <c r="I593" s="69"/>
      <c r="J593" s="69"/>
      <c r="K593" s="69"/>
      <c r="L593" s="69"/>
      <c r="M593" s="69"/>
      <c r="N593" s="69" t="str">
        <f t="shared" si="90"/>
        <v/>
      </c>
      <c r="O593" s="69" t="str">
        <f t="shared" si="91"/>
        <v/>
      </c>
      <c r="P593" s="70" t="str">
        <f t="shared" si="92"/>
        <v/>
      </c>
      <c r="Q593" s="69" t="str">
        <f t="shared" si="93"/>
        <v/>
      </c>
      <c r="S593" s="71"/>
      <c r="Z593" t="str">
        <f t="shared" si="94"/>
        <v/>
      </c>
      <c r="AA593">
        <f t="shared" si="95"/>
        <v>0</v>
      </c>
      <c r="AB593">
        <f t="shared" si="96"/>
        <v>12</v>
      </c>
      <c r="AC593">
        <f t="shared" si="97"/>
        <v>33</v>
      </c>
      <c r="AD593">
        <f t="shared" si="98"/>
        <v>1</v>
      </c>
    </row>
    <row r="594" spans="9:30" ht="15" customHeight="1">
      <c r="I594" s="69"/>
      <c r="J594" s="69"/>
      <c r="K594" s="69"/>
      <c r="L594" s="69"/>
      <c r="M594" s="69"/>
      <c r="N594" s="69" t="str">
        <f t="shared" si="90"/>
        <v/>
      </c>
      <c r="O594" s="69" t="str">
        <f t="shared" si="91"/>
        <v/>
      </c>
      <c r="P594" s="70" t="str">
        <f t="shared" si="92"/>
        <v/>
      </c>
      <c r="Q594" s="69" t="str">
        <f t="shared" si="93"/>
        <v/>
      </c>
      <c r="S594" s="71"/>
      <c r="Z594" t="str">
        <f t="shared" si="94"/>
        <v/>
      </c>
      <c r="AA594">
        <f t="shared" si="95"/>
        <v>0</v>
      </c>
      <c r="AB594">
        <f t="shared" si="96"/>
        <v>12</v>
      </c>
      <c r="AC594">
        <f t="shared" si="97"/>
        <v>33</v>
      </c>
      <c r="AD594">
        <f t="shared" si="98"/>
        <v>1</v>
      </c>
    </row>
    <row r="595" spans="9:30" ht="15" customHeight="1">
      <c r="I595" s="69"/>
      <c r="J595" s="69"/>
      <c r="K595" s="69"/>
      <c r="L595" s="69"/>
      <c r="M595" s="69"/>
      <c r="N595" s="69" t="str">
        <f t="shared" si="90"/>
        <v/>
      </c>
      <c r="O595" s="69" t="str">
        <f t="shared" si="91"/>
        <v/>
      </c>
      <c r="P595" s="70" t="str">
        <f t="shared" si="92"/>
        <v/>
      </c>
      <c r="Q595" s="69" t="str">
        <f t="shared" si="93"/>
        <v/>
      </c>
      <c r="S595" s="71"/>
      <c r="Z595" t="str">
        <f t="shared" si="94"/>
        <v/>
      </c>
      <c r="AA595">
        <f t="shared" si="95"/>
        <v>0</v>
      </c>
      <c r="AB595">
        <f t="shared" si="96"/>
        <v>12</v>
      </c>
      <c r="AC595">
        <f t="shared" si="97"/>
        <v>33</v>
      </c>
      <c r="AD595">
        <f t="shared" si="98"/>
        <v>1</v>
      </c>
    </row>
    <row r="596" spans="9:30" ht="15" customHeight="1">
      <c r="I596" s="69"/>
      <c r="J596" s="69"/>
      <c r="K596" s="69"/>
      <c r="L596" s="69"/>
      <c r="M596" s="69"/>
      <c r="N596" s="69" t="str">
        <f t="shared" si="90"/>
        <v/>
      </c>
      <c r="O596" s="69" t="str">
        <f t="shared" si="91"/>
        <v/>
      </c>
      <c r="P596" s="70" t="str">
        <f t="shared" si="92"/>
        <v/>
      </c>
      <c r="Q596" s="69" t="str">
        <f t="shared" si="93"/>
        <v/>
      </c>
      <c r="S596" s="71"/>
      <c r="Z596" t="str">
        <f t="shared" si="94"/>
        <v/>
      </c>
      <c r="AA596">
        <f t="shared" si="95"/>
        <v>0</v>
      </c>
      <c r="AB596">
        <f t="shared" si="96"/>
        <v>12</v>
      </c>
      <c r="AC596">
        <f t="shared" si="97"/>
        <v>33</v>
      </c>
      <c r="AD596">
        <f t="shared" si="98"/>
        <v>1</v>
      </c>
    </row>
    <row r="597" spans="9:30" ht="15" customHeight="1">
      <c r="I597" s="69"/>
      <c r="J597" s="69"/>
      <c r="K597" s="69"/>
      <c r="L597" s="69"/>
      <c r="M597" s="69"/>
      <c r="N597" s="69" t="str">
        <f t="shared" si="90"/>
        <v/>
      </c>
      <c r="O597" s="69" t="str">
        <f t="shared" si="91"/>
        <v/>
      </c>
      <c r="P597" s="70" t="str">
        <f t="shared" si="92"/>
        <v/>
      </c>
      <c r="Q597" s="69" t="str">
        <f t="shared" si="93"/>
        <v/>
      </c>
      <c r="S597" s="71"/>
      <c r="Z597" t="str">
        <f t="shared" si="94"/>
        <v/>
      </c>
      <c r="AA597">
        <f t="shared" si="95"/>
        <v>0</v>
      </c>
      <c r="AB597">
        <f t="shared" si="96"/>
        <v>12</v>
      </c>
      <c r="AC597">
        <f t="shared" si="97"/>
        <v>33</v>
      </c>
      <c r="AD597">
        <f t="shared" si="98"/>
        <v>1</v>
      </c>
    </row>
    <row r="598" spans="9:30" ht="15" customHeight="1">
      <c r="I598" s="69"/>
      <c r="J598" s="69"/>
      <c r="K598" s="69"/>
      <c r="L598" s="69"/>
      <c r="M598" s="69"/>
      <c r="N598" s="69" t="str">
        <f t="shared" si="90"/>
        <v/>
      </c>
      <c r="O598" s="69" t="str">
        <f t="shared" si="91"/>
        <v/>
      </c>
      <c r="P598" s="70" t="str">
        <f t="shared" si="92"/>
        <v/>
      </c>
      <c r="Q598" s="69" t="str">
        <f t="shared" si="93"/>
        <v/>
      </c>
      <c r="S598" s="71"/>
      <c r="Z598" t="str">
        <f t="shared" si="94"/>
        <v/>
      </c>
      <c r="AA598">
        <f t="shared" si="95"/>
        <v>0</v>
      </c>
      <c r="AB598">
        <f t="shared" si="96"/>
        <v>12</v>
      </c>
      <c r="AC598">
        <f t="shared" si="97"/>
        <v>33</v>
      </c>
      <c r="AD598">
        <f t="shared" si="98"/>
        <v>1</v>
      </c>
    </row>
    <row r="599" spans="9:30" ht="15" customHeight="1">
      <c r="I599" s="69"/>
      <c r="J599" s="69"/>
      <c r="K599" s="69"/>
      <c r="L599" s="69"/>
      <c r="M599" s="69"/>
      <c r="N599" s="69" t="str">
        <f t="shared" si="90"/>
        <v/>
      </c>
      <c r="O599" s="69" t="str">
        <f t="shared" si="91"/>
        <v/>
      </c>
      <c r="P599" s="70" t="str">
        <f t="shared" si="92"/>
        <v/>
      </c>
      <c r="Q599" s="69" t="str">
        <f t="shared" si="93"/>
        <v/>
      </c>
      <c r="S599" s="71"/>
      <c r="Z599" t="str">
        <f t="shared" si="94"/>
        <v/>
      </c>
      <c r="AA599">
        <f t="shared" si="95"/>
        <v>0</v>
      </c>
      <c r="AB599">
        <f t="shared" si="96"/>
        <v>12</v>
      </c>
      <c r="AC599">
        <f t="shared" si="97"/>
        <v>33</v>
      </c>
      <c r="AD599">
        <f t="shared" si="98"/>
        <v>1</v>
      </c>
    </row>
    <row r="600" spans="9:30" ht="15" customHeight="1">
      <c r="I600" s="69"/>
      <c r="J600" s="69"/>
      <c r="K600" s="69"/>
      <c r="L600" s="69"/>
      <c r="M600" s="69"/>
      <c r="N600" s="69" t="str">
        <f t="shared" si="90"/>
        <v/>
      </c>
      <c r="O600" s="69" t="str">
        <f t="shared" si="91"/>
        <v/>
      </c>
      <c r="P600" s="70" t="str">
        <f t="shared" si="92"/>
        <v/>
      </c>
      <c r="Q600" s="69" t="str">
        <f t="shared" si="93"/>
        <v/>
      </c>
      <c r="S600" s="71"/>
      <c r="Z600" t="str">
        <f t="shared" si="94"/>
        <v/>
      </c>
      <c r="AA600">
        <f t="shared" si="95"/>
        <v>0</v>
      </c>
      <c r="AB600">
        <f t="shared" si="96"/>
        <v>12</v>
      </c>
      <c r="AC600">
        <f t="shared" si="97"/>
        <v>33</v>
      </c>
      <c r="AD600">
        <f t="shared" si="98"/>
        <v>1</v>
      </c>
    </row>
    <row r="601" spans="9:30" ht="15" customHeight="1">
      <c r="I601" s="69"/>
      <c r="J601" s="69"/>
      <c r="K601" s="69"/>
      <c r="L601" s="69"/>
      <c r="M601" s="69"/>
      <c r="N601" s="69" t="str">
        <f t="shared" si="90"/>
        <v/>
      </c>
      <c r="O601" s="69" t="str">
        <f t="shared" si="91"/>
        <v/>
      </c>
      <c r="P601" s="70" t="str">
        <f t="shared" si="92"/>
        <v/>
      </c>
      <c r="Q601" s="69" t="str">
        <f t="shared" si="93"/>
        <v/>
      </c>
      <c r="S601" s="71"/>
      <c r="Z601" t="str">
        <f t="shared" si="94"/>
        <v/>
      </c>
      <c r="AA601">
        <f t="shared" si="95"/>
        <v>0</v>
      </c>
      <c r="AB601">
        <f t="shared" si="96"/>
        <v>12</v>
      </c>
      <c r="AC601">
        <f t="shared" si="97"/>
        <v>33</v>
      </c>
      <c r="AD601">
        <f t="shared" si="98"/>
        <v>1</v>
      </c>
    </row>
    <row r="602" spans="9:30" ht="15" customHeight="1">
      <c r="I602" s="69"/>
      <c r="J602" s="69"/>
      <c r="K602" s="69"/>
      <c r="L602" s="69"/>
      <c r="M602" s="69"/>
      <c r="N602" s="69" t="str">
        <f t="shared" si="90"/>
        <v/>
      </c>
      <c r="O602" s="69" t="str">
        <f t="shared" si="91"/>
        <v/>
      </c>
      <c r="P602" s="70" t="str">
        <f t="shared" si="92"/>
        <v/>
      </c>
      <c r="Q602" s="69" t="str">
        <f t="shared" si="93"/>
        <v/>
      </c>
      <c r="S602" s="71"/>
      <c r="Z602" t="str">
        <f t="shared" si="94"/>
        <v/>
      </c>
      <c r="AA602">
        <f t="shared" si="95"/>
        <v>0</v>
      </c>
      <c r="AB602">
        <f t="shared" si="96"/>
        <v>12</v>
      </c>
      <c r="AC602">
        <f t="shared" si="97"/>
        <v>33</v>
      </c>
      <c r="AD602">
        <f t="shared" si="98"/>
        <v>1</v>
      </c>
    </row>
    <row r="603" spans="9:30" ht="15" customHeight="1">
      <c r="I603" s="69"/>
      <c r="J603" s="69"/>
      <c r="K603" s="69"/>
      <c r="L603" s="69"/>
      <c r="M603" s="69"/>
      <c r="N603" s="69" t="str">
        <f t="shared" si="90"/>
        <v/>
      </c>
      <c r="O603" s="69" t="str">
        <f t="shared" si="91"/>
        <v/>
      </c>
      <c r="P603" s="70" t="str">
        <f t="shared" si="92"/>
        <v/>
      </c>
      <c r="Q603" s="69" t="str">
        <f t="shared" si="93"/>
        <v/>
      </c>
      <c r="S603" s="71"/>
      <c r="Z603" t="str">
        <f t="shared" si="94"/>
        <v/>
      </c>
      <c r="AA603">
        <f t="shared" si="95"/>
        <v>0</v>
      </c>
      <c r="AB603">
        <f t="shared" si="96"/>
        <v>12</v>
      </c>
      <c r="AC603">
        <f t="shared" si="97"/>
        <v>33</v>
      </c>
      <c r="AD603">
        <f t="shared" si="98"/>
        <v>1</v>
      </c>
    </row>
    <row r="604" spans="9:30" ht="15" customHeight="1">
      <c r="I604" s="69"/>
      <c r="J604" s="69"/>
      <c r="K604" s="69"/>
      <c r="L604" s="69"/>
      <c r="M604" s="69"/>
      <c r="N604" s="69" t="str">
        <f t="shared" si="90"/>
        <v/>
      </c>
      <c r="O604" s="69" t="str">
        <f t="shared" si="91"/>
        <v/>
      </c>
      <c r="P604" s="70" t="str">
        <f t="shared" si="92"/>
        <v/>
      </c>
      <c r="Q604" s="69" t="str">
        <f t="shared" si="93"/>
        <v/>
      </c>
      <c r="S604" s="71"/>
      <c r="Z604" t="str">
        <f t="shared" si="94"/>
        <v/>
      </c>
      <c r="AA604">
        <f t="shared" si="95"/>
        <v>0</v>
      </c>
      <c r="AB604">
        <f t="shared" si="96"/>
        <v>12</v>
      </c>
      <c r="AC604">
        <f t="shared" si="97"/>
        <v>33</v>
      </c>
      <c r="AD604">
        <f t="shared" si="98"/>
        <v>1</v>
      </c>
    </row>
    <row r="605" spans="9:30" ht="15" customHeight="1">
      <c r="I605" s="69"/>
      <c r="J605" s="69"/>
      <c r="K605" s="69"/>
      <c r="L605" s="69"/>
      <c r="M605" s="69"/>
      <c r="N605" s="69" t="str">
        <f t="shared" si="90"/>
        <v/>
      </c>
      <c r="O605" s="69" t="str">
        <f t="shared" si="91"/>
        <v/>
      </c>
      <c r="P605" s="70" t="str">
        <f t="shared" si="92"/>
        <v/>
      </c>
      <c r="Q605" s="69" t="str">
        <f t="shared" si="93"/>
        <v/>
      </c>
      <c r="S605" s="71"/>
      <c r="Z605" t="str">
        <f t="shared" si="94"/>
        <v/>
      </c>
      <c r="AA605">
        <f t="shared" si="95"/>
        <v>0</v>
      </c>
      <c r="AB605">
        <f t="shared" si="96"/>
        <v>12</v>
      </c>
      <c r="AC605">
        <f t="shared" si="97"/>
        <v>33</v>
      </c>
      <c r="AD605">
        <f t="shared" si="98"/>
        <v>1</v>
      </c>
    </row>
    <row r="606" spans="9:30" ht="15" customHeight="1">
      <c r="I606" s="69"/>
      <c r="J606" s="69"/>
      <c r="K606" s="69"/>
      <c r="L606" s="69"/>
      <c r="M606" s="69"/>
      <c r="N606" s="69" t="str">
        <f t="shared" si="90"/>
        <v/>
      </c>
      <c r="O606" s="69" t="str">
        <f t="shared" si="91"/>
        <v/>
      </c>
      <c r="P606" s="70" t="str">
        <f t="shared" si="92"/>
        <v/>
      </c>
      <c r="Q606" s="69" t="str">
        <f t="shared" si="93"/>
        <v/>
      </c>
      <c r="S606" s="71"/>
      <c r="Z606" t="str">
        <f t="shared" si="94"/>
        <v/>
      </c>
      <c r="AA606">
        <f t="shared" si="95"/>
        <v>0</v>
      </c>
      <c r="AB606">
        <f t="shared" si="96"/>
        <v>12</v>
      </c>
      <c r="AC606">
        <f t="shared" si="97"/>
        <v>33</v>
      </c>
      <c r="AD606">
        <f t="shared" si="98"/>
        <v>1</v>
      </c>
    </row>
    <row r="607" spans="9:30" ht="15" customHeight="1">
      <c r="I607" s="69"/>
      <c r="J607" s="69"/>
      <c r="K607" s="69"/>
      <c r="L607" s="69"/>
      <c r="M607" s="69"/>
      <c r="N607" s="69" t="str">
        <f t="shared" si="90"/>
        <v/>
      </c>
      <c r="O607" s="69" t="str">
        <f t="shared" si="91"/>
        <v/>
      </c>
      <c r="P607" s="70" t="str">
        <f t="shared" si="92"/>
        <v/>
      </c>
      <c r="Q607" s="69" t="str">
        <f t="shared" si="93"/>
        <v/>
      </c>
      <c r="S607" s="71"/>
      <c r="Z607" t="str">
        <f t="shared" si="94"/>
        <v/>
      </c>
      <c r="AA607">
        <f t="shared" si="95"/>
        <v>0</v>
      </c>
      <c r="AB607">
        <f t="shared" si="96"/>
        <v>12</v>
      </c>
      <c r="AC607">
        <f t="shared" si="97"/>
        <v>33</v>
      </c>
      <c r="AD607">
        <f t="shared" si="98"/>
        <v>1</v>
      </c>
    </row>
    <row r="608" spans="9:30" ht="15" customHeight="1">
      <c r="I608" s="69"/>
      <c r="J608" s="69"/>
      <c r="K608" s="69"/>
      <c r="L608" s="69"/>
      <c r="M608" s="69"/>
      <c r="N608" s="69" t="str">
        <f t="shared" si="90"/>
        <v/>
      </c>
      <c r="O608" s="69" t="str">
        <f t="shared" si="91"/>
        <v/>
      </c>
      <c r="P608" s="70" t="str">
        <f t="shared" si="92"/>
        <v/>
      </c>
      <c r="Q608" s="69" t="str">
        <f t="shared" si="93"/>
        <v/>
      </c>
      <c r="S608" s="71"/>
      <c r="Z608" t="str">
        <f t="shared" si="94"/>
        <v/>
      </c>
      <c r="AA608">
        <f t="shared" si="95"/>
        <v>0</v>
      </c>
      <c r="AB608">
        <f t="shared" si="96"/>
        <v>12</v>
      </c>
      <c r="AC608">
        <f t="shared" si="97"/>
        <v>33</v>
      </c>
      <c r="AD608">
        <f t="shared" si="98"/>
        <v>1</v>
      </c>
    </row>
    <row r="609" spans="9:30" ht="15" customHeight="1">
      <c r="I609" s="69"/>
      <c r="J609" s="69"/>
      <c r="K609" s="69"/>
      <c r="L609" s="69"/>
      <c r="M609" s="69"/>
      <c r="N609" s="69" t="str">
        <f t="shared" si="90"/>
        <v/>
      </c>
      <c r="O609" s="69" t="str">
        <f t="shared" si="91"/>
        <v/>
      </c>
      <c r="P609" s="70" t="str">
        <f t="shared" si="92"/>
        <v/>
      </c>
      <c r="Q609" s="69" t="str">
        <f t="shared" si="93"/>
        <v/>
      </c>
      <c r="S609" s="71"/>
      <c r="Z609" t="str">
        <f t="shared" si="94"/>
        <v/>
      </c>
      <c r="AA609">
        <f t="shared" si="95"/>
        <v>0</v>
      </c>
      <c r="AB609">
        <f t="shared" si="96"/>
        <v>12</v>
      </c>
      <c r="AC609">
        <f t="shared" si="97"/>
        <v>33</v>
      </c>
      <c r="AD609">
        <f t="shared" si="98"/>
        <v>1</v>
      </c>
    </row>
    <row r="610" spans="9:30" ht="15" customHeight="1">
      <c r="I610" s="69"/>
      <c r="J610" s="69"/>
      <c r="K610" s="69"/>
      <c r="L610" s="69"/>
      <c r="M610" s="69"/>
      <c r="N610" s="69" t="str">
        <f t="shared" si="90"/>
        <v/>
      </c>
      <c r="O610" s="69" t="str">
        <f t="shared" si="91"/>
        <v/>
      </c>
      <c r="P610" s="70" t="str">
        <f t="shared" si="92"/>
        <v/>
      </c>
      <c r="Q610" s="69" t="str">
        <f t="shared" si="93"/>
        <v/>
      </c>
      <c r="S610" s="71"/>
      <c r="Z610" t="str">
        <f t="shared" si="94"/>
        <v/>
      </c>
      <c r="AA610">
        <f t="shared" si="95"/>
        <v>0</v>
      </c>
      <c r="AB610">
        <f t="shared" si="96"/>
        <v>12</v>
      </c>
      <c r="AC610">
        <f t="shared" si="97"/>
        <v>33</v>
      </c>
      <c r="AD610">
        <f t="shared" si="98"/>
        <v>1</v>
      </c>
    </row>
    <row r="611" spans="9:30" ht="15" customHeight="1">
      <c r="I611" s="69"/>
      <c r="J611" s="69"/>
      <c r="K611" s="69"/>
      <c r="L611" s="69"/>
      <c r="M611" s="69"/>
      <c r="N611" s="69" t="str">
        <f t="shared" si="90"/>
        <v/>
      </c>
      <c r="O611" s="69" t="str">
        <f t="shared" si="91"/>
        <v/>
      </c>
      <c r="P611" s="70" t="str">
        <f t="shared" si="92"/>
        <v/>
      </c>
      <c r="Q611" s="69" t="str">
        <f t="shared" si="93"/>
        <v/>
      </c>
      <c r="S611" s="71"/>
      <c r="Z611" t="str">
        <f t="shared" si="94"/>
        <v/>
      </c>
      <c r="AA611">
        <f t="shared" si="95"/>
        <v>0</v>
      </c>
      <c r="AB611">
        <f t="shared" si="96"/>
        <v>12</v>
      </c>
      <c r="AC611">
        <f t="shared" si="97"/>
        <v>33</v>
      </c>
      <c r="AD611">
        <f t="shared" si="98"/>
        <v>1</v>
      </c>
    </row>
    <row r="612" spans="9:30" ht="15" customHeight="1">
      <c r="I612" s="69"/>
      <c r="J612" s="69"/>
      <c r="K612" s="69"/>
      <c r="L612" s="69"/>
      <c r="M612" s="69"/>
      <c r="N612" s="69" t="str">
        <f t="shared" si="90"/>
        <v/>
      </c>
      <c r="O612" s="69" t="str">
        <f t="shared" si="91"/>
        <v/>
      </c>
      <c r="P612" s="70" t="str">
        <f t="shared" si="92"/>
        <v/>
      </c>
      <c r="Q612" s="69" t="str">
        <f t="shared" si="93"/>
        <v/>
      </c>
      <c r="S612" s="71"/>
      <c r="Z612" t="str">
        <f t="shared" si="94"/>
        <v/>
      </c>
      <c r="AA612">
        <f t="shared" si="95"/>
        <v>0</v>
      </c>
      <c r="AB612">
        <f t="shared" si="96"/>
        <v>12</v>
      </c>
      <c r="AC612">
        <f t="shared" si="97"/>
        <v>33</v>
      </c>
      <c r="AD612">
        <f t="shared" si="98"/>
        <v>1</v>
      </c>
    </row>
    <row r="613" spans="9:30" ht="15" customHeight="1">
      <c r="I613" s="69"/>
      <c r="J613" s="69"/>
      <c r="K613" s="69"/>
      <c r="L613" s="69"/>
      <c r="M613" s="69"/>
      <c r="N613" s="69" t="str">
        <f t="shared" si="90"/>
        <v/>
      </c>
      <c r="O613" s="69" t="str">
        <f t="shared" si="91"/>
        <v/>
      </c>
      <c r="P613" s="70" t="str">
        <f t="shared" si="92"/>
        <v/>
      </c>
      <c r="Q613" s="69" t="str">
        <f t="shared" si="93"/>
        <v/>
      </c>
      <c r="S613" s="71"/>
      <c r="Z613" t="str">
        <f t="shared" si="94"/>
        <v/>
      </c>
      <c r="AA613">
        <f t="shared" si="95"/>
        <v>0</v>
      </c>
      <c r="AB613">
        <f t="shared" si="96"/>
        <v>12</v>
      </c>
      <c r="AC613">
        <f t="shared" si="97"/>
        <v>33</v>
      </c>
      <c r="AD613">
        <f t="shared" si="98"/>
        <v>1</v>
      </c>
    </row>
    <row r="614" spans="9:30" ht="15" customHeight="1">
      <c r="I614" s="69"/>
      <c r="J614" s="69"/>
      <c r="K614" s="69"/>
      <c r="L614" s="69"/>
      <c r="M614" s="69"/>
      <c r="N614" s="69" t="str">
        <f t="shared" si="90"/>
        <v/>
      </c>
      <c r="O614" s="69" t="str">
        <f t="shared" si="91"/>
        <v/>
      </c>
      <c r="P614" s="70" t="str">
        <f t="shared" si="92"/>
        <v/>
      </c>
      <c r="Q614" s="69" t="str">
        <f t="shared" si="93"/>
        <v/>
      </c>
      <c r="S614" s="71"/>
      <c r="Z614" t="str">
        <f t="shared" si="94"/>
        <v/>
      </c>
      <c r="AA614">
        <f t="shared" si="95"/>
        <v>0</v>
      </c>
      <c r="AB614">
        <f t="shared" si="96"/>
        <v>12</v>
      </c>
      <c r="AC614">
        <f t="shared" si="97"/>
        <v>33</v>
      </c>
      <c r="AD614">
        <f t="shared" si="98"/>
        <v>1</v>
      </c>
    </row>
    <row r="615" spans="9:30" ht="15" customHeight="1">
      <c r="I615" s="69"/>
      <c r="J615" s="69"/>
      <c r="K615" s="69"/>
      <c r="L615" s="69"/>
      <c r="M615" s="69"/>
      <c r="N615" s="69" t="str">
        <f t="shared" si="90"/>
        <v/>
      </c>
      <c r="O615" s="69" t="str">
        <f t="shared" si="91"/>
        <v/>
      </c>
      <c r="P615" s="70" t="str">
        <f t="shared" si="92"/>
        <v/>
      </c>
      <c r="Q615" s="69" t="str">
        <f t="shared" si="93"/>
        <v/>
      </c>
      <c r="S615" s="71"/>
      <c r="Z615" t="str">
        <f t="shared" si="94"/>
        <v/>
      </c>
      <c r="AA615">
        <f t="shared" si="95"/>
        <v>0</v>
      </c>
      <c r="AB615">
        <f t="shared" si="96"/>
        <v>12</v>
      </c>
      <c r="AC615">
        <f t="shared" si="97"/>
        <v>33</v>
      </c>
      <c r="AD615">
        <f t="shared" si="98"/>
        <v>1</v>
      </c>
    </row>
    <row r="616" spans="9:30" ht="15" customHeight="1">
      <c r="I616" s="69"/>
      <c r="J616" s="69"/>
      <c r="K616" s="69"/>
      <c r="L616" s="69"/>
      <c r="M616" s="69"/>
      <c r="N616" s="69" t="str">
        <f t="shared" si="90"/>
        <v/>
      </c>
      <c r="O616" s="69" t="str">
        <f t="shared" si="91"/>
        <v/>
      </c>
      <c r="P616" s="70" t="str">
        <f t="shared" si="92"/>
        <v/>
      </c>
      <c r="Q616" s="69" t="str">
        <f t="shared" si="93"/>
        <v/>
      </c>
      <c r="S616" s="71"/>
      <c r="Z616" t="str">
        <f t="shared" si="94"/>
        <v/>
      </c>
      <c r="AA616">
        <f t="shared" si="95"/>
        <v>0</v>
      </c>
      <c r="AB616">
        <f t="shared" si="96"/>
        <v>12</v>
      </c>
      <c r="AC616">
        <f t="shared" si="97"/>
        <v>33</v>
      </c>
      <c r="AD616">
        <f t="shared" si="98"/>
        <v>1</v>
      </c>
    </row>
    <row r="617" spans="9:30" ht="15" customHeight="1">
      <c r="I617" s="69"/>
      <c r="J617" s="69"/>
      <c r="K617" s="69"/>
      <c r="L617" s="69"/>
      <c r="M617" s="69"/>
      <c r="N617" s="69" t="str">
        <f t="shared" si="90"/>
        <v/>
      </c>
      <c r="O617" s="69" t="str">
        <f t="shared" si="91"/>
        <v/>
      </c>
      <c r="P617" s="70" t="str">
        <f t="shared" si="92"/>
        <v/>
      </c>
      <c r="Q617" s="69" t="str">
        <f t="shared" si="93"/>
        <v/>
      </c>
      <c r="S617" s="71"/>
      <c r="Z617" t="str">
        <f t="shared" si="94"/>
        <v/>
      </c>
      <c r="AA617">
        <f t="shared" si="95"/>
        <v>0</v>
      </c>
      <c r="AB617">
        <f t="shared" si="96"/>
        <v>12</v>
      </c>
      <c r="AC617">
        <f t="shared" si="97"/>
        <v>33</v>
      </c>
      <c r="AD617">
        <f t="shared" si="98"/>
        <v>1</v>
      </c>
    </row>
    <row r="618" spans="9:30" ht="15" customHeight="1">
      <c r="I618" s="69"/>
      <c r="J618" s="69"/>
      <c r="K618" s="69"/>
      <c r="L618" s="69"/>
      <c r="M618" s="69"/>
      <c r="N618" s="69" t="str">
        <f t="shared" si="90"/>
        <v/>
      </c>
      <c r="O618" s="69" t="str">
        <f t="shared" si="91"/>
        <v/>
      </c>
      <c r="P618" s="70" t="str">
        <f t="shared" si="92"/>
        <v/>
      </c>
      <c r="Q618" s="69" t="str">
        <f t="shared" si="93"/>
        <v/>
      </c>
      <c r="S618" s="71"/>
      <c r="Z618" t="str">
        <f t="shared" si="94"/>
        <v/>
      </c>
      <c r="AA618">
        <f t="shared" si="95"/>
        <v>0</v>
      </c>
      <c r="AB618">
        <f t="shared" si="96"/>
        <v>12</v>
      </c>
      <c r="AC618">
        <f t="shared" si="97"/>
        <v>33</v>
      </c>
      <c r="AD618">
        <f t="shared" si="98"/>
        <v>1</v>
      </c>
    </row>
    <row r="619" spans="9:30" ht="15" customHeight="1">
      <c r="I619" s="69"/>
      <c r="J619" s="69"/>
      <c r="K619" s="69"/>
      <c r="L619" s="69"/>
      <c r="M619" s="69"/>
      <c r="N619" s="69" t="str">
        <f t="shared" si="90"/>
        <v/>
      </c>
      <c r="O619" s="69" t="str">
        <f t="shared" si="91"/>
        <v/>
      </c>
      <c r="P619" s="70" t="str">
        <f t="shared" si="92"/>
        <v/>
      </c>
      <c r="Q619" s="69" t="str">
        <f t="shared" si="93"/>
        <v/>
      </c>
      <c r="S619" s="71"/>
      <c r="Z619" t="str">
        <f t="shared" si="94"/>
        <v/>
      </c>
      <c r="AA619">
        <f t="shared" si="95"/>
        <v>0</v>
      </c>
      <c r="AB619">
        <f t="shared" si="96"/>
        <v>12</v>
      </c>
      <c r="AC619">
        <f t="shared" si="97"/>
        <v>33</v>
      </c>
      <c r="AD619">
        <f t="shared" si="98"/>
        <v>1</v>
      </c>
    </row>
    <row r="620" spans="9:30" ht="15" customHeight="1">
      <c r="I620" s="69"/>
      <c r="J620" s="69"/>
      <c r="K620" s="69"/>
      <c r="L620" s="69"/>
      <c r="M620" s="69"/>
      <c r="N620" s="69" t="str">
        <f t="shared" si="90"/>
        <v/>
      </c>
      <c r="O620" s="69" t="str">
        <f t="shared" si="91"/>
        <v/>
      </c>
      <c r="P620" s="70" t="str">
        <f t="shared" si="92"/>
        <v/>
      </c>
      <c r="Q620" s="69" t="str">
        <f t="shared" si="93"/>
        <v/>
      </c>
      <c r="S620" s="71"/>
      <c r="Z620" t="str">
        <f t="shared" si="94"/>
        <v/>
      </c>
      <c r="AA620">
        <f t="shared" si="95"/>
        <v>0</v>
      </c>
      <c r="AB620">
        <f t="shared" si="96"/>
        <v>12</v>
      </c>
      <c r="AC620">
        <f t="shared" si="97"/>
        <v>33</v>
      </c>
      <c r="AD620">
        <f t="shared" si="98"/>
        <v>1</v>
      </c>
    </row>
    <row r="621" spans="9:30" ht="15" customHeight="1">
      <c r="I621" s="69"/>
      <c r="J621" s="69"/>
      <c r="K621" s="69"/>
      <c r="L621" s="69"/>
      <c r="M621" s="69"/>
      <c r="N621" s="69" t="str">
        <f t="shared" si="90"/>
        <v/>
      </c>
      <c r="O621" s="69" t="str">
        <f t="shared" si="91"/>
        <v/>
      </c>
      <c r="P621" s="70" t="str">
        <f t="shared" si="92"/>
        <v/>
      </c>
      <c r="Q621" s="69" t="str">
        <f t="shared" si="93"/>
        <v/>
      </c>
      <c r="S621" s="71"/>
      <c r="Z621" t="str">
        <f t="shared" si="94"/>
        <v/>
      </c>
      <c r="AA621">
        <f t="shared" si="95"/>
        <v>0</v>
      </c>
      <c r="AB621">
        <f t="shared" si="96"/>
        <v>12</v>
      </c>
      <c r="AC621">
        <f t="shared" si="97"/>
        <v>33</v>
      </c>
      <c r="AD621">
        <f t="shared" si="98"/>
        <v>1</v>
      </c>
    </row>
    <row r="622" spans="9:30" ht="15" customHeight="1">
      <c r="I622" s="69"/>
      <c r="J622" s="69"/>
      <c r="K622" s="69"/>
      <c r="L622" s="69"/>
      <c r="M622" s="69"/>
      <c r="N622" s="69" t="str">
        <f t="shared" si="90"/>
        <v/>
      </c>
      <c r="O622" s="69" t="str">
        <f t="shared" si="91"/>
        <v/>
      </c>
      <c r="P622" s="70" t="str">
        <f t="shared" si="92"/>
        <v/>
      </c>
      <c r="Q622" s="69" t="str">
        <f t="shared" si="93"/>
        <v/>
      </c>
      <c r="S622" s="71"/>
      <c r="Z622" t="str">
        <f t="shared" si="94"/>
        <v/>
      </c>
      <c r="AA622">
        <f t="shared" si="95"/>
        <v>0</v>
      </c>
      <c r="AB622">
        <f t="shared" si="96"/>
        <v>12</v>
      </c>
      <c r="AC622">
        <f t="shared" si="97"/>
        <v>33</v>
      </c>
      <c r="AD622">
        <f t="shared" si="98"/>
        <v>1</v>
      </c>
    </row>
    <row r="623" spans="9:30" ht="15" customHeight="1">
      <c r="I623" s="69"/>
      <c r="J623" s="69"/>
      <c r="K623" s="69"/>
      <c r="L623" s="69"/>
      <c r="M623" s="69"/>
      <c r="N623" s="69" t="str">
        <f t="shared" si="90"/>
        <v/>
      </c>
      <c r="O623" s="69" t="str">
        <f t="shared" si="91"/>
        <v/>
      </c>
      <c r="P623" s="70" t="str">
        <f t="shared" si="92"/>
        <v/>
      </c>
      <c r="Q623" s="69" t="str">
        <f t="shared" si="93"/>
        <v/>
      </c>
      <c r="S623" s="71"/>
      <c r="Z623" t="str">
        <f t="shared" si="94"/>
        <v/>
      </c>
      <c r="AA623">
        <f t="shared" si="95"/>
        <v>0</v>
      </c>
      <c r="AB623">
        <f t="shared" si="96"/>
        <v>12</v>
      </c>
      <c r="AC623">
        <f t="shared" si="97"/>
        <v>33</v>
      </c>
      <c r="AD623">
        <f t="shared" si="98"/>
        <v>1</v>
      </c>
    </row>
    <row r="624" spans="9:30" ht="15" customHeight="1">
      <c r="I624" s="69"/>
      <c r="J624" s="69"/>
      <c r="K624" s="69"/>
      <c r="L624" s="69"/>
      <c r="M624" s="69"/>
      <c r="N624" s="69" t="str">
        <f t="shared" si="90"/>
        <v/>
      </c>
      <c r="O624" s="69" t="str">
        <f t="shared" si="91"/>
        <v/>
      </c>
      <c r="P624" s="70" t="str">
        <f t="shared" si="92"/>
        <v/>
      </c>
      <c r="Q624" s="69" t="str">
        <f t="shared" si="93"/>
        <v/>
      </c>
      <c r="S624" s="71"/>
      <c r="Z624" t="str">
        <f t="shared" si="94"/>
        <v/>
      </c>
      <c r="AA624">
        <f t="shared" si="95"/>
        <v>0</v>
      </c>
      <c r="AB624">
        <f t="shared" si="96"/>
        <v>12</v>
      </c>
      <c r="AC624">
        <f t="shared" si="97"/>
        <v>33</v>
      </c>
      <c r="AD624">
        <f t="shared" si="98"/>
        <v>1</v>
      </c>
    </row>
    <row r="625" spans="9:30" ht="15" customHeight="1">
      <c r="I625" s="69"/>
      <c r="J625" s="69"/>
      <c r="K625" s="69"/>
      <c r="L625" s="69"/>
      <c r="M625" s="69"/>
      <c r="N625" s="69" t="str">
        <f t="shared" si="90"/>
        <v/>
      </c>
      <c r="O625" s="69" t="str">
        <f t="shared" si="91"/>
        <v/>
      </c>
      <c r="P625" s="70" t="str">
        <f t="shared" si="92"/>
        <v/>
      </c>
      <c r="Q625" s="69" t="str">
        <f t="shared" si="93"/>
        <v/>
      </c>
      <c r="S625" s="71"/>
      <c r="Z625" t="str">
        <f t="shared" si="94"/>
        <v/>
      </c>
      <c r="AA625">
        <f t="shared" si="95"/>
        <v>0</v>
      </c>
      <c r="AB625">
        <f t="shared" si="96"/>
        <v>12</v>
      </c>
      <c r="AC625">
        <f t="shared" si="97"/>
        <v>33</v>
      </c>
      <c r="AD625">
        <f t="shared" si="98"/>
        <v>1</v>
      </c>
    </row>
    <row r="626" spans="9:30" ht="15" customHeight="1">
      <c r="I626" s="69"/>
      <c r="J626" s="69"/>
      <c r="K626" s="69"/>
      <c r="L626" s="69"/>
      <c r="M626" s="69"/>
      <c r="N626" s="69" t="str">
        <f t="shared" si="90"/>
        <v/>
      </c>
      <c r="O626" s="69" t="str">
        <f t="shared" si="91"/>
        <v/>
      </c>
      <c r="P626" s="70" t="str">
        <f t="shared" si="92"/>
        <v/>
      </c>
      <c r="Q626" s="69" t="str">
        <f t="shared" si="93"/>
        <v/>
      </c>
      <c r="S626" s="71"/>
      <c r="Z626" t="str">
        <f t="shared" si="94"/>
        <v/>
      </c>
      <c r="AA626">
        <f t="shared" si="95"/>
        <v>0</v>
      </c>
      <c r="AB626">
        <f t="shared" si="96"/>
        <v>12</v>
      </c>
      <c r="AC626">
        <f t="shared" si="97"/>
        <v>33</v>
      </c>
      <c r="AD626">
        <f t="shared" si="98"/>
        <v>1</v>
      </c>
    </row>
    <row r="627" spans="9:30" ht="15" customHeight="1">
      <c r="I627" s="69"/>
      <c r="J627" s="69"/>
      <c r="K627" s="69"/>
      <c r="L627" s="69"/>
      <c r="M627" s="69"/>
      <c r="N627" s="69" t="str">
        <f t="shared" si="90"/>
        <v/>
      </c>
      <c r="O627" s="69" t="str">
        <f t="shared" si="91"/>
        <v/>
      </c>
      <c r="P627" s="70" t="str">
        <f t="shared" si="92"/>
        <v/>
      </c>
      <c r="Q627" s="69" t="str">
        <f t="shared" si="93"/>
        <v/>
      </c>
      <c r="S627" s="71"/>
      <c r="Z627" t="str">
        <f t="shared" si="94"/>
        <v/>
      </c>
      <c r="AA627">
        <f t="shared" si="95"/>
        <v>0</v>
      </c>
      <c r="AB627">
        <f t="shared" si="96"/>
        <v>12</v>
      </c>
      <c r="AC627">
        <f t="shared" si="97"/>
        <v>33</v>
      </c>
      <c r="AD627">
        <f t="shared" si="98"/>
        <v>1</v>
      </c>
    </row>
    <row r="628" spans="9:30" ht="15" customHeight="1">
      <c r="I628" s="69"/>
      <c r="J628" s="69"/>
      <c r="K628" s="69"/>
      <c r="L628" s="69"/>
      <c r="M628" s="69"/>
      <c r="N628" s="69" t="str">
        <f t="shared" si="90"/>
        <v/>
      </c>
      <c r="O628" s="69" t="str">
        <f t="shared" si="91"/>
        <v/>
      </c>
      <c r="P628" s="70" t="str">
        <f t="shared" si="92"/>
        <v/>
      </c>
      <c r="Q628" s="69" t="str">
        <f t="shared" si="93"/>
        <v/>
      </c>
      <c r="S628" s="71"/>
      <c r="Z628" t="str">
        <f t="shared" si="94"/>
        <v/>
      </c>
      <c r="AA628">
        <f t="shared" si="95"/>
        <v>0</v>
      </c>
      <c r="AB628">
        <f t="shared" si="96"/>
        <v>12</v>
      </c>
      <c r="AC628">
        <f t="shared" si="97"/>
        <v>33</v>
      </c>
      <c r="AD628">
        <f t="shared" si="98"/>
        <v>1</v>
      </c>
    </row>
    <row r="629" spans="9:30" ht="15" customHeight="1">
      <c r="I629" s="69"/>
      <c r="J629" s="69"/>
      <c r="K629" s="69"/>
      <c r="L629" s="69"/>
      <c r="M629" s="69"/>
      <c r="N629" s="69" t="str">
        <f t="shared" ref="N629:N692" si="99">IF(ISNUMBER(I629),ROUND(I629-I629/1.081,2),"")</f>
        <v/>
      </c>
      <c r="O629" s="69" t="str">
        <f t="shared" si="91"/>
        <v/>
      </c>
      <c r="P629" s="70" t="str">
        <f t="shared" si="92"/>
        <v/>
      </c>
      <c r="Q629" s="69" t="str">
        <f t="shared" si="93"/>
        <v/>
      </c>
      <c r="S629" s="71"/>
      <c r="Z629" t="str">
        <f t="shared" si="94"/>
        <v/>
      </c>
      <c r="AA629">
        <f t="shared" si="95"/>
        <v>0</v>
      </c>
      <c r="AB629">
        <f t="shared" si="96"/>
        <v>12</v>
      </c>
      <c r="AC629">
        <f t="shared" si="97"/>
        <v>33</v>
      </c>
      <c r="AD629">
        <f t="shared" si="98"/>
        <v>1</v>
      </c>
    </row>
    <row r="630" spans="9:30" ht="15" customHeight="1">
      <c r="I630" s="69"/>
      <c r="J630" s="69"/>
      <c r="K630" s="69"/>
      <c r="L630" s="69"/>
      <c r="M630" s="69"/>
      <c r="N630" s="69" t="str">
        <f t="shared" si="99"/>
        <v/>
      </c>
      <c r="O630" s="69" t="str">
        <f t="shared" si="91"/>
        <v/>
      </c>
      <c r="P630" s="70" t="str">
        <f t="shared" si="92"/>
        <v/>
      </c>
      <c r="Q630" s="69" t="str">
        <f t="shared" si="93"/>
        <v/>
      </c>
      <c r="S630" s="71"/>
      <c r="Z630" t="str">
        <f t="shared" si="94"/>
        <v/>
      </c>
      <c r="AA630">
        <f t="shared" si="95"/>
        <v>0</v>
      </c>
      <c r="AB630">
        <f t="shared" si="96"/>
        <v>12</v>
      </c>
      <c r="AC630">
        <f t="shared" si="97"/>
        <v>33</v>
      </c>
      <c r="AD630">
        <f t="shared" si="98"/>
        <v>1</v>
      </c>
    </row>
    <row r="631" spans="9:30" ht="15" customHeight="1">
      <c r="I631" s="69"/>
      <c r="J631" s="69"/>
      <c r="K631" s="69"/>
      <c r="L631" s="69"/>
      <c r="M631" s="69"/>
      <c r="N631" s="69" t="str">
        <f t="shared" si="99"/>
        <v/>
      </c>
      <c r="O631" s="69" t="str">
        <f t="shared" si="91"/>
        <v/>
      </c>
      <c r="P631" s="70" t="str">
        <f t="shared" si="92"/>
        <v/>
      </c>
      <c r="Q631" s="69" t="str">
        <f t="shared" si="93"/>
        <v/>
      </c>
      <c r="S631" s="71"/>
      <c r="Z631" t="str">
        <f t="shared" si="94"/>
        <v/>
      </c>
      <c r="AA631">
        <f t="shared" si="95"/>
        <v>0</v>
      </c>
      <c r="AB631">
        <f t="shared" si="96"/>
        <v>12</v>
      </c>
      <c r="AC631">
        <f t="shared" si="97"/>
        <v>33</v>
      </c>
      <c r="AD631">
        <f t="shared" si="98"/>
        <v>1</v>
      </c>
    </row>
    <row r="632" spans="9:30" ht="15" customHeight="1">
      <c r="I632" s="69"/>
      <c r="J632" s="69"/>
      <c r="K632" s="69"/>
      <c r="L632" s="69"/>
      <c r="M632" s="69"/>
      <c r="N632" s="69" t="str">
        <f t="shared" si="99"/>
        <v/>
      </c>
      <c r="O632" s="69" t="str">
        <f t="shared" si="91"/>
        <v/>
      </c>
      <c r="P632" s="70" t="str">
        <f t="shared" si="92"/>
        <v/>
      </c>
      <c r="Q632" s="69" t="str">
        <f t="shared" si="93"/>
        <v/>
      </c>
      <c r="S632" s="71"/>
      <c r="Z632" t="str">
        <f t="shared" si="94"/>
        <v/>
      </c>
      <c r="AA632">
        <f t="shared" si="95"/>
        <v>0</v>
      </c>
      <c r="AB632">
        <f t="shared" si="96"/>
        <v>12</v>
      </c>
      <c r="AC632">
        <f t="shared" si="97"/>
        <v>33</v>
      </c>
      <c r="AD632">
        <f t="shared" si="98"/>
        <v>1</v>
      </c>
    </row>
    <row r="633" spans="9:30" ht="15" customHeight="1">
      <c r="I633" s="69"/>
      <c r="J633" s="69"/>
      <c r="K633" s="69"/>
      <c r="L633" s="69"/>
      <c r="M633" s="69"/>
      <c r="N633" s="69" t="str">
        <f t="shared" si="99"/>
        <v/>
      </c>
      <c r="O633" s="69" t="str">
        <f t="shared" si="91"/>
        <v/>
      </c>
      <c r="P633" s="70" t="str">
        <f t="shared" si="92"/>
        <v/>
      </c>
      <c r="Q633" s="69" t="str">
        <f t="shared" si="93"/>
        <v/>
      </c>
      <c r="S633" s="71"/>
      <c r="Z633" t="str">
        <f t="shared" si="94"/>
        <v/>
      </c>
      <c r="AA633">
        <f t="shared" si="95"/>
        <v>0</v>
      </c>
      <c r="AB633">
        <f t="shared" si="96"/>
        <v>12</v>
      </c>
      <c r="AC633">
        <f t="shared" si="97"/>
        <v>33</v>
      </c>
      <c r="AD633">
        <f t="shared" si="98"/>
        <v>1</v>
      </c>
    </row>
    <row r="634" spans="9:30" ht="15" customHeight="1">
      <c r="I634" s="69"/>
      <c r="J634" s="69"/>
      <c r="K634" s="69"/>
      <c r="L634" s="69"/>
      <c r="M634" s="69"/>
      <c r="N634" s="69" t="str">
        <f t="shared" si="99"/>
        <v/>
      </c>
      <c r="O634" s="69" t="str">
        <f t="shared" si="91"/>
        <v/>
      </c>
      <c r="P634" s="70" t="str">
        <f t="shared" si="92"/>
        <v/>
      </c>
      <c r="Q634" s="69" t="str">
        <f t="shared" si="93"/>
        <v/>
      </c>
      <c r="S634" s="71"/>
      <c r="Z634" t="str">
        <f t="shared" si="94"/>
        <v/>
      </c>
      <c r="AA634">
        <f t="shared" si="95"/>
        <v>0</v>
      </c>
      <c r="AB634">
        <f t="shared" si="96"/>
        <v>12</v>
      </c>
      <c r="AC634">
        <f t="shared" si="97"/>
        <v>33</v>
      </c>
      <c r="AD634">
        <f t="shared" si="98"/>
        <v>1</v>
      </c>
    </row>
    <row r="635" spans="9:30" ht="15" customHeight="1">
      <c r="I635" s="69"/>
      <c r="J635" s="69"/>
      <c r="K635" s="69"/>
      <c r="L635" s="69"/>
      <c r="M635" s="69"/>
      <c r="N635" s="69" t="str">
        <f t="shared" si="99"/>
        <v/>
      </c>
      <c r="O635" s="69" t="str">
        <f t="shared" si="91"/>
        <v/>
      </c>
      <c r="P635" s="70" t="str">
        <f t="shared" si="92"/>
        <v/>
      </c>
      <c r="Q635" s="69" t="str">
        <f t="shared" si="93"/>
        <v/>
      </c>
      <c r="S635" s="71"/>
      <c r="Z635" t="str">
        <f t="shared" si="94"/>
        <v/>
      </c>
      <c r="AA635">
        <f t="shared" si="95"/>
        <v>0</v>
      </c>
      <c r="AB635">
        <f t="shared" si="96"/>
        <v>12</v>
      </c>
      <c r="AC635">
        <f t="shared" si="97"/>
        <v>33</v>
      </c>
      <c r="AD635">
        <f t="shared" si="98"/>
        <v>1</v>
      </c>
    </row>
    <row r="636" spans="9:30" ht="15" customHeight="1">
      <c r="I636" s="69"/>
      <c r="J636" s="69"/>
      <c r="K636" s="69"/>
      <c r="L636" s="69"/>
      <c r="M636" s="69"/>
      <c r="N636" s="69" t="str">
        <f t="shared" si="99"/>
        <v/>
      </c>
      <c r="O636" s="69" t="str">
        <f t="shared" si="91"/>
        <v/>
      </c>
      <c r="P636" s="70" t="str">
        <f t="shared" si="92"/>
        <v/>
      </c>
      <c r="Q636" s="69" t="str">
        <f t="shared" si="93"/>
        <v/>
      </c>
      <c r="S636" s="71"/>
      <c r="Z636" t="str">
        <f t="shared" si="94"/>
        <v/>
      </c>
      <c r="AA636">
        <f t="shared" si="95"/>
        <v>0</v>
      </c>
      <c r="AB636">
        <f t="shared" si="96"/>
        <v>12</v>
      </c>
      <c r="AC636">
        <f t="shared" si="97"/>
        <v>33</v>
      </c>
      <c r="AD636">
        <f t="shared" si="98"/>
        <v>1</v>
      </c>
    </row>
    <row r="637" spans="9:30" ht="15" customHeight="1">
      <c r="I637" s="69"/>
      <c r="J637" s="69"/>
      <c r="K637" s="69"/>
      <c r="L637" s="69"/>
      <c r="M637" s="69"/>
      <c r="N637" s="69" t="str">
        <f t="shared" si="99"/>
        <v/>
      </c>
      <c r="O637" s="69" t="str">
        <f t="shared" si="91"/>
        <v/>
      </c>
      <c r="P637" s="70" t="str">
        <f t="shared" si="92"/>
        <v/>
      </c>
      <c r="Q637" s="69" t="str">
        <f t="shared" si="93"/>
        <v/>
      </c>
      <c r="S637" s="71"/>
      <c r="Z637" t="str">
        <f t="shared" si="94"/>
        <v/>
      </c>
      <c r="AA637">
        <f t="shared" si="95"/>
        <v>0</v>
      </c>
      <c r="AB637">
        <f t="shared" si="96"/>
        <v>12</v>
      </c>
      <c r="AC637">
        <f t="shared" si="97"/>
        <v>33</v>
      </c>
      <c r="AD637">
        <f t="shared" si="98"/>
        <v>1</v>
      </c>
    </row>
    <row r="638" spans="9:30" ht="15" customHeight="1">
      <c r="I638" s="69"/>
      <c r="J638" s="69"/>
      <c r="K638" s="69"/>
      <c r="L638" s="69"/>
      <c r="M638" s="69"/>
      <c r="N638" s="69" t="str">
        <f t="shared" si="99"/>
        <v/>
      </c>
      <c r="O638" s="69" t="str">
        <f t="shared" si="91"/>
        <v/>
      </c>
      <c r="P638" s="70" t="str">
        <f t="shared" si="92"/>
        <v/>
      </c>
      <c r="Q638" s="69" t="str">
        <f t="shared" si="93"/>
        <v/>
      </c>
      <c r="S638" s="71"/>
      <c r="Z638" t="str">
        <f t="shared" si="94"/>
        <v/>
      </c>
      <c r="AA638">
        <f t="shared" si="95"/>
        <v>0</v>
      </c>
      <c r="AB638">
        <f t="shared" si="96"/>
        <v>12</v>
      </c>
      <c r="AC638">
        <f t="shared" si="97"/>
        <v>33</v>
      </c>
      <c r="AD638">
        <f t="shared" si="98"/>
        <v>1</v>
      </c>
    </row>
    <row r="639" spans="9:30" ht="15" customHeight="1">
      <c r="I639" s="69"/>
      <c r="J639" s="69"/>
      <c r="K639" s="69"/>
      <c r="L639" s="69"/>
      <c r="M639" s="69"/>
      <c r="N639" s="69" t="str">
        <f t="shared" si="99"/>
        <v/>
      </c>
      <c r="O639" s="69" t="str">
        <f t="shared" si="91"/>
        <v/>
      </c>
      <c r="P639" s="70" t="str">
        <f t="shared" si="92"/>
        <v/>
      </c>
      <c r="Q639" s="69" t="str">
        <f t="shared" si="93"/>
        <v/>
      </c>
      <c r="S639" s="71"/>
      <c r="Z639" t="str">
        <f t="shared" si="94"/>
        <v/>
      </c>
      <c r="AA639">
        <f t="shared" si="95"/>
        <v>0</v>
      </c>
      <c r="AB639">
        <f t="shared" si="96"/>
        <v>12</v>
      </c>
      <c r="AC639">
        <f t="shared" si="97"/>
        <v>33</v>
      </c>
      <c r="AD639">
        <f t="shared" si="98"/>
        <v>1</v>
      </c>
    </row>
    <row r="640" spans="9:30" ht="15" customHeight="1">
      <c r="I640" s="69"/>
      <c r="J640" s="69"/>
      <c r="K640" s="69"/>
      <c r="L640" s="69"/>
      <c r="M640" s="69"/>
      <c r="N640" s="69" t="str">
        <f t="shared" si="99"/>
        <v/>
      </c>
      <c r="O640" s="69" t="str">
        <f t="shared" si="91"/>
        <v/>
      </c>
      <c r="P640" s="70" t="str">
        <f t="shared" si="92"/>
        <v/>
      </c>
      <c r="Q640" s="69" t="str">
        <f t="shared" si="93"/>
        <v/>
      </c>
      <c r="S640" s="71"/>
      <c r="Z640" t="str">
        <f t="shared" si="94"/>
        <v/>
      </c>
      <c r="AA640">
        <f t="shared" si="95"/>
        <v>0</v>
      </c>
      <c r="AB640">
        <f t="shared" si="96"/>
        <v>12</v>
      </c>
      <c r="AC640">
        <f t="shared" si="97"/>
        <v>33</v>
      </c>
      <c r="AD640">
        <f t="shared" si="98"/>
        <v>1</v>
      </c>
    </row>
    <row r="641" spans="9:30" ht="15" customHeight="1">
      <c r="I641" s="69"/>
      <c r="J641" s="69"/>
      <c r="K641" s="69"/>
      <c r="L641" s="69"/>
      <c r="M641" s="69"/>
      <c r="N641" s="69" t="str">
        <f t="shared" si="99"/>
        <v/>
      </c>
      <c r="O641" s="69" t="str">
        <f t="shared" si="91"/>
        <v/>
      </c>
      <c r="P641" s="70" t="str">
        <f t="shared" si="92"/>
        <v/>
      </c>
      <c r="Q641" s="69" t="str">
        <f t="shared" si="93"/>
        <v/>
      </c>
      <c r="S641" s="71"/>
      <c r="Z641" t="str">
        <f t="shared" si="94"/>
        <v/>
      </c>
      <c r="AA641">
        <f t="shared" si="95"/>
        <v>0</v>
      </c>
      <c r="AB641">
        <f t="shared" si="96"/>
        <v>12</v>
      </c>
      <c r="AC641">
        <f t="shared" si="97"/>
        <v>33</v>
      </c>
      <c r="AD641">
        <f t="shared" si="98"/>
        <v>1</v>
      </c>
    </row>
    <row r="642" spans="9:30" ht="15" customHeight="1">
      <c r="I642" s="69"/>
      <c r="J642" s="69"/>
      <c r="K642" s="69"/>
      <c r="L642" s="69"/>
      <c r="M642" s="69"/>
      <c r="N642" s="69" t="str">
        <f t="shared" si="99"/>
        <v/>
      </c>
      <c r="O642" s="69" t="str">
        <f t="shared" si="91"/>
        <v/>
      </c>
      <c r="P642" s="70" t="str">
        <f t="shared" si="92"/>
        <v/>
      </c>
      <c r="Q642" s="69" t="str">
        <f t="shared" si="93"/>
        <v/>
      </c>
      <c r="S642" s="71"/>
      <c r="Z642" t="str">
        <f t="shared" si="94"/>
        <v/>
      </c>
      <c r="AA642">
        <f t="shared" si="95"/>
        <v>0</v>
      </c>
      <c r="AB642">
        <f t="shared" si="96"/>
        <v>12</v>
      </c>
      <c r="AC642">
        <f t="shared" si="97"/>
        <v>33</v>
      </c>
      <c r="AD642">
        <f t="shared" si="98"/>
        <v>1</v>
      </c>
    </row>
    <row r="643" spans="9:30" ht="15" customHeight="1">
      <c r="I643" s="69"/>
      <c r="J643" s="69"/>
      <c r="K643" s="69"/>
      <c r="L643" s="69"/>
      <c r="M643" s="69"/>
      <c r="N643" s="69" t="str">
        <f t="shared" si="99"/>
        <v/>
      </c>
      <c r="O643" s="69" t="str">
        <f t="shared" si="91"/>
        <v/>
      </c>
      <c r="P643" s="70" t="str">
        <f t="shared" si="92"/>
        <v/>
      </c>
      <c r="Q643" s="69" t="str">
        <f t="shared" si="93"/>
        <v/>
      </c>
      <c r="S643" s="71"/>
      <c r="Z643" t="str">
        <f t="shared" si="94"/>
        <v/>
      </c>
      <c r="AA643">
        <f t="shared" si="95"/>
        <v>0</v>
      </c>
      <c r="AB643">
        <f t="shared" si="96"/>
        <v>12</v>
      </c>
      <c r="AC643">
        <f t="shared" si="97"/>
        <v>33</v>
      </c>
      <c r="AD643">
        <f t="shared" si="98"/>
        <v>1</v>
      </c>
    </row>
    <row r="644" spans="9:30" ht="15" customHeight="1">
      <c r="I644" s="69"/>
      <c r="J644" s="69"/>
      <c r="K644" s="69"/>
      <c r="L644" s="69"/>
      <c r="M644" s="69"/>
      <c r="N644" s="69" t="str">
        <f t="shared" si="99"/>
        <v/>
      </c>
      <c r="O644" s="69" t="str">
        <f t="shared" si="91"/>
        <v/>
      </c>
      <c r="P644" s="70" t="str">
        <f t="shared" si="92"/>
        <v/>
      </c>
      <c r="Q644" s="69" t="str">
        <f t="shared" si="93"/>
        <v/>
      </c>
      <c r="S644" s="71"/>
      <c r="Z644" t="str">
        <f t="shared" si="94"/>
        <v/>
      </c>
      <c r="AA644">
        <f t="shared" si="95"/>
        <v>0</v>
      </c>
      <c r="AB644">
        <f t="shared" si="96"/>
        <v>12</v>
      </c>
      <c r="AC644">
        <f t="shared" si="97"/>
        <v>33</v>
      </c>
      <c r="AD644">
        <f t="shared" si="98"/>
        <v>1</v>
      </c>
    </row>
    <row r="645" spans="9:30" ht="15" customHeight="1">
      <c r="I645" s="69"/>
      <c r="J645" s="69"/>
      <c r="K645" s="69"/>
      <c r="L645" s="69"/>
      <c r="M645" s="69"/>
      <c r="N645" s="69" t="str">
        <f t="shared" si="99"/>
        <v/>
      </c>
      <c r="O645" s="69" t="str">
        <f t="shared" si="91"/>
        <v/>
      </c>
      <c r="P645" s="70" t="str">
        <f t="shared" si="92"/>
        <v/>
      </c>
      <c r="Q645" s="69" t="str">
        <f t="shared" si="93"/>
        <v/>
      </c>
      <c r="S645" s="71"/>
      <c r="Z645" t="str">
        <f t="shared" si="94"/>
        <v/>
      </c>
      <c r="AA645">
        <f t="shared" si="95"/>
        <v>0</v>
      </c>
      <c r="AB645">
        <f t="shared" si="96"/>
        <v>12</v>
      </c>
      <c r="AC645">
        <f t="shared" si="97"/>
        <v>33</v>
      </c>
      <c r="AD645">
        <f t="shared" si="98"/>
        <v>1</v>
      </c>
    </row>
    <row r="646" spans="9:30" ht="15" customHeight="1">
      <c r="I646" s="69"/>
      <c r="J646" s="69"/>
      <c r="K646" s="69"/>
      <c r="L646" s="69"/>
      <c r="M646" s="69"/>
      <c r="N646" s="69" t="str">
        <f t="shared" si="99"/>
        <v/>
      </c>
      <c r="O646" s="69" t="str">
        <f t="shared" ref="O646:O709" si="100">IF(ISNUMBER(I646),I646-SUM(J646:N646),"")</f>
        <v/>
      </c>
      <c r="P646" s="70" t="str">
        <f t="shared" ref="P646:P709" si="101">IFERROR(IF(AND(ISNUMBER(O646),ISNUMBER(I646),I646&lt;&gt;0),O646/I646,""),"")</f>
        <v/>
      </c>
      <c r="Q646" s="69" t="str">
        <f t="shared" ref="Q646:Q709" si="102">IF(AND(ISNUMBER(I646),ISNUMBER(S646)),I646*IF(S646&lt;=1,S646,S646/100),IF(OR(I646&lt;&gt;"",S646&lt;&gt;""),"tbd",""))</f>
        <v/>
      </c>
      <c r="S646" s="71"/>
      <c r="Z646" t="str">
        <f t="shared" ref="Z646:Z709" si="103">IF(AND(R646="WON",ISNUMBER(I646)),AA646,"")</f>
        <v/>
      </c>
      <c r="AA646">
        <f t="shared" ref="AA646:AA709" si="104">IFERROR(I646*1,0)</f>
        <v>0</v>
      </c>
      <c r="AB646">
        <f t="shared" ref="AB646:AB709" si="105">N(AB645)+IF(AND(R646="WON",B646&lt;&gt;""),1,0)</f>
        <v>12</v>
      </c>
      <c r="AC646">
        <f t="shared" ref="AC646:AC709" si="106">N(AC645)+IF(AND(OR(R646="offered",R646="to be offered",R646="on hold"),B646&lt;&gt;""),1,0)</f>
        <v>33</v>
      </c>
      <c r="AD646">
        <f t="shared" ref="AD646:AD709" si="107">N(AD645)+IF(AND(OR(R646="follow-up",R646="Evaluation",R646="tbd",R646="In evaluation"),B646&lt;&gt;""),1,0)</f>
        <v>1</v>
      </c>
    </row>
    <row r="647" spans="9:30" ht="15" customHeight="1">
      <c r="I647" s="69"/>
      <c r="J647" s="69"/>
      <c r="K647" s="69"/>
      <c r="L647" s="69"/>
      <c r="M647" s="69"/>
      <c r="N647" s="69" t="str">
        <f t="shared" si="99"/>
        <v/>
      </c>
      <c r="O647" s="69" t="str">
        <f t="shared" si="100"/>
        <v/>
      </c>
      <c r="P647" s="70" t="str">
        <f t="shared" si="101"/>
        <v/>
      </c>
      <c r="Q647" s="69" t="str">
        <f t="shared" si="102"/>
        <v/>
      </c>
      <c r="S647" s="71"/>
      <c r="Z647" t="str">
        <f t="shared" si="103"/>
        <v/>
      </c>
      <c r="AA647">
        <f t="shared" si="104"/>
        <v>0</v>
      </c>
      <c r="AB647">
        <f t="shared" si="105"/>
        <v>12</v>
      </c>
      <c r="AC647">
        <f t="shared" si="106"/>
        <v>33</v>
      </c>
      <c r="AD647">
        <f t="shared" si="107"/>
        <v>1</v>
      </c>
    </row>
    <row r="648" spans="9:30" ht="15" customHeight="1">
      <c r="I648" s="69"/>
      <c r="J648" s="69"/>
      <c r="K648" s="69"/>
      <c r="L648" s="69"/>
      <c r="M648" s="69"/>
      <c r="N648" s="69" t="str">
        <f t="shared" si="99"/>
        <v/>
      </c>
      <c r="O648" s="69" t="str">
        <f t="shared" si="100"/>
        <v/>
      </c>
      <c r="P648" s="70" t="str">
        <f t="shared" si="101"/>
        <v/>
      </c>
      <c r="Q648" s="69" t="str">
        <f t="shared" si="102"/>
        <v/>
      </c>
      <c r="S648" s="71"/>
      <c r="Z648" t="str">
        <f t="shared" si="103"/>
        <v/>
      </c>
      <c r="AA648">
        <f t="shared" si="104"/>
        <v>0</v>
      </c>
      <c r="AB648">
        <f t="shared" si="105"/>
        <v>12</v>
      </c>
      <c r="AC648">
        <f t="shared" si="106"/>
        <v>33</v>
      </c>
      <c r="AD648">
        <f t="shared" si="107"/>
        <v>1</v>
      </c>
    </row>
    <row r="649" spans="9:30" ht="15" customHeight="1">
      <c r="I649" s="69"/>
      <c r="J649" s="69"/>
      <c r="K649" s="69"/>
      <c r="L649" s="69"/>
      <c r="M649" s="69"/>
      <c r="N649" s="69" t="str">
        <f t="shared" si="99"/>
        <v/>
      </c>
      <c r="O649" s="69" t="str">
        <f t="shared" si="100"/>
        <v/>
      </c>
      <c r="P649" s="70" t="str">
        <f t="shared" si="101"/>
        <v/>
      </c>
      <c r="Q649" s="69" t="str">
        <f t="shared" si="102"/>
        <v/>
      </c>
      <c r="S649" s="71"/>
      <c r="Z649" t="str">
        <f t="shared" si="103"/>
        <v/>
      </c>
      <c r="AA649">
        <f t="shared" si="104"/>
        <v>0</v>
      </c>
      <c r="AB649">
        <f t="shared" si="105"/>
        <v>12</v>
      </c>
      <c r="AC649">
        <f t="shared" si="106"/>
        <v>33</v>
      </c>
      <c r="AD649">
        <f t="shared" si="107"/>
        <v>1</v>
      </c>
    </row>
    <row r="650" spans="9:30" ht="15" customHeight="1">
      <c r="I650" s="69"/>
      <c r="J650" s="69"/>
      <c r="K650" s="69"/>
      <c r="L650" s="69"/>
      <c r="M650" s="69"/>
      <c r="N650" s="69" t="str">
        <f t="shared" si="99"/>
        <v/>
      </c>
      <c r="O650" s="69" t="str">
        <f t="shared" si="100"/>
        <v/>
      </c>
      <c r="P650" s="70" t="str">
        <f t="shared" si="101"/>
        <v/>
      </c>
      <c r="Q650" s="69" t="str">
        <f t="shared" si="102"/>
        <v/>
      </c>
      <c r="S650" s="71"/>
      <c r="Z650" t="str">
        <f t="shared" si="103"/>
        <v/>
      </c>
      <c r="AA650">
        <f t="shared" si="104"/>
        <v>0</v>
      </c>
      <c r="AB650">
        <f t="shared" si="105"/>
        <v>12</v>
      </c>
      <c r="AC650">
        <f t="shared" si="106"/>
        <v>33</v>
      </c>
      <c r="AD650">
        <f t="shared" si="107"/>
        <v>1</v>
      </c>
    </row>
    <row r="651" spans="9:30" ht="15" customHeight="1">
      <c r="I651" s="69"/>
      <c r="J651" s="69"/>
      <c r="K651" s="69"/>
      <c r="L651" s="69"/>
      <c r="M651" s="69"/>
      <c r="N651" s="69" t="str">
        <f t="shared" si="99"/>
        <v/>
      </c>
      <c r="O651" s="69" t="str">
        <f t="shared" si="100"/>
        <v/>
      </c>
      <c r="P651" s="70" t="str">
        <f t="shared" si="101"/>
        <v/>
      </c>
      <c r="Q651" s="69" t="str">
        <f t="shared" si="102"/>
        <v/>
      </c>
      <c r="S651" s="71"/>
      <c r="Z651" t="str">
        <f t="shared" si="103"/>
        <v/>
      </c>
      <c r="AA651">
        <f t="shared" si="104"/>
        <v>0</v>
      </c>
      <c r="AB651">
        <f t="shared" si="105"/>
        <v>12</v>
      </c>
      <c r="AC651">
        <f t="shared" si="106"/>
        <v>33</v>
      </c>
      <c r="AD651">
        <f t="shared" si="107"/>
        <v>1</v>
      </c>
    </row>
    <row r="652" spans="9:30" ht="15" customHeight="1">
      <c r="I652" s="69"/>
      <c r="J652" s="69"/>
      <c r="K652" s="69"/>
      <c r="L652" s="69"/>
      <c r="M652" s="69"/>
      <c r="N652" s="69" t="str">
        <f t="shared" si="99"/>
        <v/>
      </c>
      <c r="O652" s="69" t="str">
        <f t="shared" si="100"/>
        <v/>
      </c>
      <c r="P652" s="70" t="str">
        <f t="shared" si="101"/>
        <v/>
      </c>
      <c r="Q652" s="69" t="str">
        <f t="shared" si="102"/>
        <v/>
      </c>
      <c r="S652" s="71"/>
      <c r="Z652" t="str">
        <f t="shared" si="103"/>
        <v/>
      </c>
      <c r="AA652">
        <f t="shared" si="104"/>
        <v>0</v>
      </c>
      <c r="AB652">
        <f t="shared" si="105"/>
        <v>12</v>
      </c>
      <c r="AC652">
        <f t="shared" si="106"/>
        <v>33</v>
      </c>
      <c r="AD652">
        <f t="shared" si="107"/>
        <v>1</v>
      </c>
    </row>
    <row r="653" spans="9:30" ht="15" customHeight="1">
      <c r="I653" s="69"/>
      <c r="J653" s="69"/>
      <c r="K653" s="69"/>
      <c r="L653" s="69"/>
      <c r="M653" s="69"/>
      <c r="N653" s="69" t="str">
        <f t="shared" si="99"/>
        <v/>
      </c>
      <c r="O653" s="69" t="str">
        <f t="shared" si="100"/>
        <v/>
      </c>
      <c r="P653" s="70" t="str">
        <f t="shared" si="101"/>
        <v/>
      </c>
      <c r="Q653" s="69" t="str">
        <f t="shared" si="102"/>
        <v/>
      </c>
      <c r="S653" s="71"/>
      <c r="Z653" t="str">
        <f t="shared" si="103"/>
        <v/>
      </c>
      <c r="AA653">
        <f t="shared" si="104"/>
        <v>0</v>
      </c>
      <c r="AB653">
        <f t="shared" si="105"/>
        <v>12</v>
      </c>
      <c r="AC653">
        <f t="shared" si="106"/>
        <v>33</v>
      </c>
      <c r="AD653">
        <f t="shared" si="107"/>
        <v>1</v>
      </c>
    </row>
    <row r="654" spans="9:30" ht="15" customHeight="1">
      <c r="I654" s="69"/>
      <c r="J654" s="69"/>
      <c r="K654" s="69"/>
      <c r="L654" s="69"/>
      <c r="M654" s="69"/>
      <c r="N654" s="69" t="str">
        <f t="shared" si="99"/>
        <v/>
      </c>
      <c r="O654" s="69" t="str">
        <f t="shared" si="100"/>
        <v/>
      </c>
      <c r="P654" s="70" t="str">
        <f t="shared" si="101"/>
        <v/>
      </c>
      <c r="Q654" s="69" t="str">
        <f t="shared" si="102"/>
        <v/>
      </c>
      <c r="S654" s="71"/>
      <c r="Z654" t="str">
        <f t="shared" si="103"/>
        <v/>
      </c>
      <c r="AA654">
        <f t="shared" si="104"/>
        <v>0</v>
      </c>
      <c r="AB654">
        <f t="shared" si="105"/>
        <v>12</v>
      </c>
      <c r="AC654">
        <f t="shared" si="106"/>
        <v>33</v>
      </c>
      <c r="AD654">
        <f t="shared" si="107"/>
        <v>1</v>
      </c>
    </row>
    <row r="655" spans="9:30" ht="15" customHeight="1">
      <c r="I655" s="69"/>
      <c r="J655" s="69"/>
      <c r="K655" s="69"/>
      <c r="L655" s="69"/>
      <c r="M655" s="69"/>
      <c r="N655" s="69" t="str">
        <f t="shared" si="99"/>
        <v/>
      </c>
      <c r="O655" s="69" t="str">
        <f t="shared" si="100"/>
        <v/>
      </c>
      <c r="P655" s="70" t="str">
        <f t="shared" si="101"/>
        <v/>
      </c>
      <c r="Q655" s="69" t="str">
        <f t="shared" si="102"/>
        <v/>
      </c>
      <c r="S655" s="71"/>
      <c r="Z655" t="str">
        <f t="shared" si="103"/>
        <v/>
      </c>
      <c r="AA655">
        <f t="shared" si="104"/>
        <v>0</v>
      </c>
      <c r="AB655">
        <f t="shared" si="105"/>
        <v>12</v>
      </c>
      <c r="AC655">
        <f t="shared" si="106"/>
        <v>33</v>
      </c>
      <c r="AD655">
        <f t="shared" si="107"/>
        <v>1</v>
      </c>
    </row>
    <row r="656" spans="9:30" ht="15" customHeight="1">
      <c r="I656" s="69"/>
      <c r="J656" s="69"/>
      <c r="K656" s="69"/>
      <c r="L656" s="69"/>
      <c r="M656" s="69"/>
      <c r="N656" s="69" t="str">
        <f t="shared" si="99"/>
        <v/>
      </c>
      <c r="O656" s="69" t="str">
        <f t="shared" si="100"/>
        <v/>
      </c>
      <c r="P656" s="70" t="str">
        <f t="shared" si="101"/>
        <v/>
      </c>
      <c r="Q656" s="69" t="str">
        <f t="shared" si="102"/>
        <v/>
      </c>
      <c r="S656" s="71"/>
      <c r="Z656" t="str">
        <f t="shared" si="103"/>
        <v/>
      </c>
      <c r="AA656">
        <f t="shared" si="104"/>
        <v>0</v>
      </c>
      <c r="AB656">
        <f t="shared" si="105"/>
        <v>12</v>
      </c>
      <c r="AC656">
        <f t="shared" si="106"/>
        <v>33</v>
      </c>
      <c r="AD656">
        <f t="shared" si="107"/>
        <v>1</v>
      </c>
    </row>
    <row r="657" spans="9:30" ht="15" customHeight="1">
      <c r="I657" s="69"/>
      <c r="J657" s="69"/>
      <c r="K657" s="69"/>
      <c r="L657" s="69"/>
      <c r="M657" s="69"/>
      <c r="N657" s="69" t="str">
        <f t="shared" si="99"/>
        <v/>
      </c>
      <c r="O657" s="69" t="str">
        <f t="shared" si="100"/>
        <v/>
      </c>
      <c r="P657" s="70" t="str">
        <f t="shared" si="101"/>
        <v/>
      </c>
      <c r="Q657" s="69" t="str">
        <f t="shared" si="102"/>
        <v/>
      </c>
      <c r="S657" s="71"/>
      <c r="Z657" t="str">
        <f t="shared" si="103"/>
        <v/>
      </c>
      <c r="AA657">
        <f t="shared" si="104"/>
        <v>0</v>
      </c>
      <c r="AB657">
        <f t="shared" si="105"/>
        <v>12</v>
      </c>
      <c r="AC657">
        <f t="shared" si="106"/>
        <v>33</v>
      </c>
      <c r="AD657">
        <f t="shared" si="107"/>
        <v>1</v>
      </c>
    </row>
    <row r="658" spans="9:30" ht="15" customHeight="1">
      <c r="I658" s="69"/>
      <c r="J658" s="69"/>
      <c r="K658" s="69"/>
      <c r="L658" s="69"/>
      <c r="M658" s="69"/>
      <c r="N658" s="69" t="str">
        <f t="shared" si="99"/>
        <v/>
      </c>
      <c r="O658" s="69" t="str">
        <f t="shared" si="100"/>
        <v/>
      </c>
      <c r="P658" s="70" t="str">
        <f t="shared" si="101"/>
        <v/>
      </c>
      <c r="Q658" s="69" t="str">
        <f t="shared" si="102"/>
        <v/>
      </c>
      <c r="S658" s="71"/>
      <c r="Z658" t="str">
        <f t="shared" si="103"/>
        <v/>
      </c>
      <c r="AA658">
        <f t="shared" si="104"/>
        <v>0</v>
      </c>
      <c r="AB658">
        <f t="shared" si="105"/>
        <v>12</v>
      </c>
      <c r="AC658">
        <f t="shared" si="106"/>
        <v>33</v>
      </c>
      <c r="AD658">
        <f t="shared" si="107"/>
        <v>1</v>
      </c>
    </row>
    <row r="659" spans="9:30" ht="15" customHeight="1">
      <c r="I659" s="69"/>
      <c r="J659" s="69"/>
      <c r="K659" s="69"/>
      <c r="L659" s="69"/>
      <c r="M659" s="69"/>
      <c r="N659" s="69" t="str">
        <f t="shared" si="99"/>
        <v/>
      </c>
      <c r="O659" s="69" t="str">
        <f t="shared" si="100"/>
        <v/>
      </c>
      <c r="P659" s="70" t="str">
        <f t="shared" si="101"/>
        <v/>
      </c>
      <c r="Q659" s="69" t="str">
        <f t="shared" si="102"/>
        <v/>
      </c>
      <c r="S659" s="71"/>
      <c r="Z659" t="str">
        <f t="shared" si="103"/>
        <v/>
      </c>
      <c r="AA659">
        <f t="shared" si="104"/>
        <v>0</v>
      </c>
      <c r="AB659">
        <f t="shared" si="105"/>
        <v>12</v>
      </c>
      <c r="AC659">
        <f t="shared" si="106"/>
        <v>33</v>
      </c>
      <c r="AD659">
        <f t="shared" si="107"/>
        <v>1</v>
      </c>
    </row>
    <row r="660" spans="9:30" ht="15" customHeight="1">
      <c r="I660" s="69"/>
      <c r="J660" s="69"/>
      <c r="K660" s="69"/>
      <c r="L660" s="69"/>
      <c r="M660" s="69"/>
      <c r="N660" s="69" t="str">
        <f t="shared" si="99"/>
        <v/>
      </c>
      <c r="O660" s="69" t="str">
        <f t="shared" si="100"/>
        <v/>
      </c>
      <c r="P660" s="70" t="str">
        <f t="shared" si="101"/>
        <v/>
      </c>
      <c r="Q660" s="69" t="str">
        <f t="shared" si="102"/>
        <v/>
      </c>
      <c r="S660" s="71"/>
      <c r="Z660" t="str">
        <f t="shared" si="103"/>
        <v/>
      </c>
      <c r="AA660">
        <f t="shared" si="104"/>
        <v>0</v>
      </c>
      <c r="AB660">
        <f t="shared" si="105"/>
        <v>12</v>
      </c>
      <c r="AC660">
        <f t="shared" si="106"/>
        <v>33</v>
      </c>
      <c r="AD660">
        <f t="shared" si="107"/>
        <v>1</v>
      </c>
    </row>
    <row r="661" spans="9:30" ht="15" customHeight="1">
      <c r="I661" s="69"/>
      <c r="J661" s="69"/>
      <c r="K661" s="69"/>
      <c r="L661" s="69"/>
      <c r="M661" s="69"/>
      <c r="N661" s="69" t="str">
        <f t="shared" si="99"/>
        <v/>
      </c>
      <c r="O661" s="69" t="str">
        <f t="shared" si="100"/>
        <v/>
      </c>
      <c r="P661" s="70" t="str">
        <f t="shared" si="101"/>
        <v/>
      </c>
      <c r="Q661" s="69" t="str">
        <f t="shared" si="102"/>
        <v/>
      </c>
      <c r="S661" s="71"/>
      <c r="Z661" t="str">
        <f t="shared" si="103"/>
        <v/>
      </c>
      <c r="AA661">
        <f t="shared" si="104"/>
        <v>0</v>
      </c>
      <c r="AB661">
        <f t="shared" si="105"/>
        <v>12</v>
      </c>
      <c r="AC661">
        <f t="shared" si="106"/>
        <v>33</v>
      </c>
      <c r="AD661">
        <f t="shared" si="107"/>
        <v>1</v>
      </c>
    </row>
    <row r="662" spans="9:30" ht="15" customHeight="1">
      <c r="I662" s="69"/>
      <c r="J662" s="69"/>
      <c r="K662" s="69"/>
      <c r="L662" s="69"/>
      <c r="M662" s="69"/>
      <c r="N662" s="69" t="str">
        <f t="shared" si="99"/>
        <v/>
      </c>
      <c r="O662" s="69" t="str">
        <f t="shared" si="100"/>
        <v/>
      </c>
      <c r="P662" s="70" t="str">
        <f t="shared" si="101"/>
        <v/>
      </c>
      <c r="Q662" s="69" t="str">
        <f t="shared" si="102"/>
        <v/>
      </c>
      <c r="S662" s="71"/>
      <c r="Z662" t="str">
        <f t="shared" si="103"/>
        <v/>
      </c>
      <c r="AA662">
        <f t="shared" si="104"/>
        <v>0</v>
      </c>
      <c r="AB662">
        <f t="shared" si="105"/>
        <v>12</v>
      </c>
      <c r="AC662">
        <f t="shared" si="106"/>
        <v>33</v>
      </c>
      <c r="AD662">
        <f t="shared" si="107"/>
        <v>1</v>
      </c>
    </row>
    <row r="663" spans="9:30" ht="15" customHeight="1">
      <c r="I663" s="69"/>
      <c r="J663" s="69"/>
      <c r="K663" s="69"/>
      <c r="L663" s="69"/>
      <c r="M663" s="69"/>
      <c r="N663" s="69" t="str">
        <f t="shared" si="99"/>
        <v/>
      </c>
      <c r="O663" s="69" t="str">
        <f t="shared" si="100"/>
        <v/>
      </c>
      <c r="P663" s="70" t="str">
        <f t="shared" si="101"/>
        <v/>
      </c>
      <c r="Q663" s="69" t="str">
        <f t="shared" si="102"/>
        <v/>
      </c>
      <c r="S663" s="71"/>
      <c r="Z663" t="str">
        <f t="shared" si="103"/>
        <v/>
      </c>
      <c r="AA663">
        <f t="shared" si="104"/>
        <v>0</v>
      </c>
      <c r="AB663">
        <f t="shared" si="105"/>
        <v>12</v>
      </c>
      <c r="AC663">
        <f t="shared" si="106"/>
        <v>33</v>
      </c>
      <c r="AD663">
        <f t="shared" si="107"/>
        <v>1</v>
      </c>
    </row>
    <row r="664" spans="9:30" ht="15" customHeight="1">
      <c r="I664" s="69"/>
      <c r="J664" s="69"/>
      <c r="K664" s="69"/>
      <c r="L664" s="69"/>
      <c r="M664" s="69"/>
      <c r="N664" s="69" t="str">
        <f t="shared" si="99"/>
        <v/>
      </c>
      <c r="O664" s="69" t="str">
        <f t="shared" si="100"/>
        <v/>
      </c>
      <c r="P664" s="70" t="str">
        <f t="shared" si="101"/>
        <v/>
      </c>
      <c r="Q664" s="69" t="str">
        <f t="shared" si="102"/>
        <v/>
      </c>
      <c r="S664" s="71"/>
      <c r="Z664" t="str">
        <f t="shared" si="103"/>
        <v/>
      </c>
      <c r="AA664">
        <f t="shared" si="104"/>
        <v>0</v>
      </c>
      <c r="AB664">
        <f t="shared" si="105"/>
        <v>12</v>
      </c>
      <c r="AC664">
        <f t="shared" si="106"/>
        <v>33</v>
      </c>
      <c r="AD664">
        <f t="shared" si="107"/>
        <v>1</v>
      </c>
    </row>
    <row r="665" spans="9:30" ht="15" customHeight="1">
      <c r="I665" s="69"/>
      <c r="J665" s="69"/>
      <c r="K665" s="69"/>
      <c r="L665" s="69"/>
      <c r="M665" s="69"/>
      <c r="N665" s="69" t="str">
        <f t="shared" si="99"/>
        <v/>
      </c>
      <c r="O665" s="69" t="str">
        <f t="shared" si="100"/>
        <v/>
      </c>
      <c r="P665" s="70" t="str">
        <f t="shared" si="101"/>
        <v/>
      </c>
      <c r="Q665" s="69" t="str">
        <f t="shared" si="102"/>
        <v/>
      </c>
      <c r="S665" s="71"/>
      <c r="Z665" t="str">
        <f t="shared" si="103"/>
        <v/>
      </c>
      <c r="AA665">
        <f t="shared" si="104"/>
        <v>0</v>
      </c>
      <c r="AB665">
        <f t="shared" si="105"/>
        <v>12</v>
      </c>
      <c r="AC665">
        <f t="shared" si="106"/>
        <v>33</v>
      </c>
      <c r="AD665">
        <f t="shared" si="107"/>
        <v>1</v>
      </c>
    </row>
    <row r="666" spans="9:30" ht="15" customHeight="1">
      <c r="I666" s="69"/>
      <c r="J666" s="69"/>
      <c r="K666" s="69"/>
      <c r="L666" s="69"/>
      <c r="M666" s="69"/>
      <c r="N666" s="69" t="str">
        <f t="shared" si="99"/>
        <v/>
      </c>
      <c r="O666" s="69" t="str">
        <f t="shared" si="100"/>
        <v/>
      </c>
      <c r="P666" s="70" t="str">
        <f t="shared" si="101"/>
        <v/>
      </c>
      <c r="Q666" s="69" t="str">
        <f t="shared" si="102"/>
        <v/>
      </c>
      <c r="S666" s="71"/>
      <c r="Z666" t="str">
        <f t="shared" si="103"/>
        <v/>
      </c>
      <c r="AA666">
        <f t="shared" si="104"/>
        <v>0</v>
      </c>
      <c r="AB666">
        <f t="shared" si="105"/>
        <v>12</v>
      </c>
      <c r="AC666">
        <f t="shared" si="106"/>
        <v>33</v>
      </c>
      <c r="AD666">
        <f t="shared" si="107"/>
        <v>1</v>
      </c>
    </row>
    <row r="667" spans="9:30" ht="15" customHeight="1">
      <c r="I667" s="69"/>
      <c r="J667" s="69"/>
      <c r="K667" s="69"/>
      <c r="L667" s="69"/>
      <c r="M667" s="69"/>
      <c r="N667" s="69" t="str">
        <f t="shared" si="99"/>
        <v/>
      </c>
      <c r="O667" s="69" t="str">
        <f t="shared" si="100"/>
        <v/>
      </c>
      <c r="P667" s="70" t="str">
        <f t="shared" si="101"/>
        <v/>
      </c>
      <c r="Q667" s="69" t="str">
        <f t="shared" si="102"/>
        <v/>
      </c>
      <c r="S667" s="71"/>
      <c r="Z667" t="str">
        <f t="shared" si="103"/>
        <v/>
      </c>
      <c r="AA667">
        <f t="shared" si="104"/>
        <v>0</v>
      </c>
      <c r="AB667">
        <f t="shared" si="105"/>
        <v>12</v>
      </c>
      <c r="AC667">
        <f t="shared" si="106"/>
        <v>33</v>
      </c>
      <c r="AD667">
        <f t="shared" si="107"/>
        <v>1</v>
      </c>
    </row>
    <row r="668" spans="9:30" ht="15" customHeight="1">
      <c r="I668" s="69"/>
      <c r="J668" s="69"/>
      <c r="K668" s="69"/>
      <c r="L668" s="69"/>
      <c r="M668" s="69"/>
      <c r="N668" s="69" t="str">
        <f t="shared" si="99"/>
        <v/>
      </c>
      <c r="O668" s="69" t="str">
        <f t="shared" si="100"/>
        <v/>
      </c>
      <c r="P668" s="70" t="str">
        <f t="shared" si="101"/>
        <v/>
      </c>
      <c r="Q668" s="69" t="str">
        <f t="shared" si="102"/>
        <v/>
      </c>
      <c r="S668" s="71"/>
      <c r="Z668" t="str">
        <f t="shared" si="103"/>
        <v/>
      </c>
      <c r="AA668">
        <f t="shared" si="104"/>
        <v>0</v>
      </c>
      <c r="AB668">
        <f t="shared" si="105"/>
        <v>12</v>
      </c>
      <c r="AC668">
        <f t="shared" si="106"/>
        <v>33</v>
      </c>
      <c r="AD668">
        <f t="shared" si="107"/>
        <v>1</v>
      </c>
    </row>
    <row r="669" spans="9:30" ht="15" customHeight="1">
      <c r="I669" s="69"/>
      <c r="J669" s="69"/>
      <c r="K669" s="69"/>
      <c r="L669" s="69"/>
      <c r="M669" s="69"/>
      <c r="N669" s="69" t="str">
        <f t="shared" si="99"/>
        <v/>
      </c>
      <c r="O669" s="69" t="str">
        <f t="shared" si="100"/>
        <v/>
      </c>
      <c r="P669" s="70" t="str">
        <f t="shared" si="101"/>
        <v/>
      </c>
      <c r="Q669" s="69" t="str">
        <f t="shared" si="102"/>
        <v/>
      </c>
      <c r="S669" s="71"/>
      <c r="Z669" t="str">
        <f t="shared" si="103"/>
        <v/>
      </c>
      <c r="AA669">
        <f t="shared" si="104"/>
        <v>0</v>
      </c>
      <c r="AB669">
        <f t="shared" si="105"/>
        <v>12</v>
      </c>
      <c r="AC669">
        <f t="shared" si="106"/>
        <v>33</v>
      </c>
      <c r="AD669">
        <f t="shared" si="107"/>
        <v>1</v>
      </c>
    </row>
    <row r="670" spans="9:30" ht="15" customHeight="1">
      <c r="I670" s="69"/>
      <c r="J670" s="69"/>
      <c r="K670" s="69"/>
      <c r="L670" s="69"/>
      <c r="M670" s="69"/>
      <c r="N670" s="69" t="str">
        <f t="shared" si="99"/>
        <v/>
      </c>
      <c r="O670" s="69" t="str">
        <f t="shared" si="100"/>
        <v/>
      </c>
      <c r="P670" s="70" t="str">
        <f t="shared" si="101"/>
        <v/>
      </c>
      <c r="Q670" s="69" t="str">
        <f t="shared" si="102"/>
        <v/>
      </c>
      <c r="S670" s="71"/>
      <c r="Z670" t="str">
        <f t="shared" si="103"/>
        <v/>
      </c>
      <c r="AA670">
        <f t="shared" si="104"/>
        <v>0</v>
      </c>
      <c r="AB670">
        <f t="shared" si="105"/>
        <v>12</v>
      </c>
      <c r="AC670">
        <f t="shared" si="106"/>
        <v>33</v>
      </c>
      <c r="AD670">
        <f t="shared" si="107"/>
        <v>1</v>
      </c>
    </row>
    <row r="671" spans="9:30" ht="15" customHeight="1">
      <c r="I671" s="69"/>
      <c r="J671" s="69"/>
      <c r="K671" s="69"/>
      <c r="L671" s="69"/>
      <c r="M671" s="69"/>
      <c r="N671" s="69" t="str">
        <f t="shared" si="99"/>
        <v/>
      </c>
      <c r="O671" s="69" t="str">
        <f t="shared" si="100"/>
        <v/>
      </c>
      <c r="P671" s="70" t="str">
        <f t="shared" si="101"/>
        <v/>
      </c>
      <c r="Q671" s="69" t="str">
        <f t="shared" si="102"/>
        <v/>
      </c>
      <c r="S671" s="71"/>
      <c r="Z671" t="str">
        <f t="shared" si="103"/>
        <v/>
      </c>
      <c r="AA671">
        <f t="shared" si="104"/>
        <v>0</v>
      </c>
      <c r="AB671">
        <f t="shared" si="105"/>
        <v>12</v>
      </c>
      <c r="AC671">
        <f t="shared" si="106"/>
        <v>33</v>
      </c>
      <c r="AD671">
        <f t="shared" si="107"/>
        <v>1</v>
      </c>
    </row>
    <row r="672" spans="9:30" ht="15" customHeight="1">
      <c r="I672" s="69"/>
      <c r="J672" s="69"/>
      <c r="K672" s="69"/>
      <c r="L672" s="69"/>
      <c r="M672" s="69"/>
      <c r="N672" s="69" t="str">
        <f t="shared" si="99"/>
        <v/>
      </c>
      <c r="O672" s="69" t="str">
        <f t="shared" si="100"/>
        <v/>
      </c>
      <c r="P672" s="70" t="str">
        <f t="shared" si="101"/>
        <v/>
      </c>
      <c r="Q672" s="69" t="str">
        <f t="shared" si="102"/>
        <v/>
      </c>
      <c r="S672" s="71"/>
      <c r="Z672" t="str">
        <f t="shared" si="103"/>
        <v/>
      </c>
      <c r="AA672">
        <f t="shared" si="104"/>
        <v>0</v>
      </c>
      <c r="AB672">
        <f t="shared" si="105"/>
        <v>12</v>
      </c>
      <c r="AC672">
        <f t="shared" si="106"/>
        <v>33</v>
      </c>
      <c r="AD672">
        <f t="shared" si="107"/>
        <v>1</v>
      </c>
    </row>
    <row r="673" spans="9:30" ht="15" customHeight="1">
      <c r="I673" s="69"/>
      <c r="J673" s="69"/>
      <c r="K673" s="69"/>
      <c r="L673" s="69"/>
      <c r="M673" s="69"/>
      <c r="N673" s="69" t="str">
        <f t="shared" si="99"/>
        <v/>
      </c>
      <c r="O673" s="69" t="str">
        <f t="shared" si="100"/>
        <v/>
      </c>
      <c r="P673" s="70" t="str">
        <f t="shared" si="101"/>
        <v/>
      </c>
      <c r="Q673" s="69" t="str">
        <f t="shared" si="102"/>
        <v/>
      </c>
      <c r="S673" s="71"/>
      <c r="Z673" t="str">
        <f t="shared" si="103"/>
        <v/>
      </c>
      <c r="AA673">
        <f t="shared" si="104"/>
        <v>0</v>
      </c>
      <c r="AB673">
        <f t="shared" si="105"/>
        <v>12</v>
      </c>
      <c r="AC673">
        <f t="shared" si="106"/>
        <v>33</v>
      </c>
      <c r="AD673">
        <f t="shared" si="107"/>
        <v>1</v>
      </c>
    </row>
    <row r="674" spans="9:30" ht="15" customHeight="1">
      <c r="I674" s="69"/>
      <c r="J674" s="69"/>
      <c r="K674" s="69"/>
      <c r="L674" s="69"/>
      <c r="M674" s="69"/>
      <c r="N674" s="69" t="str">
        <f t="shared" si="99"/>
        <v/>
      </c>
      <c r="O674" s="69" t="str">
        <f t="shared" si="100"/>
        <v/>
      </c>
      <c r="P674" s="70" t="str">
        <f t="shared" si="101"/>
        <v/>
      </c>
      <c r="Q674" s="69" t="str">
        <f t="shared" si="102"/>
        <v/>
      </c>
      <c r="S674" s="71"/>
      <c r="Z674" t="str">
        <f t="shared" si="103"/>
        <v/>
      </c>
      <c r="AA674">
        <f t="shared" si="104"/>
        <v>0</v>
      </c>
      <c r="AB674">
        <f t="shared" si="105"/>
        <v>12</v>
      </c>
      <c r="AC674">
        <f t="shared" si="106"/>
        <v>33</v>
      </c>
      <c r="AD674">
        <f t="shared" si="107"/>
        <v>1</v>
      </c>
    </row>
    <row r="675" spans="9:30" ht="15" customHeight="1">
      <c r="I675" s="69"/>
      <c r="J675" s="69"/>
      <c r="K675" s="69"/>
      <c r="L675" s="69"/>
      <c r="M675" s="69"/>
      <c r="N675" s="69" t="str">
        <f t="shared" si="99"/>
        <v/>
      </c>
      <c r="O675" s="69" t="str">
        <f t="shared" si="100"/>
        <v/>
      </c>
      <c r="P675" s="70" t="str">
        <f t="shared" si="101"/>
        <v/>
      </c>
      <c r="Q675" s="69" t="str">
        <f t="shared" si="102"/>
        <v/>
      </c>
      <c r="S675" s="71"/>
      <c r="Z675" t="str">
        <f t="shared" si="103"/>
        <v/>
      </c>
      <c r="AA675">
        <f t="shared" si="104"/>
        <v>0</v>
      </c>
      <c r="AB675">
        <f t="shared" si="105"/>
        <v>12</v>
      </c>
      <c r="AC675">
        <f t="shared" si="106"/>
        <v>33</v>
      </c>
      <c r="AD675">
        <f t="shared" si="107"/>
        <v>1</v>
      </c>
    </row>
    <row r="676" spans="9:30" ht="15" customHeight="1">
      <c r="I676" s="69"/>
      <c r="J676" s="69"/>
      <c r="K676" s="69"/>
      <c r="L676" s="69"/>
      <c r="M676" s="69"/>
      <c r="N676" s="69" t="str">
        <f t="shared" si="99"/>
        <v/>
      </c>
      <c r="O676" s="69" t="str">
        <f t="shared" si="100"/>
        <v/>
      </c>
      <c r="P676" s="70" t="str">
        <f t="shared" si="101"/>
        <v/>
      </c>
      <c r="Q676" s="69" t="str">
        <f t="shared" si="102"/>
        <v/>
      </c>
      <c r="S676" s="71"/>
      <c r="Z676" t="str">
        <f t="shared" si="103"/>
        <v/>
      </c>
      <c r="AA676">
        <f t="shared" si="104"/>
        <v>0</v>
      </c>
      <c r="AB676">
        <f t="shared" si="105"/>
        <v>12</v>
      </c>
      <c r="AC676">
        <f t="shared" si="106"/>
        <v>33</v>
      </c>
      <c r="AD676">
        <f t="shared" si="107"/>
        <v>1</v>
      </c>
    </row>
    <row r="677" spans="9:30" ht="15" customHeight="1">
      <c r="I677" s="69"/>
      <c r="J677" s="69"/>
      <c r="K677" s="69"/>
      <c r="L677" s="69"/>
      <c r="M677" s="69"/>
      <c r="N677" s="69" t="str">
        <f t="shared" si="99"/>
        <v/>
      </c>
      <c r="O677" s="69" t="str">
        <f t="shared" si="100"/>
        <v/>
      </c>
      <c r="P677" s="70" t="str">
        <f t="shared" si="101"/>
        <v/>
      </c>
      <c r="Q677" s="69" t="str">
        <f t="shared" si="102"/>
        <v/>
      </c>
      <c r="S677" s="71"/>
      <c r="Z677" t="str">
        <f t="shared" si="103"/>
        <v/>
      </c>
      <c r="AA677">
        <f t="shared" si="104"/>
        <v>0</v>
      </c>
      <c r="AB677">
        <f t="shared" si="105"/>
        <v>12</v>
      </c>
      <c r="AC677">
        <f t="shared" si="106"/>
        <v>33</v>
      </c>
      <c r="AD677">
        <f t="shared" si="107"/>
        <v>1</v>
      </c>
    </row>
    <row r="678" spans="9:30" ht="15" customHeight="1">
      <c r="I678" s="69"/>
      <c r="J678" s="69"/>
      <c r="K678" s="69"/>
      <c r="L678" s="69"/>
      <c r="M678" s="69"/>
      <c r="N678" s="69" t="str">
        <f t="shared" si="99"/>
        <v/>
      </c>
      <c r="O678" s="69" t="str">
        <f t="shared" si="100"/>
        <v/>
      </c>
      <c r="P678" s="70" t="str">
        <f t="shared" si="101"/>
        <v/>
      </c>
      <c r="Q678" s="69" t="str">
        <f t="shared" si="102"/>
        <v/>
      </c>
      <c r="S678" s="71"/>
      <c r="Z678" t="str">
        <f t="shared" si="103"/>
        <v/>
      </c>
      <c r="AA678">
        <f t="shared" si="104"/>
        <v>0</v>
      </c>
      <c r="AB678">
        <f t="shared" si="105"/>
        <v>12</v>
      </c>
      <c r="AC678">
        <f t="shared" si="106"/>
        <v>33</v>
      </c>
      <c r="AD678">
        <f t="shared" si="107"/>
        <v>1</v>
      </c>
    </row>
    <row r="679" spans="9:30" ht="15" customHeight="1">
      <c r="I679" s="69"/>
      <c r="J679" s="69"/>
      <c r="K679" s="69"/>
      <c r="L679" s="69"/>
      <c r="M679" s="69"/>
      <c r="N679" s="69" t="str">
        <f t="shared" si="99"/>
        <v/>
      </c>
      <c r="O679" s="69" t="str">
        <f t="shared" si="100"/>
        <v/>
      </c>
      <c r="P679" s="70" t="str">
        <f t="shared" si="101"/>
        <v/>
      </c>
      <c r="Q679" s="69" t="str">
        <f t="shared" si="102"/>
        <v/>
      </c>
      <c r="S679" s="71"/>
      <c r="Z679" t="str">
        <f t="shared" si="103"/>
        <v/>
      </c>
      <c r="AA679">
        <f t="shared" si="104"/>
        <v>0</v>
      </c>
      <c r="AB679">
        <f t="shared" si="105"/>
        <v>12</v>
      </c>
      <c r="AC679">
        <f t="shared" si="106"/>
        <v>33</v>
      </c>
      <c r="AD679">
        <f t="shared" si="107"/>
        <v>1</v>
      </c>
    </row>
    <row r="680" spans="9:30" ht="15" customHeight="1">
      <c r="I680" s="69"/>
      <c r="J680" s="69"/>
      <c r="K680" s="69"/>
      <c r="L680" s="69"/>
      <c r="M680" s="69"/>
      <c r="N680" s="69" t="str">
        <f t="shared" si="99"/>
        <v/>
      </c>
      <c r="O680" s="69" t="str">
        <f t="shared" si="100"/>
        <v/>
      </c>
      <c r="P680" s="70" t="str">
        <f t="shared" si="101"/>
        <v/>
      </c>
      <c r="Q680" s="69" t="str">
        <f t="shared" si="102"/>
        <v/>
      </c>
      <c r="S680" s="71"/>
      <c r="Z680" t="str">
        <f t="shared" si="103"/>
        <v/>
      </c>
      <c r="AA680">
        <f t="shared" si="104"/>
        <v>0</v>
      </c>
      <c r="AB680">
        <f t="shared" si="105"/>
        <v>12</v>
      </c>
      <c r="AC680">
        <f t="shared" si="106"/>
        <v>33</v>
      </c>
      <c r="AD680">
        <f t="shared" si="107"/>
        <v>1</v>
      </c>
    </row>
    <row r="681" spans="9:30" ht="15" customHeight="1">
      <c r="I681" s="69"/>
      <c r="J681" s="69"/>
      <c r="K681" s="69"/>
      <c r="L681" s="69"/>
      <c r="M681" s="69"/>
      <c r="N681" s="69" t="str">
        <f t="shared" si="99"/>
        <v/>
      </c>
      <c r="O681" s="69" t="str">
        <f t="shared" si="100"/>
        <v/>
      </c>
      <c r="P681" s="70" t="str">
        <f t="shared" si="101"/>
        <v/>
      </c>
      <c r="Q681" s="69" t="str">
        <f t="shared" si="102"/>
        <v/>
      </c>
      <c r="S681" s="71"/>
      <c r="Z681" t="str">
        <f t="shared" si="103"/>
        <v/>
      </c>
      <c r="AA681">
        <f t="shared" si="104"/>
        <v>0</v>
      </c>
      <c r="AB681">
        <f t="shared" si="105"/>
        <v>12</v>
      </c>
      <c r="AC681">
        <f t="shared" si="106"/>
        <v>33</v>
      </c>
      <c r="AD681">
        <f t="shared" si="107"/>
        <v>1</v>
      </c>
    </row>
    <row r="682" spans="9:30" ht="15" customHeight="1">
      <c r="I682" s="69"/>
      <c r="J682" s="69"/>
      <c r="K682" s="69"/>
      <c r="L682" s="69"/>
      <c r="M682" s="69"/>
      <c r="N682" s="69" t="str">
        <f t="shared" si="99"/>
        <v/>
      </c>
      <c r="O682" s="69" t="str">
        <f t="shared" si="100"/>
        <v/>
      </c>
      <c r="P682" s="70" t="str">
        <f t="shared" si="101"/>
        <v/>
      </c>
      <c r="Q682" s="69" t="str">
        <f t="shared" si="102"/>
        <v/>
      </c>
      <c r="S682" s="71"/>
      <c r="Z682" t="str">
        <f t="shared" si="103"/>
        <v/>
      </c>
      <c r="AA682">
        <f t="shared" si="104"/>
        <v>0</v>
      </c>
      <c r="AB682">
        <f t="shared" si="105"/>
        <v>12</v>
      </c>
      <c r="AC682">
        <f t="shared" si="106"/>
        <v>33</v>
      </c>
      <c r="AD682">
        <f t="shared" si="107"/>
        <v>1</v>
      </c>
    </row>
    <row r="683" spans="9:30" ht="15" customHeight="1">
      <c r="I683" s="69"/>
      <c r="J683" s="69"/>
      <c r="K683" s="69"/>
      <c r="L683" s="69"/>
      <c r="M683" s="69"/>
      <c r="N683" s="69" t="str">
        <f t="shared" si="99"/>
        <v/>
      </c>
      <c r="O683" s="69" t="str">
        <f t="shared" si="100"/>
        <v/>
      </c>
      <c r="P683" s="70" t="str">
        <f t="shared" si="101"/>
        <v/>
      </c>
      <c r="Q683" s="69" t="str">
        <f t="shared" si="102"/>
        <v/>
      </c>
      <c r="S683" s="71"/>
      <c r="Z683" t="str">
        <f t="shared" si="103"/>
        <v/>
      </c>
      <c r="AA683">
        <f t="shared" si="104"/>
        <v>0</v>
      </c>
      <c r="AB683">
        <f t="shared" si="105"/>
        <v>12</v>
      </c>
      <c r="AC683">
        <f t="shared" si="106"/>
        <v>33</v>
      </c>
      <c r="AD683">
        <f t="shared" si="107"/>
        <v>1</v>
      </c>
    </row>
    <row r="684" spans="9:30" ht="15" customHeight="1">
      <c r="I684" s="69"/>
      <c r="J684" s="69"/>
      <c r="K684" s="69"/>
      <c r="L684" s="69"/>
      <c r="M684" s="69"/>
      <c r="N684" s="69" t="str">
        <f t="shared" si="99"/>
        <v/>
      </c>
      <c r="O684" s="69" t="str">
        <f t="shared" si="100"/>
        <v/>
      </c>
      <c r="P684" s="70" t="str">
        <f t="shared" si="101"/>
        <v/>
      </c>
      <c r="Q684" s="69" t="str">
        <f t="shared" si="102"/>
        <v/>
      </c>
      <c r="S684" s="71"/>
      <c r="Z684" t="str">
        <f t="shared" si="103"/>
        <v/>
      </c>
      <c r="AA684">
        <f t="shared" si="104"/>
        <v>0</v>
      </c>
      <c r="AB684">
        <f t="shared" si="105"/>
        <v>12</v>
      </c>
      <c r="AC684">
        <f t="shared" si="106"/>
        <v>33</v>
      </c>
      <c r="AD684">
        <f t="shared" si="107"/>
        <v>1</v>
      </c>
    </row>
    <row r="685" spans="9:30" ht="15" customHeight="1">
      <c r="I685" s="69"/>
      <c r="J685" s="69"/>
      <c r="K685" s="69"/>
      <c r="L685" s="69"/>
      <c r="M685" s="69"/>
      <c r="N685" s="69" t="str">
        <f t="shared" si="99"/>
        <v/>
      </c>
      <c r="O685" s="69" t="str">
        <f t="shared" si="100"/>
        <v/>
      </c>
      <c r="P685" s="70" t="str">
        <f t="shared" si="101"/>
        <v/>
      </c>
      <c r="Q685" s="69" t="str">
        <f t="shared" si="102"/>
        <v/>
      </c>
      <c r="S685" s="71"/>
      <c r="Z685" t="str">
        <f t="shared" si="103"/>
        <v/>
      </c>
      <c r="AA685">
        <f t="shared" si="104"/>
        <v>0</v>
      </c>
      <c r="AB685">
        <f t="shared" si="105"/>
        <v>12</v>
      </c>
      <c r="AC685">
        <f t="shared" si="106"/>
        <v>33</v>
      </c>
      <c r="AD685">
        <f t="shared" si="107"/>
        <v>1</v>
      </c>
    </row>
    <row r="686" spans="9:30" ht="15" customHeight="1">
      <c r="I686" s="69"/>
      <c r="J686" s="69"/>
      <c r="K686" s="69"/>
      <c r="L686" s="69"/>
      <c r="M686" s="69"/>
      <c r="N686" s="69" t="str">
        <f t="shared" si="99"/>
        <v/>
      </c>
      <c r="O686" s="69" t="str">
        <f t="shared" si="100"/>
        <v/>
      </c>
      <c r="P686" s="70" t="str">
        <f t="shared" si="101"/>
        <v/>
      </c>
      <c r="Q686" s="69" t="str">
        <f t="shared" si="102"/>
        <v/>
      </c>
      <c r="S686" s="71"/>
      <c r="Z686" t="str">
        <f t="shared" si="103"/>
        <v/>
      </c>
      <c r="AA686">
        <f t="shared" si="104"/>
        <v>0</v>
      </c>
      <c r="AB686">
        <f t="shared" si="105"/>
        <v>12</v>
      </c>
      <c r="AC686">
        <f t="shared" si="106"/>
        <v>33</v>
      </c>
      <c r="AD686">
        <f t="shared" si="107"/>
        <v>1</v>
      </c>
    </row>
    <row r="687" spans="9:30" ht="15" customHeight="1">
      <c r="I687" s="69"/>
      <c r="J687" s="69"/>
      <c r="K687" s="69"/>
      <c r="L687" s="69"/>
      <c r="M687" s="69"/>
      <c r="N687" s="69" t="str">
        <f t="shared" si="99"/>
        <v/>
      </c>
      <c r="O687" s="69" t="str">
        <f t="shared" si="100"/>
        <v/>
      </c>
      <c r="P687" s="70" t="str">
        <f t="shared" si="101"/>
        <v/>
      </c>
      <c r="Q687" s="69" t="str">
        <f t="shared" si="102"/>
        <v/>
      </c>
      <c r="S687" s="71"/>
      <c r="Z687" t="str">
        <f t="shared" si="103"/>
        <v/>
      </c>
      <c r="AA687">
        <f t="shared" si="104"/>
        <v>0</v>
      </c>
      <c r="AB687">
        <f t="shared" si="105"/>
        <v>12</v>
      </c>
      <c r="AC687">
        <f t="shared" si="106"/>
        <v>33</v>
      </c>
      <c r="AD687">
        <f t="shared" si="107"/>
        <v>1</v>
      </c>
    </row>
    <row r="688" spans="9:30" ht="15" customHeight="1">
      <c r="I688" s="69"/>
      <c r="J688" s="69"/>
      <c r="K688" s="69"/>
      <c r="L688" s="69"/>
      <c r="M688" s="69"/>
      <c r="N688" s="69" t="str">
        <f t="shared" si="99"/>
        <v/>
      </c>
      <c r="O688" s="69" t="str">
        <f t="shared" si="100"/>
        <v/>
      </c>
      <c r="P688" s="70" t="str">
        <f t="shared" si="101"/>
        <v/>
      </c>
      <c r="Q688" s="69" t="str">
        <f t="shared" si="102"/>
        <v/>
      </c>
      <c r="S688" s="71"/>
      <c r="Z688" t="str">
        <f t="shared" si="103"/>
        <v/>
      </c>
      <c r="AA688">
        <f t="shared" si="104"/>
        <v>0</v>
      </c>
      <c r="AB688">
        <f t="shared" si="105"/>
        <v>12</v>
      </c>
      <c r="AC688">
        <f t="shared" si="106"/>
        <v>33</v>
      </c>
      <c r="AD688">
        <f t="shared" si="107"/>
        <v>1</v>
      </c>
    </row>
    <row r="689" spans="9:30" ht="15" customHeight="1">
      <c r="I689" s="69"/>
      <c r="J689" s="69"/>
      <c r="K689" s="69"/>
      <c r="L689" s="69"/>
      <c r="M689" s="69"/>
      <c r="N689" s="69" t="str">
        <f t="shared" si="99"/>
        <v/>
      </c>
      <c r="O689" s="69" t="str">
        <f t="shared" si="100"/>
        <v/>
      </c>
      <c r="P689" s="70" t="str">
        <f t="shared" si="101"/>
        <v/>
      </c>
      <c r="Q689" s="69" t="str">
        <f t="shared" si="102"/>
        <v/>
      </c>
      <c r="S689" s="71"/>
      <c r="Z689" t="str">
        <f t="shared" si="103"/>
        <v/>
      </c>
      <c r="AA689">
        <f t="shared" si="104"/>
        <v>0</v>
      </c>
      <c r="AB689">
        <f t="shared" si="105"/>
        <v>12</v>
      </c>
      <c r="AC689">
        <f t="shared" si="106"/>
        <v>33</v>
      </c>
      <c r="AD689">
        <f t="shared" si="107"/>
        <v>1</v>
      </c>
    </row>
    <row r="690" spans="9:30" ht="15" customHeight="1">
      <c r="I690" s="69"/>
      <c r="J690" s="69"/>
      <c r="K690" s="69"/>
      <c r="L690" s="69"/>
      <c r="M690" s="69"/>
      <c r="N690" s="69" t="str">
        <f t="shared" si="99"/>
        <v/>
      </c>
      <c r="O690" s="69" t="str">
        <f t="shared" si="100"/>
        <v/>
      </c>
      <c r="P690" s="70" t="str">
        <f t="shared" si="101"/>
        <v/>
      </c>
      <c r="Q690" s="69" t="str">
        <f t="shared" si="102"/>
        <v/>
      </c>
      <c r="S690" s="71"/>
      <c r="Z690" t="str">
        <f t="shared" si="103"/>
        <v/>
      </c>
      <c r="AA690">
        <f t="shared" si="104"/>
        <v>0</v>
      </c>
      <c r="AB690">
        <f t="shared" si="105"/>
        <v>12</v>
      </c>
      <c r="AC690">
        <f t="shared" si="106"/>
        <v>33</v>
      </c>
      <c r="AD690">
        <f t="shared" si="107"/>
        <v>1</v>
      </c>
    </row>
    <row r="691" spans="9:30" ht="15" customHeight="1">
      <c r="I691" s="69"/>
      <c r="J691" s="69"/>
      <c r="K691" s="69"/>
      <c r="L691" s="69"/>
      <c r="M691" s="69"/>
      <c r="N691" s="69" t="str">
        <f t="shared" si="99"/>
        <v/>
      </c>
      <c r="O691" s="69" t="str">
        <f t="shared" si="100"/>
        <v/>
      </c>
      <c r="P691" s="70" t="str">
        <f t="shared" si="101"/>
        <v/>
      </c>
      <c r="Q691" s="69" t="str">
        <f t="shared" si="102"/>
        <v/>
      </c>
      <c r="S691" s="71"/>
      <c r="Z691" t="str">
        <f t="shared" si="103"/>
        <v/>
      </c>
      <c r="AA691">
        <f t="shared" si="104"/>
        <v>0</v>
      </c>
      <c r="AB691">
        <f t="shared" si="105"/>
        <v>12</v>
      </c>
      <c r="AC691">
        <f t="shared" si="106"/>
        <v>33</v>
      </c>
      <c r="AD691">
        <f t="shared" si="107"/>
        <v>1</v>
      </c>
    </row>
    <row r="692" spans="9:30" ht="15" customHeight="1">
      <c r="I692" s="69"/>
      <c r="J692" s="69"/>
      <c r="K692" s="69"/>
      <c r="L692" s="69"/>
      <c r="M692" s="69"/>
      <c r="N692" s="69" t="str">
        <f t="shared" si="99"/>
        <v/>
      </c>
      <c r="O692" s="69" t="str">
        <f t="shared" si="100"/>
        <v/>
      </c>
      <c r="P692" s="70" t="str">
        <f t="shared" si="101"/>
        <v/>
      </c>
      <c r="Q692" s="69" t="str">
        <f t="shared" si="102"/>
        <v/>
      </c>
      <c r="S692" s="71"/>
      <c r="Z692" t="str">
        <f t="shared" si="103"/>
        <v/>
      </c>
      <c r="AA692">
        <f t="shared" si="104"/>
        <v>0</v>
      </c>
      <c r="AB692">
        <f t="shared" si="105"/>
        <v>12</v>
      </c>
      <c r="AC692">
        <f t="shared" si="106"/>
        <v>33</v>
      </c>
      <c r="AD692">
        <f t="shared" si="107"/>
        <v>1</v>
      </c>
    </row>
    <row r="693" spans="9:30" ht="15" customHeight="1">
      <c r="I693" s="69"/>
      <c r="J693" s="69"/>
      <c r="K693" s="69"/>
      <c r="L693" s="69"/>
      <c r="M693" s="69"/>
      <c r="N693" s="69" t="str">
        <f t="shared" ref="N693:N756" si="108">IF(ISNUMBER(I693),ROUND(I693-I693/1.081,2),"")</f>
        <v/>
      </c>
      <c r="O693" s="69" t="str">
        <f t="shared" si="100"/>
        <v/>
      </c>
      <c r="P693" s="70" t="str">
        <f t="shared" si="101"/>
        <v/>
      </c>
      <c r="Q693" s="69" t="str">
        <f t="shared" si="102"/>
        <v/>
      </c>
      <c r="S693" s="71"/>
      <c r="Z693" t="str">
        <f t="shared" si="103"/>
        <v/>
      </c>
      <c r="AA693">
        <f t="shared" si="104"/>
        <v>0</v>
      </c>
      <c r="AB693">
        <f t="shared" si="105"/>
        <v>12</v>
      </c>
      <c r="AC693">
        <f t="shared" si="106"/>
        <v>33</v>
      </c>
      <c r="AD693">
        <f t="shared" si="107"/>
        <v>1</v>
      </c>
    </row>
    <row r="694" spans="9:30" ht="15" customHeight="1">
      <c r="I694" s="69"/>
      <c r="J694" s="69"/>
      <c r="K694" s="69"/>
      <c r="L694" s="69"/>
      <c r="M694" s="69"/>
      <c r="N694" s="69" t="str">
        <f t="shared" si="108"/>
        <v/>
      </c>
      <c r="O694" s="69" t="str">
        <f t="shared" si="100"/>
        <v/>
      </c>
      <c r="P694" s="70" t="str">
        <f t="shared" si="101"/>
        <v/>
      </c>
      <c r="Q694" s="69" t="str">
        <f t="shared" si="102"/>
        <v/>
      </c>
      <c r="S694" s="71"/>
      <c r="Z694" t="str">
        <f t="shared" si="103"/>
        <v/>
      </c>
      <c r="AA694">
        <f t="shared" si="104"/>
        <v>0</v>
      </c>
      <c r="AB694">
        <f t="shared" si="105"/>
        <v>12</v>
      </c>
      <c r="AC694">
        <f t="shared" si="106"/>
        <v>33</v>
      </c>
      <c r="AD694">
        <f t="shared" si="107"/>
        <v>1</v>
      </c>
    </row>
    <row r="695" spans="9:30" ht="15" customHeight="1">
      <c r="I695" s="69"/>
      <c r="J695" s="69"/>
      <c r="K695" s="69"/>
      <c r="L695" s="69"/>
      <c r="M695" s="69"/>
      <c r="N695" s="69" t="str">
        <f t="shared" si="108"/>
        <v/>
      </c>
      <c r="O695" s="69" t="str">
        <f t="shared" si="100"/>
        <v/>
      </c>
      <c r="P695" s="70" t="str">
        <f t="shared" si="101"/>
        <v/>
      </c>
      <c r="Q695" s="69" t="str">
        <f t="shared" si="102"/>
        <v/>
      </c>
      <c r="S695" s="71"/>
      <c r="Z695" t="str">
        <f t="shared" si="103"/>
        <v/>
      </c>
      <c r="AA695">
        <f t="shared" si="104"/>
        <v>0</v>
      </c>
      <c r="AB695">
        <f t="shared" si="105"/>
        <v>12</v>
      </c>
      <c r="AC695">
        <f t="shared" si="106"/>
        <v>33</v>
      </c>
      <c r="AD695">
        <f t="shared" si="107"/>
        <v>1</v>
      </c>
    </row>
    <row r="696" spans="9:30" ht="15" customHeight="1">
      <c r="I696" s="69"/>
      <c r="J696" s="69"/>
      <c r="K696" s="69"/>
      <c r="L696" s="69"/>
      <c r="M696" s="69"/>
      <c r="N696" s="69" t="str">
        <f t="shared" si="108"/>
        <v/>
      </c>
      <c r="O696" s="69" t="str">
        <f t="shared" si="100"/>
        <v/>
      </c>
      <c r="P696" s="70" t="str">
        <f t="shared" si="101"/>
        <v/>
      </c>
      <c r="Q696" s="69" t="str">
        <f t="shared" si="102"/>
        <v/>
      </c>
      <c r="S696" s="71"/>
      <c r="Z696" t="str">
        <f t="shared" si="103"/>
        <v/>
      </c>
      <c r="AA696">
        <f t="shared" si="104"/>
        <v>0</v>
      </c>
      <c r="AB696">
        <f t="shared" si="105"/>
        <v>12</v>
      </c>
      <c r="AC696">
        <f t="shared" si="106"/>
        <v>33</v>
      </c>
      <c r="AD696">
        <f t="shared" si="107"/>
        <v>1</v>
      </c>
    </row>
    <row r="697" spans="9:30" ht="15" customHeight="1">
      <c r="I697" s="69"/>
      <c r="J697" s="69"/>
      <c r="K697" s="69"/>
      <c r="L697" s="69"/>
      <c r="M697" s="69"/>
      <c r="N697" s="69" t="str">
        <f t="shared" si="108"/>
        <v/>
      </c>
      <c r="O697" s="69" t="str">
        <f t="shared" si="100"/>
        <v/>
      </c>
      <c r="P697" s="70" t="str">
        <f t="shared" si="101"/>
        <v/>
      </c>
      <c r="Q697" s="69" t="str">
        <f t="shared" si="102"/>
        <v/>
      </c>
      <c r="S697" s="71"/>
      <c r="Z697" t="str">
        <f t="shared" si="103"/>
        <v/>
      </c>
      <c r="AA697">
        <f t="shared" si="104"/>
        <v>0</v>
      </c>
      <c r="AB697">
        <f t="shared" si="105"/>
        <v>12</v>
      </c>
      <c r="AC697">
        <f t="shared" si="106"/>
        <v>33</v>
      </c>
      <c r="AD697">
        <f t="shared" si="107"/>
        <v>1</v>
      </c>
    </row>
    <row r="698" spans="9:30" ht="15" customHeight="1">
      <c r="I698" s="69"/>
      <c r="J698" s="69"/>
      <c r="K698" s="69"/>
      <c r="L698" s="69"/>
      <c r="M698" s="69"/>
      <c r="N698" s="69" t="str">
        <f t="shared" si="108"/>
        <v/>
      </c>
      <c r="O698" s="69" t="str">
        <f t="shared" si="100"/>
        <v/>
      </c>
      <c r="P698" s="70" t="str">
        <f t="shared" si="101"/>
        <v/>
      </c>
      <c r="Q698" s="69" t="str">
        <f t="shared" si="102"/>
        <v/>
      </c>
      <c r="S698" s="71"/>
      <c r="Z698" t="str">
        <f t="shared" si="103"/>
        <v/>
      </c>
      <c r="AA698">
        <f t="shared" si="104"/>
        <v>0</v>
      </c>
      <c r="AB698">
        <f t="shared" si="105"/>
        <v>12</v>
      </c>
      <c r="AC698">
        <f t="shared" si="106"/>
        <v>33</v>
      </c>
      <c r="AD698">
        <f t="shared" si="107"/>
        <v>1</v>
      </c>
    </row>
    <row r="699" spans="9:30" ht="15" customHeight="1">
      <c r="I699" s="69"/>
      <c r="J699" s="69"/>
      <c r="K699" s="69"/>
      <c r="L699" s="69"/>
      <c r="M699" s="69"/>
      <c r="N699" s="69" t="str">
        <f t="shared" si="108"/>
        <v/>
      </c>
      <c r="O699" s="69" t="str">
        <f t="shared" si="100"/>
        <v/>
      </c>
      <c r="P699" s="70" t="str">
        <f t="shared" si="101"/>
        <v/>
      </c>
      <c r="Q699" s="69" t="str">
        <f t="shared" si="102"/>
        <v/>
      </c>
      <c r="S699" s="71"/>
      <c r="Z699" t="str">
        <f t="shared" si="103"/>
        <v/>
      </c>
      <c r="AA699">
        <f t="shared" si="104"/>
        <v>0</v>
      </c>
      <c r="AB699">
        <f t="shared" si="105"/>
        <v>12</v>
      </c>
      <c r="AC699">
        <f t="shared" si="106"/>
        <v>33</v>
      </c>
      <c r="AD699">
        <f t="shared" si="107"/>
        <v>1</v>
      </c>
    </row>
    <row r="700" spans="9:30" ht="15" customHeight="1">
      <c r="I700" s="69"/>
      <c r="J700" s="69"/>
      <c r="K700" s="69"/>
      <c r="L700" s="69"/>
      <c r="M700" s="69"/>
      <c r="N700" s="69" t="str">
        <f t="shared" si="108"/>
        <v/>
      </c>
      <c r="O700" s="69" t="str">
        <f t="shared" si="100"/>
        <v/>
      </c>
      <c r="P700" s="70" t="str">
        <f t="shared" si="101"/>
        <v/>
      </c>
      <c r="Q700" s="69" t="str">
        <f t="shared" si="102"/>
        <v/>
      </c>
      <c r="S700" s="71"/>
      <c r="Z700" t="str">
        <f t="shared" si="103"/>
        <v/>
      </c>
      <c r="AA700">
        <f t="shared" si="104"/>
        <v>0</v>
      </c>
      <c r="AB700">
        <f t="shared" si="105"/>
        <v>12</v>
      </c>
      <c r="AC700">
        <f t="shared" si="106"/>
        <v>33</v>
      </c>
      <c r="AD700">
        <f t="shared" si="107"/>
        <v>1</v>
      </c>
    </row>
    <row r="701" spans="9:30" ht="15" customHeight="1">
      <c r="I701" s="69"/>
      <c r="J701" s="69"/>
      <c r="K701" s="69"/>
      <c r="L701" s="69"/>
      <c r="M701" s="69"/>
      <c r="N701" s="69" t="str">
        <f t="shared" si="108"/>
        <v/>
      </c>
      <c r="O701" s="69" t="str">
        <f t="shared" si="100"/>
        <v/>
      </c>
      <c r="P701" s="70" t="str">
        <f t="shared" si="101"/>
        <v/>
      </c>
      <c r="Q701" s="69" t="str">
        <f t="shared" si="102"/>
        <v/>
      </c>
      <c r="S701" s="71"/>
      <c r="Z701" t="str">
        <f t="shared" si="103"/>
        <v/>
      </c>
      <c r="AA701">
        <f t="shared" si="104"/>
        <v>0</v>
      </c>
      <c r="AB701">
        <f t="shared" si="105"/>
        <v>12</v>
      </c>
      <c r="AC701">
        <f t="shared" si="106"/>
        <v>33</v>
      </c>
      <c r="AD701">
        <f t="shared" si="107"/>
        <v>1</v>
      </c>
    </row>
    <row r="702" spans="9:30" ht="15" customHeight="1">
      <c r="I702" s="69"/>
      <c r="J702" s="69"/>
      <c r="K702" s="69"/>
      <c r="L702" s="69"/>
      <c r="M702" s="69"/>
      <c r="N702" s="69" t="str">
        <f t="shared" si="108"/>
        <v/>
      </c>
      <c r="O702" s="69" t="str">
        <f t="shared" si="100"/>
        <v/>
      </c>
      <c r="P702" s="70" t="str">
        <f t="shared" si="101"/>
        <v/>
      </c>
      <c r="Q702" s="69" t="str">
        <f t="shared" si="102"/>
        <v/>
      </c>
      <c r="S702" s="71"/>
      <c r="Z702" t="str">
        <f t="shared" si="103"/>
        <v/>
      </c>
      <c r="AA702">
        <f t="shared" si="104"/>
        <v>0</v>
      </c>
      <c r="AB702">
        <f t="shared" si="105"/>
        <v>12</v>
      </c>
      <c r="AC702">
        <f t="shared" si="106"/>
        <v>33</v>
      </c>
      <c r="AD702">
        <f t="shared" si="107"/>
        <v>1</v>
      </c>
    </row>
    <row r="703" spans="9:30" ht="15" customHeight="1">
      <c r="I703" s="69"/>
      <c r="J703" s="69"/>
      <c r="K703" s="69"/>
      <c r="L703" s="69"/>
      <c r="M703" s="69"/>
      <c r="N703" s="69" t="str">
        <f t="shared" si="108"/>
        <v/>
      </c>
      <c r="O703" s="69" t="str">
        <f t="shared" si="100"/>
        <v/>
      </c>
      <c r="P703" s="70" t="str">
        <f t="shared" si="101"/>
        <v/>
      </c>
      <c r="Q703" s="69" t="str">
        <f t="shared" si="102"/>
        <v/>
      </c>
      <c r="S703" s="71"/>
      <c r="Z703" t="str">
        <f t="shared" si="103"/>
        <v/>
      </c>
      <c r="AA703">
        <f t="shared" si="104"/>
        <v>0</v>
      </c>
      <c r="AB703">
        <f t="shared" si="105"/>
        <v>12</v>
      </c>
      <c r="AC703">
        <f t="shared" si="106"/>
        <v>33</v>
      </c>
      <c r="AD703">
        <f t="shared" si="107"/>
        <v>1</v>
      </c>
    </row>
    <row r="704" spans="9:30" ht="15" customHeight="1">
      <c r="I704" s="69"/>
      <c r="J704" s="69"/>
      <c r="K704" s="69"/>
      <c r="L704" s="69"/>
      <c r="M704" s="69"/>
      <c r="N704" s="69" t="str">
        <f t="shared" si="108"/>
        <v/>
      </c>
      <c r="O704" s="69" t="str">
        <f t="shared" si="100"/>
        <v/>
      </c>
      <c r="P704" s="70" t="str">
        <f t="shared" si="101"/>
        <v/>
      </c>
      <c r="Q704" s="69" t="str">
        <f t="shared" si="102"/>
        <v/>
      </c>
      <c r="S704" s="71"/>
      <c r="Z704" t="str">
        <f t="shared" si="103"/>
        <v/>
      </c>
      <c r="AA704">
        <f t="shared" si="104"/>
        <v>0</v>
      </c>
      <c r="AB704">
        <f t="shared" si="105"/>
        <v>12</v>
      </c>
      <c r="AC704">
        <f t="shared" si="106"/>
        <v>33</v>
      </c>
      <c r="AD704">
        <f t="shared" si="107"/>
        <v>1</v>
      </c>
    </row>
    <row r="705" spans="9:30" ht="15" customHeight="1">
      <c r="I705" s="69"/>
      <c r="J705" s="69"/>
      <c r="K705" s="69"/>
      <c r="L705" s="69"/>
      <c r="M705" s="69"/>
      <c r="N705" s="69" t="str">
        <f t="shared" si="108"/>
        <v/>
      </c>
      <c r="O705" s="69" t="str">
        <f t="shared" si="100"/>
        <v/>
      </c>
      <c r="P705" s="70" t="str">
        <f t="shared" si="101"/>
        <v/>
      </c>
      <c r="Q705" s="69" t="str">
        <f t="shared" si="102"/>
        <v/>
      </c>
      <c r="S705" s="71"/>
      <c r="Z705" t="str">
        <f t="shared" si="103"/>
        <v/>
      </c>
      <c r="AA705">
        <f t="shared" si="104"/>
        <v>0</v>
      </c>
      <c r="AB705">
        <f t="shared" si="105"/>
        <v>12</v>
      </c>
      <c r="AC705">
        <f t="shared" si="106"/>
        <v>33</v>
      </c>
      <c r="AD705">
        <f t="shared" si="107"/>
        <v>1</v>
      </c>
    </row>
    <row r="706" spans="9:30" ht="15" customHeight="1">
      <c r="I706" s="69"/>
      <c r="J706" s="69"/>
      <c r="K706" s="69"/>
      <c r="L706" s="69"/>
      <c r="M706" s="69"/>
      <c r="N706" s="69" t="str">
        <f t="shared" si="108"/>
        <v/>
      </c>
      <c r="O706" s="69" t="str">
        <f t="shared" si="100"/>
        <v/>
      </c>
      <c r="P706" s="70" t="str">
        <f t="shared" si="101"/>
        <v/>
      </c>
      <c r="Q706" s="69" t="str">
        <f t="shared" si="102"/>
        <v/>
      </c>
      <c r="S706" s="71"/>
      <c r="Z706" t="str">
        <f t="shared" si="103"/>
        <v/>
      </c>
      <c r="AA706">
        <f t="shared" si="104"/>
        <v>0</v>
      </c>
      <c r="AB706">
        <f t="shared" si="105"/>
        <v>12</v>
      </c>
      <c r="AC706">
        <f t="shared" si="106"/>
        <v>33</v>
      </c>
      <c r="AD706">
        <f t="shared" si="107"/>
        <v>1</v>
      </c>
    </row>
    <row r="707" spans="9:30" ht="15" customHeight="1">
      <c r="I707" s="69"/>
      <c r="J707" s="69"/>
      <c r="K707" s="69"/>
      <c r="L707" s="69"/>
      <c r="M707" s="69"/>
      <c r="N707" s="69" t="str">
        <f t="shared" si="108"/>
        <v/>
      </c>
      <c r="O707" s="69" t="str">
        <f t="shared" si="100"/>
        <v/>
      </c>
      <c r="P707" s="70" t="str">
        <f t="shared" si="101"/>
        <v/>
      </c>
      <c r="Q707" s="69" t="str">
        <f t="shared" si="102"/>
        <v/>
      </c>
      <c r="S707" s="71"/>
      <c r="Z707" t="str">
        <f t="shared" si="103"/>
        <v/>
      </c>
      <c r="AA707">
        <f t="shared" si="104"/>
        <v>0</v>
      </c>
      <c r="AB707">
        <f t="shared" si="105"/>
        <v>12</v>
      </c>
      <c r="AC707">
        <f t="shared" si="106"/>
        <v>33</v>
      </c>
      <c r="AD707">
        <f t="shared" si="107"/>
        <v>1</v>
      </c>
    </row>
    <row r="708" spans="9:30" ht="15" customHeight="1">
      <c r="I708" s="69"/>
      <c r="J708" s="69"/>
      <c r="K708" s="69"/>
      <c r="L708" s="69"/>
      <c r="M708" s="69"/>
      <c r="N708" s="69" t="str">
        <f t="shared" si="108"/>
        <v/>
      </c>
      <c r="O708" s="69" t="str">
        <f t="shared" si="100"/>
        <v/>
      </c>
      <c r="P708" s="70" t="str">
        <f t="shared" si="101"/>
        <v/>
      </c>
      <c r="Q708" s="69" t="str">
        <f t="shared" si="102"/>
        <v/>
      </c>
      <c r="S708" s="71"/>
      <c r="Z708" t="str">
        <f t="shared" si="103"/>
        <v/>
      </c>
      <c r="AA708">
        <f t="shared" si="104"/>
        <v>0</v>
      </c>
      <c r="AB708">
        <f t="shared" si="105"/>
        <v>12</v>
      </c>
      <c r="AC708">
        <f t="shared" si="106"/>
        <v>33</v>
      </c>
      <c r="AD708">
        <f t="shared" si="107"/>
        <v>1</v>
      </c>
    </row>
    <row r="709" spans="9:30" ht="15" customHeight="1">
      <c r="I709" s="69"/>
      <c r="J709" s="69"/>
      <c r="K709" s="69"/>
      <c r="L709" s="69"/>
      <c r="M709" s="69"/>
      <c r="N709" s="69" t="str">
        <f t="shared" si="108"/>
        <v/>
      </c>
      <c r="O709" s="69" t="str">
        <f t="shared" si="100"/>
        <v/>
      </c>
      <c r="P709" s="70" t="str">
        <f t="shared" si="101"/>
        <v/>
      </c>
      <c r="Q709" s="69" t="str">
        <f t="shared" si="102"/>
        <v/>
      </c>
      <c r="S709" s="71"/>
      <c r="Z709" t="str">
        <f t="shared" si="103"/>
        <v/>
      </c>
      <c r="AA709">
        <f t="shared" si="104"/>
        <v>0</v>
      </c>
      <c r="AB709">
        <f t="shared" si="105"/>
        <v>12</v>
      </c>
      <c r="AC709">
        <f t="shared" si="106"/>
        <v>33</v>
      </c>
      <c r="AD709">
        <f t="shared" si="107"/>
        <v>1</v>
      </c>
    </row>
    <row r="710" spans="9:30" ht="15" customHeight="1">
      <c r="I710" s="69"/>
      <c r="J710" s="69"/>
      <c r="K710" s="69"/>
      <c r="L710" s="69"/>
      <c r="M710" s="69"/>
      <c r="N710" s="69" t="str">
        <f t="shared" si="108"/>
        <v/>
      </c>
      <c r="O710" s="69" t="str">
        <f t="shared" ref="O710:O773" si="109">IF(ISNUMBER(I710),I710-SUM(J710:N710),"")</f>
        <v/>
      </c>
      <c r="P710" s="70" t="str">
        <f t="shared" ref="P710:P773" si="110">IFERROR(IF(AND(ISNUMBER(O710),ISNUMBER(I710),I710&lt;&gt;0),O710/I710,""),"")</f>
        <v/>
      </c>
      <c r="Q710" s="69" t="str">
        <f t="shared" ref="Q710:Q773" si="111">IF(AND(ISNUMBER(I710),ISNUMBER(S710)),I710*IF(S710&lt;=1,S710,S710/100),IF(OR(I710&lt;&gt;"",S710&lt;&gt;""),"tbd",""))</f>
        <v/>
      </c>
      <c r="S710" s="71"/>
      <c r="Z710" t="str">
        <f t="shared" ref="Z710:Z773" si="112">IF(AND(R710="WON",ISNUMBER(I710)),AA710,"")</f>
        <v/>
      </c>
      <c r="AA710">
        <f t="shared" ref="AA710:AA773" si="113">IFERROR(I710*1,0)</f>
        <v>0</v>
      </c>
      <c r="AB710">
        <f t="shared" ref="AB710:AB773" si="114">N(AB709)+IF(AND(R710="WON",B710&lt;&gt;""),1,0)</f>
        <v>12</v>
      </c>
      <c r="AC710">
        <f t="shared" ref="AC710:AC773" si="115">N(AC709)+IF(AND(OR(R710="offered",R710="to be offered",R710="on hold"),B710&lt;&gt;""),1,0)</f>
        <v>33</v>
      </c>
      <c r="AD710">
        <f t="shared" ref="AD710:AD773" si="116">N(AD709)+IF(AND(OR(R710="follow-up",R710="Evaluation",R710="tbd",R710="In evaluation"),B710&lt;&gt;""),1,0)</f>
        <v>1</v>
      </c>
    </row>
    <row r="711" spans="9:30" ht="15" customHeight="1">
      <c r="I711" s="69"/>
      <c r="J711" s="69"/>
      <c r="K711" s="69"/>
      <c r="L711" s="69"/>
      <c r="M711" s="69"/>
      <c r="N711" s="69" t="str">
        <f t="shared" si="108"/>
        <v/>
      </c>
      <c r="O711" s="69" t="str">
        <f t="shared" si="109"/>
        <v/>
      </c>
      <c r="P711" s="70" t="str">
        <f t="shared" si="110"/>
        <v/>
      </c>
      <c r="Q711" s="69" t="str">
        <f t="shared" si="111"/>
        <v/>
      </c>
      <c r="S711" s="71"/>
      <c r="Z711" t="str">
        <f t="shared" si="112"/>
        <v/>
      </c>
      <c r="AA711">
        <f t="shared" si="113"/>
        <v>0</v>
      </c>
      <c r="AB711">
        <f t="shared" si="114"/>
        <v>12</v>
      </c>
      <c r="AC711">
        <f t="shared" si="115"/>
        <v>33</v>
      </c>
      <c r="AD711">
        <f t="shared" si="116"/>
        <v>1</v>
      </c>
    </row>
    <row r="712" spans="9:30" ht="15" customHeight="1">
      <c r="I712" s="69"/>
      <c r="J712" s="69"/>
      <c r="K712" s="69"/>
      <c r="L712" s="69"/>
      <c r="M712" s="69"/>
      <c r="N712" s="69" t="str">
        <f t="shared" si="108"/>
        <v/>
      </c>
      <c r="O712" s="69" t="str">
        <f t="shared" si="109"/>
        <v/>
      </c>
      <c r="P712" s="70" t="str">
        <f t="shared" si="110"/>
        <v/>
      </c>
      <c r="Q712" s="69" t="str">
        <f t="shared" si="111"/>
        <v/>
      </c>
      <c r="S712" s="71"/>
      <c r="Z712" t="str">
        <f t="shared" si="112"/>
        <v/>
      </c>
      <c r="AA712">
        <f t="shared" si="113"/>
        <v>0</v>
      </c>
      <c r="AB712">
        <f t="shared" si="114"/>
        <v>12</v>
      </c>
      <c r="AC712">
        <f t="shared" si="115"/>
        <v>33</v>
      </c>
      <c r="AD712">
        <f t="shared" si="116"/>
        <v>1</v>
      </c>
    </row>
    <row r="713" spans="9:30" ht="15" customHeight="1">
      <c r="I713" s="69"/>
      <c r="J713" s="69"/>
      <c r="K713" s="69"/>
      <c r="L713" s="69"/>
      <c r="M713" s="69"/>
      <c r="N713" s="69" t="str">
        <f t="shared" si="108"/>
        <v/>
      </c>
      <c r="O713" s="69" t="str">
        <f t="shared" si="109"/>
        <v/>
      </c>
      <c r="P713" s="70" t="str">
        <f t="shared" si="110"/>
        <v/>
      </c>
      <c r="Q713" s="69" t="str">
        <f t="shared" si="111"/>
        <v/>
      </c>
      <c r="S713" s="71"/>
      <c r="Z713" t="str">
        <f t="shared" si="112"/>
        <v/>
      </c>
      <c r="AA713">
        <f t="shared" si="113"/>
        <v>0</v>
      </c>
      <c r="AB713">
        <f t="shared" si="114"/>
        <v>12</v>
      </c>
      <c r="AC713">
        <f t="shared" si="115"/>
        <v>33</v>
      </c>
      <c r="AD713">
        <f t="shared" si="116"/>
        <v>1</v>
      </c>
    </row>
    <row r="714" spans="9:30" ht="15" customHeight="1">
      <c r="I714" s="69"/>
      <c r="J714" s="69"/>
      <c r="K714" s="69"/>
      <c r="L714" s="69"/>
      <c r="M714" s="69"/>
      <c r="N714" s="69" t="str">
        <f t="shared" si="108"/>
        <v/>
      </c>
      <c r="O714" s="69" t="str">
        <f t="shared" si="109"/>
        <v/>
      </c>
      <c r="P714" s="70" t="str">
        <f t="shared" si="110"/>
        <v/>
      </c>
      <c r="Q714" s="69" t="str">
        <f t="shared" si="111"/>
        <v/>
      </c>
      <c r="S714" s="71"/>
      <c r="Z714" t="str">
        <f t="shared" si="112"/>
        <v/>
      </c>
      <c r="AA714">
        <f t="shared" si="113"/>
        <v>0</v>
      </c>
      <c r="AB714">
        <f t="shared" si="114"/>
        <v>12</v>
      </c>
      <c r="AC714">
        <f t="shared" si="115"/>
        <v>33</v>
      </c>
      <c r="AD714">
        <f t="shared" si="116"/>
        <v>1</v>
      </c>
    </row>
    <row r="715" spans="9:30" ht="15" customHeight="1">
      <c r="I715" s="69"/>
      <c r="J715" s="69"/>
      <c r="K715" s="69"/>
      <c r="L715" s="69"/>
      <c r="M715" s="69"/>
      <c r="N715" s="69" t="str">
        <f t="shared" si="108"/>
        <v/>
      </c>
      <c r="O715" s="69" t="str">
        <f t="shared" si="109"/>
        <v/>
      </c>
      <c r="P715" s="70" t="str">
        <f t="shared" si="110"/>
        <v/>
      </c>
      <c r="Q715" s="69" t="str">
        <f t="shared" si="111"/>
        <v/>
      </c>
      <c r="S715" s="71"/>
      <c r="Z715" t="str">
        <f t="shared" si="112"/>
        <v/>
      </c>
      <c r="AA715">
        <f t="shared" si="113"/>
        <v>0</v>
      </c>
      <c r="AB715">
        <f t="shared" si="114"/>
        <v>12</v>
      </c>
      <c r="AC715">
        <f t="shared" si="115"/>
        <v>33</v>
      </c>
      <c r="AD715">
        <f t="shared" si="116"/>
        <v>1</v>
      </c>
    </row>
    <row r="716" spans="9:30" ht="15" customHeight="1">
      <c r="I716" s="69"/>
      <c r="J716" s="69"/>
      <c r="K716" s="69"/>
      <c r="L716" s="69"/>
      <c r="M716" s="69"/>
      <c r="N716" s="69" t="str">
        <f t="shared" si="108"/>
        <v/>
      </c>
      <c r="O716" s="69" t="str">
        <f t="shared" si="109"/>
        <v/>
      </c>
      <c r="P716" s="70" t="str">
        <f t="shared" si="110"/>
        <v/>
      </c>
      <c r="Q716" s="69" t="str">
        <f t="shared" si="111"/>
        <v/>
      </c>
      <c r="S716" s="71"/>
      <c r="Z716" t="str">
        <f t="shared" si="112"/>
        <v/>
      </c>
      <c r="AA716">
        <f t="shared" si="113"/>
        <v>0</v>
      </c>
      <c r="AB716">
        <f t="shared" si="114"/>
        <v>12</v>
      </c>
      <c r="AC716">
        <f t="shared" si="115"/>
        <v>33</v>
      </c>
      <c r="AD716">
        <f t="shared" si="116"/>
        <v>1</v>
      </c>
    </row>
    <row r="717" spans="9:30" ht="15" customHeight="1">
      <c r="I717" s="69"/>
      <c r="J717" s="69"/>
      <c r="K717" s="69"/>
      <c r="L717" s="69"/>
      <c r="M717" s="69"/>
      <c r="N717" s="69" t="str">
        <f t="shared" si="108"/>
        <v/>
      </c>
      <c r="O717" s="69" t="str">
        <f t="shared" si="109"/>
        <v/>
      </c>
      <c r="P717" s="70" t="str">
        <f t="shared" si="110"/>
        <v/>
      </c>
      <c r="Q717" s="69" t="str">
        <f t="shared" si="111"/>
        <v/>
      </c>
      <c r="S717" s="71"/>
      <c r="Z717" t="str">
        <f t="shared" si="112"/>
        <v/>
      </c>
      <c r="AA717">
        <f t="shared" si="113"/>
        <v>0</v>
      </c>
      <c r="AB717">
        <f t="shared" si="114"/>
        <v>12</v>
      </c>
      <c r="AC717">
        <f t="shared" si="115"/>
        <v>33</v>
      </c>
      <c r="AD717">
        <f t="shared" si="116"/>
        <v>1</v>
      </c>
    </row>
    <row r="718" spans="9:30" ht="15" customHeight="1">
      <c r="I718" s="69"/>
      <c r="J718" s="69"/>
      <c r="K718" s="69"/>
      <c r="L718" s="69"/>
      <c r="M718" s="69"/>
      <c r="N718" s="69" t="str">
        <f t="shared" si="108"/>
        <v/>
      </c>
      <c r="O718" s="69" t="str">
        <f t="shared" si="109"/>
        <v/>
      </c>
      <c r="P718" s="70" t="str">
        <f t="shared" si="110"/>
        <v/>
      </c>
      <c r="Q718" s="69" t="str">
        <f t="shared" si="111"/>
        <v/>
      </c>
      <c r="S718" s="71"/>
      <c r="Z718" t="str">
        <f t="shared" si="112"/>
        <v/>
      </c>
      <c r="AA718">
        <f t="shared" si="113"/>
        <v>0</v>
      </c>
      <c r="AB718">
        <f t="shared" si="114"/>
        <v>12</v>
      </c>
      <c r="AC718">
        <f t="shared" si="115"/>
        <v>33</v>
      </c>
      <c r="AD718">
        <f t="shared" si="116"/>
        <v>1</v>
      </c>
    </row>
    <row r="719" spans="9:30" ht="15" customHeight="1">
      <c r="I719" s="69"/>
      <c r="J719" s="69"/>
      <c r="K719" s="69"/>
      <c r="L719" s="69"/>
      <c r="M719" s="69"/>
      <c r="N719" s="69" t="str">
        <f t="shared" si="108"/>
        <v/>
      </c>
      <c r="O719" s="69" t="str">
        <f t="shared" si="109"/>
        <v/>
      </c>
      <c r="P719" s="70" t="str">
        <f t="shared" si="110"/>
        <v/>
      </c>
      <c r="Q719" s="69" t="str">
        <f t="shared" si="111"/>
        <v/>
      </c>
      <c r="S719" s="71"/>
      <c r="Z719" t="str">
        <f t="shared" si="112"/>
        <v/>
      </c>
      <c r="AA719">
        <f t="shared" si="113"/>
        <v>0</v>
      </c>
      <c r="AB719">
        <f t="shared" si="114"/>
        <v>12</v>
      </c>
      <c r="AC719">
        <f t="shared" si="115"/>
        <v>33</v>
      </c>
      <c r="AD719">
        <f t="shared" si="116"/>
        <v>1</v>
      </c>
    </row>
    <row r="720" spans="9:30" ht="15" customHeight="1">
      <c r="I720" s="69"/>
      <c r="J720" s="69"/>
      <c r="K720" s="69"/>
      <c r="L720" s="69"/>
      <c r="M720" s="69"/>
      <c r="N720" s="69" t="str">
        <f t="shared" si="108"/>
        <v/>
      </c>
      <c r="O720" s="69" t="str">
        <f t="shared" si="109"/>
        <v/>
      </c>
      <c r="P720" s="70" t="str">
        <f t="shared" si="110"/>
        <v/>
      </c>
      <c r="Q720" s="69" t="str">
        <f t="shared" si="111"/>
        <v/>
      </c>
      <c r="S720" s="71"/>
      <c r="Z720" t="str">
        <f t="shared" si="112"/>
        <v/>
      </c>
      <c r="AA720">
        <f t="shared" si="113"/>
        <v>0</v>
      </c>
      <c r="AB720">
        <f t="shared" si="114"/>
        <v>12</v>
      </c>
      <c r="AC720">
        <f t="shared" si="115"/>
        <v>33</v>
      </c>
      <c r="AD720">
        <f t="shared" si="116"/>
        <v>1</v>
      </c>
    </row>
    <row r="721" spans="9:30" ht="15" customHeight="1">
      <c r="I721" s="69"/>
      <c r="J721" s="69"/>
      <c r="K721" s="69"/>
      <c r="L721" s="69"/>
      <c r="M721" s="69"/>
      <c r="N721" s="69" t="str">
        <f t="shared" si="108"/>
        <v/>
      </c>
      <c r="O721" s="69" t="str">
        <f t="shared" si="109"/>
        <v/>
      </c>
      <c r="P721" s="70" t="str">
        <f t="shared" si="110"/>
        <v/>
      </c>
      <c r="Q721" s="69" t="str">
        <f t="shared" si="111"/>
        <v/>
      </c>
      <c r="S721" s="71"/>
      <c r="Z721" t="str">
        <f t="shared" si="112"/>
        <v/>
      </c>
      <c r="AA721">
        <f t="shared" si="113"/>
        <v>0</v>
      </c>
      <c r="AB721">
        <f t="shared" si="114"/>
        <v>12</v>
      </c>
      <c r="AC721">
        <f t="shared" si="115"/>
        <v>33</v>
      </c>
      <c r="AD721">
        <f t="shared" si="116"/>
        <v>1</v>
      </c>
    </row>
    <row r="722" spans="9:30" ht="15" customHeight="1">
      <c r="I722" s="69"/>
      <c r="J722" s="69"/>
      <c r="K722" s="69"/>
      <c r="L722" s="69"/>
      <c r="M722" s="69"/>
      <c r="N722" s="69" t="str">
        <f t="shared" si="108"/>
        <v/>
      </c>
      <c r="O722" s="69" t="str">
        <f t="shared" si="109"/>
        <v/>
      </c>
      <c r="P722" s="70" t="str">
        <f t="shared" si="110"/>
        <v/>
      </c>
      <c r="Q722" s="69" t="str">
        <f t="shared" si="111"/>
        <v/>
      </c>
      <c r="S722" s="71"/>
      <c r="Z722" t="str">
        <f t="shared" si="112"/>
        <v/>
      </c>
      <c r="AA722">
        <f t="shared" si="113"/>
        <v>0</v>
      </c>
      <c r="AB722">
        <f t="shared" si="114"/>
        <v>12</v>
      </c>
      <c r="AC722">
        <f t="shared" si="115"/>
        <v>33</v>
      </c>
      <c r="AD722">
        <f t="shared" si="116"/>
        <v>1</v>
      </c>
    </row>
    <row r="723" spans="9:30" ht="15" customHeight="1">
      <c r="I723" s="69"/>
      <c r="J723" s="69"/>
      <c r="K723" s="69"/>
      <c r="L723" s="69"/>
      <c r="M723" s="69"/>
      <c r="N723" s="69" t="str">
        <f t="shared" si="108"/>
        <v/>
      </c>
      <c r="O723" s="69" t="str">
        <f t="shared" si="109"/>
        <v/>
      </c>
      <c r="P723" s="70" t="str">
        <f t="shared" si="110"/>
        <v/>
      </c>
      <c r="Q723" s="69" t="str">
        <f t="shared" si="111"/>
        <v/>
      </c>
      <c r="S723" s="71"/>
      <c r="Z723" t="str">
        <f t="shared" si="112"/>
        <v/>
      </c>
      <c r="AA723">
        <f t="shared" si="113"/>
        <v>0</v>
      </c>
      <c r="AB723">
        <f t="shared" si="114"/>
        <v>12</v>
      </c>
      <c r="AC723">
        <f t="shared" si="115"/>
        <v>33</v>
      </c>
      <c r="AD723">
        <f t="shared" si="116"/>
        <v>1</v>
      </c>
    </row>
    <row r="724" spans="9:30" ht="15" customHeight="1">
      <c r="I724" s="69"/>
      <c r="J724" s="69"/>
      <c r="K724" s="69"/>
      <c r="L724" s="69"/>
      <c r="M724" s="69"/>
      <c r="N724" s="69" t="str">
        <f t="shared" si="108"/>
        <v/>
      </c>
      <c r="O724" s="69" t="str">
        <f t="shared" si="109"/>
        <v/>
      </c>
      <c r="P724" s="70" t="str">
        <f t="shared" si="110"/>
        <v/>
      </c>
      <c r="Q724" s="69" t="str">
        <f t="shared" si="111"/>
        <v/>
      </c>
      <c r="S724" s="71"/>
      <c r="Z724" t="str">
        <f t="shared" si="112"/>
        <v/>
      </c>
      <c r="AA724">
        <f t="shared" si="113"/>
        <v>0</v>
      </c>
      <c r="AB724">
        <f t="shared" si="114"/>
        <v>12</v>
      </c>
      <c r="AC724">
        <f t="shared" si="115"/>
        <v>33</v>
      </c>
      <c r="AD724">
        <f t="shared" si="116"/>
        <v>1</v>
      </c>
    </row>
    <row r="725" spans="9:30" ht="15" customHeight="1">
      <c r="I725" s="69"/>
      <c r="J725" s="69"/>
      <c r="K725" s="69"/>
      <c r="L725" s="69"/>
      <c r="M725" s="69"/>
      <c r="N725" s="69" t="str">
        <f t="shared" si="108"/>
        <v/>
      </c>
      <c r="O725" s="69" t="str">
        <f t="shared" si="109"/>
        <v/>
      </c>
      <c r="P725" s="70" t="str">
        <f t="shared" si="110"/>
        <v/>
      </c>
      <c r="Q725" s="69" t="str">
        <f t="shared" si="111"/>
        <v/>
      </c>
      <c r="S725" s="71"/>
      <c r="Z725" t="str">
        <f t="shared" si="112"/>
        <v/>
      </c>
      <c r="AA725">
        <f t="shared" si="113"/>
        <v>0</v>
      </c>
      <c r="AB725">
        <f t="shared" si="114"/>
        <v>12</v>
      </c>
      <c r="AC725">
        <f t="shared" si="115"/>
        <v>33</v>
      </c>
      <c r="AD725">
        <f t="shared" si="116"/>
        <v>1</v>
      </c>
    </row>
    <row r="726" spans="9:30" ht="15" customHeight="1">
      <c r="I726" s="69"/>
      <c r="J726" s="69"/>
      <c r="K726" s="69"/>
      <c r="L726" s="69"/>
      <c r="M726" s="69"/>
      <c r="N726" s="69" t="str">
        <f t="shared" si="108"/>
        <v/>
      </c>
      <c r="O726" s="69" t="str">
        <f t="shared" si="109"/>
        <v/>
      </c>
      <c r="P726" s="70" t="str">
        <f t="shared" si="110"/>
        <v/>
      </c>
      <c r="Q726" s="69" t="str">
        <f t="shared" si="111"/>
        <v/>
      </c>
      <c r="S726" s="71"/>
      <c r="Z726" t="str">
        <f t="shared" si="112"/>
        <v/>
      </c>
      <c r="AA726">
        <f t="shared" si="113"/>
        <v>0</v>
      </c>
      <c r="AB726">
        <f t="shared" si="114"/>
        <v>12</v>
      </c>
      <c r="AC726">
        <f t="shared" si="115"/>
        <v>33</v>
      </c>
      <c r="AD726">
        <f t="shared" si="116"/>
        <v>1</v>
      </c>
    </row>
    <row r="727" spans="9:30" ht="15" customHeight="1">
      <c r="I727" s="69"/>
      <c r="J727" s="69"/>
      <c r="K727" s="69"/>
      <c r="L727" s="69"/>
      <c r="M727" s="69"/>
      <c r="N727" s="69" t="str">
        <f t="shared" si="108"/>
        <v/>
      </c>
      <c r="O727" s="69" t="str">
        <f t="shared" si="109"/>
        <v/>
      </c>
      <c r="P727" s="70" t="str">
        <f t="shared" si="110"/>
        <v/>
      </c>
      <c r="Q727" s="69" t="str">
        <f t="shared" si="111"/>
        <v/>
      </c>
      <c r="S727" s="71"/>
      <c r="Z727" t="str">
        <f t="shared" si="112"/>
        <v/>
      </c>
      <c r="AA727">
        <f t="shared" si="113"/>
        <v>0</v>
      </c>
      <c r="AB727">
        <f t="shared" si="114"/>
        <v>12</v>
      </c>
      <c r="AC727">
        <f t="shared" si="115"/>
        <v>33</v>
      </c>
      <c r="AD727">
        <f t="shared" si="116"/>
        <v>1</v>
      </c>
    </row>
    <row r="728" spans="9:30" ht="15" customHeight="1">
      <c r="I728" s="69"/>
      <c r="J728" s="69"/>
      <c r="K728" s="69"/>
      <c r="L728" s="69"/>
      <c r="M728" s="69"/>
      <c r="N728" s="69" t="str">
        <f t="shared" si="108"/>
        <v/>
      </c>
      <c r="O728" s="69" t="str">
        <f t="shared" si="109"/>
        <v/>
      </c>
      <c r="P728" s="70" t="str">
        <f t="shared" si="110"/>
        <v/>
      </c>
      <c r="Q728" s="69" t="str">
        <f t="shared" si="111"/>
        <v/>
      </c>
      <c r="S728" s="71"/>
      <c r="Z728" t="str">
        <f t="shared" si="112"/>
        <v/>
      </c>
      <c r="AA728">
        <f t="shared" si="113"/>
        <v>0</v>
      </c>
      <c r="AB728">
        <f t="shared" si="114"/>
        <v>12</v>
      </c>
      <c r="AC728">
        <f t="shared" si="115"/>
        <v>33</v>
      </c>
      <c r="AD728">
        <f t="shared" si="116"/>
        <v>1</v>
      </c>
    </row>
    <row r="729" spans="9:30" ht="15" customHeight="1">
      <c r="I729" s="69"/>
      <c r="J729" s="69"/>
      <c r="K729" s="69"/>
      <c r="L729" s="69"/>
      <c r="M729" s="69"/>
      <c r="N729" s="69" t="str">
        <f t="shared" si="108"/>
        <v/>
      </c>
      <c r="O729" s="69" t="str">
        <f t="shared" si="109"/>
        <v/>
      </c>
      <c r="P729" s="70" t="str">
        <f t="shared" si="110"/>
        <v/>
      </c>
      <c r="Q729" s="69" t="str">
        <f t="shared" si="111"/>
        <v/>
      </c>
      <c r="S729" s="71"/>
      <c r="Z729" t="str">
        <f t="shared" si="112"/>
        <v/>
      </c>
      <c r="AA729">
        <f t="shared" si="113"/>
        <v>0</v>
      </c>
      <c r="AB729">
        <f t="shared" si="114"/>
        <v>12</v>
      </c>
      <c r="AC729">
        <f t="shared" si="115"/>
        <v>33</v>
      </c>
      <c r="AD729">
        <f t="shared" si="116"/>
        <v>1</v>
      </c>
    </row>
    <row r="730" spans="9:30" ht="15" customHeight="1">
      <c r="I730" s="69"/>
      <c r="J730" s="69"/>
      <c r="K730" s="69"/>
      <c r="L730" s="69"/>
      <c r="M730" s="69"/>
      <c r="N730" s="69" t="str">
        <f t="shared" si="108"/>
        <v/>
      </c>
      <c r="O730" s="69" t="str">
        <f t="shared" si="109"/>
        <v/>
      </c>
      <c r="P730" s="70" t="str">
        <f t="shared" si="110"/>
        <v/>
      </c>
      <c r="Q730" s="69" t="str">
        <f t="shared" si="111"/>
        <v/>
      </c>
      <c r="S730" s="71"/>
      <c r="Z730" t="str">
        <f t="shared" si="112"/>
        <v/>
      </c>
      <c r="AA730">
        <f t="shared" si="113"/>
        <v>0</v>
      </c>
      <c r="AB730">
        <f t="shared" si="114"/>
        <v>12</v>
      </c>
      <c r="AC730">
        <f t="shared" si="115"/>
        <v>33</v>
      </c>
      <c r="AD730">
        <f t="shared" si="116"/>
        <v>1</v>
      </c>
    </row>
    <row r="731" spans="9:30" ht="15" customHeight="1">
      <c r="I731" s="69"/>
      <c r="J731" s="69"/>
      <c r="K731" s="69"/>
      <c r="L731" s="69"/>
      <c r="M731" s="69"/>
      <c r="N731" s="69" t="str">
        <f t="shared" si="108"/>
        <v/>
      </c>
      <c r="O731" s="69" t="str">
        <f t="shared" si="109"/>
        <v/>
      </c>
      <c r="P731" s="70" t="str">
        <f t="shared" si="110"/>
        <v/>
      </c>
      <c r="Q731" s="69" t="str">
        <f t="shared" si="111"/>
        <v/>
      </c>
      <c r="S731" s="71"/>
      <c r="Z731" t="str">
        <f t="shared" si="112"/>
        <v/>
      </c>
      <c r="AA731">
        <f t="shared" si="113"/>
        <v>0</v>
      </c>
      <c r="AB731">
        <f t="shared" si="114"/>
        <v>12</v>
      </c>
      <c r="AC731">
        <f t="shared" si="115"/>
        <v>33</v>
      </c>
      <c r="AD731">
        <f t="shared" si="116"/>
        <v>1</v>
      </c>
    </row>
    <row r="732" spans="9:30" ht="15" customHeight="1">
      <c r="I732" s="69"/>
      <c r="J732" s="69"/>
      <c r="K732" s="69"/>
      <c r="L732" s="69"/>
      <c r="M732" s="69"/>
      <c r="N732" s="69" t="str">
        <f t="shared" si="108"/>
        <v/>
      </c>
      <c r="O732" s="69" t="str">
        <f t="shared" si="109"/>
        <v/>
      </c>
      <c r="P732" s="70" t="str">
        <f t="shared" si="110"/>
        <v/>
      </c>
      <c r="Q732" s="69" t="str">
        <f t="shared" si="111"/>
        <v/>
      </c>
      <c r="S732" s="71"/>
      <c r="Z732" t="str">
        <f t="shared" si="112"/>
        <v/>
      </c>
      <c r="AA732">
        <f t="shared" si="113"/>
        <v>0</v>
      </c>
      <c r="AB732">
        <f t="shared" si="114"/>
        <v>12</v>
      </c>
      <c r="AC732">
        <f t="shared" si="115"/>
        <v>33</v>
      </c>
      <c r="AD732">
        <f t="shared" si="116"/>
        <v>1</v>
      </c>
    </row>
    <row r="733" spans="9:30" ht="15" customHeight="1">
      <c r="I733" s="69"/>
      <c r="J733" s="69"/>
      <c r="K733" s="69"/>
      <c r="L733" s="69"/>
      <c r="M733" s="69"/>
      <c r="N733" s="69" t="str">
        <f t="shared" si="108"/>
        <v/>
      </c>
      <c r="O733" s="69" t="str">
        <f t="shared" si="109"/>
        <v/>
      </c>
      <c r="P733" s="70" t="str">
        <f t="shared" si="110"/>
        <v/>
      </c>
      <c r="Q733" s="69" t="str">
        <f t="shared" si="111"/>
        <v/>
      </c>
      <c r="S733" s="71"/>
      <c r="Z733" t="str">
        <f t="shared" si="112"/>
        <v/>
      </c>
      <c r="AA733">
        <f t="shared" si="113"/>
        <v>0</v>
      </c>
      <c r="AB733">
        <f t="shared" si="114"/>
        <v>12</v>
      </c>
      <c r="AC733">
        <f t="shared" si="115"/>
        <v>33</v>
      </c>
      <c r="AD733">
        <f t="shared" si="116"/>
        <v>1</v>
      </c>
    </row>
    <row r="734" spans="9:30" ht="15" customHeight="1">
      <c r="I734" s="69"/>
      <c r="J734" s="69"/>
      <c r="K734" s="69"/>
      <c r="L734" s="69"/>
      <c r="M734" s="69"/>
      <c r="N734" s="69" t="str">
        <f t="shared" si="108"/>
        <v/>
      </c>
      <c r="O734" s="69" t="str">
        <f t="shared" si="109"/>
        <v/>
      </c>
      <c r="P734" s="70" t="str">
        <f t="shared" si="110"/>
        <v/>
      </c>
      <c r="Q734" s="69" t="str">
        <f t="shared" si="111"/>
        <v/>
      </c>
      <c r="S734" s="71"/>
      <c r="Z734" t="str">
        <f t="shared" si="112"/>
        <v/>
      </c>
      <c r="AA734">
        <f t="shared" si="113"/>
        <v>0</v>
      </c>
      <c r="AB734">
        <f t="shared" si="114"/>
        <v>12</v>
      </c>
      <c r="AC734">
        <f t="shared" si="115"/>
        <v>33</v>
      </c>
      <c r="AD734">
        <f t="shared" si="116"/>
        <v>1</v>
      </c>
    </row>
    <row r="735" spans="9:30" ht="15" customHeight="1">
      <c r="I735" s="69"/>
      <c r="J735" s="69"/>
      <c r="K735" s="69"/>
      <c r="L735" s="69"/>
      <c r="M735" s="69"/>
      <c r="N735" s="69" t="str">
        <f t="shared" si="108"/>
        <v/>
      </c>
      <c r="O735" s="69" t="str">
        <f t="shared" si="109"/>
        <v/>
      </c>
      <c r="P735" s="70" t="str">
        <f t="shared" si="110"/>
        <v/>
      </c>
      <c r="Q735" s="69" t="str">
        <f t="shared" si="111"/>
        <v/>
      </c>
      <c r="S735" s="71"/>
      <c r="Z735" t="str">
        <f t="shared" si="112"/>
        <v/>
      </c>
      <c r="AA735">
        <f t="shared" si="113"/>
        <v>0</v>
      </c>
      <c r="AB735">
        <f t="shared" si="114"/>
        <v>12</v>
      </c>
      <c r="AC735">
        <f t="shared" si="115"/>
        <v>33</v>
      </c>
      <c r="AD735">
        <f t="shared" si="116"/>
        <v>1</v>
      </c>
    </row>
    <row r="736" spans="9:30" ht="15" customHeight="1">
      <c r="I736" s="69"/>
      <c r="J736" s="69"/>
      <c r="K736" s="69"/>
      <c r="L736" s="69"/>
      <c r="M736" s="69"/>
      <c r="N736" s="69" t="str">
        <f t="shared" si="108"/>
        <v/>
      </c>
      <c r="O736" s="69" t="str">
        <f t="shared" si="109"/>
        <v/>
      </c>
      <c r="P736" s="70" t="str">
        <f t="shared" si="110"/>
        <v/>
      </c>
      <c r="Q736" s="69" t="str">
        <f t="shared" si="111"/>
        <v/>
      </c>
      <c r="S736" s="71"/>
      <c r="Z736" t="str">
        <f t="shared" si="112"/>
        <v/>
      </c>
      <c r="AA736">
        <f t="shared" si="113"/>
        <v>0</v>
      </c>
      <c r="AB736">
        <f t="shared" si="114"/>
        <v>12</v>
      </c>
      <c r="AC736">
        <f t="shared" si="115"/>
        <v>33</v>
      </c>
      <c r="AD736">
        <f t="shared" si="116"/>
        <v>1</v>
      </c>
    </row>
    <row r="737" spans="9:30" ht="15" customHeight="1">
      <c r="I737" s="69"/>
      <c r="J737" s="69"/>
      <c r="K737" s="69"/>
      <c r="L737" s="69"/>
      <c r="M737" s="69"/>
      <c r="N737" s="69" t="str">
        <f t="shared" si="108"/>
        <v/>
      </c>
      <c r="O737" s="69" t="str">
        <f t="shared" si="109"/>
        <v/>
      </c>
      <c r="P737" s="70" t="str">
        <f t="shared" si="110"/>
        <v/>
      </c>
      <c r="Q737" s="69" t="str">
        <f t="shared" si="111"/>
        <v/>
      </c>
      <c r="S737" s="71"/>
      <c r="Z737" t="str">
        <f t="shared" si="112"/>
        <v/>
      </c>
      <c r="AA737">
        <f t="shared" si="113"/>
        <v>0</v>
      </c>
      <c r="AB737">
        <f t="shared" si="114"/>
        <v>12</v>
      </c>
      <c r="AC737">
        <f t="shared" si="115"/>
        <v>33</v>
      </c>
      <c r="AD737">
        <f t="shared" si="116"/>
        <v>1</v>
      </c>
    </row>
    <row r="738" spans="9:30" ht="15" customHeight="1">
      <c r="I738" s="69"/>
      <c r="J738" s="69"/>
      <c r="K738" s="69"/>
      <c r="L738" s="69"/>
      <c r="M738" s="69"/>
      <c r="N738" s="69" t="str">
        <f t="shared" si="108"/>
        <v/>
      </c>
      <c r="O738" s="69" t="str">
        <f t="shared" si="109"/>
        <v/>
      </c>
      <c r="P738" s="70" t="str">
        <f t="shared" si="110"/>
        <v/>
      </c>
      <c r="Q738" s="69" t="str">
        <f t="shared" si="111"/>
        <v/>
      </c>
      <c r="S738" s="71"/>
      <c r="Z738" t="str">
        <f t="shared" si="112"/>
        <v/>
      </c>
      <c r="AA738">
        <f t="shared" si="113"/>
        <v>0</v>
      </c>
      <c r="AB738">
        <f t="shared" si="114"/>
        <v>12</v>
      </c>
      <c r="AC738">
        <f t="shared" si="115"/>
        <v>33</v>
      </c>
      <c r="AD738">
        <f t="shared" si="116"/>
        <v>1</v>
      </c>
    </row>
    <row r="739" spans="9:30" ht="15" customHeight="1">
      <c r="I739" s="69"/>
      <c r="J739" s="69"/>
      <c r="K739" s="69"/>
      <c r="L739" s="69"/>
      <c r="M739" s="69"/>
      <c r="N739" s="69" t="str">
        <f t="shared" si="108"/>
        <v/>
      </c>
      <c r="O739" s="69" t="str">
        <f t="shared" si="109"/>
        <v/>
      </c>
      <c r="P739" s="70" t="str">
        <f t="shared" si="110"/>
        <v/>
      </c>
      <c r="Q739" s="69" t="str">
        <f t="shared" si="111"/>
        <v/>
      </c>
      <c r="S739" s="71"/>
      <c r="Z739" t="str">
        <f t="shared" si="112"/>
        <v/>
      </c>
      <c r="AA739">
        <f t="shared" si="113"/>
        <v>0</v>
      </c>
      <c r="AB739">
        <f t="shared" si="114"/>
        <v>12</v>
      </c>
      <c r="AC739">
        <f t="shared" si="115"/>
        <v>33</v>
      </c>
      <c r="AD739">
        <f t="shared" si="116"/>
        <v>1</v>
      </c>
    </row>
    <row r="740" spans="9:30" ht="15" customHeight="1">
      <c r="I740" s="69"/>
      <c r="J740" s="69"/>
      <c r="K740" s="69"/>
      <c r="L740" s="69"/>
      <c r="M740" s="69"/>
      <c r="N740" s="69" t="str">
        <f t="shared" si="108"/>
        <v/>
      </c>
      <c r="O740" s="69" t="str">
        <f t="shared" si="109"/>
        <v/>
      </c>
      <c r="P740" s="70" t="str">
        <f t="shared" si="110"/>
        <v/>
      </c>
      <c r="Q740" s="69" t="str">
        <f t="shared" si="111"/>
        <v/>
      </c>
      <c r="S740" s="71"/>
      <c r="Z740" t="str">
        <f t="shared" si="112"/>
        <v/>
      </c>
      <c r="AA740">
        <f t="shared" si="113"/>
        <v>0</v>
      </c>
      <c r="AB740">
        <f t="shared" si="114"/>
        <v>12</v>
      </c>
      <c r="AC740">
        <f t="shared" si="115"/>
        <v>33</v>
      </c>
      <c r="AD740">
        <f t="shared" si="116"/>
        <v>1</v>
      </c>
    </row>
    <row r="741" spans="9:30" ht="15" customHeight="1">
      <c r="I741" s="69"/>
      <c r="J741" s="69"/>
      <c r="K741" s="69"/>
      <c r="L741" s="69"/>
      <c r="M741" s="69"/>
      <c r="N741" s="69" t="str">
        <f t="shared" si="108"/>
        <v/>
      </c>
      <c r="O741" s="69" t="str">
        <f t="shared" si="109"/>
        <v/>
      </c>
      <c r="P741" s="70" t="str">
        <f t="shared" si="110"/>
        <v/>
      </c>
      <c r="Q741" s="69" t="str">
        <f t="shared" si="111"/>
        <v/>
      </c>
      <c r="S741" s="71"/>
      <c r="Z741" t="str">
        <f t="shared" si="112"/>
        <v/>
      </c>
      <c r="AA741">
        <f t="shared" si="113"/>
        <v>0</v>
      </c>
      <c r="AB741">
        <f t="shared" si="114"/>
        <v>12</v>
      </c>
      <c r="AC741">
        <f t="shared" si="115"/>
        <v>33</v>
      </c>
      <c r="AD741">
        <f t="shared" si="116"/>
        <v>1</v>
      </c>
    </row>
    <row r="742" spans="9:30" ht="15" customHeight="1">
      <c r="I742" s="69"/>
      <c r="J742" s="69"/>
      <c r="K742" s="69"/>
      <c r="L742" s="69"/>
      <c r="M742" s="69"/>
      <c r="N742" s="69" t="str">
        <f t="shared" si="108"/>
        <v/>
      </c>
      <c r="O742" s="69" t="str">
        <f t="shared" si="109"/>
        <v/>
      </c>
      <c r="P742" s="70" t="str">
        <f t="shared" si="110"/>
        <v/>
      </c>
      <c r="Q742" s="69" t="str">
        <f t="shared" si="111"/>
        <v/>
      </c>
      <c r="S742" s="71"/>
      <c r="Z742" t="str">
        <f t="shared" si="112"/>
        <v/>
      </c>
      <c r="AA742">
        <f t="shared" si="113"/>
        <v>0</v>
      </c>
      <c r="AB742">
        <f t="shared" si="114"/>
        <v>12</v>
      </c>
      <c r="AC742">
        <f t="shared" si="115"/>
        <v>33</v>
      </c>
      <c r="AD742">
        <f t="shared" si="116"/>
        <v>1</v>
      </c>
    </row>
    <row r="743" spans="9:30" ht="15" customHeight="1">
      <c r="I743" s="69"/>
      <c r="J743" s="69"/>
      <c r="K743" s="69"/>
      <c r="L743" s="69"/>
      <c r="M743" s="69"/>
      <c r="N743" s="69" t="str">
        <f t="shared" si="108"/>
        <v/>
      </c>
      <c r="O743" s="69" t="str">
        <f t="shared" si="109"/>
        <v/>
      </c>
      <c r="P743" s="70" t="str">
        <f t="shared" si="110"/>
        <v/>
      </c>
      <c r="Q743" s="69" t="str">
        <f t="shared" si="111"/>
        <v/>
      </c>
      <c r="S743" s="71"/>
      <c r="Z743" t="str">
        <f t="shared" si="112"/>
        <v/>
      </c>
      <c r="AA743">
        <f t="shared" si="113"/>
        <v>0</v>
      </c>
      <c r="AB743">
        <f t="shared" si="114"/>
        <v>12</v>
      </c>
      <c r="AC743">
        <f t="shared" si="115"/>
        <v>33</v>
      </c>
      <c r="AD743">
        <f t="shared" si="116"/>
        <v>1</v>
      </c>
    </row>
    <row r="744" spans="9:30" ht="15" customHeight="1">
      <c r="I744" s="69"/>
      <c r="J744" s="69"/>
      <c r="K744" s="69"/>
      <c r="L744" s="69"/>
      <c r="M744" s="69"/>
      <c r="N744" s="69" t="str">
        <f t="shared" si="108"/>
        <v/>
      </c>
      <c r="O744" s="69" t="str">
        <f t="shared" si="109"/>
        <v/>
      </c>
      <c r="P744" s="70" t="str">
        <f t="shared" si="110"/>
        <v/>
      </c>
      <c r="Q744" s="69" t="str">
        <f t="shared" si="111"/>
        <v/>
      </c>
      <c r="S744" s="71"/>
      <c r="Z744" t="str">
        <f t="shared" si="112"/>
        <v/>
      </c>
      <c r="AA744">
        <f t="shared" si="113"/>
        <v>0</v>
      </c>
      <c r="AB744">
        <f t="shared" si="114"/>
        <v>12</v>
      </c>
      <c r="AC744">
        <f t="shared" si="115"/>
        <v>33</v>
      </c>
      <c r="AD744">
        <f t="shared" si="116"/>
        <v>1</v>
      </c>
    </row>
    <row r="745" spans="9:30" ht="15" customHeight="1">
      <c r="I745" s="69"/>
      <c r="J745" s="69"/>
      <c r="K745" s="69"/>
      <c r="L745" s="69"/>
      <c r="M745" s="69"/>
      <c r="N745" s="69" t="str">
        <f t="shared" si="108"/>
        <v/>
      </c>
      <c r="O745" s="69" t="str">
        <f t="shared" si="109"/>
        <v/>
      </c>
      <c r="P745" s="70" t="str">
        <f t="shared" si="110"/>
        <v/>
      </c>
      <c r="Q745" s="69" t="str">
        <f t="shared" si="111"/>
        <v/>
      </c>
      <c r="S745" s="71"/>
      <c r="Z745" t="str">
        <f t="shared" si="112"/>
        <v/>
      </c>
      <c r="AA745">
        <f t="shared" si="113"/>
        <v>0</v>
      </c>
      <c r="AB745">
        <f t="shared" si="114"/>
        <v>12</v>
      </c>
      <c r="AC745">
        <f t="shared" si="115"/>
        <v>33</v>
      </c>
      <c r="AD745">
        <f t="shared" si="116"/>
        <v>1</v>
      </c>
    </row>
    <row r="746" spans="9:30" ht="15" customHeight="1">
      <c r="I746" s="69"/>
      <c r="J746" s="69"/>
      <c r="K746" s="69"/>
      <c r="L746" s="69"/>
      <c r="M746" s="69"/>
      <c r="N746" s="69" t="str">
        <f t="shared" si="108"/>
        <v/>
      </c>
      <c r="O746" s="69" t="str">
        <f t="shared" si="109"/>
        <v/>
      </c>
      <c r="P746" s="70" t="str">
        <f t="shared" si="110"/>
        <v/>
      </c>
      <c r="Q746" s="69" t="str">
        <f t="shared" si="111"/>
        <v/>
      </c>
      <c r="S746" s="71"/>
      <c r="Z746" t="str">
        <f t="shared" si="112"/>
        <v/>
      </c>
      <c r="AA746">
        <f t="shared" si="113"/>
        <v>0</v>
      </c>
      <c r="AB746">
        <f t="shared" si="114"/>
        <v>12</v>
      </c>
      <c r="AC746">
        <f t="shared" si="115"/>
        <v>33</v>
      </c>
      <c r="AD746">
        <f t="shared" si="116"/>
        <v>1</v>
      </c>
    </row>
    <row r="747" spans="9:30" ht="15" customHeight="1">
      <c r="I747" s="69"/>
      <c r="J747" s="69"/>
      <c r="K747" s="69"/>
      <c r="L747" s="69"/>
      <c r="M747" s="69"/>
      <c r="N747" s="69" t="str">
        <f t="shared" si="108"/>
        <v/>
      </c>
      <c r="O747" s="69" t="str">
        <f t="shared" si="109"/>
        <v/>
      </c>
      <c r="P747" s="70" t="str">
        <f t="shared" si="110"/>
        <v/>
      </c>
      <c r="Q747" s="69" t="str">
        <f t="shared" si="111"/>
        <v/>
      </c>
      <c r="S747" s="71"/>
      <c r="Z747" t="str">
        <f t="shared" si="112"/>
        <v/>
      </c>
      <c r="AA747">
        <f t="shared" si="113"/>
        <v>0</v>
      </c>
      <c r="AB747">
        <f t="shared" si="114"/>
        <v>12</v>
      </c>
      <c r="AC747">
        <f t="shared" si="115"/>
        <v>33</v>
      </c>
      <c r="AD747">
        <f t="shared" si="116"/>
        <v>1</v>
      </c>
    </row>
    <row r="748" spans="9:30" ht="15" customHeight="1">
      <c r="I748" s="69"/>
      <c r="J748" s="69"/>
      <c r="K748" s="69"/>
      <c r="L748" s="69"/>
      <c r="M748" s="69"/>
      <c r="N748" s="69" t="str">
        <f t="shared" si="108"/>
        <v/>
      </c>
      <c r="O748" s="69" t="str">
        <f t="shared" si="109"/>
        <v/>
      </c>
      <c r="P748" s="70" t="str">
        <f t="shared" si="110"/>
        <v/>
      </c>
      <c r="Q748" s="69" t="str">
        <f t="shared" si="111"/>
        <v/>
      </c>
      <c r="S748" s="71"/>
      <c r="Z748" t="str">
        <f t="shared" si="112"/>
        <v/>
      </c>
      <c r="AA748">
        <f t="shared" si="113"/>
        <v>0</v>
      </c>
      <c r="AB748">
        <f t="shared" si="114"/>
        <v>12</v>
      </c>
      <c r="AC748">
        <f t="shared" si="115"/>
        <v>33</v>
      </c>
      <c r="AD748">
        <f t="shared" si="116"/>
        <v>1</v>
      </c>
    </row>
    <row r="749" spans="9:30" ht="15" customHeight="1">
      <c r="I749" s="69"/>
      <c r="J749" s="69"/>
      <c r="K749" s="69"/>
      <c r="L749" s="69"/>
      <c r="M749" s="69"/>
      <c r="N749" s="69" t="str">
        <f t="shared" si="108"/>
        <v/>
      </c>
      <c r="O749" s="69" t="str">
        <f t="shared" si="109"/>
        <v/>
      </c>
      <c r="P749" s="70" t="str">
        <f t="shared" si="110"/>
        <v/>
      </c>
      <c r="Q749" s="69" t="str">
        <f t="shared" si="111"/>
        <v/>
      </c>
      <c r="S749" s="71"/>
      <c r="Z749" t="str">
        <f t="shared" si="112"/>
        <v/>
      </c>
      <c r="AA749">
        <f t="shared" si="113"/>
        <v>0</v>
      </c>
      <c r="AB749">
        <f t="shared" si="114"/>
        <v>12</v>
      </c>
      <c r="AC749">
        <f t="shared" si="115"/>
        <v>33</v>
      </c>
      <c r="AD749">
        <f t="shared" si="116"/>
        <v>1</v>
      </c>
    </row>
    <row r="750" spans="9:30" ht="15" customHeight="1">
      <c r="I750" s="69"/>
      <c r="J750" s="69"/>
      <c r="K750" s="69"/>
      <c r="L750" s="69"/>
      <c r="M750" s="69"/>
      <c r="N750" s="69" t="str">
        <f t="shared" si="108"/>
        <v/>
      </c>
      <c r="O750" s="69" t="str">
        <f t="shared" si="109"/>
        <v/>
      </c>
      <c r="P750" s="70" t="str">
        <f t="shared" si="110"/>
        <v/>
      </c>
      <c r="Q750" s="69" t="str">
        <f t="shared" si="111"/>
        <v/>
      </c>
      <c r="S750" s="71"/>
      <c r="Z750" t="str">
        <f t="shared" si="112"/>
        <v/>
      </c>
      <c r="AA750">
        <f t="shared" si="113"/>
        <v>0</v>
      </c>
      <c r="AB750">
        <f t="shared" si="114"/>
        <v>12</v>
      </c>
      <c r="AC750">
        <f t="shared" si="115"/>
        <v>33</v>
      </c>
      <c r="AD750">
        <f t="shared" si="116"/>
        <v>1</v>
      </c>
    </row>
    <row r="751" spans="9:30" ht="15" customHeight="1">
      <c r="I751" s="69"/>
      <c r="J751" s="69"/>
      <c r="K751" s="69"/>
      <c r="L751" s="69"/>
      <c r="M751" s="69"/>
      <c r="N751" s="69" t="str">
        <f t="shared" si="108"/>
        <v/>
      </c>
      <c r="O751" s="69" t="str">
        <f t="shared" si="109"/>
        <v/>
      </c>
      <c r="P751" s="70" t="str">
        <f t="shared" si="110"/>
        <v/>
      </c>
      <c r="Q751" s="69" t="str">
        <f t="shared" si="111"/>
        <v/>
      </c>
      <c r="S751" s="71"/>
      <c r="Z751" t="str">
        <f t="shared" si="112"/>
        <v/>
      </c>
      <c r="AA751">
        <f t="shared" si="113"/>
        <v>0</v>
      </c>
      <c r="AB751">
        <f t="shared" si="114"/>
        <v>12</v>
      </c>
      <c r="AC751">
        <f t="shared" si="115"/>
        <v>33</v>
      </c>
      <c r="AD751">
        <f t="shared" si="116"/>
        <v>1</v>
      </c>
    </row>
    <row r="752" spans="9:30" ht="15" customHeight="1">
      <c r="I752" s="69"/>
      <c r="J752" s="69"/>
      <c r="K752" s="69"/>
      <c r="L752" s="69"/>
      <c r="M752" s="69"/>
      <c r="N752" s="69" t="str">
        <f t="shared" si="108"/>
        <v/>
      </c>
      <c r="O752" s="69" t="str">
        <f t="shared" si="109"/>
        <v/>
      </c>
      <c r="P752" s="70" t="str">
        <f t="shared" si="110"/>
        <v/>
      </c>
      <c r="Q752" s="69" t="str">
        <f t="shared" si="111"/>
        <v/>
      </c>
      <c r="S752" s="71"/>
      <c r="Z752" t="str">
        <f t="shared" si="112"/>
        <v/>
      </c>
      <c r="AA752">
        <f t="shared" si="113"/>
        <v>0</v>
      </c>
      <c r="AB752">
        <f t="shared" si="114"/>
        <v>12</v>
      </c>
      <c r="AC752">
        <f t="shared" si="115"/>
        <v>33</v>
      </c>
      <c r="AD752">
        <f t="shared" si="116"/>
        <v>1</v>
      </c>
    </row>
    <row r="753" spans="9:30" ht="15" customHeight="1">
      <c r="I753" s="69"/>
      <c r="J753" s="69"/>
      <c r="K753" s="69"/>
      <c r="L753" s="69"/>
      <c r="M753" s="69"/>
      <c r="N753" s="69" t="str">
        <f t="shared" si="108"/>
        <v/>
      </c>
      <c r="O753" s="69" t="str">
        <f t="shared" si="109"/>
        <v/>
      </c>
      <c r="P753" s="70" t="str">
        <f t="shared" si="110"/>
        <v/>
      </c>
      <c r="Q753" s="69" t="str">
        <f t="shared" si="111"/>
        <v/>
      </c>
      <c r="S753" s="71"/>
      <c r="Z753" t="str">
        <f t="shared" si="112"/>
        <v/>
      </c>
      <c r="AA753">
        <f t="shared" si="113"/>
        <v>0</v>
      </c>
      <c r="AB753">
        <f t="shared" si="114"/>
        <v>12</v>
      </c>
      <c r="AC753">
        <f t="shared" si="115"/>
        <v>33</v>
      </c>
      <c r="AD753">
        <f t="shared" si="116"/>
        <v>1</v>
      </c>
    </row>
    <row r="754" spans="9:30" ht="15" customHeight="1">
      <c r="I754" s="69"/>
      <c r="J754" s="69"/>
      <c r="K754" s="69"/>
      <c r="L754" s="69"/>
      <c r="M754" s="69"/>
      <c r="N754" s="69" t="str">
        <f t="shared" si="108"/>
        <v/>
      </c>
      <c r="O754" s="69" t="str">
        <f t="shared" si="109"/>
        <v/>
      </c>
      <c r="P754" s="70" t="str">
        <f t="shared" si="110"/>
        <v/>
      </c>
      <c r="Q754" s="69" t="str">
        <f t="shared" si="111"/>
        <v/>
      </c>
      <c r="S754" s="71"/>
      <c r="Z754" t="str">
        <f t="shared" si="112"/>
        <v/>
      </c>
      <c r="AA754">
        <f t="shared" si="113"/>
        <v>0</v>
      </c>
      <c r="AB754">
        <f t="shared" si="114"/>
        <v>12</v>
      </c>
      <c r="AC754">
        <f t="shared" si="115"/>
        <v>33</v>
      </c>
      <c r="AD754">
        <f t="shared" si="116"/>
        <v>1</v>
      </c>
    </row>
    <row r="755" spans="9:30" ht="15" customHeight="1">
      <c r="I755" s="69"/>
      <c r="J755" s="69"/>
      <c r="K755" s="69"/>
      <c r="L755" s="69"/>
      <c r="M755" s="69"/>
      <c r="N755" s="69" t="str">
        <f t="shared" si="108"/>
        <v/>
      </c>
      <c r="O755" s="69" t="str">
        <f t="shared" si="109"/>
        <v/>
      </c>
      <c r="P755" s="70" t="str">
        <f t="shared" si="110"/>
        <v/>
      </c>
      <c r="Q755" s="69" t="str">
        <f t="shared" si="111"/>
        <v/>
      </c>
      <c r="S755" s="71"/>
      <c r="Z755" t="str">
        <f t="shared" si="112"/>
        <v/>
      </c>
      <c r="AA755">
        <f t="shared" si="113"/>
        <v>0</v>
      </c>
      <c r="AB755">
        <f t="shared" si="114"/>
        <v>12</v>
      </c>
      <c r="AC755">
        <f t="shared" si="115"/>
        <v>33</v>
      </c>
      <c r="AD755">
        <f t="shared" si="116"/>
        <v>1</v>
      </c>
    </row>
    <row r="756" spans="9:30" ht="15" customHeight="1">
      <c r="I756" s="69"/>
      <c r="J756" s="69"/>
      <c r="K756" s="69"/>
      <c r="L756" s="69"/>
      <c r="M756" s="69"/>
      <c r="N756" s="69" t="str">
        <f t="shared" si="108"/>
        <v/>
      </c>
      <c r="O756" s="69" t="str">
        <f t="shared" si="109"/>
        <v/>
      </c>
      <c r="P756" s="70" t="str">
        <f t="shared" si="110"/>
        <v/>
      </c>
      <c r="Q756" s="69" t="str">
        <f t="shared" si="111"/>
        <v/>
      </c>
      <c r="S756" s="71"/>
      <c r="Z756" t="str">
        <f t="shared" si="112"/>
        <v/>
      </c>
      <c r="AA756">
        <f t="shared" si="113"/>
        <v>0</v>
      </c>
      <c r="AB756">
        <f t="shared" si="114"/>
        <v>12</v>
      </c>
      <c r="AC756">
        <f t="shared" si="115"/>
        <v>33</v>
      </c>
      <c r="AD756">
        <f t="shared" si="116"/>
        <v>1</v>
      </c>
    </row>
    <row r="757" spans="9:30" ht="15" customHeight="1">
      <c r="I757" s="69"/>
      <c r="J757" s="69"/>
      <c r="K757" s="69"/>
      <c r="L757" s="69"/>
      <c r="M757" s="69"/>
      <c r="N757" s="69" t="str">
        <f t="shared" ref="N757:N820" si="117">IF(ISNUMBER(I757),ROUND(I757-I757/1.081,2),"")</f>
        <v/>
      </c>
      <c r="O757" s="69" t="str">
        <f t="shared" si="109"/>
        <v/>
      </c>
      <c r="P757" s="70" t="str">
        <f t="shared" si="110"/>
        <v/>
      </c>
      <c r="Q757" s="69" t="str">
        <f t="shared" si="111"/>
        <v/>
      </c>
      <c r="S757" s="71"/>
      <c r="Z757" t="str">
        <f t="shared" si="112"/>
        <v/>
      </c>
      <c r="AA757">
        <f t="shared" si="113"/>
        <v>0</v>
      </c>
      <c r="AB757">
        <f t="shared" si="114"/>
        <v>12</v>
      </c>
      <c r="AC757">
        <f t="shared" si="115"/>
        <v>33</v>
      </c>
      <c r="AD757">
        <f t="shared" si="116"/>
        <v>1</v>
      </c>
    </row>
    <row r="758" spans="9:30" ht="15" customHeight="1">
      <c r="I758" s="69"/>
      <c r="J758" s="69"/>
      <c r="K758" s="69"/>
      <c r="L758" s="69"/>
      <c r="M758" s="69"/>
      <c r="N758" s="69" t="str">
        <f t="shared" si="117"/>
        <v/>
      </c>
      <c r="O758" s="69" t="str">
        <f t="shared" si="109"/>
        <v/>
      </c>
      <c r="P758" s="70" t="str">
        <f t="shared" si="110"/>
        <v/>
      </c>
      <c r="Q758" s="69" t="str">
        <f t="shared" si="111"/>
        <v/>
      </c>
      <c r="S758" s="71"/>
      <c r="Z758" t="str">
        <f t="shared" si="112"/>
        <v/>
      </c>
      <c r="AA758">
        <f t="shared" si="113"/>
        <v>0</v>
      </c>
      <c r="AB758">
        <f t="shared" si="114"/>
        <v>12</v>
      </c>
      <c r="AC758">
        <f t="shared" si="115"/>
        <v>33</v>
      </c>
      <c r="AD758">
        <f t="shared" si="116"/>
        <v>1</v>
      </c>
    </row>
    <row r="759" spans="9:30" ht="15" customHeight="1">
      <c r="I759" s="69"/>
      <c r="J759" s="69"/>
      <c r="K759" s="69"/>
      <c r="L759" s="69"/>
      <c r="M759" s="69"/>
      <c r="N759" s="69" t="str">
        <f t="shared" si="117"/>
        <v/>
      </c>
      <c r="O759" s="69" t="str">
        <f t="shared" si="109"/>
        <v/>
      </c>
      <c r="P759" s="70" t="str">
        <f t="shared" si="110"/>
        <v/>
      </c>
      <c r="Q759" s="69" t="str">
        <f t="shared" si="111"/>
        <v/>
      </c>
      <c r="S759" s="71"/>
      <c r="Z759" t="str">
        <f t="shared" si="112"/>
        <v/>
      </c>
      <c r="AA759">
        <f t="shared" si="113"/>
        <v>0</v>
      </c>
      <c r="AB759">
        <f t="shared" si="114"/>
        <v>12</v>
      </c>
      <c r="AC759">
        <f t="shared" si="115"/>
        <v>33</v>
      </c>
      <c r="AD759">
        <f t="shared" si="116"/>
        <v>1</v>
      </c>
    </row>
    <row r="760" spans="9:30" ht="15" customHeight="1">
      <c r="I760" s="69"/>
      <c r="J760" s="69"/>
      <c r="K760" s="69"/>
      <c r="L760" s="69"/>
      <c r="M760" s="69"/>
      <c r="N760" s="69" t="str">
        <f t="shared" si="117"/>
        <v/>
      </c>
      <c r="O760" s="69" t="str">
        <f t="shared" si="109"/>
        <v/>
      </c>
      <c r="P760" s="70" t="str">
        <f t="shared" si="110"/>
        <v/>
      </c>
      <c r="Q760" s="69" t="str">
        <f t="shared" si="111"/>
        <v/>
      </c>
      <c r="S760" s="71"/>
      <c r="Z760" t="str">
        <f t="shared" si="112"/>
        <v/>
      </c>
      <c r="AA760">
        <f t="shared" si="113"/>
        <v>0</v>
      </c>
      <c r="AB760">
        <f t="shared" si="114"/>
        <v>12</v>
      </c>
      <c r="AC760">
        <f t="shared" si="115"/>
        <v>33</v>
      </c>
      <c r="AD760">
        <f t="shared" si="116"/>
        <v>1</v>
      </c>
    </row>
    <row r="761" spans="9:30" ht="15" customHeight="1">
      <c r="I761" s="69"/>
      <c r="J761" s="69"/>
      <c r="K761" s="69"/>
      <c r="L761" s="69"/>
      <c r="M761" s="69"/>
      <c r="N761" s="69" t="str">
        <f t="shared" si="117"/>
        <v/>
      </c>
      <c r="O761" s="69" t="str">
        <f t="shared" si="109"/>
        <v/>
      </c>
      <c r="P761" s="70" t="str">
        <f t="shared" si="110"/>
        <v/>
      </c>
      <c r="Q761" s="69" t="str">
        <f t="shared" si="111"/>
        <v/>
      </c>
      <c r="S761" s="71"/>
      <c r="Z761" t="str">
        <f t="shared" si="112"/>
        <v/>
      </c>
      <c r="AA761">
        <f t="shared" si="113"/>
        <v>0</v>
      </c>
      <c r="AB761">
        <f t="shared" si="114"/>
        <v>12</v>
      </c>
      <c r="AC761">
        <f t="shared" si="115"/>
        <v>33</v>
      </c>
      <c r="AD761">
        <f t="shared" si="116"/>
        <v>1</v>
      </c>
    </row>
    <row r="762" spans="9:30" ht="15" customHeight="1">
      <c r="I762" s="69"/>
      <c r="J762" s="69"/>
      <c r="K762" s="69"/>
      <c r="L762" s="69"/>
      <c r="M762" s="69"/>
      <c r="N762" s="69" t="str">
        <f t="shared" si="117"/>
        <v/>
      </c>
      <c r="O762" s="69" t="str">
        <f t="shared" si="109"/>
        <v/>
      </c>
      <c r="P762" s="70" t="str">
        <f t="shared" si="110"/>
        <v/>
      </c>
      <c r="Q762" s="69" t="str">
        <f t="shared" si="111"/>
        <v/>
      </c>
      <c r="S762" s="71"/>
      <c r="Z762" t="str">
        <f t="shared" si="112"/>
        <v/>
      </c>
      <c r="AA762">
        <f t="shared" si="113"/>
        <v>0</v>
      </c>
      <c r="AB762">
        <f t="shared" si="114"/>
        <v>12</v>
      </c>
      <c r="AC762">
        <f t="shared" si="115"/>
        <v>33</v>
      </c>
      <c r="AD762">
        <f t="shared" si="116"/>
        <v>1</v>
      </c>
    </row>
    <row r="763" spans="9:30" ht="15" customHeight="1">
      <c r="I763" s="69"/>
      <c r="J763" s="69"/>
      <c r="K763" s="69"/>
      <c r="L763" s="69"/>
      <c r="M763" s="69"/>
      <c r="N763" s="69" t="str">
        <f t="shared" si="117"/>
        <v/>
      </c>
      <c r="O763" s="69" t="str">
        <f t="shared" si="109"/>
        <v/>
      </c>
      <c r="P763" s="70" t="str">
        <f t="shared" si="110"/>
        <v/>
      </c>
      <c r="Q763" s="69" t="str">
        <f t="shared" si="111"/>
        <v/>
      </c>
      <c r="S763" s="71"/>
      <c r="Z763" t="str">
        <f t="shared" si="112"/>
        <v/>
      </c>
      <c r="AA763">
        <f t="shared" si="113"/>
        <v>0</v>
      </c>
      <c r="AB763">
        <f t="shared" si="114"/>
        <v>12</v>
      </c>
      <c r="AC763">
        <f t="shared" si="115"/>
        <v>33</v>
      </c>
      <c r="AD763">
        <f t="shared" si="116"/>
        <v>1</v>
      </c>
    </row>
    <row r="764" spans="9:30" ht="15" customHeight="1">
      <c r="I764" s="69"/>
      <c r="J764" s="69"/>
      <c r="K764" s="69"/>
      <c r="L764" s="69"/>
      <c r="M764" s="69"/>
      <c r="N764" s="69" t="str">
        <f t="shared" si="117"/>
        <v/>
      </c>
      <c r="O764" s="69" t="str">
        <f t="shared" si="109"/>
        <v/>
      </c>
      <c r="P764" s="70" t="str">
        <f t="shared" si="110"/>
        <v/>
      </c>
      <c r="Q764" s="69" t="str">
        <f t="shared" si="111"/>
        <v/>
      </c>
      <c r="S764" s="71"/>
      <c r="Z764" t="str">
        <f t="shared" si="112"/>
        <v/>
      </c>
      <c r="AA764">
        <f t="shared" si="113"/>
        <v>0</v>
      </c>
      <c r="AB764">
        <f t="shared" si="114"/>
        <v>12</v>
      </c>
      <c r="AC764">
        <f t="shared" si="115"/>
        <v>33</v>
      </c>
      <c r="AD764">
        <f t="shared" si="116"/>
        <v>1</v>
      </c>
    </row>
    <row r="765" spans="9:30" ht="15" customHeight="1">
      <c r="I765" s="69"/>
      <c r="J765" s="69"/>
      <c r="K765" s="69"/>
      <c r="L765" s="69"/>
      <c r="M765" s="69"/>
      <c r="N765" s="69" t="str">
        <f t="shared" si="117"/>
        <v/>
      </c>
      <c r="O765" s="69" t="str">
        <f t="shared" si="109"/>
        <v/>
      </c>
      <c r="P765" s="70" t="str">
        <f t="shared" si="110"/>
        <v/>
      </c>
      <c r="Q765" s="69" t="str">
        <f t="shared" si="111"/>
        <v/>
      </c>
      <c r="S765" s="71"/>
      <c r="Z765" t="str">
        <f t="shared" si="112"/>
        <v/>
      </c>
      <c r="AA765">
        <f t="shared" si="113"/>
        <v>0</v>
      </c>
      <c r="AB765">
        <f t="shared" si="114"/>
        <v>12</v>
      </c>
      <c r="AC765">
        <f t="shared" si="115"/>
        <v>33</v>
      </c>
      <c r="AD765">
        <f t="shared" si="116"/>
        <v>1</v>
      </c>
    </row>
    <row r="766" spans="9:30" ht="15" customHeight="1">
      <c r="I766" s="69"/>
      <c r="J766" s="69"/>
      <c r="K766" s="69"/>
      <c r="L766" s="69"/>
      <c r="M766" s="69"/>
      <c r="N766" s="69" t="str">
        <f t="shared" si="117"/>
        <v/>
      </c>
      <c r="O766" s="69" t="str">
        <f t="shared" si="109"/>
        <v/>
      </c>
      <c r="P766" s="70" t="str">
        <f t="shared" si="110"/>
        <v/>
      </c>
      <c r="Q766" s="69" t="str">
        <f t="shared" si="111"/>
        <v/>
      </c>
      <c r="S766" s="71"/>
      <c r="Z766" t="str">
        <f t="shared" si="112"/>
        <v/>
      </c>
      <c r="AA766">
        <f t="shared" si="113"/>
        <v>0</v>
      </c>
      <c r="AB766">
        <f t="shared" si="114"/>
        <v>12</v>
      </c>
      <c r="AC766">
        <f t="shared" si="115"/>
        <v>33</v>
      </c>
      <c r="AD766">
        <f t="shared" si="116"/>
        <v>1</v>
      </c>
    </row>
    <row r="767" spans="9:30" ht="15" customHeight="1">
      <c r="I767" s="69"/>
      <c r="J767" s="69"/>
      <c r="K767" s="69"/>
      <c r="L767" s="69"/>
      <c r="M767" s="69"/>
      <c r="N767" s="69" t="str">
        <f t="shared" si="117"/>
        <v/>
      </c>
      <c r="O767" s="69" t="str">
        <f t="shared" si="109"/>
        <v/>
      </c>
      <c r="P767" s="70" t="str">
        <f t="shared" si="110"/>
        <v/>
      </c>
      <c r="Q767" s="69" t="str">
        <f t="shared" si="111"/>
        <v/>
      </c>
      <c r="S767" s="71"/>
      <c r="Z767" t="str">
        <f t="shared" si="112"/>
        <v/>
      </c>
      <c r="AA767">
        <f t="shared" si="113"/>
        <v>0</v>
      </c>
      <c r="AB767">
        <f t="shared" si="114"/>
        <v>12</v>
      </c>
      <c r="AC767">
        <f t="shared" si="115"/>
        <v>33</v>
      </c>
      <c r="AD767">
        <f t="shared" si="116"/>
        <v>1</v>
      </c>
    </row>
    <row r="768" spans="9:30" ht="15" customHeight="1">
      <c r="I768" s="69"/>
      <c r="J768" s="69"/>
      <c r="K768" s="69"/>
      <c r="L768" s="69"/>
      <c r="M768" s="69"/>
      <c r="N768" s="69" t="str">
        <f t="shared" si="117"/>
        <v/>
      </c>
      <c r="O768" s="69" t="str">
        <f t="shared" si="109"/>
        <v/>
      </c>
      <c r="P768" s="70" t="str">
        <f t="shared" si="110"/>
        <v/>
      </c>
      <c r="Q768" s="69" t="str">
        <f t="shared" si="111"/>
        <v/>
      </c>
      <c r="S768" s="71"/>
      <c r="Z768" t="str">
        <f t="shared" si="112"/>
        <v/>
      </c>
      <c r="AA768">
        <f t="shared" si="113"/>
        <v>0</v>
      </c>
      <c r="AB768">
        <f t="shared" si="114"/>
        <v>12</v>
      </c>
      <c r="AC768">
        <f t="shared" si="115"/>
        <v>33</v>
      </c>
      <c r="AD768">
        <f t="shared" si="116"/>
        <v>1</v>
      </c>
    </row>
    <row r="769" spans="9:30" ht="15" customHeight="1">
      <c r="I769" s="69"/>
      <c r="J769" s="69"/>
      <c r="K769" s="69"/>
      <c r="L769" s="69"/>
      <c r="M769" s="69"/>
      <c r="N769" s="69" t="str">
        <f t="shared" si="117"/>
        <v/>
      </c>
      <c r="O769" s="69" t="str">
        <f t="shared" si="109"/>
        <v/>
      </c>
      <c r="P769" s="70" t="str">
        <f t="shared" si="110"/>
        <v/>
      </c>
      <c r="Q769" s="69" t="str">
        <f t="shared" si="111"/>
        <v/>
      </c>
      <c r="S769" s="71"/>
      <c r="Z769" t="str">
        <f t="shared" si="112"/>
        <v/>
      </c>
      <c r="AA769">
        <f t="shared" si="113"/>
        <v>0</v>
      </c>
      <c r="AB769">
        <f t="shared" si="114"/>
        <v>12</v>
      </c>
      <c r="AC769">
        <f t="shared" si="115"/>
        <v>33</v>
      </c>
      <c r="AD769">
        <f t="shared" si="116"/>
        <v>1</v>
      </c>
    </row>
    <row r="770" spans="9:30" ht="15" customHeight="1">
      <c r="I770" s="69"/>
      <c r="J770" s="69"/>
      <c r="K770" s="69"/>
      <c r="L770" s="69"/>
      <c r="M770" s="69"/>
      <c r="N770" s="69" t="str">
        <f t="shared" si="117"/>
        <v/>
      </c>
      <c r="O770" s="69" t="str">
        <f t="shared" si="109"/>
        <v/>
      </c>
      <c r="P770" s="70" t="str">
        <f t="shared" si="110"/>
        <v/>
      </c>
      <c r="Q770" s="69" t="str">
        <f t="shared" si="111"/>
        <v/>
      </c>
      <c r="S770" s="71"/>
      <c r="Z770" t="str">
        <f t="shared" si="112"/>
        <v/>
      </c>
      <c r="AA770">
        <f t="shared" si="113"/>
        <v>0</v>
      </c>
      <c r="AB770">
        <f t="shared" si="114"/>
        <v>12</v>
      </c>
      <c r="AC770">
        <f t="shared" si="115"/>
        <v>33</v>
      </c>
      <c r="AD770">
        <f t="shared" si="116"/>
        <v>1</v>
      </c>
    </row>
    <row r="771" spans="9:30" ht="15" customHeight="1">
      <c r="I771" s="69"/>
      <c r="J771" s="69"/>
      <c r="K771" s="69"/>
      <c r="L771" s="69"/>
      <c r="M771" s="69"/>
      <c r="N771" s="69" t="str">
        <f t="shared" si="117"/>
        <v/>
      </c>
      <c r="O771" s="69" t="str">
        <f t="shared" si="109"/>
        <v/>
      </c>
      <c r="P771" s="70" t="str">
        <f t="shared" si="110"/>
        <v/>
      </c>
      <c r="Q771" s="69" t="str">
        <f t="shared" si="111"/>
        <v/>
      </c>
      <c r="S771" s="71"/>
      <c r="Z771" t="str">
        <f t="shared" si="112"/>
        <v/>
      </c>
      <c r="AA771">
        <f t="shared" si="113"/>
        <v>0</v>
      </c>
      <c r="AB771">
        <f t="shared" si="114"/>
        <v>12</v>
      </c>
      <c r="AC771">
        <f t="shared" si="115"/>
        <v>33</v>
      </c>
      <c r="AD771">
        <f t="shared" si="116"/>
        <v>1</v>
      </c>
    </row>
    <row r="772" spans="9:30" ht="15" customHeight="1">
      <c r="I772" s="69"/>
      <c r="J772" s="69"/>
      <c r="K772" s="69"/>
      <c r="L772" s="69"/>
      <c r="M772" s="69"/>
      <c r="N772" s="69" t="str">
        <f t="shared" si="117"/>
        <v/>
      </c>
      <c r="O772" s="69" t="str">
        <f t="shared" si="109"/>
        <v/>
      </c>
      <c r="P772" s="70" t="str">
        <f t="shared" si="110"/>
        <v/>
      </c>
      <c r="Q772" s="69" t="str">
        <f t="shared" si="111"/>
        <v/>
      </c>
      <c r="S772" s="71"/>
      <c r="Z772" t="str">
        <f t="shared" si="112"/>
        <v/>
      </c>
      <c r="AA772">
        <f t="shared" si="113"/>
        <v>0</v>
      </c>
      <c r="AB772">
        <f t="shared" si="114"/>
        <v>12</v>
      </c>
      <c r="AC772">
        <f t="shared" si="115"/>
        <v>33</v>
      </c>
      <c r="AD772">
        <f t="shared" si="116"/>
        <v>1</v>
      </c>
    </row>
    <row r="773" spans="9:30" ht="15" customHeight="1">
      <c r="I773" s="69"/>
      <c r="J773" s="69"/>
      <c r="K773" s="69"/>
      <c r="L773" s="69"/>
      <c r="M773" s="69"/>
      <c r="N773" s="69" t="str">
        <f t="shared" si="117"/>
        <v/>
      </c>
      <c r="O773" s="69" t="str">
        <f t="shared" si="109"/>
        <v/>
      </c>
      <c r="P773" s="70" t="str">
        <f t="shared" si="110"/>
        <v/>
      </c>
      <c r="Q773" s="69" t="str">
        <f t="shared" si="111"/>
        <v/>
      </c>
      <c r="S773" s="71"/>
      <c r="Z773" t="str">
        <f t="shared" si="112"/>
        <v/>
      </c>
      <c r="AA773">
        <f t="shared" si="113"/>
        <v>0</v>
      </c>
      <c r="AB773">
        <f t="shared" si="114"/>
        <v>12</v>
      </c>
      <c r="AC773">
        <f t="shared" si="115"/>
        <v>33</v>
      </c>
      <c r="AD773">
        <f t="shared" si="116"/>
        <v>1</v>
      </c>
    </row>
    <row r="774" spans="9:30" ht="15" customHeight="1">
      <c r="I774" s="69"/>
      <c r="J774" s="69"/>
      <c r="K774" s="69"/>
      <c r="L774" s="69"/>
      <c r="M774" s="69"/>
      <c r="N774" s="69" t="str">
        <f t="shared" si="117"/>
        <v/>
      </c>
      <c r="O774" s="69" t="str">
        <f t="shared" ref="O774:O837" si="118">IF(ISNUMBER(I774),I774-SUM(J774:N774),"")</f>
        <v/>
      </c>
      <c r="P774" s="70" t="str">
        <f t="shared" ref="P774:P837" si="119">IFERROR(IF(AND(ISNUMBER(O774),ISNUMBER(I774),I774&lt;&gt;0),O774/I774,""),"")</f>
        <v/>
      </c>
      <c r="Q774" s="69" t="str">
        <f t="shared" ref="Q774:Q837" si="120">IF(AND(ISNUMBER(I774),ISNUMBER(S774)),I774*IF(S774&lt;=1,S774,S774/100),IF(OR(I774&lt;&gt;"",S774&lt;&gt;""),"tbd",""))</f>
        <v/>
      </c>
      <c r="S774" s="71"/>
      <c r="Z774" t="str">
        <f t="shared" ref="Z774:Z837" si="121">IF(AND(R774="WON",ISNUMBER(I774)),AA774,"")</f>
        <v/>
      </c>
      <c r="AA774">
        <f t="shared" ref="AA774:AA837" si="122">IFERROR(I774*1,0)</f>
        <v>0</v>
      </c>
      <c r="AB774">
        <f t="shared" ref="AB774:AB837" si="123">N(AB773)+IF(AND(R774="WON",B774&lt;&gt;""),1,0)</f>
        <v>12</v>
      </c>
      <c r="AC774">
        <f t="shared" ref="AC774:AC837" si="124">N(AC773)+IF(AND(OR(R774="offered",R774="to be offered",R774="on hold"),B774&lt;&gt;""),1,0)</f>
        <v>33</v>
      </c>
      <c r="AD774">
        <f t="shared" ref="AD774:AD837" si="125">N(AD773)+IF(AND(OR(R774="follow-up",R774="Evaluation",R774="tbd",R774="In evaluation"),B774&lt;&gt;""),1,0)</f>
        <v>1</v>
      </c>
    </row>
    <row r="775" spans="9:30" ht="15" customHeight="1">
      <c r="I775" s="69"/>
      <c r="J775" s="69"/>
      <c r="K775" s="69"/>
      <c r="L775" s="69"/>
      <c r="M775" s="69"/>
      <c r="N775" s="69" t="str">
        <f t="shared" si="117"/>
        <v/>
      </c>
      <c r="O775" s="69" t="str">
        <f t="shared" si="118"/>
        <v/>
      </c>
      <c r="P775" s="70" t="str">
        <f t="shared" si="119"/>
        <v/>
      </c>
      <c r="Q775" s="69" t="str">
        <f t="shared" si="120"/>
        <v/>
      </c>
      <c r="S775" s="71"/>
      <c r="Z775" t="str">
        <f t="shared" si="121"/>
        <v/>
      </c>
      <c r="AA775">
        <f t="shared" si="122"/>
        <v>0</v>
      </c>
      <c r="AB775">
        <f t="shared" si="123"/>
        <v>12</v>
      </c>
      <c r="AC775">
        <f t="shared" si="124"/>
        <v>33</v>
      </c>
      <c r="AD775">
        <f t="shared" si="125"/>
        <v>1</v>
      </c>
    </row>
    <row r="776" spans="9:30" ht="15" customHeight="1">
      <c r="I776" s="69"/>
      <c r="J776" s="69"/>
      <c r="K776" s="69"/>
      <c r="L776" s="69"/>
      <c r="M776" s="69"/>
      <c r="N776" s="69" t="str">
        <f t="shared" si="117"/>
        <v/>
      </c>
      <c r="O776" s="69" t="str">
        <f t="shared" si="118"/>
        <v/>
      </c>
      <c r="P776" s="70" t="str">
        <f t="shared" si="119"/>
        <v/>
      </c>
      <c r="Q776" s="69" t="str">
        <f t="shared" si="120"/>
        <v/>
      </c>
      <c r="S776" s="71"/>
      <c r="Z776" t="str">
        <f t="shared" si="121"/>
        <v/>
      </c>
      <c r="AA776">
        <f t="shared" si="122"/>
        <v>0</v>
      </c>
      <c r="AB776">
        <f t="shared" si="123"/>
        <v>12</v>
      </c>
      <c r="AC776">
        <f t="shared" si="124"/>
        <v>33</v>
      </c>
      <c r="AD776">
        <f t="shared" si="125"/>
        <v>1</v>
      </c>
    </row>
    <row r="777" spans="9:30" ht="15" customHeight="1">
      <c r="I777" s="69"/>
      <c r="J777" s="69"/>
      <c r="K777" s="69"/>
      <c r="L777" s="69"/>
      <c r="M777" s="69"/>
      <c r="N777" s="69" t="str">
        <f t="shared" si="117"/>
        <v/>
      </c>
      <c r="O777" s="69" t="str">
        <f t="shared" si="118"/>
        <v/>
      </c>
      <c r="P777" s="70" t="str">
        <f t="shared" si="119"/>
        <v/>
      </c>
      <c r="Q777" s="69" t="str">
        <f t="shared" si="120"/>
        <v/>
      </c>
      <c r="S777" s="71"/>
      <c r="Z777" t="str">
        <f t="shared" si="121"/>
        <v/>
      </c>
      <c r="AA777">
        <f t="shared" si="122"/>
        <v>0</v>
      </c>
      <c r="AB777">
        <f t="shared" si="123"/>
        <v>12</v>
      </c>
      <c r="AC777">
        <f t="shared" si="124"/>
        <v>33</v>
      </c>
      <c r="AD777">
        <f t="shared" si="125"/>
        <v>1</v>
      </c>
    </row>
    <row r="778" spans="9:30" ht="15" customHeight="1">
      <c r="I778" s="69"/>
      <c r="J778" s="69"/>
      <c r="K778" s="69"/>
      <c r="L778" s="69"/>
      <c r="M778" s="69"/>
      <c r="N778" s="69" t="str">
        <f t="shared" si="117"/>
        <v/>
      </c>
      <c r="O778" s="69" t="str">
        <f t="shared" si="118"/>
        <v/>
      </c>
      <c r="P778" s="70" t="str">
        <f t="shared" si="119"/>
        <v/>
      </c>
      <c r="Q778" s="69" t="str">
        <f t="shared" si="120"/>
        <v/>
      </c>
      <c r="S778" s="71"/>
      <c r="Z778" t="str">
        <f t="shared" si="121"/>
        <v/>
      </c>
      <c r="AA778">
        <f t="shared" si="122"/>
        <v>0</v>
      </c>
      <c r="AB778">
        <f t="shared" si="123"/>
        <v>12</v>
      </c>
      <c r="AC778">
        <f t="shared" si="124"/>
        <v>33</v>
      </c>
      <c r="AD778">
        <f t="shared" si="125"/>
        <v>1</v>
      </c>
    </row>
    <row r="779" spans="9:30" ht="15" customHeight="1">
      <c r="I779" s="69"/>
      <c r="J779" s="69"/>
      <c r="K779" s="69"/>
      <c r="L779" s="69"/>
      <c r="M779" s="69"/>
      <c r="N779" s="69" t="str">
        <f t="shared" si="117"/>
        <v/>
      </c>
      <c r="O779" s="69" t="str">
        <f t="shared" si="118"/>
        <v/>
      </c>
      <c r="P779" s="70" t="str">
        <f t="shared" si="119"/>
        <v/>
      </c>
      <c r="Q779" s="69" t="str">
        <f t="shared" si="120"/>
        <v/>
      </c>
      <c r="S779" s="71"/>
      <c r="Z779" t="str">
        <f t="shared" si="121"/>
        <v/>
      </c>
      <c r="AA779">
        <f t="shared" si="122"/>
        <v>0</v>
      </c>
      <c r="AB779">
        <f t="shared" si="123"/>
        <v>12</v>
      </c>
      <c r="AC779">
        <f t="shared" si="124"/>
        <v>33</v>
      </c>
      <c r="AD779">
        <f t="shared" si="125"/>
        <v>1</v>
      </c>
    </row>
    <row r="780" spans="9:30" ht="15" customHeight="1">
      <c r="I780" s="69"/>
      <c r="J780" s="69"/>
      <c r="K780" s="69"/>
      <c r="L780" s="69"/>
      <c r="M780" s="69"/>
      <c r="N780" s="69" t="str">
        <f t="shared" si="117"/>
        <v/>
      </c>
      <c r="O780" s="69" t="str">
        <f t="shared" si="118"/>
        <v/>
      </c>
      <c r="P780" s="70" t="str">
        <f t="shared" si="119"/>
        <v/>
      </c>
      <c r="Q780" s="69" t="str">
        <f t="shared" si="120"/>
        <v/>
      </c>
      <c r="S780" s="71"/>
      <c r="Z780" t="str">
        <f t="shared" si="121"/>
        <v/>
      </c>
      <c r="AA780">
        <f t="shared" si="122"/>
        <v>0</v>
      </c>
      <c r="AB780">
        <f t="shared" si="123"/>
        <v>12</v>
      </c>
      <c r="AC780">
        <f t="shared" si="124"/>
        <v>33</v>
      </c>
      <c r="AD780">
        <f t="shared" si="125"/>
        <v>1</v>
      </c>
    </row>
    <row r="781" spans="9:30" ht="15" customHeight="1">
      <c r="I781" s="69"/>
      <c r="J781" s="69"/>
      <c r="K781" s="69"/>
      <c r="L781" s="69"/>
      <c r="M781" s="69"/>
      <c r="N781" s="69" t="str">
        <f t="shared" si="117"/>
        <v/>
      </c>
      <c r="O781" s="69" t="str">
        <f t="shared" si="118"/>
        <v/>
      </c>
      <c r="P781" s="70" t="str">
        <f t="shared" si="119"/>
        <v/>
      </c>
      <c r="Q781" s="69" t="str">
        <f t="shared" si="120"/>
        <v/>
      </c>
      <c r="S781" s="71"/>
      <c r="Z781" t="str">
        <f t="shared" si="121"/>
        <v/>
      </c>
      <c r="AA781">
        <f t="shared" si="122"/>
        <v>0</v>
      </c>
      <c r="AB781">
        <f t="shared" si="123"/>
        <v>12</v>
      </c>
      <c r="AC781">
        <f t="shared" si="124"/>
        <v>33</v>
      </c>
      <c r="AD781">
        <f t="shared" si="125"/>
        <v>1</v>
      </c>
    </row>
    <row r="782" spans="9:30" ht="15" customHeight="1">
      <c r="I782" s="69"/>
      <c r="J782" s="69"/>
      <c r="K782" s="69"/>
      <c r="L782" s="69"/>
      <c r="M782" s="69"/>
      <c r="N782" s="69" t="str">
        <f t="shared" si="117"/>
        <v/>
      </c>
      <c r="O782" s="69" t="str">
        <f t="shared" si="118"/>
        <v/>
      </c>
      <c r="P782" s="70" t="str">
        <f t="shared" si="119"/>
        <v/>
      </c>
      <c r="Q782" s="69" t="str">
        <f t="shared" si="120"/>
        <v/>
      </c>
      <c r="S782" s="71"/>
      <c r="Z782" t="str">
        <f t="shared" si="121"/>
        <v/>
      </c>
      <c r="AA782">
        <f t="shared" si="122"/>
        <v>0</v>
      </c>
      <c r="AB782">
        <f t="shared" si="123"/>
        <v>12</v>
      </c>
      <c r="AC782">
        <f t="shared" si="124"/>
        <v>33</v>
      </c>
      <c r="AD782">
        <f t="shared" si="125"/>
        <v>1</v>
      </c>
    </row>
    <row r="783" spans="9:30" ht="15" customHeight="1">
      <c r="I783" s="69"/>
      <c r="J783" s="69"/>
      <c r="K783" s="69"/>
      <c r="L783" s="69"/>
      <c r="M783" s="69"/>
      <c r="N783" s="69" t="str">
        <f t="shared" si="117"/>
        <v/>
      </c>
      <c r="O783" s="69" t="str">
        <f t="shared" si="118"/>
        <v/>
      </c>
      <c r="P783" s="70" t="str">
        <f t="shared" si="119"/>
        <v/>
      </c>
      <c r="Q783" s="69" t="str">
        <f t="shared" si="120"/>
        <v/>
      </c>
      <c r="S783" s="71"/>
      <c r="Z783" t="str">
        <f t="shared" si="121"/>
        <v/>
      </c>
      <c r="AA783">
        <f t="shared" si="122"/>
        <v>0</v>
      </c>
      <c r="AB783">
        <f t="shared" si="123"/>
        <v>12</v>
      </c>
      <c r="AC783">
        <f t="shared" si="124"/>
        <v>33</v>
      </c>
      <c r="AD783">
        <f t="shared" si="125"/>
        <v>1</v>
      </c>
    </row>
    <row r="784" spans="9:30" ht="15" customHeight="1">
      <c r="I784" s="69"/>
      <c r="J784" s="69"/>
      <c r="K784" s="69"/>
      <c r="L784" s="69"/>
      <c r="M784" s="69"/>
      <c r="N784" s="69" t="str">
        <f t="shared" si="117"/>
        <v/>
      </c>
      <c r="O784" s="69" t="str">
        <f t="shared" si="118"/>
        <v/>
      </c>
      <c r="P784" s="70" t="str">
        <f t="shared" si="119"/>
        <v/>
      </c>
      <c r="Q784" s="69" t="str">
        <f t="shared" si="120"/>
        <v/>
      </c>
      <c r="S784" s="71"/>
      <c r="Z784" t="str">
        <f t="shared" si="121"/>
        <v/>
      </c>
      <c r="AA784">
        <f t="shared" si="122"/>
        <v>0</v>
      </c>
      <c r="AB784">
        <f t="shared" si="123"/>
        <v>12</v>
      </c>
      <c r="AC784">
        <f t="shared" si="124"/>
        <v>33</v>
      </c>
      <c r="AD784">
        <f t="shared" si="125"/>
        <v>1</v>
      </c>
    </row>
    <row r="785" spans="9:30" ht="15" customHeight="1">
      <c r="I785" s="69"/>
      <c r="J785" s="69"/>
      <c r="K785" s="69"/>
      <c r="L785" s="69"/>
      <c r="M785" s="69"/>
      <c r="N785" s="69" t="str">
        <f t="shared" si="117"/>
        <v/>
      </c>
      <c r="O785" s="69" t="str">
        <f t="shared" si="118"/>
        <v/>
      </c>
      <c r="P785" s="70" t="str">
        <f t="shared" si="119"/>
        <v/>
      </c>
      <c r="Q785" s="69" t="str">
        <f t="shared" si="120"/>
        <v/>
      </c>
      <c r="S785" s="71"/>
      <c r="Z785" t="str">
        <f t="shared" si="121"/>
        <v/>
      </c>
      <c r="AA785">
        <f t="shared" si="122"/>
        <v>0</v>
      </c>
      <c r="AB785">
        <f t="shared" si="123"/>
        <v>12</v>
      </c>
      <c r="AC785">
        <f t="shared" si="124"/>
        <v>33</v>
      </c>
      <c r="AD785">
        <f t="shared" si="125"/>
        <v>1</v>
      </c>
    </row>
    <row r="786" spans="9:30" ht="15" customHeight="1">
      <c r="I786" s="69"/>
      <c r="J786" s="69"/>
      <c r="K786" s="69"/>
      <c r="L786" s="69"/>
      <c r="M786" s="69"/>
      <c r="N786" s="69" t="str">
        <f t="shared" si="117"/>
        <v/>
      </c>
      <c r="O786" s="69" t="str">
        <f t="shared" si="118"/>
        <v/>
      </c>
      <c r="P786" s="70" t="str">
        <f t="shared" si="119"/>
        <v/>
      </c>
      <c r="Q786" s="69" t="str">
        <f t="shared" si="120"/>
        <v/>
      </c>
      <c r="S786" s="71"/>
      <c r="Z786" t="str">
        <f t="shared" si="121"/>
        <v/>
      </c>
      <c r="AA786">
        <f t="shared" si="122"/>
        <v>0</v>
      </c>
      <c r="AB786">
        <f t="shared" si="123"/>
        <v>12</v>
      </c>
      <c r="AC786">
        <f t="shared" si="124"/>
        <v>33</v>
      </c>
      <c r="AD786">
        <f t="shared" si="125"/>
        <v>1</v>
      </c>
    </row>
    <row r="787" spans="9:30" ht="15" customHeight="1">
      <c r="I787" s="69"/>
      <c r="J787" s="69"/>
      <c r="K787" s="69"/>
      <c r="L787" s="69"/>
      <c r="M787" s="69"/>
      <c r="N787" s="69" t="str">
        <f t="shared" si="117"/>
        <v/>
      </c>
      <c r="O787" s="69" t="str">
        <f t="shared" si="118"/>
        <v/>
      </c>
      <c r="P787" s="70" t="str">
        <f t="shared" si="119"/>
        <v/>
      </c>
      <c r="Q787" s="69" t="str">
        <f t="shared" si="120"/>
        <v/>
      </c>
      <c r="S787" s="71"/>
      <c r="Z787" t="str">
        <f t="shared" si="121"/>
        <v/>
      </c>
      <c r="AA787">
        <f t="shared" si="122"/>
        <v>0</v>
      </c>
      <c r="AB787">
        <f t="shared" si="123"/>
        <v>12</v>
      </c>
      <c r="AC787">
        <f t="shared" si="124"/>
        <v>33</v>
      </c>
      <c r="AD787">
        <f t="shared" si="125"/>
        <v>1</v>
      </c>
    </row>
    <row r="788" spans="9:30" ht="15" customHeight="1">
      <c r="I788" s="69"/>
      <c r="J788" s="69"/>
      <c r="K788" s="69"/>
      <c r="L788" s="69"/>
      <c r="M788" s="69"/>
      <c r="N788" s="69" t="str">
        <f t="shared" si="117"/>
        <v/>
      </c>
      <c r="O788" s="69" t="str">
        <f t="shared" si="118"/>
        <v/>
      </c>
      <c r="P788" s="70" t="str">
        <f t="shared" si="119"/>
        <v/>
      </c>
      <c r="Q788" s="69" t="str">
        <f t="shared" si="120"/>
        <v/>
      </c>
      <c r="S788" s="71"/>
      <c r="Z788" t="str">
        <f t="shared" si="121"/>
        <v/>
      </c>
      <c r="AA788">
        <f t="shared" si="122"/>
        <v>0</v>
      </c>
      <c r="AB788">
        <f t="shared" si="123"/>
        <v>12</v>
      </c>
      <c r="AC788">
        <f t="shared" si="124"/>
        <v>33</v>
      </c>
      <c r="AD788">
        <f t="shared" si="125"/>
        <v>1</v>
      </c>
    </row>
    <row r="789" spans="9:30" ht="15" customHeight="1">
      <c r="I789" s="69"/>
      <c r="J789" s="69"/>
      <c r="K789" s="69"/>
      <c r="L789" s="69"/>
      <c r="M789" s="69"/>
      <c r="N789" s="69" t="str">
        <f t="shared" si="117"/>
        <v/>
      </c>
      <c r="O789" s="69" t="str">
        <f t="shared" si="118"/>
        <v/>
      </c>
      <c r="P789" s="70" t="str">
        <f t="shared" si="119"/>
        <v/>
      </c>
      <c r="Q789" s="69" t="str">
        <f t="shared" si="120"/>
        <v/>
      </c>
      <c r="S789" s="71"/>
      <c r="Z789" t="str">
        <f t="shared" si="121"/>
        <v/>
      </c>
      <c r="AA789">
        <f t="shared" si="122"/>
        <v>0</v>
      </c>
      <c r="AB789">
        <f t="shared" si="123"/>
        <v>12</v>
      </c>
      <c r="AC789">
        <f t="shared" si="124"/>
        <v>33</v>
      </c>
      <c r="AD789">
        <f t="shared" si="125"/>
        <v>1</v>
      </c>
    </row>
    <row r="790" spans="9:30" ht="15" customHeight="1">
      <c r="I790" s="69"/>
      <c r="J790" s="69"/>
      <c r="K790" s="69"/>
      <c r="L790" s="69"/>
      <c r="M790" s="69"/>
      <c r="N790" s="69" t="str">
        <f t="shared" si="117"/>
        <v/>
      </c>
      <c r="O790" s="69" t="str">
        <f t="shared" si="118"/>
        <v/>
      </c>
      <c r="P790" s="70" t="str">
        <f t="shared" si="119"/>
        <v/>
      </c>
      <c r="Q790" s="69" t="str">
        <f t="shared" si="120"/>
        <v/>
      </c>
      <c r="S790" s="71"/>
      <c r="Z790" t="str">
        <f t="shared" si="121"/>
        <v/>
      </c>
      <c r="AA790">
        <f t="shared" si="122"/>
        <v>0</v>
      </c>
      <c r="AB790">
        <f t="shared" si="123"/>
        <v>12</v>
      </c>
      <c r="AC790">
        <f t="shared" si="124"/>
        <v>33</v>
      </c>
      <c r="AD790">
        <f t="shared" si="125"/>
        <v>1</v>
      </c>
    </row>
    <row r="791" spans="9:30" ht="15" customHeight="1">
      <c r="I791" s="69"/>
      <c r="J791" s="69"/>
      <c r="K791" s="69"/>
      <c r="L791" s="69"/>
      <c r="M791" s="69"/>
      <c r="N791" s="69" t="str">
        <f t="shared" si="117"/>
        <v/>
      </c>
      <c r="O791" s="69" t="str">
        <f t="shared" si="118"/>
        <v/>
      </c>
      <c r="P791" s="70" t="str">
        <f t="shared" si="119"/>
        <v/>
      </c>
      <c r="Q791" s="69" t="str">
        <f t="shared" si="120"/>
        <v/>
      </c>
      <c r="S791" s="71"/>
      <c r="Z791" t="str">
        <f t="shared" si="121"/>
        <v/>
      </c>
      <c r="AA791">
        <f t="shared" si="122"/>
        <v>0</v>
      </c>
      <c r="AB791">
        <f t="shared" si="123"/>
        <v>12</v>
      </c>
      <c r="AC791">
        <f t="shared" si="124"/>
        <v>33</v>
      </c>
      <c r="AD791">
        <f t="shared" si="125"/>
        <v>1</v>
      </c>
    </row>
    <row r="792" spans="9:30" ht="15" customHeight="1">
      <c r="I792" s="69"/>
      <c r="J792" s="69"/>
      <c r="K792" s="69"/>
      <c r="L792" s="69"/>
      <c r="M792" s="69"/>
      <c r="N792" s="69" t="str">
        <f t="shared" si="117"/>
        <v/>
      </c>
      <c r="O792" s="69" t="str">
        <f t="shared" si="118"/>
        <v/>
      </c>
      <c r="P792" s="70" t="str">
        <f t="shared" si="119"/>
        <v/>
      </c>
      <c r="Q792" s="69" t="str">
        <f t="shared" si="120"/>
        <v/>
      </c>
      <c r="S792" s="71"/>
      <c r="Z792" t="str">
        <f t="shared" si="121"/>
        <v/>
      </c>
      <c r="AA792">
        <f t="shared" si="122"/>
        <v>0</v>
      </c>
      <c r="AB792">
        <f t="shared" si="123"/>
        <v>12</v>
      </c>
      <c r="AC792">
        <f t="shared" si="124"/>
        <v>33</v>
      </c>
      <c r="AD792">
        <f t="shared" si="125"/>
        <v>1</v>
      </c>
    </row>
    <row r="793" spans="9:30" ht="15" customHeight="1">
      <c r="I793" s="69"/>
      <c r="J793" s="69"/>
      <c r="K793" s="69"/>
      <c r="L793" s="69"/>
      <c r="M793" s="69"/>
      <c r="N793" s="69" t="str">
        <f t="shared" si="117"/>
        <v/>
      </c>
      <c r="O793" s="69" t="str">
        <f t="shared" si="118"/>
        <v/>
      </c>
      <c r="P793" s="70" t="str">
        <f t="shared" si="119"/>
        <v/>
      </c>
      <c r="Q793" s="69" t="str">
        <f t="shared" si="120"/>
        <v/>
      </c>
      <c r="S793" s="71"/>
      <c r="Z793" t="str">
        <f t="shared" si="121"/>
        <v/>
      </c>
      <c r="AA793">
        <f t="shared" si="122"/>
        <v>0</v>
      </c>
      <c r="AB793">
        <f t="shared" si="123"/>
        <v>12</v>
      </c>
      <c r="AC793">
        <f t="shared" si="124"/>
        <v>33</v>
      </c>
      <c r="AD793">
        <f t="shared" si="125"/>
        <v>1</v>
      </c>
    </row>
    <row r="794" spans="9:30" ht="15" customHeight="1">
      <c r="I794" s="69"/>
      <c r="J794" s="69"/>
      <c r="K794" s="69"/>
      <c r="L794" s="69"/>
      <c r="M794" s="69"/>
      <c r="N794" s="69" t="str">
        <f t="shared" si="117"/>
        <v/>
      </c>
      <c r="O794" s="69" t="str">
        <f t="shared" si="118"/>
        <v/>
      </c>
      <c r="P794" s="70" t="str">
        <f t="shared" si="119"/>
        <v/>
      </c>
      <c r="Q794" s="69" t="str">
        <f t="shared" si="120"/>
        <v/>
      </c>
      <c r="S794" s="71"/>
      <c r="Z794" t="str">
        <f t="shared" si="121"/>
        <v/>
      </c>
      <c r="AA794">
        <f t="shared" si="122"/>
        <v>0</v>
      </c>
      <c r="AB794">
        <f t="shared" si="123"/>
        <v>12</v>
      </c>
      <c r="AC794">
        <f t="shared" si="124"/>
        <v>33</v>
      </c>
      <c r="AD794">
        <f t="shared" si="125"/>
        <v>1</v>
      </c>
    </row>
    <row r="795" spans="9:30" ht="15" customHeight="1">
      <c r="I795" s="69"/>
      <c r="J795" s="69"/>
      <c r="K795" s="69"/>
      <c r="L795" s="69"/>
      <c r="M795" s="69"/>
      <c r="N795" s="69" t="str">
        <f t="shared" si="117"/>
        <v/>
      </c>
      <c r="O795" s="69" t="str">
        <f t="shared" si="118"/>
        <v/>
      </c>
      <c r="P795" s="70" t="str">
        <f t="shared" si="119"/>
        <v/>
      </c>
      <c r="Q795" s="69" t="str">
        <f t="shared" si="120"/>
        <v/>
      </c>
      <c r="S795" s="71"/>
      <c r="Z795" t="str">
        <f t="shared" si="121"/>
        <v/>
      </c>
      <c r="AA795">
        <f t="shared" si="122"/>
        <v>0</v>
      </c>
      <c r="AB795">
        <f t="shared" si="123"/>
        <v>12</v>
      </c>
      <c r="AC795">
        <f t="shared" si="124"/>
        <v>33</v>
      </c>
      <c r="AD795">
        <f t="shared" si="125"/>
        <v>1</v>
      </c>
    </row>
    <row r="796" spans="9:30" ht="15" customHeight="1">
      <c r="I796" s="69"/>
      <c r="J796" s="69"/>
      <c r="K796" s="69"/>
      <c r="L796" s="69"/>
      <c r="M796" s="69"/>
      <c r="N796" s="69" t="str">
        <f t="shared" si="117"/>
        <v/>
      </c>
      <c r="O796" s="69" t="str">
        <f t="shared" si="118"/>
        <v/>
      </c>
      <c r="P796" s="70" t="str">
        <f t="shared" si="119"/>
        <v/>
      </c>
      <c r="Q796" s="69" t="str">
        <f t="shared" si="120"/>
        <v/>
      </c>
      <c r="S796" s="71"/>
      <c r="Z796" t="str">
        <f t="shared" si="121"/>
        <v/>
      </c>
      <c r="AA796">
        <f t="shared" si="122"/>
        <v>0</v>
      </c>
      <c r="AB796">
        <f t="shared" si="123"/>
        <v>12</v>
      </c>
      <c r="AC796">
        <f t="shared" si="124"/>
        <v>33</v>
      </c>
      <c r="AD796">
        <f t="shared" si="125"/>
        <v>1</v>
      </c>
    </row>
    <row r="797" spans="9:30" ht="15" customHeight="1">
      <c r="I797" s="69"/>
      <c r="J797" s="69"/>
      <c r="K797" s="69"/>
      <c r="L797" s="69"/>
      <c r="M797" s="69"/>
      <c r="N797" s="69" t="str">
        <f t="shared" si="117"/>
        <v/>
      </c>
      <c r="O797" s="69" t="str">
        <f t="shared" si="118"/>
        <v/>
      </c>
      <c r="P797" s="70" t="str">
        <f t="shared" si="119"/>
        <v/>
      </c>
      <c r="Q797" s="69" t="str">
        <f t="shared" si="120"/>
        <v/>
      </c>
      <c r="S797" s="71"/>
      <c r="Z797" t="str">
        <f t="shared" si="121"/>
        <v/>
      </c>
      <c r="AA797">
        <f t="shared" si="122"/>
        <v>0</v>
      </c>
      <c r="AB797">
        <f t="shared" si="123"/>
        <v>12</v>
      </c>
      <c r="AC797">
        <f t="shared" si="124"/>
        <v>33</v>
      </c>
      <c r="AD797">
        <f t="shared" si="125"/>
        <v>1</v>
      </c>
    </row>
    <row r="798" spans="9:30" ht="15" customHeight="1">
      <c r="I798" s="69"/>
      <c r="J798" s="69"/>
      <c r="K798" s="69"/>
      <c r="L798" s="69"/>
      <c r="M798" s="69"/>
      <c r="N798" s="69" t="str">
        <f t="shared" si="117"/>
        <v/>
      </c>
      <c r="O798" s="69" t="str">
        <f t="shared" si="118"/>
        <v/>
      </c>
      <c r="P798" s="70" t="str">
        <f t="shared" si="119"/>
        <v/>
      </c>
      <c r="Q798" s="69" t="str">
        <f t="shared" si="120"/>
        <v/>
      </c>
      <c r="S798" s="71"/>
      <c r="Z798" t="str">
        <f t="shared" si="121"/>
        <v/>
      </c>
      <c r="AA798">
        <f t="shared" si="122"/>
        <v>0</v>
      </c>
      <c r="AB798">
        <f t="shared" si="123"/>
        <v>12</v>
      </c>
      <c r="AC798">
        <f t="shared" si="124"/>
        <v>33</v>
      </c>
      <c r="AD798">
        <f t="shared" si="125"/>
        <v>1</v>
      </c>
    </row>
    <row r="799" spans="9:30" ht="15" customHeight="1">
      <c r="I799" s="69"/>
      <c r="J799" s="69"/>
      <c r="K799" s="69"/>
      <c r="L799" s="69"/>
      <c r="M799" s="69"/>
      <c r="N799" s="69" t="str">
        <f t="shared" si="117"/>
        <v/>
      </c>
      <c r="O799" s="69" t="str">
        <f t="shared" si="118"/>
        <v/>
      </c>
      <c r="P799" s="70" t="str">
        <f t="shared" si="119"/>
        <v/>
      </c>
      <c r="Q799" s="69" t="str">
        <f t="shared" si="120"/>
        <v/>
      </c>
      <c r="S799" s="71"/>
      <c r="Z799" t="str">
        <f t="shared" si="121"/>
        <v/>
      </c>
      <c r="AA799">
        <f t="shared" si="122"/>
        <v>0</v>
      </c>
      <c r="AB799">
        <f t="shared" si="123"/>
        <v>12</v>
      </c>
      <c r="AC799">
        <f t="shared" si="124"/>
        <v>33</v>
      </c>
      <c r="AD799">
        <f t="shared" si="125"/>
        <v>1</v>
      </c>
    </row>
    <row r="800" spans="9:30" ht="15" customHeight="1">
      <c r="I800" s="69"/>
      <c r="J800" s="69"/>
      <c r="K800" s="69"/>
      <c r="L800" s="69"/>
      <c r="M800" s="69"/>
      <c r="N800" s="69" t="str">
        <f t="shared" si="117"/>
        <v/>
      </c>
      <c r="O800" s="69" t="str">
        <f t="shared" si="118"/>
        <v/>
      </c>
      <c r="P800" s="70" t="str">
        <f t="shared" si="119"/>
        <v/>
      </c>
      <c r="Q800" s="69" t="str">
        <f t="shared" si="120"/>
        <v/>
      </c>
      <c r="S800" s="71"/>
      <c r="Z800" t="str">
        <f t="shared" si="121"/>
        <v/>
      </c>
      <c r="AA800">
        <f t="shared" si="122"/>
        <v>0</v>
      </c>
      <c r="AB800">
        <f t="shared" si="123"/>
        <v>12</v>
      </c>
      <c r="AC800">
        <f t="shared" si="124"/>
        <v>33</v>
      </c>
      <c r="AD800">
        <f t="shared" si="125"/>
        <v>1</v>
      </c>
    </row>
    <row r="801" spans="9:30" ht="15" customHeight="1">
      <c r="I801" s="69"/>
      <c r="J801" s="69"/>
      <c r="K801" s="69"/>
      <c r="L801" s="69"/>
      <c r="M801" s="69"/>
      <c r="N801" s="69" t="str">
        <f t="shared" si="117"/>
        <v/>
      </c>
      <c r="O801" s="69" t="str">
        <f t="shared" si="118"/>
        <v/>
      </c>
      <c r="P801" s="70" t="str">
        <f t="shared" si="119"/>
        <v/>
      </c>
      <c r="Q801" s="69" t="str">
        <f t="shared" si="120"/>
        <v/>
      </c>
      <c r="S801" s="71"/>
      <c r="Z801" t="str">
        <f t="shared" si="121"/>
        <v/>
      </c>
      <c r="AA801">
        <f t="shared" si="122"/>
        <v>0</v>
      </c>
      <c r="AB801">
        <f t="shared" si="123"/>
        <v>12</v>
      </c>
      <c r="AC801">
        <f t="shared" si="124"/>
        <v>33</v>
      </c>
      <c r="AD801">
        <f t="shared" si="125"/>
        <v>1</v>
      </c>
    </row>
    <row r="802" spans="9:30" ht="15" customHeight="1">
      <c r="I802" s="69"/>
      <c r="J802" s="69"/>
      <c r="K802" s="69"/>
      <c r="L802" s="69"/>
      <c r="M802" s="69"/>
      <c r="N802" s="69" t="str">
        <f t="shared" si="117"/>
        <v/>
      </c>
      <c r="O802" s="69" t="str">
        <f t="shared" si="118"/>
        <v/>
      </c>
      <c r="P802" s="70" t="str">
        <f t="shared" si="119"/>
        <v/>
      </c>
      <c r="Q802" s="69" t="str">
        <f t="shared" si="120"/>
        <v/>
      </c>
      <c r="S802" s="71"/>
      <c r="Z802" t="str">
        <f t="shared" si="121"/>
        <v/>
      </c>
      <c r="AA802">
        <f t="shared" si="122"/>
        <v>0</v>
      </c>
      <c r="AB802">
        <f t="shared" si="123"/>
        <v>12</v>
      </c>
      <c r="AC802">
        <f t="shared" si="124"/>
        <v>33</v>
      </c>
      <c r="AD802">
        <f t="shared" si="125"/>
        <v>1</v>
      </c>
    </row>
    <row r="803" spans="9:30" ht="15" customHeight="1">
      <c r="I803" s="69"/>
      <c r="J803" s="69"/>
      <c r="K803" s="69"/>
      <c r="L803" s="69"/>
      <c r="M803" s="69"/>
      <c r="N803" s="69" t="str">
        <f t="shared" si="117"/>
        <v/>
      </c>
      <c r="O803" s="69" t="str">
        <f t="shared" si="118"/>
        <v/>
      </c>
      <c r="P803" s="70" t="str">
        <f t="shared" si="119"/>
        <v/>
      </c>
      <c r="Q803" s="69" t="str">
        <f t="shared" si="120"/>
        <v/>
      </c>
      <c r="S803" s="71"/>
      <c r="Z803" t="str">
        <f t="shared" si="121"/>
        <v/>
      </c>
      <c r="AA803">
        <f t="shared" si="122"/>
        <v>0</v>
      </c>
      <c r="AB803">
        <f t="shared" si="123"/>
        <v>12</v>
      </c>
      <c r="AC803">
        <f t="shared" si="124"/>
        <v>33</v>
      </c>
      <c r="AD803">
        <f t="shared" si="125"/>
        <v>1</v>
      </c>
    </row>
    <row r="804" spans="9:30" ht="15" customHeight="1">
      <c r="I804" s="69"/>
      <c r="J804" s="69"/>
      <c r="K804" s="69"/>
      <c r="L804" s="69"/>
      <c r="M804" s="69"/>
      <c r="N804" s="69" t="str">
        <f t="shared" si="117"/>
        <v/>
      </c>
      <c r="O804" s="69" t="str">
        <f t="shared" si="118"/>
        <v/>
      </c>
      <c r="P804" s="70" t="str">
        <f t="shared" si="119"/>
        <v/>
      </c>
      <c r="Q804" s="69" t="str">
        <f t="shared" si="120"/>
        <v/>
      </c>
      <c r="S804" s="71"/>
      <c r="Z804" t="str">
        <f t="shared" si="121"/>
        <v/>
      </c>
      <c r="AA804">
        <f t="shared" si="122"/>
        <v>0</v>
      </c>
      <c r="AB804">
        <f t="shared" si="123"/>
        <v>12</v>
      </c>
      <c r="AC804">
        <f t="shared" si="124"/>
        <v>33</v>
      </c>
      <c r="AD804">
        <f t="shared" si="125"/>
        <v>1</v>
      </c>
    </row>
    <row r="805" spans="9:30" ht="15" customHeight="1">
      <c r="I805" s="69"/>
      <c r="J805" s="69"/>
      <c r="K805" s="69"/>
      <c r="L805" s="69"/>
      <c r="M805" s="69"/>
      <c r="N805" s="69" t="str">
        <f t="shared" si="117"/>
        <v/>
      </c>
      <c r="O805" s="69" t="str">
        <f t="shared" si="118"/>
        <v/>
      </c>
      <c r="P805" s="70" t="str">
        <f t="shared" si="119"/>
        <v/>
      </c>
      <c r="Q805" s="69" t="str">
        <f t="shared" si="120"/>
        <v/>
      </c>
      <c r="S805" s="71"/>
      <c r="Z805" t="str">
        <f t="shared" si="121"/>
        <v/>
      </c>
      <c r="AA805">
        <f t="shared" si="122"/>
        <v>0</v>
      </c>
      <c r="AB805">
        <f t="shared" si="123"/>
        <v>12</v>
      </c>
      <c r="AC805">
        <f t="shared" si="124"/>
        <v>33</v>
      </c>
      <c r="AD805">
        <f t="shared" si="125"/>
        <v>1</v>
      </c>
    </row>
    <row r="806" spans="9:30" ht="15" customHeight="1">
      <c r="I806" s="69"/>
      <c r="J806" s="69"/>
      <c r="K806" s="69"/>
      <c r="L806" s="69"/>
      <c r="M806" s="69"/>
      <c r="N806" s="69" t="str">
        <f t="shared" si="117"/>
        <v/>
      </c>
      <c r="O806" s="69" t="str">
        <f t="shared" si="118"/>
        <v/>
      </c>
      <c r="P806" s="70" t="str">
        <f t="shared" si="119"/>
        <v/>
      </c>
      <c r="Q806" s="69" t="str">
        <f t="shared" si="120"/>
        <v/>
      </c>
      <c r="S806" s="71"/>
      <c r="Z806" t="str">
        <f t="shared" si="121"/>
        <v/>
      </c>
      <c r="AA806">
        <f t="shared" si="122"/>
        <v>0</v>
      </c>
      <c r="AB806">
        <f t="shared" si="123"/>
        <v>12</v>
      </c>
      <c r="AC806">
        <f t="shared" si="124"/>
        <v>33</v>
      </c>
      <c r="AD806">
        <f t="shared" si="125"/>
        <v>1</v>
      </c>
    </row>
    <row r="807" spans="9:30" ht="15" customHeight="1">
      <c r="I807" s="69"/>
      <c r="J807" s="69"/>
      <c r="K807" s="69"/>
      <c r="L807" s="69"/>
      <c r="M807" s="69"/>
      <c r="N807" s="69" t="str">
        <f t="shared" si="117"/>
        <v/>
      </c>
      <c r="O807" s="69" t="str">
        <f t="shared" si="118"/>
        <v/>
      </c>
      <c r="P807" s="70" t="str">
        <f t="shared" si="119"/>
        <v/>
      </c>
      <c r="Q807" s="69" t="str">
        <f t="shared" si="120"/>
        <v/>
      </c>
      <c r="S807" s="71"/>
      <c r="Z807" t="str">
        <f t="shared" si="121"/>
        <v/>
      </c>
      <c r="AA807">
        <f t="shared" si="122"/>
        <v>0</v>
      </c>
      <c r="AB807">
        <f t="shared" si="123"/>
        <v>12</v>
      </c>
      <c r="AC807">
        <f t="shared" si="124"/>
        <v>33</v>
      </c>
      <c r="AD807">
        <f t="shared" si="125"/>
        <v>1</v>
      </c>
    </row>
    <row r="808" spans="9:30" ht="15" customHeight="1">
      <c r="I808" s="69"/>
      <c r="J808" s="69"/>
      <c r="K808" s="69"/>
      <c r="L808" s="69"/>
      <c r="M808" s="69"/>
      <c r="N808" s="69" t="str">
        <f t="shared" si="117"/>
        <v/>
      </c>
      <c r="O808" s="69" t="str">
        <f t="shared" si="118"/>
        <v/>
      </c>
      <c r="P808" s="70" t="str">
        <f t="shared" si="119"/>
        <v/>
      </c>
      <c r="Q808" s="69" t="str">
        <f t="shared" si="120"/>
        <v/>
      </c>
      <c r="S808" s="71"/>
      <c r="Z808" t="str">
        <f t="shared" si="121"/>
        <v/>
      </c>
      <c r="AA808">
        <f t="shared" si="122"/>
        <v>0</v>
      </c>
      <c r="AB808">
        <f t="shared" si="123"/>
        <v>12</v>
      </c>
      <c r="AC808">
        <f t="shared" si="124"/>
        <v>33</v>
      </c>
      <c r="AD808">
        <f t="shared" si="125"/>
        <v>1</v>
      </c>
    </row>
    <row r="809" spans="9:30" ht="15" customHeight="1">
      <c r="I809" s="69"/>
      <c r="J809" s="69"/>
      <c r="K809" s="69"/>
      <c r="L809" s="69"/>
      <c r="M809" s="69"/>
      <c r="N809" s="69" t="str">
        <f t="shared" si="117"/>
        <v/>
      </c>
      <c r="O809" s="69" t="str">
        <f t="shared" si="118"/>
        <v/>
      </c>
      <c r="P809" s="70" t="str">
        <f t="shared" si="119"/>
        <v/>
      </c>
      <c r="Q809" s="69" t="str">
        <f t="shared" si="120"/>
        <v/>
      </c>
      <c r="S809" s="71"/>
      <c r="Z809" t="str">
        <f t="shared" si="121"/>
        <v/>
      </c>
      <c r="AA809">
        <f t="shared" si="122"/>
        <v>0</v>
      </c>
      <c r="AB809">
        <f t="shared" si="123"/>
        <v>12</v>
      </c>
      <c r="AC809">
        <f t="shared" si="124"/>
        <v>33</v>
      </c>
      <c r="AD809">
        <f t="shared" si="125"/>
        <v>1</v>
      </c>
    </row>
    <row r="810" spans="9:30" ht="15" customHeight="1">
      <c r="I810" s="69"/>
      <c r="J810" s="69"/>
      <c r="K810" s="69"/>
      <c r="L810" s="69"/>
      <c r="M810" s="69"/>
      <c r="N810" s="69" t="str">
        <f t="shared" si="117"/>
        <v/>
      </c>
      <c r="O810" s="69" t="str">
        <f t="shared" si="118"/>
        <v/>
      </c>
      <c r="P810" s="70" t="str">
        <f t="shared" si="119"/>
        <v/>
      </c>
      <c r="Q810" s="69" t="str">
        <f t="shared" si="120"/>
        <v/>
      </c>
      <c r="S810" s="71"/>
      <c r="Z810" t="str">
        <f t="shared" si="121"/>
        <v/>
      </c>
      <c r="AA810">
        <f t="shared" si="122"/>
        <v>0</v>
      </c>
      <c r="AB810">
        <f t="shared" si="123"/>
        <v>12</v>
      </c>
      <c r="AC810">
        <f t="shared" si="124"/>
        <v>33</v>
      </c>
      <c r="AD810">
        <f t="shared" si="125"/>
        <v>1</v>
      </c>
    </row>
    <row r="811" spans="9:30" ht="15" customHeight="1">
      <c r="I811" s="69"/>
      <c r="J811" s="69"/>
      <c r="K811" s="69"/>
      <c r="L811" s="69"/>
      <c r="M811" s="69"/>
      <c r="N811" s="69" t="str">
        <f t="shared" si="117"/>
        <v/>
      </c>
      <c r="O811" s="69" t="str">
        <f t="shared" si="118"/>
        <v/>
      </c>
      <c r="P811" s="70" t="str">
        <f t="shared" si="119"/>
        <v/>
      </c>
      <c r="Q811" s="69" t="str">
        <f t="shared" si="120"/>
        <v/>
      </c>
      <c r="S811" s="71"/>
      <c r="Z811" t="str">
        <f t="shared" si="121"/>
        <v/>
      </c>
      <c r="AA811">
        <f t="shared" si="122"/>
        <v>0</v>
      </c>
      <c r="AB811">
        <f t="shared" si="123"/>
        <v>12</v>
      </c>
      <c r="AC811">
        <f t="shared" si="124"/>
        <v>33</v>
      </c>
      <c r="AD811">
        <f t="shared" si="125"/>
        <v>1</v>
      </c>
    </row>
    <row r="812" spans="9:30" ht="15" customHeight="1">
      <c r="I812" s="69"/>
      <c r="J812" s="69"/>
      <c r="K812" s="69"/>
      <c r="L812" s="69"/>
      <c r="M812" s="69"/>
      <c r="N812" s="69" t="str">
        <f t="shared" si="117"/>
        <v/>
      </c>
      <c r="O812" s="69" t="str">
        <f t="shared" si="118"/>
        <v/>
      </c>
      <c r="P812" s="70" t="str">
        <f t="shared" si="119"/>
        <v/>
      </c>
      <c r="Q812" s="69" t="str">
        <f t="shared" si="120"/>
        <v/>
      </c>
      <c r="S812" s="71"/>
      <c r="Z812" t="str">
        <f t="shared" si="121"/>
        <v/>
      </c>
      <c r="AA812">
        <f t="shared" si="122"/>
        <v>0</v>
      </c>
      <c r="AB812">
        <f t="shared" si="123"/>
        <v>12</v>
      </c>
      <c r="AC812">
        <f t="shared" si="124"/>
        <v>33</v>
      </c>
      <c r="AD812">
        <f t="shared" si="125"/>
        <v>1</v>
      </c>
    </row>
    <row r="813" spans="9:30" ht="15" customHeight="1">
      <c r="I813" s="69"/>
      <c r="J813" s="69"/>
      <c r="K813" s="69"/>
      <c r="L813" s="69"/>
      <c r="M813" s="69"/>
      <c r="N813" s="69" t="str">
        <f t="shared" si="117"/>
        <v/>
      </c>
      <c r="O813" s="69" t="str">
        <f t="shared" si="118"/>
        <v/>
      </c>
      <c r="P813" s="70" t="str">
        <f t="shared" si="119"/>
        <v/>
      </c>
      <c r="Q813" s="69" t="str">
        <f t="shared" si="120"/>
        <v/>
      </c>
      <c r="S813" s="71"/>
      <c r="Z813" t="str">
        <f t="shared" si="121"/>
        <v/>
      </c>
      <c r="AA813">
        <f t="shared" si="122"/>
        <v>0</v>
      </c>
      <c r="AB813">
        <f t="shared" si="123"/>
        <v>12</v>
      </c>
      <c r="AC813">
        <f t="shared" si="124"/>
        <v>33</v>
      </c>
      <c r="AD813">
        <f t="shared" si="125"/>
        <v>1</v>
      </c>
    </row>
    <row r="814" spans="9:30" ht="15" customHeight="1">
      <c r="I814" s="69"/>
      <c r="J814" s="69"/>
      <c r="K814" s="69"/>
      <c r="L814" s="69"/>
      <c r="M814" s="69"/>
      <c r="N814" s="69" t="str">
        <f t="shared" si="117"/>
        <v/>
      </c>
      <c r="O814" s="69" t="str">
        <f t="shared" si="118"/>
        <v/>
      </c>
      <c r="P814" s="70" t="str">
        <f t="shared" si="119"/>
        <v/>
      </c>
      <c r="Q814" s="69" t="str">
        <f t="shared" si="120"/>
        <v/>
      </c>
      <c r="S814" s="71"/>
      <c r="Z814" t="str">
        <f t="shared" si="121"/>
        <v/>
      </c>
      <c r="AA814">
        <f t="shared" si="122"/>
        <v>0</v>
      </c>
      <c r="AB814">
        <f t="shared" si="123"/>
        <v>12</v>
      </c>
      <c r="AC814">
        <f t="shared" si="124"/>
        <v>33</v>
      </c>
      <c r="AD814">
        <f t="shared" si="125"/>
        <v>1</v>
      </c>
    </row>
    <row r="815" spans="9:30" ht="15" customHeight="1">
      <c r="I815" s="69"/>
      <c r="J815" s="69"/>
      <c r="K815" s="69"/>
      <c r="L815" s="69"/>
      <c r="M815" s="69"/>
      <c r="N815" s="69" t="str">
        <f t="shared" si="117"/>
        <v/>
      </c>
      <c r="O815" s="69" t="str">
        <f t="shared" si="118"/>
        <v/>
      </c>
      <c r="P815" s="70" t="str">
        <f t="shared" si="119"/>
        <v/>
      </c>
      <c r="Q815" s="69" t="str">
        <f t="shared" si="120"/>
        <v/>
      </c>
      <c r="S815" s="71"/>
      <c r="Z815" t="str">
        <f t="shared" si="121"/>
        <v/>
      </c>
      <c r="AA815">
        <f t="shared" si="122"/>
        <v>0</v>
      </c>
      <c r="AB815">
        <f t="shared" si="123"/>
        <v>12</v>
      </c>
      <c r="AC815">
        <f t="shared" si="124"/>
        <v>33</v>
      </c>
      <c r="AD815">
        <f t="shared" si="125"/>
        <v>1</v>
      </c>
    </row>
    <row r="816" spans="9:30" ht="15" customHeight="1">
      <c r="I816" s="69"/>
      <c r="J816" s="69"/>
      <c r="K816" s="69"/>
      <c r="L816" s="69"/>
      <c r="M816" s="69"/>
      <c r="N816" s="69" t="str">
        <f t="shared" si="117"/>
        <v/>
      </c>
      <c r="O816" s="69" t="str">
        <f t="shared" si="118"/>
        <v/>
      </c>
      <c r="P816" s="70" t="str">
        <f t="shared" si="119"/>
        <v/>
      </c>
      <c r="Q816" s="69" t="str">
        <f t="shared" si="120"/>
        <v/>
      </c>
      <c r="S816" s="71"/>
      <c r="Z816" t="str">
        <f t="shared" si="121"/>
        <v/>
      </c>
      <c r="AA816">
        <f t="shared" si="122"/>
        <v>0</v>
      </c>
      <c r="AB816">
        <f t="shared" si="123"/>
        <v>12</v>
      </c>
      <c r="AC816">
        <f t="shared" si="124"/>
        <v>33</v>
      </c>
      <c r="AD816">
        <f t="shared" si="125"/>
        <v>1</v>
      </c>
    </row>
    <row r="817" spans="9:30" ht="15" customHeight="1">
      <c r="I817" s="69"/>
      <c r="J817" s="69"/>
      <c r="K817" s="69"/>
      <c r="L817" s="69"/>
      <c r="M817" s="69"/>
      <c r="N817" s="69" t="str">
        <f t="shared" si="117"/>
        <v/>
      </c>
      <c r="O817" s="69" t="str">
        <f t="shared" si="118"/>
        <v/>
      </c>
      <c r="P817" s="70" t="str">
        <f t="shared" si="119"/>
        <v/>
      </c>
      <c r="Q817" s="69" t="str">
        <f t="shared" si="120"/>
        <v/>
      </c>
      <c r="S817" s="71"/>
      <c r="Z817" t="str">
        <f t="shared" si="121"/>
        <v/>
      </c>
      <c r="AA817">
        <f t="shared" si="122"/>
        <v>0</v>
      </c>
      <c r="AB817">
        <f t="shared" si="123"/>
        <v>12</v>
      </c>
      <c r="AC817">
        <f t="shared" si="124"/>
        <v>33</v>
      </c>
      <c r="AD817">
        <f t="shared" si="125"/>
        <v>1</v>
      </c>
    </row>
    <row r="818" spans="9:30" ht="15" customHeight="1">
      <c r="I818" s="69"/>
      <c r="J818" s="69"/>
      <c r="K818" s="69"/>
      <c r="L818" s="69"/>
      <c r="M818" s="69"/>
      <c r="N818" s="69" t="str">
        <f t="shared" si="117"/>
        <v/>
      </c>
      <c r="O818" s="69" t="str">
        <f t="shared" si="118"/>
        <v/>
      </c>
      <c r="P818" s="70" t="str">
        <f t="shared" si="119"/>
        <v/>
      </c>
      <c r="Q818" s="69" t="str">
        <f t="shared" si="120"/>
        <v/>
      </c>
      <c r="S818" s="71"/>
      <c r="Z818" t="str">
        <f t="shared" si="121"/>
        <v/>
      </c>
      <c r="AA818">
        <f t="shared" si="122"/>
        <v>0</v>
      </c>
      <c r="AB818">
        <f t="shared" si="123"/>
        <v>12</v>
      </c>
      <c r="AC818">
        <f t="shared" si="124"/>
        <v>33</v>
      </c>
      <c r="AD818">
        <f t="shared" si="125"/>
        <v>1</v>
      </c>
    </row>
    <row r="819" spans="9:30" ht="15" customHeight="1">
      <c r="I819" s="69"/>
      <c r="J819" s="69"/>
      <c r="K819" s="69"/>
      <c r="L819" s="69"/>
      <c r="M819" s="69"/>
      <c r="N819" s="69" t="str">
        <f t="shared" si="117"/>
        <v/>
      </c>
      <c r="O819" s="69" t="str">
        <f t="shared" si="118"/>
        <v/>
      </c>
      <c r="P819" s="70" t="str">
        <f t="shared" si="119"/>
        <v/>
      </c>
      <c r="Q819" s="69" t="str">
        <f t="shared" si="120"/>
        <v/>
      </c>
      <c r="S819" s="71"/>
      <c r="Z819" t="str">
        <f t="shared" si="121"/>
        <v/>
      </c>
      <c r="AA819">
        <f t="shared" si="122"/>
        <v>0</v>
      </c>
      <c r="AB819">
        <f t="shared" si="123"/>
        <v>12</v>
      </c>
      <c r="AC819">
        <f t="shared" si="124"/>
        <v>33</v>
      </c>
      <c r="AD819">
        <f t="shared" si="125"/>
        <v>1</v>
      </c>
    </row>
    <row r="820" spans="9:30" ht="15" customHeight="1">
      <c r="I820" s="69"/>
      <c r="J820" s="69"/>
      <c r="K820" s="69"/>
      <c r="L820" s="69"/>
      <c r="M820" s="69"/>
      <c r="N820" s="69" t="str">
        <f t="shared" si="117"/>
        <v/>
      </c>
      <c r="O820" s="69" t="str">
        <f t="shared" si="118"/>
        <v/>
      </c>
      <c r="P820" s="70" t="str">
        <f t="shared" si="119"/>
        <v/>
      </c>
      <c r="Q820" s="69" t="str">
        <f t="shared" si="120"/>
        <v/>
      </c>
      <c r="S820" s="71"/>
      <c r="Z820" t="str">
        <f t="shared" si="121"/>
        <v/>
      </c>
      <c r="AA820">
        <f t="shared" si="122"/>
        <v>0</v>
      </c>
      <c r="AB820">
        <f t="shared" si="123"/>
        <v>12</v>
      </c>
      <c r="AC820">
        <f t="shared" si="124"/>
        <v>33</v>
      </c>
      <c r="AD820">
        <f t="shared" si="125"/>
        <v>1</v>
      </c>
    </row>
    <row r="821" spans="9:30" ht="15" customHeight="1">
      <c r="I821" s="69"/>
      <c r="J821" s="69"/>
      <c r="K821" s="69"/>
      <c r="L821" s="69"/>
      <c r="M821" s="69"/>
      <c r="N821" s="69" t="str">
        <f t="shared" ref="N821:N860" si="126">IF(ISNUMBER(I821),ROUND(I821-I821/1.081,2),"")</f>
        <v/>
      </c>
      <c r="O821" s="69" t="str">
        <f t="shared" si="118"/>
        <v/>
      </c>
      <c r="P821" s="70" t="str">
        <f t="shared" si="119"/>
        <v/>
      </c>
      <c r="Q821" s="69" t="str">
        <f t="shared" si="120"/>
        <v/>
      </c>
      <c r="S821" s="71"/>
      <c r="Z821" t="str">
        <f t="shared" si="121"/>
        <v/>
      </c>
      <c r="AA821">
        <f t="shared" si="122"/>
        <v>0</v>
      </c>
      <c r="AB821">
        <f t="shared" si="123"/>
        <v>12</v>
      </c>
      <c r="AC821">
        <f t="shared" si="124"/>
        <v>33</v>
      </c>
      <c r="AD821">
        <f t="shared" si="125"/>
        <v>1</v>
      </c>
    </row>
    <row r="822" spans="9:30" ht="15" customHeight="1">
      <c r="I822" s="69"/>
      <c r="J822" s="69"/>
      <c r="K822" s="69"/>
      <c r="L822" s="69"/>
      <c r="M822" s="69"/>
      <c r="N822" s="69" t="str">
        <f t="shared" si="126"/>
        <v/>
      </c>
      <c r="O822" s="69" t="str">
        <f t="shared" si="118"/>
        <v/>
      </c>
      <c r="P822" s="70" t="str">
        <f t="shared" si="119"/>
        <v/>
      </c>
      <c r="Q822" s="69" t="str">
        <f t="shared" si="120"/>
        <v/>
      </c>
      <c r="S822" s="71"/>
      <c r="Z822" t="str">
        <f t="shared" si="121"/>
        <v/>
      </c>
      <c r="AA822">
        <f t="shared" si="122"/>
        <v>0</v>
      </c>
      <c r="AB822">
        <f t="shared" si="123"/>
        <v>12</v>
      </c>
      <c r="AC822">
        <f t="shared" si="124"/>
        <v>33</v>
      </c>
      <c r="AD822">
        <f t="shared" si="125"/>
        <v>1</v>
      </c>
    </row>
    <row r="823" spans="9:30" ht="15" customHeight="1">
      <c r="I823" s="69"/>
      <c r="J823" s="69"/>
      <c r="K823" s="69"/>
      <c r="L823" s="69"/>
      <c r="M823" s="69"/>
      <c r="N823" s="69" t="str">
        <f t="shared" si="126"/>
        <v/>
      </c>
      <c r="O823" s="69" t="str">
        <f t="shared" si="118"/>
        <v/>
      </c>
      <c r="P823" s="70" t="str">
        <f t="shared" si="119"/>
        <v/>
      </c>
      <c r="Q823" s="69" t="str">
        <f t="shared" si="120"/>
        <v/>
      </c>
      <c r="S823" s="71"/>
      <c r="Z823" t="str">
        <f t="shared" si="121"/>
        <v/>
      </c>
      <c r="AA823">
        <f t="shared" si="122"/>
        <v>0</v>
      </c>
      <c r="AB823">
        <f t="shared" si="123"/>
        <v>12</v>
      </c>
      <c r="AC823">
        <f t="shared" si="124"/>
        <v>33</v>
      </c>
      <c r="AD823">
        <f t="shared" si="125"/>
        <v>1</v>
      </c>
    </row>
    <row r="824" spans="9:30" ht="15" customHeight="1">
      <c r="I824" s="69"/>
      <c r="J824" s="69"/>
      <c r="K824" s="69"/>
      <c r="L824" s="69"/>
      <c r="M824" s="69"/>
      <c r="N824" s="69" t="str">
        <f t="shared" si="126"/>
        <v/>
      </c>
      <c r="O824" s="69" t="str">
        <f t="shared" si="118"/>
        <v/>
      </c>
      <c r="P824" s="70" t="str">
        <f t="shared" si="119"/>
        <v/>
      </c>
      <c r="Q824" s="69" t="str">
        <f t="shared" si="120"/>
        <v/>
      </c>
      <c r="S824" s="71"/>
      <c r="Z824" t="str">
        <f t="shared" si="121"/>
        <v/>
      </c>
      <c r="AA824">
        <f t="shared" si="122"/>
        <v>0</v>
      </c>
      <c r="AB824">
        <f t="shared" si="123"/>
        <v>12</v>
      </c>
      <c r="AC824">
        <f t="shared" si="124"/>
        <v>33</v>
      </c>
      <c r="AD824">
        <f t="shared" si="125"/>
        <v>1</v>
      </c>
    </row>
    <row r="825" spans="9:30" ht="15" customHeight="1">
      <c r="I825" s="69"/>
      <c r="J825" s="69"/>
      <c r="K825" s="69"/>
      <c r="L825" s="69"/>
      <c r="M825" s="69"/>
      <c r="N825" s="69" t="str">
        <f t="shared" si="126"/>
        <v/>
      </c>
      <c r="O825" s="69" t="str">
        <f t="shared" si="118"/>
        <v/>
      </c>
      <c r="P825" s="70" t="str">
        <f t="shared" si="119"/>
        <v/>
      </c>
      <c r="Q825" s="69" t="str">
        <f t="shared" si="120"/>
        <v/>
      </c>
      <c r="S825" s="71"/>
      <c r="Z825" t="str">
        <f t="shared" si="121"/>
        <v/>
      </c>
      <c r="AA825">
        <f t="shared" si="122"/>
        <v>0</v>
      </c>
      <c r="AB825">
        <f t="shared" si="123"/>
        <v>12</v>
      </c>
      <c r="AC825">
        <f t="shared" si="124"/>
        <v>33</v>
      </c>
      <c r="AD825">
        <f t="shared" si="125"/>
        <v>1</v>
      </c>
    </row>
    <row r="826" spans="9:30" ht="15" customHeight="1">
      <c r="I826" s="69"/>
      <c r="J826" s="69"/>
      <c r="K826" s="69"/>
      <c r="L826" s="69"/>
      <c r="M826" s="69"/>
      <c r="N826" s="69" t="str">
        <f t="shared" si="126"/>
        <v/>
      </c>
      <c r="O826" s="69" t="str">
        <f t="shared" si="118"/>
        <v/>
      </c>
      <c r="P826" s="70" t="str">
        <f t="shared" si="119"/>
        <v/>
      </c>
      <c r="Q826" s="69" t="str">
        <f t="shared" si="120"/>
        <v/>
      </c>
      <c r="S826" s="71"/>
      <c r="Z826" t="str">
        <f t="shared" si="121"/>
        <v/>
      </c>
      <c r="AA826">
        <f t="shared" si="122"/>
        <v>0</v>
      </c>
      <c r="AB826">
        <f t="shared" si="123"/>
        <v>12</v>
      </c>
      <c r="AC826">
        <f t="shared" si="124"/>
        <v>33</v>
      </c>
      <c r="AD826">
        <f t="shared" si="125"/>
        <v>1</v>
      </c>
    </row>
    <row r="827" spans="9:30" ht="15" customHeight="1">
      <c r="I827" s="69"/>
      <c r="J827" s="69"/>
      <c r="K827" s="69"/>
      <c r="L827" s="69"/>
      <c r="M827" s="69"/>
      <c r="N827" s="69" t="str">
        <f t="shared" si="126"/>
        <v/>
      </c>
      <c r="O827" s="69" t="str">
        <f t="shared" si="118"/>
        <v/>
      </c>
      <c r="P827" s="70" t="str">
        <f t="shared" si="119"/>
        <v/>
      </c>
      <c r="Q827" s="69" t="str">
        <f t="shared" si="120"/>
        <v/>
      </c>
      <c r="S827" s="71"/>
      <c r="Z827" t="str">
        <f t="shared" si="121"/>
        <v/>
      </c>
      <c r="AA827">
        <f t="shared" si="122"/>
        <v>0</v>
      </c>
      <c r="AB827">
        <f t="shared" si="123"/>
        <v>12</v>
      </c>
      <c r="AC827">
        <f t="shared" si="124"/>
        <v>33</v>
      </c>
      <c r="AD827">
        <f t="shared" si="125"/>
        <v>1</v>
      </c>
    </row>
    <row r="828" spans="9:30" ht="15" customHeight="1">
      <c r="I828" s="69"/>
      <c r="J828" s="69"/>
      <c r="K828" s="69"/>
      <c r="L828" s="69"/>
      <c r="M828" s="69"/>
      <c r="N828" s="69" t="str">
        <f t="shared" si="126"/>
        <v/>
      </c>
      <c r="O828" s="69" t="str">
        <f t="shared" si="118"/>
        <v/>
      </c>
      <c r="P828" s="70" t="str">
        <f t="shared" si="119"/>
        <v/>
      </c>
      <c r="Q828" s="69" t="str">
        <f t="shared" si="120"/>
        <v/>
      </c>
      <c r="S828" s="71"/>
      <c r="Z828" t="str">
        <f t="shared" si="121"/>
        <v/>
      </c>
      <c r="AA828">
        <f t="shared" si="122"/>
        <v>0</v>
      </c>
      <c r="AB828">
        <f t="shared" si="123"/>
        <v>12</v>
      </c>
      <c r="AC828">
        <f t="shared" si="124"/>
        <v>33</v>
      </c>
      <c r="AD828">
        <f t="shared" si="125"/>
        <v>1</v>
      </c>
    </row>
    <row r="829" spans="9:30" ht="15" customHeight="1">
      <c r="I829" s="69"/>
      <c r="J829" s="69"/>
      <c r="K829" s="69"/>
      <c r="L829" s="69"/>
      <c r="M829" s="69"/>
      <c r="N829" s="69" t="str">
        <f t="shared" si="126"/>
        <v/>
      </c>
      <c r="O829" s="69" t="str">
        <f t="shared" si="118"/>
        <v/>
      </c>
      <c r="P829" s="70" t="str">
        <f t="shared" si="119"/>
        <v/>
      </c>
      <c r="Q829" s="69" t="str">
        <f t="shared" si="120"/>
        <v/>
      </c>
      <c r="S829" s="71"/>
      <c r="Z829" t="str">
        <f t="shared" si="121"/>
        <v/>
      </c>
      <c r="AA829">
        <f t="shared" si="122"/>
        <v>0</v>
      </c>
      <c r="AB829">
        <f t="shared" si="123"/>
        <v>12</v>
      </c>
      <c r="AC829">
        <f t="shared" si="124"/>
        <v>33</v>
      </c>
      <c r="AD829">
        <f t="shared" si="125"/>
        <v>1</v>
      </c>
    </row>
    <row r="830" spans="9:30" ht="15" customHeight="1">
      <c r="I830" s="69"/>
      <c r="J830" s="69"/>
      <c r="K830" s="69"/>
      <c r="L830" s="69"/>
      <c r="M830" s="69"/>
      <c r="N830" s="69" t="str">
        <f t="shared" si="126"/>
        <v/>
      </c>
      <c r="O830" s="69" t="str">
        <f t="shared" si="118"/>
        <v/>
      </c>
      <c r="P830" s="70" t="str">
        <f t="shared" si="119"/>
        <v/>
      </c>
      <c r="Q830" s="69" t="str">
        <f t="shared" si="120"/>
        <v/>
      </c>
      <c r="S830" s="71"/>
      <c r="Z830" t="str">
        <f t="shared" si="121"/>
        <v/>
      </c>
      <c r="AA830">
        <f t="shared" si="122"/>
        <v>0</v>
      </c>
      <c r="AB830">
        <f t="shared" si="123"/>
        <v>12</v>
      </c>
      <c r="AC830">
        <f t="shared" si="124"/>
        <v>33</v>
      </c>
      <c r="AD830">
        <f t="shared" si="125"/>
        <v>1</v>
      </c>
    </row>
    <row r="831" spans="9:30" ht="15" customHeight="1">
      <c r="I831" s="69"/>
      <c r="J831" s="69"/>
      <c r="K831" s="69"/>
      <c r="L831" s="69"/>
      <c r="M831" s="69"/>
      <c r="N831" s="69" t="str">
        <f t="shared" si="126"/>
        <v/>
      </c>
      <c r="O831" s="69" t="str">
        <f t="shared" si="118"/>
        <v/>
      </c>
      <c r="P831" s="70" t="str">
        <f t="shared" si="119"/>
        <v/>
      </c>
      <c r="Q831" s="69" t="str">
        <f t="shared" si="120"/>
        <v/>
      </c>
      <c r="S831" s="71"/>
      <c r="Z831" t="str">
        <f t="shared" si="121"/>
        <v/>
      </c>
      <c r="AA831">
        <f t="shared" si="122"/>
        <v>0</v>
      </c>
      <c r="AB831">
        <f t="shared" si="123"/>
        <v>12</v>
      </c>
      <c r="AC831">
        <f t="shared" si="124"/>
        <v>33</v>
      </c>
      <c r="AD831">
        <f t="shared" si="125"/>
        <v>1</v>
      </c>
    </row>
    <row r="832" spans="9:30" ht="15" customHeight="1">
      <c r="I832" s="69"/>
      <c r="J832" s="69"/>
      <c r="K832" s="69"/>
      <c r="L832" s="69"/>
      <c r="M832" s="69"/>
      <c r="N832" s="69" t="str">
        <f t="shared" si="126"/>
        <v/>
      </c>
      <c r="O832" s="69" t="str">
        <f t="shared" si="118"/>
        <v/>
      </c>
      <c r="P832" s="70" t="str">
        <f t="shared" si="119"/>
        <v/>
      </c>
      <c r="Q832" s="69" t="str">
        <f t="shared" si="120"/>
        <v/>
      </c>
      <c r="S832" s="71"/>
      <c r="Z832" t="str">
        <f t="shared" si="121"/>
        <v/>
      </c>
      <c r="AA832">
        <f t="shared" si="122"/>
        <v>0</v>
      </c>
      <c r="AB832">
        <f t="shared" si="123"/>
        <v>12</v>
      </c>
      <c r="AC832">
        <f t="shared" si="124"/>
        <v>33</v>
      </c>
      <c r="AD832">
        <f t="shared" si="125"/>
        <v>1</v>
      </c>
    </row>
    <row r="833" spans="9:30" ht="15" customHeight="1">
      <c r="I833" s="69"/>
      <c r="J833" s="69"/>
      <c r="K833" s="69"/>
      <c r="L833" s="69"/>
      <c r="M833" s="69"/>
      <c r="N833" s="69" t="str">
        <f t="shared" si="126"/>
        <v/>
      </c>
      <c r="O833" s="69" t="str">
        <f t="shared" si="118"/>
        <v/>
      </c>
      <c r="P833" s="70" t="str">
        <f t="shared" si="119"/>
        <v/>
      </c>
      <c r="Q833" s="69" t="str">
        <f t="shared" si="120"/>
        <v/>
      </c>
      <c r="S833" s="71"/>
      <c r="Z833" t="str">
        <f t="shared" si="121"/>
        <v/>
      </c>
      <c r="AA833">
        <f t="shared" si="122"/>
        <v>0</v>
      </c>
      <c r="AB833">
        <f t="shared" si="123"/>
        <v>12</v>
      </c>
      <c r="AC833">
        <f t="shared" si="124"/>
        <v>33</v>
      </c>
      <c r="AD833">
        <f t="shared" si="125"/>
        <v>1</v>
      </c>
    </row>
    <row r="834" spans="9:30" ht="15" customHeight="1">
      <c r="I834" s="69"/>
      <c r="J834" s="69"/>
      <c r="K834" s="69"/>
      <c r="L834" s="69"/>
      <c r="M834" s="69"/>
      <c r="N834" s="69" t="str">
        <f t="shared" si="126"/>
        <v/>
      </c>
      <c r="O834" s="69" t="str">
        <f t="shared" si="118"/>
        <v/>
      </c>
      <c r="P834" s="70" t="str">
        <f t="shared" si="119"/>
        <v/>
      </c>
      <c r="Q834" s="69" t="str">
        <f t="shared" si="120"/>
        <v/>
      </c>
      <c r="S834" s="71"/>
      <c r="Z834" t="str">
        <f t="shared" si="121"/>
        <v/>
      </c>
      <c r="AA834">
        <f t="shared" si="122"/>
        <v>0</v>
      </c>
      <c r="AB834">
        <f t="shared" si="123"/>
        <v>12</v>
      </c>
      <c r="AC834">
        <f t="shared" si="124"/>
        <v>33</v>
      </c>
      <c r="AD834">
        <f t="shared" si="125"/>
        <v>1</v>
      </c>
    </row>
    <row r="835" spans="9:30" ht="15" customHeight="1">
      <c r="I835" s="69"/>
      <c r="J835" s="69"/>
      <c r="K835" s="69"/>
      <c r="L835" s="69"/>
      <c r="M835" s="69"/>
      <c r="N835" s="69" t="str">
        <f t="shared" si="126"/>
        <v/>
      </c>
      <c r="O835" s="69" t="str">
        <f t="shared" si="118"/>
        <v/>
      </c>
      <c r="P835" s="70" t="str">
        <f t="shared" si="119"/>
        <v/>
      </c>
      <c r="Q835" s="69" t="str">
        <f t="shared" si="120"/>
        <v/>
      </c>
      <c r="S835" s="71"/>
      <c r="Z835" t="str">
        <f t="shared" si="121"/>
        <v/>
      </c>
      <c r="AA835">
        <f t="shared" si="122"/>
        <v>0</v>
      </c>
      <c r="AB835">
        <f t="shared" si="123"/>
        <v>12</v>
      </c>
      <c r="AC835">
        <f t="shared" si="124"/>
        <v>33</v>
      </c>
      <c r="AD835">
        <f t="shared" si="125"/>
        <v>1</v>
      </c>
    </row>
    <row r="836" spans="9:30" ht="15" customHeight="1">
      <c r="I836" s="69"/>
      <c r="J836" s="69"/>
      <c r="K836" s="69"/>
      <c r="L836" s="69"/>
      <c r="M836" s="69"/>
      <c r="N836" s="69" t="str">
        <f t="shared" si="126"/>
        <v/>
      </c>
      <c r="O836" s="69" t="str">
        <f t="shared" si="118"/>
        <v/>
      </c>
      <c r="P836" s="70" t="str">
        <f t="shared" si="119"/>
        <v/>
      </c>
      <c r="Q836" s="69" t="str">
        <f t="shared" si="120"/>
        <v/>
      </c>
      <c r="S836" s="71"/>
      <c r="Z836" t="str">
        <f t="shared" si="121"/>
        <v/>
      </c>
      <c r="AA836">
        <f t="shared" si="122"/>
        <v>0</v>
      </c>
      <c r="AB836">
        <f t="shared" si="123"/>
        <v>12</v>
      </c>
      <c r="AC836">
        <f t="shared" si="124"/>
        <v>33</v>
      </c>
      <c r="AD836">
        <f t="shared" si="125"/>
        <v>1</v>
      </c>
    </row>
    <row r="837" spans="9:30" ht="15" customHeight="1">
      <c r="I837" s="69"/>
      <c r="J837" s="69"/>
      <c r="K837" s="69"/>
      <c r="L837" s="69"/>
      <c r="M837" s="69"/>
      <c r="N837" s="69" t="str">
        <f t="shared" si="126"/>
        <v/>
      </c>
      <c r="O837" s="69" t="str">
        <f t="shared" si="118"/>
        <v/>
      </c>
      <c r="P837" s="70" t="str">
        <f t="shared" si="119"/>
        <v/>
      </c>
      <c r="Q837" s="69" t="str">
        <f t="shared" si="120"/>
        <v/>
      </c>
      <c r="S837" s="71"/>
      <c r="Z837" t="str">
        <f t="shared" si="121"/>
        <v/>
      </c>
      <c r="AA837">
        <f t="shared" si="122"/>
        <v>0</v>
      </c>
      <c r="AB837">
        <f t="shared" si="123"/>
        <v>12</v>
      </c>
      <c r="AC837">
        <f t="shared" si="124"/>
        <v>33</v>
      </c>
      <c r="AD837">
        <f t="shared" si="125"/>
        <v>1</v>
      </c>
    </row>
    <row r="838" spans="9:30" ht="15" customHeight="1">
      <c r="I838" s="69"/>
      <c r="J838" s="69"/>
      <c r="K838" s="69"/>
      <c r="L838" s="69"/>
      <c r="M838" s="69"/>
      <c r="N838" s="69" t="str">
        <f t="shared" si="126"/>
        <v/>
      </c>
      <c r="O838" s="69" t="str">
        <f t="shared" ref="O838:O901" si="127">IF(ISNUMBER(I838),I838-SUM(J838:N838),"")</f>
        <v/>
      </c>
      <c r="P838" s="70" t="str">
        <f t="shared" ref="P838:P901" si="128">IFERROR(IF(AND(ISNUMBER(O838),ISNUMBER(I838),I838&lt;&gt;0),O838/I838,""),"")</f>
        <v/>
      </c>
      <c r="Q838" s="69" t="str">
        <f t="shared" ref="Q838:Q860" si="129">IF(AND(ISNUMBER(I838),ISNUMBER(S838)),I838*IF(S838&lt;=1,S838,S838/100),IF(OR(I838&lt;&gt;"",S838&lt;&gt;""),"tbd",""))</f>
        <v/>
      </c>
      <c r="S838" s="71"/>
      <c r="Z838" t="str">
        <f t="shared" ref="Z838:Z901" si="130">IF(AND(R838="WON",ISNUMBER(I838)),AA838,"")</f>
        <v/>
      </c>
      <c r="AA838">
        <f t="shared" ref="AA838:AA860" si="131">IFERROR(I838*1,0)</f>
        <v>0</v>
      </c>
      <c r="AB838">
        <f t="shared" ref="AB838:AB860" si="132">N(AB837)+IF(AND(R838="WON",B838&lt;&gt;""),1,0)</f>
        <v>12</v>
      </c>
      <c r="AC838">
        <f t="shared" ref="AC838:AC860" si="133">N(AC837)+IF(AND(OR(R838="offered",R838="to be offered",R838="on hold"),B838&lt;&gt;""),1,0)</f>
        <v>33</v>
      </c>
      <c r="AD838">
        <f t="shared" ref="AD838:AD860" si="134">N(AD837)+IF(AND(OR(R838="follow-up",R838="Evaluation",R838="tbd",R838="In evaluation"),B838&lt;&gt;""),1,0)</f>
        <v>1</v>
      </c>
    </row>
    <row r="839" spans="9:30" ht="15" customHeight="1">
      <c r="I839" s="69"/>
      <c r="J839" s="69"/>
      <c r="K839" s="69"/>
      <c r="L839" s="69"/>
      <c r="M839" s="69"/>
      <c r="N839" s="69" t="str">
        <f t="shared" si="126"/>
        <v/>
      </c>
      <c r="O839" s="69" t="str">
        <f t="shared" si="127"/>
        <v/>
      </c>
      <c r="P839" s="70" t="str">
        <f t="shared" si="128"/>
        <v/>
      </c>
      <c r="Q839" s="69" t="str">
        <f t="shared" si="129"/>
        <v/>
      </c>
      <c r="S839" s="71"/>
      <c r="Z839" t="str">
        <f t="shared" si="130"/>
        <v/>
      </c>
      <c r="AA839">
        <f t="shared" si="131"/>
        <v>0</v>
      </c>
      <c r="AB839">
        <f t="shared" si="132"/>
        <v>12</v>
      </c>
      <c r="AC839">
        <f t="shared" si="133"/>
        <v>33</v>
      </c>
      <c r="AD839">
        <f t="shared" si="134"/>
        <v>1</v>
      </c>
    </row>
    <row r="840" spans="9:30" ht="15" customHeight="1">
      <c r="I840" s="69"/>
      <c r="J840" s="69"/>
      <c r="K840" s="69"/>
      <c r="L840" s="69"/>
      <c r="M840" s="69"/>
      <c r="N840" s="69" t="str">
        <f t="shared" si="126"/>
        <v/>
      </c>
      <c r="O840" s="69" t="str">
        <f t="shared" si="127"/>
        <v/>
      </c>
      <c r="P840" s="70" t="str">
        <f t="shared" si="128"/>
        <v/>
      </c>
      <c r="Q840" s="69" t="str">
        <f t="shared" si="129"/>
        <v/>
      </c>
      <c r="S840" s="71"/>
      <c r="Z840" t="str">
        <f t="shared" si="130"/>
        <v/>
      </c>
      <c r="AA840">
        <f t="shared" si="131"/>
        <v>0</v>
      </c>
      <c r="AB840">
        <f t="shared" si="132"/>
        <v>12</v>
      </c>
      <c r="AC840">
        <f t="shared" si="133"/>
        <v>33</v>
      </c>
      <c r="AD840">
        <f t="shared" si="134"/>
        <v>1</v>
      </c>
    </row>
    <row r="841" spans="9:30" ht="15" customHeight="1">
      <c r="I841" s="69"/>
      <c r="J841" s="69"/>
      <c r="K841" s="69"/>
      <c r="L841" s="69"/>
      <c r="M841" s="69"/>
      <c r="N841" s="69" t="str">
        <f t="shared" si="126"/>
        <v/>
      </c>
      <c r="O841" s="69" t="str">
        <f t="shared" si="127"/>
        <v/>
      </c>
      <c r="P841" s="70" t="str">
        <f t="shared" si="128"/>
        <v/>
      </c>
      <c r="Q841" s="69" t="str">
        <f t="shared" si="129"/>
        <v/>
      </c>
      <c r="S841" s="71"/>
      <c r="Z841" t="str">
        <f t="shared" si="130"/>
        <v/>
      </c>
      <c r="AA841">
        <f t="shared" si="131"/>
        <v>0</v>
      </c>
      <c r="AB841">
        <f t="shared" si="132"/>
        <v>12</v>
      </c>
      <c r="AC841">
        <f t="shared" si="133"/>
        <v>33</v>
      </c>
      <c r="AD841">
        <f t="shared" si="134"/>
        <v>1</v>
      </c>
    </row>
    <row r="842" spans="9:30" ht="15" customHeight="1">
      <c r="I842" s="69"/>
      <c r="J842" s="69"/>
      <c r="K842" s="69"/>
      <c r="L842" s="69"/>
      <c r="M842" s="69"/>
      <c r="N842" s="69" t="str">
        <f t="shared" si="126"/>
        <v/>
      </c>
      <c r="O842" s="69" t="str">
        <f t="shared" si="127"/>
        <v/>
      </c>
      <c r="P842" s="70" t="str">
        <f t="shared" si="128"/>
        <v/>
      </c>
      <c r="Q842" s="69" t="str">
        <f t="shared" si="129"/>
        <v/>
      </c>
      <c r="S842" s="71"/>
      <c r="Z842" t="str">
        <f t="shared" si="130"/>
        <v/>
      </c>
      <c r="AA842">
        <f t="shared" si="131"/>
        <v>0</v>
      </c>
      <c r="AB842">
        <f t="shared" si="132"/>
        <v>12</v>
      </c>
      <c r="AC842">
        <f t="shared" si="133"/>
        <v>33</v>
      </c>
      <c r="AD842">
        <f t="shared" si="134"/>
        <v>1</v>
      </c>
    </row>
    <row r="843" spans="9:30" ht="15" customHeight="1">
      <c r="I843" s="69"/>
      <c r="J843" s="69"/>
      <c r="K843" s="69"/>
      <c r="L843" s="69"/>
      <c r="M843" s="69"/>
      <c r="N843" s="69" t="str">
        <f t="shared" si="126"/>
        <v/>
      </c>
      <c r="O843" s="69" t="str">
        <f t="shared" si="127"/>
        <v/>
      </c>
      <c r="P843" s="70" t="str">
        <f t="shared" si="128"/>
        <v/>
      </c>
      <c r="Q843" s="69" t="str">
        <f t="shared" si="129"/>
        <v/>
      </c>
      <c r="S843" s="71"/>
      <c r="Z843" t="str">
        <f t="shared" si="130"/>
        <v/>
      </c>
      <c r="AA843">
        <f t="shared" si="131"/>
        <v>0</v>
      </c>
      <c r="AB843">
        <f t="shared" si="132"/>
        <v>12</v>
      </c>
      <c r="AC843">
        <f t="shared" si="133"/>
        <v>33</v>
      </c>
      <c r="AD843">
        <f t="shared" si="134"/>
        <v>1</v>
      </c>
    </row>
    <row r="844" spans="9:30" ht="15" customHeight="1">
      <c r="I844" s="69"/>
      <c r="J844" s="69"/>
      <c r="K844" s="69"/>
      <c r="L844" s="69"/>
      <c r="M844" s="69"/>
      <c r="N844" s="69" t="str">
        <f t="shared" si="126"/>
        <v/>
      </c>
      <c r="O844" s="69" t="str">
        <f t="shared" si="127"/>
        <v/>
      </c>
      <c r="P844" s="70" t="str">
        <f t="shared" si="128"/>
        <v/>
      </c>
      <c r="Q844" s="69" t="str">
        <f t="shared" si="129"/>
        <v/>
      </c>
      <c r="S844" s="71"/>
      <c r="Z844" t="str">
        <f t="shared" si="130"/>
        <v/>
      </c>
      <c r="AA844">
        <f t="shared" si="131"/>
        <v>0</v>
      </c>
      <c r="AB844">
        <f t="shared" si="132"/>
        <v>12</v>
      </c>
      <c r="AC844">
        <f t="shared" si="133"/>
        <v>33</v>
      </c>
      <c r="AD844">
        <f t="shared" si="134"/>
        <v>1</v>
      </c>
    </row>
    <row r="845" spans="9:30" ht="15" customHeight="1">
      <c r="I845" s="69"/>
      <c r="J845" s="69"/>
      <c r="K845" s="69"/>
      <c r="L845" s="69"/>
      <c r="M845" s="69"/>
      <c r="N845" s="69" t="str">
        <f t="shared" si="126"/>
        <v/>
      </c>
      <c r="O845" s="69" t="str">
        <f t="shared" si="127"/>
        <v/>
      </c>
      <c r="P845" s="70" t="str">
        <f t="shared" si="128"/>
        <v/>
      </c>
      <c r="Q845" s="69" t="str">
        <f t="shared" si="129"/>
        <v/>
      </c>
      <c r="S845" s="71"/>
      <c r="Z845" t="str">
        <f t="shared" si="130"/>
        <v/>
      </c>
      <c r="AA845">
        <f t="shared" si="131"/>
        <v>0</v>
      </c>
      <c r="AB845">
        <f t="shared" si="132"/>
        <v>12</v>
      </c>
      <c r="AC845">
        <f t="shared" si="133"/>
        <v>33</v>
      </c>
      <c r="AD845">
        <f t="shared" si="134"/>
        <v>1</v>
      </c>
    </row>
    <row r="846" spans="9:30" ht="15" customHeight="1">
      <c r="I846" s="69"/>
      <c r="J846" s="69"/>
      <c r="K846" s="69"/>
      <c r="L846" s="69"/>
      <c r="M846" s="69"/>
      <c r="N846" s="69" t="str">
        <f t="shared" si="126"/>
        <v/>
      </c>
      <c r="O846" s="69" t="str">
        <f t="shared" si="127"/>
        <v/>
      </c>
      <c r="P846" s="70" t="str">
        <f t="shared" si="128"/>
        <v/>
      </c>
      <c r="Q846" s="69" t="str">
        <f t="shared" si="129"/>
        <v/>
      </c>
      <c r="S846" s="71"/>
      <c r="Z846" t="str">
        <f t="shared" si="130"/>
        <v/>
      </c>
      <c r="AA846">
        <f t="shared" si="131"/>
        <v>0</v>
      </c>
      <c r="AB846">
        <f t="shared" si="132"/>
        <v>12</v>
      </c>
      <c r="AC846">
        <f t="shared" si="133"/>
        <v>33</v>
      </c>
      <c r="AD846">
        <f t="shared" si="134"/>
        <v>1</v>
      </c>
    </row>
    <row r="847" spans="9:30" ht="15" customHeight="1">
      <c r="I847" s="69"/>
      <c r="J847" s="69"/>
      <c r="K847" s="69"/>
      <c r="L847" s="69"/>
      <c r="M847" s="69"/>
      <c r="N847" s="69" t="str">
        <f t="shared" si="126"/>
        <v/>
      </c>
      <c r="O847" s="69" t="str">
        <f t="shared" si="127"/>
        <v/>
      </c>
      <c r="P847" s="70" t="str">
        <f t="shared" si="128"/>
        <v/>
      </c>
      <c r="Q847" s="69" t="str">
        <f t="shared" si="129"/>
        <v/>
      </c>
      <c r="S847" s="71"/>
      <c r="Z847" t="str">
        <f t="shared" si="130"/>
        <v/>
      </c>
      <c r="AA847">
        <f t="shared" si="131"/>
        <v>0</v>
      </c>
      <c r="AB847">
        <f t="shared" si="132"/>
        <v>12</v>
      </c>
      <c r="AC847">
        <f t="shared" si="133"/>
        <v>33</v>
      </c>
      <c r="AD847">
        <f t="shared" si="134"/>
        <v>1</v>
      </c>
    </row>
    <row r="848" spans="9:30" ht="15" customHeight="1">
      <c r="I848" s="69"/>
      <c r="J848" s="69"/>
      <c r="K848" s="69"/>
      <c r="L848" s="69"/>
      <c r="M848" s="69"/>
      <c r="N848" s="69" t="str">
        <f t="shared" si="126"/>
        <v/>
      </c>
      <c r="O848" s="69" t="str">
        <f t="shared" si="127"/>
        <v/>
      </c>
      <c r="P848" s="70" t="str">
        <f t="shared" si="128"/>
        <v/>
      </c>
      <c r="Q848" s="69" t="str">
        <f t="shared" si="129"/>
        <v/>
      </c>
      <c r="S848" s="71"/>
      <c r="Z848" t="str">
        <f t="shared" si="130"/>
        <v/>
      </c>
      <c r="AA848">
        <f t="shared" si="131"/>
        <v>0</v>
      </c>
      <c r="AB848">
        <f t="shared" si="132"/>
        <v>12</v>
      </c>
      <c r="AC848">
        <f t="shared" si="133"/>
        <v>33</v>
      </c>
      <c r="AD848">
        <f t="shared" si="134"/>
        <v>1</v>
      </c>
    </row>
    <row r="849" spans="9:30" ht="15" customHeight="1">
      <c r="I849" s="69"/>
      <c r="J849" s="69"/>
      <c r="K849" s="69"/>
      <c r="L849" s="69"/>
      <c r="M849" s="69"/>
      <c r="N849" s="69" t="str">
        <f t="shared" si="126"/>
        <v/>
      </c>
      <c r="O849" s="69" t="str">
        <f t="shared" si="127"/>
        <v/>
      </c>
      <c r="P849" s="70" t="str">
        <f t="shared" si="128"/>
        <v/>
      </c>
      <c r="Q849" s="69" t="str">
        <f t="shared" si="129"/>
        <v/>
      </c>
      <c r="S849" s="71"/>
      <c r="Z849" t="str">
        <f t="shared" si="130"/>
        <v/>
      </c>
      <c r="AA849">
        <f t="shared" si="131"/>
        <v>0</v>
      </c>
      <c r="AB849">
        <f t="shared" si="132"/>
        <v>12</v>
      </c>
      <c r="AC849">
        <f t="shared" si="133"/>
        <v>33</v>
      </c>
      <c r="AD849">
        <f t="shared" si="134"/>
        <v>1</v>
      </c>
    </row>
    <row r="850" spans="9:30" ht="15" customHeight="1">
      <c r="I850" s="69"/>
      <c r="J850" s="69"/>
      <c r="K850" s="69"/>
      <c r="L850" s="69"/>
      <c r="M850" s="69"/>
      <c r="N850" s="69" t="str">
        <f t="shared" si="126"/>
        <v/>
      </c>
      <c r="O850" s="69" t="str">
        <f t="shared" si="127"/>
        <v/>
      </c>
      <c r="P850" s="70" t="str">
        <f t="shared" si="128"/>
        <v/>
      </c>
      <c r="Q850" s="69" t="str">
        <f t="shared" si="129"/>
        <v/>
      </c>
      <c r="S850" s="71"/>
      <c r="Z850" t="str">
        <f t="shared" si="130"/>
        <v/>
      </c>
      <c r="AA850">
        <f t="shared" si="131"/>
        <v>0</v>
      </c>
      <c r="AB850">
        <f t="shared" si="132"/>
        <v>12</v>
      </c>
      <c r="AC850">
        <f t="shared" si="133"/>
        <v>33</v>
      </c>
      <c r="AD850">
        <f t="shared" si="134"/>
        <v>1</v>
      </c>
    </row>
    <row r="851" spans="9:30" ht="15" customHeight="1">
      <c r="I851" s="69"/>
      <c r="J851" s="69"/>
      <c r="K851" s="69"/>
      <c r="L851" s="69"/>
      <c r="M851" s="69"/>
      <c r="N851" s="69" t="str">
        <f t="shared" si="126"/>
        <v/>
      </c>
      <c r="O851" s="69" t="str">
        <f t="shared" si="127"/>
        <v/>
      </c>
      <c r="P851" s="70" t="str">
        <f t="shared" si="128"/>
        <v/>
      </c>
      <c r="Q851" s="69" t="str">
        <f t="shared" si="129"/>
        <v/>
      </c>
      <c r="S851" s="71"/>
      <c r="Z851" t="str">
        <f t="shared" si="130"/>
        <v/>
      </c>
      <c r="AA851">
        <f t="shared" si="131"/>
        <v>0</v>
      </c>
      <c r="AB851">
        <f t="shared" si="132"/>
        <v>12</v>
      </c>
      <c r="AC851">
        <f t="shared" si="133"/>
        <v>33</v>
      </c>
      <c r="AD851">
        <f t="shared" si="134"/>
        <v>1</v>
      </c>
    </row>
    <row r="852" spans="9:30" ht="15" customHeight="1">
      <c r="I852" s="69"/>
      <c r="J852" s="69"/>
      <c r="K852" s="69"/>
      <c r="L852" s="69"/>
      <c r="M852" s="69"/>
      <c r="N852" s="69" t="str">
        <f t="shared" si="126"/>
        <v/>
      </c>
      <c r="O852" s="69" t="str">
        <f t="shared" si="127"/>
        <v/>
      </c>
      <c r="P852" s="70" t="str">
        <f t="shared" si="128"/>
        <v/>
      </c>
      <c r="Q852" s="69" t="str">
        <f t="shared" si="129"/>
        <v/>
      </c>
      <c r="S852" s="71"/>
      <c r="Z852" t="str">
        <f t="shared" si="130"/>
        <v/>
      </c>
      <c r="AA852">
        <f t="shared" si="131"/>
        <v>0</v>
      </c>
      <c r="AB852">
        <f t="shared" si="132"/>
        <v>12</v>
      </c>
      <c r="AC852">
        <f t="shared" si="133"/>
        <v>33</v>
      </c>
      <c r="AD852">
        <f t="shared" si="134"/>
        <v>1</v>
      </c>
    </row>
    <row r="853" spans="9:30" ht="15" customHeight="1">
      <c r="I853" s="69"/>
      <c r="J853" s="69"/>
      <c r="K853" s="69"/>
      <c r="L853" s="69"/>
      <c r="M853" s="69"/>
      <c r="N853" s="69" t="str">
        <f t="shared" si="126"/>
        <v/>
      </c>
      <c r="O853" s="69" t="str">
        <f t="shared" si="127"/>
        <v/>
      </c>
      <c r="P853" s="70" t="str">
        <f t="shared" si="128"/>
        <v/>
      </c>
      <c r="Q853" s="69" t="str">
        <f t="shared" si="129"/>
        <v/>
      </c>
      <c r="S853" s="71"/>
      <c r="Z853" t="str">
        <f t="shared" si="130"/>
        <v/>
      </c>
      <c r="AA853">
        <f t="shared" si="131"/>
        <v>0</v>
      </c>
      <c r="AB853">
        <f t="shared" si="132"/>
        <v>12</v>
      </c>
      <c r="AC853">
        <f t="shared" si="133"/>
        <v>33</v>
      </c>
      <c r="AD853">
        <f t="shared" si="134"/>
        <v>1</v>
      </c>
    </row>
    <row r="854" spans="9:30" ht="15" customHeight="1">
      <c r="I854" s="69"/>
      <c r="J854" s="69"/>
      <c r="K854" s="69"/>
      <c r="L854" s="69"/>
      <c r="M854" s="69"/>
      <c r="N854" s="69" t="str">
        <f t="shared" si="126"/>
        <v/>
      </c>
      <c r="O854" s="69" t="str">
        <f t="shared" si="127"/>
        <v/>
      </c>
      <c r="P854" s="70" t="str">
        <f t="shared" si="128"/>
        <v/>
      </c>
      <c r="Q854" s="69" t="str">
        <f t="shared" si="129"/>
        <v/>
      </c>
      <c r="S854" s="71"/>
      <c r="Z854" t="str">
        <f t="shared" si="130"/>
        <v/>
      </c>
      <c r="AA854">
        <f t="shared" si="131"/>
        <v>0</v>
      </c>
      <c r="AB854">
        <f t="shared" si="132"/>
        <v>12</v>
      </c>
      <c r="AC854">
        <f t="shared" si="133"/>
        <v>33</v>
      </c>
      <c r="AD854">
        <f t="shared" si="134"/>
        <v>1</v>
      </c>
    </row>
    <row r="855" spans="9:30" ht="15" customHeight="1">
      <c r="I855" s="69"/>
      <c r="J855" s="69"/>
      <c r="K855" s="69"/>
      <c r="L855" s="69"/>
      <c r="M855" s="69"/>
      <c r="N855" s="69" t="str">
        <f t="shared" si="126"/>
        <v/>
      </c>
      <c r="O855" s="69" t="str">
        <f t="shared" si="127"/>
        <v/>
      </c>
      <c r="P855" s="70" t="str">
        <f t="shared" si="128"/>
        <v/>
      </c>
      <c r="Q855" s="69" t="str">
        <f t="shared" si="129"/>
        <v/>
      </c>
      <c r="S855" s="71"/>
      <c r="Z855" t="str">
        <f t="shared" si="130"/>
        <v/>
      </c>
      <c r="AA855">
        <f t="shared" si="131"/>
        <v>0</v>
      </c>
      <c r="AB855">
        <f t="shared" si="132"/>
        <v>12</v>
      </c>
      <c r="AC855">
        <f t="shared" si="133"/>
        <v>33</v>
      </c>
      <c r="AD855">
        <f t="shared" si="134"/>
        <v>1</v>
      </c>
    </row>
    <row r="856" spans="9:30" ht="15" customHeight="1">
      <c r="I856" s="69"/>
      <c r="J856" s="69"/>
      <c r="K856" s="69"/>
      <c r="L856" s="69"/>
      <c r="M856" s="69"/>
      <c r="N856" s="69" t="str">
        <f t="shared" si="126"/>
        <v/>
      </c>
      <c r="O856" s="69" t="str">
        <f t="shared" si="127"/>
        <v/>
      </c>
      <c r="P856" s="70" t="str">
        <f t="shared" si="128"/>
        <v/>
      </c>
      <c r="Q856" s="69" t="str">
        <f t="shared" si="129"/>
        <v/>
      </c>
      <c r="S856" s="71"/>
      <c r="Z856" t="str">
        <f t="shared" si="130"/>
        <v/>
      </c>
      <c r="AA856">
        <f t="shared" si="131"/>
        <v>0</v>
      </c>
      <c r="AB856">
        <f t="shared" si="132"/>
        <v>12</v>
      </c>
      <c r="AC856">
        <f t="shared" si="133"/>
        <v>33</v>
      </c>
      <c r="AD856">
        <f t="shared" si="134"/>
        <v>1</v>
      </c>
    </row>
    <row r="857" spans="9:30" ht="15" customHeight="1">
      <c r="I857" s="69"/>
      <c r="J857" s="69"/>
      <c r="K857" s="69"/>
      <c r="L857" s="69"/>
      <c r="M857" s="69"/>
      <c r="N857" s="69" t="str">
        <f t="shared" si="126"/>
        <v/>
      </c>
      <c r="O857" s="69" t="str">
        <f t="shared" si="127"/>
        <v/>
      </c>
      <c r="P857" s="70" t="str">
        <f t="shared" si="128"/>
        <v/>
      </c>
      <c r="Q857" s="69" t="str">
        <f t="shared" si="129"/>
        <v/>
      </c>
      <c r="S857" s="71"/>
      <c r="Z857" t="str">
        <f t="shared" si="130"/>
        <v/>
      </c>
      <c r="AA857">
        <f t="shared" si="131"/>
        <v>0</v>
      </c>
      <c r="AB857">
        <f t="shared" si="132"/>
        <v>12</v>
      </c>
      <c r="AC857">
        <f t="shared" si="133"/>
        <v>33</v>
      </c>
      <c r="AD857">
        <f t="shared" si="134"/>
        <v>1</v>
      </c>
    </row>
    <row r="858" spans="9:30" ht="15" customHeight="1">
      <c r="I858" s="69"/>
      <c r="J858" s="69"/>
      <c r="K858" s="69"/>
      <c r="L858" s="69"/>
      <c r="M858" s="69"/>
      <c r="N858" s="69" t="str">
        <f t="shared" si="126"/>
        <v/>
      </c>
      <c r="O858" s="69" t="str">
        <f t="shared" si="127"/>
        <v/>
      </c>
      <c r="P858" s="70" t="str">
        <f t="shared" si="128"/>
        <v/>
      </c>
      <c r="Q858" s="69" t="str">
        <f t="shared" si="129"/>
        <v/>
      </c>
      <c r="S858" s="71"/>
      <c r="Z858" t="str">
        <f t="shared" si="130"/>
        <v/>
      </c>
      <c r="AA858">
        <f t="shared" si="131"/>
        <v>0</v>
      </c>
      <c r="AB858">
        <f t="shared" si="132"/>
        <v>12</v>
      </c>
      <c r="AC858">
        <f t="shared" si="133"/>
        <v>33</v>
      </c>
      <c r="AD858">
        <f t="shared" si="134"/>
        <v>1</v>
      </c>
    </row>
    <row r="859" spans="9:30" ht="15" customHeight="1">
      <c r="I859" s="69"/>
      <c r="J859" s="69"/>
      <c r="K859" s="69"/>
      <c r="L859" s="69"/>
      <c r="M859" s="69"/>
      <c r="N859" s="69" t="str">
        <f t="shared" si="126"/>
        <v/>
      </c>
      <c r="O859" s="69" t="str">
        <f t="shared" si="127"/>
        <v/>
      </c>
      <c r="P859" s="70" t="str">
        <f t="shared" si="128"/>
        <v/>
      </c>
      <c r="Q859" s="69" t="str">
        <f t="shared" si="129"/>
        <v/>
      </c>
      <c r="S859" s="71"/>
      <c r="Z859" t="str">
        <f t="shared" si="130"/>
        <v/>
      </c>
      <c r="AA859">
        <f t="shared" si="131"/>
        <v>0</v>
      </c>
      <c r="AB859">
        <f t="shared" si="132"/>
        <v>12</v>
      </c>
      <c r="AC859">
        <f t="shared" si="133"/>
        <v>33</v>
      </c>
      <c r="AD859">
        <f t="shared" si="134"/>
        <v>1</v>
      </c>
    </row>
    <row r="860" spans="9:30" ht="15" customHeight="1">
      <c r="I860" s="69"/>
      <c r="J860" s="69"/>
      <c r="K860" s="69"/>
      <c r="L860" s="69"/>
      <c r="M860" s="69"/>
      <c r="N860" s="69" t="str">
        <f t="shared" si="126"/>
        <v/>
      </c>
      <c r="O860" s="69" t="str">
        <f t="shared" si="127"/>
        <v/>
      </c>
      <c r="P860" s="70" t="str">
        <f t="shared" si="128"/>
        <v/>
      </c>
      <c r="Q860" s="69" t="str">
        <f t="shared" si="129"/>
        <v/>
      </c>
      <c r="S860" s="71"/>
      <c r="Z860" t="str">
        <f t="shared" si="130"/>
        <v/>
      </c>
      <c r="AA860">
        <f t="shared" si="131"/>
        <v>0</v>
      </c>
      <c r="AB860">
        <f t="shared" si="132"/>
        <v>12</v>
      </c>
      <c r="AC860">
        <f t="shared" si="133"/>
        <v>33</v>
      </c>
      <c r="AD860">
        <f t="shared" si="134"/>
        <v>1</v>
      </c>
    </row>
    <row r="861" spans="9:30" ht="15" customHeight="1"/>
    <row r="862" spans="9:30">
      <c r="Q862" s="73">
        <f>Q9+Q10+Q12+Q13+Q14+Q22+Q60+Q61+Q62+Q63</f>
        <v>1265080.9500000002</v>
      </c>
    </row>
    <row r="864" spans="9:30">
      <c r="Q864" s="75">
        <f>Q10+Q12+Q60+Q61</f>
        <v>42121.9</v>
      </c>
    </row>
  </sheetData>
  <autoFilter ref="A5:X860" xr:uid="{00000000-0009-0000-0000-000005000000}">
    <sortState xmlns:xlrd2="http://schemas.microsoft.com/office/spreadsheetml/2017/richdata2" ref="A6:Y63">
      <sortCondition descending="1" ref="T5:T63"/>
    </sortState>
  </autoFilter>
  <mergeCells count="11">
    <mergeCell ref="A2:X2"/>
    <mergeCell ref="U4:X4"/>
    <mergeCell ref="I4:L4"/>
    <mergeCell ref="A1:X1"/>
    <mergeCell ref="M4:N4"/>
    <mergeCell ref="S4:T4"/>
    <mergeCell ref="G4:H4"/>
    <mergeCell ref="A4:B4"/>
    <mergeCell ref="A3:X3"/>
    <mergeCell ref="O4:R4"/>
    <mergeCell ref="C4:F4"/>
  </mergeCells>
  <conditionalFormatting sqref="I6:I860">
    <cfRule type="dataBar" priority="14">
      <dataBar>
        <cfvo type="min"/>
        <cfvo type="max"/>
        <color rgb="FF63A6FF"/>
      </dataBar>
    </cfRule>
  </conditionalFormatting>
  <conditionalFormatting sqref="P6:P860">
    <cfRule type="colorScale" priority="13">
      <colorScale>
        <cfvo type="num" val="0"/>
        <cfvo type="num" val="0.3"/>
        <cfvo type="num" val="0.7"/>
        <color rgb="FFF8696B"/>
        <color rgb="FFFFEB84"/>
        <color rgb="FF63BE7B"/>
      </colorScale>
    </cfRule>
  </conditionalFormatting>
  <conditionalFormatting sqref="R6:R860">
    <cfRule type="cellIs" dxfId="9" priority="3" stopIfTrue="1" operator="equal">
      <formula>"WON"</formula>
    </cfRule>
    <cfRule type="cellIs" dxfId="8" priority="4" stopIfTrue="1" operator="equal">
      <formula>"offered"</formula>
    </cfRule>
    <cfRule type="cellIs" dxfId="7" priority="5" stopIfTrue="1" operator="equal">
      <formula>"to be offered"</formula>
    </cfRule>
    <cfRule type="cellIs" dxfId="6" priority="6" stopIfTrue="1" operator="equal">
      <formula>"follow-up"</formula>
    </cfRule>
    <cfRule type="cellIs" dxfId="5" priority="7" stopIfTrue="1" operator="equal">
      <formula>"Evaluation"</formula>
    </cfRule>
    <cfRule type="cellIs" dxfId="4" priority="8" stopIfTrue="1" operator="equal">
      <formula>"In evaluation"</formula>
    </cfRule>
    <cfRule type="cellIs" dxfId="3" priority="9" stopIfTrue="1" operator="equal">
      <formula>"on hold"</formula>
    </cfRule>
    <cfRule type="cellIs" dxfId="2" priority="10" stopIfTrue="1" operator="equal">
      <formula>"tbd"</formula>
    </cfRule>
    <cfRule type="cellIs" dxfId="1" priority="11" stopIfTrue="1" operator="equal">
      <formula>"LOST"</formula>
    </cfRule>
    <cfRule type="cellIs" dxfId="0" priority="12" stopIfTrue="1" operator="equal">
      <formula>"Declined"</formula>
    </cfRule>
  </conditionalFormatting>
  <conditionalFormatting sqref="J62">
    <cfRule type="dataBar" priority="2">
      <dataBar>
        <cfvo type="min"/>
        <cfvo type="max"/>
        <color rgb="FF63A6FF"/>
      </dataBar>
    </cfRule>
  </conditionalFormatting>
  <conditionalFormatting sqref="J63">
    <cfRule type="dataBar" priority="1">
      <dataBar>
        <cfvo type="min"/>
        <cfvo type="max"/>
        <color rgb="FF63A6FF"/>
      </dataBar>
    </cfRule>
  </conditionalFormatting>
  <dataValidations count="3">
    <dataValidation type="list" allowBlank="1" sqref="R6:R860" xr:uid="{00000000-0002-0000-0500-000000000000}">
      <formula1>"WON,offered,to be offered,follow-up,Evaluation,In evaluation,on hold,tbd,LOST,Declined"</formula1>
    </dataValidation>
    <dataValidation type="list" allowBlank="1" sqref="C6:C860" xr:uid="{00000000-0002-0000-0500-000001000000}">
      <formula1>"AG,AI,AR,BE,BL,BS,FR,GE,GL,GR,JU,LU,NE,NW,OW,SG,SH,SO,SZ,TG,TI,UR,VD,VS,ZG,ZH,tbd"</formula1>
    </dataValidation>
    <dataValidation type="list" allowBlank="1" sqref="T6:T860" xr:uid="{00000000-0002-0000-0500-000002000000}">
      <formula1>"Kalt,Kalt (Burak),Kalt (Mauro),Warm,Warm – Aggreko,Warm – CBM,Warm – Netzwerk,Inbound"</formula1>
    </dataValidation>
  </dataValidations>
  <printOptions horizontalCentered="1"/>
  <pageMargins left="0.3" right="0.3" top="0.5" bottom="0.5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9"/>
  <sheetViews>
    <sheetView zoomScaleNormal="100" workbookViewId="0"/>
  </sheetViews>
  <sheetFormatPr defaultColWidth="8.5703125" defaultRowHeight="15"/>
  <sheetData>
    <row r="1" spans="1:9" ht="15" customHeight="1">
      <c r="A1" t="s">
        <v>381</v>
      </c>
      <c r="B1" t="s">
        <v>14</v>
      </c>
      <c r="C1" t="s">
        <v>15</v>
      </c>
      <c r="D1" t="s">
        <v>11</v>
      </c>
      <c r="G1" t="s">
        <v>10</v>
      </c>
      <c r="H1" t="s">
        <v>11</v>
      </c>
      <c r="I1" t="s">
        <v>382</v>
      </c>
    </row>
    <row r="2" spans="1:9" ht="15" customHeight="1">
      <c r="A2" t="s">
        <v>159</v>
      </c>
      <c r="B2" t="s">
        <v>2</v>
      </c>
      <c r="C2">
        <f>COUNTIF('MiT Strom Pipeline'!R$6:R$860,A2)</f>
        <v>12</v>
      </c>
      <c r="D2">
        <f>SUMIFS('MiT Strom Pipeline'!I$6:I$860,'MiT Strom Pipeline'!R$6:R$860,A2)</f>
        <v>1428553.1299999997</v>
      </c>
      <c r="G2" t="s">
        <v>157</v>
      </c>
      <c r="H2">
        <f>SUMIF('MiT Strom Pipeline'!$D$6:$D$860,G2,'MiT Strom Pipeline'!$I$6:$I$860)</f>
        <v>380000</v>
      </c>
      <c r="I2">
        <f>COUNTIF('MiT Strom Pipeline'!$D$6:$D$860,G2)</f>
        <v>1</v>
      </c>
    </row>
    <row r="3" spans="1:9" ht="15" customHeight="1">
      <c r="A3" t="s">
        <v>132</v>
      </c>
      <c r="B3" t="s">
        <v>32</v>
      </c>
      <c r="C3">
        <f>COUNTIF('MiT Strom Pipeline'!R$6:R$860,A3)</f>
        <v>29</v>
      </c>
      <c r="D3">
        <f>SUMIFS('MiT Strom Pipeline'!I$6:I$860,'MiT Strom Pipeline'!R$6:R$860,A3)</f>
        <v>4887938.3000000007</v>
      </c>
      <c r="G3" t="s">
        <v>165</v>
      </c>
      <c r="H3">
        <f>SUMIF('MiT Strom Pipeline'!$D$6:$D$860,G3,'MiT Strom Pipeline'!$I$6:$I$860)</f>
        <v>13100</v>
      </c>
      <c r="I3">
        <f>COUNTIF('MiT Strom Pipeline'!$D$6:$D$860,G3)</f>
        <v>1</v>
      </c>
    </row>
    <row r="4" spans="1:9" ht="15" customHeight="1">
      <c r="A4" t="s">
        <v>383</v>
      </c>
      <c r="B4" t="s">
        <v>384</v>
      </c>
      <c r="C4">
        <f>COUNTIF('MiT Strom Pipeline'!R$6:R$860,A4)</f>
        <v>0</v>
      </c>
      <c r="D4">
        <f>SUMIFS('MiT Strom Pipeline'!I$6:I$860,'MiT Strom Pipeline'!R$6:R$860,A4)</f>
        <v>0</v>
      </c>
      <c r="G4" t="s">
        <v>177</v>
      </c>
      <c r="H4">
        <f>SUMIF('MiT Strom Pipeline'!$D$6:$D$860,G4,'MiT Strom Pipeline'!$I$6:$I$860)</f>
        <v>10000</v>
      </c>
      <c r="I4">
        <f>COUNTIF('MiT Strom Pipeline'!$D$6:$D$860,G4)</f>
        <v>1</v>
      </c>
    </row>
    <row r="5" spans="1:9" ht="15" customHeight="1">
      <c r="A5" t="s">
        <v>385</v>
      </c>
      <c r="B5" t="s">
        <v>19</v>
      </c>
      <c r="C5">
        <f>COUNTIF('MiT Strom Pipeline'!R$6:R$860,A5)</f>
        <v>0</v>
      </c>
      <c r="D5">
        <f>SUMIFS('MiT Strom Pipeline'!I$6:I$860,'MiT Strom Pipeline'!R$6:R$860,A5)</f>
        <v>0</v>
      </c>
      <c r="G5" t="s">
        <v>182</v>
      </c>
      <c r="H5">
        <f>SUMIF('MiT Strom Pipeline'!$D$6:$D$860,G5,'MiT Strom Pipeline'!$I$6:$I$860)</f>
        <v>150000</v>
      </c>
      <c r="I5">
        <f>COUNTIF('MiT Strom Pipeline'!$D$6:$D$860,G5)</f>
        <v>1</v>
      </c>
    </row>
    <row r="6" spans="1:9" ht="15" customHeight="1">
      <c r="A6" t="s">
        <v>386</v>
      </c>
      <c r="B6" t="s">
        <v>387</v>
      </c>
      <c r="C6">
        <f>COUNTIF('MiT Strom Pipeline'!R$6:R$860,A6)</f>
        <v>0</v>
      </c>
      <c r="D6">
        <f>SUMIFS('MiT Strom Pipeline'!I$6:I$860,'MiT Strom Pipeline'!R$6:R$860,A6)</f>
        <v>0</v>
      </c>
      <c r="G6" t="s">
        <v>129</v>
      </c>
      <c r="H6">
        <f>SUMIF('MiT Strom Pipeline'!$D$6:$D$860,G6,'MiT Strom Pipeline'!$I$6:$I$860)</f>
        <v>390000</v>
      </c>
      <c r="I6">
        <f>COUNTIF('MiT Strom Pipeline'!$D$6:$D$860,G6)</f>
        <v>1</v>
      </c>
    </row>
    <row r="7" spans="1:9" ht="15" customHeight="1">
      <c r="A7" t="s">
        <v>388</v>
      </c>
      <c r="B7" t="s">
        <v>389</v>
      </c>
      <c r="C7">
        <f>COUNTIF('MiT Strom Pipeline'!R$6:R$860,A7)</f>
        <v>0</v>
      </c>
      <c r="D7">
        <f>SUMIFS('MiT Strom Pipeline'!I$6:I$860,'MiT Strom Pipeline'!R$6:R$860,A7)</f>
        <v>0</v>
      </c>
      <c r="G7" t="s">
        <v>171</v>
      </c>
      <c r="H7">
        <f>SUMIF('MiT Strom Pipeline'!$D$6:$D$860,G7,'MiT Strom Pipeline'!$I$6:$I$860)</f>
        <v>137658.69</v>
      </c>
      <c r="I7">
        <f>COUNTIF('MiT Strom Pipeline'!$D$6:$D$860,G7)</f>
        <v>2</v>
      </c>
    </row>
    <row r="8" spans="1:9" ht="15" customHeight="1">
      <c r="A8" t="s">
        <v>151</v>
      </c>
      <c r="B8" t="s">
        <v>21</v>
      </c>
      <c r="C8">
        <f>COUNTIF('MiT Strom Pipeline'!R$6:R$860,A8)</f>
        <v>4</v>
      </c>
      <c r="D8">
        <f>SUMIFS('MiT Strom Pipeline'!I$6:I$860,'MiT Strom Pipeline'!R$6:R$860,A8)</f>
        <v>545657.80000000005</v>
      </c>
      <c r="G8" t="s">
        <v>250</v>
      </c>
      <c r="H8">
        <f>SUMIF('MiT Strom Pipeline'!$D$6:$D$860,G8,'MiT Strom Pipeline'!$I$6:$I$860)</f>
        <v>57897.120000000003</v>
      </c>
      <c r="I8">
        <f>COUNTIF('MiT Strom Pipeline'!$D$6:$D$860,G8)</f>
        <v>4</v>
      </c>
    </row>
    <row r="9" spans="1:9" ht="15" customHeight="1">
      <c r="A9" t="s">
        <v>141</v>
      </c>
      <c r="B9" t="s">
        <v>22</v>
      </c>
      <c r="C9">
        <f>COUNTIF('MiT Strom Pipeline'!R$6:R$860,A9)</f>
        <v>1</v>
      </c>
      <c r="D9">
        <f>SUMIFS('MiT Strom Pipeline'!I$6:I$860,'MiT Strom Pipeline'!R$6:R$860,A9)</f>
        <v>0</v>
      </c>
      <c r="G9" t="s">
        <v>319</v>
      </c>
      <c r="H9">
        <f>SUMIF('MiT Strom Pipeline'!$D$6:$D$860,G9,'MiT Strom Pipeline'!$I$6:$I$860)</f>
        <v>500000</v>
      </c>
      <c r="I9">
        <f>COUNTIF('MiT Strom Pipeline'!$D$6:$D$860,G9)</f>
        <v>1</v>
      </c>
    </row>
    <row r="10" spans="1:9" ht="15" customHeight="1">
      <c r="A10" t="s">
        <v>246</v>
      </c>
      <c r="B10" t="s">
        <v>23</v>
      </c>
      <c r="C10">
        <f>COUNTIF('MiT Strom Pipeline'!R$6:R$860,A10)</f>
        <v>7</v>
      </c>
      <c r="D10">
        <f>SUMIFS('MiT Strom Pipeline'!I$6:I$860,'MiT Strom Pipeline'!R$6:R$860,A10)</f>
        <v>78251.62</v>
      </c>
      <c r="G10" t="s">
        <v>210</v>
      </c>
      <c r="H10">
        <f>SUMIF('MiT Strom Pipeline'!$D$6:$D$860,G10,'MiT Strom Pipeline'!$I$6:$I$860)</f>
        <v>97679.209999999992</v>
      </c>
      <c r="I10">
        <f>COUNTIF('MiT Strom Pipeline'!$D$6:$D$860,G10)</f>
        <v>8</v>
      </c>
    </row>
    <row r="11" spans="1:9" ht="15" customHeight="1">
      <c r="A11" t="s">
        <v>142</v>
      </c>
      <c r="B11" t="s">
        <v>24</v>
      </c>
      <c r="C11">
        <f>COUNTIF('MiT Strom Pipeline'!R$6:R$860,A11)</f>
        <v>13</v>
      </c>
      <c r="D11">
        <f>SUMIFS('MiT Strom Pipeline'!I$6:I$860,'MiT Strom Pipeline'!R$6:R$860,A11)</f>
        <v>96029.01</v>
      </c>
      <c r="G11" t="s">
        <v>139</v>
      </c>
      <c r="H11">
        <f>SUMIF('MiT Strom Pipeline'!$D$6:$D$860,G11,'MiT Strom Pipeline'!$I$6:$I$860)</f>
        <v>0</v>
      </c>
      <c r="I11">
        <f>COUNTIF('MiT Strom Pipeline'!$D$6:$D$860,G11)</f>
        <v>2</v>
      </c>
    </row>
    <row r="12" spans="1:9" ht="15" customHeight="1">
      <c r="G12" t="s">
        <v>206</v>
      </c>
      <c r="H12">
        <f>SUMIF('MiT Strom Pipeline'!$D$6:$D$860,G12,'MiT Strom Pipeline'!$I$6:$I$860)</f>
        <v>365003</v>
      </c>
      <c r="I12">
        <f>COUNTIF('MiT Strom Pipeline'!$D$6:$D$860,G12)</f>
        <v>1</v>
      </c>
    </row>
    <row r="13" spans="1:9" ht="15" customHeight="1">
      <c r="A13" t="s">
        <v>40</v>
      </c>
      <c r="B13" t="s">
        <v>11</v>
      </c>
      <c r="C13" t="s">
        <v>382</v>
      </c>
      <c r="D13" t="s">
        <v>159</v>
      </c>
      <c r="E13" t="s">
        <v>390</v>
      </c>
      <c r="G13" t="s">
        <v>276</v>
      </c>
      <c r="H13">
        <f>SUMIF('MiT Strom Pipeline'!$D$6:$D$860,G13,'MiT Strom Pipeline'!$I$6:$I$860)</f>
        <v>75769</v>
      </c>
      <c r="I13">
        <f>COUNTIF('MiT Strom Pipeline'!$D$6:$D$860,G13)</f>
        <v>3</v>
      </c>
    </row>
    <row r="14" spans="1:9" ht="15" customHeight="1">
      <c r="A14" t="s">
        <v>43</v>
      </c>
      <c r="B14">
        <f>SUMIF('MiT Strom Pipeline'!$C$6:$C$860,A14,'MiT Strom Pipeline'!$I$6:$I$860)</f>
        <v>444672.94999999995</v>
      </c>
      <c r="C14">
        <f>COUNTIF('MiT Strom Pipeline'!$C$6:$C$860,A14)</f>
        <v>7</v>
      </c>
      <c r="D14">
        <f>COUNTIFS('MiT Strom Pipeline'!$C$6:$C$860,A14,'MiT Strom Pipeline'!$R$6:$R$860,"WON")</f>
        <v>1</v>
      </c>
      <c r="E14">
        <f t="shared" ref="E14:E39" si="0">B14+(26-ROW())*0.0001</f>
        <v>444672.95119999995</v>
      </c>
      <c r="G14" t="s">
        <v>148</v>
      </c>
      <c r="H14">
        <f>SUMIF('MiT Strom Pipeline'!$D$6:$D$860,G14,'MiT Strom Pipeline'!$I$6:$I$860)</f>
        <v>0</v>
      </c>
      <c r="I14">
        <f>COUNTIF('MiT Strom Pipeline'!$D$6:$D$860,G14)</f>
        <v>1</v>
      </c>
    </row>
    <row r="15" spans="1:9" ht="15" customHeight="1">
      <c r="A15" t="s">
        <v>44</v>
      </c>
      <c r="B15">
        <f>SUMIF('MiT Strom Pipeline'!$C$6:$C$860,A15,'MiT Strom Pipeline'!$I$6:$I$860)</f>
        <v>0</v>
      </c>
      <c r="C15">
        <f>COUNTIF('MiT Strom Pipeline'!$C$6:$C$860,A15)</f>
        <v>0</v>
      </c>
      <c r="D15">
        <f>COUNTIFS('MiT Strom Pipeline'!$C$6:$C$860,A15,'MiT Strom Pipeline'!$R$6:$R$860,"WON")</f>
        <v>0</v>
      </c>
      <c r="E15">
        <f t="shared" si="0"/>
        <v>1.1000000000000001E-3</v>
      </c>
      <c r="G15" t="s">
        <v>237</v>
      </c>
      <c r="H15">
        <f>SUMIF('MiT Strom Pipeline'!$D$6:$D$860,G15,'MiT Strom Pipeline'!$I$6:$I$860)</f>
        <v>0</v>
      </c>
      <c r="I15">
        <f>COUNTIF('MiT Strom Pipeline'!$D$6:$D$860,G15)</f>
        <v>1</v>
      </c>
    </row>
    <row r="16" spans="1:9" ht="15" customHeight="1">
      <c r="A16" t="s">
        <v>45</v>
      </c>
      <c r="B16">
        <f>SUMIF('MiT Strom Pipeline'!$C$6:$C$860,A16,'MiT Strom Pipeline'!$I$6:$I$860)</f>
        <v>0</v>
      </c>
      <c r="C16">
        <f>COUNTIF('MiT Strom Pipeline'!$C$6:$C$860,A16)</f>
        <v>0</v>
      </c>
      <c r="D16">
        <f>COUNTIFS('MiT Strom Pipeline'!$C$6:$C$860,A16,'MiT Strom Pipeline'!$R$6:$R$860,"WON")</f>
        <v>0</v>
      </c>
      <c r="E16">
        <f t="shared" si="0"/>
        <v>1E-3</v>
      </c>
      <c r="G16" t="s">
        <v>141</v>
      </c>
      <c r="H16">
        <f>SUMIF('MiT Strom Pipeline'!$D$6:$D$860,G16,'MiT Strom Pipeline'!$I$6:$I$860)</f>
        <v>0</v>
      </c>
      <c r="I16">
        <f>COUNTIF('MiT Strom Pipeline'!$D$6:$D$860,G16)</f>
        <v>1</v>
      </c>
    </row>
    <row r="17" spans="1:9" ht="15" customHeight="1">
      <c r="A17" t="s">
        <v>46</v>
      </c>
      <c r="B17">
        <f>SUMIF('MiT Strom Pipeline'!$C$6:$C$860,A17,'MiT Strom Pipeline'!$I$6:$I$860)</f>
        <v>58012.12</v>
      </c>
      <c r="C17">
        <f>COUNTIF('MiT Strom Pipeline'!$C$6:$C$860,A17)</f>
        <v>5</v>
      </c>
      <c r="D17">
        <f>COUNTIFS('MiT Strom Pipeline'!$C$6:$C$860,A17,'MiT Strom Pipeline'!$R$6:$R$860,"WON")</f>
        <v>0</v>
      </c>
      <c r="E17">
        <f t="shared" si="0"/>
        <v>58012.120900000002</v>
      </c>
      <c r="G17" t="s">
        <v>240</v>
      </c>
      <c r="H17">
        <f>SUMIF('MiT Strom Pipeline'!$D$6:$D$860,G17,'MiT Strom Pipeline'!$I$6:$I$860)</f>
        <v>48950</v>
      </c>
      <c r="I17">
        <f>COUNTIF('MiT Strom Pipeline'!$D$6:$D$860,G17)</f>
        <v>1</v>
      </c>
    </row>
    <row r="18" spans="1:9" ht="15" customHeight="1">
      <c r="A18" t="s">
        <v>47</v>
      </c>
      <c r="B18">
        <f>SUMIF('MiT Strom Pipeline'!$C$6:$C$860,A18,'MiT Strom Pipeline'!$I$6:$I$860)</f>
        <v>13472.18</v>
      </c>
      <c r="C18">
        <f>COUNTIF('MiT Strom Pipeline'!$C$6:$C$860,A18)</f>
        <v>1</v>
      </c>
      <c r="D18">
        <f>COUNTIFS('MiT Strom Pipeline'!$C$6:$C$860,A18,'MiT Strom Pipeline'!$R$6:$R$860,"WON")</f>
        <v>1</v>
      </c>
      <c r="E18">
        <f t="shared" si="0"/>
        <v>13472.1808</v>
      </c>
      <c r="G18" t="s">
        <v>245</v>
      </c>
      <c r="H18">
        <f>SUMIF('MiT Strom Pipeline'!$D$6:$D$860,G18,'MiT Strom Pipeline'!$I$6:$I$860)</f>
        <v>39000</v>
      </c>
      <c r="I18">
        <f>COUNTIF('MiT Strom Pipeline'!$D$6:$D$860,G18)</f>
        <v>1</v>
      </c>
    </row>
    <row r="19" spans="1:9" ht="15" customHeight="1">
      <c r="A19" t="s">
        <v>48</v>
      </c>
      <c r="B19">
        <f>SUMIF('MiT Strom Pipeline'!$C$6:$C$860,A19,'MiT Strom Pipeline'!$I$6:$I$860)</f>
        <v>13866.21</v>
      </c>
      <c r="C19">
        <f>COUNTIF('MiT Strom Pipeline'!$C$6:$C$860,A19)</f>
        <v>1</v>
      </c>
      <c r="D19">
        <f>COUNTIFS('MiT Strom Pipeline'!$C$6:$C$860,A19,'MiT Strom Pipeline'!$R$6:$R$860,"WON")</f>
        <v>0</v>
      </c>
      <c r="E19">
        <f t="shared" si="0"/>
        <v>13866.2107</v>
      </c>
      <c r="G19" t="s">
        <v>257</v>
      </c>
      <c r="H19">
        <f>SUMIF('MiT Strom Pipeline'!$D$6:$D$860,G19,'MiT Strom Pipeline'!$I$6:$I$860)</f>
        <v>12572.63</v>
      </c>
      <c r="I19">
        <f>COUNTIF('MiT Strom Pipeline'!$D$6:$D$860,G19)</f>
        <v>1</v>
      </c>
    </row>
    <row r="20" spans="1:9" ht="15" customHeight="1">
      <c r="A20" t="s">
        <v>49</v>
      </c>
      <c r="B20">
        <f>SUMIF('MiT Strom Pipeline'!$C$6:$C$860,A20,'MiT Strom Pipeline'!$I$6:$I$860)</f>
        <v>0</v>
      </c>
      <c r="C20">
        <f>COUNTIF('MiT Strom Pipeline'!$C$6:$C$860,A20)</f>
        <v>0</v>
      </c>
      <c r="D20">
        <f>COUNTIFS('MiT Strom Pipeline'!$C$6:$C$860,A20,'MiT Strom Pipeline'!$R$6:$R$860,"WON")</f>
        <v>0</v>
      </c>
      <c r="E20">
        <f t="shared" si="0"/>
        <v>6.0000000000000006E-4</v>
      </c>
      <c r="G20" t="s">
        <v>267</v>
      </c>
      <c r="H20">
        <f>SUMIF('MiT Strom Pipeline'!$D$6:$D$860,G20,'MiT Strom Pipeline'!$I$6:$I$860)</f>
        <v>0</v>
      </c>
      <c r="I20">
        <f>COUNTIF('MiT Strom Pipeline'!$D$6:$D$860,G20)</f>
        <v>1</v>
      </c>
    </row>
    <row r="21" spans="1:9" ht="15" customHeight="1">
      <c r="A21" t="s">
        <v>50</v>
      </c>
      <c r="B21">
        <f>SUMIF('MiT Strom Pipeline'!$C$6:$C$860,A21,'MiT Strom Pipeline'!$I$6:$I$860)</f>
        <v>38885</v>
      </c>
      <c r="C21">
        <f>COUNTIF('MiT Strom Pipeline'!$C$6:$C$860,A21)</f>
        <v>1</v>
      </c>
      <c r="D21">
        <f>COUNTIFS('MiT Strom Pipeline'!$C$6:$C$860,A21,'MiT Strom Pipeline'!$R$6:$R$860,"WON")</f>
        <v>0</v>
      </c>
      <c r="E21">
        <f t="shared" si="0"/>
        <v>38885.000500000002</v>
      </c>
      <c r="G21" t="s">
        <v>282</v>
      </c>
      <c r="H21">
        <f>SUMIF('MiT Strom Pipeline'!$D$6:$D$860,G21,'MiT Strom Pipeline'!$I$6:$I$860)</f>
        <v>0</v>
      </c>
      <c r="I21">
        <f>COUNTIF('MiT Strom Pipeline'!$D$6:$D$860,G21)</f>
        <v>1</v>
      </c>
    </row>
    <row r="22" spans="1:9" ht="15" customHeight="1">
      <c r="A22" t="s">
        <v>51</v>
      </c>
      <c r="B22">
        <f>SUMIF('MiT Strom Pipeline'!$C$6:$C$860,A22,'MiT Strom Pipeline'!$I$6:$I$860)</f>
        <v>0</v>
      </c>
      <c r="C22">
        <f>COUNTIF('MiT Strom Pipeline'!$C$6:$C$860,A22)</f>
        <v>0</v>
      </c>
      <c r="D22">
        <f>COUNTIFS('MiT Strom Pipeline'!$C$6:$C$860,A22,'MiT Strom Pipeline'!$R$6:$R$860,"WON")</f>
        <v>0</v>
      </c>
      <c r="E22">
        <f t="shared" si="0"/>
        <v>4.0000000000000002E-4</v>
      </c>
      <c r="G22" t="s">
        <v>198</v>
      </c>
      <c r="H22">
        <f>SUMIF('MiT Strom Pipeline'!$D$6:$D$860,G22,'MiT Strom Pipeline'!$I$6:$I$860)</f>
        <v>3224511.48</v>
      </c>
      <c r="I22">
        <f>COUNTIF('MiT Strom Pipeline'!$D$6:$D$860,G22)</f>
        <v>15</v>
      </c>
    </row>
    <row r="23" spans="1:9" ht="15" customHeight="1">
      <c r="A23" t="s">
        <v>52</v>
      </c>
      <c r="B23">
        <f>SUMIF('MiT Strom Pipeline'!$C$6:$C$860,A23,'MiT Strom Pipeline'!$I$6:$I$860)</f>
        <v>77325.62</v>
      </c>
      <c r="C23">
        <f>COUNTIF('MiT Strom Pipeline'!$C$6:$C$860,A23)</f>
        <v>2</v>
      </c>
      <c r="D23">
        <f>COUNTIFS('MiT Strom Pipeline'!$C$6:$C$860,A23,'MiT Strom Pipeline'!$R$6:$R$860,"WON")</f>
        <v>0</v>
      </c>
      <c r="E23">
        <f t="shared" si="0"/>
        <v>77325.620299999995</v>
      </c>
      <c r="G23" t="s">
        <v>219</v>
      </c>
      <c r="H23">
        <f>SUMIF('MiT Strom Pipeline'!$D$6:$D$860,G23,'MiT Strom Pipeline'!$I$6:$I$860)</f>
        <v>211297.08000000002</v>
      </c>
      <c r="I23">
        <f>COUNTIF('MiT Strom Pipeline'!$D$6:$D$860,G23)</f>
        <v>5</v>
      </c>
    </row>
    <row r="24" spans="1:9" ht="15" customHeight="1">
      <c r="A24" t="s">
        <v>53</v>
      </c>
      <c r="B24">
        <f>SUMIF('MiT Strom Pipeline'!$C$6:$C$860,A24,'MiT Strom Pipeline'!$I$6:$I$860)</f>
        <v>0</v>
      </c>
      <c r="C24">
        <f>COUNTIF('MiT Strom Pipeline'!$C$6:$C$860,A24)</f>
        <v>0</v>
      </c>
      <c r="D24">
        <f>COUNTIFS('MiT Strom Pipeline'!$C$6:$C$860,A24,'MiT Strom Pipeline'!$R$6:$R$860,"WON")</f>
        <v>0</v>
      </c>
      <c r="E24">
        <f t="shared" si="0"/>
        <v>2.0000000000000001E-4</v>
      </c>
      <c r="G24" t="s">
        <v>342</v>
      </c>
      <c r="H24">
        <f>SUMIF('MiT Strom Pipeline'!$D$6:$D$860,G24,'MiT Strom Pipeline'!$I$6:$I$860)</f>
        <v>750.65</v>
      </c>
      <c r="I24">
        <f>COUNTIF('MiT Strom Pipeline'!$D$6:$D$860,G24)</f>
        <v>1</v>
      </c>
    </row>
    <row r="25" spans="1:9" ht="15" customHeight="1">
      <c r="A25" t="s">
        <v>54</v>
      </c>
      <c r="B25">
        <f>SUMIF('MiT Strom Pipeline'!$C$6:$C$860,A25,'MiT Strom Pipeline'!$I$6:$I$860)</f>
        <v>23626.77</v>
      </c>
      <c r="C25">
        <f>COUNTIF('MiT Strom Pipeline'!$C$6:$C$860,A25)</f>
        <v>3</v>
      </c>
      <c r="D25">
        <f>COUNTIFS('MiT Strom Pipeline'!$C$6:$C$860,A25,'MiT Strom Pipeline'!$R$6:$R$860,"WON")</f>
        <v>0</v>
      </c>
      <c r="E25">
        <f t="shared" si="0"/>
        <v>23626.770100000002</v>
      </c>
      <c r="G25" t="s">
        <v>346</v>
      </c>
      <c r="H25">
        <f>SUMIF('MiT Strom Pipeline'!$D$6:$D$860,G25,'MiT Strom Pipeline'!$I$6:$I$860)</f>
        <v>5328.36</v>
      </c>
      <c r="I25">
        <f>COUNTIF('MiT Strom Pipeline'!$D$6:$D$860,G25)</f>
        <v>1</v>
      </c>
    </row>
    <row r="26" spans="1:9" ht="15" customHeight="1">
      <c r="A26" t="s">
        <v>55</v>
      </c>
      <c r="B26">
        <f>SUMIF('MiT Strom Pipeline'!$C$6:$C$860,A26,'MiT Strom Pipeline'!$I$6:$I$860)</f>
        <v>0</v>
      </c>
      <c r="C26">
        <f>COUNTIF('MiT Strom Pipeline'!$C$6:$C$860,A26)</f>
        <v>0</v>
      </c>
      <c r="D26">
        <f>COUNTIFS('MiT Strom Pipeline'!$C$6:$C$860,A26,'MiT Strom Pipeline'!$R$6:$R$860,"WON")</f>
        <v>0</v>
      </c>
      <c r="E26">
        <f t="shared" si="0"/>
        <v>0</v>
      </c>
      <c r="G26" t="s">
        <v>350</v>
      </c>
      <c r="H26">
        <f>SUMIF('MiT Strom Pipeline'!$D$6:$D$860,G26,'MiT Strom Pipeline'!$I$6:$I$860)</f>
        <v>231093.63999999998</v>
      </c>
      <c r="I26">
        <f>COUNTIF('MiT Strom Pipeline'!$D$6:$D$860,G26)</f>
        <v>4</v>
      </c>
    </row>
    <row r="27" spans="1:9" ht="15" customHeight="1">
      <c r="A27" t="s">
        <v>57</v>
      </c>
      <c r="B27">
        <f>SUMIF('MiT Strom Pipeline'!$C$6:$C$860,A27,'MiT Strom Pipeline'!$I$6:$I$860)</f>
        <v>0</v>
      </c>
      <c r="C27">
        <f>COUNTIF('MiT Strom Pipeline'!$C$6:$C$860,A27)</f>
        <v>0</v>
      </c>
      <c r="D27">
        <f>COUNTIFS('MiT Strom Pipeline'!$C$6:$C$860,A27,'MiT Strom Pipeline'!$R$6:$R$860,"WON")</f>
        <v>0</v>
      </c>
      <c r="E27">
        <f t="shared" si="0"/>
        <v>-1E-4</v>
      </c>
      <c r="G27" t="s">
        <v>355</v>
      </c>
      <c r="H27">
        <f>SUMIF('MiT Strom Pipeline'!$D$6:$D$860,G27,'MiT Strom Pipeline'!$I$6:$I$860)</f>
        <v>13533</v>
      </c>
      <c r="I27">
        <f>COUNTIF('MiT Strom Pipeline'!$D$6:$D$860,G27)</f>
        <v>1</v>
      </c>
    </row>
    <row r="28" spans="1:9" ht="15" customHeight="1">
      <c r="A28" t="s">
        <v>59</v>
      </c>
      <c r="B28">
        <f>SUMIF('MiT Strom Pipeline'!$C$6:$C$860,A28,'MiT Strom Pipeline'!$I$6:$I$860)</f>
        <v>0</v>
      </c>
      <c r="C28">
        <f>COUNTIF('MiT Strom Pipeline'!$C$6:$C$860,A28)</f>
        <v>0</v>
      </c>
      <c r="D28">
        <f>COUNTIFS('MiT Strom Pipeline'!$C$6:$C$860,A28,'MiT Strom Pipeline'!$R$6:$R$860,"WON")</f>
        <v>0</v>
      </c>
      <c r="E28">
        <f t="shared" si="0"/>
        <v>-2.0000000000000001E-4</v>
      </c>
    </row>
    <row r="29" spans="1:9" ht="15" customHeight="1">
      <c r="A29" t="s">
        <v>60</v>
      </c>
      <c r="B29">
        <f>SUMIF('MiT Strom Pipeline'!$C$6:$C$860,A29,'MiT Strom Pipeline'!$I$6:$I$860)</f>
        <v>101192.62</v>
      </c>
      <c r="C29">
        <f>COUNTIF('MiT Strom Pipeline'!$C$6:$C$860,A29)</f>
        <v>3</v>
      </c>
      <c r="D29">
        <f>COUNTIFS('MiT Strom Pipeline'!$C$6:$C$860,A29,'MiT Strom Pipeline'!$R$6:$R$860,"WON")</f>
        <v>1</v>
      </c>
      <c r="E29">
        <f t="shared" si="0"/>
        <v>101192.6197</v>
      </c>
    </row>
    <row r="30" spans="1:9" ht="15" customHeight="1">
      <c r="A30" t="s">
        <v>61</v>
      </c>
      <c r="B30">
        <f>SUMIF('MiT Strom Pipeline'!$C$6:$C$860,A30,'MiT Strom Pipeline'!$I$6:$I$860)</f>
        <v>2637287.63</v>
      </c>
      <c r="C30">
        <f>COUNTIF('MiT Strom Pipeline'!$C$6:$C$860,A30)</f>
        <v>5</v>
      </c>
      <c r="D30">
        <f>COUNTIFS('MiT Strom Pipeline'!$C$6:$C$860,A30,'MiT Strom Pipeline'!$R$6:$R$860,"WON")</f>
        <v>1</v>
      </c>
      <c r="E30">
        <f t="shared" si="0"/>
        <v>2637287.6296000001</v>
      </c>
    </row>
    <row r="31" spans="1:9" ht="15" customHeight="1">
      <c r="A31" t="s">
        <v>62</v>
      </c>
      <c r="B31">
        <f>SUMIF('MiT Strom Pipeline'!$C$6:$C$860,A31,'MiT Strom Pipeline'!$I$6:$I$860)</f>
        <v>390750.65</v>
      </c>
      <c r="C31">
        <f>COUNTIF('MiT Strom Pipeline'!$C$6:$C$860,A31)</f>
        <v>2</v>
      </c>
      <c r="D31">
        <f>COUNTIFS('MiT Strom Pipeline'!$C$6:$C$860,A31,'MiT Strom Pipeline'!$R$6:$R$860,"WON")</f>
        <v>0</v>
      </c>
      <c r="E31">
        <f t="shared" si="0"/>
        <v>390750.6495</v>
      </c>
    </row>
    <row r="32" spans="1:9" ht="15" customHeight="1">
      <c r="A32" t="s">
        <v>63</v>
      </c>
      <c r="B32">
        <f>SUMIF('MiT Strom Pipeline'!$C$6:$C$860,A32,'MiT Strom Pipeline'!$I$6:$I$860)</f>
        <v>0</v>
      </c>
      <c r="C32">
        <f>COUNTIF('MiT Strom Pipeline'!$C$6:$C$860,A32)</f>
        <v>0</v>
      </c>
      <c r="D32">
        <f>COUNTIFS('MiT Strom Pipeline'!$C$6:$C$860,A32,'MiT Strom Pipeline'!$R$6:$R$860,"WON")</f>
        <v>0</v>
      </c>
      <c r="E32">
        <f t="shared" si="0"/>
        <v>-6.0000000000000006E-4</v>
      </c>
    </row>
    <row r="33" spans="1:5" ht="15" customHeight="1">
      <c r="A33" t="s">
        <v>64</v>
      </c>
      <c r="B33">
        <f>SUMIF('MiT Strom Pipeline'!$C$6:$C$860,A33,'MiT Strom Pipeline'!$I$6:$I$860)</f>
        <v>160817.25999999998</v>
      </c>
      <c r="C33">
        <f>COUNTIF('MiT Strom Pipeline'!$C$6:$C$860,A33)</f>
        <v>3</v>
      </c>
      <c r="D33">
        <f>COUNTIFS('MiT Strom Pipeline'!$C$6:$C$860,A33,'MiT Strom Pipeline'!$R$6:$R$860,"WON")</f>
        <v>2</v>
      </c>
      <c r="E33">
        <f t="shared" si="0"/>
        <v>160817.25929999998</v>
      </c>
    </row>
    <row r="34" spans="1:5" ht="15" customHeight="1">
      <c r="A34" t="s">
        <v>65</v>
      </c>
      <c r="B34">
        <f>SUMIF('MiT Strom Pipeline'!$C$6:$C$860,A34,'MiT Strom Pipeline'!$I$6:$I$860)</f>
        <v>0</v>
      </c>
      <c r="C34">
        <f>COUNTIF('MiT Strom Pipeline'!$C$6:$C$860,A34)</f>
        <v>0</v>
      </c>
      <c r="D34">
        <f>COUNTIFS('MiT Strom Pipeline'!$C$6:$C$860,A34,'MiT Strom Pipeline'!$R$6:$R$860,"WON")</f>
        <v>0</v>
      </c>
      <c r="E34">
        <f t="shared" si="0"/>
        <v>-8.0000000000000004E-4</v>
      </c>
    </row>
    <row r="35" spans="1:5" ht="15" customHeight="1">
      <c r="A35" t="s">
        <v>66</v>
      </c>
      <c r="B35">
        <f>SUMIF('MiT Strom Pipeline'!$C$6:$C$860,A35,'MiT Strom Pipeline'!$I$6:$I$860)</f>
        <v>0</v>
      </c>
      <c r="C35">
        <f>COUNTIF('MiT Strom Pipeline'!$C$6:$C$860,A35)</f>
        <v>1</v>
      </c>
      <c r="D35">
        <f>COUNTIFS('MiT Strom Pipeline'!$C$6:$C$860,A35,'MiT Strom Pipeline'!$R$6:$R$860,"WON")</f>
        <v>0</v>
      </c>
      <c r="E35">
        <f t="shared" si="0"/>
        <v>-9.0000000000000008E-4</v>
      </c>
    </row>
    <row r="36" spans="1:5" ht="15" customHeight="1">
      <c r="A36" t="s">
        <v>67</v>
      </c>
      <c r="B36">
        <f>SUMIF('MiT Strom Pipeline'!$C$6:$C$860,A36,'MiT Strom Pipeline'!$I$6:$I$860)</f>
        <v>0</v>
      </c>
      <c r="C36">
        <f>COUNTIF('MiT Strom Pipeline'!$C$6:$C$860,A36)</f>
        <v>2</v>
      </c>
      <c r="D36">
        <f>COUNTIFS('MiT Strom Pipeline'!$C$6:$C$860,A36,'MiT Strom Pipeline'!$R$6:$R$860,"WON")</f>
        <v>0</v>
      </c>
      <c r="E36">
        <f t="shared" si="0"/>
        <v>-1E-3</v>
      </c>
    </row>
    <row r="37" spans="1:5" ht="15" customHeight="1">
      <c r="A37" t="s">
        <v>68</v>
      </c>
      <c r="B37">
        <f>SUMIF('MiT Strom Pipeline'!$C$6:$C$860,A37,'MiT Strom Pipeline'!$I$6:$I$860)</f>
        <v>303790.2</v>
      </c>
      <c r="C37">
        <f>COUNTIF('MiT Strom Pipeline'!$C$6:$C$860,A37)</f>
        <v>3</v>
      </c>
      <c r="D37">
        <f>COUNTIFS('MiT Strom Pipeline'!$C$6:$C$860,A37,'MiT Strom Pipeline'!$R$6:$R$860,"WON")</f>
        <v>1</v>
      </c>
      <c r="E37">
        <f t="shared" si="0"/>
        <v>303790.19890000002</v>
      </c>
    </row>
    <row r="38" spans="1:5" ht="15" customHeight="1">
      <c r="A38" t="s">
        <v>69</v>
      </c>
      <c r="B38">
        <f>SUMIF('MiT Strom Pipeline'!$C$6:$C$860,A38,'MiT Strom Pipeline'!$I$6:$I$860)</f>
        <v>40491.67</v>
      </c>
      <c r="C38">
        <f>COUNTIF('MiT Strom Pipeline'!$C$6:$C$860,A38)</f>
        <v>1</v>
      </c>
      <c r="D38">
        <f>COUNTIFS('MiT Strom Pipeline'!$C$6:$C$860,A38,'MiT Strom Pipeline'!$R$6:$R$860,"WON")</f>
        <v>0</v>
      </c>
      <c r="E38">
        <f t="shared" si="0"/>
        <v>40491.668799999999</v>
      </c>
    </row>
    <row r="39" spans="1:5" ht="15" customHeight="1">
      <c r="A39" t="s">
        <v>70</v>
      </c>
      <c r="B39">
        <f>SUMIF('MiT Strom Pipeline'!$C$6:$C$860,A39,'MiT Strom Pipeline'!$I$6:$I$860)</f>
        <v>2732238.9799999995</v>
      </c>
      <c r="C39">
        <f>COUNTIF('MiT Strom Pipeline'!$C$6:$C$860,A39)</f>
        <v>25</v>
      </c>
      <c r="D39">
        <f>COUNTIFS('MiT Strom Pipeline'!$C$6:$C$860,A39,'MiT Strom Pipeline'!$R$6:$R$860,"WON")</f>
        <v>5</v>
      </c>
      <c r="E39">
        <f t="shared" si="0"/>
        <v>2732238.9786999994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2026-06-05T08:48:06Z</dcterms:created>
  <dcterms:modified xsi:type="dcterms:W3CDTF">2026-08-06T14:27:14Z</dcterms:modified>
  <cp:category/>
  <cp:contentStatus/>
</cp:coreProperties>
</file>