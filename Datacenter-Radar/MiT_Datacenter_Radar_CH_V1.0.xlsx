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Anleitung" sheetId="1" state="visible" r:id="rId1"/>
    <sheet name="01_Dashboard" sheetId="2" state="visible" r:id="rId2"/>
    <sheet name="02_Projekt_Radar" sheetId="3" state="visible" r:id="rId3"/>
    <sheet name="03_Kontakte" sheetId="4" state="visible" r:id="rId4"/>
    <sheet name="04_Akquise_Tracker" sheetId="5" state="visible" r:id="rId5"/>
    <sheet name="05_Quellen_Montag" sheetId="6" state="visible" r:id="rId6"/>
    <sheet name="06_Changelog" sheetId="7" state="visible" r:id="rId7"/>
  </sheets>
  <definedNames>
    <definedName name="_xlnm._FilterDatabase" localSheetId="2" hidden="1">'02_Projekt_Radar'!$A$4:$W$200</definedName>
    <definedName name="_xlnm._FilterDatabase" localSheetId="3" hidden="1">'03_Kontakte'!$A$4:$M$200</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7">
    <font>
      <name val="Calibri"/>
      <family val="2"/>
      <color theme="1"/>
      <sz val="11"/>
      <scheme val="minor"/>
    </font>
    <font>
      <name val="Arial"/>
      <b val="1"/>
      <color rgb="001F3A5F"/>
      <sz val="14"/>
    </font>
    <font>
      <name val="Arial"/>
      <i val="1"/>
      <color rgb="00666666"/>
      <sz val="9"/>
    </font>
    <font>
      <name val="Arial"/>
      <sz val="10"/>
    </font>
    <font>
      <name val="Arial"/>
      <b val="1"/>
      <color rgb="001F3A5F"/>
      <sz val="10"/>
    </font>
    <font>
      <name val="Arial"/>
      <b val="1"/>
      <color rgb="00FFFFFF"/>
      <sz val="10"/>
    </font>
    <font>
      <name val="Arial"/>
      <b val="1"/>
      <color rgb="00FFFFFF"/>
      <sz val="11"/>
    </font>
  </fonts>
  <fills count="5">
    <fill>
      <patternFill/>
    </fill>
    <fill>
      <patternFill patternType="gray125"/>
    </fill>
    <fill>
      <patternFill patternType="solid">
        <fgColor rgb="001F3A5F"/>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6" fillId="2" borderId="0" pivotButton="0" quotePrefix="0" xfId="0"/>
    <xf numFmtId="0" fontId="0" fillId="2" borderId="0" pivotButton="0" quotePrefix="0" xfId="0"/>
    <xf numFmtId="0" fontId="3" fillId="4" borderId="1" pivotButton="0" quotePrefix="0" xfId="0"/>
    <xf numFmtId="0" fontId="4" fillId="0" borderId="1" applyAlignment="1" pivotButton="0" quotePrefix="0" xfId="0">
      <alignment horizontal="center"/>
    </xf>
    <xf numFmtId="0" fontId="5" fillId="2" borderId="1" applyAlignment="1" pivotButton="0" quotePrefix="0" xfId="0">
      <alignment horizontal="left" vertical="center" wrapText="1"/>
    </xf>
    <xf numFmtId="0"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165" fontId="3" fillId="3" borderId="1" applyAlignment="1" pivotButton="0" quotePrefix="0" xfId="0">
      <alignment vertical="top"/>
    </xf>
    <xf numFmtId="0" fontId="3" fillId="3" borderId="1" applyAlignment="1" pivotButton="0" quotePrefix="0" xfId="0">
      <alignment vertical="top" wrapText="1"/>
    </xf>
    <xf numFmtId="165" fontId="3" fillId="0" borderId="1" applyAlignment="1" pivotButton="0" quotePrefix="0" xfId="0">
      <alignment vertical="top"/>
    </xf>
    <xf numFmtId="0" fontId="2" fillId="0" borderId="0" applyAlignment="1" pivotButton="0" quotePrefix="0" xfId="0">
      <alignment vertical="top" wrapText="1"/>
    </xf>
    <xf numFmtId="0" fontId="3" fillId="0" borderId="1" applyAlignment="1" pivotButton="0" quotePrefix="0" xfId="0">
      <alignment horizontal="center" vertical="top"/>
    </xf>
    <xf numFmtId="164" fontId="3" fillId="0" borderId="1" applyAlignment="1" pivotButton="0" quotePrefix="0" xfId="0">
      <alignment vertical="top"/>
    </xf>
    <xf numFmtId="165" fontId="3" fillId="3" borderId="1" applyAlignment="1" pivotButton="0" quotePrefix="0" xfId="0">
      <alignment vertical="top"/>
    </xf>
    <xf numFmtId="165" fontId="3" fillId="0" borderId="1" applyAlignment="1" pivotButton="0" quotePrefix="0" xfId="0">
      <alignment vertical="top"/>
    </xf>
    <xf numFmtId="0" fontId="3" fillId="0" borderId="1" applyAlignment="1" pivotButton="0" quotePrefix="0" xfId="0">
      <alignment vertical="top"/>
    </xf>
    <xf numFmtId="0" fontId="3" fillId="3" borderId="1" applyAlignment="1" pivotButton="0" quotePrefix="0" xfId="0">
      <alignment vertical="top"/>
    </xf>
    <xf numFmtId="165"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7"/>
  <sheetViews>
    <sheetView showGridLines="0" workbookViewId="0">
      <selection activeCell="A1" sqref="A1"/>
    </sheetView>
  </sheetViews>
  <sheetFormatPr baseColWidth="8" defaultRowHeight="15"/>
  <cols>
    <col width="4" customWidth="1" min="1" max="1"/>
    <col width="118" customWidth="1" min="2" max="2"/>
  </cols>
  <sheetData>
    <row r="1" ht="22" customHeight="1">
      <c r="B1" s="1" t="inlineStr">
        <is>
          <t>MiT Datacenter-Radar Schweiz V1.0</t>
        </is>
      </c>
    </row>
    <row r="2">
      <c r="B2" s="2" t="inlineStr">
        <is>
          <t>Mobil in Time AG, An Aggreko Company. Sales Engineer Power, Burak Ucoez.</t>
        </is>
      </c>
    </row>
    <row r="3" ht="14" customHeight="1">
      <c r="B3" s="3" t="inlineStr"/>
    </row>
    <row r="4">
      <c r="B4" s="4" t="inlineStr">
        <is>
          <t>Wofuer diese Datei da ist</t>
        </is>
      </c>
    </row>
    <row r="5" ht="42" customHeight="1">
      <c r="B5" s="3" t="inlineStr">
        <is>
          <t>Die Schweizer Rechenzentrums-Pipeline an einem Ort, woechentlich nachgefuehrt. Ziel ist nicht Vollstaendigkeit, sondern das richtige Zeitfenster. Ein Projekt im falschen Moment anzusprechen kostet gleich viel Zeit wie eines gar nicht zu kennen.</t>
        </is>
      </c>
    </row>
    <row r="6" ht="14" customHeight="1">
      <c r="B6" s="3" t="inlineStr"/>
    </row>
    <row r="7">
      <c r="B7" s="4" t="inlineStr">
        <is>
          <t>Die sieben Blaetter</t>
        </is>
      </c>
    </row>
    <row r="8" ht="14" customHeight="1">
      <c r="B8" s="3" t="inlineStr">
        <is>
          <t>00_Anleitung   Diese Seite. Nur anfassen, wenn sich der Prozess aendert.</t>
        </is>
      </c>
    </row>
    <row r="9" ht="28" customHeight="1">
      <c r="B9" s="3" t="inlineStr">
        <is>
          <t>01_Dashboard   Reine Formelzellen auf 02_Projekt_Radar, Zeilen 5 bis 45. Niemals Werte hineinschreiben. Waechst das Radar ueber Zeile 45, muessen die Bereiche in allen Dashboard-Formeln mitwachsen.</t>
        </is>
      </c>
    </row>
    <row r="10" ht="28" customHeight="1">
      <c r="B10" s="3" t="inlineStr">
        <is>
          <t>02_Projekt_Radar   Das Herz. Kopfzeile in Zeile 4, Daten ab Zeile 5. Spalten R und S sind Formeln. Spalten O, P, Q und V sind gelb und gehoeren Burak.</t>
        </is>
      </c>
    </row>
    <row r="11" ht="28" customHeight="1">
      <c r="B11" s="3" t="inlineStr">
        <is>
          <t>03_Kontakte   Pro Projekt mindestens drei Zeilen: Betreiber, GU/TU, Fachplaner. Kontaktdaten nur aus oeffentlicher Quelle. Keine E-Mail aus Namensmustern ableiten.</t>
        </is>
      </c>
    </row>
    <row r="12" ht="14" customHeight="1">
      <c r="B12" s="3" t="inlineStr">
        <is>
          <t>04_Akquise_Tracker   Die Touchpoint-Sequenz. Statisch.</t>
        </is>
      </c>
    </row>
    <row r="13" ht="14" customHeight="1">
      <c r="B13" s="3" t="inlineStr">
        <is>
          <t>05_Quellen_Montag   Feste Recherche-Reihenfolge. Pruefdatum in Spalte F.</t>
        </is>
      </c>
    </row>
    <row r="14" ht="14" customHeight="1">
      <c r="B14" s="3" t="inlineStr">
        <is>
          <t>06_Changelog   Eine Zeile pro Aenderung. Ohne Changelog-Eintrag gilt eine Aenderung als nicht passiert.</t>
        </is>
      </c>
    </row>
    <row r="15" ht="14" customHeight="1">
      <c r="B15" s="3" t="inlineStr"/>
    </row>
    <row r="16">
      <c r="B16" s="4" t="inlineStr">
        <is>
          <t>Der Montags-Lauf</t>
        </is>
      </c>
    </row>
    <row r="17" ht="14" customHeight="1">
      <c r="B17" s="3" t="inlineStr">
        <is>
          <t>In Claude Code im Projektordner: /dc-update    oder    DC-Radar Update KW 36</t>
        </is>
      </c>
    </row>
    <row r="18" ht="42" customHeight="1">
      <c r="B18" s="3" t="inlineStr">
        <is>
          <t>Der Lauf legt zuerst ein Backup an, recherchiert dann entlang 05_Quellen_Montag, schreibt nur belegte Angaben mit URL und Quellendatum, ergaenzt das Changelog und gibt am Schluss einen kurzen Bericht im Terminal aus. Steht die Websuche nicht zur Verfuegung, bricht der Lauf ab und die Datei bleibt unveraendert.</t>
        </is>
      </c>
    </row>
    <row r="19" ht="14" customHeight="1">
      <c r="B19" s="3" t="inlineStr"/>
    </row>
    <row r="20">
      <c r="B20" s="4" t="inlineStr">
        <is>
          <t>Die vier Regeln, die hier weh tun, wenn man sie bricht</t>
        </is>
      </c>
    </row>
    <row r="21" ht="14" customHeight="1">
      <c r="B21" s="3" t="inlineStr">
        <is>
          <t>1. Quellenpflicht. Jede Angabe braucht URL in Spalte T und Datum in Spalte U.</t>
        </is>
      </c>
    </row>
    <row r="22" ht="28" customHeight="1">
      <c r="B22" s="3" t="inlineStr">
        <is>
          <t>2. Keine erfundenen Werte. Was nicht belegt ist, steht als prueefen drin oder bleibt leer. Ein plausibel erfundener Wert ist der teuerste Fehler in diesem Projekt.</t>
        </is>
      </c>
    </row>
    <row r="23" ht="28" customHeight="1">
      <c r="B23" s="3" t="inlineStr">
        <is>
          <t>3. Zeilen werden nie geloescht. Ein totes Projekt bekommt Phase Gestoppt und eine Bemerkung, damit die Historie bleibt.</t>
        </is>
      </c>
    </row>
    <row r="24" ht="14" customHeight="1">
      <c r="B24" s="3" t="inlineStr">
        <is>
          <t>4. Gelbe Spalten und Formelspalten nie ueberschreiben.</t>
        </is>
      </c>
    </row>
    <row r="25" ht="14" customHeight="1">
      <c r="B25" s="3" t="inlineStr"/>
    </row>
    <row r="26">
      <c r="B26" s="4" t="inlineStr">
        <is>
          <t>Konvention fuer unbelegte Dropdown-Felder</t>
        </is>
      </c>
    </row>
    <row r="27" ht="42" customHeight="1">
      <c r="B27" s="3" t="inlineStr">
        <is>
          <t>Spalte G Phase, Spalte N Prio und Spalte K Kanal_Prio haengen an Dropdowns. Ist der Wert nicht belegt, bleibt die Zelle leer und die Luecke steht in Spalte W. So bleibt die Dropdown-Pruefung sauber und das Dashboard zaehlt nicht falsch.</t>
        </is>
      </c>
    </row>
    <row r="28" ht="14" customHeight="1">
      <c r="B28" s="3" t="inlineStr"/>
    </row>
    <row r="29">
      <c r="B29" s="4" t="inlineStr">
        <is>
          <t>Wo das Verkaufsfenster liegt</t>
        </is>
      </c>
    </row>
    <row r="30" ht="14" customHeight="1">
      <c r="B30" s="3" t="inlineStr">
        <is>
          <t>Planung und Bewilligung: zu frueh fuer Lastbank, richtig fuer Beziehungsaufbau beim Fachplaner.</t>
        </is>
      </c>
    </row>
    <row r="31" ht="14" customHeight="1">
      <c r="B31" s="3" t="inlineStr">
        <is>
          <t>Baustart und Rohbau: Baustrom, Bridging, Trocknung. Kanal ist der GU.</t>
        </is>
      </c>
    </row>
    <row r="32" ht="28" customHeight="1">
      <c r="B32" s="3" t="inlineStr">
        <is>
          <t>Fit-out minus sechs Monate: hier faellt der Entscheid ueber den Commissioning-Lasttest. Das wichtigste Fenster im ganzen Radar.</t>
        </is>
      </c>
    </row>
    <row r="33" ht="28" customHeight="1">
      <c r="B33" s="3" t="inlineStr">
        <is>
          <t>Commissioning: Lastbank, Heat-Load-Test, Generator-Abnahme, USV-Test. Wer erst jetzt anruft, ist meist zu spaet, weil die Leistung im MEP-Vertrag steckt.</t>
        </is>
      </c>
    </row>
    <row r="34" ht="14" customHeight="1">
      <c r="B34" s="3" t="inlineStr">
        <is>
          <t>Betrieb: Wartungsfenster, Netzanschlussarbeiten des EVU, Batterietausch, Bridging Power, PQ-Audit.</t>
        </is>
      </c>
    </row>
    <row r="35" ht="14" customHeight="1">
      <c r="B35" s="3" t="inlineStr"/>
    </row>
    <row r="36">
      <c r="B36" s="4" t="inlineStr">
        <is>
          <t>Drei-Kanal-Regel</t>
        </is>
      </c>
    </row>
    <row r="37" ht="42" customHeight="1">
      <c r="B37" s="3" t="inlineStr">
        <is>
          <t>Der Betreiber entscheidet ueber Budget, der GU vergibt in der Bauphase, der Fachplaner schreibt aus. Ein Planer ist zehn Projekte, ein Betreiber ist eines. Zuerst Planer- und GU-Kanal pruefen, erst dann eine Betreiberansprache vorschlagen.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showGridLines="0" workbookViewId="0">
      <selection activeCell="A1" sqref="A1"/>
    </sheetView>
  </sheetViews>
  <sheetFormatPr baseColWidth="8" defaultRowHeight="15"/>
  <cols>
    <col width="3" customWidth="1" min="1" max="1"/>
    <col width="34" customWidth="1" min="2" max="2"/>
    <col width="14" customWidth="1" min="3" max="3"/>
    <col width="3" customWidth="1" min="4" max="4"/>
    <col width="34" customWidth="1" min="5" max="5"/>
    <col width="14" customWidth="1" min="6" max="6"/>
  </cols>
  <sheetData>
    <row r="1" ht="22" customHeight="1">
      <c r="A1" s="1" t="inlineStr">
        <is>
          <t>01 Dashboard</t>
        </is>
      </c>
    </row>
    <row r="2">
      <c r="A2" s="2" t="inlineStr">
        <is>
          <t>Reine Formelzellen auf 02_Projekt_Radar Zeilen 5 bis 45. Niemals Werte hineinschreiben.</t>
        </is>
      </c>
    </row>
    <row r="4">
      <c r="B4" s="5" t="inlineStr">
        <is>
          <t>UEBERBLICK</t>
        </is>
      </c>
      <c r="C4" s="6" t="n"/>
      <c r="E4" s="5" t="inlineStr">
        <is>
          <t>PHASEN</t>
        </is>
      </c>
      <c r="F4" s="6" t="n"/>
    </row>
    <row r="5">
      <c r="B5" s="7" t="inlineStr">
        <is>
          <t>Projekte im Radar</t>
        </is>
      </c>
      <c r="C5" s="8">
        <f>COUNTA('02_Projekt_Radar'!B5:B45)</f>
        <v/>
      </c>
      <c r="E5" s="7" t="inlineStr">
        <is>
          <t>Planung</t>
        </is>
      </c>
      <c r="F5" s="8">
        <f>COUNTIF('02_Projekt_Radar'!G5:G45,"Planung")</f>
        <v/>
      </c>
    </row>
    <row r="6">
      <c r="B6" s="7" t="inlineStr">
        <is>
          <t>Kapazitaet total MW (belegt)</t>
        </is>
      </c>
      <c r="C6" s="8">
        <f>SUM('02_Projekt_Radar'!F5:F45)</f>
        <v/>
      </c>
      <c r="E6" s="7" t="inlineStr">
        <is>
          <t>Bewilligung</t>
        </is>
      </c>
      <c r="F6" s="8">
        <f>COUNTIF('02_Projekt_Radar'!G5:G45,"Bewilligung")</f>
        <v/>
      </c>
    </row>
    <row r="7">
      <c r="B7" s="7" t="inlineStr">
        <is>
          <t>Prio A</t>
        </is>
      </c>
      <c r="C7" s="8">
        <f>COUNTIF('02_Projekt_Radar'!N5:N45,"A")</f>
        <v/>
      </c>
      <c r="E7" s="7" t="inlineStr">
        <is>
          <t>Baustart</t>
        </is>
      </c>
      <c r="F7" s="8">
        <f>COUNTIF('02_Projekt_Radar'!G5:G45,"Baustart")</f>
        <v/>
      </c>
    </row>
    <row r="8">
      <c r="B8" s="7" t="inlineStr">
        <is>
          <t>Prio B</t>
        </is>
      </c>
      <c r="C8" s="8">
        <f>COUNTIF('02_Projekt_Radar'!N5:N45,"B")</f>
        <v/>
      </c>
      <c r="E8" s="7" t="inlineStr">
        <is>
          <t>Rohbau</t>
        </is>
      </c>
      <c r="F8" s="8">
        <f>COUNTIF('02_Projekt_Radar'!G5:G45,"Rohbau")</f>
        <v/>
      </c>
    </row>
    <row r="9">
      <c r="B9" s="7" t="inlineStr">
        <is>
          <t>Prio C</t>
        </is>
      </c>
      <c r="C9" s="8">
        <f>COUNTIF('02_Projekt_Radar'!N5:N45,"C")</f>
        <v/>
      </c>
      <c r="E9" s="7" t="inlineStr">
        <is>
          <t>Fit-out</t>
        </is>
      </c>
      <c r="F9" s="8">
        <f>COUNTIF('02_Projekt_Radar'!G5:G45,"Fit-out")</f>
        <v/>
      </c>
    </row>
    <row r="10">
      <c r="B10" s="7" t="inlineStr">
        <is>
          <t>Phase nicht belegt</t>
        </is>
      </c>
      <c r="C10" s="8">
        <f>COUNTA('02_Projekt_Radar'!B5:B45)-COUNTA('02_Projekt_Radar'!G5:G45)</f>
        <v/>
      </c>
      <c r="E10" s="7" t="inlineStr">
        <is>
          <t>Commissioning</t>
        </is>
      </c>
      <c r="F10" s="8">
        <f>COUNTIF('02_Projekt_Radar'!G5:G45,"Commissioning")</f>
        <v/>
      </c>
    </row>
    <row r="11">
      <c r="B11" s="7" t="inlineStr">
        <is>
          <t>ohne Quelle_URL</t>
        </is>
      </c>
      <c r="C11" s="8">
        <f>COUNTA('02_Projekt_Radar'!B5:B45)-COUNTA('02_Projekt_Radar'!T5:T45)</f>
        <v/>
      </c>
      <c r="E11" s="7" t="inlineStr">
        <is>
          <t>Betrieb</t>
        </is>
      </c>
      <c r="F11" s="8">
        <f>COUNTIF('02_Projekt_Radar'!G5:G45,"Betrieb")</f>
        <v/>
      </c>
    </row>
    <row r="12">
      <c r="E12" s="7" t="inlineStr">
        <is>
          <t>Ausbau</t>
        </is>
      </c>
      <c r="F12" s="8">
        <f>COUNTIF('02_Projekt_Radar'!G5:G45,"Ausbau")</f>
        <v/>
      </c>
    </row>
    <row r="13">
      <c r="B13" s="5" t="inlineStr">
        <is>
          <t>WIEDERVORLAGEN</t>
        </is>
      </c>
      <c r="C13" s="6" t="n"/>
      <c r="E13" s="7" t="inlineStr">
        <is>
          <t>Verzoegert</t>
        </is>
      </c>
      <c r="F13" s="8">
        <f>COUNTIF('02_Projekt_Radar'!G5:G45,"Verzoegert")</f>
        <v/>
      </c>
    </row>
    <row r="14">
      <c r="B14" s="7" t="inlineStr">
        <is>
          <t>ueberfaellig</t>
        </is>
      </c>
      <c r="C14" s="8">
        <f>COUNTIF('02_Projekt_Radar'!S5:S45,"UEBERFAELLIG")</f>
        <v/>
      </c>
      <c r="E14" s="7" t="inlineStr">
        <is>
          <t>Gestoppt</t>
        </is>
      </c>
      <c r="F14" s="8">
        <f>COUNTIF('02_Projekt_Radar'!G5:G45,"Gestoppt")</f>
        <v/>
      </c>
    </row>
    <row r="15">
      <c r="B15" s="7" t="inlineStr">
        <is>
          <t>diese Woche</t>
        </is>
      </c>
      <c r="C15" s="8">
        <f>COUNTIF('02_Projekt_Radar'!S5:S45,"DIESE WOCHE")</f>
        <v/>
      </c>
    </row>
    <row r="16">
      <c r="B16" s="7" t="inlineStr">
        <is>
          <t>ok</t>
        </is>
      </c>
      <c r="C16" s="8">
        <f>COUNTIF('02_Projekt_Radar'!S5:S45,"ok")</f>
        <v/>
      </c>
      <c r="E16" s="5" t="inlineStr">
        <is>
          <t>STATUS KONTAKT</t>
        </is>
      </c>
      <c r="F16" s="6" t="n"/>
    </row>
    <row r="17">
      <c r="B17" s="7" t="inlineStr">
        <is>
          <t>ohne Wiedervorlage</t>
        </is>
      </c>
      <c r="C17" s="8">
        <f>COUNTA('02_Projekt_Radar'!B5:B45)-COUNT('02_Projekt_Radar'!Q5:Q45)</f>
        <v/>
      </c>
      <c r="E17" s="7" t="inlineStr">
        <is>
          <t>Kalt</t>
        </is>
      </c>
      <c r="F17" s="8">
        <f>COUNTIF('02_Projekt_Radar'!O5:O45,"Kalt")</f>
        <v/>
      </c>
    </row>
    <row r="18">
      <c r="E18" s="7" t="inlineStr">
        <is>
          <t>Angeschrieben</t>
        </is>
      </c>
      <c r="F18" s="8">
        <f>COUNTIF('02_Projekt_Radar'!O5:O45,"Angeschrieben")</f>
        <v/>
      </c>
    </row>
    <row r="19">
      <c r="B19" s="5" t="inlineStr">
        <is>
          <t>VERKAUFSFENSTER</t>
        </is>
      </c>
      <c r="C19" s="6" t="n"/>
      <c r="E19" s="7" t="inlineStr">
        <is>
          <t>Erstkontakt</t>
        </is>
      </c>
      <c r="F19" s="8">
        <f>COUNTIF('02_Projekt_Radar'!O5:O45,"Erstkontakt")</f>
        <v/>
      </c>
    </row>
    <row r="20">
      <c r="B20" s="7" t="inlineStr">
        <is>
          <t>Bau laeuft (Baustart + Rohbau)</t>
        </is>
      </c>
      <c r="C20" s="8">
        <f>COUNTIF('02_Projekt_Radar'!G5:G45,"Baustart")+COUNTIF('02_Projekt_Radar'!G5:G45,"Rohbau")</f>
        <v/>
      </c>
      <c r="E20" s="7" t="inlineStr">
        <is>
          <t>Erstgespraech</t>
        </is>
      </c>
      <c r="F20" s="8">
        <f>COUNTIF('02_Projekt_Radar'!O5:O45,"Erstgespraech")</f>
        <v/>
      </c>
    </row>
    <row r="21">
      <c r="B21" s="7" t="inlineStr">
        <is>
          <t>Cx-Fenster (Fit-out + Commissioning)</t>
        </is>
      </c>
      <c r="C21" s="8">
        <f>COUNTIF('02_Projekt_Radar'!G5:G45,"Fit-out")+COUNTIF('02_Projekt_Radar'!G5:G45,"Commissioning")</f>
        <v/>
      </c>
      <c r="E21" s="7" t="inlineStr">
        <is>
          <t>Qualifiziert</t>
        </is>
      </c>
      <c r="F21" s="8">
        <f>COUNTIF('02_Projekt_Radar'!O5:O45,"Qualifiziert")</f>
        <v/>
      </c>
    </row>
    <row r="22">
      <c r="B22" s="7" t="inlineStr">
        <is>
          <t>frueh (Planung + Bewilligung)</t>
        </is>
      </c>
      <c r="C22" s="8">
        <f>COUNTIF('02_Projekt_Radar'!G5:G45,"Planung")+COUNTIF('02_Projekt_Radar'!G5:G45,"Bewilligung")</f>
        <v/>
      </c>
      <c r="E22" s="7" t="inlineStr">
        <is>
          <t>Offerte</t>
        </is>
      </c>
      <c r="F22" s="8">
        <f>COUNTIF('02_Projekt_Radar'!O5:O45,"Offerte")</f>
        <v/>
      </c>
    </row>
    <row r="23">
      <c r="B23" s="7" t="inlineStr">
        <is>
          <t>Bestand (Betrieb + Ausbau)</t>
        </is>
      </c>
      <c r="C23" s="8">
        <f>COUNTIF('02_Projekt_Radar'!G5:G45,"Betrieb")+COUNTIF('02_Projekt_Radar'!G5:G45,"Ausbau")</f>
        <v/>
      </c>
      <c r="E23" s="7" t="inlineStr">
        <is>
          <t>Gewonnen</t>
        </is>
      </c>
      <c r="F23" s="8">
        <f>COUNTIF('02_Projekt_Radar'!O5:O45,"Gewonnen")</f>
        <v/>
      </c>
    </row>
    <row r="24">
      <c r="B24" s="7" t="inlineStr">
        <is>
          <t>Verzoegert (Bridging-Chance)</t>
        </is>
      </c>
      <c r="C24" s="8">
        <f>COUNTIF('02_Projekt_Radar'!G5:G45,"Verzoegert")</f>
        <v/>
      </c>
      <c r="E24" s="7" t="inlineStr">
        <is>
          <t>Verloren</t>
        </is>
      </c>
      <c r="F24" s="8">
        <f>COUNTIF('02_Projekt_Radar'!O5:O45,"Verloren")</f>
        <v/>
      </c>
    </row>
    <row r="25">
      <c r="E25" s="7" t="inlineStr">
        <is>
          <t>Ruhend</t>
        </is>
      </c>
      <c r="F25" s="8">
        <f>COUNTIF('02_Projekt_Radar'!O5:O45,"Ruhend")</f>
        <v/>
      </c>
    </row>
    <row r="27">
      <c r="E27" s="5" t="inlineStr">
        <is>
          <t>KANTONE</t>
        </is>
      </c>
      <c r="F27" s="6" t="n"/>
    </row>
    <row r="28">
      <c r="E28" s="7" t="inlineStr">
        <is>
          <t>ZH</t>
        </is>
      </c>
      <c r="F28" s="8">
        <f>COUNTIF('02_Projekt_Radar'!E5:E45,"ZH")</f>
        <v/>
      </c>
    </row>
    <row r="29">
      <c r="E29" s="7" t="inlineStr">
        <is>
          <t>AG</t>
        </is>
      </c>
      <c r="F29" s="8">
        <f>COUNTIF('02_Projekt_Radar'!E5:E45,"AG")</f>
        <v/>
      </c>
    </row>
    <row r="30">
      <c r="E30" s="7" t="inlineStr">
        <is>
          <t>SH</t>
        </is>
      </c>
      <c r="F30" s="8">
        <f>COUNTIF('02_Projekt_Radar'!E5:E45,"SH")</f>
        <v/>
      </c>
    </row>
    <row r="31">
      <c r="E31" s="7" t="inlineStr">
        <is>
          <t>SG</t>
        </is>
      </c>
      <c r="F31" s="8">
        <f>COUNTIF('02_Projekt_Radar'!E5:E45,"SG")</f>
        <v/>
      </c>
    </row>
    <row r="32">
      <c r="E32" s="7" t="inlineStr">
        <is>
          <t>BS</t>
        </is>
      </c>
      <c r="F32" s="8">
        <f>COUNTIF('02_Projekt_Radar'!E5:E45,"BS")</f>
        <v/>
      </c>
    </row>
    <row r="33">
      <c r="E33" s="7" t="inlineStr">
        <is>
          <t>BL</t>
        </is>
      </c>
      <c r="F33" s="8">
        <f>COUNTIF('02_Projekt_Radar'!E5:E45,"BL")</f>
        <v/>
      </c>
    </row>
    <row r="34">
      <c r="E34" s="7" t="inlineStr">
        <is>
          <t>GE</t>
        </is>
      </c>
      <c r="F34" s="8">
        <f>COUNTIF('02_Projekt_Radar'!E5:E45,"GE")</f>
        <v/>
      </c>
    </row>
    <row r="35">
      <c r="E35" s="7" t="inlineStr">
        <is>
          <t>VD</t>
        </is>
      </c>
      <c r="F35" s="8">
        <f>COUNTIF('02_Projekt_Radar'!E5:E45,"VD")</f>
        <v/>
      </c>
    </row>
    <row r="36">
      <c r="E36" s="7" t="inlineStr">
        <is>
          <t>BE</t>
        </is>
      </c>
      <c r="F36" s="8">
        <f>COUNTIF('02_Projekt_Radar'!E5:E45,"BE")</f>
        <v/>
      </c>
    </row>
    <row r="37">
      <c r="E37" s="7" t="inlineStr">
        <is>
          <t>TG</t>
        </is>
      </c>
      <c r="F37" s="8">
        <f>COUNTIF('02_Projekt_Radar'!E5:E45,"TG")</f>
        <v/>
      </c>
    </row>
    <row r="38">
      <c r="E38" s="7" t="inlineStr">
        <is>
          <t>LU</t>
        </is>
      </c>
      <c r="F38" s="8">
        <f>COUNTIF('02_Projekt_Radar'!E5:E45,"LU")</f>
        <v/>
      </c>
    </row>
    <row r="39">
      <c r="E39" s="7" t="inlineStr">
        <is>
          <t>ZG</t>
        </is>
      </c>
      <c r="F39" s="8">
        <f>COUNTIF('02_Projekt_Radar'!E5:E45,"ZG")</f>
        <v/>
      </c>
    </row>
    <row r="42">
      <c r="B42" s="2" t="inlineStr">
        <is>
          <t>Hinweis: openpyxl schreibt Formeln ohne zwischengespeicherte Werte. Direkt nach dem Speichern zeigen Fremdtools None. Excel rechnet beim Oeffnen neu. Das ist kein Fehler.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20" customWidth="1" min="3" max="3"/>
    <col width="16" customWidth="1" min="4" max="4"/>
    <col width="6" customWidth="1" min="5" max="5"/>
    <col width="13" customWidth="1" min="6" max="6"/>
    <col width="14" customWidth="1" min="7" max="7"/>
    <col width="14" customWidth="1" min="8" max="8"/>
    <col width="22" customWidth="1" min="9" max="9"/>
    <col width="22" customWidth="1" min="10" max="10"/>
    <col width="15" customWidth="1" min="11" max="11"/>
    <col width="34" customWidth="1" min="12" max="12"/>
    <col width="22" customWidth="1" min="13" max="13"/>
    <col width="6" customWidth="1" min="14" max="14"/>
    <col width="16" customWidth="1" min="15" max="15"/>
    <col width="15" customWidth="1" min="16" max="16"/>
    <col width="14" customWidth="1" min="17" max="17"/>
    <col width="11" customWidth="1" min="18" max="18"/>
    <col width="14" customWidth="1" min="19" max="19"/>
    <col width="52" customWidth="1" min="20" max="20"/>
    <col width="13" customWidth="1" min="21" max="21"/>
    <col width="34" customWidth="1" min="22" max="22"/>
    <col width="60" customWidth="1" min="23" max="23"/>
  </cols>
  <sheetData>
    <row r="1" ht="22" customHeight="1">
      <c r="A1" s="1" t="inlineStr">
        <is>
          <t>02 Projekt-Radar Schweiz</t>
        </is>
      </c>
    </row>
    <row r="2">
      <c r="A2" s="2" t="inlineStr">
        <is>
          <t>Kopfzeile Zeile 4, Daten ab Zeile 5. R und S sind Formeln. O, P, Q, V gehoeren Burak.</t>
        </is>
      </c>
    </row>
    <row r="4" ht="30" customHeight="1">
      <c r="A4" s="9" t="inlineStr">
        <is>
          <t>Ref</t>
        </is>
      </c>
      <c r="B4" s="9" t="inlineStr">
        <is>
          <t>Projekt / Campus</t>
        </is>
      </c>
      <c r="C4" s="9" t="inlineStr">
        <is>
          <t>Betreiber</t>
        </is>
      </c>
      <c r="D4" s="9" t="inlineStr">
        <is>
          <t>Standort</t>
        </is>
      </c>
      <c r="E4" s="9" t="inlineStr">
        <is>
          <t>Kt.</t>
        </is>
      </c>
      <c r="F4" s="9" t="inlineStr">
        <is>
          <t>Kapazitaet_MW</t>
        </is>
      </c>
      <c r="G4" s="9" t="inlineStr">
        <is>
          <t>Phase</t>
        </is>
      </c>
      <c r="H4" s="9" t="inlineStr">
        <is>
          <t>IBN_Ziel</t>
        </is>
      </c>
      <c r="I4" s="9" t="inlineStr">
        <is>
          <t>GU_TU</t>
        </is>
      </c>
      <c r="J4" s="9" t="inlineStr">
        <is>
          <t>Fachplaner_Elektro</t>
        </is>
      </c>
      <c r="K4" s="9" t="inlineStr">
        <is>
          <t>Kanal_Prio</t>
        </is>
      </c>
      <c r="L4" s="9" t="inlineStr">
        <is>
          <t>MiT_Chance</t>
        </is>
      </c>
      <c r="M4" s="9" t="inlineStr">
        <is>
          <t>Ansprache_Fenster</t>
        </is>
      </c>
      <c r="N4" s="9" t="inlineStr">
        <is>
          <t>Prio</t>
        </is>
      </c>
      <c r="O4" s="9" t="inlineStr">
        <is>
          <t>Status_Kontakt</t>
        </is>
      </c>
      <c r="P4" s="9" t="inlineStr">
        <is>
          <t>Letzter_Kontakt</t>
        </is>
      </c>
      <c r="Q4" s="9" t="inlineStr">
        <is>
          <t>Wiedervorlage</t>
        </is>
      </c>
      <c r="R4" s="9" t="inlineStr">
        <is>
          <t>Tage_bis_WV</t>
        </is>
      </c>
      <c r="S4" s="9" t="inlineStr">
        <is>
          <t>Ampel</t>
        </is>
      </c>
      <c r="T4" s="9" t="inlineStr">
        <is>
          <t>Quelle_URL</t>
        </is>
      </c>
      <c r="U4" s="9" t="inlineStr">
        <is>
          <t>Quelle_Stand</t>
        </is>
      </c>
      <c r="V4" s="9" t="inlineStr">
        <is>
          <t>Naechster_Schritt</t>
        </is>
      </c>
      <c r="W4" s="9" t="inlineStr">
        <is>
          <t>Bemerkung</t>
        </is>
      </c>
    </row>
    <row r="5">
      <c r="A5" s="22" t="inlineStr"/>
      <c r="B5" s="22" t="inlineStr">
        <is>
          <t>Metro-Campus Zuerich West, Datacenter 4</t>
        </is>
      </c>
      <c r="C5" s="22" t="inlineStr">
        <is>
          <t>Green (green.ch)</t>
        </is>
      </c>
      <c r="D5" s="22" t="inlineStr">
        <is>
          <t>Lupfig</t>
        </is>
      </c>
      <c r="E5" s="22" t="inlineStr">
        <is>
          <t>AG</t>
        </is>
      </c>
      <c r="F5" s="19" t="n">
        <v>12</v>
      </c>
      <c r="G5" s="22" t="inlineStr">
        <is>
          <t>Rohbau</t>
        </is>
      </c>
      <c r="H5" s="22" t="inlineStr">
        <is>
          <t>Anfang 2027</t>
        </is>
      </c>
      <c r="I5" s="22" t="inlineStr">
        <is>
          <t>Implenia (Shell and Core)</t>
        </is>
      </c>
      <c r="J5" s="22" t="inlineStr">
        <is>
          <t>pruefen</t>
        </is>
      </c>
      <c r="K5" s="22" t="inlineStr">
        <is>
          <t>GU/TU</t>
        </is>
      </c>
      <c r="L5" s="12" t="inlineStr">
        <is>
          <t>Commissioning-Lastbank, Heat-Load-Test, Bautrocknung im Ausbau, PQ-Messung Klasse A</t>
        </is>
      </c>
      <c r="M5" s="12" t="inlineStr">
        <is>
          <t>jetzt, Fit-out minus sechs Monate</t>
        </is>
      </c>
      <c r="N5" s="22" t="inlineStr">
        <is>
          <t>A</t>
        </is>
      </c>
      <c r="O5" s="23" t="n"/>
      <c r="P5" s="20" t="n"/>
      <c r="Q5" s="20" t="n"/>
      <c r="R5" s="22">
        <f>IF(Q5="","",Q5-TODAY())</f>
        <v/>
      </c>
      <c r="S5" s="22">
        <f>IF(Q5="","-",IF(Q5&lt;TODAY(),"UEBERFAELLIG",IF(Q5-TODAY()&lt;=7,"DIESE WOCHE","ok")))</f>
        <v/>
      </c>
      <c r="T5" s="12" t="inlineStr">
        <is>
          <t>https://www.aargauerzeitung.ch/aargau/brugg/lupfig-green-startet-mit-dem-bau-seines-vierten-datencenters-in-der-gemeinde-2026-soll-es-in-betrieb-genommen-werden-ld.2660374 | https://implenia.com/medien/artikel/implenia-gewinnt-attraktive-neue-projekte-in-den-bereichen-datacenter-gesundheit-sowie-energie-und-verkehrsinfrastruktur/</t>
        </is>
      </c>
      <c r="U5" s="22" t="inlineStr">
        <is>
          <t>29.08.2026</t>
        </is>
      </c>
      <c r="V5" s="15" t="inlineStr">
        <is>
          <t>Implenia Bauleitung ueber Cx-Paket und Lastbank ansprechen, Fachplaner Elektro ueber Implenia erfragen</t>
        </is>
      </c>
      <c r="W5" s="12" t="inlineStr">
        <is>
          <t>12 MW IT-Leistung fuer Kundensysteme, 5526 m2 Datacenter-Flaeche, 2000 m2 Buero. Rohbau 30 m hoch in zehn Monaten erstellt. Widerspruch: Aargauer Zeitung meldet Inbetriebnahme 2026, Green und Implenia nennen Anfang 2027. Auftragsvolumen Implenia ueber CHF 150 Mio. Fachplaner Elektro nicht belegt.</t>
        </is>
      </c>
    </row>
    <row r="6">
      <c r="A6" s="22" t="inlineStr"/>
      <c r="B6" s="22" t="inlineStr">
        <is>
          <t>ZUR02 Beringen</t>
        </is>
      </c>
      <c r="C6" s="22" t="inlineStr">
        <is>
          <t>STACK Infrastructure</t>
        </is>
      </c>
      <c r="D6" s="22" t="inlineStr">
        <is>
          <t>Beringen</t>
        </is>
      </c>
      <c r="E6" s="22" t="inlineStr">
        <is>
          <t>SH</t>
        </is>
      </c>
      <c r="F6" s="19" t="n">
        <v>36</v>
      </c>
      <c r="G6" s="22" t="inlineStr">
        <is>
          <t>Rohbau</t>
        </is>
      </c>
      <c r="H6" s="22" t="inlineStr">
        <is>
          <t>2026</t>
        </is>
      </c>
      <c r="I6" s="22" t="inlineStr">
        <is>
          <t>pruefen</t>
        </is>
      </c>
      <c r="J6" s="22" t="inlineStr">
        <is>
          <t>Amstein + Walthert (beteiligt, Rolle pruefen)</t>
        </is>
      </c>
      <c r="K6" s="22" t="inlineStr">
        <is>
          <t>GU/TU</t>
        </is>
      </c>
      <c r="L6" s="12" t="inlineStr">
        <is>
          <t>Lastbank Voll- und Teillast im IST, Generator-Abnahme, USV-Test, PQ-Audit Klasse A</t>
        </is>
      </c>
      <c r="M6" s="12" t="inlineStr">
        <is>
          <t>jetzt, Aufrichte gemeldet, Cx-Vergabe laeuft</t>
        </is>
      </c>
      <c r="N6" s="22" t="inlineStr">
        <is>
          <t>A</t>
        </is>
      </c>
      <c r="O6" s="23" t="n"/>
      <c r="P6" s="20" t="n"/>
      <c r="Q6" s="20" t="n"/>
      <c r="R6" s="22">
        <f>IF(Q6="","",Q6-TODAY())</f>
        <v/>
      </c>
      <c r="S6" s="22">
        <f>IF(Q6="","-",IF(Q6&lt;TODAY(),"UEBERFAELLIG",IF(Q6-TODAY()&lt;=7,"DIESE WOCHE","ok")))</f>
        <v/>
      </c>
      <c r="T6" s="12" t="inlineStr">
        <is>
          <t>https://www.datacenterdynamics.com/en/news/stack-tops-out-swiss-data-center-completes-construction-in-melbourne/ | https://amstein-walthert.ch/de/projekte/rechenzentrum-beringen-schaffhausen/ | https://algorithmwatch.ch/de/recherche-rechenzentren-schweiz/</t>
        </is>
      </c>
      <c r="U6" s="22" t="inlineStr">
        <is>
          <t>29.08.2026</t>
        </is>
      </c>
      <c r="V6" s="15" t="inlineStr">
        <is>
          <t>Cx-Verantwortlichen ueber GU suchen, EKS wegen Unterwerk-Termin kontaktieren</t>
        </is>
      </c>
      <c r="W6" s="12" t="inlineStr">
        <is>
          <t>36 MW, gebaut auf dem Areal des ehemaligen SIG-Tennisclubs. Kanton musste ein neues Unterwerk bauen, finanziert vom Betreiber. Netzanschluss-Termin ist der Hebel fuer Bridging Power. Baubewilligung in rund drei Monaten erteilt. GU nicht belegt. Amstein + Walthert fuehrt das RZ Beringen als eigenes Projekt, genaue Rolle und Gewerk pruefen.</t>
        </is>
      </c>
    </row>
    <row r="7">
      <c r="A7" s="22" t="inlineStr"/>
      <c r="B7" s="22" t="inlineStr">
        <is>
          <t>ZUR4 Glattbrugg</t>
        </is>
      </c>
      <c r="C7" s="22" t="inlineStr">
        <is>
          <t>Digital Realty</t>
        </is>
      </c>
      <c r="D7" s="22" t="inlineStr">
        <is>
          <t>Glattbrugg (Opfikon)</t>
        </is>
      </c>
      <c r="E7" s="22" t="inlineStr">
        <is>
          <t>ZH</t>
        </is>
      </c>
      <c r="F7" s="19" t="n">
        <v>15</v>
      </c>
      <c r="G7" s="22" t="inlineStr">
        <is>
          <t>Baustart</t>
        </is>
      </c>
      <c r="H7" s="22" t="inlineStr">
        <is>
          <t>2028</t>
        </is>
      </c>
      <c r="I7" s="22" t="inlineStr">
        <is>
          <t>pruefen</t>
        </is>
      </c>
      <c r="J7" s="22" t="inlineStr">
        <is>
          <t>pruefen</t>
        </is>
      </c>
      <c r="K7" s="22" t="inlineStr">
        <is>
          <t>GU/TU</t>
        </is>
      </c>
      <c r="L7" s="12" t="inlineStr">
        <is>
          <t>Baustrom aus Generator, Bauheizung, Bautrocknung, spaeter Lastbank im Cx</t>
        </is>
      </c>
      <c r="M7" s="12" t="inlineStr">
        <is>
          <t>jetzt fuer Baustrom und Trocknung, Cx-Ansprache ab 2027</t>
        </is>
      </c>
      <c r="N7" s="22" t="inlineStr">
        <is>
          <t>A</t>
        </is>
      </c>
      <c r="O7" s="23" t="n"/>
      <c r="P7" s="20" t="n"/>
      <c r="Q7" s="20" t="n"/>
      <c r="R7" s="22">
        <f>IF(Q7="","",Q7-TODAY())</f>
        <v/>
      </c>
      <c r="S7" s="22">
        <f>IF(Q7="","-",IF(Q7&lt;TODAY(),"UEBERFAELLIG",IF(Q7-TODAY()&lt;=7,"DIESE WOCHE","ok")))</f>
        <v/>
      </c>
      <c r="T7" s="12" t="inlineStr">
        <is>
          <t>https://www.inside-it.ch/spatenstich-fuer-neues-rz-von-digital-reality-in-glattbrugg-20260827 | https://www.globenewswire.com/news-release/2026/08/27/3351782/0/en/digital-realty-breaks-ground-on-new-state-of-the-art-data-center-in-switzerland.html</t>
        </is>
      </c>
      <c r="U7" s="22" t="inlineStr">
        <is>
          <t>27.08.2026</t>
        </is>
      </c>
      <c r="V7" s="15" t="inlineStr">
        <is>
          <t>GU des Spatenstichs ueber Baublatt oder Gemeinde Opfikon identifizieren, dann Baustrom anbieten</t>
        </is>
      </c>
      <c r="W7" s="12" t="inlineStr">
        <is>
          <t>Spatenstich am 26.08.2026. 15 MW IT-Leistung auf rund 6300 m2, sechs Datenhallen. Fertigstellung 2028, danach rund 60 MW Campus-Gesamtleistung. Abwaermenetz zusammen mit der Gemeinde Opfikon. Vorlaufzeit Trocknung rund fuenf Monate, das Fenster ist jetzt. GU und Fachplaner nicht belegt.</t>
        </is>
      </c>
    </row>
    <row r="8">
      <c r="A8" s="22" t="inlineStr"/>
      <c r="B8" s="22" t="inlineStr">
        <is>
          <t>Metro-Campus Zuerich, Datacenter N und O</t>
        </is>
      </c>
      <c r="C8" s="22" t="inlineStr">
        <is>
          <t>Green (green.ch)</t>
        </is>
      </c>
      <c r="D8" s="22" t="inlineStr">
        <is>
          <t>Dielsdorf</t>
        </is>
      </c>
      <c r="E8" s="22" t="inlineStr">
        <is>
          <t>ZH</t>
        </is>
      </c>
      <c r="F8" s="19" t="n">
        <v>35</v>
      </c>
      <c r="G8" s="22" t="inlineStr">
        <is>
          <t>Rohbau</t>
        </is>
      </c>
      <c r="H8" s="22" t="inlineStr">
        <is>
          <t>pruefen</t>
        </is>
      </c>
      <c r="I8" s="22" t="inlineStr">
        <is>
          <t>Implenia</t>
        </is>
      </c>
      <c r="J8" s="22" t="inlineStr">
        <is>
          <t>pruefen</t>
        </is>
      </c>
      <c r="K8" s="22" t="inlineStr">
        <is>
          <t>GU/TU</t>
        </is>
      </c>
      <c r="L8" s="12" t="inlineStr">
        <is>
          <t>Bautrocknung, temporaere Klimatisierung im Ausbau, Lastbank im Cx, PQ-Messung</t>
        </is>
      </c>
      <c r="M8" s="12" t="inlineStr">
        <is>
          <t>Cx-Entscheid faellt in den naechsten Monaten, jetzt Planer- und GU-Kanal aufbauen</t>
        </is>
      </c>
      <c r="N8" s="22" t="inlineStr">
        <is>
          <t>A</t>
        </is>
      </c>
      <c r="O8" s="23" t="n"/>
      <c r="P8" s="20" t="n"/>
      <c r="Q8" s="20" t="n"/>
      <c r="R8" s="22">
        <f>IF(Q8="","",Q8-TODAY())</f>
        <v/>
      </c>
      <c r="S8" s="22">
        <f>IF(Q8="","-",IF(Q8&lt;TODAY(),"UEBERFAELLIG",IF(Q8-TODAY()&lt;=7,"DIESE WOCHE","ok")))</f>
        <v/>
      </c>
      <c r="T8" s="12" t="inlineStr">
        <is>
          <t>https://www.presseportal.de/pm/152183/5635701 | https://www.baublatt.ch/bauprojekte/baustart-fuer-zwei-neue-datacenter-auf-metro-campus-in-dielsdorf-erfolgt-35044</t>
        </is>
      </c>
      <c r="U8" s="22" t="inlineStr">
        <is>
          <t>29.08.2026</t>
        </is>
      </c>
      <c r="V8" s="15" t="inlineStr">
        <is>
          <t>Implenia Projektleitung Dielsdorf ansprechen, Abwaerme-Zeitplan mit Energie 360 abgleichen</t>
        </is>
      </c>
      <c r="W8" s="12" t="inlineStr">
        <is>
          <t>Zwei Gebaeude, zusammen 35 MW, rund 4000 Racks auf 11600 m2. Campus 46000 m2. Implenia hat auf dem Campus bereits zwei Datacenter und ein Buerogebaeude gebaut. Abwaermenutzung durch Energie 360. IBN-Termin nicht belegt, Fachplaner nicht belegt.</t>
        </is>
      </c>
    </row>
    <row r="9">
      <c r="A9" s="22" t="inlineStr"/>
      <c r="B9" s="22" t="inlineStr">
        <is>
          <t>The Hive Campus Genf</t>
        </is>
      </c>
      <c r="C9" s="22" t="inlineStr">
        <is>
          <t>NorthC</t>
        </is>
      </c>
      <c r="D9" s="22" t="inlineStr">
        <is>
          <t>Genf</t>
        </is>
      </c>
      <c r="E9" s="22" t="inlineStr">
        <is>
          <t>GE</t>
        </is>
      </c>
      <c r="F9" s="19" t="n">
        <v>4.5</v>
      </c>
      <c r="G9" s="22" t="inlineStr">
        <is>
          <t>Baustart</t>
        </is>
      </c>
      <c r="H9" s="22" t="inlineStr">
        <is>
          <t>Q2 2028</t>
        </is>
      </c>
      <c r="I9" s="22" t="inlineStr">
        <is>
          <t>pruefen</t>
        </is>
      </c>
      <c r="J9" s="22" t="inlineStr">
        <is>
          <t>pruefen</t>
        </is>
      </c>
      <c r="K9" s="22" t="inlineStr">
        <is>
          <t>Fachplaner</t>
        </is>
      </c>
      <c r="L9" s="12" t="inlineStr">
        <is>
          <t>Baustrom, Bautrocknung, spaeter Lastbank und PQ-Messung im Cx</t>
        </is>
      </c>
      <c r="M9" s="12" t="inlineStr">
        <is>
          <t>jetzt Planer-Kanal, Cx-Ansprache ab 2027</t>
        </is>
      </c>
      <c r="N9" s="22" t="inlineStr">
        <is>
          <t>B</t>
        </is>
      </c>
      <c r="O9" s="23" t="n"/>
      <c r="P9" s="20" t="n"/>
      <c r="Q9" s="20" t="n"/>
      <c r="R9" s="22">
        <f>IF(Q9="","",Q9-TODAY())</f>
        <v/>
      </c>
      <c r="S9" s="22">
        <f>IF(Q9="","-",IF(Q9&lt;TODAY(),"UEBERFAELLIG",IF(Q9-TODAY()&lt;=7,"DIESE WOCHE","ok")))</f>
        <v/>
      </c>
      <c r="T9" s="12" t="inlineStr">
        <is>
          <t>https://www.northcdatacenters.com/en/press-releases/northc-group-to-build-new-high-tech-data-center-in-geneva-switzerland/ | https://www.netzwoche.ch/news/2026-01-13/northc-errichtet-sechstes-rechenzentrum-in-der-schweiz</t>
        </is>
      </c>
      <c r="U9" s="22" t="inlineStr">
        <is>
          <t>13.01.2026</t>
        </is>
      </c>
      <c r="V9" s="15" t="inlineStr">
        <is>
          <t>Fachplaner Elektro ueber NorthC Schweiz erfragen, Romandie-Ansprache auf Franzoesisch</t>
        </is>
      </c>
      <c r="W9" s="12" t="inlineStr">
        <is>
          <t>Sechstes NorthC-Rechenzentrum in der Schweiz. Baustart Q1 2026, rund 4.5 MW IT-Leistung auf 5400 m2, Fertigstellung Q2 2028. Direct-to-Chip-Fluessigkuehlung vorgesehen. Ansprache auf Franzoesisch, vous-Form. GU und Fachplaner nicht belegt.</t>
        </is>
      </c>
    </row>
    <row r="10">
      <c r="A10" s="22" t="inlineStr"/>
      <c r="B10" s="22" t="inlineStr">
        <is>
          <t>Technologiezentrum Laufenburg (TZL)</t>
        </is>
      </c>
      <c r="C10" s="22" t="inlineStr">
        <is>
          <t>FlexBase</t>
        </is>
      </c>
      <c r="D10" s="22" t="inlineStr">
        <is>
          <t>Laufenburg</t>
        </is>
      </c>
      <c r="E10" s="22" t="inlineStr">
        <is>
          <t>AG</t>
        </is>
      </c>
      <c r="F10" s="19" t="inlineStr">
        <is>
          <t>pruefen</t>
        </is>
      </c>
      <c r="G10" s="22" t="inlineStr">
        <is>
          <t>Bewilligung</t>
        </is>
      </c>
      <c r="H10" s="22" t="inlineStr">
        <is>
          <t>Sommer 2028</t>
        </is>
      </c>
      <c r="I10" s="22" t="inlineStr">
        <is>
          <t>ERNE Gruppe (GU)</t>
        </is>
      </c>
      <c r="J10" s="22" t="inlineStr">
        <is>
          <t>pruefen</t>
        </is>
      </c>
      <c r="K10" s="22" t="inlineStr">
        <is>
          <t>GU/TU</t>
        </is>
      </c>
      <c r="L10" s="12" t="inlineStr">
        <is>
          <t>Baustrom, Bautrocknung, Bridging Power bis Netzanschluss, spaeter Lastbank im Cx</t>
        </is>
      </c>
      <c r="M10" s="12" t="inlineStr">
        <is>
          <t>jetzt, GU steht fest und Bauvorbereitung laeuft</t>
        </is>
      </c>
      <c r="N10" s="22" t="inlineStr">
        <is>
          <t>A</t>
        </is>
      </c>
      <c r="O10" s="23" t="n"/>
      <c r="P10" s="20" t="n"/>
      <c r="Q10" s="20" t="n"/>
      <c r="R10" s="22">
        <f>IF(Q10="","",Q10-TODAY())</f>
        <v/>
      </c>
      <c r="S10" s="22">
        <f>IF(Q10="","-",IF(Q10&lt;TODAY(),"UEBERFAELLIG",IF(Q10-TODAY()&lt;=7,"DIESE WOCHE","ok")))</f>
        <v/>
      </c>
      <c r="T10" s="12" t="inlineStr">
        <is>
          <t>https://www.erne-gruppe.ch/de/news/newsdetail/ernenews/medienmitteilung-flexbase/ | https://www.zhk.ch/de/wirtschaft-und-politik/news/flexbase-erhaelt-baufreigabe-fuer-technologiezentrum.html | https://www.datacenter-insider.de/flexbase-errichtet-technologiezentrum-mit-480-mw-ki-rechenzentrum-a-befea6134cb5045aba28a650a2ef6206/</t>
        </is>
      </c>
      <c r="U10" s="22" t="inlineStr">
        <is>
          <t>29.08.2026</t>
        </is>
      </c>
      <c r="V10" s="15" t="inlineStr">
        <is>
          <t>ERNE Gruppe direkt ansprechen, Baustrom und Trocknung fuer 20000 m2 Baufeld</t>
        </is>
      </c>
      <c r="W10" s="12" t="inlineStr">
        <is>
          <t>Baufreigabe erteilt. KI-Rechenzentrum mit bis zu 480 MW Rechenleistung auf rund 12000 m2 IT-Netzflaeche, dazu Redox-Flow-Speicher mit ueber 1.6 GWh und ueber 800 MW auf rund 20000 m2, direkt beim Unterwerk Stern von Laufenburg. 480 MW ist Rechenleistung laut Quelle, nicht als elektrische Anschlussleistung uebernehmen, deshalb Spalte F auf pruefen. Inbetriebnahme Sommer 2028.</t>
        </is>
      </c>
    </row>
    <row r="11">
      <c r="A11" s="22" t="inlineStr"/>
      <c r="B11" s="22" t="inlineStr">
        <is>
          <t>Metro-Campus Zuerich, weiteres Datacenter</t>
        </is>
      </c>
      <c r="C11" s="22" t="inlineStr">
        <is>
          <t>Green (green.ch)</t>
        </is>
      </c>
      <c r="D11" s="22" t="inlineStr">
        <is>
          <t>Dielsdorf</t>
        </is>
      </c>
      <c r="E11" s="22" t="inlineStr">
        <is>
          <t>ZH</t>
        </is>
      </c>
      <c r="F11" s="19" t="inlineStr">
        <is>
          <t>pruefen</t>
        </is>
      </c>
      <c r="G11" s="22" t="inlineStr">
        <is>
          <t>Planung</t>
        </is>
      </c>
      <c r="H11" s="22" t="inlineStr">
        <is>
          <t>pruefen</t>
        </is>
      </c>
      <c r="I11" s="22" t="inlineStr">
        <is>
          <t>pruefen</t>
        </is>
      </c>
      <c r="J11" s="22" t="inlineStr">
        <is>
          <t>pruefen</t>
        </is>
      </c>
      <c r="K11" s="22" t="inlineStr">
        <is>
          <t>Fachplaner</t>
        </is>
      </c>
      <c r="L11" s="12" t="inlineStr">
        <is>
          <t>frueher Planer-Kontakt, damit Lastbank und PQ-Messung ins LV kommen</t>
        </is>
      </c>
      <c r="M11" s="12" t="inlineStr">
        <is>
          <t>Planungsphase, Beziehungsaufbau beim Fachplaner</t>
        </is>
      </c>
      <c r="N11" s="22" t="inlineStr">
        <is>
          <t>B</t>
        </is>
      </c>
      <c r="O11" s="23" t="n"/>
      <c r="P11" s="20" t="n"/>
      <c r="Q11" s="20" t="n"/>
      <c r="R11" s="22">
        <f>IF(Q11="","",Q11-TODAY())</f>
        <v/>
      </c>
      <c r="S11" s="22">
        <f>IF(Q11="","-",IF(Q11&lt;TODAY(),"UEBERFAELLIG",IF(Q11-TODAY()&lt;=7,"DIESE WOCHE","ok")))</f>
        <v/>
      </c>
      <c r="T11" s="12" t="inlineStr">
        <is>
          <t>https://www.baublatt.ch/bauprojekte/green-baut-viertes-rechenzentrum-auf-metro-campus-in-dielsdorf-zh-36395 | https://www.netzwoche.ch/news/2026-06-03/so-praesentiert-sich-der-schweizer-markt-fuer-rechenzentren | https://www.tagesanzeiger.ch/millionen-campus-in-dielsdorf-der-bau-von-zwei-weiteren-rechenzentren-hat-begonnen-440633753636</t>
        </is>
      </c>
      <c r="U11" s="22" t="inlineStr">
        <is>
          <t>29.08.2026</t>
        </is>
      </c>
      <c r="V11" s="15" t="inlineStr">
        <is>
          <t>Green Bauherrenvertretung nach dem Fachplaner Elektro fragen</t>
        </is>
      </c>
      <c r="W11" s="12" t="inlineStr">
        <is>
          <t>Zaehlung eingeordnet: Der Campus umfasst die Gebaeude M (Betrieb seit Anfang 2023) sowie N und O (im Bau). Das hier gemeldete weitere Datacenter waere das vierte Gebaeude. Baublatt zaehlt es als viertes, Netzwoche als drittes mit Baustart 2026 und 5800 m2, je nachdem ob N und O einzeln gezaehlt werden. Beide URLs in T. Kapazitaet, IBN, GU und Fachplaner nicht belegt. Green investiert laut Tages-Anzeiger insgesamt rund CHF 500 Mio in den Campus.</t>
        </is>
      </c>
    </row>
    <row r="12">
      <c r="A12" s="22" t="inlineStr"/>
      <c r="B12" s="22" t="inlineStr">
        <is>
          <t>ZH4 Zuerich, sechste Ausbauphase</t>
        </is>
      </c>
      <c r="C12" s="22" t="inlineStr">
        <is>
          <t>Equinix</t>
        </is>
      </c>
      <c r="D12" s="22" t="inlineStr">
        <is>
          <t>Zuerich</t>
        </is>
      </c>
      <c r="E12" s="22" t="inlineStr">
        <is>
          <t>ZH</t>
        </is>
      </c>
      <c r="F12" s="19" t="inlineStr">
        <is>
          <t>pruefen</t>
        </is>
      </c>
      <c r="G12" s="22" t="inlineStr">
        <is>
          <t>Ausbau</t>
        </is>
      </c>
      <c r="H12" s="22" t="inlineStr">
        <is>
          <t>2027</t>
        </is>
      </c>
      <c r="I12" s="22" t="inlineStr">
        <is>
          <t>pruefen</t>
        </is>
      </c>
      <c r="J12" s="22" t="inlineStr">
        <is>
          <t>pruefen</t>
        </is>
      </c>
      <c r="K12" s="22" t="inlineStr">
        <is>
          <t>Betreiber</t>
        </is>
      </c>
      <c r="L12" s="12" t="inlineStr">
        <is>
          <t>Bridging Power im laufenden Betrieb, temporaere Kaelte, PQ-Audit bei Umschaltungen</t>
        </is>
      </c>
      <c r="M12" s="12" t="inlineStr">
        <is>
          <t>Ausbau im laufenden Betrieb, Wartungs- und Umschaltfenster</t>
        </is>
      </c>
      <c r="N12" s="22" t="inlineStr">
        <is>
          <t>B</t>
        </is>
      </c>
      <c r="O12" s="23" t="n"/>
      <c r="P12" s="20" t="n"/>
      <c r="Q12" s="20" t="n"/>
      <c r="R12" s="22">
        <f>IF(Q12="","",Q12-TODAY())</f>
        <v/>
      </c>
      <c r="S12" s="22">
        <f>IF(Q12="","-",IF(Q12&lt;TODAY(),"UEBERFAELLIG",IF(Q12-TODAY()&lt;=7,"DIESE WOCHE","ok")))</f>
        <v/>
      </c>
      <c r="T12" s="12" t="inlineStr">
        <is>
          <t>https://www.inside-it.ch/equinix-baut-data-center-in-zuerich-aus-20241112 | https://www.netzwoche.ch/news/2024-11-13/equinix-baut-zuercher-rechenzentrum-aus</t>
        </is>
      </c>
      <c r="U12" s="22" t="inlineStr">
        <is>
          <t>13.11.2024</t>
        </is>
      </c>
      <c r="V12" s="15" t="inlineStr">
        <is>
          <t>Site-Verantwortlichen ZH4 zum Umschaltkonzept ansprechen, Quelle ist aelter als ein Jahr, Stand pruefen</t>
        </is>
      </c>
      <c r="W12" s="12" t="inlineStr">
        <is>
          <t>Sechste Ausbauphase, Investition rund CHF 40 Mio, Abschluss 2027. Rund 680 m2 zusaetzlicher Whitespace und rund 200 neue Cabinets. Ausbau im laufenden Betrieb, deshalb Betreiber-Kanal statt GU. Quelle vom November 2024, aktuelleren Stand suchen.</t>
        </is>
      </c>
    </row>
    <row r="13">
      <c r="A13" s="22" t="inlineStr"/>
      <c r="B13" s="22" t="inlineStr">
        <is>
          <t>UptownBasel Campus</t>
        </is>
      </c>
      <c r="C13" s="22" t="inlineStr">
        <is>
          <t>NorthC</t>
        </is>
      </c>
      <c r="D13" s="22" t="inlineStr">
        <is>
          <t>pruefen</t>
        </is>
      </c>
      <c r="E13" s="22" t="inlineStr">
        <is>
          <t>pruefen</t>
        </is>
      </c>
      <c r="F13" s="19" t="n">
        <v>4.5</v>
      </c>
      <c r="G13" s="22" t="inlineStr"/>
      <c r="H13" s="22" t="inlineStr">
        <is>
          <t>2027</t>
        </is>
      </c>
      <c r="I13" s="22" t="inlineStr">
        <is>
          <t>pruefen</t>
        </is>
      </c>
      <c r="J13" s="22" t="inlineStr">
        <is>
          <t>pruefen</t>
        </is>
      </c>
      <c r="K13" s="22" t="inlineStr"/>
      <c r="L13" s="12" t="inlineStr">
        <is>
          <t>Lastbank im Cx, PQ-Messung Klasse A, spaeter Wartungsfenster</t>
        </is>
      </c>
      <c r="M13" s="12" t="inlineStr">
        <is>
          <t>Cx-Fenster vermutlich 2026 bis 2027, Termin verifizieren</t>
        </is>
      </c>
      <c r="N13" s="22" t="inlineStr">
        <is>
          <t>B</t>
        </is>
      </c>
      <c r="O13" s="23" t="n"/>
      <c r="P13" s="20" t="n"/>
      <c r="Q13" s="20" t="n"/>
      <c r="R13" s="22">
        <f>IF(Q13="","",Q13-TODAY())</f>
        <v/>
      </c>
      <c r="S13" s="22">
        <f>IF(Q13="","-",IF(Q13&lt;TODAY(),"UEBERFAELLIG",IF(Q13-TODAY()&lt;=7,"DIESE WOCHE","ok")))</f>
        <v/>
      </c>
      <c r="T13" s="12" t="inlineStr">
        <is>
          <t>https://www.netzwoche.ch/news/2026-06-03/so-praesentiert-sich-der-schweizer-markt-fuer-rechenzentren | https://www.datacenter-insider.de/northc-plant-sechstes-schweizer-rechenzentrum-in-basel-a-d051a0a594bcb4f730589892caf8a25f/</t>
        </is>
      </c>
      <c r="U13" s="22" t="inlineStr">
        <is>
          <t>03.06.2026</t>
        </is>
      </c>
      <c r="V13" s="15" t="inlineStr">
        <is>
          <t>Standort und Kanton ueber northcdatacenters.com verifizieren, danach Kanal festlegen</t>
        </is>
      </c>
      <c r="W13" s="12" t="inlineStr">
        <is>
          <t>4.5 MW IT-Leistung, Betrieb ab 2027 gemeldet. Der Campus UptownBasel ist in den Quellen nur als Campusname belegt, Gemeinde und Kanton stehen dort nicht. Deshalb Standort und Kt. auf pruefen, Phase und Kanal leer. Beim naechsten Lauf ueber die Betreiberseite aufloesen.</t>
        </is>
      </c>
    </row>
    <row r="14">
      <c r="A14" s="22" t="inlineStr"/>
      <c r="B14" s="22" t="inlineStr">
        <is>
          <t>ZRH1 Winterthur</t>
        </is>
      </c>
      <c r="C14" s="22" t="inlineStr">
        <is>
          <t>Vantage Data Centers</t>
        </is>
      </c>
      <c r="D14" s="22" t="inlineStr">
        <is>
          <t>Winterthur</t>
        </is>
      </c>
      <c r="E14" s="22" t="inlineStr">
        <is>
          <t>ZH</t>
        </is>
      </c>
      <c r="F14" s="19" t="n">
        <v>40</v>
      </c>
      <c r="G14" s="22" t="inlineStr">
        <is>
          <t>Ausbau</t>
        </is>
      </c>
      <c r="H14" s="22" t="inlineStr">
        <is>
          <t>pruefen</t>
        </is>
      </c>
      <c r="I14" s="22" t="inlineStr">
        <is>
          <t>DPR Construction (Gebaeude 1)</t>
        </is>
      </c>
      <c r="J14" s="22" t="inlineStr">
        <is>
          <t>pruefen</t>
        </is>
      </c>
      <c r="K14" s="22" t="inlineStr">
        <is>
          <t>Betreiber</t>
        </is>
      </c>
      <c r="L14" s="12" t="inlineStr">
        <is>
          <t>Lastbank fuer die noch nicht gebauten Gebaeude, Bridging und PQ-Audit im Bestand</t>
        </is>
      </c>
      <c r="M14" s="12" t="inlineStr">
        <is>
          <t>Campus im Etappenausbau, Fenster je Gebaeude pruefen</t>
        </is>
      </c>
      <c r="N14" s="22" t="inlineStr">
        <is>
          <t>B</t>
        </is>
      </c>
      <c r="O14" s="23" t="n"/>
      <c r="P14" s="20" t="n"/>
      <c r="Q14" s="20" t="n"/>
      <c r="R14" s="22">
        <f>IF(Q14="","",Q14-TODAY())</f>
        <v/>
      </c>
      <c r="S14" s="22">
        <f>IF(Q14="","-",IF(Q14&lt;TODAY(),"UEBERFAELLIG",IF(Q14-TODAY()&lt;=7,"DIESE WOCHE","ok")))</f>
        <v/>
      </c>
      <c r="T14" s="12" t="inlineStr">
        <is>
          <t>https://vantage-dc.com/data-center-locations/emea/zurich-i-switzerland/ | https://www.dpr.com/projects/vantage-data-centers-zurich-campus-building-1-zrh11</t>
        </is>
      </c>
      <c r="U14" s="22" t="inlineStr">
        <is>
          <t>29.08.2026</t>
        </is>
      </c>
      <c r="V14" s="15" t="inlineStr">
        <is>
          <t>Etappenplan der Gebaeude 2 bis 4 erfragen, dann Cx-Fenster je Gebaeude setzen</t>
        </is>
      </c>
      <c r="W14" s="12" t="inlineStr">
        <is>
          <t>Vier Gebaeude auf rund sieben Acres, im Vollausbau 40 MW. Erstes Gebaeude im Dezember 2021 eroeffnet, Landkauf Februar 2020. Adresse Fabrikstrasse 12, Winterthur. Betreiberseiten ohne Datum, Abrufdatum 29.08.2026. Termine der Folgegebaeude nicht belegt.</t>
        </is>
      </c>
    </row>
    <row r="15">
      <c r="A15" s="22" t="inlineStr"/>
      <c r="B15" s="22" t="inlineStr">
        <is>
          <t>ZRH2 Glattfelden</t>
        </is>
      </c>
      <c r="C15" s="22" t="inlineStr">
        <is>
          <t>Vantage Data Centers</t>
        </is>
      </c>
      <c r="D15" s="22" t="inlineStr">
        <is>
          <t>Glattfelden</t>
        </is>
      </c>
      <c r="E15" s="22" t="inlineStr">
        <is>
          <t>ZH</t>
        </is>
      </c>
      <c r="F15" s="19" t="n">
        <v>24</v>
      </c>
      <c r="G15" s="22" t="inlineStr">
        <is>
          <t>Betrieb</t>
        </is>
      </c>
      <c r="H15" s="22" t="inlineStr">
        <is>
          <t>eroeffnet Sommer 2024</t>
        </is>
      </c>
      <c r="I15" s="22" t="inlineStr">
        <is>
          <t>pruefen</t>
        </is>
      </c>
      <c r="J15" s="22" t="inlineStr">
        <is>
          <t>pruefen</t>
        </is>
      </c>
      <c r="K15" s="22" t="inlineStr">
        <is>
          <t>Betreiber</t>
        </is>
      </c>
      <c r="L15" s="12" t="inlineStr">
        <is>
          <t>wiederkehrende NEA-Tests, Wartungsfenster, Bridging Power, PQ-Audit</t>
        </is>
      </c>
      <c r="M15" s="12" t="inlineStr">
        <is>
          <t>Betrieb: Wartungsfenster, NEA-Testzyklus, PQ-Audit</t>
        </is>
      </c>
      <c r="N15" s="22" t="inlineStr">
        <is>
          <t>C</t>
        </is>
      </c>
      <c r="O15" s="23" t="n"/>
      <c r="P15" s="20" t="n"/>
      <c r="Q15" s="20" t="n"/>
      <c r="R15" s="22">
        <f>IF(Q15="","",Q15-TODAY())</f>
        <v/>
      </c>
      <c r="S15" s="22">
        <f>IF(Q15="","-",IF(Q15&lt;TODAY(),"UEBERFAELLIG",IF(Q15-TODAY()&lt;=7,"DIESE WOCHE","ok")))</f>
        <v/>
      </c>
      <c r="T15" s="12" t="inlineStr">
        <is>
          <t>https://vantage-dc.com/news/vantage-data-centers-expands-emea-portfolio-with-second-zurich-campus-fueled-by-more-than-chf-370-million-investment/ | https://www.datacenterdynamics.com/en/news/vantage-launches-second-data-center-in-switzerland/</t>
        </is>
      </c>
      <c r="U15" s="22" t="inlineStr">
        <is>
          <t>29.08.2026</t>
        </is>
      </c>
      <c r="V15" s="15" t="inlineStr">
        <is>
          <t>Betriebsstatus ueber vantage-dc.com verifizieren, erst danach Phase setzen</t>
        </is>
      </c>
      <c r="W15" s="12" t="inlineStr">
        <is>
          <t>24 MW kritische IT-Kapazitaet, rund 21000 m2, Investition ueber CHF 370 Mio, rund 30 km noerdlich von Zuerich, zusammen mit ZRH1 64 MW. Widerspruch vom Erstlauf aufgeloest: Firmenmeldung und DCD belegen die Eroeffnung im Sommer 2024. Die Meldung zu einer Eroeffnung im Sommer 2026 bezog sich auf eine weitere Ausbauetappe, Etappenplan pruefen. N+1-Redundanz, Abwaerme an Hotel und Seminarzentrum.</t>
        </is>
      </c>
    </row>
    <row r="16">
      <c r="A16" s="22" t="inlineStr"/>
      <c r="B16" s="22" t="inlineStr">
        <is>
          <t>ZUR01A Rafz</t>
        </is>
      </c>
      <c r="C16" s="22" t="inlineStr">
        <is>
          <t>STACK Infrastructure</t>
        </is>
      </c>
      <c r="D16" s="22" t="inlineStr">
        <is>
          <t>Rafz</t>
        </is>
      </c>
      <c r="E16" s="22" t="inlineStr">
        <is>
          <t>ZH</t>
        </is>
      </c>
      <c r="F16" s="19" t="n">
        <v>10</v>
      </c>
      <c r="G16" s="22" t="inlineStr">
        <is>
          <t>Betrieb</t>
        </is>
      </c>
      <c r="H16" s="22" t="inlineStr">
        <is>
          <t>pruefen</t>
        </is>
      </c>
      <c r="I16" s="22" t="inlineStr">
        <is>
          <t>pruefen</t>
        </is>
      </c>
      <c r="J16" s="22" t="inlineStr">
        <is>
          <t>pruefen</t>
        </is>
      </c>
      <c r="K16" s="22" t="inlineStr">
        <is>
          <t>Betreiber</t>
        </is>
      </c>
      <c r="L16" s="12" t="inlineStr">
        <is>
          <t>Baustrom und Trocknung falls noch im Bau, sonst Lastbank im Cx</t>
        </is>
      </c>
      <c r="M16" s="12" t="inlineStr">
        <is>
          <t>Betrieb: Wartungsfenster, NEA-Tests, Bridging bei Umbauten</t>
        </is>
      </c>
      <c r="N16" s="22" t="inlineStr">
        <is>
          <t>C</t>
        </is>
      </c>
      <c r="O16" s="23" t="n"/>
      <c r="P16" s="20" t="n"/>
      <c r="Q16" s="20" t="n"/>
      <c r="R16" s="22">
        <f>IF(Q16="","",Q16-TODAY())</f>
        <v/>
      </c>
      <c r="S16" s="22">
        <f>IF(Q16="","-",IF(Q16&lt;TODAY(),"UEBERFAELLIG",IF(Q16-TODAY()&lt;=7,"DIESE WOCHE","ok")))</f>
        <v/>
      </c>
      <c r="T16" s="12" t="inlineStr">
        <is>
          <t>https://www.stackinfra.com/locations/emea/zurich/zur01/ | https://www.datacenters.com/stack-infrastructure-zur01a-zurich</t>
        </is>
      </c>
      <c r="U16" s="22" t="inlineStr">
        <is>
          <t>29.08.2026</t>
        </is>
      </c>
      <c r="V16" s="15" t="inlineStr">
        <is>
          <t>Bau- oder Betriebsstatus ueber Gemeinde Rafz und stackinfra.com klaeren</t>
        </is>
      </c>
      <c r="W16" s="12" t="inlineStr">
        <is>
          <t>10 MW, Industriestrasse 16, 8197 Rafz. Anlage ist kommissioniert und in Betrieb, keine weitere vermietbare Leistung im Bau gemeldet. Hauptgebaeude mit Datenhalle, Buerogebaeude, separates Generatorgebaeude. Damit kein Neubaufenster mehr, sondern Betriebsgeschaeft.</t>
        </is>
      </c>
    </row>
    <row r="17">
      <c r="A17" s="22" t="inlineStr"/>
      <c r="B17" s="22" t="inlineStr">
        <is>
          <t>ZUR03 Niederweningen</t>
        </is>
      </c>
      <c r="C17" s="22" t="inlineStr">
        <is>
          <t>STACK Infrastructure</t>
        </is>
      </c>
      <c r="D17" s="22" t="inlineStr">
        <is>
          <t>Niederweningen</t>
        </is>
      </c>
      <c r="E17" s="22" t="inlineStr">
        <is>
          <t>ZH</t>
        </is>
      </c>
      <c r="F17" s="19" t="n">
        <v>30</v>
      </c>
      <c r="G17" s="22" t="inlineStr"/>
      <c r="H17" s="22" t="inlineStr">
        <is>
          <t>pruefen</t>
        </is>
      </c>
      <c r="I17" s="22" t="inlineStr">
        <is>
          <t>pruefen</t>
        </is>
      </c>
      <c r="J17" s="22" t="inlineStr">
        <is>
          <t>pruefen</t>
        </is>
      </c>
      <c r="K17" s="22" t="inlineStr"/>
      <c r="L17" s="12" t="inlineStr">
        <is>
          <t>Lastbank im Cx, Bridging Power, PQ-Audit</t>
        </is>
      </c>
      <c r="M17" s="12" t="inlineStr">
        <is>
          <t>Status unklar, zuerst verifizieren</t>
        </is>
      </c>
      <c r="N17" s="22" t="inlineStr">
        <is>
          <t>C</t>
        </is>
      </c>
      <c r="O17" s="23" t="n"/>
      <c r="P17" s="20" t="n"/>
      <c r="Q17" s="20" t="n"/>
      <c r="R17" s="22">
        <f>IF(Q17="","",Q17-TODAY())</f>
        <v/>
      </c>
      <c r="S17" s="22">
        <f>IF(Q17="","-",IF(Q17&lt;TODAY(),"UEBERFAELLIG",IF(Q17-TODAY()&lt;=7,"DIESE WOCHE","ok")))</f>
        <v/>
      </c>
      <c r="T17" s="12" t="inlineStr">
        <is>
          <t>https://baxtel.com/data-center/stack-zur03</t>
        </is>
      </c>
      <c r="U17" s="22" t="inlineStr">
        <is>
          <t>29.08.2026</t>
        </is>
      </c>
      <c r="V17" s="15" t="inlineStr">
        <is>
          <t>Ueber stackinfra.com oder das kantonale Baugesuchsportal ZH verifizieren</t>
        </is>
      </c>
      <c r="W17" s="12" t="inlineStr">
        <is>
          <t>30 MW Hyperscale-Campus auf rund sieben Acres, ein Gebaeude. Nur Aggregator-Quelle, kein Firmen- oder Fachmedien-Beleg. Phase und Termine nicht belegt. Beim naechsten Lauf entweder belegen oder Zeile auf Gestoppt setzen.</t>
        </is>
      </c>
    </row>
    <row r="18">
      <c r="A18" s="22" t="inlineStr"/>
      <c r="B18" s="22" t="inlineStr">
        <is>
          <t>ZUR3 Glattbrugg</t>
        </is>
      </c>
      <c r="C18" s="22" t="inlineStr">
        <is>
          <t>Digital Realty</t>
        </is>
      </c>
      <c r="D18" s="22" t="inlineStr">
        <is>
          <t>Glattbrugg (Opfikon)</t>
        </is>
      </c>
      <c r="E18" s="22" t="inlineStr">
        <is>
          <t>ZH</t>
        </is>
      </c>
      <c r="F18" s="19" t="inlineStr">
        <is>
          <t>pruefen</t>
        </is>
      </c>
      <c r="G18" s="22" t="inlineStr">
        <is>
          <t>Betrieb</t>
        </is>
      </c>
      <c r="H18" s="22" t="inlineStr">
        <is>
          <t>pruefen</t>
        </is>
      </c>
      <c r="I18" s="22" t="inlineStr">
        <is>
          <t>pruefen</t>
        </is>
      </c>
      <c r="J18" s="22" t="inlineStr">
        <is>
          <t>Gruner (beteiligt, Rolle pruefen)</t>
        </is>
      </c>
      <c r="K18" s="22" t="inlineStr">
        <is>
          <t>Betreiber</t>
        </is>
      </c>
      <c r="L18" s="12" t="inlineStr">
        <is>
          <t>Wartungsfenster, NEA-Test, Bridging Power waehrend Campus-Bauarbeiten ZUR4</t>
        </is>
      </c>
      <c r="M18" s="12" t="inlineStr">
        <is>
          <t>waehrend der ZUR4-Bauphase, Bestand und Baustelle auf einem Campus</t>
        </is>
      </c>
      <c r="N18" s="22" t="inlineStr">
        <is>
          <t>B</t>
        </is>
      </c>
      <c r="O18" s="23" t="n"/>
      <c r="P18" s="20" t="n"/>
      <c r="Q18" s="20" t="n"/>
      <c r="R18" s="22">
        <f>IF(Q18="","",Q18-TODAY())</f>
        <v/>
      </c>
      <c r="S18" s="22">
        <f>IF(Q18="","-",IF(Q18&lt;TODAY(),"UEBERFAELLIG",IF(Q18-TODAY()&lt;=7,"DIESE WOCHE","ok")))</f>
        <v/>
      </c>
      <c r="T18" s="12" t="inlineStr">
        <is>
          <t>https://www.netzwoche.ch/news/2026-06-03/so-praesentiert-sich-der-schweizer-markt-fuer-rechenzentren | https://www.grunerfriends.com/projects/data-center-zur3-zurich | https://www.ikon.ch/referenzprojekte/neubau-rechenzentrum-digital-realty-zuerich-zur3-vormals-interxion-zur3</t>
        </is>
      </c>
      <c r="U18" s="22" t="inlineStr">
        <is>
          <t>29.08.2026</t>
        </is>
      </c>
      <c r="V18" s="15" t="inlineStr">
        <is>
          <t>Zusammen mit ZUR4 ansprechen, ein Ansprechpartner fuer Bestand und Neubau</t>
        </is>
      </c>
      <c r="W18" s="12" t="inlineStr">
        <is>
          <t>Eines der flaechenmaessig groessten Rechenzentren der Schweiz, 11400 m2 Nutzflaeche, frueher Interxion ZUR3. Liegt auf demselben Campus wie der ZUR4-Neubau. Kapazitaet in MW nicht belegt. Gruner nennt ZUR3 als Projekt im eigenen Portfolio, Rolle pruefen. Gleicher Planer-Kreis koennte beim ZUR4-Neubau wieder drin sein.</t>
        </is>
      </c>
    </row>
    <row r="19">
      <c r="A19" s="22" t="inlineStr"/>
      <c r="B19" s="22" t="inlineStr">
        <is>
          <t>Rechenzentrum Hoenggerberg (HRZ)</t>
        </is>
      </c>
      <c r="C19" s="22" t="inlineStr">
        <is>
          <t>ETH Zuerich</t>
        </is>
      </c>
      <c r="D19" s="22" t="inlineStr">
        <is>
          <t>Zuerich</t>
        </is>
      </c>
      <c r="E19" s="22" t="inlineStr">
        <is>
          <t>ZH</t>
        </is>
      </c>
      <c r="F19" s="19" t="inlineStr">
        <is>
          <t>pruefen</t>
        </is>
      </c>
      <c r="G19" s="22" t="inlineStr"/>
      <c r="H19" s="22" t="inlineStr">
        <is>
          <t>Anfang 2026</t>
        </is>
      </c>
      <c r="I19" s="22" t="inlineStr">
        <is>
          <t>pruefen</t>
        </is>
      </c>
      <c r="J19" s="22" t="inlineStr">
        <is>
          <t>pruefen</t>
        </is>
      </c>
      <c r="K19" s="22" t="inlineStr">
        <is>
          <t>Betreiber</t>
        </is>
      </c>
      <c r="L19" s="12" t="inlineStr">
        <is>
          <t>NEA-Test, Wartungsfenster, PQ-Audit nach Inbetriebnahme</t>
        </is>
      </c>
      <c r="M19" s="12" t="inlineStr">
        <is>
          <t>nach Betriebsaufnahme, Wartungs- und Testzyklus</t>
        </is>
      </c>
      <c r="N19" s="22" t="inlineStr">
        <is>
          <t>C</t>
        </is>
      </c>
      <c r="O19" s="23" t="n"/>
      <c r="P19" s="20" t="n"/>
      <c r="Q19" s="20" t="n"/>
      <c r="R19" s="22">
        <f>IF(Q19="","",Q19-TODAY())</f>
        <v/>
      </c>
      <c r="S19" s="22">
        <f>IF(Q19="","-",IF(Q19&lt;TODAY(),"UEBERFAELLIG",IF(Q19-TODAY()&lt;=7,"DIESE WOCHE","ok")))</f>
        <v/>
      </c>
      <c r="T19" s="12" t="inlineStr">
        <is>
          <t>https://www.inside-it.ch/bald-ist-baubeginn-fuer-das-49-millionen-rechenzentrum-der-eth-zuerich-20230908</t>
        </is>
      </c>
      <c r="U19" s="22" t="inlineStr">
        <is>
          <t>08.09.2023</t>
        </is>
      </c>
      <c r="V19" s="15" t="inlineStr">
        <is>
          <t>Aktuellen Stand ueber ethz.ch pruefen, Quelle ist drei Jahre alt</t>
        </is>
      </c>
      <c r="W19" s="12" t="inlineStr">
        <is>
          <t>Fuenfgeschossig, ueber 4000 m2, Baukosten rund CHF 49 Mio. Spatenstich April 2024, Bauarbeiten bis Ende 2025 geplant, IT-Betrieb ab Anfang 2026. Quelle von 2023, aktueller Stand nicht belegt, deshalb Phase leer. Oeffentlicher Bauherr, Beschaffung laeuft ueber simap.ch.</t>
        </is>
      </c>
    </row>
    <row r="20">
      <c r="A20" s="22" t="inlineStr"/>
      <c r="B20" s="22" t="inlineStr">
        <is>
          <t>Rechenzentrum Bonvillars</t>
        </is>
      </c>
      <c r="C20" s="22" t="inlineStr">
        <is>
          <t>Swisscom</t>
        </is>
      </c>
      <c r="D20" s="22" t="inlineStr">
        <is>
          <t>Bonvillars</t>
        </is>
      </c>
      <c r="E20" s="22" t="inlineStr">
        <is>
          <t>VD</t>
        </is>
      </c>
      <c r="F20" s="19" t="inlineStr">
        <is>
          <t>pruefen</t>
        </is>
      </c>
      <c r="G20" s="22" t="inlineStr">
        <is>
          <t>Betrieb</t>
        </is>
      </c>
      <c r="H20" s="22" t="inlineStr">
        <is>
          <t>pruefen</t>
        </is>
      </c>
      <c r="I20" s="22" t="inlineStr">
        <is>
          <t>pruefen</t>
        </is>
      </c>
      <c r="J20" s="22" t="inlineStr">
        <is>
          <t>pruefen</t>
        </is>
      </c>
      <c r="K20" s="22" t="inlineStr">
        <is>
          <t>Betreiber</t>
        </is>
      </c>
      <c r="L20" s="12" t="inlineStr">
        <is>
          <t>Wartungsfenster, NEA-Test, Bridging Power bei Umbauten</t>
        </is>
      </c>
      <c r="M20" s="12" t="inlineStr">
        <is>
          <t>Betrieb, Rahmenvertrag statt Projektgeschaeft</t>
        </is>
      </c>
      <c r="N20" s="22" t="inlineStr">
        <is>
          <t>C</t>
        </is>
      </c>
      <c r="O20" s="23" t="n"/>
      <c r="P20" s="20" t="n"/>
      <c r="Q20" s="20" t="n"/>
      <c r="R20" s="22">
        <f>IF(Q20="","",Q20-TODAY())</f>
        <v/>
      </c>
      <c r="S20" s="22">
        <f>IF(Q20="","-",IF(Q20&lt;TODAY(),"UEBERFAELLIG",IF(Q20-TODAY()&lt;=7,"DIESE WOCHE","ok")))</f>
        <v/>
      </c>
      <c r="T20" s="12" t="inlineStr">
        <is>
          <t>https://www.netzwoche.ch/news/2026-06-03/so-praesentiert-sich-der-schweizer-markt-fuer-rechenzentren</t>
        </is>
      </c>
      <c r="U20" s="22" t="inlineStr">
        <is>
          <t>03.06.2026</t>
        </is>
      </c>
      <c r="V20" s="15" t="inlineStr">
        <is>
          <t>Ueber Swisscom Facility Management den Rahmenvertragsweg pruefen, Ansprache auf Franzoesisch</t>
        </is>
      </c>
      <c r="W20" s="12" t="inlineStr">
        <is>
          <t>Elftes Swisscom-Rechenzentrum, Ende 2024 von Philip Morris uebernommen, 1100 m2 Nutzflaeche. Kleinvolumen, aber Tuer zu den zehn weiteren Swisscom-Standorten. Ansprache Romandie auf Franzoesisch, vous-Form.</t>
        </is>
      </c>
    </row>
    <row r="21">
      <c r="A21" s="22" t="n"/>
      <c r="B21" s="22" t="inlineStr">
        <is>
          <t>KI-Infrastruktur-Ausbau Schweiz</t>
        </is>
      </c>
      <c r="C21" s="22" t="inlineStr">
        <is>
          <t>Microsoft</t>
        </is>
      </c>
      <c r="D21" s="22" t="inlineStr">
        <is>
          <t>pruefen</t>
        </is>
      </c>
      <c r="E21" s="22" t="inlineStr">
        <is>
          <t>pruefen</t>
        </is>
      </c>
      <c r="F21" s="19" t="inlineStr">
        <is>
          <t>pruefen</t>
        </is>
      </c>
      <c r="G21" s="22" t="inlineStr">
        <is>
          <t>Planung</t>
        </is>
      </c>
      <c r="H21" s="22" t="inlineStr">
        <is>
          <t>pruefen</t>
        </is>
      </c>
      <c r="I21" s="22" t="inlineStr">
        <is>
          <t>pruefen</t>
        </is>
      </c>
      <c r="J21" s="22" t="inlineStr">
        <is>
          <t>pruefen</t>
        </is>
      </c>
      <c r="K21" s="22" t="inlineStr">
        <is>
          <t>Betreiber</t>
        </is>
      </c>
      <c r="L21" s="12" t="inlineStr">
        <is>
          <t>Lastbank und PQ bei Erweiterungen in den Partner-Rechenzentren, Bridging bei Kapazitaetsengpaessen</t>
        </is>
      </c>
      <c r="M21" s="12" t="inlineStr">
        <is>
          <t>frueh, zuerst klaeren in welchen Colocation-Standorten ausgebaut wird</t>
        </is>
      </c>
      <c r="N21" s="22" t="inlineStr">
        <is>
          <t>B</t>
        </is>
      </c>
      <c r="O21" s="23" t="n"/>
      <c r="P21" s="20" t="n"/>
      <c r="Q21" s="20" t="n"/>
      <c r="R21" s="22">
        <f>IF(Q21="","",Q21-TODAY())</f>
        <v/>
      </c>
      <c r="S21" s="22">
        <f>IF(Q21="","-",IF(Q21&lt;TODAY(),"UEBERFAELLIG",IF(Q21-TODAY()&lt;=7,"DIESE WOCHE","ok")))</f>
        <v/>
      </c>
      <c r="T21" s="12" t="inlineStr">
        <is>
          <t>https://www.datacenter-insider.de/microsoft-baut-ki-infrastruktur-in-der-schweiz-aus-a-60195c56e70961bf22a9eb82c859339b/ | https://news.microsoft.com/de-ch/2024/08/29/5-jahre-microsoft-rechenzentren-in-der-schweiz-500-lokale-services-50000-kunden/</t>
        </is>
      </c>
      <c r="U21" s="22" t="inlineStr">
        <is>
          <t>29.08.2026</t>
        </is>
      </c>
      <c r="V21" s="15" t="inlineStr">
        <is>
          <t>Klaeren, in welchen Colocation-Standorten der Ausbau physisch stattfindet</t>
        </is>
      </c>
      <c r="W21" s="12" t="inlineStr">
        <is>
          <t>Microsoft investiert 400 Mio US-Dollar in der Schweiz, Ausbau der Rechenzentren bei Zuerich und Genf fuer KI-Workloads. Vier bestehende Standorte, Switzerland North war zeitweise nur fuer Bestandskunden verfuegbar, also Kapazitaetsdruck. Microsoft baut in der Schweiz ueblicherweise in Partner-Rechenzentren, der physische Ausbau landet also vermutlich bei einem Colocation-Betreiber im Radar. Standorte pruefen.</t>
        </is>
      </c>
    </row>
    <row r="22">
      <c r="A22" s="22" t="n"/>
      <c r="B22" s="22" t="n"/>
      <c r="C22" s="22" t="n"/>
      <c r="D22" s="22" t="n"/>
      <c r="E22" s="22" t="n"/>
      <c r="F22" s="19" t="n"/>
      <c r="G22" s="22" t="n"/>
      <c r="H22" s="22" t="n"/>
      <c r="I22" s="22" t="n"/>
      <c r="J22" s="22" t="n"/>
      <c r="K22" s="22" t="n"/>
      <c r="L22" s="12" t="n"/>
      <c r="M22" s="12" t="n"/>
      <c r="N22" s="22" t="n"/>
      <c r="O22" s="23" t="n"/>
      <c r="P22" s="20" t="n"/>
      <c r="Q22" s="20" t="n"/>
      <c r="R22" s="22">
        <f>IF(Q22="","",Q22-TODAY())</f>
        <v/>
      </c>
      <c r="S22" s="22">
        <f>IF(Q22="","-",IF(Q22&lt;TODAY(),"UEBERFAELLIG",IF(Q22-TODAY()&lt;=7,"DIESE WOCHE","ok")))</f>
        <v/>
      </c>
      <c r="T22" s="12" t="n"/>
      <c r="U22" s="22" t="n"/>
      <c r="V22" s="15" t="n"/>
      <c r="W22" s="12" t="n"/>
    </row>
    <row r="23">
      <c r="A23" s="22" t="n"/>
      <c r="B23" s="22" t="n"/>
      <c r="C23" s="22" t="n"/>
      <c r="D23" s="22" t="n"/>
      <c r="E23" s="22" t="n"/>
      <c r="F23" s="19" t="n"/>
      <c r="G23" s="22" t="n"/>
      <c r="H23" s="22" t="n"/>
      <c r="I23" s="22" t="n"/>
      <c r="J23" s="22" t="n"/>
      <c r="K23" s="22" t="n"/>
      <c r="L23" s="12" t="n"/>
      <c r="M23" s="12" t="n"/>
      <c r="N23" s="22" t="n"/>
      <c r="O23" s="23" t="n"/>
      <c r="P23" s="20" t="n"/>
      <c r="Q23" s="20" t="n"/>
      <c r="R23" s="22">
        <f>IF(Q23="","",Q23-TODAY())</f>
        <v/>
      </c>
      <c r="S23" s="22">
        <f>IF(Q23="","-",IF(Q23&lt;TODAY(),"UEBERFAELLIG",IF(Q23-TODAY()&lt;=7,"DIESE WOCHE","ok")))</f>
        <v/>
      </c>
      <c r="T23" s="12" t="n"/>
      <c r="U23" s="22" t="n"/>
      <c r="V23" s="15" t="n"/>
      <c r="W23" s="12" t="n"/>
    </row>
    <row r="24">
      <c r="A24" s="22" t="n"/>
      <c r="B24" s="22" t="n"/>
      <c r="C24" s="22" t="n"/>
      <c r="D24" s="22" t="n"/>
      <c r="E24" s="22" t="n"/>
      <c r="F24" s="19" t="n"/>
      <c r="G24" s="22" t="n"/>
      <c r="H24" s="22" t="n"/>
      <c r="I24" s="22" t="n"/>
      <c r="J24" s="22" t="n"/>
      <c r="K24" s="22" t="n"/>
      <c r="L24" s="12" t="n"/>
      <c r="M24" s="12" t="n"/>
      <c r="N24" s="22" t="n"/>
      <c r="O24" s="23" t="n"/>
      <c r="P24" s="20" t="n"/>
      <c r="Q24" s="20" t="n"/>
      <c r="R24" s="22">
        <f>IF(Q24="","",Q24-TODAY())</f>
        <v/>
      </c>
      <c r="S24" s="22">
        <f>IF(Q24="","-",IF(Q24&lt;TODAY(),"UEBERFAELLIG",IF(Q24-TODAY()&lt;=7,"DIESE WOCHE","ok")))</f>
        <v/>
      </c>
      <c r="T24" s="12" t="n"/>
      <c r="U24" s="22" t="n"/>
      <c r="V24" s="15" t="n"/>
      <c r="W24" s="12" t="n"/>
    </row>
    <row r="25">
      <c r="A25" s="22" t="n"/>
      <c r="B25" s="22" t="n"/>
      <c r="C25" s="22" t="n"/>
      <c r="D25" s="22" t="n"/>
      <c r="E25" s="22" t="n"/>
      <c r="F25" s="19" t="n"/>
      <c r="G25" s="22" t="n"/>
      <c r="H25" s="22" t="n"/>
      <c r="I25" s="22" t="n"/>
      <c r="J25" s="22" t="n"/>
      <c r="K25" s="22" t="n"/>
      <c r="L25" s="12" t="n"/>
      <c r="M25" s="12" t="n"/>
      <c r="N25" s="22" t="n"/>
      <c r="O25" s="23" t="n"/>
      <c r="P25" s="20" t="n"/>
      <c r="Q25" s="20" t="n"/>
      <c r="R25" s="22">
        <f>IF(Q25="","",Q25-TODAY())</f>
        <v/>
      </c>
      <c r="S25" s="22">
        <f>IF(Q25="","-",IF(Q25&lt;TODAY(),"UEBERFAELLIG",IF(Q25-TODAY()&lt;=7,"DIESE WOCHE","ok")))</f>
        <v/>
      </c>
      <c r="T25" s="12" t="n"/>
      <c r="U25" s="22" t="n"/>
      <c r="V25" s="15" t="n"/>
      <c r="W25" s="12" t="n"/>
    </row>
    <row r="26">
      <c r="A26" s="22" t="n"/>
      <c r="B26" s="22" t="n"/>
      <c r="C26" s="22" t="n"/>
      <c r="D26" s="22" t="n"/>
      <c r="E26" s="22" t="n"/>
      <c r="F26" s="19" t="n"/>
      <c r="G26" s="22" t="n"/>
      <c r="H26" s="22" t="n"/>
      <c r="I26" s="22" t="n"/>
      <c r="J26" s="22" t="n"/>
      <c r="K26" s="22" t="n"/>
      <c r="L26" s="12" t="n"/>
      <c r="M26" s="12" t="n"/>
      <c r="N26" s="22" t="n"/>
      <c r="O26" s="23" t="n"/>
      <c r="P26" s="20" t="n"/>
      <c r="Q26" s="20" t="n"/>
      <c r="R26" s="22">
        <f>IF(Q26="","",Q26-TODAY())</f>
        <v/>
      </c>
      <c r="S26" s="22">
        <f>IF(Q26="","-",IF(Q26&lt;TODAY(),"UEBERFAELLIG",IF(Q26-TODAY()&lt;=7,"DIESE WOCHE","ok")))</f>
        <v/>
      </c>
      <c r="T26" s="12" t="n"/>
      <c r="U26" s="22" t="n"/>
      <c r="V26" s="15" t="n"/>
      <c r="W26" s="12" t="n"/>
    </row>
    <row r="27">
      <c r="A27" s="22" t="n"/>
      <c r="B27" s="22" t="n"/>
      <c r="C27" s="22" t="n"/>
      <c r="D27" s="22" t="n"/>
      <c r="E27" s="22" t="n"/>
      <c r="F27" s="19" t="n"/>
      <c r="G27" s="22" t="n"/>
      <c r="H27" s="22" t="n"/>
      <c r="I27" s="22" t="n"/>
      <c r="J27" s="22" t="n"/>
      <c r="K27" s="22" t="n"/>
      <c r="L27" s="12" t="n"/>
      <c r="M27" s="12" t="n"/>
      <c r="N27" s="22" t="n"/>
      <c r="O27" s="23" t="n"/>
      <c r="P27" s="20" t="n"/>
      <c r="Q27" s="20" t="n"/>
      <c r="R27" s="22">
        <f>IF(Q27="","",Q27-TODAY())</f>
        <v/>
      </c>
      <c r="S27" s="22">
        <f>IF(Q27="","-",IF(Q27&lt;TODAY(),"UEBERFAELLIG",IF(Q27-TODAY()&lt;=7,"DIESE WOCHE","ok")))</f>
        <v/>
      </c>
      <c r="T27" s="12" t="n"/>
      <c r="U27" s="22" t="n"/>
      <c r="V27" s="15" t="n"/>
      <c r="W27" s="12" t="n"/>
    </row>
    <row r="28">
      <c r="A28" s="22" t="n"/>
      <c r="B28" s="22" t="n"/>
      <c r="C28" s="22" t="n"/>
      <c r="D28" s="22" t="n"/>
      <c r="E28" s="22" t="n"/>
      <c r="F28" s="19" t="n"/>
      <c r="G28" s="22" t="n"/>
      <c r="H28" s="22" t="n"/>
      <c r="I28" s="22" t="n"/>
      <c r="J28" s="22" t="n"/>
      <c r="K28" s="22" t="n"/>
      <c r="L28" s="12" t="n"/>
      <c r="M28" s="12" t="n"/>
      <c r="N28" s="22" t="n"/>
      <c r="O28" s="23" t="n"/>
      <c r="P28" s="20" t="n"/>
      <c r="Q28" s="20" t="n"/>
      <c r="R28" s="22">
        <f>IF(Q28="","",Q28-TODAY())</f>
        <v/>
      </c>
      <c r="S28" s="22">
        <f>IF(Q28="","-",IF(Q28&lt;TODAY(),"UEBERFAELLIG",IF(Q28-TODAY()&lt;=7,"DIESE WOCHE","ok")))</f>
        <v/>
      </c>
      <c r="T28" s="12" t="n"/>
      <c r="U28" s="22" t="n"/>
      <c r="V28" s="15" t="n"/>
      <c r="W28" s="12" t="n"/>
    </row>
    <row r="29">
      <c r="A29" s="22" t="n"/>
      <c r="B29" s="22" t="n"/>
      <c r="C29" s="22" t="n"/>
      <c r="D29" s="22" t="n"/>
      <c r="E29" s="22" t="n"/>
      <c r="F29" s="19" t="n"/>
      <c r="G29" s="22" t="n"/>
      <c r="H29" s="22" t="n"/>
      <c r="I29" s="22" t="n"/>
      <c r="J29" s="22" t="n"/>
      <c r="K29" s="22" t="n"/>
      <c r="L29" s="12" t="n"/>
      <c r="M29" s="12" t="n"/>
      <c r="N29" s="22" t="n"/>
      <c r="O29" s="23" t="n"/>
      <c r="P29" s="20" t="n"/>
      <c r="Q29" s="20" t="n"/>
      <c r="R29" s="22">
        <f>IF(Q29="","",Q29-TODAY())</f>
        <v/>
      </c>
      <c r="S29" s="22">
        <f>IF(Q29="","-",IF(Q29&lt;TODAY(),"UEBERFAELLIG",IF(Q29-TODAY()&lt;=7,"DIESE WOCHE","ok")))</f>
        <v/>
      </c>
      <c r="T29" s="12" t="n"/>
      <c r="U29" s="22" t="n"/>
      <c r="V29" s="15" t="n"/>
      <c r="W29" s="12" t="n"/>
    </row>
    <row r="30">
      <c r="A30" s="22" t="n"/>
      <c r="B30" s="22" t="n"/>
      <c r="C30" s="22" t="n"/>
      <c r="D30" s="22" t="n"/>
      <c r="E30" s="22" t="n"/>
      <c r="F30" s="19" t="n"/>
      <c r="G30" s="22" t="n"/>
      <c r="H30" s="22" t="n"/>
      <c r="I30" s="22" t="n"/>
      <c r="J30" s="22" t="n"/>
      <c r="K30" s="22" t="n"/>
      <c r="L30" s="12" t="n"/>
      <c r="M30" s="12" t="n"/>
      <c r="N30" s="22" t="n"/>
      <c r="O30" s="23" t="n"/>
      <c r="P30" s="20" t="n"/>
      <c r="Q30" s="20" t="n"/>
      <c r="R30" s="22">
        <f>IF(Q30="","",Q30-TODAY())</f>
        <v/>
      </c>
      <c r="S30" s="22">
        <f>IF(Q30="","-",IF(Q30&lt;TODAY(),"UEBERFAELLIG",IF(Q30-TODAY()&lt;=7,"DIESE WOCHE","ok")))</f>
        <v/>
      </c>
      <c r="T30" s="12" t="n"/>
      <c r="U30" s="22" t="n"/>
      <c r="V30" s="15" t="n"/>
      <c r="W30" s="12" t="n"/>
    </row>
    <row r="31">
      <c r="A31" s="22" t="n"/>
      <c r="B31" s="22" t="n"/>
      <c r="C31" s="22" t="n"/>
      <c r="D31" s="22" t="n"/>
      <c r="E31" s="22" t="n"/>
      <c r="F31" s="19" t="n"/>
      <c r="G31" s="22" t="n"/>
      <c r="H31" s="22" t="n"/>
      <c r="I31" s="22" t="n"/>
      <c r="J31" s="22" t="n"/>
      <c r="K31" s="22" t="n"/>
      <c r="L31" s="12" t="n"/>
      <c r="M31" s="12" t="n"/>
      <c r="N31" s="22" t="n"/>
      <c r="O31" s="23" t="n"/>
      <c r="P31" s="20" t="n"/>
      <c r="Q31" s="20" t="n"/>
      <c r="R31" s="22">
        <f>IF(Q31="","",Q31-TODAY())</f>
        <v/>
      </c>
      <c r="S31" s="22">
        <f>IF(Q31="","-",IF(Q31&lt;TODAY(),"UEBERFAELLIG",IF(Q31-TODAY()&lt;=7,"DIESE WOCHE","ok")))</f>
        <v/>
      </c>
      <c r="T31" s="12" t="n"/>
      <c r="U31" s="22" t="n"/>
      <c r="V31" s="15" t="n"/>
      <c r="W31" s="12" t="n"/>
    </row>
    <row r="32">
      <c r="A32" s="22" t="n"/>
      <c r="B32" s="22" t="n"/>
      <c r="C32" s="22" t="n"/>
      <c r="D32" s="22" t="n"/>
      <c r="E32" s="22" t="n"/>
      <c r="F32" s="19" t="n"/>
      <c r="G32" s="22" t="n"/>
      <c r="H32" s="22" t="n"/>
      <c r="I32" s="22" t="n"/>
      <c r="J32" s="22" t="n"/>
      <c r="K32" s="22" t="n"/>
      <c r="L32" s="12" t="n"/>
      <c r="M32" s="12" t="n"/>
      <c r="N32" s="22" t="n"/>
      <c r="O32" s="23" t="n"/>
      <c r="P32" s="20" t="n"/>
      <c r="Q32" s="20" t="n"/>
      <c r="R32" s="22">
        <f>IF(Q32="","",Q32-TODAY())</f>
        <v/>
      </c>
      <c r="S32" s="22">
        <f>IF(Q32="","-",IF(Q32&lt;TODAY(),"UEBERFAELLIG",IF(Q32-TODAY()&lt;=7,"DIESE WOCHE","ok")))</f>
        <v/>
      </c>
      <c r="T32" s="12" t="n"/>
      <c r="U32" s="22" t="n"/>
      <c r="V32" s="15" t="n"/>
      <c r="W32" s="12" t="n"/>
    </row>
    <row r="33">
      <c r="A33" s="22" t="n"/>
      <c r="B33" s="22" t="n"/>
      <c r="C33" s="22" t="n"/>
      <c r="D33" s="22" t="n"/>
      <c r="E33" s="22" t="n"/>
      <c r="F33" s="19" t="n"/>
      <c r="G33" s="22" t="n"/>
      <c r="H33" s="22" t="n"/>
      <c r="I33" s="22" t="n"/>
      <c r="J33" s="22" t="n"/>
      <c r="K33" s="22" t="n"/>
      <c r="L33" s="12" t="n"/>
      <c r="M33" s="12" t="n"/>
      <c r="N33" s="22" t="n"/>
      <c r="O33" s="23" t="n"/>
      <c r="P33" s="20" t="n"/>
      <c r="Q33" s="20" t="n"/>
      <c r="R33" s="22">
        <f>IF(Q33="","",Q33-TODAY())</f>
        <v/>
      </c>
      <c r="S33" s="22">
        <f>IF(Q33="","-",IF(Q33&lt;TODAY(),"UEBERFAELLIG",IF(Q33-TODAY()&lt;=7,"DIESE WOCHE","ok")))</f>
        <v/>
      </c>
      <c r="T33" s="12" t="n"/>
      <c r="U33" s="22" t="n"/>
      <c r="V33" s="15" t="n"/>
      <c r="W33" s="12" t="n"/>
    </row>
    <row r="34">
      <c r="A34" s="22" t="n"/>
      <c r="B34" s="22" t="n"/>
      <c r="C34" s="22" t="n"/>
      <c r="D34" s="22" t="n"/>
      <c r="E34" s="22" t="n"/>
      <c r="F34" s="19" t="n"/>
      <c r="G34" s="22" t="n"/>
      <c r="H34" s="22" t="n"/>
      <c r="I34" s="22" t="n"/>
      <c r="J34" s="22" t="n"/>
      <c r="K34" s="22" t="n"/>
      <c r="L34" s="12" t="n"/>
      <c r="M34" s="12" t="n"/>
      <c r="N34" s="22" t="n"/>
      <c r="O34" s="23" t="n"/>
      <c r="P34" s="20" t="n"/>
      <c r="Q34" s="20" t="n"/>
      <c r="R34" s="22">
        <f>IF(Q34="","",Q34-TODAY())</f>
        <v/>
      </c>
      <c r="S34" s="22">
        <f>IF(Q34="","-",IF(Q34&lt;TODAY(),"UEBERFAELLIG",IF(Q34-TODAY()&lt;=7,"DIESE WOCHE","ok")))</f>
        <v/>
      </c>
      <c r="T34" s="12" t="n"/>
      <c r="U34" s="22" t="n"/>
      <c r="V34" s="15" t="n"/>
      <c r="W34" s="12" t="n"/>
    </row>
    <row r="35">
      <c r="A35" s="22" t="n"/>
      <c r="B35" s="22" t="n"/>
      <c r="C35" s="22" t="n"/>
      <c r="D35" s="22" t="n"/>
      <c r="E35" s="22" t="n"/>
      <c r="F35" s="19" t="n"/>
      <c r="G35" s="22" t="n"/>
      <c r="H35" s="22" t="n"/>
      <c r="I35" s="22" t="n"/>
      <c r="J35" s="22" t="n"/>
      <c r="K35" s="22" t="n"/>
      <c r="L35" s="12" t="n"/>
      <c r="M35" s="12" t="n"/>
      <c r="N35" s="22" t="n"/>
      <c r="O35" s="23" t="n"/>
      <c r="P35" s="20" t="n"/>
      <c r="Q35" s="20" t="n"/>
      <c r="R35" s="22">
        <f>IF(Q35="","",Q35-TODAY())</f>
        <v/>
      </c>
      <c r="S35" s="22">
        <f>IF(Q35="","-",IF(Q35&lt;TODAY(),"UEBERFAELLIG",IF(Q35-TODAY()&lt;=7,"DIESE WOCHE","ok")))</f>
        <v/>
      </c>
      <c r="T35" s="12" t="n"/>
      <c r="U35" s="22" t="n"/>
      <c r="V35" s="15" t="n"/>
      <c r="W35" s="12" t="n"/>
    </row>
    <row r="36">
      <c r="A36" s="22" t="n"/>
      <c r="B36" s="22" t="n"/>
      <c r="C36" s="22" t="n"/>
      <c r="D36" s="22" t="n"/>
      <c r="E36" s="22" t="n"/>
      <c r="F36" s="19" t="n"/>
      <c r="G36" s="22" t="n"/>
      <c r="H36" s="22" t="n"/>
      <c r="I36" s="22" t="n"/>
      <c r="J36" s="22" t="n"/>
      <c r="K36" s="22" t="n"/>
      <c r="L36" s="12" t="n"/>
      <c r="M36" s="12" t="n"/>
      <c r="N36" s="22" t="n"/>
      <c r="O36" s="23" t="n"/>
      <c r="P36" s="20" t="n"/>
      <c r="Q36" s="20" t="n"/>
      <c r="R36" s="22">
        <f>IF(Q36="","",Q36-TODAY())</f>
        <v/>
      </c>
      <c r="S36" s="22">
        <f>IF(Q36="","-",IF(Q36&lt;TODAY(),"UEBERFAELLIG",IF(Q36-TODAY()&lt;=7,"DIESE WOCHE","ok")))</f>
        <v/>
      </c>
      <c r="T36" s="12" t="n"/>
      <c r="U36" s="22" t="n"/>
      <c r="V36" s="15" t="n"/>
      <c r="W36" s="12" t="n"/>
    </row>
    <row r="37">
      <c r="A37" s="22" t="n"/>
      <c r="B37" s="22" t="n"/>
      <c r="C37" s="22" t="n"/>
      <c r="D37" s="22" t="n"/>
      <c r="E37" s="22" t="n"/>
      <c r="F37" s="19" t="n"/>
      <c r="G37" s="22" t="n"/>
      <c r="H37" s="22" t="n"/>
      <c r="I37" s="22" t="n"/>
      <c r="J37" s="22" t="n"/>
      <c r="K37" s="22" t="n"/>
      <c r="L37" s="12" t="n"/>
      <c r="M37" s="12" t="n"/>
      <c r="N37" s="22" t="n"/>
      <c r="O37" s="23" t="n"/>
      <c r="P37" s="20" t="n"/>
      <c r="Q37" s="20" t="n"/>
      <c r="R37" s="22">
        <f>IF(Q37="","",Q37-TODAY())</f>
        <v/>
      </c>
      <c r="S37" s="22">
        <f>IF(Q37="","-",IF(Q37&lt;TODAY(),"UEBERFAELLIG",IF(Q37-TODAY()&lt;=7,"DIESE WOCHE","ok")))</f>
        <v/>
      </c>
      <c r="T37" s="12" t="n"/>
      <c r="U37" s="22" t="n"/>
      <c r="V37" s="15" t="n"/>
      <c r="W37" s="12" t="n"/>
    </row>
    <row r="38">
      <c r="A38" s="22" t="n"/>
      <c r="B38" s="22" t="n"/>
      <c r="C38" s="22" t="n"/>
      <c r="D38" s="22" t="n"/>
      <c r="E38" s="22" t="n"/>
      <c r="F38" s="19" t="n"/>
      <c r="G38" s="22" t="n"/>
      <c r="H38" s="22" t="n"/>
      <c r="I38" s="22" t="n"/>
      <c r="J38" s="22" t="n"/>
      <c r="K38" s="22" t="n"/>
      <c r="L38" s="12" t="n"/>
      <c r="M38" s="12" t="n"/>
      <c r="N38" s="22" t="n"/>
      <c r="O38" s="23" t="n"/>
      <c r="P38" s="20" t="n"/>
      <c r="Q38" s="20" t="n"/>
      <c r="R38" s="22">
        <f>IF(Q38="","",Q38-TODAY())</f>
        <v/>
      </c>
      <c r="S38" s="22">
        <f>IF(Q38="","-",IF(Q38&lt;TODAY(),"UEBERFAELLIG",IF(Q38-TODAY()&lt;=7,"DIESE WOCHE","ok")))</f>
        <v/>
      </c>
      <c r="T38" s="12" t="n"/>
      <c r="U38" s="22" t="n"/>
      <c r="V38" s="15" t="n"/>
      <c r="W38" s="12" t="n"/>
    </row>
    <row r="39">
      <c r="A39" s="22" t="n"/>
      <c r="B39" s="22" t="n"/>
      <c r="C39" s="22" t="n"/>
      <c r="D39" s="22" t="n"/>
      <c r="E39" s="22" t="n"/>
      <c r="F39" s="19" t="n"/>
      <c r="G39" s="22" t="n"/>
      <c r="H39" s="22" t="n"/>
      <c r="I39" s="22" t="n"/>
      <c r="J39" s="22" t="n"/>
      <c r="K39" s="22" t="n"/>
      <c r="L39" s="12" t="n"/>
      <c r="M39" s="12" t="n"/>
      <c r="N39" s="22" t="n"/>
      <c r="O39" s="23" t="n"/>
      <c r="P39" s="20" t="n"/>
      <c r="Q39" s="20" t="n"/>
      <c r="R39" s="22">
        <f>IF(Q39="","",Q39-TODAY())</f>
        <v/>
      </c>
      <c r="S39" s="22">
        <f>IF(Q39="","-",IF(Q39&lt;TODAY(),"UEBERFAELLIG",IF(Q39-TODAY()&lt;=7,"DIESE WOCHE","ok")))</f>
        <v/>
      </c>
      <c r="T39" s="12" t="n"/>
      <c r="U39" s="22" t="n"/>
      <c r="V39" s="15" t="n"/>
      <c r="W39" s="12" t="n"/>
    </row>
    <row r="40">
      <c r="A40" s="22" t="n"/>
      <c r="B40" s="22" t="n"/>
      <c r="C40" s="22" t="n"/>
      <c r="D40" s="22" t="n"/>
      <c r="E40" s="22" t="n"/>
      <c r="F40" s="19" t="n"/>
      <c r="G40" s="22" t="n"/>
      <c r="H40" s="22" t="n"/>
      <c r="I40" s="22" t="n"/>
      <c r="J40" s="22" t="n"/>
      <c r="K40" s="22" t="n"/>
      <c r="L40" s="12" t="n"/>
      <c r="M40" s="12" t="n"/>
      <c r="N40" s="22" t="n"/>
      <c r="O40" s="23" t="n"/>
      <c r="P40" s="20" t="n"/>
      <c r="Q40" s="20" t="n"/>
      <c r="R40" s="22">
        <f>IF(Q40="","",Q40-TODAY())</f>
        <v/>
      </c>
      <c r="S40" s="22">
        <f>IF(Q40="","-",IF(Q40&lt;TODAY(),"UEBERFAELLIG",IF(Q40-TODAY()&lt;=7,"DIESE WOCHE","ok")))</f>
        <v/>
      </c>
      <c r="T40" s="12" t="n"/>
      <c r="U40" s="22" t="n"/>
      <c r="V40" s="15" t="n"/>
      <c r="W40" s="12" t="n"/>
    </row>
    <row r="41">
      <c r="A41" s="22" t="n"/>
      <c r="B41" s="22" t="n"/>
      <c r="C41" s="22" t="n"/>
      <c r="D41" s="22" t="n"/>
      <c r="E41" s="22" t="n"/>
      <c r="F41" s="19" t="n"/>
      <c r="G41" s="22" t="n"/>
      <c r="H41" s="22" t="n"/>
      <c r="I41" s="22" t="n"/>
      <c r="J41" s="22" t="n"/>
      <c r="K41" s="22" t="n"/>
      <c r="L41" s="12" t="n"/>
      <c r="M41" s="12" t="n"/>
      <c r="N41" s="22" t="n"/>
      <c r="O41" s="23" t="n"/>
      <c r="P41" s="20" t="n"/>
      <c r="Q41" s="20" t="n"/>
      <c r="R41" s="22">
        <f>IF(Q41="","",Q41-TODAY())</f>
        <v/>
      </c>
      <c r="S41" s="22">
        <f>IF(Q41="","-",IF(Q41&lt;TODAY(),"UEBERFAELLIG",IF(Q41-TODAY()&lt;=7,"DIESE WOCHE","ok")))</f>
        <v/>
      </c>
      <c r="T41" s="12" t="n"/>
      <c r="U41" s="22" t="n"/>
      <c r="V41" s="15" t="n"/>
      <c r="W41" s="12" t="n"/>
    </row>
    <row r="42">
      <c r="A42" s="22" t="n"/>
      <c r="B42" s="22" t="n"/>
      <c r="C42" s="22" t="n"/>
      <c r="D42" s="22" t="n"/>
      <c r="E42" s="22" t="n"/>
      <c r="F42" s="19" t="n"/>
      <c r="G42" s="22" t="n"/>
      <c r="H42" s="22" t="n"/>
      <c r="I42" s="22" t="n"/>
      <c r="J42" s="22" t="n"/>
      <c r="K42" s="22" t="n"/>
      <c r="L42" s="12" t="n"/>
      <c r="M42" s="12" t="n"/>
      <c r="N42" s="22" t="n"/>
      <c r="O42" s="23" t="n"/>
      <c r="P42" s="20" t="n"/>
      <c r="Q42" s="20" t="n"/>
      <c r="R42" s="22">
        <f>IF(Q42="","",Q42-TODAY())</f>
        <v/>
      </c>
      <c r="S42" s="22">
        <f>IF(Q42="","-",IF(Q42&lt;TODAY(),"UEBERFAELLIG",IF(Q42-TODAY()&lt;=7,"DIESE WOCHE","ok")))</f>
        <v/>
      </c>
      <c r="T42" s="12" t="n"/>
      <c r="U42" s="22" t="n"/>
      <c r="V42" s="15" t="n"/>
      <c r="W42" s="12" t="n"/>
    </row>
    <row r="43">
      <c r="A43" s="22" t="n"/>
      <c r="B43" s="22" t="n"/>
      <c r="C43" s="22" t="n"/>
      <c r="D43" s="22" t="n"/>
      <c r="E43" s="22" t="n"/>
      <c r="F43" s="19" t="n"/>
      <c r="G43" s="22" t="n"/>
      <c r="H43" s="22" t="n"/>
      <c r="I43" s="22" t="n"/>
      <c r="J43" s="22" t="n"/>
      <c r="K43" s="22" t="n"/>
      <c r="L43" s="12" t="n"/>
      <c r="M43" s="12" t="n"/>
      <c r="N43" s="22" t="n"/>
      <c r="O43" s="23" t="n"/>
      <c r="P43" s="20" t="n"/>
      <c r="Q43" s="20" t="n"/>
      <c r="R43" s="22">
        <f>IF(Q43="","",Q43-TODAY())</f>
        <v/>
      </c>
      <c r="S43" s="22">
        <f>IF(Q43="","-",IF(Q43&lt;TODAY(),"UEBERFAELLIG",IF(Q43-TODAY()&lt;=7,"DIESE WOCHE","ok")))</f>
        <v/>
      </c>
      <c r="T43" s="12" t="n"/>
      <c r="U43" s="22" t="n"/>
      <c r="V43" s="15" t="n"/>
      <c r="W43" s="12" t="n"/>
    </row>
    <row r="44">
      <c r="A44" s="22" t="n"/>
      <c r="B44" s="22" t="n"/>
      <c r="C44" s="22" t="n"/>
      <c r="D44" s="22" t="n"/>
      <c r="E44" s="22" t="n"/>
      <c r="F44" s="19" t="n"/>
      <c r="G44" s="22" t="n"/>
      <c r="H44" s="22" t="n"/>
      <c r="I44" s="22" t="n"/>
      <c r="J44" s="22" t="n"/>
      <c r="K44" s="22" t="n"/>
      <c r="L44" s="12" t="n"/>
      <c r="M44" s="12" t="n"/>
      <c r="N44" s="22" t="n"/>
      <c r="O44" s="23" t="n"/>
      <c r="P44" s="20" t="n"/>
      <c r="Q44" s="20" t="n"/>
      <c r="R44" s="22">
        <f>IF(Q44="","",Q44-TODAY())</f>
        <v/>
      </c>
      <c r="S44" s="22">
        <f>IF(Q44="","-",IF(Q44&lt;TODAY(),"UEBERFAELLIG",IF(Q44-TODAY()&lt;=7,"DIESE WOCHE","ok")))</f>
        <v/>
      </c>
      <c r="T44" s="12" t="n"/>
      <c r="U44" s="22" t="n"/>
      <c r="V44" s="15" t="n"/>
      <c r="W44" s="12" t="n"/>
    </row>
    <row r="45">
      <c r="A45" s="22" t="n"/>
      <c r="B45" s="22" t="n"/>
      <c r="C45" s="22" t="n"/>
      <c r="D45" s="22" t="n"/>
      <c r="E45" s="22" t="n"/>
      <c r="F45" s="19" t="n"/>
      <c r="G45" s="22" t="n"/>
      <c r="H45" s="22" t="n"/>
      <c r="I45" s="22" t="n"/>
      <c r="J45" s="22" t="n"/>
      <c r="K45" s="22" t="n"/>
      <c r="L45" s="12" t="n"/>
      <c r="M45" s="12" t="n"/>
      <c r="N45" s="22" t="n"/>
      <c r="O45" s="23" t="n"/>
      <c r="P45" s="20" t="n"/>
      <c r="Q45" s="20" t="n"/>
      <c r="R45" s="22">
        <f>IF(Q45="","",Q45-TODAY())</f>
        <v/>
      </c>
      <c r="S45" s="22">
        <f>IF(Q45="","-",IF(Q45&lt;TODAY(),"UEBERFAELLIG",IF(Q45-TODAY()&lt;=7,"DIESE WOCHE","ok")))</f>
        <v/>
      </c>
      <c r="T45" s="12" t="n"/>
      <c r="U45" s="22" t="n"/>
      <c r="V45" s="15" t="n"/>
      <c r="W45" s="12" t="n"/>
    </row>
    <row r="46">
      <c r="A46" s="22" t="n"/>
      <c r="B46" s="22" t="n"/>
      <c r="C46" s="22" t="n"/>
      <c r="D46" s="22" t="n"/>
      <c r="E46" s="22" t="n"/>
      <c r="F46" s="19" t="n"/>
      <c r="G46" s="22" t="n"/>
      <c r="H46" s="22" t="n"/>
      <c r="I46" s="22" t="n"/>
      <c r="J46" s="22" t="n"/>
      <c r="K46" s="22" t="n"/>
      <c r="L46" s="12" t="n"/>
      <c r="M46" s="12" t="n"/>
      <c r="N46" s="22" t="n"/>
      <c r="O46" s="23" t="n"/>
      <c r="P46" s="20" t="n"/>
      <c r="Q46" s="20" t="n"/>
      <c r="R46" s="22">
        <f>IF(Q46="","",Q46-TODAY())</f>
        <v/>
      </c>
      <c r="S46" s="22">
        <f>IF(Q46="","-",IF(Q46&lt;TODAY(),"UEBERFAELLIG",IF(Q46-TODAY()&lt;=7,"DIESE WOCHE","ok")))</f>
        <v/>
      </c>
      <c r="T46" s="12" t="n"/>
      <c r="U46" s="22" t="n"/>
      <c r="V46" s="15" t="n"/>
      <c r="W46" s="12" t="n"/>
    </row>
    <row r="47">
      <c r="A47" s="22" t="n"/>
      <c r="B47" s="22" t="n"/>
      <c r="C47" s="22" t="n"/>
      <c r="D47" s="22" t="n"/>
      <c r="E47" s="22" t="n"/>
      <c r="F47" s="19" t="n"/>
      <c r="G47" s="22" t="n"/>
      <c r="H47" s="22" t="n"/>
      <c r="I47" s="22" t="n"/>
      <c r="J47" s="22" t="n"/>
      <c r="K47" s="22" t="n"/>
      <c r="L47" s="12" t="n"/>
      <c r="M47" s="12" t="n"/>
      <c r="N47" s="22" t="n"/>
      <c r="O47" s="23" t="n"/>
      <c r="P47" s="20" t="n"/>
      <c r="Q47" s="20" t="n"/>
      <c r="R47" s="22">
        <f>IF(Q47="","",Q47-TODAY())</f>
        <v/>
      </c>
      <c r="S47" s="22">
        <f>IF(Q47="","-",IF(Q47&lt;TODAY(),"UEBERFAELLIG",IF(Q47-TODAY()&lt;=7,"DIESE WOCHE","ok")))</f>
        <v/>
      </c>
      <c r="T47" s="12" t="n"/>
      <c r="U47" s="22" t="n"/>
      <c r="V47" s="15" t="n"/>
      <c r="W47" s="12" t="n"/>
    </row>
    <row r="48">
      <c r="A48" s="22" t="n"/>
      <c r="B48" s="22" t="n"/>
      <c r="C48" s="22" t="n"/>
      <c r="D48" s="22" t="n"/>
      <c r="E48" s="22" t="n"/>
      <c r="F48" s="19" t="n"/>
      <c r="G48" s="22" t="n"/>
      <c r="H48" s="22" t="n"/>
      <c r="I48" s="22" t="n"/>
      <c r="J48" s="22" t="n"/>
      <c r="K48" s="22" t="n"/>
      <c r="L48" s="12" t="n"/>
      <c r="M48" s="12" t="n"/>
      <c r="N48" s="22" t="n"/>
      <c r="O48" s="23" t="n"/>
      <c r="P48" s="20" t="n"/>
      <c r="Q48" s="20" t="n"/>
      <c r="R48" s="22">
        <f>IF(Q48="","",Q48-TODAY())</f>
        <v/>
      </c>
      <c r="S48" s="22">
        <f>IF(Q48="","-",IF(Q48&lt;TODAY(),"UEBERFAELLIG",IF(Q48-TODAY()&lt;=7,"DIESE WOCHE","ok")))</f>
        <v/>
      </c>
      <c r="T48" s="12" t="n"/>
      <c r="U48" s="22" t="n"/>
      <c r="V48" s="15" t="n"/>
      <c r="W48" s="12" t="n"/>
    </row>
    <row r="49">
      <c r="A49" s="22" t="n"/>
      <c r="B49" s="22" t="n"/>
      <c r="C49" s="22" t="n"/>
      <c r="D49" s="22" t="n"/>
      <c r="E49" s="22" t="n"/>
      <c r="F49" s="19" t="n"/>
      <c r="G49" s="22" t="n"/>
      <c r="H49" s="22" t="n"/>
      <c r="I49" s="22" t="n"/>
      <c r="J49" s="22" t="n"/>
      <c r="K49" s="22" t="n"/>
      <c r="L49" s="12" t="n"/>
      <c r="M49" s="12" t="n"/>
      <c r="N49" s="22" t="n"/>
      <c r="O49" s="23" t="n"/>
      <c r="P49" s="20" t="n"/>
      <c r="Q49" s="20" t="n"/>
      <c r="R49" s="22">
        <f>IF(Q49="","",Q49-TODAY())</f>
        <v/>
      </c>
      <c r="S49" s="22">
        <f>IF(Q49="","-",IF(Q49&lt;TODAY(),"UEBERFAELLIG",IF(Q49-TODAY()&lt;=7,"DIESE WOCHE","ok")))</f>
        <v/>
      </c>
      <c r="T49" s="12" t="n"/>
      <c r="U49" s="22" t="n"/>
      <c r="V49" s="15" t="n"/>
      <c r="W49" s="12" t="n"/>
    </row>
    <row r="50">
      <c r="A50" s="22" t="n"/>
      <c r="B50" s="22" t="n"/>
      <c r="C50" s="22" t="n"/>
      <c r="D50" s="22" t="n"/>
      <c r="E50" s="22" t="n"/>
      <c r="F50" s="19" t="n"/>
      <c r="G50" s="22" t="n"/>
      <c r="H50" s="22" t="n"/>
      <c r="I50" s="22" t="n"/>
      <c r="J50" s="22" t="n"/>
      <c r="K50" s="22" t="n"/>
      <c r="L50" s="12" t="n"/>
      <c r="M50" s="12" t="n"/>
      <c r="N50" s="22" t="n"/>
      <c r="O50" s="23" t="n"/>
      <c r="P50" s="20" t="n"/>
      <c r="Q50" s="20" t="n"/>
      <c r="R50" s="22">
        <f>IF(Q50="","",Q50-TODAY())</f>
        <v/>
      </c>
      <c r="S50" s="22">
        <f>IF(Q50="","-",IF(Q50&lt;TODAY(),"UEBERFAELLIG",IF(Q50-TODAY()&lt;=7,"DIESE WOCHE","ok")))</f>
        <v/>
      </c>
      <c r="T50" s="12" t="n"/>
      <c r="U50" s="22" t="n"/>
      <c r="V50" s="15" t="n"/>
      <c r="W50" s="12" t="n"/>
    </row>
    <row r="51">
      <c r="A51" s="22" t="n"/>
      <c r="B51" s="22" t="n"/>
      <c r="C51" s="22" t="n"/>
      <c r="D51" s="22" t="n"/>
      <c r="E51" s="22" t="n"/>
      <c r="F51" s="19" t="n"/>
      <c r="G51" s="22" t="n"/>
      <c r="H51" s="22" t="n"/>
      <c r="I51" s="22" t="n"/>
      <c r="J51" s="22" t="n"/>
      <c r="K51" s="22" t="n"/>
      <c r="L51" s="12" t="n"/>
      <c r="M51" s="12" t="n"/>
      <c r="N51" s="22" t="n"/>
      <c r="O51" s="23" t="n"/>
      <c r="P51" s="20" t="n"/>
      <c r="Q51" s="20" t="n"/>
      <c r="R51" s="22">
        <f>IF(Q51="","",Q51-TODAY())</f>
        <v/>
      </c>
      <c r="S51" s="22">
        <f>IF(Q51="","-",IF(Q51&lt;TODAY(),"UEBERFAELLIG",IF(Q51-TODAY()&lt;=7,"DIESE WOCHE","ok")))</f>
        <v/>
      </c>
      <c r="T51" s="12" t="n"/>
      <c r="U51" s="22" t="n"/>
      <c r="V51" s="15" t="n"/>
      <c r="W51" s="12" t="n"/>
    </row>
    <row r="52">
      <c r="A52" s="22" t="n"/>
      <c r="B52" s="22" t="n"/>
      <c r="C52" s="22" t="n"/>
      <c r="D52" s="22" t="n"/>
      <c r="E52" s="22" t="n"/>
      <c r="F52" s="19" t="n"/>
      <c r="G52" s="22" t="n"/>
      <c r="H52" s="22" t="n"/>
      <c r="I52" s="22" t="n"/>
      <c r="J52" s="22" t="n"/>
      <c r="K52" s="22" t="n"/>
      <c r="L52" s="12" t="n"/>
      <c r="M52" s="12" t="n"/>
      <c r="N52" s="22" t="n"/>
      <c r="O52" s="23" t="n"/>
      <c r="P52" s="20" t="n"/>
      <c r="Q52" s="20" t="n"/>
      <c r="R52" s="22">
        <f>IF(Q52="","",Q52-TODAY())</f>
        <v/>
      </c>
      <c r="S52" s="22">
        <f>IF(Q52="","-",IF(Q52&lt;TODAY(),"UEBERFAELLIG",IF(Q52-TODAY()&lt;=7,"DIESE WOCHE","ok")))</f>
        <v/>
      </c>
      <c r="T52" s="12" t="n"/>
      <c r="U52" s="22" t="n"/>
      <c r="V52" s="15" t="n"/>
      <c r="W52" s="12" t="n"/>
    </row>
    <row r="53">
      <c r="A53" s="22" t="n"/>
      <c r="B53" s="22" t="n"/>
      <c r="C53" s="22" t="n"/>
      <c r="D53" s="22" t="n"/>
      <c r="E53" s="22" t="n"/>
      <c r="F53" s="19" t="n"/>
      <c r="G53" s="22" t="n"/>
      <c r="H53" s="22" t="n"/>
      <c r="I53" s="22" t="n"/>
      <c r="J53" s="22" t="n"/>
      <c r="K53" s="22" t="n"/>
      <c r="L53" s="12" t="n"/>
      <c r="M53" s="12" t="n"/>
      <c r="N53" s="22" t="n"/>
      <c r="O53" s="23" t="n"/>
      <c r="P53" s="20" t="n"/>
      <c r="Q53" s="20" t="n"/>
      <c r="R53" s="22">
        <f>IF(Q53="","",Q53-TODAY())</f>
        <v/>
      </c>
      <c r="S53" s="22">
        <f>IF(Q53="","-",IF(Q53&lt;TODAY(),"UEBERFAELLIG",IF(Q53-TODAY()&lt;=7,"DIESE WOCHE","ok")))</f>
        <v/>
      </c>
      <c r="T53" s="12" t="n"/>
      <c r="U53" s="22" t="n"/>
      <c r="V53" s="15" t="n"/>
      <c r="W53" s="12" t="n"/>
    </row>
    <row r="54">
      <c r="A54" s="22" t="n"/>
      <c r="B54" s="22" t="n"/>
      <c r="C54" s="22" t="n"/>
      <c r="D54" s="22" t="n"/>
      <c r="E54" s="22" t="n"/>
      <c r="F54" s="19" t="n"/>
      <c r="G54" s="22" t="n"/>
      <c r="H54" s="22" t="n"/>
      <c r="I54" s="22" t="n"/>
      <c r="J54" s="22" t="n"/>
      <c r="K54" s="22" t="n"/>
      <c r="L54" s="12" t="n"/>
      <c r="M54" s="12" t="n"/>
      <c r="N54" s="22" t="n"/>
      <c r="O54" s="23" t="n"/>
      <c r="P54" s="20" t="n"/>
      <c r="Q54" s="20" t="n"/>
      <c r="R54" s="22">
        <f>IF(Q54="","",Q54-TODAY())</f>
        <v/>
      </c>
      <c r="S54" s="22">
        <f>IF(Q54="","-",IF(Q54&lt;TODAY(),"UEBERFAELLIG",IF(Q54-TODAY()&lt;=7,"DIESE WOCHE","ok")))</f>
        <v/>
      </c>
      <c r="T54" s="12" t="n"/>
      <c r="U54" s="22" t="n"/>
      <c r="V54" s="15" t="n"/>
      <c r="W54" s="12" t="n"/>
    </row>
    <row r="55">
      <c r="A55" s="22" t="n"/>
      <c r="B55" s="22" t="n"/>
      <c r="C55" s="22" t="n"/>
      <c r="D55" s="22" t="n"/>
      <c r="E55" s="22" t="n"/>
      <c r="F55" s="19" t="n"/>
      <c r="G55" s="22" t="n"/>
      <c r="H55" s="22" t="n"/>
      <c r="I55" s="22" t="n"/>
      <c r="J55" s="22" t="n"/>
      <c r="K55" s="22" t="n"/>
      <c r="L55" s="12" t="n"/>
      <c r="M55" s="12" t="n"/>
      <c r="N55" s="22" t="n"/>
      <c r="O55" s="23" t="n"/>
      <c r="P55" s="20" t="n"/>
      <c r="Q55" s="20" t="n"/>
      <c r="R55" s="22">
        <f>IF(Q55="","",Q55-TODAY())</f>
        <v/>
      </c>
      <c r="S55" s="22">
        <f>IF(Q55="","-",IF(Q55&lt;TODAY(),"UEBERFAELLIG",IF(Q55-TODAY()&lt;=7,"DIESE WOCHE","ok")))</f>
        <v/>
      </c>
      <c r="T55" s="12" t="n"/>
      <c r="U55" s="22" t="n"/>
      <c r="V55" s="15" t="n"/>
      <c r="W55" s="12" t="n"/>
    </row>
    <row r="56">
      <c r="A56" s="22" t="n"/>
      <c r="B56" s="22" t="n"/>
      <c r="C56" s="22" t="n"/>
      <c r="D56" s="22" t="n"/>
      <c r="E56" s="22" t="n"/>
      <c r="F56" s="19" t="n"/>
      <c r="G56" s="22" t="n"/>
      <c r="H56" s="22" t="n"/>
      <c r="I56" s="22" t="n"/>
      <c r="J56" s="22" t="n"/>
      <c r="K56" s="22" t="n"/>
      <c r="L56" s="12" t="n"/>
      <c r="M56" s="12" t="n"/>
      <c r="N56" s="22" t="n"/>
      <c r="O56" s="23" t="n"/>
      <c r="P56" s="20" t="n"/>
      <c r="Q56" s="20" t="n"/>
      <c r="R56" s="22">
        <f>IF(Q56="","",Q56-TODAY())</f>
        <v/>
      </c>
      <c r="S56" s="22">
        <f>IF(Q56="","-",IF(Q56&lt;TODAY(),"UEBERFAELLIG",IF(Q56-TODAY()&lt;=7,"DIESE WOCHE","ok")))</f>
        <v/>
      </c>
      <c r="T56" s="12" t="n"/>
      <c r="U56" s="22" t="n"/>
      <c r="V56" s="15" t="n"/>
      <c r="W56" s="12" t="n"/>
    </row>
    <row r="57">
      <c r="A57" s="22" t="n"/>
      <c r="B57" s="22" t="n"/>
      <c r="C57" s="22" t="n"/>
      <c r="D57" s="22" t="n"/>
      <c r="E57" s="22" t="n"/>
      <c r="F57" s="19" t="n"/>
      <c r="G57" s="22" t="n"/>
      <c r="H57" s="22" t="n"/>
      <c r="I57" s="22" t="n"/>
      <c r="J57" s="22" t="n"/>
      <c r="K57" s="22" t="n"/>
      <c r="L57" s="12" t="n"/>
      <c r="M57" s="12" t="n"/>
      <c r="N57" s="22" t="n"/>
      <c r="O57" s="23" t="n"/>
      <c r="P57" s="20" t="n"/>
      <c r="Q57" s="20" t="n"/>
      <c r="R57" s="22">
        <f>IF(Q57="","",Q57-TODAY())</f>
        <v/>
      </c>
      <c r="S57" s="22">
        <f>IF(Q57="","-",IF(Q57&lt;TODAY(),"UEBERFAELLIG",IF(Q57-TODAY()&lt;=7,"DIESE WOCHE","ok")))</f>
        <v/>
      </c>
      <c r="T57" s="12" t="n"/>
      <c r="U57" s="22" t="n"/>
      <c r="V57" s="15" t="n"/>
      <c r="W57" s="12" t="n"/>
    </row>
    <row r="58">
      <c r="A58" s="22" t="n"/>
      <c r="B58" s="22" t="n"/>
      <c r="C58" s="22" t="n"/>
      <c r="D58" s="22" t="n"/>
      <c r="E58" s="22" t="n"/>
      <c r="F58" s="19" t="n"/>
      <c r="G58" s="22" t="n"/>
      <c r="H58" s="22" t="n"/>
      <c r="I58" s="22" t="n"/>
      <c r="J58" s="22" t="n"/>
      <c r="K58" s="22" t="n"/>
      <c r="L58" s="12" t="n"/>
      <c r="M58" s="12" t="n"/>
      <c r="N58" s="22" t="n"/>
      <c r="O58" s="23" t="n"/>
      <c r="P58" s="20" t="n"/>
      <c r="Q58" s="20" t="n"/>
      <c r="R58" s="22">
        <f>IF(Q58="","",Q58-TODAY())</f>
        <v/>
      </c>
      <c r="S58" s="22">
        <f>IF(Q58="","-",IF(Q58&lt;TODAY(),"UEBERFAELLIG",IF(Q58-TODAY()&lt;=7,"DIESE WOCHE","ok")))</f>
        <v/>
      </c>
      <c r="T58" s="12" t="n"/>
      <c r="U58" s="22" t="n"/>
      <c r="V58" s="15" t="n"/>
      <c r="W58" s="12" t="n"/>
    </row>
    <row r="59">
      <c r="A59" s="22" t="n"/>
      <c r="B59" s="22" t="n"/>
      <c r="C59" s="22" t="n"/>
      <c r="D59" s="22" t="n"/>
      <c r="E59" s="22" t="n"/>
      <c r="F59" s="19" t="n"/>
      <c r="G59" s="22" t="n"/>
      <c r="H59" s="22" t="n"/>
      <c r="I59" s="22" t="n"/>
      <c r="J59" s="22" t="n"/>
      <c r="K59" s="22" t="n"/>
      <c r="L59" s="12" t="n"/>
      <c r="M59" s="12" t="n"/>
      <c r="N59" s="22" t="n"/>
      <c r="O59" s="23" t="n"/>
      <c r="P59" s="20" t="n"/>
      <c r="Q59" s="20" t="n"/>
      <c r="R59" s="22">
        <f>IF(Q59="","",Q59-TODAY())</f>
        <v/>
      </c>
      <c r="S59" s="22">
        <f>IF(Q59="","-",IF(Q59&lt;TODAY(),"UEBERFAELLIG",IF(Q59-TODAY()&lt;=7,"DIESE WOCHE","ok")))</f>
        <v/>
      </c>
      <c r="T59" s="12" t="n"/>
      <c r="U59" s="22" t="n"/>
      <c r="V59" s="15" t="n"/>
      <c r="W59" s="12" t="n"/>
    </row>
    <row r="60">
      <c r="A60" s="22" t="n"/>
      <c r="B60" s="22" t="n"/>
      <c r="C60" s="22" t="n"/>
      <c r="D60" s="22" t="n"/>
      <c r="E60" s="22" t="n"/>
      <c r="F60" s="19" t="n"/>
      <c r="G60" s="22" t="n"/>
      <c r="H60" s="22" t="n"/>
      <c r="I60" s="22" t="n"/>
      <c r="J60" s="22" t="n"/>
      <c r="K60" s="22" t="n"/>
      <c r="L60" s="12" t="n"/>
      <c r="M60" s="12" t="n"/>
      <c r="N60" s="22" t="n"/>
      <c r="O60" s="23" t="n"/>
      <c r="P60" s="20" t="n"/>
      <c r="Q60" s="20" t="n"/>
      <c r="R60" s="22">
        <f>IF(Q60="","",Q60-TODAY())</f>
        <v/>
      </c>
      <c r="S60" s="22">
        <f>IF(Q60="","-",IF(Q60&lt;TODAY(),"UEBERFAELLIG",IF(Q60-TODAY()&lt;=7,"DIESE WOCHE","ok")))</f>
        <v/>
      </c>
      <c r="T60" s="12" t="n"/>
      <c r="U60" s="22" t="n"/>
      <c r="V60" s="15" t="n"/>
      <c r="W60" s="12" t="n"/>
    </row>
    <row r="61">
      <c r="A61" s="22" t="n"/>
      <c r="B61" s="22" t="n"/>
      <c r="C61" s="22" t="n"/>
      <c r="D61" s="22" t="n"/>
      <c r="E61" s="22" t="n"/>
      <c r="F61" s="19" t="n"/>
      <c r="G61" s="22" t="n"/>
      <c r="H61" s="22" t="n"/>
      <c r="I61" s="22" t="n"/>
      <c r="J61" s="22" t="n"/>
      <c r="K61" s="22" t="n"/>
      <c r="L61" s="12" t="n"/>
      <c r="M61" s="12" t="n"/>
      <c r="N61" s="22" t="n"/>
      <c r="O61" s="23" t="n"/>
      <c r="P61" s="20" t="n"/>
      <c r="Q61" s="20" t="n"/>
      <c r="R61" s="22">
        <f>IF(Q61="","",Q61-TODAY())</f>
        <v/>
      </c>
      <c r="S61" s="22">
        <f>IF(Q61="","-",IF(Q61&lt;TODAY(),"UEBERFAELLIG",IF(Q61-TODAY()&lt;=7,"DIESE WOCHE","ok")))</f>
        <v/>
      </c>
      <c r="T61" s="12" t="n"/>
      <c r="U61" s="22" t="n"/>
      <c r="V61" s="15" t="n"/>
      <c r="W61" s="12" t="n"/>
    </row>
    <row r="62">
      <c r="A62" s="22" t="n"/>
      <c r="B62" s="22" t="n"/>
      <c r="C62" s="22" t="n"/>
      <c r="D62" s="22" t="n"/>
      <c r="E62" s="22" t="n"/>
      <c r="F62" s="19" t="n"/>
      <c r="G62" s="22" t="n"/>
      <c r="H62" s="22" t="n"/>
      <c r="I62" s="22" t="n"/>
      <c r="J62" s="22" t="n"/>
      <c r="K62" s="22" t="n"/>
      <c r="L62" s="12" t="n"/>
      <c r="M62" s="12" t="n"/>
      <c r="N62" s="22" t="n"/>
      <c r="O62" s="23" t="n"/>
      <c r="P62" s="20" t="n"/>
      <c r="Q62" s="20" t="n"/>
      <c r="R62" s="22">
        <f>IF(Q62="","",Q62-TODAY())</f>
        <v/>
      </c>
      <c r="S62" s="22">
        <f>IF(Q62="","-",IF(Q62&lt;TODAY(),"UEBERFAELLIG",IF(Q62-TODAY()&lt;=7,"DIESE WOCHE","ok")))</f>
        <v/>
      </c>
      <c r="T62" s="12" t="n"/>
      <c r="U62" s="22" t="n"/>
      <c r="V62" s="15" t="n"/>
      <c r="W62" s="12" t="n"/>
    </row>
    <row r="63">
      <c r="A63" s="22" t="n"/>
      <c r="B63" s="22" t="n"/>
      <c r="C63" s="22" t="n"/>
      <c r="D63" s="22" t="n"/>
      <c r="E63" s="22" t="n"/>
      <c r="F63" s="19" t="n"/>
      <c r="G63" s="22" t="n"/>
      <c r="H63" s="22" t="n"/>
      <c r="I63" s="22" t="n"/>
      <c r="J63" s="22" t="n"/>
      <c r="K63" s="22" t="n"/>
      <c r="L63" s="12" t="n"/>
      <c r="M63" s="12" t="n"/>
      <c r="N63" s="22" t="n"/>
      <c r="O63" s="23" t="n"/>
      <c r="P63" s="20" t="n"/>
      <c r="Q63" s="20" t="n"/>
      <c r="R63" s="22">
        <f>IF(Q63="","",Q63-TODAY())</f>
        <v/>
      </c>
      <c r="S63" s="22">
        <f>IF(Q63="","-",IF(Q63&lt;TODAY(),"UEBERFAELLIG",IF(Q63-TODAY()&lt;=7,"DIESE WOCHE","ok")))</f>
        <v/>
      </c>
      <c r="T63" s="12" t="n"/>
      <c r="U63" s="22" t="n"/>
      <c r="V63" s="15" t="n"/>
      <c r="W63" s="12" t="n"/>
    </row>
    <row r="64">
      <c r="A64" s="22" t="n"/>
      <c r="B64" s="22" t="n"/>
      <c r="C64" s="22" t="n"/>
      <c r="D64" s="22" t="n"/>
      <c r="E64" s="22" t="n"/>
      <c r="F64" s="19" t="n"/>
      <c r="G64" s="22" t="n"/>
      <c r="H64" s="22" t="n"/>
      <c r="I64" s="22" t="n"/>
      <c r="J64" s="22" t="n"/>
      <c r="K64" s="22" t="n"/>
      <c r="L64" s="12" t="n"/>
      <c r="M64" s="12" t="n"/>
      <c r="N64" s="22" t="n"/>
      <c r="O64" s="23" t="n"/>
      <c r="P64" s="20" t="n"/>
      <c r="Q64" s="20" t="n"/>
      <c r="R64" s="22">
        <f>IF(Q64="","",Q64-TODAY())</f>
        <v/>
      </c>
      <c r="S64" s="22">
        <f>IF(Q64="","-",IF(Q64&lt;TODAY(),"UEBERFAELLIG",IF(Q64-TODAY()&lt;=7,"DIESE WOCHE","ok")))</f>
        <v/>
      </c>
      <c r="T64" s="12" t="n"/>
      <c r="U64" s="22" t="n"/>
      <c r="V64" s="15" t="n"/>
      <c r="W64" s="12" t="n"/>
    </row>
    <row r="65">
      <c r="A65" s="22" t="n"/>
      <c r="B65" s="22" t="n"/>
      <c r="C65" s="22" t="n"/>
      <c r="D65" s="22" t="n"/>
      <c r="E65" s="22" t="n"/>
      <c r="F65" s="19" t="n"/>
      <c r="G65" s="22" t="n"/>
      <c r="H65" s="22" t="n"/>
      <c r="I65" s="22" t="n"/>
      <c r="J65" s="22" t="n"/>
      <c r="K65" s="22" t="n"/>
      <c r="L65" s="12" t="n"/>
      <c r="M65" s="12" t="n"/>
      <c r="N65" s="22" t="n"/>
      <c r="O65" s="23" t="n"/>
      <c r="P65" s="20" t="n"/>
      <c r="Q65" s="20" t="n"/>
      <c r="R65" s="22">
        <f>IF(Q65="","",Q65-TODAY())</f>
        <v/>
      </c>
      <c r="S65" s="22">
        <f>IF(Q65="","-",IF(Q65&lt;TODAY(),"UEBERFAELLIG",IF(Q65-TODAY()&lt;=7,"DIESE WOCHE","ok")))</f>
        <v/>
      </c>
      <c r="T65" s="12" t="n"/>
      <c r="U65" s="22" t="n"/>
      <c r="V65" s="15" t="n"/>
      <c r="W65" s="12" t="n"/>
    </row>
    <row r="66">
      <c r="A66" s="22" t="n"/>
      <c r="B66" s="22" t="n"/>
      <c r="C66" s="22" t="n"/>
      <c r="D66" s="22" t="n"/>
      <c r="E66" s="22" t="n"/>
      <c r="F66" s="19" t="n"/>
      <c r="G66" s="22" t="n"/>
      <c r="H66" s="22" t="n"/>
      <c r="I66" s="22" t="n"/>
      <c r="J66" s="22" t="n"/>
      <c r="K66" s="22" t="n"/>
      <c r="L66" s="12" t="n"/>
      <c r="M66" s="12" t="n"/>
      <c r="N66" s="22" t="n"/>
      <c r="O66" s="23" t="n"/>
      <c r="P66" s="20" t="n"/>
      <c r="Q66" s="20" t="n"/>
      <c r="R66" s="22">
        <f>IF(Q66="","",Q66-TODAY())</f>
        <v/>
      </c>
      <c r="S66" s="22">
        <f>IF(Q66="","-",IF(Q66&lt;TODAY(),"UEBERFAELLIG",IF(Q66-TODAY()&lt;=7,"DIESE WOCHE","ok")))</f>
        <v/>
      </c>
      <c r="T66" s="12" t="n"/>
      <c r="U66" s="22" t="n"/>
      <c r="V66" s="15" t="n"/>
      <c r="W66" s="12" t="n"/>
    </row>
    <row r="67">
      <c r="A67" s="22" t="n"/>
      <c r="B67" s="22" t="n"/>
      <c r="C67" s="22" t="n"/>
      <c r="D67" s="22" t="n"/>
      <c r="E67" s="22" t="n"/>
      <c r="F67" s="19" t="n"/>
      <c r="G67" s="22" t="n"/>
      <c r="H67" s="22" t="n"/>
      <c r="I67" s="22" t="n"/>
      <c r="J67" s="22" t="n"/>
      <c r="K67" s="22" t="n"/>
      <c r="L67" s="12" t="n"/>
      <c r="M67" s="12" t="n"/>
      <c r="N67" s="22" t="n"/>
      <c r="O67" s="23" t="n"/>
      <c r="P67" s="20" t="n"/>
      <c r="Q67" s="20" t="n"/>
      <c r="R67" s="22">
        <f>IF(Q67="","",Q67-TODAY())</f>
        <v/>
      </c>
      <c r="S67" s="22">
        <f>IF(Q67="","-",IF(Q67&lt;TODAY(),"UEBERFAELLIG",IF(Q67-TODAY()&lt;=7,"DIESE WOCHE","ok")))</f>
        <v/>
      </c>
      <c r="T67" s="12" t="n"/>
      <c r="U67" s="22" t="n"/>
      <c r="V67" s="15" t="n"/>
      <c r="W67" s="12" t="n"/>
    </row>
    <row r="68">
      <c r="A68" s="22" t="n"/>
      <c r="B68" s="22" t="n"/>
      <c r="C68" s="22" t="n"/>
      <c r="D68" s="22" t="n"/>
      <c r="E68" s="22" t="n"/>
      <c r="F68" s="19" t="n"/>
      <c r="G68" s="22" t="n"/>
      <c r="H68" s="22" t="n"/>
      <c r="I68" s="22" t="n"/>
      <c r="J68" s="22" t="n"/>
      <c r="K68" s="22" t="n"/>
      <c r="L68" s="12" t="n"/>
      <c r="M68" s="12" t="n"/>
      <c r="N68" s="22" t="n"/>
      <c r="O68" s="23" t="n"/>
      <c r="P68" s="20" t="n"/>
      <c r="Q68" s="20" t="n"/>
      <c r="R68" s="22">
        <f>IF(Q68="","",Q68-TODAY())</f>
        <v/>
      </c>
      <c r="S68" s="22">
        <f>IF(Q68="","-",IF(Q68&lt;TODAY(),"UEBERFAELLIG",IF(Q68-TODAY()&lt;=7,"DIESE WOCHE","ok")))</f>
        <v/>
      </c>
      <c r="T68" s="12" t="n"/>
      <c r="U68" s="22" t="n"/>
      <c r="V68" s="15" t="n"/>
      <c r="W68" s="12" t="n"/>
    </row>
    <row r="69">
      <c r="A69" s="22" t="n"/>
      <c r="B69" s="22" t="n"/>
      <c r="C69" s="22" t="n"/>
      <c r="D69" s="22" t="n"/>
      <c r="E69" s="22" t="n"/>
      <c r="F69" s="19" t="n"/>
      <c r="G69" s="22" t="n"/>
      <c r="H69" s="22" t="n"/>
      <c r="I69" s="22" t="n"/>
      <c r="J69" s="22" t="n"/>
      <c r="K69" s="22" t="n"/>
      <c r="L69" s="12" t="n"/>
      <c r="M69" s="12" t="n"/>
      <c r="N69" s="22" t="n"/>
      <c r="O69" s="23" t="n"/>
      <c r="P69" s="20" t="n"/>
      <c r="Q69" s="20" t="n"/>
      <c r="R69" s="22">
        <f>IF(Q69="","",Q69-TODAY())</f>
        <v/>
      </c>
      <c r="S69" s="22">
        <f>IF(Q69="","-",IF(Q69&lt;TODAY(),"UEBERFAELLIG",IF(Q69-TODAY()&lt;=7,"DIESE WOCHE","ok")))</f>
        <v/>
      </c>
      <c r="T69" s="12" t="n"/>
      <c r="U69" s="22" t="n"/>
      <c r="V69" s="15" t="n"/>
      <c r="W69" s="12" t="n"/>
    </row>
    <row r="70">
      <c r="A70" s="22" t="n"/>
      <c r="B70" s="22" t="n"/>
      <c r="C70" s="22" t="n"/>
      <c r="D70" s="22" t="n"/>
      <c r="E70" s="22" t="n"/>
      <c r="F70" s="19" t="n"/>
      <c r="G70" s="22" t="n"/>
      <c r="H70" s="22" t="n"/>
      <c r="I70" s="22" t="n"/>
      <c r="J70" s="22" t="n"/>
      <c r="K70" s="22" t="n"/>
      <c r="L70" s="12" t="n"/>
      <c r="M70" s="12" t="n"/>
      <c r="N70" s="22" t="n"/>
      <c r="O70" s="23" t="n"/>
      <c r="P70" s="20" t="n"/>
      <c r="Q70" s="20" t="n"/>
      <c r="R70" s="22">
        <f>IF(Q70="","",Q70-TODAY())</f>
        <v/>
      </c>
      <c r="S70" s="22">
        <f>IF(Q70="","-",IF(Q70&lt;TODAY(),"UEBERFAELLIG",IF(Q70-TODAY()&lt;=7,"DIESE WOCHE","ok")))</f>
        <v/>
      </c>
      <c r="T70" s="12" t="n"/>
      <c r="U70" s="22" t="n"/>
      <c r="V70" s="15" t="n"/>
      <c r="W70" s="12" t="n"/>
    </row>
    <row r="71">
      <c r="A71" s="22" t="n"/>
      <c r="B71" s="22" t="n"/>
      <c r="C71" s="22" t="n"/>
      <c r="D71" s="22" t="n"/>
      <c r="E71" s="22" t="n"/>
      <c r="F71" s="19" t="n"/>
      <c r="G71" s="22" t="n"/>
      <c r="H71" s="22" t="n"/>
      <c r="I71" s="22" t="n"/>
      <c r="J71" s="22" t="n"/>
      <c r="K71" s="22" t="n"/>
      <c r="L71" s="12" t="n"/>
      <c r="M71" s="12" t="n"/>
      <c r="N71" s="22" t="n"/>
      <c r="O71" s="23" t="n"/>
      <c r="P71" s="20" t="n"/>
      <c r="Q71" s="20" t="n"/>
      <c r="R71" s="22">
        <f>IF(Q71="","",Q71-TODAY())</f>
        <v/>
      </c>
      <c r="S71" s="22">
        <f>IF(Q71="","-",IF(Q71&lt;TODAY(),"UEBERFAELLIG",IF(Q71-TODAY()&lt;=7,"DIESE WOCHE","ok")))</f>
        <v/>
      </c>
      <c r="T71" s="12" t="n"/>
      <c r="U71" s="22" t="n"/>
      <c r="V71" s="15" t="n"/>
      <c r="W71" s="12" t="n"/>
    </row>
    <row r="72">
      <c r="A72" s="22" t="n"/>
      <c r="B72" s="22" t="n"/>
      <c r="C72" s="22" t="n"/>
      <c r="D72" s="22" t="n"/>
      <c r="E72" s="22" t="n"/>
      <c r="F72" s="19" t="n"/>
      <c r="G72" s="22" t="n"/>
      <c r="H72" s="22" t="n"/>
      <c r="I72" s="22" t="n"/>
      <c r="J72" s="22" t="n"/>
      <c r="K72" s="22" t="n"/>
      <c r="L72" s="12" t="n"/>
      <c r="M72" s="12" t="n"/>
      <c r="N72" s="22" t="n"/>
      <c r="O72" s="23" t="n"/>
      <c r="P72" s="20" t="n"/>
      <c r="Q72" s="20" t="n"/>
      <c r="R72" s="22">
        <f>IF(Q72="","",Q72-TODAY())</f>
        <v/>
      </c>
      <c r="S72" s="22">
        <f>IF(Q72="","-",IF(Q72&lt;TODAY(),"UEBERFAELLIG",IF(Q72-TODAY()&lt;=7,"DIESE WOCHE","ok")))</f>
        <v/>
      </c>
      <c r="T72" s="12" t="n"/>
      <c r="U72" s="22" t="n"/>
      <c r="V72" s="15" t="n"/>
      <c r="W72" s="12" t="n"/>
    </row>
    <row r="73">
      <c r="A73" s="22" t="n"/>
      <c r="B73" s="22" t="n"/>
      <c r="C73" s="22" t="n"/>
      <c r="D73" s="22" t="n"/>
      <c r="E73" s="22" t="n"/>
      <c r="F73" s="19" t="n"/>
      <c r="G73" s="22" t="n"/>
      <c r="H73" s="22" t="n"/>
      <c r="I73" s="22" t="n"/>
      <c r="J73" s="22" t="n"/>
      <c r="K73" s="22" t="n"/>
      <c r="L73" s="12" t="n"/>
      <c r="M73" s="12" t="n"/>
      <c r="N73" s="22" t="n"/>
      <c r="O73" s="23" t="n"/>
      <c r="P73" s="20" t="n"/>
      <c r="Q73" s="20" t="n"/>
      <c r="R73" s="22">
        <f>IF(Q73="","",Q73-TODAY())</f>
        <v/>
      </c>
      <c r="S73" s="22">
        <f>IF(Q73="","-",IF(Q73&lt;TODAY(),"UEBERFAELLIG",IF(Q73-TODAY()&lt;=7,"DIESE WOCHE","ok")))</f>
        <v/>
      </c>
      <c r="T73" s="12" t="n"/>
      <c r="U73" s="22" t="n"/>
      <c r="V73" s="15" t="n"/>
      <c r="W73" s="12" t="n"/>
    </row>
    <row r="74">
      <c r="A74" s="22" t="n"/>
      <c r="B74" s="22" t="n"/>
      <c r="C74" s="22" t="n"/>
      <c r="D74" s="22" t="n"/>
      <c r="E74" s="22" t="n"/>
      <c r="F74" s="19" t="n"/>
      <c r="G74" s="22" t="n"/>
      <c r="H74" s="22" t="n"/>
      <c r="I74" s="22" t="n"/>
      <c r="J74" s="22" t="n"/>
      <c r="K74" s="22" t="n"/>
      <c r="L74" s="12" t="n"/>
      <c r="M74" s="12" t="n"/>
      <c r="N74" s="22" t="n"/>
      <c r="O74" s="23" t="n"/>
      <c r="P74" s="20" t="n"/>
      <c r="Q74" s="20" t="n"/>
      <c r="R74" s="22">
        <f>IF(Q74="","",Q74-TODAY())</f>
        <v/>
      </c>
      <c r="S74" s="22">
        <f>IF(Q74="","-",IF(Q74&lt;TODAY(),"UEBERFAELLIG",IF(Q74-TODAY()&lt;=7,"DIESE WOCHE","ok")))</f>
        <v/>
      </c>
      <c r="T74" s="12" t="n"/>
      <c r="U74" s="22" t="n"/>
      <c r="V74" s="15" t="n"/>
      <c r="W74" s="12" t="n"/>
    </row>
    <row r="75">
      <c r="A75" s="22" t="n"/>
      <c r="B75" s="22" t="n"/>
      <c r="C75" s="22" t="n"/>
      <c r="D75" s="22" t="n"/>
      <c r="E75" s="22" t="n"/>
      <c r="F75" s="19" t="n"/>
      <c r="G75" s="22" t="n"/>
      <c r="H75" s="22" t="n"/>
      <c r="I75" s="22" t="n"/>
      <c r="J75" s="22" t="n"/>
      <c r="K75" s="22" t="n"/>
      <c r="L75" s="12" t="n"/>
      <c r="M75" s="12" t="n"/>
      <c r="N75" s="22" t="n"/>
      <c r="O75" s="23" t="n"/>
      <c r="P75" s="20" t="n"/>
      <c r="Q75" s="20" t="n"/>
      <c r="R75" s="22">
        <f>IF(Q75="","",Q75-TODAY())</f>
        <v/>
      </c>
      <c r="S75" s="22">
        <f>IF(Q75="","-",IF(Q75&lt;TODAY(),"UEBERFAELLIG",IF(Q75-TODAY()&lt;=7,"DIESE WOCHE","ok")))</f>
        <v/>
      </c>
      <c r="T75" s="12" t="n"/>
      <c r="U75" s="22" t="n"/>
      <c r="V75" s="15" t="n"/>
      <c r="W75" s="12" t="n"/>
    </row>
    <row r="76">
      <c r="A76" s="22" t="n"/>
      <c r="B76" s="22" t="n"/>
      <c r="C76" s="22" t="n"/>
      <c r="D76" s="22" t="n"/>
      <c r="E76" s="22" t="n"/>
      <c r="F76" s="19" t="n"/>
      <c r="G76" s="22" t="n"/>
      <c r="H76" s="22" t="n"/>
      <c r="I76" s="22" t="n"/>
      <c r="J76" s="22" t="n"/>
      <c r="K76" s="22" t="n"/>
      <c r="L76" s="12" t="n"/>
      <c r="M76" s="12" t="n"/>
      <c r="N76" s="22" t="n"/>
      <c r="O76" s="23" t="n"/>
      <c r="P76" s="20" t="n"/>
      <c r="Q76" s="20" t="n"/>
      <c r="R76" s="22">
        <f>IF(Q76="","",Q76-TODAY())</f>
        <v/>
      </c>
      <c r="S76" s="22">
        <f>IF(Q76="","-",IF(Q76&lt;TODAY(),"UEBERFAELLIG",IF(Q76-TODAY()&lt;=7,"DIESE WOCHE","ok")))</f>
        <v/>
      </c>
      <c r="T76" s="12" t="n"/>
      <c r="U76" s="22" t="n"/>
      <c r="V76" s="15" t="n"/>
      <c r="W76" s="12" t="n"/>
    </row>
    <row r="77">
      <c r="A77" s="22" t="n"/>
      <c r="B77" s="22" t="n"/>
      <c r="C77" s="22" t="n"/>
      <c r="D77" s="22" t="n"/>
      <c r="E77" s="22" t="n"/>
      <c r="F77" s="19" t="n"/>
      <c r="G77" s="22" t="n"/>
      <c r="H77" s="22" t="n"/>
      <c r="I77" s="22" t="n"/>
      <c r="J77" s="22" t="n"/>
      <c r="K77" s="22" t="n"/>
      <c r="L77" s="12" t="n"/>
      <c r="M77" s="12" t="n"/>
      <c r="N77" s="22" t="n"/>
      <c r="O77" s="23" t="n"/>
      <c r="P77" s="20" t="n"/>
      <c r="Q77" s="20" t="n"/>
      <c r="R77" s="22">
        <f>IF(Q77="","",Q77-TODAY())</f>
        <v/>
      </c>
      <c r="S77" s="22">
        <f>IF(Q77="","-",IF(Q77&lt;TODAY(),"UEBERFAELLIG",IF(Q77-TODAY()&lt;=7,"DIESE WOCHE","ok")))</f>
        <v/>
      </c>
      <c r="T77" s="12" t="n"/>
      <c r="U77" s="22" t="n"/>
      <c r="V77" s="15" t="n"/>
      <c r="W77" s="12" t="n"/>
    </row>
    <row r="78">
      <c r="A78" s="22" t="n"/>
      <c r="B78" s="22" t="n"/>
      <c r="C78" s="22" t="n"/>
      <c r="D78" s="22" t="n"/>
      <c r="E78" s="22" t="n"/>
      <c r="F78" s="19" t="n"/>
      <c r="G78" s="22" t="n"/>
      <c r="H78" s="22" t="n"/>
      <c r="I78" s="22" t="n"/>
      <c r="J78" s="22" t="n"/>
      <c r="K78" s="22" t="n"/>
      <c r="L78" s="12" t="n"/>
      <c r="M78" s="12" t="n"/>
      <c r="N78" s="22" t="n"/>
      <c r="O78" s="23" t="n"/>
      <c r="P78" s="20" t="n"/>
      <c r="Q78" s="20" t="n"/>
      <c r="R78" s="22">
        <f>IF(Q78="","",Q78-TODAY())</f>
        <v/>
      </c>
      <c r="S78" s="22">
        <f>IF(Q78="","-",IF(Q78&lt;TODAY(),"UEBERFAELLIG",IF(Q78-TODAY()&lt;=7,"DIESE WOCHE","ok")))</f>
        <v/>
      </c>
      <c r="T78" s="12" t="n"/>
      <c r="U78" s="22" t="n"/>
      <c r="V78" s="15" t="n"/>
      <c r="W78" s="12" t="n"/>
    </row>
    <row r="79">
      <c r="A79" s="22" t="n"/>
      <c r="B79" s="22" t="n"/>
      <c r="C79" s="22" t="n"/>
      <c r="D79" s="22" t="n"/>
      <c r="E79" s="22" t="n"/>
      <c r="F79" s="19" t="n"/>
      <c r="G79" s="22" t="n"/>
      <c r="H79" s="22" t="n"/>
      <c r="I79" s="22" t="n"/>
      <c r="J79" s="22" t="n"/>
      <c r="K79" s="22" t="n"/>
      <c r="L79" s="12" t="n"/>
      <c r="M79" s="12" t="n"/>
      <c r="N79" s="22" t="n"/>
      <c r="O79" s="23" t="n"/>
      <c r="P79" s="20" t="n"/>
      <c r="Q79" s="20" t="n"/>
      <c r="R79" s="22">
        <f>IF(Q79="","",Q79-TODAY())</f>
        <v/>
      </c>
      <c r="S79" s="22">
        <f>IF(Q79="","-",IF(Q79&lt;TODAY(),"UEBERFAELLIG",IF(Q79-TODAY()&lt;=7,"DIESE WOCHE","ok")))</f>
        <v/>
      </c>
      <c r="T79" s="12" t="n"/>
      <c r="U79" s="22" t="n"/>
      <c r="V79" s="15" t="n"/>
      <c r="W79" s="12" t="n"/>
    </row>
    <row r="80">
      <c r="A80" s="22" t="n"/>
      <c r="B80" s="22" t="n"/>
      <c r="C80" s="22" t="n"/>
      <c r="D80" s="22" t="n"/>
      <c r="E80" s="22" t="n"/>
      <c r="F80" s="19" t="n"/>
      <c r="G80" s="22" t="n"/>
      <c r="H80" s="22" t="n"/>
      <c r="I80" s="22" t="n"/>
      <c r="J80" s="22" t="n"/>
      <c r="K80" s="22" t="n"/>
      <c r="L80" s="12" t="n"/>
      <c r="M80" s="12" t="n"/>
      <c r="N80" s="22" t="n"/>
      <c r="O80" s="23" t="n"/>
      <c r="P80" s="20" t="n"/>
      <c r="Q80" s="20" t="n"/>
      <c r="R80" s="22">
        <f>IF(Q80="","",Q80-TODAY())</f>
        <v/>
      </c>
      <c r="S80" s="22">
        <f>IF(Q80="","-",IF(Q80&lt;TODAY(),"UEBERFAELLIG",IF(Q80-TODAY()&lt;=7,"DIESE WOCHE","ok")))</f>
        <v/>
      </c>
      <c r="T80" s="12" t="n"/>
      <c r="U80" s="22" t="n"/>
      <c r="V80" s="15" t="n"/>
      <c r="W80" s="12" t="n"/>
    </row>
    <row r="81">
      <c r="A81" s="22" t="n"/>
      <c r="B81" s="22" t="n"/>
      <c r="C81" s="22" t="n"/>
      <c r="D81" s="22" t="n"/>
      <c r="E81" s="22" t="n"/>
      <c r="F81" s="19" t="n"/>
      <c r="G81" s="22" t="n"/>
      <c r="H81" s="22" t="n"/>
      <c r="I81" s="22" t="n"/>
      <c r="J81" s="22" t="n"/>
      <c r="K81" s="22" t="n"/>
      <c r="L81" s="12" t="n"/>
      <c r="M81" s="12" t="n"/>
      <c r="N81" s="22" t="n"/>
      <c r="O81" s="23" t="n"/>
      <c r="P81" s="20" t="n"/>
      <c r="Q81" s="20" t="n"/>
      <c r="R81" s="22">
        <f>IF(Q81="","",Q81-TODAY())</f>
        <v/>
      </c>
      <c r="S81" s="22">
        <f>IF(Q81="","-",IF(Q81&lt;TODAY(),"UEBERFAELLIG",IF(Q81-TODAY()&lt;=7,"DIESE WOCHE","ok")))</f>
        <v/>
      </c>
      <c r="T81" s="12" t="n"/>
      <c r="U81" s="22" t="n"/>
      <c r="V81" s="15" t="n"/>
      <c r="W81" s="12" t="n"/>
    </row>
    <row r="82">
      <c r="A82" s="22" t="n"/>
      <c r="B82" s="22" t="n"/>
      <c r="C82" s="22" t="n"/>
      <c r="D82" s="22" t="n"/>
      <c r="E82" s="22" t="n"/>
      <c r="F82" s="19" t="n"/>
      <c r="G82" s="22" t="n"/>
      <c r="H82" s="22" t="n"/>
      <c r="I82" s="22" t="n"/>
      <c r="J82" s="22" t="n"/>
      <c r="K82" s="22" t="n"/>
      <c r="L82" s="12" t="n"/>
      <c r="M82" s="12" t="n"/>
      <c r="N82" s="22" t="n"/>
      <c r="O82" s="23" t="n"/>
      <c r="P82" s="20" t="n"/>
      <c r="Q82" s="20" t="n"/>
      <c r="R82" s="22">
        <f>IF(Q82="","",Q82-TODAY())</f>
        <v/>
      </c>
      <c r="S82" s="22">
        <f>IF(Q82="","-",IF(Q82&lt;TODAY(),"UEBERFAELLIG",IF(Q82-TODAY()&lt;=7,"DIESE WOCHE","ok")))</f>
        <v/>
      </c>
      <c r="T82" s="12" t="n"/>
      <c r="U82" s="22" t="n"/>
      <c r="V82" s="15" t="n"/>
      <c r="W82" s="12" t="n"/>
    </row>
    <row r="83">
      <c r="A83" s="22" t="n"/>
      <c r="B83" s="22" t="n"/>
      <c r="C83" s="22" t="n"/>
      <c r="D83" s="22" t="n"/>
      <c r="E83" s="22" t="n"/>
      <c r="F83" s="19" t="n"/>
      <c r="G83" s="22" t="n"/>
      <c r="H83" s="22" t="n"/>
      <c r="I83" s="22" t="n"/>
      <c r="J83" s="22" t="n"/>
      <c r="K83" s="22" t="n"/>
      <c r="L83" s="12" t="n"/>
      <c r="M83" s="12" t="n"/>
      <c r="N83" s="22" t="n"/>
      <c r="O83" s="23" t="n"/>
      <c r="P83" s="20" t="n"/>
      <c r="Q83" s="20" t="n"/>
      <c r="R83" s="22">
        <f>IF(Q83="","",Q83-TODAY())</f>
        <v/>
      </c>
      <c r="S83" s="22">
        <f>IF(Q83="","-",IF(Q83&lt;TODAY(),"UEBERFAELLIG",IF(Q83-TODAY()&lt;=7,"DIESE WOCHE","ok")))</f>
        <v/>
      </c>
      <c r="T83" s="12" t="n"/>
      <c r="U83" s="22" t="n"/>
      <c r="V83" s="15" t="n"/>
      <c r="W83" s="12" t="n"/>
    </row>
    <row r="84">
      <c r="A84" s="22" t="n"/>
      <c r="B84" s="22" t="n"/>
      <c r="C84" s="22" t="n"/>
      <c r="D84" s="22" t="n"/>
      <c r="E84" s="22" t="n"/>
      <c r="F84" s="19" t="n"/>
      <c r="G84" s="22" t="n"/>
      <c r="H84" s="22" t="n"/>
      <c r="I84" s="22" t="n"/>
      <c r="J84" s="22" t="n"/>
      <c r="K84" s="22" t="n"/>
      <c r="L84" s="12" t="n"/>
      <c r="M84" s="12" t="n"/>
      <c r="N84" s="22" t="n"/>
      <c r="O84" s="23" t="n"/>
      <c r="P84" s="20" t="n"/>
      <c r="Q84" s="20" t="n"/>
      <c r="R84" s="22">
        <f>IF(Q84="","",Q84-TODAY())</f>
        <v/>
      </c>
      <c r="S84" s="22">
        <f>IF(Q84="","-",IF(Q84&lt;TODAY(),"UEBERFAELLIG",IF(Q84-TODAY()&lt;=7,"DIESE WOCHE","ok")))</f>
        <v/>
      </c>
      <c r="T84" s="12" t="n"/>
      <c r="U84" s="22" t="n"/>
      <c r="V84" s="15" t="n"/>
      <c r="W84" s="12" t="n"/>
    </row>
    <row r="85">
      <c r="A85" s="22" t="n"/>
      <c r="B85" s="22" t="n"/>
      <c r="C85" s="22" t="n"/>
      <c r="D85" s="22" t="n"/>
      <c r="E85" s="22" t="n"/>
      <c r="F85" s="19" t="n"/>
      <c r="G85" s="22" t="n"/>
      <c r="H85" s="22" t="n"/>
      <c r="I85" s="22" t="n"/>
      <c r="J85" s="22" t="n"/>
      <c r="K85" s="22" t="n"/>
      <c r="L85" s="12" t="n"/>
      <c r="M85" s="12" t="n"/>
      <c r="N85" s="22" t="n"/>
      <c r="O85" s="23" t="n"/>
      <c r="P85" s="20" t="n"/>
      <c r="Q85" s="20" t="n"/>
      <c r="R85" s="22">
        <f>IF(Q85="","",Q85-TODAY())</f>
        <v/>
      </c>
      <c r="S85" s="22">
        <f>IF(Q85="","-",IF(Q85&lt;TODAY(),"UEBERFAELLIG",IF(Q85-TODAY()&lt;=7,"DIESE WOCHE","ok")))</f>
        <v/>
      </c>
      <c r="T85" s="12" t="n"/>
      <c r="U85" s="22" t="n"/>
      <c r="V85" s="15" t="n"/>
      <c r="W85" s="12" t="n"/>
    </row>
    <row r="86">
      <c r="A86" s="22" t="n"/>
      <c r="B86" s="22" t="n"/>
      <c r="C86" s="22" t="n"/>
      <c r="D86" s="22" t="n"/>
      <c r="E86" s="22" t="n"/>
      <c r="F86" s="19" t="n"/>
      <c r="G86" s="22" t="n"/>
      <c r="H86" s="22" t="n"/>
      <c r="I86" s="22" t="n"/>
      <c r="J86" s="22" t="n"/>
      <c r="K86" s="22" t="n"/>
      <c r="L86" s="12" t="n"/>
      <c r="M86" s="12" t="n"/>
      <c r="N86" s="22" t="n"/>
      <c r="O86" s="23" t="n"/>
      <c r="P86" s="20" t="n"/>
      <c r="Q86" s="20" t="n"/>
      <c r="R86" s="22">
        <f>IF(Q86="","",Q86-TODAY())</f>
        <v/>
      </c>
      <c r="S86" s="22">
        <f>IF(Q86="","-",IF(Q86&lt;TODAY(),"UEBERFAELLIG",IF(Q86-TODAY()&lt;=7,"DIESE WOCHE","ok")))</f>
        <v/>
      </c>
      <c r="T86" s="12" t="n"/>
      <c r="U86" s="22" t="n"/>
      <c r="V86" s="15" t="n"/>
      <c r="W86" s="12" t="n"/>
    </row>
    <row r="87">
      <c r="A87" s="22" t="n"/>
      <c r="B87" s="22" t="n"/>
      <c r="C87" s="22" t="n"/>
      <c r="D87" s="22" t="n"/>
      <c r="E87" s="22" t="n"/>
      <c r="F87" s="19" t="n"/>
      <c r="G87" s="22" t="n"/>
      <c r="H87" s="22" t="n"/>
      <c r="I87" s="22" t="n"/>
      <c r="J87" s="22" t="n"/>
      <c r="K87" s="22" t="n"/>
      <c r="L87" s="12" t="n"/>
      <c r="M87" s="12" t="n"/>
      <c r="N87" s="22" t="n"/>
      <c r="O87" s="23" t="n"/>
      <c r="P87" s="20" t="n"/>
      <c r="Q87" s="20" t="n"/>
      <c r="R87" s="22">
        <f>IF(Q87="","",Q87-TODAY())</f>
        <v/>
      </c>
      <c r="S87" s="22">
        <f>IF(Q87="","-",IF(Q87&lt;TODAY(),"UEBERFAELLIG",IF(Q87-TODAY()&lt;=7,"DIESE WOCHE","ok")))</f>
        <v/>
      </c>
      <c r="T87" s="12" t="n"/>
      <c r="U87" s="22" t="n"/>
      <c r="V87" s="15" t="n"/>
      <c r="W87" s="12" t="n"/>
    </row>
    <row r="88">
      <c r="A88" s="22" t="n"/>
      <c r="B88" s="22" t="n"/>
      <c r="C88" s="22" t="n"/>
      <c r="D88" s="22" t="n"/>
      <c r="E88" s="22" t="n"/>
      <c r="F88" s="19" t="n"/>
      <c r="G88" s="22" t="n"/>
      <c r="H88" s="22" t="n"/>
      <c r="I88" s="22" t="n"/>
      <c r="J88" s="22" t="n"/>
      <c r="K88" s="22" t="n"/>
      <c r="L88" s="12" t="n"/>
      <c r="M88" s="12" t="n"/>
      <c r="N88" s="22" t="n"/>
      <c r="O88" s="23" t="n"/>
      <c r="P88" s="20" t="n"/>
      <c r="Q88" s="20" t="n"/>
      <c r="R88" s="22">
        <f>IF(Q88="","",Q88-TODAY())</f>
        <v/>
      </c>
      <c r="S88" s="22">
        <f>IF(Q88="","-",IF(Q88&lt;TODAY(),"UEBERFAELLIG",IF(Q88-TODAY()&lt;=7,"DIESE WOCHE","ok")))</f>
        <v/>
      </c>
      <c r="T88" s="12" t="n"/>
      <c r="U88" s="22" t="n"/>
      <c r="V88" s="15" t="n"/>
      <c r="W88" s="12" t="n"/>
    </row>
    <row r="89">
      <c r="A89" s="22" t="n"/>
      <c r="B89" s="22" t="n"/>
      <c r="C89" s="22" t="n"/>
      <c r="D89" s="22" t="n"/>
      <c r="E89" s="22" t="n"/>
      <c r="F89" s="19" t="n"/>
      <c r="G89" s="22" t="n"/>
      <c r="H89" s="22" t="n"/>
      <c r="I89" s="22" t="n"/>
      <c r="J89" s="22" t="n"/>
      <c r="K89" s="22" t="n"/>
      <c r="L89" s="12" t="n"/>
      <c r="M89" s="12" t="n"/>
      <c r="N89" s="22" t="n"/>
      <c r="O89" s="23" t="n"/>
      <c r="P89" s="20" t="n"/>
      <c r="Q89" s="20" t="n"/>
      <c r="R89" s="22">
        <f>IF(Q89="","",Q89-TODAY())</f>
        <v/>
      </c>
      <c r="S89" s="22">
        <f>IF(Q89="","-",IF(Q89&lt;TODAY(),"UEBERFAELLIG",IF(Q89-TODAY()&lt;=7,"DIESE WOCHE","ok")))</f>
        <v/>
      </c>
      <c r="T89" s="12" t="n"/>
      <c r="U89" s="22" t="n"/>
      <c r="V89" s="15" t="n"/>
      <c r="W89" s="12" t="n"/>
    </row>
    <row r="90">
      <c r="A90" s="22" t="n"/>
      <c r="B90" s="22" t="n"/>
      <c r="C90" s="22" t="n"/>
      <c r="D90" s="22" t="n"/>
      <c r="E90" s="22" t="n"/>
      <c r="F90" s="19" t="n"/>
      <c r="G90" s="22" t="n"/>
      <c r="H90" s="22" t="n"/>
      <c r="I90" s="22" t="n"/>
      <c r="J90" s="22" t="n"/>
      <c r="K90" s="22" t="n"/>
      <c r="L90" s="12" t="n"/>
      <c r="M90" s="12" t="n"/>
      <c r="N90" s="22" t="n"/>
      <c r="O90" s="23" t="n"/>
      <c r="P90" s="20" t="n"/>
      <c r="Q90" s="20" t="n"/>
      <c r="R90" s="22">
        <f>IF(Q90="","",Q90-TODAY())</f>
        <v/>
      </c>
      <c r="S90" s="22">
        <f>IF(Q90="","-",IF(Q90&lt;TODAY(),"UEBERFAELLIG",IF(Q90-TODAY()&lt;=7,"DIESE WOCHE","ok")))</f>
        <v/>
      </c>
      <c r="T90" s="12" t="n"/>
      <c r="U90" s="22" t="n"/>
      <c r="V90" s="15" t="n"/>
      <c r="W90" s="12" t="n"/>
    </row>
    <row r="91">
      <c r="A91" s="22" t="n"/>
      <c r="B91" s="22" t="n"/>
      <c r="C91" s="22" t="n"/>
      <c r="D91" s="22" t="n"/>
      <c r="E91" s="22" t="n"/>
      <c r="F91" s="19" t="n"/>
      <c r="G91" s="22" t="n"/>
      <c r="H91" s="22" t="n"/>
      <c r="I91" s="22" t="n"/>
      <c r="J91" s="22" t="n"/>
      <c r="K91" s="22" t="n"/>
      <c r="L91" s="12" t="n"/>
      <c r="M91" s="12" t="n"/>
      <c r="N91" s="22" t="n"/>
      <c r="O91" s="23" t="n"/>
      <c r="P91" s="20" t="n"/>
      <c r="Q91" s="20" t="n"/>
      <c r="R91" s="22">
        <f>IF(Q91="","",Q91-TODAY())</f>
        <v/>
      </c>
      <c r="S91" s="22">
        <f>IF(Q91="","-",IF(Q91&lt;TODAY(),"UEBERFAELLIG",IF(Q91-TODAY()&lt;=7,"DIESE WOCHE","ok")))</f>
        <v/>
      </c>
      <c r="T91" s="12" t="n"/>
      <c r="U91" s="22" t="n"/>
      <c r="V91" s="15" t="n"/>
      <c r="W91" s="12" t="n"/>
    </row>
    <row r="92">
      <c r="A92" s="22" t="n"/>
      <c r="B92" s="22" t="n"/>
      <c r="C92" s="22" t="n"/>
      <c r="D92" s="22" t="n"/>
      <c r="E92" s="22" t="n"/>
      <c r="F92" s="19" t="n"/>
      <c r="G92" s="22" t="n"/>
      <c r="H92" s="22" t="n"/>
      <c r="I92" s="22" t="n"/>
      <c r="J92" s="22" t="n"/>
      <c r="K92" s="22" t="n"/>
      <c r="L92" s="12" t="n"/>
      <c r="M92" s="12" t="n"/>
      <c r="N92" s="22" t="n"/>
      <c r="O92" s="23" t="n"/>
      <c r="P92" s="20" t="n"/>
      <c r="Q92" s="20" t="n"/>
      <c r="R92" s="22">
        <f>IF(Q92="","",Q92-TODAY())</f>
        <v/>
      </c>
      <c r="S92" s="22">
        <f>IF(Q92="","-",IF(Q92&lt;TODAY(),"UEBERFAELLIG",IF(Q92-TODAY()&lt;=7,"DIESE WOCHE","ok")))</f>
        <v/>
      </c>
      <c r="T92" s="12" t="n"/>
      <c r="U92" s="22" t="n"/>
      <c r="V92" s="15" t="n"/>
      <c r="W92" s="12" t="n"/>
    </row>
    <row r="93">
      <c r="A93" s="22" t="n"/>
      <c r="B93" s="22" t="n"/>
      <c r="C93" s="22" t="n"/>
      <c r="D93" s="22" t="n"/>
      <c r="E93" s="22" t="n"/>
      <c r="F93" s="19" t="n"/>
      <c r="G93" s="22" t="n"/>
      <c r="H93" s="22" t="n"/>
      <c r="I93" s="22" t="n"/>
      <c r="J93" s="22" t="n"/>
      <c r="K93" s="22" t="n"/>
      <c r="L93" s="12" t="n"/>
      <c r="M93" s="12" t="n"/>
      <c r="N93" s="22" t="n"/>
      <c r="O93" s="23" t="n"/>
      <c r="P93" s="20" t="n"/>
      <c r="Q93" s="20" t="n"/>
      <c r="R93" s="22">
        <f>IF(Q93="","",Q93-TODAY())</f>
        <v/>
      </c>
      <c r="S93" s="22">
        <f>IF(Q93="","-",IF(Q93&lt;TODAY(),"UEBERFAELLIG",IF(Q93-TODAY()&lt;=7,"DIESE WOCHE","ok")))</f>
        <v/>
      </c>
      <c r="T93" s="12" t="n"/>
      <c r="U93" s="22" t="n"/>
      <c r="V93" s="15" t="n"/>
      <c r="W93" s="12" t="n"/>
    </row>
    <row r="94">
      <c r="A94" s="22" t="n"/>
      <c r="B94" s="22" t="n"/>
      <c r="C94" s="22" t="n"/>
      <c r="D94" s="22" t="n"/>
      <c r="E94" s="22" t="n"/>
      <c r="F94" s="19" t="n"/>
      <c r="G94" s="22" t="n"/>
      <c r="H94" s="22" t="n"/>
      <c r="I94" s="22" t="n"/>
      <c r="J94" s="22" t="n"/>
      <c r="K94" s="22" t="n"/>
      <c r="L94" s="12" t="n"/>
      <c r="M94" s="12" t="n"/>
      <c r="N94" s="22" t="n"/>
      <c r="O94" s="23" t="n"/>
      <c r="P94" s="20" t="n"/>
      <c r="Q94" s="20" t="n"/>
      <c r="R94" s="22">
        <f>IF(Q94="","",Q94-TODAY())</f>
        <v/>
      </c>
      <c r="S94" s="22">
        <f>IF(Q94="","-",IF(Q94&lt;TODAY(),"UEBERFAELLIG",IF(Q94-TODAY()&lt;=7,"DIESE WOCHE","ok")))</f>
        <v/>
      </c>
      <c r="T94" s="12" t="n"/>
      <c r="U94" s="22" t="n"/>
      <c r="V94" s="15" t="n"/>
      <c r="W94" s="12" t="n"/>
    </row>
    <row r="95">
      <c r="A95" s="22" t="n"/>
      <c r="B95" s="22" t="n"/>
      <c r="C95" s="22" t="n"/>
      <c r="D95" s="22" t="n"/>
      <c r="E95" s="22" t="n"/>
      <c r="F95" s="19" t="n"/>
      <c r="G95" s="22" t="n"/>
      <c r="H95" s="22" t="n"/>
      <c r="I95" s="22" t="n"/>
      <c r="J95" s="22" t="n"/>
      <c r="K95" s="22" t="n"/>
      <c r="L95" s="12" t="n"/>
      <c r="M95" s="12" t="n"/>
      <c r="N95" s="22" t="n"/>
      <c r="O95" s="23" t="n"/>
      <c r="P95" s="20" t="n"/>
      <c r="Q95" s="20" t="n"/>
      <c r="R95" s="22">
        <f>IF(Q95="","",Q95-TODAY())</f>
        <v/>
      </c>
      <c r="S95" s="22">
        <f>IF(Q95="","-",IF(Q95&lt;TODAY(),"UEBERFAELLIG",IF(Q95-TODAY()&lt;=7,"DIESE WOCHE","ok")))</f>
        <v/>
      </c>
      <c r="T95" s="12" t="n"/>
      <c r="U95" s="22" t="n"/>
      <c r="V95" s="15" t="n"/>
      <c r="W95" s="12" t="n"/>
    </row>
    <row r="96">
      <c r="A96" s="22" t="n"/>
      <c r="B96" s="22" t="n"/>
      <c r="C96" s="22" t="n"/>
      <c r="D96" s="22" t="n"/>
      <c r="E96" s="22" t="n"/>
      <c r="F96" s="19" t="n"/>
      <c r="G96" s="22" t="n"/>
      <c r="H96" s="22" t="n"/>
      <c r="I96" s="22" t="n"/>
      <c r="J96" s="22" t="n"/>
      <c r="K96" s="22" t="n"/>
      <c r="L96" s="12" t="n"/>
      <c r="M96" s="12" t="n"/>
      <c r="N96" s="22" t="n"/>
      <c r="O96" s="23" t="n"/>
      <c r="P96" s="20" t="n"/>
      <c r="Q96" s="20" t="n"/>
      <c r="R96" s="22">
        <f>IF(Q96="","",Q96-TODAY())</f>
        <v/>
      </c>
      <c r="S96" s="22">
        <f>IF(Q96="","-",IF(Q96&lt;TODAY(),"UEBERFAELLIG",IF(Q96-TODAY()&lt;=7,"DIESE WOCHE","ok")))</f>
        <v/>
      </c>
      <c r="T96" s="12" t="n"/>
      <c r="U96" s="22" t="n"/>
      <c r="V96" s="15" t="n"/>
      <c r="W96" s="12" t="n"/>
    </row>
    <row r="97">
      <c r="A97" s="22" t="n"/>
      <c r="B97" s="22" t="n"/>
      <c r="C97" s="22" t="n"/>
      <c r="D97" s="22" t="n"/>
      <c r="E97" s="22" t="n"/>
      <c r="F97" s="19" t="n"/>
      <c r="G97" s="22" t="n"/>
      <c r="H97" s="22" t="n"/>
      <c r="I97" s="22" t="n"/>
      <c r="J97" s="22" t="n"/>
      <c r="K97" s="22" t="n"/>
      <c r="L97" s="12" t="n"/>
      <c r="M97" s="12" t="n"/>
      <c r="N97" s="22" t="n"/>
      <c r="O97" s="23" t="n"/>
      <c r="P97" s="20" t="n"/>
      <c r="Q97" s="20" t="n"/>
      <c r="R97" s="22">
        <f>IF(Q97="","",Q97-TODAY())</f>
        <v/>
      </c>
      <c r="S97" s="22">
        <f>IF(Q97="","-",IF(Q97&lt;TODAY(),"UEBERFAELLIG",IF(Q97-TODAY()&lt;=7,"DIESE WOCHE","ok")))</f>
        <v/>
      </c>
      <c r="T97" s="12" t="n"/>
      <c r="U97" s="22" t="n"/>
      <c r="V97" s="15" t="n"/>
      <c r="W97" s="12" t="n"/>
    </row>
    <row r="98">
      <c r="A98" s="22" t="n"/>
      <c r="B98" s="22" t="n"/>
      <c r="C98" s="22" t="n"/>
      <c r="D98" s="22" t="n"/>
      <c r="E98" s="22" t="n"/>
      <c r="F98" s="19" t="n"/>
      <c r="G98" s="22" t="n"/>
      <c r="H98" s="22" t="n"/>
      <c r="I98" s="22" t="n"/>
      <c r="J98" s="22" t="n"/>
      <c r="K98" s="22" t="n"/>
      <c r="L98" s="12" t="n"/>
      <c r="M98" s="12" t="n"/>
      <c r="N98" s="22" t="n"/>
      <c r="O98" s="23" t="n"/>
      <c r="P98" s="20" t="n"/>
      <c r="Q98" s="20" t="n"/>
      <c r="R98" s="22">
        <f>IF(Q98="","",Q98-TODAY())</f>
        <v/>
      </c>
      <c r="S98" s="22">
        <f>IF(Q98="","-",IF(Q98&lt;TODAY(),"UEBERFAELLIG",IF(Q98-TODAY()&lt;=7,"DIESE WOCHE","ok")))</f>
        <v/>
      </c>
      <c r="T98" s="12" t="n"/>
      <c r="U98" s="22" t="n"/>
      <c r="V98" s="15" t="n"/>
      <c r="W98" s="12" t="n"/>
    </row>
    <row r="99">
      <c r="A99" s="22" t="n"/>
      <c r="B99" s="22" t="n"/>
      <c r="C99" s="22" t="n"/>
      <c r="D99" s="22" t="n"/>
      <c r="E99" s="22" t="n"/>
      <c r="F99" s="19" t="n"/>
      <c r="G99" s="22" t="n"/>
      <c r="H99" s="22" t="n"/>
      <c r="I99" s="22" t="n"/>
      <c r="J99" s="22" t="n"/>
      <c r="K99" s="22" t="n"/>
      <c r="L99" s="12" t="n"/>
      <c r="M99" s="12" t="n"/>
      <c r="N99" s="22" t="n"/>
      <c r="O99" s="23" t="n"/>
      <c r="P99" s="20" t="n"/>
      <c r="Q99" s="20" t="n"/>
      <c r="R99" s="22">
        <f>IF(Q99="","",Q99-TODAY())</f>
        <v/>
      </c>
      <c r="S99" s="22">
        <f>IF(Q99="","-",IF(Q99&lt;TODAY(),"UEBERFAELLIG",IF(Q99-TODAY()&lt;=7,"DIESE WOCHE","ok")))</f>
        <v/>
      </c>
      <c r="T99" s="12" t="n"/>
      <c r="U99" s="22" t="n"/>
      <c r="V99" s="15" t="n"/>
      <c r="W99" s="12" t="n"/>
    </row>
    <row r="100">
      <c r="A100" s="22" t="n"/>
      <c r="B100" s="22" t="n"/>
      <c r="C100" s="22" t="n"/>
      <c r="D100" s="22" t="n"/>
      <c r="E100" s="22" t="n"/>
      <c r="F100" s="19" t="n"/>
      <c r="G100" s="22" t="n"/>
      <c r="H100" s="22" t="n"/>
      <c r="I100" s="22" t="n"/>
      <c r="J100" s="22" t="n"/>
      <c r="K100" s="22" t="n"/>
      <c r="L100" s="12" t="n"/>
      <c r="M100" s="12" t="n"/>
      <c r="N100" s="22" t="n"/>
      <c r="O100" s="23" t="n"/>
      <c r="P100" s="20" t="n"/>
      <c r="Q100" s="20" t="n"/>
      <c r="R100" s="22">
        <f>IF(Q100="","",Q100-TODAY())</f>
        <v/>
      </c>
      <c r="S100" s="22">
        <f>IF(Q100="","-",IF(Q100&lt;TODAY(),"UEBERFAELLIG",IF(Q100-TODAY()&lt;=7,"DIESE WOCHE","ok")))</f>
        <v/>
      </c>
      <c r="T100" s="12" t="n"/>
      <c r="U100" s="22" t="n"/>
      <c r="V100" s="15" t="n"/>
      <c r="W100" s="12" t="n"/>
    </row>
    <row r="101">
      <c r="A101" s="22" t="n"/>
      <c r="B101" s="22" t="n"/>
      <c r="C101" s="22" t="n"/>
      <c r="D101" s="22" t="n"/>
      <c r="E101" s="22" t="n"/>
      <c r="F101" s="19" t="n"/>
      <c r="G101" s="22" t="n"/>
      <c r="H101" s="22" t="n"/>
      <c r="I101" s="22" t="n"/>
      <c r="J101" s="22" t="n"/>
      <c r="K101" s="22" t="n"/>
      <c r="L101" s="12" t="n"/>
      <c r="M101" s="12" t="n"/>
      <c r="N101" s="22" t="n"/>
      <c r="O101" s="23" t="n"/>
      <c r="P101" s="20" t="n"/>
      <c r="Q101" s="20" t="n"/>
      <c r="R101" s="22">
        <f>IF(Q101="","",Q101-TODAY())</f>
        <v/>
      </c>
      <c r="S101" s="22">
        <f>IF(Q101="","-",IF(Q101&lt;TODAY(),"UEBERFAELLIG",IF(Q101-TODAY()&lt;=7,"DIESE WOCHE","ok")))</f>
        <v/>
      </c>
      <c r="T101" s="12" t="n"/>
      <c r="U101" s="22" t="n"/>
      <c r="V101" s="15" t="n"/>
      <c r="W101" s="12" t="n"/>
    </row>
    <row r="102">
      <c r="A102" s="22" t="n"/>
      <c r="B102" s="22" t="n"/>
      <c r="C102" s="22" t="n"/>
      <c r="D102" s="22" t="n"/>
      <c r="E102" s="22" t="n"/>
      <c r="F102" s="19" t="n"/>
      <c r="G102" s="22" t="n"/>
      <c r="H102" s="22" t="n"/>
      <c r="I102" s="22" t="n"/>
      <c r="J102" s="22" t="n"/>
      <c r="K102" s="22" t="n"/>
      <c r="L102" s="12" t="n"/>
      <c r="M102" s="12" t="n"/>
      <c r="N102" s="22" t="n"/>
      <c r="O102" s="23" t="n"/>
      <c r="P102" s="20" t="n"/>
      <c r="Q102" s="20" t="n"/>
      <c r="R102" s="22">
        <f>IF(Q102="","",Q102-TODAY())</f>
        <v/>
      </c>
      <c r="S102" s="22">
        <f>IF(Q102="","-",IF(Q102&lt;TODAY(),"UEBERFAELLIG",IF(Q102-TODAY()&lt;=7,"DIESE WOCHE","ok")))</f>
        <v/>
      </c>
      <c r="T102" s="12" t="n"/>
      <c r="U102" s="22" t="n"/>
      <c r="V102" s="15" t="n"/>
      <c r="W102" s="12" t="n"/>
    </row>
    <row r="103">
      <c r="A103" s="22" t="n"/>
      <c r="B103" s="22" t="n"/>
      <c r="C103" s="22" t="n"/>
      <c r="D103" s="22" t="n"/>
      <c r="E103" s="22" t="n"/>
      <c r="F103" s="19" t="n"/>
      <c r="G103" s="22" t="n"/>
      <c r="H103" s="22" t="n"/>
      <c r="I103" s="22" t="n"/>
      <c r="J103" s="22" t="n"/>
      <c r="K103" s="22" t="n"/>
      <c r="L103" s="12" t="n"/>
      <c r="M103" s="12" t="n"/>
      <c r="N103" s="22" t="n"/>
      <c r="O103" s="23" t="n"/>
      <c r="P103" s="20" t="n"/>
      <c r="Q103" s="20" t="n"/>
      <c r="R103" s="22">
        <f>IF(Q103="","",Q103-TODAY())</f>
        <v/>
      </c>
      <c r="S103" s="22">
        <f>IF(Q103="","-",IF(Q103&lt;TODAY(),"UEBERFAELLIG",IF(Q103-TODAY()&lt;=7,"DIESE WOCHE","ok")))</f>
        <v/>
      </c>
      <c r="T103" s="12" t="n"/>
      <c r="U103" s="22" t="n"/>
      <c r="V103" s="15" t="n"/>
      <c r="W103" s="12" t="n"/>
    </row>
    <row r="104">
      <c r="A104" s="22" t="n"/>
      <c r="B104" s="22" t="n"/>
      <c r="C104" s="22" t="n"/>
      <c r="D104" s="22" t="n"/>
      <c r="E104" s="22" t="n"/>
      <c r="F104" s="19" t="n"/>
      <c r="G104" s="22" t="n"/>
      <c r="H104" s="22" t="n"/>
      <c r="I104" s="22" t="n"/>
      <c r="J104" s="22" t="n"/>
      <c r="K104" s="22" t="n"/>
      <c r="L104" s="12" t="n"/>
      <c r="M104" s="12" t="n"/>
      <c r="N104" s="22" t="n"/>
      <c r="O104" s="23" t="n"/>
      <c r="P104" s="20" t="n"/>
      <c r="Q104" s="20" t="n"/>
      <c r="R104" s="22">
        <f>IF(Q104="","",Q104-TODAY())</f>
        <v/>
      </c>
      <c r="S104" s="22">
        <f>IF(Q104="","-",IF(Q104&lt;TODAY(),"UEBERFAELLIG",IF(Q104-TODAY()&lt;=7,"DIESE WOCHE","ok")))</f>
        <v/>
      </c>
      <c r="T104" s="12" t="n"/>
      <c r="U104" s="22" t="n"/>
      <c r="V104" s="15" t="n"/>
      <c r="W104" s="12" t="n"/>
    </row>
    <row r="105">
      <c r="A105" s="22" t="n"/>
      <c r="B105" s="22" t="n"/>
      <c r="C105" s="22" t="n"/>
      <c r="D105" s="22" t="n"/>
      <c r="E105" s="22" t="n"/>
      <c r="F105" s="19" t="n"/>
      <c r="G105" s="22" t="n"/>
      <c r="H105" s="22" t="n"/>
      <c r="I105" s="22" t="n"/>
      <c r="J105" s="22" t="n"/>
      <c r="K105" s="22" t="n"/>
      <c r="L105" s="12" t="n"/>
      <c r="M105" s="12" t="n"/>
      <c r="N105" s="22" t="n"/>
      <c r="O105" s="23" t="n"/>
      <c r="P105" s="20" t="n"/>
      <c r="Q105" s="20" t="n"/>
      <c r="R105" s="22">
        <f>IF(Q105="","",Q105-TODAY())</f>
        <v/>
      </c>
      <c r="S105" s="22">
        <f>IF(Q105="","-",IF(Q105&lt;TODAY(),"UEBERFAELLIG",IF(Q105-TODAY()&lt;=7,"DIESE WOCHE","ok")))</f>
        <v/>
      </c>
      <c r="T105" s="12" t="n"/>
      <c r="U105" s="22" t="n"/>
      <c r="V105" s="15" t="n"/>
      <c r="W105" s="12" t="n"/>
    </row>
    <row r="106">
      <c r="A106" s="22" t="n"/>
      <c r="B106" s="22" t="n"/>
      <c r="C106" s="22" t="n"/>
      <c r="D106" s="22" t="n"/>
      <c r="E106" s="22" t="n"/>
      <c r="F106" s="19" t="n"/>
      <c r="G106" s="22" t="n"/>
      <c r="H106" s="22" t="n"/>
      <c r="I106" s="22" t="n"/>
      <c r="J106" s="22" t="n"/>
      <c r="K106" s="22" t="n"/>
      <c r="L106" s="12" t="n"/>
      <c r="M106" s="12" t="n"/>
      <c r="N106" s="22" t="n"/>
      <c r="O106" s="23" t="n"/>
      <c r="P106" s="20" t="n"/>
      <c r="Q106" s="20" t="n"/>
      <c r="R106" s="22">
        <f>IF(Q106="","",Q106-TODAY())</f>
        <v/>
      </c>
      <c r="S106" s="22">
        <f>IF(Q106="","-",IF(Q106&lt;TODAY(),"UEBERFAELLIG",IF(Q106-TODAY()&lt;=7,"DIESE WOCHE","ok")))</f>
        <v/>
      </c>
      <c r="T106" s="12" t="n"/>
      <c r="U106" s="22" t="n"/>
      <c r="V106" s="15" t="n"/>
      <c r="W106" s="12" t="n"/>
    </row>
    <row r="107">
      <c r="A107" s="22" t="n"/>
      <c r="B107" s="22" t="n"/>
      <c r="C107" s="22" t="n"/>
      <c r="D107" s="22" t="n"/>
      <c r="E107" s="22" t="n"/>
      <c r="F107" s="19" t="n"/>
      <c r="G107" s="22" t="n"/>
      <c r="H107" s="22" t="n"/>
      <c r="I107" s="22" t="n"/>
      <c r="J107" s="22" t="n"/>
      <c r="K107" s="22" t="n"/>
      <c r="L107" s="12" t="n"/>
      <c r="M107" s="12" t="n"/>
      <c r="N107" s="22" t="n"/>
      <c r="O107" s="23" t="n"/>
      <c r="P107" s="20" t="n"/>
      <c r="Q107" s="20" t="n"/>
      <c r="R107" s="22">
        <f>IF(Q107="","",Q107-TODAY())</f>
        <v/>
      </c>
      <c r="S107" s="22">
        <f>IF(Q107="","-",IF(Q107&lt;TODAY(),"UEBERFAELLIG",IF(Q107-TODAY()&lt;=7,"DIESE WOCHE","ok")))</f>
        <v/>
      </c>
      <c r="T107" s="12" t="n"/>
      <c r="U107" s="22" t="n"/>
      <c r="V107" s="15" t="n"/>
      <c r="W107" s="12" t="n"/>
    </row>
    <row r="108">
      <c r="A108" s="22" t="n"/>
      <c r="B108" s="22" t="n"/>
      <c r="C108" s="22" t="n"/>
      <c r="D108" s="22" t="n"/>
      <c r="E108" s="22" t="n"/>
      <c r="F108" s="19" t="n"/>
      <c r="G108" s="22" t="n"/>
      <c r="H108" s="22" t="n"/>
      <c r="I108" s="22" t="n"/>
      <c r="J108" s="22" t="n"/>
      <c r="K108" s="22" t="n"/>
      <c r="L108" s="12" t="n"/>
      <c r="M108" s="12" t="n"/>
      <c r="N108" s="22" t="n"/>
      <c r="O108" s="23" t="n"/>
      <c r="P108" s="20" t="n"/>
      <c r="Q108" s="20" t="n"/>
      <c r="R108" s="22">
        <f>IF(Q108="","",Q108-TODAY())</f>
        <v/>
      </c>
      <c r="S108" s="22">
        <f>IF(Q108="","-",IF(Q108&lt;TODAY(),"UEBERFAELLIG",IF(Q108-TODAY()&lt;=7,"DIESE WOCHE","ok")))</f>
        <v/>
      </c>
      <c r="T108" s="12" t="n"/>
      <c r="U108" s="22" t="n"/>
      <c r="V108" s="15" t="n"/>
      <c r="W108" s="12" t="n"/>
    </row>
    <row r="109">
      <c r="A109" s="22" t="n"/>
      <c r="B109" s="22" t="n"/>
      <c r="C109" s="22" t="n"/>
      <c r="D109" s="22" t="n"/>
      <c r="E109" s="22" t="n"/>
      <c r="F109" s="19" t="n"/>
      <c r="G109" s="22" t="n"/>
      <c r="H109" s="22" t="n"/>
      <c r="I109" s="22" t="n"/>
      <c r="J109" s="22" t="n"/>
      <c r="K109" s="22" t="n"/>
      <c r="L109" s="12" t="n"/>
      <c r="M109" s="12" t="n"/>
      <c r="N109" s="22" t="n"/>
      <c r="O109" s="23" t="n"/>
      <c r="P109" s="20" t="n"/>
      <c r="Q109" s="20" t="n"/>
      <c r="R109" s="22">
        <f>IF(Q109="","",Q109-TODAY())</f>
        <v/>
      </c>
      <c r="S109" s="22">
        <f>IF(Q109="","-",IF(Q109&lt;TODAY(),"UEBERFAELLIG",IF(Q109-TODAY()&lt;=7,"DIESE WOCHE","ok")))</f>
        <v/>
      </c>
      <c r="T109" s="12" t="n"/>
      <c r="U109" s="22" t="n"/>
      <c r="V109" s="15" t="n"/>
      <c r="W109" s="12" t="n"/>
    </row>
    <row r="110">
      <c r="A110" s="22" t="n"/>
      <c r="B110" s="22" t="n"/>
      <c r="C110" s="22" t="n"/>
      <c r="D110" s="22" t="n"/>
      <c r="E110" s="22" t="n"/>
      <c r="F110" s="19" t="n"/>
      <c r="G110" s="22" t="n"/>
      <c r="H110" s="22" t="n"/>
      <c r="I110" s="22" t="n"/>
      <c r="J110" s="22" t="n"/>
      <c r="K110" s="22" t="n"/>
      <c r="L110" s="12" t="n"/>
      <c r="M110" s="12" t="n"/>
      <c r="N110" s="22" t="n"/>
      <c r="O110" s="23" t="n"/>
      <c r="P110" s="20" t="n"/>
      <c r="Q110" s="20" t="n"/>
      <c r="R110" s="22">
        <f>IF(Q110="","",Q110-TODAY())</f>
        <v/>
      </c>
      <c r="S110" s="22">
        <f>IF(Q110="","-",IF(Q110&lt;TODAY(),"UEBERFAELLIG",IF(Q110-TODAY()&lt;=7,"DIESE WOCHE","ok")))</f>
        <v/>
      </c>
      <c r="T110" s="12" t="n"/>
      <c r="U110" s="22" t="n"/>
      <c r="V110" s="15" t="n"/>
      <c r="W110" s="12" t="n"/>
    </row>
    <row r="111">
      <c r="A111" s="22" t="n"/>
      <c r="B111" s="22" t="n"/>
      <c r="C111" s="22" t="n"/>
      <c r="D111" s="22" t="n"/>
      <c r="E111" s="22" t="n"/>
      <c r="F111" s="19" t="n"/>
      <c r="G111" s="22" t="n"/>
      <c r="H111" s="22" t="n"/>
      <c r="I111" s="22" t="n"/>
      <c r="J111" s="22" t="n"/>
      <c r="K111" s="22" t="n"/>
      <c r="L111" s="12" t="n"/>
      <c r="M111" s="12" t="n"/>
      <c r="N111" s="22" t="n"/>
      <c r="O111" s="23" t="n"/>
      <c r="P111" s="20" t="n"/>
      <c r="Q111" s="20" t="n"/>
      <c r="R111" s="22">
        <f>IF(Q111="","",Q111-TODAY())</f>
        <v/>
      </c>
      <c r="S111" s="22">
        <f>IF(Q111="","-",IF(Q111&lt;TODAY(),"UEBERFAELLIG",IF(Q111-TODAY()&lt;=7,"DIESE WOCHE","ok")))</f>
        <v/>
      </c>
      <c r="T111" s="12" t="n"/>
      <c r="U111" s="22" t="n"/>
      <c r="V111" s="15" t="n"/>
      <c r="W111" s="12" t="n"/>
    </row>
    <row r="112">
      <c r="A112" s="22" t="n"/>
      <c r="B112" s="22" t="n"/>
      <c r="C112" s="22" t="n"/>
      <c r="D112" s="22" t="n"/>
      <c r="E112" s="22" t="n"/>
      <c r="F112" s="19" t="n"/>
      <c r="G112" s="22" t="n"/>
      <c r="H112" s="22" t="n"/>
      <c r="I112" s="22" t="n"/>
      <c r="J112" s="22" t="n"/>
      <c r="K112" s="22" t="n"/>
      <c r="L112" s="12" t="n"/>
      <c r="M112" s="12" t="n"/>
      <c r="N112" s="22" t="n"/>
      <c r="O112" s="23" t="n"/>
      <c r="P112" s="20" t="n"/>
      <c r="Q112" s="20" t="n"/>
      <c r="R112" s="22">
        <f>IF(Q112="","",Q112-TODAY())</f>
        <v/>
      </c>
      <c r="S112" s="22">
        <f>IF(Q112="","-",IF(Q112&lt;TODAY(),"UEBERFAELLIG",IF(Q112-TODAY()&lt;=7,"DIESE WOCHE","ok")))</f>
        <v/>
      </c>
      <c r="T112" s="12" t="n"/>
      <c r="U112" s="22" t="n"/>
      <c r="V112" s="15" t="n"/>
      <c r="W112" s="12" t="n"/>
    </row>
    <row r="113">
      <c r="A113" s="22" t="n"/>
      <c r="B113" s="22" t="n"/>
      <c r="C113" s="22" t="n"/>
      <c r="D113" s="22" t="n"/>
      <c r="E113" s="22" t="n"/>
      <c r="F113" s="19" t="n"/>
      <c r="G113" s="22" t="n"/>
      <c r="H113" s="22" t="n"/>
      <c r="I113" s="22" t="n"/>
      <c r="J113" s="22" t="n"/>
      <c r="K113" s="22" t="n"/>
      <c r="L113" s="12" t="n"/>
      <c r="M113" s="12" t="n"/>
      <c r="N113" s="22" t="n"/>
      <c r="O113" s="23" t="n"/>
      <c r="P113" s="20" t="n"/>
      <c r="Q113" s="20" t="n"/>
      <c r="R113" s="22">
        <f>IF(Q113="","",Q113-TODAY())</f>
        <v/>
      </c>
      <c r="S113" s="22">
        <f>IF(Q113="","-",IF(Q113&lt;TODAY(),"UEBERFAELLIG",IF(Q113-TODAY()&lt;=7,"DIESE WOCHE","ok")))</f>
        <v/>
      </c>
      <c r="T113" s="12" t="n"/>
      <c r="U113" s="22" t="n"/>
      <c r="V113" s="15" t="n"/>
      <c r="W113" s="12" t="n"/>
    </row>
    <row r="114">
      <c r="A114" s="22" t="n"/>
      <c r="B114" s="22" t="n"/>
      <c r="C114" s="22" t="n"/>
      <c r="D114" s="22" t="n"/>
      <c r="E114" s="22" t="n"/>
      <c r="F114" s="19" t="n"/>
      <c r="G114" s="22" t="n"/>
      <c r="H114" s="22" t="n"/>
      <c r="I114" s="22" t="n"/>
      <c r="J114" s="22" t="n"/>
      <c r="K114" s="22" t="n"/>
      <c r="L114" s="12" t="n"/>
      <c r="M114" s="12" t="n"/>
      <c r="N114" s="22" t="n"/>
      <c r="O114" s="23" t="n"/>
      <c r="P114" s="20" t="n"/>
      <c r="Q114" s="20" t="n"/>
      <c r="R114" s="22">
        <f>IF(Q114="","",Q114-TODAY())</f>
        <v/>
      </c>
      <c r="S114" s="22">
        <f>IF(Q114="","-",IF(Q114&lt;TODAY(),"UEBERFAELLIG",IF(Q114-TODAY()&lt;=7,"DIESE WOCHE","ok")))</f>
        <v/>
      </c>
      <c r="T114" s="12" t="n"/>
      <c r="U114" s="22" t="n"/>
      <c r="V114" s="15" t="n"/>
      <c r="W114" s="12" t="n"/>
    </row>
    <row r="115">
      <c r="A115" s="22" t="n"/>
      <c r="B115" s="22" t="n"/>
      <c r="C115" s="22" t="n"/>
      <c r="D115" s="22" t="n"/>
      <c r="E115" s="22" t="n"/>
      <c r="F115" s="19" t="n"/>
      <c r="G115" s="22" t="n"/>
      <c r="H115" s="22" t="n"/>
      <c r="I115" s="22" t="n"/>
      <c r="J115" s="22" t="n"/>
      <c r="K115" s="22" t="n"/>
      <c r="L115" s="12" t="n"/>
      <c r="M115" s="12" t="n"/>
      <c r="N115" s="22" t="n"/>
      <c r="O115" s="23" t="n"/>
      <c r="P115" s="20" t="n"/>
      <c r="Q115" s="20" t="n"/>
      <c r="R115" s="22">
        <f>IF(Q115="","",Q115-TODAY())</f>
        <v/>
      </c>
      <c r="S115" s="22">
        <f>IF(Q115="","-",IF(Q115&lt;TODAY(),"UEBERFAELLIG",IF(Q115-TODAY()&lt;=7,"DIESE WOCHE","ok")))</f>
        <v/>
      </c>
      <c r="T115" s="12" t="n"/>
      <c r="U115" s="22" t="n"/>
      <c r="V115" s="15" t="n"/>
      <c r="W115" s="12" t="n"/>
    </row>
    <row r="116">
      <c r="A116" s="22" t="n"/>
      <c r="B116" s="22" t="n"/>
      <c r="C116" s="22" t="n"/>
      <c r="D116" s="22" t="n"/>
      <c r="E116" s="22" t="n"/>
      <c r="F116" s="19" t="n"/>
      <c r="G116" s="22" t="n"/>
      <c r="H116" s="22" t="n"/>
      <c r="I116" s="22" t="n"/>
      <c r="J116" s="22" t="n"/>
      <c r="K116" s="22" t="n"/>
      <c r="L116" s="12" t="n"/>
      <c r="M116" s="12" t="n"/>
      <c r="N116" s="22" t="n"/>
      <c r="O116" s="23" t="n"/>
      <c r="P116" s="20" t="n"/>
      <c r="Q116" s="20" t="n"/>
      <c r="R116" s="22">
        <f>IF(Q116="","",Q116-TODAY())</f>
        <v/>
      </c>
      <c r="S116" s="22">
        <f>IF(Q116="","-",IF(Q116&lt;TODAY(),"UEBERFAELLIG",IF(Q116-TODAY()&lt;=7,"DIESE WOCHE","ok")))</f>
        <v/>
      </c>
      <c r="T116" s="12" t="n"/>
      <c r="U116" s="22" t="n"/>
      <c r="V116" s="15" t="n"/>
      <c r="W116" s="12" t="n"/>
    </row>
    <row r="117">
      <c r="A117" s="22" t="n"/>
      <c r="B117" s="22" t="n"/>
      <c r="C117" s="22" t="n"/>
      <c r="D117" s="22" t="n"/>
      <c r="E117" s="22" t="n"/>
      <c r="F117" s="19" t="n"/>
      <c r="G117" s="22" t="n"/>
      <c r="H117" s="22" t="n"/>
      <c r="I117" s="22" t="n"/>
      <c r="J117" s="22" t="n"/>
      <c r="K117" s="22" t="n"/>
      <c r="L117" s="12" t="n"/>
      <c r="M117" s="12" t="n"/>
      <c r="N117" s="22" t="n"/>
      <c r="O117" s="23" t="n"/>
      <c r="P117" s="20" t="n"/>
      <c r="Q117" s="20" t="n"/>
      <c r="R117" s="22">
        <f>IF(Q117="","",Q117-TODAY())</f>
        <v/>
      </c>
      <c r="S117" s="22">
        <f>IF(Q117="","-",IF(Q117&lt;TODAY(),"UEBERFAELLIG",IF(Q117-TODAY()&lt;=7,"DIESE WOCHE","ok")))</f>
        <v/>
      </c>
      <c r="T117" s="12" t="n"/>
      <c r="U117" s="22" t="n"/>
      <c r="V117" s="15" t="n"/>
      <c r="W117" s="12" t="n"/>
    </row>
    <row r="118">
      <c r="A118" s="22" t="n"/>
      <c r="B118" s="22" t="n"/>
      <c r="C118" s="22" t="n"/>
      <c r="D118" s="22" t="n"/>
      <c r="E118" s="22" t="n"/>
      <c r="F118" s="19" t="n"/>
      <c r="G118" s="22" t="n"/>
      <c r="H118" s="22" t="n"/>
      <c r="I118" s="22" t="n"/>
      <c r="J118" s="22" t="n"/>
      <c r="K118" s="22" t="n"/>
      <c r="L118" s="12" t="n"/>
      <c r="M118" s="12" t="n"/>
      <c r="N118" s="22" t="n"/>
      <c r="O118" s="23" t="n"/>
      <c r="P118" s="20" t="n"/>
      <c r="Q118" s="20" t="n"/>
      <c r="R118" s="22">
        <f>IF(Q118="","",Q118-TODAY())</f>
        <v/>
      </c>
      <c r="S118" s="22">
        <f>IF(Q118="","-",IF(Q118&lt;TODAY(),"UEBERFAELLIG",IF(Q118-TODAY()&lt;=7,"DIESE WOCHE","ok")))</f>
        <v/>
      </c>
      <c r="T118" s="12" t="n"/>
      <c r="U118" s="22" t="n"/>
      <c r="V118" s="15" t="n"/>
      <c r="W118" s="12" t="n"/>
    </row>
    <row r="119">
      <c r="A119" s="22" t="n"/>
      <c r="B119" s="22" t="n"/>
      <c r="C119" s="22" t="n"/>
      <c r="D119" s="22" t="n"/>
      <c r="E119" s="22" t="n"/>
      <c r="F119" s="19" t="n"/>
      <c r="G119" s="22" t="n"/>
      <c r="H119" s="22" t="n"/>
      <c r="I119" s="22" t="n"/>
      <c r="J119" s="22" t="n"/>
      <c r="K119" s="22" t="n"/>
      <c r="L119" s="12" t="n"/>
      <c r="M119" s="12" t="n"/>
      <c r="N119" s="22" t="n"/>
      <c r="O119" s="23" t="n"/>
      <c r="P119" s="20" t="n"/>
      <c r="Q119" s="20" t="n"/>
      <c r="R119" s="22">
        <f>IF(Q119="","",Q119-TODAY())</f>
        <v/>
      </c>
      <c r="S119" s="22">
        <f>IF(Q119="","-",IF(Q119&lt;TODAY(),"UEBERFAELLIG",IF(Q119-TODAY()&lt;=7,"DIESE WOCHE","ok")))</f>
        <v/>
      </c>
      <c r="T119" s="12" t="n"/>
      <c r="U119" s="22" t="n"/>
      <c r="V119" s="15" t="n"/>
      <c r="W119" s="12" t="n"/>
    </row>
    <row r="120">
      <c r="A120" s="22" t="n"/>
      <c r="B120" s="22" t="n"/>
      <c r="C120" s="22" t="n"/>
      <c r="D120" s="22" t="n"/>
      <c r="E120" s="22" t="n"/>
      <c r="F120" s="19" t="n"/>
      <c r="G120" s="22" t="n"/>
      <c r="H120" s="22" t="n"/>
      <c r="I120" s="22" t="n"/>
      <c r="J120" s="22" t="n"/>
      <c r="K120" s="22" t="n"/>
      <c r="L120" s="12" t="n"/>
      <c r="M120" s="12" t="n"/>
      <c r="N120" s="22" t="n"/>
      <c r="O120" s="23" t="n"/>
      <c r="P120" s="20" t="n"/>
      <c r="Q120" s="20" t="n"/>
      <c r="R120" s="22">
        <f>IF(Q120="","",Q120-TODAY())</f>
        <v/>
      </c>
      <c r="S120" s="22">
        <f>IF(Q120="","-",IF(Q120&lt;TODAY(),"UEBERFAELLIG",IF(Q120-TODAY()&lt;=7,"DIESE WOCHE","ok")))</f>
        <v/>
      </c>
      <c r="T120" s="12" t="n"/>
      <c r="U120" s="22" t="n"/>
      <c r="V120" s="15" t="n"/>
      <c r="W120" s="12" t="n"/>
    </row>
    <row r="121">
      <c r="A121" s="22" t="n"/>
      <c r="B121" s="22" t="n"/>
      <c r="C121" s="22" t="n"/>
      <c r="D121" s="22" t="n"/>
      <c r="E121" s="22" t="n"/>
      <c r="F121" s="19" t="n"/>
      <c r="G121" s="22" t="n"/>
      <c r="H121" s="22" t="n"/>
      <c r="I121" s="22" t="n"/>
      <c r="J121" s="22" t="n"/>
      <c r="K121" s="22" t="n"/>
      <c r="L121" s="12" t="n"/>
      <c r="M121" s="12" t="n"/>
      <c r="N121" s="22" t="n"/>
      <c r="O121" s="23" t="n"/>
      <c r="P121" s="20" t="n"/>
      <c r="Q121" s="20" t="n"/>
      <c r="R121" s="22">
        <f>IF(Q121="","",Q121-TODAY())</f>
        <v/>
      </c>
      <c r="S121" s="22">
        <f>IF(Q121="","-",IF(Q121&lt;TODAY(),"UEBERFAELLIG",IF(Q121-TODAY()&lt;=7,"DIESE WOCHE","ok")))</f>
        <v/>
      </c>
      <c r="T121" s="12" t="n"/>
      <c r="U121" s="22" t="n"/>
      <c r="V121" s="15" t="n"/>
      <c r="W121" s="12" t="n"/>
    </row>
    <row r="122">
      <c r="A122" s="22" t="n"/>
      <c r="B122" s="22" t="n"/>
      <c r="C122" s="22" t="n"/>
      <c r="D122" s="22" t="n"/>
      <c r="E122" s="22" t="n"/>
      <c r="F122" s="19" t="n"/>
      <c r="G122" s="22" t="n"/>
      <c r="H122" s="22" t="n"/>
      <c r="I122" s="22" t="n"/>
      <c r="J122" s="22" t="n"/>
      <c r="K122" s="22" t="n"/>
      <c r="L122" s="12" t="n"/>
      <c r="M122" s="12" t="n"/>
      <c r="N122" s="22" t="n"/>
      <c r="O122" s="23" t="n"/>
      <c r="P122" s="20" t="n"/>
      <c r="Q122" s="20" t="n"/>
      <c r="R122" s="22">
        <f>IF(Q122="","",Q122-TODAY())</f>
        <v/>
      </c>
      <c r="S122" s="22">
        <f>IF(Q122="","-",IF(Q122&lt;TODAY(),"UEBERFAELLIG",IF(Q122-TODAY()&lt;=7,"DIESE WOCHE","ok")))</f>
        <v/>
      </c>
      <c r="T122" s="12" t="n"/>
      <c r="U122" s="22" t="n"/>
      <c r="V122" s="15" t="n"/>
      <c r="W122" s="12" t="n"/>
    </row>
    <row r="123">
      <c r="A123" s="22" t="n"/>
      <c r="B123" s="22" t="n"/>
      <c r="C123" s="22" t="n"/>
      <c r="D123" s="22" t="n"/>
      <c r="E123" s="22" t="n"/>
      <c r="F123" s="19" t="n"/>
      <c r="G123" s="22" t="n"/>
      <c r="H123" s="22" t="n"/>
      <c r="I123" s="22" t="n"/>
      <c r="J123" s="22" t="n"/>
      <c r="K123" s="22" t="n"/>
      <c r="L123" s="12" t="n"/>
      <c r="M123" s="12" t="n"/>
      <c r="N123" s="22" t="n"/>
      <c r="O123" s="23" t="n"/>
      <c r="P123" s="20" t="n"/>
      <c r="Q123" s="20" t="n"/>
      <c r="R123" s="22">
        <f>IF(Q123="","",Q123-TODAY())</f>
        <v/>
      </c>
      <c r="S123" s="22">
        <f>IF(Q123="","-",IF(Q123&lt;TODAY(),"UEBERFAELLIG",IF(Q123-TODAY()&lt;=7,"DIESE WOCHE","ok")))</f>
        <v/>
      </c>
      <c r="T123" s="12" t="n"/>
      <c r="U123" s="22" t="n"/>
      <c r="V123" s="15" t="n"/>
      <c r="W123" s="12" t="n"/>
    </row>
    <row r="124">
      <c r="A124" s="22" t="n"/>
      <c r="B124" s="22" t="n"/>
      <c r="C124" s="22" t="n"/>
      <c r="D124" s="22" t="n"/>
      <c r="E124" s="22" t="n"/>
      <c r="F124" s="19" t="n"/>
      <c r="G124" s="22" t="n"/>
      <c r="H124" s="22" t="n"/>
      <c r="I124" s="22" t="n"/>
      <c r="J124" s="22" t="n"/>
      <c r="K124" s="22" t="n"/>
      <c r="L124" s="12" t="n"/>
      <c r="M124" s="12" t="n"/>
      <c r="N124" s="22" t="n"/>
      <c r="O124" s="23" t="n"/>
      <c r="P124" s="20" t="n"/>
      <c r="Q124" s="20" t="n"/>
      <c r="R124" s="22">
        <f>IF(Q124="","",Q124-TODAY())</f>
        <v/>
      </c>
      <c r="S124" s="22">
        <f>IF(Q124="","-",IF(Q124&lt;TODAY(),"UEBERFAELLIG",IF(Q124-TODAY()&lt;=7,"DIESE WOCHE","ok")))</f>
        <v/>
      </c>
      <c r="T124" s="12" t="n"/>
      <c r="U124" s="22" t="n"/>
      <c r="V124" s="15" t="n"/>
      <c r="W124" s="12" t="n"/>
    </row>
    <row r="125">
      <c r="A125" s="22" t="n"/>
      <c r="B125" s="22" t="n"/>
      <c r="C125" s="22" t="n"/>
      <c r="D125" s="22" t="n"/>
      <c r="E125" s="22" t="n"/>
      <c r="F125" s="19" t="n"/>
      <c r="G125" s="22" t="n"/>
      <c r="H125" s="22" t="n"/>
      <c r="I125" s="22" t="n"/>
      <c r="J125" s="22" t="n"/>
      <c r="K125" s="22" t="n"/>
      <c r="L125" s="12" t="n"/>
      <c r="M125" s="12" t="n"/>
      <c r="N125" s="22" t="n"/>
      <c r="O125" s="23" t="n"/>
      <c r="P125" s="20" t="n"/>
      <c r="Q125" s="20" t="n"/>
      <c r="R125" s="22">
        <f>IF(Q125="","",Q125-TODAY())</f>
        <v/>
      </c>
      <c r="S125" s="22">
        <f>IF(Q125="","-",IF(Q125&lt;TODAY(),"UEBERFAELLIG",IF(Q125-TODAY()&lt;=7,"DIESE WOCHE","ok")))</f>
        <v/>
      </c>
      <c r="T125" s="12" t="n"/>
      <c r="U125" s="22" t="n"/>
      <c r="V125" s="15" t="n"/>
      <c r="W125" s="12" t="n"/>
    </row>
    <row r="126">
      <c r="A126" s="22" t="n"/>
      <c r="B126" s="22" t="n"/>
      <c r="C126" s="22" t="n"/>
      <c r="D126" s="22" t="n"/>
      <c r="E126" s="22" t="n"/>
      <c r="F126" s="19" t="n"/>
      <c r="G126" s="22" t="n"/>
      <c r="H126" s="22" t="n"/>
      <c r="I126" s="22" t="n"/>
      <c r="J126" s="22" t="n"/>
      <c r="K126" s="22" t="n"/>
      <c r="L126" s="12" t="n"/>
      <c r="M126" s="12" t="n"/>
      <c r="N126" s="22" t="n"/>
      <c r="O126" s="23" t="n"/>
      <c r="P126" s="20" t="n"/>
      <c r="Q126" s="20" t="n"/>
      <c r="R126" s="22">
        <f>IF(Q126="","",Q126-TODAY())</f>
        <v/>
      </c>
      <c r="S126" s="22">
        <f>IF(Q126="","-",IF(Q126&lt;TODAY(),"UEBERFAELLIG",IF(Q126-TODAY()&lt;=7,"DIESE WOCHE","ok")))</f>
        <v/>
      </c>
      <c r="T126" s="12" t="n"/>
      <c r="U126" s="22" t="n"/>
      <c r="V126" s="15" t="n"/>
      <c r="W126" s="12" t="n"/>
    </row>
    <row r="127">
      <c r="A127" s="22" t="n"/>
      <c r="B127" s="22" t="n"/>
      <c r="C127" s="22" t="n"/>
      <c r="D127" s="22" t="n"/>
      <c r="E127" s="22" t="n"/>
      <c r="F127" s="19" t="n"/>
      <c r="G127" s="22" t="n"/>
      <c r="H127" s="22" t="n"/>
      <c r="I127" s="22" t="n"/>
      <c r="J127" s="22" t="n"/>
      <c r="K127" s="22" t="n"/>
      <c r="L127" s="12" t="n"/>
      <c r="M127" s="12" t="n"/>
      <c r="N127" s="22" t="n"/>
      <c r="O127" s="23" t="n"/>
      <c r="P127" s="20" t="n"/>
      <c r="Q127" s="20" t="n"/>
      <c r="R127" s="22">
        <f>IF(Q127="","",Q127-TODAY())</f>
        <v/>
      </c>
      <c r="S127" s="22">
        <f>IF(Q127="","-",IF(Q127&lt;TODAY(),"UEBERFAELLIG",IF(Q127-TODAY()&lt;=7,"DIESE WOCHE","ok")))</f>
        <v/>
      </c>
      <c r="T127" s="12" t="n"/>
      <c r="U127" s="22" t="n"/>
      <c r="V127" s="15" t="n"/>
      <c r="W127" s="12" t="n"/>
    </row>
    <row r="128">
      <c r="A128" s="22" t="n"/>
      <c r="B128" s="22" t="n"/>
      <c r="C128" s="22" t="n"/>
      <c r="D128" s="22" t="n"/>
      <c r="E128" s="22" t="n"/>
      <c r="F128" s="19" t="n"/>
      <c r="G128" s="22" t="n"/>
      <c r="H128" s="22" t="n"/>
      <c r="I128" s="22" t="n"/>
      <c r="J128" s="22" t="n"/>
      <c r="K128" s="22" t="n"/>
      <c r="L128" s="12" t="n"/>
      <c r="M128" s="12" t="n"/>
      <c r="N128" s="22" t="n"/>
      <c r="O128" s="23" t="n"/>
      <c r="P128" s="20" t="n"/>
      <c r="Q128" s="20" t="n"/>
      <c r="R128" s="22">
        <f>IF(Q128="","",Q128-TODAY())</f>
        <v/>
      </c>
      <c r="S128" s="22">
        <f>IF(Q128="","-",IF(Q128&lt;TODAY(),"UEBERFAELLIG",IF(Q128-TODAY()&lt;=7,"DIESE WOCHE","ok")))</f>
        <v/>
      </c>
      <c r="T128" s="12" t="n"/>
      <c r="U128" s="22" t="n"/>
      <c r="V128" s="15" t="n"/>
      <c r="W128" s="12" t="n"/>
    </row>
    <row r="129">
      <c r="A129" s="22" t="n"/>
      <c r="B129" s="22" t="n"/>
      <c r="C129" s="22" t="n"/>
      <c r="D129" s="22" t="n"/>
      <c r="E129" s="22" t="n"/>
      <c r="F129" s="19" t="n"/>
      <c r="G129" s="22" t="n"/>
      <c r="H129" s="22" t="n"/>
      <c r="I129" s="22" t="n"/>
      <c r="J129" s="22" t="n"/>
      <c r="K129" s="22" t="n"/>
      <c r="L129" s="12" t="n"/>
      <c r="M129" s="12" t="n"/>
      <c r="N129" s="22" t="n"/>
      <c r="O129" s="23" t="n"/>
      <c r="P129" s="20" t="n"/>
      <c r="Q129" s="20" t="n"/>
      <c r="R129" s="22">
        <f>IF(Q129="","",Q129-TODAY())</f>
        <v/>
      </c>
      <c r="S129" s="22">
        <f>IF(Q129="","-",IF(Q129&lt;TODAY(),"UEBERFAELLIG",IF(Q129-TODAY()&lt;=7,"DIESE WOCHE","ok")))</f>
        <v/>
      </c>
      <c r="T129" s="12" t="n"/>
      <c r="U129" s="22" t="n"/>
      <c r="V129" s="15" t="n"/>
      <c r="W129" s="12" t="n"/>
    </row>
    <row r="130">
      <c r="A130" s="22" t="n"/>
      <c r="B130" s="22" t="n"/>
      <c r="C130" s="22" t="n"/>
      <c r="D130" s="22" t="n"/>
      <c r="E130" s="22" t="n"/>
      <c r="F130" s="19" t="n"/>
      <c r="G130" s="22" t="n"/>
      <c r="H130" s="22" t="n"/>
      <c r="I130" s="22" t="n"/>
      <c r="J130" s="22" t="n"/>
      <c r="K130" s="22" t="n"/>
      <c r="L130" s="12" t="n"/>
      <c r="M130" s="12" t="n"/>
      <c r="N130" s="22" t="n"/>
      <c r="O130" s="23" t="n"/>
      <c r="P130" s="20" t="n"/>
      <c r="Q130" s="20" t="n"/>
      <c r="R130" s="22">
        <f>IF(Q130="","",Q130-TODAY())</f>
        <v/>
      </c>
      <c r="S130" s="22">
        <f>IF(Q130="","-",IF(Q130&lt;TODAY(),"UEBERFAELLIG",IF(Q130-TODAY()&lt;=7,"DIESE WOCHE","ok")))</f>
        <v/>
      </c>
      <c r="T130" s="12" t="n"/>
      <c r="U130" s="22" t="n"/>
      <c r="V130" s="15" t="n"/>
      <c r="W130" s="12" t="n"/>
    </row>
    <row r="131">
      <c r="A131" s="22" t="n"/>
      <c r="B131" s="22" t="n"/>
      <c r="C131" s="22" t="n"/>
      <c r="D131" s="22" t="n"/>
      <c r="E131" s="22" t="n"/>
      <c r="F131" s="19" t="n"/>
      <c r="G131" s="22" t="n"/>
      <c r="H131" s="22" t="n"/>
      <c r="I131" s="22" t="n"/>
      <c r="J131" s="22" t="n"/>
      <c r="K131" s="22" t="n"/>
      <c r="L131" s="12" t="n"/>
      <c r="M131" s="12" t="n"/>
      <c r="N131" s="22" t="n"/>
      <c r="O131" s="23" t="n"/>
      <c r="P131" s="20" t="n"/>
      <c r="Q131" s="20" t="n"/>
      <c r="R131" s="22">
        <f>IF(Q131="","",Q131-TODAY())</f>
        <v/>
      </c>
      <c r="S131" s="22">
        <f>IF(Q131="","-",IF(Q131&lt;TODAY(),"UEBERFAELLIG",IF(Q131-TODAY()&lt;=7,"DIESE WOCHE","ok")))</f>
        <v/>
      </c>
      <c r="T131" s="12" t="n"/>
      <c r="U131" s="22" t="n"/>
      <c r="V131" s="15" t="n"/>
      <c r="W131" s="12" t="n"/>
    </row>
    <row r="132">
      <c r="A132" s="22" t="n"/>
      <c r="B132" s="22" t="n"/>
      <c r="C132" s="22" t="n"/>
      <c r="D132" s="22" t="n"/>
      <c r="E132" s="22" t="n"/>
      <c r="F132" s="19" t="n"/>
      <c r="G132" s="22" t="n"/>
      <c r="H132" s="22" t="n"/>
      <c r="I132" s="22" t="n"/>
      <c r="J132" s="22" t="n"/>
      <c r="K132" s="22" t="n"/>
      <c r="L132" s="12" t="n"/>
      <c r="M132" s="12" t="n"/>
      <c r="N132" s="22" t="n"/>
      <c r="O132" s="23" t="n"/>
      <c r="P132" s="20" t="n"/>
      <c r="Q132" s="20" t="n"/>
      <c r="R132" s="22">
        <f>IF(Q132="","",Q132-TODAY())</f>
        <v/>
      </c>
      <c r="S132" s="22">
        <f>IF(Q132="","-",IF(Q132&lt;TODAY(),"UEBERFAELLIG",IF(Q132-TODAY()&lt;=7,"DIESE WOCHE","ok")))</f>
        <v/>
      </c>
      <c r="T132" s="12" t="n"/>
      <c r="U132" s="22" t="n"/>
      <c r="V132" s="15" t="n"/>
      <c r="W132" s="12" t="n"/>
    </row>
    <row r="133">
      <c r="A133" s="22" t="n"/>
      <c r="B133" s="22" t="n"/>
      <c r="C133" s="22" t="n"/>
      <c r="D133" s="22" t="n"/>
      <c r="E133" s="22" t="n"/>
      <c r="F133" s="19" t="n"/>
      <c r="G133" s="22" t="n"/>
      <c r="H133" s="22" t="n"/>
      <c r="I133" s="22" t="n"/>
      <c r="J133" s="22" t="n"/>
      <c r="K133" s="22" t="n"/>
      <c r="L133" s="12" t="n"/>
      <c r="M133" s="12" t="n"/>
      <c r="N133" s="22" t="n"/>
      <c r="O133" s="23" t="n"/>
      <c r="P133" s="20" t="n"/>
      <c r="Q133" s="20" t="n"/>
      <c r="R133" s="22">
        <f>IF(Q133="","",Q133-TODAY())</f>
        <v/>
      </c>
      <c r="S133" s="22">
        <f>IF(Q133="","-",IF(Q133&lt;TODAY(),"UEBERFAELLIG",IF(Q133-TODAY()&lt;=7,"DIESE WOCHE","ok")))</f>
        <v/>
      </c>
      <c r="T133" s="12" t="n"/>
      <c r="U133" s="22" t="n"/>
      <c r="V133" s="15" t="n"/>
      <c r="W133" s="12" t="n"/>
    </row>
    <row r="134">
      <c r="A134" s="22" t="n"/>
      <c r="B134" s="22" t="n"/>
      <c r="C134" s="22" t="n"/>
      <c r="D134" s="22" t="n"/>
      <c r="E134" s="22" t="n"/>
      <c r="F134" s="19" t="n"/>
      <c r="G134" s="22" t="n"/>
      <c r="H134" s="22" t="n"/>
      <c r="I134" s="22" t="n"/>
      <c r="J134" s="22" t="n"/>
      <c r="K134" s="22" t="n"/>
      <c r="L134" s="12" t="n"/>
      <c r="M134" s="12" t="n"/>
      <c r="N134" s="22" t="n"/>
      <c r="O134" s="23" t="n"/>
      <c r="P134" s="20" t="n"/>
      <c r="Q134" s="20" t="n"/>
      <c r="R134" s="22">
        <f>IF(Q134="","",Q134-TODAY())</f>
        <v/>
      </c>
      <c r="S134" s="22">
        <f>IF(Q134="","-",IF(Q134&lt;TODAY(),"UEBERFAELLIG",IF(Q134-TODAY()&lt;=7,"DIESE WOCHE","ok")))</f>
        <v/>
      </c>
      <c r="T134" s="12" t="n"/>
      <c r="U134" s="22" t="n"/>
      <c r="V134" s="15" t="n"/>
      <c r="W134" s="12" t="n"/>
    </row>
    <row r="135">
      <c r="A135" s="22" t="n"/>
      <c r="B135" s="22" t="n"/>
      <c r="C135" s="22" t="n"/>
      <c r="D135" s="22" t="n"/>
      <c r="E135" s="22" t="n"/>
      <c r="F135" s="19" t="n"/>
      <c r="G135" s="22" t="n"/>
      <c r="H135" s="22" t="n"/>
      <c r="I135" s="22" t="n"/>
      <c r="J135" s="22" t="n"/>
      <c r="K135" s="22" t="n"/>
      <c r="L135" s="12" t="n"/>
      <c r="M135" s="12" t="n"/>
      <c r="N135" s="22" t="n"/>
      <c r="O135" s="23" t="n"/>
      <c r="P135" s="20" t="n"/>
      <c r="Q135" s="20" t="n"/>
      <c r="R135" s="22">
        <f>IF(Q135="","",Q135-TODAY())</f>
        <v/>
      </c>
      <c r="S135" s="22">
        <f>IF(Q135="","-",IF(Q135&lt;TODAY(),"UEBERFAELLIG",IF(Q135-TODAY()&lt;=7,"DIESE WOCHE","ok")))</f>
        <v/>
      </c>
      <c r="T135" s="12" t="n"/>
      <c r="U135" s="22" t="n"/>
      <c r="V135" s="15" t="n"/>
      <c r="W135" s="12" t="n"/>
    </row>
    <row r="136">
      <c r="A136" s="22" t="n"/>
      <c r="B136" s="22" t="n"/>
      <c r="C136" s="22" t="n"/>
      <c r="D136" s="22" t="n"/>
      <c r="E136" s="22" t="n"/>
      <c r="F136" s="19" t="n"/>
      <c r="G136" s="22" t="n"/>
      <c r="H136" s="22" t="n"/>
      <c r="I136" s="22" t="n"/>
      <c r="J136" s="22" t="n"/>
      <c r="K136" s="22" t="n"/>
      <c r="L136" s="12" t="n"/>
      <c r="M136" s="12" t="n"/>
      <c r="N136" s="22" t="n"/>
      <c r="O136" s="23" t="n"/>
      <c r="P136" s="20" t="n"/>
      <c r="Q136" s="20" t="n"/>
      <c r="R136" s="22">
        <f>IF(Q136="","",Q136-TODAY())</f>
        <v/>
      </c>
      <c r="S136" s="22">
        <f>IF(Q136="","-",IF(Q136&lt;TODAY(),"UEBERFAELLIG",IF(Q136-TODAY()&lt;=7,"DIESE WOCHE","ok")))</f>
        <v/>
      </c>
      <c r="T136" s="12" t="n"/>
      <c r="U136" s="22" t="n"/>
      <c r="V136" s="15" t="n"/>
      <c r="W136" s="12" t="n"/>
    </row>
    <row r="137">
      <c r="A137" s="22" t="n"/>
      <c r="B137" s="22" t="n"/>
      <c r="C137" s="22" t="n"/>
      <c r="D137" s="22" t="n"/>
      <c r="E137" s="22" t="n"/>
      <c r="F137" s="19" t="n"/>
      <c r="G137" s="22" t="n"/>
      <c r="H137" s="22" t="n"/>
      <c r="I137" s="22" t="n"/>
      <c r="J137" s="22" t="n"/>
      <c r="K137" s="22" t="n"/>
      <c r="L137" s="12" t="n"/>
      <c r="M137" s="12" t="n"/>
      <c r="N137" s="22" t="n"/>
      <c r="O137" s="23" t="n"/>
      <c r="P137" s="20" t="n"/>
      <c r="Q137" s="20" t="n"/>
      <c r="R137" s="22">
        <f>IF(Q137="","",Q137-TODAY())</f>
        <v/>
      </c>
      <c r="S137" s="22">
        <f>IF(Q137="","-",IF(Q137&lt;TODAY(),"UEBERFAELLIG",IF(Q137-TODAY()&lt;=7,"DIESE WOCHE","ok")))</f>
        <v/>
      </c>
      <c r="T137" s="12" t="n"/>
      <c r="U137" s="22" t="n"/>
      <c r="V137" s="15" t="n"/>
      <c r="W137" s="12" t="n"/>
    </row>
    <row r="138">
      <c r="A138" s="22" t="n"/>
      <c r="B138" s="22" t="n"/>
      <c r="C138" s="22" t="n"/>
      <c r="D138" s="22" t="n"/>
      <c r="E138" s="22" t="n"/>
      <c r="F138" s="19" t="n"/>
      <c r="G138" s="22" t="n"/>
      <c r="H138" s="22" t="n"/>
      <c r="I138" s="22" t="n"/>
      <c r="J138" s="22" t="n"/>
      <c r="K138" s="22" t="n"/>
      <c r="L138" s="12" t="n"/>
      <c r="M138" s="12" t="n"/>
      <c r="N138" s="22" t="n"/>
      <c r="O138" s="23" t="n"/>
      <c r="P138" s="20" t="n"/>
      <c r="Q138" s="20" t="n"/>
      <c r="R138" s="22">
        <f>IF(Q138="","",Q138-TODAY())</f>
        <v/>
      </c>
      <c r="S138" s="22">
        <f>IF(Q138="","-",IF(Q138&lt;TODAY(),"UEBERFAELLIG",IF(Q138-TODAY()&lt;=7,"DIESE WOCHE","ok")))</f>
        <v/>
      </c>
      <c r="T138" s="12" t="n"/>
      <c r="U138" s="22" t="n"/>
      <c r="V138" s="15" t="n"/>
      <c r="W138" s="12" t="n"/>
    </row>
    <row r="139">
      <c r="A139" s="22" t="n"/>
      <c r="B139" s="22" t="n"/>
      <c r="C139" s="22" t="n"/>
      <c r="D139" s="22" t="n"/>
      <c r="E139" s="22" t="n"/>
      <c r="F139" s="19" t="n"/>
      <c r="G139" s="22" t="n"/>
      <c r="H139" s="22" t="n"/>
      <c r="I139" s="22" t="n"/>
      <c r="J139" s="22" t="n"/>
      <c r="K139" s="22" t="n"/>
      <c r="L139" s="12" t="n"/>
      <c r="M139" s="12" t="n"/>
      <c r="N139" s="22" t="n"/>
      <c r="O139" s="23" t="n"/>
      <c r="P139" s="20" t="n"/>
      <c r="Q139" s="20" t="n"/>
      <c r="R139" s="22">
        <f>IF(Q139="","",Q139-TODAY())</f>
        <v/>
      </c>
      <c r="S139" s="22">
        <f>IF(Q139="","-",IF(Q139&lt;TODAY(),"UEBERFAELLIG",IF(Q139-TODAY()&lt;=7,"DIESE WOCHE","ok")))</f>
        <v/>
      </c>
      <c r="T139" s="12" t="n"/>
      <c r="U139" s="22" t="n"/>
      <c r="V139" s="15" t="n"/>
      <c r="W139" s="12" t="n"/>
    </row>
    <row r="140">
      <c r="A140" s="22" t="n"/>
      <c r="B140" s="22" t="n"/>
      <c r="C140" s="22" t="n"/>
      <c r="D140" s="22" t="n"/>
      <c r="E140" s="22" t="n"/>
      <c r="F140" s="19" t="n"/>
      <c r="G140" s="22" t="n"/>
      <c r="H140" s="22" t="n"/>
      <c r="I140" s="22" t="n"/>
      <c r="J140" s="22" t="n"/>
      <c r="K140" s="22" t="n"/>
      <c r="L140" s="12" t="n"/>
      <c r="M140" s="12" t="n"/>
      <c r="N140" s="22" t="n"/>
      <c r="O140" s="23" t="n"/>
      <c r="P140" s="20" t="n"/>
      <c r="Q140" s="20" t="n"/>
      <c r="R140" s="22">
        <f>IF(Q140="","",Q140-TODAY())</f>
        <v/>
      </c>
      <c r="S140" s="22">
        <f>IF(Q140="","-",IF(Q140&lt;TODAY(),"UEBERFAELLIG",IF(Q140-TODAY()&lt;=7,"DIESE WOCHE","ok")))</f>
        <v/>
      </c>
      <c r="T140" s="12" t="n"/>
      <c r="U140" s="22" t="n"/>
      <c r="V140" s="15" t="n"/>
      <c r="W140" s="12" t="n"/>
    </row>
    <row r="141">
      <c r="A141" s="22" t="n"/>
      <c r="B141" s="22" t="n"/>
      <c r="C141" s="22" t="n"/>
      <c r="D141" s="22" t="n"/>
      <c r="E141" s="22" t="n"/>
      <c r="F141" s="19" t="n"/>
      <c r="G141" s="22" t="n"/>
      <c r="H141" s="22" t="n"/>
      <c r="I141" s="22" t="n"/>
      <c r="J141" s="22" t="n"/>
      <c r="K141" s="22" t="n"/>
      <c r="L141" s="12" t="n"/>
      <c r="M141" s="12" t="n"/>
      <c r="N141" s="22" t="n"/>
      <c r="O141" s="23" t="n"/>
      <c r="P141" s="20" t="n"/>
      <c r="Q141" s="20" t="n"/>
      <c r="R141" s="22">
        <f>IF(Q141="","",Q141-TODAY())</f>
        <v/>
      </c>
      <c r="S141" s="22">
        <f>IF(Q141="","-",IF(Q141&lt;TODAY(),"UEBERFAELLIG",IF(Q141-TODAY()&lt;=7,"DIESE WOCHE","ok")))</f>
        <v/>
      </c>
      <c r="T141" s="12" t="n"/>
      <c r="U141" s="22" t="n"/>
      <c r="V141" s="15" t="n"/>
      <c r="W141" s="12" t="n"/>
    </row>
    <row r="142">
      <c r="A142" s="22" t="n"/>
      <c r="B142" s="22" t="n"/>
      <c r="C142" s="22" t="n"/>
      <c r="D142" s="22" t="n"/>
      <c r="E142" s="22" t="n"/>
      <c r="F142" s="19" t="n"/>
      <c r="G142" s="22" t="n"/>
      <c r="H142" s="22" t="n"/>
      <c r="I142" s="22" t="n"/>
      <c r="J142" s="22" t="n"/>
      <c r="K142" s="22" t="n"/>
      <c r="L142" s="12" t="n"/>
      <c r="M142" s="12" t="n"/>
      <c r="N142" s="22" t="n"/>
      <c r="O142" s="23" t="n"/>
      <c r="P142" s="20" t="n"/>
      <c r="Q142" s="20" t="n"/>
      <c r="R142" s="22">
        <f>IF(Q142="","",Q142-TODAY())</f>
        <v/>
      </c>
      <c r="S142" s="22">
        <f>IF(Q142="","-",IF(Q142&lt;TODAY(),"UEBERFAELLIG",IF(Q142-TODAY()&lt;=7,"DIESE WOCHE","ok")))</f>
        <v/>
      </c>
      <c r="T142" s="12" t="n"/>
      <c r="U142" s="22" t="n"/>
      <c r="V142" s="15" t="n"/>
      <c r="W142" s="12" t="n"/>
    </row>
    <row r="143">
      <c r="A143" s="22" t="n"/>
      <c r="B143" s="22" t="n"/>
      <c r="C143" s="22" t="n"/>
      <c r="D143" s="22" t="n"/>
      <c r="E143" s="22" t="n"/>
      <c r="F143" s="19" t="n"/>
      <c r="G143" s="22" t="n"/>
      <c r="H143" s="22" t="n"/>
      <c r="I143" s="22" t="n"/>
      <c r="J143" s="22" t="n"/>
      <c r="K143" s="22" t="n"/>
      <c r="L143" s="12" t="n"/>
      <c r="M143" s="12" t="n"/>
      <c r="N143" s="22" t="n"/>
      <c r="O143" s="23" t="n"/>
      <c r="P143" s="20" t="n"/>
      <c r="Q143" s="20" t="n"/>
      <c r="R143" s="22">
        <f>IF(Q143="","",Q143-TODAY())</f>
        <v/>
      </c>
      <c r="S143" s="22">
        <f>IF(Q143="","-",IF(Q143&lt;TODAY(),"UEBERFAELLIG",IF(Q143-TODAY()&lt;=7,"DIESE WOCHE","ok")))</f>
        <v/>
      </c>
      <c r="T143" s="12" t="n"/>
      <c r="U143" s="22" t="n"/>
      <c r="V143" s="15" t="n"/>
      <c r="W143" s="12" t="n"/>
    </row>
    <row r="144">
      <c r="A144" s="22" t="n"/>
      <c r="B144" s="22" t="n"/>
      <c r="C144" s="22" t="n"/>
      <c r="D144" s="22" t="n"/>
      <c r="E144" s="22" t="n"/>
      <c r="F144" s="19" t="n"/>
      <c r="G144" s="22" t="n"/>
      <c r="H144" s="22" t="n"/>
      <c r="I144" s="22" t="n"/>
      <c r="J144" s="22" t="n"/>
      <c r="K144" s="22" t="n"/>
      <c r="L144" s="12" t="n"/>
      <c r="M144" s="12" t="n"/>
      <c r="N144" s="22" t="n"/>
      <c r="O144" s="23" t="n"/>
      <c r="P144" s="20" t="n"/>
      <c r="Q144" s="20" t="n"/>
      <c r="R144" s="22">
        <f>IF(Q144="","",Q144-TODAY())</f>
        <v/>
      </c>
      <c r="S144" s="22">
        <f>IF(Q144="","-",IF(Q144&lt;TODAY(),"UEBERFAELLIG",IF(Q144-TODAY()&lt;=7,"DIESE WOCHE","ok")))</f>
        <v/>
      </c>
      <c r="T144" s="12" t="n"/>
      <c r="U144" s="22" t="n"/>
      <c r="V144" s="15" t="n"/>
      <c r="W144" s="12" t="n"/>
    </row>
    <row r="145">
      <c r="A145" s="22" t="n"/>
      <c r="B145" s="22" t="n"/>
      <c r="C145" s="22" t="n"/>
      <c r="D145" s="22" t="n"/>
      <c r="E145" s="22" t="n"/>
      <c r="F145" s="19" t="n"/>
      <c r="G145" s="22" t="n"/>
      <c r="H145" s="22" t="n"/>
      <c r="I145" s="22" t="n"/>
      <c r="J145" s="22" t="n"/>
      <c r="K145" s="22" t="n"/>
      <c r="L145" s="12" t="n"/>
      <c r="M145" s="12" t="n"/>
      <c r="N145" s="22" t="n"/>
      <c r="O145" s="23" t="n"/>
      <c r="P145" s="20" t="n"/>
      <c r="Q145" s="20" t="n"/>
      <c r="R145" s="22">
        <f>IF(Q145="","",Q145-TODAY())</f>
        <v/>
      </c>
      <c r="S145" s="22">
        <f>IF(Q145="","-",IF(Q145&lt;TODAY(),"UEBERFAELLIG",IF(Q145-TODAY()&lt;=7,"DIESE WOCHE","ok")))</f>
        <v/>
      </c>
      <c r="T145" s="12" t="n"/>
      <c r="U145" s="22" t="n"/>
      <c r="V145" s="15" t="n"/>
      <c r="W145" s="12" t="n"/>
    </row>
    <row r="146">
      <c r="A146" s="22" t="n"/>
      <c r="B146" s="22" t="n"/>
      <c r="C146" s="22" t="n"/>
      <c r="D146" s="22" t="n"/>
      <c r="E146" s="22" t="n"/>
      <c r="F146" s="19" t="n"/>
      <c r="G146" s="22" t="n"/>
      <c r="H146" s="22" t="n"/>
      <c r="I146" s="22" t="n"/>
      <c r="J146" s="22" t="n"/>
      <c r="K146" s="22" t="n"/>
      <c r="L146" s="12" t="n"/>
      <c r="M146" s="12" t="n"/>
      <c r="N146" s="22" t="n"/>
      <c r="O146" s="23" t="n"/>
      <c r="P146" s="20" t="n"/>
      <c r="Q146" s="20" t="n"/>
      <c r="R146" s="22">
        <f>IF(Q146="","",Q146-TODAY())</f>
        <v/>
      </c>
      <c r="S146" s="22">
        <f>IF(Q146="","-",IF(Q146&lt;TODAY(),"UEBERFAELLIG",IF(Q146-TODAY()&lt;=7,"DIESE WOCHE","ok")))</f>
        <v/>
      </c>
      <c r="T146" s="12" t="n"/>
      <c r="U146" s="22" t="n"/>
      <c r="V146" s="15" t="n"/>
      <c r="W146" s="12" t="n"/>
    </row>
    <row r="147">
      <c r="A147" s="22" t="n"/>
      <c r="B147" s="22" t="n"/>
      <c r="C147" s="22" t="n"/>
      <c r="D147" s="22" t="n"/>
      <c r="E147" s="22" t="n"/>
      <c r="F147" s="19" t="n"/>
      <c r="G147" s="22" t="n"/>
      <c r="H147" s="22" t="n"/>
      <c r="I147" s="22" t="n"/>
      <c r="J147" s="22" t="n"/>
      <c r="K147" s="22" t="n"/>
      <c r="L147" s="12" t="n"/>
      <c r="M147" s="12" t="n"/>
      <c r="N147" s="22" t="n"/>
      <c r="O147" s="23" t="n"/>
      <c r="P147" s="20" t="n"/>
      <c r="Q147" s="20" t="n"/>
      <c r="R147" s="22">
        <f>IF(Q147="","",Q147-TODAY())</f>
        <v/>
      </c>
      <c r="S147" s="22">
        <f>IF(Q147="","-",IF(Q147&lt;TODAY(),"UEBERFAELLIG",IF(Q147-TODAY()&lt;=7,"DIESE WOCHE","ok")))</f>
        <v/>
      </c>
      <c r="T147" s="12" t="n"/>
      <c r="U147" s="22" t="n"/>
      <c r="V147" s="15" t="n"/>
      <c r="W147" s="12" t="n"/>
    </row>
    <row r="148">
      <c r="A148" s="22" t="n"/>
      <c r="B148" s="22" t="n"/>
      <c r="C148" s="22" t="n"/>
      <c r="D148" s="22" t="n"/>
      <c r="E148" s="22" t="n"/>
      <c r="F148" s="19" t="n"/>
      <c r="G148" s="22" t="n"/>
      <c r="H148" s="22" t="n"/>
      <c r="I148" s="22" t="n"/>
      <c r="J148" s="22" t="n"/>
      <c r="K148" s="22" t="n"/>
      <c r="L148" s="12" t="n"/>
      <c r="M148" s="12" t="n"/>
      <c r="N148" s="22" t="n"/>
      <c r="O148" s="23" t="n"/>
      <c r="P148" s="20" t="n"/>
      <c r="Q148" s="20" t="n"/>
      <c r="R148" s="22">
        <f>IF(Q148="","",Q148-TODAY())</f>
        <v/>
      </c>
      <c r="S148" s="22">
        <f>IF(Q148="","-",IF(Q148&lt;TODAY(),"UEBERFAELLIG",IF(Q148-TODAY()&lt;=7,"DIESE WOCHE","ok")))</f>
        <v/>
      </c>
      <c r="T148" s="12" t="n"/>
      <c r="U148" s="22" t="n"/>
      <c r="V148" s="15" t="n"/>
      <c r="W148" s="12" t="n"/>
    </row>
    <row r="149">
      <c r="A149" s="22" t="n"/>
      <c r="B149" s="22" t="n"/>
      <c r="C149" s="22" t="n"/>
      <c r="D149" s="22" t="n"/>
      <c r="E149" s="22" t="n"/>
      <c r="F149" s="19" t="n"/>
      <c r="G149" s="22" t="n"/>
      <c r="H149" s="22" t="n"/>
      <c r="I149" s="22" t="n"/>
      <c r="J149" s="22" t="n"/>
      <c r="K149" s="22" t="n"/>
      <c r="L149" s="12" t="n"/>
      <c r="M149" s="12" t="n"/>
      <c r="N149" s="22" t="n"/>
      <c r="O149" s="23" t="n"/>
      <c r="P149" s="20" t="n"/>
      <c r="Q149" s="20" t="n"/>
      <c r="R149" s="22">
        <f>IF(Q149="","",Q149-TODAY())</f>
        <v/>
      </c>
      <c r="S149" s="22">
        <f>IF(Q149="","-",IF(Q149&lt;TODAY(),"UEBERFAELLIG",IF(Q149-TODAY()&lt;=7,"DIESE WOCHE","ok")))</f>
        <v/>
      </c>
      <c r="T149" s="12" t="n"/>
      <c r="U149" s="22" t="n"/>
      <c r="V149" s="15" t="n"/>
      <c r="W149" s="12" t="n"/>
    </row>
    <row r="150">
      <c r="A150" s="22" t="n"/>
      <c r="B150" s="22" t="n"/>
      <c r="C150" s="22" t="n"/>
      <c r="D150" s="22" t="n"/>
      <c r="E150" s="22" t="n"/>
      <c r="F150" s="19" t="n"/>
      <c r="G150" s="22" t="n"/>
      <c r="H150" s="22" t="n"/>
      <c r="I150" s="22" t="n"/>
      <c r="J150" s="22" t="n"/>
      <c r="K150" s="22" t="n"/>
      <c r="L150" s="12" t="n"/>
      <c r="M150" s="12" t="n"/>
      <c r="N150" s="22" t="n"/>
      <c r="O150" s="23" t="n"/>
      <c r="P150" s="20" t="n"/>
      <c r="Q150" s="20" t="n"/>
      <c r="R150" s="22">
        <f>IF(Q150="","",Q150-TODAY())</f>
        <v/>
      </c>
      <c r="S150" s="22">
        <f>IF(Q150="","-",IF(Q150&lt;TODAY(),"UEBERFAELLIG",IF(Q150-TODAY()&lt;=7,"DIESE WOCHE","ok")))</f>
        <v/>
      </c>
      <c r="T150" s="12" t="n"/>
      <c r="U150" s="22" t="n"/>
      <c r="V150" s="15" t="n"/>
      <c r="W150" s="12" t="n"/>
    </row>
    <row r="151">
      <c r="A151" s="22" t="n"/>
      <c r="B151" s="22" t="n"/>
      <c r="C151" s="22" t="n"/>
      <c r="D151" s="22" t="n"/>
      <c r="E151" s="22" t="n"/>
      <c r="F151" s="19" t="n"/>
      <c r="G151" s="22" t="n"/>
      <c r="H151" s="22" t="n"/>
      <c r="I151" s="22" t="n"/>
      <c r="J151" s="22" t="n"/>
      <c r="K151" s="22" t="n"/>
      <c r="L151" s="12" t="n"/>
      <c r="M151" s="12" t="n"/>
      <c r="N151" s="22" t="n"/>
      <c r="O151" s="23" t="n"/>
      <c r="P151" s="20" t="n"/>
      <c r="Q151" s="20" t="n"/>
      <c r="R151" s="22">
        <f>IF(Q151="","",Q151-TODAY())</f>
        <v/>
      </c>
      <c r="S151" s="22">
        <f>IF(Q151="","-",IF(Q151&lt;TODAY(),"UEBERFAELLIG",IF(Q151-TODAY()&lt;=7,"DIESE WOCHE","ok")))</f>
        <v/>
      </c>
      <c r="T151" s="12" t="n"/>
      <c r="U151" s="22" t="n"/>
      <c r="V151" s="15" t="n"/>
      <c r="W151" s="12" t="n"/>
    </row>
    <row r="152">
      <c r="A152" s="22" t="n"/>
      <c r="B152" s="22" t="n"/>
      <c r="C152" s="22" t="n"/>
      <c r="D152" s="22" t="n"/>
      <c r="E152" s="22" t="n"/>
      <c r="F152" s="19" t="n"/>
      <c r="G152" s="22" t="n"/>
      <c r="H152" s="22" t="n"/>
      <c r="I152" s="22" t="n"/>
      <c r="J152" s="22" t="n"/>
      <c r="K152" s="22" t="n"/>
      <c r="L152" s="12" t="n"/>
      <c r="M152" s="12" t="n"/>
      <c r="N152" s="22" t="n"/>
      <c r="O152" s="23" t="n"/>
      <c r="P152" s="20" t="n"/>
      <c r="Q152" s="20" t="n"/>
      <c r="R152" s="22">
        <f>IF(Q152="","",Q152-TODAY())</f>
        <v/>
      </c>
      <c r="S152" s="22">
        <f>IF(Q152="","-",IF(Q152&lt;TODAY(),"UEBERFAELLIG",IF(Q152-TODAY()&lt;=7,"DIESE WOCHE","ok")))</f>
        <v/>
      </c>
      <c r="T152" s="12" t="n"/>
      <c r="U152" s="22" t="n"/>
      <c r="V152" s="15" t="n"/>
      <c r="W152" s="12" t="n"/>
    </row>
    <row r="153">
      <c r="A153" s="22" t="n"/>
      <c r="B153" s="22" t="n"/>
      <c r="C153" s="22" t="n"/>
      <c r="D153" s="22" t="n"/>
      <c r="E153" s="22" t="n"/>
      <c r="F153" s="19" t="n"/>
      <c r="G153" s="22" t="n"/>
      <c r="H153" s="22" t="n"/>
      <c r="I153" s="22" t="n"/>
      <c r="J153" s="22" t="n"/>
      <c r="K153" s="22" t="n"/>
      <c r="L153" s="12" t="n"/>
      <c r="M153" s="12" t="n"/>
      <c r="N153" s="22" t="n"/>
      <c r="O153" s="23" t="n"/>
      <c r="P153" s="20" t="n"/>
      <c r="Q153" s="20" t="n"/>
      <c r="R153" s="22">
        <f>IF(Q153="","",Q153-TODAY())</f>
        <v/>
      </c>
      <c r="S153" s="22">
        <f>IF(Q153="","-",IF(Q153&lt;TODAY(),"UEBERFAELLIG",IF(Q153-TODAY()&lt;=7,"DIESE WOCHE","ok")))</f>
        <v/>
      </c>
      <c r="T153" s="12" t="n"/>
      <c r="U153" s="22" t="n"/>
      <c r="V153" s="15" t="n"/>
      <c r="W153" s="12" t="n"/>
    </row>
    <row r="154">
      <c r="A154" s="22" t="n"/>
      <c r="B154" s="22" t="n"/>
      <c r="C154" s="22" t="n"/>
      <c r="D154" s="22" t="n"/>
      <c r="E154" s="22" t="n"/>
      <c r="F154" s="19" t="n"/>
      <c r="G154" s="22" t="n"/>
      <c r="H154" s="22" t="n"/>
      <c r="I154" s="22" t="n"/>
      <c r="J154" s="22" t="n"/>
      <c r="K154" s="22" t="n"/>
      <c r="L154" s="12" t="n"/>
      <c r="M154" s="12" t="n"/>
      <c r="N154" s="22" t="n"/>
      <c r="O154" s="23" t="n"/>
      <c r="P154" s="20" t="n"/>
      <c r="Q154" s="20" t="n"/>
      <c r="R154" s="22">
        <f>IF(Q154="","",Q154-TODAY())</f>
        <v/>
      </c>
      <c r="S154" s="22">
        <f>IF(Q154="","-",IF(Q154&lt;TODAY(),"UEBERFAELLIG",IF(Q154-TODAY()&lt;=7,"DIESE WOCHE","ok")))</f>
        <v/>
      </c>
      <c r="T154" s="12" t="n"/>
      <c r="U154" s="22" t="n"/>
      <c r="V154" s="15" t="n"/>
      <c r="W154" s="12" t="n"/>
    </row>
    <row r="155">
      <c r="A155" s="22" t="n"/>
      <c r="B155" s="22" t="n"/>
      <c r="C155" s="22" t="n"/>
      <c r="D155" s="22" t="n"/>
      <c r="E155" s="22" t="n"/>
      <c r="F155" s="19" t="n"/>
      <c r="G155" s="22" t="n"/>
      <c r="H155" s="22" t="n"/>
      <c r="I155" s="22" t="n"/>
      <c r="J155" s="22" t="n"/>
      <c r="K155" s="22" t="n"/>
      <c r="L155" s="12" t="n"/>
      <c r="M155" s="12" t="n"/>
      <c r="N155" s="22" t="n"/>
      <c r="O155" s="23" t="n"/>
      <c r="P155" s="20" t="n"/>
      <c r="Q155" s="20" t="n"/>
      <c r="R155" s="22">
        <f>IF(Q155="","",Q155-TODAY())</f>
        <v/>
      </c>
      <c r="S155" s="22">
        <f>IF(Q155="","-",IF(Q155&lt;TODAY(),"UEBERFAELLIG",IF(Q155-TODAY()&lt;=7,"DIESE WOCHE","ok")))</f>
        <v/>
      </c>
      <c r="T155" s="12" t="n"/>
      <c r="U155" s="22" t="n"/>
      <c r="V155" s="15" t="n"/>
      <c r="W155" s="12" t="n"/>
    </row>
    <row r="156">
      <c r="A156" s="22" t="n"/>
      <c r="B156" s="22" t="n"/>
      <c r="C156" s="22" t="n"/>
      <c r="D156" s="22" t="n"/>
      <c r="E156" s="22" t="n"/>
      <c r="F156" s="19" t="n"/>
      <c r="G156" s="22" t="n"/>
      <c r="H156" s="22" t="n"/>
      <c r="I156" s="22" t="n"/>
      <c r="J156" s="22" t="n"/>
      <c r="K156" s="22" t="n"/>
      <c r="L156" s="12" t="n"/>
      <c r="M156" s="12" t="n"/>
      <c r="N156" s="22" t="n"/>
      <c r="O156" s="23" t="n"/>
      <c r="P156" s="20" t="n"/>
      <c r="Q156" s="20" t="n"/>
      <c r="R156" s="22">
        <f>IF(Q156="","",Q156-TODAY())</f>
        <v/>
      </c>
      <c r="S156" s="22">
        <f>IF(Q156="","-",IF(Q156&lt;TODAY(),"UEBERFAELLIG",IF(Q156-TODAY()&lt;=7,"DIESE WOCHE","ok")))</f>
        <v/>
      </c>
      <c r="T156" s="12" t="n"/>
      <c r="U156" s="22" t="n"/>
      <c r="V156" s="15" t="n"/>
      <c r="W156" s="12" t="n"/>
    </row>
    <row r="157">
      <c r="A157" s="22" t="n"/>
      <c r="B157" s="22" t="n"/>
      <c r="C157" s="22" t="n"/>
      <c r="D157" s="22" t="n"/>
      <c r="E157" s="22" t="n"/>
      <c r="F157" s="19" t="n"/>
      <c r="G157" s="22" t="n"/>
      <c r="H157" s="22" t="n"/>
      <c r="I157" s="22" t="n"/>
      <c r="J157" s="22" t="n"/>
      <c r="K157" s="22" t="n"/>
      <c r="L157" s="12" t="n"/>
      <c r="M157" s="12" t="n"/>
      <c r="N157" s="22" t="n"/>
      <c r="O157" s="23" t="n"/>
      <c r="P157" s="20" t="n"/>
      <c r="Q157" s="20" t="n"/>
      <c r="R157" s="22">
        <f>IF(Q157="","",Q157-TODAY())</f>
        <v/>
      </c>
      <c r="S157" s="22">
        <f>IF(Q157="","-",IF(Q157&lt;TODAY(),"UEBERFAELLIG",IF(Q157-TODAY()&lt;=7,"DIESE WOCHE","ok")))</f>
        <v/>
      </c>
      <c r="T157" s="12" t="n"/>
      <c r="U157" s="22" t="n"/>
      <c r="V157" s="15" t="n"/>
      <c r="W157" s="12" t="n"/>
    </row>
    <row r="158">
      <c r="A158" s="22" t="n"/>
      <c r="B158" s="22" t="n"/>
      <c r="C158" s="22" t="n"/>
      <c r="D158" s="22" t="n"/>
      <c r="E158" s="22" t="n"/>
      <c r="F158" s="19" t="n"/>
      <c r="G158" s="22" t="n"/>
      <c r="H158" s="22" t="n"/>
      <c r="I158" s="22" t="n"/>
      <c r="J158" s="22" t="n"/>
      <c r="K158" s="22" t="n"/>
      <c r="L158" s="12" t="n"/>
      <c r="M158" s="12" t="n"/>
      <c r="N158" s="22" t="n"/>
      <c r="O158" s="23" t="n"/>
      <c r="P158" s="20" t="n"/>
      <c r="Q158" s="20" t="n"/>
      <c r="R158" s="22">
        <f>IF(Q158="","",Q158-TODAY())</f>
        <v/>
      </c>
      <c r="S158" s="22">
        <f>IF(Q158="","-",IF(Q158&lt;TODAY(),"UEBERFAELLIG",IF(Q158-TODAY()&lt;=7,"DIESE WOCHE","ok")))</f>
        <v/>
      </c>
      <c r="T158" s="12" t="n"/>
      <c r="U158" s="22" t="n"/>
      <c r="V158" s="15" t="n"/>
      <c r="W158" s="12" t="n"/>
    </row>
    <row r="159">
      <c r="A159" s="22" t="n"/>
      <c r="B159" s="22" t="n"/>
      <c r="C159" s="22" t="n"/>
      <c r="D159" s="22" t="n"/>
      <c r="E159" s="22" t="n"/>
      <c r="F159" s="19" t="n"/>
      <c r="G159" s="22" t="n"/>
      <c r="H159" s="22" t="n"/>
      <c r="I159" s="22" t="n"/>
      <c r="J159" s="22" t="n"/>
      <c r="K159" s="22" t="n"/>
      <c r="L159" s="12" t="n"/>
      <c r="M159" s="12" t="n"/>
      <c r="N159" s="22" t="n"/>
      <c r="O159" s="23" t="n"/>
      <c r="P159" s="20" t="n"/>
      <c r="Q159" s="20" t="n"/>
      <c r="R159" s="22">
        <f>IF(Q159="","",Q159-TODAY())</f>
        <v/>
      </c>
      <c r="S159" s="22">
        <f>IF(Q159="","-",IF(Q159&lt;TODAY(),"UEBERFAELLIG",IF(Q159-TODAY()&lt;=7,"DIESE WOCHE","ok")))</f>
        <v/>
      </c>
      <c r="T159" s="12" t="n"/>
      <c r="U159" s="22" t="n"/>
      <c r="V159" s="15" t="n"/>
      <c r="W159" s="12" t="n"/>
    </row>
    <row r="160">
      <c r="A160" s="22" t="n"/>
      <c r="B160" s="22" t="n"/>
      <c r="C160" s="22" t="n"/>
      <c r="D160" s="22" t="n"/>
      <c r="E160" s="22" t="n"/>
      <c r="F160" s="19" t="n"/>
      <c r="G160" s="22" t="n"/>
      <c r="H160" s="22" t="n"/>
      <c r="I160" s="22" t="n"/>
      <c r="J160" s="22" t="n"/>
      <c r="K160" s="22" t="n"/>
      <c r="L160" s="12" t="n"/>
      <c r="M160" s="12" t="n"/>
      <c r="N160" s="22" t="n"/>
      <c r="O160" s="23" t="n"/>
      <c r="P160" s="20" t="n"/>
      <c r="Q160" s="20" t="n"/>
      <c r="R160" s="22">
        <f>IF(Q160="","",Q160-TODAY())</f>
        <v/>
      </c>
      <c r="S160" s="22">
        <f>IF(Q160="","-",IF(Q160&lt;TODAY(),"UEBERFAELLIG",IF(Q160-TODAY()&lt;=7,"DIESE WOCHE","ok")))</f>
        <v/>
      </c>
      <c r="T160" s="12" t="n"/>
      <c r="U160" s="22" t="n"/>
      <c r="V160" s="15" t="n"/>
      <c r="W160" s="12" t="n"/>
    </row>
    <row r="161">
      <c r="A161" s="22" t="n"/>
      <c r="B161" s="22" t="n"/>
      <c r="C161" s="22" t="n"/>
      <c r="D161" s="22" t="n"/>
      <c r="E161" s="22" t="n"/>
      <c r="F161" s="19" t="n"/>
      <c r="G161" s="22" t="n"/>
      <c r="H161" s="22" t="n"/>
      <c r="I161" s="22" t="n"/>
      <c r="J161" s="22" t="n"/>
      <c r="K161" s="22" t="n"/>
      <c r="L161" s="12" t="n"/>
      <c r="M161" s="12" t="n"/>
      <c r="N161" s="22" t="n"/>
      <c r="O161" s="23" t="n"/>
      <c r="P161" s="20" t="n"/>
      <c r="Q161" s="20" t="n"/>
      <c r="R161" s="22">
        <f>IF(Q161="","",Q161-TODAY())</f>
        <v/>
      </c>
      <c r="S161" s="22">
        <f>IF(Q161="","-",IF(Q161&lt;TODAY(),"UEBERFAELLIG",IF(Q161-TODAY()&lt;=7,"DIESE WOCHE","ok")))</f>
        <v/>
      </c>
      <c r="T161" s="12" t="n"/>
      <c r="U161" s="22" t="n"/>
      <c r="V161" s="15" t="n"/>
      <c r="W161" s="12" t="n"/>
    </row>
    <row r="162">
      <c r="A162" s="22" t="n"/>
      <c r="B162" s="22" t="n"/>
      <c r="C162" s="22" t="n"/>
      <c r="D162" s="22" t="n"/>
      <c r="E162" s="22" t="n"/>
      <c r="F162" s="19" t="n"/>
      <c r="G162" s="22" t="n"/>
      <c r="H162" s="22" t="n"/>
      <c r="I162" s="22" t="n"/>
      <c r="J162" s="22" t="n"/>
      <c r="K162" s="22" t="n"/>
      <c r="L162" s="12" t="n"/>
      <c r="M162" s="12" t="n"/>
      <c r="N162" s="22" t="n"/>
      <c r="O162" s="23" t="n"/>
      <c r="P162" s="20" t="n"/>
      <c r="Q162" s="20" t="n"/>
      <c r="R162" s="22">
        <f>IF(Q162="","",Q162-TODAY())</f>
        <v/>
      </c>
      <c r="S162" s="22">
        <f>IF(Q162="","-",IF(Q162&lt;TODAY(),"UEBERFAELLIG",IF(Q162-TODAY()&lt;=7,"DIESE WOCHE","ok")))</f>
        <v/>
      </c>
      <c r="T162" s="12" t="n"/>
      <c r="U162" s="22" t="n"/>
      <c r="V162" s="15" t="n"/>
      <c r="W162" s="12" t="n"/>
    </row>
    <row r="163">
      <c r="A163" s="22" t="n"/>
      <c r="B163" s="22" t="n"/>
      <c r="C163" s="22" t="n"/>
      <c r="D163" s="22" t="n"/>
      <c r="E163" s="22" t="n"/>
      <c r="F163" s="19" t="n"/>
      <c r="G163" s="22" t="n"/>
      <c r="H163" s="22" t="n"/>
      <c r="I163" s="22" t="n"/>
      <c r="J163" s="22" t="n"/>
      <c r="K163" s="22" t="n"/>
      <c r="L163" s="12" t="n"/>
      <c r="M163" s="12" t="n"/>
      <c r="N163" s="22" t="n"/>
      <c r="O163" s="23" t="n"/>
      <c r="P163" s="20" t="n"/>
      <c r="Q163" s="20" t="n"/>
      <c r="R163" s="22">
        <f>IF(Q163="","",Q163-TODAY())</f>
        <v/>
      </c>
      <c r="S163" s="22">
        <f>IF(Q163="","-",IF(Q163&lt;TODAY(),"UEBERFAELLIG",IF(Q163-TODAY()&lt;=7,"DIESE WOCHE","ok")))</f>
        <v/>
      </c>
      <c r="T163" s="12" t="n"/>
      <c r="U163" s="22" t="n"/>
      <c r="V163" s="15" t="n"/>
      <c r="W163" s="12" t="n"/>
    </row>
    <row r="164">
      <c r="A164" s="22" t="n"/>
      <c r="B164" s="22" t="n"/>
      <c r="C164" s="22" t="n"/>
      <c r="D164" s="22" t="n"/>
      <c r="E164" s="22" t="n"/>
      <c r="F164" s="19" t="n"/>
      <c r="G164" s="22" t="n"/>
      <c r="H164" s="22" t="n"/>
      <c r="I164" s="22" t="n"/>
      <c r="J164" s="22" t="n"/>
      <c r="K164" s="22" t="n"/>
      <c r="L164" s="12" t="n"/>
      <c r="M164" s="12" t="n"/>
      <c r="N164" s="22" t="n"/>
      <c r="O164" s="23" t="n"/>
      <c r="P164" s="20" t="n"/>
      <c r="Q164" s="20" t="n"/>
      <c r="R164" s="22">
        <f>IF(Q164="","",Q164-TODAY())</f>
        <v/>
      </c>
      <c r="S164" s="22">
        <f>IF(Q164="","-",IF(Q164&lt;TODAY(),"UEBERFAELLIG",IF(Q164-TODAY()&lt;=7,"DIESE WOCHE","ok")))</f>
        <v/>
      </c>
      <c r="T164" s="12" t="n"/>
      <c r="U164" s="22" t="n"/>
      <c r="V164" s="15" t="n"/>
      <c r="W164" s="12" t="n"/>
    </row>
    <row r="165">
      <c r="A165" s="22" t="n"/>
      <c r="B165" s="22" t="n"/>
      <c r="C165" s="22" t="n"/>
      <c r="D165" s="22" t="n"/>
      <c r="E165" s="22" t="n"/>
      <c r="F165" s="19" t="n"/>
      <c r="G165" s="22" t="n"/>
      <c r="H165" s="22" t="n"/>
      <c r="I165" s="22" t="n"/>
      <c r="J165" s="22" t="n"/>
      <c r="K165" s="22" t="n"/>
      <c r="L165" s="12" t="n"/>
      <c r="M165" s="12" t="n"/>
      <c r="N165" s="22" t="n"/>
      <c r="O165" s="23" t="n"/>
      <c r="P165" s="20" t="n"/>
      <c r="Q165" s="20" t="n"/>
      <c r="R165" s="22">
        <f>IF(Q165="","",Q165-TODAY())</f>
        <v/>
      </c>
      <c r="S165" s="22">
        <f>IF(Q165="","-",IF(Q165&lt;TODAY(),"UEBERFAELLIG",IF(Q165-TODAY()&lt;=7,"DIESE WOCHE","ok")))</f>
        <v/>
      </c>
      <c r="T165" s="12" t="n"/>
      <c r="U165" s="22" t="n"/>
      <c r="V165" s="15" t="n"/>
      <c r="W165" s="12" t="n"/>
    </row>
    <row r="166">
      <c r="A166" s="22" t="n"/>
      <c r="B166" s="22" t="n"/>
      <c r="C166" s="22" t="n"/>
      <c r="D166" s="22" t="n"/>
      <c r="E166" s="22" t="n"/>
      <c r="F166" s="19" t="n"/>
      <c r="G166" s="22" t="n"/>
      <c r="H166" s="22" t="n"/>
      <c r="I166" s="22" t="n"/>
      <c r="J166" s="22" t="n"/>
      <c r="K166" s="22" t="n"/>
      <c r="L166" s="12" t="n"/>
      <c r="M166" s="12" t="n"/>
      <c r="N166" s="22" t="n"/>
      <c r="O166" s="23" t="n"/>
      <c r="P166" s="20" t="n"/>
      <c r="Q166" s="20" t="n"/>
      <c r="R166" s="22">
        <f>IF(Q166="","",Q166-TODAY())</f>
        <v/>
      </c>
      <c r="S166" s="22">
        <f>IF(Q166="","-",IF(Q166&lt;TODAY(),"UEBERFAELLIG",IF(Q166-TODAY()&lt;=7,"DIESE WOCHE","ok")))</f>
        <v/>
      </c>
      <c r="T166" s="12" t="n"/>
      <c r="U166" s="22" t="n"/>
      <c r="V166" s="15" t="n"/>
      <c r="W166" s="12" t="n"/>
    </row>
    <row r="167">
      <c r="A167" s="22" t="n"/>
      <c r="B167" s="22" t="n"/>
      <c r="C167" s="22" t="n"/>
      <c r="D167" s="22" t="n"/>
      <c r="E167" s="22" t="n"/>
      <c r="F167" s="19" t="n"/>
      <c r="G167" s="22" t="n"/>
      <c r="H167" s="22" t="n"/>
      <c r="I167" s="22" t="n"/>
      <c r="J167" s="22" t="n"/>
      <c r="K167" s="22" t="n"/>
      <c r="L167" s="12" t="n"/>
      <c r="M167" s="12" t="n"/>
      <c r="N167" s="22" t="n"/>
      <c r="O167" s="23" t="n"/>
      <c r="P167" s="20" t="n"/>
      <c r="Q167" s="20" t="n"/>
      <c r="R167" s="22">
        <f>IF(Q167="","",Q167-TODAY())</f>
        <v/>
      </c>
      <c r="S167" s="22">
        <f>IF(Q167="","-",IF(Q167&lt;TODAY(),"UEBERFAELLIG",IF(Q167-TODAY()&lt;=7,"DIESE WOCHE","ok")))</f>
        <v/>
      </c>
      <c r="T167" s="12" t="n"/>
      <c r="U167" s="22" t="n"/>
      <c r="V167" s="15" t="n"/>
      <c r="W167" s="12" t="n"/>
    </row>
    <row r="168">
      <c r="A168" s="22" t="n"/>
      <c r="B168" s="22" t="n"/>
      <c r="C168" s="22" t="n"/>
      <c r="D168" s="22" t="n"/>
      <c r="E168" s="22" t="n"/>
      <c r="F168" s="19" t="n"/>
      <c r="G168" s="22" t="n"/>
      <c r="H168" s="22" t="n"/>
      <c r="I168" s="22" t="n"/>
      <c r="J168" s="22" t="n"/>
      <c r="K168" s="22" t="n"/>
      <c r="L168" s="12" t="n"/>
      <c r="M168" s="12" t="n"/>
      <c r="N168" s="22" t="n"/>
      <c r="O168" s="23" t="n"/>
      <c r="P168" s="20" t="n"/>
      <c r="Q168" s="20" t="n"/>
      <c r="R168" s="22">
        <f>IF(Q168="","",Q168-TODAY())</f>
        <v/>
      </c>
      <c r="S168" s="22">
        <f>IF(Q168="","-",IF(Q168&lt;TODAY(),"UEBERFAELLIG",IF(Q168-TODAY()&lt;=7,"DIESE WOCHE","ok")))</f>
        <v/>
      </c>
      <c r="T168" s="12" t="n"/>
      <c r="U168" s="22" t="n"/>
      <c r="V168" s="15" t="n"/>
      <c r="W168" s="12" t="n"/>
    </row>
    <row r="169">
      <c r="A169" s="22" t="n"/>
      <c r="B169" s="22" t="n"/>
      <c r="C169" s="22" t="n"/>
      <c r="D169" s="22" t="n"/>
      <c r="E169" s="22" t="n"/>
      <c r="F169" s="19" t="n"/>
      <c r="G169" s="22" t="n"/>
      <c r="H169" s="22" t="n"/>
      <c r="I169" s="22" t="n"/>
      <c r="J169" s="22" t="n"/>
      <c r="K169" s="22" t="n"/>
      <c r="L169" s="12" t="n"/>
      <c r="M169" s="12" t="n"/>
      <c r="N169" s="22" t="n"/>
      <c r="O169" s="23" t="n"/>
      <c r="P169" s="20" t="n"/>
      <c r="Q169" s="20" t="n"/>
      <c r="R169" s="22">
        <f>IF(Q169="","",Q169-TODAY())</f>
        <v/>
      </c>
      <c r="S169" s="22">
        <f>IF(Q169="","-",IF(Q169&lt;TODAY(),"UEBERFAELLIG",IF(Q169-TODAY()&lt;=7,"DIESE WOCHE","ok")))</f>
        <v/>
      </c>
      <c r="T169" s="12" t="n"/>
      <c r="U169" s="22" t="n"/>
      <c r="V169" s="15" t="n"/>
      <c r="W169" s="12" t="n"/>
    </row>
    <row r="170">
      <c r="A170" s="22" t="n"/>
      <c r="B170" s="22" t="n"/>
      <c r="C170" s="22" t="n"/>
      <c r="D170" s="22" t="n"/>
      <c r="E170" s="22" t="n"/>
      <c r="F170" s="19" t="n"/>
      <c r="G170" s="22" t="n"/>
      <c r="H170" s="22" t="n"/>
      <c r="I170" s="22" t="n"/>
      <c r="J170" s="22" t="n"/>
      <c r="K170" s="22" t="n"/>
      <c r="L170" s="12" t="n"/>
      <c r="M170" s="12" t="n"/>
      <c r="N170" s="22" t="n"/>
      <c r="O170" s="23" t="n"/>
      <c r="P170" s="20" t="n"/>
      <c r="Q170" s="20" t="n"/>
      <c r="R170" s="22">
        <f>IF(Q170="","",Q170-TODAY())</f>
        <v/>
      </c>
      <c r="S170" s="22">
        <f>IF(Q170="","-",IF(Q170&lt;TODAY(),"UEBERFAELLIG",IF(Q170-TODAY()&lt;=7,"DIESE WOCHE","ok")))</f>
        <v/>
      </c>
      <c r="T170" s="12" t="n"/>
      <c r="U170" s="22" t="n"/>
      <c r="V170" s="15" t="n"/>
      <c r="W170" s="12" t="n"/>
    </row>
    <row r="171">
      <c r="A171" s="22" t="n"/>
      <c r="B171" s="22" t="n"/>
      <c r="C171" s="22" t="n"/>
      <c r="D171" s="22" t="n"/>
      <c r="E171" s="22" t="n"/>
      <c r="F171" s="19" t="n"/>
      <c r="G171" s="22" t="n"/>
      <c r="H171" s="22" t="n"/>
      <c r="I171" s="22" t="n"/>
      <c r="J171" s="22" t="n"/>
      <c r="K171" s="22" t="n"/>
      <c r="L171" s="12" t="n"/>
      <c r="M171" s="12" t="n"/>
      <c r="N171" s="22" t="n"/>
      <c r="O171" s="23" t="n"/>
      <c r="P171" s="20" t="n"/>
      <c r="Q171" s="20" t="n"/>
      <c r="R171" s="22">
        <f>IF(Q171="","",Q171-TODAY())</f>
        <v/>
      </c>
      <c r="S171" s="22">
        <f>IF(Q171="","-",IF(Q171&lt;TODAY(),"UEBERFAELLIG",IF(Q171-TODAY()&lt;=7,"DIESE WOCHE","ok")))</f>
        <v/>
      </c>
      <c r="T171" s="12" t="n"/>
      <c r="U171" s="22" t="n"/>
      <c r="V171" s="15" t="n"/>
      <c r="W171" s="12" t="n"/>
    </row>
    <row r="172">
      <c r="A172" s="22" t="n"/>
      <c r="B172" s="22" t="n"/>
      <c r="C172" s="22" t="n"/>
      <c r="D172" s="22" t="n"/>
      <c r="E172" s="22" t="n"/>
      <c r="F172" s="19" t="n"/>
      <c r="G172" s="22" t="n"/>
      <c r="H172" s="22" t="n"/>
      <c r="I172" s="22" t="n"/>
      <c r="J172" s="22" t="n"/>
      <c r="K172" s="22" t="n"/>
      <c r="L172" s="12" t="n"/>
      <c r="M172" s="12" t="n"/>
      <c r="N172" s="22" t="n"/>
      <c r="O172" s="23" t="n"/>
      <c r="P172" s="20" t="n"/>
      <c r="Q172" s="20" t="n"/>
      <c r="R172" s="22">
        <f>IF(Q172="","",Q172-TODAY())</f>
        <v/>
      </c>
      <c r="S172" s="22">
        <f>IF(Q172="","-",IF(Q172&lt;TODAY(),"UEBERFAELLIG",IF(Q172-TODAY()&lt;=7,"DIESE WOCHE","ok")))</f>
        <v/>
      </c>
      <c r="T172" s="12" t="n"/>
      <c r="U172" s="22" t="n"/>
      <c r="V172" s="15" t="n"/>
      <c r="W172" s="12" t="n"/>
    </row>
    <row r="173">
      <c r="A173" s="22" t="n"/>
      <c r="B173" s="22" t="n"/>
      <c r="C173" s="22" t="n"/>
      <c r="D173" s="22" t="n"/>
      <c r="E173" s="22" t="n"/>
      <c r="F173" s="19" t="n"/>
      <c r="G173" s="22" t="n"/>
      <c r="H173" s="22" t="n"/>
      <c r="I173" s="22" t="n"/>
      <c r="J173" s="22" t="n"/>
      <c r="K173" s="22" t="n"/>
      <c r="L173" s="12" t="n"/>
      <c r="M173" s="12" t="n"/>
      <c r="N173" s="22" t="n"/>
      <c r="O173" s="23" t="n"/>
      <c r="P173" s="20" t="n"/>
      <c r="Q173" s="20" t="n"/>
      <c r="R173" s="22">
        <f>IF(Q173="","",Q173-TODAY())</f>
        <v/>
      </c>
      <c r="S173" s="22">
        <f>IF(Q173="","-",IF(Q173&lt;TODAY(),"UEBERFAELLIG",IF(Q173-TODAY()&lt;=7,"DIESE WOCHE","ok")))</f>
        <v/>
      </c>
      <c r="T173" s="12" t="n"/>
      <c r="U173" s="22" t="n"/>
      <c r="V173" s="15" t="n"/>
      <c r="W173" s="12" t="n"/>
    </row>
    <row r="174">
      <c r="A174" s="22" t="n"/>
      <c r="B174" s="22" t="n"/>
      <c r="C174" s="22" t="n"/>
      <c r="D174" s="22" t="n"/>
      <c r="E174" s="22" t="n"/>
      <c r="F174" s="19" t="n"/>
      <c r="G174" s="22" t="n"/>
      <c r="H174" s="22" t="n"/>
      <c r="I174" s="22" t="n"/>
      <c r="J174" s="22" t="n"/>
      <c r="K174" s="22" t="n"/>
      <c r="L174" s="12" t="n"/>
      <c r="M174" s="12" t="n"/>
      <c r="N174" s="22" t="n"/>
      <c r="O174" s="23" t="n"/>
      <c r="P174" s="20" t="n"/>
      <c r="Q174" s="20" t="n"/>
      <c r="R174" s="22">
        <f>IF(Q174="","",Q174-TODAY())</f>
        <v/>
      </c>
      <c r="S174" s="22">
        <f>IF(Q174="","-",IF(Q174&lt;TODAY(),"UEBERFAELLIG",IF(Q174-TODAY()&lt;=7,"DIESE WOCHE","ok")))</f>
        <v/>
      </c>
      <c r="T174" s="12" t="n"/>
      <c r="U174" s="22" t="n"/>
      <c r="V174" s="15" t="n"/>
      <c r="W174" s="12" t="n"/>
    </row>
    <row r="175">
      <c r="A175" s="22" t="n"/>
      <c r="B175" s="22" t="n"/>
      <c r="C175" s="22" t="n"/>
      <c r="D175" s="22" t="n"/>
      <c r="E175" s="22" t="n"/>
      <c r="F175" s="19" t="n"/>
      <c r="G175" s="22" t="n"/>
      <c r="H175" s="22" t="n"/>
      <c r="I175" s="22" t="n"/>
      <c r="J175" s="22" t="n"/>
      <c r="K175" s="22" t="n"/>
      <c r="L175" s="12" t="n"/>
      <c r="M175" s="12" t="n"/>
      <c r="N175" s="22" t="n"/>
      <c r="O175" s="23" t="n"/>
      <c r="P175" s="20" t="n"/>
      <c r="Q175" s="20" t="n"/>
      <c r="R175" s="22">
        <f>IF(Q175="","",Q175-TODAY())</f>
        <v/>
      </c>
      <c r="S175" s="22">
        <f>IF(Q175="","-",IF(Q175&lt;TODAY(),"UEBERFAELLIG",IF(Q175-TODAY()&lt;=7,"DIESE WOCHE","ok")))</f>
        <v/>
      </c>
      <c r="T175" s="12" t="n"/>
      <c r="U175" s="22" t="n"/>
      <c r="V175" s="15" t="n"/>
      <c r="W175" s="12" t="n"/>
    </row>
    <row r="176">
      <c r="A176" s="22" t="n"/>
      <c r="B176" s="22" t="n"/>
      <c r="C176" s="22" t="n"/>
      <c r="D176" s="22" t="n"/>
      <c r="E176" s="22" t="n"/>
      <c r="F176" s="19" t="n"/>
      <c r="G176" s="22" t="n"/>
      <c r="H176" s="22" t="n"/>
      <c r="I176" s="22" t="n"/>
      <c r="J176" s="22" t="n"/>
      <c r="K176" s="22" t="n"/>
      <c r="L176" s="12" t="n"/>
      <c r="M176" s="12" t="n"/>
      <c r="N176" s="22" t="n"/>
      <c r="O176" s="23" t="n"/>
      <c r="P176" s="20" t="n"/>
      <c r="Q176" s="20" t="n"/>
      <c r="R176" s="22">
        <f>IF(Q176="","",Q176-TODAY())</f>
        <v/>
      </c>
      <c r="S176" s="22">
        <f>IF(Q176="","-",IF(Q176&lt;TODAY(),"UEBERFAELLIG",IF(Q176-TODAY()&lt;=7,"DIESE WOCHE","ok")))</f>
        <v/>
      </c>
      <c r="T176" s="12" t="n"/>
      <c r="U176" s="22" t="n"/>
      <c r="V176" s="15" t="n"/>
      <c r="W176" s="12" t="n"/>
    </row>
    <row r="177">
      <c r="A177" s="22" t="n"/>
      <c r="B177" s="22" t="n"/>
      <c r="C177" s="22" t="n"/>
      <c r="D177" s="22" t="n"/>
      <c r="E177" s="22" t="n"/>
      <c r="F177" s="19" t="n"/>
      <c r="G177" s="22" t="n"/>
      <c r="H177" s="22" t="n"/>
      <c r="I177" s="22" t="n"/>
      <c r="J177" s="22" t="n"/>
      <c r="K177" s="22" t="n"/>
      <c r="L177" s="12" t="n"/>
      <c r="M177" s="12" t="n"/>
      <c r="N177" s="22" t="n"/>
      <c r="O177" s="23" t="n"/>
      <c r="P177" s="20" t="n"/>
      <c r="Q177" s="20" t="n"/>
      <c r="R177" s="22">
        <f>IF(Q177="","",Q177-TODAY())</f>
        <v/>
      </c>
      <c r="S177" s="22">
        <f>IF(Q177="","-",IF(Q177&lt;TODAY(),"UEBERFAELLIG",IF(Q177-TODAY()&lt;=7,"DIESE WOCHE","ok")))</f>
        <v/>
      </c>
      <c r="T177" s="12" t="n"/>
      <c r="U177" s="22" t="n"/>
      <c r="V177" s="15" t="n"/>
      <c r="W177" s="12" t="n"/>
    </row>
    <row r="178">
      <c r="A178" s="22" t="n"/>
      <c r="B178" s="22" t="n"/>
      <c r="C178" s="22" t="n"/>
      <c r="D178" s="22" t="n"/>
      <c r="E178" s="22" t="n"/>
      <c r="F178" s="19" t="n"/>
      <c r="G178" s="22" t="n"/>
      <c r="H178" s="22" t="n"/>
      <c r="I178" s="22" t="n"/>
      <c r="J178" s="22" t="n"/>
      <c r="K178" s="22" t="n"/>
      <c r="L178" s="12" t="n"/>
      <c r="M178" s="12" t="n"/>
      <c r="N178" s="22" t="n"/>
      <c r="O178" s="23" t="n"/>
      <c r="P178" s="20" t="n"/>
      <c r="Q178" s="20" t="n"/>
      <c r="R178" s="22">
        <f>IF(Q178="","",Q178-TODAY())</f>
        <v/>
      </c>
      <c r="S178" s="22">
        <f>IF(Q178="","-",IF(Q178&lt;TODAY(),"UEBERFAELLIG",IF(Q178-TODAY()&lt;=7,"DIESE WOCHE","ok")))</f>
        <v/>
      </c>
      <c r="T178" s="12" t="n"/>
      <c r="U178" s="22" t="n"/>
      <c r="V178" s="15" t="n"/>
      <c r="W178" s="12" t="n"/>
    </row>
    <row r="179">
      <c r="A179" s="22" t="n"/>
      <c r="B179" s="22" t="n"/>
      <c r="C179" s="22" t="n"/>
      <c r="D179" s="22" t="n"/>
      <c r="E179" s="22" t="n"/>
      <c r="F179" s="19" t="n"/>
      <c r="G179" s="22" t="n"/>
      <c r="H179" s="22" t="n"/>
      <c r="I179" s="22" t="n"/>
      <c r="J179" s="22" t="n"/>
      <c r="K179" s="22" t="n"/>
      <c r="L179" s="12" t="n"/>
      <c r="M179" s="12" t="n"/>
      <c r="N179" s="22" t="n"/>
      <c r="O179" s="23" t="n"/>
      <c r="P179" s="20" t="n"/>
      <c r="Q179" s="20" t="n"/>
      <c r="R179" s="22">
        <f>IF(Q179="","",Q179-TODAY())</f>
        <v/>
      </c>
      <c r="S179" s="22">
        <f>IF(Q179="","-",IF(Q179&lt;TODAY(),"UEBERFAELLIG",IF(Q179-TODAY()&lt;=7,"DIESE WOCHE","ok")))</f>
        <v/>
      </c>
      <c r="T179" s="12" t="n"/>
      <c r="U179" s="22" t="n"/>
      <c r="V179" s="15" t="n"/>
      <c r="W179" s="12" t="n"/>
    </row>
    <row r="180">
      <c r="A180" s="22" t="n"/>
      <c r="B180" s="22" t="n"/>
      <c r="C180" s="22" t="n"/>
      <c r="D180" s="22" t="n"/>
      <c r="E180" s="22" t="n"/>
      <c r="F180" s="19" t="n"/>
      <c r="G180" s="22" t="n"/>
      <c r="H180" s="22" t="n"/>
      <c r="I180" s="22" t="n"/>
      <c r="J180" s="22" t="n"/>
      <c r="K180" s="22" t="n"/>
      <c r="L180" s="12" t="n"/>
      <c r="M180" s="12" t="n"/>
      <c r="N180" s="22" t="n"/>
      <c r="O180" s="23" t="n"/>
      <c r="P180" s="20" t="n"/>
      <c r="Q180" s="20" t="n"/>
      <c r="R180" s="22">
        <f>IF(Q180="","",Q180-TODAY())</f>
        <v/>
      </c>
      <c r="S180" s="22">
        <f>IF(Q180="","-",IF(Q180&lt;TODAY(),"UEBERFAELLIG",IF(Q180-TODAY()&lt;=7,"DIESE WOCHE","ok")))</f>
        <v/>
      </c>
      <c r="T180" s="12" t="n"/>
      <c r="U180" s="22" t="n"/>
      <c r="V180" s="15" t="n"/>
      <c r="W180" s="12" t="n"/>
    </row>
    <row r="181">
      <c r="A181" s="22" t="n"/>
      <c r="B181" s="22" t="n"/>
      <c r="C181" s="22" t="n"/>
      <c r="D181" s="22" t="n"/>
      <c r="E181" s="22" t="n"/>
      <c r="F181" s="19" t="n"/>
      <c r="G181" s="22" t="n"/>
      <c r="H181" s="22" t="n"/>
      <c r="I181" s="22" t="n"/>
      <c r="J181" s="22" t="n"/>
      <c r="K181" s="22" t="n"/>
      <c r="L181" s="12" t="n"/>
      <c r="M181" s="12" t="n"/>
      <c r="N181" s="22" t="n"/>
      <c r="O181" s="23" t="n"/>
      <c r="P181" s="20" t="n"/>
      <c r="Q181" s="20" t="n"/>
      <c r="R181" s="22">
        <f>IF(Q181="","",Q181-TODAY())</f>
        <v/>
      </c>
      <c r="S181" s="22">
        <f>IF(Q181="","-",IF(Q181&lt;TODAY(),"UEBERFAELLIG",IF(Q181-TODAY()&lt;=7,"DIESE WOCHE","ok")))</f>
        <v/>
      </c>
      <c r="T181" s="12" t="n"/>
      <c r="U181" s="22" t="n"/>
      <c r="V181" s="15" t="n"/>
      <c r="W181" s="12" t="n"/>
    </row>
    <row r="182">
      <c r="A182" s="22" t="n"/>
      <c r="B182" s="22" t="n"/>
      <c r="C182" s="22" t="n"/>
      <c r="D182" s="22" t="n"/>
      <c r="E182" s="22" t="n"/>
      <c r="F182" s="19" t="n"/>
      <c r="G182" s="22" t="n"/>
      <c r="H182" s="22" t="n"/>
      <c r="I182" s="22" t="n"/>
      <c r="J182" s="22" t="n"/>
      <c r="K182" s="22" t="n"/>
      <c r="L182" s="12" t="n"/>
      <c r="M182" s="12" t="n"/>
      <c r="N182" s="22" t="n"/>
      <c r="O182" s="23" t="n"/>
      <c r="P182" s="20" t="n"/>
      <c r="Q182" s="20" t="n"/>
      <c r="R182" s="22">
        <f>IF(Q182="","",Q182-TODAY())</f>
        <v/>
      </c>
      <c r="S182" s="22">
        <f>IF(Q182="","-",IF(Q182&lt;TODAY(),"UEBERFAELLIG",IF(Q182-TODAY()&lt;=7,"DIESE WOCHE","ok")))</f>
        <v/>
      </c>
      <c r="T182" s="12" t="n"/>
      <c r="U182" s="22" t="n"/>
      <c r="V182" s="15" t="n"/>
      <c r="W182" s="12" t="n"/>
    </row>
    <row r="183">
      <c r="A183" s="22" t="n"/>
      <c r="B183" s="22" t="n"/>
      <c r="C183" s="22" t="n"/>
      <c r="D183" s="22" t="n"/>
      <c r="E183" s="22" t="n"/>
      <c r="F183" s="19" t="n"/>
      <c r="G183" s="22" t="n"/>
      <c r="H183" s="22" t="n"/>
      <c r="I183" s="22" t="n"/>
      <c r="J183" s="22" t="n"/>
      <c r="K183" s="22" t="n"/>
      <c r="L183" s="12" t="n"/>
      <c r="M183" s="12" t="n"/>
      <c r="N183" s="22" t="n"/>
      <c r="O183" s="23" t="n"/>
      <c r="P183" s="20" t="n"/>
      <c r="Q183" s="20" t="n"/>
      <c r="R183" s="22">
        <f>IF(Q183="","",Q183-TODAY())</f>
        <v/>
      </c>
      <c r="S183" s="22">
        <f>IF(Q183="","-",IF(Q183&lt;TODAY(),"UEBERFAELLIG",IF(Q183-TODAY()&lt;=7,"DIESE WOCHE","ok")))</f>
        <v/>
      </c>
      <c r="T183" s="12" t="n"/>
      <c r="U183" s="22" t="n"/>
      <c r="V183" s="15" t="n"/>
      <c r="W183" s="12" t="n"/>
    </row>
    <row r="184">
      <c r="A184" s="22" t="n"/>
      <c r="B184" s="22" t="n"/>
      <c r="C184" s="22" t="n"/>
      <c r="D184" s="22" t="n"/>
      <c r="E184" s="22" t="n"/>
      <c r="F184" s="19" t="n"/>
      <c r="G184" s="22" t="n"/>
      <c r="H184" s="22" t="n"/>
      <c r="I184" s="22" t="n"/>
      <c r="J184" s="22" t="n"/>
      <c r="K184" s="22" t="n"/>
      <c r="L184" s="12" t="n"/>
      <c r="M184" s="12" t="n"/>
      <c r="N184" s="22" t="n"/>
      <c r="O184" s="23" t="n"/>
      <c r="P184" s="20" t="n"/>
      <c r="Q184" s="20" t="n"/>
      <c r="R184" s="22">
        <f>IF(Q184="","",Q184-TODAY())</f>
        <v/>
      </c>
      <c r="S184" s="22">
        <f>IF(Q184="","-",IF(Q184&lt;TODAY(),"UEBERFAELLIG",IF(Q184-TODAY()&lt;=7,"DIESE WOCHE","ok")))</f>
        <v/>
      </c>
      <c r="T184" s="12" t="n"/>
      <c r="U184" s="22" t="n"/>
      <c r="V184" s="15" t="n"/>
      <c r="W184" s="12" t="n"/>
    </row>
    <row r="185">
      <c r="A185" s="22" t="n"/>
      <c r="B185" s="22" t="n"/>
      <c r="C185" s="22" t="n"/>
      <c r="D185" s="22" t="n"/>
      <c r="E185" s="22" t="n"/>
      <c r="F185" s="19" t="n"/>
      <c r="G185" s="22" t="n"/>
      <c r="H185" s="22" t="n"/>
      <c r="I185" s="22" t="n"/>
      <c r="J185" s="22" t="n"/>
      <c r="K185" s="22" t="n"/>
      <c r="L185" s="12" t="n"/>
      <c r="M185" s="12" t="n"/>
      <c r="N185" s="22" t="n"/>
      <c r="O185" s="23" t="n"/>
      <c r="P185" s="20" t="n"/>
      <c r="Q185" s="20" t="n"/>
      <c r="R185" s="22">
        <f>IF(Q185="","",Q185-TODAY())</f>
        <v/>
      </c>
      <c r="S185" s="22">
        <f>IF(Q185="","-",IF(Q185&lt;TODAY(),"UEBERFAELLIG",IF(Q185-TODAY()&lt;=7,"DIESE WOCHE","ok")))</f>
        <v/>
      </c>
      <c r="T185" s="12" t="n"/>
      <c r="U185" s="22" t="n"/>
      <c r="V185" s="15" t="n"/>
      <c r="W185" s="12" t="n"/>
    </row>
    <row r="186">
      <c r="A186" s="22" t="n"/>
      <c r="B186" s="22" t="n"/>
      <c r="C186" s="22" t="n"/>
      <c r="D186" s="22" t="n"/>
      <c r="E186" s="22" t="n"/>
      <c r="F186" s="19" t="n"/>
      <c r="G186" s="22" t="n"/>
      <c r="H186" s="22" t="n"/>
      <c r="I186" s="22" t="n"/>
      <c r="J186" s="22" t="n"/>
      <c r="K186" s="22" t="n"/>
      <c r="L186" s="12" t="n"/>
      <c r="M186" s="12" t="n"/>
      <c r="N186" s="22" t="n"/>
      <c r="O186" s="23" t="n"/>
      <c r="P186" s="20" t="n"/>
      <c r="Q186" s="20" t="n"/>
      <c r="R186" s="22">
        <f>IF(Q186="","",Q186-TODAY())</f>
        <v/>
      </c>
      <c r="S186" s="22">
        <f>IF(Q186="","-",IF(Q186&lt;TODAY(),"UEBERFAELLIG",IF(Q186-TODAY()&lt;=7,"DIESE WOCHE","ok")))</f>
        <v/>
      </c>
      <c r="T186" s="12" t="n"/>
      <c r="U186" s="22" t="n"/>
      <c r="V186" s="15" t="n"/>
      <c r="W186" s="12" t="n"/>
    </row>
    <row r="187">
      <c r="A187" s="22" t="n"/>
      <c r="B187" s="22" t="n"/>
      <c r="C187" s="22" t="n"/>
      <c r="D187" s="22" t="n"/>
      <c r="E187" s="22" t="n"/>
      <c r="F187" s="19" t="n"/>
      <c r="G187" s="22" t="n"/>
      <c r="H187" s="22" t="n"/>
      <c r="I187" s="22" t="n"/>
      <c r="J187" s="22" t="n"/>
      <c r="K187" s="22" t="n"/>
      <c r="L187" s="12" t="n"/>
      <c r="M187" s="12" t="n"/>
      <c r="N187" s="22" t="n"/>
      <c r="O187" s="23" t="n"/>
      <c r="P187" s="20" t="n"/>
      <c r="Q187" s="20" t="n"/>
      <c r="R187" s="22">
        <f>IF(Q187="","",Q187-TODAY())</f>
        <v/>
      </c>
      <c r="S187" s="22">
        <f>IF(Q187="","-",IF(Q187&lt;TODAY(),"UEBERFAELLIG",IF(Q187-TODAY()&lt;=7,"DIESE WOCHE","ok")))</f>
        <v/>
      </c>
      <c r="T187" s="12" t="n"/>
      <c r="U187" s="22" t="n"/>
      <c r="V187" s="15" t="n"/>
      <c r="W187" s="12" t="n"/>
    </row>
    <row r="188">
      <c r="A188" s="22" t="n"/>
      <c r="B188" s="22" t="n"/>
      <c r="C188" s="22" t="n"/>
      <c r="D188" s="22" t="n"/>
      <c r="E188" s="22" t="n"/>
      <c r="F188" s="19" t="n"/>
      <c r="G188" s="22" t="n"/>
      <c r="H188" s="22" t="n"/>
      <c r="I188" s="22" t="n"/>
      <c r="J188" s="22" t="n"/>
      <c r="K188" s="22" t="n"/>
      <c r="L188" s="12" t="n"/>
      <c r="M188" s="12" t="n"/>
      <c r="N188" s="22" t="n"/>
      <c r="O188" s="23" t="n"/>
      <c r="P188" s="20" t="n"/>
      <c r="Q188" s="20" t="n"/>
      <c r="R188" s="22">
        <f>IF(Q188="","",Q188-TODAY())</f>
        <v/>
      </c>
      <c r="S188" s="22">
        <f>IF(Q188="","-",IF(Q188&lt;TODAY(),"UEBERFAELLIG",IF(Q188-TODAY()&lt;=7,"DIESE WOCHE","ok")))</f>
        <v/>
      </c>
      <c r="T188" s="12" t="n"/>
      <c r="U188" s="22" t="n"/>
      <c r="V188" s="15" t="n"/>
      <c r="W188" s="12" t="n"/>
    </row>
    <row r="189">
      <c r="A189" s="22" t="n"/>
      <c r="B189" s="22" t="n"/>
      <c r="C189" s="22" t="n"/>
      <c r="D189" s="22" t="n"/>
      <c r="E189" s="22" t="n"/>
      <c r="F189" s="19" t="n"/>
      <c r="G189" s="22" t="n"/>
      <c r="H189" s="22" t="n"/>
      <c r="I189" s="22" t="n"/>
      <c r="J189" s="22" t="n"/>
      <c r="K189" s="22" t="n"/>
      <c r="L189" s="12" t="n"/>
      <c r="M189" s="12" t="n"/>
      <c r="N189" s="22" t="n"/>
      <c r="O189" s="23" t="n"/>
      <c r="P189" s="20" t="n"/>
      <c r="Q189" s="20" t="n"/>
      <c r="R189" s="22">
        <f>IF(Q189="","",Q189-TODAY())</f>
        <v/>
      </c>
      <c r="S189" s="22">
        <f>IF(Q189="","-",IF(Q189&lt;TODAY(),"UEBERFAELLIG",IF(Q189-TODAY()&lt;=7,"DIESE WOCHE","ok")))</f>
        <v/>
      </c>
      <c r="T189" s="12" t="n"/>
      <c r="U189" s="22" t="n"/>
      <c r="V189" s="15" t="n"/>
      <c r="W189" s="12" t="n"/>
    </row>
    <row r="190">
      <c r="A190" s="22" t="n"/>
      <c r="B190" s="22" t="n"/>
      <c r="C190" s="22" t="n"/>
      <c r="D190" s="22" t="n"/>
      <c r="E190" s="22" t="n"/>
      <c r="F190" s="19" t="n"/>
      <c r="G190" s="22" t="n"/>
      <c r="H190" s="22" t="n"/>
      <c r="I190" s="22" t="n"/>
      <c r="J190" s="22" t="n"/>
      <c r="K190" s="22" t="n"/>
      <c r="L190" s="12" t="n"/>
      <c r="M190" s="12" t="n"/>
      <c r="N190" s="22" t="n"/>
      <c r="O190" s="23" t="n"/>
      <c r="P190" s="20" t="n"/>
      <c r="Q190" s="20" t="n"/>
      <c r="R190" s="22">
        <f>IF(Q190="","",Q190-TODAY())</f>
        <v/>
      </c>
      <c r="S190" s="22">
        <f>IF(Q190="","-",IF(Q190&lt;TODAY(),"UEBERFAELLIG",IF(Q190-TODAY()&lt;=7,"DIESE WOCHE","ok")))</f>
        <v/>
      </c>
      <c r="T190" s="12" t="n"/>
      <c r="U190" s="22" t="n"/>
      <c r="V190" s="15" t="n"/>
      <c r="W190" s="12" t="n"/>
    </row>
    <row r="191">
      <c r="A191" s="22" t="n"/>
      <c r="B191" s="22" t="n"/>
      <c r="C191" s="22" t="n"/>
      <c r="D191" s="22" t="n"/>
      <c r="E191" s="22" t="n"/>
      <c r="F191" s="19" t="n"/>
      <c r="G191" s="22" t="n"/>
      <c r="H191" s="22" t="n"/>
      <c r="I191" s="22" t="n"/>
      <c r="J191" s="22" t="n"/>
      <c r="K191" s="22" t="n"/>
      <c r="L191" s="12" t="n"/>
      <c r="M191" s="12" t="n"/>
      <c r="N191" s="22" t="n"/>
      <c r="O191" s="23" t="n"/>
      <c r="P191" s="20" t="n"/>
      <c r="Q191" s="20" t="n"/>
      <c r="R191" s="22">
        <f>IF(Q191="","",Q191-TODAY())</f>
        <v/>
      </c>
      <c r="S191" s="22">
        <f>IF(Q191="","-",IF(Q191&lt;TODAY(),"UEBERFAELLIG",IF(Q191-TODAY()&lt;=7,"DIESE WOCHE","ok")))</f>
        <v/>
      </c>
      <c r="T191" s="12" t="n"/>
      <c r="U191" s="22" t="n"/>
      <c r="V191" s="15" t="n"/>
      <c r="W191" s="12" t="n"/>
    </row>
    <row r="192">
      <c r="A192" s="22" t="n"/>
      <c r="B192" s="22" t="n"/>
      <c r="C192" s="22" t="n"/>
      <c r="D192" s="22" t="n"/>
      <c r="E192" s="22" t="n"/>
      <c r="F192" s="19" t="n"/>
      <c r="G192" s="22" t="n"/>
      <c r="H192" s="22" t="n"/>
      <c r="I192" s="22" t="n"/>
      <c r="J192" s="22" t="n"/>
      <c r="K192" s="22" t="n"/>
      <c r="L192" s="12" t="n"/>
      <c r="M192" s="12" t="n"/>
      <c r="N192" s="22" t="n"/>
      <c r="O192" s="23" t="n"/>
      <c r="P192" s="20" t="n"/>
      <c r="Q192" s="20" t="n"/>
      <c r="R192" s="22">
        <f>IF(Q192="","",Q192-TODAY())</f>
        <v/>
      </c>
      <c r="S192" s="22">
        <f>IF(Q192="","-",IF(Q192&lt;TODAY(),"UEBERFAELLIG",IF(Q192-TODAY()&lt;=7,"DIESE WOCHE","ok")))</f>
        <v/>
      </c>
      <c r="T192" s="12" t="n"/>
      <c r="U192" s="22" t="n"/>
      <c r="V192" s="15" t="n"/>
      <c r="W192" s="12" t="n"/>
    </row>
    <row r="193">
      <c r="A193" s="22" t="n"/>
      <c r="B193" s="22" t="n"/>
      <c r="C193" s="22" t="n"/>
      <c r="D193" s="22" t="n"/>
      <c r="E193" s="22" t="n"/>
      <c r="F193" s="19" t="n"/>
      <c r="G193" s="22" t="n"/>
      <c r="H193" s="22" t="n"/>
      <c r="I193" s="22" t="n"/>
      <c r="J193" s="22" t="n"/>
      <c r="K193" s="22" t="n"/>
      <c r="L193" s="12" t="n"/>
      <c r="M193" s="12" t="n"/>
      <c r="N193" s="22" t="n"/>
      <c r="O193" s="23" t="n"/>
      <c r="P193" s="20" t="n"/>
      <c r="Q193" s="20" t="n"/>
      <c r="R193" s="22">
        <f>IF(Q193="","",Q193-TODAY())</f>
        <v/>
      </c>
      <c r="S193" s="22">
        <f>IF(Q193="","-",IF(Q193&lt;TODAY(),"UEBERFAELLIG",IF(Q193-TODAY()&lt;=7,"DIESE WOCHE","ok")))</f>
        <v/>
      </c>
      <c r="T193" s="12" t="n"/>
      <c r="U193" s="22" t="n"/>
      <c r="V193" s="15" t="n"/>
      <c r="W193" s="12" t="n"/>
    </row>
    <row r="194">
      <c r="A194" s="22" t="n"/>
      <c r="B194" s="22" t="n"/>
      <c r="C194" s="22" t="n"/>
      <c r="D194" s="22" t="n"/>
      <c r="E194" s="22" t="n"/>
      <c r="F194" s="19" t="n"/>
      <c r="G194" s="22" t="n"/>
      <c r="H194" s="22" t="n"/>
      <c r="I194" s="22" t="n"/>
      <c r="J194" s="22" t="n"/>
      <c r="K194" s="22" t="n"/>
      <c r="L194" s="12" t="n"/>
      <c r="M194" s="12" t="n"/>
      <c r="N194" s="22" t="n"/>
      <c r="O194" s="23" t="n"/>
      <c r="P194" s="20" t="n"/>
      <c r="Q194" s="20" t="n"/>
      <c r="R194" s="22">
        <f>IF(Q194="","",Q194-TODAY())</f>
        <v/>
      </c>
      <c r="S194" s="22">
        <f>IF(Q194="","-",IF(Q194&lt;TODAY(),"UEBERFAELLIG",IF(Q194-TODAY()&lt;=7,"DIESE WOCHE","ok")))</f>
        <v/>
      </c>
      <c r="T194" s="12" t="n"/>
      <c r="U194" s="22" t="n"/>
      <c r="V194" s="15" t="n"/>
      <c r="W194" s="12" t="n"/>
    </row>
    <row r="195">
      <c r="A195" s="22" t="n"/>
      <c r="B195" s="22" t="n"/>
      <c r="C195" s="22" t="n"/>
      <c r="D195" s="22" t="n"/>
      <c r="E195" s="22" t="n"/>
      <c r="F195" s="19" t="n"/>
      <c r="G195" s="22" t="n"/>
      <c r="H195" s="22" t="n"/>
      <c r="I195" s="22" t="n"/>
      <c r="J195" s="22" t="n"/>
      <c r="K195" s="22" t="n"/>
      <c r="L195" s="12" t="n"/>
      <c r="M195" s="12" t="n"/>
      <c r="N195" s="22" t="n"/>
      <c r="O195" s="23" t="n"/>
      <c r="P195" s="20" t="n"/>
      <c r="Q195" s="20" t="n"/>
      <c r="R195" s="22">
        <f>IF(Q195="","",Q195-TODAY())</f>
        <v/>
      </c>
      <c r="S195" s="22">
        <f>IF(Q195="","-",IF(Q195&lt;TODAY(),"UEBERFAELLIG",IF(Q195-TODAY()&lt;=7,"DIESE WOCHE","ok")))</f>
        <v/>
      </c>
      <c r="T195" s="12" t="n"/>
      <c r="U195" s="22" t="n"/>
      <c r="V195" s="15" t="n"/>
      <c r="W195" s="12" t="n"/>
    </row>
    <row r="196">
      <c r="A196" s="22" t="n"/>
      <c r="B196" s="22" t="n"/>
      <c r="C196" s="22" t="n"/>
      <c r="D196" s="22" t="n"/>
      <c r="E196" s="22" t="n"/>
      <c r="F196" s="19" t="n"/>
      <c r="G196" s="22" t="n"/>
      <c r="H196" s="22" t="n"/>
      <c r="I196" s="22" t="n"/>
      <c r="J196" s="22" t="n"/>
      <c r="K196" s="22" t="n"/>
      <c r="L196" s="12" t="n"/>
      <c r="M196" s="12" t="n"/>
      <c r="N196" s="22" t="n"/>
      <c r="O196" s="23" t="n"/>
      <c r="P196" s="20" t="n"/>
      <c r="Q196" s="20" t="n"/>
      <c r="R196" s="22">
        <f>IF(Q196="","",Q196-TODAY())</f>
        <v/>
      </c>
      <c r="S196" s="22">
        <f>IF(Q196="","-",IF(Q196&lt;TODAY(),"UEBERFAELLIG",IF(Q196-TODAY()&lt;=7,"DIESE WOCHE","ok")))</f>
        <v/>
      </c>
      <c r="T196" s="12" t="n"/>
      <c r="U196" s="22" t="n"/>
      <c r="V196" s="15" t="n"/>
      <c r="W196" s="12" t="n"/>
    </row>
    <row r="197">
      <c r="A197" s="22" t="n"/>
      <c r="B197" s="22" t="n"/>
      <c r="C197" s="22" t="n"/>
      <c r="D197" s="22" t="n"/>
      <c r="E197" s="22" t="n"/>
      <c r="F197" s="19" t="n"/>
      <c r="G197" s="22" t="n"/>
      <c r="H197" s="22" t="n"/>
      <c r="I197" s="22" t="n"/>
      <c r="J197" s="22" t="n"/>
      <c r="K197" s="22" t="n"/>
      <c r="L197" s="12" t="n"/>
      <c r="M197" s="12" t="n"/>
      <c r="N197" s="22" t="n"/>
      <c r="O197" s="23" t="n"/>
      <c r="P197" s="20" t="n"/>
      <c r="Q197" s="20" t="n"/>
      <c r="R197" s="22">
        <f>IF(Q197="","",Q197-TODAY())</f>
        <v/>
      </c>
      <c r="S197" s="22">
        <f>IF(Q197="","-",IF(Q197&lt;TODAY(),"UEBERFAELLIG",IF(Q197-TODAY()&lt;=7,"DIESE WOCHE","ok")))</f>
        <v/>
      </c>
      <c r="T197" s="12" t="n"/>
      <c r="U197" s="22" t="n"/>
      <c r="V197" s="15" t="n"/>
      <c r="W197" s="12" t="n"/>
    </row>
    <row r="198">
      <c r="A198" s="22" t="n"/>
      <c r="B198" s="22" t="n"/>
      <c r="C198" s="22" t="n"/>
      <c r="D198" s="22" t="n"/>
      <c r="E198" s="22" t="n"/>
      <c r="F198" s="19" t="n"/>
      <c r="G198" s="22" t="n"/>
      <c r="H198" s="22" t="n"/>
      <c r="I198" s="22" t="n"/>
      <c r="J198" s="22" t="n"/>
      <c r="K198" s="22" t="n"/>
      <c r="L198" s="12" t="n"/>
      <c r="M198" s="12" t="n"/>
      <c r="N198" s="22" t="n"/>
      <c r="O198" s="23" t="n"/>
      <c r="P198" s="20" t="n"/>
      <c r="Q198" s="20" t="n"/>
      <c r="R198" s="22">
        <f>IF(Q198="","",Q198-TODAY())</f>
        <v/>
      </c>
      <c r="S198" s="22">
        <f>IF(Q198="","-",IF(Q198&lt;TODAY(),"UEBERFAELLIG",IF(Q198-TODAY()&lt;=7,"DIESE WOCHE","ok")))</f>
        <v/>
      </c>
      <c r="T198" s="12" t="n"/>
      <c r="U198" s="22" t="n"/>
      <c r="V198" s="15" t="n"/>
      <c r="W198" s="12" t="n"/>
    </row>
    <row r="199">
      <c r="A199" s="22" t="n"/>
      <c r="B199" s="22" t="n"/>
      <c r="C199" s="22" t="n"/>
      <c r="D199" s="22" t="n"/>
      <c r="E199" s="22" t="n"/>
      <c r="F199" s="19" t="n"/>
      <c r="G199" s="22" t="n"/>
      <c r="H199" s="22" t="n"/>
      <c r="I199" s="22" t="n"/>
      <c r="J199" s="22" t="n"/>
      <c r="K199" s="22" t="n"/>
      <c r="L199" s="12" t="n"/>
      <c r="M199" s="12" t="n"/>
      <c r="N199" s="22" t="n"/>
      <c r="O199" s="23" t="n"/>
      <c r="P199" s="20" t="n"/>
      <c r="Q199" s="20" t="n"/>
      <c r="R199" s="22">
        <f>IF(Q199="","",Q199-TODAY())</f>
        <v/>
      </c>
      <c r="S199" s="22">
        <f>IF(Q199="","-",IF(Q199&lt;TODAY(),"UEBERFAELLIG",IF(Q199-TODAY()&lt;=7,"DIESE WOCHE","ok")))</f>
        <v/>
      </c>
      <c r="T199" s="12" t="n"/>
      <c r="U199" s="22" t="n"/>
      <c r="V199" s="15" t="n"/>
      <c r="W199" s="12" t="n"/>
    </row>
    <row r="200">
      <c r="A200" s="22" t="n"/>
      <c r="B200" s="22" t="n"/>
      <c r="C200" s="22" t="n"/>
      <c r="D200" s="22" t="n"/>
      <c r="E200" s="22" t="n"/>
      <c r="F200" s="19" t="n"/>
      <c r="G200" s="22" t="n"/>
      <c r="H200" s="22" t="n"/>
      <c r="I200" s="22" t="n"/>
      <c r="J200" s="22" t="n"/>
      <c r="K200" s="22" t="n"/>
      <c r="L200" s="12" t="n"/>
      <c r="M200" s="12" t="n"/>
      <c r="N200" s="22" t="n"/>
      <c r="O200" s="23" t="n"/>
      <c r="P200" s="20" t="n"/>
      <c r="Q200" s="20" t="n"/>
      <c r="R200" s="22">
        <f>IF(Q200="","",Q200-TODAY())</f>
        <v/>
      </c>
      <c r="S200" s="22">
        <f>IF(Q200="","-",IF(Q200&lt;TODAY(),"UEBERFAELLIG",IF(Q200-TODAY()&lt;=7,"DIESE WOCHE","ok")))</f>
        <v/>
      </c>
      <c r="T200" s="12" t="n"/>
      <c r="U200" s="22" t="n"/>
      <c r="V200" s="15" t="n"/>
      <c r="W200" s="12" t="n"/>
    </row>
  </sheetData>
  <autoFilter ref="A4:W200"/>
  <dataValidations count="4">
    <dataValidation sqref="G5:G200" showDropDown="0" showInputMessage="0" showErrorMessage="0" allowBlank="1" errorTitle="Wert nicht zulaessig" error="Nur Werte aus der Liste. Ist der Wert nicht belegt, Zelle leer lassen und die Luecke in Spalte W notieren." type="list">
      <formula1>"Planung,Bewilligung,Baustart,Rohbau,Fit-out,Commissioning,Betrieb,Ausbau,Verzoegert,Gestoppt"</formula1>
    </dataValidation>
    <dataValidation sqref="O5:O200" showDropDown="0" showInputMessage="0" showErrorMessage="0" allowBlank="1" errorTitle="Wert nicht zulaessig" error="Nur Werte aus der Liste. Ist der Wert nicht belegt, Zelle leer lassen und die Luecke in Spalte W notieren." type="list">
      <formula1>"Kalt,Angeschrieben,Erstkontakt,Erstgespraech,Qualifiziert,Offerte,Gewonnen,Verloren,Ruhend"</formula1>
    </dataValidation>
    <dataValidation sqref="N5:N200" showDropDown="0" showInputMessage="0" showErrorMessage="0" allowBlank="1" errorTitle="Wert nicht zulaessig" error="Nur Werte aus der Liste. Ist der Wert nicht belegt, Zelle leer lassen und die Luecke in Spalte W notieren." type="list">
      <formula1>"A,B,C"</formula1>
    </dataValidation>
    <dataValidation sqref="K5:K200" showDropDown="0" showInputMessage="0" showErrorMessage="0" allowBlank="1" errorTitle="Wert nicht zulaessig" error="Nur Werte aus der Liste. Ist der Wert nicht belegt, Zelle leer lassen und die Luecke in Spalte W notieren." type="list">
      <formula1>"Betreiber,GU/TU,Fachplaner,Ausschreibung,Elektro-Installateur"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0" customWidth="1" min="3" max="3"/>
    <col width="20" customWidth="1" min="4" max="4"/>
    <col width="34" customWidth="1" min="5" max="5"/>
    <col width="26" customWidth="1" min="6" max="6"/>
    <col width="18" customWidth="1" min="7" max="7"/>
    <col width="26" customWidth="1" min="8" max="8"/>
    <col width="18" customWidth="1" min="9" max="9"/>
    <col width="15" customWidth="1" min="10" max="10"/>
    <col width="18" customWidth="1" min="11" max="11"/>
    <col width="13" customWidth="1" min="12" max="12"/>
    <col width="50" customWidth="1" min="13" max="13"/>
  </cols>
  <sheetData>
    <row r="1" ht="22" customHeight="1">
      <c r="A1" s="1" t="inlineStr">
        <is>
          <t>03 Kontakte</t>
        </is>
      </c>
    </row>
    <row r="2">
      <c r="A2" s="2" t="inlineStr">
        <is>
          <t>Pro Projekt mindestens drei Zeilen: Betreiber, GU/TU, Fachplaner. Keine E-Mail aus Namensmustern ableiten. Unbekannt heisst FEHLT.</t>
        </is>
      </c>
    </row>
    <row r="4" ht="30" customHeight="1">
      <c r="A4" s="9" t="inlineStr">
        <is>
          <t>Firma</t>
        </is>
      </c>
      <c r="B4" s="9" t="inlineStr">
        <is>
          <t>Rolle_Funktion</t>
        </is>
      </c>
      <c r="C4" s="9" t="inlineStr">
        <is>
          <t>Name</t>
        </is>
      </c>
      <c r="D4" s="9" t="inlineStr">
        <is>
          <t>Kanal_Typ</t>
        </is>
      </c>
      <c r="E4" s="9" t="inlineStr">
        <is>
          <t>Projekt_Ref</t>
        </is>
      </c>
      <c r="F4" s="9" t="inlineStr">
        <is>
          <t>E-Mail</t>
        </is>
      </c>
      <c r="G4" s="9" t="inlineStr">
        <is>
          <t>Telefon</t>
        </is>
      </c>
      <c r="H4" s="9" t="inlineStr">
        <is>
          <t>LinkedIn</t>
        </is>
      </c>
      <c r="I4" s="9" t="inlineStr">
        <is>
          <t>Beziehungsstatus</t>
        </is>
      </c>
      <c r="J4" s="9" t="inlineStr">
        <is>
          <t>Letzter_Kontakt</t>
        </is>
      </c>
      <c r="K4" s="9" t="inlineStr">
        <is>
          <t>Naechster_Touchpoint</t>
        </is>
      </c>
      <c r="L4" s="9" t="inlineStr">
        <is>
          <t>Touchpoint_Nr</t>
        </is>
      </c>
      <c r="M4" s="9" t="inlineStr">
        <is>
          <t>Notiz</t>
        </is>
      </c>
    </row>
    <row r="5">
      <c r="A5" s="22" t="inlineStr">
        <is>
          <t>Green (green.ch)</t>
        </is>
      </c>
      <c r="B5" s="12" t="inlineStr">
        <is>
          <t>Betreiber, Bauherrenvertretung</t>
        </is>
      </c>
      <c r="C5" s="23" t="inlineStr">
        <is>
          <t>FEHLT</t>
        </is>
      </c>
      <c r="D5" s="22" t="inlineStr">
        <is>
          <t>Betreiber</t>
        </is>
      </c>
      <c r="E5" s="12" t="inlineStr">
        <is>
          <t>Metro-Campus Zuerich West, Datacenter 4 (Green (green.ch))</t>
        </is>
      </c>
      <c r="F5" s="23" t="inlineStr">
        <is>
          <t>FEHLT</t>
        </is>
      </c>
      <c r="G5" s="23" t="inlineStr">
        <is>
          <t>FEHLT</t>
        </is>
      </c>
      <c r="H5" s="23" t="inlineStr">
        <is>
          <t>FEHLT</t>
        </is>
      </c>
      <c r="I5" s="22" t="inlineStr">
        <is>
          <t>Kalt</t>
        </is>
      </c>
      <c r="J5" s="24" t="inlineStr"/>
      <c r="K5" s="24" t="inlineStr"/>
      <c r="L5" s="22" t="n">
        <v>0</v>
      </c>
      <c r="M5" s="12" t="inlineStr">
        <is>
          <t>Aus dem Radar uebernommen. Name und Kontaktdaten offen.</t>
        </is>
      </c>
    </row>
    <row r="6">
      <c r="A6" s="22" t="inlineStr">
        <is>
          <t>Implenia (Shell and Core)</t>
        </is>
      </c>
      <c r="B6" s="12" t="inlineStr">
        <is>
          <t>GU/TU, Bauleitung oder Projektleitung</t>
        </is>
      </c>
      <c r="C6" s="23" t="inlineStr">
        <is>
          <t>FEHLT</t>
        </is>
      </c>
      <c r="D6" s="22" t="inlineStr">
        <is>
          <t>GU/TU</t>
        </is>
      </c>
      <c r="E6" s="12" t="inlineStr">
        <is>
          <t>Metro-Campus Zuerich West, Datacenter 4 (Green (green.ch))</t>
        </is>
      </c>
      <c r="F6" s="23" t="inlineStr">
        <is>
          <t>FEHLT</t>
        </is>
      </c>
      <c r="G6" s="23" t="inlineStr">
        <is>
          <t>FEHLT</t>
        </is>
      </c>
      <c r="H6" s="23" t="inlineStr">
        <is>
          <t>FEHLT</t>
        </is>
      </c>
      <c r="I6" s="22" t="inlineStr">
        <is>
          <t>Kalt</t>
        </is>
      </c>
      <c r="J6" s="24" t="inlineStr"/>
      <c r="K6" s="24" t="inlineStr"/>
      <c r="L6" s="22" t="n">
        <v>0</v>
      </c>
      <c r="M6" s="12" t="inlineStr">
        <is>
          <t>GU laut Radar Spalte I.</t>
        </is>
      </c>
    </row>
    <row r="7">
      <c r="A7" s="23" t="inlineStr">
        <is>
          <t>FEHLT</t>
        </is>
      </c>
      <c r="B7" s="12" t="inlineStr">
        <is>
          <t>Fachplaner Elektro/MEP</t>
        </is>
      </c>
      <c r="C7" s="23" t="inlineStr">
        <is>
          <t>FEHLT</t>
        </is>
      </c>
      <c r="D7" s="22" t="inlineStr">
        <is>
          <t>Fachplaner</t>
        </is>
      </c>
      <c r="E7" s="12" t="inlineStr">
        <is>
          <t>Metro-Campus Zuerich West, Datacenter 4 (Green (green.ch))</t>
        </is>
      </c>
      <c r="F7" s="23" t="inlineStr">
        <is>
          <t>FEHLT</t>
        </is>
      </c>
      <c r="G7" s="23" t="inlineStr">
        <is>
          <t>FEHLT</t>
        </is>
      </c>
      <c r="H7" s="23" t="inlineStr">
        <is>
          <t>FEHLT</t>
        </is>
      </c>
      <c r="I7" s="22" t="inlineStr">
        <is>
          <t>Kalt</t>
        </is>
      </c>
      <c r="J7" s="24" t="inlineStr"/>
      <c r="K7" s="24" t="inlineStr"/>
      <c r="L7" s="22" t="n">
        <v>0</v>
      </c>
      <c r="M7" s="12" t="inlineStr">
        <is>
          <t>Hoechster Multiplikatorwert. Entscheidet, ob Lastbank und PQ-Messung im LV stehen.</t>
        </is>
      </c>
    </row>
    <row r="8">
      <c r="A8" s="22" t="inlineStr">
        <is>
          <t>STACK Infrastructure</t>
        </is>
      </c>
      <c r="B8" s="12" t="inlineStr">
        <is>
          <t>Betreiber, Bauherrenvertretung</t>
        </is>
      </c>
      <c r="C8" s="23" t="inlineStr">
        <is>
          <t>FEHLT</t>
        </is>
      </c>
      <c r="D8" s="22" t="inlineStr">
        <is>
          <t>Betreiber</t>
        </is>
      </c>
      <c r="E8" s="12" t="inlineStr">
        <is>
          <t>ZUR02 Beringen (STACK Infrastructure)</t>
        </is>
      </c>
      <c r="F8" s="23" t="inlineStr">
        <is>
          <t>FEHLT</t>
        </is>
      </c>
      <c r="G8" s="23" t="inlineStr">
        <is>
          <t>FEHLT</t>
        </is>
      </c>
      <c r="H8" s="23" t="inlineStr">
        <is>
          <t>FEHLT</t>
        </is>
      </c>
      <c r="I8" s="22" t="inlineStr">
        <is>
          <t>Kalt</t>
        </is>
      </c>
      <c r="J8" s="24" t="inlineStr"/>
      <c r="K8" s="24" t="inlineStr"/>
      <c r="L8" s="22" t="n">
        <v>0</v>
      </c>
      <c r="M8" s="12" t="inlineStr">
        <is>
          <t>Aus dem Radar uebernommen. Name und Kontaktdaten offen.</t>
        </is>
      </c>
    </row>
    <row r="9">
      <c r="A9" s="23" t="inlineStr">
        <is>
          <t>FEHLT</t>
        </is>
      </c>
      <c r="B9" s="12" t="inlineStr">
        <is>
          <t>GU/TU, Bauleitung oder Projektleitung</t>
        </is>
      </c>
      <c r="C9" s="23" t="inlineStr">
        <is>
          <t>FEHLT</t>
        </is>
      </c>
      <c r="D9" s="22" t="inlineStr">
        <is>
          <t>GU/TU</t>
        </is>
      </c>
      <c r="E9" s="12" t="inlineStr">
        <is>
          <t>ZUR02 Beringen (STACK Infrastructure)</t>
        </is>
      </c>
      <c r="F9" s="23" t="inlineStr">
        <is>
          <t>FEHLT</t>
        </is>
      </c>
      <c r="G9" s="23" t="inlineStr">
        <is>
          <t>FEHLT</t>
        </is>
      </c>
      <c r="H9" s="23" t="inlineStr">
        <is>
          <t>FEHLT</t>
        </is>
      </c>
      <c r="I9" s="22" t="inlineStr">
        <is>
          <t>Kalt</t>
        </is>
      </c>
      <c r="J9" s="24" t="inlineStr"/>
      <c r="K9" s="24" t="inlineStr"/>
      <c r="L9" s="22" t="n">
        <v>0</v>
      </c>
      <c r="M9" s="12" t="inlineStr">
        <is>
          <t>GU im Radar nicht belegt, zuerst identifizieren.</t>
        </is>
      </c>
    </row>
    <row r="10">
      <c r="A10" s="23" t="inlineStr">
        <is>
          <t>FEHLT</t>
        </is>
      </c>
      <c r="B10" s="12" t="inlineStr">
        <is>
          <t>Fachplaner Elektro/MEP</t>
        </is>
      </c>
      <c r="C10" s="23" t="inlineStr">
        <is>
          <t>FEHLT</t>
        </is>
      </c>
      <c r="D10" s="22" t="inlineStr">
        <is>
          <t>Fachplaner</t>
        </is>
      </c>
      <c r="E10" s="12" t="inlineStr">
        <is>
          <t>ZUR02 Beringen (STACK Infrastructure)</t>
        </is>
      </c>
      <c r="F10" s="23" t="inlineStr">
        <is>
          <t>FEHLT</t>
        </is>
      </c>
      <c r="G10" s="23" t="inlineStr">
        <is>
          <t>FEHLT</t>
        </is>
      </c>
      <c r="H10" s="23" t="inlineStr">
        <is>
          <t>FEHLT</t>
        </is>
      </c>
      <c r="I10" s="22" t="inlineStr">
        <is>
          <t>Kalt</t>
        </is>
      </c>
      <c r="J10" s="24" t="inlineStr"/>
      <c r="K10" s="24" t="inlineStr"/>
      <c r="L10" s="22" t="n">
        <v>0</v>
      </c>
      <c r="M10" s="12" t="inlineStr">
        <is>
          <t>Hoechster Multiplikatorwert. Entscheidet, ob Lastbank und PQ-Messung im LV stehen.</t>
        </is>
      </c>
    </row>
    <row r="11">
      <c r="A11" s="22" t="inlineStr">
        <is>
          <t>Digital Realty</t>
        </is>
      </c>
      <c r="B11" s="12" t="inlineStr">
        <is>
          <t>Betreiber, Bauherrenvertretung</t>
        </is>
      </c>
      <c r="C11" s="23" t="inlineStr">
        <is>
          <t>FEHLT</t>
        </is>
      </c>
      <c r="D11" s="22" t="inlineStr">
        <is>
          <t>Betreiber</t>
        </is>
      </c>
      <c r="E11" s="12" t="inlineStr">
        <is>
          <t>ZUR4 Glattbrugg (Digital Realty)</t>
        </is>
      </c>
      <c r="F11" s="23" t="inlineStr">
        <is>
          <t>FEHLT</t>
        </is>
      </c>
      <c r="G11" s="23" t="inlineStr">
        <is>
          <t>FEHLT</t>
        </is>
      </c>
      <c r="H11" s="23" t="inlineStr">
        <is>
          <t>FEHLT</t>
        </is>
      </c>
      <c r="I11" s="22" t="inlineStr">
        <is>
          <t>Kalt</t>
        </is>
      </c>
      <c r="J11" s="24" t="inlineStr"/>
      <c r="K11" s="24" t="inlineStr"/>
      <c r="L11" s="22" t="n">
        <v>0</v>
      </c>
      <c r="M11" s="12" t="inlineStr">
        <is>
          <t>Aus dem Radar uebernommen. Name und Kontaktdaten offen.</t>
        </is>
      </c>
    </row>
    <row r="12">
      <c r="A12" s="23" t="inlineStr">
        <is>
          <t>FEHLT</t>
        </is>
      </c>
      <c r="B12" s="12" t="inlineStr">
        <is>
          <t>GU/TU, Bauleitung oder Projektleitung</t>
        </is>
      </c>
      <c r="C12" s="23" t="inlineStr">
        <is>
          <t>FEHLT</t>
        </is>
      </c>
      <c r="D12" s="22" t="inlineStr">
        <is>
          <t>GU/TU</t>
        </is>
      </c>
      <c r="E12" s="12" t="inlineStr">
        <is>
          <t>ZUR4 Glattbrugg (Digital Realty)</t>
        </is>
      </c>
      <c r="F12" s="23" t="inlineStr">
        <is>
          <t>FEHLT</t>
        </is>
      </c>
      <c r="G12" s="23" t="inlineStr">
        <is>
          <t>FEHLT</t>
        </is>
      </c>
      <c r="H12" s="23" t="inlineStr">
        <is>
          <t>FEHLT</t>
        </is>
      </c>
      <c r="I12" s="22" t="inlineStr">
        <is>
          <t>Kalt</t>
        </is>
      </c>
      <c r="J12" s="24" t="inlineStr"/>
      <c r="K12" s="24" t="inlineStr"/>
      <c r="L12" s="22" t="n">
        <v>0</v>
      </c>
      <c r="M12" s="12" t="inlineStr">
        <is>
          <t>GU im Radar nicht belegt, zuerst identifizieren.</t>
        </is>
      </c>
    </row>
    <row r="13">
      <c r="A13" s="23" t="inlineStr">
        <is>
          <t>FEHLT</t>
        </is>
      </c>
      <c r="B13" s="12" t="inlineStr">
        <is>
          <t>Fachplaner Elektro/MEP</t>
        </is>
      </c>
      <c r="C13" s="23" t="inlineStr">
        <is>
          <t>FEHLT</t>
        </is>
      </c>
      <c r="D13" s="22" t="inlineStr">
        <is>
          <t>Fachplaner</t>
        </is>
      </c>
      <c r="E13" s="12" t="inlineStr">
        <is>
          <t>ZUR4 Glattbrugg (Digital Realty)</t>
        </is>
      </c>
      <c r="F13" s="23" t="inlineStr">
        <is>
          <t>FEHLT</t>
        </is>
      </c>
      <c r="G13" s="23" t="inlineStr">
        <is>
          <t>FEHLT</t>
        </is>
      </c>
      <c r="H13" s="23" t="inlineStr">
        <is>
          <t>FEHLT</t>
        </is>
      </c>
      <c r="I13" s="22" t="inlineStr">
        <is>
          <t>Kalt</t>
        </is>
      </c>
      <c r="J13" s="24" t="inlineStr"/>
      <c r="K13" s="24" t="inlineStr"/>
      <c r="L13" s="22" t="n">
        <v>0</v>
      </c>
      <c r="M13" s="12" t="inlineStr">
        <is>
          <t>Hoechster Multiplikatorwert. Entscheidet, ob Lastbank und PQ-Messung im LV stehen.</t>
        </is>
      </c>
    </row>
    <row r="14">
      <c r="A14" s="22" t="inlineStr">
        <is>
          <t>Green (green.ch)</t>
        </is>
      </c>
      <c r="B14" s="12" t="inlineStr">
        <is>
          <t>Betreiber, Bauherrenvertretung</t>
        </is>
      </c>
      <c r="C14" s="23" t="inlineStr">
        <is>
          <t>FEHLT</t>
        </is>
      </c>
      <c r="D14" s="22" t="inlineStr">
        <is>
          <t>Betreiber</t>
        </is>
      </c>
      <c r="E14" s="12" t="inlineStr">
        <is>
          <t>Metro-Campus Zuerich, Datacenter N und O (Green (green.ch))</t>
        </is>
      </c>
      <c r="F14" s="23" t="inlineStr">
        <is>
          <t>FEHLT</t>
        </is>
      </c>
      <c r="G14" s="23" t="inlineStr">
        <is>
          <t>FEHLT</t>
        </is>
      </c>
      <c r="H14" s="23" t="inlineStr">
        <is>
          <t>FEHLT</t>
        </is>
      </c>
      <c r="I14" s="22" t="inlineStr">
        <is>
          <t>Kalt</t>
        </is>
      </c>
      <c r="J14" s="24" t="inlineStr"/>
      <c r="K14" s="24" t="inlineStr"/>
      <c r="L14" s="22" t="n">
        <v>0</v>
      </c>
      <c r="M14" s="12" t="inlineStr">
        <is>
          <t>Aus dem Radar uebernommen. Name und Kontaktdaten offen.</t>
        </is>
      </c>
    </row>
    <row r="15">
      <c r="A15" s="22" t="inlineStr">
        <is>
          <t>Implenia</t>
        </is>
      </c>
      <c r="B15" s="12" t="inlineStr">
        <is>
          <t>GU/TU, Bauleitung oder Projektleitung</t>
        </is>
      </c>
      <c r="C15" s="23" t="inlineStr">
        <is>
          <t>FEHLT</t>
        </is>
      </c>
      <c r="D15" s="22" t="inlineStr">
        <is>
          <t>GU/TU</t>
        </is>
      </c>
      <c r="E15" s="12" t="inlineStr">
        <is>
          <t>Metro-Campus Zuerich, Datacenter N und O (Green (green.ch))</t>
        </is>
      </c>
      <c r="F15" s="23" t="inlineStr">
        <is>
          <t>FEHLT</t>
        </is>
      </c>
      <c r="G15" s="23" t="inlineStr">
        <is>
          <t>FEHLT</t>
        </is>
      </c>
      <c r="H15" s="23" t="inlineStr">
        <is>
          <t>FEHLT</t>
        </is>
      </c>
      <c r="I15" s="22" t="inlineStr">
        <is>
          <t>Kalt</t>
        </is>
      </c>
      <c r="J15" s="24" t="inlineStr"/>
      <c r="K15" s="24" t="inlineStr"/>
      <c r="L15" s="22" t="n">
        <v>0</v>
      </c>
      <c r="M15" s="12" t="inlineStr">
        <is>
          <t>GU laut Radar Spalte I.</t>
        </is>
      </c>
    </row>
    <row r="16">
      <c r="A16" s="23" t="inlineStr">
        <is>
          <t>FEHLT</t>
        </is>
      </c>
      <c r="B16" s="12" t="inlineStr">
        <is>
          <t>Fachplaner Elektro/MEP</t>
        </is>
      </c>
      <c r="C16" s="23" t="inlineStr">
        <is>
          <t>FEHLT</t>
        </is>
      </c>
      <c r="D16" s="22" t="inlineStr">
        <is>
          <t>Fachplaner</t>
        </is>
      </c>
      <c r="E16" s="12" t="inlineStr">
        <is>
          <t>Metro-Campus Zuerich, Datacenter N und O (Green (green.ch))</t>
        </is>
      </c>
      <c r="F16" s="23" t="inlineStr">
        <is>
          <t>FEHLT</t>
        </is>
      </c>
      <c r="G16" s="23" t="inlineStr">
        <is>
          <t>FEHLT</t>
        </is>
      </c>
      <c r="H16" s="23" t="inlineStr">
        <is>
          <t>FEHLT</t>
        </is>
      </c>
      <c r="I16" s="22" t="inlineStr">
        <is>
          <t>Kalt</t>
        </is>
      </c>
      <c r="J16" s="24" t="inlineStr"/>
      <c r="K16" s="24" t="inlineStr"/>
      <c r="L16" s="22" t="n">
        <v>0</v>
      </c>
      <c r="M16" s="12" t="inlineStr">
        <is>
          <t>Hoechster Multiplikatorwert. Entscheidet, ob Lastbank und PQ-Messung im LV stehen.</t>
        </is>
      </c>
    </row>
    <row r="17">
      <c r="A17" s="22" t="inlineStr">
        <is>
          <t>NorthC</t>
        </is>
      </c>
      <c r="B17" s="12" t="inlineStr">
        <is>
          <t>Betreiber, Bauherrenvertretung</t>
        </is>
      </c>
      <c r="C17" s="23" t="inlineStr">
        <is>
          <t>FEHLT</t>
        </is>
      </c>
      <c r="D17" s="22" t="inlineStr">
        <is>
          <t>Betreiber</t>
        </is>
      </c>
      <c r="E17" s="12" t="inlineStr">
        <is>
          <t>The Hive Campus Genf (NorthC)</t>
        </is>
      </c>
      <c r="F17" s="23" t="inlineStr">
        <is>
          <t>FEHLT</t>
        </is>
      </c>
      <c r="G17" s="23" t="inlineStr">
        <is>
          <t>FEHLT</t>
        </is>
      </c>
      <c r="H17" s="23" t="inlineStr">
        <is>
          <t>FEHLT</t>
        </is>
      </c>
      <c r="I17" s="22" t="inlineStr">
        <is>
          <t>Kalt</t>
        </is>
      </c>
      <c r="J17" s="24" t="inlineStr"/>
      <c r="K17" s="24" t="inlineStr"/>
      <c r="L17" s="22" t="n">
        <v>0</v>
      </c>
      <c r="M17" s="12" t="inlineStr">
        <is>
          <t>Aus dem Radar uebernommen. Name und Kontaktdaten offen.</t>
        </is>
      </c>
    </row>
    <row r="18">
      <c r="A18" s="23" t="inlineStr">
        <is>
          <t>FEHLT</t>
        </is>
      </c>
      <c r="B18" s="12" t="inlineStr">
        <is>
          <t>GU/TU, Bauleitung oder Projektleitung</t>
        </is>
      </c>
      <c r="C18" s="23" t="inlineStr">
        <is>
          <t>FEHLT</t>
        </is>
      </c>
      <c r="D18" s="22" t="inlineStr">
        <is>
          <t>GU/TU</t>
        </is>
      </c>
      <c r="E18" s="12" t="inlineStr">
        <is>
          <t>The Hive Campus Genf (NorthC)</t>
        </is>
      </c>
      <c r="F18" s="23" t="inlineStr">
        <is>
          <t>FEHLT</t>
        </is>
      </c>
      <c r="G18" s="23" t="inlineStr">
        <is>
          <t>FEHLT</t>
        </is>
      </c>
      <c r="H18" s="23" t="inlineStr">
        <is>
          <t>FEHLT</t>
        </is>
      </c>
      <c r="I18" s="22" t="inlineStr">
        <is>
          <t>Kalt</t>
        </is>
      </c>
      <c r="J18" s="24" t="inlineStr"/>
      <c r="K18" s="24" t="inlineStr"/>
      <c r="L18" s="22" t="n">
        <v>0</v>
      </c>
      <c r="M18" s="12" t="inlineStr">
        <is>
          <t>GU im Radar nicht belegt, zuerst identifizieren.</t>
        </is>
      </c>
    </row>
    <row r="19">
      <c r="A19" s="23" t="inlineStr">
        <is>
          <t>FEHLT</t>
        </is>
      </c>
      <c r="B19" s="12" t="inlineStr">
        <is>
          <t>Fachplaner Elektro/MEP</t>
        </is>
      </c>
      <c r="C19" s="23" t="inlineStr">
        <is>
          <t>FEHLT</t>
        </is>
      </c>
      <c r="D19" s="22" t="inlineStr">
        <is>
          <t>Fachplaner</t>
        </is>
      </c>
      <c r="E19" s="12" t="inlineStr">
        <is>
          <t>The Hive Campus Genf (NorthC)</t>
        </is>
      </c>
      <c r="F19" s="23" t="inlineStr">
        <is>
          <t>FEHLT</t>
        </is>
      </c>
      <c r="G19" s="23" t="inlineStr">
        <is>
          <t>FEHLT</t>
        </is>
      </c>
      <c r="H19" s="23" t="inlineStr">
        <is>
          <t>FEHLT</t>
        </is>
      </c>
      <c r="I19" s="22" t="inlineStr">
        <is>
          <t>Kalt</t>
        </is>
      </c>
      <c r="J19" s="24" t="inlineStr"/>
      <c r="K19" s="24" t="inlineStr"/>
      <c r="L19" s="22" t="n">
        <v>0</v>
      </c>
      <c r="M19" s="12" t="inlineStr">
        <is>
          <t>Hoechster Multiplikatorwert. Entscheidet, ob Lastbank und PQ-Messung im LV stehen.</t>
        </is>
      </c>
    </row>
    <row r="20">
      <c r="A20" s="22" t="inlineStr">
        <is>
          <t>FlexBase</t>
        </is>
      </c>
      <c r="B20" s="12" t="inlineStr">
        <is>
          <t>Betreiber, Bauherrenvertretung</t>
        </is>
      </c>
      <c r="C20" s="23" t="inlineStr">
        <is>
          <t>FEHLT</t>
        </is>
      </c>
      <c r="D20" s="22" t="inlineStr">
        <is>
          <t>Betreiber</t>
        </is>
      </c>
      <c r="E20" s="12" t="inlineStr">
        <is>
          <t>Technologiezentrum Laufenburg (TZL) (FlexBase)</t>
        </is>
      </c>
      <c r="F20" s="23" t="inlineStr">
        <is>
          <t>FEHLT</t>
        </is>
      </c>
      <c r="G20" s="23" t="inlineStr">
        <is>
          <t>FEHLT</t>
        </is>
      </c>
      <c r="H20" s="23" t="inlineStr">
        <is>
          <t>FEHLT</t>
        </is>
      </c>
      <c r="I20" s="22" t="inlineStr">
        <is>
          <t>Kalt</t>
        </is>
      </c>
      <c r="J20" s="24" t="inlineStr"/>
      <c r="K20" s="24" t="inlineStr"/>
      <c r="L20" s="22" t="n">
        <v>0</v>
      </c>
      <c r="M20" s="12" t="inlineStr">
        <is>
          <t>Aus dem Radar uebernommen. Name und Kontaktdaten offen.</t>
        </is>
      </c>
    </row>
    <row r="21">
      <c r="A21" s="22" t="inlineStr">
        <is>
          <t>ERNE Gruppe (GU)</t>
        </is>
      </c>
      <c r="B21" s="12" t="inlineStr">
        <is>
          <t>GU/TU, Bauleitung oder Projektleitung</t>
        </is>
      </c>
      <c r="C21" s="23" t="inlineStr">
        <is>
          <t>FEHLT</t>
        </is>
      </c>
      <c r="D21" s="22" t="inlineStr">
        <is>
          <t>GU/TU</t>
        </is>
      </c>
      <c r="E21" s="12" t="inlineStr">
        <is>
          <t>Technologiezentrum Laufenburg (TZL) (FlexBase)</t>
        </is>
      </c>
      <c r="F21" s="23" t="inlineStr">
        <is>
          <t>FEHLT</t>
        </is>
      </c>
      <c r="G21" s="23" t="inlineStr">
        <is>
          <t>FEHLT</t>
        </is>
      </c>
      <c r="H21" s="23" t="inlineStr">
        <is>
          <t>FEHLT</t>
        </is>
      </c>
      <c r="I21" s="22" t="inlineStr">
        <is>
          <t>Kalt</t>
        </is>
      </c>
      <c r="J21" s="24" t="inlineStr"/>
      <c r="K21" s="24" t="inlineStr"/>
      <c r="L21" s="22" t="n">
        <v>0</v>
      </c>
      <c r="M21" s="12" t="inlineStr">
        <is>
          <t>GU laut Radar Spalte I.</t>
        </is>
      </c>
    </row>
    <row r="22">
      <c r="A22" s="23" t="inlineStr">
        <is>
          <t>FEHLT</t>
        </is>
      </c>
      <c r="B22" s="12" t="inlineStr">
        <is>
          <t>Fachplaner Elektro/MEP</t>
        </is>
      </c>
      <c r="C22" s="23" t="inlineStr">
        <is>
          <t>FEHLT</t>
        </is>
      </c>
      <c r="D22" s="22" t="inlineStr">
        <is>
          <t>Fachplaner</t>
        </is>
      </c>
      <c r="E22" s="12" t="inlineStr">
        <is>
          <t>Technologiezentrum Laufenburg (TZL) (FlexBase)</t>
        </is>
      </c>
      <c r="F22" s="23" t="inlineStr">
        <is>
          <t>FEHLT</t>
        </is>
      </c>
      <c r="G22" s="23" t="inlineStr">
        <is>
          <t>FEHLT</t>
        </is>
      </c>
      <c r="H22" s="23" t="inlineStr">
        <is>
          <t>FEHLT</t>
        </is>
      </c>
      <c r="I22" s="22" t="inlineStr">
        <is>
          <t>Kalt</t>
        </is>
      </c>
      <c r="J22" s="24" t="inlineStr"/>
      <c r="K22" s="24" t="inlineStr"/>
      <c r="L22" s="22" t="n">
        <v>0</v>
      </c>
      <c r="M22" s="12" t="inlineStr">
        <is>
          <t>Hoechster Multiplikatorwert. Entscheidet, ob Lastbank und PQ-Messung im LV stehen.</t>
        </is>
      </c>
    </row>
    <row r="23">
      <c r="A23" s="22" t="inlineStr">
        <is>
          <t>Green (green.ch)</t>
        </is>
      </c>
      <c r="B23" s="12" t="inlineStr">
        <is>
          <t>Betreiber, Bauherrenvertretung</t>
        </is>
      </c>
      <c r="C23" s="23" t="inlineStr">
        <is>
          <t>FEHLT</t>
        </is>
      </c>
      <c r="D23" s="22" t="inlineStr">
        <is>
          <t>Betreiber</t>
        </is>
      </c>
      <c r="E23" s="12" t="inlineStr">
        <is>
          <t>Metro-Campus Zuerich, weiteres Datacenter (Green (green.ch))</t>
        </is>
      </c>
      <c r="F23" s="23" t="inlineStr">
        <is>
          <t>FEHLT</t>
        </is>
      </c>
      <c r="G23" s="23" t="inlineStr">
        <is>
          <t>FEHLT</t>
        </is>
      </c>
      <c r="H23" s="23" t="inlineStr">
        <is>
          <t>FEHLT</t>
        </is>
      </c>
      <c r="I23" s="22" t="inlineStr">
        <is>
          <t>Kalt</t>
        </is>
      </c>
      <c r="J23" s="24" t="inlineStr"/>
      <c r="K23" s="24" t="inlineStr"/>
      <c r="L23" s="22" t="n">
        <v>0</v>
      </c>
      <c r="M23" s="12" t="inlineStr">
        <is>
          <t>Aus dem Radar uebernommen. Name und Kontaktdaten offen.</t>
        </is>
      </c>
    </row>
    <row r="24">
      <c r="A24" s="23" t="inlineStr">
        <is>
          <t>FEHLT</t>
        </is>
      </c>
      <c r="B24" s="12" t="inlineStr">
        <is>
          <t>GU/TU, Bauleitung oder Projektleitung</t>
        </is>
      </c>
      <c r="C24" s="23" t="inlineStr">
        <is>
          <t>FEHLT</t>
        </is>
      </c>
      <c r="D24" s="22" t="inlineStr">
        <is>
          <t>GU/TU</t>
        </is>
      </c>
      <c r="E24" s="12" t="inlineStr">
        <is>
          <t>Metro-Campus Zuerich, weiteres Datacenter (Green (green.ch))</t>
        </is>
      </c>
      <c r="F24" s="23" t="inlineStr">
        <is>
          <t>FEHLT</t>
        </is>
      </c>
      <c r="G24" s="23" t="inlineStr">
        <is>
          <t>FEHLT</t>
        </is>
      </c>
      <c r="H24" s="23" t="inlineStr">
        <is>
          <t>FEHLT</t>
        </is>
      </c>
      <c r="I24" s="22" t="inlineStr">
        <is>
          <t>Kalt</t>
        </is>
      </c>
      <c r="J24" s="24" t="inlineStr"/>
      <c r="K24" s="24" t="inlineStr"/>
      <c r="L24" s="22" t="n">
        <v>0</v>
      </c>
      <c r="M24" s="12" t="inlineStr">
        <is>
          <t>GU im Radar nicht belegt, zuerst identifizieren.</t>
        </is>
      </c>
    </row>
    <row r="25">
      <c r="A25" s="23" t="inlineStr">
        <is>
          <t>FEHLT</t>
        </is>
      </c>
      <c r="B25" s="12" t="inlineStr">
        <is>
          <t>Fachplaner Elektro/MEP</t>
        </is>
      </c>
      <c r="C25" s="23" t="inlineStr">
        <is>
          <t>FEHLT</t>
        </is>
      </c>
      <c r="D25" s="22" t="inlineStr">
        <is>
          <t>Fachplaner</t>
        </is>
      </c>
      <c r="E25" s="12" t="inlineStr">
        <is>
          <t>Metro-Campus Zuerich, weiteres Datacenter (Green (green.ch))</t>
        </is>
      </c>
      <c r="F25" s="23" t="inlineStr">
        <is>
          <t>FEHLT</t>
        </is>
      </c>
      <c r="G25" s="23" t="inlineStr">
        <is>
          <t>FEHLT</t>
        </is>
      </c>
      <c r="H25" s="23" t="inlineStr">
        <is>
          <t>FEHLT</t>
        </is>
      </c>
      <c r="I25" s="22" t="inlineStr">
        <is>
          <t>Kalt</t>
        </is>
      </c>
      <c r="J25" s="24" t="inlineStr"/>
      <c r="K25" s="24" t="inlineStr"/>
      <c r="L25" s="22" t="n">
        <v>0</v>
      </c>
      <c r="M25" s="12" t="inlineStr">
        <is>
          <t>Hoechster Multiplikatorwert. Entscheidet, ob Lastbank und PQ-Messung im LV stehen.</t>
        </is>
      </c>
    </row>
    <row r="26">
      <c r="A26" s="22" t="inlineStr">
        <is>
          <t>Equinix</t>
        </is>
      </c>
      <c r="B26" s="12" t="inlineStr">
        <is>
          <t>Betreiber, Bauherrenvertretung</t>
        </is>
      </c>
      <c r="C26" s="23" t="inlineStr">
        <is>
          <t>FEHLT</t>
        </is>
      </c>
      <c r="D26" s="22" t="inlineStr">
        <is>
          <t>Betreiber</t>
        </is>
      </c>
      <c r="E26" s="12" t="inlineStr">
        <is>
          <t>ZH4 Zuerich, sechste Ausbauphase (Equinix)</t>
        </is>
      </c>
      <c r="F26" s="23" t="inlineStr">
        <is>
          <t>FEHLT</t>
        </is>
      </c>
      <c r="G26" s="23" t="inlineStr">
        <is>
          <t>FEHLT</t>
        </is>
      </c>
      <c r="H26" s="23" t="inlineStr">
        <is>
          <t>FEHLT</t>
        </is>
      </c>
      <c r="I26" s="22" t="inlineStr">
        <is>
          <t>Kalt</t>
        </is>
      </c>
      <c r="J26" s="24" t="inlineStr"/>
      <c r="K26" s="24" t="inlineStr"/>
      <c r="L26" s="22" t="n">
        <v>0</v>
      </c>
      <c r="M26" s="12" t="inlineStr">
        <is>
          <t>Aus dem Radar uebernommen. Name und Kontaktdaten offen.</t>
        </is>
      </c>
    </row>
    <row r="27">
      <c r="A27" s="23" t="inlineStr">
        <is>
          <t>FEHLT</t>
        </is>
      </c>
      <c r="B27" s="12" t="inlineStr">
        <is>
          <t>GU/TU, Bauleitung oder Projektleitung</t>
        </is>
      </c>
      <c r="C27" s="23" t="inlineStr">
        <is>
          <t>FEHLT</t>
        </is>
      </c>
      <c r="D27" s="22" t="inlineStr">
        <is>
          <t>GU/TU</t>
        </is>
      </c>
      <c r="E27" s="12" t="inlineStr">
        <is>
          <t>ZH4 Zuerich, sechste Ausbauphase (Equinix)</t>
        </is>
      </c>
      <c r="F27" s="23" t="inlineStr">
        <is>
          <t>FEHLT</t>
        </is>
      </c>
      <c r="G27" s="23" t="inlineStr">
        <is>
          <t>FEHLT</t>
        </is>
      </c>
      <c r="H27" s="23" t="inlineStr">
        <is>
          <t>FEHLT</t>
        </is>
      </c>
      <c r="I27" s="22" t="inlineStr">
        <is>
          <t>Kalt</t>
        </is>
      </c>
      <c r="J27" s="24" t="inlineStr"/>
      <c r="K27" s="24" t="inlineStr"/>
      <c r="L27" s="22" t="n">
        <v>0</v>
      </c>
      <c r="M27" s="12" t="inlineStr">
        <is>
          <t>GU im Radar nicht belegt, zuerst identifizieren.</t>
        </is>
      </c>
    </row>
    <row r="28">
      <c r="A28" s="23" t="inlineStr">
        <is>
          <t>FEHLT</t>
        </is>
      </c>
      <c r="B28" s="12" t="inlineStr">
        <is>
          <t>Fachplaner Elektro/MEP</t>
        </is>
      </c>
      <c r="C28" s="23" t="inlineStr">
        <is>
          <t>FEHLT</t>
        </is>
      </c>
      <c r="D28" s="22" t="inlineStr">
        <is>
          <t>Fachplaner</t>
        </is>
      </c>
      <c r="E28" s="12" t="inlineStr">
        <is>
          <t>ZH4 Zuerich, sechste Ausbauphase (Equinix)</t>
        </is>
      </c>
      <c r="F28" s="23" t="inlineStr">
        <is>
          <t>FEHLT</t>
        </is>
      </c>
      <c r="G28" s="23" t="inlineStr">
        <is>
          <t>FEHLT</t>
        </is>
      </c>
      <c r="H28" s="23" t="inlineStr">
        <is>
          <t>FEHLT</t>
        </is>
      </c>
      <c r="I28" s="22" t="inlineStr">
        <is>
          <t>Kalt</t>
        </is>
      </c>
      <c r="J28" s="24" t="inlineStr"/>
      <c r="K28" s="24" t="inlineStr"/>
      <c r="L28" s="22" t="n">
        <v>0</v>
      </c>
      <c r="M28" s="12" t="inlineStr">
        <is>
          <t>Hoechster Multiplikatorwert. Entscheidet, ob Lastbank und PQ-Messung im LV stehen.</t>
        </is>
      </c>
    </row>
    <row r="29">
      <c r="A29" s="22" t="inlineStr">
        <is>
          <t>NorthC</t>
        </is>
      </c>
      <c r="B29" s="12" t="inlineStr">
        <is>
          <t>Betreiber, Bauherrenvertretung</t>
        </is>
      </c>
      <c r="C29" s="23" t="inlineStr">
        <is>
          <t>FEHLT</t>
        </is>
      </c>
      <c r="D29" s="22" t="inlineStr">
        <is>
          <t>Betreiber</t>
        </is>
      </c>
      <c r="E29" s="12" t="inlineStr">
        <is>
          <t>UptownBasel Campus (NorthC)</t>
        </is>
      </c>
      <c r="F29" s="23" t="inlineStr">
        <is>
          <t>FEHLT</t>
        </is>
      </c>
      <c r="G29" s="23" t="inlineStr">
        <is>
          <t>FEHLT</t>
        </is>
      </c>
      <c r="H29" s="23" t="inlineStr">
        <is>
          <t>FEHLT</t>
        </is>
      </c>
      <c r="I29" s="22" t="inlineStr">
        <is>
          <t>Kalt</t>
        </is>
      </c>
      <c r="J29" s="24" t="inlineStr"/>
      <c r="K29" s="24" t="inlineStr"/>
      <c r="L29" s="22" t="n">
        <v>0</v>
      </c>
      <c r="M29" s="12" t="inlineStr">
        <is>
          <t>Aus dem Radar uebernommen. Name und Kontaktdaten offen.</t>
        </is>
      </c>
    </row>
    <row r="30">
      <c r="A30" s="23" t="inlineStr">
        <is>
          <t>FEHLT</t>
        </is>
      </c>
      <c r="B30" s="12" t="inlineStr">
        <is>
          <t>GU/TU, Bauleitung oder Projektleitung</t>
        </is>
      </c>
      <c r="C30" s="23" t="inlineStr">
        <is>
          <t>FEHLT</t>
        </is>
      </c>
      <c r="D30" s="22" t="inlineStr">
        <is>
          <t>GU/TU</t>
        </is>
      </c>
      <c r="E30" s="12" t="inlineStr">
        <is>
          <t>UptownBasel Campus (NorthC)</t>
        </is>
      </c>
      <c r="F30" s="23" t="inlineStr">
        <is>
          <t>FEHLT</t>
        </is>
      </c>
      <c r="G30" s="23" t="inlineStr">
        <is>
          <t>FEHLT</t>
        </is>
      </c>
      <c r="H30" s="23" t="inlineStr">
        <is>
          <t>FEHLT</t>
        </is>
      </c>
      <c r="I30" s="22" t="inlineStr">
        <is>
          <t>Kalt</t>
        </is>
      </c>
      <c r="J30" s="24" t="inlineStr"/>
      <c r="K30" s="24" t="inlineStr"/>
      <c r="L30" s="22" t="n">
        <v>0</v>
      </c>
      <c r="M30" s="12" t="inlineStr">
        <is>
          <t>GU im Radar nicht belegt, zuerst identifizieren.</t>
        </is>
      </c>
    </row>
    <row r="31">
      <c r="A31" s="23" t="inlineStr">
        <is>
          <t>FEHLT</t>
        </is>
      </c>
      <c r="B31" s="12" t="inlineStr">
        <is>
          <t>Fachplaner Elektro/MEP</t>
        </is>
      </c>
      <c r="C31" s="23" t="inlineStr">
        <is>
          <t>FEHLT</t>
        </is>
      </c>
      <c r="D31" s="22" t="inlineStr">
        <is>
          <t>Fachplaner</t>
        </is>
      </c>
      <c r="E31" s="12" t="inlineStr">
        <is>
          <t>UptownBasel Campus (NorthC)</t>
        </is>
      </c>
      <c r="F31" s="23" t="inlineStr">
        <is>
          <t>FEHLT</t>
        </is>
      </c>
      <c r="G31" s="23" t="inlineStr">
        <is>
          <t>FEHLT</t>
        </is>
      </c>
      <c r="H31" s="23" t="inlineStr">
        <is>
          <t>FEHLT</t>
        </is>
      </c>
      <c r="I31" s="22" t="inlineStr">
        <is>
          <t>Kalt</t>
        </is>
      </c>
      <c r="J31" s="24" t="inlineStr"/>
      <c r="K31" s="24" t="inlineStr"/>
      <c r="L31" s="22" t="n">
        <v>0</v>
      </c>
      <c r="M31" s="12" t="inlineStr">
        <is>
          <t>Hoechster Multiplikatorwert. Entscheidet, ob Lastbank und PQ-Messung im LV stehen.</t>
        </is>
      </c>
    </row>
    <row r="32">
      <c r="A32" s="22" t="inlineStr">
        <is>
          <t>Vantage Data Centers</t>
        </is>
      </c>
      <c r="B32" s="12" t="inlineStr">
        <is>
          <t>Betreiber, Bauherrenvertretung</t>
        </is>
      </c>
      <c r="C32" s="23" t="inlineStr">
        <is>
          <t>FEHLT</t>
        </is>
      </c>
      <c r="D32" s="22" t="inlineStr">
        <is>
          <t>Betreiber</t>
        </is>
      </c>
      <c r="E32" s="12" t="inlineStr">
        <is>
          <t>ZRH1 Winterthur (Vantage Data Centers)</t>
        </is>
      </c>
      <c r="F32" s="23" t="inlineStr">
        <is>
          <t>FEHLT</t>
        </is>
      </c>
      <c r="G32" s="23" t="inlineStr">
        <is>
          <t>FEHLT</t>
        </is>
      </c>
      <c r="H32" s="23" t="inlineStr">
        <is>
          <t>FEHLT</t>
        </is>
      </c>
      <c r="I32" s="22" t="inlineStr">
        <is>
          <t>Kalt</t>
        </is>
      </c>
      <c r="J32" s="24" t="inlineStr"/>
      <c r="K32" s="24" t="inlineStr"/>
      <c r="L32" s="22" t="n">
        <v>0</v>
      </c>
      <c r="M32" s="12" t="inlineStr">
        <is>
          <t>Aus dem Radar uebernommen. Name und Kontaktdaten offen.</t>
        </is>
      </c>
    </row>
    <row r="33">
      <c r="A33" s="22" t="inlineStr">
        <is>
          <t>DPR Construction (Gebaeude 1)</t>
        </is>
      </c>
      <c r="B33" s="12" t="inlineStr">
        <is>
          <t>GU/TU, Bauleitung oder Projektleitung</t>
        </is>
      </c>
      <c r="C33" s="23" t="inlineStr">
        <is>
          <t>FEHLT</t>
        </is>
      </c>
      <c r="D33" s="22" t="inlineStr">
        <is>
          <t>GU/TU</t>
        </is>
      </c>
      <c r="E33" s="12" t="inlineStr">
        <is>
          <t>ZRH1 Winterthur (Vantage Data Centers)</t>
        </is>
      </c>
      <c r="F33" s="23" t="inlineStr">
        <is>
          <t>FEHLT</t>
        </is>
      </c>
      <c r="G33" s="23" t="inlineStr">
        <is>
          <t>FEHLT</t>
        </is>
      </c>
      <c r="H33" s="23" t="inlineStr">
        <is>
          <t>FEHLT</t>
        </is>
      </c>
      <c r="I33" s="22" t="inlineStr">
        <is>
          <t>Kalt</t>
        </is>
      </c>
      <c r="J33" s="24" t="inlineStr"/>
      <c r="K33" s="24" t="inlineStr"/>
      <c r="L33" s="22" t="n">
        <v>0</v>
      </c>
      <c r="M33" s="12" t="inlineStr">
        <is>
          <t>GU laut Radar Spalte I.</t>
        </is>
      </c>
    </row>
    <row r="34">
      <c r="A34" s="23" t="inlineStr">
        <is>
          <t>FEHLT</t>
        </is>
      </c>
      <c r="B34" s="12" t="inlineStr">
        <is>
          <t>Fachplaner Elektro/MEP</t>
        </is>
      </c>
      <c r="C34" s="23" t="inlineStr">
        <is>
          <t>FEHLT</t>
        </is>
      </c>
      <c r="D34" s="22" t="inlineStr">
        <is>
          <t>Fachplaner</t>
        </is>
      </c>
      <c r="E34" s="12" t="inlineStr">
        <is>
          <t>ZRH1 Winterthur (Vantage Data Centers)</t>
        </is>
      </c>
      <c r="F34" s="23" t="inlineStr">
        <is>
          <t>FEHLT</t>
        </is>
      </c>
      <c r="G34" s="23" t="inlineStr">
        <is>
          <t>FEHLT</t>
        </is>
      </c>
      <c r="H34" s="23" t="inlineStr">
        <is>
          <t>FEHLT</t>
        </is>
      </c>
      <c r="I34" s="22" t="inlineStr">
        <is>
          <t>Kalt</t>
        </is>
      </c>
      <c r="J34" s="24" t="inlineStr"/>
      <c r="K34" s="24" t="inlineStr"/>
      <c r="L34" s="22" t="n">
        <v>0</v>
      </c>
      <c r="M34" s="12" t="inlineStr">
        <is>
          <t>Hoechster Multiplikatorwert. Entscheidet, ob Lastbank und PQ-Messung im LV stehen.</t>
        </is>
      </c>
    </row>
    <row r="35">
      <c r="A35" s="22" t="inlineStr">
        <is>
          <t>Vantage Data Centers</t>
        </is>
      </c>
      <c r="B35" s="12" t="inlineStr">
        <is>
          <t>Betreiber, Bauherrenvertretung</t>
        </is>
      </c>
      <c r="C35" s="23" t="inlineStr">
        <is>
          <t>FEHLT</t>
        </is>
      </c>
      <c r="D35" s="22" t="inlineStr">
        <is>
          <t>Betreiber</t>
        </is>
      </c>
      <c r="E35" s="12" t="inlineStr">
        <is>
          <t>ZRH2 Glattfelden (Vantage Data Centers)</t>
        </is>
      </c>
      <c r="F35" s="23" t="inlineStr">
        <is>
          <t>FEHLT</t>
        </is>
      </c>
      <c r="G35" s="23" t="inlineStr">
        <is>
          <t>FEHLT</t>
        </is>
      </c>
      <c r="H35" s="23" t="inlineStr">
        <is>
          <t>FEHLT</t>
        </is>
      </c>
      <c r="I35" s="22" t="inlineStr">
        <is>
          <t>Kalt</t>
        </is>
      </c>
      <c r="J35" s="24" t="inlineStr"/>
      <c r="K35" s="24" t="inlineStr"/>
      <c r="L35" s="22" t="n">
        <v>0</v>
      </c>
      <c r="M35" s="12" t="inlineStr">
        <is>
          <t>Aus dem Radar uebernommen. Name und Kontaktdaten offen.</t>
        </is>
      </c>
    </row>
    <row r="36">
      <c r="A36" s="23" t="inlineStr">
        <is>
          <t>FEHLT</t>
        </is>
      </c>
      <c r="B36" s="12" t="inlineStr">
        <is>
          <t>GU/TU, Bauleitung oder Projektleitung</t>
        </is>
      </c>
      <c r="C36" s="23" t="inlineStr">
        <is>
          <t>FEHLT</t>
        </is>
      </c>
      <c r="D36" s="22" t="inlineStr">
        <is>
          <t>GU/TU</t>
        </is>
      </c>
      <c r="E36" s="12" t="inlineStr">
        <is>
          <t>ZRH2 Glattfelden (Vantage Data Centers)</t>
        </is>
      </c>
      <c r="F36" s="23" t="inlineStr">
        <is>
          <t>FEHLT</t>
        </is>
      </c>
      <c r="G36" s="23" t="inlineStr">
        <is>
          <t>FEHLT</t>
        </is>
      </c>
      <c r="H36" s="23" t="inlineStr">
        <is>
          <t>FEHLT</t>
        </is>
      </c>
      <c r="I36" s="22" t="inlineStr">
        <is>
          <t>Kalt</t>
        </is>
      </c>
      <c r="J36" s="24" t="inlineStr"/>
      <c r="K36" s="24" t="inlineStr"/>
      <c r="L36" s="22" t="n">
        <v>0</v>
      </c>
      <c r="M36" s="12" t="inlineStr">
        <is>
          <t>GU im Radar nicht belegt, zuerst identifizieren.</t>
        </is>
      </c>
    </row>
    <row r="37">
      <c r="A37" s="23" t="inlineStr">
        <is>
          <t>FEHLT</t>
        </is>
      </c>
      <c r="B37" s="12" t="inlineStr">
        <is>
          <t>Fachplaner Elektro/MEP</t>
        </is>
      </c>
      <c r="C37" s="23" t="inlineStr">
        <is>
          <t>FEHLT</t>
        </is>
      </c>
      <c r="D37" s="22" t="inlineStr">
        <is>
          <t>Fachplaner</t>
        </is>
      </c>
      <c r="E37" s="12" t="inlineStr">
        <is>
          <t>ZRH2 Glattfelden (Vantage Data Centers)</t>
        </is>
      </c>
      <c r="F37" s="23" t="inlineStr">
        <is>
          <t>FEHLT</t>
        </is>
      </c>
      <c r="G37" s="23" t="inlineStr">
        <is>
          <t>FEHLT</t>
        </is>
      </c>
      <c r="H37" s="23" t="inlineStr">
        <is>
          <t>FEHLT</t>
        </is>
      </c>
      <c r="I37" s="22" t="inlineStr">
        <is>
          <t>Kalt</t>
        </is>
      </c>
      <c r="J37" s="24" t="inlineStr"/>
      <c r="K37" s="24" t="inlineStr"/>
      <c r="L37" s="22" t="n">
        <v>0</v>
      </c>
      <c r="M37" s="12" t="inlineStr">
        <is>
          <t>Hoechster Multiplikatorwert. Entscheidet, ob Lastbank und PQ-Messung im LV stehen.</t>
        </is>
      </c>
    </row>
    <row r="38">
      <c r="A38" s="22" t="inlineStr">
        <is>
          <t>STACK Infrastructure</t>
        </is>
      </c>
      <c r="B38" s="12" t="inlineStr">
        <is>
          <t>Betreiber, Bauherrenvertretung</t>
        </is>
      </c>
      <c r="C38" s="23" t="inlineStr">
        <is>
          <t>FEHLT</t>
        </is>
      </c>
      <c r="D38" s="22" t="inlineStr">
        <is>
          <t>Betreiber</t>
        </is>
      </c>
      <c r="E38" s="12" t="inlineStr">
        <is>
          <t>ZUR01A Rafz (STACK Infrastructure)</t>
        </is>
      </c>
      <c r="F38" s="23" t="inlineStr">
        <is>
          <t>FEHLT</t>
        </is>
      </c>
      <c r="G38" s="23" t="inlineStr">
        <is>
          <t>FEHLT</t>
        </is>
      </c>
      <c r="H38" s="23" t="inlineStr">
        <is>
          <t>FEHLT</t>
        </is>
      </c>
      <c r="I38" s="22" t="inlineStr">
        <is>
          <t>Kalt</t>
        </is>
      </c>
      <c r="J38" s="24" t="inlineStr"/>
      <c r="K38" s="24" t="inlineStr"/>
      <c r="L38" s="22" t="n">
        <v>0</v>
      </c>
      <c r="M38" s="12" t="inlineStr">
        <is>
          <t>Aus dem Radar uebernommen. Name und Kontaktdaten offen.</t>
        </is>
      </c>
    </row>
    <row r="39">
      <c r="A39" s="23" t="inlineStr">
        <is>
          <t>FEHLT</t>
        </is>
      </c>
      <c r="B39" s="12" t="inlineStr">
        <is>
          <t>GU/TU, Bauleitung oder Projektleitung</t>
        </is>
      </c>
      <c r="C39" s="23" t="inlineStr">
        <is>
          <t>FEHLT</t>
        </is>
      </c>
      <c r="D39" s="22" t="inlineStr">
        <is>
          <t>GU/TU</t>
        </is>
      </c>
      <c r="E39" s="12" t="inlineStr">
        <is>
          <t>ZUR01A Rafz (STACK Infrastructure)</t>
        </is>
      </c>
      <c r="F39" s="23" t="inlineStr">
        <is>
          <t>FEHLT</t>
        </is>
      </c>
      <c r="G39" s="23" t="inlineStr">
        <is>
          <t>FEHLT</t>
        </is>
      </c>
      <c r="H39" s="23" t="inlineStr">
        <is>
          <t>FEHLT</t>
        </is>
      </c>
      <c r="I39" s="22" t="inlineStr">
        <is>
          <t>Kalt</t>
        </is>
      </c>
      <c r="J39" s="24" t="inlineStr"/>
      <c r="K39" s="24" t="inlineStr"/>
      <c r="L39" s="22" t="n">
        <v>0</v>
      </c>
      <c r="M39" s="12" t="inlineStr">
        <is>
          <t>GU im Radar nicht belegt, zuerst identifizieren.</t>
        </is>
      </c>
    </row>
    <row r="40">
      <c r="A40" s="23" t="inlineStr">
        <is>
          <t>FEHLT</t>
        </is>
      </c>
      <c r="B40" s="12" t="inlineStr">
        <is>
          <t>Fachplaner Elektro/MEP</t>
        </is>
      </c>
      <c r="C40" s="23" t="inlineStr">
        <is>
          <t>FEHLT</t>
        </is>
      </c>
      <c r="D40" s="22" t="inlineStr">
        <is>
          <t>Fachplaner</t>
        </is>
      </c>
      <c r="E40" s="12" t="inlineStr">
        <is>
          <t>ZUR01A Rafz (STACK Infrastructure)</t>
        </is>
      </c>
      <c r="F40" s="23" t="inlineStr">
        <is>
          <t>FEHLT</t>
        </is>
      </c>
      <c r="G40" s="23" t="inlineStr">
        <is>
          <t>FEHLT</t>
        </is>
      </c>
      <c r="H40" s="23" t="inlineStr">
        <is>
          <t>FEHLT</t>
        </is>
      </c>
      <c r="I40" s="22" t="inlineStr">
        <is>
          <t>Kalt</t>
        </is>
      </c>
      <c r="J40" s="24" t="inlineStr"/>
      <c r="K40" s="24" t="inlineStr"/>
      <c r="L40" s="22" t="n">
        <v>0</v>
      </c>
      <c r="M40" s="12" t="inlineStr">
        <is>
          <t>Hoechster Multiplikatorwert. Entscheidet, ob Lastbank und PQ-Messung im LV stehen.</t>
        </is>
      </c>
    </row>
    <row r="41">
      <c r="A41" s="22" t="inlineStr">
        <is>
          <t>STACK Infrastructure</t>
        </is>
      </c>
      <c r="B41" s="12" t="inlineStr">
        <is>
          <t>Betreiber, Bauherrenvertretung</t>
        </is>
      </c>
      <c r="C41" s="23" t="inlineStr">
        <is>
          <t>FEHLT</t>
        </is>
      </c>
      <c r="D41" s="22" t="inlineStr">
        <is>
          <t>Betreiber</t>
        </is>
      </c>
      <c r="E41" s="12" t="inlineStr">
        <is>
          <t>ZUR03 Niederweningen (STACK Infrastructure)</t>
        </is>
      </c>
      <c r="F41" s="23" t="inlineStr">
        <is>
          <t>FEHLT</t>
        </is>
      </c>
      <c r="G41" s="23" t="inlineStr">
        <is>
          <t>FEHLT</t>
        </is>
      </c>
      <c r="H41" s="23" t="inlineStr">
        <is>
          <t>FEHLT</t>
        </is>
      </c>
      <c r="I41" s="22" t="inlineStr">
        <is>
          <t>Kalt</t>
        </is>
      </c>
      <c r="J41" s="24" t="inlineStr"/>
      <c r="K41" s="24" t="inlineStr"/>
      <c r="L41" s="22" t="n">
        <v>0</v>
      </c>
      <c r="M41" s="12" t="inlineStr">
        <is>
          <t>Aus dem Radar uebernommen. Name und Kontaktdaten offen.</t>
        </is>
      </c>
    </row>
    <row r="42">
      <c r="A42" s="23" t="inlineStr">
        <is>
          <t>FEHLT</t>
        </is>
      </c>
      <c r="B42" s="12" t="inlineStr">
        <is>
          <t>GU/TU, Bauleitung oder Projektleitung</t>
        </is>
      </c>
      <c r="C42" s="23" t="inlineStr">
        <is>
          <t>FEHLT</t>
        </is>
      </c>
      <c r="D42" s="22" t="inlineStr">
        <is>
          <t>GU/TU</t>
        </is>
      </c>
      <c r="E42" s="12" t="inlineStr">
        <is>
          <t>ZUR03 Niederweningen (STACK Infrastructure)</t>
        </is>
      </c>
      <c r="F42" s="23" t="inlineStr">
        <is>
          <t>FEHLT</t>
        </is>
      </c>
      <c r="G42" s="23" t="inlineStr">
        <is>
          <t>FEHLT</t>
        </is>
      </c>
      <c r="H42" s="23" t="inlineStr">
        <is>
          <t>FEHLT</t>
        </is>
      </c>
      <c r="I42" s="22" t="inlineStr">
        <is>
          <t>Kalt</t>
        </is>
      </c>
      <c r="J42" s="24" t="inlineStr"/>
      <c r="K42" s="24" t="inlineStr"/>
      <c r="L42" s="22" t="n">
        <v>0</v>
      </c>
      <c r="M42" s="12" t="inlineStr">
        <is>
          <t>GU im Radar nicht belegt, zuerst identifizieren.</t>
        </is>
      </c>
    </row>
    <row r="43">
      <c r="A43" s="23" t="inlineStr">
        <is>
          <t>FEHLT</t>
        </is>
      </c>
      <c r="B43" s="12" t="inlineStr">
        <is>
          <t>Fachplaner Elektro/MEP</t>
        </is>
      </c>
      <c r="C43" s="23" t="inlineStr">
        <is>
          <t>FEHLT</t>
        </is>
      </c>
      <c r="D43" s="22" t="inlineStr">
        <is>
          <t>Fachplaner</t>
        </is>
      </c>
      <c r="E43" s="12" t="inlineStr">
        <is>
          <t>ZUR03 Niederweningen (STACK Infrastructure)</t>
        </is>
      </c>
      <c r="F43" s="23" t="inlineStr">
        <is>
          <t>FEHLT</t>
        </is>
      </c>
      <c r="G43" s="23" t="inlineStr">
        <is>
          <t>FEHLT</t>
        </is>
      </c>
      <c r="H43" s="23" t="inlineStr">
        <is>
          <t>FEHLT</t>
        </is>
      </c>
      <c r="I43" s="22" t="inlineStr">
        <is>
          <t>Kalt</t>
        </is>
      </c>
      <c r="J43" s="24" t="inlineStr"/>
      <c r="K43" s="24" t="inlineStr"/>
      <c r="L43" s="22" t="n">
        <v>0</v>
      </c>
      <c r="M43" s="12" t="inlineStr">
        <is>
          <t>Hoechster Multiplikatorwert. Entscheidet, ob Lastbank und PQ-Messung im LV stehen.</t>
        </is>
      </c>
    </row>
    <row r="44">
      <c r="A44" s="22" t="inlineStr">
        <is>
          <t>Digital Realty</t>
        </is>
      </c>
      <c r="B44" s="12" t="inlineStr">
        <is>
          <t>Betreiber, Bauherrenvertretung</t>
        </is>
      </c>
      <c r="C44" s="23" t="inlineStr">
        <is>
          <t>FEHLT</t>
        </is>
      </c>
      <c r="D44" s="22" t="inlineStr">
        <is>
          <t>Betreiber</t>
        </is>
      </c>
      <c r="E44" s="12" t="inlineStr">
        <is>
          <t>ZUR3 Glattbrugg (Digital Realty)</t>
        </is>
      </c>
      <c r="F44" s="23" t="inlineStr">
        <is>
          <t>FEHLT</t>
        </is>
      </c>
      <c r="G44" s="23" t="inlineStr">
        <is>
          <t>FEHLT</t>
        </is>
      </c>
      <c r="H44" s="23" t="inlineStr">
        <is>
          <t>FEHLT</t>
        </is>
      </c>
      <c r="I44" s="22" t="inlineStr">
        <is>
          <t>Kalt</t>
        </is>
      </c>
      <c r="J44" s="24" t="inlineStr"/>
      <c r="K44" s="24" t="inlineStr"/>
      <c r="L44" s="22" t="n">
        <v>0</v>
      </c>
      <c r="M44" s="12" t="inlineStr">
        <is>
          <t>Aus dem Radar uebernommen. Name und Kontaktdaten offen.</t>
        </is>
      </c>
    </row>
    <row r="45">
      <c r="A45" s="23" t="inlineStr">
        <is>
          <t>FEHLT</t>
        </is>
      </c>
      <c r="B45" s="12" t="inlineStr">
        <is>
          <t>GU/TU, Bauleitung oder Projektleitung</t>
        </is>
      </c>
      <c r="C45" s="23" t="inlineStr">
        <is>
          <t>FEHLT</t>
        </is>
      </c>
      <c r="D45" s="22" t="inlineStr">
        <is>
          <t>GU/TU</t>
        </is>
      </c>
      <c r="E45" s="12" t="inlineStr">
        <is>
          <t>ZUR3 Glattbrugg (Digital Realty)</t>
        </is>
      </c>
      <c r="F45" s="23" t="inlineStr">
        <is>
          <t>FEHLT</t>
        </is>
      </c>
      <c r="G45" s="23" t="inlineStr">
        <is>
          <t>FEHLT</t>
        </is>
      </c>
      <c r="H45" s="23" t="inlineStr">
        <is>
          <t>FEHLT</t>
        </is>
      </c>
      <c r="I45" s="22" t="inlineStr">
        <is>
          <t>Kalt</t>
        </is>
      </c>
      <c r="J45" s="24" t="inlineStr"/>
      <c r="K45" s="24" t="inlineStr"/>
      <c r="L45" s="22" t="n">
        <v>0</v>
      </c>
      <c r="M45" s="12" t="inlineStr">
        <is>
          <t>GU im Radar nicht belegt, zuerst identifizieren.</t>
        </is>
      </c>
    </row>
    <row r="46">
      <c r="A46" s="23" t="inlineStr">
        <is>
          <t>FEHLT</t>
        </is>
      </c>
      <c r="B46" s="12" t="inlineStr">
        <is>
          <t>Fachplaner Elektro/MEP</t>
        </is>
      </c>
      <c r="C46" s="23" t="inlineStr">
        <is>
          <t>FEHLT</t>
        </is>
      </c>
      <c r="D46" s="22" t="inlineStr">
        <is>
          <t>Fachplaner</t>
        </is>
      </c>
      <c r="E46" s="12" t="inlineStr">
        <is>
          <t>ZUR3 Glattbrugg (Digital Realty)</t>
        </is>
      </c>
      <c r="F46" s="23" t="inlineStr">
        <is>
          <t>FEHLT</t>
        </is>
      </c>
      <c r="G46" s="23" t="inlineStr">
        <is>
          <t>FEHLT</t>
        </is>
      </c>
      <c r="H46" s="23" t="inlineStr">
        <is>
          <t>FEHLT</t>
        </is>
      </c>
      <c r="I46" s="22" t="inlineStr">
        <is>
          <t>Kalt</t>
        </is>
      </c>
      <c r="J46" s="24" t="inlineStr"/>
      <c r="K46" s="24" t="inlineStr"/>
      <c r="L46" s="22" t="n">
        <v>0</v>
      </c>
      <c r="M46" s="12" t="inlineStr">
        <is>
          <t>Hoechster Multiplikatorwert. Entscheidet, ob Lastbank und PQ-Messung im LV stehen.</t>
        </is>
      </c>
    </row>
    <row r="47">
      <c r="A47" s="22" t="inlineStr">
        <is>
          <t>ETH Zuerich</t>
        </is>
      </c>
      <c r="B47" s="12" t="inlineStr">
        <is>
          <t>Betreiber, Bauherrenvertretung</t>
        </is>
      </c>
      <c r="C47" s="23" t="inlineStr">
        <is>
          <t>FEHLT</t>
        </is>
      </c>
      <c r="D47" s="22" t="inlineStr">
        <is>
          <t>Betreiber</t>
        </is>
      </c>
      <c r="E47" s="12" t="inlineStr">
        <is>
          <t>Rechenzentrum Hoenggerberg (HRZ) (ETH Zuerich)</t>
        </is>
      </c>
      <c r="F47" s="23" t="inlineStr">
        <is>
          <t>FEHLT</t>
        </is>
      </c>
      <c r="G47" s="23" t="inlineStr">
        <is>
          <t>FEHLT</t>
        </is>
      </c>
      <c r="H47" s="23" t="inlineStr">
        <is>
          <t>FEHLT</t>
        </is>
      </c>
      <c r="I47" s="22" t="inlineStr">
        <is>
          <t>Kalt</t>
        </is>
      </c>
      <c r="J47" s="24" t="inlineStr"/>
      <c r="K47" s="24" t="inlineStr"/>
      <c r="L47" s="22" t="n">
        <v>0</v>
      </c>
      <c r="M47" s="12" t="inlineStr">
        <is>
          <t>Aus dem Radar uebernommen. Name und Kontaktdaten offen.</t>
        </is>
      </c>
    </row>
    <row r="48">
      <c r="A48" s="23" t="inlineStr">
        <is>
          <t>FEHLT</t>
        </is>
      </c>
      <c r="B48" s="12" t="inlineStr">
        <is>
          <t>GU/TU, Bauleitung oder Projektleitung</t>
        </is>
      </c>
      <c r="C48" s="23" t="inlineStr">
        <is>
          <t>FEHLT</t>
        </is>
      </c>
      <c r="D48" s="22" t="inlineStr">
        <is>
          <t>GU/TU</t>
        </is>
      </c>
      <c r="E48" s="12" t="inlineStr">
        <is>
          <t>Rechenzentrum Hoenggerberg (HRZ) (ETH Zuerich)</t>
        </is>
      </c>
      <c r="F48" s="23" t="inlineStr">
        <is>
          <t>FEHLT</t>
        </is>
      </c>
      <c r="G48" s="23" t="inlineStr">
        <is>
          <t>FEHLT</t>
        </is>
      </c>
      <c r="H48" s="23" t="inlineStr">
        <is>
          <t>FEHLT</t>
        </is>
      </c>
      <c r="I48" s="22" t="inlineStr">
        <is>
          <t>Kalt</t>
        </is>
      </c>
      <c r="J48" s="24" t="inlineStr"/>
      <c r="K48" s="24" t="inlineStr"/>
      <c r="L48" s="22" t="n">
        <v>0</v>
      </c>
      <c r="M48" s="12" t="inlineStr">
        <is>
          <t>GU im Radar nicht belegt, zuerst identifizieren.</t>
        </is>
      </c>
    </row>
    <row r="49">
      <c r="A49" s="23" t="inlineStr">
        <is>
          <t>FEHLT</t>
        </is>
      </c>
      <c r="B49" s="12" t="inlineStr">
        <is>
          <t>Fachplaner Elektro/MEP</t>
        </is>
      </c>
      <c r="C49" s="23" t="inlineStr">
        <is>
          <t>FEHLT</t>
        </is>
      </c>
      <c r="D49" s="22" t="inlineStr">
        <is>
          <t>Fachplaner</t>
        </is>
      </c>
      <c r="E49" s="12" t="inlineStr">
        <is>
          <t>Rechenzentrum Hoenggerberg (HRZ) (ETH Zuerich)</t>
        </is>
      </c>
      <c r="F49" s="23" t="inlineStr">
        <is>
          <t>FEHLT</t>
        </is>
      </c>
      <c r="G49" s="23" t="inlineStr">
        <is>
          <t>FEHLT</t>
        </is>
      </c>
      <c r="H49" s="23" t="inlineStr">
        <is>
          <t>FEHLT</t>
        </is>
      </c>
      <c r="I49" s="22" t="inlineStr">
        <is>
          <t>Kalt</t>
        </is>
      </c>
      <c r="J49" s="24" t="inlineStr"/>
      <c r="K49" s="24" t="inlineStr"/>
      <c r="L49" s="22" t="n">
        <v>0</v>
      </c>
      <c r="M49" s="12" t="inlineStr">
        <is>
          <t>Hoechster Multiplikatorwert. Entscheidet, ob Lastbank und PQ-Messung im LV stehen.</t>
        </is>
      </c>
    </row>
    <row r="50">
      <c r="A50" s="22" t="inlineStr">
        <is>
          <t>Swisscom</t>
        </is>
      </c>
      <c r="B50" s="12" t="inlineStr">
        <is>
          <t>Betreiber, Bauherrenvertretung</t>
        </is>
      </c>
      <c r="C50" s="23" t="inlineStr">
        <is>
          <t>FEHLT</t>
        </is>
      </c>
      <c r="D50" s="22" t="inlineStr">
        <is>
          <t>Betreiber</t>
        </is>
      </c>
      <c r="E50" s="12" t="inlineStr">
        <is>
          <t>Rechenzentrum Bonvillars (Swisscom)</t>
        </is>
      </c>
      <c r="F50" s="23" t="inlineStr">
        <is>
          <t>FEHLT</t>
        </is>
      </c>
      <c r="G50" s="23" t="inlineStr">
        <is>
          <t>FEHLT</t>
        </is>
      </c>
      <c r="H50" s="23" t="inlineStr">
        <is>
          <t>FEHLT</t>
        </is>
      </c>
      <c r="I50" s="22" t="inlineStr">
        <is>
          <t>Kalt</t>
        </is>
      </c>
      <c r="J50" s="24" t="inlineStr"/>
      <c r="K50" s="24" t="inlineStr"/>
      <c r="L50" s="22" t="n">
        <v>0</v>
      </c>
      <c r="M50" s="12" t="inlineStr">
        <is>
          <t>Aus dem Radar uebernommen. Name und Kontaktdaten offen.</t>
        </is>
      </c>
    </row>
    <row r="51">
      <c r="A51" s="23" t="inlineStr">
        <is>
          <t>FEHLT</t>
        </is>
      </c>
      <c r="B51" s="12" t="inlineStr">
        <is>
          <t>GU/TU, Bauleitung oder Projektleitung</t>
        </is>
      </c>
      <c r="C51" s="23" t="inlineStr">
        <is>
          <t>FEHLT</t>
        </is>
      </c>
      <c r="D51" s="22" t="inlineStr">
        <is>
          <t>GU/TU</t>
        </is>
      </c>
      <c r="E51" s="12" t="inlineStr">
        <is>
          <t>Rechenzentrum Bonvillars (Swisscom)</t>
        </is>
      </c>
      <c r="F51" s="23" t="inlineStr">
        <is>
          <t>FEHLT</t>
        </is>
      </c>
      <c r="G51" s="23" t="inlineStr">
        <is>
          <t>FEHLT</t>
        </is>
      </c>
      <c r="H51" s="23" t="inlineStr">
        <is>
          <t>FEHLT</t>
        </is>
      </c>
      <c r="I51" s="22" t="inlineStr">
        <is>
          <t>Kalt</t>
        </is>
      </c>
      <c r="J51" s="24" t="inlineStr"/>
      <c r="K51" s="24" t="inlineStr"/>
      <c r="L51" s="22" t="n">
        <v>0</v>
      </c>
      <c r="M51" s="12" t="inlineStr">
        <is>
          <t>GU im Radar nicht belegt, zuerst identifizieren.</t>
        </is>
      </c>
    </row>
    <row r="52">
      <c r="A52" s="23" t="inlineStr">
        <is>
          <t>FEHLT</t>
        </is>
      </c>
      <c r="B52" s="12" t="inlineStr">
        <is>
          <t>Fachplaner Elektro/MEP</t>
        </is>
      </c>
      <c r="C52" s="23" t="inlineStr">
        <is>
          <t>FEHLT</t>
        </is>
      </c>
      <c r="D52" s="22" t="inlineStr">
        <is>
          <t>Fachplaner</t>
        </is>
      </c>
      <c r="E52" s="12" t="inlineStr">
        <is>
          <t>Rechenzentrum Bonvillars (Swisscom)</t>
        </is>
      </c>
      <c r="F52" s="23" t="inlineStr">
        <is>
          <t>FEHLT</t>
        </is>
      </c>
      <c r="G52" s="23" t="inlineStr">
        <is>
          <t>FEHLT</t>
        </is>
      </c>
      <c r="H52" s="23" t="inlineStr">
        <is>
          <t>FEHLT</t>
        </is>
      </c>
      <c r="I52" s="22" t="inlineStr">
        <is>
          <t>Kalt</t>
        </is>
      </c>
      <c r="J52" s="24" t="inlineStr"/>
      <c r="K52" s="24" t="inlineStr"/>
      <c r="L52" s="22" t="n">
        <v>0</v>
      </c>
      <c r="M52" s="12" t="inlineStr">
        <is>
          <t>Hoechster Multiplikatorwert. Entscheidet, ob Lastbank und PQ-Messung im LV stehen.</t>
        </is>
      </c>
    </row>
    <row r="53">
      <c r="A53" s="22" t="inlineStr">
        <is>
          <t>Amstein + Walthert AG</t>
        </is>
      </c>
      <c r="B53" s="12" t="inlineStr">
        <is>
          <t>Fachplaner Elektro/Gebaeudetechnik</t>
        </is>
      </c>
      <c r="C53" s="23" t="inlineStr">
        <is>
          <t>FEHLT</t>
        </is>
      </c>
      <c r="D53" s="22" t="inlineStr">
        <is>
          <t>Fachplaner</t>
        </is>
      </c>
      <c r="E53" s="12" t="inlineStr">
        <is>
          <t>ZUR02 Beringen (STACK Infrastructure)</t>
        </is>
      </c>
      <c r="F53" s="23" t="inlineStr">
        <is>
          <t>FEHLT</t>
        </is>
      </c>
      <c r="G53" s="23" t="inlineStr">
        <is>
          <t>FEHLT</t>
        </is>
      </c>
      <c r="H53" s="23" t="inlineStr">
        <is>
          <t>FEHLT</t>
        </is>
      </c>
      <c r="I53" s="22" t="inlineStr">
        <is>
          <t>Kalt</t>
        </is>
      </c>
      <c r="J53" s="24" t="n"/>
      <c r="K53" s="24" t="n"/>
      <c r="L53" s="22" t="n">
        <v>0</v>
      </c>
      <c r="M53" s="12" t="inlineStr">
        <is>
          <t>Fuehrt das RZ Beringen als eigenes Projekt, Rolle pruefen. Weitere DC-Referenzen: Raiffeisen St. Gallen (USV-Ersatz), ETH LEE, Accarda Bruettisellen. Quelle: amstein-walthert.ch/de/projekte/rechenzentrum-beringen-schaffhausen/</t>
        </is>
      </c>
    </row>
    <row r="54">
      <c r="A54" s="22" t="inlineStr">
        <is>
          <t>Gruner AG</t>
        </is>
      </c>
      <c r="B54" s="12" t="inlineStr">
        <is>
          <t>Fachplaner/Engineering</t>
        </is>
      </c>
      <c r="C54" s="23" t="inlineStr">
        <is>
          <t>FEHLT</t>
        </is>
      </c>
      <c r="D54" s="22" t="inlineStr">
        <is>
          <t>Fachplaner</t>
        </is>
      </c>
      <c r="E54" s="12" t="inlineStr">
        <is>
          <t>ZUR3 Glattbrugg (Digital Realty)</t>
        </is>
      </c>
      <c r="F54" s="23" t="inlineStr">
        <is>
          <t>FEHLT</t>
        </is>
      </c>
      <c r="G54" s="23" t="inlineStr">
        <is>
          <t>FEHLT</t>
        </is>
      </c>
      <c r="H54" s="23" t="inlineStr">
        <is>
          <t>FEHLT</t>
        </is>
      </c>
      <c r="I54" s="22" t="inlineStr">
        <is>
          <t>Kalt</t>
        </is>
      </c>
      <c r="J54" s="24" t="n"/>
      <c r="K54" s="24" t="n"/>
      <c r="L54" s="22" t="n">
        <v>0</v>
      </c>
      <c r="M54" s="12" t="inlineStr">
        <is>
          <t>Nennt ZUR3 im eigenen Portfolio, Rolle pruefen. Plant nach eigenen Angaben seit ueber 20 Jahren Datacenter, Referenz auch Suva Luzern RZ-Ersatz. Quelle: grunerfriends.com/projects/data-center-zur3-zurich</t>
        </is>
      </c>
    </row>
    <row r="55">
      <c r="A55" s="22" t="inlineStr">
        <is>
          <t>HKG Engineering AG</t>
        </is>
      </c>
      <c r="B55" s="12" t="inlineStr">
        <is>
          <t>Fachplaner Elektro</t>
        </is>
      </c>
      <c r="C55" s="23" t="inlineStr">
        <is>
          <t>FEHLT</t>
        </is>
      </c>
      <c r="D55" s="22" t="inlineStr">
        <is>
          <t>Fachplaner</t>
        </is>
      </c>
      <c r="E55" s="15" t="inlineStr">
        <is>
          <t>FEHLT</t>
        </is>
      </c>
      <c r="F55" s="23" t="inlineStr">
        <is>
          <t>FEHLT</t>
        </is>
      </c>
      <c r="G55" s="23" t="inlineStr">
        <is>
          <t>FEHLT</t>
        </is>
      </c>
      <c r="H55" s="23" t="inlineStr">
        <is>
          <t>FEHLT</t>
        </is>
      </c>
      <c r="I55" s="22" t="inlineStr">
        <is>
          <t>Kalt</t>
        </is>
      </c>
      <c r="J55" s="24" t="n"/>
      <c r="K55" s="24" t="n"/>
      <c r="L55" s="22" t="n">
        <v>0</v>
      </c>
      <c r="M55" s="12" t="inlineStr">
        <is>
          <t>DC-Referenz Post-RZ Ritex Zofingen. Sucht aktuell Datacenter-Projektleiter Elektroplanung, baut das Feld also aus. Noch keinem Radar-Projekt zugeordnet. Quelle: hkg.ch/referenzen/detail/rechenzentrum-ritex-gebaeude-zofingen/</t>
        </is>
      </c>
    </row>
    <row r="56">
      <c r="A56" s="22" t="inlineStr">
        <is>
          <t>AFRY Schweiz</t>
        </is>
      </c>
      <c r="B56" s="12" t="inlineStr">
        <is>
          <t>Fachplaner/Engineering</t>
        </is>
      </c>
      <c r="C56" s="23" t="inlineStr">
        <is>
          <t>FEHLT</t>
        </is>
      </c>
      <c r="D56" s="22" t="inlineStr">
        <is>
          <t>Fachplaner</t>
        </is>
      </c>
      <c r="E56" s="15" t="inlineStr">
        <is>
          <t>FEHLT</t>
        </is>
      </c>
      <c r="F56" s="23" t="inlineStr">
        <is>
          <t>FEHLT</t>
        </is>
      </c>
      <c r="G56" s="23" t="inlineStr">
        <is>
          <t>FEHLT</t>
        </is>
      </c>
      <c r="H56" s="23" t="inlineStr">
        <is>
          <t>FEHLT</t>
        </is>
      </c>
      <c r="I56" s="22" t="inlineStr">
        <is>
          <t>Kalt</t>
        </is>
      </c>
      <c r="J56" s="24" t="n"/>
      <c r="K56" s="24" t="n"/>
      <c r="L56" s="22" t="n">
        <v>0</v>
      </c>
      <c r="M56" s="12" t="inlineStr">
        <is>
          <t>Fuehrt ein Datacenter-Projekt Suisse romande als Referenz, Projekt und Rolle pruefen. Kandidat fuer den Romandie-Kanal, NorthC The Hive. Quelle: afry.com/fr-ch/projet/datacenter-suisse-romande</t>
        </is>
      </c>
    </row>
  </sheetData>
  <autoFilter ref="A4:M200"/>
  <dataValidations count="2">
    <dataValidation sqref="D5:D200" showDropDown="0" showInputMessage="0" showErrorMessage="0" allowBlank="1" type="list">
      <formula1>"Betreiber,GU/TU,Fachplaner,Ausschreibung,Elektro-Installateur,Behoerde,EVU"</formula1>
    </dataValidation>
    <dataValidation sqref="I5:I200" showDropDown="0" showInputMessage="0" showErrorMessage="0" allowBlank="1" type="list">
      <formula1>"Kalt,Angeschrieben,Erstkontakt,Erstgespraech,Qualifiziert,Offerte,Gewonnen,Verloren,Ruhend"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2" customWidth="1" min="1" max="1"/>
    <col width="22" customWidth="1" min="2" max="2"/>
    <col width="20" customWidth="1" min="3" max="3"/>
    <col width="30" customWidth="1" min="4" max="4"/>
    <col width="56" customWidth="1" min="5" max="5"/>
    <col width="34" customWidth="1" min="6" max="6"/>
  </cols>
  <sheetData>
    <row r="1" ht="22" customHeight="1">
      <c r="A1" s="1" t="inlineStr">
        <is>
          <t>04 Akquise-Tracker</t>
        </is>
      </c>
    </row>
    <row r="2">
      <c r="A2" s="2" t="inlineStr">
        <is>
          <t>Touchpoint-Sequenz. Statisch. Nur aendern, wenn Burak den Prozess aendert.</t>
        </is>
      </c>
    </row>
    <row r="4" ht="30" customHeight="1">
      <c r="A4" s="9" t="inlineStr">
        <is>
          <t>Touchpoint</t>
        </is>
      </c>
      <c r="B4" s="9" t="inlineStr">
        <is>
          <t>Zeitpunkt</t>
        </is>
      </c>
      <c r="C4" s="9" t="inlineStr">
        <is>
          <t>Kanal</t>
        </is>
      </c>
      <c r="D4" s="9" t="inlineStr">
        <is>
          <t>Ziel</t>
        </is>
      </c>
      <c r="E4" s="9" t="inlineStr">
        <is>
          <t>Inhalt</t>
        </is>
      </c>
      <c r="F4" s="9" t="inlineStr">
        <is>
          <t>Abbruchkriterium</t>
        </is>
      </c>
    </row>
    <row r="5" ht="62" customHeight="1">
      <c r="A5" s="22" t="n">
        <v>1</v>
      </c>
      <c r="B5" s="22" t="inlineStr">
        <is>
          <t>Tag 0</t>
        </is>
      </c>
      <c r="C5" s="22" t="inlineStr">
        <is>
          <t>E-Mail</t>
        </is>
      </c>
      <c r="D5" s="12" t="inlineStr">
        <is>
          <t>Aufmerksamkeit und Rollenklaerung</t>
        </is>
      </c>
      <c r="E5" s="12" t="inlineStr">
        <is>
          <t>Betreff konkret, ohne Fragezeichen. Aggreko in der ersten Zeile, weil Mobil in Time internationalen DC-Bauherren nichts sagt. Projektbezug als Vermutung formulieren. Eine Frage nach seinen Projekten, eine Weiterleitungsfrage, ein Anruftermin mit Datum und Uhrzeit.</t>
        </is>
      </c>
      <c r="F5" s="12" t="inlineStr">
        <is>
          <t>keine, Sequenz laeuft weiter</t>
        </is>
      </c>
    </row>
    <row r="6" ht="62" customHeight="1">
      <c r="A6" s="22" t="n">
        <v>2</v>
      </c>
      <c r="B6" s="22" t="inlineStr">
        <is>
          <t>Tag 3 bis 5</t>
        </is>
      </c>
      <c r="C6" s="22" t="inlineStr">
        <is>
          <t>Telefon</t>
        </is>
      </c>
      <c r="D6" s="12" t="inlineStr">
        <is>
          <t>Erstkontakt, richtige Person finden</t>
        </is>
      </c>
      <c r="E6" s="12" t="inlineStr">
        <is>
          <t>Auf die im Mail genannte Zeit anrufen. Kommt das Sekretariat, nach dem Commissioning-Verantwortlichen fragen, nicht nach dem Einkauf.</t>
        </is>
      </c>
      <c r="F6" s="12" t="inlineStr">
        <is>
          <t>falscher Ansprechpartner, dann Zeile umhaengen</t>
        </is>
      </c>
    </row>
    <row r="7" ht="62" customHeight="1">
      <c r="A7" s="22" t="n">
        <v>3</v>
      </c>
      <c r="B7" s="22" t="inlineStr">
        <is>
          <t>Tag 10 bis 14</t>
        </is>
      </c>
      <c r="C7" s="22" t="inlineStr">
        <is>
          <t>E-Mail</t>
        </is>
      </c>
      <c r="D7" s="12" t="inlineStr">
        <is>
          <t>Nachfassen mit neuem Anlass</t>
        </is>
      </c>
      <c r="E7" s="12" t="inlineStr">
        <is>
          <t>Kein ich wollte nur nachfragen. Neuer inhaltlicher Anlass statt Erinnerung, zum Beispiel eine Meldung zum Projekt oder ein Normenpunkt zur Rolle des Empfaengers.</t>
        </is>
      </c>
      <c r="F7" s="12" t="inlineStr">
        <is>
          <t>zweimal keine Reaktion, dann Touchpoint 4</t>
        </is>
      </c>
    </row>
    <row r="8" ht="62" customHeight="1">
      <c r="A8" s="22" t="n">
        <v>4</v>
      </c>
      <c r="B8" s="22" t="inlineStr">
        <is>
          <t>Tag 21</t>
        </is>
      </c>
      <c r="C8" s="22" t="inlineStr">
        <is>
          <t>LinkedIn</t>
        </is>
      </c>
      <c r="D8" s="12" t="inlineStr">
        <is>
          <t>zweiter Kanal, Sichtbarkeit</t>
        </is>
      </c>
      <c r="E8" s="12" t="inlineStr">
        <is>
          <t>Vernetzungsanfrage mit einer Zeile Bezug zum Projekt. Kein Pitch in der Anfrage.</t>
        </is>
      </c>
      <c r="F8" s="12" t="inlineStr">
        <is>
          <t>keine Annahme innerhalb 14 Tagen</t>
        </is>
      </c>
    </row>
    <row r="9" ht="62" customHeight="1">
      <c r="A9" s="22" t="n">
        <v>5</v>
      </c>
      <c r="B9" s="22" t="inlineStr">
        <is>
          <t>Tag 30 bis 40</t>
        </is>
      </c>
      <c r="C9" s="22" t="inlineStr">
        <is>
          <t>Telefon</t>
        </is>
      </c>
      <c r="D9" s="12" t="inlineStr">
        <is>
          <t>letzter aktiver Versuch in dieser Runde</t>
        </is>
      </c>
      <c r="E9" s="12" t="inlineStr">
        <is>
          <t>Konkreter Aufhaenger aus dem Radar, zum Beispiel Fit-out-Start oder ein gemeldeter Netzverzug. Ziel ist ein Termin, nicht ein Gespraech.</t>
        </is>
      </c>
      <c r="F9" s="12" t="inlineStr">
        <is>
          <t>kein Bedarf, dann Status Ruhend und Wiedervorlage in sechs Monaten</t>
        </is>
      </c>
    </row>
    <row r="10" ht="62" customHeight="1">
      <c r="A10" s="22" t="n">
        <v>6</v>
      </c>
      <c r="B10" s="22" t="inlineStr">
        <is>
          <t>Fit-out minus 6 Monate</t>
        </is>
      </c>
      <c r="C10" s="22" t="inlineStr">
        <is>
          <t>E-Mail oder Telefon</t>
        </is>
      </c>
      <c r="D10" s="12" t="inlineStr">
        <is>
          <t>das wichtigste Fenster im Radar</t>
        </is>
      </c>
      <c r="E10" s="12" t="inlineStr">
        <is>
          <t>Ansprache auf den Commissioning-Lasttest. Hier faellt der Entscheid, ob Lastbank und PQ-Messung im Leistungsverzeichnis stehen. Ausloeser ist die Phase im Radar, nicht der Kalender.</t>
        </is>
      </c>
      <c r="F10" s="12" t="inlineStr">
        <is>
          <t>Cx-Paket bereits vergeben, dann Nachunternehmer-Weg pruefen</t>
        </is>
      </c>
    </row>
    <row r="11" ht="62" customHeight="1">
      <c r="A11" s="22" t="n">
        <v>7</v>
      </c>
      <c r="B11" s="22" t="inlineStr">
        <is>
          <t>nach RFS, halbjaehrlich</t>
        </is>
      </c>
      <c r="C11" s="22" t="inlineStr">
        <is>
          <t>E-Mail</t>
        </is>
      </c>
      <c r="D11" s="12" t="inlineStr">
        <is>
          <t>Bestand halten</t>
        </is>
      </c>
      <c r="E11" s="12" t="inlineStr">
        <is>
          <t>Wartungsfenster, wiederkehrende NEA-Tests, Batterietausch, PQ-Audit nach EN 50160. Jetzt ist der Betreiber der richtige Ansprechpartner, vorher nicht.</t>
        </is>
      </c>
      <c r="F11" s="12" t="inlineStr">
        <is>
          <t>keines, laeuft dauerhaft</t>
        </is>
      </c>
    </row>
    <row r="13">
      <c r="A13" s="2" t="inlineStr">
        <is>
          <t>Vorschlag aus CLAUDE.md Abschnitt 7 abgeleitet, von Burak zu bestaetigen. Bis zur Bestaetigung ist das kein verbindlicher Prozess.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30" customWidth="1" min="2" max="2"/>
    <col width="46" customWidth="1" min="3" max="3"/>
    <col width="20" customWidth="1" min="4" max="4"/>
    <col width="52" customWidth="1" min="5" max="5"/>
    <col width="14" customWidth="1" min="6" max="6"/>
  </cols>
  <sheetData>
    <row r="1" ht="22" customHeight="1">
      <c r="A1" s="1" t="inlineStr">
        <is>
          <t>05 Quellen Montag</t>
        </is>
      </c>
    </row>
    <row r="2">
      <c r="A2" s="2" t="inlineStr">
        <is>
          <t>Feste Recherche-Reihenfolge fuer den Montags-Lauf. Pruefdatum in Spalte F.</t>
        </is>
      </c>
    </row>
    <row r="4" ht="30" customHeight="1">
      <c r="A4" s="9" t="inlineStr">
        <is>
          <t>Nr</t>
        </is>
      </c>
      <c r="B4" s="9" t="inlineStr">
        <is>
          <t>Quelle</t>
        </is>
      </c>
      <c r="C4" s="9" t="inlineStr">
        <is>
          <t>URL</t>
        </is>
      </c>
      <c r="D4" s="9" t="inlineStr">
        <is>
          <t>Typ</t>
        </is>
      </c>
      <c r="E4" s="9" t="inlineStr">
        <is>
          <t>Was wird geprueft</t>
        </is>
      </c>
      <c r="F4" s="9" t="inlineStr">
        <is>
          <t>Pruefdatum</t>
        </is>
      </c>
    </row>
    <row r="5">
      <c r="A5" s="22" t="n">
        <v>1</v>
      </c>
      <c r="B5" s="22" t="inlineStr">
        <is>
          <t>netzwoche.ch</t>
        </is>
      </c>
      <c r="C5" s="22" t="inlineStr">
        <is>
          <t>https://www.netzwoche.ch/tags/rechenzentrum</t>
        </is>
      </c>
      <c r="D5" s="22" t="inlineStr">
        <is>
          <t>Fachmedium</t>
        </is>
      </c>
      <c r="E5" s="12" t="inlineStr">
        <is>
          <t>neue Projekte, Baustart, Inbetriebnahme, Marktuebersicht</t>
        </is>
      </c>
      <c r="F5" s="22" t="inlineStr">
        <is>
          <t>29.08.2026</t>
        </is>
      </c>
    </row>
    <row r="6">
      <c r="A6" s="22" t="n">
        <v>2</v>
      </c>
      <c r="B6" s="22" t="inlineStr">
        <is>
          <t>it-markt.ch</t>
        </is>
      </c>
      <c r="C6" s="22" t="inlineStr">
        <is>
          <t>https://www.it-markt.ch</t>
        </is>
      </c>
      <c r="D6" s="22" t="inlineStr">
        <is>
          <t>Fachmedium</t>
        </is>
      </c>
      <c r="E6" s="12" t="inlineStr">
        <is>
          <t>Betreibermeldungen, Ausbauschritte</t>
        </is>
      </c>
      <c r="F6" s="22" t="inlineStr">
        <is>
          <t>29.08.2026</t>
        </is>
      </c>
    </row>
    <row r="7">
      <c r="A7" s="22" t="n">
        <v>3</v>
      </c>
      <c r="B7" s="22" t="inlineStr">
        <is>
          <t>inside-it.ch</t>
        </is>
      </c>
      <c r="C7" s="22" t="inlineStr">
        <is>
          <t>https://www.inside-it.ch</t>
        </is>
      </c>
      <c r="D7" s="22" t="inlineStr">
        <is>
          <t>Fachmedium</t>
        </is>
      </c>
      <c r="E7" s="12" t="inlineStr">
        <is>
          <t>Spatenstiche, Investitionen, Verzoegerungen</t>
        </is>
      </c>
      <c r="F7" s="22" t="inlineStr">
        <is>
          <t>29.08.2026</t>
        </is>
      </c>
    </row>
    <row r="8">
      <c r="A8" s="22" t="n">
        <v>4</v>
      </c>
      <c r="B8" s="22" t="inlineStr">
        <is>
          <t>itreseller.ch</t>
        </is>
      </c>
      <c r="C8" s="22" t="inlineStr">
        <is>
          <t>https://www.itreseller.ch</t>
        </is>
      </c>
      <c r="D8" s="22" t="inlineStr">
        <is>
          <t>Fachmedium</t>
        </is>
      </c>
      <c r="E8" s="12" t="inlineStr">
        <is>
          <t>Betreibermeldungen Schweiz</t>
        </is>
      </c>
      <c r="F8" s="22" t="inlineStr">
        <is>
          <t>29.08.2026</t>
        </is>
      </c>
    </row>
    <row r="9">
      <c r="A9" s="22" t="n">
        <v>5</v>
      </c>
      <c r="B9" s="22" t="inlineStr">
        <is>
          <t>datacenter-insider.de</t>
        </is>
      </c>
      <c r="C9" s="22" t="inlineStr">
        <is>
          <t>https://www.datacenter-insider.de</t>
        </is>
      </c>
      <c r="D9" s="22" t="inlineStr">
        <is>
          <t>Fachmedium</t>
        </is>
      </c>
      <c r="E9" s="12" t="inlineStr">
        <is>
          <t>DACH-Sicht, technische Details, Kuehlung und Leistung</t>
        </is>
      </c>
      <c r="F9" s="22" t="inlineStr">
        <is>
          <t>29.08.2026</t>
        </is>
      </c>
    </row>
    <row r="10">
      <c r="A10" s="22" t="n">
        <v>6</v>
      </c>
      <c r="B10" s="22" t="inlineStr">
        <is>
          <t>simap.ch</t>
        </is>
      </c>
      <c r="C10" s="22" t="inlineStr">
        <is>
          <t>https://www.simap.ch</t>
        </is>
      </c>
      <c r="D10" s="22" t="inlineStr">
        <is>
          <t>Ausschreibung</t>
        </is>
      </c>
      <c r="E10" s="12" t="inlineStr">
        <is>
          <t>oeffentliche Ausschreibungen, Cx-Pakete, Lastbank im LV</t>
        </is>
      </c>
      <c r="F10" s="22" t="inlineStr"/>
    </row>
    <row r="11">
      <c r="A11" s="22" t="n">
        <v>7</v>
      </c>
      <c r="B11" s="22" t="inlineStr">
        <is>
          <t>baublatt.ch</t>
        </is>
      </c>
      <c r="C11" s="22" t="inlineStr">
        <is>
          <t>https://www.baublatt.ch</t>
        </is>
      </c>
      <c r="D11" s="22" t="inlineStr">
        <is>
          <t>Baumedium</t>
        </is>
      </c>
      <c r="E11" s="12" t="inlineStr">
        <is>
          <t>Baugesuche, Baustart, GU und TU, Bauetappen</t>
        </is>
      </c>
      <c r="F11" s="22" t="inlineStr">
        <is>
          <t>29.08.2026</t>
        </is>
      </c>
    </row>
    <row r="12">
      <c r="A12" s="22" t="n">
        <v>8</v>
      </c>
      <c r="B12" s="22" t="inlineStr">
        <is>
          <t>amtsblattportal.ch</t>
        </is>
      </c>
      <c r="C12" s="22" t="inlineStr">
        <is>
          <t>https://www.amtsblattportal.ch</t>
        </is>
      </c>
      <c r="D12" s="22" t="inlineStr">
        <is>
          <t>Amtlich</t>
        </is>
      </c>
      <c r="E12" s="12" t="inlineStr">
        <is>
          <t>Baupublikationen, Einsprachen</t>
        </is>
      </c>
      <c r="F12" s="22" t="inlineStr"/>
    </row>
    <row r="13">
      <c r="A13" s="22" t="n">
        <v>9</v>
      </c>
      <c r="B13" s="22" t="inlineStr">
        <is>
          <t>Kanton ZH Baugesuche</t>
        </is>
      </c>
      <c r="C13" s="22" t="inlineStr">
        <is>
          <t>https://www.zh.ch</t>
        </is>
      </c>
      <c r="D13" s="22" t="inlineStr">
        <is>
          <t>Amtlich</t>
        </is>
      </c>
      <c r="E13" s="12" t="inlineStr">
        <is>
          <t>Baugesuche und Bewilligungen ZH</t>
        </is>
      </c>
      <c r="F13" s="22" t="inlineStr"/>
    </row>
    <row r="14">
      <c r="A14" s="22" t="n">
        <v>10</v>
      </c>
      <c r="B14" s="22" t="inlineStr">
        <is>
          <t>Kanton AG Baugesuche</t>
        </is>
      </c>
      <c r="C14" s="22" t="inlineStr">
        <is>
          <t>https://www.ag.ch</t>
        </is>
      </c>
      <c r="D14" s="22" t="inlineStr">
        <is>
          <t>Amtlich</t>
        </is>
      </c>
      <c r="E14" s="12" t="inlineStr">
        <is>
          <t>Baugesuche und Bewilligungen AG</t>
        </is>
      </c>
      <c r="F14" s="22" t="inlineStr"/>
    </row>
    <row r="15">
      <c r="A15" s="22" t="n">
        <v>11</v>
      </c>
      <c r="B15" s="22" t="inlineStr">
        <is>
          <t>Kanton SH Baugesuche</t>
        </is>
      </c>
      <c r="C15" s="22" t="inlineStr">
        <is>
          <t>https://sh.ch</t>
        </is>
      </c>
      <c r="D15" s="22" t="inlineStr">
        <is>
          <t>Amtlich</t>
        </is>
      </c>
      <c r="E15" s="12" t="inlineStr">
        <is>
          <t>Baugesuche und Bewilligungen SH</t>
        </is>
      </c>
      <c r="F15" s="22" t="inlineStr"/>
    </row>
    <row r="16">
      <c r="A16" s="22" t="n">
        <v>12</v>
      </c>
      <c r="B16" s="22" t="inlineStr">
        <is>
          <t>Kanton SG Baugesuche</t>
        </is>
      </c>
      <c r="C16" s="22" t="inlineStr">
        <is>
          <t>https://www.sg.ch</t>
        </is>
      </c>
      <c r="D16" s="22" t="inlineStr">
        <is>
          <t>Amtlich</t>
        </is>
      </c>
      <c r="E16" s="12" t="inlineStr">
        <is>
          <t>Baugesuche und Bewilligungen SG</t>
        </is>
      </c>
      <c r="F16" s="22" t="inlineStr"/>
    </row>
    <row r="17">
      <c r="A17" s="22" t="n">
        <v>13</v>
      </c>
      <c r="B17" s="22" t="inlineStr">
        <is>
          <t>Kanton BS Baugesuche</t>
        </is>
      </c>
      <c r="C17" s="22" t="inlineStr">
        <is>
          <t>https://www.bs.ch</t>
        </is>
      </c>
      <c r="D17" s="22" t="inlineStr">
        <is>
          <t>Amtlich</t>
        </is>
      </c>
      <c r="E17" s="12" t="inlineStr">
        <is>
          <t>Baugesuche und Bewilligungen BS</t>
        </is>
      </c>
      <c r="F17" s="22" t="inlineStr"/>
    </row>
    <row r="18">
      <c r="A18" s="22" t="n">
        <v>14</v>
      </c>
      <c r="B18" s="22" t="inlineStr">
        <is>
          <t>Kanton GE Baugesuche</t>
        </is>
      </c>
      <c r="C18" s="22" t="inlineStr">
        <is>
          <t>https://www.ge.ch</t>
        </is>
      </c>
      <c r="D18" s="22" t="inlineStr">
        <is>
          <t>Amtlich</t>
        </is>
      </c>
      <c r="E18" s="12" t="inlineStr">
        <is>
          <t>Baugesuche und Bewilligungen GE</t>
        </is>
      </c>
      <c r="F18" s="22" t="inlineStr"/>
    </row>
    <row r="19">
      <c r="A19" s="22" t="n">
        <v>15</v>
      </c>
      <c r="B19" s="22" t="inlineStr">
        <is>
          <t>LinkedIn Betreiber</t>
        </is>
      </c>
      <c r="C19" s="22" t="inlineStr">
        <is>
          <t>https://www.linkedin.com</t>
        </is>
      </c>
      <c r="D19" s="22" t="inlineStr">
        <is>
          <t>LinkedIn</t>
        </is>
      </c>
      <c r="E19" s="12" t="inlineStr">
        <is>
          <t>Vantage, Green, Digital Realty, NorthC, STACK, Equinix, FlexBase</t>
        </is>
      </c>
      <c r="F19" s="22" t="inlineStr"/>
    </row>
    <row r="20">
      <c r="A20" s="22" t="n">
        <v>16</v>
      </c>
      <c r="B20" s="22" t="inlineStr">
        <is>
          <t>LinkedIn GU und Planer</t>
        </is>
      </c>
      <c r="C20" s="22" t="inlineStr">
        <is>
          <t>https://www.linkedin.com</t>
        </is>
      </c>
      <c r="D20" s="22" t="inlineStr">
        <is>
          <t>LinkedIn</t>
        </is>
      </c>
      <c r="E20" s="12" t="inlineStr">
        <is>
          <t>Implenia, ERNE, Steiner, Halter, Amstein + Walthert, HKG Engineering, Gruner</t>
        </is>
      </c>
      <c r="F20" s="22" t="inlineStr"/>
    </row>
    <row r="21">
      <c r="A21" s="22" t="n">
        <v>17</v>
      </c>
      <c r="B21" s="22" t="inlineStr">
        <is>
          <t>Newsroom Vantage</t>
        </is>
      </c>
      <c r="C21" s="22" t="inlineStr">
        <is>
          <t>https://vantage-dc.com/news/</t>
        </is>
      </c>
      <c r="D21" s="22" t="inlineStr">
        <is>
          <t>Firmenmeldung</t>
        </is>
      </c>
      <c r="E21" s="12" t="inlineStr">
        <is>
          <t>Campus-Etappen, Eroeffnungen, Termine</t>
        </is>
      </c>
      <c r="F21" s="22" t="inlineStr">
        <is>
          <t>29.08.2026</t>
        </is>
      </c>
    </row>
    <row r="22">
      <c r="A22" s="22" t="n">
        <v>18</v>
      </c>
      <c r="B22" s="22" t="inlineStr">
        <is>
          <t>Newsroom Green</t>
        </is>
      </c>
      <c r="C22" s="22" t="inlineStr">
        <is>
          <t>https://www.green.ch</t>
        </is>
      </c>
      <c r="D22" s="22" t="inlineStr">
        <is>
          <t>Firmenmeldung</t>
        </is>
      </c>
      <c r="E22" s="12" t="inlineStr">
        <is>
          <t>Metro-Campus Zuerich und Campus ZRH1 Lupfig</t>
        </is>
      </c>
      <c r="F22" s="22" t="inlineStr">
        <is>
          <t>29.08.2026</t>
        </is>
      </c>
    </row>
    <row r="23">
      <c r="A23" s="22" t="n">
        <v>19</v>
      </c>
      <c r="B23" s="22" t="inlineStr">
        <is>
          <t>Newsroom Digital Realty</t>
        </is>
      </c>
      <c r="C23" s="22" t="inlineStr">
        <is>
          <t>https://www.digitalrealty.com</t>
        </is>
      </c>
      <c r="D23" s="22" t="inlineStr">
        <is>
          <t>Firmenmeldung</t>
        </is>
      </c>
      <c r="E23" s="12" t="inlineStr">
        <is>
          <t>ZUR3, ZUR4, Campus Glattbrugg</t>
        </is>
      </c>
      <c r="F23" s="22" t="inlineStr">
        <is>
          <t>29.08.2026</t>
        </is>
      </c>
    </row>
    <row r="24">
      <c r="A24" s="22" t="n">
        <v>20</v>
      </c>
      <c r="B24" s="22" t="inlineStr">
        <is>
          <t>Newsroom NorthC</t>
        </is>
      </c>
      <c r="C24" s="22" t="inlineStr">
        <is>
          <t>https://www.northcdatacenters.com</t>
        </is>
      </c>
      <c r="D24" s="22" t="inlineStr">
        <is>
          <t>Firmenmeldung</t>
        </is>
      </c>
      <c r="E24" s="12" t="inlineStr">
        <is>
          <t>Genf The Hive, UptownBasel, Winterthur</t>
        </is>
      </c>
      <c r="F24" s="22" t="inlineStr">
        <is>
          <t>29.08.2026</t>
        </is>
      </c>
    </row>
    <row r="25">
      <c r="A25" s="22" t="n">
        <v>21</v>
      </c>
      <c r="B25" s="22" t="inlineStr">
        <is>
          <t>Newsroom STACK</t>
        </is>
      </c>
      <c r="C25" s="22" t="inlineStr">
        <is>
          <t>https://www.stackinfra.com</t>
        </is>
      </c>
      <c r="D25" s="22" t="inlineStr">
        <is>
          <t>Firmenmeldung</t>
        </is>
      </c>
      <c r="E25" s="12" t="inlineStr">
        <is>
          <t>Beringen, Rafz, Niederweningen, Genfer Cluster</t>
        </is>
      </c>
      <c r="F25" s="22" t="inlineStr">
        <is>
          <t>29.08.2026</t>
        </is>
      </c>
    </row>
    <row r="26">
      <c r="A26" s="22" t="n">
        <v>22</v>
      </c>
      <c r="B26" s="22" t="inlineStr">
        <is>
          <t>Newsroom Equinix</t>
        </is>
      </c>
      <c r="C26" s="22" t="inlineStr">
        <is>
          <t>https://www.equinix.ch</t>
        </is>
      </c>
      <c r="D26" s="22" t="inlineStr">
        <is>
          <t>Firmenmeldung</t>
        </is>
      </c>
      <c r="E26" s="12" t="inlineStr">
        <is>
          <t>ZH2, ZH4, ZH5, GV1, GV2</t>
        </is>
      </c>
      <c r="F26" s="22" t="inlineStr">
        <is>
          <t>29.08.2026</t>
        </is>
      </c>
    </row>
    <row r="27">
      <c r="A27" s="22" t="n">
        <v>23</v>
      </c>
      <c r="B27" s="22" t="inlineStr">
        <is>
          <t>Newsroom FlexBase</t>
        </is>
      </c>
      <c r="C27" s="22" t="inlineStr">
        <is>
          <t>https://www.flexbase.swiss</t>
        </is>
      </c>
      <c r="D27" s="22" t="inlineStr">
        <is>
          <t>Firmenmeldung</t>
        </is>
      </c>
      <c r="E27" s="12" t="inlineStr">
        <is>
          <t>Technologiezentrum Laufenburg</t>
        </is>
      </c>
      <c r="F27" s="22" t="inlineStr">
        <is>
          <t>29.08.2026</t>
        </is>
      </c>
    </row>
    <row r="28">
      <c r="A28" s="22" t="n">
        <v>24</v>
      </c>
      <c r="B28" s="22" t="inlineStr">
        <is>
          <t>Regionalzeitungen</t>
        </is>
      </c>
      <c r="C28" s="22" t="inlineStr">
        <is>
          <t>https://www.aargauerzeitung.ch</t>
        </is>
      </c>
      <c r="D28" s="22" t="inlineStr">
        <is>
          <t>Regionalzeitung</t>
        </is>
      </c>
      <c r="E28" s="12" t="inlineStr">
        <is>
          <t>Einsprachen, Verzoegerungen, Gemeindeentscheide</t>
        </is>
      </c>
      <c r="F28" s="22" t="inlineStr">
        <is>
          <t>29.08.2026</t>
        </is>
      </c>
    </row>
    <row r="29">
      <c r="A29" s="22" t="n">
        <v>25</v>
      </c>
      <c r="B29" s="22" t="inlineStr">
        <is>
          <t>EVU EKZ</t>
        </is>
      </c>
      <c r="C29" s="22" t="inlineStr">
        <is>
          <t>https://www.ekz.ch</t>
        </is>
      </c>
      <c r="D29" s="22" t="inlineStr">
        <is>
          <t>EVU</t>
        </is>
      </c>
      <c r="E29" s="12" t="inlineStr">
        <is>
          <t>Netzanschluss, Unterwerke, Netzverstaerkung ZH</t>
        </is>
      </c>
      <c r="F29" s="22" t="inlineStr"/>
    </row>
    <row r="30">
      <c r="A30" s="22" t="n">
        <v>26</v>
      </c>
      <c r="B30" s="22" t="inlineStr">
        <is>
          <t>EVU EKS</t>
        </is>
      </c>
      <c r="C30" s="22" t="inlineStr">
        <is>
          <t>https://www.eks.ch</t>
        </is>
      </c>
      <c r="D30" s="22" t="inlineStr">
        <is>
          <t>EVU</t>
        </is>
      </c>
      <c r="E30" s="12" t="inlineStr">
        <is>
          <t>Netzanschluss und Unterwerk Beringen SH</t>
        </is>
      </c>
      <c r="F30" s="22" t="inlineStr"/>
    </row>
    <row r="31">
      <c r="A31" s="22" t="n">
        <v>27</v>
      </c>
      <c r="B31" s="22" t="inlineStr">
        <is>
          <t>EVU AEW</t>
        </is>
      </c>
      <c r="C31" s="22" t="inlineStr">
        <is>
          <t>https://www.aew.ch</t>
        </is>
      </c>
      <c r="D31" s="22" t="inlineStr">
        <is>
          <t>EVU</t>
        </is>
      </c>
      <c r="E31" s="12" t="inlineStr">
        <is>
          <t>Netzanschluss AG, Laufenburg und Lupfig</t>
        </is>
      </c>
      <c r="F31" s="22" t="inlineStr"/>
    </row>
    <row r="32">
      <c r="A32" s="22" t="n">
        <v>28</v>
      </c>
      <c r="B32" s="22" t="inlineStr">
        <is>
          <t>EVU IWB</t>
        </is>
      </c>
      <c r="C32" s="22" t="inlineStr">
        <is>
          <t>https://www.iwb.ch</t>
        </is>
      </c>
      <c r="D32" s="22" t="inlineStr">
        <is>
          <t>EVU</t>
        </is>
      </c>
      <c r="E32" s="12" t="inlineStr">
        <is>
          <t>Netzanschluss BS und BL</t>
        </is>
      </c>
      <c r="F32" s="22" t="inlineStr"/>
    </row>
    <row r="33">
      <c r="A33" s="22" t="n">
        <v>29</v>
      </c>
      <c r="B33" s="22" t="inlineStr">
        <is>
          <t>EVU ewz</t>
        </is>
      </c>
      <c r="C33" s="22" t="inlineStr">
        <is>
          <t>https://www.ewz.ch</t>
        </is>
      </c>
      <c r="D33" s="22" t="inlineStr">
        <is>
          <t>EVU</t>
        </is>
      </c>
      <c r="E33" s="12" t="inlineStr">
        <is>
          <t>Netzanschluss Stadt Zuerich</t>
        </is>
      </c>
      <c r="F33" s="22" t="inlineStr"/>
    </row>
    <row r="35" ht="46" customHeight="1">
      <c r="B35" s="17" t="inlineStr">
        <is>
          <t>Erstlauf KW 35: die amtlichen Portale, simap.ch, LinkedIn und die EVU-Meldungen wurden nicht geprueft, weil in dieser Umgebung nur die Websuche und kein direkter Seitenabruf zur Verfuegung stand. Pruefdatum dort bewusst leer.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workbookViewId="0">
      <pane ySplit="4" topLeftCell="A5" activePane="bottomLeft" state="frozen"/>
      <selection pane="bottomLeft" activeCell="A1" sqref="A1"/>
    </sheetView>
  </sheetViews>
  <sheetFormatPr baseColWidth="8" defaultRowHeight="15"/>
  <cols>
    <col width="13" customWidth="1" min="1" max="1"/>
    <col width="8" customWidth="1" min="2" max="2"/>
    <col width="38" customWidth="1" min="3" max="3"/>
    <col width="56" customWidth="1" min="4" max="4"/>
    <col width="50" customWidth="1" min="5" max="5"/>
    <col width="60" customWidth="1" min="6" max="6"/>
  </cols>
  <sheetData>
    <row r="1" ht="22" customHeight="1">
      <c r="A1" s="1" t="inlineStr">
        <is>
          <t>06 Changelog</t>
        </is>
      </c>
    </row>
    <row r="2">
      <c r="A2" s="2" t="inlineStr">
        <is>
          <t>Eine Zeile pro Aenderung. Ohne Changelog-Eintrag gilt eine Aenderung als nicht passiert.</t>
        </is>
      </c>
    </row>
    <row r="4" ht="30" customHeight="1">
      <c r="A4" s="9" t="inlineStr">
        <is>
          <t>Datum</t>
        </is>
      </c>
      <c r="B4" s="9" t="inlineStr">
        <is>
          <t>KW</t>
        </is>
      </c>
      <c r="C4" s="9" t="inlineStr">
        <is>
          <t>Projekt</t>
        </is>
      </c>
      <c r="D4" s="9" t="inlineStr">
        <is>
          <t>Was hat sich geaendert</t>
        </is>
      </c>
      <c r="E4" s="9" t="inlineStr">
        <is>
          <t>Quelle_URL</t>
        </is>
      </c>
      <c r="F4" s="9" t="inlineStr">
        <is>
          <t>Konsequenz fuer MiT</t>
        </is>
      </c>
    </row>
    <row r="5">
      <c r="A5" s="22" t="inlineStr">
        <is>
          <t>29.08.2026</t>
        </is>
      </c>
      <c r="B5" s="18">
        <f>WEEKNUM(DATE(2026,8,29),21)</f>
        <v/>
      </c>
      <c r="C5" s="12" t="inlineStr">
        <is>
          <t>Radar V1.0 aufgebaut</t>
        </is>
      </c>
      <c r="D5" s="12" t="inlineStr">
        <is>
          <t>Datei mit sieben Blaettern neu erstellt, 16 belegte Projekte aus der Erstrecherche eingetragen, Dropdowns, Formeln in R und S und die gelben Spalten gesetzt.</t>
        </is>
      </c>
      <c r="E5" s="12" t="inlineStr"/>
      <c r="F5" s="12" t="inlineStr">
        <is>
          <t>Pipeline steht. Ab jetzt laeuft der Montags-Lauf gegen einen Bestand statt gegen ein leeres Blatt.</t>
        </is>
      </c>
    </row>
    <row r="6">
      <c r="A6" s="22" t="inlineStr">
        <is>
          <t>29.08.2026</t>
        </is>
      </c>
      <c r="B6" s="18">
        <f>WEEKNUM(DATE(2026,8,29),21)</f>
        <v/>
      </c>
      <c r="C6" s="12" t="inlineStr">
        <is>
          <t>Metro-Campus Zuerich West, Datacenter 4 (Green, Lupfig)</t>
        </is>
      </c>
      <c r="D6" s="12" t="inlineStr">
        <is>
          <t>Neu im Radar. 12 MW IT-Leistung, 5526 m2, Rohbau in zehn Monaten erstellt, Inbetriebnahme Anfang 2027. GU ist Implenia, Shell and Core.</t>
        </is>
      </c>
      <c r="E6" s="12" t="inlineStr">
        <is>
          <t>https://www.aargauerzeitung.ch/aargau/brugg/lupfig-green-startet-mit-dem-bau-seines-vierten-datencenters-in-der-gemeinde-2026-soll-es-in-betrieb-genommen-werden-ld.2660374</t>
        </is>
      </c>
      <c r="F6" s="12" t="inlineStr">
        <is>
          <t>IBN Anfang 2027 heisst Cx-Entscheid faellt jetzt. Implenia Bauleitung diese Woche auf das Cx-Paket ansprechen, sonst steckt die Lastbank im MEP-Vertrag.</t>
        </is>
      </c>
    </row>
    <row r="7">
      <c r="A7" s="22" t="inlineStr">
        <is>
          <t>29.08.2026</t>
        </is>
      </c>
      <c r="B7" s="18">
        <f>WEEKNUM(DATE(2026,8,29),21)</f>
        <v/>
      </c>
      <c r="C7" s="12" t="inlineStr">
        <is>
          <t>ZUR02 Beringen (STACK)</t>
        </is>
      </c>
      <c r="D7" s="12" t="inlineStr">
        <is>
          <t>Neu im Radar. 36 MW, Aufrichte gemeldet, Eroeffnung 2026. Kanton musste ein neues Unterwerk bauen, finanziert vom Betreiber.</t>
        </is>
      </c>
      <c r="E7" s="12" t="inlineStr">
        <is>
          <t>https://www.datacenterdynamics.com/en/news/stack-tops-out-swiss-data-center-completes-construction-in-melbourne/</t>
        </is>
      </c>
      <c r="F7" s="12" t="inlineStr">
        <is>
          <t>Groesstes Cx-Volumen im Radar und der Termin ist nah. Netzanschluss ueber ein neues Unterwerk ist ein Bridging-Power-Signal, EKS-Termin klaeren.</t>
        </is>
      </c>
    </row>
    <row r="8">
      <c r="A8" s="22" t="inlineStr">
        <is>
          <t>29.08.2026</t>
        </is>
      </c>
      <c r="B8" s="18">
        <f>WEEKNUM(DATE(2026,8,29),21)</f>
        <v/>
      </c>
      <c r="C8" s="12" t="inlineStr">
        <is>
          <t>ZUR4 Glattbrugg (Digital Realty)</t>
        </is>
      </c>
      <c r="D8" s="12" t="inlineStr">
        <is>
          <t>Neu im Radar. Spatenstich am 26.08.2026, 15 MW auf 6300 m2, sechs Datenhallen, Fertigstellung 2028, Campus danach rund 60 MW.</t>
        </is>
      </c>
      <c r="E8" s="12" t="inlineStr">
        <is>
          <t>https://www.inside-it.ch/spatenstich-fuer-neues-rz-von-digital-reality-in-glattbrugg-20260827</t>
        </is>
      </c>
      <c r="F8" s="12" t="inlineStr">
        <is>
          <t>Drei Tage alter Spatenstich. Baustrom, Bauheizung und Trocknung werden jetzt disponiert, Vorlaufzeit Trocknung rund fuenf Monate. GU identifizieren.</t>
        </is>
      </c>
    </row>
    <row r="9">
      <c r="A9" s="22" t="inlineStr">
        <is>
          <t>29.08.2026</t>
        </is>
      </c>
      <c r="B9" s="18">
        <f>WEEKNUM(DATE(2026,8,29),21)</f>
        <v/>
      </c>
      <c r="C9" s="12" t="inlineStr">
        <is>
          <t>Metro-Campus Zuerich, Datacenter N und O (Green, Dielsdorf)</t>
        </is>
      </c>
      <c r="D9" s="12" t="inlineStr">
        <is>
          <t>Neu im Radar. Baustart erfolgt, zusammen 35 MW, rund 4000 Racks auf 11600 m2. Implenia hat auf dem Campus bereits gebaut.</t>
        </is>
      </c>
      <c r="E9" s="12" t="inlineStr">
        <is>
          <t>https://www.presseportal.de/pm/152183/5635701</t>
        </is>
      </c>
      <c r="F9" s="12" t="inlineStr">
        <is>
          <t>Bekannter GU auf bekanntem Campus. Einstieg ueber Implenia statt ueber Green, der GU vergibt in der Bauphase.</t>
        </is>
      </c>
    </row>
    <row r="10">
      <c r="A10" s="22" t="inlineStr">
        <is>
          <t>29.08.2026</t>
        </is>
      </c>
      <c r="B10" s="18">
        <f>WEEKNUM(DATE(2026,8,29),21)</f>
        <v/>
      </c>
      <c r="C10" s="12" t="inlineStr">
        <is>
          <t>Technologiezentrum Laufenburg (FlexBase)</t>
        </is>
      </c>
      <c r="D10" s="12" t="inlineStr">
        <is>
          <t>Neu im Radar. Baufreigabe erteilt, ERNE ist GU, Inbetriebnahme Sommer 2028. KI-Rechenzentrum bis 480 MW Rechenleistung, Redox-Flow-Speicher ueber 1.6 GWh.</t>
        </is>
      </c>
      <c r="E10" s="12" t="inlineStr">
        <is>
          <t>https://www.erne-gruppe.ch/de/news/newsdetail/ernenews/medienmitteilung-flexbase/</t>
        </is>
      </c>
      <c r="F10" s="12" t="inlineStr">
        <is>
          <t>Groesstes Einzelprojekt im Radar. ERNE jetzt ansprechen, solange die Baustellenlogistik fuer 20000 m2 Baufeld noch offen ist. Elektrische Anschlussleistung ist nicht belegt, keine Auslegung darauf stuetzen.</t>
        </is>
      </c>
    </row>
    <row r="11">
      <c r="A11" s="22" t="inlineStr">
        <is>
          <t>29.08.2026</t>
        </is>
      </c>
      <c r="B11" s="18">
        <f>WEEKNUM(DATE(2026,8,29),21)</f>
        <v/>
      </c>
      <c r="C11" s="12" t="inlineStr">
        <is>
          <t>The Hive Campus Genf (NorthC)</t>
        </is>
      </c>
      <c r="D11" s="12" t="inlineStr">
        <is>
          <t>Neu im Radar. Baustart Q1 2026, 4.5 MW auf 5400 m2, Fertigstellung Q2 2028, Direct-to-Chip-Fluessigkuehlung vorgesehen.</t>
        </is>
      </c>
      <c r="E11" s="12" t="inlineStr">
        <is>
          <t>https://www.northcdatacenters.com/en/press-releases/northc-group-to-build-new-high-tech-data-center-in-geneva-switzerland/</t>
        </is>
      </c>
      <c r="F11" s="12" t="inlineStr">
        <is>
          <t>Romandie, Ansprache auf Franzoesisch. Fluessigkuehlung heisst hohe Leistungsdichte, der Lasttest wird anspruchsvoller und damit unser Thema.</t>
        </is>
      </c>
    </row>
    <row r="12">
      <c r="A12" s="22" t="inlineStr">
        <is>
          <t>29.08.2026</t>
        </is>
      </c>
      <c r="B12" s="18">
        <f>WEEKNUM(DATE(2026,8,29),21)</f>
        <v/>
      </c>
      <c r="C12" s="12" t="inlineStr">
        <is>
          <t>ZH4 Zuerich (Equinix)</t>
        </is>
      </c>
      <c r="D12" s="12" t="inlineStr">
        <is>
          <t>Neu im Radar. Sechste Ausbauphase, rund CHF 40 Mio, 680 m2 Whitespace, Abschluss 2027.</t>
        </is>
      </c>
      <c r="E12" s="12" t="inlineStr">
        <is>
          <t>https://www.inside-it.ch/equinix-baut-data-center-in-zuerich-aus-20241112</t>
        </is>
      </c>
      <c r="F12" s="12" t="inlineStr">
        <is>
          <t>Ausbau im laufenden Betrieb. Umschaltungen brauchen Bridging Power und eine PQ-Messung. Quelle ist vom November 2024, Stand verifizieren.</t>
        </is>
      </c>
    </row>
    <row r="13">
      <c r="A13" s="22" t="inlineStr">
        <is>
          <t>29.08.2026</t>
        </is>
      </c>
      <c r="B13" s="18">
        <f>WEEKNUM(DATE(2026,8,29),21)</f>
        <v/>
      </c>
      <c r="C13" s="12" t="inlineStr">
        <is>
          <t>ZRH2 Glattfelden (Vantage)</t>
        </is>
      </c>
      <c r="D13" s="12" t="inlineStr">
        <is>
          <t>Neu im Radar mit offenem Widerspruch: eine Quelle nennt die Eroeffnung im Sommer 2024, eine zweite im Sommer 2026. Beide URLs in Spalte T, Phase bleibt leer.</t>
        </is>
      </c>
      <c r="E13" s="12" t="inlineStr">
        <is>
          <t>https://vantage-dc.com/news/vantage-data-centers-expands-emea-portfolio-with-second-zurich-campus-fueled-by-more-than-chf-370-million-investment/</t>
        </is>
      </c>
      <c r="F13" s="12" t="inlineStr">
        <is>
          <t>Solange der Betriebsstatus offen ist, keine Ansprache. Erst Status klaeren, sonst laufen wir in ein falsches Fenster.</t>
        </is>
      </c>
    </row>
    <row r="14">
      <c r="A14" s="22" t="inlineStr">
        <is>
          <t>29.08.2026</t>
        </is>
      </c>
      <c r="B14" s="18">
        <f>WEEKNUM(DATE(2026,8,29),21)</f>
        <v/>
      </c>
      <c r="C14" s="12" t="inlineStr">
        <is>
          <t>Metro-Campus Zuerich, weiteres Datacenter (Green, Dielsdorf)</t>
        </is>
      </c>
      <c r="D14" s="12" t="inlineStr">
        <is>
          <t>Neu im Radar mit offenem Widerspruch in der Zaehlung: Baublatt meldet ein viertes Datacenter in Dielsdorf, Netzwoche fuer 2026 den Baustart eines dritten mit 5800 m2.</t>
        </is>
      </c>
      <c r="E14" s="12" t="inlineStr">
        <is>
          <t>https://www.baublatt.ch/bauprojekte/green-baut-viertes-rechenzentrum-auf-metro-campus-in-dielsdorf-zh-36395</t>
        </is>
      </c>
      <c r="F14" s="12" t="inlineStr">
        <is>
          <t>Planungsphase, also Fachplaner-Kanal. Wer jetzt beim Planer sitzt, steht spaeter im LV.</t>
        </is>
      </c>
    </row>
    <row r="15">
      <c r="A15" s="22" t="inlineStr">
        <is>
          <t>29.08.2026</t>
        </is>
      </c>
      <c r="B15" s="18">
        <f>WEEKNUM(DATE(2026,8,29),21)</f>
        <v/>
      </c>
      <c r="C15" s="12" t="inlineStr">
        <is>
          <t>STACK Rafz und Niederweningen</t>
        </is>
      </c>
      <c r="D15" s="12" t="inlineStr">
        <is>
          <t>Neu im Radar, aber nur ueber Aggregator-Quellen belegt. 10 MW Rafz, 30 MW Niederweningen, Phase und Termine offen.</t>
        </is>
      </c>
      <c r="E15" s="12" t="inlineStr">
        <is>
          <t>https://baxtel.com/data-center/stack-zur03</t>
        </is>
      </c>
      <c r="F15" s="12" t="inlineStr">
        <is>
          <t>Zwei potenziell grosse Objekte ohne belastbaren Stand. Naechster Lauf: ueber stackinfra.com und die Gemeinden belegen oder die Zeilen auf Gestoppt setzen.</t>
        </is>
      </c>
    </row>
    <row r="16">
      <c r="A16" s="22" t="inlineStr">
        <is>
          <t>29.08.2026</t>
        </is>
      </c>
      <c r="B16" s="18">
        <f>WEEKNUM(DATE(2026,8,29),21)</f>
        <v/>
      </c>
      <c r="C16" s="12" t="inlineStr">
        <is>
          <t>ETH Rechenzentrum Hoenggerberg</t>
        </is>
      </c>
      <c r="D16" s="12" t="inlineStr">
        <is>
          <t>Neu im Radar. CHF 49 Mio, ueber 4000 m2, IT-Betrieb ab Anfang 2026 geplant. Einzige Quelle ist von 2023.</t>
        </is>
      </c>
      <c r="E16" s="12" t="inlineStr">
        <is>
          <t>https://www.inside-it.ch/bald-ist-baubeginn-fuer-das-49-millionen-rechenzentrum-der-eth-zuerich-20230908</t>
        </is>
      </c>
      <c r="F16" s="12" t="inlineStr">
        <is>
          <t>Oeffentlicher Bauherr, Beschaffung ueber simap.ch. Wiederkehrende NEA-Tests laufen dort ueber Ausschreibung, nicht ueber Beziehung.</t>
        </is>
      </c>
    </row>
    <row r="17">
      <c r="A17" s="22" t="inlineStr">
        <is>
          <t>29.08.2026</t>
        </is>
      </c>
      <c r="B17" s="18">
        <f>WEEKNUM(DATE(2026,8,29),21)</f>
        <v/>
      </c>
      <c r="C17" s="12" t="inlineStr">
        <is>
          <t>Blatt 05_Quellen_Montag</t>
        </is>
      </c>
      <c r="D17" s="12" t="inlineStr">
        <is>
          <t>Pruefdatum nur bei Fachmedien, Firmenmeldungen, Baumedien und Regionalzeitungen gesetzt. Amtliche Portale, simap.ch, LinkedIn und EVU blieben ungeprueft.</t>
        </is>
      </c>
      <c r="E17" s="12" t="inlineStr"/>
      <c r="F17" s="12" t="inlineStr">
        <is>
          <t>Luecke ist bewusst und sichtbar. Der naechste Lauf muss dort anfangen, dort liegen die Ausschreibungen und die Netzanschlusstermine.</t>
        </is>
      </c>
    </row>
    <row r="18">
      <c r="A18" s="22" t="inlineStr">
        <is>
          <t>29.08.2026</t>
        </is>
      </c>
      <c r="B18" s="18">
        <f>WEEKNUM(DATE(2026,8,29),21)</f>
        <v/>
      </c>
      <c r="C18" s="12" t="inlineStr">
        <is>
          <t>ZRH2 Glattfelden (Vantage)</t>
        </is>
      </c>
      <c r="D18" s="12" t="inlineStr">
        <is>
          <t>Widerspruch aufgeloest: Campus wurde im Sommer 2024 eroeffnet, Firmenmeldung und DCD stimmen ueberein. Phase von leer auf Betrieb gesetzt, die 2026er-Meldung betrifft eine weitere Ausbauetappe.</t>
        </is>
      </c>
      <c r="E18" s="12" t="inlineStr">
        <is>
          <t>https://www.datacenterdynamics.com/en/news/vantage-launches-second-data-center-in-switzerland/</t>
        </is>
      </c>
      <c r="F18" s="12" t="inlineStr">
        <is>
          <t>Fenster ist Betrieb, nicht Neubau: NEA-Testzyklus, Wartungsfenster, PQ-Audit. Etappenplan fuer weitere Gebaeude erfragen, dort ergibt sich das naechste Cx-Fenster.</t>
        </is>
      </c>
    </row>
    <row r="19">
      <c r="A19" s="22" t="inlineStr">
        <is>
          <t>29.08.2026</t>
        </is>
      </c>
      <c r="B19" s="18">
        <f>WEEKNUM(DATE(2026,8,29),21)</f>
        <v/>
      </c>
      <c r="C19" s="12" t="inlineStr">
        <is>
          <t>ZUR01A Rafz (STACK)</t>
        </is>
      </c>
      <c r="D19" s="12" t="inlineStr">
        <is>
          <t>Status geklaert: Anlage ist kommissioniert und in Betrieb, keine zusaetzliche Leistung im Bau. Phase von leer auf Betrieb gesetzt.</t>
        </is>
      </c>
      <c r="E19" s="12" t="inlineStr">
        <is>
          <t>https://www.stackinfra.com/locations/emea/zurich/zur01/</t>
        </is>
      </c>
      <c r="F19" s="12" t="inlineStr">
        <is>
          <t>Aus der Neubau-Liste raus. Rafz laeuft als Betriebsgeschaeft zusammen mit Beringen ueber denselben Betreiber, ein Ansprechpartner fuer beide Standorte.</t>
        </is>
      </c>
    </row>
    <row r="20">
      <c r="A20" s="22" t="inlineStr">
        <is>
          <t>29.08.2026</t>
        </is>
      </c>
      <c r="B20" s="18">
        <f>WEEKNUM(DATE(2026,8,29),21)</f>
        <v/>
      </c>
      <c r="C20" s="12" t="inlineStr">
        <is>
          <t>ZUR02 Beringen (STACK)</t>
        </is>
      </c>
      <c r="D20" s="12" t="inlineStr">
        <is>
          <t>Amstein + Walthert fuehrt das Rechenzentrum Beringen als Referenzprojekt auf der eigenen Projektseite. Rolle und Gewerk noch offen, als beteiligter Planer eingetragen.</t>
        </is>
      </c>
      <c r="E20" s="12" t="inlineStr">
        <is>
          <t>https://amstein-walthert.ch/de/projekte/rechenzentrum-beringen-schaffhausen/</t>
        </is>
      </c>
      <c r="F20" s="12" t="inlineStr">
        <is>
          <t>Erster belegter Planer-Einstieg ins groesste Cx-Volumen im Radar. A+W Zuerich auf das Projekt ansprechen, ein Planer oeffnet mehr als ein Betreiber.</t>
        </is>
      </c>
    </row>
    <row r="21">
      <c r="A21" s="22" t="inlineStr">
        <is>
          <t>29.08.2026</t>
        </is>
      </c>
      <c r="B21" s="18">
        <f>WEEKNUM(DATE(2026,8,29),21)</f>
        <v/>
      </c>
      <c r="C21" s="12" t="inlineStr">
        <is>
          <t>ZUR3 Glattbrugg (Digital Realty)</t>
        </is>
      </c>
      <c r="D21" s="12" t="inlineStr">
        <is>
          <t>Gruner nennt ZUR3 als eigenes Projekt. Als beteiligter Planer eingetragen, Rolle offen.</t>
        </is>
      </c>
      <c r="E21" s="12" t="inlineStr">
        <is>
          <t>https://www.grunerfriends.com/projects/data-center-zur3-zurich</t>
        </is>
      </c>
      <c r="F21" s="12" t="inlineStr">
        <is>
          <t>Wer ZUR3 geplant hat, sitzt womoeglich auch bei ZUR4 am Tisch. Gruner auf beide Campus-Bauten ansprechen, bevor das ZUR4-LV geschrieben ist.</t>
        </is>
      </c>
    </row>
    <row r="22">
      <c r="A22" s="22" t="inlineStr">
        <is>
          <t>29.08.2026</t>
        </is>
      </c>
      <c r="B22" s="18">
        <f>WEEKNUM(DATE(2026,8,29),21)</f>
        <v/>
      </c>
      <c r="C22" s="12" t="inlineStr">
        <is>
          <t>Metro-Campus Dielsdorf, weiteres Datacenter (Green)</t>
        </is>
      </c>
      <c r="D22" s="12" t="inlineStr">
        <is>
          <t>Zaehlungs-Widerspruch eingeordnet: Campus ist M plus N plus O, das gemeldete neue Gebaeude waere das vierte. Die Quellen zaehlen unterschiedlich, weil N und O teils zusammengefasst werden.</t>
        </is>
      </c>
      <c r="E22" s="12" t="inlineStr">
        <is>
          <t>https://www.tagesanzeiger.ch/millionen-campus-in-dielsdorf-der-bau-von-zwei-weiteren-rechenzentren-hat-begonnen-440633753636</t>
        </is>
      </c>
      <c r="F22" s="12" t="inlineStr">
        <is>
          <t>Planungsphase bestaetigt. Fachplaner-Kanal, und zwar derselbe Zugang wie fuer N und O, ein Gespraech deckt drei Gebaeude ab.</t>
        </is>
      </c>
    </row>
    <row r="23">
      <c r="A23" s="22" t="inlineStr">
        <is>
          <t>29.08.2026</t>
        </is>
      </c>
      <c r="B23" s="18">
        <f>WEEKNUM(DATE(2026,8,29),21)</f>
        <v/>
      </c>
      <c r="C23" s="12" t="inlineStr">
        <is>
          <t>KI-Infrastruktur-Ausbau Schweiz (Microsoft)</t>
        </is>
      </c>
      <c r="D23" s="12" t="inlineStr">
        <is>
          <t>Neu im Radar. 400 Mio US-Dollar Investition, Ausbau bei Zuerich und Genf fuer KI-Workloads, Kapazitaetsdruck in Switzerland North belegt.</t>
        </is>
      </c>
      <c r="E23" s="12" t="inlineStr">
        <is>
          <t>https://www.datacenter-insider.de/microsoft-baut-ki-infrastruktur-in-der-schweiz-aus-a-60195c56e70961bf22a9eb82c859339b/</t>
        </is>
      </c>
      <c r="F23" s="12" t="inlineStr">
        <is>
          <t>Der physische Ausbau landet vermutlich in Partner-Rechenzentren, die schon im Radar stehen. Wer die Colocation-Standorte kennt, weiss wo als naechstes Cx-Last anfaellt.</t>
        </is>
      </c>
    </row>
    <row r="24">
      <c r="A24" s="22" t="inlineStr">
        <is>
          <t>29.08.2026</t>
        </is>
      </c>
      <c r="B24" s="18">
        <f>WEEKNUM(DATE(2026,8,29),21)</f>
        <v/>
      </c>
      <c r="C24" s="12" t="inlineStr">
        <is>
          <t>03_Kontakte, Fachplaner-Kanal</t>
        </is>
      </c>
      <c r="D24" s="12" t="inlineStr">
        <is>
          <t>Vier Planerfirmen mit belegten DC-Referenzen ergaenzt: Amstein + Walthert (Beringen), Gruner (ZUR3), HKG (Ritex Zofingen, baut Datacenter-Team aus), AFRY (Suisse romande). Personennamen und Kontaktdaten stehen als FEHLT, nichts abgeleitet.</t>
        </is>
      </c>
      <c r="E24" s="12" t="inlineStr">
        <is>
          <t>https://amstein-walthert.ch/de/projekte/rechenzentrum-beringen-schaffhausen/</t>
        </is>
      </c>
      <c r="F24" s="12" t="inlineStr">
        <is>
          <t>Die groesste Luecke des Erstlaufs beginnt sich zu schliessen. Naechster Schritt: pro Firma den DC-Bereichsleiter ueber die Firmenwebsite identifizieren, nicht raten.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2026-08-29T17:51:48Z</dcterms:created>
  <dcterms:modified xsi:type="dcterms:W3CDTF">2026-08-30T07:08:36Z</dcterms:modified>
</cp:coreProperties>
</file>