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rte" sheetId="1" state="visible" r:id="rId1"/>
    <sheet name="Stammdaten" sheetId="2" state="visible" r:id="rId2"/>
    <sheet name="Artikel" sheetId="3" state="visible" r:id="rId3"/>
  </sheets>
  <definedNames>
    <definedName name="_xlnm.Print_Area" localSheetId="0">'Offerte'!$A$1:$G$54</definedName>
  </definedNames>
  <calcPr calcId="124519" fullCalcOnLoad="1"/>
</workbook>
</file>

<file path=xl/styles.xml><?xml version="1.0" encoding="utf-8"?>
<styleSheet xmlns="http://schemas.openxmlformats.org/spreadsheetml/2006/main">
  <numFmts count="4">
    <numFmt numFmtId="164" formatCode="0.0%"/>
    <numFmt numFmtId="165" formatCode="#'##0.00"/>
    <numFmt numFmtId="166" formatCode="yyyy-mm-dd"/>
    <numFmt numFmtId="167" formatCode="DD.MM.YYYY"/>
  </numFmts>
  <fonts count="14">
    <font>
      <name val="Calibri"/>
      <family val="2"/>
      <color theme="1"/>
      <sz val="11"/>
      <scheme val="minor"/>
    </font>
    <font>
      <name val="Calibri"/>
      <b val="1"/>
      <color rgb="001F2933"/>
    </font>
    <font>
      <name val="Calibri"/>
      <color rgb="001F2933"/>
    </font>
    <font>
      <name val="Calibri"/>
      <b val="1"/>
      <color rgb="00FFFFFF"/>
      <sz val="11"/>
    </font>
    <font>
      <name val="Calibri"/>
      <b val="1"/>
      <color rgb="00E2620A"/>
      <sz val="22"/>
    </font>
    <font>
      <name val="Calibri"/>
      <color rgb="001F2933"/>
      <sz val="10"/>
    </font>
    <font>
      <name val="Calibri"/>
      <color rgb="007B8794"/>
      <sz val="9"/>
    </font>
    <font>
      <name val="Calibri"/>
      <b val="1"/>
      <color rgb="007B8794"/>
      <sz val="9"/>
    </font>
    <font>
      <name val="Calibri"/>
      <b val="1"/>
      <color rgb="001F2933"/>
      <sz val="10"/>
    </font>
    <font>
      <name val="Calibri"/>
      <b val="1"/>
      <color rgb="001F2933"/>
      <sz val="13"/>
    </font>
    <font>
      <name val="Calibri"/>
      <b val="1"/>
      <color rgb="00FFFFFF"/>
      <sz val="10"/>
    </font>
    <font>
      <name val="Calibri"/>
      <b val="1"/>
      <color rgb="001F2933"/>
      <sz val="11"/>
    </font>
    <font>
      <name val="Calibri"/>
      <i val="1"/>
      <color rgb="007B8794"/>
      <sz val="8.5"/>
    </font>
    <font>
      <name val="Calibri"/>
      <color rgb="007B8794"/>
      <sz val="8"/>
    </font>
  </fonts>
  <fills count="6">
    <fill>
      <patternFill/>
    </fill>
    <fill>
      <patternFill patternType="gray125"/>
    </fill>
    <fill>
      <patternFill patternType="solid">
        <fgColor rgb="00E2620A"/>
      </patternFill>
    </fill>
    <fill>
      <patternFill patternType="solid">
        <fgColor rgb="001F2933"/>
      </patternFill>
    </fill>
    <fill>
      <patternFill patternType="solid">
        <fgColor rgb="00F4F6F8"/>
      </patternFill>
    </fill>
    <fill>
      <patternFill patternType="solid">
        <fgColor rgb="00FCEEE3"/>
      </patternFill>
    </fill>
  </fills>
  <borders count="6">
    <border>
      <left/>
      <right/>
      <top/>
      <bottom/>
      <diagonal/>
    </border>
    <border>
      <top style="thin">
        <color rgb="001F2933"/>
      </top>
      <bottom style="thin">
        <color rgb="001F2933"/>
      </bottom>
    </border>
    <border>
      <bottom style="thin">
        <color rgb="00CBD2D9"/>
      </bottom>
    </border>
    <border>
      <top style="thin">
        <color rgb="00E2620A"/>
      </top>
      <bottom style="thin">
        <color rgb="00E2620A"/>
      </bottom>
    </border>
    <border>
      <top style="thin">
        <color rgb="00CBD2D9"/>
      </top>
    </border>
    <border>
      <left/>
      <right/>
      <top style="thin">
        <color rgb="00CBD2D9"/>
      </top>
      <bottom/>
      <diagonal/>
    </border>
  </borders>
  <cellStyleXfs count="1">
    <xf numFmtId="0" fontId="0" fillId="0" borderId="0"/>
  </cellStyleXfs>
  <cellXfs count="39">
    <xf numFmtId="0" fontId="0" fillId="0" borderId="0" pivotButton="0" quotePrefix="0" xfId="0"/>
    <xf numFmtId="0" fontId="4" fillId="0" borderId="0" pivotButton="0" quotePrefix="0" xfId="0"/>
    <xf numFmtId="0" fontId="7" fillId="0" borderId="0" applyAlignment="1" pivotButton="0" quotePrefix="0" xfId="0">
      <alignment horizontal="right" vertical="center"/>
    </xf>
    <xf numFmtId="0" fontId="5" fillId="0" borderId="0" applyAlignment="1" pivotButton="0" quotePrefix="0" xfId="0">
      <alignment horizontal="left" vertical="center"/>
    </xf>
    <xf numFmtId="0" fontId="8" fillId="0" borderId="0" applyAlignment="1" pivotButton="0" quotePrefix="0" xfId="0">
      <alignment horizontal="right" vertical="center"/>
    </xf>
    <xf numFmtId="0" fontId="6" fillId="0" borderId="0" applyAlignment="1" pivotButton="0" quotePrefix="0" xfId="0">
      <alignment horizontal="left" vertical="center"/>
    </xf>
    <xf numFmtId="0" fontId="6" fillId="0" borderId="0" applyAlignment="1" pivotButton="0" quotePrefix="0" xfId="0">
      <alignment horizontal="right" vertical="center"/>
    </xf>
    <xf numFmtId="0" fontId="7" fillId="0" borderId="0" applyAlignment="1" pivotButton="0" quotePrefix="0" xfId="0">
      <alignment horizontal="left" vertical="center"/>
    </xf>
    <xf numFmtId="0" fontId="9" fillId="0" borderId="0" applyAlignment="1" pivotButton="0" quotePrefix="0" xfId="0">
      <alignment horizontal="right" vertical="center"/>
    </xf>
    <xf numFmtId="0" fontId="8" fillId="0" borderId="0" applyAlignment="1" pivotButton="0" quotePrefix="0" xfId="0">
      <alignment horizontal="left" vertical="center"/>
    </xf>
    <xf numFmtId="0" fontId="5" fillId="0" borderId="0" applyAlignment="1" pivotButton="0" quotePrefix="0" xfId="0">
      <alignment horizontal="right" vertical="center"/>
    </xf>
    <xf numFmtId="167" fontId="5" fillId="0" borderId="0" applyAlignment="1" pivotButton="0" quotePrefix="0" xfId="0">
      <alignment horizontal="right" vertical="center"/>
    </xf>
    <xf numFmtId="0" fontId="5" fillId="0" borderId="0" applyAlignment="1" pivotButton="0" quotePrefix="0" xfId="0">
      <alignment horizontal="left" vertical="top" wrapText="1"/>
    </xf>
    <xf numFmtId="0" fontId="10" fillId="3" borderId="1" applyAlignment="1" pivotButton="0" quotePrefix="0" xfId="0">
      <alignment horizontal="center" vertical="center"/>
    </xf>
    <xf numFmtId="0" fontId="10" fillId="3" borderId="1" applyAlignment="1" pivotButton="0" quotePrefix="0" xfId="0">
      <alignment horizontal="left" vertical="center"/>
    </xf>
    <xf numFmtId="0" fontId="10" fillId="3" borderId="1" applyAlignment="1" pivotButton="0" quotePrefix="0" xfId="0">
      <alignment horizontal="right" vertical="center"/>
    </xf>
    <xf numFmtId="0" fontId="5" fillId="0" borderId="2" applyAlignment="1" pivotButton="0" quotePrefix="0" xfId="0">
      <alignment horizontal="center" vertical="center"/>
    </xf>
    <xf numFmtId="0" fontId="5" fillId="0" borderId="2" applyAlignment="1" pivotButton="0" quotePrefix="0" xfId="0">
      <alignment horizontal="left" vertical="center"/>
    </xf>
    <xf numFmtId="165" fontId="5" fillId="0" borderId="2" applyAlignment="1" pivotButton="0" quotePrefix="0" xfId="0">
      <alignment horizontal="right" vertical="center"/>
    </xf>
    <xf numFmtId="165" fontId="6" fillId="0" borderId="0" applyAlignment="1" pivotButton="0" quotePrefix="0" xfId="0">
      <alignment horizontal="right" vertical="center"/>
    </xf>
    <xf numFmtId="0" fontId="5" fillId="4" borderId="2" applyAlignment="1" pivotButton="0" quotePrefix="0" xfId="0">
      <alignment horizontal="center" vertical="center"/>
    </xf>
    <xf numFmtId="0" fontId="5" fillId="4" borderId="2" applyAlignment="1" pivotButton="0" quotePrefix="0" xfId="0">
      <alignment horizontal="left" vertical="center"/>
    </xf>
    <xf numFmtId="165" fontId="5" fillId="4" borderId="2" applyAlignment="1" pivotButton="0" quotePrefix="0" xfId="0">
      <alignment horizontal="right" vertical="center"/>
    </xf>
    <xf numFmtId="165" fontId="11" fillId="0" borderId="0" applyAlignment="1" pivotButton="0" quotePrefix="0" xfId="0">
      <alignment horizontal="right" vertical="center"/>
    </xf>
    <xf numFmtId="165" fontId="5" fillId="0" borderId="0" applyAlignment="1" pivotButton="0" quotePrefix="0" xfId="0">
      <alignment horizontal="right" vertical="center"/>
    </xf>
    <xf numFmtId="0" fontId="8" fillId="5" borderId="3" applyAlignment="1" pivotButton="0" quotePrefix="0" xfId="0">
      <alignment horizontal="right" vertical="center"/>
    </xf>
    <xf numFmtId="0" fontId="0" fillId="5" borderId="3" pivotButton="0" quotePrefix="0" xfId="0"/>
    <xf numFmtId="165" fontId="11" fillId="5" borderId="3" applyAlignment="1" pivotButton="0" quotePrefix="0" xfId="0">
      <alignment horizontal="right" vertical="center"/>
    </xf>
    <xf numFmtId="0" fontId="12" fillId="0" borderId="0" applyAlignment="1" pivotButton="0" quotePrefix="0" xfId="0">
      <alignment horizontal="left" vertical="top" wrapText="1"/>
    </xf>
    <xf numFmtId="0" fontId="13" fillId="0" borderId="4" applyAlignment="1" pivotButton="0" quotePrefix="0" xfId="0">
      <alignment horizontal="center" vertical="center"/>
    </xf>
    <xf numFmtId="0" fontId="0" fillId="0" borderId="5"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left" vertical="center"/>
    </xf>
    <xf numFmtId="164" fontId="2" fillId="0" borderId="0" applyAlignment="1" pivotButton="0" quotePrefix="0" xfId="0">
      <alignment vertical="top" wrapText="1"/>
    </xf>
    <xf numFmtId="0" fontId="3" fillId="3" borderId="0" applyAlignment="1" pivotButton="0" quotePrefix="0" xfId="0">
      <alignment horizontal="left" vertical="center"/>
    </xf>
    <xf numFmtId="0" fontId="2" fillId="0" borderId="0" pivotButton="0" quotePrefix="0" xfId="0"/>
    <xf numFmtId="0" fontId="0" fillId="0" borderId="0" applyAlignment="1" pivotButton="0" quotePrefix="0" xfId="0">
      <alignment horizontal="center"/>
    </xf>
    <xf numFmtId="165"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54"/>
  <sheetViews>
    <sheetView showGridLines="0" workbookViewId="0">
      <selection activeCell="A1" sqref="A1"/>
    </sheetView>
  </sheetViews>
  <sheetFormatPr baseColWidth="8" defaultRowHeight="15"/>
  <cols>
    <col width="4" customWidth="1" min="1" max="1"/>
    <col width="6.5" customWidth="1" min="2" max="2"/>
    <col width="40" customWidth="1" min="3" max="3"/>
    <col width="8" customWidth="1" min="4" max="4"/>
    <col width="14" customWidth="1" min="5" max="5"/>
    <col width="7" customWidth="1" min="6" max="6"/>
    <col width="15" customWidth="1" min="7" max="7"/>
    <col width="2" customWidth="1" min="8" max="8"/>
    <col hidden="1" width="16" customWidth="1" min="9" max="9"/>
  </cols>
  <sheetData>
    <row r="1" ht="30" customHeight="1">
      <c r="A1" s="1" t="inlineStr">
        <is>
          <t>MOBIL IN TIME</t>
        </is>
      </c>
      <c r="F1" s="2" t="inlineStr">
        <is>
          <t>IHR KONTAKT</t>
        </is>
      </c>
    </row>
    <row r="2">
      <c r="A2" s="3">
        <f>Stammdaten!$B$2</f>
        <v/>
      </c>
      <c r="F2" s="4">
        <f>Stammdaten!$B$12</f>
        <v/>
      </c>
    </row>
    <row r="3">
      <c r="A3" s="5">
        <f>Stammdaten!$B$3&amp;"  ·  "&amp;Stammdaten!$B$4</f>
        <v/>
      </c>
      <c r="F3" s="6">
        <f>"Tel. "&amp;Stammdaten!$B$13</f>
        <v/>
      </c>
    </row>
    <row r="4">
      <c r="A4" s="5">
        <f>"Tel. "&amp;Stammdaten!$B$5&amp;"  ·  "&amp;Stammdaten!$B$6&amp;"  ·  "&amp;Stammdaten!$B$7</f>
        <v/>
      </c>
      <c r="F4" s="6">
        <f>Stammdaten!$B$14</f>
        <v/>
      </c>
    </row>
    <row r="7">
      <c r="A7" s="7" t="inlineStr">
        <is>
          <t>KUNDE</t>
        </is>
      </c>
      <c r="F7" s="8" t="inlineStr">
        <is>
          <t>OFFERTE</t>
        </is>
      </c>
    </row>
    <row r="8">
      <c r="A8" s="9" t="inlineStr">
        <is>
          <t>Herr Reto Gloor</t>
        </is>
      </c>
      <c r="F8" s="2" t="inlineStr">
        <is>
          <t>Offerte-Nr.</t>
        </is>
      </c>
      <c r="G8" s="10" t="inlineStr">
        <is>
          <t>Q663790202605072109</t>
        </is>
      </c>
    </row>
    <row r="9">
      <c r="A9" s="3" t="inlineStr">
        <is>
          <t>EK AG</t>
        </is>
      </c>
      <c r="F9" s="2" t="inlineStr">
        <is>
          <t>Datum</t>
        </is>
      </c>
      <c r="G9" s="11" t="n">
        <v>46191</v>
      </c>
    </row>
    <row r="10">
      <c r="A10" s="5" t="inlineStr">
        <is>
          <t>Tel. +41 62 767 80 62</t>
        </is>
      </c>
      <c r="F10" s="2" t="inlineStr">
        <is>
          <t>Mietbeginn</t>
        </is>
      </c>
      <c r="G10" s="11" t="n">
        <v>46427</v>
      </c>
    </row>
    <row r="11">
      <c r="A11" s="5" t="inlineStr">
        <is>
          <t>reto.gloor@ekag.ch</t>
        </is>
      </c>
      <c r="F11" s="2" t="inlineStr">
        <is>
          <t>Mietende</t>
        </is>
      </c>
      <c r="G11" s="11" t="n">
        <v>46447</v>
      </c>
    </row>
    <row r="12">
      <c r="F12" s="2" t="inlineStr">
        <is>
          <t>Mietzeitraum</t>
        </is>
      </c>
      <c r="G12" s="10">
        <f>G11-G10+1&amp;" Tage"</f>
        <v/>
      </c>
    </row>
    <row r="13">
      <c r="F13" s="2" t="inlineStr">
        <is>
          <t>Mindestmiete</t>
        </is>
      </c>
      <c r="G13" s="10" t="inlineStr">
        <is>
          <t>7 Tage</t>
        </is>
      </c>
    </row>
    <row r="14">
      <c r="A14" s="3">
        <f>"Sehr geehrter "&amp;LEFT(A8,FIND(" ",A8)-1)&amp;" "&amp;MID(A8,FIND(" ",A8,FIND(" ",A8)+1)+1,99)</f>
        <v/>
      </c>
    </row>
    <row r="15" ht="16" customHeight="1">
      <c r="A15" s="12">
        <f>SUBSTITUTE(Stammdaten!$B$22,"{AGB}",Stammdaten!$B$9)</f>
        <v/>
      </c>
    </row>
    <row r="16" ht="16" customHeight="1"/>
    <row r="17" ht="16" customHeight="1"/>
    <row r="19">
      <c r="A19" s="9" t="inlineStr">
        <is>
          <t>Preisaufstellung – Preise reflektieren Mengen</t>
        </is>
      </c>
    </row>
    <row r="21" ht="20" customHeight="1">
      <c r="A21" s="13" t="inlineStr">
        <is>
          <t>Pos</t>
        </is>
      </c>
      <c r="B21" s="13" t="inlineStr">
        <is>
          <t>Anz</t>
        </is>
      </c>
      <c r="C21" s="14" t="inlineStr">
        <is>
          <t>Beschreibung</t>
        </is>
      </c>
      <c r="D21" s="13" t="inlineStr">
        <is>
          <t>Einh.</t>
        </is>
      </c>
      <c r="E21" s="15" t="inlineStr">
        <is>
          <t>Preis/Wo.</t>
        </is>
      </c>
      <c r="F21" s="13" t="inlineStr">
        <is>
          <t>Wochen</t>
        </is>
      </c>
      <c r="G21" s="15" t="inlineStr">
        <is>
          <t>Position</t>
        </is>
      </c>
    </row>
    <row r="22">
      <c r="A22" s="16">
        <f>IF(C22="","",COUNTA($C$22:C22))</f>
        <v/>
      </c>
      <c r="B22" s="16" t="n">
        <v>1</v>
      </c>
      <c r="C22" s="17" t="inlineStr">
        <is>
          <t>6MVA Trafo 16,5kV YNyn0</t>
        </is>
      </c>
      <c r="D22" s="16" t="inlineStr">
        <is>
          <t>Stk</t>
        </is>
      </c>
      <c r="E22" s="18" t="n">
        <v>5409.82</v>
      </c>
      <c r="F22" s="16" t="n">
        <v>1</v>
      </c>
      <c r="G22" s="18">
        <f>IF($C22="","",N($B22)*N($E22)*N($F22))</f>
        <v/>
      </c>
      <c r="I22" s="19">
        <f>IFERROR(VLOOKUP(C22,Artikel!$A$2:$C$16,3,FALSE),"")</f>
        <v/>
      </c>
    </row>
    <row r="23">
      <c r="A23" s="20">
        <f>IF(C23="","",COUNTA($C$22:C23))</f>
        <v/>
      </c>
      <c r="B23" s="20" t="n">
        <v>1</v>
      </c>
      <c r="C23" s="21" t="inlineStr">
        <is>
          <t>3MVA Trafo 16,5kV YNyn0</t>
        </is>
      </c>
      <c r="D23" s="20" t="inlineStr">
        <is>
          <t>Stk</t>
        </is>
      </c>
      <c r="E23" s="22" t="n">
        <v>1588.15</v>
      </c>
      <c r="F23" s="20" t="n">
        <v>1</v>
      </c>
      <c r="G23" s="22">
        <f>IF($C23="","",N($B23)*N($E23)*N($F23))</f>
        <v/>
      </c>
      <c r="I23" s="19">
        <f>IFERROR(VLOOKUP(C23,Artikel!$A$2:$C$16,3,FALSE),"")</f>
        <v/>
      </c>
    </row>
    <row r="24">
      <c r="A24" s="16">
        <f>IF(C24="","",COUNTA($C$22:C24))</f>
        <v/>
      </c>
      <c r="B24" s="16" t="n">
        <v>2</v>
      </c>
      <c r="C24" s="17" t="inlineStr">
        <is>
          <t>25 Meter x Kabel 32A</t>
        </is>
      </c>
      <c r="D24" s="16" t="inlineStr">
        <is>
          <t>Stk</t>
        </is>
      </c>
      <c r="E24" s="18" t="n">
        <v>6.85</v>
      </c>
      <c r="F24" s="16" t="n">
        <v>1</v>
      </c>
      <c r="G24" s="18">
        <f>IF($C24="","",N($B24)*N($E24)*N($F24))</f>
        <v/>
      </c>
      <c r="I24" s="19">
        <f>IFERROR(VLOOKUP(C24,Artikel!$A$2:$C$16,3,FALSE),"")</f>
        <v/>
      </c>
    </row>
    <row r="25">
      <c r="A25" s="20">
        <f>IF(C25="","",COUNTA($C$22:C25))</f>
        <v/>
      </c>
      <c r="B25" s="20" t="n">
        <v>1</v>
      </c>
      <c r="C25" s="21" t="inlineStr">
        <is>
          <t>Load Bank 6000 kVA Resistive and Reactive : 400V 3-ph @ 50 Hz</t>
        </is>
      </c>
      <c r="D25" s="20" t="inlineStr">
        <is>
          <t>Stk</t>
        </is>
      </c>
      <c r="E25" s="22" t="n">
        <v>4960.73</v>
      </c>
      <c r="F25" s="20" t="n">
        <v>1</v>
      </c>
      <c r="G25" s="22">
        <f>IF($C25="","",N($B25)*N($E25)*N($F25))</f>
        <v/>
      </c>
      <c r="I25" s="19">
        <f>IFERROR(VLOOKUP(C25,Artikel!$A$2:$C$16,3,FALSE),"")</f>
        <v/>
      </c>
    </row>
    <row r="26">
      <c r="A26" s="16">
        <f>IF(C26="","",COUNTA($C$22:C26))</f>
        <v/>
      </c>
      <c r="B26" s="16" t="n">
        <v>1</v>
      </c>
      <c r="C26" s="17" t="inlineStr">
        <is>
          <t>Load Bank 3300 kVA Resistive and Reactive : 400V 3-ph @ 50 Hz</t>
        </is>
      </c>
      <c r="D26" s="16" t="inlineStr">
        <is>
          <t>Stk</t>
        </is>
      </c>
      <c r="E26" s="18" t="n">
        <v>3087.82</v>
      </c>
      <c r="F26" s="16" t="n">
        <v>1</v>
      </c>
      <c r="G26" s="18">
        <f>IF($C26="","",N($B26)*N($E26)*N($F26))</f>
        <v/>
      </c>
      <c r="I26" s="19">
        <f>IFERROR(VLOOKUP(C26,Artikel!$A$2:$C$16,3,FALSE),"")</f>
        <v/>
      </c>
    </row>
    <row r="27">
      <c r="A27" s="20">
        <f>IF(C27="","",COUNTA($C$22:C27))</f>
        <v/>
      </c>
      <c r="B27" s="20" t="n">
        <v>63</v>
      </c>
      <c r="C27" s="21" t="inlineStr">
        <is>
          <t>10 Meter x Einzeladerkabel 240mm² (Set A)</t>
        </is>
      </c>
      <c r="D27" s="20" t="inlineStr">
        <is>
          <t>Stk</t>
        </is>
      </c>
      <c r="E27" s="22" t="n">
        <v>4.483651</v>
      </c>
      <c r="F27" s="20" t="n">
        <v>1</v>
      </c>
      <c r="G27" s="22">
        <f>IF($C27="","",N($B27)*N($E27)*N($F27))</f>
        <v/>
      </c>
      <c r="I27" s="19">
        <f>IFERROR(VLOOKUP(C27,Artikel!$A$2:$C$16,3,FALSE),"")</f>
        <v/>
      </c>
    </row>
    <row r="28">
      <c r="A28" s="16">
        <f>IF(C28="","",COUNTA($C$22:C28))</f>
        <v/>
      </c>
      <c r="B28" s="16" t="n">
        <v>32</v>
      </c>
      <c r="C28" s="17" t="inlineStr">
        <is>
          <t>10 Meter x Einzeladerkabel 240mm² (Set B)</t>
        </is>
      </c>
      <c r="D28" s="16" t="inlineStr">
        <is>
          <t>Stk</t>
        </is>
      </c>
      <c r="E28" s="18" t="n">
        <v>4.483437</v>
      </c>
      <c r="F28" s="16" t="n">
        <v>1</v>
      </c>
      <c r="G28" s="18">
        <f>IF($C28="","",N($B28)*N($E28)*N($F28))</f>
        <v/>
      </c>
      <c r="I28" s="19">
        <f>IFERROR(VLOOKUP(C28,Artikel!$A$2:$C$16,3,FALSE),"")</f>
        <v/>
      </c>
    </row>
    <row r="29">
      <c r="A29" s="20">
        <f>IF(C29="","",COUNTA($C$22:C29))</f>
        <v/>
      </c>
      <c r="B29" s="20" t="n">
        <v>1</v>
      </c>
      <c r="C29" s="21" t="inlineStr">
        <is>
          <t>25 Meter x Kabel 125A</t>
        </is>
      </c>
      <c r="D29" s="20" t="inlineStr">
        <is>
          <t>Stk</t>
        </is>
      </c>
      <c r="E29" s="22" t="n">
        <v>12.57</v>
      </c>
      <c r="F29" s="20" t="n">
        <v>1</v>
      </c>
      <c r="G29" s="22">
        <f>IF($C29="","",N($B29)*N($E29)*N($F29))</f>
        <v/>
      </c>
      <c r="I29" s="19">
        <f>IFERROR(VLOOKUP(C29,Artikel!$A$2:$C$16,3,FALSE),"")</f>
        <v/>
      </c>
    </row>
    <row r="30">
      <c r="A30" s="16">
        <f>IF(C30="","",COUNTA($C$22:C30))</f>
        <v/>
      </c>
      <c r="B30" s="16" t="n">
        <v>1</v>
      </c>
      <c r="C30" s="17" t="inlineStr">
        <is>
          <t>25 Meter x Kabel 63A</t>
        </is>
      </c>
      <c r="D30" s="16" t="inlineStr">
        <is>
          <t>Stk</t>
        </is>
      </c>
      <c r="E30" s="18" t="n">
        <v>9.460000000000001</v>
      </c>
      <c r="F30" s="16" t="n">
        <v>1</v>
      </c>
      <c r="G30" s="18">
        <f>IF($C30="","",N($B30)*N($E30)*N($F30))</f>
        <v/>
      </c>
      <c r="I30" s="19">
        <f>IFERROR(VLOOKUP(C30,Artikel!$A$2:$C$16,3,FALSE),"")</f>
        <v/>
      </c>
    </row>
    <row r="31">
      <c r="A31" s="20">
        <f>IF(C31="","",COUNTA($C$22:C31))</f>
        <v/>
      </c>
      <c r="B31" s="20" t="n">
        <v>1</v>
      </c>
      <c r="C31" s="21" t="inlineStr">
        <is>
          <t>Umweltschutzpauschale</t>
        </is>
      </c>
      <c r="D31" s="20" t="inlineStr">
        <is>
          <t>Psch</t>
        </is>
      </c>
      <c r="E31" s="22" t="n">
        <v>1085.57</v>
      </c>
      <c r="F31" s="20" t="n">
        <v>1</v>
      </c>
      <c r="G31" s="22">
        <f>IF($C31="","",N($B31)*N($E31)*N($F31))</f>
        <v/>
      </c>
      <c r="I31" s="19">
        <f>IFERROR(VLOOKUP(C31,Artikel!$A$2:$C$16,3,FALSE),"")</f>
        <v/>
      </c>
    </row>
    <row r="32">
      <c r="A32" s="16">
        <f>IF(C32="","",COUNTA($C$22:C32))</f>
        <v/>
      </c>
      <c r="B32" s="16" t="n">
        <v>1</v>
      </c>
      <c r="C32" s="17" t="inlineStr">
        <is>
          <t>Befreiung von der Versicherungspflicht</t>
        </is>
      </c>
      <c r="D32" s="16" t="inlineStr">
        <is>
          <t>Psch</t>
        </is>
      </c>
      <c r="E32" s="18" t="n">
        <v>1860.98</v>
      </c>
      <c r="F32" s="16" t="n">
        <v>1</v>
      </c>
      <c r="G32" s="18">
        <f>IF($C32="","",N($B32)*N($E32)*N($F32))</f>
        <v/>
      </c>
      <c r="I32" s="19">
        <f>IFERROR(VLOOKUP(C32,Artikel!$A$2:$C$16,3,FALSE),"")</f>
        <v/>
      </c>
    </row>
    <row r="33">
      <c r="A33" s="20">
        <f>IF(C33="","",COUNTA($C$22:C33))</f>
        <v/>
      </c>
      <c r="B33" s="20" t="n"/>
      <c r="C33" s="21" t="n"/>
      <c r="D33" s="20">
        <f>IFERROR(VLOOKUP(C33,Artikel!$A$2:$C$16,2,FALSE),"")</f>
        <v/>
      </c>
      <c r="E33" s="22">
        <f>IFERROR(VLOOKUP(C33,Artikel!$A$2:$C$16,3,FALSE),"")</f>
        <v/>
      </c>
      <c r="F33" s="20">
        <f>IF(C33="","",1)</f>
        <v/>
      </c>
      <c r="G33" s="22">
        <f>IF($C33="","",N($B33)*N($E33)*N($F33))</f>
        <v/>
      </c>
      <c r="I33" s="19">
        <f>IFERROR(VLOOKUP(C33,Artikel!$A$2:$C$16,3,FALSE),"")</f>
        <v/>
      </c>
    </row>
    <row r="34">
      <c r="A34" s="16">
        <f>IF(C34="","",COUNTA($C$22:C34))</f>
        <v/>
      </c>
      <c r="B34" s="16" t="n"/>
      <c r="C34" s="17" t="n"/>
      <c r="D34" s="16">
        <f>IFERROR(VLOOKUP(C34,Artikel!$A$2:$C$16,2,FALSE),"")</f>
        <v/>
      </c>
      <c r="E34" s="18">
        <f>IFERROR(VLOOKUP(C34,Artikel!$A$2:$C$16,3,FALSE),"")</f>
        <v/>
      </c>
      <c r="F34" s="16">
        <f>IF(C34="","",1)</f>
        <v/>
      </c>
      <c r="G34" s="18">
        <f>IF($C34="","",N($B34)*N($E34)*N($F34))</f>
        <v/>
      </c>
      <c r="I34" s="19">
        <f>IFERROR(VLOOKUP(C34,Artikel!$A$2:$C$16,3,FALSE),"")</f>
        <v/>
      </c>
    </row>
    <row r="35">
      <c r="A35" s="20">
        <f>IF(C35="","",COUNTA($C$22:C35))</f>
        <v/>
      </c>
      <c r="B35" s="20" t="n"/>
      <c r="C35" s="21" t="n"/>
      <c r="D35" s="20">
        <f>IFERROR(VLOOKUP(C35,Artikel!$A$2:$C$16,2,FALSE),"")</f>
        <v/>
      </c>
      <c r="E35" s="22">
        <f>IFERROR(VLOOKUP(C35,Artikel!$A$2:$C$16,3,FALSE),"")</f>
        <v/>
      </c>
      <c r="F35" s="20">
        <f>IF(C35="","",1)</f>
        <v/>
      </c>
      <c r="G35" s="22">
        <f>IF($C35="","",N($B35)*N($E35)*N($F35))</f>
        <v/>
      </c>
      <c r="I35" s="19">
        <f>IFERROR(VLOOKUP(C35,Artikel!$A$2:$C$16,3,FALSE),"")</f>
        <v/>
      </c>
    </row>
    <row r="36">
      <c r="A36" s="16">
        <f>IF(C36="","",COUNTA($C$22:C36))</f>
        <v/>
      </c>
      <c r="B36" s="16" t="n"/>
      <c r="C36" s="17" t="n"/>
      <c r="D36" s="16">
        <f>IFERROR(VLOOKUP(C36,Artikel!$A$2:$C$16,2,FALSE),"")</f>
        <v/>
      </c>
      <c r="E36" s="18">
        <f>IFERROR(VLOOKUP(C36,Artikel!$A$2:$C$16,3,FALSE),"")</f>
        <v/>
      </c>
      <c r="F36" s="16">
        <f>IF(C36="","",1)</f>
        <v/>
      </c>
      <c r="G36" s="18">
        <f>IF($C36="","",N($B36)*N($E36)*N($F36))</f>
        <v/>
      </c>
      <c r="I36" s="19">
        <f>IFERROR(VLOOKUP(C36,Artikel!$A$2:$C$16,3,FALSE),"")</f>
        <v/>
      </c>
    </row>
    <row r="37">
      <c r="A37" s="20">
        <f>IF(C37="","",COUNTA($C$22:C37))</f>
        <v/>
      </c>
      <c r="B37" s="20" t="n"/>
      <c r="C37" s="21" t="n"/>
      <c r="D37" s="20">
        <f>IFERROR(VLOOKUP(C37,Artikel!$A$2:$C$16,2,FALSE),"")</f>
        <v/>
      </c>
      <c r="E37" s="22">
        <f>IFERROR(VLOOKUP(C37,Artikel!$A$2:$C$16,3,FALSE),"")</f>
        <v/>
      </c>
      <c r="F37" s="20">
        <f>IF(C37="","",1)</f>
        <v/>
      </c>
      <c r="G37" s="22">
        <f>IF($C37="","",N($B37)*N($E37)*N($F37))</f>
        <v/>
      </c>
      <c r="I37" s="19">
        <f>IFERROR(VLOOKUP(C37,Artikel!$A$2:$C$16,3,FALSE),"")</f>
        <v/>
      </c>
    </row>
    <row r="38">
      <c r="A38" s="16">
        <f>IF(C38="","",COUNTA($C$22:C38))</f>
        <v/>
      </c>
      <c r="B38" s="16" t="n"/>
      <c r="C38" s="17" t="n"/>
      <c r="D38" s="16">
        <f>IFERROR(VLOOKUP(C38,Artikel!$A$2:$C$16,2,FALSE),"")</f>
        <v/>
      </c>
      <c r="E38" s="18">
        <f>IFERROR(VLOOKUP(C38,Artikel!$A$2:$C$16,3,FALSE),"")</f>
        <v/>
      </c>
      <c r="F38" s="16">
        <f>IF(C38="","",1)</f>
        <v/>
      </c>
      <c r="G38" s="18">
        <f>IF($C38="","",N($B38)*N($E38)*N($F38))</f>
        <v/>
      </c>
      <c r="I38" s="19">
        <f>IFERROR(VLOOKUP(C38,Artikel!$A$2:$C$16,3,FALSE),"")</f>
        <v/>
      </c>
    </row>
    <row r="39">
      <c r="A39" s="20">
        <f>IF(C39="","",COUNTA($C$22:C39))</f>
        <v/>
      </c>
      <c r="B39" s="20" t="n"/>
      <c r="C39" s="21" t="n"/>
      <c r="D39" s="20">
        <f>IFERROR(VLOOKUP(C39,Artikel!$A$2:$C$16,2,FALSE),"")</f>
        <v/>
      </c>
      <c r="E39" s="22">
        <f>IFERROR(VLOOKUP(C39,Artikel!$A$2:$C$16,3,FALSE),"")</f>
        <v/>
      </c>
      <c r="F39" s="20">
        <f>IF(C39="","",1)</f>
        <v/>
      </c>
      <c r="G39" s="22">
        <f>IF($C39="","",N($B39)*N($E39)*N($F39))</f>
        <v/>
      </c>
      <c r="I39" s="19">
        <f>IFERROR(VLOOKUP(C39,Artikel!$A$2:$C$16,3,FALSE),"")</f>
        <v/>
      </c>
    </row>
    <row r="40">
      <c r="A40" s="16">
        <f>IF(C40="","",COUNTA($C$22:C40))</f>
        <v/>
      </c>
      <c r="B40" s="16" t="n"/>
      <c r="C40" s="17" t="n"/>
      <c r="D40" s="16">
        <f>IFERROR(VLOOKUP(C40,Artikel!$A$2:$C$16,2,FALSE),"")</f>
        <v/>
      </c>
      <c r="E40" s="18">
        <f>IFERROR(VLOOKUP(C40,Artikel!$A$2:$C$16,3,FALSE),"")</f>
        <v/>
      </c>
      <c r="F40" s="16">
        <f>IF(C40="","",1)</f>
        <v/>
      </c>
      <c r="G40" s="18">
        <f>IF($C40="","",N($B40)*N($E40)*N($F40))</f>
        <v/>
      </c>
      <c r="I40" s="19">
        <f>IFERROR(VLOOKUP(C40,Artikel!$A$2:$C$16,3,FALSE),"")</f>
        <v/>
      </c>
    </row>
    <row r="41">
      <c r="A41" s="4" t="inlineStr">
        <is>
          <t>Zwischentotal (GESAMT)</t>
        </is>
      </c>
      <c r="G41" s="23">
        <f>SUM(G22:G40)</f>
        <v/>
      </c>
    </row>
    <row r="42">
      <c r="A42" s="10">
        <f>"Rabatt  "&amp;TEXT(Stammdaten!$B$17,"0.0%")</f>
        <v/>
      </c>
      <c r="G42" s="24">
        <f>-ROUND(G41*Stammdaten!$B$17,2)</f>
        <v/>
      </c>
    </row>
    <row r="43">
      <c r="A43" s="4" t="inlineStr">
        <is>
          <t>Total nach Rabatt</t>
        </is>
      </c>
      <c r="G43" s="23">
        <f>G41+G42</f>
        <v/>
      </c>
    </row>
    <row r="44">
      <c r="A44" s="10">
        <f>"MwSt  "&amp;TEXT(Stammdaten!$B$18,"0.0%")</f>
        <v/>
      </c>
      <c r="G44" s="24">
        <f>ROUND(G43*Stammdaten!$B$18,2)</f>
        <v/>
      </c>
    </row>
    <row r="45" ht="22" customHeight="1">
      <c r="A45" s="25" t="inlineStr">
        <is>
          <t>Endbetrag (CHF)</t>
        </is>
      </c>
      <c r="B45" s="26" t="n"/>
      <c r="C45" s="26" t="n"/>
      <c r="D45" s="26" t="n"/>
      <c r="E45" s="26" t="n"/>
      <c r="F45" s="26" t="n"/>
      <c r="G45" s="27">
        <f>G43+G44</f>
        <v/>
      </c>
    </row>
    <row r="47">
      <c r="A47" s="28">
        <f>"Anmerkung: "&amp;Stammdaten!$B$24</f>
        <v/>
      </c>
    </row>
    <row r="48"/>
    <row r="49"/>
    <row r="51">
      <c r="A51" s="3">
        <f>Stammdaten!$B$23</f>
        <v/>
      </c>
    </row>
    <row r="52">
      <c r="A52" s="9">
        <f>Stammdaten!$B$12</f>
        <v/>
      </c>
    </row>
    <row r="54">
      <c r="A54" s="29">
        <f>Stammdaten!$B$2&amp;" · "&amp;Stammdaten!$B$3&amp;" · "&amp;Stammdaten!$B$4&amp;" · "&amp;Stammdaten!$B$5&amp;" · "&amp;Stammdaten!$B$7&amp;"   |   "&amp;Stammdaten!$B$8</f>
        <v/>
      </c>
      <c r="B54" s="30" t="n"/>
      <c r="C54" s="30" t="n"/>
      <c r="D54" s="30" t="n"/>
      <c r="E54" s="30" t="n"/>
      <c r="F54" s="30" t="n"/>
      <c r="G54" s="30" t="n"/>
    </row>
  </sheetData>
  <mergeCells count="26">
    <mergeCell ref="A41:F41"/>
    <mergeCell ref="F4:G4"/>
    <mergeCell ref="A14:G14"/>
    <mergeCell ref="A4:D4"/>
    <mergeCell ref="A47:G49"/>
    <mergeCell ref="A52:G52"/>
    <mergeCell ref="A19:G19"/>
    <mergeCell ref="F7:G7"/>
    <mergeCell ref="F3:G3"/>
    <mergeCell ref="A42:F42"/>
    <mergeCell ref="A8:C8"/>
    <mergeCell ref="A15:G17"/>
    <mergeCell ref="A51:G51"/>
    <mergeCell ref="A43:F43"/>
    <mergeCell ref="A10:C10"/>
    <mergeCell ref="A1:D1"/>
    <mergeCell ref="F2:G2"/>
    <mergeCell ref="A44:F44"/>
    <mergeCell ref="A9:C9"/>
    <mergeCell ref="A54:G54"/>
    <mergeCell ref="A11:C11"/>
    <mergeCell ref="A45:F45"/>
    <mergeCell ref="A3:D3"/>
    <mergeCell ref="A2:D2"/>
    <mergeCell ref="A7:C7"/>
    <mergeCell ref="F1:G1"/>
  </mergeCells>
  <dataValidations count="1">
    <dataValidation sqref="C22:C40" showDropDown="0" showInputMessage="0" showErrorMessage="0" allowBlank="1" error="Bitte aus der Artikelliste wählen oder eigenen Text eintippen." promptTitle="Beschreibung" prompt="Artikel wählen (oder frei eingeben)" type="list" errorStyle="warning">
      <formula1>=Artikel!$A$2:$A$16</formula1>
    </dataValidation>
  </dataValidations>
  <printOptions horizontalCentered="1"/>
  <pageMargins left="0.5" right="0.5" top="0.6" bottom="0.5"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2" customWidth="1" min="1" max="1"/>
    <col width="95" customWidth="1" min="2" max="2"/>
  </cols>
  <sheetData>
    <row r="1">
      <c r="A1" s="31" t="inlineStr">
        <is>
          <t>FIRMA (Absender)</t>
        </is>
      </c>
      <c r="B1" s="32" t="inlineStr"/>
    </row>
    <row r="2">
      <c r="A2" s="31" t="inlineStr">
        <is>
          <t>Firmenname</t>
        </is>
      </c>
      <c r="B2" s="32" t="inlineStr">
        <is>
          <t>Mobil in Time AG</t>
        </is>
      </c>
    </row>
    <row r="3">
      <c r="A3" s="31" t="inlineStr">
        <is>
          <t>Strasse</t>
        </is>
      </c>
      <c r="B3" s="32" t="inlineStr">
        <is>
          <t>Mattenstrasse 3</t>
        </is>
      </c>
    </row>
    <row r="4">
      <c r="A4" s="31" t="inlineStr">
        <is>
          <t>PLZ / Ort</t>
        </is>
      </c>
      <c r="B4" s="32" t="inlineStr">
        <is>
          <t>8253 Diessenhofen</t>
        </is>
      </c>
    </row>
    <row r="5">
      <c r="A5" s="31" t="inlineStr">
        <is>
          <t>Telefon</t>
        </is>
      </c>
      <c r="B5" s="32" t="inlineStr">
        <is>
          <t>+41 44 806 13 00</t>
        </is>
      </c>
    </row>
    <row r="6">
      <c r="A6" s="31" t="inlineStr">
        <is>
          <t>E-Mail</t>
        </is>
      </c>
      <c r="B6" s="32" t="inlineStr">
        <is>
          <t>info@mobilintime.com</t>
        </is>
      </c>
    </row>
    <row r="7">
      <c r="A7" s="31" t="inlineStr">
        <is>
          <t>Web</t>
        </is>
      </c>
      <c r="B7" s="32" t="inlineStr">
        <is>
          <t>www.mobilintime.com</t>
        </is>
      </c>
    </row>
    <row r="8">
      <c r="A8" s="31" t="inlineStr">
        <is>
          <t>Zusatz</t>
        </is>
      </c>
      <c r="B8" s="32" t="inlineStr">
        <is>
          <t>Ein Unternehmen der Mobil in Time Gruppe</t>
        </is>
      </c>
    </row>
    <row r="9">
      <c r="A9" s="31" t="inlineStr">
        <is>
          <t>AGB-Hinweis (URL)</t>
        </is>
      </c>
      <c r="B9" s="32" t="inlineStr">
        <is>
          <t>www.mobilintime.com</t>
        </is>
      </c>
    </row>
    <row r="10">
      <c r="A10" s="31" t="inlineStr"/>
      <c r="B10" s="32" t="inlineStr"/>
    </row>
    <row r="11">
      <c r="A11" s="33" t="inlineStr">
        <is>
          <t>SACHBEARBEITER</t>
        </is>
      </c>
    </row>
    <row r="12">
      <c r="A12" s="31" t="inlineStr">
        <is>
          <t>Name</t>
        </is>
      </c>
      <c r="B12" s="32" t="inlineStr">
        <is>
          <t>Burak Ücöz</t>
        </is>
      </c>
    </row>
    <row r="13">
      <c r="A13" s="31" t="inlineStr">
        <is>
          <t>Telefon</t>
        </is>
      </c>
      <c r="B13" s="32" t="inlineStr">
        <is>
          <t>+41 76 202 01 70</t>
        </is>
      </c>
    </row>
    <row r="14">
      <c r="A14" s="31" t="inlineStr">
        <is>
          <t>E-Mail</t>
        </is>
      </c>
      <c r="B14" s="32" t="inlineStr">
        <is>
          <t>uecoez@mobilintime.com</t>
        </is>
      </c>
    </row>
    <row r="15">
      <c r="A15" s="31" t="inlineStr"/>
      <c r="B15" s="32" t="inlineStr"/>
    </row>
    <row r="16">
      <c r="A16" s="33" t="inlineStr">
        <is>
          <t>STANDARDWERTE</t>
        </is>
      </c>
    </row>
    <row r="17">
      <c r="A17" s="31" t="inlineStr">
        <is>
          <t>Rabatt (%)</t>
        </is>
      </c>
      <c r="B17" s="34" t="n">
        <v>0.1</v>
      </c>
    </row>
    <row r="18">
      <c r="A18" s="31" t="inlineStr">
        <is>
          <t>MwSt (%)</t>
        </is>
      </c>
      <c r="B18" s="34" t="n">
        <v>0</v>
      </c>
    </row>
    <row r="19">
      <c r="A19" s="31" t="inlineStr">
        <is>
          <t>Währung</t>
        </is>
      </c>
      <c r="B19" s="32" t="inlineStr">
        <is>
          <t>CHF</t>
        </is>
      </c>
    </row>
    <row r="20">
      <c r="A20" s="31" t="inlineStr"/>
      <c r="B20" s="32" t="inlineStr"/>
    </row>
    <row r="21">
      <c r="A21" s="33" t="inlineStr">
        <is>
          <t>TEXTBAUSTEINE</t>
        </is>
      </c>
    </row>
    <row r="22">
      <c r="A22" s="31" t="inlineStr">
        <is>
          <t>Einleitung</t>
        </is>
      </c>
      <c r="B22" s="32" t="inlineStr">
        <is>
          <t>Wir bedanken uns für Ihr Interesse an einer Zusammenarbeit mit uns. Aufgrund der von Ihnen gemachten Angaben und gemäss unseren Allgemeinen Geschäftsbedingungen, einsehbar auf {AGB}, bieten wir Ihnen folgende Leistungen freibleibend an.</t>
        </is>
      </c>
    </row>
    <row r="23">
      <c r="A23" s="31" t="inlineStr">
        <is>
          <t>Grussformel</t>
        </is>
      </c>
      <c r="B23" s="32" t="inlineStr">
        <is>
          <t>Mit freundlichen Grüssen</t>
        </is>
      </c>
    </row>
    <row r="24">
      <c r="A24" s="31" t="inlineStr">
        <is>
          <t>Anmerkung</t>
        </is>
      </c>
      <c r="B24" s="32" t="inlineStr">
        <is>
          <t>Dieses Budgetangebot ist für beide Parteien unverbindlich. Alle Anmietungen erfolgen vorbehaltlich der Verfügbarkeit bei Aufgabe der Bestellung und zu den Preisen, die im offiziellen Angebot aufgeführt sind, sobald die zusätzlichen Detailinformationen vorliegen, die sich auf Ihr Equipment und Ihren Servicebedarf beziehen.</t>
        </is>
      </c>
    </row>
  </sheetData>
  <mergeCells count="3">
    <mergeCell ref="A16:B16"/>
    <mergeCell ref="A21:B21"/>
    <mergeCell ref="A11:B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workbookViewId="0">
      <pane ySplit="1" topLeftCell="A2" activePane="bottomLeft" state="frozen"/>
      <selection pane="bottomLeft" activeCell="A1" sqref="A1"/>
    </sheetView>
  </sheetViews>
  <sheetFormatPr baseColWidth="8" defaultRowHeight="15"/>
  <cols>
    <col width="52" customWidth="1" min="1" max="1"/>
    <col width="10" customWidth="1" min="2" max="2"/>
    <col width="18" customWidth="1" min="3" max="3"/>
  </cols>
  <sheetData>
    <row r="1">
      <c r="A1" s="35" t="inlineStr">
        <is>
          <t>Beschreibung</t>
        </is>
      </c>
      <c r="B1" s="35" t="inlineStr">
        <is>
          <t>Einheit</t>
        </is>
      </c>
      <c r="C1" s="35" t="inlineStr">
        <is>
          <t>Einzelpreis/Woche (CHF)</t>
        </is>
      </c>
    </row>
    <row r="2">
      <c r="A2" s="36" t="inlineStr">
        <is>
          <t>6MVA Trafo 16,5kV YNyn0</t>
        </is>
      </c>
      <c r="B2" s="37" t="inlineStr">
        <is>
          <t>Stk</t>
        </is>
      </c>
      <c r="C2" s="38" t="n">
        <v>5409.82</v>
      </c>
    </row>
    <row r="3">
      <c r="A3" s="36" t="inlineStr">
        <is>
          <t>3MVA Trafo 16,5kV YNyn0</t>
        </is>
      </c>
      <c r="B3" s="37" t="inlineStr">
        <is>
          <t>Stk</t>
        </is>
      </c>
      <c r="C3" s="38" t="n">
        <v>1588.15</v>
      </c>
    </row>
    <row r="4">
      <c r="A4" s="36" t="inlineStr">
        <is>
          <t>1MVA Trafo 16,5kV YNyn0</t>
        </is>
      </c>
      <c r="B4" s="37" t="inlineStr">
        <is>
          <t>Stk</t>
        </is>
      </c>
      <c r="C4" s="38" t="n">
        <v>850</v>
      </c>
    </row>
    <row r="5">
      <c r="A5" s="36" t="inlineStr">
        <is>
          <t>Load Bank 6000 kVA Resistive and Reactive : 400V 3-ph @ 50 Hz</t>
        </is>
      </c>
      <c r="B5" s="37" t="inlineStr">
        <is>
          <t>Stk</t>
        </is>
      </c>
      <c r="C5" s="38" t="n">
        <v>4960.73</v>
      </c>
    </row>
    <row r="6">
      <c r="A6" s="36" t="inlineStr">
        <is>
          <t>Load Bank 3300 kVA Resistive and Reactive : 400V 3-ph @ 50 Hz</t>
        </is>
      </c>
      <c r="B6" s="37" t="inlineStr">
        <is>
          <t>Stk</t>
        </is>
      </c>
      <c r="C6" s="38" t="n">
        <v>3087.82</v>
      </c>
    </row>
    <row r="7">
      <c r="A7" s="36" t="inlineStr">
        <is>
          <t>25 Meter x Kabel 32A</t>
        </is>
      </c>
      <c r="B7" s="37" t="inlineStr">
        <is>
          <t>Stk</t>
        </is>
      </c>
      <c r="C7" s="38" t="n">
        <v>6.85</v>
      </c>
    </row>
    <row r="8">
      <c r="A8" s="36" t="inlineStr">
        <is>
          <t>25 Meter x Kabel 63A</t>
        </is>
      </c>
      <c r="B8" s="37" t="inlineStr">
        <is>
          <t>Stk</t>
        </is>
      </c>
      <c r="C8" s="38" t="n">
        <v>9.460000000000001</v>
      </c>
    </row>
    <row r="9">
      <c r="A9" s="36" t="inlineStr">
        <is>
          <t>25 Meter x Kabel 125A</t>
        </is>
      </c>
      <c r="B9" s="37" t="inlineStr">
        <is>
          <t>Stk</t>
        </is>
      </c>
      <c r="C9" s="38" t="n">
        <v>12.57</v>
      </c>
    </row>
    <row r="10">
      <c r="A10" s="36" t="inlineStr">
        <is>
          <t>10 Meter x Einzeladerkabel 240mm² (Set A)</t>
        </is>
      </c>
      <c r="B10" s="37" t="inlineStr">
        <is>
          <t>Stk</t>
        </is>
      </c>
      <c r="C10" s="38" t="n">
        <v>4.483651</v>
      </c>
    </row>
    <row r="11">
      <c r="A11" s="36" t="inlineStr">
        <is>
          <t>10 Meter x Einzeladerkabel 240mm² (Set B)</t>
        </is>
      </c>
      <c r="B11" s="37" t="inlineStr">
        <is>
          <t>Stk</t>
        </is>
      </c>
      <c r="C11" s="38" t="n">
        <v>4.483438</v>
      </c>
    </row>
    <row r="12">
      <c r="A12" s="36" t="inlineStr">
        <is>
          <t>10 Meter x Einzeladerkabel 240mm²</t>
        </is>
      </c>
      <c r="B12" s="37" t="inlineStr">
        <is>
          <t>Stk</t>
        </is>
      </c>
      <c r="C12" s="38" t="n">
        <v>4.48</v>
      </c>
    </row>
    <row r="13">
      <c r="A13" s="36" t="inlineStr">
        <is>
          <t>Umweltschutzpauschale</t>
        </is>
      </c>
      <c r="B13" s="37" t="inlineStr">
        <is>
          <t>Psch</t>
        </is>
      </c>
      <c r="C13" s="38" t="n">
        <v>1085.57</v>
      </c>
    </row>
    <row r="14">
      <c r="A14" s="36" t="inlineStr">
        <is>
          <t>Befreiung von der Versicherungspflicht</t>
        </is>
      </c>
      <c r="B14" s="37" t="inlineStr">
        <is>
          <t>Psch</t>
        </is>
      </c>
      <c r="C14" s="38" t="n">
        <v>1860.98</v>
      </c>
    </row>
    <row r="15">
      <c r="A15" s="36" t="inlineStr">
        <is>
          <t>Lieferung / Abholung (pauschal)</t>
        </is>
      </c>
      <c r="B15" s="37" t="inlineStr">
        <is>
          <t>Psch</t>
        </is>
      </c>
      <c r="C15" s="38" t="n">
        <v>450</v>
      </c>
    </row>
    <row r="16">
      <c r="A16" s="36" t="inlineStr">
        <is>
          <t>Montage / Inbetriebnahme (pro Std.)</t>
        </is>
      </c>
      <c r="B16" s="37" t="inlineStr">
        <is>
          <t>Std</t>
        </is>
      </c>
      <c r="C16" s="38" t="n">
        <v>135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2026-06-18T09:17:20Z</dcterms:created>
  <dcterms:modified xsi:type="dcterms:W3CDTF">2026-06-18T09:17:20Z</dcterms:modified>
</cp:coreProperties>
</file>