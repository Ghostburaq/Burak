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fferte" sheetId="1" state="visible" r:id="rId1"/>
    <sheet name="Stammdaten" sheetId="2" state="visible" r:id="rId2"/>
    <sheet name="Artikel" sheetId="3" state="visible" r:id="rId3"/>
  </sheets>
  <definedNames>
    <definedName name="_xlnm.Print_Area" localSheetId="0">'Offerte'!$A$1:$G$44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'##0.00"/>
    <numFmt numFmtId="166" formatCode="yyyy-mm-dd"/>
    <numFmt numFmtId="167" formatCode="DD.MM.YYYY"/>
  </numFmts>
  <fonts count="14">
    <font>
      <name val="Calibri"/>
      <family val="2"/>
      <color theme="1"/>
      <sz val="11"/>
      <scheme val="minor"/>
    </font>
    <font>
      <name val="Calibri"/>
      <b val="1"/>
      <color rgb="001F2933"/>
    </font>
    <font>
      <name val="Calibri"/>
      <color rgb="001F2933"/>
    </font>
    <font>
      <name val="Calibri"/>
      <b val="1"/>
      <color rgb="00FFFFFF"/>
      <sz val="11"/>
    </font>
    <font>
      <name val="Calibri"/>
      <b val="1"/>
      <color rgb="00E2620A"/>
      <sz val="22"/>
    </font>
    <font>
      <name val="Calibri"/>
      <color rgb="001F2933"/>
      <sz val="10"/>
    </font>
    <font>
      <name val="Calibri"/>
      <color rgb="007B8794"/>
      <sz val="9"/>
    </font>
    <font>
      <name val="Calibri"/>
      <b val="1"/>
      <color rgb="007B8794"/>
      <sz val="9"/>
    </font>
    <font>
      <name val="Calibri"/>
      <b val="1"/>
      <color rgb="001F2933"/>
      <sz val="10"/>
    </font>
    <font>
      <name val="Calibri"/>
      <b val="1"/>
      <color rgb="001F2933"/>
      <sz val="13"/>
    </font>
    <font>
      <name val="Calibri"/>
      <b val="1"/>
      <color rgb="00FFFFFF"/>
      <sz val="10"/>
    </font>
    <font>
      <name val="Calibri"/>
      <b val="1"/>
      <color rgb="001F2933"/>
      <sz val="11"/>
    </font>
    <font>
      <name val="Calibri"/>
      <i val="1"/>
      <color rgb="007B8794"/>
      <sz val="8.5"/>
    </font>
    <font>
      <name val="Calibri"/>
      <color rgb="007B8794"/>
      <sz val="8"/>
    </font>
  </fonts>
  <fills count="6">
    <fill>
      <patternFill/>
    </fill>
    <fill>
      <patternFill patternType="gray125"/>
    </fill>
    <fill>
      <patternFill patternType="solid">
        <fgColor rgb="00E2620A"/>
      </patternFill>
    </fill>
    <fill>
      <patternFill patternType="solid">
        <fgColor rgb="001F2933"/>
      </patternFill>
    </fill>
    <fill>
      <patternFill patternType="solid">
        <fgColor rgb="00F4F6F8"/>
      </patternFill>
    </fill>
    <fill>
      <patternFill patternType="solid">
        <fgColor rgb="00FCEEE3"/>
      </patternFill>
    </fill>
  </fills>
  <borders count="6">
    <border>
      <left/>
      <right/>
      <top/>
      <bottom/>
      <diagonal/>
    </border>
    <border>
      <top style="thin">
        <color rgb="001F2933"/>
      </top>
      <bottom style="thin">
        <color rgb="001F2933"/>
      </bottom>
    </border>
    <border>
      <bottom style="thin">
        <color rgb="00CBD2D9"/>
      </bottom>
    </border>
    <border>
      <top style="thin">
        <color rgb="00E2620A"/>
      </top>
      <bottom style="thin">
        <color rgb="00E2620A"/>
      </bottom>
    </border>
    <border>
      <top style="thin">
        <color rgb="00CBD2D9"/>
      </top>
    </border>
    <border>
      <left/>
      <right/>
      <top style="thin">
        <color rgb="00CBD2D9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0" borderId="0" pivotButton="0" quotePrefix="0" xfId="0"/>
    <xf numFmtId="0" fontId="7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167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right" vertical="center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/>
    </xf>
    <xf numFmtId="165" fontId="5" fillId="4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8" fillId="5" borderId="3" applyAlignment="1" pivotButton="0" quotePrefix="0" xfId="0">
      <alignment horizontal="right" vertical="center"/>
    </xf>
    <xf numFmtId="0" fontId="0" fillId="5" borderId="3" pivotButton="0" quotePrefix="0" xfId="0"/>
    <xf numFmtId="165" fontId="11" fillId="5" borderId="3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top" wrapText="1"/>
    </xf>
    <xf numFmtId="0" fontId="13" fillId="0" borderId="4" applyAlignment="1" pivotButton="0" quotePrefix="0" xfId="0">
      <alignment horizontal="center" vertical="center"/>
    </xf>
    <xf numFmtId="0" fontId="0" fillId="0" borderId="5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/>
    </xf>
    <xf numFmtId="164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7.5" customWidth="1" min="2" max="2"/>
    <col width="40" customWidth="1" min="3" max="3"/>
    <col width="9" customWidth="1" min="4" max="4"/>
    <col width="14" customWidth="1" min="5" max="5"/>
    <col hidden="1" width="7" customWidth="1" min="6" max="6"/>
    <col width="15" customWidth="1" min="7" max="7"/>
    <col width="2" customWidth="1" min="8" max="8"/>
    <col hidden="1" width="16" customWidth="1" min="9" max="9"/>
  </cols>
  <sheetData>
    <row r="1" ht="30" customHeight="1">
      <c r="A1" s="1" t="inlineStr">
        <is>
          <t>MOBIL IN TIME</t>
        </is>
      </c>
      <c r="F1" s="2" t="inlineStr">
        <is>
          <t>IHR KONTAKT</t>
        </is>
      </c>
    </row>
    <row r="2">
      <c r="A2" s="3">
        <f>Stammdaten!$B$2</f>
        <v/>
      </c>
      <c r="F2" s="4">
        <f>Stammdaten!$B$12</f>
        <v/>
      </c>
    </row>
    <row r="3">
      <c r="A3" s="5">
        <f>Stammdaten!$B$3&amp;"  ·  "&amp;Stammdaten!$B$4</f>
        <v/>
      </c>
      <c r="F3" s="6">
        <f>"Tel. "&amp;Stammdaten!$B$13</f>
        <v/>
      </c>
    </row>
    <row r="4">
      <c r="A4" s="5">
        <f>"Tel. "&amp;Stammdaten!$B$5&amp;"  ·  "&amp;Stammdaten!$B$6&amp;"  ·  "&amp;Stammdaten!$B$7</f>
        <v/>
      </c>
      <c r="F4" s="6">
        <f>Stammdaten!$B$14</f>
        <v/>
      </c>
    </row>
    <row r="7">
      <c r="A7" s="7" t="inlineStr">
        <is>
          <t>KUNDE</t>
        </is>
      </c>
      <c r="F7" s="8" t="inlineStr">
        <is>
          <t>OFFERTE</t>
        </is>
      </c>
    </row>
    <row r="8">
      <c r="A8" s="9" t="inlineStr">
        <is>
          <t>Herr Mustermann</t>
        </is>
      </c>
      <c r="F8" s="2" t="inlineStr">
        <is>
          <t>Offerte-Nr.</t>
        </is>
      </c>
      <c r="G8" s="10" t="inlineStr">
        <is>
          <t>RP-95-20260618</t>
        </is>
      </c>
    </row>
    <row r="9">
      <c r="A9" s="3" t="inlineStr">
        <is>
          <t>Musterfirma AG</t>
        </is>
      </c>
      <c r="F9" s="2" t="inlineStr">
        <is>
          <t>Datum</t>
        </is>
      </c>
      <c r="G9" s="11" t="n">
        <v>46191</v>
      </c>
    </row>
    <row r="10">
      <c r="A10" s="5" t="inlineStr">
        <is>
          <t>Musterstrasse 1, 8000 Zürich</t>
        </is>
      </c>
      <c r="F10" s="2" t="inlineStr">
        <is>
          <t>Version</t>
        </is>
      </c>
      <c r="G10" s="10" t="inlineStr">
        <is>
          <t>95mm² / Kabelpreise pro 100 m</t>
        </is>
      </c>
    </row>
    <row r="11">
      <c r="A11" s="5" t="inlineStr"/>
      <c r="F11" s="2" t="inlineStr">
        <is>
          <t>Gültigkeit</t>
        </is>
      </c>
      <c r="G11" s="10" t="inlineStr">
        <is>
          <t>30 Tage</t>
        </is>
      </c>
    </row>
    <row r="14">
      <c r="A14" s="3">
        <f>"Sehr geehrte"&amp;IF(LEFT(A8,4)="Frau"," Frau ",IF(LEFT(A8,4)="Herr","r Herr "," Damen und Herren"))&amp;IF(OR(LEFT(A8,4)="Frau",LEFT(A8,4)="Herr"),MID(A8,FIND(" ",A8&amp;" ",FIND(" ",A8&amp;" ")+1)+1,99),"")</f>
        <v/>
      </c>
    </row>
    <row r="15" ht="16" customHeight="1">
      <c r="A15" s="12">
        <f>SUBSTITUTE(Stammdaten!$B$22,"{AGB}",Stammdaten!$B$9)</f>
        <v/>
      </c>
    </row>
    <row r="16" ht="16" customHeight="1"/>
    <row r="17" ht="16" customHeight="1"/>
    <row r="19">
      <c r="A19" s="9" t="inlineStr">
        <is>
          <t>Preisaufstellung – Version 95mm² (Kabelpreise pro 100 m)</t>
        </is>
      </c>
    </row>
    <row r="21" ht="20" customHeight="1">
      <c r="A21" s="13" t="inlineStr">
        <is>
          <t>Pos</t>
        </is>
      </c>
      <c r="B21" s="13" t="inlineStr">
        <is>
          <t>Menge</t>
        </is>
      </c>
      <c r="C21" s="14" t="inlineStr">
        <is>
          <t>Beschreibung</t>
        </is>
      </c>
      <c r="D21" s="13" t="inlineStr">
        <is>
          <t>Einheit</t>
        </is>
      </c>
      <c r="E21" s="15" t="inlineStr">
        <is>
          <t>Einzelpreis</t>
        </is>
      </c>
      <c r="F21" s="13" t="inlineStr"/>
      <c r="G21" s="15" t="inlineStr">
        <is>
          <t>Total</t>
        </is>
      </c>
    </row>
    <row r="22">
      <c r="A22" s="16">
        <f>IF(C22="","",COUNTA($C$22:C22))</f>
        <v/>
      </c>
      <c r="B22" s="16" t="n">
        <v>12</v>
      </c>
      <c r="C22" s="17" t="inlineStr">
        <is>
          <t>71984 · CB 24-630/95-300 Steckendverschluss Typ C</t>
        </is>
      </c>
      <c r="D22" s="16" t="inlineStr">
        <is>
          <t>Stk</t>
        </is>
      </c>
      <c r="E22" s="18" t="n">
        <v>304.46</v>
      </c>
      <c r="F22" s="16" t="n">
        <v>1</v>
      </c>
      <c r="G22" s="18">
        <f>IF($C22="","",N($B22)*N($E22)*N($F22))</f>
        <v/>
      </c>
      <c r="I22" s="19">
        <f>IFERROR(VLOOKUP(C22,Artikel!$A$2:$C$5,3,FALSE),"")</f>
        <v/>
      </c>
    </row>
    <row r="23">
      <c r="A23" s="20">
        <f>IF(C23="","",COUNTA($C$22:C23))</f>
        <v/>
      </c>
      <c r="B23" s="20" t="n">
        <v>3</v>
      </c>
      <c r="C23" s="21" t="inlineStr">
        <is>
          <t>73643 · XKDT 1-Leiter MS-Polymerkabel 95/25 20/12kV, 6 x 50m</t>
        </is>
      </c>
      <c r="D23" s="20" t="inlineStr">
        <is>
          <t>Set</t>
        </is>
      </c>
      <c r="E23" s="22" t="n">
        <v>2780.31</v>
      </c>
      <c r="F23" s="20" t="n">
        <v>1</v>
      </c>
      <c r="G23" s="22">
        <f>IF($C23="","",N($B23)*N($E23)*N($F23))</f>
        <v/>
      </c>
      <c r="I23" s="19">
        <f>IFERROR(VLOOKUP(C23,Artikel!$A$2:$C$5,3,FALSE),"")</f>
        <v/>
      </c>
    </row>
    <row r="24">
      <c r="A24" s="16">
        <f>IF(C24="","",COUNTA($C$22:C24))</f>
        <v/>
      </c>
      <c r="B24" s="16" t="n">
        <v>12</v>
      </c>
      <c r="C24" s="17" t="inlineStr">
        <is>
          <t>Regie Arbeit</t>
        </is>
      </c>
      <c r="D24" s="16" t="inlineStr">
        <is>
          <t>Std</t>
        </is>
      </c>
      <c r="E24" s="18" t="n">
        <v>208</v>
      </c>
      <c r="F24" s="16" t="n">
        <v>1</v>
      </c>
      <c r="G24" s="18">
        <f>IF($C24="","",N($B24)*N($E24)*N($F24))</f>
        <v/>
      </c>
      <c r="I24" s="19">
        <f>IFERROR(VLOOKUP(C24,Artikel!$A$2:$C$5,3,FALSE),"")</f>
        <v/>
      </c>
    </row>
    <row r="25">
      <c r="A25" s="20">
        <f>IF(C25="","",COUNTA($C$22:C25))</f>
        <v/>
      </c>
      <c r="B25" s="20" t="n"/>
      <c r="C25" s="21" t="n"/>
      <c r="D25" s="20">
        <f>IFERROR(VLOOKUP(C25,Artikel!$A$2:$C$5,2,FALSE),"")</f>
        <v/>
      </c>
      <c r="E25" s="22">
        <f>IFERROR(VLOOKUP(C25,Artikel!$A$2:$C$5,3,FALSE),"")</f>
        <v/>
      </c>
      <c r="F25" s="20">
        <f>IF(C25="","",1)</f>
        <v/>
      </c>
      <c r="G25" s="22">
        <f>IF($C25="","",N($B25)*N($E25)*N($F25))</f>
        <v/>
      </c>
      <c r="I25" s="19">
        <f>IFERROR(VLOOKUP(C25,Artikel!$A$2:$C$5,3,FALSE),"")</f>
        <v/>
      </c>
    </row>
    <row r="26">
      <c r="A26" s="16">
        <f>IF(C26="","",COUNTA($C$22:C26))</f>
        <v/>
      </c>
      <c r="B26" s="16" t="n"/>
      <c r="C26" s="17" t="n"/>
      <c r="D26" s="16">
        <f>IFERROR(VLOOKUP(C26,Artikel!$A$2:$C$5,2,FALSE),"")</f>
        <v/>
      </c>
      <c r="E26" s="18">
        <f>IFERROR(VLOOKUP(C26,Artikel!$A$2:$C$5,3,FALSE),"")</f>
        <v/>
      </c>
      <c r="F26" s="16">
        <f>IF(C26="","",1)</f>
        <v/>
      </c>
      <c r="G26" s="18">
        <f>IF($C26="","",N($B26)*N($E26)*N($F26))</f>
        <v/>
      </c>
      <c r="I26" s="19">
        <f>IFERROR(VLOOKUP(C26,Artikel!$A$2:$C$5,3,FALSE),"")</f>
        <v/>
      </c>
    </row>
    <row r="27">
      <c r="A27" s="20">
        <f>IF(C27="","",COUNTA($C$22:C27))</f>
        <v/>
      </c>
      <c r="B27" s="20" t="n"/>
      <c r="C27" s="21" t="n"/>
      <c r="D27" s="20">
        <f>IFERROR(VLOOKUP(C27,Artikel!$A$2:$C$5,2,FALSE),"")</f>
        <v/>
      </c>
      <c r="E27" s="22">
        <f>IFERROR(VLOOKUP(C27,Artikel!$A$2:$C$5,3,FALSE),"")</f>
        <v/>
      </c>
      <c r="F27" s="20">
        <f>IF(C27="","",1)</f>
        <v/>
      </c>
      <c r="G27" s="22">
        <f>IF($C27="","",N($B27)*N($E27)*N($F27))</f>
        <v/>
      </c>
      <c r="I27" s="19">
        <f>IFERROR(VLOOKUP(C27,Artikel!$A$2:$C$5,3,FALSE),"")</f>
        <v/>
      </c>
    </row>
    <row r="28">
      <c r="A28" s="16">
        <f>IF(C28="","",COUNTA($C$22:C28))</f>
        <v/>
      </c>
      <c r="B28" s="16" t="n"/>
      <c r="C28" s="17" t="n"/>
      <c r="D28" s="16">
        <f>IFERROR(VLOOKUP(C28,Artikel!$A$2:$C$5,2,FALSE),"")</f>
        <v/>
      </c>
      <c r="E28" s="18">
        <f>IFERROR(VLOOKUP(C28,Artikel!$A$2:$C$5,3,FALSE),"")</f>
        <v/>
      </c>
      <c r="F28" s="16">
        <f>IF(C28="","",1)</f>
        <v/>
      </c>
      <c r="G28" s="18">
        <f>IF($C28="","",N($B28)*N($E28)*N($F28))</f>
        <v/>
      </c>
      <c r="I28" s="19">
        <f>IFERROR(VLOOKUP(C28,Artikel!$A$2:$C$5,3,FALSE),"")</f>
        <v/>
      </c>
    </row>
    <row r="29">
      <c r="A29" s="20">
        <f>IF(C29="","",COUNTA($C$22:C29))</f>
        <v/>
      </c>
      <c r="B29" s="20" t="n"/>
      <c r="C29" s="21" t="n"/>
      <c r="D29" s="20">
        <f>IFERROR(VLOOKUP(C29,Artikel!$A$2:$C$5,2,FALSE),"")</f>
        <v/>
      </c>
      <c r="E29" s="22">
        <f>IFERROR(VLOOKUP(C29,Artikel!$A$2:$C$5,3,FALSE),"")</f>
        <v/>
      </c>
      <c r="F29" s="20">
        <f>IF(C29="","",1)</f>
        <v/>
      </c>
      <c r="G29" s="22">
        <f>IF($C29="","",N($B29)*N($E29)*N($F29))</f>
        <v/>
      </c>
      <c r="I29" s="19">
        <f>IFERROR(VLOOKUP(C29,Artikel!$A$2:$C$5,3,FALSE),"")</f>
        <v/>
      </c>
    </row>
    <row r="30">
      <c r="A30" s="16">
        <f>IF(C30="","",COUNTA($C$22:C30))</f>
        <v/>
      </c>
      <c r="B30" s="16" t="n"/>
      <c r="C30" s="17" t="n"/>
      <c r="D30" s="16">
        <f>IFERROR(VLOOKUP(C30,Artikel!$A$2:$C$5,2,FALSE),"")</f>
        <v/>
      </c>
      <c r="E30" s="18">
        <f>IFERROR(VLOOKUP(C30,Artikel!$A$2:$C$5,3,FALSE),"")</f>
        <v/>
      </c>
      <c r="F30" s="16">
        <f>IF(C30="","",1)</f>
        <v/>
      </c>
      <c r="G30" s="18">
        <f>IF($C30="","",N($B30)*N($E30)*N($F30))</f>
        <v/>
      </c>
      <c r="I30" s="19">
        <f>IFERROR(VLOOKUP(C30,Artikel!$A$2:$C$5,3,FALSE),"")</f>
        <v/>
      </c>
    </row>
    <row r="31">
      <c r="A31" s="4" t="inlineStr">
        <is>
          <t>Zwischentotal (GESAMT)</t>
        </is>
      </c>
      <c r="G31" s="23">
        <f>SUM(G22:G30)</f>
        <v/>
      </c>
    </row>
    <row r="32">
      <c r="A32" s="10">
        <f>"Rabatt  "&amp;TEXT(Stammdaten!$B$17,"0.0%")</f>
        <v/>
      </c>
      <c r="G32" s="24">
        <f>-ROUND(G31*Stammdaten!$B$17,2)</f>
        <v/>
      </c>
    </row>
    <row r="33">
      <c r="A33" s="4" t="inlineStr">
        <is>
          <t>Total nach Rabatt</t>
        </is>
      </c>
      <c r="G33" s="23">
        <f>G31+G32</f>
        <v/>
      </c>
    </row>
    <row r="34">
      <c r="A34" s="10">
        <f>"MwSt  "&amp;TEXT(Stammdaten!$B$18,"0.0%")</f>
        <v/>
      </c>
      <c r="G34" s="24">
        <f>ROUND(G33*Stammdaten!$B$18,2)</f>
        <v/>
      </c>
    </row>
    <row r="35" ht="22" customHeight="1">
      <c r="A35" s="25" t="inlineStr">
        <is>
          <t>Endbetrag</t>
        </is>
      </c>
      <c r="B35" s="26" t="n"/>
      <c r="C35" s="26" t="n"/>
      <c r="D35" s="26" t="n"/>
      <c r="E35" s="26" t="n"/>
      <c r="F35" s="26" t="n"/>
      <c r="G35" s="27">
        <f>G33+G34</f>
        <v/>
      </c>
    </row>
    <row r="37">
      <c r="A37" s="28">
        <f>"Anmerkung: "&amp;Stammdaten!$B$24</f>
        <v/>
      </c>
    </row>
    <row r="38"/>
    <row r="39"/>
    <row r="41">
      <c r="A41" s="3">
        <f>Stammdaten!$B$23</f>
        <v/>
      </c>
    </row>
    <row r="42">
      <c r="A42" s="9">
        <f>Stammdaten!$B$12</f>
        <v/>
      </c>
    </row>
    <row r="44">
      <c r="A44" s="29">
        <f>Stammdaten!$B$2&amp;" · "&amp;Stammdaten!$B$3&amp;" · "&amp;Stammdaten!$B$4&amp;" · "&amp;Stammdaten!$B$5&amp;" · "&amp;Stammdaten!$B$7&amp;"   |   "&amp;Stammdaten!$B$8</f>
        <v/>
      </c>
      <c r="B44" s="30" t="n"/>
      <c r="C44" s="30" t="n"/>
      <c r="D44" s="30" t="n"/>
      <c r="E44" s="30" t="n"/>
      <c r="F44" s="30" t="n"/>
      <c r="G44" s="30" t="n"/>
    </row>
  </sheetData>
  <mergeCells count="26">
    <mergeCell ref="F4:G4"/>
    <mergeCell ref="A14:G14"/>
    <mergeCell ref="A4:D4"/>
    <mergeCell ref="A19:G19"/>
    <mergeCell ref="F7:G7"/>
    <mergeCell ref="F3:G3"/>
    <mergeCell ref="A33:F33"/>
    <mergeCell ref="A44:G44"/>
    <mergeCell ref="A8:C8"/>
    <mergeCell ref="A32:F32"/>
    <mergeCell ref="A35:F35"/>
    <mergeCell ref="A15:G17"/>
    <mergeCell ref="A10:C10"/>
    <mergeCell ref="A1:D1"/>
    <mergeCell ref="F2:G2"/>
    <mergeCell ref="A31:F31"/>
    <mergeCell ref="A9:C9"/>
    <mergeCell ref="A34:F34"/>
    <mergeCell ref="A41:G41"/>
    <mergeCell ref="A11:C11"/>
    <mergeCell ref="A3:D3"/>
    <mergeCell ref="A2:D2"/>
    <mergeCell ref="A37:G39"/>
    <mergeCell ref="A7:C7"/>
    <mergeCell ref="F1:G1"/>
    <mergeCell ref="A42:G42"/>
  </mergeCells>
  <dataValidations count="1">
    <dataValidation sqref="C22:C30" showDropDown="0" showInputMessage="0" showErrorMessage="0" allowBlank="1" error="Bitte aus der Artikelliste wählen oder eigenen Text eintippen." promptTitle="Beschreibung" prompt="Artikel wählen (oder frei eingeben)" type="list" errorStyle="warning">
      <formula1>=Artikel!$A$2:$A$5</formula1>
    </dataValidation>
  </dataValidations>
  <printOptions horizontalCentered="1"/>
  <pageMargins left="0.5" right="0.5" top="0.6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31" t="inlineStr">
        <is>
          <t>FIRMA (Absender)</t>
        </is>
      </c>
      <c r="B1" s="32" t="inlineStr"/>
    </row>
    <row r="2">
      <c r="A2" s="31" t="inlineStr">
        <is>
          <t>Firmenname</t>
        </is>
      </c>
      <c r="B2" s="32" t="inlineStr">
        <is>
          <t>Mobil in Time AG</t>
        </is>
      </c>
    </row>
    <row r="3">
      <c r="A3" s="31" t="inlineStr">
        <is>
          <t>Strasse</t>
        </is>
      </c>
      <c r="B3" s="32" t="inlineStr">
        <is>
          <t>Mattenstrasse 3</t>
        </is>
      </c>
    </row>
    <row r="4">
      <c r="A4" s="31" t="inlineStr">
        <is>
          <t>PLZ / Ort</t>
        </is>
      </c>
      <c r="B4" s="32" t="inlineStr">
        <is>
          <t>8253 Diessenhofen</t>
        </is>
      </c>
    </row>
    <row r="5">
      <c r="A5" s="31" t="inlineStr">
        <is>
          <t>Telefon</t>
        </is>
      </c>
      <c r="B5" s="32" t="inlineStr">
        <is>
          <t>+41 44 806 13 00</t>
        </is>
      </c>
    </row>
    <row r="6">
      <c r="A6" s="31" t="inlineStr">
        <is>
          <t>E-Mail</t>
        </is>
      </c>
      <c r="B6" s="32" t="inlineStr">
        <is>
          <t>info@mobilintime.com</t>
        </is>
      </c>
    </row>
    <row r="7">
      <c r="A7" s="31" t="inlineStr">
        <is>
          <t>Web</t>
        </is>
      </c>
      <c r="B7" s="32" t="inlineStr">
        <is>
          <t>www.mobilintime.com</t>
        </is>
      </c>
    </row>
    <row r="8">
      <c r="A8" s="31" t="inlineStr">
        <is>
          <t>Zusatz</t>
        </is>
      </c>
      <c r="B8" s="32" t="inlineStr">
        <is>
          <t>Ein Unternehmen der Mobil in Time Gruppe</t>
        </is>
      </c>
    </row>
    <row r="9">
      <c r="A9" s="31" t="inlineStr">
        <is>
          <t>AGB-Hinweis (URL)</t>
        </is>
      </c>
      <c r="B9" s="32" t="inlineStr">
        <is>
          <t>www.mobilintime.com</t>
        </is>
      </c>
    </row>
    <row r="10">
      <c r="A10" s="31" t="inlineStr"/>
      <c r="B10" s="32" t="inlineStr"/>
    </row>
    <row r="11">
      <c r="A11" s="33" t="inlineStr">
        <is>
          <t>SACHBEARBEITER</t>
        </is>
      </c>
    </row>
    <row r="12">
      <c r="A12" s="31" t="inlineStr">
        <is>
          <t>Name</t>
        </is>
      </c>
      <c r="B12" s="32" t="inlineStr">
        <is>
          <t>Burak Ücöz</t>
        </is>
      </c>
    </row>
    <row r="13">
      <c r="A13" s="31" t="inlineStr">
        <is>
          <t>Telefon</t>
        </is>
      </c>
      <c r="B13" s="32" t="inlineStr">
        <is>
          <t>+41 76 202 01 70</t>
        </is>
      </c>
    </row>
    <row r="14">
      <c r="A14" s="31" t="inlineStr">
        <is>
          <t>E-Mail</t>
        </is>
      </c>
      <c r="B14" s="32" t="inlineStr">
        <is>
          <t>uecoez@mobilintime.com</t>
        </is>
      </c>
    </row>
    <row r="15">
      <c r="A15" s="31" t="inlineStr"/>
      <c r="B15" s="32" t="inlineStr"/>
    </row>
    <row r="16">
      <c r="A16" s="33" t="inlineStr">
        <is>
          <t>STANDARDWERTE</t>
        </is>
      </c>
    </row>
    <row r="17">
      <c r="A17" s="31" t="inlineStr">
        <is>
          <t>Rabatt (%)</t>
        </is>
      </c>
      <c r="B17" s="34" t="n">
        <v>0</v>
      </c>
    </row>
    <row r="18">
      <c r="A18" s="31" t="inlineStr">
        <is>
          <t>MwSt (%)</t>
        </is>
      </c>
      <c r="B18" s="34" t="n">
        <v>0</v>
      </c>
    </row>
    <row r="19">
      <c r="A19" s="31" t="inlineStr">
        <is>
          <t>Währung</t>
        </is>
      </c>
      <c r="B19" s="32" t="inlineStr">
        <is>
          <t>CHF</t>
        </is>
      </c>
    </row>
    <row r="20">
      <c r="A20" s="31" t="inlineStr"/>
      <c r="B20" s="32" t="inlineStr"/>
    </row>
    <row r="21">
      <c r="A21" s="33" t="inlineStr">
        <is>
          <t>TEXTBAUSTEINE</t>
        </is>
      </c>
    </row>
    <row r="22">
      <c r="A22" s="31" t="inlineStr">
        <is>
          <t>Einleitung</t>
        </is>
      </c>
      <c r="B22" s="32" t="inlineStr">
        <is>
          <t>Wir bedanken uns für Ihr Interesse an einer Zusammenarbeit mit uns. Gemäss unseren Allgemeinen Geschäftsbedingungen, einsehbar auf {AGB}, unterbreiten wir Ihnen für die 95mm²-Kabelausrüstung folgendes Richtpreisangebot (Preise pro 100 m).</t>
        </is>
      </c>
    </row>
    <row r="23">
      <c r="A23" s="31" t="inlineStr">
        <is>
          <t>Grussformel</t>
        </is>
      </c>
      <c r="B23" s="32" t="inlineStr">
        <is>
          <t>Mit freundlichen Grüssen</t>
        </is>
      </c>
    </row>
    <row r="24">
      <c r="A24" s="31" t="inlineStr">
        <is>
          <t>Anmerkung</t>
        </is>
      </c>
      <c r="B24" s="32" t="inlineStr">
        <is>
          <t>Nicht im Angebot enthalten sind Verlegung, Transport, Briden und Montage. Regie-Arbeit erfolgt gemäss Aufwand. Richtpreise, freibleibend.</t>
        </is>
      </c>
    </row>
  </sheetData>
  <mergeCells count="3">
    <mergeCell ref="A16:B16"/>
    <mergeCell ref="A21:B21"/>
    <mergeCell ref="A11:B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0" customWidth="1" min="2" max="2"/>
    <col width="18" customWidth="1" min="3" max="3"/>
  </cols>
  <sheetData>
    <row r="1">
      <c r="A1" s="35" t="inlineStr">
        <is>
          <t>Beschreibung</t>
        </is>
      </c>
      <c r="B1" s="35" t="inlineStr">
        <is>
          <t>Einheit</t>
        </is>
      </c>
      <c r="C1" s="35" t="inlineStr">
        <is>
          <t>Einzelpreis (CHF)</t>
        </is>
      </c>
    </row>
    <row r="2">
      <c r="A2" s="36" t="inlineStr">
        <is>
          <t>71984 · CB 24-630/95-300 Steckendverschluss Typ C</t>
        </is>
      </c>
      <c r="B2" s="37" t="inlineStr">
        <is>
          <t>Stk</t>
        </is>
      </c>
      <c r="C2" s="38" t="n">
        <v>304.46</v>
      </c>
    </row>
    <row r="3">
      <c r="A3" s="36" t="inlineStr">
        <is>
          <t>73643 · XKDT 1-Leiter MS-Polymerkabel 95/25 20/12kV, 6 x 50m</t>
        </is>
      </c>
      <c r="B3" s="37" t="inlineStr">
        <is>
          <t>Set</t>
        </is>
      </c>
      <c r="C3" s="38" t="n">
        <v>2780.31</v>
      </c>
    </row>
    <row r="4">
      <c r="A4" s="36" t="inlineStr">
        <is>
          <t>73644 · XKDT 1-Leiter MS-Polymerkabel 150/35 20/12kV, 6 x 50m</t>
        </is>
      </c>
      <c r="B4" s="37" t="inlineStr">
        <is>
          <t>Set</t>
        </is>
      </c>
      <c r="C4" s="38" t="n">
        <v>3654.65</v>
      </c>
    </row>
    <row r="5">
      <c r="A5" s="36" t="inlineStr">
        <is>
          <t>Regie Arbeit</t>
        </is>
      </c>
      <c r="B5" s="37" t="inlineStr">
        <is>
          <t>Std</t>
        </is>
      </c>
      <c r="C5" s="38" t="n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2026-06-18T09:33:28Z</dcterms:created>
  <dcterms:modified xsi:type="dcterms:W3CDTF">2026-06-18T09:33:28Z</dcterms:modified>
</cp:coreProperties>
</file>