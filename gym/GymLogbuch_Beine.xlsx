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Einheiten" sheetId="3" state="visible" r:id="rId5"/>
    <sheet name="Log" sheetId="4" state="visible" r:id="rId6"/>
    <sheet name="Auswertung" sheetId="5" state="visible" r:id="rId7"/>
    <sheet name="Progression" sheetId="6" state="visible" r:id="rId8"/>
    <sheet name="Rekorde" sheetId="7" state="visible" r:id="rId9"/>
    <sheet name="Trainingsblatt" sheetId="8" state="visible" r:id="rId10"/>
    <sheet name="Übungen" sheetId="9" state="visible" r:id="rId11"/>
  </sheets>
  <definedNames>
    <definedName function="false" hidden="false" localSheetId="4" name="_xlnm.Print_Area" vbProcedure="false">Auswertung!$A$1:$R$56</definedName>
    <definedName function="false" hidden="false" localSheetId="4" name="_xlnm.Print_Titles" vbProcedure="false">Auswertung!$1:$2</definedName>
    <definedName function="false" hidden="false" localSheetId="1" name="_xlnm.Print_Area" vbProcedure="false">Dashboard!$A$1:$J$53</definedName>
    <definedName function="false" hidden="false" localSheetId="2" name="_xlnm.Print_Area" vbProcedure="false">Einheiten!$A$1:$K$30</definedName>
    <definedName function="false" hidden="false" localSheetId="2" name="_xlnm.Print_Titles" vbProcedure="false">Einheiten!$1:$3</definedName>
    <definedName function="false" hidden="false" localSheetId="3" name="_xlnm.Print_Area" vbProcedure="false">Log!$A$1:$L$162</definedName>
    <definedName function="false" hidden="false" localSheetId="3" name="_xlnm.Print_Titles" vbProcedure="false">Log!$1:$3</definedName>
    <definedName function="false" hidden="true" localSheetId="3" name="_xlnm._FilterDatabase" vbProcedure="false">Log!$A$3:$L$503</definedName>
    <definedName function="false" hidden="false" localSheetId="5" name="_xlnm.Print_Area" vbProcedure="false">Progression!$A$1:$K$19</definedName>
    <definedName function="false" hidden="false" localSheetId="5" name="_xlnm.Print_Titles" vbProcedure="false">Progression!$1:$3</definedName>
    <definedName function="false" hidden="false" localSheetId="6" name="_xlnm.Print_Area" vbProcedure="false">Rekorde!$A$1:$N$19</definedName>
    <definedName function="false" hidden="false" localSheetId="6" name="_xlnm.Print_Titles" vbProcedure="false">Rekorde!$1:$3</definedName>
    <definedName function="false" hidden="false" localSheetId="0" name="_xlnm.Print_Area" vbProcedure="false">Start!$B$1:$E$41</definedName>
    <definedName function="false" hidden="false" localSheetId="7" name="_xlnm.Print_Area" vbProcedure="false">Trainingsblatt!$A$1:$H$98</definedName>
    <definedName function="false" hidden="false" localSheetId="8" name="_xlnm.Print_Area" vbProcedure="false">Übungen!$A$1:$J$19</definedName>
    <definedName function="false" hidden="false" localSheetId="8" name="_xlnm.Print_Titles" vbProcedure="false">Übungen!$1:$3</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<sst xmlns="http://schemas.openxmlformats.org/spreadsheetml/2006/main" count="636" uniqueCount="212">
  <si>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</si>
  <si>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</si>
  <si>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</si>
  <si>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</si>
  <si>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</si>
  <si>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</si>
  <si>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</si>
  <si>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</si>
  <si>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</si>
  <si>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</si>
  <si>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</si>
  <si>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</si>
  <si>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</si>
  <si>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einen Zielvorschlag inklusive Aufwärm-Rampe und leere Felder zum Eintragen mit Stift. Enthält die neun Übungen des Plans - für spontane Zusatzübungen sind die Notizzeilen am Seitenende da.</t>
  </si>
  <si>
    <t xml:space="preserve">Blatt 'Auswertung'</t>
  </si>
  <si>
    <t xml:space="preserve">Volumen, Top-Gewicht und bester e1RM je Übung und Einheit. Drei Tabellen, jede auf einer eigenen Druckseite.</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</si>
  <si>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</si>
  <si>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</si>
  <si>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</si>
  <si>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</si>
  <si>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</si>
  <si>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</si>
  <si>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</si>
  <si>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</si>
  <si>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</si>
  <si>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</si>
  <si>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</si>
  <si>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</si>
  <si>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</si>
  <si>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</si>
  <si>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</si>
  <si>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</si>
  <si>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</si>
  <si>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</si>
  <si>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</si>
  <si>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</si>
  <si>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</si>
  <si>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</si>
  <si>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</si>
  <si>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</si>
  <si>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</si>
  <si>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</si>
  <si>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</si>
  <si>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</si>
  <si>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</si>
  <si>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</si>
  <si>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</si>
  <si>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</si>
  <si>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</si>
  <si>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</si>
  <si>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</si>
  <si>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</si>
  <si>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</si>
  <si>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</si>
  <si>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</si>
  <si>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</si>
  <si>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Stackende Adduktion</t>
  </si>
  <si>
    <t xml:space="preserve">152.5 kg ist das Ende des Steckgewichts. Im Blatt 'Übungen' als 'Max (kg)' hinterlegt, damit der Zielvorschlag dort stehen bleibt statt eine Last zu fordern, die die Maschine nicht hergibt. Weitersteigern über Tempo und Pausen.</t>
  </si>
  <si>
    <t xml:space="preserve">Startgewichte fehlen</t>
  </si>
  <si>
    <t xml:space="preserve">Hackenschmidt-Kniebeuge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</si>
  <si>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</si>
  <si>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</si>
  <si>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</si>
  <si>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</si>
  <si>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</si>
  <si>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</si>
  <si>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</si>
  <si>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</si>
  <si>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</si>
  <si>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</si>
  <si>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</si>
  <si>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</si>
  <si>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</si>
  <si>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</si>
  <si>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</si>
  <si>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</si>
  <si>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</si>
  <si>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</si>
  <si>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</si>
  <si>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</si>
  <si>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</si>
  <si>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</si>
  <si>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</si>
  <si>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Notiz</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</si>
  <si>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</si>
  <si>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</si>
  <si>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</si>
  <si>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</si>
  <si>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</si>
  <si>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Übung</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</si>
  <si>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</si>
  <si>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</si>
  <si>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</si>
  <si>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</si>
  <si>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</si>
  <si>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</si>
  <si>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</si>
  <si>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</si>
  <si>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</si>
  <si>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</si>
  <si>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</si>
  <si>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</si>
  <si>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</si>
  <si>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</si>
  <si>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</si>
  <si>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</si>
  <si>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</si>
  <si>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</si>
  <si>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</si>
  <si>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</si>
  <si>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</si>
  <si>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</si>
  <si>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</si>
  <si>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</si>
  <si>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</si>
  <si>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</si>
  <si>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</si>
  <si>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</si>
  <si>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</si>
  <si>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</si>
  <si>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</si>
  <si>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</si>
  <si>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</si>
  <si>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</si>
  <si>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</si>
  <si>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AUSWERTUNG  |  JE ÜBUNG UND EINHEIT</t>
  </si>
  <si>
    <t xml:space="preserve">Nur Arbeitssätze (A). Leere Zelle = Übung in dieser Einheit nicht trainiert. Drei Tabellen, je eine Druckseite.</t>
  </si>
  <si>
    <t xml:space="preserve">1  Arbeitsvolumen (kg)  ·  Gewicht × Wdh, nur Arbeitssätze</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</si>
  <si>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</si>
  <si>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</si>
  <si>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</si>
  <si>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</si>
  <si>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</si>
  <si>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</si>
  <si>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</si>
  <si>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</si>
  <si>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</si>
  <si>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</si>
  <si>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</si>
  <si>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</si>
  <si>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</si>
  <si>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</si>
  <si>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</si>
  <si>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Lesehilfe: Volumen schwankt mit der Wiederholungszahl. Fallendes Volumen bei steigendem Top-Gewicht ist kein Rückschritt, sondern eine Verschiebung Richtung Kraft. Schwelle für steigend / fallend: 5 Prozent.</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</si>
  <si>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</si>
  <si>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</si>
  <si>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</si>
  <si>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</si>
  <si>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</si>
  <si>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</si>
  <si>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</si>
  <si>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</si>
  <si>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Wdh
dazu</t>
  </si>
  <si>
    <t xml:space="preserve">Nächstes
Ziel (kg)</t>
  </si>
  <si>
    <t xml:space="preserve">Nächstes Ziel = letztes Top-Gewicht plus 2.5 Prozent, gerundet auf 0.5 kg, begrenzt durch 'Max (kg)' aus dem Blatt 'Übungen'. Ohne Historie greift stattdessen das Startgewicht. Richtwert, keine Vorgabe - an Maschinen bestimmt die Steckplatte den Sprung.   ·   Graue, kursive Zeilen sind archivierte Übungen: nicht mehr im Plan, Historie bleibt.</t>
  </si>
  <si>
    <t xml:space="preserve">TRAININGSBLATT  |  BEINE VORNE</t>
  </si>
  <si>
    <t xml:space="preserve">Einheit Nr.</t>
  </si>
  <si>
    <t xml:space="preserve">Körpergewicht</t>
  </si>
  <si>
    <t xml:space="preserve">Start / Ende</t>
  </si>
  <si>
    <t xml:space="preserve">Schlaf (h)</t>
  </si>
  <si>
    <t xml:space="preserve">#</t>
  </si>
  <si>
    <t xml:space="preserve">Typ</t>
  </si>
  <si>
    <t xml:space="preserve">Plan (kg)</t>
  </si>
  <si>
    <t xml:space="preserve">Gewicht (kg)</t>
  </si>
  <si>
    <t xml:space="preserve">OK</t>
  </si>
  <si>
    <t xml:space="preserve">Notizen zur Einheit</t>
  </si>
  <si>
    <t xml:space="preserve">TRAININGSBLATT  |  BEINE HINTEN</t>
  </si>
  <si>
    <t xml:space="preserve">ÜBUNGEN  |  STAMMDATEN UND PLANVORGABEN</t>
  </si>
  <si>
    <t xml:space="preserve">Neue Übung hier ergänzen - Dropdowns, Trainingsblatt und Auswertungen ziehen automatisch nach. Aktiv = nein heisst Archiv: die Übung verschwindet aus der Planung, ihre Historie bleibt in Log und Auswertung erhalten.</t>
  </si>
  <si>
    <t xml:space="preserve">Gerät / Variante</t>
  </si>
  <si>
    <t xml:space="preserve">Ziel-Wdh</t>
  </si>
  <si>
    <t xml:space="preserve">Ziel-
Sätze</t>
  </si>
  <si>
    <t xml:space="preserve">Ziel-
RPE</t>
  </si>
  <si>
    <t xml:space="preserve">Start (kg)</t>
  </si>
  <si>
    <t xml:space="preserve">Max (kg)</t>
  </si>
  <si>
    <t xml:space="preserve">Aktiv</t>
  </si>
  <si>
    <t xml:space="preserve">Hackenschmidt-Kniebeuge</t>
  </si>
  <si>
    <t xml:space="preserve">Beine vorne</t>
  </si>
  <si>
    <t xml:space="preserve">Hackenschmidt / Pendel</t>
  </si>
  <si>
    <t xml:space="preserve">6-10</t>
  </si>
  <si>
    <t xml:space="preserve">8-9</t>
  </si>
  <si>
    <t xml:space="preserve">ja</t>
  </si>
  <si>
    <t xml:space="preserve">Ersetzt Lunges. Schwere Grundübung zuerst, Quadrizeps unter Last in der gedehnten Position, Rücken gestützt. Ohne Maschine: Pendelkniebeuge, sonst Beinpresse mit tiefer Fussposition.</t>
  </si>
  <si>
    <t xml:space="preserve">Multipresse / Hantel</t>
  </si>
  <si>
    <t xml:space="preserve">8-10</t>
  </si>
  <si>
    <t xml:space="preserve">8</t>
  </si>
  <si>
    <t xml:space="preserve">Wdh-Bereich von 5-8 auf 8-10 je Bein. Limiter soll der Muskel sein, nicht die Stabilität.</t>
  </si>
  <si>
    <t xml:space="preserve">Maschine</t>
  </si>
  <si>
    <t xml:space="preserve">12-15</t>
  </si>
  <si>
    <t xml:space="preserve">9</t>
  </si>
  <si>
    <t xml:space="preserve">Dritter Arbeitssatz läuft als Reduktionssatz aus.</t>
  </si>
  <si>
    <t xml:space="preserve">15-20</t>
  </si>
  <si>
    <t xml:space="preserve">152.5 kg ist Stackende. Progression ab jetzt über 3 s Exzentrik und 1 s Pause in der gedehnten Position, nicht über Last.</t>
  </si>
  <si>
    <t xml:space="preserve">Rumänisches Kreuzheben</t>
  </si>
  <si>
    <t xml:space="preserve">Beine hinten</t>
  </si>
  <si>
    <t xml:space="preserve">Langhantel</t>
  </si>
  <si>
    <t xml:space="preserve">Ersetzt Kickback. Schliesst die Lücke Hüftstreckung bei gestrecktem Knie, Ischiokrurale und Gluteus in der Dehnung.</t>
  </si>
  <si>
    <t xml:space="preserve">8-12</t>
  </si>
  <si>
    <t xml:space="preserve">Gesamtgewicht inkl. Stange notieren, auch bei Reduktionssätzen.</t>
  </si>
  <si>
    <t xml:space="preserve">Maschine, sitzend</t>
  </si>
  <si>
    <t xml:space="preserve">10-12</t>
  </si>
  <si>
    <t xml:space="preserve">Sitzend statt liegend: Hüfte gebeugt, Ischiokrurale vorgedehnt, mehr Reiz pro Satz. Dritter Satz als Reduktionssatz.</t>
  </si>
  <si>
    <t xml:space="preserve">Kabel</t>
  </si>
  <si>
    <t xml:space="preserve">Gluteus medius, relevant für die Silhouette von vorne.</t>
  </si>
  <si>
    <t xml:space="preserve">10-15</t>
  </si>
  <si>
    <t xml:space="preserve">In jede Beineinheit, bisher nur in jeder zweiten.</t>
  </si>
  <si>
    <t xml:space="preserve">Kurzhantel</t>
  </si>
  <si>
    <t xml:space="preserve">nein</t>
  </si>
  <si>
    <t xml:space="preserve">Archiv. Redundant zum Split Squat, Historie bleibt in den Auswertungen sichtbar.</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</si>
  <si>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</si>
  <si>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</si>
  <si>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t>
  </si>
</sst>
</file>

<file path=xl/styles.xml><?xml version="1.0" encoding="utf-8"?>
<styleSheet xmlns="http://schemas.openxmlformats.org/spreadsheetml/2006/main">
  <numFmts count="5">
    <numFmt numFmtId="164" formatCode="General"/>
    <numFmt numFmtId="165" formatCode="#,##0;\-#,##0;\–"/>
    <numFmt numFmtId="166" formatCode="#,##0.0;\-#,##0.0;\–"/>
    <numFmt numFmtId="167" formatCode="dd\.mm\.yyyy"/>
    <numFmt numFmtId="168" formatCode="\+0.0%;\-0.0%;\–"/>
  </numFmts>
  <fonts count="2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name val="Arial"/>
      <family val="0"/>
      <charset val="1"/>
    </font>
    <font>
      <b val="true"/>
      <sz val="10"/>
      <color rgb="FFB45309"/>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sz val="10"/>
      <name val="Arial"/>
      <family val="2"/>
    </font>
    <font>
      <sz val="9"/>
      <color rgb="FF1F3A5F"/>
      <name val="Arial"/>
      <family val="0"/>
      <charset val="1"/>
    </font>
    <font>
      <b val="true"/>
      <sz val="8.5"/>
      <color rgb="FF1F3A5F"/>
      <name val="Arial"/>
      <family val="0"/>
      <charset val="1"/>
    </font>
    <font>
      <sz val="10"/>
      <color rgb="FF4A5568"/>
      <name val="Arial"/>
      <family val="0"/>
      <charset val="1"/>
    </font>
    <font>
      <i val="true"/>
      <sz val="10"/>
      <color rgb="FF8A94A0"/>
      <name val="Arial"/>
      <family val="0"/>
      <charset val="1"/>
    </font>
  </fonts>
  <fills count="10">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FF6D5"/>
        <bgColor rgb="FFF9F9F9"/>
      </patternFill>
    </fill>
    <fill>
      <patternFill patternType="solid">
        <fgColor rgb="FF1F3A5F"/>
        <bgColor rgb="FF142A44"/>
      </patternFill>
    </fill>
    <fill>
      <patternFill patternType="solid">
        <fgColor rgb="FFEDF1F6"/>
        <bgColor rgb="FFF0EBF6"/>
      </patternFill>
    </fill>
    <fill>
      <patternFill patternType="solid">
        <fgColor rgb="FFFFFFFF"/>
        <bgColor rgb="FFF9F9F9"/>
      </patternFill>
    </fill>
    <fill>
      <patternFill patternType="solid">
        <fgColor rgb="FFE7F2EA"/>
        <bgColor rgb="FFEDF1F6"/>
      </patternFill>
    </fill>
  </fills>
  <borders count="5">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9" fillId="5" borderId="1" xfId="0" applyFont="true" applyBorder="true" applyAlignment="true" applyProtection="false">
      <alignment horizontal="left" vertical="top" textRotation="0" wrapText="fals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6"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center" vertical="center" textRotation="0" wrapText="false" indent="0" shrinkToFit="false"/>
      <protection locked="true" hidden="false"/>
    </xf>
    <xf numFmtId="167" fontId="7" fillId="5"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left" vertical="center" textRotation="0" wrapText="false" indent="0" shrinkToFit="false"/>
      <protection locked="true" hidden="false"/>
    </xf>
    <xf numFmtId="166" fontId="7" fillId="5" borderId="1" xfId="0" applyFont="true" applyBorder="true" applyAlignment="true" applyProtection="false">
      <alignment horizontal="center" vertical="center" textRotation="0" wrapText="false" indent="0" shrinkToFit="false"/>
      <protection locked="true" hidden="false"/>
    </xf>
    <xf numFmtId="165" fontId="7" fillId="5"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9" fillId="7" borderId="2" xfId="0" applyFont="true" applyBorder="true" applyAlignment="true" applyProtection="false">
      <alignment horizontal="center" vertical="center" textRotation="0" wrapText="false" indent="0" shrinkToFit="false"/>
      <protection locked="true" hidden="false"/>
    </xf>
    <xf numFmtId="164" fontId="0" fillId="7" borderId="2" xfId="0" applyFont="false" applyBorder="true" applyAlignment="false" applyProtection="false">
      <alignment horizontal="general" vertical="bottom" textRotation="0" wrapText="false" indent="0" shrinkToFit="false"/>
      <protection locked="true" hidden="false"/>
    </xf>
    <xf numFmtId="165" fontId="9" fillId="7" borderId="2"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9" fillId="7" borderId="1" xfId="0" applyFont="true" applyBorder="true" applyAlignment="true" applyProtection="false">
      <alignment horizontal="left" vertical="center" textRotation="0" wrapText="false" indent="0" shrinkToFit="false"/>
      <protection locked="true" hidden="false"/>
    </xf>
    <xf numFmtId="165" fontId="7" fillId="7" borderId="1" xfId="0" applyFont="true" applyBorder="true" applyAlignment="true" applyProtection="false">
      <alignment horizontal="center" vertical="center" textRotation="0" wrapText="false" indent="0" shrinkToFit="false"/>
      <protection locked="true" hidden="false"/>
    </xf>
    <xf numFmtId="165" fontId="9" fillId="4"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7" borderId="1" xfId="0" applyFont="true" applyBorder="true" applyAlignment="true" applyProtection="false">
      <alignment horizontal="center" vertical="center" textRotation="0" wrapText="false" indent="0" shrinkToFit="false"/>
      <protection locked="true" hidden="false"/>
    </xf>
    <xf numFmtId="166" fontId="9"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8" fontId="7" fillId="7" borderId="1" xfId="0" applyFont="true" applyBorder="true" applyAlignment="true" applyProtection="false">
      <alignment horizontal="center" vertical="center" textRotation="0" wrapText="false" indent="0" shrinkToFit="false"/>
      <protection locked="true" hidden="false"/>
    </xf>
    <xf numFmtId="164" fontId="7" fillId="7" borderId="1" xfId="0" applyFont="true" applyBorder="true" applyAlignment="true" applyProtection="false">
      <alignment horizontal="center"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7" borderId="1" xfId="0" applyFont="true" applyBorder="true" applyAlignment="true" applyProtection="false">
      <alignment horizontal="left" vertical="center" textRotation="0" wrapText="false" indent="0" shrinkToFit="false"/>
      <protection locked="true" hidden="false"/>
    </xf>
    <xf numFmtId="166" fontId="10" fillId="7"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left" vertical="center" textRotation="0" wrapText="false" indent="1"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9" fillId="4"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6" fontId="20" fillId="0" borderId="1" xfId="0" applyFont="true" applyBorder="true" applyAlignment="true" applyProtection="false">
      <alignment horizontal="center" vertical="center"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9" fillId="9"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66"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i val="1"/>
        <color rgb="FF8A94A0"/>
        <sz val="10"/>
      </font>
    </dxf>
    <dxf>
      <font>
        <name val="Arial"/>
        <charset val="1"/>
        <family val="0"/>
        <b val="1"/>
        <color rgb="FF15803D"/>
        <sz val="10"/>
      </font>
    </dxf>
    <dxf>
      <font>
        <name val="Arial"/>
        <charset val="1"/>
        <family val="0"/>
        <b val="1"/>
        <color rgb="FFB91C1C"/>
        <sz val="10"/>
      </font>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9F9F9"/>
      <rgbColor rgb="FF99CCFF"/>
      <rgbColor rgb="FFFF99CC"/>
      <rgbColor rgb="FFCC99FF"/>
      <rgbColor rgb="FFF7F9FC"/>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Einheiten!$A$4:$A$27</c:f>
              <c:strCach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strCache>
            </c:strRef>
          </c:cat>
          <c:val>
            <c:numRef>
              <c:f>Einheiten!$I$4:$I$27</c:f>
              <c:numCache>
                <c:formatCode>#,##0;\-#,##0;\–</c:formatCode>
                <c:ptCount val="24"/>
                <c:pt idx="0">
                  <c:v>19139.5</c:v>
                </c:pt>
                <c:pt idx="1">
                  <c:v>19654</c:v>
                </c:pt>
                <c:pt idx="2">
                  <c:v>17343.5</c:v>
                </c:pt>
                <c:pt idx="3">
                  <c:v>18367.5</c:v>
                </c:pt>
              </c:numCache>
            </c:numRef>
          </c:val>
        </c:ser>
        <c:gapWidth val="60"/>
        <c:overlap val="0"/>
        <c:axId val="8640544"/>
        <c:axId val="5861995"/>
      </c:barChart>
      <c:catAx>
        <c:axId val="864054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61995"/>
        <c:crosses val="autoZero"/>
        <c:auto val="1"/>
        <c:lblAlgn val="ctr"/>
        <c:lblOffset val="100"/>
        <c:noMultiLvlLbl val="0"/>
      </c:catAx>
      <c:valAx>
        <c:axId val="5861995"/>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4054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Hackenschmidt-Kniebeuge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Rekorde!$L$4:$L$14</c:f>
              <c:numCache>
                <c:formatCode>#,##0.0;\-#,##0.0;\–</c:formatCode>
                <c:ptCount val="11"/>
                <c:pt idx="1">
                  <c:v>80</c:v>
                </c:pt>
                <c:pt idx="2">
                  <c:v>80</c:v>
                </c:pt>
                <c:pt idx="3">
                  <c:v>152.5</c:v>
                </c:pt>
                <c:pt idx="5">
                  <c:v>270</c:v>
                </c:pt>
                <c:pt idx="6">
                  <c:v>45</c:v>
                </c:pt>
                <c:pt idx="7">
                  <c:v>35</c:v>
                </c:pt>
                <c:pt idx="8">
                  <c:v>150</c:v>
                </c:pt>
                <c:pt idx="9">
                  <c:v>18</c:v>
                </c:pt>
                <c:pt idx="10">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Hackenschmidt-Kniebeuge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Rekorde!$F$4:$F$14</c:f>
              <c:numCache>
                <c:formatCode>#,##0.0;\-#,##0.0;\–</c:formatCode>
                <c:ptCount val="11"/>
                <c:pt idx="1">
                  <c:v>105</c:v>
                </c:pt>
                <c:pt idx="2">
                  <c:v>85</c:v>
                </c:pt>
                <c:pt idx="3">
                  <c:v>152.5</c:v>
                </c:pt>
                <c:pt idx="5">
                  <c:v>280</c:v>
                </c:pt>
                <c:pt idx="6">
                  <c:v>55</c:v>
                </c:pt>
                <c:pt idx="7">
                  <c:v>49</c:v>
                </c:pt>
                <c:pt idx="8">
                  <c:v>150</c:v>
                </c:pt>
                <c:pt idx="9">
                  <c:v>18</c:v>
                </c:pt>
                <c:pt idx="10">
                  <c:v>84</c:v>
                </c:pt>
              </c:numCache>
            </c:numRef>
          </c:val>
        </c:ser>
        <c:gapWidth val="60"/>
        <c:overlap val="0"/>
        <c:axId val="49251609"/>
        <c:axId val="53763068"/>
      </c:barChart>
      <c:catAx>
        <c:axId val="4925160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763068"/>
        <c:crosses val="autoZero"/>
        <c:auto val="1"/>
        <c:lblAlgn val="ctr"/>
        <c:lblOffset val="100"/>
        <c:noMultiLvlLbl val="0"/>
      </c:catAx>
      <c:valAx>
        <c:axId val="53763068"/>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25160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Hackenschmidt-Kniebeuge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Rekorde!$E$4:$E$14</c:f>
              <c:numCache>
                <c:formatCode>#,##0;\-#,##0;\–</c:formatCode>
                <c:ptCount val="11"/>
                <c:pt idx="1">
                  <c:v>7100</c:v>
                </c:pt>
                <c:pt idx="2">
                  <c:v>5865</c:v>
                </c:pt>
                <c:pt idx="3">
                  <c:v>21807.5</c:v>
                </c:pt>
                <c:pt idx="5">
                  <c:v>20060</c:v>
                </c:pt>
                <c:pt idx="6">
                  <c:v>3555</c:v>
                </c:pt>
                <c:pt idx="7">
                  <c:v>2053</c:v>
                </c:pt>
                <c:pt idx="8">
                  <c:v>6945</c:v>
                </c:pt>
                <c:pt idx="9">
                  <c:v>0</c:v>
                </c:pt>
                <c:pt idx="10">
                  <c:v>7119</c:v>
                </c:pt>
              </c:numCache>
            </c:numRef>
          </c:val>
        </c:ser>
        <c:gapWidth val="60"/>
        <c:overlap val="0"/>
        <c:axId val="34101083"/>
        <c:axId val="70106502"/>
      </c:barChart>
      <c:catAx>
        <c:axId val="3410108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106502"/>
        <c:crosses val="autoZero"/>
        <c:auto val="1"/>
        <c:lblAlgn val="ctr"/>
        <c:lblOffset val="100"/>
        <c:noMultiLvlLbl val="0"/>
      </c:catAx>
      <c:valAx>
        <c:axId val="70106502"/>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10108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Hackenschmidt-Kniebeuge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Rekorde!$H$4:$H$14</c:f>
              <c:numCache>
                <c:formatCode>#,##0.0;\-#,##0.0;\–</c:formatCode>
                <c:ptCount val="11"/>
                <c:pt idx="1">
                  <c:v>123.5</c:v>
                </c:pt>
                <c:pt idx="2">
                  <c:v>112</c:v>
                </c:pt>
                <c:pt idx="3">
                  <c:v>279.583333333333</c:v>
                </c:pt>
                <c:pt idx="5">
                  <c:v>360</c:v>
                </c:pt>
                <c:pt idx="6">
                  <c:v>73.3333333333333</c:v>
                </c:pt>
                <c:pt idx="7">
                  <c:v>68.6</c:v>
                </c:pt>
                <c:pt idx="8">
                  <c:v>210</c:v>
                </c:pt>
                <c:pt idx="10">
                  <c:v>117.6</c:v>
                </c:pt>
              </c:numCache>
            </c:numRef>
          </c:val>
        </c:ser>
        <c:gapWidth val="60"/>
        <c:overlap val="0"/>
        <c:axId val="3429732"/>
        <c:axId val="59816477"/>
      </c:barChart>
      <c:catAx>
        <c:axId val="342973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816477"/>
        <c:crosses val="autoZero"/>
        <c:auto val="1"/>
        <c:lblAlgn val="ctr"/>
        <c:lblOffset val="100"/>
        <c:noMultiLvlLbl val="0"/>
      </c:catAx>
      <c:valAx>
        <c:axId val="59816477"/>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2973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30</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30</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694368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694368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COUNT(Einheiten!$I$4:$I$27)</f>
        <v>4</v>
      </c>
      <c r="D5" s="5"/>
      <c r="E5" s="5"/>
    </row>
    <row r="6" customFormat="false" ht="15" hidden="false" customHeight="false" outlineLevel="0" collapsed="false">
      <c r="B6" s="4" t="s">
        <v>4</v>
      </c>
      <c r="C6" s="5" t="n">
        <f aca="false">COUNTA(Log!$E$4:$E$503)</f>
        <v>119</v>
      </c>
      <c r="D6" s="5"/>
      <c r="E6" s="5"/>
    </row>
    <row r="7" customFormat="false" ht="15" hidden="false" customHeight="false" outlineLevel="0" collapsed="false">
      <c r="B7" s="4" t="s">
        <v>5</v>
      </c>
      <c r="C7" s="6" t="n">
        <f aca="false">IFERROR(SUM(Log!$I$4:$I$503)/1000,0)</f>
        <v>89.172</v>
      </c>
      <c r="D7" s="6"/>
      <c r="E7" s="6"/>
    </row>
    <row r="8" customFormat="false" ht="15" hidden="false" customHeight="false" outlineLevel="0" collapsed="false">
      <c r="B8" s="4" t="s">
        <v>6</v>
      </c>
      <c r="C8" s="6" t="n">
        <f aca="false">SUMPRODUCT(MAX((Log!$E$4:$E$503="A")*(Log!$F$4:$F$503&lt;&gt;"")*Log!$F$4:$F$503))</f>
        <v>280</v>
      </c>
      <c r="D8" s="6"/>
      <c r="E8" s="6"/>
    </row>
    <row r="10" customFormat="false" ht="19.5" hidden="false" customHeight="true" outlineLevel="0" collapsed="false">
      <c r="B10" s="3" t="s">
        <v>7</v>
      </c>
      <c r="C10" s="3"/>
      <c r="D10" s="3"/>
      <c r="E10" s="3"/>
    </row>
    <row r="11" customFormat="false" ht="30" hidden="false" customHeight="true" outlineLevel="0" collapsed="false">
      <c r="B11" s="7" t="s">
        <v>8</v>
      </c>
      <c r="C11" s="8" t="s">
        <v>9</v>
      </c>
      <c r="D11" s="8"/>
      <c r="E11" s="8"/>
    </row>
    <row r="12" customFormat="false" ht="30" hidden="false" customHeight="true" outlineLevel="0" collapsed="false">
      <c r="B12" s="7" t="s">
        <v>10</v>
      </c>
      <c r="C12" s="8" t="s">
        <v>11</v>
      </c>
      <c r="D12" s="8"/>
      <c r="E12" s="8"/>
    </row>
    <row r="13" customFormat="false" ht="42" hidden="false" customHeight="true" outlineLevel="0" collapsed="false">
      <c r="B13" s="7" t="s">
        <v>12</v>
      </c>
      <c r="C13" s="8" t="s">
        <v>13</v>
      </c>
      <c r="D13" s="8"/>
      <c r="E13" s="8"/>
    </row>
    <row r="14" customFormat="false" ht="30" hidden="false" customHeight="true" outlineLevel="0" collapsed="false">
      <c r="B14" s="7" t="s">
        <v>14</v>
      </c>
      <c r="C14" s="8" t="s">
        <v>15</v>
      </c>
      <c r="D14" s="8"/>
      <c r="E14" s="8"/>
    </row>
    <row r="15" customFormat="false" ht="30" hidden="false" customHeight="true" outlineLevel="0" collapsed="false">
      <c r="B15" s="7" t="s">
        <v>16</v>
      </c>
      <c r="C15" s="8" t="s">
        <v>17</v>
      </c>
      <c r="D15" s="8"/>
      <c r="E15" s="8"/>
    </row>
    <row r="16" customFormat="false" ht="30" hidden="false" customHeight="true" outlineLevel="0" collapsed="false">
      <c r="B16" s="7" t="s">
        <v>18</v>
      </c>
      <c r="C16" s="8" t="s">
        <v>19</v>
      </c>
      <c r="D16" s="8"/>
      <c r="E16" s="8"/>
    </row>
    <row r="17" customFormat="false" ht="17.25" hidden="false" customHeight="true" outlineLevel="0" collapsed="false">
      <c r="B17" s="7" t="s">
        <v>20</v>
      </c>
      <c r="C17" s="8" t="s">
        <v>21</v>
      </c>
      <c r="D17" s="8"/>
      <c r="E17" s="8"/>
    </row>
    <row r="18" customFormat="false" ht="42" hidden="false" customHeight="true" outlineLevel="0" collapsed="false">
      <c r="B18" s="7" t="s">
        <v>22</v>
      </c>
      <c r="C18" s="8" t="s">
        <v>23</v>
      </c>
      <c r="D18" s="8"/>
      <c r="E18" s="8"/>
    </row>
    <row r="20" customFormat="false" ht="19.5" hidden="false" customHeight="true" outlineLevel="0" collapsed="false">
      <c r="B20" s="3" t="s">
        <v>24</v>
      </c>
      <c r="C20" s="3"/>
      <c r="D20" s="3"/>
      <c r="E20" s="3"/>
    </row>
    <row r="21" customFormat="false" ht="17.25" hidden="false" customHeight="true" outlineLevel="0" collapsed="false">
      <c r="B21" s="9" t="s">
        <v>25</v>
      </c>
      <c r="C21" s="8" t="s">
        <v>26</v>
      </c>
      <c r="D21" s="8"/>
      <c r="E21" s="8"/>
    </row>
    <row r="22" customFormat="false" ht="17.25" hidden="false" customHeight="true" outlineLevel="0" collapsed="false">
      <c r="B22" s="7" t="s">
        <v>27</v>
      </c>
      <c r="C22" s="8" t="s">
        <v>28</v>
      </c>
      <c r="D22" s="8"/>
      <c r="E22" s="8"/>
    </row>
    <row r="23" customFormat="false" ht="17.25" hidden="false" customHeight="true" outlineLevel="0" collapsed="false">
      <c r="B23" s="7" t="s">
        <v>29</v>
      </c>
      <c r="C23" s="8" t="s">
        <v>30</v>
      </c>
      <c r="D23" s="8"/>
      <c r="E23" s="8"/>
    </row>
    <row r="24" customFormat="false" ht="17.25" hidden="false" customHeight="true" outlineLevel="0" collapsed="false">
      <c r="B24" s="7" t="s">
        <v>31</v>
      </c>
      <c r="C24" s="8" t="s">
        <v>32</v>
      </c>
      <c r="D24" s="8"/>
      <c r="E24" s="8"/>
    </row>
    <row r="25" customFormat="false" ht="30" hidden="false" customHeight="true" outlineLevel="0" collapsed="false">
      <c r="B25" s="7" t="s">
        <v>33</v>
      </c>
      <c r="C25" s="8" t="s">
        <v>34</v>
      </c>
      <c r="D25" s="8"/>
      <c r="E25" s="8"/>
    </row>
    <row r="26" customFormat="false" ht="17.25" hidden="false" customHeight="true" outlineLevel="0" collapsed="false">
      <c r="B26" s="7" t="s">
        <v>35</v>
      </c>
      <c r="C26" s="8" t="s">
        <v>36</v>
      </c>
      <c r="D26" s="8"/>
      <c r="E26" s="8"/>
    </row>
    <row r="27" customFormat="false" ht="30" hidden="false" customHeight="true" outlineLevel="0" collapsed="false">
      <c r="B27" s="7" t="s">
        <v>37</v>
      </c>
      <c r="C27" s="8" t="s">
        <v>38</v>
      </c>
      <c r="D27" s="8"/>
      <c r="E27" s="8"/>
    </row>
    <row r="28" customFormat="false" ht="30" hidden="false" customHeight="true" outlineLevel="0" collapsed="false">
      <c r="B28" s="7" t="s">
        <v>39</v>
      </c>
      <c r="C28" s="8" t="s">
        <v>40</v>
      </c>
      <c r="D28" s="8"/>
      <c r="E28" s="8"/>
    </row>
    <row r="29" customFormat="false" ht="30" hidden="false" customHeight="true" outlineLevel="0" collapsed="false">
      <c r="B29" s="7" t="s">
        <v>41</v>
      </c>
      <c r="C29" s="8" t="s">
        <v>42</v>
      </c>
      <c r="D29" s="8"/>
      <c r="E29" s="8"/>
    </row>
    <row r="31" customFormat="false" ht="19.5" hidden="false" customHeight="true" outlineLevel="0" collapsed="false">
      <c r="B31" s="3" t="s">
        <v>43</v>
      </c>
      <c r="C31" s="3"/>
      <c r="D31" s="3"/>
      <c r="E31" s="3"/>
    </row>
    <row r="32" customFormat="false" ht="30" hidden="false" customHeight="true" outlineLevel="0" collapsed="false">
      <c r="B32" s="10" t="s">
        <v>44</v>
      </c>
      <c r="C32" s="8" t="s">
        <v>45</v>
      </c>
      <c r="D32" s="8"/>
      <c r="E32" s="8"/>
    </row>
    <row r="33" customFormat="false" ht="30" hidden="false" customHeight="true" outlineLevel="0" collapsed="false">
      <c r="B33" s="10" t="s">
        <v>46</v>
      </c>
      <c r="C33" s="8" t="s">
        <v>47</v>
      </c>
      <c r="D33" s="8"/>
      <c r="E33" s="8"/>
    </row>
    <row r="34" customFormat="false" ht="17.25" hidden="false" customHeight="true" outlineLevel="0" collapsed="false">
      <c r="B34" s="10" t="s">
        <v>48</v>
      </c>
      <c r="C34" s="8" t="s">
        <v>49</v>
      </c>
      <c r="D34" s="8"/>
      <c r="E34" s="8"/>
    </row>
    <row r="35" customFormat="false" ht="30" hidden="false" customHeight="true" outlineLevel="0" collapsed="false">
      <c r="B35" s="10" t="s">
        <v>50</v>
      </c>
      <c r="C35" s="8" t="s">
        <v>51</v>
      </c>
      <c r="D35" s="8"/>
      <c r="E35" s="8"/>
    </row>
    <row r="36" customFormat="false" ht="30" hidden="false" customHeight="true" outlineLevel="0" collapsed="false">
      <c r="B36" s="10" t="s">
        <v>52</v>
      </c>
      <c r="C36" s="8" t="s">
        <v>53</v>
      </c>
      <c r="D36" s="8"/>
      <c r="E36" s="8"/>
    </row>
    <row r="37" customFormat="false" ht="30" hidden="false" customHeight="true" outlineLevel="0" collapsed="false">
      <c r="B37" s="10" t="s">
        <v>54</v>
      </c>
      <c r="C37" s="8" t="s">
        <v>55</v>
      </c>
      <c r="D37" s="8"/>
      <c r="E37" s="8"/>
    </row>
    <row r="38" customFormat="false" ht="42" hidden="false" customHeight="true" outlineLevel="0" collapsed="false">
      <c r="B38" s="10" t="s">
        <v>56</v>
      </c>
      <c r="C38" s="8" t="s">
        <v>57</v>
      </c>
      <c r="D38" s="8"/>
      <c r="E38" s="8"/>
    </row>
    <row r="39" customFormat="false" ht="54.75" hidden="false" customHeight="true" outlineLevel="0" collapsed="false">
      <c r="B39" s="10" t="s">
        <v>58</v>
      </c>
      <c r="C39" s="8" t="s">
        <v>59</v>
      </c>
      <c r="D39" s="8"/>
      <c r="E39" s="8"/>
    </row>
    <row r="41" customFormat="false" ht="15" hidden="false" customHeight="false" outlineLevel="0" collapsed="false">
      <c r="B41" s="11" t="s">
        <v>60</v>
      </c>
      <c r="C41" s="11"/>
      <c r="D41" s="11"/>
      <c r="E41" s="11"/>
    </row>
  </sheetData>
  <mergeCells count="36">
    <mergeCell ref="B1:E1"/>
    <mergeCell ref="B2:E2"/>
    <mergeCell ref="B4:E4"/>
    <mergeCell ref="C5:E5"/>
    <mergeCell ref="C6:E6"/>
    <mergeCell ref="C7:E7"/>
    <mergeCell ref="C8:E8"/>
    <mergeCell ref="B10:E10"/>
    <mergeCell ref="C11:E11"/>
    <mergeCell ref="C12:E12"/>
    <mergeCell ref="C13:E13"/>
    <mergeCell ref="C14:E14"/>
    <mergeCell ref="C15:E15"/>
    <mergeCell ref="C16:E16"/>
    <mergeCell ref="C17:E17"/>
    <mergeCell ref="C18:E18"/>
    <mergeCell ref="B20:E20"/>
    <mergeCell ref="C21:E21"/>
    <mergeCell ref="C22:E22"/>
    <mergeCell ref="C23:E23"/>
    <mergeCell ref="C24:E24"/>
    <mergeCell ref="C25:E25"/>
    <mergeCell ref="C26:E26"/>
    <mergeCell ref="C27:E27"/>
    <mergeCell ref="C28:E28"/>
    <mergeCell ref="C29:E29"/>
    <mergeCell ref="B31:E31"/>
    <mergeCell ref="C32:E32"/>
    <mergeCell ref="C33:E33"/>
    <mergeCell ref="C34:E34"/>
    <mergeCell ref="C35:E35"/>
    <mergeCell ref="C36:E36"/>
    <mergeCell ref="C37:E37"/>
    <mergeCell ref="C38:E38"/>
    <mergeCell ref="C39:E39"/>
    <mergeCell ref="B41:E41"/>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61</v>
      </c>
      <c r="B1" s="1"/>
      <c r="C1" s="1"/>
      <c r="D1" s="1"/>
      <c r="E1" s="1"/>
      <c r="F1" s="1"/>
      <c r="G1" s="1"/>
      <c r="H1" s="1"/>
      <c r="I1" s="1"/>
      <c r="J1" s="1"/>
    </row>
    <row r="2" customFormat="false" ht="15" hidden="false" customHeight="true" outlineLevel="0" collapsed="false">
      <c r="A2" s="2" t="s">
        <v>62</v>
      </c>
      <c r="B2" s="2"/>
      <c r="C2" s="2"/>
      <c r="D2" s="2"/>
      <c r="E2" s="2"/>
      <c r="F2" s="2"/>
      <c r="G2" s="2"/>
      <c r="H2" s="2"/>
      <c r="I2" s="2"/>
      <c r="J2" s="2"/>
    </row>
    <row r="4" customFormat="false" ht="15.75" hidden="false" customHeight="true" outlineLevel="0" collapsed="false">
      <c r="B4" s="12" t="s">
        <v>63</v>
      </c>
      <c r="C4" s="12"/>
      <c r="E4" s="12" t="s">
        <v>4</v>
      </c>
      <c r="F4" s="12"/>
      <c r="H4" s="12" t="s">
        <v>64</v>
      </c>
      <c r="I4" s="12"/>
    </row>
    <row r="5" customFormat="false" ht="30" hidden="false" customHeight="true" outlineLevel="0" collapsed="false">
      <c r="B5" s="13" t="n">
        <f aca="false">COUNT(Einheiten!$I$4:$I$27)</f>
        <v>4</v>
      </c>
      <c r="C5" s="13"/>
      <c r="E5" s="13" t="n">
        <f aca="false">COUNTA(Log!$E$4:$E$503)</f>
        <v>119</v>
      </c>
      <c r="F5" s="13"/>
      <c r="H5" s="13" t="n">
        <f aca="false">COUNTIF(Log!$E$4:$E$503,"A")</f>
        <v>62</v>
      </c>
      <c r="I5" s="13"/>
    </row>
    <row r="7" customFormat="false" ht="15.75" hidden="false" customHeight="true" outlineLevel="0" collapsed="false">
      <c r="B7" s="12" t="s">
        <v>5</v>
      </c>
      <c r="C7" s="12"/>
      <c r="E7" s="12" t="s">
        <v>65</v>
      </c>
      <c r="F7" s="12"/>
      <c r="H7" s="12" t="s">
        <v>66</v>
      </c>
      <c r="I7" s="12"/>
    </row>
    <row r="8" customFormat="false" ht="30" hidden="false" customHeight="true" outlineLevel="0" collapsed="false">
      <c r="B8" s="14" t="n">
        <f aca="false">SUM(Log!$I$4:$I$503)/1000</f>
        <v>89.172</v>
      </c>
      <c r="C8" s="14"/>
      <c r="E8" s="14" t="n">
        <f aca="false">SUMIF(Log!$E$4:$E$503,"A",Log!$I$4:$I$503)/1000</f>
        <v>74.5045</v>
      </c>
      <c r="F8" s="14"/>
      <c r="H8" s="13" t="n">
        <f aca="false">IFERROR(SUMIF(Log!$E$4:$E$503,"A",Log!$I$4:$I$503)/COUNT(Einheiten!$I$4:$I$27),"")</f>
        <v>18626.125</v>
      </c>
      <c r="I8" s="13"/>
    </row>
    <row r="10" customFormat="false" ht="15.75" hidden="false" customHeight="true" outlineLevel="0" collapsed="false">
      <c r="B10" s="12" t="s">
        <v>67</v>
      </c>
      <c r="C10" s="12"/>
      <c r="E10" s="12" t="s">
        <v>68</v>
      </c>
      <c r="F10" s="12"/>
      <c r="H10" s="12" t="s">
        <v>69</v>
      </c>
      <c r="I10" s="12"/>
    </row>
    <row r="11" customFormat="false" ht="30" hidden="false" customHeight="true" outlineLevel="0" collapsed="false">
      <c r="B11" s="14" t="n">
        <f aca="false">SUMPRODUCT(MAX((Log!$E$4:$E$503="A")*(Log!$F$4:$F$503&lt;&gt;"")*Log!$F$4:$F$503))</f>
        <v>280</v>
      </c>
      <c r="C11" s="14"/>
      <c r="E11" s="14" t="n">
        <f aca="false">MAX(Rekorde!$H$4:$H$17)</f>
        <v>360</v>
      </c>
      <c r="F11" s="14"/>
      <c r="H11" s="13" t="n">
        <f aca="false">COUNTA(Übungen!$A$4:$A$17)</f>
        <v>11</v>
      </c>
      <c r="I11" s="13"/>
    </row>
    <row r="13" customFormat="false" ht="19.5" hidden="false" customHeight="true" outlineLevel="0" collapsed="false">
      <c r="B13" s="3" t="s">
        <v>70</v>
      </c>
      <c r="C13" s="3"/>
      <c r="D13" s="3"/>
      <c r="E13" s="3"/>
      <c r="F13" s="3"/>
      <c r="G13" s="3"/>
      <c r="H13" s="3"/>
      <c r="I13" s="3"/>
      <c r="J13" s="3"/>
    </row>
    <row r="53" customFormat="false" ht="15" hidden="false" customHeight="false" outlineLevel="0" collapsed="false">
      <c r="B53" s="15" t="s">
        <v>71</v>
      </c>
    </row>
  </sheetData>
  <mergeCells count="21">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J13"/>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72</v>
      </c>
      <c r="B1" s="1"/>
      <c r="C1" s="1"/>
      <c r="D1" s="1"/>
      <c r="E1" s="1"/>
      <c r="F1" s="1"/>
      <c r="G1" s="1"/>
      <c r="H1" s="1"/>
      <c r="I1" s="1"/>
      <c r="J1" s="1"/>
      <c r="K1" s="1"/>
    </row>
    <row r="2" customFormat="false" ht="15" hidden="false" customHeight="true" outlineLevel="0" collapsed="false">
      <c r="A2" s="2" t="s">
        <v>73</v>
      </c>
      <c r="B2" s="2"/>
      <c r="C2" s="2"/>
      <c r="D2" s="2"/>
      <c r="E2" s="2"/>
      <c r="F2" s="2"/>
      <c r="G2" s="2"/>
      <c r="H2" s="2"/>
      <c r="I2" s="2"/>
      <c r="J2" s="2"/>
      <c r="K2" s="2"/>
    </row>
    <row r="3" customFormat="false" ht="31.5" hidden="false" customHeight="true" outlineLevel="0" collapsed="false">
      <c r="A3" s="16" t="s">
        <v>74</v>
      </c>
      <c r="B3" s="16" t="s">
        <v>54</v>
      </c>
      <c r="C3" s="16" t="s">
        <v>75</v>
      </c>
      <c r="D3" s="16" t="s">
        <v>76</v>
      </c>
      <c r="E3" s="16" t="s">
        <v>77</v>
      </c>
      <c r="F3" s="16" t="s">
        <v>78</v>
      </c>
      <c r="G3" s="16" t="s">
        <v>79</v>
      </c>
      <c r="H3" s="16" t="s">
        <v>80</v>
      </c>
      <c r="I3" s="16" t="s">
        <v>81</v>
      </c>
      <c r="J3" s="16" t="s">
        <v>82</v>
      </c>
      <c r="K3" s="16" t="s">
        <v>83</v>
      </c>
    </row>
    <row r="4" customFormat="false" ht="18" hidden="false" customHeight="true" outlineLevel="0" collapsed="false">
      <c r="A4" s="17" t="n">
        <v>1</v>
      </c>
      <c r="B4" s="18"/>
      <c r="C4" s="19"/>
      <c r="D4" s="20"/>
      <c r="E4" s="21"/>
      <c r="F4" s="20"/>
      <c r="G4" s="21"/>
      <c r="H4" s="22" t="n">
        <f aca="false">IF(COUNTIFS(Log!$B$4:$B$503,$A4,Log!$E$4:$E$503,"A")=0,"",COUNTIFS(Log!$B$4:$B$503,$A4,Log!$E$4:$E$503,"A"))</f>
        <v>18</v>
      </c>
      <c r="I4" s="22" t="n">
        <f aca="false">IF($H4="","",SUMIFS(Log!$I$4:$I$503,Log!$B$4:$B$503,$A4,Log!$E$4:$E$503,"A"))</f>
        <v>19139.5</v>
      </c>
      <c r="J4" s="22" t="n">
        <f aca="false">IF($H4="","",SUMIFS(Log!$I$4:$I$503,Log!$B$4:$B$503,$A4))</f>
        <v>23617</v>
      </c>
      <c r="K4" s="19"/>
    </row>
    <row r="5" customFormat="false" ht="18" hidden="false" customHeight="true" outlineLevel="0" collapsed="false">
      <c r="A5" s="17" t="n">
        <v>2</v>
      </c>
      <c r="B5" s="18"/>
      <c r="C5" s="19"/>
      <c r="D5" s="20"/>
      <c r="E5" s="21"/>
      <c r="F5" s="20"/>
      <c r="G5" s="21"/>
      <c r="H5" s="22" t="n">
        <f aca="false">IF(COUNTIFS(Log!$B$4:$B$503,$A5,Log!$E$4:$E$503,"A")=0,"",COUNTIFS(Log!$B$4:$B$503,$A5,Log!$E$4:$E$503,"A"))</f>
        <v>18</v>
      </c>
      <c r="I5" s="22" t="n">
        <f aca="false">IF($H5="","",SUMIFS(Log!$I$4:$I$503,Log!$B$4:$B$503,$A5,Log!$E$4:$E$503,"A"))</f>
        <v>19654</v>
      </c>
      <c r="J5" s="22" t="n">
        <f aca="false">IF($H5="","",SUMIFS(Log!$I$4:$I$503,Log!$B$4:$B$503,$A5))</f>
        <v>23569</v>
      </c>
      <c r="K5" s="19"/>
    </row>
    <row r="6" customFormat="false" ht="18" hidden="false" customHeight="true" outlineLevel="0" collapsed="false">
      <c r="A6" s="17" t="n">
        <v>3</v>
      </c>
      <c r="B6" s="18"/>
      <c r="C6" s="19"/>
      <c r="D6" s="20"/>
      <c r="E6" s="21"/>
      <c r="F6" s="20"/>
      <c r="G6" s="21"/>
      <c r="H6" s="22" t="n">
        <f aca="false">IF(COUNTIFS(Log!$B$4:$B$503,$A6,Log!$E$4:$E$503,"A")=0,"",COUNTIFS(Log!$B$4:$B$503,$A6,Log!$E$4:$E$503,"A"))</f>
        <v>14</v>
      </c>
      <c r="I6" s="22" t="n">
        <f aca="false">IF($H6="","",SUMIFS(Log!$I$4:$I$503,Log!$B$4:$B$503,$A6,Log!$E$4:$E$503,"A"))</f>
        <v>17343.5</v>
      </c>
      <c r="J6" s="22" t="n">
        <f aca="false">IF($H6="","",SUMIFS(Log!$I$4:$I$503,Log!$B$4:$B$503,$A6))</f>
        <v>20558.5</v>
      </c>
      <c r="K6" s="19"/>
    </row>
    <row r="7" customFormat="false" ht="18" hidden="false" customHeight="true" outlineLevel="0" collapsed="false">
      <c r="A7" s="17" t="n">
        <v>4</v>
      </c>
      <c r="B7" s="18"/>
      <c r="C7" s="19"/>
      <c r="D7" s="20"/>
      <c r="E7" s="21"/>
      <c r="F7" s="20"/>
      <c r="G7" s="21"/>
      <c r="H7" s="22" t="n">
        <f aca="false">IF(COUNTIFS(Log!$B$4:$B$503,$A7,Log!$E$4:$E$503,"A")=0,"",COUNTIFS(Log!$B$4:$B$503,$A7,Log!$E$4:$E$503,"A"))</f>
        <v>12</v>
      </c>
      <c r="I7" s="22" t="n">
        <f aca="false">IF($H7="","",SUMIFS(Log!$I$4:$I$503,Log!$B$4:$B$503,$A7,Log!$E$4:$E$503,"A"))</f>
        <v>18367.5</v>
      </c>
      <c r="J7" s="22" t="n">
        <f aca="false">IF($H7="","",SUMIFS(Log!$I$4:$I$503,Log!$B$4:$B$503,$A7))</f>
        <v>21427.5</v>
      </c>
      <c r="K7" s="19"/>
    </row>
    <row r="8" customFormat="false" ht="18" hidden="false" customHeight="true" outlineLevel="0" collapsed="false">
      <c r="A8" s="17" t="n">
        <v>5</v>
      </c>
      <c r="B8" s="18"/>
      <c r="C8" s="19"/>
      <c r="D8" s="20"/>
      <c r="E8" s="21"/>
      <c r="F8" s="20"/>
      <c r="G8" s="21"/>
      <c r="H8" s="22" t="str">
        <f aca="false">IF(COUNTIFS(Log!$B$4:$B$503,$A8,Log!$E$4:$E$503,"A")=0,"",COUNTIFS(Log!$B$4:$B$503,$A8,Log!$E$4:$E$503,"A"))</f>
        <v/>
      </c>
      <c r="I8" s="22" t="str">
        <f aca="false">IF($H8="","",SUMIFS(Log!$I$4:$I$503,Log!$B$4:$B$503,$A8,Log!$E$4:$E$503,"A"))</f>
        <v/>
      </c>
      <c r="J8" s="22" t="str">
        <f aca="false">IF($H8="","",SUMIFS(Log!$I$4:$I$503,Log!$B$4:$B$503,$A8))</f>
        <v/>
      </c>
      <c r="K8" s="19"/>
    </row>
    <row r="9" customFormat="false" ht="18" hidden="false" customHeight="true" outlineLevel="0" collapsed="false">
      <c r="A9" s="17" t="n">
        <v>6</v>
      </c>
      <c r="B9" s="18"/>
      <c r="C9" s="19"/>
      <c r="D9" s="20"/>
      <c r="E9" s="21"/>
      <c r="F9" s="20"/>
      <c r="G9" s="21"/>
      <c r="H9" s="22" t="str">
        <f aca="false">IF(COUNTIFS(Log!$B$4:$B$503,$A9,Log!$E$4:$E$503,"A")=0,"",COUNTIFS(Log!$B$4:$B$503,$A9,Log!$E$4:$E$503,"A"))</f>
        <v/>
      </c>
      <c r="I9" s="22" t="str">
        <f aca="false">IF($H9="","",SUMIFS(Log!$I$4:$I$503,Log!$B$4:$B$503,$A9,Log!$E$4:$E$503,"A"))</f>
        <v/>
      </c>
      <c r="J9" s="22" t="str">
        <f aca="false">IF($H9="","",SUMIFS(Log!$I$4:$I$503,Log!$B$4:$B$503,$A9))</f>
        <v/>
      </c>
      <c r="K9" s="19"/>
    </row>
    <row r="10" customFormat="false" ht="18" hidden="false" customHeight="true" outlineLevel="0" collapsed="false">
      <c r="A10" s="17" t="n">
        <v>7</v>
      </c>
      <c r="B10" s="18"/>
      <c r="C10" s="19"/>
      <c r="D10" s="20"/>
      <c r="E10" s="21"/>
      <c r="F10" s="20"/>
      <c r="G10" s="21"/>
      <c r="H10" s="22" t="str">
        <f aca="false">IF(COUNTIFS(Log!$B$4:$B$503,$A10,Log!$E$4:$E$503,"A")=0,"",COUNTIFS(Log!$B$4:$B$503,$A10,Log!$E$4:$E$503,"A"))</f>
        <v/>
      </c>
      <c r="I10" s="22" t="str">
        <f aca="false">IF($H10="","",SUMIFS(Log!$I$4:$I$503,Log!$B$4:$B$503,$A10,Log!$E$4:$E$503,"A"))</f>
        <v/>
      </c>
      <c r="J10" s="22" t="str">
        <f aca="false">IF($H10="","",SUMIFS(Log!$I$4:$I$503,Log!$B$4:$B$503,$A10))</f>
        <v/>
      </c>
      <c r="K10" s="19"/>
    </row>
    <row r="11" customFormat="false" ht="18" hidden="false" customHeight="true" outlineLevel="0" collapsed="false">
      <c r="A11" s="17" t="n">
        <v>8</v>
      </c>
      <c r="B11" s="18"/>
      <c r="C11" s="19"/>
      <c r="D11" s="20"/>
      <c r="E11" s="21"/>
      <c r="F11" s="20"/>
      <c r="G11" s="21"/>
      <c r="H11" s="22" t="str">
        <f aca="false">IF(COUNTIFS(Log!$B$4:$B$503,$A11,Log!$E$4:$E$503,"A")=0,"",COUNTIFS(Log!$B$4:$B$503,$A11,Log!$E$4:$E$503,"A"))</f>
        <v/>
      </c>
      <c r="I11" s="22" t="str">
        <f aca="false">IF($H11="","",SUMIFS(Log!$I$4:$I$503,Log!$B$4:$B$503,$A11,Log!$E$4:$E$503,"A"))</f>
        <v/>
      </c>
      <c r="J11" s="22" t="str">
        <f aca="false">IF($H11="","",SUMIFS(Log!$I$4:$I$503,Log!$B$4:$B$503,$A11))</f>
        <v/>
      </c>
      <c r="K11" s="19"/>
    </row>
    <row r="12" customFormat="false" ht="18" hidden="false" customHeight="true" outlineLevel="0" collapsed="false">
      <c r="A12" s="17" t="n">
        <v>9</v>
      </c>
      <c r="B12" s="18"/>
      <c r="C12" s="19"/>
      <c r="D12" s="20"/>
      <c r="E12" s="21"/>
      <c r="F12" s="20"/>
      <c r="G12" s="21"/>
      <c r="H12" s="22" t="str">
        <f aca="false">IF(COUNTIFS(Log!$B$4:$B$503,$A12,Log!$E$4:$E$503,"A")=0,"",COUNTIFS(Log!$B$4:$B$503,$A12,Log!$E$4:$E$503,"A"))</f>
        <v/>
      </c>
      <c r="I12" s="22" t="str">
        <f aca="false">IF($H12="","",SUMIFS(Log!$I$4:$I$503,Log!$B$4:$B$503,$A12,Log!$E$4:$E$503,"A"))</f>
        <v/>
      </c>
      <c r="J12" s="22" t="str">
        <f aca="false">IF($H12="","",SUMIFS(Log!$I$4:$I$503,Log!$B$4:$B$503,$A12))</f>
        <v/>
      </c>
      <c r="K12" s="19"/>
    </row>
    <row r="13" customFormat="false" ht="18" hidden="false" customHeight="true" outlineLevel="0" collapsed="false">
      <c r="A13" s="17" t="n">
        <v>10</v>
      </c>
      <c r="B13" s="18"/>
      <c r="C13" s="19"/>
      <c r="D13" s="20"/>
      <c r="E13" s="21"/>
      <c r="F13" s="20"/>
      <c r="G13" s="21"/>
      <c r="H13" s="22" t="str">
        <f aca="false">IF(COUNTIFS(Log!$B$4:$B$503,$A13,Log!$E$4:$E$503,"A")=0,"",COUNTIFS(Log!$B$4:$B$503,$A13,Log!$E$4:$E$503,"A"))</f>
        <v/>
      </c>
      <c r="I13" s="22" t="str">
        <f aca="false">IF($H13="","",SUMIFS(Log!$I$4:$I$503,Log!$B$4:$B$503,$A13,Log!$E$4:$E$503,"A"))</f>
        <v/>
      </c>
      <c r="J13" s="22" t="str">
        <f aca="false">IF($H13="","",SUMIFS(Log!$I$4:$I$503,Log!$B$4:$B$503,$A13))</f>
        <v/>
      </c>
      <c r="K13" s="19"/>
    </row>
    <row r="14" customFormat="false" ht="18" hidden="false" customHeight="true" outlineLevel="0" collapsed="false">
      <c r="A14" s="17" t="n">
        <v>11</v>
      </c>
      <c r="B14" s="18"/>
      <c r="C14" s="19"/>
      <c r="D14" s="20"/>
      <c r="E14" s="21"/>
      <c r="F14" s="20"/>
      <c r="G14" s="21"/>
      <c r="H14" s="22" t="str">
        <f aca="false">IF(COUNTIFS(Log!$B$4:$B$503,$A14,Log!$E$4:$E$503,"A")=0,"",COUNTIFS(Log!$B$4:$B$503,$A14,Log!$E$4:$E$503,"A"))</f>
        <v/>
      </c>
      <c r="I14" s="22" t="str">
        <f aca="false">IF($H14="","",SUMIFS(Log!$I$4:$I$503,Log!$B$4:$B$503,$A14,Log!$E$4:$E$503,"A"))</f>
        <v/>
      </c>
      <c r="J14" s="22" t="str">
        <f aca="false">IF($H14="","",SUMIFS(Log!$I$4:$I$503,Log!$B$4:$B$503,$A14))</f>
        <v/>
      </c>
      <c r="K14" s="19"/>
    </row>
    <row r="15" customFormat="false" ht="18" hidden="false" customHeight="true" outlineLevel="0" collapsed="false">
      <c r="A15" s="17" t="n">
        <v>12</v>
      </c>
      <c r="B15" s="18"/>
      <c r="C15" s="19"/>
      <c r="D15" s="20"/>
      <c r="E15" s="21"/>
      <c r="F15" s="20"/>
      <c r="G15" s="21"/>
      <c r="H15" s="22" t="str">
        <f aca="false">IF(COUNTIFS(Log!$B$4:$B$503,$A15,Log!$E$4:$E$503,"A")=0,"",COUNTIFS(Log!$B$4:$B$503,$A15,Log!$E$4:$E$503,"A"))</f>
        <v/>
      </c>
      <c r="I15" s="22" t="str">
        <f aca="false">IF($H15="","",SUMIFS(Log!$I$4:$I$503,Log!$B$4:$B$503,$A15,Log!$E$4:$E$503,"A"))</f>
        <v/>
      </c>
      <c r="J15" s="22" t="str">
        <f aca="false">IF($H15="","",SUMIFS(Log!$I$4:$I$503,Log!$B$4:$B$503,$A15))</f>
        <v/>
      </c>
      <c r="K15" s="19"/>
    </row>
    <row r="16" customFormat="false" ht="18" hidden="false" customHeight="true" outlineLevel="0" collapsed="false">
      <c r="A16" s="17" t="n">
        <v>13</v>
      </c>
      <c r="B16" s="18"/>
      <c r="C16" s="19"/>
      <c r="D16" s="20"/>
      <c r="E16" s="21"/>
      <c r="F16" s="20"/>
      <c r="G16" s="21"/>
      <c r="H16" s="22" t="str">
        <f aca="false">IF(COUNTIFS(Log!$B$4:$B$503,$A16,Log!$E$4:$E$503,"A")=0,"",COUNTIFS(Log!$B$4:$B$503,$A16,Log!$E$4:$E$503,"A"))</f>
        <v/>
      </c>
      <c r="I16" s="22" t="str">
        <f aca="false">IF($H16="","",SUMIFS(Log!$I$4:$I$503,Log!$B$4:$B$503,$A16,Log!$E$4:$E$503,"A"))</f>
        <v/>
      </c>
      <c r="J16" s="22" t="str">
        <f aca="false">IF($H16="","",SUMIFS(Log!$I$4:$I$503,Log!$B$4:$B$503,$A16))</f>
        <v/>
      </c>
      <c r="K16" s="19"/>
    </row>
    <row r="17" customFormat="false" ht="18" hidden="false" customHeight="true" outlineLevel="0" collapsed="false">
      <c r="A17" s="17" t="n">
        <v>14</v>
      </c>
      <c r="B17" s="18"/>
      <c r="C17" s="19"/>
      <c r="D17" s="20"/>
      <c r="E17" s="21"/>
      <c r="F17" s="20"/>
      <c r="G17" s="21"/>
      <c r="H17" s="22" t="str">
        <f aca="false">IF(COUNTIFS(Log!$B$4:$B$503,$A17,Log!$E$4:$E$503,"A")=0,"",COUNTIFS(Log!$B$4:$B$503,$A17,Log!$E$4:$E$503,"A"))</f>
        <v/>
      </c>
      <c r="I17" s="22" t="str">
        <f aca="false">IF($H17="","",SUMIFS(Log!$I$4:$I$503,Log!$B$4:$B$503,$A17,Log!$E$4:$E$503,"A"))</f>
        <v/>
      </c>
      <c r="J17" s="22" t="str">
        <f aca="false">IF($H17="","",SUMIFS(Log!$I$4:$I$503,Log!$B$4:$B$503,$A17))</f>
        <v/>
      </c>
      <c r="K17" s="19"/>
    </row>
    <row r="18" customFormat="false" ht="18" hidden="false" customHeight="true" outlineLevel="0" collapsed="false">
      <c r="A18" s="17" t="n">
        <v>15</v>
      </c>
      <c r="B18" s="18"/>
      <c r="C18" s="19"/>
      <c r="D18" s="20"/>
      <c r="E18" s="21"/>
      <c r="F18" s="20"/>
      <c r="G18" s="21"/>
      <c r="H18" s="22" t="str">
        <f aca="false">IF(COUNTIFS(Log!$B$4:$B$503,$A18,Log!$E$4:$E$503,"A")=0,"",COUNTIFS(Log!$B$4:$B$503,$A18,Log!$E$4:$E$503,"A"))</f>
        <v/>
      </c>
      <c r="I18" s="22" t="str">
        <f aca="false">IF($H18="","",SUMIFS(Log!$I$4:$I$503,Log!$B$4:$B$503,$A18,Log!$E$4:$E$503,"A"))</f>
        <v/>
      </c>
      <c r="J18" s="22" t="str">
        <f aca="false">IF($H18="","",SUMIFS(Log!$I$4:$I$503,Log!$B$4:$B$503,$A18))</f>
        <v/>
      </c>
      <c r="K18" s="19"/>
    </row>
    <row r="19" customFormat="false" ht="18" hidden="false" customHeight="true" outlineLevel="0" collapsed="false">
      <c r="A19" s="17" t="n">
        <v>16</v>
      </c>
      <c r="B19" s="18"/>
      <c r="C19" s="19"/>
      <c r="D19" s="20"/>
      <c r="E19" s="21"/>
      <c r="F19" s="20"/>
      <c r="G19" s="21"/>
      <c r="H19" s="22" t="str">
        <f aca="false">IF(COUNTIFS(Log!$B$4:$B$503,$A19,Log!$E$4:$E$503,"A")=0,"",COUNTIFS(Log!$B$4:$B$503,$A19,Log!$E$4:$E$503,"A"))</f>
        <v/>
      </c>
      <c r="I19" s="22" t="str">
        <f aca="false">IF($H19="","",SUMIFS(Log!$I$4:$I$503,Log!$B$4:$B$503,$A19,Log!$E$4:$E$503,"A"))</f>
        <v/>
      </c>
      <c r="J19" s="22" t="str">
        <f aca="false">IF($H19="","",SUMIFS(Log!$I$4:$I$503,Log!$B$4:$B$503,$A19))</f>
        <v/>
      </c>
      <c r="K19" s="19"/>
    </row>
    <row r="20" customFormat="false" ht="18" hidden="false" customHeight="true" outlineLevel="0" collapsed="false">
      <c r="A20" s="17" t="n">
        <v>17</v>
      </c>
      <c r="B20" s="18"/>
      <c r="C20" s="19"/>
      <c r="D20" s="20"/>
      <c r="E20" s="21"/>
      <c r="F20" s="20"/>
      <c r="G20" s="21"/>
      <c r="H20" s="22" t="str">
        <f aca="false">IF(COUNTIFS(Log!$B$4:$B$503,$A20,Log!$E$4:$E$503,"A")=0,"",COUNTIFS(Log!$B$4:$B$503,$A20,Log!$E$4:$E$503,"A"))</f>
        <v/>
      </c>
      <c r="I20" s="22" t="str">
        <f aca="false">IF($H20="","",SUMIFS(Log!$I$4:$I$503,Log!$B$4:$B$503,$A20,Log!$E$4:$E$503,"A"))</f>
        <v/>
      </c>
      <c r="J20" s="22" t="str">
        <f aca="false">IF($H20="","",SUMIFS(Log!$I$4:$I$503,Log!$B$4:$B$503,$A20))</f>
        <v/>
      </c>
      <c r="K20" s="19"/>
    </row>
    <row r="21" customFormat="false" ht="18" hidden="false" customHeight="true" outlineLevel="0" collapsed="false">
      <c r="A21" s="17" t="n">
        <v>18</v>
      </c>
      <c r="B21" s="18"/>
      <c r="C21" s="19"/>
      <c r="D21" s="20"/>
      <c r="E21" s="21"/>
      <c r="F21" s="20"/>
      <c r="G21" s="21"/>
      <c r="H21" s="22" t="str">
        <f aca="false">IF(COUNTIFS(Log!$B$4:$B$503,$A21,Log!$E$4:$E$503,"A")=0,"",COUNTIFS(Log!$B$4:$B$503,$A21,Log!$E$4:$E$503,"A"))</f>
        <v/>
      </c>
      <c r="I21" s="22" t="str">
        <f aca="false">IF($H21="","",SUMIFS(Log!$I$4:$I$503,Log!$B$4:$B$503,$A21,Log!$E$4:$E$503,"A"))</f>
        <v/>
      </c>
      <c r="J21" s="22" t="str">
        <f aca="false">IF($H21="","",SUMIFS(Log!$I$4:$I$503,Log!$B$4:$B$503,$A21))</f>
        <v/>
      </c>
      <c r="K21" s="19"/>
    </row>
    <row r="22" customFormat="false" ht="18" hidden="false" customHeight="true" outlineLevel="0" collapsed="false">
      <c r="A22" s="17" t="n">
        <v>19</v>
      </c>
      <c r="B22" s="18"/>
      <c r="C22" s="19"/>
      <c r="D22" s="20"/>
      <c r="E22" s="21"/>
      <c r="F22" s="20"/>
      <c r="G22" s="21"/>
      <c r="H22" s="22" t="str">
        <f aca="false">IF(COUNTIFS(Log!$B$4:$B$503,$A22,Log!$E$4:$E$503,"A")=0,"",COUNTIFS(Log!$B$4:$B$503,$A22,Log!$E$4:$E$503,"A"))</f>
        <v/>
      </c>
      <c r="I22" s="22" t="str">
        <f aca="false">IF($H22="","",SUMIFS(Log!$I$4:$I$503,Log!$B$4:$B$503,$A22,Log!$E$4:$E$503,"A"))</f>
        <v/>
      </c>
      <c r="J22" s="22" t="str">
        <f aca="false">IF($H22="","",SUMIFS(Log!$I$4:$I$503,Log!$B$4:$B$503,$A22))</f>
        <v/>
      </c>
      <c r="K22" s="19"/>
    </row>
    <row r="23" customFormat="false" ht="18" hidden="false" customHeight="true" outlineLevel="0" collapsed="false">
      <c r="A23" s="17" t="n">
        <v>20</v>
      </c>
      <c r="B23" s="18"/>
      <c r="C23" s="19"/>
      <c r="D23" s="20"/>
      <c r="E23" s="21"/>
      <c r="F23" s="20"/>
      <c r="G23" s="21"/>
      <c r="H23" s="22" t="str">
        <f aca="false">IF(COUNTIFS(Log!$B$4:$B$503,$A23,Log!$E$4:$E$503,"A")=0,"",COUNTIFS(Log!$B$4:$B$503,$A23,Log!$E$4:$E$503,"A"))</f>
        <v/>
      </c>
      <c r="I23" s="22" t="str">
        <f aca="false">IF($H23="","",SUMIFS(Log!$I$4:$I$503,Log!$B$4:$B$503,$A23,Log!$E$4:$E$503,"A"))</f>
        <v/>
      </c>
      <c r="J23" s="22" t="str">
        <f aca="false">IF($H23="","",SUMIFS(Log!$I$4:$I$503,Log!$B$4:$B$503,$A23))</f>
        <v/>
      </c>
      <c r="K23" s="19"/>
    </row>
    <row r="24" customFormat="false" ht="18" hidden="false" customHeight="true" outlineLevel="0" collapsed="false">
      <c r="A24" s="17" t="n">
        <v>21</v>
      </c>
      <c r="B24" s="18"/>
      <c r="C24" s="19"/>
      <c r="D24" s="20"/>
      <c r="E24" s="21"/>
      <c r="F24" s="20"/>
      <c r="G24" s="21"/>
      <c r="H24" s="22" t="str">
        <f aca="false">IF(COUNTIFS(Log!$B$4:$B$503,$A24,Log!$E$4:$E$503,"A")=0,"",COUNTIFS(Log!$B$4:$B$503,$A24,Log!$E$4:$E$503,"A"))</f>
        <v/>
      </c>
      <c r="I24" s="22" t="str">
        <f aca="false">IF($H24="","",SUMIFS(Log!$I$4:$I$503,Log!$B$4:$B$503,$A24,Log!$E$4:$E$503,"A"))</f>
        <v/>
      </c>
      <c r="J24" s="22" t="str">
        <f aca="false">IF($H24="","",SUMIFS(Log!$I$4:$I$503,Log!$B$4:$B$503,$A24))</f>
        <v/>
      </c>
      <c r="K24" s="19"/>
    </row>
    <row r="25" customFormat="false" ht="18" hidden="false" customHeight="true" outlineLevel="0" collapsed="false">
      <c r="A25" s="17" t="n">
        <v>22</v>
      </c>
      <c r="B25" s="18"/>
      <c r="C25" s="19"/>
      <c r="D25" s="20"/>
      <c r="E25" s="21"/>
      <c r="F25" s="20"/>
      <c r="G25" s="21"/>
      <c r="H25" s="22" t="str">
        <f aca="false">IF(COUNTIFS(Log!$B$4:$B$503,$A25,Log!$E$4:$E$503,"A")=0,"",COUNTIFS(Log!$B$4:$B$503,$A25,Log!$E$4:$E$503,"A"))</f>
        <v/>
      </c>
      <c r="I25" s="22" t="str">
        <f aca="false">IF($H25="","",SUMIFS(Log!$I$4:$I$503,Log!$B$4:$B$503,$A25,Log!$E$4:$E$503,"A"))</f>
        <v/>
      </c>
      <c r="J25" s="22" t="str">
        <f aca="false">IF($H25="","",SUMIFS(Log!$I$4:$I$503,Log!$B$4:$B$503,$A25))</f>
        <v/>
      </c>
      <c r="K25" s="19"/>
    </row>
    <row r="26" customFormat="false" ht="18" hidden="false" customHeight="true" outlineLevel="0" collapsed="false">
      <c r="A26" s="17" t="n">
        <v>23</v>
      </c>
      <c r="B26" s="18"/>
      <c r="C26" s="19"/>
      <c r="D26" s="20"/>
      <c r="E26" s="21"/>
      <c r="F26" s="20"/>
      <c r="G26" s="21"/>
      <c r="H26" s="22" t="str">
        <f aca="false">IF(COUNTIFS(Log!$B$4:$B$503,$A26,Log!$E$4:$E$503,"A")=0,"",COUNTIFS(Log!$B$4:$B$503,$A26,Log!$E$4:$E$503,"A"))</f>
        <v/>
      </c>
      <c r="I26" s="22" t="str">
        <f aca="false">IF($H26="","",SUMIFS(Log!$I$4:$I$503,Log!$B$4:$B$503,$A26,Log!$E$4:$E$503,"A"))</f>
        <v/>
      </c>
      <c r="J26" s="22" t="str">
        <f aca="false">IF($H26="","",SUMIFS(Log!$I$4:$I$503,Log!$B$4:$B$503,$A26))</f>
        <v/>
      </c>
      <c r="K26" s="19"/>
    </row>
    <row r="27" customFormat="false" ht="18" hidden="false" customHeight="true" outlineLevel="0" collapsed="false">
      <c r="A27" s="17" t="n">
        <v>24</v>
      </c>
      <c r="B27" s="18"/>
      <c r="C27" s="19"/>
      <c r="D27" s="20"/>
      <c r="E27" s="21"/>
      <c r="F27" s="20"/>
      <c r="G27" s="21"/>
      <c r="H27" s="22" t="str">
        <f aca="false">IF(COUNTIFS(Log!$B$4:$B$503,$A27,Log!$E$4:$E$503,"A")=0,"",COUNTIFS(Log!$B$4:$B$503,$A27,Log!$E$4:$E$503,"A"))</f>
        <v/>
      </c>
      <c r="I27" s="22" t="str">
        <f aca="false">IF($H27="","",SUMIFS(Log!$I$4:$I$503,Log!$B$4:$B$503,$A27,Log!$E$4:$E$503,"A"))</f>
        <v/>
      </c>
      <c r="J27" s="22" t="str">
        <f aca="false">IF($H27="","",SUMIFS(Log!$I$4:$I$503,Log!$B$4:$B$503,$A27))</f>
        <v/>
      </c>
      <c r="K27" s="19"/>
    </row>
    <row r="28" customFormat="false" ht="15" hidden="false" customHeight="false" outlineLevel="0" collapsed="false">
      <c r="A28" s="23" t="s">
        <v>84</v>
      </c>
      <c r="B28" s="24"/>
      <c r="C28" s="24"/>
      <c r="D28" s="24"/>
      <c r="E28" s="24"/>
      <c r="F28" s="24"/>
      <c r="G28" s="24"/>
      <c r="H28" s="25" t="n">
        <f aca="false">SUM(H4:H27)</f>
        <v>62</v>
      </c>
      <c r="I28" s="25" t="n">
        <f aca="false">SUM(I4:I27)</f>
        <v>74504.5</v>
      </c>
      <c r="J28" s="25" t="n">
        <f aca="false">SUM(J4:J27)</f>
        <v>89172</v>
      </c>
      <c r="K28" s="24"/>
    </row>
    <row r="30" customFormat="false" ht="15" hidden="false" customHeight="false" outlineLevel="0" collapsed="false">
      <c r="A30" s="15" t="s">
        <v>85</v>
      </c>
    </row>
  </sheetData>
  <mergeCells count="2">
    <mergeCell ref="A1:K1"/>
    <mergeCell ref="A2:K2"/>
  </mergeCells>
  <dataValidations count="1">
    <dataValidation allowBlank="true" errorStyle="stop" operator="between" showDropDown="false" showErrorMessage="false" showInputMessage="false" sqref="C4:C27"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86</v>
      </c>
      <c r="B1" s="1"/>
      <c r="C1" s="1"/>
      <c r="D1" s="1"/>
      <c r="E1" s="1"/>
      <c r="F1" s="1"/>
      <c r="G1" s="1"/>
      <c r="H1" s="1"/>
      <c r="I1" s="1"/>
      <c r="J1" s="1"/>
      <c r="K1" s="1"/>
      <c r="L1" s="1"/>
    </row>
    <row r="2" customFormat="false" ht="15" hidden="false" customHeight="true" outlineLevel="0" collapsed="false">
      <c r="A2" s="2" t="s">
        <v>87</v>
      </c>
      <c r="B2" s="2"/>
      <c r="C2" s="2"/>
      <c r="D2" s="2"/>
      <c r="E2" s="2"/>
      <c r="F2" s="2"/>
      <c r="G2" s="2"/>
      <c r="H2" s="2"/>
      <c r="I2" s="2"/>
      <c r="J2" s="2"/>
      <c r="K2" s="2"/>
      <c r="L2" s="2"/>
    </row>
    <row r="3" customFormat="false" ht="31.5" hidden="false" customHeight="true" outlineLevel="0" collapsed="false">
      <c r="A3" s="16" t="s">
        <v>54</v>
      </c>
      <c r="B3" s="16" t="s">
        <v>74</v>
      </c>
      <c r="C3" s="16" t="s">
        <v>88</v>
      </c>
      <c r="D3" s="16" t="s">
        <v>89</v>
      </c>
      <c r="E3" s="16" t="s">
        <v>90</v>
      </c>
      <c r="F3" s="16" t="s">
        <v>91</v>
      </c>
      <c r="G3" s="16" t="s">
        <v>92</v>
      </c>
      <c r="H3" s="16" t="s">
        <v>39</v>
      </c>
      <c r="I3" s="16" t="s">
        <v>93</v>
      </c>
      <c r="J3" s="16" t="s">
        <v>94</v>
      </c>
      <c r="K3" s="16" t="s">
        <v>95</v>
      </c>
      <c r="L3" s="16" t="s">
        <v>83</v>
      </c>
    </row>
    <row r="4" customFormat="false" ht="15.75" hidden="false" customHeight="true" outlineLevel="0" collapsed="false">
      <c r="A4" s="26" t="str">
        <f aca="false">IFERROR(IF($B4="","",IF(INDEX(Einheiten!$B$4:$B$27,MATCH($B4,Einheiten!$A$4:$A$27,0))=0,"",INDEX(Einheiten!$B$4:$B$27,MATCH($B4,Einheiten!$A$4:$A$27,0)))),"")</f>
        <v/>
      </c>
      <c r="B4" s="27" t="n">
        <v>1</v>
      </c>
      <c r="C4" s="28" t="str">
        <f aca="false">IFERROR(IF($D4="","",INDEX(Übungen!$B$4:$B$17,MATCH($D4,Übungen!$A$4:$A$17,0))),"")</f>
        <v>Beine vorne</v>
      </c>
      <c r="D4" s="19" t="s">
        <v>96</v>
      </c>
      <c r="E4" s="17" t="s">
        <v>97</v>
      </c>
      <c r="F4" s="20" t="n">
        <v>77.5</v>
      </c>
      <c r="G4" s="21" t="n">
        <v>17</v>
      </c>
      <c r="H4" s="20"/>
      <c r="I4" s="22" t="n">
        <f aca="false">IF(AND(ISNUMBER($F4),ISNUMBER($G4),$E4&lt;&gt;"R"),$F4*$G4,"")</f>
        <v>1317.5</v>
      </c>
      <c r="J4" s="29" t="str">
        <f aca="false">IF(AND($E4="A",ISNUMBER($F4),ISNUMBER($G4)),$F4*(1+$G4/30),"")</f>
        <v/>
      </c>
      <c r="K4" s="19"/>
      <c r="L4" s="19"/>
    </row>
    <row r="5" customFormat="false" ht="15.75" hidden="false" customHeight="true" outlineLevel="0" collapsed="false">
      <c r="A5" s="26" t="str">
        <f aca="false">IFERROR(IF($B5="","",IF(INDEX(Einheiten!$B$4:$B$27,MATCH($B5,Einheiten!$A$4:$A$27,0))=0,"",INDEX(Einheiten!$B$4:$B$27,MATCH($B5,Einheiten!$A$4:$A$27,0)))),"")</f>
        <v/>
      </c>
      <c r="B5" s="27" t="n">
        <v>1</v>
      </c>
      <c r="C5" s="28" t="str">
        <f aca="false">IFERROR(IF($D5="","",INDEX(Übungen!$B$4:$B$17,MATCH($D5,Übungen!$A$4:$A$17,0))),"")</f>
        <v>Beine vorne</v>
      </c>
      <c r="D5" s="19" t="s">
        <v>96</v>
      </c>
      <c r="E5" s="17" t="s">
        <v>98</v>
      </c>
      <c r="F5" s="20" t="n">
        <v>152.5</v>
      </c>
      <c r="G5" s="21" t="n">
        <v>17</v>
      </c>
      <c r="H5" s="20"/>
      <c r="I5" s="22" t="n">
        <f aca="false">IF(AND(ISNUMBER($F5),ISNUMBER($G5),$E5&lt;&gt;"R"),$F5*$G5,"")</f>
        <v>2592.5</v>
      </c>
      <c r="J5" s="29" t="n">
        <f aca="false">IF(AND($E5="A",ISNUMBER($F5),ISNUMBER($G5)),$F5*(1+$G5/30),"")</f>
        <v>238.916666666667</v>
      </c>
      <c r="K5" s="19"/>
      <c r="L5" s="19"/>
    </row>
    <row r="6" customFormat="false" ht="15.75" hidden="false" customHeight="true" outlineLevel="0" collapsed="false">
      <c r="A6" s="26" t="str">
        <f aca="false">IFERROR(IF($B6="","",IF(INDEX(Einheiten!$B$4:$B$27,MATCH($B6,Einheiten!$A$4:$A$27,0))=0,"",INDEX(Einheiten!$B$4:$B$27,MATCH($B6,Einheiten!$A$4:$A$27,0)))),"")</f>
        <v/>
      </c>
      <c r="B6" s="27" t="n">
        <v>1</v>
      </c>
      <c r="C6" s="28" t="str">
        <f aca="false">IFERROR(IF($D6="","",INDEX(Übungen!$B$4:$B$17,MATCH($D6,Übungen!$A$4:$A$17,0))),"")</f>
        <v>Beine vorne</v>
      </c>
      <c r="D6" s="19" t="s">
        <v>96</v>
      </c>
      <c r="E6" s="17" t="s">
        <v>98</v>
      </c>
      <c r="F6" s="20" t="n">
        <v>152.5</v>
      </c>
      <c r="G6" s="21" t="n">
        <v>10</v>
      </c>
      <c r="H6" s="20"/>
      <c r="I6" s="22" t="n">
        <f aca="false">IF(AND(ISNUMBER($F6),ISNUMBER($G6),$E6&lt;&gt;"R"),$F6*$G6,"")</f>
        <v>1525</v>
      </c>
      <c r="J6" s="29" t="n">
        <f aca="false">IF(AND($E6="A",ISNUMBER($F6),ISNUMBER($G6)),$F6*(1+$G6/30),"")</f>
        <v>203.333333333333</v>
      </c>
      <c r="K6" s="19"/>
      <c r="L6" s="19"/>
    </row>
    <row r="7" customFormat="false" ht="15.75" hidden="false" customHeight="true" outlineLevel="0" collapsed="false">
      <c r="A7" s="26" t="str">
        <f aca="false">IFERROR(IF($B7="","",IF(INDEX(Einheiten!$B$4:$B$27,MATCH($B7,Einheiten!$A$4:$A$27,0))=0,"",INDEX(Einheiten!$B$4:$B$27,MATCH($B7,Einheiten!$A$4:$A$27,0)))),"")</f>
        <v/>
      </c>
      <c r="B7" s="27" t="n">
        <v>1</v>
      </c>
      <c r="C7" s="28" t="str">
        <f aca="false">IFERROR(IF($D7="","",INDEX(Übungen!$B$4:$B$17,MATCH($D7,Übungen!$A$4:$A$17,0))),"")</f>
        <v>Beine vorne</v>
      </c>
      <c r="D7" s="19" t="s">
        <v>96</v>
      </c>
      <c r="E7" s="17" t="s">
        <v>99</v>
      </c>
      <c r="F7" s="20" t="n">
        <v>110</v>
      </c>
      <c r="G7" s="21" t="n">
        <v>10</v>
      </c>
      <c r="H7" s="20"/>
      <c r="I7" s="22" t="str">
        <f aca="false">IF(AND(ISNUMBER($F7),ISNUMBER($G7),$E7&lt;&gt;"R"),$F7*$G7,"")</f>
        <v/>
      </c>
      <c r="J7" s="29" t="str">
        <f aca="false">IF(AND($E7="A",ISNUMBER($F7),ISNUMBER($G7)),$F7*(1+$G7/30),"")</f>
        <v/>
      </c>
      <c r="K7" s="19" t="s">
        <v>100</v>
      </c>
      <c r="L7" s="19"/>
    </row>
    <row r="8" customFormat="false" ht="15.75" hidden="false" customHeight="true" outlineLevel="0" collapsed="false">
      <c r="A8" s="26" t="str">
        <f aca="false">IFERROR(IF($B8="","",IF(INDEX(Einheiten!$B$4:$B$27,MATCH($B8,Einheiten!$A$4:$A$27,0))=0,"",INDEX(Einheiten!$B$4:$B$27,MATCH($B8,Einheiten!$A$4:$A$27,0)))),"")</f>
        <v/>
      </c>
      <c r="B8" s="27" t="n">
        <v>2</v>
      </c>
      <c r="C8" s="28" t="str">
        <f aca="false">IFERROR(IF($D8="","",INDEX(Übungen!$B$4:$B$17,MATCH($D8,Übungen!$A$4:$A$17,0))),"")</f>
        <v>Beine vorne</v>
      </c>
      <c r="D8" s="19" t="s">
        <v>96</v>
      </c>
      <c r="E8" s="17" t="s">
        <v>97</v>
      </c>
      <c r="F8" s="20" t="n">
        <v>85</v>
      </c>
      <c r="G8" s="21" t="n">
        <v>10</v>
      </c>
      <c r="H8" s="20"/>
      <c r="I8" s="22" t="n">
        <f aca="false">IF(AND(ISNUMBER($F8),ISNUMBER($G8),$E8&lt;&gt;"R"),$F8*$G8,"")</f>
        <v>850</v>
      </c>
      <c r="J8" s="29" t="str">
        <f aca="false">IF(AND($E8="A",ISNUMBER($F8),ISNUMBER($G8)),$F8*(1+$G8/30),"")</f>
        <v/>
      </c>
      <c r="K8" s="19"/>
      <c r="L8" s="19"/>
    </row>
    <row r="9" customFormat="false" ht="15.75" hidden="false" customHeight="true" outlineLevel="0" collapsed="false">
      <c r="A9" s="26" t="str">
        <f aca="false">IFERROR(IF($B9="","",IF(INDEX(Einheiten!$B$4:$B$27,MATCH($B9,Einheiten!$A$4:$A$27,0))=0,"",INDEX(Einheiten!$B$4:$B$27,MATCH($B9,Einheiten!$A$4:$A$27,0)))),"")</f>
        <v/>
      </c>
      <c r="B9" s="27" t="n">
        <v>2</v>
      </c>
      <c r="C9" s="28" t="str">
        <f aca="false">IFERROR(IF($D9="","",INDEX(Übungen!$B$4:$B$17,MATCH($D9,Übungen!$A$4:$A$17,0))),"")</f>
        <v>Beine vorne</v>
      </c>
      <c r="D9" s="19" t="s">
        <v>96</v>
      </c>
      <c r="E9" s="17" t="s">
        <v>98</v>
      </c>
      <c r="F9" s="20" t="n">
        <v>152.5</v>
      </c>
      <c r="G9" s="21" t="n">
        <v>20</v>
      </c>
      <c r="H9" s="20"/>
      <c r="I9" s="22" t="n">
        <f aca="false">IF(AND(ISNUMBER($F9),ISNUMBER($G9),$E9&lt;&gt;"R"),$F9*$G9,"")</f>
        <v>3050</v>
      </c>
      <c r="J9" s="29" t="n">
        <f aca="false">IF(AND($E9="A",ISNUMBER($F9),ISNUMBER($G9)),$F9*(1+$G9/30),"")</f>
        <v>254.166666666667</v>
      </c>
      <c r="K9" s="19"/>
      <c r="L9" s="19"/>
    </row>
    <row r="10" customFormat="false" ht="15.75" hidden="false" customHeight="true" outlineLevel="0" collapsed="false">
      <c r="A10" s="26" t="str">
        <f aca="false">IFERROR(IF($B10="","",IF(INDEX(Einheiten!$B$4:$B$27,MATCH($B10,Einheiten!$A$4:$A$27,0))=0,"",INDEX(Einheiten!$B$4:$B$27,MATCH($B10,Einheiten!$A$4:$A$27,0)))),"")</f>
        <v/>
      </c>
      <c r="B10" s="27" t="n">
        <v>2</v>
      </c>
      <c r="C10" s="28" t="str">
        <f aca="false">IFERROR(IF($D10="","",INDEX(Übungen!$B$4:$B$17,MATCH($D10,Übungen!$A$4:$A$17,0))),"")</f>
        <v>Beine vorne</v>
      </c>
      <c r="D10" s="19" t="s">
        <v>96</v>
      </c>
      <c r="E10" s="17" t="s">
        <v>98</v>
      </c>
      <c r="F10" s="20" t="n">
        <v>152.5</v>
      </c>
      <c r="G10" s="21" t="n">
        <v>16</v>
      </c>
      <c r="H10" s="20"/>
      <c r="I10" s="22" t="n">
        <f aca="false">IF(AND(ISNUMBER($F10),ISNUMBER($G10),$E10&lt;&gt;"R"),$F10*$G10,"")</f>
        <v>2440</v>
      </c>
      <c r="J10" s="29" t="n">
        <f aca="false">IF(AND($E10="A",ISNUMBER($F10),ISNUMBER($G10)),$F10*(1+$G10/30),"")</f>
        <v>233.833333333333</v>
      </c>
      <c r="K10" s="19"/>
      <c r="L10" s="19"/>
    </row>
    <row r="11" customFormat="false" ht="15.75" hidden="false" customHeight="true" outlineLevel="0" collapsed="false">
      <c r="A11" s="26" t="str">
        <f aca="false">IFERROR(IF($B11="","",IF(INDEX(Einheiten!$B$4:$B$27,MATCH($B11,Einheiten!$A$4:$A$27,0))=0,"",INDEX(Einheiten!$B$4:$B$27,MATCH($B11,Einheiten!$A$4:$A$27,0)))),"")</f>
        <v/>
      </c>
      <c r="B11" s="27" t="n">
        <v>2</v>
      </c>
      <c r="C11" s="28" t="str">
        <f aca="false">IFERROR(IF($D11="","",INDEX(Übungen!$B$4:$B$17,MATCH($D11,Übungen!$A$4:$A$17,0))),"")</f>
        <v>Beine vorne</v>
      </c>
      <c r="D11" s="19" t="s">
        <v>96</v>
      </c>
      <c r="E11" s="17" t="s">
        <v>99</v>
      </c>
      <c r="F11" s="20" t="n">
        <v>110</v>
      </c>
      <c r="G11" s="21" t="n">
        <v>10</v>
      </c>
      <c r="H11" s="20"/>
      <c r="I11" s="22" t="str">
        <f aca="false">IF(AND(ISNUMBER($F11),ISNUMBER($G11),$E11&lt;&gt;"R"),$F11*$G11,"")</f>
        <v/>
      </c>
      <c r="J11" s="29" t="str">
        <f aca="false">IF(AND($E11="A",ISNUMBER($F11),ISNUMBER($G11)),$F11*(1+$G11/30),"")</f>
        <v/>
      </c>
      <c r="K11" s="19" t="s">
        <v>101</v>
      </c>
      <c r="L11" s="19"/>
    </row>
    <row r="12" customFormat="false" ht="15.75" hidden="false" customHeight="true" outlineLevel="0" collapsed="false">
      <c r="A12" s="26" t="str">
        <f aca="false">IFERROR(IF($B12="","",IF(INDEX(Einheiten!$B$4:$B$27,MATCH($B12,Einheiten!$A$4:$A$27,0))=0,"",INDEX(Einheiten!$B$4:$B$27,MATCH($B12,Einheiten!$A$4:$A$27,0)))),"")</f>
        <v/>
      </c>
      <c r="B12" s="27" t="n">
        <v>3</v>
      </c>
      <c r="C12" s="28" t="str">
        <f aca="false">IFERROR(IF($D12="","",INDEX(Übungen!$B$4:$B$17,MATCH($D12,Übungen!$A$4:$A$17,0))),"")</f>
        <v>Beine vorne</v>
      </c>
      <c r="D12" s="19" t="s">
        <v>96</v>
      </c>
      <c r="E12" s="17" t="s">
        <v>97</v>
      </c>
      <c r="F12" s="20" t="n">
        <v>65</v>
      </c>
      <c r="G12" s="21" t="n">
        <v>10</v>
      </c>
      <c r="H12" s="20"/>
      <c r="I12" s="22" t="n">
        <f aca="false">IF(AND(ISNUMBER($F12),ISNUMBER($G12),$E12&lt;&gt;"R"),$F12*$G12,"")</f>
        <v>650</v>
      </c>
      <c r="J12" s="29" t="str">
        <f aca="false">IF(AND($E12="A",ISNUMBER($F12),ISNUMBER($G12)),$F12*(1+$G12/30),"")</f>
        <v/>
      </c>
      <c r="K12" s="19"/>
      <c r="L12" s="19"/>
    </row>
    <row r="13" customFormat="false" ht="15.75" hidden="false" customHeight="true" outlineLevel="0" collapsed="false">
      <c r="A13" s="26" t="str">
        <f aca="false">IFERROR(IF($B13="","",IF(INDEX(Einheiten!$B$4:$B$27,MATCH($B13,Einheiten!$A$4:$A$27,0))=0,"",INDEX(Einheiten!$B$4:$B$27,MATCH($B13,Einheiten!$A$4:$A$27,0)))),"")</f>
        <v/>
      </c>
      <c r="B13" s="27" t="n">
        <v>3</v>
      </c>
      <c r="C13" s="28" t="str">
        <f aca="false">IFERROR(IF($D13="","",INDEX(Übungen!$B$4:$B$17,MATCH($D13,Übungen!$A$4:$A$17,0))),"")</f>
        <v>Beine vorne</v>
      </c>
      <c r="D13" s="19" t="s">
        <v>96</v>
      </c>
      <c r="E13" s="17" t="s">
        <v>97</v>
      </c>
      <c r="F13" s="20" t="n">
        <v>80</v>
      </c>
      <c r="G13" s="21" t="n">
        <v>6</v>
      </c>
      <c r="H13" s="20"/>
      <c r="I13" s="22" t="n">
        <f aca="false">IF(AND(ISNUMBER($F13),ISNUMBER($G13),$E13&lt;&gt;"R"),$F13*$G13,"")</f>
        <v>480</v>
      </c>
      <c r="J13" s="29" t="str">
        <f aca="false">IF(AND($E13="A",ISNUMBER($F13),ISNUMBER($G13)),$F13*(1+$G13/30),"")</f>
        <v/>
      </c>
      <c r="K13" s="19"/>
      <c r="L13" s="19"/>
    </row>
    <row r="14" customFormat="false" ht="15.75" hidden="false" customHeight="true" outlineLevel="0" collapsed="false">
      <c r="A14" s="26" t="str">
        <f aca="false">IFERROR(IF($B14="","",IF(INDEX(Einheiten!$B$4:$B$27,MATCH($B14,Einheiten!$A$4:$A$27,0))=0,"",INDEX(Einheiten!$B$4:$B$27,MATCH($B14,Einheiten!$A$4:$A$27,0)))),"")</f>
        <v/>
      </c>
      <c r="B14" s="27" t="n">
        <v>3</v>
      </c>
      <c r="C14" s="28" t="str">
        <f aca="false">IFERROR(IF($D14="","",INDEX(Übungen!$B$4:$B$17,MATCH($D14,Übungen!$A$4:$A$17,0))),"")</f>
        <v>Beine vorne</v>
      </c>
      <c r="D14" s="19" t="s">
        <v>96</v>
      </c>
      <c r="E14" s="17" t="s">
        <v>98</v>
      </c>
      <c r="F14" s="20" t="n">
        <v>152.5</v>
      </c>
      <c r="G14" s="21" t="n">
        <v>22</v>
      </c>
      <c r="H14" s="20"/>
      <c r="I14" s="22" t="n">
        <f aca="false">IF(AND(ISNUMBER($F14),ISNUMBER($G14),$E14&lt;&gt;"R"),$F14*$G14,"")</f>
        <v>3355</v>
      </c>
      <c r="J14" s="29" t="n">
        <f aca="false">IF(AND($E14="A",ISNUMBER($F14),ISNUMBER($G14)),$F14*(1+$G14/30),"")</f>
        <v>264.333333333333</v>
      </c>
      <c r="K14" s="19"/>
      <c r="L14" s="19"/>
    </row>
    <row r="15" customFormat="false" ht="15.75" hidden="false" customHeight="true" outlineLevel="0" collapsed="false">
      <c r="A15" s="26" t="str">
        <f aca="false">IFERROR(IF($B15="","",IF(INDEX(Einheiten!$B$4:$B$27,MATCH($B15,Einheiten!$A$4:$A$27,0))=0,"",INDEX(Einheiten!$B$4:$B$27,MATCH($B15,Einheiten!$A$4:$A$27,0)))),"")</f>
        <v/>
      </c>
      <c r="B15" s="27" t="n">
        <v>3</v>
      </c>
      <c r="C15" s="28" t="str">
        <f aca="false">IFERROR(IF($D15="","",INDEX(Übungen!$B$4:$B$17,MATCH($D15,Übungen!$A$4:$A$17,0))),"")</f>
        <v>Beine vorne</v>
      </c>
      <c r="D15" s="19" t="s">
        <v>96</v>
      </c>
      <c r="E15" s="17" t="s">
        <v>98</v>
      </c>
      <c r="F15" s="20" t="n">
        <v>152.5</v>
      </c>
      <c r="G15" s="21" t="n">
        <v>13</v>
      </c>
      <c r="H15" s="20"/>
      <c r="I15" s="22" t="n">
        <f aca="false">IF(AND(ISNUMBER($F15),ISNUMBER($G15),$E15&lt;&gt;"R"),$F15*$G15,"")</f>
        <v>1982.5</v>
      </c>
      <c r="J15" s="29" t="n">
        <f aca="false">IF(AND($E15="A",ISNUMBER($F15),ISNUMBER($G15)),$F15*(1+$G15/30),"")</f>
        <v>218.583333333333</v>
      </c>
      <c r="K15" s="19"/>
      <c r="L15" s="19"/>
    </row>
    <row r="16" customFormat="false" ht="15.75" hidden="false" customHeight="true" outlineLevel="0" collapsed="false">
      <c r="A16" s="26" t="str">
        <f aca="false">IFERROR(IF($B16="","",IF(INDEX(Einheiten!$B$4:$B$27,MATCH($B16,Einheiten!$A$4:$A$27,0))=0,"",INDEX(Einheiten!$B$4:$B$27,MATCH($B16,Einheiten!$A$4:$A$27,0)))),"")</f>
        <v/>
      </c>
      <c r="B16" s="27" t="n">
        <v>3</v>
      </c>
      <c r="C16" s="28" t="str">
        <f aca="false">IFERROR(IF($D16="","",INDEX(Übungen!$B$4:$B$17,MATCH($D16,Übungen!$A$4:$A$17,0))),"")</f>
        <v>Beine vorne</v>
      </c>
      <c r="D16" s="19" t="s">
        <v>96</v>
      </c>
      <c r="E16" s="17" t="s">
        <v>99</v>
      </c>
      <c r="F16" s="20" t="n">
        <v>110</v>
      </c>
      <c r="G16" s="21" t="n">
        <v>10</v>
      </c>
      <c r="H16" s="20"/>
      <c r="I16" s="22" t="str">
        <f aca="false">IF(AND(ISNUMBER($F16),ISNUMBER($G16),$E16&lt;&gt;"R"),$F16*$G16,"")</f>
        <v/>
      </c>
      <c r="J16" s="29" t="str">
        <f aca="false">IF(AND($E16="A",ISNUMBER($F16),ISNUMBER($G16)),$F16*(1+$G16/30),"")</f>
        <v/>
      </c>
      <c r="K16" s="19" t="s">
        <v>102</v>
      </c>
      <c r="L16" s="19"/>
    </row>
    <row r="17" customFormat="false" ht="15.75" hidden="false" customHeight="true" outlineLevel="0" collapsed="false">
      <c r="A17" s="26" t="str">
        <f aca="false">IFERROR(IF($B17="","",IF(INDEX(Einheiten!$B$4:$B$27,MATCH($B17,Einheiten!$A$4:$A$27,0))=0,"",INDEX(Einheiten!$B$4:$B$27,MATCH($B17,Einheiten!$A$4:$A$27,0)))),"")</f>
        <v/>
      </c>
      <c r="B17" s="27" t="n">
        <v>4</v>
      </c>
      <c r="C17" s="28" t="str">
        <f aca="false">IFERROR(IF($D17="","",INDEX(Übungen!$B$4:$B$17,MATCH($D17,Übungen!$A$4:$A$17,0))),"")</f>
        <v>Beine vorne</v>
      </c>
      <c r="D17" s="19" t="s">
        <v>96</v>
      </c>
      <c r="E17" s="17" t="s">
        <v>97</v>
      </c>
      <c r="F17" s="20" t="n">
        <v>50</v>
      </c>
      <c r="G17" s="21" t="n">
        <v>10</v>
      </c>
      <c r="H17" s="20"/>
      <c r="I17" s="22" t="n">
        <f aca="false">IF(AND(ISNUMBER($F17),ISNUMBER($G17),$E17&lt;&gt;"R"),$F17*$G17,"")</f>
        <v>500</v>
      </c>
      <c r="J17" s="29" t="str">
        <f aca="false">IF(AND($E17="A",ISNUMBER($F17),ISNUMBER($G17)),$F17*(1+$G17/30),"")</f>
        <v/>
      </c>
      <c r="K17" s="19"/>
      <c r="L17" s="19"/>
    </row>
    <row r="18" customFormat="false" ht="15.75" hidden="false" customHeight="true" outlineLevel="0" collapsed="false">
      <c r="A18" s="26" t="str">
        <f aca="false">IFERROR(IF($B18="","",IF(INDEX(Einheiten!$B$4:$B$27,MATCH($B18,Einheiten!$A$4:$A$27,0))=0,"",INDEX(Einheiten!$B$4:$B$27,MATCH($B18,Einheiten!$A$4:$A$27,0)))),"")</f>
        <v/>
      </c>
      <c r="B18" s="27" t="n">
        <v>4</v>
      </c>
      <c r="C18" s="28" t="str">
        <f aca="false">IFERROR(IF($D18="","",INDEX(Übungen!$B$4:$B$17,MATCH($D18,Übungen!$A$4:$A$17,0))),"")</f>
        <v>Beine vorne</v>
      </c>
      <c r="D18" s="19" t="s">
        <v>96</v>
      </c>
      <c r="E18" s="17" t="s">
        <v>97</v>
      </c>
      <c r="F18" s="20" t="n">
        <v>70</v>
      </c>
      <c r="G18" s="21" t="n">
        <v>10</v>
      </c>
      <c r="H18" s="20"/>
      <c r="I18" s="22" t="n">
        <f aca="false">IF(AND(ISNUMBER($F18),ISNUMBER($G18),$E18&lt;&gt;"R"),$F18*$G18,"")</f>
        <v>700</v>
      </c>
      <c r="J18" s="29" t="str">
        <f aca="false">IF(AND($E18="A",ISNUMBER($F18),ISNUMBER($G18)),$F18*(1+$G18/30),"")</f>
        <v/>
      </c>
      <c r="K18" s="19"/>
      <c r="L18" s="19"/>
    </row>
    <row r="19" customFormat="false" ht="15.75" hidden="false" customHeight="true" outlineLevel="0" collapsed="false">
      <c r="A19" s="26" t="str">
        <f aca="false">IFERROR(IF($B19="","",IF(INDEX(Einheiten!$B$4:$B$27,MATCH($B19,Einheiten!$A$4:$A$27,0))=0,"",INDEX(Einheiten!$B$4:$B$27,MATCH($B19,Einheiten!$A$4:$A$27,0)))),"")</f>
        <v/>
      </c>
      <c r="B19" s="27" t="n">
        <v>4</v>
      </c>
      <c r="C19" s="28" t="str">
        <f aca="false">IFERROR(IF($D19="","",INDEX(Übungen!$B$4:$B$17,MATCH($D19,Übungen!$A$4:$A$17,0))),"")</f>
        <v>Beine vorne</v>
      </c>
      <c r="D19" s="19" t="s">
        <v>96</v>
      </c>
      <c r="E19" s="17" t="s">
        <v>98</v>
      </c>
      <c r="F19" s="20" t="n">
        <v>152.5</v>
      </c>
      <c r="G19" s="21" t="n">
        <v>25</v>
      </c>
      <c r="H19" s="20"/>
      <c r="I19" s="22" t="n">
        <f aca="false">IF(AND(ISNUMBER($F19),ISNUMBER($G19),$E19&lt;&gt;"R"),$F19*$G19,"")</f>
        <v>3812.5</v>
      </c>
      <c r="J19" s="29" t="n">
        <f aca="false">IF(AND($E19="A",ISNUMBER($F19),ISNUMBER($G19)),$F19*(1+$G19/30),"")</f>
        <v>279.583333333333</v>
      </c>
      <c r="K19" s="19"/>
      <c r="L19" s="19" t="s">
        <v>103</v>
      </c>
    </row>
    <row r="20" customFormat="false" ht="15.75" hidden="false" customHeight="true" outlineLevel="0" collapsed="false">
      <c r="A20" s="26" t="str">
        <f aca="false">IFERROR(IF($B20="","",IF(INDEX(Einheiten!$B$4:$B$27,MATCH($B20,Einheiten!$A$4:$A$27,0))=0,"",INDEX(Einheiten!$B$4:$B$27,MATCH($B20,Einheiten!$A$4:$A$27,0)))),"")</f>
        <v/>
      </c>
      <c r="B20" s="27" t="n">
        <v>4</v>
      </c>
      <c r="C20" s="28" t="str">
        <f aca="false">IFERROR(IF($D20="","",INDEX(Übungen!$B$4:$B$17,MATCH($D20,Übungen!$A$4:$A$17,0))),"")</f>
        <v>Beine vorne</v>
      </c>
      <c r="D20" s="19" t="s">
        <v>96</v>
      </c>
      <c r="E20" s="17" t="s">
        <v>98</v>
      </c>
      <c r="F20" s="20" t="n">
        <v>152.5</v>
      </c>
      <c r="G20" s="21" t="n">
        <v>20</v>
      </c>
      <c r="H20" s="20"/>
      <c r="I20" s="22" t="n">
        <f aca="false">IF(AND(ISNUMBER($F20),ISNUMBER($G20),$E20&lt;&gt;"R"),$F20*$G20,"")</f>
        <v>3050</v>
      </c>
      <c r="J20" s="29" t="n">
        <f aca="false">IF(AND($E20="A",ISNUMBER($F20),ISNUMBER($G20)),$F20*(1+$G20/30),"")</f>
        <v>254.166666666667</v>
      </c>
      <c r="K20" s="19"/>
      <c r="L20" s="19" t="s">
        <v>103</v>
      </c>
    </row>
    <row r="21" customFormat="false" ht="15.75" hidden="false" customHeight="true" outlineLevel="0" collapsed="false">
      <c r="A21" s="26" t="str">
        <f aca="false">IFERROR(IF($B21="","",IF(INDEX(Einheiten!$B$4:$B$27,MATCH($B21,Einheiten!$A$4:$A$27,0))=0,"",INDEX(Einheiten!$B$4:$B$27,MATCH($B21,Einheiten!$A$4:$A$27,0)))),"")</f>
        <v/>
      </c>
      <c r="B21" s="27" t="n">
        <v>4</v>
      </c>
      <c r="C21" s="28" t="str">
        <f aca="false">IFERROR(IF($D21="","",INDEX(Übungen!$B$4:$B$17,MATCH($D21,Übungen!$A$4:$A$17,0))),"")</f>
        <v>Beine vorne</v>
      </c>
      <c r="D21" s="19" t="s">
        <v>96</v>
      </c>
      <c r="E21" s="17" t="s">
        <v>99</v>
      </c>
      <c r="F21" s="20" t="n">
        <v>125</v>
      </c>
      <c r="G21" s="21" t="n">
        <v>6</v>
      </c>
      <c r="H21" s="20"/>
      <c r="I21" s="22" t="str">
        <f aca="false">IF(AND(ISNUMBER($F21),ISNUMBER($G21),$E21&lt;&gt;"R"),$F21*$G21,"")</f>
        <v/>
      </c>
      <c r="J21" s="29" t="str">
        <f aca="false">IF(AND($E21="A",ISNUMBER($F21),ISNUMBER($G21)),$F21*(1+$G21/30),"")</f>
        <v/>
      </c>
      <c r="K21" s="19" t="s">
        <v>104</v>
      </c>
      <c r="L21" s="19"/>
    </row>
    <row r="22" customFormat="false" ht="15.75" hidden="false" customHeight="true" outlineLevel="0" collapsed="false">
      <c r="A22" s="26" t="str">
        <f aca="false">IFERROR(IF($B22="","",IF(INDEX(Einheiten!$B$4:$B$27,MATCH($B22,Einheiten!$A$4:$A$27,0))=0,"",INDEX(Einheiten!$B$4:$B$27,MATCH($B22,Einheiten!$A$4:$A$27,0)))),"")</f>
        <v/>
      </c>
      <c r="B22" s="27" t="n">
        <v>1</v>
      </c>
      <c r="C22" s="28" t="str">
        <f aca="false">IFERROR(IF($D22="","",INDEX(Übungen!$B$4:$B$17,MATCH($D22,Übungen!$A$4:$A$17,0))),"")</f>
        <v>Beine vorne</v>
      </c>
      <c r="D22" s="19" t="s">
        <v>105</v>
      </c>
      <c r="E22" s="17" t="s">
        <v>97</v>
      </c>
      <c r="F22" s="20" t="n">
        <v>15</v>
      </c>
      <c r="G22" s="21" t="n">
        <v>10</v>
      </c>
      <c r="H22" s="20"/>
      <c r="I22" s="22" t="n">
        <f aca="false">IF(AND(ISNUMBER($F22),ISNUMBER($G22),$E22&lt;&gt;"R"),$F22*$G22,"")</f>
        <v>150</v>
      </c>
      <c r="J22" s="29" t="str">
        <f aca="false">IF(AND($E22="A",ISNUMBER($F22),ISNUMBER($G22)),$F22*(1+$G22/30),"")</f>
        <v/>
      </c>
      <c r="K22" s="19"/>
      <c r="L22" s="19"/>
    </row>
    <row r="23" customFormat="false" ht="15.75" hidden="false" customHeight="true" outlineLevel="0" collapsed="false">
      <c r="A23" s="26" t="str">
        <f aca="false">IFERROR(IF($B23="","",IF(INDEX(Einheiten!$B$4:$B$27,MATCH($B23,Einheiten!$A$4:$A$27,0))=0,"",INDEX(Einheiten!$B$4:$B$27,MATCH($B23,Einheiten!$A$4:$A$27,0)))),"")</f>
        <v/>
      </c>
      <c r="B23" s="27" t="n">
        <v>1</v>
      </c>
      <c r="C23" s="28" t="str">
        <f aca="false">IFERROR(IF($D23="","",INDEX(Übungen!$B$4:$B$17,MATCH($D23,Übungen!$A$4:$A$17,0))),"")</f>
        <v>Beine vorne</v>
      </c>
      <c r="D23" s="19" t="s">
        <v>105</v>
      </c>
      <c r="E23" s="17" t="s">
        <v>97</v>
      </c>
      <c r="F23" s="20" t="n">
        <v>30</v>
      </c>
      <c r="G23" s="21" t="n">
        <v>4</v>
      </c>
      <c r="H23" s="20"/>
      <c r="I23" s="22" t="n">
        <f aca="false">IF(AND(ISNUMBER($F23),ISNUMBER($G23),$E23&lt;&gt;"R"),$F23*$G23,"")</f>
        <v>120</v>
      </c>
      <c r="J23" s="29" t="str">
        <f aca="false">IF(AND($E23="A",ISNUMBER($F23),ISNUMBER($G23)),$F23*(1+$G23/30),"")</f>
        <v/>
      </c>
      <c r="K23" s="19"/>
      <c r="L23" s="19"/>
    </row>
    <row r="24" customFormat="false" ht="15.75" hidden="false" customHeight="true" outlineLevel="0" collapsed="false">
      <c r="A24" s="26" t="str">
        <f aca="false">IFERROR(IF($B24="","",IF(INDEX(Einheiten!$B$4:$B$27,MATCH($B24,Einheiten!$A$4:$A$27,0))=0,"",INDEX(Einheiten!$B$4:$B$27,MATCH($B24,Einheiten!$A$4:$A$27,0)))),"")</f>
        <v/>
      </c>
      <c r="B24" s="27" t="n">
        <v>1</v>
      </c>
      <c r="C24" s="28" t="str">
        <f aca="false">IFERROR(IF($D24="","",INDEX(Übungen!$B$4:$B$17,MATCH($D24,Übungen!$A$4:$A$17,0))),"")</f>
        <v>Beine vorne</v>
      </c>
      <c r="D24" s="19" t="s">
        <v>105</v>
      </c>
      <c r="E24" s="17" t="s">
        <v>98</v>
      </c>
      <c r="F24" s="20" t="n">
        <v>65</v>
      </c>
      <c r="G24" s="21" t="n">
        <v>7</v>
      </c>
      <c r="H24" s="20"/>
      <c r="I24" s="22" t="n">
        <f aca="false">IF(AND(ISNUMBER($F24),ISNUMBER($G24),$E24&lt;&gt;"R"),$F24*$G24,"")</f>
        <v>455</v>
      </c>
      <c r="J24" s="29" t="n">
        <f aca="false">IF(AND($E24="A",ISNUMBER($F24),ISNUMBER($G24)),$F24*(1+$G24/30),"")</f>
        <v>80.1666666666667</v>
      </c>
      <c r="K24" s="19"/>
      <c r="L24" s="19"/>
    </row>
    <row r="25" customFormat="false" ht="15.75" hidden="false" customHeight="true" outlineLevel="0" collapsed="false">
      <c r="A25" s="26" t="str">
        <f aca="false">IFERROR(IF($B25="","",IF(INDEX(Einheiten!$B$4:$B$27,MATCH($B25,Einheiten!$A$4:$A$27,0))=0,"",INDEX(Einheiten!$B$4:$B$27,MATCH($B25,Einheiten!$A$4:$A$27,0)))),"")</f>
        <v/>
      </c>
      <c r="B25" s="27" t="n">
        <v>1</v>
      </c>
      <c r="C25" s="28" t="str">
        <f aca="false">IFERROR(IF($D25="","",INDEX(Übungen!$B$4:$B$17,MATCH($D25,Übungen!$A$4:$A$17,0))),"")</f>
        <v>Beine vorne</v>
      </c>
      <c r="D25" s="19" t="s">
        <v>105</v>
      </c>
      <c r="E25" s="17" t="s">
        <v>98</v>
      </c>
      <c r="F25" s="20" t="n">
        <v>75</v>
      </c>
      <c r="G25" s="21" t="n">
        <v>10</v>
      </c>
      <c r="H25" s="20"/>
      <c r="I25" s="22" t="n">
        <f aca="false">IF(AND(ISNUMBER($F25),ISNUMBER($G25),$E25&lt;&gt;"R"),$F25*$G25,"")</f>
        <v>750</v>
      </c>
      <c r="J25" s="29" t="n">
        <f aca="false">IF(AND($E25="A",ISNUMBER($F25),ISNUMBER($G25)),$F25*(1+$G25/30),"")</f>
        <v>100</v>
      </c>
      <c r="K25" s="19"/>
      <c r="L25" s="19"/>
    </row>
    <row r="26" customFormat="false" ht="15.75" hidden="false" customHeight="true" outlineLevel="0" collapsed="false">
      <c r="A26" s="26" t="str">
        <f aca="false">IFERROR(IF($B26="","",IF(INDEX(Einheiten!$B$4:$B$27,MATCH($B26,Einheiten!$A$4:$A$27,0))=0,"",INDEX(Einheiten!$B$4:$B$27,MATCH($B26,Einheiten!$A$4:$A$27,0)))),"")</f>
        <v/>
      </c>
      <c r="B26" s="27" t="n">
        <v>1</v>
      </c>
      <c r="C26" s="28" t="str">
        <f aca="false">IFERROR(IF($D26="","",INDEX(Übungen!$B$4:$B$17,MATCH($D26,Übungen!$A$4:$A$17,0))),"")</f>
        <v>Beine vorne</v>
      </c>
      <c r="D26" s="19" t="s">
        <v>105</v>
      </c>
      <c r="E26" s="17" t="s">
        <v>99</v>
      </c>
      <c r="F26" s="20" t="n">
        <v>55</v>
      </c>
      <c r="G26" s="21"/>
      <c r="H26" s="20"/>
      <c r="I26" s="22" t="str">
        <f aca="false">IF(AND(ISNUMBER($F26),ISNUMBER($G26),$E26&lt;&gt;"R"),$F26*$G26,"")</f>
        <v/>
      </c>
      <c r="J26" s="29" t="str">
        <f aca="false">IF(AND($E26="A",ISNUMBER($F26),ISNUMBER($G26)),$F26*(1+$G26/30),"")</f>
        <v/>
      </c>
      <c r="K26" s="19" t="s">
        <v>106</v>
      </c>
      <c r="L26" s="19" t="s">
        <v>107</v>
      </c>
    </row>
    <row r="27" customFormat="false" ht="15.75" hidden="false" customHeight="true" outlineLevel="0" collapsed="false">
      <c r="A27" s="26" t="str">
        <f aca="false">IFERROR(IF($B27="","",IF(INDEX(Einheiten!$B$4:$B$27,MATCH($B27,Einheiten!$A$4:$A$27,0))=0,"",INDEX(Einheiten!$B$4:$B$27,MATCH($B27,Einheiten!$A$4:$A$27,0)))),"")</f>
        <v/>
      </c>
      <c r="B27" s="27" t="n">
        <v>2</v>
      </c>
      <c r="C27" s="28" t="str">
        <f aca="false">IFERROR(IF($D27="","",INDEX(Übungen!$B$4:$B$17,MATCH($D27,Übungen!$A$4:$A$17,0))),"")</f>
        <v>Beine vorne</v>
      </c>
      <c r="D27" s="19" t="s">
        <v>105</v>
      </c>
      <c r="E27" s="17" t="s">
        <v>97</v>
      </c>
      <c r="F27" s="20" t="n">
        <v>10</v>
      </c>
      <c r="G27" s="21"/>
      <c r="H27" s="20"/>
      <c r="I27" s="22" t="str">
        <f aca="false">IF(AND(ISNUMBER($F27),ISNUMBER($G27),$E27&lt;&gt;"R"),$F27*$G27,"")</f>
        <v/>
      </c>
      <c r="J27" s="29" t="str">
        <f aca="false">IF(AND($E27="A",ISNUMBER($F27),ISNUMBER($G27)),$F27*(1+$G27/30),"")</f>
        <v/>
      </c>
      <c r="K27" s="19"/>
      <c r="L27" s="19" t="s">
        <v>108</v>
      </c>
    </row>
    <row r="28" customFormat="false" ht="15.75" hidden="false" customHeight="true" outlineLevel="0" collapsed="false">
      <c r="A28" s="26" t="str">
        <f aca="false">IFERROR(IF($B28="","",IF(INDEX(Einheiten!$B$4:$B$27,MATCH($B28,Einheiten!$A$4:$A$27,0))=0,"",INDEX(Einheiten!$B$4:$B$27,MATCH($B28,Einheiten!$A$4:$A$27,0)))),"")</f>
        <v/>
      </c>
      <c r="B28" s="27" t="n">
        <v>2</v>
      </c>
      <c r="C28" s="28" t="str">
        <f aca="false">IFERROR(IF($D28="","",INDEX(Übungen!$B$4:$B$17,MATCH($D28,Übungen!$A$4:$A$17,0))),"")</f>
        <v>Beine vorne</v>
      </c>
      <c r="D28" s="19" t="s">
        <v>105</v>
      </c>
      <c r="E28" s="17" t="s">
        <v>97</v>
      </c>
      <c r="F28" s="20" t="n">
        <v>20</v>
      </c>
      <c r="G28" s="21"/>
      <c r="H28" s="20"/>
      <c r="I28" s="22" t="str">
        <f aca="false">IF(AND(ISNUMBER($F28),ISNUMBER($G28),$E28&lt;&gt;"R"),$F28*$G28,"")</f>
        <v/>
      </c>
      <c r="J28" s="29" t="str">
        <f aca="false">IF(AND($E28="A",ISNUMBER($F28),ISNUMBER($G28)),$F28*(1+$G28/30),"")</f>
        <v/>
      </c>
      <c r="K28" s="19"/>
      <c r="L28" s="19" t="s">
        <v>108</v>
      </c>
    </row>
    <row r="29" customFormat="false" ht="15.75" hidden="false" customHeight="true" outlineLevel="0" collapsed="false">
      <c r="A29" s="26" t="str">
        <f aca="false">IFERROR(IF($B29="","",IF(INDEX(Einheiten!$B$4:$B$27,MATCH($B29,Einheiten!$A$4:$A$27,0))=0,"",INDEX(Einheiten!$B$4:$B$27,MATCH($B29,Einheiten!$A$4:$A$27,0)))),"")</f>
        <v/>
      </c>
      <c r="B29" s="27" t="n">
        <v>2</v>
      </c>
      <c r="C29" s="28" t="str">
        <f aca="false">IFERROR(IF($D29="","",INDEX(Übungen!$B$4:$B$17,MATCH($D29,Übungen!$A$4:$A$17,0))),"")</f>
        <v>Beine vorne</v>
      </c>
      <c r="D29" s="19" t="s">
        <v>105</v>
      </c>
      <c r="E29" s="17" t="s">
        <v>98</v>
      </c>
      <c r="F29" s="20" t="n">
        <v>70</v>
      </c>
      <c r="G29" s="21" t="n">
        <v>13</v>
      </c>
      <c r="H29" s="20"/>
      <c r="I29" s="22" t="n">
        <f aca="false">IF(AND(ISNUMBER($F29),ISNUMBER($G29),$E29&lt;&gt;"R"),$F29*$G29,"")</f>
        <v>910</v>
      </c>
      <c r="J29" s="29" t="n">
        <f aca="false">IF(AND($E29="A",ISNUMBER($F29),ISNUMBER($G29)),$F29*(1+$G29/30),"")</f>
        <v>100.333333333333</v>
      </c>
      <c r="K29" s="19"/>
      <c r="L29" s="19"/>
    </row>
    <row r="30" customFormat="false" ht="15.75" hidden="false" customHeight="true" outlineLevel="0" collapsed="false">
      <c r="A30" s="26" t="str">
        <f aca="false">IFERROR(IF($B30="","",IF(INDEX(Einheiten!$B$4:$B$27,MATCH($B30,Einheiten!$A$4:$A$27,0))=0,"",INDEX(Einheiten!$B$4:$B$27,MATCH($B30,Einheiten!$A$4:$A$27,0)))),"")</f>
        <v/>
      </c>
      <c r="B30" s="27" t="n">
        <v>2</v>
      </c>
      <c r="C30" s="28" t="str">
        <f aca="false">IFERROR(IF($D30="","",INDEX(Übungen!$B$4:$B$17,MATCH($D30,Übungen!$A$4:$A$17,0))),"")</f>
        <v>Beine vorne</v>
      </c>
      <c r="D30" s="19" t="s">
        <v>105</v>
      </c>
      <c r="E30" s="17" t="s">
        <v>98</v>
      </c>
      <c r="F30" s="20" t="n">
        <v>80</v>
      </c>
      <c r="G30" s="21" t="n">
        <v>9</v>
      </c>
      <c r="H30" s="20"/>
      <c r="I30" s="22" t="n">
        <f aca="false">IF(AND(ISNUMBER($F30),ISNUMBER($G30),$E30&lt;&gt;"R"),$F30*$G30,"")</f>
        <v>720</v>
      </c>
      <c r="J30" s="29" t="n">
        <f aca="false">IF(AND($E30="A",ISNUMBER($F30),ISNUMBER($G30)),$F30*(1+$G30/30),"")</f>
        <v>104</v>
      </c>
      <c r="K30" s="19"/>
      <c r="L30" s="19"/>
    </row>
    <row r="31" customFormat="false" ht="15.75" hidden="false" customHeight="true" outlineLevel="0" collapsed="false">
      <c r="A31" s="26" t="str">
        <f aca="false">IFERROR(IF($B31="","",IF(INDEX(Einheiten!$B$4:$B$27,MATCH($B31,Einheiten!$A$4:$A$27,0))=0,"",INDEX(Einheiten!$B$4:$B$27,MATCH($B31,Einheiten!$A$4:$A$27,0)))),"")</f>
        <v/>
      </c>
      <c r="B31" s="27" t="n">
        <v>2</v>
      </c>
      <c r="C31" s="28" t="str">
        <f aca="false">IFERROR(IF($D31="","",INDEX(Übungen!$B$4:$B$17,MATCH($D31,Übungen!$A$4:$A$17,0))),"")</f>
        <v>Beine vorne</v>
      </c>
      <c r="D31" s="19" t="s">
        <v>105</v>
      </c>
      <c r="E31" s="17" t="s">
        <v>99</v>
      </c>
      <c r="F31" s="20" t="n">
        <v>60</v>
      </c>
      <c r="G31" s="21" t="n">
        <v>10</v>
      </c>
      <c r="H31" s="20"/>
      <c r="I31" s="22" t="str">
        <f aca="false">IF(AND(ISNUMBER($F31),ISNUMBER($G31),$E31&lt;&gt;"R"),$F31*$G31,"")</f>
        <v/>
      </c>
      <c r="J31" s="29" t="str">
        <f aca="false">IF(AND($E31="A",ISNUMBER($F31),ISNUMBER($G31)),$F31*(1+$G31/30),"")</f>
        <v/>
      </c>
      <c r="K31" s="19" t="s">
        <v>109</v>
      </c>
      <c r="L31" s="19"/>
    </row>
    <row r="32" customFormat="false" ht="15.75" hidden="false" customHeight="true" outlineLevel="0" collapsed="false">
      <c r="A32" s="26" t="str">
        <f aca="false">IFERROR(IF($B32="","",IF(INDEX(Einheiten!$B$4:$B$27,MATCH($B32,Einheiten!$A$4:$A$27,0))=0,"",INDEX(Einheiten!$B$4:$B$27,MATCH($B32,Einheiten!$A$4:$A$27,0)))),"")</f>
        <v/>
      </c>
      <c r="B32" s="27" t="n">
        <v>3</v>
      </c>
      <c r="C32" s="28" t="str">
        <f aca="false">IFERROR(IF($D32="","",INDEX(Übungen!$B$4:$B$17,MATCH($D32,Übungen!$A$4:$A$17,0))),"")</f>
        <v>Beine vorne</v>
      </c>
      <c r="D32" s="19" t="s">
        <v>105</v>
      </c>
      <c r="E32" s="17" t="s">
        <v>97</v>
      </c>
      <c r="F32" s="20" t="n">
        <v>15</v>
      </c>
      <c r="G32" s="21" t="n">
        <v>6</v>
      </c>
      <c r="H32" s="20"/>
      <c r="I32" s="22" t="n">
        <f aca="false">IF(AND(ISNUMBER($F32),ISNUMBER($G32),$E32&lt;&gt;"R"),$F32*$G32,"")</f>
        <v>90</v>
      </c>
      <c r="J32" s="29" t="str">
        <f aca="false">IF(AND($E32="A",ISNUMBER($F32),ISNUMBER($G32)),$F32*(1+$G32/30),"")</f>
        <v/>
      </c>
      <c r="K32" s="19"/>
      <c r="L32" s="19"/>
    </row>
    <row r="33" customFormat="false" ht="15.75" hidden="false" customHeight="true" outlineLevel="0" collapsed="false">
      <c r="A33" s="26" t="str">
        <f aca="false">IFERROR(IF($B33="","",IF(INDEX(Einheiten!$B$4:$B$27,MATCH($B33,Einheiten!$A$4:$A$27,0))=0,"",INDEX(Einheiten!$B$4:$B$27,MATCH($B33,Einheiten!$A$4:$A$27,0)))),"")</f>
        <v/>
      </c>
      <c r="B33" s="27" t="n">
        <v>3</v>
      </c>
      <c r="C33" s="28" t="str">
        <f aca="false">IFERROR(IF($D33="","",INDEX(Übungen!$B$4:$B$17,MATCH($D33,Übungen!$A$4:$A$17,0))),"")</f>
        <v>Beine vorne</v>
      </c>
      <c r="D33" s="19" t="s">
        <v>105</v>
      </c>
      <c r="E33" s="17" t="s">
        <v>97</v>
      </c>
      <c r="F33" s="20" t="n">
        <v>25</v>
      </c>
      <c r="G33" s="21" t="n">
        <v>5</v>
      </c>
      <c r="H33" s="20"/>
      <c r="I33" s="22" t="n">
        <f aca="false">IF(AND(ISNUMBER($F33),ISNUMBER($G33),$E33&lt;&gt;"R"),$F33*$G33,"")</f>
        <v>125</v>
      </c>
      <c r="J33" s="29" t="str">
        <f aca="false">IF(AND($E33="A",ISNUMBER($F33),ISNUMBER($G33)),$F33*(1+$G33/30),"")</f>
        <v/>
      </c>
      <c r="K33" s="19"/>
      <c r="L33" s="19"/>
    </row>
    <row r="34" customFormat="false" ht="15.75" hidden="false" customHeight="true" outlineLevel="0" collapsed="false">
      <c r="A34" s="26" t="str">
        <f aca="false">IFERROR(IF($B34="","",IF(INDEX(Einheiten!$B$4:$B$27,MATCH($B34,Einheiten!$A$4:$A$27,0))=0,"",INDEX(Einheiten!$B$4:$B$27,MATCH($B34,Einheiten!$A$4:$A$27,0)))),"")</f>
        <v/>
      </c>
      <c r="B34" s="27" t="n">
        <v>3</v>
      </c>
      <c r="C34" s="28" t="str">
        <f aca="false">IFERROR(IF($D34="","",INDEX(Übungen!$B$4:$B$17,MATCH($D34,Übungen!$A$4:$A$17,0))),"")</f>
        <v>Beine vorne</v>
      </c>
      <c r="D34" s="19" t="s">
        <v>105</v>
      </c>
      <c r="E34" s="17" t="s">
        <v>98</v>
      </c>
      <c r="F34" s="20" t="n">
        <v>85</v>
      </c>
      <c r="G34" s="21" t="n">
        <v>8</v>
      </c>
      <c r="H34" s="20"/>
      <c r="I34" s="22" t="n">
        <f aca="false">IF(AND(ISNUMBER($F34),ISNUMBER($G34),$E34&lt;&gt;"R"),$F34*$G34,"")</f>
        <v>680</v>
      </c>
      <c r="J34" s="29" t="n">
        <f aca="false">IF(AND($E34="A",ISNUMBER($F34),ISNUMBER($G34)),$F34*(1+$G34/30),"")</f>
        <v>107.666666666667</v>
      </c>
      <c r="K34" s="19"/>
      <c r="L34" s="19"/>
    </row>
    <row r="35" customFormat="false" ht="15.75" hidden="false" customHeight="true" outlineLevel="0" collapsed="false">
      <c r="A35" s="26" t="str">
        <f aca="false">IFERROR(IF($B35="","",IF(INDEX(Einheiten!$B$4:$B$27,MATCH($B35,Einheiten!$A$4:$A$27,0))=0,"",INDEX(Einheiten!$B$4:$B$27,MATCH($B35,Einheiten!$A$4:$A$27,0)))),"")</f>
        <v/>
      </c>
      <c r="B35" s="27" t="n">
        <v>3</v>
      </c>
      <c r="C35" s="28" t="str">
        <f aca="false">IFERROR(IF($D35="","",INDEX(Übungen!$B$4:$B$17,MATCH($D35,Übungen!$A$4:$A$17,0))),"")</f>
        <v>Beine vorne</v>
      </c>
      <c r="D35" s="19" t="s">
        <v>105</v>
      </c>
      <c r="E35" s="17" t="s">
        <v>98</v>
      </c>
      <c r="F35" s="20" t="n">
        <v>75</v>
      </c>
      <c r="G35" s="21" t="n">
        <v>10</v>
      </c>
      <c r="H35" s="20"/>
      <c r="I35" s="22" t="n">
        <f aca="false">IF(AND(ISNUMBER($F35),ISNUMBER($G35),$E35&lt;&gt;"R"),$F35*$G35,"")</f>
        <v>750</v>
      </c>
      <c r="J35" s="29" t="n">
        <f aca="false">IF(AND($E35="A",ISNUMBER($F35),ISNUMBER($G35)),$F35*(1+$G35/30),"")</f>
        <v>100</v>
      </c>
      <c r="K35" s="19"/>
      <c r="L35" s="19"/>
    </row>
    <row r="36" customFormat="false" ht="15.75" hidden="false" customHeight="true" outlineLevel="0" collapsed="false">
      <c r="A36" s="26" t="str">
        <f aca="false">IFERROR(IF($B36="","",IF(INDEX(Einheiten!$B$4:$B$27,MATCH($B36,Einheiten!$A$4:$A$27,0))=0,"",INDEX(Einheiten!$B$4:$B$27,MATCH($B36,Einheiten!$A$4:$A$27,0)))),"")</f>
        <v/>
      </c>
      <c r="B36" s="27" t="n">
        <v>3</v>
      </c>
      <c r="C36" s="28" t="str">
        <f aca="false">IFERROR(IF($D36="","",INDEX(Übungen!$B$4:$B$17,MATCH($D36,Übungen!$A$4:$A$17,0))),"")</f>
        <v>Beine vorne</v>
      </c>
      <c r="D36" s="19" t="s">
        <v>105</v>
      </c>
      <c r="E36" s="17" t="s">
        <v>99</v>
      </c>
      <c r="F36" s="20" t="n">
        <v>65</v>
      </c>
      <c r="G36" s="21" t="n">
        <v>10</v>
      </c>
      <c r="H36" s="20"/>
      <c r="I36" s="22" t="str">
        <f aca="false">IF(AND(ISNUMBER($F36),ISNUMBER($G36),$E36&lt;&gt;"R"),$F36*$G36,"")</f>
        <v/>
      </c>
      <c r="J36" s="29" t="str">
        <f aca="false">IF(AND($E36="A",ISNUMBER($F36),ISNUMBER($G36)),$F36*(1+$G36/30),"")</f>
        <v/>
      </c>
      <c r="K36" s="19" t="s">
        <v>110</v>
      </c>
      <c r="L36" s="19"/>
    </row>
    <row r="37" customFormat="false" ht="15.75" hidden="false" customHeight="true" outlineLevel="0" collapsed="false">
      <c r="A37" s="26" t="str">
        <f aca="false">IFERROR(IF($B37="","",IF(INDEX(Einheiten!$B$4:$B$27,MATCH($B37,Einheiten!$A$4:$A$27,0))=0,"",INDEX(Einheiten!$B$4:$B$27,MATCH($B37,Einheiten!$A$4:$A$27,0)))),"")</f>
        <v/>
      </c>
      <c r="B37" s="27" t="n">
        <v>4</v>
      </c>
      <c r="C37" s="28" t="str">
        <f aca="false">IFERROR(IF($D37="","",INDEX(Übungen!$B$4:$B$17,MATCH($D37,Übungen!$A$4:$A$17,0))),"")</f>
        <v>Beine vorne</v>
      </c>
      <c r="D37" s="19" t="s">
        <v>105</v>
      </c>
      <c r="E37" s="17" t="s">
        <v>97</v>
      </c>
      <c r="F37" s="20" t="n">
        <v>15</v>
      </c>
      <c r="G37" s="21" t="n">
        <v>10</v>
      </c>
      <c r="H37" s="20"/>
      <c r="I37" s="22" t="n">
        <f aca="false">IF(AND(ISNUMBER($F37),ISNUMBER($G37),$E37&lt;&gt;"R"),$F37*$G37,"")</f>
        <v>150</v>
      </c>
      <c r="J37" s="29" t="str">
        <f aca="false">IF(AND($E37="A",ISNUMBER($F37),ISNUMBER($G37)),$F37*(1+$G37/30),"")</f>
        <v/>
      </c>
      <c r="K37" s="19"/>
      <c r="L37" s="19"/>
    </row>
    <row r="38" customFormat="false" ht="15.75" hidden="false" customHeight="true" outlineLevel="0" collapsed="false">
      <c r="A38" s="26" t="str">
        <f aca="false">IFERROR(IF($B38="","",IF(INDEX(Einheiten!$B$4:$B$27,MATCH($B38,Einheiten!$A$4:$A$27,0))=0,"",INDEX(Einheiten!$B$4:$B$27,MATCH($B38,Einheiten!$A$4:$A$27,0)))),"")</f>
        <v/>
      </c>
      <c r="B38" s="27" t="n">
        <v>4</v>
      </c>
      <c r="C38" s="28" t="str">
        <f aca="false">IFERROR(IF($D38="","",INDEX(Übungen!$B$4:$B$17,MATCH($D38,Übungen!$A$4:$A$17,0))),"")</f>
        <v>Beine vorne</v>
      </c>
      <c r="D38" s="19" t="s">
        <v>105</v>
      </c>
      <c r="E38" s="17" t="s">
        <v>97</v>
      </c>
      <c r="F38" s="20" t="n">
        <v>30</v>
      </c>
      <c r="G38" s="21" t="n">
        <v>5</v>
      </c>
      <c r="H38" s="20"/>
      <c r="I38" s="22" t="n">
        <f aca="false">IF(AND(ISNUMBER($F38),ISNUMBER($G38),$E38&lt;&gt;"R"),$F38*$G38,"")</f>
        <v>150</v>
      </c>
      <c r="J38" s="29" t="str">
        <f aca="false">IF(AND($E38="A",ISNUMBER($F38),ISNUMBER($G38)),$F38*(1+$G38/30),"")</f>
        <v/>
      </c>
      <c r="K38" s="19"/>
      <c r="L38" s="19"/>
    </row>
    <row r="39" customFormat="false" ht="15.75" hidden="false" customHeight="true" outlineLevel="0" collapsed="false">
      <c r="A39" s="26" t="str">
        <f aca="false">IFERROR(IF($B39="","",IF(INDEX(Einheiten!$B$4:$B$27,MATCH($B39,Einheiten!$A$4:$A$27,0))=0,"",INDEX(Einheiten!$B$4:$B$27,MATCH($B39,Einheiten!$A$4:$A$27,0)))),"")</f>
        <v/>
      </c>
      <c r="B39" s="27" t="n">
        <v>4</v>
      </c>
      <c r="C39" s="28" t="str">
        <f aca="false">IFERROR(IF($D39="","",INDEX(Übungen!$B$4:$B$17,MATCH($D39,Übungen!$A$4:$A$17,0))),"")</f>
        <v>Beine vorne</v>
      </c>
      <c r="D39" s="19" t="s">
        <v>105</v>
      </c>
      <c r="E39" s="17" t="s">
        <v>98</v>
      </c>
      <c r="F39" s="20" t="n">
        <v>80</v>
      </c>
      <c r="G39" s="21" t="n">
        <v>12</v>
      </c>
      <c r="H39" s="20"/>
      <c r="I39" s="22" t="n">
        <f aca="false">IF(AND(ISNUMBER($F39),ISNUMBER($G39),$E39&lt;&gt;"R"),$F39*$G39,"")</f>
        <v>960</v>
      </c>
      <c r="J39" s="29" t="n">
        <f aca="false">IF(AND($E39="A",ISNUMBER($F39),ISNUMBER($G39)),$F39*(1+$G39/30),"")</f>
        <v>112</v>
      </c>
      <c r="K39" s="19"/>
      <c r="L39" s="19"/>
    </row>
    <row r="40" customFormat="false" ht="15.75" hidden="false" customHeight="true" outlineLevel="0" collapsed="false">
      <c r="A40" s="26" t="str">
        <f aca="false">IFERROR(IF($B40="","",IF(INDEX(Einheiten!$B$4:$B$27,MATCH($B40,Einheiten!$A$4:$A$27,0))=0,"",INDEX(Einheiten!$B$4:$B$27,MATCH($B40,Einheiten!$A$4:$A$27,0)))),"")</f>
        <v/>
      </c>
      <c r="B40" s="27" t="n">
        <v>4</v>
      </c>
      <c r="C40" s="28" t="str">
        <f aca="false">IFERROR(IF($D40="","",INDEX(Übungen!$B$4:$B$17,MATCH($D40,Übungen!$A$4:$A$17,0))),"")</f>
        <v>Beine vorne</v>
      </c>
      <c r="D40" s="19" t="s">
        <v>105</v>
      </c>
      <c r="E40" s="17" t="s">
        <v>98</v>
      </c>
      <c r="F40" s="20" t="n">
        <v>80</v>
      </c>
      <c r="G40" s="21" t="n">
        <v>8</v>
      </c>
      <c r="H40" s="20"/>
      <c r="I40" s="22" t="n">
        <f aca="false">IF(AND(ISNUMBER($F40),ISNUMBER($G40),$E40&lt;&gt;"R"),$F40*$G40,"")</f>
        <v>640</v>
      </c>
      <c r="J40" s="29" t="n">
        <f aca="false">IF(AND($E40="A",ISNUMBER($F40),ISNUMBER($G40)),$F40*(1+$G40/30),"")</f>
        <v>101.333333333333</v>
      </c>
      <c r="K40" s="19"/>
      <c r="L40" s="19"/>
    </row>
    <row r="41" customFormat="false" ht="15.75" hidden="false" customHeight="true" outlineLevel="0" collapsed="false">
      <c r="A41" s="26" t="str">
        <f aca="false">IFERROR(IF($B41="","",IF(INDEX(Einheiten!$B$4:$B$27,MATCH($B41,Einheiten!$A$4:$A$27,0))=0,"",INDEX(Einheiten!$B$4:$B$27,MATCH($B41,Einheiten!$A$4:$A$27,0)))),"")</f>
        <v/>
      </c>
      <c r="B41" s="27" t="n">
        <v>4</v>
      </c>
      <c r="C41" s="28" t="str">
        <f aca="false">IFERROR(IF($D41="","",INDEX(Übungen!$B$4:$B$17,MATCH($D41,Übungen!$A$4:$A$17,0))),"")</f>
        <v>Beine vorne</v>
      </c>
      <c r="D41" s="19" t="s">
        <v>105</v>
      </c>
      <c r="E41" s="17" t="s">
        <v>99</v>
      </c>
      <c r="F41" s="20" t="n">
        <v>70</v>
      </c>
      <c r="G41" s="21" t="n">
        <v>6</v>
      </c>
      <c r="H41" s="20"/>
      <c r="I41" s="22" t="str">
        <f aca="false">IF(AND(ISNUMBER($F41),ISNUMBER($G41),$E41&lt;&gt;"R"),$F41*$G41,"")</f>
        <v/>
      </c>
      <c r="J41" s="29" t="str">
        <f aca="false">IF(AND($E41="A",ISNUMBER($F41),ISNUMBER($G41)),$F41*(1+$G41/30),"")</f>
        <v/>
      </c>
      <c r="K41" s="19" t="s">
        <v>111</v>
      </c>
      <c r="L41" s="19"/>
    </row>
    <row r="42" customFormat="false" ht="15.75" hidden="false" customHeight="true" outlineLevel="0" collapsed="false">
      <c r="A42" s="26" t="str">
        <f aca="false">IFERROR(IF($B42="","",IF(INDEX(Einheiten!$B$4:$B$27,MATCH($B42,Einheiten!$A$4:$A$27,0))=0,"",INDEX(Einheiten!$B$4:$B$27,MATCH($B42,Einheiten!$A$4:$A$27,0)))),"")</f>
        <v/>
      </c>
      <c r="B42" s="27" t="n">
        <v>1</v>
      </c>
      <c r="C42" s="28" t="str">
        <f aca="false">IFERROR(IF($D42="","",INDEX(Übungen!$B$4:$B$17,MATCH($D42,Übungen!$A$4:$A$17,0))),"")</f>
        <v>Beine vorne</v>
      </c>
      <c r="D42" s="19" t="s">
        <v>112</v>
      </c>
      <c r="E42" s="17" t="s">
        <v>97</v>
      </c>
      <c r="F42" s="20" t="n">
        <v>20</v>
      </c>
      <c r="G42" s="21" t="n">
        <v>5</v>
      </c>
      <c r="H42" s="20"/>
      <c r="I42" s="22" t="n">
        <f aca="false">IF(AND(ISNUMBER($F42),ISNUMBER($G42),$E42&lt;&gt;"R"),$F42*$G42,"")</f>
        <v>100</v>
      </c>
      <c r="J42" s="29" t="str">
        <f aca="false">IF(AND($E42="A",ISNUMBER($F42),ISNUMBER($G42)),$F42*(1+$G42/30),"")</f>
        <v/>
      </c>
      <c r="K42" s="19"/>
      <c r="L42" s="19"/>
    </row>
    <row r="43" customFormat="false" ht="15.75" hidden="false" customHeight="true" outlineLevel="0" collapsed="false">
      <c r="A43" s="26" t="str">
        <f aca="false">IFERROR(IF($B43="","",IF(INDEX(Einheiten!$B$4:$B$27,MATCH($B43,Einheiten!$A$4:$A$27,0))=0,"",INDEX(Einheiten!$B$4:$B$27,MATCH($B43,Einheiten!$A$4:$A$27,0)))),"")</f>
        <v/>
      </c>
      <c r="B43" s="27" t="n">
        <v>1</v>
      </c>
      <c r="C43" s="28" t="str">
        <f aca="false">IFERROR(IF($D43="","",INDEX(Übungen!$B$4:$B$17,MATCH($D43,Übungen!$A$4:$A$17,0))),"")</f>
        <v>Beine vorne</v>
      </c>
      <c r="D43" s="19" t="s">
        <v>112</v>
      </c>
      <c r="E43" s="17" t="s">
        <v>97</v>
      </c>
      <c r="F43" s="20" t="n">
        <v>40</v>
      </c>
      <c r="G43" s="21" t="n">
        <v>5</v>
      </c>
      <c r="H43" s="20"/>
      <c r="I43" s="22" t="n">
        <f aca="false">IF(AND(ISNUMBER($F43),ISNUMBER($G43),$E43&lt;&gt;"R"),$F43*$G43,"")</f>
        <v>200</v>
      </c>
      <c r="J43" s="29" t="str">
        <f aca="false">IF(AND($E43="A",ISNUMBER($F43),ISNUMBER($G43)),$F43*(1+$G43/30),"")</f>
        <v/>
      </c>
      <c r="K43" s="19"/>
      <c r="L43" s="19"/>
    </row>
    <row r="44" customFormat="false" ht="15.75" hidden="false" customHeight="true" outlineLevel="0" collapsed="false">
      <c r="A44" s="26" t="str">
        <f aca="false">IFERROR(IF($B44="","",IF(INDEX(Einheiten!$B$4:$B$27,MATCH($B44,Einheiten!$A$4:$A$27,0))=0,"",INDEX(Einheiten!$B$4:$B$27,MATCH($B44,Einheiten!$A$4:$A$27,0)))),"")</f>
        <v/>
      </c>
      <c r="B44" s="27" t="n">
        <v>1</v>
      </c>
      <c r="C44" s="28" t="str">
        <f aca="false">IFERROR(IF($D44="","",INDEX(Übungen!$B$4:$B$17,MATCH($D44,Übungen!$A$4:$A$17,0))),"")</f>
        <v>Beine vorne</v>
      </c>
      <c r="D44" s="19" t="s">
        <v>112</v>
      </c>
      <c r="E44" s="17" t="s">
        <v>98</v>
      </c>
      <c r="F44" s="20" t="n">
        <v>80</v>
      </c>
      <c r="G44" s="21" t="n">
        <v>6</v>
      </c>
      <c r="H44" s="20"/>
      <c r="I44" s="22" t="n">
        <f aca="false">IF(AND(ISNUMBER($F44),ISNUMBER($G44),$E44&lt;&gt;"R"),$F44*$G44,"")</f>
        <v>480</v>
      </c>
      <c r="J44" s="29" t="n">
        <f aca="false">IF(AND($E44="A",ISNUMBER($F44),ISNUMBER($G44)),$F44*(1+$G44/30),"")</f>
        <v>96</v>
      </c>
      <c r="K44" s="19"/>
      <c r="L44" s="19"/>
    </row>
    <row r="45" customFormat="false" ht="15.75" hidden="false" customHeight="true" outlineLevel="0" collapsed="false">
      <c r="A45" s="26" t="str">
        <f aca="false">IFERROR(IF($B45="","",IF(INDEX(Einheiten!$B$4:$B$27,MATCH($B45,Einheiten!$A$4:$A$27,0))=0,"",INDEX(Einheiten!$B$4:$B$27,MATCH($B45,Einheiten!$A$4:$A$27,0)))),"")</f>
        <v/>
      </c>
      <c r="B45" s="27" t="n">
        <v>1</v>
      </c>
      <c r="C45" s="28" t="str">
        <f aca="false">IFERROR(IF($D45="","",INDEX(Übungen!$B$4:$B$17,MATCH($D45,Übungen!$A$4:$A$17,0))),"")</f>
        <v>Beine vorne</v>
      </c>
      <c r="D45" s="19" t="s">
        <v>112</v>
      </c>
      <c r="E45" s="17" t="s">
        <v>98</v>
      </c>
      <c r="F45" s="20" t="n">
        <v>90</v>
      </c>
      <c r="G45" s="21" t="n">
        <v>7</v>
      </c>
      <c r="H45" s="20"/>
      <c r="I45" s="22" t="n">
        <f aca="false">IF(AND(ISNUMBER($F45),ISNUMBER($G45),$E45&lt;&gt;"R"),$F45*$G45,"")</f>
        <v>630</v>
      </c>
      <c r="J45" s="29" t="n">
        <f aca="false">IF(AND($E45="A",ISNUMBER($F45),ISNUMBER($G45)),$F45*(1+$G45/30),"")</f>
        <v>111</v>
      </c>
      <c r="K45" s="19"/>
      <c r="L45" s="19"/>
    </row>
    <row r="46" customFormat="false" ht="15.75" hidden="false" customHeight="true" outlineLevel="0" collapsed="false">
      <c r="A46" s="26" t="str">
        <f aca="false">IFERROR(IF($B46="","",IF(INDEX(Einheiten!$B$4:$B$27,MATCH($B46,Einheiten!$A$4:$A$27,0))=0,"",INDEX(Einheiten!$B$4:$B$27,MATCH($B46,Einheiten!$A$4:$A$27,0)))),"")</f>
        <v/>
      </c>
      <c r="B46" s="27" t="n">
        <v>1</v>
      </c>
      <c r="C46" s="28" t="str">
        <f aca="false">IFERROR(IF($D46="","",INDEX(Übungen!$B$4:$B$17,MATCH($D46,Übungen!$A$4:$A$17,0))),"")</f>
        <v>Beine vorne</v>
      </c>
      <c r="D46" s="19" t="s">
        <v>112</v>
      </c>
      <c r="E46" s="17" t="s">
        <v>98</v>
      </c>
      <c r="F46" s="20" t="n">
        <v>100</v>
      </c>
      <c r="G46" s="21" t="n">
        <v>5</v>
      </c>
      <c r="H46" s="20"/>
      <c r="I46" s="22" t="n">
        <f aca="false">IF(AND(ISNUMBER($F46),ISNUMBER($G46),$E46&lt;&gt;"R"),$F46*$G46,"")</f>
        <v>500</v>
      </c>
      <c r="J46" s="29" t="n">
        <f aca="false">IF(AND($E46="A",ISNUMBER($F46),ISNUMBER($G46)),$F46*(1+$G46/30),"")</f>
        <v>116.666666666667</v>
      </c>
      <c r="K46" s="19"/>
      <c r="L46" s="19"/>
    </row>
    <row r="47" customFormat="false" ht="15.75" hidden="false" customHeight="true" outlineLevel="0" collapsed="false">
      <c r="A47" s="26" t="str">
        <f aca="false">IFERROR(IF($B47="","",IF(INDEX(Einheiten!$B$4:$B$27,MATCH($B47,Einheiten!$A$4:$A$27,0))=0,"",INDEX(Einheiten!$B$4:$B$27,MATCH($B47,Einheiten!$A$4:$A$27,0)))),"")</f>
        <v/>
      </c>
      <c r="B47" s="27" t="n">
        <v>2</v>
      </c>
      <c r="C47" s="28" t="str">
        <f aca="false">IFERROR(IF($D47="","",INDEX(Übungen!$B$4:$B$17,MATCH($D47,Übungen!$A$4:$A$17,0))),"")</f>
        <v>Beine vorne</v>
      </c>
      <c r="D47" s="19" t="s">
        <v>112</v>
      </c>
      <c r="E47" s="17" t="s">
        <v>97</v>
      </c>
      <c r="F47" s="20" t="n">
        <v>30</v>
      </c>
      <c r="G47" s="21" t="n">
        <v>5</v>
      </c>
      <c r="H47" s="20"/>
      <c r="I47" s="22" t="n">
        <f aca="false">IF(AND(ISNUMBER($F47),ISNUMBER($G47),$E47&lt;&gt;"R"),$F47*$G47,"")</f>
        <v>150</v>
      </c>
      <c r="J47" s="29" t="str">
        <f aca="false">IF(AND($E47="A",ISNUMBER($F47),ISNUMBER($G47)),$F47*(1+$G47/30),"")</f>
        <v/>
      </c>
      <c r="K47" s="19"/>
      <c r="L47" s="19"/>
    </row>
    <row r="48" customFormat="false" ht="15.75" hidden="false" customHeight="true" outlineLevel="0" collapsed="false">
      <c r="A48" s="26" t="str">
        <f aca="false">IFERROR(IF($B48="","",IF(INDEX(Einheiten!$B$4:$B$27,MATCH($B48,Einheiten!$A$4:$A$27,0))=0,"",INDEX(Einheiten!$B$4:$B$27,MATCH($B48,Einheiten!$A$4:$A$27,0)))),"")</f>
        <v/>
      </c>
      <c r="B48" s="27" t="n">
        <v>2</v>
      </c>
      <c r="C48" s="28" t="str">
        <f aca="false">IFERROR(IF($D48="","",INDEX(Übungen!$B$4:$B$17,MATCH($D48,Übungen!$A$4:$A$17,0))),"")</f>
        <v>Beine vorne</v>
      </c>
      <c r="D48" s="19" t="s">
        <v>112</v>
      </c>
      <c r="E48" s="17" t="s">
        <v>97</v>
      </c>
      <c r="F48" s="20" t="n">
        <v>50</v>
      </c>
      <c r="G48" s="21" t="n">
        <v>3</v>
      </c>
      <c r="H48" s="20"/>
      <c r="I48" s="22" t="n">
        <f aca="false">IF(AND(ISNUMBER($F48),ISNUMBER($G48),$E48&lt;&gt;"R"),$F48*$G48,"")</f>
        <v>150</v>
      </c>
      <c r="J48" s="29" t="str">
        <f aca="false">IF(AND($E48="A",ISNUMBER($F48),ISNUMBER($G48)),$F48*(1+$G48/30),"")</f>
        <v/>
      </c>
      <c r="K48" s="19"/>
      <c r="L48" s="19"/>
    </row>
    <row r="49" customFormat="false" ht="15.75" hidden="false" customHeight="true" outlineLevel="0" collapsed="false">
      <c r="A49" s="26" t="str">
        <f aca="false">IFERROR(IF($B49="","",IF(INDEX(Einheiten!$B$4:$B$27,MATCH($B49,Einheiten!$A$4:$A$27,0))=0,"",INDEX(Einheiten!$B$4:$B$27,MATCH($B49,Einheiten!$A$4:$A$27,0)))),"")</f>
        <v/>
      </c>
      <c r="B49" s="27" t="n">
        <v>2</v>
      </c>
      <c r="C49" s="28" t="str">
        <f aca="false">IFERROR(IF($D49="","",INDEX(Übungen!$B$4:$B$17,MATCH($D49,Übungen!$A$4:$A$17,0))),"")</f>
        <v>Beine vorne</v>
      </c>
      <c r="D49" s="19" t="s">
        <v>112</v>
      </c>
      <c r="E49" s="17" t="s">
        <v>98</v>
      </c>
      <c r="F49" s="20" t="n">
        <v>85</v>
      </c>
      <c r="G49" s="21" t="n">
        <v>8</v>
      </c>
      <c r="H49" s="20"/>
      <c r="I49" s="22" t="n">
        <f aca="false">IF(AND(ISNUMBER($F49),ISNUMBER($G49),$E49&lt;&gt;"R"),$F49*$G49,"")</f>
        <v>680</v>
      </c>
      <c r="J49" s="29" t="n">
        <f aca="false">IF(AND($E49="A",ISNUMBER($F49),ISNUMBER($G49)),$F49*(1+$G49/30),"")</f>
        <v>107.666666666667</v>
      </c>
      <c r="K49" s="19"/>
      <c r="L49" s="19"/>
    </row>
    <row r="50" customFormat="false" ht="15.75" hidden="false" customHeight="true" outlineLevel="0" collapsed="false">
      <c r="A50" s="26" t="str">
        <f aca="false">IFERROR(IF($B50="","",IF(INDEX(Einheiten!$B$4:$B$27,MATCH($B50,Einheiten!$A$4:$A$27,0))=0,"",INDEX(Einheiten!$B$4:$B$27,MATCH($B50,Einheiten!$A$4:$A$27,0)))),"")</f>
        <v/>
      </c>
      <c r="B50" s="27" t="n">
        <v>2</v>
      </c>
      <c r="C50" s="28" t="str">
        <f aca="false">IFERROR(IF($D50="","",INDEX(Übungen!$B$4:$B$17,MATCH($D50,Übungen!$A$4:$A$17,0))),"")</f>
        <v>Beine vorne</v>
      </c>
      <c r="D50" s="19" t="s">
        <v>112</v>
      </c>
      <c r="E50" s="17" t="s">
        <v>98</v>
      </c>
      <c r="F50" s="20" t="n">
        <v>95</v>
      </c>
      <c r="G50" s="21" t="n">
        <v>5</v>
      </c>
      <c r="H50" s="20"/>
      <c r="I50" s="22" t="n">
        <f aca="false">IF(AND(ISNUMBER($F50),ISNUMBER($G50),$E50&lt;&gt;"R"),$F50*$G50,"")</f>
        <v>475</v>
      </c>
      <c r="J50" s="29" t="n">
        <f aca="false">IF(AND($E50="A",ISNUMBER($F50),ISNUMBER($G50)),$F50*(1+$G50/30),"")</f>
        <v>110.833333333333</v>
      </c>
      <c r="K50" s="19"/>
      <c r="L50" s="19"/>
    </row>
    <row r="51" customFormat="false" ht="15.75" hidden="false" customHeight="true" outlineLevel="0" collapsed="false">
      <c r="A51" s="26" t="str">
        <f aca="false">IFERROR(IF($B51="","",IF(INDEX(Einheiten!$B$4:$B$27,MATCH($B51,Einheiten!$A$4:$A$27,0))=0,"",INDEX(Einheiten!$B$4:$B$27,MATCH($B51,Einheiten!$A$4:$A$27,0)))),"")</f>
        <v/>
      </c>
      <c r="B51" s="27" t="n">
        <v>2</v>
      </c>
      <c r="C51" s="28" t="str">
        <f aca="false">IFERROR(IF($D51="","",INDEX(Übungen!$B$4:$B$17,MATCH($D51,Übungen!$A$4:$A$17,0))),"")</f>
        <v>Beine vorne</v>
      </c>
      <c r="D51" s="19" t="s">
        <v>112</v>
      </c>
      <c r="E51" s="17" t="s">
        <v>98</v>
      </c>
      <c r="F51" s="20" t="n">
        <v>105</v>
      </c>
      <c r="G51" s="21" t="n">
        <v>4</v>
      </c>
      <c r="H51" s="20"/>
      <c r="I51" s="22" t="n">
        <f aca="false">IF(AND(ISNUMBER($F51),ISNUMBER($G51),$E51&lt;&gt;"R"),$F51*$G51,"")</f>
        <v>420</v>
      </c>
      <c r="J51" s="29" t="n">
        <f aca="false">IF(AND($E51="A",ISNUMBER($F51),ISNUMBER($G51)),$F51*(1+$G51/30),"")</f>
        <v>119</v>
      </c>
      <c r="K51" s="19"/>
      <c r="L51" s="19"/>
    </row>
    <row r="52" customFormat="false" ht="15.75" hidden="false" customHeight="true" outlineLevel="0" collapsed="false">
      <c r="A52" s="26" t="str">
        <f aca="false">IFERROR(IF($B52="","",IF(INDEX(Einheiten!$B$4:$B$27,MATCH($B52,Einheiten!$A$4:$A$27,0))=0,"",INDEX(Einheiten!$B$4:$B$27,MATCH($B52,Einheiten!$A$4:$A$27,0)))),"")</f>
        <v/>
      </c>
      <c r="B52" s="27" t="n">
        <v>3</v>
      </c>
      <c r="C52" s="28" t="str">
        <f aca="false">IFERROR(IF($D52="","",INDEX(Übungen!$B$4:$B$17,MATCH($D52,Übungen!$A$4:$A$17,0))),"")</f>
        <v>Beine vorne</v>
      </c>
      <c r="D52" s="19" t="s">
        <v>112</v>
      </c>
      <c r="E52" s="17" t="s">
        <v>97</v>
      </c>
      <c r="F52" s="20" t="n">
        <v>40</v>
      </c>
      <c r="G52" s="21" t="n">
        <v>5</v>
      </c>
      <c r="H52" s="20"/>
      <c r="I52" s="22" t="n">
        <f aca="false">IF(AND(ISNUMBER($F52),ISNUMBER($G52),$E52&lt;&gt;"R"),$F52*$G52,"")</f>
        <v>200</v>
      </c>
      <c r="J52" s="29" t="str">
        <f aca="false">IF(AND($E52="A",ISNUMBER($F52),ISNUMBER($G52)),$F52*(1+$G52/30),"")</f>
        <v/>
      </c>
      <c r="K52" s="19"/>
      <c r="L52" s="19"/>
    </row>
    <row r="53" customFormat="false" ht="15.75" hidden="false" customHeight="true" outlineLevel="0" collapsed="false">
      <c r="A53" s="26" t="str">
        <f aca="false">IFERROR(IF($B53="","",IF(INDEX(Einheiten!$B$4:$B$27,MATCH($B53,Einheiten!$A$4:$A$27,0))=0,"",INDEX(Einheiten!$B$4:$B$27,MATCH($B53,Einheiten!$A$4:$A$27,0)))),"")</f>
        <v/>
      </c>
      <c r="B53" s="27" t="n">
        <v>3</v>
      </c>
      <c r="C53" s="28" t="str">
        <f aca="false">IFERROR(IF($D53="","",INDEX(Übungen!$B$4:$B$17,MATCH($D53,Übungen!$A$4:$A$17,0))),"")</f>
        <v>Beine vorne</v>
      </c>
      <c r="D53" s="19" t="s">
        <v>112</v>
      </c>
      <c r="E53" s="17" t="s">
        <v>97</v>
      </c>
      <c r="F53" s="20" t="n">
        <v>60</v>
      </c>
      <c r="G53" s="21" t="n">
        <v>3</v>
      </c>
      <c r="H53" s="20"/>
      <c r="I53" s="22" t="n">
        <f aca="false">IF(AND(ISNUMBER($F53),ISNUMBER($G53),$E53&lt;&gt;"R"),$F53*$G53,"")</f>
        <v>180</v>
      </c>
      <c r="J53" s="29" t="str">
        <f aca="false">IF(AND($E53="A",ISNUMBER($F53),ISNUMBER($G53)),$F53*(1+$G53/30),"")</f>
        <v/>
      </c>
      <c r="K53" s="19"/>
      <c r="L53" s="19"/>
    </row>
    <row r="54" customFormat="false" ht="15.75" hidden="false" customHeight="true" outlineLevel="0" collapsed="false">
      <c r="A54" s="26" t="str">
        <f aca="false">IFERROR(IF($B54="","",IF(INDEX(Einheiten!$B$4:$B$27,MATCH($B54,Einheiten!$A$4:$A$27,0))=0,"",INDEX(Einheiten!$B$4:$B$27,MATCH($B54,Einheiten!$A$4:$A$27,0)))),"")</f>
        <v/>
      </c>
      <c r="B54" s="27" t="n">
        <v>3</v>
      </c>
      <c r="C54" s="28" t="str">
        <f aca="false">IFERROR(IF($D54="","",INDEX(Übungen!$B$4:$B$17,MATCH($D54,Übungen!$A$4:$A$17,0))),"")</f>
        <v>Beine vorne</v>
      </c>
      <c r="D54" s="19" t="s">
        <v>112</v>
      </c>
      <c r="E54" s="17" t="s">
        <v>98</v>
      </c>
      <c r="F54" s="20" t="n">
        <v>100</v>
      </c>
      <c r="G54" s="21" t="n">
        <v>7</v>
      </c>
      <c r="H54" s="20"/>
      <c r="I54" s="22" t="n">
        <f aca="false">IF(AND(ISNUMBER($F54),ISNUMBER($G54),$E54&lt;&gt;"R"),$F54*$G54,"")</f>
        <v>700</v>
      </c>
      <c r="J54" s="29" t="n">
        <f aca="false">IF(AND($E54="A",ISNUMBER($F54),ISNUMBER($G54)),$F54*(1+$G54/30),"")</f>
        <v>123.333333333333</v>
      </c>
      <c r="K54" s="19"/>
      <c r="L54" s="19"/>
    </row>
    <row r="55" customFormat="false" ht="15.75" hidden="false" customHeight="true" outlineLevel="0" collapsed="false">
      <c r="A55" s="26" t="str">
        <f aca="false">IFERROR(IF($B55="","",IF(INDEX(Einheiten!$B$4:$B$27,MATCH($B55,Einheiten!$A$4:$A$27,0))=0,"",INDEX(Einheiten!$B$4:$B$27,MATCH($B55,Einheiten!$A$4:$A$27,0)))),"")</f>
        <v/>
      </c>
      <c r="B55" s="27" t="n">
        <v>3</v>
      </c>
      <c r="C55" s="28" t="str">
        <f aca="false">IFERROR(IF($D55="","",INDEX(Übungen!$B$4:$B$17,MATCH($D55,Übungen!$A$4:$A$17,0))),"")</f>
        <v>Beine vorne</v>
      </c>
      <c r="D55" s="19" t="s">
        <v>112</v>
      </c>
      <c r="E55" s="17" t="s">
        <v>98</v>
      </c>
      <c r="F55" s="20" t="n">
        <v>95</v>
      </c>
      <c r="G55" s="21" t="n">
        <v>9</v>
      </c>
      <c r="H55" s="20"/>
      <c r="I55" s="22" t="n">
        <f aca="false">IF(AND(ISNUMBER($F55),ISNUMBER($G55),$E55&lt;&gt;"R"),$F55*$G55,"")</f>
        <v>855</v>
      </c>
      <c r="J55" s="29" t="n">
        <f aca="false">IF(AND($E55="A",ISNUMBER($F55),ISNUMBER($G55)),$F55*(1+$G55/30),"")</f>
        <v>123.5</v>
      </c>
      <c r="K55" s="19"/>
      <c r="L55" s="19"/>
    </row>
    <row r="56" customFormat="false" ht="15.75" hidden="false" customHeight="true" outlineLevel="0" collapsed="false">
      <c r="A56" s="26" t="str">
        <f aca="false">IFERROR(IF($B56="","",IF(INDEX(Einheiten!$B$4:$B$27,MATCH($B56,Einheiten!$A$4:$A$27,0))=0,"",INDEX(Einheiten!$B$4:$B$27,MATCH($B56,Einheiten!$A$4:$A$27,0)))),"")</f>
        <v/>
      </c>
      <c r="B56" s="27" t="n">
        <v>3</v>
      </c>
      <c r="C56" s="28" t="str">
        <f aca="false">IFERROR(IF($D56="","",INDEX(Übungen!$B$4:$B$17,MATCH($D56,Übungen!$A$4:$A$17,0))),"")</f>
        <v>Beine vorne</v>
      </c>
      <c r="D56" s="19" t="s">
        <v>112</v>
      </c>
      <c r="E56" s="17" t="s">
        <v>98</v>
      </c>
      <c r="F56" s="20" t="n">
        <v>90</v>
      </c>
      <c r="G56" s="21" t="n">
        <v>8</v>
      </c>
      <c r="H56" s="20"/>
      <c r="I56" s="22" t="n">
        <f aca="false">IF(AND(ISNUMBER($F56),ISNUMBER($G56),$E56&lt;&gt;"R"),$F56*$G56,"")</f>
        <v>720</v>
      </c>
      <c r="J56" s="29" t="n">
        <f aca="false">IF(AND($E56="A",ISNUMBER($F56),ISNUMBER($G56)),$F56*(1+$G56/30),"")</f>
        <v>114</v>
      </c>
      <c r="K56" s="19"/>
      <c r="L56" s="19"/>
    </row>
    <row r="57" customFormat="false" ht="15.75" hidden="false" customHeight="true" outlineLevel="0" collapsed="false">
      <c r="A57" s="26" t="str">
        <f aca="false">IFERROR(IF($B57="","",IF(INDEX(Einheiten!$B$4:$B$27,MATCH($B57,Einheiten!$A$4:$A$27,0))=0,"",INDEX(Einheiten!$B$4:$B$27,MATCH($B57,Einheiten!$A$4:$A$27,0)))),"")</f>
        <v/>
      </c>
      <c r="B57" s="27" t="n">
        <v>4</v>
      </c>
      <c r="C57" s="28" t="str">
        <f aca="false">IFERROR(IF($D57="","",INDEX(Übungen!$B$4:$B$17,MATCH($D57,Übungen!$A$4:$A$17,0))),"")</f>
        <v>Beine vorne</v>
      </c>
      <c r="D57" s="19" t="s">
        <v>112</v>
      </c>
      <c r="E57" s="17" t="s">
        <v>97</v>
      </c>
      <c r="F57" s="20" t="n">
        <v>40</v>
      </c>
      <c r="G57" s="21" t="n">
        <v>6</v>
      </c>
      <c r="H57" s="20"/>
      <c r="I57" s="22" t="n">
        <f aca="false">IF(AND(ISNUMBER($F57),ISNUMBER($G57),$E57&lt;&gt;"R"),$F57*$G57,"")</f>
        <v>240</v>
      </c>
      <c r="J57" s="29" t="str">
        <f aca="false">IF(AND($E57="A",ISNUMBER($F57),ISNUMBER($G57)),$F57*(1+$G57/30),"")</f>
        <v/>
      </c>
      <c r="K57" s="19"/>
      <c r="L57" s="19"/>
    </row>
    <row r="58" customFormat="false" ht="15.75" hidden="false" customHeight="true" outlineLevel="0" collapsed="false">
      <c r="A58" s="26" t="str">
        <f aca="false">IFERROR(IF($B58="","",IF(INDEX(Einheiten!$B$4:$B$27,MATCH($B58,Einheiten!$A$4:$A$27,0))=0,"",INDEX(Einheiten!$B$4:$B$27,MATCH($B58,Einheiten!$A$4:$A$27,0)))),"")</f>
        <v/>
      </c>
      <c r="B58" s="27" t="n">
        <v>4</v>
      </c>
      <c r="C58" s="28" t="str">
        <f aca="false">IFERROR(IF($D58="","",INDEX(Übungen!$B$4:$B$17,MATCH($D58,Übungen!$A$4:$A$17,0))),"")</f>
        <v>Beine vorne</v>
      </c>
      <c r="D58" s="19" t="s">
        <v>112</v>
      </c>
      <c r="E58" s="17" t="s">
        <v>97</v>
      </c>
      <c r="F58" s="20" t="n">
        <v>70</v>
      </c>
      <c r="G58" s="21" t="n">
        <v>3</v>
      </c>
      <c r="H58" s="20"/>
      <c r="I58" s="22" t="n">
        <f aca="false">IF(AND(ISNUMBER($F58),ISNUMBER($G58),$E58&lt;&gt;"R"),$F58*$G58,"")</f>
        <v>210</v>
      </c>
      <c r="J58" s="29" t="str">
        <f aca="false">IF(AND($E58="A",ISNUMBER($F58),ISNUMBER($G58)),$F58*(1+$G58/30),"")</f>
        <v/>
      </c>
      <c r="K58" s="19"/>
      <c r="L58" s="19"/>
    </row>
    <row r="59" customFormat="false" ht="15.75" hidden="false" customHeight="true" outlineLevel="0" collapsed="false">
      <c r="A59" s="26" t="str">
        <f aca="false">IFERROR(IF($B59="","",IF(INDEX(Einheiten!$B$4:$B$27,MATCH($B59,Einheiten!$A$4:$A$27,0))=0,"",INDEX(Einheiten!$B$4:$B$27,MATCH($B59,Einheiten!$A$4:$A$27,0)))),"")</f>
        <v/>
      </c>
      <c r="B59" s="27" t="n">
        <v>4</v>
      </c>
      <c r="C59" s="28" t="str">
        <f aca="false">IFERROR(IF($D59="","",INDEX(Übungen!$B$4:$B$17,MATCH($D59,Übungen!$A$4:$A$17,0))),"")</f>
        <v>Beine vorne</v>
      </c>
      <c r="D59" s="19" t="s">
        <v>112</v>
      </c>
      <c r="E59" s="17" t="s">
        <v>98</v>
      </c>
      <c r="F59" s="20" t="n">
        <v>80</v>
      </c>
      <c r="G59" s="21" t="n">
        <v>8</v>
      </c>
      <c r="H59" s="20"/>
      <c r="I59" s="22" t="n">
        <f aca="false">IF(AND(ISNUMBER($F59),ISNUMBER($G59),$E59&lt;&gt;"R"),$F59*$G59,"")</f>
        <v>640</v>
      </c>
      <c r="J59" s="29" t="n">
        <f aca="false">IF(AND($E59="A",ISNUMBER($F59),ISNUMBER($G59)),$F59*(1+$G59/30),"")</f>
        <v>101.333333333333</v>
      </c>
      <c r="K59" s="19"/>
      <c r="L59" s="19"/>
    </row>
    <row r="60" customFormat="false" ht="15.75" hidden="false" customHeight="true" outlineLevel="0" collapsed="false">
      <c r="A60" s="26" t="str">
        <f aca="false">IFERROR(IF($B60="","",IF(INDEX(Einheiten!$B$4:$B$27,MATCH($B60,Einheiten!$A$4:$A$27,0))=0,"",INDEX(Einheiten!$B$4:$B$27,MATCH($B60,Einheiten!$A$4:$A$27,0)))),"")</f>
        <v/>
      </c>
      <c r="B60" s="27" t="n">
        <v>4</v>
      </c>
      <c r="C60" s="28" t="str">
        <f aca="false">IFERROR(IF($D60="","",INDEX(Übungen!$B$4:$B$17,MATCH($D60,Übungen!$A$4:$A$17,0))),"")</f>
        <v>Beine vorne</v>
      </c>
      <c r="D60" s="19" t="s">
        <v>112</v>
      </c>
      <c r="E60" s="17" t="s">
        <v>98</v>
      </c>
      <c r="F60" s="20" t="n">
        <v>60</v>
      </c>
      <c r="G60" s="21" t="n">
        <v>10</v>
      </c>
      <c r="H60" s="20"/>
      <c r="I60" s="22" t="n">
        <f aca="false">IF(AND(ISNUMBER($F60),ISNUMBER($G60),$E60&lt;&gt;"R"),$F60*$G60,"")</f>
        <v>600</v>
      </c>
      <c r="J60" s="29" t="n">
        <f aca="false">IF(AND($E60="A",ISNUMBER($F60),ISNUMBER($G60)),$F60*(1+$G60/30),"")</f>
        <v>80</v>
      </c>
      <c r="K60" s="19"/>
      <c r="L60" s="19"/>
    </row>
    <row r="61" customFormat="false" ht="15.75" hidden="false" customHeight="true" outlineLevel="0" collapsed="false">
      <c r="A61" s="26" t="str">
        <f aca="false">IFERROR(IF($B61="","",IF(INDEX(Einheiten!$B$4:$B$27,MATCH($B61,Einheiten!$A$4:$A$27,0))=0,"",INDEX(Einheiten!$B$4:$B$27,MATCH($B61,Einheiten!$A$4:$A$27,0)))),"")</f>
        <v/>
      </c>
      <c r="B61" s="27" t="n">
        <v>4</v>
      </c>
      <c r="C61" s="28" t="str">
        <f aca="false">IFERROR(IF($D61="","",INDEX(Übungen!$B$4:$B$17,MATCH($D61,Übungen!$A$4:$A$17,0))),"")</f>
        <v>Beine vorne</v>
      </c>
      <c r="D61" s="19" t="s">
        <v>112</v>
      </c>
      <c r="E61" s="17" t="s">
        <v>98</v>
      </c>
      <c r="F61" s="20" t="n">
        <v>50</v>
      </c>
      <c r="G61" s="21" t="n">
        <v>8</v>
      </c>
      <c r="H61" s="20"/>
      <c r="I61" s="22" t="n">
        <f aca="false">IF(AND(ISNUMBER($F61),ISNUMBER($G61),$E61&lt;&gt;"R"),$F61*$G61,"")</f>
        <v>400</v>
      </c>
      <c r="J61" s="29" t="n">
        <f aca="false">IF(AND($E61="A",ISNUMBER($F61),ISNUMBER($G61)),$F61*(1+$G61/30),"")</f>
        <v>63.3333333333333</v>
      </c>
      <c r="K61" s="19"/>
      <c r="L61" s="19"/>
    </row>
    <row r="62" customFormat="false" ht="15.75" hidden="false" customHeight="true" outlineLevel="0" collapsed="false">
      <c r="A62" s="26" t="str">
        <f aca="false">IFERROR(IF($B62="","",IF(INDEX(Einheiten!$B$4:$B$27,MATCH($B62,Einheiten!$A$4:$A$27,0))=0,"",INDEX(Einheiten!$B$4:$B$27,MATCH($B62,Einheiten!$A$4:$A$27,0)))),"")</f>
        <v/>
      </c>
      <c r="B62" s="27" t="n">
        <v>1</v>
      </c>
      <c r="C62" s="28" t="str">
        <f aca="false">IFERROR(IF($D62="","",INDEX(Übungen!$B$4:$B$17,MATCH($D62,Übungen!$A$4:$A$17,0))),"")</f>
        <v>Beine vorne</v>
      </c>
      <c r="D62" s="19" t="s">
        <v>52</v>
      </c>
      <c r="E62" s="17" t="s">
        <v>98</v>
      </c>
      <c r="F62" s="20" t="n">
        <v>10</v>
      </c>
      <c r="G62" s="21"/>
      <c r="H62" s="20"/>
      <c r="I62" s="22" t="str">
        <f aca="false">IF(AND(ISNUMBER($F62),ISNUMBER($G62),$E62&lt;&gt;"R"),$F62*$G62,"")</f>
        <v/>
      </c>
      <c r="J62" s="29" t="str">
        <f aca="false">IF(AND($E62="A",ISNUMBER($F62),ISNUMBER($G62)),$F62*(1+$G62/30),"")</f>
        <v/>
      </c>
      <c r="K62" s="19"/>
      <c r="L62" s="19" t="s">
        <v>113</v>
      </c>
    </row>
    <row r="63" customFormat="false" ht="15.75" hidden="false" customHeight="true" outlineLevel="0" collapsed="false">
      <c r="A63" s="26" t="str">
        <f aca="false">IFERROR(IF($B63="","",IF(INDEX(Einheiten!$B$4:$B$27,MATCH($B63,Einheiten!$A$4:$A$27,0))=0,"",INDEX(Einheiten!$B$4:$B$27,MATCH($B63,Einheiten!$A$4:$A$27,0)))),"")</f>
        <v/>
      </c>
      <c r="B63" s="27" t="n">
        <v>2</v>
      </c>
      <c r="C63" s="28" t="str">
        <f aca="false">IFERROR(IF($D63="","",INDEX(Übungen!$B$4:$B$17,MATCH($D63,Übungen!$A$4:$A$17,0))),"")</f>
        <v>Beine vorne</v>
      </c>
      <c r="D63" s="19" t="s">
        <v>52</v>
      </c>
      <c r="E63" s="17" t="s">
        <v>98</v>
      </c>
      <c r="F63" s="20" t="n">
        <v>16</v>
      </c>
      <c r="G63" s="21"/>
      <c r="H63" s="20"/>
      <c r="I63" s="22" t="str">
        <f aca="false">IF(AND(ISNUMBER($F63),ISNUMBER($G63),$E63&lt;&gt;"R"),$F63*$G63,"")</f>
        <v/>
      </c>
      <c r="J63" s="29" t="str">
        <f aca="false">IF(AND($E63="A",ISNUMBER($F63),ISNUMBER($G63)),$F63*(1+$G63/30),"")</f>
        <v/>
      </c>
      <c r="K63" s="19"/>
      <c r="L63" s="19" t="s">
        <v>113</v>
      </c>
    </row>
    <row r="64" customFormat="false" ht="15.75" hidden="false" customHeight="true" outlineLevel="0" collapsed="false">
      <c r="A64" s="26" t="str">
        <f aca="false">IFERROR(IF($B64="","",IF(INDEX(Einheiten!$B$4:$B$27,MATCH($B64,Einheiten!$A$4:$A$27,0))=0,"",INDEX(Einheiten!$B$4:$B$27,MATCH($B64,Einheiten!$A$4:$A$27,0)))),"")</f>
        <v/>
      </c>
      <c r="B64" s="27" t="n">
        <v>3</v>
      </c>
      <c r="C64" s="28" t="str">
        <f aca="false">IFERROR(IF($D64="","",INDEX(Übungen!$B$4:$B$17,MATCH($D64,Übungen!$A$4:$A$17,0))),"")</f>
        <v>Beine vorne</v>
      </c>
      <c r="D64" s="19" t="s">
        <v>52</v>
      </c>
      <c r="E64" s="17" t="s">
        <v>98</v>
      </c>
      <c r="F64" s="20" t="n">
        <v>18</v>
      </c>
      <c r="G64" s="21"/>
      <c r="H64" s="20"/>
      <c r="I64" s="22" t="str">
        <f aca="false">IF(AND(ISNUMBER($F64),ISNUMBER($G64),$E64&lt;&gt;"R"),$F64*$G64,"")</f>
        <v/>
      </c>
      <c r="J64" s="29" t="str">
        <f aca="false">IF(AND($E64="A",ISNUMBER($F64),ISNUMBER($G64)),$F64*(1+$G64/30),"")</f>
        <v/>
      </c>
      <c r="K64" s="19"/>
      <c r="L64" s="19" t="s">
        <v>113</v>
      </c>
    </row>
    <row r="65" customFormat="false" ht="15.75" hidden="false" customHeight="true" outlineLevel="0" collapsed="false">
      <c r="A65" s="26" t="str">
        <f aca="false">IFERROR(IF($B65="","",IF(INDEX(Einheiten!$B$4:$B$27,MATCH($B65,Einheiten!$A$4:$A$27,0))=0,"",INDEX(Einheiten!$B$4:$B$27,MATCH($B65,Einheiten!$A$4:$A$27,0)))),"")</f>
        <v/>
      </c>
      <c r="B65" s="27" t="n">
        <v>1</v>
      </c>
      <c r="C65" s="28" t="str">
        <f aca="false">IFERROR(IF($D65="","",INDEX(Übungen!$B$4:$B$17,MATCH($D65,Übungen!$A$4:$A$17,0))),"")</f>
        <v>Beine hinten</v>
      </c>
      <c r="D65" s="19" t="s">
        <v>114</v>
      </c>
      <c r="E65" s="17" t="s">
        <v>97</v>
      </c>
      <c r="F65" s="20" t="n">
        <v>35</v>
      </c>
      <c r="G65" s="21"/>
      <c r="H65" s="20"/>
      <c r="I65" s="22" t="str">
        <f aca="false">IF(AND(ISNUMBER($F65),ISNUMBER($G65),$E65&lt;&gt;"R"),$F65*$G65,"")</f>
        <v/>
      </c>
      <c r="J65" s="29" t="str">
        <f aca="false">IF(AND($E65="A",ISNUMBER($F65),ISNUMBER($G65)),$F65*(1+$G65/30),"")</f>
        <v/>
      </c>
      <c r="K65" s="19"/>
      <c r="L65" s="19" t="s">
        <v>113</v>
      </c>
    </row>
    <row r="66" customFormat="false" ht="15.75" hidden="false" customHeight="true" outlineLevel="0" collapsed="false">
      <c r="A66" s="26" t="str">
        <f aca="false">IFERROR(IF($B66="","",IF(INDEX(Einheiten!$B$4:$B$27,MATCH($B66,Einheiten!$A$4:$A$27,0))=0,"",INDEX(Einheiten!$B$4:$B$27,MATCH($B66,Einheiten!$A$4:$A$27,0)))),"")</f>
        <v/>
      </c>
      <c r="B66" s="27" t="n">
        <v>1</v>
      </c>
      <c r="C66" s="28" t="str">
        <f aca="false">IFERROR(IF($D66="","",INDEX(Übungen!$B$4:$B$17,MATCH($D66,Übungen!$A$4:$A$17,0))),"")</f>
        <v>Beine hinten</v>
      </c>
      <c r="D66" s="19" t="s">
        <v>114</v>
      </c>
      <c r="E66" s="17" t="s">
        <v>97</v>
      </c>
      <c r="F66" s="20" t="n">
        <v>49</v>
      </c>
      <c r="G66" s="21"/>
      <c r="H66" s="20"/>
      <c r="I66" s="22" t="str">
        <f aca="false">IF(AND(ISNUMBER($F66),ISNUMBER($G66),$E66&lt;&gt;"R"),$F66*$G66,"")</f>
        <v/>
      </c>
      <c r="J66" s="29" t="str">
        <f aca="false">IF(AND($E66="A",ISNUMBER($F66),ISNUMBER($G66)),$F66*(1+$G66/30),"")</f>
        <v/>
      </c>
      <c r="K66" s="19"/>
      <c r="L66" s="19" t="s">
        <v>113</v>
      </c>
    </row>
    <row r="67" customFormat="false" ht="15.75" hidden="false" customHeight="true" outlineLevel="0" collapsed="false">
      <c r="A67" s="26" t="str">
        <f aca="false">IFERROR(IF($B67="","",IF(INDEX(Einheiten!$B$4:$B$27,MATCH($B67,Einheiten!$A$4:$A$27,0))=0,"",INDEX(Einheiten!$B$4:$B$27,MATCH($B67,Einheiten!$A$4:$A$27,0)))),"")</f>
        <v/>
      </c>
      <c r="B67" s="27" t="n">
        <v>1</v>
      </c>
      <c r="C67" s="28" t="str">
        <f aca="false">IFERROR(IF($D67="","",INDEX(Übungen!$B$4:$B$17,MATCH($D67,Übungen!$A$4:$A$17,0))),"")</f>
        <v>Beine hinten</v>
      </c>
      <c r="D67" s="19" t="s">
        <v>114</v>
      </c>
      <c r="E67" s="17" t="s">
        <v>98</v>
      </c>
      <c r="F67" s="20" t="n">
        <v>70</v>
      </c>
      <c r="G67" s="21" t="n">
        <v>15</v>
      </c>
      <c r="H67" s="20"/>
      <c r="I67" s="22" t="n">
        <f aca="false">IF(AND(ISNUMBER($F67),ISNUMBER($G67),$E67&lt;&gt;"R"),$F67*$G67,"")</f>
        <v>1050</v>
      </c>
      <c r="J67" s="29" t="n">
        <f aca="false">IF(AND($E67="A",ISNUMBER($F67),ISNUMBER($G67)),$F67*(1+$G67/30),"")</f>
        <v>105</v>
      </c>
      <c r="K67" s="19"/>
      <c r="L67" s="19"/>
    </row>
    <row r="68" customFormat="false" ht="15.75" hidden="false" customHeight="true" outlineLevel="0" collapsed="false">
      <c r="A68" s="26" t="str">
        <f aca="false">IFERROR(IF($B68="","",IF(INDEX(Einheiten!$B$4:$B$27,MATCH($B68,Einheiten!$A$4:$A$27,0))=0,"",INDEX(Einheiten!$B$4:$B$27,MATCH($B68,Einheiten!$A$4:$A$27,0)))),"")</f>
        <v/>
      </c>
      <c r="B68" s="27" t="n">
        <v>1</v>
      </c>
      <c r="C68" s="28" t="str">
        <f aca="false">IFERROR(IF($D68="","",INDEX(Übungen!$B$4:$B$17,MATCH($D68,Übungen!$A$4:$A$17,0))),"")</f>
        <v>Beine hinten</v>
      </c>
      <c r="D68" s="19" t="s">
        <v>114</v>
      </c>
      <c r="E68" s="17" t="s">
        <v>98</v>
      </c>
      <c r="F68" s="20" t="n">
        <v>77</v>
      </c>
      <c r="G68" s="21" t="n">
        <v>12</v>
      </c>
      <c r="H68" s="20"/>
      <c r="I68" s="22" t="n">
        <f aca="false">IF(AND(ISNUMBER($F68),ISNUMBER($G68),$E68&lt;&gt;"R"),$F68*$G68,"")</f>
        <v>924</v>
      </c>
      <c r="J68" s="29" t="n">
        <f aca="false">IF(AND($E68="A",ISNUMBER($F68),ISNUMBER($G68)),$F68*(1+$G68/30),"")</f>
        <v>107.8</v>
      </c>
      <c r="K68" s="19"/>
      <c r="L68" s="19"/>
    </row>
    <row r="69" customFormat="false" ht="15.75" hidden="false" customHeight="true" outlineLevel="0" collapsed="false">
      <c r="A69" s="26" t="str">
        <f aca="false">IFERROR(IF($B69="","",IF(INDEX(Einheiten!$B$4:$B$27,MATCH($B69,Einheiten!$A$4:$A$27,0))=0,"",INDEX(Einheiten!$B$4:$B$27,MATCH($B69,Einheiten!$A$4:$A$27,0)))),"")</f>
        <v/>
      </c>
      <c r="B69" s="27" t="n">
        <v>2</v>
      </c>
      <c r="C69" s="28" t="str">
        <f aca="false">IFERROR(IF($D69="","",INDEX(Übungen!$B$4:$B$17,MATCH($D69,Übungen!$A$4:$A$17,0))),"")</f>
        <v>Beine hinten</v>
      </c>
      <c r="D69" s="19" t="s">
        <v>114</v>
      </c>
      <c r="E69" s="17" t="s">
        <v>97</v>
      </c>
      <c r="F69" s="20" t="n">
        <v>30</v>
      </c>
      <c r="G69" s="21"/>
      <c r="H69" s="20"/>
      <c r="I69" s="22" t="str">
        <f aca="false">IF(AND(ISNUMBER($F69),ISNUMBER($G69),$E69&lt;&gt;"R"),$F69*$G69,"")</f>
        <v/>
      </c>
      <c r="J69" s="29" t="str">
        <f aca="false">IF(AND($E69="A",ISNUMBER($F69),ISNUMBER($G69)),$F69*(1+$G69/30),"")</f>
        <v/>
      </c>
      <c r="K69" s="19"/>
      <c r="L69" s="19" t="s">
        <v>113</v>
      </c>
    </row>
    <row r="70" customFormat="false" ht="15.75" hidden="false" customHeight="true" outlineLevel="0" collapsed="false">
      <c r="A70" s="26" t="str">
        <f aca="false">IFERROR(IF($B70="","",IF(INDEX(Einheiten!$B$4:$B$27,MATCH($B70,Einheiten!$A$4:$A$27,0))=0,"",INDEX(Einheiten!$B$4:$B$27,MATCH($B70,Einheiten!$A$4:$A$27,0)))),"")</f>
        <v/>
      </c>
      <c r="B70" s="27" t="n">
        <v>2</v>
      </c>
      <c r="C70" s="28" t="str">
        <f aca="false">IFERROR(IF($D70="","",INDEX(Übungen!$B$4:$B$17,MATCH($D70,Übungen!$A$4:$A$17,0))),"")</f>
        <v>Beine hinten</v>
      </c>
      <c r="D70" s="19" t="s">
        <v>114</v>
      </c>
      <c r="E70" s="17" t="s">
        <v>97</v>
      </c>
      <c r="F70" s="20" t="n">
        <v>42</v>
      </c>
      <c r="G70" s="21"/>
      <c r="H70" s="20"/>
      <c r="I70" s="22" t="str">
        <f aca="false">IF(AND(ISNUMBER($F70),ISNUMBER($G70),$E70&lt;&gt;"R"),$F70*$G70,"")</f>
        <v/>
      </c>
      <c r="J70" s="29" t="str">
        <f aca="false">IF(AND($E70="A",ISNUMBER($F70),ISNUMBER($G70)),$F70*(1+$G70/30),"")</f>
        <v/>
      </c>
      <c r="K70" s="19"/>
      <c r="L70" s="19" t="s">
        <v>113</v>
      </c>
    </row>
    <row r="71" customFormat="false" ht="15.75" hidden="false" customHeight="true" outlineLevel="0" collapsed="false">
      <c r="A71" s="26" t="str">
        <f aca="false">IFERROR(IF($B71="","",IF(INDEX(Einheiten!$B$4:$B$27,MATCH($B71,Einheiten!$A$4:$A$27,0))=0,"",INDEX(Einheiten!$B$4:$B$27,MATCH($B71,Einheiten!$A$4:$A$27,0)))),"")</f>
        <v/>
      </c>
      <c r="B71" s="27" t="n">
        <v>2</v>
      </c>
      <c r="C71" s="28" t="str">
        <f aca="false">IFERROR(IF($D71="","",INDEX(Übungen!$B$4:$B$17,MATCH($D71,Übungen!$A$4:$A$17,0))),"")</f>
        <v>Beine hinten</v>
      </c>
      <c r="D71" s="19" t="s">
        <v>114</v>
      </c>
      <c r="E71" s="17" t="s">
        <v>98</v>
      </c>
      <c r="F71" s="20" t="n">
        <v>77</v>
      </c>
      <c r="G71" s="21" t="n">
        <v>10</v>
      </c>
      <c r="H71" s="20"/>
      <c r="I71" s="22" t="n">
        <f aca="false">IF(AND(ISNUMBER($F71),ISNUMBER($G71),$E71&lt;&gt;"R"),$F71*$G71,"")</f>
        <v>770</v>
      </c>
      <c r="J71" s="29" t="n">
        <f aca="false">IF(AND($E71="A",ISNUMBER($F71),ISNUMBER($G71)),$F71*(1+$G71/30),"")</f>
        <v>102.666666666667</v>
      </c>
      <c r="K71" s="19"/>
      <c r="L71" s="19"/>
    </row>
    <row r="72" customFormat="false" ht="15.75" hidden="false" customHeight="true" outlineLevel="0" collapsed="false">
      <c r="A72" s="26" t="str">
        <f aca="false">IFERROR(IF($B72="","",IF(INDEX(Einheiten!$B$4:$B$27,MATCH($B72,Einheiten!$A$4:$A$27,0))=0,"",INDEX(Einheiten!$B$4:$B$27,MATCH($B72,Einheiten!$A$4:$A$27,0)))),"")</f>
        <v/>
      </c>
      <c r="B72" s="27" t="n">
        <v>2</v>
      </c>
      <c r="C72" s="28" t="str">
        <f aca="false">IFERROR(IF($D72="","",INDEX(Übungen!$B$4:$B$17,MATCH($D72,Übungen!$A$4:$A$17,0))),"")</f>
        <v>Beine hinten</v>
      </c>
      <c r="D72" s="19" t="s">
        <v>114</v>
      </c>
      <c r="E72" s="17" t="s">
        <v>98</v>
      </c>
      <c r="F72" s="20" t="n">
        <v>84</v>
      </c>
      <c r="G72" s="21" t="n">
        <v>6</v>
      </c>
      <c r="H72" s="20"/>
      <c r="I72" s="22" t="n">
        <f aca="false">IF(AND(ISNUMBER($F72),ISNUMBER($G72),$E72&lt;&gt;"R"),$F72*$G72,"")</f>
        <v>504</v>
      </c>
      <c r="J72" s="29" t="n">
        <f aca="false">IF(AND($E72="A",ISNUMBER($F72),ISNUMBER($G72)),$F72*(1+$G72/30),"")</f>
        <v>100.8</v>
      </c>
      <c r="K72" s="19"/>
      <c r="L72" s="19"/>
    </row>
    <row r="73" customFormat="false" ht="15.75" hidden="false" customHeight="true" outlineLevel="0" collapsed="false">
      <c r="A73" s="26" t="str">
        <f aca="false">IFERROR(IF($B73="","",IF(INDEX(Einheiten!$B$4:$B$27,MATCH($B73,Einheiten!$A$4:$A$27,0))=0,"",INDEX(Einheiten!$B$4:$B$27,MATCH($B73,Einheiten!$A$4:$A$27,0)))),"")</f>
        <v/>
      </c>
      <c r="B73" s="27" t="n">
        <v>3</v>
      </c>
      <c r="C73" s="28" t="str">
        <f aca="false">IFERROR(IF($D73="","",INDEX(Übungen!$B$4:$B$17,MATCH($D73,Übungen!$A$4:$A$17,0))),"")</f>
        <v>Beine hinten</v>
      </c>
      <c r="D73" s="19" t="s">
        <v>114</v>
      </c>
      <c r="E73" s="17" t="s">
        <v>97</v>
      </c>
      <c r="F73" s="20" t="n">
        <v>20</v>
      </c>
      <c r="G73" s="21"/>
      <c r="H73" s="20"/>
      <c r="I73" s="22" t="str">
        <f aca="false">IF(AND(ISNUMBER($F73),ISNUMBER($G73),$E73&lt;&gt;"R"),$F73*$G73,"")</f>
        <v/>
      </c>
      <c r="J73" s="29" t="str">
        <f aca="false">IF(AND($E73="A",ISNUMBER($F73),ISNUMBER($G73)),$F73*(1+$G73/30),"")</f>
        <v/>
      </c>
      <c r="K73" s="19"/>
      <c r="L73" s="19" t="s">
        <v>113</v>
      </c>
    </row>
    <row r="74" customFormat="false" ht="15.75" hidden="false" customHeight="true" outlineLevel="0" collapsed="false">
      <c r="A74" s="26" t="str">
        <f aca="false">IFERROR(IF($B74="","",IF(INDEX(Einheiten!$B$4:$B$27,MATCH($B74,Einheiten!$A$4:$A$27,0))=0,"",INDEX(Einheiten!$B$4:$B$27,MATCH($B74,Einheiten!$A$4:$A$27,0)))),"")</f>
        <v/>
      </c>
      <c r="B74" s="27" t="n">
        <v>3</v>
      </c>
      <c r="C74" s="28" t="str">
        <f aca="false">IFERROR(IF($D74="","",INDEX(Übungen!$B$4:$B$17,MATCH($D74,Übungen!$A$4:$A$17,0))),"")</f>
        <v>Beine hinten</v>
      </c>
      <c r="D74" s="19" t="s">
        <v>114</v>
      </c>
      <c r="E74" s="17" t="s">
        <v>97</v>
      </c>
      <c r="F74" s="20" t="n">
        <v>30</v>
      </c>
      <c r="G74" s="21"/>
      <c r="H74" s="20"/>
      <c r="I74" s="22" t="str">
        <f aca="false">IF(AND(ISNUMBER($F74),ISNUMBER($G74),$E74&lt;&gt;"R"),$F74*$G74,"")</f>
        <v/>
      </c>
      <c r="J74" s="29" t="str">
        <f aca="false">IF(AND($E74="A",ISNUMBER($F74),ISNUMBER($G74)),$F74*(1+$G74/30),"")</f>
        <v/>
      </c>
      <c r="K74" s="19"/>
      <c r="L74" s="19" t="s">
        <v>113</v>
      </c>
    </row>
    <row r="75" customFormat="false" ht="15.75" hidden="false" customHeight="true" outlineLevel="0" collapsed="false">
      <c r="A75" s="26" t="str">
        <f aca="false">IFERROR(IF($B75="","",IF(INDEX(Einheiten!$B$4:$B$27,MATCH($B75,Einheiten!$A$4:$A$27,0))=0,"",INDEX(Einheiten!$B$4:$B$27,MATCH($B75,Einheiten!$A$4:$A$27,0)))),"")</f>
        <v/>
      </c>
      <c r="B75" s="27" t="n">
        <v>3</v>
      </c>
      <c r="C75" s="28" t="str">
        <f aca="false">IFERROR(IF($D75="","",INDEX(Übungen!$B$4:$B$17,MATCH($D75,Übungen!$A$4:$A$17,0))),"")</f>
        <v>Beine hinten</v>
      </c>
      <c r="D75" s="19" t="s">
        <v>114</v>
      </c>
      <c r="E75" s="17" t="s">
        <v>98</v>
      </c>
      <c r="F75" s="20" t="n">
        <v>77</v>
      </c>
      <c r="G75" s="21" t="n">
        <v>14</v>
      </c>
      <c r="H75" s="20"/>
      <c r="I75" s="22" t="n">
        <f aca="false">IF(AND(ISNUMBER($F75),ISNUMBER($G75),$E75&lt;&gt;"R"),$F75*$G75,"")</f>
        <v>1078</v>
      </c>
      <c r="J75" s="29" t="n">
        <f aca="false">IF(AND($E75="A",ISNUMBER($F75),ISNUMBER($G75)),$F75*(1+$G75/30),"")</f>
        <v>112.933333333333</v>
      </c>
      <c r="K75" s="19"/>
      <c r="L75" s="19"/>
    </row>
    <row r="76" customFormat="false" ht="15.75" hidden="false" customHeight="true" outlineLevel="0" collapsed="false">
      <c r="A76" s="26" t="str">
        <f aca="false">IFERROR(IF($B76="","",IF(INDEX(Einheiten!$B$4:$B$27,MATCH($B76,Einheiten!$A$4:$A$27,0))=0,"",INDEX(Einheiten!$B$4:$B$27,MATCH($B76,Einheiten!$A$4:$A$27,0)))),"")</f>
        <v/>
      </c>
      <c r="B76" s="27" t="n">
        <v>3</v>
      </c>
      <c r="C76" s="28" t="str">
        <f aca="false">IFERROR(IF($D76="","",INDEX(Übungen!$B$4:$B$17,MATCH($D76,Übungen!$A$4:$A$17,0))),"")</f>
        <v>Beine hinten</v>
      </c>
      <c r="D76" s="19" t="s">
        <v>114</v>
      </c>
      <c r="E76" s="17" t="s">
        <v>98</v>
      </c>
      <c r="F76" s="20" t="n">
        <v>84</v>
      </c>
      <c r="G76" s="21" t="n">
        <v>12</v>
      </c>
      <c r="H76" s="20"/>
      <c r="I76" s="22" t="n">
        <f aca="false">IF(AND(ISNUMBER($F76),ISNUMBER($G76),$E76&lt;&gt;"R"),$F76*$G76,"")</f>
        <v>1008</v>
      </c>
      <c r="J76" s="29" t="n">
        <f aca="false">IF(AND($E76="A",ISNUMBER($F76),ISNUMBER($G76)),$F76*(1+$G76/30),"")</f>
        <v>117.6</v>
      </c>
      <c r="K76" s="19"/>
      <c r="L76" s="19"/>
    </row>
    <row r="77" customFormat="false" ht="15.75" hidden="false" customHeight="true" outlineLevel="0" collapsed="false">
      <c r="A77" s="26" t="str">
        <f aca="false">IFERROR(IF($B77="","",IF(INDEX(Einheiten!$B$4:$B$27,MATCH($B77,Einheiten!$A$4:$A$27,0))=0,"",INDEX(Einheiten!$B$4:$B$27,MATCH($B77,Einheiten!$A$4:$A$27,0)))),"")</f>
        <v/>
      </c>
      <c r="B77" s="27" t="n">
        <v>4</v>
      </c>
      <c r="C77" s="28" t="str">
        <f aca="false">IFERROR(IF($D77="","",INDEX(Übungen!$B$4:$B$17,MATCH($D77,Übungen!$A$4:$A$17,0))),"")</f>
        <v>Beine hinten</v>
      </c>
      <c r="D77" s="19" t="s">
        <v>114</v>
      </c>
      <c r="E77" s="17" t="s">
        <v>97</v>
      </c>
      <c r="F77" s="20" t="n">
        <v>25</v>
      </c>
      <c r="G77" s="21"/>
      <c r="H77" s="20"/>
      <c r="I77" s="22" t="str">
        <f aca="false">IF(AND(ISNUMBER($F77),ISNUMBER($G77),$E77&lt;&gt;"R"),$F77*$G77,"")</f>
        <v/>
      </c>
      <c r="J77" s="29" t="str">
        <f aca="false">IF(AND($E77="A",ISNUMBER($F77),ISNUMBER($G77)),$F77*(1+$G77/30),"")</f>
        <v/>
      </c>
      <c r="K77" s="19"/>
      <c r="L77" s="19" t="s">
        <v>113</v>
      </c>
    </row>
    <row r="78" customFormat="false" ht="15.75" hidden="false" customHeight="true" outlineLevel="0" collapsed="false">
      <c r="A78" s="26" t="str">
        <f aca="false">IFERROR(IF($B78="","",IF(INDEX(Einheiten!$B$4:$B$27,MATCH($B78,Einheiten!$A$4:$A$27,0))=0,"",INDEX(Einheiten!$B$4:$B$27,MATCH($B78,Einheiten!$A$4:$A$27,0)))),"")</f>
        <v/>
      </c>
      <c r="B78" s="27" t="n">
        <v>4</v>
      </c>
      <c r="C78" s="28" t="str">
        <f aca="false">IFERROR(IF($D78="","",INDEX(Übungen!$B$4:$B$17,MATCH($D78,Übungen!$A$4:$A$17,0))),"")</f>
        <v>Beine hinten</v>
      </c>
      <c r="D78" s="19" t="s">
        <v>114</v>
      </c>
      <c r="E78" s="17" t="s">
        <v>97</v>
      </c>
      <c r="F78" s="20" t="n">
        <v>35</v>
      </c>
      <c r="G78" s="21"/>
      <c r="H78" s="20"/>
      <c r="I78" s="22" t="str">
        <f aca="false">IF(AND(ISNUMBER($F78),ISNUMBER($G78),$E78&lt;&gt;"R"),$F78*$G78,"")</f>
        <v/>
      </c>
      <c r="J78" s="29" t="str">
        <f aca="false">IF(AND($E78="A",ISNUMBER($F78),ISNUMBER($G78)),$F78*(1+$G78/30),"")</f>
        <v/>
      </c>
      <c r="K78" s="19"/>
      <c r="L78" s="19" t="s">
        <v>113</v>
      </c>
    </row>
    <row r="79" customFormat="false" ht="15.75" hidden="false" customHeight="true" outlineLevel="0" collapsed="false">
      <c r="A79" s="26" t="str">
        <f aca="false">IFERROR(IF($B79="","",IF(INDEX(Einheiten!$B$4:$B$27,MATCH($B79,Einheiten!$A$4:$A$27,0))=0,"",INDEX(Einheiten!$B$4:$B$27,MATCH($B79,Einheiten!$A$4:$A$27,0)))),"")</f>
        <v/>
      </c>
      <c r="B79" s="27" t="n">
        <v>4</v>
      </c>
      <c r="C79" s="28" t="str">
        <f aca="false">IFERROR(IF($D79="","",INDEX(Übungen!$B$4:$B$17,MATCH($D79,Übungen!$A$4:$A$17,0))),"")</f>
        <v>Beine hinten</v>
      </c>
      <c r="D79" s="19" t="s">
        <v>114</v>
      </c>
      <c r="E79" s="17" t="s">
        <v>98</v>
      </c>
      <c r="F79" s="20" t="n">
        <v>63</v>
      </c>
      <c r="G79" s="21" t="n">
        <v>15</v>
      </c>
      <c r="H79" s="20"/>
      <c r="I79" s="22" t="n">
        <f aca="false">IF(AND(ISNUMBER($F79),ISNUMBER($G79),$E79&lt;&gt;"R"),$F79*$G79,"")</f>
        <v>945</v>
      </c>
      <c r="J79" s="29" t="n">
        <f aca="false">IF(AND($E79="A",ISNUMBER($F79),ISNUMBER($G79)),$F79*(1+$G79/30),"")</f>
        <v>94.5</v>
      </c>
      <c r="K79" s="19"/>
      <c r="L79" s="19"/>
    </row>
    <row r="80" customFormat="false" ht="15.75" hidden="false" customHeight="true" outlineLevel="0" collapsed="false">
      <c r="A80" s="26" t="str">
        <f aca="false">IFERROR(IF($B80="","",IF(INDEX(Einheiten!$B$4:$B$27,MATCH($B80,Einheiten!$A$4:$A$27,0))=0,"",INDEX(Einheiten!$B$4:$B$27,MATCH($B80,Einheiten!$A$4:$A$27,0)))),"")</f>
        <v/>
      </c>
      <c r="B80" s="27" t="n">
        <v>4</v>
      </c>
      <c r="C80" s="28" t="str">
        <f aca="false">IFERROR(IF($D80="","",INDEX(Übungen!$B$4:$B$17,MATCH($D80,Übungen!$A$4:$A$17,0))),"")</f>
        <v>Beine hinten</v>
      </c>
      <c r="D80" s="19" t="s">
        <v>114</v>
      </c>
      <c r="E80" s="17" t="s">
        <v>98</v>
      </c>
      <c r="F80" s="20" t="n">
        <v>56</v>
      </c>
      <c r="G80" s="21" t="n">
        <v>15</v>
      </c>
      <c r="H80" s="20"/>
      <c r="I80" s="22" t="n">
        <f aca="false">IF(AND(ISNUMBER($F80),ISNUMBER($G80),$E80&lt;&gt;"R"),$F80*$G80,"")</f>
        <v>840</v>
      </c>
      <c r="J80" s="29" t="n">
        <f aca="false">IF(AND($E80="A",ISNUMBER($F80),ISNUMBER($G80)),$F80*(1+$G80/30),"")</f>
        <v>84</v>
      </c>
      <c r="K80" s="19"/>
      <c r="L80" s="19"/>
    </row>
    <row r="81" customFormat="false" ht="15.75" hidden="false" customHeight="true" outlineLevel="0" collapsed="false">
      <c r="A81" s="26" t="str">
        <f aca="false">IFERROR(IF($B81="","",IF(INDEX(Einheiten!$B$4:$B$27,MATCH($B81,Einheiten!$A$4:$A$27,0))=0,"",INDEX(Einheiten!$B$4:$B$27,MATCH($B81,Einheiten!$A$4:$A$27,0)))),"")</f>
        <v/>
      </c>
      <c r="B81" s="27" t="n">
        <v>1</v>
      </c>
      <c r="C81" s="28" t="str">
        <f aca="false">IFERROR(IF($D81="","",INDEX(Übungen!$B$4:$B$17,MATCH($D81,Übungen!$A$4:$A$17,0))),"")</f>
        <v>Beine hinten</v>
      </c>
      <c r="D81" s="19" t="s">
        <v>115</v>
      </c>
      <c r="E81" s="17" t="s">
        <v>97</v>
      </c>
      <c r="F81" s="20" t="n">
        <v>15</v>
      </c>
      <c r="G81" s="21" t="n">
        <v>8</v>
      </c>
      <c r="H81" s="20"/>
      <c r="I81" s="22" t="n">
        <f aca="false">IF(AND(ISNUMBER($F81),ISNUMBER($G81),$E81&lt;&gt;"R"),$F81*$G81,"")</f>
        <v>120</v>
      </c>
      <c r="J81" s="29" t="str">
        <f aca="false">IF(AND($E81="A",ISNUMBER($F81),ISNUMBER($G81)),$F81*(1+$G81/30),"")</f>
        <v/>
      </c>
      <c r="K81" s="19"/>
      <c r="L81" s="19"/>
    </row>
    <row r="82" customFormat="false" ht="15.75" hidden="false" customHeight="true" outlineLevel="0" collapsed="false">
      <c r="A82" s="26" t="str">
        <f aca="false">IFERROR(IF($B82="","",IF(INDEX(Einheiten!$B$4:$B$27,MATCH($B82,Einheiten!$A$4:$A$27,0))=0,"",INDEX(Einheiten!$B$4:$B$27,MATCH($B82,Einheiten!$A$4:$A$27,0)))),"")</f>
        <v/>
      </c>
      <c r="B82" s="27" t="n">
        <v>1</v>
      </c>
      <c r="C82" s="28" t="str">
        <f aca="false">IFERROR(IF($D82="","",INDEX(Übungen!$B$4:$B$17,MATCH($D82,Übungen!$A$4:$A$17,0))),"")</f>
        <v>Beine hinten</v>
      </c>
      <c r="D82" s="19" t="s">
        <v>115</v>
      </c>
      <c r="E82" s="17" t="s">
        <v>98</v>
      </c>
      <c r="F82" s="20" t="n">
        <v>49</v>
      </c>
      <c r="G82" s="21" t="n">
        <v>12</v>
      </c>
      <c r="H82" s="20"/>
      <c r="I82" s="22" t="n">
        <f aca="false">IF(AND(ISNUMBER($F82),ISNUMBER($G82),$E82&lt;&gt;"R"),$F82*$G82,"")</f>
        <v>588</v>
      </c>
      <c r="J82" s="29" t="n">
        <f aca="false">IF(AND($E82="A",ISNUMBER($F82),ISNUMBER($G82)),$F82*(1+$G82/30),"")</f>
        <v>68.6</v>
      </c>
      <c r="K82" s="19"/>
      <c r="L82" s="19"/>
    </row>
    <row r="83" customFormat="false" ht="15.75" hidden="false" customHeight="true" outlineLevel="0" collapsed="false">
      <c r="A83" s="26" t="str">
        <f aca="false">IFERROR(IF($B83="","",IF(INDEX(Einheiten!$B$4:$B$27,MATCH($B83,Einheiten!$A$4:$A$27,0))=0,"",INDEX(Einheiten!$B$4:$B$27,MATCH($B83,Einheiten!$A$4:$A$27,0)))),"")</f>
        <v/>
      </c>
      <c r="B83" s="27" t="n">
        <v>1</v>
      </c>
      <c r="C83" s="28" t="str">
        <f aca="false">IFERROR(IF($D83="","",INDEX(Übungen!$B$4:$B$17,MATCH($D83,Übungen!$A$4:$A$17,0))),"")</f>
        <v>Beine hinten</v>
      </c>
      <c r="D83" s="19" t="s">
        <v>115</v>
      </c>
      <c r="E83" s="17" t="s">
        <v>98</v>
      </c>
      <c r="F83" s="20" t="n">
        <v>35</v>
      </c>
      <c r="G83" s="21" t="n">
        <v>14</v>
      </c>
      <c r="H83" s="20"/>
      <c r="I83" s="22" t="n">
        <f aca="false">IF(AND(ISNUMBER($F83),ISNUMBER($G83),$E83&lt;&gt;"R"),$F83*$G83,"")</f>
        <v>490</v>
      </c>
      <c r="J83" s="29" t="n">
        <f aca="false">IF(AND($E83="A",ISNUMBER($F83),ISNUMBER($G83)),$F83*(1+$G83/30),"")</f>
        <v>51.3333333333333</v>
      </c>
      <c r="K83" s="19"/>
      <c r="L83" s="19"/>
    </row>
    <row r="84" customFormat="false" ht="15.75" hidden="false" customHeight="true" outlineLevel="0" collapsed="false">
      <c r="A84" s="26" t="str">
        <f aca="false">IFERROR(IF($B84="","",IF(INDEX(Einheiten!$B$4:$B$27,MATCH($B84,Einheiten!$A$4:$A$27,0))=0,"",INDEX(Einheiten!$B$4:$B$27,MATCH($B84,Einheiten!$A$4:$A$27,0)))),"")</f>
        <v/>
      </c>
      <c r="B84" s="27" t="n">
        <v>2</v>
      </c>
      <c r="C84" s="28" t="str">
        <f aca="false">IFERROR(IF($D84="","",INDEX(Übungen!$B$4:$B$17,MATCH($D84,Übungen!$A$4:$A$17,0))),"")</f>
        <v>Beine hinten</v>
      </c>
      <c r="D84" s="19" t="s">
        <v>115</v>
      </c>
      <c r="E84" s="17" t="s">
        <v>97</v>
      </c>
      <c r="F84" s="20" t="n">
        <v>25</v>
      </c>
      <c r="G84" s="21" t="n">
        <v>5</v>
      </c>
      <c r="H84" s="20"/>
      <c r="I84" s="22" t="n">
        <f aca="false">IF(AND(ISNUMBER($F84),ISNUMBER($G84),$E84&lt;&gt;"R"),$F84*$G84,"")</f>
        <v>125</v>
      </c>
      <c r="J84" s="29" t="str">
        <f aca="false">IF(AND($E84="A",ISNUMBER($F84),ISNUMBER($G84)),$F84*(1+$G84/30),"")</f>
        <v/>
      </c>
      <c r="K84" s="19"/>
      <c r="L84" s="19"/>
    </row>
    <row r="85" customFormat="false" ht="15.75" hidden="false" customHeight="true" outlineLevel="0" collapsed="false">
      <c r="A85" s="26" t="str">
        <f aca="false">IFERROR(IF($B85="","",IF(INDEX(Einheiten!$B$4:$B$27,MATCH($B85,Einheiten!$A$4:$A$27,0))=0,"",INDEX(Einheiten!$B$4:$B$27,MATCH($B85,Einheiten!$A$4:$A$27,0)))),"")</f>
        <v/>
      </c>
      <c r="B85" s="27" t="n">
        <v>2</v>
      </c>
      <c r="C85" s="28" t="str">
        <f aca="false">IFERROR(IF($D85="","",INDEX(Übungen!$B$4:$B$17,MATCH($D85,Übungen!$A$4:$A$17,0))),"")</f>
        <v>Beine hinten</v>
      </c>
      <c r="D85" s="19" t="s">
        <v>115</v>
      </c>
      <c r="E85" s="17" t="s">
        <v>98</v>
      </c>
      <c r="F85" s="20" t="n">
        <v>35</v>
      </c>
      <c r="G85" s="21" t="n">
        <v>15</v>
      </c>
      <c r="H85" s="20"/>
      <c r="I85" s="22" t="n">
        <f aca="false">IF(AND(ISNUMBER($F85),ISNUMBER($G85),$E85&lt;&gt;"R"),$F85*$G85,"")</f>
        <v>525</v>
      </c>
      <c r="J85" s="29" t="n">
        <f aca="false">IF(AND($E85="A",ISNUMBER($F85),ISNUMBER($G85)),$F85*(1+$G85/30),"")</f>
        <v>52.5</v>
      </c>
      <c r="K85" s="19"/>
      <c r="L85" s="19"/>
    </row>
    <row r="86" customFormat="false" ht="15.75" hidden="false" customHeight="true" outlineLevel="0" collapsed="false">
      <c r="A86" s="26" t="str">
        <f aca="false">IFERROR(IF($B86="","",IF(INDEX(Einheiten!$B$4:$B$27,MATCH($B86,Einheiten!$A$4:$A$27,0))=0,"",INDEX(Einheiten!$B$4:$B$27,MATCH($B86,Einheiten!$A$4:$A$27,0)))),"")</f>
        <v/>
      </c>
      <c r="B86" s="27" t="n">
        <v>2</v>
      </c>
      <c r="C86" s="28" t="str">
        <f aca="false">IFERROR(IF($D86="","",INDEX(Übungen!$B$4:$B$17,MATCH($D86,Übungen!$A$4:$A$17,0))),"")</f>
        <v>Beine hinten</v>
      </c>
      <c r="D86" s="19" t="s">
        <v>115</v>
      </c>
      <c r="E86" s="17" t="s">
        <v>98</v>
      </c>
      <c r="F86" s="20" t="n">
        <v>30</v>
      </c>
      <c r="G86" s="21" t="n">
        <v>15</v>
      </c>
      <c r="H86" s="20"/>
      <c r="I86" s="22" t="n">
        <f aca="false">IF(AND(ISNUMBER($F86),ISNUMBER($G86),$E86&lt;&gt;"R"),$F86*$G86,"")</f>
        <v>450</v>
      </c>
      <c r="J86" s="29" t="n">
        <f aca="false">IF(AND($E86="A",ISNUMBER($F86),ISNUMBER($G86)),$F86*(1+$G86/30),"")</f>
        <v>45</v>
      </c>
      <c r="K86" s="19"/>
      <c r="L86" s="19"/>
    </row>
    <row r="87" customFormat="false" ht="15.75" hidden="false" customHeight="true" outlineLevel="0" collapsed="false">
      <c r="A87" s="26" t="str">
        <f aca="false">IFERROR(IF($B87="","",IF(INDEX(Einheiten!$B$4:$B$27,MATCH($B87,Einheiten!$A$4:$A$27,0))=0,"",INDEX(Einheiten!$B$4:$B$27,MATCH($B87,Einheiten!$A$4:$A$27,0)))),"")</f>
        <v/>
      </c>
      <c r="B87" s="27" t="n">
        <v>1</v>
      </c>
      <c r="C87" s="28" t="str">
        <f aca="false">IFERROR(IF($D87="","",INDEX(Übungen!$B$4:$B$17,MATCH($D87,Übungen!$A$4:$A$17,0))),"")</f>
        <v>Beine hinten</v>
      </c>
      <c r="D87" s="19" t="s">
        <v>116</v>
      </c>
      <c r="E87" s="17" t="s">
        <v>97</v>
      </c>
      <c r="F87" s="20" t="n">
        <v>25</v>
      </c>
      <c r="G87" s="21" t="n">
        <v>10</v>
      </c>
      <c r="H87" s="20"/>
      <c r="I87" s="22" t="n">
        <f aca="false">IF(AND(ISNUMBER($F87),ISNUMBER($G87),$E87&lt;&gt;"R"),$F87*$G87,"")</f>
        <v>250</v>
      </c>
      <c r="J87" s="29" t="str">
        <f aca="false">IF(AND($E87="A",ISNUMBER($F87),ISNUMBER($G87)),$F87*(1+$G87/30),"")</f>
        <v/>
      </c>
      <c r="K87" s="19"/>
      <c r="L87" s="19"/>
    </row>
    <row r="88" customFormat="false" ht="15.75" hidden="false" customHeight="true" outlineLevel="0" collapsed="false">
      <c r="A88" s="26" t="str">
        <f aca="false">IFERROR(IF($B88="","",IF(INDEX(Einheiten!$B$4:$B$27,MATCH($B88,Einheiten!$A$4:$A$27,0))=0,"",INDEX(Einheiten!$B$4:$B$27,MATCH($B88,Einheiten!$A$4:$A$27,0)))),"")</f>
        <v/>
      </c>
      <c r="B88" s="27" t="n">
        <v>1</v>
      </c>
      <c r="C88" s="28" t="str">
        <f aca="false">IFERROR(IF($D88="","",INDEX(Übungen!$B$4:$B$17,MATCH($D88,Übungen!$A$4:$A$17,0))),"")</f>
        <v>Beine hinten</v>
      </c>
      <c r="D88" s="19" t="s">
        <v>116</v>
      </c>
      <c r="E88" s="17" t="s">
        <v>98</v>
      </c>
      <c r="F88" s="20" t="n">
        <v>45</v>
      </c>
      <c r="G88" s="21" t="n">
        <v>14</v>
      </c>
      <c r="H88" s="20"/>
      <c r="I88" s="22" t="n">
        <f aca="false">IF(AND(ISNUMBER($F88),ISNUMBER($G88),$E88&lt;&gt;"R"),$F88*$G88,"")</f>
        <v>630</v>
      </c>
      <c r="J88" s="29" t="n">
        <f aca="false">IF(AND($E88="A",ISNUMBER($F88),ISNUMBER($G88)),$F88*(1+$G88/30),"")</f>
        <v>66</v>
      </c>
      <c r="K88" s="19"/>
      <c r="L88" s="19"/>
    </row>
    <row r="89" customFormat="false" ht="15.75" hidden="false" customHeight="true" outlineLevel="0" collapsed="false">
      <c r="A89" s="26" t="str">
        <f aca="false">IFERROR(IF($B89="","",IF(INDEX(Einheiten!$B$4:$B$27,MATCH($B89,Einheiten!$A$4:$A$27,0))=0,"",INDEX(Einheiten!$B$4:$B$27,MATCH($B89,Einheiten!$A$4:$A$27,0)))),"")</f>
        <v/>
      </c>
      <c r="B89" s="27" t="n">
        <v>1</v>
      </c>
      <c r="C89" s="28" t="str">
        <f aca="false">IFERROR(IF($D89="","",INDEX(Übungen!$B$4:$B$17,MATCH($D89,Übungen!$A$4:$A$17,0))),"")</f>
        <v>Beine hinten</v>
      </c>
      <c r="D89" s="19" t="s">
        <v>116</v>
      </c>
      <c r="E89" s="17" t="s">
        <v>98</v>
      </c>
      <c r="F89" s="20" t="n">
        <v>50</v>
      </c>
      <c r="G89" s="21" t="n">
        <v>10</v>
      </c>
      <c r="H89" s="20"/>
      <c r="I89" s="22" t="n">
        <f aca="false">IF(AND(ISNUMBER($F89),ISNUMBER($G89),$E89&lt;&gt;"R"),$F89*$G89,"")</f>
        <v>500</v>
      </c>
      <c r="J89" s="29" t="n">
        <f aca="false">IF(AND($E89="A",ISNUMBER($F89),ISNUMBER($G89)),$F89*(1+$G89/30),"")</f>
        <v>66.6666666666667</v>
      </c>
      <c r="K89" s="19"/>
      <c r="L89" s="19"/>
    </row>
    <row r="90" customFormat="false" ht="15.75" hidden="false" customHeight="true" outlineLevel="0" collapsed="false">
      <c r="A90" s="26" t="str">
        <f aca="false">IFERROR(IF($B90="","",IF(INDEX(Einheiten!$B$4:$B$27,MATCH($B90,Einheiten!$A$4:$A$27,0))=0,"",INDEX(Einheiten!$B$4:$B$27,MATCH($B90,Einheiten!$A$4:$A$27,0)))),"")</f>
        <v/>
      </c>
      <c r="B90" s="27" t="n">
        <v>1</v>
      </c>
      <c r="C90" s="28" t="str">
        <f aca="false">IFERROR(IF($D90="","",INDEX(Übungen!$B$4:$B$17,MATCH($D90,Übungen!$A$4:$A$17,0))),"")</f>
        <v>Beine hinten</v>
      </c>
      <c r="D90" s="19" t="s">
        <v>116</v>
      </c>
      <c r="E90" s="17" t="s">
        <v>99</v>
      </c>
      <c r="F90" s="20" t="n">
        <v>30</v>
      </c>
      <c r="G90" s="21" t="n">
        <v>10</v>
      </c>
      <c r="H90" s="20"/>
      <c r="I90" s="22" t="str">
        <f aca="false">IF(AND(ISNUMBER($F90),ISNUMBER($G90),$E90&lt;&gt;"R"),$F90*$G90,"")</f>
        <v/>
      </c>
      <c r="J90" s="29" t="str">
        <f aca="false">IF(AND($E90="A",ISNUMBER($F90),ISNUMBER($G90)),$F90*(1+$G90/30),"")</f>
        <v/>
      </c>
      <c r="K90" s="19" t="s">
        <v>117</v>
      </c>
      <c r="L90" s="19"/>
    </row>
    <row r="91" customFormat="false" ht="15.75" hidden="false" customHeight="true" outlineLevel="0" collapsed="false">
      <c r="A91" s="26" t="str">
        <f aca="false">IFERROR(IF($B91="","",IF(INDEX(Einheiten!$B$4:$B$27,MATCH($B91,Einheiten!$A$4:$A$27,0))=0,"",INDEX(Einheiten!$B$4:$B$27,MATCH($B91,Einheiten!$A$4:$A$27,0)))),"")</f>
        <v/>
      </c>
      <c r="B91" s="27" t="n">
        <v>2</v>
      </c>
      <c r="C91" s="28" t="str">
        <f aca="false">IFERROR(IF($D91="","",INDEX(Übungen!$B$4:$B$17,MATCH($D91,Übungen!$A$4:$A$17,0))),"")</f>
        <v>Beine hinten</v>
      </c>
      <c r="D91" s="19" t="s">
        <v>116</v>
      </c>
      <c r="E91" s="17" t="s">
        <v>97</v>
      </c>
      <c r="F91" s="20" t="n">
        <v>30</v>
      </c>
      <c r="G91" s="21" t="n">
        <v>10</v>
      </c>
      <c r="H91" s="20"/>
      <c r="I91" s="22" t="n">
        <f aca="false">IF(AND(ISNUMBER($F91),ISNUMBER($G91),$E91&lt;&gt;"R"),$F91*$G91,"")</f>
        <v>300</v>
      </c>
      <c r="J91" s="29" t="str">
        <f aca="false">IF(AND($E91="A",ISNUMBER($F91),ISNUMBER($G91)),$F91*(1+$G91/30),"")</f>
        <v/>
      </c>
      <c r="K91" s="19"/>
      <c r="L91" s="19"/>
    </row>
    <row r="92" customFormat="false" ht="15.75" hidden="false" customHeight="true" outlineLevel="0" collapsed="false">
      <c r="A92" s="26" t="str">
        <f aca="false">IFERROR(IF($B92="","",IF(INDEX(Einheiten!$B$4:$B$27,MATCH($B92,Einheiten!$A$4:$A$27,0))=0,"",INDEX(Einheiten!$B$4:$B$27,MATCH($B92,Einheiten!$A$4:$A$27,0)))),"")</f>
        <v/>
      </c>
      <c r="B92" s="27" t="n">
        <v>2</v>
      </c>
      <c r="C92" s="28" t="str">
        <f aca="false">IFERROR(IF($D92="","",INDEX(Übungen!$B$4:$B$17,MATCH($D92,Übungen!$A$4:$A$17,0))),"")</f>
        <v>Beine hinten</v>
      </c>
      <c r="D92" s="19" t="s">
        <v>116</v>
      </c>
      <c r="E92" s="17" t="s">
        <v>98</v>
      </c>
      <c r="F92" s="20" t="n">
        <v>50</v>
      </c>
      <c r="G92" s="21" t="n">
        <v>12</v>
      </c>
      <c r="H92" s="20"/>
      <c r="I92" s="22" t="n">
        <f aca="false">IF(AND(ISNUMBER($F92),ISNUMBER($G92),$E92&lt;&gt;"R"),$F92*$G92,"")</f>
        <v>600</v>
      </c>
      <c r="J92" s="29" t="n">
        <f aca="false">IF(AND($E92="A",ISNUMBER($F92),ISNUMBER($G92)),$F92*(1+$G92/30),"")</f>
        <v>70</v>
      </c>
      <c r="K92" s="19"/>
      <c r="L92" s="19"/>
    </row>
    <row r="93" customFormat="false" ht="15.75" hidden="false" customHeight="true" outlineLevel="0" collapsed="false">
      <c r="A93" s="26" t="str">
        <f aca="false">IFERROR(IF($B93="","",IF(INDEX(Einheiten!$B$4:$B$27,MATCH($B93,Einheiten!$A$4:$A$27,0))=0,"",INDEX(Einheiten!$B$4:$B$27,MATCH($B93,Einheiten!$A$4:$A$27,0)))),"")</f>
        <v/>
      </c>
      <c r="B93" s="27" t="n">
        <v>2</v>
      </c>
      <c r="C93" s="28" t="str">
        <f aca="false">IFERROR(IF($D93="","",INDEX(Übungen!$B$4:$B$17,MATCH($D93,Übungen!$A$4:$A$17,0))),"")</f>
        <v>Beine hinten</v>
      </c>
      <c r="D93" s="19" t="s">
        <v>116</v>
      </c>
      <c r="E93" s="17" t="s">
        <v>98</v>
      </c>
      <c r="F93" s="20" t="n">
        <v>55</v>
      </c>
      <c r="G93" s="21" t="n">
        <v>10</v>
      </c>
      <c r="H93" s="20"/>
      <c r="I93" s="22" t="n">
        <f aca="false">IF(AND(ISNUMBER($F93),ISNUMBER($G93),$E93&lt;&gt;"R"),$F93*$G93,"")</f>
        <v>550</v>
      </c>
      <c r="J93" s="29" t="n">
        <f aca="false">IF(AND($E93="A",ISNUMBER($F93),ISNUMBER($G93)),$F93*(1+$G93/30),"")</f>
        <v>73.3333333333333</v>
      </c>
      <c r="K93" s="19"/>
      <c r="L93" s="19"/>
    </row>
    <row r="94" customFormat="false" ht="15.75" hidden="false" customHeight="true" outlineLevel="0" collapsed="false">
      <c r="A94" s="26" t="str">
        <f aca="false">IFERROR(IF($B94="","",IF(INDEX(Einheiten!$B$4:$B$27,MATCH($B94,Einheiten!$A$4:$A$27,0))=0,"",INDEX(Einheiten!$B$4:$B$27,MATCH($B94,Einheiten!$A$4:$A$27,0)))),"")</f>
        <v/>
      </c>
      <c r="B94" s="27" t="n">
        <v>2</v>
      </c>
      <c r="C94" s="28" t="str">
        <f aca="false">IFERROR(IF($D94="","",INDEX(Übungen!$B$4:$B$17,MATCH($D94,Übungen!$A$4:$A$17,0))),"")</f>
        <v>Beine hinten</v>
      </c>
      <c r="D94" s="19" t="s">
        <v>116</v>
      </c>
      <c r="E94" s="17" t="s">
        <v>99</v>
      </c>
      <c r="F94" s="20" t="n">
        <v>40</v>
      </c>
      <c r="G94" s="21" t="n">
        <v>8</v>
      </c>
      <c r="H94" s="20"/>
      <c r="I94" s="22" t="str">
        <f aca="false">IF(AND(ISNUMBER($F94),ISNUMBER($G94),$E94&lt;&gt;"R"),$F94*$G94,"")</f>
        <v/>
      </c>
      <c r="J94" s="29" t="str">
        <f aca="false">IF(AND($E94="A",ISNUMBER($F94),ISNUMBER($G94)),$F94*(1+$G94/30),"")</f>
        <v/>
      </c>
      <c r="K94" s="19" t="s">
        <v>118</v>
      </c>
      <c r="L94" s="19"/>
    </row>
    <row r="95" customFormat="false" ht="15.75" hidden="false" customHeight="true" outlineLevel="0" collapsed="false">
      <c r="A95" s="26" t="str">
        <f aca="false">IFERROR(IF($B95="","",IF(INDEX(Einheiten!$B$4:$B$27,MATCH($B95,Einheiten!$A$4:$A$27,0))=0,"",INDEX(Einheiten!$B$4:$B$27,MATCH($B95,Einheiten!$A$4:$A$27,0)))),"")</f>
        <v/>
      </c>
      <c r="B95" s="27" t="n">
        <v>3</v>
      </c>
      <c r="C95" s="28" t="str">
        <f aca="false">IFERROR(IF($D95="","",INDEX(Übungen!$B$4:$B$17,MATCH($D95,Übungen!$A$4:$A$17,0))),"")</f>
        <v>Beine hinten</v>
      </c>
      <c r="D95" s="19" t="s">
        <v>116</v>
      </c>
      <c r="E95" s="17" t="s">
        <v>97</v>
      </c>
      <c r="F95" s="20" t="n">
        <v>35</v>
      </c>
      <c r="G95" s="21" t="n">
        <v>6</v>
      </c>
      <c r="H95" s="20"/>
      <c r="I95" s="22" t="n">
        <f aca="false">IF(AND(ISNUMBER($F95),ISNUMBER($G95),$E95&lt;&gt;"R"),$F95*$G95,"")</f>
        <v>210</v>
      </c>
      <c r="J95" s="29" t="str">
        <f aca="false">IF(AND($E95="A",ISNUMBER($F95),ISNUMBER($G95)),$F95*(1+$G95/30),"")</f>
        <v/>
      </c>
      <c r="K95" s="19"/>
      <c r="L95" s="19"/>
    </row>
    <row r="96" customFormat="false" ht="15.75" hidden="false" customHeight="true" outlineLevel="0" collapsed="false">
      <c r="A96" s="26" t="str">
        <f aca="false">IFERROR(IF($B96="","",IF(INDEX(Einheiten!$B$4:$B$27,MATCH($B96,Einheiten!$A$4:$A$27,0))=0,"",INDEX(Einheiten!$B$4:$B$27,MATCH($B96,Einheiten!$A$4:$A$27,0)))),"")</f>
        <v/>
      </c>
      <c r="B96" s="27" t="n">
        <v>3</v>
      </c>
      <c r="C96" s="28" t="str">
        <f aca="false">IFERROR(IF($D96="","",INDEX(Übungen!$B$4:$B$17,MATCH($D96,Übungen!$A$4:$A$17,0))),"")</f>
        <v>Beine hinten</v>
      </c>
      <c r="D96" s="19" t="s">
        <v>116</v>
      </c>
      <c r="E96" s="17" t="s">
        <v>98</v>
      </c>
      <c r="F96" s="20" t="n">
        <v>45</v>
      </c>
      <c r="G96" s="21" t="n">
        <v>15</v>
      </c>
      <c r="H96" s="20"/>
      <c r="I96" s="22" t="n">
        <f aca="false">IF(AND(ISNUMBER($F96),ISNUMBER($G96),$E96&lt;&gt;"R"),$F96*$G96,"")</f>
        <v>675</v>
      </c>
      <c r="J96" s="29" t="n">
        <f aca="false">IF(AND($E96="A",ISNUMBER($F96),ISNUMBER($G96)),$F96*(1+$G96/30),"")</f>
        <v>67.5</v>
      </c>
      <c r="K96" s="19"/>
      <c r="L96" s="19"/>
    </row>
    <row r="97" customFormat="false" ht="15.75" hidden="false" customHeight="true" outlineLevel="0" collapsed="false">
      <c r="A97" s="26" t="str">
        <f aca="false">IFERROR(IF($B97="","",IF(INDEX(Einheiten!$B$4:$B$27,MATCH($B97,Einheiten!$A$4:$A$27,0))=0,"",INDEX(Einheiten!$B$4:$B$27,MATCH($B97,Einheiten!$A$4:$A$27,0)))),"")</f>
        <v/>
      </c>
      <c r="B97" s="27" t="n">
        <v>3</v>
      </c>
      <c r="C97" s="28" t="str">
        <f aca="false">IFERROR(IF($D97="","",INDEX(Übungen!$B$4:$B$17,MATCH($D97,Übungen!$A$4:$A$17,0))),"")</f>
        <v>Beine hinten</v>
      </c>
      <c r="D97" s="19" t="s">
        <v>116</v>
      </c>
      <c r="E97" s="17" t="s">
        <v>98</v>
      </c>
      <c r="F97" s="20" t="n">
        <v>40</v>
      </c>
      <c r="G97" s="21" t="n">
        <v>15</v>
      </c>
      <c r="H97" s="20"/>
      <c r="I97" s="22" t="n">
        <f aca="false">IF(AND(ISNUMBER($F97),ISNUMBER($G97),$E97&lt;&gt;"R"),$F97*$G97,"")</f>
        <v>600</v>
      </c>
      <c r="J97" s="29" t="n">
        <f aca="false">IF(AND($E97="A",ISNUMBER($F97),ISNUMBER($G97)),$F97*(1+$G97/30),"")</f>
        <v>60</v>
      </c>
      <c r="K97" s="19"/>
      <c r="L97" s="19"/>
    </row>
    <row r="98" customFormat="false" ht="15.75" hidden="false" customHeight="true" outlineLevel="0" collapsed="false">
      <c r="A98" s="26" t="str">
        <f aca="false">IFERROR(IF($B98="","",IF(INDEX(Einheiten!$B$4:$B$27,MATCH($B98,Einheiten!$A$4:$A$27,0))=0,"",INDEX(Einheiten!$B$4:$B$27,MATCH($B98,Einheiten!$A$4:$A$27,0)))),"")</f>
        <v/>
      </c>
      <c r="B98" s="27" t="n">
        <v>3</v>
      </c>
      <c r="C98" s="28" t="str">
        <f aca="false">IFERROR(IF($D98="","",INDEX(Übungen!$B$4:$B$17,MATCH($D98,Übungen!$A$4:$A$17,0))),"")</f>
        <v>Beine hinten</v>
      </c>
      <c r="D98" s="19" t="s">
        <v>116</v>
      </c>
      <c r="E98" s="17" t="s">
        <v>99</v>
      </c>
      <c r="F98" s="20" t="n">
        <v>30</v>
      </c>
      <c r="G98" s="21" t="n">
        <v>6</v>
      </c>
      <c r="H98" s="20"/>
      <c r="I98" s="22" t="str">
        <f aca="false">IF(AND(ISNUMBER($F98),ISNUMBER($G98),$E98&lt;&gt;"R"),$F98*$G98,"")</f>
        <v/>
      </c>
      <c r="J98" s="29" t="str">
        <f aca="false">IF(AND($E98="A",ISNUMBER($F98),ISNUMBER($G98)),$F98*(1+$G98/30),"")</f>
        <v/>
      </c>
      <c r="K98" s="19" t="s">
        <v>119</v>
      </c>
      <c r="L98" s="19"/>
    </row>
    <row r="99" customFormat="false" ht="15.75" hidden="false" customHeight="true" outlineLevel="0" collapsed="false">
      <c r="A99" s="26" t="str">
        <f aca="false">IFERROR(IF($B99="","",IF(INDEX(Einheiten!$B$4:$B$27,MATCH($B99,Einheiten!$A$4:$A$27,0))=0,"",INDEX(Einheiten!$B$4:$B$27,MATCH($B99,Einheiten!$A$4:$A$27,0)))),"")</f>
        <v/>
      </c>
      <c r="B99" s="27" t="n">
        <v>1</v>
      </c>
      <c r="C99" s="28" t="str">
        <f aca="false">IFERROR(IF($D99="","",INDEX(Übungen!$B$4:$B$17,MATCH($D99,Übungen!$A$4:$A$17,0))),"")</f>
        <v>Beine hinten</v>
      </c>
      <c r="D99" s="19" t="s">
        <v>120</v>
      </c>
      <c r="E99" s="17" t="s">
        <v>97</v>
      </c>
      <c r="F99" s="20" t="n">
        <v>170</v>
      </c>
      <c r="G99" s="21" t="n">
        <v>10</v>
      </c>
      <c r="H99" s="20"/>
      <c r="I99" s="22" t="n">
        <f aca="false">IF(AND(ISNUMBER($F99),ISNUMBER($G99),$E99&lt;&gt;"R"),$F99*$G99,"")</f>
        <v>1700</v>
      </c>
      <c r="J99" s="29" t="str">
        <f aca="false">IF(AND($E99="A",ISNUMBER($F99),ISNUMBER($G99)),$F99*(1+$G99/30),"")</f>
        <v/>
      </c>
      <c r="K99" s="19"/>
      <c r="L99" s="19" t="s">
        <v>121</v>
      </c>
    </row>
    <row r="100" customFormat="false" ht="15.75" hidden="false" customHeight="true" outlineLevel="0" collapsed="false">
      <c r="A100" s="26" t="str">
        <f aca="false">IFERROR(IF($B100="","",IF(INDEX(Einheiten!$B$4:$B$27,MATCH($B100,Einheiten!$A$4:$A$27,0))=0,"",INDEX(Einheiten!$B$4:$B$27,MATCH($B100,Einheiten!$A$4:$A$27,0)))),"")</f>
        <v/>
      </c>
      <c r="B100" s="27" t="n">
        <v>1</v>
      </c>
      <c r="C100" s="28" t="str">
        <f aca="false">IFERROR(IF($D100="","",INDEX(Übungen!$B$4:$B$17,MATCH($D100,Übungen!$A$4:$A$17,0))),"")</f>
        <v>Beine hinten</v>
      </c>
      <c r="D100" s="19" t="s">
        <v>120</v>
      </c>
      <c r="E100" s="17" t="s">
        <v>98</v>
      </c>
      <c r="F100" s="20" t="n">
        <v>220</v>
      </c>
      <c r="G100" s="21" t="n">
        <v>12</v>
      </c>
      <c r="H100" s="20"/>
      <c r="I100" s="22" t="n">
        <f aca="false">IF(AND(ISNUMBER($F100),ISNUMBER($G100),$E100&lt;&gt;"R"),$F100*$G100,"")</f>
        <v>2640</v>
      </c>
      <c r="J100" s="29" t="n">
        <f aca="false">IF(AND($E100="A",ISNUMBER($F100),ISNUMBER($G100)),$F100*(1+$G100/30),"")</f>
        <v>308</v>
      </c>
      <c r="K100" s="19"/>
      <c r="L100" s="19"/>
    </row>
    <row r="101" customFormat="false" ht="15.75" hidden="false" customHeight="true" outlineLevel="0" collapsed="false">
      <c r="A101" s="26" t="str">
        <f aca="false">IFERROR(IF($B101="","",IF(INDEX(Einheiten!$B$4:$B$27,MATCH($B101,Einheiten!$A$4:$A$27,0))=0,"",INDEX(Einheiten!$B$4:$B$27,MATCH($B101,Einheiten!$A$4:$A$27,0)))),"")</f>
        <v/>
      </c>
      <c r="B101" s="27" t="n">
        <v>1</v>
      </c>
      <c r="C101" s="28" t="str">
        <f aca="false">IFERROR(IF($D101="","",INDEX(Übungen!$B$4:$B$17,MATCH($D101,Übungen!$A$4:$A$17,0))),"")</f>
        <v>Beine hinten</v>
      </c>
      <c r="D101" s="19" t="s">
        <v>120</v>
      </c>
      <c r="E101" s="17" t="s">
        <v>98</v>
      </c>
      <c r="F101" s="20" t="n">
        <v>240</v>
      </c>
      <c r="G101" s="21" t="n">
        <v>8</v>
      </c>
      <c r="H101" s="20"/>
      <c r="I101" s="22" t="n">
        <f aca="false">IF(AND(ISNUMBER($F101),ISNUMBER($G101),$E101&lt;&gt;"R"),$F101*$G101,"")</f>
        <v>1920</v>
      </c>
      <c r="J101" s="29" t="n">
        <f aca="false">IF(AND($E101="A",ISNUMBER($F101),ISNUMBER($G101)),$F101*(1+$G101/30),"")</f>
        <v>304</v>
      </c>
      <c r="K101" s="19"/>
      <c r="L101" s="19"/>
    </row>
    <row r="102" customFormat="false" ht="15.75" hidden="false" customHeight="true" outlineLevel="0" collapsed="false">
      <c r="A102" s="26" t="str">
        <f aca="false">IFERROR(IF($B102="","",IF(INDEX(Einheiten!$B$4:$B$27,MATCH($B102,Einheiten!$A$4:$A$27,0))=0,"",INDEX(Einheiten!$B$4:$B$27,MATCH($B102,Einheiten!$A$4:$A$27,0)))),"")</f>
        <v/>
      </c>
      <c r="B102" s="27" t="n">
        <v>1</v>
      </c>
      <c r="C102" s="28" t="str">
        <f aca="false">IFERROR(IF($D102="","",INDEX(Übungen!$B$4:$B$17,MATCH($D102,Übungen!$A$4:$A$17,0))),"")</f>
        <v>Beine hinten</v>
      </c>
      <c r="D102" s="19" t="s">
        <v>120</v>
      </c>
      <c r="E102" s="17" t="s">
        <v>99</v>
      </c>
      <c r="F102" s="20"/>
      <c r="G102" s="21" t="n">
        <v>6</v>
      </c>
      <c r="H102" s="20"/>
      <c r="I102" s="22" t="str">
        <f aca="false">IF(AND(ISNUMBER($F102),ISNUMBER($G102),$E102&lt;&gt;"R"),$F102*$G102,"")</f>
        <v/>
      </c>
      <c r="J102" s="29" t="str">
        <f aca="false">IF(AND($E102="A",ISNUMBER($F102),ISNUMBER($G102)),$F102*(1+$G102/30),"")</f>
        <v/>
      </c>
      <c r="K102" s="19" t="s">
        <v>122</v>
      </c>
      <c r="L102" s="19" t="s">
        <v>123</v>
      </c>
    </row>
    <row r="103" customFormat="false" ht="15.75" hidden="false" customHeight="true" outlineLevel="0" collapsed="false">
      <c r="A103" s="26" t="str">
        <f aca="false">IFERROR(IF($B103="","",IF(INDEX(Einheiten!$B$4:$B$27,MATCH($B103,Einheiten!$A$4:$A$27,0))=0,"",INDEX(Einheiten!$B$4:$B$27,MATCH($B103,Einheiten!$A$4:$A$27,0)))),"")</f>
        <v/>
      </c>
      <c r="B103" s="27" t="n">
        <v>2</v>
      </c>
      <c r="C103" s="28" t="str">
        <f aca="false">IFERROR(IF($D103="","",INDEX(Übungen!$B$4:$B$17,MATCH($D103,Übungen!$A$4:$A$17,0))),"")</f>
        <v>Beine hinten</v>
      </c>
      <c r="D103" s="19" t="s">
        <v>120</v>
      </c>
      <c r="E103" s="17" t="s">
        <v>97</v>
      </c>
      <c r="F103" s="20" t="n">
        <v>180</v>
      </c>
      <c r="G103" s="21" t="n">
        <v>10</v>
      </c>
      <c r="H103" s="20"/>
      <c r="I103" s="22" t="n">
        <f aca="false">IF(AND(ISNUMBER($F103),ISNUMBER($G103),$E103&lt;&gt;"R"),$F103*$G103,"")</f>
        <v>1800</v>
      </c>
      <c r="J103" s="29" t="str">
        <f aca="false">IF(AND($E103="A",ISNUMBER($F103),ISNUMBER($G103)),$F103*(1+$G103/30),"")</f>
        <v/>
      </c>
      <c r="K103" s="19"/>
      <c r="L103" s="19"/>
    </row>
    <row r="104" customFormat="false" ht="15.75" hidden="false" customHeight="true" outlineLevel="0" collapsed="false">
      <c r="A104" s="26" t="str">
        <f aca="false">IFERROR(IF($B104="","",IF(INDEX(Einheiten!$B$4:$B$27,MATCH($B104,Einheiten!$A$4:$A$27,0))=0,"",INDEX(Einheiten!$B$4:$B$27,MATCH($B104,Einheiten!$A$4:$A$27,0)))),"")</f>
        <v/>
      </c>
      <c r="B104" s="27" t="n">
        <v>2</v>
      </c>
      <c r="C104" s="28" t="str">
        <f aca="false">IFERROR(IF($D104="","",INDEX(Übungen!$B$4:$B$17,MATCH($D104,Übungen!$A$4:$A$17,0))),"")</f>
        <v>Beine hinten</v>
      </c>
      <c r="D104" s="19" t="s">
        <v>120</v>
      </c>
      <c r="E104" s="17" t="s">
        <v>98</v>
      </c>
      <c r="F104" s="20" t="n">
        <v>240</v>
      </c>
      <c r="G104" s="21" t="n">
        <v>10</v>
      </c>
      <c r="H104" s="20"/>
      <c r="I104" s="22" t="n">
        <f aca="false">IF(AND(ISNUMBER($F104),ISNUMBER($G104),$E104&lt;&gt;"R"),$F104*$G104,"")</f>
        <v>2400</v>
      </c>
      <c r="J104" s="29" t="n">
        <f aca="false">IF(AND($E104="A",ISNUMBER($F104),ISNUMBER($G104)),$F104*(1+$G104/30),"")</f>
        <v>320</v>
      </c>
      <c r="K104" s="19"/>
      <c r="L104" s="19"/>
    </row>
    <row r="105" customFormat="false" ht="15.75" hidden="false" customHeight="true" outlineLevel="0" collapsed="false">
      <c r="A105" s="26" t="str">
        <f aca="false">IFERROR(IF($B105="","",IF(INDEX(Einheiten!$B$4:$B$27,MATCH($B105,Einheiten!$A$4:$A$27,0))=0,"",INDEX(Einheiten!$B$4:$B$27,MATCH($B105,Einheiten!$A$4:$A$27,0)))),"")</f>
        <v/>
      </c>
      <c r="B105" s="27" t="n">
        <v>2</v>
      </c>
      <c r="C105" s="28" t="str">
        <f aca="false">IFERROR(IF($D105="","",INDEX(Übungen!$B$4:$B$17,MATCH($D105,Übungen!$A$4:$A$17,0))),"")</f>
        <v>Beine hinten</v>
      </c>
      <c r="D105" s="19" t="s">
        <v>120</v>
      </c>
      <c r="E105" s="17" t="s">
        <v>98</v>
      </c>
      <c r="F105" s="20" t="n">
        <v>280</v>
      </c>
      <c r="G105" s="21" t="n">
        <v>6</v>
      </c>
      <c r="H105" s="20"/>
      <c r="I105" s="22" t="n">
        <f aca="false">IF(AND(ISNUMBER($F105),ISNUMBER($G105),$E105&lt;&gt;"R"),$F105*$G105,"")</f>
        <v>1680</v>
      </c>
      <c r="J105" s="29" t="n">
        <f aca="false">IF(AND($E105="A",ISNUMBER($F105),ISNUMBER($G105)),$F105*(1+$G105/30),"")</f>
        <v>336</v>
      </c>
      <c r="K105" s="19"/>
      <c r="L105" s="19"/>
    </row>
    <row r="106" customFormat="false" ht="15.75" hidden="false" customHeight="true" outlineLevel="0" collapsed="false">
      <c r="A106" s="26" t="str">
        <f aca="false">IFERROR(IF($B106="","",IF(INDEX(Einheiten!$B$4:$B$27,MATCH($B106,Einheiten!$A$4:$A$27,0))=0,"",INDEX(Einheiten!$B$4:$B$27,MATCH($B106,Einheiten!$A$4:$A$27,0)))),"")</f>
        <v/>
      </c>
      <c r="B106" s="27" t="n">
        <v>2</v>
      </c>
      <c r="C106" s="28" t="str">
        <f aca="false">IFERROR(IF($D106="","",INDEX(Übungen!$B$4:$B$17,MATCH($D106,Übungen!$A$4:$A$17,0))),"")</f>
        <v>Beine hinten</v>
      </c>
      <c r="D106" s="19" t="s">
        <v>120</v>
      </c>
      <c r="E106" s="17" t="s">
        <v>99</v>
      </c>
      <c r="F106" s="20"/>
      <c r="G106" s="21" t="n">
        <v>6</v>
      </c>
      <c r="H106" s="20"/>
      <c r="I106" s="22" t="str">
        <f aca="false">IF(AND(ISNUMBER($F106),ISNUMBER($G106),$E106&lt;&gt;"R"),$F106*$G106,"")</f>
        <v/>
      </c>
      <c r="J106" s="29" t="str">
        <f aca="false">IF(AND($E106="A",ISNUMBER($F106),ISNUMBER($G106)),$F106*(1+$G106/30),"")</f>
        <v/>
      </c>
      <c r="K106" s="19" t="s">
        <v>122</v>
      </c>
      <c r="L106" s="19" t="s">
        <v>123</v>
      </c>
    </row>
    <row r="107" customFormat="false" ht="15.75" hidden="false" customHeight="true" outlineLevel="0" collapsed="false">
      <c r="A107" s="26" t="str">
        <f aca="false">IFERROR(IF($B107="","",IF(INDEX(Einheiten!$B$4:$B$27,MATCH($B107,Einheiten!$A$4:$A$27,0))=0,"",INDEX(Einheiten!$B$4:$B$27,MATCH($B107,Einheiten!$A$4:$A$27,0)))),"")</f>
        <v/>
      </c>
      <c r="B107" s="27" t="n">
        <v>3</v>
      </c>
      <c r="C107" s="28" t="str">
        <f aca="false">IFERROR(IF($D107="","",INDEX(Übungen!$B$4:$B$17,MATCH($D107,Übungen!$A$4:$A$17,0))),"")</f>
        <v>Beine hinten</v>
      </c>
      <c r="D107" s="19" t="s">
        <v>120</v>
      </c>
      <c r="E107" s="17" t="s">
        <v>97</v>
      </c>
      <c r="F107" s="20" t="n">
        <v>120</v>
      </c>
      <c r="G107" s="21" t="n">
        <v>5</v>
      </c>
      <c r="H107" s="20"/>
      <c r="I107" s="22" t="n">
        <f aca="false">IF(AND(ISNUMBER($F107),ISNUMBER($G107),$E107&lt;&gt;"R"),$F107*$G107,"")</f>
        <v>600</v>
      </c>
      <c r="J107" s="29" t="str">
        <f aca="false">IF(AND($E107="A",ISNUMBER($F107),ISNUMBER($G107)),$F107*(1+$G107/30),"")</f>
        <v/>
      </c>
      <c r="K107" s="19"/>
      <c r="L107" s="19"/>
    </row>
    <row r="108" customFormat="false" ht="15.75" hidden="false" customHeight="true" outlineLevel="0" collapsed="false">
      <c r="A108" s="26" t="str">
        <f aca="false">IFERROR(IF($B108="","",IF(INDEX(Einheiten!$B$4:$B$27,MATCH($B108,Einheiten!$A$4:$A$27,0))=0,"",INDEX(Einheiten!$B$4:$B$27,MATCH($B108,Einheiten!$A$4:$A$27,0)))),"")</f>
        <v/>
      </c>
      <c r="B108" s="27" t="n">
        <v>3</v>
      </c>
      <c r="C108" s="28" t="str">
        <f aca="false">IFERROR(IF($D108="","",INDEX(Übungen!$B$4:$B$17,MATCH($D108,Übungen!$A$4:$A$17,0))),"")</f>
        <v>Beine hinten</v>
      </c>
      <c r="D108" s="19" t="s">
        <v>120</v>
      </c>
      <c r="E108" s="17" t="s">
        <v>97</v>
      </c>
      <c r="F108" s="20" t="n">
        <v>170</v>
      </c>
      <c r="G108" s="21" t="n">
        <v>4</v>
      </c>
      <c r="H108" s="20"/>
      <c r="I108" s="22" t="n">
        <f aca="false">IF(AND(ISNUMBER($F108),ISNUMBER($G108),$E108&lt;&gt;"R"),$F108*$G108,"")</f>
        <v>680</v>
      </c>
      <c r="J108" s="29" t="str">
        <f aca="false">IF(AND($E108="A",ISNUMBER($F108),ISNUMBER($G108)),$F108*(1+$G108/30),"")</f>
        <v/>
      </c>
      <c r="K108" s="19"/>
      <c r="L108" s="19"/>
    </row>
    <row r="109" customFormat="false" ht="15.75" hidden="false" customHeight="true" outlineLevel="0" collapsed="false">
      <c r="A109" s="26" t="str">
        <f aca="false">IFERROR(IF($B109="","",IF(INDEX(Einheiten!$B$4:$B$27,MATCH($B109,Einheiten!$A$4:$A$27,0))=0,"",INDEX(Einheiten!$B$4:$B$27,MATCH($B109,Einheiten!$A$4:$A$27,0)))),"")</f>
        <v/>
      </c>
      <c r="B109" s="27" t="n">
        <v>3</v>
      </c>
      <c r="C109" s="28" t="str">
        <f aca="false">IFERROR(IF($D109="","",INDEX(Übungen!$B$4:$B$17,MATCH($D109,Übungen!$A$4:$A$17,0))),"")</f>
        <v>Beine hinten</v>
      </c>
      <c r="D109" s="19" t="s">
        <v>120</v>
      </c>
      <c r="E109" s="17" t="s">
        <v>98</v>
      </c>
      <c r="F109" s="20" t="n">
        <v>280</v>
      </c>
      <c r="G109" s="21" t="n">
        <v>8</v>
      </c>
      <c r="H109" s="20"/>
      <c r="I109" s="22" t="n">
        <f aca="false">IF(AND(ISNUMBER($F109),ISNUMBER($G109),$E109&lt;&gt;"R"),$F109*$G109,"")</f>
        <v>2240</v>
      </c>
      <c r="J109" s="29" t="n">
        <f aca="false">IF(AND($E109="A",ISNUMBER($F109),ISNUMBER($G109)),$F109*(1+$G109/30),"")</f>
        <v>354.666666666667</v>
      </c>
      <c r="K109" s="19"/>
      <c r="L109" s="19"/>
    </row>
    <row r="110" customFormat="false" ht="15.75" hidden="false" customHeight="true" outlineLevel="0" collapsed="false">
      <c r="A110" s="26" t="str">
        <f aca="false">IFERROR(IF($B110="","",IF(INDEX(Einheiten!$B$4:$B$27,MATCH($B110,Einheiten!$A$4:$A$27,0))=0,"",INDEX(Einheiten!$B$4:$B$27,MATCH($B110,Einheiten!$A$4:$A$27,0)))),"")</f>
        <v/>
      </c>
      <c r="B110" s="27" t="n">
        <v>3</v>
      </c>
      <c r="C110" s="28" t="str">
        <f aca="false">IFERROR(IF($D110="","",INDEX(Übungen!$B$4:$B$17,MATCH($D110,Übungen!$A$4:$A$17,0))),"")</f>
        <v>Beine hinten</v>
      </c>
      <c r="D110" s="19" t="s">
        <v>120</v>
      </c>
      <c r="E110" s="17" t="s">
        <v>98</v>
      </c>
      <c r="F110" s="20" t="n">
        <v>270</v>
      </c>
      <c r="G110" s="21" t="n">
        <v>10</v>
      </c>
      <c r="H110" s="20"/>
      <c r="I110" s="22" t="n">
        <f aca="false">IF(AND(ISNUMBER($F110),ISNUMBER($G110),$E110&lt;&gt;"R"),$F110*$G110,"")</f>
        <v>2700</v>
      </c>
      <c r="J110" s="29" t="n">
        <f aca="false">IF(AND($E110="A",ISNUMBER($F110),ISNUMBER($G110)),$F110*(1+$G110/30),"")</f>
        <v>360</v>
      </c>
      <c r="K110" s="19"/>
      <c r="L110" s="19"/>
    </row>
    <row r="111" customFormat="false" ht="15.75" hidden="false" customHeight="true" outlineLevel="0" collapsed="false">
      <c r="A111" s="26" t="str">
        <f aca="false">IFERROR(IF($B111="","",IF(INDEX(Einheiten!$B$4:$B$27,MATCH($B111,Einheiten!$A$4:$A$27,0))=0,"",INDEX(Einheiten!$B$4:$B$27,MATCH($B111,Einheiten!$A$4:$A$27,0)))),"")</f>
        <v/>
      </c>
      <c r="B111" s="27" t="n">
        <v>3</v>
      </c>
      <c r="C111" s="28" t="str">
        <f aca="false">IFERROR(IF($D111="","",INDEX(Übungen!$B$4:$B$17,MATCH($D111,Übungen!$A$4:$A$17,0))),"")</f>
        <v>Beine hinten</v>
      </c>
      <c r="D111" s="19" t="s">
        <v>120</v>
      </c>
      <c r="E111" s="17" t="s">
        <v>99</v>
      </c>
      <c r="F111" s="20"/>
      <c r="G111" s="21" t="n">
        <v>6</v>
      </c>
      <c r="H111" s="20"/>
      <c r="I111" s="22" t="str">
        <f aca="false">IF(AND(ISNUMBER($F111),ISNUMBER($G111),$E111&lt;&gt;"R"),$F111*$G111,"")</f>
        <v/>
      </c>
      <c r="J111" s="29" t="str">
        <f aca="false">IF(AND($E111="A",ISNUMBER($F111),ISNUMBER($G111)),$F111*(1+$G111/30),"")</f>
        <v/>
      </c>
      <c r="K111" s="19" t="s">
        <v>122</v>
      </c>
      <c r="L111" s="19" t="s">
        <v>123</v>
      </c>
    </row>
    <row r="112" customFormat="false" ht="15.75" hidden="false" customHeight="true" outlineLevel="0" collapsed="false">
      <c r="A112" s="26" t="str">
        <f aca="false">IFERROR(IF($B112="","",IF(INDEX(Einheiten!$B$4:$B$27,MATCH($B112,Einheiten!$A$4:$A$27,0))=0,"",INDEX(Einheiten!$B$4:$B$27,MATCH($B112,Einheiten!$A$4:$A$27,0)))),"")</f>
        <v/>
      </c>
      <c r="B112" s="27" t="n">
        <v>4</v>
      </c>
      <c r="C112" s="28" t="str">
        <f aca="false">IFERROR(IF($D112="","",INDEX(Übungen!$B$4:$B$17,MATCH($D112,Übungen!$A$4:$A$17,0))),"")</f>
        <v>Beine hinten</v>
      </c>
      <c r="D112" s="19" t="s">
        <v>120</v>
      </c>
      <c r="E112" s="17" t="s">
        <v>97</v>
      </c>
      <c r="F112" s="20" t="n">
        <v>120</v>
      </c>
      <c r="G112" s="21" t="n">
        <v>5</v>
      </c>
      <c r="H112" s="20"/>
      <c r="I112" s="22" t="n">
        <f aca="false">IF(AND(ISNUMBER($F112),ISNUMBER($G112),$E112&lt;&gt;"R"),$F112*$G112,"")</f>
        <v>600</v>
      </c>
      <c r="J112" s="29" t="str">
        <f aca="false">IF(AND($E112="A",ISNUMBER($F112),ISNUMBER($G112)),$F112*(1+$G112/30),"")</f>
        <v/>
      </c>
      <c r="K112" s="19"/>
      <c r="L112" s="19"/>
    </row>
    <row r="113" customFormat="false" ht="15.75" hidden="false" customHeight="true" outlineLevel="0" collapsed="false">
      <c r="A113" s="26" t="str">
        <f aca="false">IFERROR(IF($B113="","",IF(INDEX(Einheiten!$B$4:$B$27,MATCH($B113,Einheiten!$A$4:$A$27,0))=0,"",INDEX(Einheiten!$B$4:$B$27,MATCH($B113,Einheiten!$A$4:$A$27,0)))),"")</f>
        <v/>
      </c>
      <c r="B113" s="27" t="n">
        <v>4</v>
      </c>
      <c r="C113" s="28" t="str">
        <f aca="false">IFERROR(IF($D113="","",INDEX(Übungen!$B$4:$B$17,MATCH($D113,Übungen!$A$4:$A$17,0))),"")</f>
        <v>Beine hinten</v>
      </c>
      <c r="D113" s="19" t="s">
        <v>120</v>
      </c>
      <c r="E113" s="17" t="s">
        <v>97</v>
      </c>
      <c r="F113" s="20" t="n">
        <v>170</v>
      </c>
      <c r="G113" s="21" t="n">
        <v>3</v>
      </c>
      <c r="H113" s="20"/>
      <c r="I113" s="22" t="n">
        <f aca="false">IF(AND(ISNUMBER($F113),ISNUMBER($G113),$E113&lt;&gt;"R"),$F113*$G113,"")</f>
        <v>510</v>
      </c>
      <c r="J113" s="29" t="str">
        <f aca="false">IF(AND($E113="A",ISNUMBER($F113),ISNUMBER($G113)),$F113*(1+$G113/30),"")</f>
        <v/>
      </c>
      <c r="K113" s="19"/>
      <c r="L113" s="19"/>
    </row>
    <row r="114" customFormat="false" ht="15.75" hidden="false" customHeight="true" outlineLevel="0" collapsed="false">
      <c r="A114" s="26" t="str">
        <f aca="false">IFERROR(IF($B114="","",IF(INDEX(Einheiten!$B$4:$B$27,MATCH($B114,Einheiten!$A$4:$A$27,0))=0,"",INDEX(Einheiten!$B$4:$B$27,MATCH($B114,Einheiten!$A$4:$A$27,0)))),"")</f>
        <v/>
      </c>
      <c r="B114" s="27" t="n">
        <v>4</v>
      </c>
      <c r="C114" s="28" t="str">
        <f aca="false">IFERROR(IF($D114="","",INDEX(Übungen!$B$4:$B$17,MATCH($D114,Übungen!$A$4:$A$17,0))),"")</f>
        <v>Beine hinten</v>
      </c>
      <c r="D114" s="19" t="s">
        <v>120</v>
      </c>
      <c r="E114" s="17" t="s">
        <v>98</v>
      </c>
      <c r="F114" s="20" t="n">
        <v>270</v>
      </c>
      <c r="G114" s="21" t="n">
        <v>8</v>
      </c>
      <c r="H114" s="20"/>
      <c r="I114" s="22" t="n">
        <f aca="false">IF(AND(ISNUMBER($F114),ISNUMBER($G114),$E114&lt;&gt;"R"),$F114*$G114,"")</f>
        <v>2160</v>
      </c>
      <c r="J114" s="29" t="n">
        <f aca="false">IF(AND($E114="A",ISNUMBER($F114),ISNUMBER($G114)),$F114*(1+$G114/30),"")</f>
        <v>342</v>
      </c>
      <c r="K114" s="19"/>
      <c r="L114" s="19"/>
    </row>
    <row r="115" customFormat="false" ht="15.75" hidden="false" customHeight="true" outlineLevel="0" collapsed="false">
      <c r="A115" s="26" t="str">
        <f aca="false">IFERROR(IF($B115="","",IF(INDEX(Einheiten!$B$4:$B$27,MATCH($B115,Einheiten!$A$4:$A$27,0))=0,"",INDEX(Einheiten!$B$4:$B$27,MATCH($B115,Einheiten!$A$4:$A$27,0)))),"")</f>
        <v/>
      </c>
      <c r="B115" s="27" t="n">
        <v>4</v>
      </c>
      <c r="C115" s="28" t="str">
        <f aca="false">IFERROR(IF($D115="","",INDEX(Übungen!$B$4:$B$17,MATCH($D115,Übungen!$A$4:$A$17,0))),"")</f>
        <v>Beine hinten</v>
      </c>
      <c r="D115" s="19" t="s">
        <v>120</v>
      </c>
      <c r="E115" s="17" t="s">
        <v>98</v>
      </c>
      <c r="F115" s="20" t="n">
        <v>270</v>
      </c>
      <c r="G115" s="21" t="n">
        <v>8</v>
      </c>
      <c r="H115" s="20"/>
      <c r="I115" s="22" t="n">
        <f aca="false">IF(AND(ISNUMBER($F115),ISNUMBER($G115),$E115&lt;&gt;"R"),$F115*$G115,"")</f>
        <v>2160</v>
      </c>
      <c r="J115" s="29" t="n">
        <f aca="false">IF(AND($E115="A",ISNUMBER($F115),ISNUMBER($G115)),$F115*(1+$G115/30),"")</f>
        <v>342</v>
      </c>
      <c r="K115" s="19"/>
      <c r="L115" s="19"/>
    </row>
    <row r="116" customFormat="false" ht="15.75" hidden="false" customHeight="true" outlineLevel="0" collapsed="false">
      <c r="A116" s="26" t="str">
        <f aca="false">IFERROR(IF($B116="","",IF(INDEX(Einheiten!$B$4:$B$27,MATCH($B116,Einheiten!$A$4:$A$27,0))=0,"",INDEX(Einheiten!$B$4:$B$27,MATCH($B116,Einheiten!$A$4:$A$27,0)))),"")</f>
        <v/>
      </c>
      <c r="B116" s="27" t="n">
        <v>4</v>
      </c>
      <c r="C116" s="28" t="str">
        <f aca="false">IFERROR(IF($D116="","",INDEX(Übungen!$B$4:$B$17,MATCH($D116,Übungen!$A$4:$A$17,0))),"")</f>
        <v>Beine hinten</v>
      </c>
      <c r="D116" s="19" t="s">
        <v>120</v>
      </c>
      <c r="E116" s="17" t="s">
        <v>98</v>
      </c>
      <c r="F116" s="20" t="n">
        <v>270</v>
      </c>
      <c r="G116" s="21" t="n">
        <v>8</v>
      </c>
      <c r="H116" s="20"/>
      <c r="I116" s="22" t="n">
        <f aca="false">IF(AND(ISNUMBER($F116),ISNUMBER($G116),$E116&lt;&gt;"R"),$F116*$G116,"")</f>
        <v>2160</v>
      </c>
      <c r="J116" s="29" t="n">
        <f aca="false">IF(AND($E116="A",ISNUMBER($F116),ISNUMBER($G116)),$F116*(1+$G116/30),"")</f>
        <v>342</v>
      </c>
      <c r="K116" s="19"/>
      <c r="L116" s="19"/>
    </row>
    <row r="117" customFormat="false" ht="15.75" hidden="false" customHeight="true" outlineLevel="0" collapsed="false">
      <c r="A117" s="26" t="str">
        <f aca="false">IFERROR(IF($B117="","",IF(INDEX(Einheiten!$B$4:$B$27,MATCH($B117,Einheiten!$A$4:$A$27,0))=0,"",INDEX(Einheiten!$B$4:$B$27,MATCH($B117,Einheiten!$A$4:$A$27,0)))),"")</f>
        <v/>
      </c>
      <c r="B117" s="27" t="n">
        <v>1</v>
      </c>
      <c r="C117" s="28" t="str">
        <f aca="false">IFERROR(IF($D117="","",INDEX(Übungen!$B$4:$B$17,MATCH($D117,Übungen!$A$4:$A$17,0))),"")</f>
        <v>Beine hinten</v>
      </c>
      <c r="D117" s="19" t="s">
        <v>124</v>
      </c>
      <c r="E117" s="17" t="s">
        <v>97</v>
      </c>
      <c r="F117" s="20" t="n">
        <v>65</v>
      </c>
      <c r="G117" s="21" t="n">
        <v>8</v>
      </c>
      <c r="H117" s="20"/>
      <c r="I117" s="22" t="n">
        <f aca="false">IF(AND(ISNUMBER($F117),ISNUMBER($G117),$E117&lt;&gt;"R"),$F117*$G117,"")</f>
        <v>520</v>
      </c>
      <c r="J117" s="29" t="str">
        <f aca="false">IF(AND($E117="A",ISNUMBER($F117),ISNUMBER($G117)),$F117*(1+$G117/30),"")</f>
        <v/>
      </c>
      <c r="K117" s="19"/>
      <c r="L117" s="19"/>
    </row>
    <row r="118" customFormat="false" ht="15.75" hidden="false" customHeight="true" outlineLevel="0" collapsed="false">
      <c r="A118" s="26" t="str">
        <f aca="false">IFERROR(IF($B118="","",IF(INDEX(Einheiten!$B$4:$B$27,MATCH($B118,Einheiten!$A$4:$A$27,0))=0,"",INDEX(Einheiten!$B$4:$B$27,MATCH($B118,Einheiten!$A$4:$A$27,0)))),"")</f>
        <v/>
      </c>
      <c r="B118" s="27" t="n">
        <v>1</v>
      </c>
      <c r="C118" s="28" t="str">
        <f aca="false">IFERROR(IF($D118="","",INDEX(Übungen!$B$4:$B$17,MATCH($D118,Übungen!$A$4:$A$17,0))),"")</f>
        <v>Beine hinten</v>
      </c>
      <c r="D118" s="19" t="s">
        <v>124</v>
      </c>
      <c r="E118" s="17" t="s">
        <v>98</v>
      </c>
      <c r="F118" s="20" t="n">
        <v>145</v>
      </c>
      <c r="G118" s="21" t="n">
        <v>12</v>
      </c>
      <c r="H118" s="20"/>
      <c r="I118" s="22" t="n">
        <f aca="false">IF(AND(ISNUMBER($F118),ISNUMBER($G118),$E118&lt;&gt;"R"),$F118*$G118,"")</f>
        <v>1740</v>
      </c>
      <c r="J118" s="29" t="n">
        <f aca="false">IF(AND($E118="A",ISNUMBER($F118),ISNUMBER($G118)),$F118*(1+$G118/30),"")</f>
        <v>203</v>
      </c>
      <c r="K118" s="19"/>
      <c r="L118" s="19"/>
    </row>
    <row r="119" customFormat="false" ht="15.75" hidden="false" customHeight="true" outlineLevel="0" collapsed="false">
      <c r="A119" s="26" t="str">
        <f aca="false">IFERROR(IF($B119="","",IF(INDEX(Einheiten!$B$4:$B$27,MATCH($B119,Einheiten!$A$4:$A$27,0))=0,"",INDEX(Einheiten!$B$4:$B$27,MATCH($B119,Einheiten!$A$4:$A$27,0)))),"")</f>
        <v/>
      </c>
      <c r="B119" s="27" t="n">
        <v>1</v>
      </c>
      <c r="C119" s="28" t="str">
        <f aca="false">IFERROR(IF($D119="","",INDEX(Übungen!$B$4:$B$17,MATCH($D119,Übungen!$A$4:$A$17,0))),"")</f>
        <v>Beine hinten</v>
      </c>
      <c r="D119" s="19" t="s">
        <v>124</v>
      </c>
      <c r="E119" s="17" t="s">
        <v>98</v>
      </c>
      <c r="F119" s="20" t="n">
        <v>115</v>
      </c>
      <c r="G119" s="21" t="n">
        <v>15</v>
      </c>
      <c r="H119" s="20"/>
      <c r="I119" s="22" t="n">
        <f aca="false">IF(AND(ISNUMBER($F119),ISNUMBER($G119),$E119&lt;&gt;"R"),$F119*$G119,"")</f>
        <v>1725</v>
      </c>
      <c r="J119" s="29" t="n">
        <f aca="false">IF(AND($E119="A",ISNUMBER($F119),ISNUMBER($G119)),$F119*(1+$G119/30),"")</f>
        <v>172.5</v>
      </c>
      <c r="K119" s="19"/>
      <c r="L119" s="19"/>
    </row>
    <row r="120" customFormat="false" ht="15.75" hidden="false" customHeight="true" outlineLevel="0" collapsed="false">
      <c r="A120" s="26" t="str">
        <f aca="false">IFERROR(IF($B120="","",IF(INDEX(Einheiten!$B$4:$B$27,MATCH($B120,Einheiten!$A$4:$A$27,0))=0,"",INDEX(Einheiten!$B$4:$B$27,MATCH($B120,Einheiten!$A$4:$A$27,0)))),"")</f>
        <v/>
      </c>
      <c r="B120" s="27" t="n">
        <v>2</v>
      </c>
      <c r="C120" s="28" t="str">
        <f aca="false">IFERROR(IF($D120="","",INDEX(Übungen!$B$4:$B$17,MATCH($D120,Übungen!$A$4:$A$17,0))),"")</f>
        <v>Beine hinten</v>
      </c>
      <c r="D120" s="19" t="s">
        <v>124</v>
      </c>
      <c r="E120" s="17" t="s">
        <v>97</v>
      </c>
      <c r="F120" s="20" t="n">
        <v>67.5</v>
      </c>
      <c r="G120" s="21" t="n">
        <v>8</v>
      </c>
      <c r="H120" s="20"/>
      <c r="I120" s="22" t="n">
        <f aca="false">IF(AND(ISNUMBER($F120),ISNUMBER($G120),$E120&lt;&gt;"R"),$F120*$G120,"")</f>
        <v>540</v>
      </c>
      <c r="J120" s="29" t="str">
        <f aca="false">IF(AND($E120="A",ISNUMBER($F120),ISNUMBER($G120)),$F120*(1+$G120/30),"")</f>
        <v/>
      </c>
      <c r="K120" s="19"/>
      <c r="L120" s="19"/>
    </row>
    <row r="121" customFormat="false" ht="15.75" hidden="false" customHeight="true" outlineLevel="0" collapsed="false">
      <c r="A121" s="26" t="str">
        <f aca="false">IFERROR(IF($B121="","",IF(INDEX(Einheiten!$B$4:$B$27,MATCH($B121,Einheiten!$A$4:$A$27,0))=0,"",INDEX(Einheiten!$B$4:$B$27,MATCH($B121,Einheiten!$A$4:$A$27,0)))),"")</f>
        <v/>
      </c>
      <c r="B121" s="27" t="n">
        <v>2</v>
      </c>
      <c r="C121" s="28" t="str">
        <f aca="false">IFERROR(IF($D121="","",INDEX(Übungen!$B$4:$B$17,MATCH($D121,Übungen!$A$4:$A$17,0))),"")</f>
        <v>Beine hinten</v>
      </c>
      <c r="D121" s="19" t="s">
        <v>124</v>
      </c>
      <c r="E121" s="17" t="s">
        <v>98</v>
      </c>
      <c r="F121" s="20" t="n">
        <v>150</v>
      </c>
      <c r="G121" s="21" t="n">
        <v>12</v>
      </c>
      <c r="H121" s="20"/>
      <c r="I121" s="22" t="n">
        <f aca="false">IF(AND(ISNUMBER($F121),ISNUMBER($G121),$E121&lt;&gt;"R"),$F121*$G121,"")</f>
        <v>1800</v>
      </c>
      <c r="J121" s="29" t="n">
        <f aca="false">IF(AND($E121="A",ISNUMBER($F121),ISNUMBER($G121)),$F121*(1+$G121/30),"")</f>
        <v>210</v>
      </c>
      <c r="K121" s="19"/>
      <c r="L121" s="19"/>
    </row>
    <row r="122" customFormat="false" ht="15.75" hidden="false" customHeight="true" outlineLevel="0" collapsed="false">
      <c r="A122" s="26" t="str">
        <f aca="false">IFERROR(IF($B122="","",IF(INDEX(Einheiten!$B$4:$B$27,MATCH($B122,Einheiten!$A$4:$A$27,0))=0,"",INDEX(Einheiten!$B$4:$B$27,MATCH($B122,Einheiten!$A$4:$A$27,0)))),"")</f>
        <v/>
      </c>
      <c r="B122" s="27" t="n">
        <v>2</v>
      </c>
      <c r="C122" s="28" t="str">
        <f aca="false">IFERROR(IF($D122="","",INDEX(Übungen!$B$4:$B$17,MATCH($D122,Übungen!$A$4:$A$17,0))),"")</f>
        <v>Beine hinten</v>
      </c>
      <c r="D122" s="19" t="s">
        <v>124</v>
      </c>
      <c r="E122" s="17" t="s">
        <v>98</v>
      </c>
      <c r="F122" s="20" t="n">
        <v>140</v>
      </c>
      <c r="G122" s="21" t="n">
        <v>12</v>
      </c>
      <c r="H122" s="20"/>
      <c r="I122" s="22" t="n">
        <f aca="false">IF(AND(ISNUMBER($F122),ISNUMBER($G122),$E122&lt;&gt;"R"),$F122*$G122,"")</f>
        <v>1680</v>
      </c>
      <c r="J122" s="29" t="n">
        <f aca="false">IF(AND($E122="A",ISNUMBER($F122),ISNUMBER($G122)),$F122*(1+$G122/30),"")</f>
        <v>196</v>
      </c>
      <c r="K122" s="19"/>
      <c r="L122" s="19"/>
    </row>
    <row r="123" customFormat="false" ht="15.75" hidden="false" customHeight="true" outlineLevel="0" collapsed="false">
      <c r="A123" s="26" t="str">
        <f aca="false">IFERROR(IF($B123="","",IF(INDEX(Einheiten!$B$4:$B$27,MATCH($B123,Einheiten!$A$4:$A$27,0))=0,"",INDEX(Einheiten!$B$4:$B$27,MATCH($B123,Einheiten!$A$4:$A$27,0)))),"")</f>
        <v/>
      </c>
      <c r="B123" s="27"/>
      <c r="C123" s="28" t="str">
        <f aca="false">IFERROR(IF($D123="","",INDEX(Übungen!$B$4:$B$17,MATCH($D123,Übungen!$A$4:$A$17,0))),"")</f>
        <v/>
      </c>
      <c r="D123" s="19"/>
      <c r="E123" s="17"/>
      <c r="F123" s="20"/>
      <c r="G123" s="21"/>
      <c r="H123" s="20"/>
      <c r="I123" s="22" t="str">
        <f aca="false">IF(AND(ISNUMBER($F123),ISNUMBER($G123),$E123&lt;&gt;"R"),$F123*$G123,"")</f>
        <v/>
      </c>
      <c r="J123" s="29" t="str">
        <f aca="false">IF(AND($E123="A",ISNUMBER($F123),ISNUMBER($G123)),$F123*(1+$G123/30),"")</f>
        <v/>
      </c>
      <c r="K123" s="19"/>
      <c r="L123" s="19"/>
    </row>
    <row r="124" customFormat="false" ht="15.75" hidden="false" customHeight="true" outlineLevel="0" collapsed="false">
      <c r="A124" s="26" t="str">
        <f aca="false">IFERROR(IF($B124="","",IF(INDEX(Einheiten!$B$4:$B$27,MATCH($B124,Einheiten!$A$4:$A$27,0))=0,"",INDEX(Einheiten!$B$4:$B$27,MATCH($B124,Einheiten!$A$4:$A$27,0)))),"")</f>
        <v/>
      </c>
      <c r="B124" s="27"/>
      <c r="C124" s="28" t="str">
        <f aca="false">IFERROR(IF($D124="","",INDEX(Übungen!$B$4:$B$17,MATCH($D124,Übungen!$A$4:$A$17,0))),"")</f>
        <v/>
      </c>
      <c r="D124" s="19"/>
      <c r="E124" s="17"/>
      <c r="F124" s="20"/>
      <c r="G124" s="21"/>
      <c r="H124" s="20"/>
      <c r="I124" s="22" t="str">
        <f aca="false">IF(AND(ISNUMBER($F124),ISNUMBER($G124),$E124&lt;&gt;"R"),$F124*$G124,"")</f>
        <v/>
      </c>
      <c r="J124" s="29" t="str">
        <f aca="false">IF(AND($E124="A",ISNUMBER($F124),ISNUMBER($G124)),$F124*(1+$G124/30),"")</f>
        <v/>
      </c>
      <c r="K124" s="19"/>
      <c r="L124" s="19"/>
    </row>
    <row r="125" customFormat="false" ht="15.75" hidden="false" customHeight="true" outlineLevel="0" collapsed="false">
      <c r="A125" s="26" t="str">
        <f aca="false">IFERROR(IF($B125="","",IF(INDEX(Einheiten!$B$4:$B$27,MATCH($B125,Einheiten!$A$4:$A$27,0))=0,"",INDEX(Einheiten!$B$4:$B$27,MATCH($B125,Einheiten!$A$4:$A$27,0)))),"")</f>
        <v/>
      </c>
      <c r="B125" s="27"/>
      <c r="C125" s="28" t="str">
        <f aca="false">IFERROR(IF($D125="","",INDEX(Übungen!$B$4:$B$17,MATCH($D125,Übungen!$A$4:$A$17,0))),"")</f>
        <v/>
      </c>
      <c r="D125" s="19"/>
      <c r="E125" s="17"/>
      <c r="F125" s="20"/>
      <c r="G125" s="21"/>
      <c r="H125" s="20"/>
      <c r="I125" s="22" t="str">
        <f aca="false">IF(AND(ISNUMBER($F125),ISNUMBER($G125),$E125&lt;&gt;"R"),$F125*$G125,"")</f>
        <v/>
      </c>
      <c r="J125" s="29" t="str">
        <f aca="false">IF(AND($E125="A",ISNUMBER($F125),ISNUMBER($G125)),$F125*(1+$G125/30),"")</f>
        <v/>
      </c>
      <c r="K125" s="19"/>
      <c r="L125" s="19"/>
    </row>
    <row r="126" customFormat="false" ht="15.75" hidden="false" customHeight="true" outlineLevel="0" collapsed="false">
      <c r="A126" s="26" t="str">
        <f aca="false">IFERROR(IF($B126="","",IF(INDEX(Einheiten!$B$4:$B$27,MATCH($B126,Einheiten!$A$4:$A$27,0))=0,"",INDEX(Einheiten!$B$4:$B$27,MATCH($B126,Einheiten!$A$4:$A$27,0)))),"")</f>
        <v/>
      </c>
      <c r="B126" s="27"/>
      <c r="C126" s="28" t="str">
        <f aca="false">IFERROR(IF($D126="","",INDEX(Übungen!$B$4:$B$17,MATCH($D126,Übungen!$A$4:$A$17,0))),"")</f>
        <v/>
      </c>
      <c r="D126" s="19"/>
      <c r="E126" s="17"/>
      <c r="F126" s="20"/>
      <c r="G126" s="21"/>
      <c r="H126" s="20"/>
      <c r="I126" s="22" t="str">
        <f aca="false">IF(AND(ISNUMBER($F126),ISNUMBER($G126),$E126&lt;&gt;"R"),$F126*$G126,"")</f>
        <v/>
      </c>
      <c r="J126" s="29" t="str">
        <f aca="false">IF(AND($E126="A",ISNUMBER($F126),ISNUMBER($G126)),$F126*(1+$G126/30),"")</f>
        <v/>
      </c>
      <c r="K126" s="19"/>
      <c r="L126" s="19"/>
    </row>
    <row r="127" customFormat="false" ht="15.75" hidden="false" customHeight="true" outlineLevel="0" collapsed="false">
      <c r="A127" s="26" t="str">
        <f aca="false">IFERROR(IF($B127="","",IF(INDEX(Einheiten!$B$4:$B$27,MATCH($B127,Einheiten!$A$4:$A$27,0))=0,"",INDEX(Einheiten!$B$4:$B$27,MATCH($B127,Einheiten!$A$4:$A$27,0)))),"")</f>
        <v/>
      </c>
      <c r="B127" s="27"/>
      <c r="C127" s="28" t="str">
        <f aca="false">IFERROR(IF($D127="","",INDEX(Übungen!$B$4:$B$17,MATCH($D127,Übungen!$A$4:$A$17,0))),"")</f>
        <v/>
      </c>
      <c r="D127" s="19"/>
      <c r="E127" s="17"/>
      <c r="F127" s="20"/>
      <c r="G127" s="21"/>
      <c r="H127" s="20"/>
      <c r="I127" s="22" t="str">
        <f aca="false">IF(AND(ISNUMBER($F127),ISNUMBER($G127),$E127&lt;&gt;"R"),$F127*$G127,"")</f>
        <v/>
      </c>
      <c r="J127" s="29" t="str">
        <f aca="false">IF(AND($E127="A",ISNUMBER($F127),ISNUMBER($G127)),$F127*(1+$G127/30),"")</f>
        <v/>
      </c>
      <c r="K127" s="19"/>
      <c r="L127" s="19"/>
    </row>
    <row r="128" customFormat="false" ht="15.75" hidden="false" customHeight="true" outlineLevel="0" collapsed="false">
      <c r="A128" s="26" t="str">
        <f aca="false">IFERROR(IF($B128="","",IF(INDEX(Einheiten!$B$4:$B$27,MATCH($B128,Einheiten!$A$4:$A$27,0))=0,"",INDEX(Einheiten!$B$4:$B$27,MATCH($B128,Einheiten!$A$4:$A$27,0)))),"")</f>
        <v/>
      </c>
      <c r="B128" s="27"/>
      <c r="C128" s="28" t="str">
        <f aca="false">IFERROR(IF($D128="","",INDEX(Übungen!$B$4:$B$17,MATCH($D128,Übungen!$A$4:$A$17,0))),"")</f>
        <v/>
      </c>
      <c r="D128" s="19"/>
      <c r="E128" s="17"/>
      <c r="F128" s="20"/>
      <c r="G128" s="21"/>
      <c r="H128" s="20"/>
      <c r="I128" s="22" t="str">
        <f aca="false">IF(AND(ISNUMBER($F128),ISNUMBER($G128),$E128&lt;&gt;"R"),$F128*$G128,"")</f>
        <v/>
      </c>
      <c r="J128" s="29" t="str">
        <f aca="false">IF(AND($E128="A",ISNUMBER($F128),ISNUMBER($G128)),$F128*(1+$G128/30),"")</f>
        <v/>
      </c>
      <c r="K128" s="19"/>
      <c r="L128" s="19"/>
    </row>
    <row r="129" customFormat="false" ht="15.75" hidden="false" customHeight="true" outlineLevel="0" collapsed="false">
      <c r="A129" s="26" t="str">
        <f aca="false">IFERROR(IF($B129="","",IF(INDEX(Einheiten!$B$4:$B$27,MATCH($B129,Einheiten!$A$4:$A$27,0))=0,"",INDEX(Einheiten!$B$4:$B$27,MATCH($B129,Einheiten!$A$4:$A$27,0)))),"")</f>
        <v/>
      </c>
      <c r="B129" s="27"/>
      <c r="C129" s="28" t="str">
        <f aca="false">IFERROR(IF($D129="","",INDEX(Übungen!$B$4:$B$17,MATCH($D129,Übungen!$A$4:$A$17,0))),"")</f>
        <v/>
      </c>
      <c r="D129" s="19"/>
      <c r="E129" s="17"/>
      <c r="F129" s="20"/>
      <c r="G129" s="21"/>
      <c r="H129" s="20"/>
      <c r="I129" s="22" t="str">
        <f aca="false">IF(AND(ISNUMBER($F129),ISNUMBER($G129),$E129&lt;&gt;"R"),$F129*$G129,"")</f>
        <v/>
      </c>
      <c r="J129" s="29" t="str">
        <f aca="false">IF(AND($E129="A",ISNUMBER($F129),ISNUMBER($G129)),$F129*(1+$G129/30),"")</f>
        <v/>
      </c>
      <c r="K129" s="19"/>
      <c r="L129" s="19"/>
    </row>
    <row r="130" customFormat="false" ht="15.75" hidden="false" customHeight="true" outlineLevel="0" collapsed="false">
      <c r="A130" s="26" t="str">
        <f aca="false">IFERROR(IF($B130="","",IF(INDEX(Einheiten!$B$4:$B$27,MATCH($B130,Einheiten!$A$4:$A$27,0))=0,"",INDEX(Einheiten!$B$4:$B$27,MATCH($B130,Einheiten!$A$4:$A$27,0)))),"")</f>
        <v/>
      </c>
      <c r="B130" s="27"/>
      <c r="C130" s="28" t="str">
        <f aca="false">IFERROR(IF($D130="","",INDEX(Übungen!$B$4:$B$17,MATCH($D130,Übungen!$A$4:$A$17,0))),"")</f>
        <v/>
      </c>
      <c r="D130" s="19"/>
      <c r="E130" s="17"/>
      <c r="F130" s="20"/>
      <c r="G130" s="21"/>
      <c r="H130" s="20"/>
      <c r="I130" s="22" t="str">
        <f aca="false">IF(AND(ISNUMBER($F130),ISNUMBER($G130),$E130&lt;&gt;"R"),$F130*$G130,"")</f>
        <v/>
      </c>
      <c r="J130" s="29" t="str">
        <f aca="false">IF(AND($E130="A",ISNUMBER($F130),ISNUMBER($G130)),$F130*(1+$G130/30),"")</f>
        <v/>
      </c>
      <c r="K130" s="19"/>
      <c r="L130" s="19"/>
    </row>
    <row r="131" customFormat="false" ht="15.75" hidden="false" customHeight="true" outlineLevel="0" collapsed="false">
      <c r="A131" s="26" t="str">
        <f aca="false">IFERROR(IF($B131="","",IF(INDEX(Einheiten!$B$4:$B$27,MATCH($B131,Einheiten!$A$4:$A$27,0))=0,"",INDEX(Einheiten!$B$4:$B$27,MATCH($B131,Einheiten!$A$4:$A$27,0)))),"")</f>
        <v/>
      </c>
      <c r="B131" s="27"/>
      <c r="C131" s="28" t="str">
        <f aca="false">IFERROR(IF($D131="","",INDEX(Übungen!$B$4:$B$17,MATCH($D131,Übungen!$A$4:$A$17,0))),"")</f>
        <v/>
      </c>
      <c r="D131" s="19"/>
      <c r="E131" s="17"/>
      <c r="F131" s="20"/>
      <c r="G131" s="21"/>
      <c r="H131" s="20"/>
      <c r="I131" s="22" t="str">
        <f aca="false">IF(AND(ISNUMBER($F131),ISNUMBER($G131),$E131&lt;&gt;"R"),$F131*$G131,"")</f>
        <v/>
      </c>
      <c r="J131" s="29" t="str">
        <f aca="false">IF(AND($E131="A",ISNUMBER($F131),ISNUMBER($G131)),$F131*(1+$G131/30),"")</f>
        <v/>
      </c>
      <c r="K131" s="19"/>
      <c r="L131" s="19"/>
    </row>
    <row r="132" customFormat="false" ht="15.75" hidden="false" customHeight="true" outlineLevel="0" collapsed="false">
      <c r="A132" s="26" t="str">
        <f aca="false">IFERROR(IF($B132="","",IF(INDEX(Einheiten!$B$4:$B$27,MATCH($B132,Einheiten!$A$4:$A$27,0))=0,"",INDEX(Einheiten!$B$4:$B$27,MATCH($B132,Einheiten!$A$4:$A$27,0)))),"")</f>
        <v/>
      </c>
      <c r="B132" s="27"/>
      <c r="C132" s="28" t="str">
        <f aca="false">IFERROR(IF($D132="","",INDEX(Übungen!$B$4:$B$17,MATCH($D132,Übungen!$A$4:$A$17,0))),"")</f>
        <v/>
      </c>
      <c r="D132" s="19"/>
      <c r="E132" s="17"/>
      <c r="F132" s="20"/>
      <c r="G132" s="21"/>
      <c r="H132" s="20"/>
      <c r="I132" s="22" t="str">
        <f aca="false">IF(AND(ISNUMBER($F132),ISNUMBER($G132),$E132&lt;&gt;"R"),$F132*$G132,"")</f>
        <v/>
      </c>
      <c r="J132" s="29" t="str">
        <f aca="false">IF(AND($E132="A",ISNUMBER($F132),ISNUMBER($G132)),$F132*(1+$G132/30),"")</f>
        <v/>
      </c>
      <c r="K132" s="19"/>
      <c r="L132" s="19"/>
    </row>
    <row r="133" customFormat="false" ht="15.75" hidden="false" customHeight="true" outlineLevel="0" collapsed="false">
      <c r="A133" s="26" t="str">
        <f aca="false">IFERROR(IF($B133="","",IF(INDEX(Einheiten!$B$4:$B$27,MATCH($B133,Einheiten!$A$4:$A$27,0))=0,"",INDEX(Einheiten!$B$4:$B$27,MATCH($B133,Einheiten!$A$4:$A$27,0)))),"")</f>
        <v/>
      </c>
      <c r="B133" s="27"/>
      <c r="C133" s="28" t="str">
        <f aca="false">IFERROR(IF($D133="","",INDEX(Übungen!$B$4:$B$17,MATCH($D133,Übungen!$A$4:$A$17,0))),"")</f>
        <v/>
      </c>
      <c r="D133" s="19"/>
      <c r="E133" s="17"/>
      <c r="F133" s="20"/>
      <c r="G133" s="21"/>
      <c r="H133" s="20"/>
      <c r="I133" s="22" t="str">
        <f aca="false">IF(AND(ISNUMBER($F133),ISNUMBER($G133),$E133&lt;&gt;"R"),$F133*$G133,"")</f>
        <v/>
      </c>
      <c r="J133" s="29" t="str">
        <f aca="false">IF(AND($E133="A",ISNUMBER($F133),ISNUMBER($G133)),$F133*(1+$G133/30),"")</f>
        <v/>
      </c>
      <c r="K133" s="19"/>
      <c r="L133" s="19"/>
    </row>
    <row r="134" customFormat="false" ht="15.75" hidden="false" customHeight="true" outlineLevel="0" collapsed="false">
      <c r="A134" s="26" t="str">
        <f aca="false">IFERROR(IF($B134="","",IF(INDEX(Einheiten!$B$4:$B$27,MATCH($B134,Einheiten!$A$4:$A$27,0))=0,"",INDEX(Einheiten!$B$4:$B$27,MATCH($B134,Einheiten!$A$4:$A$27,0)))),"")</f>
        <v/>
      </c>
      <c r="B134" s="27"/>
      <c r="C134" s="28" t="str">
        <f aca="false">IFERROR(IF($D134="","",INDEX(Übungen!$B$4:$B$17,MATCH($D134,Übungen!$A$4:$A$17,0))),"")</f>
        <v/>
      </c>
      <c r="D134" s="19"/>
      <c r="E134" s="17"/>
      <c r="F134" s="20"/>
      <c r="G134" s="21"/>
      <c r="H134" s="20"/>
      <c r="I134" s="22" t="str">
        <f aca="false">IF(AND(ISNUMBER($F134),ISNUMBER($G134),$E134&lt;&gt;"R"),$F134*$G134,"")</f>
        <v/>
      </c>
      <c r="J134" s="29" t="str">
        <f aca="false">IF(AND($E134="A",ISNUMBER($F134),ISNUMBER($G134)),$F134*(1+$G134/30),"")</f>
        <v/>
      </c>
      <c r="K134" s="19"/>
      <c r="L134" s="19"/>
    </row>
    <row r="135" customFormat="false" ht="15.75" hidden="false" customHeight="true" outlineLevel="0" collapsed="false">
      <c r="A135" s="26" t="str">
        <f aca="false">IFERROR(IF($B135="","",IF(INDEX(Einheiten!$B$4:$B$27,MATCH($B135,Einheiten!$A$4:$A$27,0))=0,"",INDEX(Einheiten!$B$4:$B$27,MATCH($B135,Einheiten!$A$4:$A$27,0)))),"")</f>
        <v/>
      </c>
      <c r="B135" s="27"/>
      <c r="C135" s="28" t="str">
        <f aca="false">IFERROR(IF($D135="","",INDEX(Übungen!$B$4:$B$17,MATCH($D135,Übungen!$A$4:$A$17,0))),"")</f>
        <v/>
      </c>
      <c r="D135" s="19"/>
      <c r="E135" s="17"/>
      <c r="F135" s="20"/>
      <c r="G135" s="21"/>
      <c r="H135" s="20"/>
      <c r="I135" s="22" t="str">
        <f aca="false">IF(AND(ISNUMBER($F135),ISNUMBER($G135),$E135&lt;&gt;"R"),$F135*$G135,"")</f>
        <v/>
      </c>
      <c r="J135" s="29" t="str">
        <f aca="false">IF(AND($E135="A",ISNUMBER($F135),ISNUMBER($G135)),$F135*(1+$G135/30),"")</f>
        <v/>
      </c>
      <c r="K135" s="19"/>
      <c r="L135" s="19"/>
    </row>
    <row r="136" customFormat="false" ht="15.75" hidden="false" customHeight="true" outlineLevel="0" collapsed="false">
      <c r="A136" s="26" t="str">
        <f aca="false">IFERROR(IF($B136="","",IF(INDEX(Einheiten!$B$4:$B$27,MATCH($B136,Einheiten!$A$4:$A$27,0))=0,"",INDEX(Einheiten!$B$4:$B$27,MATCH($B136,Einheiten!$A$4:$A$27,0)))),"")</f>
        <v/>
      </c>
      <c r="B136" s="27"/>
      <c r="C136" s="28" t="str">
        <f aca="false">IFERROR(IF($D136="","",INDEX(Übungen!$B$4:$B$17,MATCH($D136,Übungen!$A$4:$A$17,0))),"")</f>
        <v/>
      </c>
      <c r="D136" s="19"/>
      <c r="E136" s="17"/>
      <c r="F136" s="20"/>
      <c r="G136" s="21"/>
      <c r="H136" s="20"/>
      <c r="I136" s="22" t="str">
        <f aca="false">IF(AND(ISNUMBER($F136),ISNUMBER($G136),$E136&lt;&gt;"R"),$F136*$G136,"")</f>
        <v/>
      </c>
      <c r="J136" s="29" t="str">
        <f aca="false">IF(AND($E136="A",ISNUMBER($F136),ISNUMBER($G136)),$F136*(1+$G136/30),"")</f>
        <v/>
      </c>
      <c r="K136" s="19"/>
      <c r="L136" s="19"/>
    </row>
    <row r="137" customFormat="false" ht="15.75" hidden="false" customHeight="true" outlineLevel="0" collapsed="false">
      <c r="A137" s="26" t="str">
        <f aca="false">IFERROR(IF($B137="","",IF(INDEX(Einheiten!$B$4:$B$27,MATCH($B137,Einheiten!$A$4:$A$27,0))=0,"",INDEX(Einheiten!$B$4:$B$27,MATCH($B137,Einheiten!$A$4:$A$27,0)))),"")</f>
        <v/>
      </c>
      <c r="B137" s="27"/>
      <c r="C137" s="28" t="str">
        <f aca="false">IFERROR(IF($D137="","",INDEX(Übungen!$B$4:$B$17,MATCH($D137,Übungen!$A$4:$A$17,0))),"")</f>
        <v/>
      </c>
      <c r="D137" s="19"/>
      <c r="E137" s="17"/>
      <c r="F137" s="20"/>
      <c r="G137" s="21"/>
      <c r="H137" s="20"/>
      <c r="I137" s="22" t="str">
        <f aca="false">IF(AND(ISNUMBER($F137),ISNUMBER($G137),$E137&lt;&gt;"R"),$F137*$G137,"")</f>
        <v/>
      </c>
      <c r="J137" s="29" t="str">
        <f aca="false">IF(AND($E137="A",ISNUMBER($F137),ISNUMBER($G137)),$F137*(1+$G137/30),"")</f>
        <v/>
      </c>
      <c r="K137" s="19"/>
      <c r="L137" s="19"/>
    </row>
    <row r="138" customFormat="false" ht="15.75" hidden="false" customHeight="true" outlineLevel="0" collapsed="false">
      <c r="A138" s="26" t="str">
        <f aca="false">IFERROR(IF($B138="","",IF(INDEX(Einheiten!$B$4:$B$27,MATCH($B138,Einheiten!$A$4:$A$27,0))=0,"",INDEX(Einheiten!$B$4:$B$27,MATCH($B138,Einheiten!$A$4:$A$27,0)))),"")</f>
        <v/>
      </c>
      <c r="B138" s="27"/>
      <c r="C138" s="28" t="str">
        <f aca="false">IFERROR(IF($D138="","",INDEX(Übungen!$B$4:$B$17,MATCH($D138,Übungen!$A$4:$A$17,0))),"")</f>
        <v/>
      </c>
      <c r="D138" s="19"/>
      <c r="E138" s="17"/>
      <c r="F138" s="20"/>
      <c r="G138" s="21"/>
      <c r="H138" s="20"/>
      <c r="I138" s="22" t="str">
        <f aca="false">IF(AND(ISNUMBER($F138),ISNUMBER($G138),$E138&lt;&gt;"R"),$F138*$G138,"")</f>
        <v/>
      </c>
      <c r="J138" s="29" t="str">
        <f aca="false">IF(AND($E138="A",ISNUMBER($F138),ISNUMBER($G138)),$F138*(1+$G138/30),"")</f>
        <v/>
      </c>
      <c r="K138" s="19"/>
      <c r="L138" s="19"/>
    </row>
    <row r="139" customFormat="false" ht="15.75" hidden="false" customHeight="true" outlineLevel="0" collapsed="false">
      <c r="A139" s="26" t="str">
        <f aca="false">IFERROR(IF($B139="","",IF(INDEX(Einheiten!$B$4:$B$27,MATCH($B139,Einheiten!$A$4:$A$27,0))=0,"",INDEX(Einheiten!$B$4:$B$27,MATCH($B139,Einheiten!$A$4:$A$27,0)))),"")</f>
        <v/>
      </c>
      <c r="B139" s="27"/>
      <c r="C139" s="28" t="str">
        <f aca="false">IFERROR(IF($D139="","",INDEX(Übungen!$B$4:$B$17,MATCH($D139,Übungen!$A$4:$A$17,0))),"")</f>
        <v/>
      </c>
      <c r="D139" s="19"/>
      <c r="E139" s="17"/>
      <c r="F139" s="20"/>
      <c r="G139" s="21"/>
      <c r="H139" s="20"/>
      <c r="I139" s="22" t="str">
        <f aca="false">IF(AND(ISNUMBER($F139),ISNUMBER($G139),$E139&lt;&gt;"R"),$F139*$G139,"")</f>
        <v/>
      </c>
      <c r="J139" s="29" t="str">
        <f aca="false">IF(AND($E139="A",ISNUMBER($F139),ISNUMBER($G139)),$F139*(1+$G139/30),"")</f>
        <v/>
      </c>
      <c r="K139" s="19"/>
      <c r="L139" s="19"/>
    </row>
    <row r="140" customFormat="false" ht="15.75" hidden="false" customHeight="true" outlineLevel="0" collapsed="false">
      <c r="A140" s="26" t="str">
        <f aca="false">IFERROR(IF($B140="","",IF(INDEX(Einheiten!$B$4:$B$27,MATCH($B140,Einheiten!$A$4:$A$27,0))=0,"",INDEX(Einheiten!$B$4:$B$27,MATCH($B140,Einheiten!$A$4:$A$27,0)))),"")</f>
        <v/>
      </c>
      <c r="B140" s="27"/>
      <c r="C140" s="28" t="str">
        <f aca="false">IFERROR(IF($D140="","",INDEX(Übungen!$B$4:$B$17,MATCH($D140,Übungen!$A$4:$A$17,0))),"")</f>
        <v/>
      </c>
      <c r="D140" s="19"/>
      <c r="E140" s="17"/>
      <c r="F140" s="20"/>
      <c r="G140" s="21"/>
      <c r="H140" s="20"/>
      <c r="I140" s="22" t="str">
        <f aca="false">IF(AND(ISNUMBER($F140),ISNUMBER($G140),$E140&lt;&gt;"R"),$F140*$G140,"")</f>
        <v/>
      </c>
      <c r="J140" s="29" t="str">
        <f aca="false">IF(AND($E140="A",ISNUMBER($F140),ISNUMBER($G140)),$F140*(1+$G140/30),"")</f>
        <v/>
      </c>
      <c r="K140" s="19"/>
      <c r="L140" s="19"/>
    </row>
    <row r="141" customFormat="false" ht="15.75" hidden="false" customHeight="true" outlineLevel="0" collapsed="false">
      <c r="A141" s="26" t="str">
        <f aca="false">IFERROR(IF($B141="","",IF(INDEX(Einheiten!$B$4:$B$27,MATCH($B141,Einheiten!$A$4:$A$27,0))=0,"",INDEX(Einheiten!$B$4:$B$27,MATCH($B141,Einheiten!$A$4:$A$27,0)))),"")</f>
        <v/>
      </c>
      <c r="B141" s="27"/>
      <c r="C141" s="28" t="str">
        <f aca="false">IFERROR(IF($D141="","",INDEX(Übungen!$B$4:$B$17,MATCH($D141,Übungen!$A$4:$A$17,0))),"")</f>
        <v/>
      </c>
      <c r="D141" s="19"/>
      <c r="E141" s="17"/>
      <c r="F141" s="20"/>
      <c r="G141" s="21"/>
      <c r="H141" s="20"/>
      <c r="I141" s="22" t="str">
        <f aca="false">IF(AND(ISNUMBER($F141),ISNUMBER($G141),$E141&lt;&gt;"R"),$F141*$G141,"")</f>
        <v/>
      </c>
      <c r="J141" s="29" t="str">
        <f aca="false">IF(AND($E141="A",ISNUMBER($F141),ISNUMBER($G141)),$F141*(1+$G141/30),"")</f>
        <v/>
      </c>
      <c r="K141" s="19"/>
      <c r="L141" s="19"/>
    </row>
    <row r="142" customFormat="false" ht="15.75" hidden="false" customHeight="true" outlineLevel="0" collapsed="false">
      <c r="A142" s="26" t="str">
        <f aca="false">IFERROR(IF($B142="","",IF(INDEX(Einheiten!$B$4:$B$27,MATCH($B142,Einheiten!$A$4:$A$27,0))=0,"",INDEX(Einheiten!$B$4:$B$27,MATCH($B142,Einheiten!$A$4:$A$27,0)))),"")</f>
        <v/>
      </c>
      <c r="B142" s="27"/>
      <c r="C142" s="28" t="str">
        <f aca="false">IFERROR(IF($D142="","",INDEX(Übungen!$B$4:$B$17,MATCH($D142,Übungen!$A$4:$A$17,0))),"")</f>
        <v/>
      </c>
      <c r="D142" s="19"/>
      <c r="E142" s="17"/>
      <c r="F142" s="20"/>
      <c r="G142" s="21"/>
      <c r="H142" s="20"/>
      <c r="I142" s="22" t="str">
        <f aca="false">IF(AND(ISNUMBER($F142),ISNUMBER($G142),$E142&lt;&gt;"R"),$F142*$G142,"")</f>
        <v/>
      </c>
      <c r="J142" s="29" t="str">
        <f aca="false">IF(AND($E142="A",ISNUMBER($F142),ISNUMBER($G142)),$F142*(1+$G142/30),"")</f>
        <v/>
      </c>
      <c r="K142" s="19"/>
      <c r="L142" s="19"/>
    </row>
    <row r="143" customFormat="false" ht="15.75" hidden="false" customHeight="true" outlineLevel="0" collapsed="false">
      <c r="A143" s="26" t="str">
        <f aca="false">IFERROR(IF($B143="","",IF(INDEX(Einheiten!$B$4:$B$27,MATCH($B143,Einheiten!$A$4:$A$27,0))=0,"",INDEX(Einheiten!$B$4:$B$27,MATCH($B143,Einheiten!$A$4:$A$27,0)))),"")</f>
        <v/>
      </c>
      <c r="B143" s="27"/>
      <c r="C143" s="28" t="str">
        <f aca="false">IFERROR(IF($D143="","",INDEX(Übungen!$B$4:$B$17,MATCH($D143,Übungen!$A$4:$A$17,0))),"")</f>
        <v/>
      </c>
      <c r="D143" s="19"/>
      <c r="E143" s="17"/>
      <c r="F143" s="20"/>
      <c r="G143" s="21"/>
      <c r="H143" s="20"/>
      <c r="I143" s="22" t="str">
        <f aca="false">IF(AND(ISNUMBER($F143),ISNUMBER($G143),$E143&lt;&gt;"R"),$F143*$G143,"")</f>
        <v/>
      </c>
      <c r="J143" s="29" t="str">
        <f aca="false">IF(AND($E143="A",ISNUMBER($F143),ISNUMBER($G143)),$F143*(1+$G143/30),"")</f>
        <v/>
      </c>
      <c r="K143" s="19"/>
      <c r="L143" s="19"/>
    </row>
    <row r="144" customFormat="false" ht="15.75" hidden="false" customHeight="true" outlineLevel="0" collapsed="false">
      <c r="A144" s="26" t="str">
        <f aca="false">IFERROR(IF($B144="","",IF(INDEX(Einheiten!$B$4:$B$27,MATCH($B144,Einheiten!$A$4:$A$27,0))=0,"",INDEX(Einheiten!$B$4:$B$27,MATCH($B144,Einheiten!$A$4:$A$27,0)))),"")</f>
        <v/>
      </c>
      <c r="B144" s="27"/>
      <c r="C144" s="28" t="str">
        <f aca="false">IFERROR(IF($D144="","",INDEX(Übungen!$B$4:$B$17,MATCH($D144,Übungen!$A$4:$A$17,0))),"")</f>
        <v/>
      </c>
      <c r="D144" s="19"/>
      <c r="E144" s="17"/>
      <c r="F144" s="20"/>
      <c r="G144" s="21"/>
      <c r="H144" s="20"/>
      <c r="I144" s="22" t="str">
        <f aca="false">IF(AND(ISNUMBER($F144),ISNUMBER($G144),$E144&lt;&gt;"R"),$F144*$G144,"")</f>
        <v/>
      </c>
      <c r="J144" s="29" t="str">
        <f aca="false">IF(AND($E144="A",ISNUMBER($F144),ISNUMBER($G144)),$F144*(1+$G144/30),"")</f>
        <v/>
      </c>
      <c r="K144" s="19"/>
      <c r="L144" s="19"/>
    </row>
    <row r="145" customFormat="false" ht="15.75" hidden="false" customHeight="true" outlineLevel="0" collapsed="false">
      <c r="A145" s="26" t="str">
        <f aca="false">IFERROR(IF($B145="","",IF(INDEX(Einheiten!$B$4:$B$27,MATCH($B145,Einheiten!$A$4:$A$27,0))=0,"",INDEX(Einheiten!$B$4:$B$27,MATCH($B145,Einheiten!$A$4:$A$27,0)))),"")</f>
        <v/>
      </c>
      <c r="B145" s="27"/>
      <c r="C145" s="28" t="str">
        <f aca="false">IFERROR(IF($D145="","",INDEX(Übungen!$B$4:$B$17,MATCH($D145,Übungen!$A$4:$A$17,0))),"")</f>
        <v/>
      </c>
      <c r="D145" s="19"/>
      <c r="E145" s="17"/>
      <c r="F145" s="20"/>
      <c r="G145" s="21"/>
      <c r="H145" s="20"/>
      <c r="I145" s="22" t="str">
        <f aca="false">IF(AND(ISNUMBER($F145),ISNUMBER($G145),$E145&lt;&gt;"R"),$F145*$G145,"")</f>
        <v/>
      </c>
      <c r="J145" s="29" t="str">
        <f aca="false">IF(AND($E145="A",ISNUMBER($F145),ISNUMBER($G145)),$F145*(1+$G145/30),"")</f>
        <v/>
      </c>
      <c r="K145" s="19"/>
      <c r="L145" s="19"/>
    </row>
    <row r="146" customFormat="false" ht="15.75" hidden="false" customHeight="true" outlineLevel="0" collapsed="false">
      <c r="A146" s="26" t="str">
        <f aca="false">IFERROR(IF($B146="","",IF(INDEX(Einheiten!$B$4:$B$27,MATCH($B146,Einheiten!$A$4:$A$27,0))=0,"",INDEX(Einheiten!$B$4:$B$27,MATCH($B146,Einheiten!$A$4:$A$27,0)))),"")</f>
        <v/>
      </c>
      <c r="B146" s="27"/>
      <c r="C146" s="28" t="str">
        <f aca="false">IFERROR(IF($D146="","",INDEX(Übungen!$B$4:$B$17,MATCH($D146,Übungen!$A$4:$A$17,0))),"")</f>
        <v/>
      </c>
      <c r="D146" s="19"/>
      <c r="E146" s="17"/>
      <c r="F146" s="20"/>
      <c r="G146" s="21"/>
      <c r="H146" s="20"/>
      <c r="I146" s="22" t="str">
        <f aca="false">IF(AND(ISNUMBER($F146),ISNUMBER($G146),$E146&lt;&gt;"R"),$F146*$G146,"")</f>
        <v/>
      </c>
      <c r="J146" s="29" t="str">
        <f aca="false">IF(AND($E146="A",ISNUMBER($F146),ISNUMBER($G146)),$F146*(1+$G146/30),"")</f>
        <v/>
      </c>
      <c r="K146" s="19"/>
      <c r="L146" s="19"/>
    </row>
    <row r="147" customFormat="false" ht="15.75" hidden="false" customHeight="true" outlineLevel="0" collapsed="false">
      <c r="A147" s="26" t="str">
        <f aca="false">IFERROR(IF($B147="","",IF(INDEX(Einheiten!$B$4:$B$27,MATCH($B147,Einheiten!$A$4:$A$27,0))=0,"",INDEX(Einheiten!$B$4:$B$27,MATCH($B147,Einheiten!$A$4:$A$27,0)))),"")</f>
        <v/>
      </c>
      <c r="B147" s="27"/>
      <c r="C147" s="28" t="str">
        <f aca="false">IFERROR(IF($D147="","",INDEX(Übungen!$B$4:$B$17,MATCH($D147,Übungen!$A$4:$A$17,0))),"")</f>
        <v/>
      </c>
      <c r="D147" s="19"/>
      <c r="E147" s="17"/>
      <c r="F147" s="20"/>
      <c r="G147" s="21"/>
      <c r="H147" s="20"/>
      <c r="I147" s="22" t="str">
        <f aca="false">IF(AND(ISNUMBER($F147),ISNUMBER($G147),$E147&lt;&gt;"R"),$F147*$G147,"")</f>
        <v/>
      </c>
      <c r="J147" s="29" t="str">
        <f aca="false">IF(AND($E147="A",ISNUMBER($F147),ISNUMBER($G147)),$F147*(1+$G147/30),"")</f>
        <v/>
      </c>
      <c r="K147" s="19"/>
      <c r="L147" s="19"/>
    </row>
    <row r="148" customFormat="false" ht="15.75" hidden="false" customHeight="true" outlineLevel="0" collapsed="false">
      <c r="A148" s="26" t="str">
        <f aca="false">IFERROR(IF($B148="","",IF(INDEX(Einheiten!$B$4:$B$27,MATCH($B148,Einheiten!$A$4:$A$27,0))=0,"",INDEX(Einheiten!$B$4:$B$27,MATCH($B148,Einheiten!$A$4:$A$27,0)))),"")</f>
        <v/>
      </c>
      <c r="B148" s="27"/>
      <c r="C148" s="28" t="str">
        <f aca="false">IFERROR(IF($D148="","",INDEX(Übungen!$B$4:$B$17,MATCH($D148,Übungen!$A$4:$A$17,0))),"")</f>
        <v/>
      </c>
      <c r="D148" s="19"/>
      <c r="E148" s="17"/>
      <c r="F148" s="20"/>
      <c r="G148" s="21"/>
      <c r="H148" s="20"/>
      <c r="I148" s="22" t="str">
        <f aca="false">IF(AND(ISNUMBER($F148),ISNUMBER($G148),$E148&lt;&gt;"R"),$F148*$G148,"")</f>
        <v/>
      </c>
      <c r="J148" s="29" t="str">
        <f aca="false">IF(AND($E148="A",ISNUMBER($F148),ISNUMBER($G148)),$F148*(1+$G148/30),"")</f>
        <v/>
      </c>
      <c r="K148" s="19"/>
      <c r="L148" s="19"/>
    </row>
    <row r="149" customFormat="false" ht="15.75" hidden="false" customHeight="true" outlineLevel="0" collapsed="false">
      <c r="A149" s="26" t="str">
        <f aca="false">IFERROR(IF($B149="","",IF(INDEX(Einheiten!$B$4:$B$27,MATCH($B149,Einheiten!$A$4:$A$27,0))=0,"",INDEX(Einheiten!$B$4:$B$27,MATCH($B149,Einheiten!$A$4:$A$27,0)))),"")</f>
        <v/>
      </c>
      <c r="B149" s="27"/>
      <c r="C149" s="28" t="str">
        <f aca="false">IFERROR(IF($D149="","",INDEX(Übungen!$B$4:$B$17,MATCH($D149,Übungen!$A$4:$A$17,0))),"")</f>
        <v/>
      </c>
      <c r="D149" s="19"/>
      <c r="E149" s="17"/>
      <c r="F149" s="20"/>
      <c r="G149" s="21"/>
      <c r="H149" s="20"/>
      <c r="I149" s="22" t="str">
        <f aca="false">IF(AND(ISNUMBER($F149),ISNUMBER($G149),$E149&lt;&gt;"R"),$F149*$G149,"")</f>
        <v/>
      </c>
      <c r="J149" s="29" t="str">
        <f aca="false">IF(AND($E149="A",ISNUMBER($F149),ISNUMBER($G149)),$F149*(1+$G149/30),"")</f>
        <v/>
      </c>
      <c r="K149" s="19"/>
      <c r="L149" s="19"/>
    </row>
    <row r="150" customFormat="false" ht="15.75" hidden="false" customHeight="true" outlineLevel="0" collapsed="false">
      <c r="A150" s="26" t="str">
        <f aca="false">IFERROR(IF($B150="","",IF(INDEX(Einheiten!$B$4:$B$27,MATCH($B150,Einheiten!$A$4:$A$27,0))=0,"",INDEX(Einheiten!$B$4:$B$27,MATCH($B150,Einheiten!$A$4:$A$27,0)))),"")</f>
        <v/>
      </c>
      <c r="B150" s="27"/>
      <c r="C150" s="28" t="str">
        <f aca="false">IFERROR(IF($D150="","",INDEX(Übungen!$B$4:$B$17,MATCH($D150,Übungen!$A$4:$A$17,0))),"")</f>
        <v/>
      </c>
      <c r="D150" s="19"/>
      <c r="E150" s="17"/>
      <c r="F150" s="20"/>
      <c r="G150" s="21"/>
      <c r="H150" s="20"/>
      <c r="I150" s="22" t="str">
        <f aca="false">IF(AND(ISNUMBER($F150),ISNUMBER($G150),$E150&lt;&gt;"R"),$F150*$G150,"")</f>
        <v/>
      </c>
      <c r="J150" s="29" t="str">
        <f aca="false">IF(AND($E150="A",ISNUMBER($F150),ISNUMBER($G150)),$F150*(1+$G150/30),"")</f>
        <v/>
      </c>
      <c r="K150" s="19"/>
      <c r="L150" s="19"/>
    </row>
    <row r="151" customFormat="false" ht="15.75" hidden="false" customHeight="true" outlineLevel="0" collapsed="false">
      <c r="A151" s="26" t="str">
        <f aca="false">IFERROR(IF($B151="","",IF(INDEX(Einheiten!$B$4:$B$27,MATCH($B151,Einheiten!$A$4:$A$27,0))=0,"",INDEX(Einheiten!$B$4:$B$27,MATCH($B151,Einheiten!$A$4:$A$27,0)))),"")</f>
        <v/>
      </c>
      <c r="B151" s="27"/>
      <c r="C151" s="28" t="str">
        <f aca="false">IFERROR(IF($D151="","",INDEX(Übungen!$B$4:$B$17,MATCH($D151,Übungen!$A$4:$A$17,0))),"")</f>
        <v/>
      </c>
      <c r="D151" s="19"/>
      <c r="E151" s="17"/>
      <c r="F151" s="20"/>
      <c r="G151" s="21"/>
      <c r="H151" s="20"/>
      <c r="I151" s="22" t="str">
        <f aca="false">IF(AND(ISNUMBER($F151),ISNUMBER($G151),$E151&lt;&gt;"R"),$F151*$G151,"")</f>
        <v/>
      </c>
      <c r="J151" s="29" t="str">
        <f aca="false">IF(AND($E151="A",ISNUMBER($F151),ISNUMBER($G151)),$F151*(1+$G151/30),"")</f>
        <v/>
      </c>
      <c r="K151" s="19"/>
      <c r="L151" s="19"/>
    </row>
    <row r="152" customFormat="false" ht="15.75" hidden="false" customHeight="true" outlineLevel="0" collapsed="false">
      <c r="A152" s="26" t="str">
        <f aca="false">IFERROR(IF($B152="","",IF(INDEX(Einheiten!$B$4:$B$27,MATCH($B152,Einheiten!$A$4:$A$27,0))=0,"",INDEX(Einheiten!$B$4:$B$27,MATCH($B152,Einheiten!$A$4:$A$27,0)))),"")</f>
        <v/>
      </c>
      <c r="B152" s="27"/>
      <c r="C152" s="28" t="str">
        <f aca="false">IFERROR(IF($D152="","",INDEX(Übungen!$B$4:$B$17,MATCH($D152,Übungen!$A$4:$A$17,0))),"")</f>
        <v/>
      </c>
      <c r="D152" s="19"/>
      <c r="E152" s="17"/>
      <c r="F152" s="20"/>
      <c r="G152" s="21"/>
      <c r="H152" s="20"/>
      <c r="I152" s="22" t="str">
        <f aca="false">IF(AND(ISNUMBER($F152),ISNUMBER($G152),$E152&lt;&gt;"R"),$F152*$G152,"")</f>
        <v/>
      </c>
      <c r="J152" s="29" t="str">
        <f aca="false">IF(AND($E152="A",ISNUMBER($F152),ISNUMBER($G152)),$F152*(1+$G152/30),"")</f>
        <v/>
      </c>
      <c r="K152" s="19"/>
      <c r="L152" s="19"/>
    </row>
    <row r="153" customFormat="false" ht="15.75" hidden="false" customHeight="true" outlineLevel="0" collapsed="false">
      <c r="A153" s="26" t="str">
        <f aca="false">IFERROR(IF($B153="","",IF(INDEX(Einheiten!$B$4:$B$27,MATCH($B153,Einheiten!$A$4:$A$27,0))=0,"",INDEX(Einheiten!$B$4:$B$27,MATCH($B153,Einheiten!$A$4:$A$27,0)))),"")</f>
        <v/>
      </c>
      <c r="B153" s="27"/>
      <c r="C153" s="28" t="str">
        <f aca="false">IFERROR(IF($D153="","",INDEX(Übungen!$B$4:$B$17,MATCH($D153,Übungen!$A$4:$A$17,0))),"")</f>
        <v/>
      </c>
      <c r="D153" s="19"/>
      <c r="E153" s="17"/>
      <c r="F153" s="20"/>
      <c r="G153" s="21"/>
      <c r="H153" s="20"/>
      <c r="I153" s="22" t="str">
        <f aca="false">IF(AND(ISNUMBER($F153),ISNUMBER($G153),$E153&lt;&gt;"R"),$F153*$G153,"")</f>
        <v/>
      </c>
      <c r="J153" s="29" t="str">
        <f aca="false">IF(AND($E153="A",ISNUMBER($F153),ISNUMBER($G153)),$F153*(1+$G153/30),"")</f>
        <v/>
      </c>
      <c r="K153" s="19"/>
      <c r="L153" s="19"/>
    </row>
    <row r="154" customFormat="false" ht="15.75" hidden="false" customHeight="true" outlineLevel="0" collapsed="false">
      <c r="A154" s="26" t="str">
        <f aca="false">IFERROR(IF($B154="","",IF(INDEX(Einheiten!$B$4:$B$27,MATCH($B154,Einheiten!$A$4:$A$27,0))=0,"",INDEX(Einheiten!$B$4:$B$27,MATCH($B154,Einheiten!$A$4:$A$27,0)))),"")</f>
        <v/>
      </c>
      <c r="B154" s="27"/>
      <c r="C154" s="28" t="str">
        <f aca="false">IFERROR(IF($D154="","",INDEX(Übungen!$B$4:$B$17,MATCH($D154,Übungen!$A$4:$A$17,0))),"")</f>
        <v/>
      </c>
      <c r="D154" s="19"/>
      <c r="E154" s="17"/>
      <c r="F154" s="20"/>
      <c r="G154" s="21"/>
      <c r="H154" s="20"/>
      <c r="I154" s="22" t="str">
        <f aca="false">IF(AND(ISNUMBER($F154),ISNUMBER($G154),$E154&lt;&gt;"R"),$F154*$G154,"")</f>
        <v/>
      </c>
      <c r="J154" s="29" t="str">
        <f aca="false">IF(AND($E154="A",ISNUMBER($F154),ISNUMBER($G154)),$F154*(1+$G154/30),"")</f>
        <v/>
      </c>
      <c r="K154" s="19"/>
      <c r="L154" s="19"/>
    </row>
    <row r="155" customFormat="false" ht="15.75" hidden="false" customHeight="true" outlineLevel="0" collapsed="false">
      <c r="A155" s="26" t="str">
        <f aca="false">IFERROR(IF($B155="","",IF(INDEX(Einheiten!$B$4:$B$27,MATCH($B155,Einheiten!$A$4:$A$27,0))=0,"",INDEX(Einheiten!$B$4:$B$27,MATCH($B155,Einheiten!$A$4:$A$27,0)))),"")</f>
        <v/>
      </c>
      <c r="B155" s="27"/>
      <c r="C155" s="28" t="str">
        <f aca="false">IFERROR(IF($D155="","",INDEX(Übungen!$B$4:$B$17,MATCH($D155,Übungen!$A$4:$A$17,0))),"")</f>
        <v/>
      </c>
      <c r="D155" s="19"/>
      <c r="E155" s="17"/>
      <c r="F155" s="20"/>
      <c r="G155" s="21"/>
      <c r="H155" s="20"/>
      <c r="I155" s="22" t="str">
        <f aca="false">IF(AND(ISNUMBER($F155),ISNUMBER($G155),$E155&lt;&gt;"R"),$F155*$G155,"")</f>
        <v/>
      </c>
      <c r="J155" s="29" t="str">
        <f aca="false">IF(AND($E155="A",ISNUMBER($F155),ISNUMBER($G155)),$F155*(1+$G155/30),"")</f>
        <v/>
      </c>
      <c r="K155" s="19"/>
      <c r="L155" s="19"/>
    </row>
    <row r="156" customFormat="false" ht="15.75" hidden="false" customHeight="true" outlineLevel="0" collapsed="false">
      <c r="A156" s="26" t="str">
        <f aca="false">IFERROR(IF($B156="","",IF(INDEX(Einheiten!$B$4:$B$27,MATCH($B156,Einheiten!$A$4:$A$27,0))=0,"",INDEX(Einheiten!$B$4:$B$27,MATCH($B156,Einheiten!$A$4:$A$27,0)))),"")</f>
        <v/>
      </c>
      <c r="B156" s="27"/>
      <c r="C156" s="28" t="str">
        <f aca="false">IFERROR(IF($D156="","",INDEX(Übungen!$B$4:$B$17,MATCH($D156,Übungen!$A$4:$A$17,0))),"")</f>
        <v/>
      </c>
      <c r="D156" s="19"/>
      <c r="E156" s="17"/>
      <c r="F156" s="20"/>
      <c r="G156" s="21"/>
      <c r="H156" s="20"/>
      <c r="I156" s="22" t="str">
        <f aca="false">IF(AND(ISNUMBER($F156),ISNUMBER($G156),$E156&lt;&gt;"R"),$F156*$G156,"")</f>
        <v/>
      </c>
      <c r="J156" s="29" t="str">
        <f aca="false">IF(AND($E156="A",ISNUMBER($F156),ISNUMBER($G156)),$F156*(1+$G156/30),"")</f>
        <v/>
      </c>
      <c r="K156" s="19"/>
      <c r="L156" s="19"/>
    </row>
    <row r="157" customFormat="false" ht="15.75" hidden="false" customHeight="true" outlineLevel="0" collapsed="false">
      <c r="A157" s="26" t="str">
        <f aca="false">IFERROR(IF($B157="","",IF(INDEX(Einheiten!$B$4:$B$27,MATCH($B157,Einheiten!$A$4:$A$27,0))=0,"",INDEX(Einheiten!$B$4:$B$27,MATCH($B157,Einheiten!$A$4:$A$27,0)))),"")</f>
        <v/>
      </c>
      <c r="B157" s="27"/>
      <c r="C157" s="28" t="str">
        <f aca="false">IFERROR(IF($D157="","",INDEX(Übungen!$B$4:$B$17,MATCH($D157,Übungen!$A$4:$A$17,0))),"")</f>
        <v/>
      </c>
      <c r="D157" s="19"/>
      <c r="E157" s="17"/>
      <c r="F157" s="20"/>
      <c r="G157" s="21"/>
      <c r="H157" s="20"/>
      <c r="I157" s="22" t="str">
        <f aca="false">IF(AND(ISNUMBER($F157),ISNUMBER($G157),$E157&lt;&gt;"R"),$F157*$G157,"")</f>
        <v/>
      </c>
      <c r="J157" s="29" t="str">
        <f aca="false">IF(AND($E157="A",ISNUMBER($F157),ISNUMBER($G157)),$F157*(1+$G157/30),"")</f>
        <v/>
      </c>
      <c r="K157" s="19"/>
      <c r="L157" s="19"/>
    </row>
    <row r="158" customFormat="false" ht="15.75" hidden="false" customHeight="true" outlineLevel="0" collapsed="false">
      <c r="A158" s="26" t="str">
        <f aca="false">IFERROR(IF($B158="","",IF(INDEX(Einheiten!$B$4:$B$27,MATCH($B158,Einheiten!$A$4:$A$27,0))=0,"",INDEX(Einheiten!$B$4:$B$27,MATCH($B158,Einheiten!$A$4:$A$27,0)))),"")</f>
        <v/>
      </c>
      <c r="B158" s="27"/>
      <c r="C158" s="28" t="str">
        <f aca="false">IFERROR(IF($D158="","",INDEX(Übungen!$B$4:$B$17,MATCH($D158,Übungen!$A$4:$A$17,0))),"")</f>
        <v/>
      </c>
      <c r="D158" s="19"/>
      <c r="E158" s="17"/>
      <c r="F158" s="20"/>
      <c r="G158" s="21"/>
      <c r="H158" s="20"/>
      <c r="I158" s="22" t="str">
        <f aca="false">IF(AND(ISNUMBER($F158),ISNUMBER($G158),$E158&lt;&gt;"R"),$F158*$G158,"")</f>
        <v/>
      </c>
      <c r="J158" s="29" t="str">
        <f aca="false">IF(AND($E158="A",ISNUMBER($F158),ISNUMBER($G158)),$F158*(1+$G158/30),"")</f>
        <v/>
      </c>
      <c r="K158" s="19"/>
      <c r="L158" s="19"/>
    </row>
    <row r="159" customFormat="false" ht="15.75" hidden="false" customHeight="true" outlineLevel="0" collapsed="false">
      <c r="A159" s="26" t="str">
        <f aca="false">IFERROR(IF($B159="","",IF(INDEX(Einheiten!$B$4:$B$27,MATCH($B159,Einheiten!$A$4:$A$27,0))=0,"",INDEX(Einheiten!$B$4:$B$27,MATCH($B159,Einheiten!$A$4:$A$27,0)))),"")</f>
        <v/>
      </c>
      <c r="B159" s="27"/>
      <c r="C159" s="28" t="str">
        <f aca="false">IFERROR(IF($D159="","",INDEX(Übungen!$B$4:$B$17,MATCH($D159,Übungen!$A$4:$A$17,0))),"")</f>
        <v/>
      </c>
      <c r="D159" s="19"/>
      <c r="E159" s="17"/>
      <c r="F159" s="20"/>
      <c r="G159" s="21"/>
      <c r="H159" s="20"/>
      <c r="I159" s="22" t="str">
        <f aca="false">IF(AND(ISNUMBER($F159),ISNUMBER($G159),$E159&lt;&gt;"R"),$F159*$G159,"")</f>
        <v/>
      </c>
      <c r="J159" s="29" t="str">
        <f aca="false">IF(AND($E159="A",ISNUMBER($F159),ISNUMBER($G159)),$F159*(1+$G159/30),"")</f>
        <v/>
      </c>
      <c r="K159" s="19"/>
      <c r="L159" s="19"/>
    </row>
    <row r="160" customFormat="false" ht="15.75" hidden="false" customHeight="true" outlineLevel="0" collapsed="false">
      <c r="A160" s="26" t="str">
        <f aca="false">IFERROR(IF($B160="","",IF(INDEX(Einheiten!$B$4:$B$27,MATCH($B160,Einheiten!$A$4:$A$27,0))=0,"",INDEX(Einheiten!$B$4:$B$27,MATCH($B160,Einheiten!$A$4:$A$27,0)))),"")</f>
        <v/>
      </c>
      <c r="B160" s="27"/>
      <c r="C160" s="28" t="str">
        <f aca="false">IFERROR(IF($D160="","",INDEX(Übungen!$B$4:$B$17,MATCH($D160,Übungen!$A$4:$A$17,0))),"")</f>
        <v/>
      </c>
      <c r="D160" s="19"/>
      <c r="E160" s="17"/>
      <c r="F160" s="20"/>
      <c r="G160" s="21"/>
      <c r="H160" s="20"/>
      <c r="I160" s="22" t="str">
        <f aca="false">IF(AND(ISNUMBER($F160),ISNUMBER($G160),$E160&lt;&gt;"R"),$F160*$G160,"")</f>
        <v/>
      </c>
      <c r="J160" s="29" t="str">
        <f aca="false">IF(AND($E160="A",ISNUMBER($F160),ISNUMBER($G160)),$F160*(1+$G160/30),"")</f>
        <v/>
      </c>
      <c r="K160" s="19"/>
      <c r="L160" s="19"/>
    </row>
    <row r="161" customFormat="false" ht="15.75" hidden="false" customHeight="true" outlineLevel="0" collapsed="false">
      <c r="A161" s="26" t="str">
        <f aca="false">IFERROR(IF($B161="","",IF(INDEX(Einheiten!$B$4:$B$27,MATCH($B161,Einheiten!$A$4:$A$27,0))=0,"",INDEX(Einheiten!$B$4:$B$27,MATCH($B161,Einheiten!$A$4:$A$27,0)))),"")</f>
        <v/>
      </c>
      <c r="B161" s="27"/>
      <c r="C161" s="28" t="str">
        <f aca="false">IFERROR(IF($D161="","",INDEX(Übungen!$B$4:$B$17,MATCH($D161,Übungen!$A$4:$A$17,0))),"")</f>
        <v/>
      </c>
      <c r="D161" s="19"/>
      <c r="E161" s="17"/>
      <c r="F161" s="20"/>
      <c r="G161" s="21"/>
      <c r="H161" s="20"/>
      <c r="I161" s="22" t="str">
        <f aca="false">IF(AND(ISNUMBER($F161),ISNUMBER($G161),$E161&lt;&gt;"R"),$F161*$G161,"")</f>
        <v/>
      </c>
      <c r="J161" s="29" t="str">
        <f aca="false">IF(AND($E161="A",ISNUMBER($F161),ISNUMBER($G161)),$F161*(1+$G161/30),"")</f>
        <v/>
      </c>
      <c r="K161" s="19"/>
      <c r="L161" s="19"/>
    </row>
    <row r="162" customFormat="false" ht="15.75" hidden="false" customHeight="true" outlineLevel="0" collapsed="false">
      <c r="A162" s="26" t="str">
        <f aca="false">IFERROR(IF($B162="","",IF(INDEX(Einheiten!$B$4:$B$27,MATCH($B162,Einheiten!$A$4:$A$27,0))=0,"",INDEX(Einheiten!$B$4:$B$27,MATCH($B162,Einheiten!$A$4:$A$27,0)))),"")</f>
        <v/>
      </c>
      <c r="B162" s="27"/>
      <c r="C162" s="28" t="str">
        <f aca="false">IFERROR(IF($D162="","",INDEX(Übungen!$B$4:$B$17,MATCH($D162,Übungen!$A$4:$A$17,0))),"")</f>
        <v/>
      </c>
      <c r="D162" s="19"/>
      <c r="E162" s="17"/>
      <c r="F162" s="20"/>
      <c r="G162" s="21"/>
      <c r="H162" s="20"/>
      <c r="I162" s="22" t="str">
        <f aca="false">IF(AND(ISNUMBER($F162),ISNUMBER($G162),$E162&lt;&gt;"R"),$F162*$G162,"")</f>
        <v/>
      </c>
      <c r="J162" s="29" t="str">
        <f aca="false">IF(AND($E162="A",ISNUMBER($F162),ISNUMBER($G162)),$F162*(1+$G162/30),"")</f>
        <v/>
      </c>
      <c r="K162" s="19"/>
      <c r="L162" s="19"/>
    </row>
    <row r="163" customFormat="false" ht="15.75" hidden="false" customHeight="true" outlineLevel="0" collapsed="false">
      <c r="A163" s="26" t="str">
        <f aca="false">IFERROR(IF($B163="","",IF(INDEX(Einheiten!$B$4:$B$27,MATCH($B163,Einheiten!$A$4:$A$27,0))=0,"",INDEX(Einheiten!$B$4:$B$27,MATCH($B163,Einheiten!$A$4:$A$27,0)))),"")</f>
        <v/>
      </c>
      <c r="B163" s="27"/>
      <c r="C163" s="28" t="str">
        <f aca="false">IFERROR(IF($D163="","",INDEX(Übungen!$B$4:$B$17,MATCH($D163,Übungen!$A$4:$A$17,0))),"")</f>
        <v/>
      </c>
      <c r="D163" s="19"/>
      <c r="E163" s="17"/>
      <c r="F163" s="20"/>
      <c r="G163" s="21"/>
      <c r="H163" s="20"/>
      <c r="I163" s="22" t="str">
        <f aca="false">IF(AND(ISNUMBER($F163),ISNUMBER($G163),$E163&lt;&gt;"R"),$F163*$G163,"")</f>
        <v/>
      </c>
      <c r="J163" s="29" t="str">
        <f aca="false">IF(AND($E163="A",ISNUMBER($F163),ISNUMBER($G163)),$F163*(1+$G163/30),"")</f>
        <v/>
      </c>
      <c r="K163" s="19"/>
      <c r="L163" s="19"/>
    </row>
    <row r="164" customFormat="false" ht="15.75" hidden="false" customHeight="true" outlineLevel="0" collapsed="false">
      <c r="A164" s="26" t="str">
        <f aca="false">IFERROR(IF($B164="","",IF(INDEX(Einheiten!$B$4:$B$27,MATCH($B164,Einheiten!$A$4:$A$27,0))=0,"",INDEX(Einheiten!$B$4:$B$27,MATCH($B164,Einheiten!$A$4:$A$27,0)))),"")</f>
        <v/>
      </c>
      <c r="B164" s="27"/>
      <c r="C164" s="28" t="str">
        <f aca="false">IFERROR(IF($D164="","",INDEX(Übungen!$B$4:$B$17,MATCH($D164,Übungen!$A$4:$A$17,0))),"")</f>
        <v/>
      </c>
      <c r="D164" s="19"/>
      <c r="E164" s="17"/>
      <c r="F164" s="20"/>
      <c r="G164" s="21"/>
      <c r="H164" s="20"/>
      <c r="I164" s="22" t="str">
        <f aca="false">IF(AND(ISNUMBER($F164),ISNUMBER($G164),$E164&lt;&gt;"R"),$F164*$G164,"")</f>
        <v/>
      </c>
      <c r="J164" s="29" t="str">
        <f aca="false">IF(AND($E164="A",ISNUMBER($F164),ISNUMBER($G164)),$F164*(1+$G164/30),"")</f>
        <v/>
      </c>
      <c r="K164" s="19"/>
      <c r="L164" s="19"/>
    </row>
    <row r="165" customFormat="false" ht="15.75" hidden="false" customHeight="true" outlineLevel="0" collapsed="false">
      <c r="A165" s="26" t="str">
        <f aca="false">IFERROR(IF($B165="","",IF(INDEX(Einheiten!$B$4:$B$27,MATCH($B165,Einheiten!$A$4:$A$27,0))=0,"",INDEX(Einheiten!$B$4:$B$27,MATCH($B165,Einheiten!$A$4:$A$27,0)))),"")</f>
        <v/>
      </c>
      <c r="B165" s="27"/>
      <c r="C165" s="28" t="str">
        <f aca="false">IFERROR(IF($D165="","",INDEX(Übungen!$B$4:$B$17,MATCH($D165,Übungen!$A$4:$A$17,0))),"")</f>
        <v/>
      </c>
      <c r="D165" s="19"/>
      <c r="E165" s="17"/>
      <c r="F165" s="20"/>
      <c r="G165" s="21"/>
      <c r="H165" s="20"/>
      <c r="I165" s="22" t="str">
        <f aca="false">IF(AND(ISNUMBER($F165),ISNUMBER($G165),$E165&lt;&gt;"R"),$F165*$G165,"")</f>
        <v/>
      </c>
      <c r="J165" s="29" t="str">
        <f aca="false">IF(AND($E165="A",ISNUMBER($F165),ISNUMBER($G165)),$F165*(1+$G165/30),"")</f>
        <v/>
      </c>
      <c r="K165" s="19"/>
      <c r="L165" s="19"/>
    </row>
    <row r="166" customFormat="false" ht="15.75" hidden="false" customHeight="true" outlineLevel="0" collapsed="false">
      <c r="A166" s="26" t="str">
        <f aca="false">IFERROR(IF($B166="","",IF(INDEX(Einheiten!$B$4:$B$27,MATCH($B166,Einheiten!$A$4:$A$27,0))=0,"",INDEX(Einheiten!$B$4:$B$27,MATCH($B166,Einheiten!$A$4:$A$27,0)))),"")</f>
        <v/>
      </c>
      <c r="B166" s="27"/>
      <c r="C166" s="28" t="str">
        <f aca="false">IFERROR(IF($D166="","",INDEX(Übungen!$B$4:$B$17,MATCH($D166,Übungen!$A$4:$A$17,0))),"")</f>
        <v/>
      </c>
      <c r="D166" s="19"/>
      <c r="E166" s="17"/>
      <c r="F166" s="20"/>
      <c r="G166" s="21"/>
      <c r="H166" s="20"/>
      <c r="I166" s="22" t="str">
        <f aca="false">IF(AND(ISNUMBER($F166),ISNUMBER($G166),$E166&lt;&gt;"R"),$F166*$G166,"")</f>
        <v/>
      </c>
      <c r="J166" s="29" t="str">
        <f aca="false">IF(AND($E166="A",ISNUMBER($F166),ISNUMBER($G166)),$F166*(1+$G166/30),"")</f>
        <v/>
      </c>
      <c r="K166" s="19"/>
      <c r="L166" s="19"/>
    </row>
    <row r="167" customFormat="false" ht="15.75" hidden="false" customHeight="true" outlineLevel="0" collapsed="false">
      <c r="A167" s="26" t="str">
        <f aca="false">IFERROR(IF($B167="","",IF(INDEX(Einheiten!$B$4:$B$27,MATCH($B167,Einheiten!$A$4:$A$27,0))=0,"",INDEX(Einheiten!$B$4:$B$27,MATCH($B167,Einheiten!$A$4:$A$27,0)))),"")</f>
        <v/>
      </c>
      <c r="B167" s="27"/>
      <c r="C167" s="28" t="str">
        <f aca="false">IFERROR(IF($D167="","",INDEX(Übungen!$B$4:$B$17,MATCH($D167,Übungen!$A$4:$A$17,0))),"")</f>
        <v/>
      </c>
      <c r="D167" s="19"/>
      <c r="E167" s="17"/>
      <c r="F167" s="20"/>
      <c r="G167" s="21"/>
      <c r="H167" s="20"/>
      <c r="I167" s="22" t="str">
        <f aca="false">IF(AND(ISNUMBER($F167),ISNUMBER($G167),$E167&lt;&gt;"R"),$F167*$G167,"")</f>
        <v/>
      </c>
      <c r="J167" s="29" t="str">
        <f aca="false">IF(AND($E167="A",ISNUMBER($F167),ISNUMBER($G167)),$F167*(1+$G167/30),"")</f>
        <v/>
      </c>
      <c r="K167" s="19"/>
      <c r="L167" s="19"/>
    </row>
    <row r="168" customFormat="false" ht="15.75" hidden="false" customHeight="true" outlineLevel="0" collapsed="false">
      <c r="A168" s="26" t="str">
        <f aca="false">IFERROR(IF($B168="","",IF(INDEX(Einheiten!$B$4:$B$27,MATCH($B168,Einheiten!$A$4:$A$27,0))=0,"",INDEX(Einheiten!$B$4:$B$27,MATCH($B168,Einheiten!$A$4:$A$27,0)))),"")</f>
        <v/>
      </c>
      <c r="B168" s="27"/>
      <c r="C168" s="28" t="str">
        <f aca="false">IFERROR(IF($D168="","",INDEX(Übungen!$B$4:$B$17,MATCH($D168,Übungen!$A$4:$A$17,0))),"")</f>
        <v/>
      </c>
      <c r="D168" s="19"/>
      <c r="E168" s="17"/>
      <c r="F168" s="20"/>
      <c r="G168" s="21"/>
      <c r="H168" s="20"/>
      <c r="I168" s="22" t="str">
        <f aca="false">IF(AND(ISNUMBER($F168),ISNUMBER($G168),$E168&lt;&gt;"R"),$F168*$G168,"")</f>
        <v/>
      </c>
      <c r="J168" s="29" t="str">
        <f aca="false">IF(AND($E168="A",ISNUMBER($F168),ISNUMBER($G168)),$F168*(1+$G168/30),"")</f>
        <v/>
      </c>
      <c r="K168" s="19"/>
      <c r="L168" s="19"/>
    </row>
    <row r="169" customFormat="false" ht="15.75" hidden="false" customHeight="true" outlineLevel="0" collapsed="false">
      <c r="A169" s="26" t="str">
        <f aca="false">IFERROR(IF($B169="","",IF(INDEX(Einheiten!$B$4:$B$27,MATCH($B169,Einheiten!$A$4:$A$27,0))=0,"",INDEX(Einheiten!$B$4:$B$27,MATCH($B169,Einheiten!$A$4:$A$27,0)))),"")</f>
        <v/>
      </c>
      <c r="B169" s="27"/>
      <c r="C169" s="28" t="str">
        <f aca="false">IFERROR(IF($D169="","",INDEX(Übungen!$B$4:$B$17,MATCH($D169,Übungen!$A$4:$A$17,0))),"")</f>
        <v/>
      </c>
      <c r="D169" s="19"/>
      <c r="E169" s="17"/>
      <c r="F169" s="20"/>
      <c r="G169" s="21"/>
      <c r="H169" s="20"/>
      <c r="I169" s="22" t="str">
        <f aca="false">IF(AND(ISNUMBER($F169),ISNUMBER($G169),$E169&lt;&gt;"R"),$F169*$G169,"")</f>
        <v/>
      </c>
      <c r="J169" s="29" t="str">
        <f aca="false">IF(AND($E169="A",ISNUMBER($F169),ISNUMBER($G169)),$F169*(1+$G169/30),"")</f>
        <v/>
      </c>
      <c r="K169" s="19"/>
      <c r="L169" s="19"/>
    </row>
    <row r="170" customFormat="false" ht="15.75" hidden="false" customHeight="true" outlineLevel="0" collapsed="false">
      <c r="A170" s="26" t="str">
        <f aca="false">IFERROR(IF($B170="","",IF(INDEX(Einheiten!$B$4:$B$27,MATCH($B170,Einheiten!$A$4:$A$27,0))=0,"",INDEX(Einheiten!$B$4:$B$27,MATCH($B170,Einheiten!$A$4:$A$27,0)))),"")</f>
        <v/>
      </c>
      <c r="B170" s="27"/>
      <c r="C170" s="28" t="str">
        <f aca="false">IFERROR(IF($D170="","",INDEX(Übungen!$B$4:$B$17,MATCH($D170,Übungen!$A$4:$A$17,0))),"")</f>
        <v/>
      </c>
      <c r="D170" s="19"/>
      <c r="E170" s="17"/>
      <c r="F170" s="20"/>
      <c r="G170" s="21"/>
      <c r="H170" s="20"/>
      <c r="I170" s="22" t="str">
        <f aca="false">IF(AND(ISNUMBER($F170),ISNUMBER($G170),$E170&lt;&gt;"R"),$F170*$G170,"")</f>
        <v/>
      </c>
      <c r="J170" s="29" t="str">
        <f aca="false">IF(AND($E170="A",ISNUMBER($F170),ISNUMBER($G170)),$F170*(1+$G170/30),"")</f>
        <v/>
      </c>
      <c r="K170" s="19"/>
      <c r="L170" s="19"/>
    </row>
    <row r="171" customFormat="false" ht="15.75" hidden="false" customHeight="true" outlineLevel="0" collapsed="false">
      <c r="A171" s="26" t="str">
        <f aca="false">IFERROR(IF($B171="","",IF(INDEX(Einheiten!$B$4:$B$27,MATCH($B171,Einheiten!$A$4:$A$27,0))=0,"",INDEX(Einheiten!$B$4:$B$27,MATCH($B171,Einheiten!$A$4:$A$27,0)))),"")</f>
        <v/>
      </c>
      <c r="B171" s="27"/>
      <c r="C171" s="28" t="str">
        <f aca="false">IFERROR(IF($D171="","",INDEX(Übungen!$B$4:$B$17,MATCH($D171,Übungen!$A$4:$A$17,0))),"")</f>
        <v/>
      </c>
      <c r="D171" s="19"/>
      <c r="E171" s="17"/>
      <c r="F171" s="20"/>
      <c r="G171" s="21"/>
      <c r="H171" s="20"/>
      <c r="I171" s="22" t="str">
        <f aca="false">IF(AND(ISNUMBER($F171),ISNUMBER($G171),$E171&lt;&gt;"R"),$F171*$G171,"")</f>
        <v/>
      </c>
      <c r="J171" s="29" t="str">
        <f aca="false">IF(AND($E171="A",ISNUMBER($F171),ISNUMBER($G171)),$F171*(1+$G171/30),"")</f>
        <v/>
      </c>
      <c r="K171" s="19"/>
      <c r="L171" s="19"/>
    </row>
    <row r="172" customFormat="false" ht="15.75" hidden="false" customHeight="true" outlineLevel="0" collapsed="false">
      <c r="A172" s="26" t="str">
        <f aca="false">IFERROR(IF($B172="","",IF(INDEX(Einheiten!$B$4:$B$27,MATCH($B172,Einheiten!$A$4:$A$27,0))=0,"",INDEX(Einheiten!$B$4:$B$27,MATCH($B172,Einheiten!$A$4:$A$27,0)))),"")</f>
        <v/>
      </c>
      <c r="B172" s="27"/>
      <c r="C172" s="28" t="str">
        <f aca="false">IFERROR(IF($D172="","",INDEX(Übungen!$B$4:$B$17,MATCH($D172,Übungen!$A$4:$A$17,0))),"")</f>
        <v/>
      </c>
      <c r="D172" s="19"/>
      <c r="E172" s="17"/>
      <c r="F172" s="20"/>
      <c r="G172" s="21"/>
      <c r="H172" s="20"/>
      <c r="I172" s="22" t="str">
        <f aca="false">IF(AND(ISNUMBER($F172),ISNUMBER($G172),$E172&lt;&gt;"R"),$F172*$G172,"")</f>
        <v/>
      </c>
      <c r="J172" s="29" t="str">
        <f aca="false">IF(AND($E172="A",ISNUMBER($F172),ISNUMBER($G172)),$F172*(1+$G172/30),"")</f>
        <v/>
      </c>
      <c r="K172" s="19"/>
      <c r="L172" s="19"/>
    </row>
    <row r="173" customFormat="false" ht="15.75" hidden="false" customHeight="true" outlineLevel="0" collapsed="false">
      <c r="A173" s="26" t="str">
        <f aca="false">IFERROR(IF($B173="","",IF(INDEX(Einheiten!$B$4:$B$27,MATCH($B173,Einheiten!$A$4:$A$27,0))=0,"",INDEX(Einheiten!$B$4:$B$27,MATCH($B173,Einheiten!$A$4:$A$27,0)))),"")</f>
        <v/>
      </c>
      <c r="B173" s="27"/>
      <c r="C173" s="28" t="str">
        <f aca="false">IFERROR(IF($D173="","",INDEX(Übungen!$B$4:$B$17,MATCH($D173,Übungen!$A$4:$A$17,0))),"")</f>
        <v/>
      </c>
      <c r="D173" s="19"/>
      <c r="E173" s="17"/>
      <c r="F173" s="20"/>
      <c r="G173" s="21"/>
      <c r="H173" s="20"/>
      <c r="I173" s="22" t="str">
        <f aca="false">IF(AND(ISNUMBER($F173),ISNUMBER($G173),$E173&lt;&gt;"R"),$F173*$G173,"")</f>
        <v/>
      </c>
      <c r="J173" s="29" t="str">
        <f aca="false">IF(AND($E173="A",ISNUMBER($F173),ISNUMBER($G173)),$F173*(1+$G173/30),"")</f>
        <v/>
      </c>
      <c r="K173" s="19"/>
      <c r="L173" s="19"/>
    </row>
    <row r="174" customFormat="false" ht="15.75" hidden="false" customHeight="true" outlineLevel="0" collapsed="false">
      <c r="A174" s="26" t="str">
        <f aca="false">IFERROR(IF($B174="","",IF(INDEX(Einheiten!$B$4:$B$27,MATCH($B174,Einheiten!$A$4:$A$27,0))=0,"",INDEX(Einheiten!$B$4:$B$27,MATCH($B174,Einheiten!$A$4:$A$27,0)))),"")</f>
        <v/>
      </c>
      <c r="B174" s="27"/>
      <c r="C174" s="28" t="str">
        <f aca="false">IFERROR(IF($D174="","",INDEX(Übungen!$B$4:$B$17,MATCH($D174,Übungen!$A$4:$A$17,0))),"")</f>
        <v/>
      </c>
      <c r="D174" s="19"/>
      <c r="E174" s="17"/>
      <c r="F174" s="20"/>
      <c r="G174" s="21"/>
      <c r="H174" s="20"/>
      <c r="I174" s="22" t="str">
        <f aca="false">IF(AND(ISNUMBER($F174),ISNUMBER($G174),$E174&lt;&gt;"R"),$F174*$G174,"")</f>
        <v/>
      </c>
      <c r="J174" s="29" t="str">
        <f aca="false">IF(AND($E174="A",ISNUMBER($F174),ISNUMBER($G174)),$F174*(1+$G174/30),"")</f>
        <v/>
      </c>
      <c r="K174" s="19"/>
      <c r="L174" s="19"/>
    </row>
    <row r="175" customFormat="false" ht="15.75" hidden="false" customHeight="true" outlineLevel="0" collapsed="false">
      <c r="A175" s="26" t="str">
        <f aca="false">IFERROR(IF($B175="","",IF(INDEX(Einheiten!$B$4:$B$27,MATCH($B175,Einheiten!$A$4:$A$27,0))=0,"",INDEX(Einheiten!$B$4:$B$27,MATCH($B175,Einheiten!$A$4:$A$27,0)))),"")</f>
        <v/>
      </c>
      <c r="B175" s="27"/>
      <c r="C175" s="28" t="str">
        <f aca="false">IFERROR(IF($D175="","",INDEX(Übungen!$B$4:$B$17,MATCH($D175,Übungen!$A$4:$A$17,0))),"")</f>
        <v/>
      </c>
      <c r="D175" s="19"/>
      <c r="E175" s="17"/>
      <c r="F175" s="20"/>
      <c r="G175" s="21"/>
      <c r="H175" s="20"/>
      <c r="I175" s="22" t="str">
        <f aca="false">IF(AND(ISNUMBER($F175),ISNUMBER($G175),$E175&lt;&gt;"R"),$F175*$G175,"")</f>
        <v/>
      </c>
      <c r="J175" s="29" t="str">
        <f aca="false">IF(AND($E175="A",ISNUMBER($F175),ISNUMBER($G175)),$F175*(1+$G175/30),"")</f>
        <v/>
      </c>
      <c r="K175" s="19"/>
      <c r="L175" s="19"/>
    </row>
    <row r="176" customFormat="false" ht="15.75" hidden="false" customHeight="true" outlineLevel="0" collapsed="false">
      <c r="A176" s="26" t="str">
        <f aca="false">IFERROR(IF($B176="","",IF(INDEX(Einheiten!$B$4:$B$27,MATCH($B176,Einheiten!$A$4:$A$27,0))=0,"",INDEX(Einheiten!$B$4:$B$27,MATCH($B176,Einheiten!$A$4:$A$27,0)))),"")</f>
        <v/>
      </c>
      <c r="B176" s="27"/>
      <c r="C176" s="28" t="str">
        <f aca="false">IFERROR(IF($D176="","",INDEX(Übungen!$B$4:$B$17,MATCH($D176,Übungen!$A$4:$A$17,0))),"")</f>
        <v/>
      </c>
      <c r="D176" s="19"/>
      <c r="E176" s="17"/>
      <c r="F176" s="20"/>
      <c r="G176" s="21"/>
      <c r="H176" s="20"/>
      <c r="I176" s="22" t="str">
        <f aca="false">IF(AND(ISNUMBER($F176),ISNUMBER($G176),$E176&lt;&gt;"R"),$F176*$G176,"")</f>
        <v/>
      </c>
      <c r="J176" s="29" t="str">
        <f aca="false">IF(AND($E176="A",ISNUMBER($F176),ISNUMBER($G176)),$F176*(1+$G176/30),"")</f>
        <v/>
      </c>
      <c r="K176" s="19"/>
      <c r="L176" s="19"/>
    </row>
    <row r="177" customFormat="false" ht="15.75" hidden="false" customHeight="true" outlineLevel="0" collapsed="false">
      <c r="A177" s="26" t="str">
        <f aca="false">IFERROR(IF($B177="","",IF(INDEX(Einheiten!$B$4:$B$27,MATCH($B177,Einheiten!$A$4:$A$27,0))=0,"",INDEX(Einheiten!$B$4:$B$27,MATCH($B177,Einheiten!$A$4:$A$27,0)))),"")</f>
        <v/>
      </c>
      <c r="B177" s="27"/>
      <c r="C177" s="28" t="str">
        <f aca="false">IFERROR(IF($D177="","",INDEX(Übungen!$B$4:$B$17,MATCH($D177,Übungen!$A$4:$A$17,0))),"")</f>
        <v/>
      </c>
      <c r="D177" s="19"/>
      <c r="E177" s="17"/>
      <c r="F177" s="20"/>
      <c r="G177" s="21"/>
      <c r="H177" s="20"/>
      <c r="I177" s="22" t="str">
        <f aca="false">IF(AND(ISNUMBER($F177),ISNUMBER($G177),$E177&lt;&gt;"R"),$F177*$G177,"")</f>
        <v/>
      </c>
      <c r="J177" s="29" t="str">
        <f aca="false">IF(AND($E177="A",ISNUMBER($F177),ISNUMBER($G177)),$F177*(1+$G177/30),"")</f>
        <v/>
      </c>
      <c r="K177" s="19"/>
      <c r="L177" s="19"/>
    </row>
    <row r="178" customFormat="false" ht="15.75" hidden="false" customHeight="true" outlineLevel="0" collapsed="false">
      <c r="A178" s="26" t="str">
        <f aca="false">IFERROR(IF($B178="","",IF(INDEX(Einheiten!$B$4:$B$27,MATCH($B178,Einheiten!$A$4:$A$27,0))=0,"",INDEX(Einheiten!$B$4:$B$27,MATCH($B178,Einheiten!$A$4:$A$27,0)))),"")</f>
        <v/>
      </c>
      <c r="B178" s="27"/>
      <c r="C178" s="28" t="str">
        <f aca="false">IFERROR(IF($D178="","",INDEX(Übungen!$B$4:$B$17,MATCH($D178,Übungen!$A$4:$A$17,0))),"")</f>
        <v/>
      </c>
      <c r="D178" s="19"/>
      <c r="E178" s="17"/>
      <c r="F178" s="20"/>
      <c r="G178" s="21"/>
      <c r="H178" s="20"/>
      <c r="I178" s="22" t="str">
        <f aca="false">IF(AND(ISNUMBER($F178),ISNUMBER($G178),$E178&lt;&gt;"R"),$F178*$G178,"")</f>
        <v/>
      </c>
      <c r="J178" s="29" t="str">
        <f aca="false">IF(AND($E178="A",ISNUMBER($F178),ISNUMBER($G178)),$F178*(1+$G178/30),"")</f>
        <v/>
      </c>
      <c r="K178" s="19"/>
      <c r="L178" s="19"/>
    </row>
    <row r="179" customFormat="false" ht="15.75" hidden="false" customHeight="true" outlineLevel="0" collapsed="false">
      <c r="A179" s="26" t="str">
        <f aca="false">IFERROR(IF($B179="","",IF(INDEX(Einheiten!$B$4:$B$27,MATCH($B179,Einheiten!$A$4:$A$27,0))=0,"",INDEX(Einheiten!$B$4:$B$27,MATCH($B179,Einheiten!$A$4:$A$27,0)))),"")</f>
        <v/>
      </c>
      <c r="B179" s="27"/>
      <c r="C179" s="28" t="str">
        <f aca="false">IFERROR(IF($D179="","",INDEX(Übungen!$B$4:$B$17,MATCH($D179,Übungen!$A$4:$A$17,0))),"")</f>
        <v/>
      </c>
      <c r="D179" s="19"/>
      <c r="E179" s="17"/>
      <c r="F179" s="20"/>
      <c r="G179" s="21"/>
      <c r="H179" s="20"/>
      <c r="I179" s="22" t="str">
        <f aca="false">IF(AND(ISNUMBER($F179),ISNUMBER($G179),$E179&lt;&gt;"R"),$F179*$G179,"")</f>
        <v/>
      </c>
      <c r="J179" s="29" t="str">
        <f aca="false">IF(AND($E179="A",ISNUMBER($F179),ISNUMBER($G179)),$F179*(1+$G179/30),"")</f>
        <v/>
      </c>
      <c r="K179" s="19"/>
      <c r="L179" s="19"/>
    </row>
    <row r="180" customFormat="false" ht="15.75" hidden="false" customHeight="true" outlineLevel="0" collapsed="false">
      <c r="A180" s="26" t="str">
        <f aca="false">IFERROR(IF($B180="","",IF(INDEX(Einheiten!$B$4:$B$27,MATCH($B180,Einheiten!$A$4:$A$27,0))=0,"",INDEX(Einheiten!$B$4:$B$27,MATCH($B180,Einheiten!$A$4:$A$27,0)))),"")</f>
        <v/>
      </c>
      <c r="B180" s="27"/>
      <c r="C180" s="28" t="str">
        <f aca="false">IFERROR(IF($D180="","",INDEX(Übungen!$B$4:$B$17,MATCH($D180,Übungen!$A$4:$A$17,0))),"")</f>
        <v/>
      </c>
      <c r="D180" s="19"/>
      <c r="E180" s="17"/>
      <c r="F180" s="20"/>
      <c r="G180" s="21"/>
      <c r="H180" s="20"/>
      <c r="I180" s="22" t="str">
        <f aca="false">IF(AND(ISNUMBER($F180),ISNUMBER($G180),$E180&lt;&gt;"R"),$F180*$G180,"")</f>
        <v/>
      </c>
      <c r="J180" s="29" t="str">
        <f aca="false">IF(AND($E180="A",ISNUMBER($F180),ISNUMBER($G180)),$F180*(1+$G180/30),"")</f>
        <v/>
      </c>
      <c r="K180" s="19"/>
      <c r="L180" s="19"/>
    </row>
    <row r="181" customFormat="false" ht="15.75" hidden="false" customHeight="true" outlineLevel="0" collapsed="false">
      <c r="A181" s="26" t="str">
        <f aca="false">IFERROR(IF($B181="","",IF(INDEX(Einheiten!$B$4:$B$27,MATCH($B181,Einheiten!$A$4:$A$27,0))=0,"",INDEX(Einheiten!$B$4:$B$27,MATCH($B181,Einheiten!$A$4:$A$27,0)))),"")</f>
        <v/>
      </c>
      <c r="B181" s="27"/>
      <c r="C181" s="28" t="str">
        <f aca="false">IFERROR(IF($D181="","",INDEX(Übungen!$B$4:$B$17,MATCH($D181,Übungen!$A$4:$A$17,0))),"")</f>
        <v/>
      </c>
      <c r="D181" s="19"/>
      <c r="E181" s="17"/>
      <c r="F181" s="20"/>
      <c r="G181" s="21"/>
      <c r="H181" s="20"/>
      <c r="I181" s="22" t="str">
        <f aca="false">IF(AND(ISNUMBER($F181),ISNUMBER($G181),$E181&lt;&gt;"R"),$F181*$G181,"")</f>
        <v/>
      </c>
      <c r="J181" s="29" t="str">
        <f aca="false">IF(AND($E181="A",ISNUMBER($F181),ISNUMBER($G181)),$F181*(1+$G181/30),"")</f>
        <v/>
      </c>
      <c r="K181" s="19"/>
      <c r="L181" s="19"/>
    </row>
    <row r="182" customFormat="false" ht="15.75" hidden="false" customHeight="true" outlineLevel="0" collapsed="false">
      <c r="A182" s="26" t="str">
        <f aca="false">IFERROR(IF($B182="","",IF(INDEX(Einheiten!$B$4:$B$27,MATCH($B182,Einheiten!$A$4:$A$27,0))=0,"",INDEX(Einheiten!$B$4:$B$27,MATCH($B182,Einheiten!$A$4:$A$27,0)))),"")</f>
        <v/>
      </c>
      <c r="B182" s="27"/>
      <c r="C182" s="28" t="str">
        <f aca="false">IFERROR(IF($D182="","",INDEX(Übungen!$B$4:$B$17,MATCH($D182,Übungen!$A$4:$A$17,0))),"")</f>
        <v/>
      </c>
      <c r="D182" s="19"/>
      <c r="E182" s="17"/>
      <c r="F182" s="20"/>
      <c r="G182" s="21"/>
      <c r="H182" s="20"/>
      <c r="I182" s="22" t="str">
        <f aca="false">IF(AND(ISNUMBER($F182),ISNUMBER($G182),$E182&lt;&gt;"R"),$F182*$G182,"")</f>
        <v/>
      </c>
      <c r="J182" s="29" t="str">
        <f aca="false">IF(AND($E182="A",ISNUMBER($F182),ISNUMBER($G182)),$F182*(1+$G182/30),"")</f>
        <v/>
      </c>
      <c r="K182" s="19"/>
      <c r="L182" s="19"/>
    </row>
    <row r="183" customFormat="false" ht="15.75" hidden="false" customHeight="true" outlineLevel="0" collapsed="false">
      <c r="A183" s="26" t="str">
        <f aca="false">IFERROR(IF($B183="","",IF(INDEX(Einheiten!$B$4:$B$27,MATCH($B183,Einheiten!$A$4:$A$27,0))=0,"",INDEX(Einheiten!$B$4:$B$27,MATCH($B183,Einheiten!$A$4:$A$27,0)))),"")</f>
        <v/>
      </c>
      <c r="B183" s="27"/>
      <c r="C183" s="28" t="str">
        <f aca="false">IFERROR(IF($D183="","",INDEX(Übungen!$B$4:$B$17,MATCH($D183,Übungen!$A$4:$A$17,0))),"")</f>
        <v/>
      </c>
      <c r="D183" s="19"/>
      <c r="E183" s="17"/>
      <c r="F183" s="20"/>
      <c r="G183" s="21"/>
      <c r="H183" s="20"/>
      <c r="I183" s="22" t="str">
        <f aca="false">IF(AND(ISNUMBER($F183),ISNUMBER($G183),$E183&lt;&gt;"R"),$F183*$G183,"")</f>
        <v/>
      </c>
      <c r="J183" s="29" t="str">
        <f aca="false">IF(AND($E183="A",ISNUMBER($F183),ISNUMBER($G183)),$F183*(1+$G183/30),"")</f>
        <v/>
      </c>
      <c r="K183" s="19"/>
      <c r="L183" s="19"/>
    </row>
    <row r="184" customFormat="false" ht="15.75" hidden="false" customHeight="true" outlineLevel="0" collapsed="false">
      <c r="A184" s="26" t="str">
        <f aca="false">IFERROR(IF($B184="","",IF(INDEX(Einheiten!$B$4:$B$27,MATCH($B184,Einheiten!$A$4:$A$27,0))=0,"",INDEX(Einheiten!$B$4:$B$27,MATCH($B184,Einheiten!$A$4:$A$27,0)))),"")</f>
        <v/>
      </c>
      <c r="B184" s="27"/>
      <c r="C184" s="28" t="str">
        <f aca="false">IFERROR(IF($D184="","",INDEX(Übungen!$B$4:$B$17,MATCH($D184,Übungen!$A$4:$A$17,0))),"")</f>
        <v/>
      </c>
      <c r="D184" s="19"/>
      <c r="E184" s="17"/>
      <c r="F184" s="20"/>
      <c r="G184" s="21"/>
      <c r="H184" s="20"/>
      <c r="I184" s="22" t="str">
        <f aca="false">IF(AND(ISNUMBER($F184),ISNUMBER($G184),$E184&lt;&gt;"R"),$F184*$G184,"")</f>
        <v/>
      </c>
      <c r="J184" s="29" t="str">
        <f aca="false">IF(AND($E184="A",ISNUMBER($F184),ISNUMBER($G184)),$F184*(1+$G184/30),"")</f>
        <v/>
      </c>
      <c r="K184" s="19"/>
      <c r="L184" s="19"/>
    </row>
    <row r="185" customFormat="false" ht="15.75" hidden="false" customHeight="true" outlineLevel="0" collapsed="false">
      <c r="A185" s="26" t="str">
        <f aca="false">IFERROR(IF($B185="","",IF(INDEX(Einheiten!$B$4:$B$27,MATCH($B185,Einheiten!$A$4:$A$27,0))=0,"",INDEX(Einheiten!$B$4:$B$27,MATCH($B185,Einheiten!$A$4:$A$27,0)))),"")</f>
        <v/>
      </c>
      <c r="B185" s="27"/>
      <c r="C185" s="28" t="str">
        <f aca="false">IFERROR(IF($D185="","",INDEX(Übungen!$B$4:$B$17,MATCH($D185,Übungen!$A$4:$A$17,0))),"")</f>
        <v/>
      </c>
      <c r="D185" s="19"/>
      <c r="E185" s="17"/>
      <c r="F185" s="20"/>
      <c r="G185" s="21"/>
      <c r="H185" s="20"/>
      <c r="I185" s="22" t="str">
        <f aca="false">IF(AND(ISNUMBER($F185),ISNUMBER($G185),$E185&lt;&gt;"R"),$F185*$G185,"")</f>
        <v/>
      </c>
      <c r="J185" s="29" t="str">
        <f aca="false">IF(AND($E185="A",ISNUMBER($F185),ISNUMBER($G185)),$F185*(1+$G185/30),"")</f>
        <v/>
      </c>
      <c r="K185" s="19"/>
      <c r="L185" s="19"/>
    </row>
    <row r="186" customFormat="false" ht="15.75" hidden="false" customHeight="true" outlineLevel="0" collapsed="false">
      <c r="A186" s="26" t="str">
        <f aca="false">IFERROR(IF($B186="","",IF(INDEX(Einheiten!$B$4:$B$27,MATCH($B186,Einheiten!$A$4:$A$27,0))=0,"",INDEX(Einheiten!$B$4:$B$27,MATCH($B186,Einheiten!$A$4:$A$27,0)))),"")</f>
        <v/>
      </c>
      <c r="B186" s="27"/>
      <c r="C186" s="28" t="str">
        <f aca="false">IFERROR(IF($D186="","",INDEX(Übungen!$B$4:$B$17,MATCH($D186,Übungen!$A$4:$A$17,0))),"")</f>
        <v/>
      </c>
      <c r="D186" s="19"/>
      <c r="E186" s="17"/>
      <c r="F186" s="20"/>
      <c r="G186" s="21"/>
      <c r="H186" s="20"/>
      <c r="I186" s="22" t="str">
        <f aca="false">IF(AND(ISNUMBER($F186),ISNUMBER($G186),$E186&lt;&gt;"R"),$F186*$G186,"")</f>
        <v/>
      </c>
      <c r="J186" s="29" t="str">
        <f aca="false">IF(AND($E186="A",ISNUMBER($F186),ISNUMBER($G186)),$F186*(1+$G186/30),"")</f>
        <v/>
      </c>
      <c r="K186" s="19"/>
      <c r="L186" s="19"/>
    </row>
    <row r="187" customFormat="false" ht="15.75" hidden="false" customHeight="true" outlineLevel="0" collapsed="false">
      <c r="A187" s="26" t="str">
        <f aca="false">IFERROR(IF($B187="","",IF(INDEX(Einheiten!$B$4:$B$27,MATCH($B187,Einheiten!$A$4:$A$27,0))=0,"",INDEX(Einheiten!$B$4:$B$27,MATCH($B187,Einheiten!$A$4:$A$27,0)))),"")</f>
        <v/>
      </c>
      <c r="B187" s="27"/>
      <c r="C187" s="28" t="str">
        <f aca="false">IFERROR(IF($D187="","",INDEX(Übungen!$B$4:$B$17,MATCH($D187,Übungen!$A$4:$A$17,0))),"")</f>
        <v/>
      </c>
      <c r="D187" s="19"/>
      <c r="E187" s="17"/>
      <c r="F187" s="20"/>
      <c r="G187" s="21"/>
      <c r="H187" s="20"/>
      <c r="I187" s="22" t="str">
        <f aca="false">IF(AND(ISNUMBER($F187),ISNUMBER($G187),$E187&lt;&gt;"R"),$F187*$G187,"")</f>
        <v/>
      </c>
      <c r="J187" s="29" t="str">
        <f aca="false">IF(AND($E187="A",ISNUMBER($F187),ISNUMBER($G187)),$F187*(1+$G187/30),"")</f>
        <v/>
      </c>
      <c r="K187" s="19"/>
      <c r="L187" s="19"/>
    </row>
    <row r="188" customFormat="false" ht="15.75" hidden="false" customHeight="true" outlineLevel="0" collapsed="false">
      <c r="A188" s="26" t="str">
        <f aca="false">IFERROR(IF($B188="","",IF(INDEX(Einheiten!$B$4:$B$27,MATCH($B188,Einheiten!$A$4:$A$27,0))=0,"",INDEX(Einheiten!$B$4:$B$27,MATCH($B188,Einheiten!$A$4:$A$27,0)))),"")</f>
        <v/>
      </c>
      <c r="B188" s="27"/>
      <c r="C188" s="28" t="str">
        <f aca="false">IFERROR(IF($D188="","",INDEX(Übungen!$B$4:$B$17,MATCH($D188,Übungen!$A$4:$A$17,0))),"")</f>
        <v/>
      </c>
      <c r="D188" s="19"/>
      <c r="E188" s="17"/>
      <c r="F188" s="20"/>
      <c r="G188" s="21"/>
      <c r="H188" s="20"/>
      <c r="I188" s="22" t="str">
        <f aca="false">IF(AND(ISNUMBER($F188),ISNUMBER($G188),$E188&lt;&gt;"R"),$F188*$G188,"")</f>
        <v/>
      </c>
      <c r="J188" s="29" t="str">
        <f aca="false">IF(AND($E188="A",ISNUMBER($F188),ISNUMBER($G188)),$F188*(1+$G188/30),"")</f>
        <v/>
      </c>
      <c r="K188" s="19"/>
      <c r="L188" s="19"/>
    </row>
    <row r="189" customFormat="false" ht="15.75" hidden="false" customHeight="true" outlineLevel="0" collapsed="false">
      <c r="A189" s="26" t="str">
        <f aca="false">IFERROR(IF($B189="","",IF(INDEX(Einheiten!$B$4:$B$27,MATCH($B189,Einheiten!$A$4:$A$27,0))=0,"",INDEX(Einheiten!$B$4:$B$27,MATCH($B189,Einheiten!$A$4:$A$27,0)))),"")</f>
        <v/>
      </c>
      <c r="B189" s="27"/>
      <c r="C189" s="28" t="str">
        <f aca="false">IFERROR(IF($D189="","",INDEX(Übungen!$B$4:$B$17,MATCH($D189,Übungen!$A$4:$A$17,0))),"")</f>
        <v/>
      </c>
      <c r="D189" s="19"/>
      <c r="E189" s="17"/>
      <c r="F189" s="20"/>
      <c r="G189" s="21"/>
      <c r="H189" s="20"/>
      <c r="I189" s="22" t="str">
        <f aca="false">IF(AND(ISNUMBER($F189),ISNUMBER($G189),$E189&lt;&gt;"R"),$F189*$G189,"")</f>
        <v/>
      </c>
      <c r="J189" s="29" t="str">
        <f aca="false">IF(AND($E189="A",ISNUMBER($F189),ISNUMBER($G189)),$F189*(1+$G189/30),"")</f>
        <v/>
      </c>
      <c r="K189" s="19"/>
      <c r="L189" s="19"/>
    </row>
    <row r="190" customFormat="false" ht="15.75" hidden="false" customHeight="true" outlineLevel="0" collapsed="false">
      <c r="A190" s="26" t="str">
        <f aca="false">IFERROR(IF($B190="","",IF(INDEX(Einheiten!$B$4:$B$27,MATCH($B190,Einheiten!$A$4:$A$27,0))=0,"",INDEX(Einheiten!$B$4:$B$27,MATCH($B190,Einheiten!$A$4:$A$27,0)))),"")</f>
        <v/>
      </c>
      <c r="B190" s="27"/>
      <c r="C190" s="28" t="str">
        <f aca="false">IFERROR(IF($D190="","",INDEX(Übungen!$B$4:$B$17,MATCH($D190,Übungen!$A$4:$A$17,0))),"")</f>
        <v/>
      </c>
      <c r="D190" s="19"/>
      <c r="E190" s="17"/>
      <c r="F190" s="20"/>
      <c r="G190" s="21"/>
      <c r="H190" s="20"/>
      <c r="I190" s="22" t="str">
        <f aca="false">IF(AND(ISNUMBER($F190),ISNUMBER($G190),$E190&lt;&gt;"R"),$F190*$G190,"")</f>
        <v/>
      </c>
      <c r="J190" s="29" t="str">
        <f aca="false">IF(AND($E190="A",ISNUMBER($F190),ISNUMBER($G190)),$F190*(1+$G190/30),"")</f>
        <v/>
      </c>
      <c r="K190" s="19"/>
      <c r="L190" s="19"/>
    </row>
    <row r="191" customFormat="false" ht="15.75" hidden="false" customHeight="true" outlineLevel="0" collapsed="false">
      <c r="A191" s="26" t="str">
        <f aca="false">IFERROR(IF($B191="","",IF(INDEX(Einheiten!$B$4:$B$27,MATCH($B191,Einheiten!$A$4:$A$27,0))=0,"",INDEX(Einheiten!$B$4:$B$27,MATCH($B191,Einheiten!$A$4:$A$27,0)))),"")</f>
        <v/>
      </c>
      <c r="B191" s="27"/>
      <c r="C191" s="28" t="str">
        <f aca="false">IFERROR(IF($D191="","",INDEX(Übungen!$B$4:$B$17,MATCH($D191,Übungen!$A$4:$A$17,0))),"")</f>
        <v/>
      </c>
      <c r="D191" s="19"/>
      <c r="E191" s="17"/>
      <c r="F191" s="20"/>
      <c r="G191" s="21"/>
      <c r="H191" s="20"/>
      <c r="I191" s="22" t="str">
        <f aca="false">IF(AND(ISNUMBER($F191),ISNUMBER($G191),$E191&lt;&gt;"R"),$F191*$G191,"")</f>
        <v/>
      </c>
      <c r="J191" s="29" t="str">
        <f aca="false">IF(AND($E191="A",ISNUMBER($F191),ISNUMBER($G191)),$F191*(1+$G191/30),"")</f>
        <v/>
      </c>
      <c r="K191" s="19"/>
      <c r="L191" s="19"/>
    </row>
    <row r="192" customFormat="false" ht="15.75" hidden="false" customHeight="true" outlineLevel="0" collapsed="false">
      <c r="A192" s="26" t="str">
        <f aca="false">IFERROR(IF($B192="","",IF(INDEX(Einheiten!$B$4:$B$27,MATCH($B192,Einheiten!$A$4:$A$27,0))=0,"",INDEX(Einheiten!$B$4:$B$27,MATCH($B192,Einheiten!$A$4:$A$27,0)))),"")</f>
        <v/>
      </c>
      <c r="B192" s="27"/>
      <c r="C192" s="28" t="str">
        <f aca="false">IFERROR(IF($D192="","",INDEX(Übungen!$B$4:$B$17,MATCH($D192,Übungen!$A$4:$A$17,0))),"")</f>
        <v/>
      </c>
      <c r="D192" s="19"/>
      <c r="E192" s="17"/>
      <c r="F192" s="20"/>
      <c r="G192" s="21"/>
      <c r="H192" s="20"/>
      <c r="I192" s="22" t="str">
        <f aca="false">IF(AND(ISNUMBER($F192),ISNUMBER($G192),$E192&lt;&gt;"R"),$F192*$G192,"")</f>
        <v/>
      </c>
      <c r="J192" s="29" t="str">
        <f aca="false">IF(AND($E192="A",ISNUMBER($F192),ISNUMBER($G192)),$F192*(1+$G192/30),"")</f>
        <v/>
      </c>
      <c r="K192" s="19"/>
      <c r="L192" s="19"/>
    </row>
    <row r="193" customFormat="false" ht="15.75" hidden="false" customHeight="true" outlineLevel="0" collapsed="false">
      <c r="A193" s="26" t="str">
        <f aca="false">IFERROR(IF($B193="","",IF(INDEX(Einheiten!$B$4:$B$27,MATCH($B193,Einheiten!$A$4:$A$27,0))=0,"",INDEX(Einheiten!$B$4:$B$27,MATCH($B193,Einheiten!$A$4:$A$27,0)))),"")</f>
        <v/>
      </c>
      <c r="B193" s="27"/>
      <c r="C193" s="28" t="str">
        <f aca="false">IFERROR(IF($D193="","",INDEX(Übungen!$B$4:$B$17,MATCH($D193,Übungen!$A$4:$A$17,0))),"")</f>
        <v/>
      </c>
      <c r="D193" s="19"/>
      <c r="E193" s="17"/>
      <c r="F193" s="20"/>
      <c r="G193" s="21"/>
      <c r="H193" s="20"/>
      <c r="I193" s="22" t="str">
        <f aca="false">IF(AND(ISNUMBER($F193),ISNUMBER($G193),$E193&lt;&gt;"R"),$F193*$G193,"")</f>
        <v/>
      </c>
      <c r="J193" s="29" t="str">
        <f aca="false">IF(AND($E193="A",ISNUMBER($F193),ISNUMBER($G193)),$F193*(1+$G193/30),"")</f>
        <v/>
      </c>
      <c r="K193" s="19"/>
      <c r="L193" s="19"/>
    </row>
    <row r="194" customFormat="false" ht="15.75" hidden="false" customHeight="true" outlineLevel="0" collapsed="false">
      <c r="A194" s="26" t="str">
        <f aca="false">IFERROR(IF($B194="","",IF(INDEX(Einheiten!$B$4:$B$27,MATCH($B194,Einheiten!$A$4:$A$27,0))=0,"",INDEX(Einheiten!$B$4:$B$27,MATCH($B194,Einheiten!$A$4:$A$27,0)))),"")</f>
        <v/>
      </c>
      <c r="B194" s="27"/>
      <c r="C194" s="28" t="str">
        <f aca="false">IFERROR(IF($D194="","",INDEX(Übungen!$B$4:$B$17,MATCH($D194,Übungen!$A$4:$A$17,0))),"")</f>
        <v/>
      </c>
      <c r="D194" s="19"/>
      <c r="E194" s="17"/>
      <c r="F194" s="20"/>
      <c r="G194" s="21"/>
      <c r="H194" s="20"/>
      <c r="I194" s="22" t="str">
        <f aca="false">IF(AND(ISNUMBER($F194),ISNUMBER($G194),$E194&lt;&gt;"R"),$F194*$G194,"")</f>
        <v/>
      </c>
      <c r="J194" s="29" t="str">
        <f aca="false">IF(AND($E194="A",ISNUMBER($F194),ISNUMBER($G194)),$F194*(1+$G194/30),"")</f>
        <v/>
      </c>
      <c r="K194" s="19"/>
      <c r="L194" s="19"/>
    </row>
    <row r="195" customFormat="false" ht="15.75" hidden="false" customHeight="true" outlineLevel="0" collapsed="false">
      <c r="A195" s="26" t="str">
        <f aca="false">IFERROR(IF($B195="","",IF(INDEX(Einheiten!$B$4:$B$27,MATCH($B195,Einheiten!$A$4:$A$27,0))=0,"",INDEX(Einheiten!$B$4:$B$27,MATCH($B195,Einheiten!$A$4:$A$27,0)))),"")</f>
        <v/>
      </c>
      <c r="B195" s="27"/>
      <c r="C195" s="28" t="str">
        <f aca="false">IFERROR(IF($D195="","",INDEX(Übungen!$B$4:$B$17,MATCH($D195,Übungen!$A$4:$A$17,0))),"")</f>
        <v/>
      </c>
      <c r="D195" s="19"/>
      <c r="E195" s="17"/>
      <c r="F195" s="20"/>
      <c r="G195" s="21"/>
      <c r="H195" s="20"/>
      <c r="I195" s="22" t="str">
        <f aca="false">IF(AND(ISNUMBER($F195),ISNUMBER($G195),$E195&lt;&gt;"R"),$F195*$G195,"")</f>
        <v/>
      </c>
      <c r="J195" s="29" t="str">
        <f aca="false">IF(AND($E195="A",ISNUMBER($F195),ISNUMBER($G195)),$F195*(1+$G195/30),"")</f>
        <v/>
      </c>
      <c r="K195" s="19"/>
      <c r="L195" s="19"/>
    </row>
    <row r="196" customFormat="false" ht="15.75" hidden="false" customHeight="true" outlineLevel="0" collapsed="false">
      <c r="A196" s="26" t="str">
        <f aca="false">IFERROR(IF($B196="","",IF(INDEX(Einheiten!$B$4:$B$27,MATCH($B196,Einheiten!$A$4:$A$27,0))=0,"",INDEX(Einheiten!$B$4:$B$27,MATCH($B196,Einheiten!$A$4:$A$27,0)))),"")</f>
        <v/>
      </c>
      <c r="B196" s="27"/>
      <c r="C196" s="28" t="str">
        <f aca="false">IFERROR(IF($D196="","",INDEX(Übungen!$B$4:$B$17,MATCH($D196,Übungen!$A$4:$A$17,0))),"")</f>
        <v/>
      </c>
      <c r="D196" s="19"/>
      <c r="E196" s="17"/>
      <c r="F196" s="20"/>
      <c r="G196" s="21"/>
      <c r="H196" s="20"/>
      <c r="I196" s="22" t="str">
        <f aca="false">IF(AND(ISNUMBER($F196),ISNUMBER($G196),$E196&lt;&gt;"R"),$F196*$G196,"")</f>
        <v/>
      </c>
      <c r="J196" s="29" t="str">
        <f aca="false">IF(AND($E196="A",ISNUMBER($F196),ISNUMBER($G196)),$F196*(1+$G196/30),"")</f>
        <v/>
      </c>
      <c r="K196" s="19"/>
      <c r="L196" s="19"/>
    </row>
    <row r="197" customFormat="false" ht="15.75" hidden="false" customHeight="true" outlineLevel="0" collapsed="false">
      <c r="A197" s="26" t="str">
        <f aca="false">IFERROR(IF($B197="","",IF(INDEX(Einheiten!$B$4:$B$27,MATCH($B197,Einheiten!$A$4:$A$27,0))=0,"",INDEX(Einheiten!$B$4:$B$27,MATCH($B197,Einheiten!$A$4:$A$27,0)))),"")</f>
        <v/>
      </c>
      <c r="B197" s="27"/>
      <c r="C197" s="28" t="str">
        <f aca="false">IFERROR(IF($D197="","",INDEX(Übungen!$B$4:$B$17,MATCH($D197,Übungen!$A$4:$A$17,0))),"")</f>
        <v/>
      </c>
      <c r="D197" s="19"/>
      <c r="E197" s="17"/>
      <c r="F197" s="20"/>
      <c r="G197" s="21"/>
      <c r="H197" s="20"/>
      <c r="I197" s="22" t="str">
        <f aca="false">IF(AND(ISNUMBER($F197),ISNUMBER($G197),$E197&lt;&gt;"R"),$F197*$G197,"")</f>
        <v/>
      </c>
      <c r="J197" s="29" t="str">
        <f aca="false">IF(AND($E197="A",ISNUMBER($F197),ISNUMBER($G197)),$F197*(1+$G197/30),"")</f>
        <v/>
      </c>
      <c r="K197" s="19"/>
      <c r="L197" s="19"/>
    </row>
    <row r="198" customFormat="false" ht="15.75" hidden="false" customHeight="true" outlineLevel="0" collapsed="false">
      <c r="A198" s="26" t="str">
        <f aca="false">IFERROR(IF($B198="","",IF(INDEX(Einheiten!$B$4:$B$27,MATCH($B198,Einheiten!$A$4:$A$27,0))=0,"",INDEX(Einheiten!$B$4:$B$27,MATCH($B198,Einheiten!$A$4:$A$27,0)))),"")</f>
        <v/>
      </c>
      <c r="B198" s="27"/>
      <c r="C198" s="28" t="str">
        <f aca="false">IFERROR(IF($D198="","",INDEX(Übungen!$B$4:$B$17,MATCH($D198,Übungen!$A$4:$A$17,0))),"")</f>
        <v/>
      </c>
      <c r="D198" s="19"/>
      <c r="E198" s="17"/>
      <c r="F198" s="20"/>
      <c r="G198" s="21"/>
      <c r="H198" s="20"/>
      <c r="I198" s="22" t="str">
        <f aca="false">IF(AND(ISNUMBER($F198),ISNUMBER($G198),$E198&lt;&gt;"R"),$F198*$G198,"")</f>
        <v/>
      </c>
      <c r="J198" s="29" t="str">
        <f aca="false">IF(AND($E198="A",ISNUMBER($F198),ISNUMBER($G198)),$F198*(1+$G198/30),"")</f>
        <v/>
      </c>
      <c r="K198" s="19"/>
      <c r="L198" s="19"/>
    </row>
    <row r="199" customFormat="false" ht="15.75" hidden="false" customHeight="true" outlineLevel="0" collapsed="false">
      <c r="A199" s="26" t="str">
        <f aca="false">IFERROR(IF($B199="","",IF(INDEX(Einheiten!$B$4:$B$27,MATCH($B199,Einheiten!$A$4:$A$27,0))=0,"",INDEX(Einheiten!$B$4:$B$27,MATCH($B199,Einheiten!$A$4:$A$27,0)))),"")</f>
        <v/>
      </c>
      <c r="B199" s="27"/>
      <c r="C199" s="28" t="str">
        <f aca="false">IFERROR(IF($D199="","",INDEX(Übungen!$B$4:$B$17,MATCH($D199,Übungen!$A$4:$A$17,0))),"")</f>
        <v/>
      </c>
      <c r="D199" s="19"/>
      <c r="E199" s="17"/>
      <c r="F199" s="20"/>
      <c r="G199" s="21"/>
      <c r="H199" s="20"/>
      <c r="I199" s="22" t="str">
        <f aca="false">IF(AND(ISNUMBER($F199),ISNUMBER($G199),$E199&lt;&gt;"R"),$F199*$G199,"")</f>
        <v/>
      </c>
      <c r="J199" s="29" t="str">
        <f aca="false">IF(AND($E199="A",ISNUMBER($F199),ISNUMBER($G199)),$F199*(1+$G199/30),"")</f>
        <v/>
      </c>
      <c r="K199" s="19"/>
      <c r="L199" s="19"/>
    </row>
    <row r="200" customFormat="false" ht="15.75" hidden="false" customHeight="true" outlineLevel="0" collapsed="false">
      <c r="A200" s="26" t="str">
        <f aca="false">IFERROR(IF($B200="","",IF(INDEX(Einheiten!$B$4:$B$27,MATCH($B200,Einheiten!$A$4:$A$27,0))=0,"",INDEX(Einheiten!$B$4:$B$27,MATCH($B200,Einheiten!$A$4:$A$27,0)))),"")</f>
        <v/>
      </c>
      <c r="B200" s="27"/>
      <c r="C200" s="28" t="str">
        <f aca="false">IFERROR(IF($D200="","",INDEX(Übungen!$B$4:$B$17,MATCH($D200,Übungen!$A$4:$A$17,0))),"")</f>
        <v/>
      </c>
      <c r="D200" s="19"/>
      <c r="E200" s="17"/>
      <c r="F200" s="20"/>
      <c r="G200" s="21"/>
      <c r="H200" s="20"/>
      <c r="I200" s="22" t="str">
        <f aca="false">IF(AND(ISNUMBER($F200),ISNUMBER($G200),$E200&lt;&gt;"R"),$F200*$G200,"")</f>
        <v/>
      </c>
      <c r="J200" s="29" t="str">
        <f aca="false">IF(AND($E200="A",ISNUMBER($F200),ISNUMBER($G200)),$F200*(1+$G200/30),"")</f>
        <v/>
      </c>
      <c r="K200" s="19"/>
      <c r="L200" s="19"/>
    </row>
    <row r="201" customFormat="false" ht="15.75" hidden="false" customHeight="true" outlineLevel="0" collapsed="false">
      <c r="A201" s="26" t="str">
        <f aca="false">IFERROR(IF($B201="","",IF(INDEX(Einheiten!$B$4:$B$27,MATCH($B201,Einheiten!$A$4:$A$27,0))=0,"",INDEX(Einheiten!$B$4:$B$27,MATCH($B201,Einheiten!$A$4:$A$27,0)))),"")</f>
        <v/>
      </c>
      <c r="B201" s="27"/>
      <c r="C201" s="28" t="str">
        <f aca="false">IFERROR(IF($D201="","",INDEX(Übungen!$B$4:$B$17,MATCH($D201,Übungen!$A$4:$A$17,0))),"")</f>
        <v/>
      </c>
      <c r="D201" s="19"/>
      <c r="E201" s="17"/>
      <c r="F201" s="20"/>
      <c r="G201" s="21"/>
      <c r="H201" s="20"/>
      <c r="I201" s="22" t="str">
        <f aca="false">IF(AND(ISNUMBER($F201),ISNUMBER($G201),$E201&lt;&gt;"R"),$F201*$G201,"")</f>
        <v/>
      </c>
      <c r="J201" s="29" t="str">
        <f aca="false">IF(AND($E201="A",ISNUMBER($F201),ISNUMBER($G201)),$F201*(1+$G201/30),"")</f>
        <v/>
      </c>
      <c r="K201" s="19"/>
      <c r="L201" s="19"/>
    </row>
    <row r="202" customFormat="false" ht="15.75" hidden="false" customHeight="true" outlineLevel="0" collapsed="false">
      <c r="A202" s="26" t="str">
        <f aca="false">IFERROR(IF($B202="","",IF(INDEX(Einheiten!$B$4:$B$27,MATCH($B202,Einheiten!$A$4:$A$27,0))=0,"",INDEX(Einheiten!$B$4:$B$27,MATCH($B202,Einheiten!$A$4:$A$27,0)))),"")</f>
        <v/>
      </c>
      <c r="B202" s="27"/>
      <c r="C202" s="28" t="str">
        <f aca="false">IFERROR(IF($D202="","",INDEX(Übungen!$B$4:$B$17,MATCH($D202,Übungen!$A$4:$A$17,0))),"")</f>
        <v/>
      </c>
      <c r="D202" s="19"/>
      <c r="E202" s="17"/>
      <c r="F202" s="20"/>
      <c r="G202" s="21"/>
      <c r="H202" s="20"/>
      <c r="I202" s="22" t="str">
        <f aca="false">IF(AND(ISNUMBER($F202),ISNUMBER($G202),$E202&lt;&gt;"R"),$F202*$G202,"")</f>
        <v/>
      </c>
      <c r="J202" s="29" t="str">
        <f aca="false">IF(AND($E202="A",ISNUMBER($F202),ISNUMBER($G202)),$F202*(1+$G202/30),"")</f>
        <v/>
      </c>
      <c r="K202" s="19"/>
      <c r="L202" s="19"/>
    </row>
    <row r="203" customFormat="false" ht="15.75" hidden="false" customHeight="true" outlineLevel="0" collapsed="false">
      <c r="A203" s="26" t="str">
        <f aca="false">IFERROR(IF($B203="","",IF(INDEX(Einheiten!$B$4:$B$27,MATCH($B203,Einheiten!$A$4:$A$27,0))=0,"",INDEX(Einheiten!$B$4:$B$27,MATCH($B203,Einheiten!$A$4:$A$27,0)))),"")</f>
        <v/>
      </c>
      <c r="B203" s="27"/>
      <c r="C203" s="28" t="str">
        <f aca="false">IFERROR(IF($D203="","",INDEX(Übungen!$B$4:$B$17,MATCH($D203,Übungen!$A$4:$A$17,0))),"")</f>
        <v/>
      </c>
      <c r="D203" s="19"/>
      <c r="E203" s="17"/>
      <c r="F203" s="20"/>
      <c r="G203" s="21"/>
      <c r="H203" s="20"/>
      <c r="I203" s="22" t="str">
        <f aca="false">IF(AND(ISNUMBER($F203),ISNUMBER($G203),$E203&lt;&gt;"R"),$F203*$G203,"")</f>
        <v/>
      </c>
      <c r="J203" s="29" t="str">
        <f aca="false">IF(AND($E203="A",ISNUMBER($F203),ISNUMBER($G203)),$F203*(1+$G203/30),"")</f>
        <v/>
      </c>
      <c r="K203" s="19"/>
      <c r="L203" s="19"/>
    </row>
    <row r="204" customFormat="false" ht="15.75" hidden="false" customHeight="true" outlineLevel="0" collapsed="false">
      <c r="A204" s="26" t="str">
        <f aca="false">IFERROR(IF($B204="","",IF(INDEX(Einheiten!$B$4:$B$27,MATCH($B204,Einheiten!$A$4:$A$27,0))=0,"",INDEX(Einheiten!$B$4:$B$27,MATCH($B204,Einheiten!$A$4:$A$27,0)))),"")</f>
        <v/>
      </c>
      <c r="B204" s="27"/>
      <c r="C204" s="28" t="str">
        <f aca="false">IFERROR(IF($D204="","",INDEX(Übungen!$B$4:$B$17,MATCH($D204,Übungen!$A$4:$A$17,0))),"")</f>
        <v/>
      </c>
      <c r="D204" s="19"/>
      <c r="E204" s="17"/>
      <c r="F204" s="20"/>
      <c r="G204" s="21"/>
      <c r="H204" s="20"/>
      <c r="I204" s="22" t="str">
        <f aca="false">IF(AND(ISNUMBER($F204),ISNUMBER($G204),$E204&lt;&gt;"R"),$F204*$G204,"")</f>
        <v/>
      </c>
      <c r="J204" s="29" t="str">
        <f aca="false">IF(AND($E204="A",ISNUMBER($F204),ISNUMBER($G204)),$F204*(1+$G204/30),"")</f>
        <v/>
      </c>
      <c r="K204" s="19"/>
      <c r="L204" s="19"/>
    </row>
    <row r="205" customFormat="false" ht="15.75" hidden="false" customHeight="true" outlineLevel="0" collapsed="false">
      <c r="A205" s="26" t="str">
        <f aca="false">IFERROR(IF($B205="","",IF(INDEX(Einheiten!$B$4:$B$27,MATCH($B205,Einheiten!$A$4:$A$27,0))=0,"",INDEX(Einheiten!$B$4:$B$27,MATCH($B205,Einheiten!$A$4:$A$27,0)))),"")</f>
        <v/>
      </c>
      <c r="B205" s="27"/>
      <c r="C205" s="28" t="str">
        <f aca="false">IFERROR(IF($D205="","",INDEX(Übungen!$B$4:$B$17,MATCH($D205,Übungen!$A$4:$A$17,0))),"")</f>
        <v/>
      </c>
      <c r="D205" s="19"/>
      <c r="E205" s="17"/>
      <c r="F205" s="20"/>
      <c r="G205" s="21"/>
      <c r="H205" s="20"/>
      <c r="I205" s="22" t="str">
        <f aca="false">IF(AND(ISNUMBER($F205),ISNUMBER($G205),$E205&lt;&gt;"R"),$F205*$G205,"")</f>
        <v/>
      </c>
      <c r="J205" s="29" t="str">
        <f aca="false">IF(AND($E205="A",ISNUMBER($F205),ISNUMBER($G205)),$F205*(1+$G205/30),"")</f>
        <v/>
      </c>
      <c r="K205" s="19"/>
      <c r="L205" s="19"/>
    </row>
    <row r="206" customFormat="false" ht="15.75" hidden="false" customHeight="true" outlineLevel="0" collapsed="false">
      <c r="A206" s="26" t="str">
        <f aca="false">IFERROR(IF($B206="","",IF(INDEX(Einheiten!$B$4:$B$27,MATCH($B206,Einheiten!$A$4:$A$27,0))=0,"",INDEX(Einheiten!$B$4:$B$27,MATCH($B206,Einheiten!$A$4:$A$27,0)))),"")</f>
        <v/>
      </c>
      <c r="B206" s="27"/>
      <c r="C206" s="28" t="str">
        <f aca="false">IFERROR(IF($D206="","",INDEX(Übungen!$B$4:$B$17,MATCH($D206,Übungen!$A$4:$A$17,0))),"")</f>
        <v/>
      </c>
      <c r="D206" s="19"/>
      <c r="E206" s="17"/>
      <c r="F206" s="20"/>
      <c r="G206" s="21"/>
      <c r="H206" s="20"/>
      <c r="I206" s="22" t="str">
        <f aca="false">IF(AND(ISNUMBER($F206),ISNUMBER($G206),$E206&lt;&gt;"R"),$F206*$G206,"")</f>
        <v/>
      </c>
      <c r="J206" s="29" t="str">
        <f aca="false">IF(AND($E206="A",ISNUMBER($F206),ISNUMBER($G206)),$F206*(1+$G206/30),"")</f>
        <v/>
      </c>
      <c r="K206" s="19"/>
      <c r="L206" s="19"/>
    </row>
    <row r="207" customFormat="false" ht="15.75" hidden="false" customHeight="true" outlineLevel="0" collapsed="false">
      <c r="A207" s="26" t="str">
        <f aca="false">IFERROR(IF($B207="","",IF(INDEX(Einheiten!$B$4:$B$27,MATCH($B207,Einheiten!$A$4:$A$27,0))=0,"",INDEX(Einheiten!$B$4:$B$27,MATCH($B207,Einheiten!$A$4:$A$27,0)))),"")</f>
        <v/>
      </c>
      <c r="B207" s="27"/>
      <c r="C207" s="28" t="str">
        <f aca="false">IFERROR(IF($D207="","",INDEX(Übungen!$B$4:$B$17,MATCH($D207,Übungen!$A$4:$A$17,0))),"")</f>
        <v/>
      </c>
      <c r="D207" s="19"/>
      <c r="E207" s="17"/>
      <c r="F207" s="20"/>
      <c r="G207" s="21"/>
      <c r="H207" s="20"/>
      <c r="I207" s="22" t="str">
        <f aca="false">IF(AND(ISNUMBER($F207),ISNUMBER($G207),$E207&lt;&gt;"R"),$F207*$G207,"")</f>
        <v/>
      </c>
      <c r="J207" s="29" t="str">
        <f aca="false">IF(AND($E207="A",ISNUMBER($F207),ISNUMBER($G207)),$F207*(1+$G207/30),"")</f>
        <v/>
      </c>
      <c r="K207" s="19"/>
      <c r="L207" s="19"/>
    </row>
    <row r="208" customFormat="false" ht="15.75" hidden="false" customHeight="true" outlineLevel="0" collapsed="false">
      <c r="A208" s="26" t="str">
        <f aca="false">IFERROR(IF($B208="","",IF(INDEX(Einheiten!$B$4:$B$27,MATCH($B208,Einheiten!$A$4:$A$27,0))=0,"",INDEX(Einheiten!$B$4:$B$27,MATCH($B208,Einheiten!$A$4:$A$27,0)))),"")</f>
        <v/>
      </c>
      <c r="B208" s="27"/>
      <c r="C208" s="28" t="str">
        <f aca="false">IFERROR(IF($D208="","",INDEX(Übungen!$B$4:$B$17,MATCH($D208,Übungen!$A$4:$A$17,0))),"")</f>
        <v/>
      </c>
      <c r="D208" s="19"/>
      <c r="E208" s="17"/>
      <c r="F208" s="20"/>
      <c r="G208" s="21"/>
      <c r="H208" s="20"/>
      <c r="I208" s="22" t="str">
        <f aca="false">IF(AND(ISNUMBER($F208),ISNUMBER($G208),$E208&lt;&gt;"R"),$F208*$G208,"")</f>
        <v/>
      </c>
      <c r="J208" s="29" t="str">
        <f aca="false">IF(AND($E208="A",ISNUMBER($F208),ISNUMBER($G208)),$F208*(1+$G208/30),"")</f>
        <v/>
      </c>
      <c r="K208" s="19"/>
      <c r="L208" s="19"/>
    </row>
    <row r="209" customFormat="false" ht="15.75" hidden="false" customHeight="true" outlineLevel="0" collapsed="false">
      <c r="A209" s="26" t="str">
        <f aca="false">IFERROR(IF($B209="","",IF(INDEX(Einheiten!$B$4:$B$27,MATCH($B209,Einheiten!$A$4:$A$27,0))=0,"",INDEX(Einheiten!$B$4:$B$27,MATCH($B209,Einheiten!$A$4:$A$27,0)))),"")</f>
        <v/>
      </c>
      <c r="B209" s="27"/>
      <c r="C209" s="28" t="str">
        <f aca="false">IFERROR(IF($D209="","",INDEX(Übungen!$B$4:$B$17,MATCH($D209,Übungen!$A$4:$A$17,0))),"")</f>
        <v/>
      </c>
      <c r="D209" s="19"/>
      <c r="E209" s="17"/>
      <c r="F209" s="20"/>
      <c r="G209" s="21"/>
      <c r="H209" s="20"/>
      <c r="I209" s="22" t="str">
        <f aca="false">IF(AND(ISNUMBER($F209),ISNUMBER($G209),$E209&lt;&gt;"R"),$F209*$G209,"")</f>
        <v/>
      </c>
      <c r="J209" s="29" t="str">
        <f aca="false">IF(AND($E209="A",ISNUMBER($F209),ISNUMBER($G209)),$F209*(1+$G209/30),"")</f>
        <v/>
      </c>
      <c r="K209" s="19"/>
      <c r="L209" s="19"/>
    </row>
    <row r="210" customFormat="false" ht="15.75" hidden="false" customHeight="true" outlineLevel="0" collapsed="false">
      <c r="A210" s="26" t="str">
        <f aca="false">IFERROR(IF($B210="","",IF(INDEX(Einheiten!$B$4:$B$27,MATCH($B210,Einheiten!$A$4:$A$27,0))=0,"",INDEX(Einheiten!$B$4:$B$27,MATCH($B210,Einheiten!$A$4:$A$27,0)))),"")</f>
        <v/>
      </c>
      <c r="B210" s="27"/>
      <c r="C210" s="28" t="str">
        <f aca="false">IFERROR(IF($D210="","",INDEX(Übungen!$B$4:$B$17,MATCH($D210,Übungen!$A$4:$A$17,0))),"")</f>
        <v/>
      </c>
      <c r="D210" s="19"/>
      <c r="E210" s="17"/>
      <c r="F210" s="20"/>
      <c r="G210" s="21"/>
      <c r="H210" s="20"/>
      <c r="I210" s="22" t="str">
        <f aca="false">IF(AND(ISNUMBER($F210),ISNUMBER($G210),$E210&lt;&gt;"R"),$F210*$G210,"")</f>
        <v/>
      </c>
      <c r="J210" s="29" t="str">
        <f aca="false">IF(AND($E210="A",ISNUMBER($F210),ISNUMBER($G210)),$F210*(1+$G210/30),"")</f>
        <v/>
      </c>
      <c r="K210" s="19"/>
      <c r="L210" s="19"/>
    </row>
    <row r="211" customFormat="false" ht="15.75" hidden="false" customHeight="true" outlineLevel="0" collapsed="false">
      <c r="A211" s="26" t="str">
        <f aca="false">IFERROR(IF($B211="","",IF(INDEX(Einheiten!$B$4:$B$27,MATCH($B211,Einheiten!$A$4:$A$27,0))=0,"",INDEX(Einheiten!$B$4:$B$27,MATCH($B211,Einheiten!$A$4:$A$27,0)))),"")</f>
        <v/>
      </c>
      <c r="B211" s="27"/>
      <c r="C211" s="28" t="str">
        <f aca="false">IFERROR(IF($D211="","",INDEX(Übungen!$B$4:$B$17,MATCH($D211,Übungen!$A$4:$A$17,0))),"")</f>
        <v/>
      </c>
      <c r="D211" s="19"/>
      <c r="E211" s="17"/>
      <c r="F211" s="20"/>
      <c r="G211" s="21"/>
      <c r="H211" s="20"/>
      <c r="I211" s="22" t="str">
        <f aca="false">IF(AND(ISNUMBER($F211),ISNUMBER($G211),$E211&lt;&gt;"R"),$F211*$G211,"")</f>
        <v/>
      </c>
      <c r="J211" s="29" t="str">
        <f aca="false">IF(AND($E211="A",ISNUMBER($F211),ISNUMBER($G211)),$F211*(1+$G211/30),"")</f>
        <v/>
      </c>
      <c r="K211" s="19"/>
      <c r="L211" s="19"/>
    </row>
    <row r="212" customFormat="false" ht="15.75" hidden="false" customHeight="true" outlineLevel="0" collapsed="false">
      <c r="A212" s="26" t="str">
        <f aca="false">IFERROR(IF($B212="","",IF(INDEX(Einheiten!$B$4:$B$27,MATCH($B212,Einheiten!$A$4:$A$27,0))=0,"",INDEX(Einheiten!$B$4:$B$27,MATCH($B212,Einheiten!$A$4:$A$27,0)))),"")</f>
        <v/>
      </c>
      <c r="B212" s="27"/>
      <c r="C212" s="28" t="str">
        <f aca="false">IFERROR(IF($D212="","",INDEX(Übungen!$B$4:$B$17,MATCH($D212,Übungen!$A$4:$A$17,0))),"")</f>
        <v/>
      </c>
      <c r="D212" s="19"/>
      <c r="E212" s="17"/>
      <c r="F212" s="20"/>
      <c r="G212" s="21"/>
      <c r="H212" s="20"/>
      <c r="I212" s="22" t="str">
        <f aca="false">IF(AND(ISNUMBER($F212),ISNUMBER($G212),$E212&lt;&gt;"R"),$F212*$G212,"")</f>
        <v/>
      </c>
      <c r="J212" s="29" t="str">
        <f aca="false">IF(AND($E212="A",ISNUMBER($F212),ISNUMBER($G212)),$F212*(1+$G212/30),"")</f>
        <v/>
      </c>
      <c r="K212" s="19"/>
      <c r="L212" s="19"/>
    </row>
    <row r="213" customFormat="false" ht="15.75" hidden="false" customHeight="true" outlineLevel="0" collapsed="false">
      <c r="A213" s="26" t="str">
        <f aca="false">IFERROR(IF($B213="","",IF(INDEX(Einheiten!$B$4:$B$27,MATCH($B213,Einheiten!$A$4:$A$27,0))=0,"",INDEX(Einheiten!$B$4:$B$27,MATCH($B213,Einheiten!$A$4:$A$27,0)))),"")</f>
        <v/>
      </c>
      <c r="B213" s="27"/>
      <c r="C213" s="28" t="str">
        <f aca="false">IFERROR(IF($D213="","",INDEX(Übungen!$B$4:$B$17,MATCH($D213,Übungen!$A$4:$A$17,0))),"")</f>
        <v/>
      </c>
      <c r="D213" s="19"/>
      <c r="E213" s="17"/>
      <c r="F213" s="20"/>
      <c r="G213" s="21"/>
      <c r="H213" s="20"/>
      <c r="I213" s="22" t="str">
        <f aca="false">IF(AND(ISNUMBER($F213),ISNUMBER($G213),$E213&lt;&gt;"R"),$F213*$G213,"")</f>
        <v/>
      </c>
      <c r="J213" s="29" t="str">
        <f aca="false">IF(AND($E213="A",ISNUMBER($F213),ISNUMBER($G213)),$F213*(1+$G213/30),"")</f>
        <v/>
      </c>
      <c r="K213" s="19"/>
      <c r="L213" s="19"/>
    </row>
    <row r="214" customFormat="false" ht="15.75" hidden="false" customHeight="true" outlineLevel="0" collapsed="false">
      <c r="A214" s="26" t="str">
        <f aca="false">IFERROR(IF($B214="","",IF(INDEX(Einheiten!$B$4:$B$27,MATCH($B214,Einheiten!$A$4:$A$27,0))=0,"",INDEX(Einheiten!$B$4:$B$27,MATCH($B214,Einheiten!$A$4:$A$27,0)))),"")</f>
        <v/>
      </c>
      <c r="B214" s="27"/>
      <c r="C214" s="28" t="str">
        <f aca="false">IFERROR(IF($D214="","",INDEX(Übungen!$B$4:$B$17,MATCH($D214,Übungen!$A$4:$A$17,0))),"")</f>
        <v/>
      </c>
      <c r="D214" s="19"/>
      <c r="E214" s="17"/>
      <c r="F214" s="20"/>
      <c r="G214" s="21"/>
      <c r="H214" s="20"/>
      <c r="I214" s="22" t="str">
        <f aca="false">IF(AND(ISNUMBER($F214),ISNUMBER($G214),$E214&lt;&gt;"R"),$F214*$G214,"")</f>
        <v/>
      </c>
      <c r="J214" s="29" t="str">
        <f aca="false">IF(AND($E214="A",ISNUMBER($F214),ISNUMBER($G214)),$F214*(1+$G214/30),"")</f>
        <v/>
      </c>
      <c r="K214" s="19"/>
      <c r="L214" s="19"/>
    </row>
    <row r="215" customFormat="false" ht="15.75" hidden="false" customHeight="true" outlineLevel="0" collapsed="false">
      <c r="A215" s="26" t="str">
        <f aca="false">IFERROR(IF($B215="","",IF(INDEX(Einheiten!$B$4:$B$27,MATCH($B215,Einheiten!$A$4:$A$27,0))=0,"",INDEX(Einheiten!$B$4:$B$27,MATCH($B215,Einheiten!$A$4:$A$27,0)))),"")</f>
        <v/>
      </c>
      <c r="B215" s="27"/>
      <c r="C215" s="28" t="str">
        <f aca="false">IFERROR(IF($D215="","",INDEX(Übungen!$B$4:$B$17,MATCH($D215,Übungen!$A$4:$A$17,0))),"")</f>
        <v/>
      </c>
      <c r="D215" s="19"/>
      <c r="E215" s="17"/>
      <c r="F215" s="20"/>
      <c r="G215" s="21"/>
      <c r="H215" s="20"/>
      <c r="I215" s="22" t="str">
        <f aca="false">IF(AND(ISNUMBER($F215),ISNUMBER($G215),$E215&lt;&gt;"R"),$F215*$G215,"")</f>
        <v/>
      </c>
      <c r="J215" s="29" t="str">
        <f aca="false">IF(AND($E215="A",ISNUMBER($F215),ISNUMBER($G215)),$F215*(1+$G215/30),"")</f>
        <v/>
      </c>
      <c r="K215" s="19"/>
      <c r="L215" s="19"/>
    </row>
    <row r="216" customFormat="false" ht="15.75" hidden="false" customHeight="true" outlineLevel="0" collapsed="false">
      <c r="A216" s="26" t="str">
        <f aca="false">IFERROR(IF($B216="","",IF(INDEX(Einheiten!$B$4:$B$27,MATCH($B216,Einheiten!$A$4:$A$27,0))=0,"",INDEX(Einheiten!$B$4:$B$27,MATCH($B216,Einheiten!$A$4:$A$27,0)))),"")</f>
        <v/>
      </c>
      <c r="B216" s="27"/>
      <c r="C216" s="28" t="str">
        <f aca="false">IFERROR(IF($D216="","",INDEX(Übungen!$B$4:$B$17,MATCH($D216,Übungen!$A$4:$A$17,0))),"")</f>
        <v/>
      </c>
      <c r="D216" s="19"/>
      <c r="E216" s="17"/>
      <c r="F216" s="20"/>
      <c r="G216" s="21"/>
      <c r="H216" s="20"/>
      <c r="I216" s="22" t="str">
        <f aca="false">IF(AND(ISNUMBER($F216),ISNUMBER($G216),$E216&lt;&gt;"R"),$F216*$G216,"")</f>
        <v/>
      </c>
      <c r="J216" s="29" t="str">
        <f aca="false">IF(AND($E216="A",ISNUMBER($F216),ISNUMBER($G216)),$F216*(1+$G216/30),"")</f>
        <v/>
      </c>
      <c r="K216" s="19"/>
      <c r="L216" s="19"/>
    </row>
    <row r="217" customFormat="false" ht="15.75" hidden="false" customHeight="true" outlineLevel="0" collapsed="false">
      <c r="A217" s="26" t="str">
        <f aca="false">IFERROR(IF($B217="","",IF(INDEX(Einheiten!$B$4:$B$27,MATCH($B217,Einheiten!$A$4:$A$27,0))=0,"",INDEX(Einheiten!$B$4:$B$27,MATCH($B217,Einheiten!$A$4:$A$27,0)))),"")</f>
        <v/>
      </c>
      <c r="B217" s="27"/>
      <c r="C217" s="28" t="str">
        <f aca="false">IFERROR(IF($D217="","",INDEX(Übungen!$B$4:$B$17,MATCH($D217,Übungen!$A$4:$A$17,0))),"")</f>
        <v/>
      </c>
      <c r="D217" s="19"/>
      <c r="E217" s="17"/>
      <c r="F217" s="20"/>
      <c r="G217" s="21"/>
      <c r="H217" s="20"/>
      <c r="I217" s="22" t="str">
        <f aca="false">IF(AND(ISNUMBER($F217),ISNUMBER($G217),$E217&lt;&gt;"R"),$F217*$G217,"")</f>
        <v/>
      </c>
      <c r="J217" s="29" t="str">
        <f aca="false">IF(AND($E217="A",ISNUMBER($F217),ISNUMBER($G217)),$F217*(1+$G217/30),"")</f>
        <v/>
      </c>
      <c r="K217" s="19"/>
      <c r="L217" s="19"/>
    </row>
    <row r="218" customFormat="false" ht="15.75" hidden="false" customHeight="true" outlineLevel="0" collapsed="false">
      <c r="A218" s="26" t="str">
        <f aca="false">IFERROR(IF($B218="","",IF(INDEX(Einheiten!$B$4:$B$27,MATCH($B218,Einheiten!$A$4:$A$27,0))=0,"",INDEX(Einheiten!$B$4:$B$27,MATCH($B218,Einheiten!$A$4:$A$27,0)))),"")</f>
        <v/>
      </c>
      <c r="B218" s="27"/>
      <c r="C218" s="28" t="str">
        <f aca="false">IFERROR(IF($D218="","",INDEX(Übungen!$B$4:$B$17,MATCH($D218,Übungen!$A$4:$A$17,0))),"")</f>
        <v/>
      </c>
      <c r="D218" s="19"/>
      <c r="E218" s="17"/>
      <c r="F218" s="20"/>
      <c r="G218" s="21"/>
      <c r="H218" s="20"/>
      <c r="I218" s="22" t="str">
        <f aca="false">IF(AND(ISNUMBER($F218),ISNUMBER($G218),$E218&lt;&gt;"R"),$F218*$G218,"")</f>
        <v/>
      </c>
      <c r="J218" s="29" t="str">
        <f aca="false">IF(AND($E218="A",ISNUMBER($F218),ISNUMBER($G218)),$F218*(1+$G218/30),"")</f>
        <v/>
      </c>
      <c r="K218" s="19"/>
      <c r="L218" s="19"/>
    </row>
    <row r="219" customFormat="false" ht="15.75" hidden="false" customHeight="true" outlineLevel="0" collapsed="false">
      <c r="A219" s="26" t="str">
        <f aca="false">IFERROR(IF($B219="","",IF(INDEX(Einheiten!$B$4:$B$27,MATCH($B219,Einheiten!$A$4:$A$27,0))=0,"",INDEX(Einheiten!$B$4:$B$27,MATCH($B219,Einheiten!$A$4:$A$27,0)))),"")</f>
        <v/>
      </c>
      <c r="B219" s="27"/>
      <c r="C219" s="28" t="str">
        <f aca="false">IFERROR(IF($D219="","",INDEX(Übungen!$B$4:$B$17,MATCH($D219,Übungen!$A$4:$A$17,0))),"")</f>
        <v/>
      </c>
      <c r="D219" s="19"/>
      <c r="E219" s="17"/>
      <c r="F219" s="20"/>
      <c r="G219" s="21"/>
      <c r="H219" s="20"/>
      <c r="I219" s="22" t="str">
        <f aca="false">IF(AND(ISNUMBER($F219),ISNUMBER($G219),$E219&lt;&gt;"R"),$F219*$G219,"")</f>
        <v/>
      </c>
      <c r="J219" s="29" t="str">
        <f aca="false">IF(AND($E219="A",ISNUMBER($F219),ISNUMBER($G219)),$F219*(1+$G219/30),"")</f>
        <v/>
      </c>
      <c r="K219" s="19"/>
      <c r="L219" s="19"/>
    </row>
    <row r="220" customFormat="false" ht="15.75" hidden="false" customHeight="true" outlineLevel="0" collapsed="false">
      <c r="A220" s="26" t="str">
        <f aca="false">IFERROR(IF($B220="","",IF(INDEX(Einheiten!$B$4:$B$27,MATCH($B220,Einheiten!$A$4:$A$27,0))=0,"",INDEX(Einheiten!$B$4:$B$27,MATCH($B220,Einheiten!$A$4:$A$27,0)))),"")</f>
        <v/>
      </c>
      <c r="B220" s="27"/>
      <c r="C220" s="28" t="str">
        <f aca="false">IFERROR(IF($D220="","",INDEX(Übungen!$B$4:$B$17,MATCH($D220,Übungen!$A$4:$A$17,0))),"")</f>
        <v/>
      </c>
      <c r="D220" s="19"/>
      <c r="E220" s="17"/>
      <c r="F220" s="20"/>
      <c r="G220" s="21"/>
      <c r="H220" s="20"/>
      <c r="I220" s="22" t="str">
        <f aca="false">IF(AND(ISNUMBER($F220),ISNUMBER($G220),$E220&lt;&gt;"R"),$F220*$G220,"")</f>
        <v/>
      </c>
      <c r="J220" s="29" t="str">
        <f aca="false">IF(AND($E220="A",ISNUMBER($F220),ISNUMBER($G220)),$F220*(1+$G220/30),"")</f>
        <v/>
      </c>
      <c r="K220" s="19"/>
      <c r="L220" s="19"/>
    </row>
    <row r="221" customFormat="false" ht="15.75" hidden="false" customHeight="true" outlineLevel="0" collapsed="false">
      <c r="A221" s="26" t="str">
        <f aca="false">IFERROR(IF($B221="","",IF(INDEX(Einheiten!$B$4:$B$27,MATCH($B221,Einheiten!$A$4:$A$27,0))=0,"",INDEX(Einheiten!$B$4:$B$27,MATCH($B221,Einheiten!$A$4:$A$27,0)))),"")</f>
        <v/>
      </c>
      <c r="B221" s="27"/>
      <c r="C221" s="28" t="str">
        <f aca="false">IFERROR(IF($D221="","",INDEX(Übungen!$B$4:$B$17,MATCH($D221,Übungen!$A$4:$A$17,0))),"")</f>
        <v/>
      </c>
      <c r="D221" s="19"/>
      <c r="E221" s="17"/>
      <c r="F221" s="20"/>
      <c r="G221" s="21"/>
      <c r="H221" s="20"/>
      <c r="I221" s="22" t="str">
        <f aca="false">IF(AND(ISNUMBER($F221),ISNUMBER($G221),$E221&lt;&gt;"R"),$F221*$G221,"")</f>
        <v/>
      </c>
      <c r="J221" s="29" t="str">
        <f aca="false">IF(AND($E221="A",ISNUMBER($F221),ISNUMBER($G221)),$F221*(1+$G221/30),"")</f>
        <v/>
      </c>
      <c r="K221" s="19"/>
      <c r="L221" s="19"/>
    </row>
    <row r="222" customFormat="false" ht="15.75" hidden="false" customHeight="true" outlineLevel="0" collapsed="false">
      <c r="A222" s="26" t="str">
        <f aca="false">IFERROR(IF($B222="","",IF(INDEX(Einheiten!$B$4:$B$27,MATCH($B222,Einheiten!$A$4:$A$27,0))=0,"",INDEX(Einheiten!$B$4:$B$27,MATCH($B222,Einheiten!$A$4:$A$27,0)))),"")</f>
        <v/>
      </c>
      <c r="B222" s="27"/>
      <c r="C222" s="28" t="str">
        <f aca="false">IFERROR(IF($D222="","",INDEX(Übungen!$B$4:$B$17,MATCH($D222,Übungen!$A$4:$A$17,0))),"")</f>
        <v/>
      </c>
      <c r="D222" s="19"/>
      <c r="E222" s="17"/>
      <c r="F222" s="20"/>
      <c r="G222" s="21"/>
      <c r="H222" s="20"/>
      <c r="I222" s="22" t="str">
        <f aca="false">IF(AND(ISNUMBER($F222),ISNUMBER($G222),$E222&lt;&gt;"R"),$F222*$G222,"")</f>
        <v/>
      </c>
      <c r="J222" s="29" t="str">
        <f aca="false">IF(AND($E222="A",ISNUMBER($F222),ISNUMBER($G222)),$F222*(1+$G222/30),"")</f>
        <v/>
      </c>
      <c r="K222" s="19"/>
      <c r="L222" s="19"/>
    </row>
    <row r="223" customFormat="false" ht="15.75" hidden="false" customHeight="true" outlineLevel="0" collapsed="false">
      <c r="A223" s="26" t="str">
        <f aca="false">IFERROR(IF($B223="","",IF(INDEX(Einheiten!$B$4:$B$27,MATCH($B223,Einheiten!$A$4:$A$27,0))=0,"",INDEX(Einheiten!$B$4:$B$27,MATCH($B223,Einheiten!$A$4:$A$27,0)))),"")</f>
        <v/>
      </c>
      <c r="B223" s="27"/>
      <c r="C223" s="28" t="str">
        <f aca="false">IFERROR(IF($D223="","",INDEX(Übungen!$B$4:$B$17,MATCH($D223,Übungen!$A$4:$A$17,0))),"")</f>
        <v/>
      </c>
      <c r="D223" s="19"/>
      <c r="E223" s="17"/>
      <c r="F223" s="20"/>
      <c r="G223" s="21"/>
      <c r="H223" s="20"/>
      <c r="I223" s="22" t="str">
        <f aca="false">IF(AND(ISNUMBER($F223),ISNUMBER($G223),$E223&lt;&gt;"R"),$F223*$G223,"")</f>
        <v/>
      </c>
      <c r="J223" s="29" t="str">
        <f aca="false">IF(AND($E223="A",ISNUMBER($F223),ISNUMBER($G223)),$F223*(1+$G223/30),"")</f>
        <v/>
      </c>
      <c r="K223" s="19"/>
      <c r="L223" s="19"/>
    </row>
    <row r="224" customFormat="false" ht="15.75" hidden="false" customHeight="true" outlineLevel="0" collapsed="false">
      <c r="A224" s="26" t="str">
        <f aca="false">IFERROR(IF($B224="","",IF(INDEX(Einheiten!$B$4:$B$27,MATCH($B224,Einheiten!$A$4:$A$27,0))=0,"",INDEX(Einheiten!$B$4:$B$27,MATCH($B224,Einheiten!$A$4:$A$27,0)))),"")</f>
        <v/>
      </c>
      <c r="B224" s="27"/>
      <c r="C224" s="28" t="str">
        <f aca="false">IFERROR(IF($D224="","",INDEX(Übungen!$B$4:$B$17,MATCH($D224,Übungen!$A$4:$A$17,0))),"")</f>
        <v/>
      </c>
      <c r="D224" s="19"/>
      <c r="E224" s="17"/>
      <c r="F224" s="20"/>
      <c r="G224" s="21"/>
      <c r="H224" s="20"/>
      <c r="I224" s="22" t="str">
        <f aca="false">IF(AND(ISNUMBER($F224),ISNUMBER($G224),$E224&lt;&gt;"R"),$F224*$G224,"")</f>
        <v/>
      </c>
      <c r="J224" s="29" t="str">
        <f aca="false">IF(AND($E224="A",ISNUMBER($F224),ISNUMBER($G224)),$F224*(1+$G224/30),"")</f>
        <v/>
      </c>
      <c r="K224" s="19"/>
      <c r="L224" s="19"/>
    </row>
    <row r="225" customFormat="false" ht="15.75" hidden="false" customHeight="true" outlineLevel="0" collapsed="false">
      <c r="A225" s="26" t="str">
        <f aca="false">IFERROR(IF($B225="","",IF(INDEX(Einheiten!$B$4:$B$27,MATCH($B225,Einheiten!$A$4:$A$27,0))=0,"",INDEX(Einheiten!$B$4:$B$27,MATCH($B225,Einheiten!$A$4:$A$27,0)))),"")</f>
        <v/>
      </c>
      <c r="B225" s="27"/>
      <c r="C225" s="28" t="str">
        <f aca="false">IFERROR(IF($D225="","",INDEX(Übungen!$B$4:$B$17,MATCH($D225,Übungen!$A$4:$A$17,0))),"")</f>
        <v/>
      </c>
      <c r="D225" s="19"/>
      <c r="E225" s="17"/>
      <c r="F225" s="20"/>
      <c r="G225" s="21"/>
      <c r="H225" s="20"/>
      <c r="I225" s="22" t="str">
        <f aca="false">IF(AND(ISNUMBER($F225),ISNUMBER($G225),$E225&lt;&gt;"R"),$F225*$G225,"")</f>
        <v/>
      </c>
      <c r="J225" s="29" t="str">
        <f aca="false">IF(AND($E225="A",ISNUMBER($F225),ISNUMBER($G225)),$F225*(1+$G225/30),"")</f>
        <v/>
      </c>
      <c r="K225" s="19"/>
      <c r="L225" s="19"/>
    </row>
    <row r="226" customFormat="false" ht="15.75" hidden="false" customHeight="true" outlineLevel="0" collapsed="false">
      <c r="A226" s="26" t="str">
        <f aca="false">IFERROR(IF($B226="","",IF(INDEX(Einheiten!$B$4:$B$27,MATCH($B226,Einheiten!$A$4:$A$27,0))=0,"",INDEX(Einheiten!$B$4:$B$27,MATCH($B226,Einheiten!$A$4:$A$27,0)))),"")</f>
        <v/>
      </c>
      <c r="B226" s="27"/>
      <c r="C226" s="28" t="str">
        <f aca="false">IFERROR(IF($D226="","",INDEX(Übungen!$B$4:$B$17,MATCH($D226,Übungen!$A$4:$A$17,0))),"")</f>
        <v/>
      </c>
      <c r="D226" s="19"/>
      <c r="E226" s="17"/>
      <c r="F226" s="20"/>
      <c r="G226" s="21"/>
      <c r="H226" s="20"/>
      <c r="I226" s="22" t="str">
        <f aca="false">IF(AND(ISNUMBER($F226),ISNUMBER($G226),$E226&lt;&gt;"R"),$F226*$G226,"")</f>
        <v/>
      </c>
      <c r="J226" s="29" t="str">
        <f aca="false">IF(AND($E226="A",ISNUMBER($F226),ISNUMBER($G226)),$F226*(1+$G226/30),"")</f>
        <v/>
      </c>
      <c r="K226" s="19"/>
      <c r="L226" s="19"/>
    </row>
    <row r="227" customFormat="false" ht="15.75" hidden="false" customHeight="true" outlineLevel="0" collapsed="false">
      <c r="A227" s="26" t="str">
        <f aca="false">IFERROR(IF($B227="","",IF(INDEX(Einheiten!$B$4:$B$27,MATCH($B227,Einheiten!$A$4:$A$27,0))=0,"",INDEX(Einheiten!$B$4:$B$27,MATCH($B227,Einheiten!$A$4:$A$27,0)))),"")</f>
        <v/>
      </c>
      <c r="B227" s="27"/>
      <c r="C227" s="28" t="str">
        <f aca="false">IFERROR(IF($D227="","",INDEX(Übungen!$B$4:$B$17,MATCH($D227,Übungen!$A$4:$A$17,0))),"")</f>
        <v/>
      </c>
      <c r="D227" s="19"/>
      <c r="E227" s="17"/>
      <c r="F227" s="20"/>
      <c r="G227" s="21"/>
      <c r="H227" s="20"/>
      <c r="I227" s="22" t="str">
        <f aca="false">IF(AND(ISNUMBER($F227),ISNUMBER($G227),$E227&lt;&gt;"R"),$F227*$G227,"")</f>
        <v/>
      </c>
      <c r="J227" s="29" t="str">
        <f aca="false">IF(AND($E227="A",ISNUMBER($F227),ISNUMBER($G227)),$F227*(1+$G227/30),"")</f>
        <v/>
      </c>
      <c r="K227" s="19"/>
      <c r="L227" s="19"/>
    </row>
    <row r="228" customFormat="false" ht="15.75" hidden="false" customHeight="true" outlineLevel="0" collapsed="false">
      <c r="A228" s="26" t="str">
        <f aca="false">IFERROR(IF($B228="","",IF(INDEX(Einheiten!$B$4:$B$27,MATCH($B228,Einheiten!$A$4:$A$27,0))=0,"",INDEX(Einheiten!$B$4:$B$27,MATCH($B228,Einheiten!$A$4:$A$27,0)))),"")</f>
        <v/>
      </c>
      <c r="B228" s="27"/>
      <c r="C228" s="28" t="str">
        <f aca="false">IFERROR(IF($D228="","",INDEX(Übungen!$B$4:$B$17,MATCH($D228,Übungen!$A$4:$A$17,0))),"")</f>
        <v/>
      </c>
      <c r="D228" s="19"/>
      <c r="E228" s="17"/>
      <c r="F228" s="20"/>
      <c r="G228" s="21"/>
      <c r="H228" s="20"/>
      <c r="I228" s="22" t="str">
        <f aca="false">IF(AND(ISNUMBER($F228),ISNUMBER($G228),$E228&lt;&gt;"R"),$F228*$G228,"")</f>
        <v/>
      </c>
      <c r="J228" s="29" t="str">
        <f aca="false">IF(AND($E228="A",ISNUMBER($F228),ISNUMBER($G228)),$F228*(1+$G228/30),"")</f>
        <v/>
      </c>
      <c r="K228" s="19"/>
      <c r="L228" s="19"/>
    </row>
    <row r="229" customFormat="false" ht="15.75" hidden="false" customHeight="true" outlineLevel="0" collapsed="false">
      <c r="A229" s="26" t="str">
        <f aca="false">IFERROR(IF($B229="","",IF(INDEX(Einheiten!$B$4:$B$27,MATCH($B229,Einheiten!$A$4:$A$27,0))=0,"",INDEX(Einheiten!$B$4:$B$27,MATCH($B229,Einheiten!$A$4:$A$27,0)))),"")</f>
        <v/>
      </c>
      <c r="B229" s="27"/>
      <c r="C229" s="28" t="str">
        <f aca="false">IFERROR(IF($D229="","",INDEX(Übungen!$B$4:$B$17,MATCH($D229,Übungen!$A$4:$A$17,0))),"")</f>
        <v/>
      </c>
      <c r="D229" s="19"/>
      <c r="E229" s="17"/>
      <c r="F229" s="20"/>
      <c r="G229" s="21"/>
      <c r="H229" s="20"/>
      <c r="I229" s="22" t="str">
        <f aca="false">IF(AND(ISNUMBER($F229),ISNUMBER($G229),$E229&lt;&gt;"R"),$F229*$G229,"")</f>
        <v/>
      </c>
      <c r="J229" s="29" t="str">
        <f aca="false">IF(AND($E229="A",ISNUMBER($F229),ISNUMBER($G229)),$F229*(1+$G229/30),"")</f>
        <v/>
      </c>
      <c r="K229" s="19"/>
      <c r="L229" s="19"/>
    </row>
    <row r="230" customFormat="false" ht="15.75" hidden="false" customHeight="true" outlineLevel="0" collapsed="false">
      <c r="A230" s="26" t="str">
        <f aca="false">IFERROR(IF($B230="","",IF(INDEX(Einheiten!$B$4:$B$27,MATCH($B230,Einheiten!$A$4:$A$27,0))=0,"",INDEX(Einheiten!$B$4:$B$27,MATCH($B230,Einheiten!$A$4:$A$27,0)))),"")</f>
        <v/>
      </c>
      <c r="B230" s="27"/>
      <c r="C230" s="28" t="str">
        <f aca="false">IFERROR(IF($D230="","",INDEX(Übungen!$B$4:$B$17,MATCH($D230,Übungen!$A$4:$A$17,0))),"")</f>
        <v/>
      </c>
      <c r="D230" s="19"/>
      <c r="E230" s="17"/>
      <c r="F230" s="20"/>
      <c r="G230" s="21"/>
      <c r="H230" s="20"/>
      <c r="I230" s="22" t="str">
        <f aca="false">IF(AND(ISNUMBER($F230),ISNUMBER($G230),$E230&lt;&gt;"R"),$F230*$G230,"")</f>
        <v/>
      </c>
      <c r="J230" s="29" t="str">
        <f aca="false">IF(AND($E230="A",ISNUMBER($F230),ISNUMBER($G230)),$F230*(1+$G230/30),"")</f>
        <v/>
      </c>
      <c r="K230" s="19"/>
      <c r="L230" s="19"/>
    </row>
    <row r="231" customFormat="false" ht="15.75" hidden="false" customHeight="true" outlineLevel="0" collapsed="false">
      <c r="A231" s="26" t="str">
        <f aca="false">IFERROR(IF($B231="","",IF(INDEX(Einheiten!$B$4:$B$27,MATCH($B231,Einheiten!$A$4:$A$27,0))=0,"",INDEX(Einheiten!$B$4:$B$27,MATCH($B231,Einheiten!$A$4:$A$27,0)))),"")</f>
        <v/>
      </c>
      <c r="B231" s="27"/>
      <c r="C231" s="28" t="str">
        <f aca="false">IFERROR(IF($D231="","",INDEX(Übungen!$B$4:$B$17,MATCH($D231,Übungen!$A$4:$A$17,0))),"")</f>
        <v/>
      </c>
      <c r="D231" s="19"/>
      <c r="E231" s="17"/>
      <c r="F231" s="20"/>
      <c r="G231" s="21"/>
      <c r="H231" s="20"/>
      <c r="I231" s="22" t="str">
        <f aca="false">IF(AND(ISNUMBER($F231),ISNUMBER($G231),$E231&lt;&gt;"R"),$F231*$G231,"")</f>
        <v/>
      </c>
      <c r="J231" s="29" t="str">
        <f aca="false">IF(AND($E231="A",ISNUMBER($F231),ISNUMBER($G231)),$F231*(1+$G231/30),"")</f>
        <v/>
      </c>
      <c r="K231" s="19"/>
      <c r="L231" s="19"/>
    </row>
    <row r="232" customFormat="false" ht="15.75" hidden="false" customHeight="true" outlineLevel="0" collapsed="false">
      <c r="A232" s="26" t="str">
        <f aca="false">IFERROR(IF($B232="","",IF(INDEX(Einheiten!$B$4:$B$27,MATCH($B232,Einheiten!$A$4:$A$27,0))=0,"",INDEX(Einheiten!$B$4:$B$27,MATCH($B232,Einheiten!$A$4:$A$27,0)))),"")</f>
        <v/>
      </c>
      <c r="B232" s="27"/>
      <c r="C232" s="28" t="str">
        <f aca="false">IFERROR(IF($D232="","",INDEX(Übungen!$B$4:$B$17,MATCH($D232,Übungen!$A$4:$A$17,0))),"")</f>
        <v/>
      </c>
      <c r="D232" s="19"/>
      <c r="E232" s="17"/>
      <c r="F232" s="20"/>
      <c r="G232" s="21"/>
      <c r="H232" s="20"/>
      <c r="I232" s="22" t="str">
        <f aca="false">IF(AND(ISNUMBER($F232),ISNUMBER($G232),$E232&lt;&gt;"R"),$F232*$G232,"")</f>
        <v/>
      </c>
      <c r="J232" s="29" t="str">
        <f aca="false">IF(AND($E232="A",ISNUMBER($F232),ISNUMBER($G232)),$F232*(1+$G232/30),"")</f>
        <v/>
      </c>
      <c r="K232" s="19"/>
      <c r="L232" s="19"/>
    </row>
    <row r="233" customFormat="false" ht="15.75" hidden="false" customHeight="true" outlineLevel="0" collapsed="false">
      <c r="A233" s="26" t="str">
        <f aca="false">IFERROR(IF($B233="","",IF(INDEX(Einheiten!$B$4:$B$27,MATCH($B233,Einheiten!$A$4:$A$27,0))=0,"",INDEX(Einheiten!$B$4:$B$27,MATCH($B233,Einheiten!$A$4:$A$27,0)))),"")</f>
        <v/>
      </c>
      <c r="B233" s="27"/>
      <c r="C233" s="28" t="str">
        <f aca="false">IFERROR(IF($D233="","",INDEX(Übungen!$B$4:$B$17,MATCH($D233,Übungen!$A$4:$A$17,0))),"")</f>
        <v/>
      </c>
      <c r="D233" s="19"/>
      <c r="E233" s="17"/>
      <c r="F233" s="20"/>
      <c r="G233" s="21"/>
      <c r="H233" s="20"/>
      <c r="I233" s="22" t="str">
        <f aca="false">IF(AND(ISNUMBER($F233),ISNUMBER($G233),$E233&lt;&gt;"R"),$F233*$G233,"")</f>
        <v/>
      </c>
      <c r="J233" s="29" t="str">
        <f aca="false">IF(AND($E233="A",ISNUMBER($F233),ISNUMBER($G233)),$F233*(1+$G233/30),"")</f>
        <v/>
      </c>
      <c r="K233" s="19"/>
      <c r="L233" s="19"/>
    </row>
    <row r="234" customFormat="false" ht="15.75" hidden="false" customHeight="true" outlineLevel="0" collapsed="false">
      <c r="A234" s="26" t="str">
        <f aca="false">IFERROR(IF($B234="","",IF(INDEX(Einheiten!$B$4:$B$27,MATCH($B234,Einheiten!$A$4:$A$27,0))=0,"",INDEX(Einheiten!$B$4:$B$27,MATCH($B234,Einheiten!$A$4:$A$27,0)))),"")</f>
        <v/>
      </c>
      <c r="B234" s="27"/>
      <c r="C234" s="28" t="str">
        <f aca="false">IFERROR(IF($D234="","",INDEX(Übungen!$B$4:$B$17,MATCH($D234,Übungen!$A$4:$A$17,0))),"")</f>
        <v/>
      </c>
      <c r="D234" s="19"/>
      <c r="E234" s="17"/>
      <c r="F234" s="20"/>
      <c r="G234" s="21"/>
      <c r="H234" s="20"/>
      <c r="I234" s="22" t="str">
        <f aca="false">IF(AND(ISNUMBER($F234),ISNUMBER($G234),$E234&lt;&gt;"R"),$F234*$G234,"")</f>
        <v/>
      </c>
      <c r="J234" s="29" t="str">
        <f aca="false">IF(AND($E234="A",ISNUMBER($F234),ISNUMBER($G234)),$F234*(1+$G234/30),"")</f>
        <v/>
      </c>
      <c r="K234" s="19"/>
      <c r="L234" s="19"/>
    </row>
    <row r="235" customFormat="false" ht="15.75" hidden="false" customHeight="true" outlineLevel="0" collapsed="false">
      <c r="A235" s="26" t="str">
        <f aca="false">IFERROR(IF($B235="","",IF(INDEX(Einheiten!$B$4:$B$27,MATCH($B235,Einheiten!$A$4:$A$27,0))=0,"",INDEX(Einheiten!$B$4:$B$27,MATCH($B235,Einheiten!$A$4:$A$27,0)))),"")</f>
        <v/>
      </c>
      <c r="B235" s="27"/>
      <c r="C235" s="28" t="str">
        <f aca="false">IFERROR(IF($D235="","",INDEX(Übungen!$B$4:$B$17,MATCH($D235,Übungen!$A$4:$A$17,0))),"")</f>
        <v/>
      </c>
      <c r="D235" s="19"/>
      <c r="E235" s="17"/>
      <c r="F235" s="20"/>
      <c r="G235" s="21"/>
      <c r="H235" s="20"/>
      <c r="I235" s="22" t="str">
        <f aca="false">IF(AND(ISNUMBER($F235),ISNUMBER($G235),$E235&lt;&gt;"R"),$F235*$G235,"")</f>
        <v/>
      </c>
      <c r="J235" s="29" t="str">
        <f aca="false">IF(AND($E235="A",ISNUMBER($F235),ISNUMBER($G235)),$F235*(1+$G235/30),"")</f>
        <v/>
      </c>
      <c r="K235" s="19"/>
      <c r="L235" s="19"/>
    </row>
    <row r="236" customFormat="false" ht="15.75" hidden="false" customHeight="true" outlineLevel="0" collapsed="false">
      <c r="A236" s="26" t="str">
        <f aca="false">IFERROR(IF($B236="","",IF(INDEX(Einheiten!$B$4:$B$27,MATCH($B236,Einheiten!$A$4:$A$27,0))=0,"",INDEX(Einheiten!$B$4:$B$27,MATCH($B236,Einheiten!$A$4:$A$27,0)))),"")</f>
        <v/>
      </c>
      <c r="B236" s="27"/>
      <c r="C236" s="28" t="str">
        <f aca="false">IFERROR(IF($D236="","",INDEX(Übungen!$B$4:$B$17,MATCH($D236,Übungen!$A$4:$A$17,0))),"")</f>
        <v/>
      </c>
      <c r="D236" s="19"/>
      <c r="E236" s="17"/>
      <c r="F236" s="20"/>
      <c r="G236" s="21"/>
      <c r="H236" s="20"/>
      <c r="I236" s="22" t="str">
        <f aca="false">IF(AND(ISNUMBER($F236),ISNUMBER($G236),$E236&lt;&gt;"R"),$F236*$G236,"")</f>
        <v/>
      </c>
      <c r="J236" s="29" t="str">
        <f aca="false">IF(AND($E236="A",ISNUMBER($F236),ISNUMBER($G236)),$F236*(1+$G236/30),"")</f>
        <v/>
      </c>
      <c r="K236" s="19"/>
      <c r="L236" s="19"/>
    </row>
    <row r="237" customFormat="false" ht="15.75" hidden="false" customHeight="true" outlineLevel="0" collapsed="false">
      <c r="A237" s="26" t="str">
        <f aca="false">IFERROR(IF($B237="","",IF(INDEX(Einheiten!$B$4:$B$27,MATCH($B237,Einheiten!$A$4:$A$27,0))=0,"",INDEX(Einheiten!$B$4:$B$27,MATCH($B237,Einheiten!$A$4:$A$27,0)))),"")</f>
        <v/>
      </c>
      <c r="B237" s="27"/>
      <c r="C237" s="28" t="str">
        <f aca="false">IFERROR(IF($D237="","",INDEX(Übungen!$B$4:$B$17,MATCH($D237,Übungen!$A$4:$A$17,0))),"")</f>
        <v/>
      </c>
      <c r="D237" s="19"/>
      <c r="E237" s="17"/>
      <c r="F237" s="20"/>
      <c r="G237" s="21"/>
      <c r="H237" s="20"/>
      <c r="I237" s="22" t="str">
        <f aca="false">IF(AND(ISNUMBER($F237),ISNUMBER($G237),$E237&lt;&gt;"R"),$F237*$G237,"")</f>
        <v/>
      </c>
      <c r="J237" s="29" t="str">
        <f aca="false">IF(AND($E237="A",ISNUMBER($F237),ISNUMBER($G237)),$F237*(1+$G237/30),"")</f>
        <v/>
      </c>
      <c r="K237" s="19"/>
      <c r="L237" s="19"/>
    </row>
    <row r="238" customFormat="false" ht="15.75" hidden="false" customHeight="true" outlineLevel="0" collapsed="false">
      <c r="A238" s="26" t="str">
        <f aca="false">IFERROR(IF($B238="","",IF(INDEX(Einheiten!$B$4:$B$27,MATCH($B238,Einheiten!$A$4:$A$27,0))=0,"",INDEX(Einheiten!$B$4:$B$27,MATCH($B238,Einheiten!$A$4:$A$27,0)))),"")</f>
        <v/>
      </c>
      <c r="B238" s="27"/>
      <c r="C238" s="28" t="str">
        <f aca="false">IFERROR(IF($D238="","",INDEX(Übungen!$B$4:$B$17,MATCH($D238,Übungen!$A$4:$A$17,0))),"")</f>
        <v/>
      </c>
      <c r="D238" s="19"/>
      <c r="E238" s="17"/>
      <c r="F238" s="20"/>
      <c r="G238" s="21"/>
      <c r="H238" s="20"/>
      <c r="I238" s="22" t="str">
        <f aca="false">IF(AND(ISNUMBER($F238),ISNUMBER($G238),$E238&lt;&gt;"R"),$F238*$G238,"")</f>
        <v/>
      </c>
      <c r="J238" s="29" t="str">
        <f aca="false">IF(AND($E238="A",ISNUMBER($F238),ISNUMBER($G238)),$F238*(1+$G238/30),"")</f>
        <v/>
      </c>
      <c r="K238" s="19"/>
      <c r="L238" s="19"/>
    </row>
    <row r="239" customFormat="false" ht="15.75" hidden="false" customHeight="true" outlineLevel="0" collapsed="false">
      <c r="A239" s="26" t="str">
        <f aca="false">IFERROR(IF($B239="","",IF(INDEX(Einheiten!$B$4:$B$27,MATCH($B239,Einheiten!$A$4:$A$27,0))=0,"",INDEX(Einheiten!$B$4:$B$27,MATCH($B239,Einheiten!$A$4:$A$27,0)))),"")</f>
        <v/>
      </c>
      <c r="B239" s="27"/>
      <c r="C239" s="28" t="str">
        <f aca="false">IFERROR(IF($D239="","",INDEX(Übungen!$B$4:$B$17,MATCH($D239,Übungen!$A$4:$A$17,0))),"")</f>
        <v/>
      </c>
      <c r="D239" s="19"/>
      <c r="E239" s="17"/>
      <c r="F239" s="20"/>
      <c r="G239" s="21"/>
      <c r="H239" s="20"/>
      <c r="I239" s="22" t="str">
        <f aca="false">IF(AND(ISNUMBER($F239),ISNUMBER($G239),$E239&lt;&gt;"R"),$F239*$G239,"")</f>
        <v/>
      </c>
      <c r="J239" s="29" t="str">
        <f aca="false">IF(AND($E239="A",ISNUMBER($F239),ISNUMBER($G239)),$F239*(1+$G239/30),"")</f>
        <v/>
      </c>
      <c r="K239" s="19"/>
      <c r="L239" s="19"/>
    </row>
    <row r="240" customFormat="false" ht="15.75" hidden="false" customHeight="true" outlineLevel="0" collapsed="false">
      <c r="A240" s="26" t="str">
        <f aca="false">IFERROR(IF($B240="","",IF(INDEX(Einheiten!$B$4:$B$27,MATCH($B240,Einheiten!$A$4:$A$27,0))=0,"",INDEX(Einheiten!$B$4:$B$27,MATCH($B240,Einheiten!$A$4:$A$27,0)))),"")</f>
        <v/>
      </c>
      <c r="B240" s="27"/>
      <c r="C240" s="28" t="str">
        <f aca="false">IFERROR(IF($D240="","",INDEX(Übungen!$B$4:$B$17,MATCH($D240,Übungen!$A$4:$A$17,0))),"")</f>
        <v/>
      </c>
      <c r="D240" s="19"/>
      <c r="E240" s="17"/>
      <c r="F240" s="20"/>
      <c r="G240" s="21"/>
      <c r="H240" s="20"/>
      <c r="I240" s="22" t="str">
        <f aca="false">IF(AND(ISNUMBER($F240),ISNUMBER($G240),$E240&lt;&gt;"R"),$F240*$G240,"")</f>
        <v/>
      </c>
      <c r="J240" s="29" t="str">
        <f aca="false">IF(AND($E240="A",ISNUMBER($F240),ISNUMBER($G240)),$F240*(1+$G240/30),"")</f>
        <v/>
      </c>
      <c r="K240" s="19"/>
      <c r="L240" s="19"/>
    </row>
    <row r="241" customFormat="false" ht="15.75" hidden="false" customHeight="true" outlineLevel="0" collapsed="false">
      <c r="A241" s="26" t="str">
        <f aca="false">IFERROR(IF($B241="","",IF(INDEX(Einheiten!$B$4:$B$27,MATCH($B241,Einheiten!$A$4:$A$27,0))=0,"",INDEX(Einheiten!$B$4:$B$27,MATCH($B241,Einheiten!$A$4:$A$27,0)))),"")</f>
        <v/>
      </c>
      <c r="B241" s="27"/>
      <c r="C241" s="28" t="str">
        <f aca="false">IFERROR(IF($D241="","",INDEX(Übungen!$B$4:$B$17,MATCH($D241,Übungen!$A$4:$A$17,0))),"")</f>
        <v/>
      </c>
      <c r="D241" s="19"/>
      <c r="E241" s="17"/>
      <c r="F241" s="20"/>
      <c r="G241" s="21"/>
      <c r="H241" s="20"/>
      <c r="I241" s="22" t="str">
        <f aca="false">IF(AND(ISNUMBER($F241),ISNUMBER($G241),$E241&lt;&gt;"R"),$F241*$G241,"")</f>
        <v/>
      </c>
      <c r="J241" s="29" t="str">
        <f aca="false">IF(AND($E241="A",ISNUMBER($F241),ISNUMBER($G241)),$F241*(1+$G241/30),"")</f>
        <v/>
      </c>
      <c r="K241" s="19"/>
      <c r="L241" s="19"/>
    </row>
    <row r="242" customFormat="false" ht="15.75" hidden="false" customHeight="true" outlineLevel="0" collapsed="false">
      <c r="A242" s="26" t="str">
        <f aca="false">IFERROR(IF($B242="","",IF(INDEX(Einheiten!$B$4:$B$27,MATCH($B242,Einheiten!$A$4:$A$27,0))=0,"",INDEX(Einheiten!$B$4:$B$27,MATCH($B242,Einheiten!$A$4:$A$27,0)))),"")</f>
        <v/>
      </c>
      <c r="B242" s="27"/>
      <c r="C242" s="28" t="str">
        <f aca="false">IFERROR(IF($D242="","",INDEX(Übungen!$B$4:$B$17,MATCH($D242,Übungen!$A$4:$A$17,0))),"")</f>
        <v/>
      </c>
      <c r="D242" s="19"/>
      <c r="E242" s="17"/>
      <c r="F242" s="20"/>
      <c r="G242" s="21"/>
      <c r="H242" s="20"/>
      <c r="I242" s="22" t="str">
        <f aca="false">IF(AND(ISNUMBER($F242),ISNUMBER($G242),$E242&lt;&gt;"R"),$F242*$G242,"")</f>
        <v/>
      </c>
      <c r="J242" s="29" t="str">
        <f aca="false">IF(AND($E242="A",ISNUMBER($F242),ISNUMBER($G242)),$F242*(1+$G242/30),"")</f>
        <v/>
      </c>
      <c r="K242" s="19"/>
      <c r="L242" s="19"/>
    </row>
    <row r="243" customFormat="false" ht="15.75" hidden="false" customHeight="true" outlineLevel="0" collapsed="false">
      <c r="A243" s="26" t="str">
        <f aca="false">IFERROR(IF($B243="","",IF(INDEX(Einheiten!$B$4:$B$27,MATCH($B243,Einheiten!$A$4:$A$27,0))=0,"",INDEX(Einheiten!$B$4:$B$27,MATCH($B243,Einheiten!$A$4:$A$27,0)))),"")</f>
        <v/>
      </c>
      <c r="B243" s="27"/>
      <c r="C243" s="28" t="str">
        <f aca="false">IFERROR(IF($D243="","",INDEX(Übungen!$B$4:$B$17,MATCH($D243,Übungen!$A$4:$A$17,0))),"")</f>
        <v/>
      </c>
      <c r="D243" s="19"/>
      <c r="E243" s="17"/>
      <c r="F243" s="20"/>
      <c r="G243" s="21"/>
      <c r="H243" s="20"/>
      <c r="I243" s="22" t="str">
        <f aca="false">IF(AND(ISNUMBER($F243),ISNUMBER($G243),$E243&lt;&gt;"R"),$F243*$G243,"")</f>
        <v/>
      </c>
      <c r="J243" s="29" t="str">
        <f aca="false">IF(AND($E243="A",ISNUMBER($F243),ISNUMBER($G243)),$F243*(1+$G243/30),"")</f>
        <v/>
      </c>
      <c r="K243" s="19"/>
      <c r="L243" s="19"/>
    </row>
    <row r="244" customFormat="false" ht="15.75" hidden="false" customHeight="true" outlineLevel="0" collapsed="false">
      <c r="A244" s="26" t="str">
        <f aca="false">IFERROR(IF($B244="","",IF(INDEX(Einheiten!$B$4:$B$27,MATCH($B244,Einheiten!$A$4:$A$27,0))=0,"",INDEX(Einheiten!$B$4:$B$27,MATCH($B244,Einheiten!$A$4:$A$27,0)))),"")</f>
        <v/>
      </c>
      <c r="B244" s="27"/>
      <c r="C244" s="28" t="str">
        <f aca="false">IFERROR(IF($D244="","",INDEX(Übungen!$B$4:$B$17,MATCH($D244,Übungen!$A$4:$A$17,0))),"")</f>
        <v/>
      </c>
      <c r="D244" s="19"/>
      <c r="E244" s="17"/>
      <c r="F244" s="20"/>
      <c r="G244" s="21"/>
      <c r="H244" s="20"/>
      <c r="I244" s="22" t="str">
        <f aca="false">IF(AND(ISNUMBER($F244),ISNUMBER($G244),$E244&lt;&gt;"R"),$F244*$G244,"")</f>
        <v/>
      </c>
      <c r="J244" s="29" t="str">
        <f aca="false">IF(AND($E244="A",ISNUMBER($F244),ISNUMBER($G244)),$F244*(1+$G244/30),"")</f>
        <v/>
      </c>
      <c r="K244" s="19"/>
      <c r="L244" s="19"/>
    </row>
    <row r="245" customFormat="false" ht="15.75" hidden="false" customHeight="true" outlineLevel="0" collapsed="false">
      <c r="A245" s="26" t="str">
        <f aca="false">IFERROR(IF($B245="","",IF(INDEX(Einheiten!$B$4:$B$27,MATCH($B245,Einheiten!$A$4:$A$27,0))=0,"",INDEX(Einheiten!$B$4:$B$27,MATCH($B245,Einheiten!$A$4:$A$27,0)))),"")</f>
        <v/>
      </c>
      <c r="B245" s="27"/>
      <c r="C245" s="28" t="str">
        <f aca="false">IFERROR(IF($D245="","",INDEX(Übungen!$B$4:$B$17,MATCH($D245,Übungen!$A$4:$A$17,0))),"")</f>
        <v/>
      </c>
      <c r="D245" s="19"/>
      <c r="E245" s="17"/>
      <c r="F245" s="20"/>
      <c r="G245" s="21"/>
      <c r="H245" s="20"/>
      <c r="I245" s="22" t="str">
        <f aca="false">IF(AND(ISNUMBER($F245),ISNUMBER($G245),$E245&lt;&gt;"R"),$F245*$G245,"")</f>
        <v/>
      </c>
      <c r="J245" s="29" t="str">
        <f aca="false">IF(AND($E245="A",ISNUMBER($F245),ISNUMBER($G245)),$F245*(1+$G245/30),"")</f>
        <v/>
      </c>
      <c r="K245" s="19"/>
      <c r="L245" s="19"/>
    </row>
    <row r="246" customFormat="false" ht="15.75" hidden="false" customHeight="true" outlineLevel="0" collapsed="false">
      <c r="A246" s="26" t="str">
        <f aca="false">IFERROR(IF($B246="","",IF(INDEX(Einheiten!$B$4:$B$27,MATCH($B246,Einheiten!$A$4:$A$27,0))=0,"",INDEX(Einheiten!$B$4:$B$27,MATCH($B246,Einheiten!$A$4:$A$27,0)))),"")</f>
        <v/>
      </c>
      <c r="B246" s="27"/>
      <c r="C246" s="28" t="str">
        <f aca="false">IFERROR(IF($D246="","",INDEX(Übungen!$B$4:$B$17,MATCH($D246,Übungen!$A$4:$A$17,0))),"")</f>
        <v/>
      </c>
      <c r="D246" s="19"/>
      <c r="E246" s="17"/>
      <c r="F246" s="20"/>
      <c r="G246" s="21"/>
      <c r="H246" s="20"/>
      <c r="I246" s="22" t="str">
        <f aca="false">IF(AND(ISNUMBER($F246),ISNUMBER($G246),$E246&lt;&gt;"R"),$F246*$G246,"")</f>
        <v/>
      </c>
      <c r="J246" s="29" t="str">
        <f aca="false">IF(AND($E246="A",ISNUMBER($F246),ISNUMBER($G246)),$F246*(1+$G246/30),"")</f>
        <v/>
      </c>
      <c r="K246" s="19"/>
      <c r="L246" s="19"/>
    </row>
    <row r="247" customFormat="false" ht="15.75" hidden="false" customHeight="true" outlineLevel="0" collapsed="false">
      <c r="A247" s="26" t="str">
        <f aca="false">IFERROR(IF($B247="","",IF(INDEX(Einheiten!$B$4:$B$27,MATCH($B247,Einheiten!$A$4:$A$27,0))=0,"",INDEX(Einheiten!$B$4:$B$27,MATCH($B247,Einheiten!$A$4:$A$27,0)))),"")</f>
        <v/>
      </c>
      <c r="B247" s="27"/>
      <c r="C247" s="28" t="str">
        <f aca="false">IFERROR(IF($D247="","",INDEX(Übungen!$B$4:$B$17,MATCH($D247,Übungen!$A$4:$A$17,0))),"")</f>
        <v/>
      </c>
      <c r="D247" s="19"/>
      <c r="E247" s="17"/>
      <c r="F247" s="20"/>
      <c r="G247" s="21"/>
      <c r="H247" s="20"/>
      <c r="I247" s="22" t="str">
        <f aca="false">IF(AND(ISNUMBER($F247),ISNUMBER($G247),$E247&lt;&gt;"R"),$F247*$G247,"")</f>
        <v/>
      </c>
      <c r="J247" s="29" t="str">
        <f aca="false">IF(AND($E247="A",ISNUMBER($F247),ISNUMBER($G247)),$F247*(1+$G247/30),"")</f>
        <v/>
      </c>
      <c r="K247" s="19"/>
      <c r="L247" s="19"/>
    </row>
    <row r="248" customFormat="false" ht="15.75" hidden="false" customHeight="true" outlineLevel="0" collapsed="false">
      <c r="A248" s="26" t="str">
        <f aca="false">IFERROR(IF($B248="","",IF(INDEX(Einheiten!$B$4:$B$27,MATCH($B248,Einheiten!$A$4:$A$27,0))=0,"",INDEX(Einheiten!$B$4:$B$27,MATCH($B248,Einheiten!$A$4:$A$27,0)))),"")</f>
        <v/>
      </c>
      <c r="B248" s="27"/>
      <c r="C248" s="28" t="str">
        <f aca="false">IFERROR(IF($D248="","",INDEX(Übungen!$B$4:$B$17,MATCH($D248,Übungen!$A$4:$A$17,0))),"")</f>
        <v/>
      </c>
      <c r="D248" s="19"/>
      <c r="E248" s="17"/>
      <c r="F248" s="20"/>
      <c r="G248" s="21"/>
      <c r="H248" s="20"/>
      <c r="I248" s="22" t="str">
        <f aca="false">IF(AND(ISNUMBER($F248),ISNUMBER($G248),$E248&lt;&gt;"R"),$F248*$G248,"")</f>
        <v/>
      </c>
      <c r="J248" s="29" t="str">
        <f aca="false">IF(AND($E248="A",ISNUMBER($F248),ISNUMBER($G248)),$F248*(1+$G248/30),"")</f>
        <v/>
      </c>
      <c r="K248" s="19"/>
      <c r="L248" s="19"/>
    </row>
    <row r="249" customFormat="false" ht="15.75" hidden="false" customHeight="true" outlineLevel="0" collapsed="false">
      <c r="A249" s="26" t="str">
        <f aca="false">IFERROR(IF($B249="","",IF(INDEX(Einheiten!$B$4:$B$27,MATCH($B249,Einheiten!$A$4:$A$27,0))=0,"",INDEX(Einheiten!$B$4:$B$27,MATCH($B249,Einheiten!$A$4:$A$27,0)))),"")</f>
        <v/>
      </c>
      <c r="B249" s="27"/>
      <c r="C249" s="28" t="str">
        <f aca="false">IFERROR(IF($D249="","",INDEX(Übungen!$B$4:$B$17,MATCH($D249,Übungen!$A$4:$A$17,0))),"")</f>
        <v/>
      </c>
      <c r="D249" s="19"/>
      <c r="E249" s="17"/>
      <c r="F249" s="20"/>
      <c r="G249" s="21"/>
      <c r="H249" s="20"/>
      <c r="I249" s="22" t="str">
        <f aca="false">IF(AND(ISNUMBER($F249),ISNUMBER($G249),$E249&lt;&gt;"R"),$F249*$G249,"")</f>
        <v/>
      </c>
      <c r="J249" s="29" t="str">
        <f aca="false">IF(AND($E249="A",ISNUMBER($F249),ISNUMBER($G249)),$F249*(1+$G249/30),"")</f>
        <v/>
      </c>
      <c r="K249" s="19"/>
      <c r="L249" s="19"/>
    </row>
    <row r="250" customFormat="false" ht="15.75" hidden="false" customHeight="true" outlineLevel="0" collapsed="false">
      <c r="A250" s="26" t="str">
        <f aca="false">IFERROR(IF($B250="","",IF(INDEX(Einheiten!$B$4:$B$27,MATCH($B250,Einheiten!$A$4:$A$27,0))=0,"",INDEX(Einheiten!$B$4:$B$27,MATCH($B250,Einheiten!$A$4:$A$27,0)))),"")</f>
        <v/>
      </c>
      <c r="B250" s="27"/>
      <c r="C250" s="28" t="str">
        <f aca="false">IFERROR(IF($D250="","",INDEX(Übungen!$B$4:$B$17,MATCH($D250,Übungen!$A$4:$A$17,0))),"")</f>
        <v/>
      </c>
      <c r="D250" s="19"/>
      <c r="E250" s="17"/>
      <c r="F250" s="20"/>
      <c r="G250" s="21"/>
      <c r="H250" s="20"/>
      <c r="I250" s="22" t="str">
        <f aca="false">IF(AND(ISNUMBER($F250),ISNUMBER($G250),$E250&lt;&gt;"R"),$F250*$G250,"")</f>
        <v/>
      </c>
      <c r="J250" s="29" t="str">
        <f aca="false">IF(AND($E250="A",ISNUMBER($F250),ISNUMBER($G250)),$F250*(1+$G250/30),"")</f>
        <v/>
      </c>
      <c r="K250" s="19"/>
      <c r="L250" s="19"/>
    </row>
    <row r="251" customFormat="false" ht="15.75" hidden="false" customHeight="true" outlineLevel="0" collapsed="false">
      <c r="A251" s="26" t="str">
        <f aca="false">IFERROR(IF($B251="","",IF(INDEX(Einheiten!$B$4:$B$27,MATCH($B251,Einheiten!$A$4:$A$27,0))=0,"",INDEX(Einheiten!$B$4:$B$27,MATCH($B251,Einheiten!$A$4:$A$27,0)))),"")</f>
        <v/>
      </c>
      <c r="B251" s="27"/>
      <c r="C251" s="28" t="str">
        <f aca="false">IFERROR(IF($D251="","",INDEX(Übungen!$B$4:$B$17,MATCH($D251,Übungen!$A$4:$A$17,0))),"")</f>
        <v/>
      </c>
      <c r="D251" s="19"/>
      <c r="E251" s="17"/>
      <c r="F251" s="20"/>
      <c r="G251" s="21"/>
      <c r="H251" s="20"/>
      <c r="I251" s="22" t="str">
        <f aca="false">IF(AND(ISNUMBER($F251),ISNUMBER($G251),$E251&lt;&gt;"R"),$F251*$G251,"")</f>
        <v/>
      </c>
      <c r="J251" s="29" t="str">
        <f aca="false">IF(AND($E251="A",ISNUMBER($F251),ISNUMBER($G251)),$F251*(1+$G251/30),"")</f>
        <v/>
      </c>
      <c r="K251" s="19"/>
      <c r="L251" s="19"/>
    </row>
    <row r="252" customFormat="false" ht="15.75" hidden="false" customHeight="true" outlineLevel="0" collapsed="false">
      <c r="A252" s="26" t="str">
        <f aca="false">IFERROR(IF($B252="","",IF(INDEX(Einheiten!$B$4:$B$27,MATCH($B252,Einheiten!$A$4:$A$27,0))=0,"",INDEX(Einheiten!$B$4:$B$27,MATCH($B252,Einheiten!$A$4:$A$27,0)))),"")</f>
        <v/>
      </c>
      <c r="B252" s="27"/>
      <c r="C252" s="28" t="str">
        <f aca="false">IFERROR(IF($D252="","",INDEX(Übungen!$B$4:$B$17,MATCH($D252,Übungen!$A$4:$A$17,0))),"")</f>
        <v/>
      </c>
      <c r="D252" s="19"/>
      <c r="E252" s="17"/>
      <c r="F252" s="20"/>
      <c r="G252" s="21"/>
      <c r="H252" s="20"/>
      <c r="I252" s="22" t="str">
        <f aca="false">IF(AND(ISNUMBER($F252),ISNUMBER($G252),$E252&lt;&gt;"R"),$F252*$G252,"")</f>
        <v/>
      </c>
      <c r="J252" s="29" t="str">
        <f aca="false">IF(AND($E252="A",ISNUMBER($F252),ISNUMBER($G252)),$F252*(1+$G252/30),"")</f>
        <v/>
      </c>
      <c r="K252" s="19"/>
      <c r="L252" s="19"/>
    </row>
    <row r="253" customFormat="false" ht="15.75" hidden="false" customHeight="true" outlineLevel="0" collapsed="false">
      <c r="A253" s="26" t="str">
        <f aca="false">IFERROR(IF($B253="","",IF(INDEX(Einheiten!$B$4:$B$27,MATCH($B253,Einheiten!$A$4:$A$27,0))=0,"",INDEX(Einheiten!$B$4:$B$27,MATCH($B253,Einheiten!$A$4:$A$27,0)))),"")</f>
        <v/>
      </c>
      <c r="B253" s="27"/>
      <c r="C253" s="28" t="str">
        <f aca="false">IFERROR(IF($D253="","",INDEX(Übungen!$B$4:$B$17,MATCH($D253,Übungen!$A$4:$A$17,0))),"")</f>
        <v/>
      </c>
      <c r="D253" s="19"/>
      <c r="E253" s="17"/>
      <c r="F253" s="20"/>
      <c r="G253" s="21"/>
      <c r="H253" s="20"/>
      <c r="I253" s="22" t="str">
        <f aca="false">IF(AND(ISNUMBER($F253),ISNUMBER($G253),$E253&lt;&gt;"R"),$F253*$G253,"")</f>
        <v/>
      </c>
      <c r="J253" s="29" t="str">
        <f aca="false">IF(AND($E253="A",ISNUMBER($F253),ISNUMBER($G253)),$F253*(1+$G253/30),"")</f>
        <v/>
      </c>
      <c r="K253" s="19"/>
      <c r="L253" s="19"/>
    </row>
    <row r="254" customFormat="false" ht="15.75" hidden="false" customHeight="true" outlineLevel="0" collapsed="false">
      <c r="A254" s="26" t="str">
        <f aca="false">IFERROR(IF($B254="","",IF(INDEX(Einheiten!$B$4:$B$27,MATCH($B254,Einheiten!$A$4:$A$27,0))=0,"",INDEX(Einheiten!$B$4:$B$27,MATCH($B254,Einheiten!$A$4:$A$27,0)))),"")</f>
        <v/>
      </c>
      <c r="B254" s="27"/>
      <c r="C254" s="28" t="str">
        <f aca="false">IFERROR(IF($D254="","",INDEX(Übungen!$B$4:$B$17,MATCH($D254,Übungen!$A$4:$A$17,0))),"")</f>
        <v/>
      </c>
      <c r="D254" s="19"/>
      <c r="E254" s="17"/>
      <c r="F254" s="20"/>
      <c r="G254" s="21"/>
      <c r="H254" s="20"/>
      <c r="I254" s="22" t="str">
        <f aca="false">IF(AND(ISNUMBER($F254),ISNUMBER($G254),$E254&lt;&gt;"R"),$F254*$G254,"")</f>
        <v/>
      </c>
      <c r="J254" s="29" t="str">
        <f aca="false">IF(AND($E254="A",ISNUMBER($F254),ISNUMBER($G254)),$F254*(1+$G254/30),"")</f>
        <v/>
      </c>
      <c r="K254" s="19"/>
      <c r="L254" s="19"/>
    </row>
    <row r="255" customFormat="false" ht="15.75" hidden="false" customHeight="true" outlineLevel="0" collapsed="false">
      <c r="A255" s="26" t="str">
        <f aca="false">IFERROR(IF($B255="","",IF(INDEX(Einheiten!$B$4:$B$27,MATCH($B255,Einheiten!$A$4:$A$27,0))=0,"",INDEX(Einheiten!$B$4:$B$27,MATCH($B255,Einheiten!$A$4:$A$27,0)))),"")</f>
        <v/>
      </c>
      <c r="B255" s="27"/>
      <c r="C255" s="28" t="str">
        <f aca="false">IFERROR(IF($D255="","",INDEX(Übungen!$B$4:$B$17,MATCH($D255,Übungen!$A$4:$A$17,0))),"")</f>
        <v/>
      </c>
      <c r="D255" s="19"/>
      <c r="E255" s="17"/>
      <c r="F255" s="20"/>
      <c r="G255" s="21"/>
      <c r="H255" s="20"/>
      <c r="I255" s="22" t="str">
        <f aca="false">IF(AND(ISNUMBER($F255),ISNUMBER($G255),$E255&lt;&gt;"R"),$F255*$G255,"")</f>
        <v/>
      </c>
      <c r="J255" s="29" t="str">
        <f aca="false">IF(AND($E255="A",ISNUMBER($F255),ISNUMBER($G255)),$F255*(1+$G255/30),"")</f>
        <v/>
      </c>
      <c r="K255" s="19"/>
      <c r="L255" s="19"/>
    </row>
    <row r="256" customFormat="false" ht="15.75" hidden="false" customHeight="true" outlineLevel="0" collapsed="false">
      <c r="A256" s="26" t="str">
        <f aca="false">IFERROR(IF($B256="","",IF(INDEX(Einheiten!$B$4:$B$27,MATCH($B256,Einheiten!$A$4:$A$27,0))=0,"",INDEX(Einheiten!$B$4:$B$27,MATCH($B256,Einheiten!$A$4:$A$27,0)))),"")</f>
        <v/>
      </c>
      <c r="B256" s="27"/>
      <c r="C256" s="28" t="str">
        <f aca="false">IFERROR(IF($D256="","",INDEX(Übungen!$B$4:$B$17,MATCH($D256,Übungen!$A$4:$A$17,0))),"")</f>
        <v/>
      </c>
      <c r="D256" s="19"/>
      <c r="E256" s="17"/>
      <c r="F256" s="20"/>
      <c r="G256" s="21"/>
      <c r="H256" s="20"/>
      <c r="I256" s="22" t="str">
        <f aca="false">IF(AND(ISNUMBER($F256),ISNUMBER($G256),$E256&lt;&gt;"R"),$F256*$G256,"")</f>
        <v/>
      </c>
      <c r="J256" s="29" t="str">
        <f aca="false">IF(AND($E256="A",ISNUMBER($F256),ISNUMBER($G256)),$F256*(1+$G256/30),"")</f>
        <v/>
      </c>
      <c r="K256" s="19"/>
      <c r="L256" s="19"/>
    </row>
    <row r="257" customFormat="false" ht="15.75" hidden="false" customHeight="true" outlineLevel="0" collapsed="false">
      <c r="A257" s="26" t="str">
        <f aca="false">IFERROR(IF($B257="","",IF(INDEX(Einheiten!$B$4:$B$27,MATCH($B257,Einheiten!$A$4:$A$27,0))=0,"",INDEX(Einheiten!$B$4:$B$27,MATCH($B257,Einheiten!$A$4:$A$27,0)))),"")</f>
        <v/>
      </c>
      <c r="B257" s="27"/>
      <c r="C257" s="28" t="str">
        <f aca="false">IFERROR(IF($D257="","",INDEX(Übungen!$B$4:$B$17,MATCH($D257,Übungen!$A$4:$A$17,0))),"")</f>
        <v/>
      </c>
      <c r="D257" s="19"/>
      <c r="E257" s="17"/>
      <c r="F257" s="20"/>
      <c r="G257" s="21"/>
      <c r="H257" s="20"/>
      <c r="I257" s="22" t="str">
        <f aca="false">IF(AND(ISNUMBER($F257),ISNUMBER($G257),$E257&lt;&gt;"R"),$F257*$G257,"")</f>
        <v/>
      </c>
      <c r="J257" s="29" t="str">
        <f aca="false">IF(AND($E257="A",ISNUMBER($F257),ISNUMBER($G257)),$F257*(1+$G257/30),"")</f>
        <v/>
      </c>
      <c r="K257" s="19"/>
      <c r="L257" s="19"/>
    </row>
    <row r="258" customFormat="false" ht="15.75" hidden="false" customHeight="true" outlineLevel="0" collapsed="false">
      <c r="A258" s="26" t="str">
        <f aca="false">IFERROR(IF($B258="","",IF(INDEX(Einheiten!$B$4:$B$27,MATCH($B258,Einheiten!$A$4:$A$27,0))=0,"",INDEX(Einheiten!$B$4:$B$27,MATCH($B258,Einheiten!$A$4:$A$27,0)))),"")</f>
        <v/>
      </c>
      <c r="B258" s="27"/>
      <c r="C258" s="28" t="str">
        <f aca="false">IFERROR(IF($D258="","",INDEX(Übungen!$B$4:$B$17,MATCH($D258,Übungen!$A$4:$A$17,0))),"")</f>
        <v/>
      </c>
      <c r="D258" s="19"/>
      <c r="E258" s="17"/>
      <c r="F258" s="20"/>
      <c r="G258" s="21"/>
      <c r="H258" s="20"/>
      <c r="I258" s="22" t="str">
        <f aca="false">IF(AND(ISNUMBER($F258),ISNUMBER($G258),$E258&lt;&gt;"R"),$F258*$G258,"")</f>
        <v/>
      </c>
      <c r="J258" s="29" t="str">
        <f aca="false">IF(AND($E258="A",ISNUMBER($F258),ISNUMBER($G258)),$F258*(1+$G258/30),"")</f>
        <v/>
      </c>
      <c r="K258" s="19"/>
      <c r="L258" s="19"/>
    </row>
    <row r="259" customFormat="false" ht="15.75" hidden="false" customHeight="true" outlineLevel="0" collapsed="false">
      <c r="A259" s="26" t="str">
        <f aca="false">IFERROR(IF($B259="","",IF(INDEX(Einheiten!$B$4:$B$27,MATCH($B259,Einheiten!$A$4:$A$27,0))=0,"",INDEX(Einheiten!$B$4:$B$27,MATCH($B259,Einheiten!$A$4:$A$27,0)))),"")</f>
        <v/>
      </c>
      <c r="B259" s="27"/>
      <c r="C259" s="28" t="str">
        <f aca="false">IFERROR(IF($D259="","",INDEX(Übungen!$B$4:$B$17,MATCH($D259,Übungen!$A$4:$A$17,0))),"")</f>
        <v/>
      </c>
      <c r="D259" s="19"/>
      <c r="E259" s="17"/>
      <c r="F259" s="20"/>
      <c r="G259" s="21"/>
      <c r="H259" s="20"/>
      <c r="I259" s="22" t="str">
        <f aca="false">IF(AND(ISNUMBER($F259),ISNUMBER($G259),$E259&lt;&gt;"R"),$F259*$G259,"")</f>
        <v/>
      </c>
      <c r="J259" s="29" t="str">
        <f aca="false">IF(AND($E259="A",ISNUMBER($F259),ISNUMBER($G259)),$F259*(1+$G259/30),"")</f>
        <v/>
      </c>
      <c r="K259" s="19"/>
      <c r="L259" s="19"/>
    </row>
    <row r="260" customFormat="false" ht="15.75" hidden="false" customHeight="true" outlineLevel="0" collapsed="false">
      <c r="A260" s="26" t="str">
        <f aca="false">IFERROR(IF($B260="","",IF(INDEX(Einheiten!$B$4:$B$27,MATCH($B260,Einheiten!$A$4:$A$27,0))=0,"",INDEX(Einheiten!$B$4:$B$27,MATCH($B260,Einheiten!$A$4:$A$27,0)))),"")</f>
        <v/>
      </c>
      <c r="B260" s="27"/>
      <c r="C260" s="28" t="str">
        <f aca="false">IFERROR(IF($D260="","",INDEX(Übungen!$B$4:$B$17,MATCH($D260,Übungen!$A$4:$A$17,0))),"")</f>
        <v/>
      </c>
      <c r="D260" s="19"/>
      <c r="E260" s="17"/>
      <c r="F260" s="20"/>
      <c r="G260" s="21"/>
      <c r="H260" s="20"/>
      <c r="I260" s="22" t="str">
        <f aca="false">IF(AND(ISNUMBER($F260),ISNUMBER($G260),$E260&lt;&gt;"R"),$F260*$G260,"")</f>
        <v/>
      </c>
      <c r="J260" s="29" t="str">
        <f aca="false">IF(AND($E260="A",ISNUMBER($F260),ISNUMBER($G260)),$F260*(1+$G260/30),"")</f>
        <v/>
      </c>
      <c r="K260" s="19"/>
      <c r="L260" s="19"/>
    </row>
    <row r="261" customFormat="false" ht="15.75" hidden="false" customHeight="true" outlineLevel="0" collapsed="false">
      <c r="A261" s="26" t="str">
        <f aca="false">IFERROR(IF($B261="","",IF(INDEX(Einheiten!$B$4:$B$27,MATCH($B261,Einheiten!$A$4:$A$27,0))=0,"",INDEX(Einheiten!$B$4:$B$27,MATCH($B261,Einheiten!$A$4:$A$27,0)))),"")</f>
        <v/>
      </c>
      <c r="B261" s="27"/>
      <c r="C261" s="28" t="str">
        <f aca="false">IFERROR(IF($D261="","",INDEX(Übungen!$B$4:$B$17,MATCH($D261,Übungen!$A$4:$A$17,0))),"")</f>
        <v/>
      </c>
      <c r="D261" s="19"/>
      <c r="E261" s="17"/>
      <c r="F261" s="20"/>
      <c r="G261" s="21"/>
      <c r="H261" s="20"/>
      <c r="I261" s="22" t="str">
        <f aca="false">IF(AND(ISNUMBER($F261),ISNUMBER($G261),$E261&lt;&gt;"R"),$F261*$G261,"")</f>
        <v/>
      </c>
      <c r="J261" s="29" t="str">
        <f aca="false">IF(AND($E261="A",ISNUMBER($F261),ISNUMBER($G261)),$F261*(1+$G261/30),"")</f>
        <v/>
      </c>
      <c r="K261" s="19"/>
      <c r="L261" s="19"/>
    </row>
    <row r="262" customFormat="false" ht="15.75" hidden="false" customHeight="true" outlineLevel="0" collapsed="false">
      <c r="A262" s="26" t="str">
        <f aca="false">IFERROR(IF($B262="","",IF(INDEX(Einheiten!$B$4:$B$27,MATCH($B262,Einheiten!$A$4:$A$27,0))=0,"",INDEX(Einheiten!$B$4:$B$27,MATCH($B262,Einheiten!$A$4:$A$27,0)))),"")</f>
        <v/>
      </c>
      <c r="B262" s="27"/>
      <c r="C262" s="28" t="str">
        <f aca="false">IFERROR(IF($D262="","",INDEX(Übungen!$B$4:$B$17,MATCH($D262,Übungen!$A$4:$A$17,0))),"")</f>
        <v/>
      </c>
      <c r="D262" s="19"/>
      <c r="E262" s="17"/>
      <c r="F262" s="20"/>
      <c r="G262" s="21"/>
      <c r="H262" s="20"/>
      <c r="I262" s="22" t="str">
        <f aca="false">IF(AND(ISNUMBER($F262),ISNUMBER($G262),$E262&lt;&gt;"R"),$F262*$G262,"")</f>
        <v/>
      </c>
      <c r="J262" s="29" t="str">
        <f aca="false">IF(AND($E262="A",ISNUMBER($F262),ISNUMBER($G262)),$F262*(1+$G262/30),"")</f>
        <v/>
      </c>
      <c r="K262" s="19"/>
      <c r="L262" s="19"/>
    </row>
    <row r="263" customFormat="false" ht="15.75" hidden="false" customHeight="true" outlineLevel="0" collapsed="false">
      <c r="A263" s="26" t="str">
        <f aca="false">IFERROR(IF($B263="","",IF(INDEX(Einheiten!$B$4:$B$27,MATCH($B263,Einheiten!$A$4:$A$27,0))=0,"",INDEX(Einheiten!$B$4:$B$27,MATCH($B263,Einheiten!$A$4:$A$27,0)))),"")</f>
        <v/>
      </c>
      <c r="B263" s="27"/>
      <c r="C263" s="28" t="str">
        <f aca="false">IFERROR(IF($D263="","",INDEX(Übungen!$B$4:$B$17,MATCH($D263,Übungen!$A$4:$A$17,0))),"")</f>
        <v/>
      </c>
      <c r="D263" s="19"/>
      <c r="E263" s="17"/>
      <c r="F263" s="20"/>
      <c r="G263" s="21"/>
      <c r="H263" s="20"/>
      <c r="I263" s="22" t="str">
        <f aca="false">IF(AND(ISNUMBER($F263),ISNUMBER($G263),$E263&lt;&gt;"R"),$F263*$G263,"")</f>
        <v/>
      </c>
      <c r="J263" s="29" t="str">
        <f aca="false">IF(AND($E263="A",ISNUMBER($F263),ISNUMBER($G263)),$F263*(1+$G263/30),"")</f>
        <v/>
      </c>
      <c r="K263" s="19"/>
      <c r="L263" s="19"/>
    </row>
    <row r="264" customFormat="false" ht="15.75" hidden="false" customHeight="true" outlineLevel="0" collapsed="false">
      <c r="A264" s="26" t="str">
        <f aca="false">IFERROR(IF($B264="","",IF(INDEX(Einheiten!$B$4:$B$27,MATCH($B264,Einheiten!$A$4:$A$27,0))=0,"",INDEX(Einheiten!$B$4:$B$27,MATCH($B264,Einheiten!$A$4:$A$27,0)))),"")</f>
        <v/>
      </c>
      <c r="B264" s="27"/>
      <c r="C264" s="28" t="str">
        <f aca="false">IFERROR(IF($D264="","",INDEX(Übungen!$B$4:$B$17,MATCH($D264,Übungen!$A$4:$A$17,0))),"")</f>
        <v/>
      </c>
      <c r="D264" s="19"/>
      <c r="E264" s="17"/>
      <c r="F264" s="20"/>
      <c r="G264" s="21"/>
      <c r="H264" s="20"/>
      <c r="I264" s="22" t="str">
        <f aca="false">IF(AND(ISNUMBER($F264),ISNUMBER($G264),$E264&lt;&gt;"R"),$F264*$G264,"")</f>
        <v/>
      </c>
      <c r="J264" s="29" t="str">
        <f aca="false">IF(AND($E264="A",ISNUMBER($F264),ISNUMBER($G264)),$F264*(1+$G264/30),"")</f>
        <v/>
      </c>
      <c r="K264" s="19"/>
      <c r="L264" s="19"/>
    </row>
    <row r="265" customFormat="false" ht="15.75" hidden="false" customHeight="true" outlineLevel="0" collapsed="false">
      <c r="A265" s="26" t="str">
        <f aca="false">IFERROR(IF($B265="","",IF(INDEX(Einheiten!$B$4:$B$27,MATCH($B265,Einheiten!$A$4:$A$27,0))=0,"",INDEX(Einheiten!$B$4:$B$27,MATCH($B265,Einheiten!$A$4:$A$27,0)))),"")</f>
        <v/>
      </c>
      <c r="B265" s="27"/>
      <c r="C265" s="28" t="str">
        <f aca="false">IFERROR(IF($D265="","",INDEX(Übungen!$B$4:$B$17,MATCH($D265,Übungen!$A$4:$A$17,0))),"")</f>
        <v/>
      </c>
      <c r="D265" s="19"/>
      <c r="E265" s="17"/>
      <c r="F265" s="20"/>
      <c r="G265" s="21"/>
      <c r="H265" s="20"/>
      <c r="I265" s="22" t="str">
        <f aca="false">IF(AND(ISNUMBER($F265),ISNUMBER($G265),$E265&lt;&gt;"R"),$F265*$G265,"")</f>
        <v/>
      </c>
      <c r="J265" s="29" t="str">
        <f aca="false">IF(AND($E265="A",ISNUMBER($F265),ISNUMBER($G265)),$F265*(1+$G265/30),"")</f>
        <v/>
      </c>
      <c r="K265" s="19"/>
      <c r="L265" s="19"/>
    </row>
    <row r="266" customFormat="false" ht="15.75" hidden="false" customHeight="true" outlineLevel="0" collapsed="false">
      <c r="A266" s="26" t="str">
        <f aca="false">IFERROR(IF($B266="","",IF(INDEX(Einheiten!$B$4:$B$27,MATCH($B266,Einheiten!$A$4:$A$27,0))=0,"",INDEX(Einheiten!$B$4:$B$27,MATCH($B266,Einheiten!$A$4:$A$27,0)))),"")</f>
        <v/>
      </c>
      <c r="B266" s="27"/>
      <c r="C266" s="28" t="str">
        <f aca="false">IFERROR(IF($D266="","",INDEX(Übungen!$B$4:$B$17,MATCH($D266,Übungen!$A$4:$A$17,0))),"")</f>
        <v/>
      </c>
      <c r="D266" s="19"/>
      <c r="E266" s="17"/>
      <c r="F266" s="20"/>
      <c r="G266" s="21"/>
      <c r="H266" s="20"/>
      <c r="I266" s="22" t="str">
        <f aca="false">IF(AND(ISNUMBER($F266),ISNUMBER($G266),$E266&lt;&gt;"R"),$F266*$G266,"")</f>
        <v/>
      </c>
      <c r="J266" s="29" t="str">
        <f aca="false">IF(AND($E266="A",ISNUMBER($F266),ISNUMBER($G266)),$F266*(1+$G266/30),"")</f>
        <v/>
      </c>
      <c r="K266" s="19"/>
      <c r="L266" s="19"/>
    </row>
    <row r="267" customFormat="false" ht="15.75" hidden="false" customHeight="true" outlineLevel="0" collapsed="false">
      <c r="A267" s="26" t="str">
        <f aca="false">IFERROR(IF($B267="","",IF(INDEX(Einheiten!$B$4:$B$27,MATCH($B267,Einheiten!$A$4:$A$27,0))=0,"",INDEX(Einheiten!$B$4:$B$27,MATCH($B267,Einheiten!$A$4:$A$27,0)))),"")</f>
        <v/>
      </c>
      <c r="B267" s="27"/>
      <c r="C267" s="28" t="str">
        <f aca="false">IFERROR(IF($D267="","",INDEX(Übungen!$B$4:$B$17,MATCH($D267,Übungen!$A$4:$A$17,0))),"")</f>
        <v/>
      </c>
      <c r="D267" s="19"/>
      <c r="E267" s="17"/>
      <c r="F267" s="20"/>
      <c r="G267" s="21"/>
      <c r="H267" s="20"/>
      <c r="I267" s="22" t="str">
        <f aca="false">IF(AND(ISNUMBER($F267),ISNUMBER($G267),$E267&lt;&gt;"R"),$F267*$G267,"")</f>
        <v/>
      </c>
      <c r="J267" s="29" t="str">
        <f aca="false">IF(AND($E267="A",ISNUMBER($F267),ISNUMBER($G267)),$F267*(1+$G267/30),"")</f>
        <v/>
      </c>
      <c r="K267" s="19"/>
      <c r="L267" s="19"/>
    </row>
    <row r="268" customFormat="false" ht="15.75" hidden="false" customHeight="true" outlineLevel="0" collapsed="false">
      <c r="A268" s="26" t="str">
        <f aca="false">IFERROR(IF($B268="","",IF(INDEX(Einheiten!$B$4:$B$27,MATCH($B268,Einheiten!$A$4:$A$27,0))=0,"",INDEX(Einheiten!$B$4:$B$27,MATCH($B268,Einheiten!$A$4:$A$27,0)))),"")</f>
        <v/>
      </c>
      <c r="B268" s="27"/>
      <c r="C268" s="28" t="str">
        <f aca="false">IFERROR(IF($D268="","",INDEX(Übungen!$B$4:$B$17,MATCH($D268,Übungen!$A$4:$A$17,0))),"")</f>
        <v/>
      </c>
      <c r="D268" s="19"/>
      <c r="E268" s="17"/>
      <c r="F268" s="20"/>
      <c r="G268" s="21"/>
      <c r="H268" s="20"/>
      <c r="I268" s="22" t="str">
        <f aca="false">IF(AND(ISNUMBER($F268),ISNUMBER($G268),$E268&lt;&gt;"R"),$F268*$G268,"")</f>
        <v/>
      </c>
      <c r="J268" s="29" t="str">
        <f aca="false">IF(AND($E268="A",ISNUMBER($F268),ISNUMBER($G268)),$F268*(1+$G268/30),"")</f>
        <v/>
      </c>
      <c r="K268" s="19"/>
      <c r="L268" s="19"/>
    </row>
    <row r="269" customFormat="false" ht="15.75" hidden="false" customHeight="true" outlineLevel="0" collapsed="false">
      <c r="A269" s="26" t="str">
        <f aca="false">IFERROR(IF($B269="","",IF(INDEX(Einheiten!$B$4:$B$27,MATCH($B269,Einheiten!$A$4:$A$27,0))=0,"",INDEX(Einheiten!$B$4:$B$27,MATCH($B269,Einheiten!$A$4:$A$27,0)))),"")</f>
        <v/>
      </c>
      <c r="B269" s="27"/>
      <c r="C269" s="28" t="str">
        <f aca="false">IFERROR(IF($D269="","",INDEX(Übungen!$B$4:$B$17,MATCH($D269,Übungen!$A$4:$A$17,0))),"")</f>
        <v/>
      </c>
      <c r="D269" s="19"/>
      <c r="E269" s="17"/>
      <c r="F269" s="20"/>
      <c r="G269" s="21"/>
      <c r="H269" s="20"/>
      <c r="I269" s="22" t="str">
        <f aca="false">IF(AND(ISNUMBER($F269),ISNUMBER($G269),$E269&lt;&gt;"R"),$F269*$G269,"")</f>
        <v/>
      </c>
      <c r="J269" s="29" t="str">
        <f aca="false">IF(AND($E269="A",ISNUMBER($F269),ISNUMBER($G269)),$F269*(1+$G269/30),"")</f>
        <v/>
      </c>
      <c r="K269" s="19"/>
      <c r="L269" s="19"/>
    </row>
    <row r="270" customFormat="false" ht="15.75" hidden="false" customHeight="true" outlineLevel="0" collapsed="false">
      <c r="A270" s="26" t="str">
        <f aca="false">IFERROR(IF($B270="","",IF(INDEX(Einheiten!$B$4:$B$27,MATCH($B270,Einheiten!$A$4:$A$27,0))=0,"",INDEX(Einheiten!$B$4:$B$27,MATCH($B270,Einheiten!$A$4:$A$27,0)))),"")</f>
        <v/>
      </c>
      <c r="B270" s="27"/>
      <c r="C270" s="28" t="str">
        <f aca="false">IFERROR(IF($D270="","",INDEX(Übungen!$B$4:$B$17,MATCH($D270,Übungen!$A$4:$A$17,0))),"")</f>
        <v/>
      </c>
      <c r="D270" s="19"/>
      <c r="E270" s="17"/>
      <c r="F270" s="20"/>
      <c r="G270" s="21"/>
      <c r="H270" s="20"/>
      <c r="I270" s="22" t="str">
        <f aca="false">IF(AND(ISNUMBER($F270),ISNUMBER($G270),$E270&lt;&gt;"R"),$F270*$G270,"")</f>
        <v/>
      </c>
      <c r="J270" s="29" t="str">
        <f aca="false">IF(AND($E270="A",ISNUMBER($F270),ISNUMBER($G270)),$F270*(1+$G270/30),"")</f>
        <v/>
      </c>
      <c r="K270" s="19"/>
      <c r="L270" s="19"/>
    </row>
    <row r="271" customFormat="false" ht="15.75" hidden="false" customHeight="true" outlineLevel="0" collapsed="false">
      <c r="A271" s="26" t="str">
        <f aca="false">IFERROR(IF($B271="","",IF(INDEX(Einheiten!$B$4:$B$27,MATCH($B271,Einheiten!$A$4:$A$27,0))=0,"",INDEX(Einheiten!$B$4:$B$27,MATCH($B271,Einheiten!$A$4:$A$27,0)))),"")</f>
        <v/>
      </c>
      <c r="B271" s="27"/>
      <c r="C271" s="28" t="str">
        <f aca="false">IFERROR(IF($D271="","",INDEX(Übungen!$B$4:$B$17,MATCH($D271,Übungen!$A$4:$A$17,0))),"")</f>
        <v/>
      </c>
      <c r="D271" s="19"/>
      <c r="E271" s="17"/>
      <c r="F271" s="20"/>
      <c r="G271" s="21"/>
      <c r="H271" s="20"/>
      <c r="I271" s="22" t="str">
        <f aca="false">IF(AND(ISNUMBER($F271),ISNUMBER($G271),$E271&lt;&gt;"R"),$F271*$G271,"")</f>
        <v/>
      </c>
      <c r="J271" s="29" t="str">
        <f aca="false">IF(AND($E271="A",ISNUMBER($F271),ISNUMBER($G271)),$F271*(1+$G271/30),"")</f>
        <v/>
      </c>
      <c r="K271" s="19"/>
      <c r="L271" s="19"/>
    </row>
    <row r="272" customFormat="false" ht="15.75" hidden="false" customHeight="true" outlineLevel="0" collapsed="false">
      <c r="A272" s="26" t="str">
        <f aca="false">IFERROR(IF($B272="","",IF(INDEX(Einheiten!$B$4:$B$27,MATCH($B272,Einheiten!$A$4:$A$27,0))=0,"",INDEX(Einheiten!$B$4:$B$27,MATCH($B272,Einheiten!$A$4:$A$27,0)))),"")</f>
        <v/>
      </c>
      <c r="B272" s="27"/>
      <c r="C272" s="28" t="str">
        <f aca="false">IFERROR(IF($D272="","",INDEX(Übungen!$B$4:$B$17,MATCH($D272,Übungen!$A$4:$A$17,0))),"")</f>
        <v/>
      </c>
      <c r="D272" s="19"/>
      <c r="E272" s="17"/>
      <c r="F272" s="20"/>
      <c r="G272" s="21"/>
      <c r="H272" s="20"/>
      <c r="I272" s="22" t="str">
        <f aca="false">IF(AND(ISNUMBER($F272),ISNUMBER($G272),$E272&lt;&gt;"R"),$F272*$G272,"")</f>
        <v/>
      </c>
      <c r="J272" s="29" t="str">
        <f aca="false">IF(AND($E272="A",ISNUMBER($F272),ISNUMBER($G272)),$F272*(1+$G272/30),"")</f>
        <v/>
      </c>
      <c r="K272" s="19"/>
      <c r="L272" s="19"/>
    </row>
    <row r="273" customFormat="false" ht="15.75" hidden="false" customHeight="true" outlineLevel="0" collapsed="false">
      <c r="A273" s="26" t="str">
        <f aca="false">IFERROR(IF($B273="","",IF(INDEX(Einheiten!$B$4:$B$27,MATCH($B273,Einheiten!$A$4:$A$27,0))=0,"",INDEX(Einheiten!$B$4:$B$27,MATCH($B273,Einheiten!$A$4:$A$27,0)))),"")</f>
        <v/>
      </c>
      <c r="B273" s="27"/>
      <c r="C273" s="28" t="str">
        <f aca="false">IFERROR(IF($D273="","",INDEX(Übungen!$B$4:$B$17,MATCH($D273,Übungen!$A$4:$A$17,0))),"")</f>
        <v/>
      </c>
      <c r="D273" s="19"/>
      <c r="E273" s="17"/>
      <c r="F273" s="20"/>
      <c r="G273" s="21"/>
      <c r="H273" s="20"/>
      <c r="I273" s="22" t="str">
        <f aca="false">IF(AND(ISNUMBER($F273),ISNUMBER($G273),$E273&lt;&gt;"R"),$F273*$G273,"")</f>
        <v/>
      </c>
      <c r="J273" s="29" t="str">
        <f aca="false">IF(AND($E273="A",ISNUMBER($F273),ISNUMBER($G273)),$F273*(1+$G273/30),"")</f>
        <v/>
      </c>
      <c r="K273" s="19"/>
      <c r="L273" s="19"/>
    </row>
    <row r="274" customFormat="false" ht="15.75" hidden="false" customHeight="true" outlineLevel="0" collapsed="false">
      <c r="A274" s="26" t="str">
        <f aca="false">IFERROR(IF($B274="","",IF(INDEX(Einheiten!$B$4:$B$27,MATCH($B274,Einheiten!$A$4:$A$27,0))=0,"",INDEX(Einheiten!$B$4:$B$27,MATCH($B274,Einheiten!$A$4:$A$27,0)))),"")</f>
        <v/>
      </c>
      <c r="B274" s="27"/>
      <c r="C274" s="28" t="str">
        <f aca="false">IFERROR(IF($D274="","",INDEX(Übungen!$B$4:$B$17,MATCH($D274,Übungen!$A$4:$A$17,0))),"")</f>
        <v/>
      </c>
      <c r="D274" s="19"/>
      <c r="E274" s="17"/>
      <c r="F274" s="20"/>
      <c r="G274" s="21"/>
      <c r="H274" s="20"/>
      <c r="I274" s="22" t="str">
        <f aca="false">IF(AND(ISNUMBER($F274),ISNUMBER($G274),$E274&lt;&gt;"R"),$F274*$G274,"")</f>
        <v/>
      </c>
      <c r="J274" s="29" t="str">
        <f aca="false">IF(AND($E274="A",ISNUMBER($F274),ISNUMBER($G274)),$F274*(1+$G274/30),"")</f>
        <v/>
      </c>
      <c r="K274" s="19"/>
      <c r="L274" s="19"/>
    </row>
    <row r="275" customFormat="false" ht="15.75" hidden="false" customHeight="true" outlineLevel="0" collapsed="false">
      <c r="A275" s="26" t="str">
        <f aca="false">IFERROR(IF($B275="","",IF(INDEX(Einheiten!$B$4:$B$27,MATCH($B275,Einheiten!$A$4:$A$27,0))=0,"",INDEX(Einheiten!$B$4:$B$27,MATCH($B275,Einheiten!$A$4:$A$27,0)))),"")</f>
        <v/>
      </c>
      <c r="B275" s="27"/>
      <c r="C275" s="28" t="str">
        <f aca="false">IFERROR(IF($D275="","",INDEX(Übungen!$B$4:$B$17,MATCH($D275,Übungen!$A$4:$A$17,0))),"")</f>
        <v/>
      </c>
      <c r="D275" s="19"/>
      <c r="E275" s="17"/>
      <c r="F275" s="20"/>
      <c r="G275" s="21"/>
      <c r="H275" s="20"/>
      <c r="I275" s="22" t="str">
        <f aca="false">IF(AND(ISNUMBER($F275),ISNUMBER($G275),$E275&lt;&gt;"R"),$F275*$G275,"")</f>
        <v/>
      </c>
      <c r="J275" s="29" t="str">
        <f aca="false">IF(AND($E275="A",ISNUMBER($F275),ISNUMBER($G275)),$F275*(1+$G275/30),"")</f>
        <v/>
      </c>
      <c r="K275" s="19"/>
      <c r="L275" s="19"/>
    </row>
    <row r="276" customFormat="false" ht="15.75" hidden="false" customHeight="true" outlineLevel="0" collapsed="false">
      <c r="A276" s="26" t="str">
        <f aca="false">IFERROR(IF($B276="","",IF(INDEX(Einheiten!$B$4:$B$27,MATCH($B276,Einheiten!$A$4:$A$27,0))=0,"",INDEX(Einheiten!$B$4:$B$27,MATCH($B276,Einheiten!$A$4:$A$27,0)))),"")</f>
        <v/>
      </c>
      <c r="B276" s="27"/>
      <c r="C276" s="28" t="str">
        <f aca="false">IFERROR(IF($D276="","",INDEX(Übungen!$B$4:$B$17,MATCH($D276,Übungen!$A$4:$A$17,0))),"")</f>
        <v/>
      </c>
      <c r="D276" s="19"/>
      <c r="E276" s="17"/>
      <c r="F276" s="20"/>
      <c r="G276" s="21"/>
      <c r="H276" s="20"/>
      <c r="I276" s="22" t="str">
        <f aca="false">IF(AND(ISNUMBER($F276),ISNUMBER($G276),$E276&lt;&gt;"R"),$F276*$G276,"")</f>
        <v/>
      </c>
      <c r="J276" s="29" t="str">
        <f aca="false">IF(AND($E276="A",ISNUMBER($F276),ISNUMBER($G276)),$F276*(1+$G276/30),"")</f>
        <v/>
      </c>
      <c r="K276" s="19"/>
      <c r="L276" s="19"/>
    </row>
    <row r="277" customFormat="false" ht="15.75" hidden="false" customHeight="true" outlineLevel="0" collapsed="false">
      <c r="A277" s="26" t="str">
        <f aca="false">IFERROR(IF($B277="","",IF(INDEX(Einheiten!$B$4:$B$27,MATCH($B277,Einheiten!$A$4:$A$27,0))=0,"",INDEX(Einheiten!$B$4:$B$27,MATCH($B277,Einheiten!$A$4:$A$27,0)))),"")</f>
        <v/>
      </c>
      <c r="B277" s="27"/>
      <c r="C277" s="28" t="str">
        <f aca="false">IFERROR(IF($D277="","",INDEX(Übungen!$B$4:$B$17,MATCH($D277,Übungen!$A$4:$A$17,0))),"")</f>
        <v/>
      </c>
      <c r="D277" s="19"/>
      <c r="E277" s="17"/>
      <c r="F277" s="20"/>
      <c r="G277" s="21"/>
      <c r="H277" s="20"/>
      <c r="I277" s="22" t="str">
        <f aca="false">IF(AND(ISNUMBER($F277),ISNUMBER($G277),$E277&lt;&gt;"R"),$F277*$G277,"")</f>
        <v/>
      </c>
      <c r="J277" s="29" t="str">
        <f aca="false">IF(AND($E277="A",ISNUMBER($F277),ISNUMBER($G277)),$F277*(1+$G277/30),"")</f>
        <v/>
      </c>
      <c r="K277" s="19"/>
      <c r="L277" s="19"/>
    </row>
    <row r="278" customFormat="false" ht="15.75" hidden="false" customHeight="true" outlineLevel="0" collapsed="false">
      <c r="A278" s="26" t="str">
        <f aca="false">IFERROR(IF($B278="","",IF(INDEX(Einheiten!$B$4:$B$27,MATCH($B278,Einheiten!$A$4:$A$27,0))=0,"",INDEX(Einheiten!$B$4:$B$27,MATCH($B278,Einheiten!$A$4:$A$27,0)))),"")</f>
        <v/>
      </c>
      <c r="B278" s="27"/>
      <c r="C278" s="28" t="str">
        <f aca="false">IFERROR(IF($D278="","",INDEX(Übungen!$B$4:$B$17,MATCH($D278,Übungen!$A$4:$A$17,0))),"")</f>
        <v/>
      </c>
      <c r="D278" s="19"/>
      <c r="E278" s="17"/>
      <c r="F278" s="20"/>
      <c r="G278" s="21"/>
      <c r="H278" s="20"/>
      <c r="I278" s="22" t="str">
        <f aca="false">IF(AND(ISNUMBER($F278),ISNUMBER($G278),$E278&lt;&gt;"R"),$F278*$G278,"")</f>
        <v/>
      </c>
      <c r="J278" s="29" t="str">
        <f aca="false">IF(AND($E278="A",ISNUMBER($F278),ISNUMBER($G278)),$F278*(1+$G278/30),"")</f>
        <v/>
      </c>
      <c r="K278" s="19"/>
      <c r="L278" s="19"/>
    </row>
    <row r="279" customFormat="false" ht="15.75" hidden="false" customHeight="true" outlineLevel="0" collapsed="false">
      <c r="A279" s="26" t="str">
        <f aca="false">IFERROR(IF($B279="","",IF(INDEX(Einheiten!$B$4:$B$27,MATCH($B279,Einheiten!$A$4:$A$27,0))=0,"",INDEX(Einheiten!$B$4:$B$27,MATCH($B279,Einheiten!$A$4:$A$27,0)))),"")</f>
        <v/>
      </c>
      <c r="B279" s="27"/>
      <c r="C279" s="28" t="str">
        <f aca="false">IFERROR(IF($D279="","",INDEX(Übungen!$B$4:$B$17,MATCH($D279,Übungen!$A$4:$A$17,0))),"")</f>
        <v/>
      </c>
      <c r="D279" s="19"/>
      <c r="E279" s="17"/>
      <c r="F279" s="20"/>
      <c r="G279" s="21"/>
      <c r="H279" s="20"/>
      <c r="I279" s="22" t="str">
        <f aca="false">IF(AND(ISNUMBER($F279),ISNUMBER($G279),$E279&lt;&gt;"R"),$F279*$G279,"")</f>
        <v/>
      </c>
      <c r="J279" s="29" t="str">
        <f aca="false">IF(AND($E279="A",ISNUMBER($F279),ISNUMBER($G279)),$F279*(1+$G279/30),"")</f>
        <v/>
      </c>
      <c r="K279" s="19"/>
      <c r="L279" s="19"/>
    </row>
    <row r="280" customFormat="false" ht="15.75" hidden="false" customHeight="true" outlineLevel="0" collapsed="false">
      <c r="A280" s="26" t="str">
        <f aca="false">IFERROR(IF($B280="","",IF(INDEX(Einheiten!$B$4:$B$27,MATCH($B280,Einheiten!$A$4:$A$27,0))=0,"",INDEX(Einheiten!$B$4:$B$27,MATCH($B280,Einheiten!$A$4:$A$27,0)))),"")</f>
        <v/>
      </c>
      <c r="B280" s="27"/>
      <c r="C280" s="28" t="str">
        <f aca="false">IFERROR(IF($D280="","",INDEX(Übungen!$B$4:$B$17,MATCH($D280,Übungen!$A$4:$A$17,0))),"")</f>
        <v/>
      </c>
      <c r="D280" s="19"/>
      <c r="E280" s="17"/>
      <c r="F280" s="20"/>
      <c r="G280" s="21"/>
      <c r="H280" s="20"/>
      <c r="I280" s="22" t="str">
        <f aca="false">IF(AND(ISNUMBER($F280),ISNUMBER($G280),$E280&lt;&gt;"R"),$F280*$G280,"")</f>
        <v/>
      </c>
      <c r="J280" s="29" t="str">
        <f aca="false">IF(AND($E280="A",ISNUMBER($F280),ISNUMBER($G280)),$F280*(1+$G280/30),"")</f>
        <v/>
      </c>
      <c r="K280" s="19"/>
      <c r="L280" s="19"/>
    </row>
    <row r="281" customFormat="false" ht="15.75" hidden="false" customHeight="true" outlineLevel="0" collapsed="false">
      <c r="A281" s="26" t="str">
        <f aca="false">IFERROR(IF($B281="","",IF(INDEX(Einheiten!$B$4:$B$27,MATCH($B281,Einheiten!$A$4:$A$27,0))=0,"",INDEX(Einheiten!$B$4:$B$27,MATCH($B281,Einheiten!$A$4:$A$27,0)))),"")</f>
        <v/>
      </c>
      <c r="B281" s="27"/>
      <c r="C281" s="28" t="str">
        <f aca="false">IFERROR(IF($D281="","",INDEX(Übungen!$B$4:$B$17,MATCH($D281,Übungen!$A$4:$A$17,0))),"")</f>
        <v/>
      </c>
      <c r="D281" s="19"/>
      <c r="E281" s="17"/>
      <c r="F281" s="20"/>
      <c r="G281" s="21"/>
      <c r="H281" s="20"/>
      <c r="I281" s="22" t="str">
        <f aca="false">IF(AND(ISNUMBER($F281),ISNUMBER($G281),$E281&lt;&gt;"R"),$F281*$G281,"")</f>
        <v/>
      </c>
      <c r="J281" s="29" t="str">
        <f aca="false">IF(AND($E281="A",ISNUMBER($F281),ISNUMBER($G281)),$F281*(1+$G281/30),"")</f>
        <v/>
      </c>
      <c r="K281" s="19"/>
      <c r="L281" s="19"/>
    </row>
    <row r="282" customFormat="false" ht="15.75" hidden="false" customHeight="true" outlineLevel="0" collapsed="false">
      <c r="A282" s="26" t="str">
        <f aca="false">IFERROR(IF($B282="","",IF(INDEX(Einheiten!$B$4:$B$27,MATCH($B282,Einheiten!$A$4:$A$27,0))=0,"",INDEX(Einheiten!$B$4:$B$27,MATCH($B282,Einheiten!$A$4:$A$27,0)))),"")</f>
        <v/>
      </c>
      <c r="B282" s="27"/>
      <c r="C282" s="28" t="str">
        <f aca="false">IFERROR(IF($D282="","",INDEX(Übungen!$B$4:$B$17,MATCH($D282,Übungen!$A$4:$A$17,0))),"")</f>
        <v/>
      </c>
      <c r="D282" s="19"/>
      <c r="E282" s="17"/>
      <c r="F282" s="20"/>
      <c r="G282" s="21"/>
      <c r="H282" s="20"/>
      <c r="I282" s="22" t="str">
        <f aca="false">IF(AND(ISNUMBER($F282),ISNUMBER($G282),$E282&lt;&gt;"R"),$F282*$G282,"")</f>
        <v/>
      </c>
      <c r="J282" s="29" t="str">
        <f aca="false">IF(AND($E282="A",ISNUMBER($F282),ISNUMBER($G282)),$F282*(1+$G282/30),"")</f>
        <v/>
      </c>
      <c r="K282" s="19"/>
      <c r="L282" s="19"/>
    </row>
    <row r="283" customFormat="false" ht="15.75" hidden="false" customHeight="true" outlineLevel="0" collapsed="false">
      <c r="A283" s="26" t="str">
        <f aca="false">IFERROR(IF($B283="","",IF(INDEX(Einheiten!$B$4:$B$27,MATCH($B283,Einheiten!$A$4:$A$27,0))=0,"",INDEX(Einheiten!$B$4:$B$27,MATCH($B283,Einheiten!$A$4:$A$27,0)))),"")</f>
        <v/>
      </c>
      <c r="B283" s="27"/>
      <c r="C283" s="28" t="str">
        <f aca="false">IFERROR(IF($D283="","",INDEX(Übungen!$B$4:$B$17,MATCH($D283,Übungen!$A$4:$A$17,0))),"")</f>
        <v/>
      </c>
      <c r="D283" s="19"/>
      <c r="E283" s="17"/>
      <c r="F283" s="20"/>
      <c r="G283" s="21"/>
      <c r="H283" s="20"/>
      <c r="I283" s="22" t="str">
        <f aca="false">IF(AND(ISNUMBER($F283),ISNUMBER($G283),$E283&lt;&gt;"R"),$F283*$G283,"")</f>
        <v/>
      </c>
      <c r="J283" s="29" t="str">
        <f aca="false">IF(AND($E283="A",ISNUMBER($F283),ISNUMBER($G283)),$F283*(1+$G283/30),"")</f>
        <v/>
      </c>
      <c r="K283" s="19"/>
      <c r="L283" s="19"/>
    </row>
    <row r="284" customFormat="false" ht="15.75" hidden="false" customHeight="true" outlineLevel="0" collapsed="false">
      <c r="A284" s="26" t="str">
        <f aca="false">IFERROR(IF($B284="","",IF(INDEX(Einheiten!$B$4:$B$27,MATCH($B284,Einheiten!$A$4:$A$27,0))=0,"",INDEX(Einheiten!$B$4:$B$27,MATCH($B284,Einheiten!$A$4:$A$27,0)))),"")</f>
        <v/>
      </c>
      <c r="B284" s="27"/>
      <c r="C284" s="28" t="str">
        <f aca="false">IFERROR(IF($D284="","",INDEX(Übungen!$B$4:$B$17,MATCH($D284,Übungen!$A$4:$A$17,0))),"")</f>
        <v/>
      </c>
      <c r="D284" s="19"/>
      <c r="E284" s="17"/>
      <c r="F284" s="20"/>
      <c r="G284" s="21"/>
      <c r="H284" s="20"/>
      <c r="I284" s="22" t="str">
        <f aca="false">IF(AND(ISNUMBER($F284),ISNUMBER($G284),$E284&lt;&gt;"R"),$F284*$G284,"")</f>
        <v/>
      </c>
      <c r="J284" s="29" t="str">
        <f aca="false">IF(AND($E284="A",ISNUMBER($F284),ISNUMBER($G284)),$F284*(1+$G284/30),"")</f>
        <v/>
      </c>
      <c r="K284" s="19"/>
      <c r="L284" s="19"/>
    </row>
    <row r="285" customFormat="false" ht="15.75" hidden="false" customHeight="true" outlineLevel="0" collapsed="false">
      <c r="A285" s="26" t="str">
        <f aca="false">IFERROR(IF($B285="","",IF(INDEX(Einheiten!$B$4:$B$27,MATCH($B285,Einheiten!$A$4:$A$27,0))=0,"",INDEX(Einheiten!$B$4:$B$27,MATCH($B285,Einheiten!$A$4:$A$27,0)))),"")</f>
        <v/>
      </c>
      <c r="B285" s="27"/>
      <c r="C285" s="28" t="str">
        <f aca="false">IFERROR(IF($D285="","",INDEX(Übungen!$B$4:$B$17,MATCH($D285,Übungen!$A$4:$A$17,0))),"")</f>
        <v/>
      </c>
      <c r="D285" s="19"/>
      <c r="E285" s="17"/>
      <c r="F285" s="20"/>
      <c r="G285" s="21"/>
      <c r="H285" s="20"/>
      <c r="I285" s="22" t="str">
        <f aca="false">IF(AND(ISNUMBER($F285),ISNUMBER($G285),$E285&lt;&gt;"R"),$F285*$G285,"")</f>
        <v/>
      </c>
      <c r="J285" s="29" t="str">
        <f aca="false">IF(AND($E285="A",ISNUMBER($F285),ISNUMBER($G285)),$F285*(1+$G285/30),"")</f>
        <v/>
      </c>
      <c r="K285" s="19"/>
      <c r="L285" s="19"/>
    </row>
    <row r="286" customFormat="false" ht="15.75" hidden="false" customHeight="true" outlineLevel="0" collapsed="false">
      <c r="A286" s="26" t="str">
        <f aca="false">IFERROR(IF($B286="","",IF(INDEX(Einheiten!$B$4:$B$27,MATCH($B286,Einheiten!$A$4:$A$27,0))=0,"",INDEX(Einheiten!$B$4:$B$27,MATCH($B286,Einheiten!$A$4:$A$27,0)))),"")</f>
        <v/>
      </c>
      <c r="B286" s="27"/>
      <c r="C286" s="28" t="str">
        <f aca="false">IFERROR(IF($D286="","",INDEX(Übungen!$B$4:$B$17,MATCH($D286,Übungen!$A$4:$A$17,0))),"")</f>
        <v/>
      </c>
      <c r="D286" s="19"/>
      <c r="E286" s="17"/>
      <c r="F286" s="20"/>
      <c r="G286" s="21"/>
      <c r="H286" s="20"/>
      <c r="I286" s="22" t="str">
        <f aca="false">IF(AND(ISNUMBER($F286),ISNUMBER($G286),$E286&lt;&gt;"R"),$F286*$G286,"")</f>
        <v/>
      </c>
      <c r="J286" s="29" t="str">
        <f aca="false">IF(AND($E286="A",ISNUMBER($F286),ISNUMBER($G286)),$F286*(1+$G286/30),"")</f>
        <v/>
      </c>
      <c r="K286" s="19"/>
      <c r="L286" s="19"/>
    </row>
    <row r="287" customFormat="false" ht="15.75" hidden="false" customHeight="true" outlineLevel="0" collapsed="false">
      <c r="A287" s="26" t="str">
        <f aca="false">IFERROR(IF($B287="","",IF(INDEX(Einheiten!$B$4:$B$27,MATCH($B287,Einheiten!$A$4:$A$27,0))=0,"",INDEX(Einheiten!$B$4:$B$27,MATCH($B287,Einheiten!$A$4:$A$27,0)))),"")</f>
        <v/>
      </c>
      <c r="B287" s="27"/>
      <c r="C287" s="28" t="str">
        <f aca="false">IFERROR(IF($D287="","",INDEX(Übungen!$B$4:$B$17,MATCH($D287,Übungen!$A$4:$A$17,0))),"")</f>
        <v/>
      </c>
      <c r="D287" s="19"/>
      <c r="E287" s="17"/>
      <c r="F287" s="20"/>
      <c r="G287" s="21"/>
      <c r="H287" s="20"/>
      <c r="I287" s="22" t="str">
        <f aca="false">IF(AND(ISNUMBER($F287),ISNUMBER($G287),$E287&lt;&gt;"R"),$F287*$G287,"")</f>
        <v/>
      </c>
      <c r="J287" s="29" t="str">
        <f aca="false">IF(AND($E287="A",ISNUMBER($F287),ISNUMBER($G287)),$F287*(1+$G287/30),"")</f>
        <v/>
      </c>
      <c r="K287" s="19"/>
      <c r="L287" s="19"/>
    </row>
    <row r="288" customFormat="false" ht="15.75" hidden="false" customHeight="true" outlineLevel="0" collapsed="false">
      <c r="A288" s="26" t="str">
        <f aca="false">IFERROR(IF($B288="","",IF(INDEX(Einheiten!$B$4:$B$27,MATCH($B288,Einheiten!$A$4:$A$27,0))=0,"",INDEX(Einheiten!$B$4:$B$27,MATCH($B288,Einheiten!$A$4:$A$27,0)))),"")</f>
        <v/>
      </c>
      <c r="B288" s="27"/>
      <c r="C288" s="28" t="str">
        <f aca="false">IFERROR(IF($D288="","",INDEX(Übungen!$B$4:$B$17,MATCH($D288,Übungen!$A$4:$A$17,0))),"")</f>
        <v/>
      </c>
      <c r="D288" s="19"/>
      <c r="E288" s="17"/>
      <c r="F288" s="20"/>
      <c r="G288" s="21"/>
      <c r="H288" s="20"/>
      <c r="I288" s="22" t="str">
        <f aca="false">IF(AND(ISNUMBER($F288),ISNUMBER($G288),$E288&lt;&gt;"R"),$F288*$G288,"")</f>
        <v/>
      </c>
      <c r="J288" s="29" t="str">
        <f aca="false">IF(AND($E288="A",ISNUMBER($F288),ISNUMBER($G288)),$F288*(1+$G288/30),"")</f>
        <v/>
      </c>
      <c r="K288" s="19"/>
      <c r="L288" s="19"/>
    </row>
    <row r="289" customFormat="false" ht="15.75" hidden="false" customHeight="true" outlineLevel="0" collapsed="false">
      <c r="A289" s="26" t="str">
        <f aca="false">IFERROR(IF($B289="","",IF(INDEX(Einheiten!$B$4:$B$27,MATCH($B289,Einheiten!$A$4:$A$27,0))=0,"",INDEX(Einheiten!$B$4:$B$27,MATCH($B289,Einheiten!$A$4:$A$27,0)))),"")</f>
        <v/>
      </c>
      <c r="B289" s="27"/>
      <c r="C289" s="28" t="str">
        <f aca="false">IFERROR(IF($D289="","",INDEX(Übungen!$B$4:$B$17,MATCH($D289,Übungen!$A$4:$A$17,0))),"")</f>
        <v/>
      </c>
      <c r="D289" s="19"/>
      <c r="E289" s="17"/>
      <c r="F289" s="20"/>
      <c r="G289" s="21"/>
      <c r="H289" s="20"/>
      <c r="I289" s="22" t="str">
        <f aca="false">IF(AND(ISNUMBER($F289),ISNUMBER($G289),$E289&lt;&gt;"R"),$F289*$G289,"")</f>
        <v/>
      </c>
      <c r="J289" s="29" t="str">
        <f aca="false">IF(AND($E289="A",ISNUMBER($F289),ISNUMBER($G289)),$F289*(1+$G289/30),"")</f>
        <v/>
      </c>
      <c r="K289" s="19"/>
      <c r="L289" s="19"/>
    </row>
    <row r="290" customFormat="false" ht="15.75" hidden="false" customHeight="true" outlineLevel="0" collapsed="false">
      <c r="A290" s="26" t="str">
        <f aca="false">IFERROR(IF($B290="","",IF(INDEX(Einheiten!$B$4:$B$27,MATCH($B290,Einheiten!$A$4:$A$27,0))=0,"",INDEX(Einheiten!$B$4:$B$27,MATCH($B290,Einheiten!$A$4:$A$27,0)))),"")</f>
        <v/>
      </c>
      <c r="B290" s="27"/>
      <c r="C290" s="28" t="str">
        <f aca="false">IFERROR(IF($D290="","",INDEX(Übungen!$B$4:$B$17,MATCH($D290,Übungen!$A$4:$A$17,0))),"")</f>
        <v/>
      </c>
      <c r="D290" s="19"/>
      <c r="E290" s="17"/>
      <c r="F290" s="20"/>
      <c r="G290" s="21"/>
      <c r="H290" s="20"/>
      <c r="I290" s="22" t="str">
        <f aca="false">IF(AND(ISNUMBER($F290),ISNUMBER($G290),$E290&lt;&gt;"R"),$F290*$G290,"")</f>
        <v/>
      </c>
      <c r="J290" s="29" t="str">
        <f aca="false">IF(AND($E290="A",ISNUMBER($F290),ISNUMBER($G290)),$F290*(1+$G290/30),"")</f>
        <v/>
      </c>
      <c r="K290" s="19"/>
      <c r="L290" s="19"/>
    </row>
    <row r="291" customFormat="false" ht="15.75" hidden="false" customHeight="true" outlineLevel="0" collapsed="false">
      <c r="A291" s="26" t="str">
        <f aca="false">IFERROR(IF($B291="","",IF(INDEX(Einheiten!$B$4:$B$27,MATCH($B291,Einheiten!$A$4:$A$27,0))=0,"",INDEX(Einheiten!$B$4:$B$27,MATCH($B291,Einheiten!$A$4:$A$27,0)))),"")</f>
        <v/>
      </c>
      <c r="B291" s="27"/>
      <c r="C291" s="28" t="str">
        <f aca="false">IFERROR(IF($D291="","",INDEX(Übungen!$B$4:$B$17,MATCH($D291,Übungen!$A$4:$A$17,0))),"")</f>
        <v/>
      </c>
      <c r="D291" s="19"/>
      <c r="E291" s="17"/>
      <c r="F291" s="20"/>
      <c r="G291" s="21"/>
      <c r="H291" s="20"/>
      <c r="I291" s="22" t="str">
        <f aca="false">IF(AND(ISNUMBER($F291),ISNUMBER($G291),$E291&lt;&gt;"R"),$F291*$G291,"")</f>
        <v/>
      </c>
      <c r="J291" s="29" t="str">
        <f aca="false">IF(AND($E291="A",ISNUMBER($F291),ISNUMBER($G291)),$F291*(1+$G291/30),"")</f>
        <v/>
      </c>
      <c r="K291" s="19"/>
      <c r="L291" s="19"/>
    </row>
    <row r="292" customFormat="false" ht="15.75" hidden="false" customHeight="true" outlineLevel="0" collapsed="false">
      <c r="A292" s="26" t="str">
        <f aca="false">IFERROR(IF($B292="","",IF(INDEX(Einheiten!$B$4:$B$27,MATCH($B292,Einheiten!$A$4:$A$27,0))=0,"",INDEX(Einheiten!$B$4:$B$27,MATCH($B292,Einheiten!$A$4:$A$27,0)))),"")</f>
        <v/>
      </c>
      <c r="B292" s="27"/>
      <c r="C292" s="28" t="str">
        <f aca="false">IFERROR(IF($D292="","",INDEX(Übungen!$B$4:$B$17,MATCH($D292,Übungen!$A$4:$A$17,0))),"")</f>
        <v/>
      </c>
      <c r="D292" s="19"/>
      <c r="E292" s="17"/>
      <c r="F292" s="20"/>
      <c r="G292" s="21"/>
      <c r="H292" s="20"/>
      <c r="I292" s="22" t="str">
        <f aca="false">IF(AND(ISNUMBER($F292),ISNUMBER($G292),$E292&lt;&gt;"R"),$F292*$G292,"")</f>
        <v/>
      </c>
      <c r="J292" s="29" t="str">
        <f aca="false">IF(AND($E292="A",ISNUMBER($F292),ISNUMBER($G292)),$F292*(1+$G292/30),"")</f>
        <v/>
      </c>
      <c r="K292" s="19"/>
      <c r="L292" s="19"/>
    </row>
    <row r="293" customFormat="false" ht="15.75" hidden="false" customHeight="true" outlineLevel="0" collapsed="false">
      <c r="A293" s="26" t="str">
        <f aca="false">IFERROR(IF($B293="","",IF(INDEX(Einheiten!$B$4:$B$27,MATCH($B293,Einheiten!$A$4:$A$27,0))=0,"",INDEX(Einheiten!$B$4:$B$27,MATCH($B293,Einheiten!$A$4:$A$27,0)))),"")</f>
        <v/>
      </c>
      <c r="B293" s="27"/>
      <c r="C293" s="28" t="str">
        <f aca="false">IFERROR(IF($D293="","",INDEX(Übungen!$B$4:$B$17,MATCH($D293,Übungen!$A$4:$A$17,0))),"")</f>
        <v/>
      </c>
      <c r="D293" s="19"/>
      <c r="E293" s="17"/>
      <c r="F293" s="20"/>
      <c r="G293" s="21"/>
      <c r="H293" s="20"/>
      <c r="I293" s="22" t="str">
        <f aca="false">IF(AND(ISNUMBER($F293),ISNUMBER($G293),$E293&lt;&gt;"R"),$F293*$G293,"")</f>
        <v/>
      </c>
      <c r="J293" s="29" t="str">
        <f aca="false">IF(AND($E293="A",ISNUMBER($F293),ISNUMBER($G293)),$F293*(1+$G293/30),"")</f>
        <v/>
      </c>
      <c r="K293" s="19"/>
      <c r="L293" s="19"/>
    </row>
    <row r="294" customFormat="false" ht="15.75" hidden="false" customHeight="true" outlineLevel="0" collapsed="false">
      <c r="A294" s="26" t="str">
        <f aca="false">IFERROR(IF($B294="","",IF(INDEX(Einheiten!$B$4:$B$27,MATCH($B294,Einheiten!$A$4:$A$27,0))=0,"",INDEX(Einheiten!$B$4:$B$27,MATCH($B294,Einheiten!$A$4:$A$27,0)))),"")</f>
        <v/>
      </c>
      <c r="B294" s="27"/>
      <c r="C294" s="28" t="str">
        <f aca="false">IFERROR(IF($D294="","",INDEX(Übungen!$B$4:$B$17,MATCH($D294,Übungen!$A$4:$A$17,0))),"")</f>
        <v/>
      </c>
      <c r="D294" s="19"/>
      <c r="E294" s="17"/>
      <c r="F294" s="20"/>
      <c r="G294" s="21"/>
      <c r="H294" s="20"/>
      <c r="I294" s="22" t="str">
        <f aca="false">IF(AND(ISNUMBER($F294),ISNUMBER($G294),$E294&lt;&gt;"R"),$F294*$G294,"")</f>
        <v/>
      </c>
      <c r="J294" s="29" t="str">
        <f aca="false">IF(AND($E294="A",ISNUMBER($F294),ISNUMBER($G294)),$F294*(1+$G294/30),"")</f>
        <v/>
      </c>
      <c r="K294" s="19"/>
      <c r="L294" s="19"/>
    </row>
    <row r="295" customFormat="false" ht="15.75" hidden="false" customHeight="true" outlineLevel="0" collapsed="false">
      <c r="A295" s="26" t="str">
        <f aca="false">IFERROR(IF($B295="","",IF(INDEX(Einheiten!$B$4:$B$27,MATCH($B295,Einheiten!$A$4:$A$27,0))=0,"",INDEX(Einheiten!$B$4:$B$27,MATCH($B295,Einheiten!$A$4:$A$27,0)))),"")</f>
        <v/>
      </c>
      <c r="B295" s="27"/>
      <c r="C295" s="28" t="str">
        <f aca="false">IFERROR(IF($D295="","",INDEX(Übungen!$B$4:$B$17,MATCH($D295,Übungen!$A$4:$A$17,0))),"")</f>
        <v/>
      </c>
      <c r="D295" s="19"/>
      <c r="E295" s="17"/>
      <c r="F295" s="20"/>
      <c r="G295" s="21"/>
      <c r="H295" s="20"/>
      <c r="I295" s="22" t="str">
        <f aca="false">IF(AND(ISNUMBER($F295),ISNUMBER($G295),$E295&lt;&gt;"R"),$F295*$G295,"")</f>
        <v/>
      </c>
      <c r="J295" s="29" t="str">
        <f aca="false">IF(AND($E295="A",ISNUMBER($F295),ISNUMBER($G295)),$F295*(1+$G295/30),"")</f>
        <v/>
      </c>
      <c r="K295" s="19"/>
      <c r="L295" s="19"/>
    </row>
    <row r="296" customFormat="false" ht="15.75" hidden="false" customHeight="true" outlineLevel="0" collapsed="false">
      <c r="A296" s="26" t="str">
        <f aca="false">IFERROR(IF($B296="","",IF(INDEX(Einheiten!$B$4:$B$27,MATCH($B296,Einheiten!$A$4:$A$27,0))=0,"",INDEX(Einheiten!$B$4:$B$27,MATCH($B296,Einheiten!$A$4:$A$27,0)))),"")</f>
        <v/>
      </c>
      <c r="B296" s="27"/>
      <c r="C296" s="28" t="str">
        <f aca="false">IFERROR(IF($D296="","",INDEX(Übungen!$B$4:$B$17,MATCH($D296,Übungen!$A$4:$A$17,0))),"")</f>
        <v/>
      </c>
      <c r="D296" s="19"/>
      <c r="E296" s="17"/>
      <c r="F296" s="20"/>
      <c r="G296" s="21"/>
      <c r="H296" s="20"/>
      <c r="I296" s="22" t="str">
        <f aca="false">IF(AND(ISNUMBER($F296),ISNUMBER($G296),$E296&lt;&gt;"R"),$F296*$G296,"")</f>
        <v/>
      </c>
      <c r="J296" s="29" t="str">
        <f aca="false">IF(AND($E296="A",ISNUMBER($F296),ISNUMBER($G296)),$F296*(1+$G296/30),"")</f>
        <v/>
      </c>
      <c r="K296" s="19"/>
      <c r="L296" s="19"/>
    </row>
    <row r="297" customFormat="false" ht="15.75" hidden="false" customHeight="true" outlineLevel="0" collapsed="false">
      <c r="A297" s="26" t="str">
        <f aca="false">IFERROR(IF($B297="","",IF(INDEX(Einheiten!$B$4:$B$27,MATCH($B297,Einheiten!$A$4:$A$27,0))=0,"",INDEX(Einheiten!$B$4:$B$27,MATCH($B297,Einheiten!$A$4:$A$27,0)))),"")</f>
        <v/>
      </c>
      <c r="B297" s="27"/>
      <c r="C297" s="28" t="str">
        <f aca="false">IFERROR(IF($D297="","",INDEX(Übungen!$B$4:$B$17,MATCH($D297,Übungen!$A$4:$A$17,0))),"")</f>
        <v/>
      </c>
      <c r="D297" s="19"/>
      <c r="E297" s="17"/>
      <c r="F297" s="20"/>
      <c r="G297" s="21"/>
      <c r="H297" s="20"/>
      <c r="I297" s="22" t="str">
        <f aca="false">IF(AND(ISNUMBER($F297),ISNUMBER($G297),$E297&lt;&gt;"R"),$F297*$G297,"")</f>
        <v/>
      </c>
      <c r="J297" s="29" t="str">
        <f aca="false">IF(AND($E297="A",ISNUMBER($F297),ISNUMBER($G297)),$F297*(1+$G297/30),"")</f>
        <v/>
      </c>
      <c r="K297" s="19"/>
      <c r="L297" s="19"/>
    </row>
    <row r="298" customFormat="false" ht="15.75" hidden="false" customHeight="true" outlineLevel="0" collapsed="false">
      <c r="A298" s="26" t="str">
        <f aca="false">IFERROR(IF($B298="","",IF(INDEX(Einheiten!$B$4:$B$27,MATCH($B298,Einheiten!$A$4:$A$27,0))=0,"",INDEX(Einheiten!$B$4:$B$27,MATCH($B298,Einheiten!$A$4:$A$27,0)))),"")</f>
        <v/>
      </c>
      <c r="B298" s="27"/>
      <c r="C298" s="28" t="str">
        <f aca="false">IFERROR(IF($D298="","",INDEX(Übungen!$B$4:$B$17,MATCH($D298,Übungen!$A$4:$A$17,0))),"")</f>
        <v/>
      </c>
      <c r="D298" s="19"/>
      <c r="E298" s="17"/>
      <c r="F298" s="20"/>
      <c r="G298" s="21"/>
      <c r="H298" s="20"/>
      <c r="I298" s="22" t="str">
        <f aca="false">IF(AND(ISNUMBER($F298),ISNUMBER($G298),$E298&lt;&gt;"R"),$F298*$G298,"")</f>
        <v/>
      </c>
      <c r="J298" s="29" t="str">
        <f aca="false">IF(AND($E298="A",ISNUMBER($F298),ISNUMBER($G298)),$F298*(1+$G298/30),"")</f>
        <v/>
      </c>
      <c r="K298" s="19"/>
      <c r="L298" s="19"/>
    </row>
    <row r="299" customFormat="false" ht="15.75" hidden="false" customHeight="true" outlineLevel="0" collapsed="false">
      <c r="A299" s="26" t="str">
        <f aca="false">IFERROR(IF($B299="","",IF(INDEX(Einheiten!$B$4:$B$27,MATCH($B299,Einheiten!$A$4:$A$27,0))=0,"",INDEX(Einheiten!$B$4:$B$27,MATCH($B299,Einheiten!$A$4:$A$27,0)))),"")</f>
        <v/>
      </c>
      <c r="B299" s="27"/>
      <c r="C299" s="28" t="str">
        <f aca="false">IFERROR(IF($D299="","",INDEX(Übungen!$B$4:$B$17,MATCH($D299,Übungen!$A$4:$A$17,0))),"")</f>
        <v/>
      </c>
      <c r="D299" s="19"/>
      <c r="E299" s="17"/>
      <c r="F299" s="20"/>
      <c r="G299" s="21"/>
      <c r="H299" s="20"/>
      <c r="I299" s="22" t="str">
        <f aca="false">IF(AND(ISNUMBER($F299),ISNUMBER($G299),$E299&lt;&gt;"R"),$F299*$G299,"")</f>
        <v/>
      </c>
      <c r="J299" s="29" t="str">
        <f aca="false">IF(AND($E299="A",ISNUMBER($F299),ISNUMBER($G299)),$F299*(1+$G299/30),"")</f>
        <v/>
      </c>
      <c r="K299" s="19"/>
      <c r="L299" s="19"/>
    </row>
    <row r="300" customFormat="false" ht="15.75" hidden="false" customHeight="true" outlineLevel="0" collapsed="false">
      <c r="A300" s="26" t="str">
        <f aca="false">IFERROR(IF($B300="","",IF(INDEX(Einheiten!$B$4:$B$27,MATCH($B300,Einheiten!$A$4:$A$27,0))=0,"",INDEX(Einheiten!$B$4:$B$27,MATCH($B300,Einheiten!$A$4:$A$27,0)))),"")</f>
        <v/>
      </c>
      <c r="B300" s="27"/>
      <c r="C300" s="28" t="str">
        <f aca="false">IFERROR(IF($D300="","",INDEX(Übungen!$B$4:$B$17,MATCH($D300,Übungen!$A$4:$A$17,0))),"")</f>
        <v/>
      </c>
      <c r="D300" s="19"/>
      <c r="E300" s="17"/>
      <c r="F300" s="20"/>
      <c r="G300" s="21"/>
      <c r="H300" s="20"/>
      <c r="I300" s="22" t="str">
        <f aca="false">IF(AND(ISNUMBER($F300),ISNUMBER($G300),$E300&lt;&gt;"R"),$F300*$G300,"")</f>
        <v/>
      </c>
      <c r="J300" s="29" t="str">
        <f aca="false">IF(AND($E300="A",ISNUMBER($F300),ISNUMBER($G300)),$F300*(1+$G300/30),"")</f>
        <v/>
      </c>
      <c r="K300" s="19"/>
      <c r="L300" s="19"/>
    </row>
    <row r="301" customFormat="false" ht="15.75" hidden="false" customHeight="true" outlineLevel="0" collapsed="false">
      <c r="A301" s="26" t="str">
        <f aca="false">IFERROR(IF($B301="","",IF(INDEX(Einheiten!$B$4:$B$27,MATCH($B301,Einheiten!$A$4:$A$27,0))=0,"",INDEX(Einheiten!$B$4:$B$27,MATCH($B301,Einheiten!$A$4:$A$27,0)))),"")</f>
        <v/>
      </c>
      <c r="B301" s="27"/>
      <c r="C301" s="28" t="str">
        <f aca="false">IFERROR(IF($D301="","",INDEX(Übungen!$B$4:$B$17,MATCH($D301,Übungen!$A$4:$A$17,0))),"")</f>
        <v/>
      </c>
      <c r="D301" s="19"/>
      <c r="E301" s="17"/>
      <c r="F301" s="20"/>
      <c r="G301" s="21"/>
      <c r="H301" s="20"/>
      <c r="I301" s="22" t="str">
        <f aca="false">IF(AND(ISNUMBER($F301),ISNUMBER($G301),$E301&lt;&gt;"R"),$F301*$G301,"")</f>
        <v/>
      </c>
      <c r="J301" s="29" t="str">
        <f aca="false">IF(AND($E301="A",ISNUMBER($F301),ISNUMBER($G301)),$F301*(1+$G301/30),"")</f>
        <v/>
      </c>
      <c r="K301" s="19"/>
      <c r="L301" s="19"/>
    </row>
    <row r="302" customFormat="false" ht="15.75" hidden="false" customHeight="true" outlineLevel="0" collapsed="false">
      <c r="A302" s="26" t="str">
        <f aca="false">IFERROR(IF($B302="","",IF(INDEX(Einheiten!$B$4:$B$27,MATCH($B302,Einheiten!$A$4:$A$27,0))=0,"",INDEX(Einheiten!$B$4:$B$27,MATCH($B302,Einheiten!$A$4:$A$27,0)))),"")</f>
        <v/>
      </c>
      <c r="B302" s="27"/>
      <c r="C302" s="28" t="str">
        <f aca="false">IFERROR(IF($D302="","",INDEX(Übungen!$B$4:$B$17,MATCH($D302,Übungen!$A$4:$A$17,0))),"")</f>
        <v/>
      </c>
      <c r="D302" s="19"/>
      <c r="E302" s="17"/>
      <c r="F302" s="20"/>
      <c r="G302" s="21"/>
      <c r="H302" s="20"/>
      <c r="I302" s="22" t="str">
        <f aca="false">IF(AND(ISNUMBER($F302),ISNUMBER($G302),$E302&lt;&gt;"R"),$F302*$G302,"")</f>
        <v/>
      </c>
      <c r="J302" s="29" t="str">
        <f aca="false">IF(AND($E302="A",ISNUMBER($F302),ISNUMBER($G302)),$F302*(1+$G302/30),"")</f>
        <v/>
      </c>
      <c r="K302" s="19"/>
      <c r="L302" s="19"/>
    </row>
    <row r="303" customFormat="false" ht="15.75" hidden="false" customHeight="true" outlineLevel="0" collapsed="false">
      <c r="A303" s="26" t="str">
        <f aca="false">IFERROR(IF($B303="","",IF(INDEX(Einheiten!$B$4:$B$27,MATCH($B303,Einheiten!$A$4:$A$27,0))=0,"",INDEX(Einheiten!$B$4:$B$27,MATCH($B303,Einheiten!$A$4:$A$27,0)))),"")</f>
        <v/>
      </c>
      <c r="B303" s="27"/>
      <c r="C303" s="28" t="str">
        <f aca="false">IFERROR(IF($D303="","",INDEX(Übungen!$B$4:$B$17,MATCH($D303,Übungen!$A$4:$A$17,0))),"")</f>
        <v/>
      </c>
      <c r="D303" s="19"/>
      <c r="E303" s="17"/>
      <c r="F303" s="20"/>
      <c r="G303" s="21"/>
      <c r="H303" s="20"/>
      <c r="I303" s="22" t="str">
        <f aca="false">IF(AND(ISNUMBER($F303),ISNUMBER($G303),$E303&lt;&gt;"R"),$F303*$G303,"")</f>
        <v/>
      </c>
      <c r="J303" s="29" t="str">
        <f aca="false">IF(AND($E303="A",ISNUMBER($F303),ISNUMBER($G303)),$F303*(1+$G303/30),"")</f>
        <v/>
      </c>
      <c r="K303" s="19"/>
      <c r="L303" s="19"/>
    </row>
    <row r="304" customFormat="false" ht="15.75" hidden="false" customHeight="true" outlineLevel="0" collapsed="false">
      <c r="A304" s="26" t="str">
        <f aca="false">IFERROR(IF($B304="","",IF(INDEX(Einheiten!$B$4:$B$27,MATCH($B304,Einheiten!$A$4:$A$27,0))=0,"",INDEX(Einheiten!$B$4:$B$27,MATCH($B304,Einheiten!$A$4:$A$27,0)))),"")</f>
        <v/>
      </c>
      <c r="B304" s="27"/>
      <c r="C304" s="28" t="str">
        <f aca="false">IFERROR(IF($D304="","",INDEX(Übungen!$B$4:$B$17,MATCH($D304,Übungen!$A$4:$A$17,0))),"")</f>
        <v/>
      </c>
      <c r="D304" s="19"/>
      <c r="E304" s="17"/>
      <c r="F304" s="20"/>
      <c r="G304" s="21"/>
      <c r="H304" s="20"/>
      <c r="I304" s="22" t="str">
        <f aca="false">IF(AND(ISNUMBER($F304),ISNUMBER($G304),$E304&lt;&gt;"R"),$F304*$G304,"")</f>
        <v/>
      </c>
      <c r="J304" s="29" t="str">
        <f aca="false">IF(AND($E304="A",ISNUMBER($F304),ISNUMBER($G304)),$F304*(1+$G304/30),"")</f>
        <v/>
      </c>
      <c r="K304" s="19"/>
      <c r="L304" s="19"/>
    </row>
    <row r="305" customFormat="false" ht="15.75" hidden="false" customHeight="true" outlineLevel="0" collapsed="false">
      <c r="A305" s="26" t="str">
        <f aca="false">IFERROR(IF($B305="","",IF(INDEX(Einheiten!$B$4:$B$27,MATCH($B305,Einheiten!$A$4:$A$27,0))=0,"",INDEX(Einheiten!$B$4:$B$27,MATCH($B305,Einheiten!$A$4:$A$27,0)))),"")</f>
        <v/>
      </c>
      <c r="B305" s="27"/>
      <c r="C305" s="28" t="str">
        <f aca="false">IFERROR(IF($D305="","",INDEX(Übungen!$B$4:$B$17,MATCH($D305,Übungen!$A$4:$A$17,0))),"")</f>
        <v/>
      </c>
      <c r="D305" s="19"/>
      <c r="E305" s="17"/>
      <c r="F305" s="20"/>
      <c r="G305" s="21"/>
      <c r="H305" s="20"/>
      <c r="I305" s="22" t="str">
        <f aca="false">IF(AND(ISNUMBER($F305),ISNUMBER($G305),$E305&lt;&gt;"R"),$F305*$G305,"")</f>
        <v/>
      </c>
      <c r="J305" s="29" t="str">
        <f aca="false">IF(AND($E305="A",ISNUMBER($F305),ISNUMBER($G305)),$F305*(1+$G305/30),"")</f>
        <v/>
      </c>
      <c r="K305" s="19"/>
      <c r="L305" s="19"/>
    </row>
    <row r="306" customFormat="false" ht="15.75" hidden="false" customHeight="true" outlineLevel="0" collapsed="false">
      <c r="A306" s="26" t="str">
        <f aca="false">IFERROR(IF($B306="","",IF(INDEX(Einheiten!$B$4:$B$27,MATCH($B306,Einheiten!$A$4:$A$27,0))=0,"",INDEX(Einheiten!$B$4:$B$27,MATCH($B306,Einheiten!$A$4:$A$27,0)))),"")</f>
        <v/>
      </c>
      <c r="B306" s="27"/>
      <c r="C306" s="28" t="str">
        <f aca="false">IFERROR(IF($D306="","",INDEX(Übungen!$B$4:$B$17,MATCH($D306,Übungen!$A$4:$A$17,0))),"")</f>
        <v/>
      </c>
      <c r="D306" s="19"/>
      <c r="E306" s="17"/>
      <c r="F306" s="20"/>
      <c r="G306" s="21"/>
      <c r="H306" s="20"/>
      <c r="I306" s="22" t="str">
        <f aca="false">IF(AND(ISNUMBER($F306),ISNUMBER($G306),$E306&lt;&gt;"R"),$F306*$G306,"")</f>
        <v/>
      </c>
      <c r="J306" s="29" t="str">
        <f aca="false">IF(AND($E306="A",ISNUMBER($F306),ISNUMBER($G306)),$F306*(1+$G306/30),"")</f>
        <v/>
      </c>
      <c r="K306" s="19"/>
      <c r="L306" s="19"/>
    </row>
    <row r="307" customFormat="false" ht="15.75" hidden="false" customHeight="true" outlineLevel="0" collapsed="false">
      <c r="A307" s="26" t="str">
        <f aca="false">IFERROR(IF($B307="","",IF(INDEX(Einheiten!$B$4:$B$27,MATCH($B307,Einheiten!$A$4:$A$27,0))=0,"",INDEX(Einheiten!$B$4:$B$27,MATCH($B307,Einheiten!$A$4:$A$27,0)))),"")</f>
        <v/>
      </c>
      <c r="B307" s="27"/>
      <c r="C307" s="28" t="str">
        <f aca="false">IFERROR(IF($D307="","",INDEX(Übungen!$B$4:$B$17,MATCH($D307,Übungen!$A$4:$A$17,0))),"")</f>
        <v/>
      </c>
      <c r="D307" s="19"/>
      <c r="E307" s="17"/>
      <c r="F307" s="20"/>
      <c r="G307" s="21"/>
      <c r="H307" s="20"/>
      <c r="I307" s="22" t="str">
        <f aca="false">IF(AND(ISNUMBER($F307),ISNUMBER($G307),$E307&lt;&gt;"R"),$F307*$G307,"")</f>
        <v/>
      </c>
      <c r="J307" s="29" t="str">
        <f aca="false">IF(AND($E307="A",ISNUMBER($F307),ISNUMBER($G307)),$F307*(1+$G307/30),"")</f>
        <v/>
      </c>
      <c r="K307" s="19"/>
      <c r="L307" s="19"/>
    </row>
    <row r="308" customFormat="false" ht="15.75" hidden="false" customHeight="true" outlineLevel="0" collapsed="false">
      <c r="A308" s="26" t="str">
        <f aca="false">IFERROR(IF($B308="","",IF(INDEX(Einheiten!$B$4:$B$27,MATCH($B308,Einheiten!$A$4:$A$27,0))=0,"",INDEX(Einheiten!$B$4:$B$27,MATCH($B308,Einheiten!$A$4:$A$27,0)))),"")</f>
        <v/>
      </c>
      <c r="B308" s="27"/>
      <c r="C308" s="28" t="str">
        <f aca="false">IFERROR(IF($D308="","",INDEX(Übungen!$B$4:$B$17,MATCH($D308,Übungen!$A$4:$A$17,0))),"")</f>
        <v/>
      </c>
      <c r="D308" s="19"/>
      <c r="E308" s="17"/>
      <c r="F308" s="20"/>
      <c r="G308" s="21"/>
      <c r="H308" s="20"/>
      <c r="I308" s="22" t="str">
        <f aca="false">IF(AND(ISNUMBER($F308),ISNUMBER($G308),$E308&lt;&gt;"R"),$F308*$G308,"")</f>
        <v/>
      </c>
      <c r="J308" s="29" t="str">
        <f aca="false">IF(AND($E308="A",ISNUMBER($F308),ISNUMBER($G308)),$F308*(1+$G308/30),"")</f>
        <v/>
      </c>
      <c r="K308" s="19"/>
      <c r="L308" s="19"/>
    </row>
    <row r="309" customFormat="false" ht="15.75" hidden="false" customHeight="true" outlineLevel="0" collapsed="false">
      <c r="A309" s="26" t="str">
        <f aca="false">IFERROR(IF($B309="","",IF(INDEX(Einheiten!$B$4:$B$27,MATCH($B309,Einheiten!$A$4:$A$27,0))=0,"",INDEX(Einheiten!$B$4:$B$27,MATCH($B309,Einheiten!$A$4:$A$27,0)))),"")</f>
        <v/>
      </c>
      <c r="B309" s="27"/>
      <c r="C309" s="28" t="str">
        <f aca="false">IFERROR(IF($D309="","",INDEX(Übungen!$B$4:$B$17,MATCH($D309,Übungen!$A$4:$A$17,0))),"")</f>
        <v/>
      </c>
      <c r="D309" s="19"/>
      <c r="E309" s="17"/>
      <c r="F309" s="20"/>
      <c r="G309" s="21"/>
      <c r="H309" s="20"/>
      <c r="I309" s="22" t="str">
        <f aca="false">IF(AND(ISNUMBER($F309),ISNUMBER($G309),$E309&lt;&gt;"R"),$F309*$G309,"")</f>
        <v/>
      </c>
      <c r="J309" s="29" t="str">
        <f aca="false">IF(AND($E309="A",ISNUMBER($F309),ISNUMBER($G309)),$F309*(1+$G309/30),"")</f>
        <v/>
      </c>
      <c r="K309" s="19"/>
      <c r="L309" s="19"/>
    </row>
    <row r="310" customFormat="false" ht="15.75" hidden="false" customHeight="true" outlineLevel="0" collapsed="false">
      <c r="A310" s="26" t="str">
        <f aca="false">IFERROR(IF($B310="","",IF(INDEX(Einheiten!$B$4:$B$27,MATCH($B310,Einheiten!$A$4:$A$27,0))=0,"",INDEX(Einheiten!$B$4:$B$27,MATCH($B310,Einheiten!$A$4:$A$27,0)))),"")</f>
        <v/>
      </c>
      <c r="B310" s="27"/>
      <c r="C310" s="28" t="str">
        <f aca="false">IFERROR(IF($D310="","",INDEX(Übungen!$B$4:$B$17,MATCH($D310,Übungen!$A$4:$A$17,0))),"")</f>
        <v/>
      </c>
      <c r="D310" s="19"/>
      <c r="E310" s="17"/>
      <c r="F310" s="20"/>
      <c r="G310" s="21"/>
      <c r="H310" s="20"/>
      <c r="I310" s="22" t="str">
        <f aca="false">IF(AND(ISNUMBER($F310),ISNUMBER($G310),$E310&lt;&gt;"R"),$F310*$G310,"")</f>
        <v/>
      </c>
      <c r="J310" s="29" t="str">
        <f aca="false">IF(AND($E310="A",ISNUMBER($F310),ISNUMBER($G310)),$F310*(1+$G310/30),"")</f>
        <v/>
      </c>
      <c r="K310" s="19"/>
      <c r="L310" s="19"/>
    </row>
    <row r="311" customFormat="false" ht="15.75" hidden="false" customHeight="true" outlineLevel="0" collapsed="false">
      <c r="A311" s="26" t="str">
        <f aca="false">IFERROR(IF($B311="","",IF(INDEX(Einheiten!$B$4:$B$27,MATCH($B311,Einheiten!$A$4:$A$27,0))=0,"",INDEX(Einheiten!$B$4:$B$27,MATCH($B311,Einheiten!$A$4:$A$27,0)))),"")</f>
        <v/>
      </c>
      <c r="B311" s="27"/>
      <c r="C311" s="28" t="str">
        <f aca="false">IFERROR(IF($D311="","",INDEX(Übungen!$B$4:$B$17,MATCH($D311,Übungen!$A$4:$A$17,0))),"")</f>
        <v/>
      </c>
      <c r="D311" s="19"/>
      <c r="E311" s="17"/>
      <c r="F311" s="20"/>
      <c r="G311" s="21"/>
      <c r="H311" s="20"/>
      <c r="I311" s="22" t="str">
        <f aca="false">IF(AND(ISNUMBER($F311),ISNUMBER($G311),$E311&lt;&gt;"R"),$F311*$G311,"")</f>
        <v/>
      </c>
      <c r="J311" s="29" t="str">
        <f aca="false">IF(AND($E311="A",ISNUMBER($F311),ISNUMBER($G311)),$F311*(1+$G311/30),"")</f>
        <v/>
      </c>
      <c r="K311" s="19"/>
      <c r="L311" s="19"/>
    </row>
    <row r="312" customFormat="false" ht="15.75" hidden="false" customHeight="true" outlineLevel="0" collapsed="false">
      <c r="A312" s="26" t="str">
        <f aca="false">IFERROR(IF($B312="","",IF(INDEX(Einheiten!$B$4:$B$27,MATCH($B312,Einheiten!$A$4:$A$27,0))=0,"",INDEX(Einheiten!$B$4:$B$27,MATCH($B312,Einheiten!$A$4:$A$27,0)))),"")</f>
        <v/>
      </c>
      <c r="B312" s="27"/>
      <c r="C312" s="28" t="str">
        <f aca="false">IFERROR(IF($D312="","",INDEX(Übungen!$B$4:$B$17,MATCH($D312,Übungen!$A$4:$A$17,0))),"")</f>
        <v/>
      </c>
      <c r="D312" s="19"/>
      <c r="E312" s="17"/>
      <c r="F312" s="20"/>
      <c r="G312" s="21"/>
      <c r="H312" s="20"/>
      <c r="I312" s="22" t="str">
        <f aca="false">IF(AND(ISNUMBER($F312),ISNUMBER($G312),$E312&lt;&gt;"R"),$F312*$G312,"")</f>
        <v/>
      </c>
      <c r="J312" s="29" t="str">
        <f aca="false">IF(AND($E312="A",ISNUMBER($F312),ISNUMBER($G312)),$F312*(1+$G312/30),"")</f>
        <v/>
      </c>
      <c r="K312" s="19"/>
      <c r="L312" s="19"/>
    </row>
    <row r="313" customFormat="false" ht="15.75" hidden="false" customHeight="true" outlineLevel="0" collapsed="false">
      <c r="A313" s="26" t="str">
        <f aca="false">IFERROR(IF($B313="","",IF(INDEX(Einheiten!$B$4:$B$27,MATCH($B313,Einheiten!$A$4:$A$27,0))=0,"",INDEX(Einheiten!$B$4:$B$27,MATCH($B313,Einheiten!$A$4:$A$27,0)))),"")</f>
        <v/>
      </c>
      <c r="B313" s="27"/>
      <c r="C313" s="28" t="str">
        <f aca="false">IFERROR(IF($D313="","",INDEX(Übungen!$B$4:$B$17,MATCH($D313,Übungen!$A$4:$A$17,0))),"")</f>
        <v/>
      </c>
      <c r="D313" s="19"/>
      <c r="E313" s="17"/>
      <c r="F313" s="20"/>
      <c r="G313" s="21"/>
      <c r="H313" s="20"/>
      <c r="I313" s="22" t="str">
        <f aca="false">IF(AND(ISNUMBER($F313),ISNUMBER($G313),$E313&lt;&gt;"R"),$F313*$G313,"")</f>
        <v/>
      </c>
      <c r="J313" s="29" t="str">
        <f aca="false">IF(AND($E313="A",ISNUMBER($F313),ISNUMBER($G313)),$F313*(1+$G313/30),"")</f>
        <v/>
      </c>
      <c r="K313" s="19"/>
      <c r="L313" s="19"/>
    </row>
    <row r="314" customFormat="false" ht="15.75" hidden="false" customHeight="true" outlineLevel="0" collapsed="false">
      <c r="A314" s="26" t="str">
        <f aca="false">IFERROR(IF($B314="","",IF(INDEX(Einheiten!$B$4:$B$27,MATCH($B314,Einheiten!$A$4:$A$27,0))=0,"",INDEX(Einheiten!$B$4:$B$27,MATCH($B314,Einheiten!$A$4:$A$27,0)))),"")</f>
        <v/>
      </c>
      <c r="B314" s="27"/>
      <c r="C314" s="28" t="str">
        <f aca="false">IFERROR(IF($D314="","",INDEX(Übungen!$B$4:$B$17,MATCH($D314,Übungen!$A$4:$A$17,0))),"")</f>
        <v/>
      </c>
      <c r="D314" s="19"/>
      <c r="E314" s="17"/>
      <c r="F314" s="20"/>
      <c r="G314" s="21"/>
      <c r="H314" s="20"/>
      <c r="I314" s="22" t="str">
        <f aca="false">IF(AND(ISNUMBER($F314),ISNUMBER($G314),$E314&lt;&gt;"R"),$F314*$G314,"")</f>
        <v/>
      </c>
      <c r="J314" s="29" t="str">
        <f aca="false">IF(AND($E314="A",ISNUMBER($F314),ISNUMBER($G314)),$F314*(1+$G314/30),"")</f>
        <v/>
      </c>
      <c r="K314" s="19"/>
      <c r="L314" s="19"/>
    </row>
    <row r="315" customFormat="false" ht="15.75" hidden="false" customHeight="true" outlineLevel="0" collapsed="false">
      <c r="A315" s="26" t="str">
        <f aca="false">IFERROR(IF($B315="","",IF(INDEX(Einheiten!$B$4:$B$27,MATCH($B315,Einheiten!$A$4:$A$27,0))=0,"",INDEX(Einheiten!$B$4:$B$27,MATCH($B315,Einheiten!$A$4:$A$27,0)))),"")</f>
        <v/>
      </c>
      <c r="B315" s="27"/>
      <c r="C315" s="28" t="str">
        <f aca="false">IFERROR(IF($D315="","",INDEX(Übungen!$B$4:$B$17,MATCH($D315,Übungen!$A$4:$A$17,0))),"")</f>
        <v/>
      </c>
      <c r="D315" s="19"/>
      <c r="E315" s="17"/>
      <c r="F315" s="20"/>
      <c r="G315" s="21"/>
      <c r="H315" s="20"/>
      <c r="I315" s="22" t="str">
        <f aca="false">IF(AND(ISNUMBER($F315),ISNUMBER($G315),$E315&lt;&gt;"R"),$F315*$G315,"")</f>
        <v/>
      </c>
      <c r="J315" s="29" t="str">
        <f aca="false">IF(AND($E315="A",ISNUMBER($F315),ISNUMBER($G315)),$F315*(1+$G315/30),"")</f>
        <v/>
      </c>
      <c r="K315" s="19"/>
      <c r="L315" s="19"/>
    </row>
    <row r="316" customFormat="false" ht="15.75" hidden="false" customHeight="true" outlineLevel="0" collapsed="false">
      <c r="A316" s="26" t="str">
        <f aca="false">IFERROR(IF($B316="","",IF(INDEX(Einheiten!$B$4:$B$27,MATCH($B316,Einheiten!$A$4:$A$27,0))=0,"",INDEX(Einheiten!$B$4:$B$27,MATCH($B316,Einheiten!$A$4:$A$27,0)))),"")</f>
        <v/>
      </c>
      <c r="B316" s="27"/>
      <c r="C316" s="28" t="str">
        <f aca="false">IFERROR(IF($D316="","",INDEX(Übungen!$B$4:$B$17,MATCH($D316,Übungen!$A$4:$A$17,0))),"")</f>
        <v/>
      </c>
      <c r="D316" s="19"/>
      <c r="E316" s="17"/>
      <c r="F316" s="20"/>
      <c r="G316" s="21"/>
      <c r="H316" s="20"/>
      <c r="I316" s="22" t="str">
        <f aca="false">IF(AND(ISNUMBER($F316),ISNUMBER($G316),$E316&lt;&gt;"R"),$F316*$G316,"")</f>
        <v/>
      </c>
      <c r="J316" s="29" t="str">
        <f aca="false">IF(AND($E316="A",ISNUMBER($F316),ISNUMBER($G316)),$F316*(1+$G316/30),"")</f>
        <v/>
      </c>
      <c r="K316" s="19"/>
      <c r="L316" s="19"/>
    </row>
    <row r="317" customFormat="false" ht="15.75" hidden="false" customHeight="true" outlineLevel="0" collapsed="false">
      <c r="A317" s="26" t="str">
        <f aca="false">IFERROR(IF($B317="","",IF(INDEX(Einheiten!$B$4:$B$27,MATCH($B317,Einheiten!$A$4:$A$27,0))=0,"",INDEX(Einheiten!$B$4:$B$27,MATCH($B317,Einheiten!$A$4:$A$27,0)))),"")</f>
        <v/>
      </c>
      <c r="B317" s="27"/>
      <c r="C317" s="28" t="str">
        <f aca="false">IFERROR(IF($D317="","",INDEX(Übungen!$B$4:$B$17,MATCH($D317,Übungen!$A$4:$A$17,0))),"")</f>
        <v/>
      </c>
      <c r="D317" s="19"/>
      <c r="E317" s="17"/>
      <c r="F317" s="20"/>
      <c r="G317" s="21"/>
      <c r="H317" s="20"/>
      <c r="I317" s="22" t="str">
        <f aca="false">IF(AND(ISNUMBER($F317),ISNUMBER($G317),$E317&lt;&gt;"R"),$F317*$G317,"")</f>
        <v/>
      </c>
      <c r="J317" s="29" t="str">
        <f aca="false">IF(AND($E317="A",ISNUMBER($F317),ISNUMBER($G317)),$F317*(1+$G317/30),"")</f>
        <v/>
      </c>
      <c r="K317" s="19"/>
      <c r="L317" s="19"/>
    </row>
    <row r="318" customFormat="false" ht="15.75" hidden="false" customHeight="true" outlineLevel="0" collapsed="false">
      <c r="A318" s="26" t="str">
        <f aca="false">IFERROR(IF($B318="","",IF(INDEX(Einheiten!$B$4:$B$27,MATCH($B318,Einheiten!$A$4:$A$27,0))=0,"",INDEX(Einheiten!$B$4:$B$27,MATCH($B318,Einheiten!$A$4:$A$27,0)))),"")</f>
        <v/>
      </c>
      <c r="B318" s="27"/>
      <c r="C318" s="28" t="str">
        <f aca="false">IFERROR(IF($D318="","",INDEX(Übungen!$B$4:$B$17,MATCH($D318,Übungen!$A$4:$A$17,0))),"")</f>
        <v/>
      </c>
      <c r="D318" s="19"/>
      <c r="E318" s="17"/>
      <c r="F318" s="20"/>
      <c r="G318" s="21"/>
      <c r="H318" s="20"/>
      <c r="I318" s="22" t="str">
        <f aca="false">IF(AND(ISNUMBER($F318),ISNUMBER($G318),$E318&lt;&gt;"R"),$F318*$G318,"")</f>
        <v/>
      </c>
      <c r="J318" s="29" t="str">
        <f aca="false">IF(AND($E318="A",ISNUMBER($F318),ISNUMBER($G318)),$F318*(1+$G318/30),"")</f>
        <v/>
      </c>
      <c r="K318" s="19"/>
      <c r="L318" s="19"/>
    </row>
    <row r="319" customFormat="false" ht="15.75" hidden="false" customHeight="true" outlineLevel="0" collapsed="false">
      <c r="A319" s="26" t="str">
        <f aca="false">IFERROR(IF($B319="","",IF(INDEX(Einheiten!$B$4:$B$27,MATCH($B319,Einheiten!$A$4:$A$27,0))=0,"",INDEX(Einheiten!$B$4:$B$27,MATCH($B319,Einheiten!$A$4:$A$27,0)))),"")</f>
        <v/>
      </c>
      <c r="B319" s="27"/>
      <c r="C319" s="28" t="str">
        <f aca="false">IFERROR(IF($D319="","",INDEX(Übungen!$B$4:$B$17,MATCH($D319,Übungen!$A$4:$A$17,0))),"")</f>
        <v/>
      </c>
      <c r="D319" s="19"/>
      <c r="E319" s="17"/>
      <c r="F319" s="20"/>
      <c r="G319" s="21"/>
      <c r="H319" s="20"/>
      <c r="I319" s="22" t="str">
        <f aca="false">IF(AND(ISNUMBER($F319),ISNUMBER($G319),$E319&lt;&gt;"R"),$F319*$G319,"")</f>
        <v/>
      </c>
      <c r="J319" s="29" t="str">
        <f aca="false">IF(AND($E319="A",ISNUMBER($F319),ISNUMBER($G319)),$F319*(1+$G319/30),"")</f>
        <v/>
      </c>
      <c r="K319" s="19"/>
      <c r="L319" s="19"/>
    </row>
    <row r="320" customFormat="false" ht="15.75" hidden="false" customHeight="true" outlineLevel="0" collapsed="false">
      <c r="A320" s="26" t="str">
        <f aca="false">IFERROR(IF($B320="","",IF(INDEX(Einheiten!$B$4:$B$27,MATCH($B320,Einheiten!$A$4:$A$27,0))=0,"",INDEX(Einheiten!$B$4:$B$27,MATCH($B320,Einheiten!$A$4:$A$27,0)))),"")</f>
        <v/>
      </c>
      <c r="B320" s="27"/>
      <c r="C320" s="28" t="str">
        <f aca="false">IFERROR(IF($D320="","",INDEX(Übungen!$B$4:$B$17,MATCH($D320,Übungen!$A$4:$A$17,0))),"")</f>
        <v/>
      </c>
      <c r="D320" s="19"/>
      <c r="E320" s="17"/>
      <c r="F320" s="20"/>
      <c r="G320" s="21"/>
      <c r="H320" s="20"/>
      <c r="I320" s="22" t="str">
        <f aca="false">IF(AND(ISNUMBER($F320),ISNUMBER($G320),$E320&lt;&gt;"R"),$F320*$G320,"")</f>
        <v/>
      </c>
      <c r="J320" s="29" t="str">
        <f aca="false">IF(AND($E320="A",ISNUMBER($F320),ISNUMBER($G320)),$F320*(1+$G320/30),"")</f>
        <v/>
      </c>
      <c r="K320" s="19"/>
      <c r="L320" s="19"/>
    </row>
    <row r="321" customFormat="false" ht="15.75" hidden="false" customHeight="true" outlineLevel="0" collapsed="false">
      <c r="A321" s="26" t="str">
        <f aca="false">IFERROR(IF($B321="","",IF(INDEX(Einheiten!$B$4:$B$27,MATCH($B321,Einheiten!$A$4:$A$27,0))=0,"",INDEX(Einheiten!$B$4:$B$27,MATCH($B321,Einheiten!$A$4:$A$27,0)))),"")</f>
        <v/>
      </c>
      <c r="B321" s="27"/>
      <c r="C321" s="28" t="str">
        <f aca="false">IFERROR(IF($D321="","",INDEX(Übungen!$B$4:$B$17,MATCH($D321,Übungen!$A$4:$A$17,0))),"")</f>
        <v/>
      </c>
      <c r="D321" s="19"/>
      <c r="E321" s="17"/>
      <c r="F321" s="20"/>
      <c r="G321" s="21"/>
      <c r="H321" s="20"/>
      <c r="I321" s="22" t="str">
        <f aca="false">IF(AND(ISNUMBER($F321),ISNUMBER($G321),$E321&lt;&gt;"R"),$F321*$G321,"")</f>
        <v/>
      </c>
      <c r="J321" s="29" t="str">
        <f aca="false">IF(AND($E321="A",ISNUMBER($F321),ISNUMBER($G321)),$F321*(1+$G321/30),"")</f>
        <v/>
      </c>
      <c r="K321" s="19"/>
      <c r="L321" s="19"/>
    </row>
    <row r="322" customFormat="false" ht="15.75" hidden="false" customHeight="true" outlineLevel="0" collapsed="false">
      <c r="A322" s="26" t="str">
        <f aca="false">IFERROR(IF($B322="","",IF(INDEX(Einheiten!$B$4:$B$27,MATCH($B322,Einheiten!$A$4:$A$27,0))=0,"",INDEX(Einheiten!$B$4:$B$27,MATCH($B322,Einheiten!$A$4:$A$27,0)))),"")</f>
        <v/>
      </c>
      <c r="B322" s="27"/>
      <c r="C322" s="28" t="str">
        <f aca="false">IFERROR(IF($D322="","",INDEX(Übungen!$B$4:$B$17,MATCH($D322,Übungen!$A$4:$A$17,0))),"")</f>
        <v/>
      </c>
      <c r="D322" s="19"/>
      <c r="E322" s="17"/>
      <c r="F322" s="20"/>
      <c r="G322" s="21"/>
      <c r="H322" s="20"/>
      <c r="I322" s="22" t="str">
        <f aca="false">IF(AND(ISNUMBER($F322),ISNUMBER($G322),$E322&lt;&gt;"R"),$F322*$G322,"")</f>
        <v/>
      </c>
      <c r="J322" s="29" t="str">
        <f aca="false">IF(AND($E322="A",ISNUMBER($F322),ISNUMBER($G322)),$F322*(1+$G322/30),"")</f>
        <v/>
      </c>
      <c r="K322" s="19"/>
      <c r="L322" s="19"/>
    </row>
    <row r="323" customFormat="false" ht="15.75" hidden="false" customHeight="true" outlineLevel="0" collapsed="false">
      <c r="A323" s="26" t="str">
        <f aca="false">IFERROR(IF($B323="","",IF(INDEX(Einheiten!$B$4:$B$27,MATCH($B323,Einheiten!$A$4:$A$27,0))=0,"",INDEX(Einheiten!$B$4:$B$27,MATCH($B323,Einheiten!$A$4:$A$27,0)))),"")</f>
        <v/>
      </c>
      <c r="B323" s="27"/>
      <c r="C323" s="28" t="str">
        <f aca="false">IFERROR(IF($D323="","",INDEX(Übungen!$B$4:$B$17,MATCH($D323,Übungen!$A$4:$A$17,0))),"")</f>
        <v/>
      </c>
      <c r="D323" s="19"/>
      <c r="E323" s="17"/>
      <c r="F323" s="20"/>
      <c r="G323" s="21"/>
      <c r="H323" s="20"/>
      <c r="I323" s="22" t="str">
        <f aca="false">IF(AND(ISNUMBER($F323),ISNUMBER($G323),$E323&lt;&gt;"R"),$F323*$G323,"")</f>
        <v/>
      </c>
      <c r="J323" s="29" t="str">
        <f aca="false">IF(AND($E323="A",ISNUMBER($F323),ISNUMBER($G323)),$F323*(1+$G323/30),"")</f>
        <v/>
      </c>
      <c r="K323" s="19"/>
      <c r="L323" s="19"/>
    </row>
    <row r="324" customFormat="false" ht="15.75" hidden="false" customHeight="true" outlineLevel="0" collapsed="false">
      <c r="A324" s="26" t="str">
        <f aca="false">IFERROR(IF($B324="","",IF(INDEX(Einheiten!$B$4:$B$27,MATCH($B324,Einheiten!$A$4:$A$27,0))=0,"",INDEX(Einheiten!$B$4:$B$27,MATCH($B324,Einheiten!$A$4:$A$27,0)))),"")</f>
        <v/>
      </c>
      <c r="B324" s="27"/>
      <c r="C324" s="28" t="str">
        <f aca="false">IFERROR(IF($D324="","",INDEX(Übungen!$B$4:$B$17,MATCH($D324,Übungen!$A$4:$A$17,0))),"")</f>
        <v/>
      </c>
      <c r="D324" s="19"/>
      <c r="E324" s="17"/>
      <c r="F324" s="20"/>
      <c r="G324" s="21"/>
      <c r="H324" s="20"/>
      <c r="I324" s="22" t="str">
        <f aca="false">IF(AND(ISNUMBER($F324),ISNUMBER($G324),$E324&lt;&gt;"R"),$F324*$G324,"")</f>
        <v/>
      </c>
      <c r="J324" s="29" t="str">
        <f aca="false">IF(AND($E324="A",ISNUMBER($F324),ISNUMBER($G324)),$F324*(1+$G324/30),"")</f>
        <v/>
      </c>
      <c r="K324" s="19"/>
      <c r="L324" s="19"/>
    </row>
    <row r="325" customFormat="false" ht="15.75" hidden="false" customHeight="true" outlineLevel="0" collapsed="false">
      <c r="A325" s="26" t="str">
        <f aca="false">IFERROR(IF($B325="","",IF(INDEX(Einheiten!$B$4:$B$27,MATCH($B325,Einheiten!$A$4:$A$27,0))=0,"",INDEX(Einheiten!$B$4:$B$27,MATCH($B325,Einheiten!$A$4:$A$27,0)))),"")</f>
        <v/>
      </c>
      <c r="B325" s="27"/>
      <c r="C325" s="28" t="str">
        <f aca="false">IFERROR(IF($D325="","",INDEX(Übungen!$B$4:$B$17,MATCH($D325,Übungen!$A$4:$A$17,0))),"")</f>
        <v/>
      </c>
      <c r="D325" s="19"/>
      <c r="E325" s="17"/>
      <c r="F325" s="20"/>
      <c r="G325" s="21"/>
      <c r="H325" s="20"/>
      <c r="I325" s="22" t="str">
        <f aca="false">IF(AND(ISNUMBER($F325),ISNUMBER($G325),$E325&lt;&gt;"R"),$F325*$G325,"")</f>
        <v/>
      </c>
      <c r="J325" s="29" t="str">
        <f aca="false">IF(AND($E325="A",ISNUMBER($F325),ISNUMBER($G325)),$F325*(1+$G325/30),"")</f>
        <v/>
      </c>
      <c r="K325" s="19"/>
      <c r="L325" s="19"/>
    </row>
    <row r="326" customFormat="false" ht="15.75" hidden="false" customHeight="true" outlineLevel="0" collapsed="false">
      <c r="A326" s="26" t="str">
        <f aca="false">IFERROR(IF($B326="","",IF(INDEX(Einheiten!$B$4:$B$27,MATCH($B326,Einheiten!$A$4:$A$27,0))=0,"",INDEX(Einheiten!$B$4:$B$27,MATCH($B326,Einheiten!$A$4:$A$27,0)))),"")</f>
        <v/>
      </c>
      <c r="B326" s="27"/>
      <c r="C326" s="28" t="str">
        <f aca="false">IFERROR(IF($D326="","",INDEX(Übungen!$B$4:$B$17,MATCH($D326,Übungen!$A$4:$A$17,0))),"")</f>
        <v/>
      </c>
      <c r="D326" s="19"/>
      <c r="E326" s="17"/>
      <c r="F326" s="20"/>
      <c r="G326" s="21"/>
      <c r="H326" s="20"/>
      <c r="I326" s="22" t="str">
        <f aca="false">IF(AND(ISNUMBER($F326),ISNUMBER($G326),$E326&lt;&gt;"R"),$F326*$G326,"")</f>
        <v/>
      </c>
      <c r="J326" s="29" t="str">
        <f aca="false">IF(AND($E326="A",ISNUMBER($F326),ISNUMBER($G326)),$F326*(1+$G326/30),"")</f>
        <v/>
      </c>
      <c r="K326" s="19"/>
      <c r="L326" s="19"/>
    </row>
    <row r="327" customFormat="false" ht="15.75" hidden="false" customHeight="true" outlineLevel="0" collapsed="false">
      <c r="A327" s="26" t="str">
        <f aca="false">IFERROR(IF($B327="","",IF(INDEX(Einheiten!$B$4:$B$27,MATCH($B327,Einheiten!$A$4:$A$27,0))=0,"",INDEX(Einheiten!$B$4:$B$27,MATCH($B327,Einheiten!$A$4:$A$27,0)))),"")</f>
        <v/>
      </c>
      <c r="B327" s="27"/>
      <c r="C327" s="28" t="str">
        <f aca="false">IFERROR(IF($D327="","",INDEX(Übungen!$B$4:$B$17,MATCH($D327,Übungen!$A$4:$A$17,0))),"")</f>
        <v/>
      </c>
      <c r="D327" s="19"/>
      <c r="E327" s="17"/>
      <c r="F327" s="20"/>
      <c r="G327" s="21"/>
      <c r="H327" s="20"/>
      <c r="I327" s="22" t="str">
        <f aca="false">IF(AND(ISNUMBER($F327),ISNUMBER($G327),$E327&lt;&gt;"R"),$F327*$G327,"")</f>
        <v/>
      </c>
      <c r="J327" s="29" t="str">
        <f aca="false">IF(AND($E327="A",ISNUMBER($F327),ISNUMBER($G327)),$F327*(1+$G327/30),"")</f>
        <v/>
      </c>
      <c r="K327" s="19"/>
      <c r="L327" s="19"/>
    </row>
    <row r="328" customFormat="false" ht="15.75" hidden="false" customHeight="true" outlineLevel="0" collapsed="false">
      <c r="A328" s="26" t="str">
        <f aca="false">IFERROR(IF($B328="","",IF(INDEX(Einheiten!$B$4:$B$27,MATCH($B328,Einheiten!$A$4:$A$27,0))=0,"",INDEX(Einheiten!$B$4:$B$27,MATCH($B328,Einheiten!$A$4:$A$27,0)))),"")</f>
        <v/>
      </c>
      <c r="B328" s="27"/>
      <c r="C328" s="28" t="str">
        <f aca="false">IFERROR(IF($D328="","",INDEX(Übungen!$B$4:$B$17,MATCH($D328,Übungen!$A$4:$A$17,0))),"")</f>
        <v/>
      </c>
      <c r="D328" s="19"/>
      <c r="E328" s="17"/>
      <c r="F328" s="20"/>
      <c r="G328" s="21"/>
      <c r="H328" s="20"/>
      <c r="I328" s="22" t="str">
        <f aca="false">IF(AND(ISNUMBER($F328),ISNUMBER($G328),$E328&lt;&gt;"R"),$F328*$G328,"")</f>
        <v/>
      </c>
      <c r="J328" s="29" t="str">
        <f aca="false">IF(AND($E328="A",ISNUMBER($F328),ISNUMBER($G328)),$F328*(1+$G328/30),"")</f>
        <v/>
      </c>
      <c r="K328" s="19"/>
      <c r="L328" s="19"/>
    </row>
    <row r="329" customFormat="false" ht="15.75" hidden="false" customHeight="true" outlineLevel="0" collapsed="false">
      <c r="A329" s="26" t="str">
        <f aca="false">IFERROR(IF($B329="","",IF(INDEX(Einheiten!$B$4:$B$27,MATCH($B329,Einheiten!$A$4:$A$27,0))=0,"",INDEX(Einheiten!$B$4:$B$27,MATCH($B329,Einheiten!$A$4:$A$27,0)))),"")</f>
        <v/>
      </c>
      <c r="B329" s="27"/>
      <c r="C329" s="28" t="str">
        <f aca="false">IFERROR(IF($D329="","",INDEX(Übungen!$B$4:$B$17,MATCH($D329,Übungen!$A$4:$A$17,0))),"")</f>
        <v/>
      </c>
      <c r="D329" s="19"/>
      <c r="E329" s="17"/>
      <c r="F329" s="20"/>
      <c r="G329" s="21"/>
      <c r="H329" s="20"/>
      <c r="I329" s="22" t="str">
        <f aca="false">IF(AND(ISNUMBER($F329),ISNUMBER($G329),$E329&lt;&gt;"R"),$F329*$G329,"")</f>
        <v/>
      </c>
      <c r="J329" s="29" t="str">
        <f aca="false">IF(AND($E329="A",ISNUMBER($F329),ISNUMBER($G329)),$F329*(1+$G329/30),"")</f>
        <v/>
      </c>
      <c r="K329" s="19"/>
      <c r="L329" s="19"/>
    </row>
    <row r="330" customFormat="false" ht="15.75" hidden="false" customHeight="true" outlineLevel="0" collapsed="false">
      <c r="A330" s="26" t="str">
        <f aca="false">IFERROR(IF($B330="","",IF(INDEX(Einheiten!$B$4:$B$27,MATCH($B330,Einheiten!$A$4:$A$27,0))=0,"",INDEX(Einheiten!$B$4:$B$27,MATCH($B330,Einheiten!$A$4:$A$27,0)))),"")</f>
        <v/>
      </c>
      <c r="B330" s="27"/>
      <c r="C330" s="28" t="str">
        <f aca="false">IFERROR(IF($D330="","",INDEX(Übungen!$B$4:$B$17,MATCH($D330,Übungen!$A$4:$A$17,0))),"")</f>
        <v/>
      </c>
      <c r="D330" s="19"/>
      <c r="E330" s="17"/>
      <c r="F330" s="20"/>
      <c r="G330" s="21"/>
      <c r="H330" s="20"/>
      <c r="I330" s="22" t="str">
        <f aca="false">IF(AND(ISNUMBER($F330),ISNUMBER($G330),$E330&lt;&gt;"R"),$F330*$G330,"")</f>
        <v/>
      </c>
      <c r="J330" s="29" t="str">
        <f aca="false">IF(AND($E330="A",ISNUMBER($F330),ISNUMBER($G330)),$F330*(1+$G330/30),"")</f>
        <v/>
      </c>
      <c r="K330" s="19"/>
      <c r="L330" s="19"/>
    </row>
    <row r="331" customFormat="false" ht="15.75" hidden="false" customHeight="true" outlineLevel="0" collapsed="false">
      <c r="A331" s="26" t="str">
        <f aca="false">IFERROR(IF($B331="","",IF(INDEX(Einheiten!$B$4:$B$27,MATCH($B331,Einheiten!$A$4:$A$27,0))=0,"",INDEX(Einheiten!$B$4:$B$27,MATCH($B331,Einheiten!$A$4:$A$27,0)))),"")</f>
        <v/>
      </c>
      <c r="B331" s="27"/>
      <c r="C331" s="28" t="str">
        <f aca="false">IFERROR(IF($D331="","",INDEX(Übungen!$B$4:$B$17,MATCH($D331,Übungen!$A$4:$A$17,0))),"")</f>
        <v/>
      </c>
      <c r="D331" s="19"/>
      <c r="E331" s="17"/>
      <c r="F331" s="20"/>
      <c r="G331" s="21"/>
      <c r="H331" s="20"/>
      <c r="I331" s="22" t="str">
        <f aca="false">IF(AND(ISNUMBER($F331),ISNUMBER($G331),$E331&lt;&gt;"R"),$F331*$G331,"")</f>
        <v/>
      </c>
      <c r="J331" s="29" t="str">
        <f aca="false">IF(AND($E331="A",ISNUMBER($F331),ISNUMBER($G331)),$F331*(1+$G331/30),"")</f>
        <v/>
      </c>
      <c r="K331" s="19"/>
      <c r="L331" s="19"/>
    </row>
    <row r="332" customFormat="false" ht="15.75" hidden="false" customHeight="true" outlineLevel="0" collapsed="false">
      <c r="A332" s="26" t="str">
        <f aca="false">IFERROR(IF($B332="","",IF(INDEX(Einheiten!$B$4:$B$27,MATCH($B332,Einheiten!$A$4:$A$27,0))=0,"",INDEX(Einheiten!$B$4:$B$27,MATCH($B332,Einheiten!$A$4:$A$27,0)))),"")</f>
        <v/>
      </c>
      <c r="B332" s="27"/>
      <c r="C332" s="28" t="str">
        <f aca="false">IFERROR(IF($D332="","",INDEX(Übungen!$B$4:$B$17,MATCH($D332,Übungen!$A$4:$A$17,0))),"")</f>
        <v/>
      </c>
      <c r="D332" s="19"/>
      <c r="E332" s="17"/>
      <c r="F332" s="20"/>
      <c r="G332" s="21"/>
      <c r="H332" s="20"/>
      <c r="I332" s="22" t="str">
        <f aca="false">IF(AND(ISNUMBER($F332),ISNUMBER($G332),$E332&lt;&gt;"R"),$F332*$G332,"")</f>
        <v/>
      </c>
      <c r="J332" s="29" t="str">
        <f aca="false">IF(AND($E332="A",ISNUMBER($F332),ISNUMBER($G332)),$F332*(1+$G332/30),"")</f>
        <v/>
      </c>
      <c r="K332" s="19"/>
      <c r="L332" s="19"/>
    </row>
    <row r="333" customFormat="false" ht="15.75" hidden="false" customHeight="true" outlineLevel="0" collapsed="false">
      <c r="A333" s="26" t="str">
        <f aca="false">IFERROR(IF($B333="","",IF(INDEX(Einheiten!$B$4:$B$27,MATCH($B333,Einheiten!$A$4:$A$27,0))=0,"",INDEX(Einheiten!$B$4:$B$27,MATCH($B333,Einheiten!$A$4:$A$27,0)))),"")</f>
        <v/>
      </c>
      <c r="B333" s="27"/>
      <c r="C333" s="28" t="str">
        <f aca="false">IFERROR(IF($D333="","",INDEX(Übungen!$B$4:$B$17,MATCH($D333,Übungen!$A$4:$A$17,0))),"")</f>
        <v/>
      </c>
      <c r="D333" s="19"/>
      <c r="E333" s="17"/>
      <c r="F333" s="20"/>
      <c r="G333" s="21"/>
      <c r="H333" s="20"/>
      <c r="I333" s="22" t="str">
        <f aca="false">IF(AND(ISNUMBER($F333),ISNUMBER($G333),$E333&lt;&gt;"R"),$F333*$G333,"")</f>
        <v/>
      </c>
      <c r="J333" s="29" t="str">
        <f aca="false">IF(AND($E333="A",ISNUMBER($F333),ISNUMBER($G333)),$F333*(1+$G333/30),"")</f>
        <v/>
      </c>
      <c r="K333" s="19"/>
      <c r="L333" s="19"/>
    </row>
    <row r="334" customFormat="false" ht="15.75" hidden="false" customHeight="true" outlineLevel="0" collapsed="false">
      <c r="A334" s="26" t="str">
        <f aca="false">IFERROR(IF($B334="","",IF(INDEX(Einheiten!$B$4:$B$27,MATCH($B334,Einheiten!$A$4:$A$27,0))=0,"",INDEX(Einheiten!$B$4:$B$27,MATCH($B334,Einheiten!$A$4:$A$27,0)))),"")</f>
        <v/>
      </c>
      <c r="B334" s="27"/>
      <c r="C334" s="28" t="str">
        <f aca="false">IFERROR(IF($D334="","",INDEX(Übungen!$B$4:$B$17,MATCH($D334,Übungen!$A$4:$A$17,0))),"")</f>
        <v/>
      </c>
      <c r="D334" s="19"/>
      <c r="E334" s="17"/>
      <c r="F334" s="20"/>
      <c r="G334" s="21"/>
      <c r="H334" s="20"/>
      <c r="I334" s="22" t="str">
        <f aca="false">IF(AND(ISNUMBER($F334),ISNUMBER($G334),$E334&lt;&gt;"R"),$F334*$G334,"")</f>
        <v/>
      </c>
      <c r="J334" s="29" t="str">
        <f aca="false">IF(AND($E334="A",ISNUMBER($F334),ISNUMBER($G334)),$F334*(1+$G334/30),"")</f>
        <v/>
      </c>
      <c r="K334" s="19"/>
      <c r="L334" s="19"/>
    </row>
    <row r="335" customFormat="false" ht="15.75" hidden="false" customHeight="true" outlineLevel="0" collapsed="false">
      <c r="A335" s="26" t="str">
        <f aca="false">IFERROR(IF($B335="","",IF(INDEX(Einheiten!$B$4:$B$27,MATCH($B335,Einheiten!$A$4:$A$27,0))=0,"",INDEX(Einheiten!$B$4:$B$27,MATCH($B335,Einheiten!$A$4:$A$27,0)))),"")</f>
        <v/>
      </c>
      <c r="B335" s="27"/>
      <c r="C335" s="28" t="str">
        <f aca="false">IFERROR(IF($D335="","",INDEX(Übungen!$B$4:$B$17,MATCH($D335,Übungen!$A$4:$A$17,0))),"")</f>
        <v/>
      </c>
      <c r="D335" s="19"/>
      <c r="E335" s="17"/>
      <c r="F335" s="20"/>
      <c r="G335" s="21"/>
      <c r="H335" s="20"/>
      <c r="I335" s="22" t="str">
        <f aca="false">IF(AND(ISNUMBER($F335),ISNUMBER($G335),$E335&lt;&gt;"R"),$F335*$G335,"")</f>
        <v/>
      </c>
      <c r="J335" s="29" t="str">
        <f aca="false">IF(AND($E335="A",ISNUMBER($F335),ISNUMBER($G335)),$F335*(1+$G335/30),"")</f>
        <v/>
      </c>
      <c r="K335" s="19"/>
      <c r="L335" s="19"/>
    </row>
    <row r="336" customFormat="false" ht="15.75" hidden="false" customHeight="true" outlineLevel="0" collapsed="false">
      <c r="A336" s="26" t="str">
        <f aca="false">IFERROR(IF($B336="","",IF(INDEX(Einheiten!$B$4:$B$27,MATCH($B336,Einheiten!$A$4:$A$27,0))=0,"",INDEX(Einheiten!$B$4:$B$27,MATCH($B336,Einheiten!$A$4:$A$27,0)))),"")</f>
        <v/>
      </c>
      <c r="B336" s="27"/>
      <c r="C336" s="28" t="str">
        <f aca="false">IFERROR(IF($D336="","",INDEX(Übungen!$B$4:$B$17,MATCH($D336,Übungen!$A$4:$A$17,0))),"")</f>
        <v/>
      </c>
      <c r="D336" s="19"/>
      <c r="E336" s="17"/>
      <c r="F336" s="20"/>
      <c r="G336" s="21"/>
      <c r="H336" s="20"/>
      <c r="I336" s="22" t="str">
        <f aca="false">IF(AND(ISNUMBER($F336),ISNUMBER($G336),$E336&lt;&gt;"R"),$F336*$G336,"")</f>
        <v/>
      </c>
      <c r="J336" s="29" t="str">
        <f aca="false">IF(AND($E336="A",ISNUMBER($F336),ISNUMBER($G336)),$F336*(1+$G336/30),"")</f>
        <v/>
      </c>
      <c r="K336" s="19"/>
      <c r="L336" s="19"/>
    </row>
    <row r="337" customFormat="false" ht="15.75" hidden="false" customHeight="true" outlineLevel="0" collapsed="false">
      <c r="A337" s="26" t="str">
        <f aca="false">IFERROR(IF($B337="","",IF(INDEX(Einheiten!$B$4:$B$27,MATCH($B337,Einheiten!$A$4:$A$27,0))=0,"",INDEX(Einheiten!$B$4:$B$27,MATCH($B337,Einheiten!$A$4:$A$27,0)))),"")</f>
        <v/>
      </c>
      <c r="B337" s="27"/>
      <c r="C337" s="28" t="str">
        <f aca="false">IFERROR(IF($D337="","",INDEX(Übungen!$B$4:$B$17,MATCH($D337,Übungen!$A$4:$A$17,0))),"")</f>
        <v/>
      </c>
      <c r="D337" s="19"/>
      <c r="E337" s="17"/>
      <c r="F337" s="20"/>
      <c r="G337" s="21"/>
      <c r="H337" s="20"/>
      <c r="I337" s="22" t="str">
        <f aca="false">IF(AND(ISNUMBER($F337),ISNUMBER($G337),$E337&lt;&gt;"R"),$F337*$G337,"")</f>
        <v/>
      </c>
      <c r="J337" s="29" t="str">
        <f aca="false">IF(AND($E337="A",ISNUMBER($F337),ISNUMBER($G337)),$F337*(1+$G337/30),"")</f>
        <v/>
      </c>
      <c r="K337" s="19"/>
      <c r="L337" s="19"/>
    </row>
    <row r="338" customFormat="false" ht="15.75" hidden="false" customHeight="true" outlineLevel="0" collapsed="false">
      <c r="A338" s="26" t="str">
        <f aca="false">IFERROR(IF($B338="","",IF(INDEX(Einheiten!$B$4:$B$27,MATCH($B338,Einheiten!$A$4:$A$27,0))=0,"",INDEX(Einheiten!$B$4:$B$27,MATCH($B338,Einheiten!$A$4:$A$27,0)))),"")</f>
        <v/>
      </c>
      <c r="B338" s="27"/>
      <c r="C338" s="28" t="str">
        <f aca="false">IFERROR(IF($D338="","",INDEX(Übungen!$B$4:$B$17,MATCH($D338,Übungen!$A$4:$A$17,0))),"")</f>
        <v/>
      </c>
      <c r="D338" s="19"/>
      <c r="E338" s="17"/>
      <c r="F338" s="20"/>
      <c r="G338" s="21"/>
      <c r="H338" s="20"/>
      <c r="I338" s="22" t="str">
        <f aca="false">IF(AND(ISNUMBER($F338),ISNUMBER($G338),$E338&lt;&gt;"R"),$F338*$G338,"")</f>
        <v/>
      </c>
      <c r="J338" s="29" t="str">
        <f aca="false">IF(AND($E338="A",ISNUMBER($F338),ISNUMBER($G338)),$F338*(1+$G338/30),"")</f>
        <v/>
      </c>
      <c r="K338" s="19"/>
      <c r="L338" s="19"/>
    </row>
    <row r="339" customFormat="false" ht="15.75" hidden="false" customHeight="true" outlineLevel="0" collapsed="false">
      <c r="A339" s="26" t="str">
        <f aca="false">IFERROR(IF($B339="","",IF(INDEX(Einheiten!$B$4:$B$27,MATCH($B339,Einheiten!$A$4:$A$27,0))=0,"",INDEX(Einheiten!$B$4:$B$27,MATCH($B339,Einheiten!$A$4:$A$27,0)))),"")</f>
        <v/>
      </c>
      <c r="B339" s="27"/>
      <c r="C339" s="28" t="str">
        <f aca="false">IFERROR(IF($D339="","",INDEX(Übungen!$B$4:$B$17,MATCH($D339,Übungen!$A$4:$A$17,0))),"")</f>
        <v/>
      </c>
      <c r="D339" s="19"/>
      <c r="E339" s="17"/>
      <c r="F339" s="20"/>
      <c r="G339" s="21"/>
      <c r="H339" s="20"/>
      <c r="I339" s="22" t="str">
        <f aca="false">IF(AND(ISNUMBER($F339),ISNUMBER($G339),$E339&lt;&gt;"R"),$F339*$G339,"")</f>
        <v/>
      </c>
      <c r="J339" s="29" t="str">
        <f aca="false">IF(AND($E339="A",ISNUMBER($F339),ISNUMBER($G339)),$F339*(1+$G339/30),"")</f>
        <v/>
      </c>
      <c r="K339" s="19"/>
      <c r="L339" s="19"/>
    </row>
    <row r="340" customFormat="false" ht="15.75" hidden="false" customHeight="true" outlineLevel="0" collapsed="false">
      <c r="A340" s="26" t="str">
        <f aca="false">IFERROR(IF($B340="","",IF(INDEX(Einheiten!$B$4:$B$27,MATCH($B340,Einheiten!$A$4:$A$27,0))=0,"",INDEX(Einheiten!$B$4:$B$27,MATCH($B340,Einheiten!$A$4:$A$27,0)))),"")</f>
        <v/>
      </c>
      <c r="B340" s="27"/>
      <c r="C340" s="28" t="str">
        <f aca="false">IFERROR(IF($D340="","",INDEX(Übungen!$B$4:$B$17,MATCH($D340,Übungen!$A$4:$A$17,0))),"")</f>
        <v/>
      </c>
      <c r="D340" s="19"/>
      <c r="E340" s="17"/>
      <c r="F340" s="20"/>
      <c r="G340" s="21"/>
      <c r="H340" s="20"/>
      <c r="I340" s="22" t="str">
        <f aca="false">IF(AND(ISNUMBER($F340),ISNUMBER($G340),$E340&lt;&gt;"R"),$F340*$G340,"")</f>
        <v/>
      </c>
      <c r="J340" s="29" t="str">
        <f aca="false">IF(AND($E340="A",ISNUMBER($F340),ISNUMBER($G340)),$F340*(1+$G340/30),"")</f>
        <v/>
      </c>
      <c r="K340" s="19"/>
      <c r="L340" s="19"/>
    </row>
    <row r="341" customFormat="false" ht="15.75" hidden="false" customHeight="true" outlineLevel="0" collapsed="false">
      <c r="A341" s="26" t="str">
        <f aca="false">IFERROR(IF($B341="","",IF(INDEX(Einheiten!$B$4:$B$27,MATCH($B341,Einheiten!$A$4:$A$27,0))=0,"",INDEX(Einheiten!$B$4:$B$27,MATCH($B341,Einheiten!$A$4:$A$27,0)))),"")</f>
        <v/>
      </c>
      <c r="B341" s="27"/>
      <c r="C341" s="28" t="str">
        <f aca="false">IFERROR(IF($D341="","",INDEX(Übungen!$B$4:$B$17,MATCH($D341,Übungen!$A$4:$A$17,0))),"")</f>
        <v/>
      </c>
      <c r="D341" s="19"/>
      <c r="E341" s="17"/>
      <c r="F341" s="20"/>
      <c r="G341" s="21"/>
      <c r="H341" s="20"/>
      <c r="I341" s="22" t="str">
        <f aca="false">IF(AND(ISNUMBER($F341),ISNUMBER($G341),$E341&lt;&gt;"R"),$F341*$G341,"")</f>
        <v/>
      </c>
      <c r="J341" s="29" t="str">
        <f aca="false">IF(AND($E341="A",ISNUMBER($F341),ISNUMBER($G341)),$F341*(1+$G341/30),"")</f>
        <v/>
      </c>
      <c r="K341" s="19"/>
      <c r="L341" s="19"/>
    </row>
    <row r="342" customFormat="false" ht="15.75" hidden="false" customHeight="true" outlineLevel="0" collapsed="false">
      <c r="A342" s="26" t="str">
        <f aca="false">IFERROR(IF($B342="","",IF(INDEX(Einheiten!$B$4:$B$27,MATCH($B342,Einheiten!$A$4:$A$27,0))=0,"",INDEX(Einheiten!$B$4:$B$27,MATCH($B342,Einheiten!$A$4:$A$27,0)))),"")</f>
        <v/>
      </c>
      <c r="B342" s="27"/>
      <c r="C342" s="28" t="str">
        <f aca="false">IFERROR(IF($D342="","",INDEX(Übungen!$B$4:$B$17,MATCH($D342,Übungen!$A$4:$A$17,0))),"")</f>
        <v/>
      </c>
      <c r="D342" s="19"/>
      <c r="E342" s="17"/>
      <c r="F342" s="20"/>
      <c r="G342" s="21"/>
      <c r="H342" s="20"/>
      <c r="I342" s="22" t="str">
        <f aca="false">IF(AND(ISNUMBER($F342),ISNUMBER($G342),$E342&lt;&gt;"R"),$F342*$G342,"")</f>
        <v/>
      </c>
      <c r="J342" s="29" t="str">
        <f aca="false">IF(AND($E342="A",ISNUMBER($F342),ISNUMBER($G342)),$F342*(1+$G342/30),"")</f>
        <v/>
      </c>
      <c r="K342" s="19"/>
      <c r="L342" s="19"/>
    </row>
    <row r="343" customFormat="false" ht="15.75" hidden="false" customHeight="true" outlineLevel="0" collapsed="false">
      <c r="A343" s="26" t="str">
        <f aca="false">IFERROR(IF($B343="","",IF(INDEX(Einheiten!$B$4:$B$27,MATCH($B343,Einheiten!$A$4:$A$27,0))=0,"",INDEX(Einheiten!$B$4:$B$27,MATCH($B343,Einheiten!$A$4:$A$27,0)))),"")</f>
        <v/>
      </c>
      <c r="B343" s="27"/>
      <c r="C343" s="28" t="str">
        <f aca="false">IFERROR(IF($D343="","",INDEX(Übungen!$B$4:$B$17,MATCH($D343,Übungen!$A$4:$A$17,0))),"")</f>
        <v/>
      </c>
      <c r="D343" s="19"/>
      <c r="E343" s="17"/>
      <c r="F343" s="20"/>
      <c r="G343" s="21"/>
      <c r="H343" s="20"/>
      <c r="I343" s="22" t="str">
        <f aca="false">IF(AND(ISNUMBER($F343),ISNUMBER($G343),$E343&lt;&gt;"R"),$F343*$G343,"")</f>
        <v/>
      </c>
      <c r="J343" s="29" t="str">
        <f aca="false">IF(AND($E343="A",ISNUMBER($F343),ISNUMBER($G343)),$F343*(1+$G343/30),"")</f>
        <v/>
      </c>
      <c r="K343" s="19"/>
      <c r="L343" s="19"/>
    </row>
    <row r="344" customFormat="false" ht="15.75" hidden="false" customHeight="true" outlineLevel="0" collapsed="false">
      <c r="A344" s="26" t="str">
        <f aca="false">IFERROR(IF($B344="","",IF(INDEX(Einheiten!$B$4:$B$27,MATCH($B344,Einheiten!$A$4:$A$27,0))=0,"",INDEX(Einheiten!$B$4:$B$27,MATCH($B344,Einheiten!$A$4:$A$27,0)))),"")</f>
        <v/>
      </c>
      <c r="B344" s="27"/>
      <c r="C344" s="28" t="str">
        <f aca="false">IFERROR(IF($D344="","",INDEX(Übungen!$B$4:$B$17,MATCH($D344,Übungen!$A$4:$A$17,0))),"")</f>
        <v/>
      </c>
      <c r="D344" s="19"/>
      <c r="E344" s="17"/>
      <c r="F344" s="20"/>
      <c r="G344" s="21"/>
      <c r="H344" s="20"/>
      <c r="I344" s="22" t="str">
        <f aca="false">IF(AND(ISNUMBER($F344),ISNUMBER($G344),$E344&lt;&gt;"R"),$F344*$G344,"")</f>
        <v/>
      </c>
      <c r="J344" s="29" t="str">
        <f aca="false">IF(AND($E344="A",ISNUMBER($F344),ISNUMBER($G344)),$F344*(1+$G344/30),"")</f>
        <v/>
      </c>
      <c r="K344" s="19"/>
      <c r="L344" s="19"/>
    </row>
    <row r="345" customFormat="false" ht="15.75" hidden="false" customHeight="true" outlineLevel="0" collapsed="false">
      <c r="A345" s="26" t="str">
        <f aca="false">IFERROR(IF($B345="","",IF(INDEX(Einheiten!$B$4:$B$27,MATCH($B345,Einheiten!$A$4:$A$27,0))=0,"",INDEX(Einheiten!$B$4:$B$27,MATCH($B345,Einheiten!$A$4:$A$27,0)))),"")</f>
        <v/>
      </c>
      <c r="B345" s="27"/>
      <c r="C345" s="28" t="str">
        <f aca="false">IFERROR(IF($D345="","",INDEX(Übungen!$B$4:$B$17,MATCH($D345,Übungen!$A$4:$A$17,0))),"")</f>
        <v/>
      </c>
      <c r="D345" s="19"/>
      <c r="E345" s="17"/>
      <c r="F345" s="20"/>
      <c r="G345" s="21"/>
      <c r="H345" s="20"/>
      <c r="I345" s="22" t="str">
        <f aca="false">IF(AND(ISNUMBER($F345),ISNUMBER($G345),$E345&lt;&gt;"R"),$F345*$G345,"")</f>
        <v/>
      </c>
      <c r="J345" s="29" t="str">
        <f aca="false">IF(AND($E345="A",ISNUMBER($F345),ISNUMBER($G345)),$F345*(1+$G345/30),"")</f>
        <v/>
      </c>
      <c r="K345" s="19"/>
      <c r="L345" s="19"/>
    </row>
    <row r="346" customFormat="false" ht="15.75" hidden="false" customHeight="true" outlineLevel="0" collapsed="false">
      <c r="A346" s="26" t="str">
        <f aca="false">IFERROR(IF($B346="","",IF(INDEX(Einheiten!$B$4:$B$27,MATCH($B346,Einheiten!$A$4:$A$27,0))=0,"",INDEX(Einheiten!$B$4:$B$27,MATCH($B346,Einheiten!$A$4:$A$27,0)))),"")</f>
        <v/>
      </c>
      <c r="B346" s="27"/>
      <c r="C346" s="28" t="str">
        <f aca="false">IFERROR(IF($D346="","",INDEX(Übungen!$B$4:$B$17,MATCH($D346,Übungen!$A$4:$A$17,0))),"")</f>
        <v/>
      </c>
      <c r="D346" s="19"/>
      <c r="E346" s="17"/>
      <c r="F346" s="20"/>
      <c r="G346" s="21"/>
      <c r="H346" s="20"/>
      <c r="I346" s="22" t="str">
        <f aca="false">IF(AND(ISNUMBER($F346),ISNUMBER($G346),$E346&lt;&gt;"R"),$F346*$G346,"")</f>
        <v/>
      </c>
      <c r="J346" s="29" t="str">
        <f aca="false">IF(AND($E346="A",ISNUMBER($F346),ISNUMBER($G346)),$F346*(1+$G346/30),"")</f>
        <v/>
      </c>
      <c r="K346" s="19"/>
      <c r="L346" s="19"/>
    </row>
    <row r="347" customFormat="false" ht="15.75" hidden="false" customHeight="true" outlineLevel="0" collapsed="false">
      <c r="A347" s="26" t="str">
        <f aca="false">IFERROR(IF($B347="","",IF(INDEX(Einheiten!$B$4:$B$27,MATCH($B347,Einheiten!$A$4:$A$27,0))=0,"",INDEX(Einheiten!$B$4:$B$27,MATCH($B347,Einheiten!$A$4:$A$27,0)))),"")</f>
        <v/>
      </c>
      <c r="B347" s="27"/>
      <c r="C347" s="28" t="str">
        <f aca="false">IFERROR(IF($D347="","",INDEX(Übungen!$B$4:$B$17,MATCH($D347,Übungen!$A$4:$A$17,0))),"")</f>
        <v/>
      </c>
      <c r="D347" s="19"/>
      <c r="E347" s="17"/>
      <c r="F347" s="20"/>
      <c r="G347" s="21"/>
      <c r="H347" s="20"/>
      <c r="I347" s="22" t="str">
        <f aca="false">IF(AND(ISNUMBER($F347),ISNUMBER($G347),$E347&lt;&gt;"R"),$F347*$G347,"")</f>
        <v/>
      </c>
      <c r="J347" s="29" t="str">
        <f aca="false">IF(AND($E347="A",ISNUMBER($F347),ISNUMBER($G347)),$F347*(1+$G347/30),"")</f>
        <v/>
      </c>
      <c r="K347" s="19"/>
      <c r="L347" s="19"/>
    </row>
    <row r="348" customFormat="false" ht="15.75" hidden="false" customHeight="true" outlineLevel="0" collapsed="false">
      <c r="A348" s="26" t="str">
        <f aca="false">IFERROR(IF($B348="","",IF(INDEX(Einheiten!$B$4:$B$27,MATCH($B348,Einheiten!$A$4:$A$27,0))=0,"",INDEX(Einheiten!$B$4:$B$27,MATCH($B348,Einheiten!$A$4:$A$27,0)))),"")</f>
        <v/>
      </c>
      <c r="B348" s="27"/>
      <c r="C348" s="28" t="str">
        <f aca="false">IFERROR(IF($D348="","",INDEX(Übungen!$B$4:$B$17,MATCH($D348,Übungen!$A$4:$A$17,0))),"")</f>
        <v/>
      </c>
      <c r="D348" s="19"/>
      <c r="E348" s="17"/>
      <c r="F348" s="20"/>
      <c r="G348" s="21"/>
      <c r="H348" s="20"/>
      <c r="I348" s="22" t="str">
        <f aca="false">IF(AND(ISNUMBER($F348),ISNUMBER($G348),$E348&lt;&gt;"R"),$F348*$G348,"")</f>
        <v/>
      </c>
      <c r="J348" s="29" t="str">
        <f aca="false">IF(AND($E348="A",ISNUMBER($F348),ISNUMBER($G348)),$F348*(1+$G348/30),"")</f>
        <v/>
      </c>
      <c r="K348" s="19"/>
      <c r="L348" s="19"/>
    </row>
    <row r="349" customFormat="false" ht="15.75" hidden="false" customHeight="true" outlineLevel="0" collapsed="false">
      <c r="A349" s="26" t="str">
        <f aca="false">IFERROR(IF($B349="","",IF(INDEX(Einheiten!$B$4:$B$27,MATCH($B349,Einheiten!$A$4:$A$27,0))=0,"",INDEX(Einheiten!$B$4:$B$27,MATCH($B349,Einheiten!$A$4:$A$27,0)))),"")</f>
        <v/>
      </c>
      <c r="B349" s="27"/>
      <c r="C349" s="28" t="str">
        <f aca="false">IFERROR(IF($D349="","",INDEX(Übungen!$B$4:$B$17,MATCH($D349,Übungen!$A$4:$A$17,0))),"")</f>
        <v/>
      </c>
      <c r="D349" s="19"/>
      <c r="E349" s="17"/>
      <c r="F349" s="20"/>
      <c r="G349" s="21"/>
      <c r="H349" s="20"/>
      <c r="I349" s="22" t="str">
        <f aca="false">IF(AND(ISNUMBER($F349),ISNUMBER($G349),$E349&lt;&gt;"R"),$F349*$G349,"")</f>
        <v/>
      </c>
      <c r="J349" s="29" t="str">
        <f aca="false">IF(AND($E349="A",ISNUMBER($F349),ISNUMBER($G349)),$F349*(1+$G349/30),"")</f>
        <v/>
      </c>
      <c r="K349" s="19"/>
      <c r="L349" s="19"/>
    </row>
    <row r="350" customFormat="false" ht="15.75" hidden="false" customHeight="true" outlineLevel="0" collapsed="false">
      <c r="A350" s="26" t="str">
        <f aca="false">IFERROR(IF($B350="","",IF(INDEX(Einheiten!$B$4:$B$27,MATCH($B350,Einheiten!$A$4:$A$27,0))=0,"",INDEX(Einheiten!$B$4:$B$27,MATCH($B350,Einheiten!$A$4:$A$27,0)))),"")</f>
        <v/>
      </c>
      <c r="B350" s="27"/>
      <c r="C350" s="28" t="str">
        <f aca="false">IFERROR(IF($D350="","",INDEX(Übungen!$B$4:$B$17,MATCH($D350,Übungen!$A$4:$A$17,0))),"")</f>
        <v/>
      </c>
      <c r="D350" s="19"/>
      <c r="E350" s="17"/>
      <c r="F350" s="20"/>
      <c r="G350" s="21"/>
      <c r="H350" s="20"/>
      <c r="I350" s="22" t="str">
        <f aca="false">IF(AND(ISNUMBER($F350),ISNUMBER($G350),$E350&lt;&gt;"R"),$F350*$G350,"")</f>
        <v/>
      </c>
      <c r="J350" s="29" t="str">
        <f aca="false">IF(AND($E350="A",ISNUMBER($F350),ISNUMBER($G350)),$F350*(1+$G350/30),"")</f>
        <v/>
      </c>
      <c r="K350" s="19"/>
      <c r="L350" s="19"/>
    </row>
    <row r="351" customFormat="false" ht="15.75" hidden="false" customHeight="true" outlineLevel="0" collapsed="false">
      <c r="A351" s="26" t="str">
        <f aca="false">IFERROR(IF($B351="","",IF(INDEX(Einheiten!$B$4:$B$27,MATCH($B351,Einheiten!$A$4:$A$27,0))=0,"",INDEX(Einheiten!$B$4:$B$27,MATCH($B351,Einheiten!$A$4:$A$27,0)))),"")</f>
        <v/>
      </c>
      <c r="B351" s="27"/>
      <c r="C351" s="28" t="str">
        <f aca="false">IFERROR(IF($D351="","",INDEX(Übungen!$B$4:$B$17,MATCH($D351,Übungen!$A$4:$A$17,0))),"")</f>
        <v/>
      </c>
      <c r="D351" s="19"/>
      <c r="E351" s="17"/>
      <c r="F351" s="20"/>
      <c r="G351" s="21"/>
      <c r="H351" s="20"/>
      <c r="I351" s="22" t="str">
        <f aca="false">IF(AND(ISNUMBER($F351),ISNUMBER($G351),$E351&lt;&gt;"R"),$F351*$G351,"")</f>
        <v/>
      </c>
      <c r="J351" s="29" t="str">
        <f aca="false">IF(AND($E351="A",ISNUMBER($F351),ISNUMBER($G351)),$F351*(1+$G351/30),"")</f>
        <v/>
      </c>
      <c r="K351" s="19"/>
      <c r="L351" s="19"/>
    </row>
    <row r="352" customFormat="false" ht="15.75" hidden="false" customHeight="true" outlineLevel="0" collapsed="false">
      <c r="A352" s="26" t="str">
        <f aca="false">IFERROR(IF($B352="","",IF(INDEX(Einheiten!$B$4:$B$27,MATCH($B352,Einheiten!$A$4:$A$27,0))=0,"",INDEX(Einheiten!$B$4:$B$27,MATCH($B352,Einheiten!$A$4:$A$27,0)))),"")</f>
        <v/>
      </c>
      <c r="B352" s="27"/>
      <c r="C352" s="28" t="str">
        <f aca="false">IFERROR(IF($D352="","",INDEX(Übungen!$B$4:$B$17,MATCH($D352,Übungen!$A$4:$A$17,0))),"")</f>
        <v/>
      </c>
      <c r="D352" s="19"/>
      <c r="E352" s="17"/>
      <c r="F352" s="20"/>
      <c r="G352" s="21"/>
      <c r="H352" s="20"/>
      <c r="I352" s="22" t="str">
        <f aca="false">IF(AND(ISNUMBER($F352),ISNUMBER($G352),$E352&lt;&gt;"R"),$F352*$G352,"")</f>
        <v/>
      </c>
      <c r="J352" s="29" t="str">
        <f aca="false">IF(AND($E352="A",ISNUMBER($F352),ISNUMBER($G352)),$F352*(1+$G352/30),"")</f>
        <v/>
      </c>
      <c r="K352" s="19"/>
      <c r="L352" s="19"/>
    </row>
    <row r="353" customFormat="false" ht="15.75" hidden="false" customHeight="true" outlineLevel="0" collapsed="false">
      <c r="A353" s="26" t="str">
        <f aca="false">IFERROR(IF($B353="","",IF(INDEX(Einheiten!$B$4:$B$27,MATCH($B353,Einheiten!$A$4:$A$27,0))=0,"",INDEX(Einheiten!$B$4:$B$27,MATCH($B353,Einheiten!$A$4:$A$27,0)))),"")</f>
        <v/>
      </c>
      <c r="B353" s="27"/>
      <c r="C353" s="28" t="str">
        <f aca="false">IFERROR(IF($D353="","",INDEX(Übungen!$B$4:$B$17,MATCH($D353,Übungen!$A$4:$A$17,0))),"")</f>
        <v/>
      </c>
      <c r="D353" s="19"/>
      <c r="E353" s="17"/>
      <c r="F353" s="20"/>
      <c r="G353" s="21"/>
      <c r="H353" s="20"/>
      <c r="I353" s="22" t="str">
        <f aca="false">IF(AND(ISNUMBER($F353),ISNUMBER($G353),$E353&lt;&gt;"R"),$F353*$G353,"")</f>
        <v/>
      </c>
      <c r="J353" s="29" t="str">
        <f aca="false">IF(AND($E353="A",ISNUMBER($F353),ISNUMBER($G353)),$F353*(1+$G353/30),"")</f>
        <v/>
      </c>
      <c r="K353" s="19"/>
      <c r="L353" s="19"/>
    </row>
    <row r="354" customFormat="false" ht="15.75" hidden="false" customHeight="true" outlineLevel="0" collapsed="false">
      <c r="A354" s="26" t="str">
        <f aca="false">IFERROR(IF($B354="","",IF(INDEX(Einheiten!$B$4:$B$27,MATCH($B354,Einheiten!$A$4:$A$27,0))=0,"",INDEX(Einheiten!$B$4:$B$27,MATCH($B354,Einheiten!$A$4:$A$27,0)))),"")</f>
        <v/>
      </c>
      <c r="B354" s="27"/>
      <c r="C354" s="28" t="str">
        <f aca="false">IFERROR(IF($D354="","",INDEX(Übungen!$B$4:$B$17,MATCH($D354,Übungen!$A$4:$A$17,0))),"")</f>
        <v/>
      </c>
      <c r="D354" s="19"/>
      <c r="E354" s="17"/>
      <c r="F354" s="20"/>
      <c r="G354" s="21"/>
      <c r="H354" s="20"/>
      <c r="I354" s="22" t="str">
        <f aca="false">IF(AND(ISNUMBER($F354),ISNUMBER($G354),$E354&lt;&gt;"R"),$F354*$G354,"")</f>
        <v/>
      </c>
      <c r="J354" s="29" t="str">
        <f aca="false">IF(AND($E354="A",ISNUMBER($F354),ISNUMBER($G354)),$F354*(1+$G354/30),"")</f>
        <v/>
      </c>
      <c r="K354" s="19"/>
      <c r="L354" s="19"/>
    </row>
    <row r="355" customFormat="false" ht="15.75" hidden="false" customHeight="true" outlineLevel="0" collapsed="false">
      <c r="A355" s="26" t="str">
        <f aca="false">IFERROR(IF($B355="","",IF(INDEX(Einheiten!$B$4:$B$27,MATCH($B355,Einheiten!$A$4:$A$27,0))=0,"",INDEX(Einheiten!$B$4:$B$27,MATCH($B355,Einheiten!$A$4:$A$27,0)))),"")</f>
        <v/>
      </c>
      <c r="B355" s="27"/>
      <c r="C355" s="28" t="str">
        <f aca="false">IFERROR(IF($D355="","",INDEX(Übungen!$B$4:$B$17,MATCH($D355,Übungen!$A$4:$A$17,0))),"")</f>
        <v/>
      </c>
      <c r="D355" s="19"/>
      <c r="E355" s="17"/>
      <c r="F355" s="20"/>
      <c r="G355" s="21"/>
      <c r="H355" s="20"/>
      <c r="I355" s="22" t="str">
        <f aca="false">IF(AND(ISNUMBER($F355),ISNUMBER($G355),$E355&lt;&gt;"R"),$F355*$G355,"")</f>
        <v/>
      </c>
      <c r="J355" s="29" t="str">
        <f aca="false">IF(AND($E355="A",ISNUMBER($F355),ISNUMBER($G355)),$F355*(1+$G355/30),"")</f>
        <v/>
      </c>
      <c r="K355" s="19"/>
      <c r="L355" s="19"/>
    </row>
    <row r="356" customFormat="false" ht="15.75" hidden="false" customHeight="true" outlineLevel="0" collapsed="false">
      <c r="A356" s="26" t="str">
        <f aca="false">IFERROR(IF($B356="","",IF(INDEX(Einheiten!$B$4:$B$27,MATCH($B356,Einheiten!$A$4:$A$27,0))=0,"",INDEX(Einheiten!$B$4:$B$27,MATCH($B356,Einheiten!$A$4:$A$27,0)))),"")</f>
        <v/>
      </c>
      <c r="B356" s="27"/>
      <c r="C356" s="28" t="str">
        <f aca="false">IFERROR(IF($D356="","",INDEX(Übungen!$B$4:$B$17,MATCH($D356,Übungen!$A$4:$A$17,0))),"")</f>
        <v/>
      </c>
      <c r="D356" s="19"/>
      <c r="E356" s="17"/>
      <c r="F356" s="20"/>
      <c r="G356" s="21"/>
      <c r="H356" s="20"/>
      <c r="I356" s="22" t="str">
        <f aca="false">IF(AND(ISNUMBER($F356),ISNUMBER($G356),$E356&lt;&gt;"R"),$F356*$G356,"")</f>
        <v/>
      </c>
      <c r="J356" s="29" t="str">
        <f aca="false">IF(AND($E356="A",ISNUMBER($F356),ISNUMBER($G356)),$F356*(1+$G356/30),"")</f>
        <v/>
      </c>
      <c r="K356" s="19"/>
      <c r="L356" s="19"/>
    </row>
    <row r="357" customFormat="false" ht="15.75" hidden="false" customHeight="true" outlineLevel="0" collapsed="false">
      <c r="A357" s="26" t="str">
        <f aca="false">IFERROR(IF($B357="","",IF(INDEX(Einheiten!$B$4:$B$27,MATCH($B357,Einheiten!$A$4:$A$27,0))=0,"",INDEX(Einheiten!$B$4:$B$27,MATCH($B357,Einheiten!$A$4:$A$27,0)))),"")</f>
        <v/>
      </c>
      <c r="B357" s="27"/>
      <c r="C357" s="28" t="str">
        <f aca="false">IFERROR(IF($D357="","",INDEX(Übungen!$B$4:$B$17,MATCH($D357,Übungen!$A$4:$A$17,0))),"")</f>
        <v/>
      </c>
      <c r="D357" s="19"/>
      <c r="E357" s="17"/>
      <c r="F357" s="20"/>
      <c r="G357" s="21"/>
      <c r="H357" s="20"/>
      <c r="I357" s="22" t="str">
        <f aca="false">IF(AND(ISNUMBER($F357),ISNUMBER($G357),$E357&lt;&gt;"R"),$F357*$G357,"")</f>
        <v/>
      </c>
      <c r="J357" s="29" t="str">
        <f aca="false">IF(AND($E357="A",ISNUMBER($F357),ISNUMBER($G357)),$F357*(1+$G357/30),"")</f>
        <v/>
      </c>
      <c r="K357" s="19"/>
      <c r="L357" s="19"/>
    </row>
    <row r="358" customFormat="false" ht="15.75" hidden="false" customHeight="true" outlineLevel="0" collapsed="false">
      <c r="A358" s="26" t="str">
        <f aca="false">IFERROR(IF($B358="","",IF(INDEX(Einheiten!$B$4:$B$27,MATCH($B358,Einheiten!$A$4:$A$27,0))=0,"",INDEX(Einheiten!$B$4:$B$27,MATCH($B358,Einheiten!$A$4:$A$27,0)))),"")</f>
        <v/>
      </c>
      <c r="B358" s="27"/>
      <c r="C358" s="28" t="str">
        <f aca="false">IFERROR(IF($D358="","",INDEX(Übungen!$B$4:$B$17,MATCH($D358,Übungen!$A$4:$A$17,0))),"")</f>
        <v/>
      </c>
      <c r="D358" s="19"/>
      <c r="E358" s="17"/>
      <c r="F358" s="20"/>
      <c r="G358" s="21"/>
      <c r="H358" s="20"/>
      <c r="I358" s="22" t="str">
        <f aca="false">IF(AND(ISNUMBER($F358),ISNUMBER($G358),$E358&lt;&gt;"R"),$F358*$G358,"")</f>
        <v/>
      </c>
      <c r="J358" s="29" t="str">
        <f aca="false">IF(AND($E358="A",ISNUMBER($F358),ISNUMBER($G358)),$F358*(1+$G358/30),"")</f>
        <v/>
      </c>
      <c r="K358" s="19"/>
      <c r="L358" s="19"/>
    </row>
    <row r="359" customFormat="false" ht="15.75" hidden="false" customHeight="true" outlineLevel="0" collapsed="false">
      <c r="A359" s="26" t="str">
        <f aca="false">IFERROR(IF($B359="","",IF(INDEX(Einheiten!$B$4:$B$27,MATCH($B359,Einheiten!$A$4:$A$27,0))=0,"",INDEX(Einheiten!$B$4:$B$27,MATCH($B359,Einheiten!$A$4:$A$27,0)))),"")</f>
        <v/>
      </c>
      <c r="B359" s="27"/>
      <c r="C359" s="28" t="str">
        <f aca="false">IFERROR(IF($D359="","",INDEX(Übungen!$B$4:$B$17,MATCH($D359,Übungen!$A$4:$A$17,0))),"")</f>
        <v/>
      </c>
      <c r="D359" s="19"/>
      <c r="E359" s="17"/>
      <c r="F359" s="20"/>
      <c r="G359" s="21"/>
      <c r="H359" s="20"/>
      <c r="I359" s="22" t="str">
        <f aca="false">IF(AND(ISNUMBER($F359),ISNUMBER($G359),$E359&lt;&gt;"R"),$F359*$G359,"")</f>
        <v/>
      </c>
      <c r="J359" s="29" t="str">
        <f aca="false">IF(AND($E359="A",ISNUMBER($F359),ISNUMBER($G359)),$F359*(1+$G359/30),"")</f>
        <v/>
      </c>
      <c r="K359" s="19"/>
      <c r="L359" s="19"/>
    </row>
    <row r="360" customFormat="false" ht="15.75" hidden="false" customHeight="true" outlineLevel="0" collapsed="false">
      <c r="A360" s="26" t="str">
        <f aca="false">IFERROR(IF($B360="","",IF(INDEX(Einheiten!$B$4:$B$27,MATCH($B360,Einheiten!$A$4:$A$27,0))=0,"",INDEX(Einheiten!$B$4:$B$27,MATCH($B360,Einheiten!$A$4:$A$27,0)))),"")</f>
        <v/>
      </c>
      <c r="B360" s="27"/>
      <c r="C360" s="28" t="str">
        <f aca="false">IFERROR(IF($D360="","",INDEX(Übungen!$B$4:$B$17,MATCH($D360,Übungen!$A$4:$A$17,0))),"")</f>
        <v/>
      </c>
      <c r="D360" s="19"/>
      <c r="E360" s="17"/>
      <c r="F360" s="20"/>
      <c r="G360" s="21"/>
      <c r="H360" s="20"/>
      <c r="I360" s="22" t="str">
        <f aca="false">IF(AND(ISNUMBER($F360),ISNUMBER($G360),$E360&lt;&gt;"R"),$F360*$G360,"")</f>
        <v/>
      </c>
      <c r="J360" s="29" t="str">
        <f aca="false">IF(AND($E360="A",ISNUMBER($F360),ISNUMBER($G360)),$F360*(1+$G360/30),"")</f>
        <v/>
      </c>
      <c r="K360" s="19"/>
      <c r="L360" s="19"/>
    </row>
    <row r="361" customFormat="false" ht="15.75" hidden="false" customHeight="true" outlineLevel="0" collapsed="false">
      <c r="A361" s="26" t="str">
        <f aca="false">IFERROR(IF($B361="","",IF(INDEX(Einheiten!$B$4:$B$27,MATCH($B361,Einheiten!$A$4:$A$27,0))=0,"",INDEX(Einheiten!$B$4:$B$27,MATCH($B361,Einheiten!$A$4:$A$27,0)))),"")</f>
        <v/>
      </c>
      <c r="B361" s="27"/>
      <c r="C361" s="28" t="str">
        <f aca="false">IFERROR(IF($D361="","",INDEX(Übungen!$B$4:$B$17,MATCH($D361,Übungen!$A$4:$A$17,0))),"")</f>
        <v/>
      </c>
      <c r="D361" s="19"/>
      <c r="E361" s="17"/>
      <c r="F361" s="20"/>
      <c r="G361" s="21"/>
      <c r="H361" s="20"/>
      <c r="I361" s="22" t="str">
        <f aca="false">IF(AND(ISNUMBER($F361),ISNUMBER($G361),$E361&lt;&gt;"R"),$F361*$G361,"")</f>
        <v/>
      </c>
      <c r="J361" s="29" t="str">
        <f aca="false">IF(AND($E361="A",ISNUMBER($F361),ISNUMBER($G361)),$F361*(1+$G361/30),"")</f>
        <v/>
      </c>
      <c r="K361" s="19"/>
      <c r="L361" s="19"/>
    </row>
    <row r="362" customFormat="false" ht="15.75" hidden="false" customHeight="true" outlineLevel="0" collapsed="false">
      <c r="A362" s="26" t="str">
        <f aca="false">IFERROR(IF($B362="","",IF(INDEX(Einheiten!$B$4:$B$27,MATCH($B362,Einheiten!$A$4:$A$27,0))=0,"",INDEX(Einheiten!$B$4:$B$27,MATCH($B362,Einheiten!$A$4:$A$27,0)))),"")</f>
        <v/>
      </c>
      <c r="B362" s="27"/>
      <c r="C362" s="28" t="str">
        <f aca="false">IFERROR(IF($D362="","",INDEX(Übungen!$B$4:$B$17,MATCH($D362,Übungen!$A$4:$A$17,0))),"")</f>
        <v/>
      </c>
      <c r="D362" s="19"/>
      <c r="E362" s="17"/>
      <c r="F362" s="20"/>
      <c r="G362" s="21"/>
      <c r="H362" s="20"/>
      <c r="I362" s="22" t="str">
        <f aca="false">IF(AND(ISNUMBER($F362),ISNUMBER($G362),$E362&lt;&gt;"R"),$F362*$G362,"")</f>
        <v/>
      </c>
      <c r="J362" s="29" t="str">
        <f aca="false">IF(AND($E362="A",ISNUMBER($F362),ISNUMBER($G362)),$F362*(1+$G362/30),"")</f>
        <v/>
      </c>
      <c r="K362" s="19"/>
      <c r="L362" s="19"/>
    </row>
    <row r="363" customFormat="false" ht="15.75" hidden="false" customHeight="true" outlineLevel="0" collapsed="false">
      <c r="A363" s="26" t="str">
        <f aca="false">IFERROR(IF($B363="","",IF(INDEX(Einheiten!$B$4:$B$27,MATCH($B363,Einheiten!$A$4:$A$27,0))=0,"",INDEX(Einheiten!$B$4:$B$27,MATCH($B363,Einheiten!$A$4:$A$27,0)))),"")</f>
        <v/>
      </c>
      <c r="B363" s="27"/>
      <c r="C363" s="28" t="str">
        <f aca="false">IFERROR(IF($D363="","",INDEX(Übungen!$B$4:$B$17,MATCH($D363,Übungen!$A$4:$A$17,0))),"")</f>
        <v/>
      </c>
      <c r="D363" s="19"/>
      <c r="E363" s="17"/>
      <c r="F363" s="20"/>
      <c r="G363" s="21"/>
      <c r="H363" s="20"/>
      <c r="I363" s="22" t="str">
        <f aca="false">IF(AND(ISNUMBER($F363),ISNUMBER($G363),$E363&lt;&gt;"R"),$F363*$G363,"")</f>
        <v/>
      </c>
      <c r="J363" s="29" t="str">
        <f aca="false">IF(AND($E363="A",ISNUMBER($F363),ISNUMBER($G363)),$F363*(1+$G363/30),"")</f>
        <v/>
      </c>
      <c r="K363" s="19"/>
      <c r="L363" s="19"/>
    </row>
    <row r="364" customFormat="false" ht="15.75" hidden="false" customHeight="true" outlineLevel="0" collapsed="false">
      <c r="A364" s="26" t="str">
        <f aca="false">IFERROR(IF($B364="","",IF(INDEX(Einheiten!$B$4:$B$27,MATCH($B364,Einheiten!$A$4:$A$27,0))=0,"",INDEX(Einheiten!$B$4:$B$27,MATCH($B364,Einheiten!$A$4:$A$27,0)))),"")</f>
        <v/>
      </c>
      <c r="B364" s="27"/>
      <c r="C364" s="28" t="str">
        <f aca="false">IFERROR(IF($D364="","",INDEX(Übungen!$B$4:$B$17,MATCH($D364,Übungen!$A$4:$A$17,0))),"")</f>
        <v/>
      </c>
      <c r="D364" s="19"/>
      <c r="E364" s="17"/>
      <c r="F364" s="20"/>
      <c r="G364" s="21"/>
      <c r="H364" s="20"/>
      <c r="I364" s="22" t="str">
        <f aca="false">IF(AND(ISNUMBER($F364),ISNUMBER($G364),$E364&lt;&gt;"R"),$F364*$G364,"")</f>
        <v/>
      </c>
      <c r="J364" s="29" t="str">
        <f aca="false">IF(AND($E364="A",ISNUMBER($F364),ISNUMBER($G364)),$F364*(1+$G364/30),"")</f>
        <v/>
      </c>
      <c r="K364" s="19"/>
      <c r="L364" s="19"/>
    </row>
    <row r="365" customFormat="false" ht="15.75" hidden="false" customHeight="true" outlineLevel="0" collapsed="false">
      <c r="A365" s="26" t="str">
        <f aca="false">IFERROR(IF($B365="","",IF(INDEX(Einheiten!$B$4:$B$27,MATCH($B365,Einheiten!$A$4:$A$27,0))=0,"",INDEX(Einheiten!$B$4:$B$27,MATCH($B365,Einheiten!$A$4:$A$27,0)))),"")</f>
        <v/>
      </c>
      <c r="B365" s="27"/>
      <c r="C365" s="28" t="str">
        <f aca="false">IFERROR(IF($D365="","",INDEX(Übungen!$B$4:$B$17,MATCH($D365,Übungen!$A$4:$A$17,0))),"")</f>
        <v/>
      </c>
      <c r="D365" s="19"/>
      <c r="E365" s="17"/>
      <c r="F365" s="20"/>
      <c r="G365" s="21"/>
      <c r="H365" s="20"/>
      <c r="I365" s="22" t="str">
        <f aca="false">IF(AND(ISNUMBER($F365),ISNUMBER($G365),$E365&lt;&gt;"R"),$F365*$G365,"")</f>
        <v/>
      </c>
      <c r="J365" s="29" t="str">
        <f aca="false">IF(AND($E365="A",ISNUMBER($F365),ISNUMBER($G365)),$F365*(1+$G365/30),"")</f>
        <v/>
      </c>
      <c r="K365" s="19"/>
      <c r="L365" s="19"/>
    </row>
    <row r="366" customFormat="false" ht="15.75" hidden="false" customHeight="true" outlineLevel="0" collapsed="false">
      <c r="A366" s="26" t="str">
        <f aca="false">IFERROR(IF($B366="","",IF(INDEX(Einheiten!$B$4:$B$27,MATCH($B366,Einheiten!$A$4:$A$27,0))=0,"",INDEX(Einheiten!$B$4:$B$27,MATCH($B366,Einheiten!$A$4:$A$27,0)))),"")</f>
        <v/>
      </c>
      <c r="B366" s="27"/>
      <c r="C366" s="28" t="str">
        <f aca="false">IFERROR(IF($D366="","",INDEX(Übungen!$B$4:$B$17,MATCH($D366,Übungen!$A$4:$A$17,0))),"")</f>
        <v/>
      </c>
      <c r="D366" s="19"/>
      <c r="E366" s="17"/>
      <c r="F366" s="20"/>
      <c r="G366" s="21"/>
      <c r="H366" s="20"/>
      <c r="I366" s="22" t="str">
        <f aca="false">IF(AND(ISNUMBER($F366),ISNUMBER($G366),$E366&lt;&gt;"R"),$F366*$G366,"")</f>
        <v/>
      </c>
      <c r="J366" s="29" t="str">
        <f aca="false">IF(AND($E366="A",ISNUMBER($F366),ISNUMBER($G366)),$F366*(1+$G366/30),"")</f>
        <v/>
      </c>
      <c r="K366" s="19"/>
      <c r="L366" s="19"/>
    </row>
    <row r="367" customFormat="false" ht="15.75" hidden="false" customHeight="true" outlineLevel="0" collapsed="false">
      <c r="A367" s="26" t="str">
        <f aca="false">IFERROR(IF($B367="","",IF(INDEX(Einheiten!$B$4:$B$27,MATCH($B367,Einheiten!$A$4:$A$27,0))=0,"",INDEX(Einheiten!$B$4:$B$27,MATCH($B367,Einheiten!$A$4:$A$27,0)))),"")</f>
        <v/>
      </c>
      <c r="B367" s="27"/>
      <c r="C367" s="28" t="str">
        <f aca="false">IFERROR(IF($D367="","",INDEX(Übungen!$B$4:$B$17,MATCH($D367,Übungen!$A$4:$A$17,0))),"")</f>
        <v/>
      </c>
      <c r="D367" s="19"/>
      <c r="E367" s="17"/>
      <c r="F367" s="20"/>
      <c r="G367" s="21"/>
      <c r="H367" s="20"/>
      <c r="I367" s="22" t="str">
        <f aca="false">IF(AND(ISNUMBER($F367),ISNUMBER($G367),$E367&lt;&gt;"R"),$F367*$G367,"")</f>
        <v/>
      </c>
      <c r="J367" s="29" t="str">
        <f aca="false">IF(AND($E367="A",ISNUMBER($F367),ISNUMBER($G367)),$F367*(1+$G367/30),"")</f>
        <v/>
      </c>
      <c r="K367" s="19"/>
      <c r="L367" s="19"/>
    </row>
    <row r="368" customFormat="false" ht="15.75" hidden="false" customHeight="true" outlineLevel="0" collapsed="false">
      <c r="A368" s="26" t="str">
        <f aca="false">IFERROR(IF($B368="","",IF(INDEX(Einheiten!$B$4:$B$27,MATCH($B368,Einheiten!$A$4:$A$27,0))=0,"",INDEX(Einheiten!$B$4:$B$27,MATCH($B368,Einheiten!$A$4:$A$27,0)))),"")</f>
        <v/>
      </c>
      <c r="B368" s="27"/>
      <c r="C368" s="28" t="str">
        <f aca="false">IFERROR(IF($D368="","",INDEX(Übungen!$B$4:$B$17,MATCH($D368,Übungen!$A$4:$A$17,0))),"")</f>
        <v/>
      </c>
      <c r="D368" s="19"/>
      <c r="E368" s="17"/>
      <c r="F368" s="20"/>
      <c r="G368" s="21"/>
      <c r="H368" s="20"/>
      <c r="I368" s="22" t="str">
        <f aca="false">IF(AND(ISNUMBER($F368),ISNUMBER($G368),$E368&lt;&gt;"R"),$F368*$G368,"")</f>
        <v/>
      </c>
      <c r="J368" s="29" t="str">
        <f aca="false">IF(AND($E368="A",ISNUMBER($F368),ISNUMBER($G368)),$F368*(1+$G368/30),"")</f>
        <v/>
      </c>
      <c r="K368" s="19"/>
      <c r="L368" s="19"/>
    </row>
    <row r="369" customFormat="false" ht="15.75" hidden="false" customHeight="true" outlineLevel="0" collapsed="false">
      <c r="A369" s="26" t="str">
        <f aca="false">IFERROR(IF($B369="","",IF(INDEX(Einheiten!$B$4:$B$27,MATCH($B369,Einheiten!$A$4:$A$27,0))=0,"",INDEX(Einheiten!$B$4:$B$27,MATCH($B369,Einheiten!$A$4:$A$27,0)))),"")</f>
        <v/>
      </c>
      <c r="B369" s="27"/>
      <c r="C369" s="28" t="str">
        <f aca="false">IFERROR(IF($D369="","",INDEX(Übungen!$B$4:$B$17,MATCH($D369,Übungen!$A$4:$A$17,0))),"")</f>
        <v/>
      </c>
      <c r="D369" s="19"/>
      <c r="E369" s="17"/>
      <c r="F369" s="20"/>
      <c r="G369" s="21"/>
      <c r="H369" s="20"/>
      <c r="I369" s="22" t="str">
        <f aca="false">IF(AND(ISNUMBER($F369),ISNUMBER($G369),$E369&lt;&gt;"R"),$F369*$G369,"")</f>
        <v/>
      </c>
      <c r="J369" s="29" t="str">
        <f aca="false">IF(AND($E369="A",ISNUMBER($F369),ISNUMBER($G369)),$F369*(1+$G369/30),"")</f>
        <v/>
      </c>
      <c r="K369" s="19"/>
      <c r="L369" s="19"/>
    </row>
    <row r="370" customFormat="false" ht="15.75" hidden="false" customHeight="true" outlineLevel="0" collapsed="false">
      <c r="A370" s="26" t="str">
        <f aca="false">IFERROR(IF($B370="","",IF(INDEX(Einheiten!$B$4:$B$27,MATCH($B370,Einheiten!$A$4:$A$27,0))=0,"",INDEX(Einheiten!$B$4:$B$27,MATCH($B370,Einheiten!$A$4:$A$27,0)))),"")</f>
        <v/>
      </c>
      <c r="B370" s="27"/>
      <c r="C370" s="28" t="str">
        <f aca="false">IFERROR(IF($D370="","",INDEX(Übungen!$B$4:$B$17,MATCH($D370,Übungen!$A$4:$A$17,0))),"")</f>
        <v/>
      </c>
      <c r="D370" s="19"/>
      <c r="E370" s="17"/>
      <c r="F370" s="20"/>
      <c r="G370" s="21"/>
      <c r="H370" s="20"/>
      <c r="I370" s="22" t="str">
        <f aca="false">IF(AND(ISNUMBER($F370),ISNUMBER($G370),$E370&lt;&gt;"R"),$F370*$G370,"")</f>
        <v/>
      </c>
      <c r="J370" s="29" t="str">
        <f aca="false">IF(AND($E370="A",ISNUMBER($F370),ISNUMBER($G370)),$F370*(1+$G370/30),"")</f>
        <v/>
      </c>
      <c r="K370" s="19"/>
      <c r="L370" s="19"/>
    </row>
    <row r="371" customFormat="false" ht="15.75" hidden="false" customHeight="true" outlineLevel="0" collapsed="false">
      <c r="A371" s="26" t="str">
        <f aca="false">IFERROR(IF($B371="","",IF(INDEX(Einheiten!$B$4:$B$27,MATCH($B371,Einheiten!$A$4:$A$27,0))=0,"",INDEX(Einheiten!$B$4:$B$27,MATCH($B371,Einheiten!$A$4:$A$27,0)))),"")</f>
        <v/>
      </c>
      <c r="B371" s="27"/>
      <c r="C371" s="28" t="str">
        <f aca="false">IFERROR(IF($D371="","",INDEX(Übungen!$B$4:$B$17,MATCH($D371,Übungen!$A$4:$A$17,0))),"")</f>
        <v/>
      </c>
      <c r="D371" s="19"/>
      <c r="E371" s="17"/>
      <c r="F371" s="20"/>
      <c r="G371" s="21"/>
      <c r="H371" s="20"/>
      <c r="I371" s="22" t="str">
        <f aca="false">IF(AND(ISNUMBER($F371),ISNUMBER($G371),$E371&lt;&gt;"R"),$F371*$G371,"")</f>
        <v/>
      </c>
      <c r="J371" s="29" t="str">
        <f aca="false">IF(AND($E371="A",ISNUMBER($F371),ISNUMBER($G371)),$F371*(1+$G371/30),"")</f>
        <v/>
      </c>
      <c r="K371" s="19"/>
      <c r="L371" s="19"/>
    </row>
    <row r="372" customFormat="false" ht="15.75" hidden="false" customHeight="true" outlineLevel="0" collapsed="false">
      <c r="A372" s="26" t="str">
        <f aca="false">IFERROR(IF($B372="","",IF(INDEX(Einheiten!$B$4:$B$27,MATCH($B372,Einheiten!$A$4:$A$27,0))=0,"",INDEX(Einheiten!$B$4:$B$27,MATCH($B372,Einheiten!$A$4:$A$27,0)))),"")</f>
        <v/>
      </c>
      <c r="B372" s="27"/>
      <c r="C372" s="28" t="str">
        <f aca="false">IFERROR(IF($D372="","",INDEX(Übungen!$B$4:$B$17,MATCH($D372,Übungen!$A$4:$A$17,0))),"")</f>
        <v/>
      </c>
      <c r="D372" s="19"/>
      <c r="E372" s="17"/>
      <c r="F372" s="20"/>
      <c r="G372" s="21"/>
      <c r="H372" s="20"/>
      <c r="I372" s="22" t="str">
        <f aca="false">IF(AND(ISNUMBER($F372),ISNUMBER($G372),$E372&lt;&gt;"R"),$F372*$G372,"")</f>
        <v/>
      </c>
      <c r="J372" s="29" t="str">
        <f aca="false">IF(AND($E372="A",ISNUMBER($F372),ISNUMBER($G372)),$F372*(1+$G372/30),"")</f>
        <v/>
      </c>
      <c r="K372" s="19"/>
      <c r="L372" s="19"/>
    </row>
    <row r="373" customFormat="false" ht="15.75" hidden="false" customHeight="true" outlineLevel="0" collapsed="false">
      <c r="A373" s="26" t="str">
        <f aca="false">IFERROR(IF($B373="","",IF(INDEX(Einheiten!$B$4:$B$27,MATCH($B373,Einheiten!$A$4:$A$27,0))=0,"",INDEX(Einheiten!$B$4:$B$27,MATCH($B373,Einheiten!$A$4:$A$27,0)))),"")</f>
        <v/>
      </c>
      <c r="B373" s="27"/>
      <c r="C373" s="28" t="str">
        <f aca="false">IFERROR(IF($D373="","",INDEX(Übungen!$B$4:$B$17,MATCH($D373,Übungen!$A$4:$A$17,0))),"")</f>
        <v/>
      </c>
      <c r="D373" s="19"/>
      <c r="E373" s="17"/>
      <c r="F373" s="20"/>
      <c r="G373" s="21"/>
      <c r="H373" s="20"/>
      <c r="I373" s="22" t="str">
        <f aca="false">IF(AND(ISNUMBER($F373),ISNUMBER($G373),$E373&lt;&gt;"R"),$F373*$G373,"")</f>
        <v/>
      </c>
      <c r="J373" s="29" t="str">
        <f aca="false">IF(AND($E373="A",ISNUMBER($F373),ISNUMBER($G373)),$F373*(1+$G373/30),"")</f>
        <v/>
      </c>
      <c r="K373" s="19"/>
      <c r="L373" s="19"/>
    </row>
    <row r="374" customFormat="false" ht="15.75" hidden="false" customHeight="true" outlineLevel="0" collapsed="false">
      <c r="A374" s="26" t="str">
        <f aca="false">IFERROR(IF($B374="","",IF(INDEX(Einheiten!$B$4:$B$27,MATCH($B374,Einheiten!$A$4:$A$27,0))=0,"",INDEX(Einheiten!$B$4:$B$27,MATCH($B374,Einheiten!$A$4:$A$27,0)))),"")</f>
        <v/>
      </c>
      <c r="B374" s="27"/>
      <c r="C374" s="28" t="str">
        <f aca="false">IFERROR(IF($D374="","",INDEX(Übungen!$B$4:$B$17,MATCH($D374,Übungen!$A$4:$A$17,0))),"")</f>
        <v/>
      </c>
      <c r="D374" s="19"/>
      <c r="E374" s="17"/>
      <c r="F374" s="20"/>
      <c r="G374" s="21"/>
      <c r="H374" s="20"/>
      <c r="I374" s="22" t="str">
        <f aca="false">IF(AND(ISNUMBER($F374),ISNUMBER($G374),$E374&lt;&gt;"R"),$F374*$G374,"")</f>
        <v/>
      </c>
      <c r="J374" s="29" t="str">
        <f aca="false">IF(AND($E374="A",ISNUMBER($F374),ISNUMBER($G374)),$F374*(1+$G374/30),"")</f>
        <v/>
      </c>
      <c r="K374" s="19"/>
      <c r="L374" s="19"/>
    </row>
    <row r="375" customFormat="false" ht="15.75" hidden="false" customHeight="true" outlineLevel="0" collapsed="false">
      <c r="A375" s="26" t="str">
        <f aca="false">IFERROR(IF($B375="","",IF(INDEX(Einheiten!$B$4:$B$27,MATCH($B375,Einheiten!$A$4:$A$27,0))=0,"",INDEX(Einheiten!$B$4:$B$27,MATCH($B375,Einheiten!$A$4:$A$27,0)))),"")</f>
        <v/>
      </c>
      <c r="B375" s="27"/>
      <c r="C375" s="28" t="str">
        <f aca="false">IFERROR(IF($D375="","",INDEX(Übungen!$B$4:$B$17,MATCH($D375,Übungen!$A$4:$A$17,0))),"")</f>
        <v/>
      </c>
      <c r="D375" s="19"/>
      <c r="E375" s="17"/>
      <c r="F375" s="20"/>
      <c r="G375" s="21"/>
      <c r="H375" s="20"/>
      <c r="I375" s="22" t="str">
        <f aca="false">IF(AND(ISNUMBER($F375),ISNUMBER($G375),$E375&lt;&gt;"R"),$F375*$G375,"")</f>
        <v/>
      </c>
      <c r="J375" s="29" t="str">
        <f aca="false">IF(AND($E375="A",ISNUMBER($F375),ISNUMBER($G375)),$F375*(1+$G375/30),"")</f>
        <v/>
      </c>
      <c r="K375" s="19"/>
      <c r="L375" s="19"/>
    </row>
    <row r="376" customFormat="false" ht="15.75" hidden="false" customHeight="true" outlineLevel="0" collapsed="false">
      <c r="A376" s="26" t="str">
        <f aca="false">IFERROR(IF($B376="","",IF(INDEX(Einheiten!$B$4:$B$27,MATCH($B376,Einheiten!$A$4:$A$27,0))=0,"",INDEX(Einheiten!$B$4:$B$27,MATCH($B376,Einheiten!$A$4:$A$27,0)))),"")</f>
        <v/>
      </c>
      <c r="B376" s="27"/>
      <c r="C376" s="28" t="str">
        <f aca="false">IFERROR(IF($D376="","",INDEX(Übungen!$B$4:$B$17,MATCH($D376,Übungen!$A$4:$A$17,0))),"")</f>
        <v/>
      </c>
      <c r="D376" s="19"/>
      <c r="E376" s="17"/>
      <c r="F376" s="20"/>
      <c r="G376" s="21"/>
      <c r="H376" s="20"/>
      <c r="I376" s="22" t="str">
        <f aca="false">IF(AND(ISNUMBER($F376),ISNUMBER($G376),$E376&lt;&gt;"R"),$F376*$G376,"")</f>
        <v/>
      </c>
      <c r="J376" s="29" t="str">
        <f aca="false">IF(AND($E376="A",ISNUMBER($F376),ISNUMBER($G376)),$F376*(1+$G376/30),"")</f>
        <v/>
      </c>
      <c r="K376" s="19"/>
      <c r="L376" s="19"/>
    </row>
    <row r="377" customFormat="false" ht="15.75" hidden="false" customHeight="true" outlineLevel="0" collapsed="false">
      <c r="A377" s="26" t="str">
        <f aca="false">IFERROR(IF($B377="","",IF(INDEX(Einheiten!$B$4:$B$27,MATCH($B377,Einheiten!$A$4:$A$27,0))=0,"",INDEX(Einheiten!$B$4:$B$27,MATCH($B377,Einheiten!$A$4:$A$27,0)))),"")</f>
        <v/>
      </c>
      <c r="B377" s="27"/>
      <c r="C377" s="28" t="str">
        <f aca="false">IFERROR(IF($D377="","",INDEX(Übungen!$B$4:$B$17,MATCH($D377,Übungen!$A$4:$A$17,0))),"")</f>
        <v/>
      </c>
      <c r="D377" s="19"/>
      <c r="E377" s="17"/>
      <c r="F377" s="20"/>
      <c r="G377" s="21"/>
      <c r="H377" s="20"/>
      <c r="I377" s="22" t="str">
        <f aca="false">IF(AND(ISNUMBER($F377),ISNUMBER($G377),$E377&lt;&gt;"R"),$F377*$G377,"")</f>
        <v/>
      </c>
      <c r="J377" s="29" t="str">
        <f aca="false">IF(AND($E377="A",ISNUMBER($F377),ISNUMBER($G377)),$F377*(1+$G377/30),"")</f>
        <v/>
      </c>
      <c r="K377" s="19"/>
      <c r="L377" s="19"/>
    </row>
    <row r="378" customFormat="false" ht="15.75" hidden="false" customHeight="true" outlineLevel="0" collapsed="false">
      <c r="A378" s="26" t="str">
        <f aca="false">IFERROR(IF($B378="","",IF(INDEX(Einheiten!$B$4:$B$27,MATCH($B378,Einheiten!$A$4:$A$27,0))=0,"",INDEX(Einheiten!$B$4:$B$27,MATCH($B378,Einheiten!$A$4:$A$27,0)))),"")</f>
        <v/>
      </c>
      <c r="B378" s="27"/>
      <c r="C378" s="28" t="str">
        <f aca="false">IFERROR(IF($D378="","",INDEX(Übungen!$B$4:$B$17,MATCH($D378,Übungen!$A$4:$A$17,0))),"")</f>
        <v/>
      </c>
      <c r="D378" s="19"/>
      <c r="E378" s="17"/>
      <c r="F378" s="20"/>
      <c r="G378" s="21"/>
      <c r="H378" s="20"/>
      <c r="I378" s="22" t="str">
        <f aca="false">IF(AND(ISNUMBER($F378),ISNUMBER($G378),$E378&lt;&gt;"R"),$F378*$G378,"")</f>
        <v/>
      </c>
      <c r="J378" s="29" t="str">
        <f aca="false">IF(AND($E378="A",ISNUMBER($F378),ISNUMBER($G378)),$F378*(1+$G378/30),"")</f>
        <v/>
      </c>
      <c r="K378" s="19"/>
      <c r="L378" s="19"/>
    </row>
    <row r="379" customFormat="false" ht="15.75" hidden="false" customHeight="true" outlineLevel="0" collapsed="false">
      <c r="A379" s="26" t="str">
        <f aca="false">IFERROR(IF($B379="","",IF(INDEX(Einheiten!$B$4:$B$27,MATCH($B379,Einheiten!$A$4:$A$27,0))=0,"",INDEX(Einheiten!$B$4:$B$27,MATCH($B379,Einheiten!$A$4:$A$27,0)))),"")</f>
        <v/>
      </c>
      <c r="B379" s="27"/>
      <c r="C379" s="28" t="str">
        <f aca="false">IFERROR(IF($D379="","",INDEX(Übungen!$B$4:$B$17,MATCH($D379,Übungen!$A$4:$A$17,0))),"")</f>
        <v/>
      </c>
      <c r="D379" s="19"/>
      <c r="E379" s="17"/>
      <c r="F379" s="20"/>
      <c r="G379" s="21"/>
      <c r="H379" s="20"/>
      <c r="I379" s="22" t="str">
        <f aca="false">IF(AND(ISNUMBER($F379),ISNUMBER($G379),$E379&lt;&gt;"R"),$F379*$G379,"")</f>
        <v/>
      </c>
      <c r="J379" s="29" t="str">
        <f aca="false">IF(AND($E379="A",ISNUMBER($F379),ISNUMBER($G379)),$F379*(1+$G379/30),"")</f>
        <v/>
      </c>
      <c r="K379" s="19"/>
      <c r="L379" s="19"/>
    </row>
    <row r="380" customFormat="false" ht="15.75" hidden="false" customHeight="true" outlineLevel="0" collapsed="false">
      <c r="A380" s="26" t="str">
        <f aca="false">IFERROR(IF($B380="","",IF(INDEX(Einheiten!$B$4:$B$27,MATCH($B380,Einheiten!$A$4:$A$27,0))=0,"",INDEX(Einheiten!$B$4:$B$27,MATCH($B380,Einheiten!$A$4:$A$27,0)))),"")</f>
        <v/>
      </c>
      <c r="B380" s="27"/>
      <c r="C380" s="28" t="str">
        <f aca="false">IFERROR(IF($D380="","",INDEX(Übungen!$B$4:$B$17,MATCH($D380,Übungen!$A$4:$A$17,0))),"")</f>
        <v/>
      </c>
      <c r="D380" s="19"/>
      <c r="E380" s="17"/>
      <c r="F380" s="20"/>
      <c r="G380" s="21"/>
      <c r="H380" s="20"/>
      <c r="I380" s="22" t="str">
        <f aca="false">IF(AND(ISNUMBER($F380),ISNUMBER($G380),$E380&lt;&gt;"R"),$F380*$G380,"")</f>
        <v/>
      </c>
      <c r="J380" s="29" t="str">
        <f aca="false">IF(AND($E380="A",ISNUMBER($F380),ISNUMBER($G380)),$F380*(1+$G380/30),"")</f>
        <v/>
      </c>
      <c r="K380" s="19"/>
      <c r="L380" s="19"/>
    </row>
    <row r="381" customFormat="false" ht="15.75" hidden="false" customHeight="true" outlineLevel="0" collapsed="false">
      <c r="A381" s="26" t="str">
        <f aca="false">IFERROR(IF($B381="","",IF(INDEX(Einheiten!$B$4:$B$27,MATCH($B381,Einheiten!$A$4:$A$27,0))=0,"",INDEX(Einheiten!$B$4:$B$27,MATCH($B381,Einheiten!$A$4:$A$27,0)))),"")</f>
        <v/>
      </c>
      <c r="B381" s="27"/>
      <c r="C381" s="28" t="str">
        <f aca="false">IFERROR(IF($D381="","",INDEX(Übungen!$B$4:$B$17,MATCH($D381,Übungen!$A$4:$A$17,0))),"")</f>
        <v/>
      </c>
      <c r="D381" s="19"/>
      <c r="E381" s="17"/>
      <c r="F381" s="20"/>
      <c r="G381" s="21"/>
      <c r="H381" s="20"/>
      <c r="I381" s="22" t="str">
        <f aca="false">IF(AND(ISNUMBER($F381),ISNUMBER($G381),$E381&lt;&gt;"R"),$F381*$G381,"")</f>
        <v/>
      </c>
      <c r="J381" s="29" t="str">
        <f aca="false">IF(AND($E381="A",ISNUMBER($F381),ISNUMBER($G381)),$F381*(1+$G381/30),"")</f>
        <v/>
      </c>
      <c r="K381" s="19"/>
      <c r="L381" s="19"/>
    </row>
    <row r="382" customFormat="false" ht="15.75" hidden="false" customHeight="true" outlineLevel="0" collapsed="false">
      <c r="A382" s="26" t="str">
        <f aca="false">IFERROR(IF($B382="","",IF(INDEX(Einheiten!$B$4:$B$27,MATCH($B382,Einheiten!$A$4:$A$27,0))=0,"",INDEX(Einheiten!$B$4:$B$27,MATCH($B382,Einheiten!$A$4:$A$27,0)))),"")</f>
        <v/>
      </c>
      <c r="B382" s="27"/>
      <c r="C382" s="28" t="str">
        <f aca="false">IFERROR(IF($D382="","",INDEX(Übungen!$B$4:$B$17,MATCH($D382,Übungen!$A$4:$A$17,0))),"")</f>
        <v/>
      </c>
      <c r="D382" s="19"/>
      <c r="E382" s="17"/>
      <c r="F382" s="20"/>
      <c r="G382" s="21"/>
      <c r="H382" s="20"/>
      <c r="I382" s="22" t="str">
        <f aca="false">IF(AND(ISNUMBER($F382),ISNUMBER($G382),$E382&lt;&gt;"R"),$F382*$G382,"")</f>
        <v/>
      </c>
      <c r="J382" s="29" t="str">
        <f aca="false">IF(AND($E382="A",ISNUMBER($F382),ISNUMBER($G382)),$F382*(1+$G382/30),"")</f>
        <v/>
      </c>
      <c r="K382" s="19"/>
      <c r="L382" s="19"/>
    </row>
    <row r="383" customFormat="false" ht="15.75" hidden="false" customHeight="true" outlineLevel="0" collapsed="false">
      <c r="A383" s="26" t="str">
        <f aca="false">IFERROR(IF($B383="","",IF(INDEX(Einheiten!$B$4:$B$27,MATCH($B383,Einheiten!$A$4:$A$27,0))=0,"",INDEX(Einheiten!$B$4:$B$27,MATCH($B383,Einheiten!$A$4:$A$27,0)))),"")</f>
        <v/>
      </c>
      <c r="B383" s="27"/>
      <c r="C383" s="28" t="str">
        <f aca="false">IFERROR(IF($D383="","",INDEX(Übungen!$B$4:$B$17,MATCH($D383,Übungen!$A$4:$A$17,0))),"")</f>
        <v/>
      </c>
      <c r="D383" s="19"/>
      <c r="E383" s="17"/>
      <c r="F383" s="20"/>
      <c r="G383" s="21"/>
      <c r="H383" s="20"/>
      <c r="I383" s="22" t="str">
        <f aca="false">IF(AND(ISNUMBER($F383),ISNUMBER($G383),$E383&lt;&gt;"R"),$F383*$G383,"")</f>
        <v/>
      </c>
      <c r="J383" s="29" t="str">
        <f aca="false">IF(AND($E383="A",ISNUMBER($F383),ISNUMBER($G383)),$F383*(1+$G383/30),"")</f>
        <v/>
      </c>
      <c r="K383" s="19"/>
      <c r="L383" s="19"/>
    </row>
    <row r="384" customFormat="false" ht="15.75" hidden="false" customHeight="true" outlineLevel="0" collapsed="false">
      <c r="A384" s="26" t="str">
        <f aca="false">IFERROR(IF($B384="","",IF(INDEX(Einheiten!$B$4:$B$27,MATCH($B384,Einheiten!$A$4:$A$27,0))=0,"",INDEX(Einheiten!$B$4:$B$27,MATCH($B384,Einheiten!$A$4:$A$27,0)))),"")</f>
        <v/>
      </c>
      <c r="B384" s="27"/>
      <c r="C384" s="28" t="str">
        <f aca="false">IFERROR(IF($D384="","",INDEX(Übungen!$B$4:$B$17,MATCH($D384,Übungen!$A$4:$A$17,0))),"")</f>
        <v/>
      </c>
      <c r="D384" s="19"/>
      <c r="E384" s="17"/>
      <c r="F384" s="20"/>
      <c r="G384" s="21"/>
      <c r="H384" s="20"/>
      <c r="I384" s="22" t="str">
        <f aca="false">IF(AND(ISNUMBER($F384),ISNUMBER($G384),$E384&lt;&gt;"R"),$F384*$G384,"")</f>
        <v/>
      </c>
      <c r="J384" s="29" t="str">
        <f aca="false">IF(AND($E384="A",ISNUMBER($F384),ISNUMBER($G384)),$F384*(1+$G384/30),"")</f>
        <v/>
      </c>
      <c r="K384" s="19"/>
      <c r="L384" s="19"/>
    </row>
    <row r="385" customFormat="false" ht="15.75" hidden="false" customHeight="true" outlineLevel="0" collapsed="false">
      <c r="A385" s="26" t="str">
        <f aca="false">IFERROR(IF($B385="","",IF(INDEX(Einheiten!$B$4:$B$27,MATCH($B385,Einheiten!$A$4:$A$27,0))=0,"",INDEX(Einheiten!$B$4:$B$27,MATCH($B385,Einheiten!$A$4:$A$27,0)))),"")</f>
        <v/>
      </c>
      <c r="B385" s="27"/>
      <c r="C385" s="28" t="str">
        <f aca="false">IFERROR(IF($D385="","",INDEX(Übungen!$B$4:$B$17,MATCH($D385,Übungen!$A$4:$A$17,0))),"")</f>
        <v/>
      </c>
      <c r="D385" s="19"/>
      <c r="E385" s="17"/>
      <c r="F385" s="20"/>
      <c r="G385" s="21"/>
      <c r="H385" s="20"/>
      <c r="I385" s="22" t="str">
        <f aca="false">IF(AND(ISNUMBER($F385),ISNUMBER($G385),$E385&lt;&gt;"R"),$F385*$G385,"")</f>
        <v/>
      </c>
      <c r="J385" s="29" t="str">
        <f aca="false">IF(AND($E385="A",ISNUMBER($F385),ISNUMBER($G385)),$F385*(1+$G385/30),"")</f>
        <v/>
      </c>
      <c r="K385" s="19"/>
      <c r="L385" s="19"/>
    </row>
    <row r="386" customFormat="false" ht="15.75" hidden="false" customHeight="true" outlineLevel="0" collapsed="false">
      <c r="A386" s="26" t="str">
        <f aca="false">IFERROR(IF($B386="","",IF(INDEX(Einheiten!$B$4:$B$27,MATCH($B386,Einheiten!$A$4:$A$27,0))=0,"",INDEX(Einheiten!$B$4:$B$27,MATCH($B386,Einheiten!$A$4:$A$27,0)))),"")</f>
        <v/>
      </c>
      <c r="B386" s="27"/>
      <c r="C386" s="28" t="str">
        <f aca="false">IFERROR(IF($D386="","",INDEX(Übungen!$B$4:$B$17,MATCH($D386,Übungen!$A$4:$A$17,0))),"")</f>
        <v/>
      </c>
      <c r="D386" s="19"/>
      <c r="E386" s="17"/>
      <c r="F386" s="20"/>
      <c r="G386" s="21"/>
      <c r="H386" s="20"/>
      <c r="I386" s="22" t="str">
        <f aca="false">IF(AND(ISNUMBER($F386),ISNUMBER($G386),$E386&lt;&gt;"R"),$F386*$G386,"")</f>
        <v/>
      </c>
      <c r="J386" s="29" t="str">
        <f aca="false">IF(AND($E386="A",ISNUMBER($F386),ISNUMBER($G386)),$F386*(1+$G386/30),"")</f>
        <v/>
      </c>
      <c r="K386" s="19"/>
      <c r="L386" s="19"/>
    </row>
    <row r="387" customFormat="false" ht="15.75" hidden="false" customHeight="true" outlineLevel="0" collapsed="false">
      <c r="A387" s="26" t="str">
        <f aca="false">IFERROR(IF($B387="","",IF(INDEX(Einheiten!$B$4:$B$27,MATCH($B387,Einheiten!$A$4:$A$27,0))=0,"",INDEX(Einheiten!$B$4:$B$27,MATCH($B387,Einheiten!$A$4:$A$27,0)))),"")</f>
        <v/>
      </c>
      <c r="B387" s="27"/>
      <c r="C387" s="28" t="str">
        <f aca="false">IFERROR(IF($D387="","",INDEX(Übungen!$B$4:$B$17,MATCH($D387,Übungen!$A$4:$A$17,0))),"")</f>
        <v/>
      </c>
      <c r="D387" s="19"/>
      <c r="E387" s="17"/>
      <c r="F387" s="20"/>
      <c r="G387" s="21"/>
      <c r="H387" s="20"/>
      <c r="I387" s="22" t="str">
        <f aca="false">IF(AND(ISNUMBER($F387),ISNUMBER($G387),$E387&lt;&gt;"R"),$F387*$G387,"")</f>
        <v/>
      </c>
      <c r="J387" s="29" t="str">
        <f aca="false">IF(AND($E387="A",ISNUMBER($F387),ISNUMBER($G387)),$F387*(1+$G387/30),"")</f>
        <v/>
      </c>
      <c r="K387" s="19"/>
      <c r="L387" s="19"/>
    </row>
    <row r="388" customFormat="false" ht="15.75" hidden="false" customHeight="true" outlineLevel="0" collapsed="false">
      <c r="A388" s="26" t="str">
        <f aca="false">IFERROR(IF($B388="","",IF(INDEX(Einheiten!$B$4:$B$27,MATCH($B388,Einheiten!$A$4:$A$27,0))=0,"",INDEX(Einheiten!$B$4:$B$27,MATCH($B388,Einheiten!$A$4:$A$27,0)))),"")</f>
        <v/>
      </c>
      <c r="B388" s="27"/>
      <c r="C388" s="28" t="str">
        <f aca="false">IFERROR(IF($D388="","",INDEX(Übungen!$B$4:$B$17,MATCH($D388,Übungen!$A$4:$A$17,0))),"")</f>
        <v/>
      </c>
      <c r="D388" s="19"/>
      <c r="E388" s="17"/>
      <c r="F388" s="20"/>
      <c r="G388" s="21"/>
      <c r="H388" s="20"/>
      <c r="I388" s="22" t="str">
        <f aca="false">IF(AND(ISNUMBER($F388),ISNUMBER($G388),$E388&lt;&gt;"R"),$F388*$G388,"")</f>
        <v/>
      </c>
      <c r="J388" s="29" t="str">
        <f aca="false">IF(AND($E388="A",ISNUMBER($F388),ISNUMBER($G388)),$F388*(1+$G388/30),"")</f>
        <v/>
      </c>
      <c r="K388" s="19"/>
      <c r="L388" s="19"/>
    </row>
    <row r="389" customFormat="false" ht="15.75" hidden="false" customHeight="true" outlineLevel="0" collapsed="false">
      <c r="A389" s="26" t="str">
        <f aca="false">IFERROR(IF($B389="","",IF(INDEX(Einheiten!$B$4:$B$27,MATCH($B389,Einheiten!$A$4:$A$27,0))=0,"",INDEX(Einheiten!$B$4:$B$27,MATCH($B389,Einheiten!$A$4:$A$27,0)))),"")</f>
        <v/>
      </c>
      <c r="B389" s="27"/>
      <c r="C389" s="28" t="str">
        <f aca="false">IFERROR(IF($D389="","",INDEX(Übungen!$B$4:$B$17,MATCH($D389,Übungen!$A$4:$A$17,0))),"")</f>
        <v/>
      </c>
      <c r="D389" s="19"/>
      <c r="E389" s="17"/>
      <c r="F389" s="20"/>
      <c r="G389" s="21"/>
      <c r="H389" s="20"/>
      <c r="I389" s="22" t="str">
        <f aca="false">IF(AND(ISNUMBER($F389),ISNUMBER($G389),$E389&lt;&gt;"R"),$F389*$G389,"")</f>
        <v/>
      </c>
      <c r="J389" s="29" t="str">
        <f aca="false">IF(AND($E389="A",ISNUMBER($F389),ISNUMBER($G389)),$F389*(1+$G389/30),"")</f>
        <v/>
      </c>
      <c r="K389" s="19"/>
      <c r="L389" s="19"/>
    </row>
    <row r="390" customFormat="false" ht="15.75" hidden="false" customHeight="true" outlineLevel="0" collapsed="false">
      <c r="A390" s="26" t="str">
        <f aca="false">IFERROR(IF($B390="","",IF(INDEX(Einheiten!$B$4:$B$27,MATCH($B390,Einheiten!$A$4:$A$27,0))=0,"",INDEX(Einheiten!$B$4:$B$27,MATCH($B390,Einheiten!$A$4:$A$27,0)))),"")</f>
        <v/>
      </c>
      <c r="B390" s="27"/>
      <c r="C390" s="28" t="str">
        <f aca="false">IFERROR(IF($D390="","",INDEX(Übungen!$B$4:$B$17,MATCH($D390,Übungen!$A$4:$A$17,0))),"")</f>
        <v/>
      </c>
      <c r="D390" s="19"/>
      <c r="E390" s="17"/>
      <c r="F390" s="20"/>
      <c r="G390" s="21"/>
      <c r="H390" s="20"/>
      <c r="I390" s="22" t="str">
        <f aca="false">IF(AND(ISNUMBER($F390),ISNUMBER($G390),$E390&lt;&gt;"R"),$F390*$G390,"")</f>
        <v/>
      </c>
      <c r="J390" s="29" t="str">
        <f aca="false">IF(AND($E390="A",ISNUMBER($F390),ISNUMBER($G390)),$F390*(1+$G390/30),"")</f>
        <v/>
      </c>
      <c r="K390" s="19"/>
      <c r="L390" s="19"/>
    </row>
    <row r="391" customFormat="false" ht="15.75" hidden="false" customHeight="true" outlineLevel="0" collapsed="false">
      <c r="A391" s="26" t="str">
        <f aca="false">IFERROR(IF($B391="","",IF(INDEX(Einheiten!$B$4:$B$27,MATCH($B391,Einheiten!$A$4:$A$27,0))=0,"",INDEX(Einheiten!$B$4:$B$27,MATCH($B391,Einheiten!$A$4:$A$27,0)))),"")</f>
        <v/>
      </c>
      <c r="B391" s="27"/>
      <c r="C391" s="28" t="str">
        <f aca="false">IFERROR(IF($D391="","",INDEX(Übungen!$B$4:$B$17,MATCH($D391,Übungen!$A$4:$A$17,0))),"")</f>
        <v/>
      </c>
      <c r="D391" s="19"/>
      <c r="E391" s="17"/>
      <c r="F391" s="20"/>
      <c r="G391" s="21"/>
      <c r="H391" s="20"/>
      <c r="I391" s="22" t="str">
        <f aca="false">IF(AND(ISNUMBER($F391),ISNUMBER($G391),$E391&lt;&gt;"R"),$F391*$G391,"")</f>
        <v/>
      </c>
      <c r="J391" s="29" t="str">
        <f aca="false">IF(AND($E391="A",ISNUMBER($F391),ISNUMBER($G391)),$F391*(1+$G391/30),"")</f>
        <v/>
      </c>
      <c r="K391" s="19"/>
      <c r="L391" s="19"/>
    </row>
    <row r="392" customFormat="false" ht="15.75" hidden="false" customHeight="true" outlineLevel="0" collapsed="false">
      <c r="A392" s="26" t="str">
        <f aca="false">IFERROR(IF($B392="","",IF(INDEX(Einheiten!$B$4:$B$27,MATCH($B392,Einheiten!$A$4:$A$27,0))=0,"",INDEX(Einheiten!$B$4:$B$27,MATCH($B392,Einheiten!$A$4:$A$27,0)))),"")</f>
        <v/>
      </c>
      <c r="B392" s="27"/>
      <c r="C392" s="28" t="str">
        <f aca="false">IFERROR(IF($D392="","",INDEX(Übungen!$B$4:$B$17,MATCH($D392,Übungen!$A$4:$A$17,0))),"")</f>
        <v/>
      </c>
      <c r="D392" s="19"/>
      <c r="E392" s="17"/>
      <c r="F392" s="20"/>
      <c r="G392" s="21"/>
      <c r="H392" s="20"/>
      <c r="I392" s="22" t="str">
        <f aca="false">IF(AND(ISNUMBER($F392),ISNUMBER($G392),$E392&lt;&gt;"R"),$F392*$G392,"")</f>
        <v/>
      </c>
      <c r="J392" s="29" t="str">
        <f aca="false">IF(AND($E392="A",ISNUMBER($F392),ISNUMBER($G392)),$F392*(1+$G392/30),"")</f>
        <v/>
      </c>
      <c r="K392" s="19"/>
      <c r="L392" s="19"/>
    </row>
    <row r="393" customFormat="false" ht="15.75" hidden="false" customHeight="true" outlineLevel="0" collapsed="false">
      <c r="A393" s="26" t="str">
        <f aca="false">IFERROR(IF($B393="","",IF(INDEX(Einheiten!$B$4:$B$27,MATCH($B393,Einheiten!$A$4:$A$27,0))=0,"",INDEX(Einheiten!$B$4:$B$27,MATCH($B393,Einheiten!$A$4:$A$27,0)))),"")</f>
        <v/>
      </c>
      <c r="B393" s="27"/>
      <c r="C393" s="28" t="str">
        <f aca="false">IFERROR(IF($D393="","",INDEX(Übungen!$B$4:$B$17,MATCH($D393,Übungen!$A$4:$A$17,0))),"")</f>
        <v/>
      </c>
      <c r="D393" s="19"/>
      <c r="E393" s="17"/>
      <c r="F393" s="20"/>
      <c r="G393" s="21"/>
      <c r="H393" s="20"/>
      <c r="I393" s="22" t="str">
        <f aca="false">IF(AND(ISNUMBER($F393),ISNUMBER($G393),$E393&lt;&gt;"R"),$F393*$G393,"")</f>
        <v/>
      </c>
      <c r="J393" s="29" t="str">
        <f aca="false">IF(AND($E393="A",ISNUMBER($F393),ISNUMBER($G393)),$F393*(1+$G393/30),"")</f>
        <v/>
      </c>
      <c r="K393" s="19"/>
      <c r="L393" s="19"/>
    </row>
    <row r="394" customFormat="false" ht="15.75" hidden="false" customHeight="true" outlineLevel="0" collapsed="false">
      <c r="A394" s="26" t="str">
        <f aca="false">IFERROR(IF($B394="","",IF(INDEX(Einheiten!$B$4:$B$27,MATCH($B394,Einheiten!$A$4:$A$27,0))=0,"",INDEX(Einheiten!$B$4:$B$27,MATCH($B394,Einheiten!$A$4:$A$27,0)))),"")</f>
        <v/>
      </c>
      <c r="B394" s="27"/>
      <c r="C394" s="28" t="str">
        <f aca="false">IFERROR(IF($D394="","",INDEX(Übungen!$B$4:$B$17,MATCH($D394,Übungen!$A$4:$A$17,0))),"")</f>
        <v/>
      </c>
      <c r="D394" s="19"/>
      <c r="E394" s="17"/>
      <c r="F394" s="20"/>
      <c r="G394" s="21"/>
      <c r="H394" s="20"/>
      <c r="I394" s="22" t="str">
        <f aca="false">IF(AND(ISNUMBER($F394),ISNUMBER($G394),$E394&lt;&gt;"R"),$F394*$G394,"")</f>
        <v/>
      </c>
      <c r="J394" s="29" t="str">
        <f aca="false">IF(AND($E394="A",ISNUMBER($F394),ISNUMBER($G394)),$F394*(1+$G394/30),"")</f>
        <v/>
      </c>
      <c r="K394" s="19"/>
      <c r="L394" s="19"/>
    </row>
    <row r="395" customFormat="false" ht="15.75" hidden="false" customHeight="true" outlineLevel="0" collapsed="false">
      <c r="A395" s="26" t="str">
        <f aca="false">IFERROR(IF($B395="","",IF(INDEX(Einheiten!$B$4:$B$27,MATCH($B395,Einheiten!$A$4:$A$27,0))=0,"",INDEX(Einheiten!$B$4:$B$27,MATCH($B395,Einheiten!$A$4:$A$27,0)))),"")</f>
        <v/>
      </c>
      <c r="B395" s="27"/>
      <c r="C395" s="28" t="str">
        <f aca="false">IFERROR(IF($D395="","",INDEX(Übungen!$B$4:$B$17,MATCH($D395,Übungen!$A$4:$A$17,0))),"")</f>
        <v/>
      </c>
      <c r="D395" s="19"/>
      <c r="E395" s="17"/>
      <c r="F395" s="20"/>
      <c r="G395" s="21"/>
      <c r="H395" s="20"/>
      <c r="I395" s="22" t="str">
        <f aca="false">IF(AND(ISNUMBER($F395),ISNUMBER($G395),$E395&lt;&gt;"R"),$F395*$G395,"")</f>
        <v/>
      </c>
      <c r="J395" s="29" t="str">
        <f aca="false">IF(AND($E395="A",ISNUMBER($F395),ISNUMBER($G395)),$F395*(1+$G395/30),"")</f>
        <v/>
      </c>
      <c r="K395" s="19"/>
      <c r="L395" s="19"/>
    </row>
    <row r="396" customFormat="false" ht="15.75" hidden="false" customHeight="true" outlineLevel="0" collapsed="false">
      <c r="A396" s="26" t="str">
        <f aca="false">IFERROR(IF($B396="","",IF(INDEX(Einheiten!$B$4:$B$27,MATCH($B396,Einheiten!$A$4:$A$27,0))=0,"",INDEX(Einheiten!$B$4:$B$27,MATCH($B396,Einheiten!$A$4:$A$27,0)))),"")</f>
        <v/>
      </c>
      <c r="B396" s="27"/>
      <c r="C396" s="28" t="str">
        <f aca="false">IFERROR(IF($D396="","",INDEX(Übungen!$B$4:$B$17,MATCH($D396,Übungen!$A$4:$A$17,0))),"")</f>
        <v/>
      </c>
      <c r="D396" s="19"/>
      <c r="E396" s="17"/>
      <c r="F396" s="20"/>
      <c r="G396" s="21"/>
      <c r="H396" s="20"/>
      <c r="I396" s="22" t="str">
        <f aca="false">IF(AND(ISNUMBER($F396),ISNUMBER($G396),$E396&lt;&gt;"R"),$F396*$G396,"")</f>
        <v/>
      </c>
      <c r="J396" s="29" t="str">
        <f aca="false">IF(AND($E396="A",ISNUMBER($F396),ISNUMBER($G396)),$F396*(1+$G396/30),"")</f>
        <v/>
      </c>
      <c r="K396" s="19"/>
      <c r="L396" s="19"/>
    </row>
    <row r="397" customFormat="false" ht="15.75" hidden="false" customHeight="true" outlineLevel="0" collapsed="false">
      <c r="A397" s="26" t="str">
        <f aca="false">IFERROR(IF($B397="","",IF(INDEX(Einheiten!$B$4:$B$27,MATCH($B397,Einheiten!$A$4:$A$27,0))=0,"",INDEX(Einheiten!$B$4:$B$27,MATCH($B397,Einheiten!$A$4:$A$27,0)))),"")</f>
        <v/>
      </c>
      <c r="B397" s="27"/>
      <c r="C397" s="28" t="str">
        <f aca="false">IFERROR(IF($D397="","",INDEX(Übungen!$B$4:$B$17,MATCH($D397,Übungen!$A$4:$A$17,0))),"")</f>
        <v/>
      </c>
      <c r="D397" s="19"/>
      <c r="E397" s="17"/>
      <c r="F397" s="20"/>
      <c r="G397" s="21"/>
      <c r="H397" s="20"/>
      <c r="I397" s="22" t="str">
        <f aca="false">IF(AND(ISNUMBER($F397),ISNUMBER($G397),$E397&lt;&gt;"R"),$F397*$G397,"")</f>
        <v/>
      </c>
      <c r="J397" s="29" t="str">
        <f aca="false">IF(AND($E397="A",ISNUMBER($F397),ISNUMBER($G397)),$F397*(1+$G397/30),"")</f>
        <v/>
      </c>
      <c r="K397" s="19"/>
      <c r="L397" s="19"/>
    </row>
    <row r="398" customFormat="false" ht="15.75" hidden="false" customHeight="true" outlineLevel="0" collapsed="false">
      <c r="A398" s="26" t="str">
        <f aca="false">IFERROR(IF($B398="","",IF(INDEX(Einheiten!$B$4:$B$27,MATCH($B398,Einheiten!$A$4:$A$27,0))=0,"",INDEX(Einheiten!$B$4:$B$27,MATCH($B398,Einheiten!$A$4:$A$27,0)))),"")</f>
        <v/>
      </c>
      <c r="B398" s="27"/>
      <c r="C398" s="28" t="str">
        <f aca="false">IFERROR(IF($D398="","",INDEX(Übungen!$B$4:$B$17,MATCH($D398,Übungen!$A$4:$A$17,0))),"")</f>
        <v/>
      </c>
      <c r="D398" s="19"/>
      <c r="E398" s="17"/>
      <c r="F398" s="20"/>
      <c r="G398" s="21"/>
      <c r="H398" s="20"/>
      <c r="I398" s="22" t="str">
        <f aca="false">IF(AND(ISNUMBER($F398),ISNUMBER($G398),$E398&lt;&gt;"R"),$F398*$G398,"")</f>
        <v/>
      </c>
      <c r="J398" s="29" t="str">
        <f aca="false">IF(AND($E398="A",ISNUMBER($F398),ISNUMBER($G398)),$F398*(1+$G398/30),"")</f>
        <v/>
      </c>
      <c r="K398" s="19"/>
      <c r="L398" s="19"/>
    </row>
    <row r="399" customFormat="false" ht="15.75" hidden="false" customHeight="true" outlineLevel="0" collapsed="false">
      <c r="A399" s="26" t="str">
        <f aca="false">IFERROR(IF($B399="","",IF(INDEX(Einheiten!$B$4:$B$27,MATCH($B399,Einheiten!$A$4:$A$27,0))=0,"",INDEX(Einheiten!$B$4:$B$27,MATCH($B399,Einheiten!$A$4:$A$27,0)))),"")</f>
        <v/>
      </c>
      <c r="B399" s="27"/>
      <c r="C399" s="28" t="str">
        <f aca="false">IFERROR(IF($D399="","",INDEX(Übungen!$B$4:$B$17,MATCH($D399,Übungen!$A$4:$A$17,0))),"")</f>
        <v/>
      </c>
      <c r="D399" s="19"/>
      <c r="E399" s="17"/>
      <c r="F399" s="20"/>
      <c r="G399" s="21"/>
      <c r="H399" s="20"/>
      <c r="I399" s="22" t="str">
        <f aca="false">IF(AND(ISNUMBER($F399),ISNUMBER($G399),$E399&lt;&gt;"R"),$F399*$G399,"")</f>
        <v/>
      </c>
      <c r="J399" s="29" t="str">
        <f aca="false">IF(AND($E399="A",ISNUMBER($F399),ISNUMBER($G399)),$F399*(1+$G399/30),"")</f>
        <v/>
      </c>
      <c r="K399" s="19"/>
      <c r="L399" s="19"/>
    </row>
    <row r="400" customFormat="false" ht="15.75" hidden="false" customHeight="true" outlineLevel="0" collapsed="false">
      <c r="A400" s="26" t="str">
        <f aca="false">IFERROR(IF($B400="","",IF(INDEX(Einheiten!$B$4:$B$27,MATCH($B400,Einheiten!$A$4:$A$27,0))=0,"",INDEX(Einheiten!$B$4:$B$27,MATCH($B400,Einheiten!$A$4:$A$27,0)))),"")</f>
        <v/>
      </c>
      <c r="B400" s="27"/>
      <c r="C400" s="28" t="str">
        <f aca="false">IFERROR(IF($D400="","",INDEX(Übungen!$B$4:$B$17,MATCH($D400,Übungen!$A$4:$A$17,0))),"")</f>
        <v/>
      </c>
      <c r="D400" s="19"/>
      <c r="E400" s="17"/>
      <c r="F400" s="20"/>
      <c r="G400" s="21"/>
      <c r="H400" s="20"/>
      <c r="I400" s="22" t="str">
        <f aca="false">IF(AND(ISNUMBER($F400),ISNUMBER($G400),$E400&lt;&gt;"R"),$F400*$G400,"")</f>
        <v/>
      </c>
      <c r="J400" s="29" t="str">
        <f aca="false">IF(AND($E400="A",ISNUMBER($F400),ISNUMBER($G400)),$F400*(1+$G400/30),"")</f>
        <v/>
      </c>
      <c r="K400" s="19"/>
      <c r="L400" s="19"/>
    </row>
    <row r="401" customFormat="false" ht="15.75" hidden="false" customHeight="true" outlineLevel="0" collapsed="false">
      <c r="A401" s="26" t="str">
        <f aca="false">IFERROR(IF($B401="","",IF(INDEX(Einheiten!$B$4:$B$27,MATCH($B401,Einheiten!$A$4:$A$27,0))=0,"",INDEX(Einheiten!$B$4:$B$27,MATCH($B401,Einheiten!$A$4:$A$27,0)))),"")</f>
        <v/>
      </c>
      <c r="B401" s="27"/>
      <c r="C401" s="28" t="str">
        <f aca="false">IFERROR(IF($D401="","",INDEX(Übungen!$B$4:$B$17,MATCH($D401,Übungen!$A$4:$A$17,0))),"")</f>
        <v/>
      </c>
      <c r="D401" s="19"/>
      <c r="E401" s="17"/>
      <c r="F401" s="20"/>
      <c r="G401" s="21"/>
      <c r="H401" s="20"/>
      <c r="I401" s="22" t="str">
        <f aca="false">IF(AND(ISNUMBER($F401),ISNUMBER($G401),$E401&lt;&gt;"R"),$F401*$G401,"")</f>
        <v/>
      </c>
      <c r="J401" s="29" t="str">
        <f aca="false">IF(AND($E401="A",ISNUMBER($F401),ISNUMBER($G401)),$F401*(1+$G401/30),"")</f>
        <v/>
      </c>
      <c r="K401" s="19"/>
      <c r="L401" s="19"/>
    </row>
    <row r="402" customFormat="false" ht="15.75" hidden="false" customHeight="true" outlineLevel="0" collapsed="false">
      <c r="A402" s="26" t="str">
        <f aca="false">IFERROR(IF($B402="","",IF(INDEX(Einheiten!$B$4:$B$27,MATCH($B402,Einheiten!$A$4:$A$27,0))=0,"",INDEX(Einheiten!$B$4:$B$27,MATCH($B402,Einheiten!$A$4:$A$27,0)))),"")</f>
        <v/>
      </c>
      <c r="B402" s="27"/>
      <c r="C402" s="28" t="str">
        <f aca="false">IFERROR(IF($D402="","",INDEX(Übungen!$B$4:$B$17,MATCH($D402,Übungen!$A$4:$A$17,0))),"")</f>
        <v/>
      </c>
      <c r="D402" s="19"/>
      <c r="E402" s="17"/>
      <c r="F402" s="20"/>
      <c r="G402" s="21"/>
      <c r="H402" s="20"/>
      <c r="I402" s="22" t="str">
        <f aca="false">IF(AND(ISNUMBER($F402),ISNUMBER($G402),$E402&lt;&gt;"R"),$F402*$G402,"")</f>
        <v/>
      </c>
      <c r="J402" s="29" t="str">
        <f aca="false">IF(AND($E402="A",ISNUMBER($F402),ISNUMBER($G402)),$F402*(1+$G402/30),"")</f>
        <v/>
      </c>
      <c r="K402" s="19"/>
      <c r="L402" s="19"/>
    </row>
    <row r="403" customFormat="false" ht="15.75" hidden="false" customHeight="true" outlineLevel="0" collapsed="false">
      <c r="A403" s="26" t="str">
        <f aca="false">IFERROR(IF($B403="","",IF(INDEX(Einheiten!$B$4:$B$27,MATCH($B403,Einheiten!$A$4:$A$27,0))=0,"",INDEX(Einheiten!$B$4:$B$27,MATCH($B403,Einheiten!$A$4:$A$27,0)))),"")</f>
        <v/>
      </c>
      <c r="B403" s="27"/>
      <c r="C403" s="28" t="str">
        <f aca="false">IFERROR(IF($D403="","",INDEX(Übungen!$B$4:$B$17,MATCH($D403,Übungen!$A$4:$A$17,0))),"")</f>
        <v/>
      </c>
      <c r="D403" s="19"/>
      <c r="E403" s="17"/>
      <c r="F403" s="20"/>
      <c r="G403" s="21"/>
      <c r="H403" s="20"/>
      <c r="I403" s="22" t="str">
        <f aca="false">IF(AND(ISNUMBER($F403),ISNUMBER($G403),$E403&lt;&gt;"R"),$F403*$G403,"")</f>
        <v/>
      </c>
      <c r="J403" s="29" t="str">
        <f aca="false">IF(AND($E403="A",ISNUMBER($F403),ISNUMBER($G403)),$F403*(1+$G403/30),"")</f>
        <v/>
      </c>
      <c r="K403" s="19"/>
      <c r="L403" s="19"/>
    </row>
    <row r="404" customFormat="false" ht="15.75" hidden="false" customHeight="true" outlineLevel="0" collapsed="false">
      <c r="A404" s="26" t="str">
        <f aca="false">IFERROR(IF($B404="","",IF(INDEX(Einheiten!$B$4:$B$27,MATCH($B404,Einheiten!$A$4:$A$27,0))=0,"",INDEX(Einheiten!$B$4:$B$27,MATCH($B404,Einheiten!$A$4:$A$27,0)))),"")</f>
        <v/>
      </c>
      <c r="B404" s="27"/>
      <c r="C404" s="28" t="str">
        <f aca="false">IFERROR(IF($D404="","",INDEX(Übungen!$B$4:$B$17,MATCH($D404,Übungen!$A$4:$A$17,0))),"")</f>
        <v/>
      </c>
      <c r="D404" s="19"/>
      <c r="E404" s="17"/>
      <c r="F404" s="20"/>
      <c r="G404" s="21"/>
      <c r="H404" s="20"/>
      <c r="I404" s="22" t="str">
        <f aca="false">IF(AND(ISNUMBER($F404),ISNUMBER($G404),$E404&lt;&gt;"R"),$F404*$G404,"")</f>
        <v/>
      </c>
      <c r="J404" s="29" t="str">
        <f aca="false">IF(AND($E404="A",ISNUMBER($F404),ISNUMBER($G404)),$F404*(1+$G404/30),"")</f>
        <v/>
      </c>
      <c r="K404" s="19"/>
      <c r="L404" s="19"/>
    </row>
    <row r="405" customFormat="false" ht="15.75" hidden="false" customHeight="true" outlineLevel="0" collapsed="false">
      <c r="A405" s="26" t="str">
        <f aca="false">IFERROR(IF($B405="","",IF(INDEX(Einheiten!$B$4:$B$27,MATCH($B405,Einheiten!$A$4:$A$27,0))=0,"",INDEX(Einheiten!$B$4:$B$27,MATCH($B405,Einheiten!$A$4:$A$27,0)))),"")</f>
        <v/>
      </c>
      <c r="B405" s="27"/>
      <c r="C405" s="28" t="str">
        <f aca="false">IFERROR(IF($D405="","",INDEX(Übungen!$B$4:$B$17,MATCH($D405,Übungen!$A$4:$A$17,0))),"")</f>
        <v/>
      </c>
      <c r="D405" s="19"/>
      <c r="E405" s="17"/>
      <c r="F405" s="20"/>
      <c r="G405" s="21"/>
      <c r="H405" s="20"/>
      <c r="I405" s="22" t="str">
        <f aca="false">IF(AND(ISNUMBER($F405),ISNUMBER($G405),$E405&lt;&gt;"R"),$F405*$G405,"")</f>
        <v/>
      </c>
      <c r="J405" s="29" t="str">
        <f aca="false">IF(AND($E405="A",ISNUMBER($F405),ISNUMBER($G405)),$F405*(1+$G405/30),"")</f>
        <v/>
      </c>
      <c r="K405" s="19"/>
      <c r="L405" s="19"/>
    </row>
    <row r="406" customFormat="false" ht="15.75" hidden="false" customHeight="true" outlineLevel="0" collapsed="false">
      <c r="A406" s="26" t="str">
        <f aca="false">IFERROR(IF($B406="","",IF(INDEX(Einheiten!$B$4:$B$27,MATCH($B406,Einheiten!$A$4:$A$27,0))=0,"",INDEX(Einheiten!$B$4:$B$27,MATCH($B406,Einheiten!$A$4:$A$27,0)))),"")</f>
        <v/>
      </c>
      <c r="B406" s="27"/>
      <c r="C406" s="28" t="str">
        <f aca="false">IFERROR(IF($D406="","",INDEX(Übungen!$B$4:$B$17,MATCH($D406,Übungen!$A$4:$A$17,0))),"")</f>
        <v/>
      </c>
      <c r="D406" s="19"/>
      <c r="E406" s="17"/>
      <c r="F406" s="20"/>
      <c r="G406" s="21"/>
      <c r="H406" s="20"/>
      <c r="I406" s="22" t="str">
        <f aca="false">IF(AND(ISNUMBER($F406),ISNUMBER($G406),$E406&lt;&gt;"R"),$F406*$G406,"")</f>
        <v/>
      </c>
      <c r="J406" s="29" t="str">
        <f aca="false">IF(AND($E406="A",ISNUMBER($F406),ISNUMBER($G406)),$F406*(1+$G406/30),"")</f>
        <v/>
      </c>
      <c r="K406" s="19"/>
      <c r="L406" s="19"/>
    </row>
    <row r="407" customFormat="false" ht="15.75" hidden="false" customHeight="true" outlineLevel="0" collapsed="false">
      <c r="A407" s="26" t="str">
        <f aca="false">IFERROR(IF($B407="","",IF(INDEX(Einheiten!$B$4:$B$27,MATCH($B407,Einheiten!$A$4:$A$27,0))=0,"",INDEX(Einheiten!$B$4:$B$27,MATCH($B407,Einheiten!$A$4:$A$27,0)))),"")</f>
        <v/>
      </c>
      <c r="B407" s="27"/>
      <c r="C407" s="28" t="str">
        <f aca="false">IFERROR(IF($D407="","",INDEX(Übungen!$B$4:$B$17,MATCH($D407,Übungen!$A$4:$A$17,0))),"")</f>
        <v/>
      </c>
      <c r="D407" s="19"/>
      <c r="E407" s="17"/>
      <c r="F407" s="20"/>
      <c r="G407" s="21"/>
      <c r="H407" s="20"/>
      <c r="I407" s="22" t="str">
        <f aca="false">IF(AND(ISNUMBER($F407),ISNUMBER($G407),$E407&lt;&gt;"R"),$F407*$G407,"")</f>
        <v/>
      </c>
      <c r="J407" s="29" t="str">
        <f aca="false">IF(AND($E407="A",ISNUMBER($F407),ISNUMBER($G407)),$F407*(1+$G407/30),"")</f>
        <v/>
      </c>
      <c r="K407" s="19"/>
      <c r="L407" s="19"/>
    </row>
    <row r="408" customFormat="false" ht="15.75" hidden="false" customHeight="true" outlineLevel="0" collapsed="false">
      <c r="A408" s="26" t="str">
        <f aca="false">IFERROR(IF($B408="","",IF(INDEX(Einheiten!$B$4:$B$27,MATCH($B408,Einheiten!$A$4:$A$27,0))=0,"",INDEX(Einheiten!$B$4:$B$27,MATCH($B408,Einheiten!$A$4:$A$27,0)))),"")</f>
        <v/>
      </c>
      <c r="B408" s="27"/>
      <c r="C408" s="28" t="str">
        <f aca="false">IFERROR(IF($D408="","",INDEX(Übungen!$B$4:$B$17,MATCH($D408,Übungen!$A$4:$A$17,0))),"")</f>
        <v/>
      </c>
      <c r="D408" s="19"/>
      <c r="E408" s="17"/>
      <c r="F408" s="20"/>
      <c r="G408" s="21"/>
      <c r="H408" s="20"/>
      <c r="I408" s="22" t="str">
        <f aca="false">IF(AND(ISNUMBER($F408),ISNUMBER($G408),$E408&lt;&gt;"R"),$F408*$G408,"")</f>
        <v/>
      </c>
      <c r="J408" s="29" t="str">
        <f aca="false">IF(AND($E408="A",ISNUMBER($F408),ISNUMBER($G408)),$F408*(1+$G408/30),"")</f>
        <v/>
      </c>
      <c r="K408" s="19"/>
      <c r="L408" s="19"/>
    </row>
    <row r="409" customFormat="false" ht="15.75" hidden="false" customHeight="true" outlineLevel="0" collapsed="false">
      <c r="A409" s="26" t="str">
        <f aca="false">IFERROR(IF($B409="","",IF(INDEX(Einheiten!$B$4:$B$27,MATCH($B409,Einheiten!$A$4:$A$27,0))=0,"",INDEX(Einheiten!$B$4:$B$27,MATCH($B409,Einheiten!$A$4:$A$27,0)))),"")</f>
        <v/>
      </c>
      <c r="B409" s="27"/>
      <c r="C409" s="28" t="str">
        <f aca="false">IFERROR(IF($D409="","",INDEX(Übungen!$B$4:$B$17,MATCH($D409,Übungen!$A$4:$A$17,0))),"")</f>
        <v/>
      </c>
      <c r="D409" s="19"/>
      <c r="E409" s="17"/>
      <c r="F409" s="20"/>
      <c r="G409" s="21"/>
      <c r="H409" s="20"/>
      <c r="I409" s="22" t="str">
        <f aca="false">IF(AND(ISNUMBER($F409),ISNUMBER($G409),$E409&lt;&gt;"R"),$F409*$G409,"")</f>
        <v/>
      </c>
      <c r="J409" s="29" t="str">
        <f aca="false">IF(AND($E409="A",ISNUMBER($F409),ISNUMBER($G409)),$F409*(1+$G409/30),"")</f>
        <v/>
      </c>
      <c r="K409" s="19"/>
      <c r="L409" s="19"/>
    </row>
    <row r="410" customFormat="false" ht="15.75" hidden="false" customHeight="true" outlineLevel="0" collapsed="false">
      <c r="A410" s="26" t="str">
        <f aca="false">IFERROR(IF($B410="","",IF(INDEX(Einheiten!$B$4:$B$27,MATCH($B410,Einheiten!$A$4:$A$27,0))=0,"",INDEX(Einheiten!$B$4:$B$27,MATCH($B410,Einheiten!$A$4:$A$27,0)))),"")</f>
        <v/>
      </c>
      <c r="B410" s="27"/>
      <c r="C410" s="28" t="str">
        <f aca="false">IFERROR(IF($D410="","",INDEX(Übungen!$B$4:$B$17,MATCH($D410,Übungen!$A$4:$A$17,0))),"")</f>
        <v/>
      </c>
      <c r="D410" s="19"/>
      <c r="E410" s="17"/>
      <c r="F410" s="20"/>
      <c r="G410" s="21"/>
      <c r="H410" s="20"/>
      <c r="I410" s="22" t="str">
        <f aca="false">IF(AND(ISNUMBER($F410),ISNUMBER($G410),$E410&lt;&gt;"R"),$F410*$G410,"")</f>
        <v/>
      </c>
      <c r="J410" s="29" t="str">
        <f aca="false">IF(AND($E410="A",ISNUMBER($F410),ISNUMBER($G410)),$F410*(1+$G410/30),"")</f>
        <v/>
      </c>
      <c r="K410" s="19"/>
      <c r="L410" s="19"/>
    </row>
    <row r="411" customFormat="false" ht="15.75" hidden="false" customHeight="true" outlineLevel="0" collapsed="false">
      <c r="A411" s="26" t="str">
        <f aca="false">IFERROR(IF($B411="","",IF(INDEX(Einheiten!$B$4:$B$27,MATCH($B411,Einheiten!$A$4:$A$27,0))=0,"",INDEX(Einheiten!$B$4:$B$27,MATCH($B411,Einheiten!$A$4:$A$27,0)))),"")</f>
        <v/>
      </c>
      <c r="B411" s="27"/>
      <c r="C411" s="28" t="str">
        <f aca="false">IFERROR(IF($D411="","",INDEX(Übungen!$B$4:$B$17,MATCH($D411,Übungen!$A$4:$A$17,0))),"")</f>
        <v/>
      </c>
      <c r="D411" s="19"/>
      <c r="E411" s="17"/>
      <c r="F411" s="20"/>
      <c r="G411" s="21"/>
      <c r="H411" s="20"/>
      <c r="I411" s="22" t="str">
        <f aca="false">IF(AND(ISNUMBER($F411),ISNUMBER($G411),$E411&lt;&gt;"R"),$F411*$G411,"")</f>
        <v/>
      </c>
      <c r="J411" s="29" t="str">
        <f aca="false">IF(AND($E411="A",ISNUMBER($F411),ISNUMBER($G411)),$F411*(1+$G411/30),"")</f>
        <v/>
      </c>
      <c r="K411" s="19"/>
      <c r="L411" s="19"/>
    </row>
    <row r="412" customFormat="false" ht="15.75" hidden="false" customHeight="true" outlineLevel="0" collapsed="false">
      <c r="A412" s="26" t="str">
        <f aca="false">IFERROR(IF($B412="","",IF(INDEX(Einheiten!$B$4:$B$27,MATCH($B412,Einheiten!$A$4:$A$27,0))=0,"",INDEX(Einheiten!$B$4:$B$27,MATCH($B412,Einheiten!$A$4:$A$27,0)))),"")</f>
        <v/>
      </c>
      <c r="B412" s="27"/>
      <c r="C412" s="28" t="str">
        <f aca="false">IFERROR(IF($D412="","",INDEX(Übungen!$B$4:$B$17,MATCH($D412,Übungen!$A$4:$A$17,0))),"")</f>
        <v/>
      </c>
      <c r="D412" s="19"/>
      <c r="E412" s="17"/>
      <c r="F412" s="20"/>
      <c r="G412" s="21"/>
      <c r="H412" s="20"/>
      <c r="I412" s="22" t="str">
        <f aca="false">IF(AND(ISNUMBER($F412),ISNUMBER($G412),$E412&lt;&gt;"R"),$F412*$G412,"")</f>
        <v/>
      </c>
      <c r="J412" s="29" t="str">
        <f aca="false">IF(AND($E412="A",ISNUMBER($F412),ISNUMBER($G412)),$F412*(1+$G412/30),"")</f>
        <v/>
      </c>
      <c r="K412" s="19"/>
      <c r="L412" s="19"/>
    </row>
    <row r="413" customFormat="false" ht="15.75" hidden="false" customHeight="true" outlineLevel="0" collapsed="false">
      <c r="A413" s="26" t="str">
        <f aca="false">IFERROR(IF($B413="","",IF(INDEX(Einheiten!$B$4:$B$27,MATCH($B413,Einheiten!$A$4:$A$27,0))=0,"",INDEX(Einheiten!$B$4:$B$27,MATCH($B413,Einheiten!$A$4:$A$27,0)))),"")</f>
        <v/>
      </c>
      <c r="B413" s="27"/>
      <c r="C413" s="28" t="str">
        <f aca="false">IFERROR(IF($D413="","",INDEX(Übungen!$B$4:$B$17,MATCH($D413,Übungen!$A$4:$A$17,0))),"")</f>
        <v/>
      </c>
      <c r="D413" s="19"/>
      <c r="E413" s="17"/>
      <c r="F413" s="20"/>
      <c r="G413" s="21"/>
      <c r="H413" s="20"/>
      <c r="I413" s="22" t="str">
        <f aca="false">IF(AND(ISNUMBER($F413),ISNUMBER($G413),$E413&lt;&gt;"R"),$F413*$G413,"")</f>
        <v/>
      </c>
      <c r="J413" s="29" t="str">
        <f aca="false">IF(AND($E413="A",ISNUMBER($F413),ISNUMBER($G413)),$F413*(1+$G413/30),"")</f>
        <v/>
      </c>
      <c r="K413" s="19"/>
      <c r="L413" s="19"/>
    </row>
    <row r="414" customFormat="false" ht="15.75" hidden="false" customHeight="true" outlineLevel="0" collapsed="false">
      <c r="A414" s="26" t="str">
        <f aca="false">IFERROR(IF($B414="","",IF(INDEX(Einheiten!$B$4:$B$27,MATCH($B414,Einheiten!$A$4:$A$27,0))=0,"",INDEX(Einheiten!$B$4:$B$27,MATCH($B414,Einheiten!$A$4:$A$27,0)))),"")</f>
        <v/>
      </c>
      <c r="B414" s="27"/>
      <c r="C414" s="28" t="str">
        <f aca="false">IFERROR(IF($D414="","",INDEX(Übungen!$B$4:$B$17,MATCH($D414,Übungen!$A$4:$A$17,0))),"")</f>
        <v/>
      </c>
      <c r="D414" s="19"/>
      <c r="E414" s="17"/>
      <c r="F414" s="20"/>
      <c r="G414" s="21"/>
      <c r="H414" s="20"/>
      <c r="I414" s="22" t="str">
        <f aca="false">IF(AND(ISNUMBER($F414),ISNUMBER($G414),$E414&lt;&gt;"R"),$F414*$G414,"")</f>
        <v/>
      </c>
      <c r="J414" s="29" t="str">
        <f aca="false">IF(AND($E414="A",ISNUMBER($F414),ISNUMBER($G414)),$F414*(1+$G414/30),"")</f>
        <v/>
      </c>
      <c r="K414" s="19"/>
      <c r="L414" s="19"/>
    </row>
    <row r="415" customFormat="false" ht="15.75" hidden="false" customHeight="true" outlineLevel="0" collapsed="false">
      <c r="A415" s="26" t="str">
        <f aca="false">IFERROR(IF($B415="","",IF(INDEX(Einheiten!$B$4:$B$27,MATCH($B415,Einheiten!$A$4:$A$27,0))=0,"",INDEX(Einheiten!$B$4:$B$27,MATCH($B415,Einheiten!$A$4:$A$27,0)))),"")</f>
        <v/>
      </c>
      <c r="B415" s="27"/>
      <c r="C415" s="28" t="str">
        <f aca="false">IFERROR(IF($D415="","",INDEX(Übungen!$B$4:$B$17,MATCH($D415,Übungen!$A$4:$A$17,0))),"")</f>
        <v/>
      </c>
      <c r="D415" s="19"/>
      <c r="E415" s="17"/>
      <c r="F415" s="20"/>
      <c r="G415" s="21"/>
      <c r="H415" s="20"/>
      <c r="I415" s="22" t="str">
        <f aca="false">IF(AND(ISNUMBER($F415),ISNUMBER($G415),$E415&lt;&gt;"R"),$F415*$G415,"")</f>
        <v/>
      </c>
      <c r="J415" s="29" t="str">
        <f aca="false">IF(AND($E415="A",ISNUMBER($F415),ISNUMBER($G415)),$F415*(1+$G415/30),"")</f>
        <v/>
      </c>
      <c r="K415" s="19"/>
      <c r="L415" s="19"/>
    </row>
    <row r="416" customFormat="false" ht="15.75" hidden="false" customHeight="true" outlineLevel="0" collapsed="false">
      <c r="A416" s="26" t="str">
        <f aca="false">IFERROR(IF($B416="","",IF(INDEX(Einheiten!$B$4:$B$27,MATCH($B416,Einheiten!$A$4:$A$27,0))=0,"",INDEX(Einheiten!$B$4:$B$27,MATCH($B416,Einheiten!$A$4:$A$27,0)))),"")</f>
        <v/>
      </c>
      <c r="B416" s="27"/>
      <c r="C416" s="28" t="str">
        <f aca="false">IFERROR(IF($D416="","",INDEX(Übungen!$B$4:$B$17,MATCH($D416,Übungen!$A$4:$A$17,0))),"")</f>
        <v/>
      </c>
      <c r="D416" s="19"/>
      <c r="E416" s="17"/>
      <c r="F416" s="20"/>
      <c r="G416" s="21"/>
      <c r="H416" s="20"/>
      <c r="I416" s="22" t="str">
        <f aca="false">IF(AND(ISNUMBER($F416),ISNUMBER($G416),$E416&lt;&gt;"R"),$F416*$G416,"")</f>
        <v/>
      </c>
      <c r="J416" s="29" t="str">
        <f aca="false">IF(AND($E416="A",ISNUMBER($F416),ISNUMBER($G416)),$F416*(1+$G416/30),"")</f>
        <v/>
      </c>
      <c r="K416" s="19"/>
      <c r="L416" s="19"/>
    </row>
    <row r="417" customFormat="false" ht="15.75" hidden="false" customHeight="true" outlineLevel="0" collapsed="false">
      <c r="A417" s="26" t="str">
        <f aca="false">IFERROR(IF($B417="","",IF(INDEX(Einheiten!$B$4:$B$27,MATCH($B417,Einheiten!$A$4:$A$27,0))=0,"",INDEX(Einheiten!$B$4:$B$27,MATCH($B417,Einheiten!$A$4:$A$27,0)))),"")</f>
        <v/>
      </c>
      <c r="B417" s="27"/>
      <c r="C417" s="28" t="str">
        <f aca="false">IFERROR(IF($D417="","",INDEX(Übungen!$B$4:$B$17,MATCH($D417,Übungen!$A$4:$A$17,0))),"")</f>
        <v/>
      </c>
      <c r="D417" s="19"/>
      <c r="E417" s="17"/>
      <c r="F417" s="20"/>
      <c r="G417" s="21"/>
      <c r="H417" s="20"/>
      <c r="I417" s="22" t="str">
        <f aca="false">IF(AND(ISNUMBER($F417),ISNUMBER($G417),$E417&lt;&gt;"R"),$F417*$G417,"")</f>
        <v/>
      </c>
      <c r="J417" s="29" t="str">
        <f aca="false">IF(AND($E417="A",ISNUMBER($F417),ISNUMBER($G417)),$F417*(1+$G417/30),"")</f>
        <v/>
      </c>
      <c r="K417" s="19"/>
      <c r="L417" s="19"/>
    </row>
    <row r="418" customFormat="false" ht="15.75" hidden="false" customHeight="true" outlineLevel="0" collapsed="false">
      <c r="A418" s="26" t="str">
        <f aca="false">IFERROR(IF($B418="","",IF(INDEX(Einheiten!$B$4:$B$27,MATCH($B418,Einheiten!$A$4:$A$27,0))=0,"",INDEX(Einheiten!$B$4:$B$27,MATCH($B418,Einheiten!$A$4:$A$27,0)))),"")</f>
        <v/>
      </c>
      <c r="B418" s="27"/>
      <c r="C418" s="28" t="str">
        <f aca="false">IFERROR(IF($D418="","",INDEX(Übungen!$B$4:$B$17,MATCH($D418,Übungen!$A$4:$A$17,0))),"")</f>
        <v/>
      </c>
      <c r="D418" s="19"/>
      <c r="E418" s="17"/>
      <c r="F418" s="20"/>
      <c r="G418" s="21"/>
      <c r="H418" s="20"/>
      <c r="I418" s="22" t="str">
        <f aca="false">IF(AND(ISNUMBER($F418),ISNUMBER($G418),$E418&lt;&gt;"R"),$F418*$G418,"")</f>
        <v/>
      </c>
      <c r="J418" s="29" t="str">
        <f aca="false">IF(AND($E418="A",ISNUMBER($F418),ISNUMBER($G418)),$F418*(1+$G418/30),"")</f>
        <v/>
      </c>
      <c r="K418" s="19"/>
      <c r="L418" s="19"/>
    </row>
    <row r="419" customFormat="false" ht="15.75" hidden="false" customHeight="true" outlineLevel="0" collapsed="false">
      <c r="A419" s="26" t="str">
        <f aca="false">IFERROR(IF($B419="","",IF(INDEX(Einheiten!$B$4:$B$27,MATCH($B419,Einheiten!$A$4:$A$27,0))=0,"",INDEX(Einheiten!$B$4:$B$27,MATCH($B419,Einheiten!$A$4:$A$27,0)))),"")</f>
        <v/>
      </c>
      <c r="B419" s="27"/>
      <c r="C419" s="28" t="str">
        <f aca="false">IFERROR(IF($D419="","",INDEX(Übungen!$B$4:$B$17,MATCH($D419,Übungen!$A$4:$A$17,0))),"")</f>
        <v/>
      </c>
      <c r="D419" s="19"/>
      <c r="E419" s="17"/>
      <c r="F419" s="20"/>
      <c r="G419" s="21"/>
      <c r="H419" s="20"/>
      <c r="I419" s="22" t="str">
        <f aca="false">IF(AND(ISNUMBER($F419),ISNUMBER($G419),$E419&lt;&gt;"R"),$F419*$G419,"")</f>
        <v/>
      </c>
      <c r="J419" s="29" t="str">
        <f aca="false">IF(AND($E419="A",ISNUMBER($F419),ISNUMBER($G419)),$F419*(1+$G419/30),"")</f>
        <v/>
      </c>
      <c r="K419" s="19"/>
      <c r="L419" s="19"/>
    </row>
    <row r="420" customFormat="false" ht="15.75" hidden="false" customHeight="true" outlineLevel="0" collapsed="false">
      <c r="A420" s="26" t="str">
        <f aca="false">IFERROR(IF($B420="","",IF(INDEX(Einheiten!$B$4:$B$27,MATCH($B420,Einheiten!$A$4:$A$27,0))=0,"",INDEX(Einheiten!$B$4:$B$27,MATCH($B420,Einheiten!$A$4:$A$27,0)))),"")</f>
        <v/>
      </c>
      <c r="B420" s="27"/>
      <c r="C420" s="28" t="str">
        <f aca="false">IFERROR(IF($D420="","",INDEX(Übungen!$B$4:$B$17,MATCH($D420,Übungen!$A$4:$A$17,0))),"")</f>
        <v/>
      </c>
      <c r="D420" s="19"/>
      <c r="E420" s="17"/>
      <c r="F420" s="20"/>
      <c r="G420" s="21"/>
      <c r="H420" s="20"/>
      <c r="I420" s="22" t="str">
        <f aca="false">IF(AND(ISNUMBER($F420),ISNUMBER($G420),$E420&lt;&gt;"R"),$F420*$G420,"")</f>
        <v/>
      </c>
      <c r="J420" s="29" t="str">
        <f aca="false">IF(AND($E420="A",ISNUMBER($F420),ISNUMBER($G420)),$F420*(1+$G420/30),"")</f>
        <v/>
      </c>
      <c r="K420" s="19"/>
      <c r="L420" s="19"/>
    </row>
    <row r="421" customFormat="false" ht="15.75" hidden="false" customHeight="true" outlineLevel="0" collapsed="false">
      <c r="A421" s="26" t="str">
        <f aca="false">IFERROR(IF($B421="","",IF(INDEX(Einheiten!$B$4:$B$27,MATCH($B421,Einheiten!$A$4:$A$27,0))=0,"",INDEX(Einheiten!$B$4:$B$27,MATCH($B421,Einheiten!$A$4:$A$27,0)))),"")</f>
        <v/>
      </c>
      <c r="B421" s="27"/>
      <c r="C421" s="28" t="str">
        <f aca="false">IFERROR(IF($D421="","",INDEX(Übungen!$B$4:$B$17,MATCH($D421,Übungen!$A$4:$A$17,0))),"")</f>
        <v/>
      </c>
      <c r="D421" s="19"/>
      <c r="E421" s="17"/>
      <c r="F421" s="20"/>
      <c r="G421" s="21"/>
      <c r="H421" s="20"/>
      <c r="I421" s="22" t="str">
        <f aca="false">IF(AND(ISNUMBER($F421),ISNUMBER($G421),$E421&lt;&gt;"R"),$F421*$G421,"")</f>
        <v/>
      </c>
      <c r="J421" s="29" t="str">
        <f aca="false">IF(AND($E421="A",ISNUMBER($F421),ISNUMBER($G421)),$F421*(1+$G421/30),"")</f>
        <v/>
      </c>
      <c r="K421" s="19"/>
      <c r="L421" s="19"/>
    </row>
    <row r="422" customFormat="false" ht="15.75" hidden="false" customHeight="true" outlineLevel="0" collapsed="false">
      <c r="A422" s="26" t="str">
        <f aca="false">IFERROR(IF($B422="","",IF(INDEX(Einheiten!$B$4:$B$27,MATCH($B422,Einheiten!$A$4:$A$27,0))=0,"",INDEX(Einheiten!$B$4:$B$27,MATCH($B422,Einheiten!$A$4:$A$27,0)))),"")</f>
        <v/>
      </c>
      <c r="B422" s="27"/>
      <c r="C422" s="28" t="str">
        <f aca="false">IFERROR(IF($D422="","",INDEX(Übungen!$B$4:$B$17,MATCH($D422,Übungen!$A$4:$A$17,0))),"")</f>
        <v/>
      </c>
      <c r="D422" s="19"/>
      <c r="E422" s="17"/>
      <c r="F422" s="20"/>
      <c r="G422" s="21"/>
      <c r="H422" s="20"/>
      <c r="I422" s="22" t="str">
        <f aca="false">IF(AND(ISNUMBER($F422),ISNUMBER($G422),$E422&lt;&gt;"R"),$F422*$G422,"")</f>
        <v/>
      </c>
      <c r="J422" s="29" t="str">
        <f aca="false">IF(AND($E422="A",ISNUMBER($F422),ISNUMBER($G422)),$F422*(1+$G422/30),"")</f>
        <v/>
      </c>
      <c r="K422" s="19"/>
      <c r="L422" s="19"/>
    </row>
    <row r="423" customFormat="false" ht="15.75" hidden="false" customHeight="true" outlineLevel="0" collapsed="false">
      <c r="A423" s="26" t="str">
        <f aca="false">IFERROR(IF($B423="","",IF(INDEX(Einheiten!$B$4:$B$27,MATCH($B423,Einheiten!$A$4:$A$27,0))=0,"",INDEX(Einheiten!$B$4:$B$27,MATCH($B423,Einheiten!$A$4:$A$27,0)))),"")</f>
        <v/>
      </c>
      <c r="B423" s="27"/>
      <c r="C423" s="28" t="str">
        <f aca="false">IFERROR(IF($D423="","",INDEX(Übungen!$B$4:$B$17,MATCH($D423,Übungen!$A$4:$A$17,0))),"")</f>
        <v/>
      </c>
      <c r="D423" s="19"/>
      <c r="E423" s="17"/>
      <c r="F423" s="20"/>
      <c r="G423" s="21"/>
      <c r="H423" s="20"/>
      <c r="I423" s="22" t="str">
        <f aca="false">IF(AND(ISNUMBER($F423),ISNUMBER($G423),$E423&lt;&gt;"R"),$F423*$G423,"")</f>
        <v/>
      </c>
      <c r="J423" s="29" t="str">
        <f aca="false">IF(AND($E423="A",ISNUMBER($F423),ISNUMBER($G423)),$F423*(1+$G423/30),"")</f>
        <v/>
      </c>
      <c r="K423" s="19"/>
      <c r="L423" s="19"/>
    </row>
    <row r="424" customFormat="false" ht="15.75" hidden="false" customHeight="true" outlineLevel="0" collapsed="false">
      <c r="A424" s="26" t="str">
        <f aca="false">IFERROR(IF($B424="","",IF(INDEX(Einheiten!$B$4:$B$27,MATCH($B424,Einheiten!$A$4:$A$27,0))=0,"",INDEX(Einheiten!$B$4:$B$27,MATCH($B424,Einheiten!$A$4:$A$27,0)))),"")</f>
        <v/>
      </c>
      <c r="B424" s="27"/>
      <c r="C424" s="28" t="str">
        <f aca="false">IFERROR(IF($D424="","",INDEX(Übungen!$B$4:$B$17,MATCH($D424,Übungen!$A$4:$A$17,0))),"")</f>
        <v/>
      </c>
      <c r="D424" s="19"/>
      <c r="E424" s="17"/>
      <c r="F424" s="20"/>
      <c r="G424" s="21"/>
      <c r="H424" s="20"/>
      <c r="I424" s="22" t="str">
        <f aca="false">IF(AND(ISNUMBER($F424),ISNUMBER($G424),$E424&lt;&gt;"R"),$F424*$G424,"")</f>
        <v/>
      </c>
      <c r="J424" s="29" t="str">
        <f aca="false">IF(AND($E424="A",ISNUMBER($F424),ISNUMBER($G424)),$F424*(1+$G424/30),"")</f>
        <v/>
      </c>
      <c r="K424" s="19"/>
      <c r="L424" s="19"/>
    </row>
    <row r="425" customFormat="false" ht="15.75" hidden="false" customHeight="true" outlineLevel="0" collapsed="false">
      <c r="A425" s="26" t="str">
        <f aca="false">IFERROR(IF($B425="","",IF(INDEX(Einheiten!$B$4:$B$27,MATCH($B425,Einheiten!$A$4:$A$27,0))=0,"",INDEX(Einheiten!$B$4:$B$27,MATCH($B425,Einheiten!$A$4:$A$27,0)))),"")</f>
        <v/>
      </c>
      <c r="B425" s="27"/>
      <c r="C425" s="28" t="str">
        <f aca="false">IFERROR(IF($D425="","",INDEX(Übungen!$B$4:$B$17,MATCH($D425,Übungen!$A$4:$A$17,0))),"")</f>
        <v/>
      </c>
      <c r="D425" s="19"/>
      <c r="E425" s="17"/>
      <c r="F425" s="20"/>
      <c r="G425" s="21"/>
      <c r="H425" s="20"/>
      <c r="I425" s="22" t="str">
        <f aca="false">IF(AND(ISNUMBER($F425),ISNUMBER($G425),$E425&lt;&gt;"R"),$F425*$G425,"")</f>
        <v/>
      </c>
      <c r="J425" s="29" t="str">
        <f aca="false">IF(AND($E425="A",ISNUMBER($F425),ISNUMBER($G425)),$F425*(1+$G425/30),"")</f>
        <v/>
      </c>
      <c r="K425" s="19"/>
      <c r="L425" s="19"/>
    </row>
    <row r="426" customFormat="false" ht="15.75" hidden="false" customHeight="true" outlineLevel="0" collapsed="false">
      <c r="A426" s="26" t="str">
        <f aca="false">IFERROR(IF($B426="","",IF(INDEX(Einheiten!$B$4:$B$27,MATCH($B426,Einheiten!$A$4:$A$27,0))=0,"",INDEX(Einheiten!$B$4:$B$27,MATCH($B426,Einheiten!$A$4:$A$27,0)))),"")</f>
        <v/>
      </c>
      <c r="B426" s="27"/>
      <c r="C426" s="28" t="str">
        <f aca="false">IFERROR(IF($D426="","",INDEX(Übungen!$B$4:$B$17,MATCH($D426,Übungen!$A$4:$A$17,0))),"")</f>
        <v/>
      </c>
      <c r="D426" s="19"/>
      <c r="E426" s="17"/>
      <c r="F426" s="20"/>
      <c r="G426" s="21"/>
      <c r="H426" s="20"/>
      <c r="I426" s="22" t="str">
        <f aca="false">IF(AND(ISNUMBER($F426),ISNUMBER($G426),$E426&lt;&gt;"R"),$F426*$G426,"")</f>
        <v/>
      </c>
      <c r="J426" s="29" t="str">
        <f aca="false">IF(AND($E426="A",ISNUMBER($F426),ISNUMBER($G426)),$F426*(1+$G426/30),"")</f>
        <v/>
      </c>
      <c r="K426" s="19"/>
      <c r="L426" s="19"/>
    </row>
    <row r="427" customFormat="false" ht="15.75" hidden="false" customHeight="true" outlineLevel="0" collapsed="false">
      <c r="A427" s="26" t="str">
        <f aca="false">IFERROR(IF($B427="","",IF(INDEX(Einheiten!$B$4:$B$27,MATCH($B427,Einheiten!$A$4:$A$27,0))=0,"",INDEX(Einheiten!$B$4:$B$27,MATCH($B427,Einheiten!$A$4:$A$27,0)))),"")</f>
        <v/>
      </c>
      <c r="B427" s="27"/>
      <c r="C427" s="28" t="str">
        <f aca="false">IFERROR(IF($D427="","",INDEX(Übungen!$B$4:$B$17,MATCH($D427,Übungen!$A$4:$A$17,0))),"")</f>
        <v/>
      </c>
      <c r="D427" s="19"/>
      <c r="E427" s="17"/>
      <c r="F427" s="20"/>
      <c r="G427" s="21"/>
      <c r="H427" s="20"/>
      <c r="I427" s="22" t="str">
        <f aca="false">IF(AND(ISNUMBER($F427),ISNUMBER($G427),$E427&lt;&gt;"R"),$F427*$G427,"")</f>
        <v/>
      </c>
      <c r="J427" s="29" t="str">
        <f aca="false">IF(AND($E427="A",ISNUMBER($F427),ISNUMBER($G427)),$F427*(1+$G427/30),"")</f>
        <v/>
      </c>
      <c r="K427" s="19"/>
      <c r="L427" s="19"/>
    </row>
    <row r="428" customFormat="false" ht="15.75" hidden="false" customHeight="true" outlineLevel="0" collapsed="false">
      <c r="A428" s="26" t="str">
        <f aca="false">IFERROR(IF($B428="","",IF(INDEX(Einheiten!$B$4:$B$27,MATCH($B428,Einheiten!$A$4:$A$27,0))=0,"",INDEX(Einheiten!$B$4:$B$27,MATCH($B428,Einheiten!$A$4:$A$27,0)))),"")</f>
        <v/>
      </c>
      <c r="B428" s="27"/>
      <c r="C428" s="28" t="str">
        <f aca="false">IFERROR(IF($D428="","",INDEX(Übungen!$B$4:$B$17,MATCH($D428,Übungen!$A$4:$A$17,0))),"")</f>
        <v/>
      </c>
      <c r="D428" s="19"/>
      <c r="E428" s="17"/>
      <c r="F428" s="20"/>
      <c r="G428" s="21"/>
      <c r="H428" s="20"/>
      <c r="I428" s="22" t="str">
        <f aca="false">IF(AND(ISNUMBER($F428),ISNUMBER($G428),$E428&lt;&gt;"R"),$F428*$G428,"")</f>
        <v/>
      </c>
      <c r="J428" s="29" t="str">
        <f aca="false">IF(AND($E428="A",ISNUMBER($F428),ISNUMBER($G428)),$F428*(1+$G428/30),"")</f>
        <v/>
      </c>
      <c r="K428" s="19"/>
      <c r="L428" s="19"/>
    </row>
    <row r="429" customFormat="false" ht="15.75" hidden="false" customHeight="true" outlineLevel="0" collapsed="false">
      <c r="A429" s="26" t="str">
        <f aca="false">IFERROR(IF($B429="","",IF(INDEX(Einheiten!$B$4:$B$27,MATCH($B429,Einheiten!$A$4:$A$27,0))=0,"",INDEX(Einheiten!$B$4:$B$27,MATCH($B429,Einheiten!$A$4:$A$27,0)))),"")</f>
        <v/>
      </c>
      <c r="B429" s="27"/>
      <c r="C429" s="28" t="str">
        <f aca="false">IFERROR(IF($D429="","",INDEX(Übungen!$B$4:$B$17,MATCH($D429,Übungen!$A$4:$A$17,0))),"")</f>
        <v/>
      </c>
      <c r="D429" s="19"/>
      <c r="E429" s="17"/>
      <c r="F429" s="20"/>
      <c r="G429" s="21"/>
      <c r="H429" s="20"/>
      <c r="I429" s="22" t="str">
        <f aca="false">IF(AND(ISNUMBER($F429),ISNUMBER($G429),$E429&lt;&gt;"R"),$F429*$G429,"")</f>
        <v/>
      </c>
      <c r="J429" s="29" t="str">
        <f aca="false">IF(AND($E429="A",ISNUMBER($F429),ISNUMBER($G429)),$F429*(1+$G429/30),"")</f>
        <v/>
      </c>
      <c r="K429" s="19"/>
      <c r="L429" s="19"/>
    </row>
    <row r="430" customFormat="false" ht="15.75" hidden="false" customHeight="true" outlineLevel="0" collapsed="false">
      <c r="A430" s="26" t="str">
        <f aca="false">IFERROR(IF($B430="","",IF(INDEX(Einheiten!$B$4:$B$27,MATCH($B430,Einheiten!$A$4:$A$27,0))=0,"",INDEX(Einheiten!$B$4:$B$27,MATCH($B430,Einheiten!$A$4:$A$27,0)))),"")</f>
        <v/>
      </c>
      <c r="B430" s="27"/>
      <c r="C430" s="28" t="str">
        <f aca="false">IFERROR(IF($D430="","",INDEX(Übungen!$B$4:$B$17,MATCH($D430,Übungen!$A$4:$A$17,0))),"")</f>
        <v/>
      </c>
      <c r="D430" s="19"/>
      <c r="E430" s="17"/>
      <c r="F430" s="20"/>
      <c r="G430" s="21"/>
      <c r="H430" s="20"/>
      <c r="I430" s="22" t="str">
        <f aca="false">IF(AND(ISNUMBER($F430),ISNUMBER($G430),$E430&lt;&gt;"R"),$F430*$G430,"")</f>
        <v/>
      </c>
      <c r="J430" s="29" t="str">
        <f aca="false">IF(AND($E430="A",ISNUMBER($F430),ISNUMBER($G430)),$F430*(1+$G430/30),"")</f>
        <v/>
      </c>
      <c r="K430" s="19"/>
      <c r="L430" s="19"/>
    </row>
    <row r="431" customFormat="false" ht="15.75" hidden="false" customHeight="true" outlineLevel="0" collapsed="false">
      <c r="A431" s="26" t="str">
        <f aca="false">IFERROR(IF($B431="","",IF(INDEX(Einheiten!$B$4:$B$27,MATCH($B431,Einheiten!$A$4:$A$27,0))=0,"",INDEX(Einheiten!$B$4:$B$27,MATCH($B431,Einheiten!$A$4:$A$27,0)))),"")</f>
        <v/>
      </c>
      <c r="B431" s="27"/>
      <c r="C431" s="28" t="str">
        <f aca="false">IFERROR(IF($D431="","",INDEX(Übungen!$B$4:$B$17,MATCH($D431,Übungen!$A$4:$A$17,0))),"")</f>
        <v/>
      </c>
      <c r="D431" s="19"/>
      <c r="E431" s="17"/>
      <c r="F431" s="20"/>
      <c r="G431" s="21"/>
      <c r="H431" s="20"/>
      <c r="I431" s="22" t="str">
        <f aca="false">IF(AND(ISNUMBER($F431),ISNUMBER($G431),$E431&lt;&gt;"R"),$F431*$G431,"")</f>
        <v/>
      </c>
      <c r="J431" s="29" t="str">
        <f aca="false">IF(AND($E431="A",ISNUMBER($F431),ISNUMBER($G431)),$F431*(1+$G431/30),"")</f>
        <v/>
      </c>
      <c r="K431" s="19"/>
      <c r="L431" s="19"/>
    </row>
    <row r="432" customFormat="false" ht="15.75" hidden="false" customHeight="true" outlineLevel="0" collapsed="false">
      <c r="A432" s="26" t="str">
        <f aca="false">IFERROR(IF($B432="","",IF(INDEX(Einheiten!$B$4:$B$27,MATCH($B432,Einheiten!$A$4:$A$27,0))=0,"",INDEX(Einheiten!$B$4:$B$27,MATCH($B432,Einheiten!$A$4:$A$27,0)))),"")</f>
        <v/>
      </c>
      <c r="B432" s="27"/>
      <c r="C432" s="28" t="str">
        <f aca="false">IFERROR(IF($D432="","",INDEX(Übungen!$B$4:$B$17,MATCH($D432,Übungen!$A$4:$A$17,0))),"")</f>
        <v/>
      </c>
      <c r="D432" s="19"/>
      <c r="E432" s="17"/>
      <c r="F432" s="20"/>
      <c r="G432" s="21"/>
      <c r="H432" s="20"/>
      <c r="I432" s="22" t="str">
        <f aca="false">IF(AND(ISNUMBER($F432),ISNUMBER($G432),$E432&lt;&gt;"R"),$F432*$G432,"")</f>
        <v/>
      </c>
      <c r="J432" s="29" t="str">
        <f aca="false">IF(AND($E432="A",ISNUMBER($F432),ISNUMBER($G432)),$F432*(1+$G432/30),"")</f>
        <v/>
      </c>
      <c r="K432" s="19"/>
      <c r="L432" s="19"/>
    </row>
    <row r="433" customFormat="false" ht="15.75" hidden="false" customHeight="true" outlineLevel="0" collapsed="false">
      <c r="A433" s="26" t="str">
        <f aca="false">IFERROR(IF($B433="","",IF(INDEX(Einheiten!$B$4:$B$27,MATCH($B433,Einheiten!$A$4:$A$27,0))=0,"",INDEX(Einheiten!$B$4:$B$27,MATCH($B433,Einheiten!$A$4:$A$27,0)))),"")</f>
        <v/>
      </c>
      <c r="B433" s="27"/>
      <c r="C433" s="28" t="str">
        <f aca="false">IFERROR(IF($D433="","",INDEX(Übungen!$B$4:$B$17,MATCH($D433,Übungen!$A$4:$A$17,0))),"")</f>
        <v/>
      </c>
      <c r="D433" s="19"/>
      <c r="E433" s="17"/>
      <c r="F433" s="20"/>
      <c r="G433" s="21"/>
      <c r="H433" s="20"/>
      <c r="I433" s="22" t="str">
        <f aca="false">IF(AND(ISNUMBER($F433),ISNUMBER($G433),$E433&lt;&gt;"R"),$F433*$G433,"")</f>
        <v/>
      </c>
      <c r="J433" s="29" t="str">
        <f aca="false">IF(AND($E433="A",ISNUMBER($F433),ISNUMBER($G433)),$F433*(1+$G433/30),"")</f>
        <v/>
      </c>
      <c r="K433" s="19"/>
      <c r="L433" s="19"/>
    </row>
    <row r="434" customFormat="false" ht="15.75" hidden="false" customHeight="true" outlineLevel="0" collapsed="false">
      <c r="A434" s="26" t="str">
        <f aca="false">IFERROR(IF($B434="","",IF(INDEX(Einheiten!$B$4:$B$27,MATCH($B434,Einheiten!$A$4:$A$27,0))=0,"",INDEX(Einheiten!$B$4:$B$27,MATCH($B434,Einheiten!$A$4:$A$27,0)))),"")</f>
        <v/>
      </c>
      <c r="B434" s="27"/>
      <c r="C434" s="28" t="str">
        <f aca="false">IFERROR(IF($D434="","",INDEX(Übungen!$B$4:$B$17,MATCH($D434,Übungen!$A$4:$A$17,0))),"")</f>
        <v/>
      </c>
      <c r="D434" s="19"/>
      <c r="E434" s="17"/>
      <c r="F434" s="20"/>
      <c r="G434" s="21"/>
      <c r="H434" s="20"/>
      <c r="I434" s="22" t="str">
        <f aca="false">IF(AND(ISNUMBER($F434),ISNUMBER($G434),$E434&lt;&gt;"R"),$F434*$G434,"")</f>
        <v/>
      </c>
      <c r="J434" s="29" t="str">
        <f aca="false">IF(AND($E434="A",ISNUMBER($F434),ISNUMBER($G434)),$F434*(1+$G434/30),"")</f>
        <v/>
      </c>
      <c r="K434" s="19"/>
      <c r="L434" s="19"/>
    </row>
    <row r="435" customFormat="false" ht="15.75" hidden="false" customHeight="true" outlineLevel="0" collapsed="false">
      <c r="A435" s="26" t="str">
        <f aca="false">IFERROR(IF($B435="","",IF(INDEX(Einheiten!$B$4:$B$27,MATCH($B435,Einheiten!$A$4:$A$27,0))=0,"",INDEX(Einheiten!$B$4:$B$27,MATCH($B435,Einheiten!$A$4:$A$27,0)))),"")</f>
        <v/>
      </c>
      <c r="B435" s="27"/>
      <c r="C435" s="28" t="str">
        <f aca="false">IFERROR(IF($D435="","",INDEX(Übungen!$B$4:$B$17,MATCH($D435,Übungen!$A$4:$A$17,0))),"")</f>
        <v/>
      </c>
      <c r="D435" s="19"/>
      <c r="E435" s="17"/>
      <c r="F435" s="20"/>
      <c r="G435" s="21"/>
      <c r="H435" s="20"/>
      <c r="I435" s="22" t="str">
        <f aca="false">IF(AND(ISNUMBER($F435),ISNUMBER($G435),$E435&lt;&gt;"R"),$F435*$G435,"")</f>
        <v/>
      </c>
      <c r="J435" s="29" t="str">
        <f aca="false">IF(AND($E435="A",ISNUMBER($F435),ISNUMBER($G435)),$F435*(1+$G435/30),"")</f>
        <v/>
      </c>
      <c r="K435" s="19"/>
      <c r="L435" s="19"/>
    </row>
    <row r="436" customFormat="false" ht="15.75" hidden="false" customHeight="true" outlineLevel="0" collapsed="false">
      <c r="A436" s="26" t="str">
        <f aca="false">IFERROR(IF($B436="","",IF(INDEX(Einheiten!$B$4:$B$27,MATCH($B436,Einheiten!$A$4:$A$27,0))=0,"",INDEX(Einheiten!$B$4:$B$27,MATCH($B436,Einheiten!$A$4:$A$27,0)))),"")</f>
        <v/>
      </c>
      <c r="B436" s="27"/>
      <c r="C436" s="28" t="str">
        <f aca="false">IFERROR(IF($D436="","",INDEX(Übungen!$B$4:$B$17,MATCH($D436,Übungen!$A$4:$A$17,0))),"")</f>
        <v/>
      </c>
      <c r="D436" s="19"/>
      <c r="E436" s="17"/>
      <c r="F436" s="20"/>
      <c r="G436" s="21"/>
      <c r="H436" s="20"/>
      <c r="I436" s="22" t="str">
        <f aca="false">IF(AND(ISNUMBER($F436),ISNUMBER($G436),$E436&lt;&gt;"R"),$F436*$G436,"")</f>
        <v/>
      </c>
      <c r="J436" s="29" t="str">
        <f aca="false">IF(AND($E436="A",ISNUMBER($F436),ISNUMBER($G436)),$F436*(1+$G436/30),"")</f>
        <v/>
      </c>
      <c r="K436" s="19"/>
      <c r="L436" s="19"/>
    </row>
    <row r="437" customFormat="false" ht="15.75" hidden="false" customHeight="true" outlineLevel="0" collapsed="false">
      <c r="A437" s="26" t="str">
        <f aca="false">IFERROR(IF($B437="","",IF(INDEX(Einheiten!$B$4:$B$27,MATCH($B437,Einheiten!$A$4:$A$27,0))=0,"",INDEX(Einheiten!$B$4:$B$27,MATCH($B437,Einheiten!$A$4:$A$27,0)))),"")</f>
        <v/>
      </c>
      <c r="B437" s="27"/>
      <c r="C437" s="28" t="str">
        <f aca="false">IFERROR(IF($D437="","",INDEX(Übungen!$B$4:$B$17,MATCH($D437,Übungen!$A$4:$A$17,0))),"")</f>
        <v/>
      </c>
      <c r="D437" s="19"/>
      <c r="E437" s="17"/>
      <c r="F437" s="20"/>
      <c r="G437" s="21"/>
      <c r="H437" s="20"/>
      <c r="I437" s="22" t="str">
        <f aca="false">IF(AND(ISNUMBER($F437),ISNUMBER($G437),$E437&lt;&gt;"R"),$F437*$G437,"")</f>
        <v/>
      </c>
      <c r="J437" s="29" t="str">
        <f aca="false">IF(AND($E437="A",ISNUMBER($F437),ISNUMBER($G437)),$F437*(1+$G437/30),"")</f>
        <v/>
      </c>
      <c r="K437" s="19"/>
      <c r="L437" s="19"/>
    </row>
    <row r="438" customFormat="false" ht="15.75" hidden="false" customHeight="true" outlineLevel="0" collapsed="false">
      <c r="A438" s="26" t="str">
        <f aca="false">IFERROR(IF($B438="","",IF(INDEX(Einheiten!$B$4:$B$27,MATCH($B438,Einheiten!$A$4:$A$27,0))=0,"",INDEX(Einheiten!$B$4:$B$27,MATCH($B438,Einheiten!$A$4:$A$27,0)))),"")</f>
        <v/>
      </c>
      <c r="B438" s="27"/>
      <c r="C438" s="28" t="str">
        <f aca="false">IFERROR(IF($D438="","",INDEX(Übungen!$B$4:$B$17,MATCH($D438,Übungen!$A$4:$A$17,0))),"")</f>
        <v/>
      </c>
      <c r="D438" s="19"/>
      <c r="E438" s="17"/>
      <c r="F438" s="20"/>
      <c r="G438" s="21"/>
      <c r="H438" s="20"/>
      <c r="I438" s="22" t="str">
        <f aca="false">IF(AND(ISNUMBER($F438),ISNUMBER($G438),$E438&lt;&gt;"R"),$F438*$G438,"")</f>
        <v/>
      </c>
      <c r="J438" s="29" t="str">
        <f aca="false">IF(AND($E438="A",ISNUMBER($F438),ISNUMBER($G438)),$F438*(1+$G438/30),"")</f>
        <v/>
      </c>
      <c r="K438" s="19"/>
      <c r="L438" s="19"/>
    </row>
    <row r="439" customFormat="false" ht="15.75" hidden="false" customHeight="true" outlineLevel="0" collapsed="false">
      <c r="A439" s="26" t="str">
        <f aca="false">IFERROR(IF($B439="","",IF(INDEX(Einheiten!$B$4:$B$27,MATCH($B439,Einheiten!$A$4:$A$27,0))=0,"",INDEX(Einheiten!$B$4:$B$27,MATCH($B439,Einheiten!$A$4:$A$27,0)))),"")</f>
        <v/>
      </c>
      <c r="B439" s="27"/>
      <c r="C439" s="28" t="str">
        <f aca="false">IFERROR(IF($D439="","",INDEX(Übungen!$B$4:$B$17,MATCH($D439,Übungen!$A$4:$A$17,0))),"")</f>
        <v/>
      </c>
      <c r="D439" s="19"/>
      <c r="E439" s="17"/>
      <c r="F439" s="20"/>
      <c r="G439" s="21"/>
      <c r="H439" s="20"/>
      <c r="I439" s="22" t="str">
        <f aca="false">IF(AND(ISNUMBER($F439),ISNUMBER($G439),$E439&lt;&gt;"R"),$F439*$G439,"")</f>
        <v/>
      </c>
      <c r="J439" s="29" t="str">
        <f aca="false">IF(AND($E439="A",ISNUMBER($F439),ISNUMBER($G439)),$F439*(1+$G439/30),"")</f>
        <v/>
      </c>
      <c r="K439" s="19"/>
      <c r="L439" s="19"/>
    </row>
    <row r="440" customFormat="false" ht="15.75" hidden="false" customHeight="true" outlineLevel="0" collapsed="false">
      <c r="A440" s="26" t="str">
        <f aca="false">IFERROR(IF($B440="","",IF(INDEX(Einheiten!$B$4:$B$27,MATCH($B440,Einheiten!$A$4:$A$27,0))=0,"",INDEX(Einheiten!$B$4:$B$27,MATCH($B440,Einheiten!$A$4:$A$27,0)))),"")</f>
        <v/>
      </c>
      <c r="B440" s="27"/>
      <c r="C440" s="28" t="str">
        <f aca="false">IFERROR(IF($D440="","",INDEX(Übungen!$B$4:$B$17,MATCH($D440,Übungen!$A$4:$A$17,0))),"")</f>
        <v/>
      </c>
      <c r="D440" s="19"/>
      <c r="E440" s="17"/>
      <c r="F440" s="20"/>
      <c r="G440" s="21"/>
      <c r="H440" s="20"/>
      <c r="I440" s="22" t="str">
        <f aca="false">IF(AND(ISNUMBER($F440),ISNUMBER($G440),$E440&lt;&gt;"R"),$F440*$G440,"")</f>
        <v/>
      </c>
      <c r="J440" s="29" t="str">
        <f aca="false">IF(AND($E440="A",ISNUMBER($F440),ISNUMBER($G440)),$F440*(1+$G440/30),"")</f>
        <v/>
      </c>
      <c r="K440" s="19"/>
      <c r="L440" s="19"/>
    </row>
    <row r="441" customFormat="false" ht="15.75" hidden="false" customHeight="true" outlineLevel="0" collapsed="false">
      <c r="A441" s="26" t="str">
        <f aca="false">IFERROR(IF($B441="","",IF(INDEX(Einheiten!$B$4:$B$27,MATCH($B441,Einheiten!$A$4:$A$27,0))=0,"",INDEX(Einheiten!$B$4:$B$27,MATCH($B441,Einheiten!$A$4:$A$27,0)))),"")</f>
        <v/>
      </c>
      <c r="B441" s="27"/>
      <c r="C441" s="28" t="str">
        <f aca="false">IFERROR(IF($D441="","",INDEX(Übungen!$B$4:$B$17,MATCH($D441,Übungen!$A$4:$A$17,0))),"")</f>
        <v/>
      </c>
      <c r="D441" s="19"/>
      <c r="E441" s="17"/>
      <c r="F441" s="20"/>
      <c r="G441" s="21"/>
      <c r="H441" s="20"/>
      <c r="I441" s="22" t="str">
        <f aca="false">IF(AND(ISNUMBER($F441),ISNUMBER($G441),$E441&lt;&gt;"R"),$F441*$G441,"")</f>
        <v/>
      </c>
      <c r="J441" s="29" t="str">
        <f aca="false">IF(AND($E441="A",ISNUMBER($F441),ISNUMBER($G441)),$F441*(1+$G441/30),"")</f>
        <v/>
      </c>
      <c r="K441" s="19"/>
      <c r="L441" s="19"/>
    </row>
    <row r="442" customFormat="false" ht="15.75" hidden="false" customHeight="true" outlineLevel="0" collapsed="false">
      <c r="A442" s="26" t="str">
        <f aca="false">IFERROR(IF($B442="","",IF(INDEX(Einheiten!$B$4:$B$27,MATCH($B442,Einheiten!$A$4:$A$27,0))=0,"",INDEX(Einheiten!$B$4:$B$27,MATCH($B442,Einheiten!$A$4:$A$27,0)))),"")</f>
        <v/>
      </c>
      <c r="B442" s="27"/>
      <c r="C442" s="28" t="str">
        <f aca="false">IFERROR(IF($D442="","",INDEX(Übungen!$B$4:$B$17,MATCH($D442,Übungen!$A$4:$A$17,0))),"")</f>
        <v/>
      </c>
      <c r="D442" s="19"/>
      <c r="E442" s="17"/>
      <c r="F442" s="20"/>
      <c r="G442" s="21"/>
      <c r="H442" s="20"/>
      <c r="I442" s="22" t="str">
        <f aca="false">IF(AND(ISNUMBER($F442),ISNUMBER($G442),$E442&lt;&gt;"R"),$F442*$G442,"")</f>
        <v/>
      </c>
      <c r="J442" s="29" t="str">
        <f aca="false">IF(AND($E442="A",ISNUMBER($F442),ISNUMBER($G442)),$F442*(1+$G442/30),"")</f>
        <v/>
      </c>
      <c r="K442" s="19"/>
      <c r="L442" s="19"/>
    </row>
    <row r="443" customFormat="false" ht="15.75" hidden="false" customHeight="true" outlineLevel="0" collapsed="false">
      <c r="A443" s="26" t="str">
        <f aca="false">IFERROR(IF($B443="","",IF(INDEX(Einheiten!$B$4:$B$27,MATCH($B443,Einheiten!$A$4:$A$27,0))=0,"",INDEX(Einheiten!$B$4:$B$27,MATCH($B443,Einheiten!$A$4:$A$27,0)))),"")</f>
        <v/>
      </c>
      <c r="B443" s="27"/>
      <c r="C443" s="28" t="str">
        <f aca="false">IFERROR(IF($D443="","",INDEX(Übungen!$B$4:$B$17,MATCH($D443,Übungen!$A$4:$A$17,0))),"")</f>
        <v/>
      </c>
      <c r="D443" s="19"/>
      <c r="E443" s="17"/>
      <c r="F443" s="20"/>
      <c r="G443" s="21"/>
      <c r="H443" s="20"/>
      <c r="I443" s="22" t="str">
        <f aca="false">IF(AND(ISNUMBER($F443),ISNUMBER($G443),$E443&lt;&gt;"R"),$F443*$G443,"")</f>
        <v/>
      </c>
      <c r="J443" s="29" t="str">
        <f aca="false">IF(AND($E443="A",ISNUMBER($F443),ISNUMBER($G443)),$F443*(1+$G443/30),"")</f>
        <v/>
      </c>
      <c r="K443" s="19"/>
      <c r="L443" s="19"/>
    </row>
    <row r="444" customFormat="false" ht="15.75" hidden="false" customHeight="true" outlineLevel="0" collapsed="false">
      <c r="A444" s="26" t="str">
        <f aca="false">IFERROR(IF($B444="","",IF(INDEX(Einheiten!$B$4:$B$27,MATCH($B444,Einheiten!$A$4:$A$27,0))=0,"",INDEX(Einheiten!$B$4:$B$27,MATCH($B444,Einheiten!$A$4:$A$27,0)))),"")</f>
        <v/>
      </c>
      <c r="B444" s="27"/>
      <c r="C444" s="28" t="str">
        <f aca="false">IFERROR(IF($D444="","",INDEX(Übungen!$B$4:$B$17,MATCH($D444,Übungen!$A$4:$A$17,0))),"")</f>
        <v/>
      </c>
      <c r="D444" s="19"/>
      <c r="E444" s="17"/>
      <c r="F444" s="20"/>
      <c r="G444" s="21"/>
      <c r="H444" s="20"/>
      <c r="I444" s="22" t="str">
        <f aca="false">IF(AND(ISNUMBER($F444),ISNUMBER($G444),$E444&lt;&gt;"R"),$F444*$G444,"")</f>
        <v/>
      </c>
      <c r="J444" s="29" t="str">
        <f aca="false">IF(AND($E444="A",ISNUMBER($F444),ISNUMBER($G444)),$F444*(1+$G444/30),"")</f>
        <v/>
      </c>
      <c r="K444" s="19"/>
      <c r="L444" s="19"/>
    </row>
    <row r="445" customFormat="false" ht="15.75" hidden="false" customHeight="true" outlineLevel="0" collapsed="false">
      <c r="A445" s="26" t="str">
        <f aca="false">IFERROR(IF($B445="","",IF(INDEX(Einheiten!$B$4:$B$27,MATCH($B445,Einheiten!$A$4:$A$27,0))=0,"",INDEX(Einheiten!$B$4:$B$27,MATCH($B445,Einheiten!$A$4:$A$27,0)))),"")</f>
        <v/>
      </c>
      <c r="B445" s="27"/>
      <c r="C445" s="28" t="str">
        <f aca="false">IFERROR(IF($D445="","",INDEX(Übungen!$B$4:$B$17,MATCH($D445,Übungen!$A$4:$A$17,0))),"")</f>
        <v/>
      </c>
      <c r="D445" s="19"/>
      <c r="E445" s="17"/>
      <c r="F445" s="20"/>
      <c r="G445" s="21"/>
      <c r="H445" s="20"/>
      <c r="I445" s="22" t="str">
        <f aca="false">IF(AND(ISNUMBER($F445),ISNUMBER($G445),$E445&lt;&gt;"R"),$F445*$G445,"")</f>
        <v/>
      </c>
      <c r="J445" s="29" t="str">
        <f aca="false">IF(AND($E445="A",ISNUMBER($F445),ISNUMBER($G445)),$F445*(1+$G445/30),"")</f>
        <v/>
      </c>
      <c r="K445" s="19"/>
      <c r="L445" s="19"/>
    </row>
    <row r="446" customFormat="false" ht="15.75" hidden="false" customHeight="true" outlineLevel="0" collapsed="false">
      <c r="A446" s="26" t="str">
        <f aca="false">IFERROR(IF($B446="","",IF(INDEX(Einheiten!$B$4:$B$27,MATCH($B446,Einheiten!$A$4:$A$27,0))=0,"",INDEX(Einheiten!$B$4:$B$27,MATCH($B446,Einheiten!$A$4:$A$27,0)))),"")</f>
        <v/>
      </c>
      <c r="B446" s="27"/>
      <c r="C446" s="28" t="str">
        <f aca="false">IFERROR(IF($D446="","",INDEX(Übungen!$B$4:$B$17,MATCH($D446,Übungen!$A$4:$A$17,0))),"")</f>
        <v/>
      </c>
      <c r="D446" s="19"/>
      <c r="E446" s="17"/>
      <c r="F446" s="20"/>
      <c r="G446" s="21"/>
      <c r="H446" s="20"/>
      <c r="I446" s="22" t="str">
        <f aca="false">IF(AND(ISNUMBER($F446),ISNUMBER($G446),$E446&lt;&gt;"R"),$F446*$G446,"")</f>
        <v/>
      </c>
      <c r="J446" s="29" t="str">
        <f aca="false">IF(AND($E446="A",ISNUMBER($F446),ISNUMBER($G446)),$F446*(1+$G446/30),"")</f>
        <v/>
      </c>
      <c r="K446" s="19"/>
      <c r="L446" s="19"/>
    </row>
    <row r="447" customFormat="false" ht="15.75" hidden="false" customHeight="true" outlineLevel="0" collapsed="false">
      <c r="A447" s="26" t="str">
        <f aca="false">IFERROR(IF($B447="","",IF(INDEX(Einheiten!$B$4:$B$27,MATCH($B447,Einheiten!$A$4:$A$27,0))=0,"",INDEX(Einheiten!$B$4:$B$27,MATCH($B447,Einheiten!$A$4:$A$27,0)))),"")</f>
        <v/>
      </c>
      <c r="B447" s="27"/>
      <c r="C447" s="28" t="str">
        <f aca="false">IFERROR(IF($D447="","",INDEX(Übungen!$B$4:$B$17,MATCH($D447,Übungen!$A$4:$A$17,0))),"")</f>
        <v/>
      </c>
      <c r="D447" s="19"/>
      <c r="E447" s="17"/>
      <c r="F447" s="20"/>
      <c r="G447" s="21"/>
      <c r="H447" s="20"/>
      <c r="I447" s="22" t="str">
        <f aca="false">IF(AND(ISNUMBER($F447),ISNUMBER($G447),$E447&lt;&gt;"R"),$F447*$G447,"")</f>
        <v/>
      </c>
      <c r="J447" s="29" t="str">
        <f aca="false">IF(AND($E447="A",ISNUMBER($F447),ISNUMBER($G447)),$F447*(1+$G447/30),"")</f>
        <v/>
      </c>
      <c r="K447" s="19"/>
      <c r="L447" s="19"/>
    </row>
    <row r="448" customFormat="false" ht="15.75" hidden="false" customHeight="true" outlineLevel="0" collapsed="false">
      <c r="A448" s="26" t="str">
        <f aca="false">IFERROR(IF($B448="","",IF(INDEX(Einheiten!$B$4:$B$27,MATCH($B448,Einheiten!$A$4:$A$27,0))=0,"",INDEX(Einheiten!$B$4:$B$27,MATCH($B448,Einheiten!$A$4:$A$27,0)))),"")</f>
        <v/>
      </c>
      <c r="B448" s="27"/>
      <c r="C448" s="28" t="str">
        <f aca="false">IFERROR(IF($D448="","",INDEX(Übungen!$B$4:$B$17,MATCH($D448,Übungen!$A$4:$A$17,0))),"")</f>
        <v/>
      </c>
      <c r="D448" s="19"/>
      <c r="E448" s="17"/>
      <c r="F448" s="20"/>
      <c r="G448" s="21"/>
      <c r="H448" s="20"/>
      <c r="I448" s="22" t="str">
        <f aca="false">IF(AND(ISNUMBER($F448),ISNUMBER($G448),$E448&lt;&gt;"R"),$F448*$G448,"")</f>
        <v/>
      </c>
      <c r="J448" s="29" t="str">
        <f aca="false">IF(AND($E448="A",ISNUMBER($F448),ISNUMBER($G448)),$F448*(1+$G448/30),"")</f>
        <v/>
      </c>
      <c r="K448" s="19"/>
      <c r="L448" s="19"/>
    </row>
    <row r="449" customFormat="false" ht="15.75" hidden="false" customHeight="true" outlineLevel="0" collapsed="false">
      <c r="A449" s="26" t="str">
        <f aca="false">IFERROR(IF($B449="","",IF(INDEX(Einheiten!$B$4:$B$27,MATCH($B449,Einheiten!$A$4:$A$27,0))=0,"",INDEX(Einheiten!$B$4:$B$27,MATCH($B449,Einheiten!$A$4:$A$27,0)))),"")</f>
        <v/>
      </c>
      <c r="B449" s="27"/>
      <c r="C449" s="28" t="str">
        <f aca="false">IFERROR(IF($D449="","",INDEX(Übungen!$B$4:$B$17,MATCH($D449,Übungen!$A$4:$A$17,0))),"")</f>
        <v/>
      </c>
      <c r="D449" s="19"/>
      <c r="E449" s="17"/>
      <c r="F449" s="20"/>
      <c r="G449" s="21"/>
      <c r="H449" s="20"/>
      <c r="I449" s="22" t="str">
        <f aca="false">IF(AND(ISNUMBER($F449),ISNUMBER($G449),$E449&lt;&gt;"R"),$F449*$G449,"")</f>
        <v/>
      </c>
      <c r="J449" s="29" t="str">
        <f aca="false">IF(AND($E449="A",ISNUMBER($F449),ISNUMBER($G449)),$F449*(1+$G449/30),"")</f>
        <v/>
      </c>
      <c r="K449" s="19"/>
      <c r="L449" s="19"/>
    </row>
    <row r="450" customFormat="false" ht="15.75" hidden="false" customHeight="true" outlineLevel="0" collapsed="false">
      <c r="A450" s="26" t="str">
        <f aca="false">IFERROR(IF($B450="","",IF(INDEX(Einheiten!$B$4:$B$27,MATCH($B450,Einheiten!$A$4:$A$27,0))=0,"",INDEX(Einheiten!$B$4:$B$27,MATCH($B450,Einheiten!$A$4:$A$27,0)))),"")</f>
        <v/>
      </c>
      <c r="B450" s="27"/>
      <c r="C450" s="28" t="str">
        <f aca="false">IFERROR(IF($D450="","",INDEX(Übungen!$B$4:$B$17,MATCH($D450,Übungen!$A$4:$A$17,0))),"")</f>
        <v/>
      </c>
      <c r="D450" s="19"/>
      <c r="E450" s="17"/>
      <c r="F450" s="20"/>
      <c r="G450" s="21"/>
      <c r="H450" s="20"/>
      <c r="I450" s="22" t="str">
        <f aca="false">IF(AND(ISNUMBER($F450),ISNUMBER($G450),$E450&lt;&gt;"R"),$F450*$G450,"")</f>
        <v/>
      </c>
      <c r="J450" s="29" t="str">
        <f aca="false">IF(AND($E450="A",ISNUMBER($F450),ISNUMBER($G450)),$F450*(1+$G450/30),"")</f>
        <v/>
      </c>
      <c r="K450" s="19"/>
      <c r="L450" s="19"/>
    </row>
    <row r="451" customFormat="false" ht="15.75" hidden="false" customHeight="true" outlineLevel="0" collapsed="false">
      <c r="A451" s="26" t="str">
        <f aca="false">IFERROR(IF($B451="","",IF(INDEX(Einheiten!$B$4:$B$27,MATCH($B451,Einheiten!$A$4:$A$27,0))=0,"",INDEX(Einheiten!$B$4:$B$27,MATCH($B451,Einheiten!$A$4:$A$27,0)))),"")</f>
        <v/>
      </c>
      <c r="B451" s="27"/>
      <c r="C451" s="28" t="str">
        <f aca="false">IFERROR(IF($D451="","",INDEX(Übungen!$B$4:$B$17,MATCH($D451,Übungen!$A$4:$A$17,0))),"")</f>
        <v/>
      </c>
      <c r="D451" s="19"/>
      <c r="E451" s="17"/>
      <c r="F451" s="20"/>
      <c r="G451" s="21"/>
      <c r="H451" s="20"/>
      <c r="I451" s="22" t="str">
        <f aca="false">IF(AND(ISNUMBER($F451),ISNUMBER($G451),$E451&lt;&gt;"R"),$F451*$G451,"")</f>
        <v/>
      </c>
      <c r="J451" s="29" t="str">
        <f aca="false">IF(AND($E451="A",ISNUMBER($F451),ISNUMBER($G451)),$F451*(1+$G451/30),"")</f>
        <v/>
      </c>
      <c r="K451" s="19"/>
      <c r="L451" s="19"/>
    </row>
    <row r="452" customFormat="false" ht="15.75" hidden="false" customHeight="true" outlineLevel="0" collapsed="false">
      <c r="A452" s="26" t="str">
        <f aca="false">IFERROR(IF($B452="","",IF(INDEX(Einheiten!$B$4:$B$27,MATCH($B452,Einheiten!$A$4:$A$27,0))=0,"",INDEX(Einheiten!$B$4:$B$27,MATCH($B452,Einheiten!$A$4:$A$27,0)))),"")</f>
        <v/>
      </c>
      <c r="B452" s="27"/>
      <c r="C452" s="28" t="str">
        <f aca="false">IFERROR(IF($D452="","",INDEX(Übungen!$B$4:$B$17,MATCH($D452,Übungen!$A$4:$A$17,0))),"")</f>
        <v/>
      </c>
      <c r="D452" s="19"/>
      <c r="E452" s="17"/>
      <c r="F452" s="20"/>
      <c r="G452" s="21"/>
      <c r="H452" s="20"/>
      <c r="I452" s="22" t="str">
        <f aca="false">IF(AND(ISNUMBER($F452),ISNUMBER($G452),$E452&lt;&gt;"R"),$F452*$G452,"")</f>
        <v/>
      </c>
      <c r="J452" s="29" t="str">
        <f aca="false">IF(AND($E452="A",ISNUMBER($F452),ISNUMBER($G452)),$F452*(1+$G452/30),"")</f>
        <v/>
      </c>
      <c r="K452" s="19"/>
      <c r="L452" s="19"/>
    </row>
    <row r="453" customFormat="false" ht="15.75" hidden="false" customHeight="true" outlineLevel="0" collapsed="false">
      <c r="A453" s="26" t="str">
        <f aca="false">IFERROR(IF($B453="","",IF(INDEX(Einheiten!$B$4:$B$27,MATCH($B453,Einheiten!$A$4:$A$27,0))=0,"",INDEX(Einheiten!$B$4:$B$27,MATCH($B453,Einheiten!$A$4:$A$27,0)))),"")</f>
        <v/>
      </c>
      <c r="B453" s="27"/>
      <c r="C453" s="28" t="str">
        <f aca="false">IFERROR(IF($D453="","",INDEX(Übungen!$B$4:$B$17,MATCH($D453,Übungen!$A$4:$A$17,0))),"")</f>
        <v/>
      </c>
      <c r="D453" s="19"/>
      <c r="E453" s="17"/>
      <c r="F453" s="20"/>
      <c r="G453" s="21"/>
      <c r="H453" s="20"/>
      <c r="I453" s="22" t="str">
        <f aca="false">IF(AND(ISNUMBER($F453),ISNUMBER($G453),$E453&lt;&gt;"R"),$F453*$G453,"")</f>
        <v/>
      </c>
      <c r="J453" s="29" t="str">
        <f aca="false">IF(AND($E453="A",ISNUMBER($F453),ISNUMBER($G453)),$F453*(1+$G453/30),"")</f>
        <v/>
      </c>
      <c r="K453" s="19"/>
      <c r="L453" s="19"/>
    </row>
    <row r="454" customFormat="false" ht="15.75" hidden="false" customHeight="true" outlineLevel="0" collapsed="false">
      <c r="A454" s="26" t="str">
        <f aca="false">IFERROR(IF($B454="","",IF(INDEX(Einheiten!$B$4:$B$27,MATCH($B454,Einheiten!$A$4:$A$27,0))=0,"",INDEX(Einheiten!$B$4:$B$27,MATCH($B454,Einheiten!$A$4:$A$27,0)))),"")</f>
        <v/>
      </c>
      <c r="B454" s="27"/>
      <c r="C454" s="28" t="str">
        <f aca="false">IFERROR(IF($D454="","",INDEX(Übungen!$B$4:$B$17,MATCH($D454,Übungen!$A$4:$A$17,0))),"")</f>
        <v/>
      </c>
      <c r="D454" s="19"/>
      <c r="E454" s="17"/>
      <c r="F454" s="20"/>
      <c r="G454" s="21"/>
      <c r="H454" s="20"/>
      <c r="I454" s="22" t="str">
        <f aca="false">IF(AND(ISNUMBER($F454),ISNUMBER($G454),$E454&lt;&gt;"R"),$F454*$G454,"")</f>
        <v/>
      </c>
      <c r="J454" s="29" t="str">
        <f aca="false">IF(AND($E454="A",ISNUMBER($F454),ISNUMBER($G454)),$F454*(1+$G454/30),"")</f>
        <v/>
      </c>
      <c r="K454" s="19"/>
      <c r="L454" s="19"/>
    </row>
    <row r="455" customFormat="false" ht="15.75" hidden="false" customHeight="true" outlineLevel="0" collapsed="false">
      <c r="A455" s="26" t="str">
        <f aca="false">IFERROR(IF($B455="","",IF(INDEX(Einheiten!$B$4:$B$27,MATCH($B455,Einheiten!$A$4:$A$27,0))=0,"",INDEX(Einheiten!$B$4:$B$27,MATCH($B455,Einheiten!$A$4:$A$27,0)))),"")</f>
        <v/>
      </c>
      <c r="B455" s="27"/>
      <c r="C455" s="28" t="str">
        <f aca="false">IFERROR(IF($D455="","",INDEX(Übungen!$B$4:$B$17,MATCH($D455,Übungen!$A$4:$A$17,0))),"")</f>
        <v/>
      </c>
      <c r="D455" s="19"/>
      <c r="E455" s="17"/>
      <c r="F455" s="20"/>
      <c r="G455" s="21"/>
      <c r="H455" s="20"/>
      <c r="I455" s="22" t="str">
        <f aca="false">IF(AND(ISNUMBER($F455),ISNUMBER($G455),$E455&lt;&gt;"R"),$F455*$G455,"")</f>
        <v/>
      </c>
      <c r="J455" s="29" t="str">
        <f aca="false">IF(AND($E455="A",ISNUMBER($F455),ISNUMBER($G455)),$F455*(1+$G455/30),"")</f>
        <v/>
      </c>
      <c r="K455" s="19"/>
      <c r="L455" s="19"/>
    </row>
    <row r="456" customFormat="false" ht="15.75" hidden="false" customHeight="true" outlineLevel="0" collapsed="false">
      <c r="A456" s="26" t="str">
        <f aca="false">IFERROR(IF($B456="","",IF(INDEX(Einheiten!$B$4:$B$27,MATCH($B456,Einheiten!$A$4:$A$27,0))=0,"",INDEX(Einheiten!$B$4:$B$27,MATCH($B456,Einheiten!$A$4:$A$27,0)))),"")</f>
        <v/>
      </c>
      <c r="B456" s="27"/>
      <c r="C456" s="28" t="str">
        <f aca="false">IFERROR(IF($D456="","",INDEX(Übungen!$B$4:$B$17,MATCH($D456,Übungen!$A$4:$A$17,0))),"")</f>
        <v/>
      </c>
      <c r="D456" s="19"/>
      <c r="E456" s="17"/>
      <c r="F456" s="20"/>
      <c r="G456" s="21"/>
      <c r="H456" s="20"/>
      <c r="I456" s="22" t="str">
        <f aca="false">IF(AND(ISNUMBER($F456),ISNUMBER($G456),$E456&lt;&gt;"R"),$F456*$G456,"")</f>
        <v/>
      </c>
      <c r="J456" s="29" t="str">
        <f aca="false">IF(AND($E456="A",ISNUMBER($F456),ISNUMBER($G456)),$F456*(1+$G456/30),"")</f>
        <v/>
      </c>
      <c r="K456" s="19"/>
      <c r="L456" s="19"/>
    </row>
    <row r="457" customFormat="false" ht="15.75" hidden="false" customHeight="true" outlineLevel="0" collapsed="false">
      <c r="A457" s="26" t="str">
        <f aca="false">IFERROR(IF($B457="","",IF(INDEX(Einheiten!$B$4:$B$27,MATCH($B457,Einheiten!$A$4:$A$27,0))=0,"",INDEX(Einheiten!$B$4:$B$27,MATCH($B457,Einheiten!$A$4:$A$27,0)))),"")</f>
        <v/>
      </c>
      <c r="B457" s="27"/>
      <c r="C457" s="28" t="str">
        <f aca="false">IFERROR(IF($D457="","",INDEX(Übungen!$B$4:$B$17,MATCH($D457,Übungen!$A$4:$A$17,0))),"")</f>
        <v/>
      </c>
      <c r="D457" s="19"/>
      <c r="E457" s="17"/>
      <c r="F457" s="20"/>
      <c r="G457" s="21"/>
      <c r="H457" s="20"/>
      <c r="I457" s="22" t="str">
        <f aca="false">IF(AND(ISNUMBER($F457),ISNUMBER($G457),$E457&lt;&gt;"R"),$F457*$G457,"")</f>
        <v/>
      </c>
      <c r="J457" s="29" t="str">
        <f aca="false">IF(AND($E457="A",ISNUMBER($F457),ISNUMBER($G457)),$F457*(1+$G457/30),"")</f>
        <v/>
      </c>
      <c r="K457" s="19"/>
      <c r="L457" s="19"/>
    </row>
    <row r="458" customFormat="false" ht="15.75" hidden="false" customHeight="true" outlineLevel="0" collapsed="false">
      <c r="A458" s="26" t="str">
        <f aca="false">IFERROR(IF($B458="","",IF(INDEX(Einheiten!$B$4:$B$27,MATCH($B458,Einheiten!$A$4:$A$27,0))=0,"",INDEX(Einheiten!$B$4:$B$27,MATCH($B458,Einheiten!$A$4:$A$27,0)))),"")</f>
        <v/>
      </c>
      <c r="B458" s="27"/>
      <c r="C458" s="28" t="str">
        <f aca="false">IFERROR(IF($D458="","",INDEX(Übungen!$B$4:$B$17,MATCH($D458,Übungen!$A$4:$A$17,0))),"")</f>
        <v/>
      </c>
      <c r="D458" s="19"/>
      <c r="E458" s="17"/>
      <c r="F458" s="20"/>
      <c r="G458" s="21"/>
      <c r="H458" s="20"/>
      <c r="I458" s="22" t="str">
        <f aca="false">IF(AND(ISNUMBER($F458),ISNUMBER($G458),$E458&lt;&gt;"R"),$F458*$G458,"")</f>
        <v/>
      </c>
      <c r="J458" s="29" t="str">
        <f aca="false">IF(AND($E458="A",ISNUMBER($F458),ISNUMBER($G458)),$F458*(1+$G458/30),"")</f>
        <v/>
      </c>
      <c r="K458" s="19"/>
      <c r="L458" s="19"/>
    </row>
    <row r="459" customFormat="false" ht="15.75" hidden="false" customHeight="true" outlineLevel="0" collapsed="false">
      <c r="A459" s="26" t="str">
        <f aca="false">IFERROR(IF($B459="","",IF(INDEX(Einheiten!$B$4:$B$27,MATCH($B459,Einheiten!$A$4:$A$27,0))=0,"",INDEX(Einheiten!$B$4:$B$27,MATCH($B459,Einheiten!$A$4:$A$27,0)))),"")</f>
        <v/>
      </c>
      <c r="B459" s="27"/>
      <c r="C459" s="28" t="str">
        <f aca="false">IFERROR(IF($D459="","",INDEX(Übungen!$B$4:$B$17,MATCH($D459,Übungen!$A$4:$A$17,0))),"")</f>
        <v/>
      </c>
      <c r="D459" s="19"/>
      <c r="E459" s="17"/>
      <c r="F459" s="20"/>
      <c r="G459" s="21"/>
      <c r="H459" s="20"/>
      <c r="I459" s="22" t="str">
        <f aca="false">IF(AND(ISNUMBER($F459),ISNUMBER($G459),$E459&lt;&gt;"R"),$F459*$G459,"")</f>
        <v/>
      </c>
      <c r="J459" s="29" t="str">
        <f aca="false">IF(AND($E459="A",ISNUMBER($F459),ISNUMBER($G459)),$F459*(1+$G459/30),"")</f>
        <v/>
      </c>
      <c r="K459" s="19"/>
      <c r="L459" s="19"/>
    </row>
    <row r="460" customFormat="false" ht="15.75" hidden="false" customHeight="true" outlineLevel="0" collapsed="false">
      <c r="A460" s="26" t="str">
        <f aca="false">IFERROR(IF($B460="","",IF(INDEX(Einheiten!$B$4:$B$27,MATCH($B460,Einheiten!$A$4:$A$27,0))=0,"",INDEX(Einheiten!$B$4:$B$27,MATCH($B460,Einheiten!$A$4:$A$27,0)))),"")</f>
        <v/>
      </c>
      <c r="B460" s="27"/>
      <c r="C460" s="28" t="str">
        <f aca="false">IFERROR(IF($D460="","",INDEX(Übungen!$B$4:$B$17,MATCH($D460,Übungen!$A$4:$A$17,0))),"")</f>
        <v/>
      </c>
      <c r="D460" s="19"/>
      <c r="E460" s="17"/>
      <c r="F460" s="20"/>
      <c r="G460" s="21"/>
      <c r="H460" s="20"/>
      <c r="I460" s="22" t="str">
        <f aca="false">IF(AND(ISNUMBER($F460),ISNUMBER($G460),$E460&lt;&gt;"R"),$F460*$G460,"")</f>
        <v/>
      </c>
      <c r="J460" s="29" t="str">
        <f aca="false">IF(AND($E460="A",ISNUMBER($F460),ISNUMBER($G460)),$F460*(1+$G460/30),"")</f>
        <v/>
      </c>
      <c r="K460" s="19"/>
      <c r="L460" s="19"/>
    </row>
    <row r="461" customFormat="false" ht="15.75" hidden="false" customHeight="true" outlineLevel="0" collapsed="false">
      <c r="A461" s="26" t="str">
        <f aca="false">IFERROR(IF($B461="","",IF(INDEX(Einheiten!$B$4:$B$27,MATCH($B461,Einheiten!$A$4:$A$27,0))=0,"",INDEX(Einheiten!$B$4:$B$27,MATCH($B461,Einheiten!$A$4:$A$27,0)))),"")</f>
        <v/>
      </c>
      <c r="B461" s="27"/>
      <c r="C461" s="28" t="str">
        <f aca="false">IFERROR(IF($D461="","",INDEX(Übungen!$B$4:$B$17,MATCH($D461,Übungen!$A$4:$A$17,0))),"")</f>
        <v/>
      </c>
      <c r="D461" s="19"/>
      <c r="E461" s="17"/>
      <c r="F461" s="20"/>
      <c r="G461" s="21"/>
      <c r="H461" s="20"/>
      <c r="I461" s="22" t="str">
        <f aca="false">IF(AND(ISNUMBER($F461),ISNUMBER($G461),$E461&lt;&gt;"R"),$F461*$G461,"")</f>
        <v/>
      </c>
      <c r="J461" s="29" t="str">
        <f aca="false">IF(AND($E461="A",ISNUMBER($F461),ISNUMBER($G461)),$F461*(1+$G461/30),"")</f>
        <v/>
      </c>
      <c r="K461" s="19"/>
      <c r="L461" s="19"/>
    </row>
    <row r="462" customFormat="false" ht="15.75" hidden="false" customHeight="true" outlineLevel="0" collapsed="false">
      <c r="A462" s="26" t="str">
        <f aca="false">IFERROR(IF($B462="","",IF(INDEX(Einheiten!$B$4:$B$27,MATCH($B462,Einheiten!$A$4:$A$27,0))=0,"",INDEX(Einheiten!$B$4:$B$27,MATCH($B462,Einheiten!$A$4:$A$27,0)))),"")</f>
        <v/>
      </c>
      <c r="B462" s="27"/>
      <c r="C462" s="28" t="str">
        <f aca="false">IFERROR(IF($D462="","",INDEX(Übungen!$B$4:$B$17,MATCH($D462,Übungen!$A$4:$A$17,0))),"")</f>
        <v/>
      </c>
      <c r="D462" s="19"/>
      <c r="E462" s="17"/>
      <c r="F462" s="20"/>
      <c r="G462" s="21"/>
      <c r="H462" s="20"/>
      <c r="I462" s="22" t="str">
        <f aca="false">IF(AND(ISNUMBER($F462),ISNUMBER($G462),$E462&lt;&gt;"R"),$F462*$G462,"")</f>
        <v/>
      </c>
      <c r="J462" s="29" t="str">
        <f aca="false">IF(AND($E462="A",ISNUMBER($F462),ISNUMBER($G462)),$F462*(1+$G462/30),"")</f>
        <v/>
      </c>
      <c r="K462" s="19"/>
      <c r="L462" s="19"/>
    </row>
    <row r="463" customFormat="false" ht="15.75" hidden="false" customHeight="true" outlineLevel="0" collapsed="false">
      <c r="A463" s="26" t="str">
        <f aca="false">IFERROR(IF($B463="","",IF(INDEX(Einheiten!$B$4:$B$27,MATCH($B463,Einheiten!$A$4:$A$27,0))=0,"",INDEX(Einheiten!$B$4:$B$27,MATCH($B463,Einheiten!$A$4:$A$27,0)))),"")</f>
        <v/>
      </c>
      <c r="B463" s="27"/>
      <c r="C463" s="28" t="str">
        <f aca="false">IFERROR(IF($D463="","",INDEX(Übungen!$B$4:$B$17,MATCH($D463,Übungen!$A$4:$A$17,0))),"")</f>
        <v/>
      </c>
      <c r="D463" s="19"/>
      <c r="E463" s="17"/>
      <c r="F463" s="20"/>
      <c r="G463" s="21"/>
      <c r="H463" s="20"/>
      <c r="I463" s="22" t="str">
        <f aca="false">IF(AND(ISNUMBER($F463),ISNUMBER($G463),$E463&lt;&gt;"R"),$F463*$G463,"")</f>
        <v/>
      </c>
      <c r="J463" s="29" t="str">
        <f aca="false">IF(AND($E463="A",ISNUMBER($F463),ISNUMBER($G463)),$F463*(1+$G463/30),"")</f>
        <v/>
      </c>
      <c r="K463" s="19"/>
      <c r="L463" s="19"/>
    </row>
    <row r="464" customFormat="false" ht="15.75" hidden="false" customHeight="true" outlineLevel="0" collapsed="false">
      <c r="A464" s="26" t="str">
        <f aca="false">IFERROR(IF($B464="","",IF(INDEX(Einheiten!$B$4:$B$27,MATCH($B464,Einheiten!$A$4:$A$27,0))=0,"",INDEX(Einheiten!$B$4:$B$27,MATCH($B464,Einheiten!$A$4:$A$27,0)))),"")</f>
        <v/>
      </c>
      <c r="B464" s="27"/>
      <c r="C464" s="28" t="str">
        <f aca="false">IFERROR(IF($D464="","",INDEX(Übungen!$B$4:$B$17,MATCH($D464,Übungen!$A$4:$A$17,0))),"")</f>
        <v/>
      </c>
      <c r="D464" s="19"/>
      <c r="E464" s="17"/>
      <c r="F464" s="20"/>
      <c r="G464" s="21"/>
      <c r="H464" s="20"/>
      <c r="I464" s="22" t="str">
        <f aca="false">IF(AND(ISNUMBER($F464),ISNUMBER($G464),$E464&lt;&gt;"R"),$F464*$G464,"")</f>
        <v/>
      </c>
      <c r="J464" s="29" t="str">
        <f aca="false">IF(AND($E464="A",ISNUMBER($F464),ISNUMBER($G464)),$F464*(1+$G464/30),"")</f>
        <v/>
      </c>
      <c r="K464" s="19"/>
      <c r="L464" s="19"/>
    </row>
    <row r="465" customFormat="false" ht="15.75" hidden="false" customHeight="true" outlineLevel="0" collapsed="false">
      <c r="A465" s="26" t="str">
        <f aca="false">IFERROR(IF($B465="","",IF(INDEX(Einheiten!$B$4:$B$27,MATCH($B465,Einheiten!$A$4:$A$27,0))=0,"",INDEX(Einheiten!$B$4:$B$27,MATCH($B465,Einheiten!$A$4:$A$27,0)))),"")</f>
        <v/>
      </c>
      <c r="B465" s="27"/>
      <c r="C465" s="28" t="str">
        <f aca="false">IFERROR(IF($D465="","",INDEX(Übungen!$B$4:$B$17,MATCH($D465,Übungen!$A$4:$A$17,0))),"")</f>
        <v/>
      </c>
      <c r="D465" s="19"/>
      <c r="E465" s="17"/>
      <c r="F465" s="20"/>
      <c r="G465" s="21"/>
      <c r="H465" s="20"/>
      <c r="I465" s="22" t="str">
        <f aca="false">IF(AND(ISNUMBER($F465),ISNUMBER($G465),$E465&lt;&gt;"R"),$F465*$G465,"")</f>
        <v/>
      </c>
      <c r="J465" s="29" t="str">
        <f aca="false">IF(AND($E465="A",ISNUMBER($F465),ISNUMBER($G465)),$F465*(1+$G465/30),"")</f>
        <v/>
      </c>
      <c r="K465" s="19"/>
      <c r="L465" s="19"/>
    </row>
    <row r="466" customFormat="false" ht="15.75" hidden="false" customHeight="true" outlineLevel="0" collapsed="false">
      <c r="A466" s="26" t="str">
        <f aca="false">IFERROR(IF($B466="","",IF(INDEX(Einheiten!$B$4:$B$27,MATCH($B466,Einheiten!$A$4:$A$27,0))=0,"",INDEX(Einheiten!$B$4:$B$27,MATCH($B466,Einheiten!$A$4:$A$27,0)))),"")</f>
        <v/>
      </c>
      <c r="B466" s="27"/>
      <c r="C466" s="28" t="str">
        <f aca="false">IFERROR(IF($D466="","",INDEX(Übungen!$B$4:$B$17,MATCH($D466,Übungen!$A$4:$A$17,0))),"")</f>
        <v/>
      </c>
      <c r="D466" s="19"/>
      <c r="E466" s="17"/>
      <c r="F466" s="20"/>
      <c r="G466" s="21"/>
      <c r="H466" s="20"/>
      <c r="I466" s="22" t="str">
        <f aca="false">IF(AND(ISNUMBER($F466),ISNUMBER($G466),$E466&lt;&gt;"R"),$F466*$G466,"")</f>
        <v/>
      </c>
      <c r="J466" s="29" t="str">
        <f aca="false">IF(AND($E466="A",ISNUMBER($F466),ISNUMBER($G466)),$F466*(1+$G466/30),"")</f>
        <v/>
      </c>
      <c r="K466" s="19"/>
      <c r="L466" s="19"/>
    </row>
    <row r="467" customFormat="false" ht="15.75" hidden="false" customHeight="true" outlineLevel="0" collapsed="false">
      <c r="A467" s="26" t="str">
        <f aca="false">IFERROR(IF($B467="","",IF(INDEX(Einheiten!$B$4:$B$27,MATCH($B467,Einheiten!$A$4:$A$27,0))=0,"",INDEX(Einheiten!$B$4:$B$27,MATCH($B467,Einheiten!$A$4:$A$27,0)))),"")</f>
        <v/>
      </c>
      <c r="B467" s="27"/>
      <c r="C467" s="28" t="str">
        <f aca="false">IFERROR(IF($D467="","",INDEX(Übungen!$B$4:$B$17,MATCH($D467,Übungen!$A$4:$A$17,0))),"")</f>
        <v/>
      </c>
      <c r="D467" s="19"/>
      <c r="E467" s="17"/>
      <c r="F467" s="20"/>
      <c r="G467" s="21"/>
      <c r="H467" s="20"/>
      <c r="I467" s="22" t="str">
        <f aca="false">IF(AND(ISNUMBER($F467),ISNUMBER($G467),$E467&lt;&gt;"R"),$F467*$G467,"")</f>
        <v/>
      </c>
      <c r="J467" s="29" t="str">
        <f aca="false">IF(AND($E467="A",ISNUMBER($F467),ISNUMBER($G467)),$F467*(1+$G467/30),"")</f>
        <v/>
      </c>
      <c r="K467" s="19"/>
      <c r="L467" s="19"/>
    </row>
    <row r="468" customFormat="false" ht="15.75" hidden="false" customHeight="true" outlineLevel="0" collapsed="false">
      <c r="A468" s="26" t="str">
        <f aca="false">IFERROR(IF($B468="","",IF(INDEX(Einheiten!$B$4:$B$27,MATCH($B468,Einheiten!$A$4:$A$27,0))=0,"",INDEX(Einheiten!$B$4:$B$27,MATCH($B468,Einheiten!$A$4:$A$27,0)))),"")</f>
        <v/>
      </c>
      <c r="B468" s="27"/>
      <c r="C468" s="28" t="str">
        <f aca="false">IFERROR(IF($D468="","",INDEX(Übungen!$B$4:$B$17,MATCH($D468,Übungen!$A$4:$A$17,0))),"")</f>
        <v/>
      </c>
      <c r="D468" s="19"/>
      <c r="E468" s="17"/>
      <c r="F468" s="20"/>
      <c r="G468" s="21"/>
      <c r="H468" s="20"/>
      <c r="I468" s="22" t="str">
        <f aca="false">IF(AND(ISNUMBER($F468),ISNUMBER($G468),$E468&lt;&gt;"R"),$F468*$G468,"")</f>
        <v/>
      </c>
      <c r="J468" s="29" t="str">
        <f aca="false">IF(AND($E468="A",ISNUMBER($F468),ISNUMBER($G468)),$F468*(1+$G468/30),"")</f>
        <v/>
      </c>
      <c r="K468" s="19"/>
      <c r="L468" s="19"/>
    </row>
    <row r="469" customFormat="false" ht="15.75" hidden="false" customHeight="true" outlineLevel="0" collapsed="false">
      <c r="A469" s="26" t="str">
        <f aca="false">IFERROR(IF($B469="","",IF(INDEX(Einheiten!$B$4:$B$27,MATCH($B469,Einheiten!$A$4:$A$27,0))=0,"",INDEX(Einheiten!$B$4:$B$27,MATCH($B469,Einheiten!$A$4:$A$27,0)))),"")</f>
        <v/>
      </c>
      <c r="B469" s="27"/>
      <c r="C469" s="28" t="str">
        <f aca="false">IFERROR(IF($D469="","",INDEX(Übungen!$B$4:$B$17,MATCH($D469,Übungen!$A$4:$A$17,0))),"")</f>
        <v/>
      </c>
      <c r="D469" s="19"/>
      <c r="E469" s="17"/>
      <c r="F469" s="20"/>
      <c r="G469" s="21"/>
      <c r="H469" s="20"/>
      <c r="I469" s="22" t="str">
        <f aca="false">IF(AND(ISNUMBER($F469),ISNUMBER($G469),$E469&lt;&gt;"R"),$F469*$G469,"")</f>
        <v/>
      </c>
      <c r="J469" s="29" t="str">
        <f aca="false">IF(AND($E469="A",ISNUMBER($F469),ISNUMBER($G469)),$F469*(1+$G469/30),"")</f>
        <v/>
      </c>
      <c r="K469" s="19"/>
      <c r="L469" s="19"/>
    </row>
    <row r="470" customFormat="false" ht="15.75" hidden="false" customHeight="true" outlineLevel="0" collapsed="false">
      <c r="A470" s="26" t="str">
        <f aca="false">IFERROR(IF($B470="","",IF(INDEX(Einheiten!$B$4:$B$27,MATCH($B470,Einheiten!$A$4:$A$27,0))=0,"",INDEX(Einheiten!$B$4:$B$27,MATCH($B470,Einheiten!$A$4:$A$27,0)))),"")</f>
        <v/>
      </c>
      <c r="B470" s="27"/>
      <c r="C470" s="28" t="str">
        <f aca="false">IFERROR(IF($D470="","",INDEX(Übungen!$B$4:$B$17,MATCH($D470,Übungen!$A$4:$A$17,0))),"")</f>
        <v/>
      </c>
      <c r="D470" s="19"/>
      <c r="E470" s="17"/>
      <c r="F470" s="20"/>
      <c r="G470" s="21"/>
      <c r="H470" s="20"/>
      <c r="I470" s="22" t="str">
        <f aca="false">IF(AND(ISNUMBER($F470),ISNUMBER($G470),$E470&lt;&gt;"R"),$F470*$G470,"")</f>
        <v/>
      </c>
      <c r="J470" s="29" t="str">
        <f aca="false">IF(AND($E470="A",ISNUMBER($F470),ISNUMBER($G470)),$F470*(1+$G470/30),"")</f>
        <v/>
      </c>
      <c r="K470" s="19"/>
      <c r="L470" s="19"/>
    </row>
    <row r="471" customFormat="false" ht="15.75" hidden="false" customHeight="true" outlineLevel="0" collapsed="false">
      <c r="A471" s="26" t="str">
        <f aca="false">IFERROR(IF($B471="","",IF(INDEX(Einheiten!$B$4:$B$27,MATCH($B471,Einheiten!$A$4:$A$27,0))=0,"",INDEX(Einheiten!$B$4:$B$27,MATCH($B471,Einheiten!$A$4:$A$27,0)))),"")</f>
        <v/>
      </c>
      <c r="B471" s="27"/>
      <c r="C471" s="28" t="str">
        <f aca="false">IFERROR(IF($D471="","",INDEX(Übungen!$B$4:$B$17,MATCH($D471,Übungen!$A$4:$A$17,0))),"")</f>
        <v/>
      </c>
      <c r="D471" s="19"/>
      <c r="E471" s="17"/>
      <c r="F471" s="20"/>
      <c r="G471" s="21"/>
      <c r="H471" s="20"/>
      <c r="I471" s="22" t="str">
        <f aca="false">IF(AND(ISNUMBER($F471),ISNUMBER($G471),$E471&lt;&gt;"R"),$F471*$G471,"")</f>
        <v/>
      </c>
      <c r="J471" s="29" t="str">
        <f aca="false">IF(AND($E471="A",ISNUMBER($F471),ISNUMBER($G471)),$F471*(1+$G471/30),"")</f>
        <v/>
      </c>
      <c r="K471" s="19"/>
      <c r="L471" s="19"/>
    </row>
    <row r="472" customFormat="false" ht="15.75" hidden="false" customHeight="true" outlineLevel="0" collapsed="false">
      <c r="A472" s="26" t="str">
        <f aca="false">IFERROR(IF($B472="","",IF(INDEX(Einheiten!$B$4:$B$27,MATCH($B472,Einheiten!$A$4:$A$27,0))=0,"",INDEX(Einheiten!$B$4:$B$27,MATCH($B472,Einheiten!$A$4:$A$27,0)))),"")</f>
        <v/>
      </c>
      <c r="B472" s="27"/>
      <c r="C472" s="28" t="str">
        <f aca="false">IFERROR(IF($D472="","",INDEX(Übungen!$B$4:$B$17,MATCH($D472,Übungen!$A$4:$A$17,0))),"")</f>
        <v/>
      </c>
      <c r="D472" s="19"/>
      <c r="E472" s="17"/>
      <c r="F472" s="20"/>
      <c r="G472" s="21"/>
      <c r="H472" s="20"/>
      <c r="I472" s="22" t="str">
        <f aca="false">IF(AND(ISNUMBER($F472),ISNUMBER($G472),$E472&lt;&gt;"R"),$F472*$G472,"")</f>
        <v/>
      </c>
      <c r="J472" s="29" t="str">
        <f aca="false">IF(AND($E472="A",ISNUMBER($F472),ISNUMBER($G472)),$F472*(1+$G472/30),"")</f>
        <v/>
      </c>
      <c r="K472" s="19"/>
      <c r="L472" s="19"/>
    </row>
    <row r="473" customFormat="false" ht="15.75" hidden="false" customHeight="true" outlineLevel="0" collapsed="false">
      <c r="A473" s="26" t="str">
        <f aca="false">IFERROR(IF($B473="","",IF(INDEX(Einheiten!$B$4:$B$27,MATCH($B473,Einheiten!$A$4:$A$27,0))=0,"",INDEX(Einheiten!$B$4:$B$27,MATCH($B473,Einheiten!$A$4:$A$27,0)))),"")</f>
        <v/>
      </c>
      <c r="B473" s="27"/>
      <c r="C473" s="28" t="str">
        <f aca="false">IFERROR(IF($D473="","",INDEX(Übungen!$B$4:$B$17,MATCH($D473,Übungen!$A$4:$A$17,0))),"")</f>
        <v/>
      </c>
      <c r="D473" s="19"/>
      <c r="E473" s="17"/>
      <c r="F473" s="20"/>
      <c r="G473" s="21"/>
      <c r="H473" s="20"/>
      <c r="I473" s="22" t="str">
        <f aca="false">IF(AND(ISNUMBER($F473),ISNUMBER($G473),$E473&lt;&gt;"R"),$F473*$G473,"")</f>
        <v/>
      </c>
      <c r="J473" s="29" t="str">
        <f aca="false">IF(AND($E473="A",ISNUMBER($F473),ISNUMBER($G473)),$F473*(1+$G473/30),"")</f>
        <v/>
      </c>
      <c r="K473" s="19"/>
      <c r="L473" s="19"/>
    </row>
    <row r="474" customFormat="false" ht="15.75" hidden="false" customHeight="true" outlineLevel="0" collapsed="false">
      <c r="A474" s="26" t="str">
        <f aca="false">IFERROR(IF($B474="","",IF(INDEX(Einheiten!$B$4:$B$27,MATCH($B474,Einheiten!$A$4:$A$27,0))=0,"",INDEX(Einheiten!$B$4:$B$27,MATCH($B474,Einheiten!$A$4:$A$27,0)))),"")</f>
        <v/>
      </c>
      <c r="B474" s="27"/>
      <c r="C474" s="28" t="str">
        <f aca="false">IFERROR(IF($D474="","",INDEX(Übungen!$B$4:$B$17,MATCH($D474,Übungen!$A$4:$A$17,0))),"")</f>
        <v/>
      </c>
      <c r="D474" s="19"/>
      <c r="E474" s="17"/>
      <c r="F474" s="20"/>
      <c r="G474" s="21"/>
      <c r="H474" s="20"/>
      <c r="I474" s="22" t="str">
        <f aca="false">IF(AND(ISNUMBER($F474),ISNUMBER($G474),$E474&lt;&gt;"R"),$F474*$G474,"")</f>
        <v/>
      </c>
      <c r="J474" s="29" t="str">
        <f aca="false">IF(AND($E474="A",ISNUMBER($F474),ISNUMBER($G474)),$F474*(1+$G474/30),"")</f>
        <v/>
      </c>
      <c r="K474" s="19"/>
      <c r="L474" s="19"/>
    </row>
    <row r="475" customFormat="false" ht="15.75" hidden="false" customHeight="true" outlineLevel="0" collapsed="false">
      <c r="A475" s="26" t="str">
        <f aca="false">IFERROR(IF($B475="","",IF(INDEX(Einheiten!$B$4:$B$27,MATCH($B475,Einheiten!$A$4:$A$27,0))=0,"",INDEX(Einheiten!$B$4:$B$27,MATCH($B475,Einheiten!$A$4:$A$27,0)))),"")</f>
        <v/>
      </c>
      <c r="B475" s="27"/>
      <c r="C475" s="28" t="str">
        <f aca="false">IFERROR(IF($D475="","",INDEX(Übungen!$B$4:$B$17,MATCH($D475,Übungen!$A$4:$A$17,0))),"")</f>
        <v/>
      </c>
      <c r="D475" s="19"/>
      <c r="E475" s="17"/>
      <c r="F475" s="20"/>
      <c r="G475" s="21"/>
      <c r="H475" s="20"/>
      <c r="I475" s="22" t="str">
        <f aca="false">IF(AND(ISNUMBER($F475),ISNUMBER($G475),$E475&lt;&gt;"R"),$F475*$G475,"")</f>
        <v/>
      </c>
      <c r="J475" s="29" t="str">
        <f aca="false">IF(AND($E475="A",ISNUMBER($F475),ISNUMBER($G475)),$F475*(1+$G475/30),"")</f>
        <v/>
      </c>
      <c r="K475" s="19"/>
      <c r="L475" s="19"/>
    </row>
    <row r="476" customFormat="false" ht="15.75" hidden="false" customHeight="true" outlineLevel="0" collapsed="false">
      <c r="A476" s="26" t="str">
        <f aca="false">IFERROR(IF($B476="","",IF(INDEX(Einheiten!$B$4:$B$27,MATCH($B476,Einheiten!$A$4:$A$27,0))=0,"",INDEX(Einheiten!$B$4:$B$27,MATCH($B476,Einheiten!$A$4:$A$27,0)))),"")</f>
        <v/>
      </c>
      <c r="B476" s="27"/>
      <c r="C476" s="28" t="str">
        <f aca="false">IFERROR(IF($D476="","",INDEX(Übungen!$B$4:$B$17,MATCH($D476,Übungen!$A$4:$A$17,0))),"")</f>
        <v/>
      </c>
      <c r="D476" s="19"/>
      <c r="E476" s="17"/>
      <c r="F476" s="20"/>
      <c r="G476" s="21"/>
      <c r="H476" s="20"/>
      <c r="I476" s="22" t="str">
        <f aca="false">IF(AND(ISNUMBER($F476),ISNUMBER($G476),$E476&lt;&gt;"R"),$F476*$G476,"")</f>
        <v/>
      </c>
      <c r="J476" s="29" t="str">
        <f aca="false">IF(AND($E476="A",ISNUMBER($F476),ISNUMBER($G476)),$F476*(1+$G476/30),"")</f>
        <v/>
      </c>
      <c r="K476" s="19"/>
      <c r="L476" s="19"/>
    </row>
    <row r="477" customFormat="false" ht="15.75" hidden="false" customHeight="true" outlineLevel="0" collapsed="false">
      <c r="A477" s="26" t="str">
        <f aca="false">IFERROR(IF($B477="","",IF(INDEX(Einheiten!$B$4:$B$27,MATCH($B477,Einheiten!$A$4:$A$27,0))=0,"",INDEX(Einheiten!$B$4:$B$27,MATCH($B477,Einheiten!$A$4:$A$27,0)))),"")</f>
        <v/>
      </c>
      <c r="B477" s="27"/>
      <c r="C477" s="28" t="str">
        <f aca="false">IFERROR(IF($D477="","",INDEX(Übungen!$B$4:$B$17,MATCH($D477,Übungen!$A$4:$A$17,0))),"")</f>
        <v/>
      </c>
      <c r="D477" s="19"/>
      <c r="E477" s="17"/>
      <c r="F477" s="20"/>
      <c r="G477" s="21"/>
      <c r="H477" s="20"/>
      <c r="I477" s="22" t="str">
        <f aca="false">IF(AND(ISNUMBER($F477),ISNUMBER($G477),$E477&lt;&gt;"R"),$F477*$G477,"")</f>
        <v/>
      </c>
      <c r="J477" s="29" t="str">
        <f aca="false">IF(AND($E477="A",ISNUMBER($F477),ISNUMBER($G477)),$F477*(1+$G477/30),"")</f>
        <v/>
      </c>
      <c r="K477" s="19"/>
      <c r="L477" s="19"/>
    </row>
    <row r="478" customFormat="false" ht="15.75" hidden="false" customHeight="true" outlineLevel="0" collapsed="false">
      <c r="A478" s="26" t="str">
        <f aca="false">IFERROR(IF($B478="","",IF(INDEX(Einheiten!$B$4:$B$27,MATCH($B478,Einheiten!$A$4:$A$27,0))=0,"",INDEX(Einheiten!$B$4:$B$27,MATCH($B478,Einheiten!$A$4:$A$27,0)))),"")</f>
        <v/>
      </c>
      <c r="B478" s="27"/>
      <c r="C478" s="28" t="str">
        <f aca="false">IFERROR(IF($D478="","",INDEX(Übungen!$B$4:$B$17,MATCH($D478,Übungen!$A$4:$A$17,0))),"")</f>
        <v/>
      </c>
      <c r="D478" s="19"/>
      <c r="E478" s="17"/>
      <c r="F478" s="20"/>
      <c r="G478" s="21"/>
      <c r="H478" s="20"/>
      <c r="I478" s="22" t="str">
        <f aca="false">IF(AND(ISNUMBER($F478),ISNUMBER($G478),$E478&lt;&gt;"R"),$F478*$G478,"")</f>
        <v/>
      </c>
      <c r="J478" s="29" t="str">
        <f aca="false">IF(AND($E478="A",ISNUMBER($F478),ISNUMBER($G478)),$F478*(1+$G478/30),"")</f>
        <v/>
      </c>
      <c r="K478" s="19"/>
      <c r="L478" s="19"/>
    </row>
    <row r="479" customFormat="false" ht="15.75" hidden="false" customHeight="true" outlineLevel="0" collapsed="false">
      <c r="A479" s="26" t="str">
        <f aca="false">IFERROR(IF($B479="","",IF(INDEX(Einheiten!$B$4:$B$27,MATCH($B479,Einheiten!$A$4:$A$27,0))=0,"",INDEX(Einheiten!$B$4:$B$27,MATCH($B479,Einheiten!$A$4:$A$27,0)))),"")</f>
        <v/>
      </c>
      <c r="B479" s="27"/>
      <c r="C479" s="28" t="str">
        <f aca="false">IFERROR(IF($D479="","",INDEX(Übungen!$B$4:$B$17,MATCH($D479,Übungen!$A$4:$A$17,0))),"")</f>
        <v/>
      </c>
      <c r="D479" s="19"/>
      <c r="E479" s="17"/>
      <c r="F479" s="20"/>
      <c r="G479" s="21"/>
      <c r="H479" s="20"/>
      <c r="I479" s="22" t="str">
        <f aca="false">IF(AND(ISNUMBER($F479),ISNUMBER($G479),$E479&lt;&gt;"R"),$F479*$G479,"")</f>
        <v/>
      </c>
      <c r="J479" s="29" t="str">
        <f aca="false">IF(AND($E479="A",ISNUMBER($F479),ISNUMBER($G479)),$F479*(1+$G479/30),"")</f>
        <v/>
      </c>
      <c r="K479" s="19"/>
      <c r="L479" s="19"/>
    </row>
    <row r="480" customFormat="false" ht="15.75" hidden="false" customHeight="true" outlineLevel="0" collapsed="false">
      <c r="A480" s="26" t="str">
        <f aca="false">IFERROR(IF($B480="","",IF(INDEX(Einheiten!$B$4:$B$27,MATCH($B480,Einheiten!$A$4:$A$27,0))=0,"",INDEX(Einheiten!$B$4:$B$27,MATCH($B480,Einheiten!$A$4:$A$27,0)))),"")</f>
        <v/>
      </c>
      <c r="B480" s="27"/>
      <c r="C480" s="28" t="str">
        <f aca="false">IFERROR(IF($D480="","",INDEX(Übungen!$B$4:$B$17,MATCH($D480,Übungen!$A$4:$A$17,0))),"")</f>
        <v/>
      </c>
      <c r="D480" s="19"/>
      <c r="E480" s="17"/>
      <c r="F480" s="20"/>
      <c r="G480" s="21"/>
      <c r="H480" s="20"/>
      <c r="I480" s="22" t="str">
        <f aca="false">IF(AND(ISNUMBER($F480),ISNUMBER($G480),$E480&lt;&gt;"R"),$F480*$G480,"")</f>
        <v/>
      </c>
      <c r="J480" s="29" t="str">
        <f aca="false">IF(AND($E480="A",ISNUMBER($F480),ISNUMBER($G480)),$F480*(1+$G480/30),"")</f>
        <v/>
      </c>
      <c r="K480" s="19"/>
      <c r="L480" s="19"/>
    </row>
    <row r="481" customFormat="false" ht="15.75" hidden="false" customHeight="true" outlineLevel="0" collapsed="false">
      <c r="A481" s="26" t="str">
        <f aca="false">IFERROR(IF($B481="","",IF(INDEX(Einheiten!$B$4:$B$27,MATCH($B481,Einheiten!$A$4:$A$27,0))=0,"",INDEX(Einheiten!$B$4:$B$27,MATCH($B481,Einheiten!$A$4:$A$27,0)))),"")</f>
        <v/>
      </c>
      <c r="B481" s="27"/>
      <c r="C481" s="28" t="str">
        <f aca="false">IFERROR(IF($D481="","",INDEX(Übungen!$B$4:$B$17,MATCH($D481,Übungen!$A$4:$A$17,0))),"")</f>
        <v/>
      </c>
      <c r="D481" s="19"/>
      <c r="E481" s="17"/>
      <c r="F481" s="20"/>
      <c r="G481" s="21"/>
      <c r="H481" s="20"/>
      <c r="I481" s="22" t="str">
        <f aca="false">IF(AND(ISNUMBER($F481),ISNUMBER($G481),$E481&lt;&gt;"R"),$F481*$G481,"")</f>
        <v/>
      </c>
      <c r="J481" s="29" t="str">
        <f aca="false">IF(AND($E481="A",ISNUMBER($F481),ISNUMBER($G481)),$F481*(1+$G481/30),"")</f>
        <v/>
      </c>
      <c r="K481" s="19"/>
      <c r="L481" s="19"/>
    </row>
    <row r="482" customFormat="false" ht="15.75" hidden="false" customHeight="true" outlineLevel="0" collapsed="false">
      <c r="A482" s="26" t="str">
        <f aca="false">IFERROR(IF($B482="","",IF(INDEX(Einheiten!$B$4:$B$27,MATCH($B482,Einheiten!$A$4:$A$27,0))=0,"",INDEX(Einheiten!$B$4:$B$27,MATCH($B482,Einheiten!$A$4:$A$27,0)))),"")</f>
        <v/>
      </c>
      <c r="B482" s="27"/>
      <c r="C482" s="28" t="str">
        <f aca="false">IFERROR(IF($D482="","",INDEX(Übungen!$B$4:$B$17,MATCH($D482,Übungen!$A$4:$A$17,0))),"")</f>
        <v/>
      </c>
      <c r="D482" s="19"/>
      <c r="E482" s="17"/>
      <c r="F482" s="20"/>
      <c r="G482" s="21"/>
      <c r="H482" s="20"/>
      <c r="I482" s="22" t="str">
        <f aca="false">IF(AND(ISNUMBER($F482),ISNUMBER($G482),$E482&lt;&gt;"R"),$F482*$G482,"")</f>
        <v/>
      </c>
      <c r="J482" s="29" t="str">
        <f aca="false">IF(AND($E482="A",ISNUMBER($F482),ISNUMBER($G482)),$F482*(1+$G482/30),"")</f>
        <v/>
      </c>
      <c r="K482" s="19"/>
      <c r="L482" s="19"/>
    </row>
    <row r="483" customFormat="false" ht="15.75" hidden="false" customHeight="true" outlineLevel="0" collapsed="false">
      <c r="A483" s="26" t="str">
        <f aca="false">IFERROR(IF($B483="","",IF(INDEX(Einheiten!$B$4:$B$27,MATCH($B483,Einheiten!$A$4:$A$27,0))=0,"",INDEX(Einheiten!$B$4:$B$27,MATCH($B483,Einheiten!$A$4:$A$27,0)))),"")</f>
        <v/>
      </c>
      <c r="B483" s="27"/>
      <c r="C483" s="28" t="str">
        <f aca="false">IFERROR(IF($D483="","",INDEX(Übungen!$B$4:$B$17,MATCH($D483,Übungen!$A$4:$A$17,0))),"")</f>
        <v/>
      </c>
      <c r="D483" s="19"/>
      <c r="E483" s="17"/>
      <c r="F483" s="20"/>
      <c r="G483" s="21"/>
      <c r="H483" s="20"/>
      <c r="I483" s="22" t="str">
        <f aca="false">IF(AND(ISNUMBER($F483),ISNUMBER($G483),$E483&lt;&gt;"R"),$F483*$G483,"")</f>
        <v/>
      </c>
      <c r="J483" s="29" t="str">
        <f aca="false">IF(AND($E483="A",ISNUMBER($F483),ISNUMBER($G483)),$F483*(1+$G483/30),"")</f>
        <v/>
      </c>
      <c r="K483" s="19"/>
      <c r="L483" s="19"/>
    </row>
    <row r="484" customFormat="false" ht="15.75" hidden="false" customHeight="true" outlineLevel="0" collapsed="false">
      <c r="A484" s="26" t="str">
        <f aca="false">IFERROR(IF($B484="","",IF(INDEX(Einheiten!$B$4:$B$27,MATCH($B484,Einheiten!$A$4:$A$27,0))=0,"",INDEX(Einheiten!$B$4:$B$27,MATCH($B484,Einheiten!$A$4:$A$27,0)))),"")</f>
        <v/>
      </c>
      <c r="B484" s="27"/>
      <c r="C484" s="28" t="str">
        <f aca="false">IFERROR(IF($D484="","",INDEX(Übungen!$B$4:$B$17,MATCH($D484,Übungen!$A$4:$A$17,0))),"")</f>
        <v/>
      </c>
      <c r="D484" s="19"/>
      <c r="E484" s="17"/>
      <c r="F484" s="20"/>
      <c r="G484" s="21"/>
      <c r="H484" s="20"/>
      <c r="I484" s="22" t="str">
        <f aca="false">IF(AND(ISNUMBER($F484),ISNUMBER($G484),$E484&lt;&gt;"R"),$F484*$G484,"")</f>
        <v/>
      </c>
      <c r="J484" s="29" t="str">
        <f aca="false">IF(AND($E484="A",ISNUMBER($F484),ISNUMBER($G484)),$F484*(1+$G484/30),"")</f>
        <v/>
      </c>
      <c r="K484" s="19"/>
      <c r="L484" s="19"/>
    </row>
    <row r="485" customFormat="false" ht="15.75" hidden="false" customHeight="true" outlineLevel="0" collapsed="false">
      <c r="A485" s="26" t="str">
        <f aca="false">IFERROR(IF($B485="","",IF(INDEX(Einheiten!$B$4:$B$27,MATCH($B485,Einheiten!$A$4:$A$27,0))=0,"",INDEX(Einheiten!$B$4:$B$27,MATCH($B485,Einheiten!$A$4:$A$27,0)))),"")</f>
        <v/>
      </c>
      <c r="B485" s="27"/>
      <c r="C485" s="28" t="str">
        <f aca="false">IFERROR(IF($D485="","",INDEX(Übungen!$B$4:$B$17,MATCH($D485,Übungen!$A$4:$A$17,0))),"")</f>
        <v/>
      </c>
      <c r="D485" s="19"/>
      <c r="E485" s="17"/>
      <c r="F485" s="20"/>
      <c r="G485" s="21"/>
      <c r="H485" s="20"/>
      <c r="I485" s="22" t="str">
        <f aca="false">IF(AND(ISNUMBER($F485),ISNUMBER($G485),$E485&lt;&gt;"R"),$F485*$G485,"")</f>
        <v/>
      </c>
      <c r="J485" s="29" t="str">
        <f aca="false">IF(AND($E485="A",ISNUMBER($F485),ISNUMBER($G485)),$F485*(1+$G485/30),"")</f>
        <v/>
      </c>
      <c r="K485" s="19"/>
      <c r="L485" s="19"/>
    </row>
    <row r="486" customFormat="false" ht="15.75" hidden="false" customHeight="true" outlineLevel="0" collapsed="false">
      <c r="A486" s="26" t="str">
        <f aca="false">IFERROR(IF($B486="","",IF(INDEX(Einheiten!$B$4:$B$27,MATCH($B486,Einheiten!$A$4:$A$27,0))=0,"",INDEX(Einheiten!$B$4:$B$27,MATCH($B486,Einheiten!$A$4:$A$27,0)))),"")</f>
        <v/>
      </c>
      <c r="B486" s="27"/>
      <c r="C486" s="28" t="str">
        <f aca="false">IFERROR(IF($D486="","",INDEX(Übungen!$B$4:$B$17,MATCH($D486,Übungen!$A$4:$A$17,0))),"")</f>
        <v/>
      </c>
      <c r="D486" s="19"/>
      <c r="E486" s="17"/>
      <c r="F486" s="20"/>
      <c r="G486" s="21"/>
      <c r="H486" s="20"/>
      <c r="I486" s="22" t="str">
        <f aca="false">IF(AND(ISNUMBER($F486),ISNUMBER($G486),$E486&lt;&gt;"R"),$F486*$G486,"")</f>
        <v/>
      </c>
      <c r="J486" s="29" t="str">
        <f aca="false">IF(AND($E486="A",ISNUMBER($F486),ISNUMBER($G486)),$F486*(1+$G486/30),"")</f>
        <v/>
      </c>
      <c r="K486" s="19"/>
      <c r="L486" s="19"/>
    </row>
    <row r="487" customFormat="false" ht="15.75" hidden="false" customHeight="true" outlineLevel="0" collapsed="false">
      <c r="A487" s="26" t="str">
        <f aca="false">IFERROR(IF($B487="","",IF(INDEX(Einheiten!$B$4:$B$27,MATCH($B487,Einheiten!$A$4:$A$27,0))=0,"",INDEX(Einheiten!$B$4:$B$27,MATCH($B487,Einheiten!$A$4:$A$27,0)))),"")</f>
        <v/>
      </c>
      <c r="B487" s="27"/>
      <c r="C487" s="28" t="str">
        <f aca="false">IFERROR(IF($D487="","",INDEX(Übungen!$B$4:$B$17,MATCH($D487,Übungen!$A$4:$A$17,0))),"")</f>
        <v/>
      </c>
      <c r="D487" s="19"/>
      <c r="E487" s="17"/>
      <c r="F487" s="20"/>
      <c r="G487" s="21"/>
      <c r="H487" s="20"/>
      <c r="I487" s="22" t="str">
        <f aca="false">IF(AND(ISNUMBER($F487),ISNUMBER($G487),$E487&lt;&gt;"R"),$F487*$G487,"")</f>
        <v/>
      </c>
      <c r="J487" s="29" t="str">
        <f aca="false">IF(AND($E487="A",ISNUMBER($F487),ISNUMBER($G487)),$F487*(1+$G487/30),"")</f>
        <v/>
      </c>
      <c r="K487" s="19"/>
      <c r="L487" s="19"/>
    </row>
    <row r="488" customFormat="false" ht="15.75" hidden="false" customHeight="true" outlineLevel="0" collapsed="false">
      <c r="A488" s="26" t="str">
        <f aca="false">IFERROR(IF($B488="","",IF(INDEX(Einheiten!$B$4:$B$27,MATCH($B488,Einheiten!$A$4:$A$27,0))=0,"",INDEX(Einheiten!$B$4:$B$27,MATCH($B488,Einheiten!$A$4:$A$27,0)))),"")</f>
        <v/>
      </c>
      <c r="B488" s="27"/>
      <c r="C488" s="28" t="str">
        <f aca="false">IFERROR(IF($D488="","",INDEX(Übungen!$B$4:$B$17,MATCH($D488,Übungen!$A$4:$A$17,0))),"")</f>
        <v/>
      </c>
      <c r="D488" s="19"/>
      <c r="E488" s="17"/>
      <c r="F488" s="20"/>
      <c r="G488" s="21"/>
      <c r="H488" s="20"/>
      <c r="I488" s="22" t="str">
        <f aca="false">IF(AND(ISNUMBER($F488),ISNUMBER($G488),$E488&lt;&gt;"R"),$F488*$G488,"")</f>
        <v/>
      </c>
      <c r="J488" s="29" t="str">
        <f aca="false">IF(AND($E488="A",ISNUMBER($F488),ISNUMBER($G488)),$F488*(1+$G488/30),"")</f>
        <v/>
      </c>
      <c r="K488" s="19"/>
      <c r="L488" s="19"/>
    </row>
    <row r="489" customFormat="false" ht="15.75" hidden="false" customHeight="true" outlineLevel="0" collapsed="false">
      <c r="A489" s="26" t="str">
        <f aca="false">IFERROR(IF($B489="","",IF(INDEX(Einheiten!$B$4:$B$27,MATCH($B489,Einheiten!$A$4:$A$27,0))=0,"",INDEX(Einheiten!$B$4:$B$27,MATCH($B489,Einheiten!$A$4:$A$27,0)))),"")</f>
        <v/>
      </c>
      <c r="B489" s="27"/>
      <c r="C489" s="28" t="str">
        <f aca="false">IFERROR(IF($D489="","",INDEX(Übungen!$B$4:$B$17,MATCH($D489,Übungen!$A$4:$A$17,0))),"")</f>
        <v/>
      </c>
      <c r="D489" s="19"/>
      <c r="E489" s="17"/>
      <c r="F489" s="20"/>
      <c r="G489" s="21"/>
      <c r="H489" s="20"/>
      <c r="I489" s="22" t="str">
        <f aca="false">IF(AND(ISNUMBER($F489),ISNUMBER($G489),$E489&lt;&gt;"R"),$F489*$G489,"")</f>
        <v/>
      </c>
      <c r="J489" s="29" t="str">
        <f aca="false">IF(AND($E489="A",ISNUMBER($F489),ISNUMBER($G489)),$F489*(1+$G489/30),"")</f>
        <v/>
      </c>
      <c r="K489" s="19"/>
      <c r="L489" s="19"/>
    </row>
    <row r="490" customFormat="false" ht="15.75" hidden="false" customHeight="true" outlineLevel="0" collapsed="false">
      <c r="A490" s="26" t="str">
        <f aca="false">IFERROR(IF($B490="","",IF(INDEX(Einheiten!$B$4:$B$27,MATCH($B490,Einheiten!$A$4:$A$27,0))=0,"",INDEX(Einheiten!$B$4:$B$27,MATCH($B490,Einheiten!$A$4:$A$27,0)))),"")</f>
        <v/>
      </c>
      <c r="B490" s="27"/>
      <c r="C490" s="28" t="str">
        <f aca="false">IFERROR(IF($D490="","",INDEX(Übungen!$B$4:$B$17,MATCH($D490,Übungen!$A$4:$A$17,0))),"")</f>
        <v/>
      </c>
      <c r="D490" s="19"/>
      <c r="E490" s="17"/>
      <c r="F490" s="20"/>
      <c r="G490" s="21"/>
      <c r="H490" s="20"/>
      <c r="I490" s="22" t="str">
        <f aca="false">IF(AND(ISNUMBER($F490),ISNUMBER($G490),$E490&lt;&gt;"R"),$F490*$G490,"")</f>
        <v/>
      </c>
      <c r="J490" s="29" t="str">
        <f aca="false">IF(AND($E490="A",ISNUMBER($F490),ISNUMBER($G490)),$F490*(1+$G490/30),"")</f>
        <v/>
      </c>
      <c r="K490" s="19"/>
      <c r="L490" s="19"/>
    </row>
    <row r="491" customFormat="false" ht="15.75" hidden="false" customHeight="true" outlineLevel="0" collapsed="false">
      <c r="A491" s="26" t="str">
        <f aca="false">IFERROR(IF($B491="","",IF(INDEX(Einheiten!$B$4:$B$27,MATCH($B491,Einheiten!$A$4:$A$27,0))=0,"",INDEX(Einheiten!$B$4:$B$27,MATCH($B491,Einheiten!$A$4:$A$27,0)))),"")</f>
        <v/>
      </c>
      <c r="B491" s="27"/>
      <c r="C491" s="28" t="str">
        <f aca="false">IFERROR(IF($D491="","",INDEX(Übungen!$B$4:$B$17,MATCH($D491,Übungen!$A$4:$A$17,0))),"")</f>
        <v/>
      </c>
      <c r="D491" s="19"/>
      <c r="E491" s="17"/>
      <c r="F491" s="20"/>
      <c r="G491" s="21"/>
      <c r="H491" s="20"/>
      <c r="I491" s="22" t="str">
        <f aca="false">IF(AND(ISNUMBER($F491),ISNUMBER($G491),$E491&lt;&gt;"R"),$F491*$G491,"")</f>
        <v/>
      </c>
      <c r="J491" s="29" t="str">
        <f aca="false">IF(AND($E491="A",ISNUMBER($F491),ISNUMBER($G491)),$F491*(1+$G491/30),"")</f>
        <v/>
      </c>
      <c r="K491" s="19"/>
      <c r="L491" s="19"/>
    </row>
    <row r="492" customFormat="false" ht="15.75" hidden="false" customHeight="true" outlineLevel="0" collapsed="false">
      <c r="A492" s="26" t="str">
        <f aca="false">IFERROR(IF($B492="","",IF(INDEX(Einheiten!$B$4:$B$27,MATCH($B492,Einheiten!$A$4:$A$27,0))=0,"",INDEX(Einheiten!$B$4:$B$27,MATCH($B492,Einheiten!$A$4:$A$27,0)))),"")</f>
        <v/>
      </c>
      <c r="B492" s="27"/>
      <c r="C492" s="28" t="str">
        <f aca="false">IFERROR(IF($D492="","",INDEX(Übungen!$B$4:$B$17,MATCH($D492,Übungen!$A$4:$A$17,0))),"")</f>
        <v/>
      </c>
      <c r="D492" s="19"/>
      <c r="E492" s="17"/>
      <c r="F492" s="20"/>
      <c r="G492" s="21"/>
      <c r="H492" s="20"/>
      <c r="I492" s="22" t="str">
        <f aca="false">IF(AND(ISNUMBER($F492),ISNUMBER($G492),$E492&lt;&gt;"R"),$F492*$G492,"")</f>
        <v/>
      </c>
      <c r="J492" s="29" t="str">
        <f aca="false">IF(AND($E492="A",ISNUMBER($F492),ISNUMBER($G492)),$F492*(1+$G492/30),"")</f>
        <v/>
      </c>
      <c r="K492" s="19"/>
      <c r="L492" s="19"/>
    </row>
    <row r="493" customFormat="false" ht="15.75" hidden="false" customHeight="true" outlineLevel="0" collapsed="false">
      <c r="A493" s="26" t="str">
        <f aca="false">IFERROR(IF($B493="","",IF(INDEX(Einheiten!$B$4:$B$27,MATCH($B493,Einheiten!$A$4:$A$27,0))=0,"",INDEX(Einheiten!$B$4:$B$27,MATCH($B493,Einheiten!$A$4:$A$27,0)))),"")</f>
        <v/>
      </c>
      <c r="B493" s="27"/>
      <c r="C493" s="28" t="str">
        <f aca="false">IFERROR(IF($D493="","",INDEX(Übungen!$B$4:$B$17,MATCH($D493,Übungen!$A$4:$A$17,0))),"")</f>
        <v/>
      </c>
      <c r="D493" s="19"/>
      <c r="E493" s="17"/>
      <c r="F493" s="20"/>
      <c r="G493" s="21"/>
      <c r="H493" s="20"/>
      <c r="I493" s="22" t="str">
        <f aca="false">IF(AND(ISNUMBER($F493),ISNUMBER($G493),$E493&lt;&gt;"R"),$F493*$G493,"")</f>
        <v/>
      </c>
      <c r="J493" s="29" t="str">
        <f aca="false">IF(AND($E493="A",ISNUMBER($F493),ISNUMBER($G493)),$F493*(1+$G493/30),"")</f>
        <v/>
      </c>
      <c r="K493" s="19"/>
      <c r="L493" s="19"/>
    </row>
    <row r="494" customFormat="false" ht="15.75" hidden="false" customHeight="true" outlineLevel="0" collapsed="false">
      <c r="A494" s="26" t="str">
        <f aca="false">IFERROR(IF($B494="","",IF(INDEX(Einheiten!$B$4:$B$27,MATCH($B494,Einheiten!$A$4:$A$27,0))=0,"",INDEX(Einheiten!$B$4:$B$27,MATCH($B494,Einheiten!$A$4:$A$27,0)))),"")</f>
        <v/>
      </c>
      <c r="B494" s="27"/>
      <c r="C494" s="28" t="str">
        <f aca="false">IFERROR(IF($D494="","",INDEX(Übungen!$B$4:$B$17,MATCH($D494,Übungen!$A$4:$A$17,0))),"")</f>
        <v/>
      </c>
      <c r="D494" s="19"/>
      <c r="E494" s="17"/>
      <c r="F494" s="20"/>
      <c r="G494" s="21"/>
      <c r="H494" s="20"/>
      <c r="I494" s="22" t="str">
        <f aca="false">IF(AND(ISNUMBER($F494),ISNUMBER($G494),$E494&lt;&gt;"R"),$F494*$G494,"")</f>
        <v/>
      </c>
      <c r="J494" s="29" t="str">
        <f aca="false">IF(AND($E494="A",ISNUMBER($F494),ISNUMBER($G494)),$F494*(1+$G494/30),"")</f>
        <v/>
      </c>
      <c r="K494" s="19"/>
      <c r="L494" s="19"/>
    </row>
    <row r="495" customFormat="false" ht="15.75" hidden="false" customHeight="true" outlineLevel="0" collapsed="false">
      <c r="A495" s="26" t="str">
        <f aca="false">IFERROR(IF($B495="","",IF(INDEX(Einheiten!$B$4:$B$27,MATCH($B495,Einheiten!$A$4:$A$27,0))=0,"",INDEX(Einheiten!$B$4:$B$27,MATCH($B495,Einheiten!$A$4:$A$27,0)))),"")</f>
        <v/>
      </c>
      <c r="B495" s="27"/>
      <c r="C495" s="28" t="str">
        <f aca="false">IFERROR(IF($D495="","",INDEX(Übungen!$B$4:$B$17,MATCH($D495,Übungen!$A$4:$A$17,0))),"")</f>
        <v/>
      </c>
      <c r="D495" s="19"/>
      <c r="E495" s="17"/>
      <c r="F495" s="20"/>
      <c r="G495" s="21"/>
      <c r="H495" s="20"/>
      <c r="I495" s="22" t="str">
        <f aca="false">IF(AND(ISNUMBER($F495),ISNUMBER($G495),$E495&lt;&gt;"R"),$F495*$G495,"")</f>
        <v/>
      </c>
      <c r="J495" s="29" t="str">
        <f aca="false">IF(AND($E495="A",ISNUMBER($F495),ISNUMBER($G495)),$F495*(1+$G495/30),"")</f>
        <v/>
      </c>
      <c r="K495" s="19"/>
      <c r="L495" s="19"/>
    </row>
    <row r="496" customFormat="false" ht="15.75" hidden="false" customHeight="true" outlineLevel="0" collapsed="false">
      <c r="A496" s="26" t="str">
        <f aca="false">IFERROR(IF($B496="","",IF(INDEX(Einheiten!$B$4:$B$27,MATCH($B496,Einheiten!$A$4:$A$27,0))=0,"",INDEX(Einheiten!$B$4:$B$27,MATCH($B496,Einheiten!$A$4:$A$27,0)))),"")</f>
        <v/>
      </c>
      <c r="B496" s="27"/>
      <c r="C496" s="28" t="str">
        <f aca="false">IFERROR(IF($D496="","",INDEX(Übungen!$B$4:$B$17,MATCH($D496,Übungen!$A$4:$A$17,0))),"")</f>
        <v/>
      </c>
      <c r="D496" s="19"/>
      <c r="E496" s="17"/>
      <c r="F496" s="20"/>
      <c r="G496" s="21"/>
      <c r="H496" s="20"/>
      <c r="I496" s="22" t="str">
        <f aca="false">IF(AND(ISNUMBER($F496),ISNUMBER($G496),$E496&lt;&gt;"R"),$F496*$G496,"")</f>
        <v/>
      </c>
      <c r="J496" s="29" t="str">
        <f aca="false">IF(AND($E496="A",ISNUMBER($F496),ISNUMBER($G496)),$F496*(1+$G496/30),"")</f>
        <v/>
      </c>
      <c r="K496" s="19"/>
      <c r="L496" s="19"/>
    </row>
    <row r="497" customFormat="false" ht="15.75" hidden="false" customHeight="true" outlineLevel="0" collapsed="false">
      <c r="A497" s="26" t="str">
        <f aca="false">IFERROR(IF($B497="","",IF(INDEX(Einheiten!$B$4:$B$27,MATCH($B497,Einheiten!$A$4:$A$27,0))=0,"",INDEX(Einheiten!$B$4:$B$27,MATCH($B497,Einheiten!$A$4:$A$27,0)))),"")</f>
        <v/>
      </c>
      <c r="B497" s="27"/>
      <c r="C497" s="28" t="str">
        <f aca="false">IFERROR(IF($D497="","",INDEX(Übungen!$B$4:$B$17,MATCH($D497,Übungen!$A$4:$A$17,0))),"")</f>
        <v/>
      </c>
      <c r="D497" s="19"/>
      <c r="E497" s="17"/>
      <c r="F497" s="20"/>
      <c r="G497" s="21"/>
      <c r="H497" s="20"/>
      <c r="I497" s="22" t="str">
        <f aca="false">IF(AND(ISNUMBER($F497),ISNUMBER($G497),$E497&lt;&gt;"R"),$F497*$G497,"")</f>
        <v/>
      </c>
      <c r="J497" s="29" t="str">
        <f aca="false">IF(AND($E497="A",ISNUMBER($F497),ISNUMBER($G497)),$F497*(1+$G497/30),"")</f>
        <v/>
      </c>
      <c r="K497" s="19"/>
      <c r="L497" s="19"/>
    </row>
    <row r="498" customFormat="false" ht="15.75" hidden="false" customHeight="true" outlineLevel="0" collapsed="false">
      <c r="A498" s="26" t="str">
        <f aca="false">IFERROR(IF($B498="","",IF(INDEX(Einheiten!$B$4:$B$27,MATCH($B498,Einheiten!$A$4:$A$27,0))=0,"",INDEX(Einheiten!$B$4:$B$27,MATCH($B498,Einheiten!$A$4:$A$27,0)))),"")</f>
        <v/>
      </c>
      <c r="B498" s="27"/>
      <c r="C498" s="28" t="str">
        <f aca="false">IFERROR(IF($D498="","",INDEX(Übungen!$B$4:$B$17,MATCH($D498,Übungen!$A$4:$A$17,0))),"")</f>
        <v/>
      </c>
      <c r="D498" s="19"/>
      <c r="E498" s="17"/>
      <c r="F498" s="20"/>
      <c r="G498" s="21"/>
      <c r="H498" s="20"/>
      <c r="I498" s="22" t="str">
        <f aca="false">IF(AND(ISNUMBER($F498),ISNUMBER($G498),$E498&lt;&gt;"R"),$F498*$G498,"")</f>
        <v/>
      </c>
      <c r="J498" s="29" t="str">
        <f aca="false">IF(AND($E498="A",ISNUMBER($F498),ISNUMBER($G498)),$F498*(1+$G498/30),"")</f>
        <v/>
      </c>
      <c r="K498" s="19"/>
      <c r="L498" s="19"/>
    </row>
    <row r="499" customFormat="false" ht="15.75" hidden="false" customHeight="true" outlineLevel="0" collapsed="false">
      <c r="A499" s="26" t="str">
        <f aca="false">IFERROR(IF($B499="","",IF(INDEX(Einheiten!$B$4:$B$27,MATCH($B499,Einheiten!$A$4:$A$27,0))=0,"",INDEX(Einheiten!$B$4:$B$27,MATCH($B499,Einheiten!$A$4:$A$27,0)))),"")</f>
        <v/>
      </c>
      <c r="B499" s="27"/>
      <c r="C499" s="28" t="str">
        <f aca="false">IFERROR(IF($D499="","",INDEX(Übungen!$B$4:$B$17,MATCH($D499,Übungen!$A$4:$A$17,0))),"")</f>
        <v/>
      </c>
      <c r="D499" s="19"/>
      <c r="E499" s="17"/>
      <c r="F499" s="20"/>
      <c r="G499" s="21"/>
      <c r="H499" s="20"/>
      <c r="I499" s="22" t="str">
        <f aca="false">IF(AND(ISNUMBER($F499),ISNUMBER($G499),$E499&lt;&gt;"R"),$F499*$G499,"")</f>
        <v/>
      </c>
      <c r="J499" s="29" t="str">
        <f aca="false">IF(AND($E499="A",ISNUMBER($F499),ISNUMBER($G499)),$F499*(1+$G499/30),"")</f>
        <v/>
      </c>
      <c r="K499" s="19"/>
      <c r="L499" s="19"/>
    </row>
    <row r="500" customFormat="false" ht="15.75" hidden="false" customHeight="true" outlineLevel="0" collapsed="false">
      <c r="A500" s="26" t="str">
        <f aca="false">IFERROR(IF($B500="","",IF(INDEX(Einheiten!$B$4:$B$27,MATCH($B500,Einheiten!$A$4:$A$27,0))=0,"",INDEX(Einheiten!$B$4:$B$27,MATCH($B500,Einheiten!$A$4:$A$27,0)))),"")</f>
        <v/>
      </c>
      <c r="B500" s="27"/>
      <c r="C500" s="28" t="str">
        <f aca="false">IFERROR(IF($D500="","",INDEX(Übungen!$B$4:$B$17,MATCH($D500,Übungen!$A$4:$A$17,0))),"")</f>
        <v/>
      </c>
      <c r="D500" s="19"/>
      <c r="E500" s="17"/>
      <c r="F500" s="20"/>
      <c r="G500" s="21"/>
      <c r="H500" s="20"/>
      <c r="I500" s="22" t="str">
        <f aca="false">IF(AND(ISNUMBER($F500),ISNUMBER($G500),$E500&lt;&gt;"R"),$F500*$G500,"")</f>
        <v/>
      </c>
      <c r="J500" s="29" t="str">
        <f aca="false">IF(AND($E500="A",ISNUMBER($F500),ISNUMBER($G500)),$F500*(1+$G500/30),"")</f>
        <v/>
      </c>
      <c r="K500" s="19"/>
      <c r="L500" s="19"/>
    </row>
    <row r="501" customFormat="false" ht="15.75" hidden="false" customHeight="true" outlineLevel="0" collapsed="false">
      <c r="A501" s="26" t="str">
        <f aca="false">IFERROR(IF($B501="","",IF(INDEX(Einheiten!$B$4:$B$27,MATCH($B501,Einheiten!$A$4:$A$27,0))=0,"",INDEX(Einheiten!$B$4:$B$27,MATCH($B501,Einheiten!$A$4:$A$27,0)))),"")</f>
        <v/>
      </c>
      <c r="B501" s="27"/>
      <c r="C501" s="28" t="str">
        <f aca="false">IFERROR(IF($D501="","",INDEX(Übungen!$B$4:$B$17,MATCH($D501,Übungen!$A$4:$A$17,0))),"")</f>
        <v/>
      </c>
      <c r="D501" s="19"/>
      <c r="E501" s="17"/>
      <c r="F501" s="20"/>
      <c r="G501" s="21"/>
      <c r="H501" s="20"/>
      <c r="I501" s="22" t="str">
        <f aca="false">IF(AND(ISNUMBER($F501),ISNUMBER($G501),$E501&lt;&gt;"R"),$F501*$G501,"")</f>
        <v/>
      </c>
      <c r="J501" s="29" t="str">
        <f aca="false">IF(AND($E501="A",ISNUMBER($F501),ISNUMBER($G501)),$F501*(1+$G501/30),"")</f>
        <v/>
      </c>
      <c r="K501" s="19"/>
      <c r="L501" s="19"/>
    </row>
    <row r="502" customFormat="false" ht="15.75" hidden="false" customHeight="true" outlineLevel="0" collapsed="false">
      <c r="A502" s="26" t="str">
        <f aca="false">IFERROR(IF($B502="","",IF(INDEX(Einheiten!$B$4:$B$27,MATCH($B502,Einheiten!$A$4:$A$27,0))=0,"",INDEX(Einheiten!$B$4:$B$27,MATCH($B502,Einheiten!$A$4:$A$27,0)))),"")</f>
        <v/>
      </c>
      <c r="B502" s="27"/>
      <c r="C502" s="28" t="str">
        <f aca="false">IFERROR(IF($D502="","",INDEX(Übungen!$B$4:$B$17,MATCH($D502,Übungen!$A$4:$A$17,0))),"")</f>
        <v/>
      </c>
      <c r="D502" s="19"/>
      <c r="E502" s="17"/>
      <c r="F502" s="20"/>
      <c r="G502" s="21"/>
      <c r="H502" s="20"/>
      <c r="I502" s="22" t="str">
        <f aca="false">IF(AND(ISNUMBER($F502),ISNUMBER($G502),$E502&lt;&gt;"R"),$F502*$G502,"")</f>
        <v/>
      </c>
      <c r="J502" s="29" t="str">
        <f aca="false">IF(AND($E502="A",ISNUMBER($F502),ISNUMBER($G502)),$F502*(1+$G502/30),"")</f>
        <v/>
      </c>
      <c r="K502" s="19"/>
      <c r="L502" s="19"/>
    </row>
    <row r="503" customFormat="false" ht="15.75" hidden="false" customHeight="true" outlineLevel="0" collapsed="false">
      <c r="A503" s="26" t="str">
        <f aca="false">IFERROR(IF($B503="","",IF(INDEX(Einheiten!$B$4:$B$27,MATCH($B503,Einheiten!$A$4:$A$27,0))=0,"",INDEX(Einheiten!$B$4:$B$27,MATCH($B503,Einheiten!$A$4:$A$27,0)))),"")</f>
        <v/>
      </c>
      <c r="B503" s="27"/>
      <c r="C503" s="28" t="str">
        <f aca="false">IFERROR(IF($D503="","",INDEX(Übungen!$B$4:$B$17,MATCH($D503,Übungen!$A$4:$A$17,0))),"")</f>
        <v/>
      </c>
      <c r="D503" s="19"/>
      <c r="E503" s="17"/>
      <c r="F503" s="20"/>
      <c r="G503" s="21"/>
      <c r="H503" s="20"/>
      <c r="I503" s="22" t="str">
        <f aca="false">IF(AND(ISNUMBER($F503),ISNUMBER($G503),$E503&lt;&gt;"R"),$F503*$G503,"")</f>
        <v/>
      </c>
      <c r="J503" s="29" t="str">
        <f aca="false">IF(AND($E503="A",ISNUMBER($F503),ISNUMBER($G503)),$F503*(1+$G503/30),"")</f>
        <v/>
      </c>
      <c r="K503" s="19"/>
      <c r="L503" s="19"/>
    </row>
  </sheetData>
  <autoFilter ref="A3:L503"/>
  <mergeCells count="2">
    <mergeCell ref="A1:L1"/>
    <mergeCell ref="A2:L2"/>
  </mergeCells>
  <conditionalFormatting sqref="A4:L503">
    <cfRule type="expression" priority="2" aboveAverage="0" equalAverage="0" bottom="0" percent="0" rank="0" text="" dxfId="7">
      <formula>$E4="A"</formula>
    </cfRule>
    <cfRule type="expression" priority="3" aboveAverage="0" equalAverage="0" bottom="0" percent="0" rank="0" text="" dxfId="8">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503" type="list">
      <formula1>Übungen!$A$4:$A$17</formula1>
      <formula2>0</formula2>
    </dataValidation>
    <dataValidation allowBlank="true" error="W = Warmup, A = Arbeitssatz, R = Reduktionssatz" errorStyle="stop" errorTitle="Satztyp" operator="between" showDropDown="false" showErrorMessage="false" showInputMessage="false" sqref="E4:E503" type="list">
      <formula1>"W,A,R"</formula1>
      <formula2>0</formula2>
    </dataValidation>
    <dataValidation allowBlank="true" error="RPE zwischen 5 und 10 eintragen." errorStyle="stop" errorTitle="RPE" operator="between" showDropDown="false" showErrorMessage="false" showInputMessage="false" sqref="H4:H5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125</v>
      </c>
      <c r="B1" s="1"/>
      <c r="C1" s="1"/>
      <c r="D1" s="1"/>
      <c r="E1" s="1"/>
      <c r="F1" s="1"/>
      <c r="G1" s="1"/>
      <c r="H1" s="1"/>
      <c r="I1" s="1"/>
      <c r="J1" s="1"/>
      <c r="K1" s="1"/>
      <c r="L1" s="1"/>
      <c r="M1" s="1"/>
      <c r="N1" s="1"/>
      <c r="O1" s="1"/>
      <c r="P1" s="1"/>
      <c r="Q1" s="1"/>
      <c r="R1" s="1"/>
    </row>
    <row r="2" customFormat="false" ht="15" hidden="false" customHeight="true" outlineLevel="0" collapsed="false">
      <c r="A2" s="2" t="s">
        <v>126</v>
      </c>
      <c r="B2" s="2"/>
      <c r="C2" s="2"/>
      <c r="D2" s="2"/>
      <c r="E2" s="2"/>
      <c r="F2" s="2"/>
      <c r="G2" s="2"/>
      <c r="H2" s="2"/>
      <c r="I2" s="2"/>
      <c r="J2" s="2"/>
      <c r="K2" s="2"/>
      <c r="L2" s="2"/>
      <c r="M2" s="2"/>
      <c r="N2" s="2"/>
      <c r="O2" s="2"/>
      <c r="P2" s="2"/>
      <c r="Q2" s="2"/>
      <c r="R2" s="2"/>
    </row>
    <row r="4" customFormat="false" ht="19.5" hidden="false" customHeight="true" outlineLevel="0" collapsed="false">
      <c r="A4" s="3" t="s">
        <v>127</v>
      </c>
      <c r="B4" s="3"/>
      <c r="C4" s="3"/>
      <c r="D4" s="3"/>
      <c r="E4" s="3"/>
      <c r="F4" s="3"/>
      <c r="G4" s="3"/>
      <c r="H4" s="3"/>
      <c r="I4" s="3"/>
      <c r="J4" s="3"/>
      <c r="K4" s="3"/>
      <c r="L4" s="3"/>
      <c r="M4" s="3"/>
      <c r="N4" s="3"/>
      <c r="O4" s="3"/>
      <c r="P4" s="3"/>
      <c r="Q4" s="3"/>
      <c r="R4" s="3"/>
    </row>
    <row r="5" customFormat="false" ht="21.75" hidden="false" customHeight="true" outlineLevel="0" collapsed="false">
      <c r="A5" s="16" t="s">
        <v>89</v>
      </c>
      <c r="B5" s="16" t="n">
        <v>1</v>
      </c>
      <c r="C5" s="16" t="n">
        <v>2</v>
      </c>
      <c r="D5" s="16" t="n">
        <v>3</v>
      </c>
      <c r="E5" s="16" t="n">
        <v>4</v>
      </c>
      <c r="F5" s="16" t="n">
        <v>5</v>
      </c>
      <c r="G5" s="16" t="n">
        <v>6</v>
      </c>
      <c r="H5" s="16" t="n">
        <v>7</v>
      </c>
      <c r="I5" s="16" t="n">
        <v>8</v>
      </c>
      <c r="J5" s="16" t="n">
        <v>9</v>
      </c>
      <c r="K5" s="16" t="n">
        <v>10</v>
      </c>
      <c r="L5" s="16" t="n">
        <v>11</v>
      </c>
      <c r="M5" s="16" t="n">
        <v>12</v>
      </c>
      <c r="N5" s="16" t="n">
        <v>13</v>
      </c>
      <c r="O5" s="16" t="n">
        <v>14</v>
      </c>
      <c r="P5" s="16" t="n">
        <v>15</v>
      </c>
      <c r="Q5" s="16" t="n">
        <v>16</v>
      </c>
      <c r="R5" s="16" t="s">
        <v>84</v>
      </c>
    </row>
    <row r="6" customFormat="false" ht="16.5" hidden="false" customHeight="true" outlineLevel="0" collapsed="false">
      <c r="A6" s="30" t="str">
        <f aca="false">IF(Übungen!$A4="","",Übungen!$A4)</f>
        <v>Hackenschmidt-Kniebeuge</v>
      </c>
      <c r="B6" s="31" t="str">
        <f aca="false">IF($A6="","",IF(SUMIFS(Log!$I$4:$I$503,Log!$D$4:$D$503,$A6,Log!$B$4:$B$503,B$5,Log!$E$4:$E$503,"A")=0,"",SUMIFS(Log!$I$4:$I$503,Log!$D$4:$D$503,$A6,Log!$B$4:$B$503,B$5,Log!$E$4:$E$503,"A")))</f>
        <v/>
      </c>
      <c r="C6" s="31" t="str">
        <f aca="false">IF($A6="","",IF(SUMIFS(Log!$I$4:$I$503,Log!$D$4:$D$503,$A6,Log!$B$4:$B$503,C$5,Log!$E$4:$E$503,"A")=0,"",SUMIFS(Log!$I$4:$I$503,Log!$D$4:$D$503,$A6,Log!$B$4:$B$503,C$5,Log!$E$4:$E$503,"A")))</f>
        <v/>
      </c>
      <c r="D6" s="31" t="str">
        <f aca="false">IF($A6="","",IF(SUMIFS(Log!$I$4:$I$503,Log!$D$4:$D$503,$A6,Log!$B$4:$B$503,D$5,Log!$E$4:$E$503,"A")=0,"",SUMIFS(Log!$I$4:$I$503,Log!$D$4:$D$503,$A6,Log!$B$4:$B$503,D$5,Log!$E$4:$E$503,"A")))</f>
        <v/>
      </c>
      <c r="E6" s="31" t="str">
        <f aca="false">IF($A6="","",IF(SUMIFS(Log!$I$4:$I$503,Log!$D$4:$D$503,$A6,Log!$B$4:$B$503,E$5,Log!$E$4:$E$503,"A")=0,"",SUMIFS(Log!$I$4:$I$503,Log!$D$4:$D$503,$A6,Log!$B$4:$B$503,E$5,Log!$E$4:$E$503,"A")))</f>
        <v/>
      </c>
      <c r="F6" s="31" t="str">
        <f aca="false">IF($A6="","",IF(SUMIFS(Log!$I$4:$I$503,Log!$D$4:$D$503,$A6,Log!$B$4:$B$503,F$5,Log!$E$4:$E$503,"A")=0,"",SUMIFS(Log!$I$4:$I$503,Log!$D$4:$D$503,$A6,Log!$B$4:$B$503,F$5,Log!$E$4:$E$503,"A")))</f>
        <v/>
      </c>
      <c r="G6" s="31" t="str">
        <f aca="false">IF($A6="","",IF(SUMIFS(Log!$I$4:$I$503,Log!$D$4:$D$503,$A6,Log!$B$4:$B$503,G$5,Log!$E$4:$E$503,"A")=0,"",SUMIFS(Log!$I$4:$I$503,Log!$D$4:$D$503,$A6,Log!$B$4:$B$503,G$5,Log!$E$4:$E$503,"A")))</f>
        <v/>
      </c>
      <c r="H6" s="31" t="str">
        <f aca="false">IF($A6="","",IF(SUMIFS(Log!$I$4:$I$503,Log!$D$4:$D$503,$A6,Log!$B$4:$B$503,H$5,Log!$E$4:$E$503,"A")=0,"",SUMIFS(Log!$I$4:$I$503,Log!$D$4:$D$503,$A6,Log!$B$4:$B$503,H$5,Log!$E$4:$E$503,"A")))</f>
        <v/>
      </c>
      <c r="I6" s="31" t="str">
        <f aca="false">IF($A6="","",IF(SUMIFS(Log!$I$4:$I$503,Log!$D$4:$D$503,$A6,Log!$B$4:$B$503,I$5,Log!$E$4:$E$503,"A")=0,"",SUMIFS(Log!$I$4:$I$503,Log!$D$4:$D$503,$A6,Log!$B$4:$B$503,I$5,Log!$E$4:$E$503,"A")))</f>
        <v/>
      </c>
      <c r="J6" s="31" t="str">
        <f aca="false">IF($A6="","",IF(SUMIFS(Log!$I$4:$I$503,Log!$D$4:$D$503,$A6,Log!$B$4:$B$503,J$5,Log!$E$4:$E$503,"A")=0,"",SUMIFS(Log!$I$4:$I$503,Log!$D$4:$D$503,$A6,Log!$B$4:$B$503,J$5,Log!$E$4:$E$503,"A")))</f>
        <v/>
      </c>
      <c r="K6" s="31" t="str">
        <f aca="false">IF($A6="","",IF(SUMIFS(Log!$I$4:$I$503,Log!$D$4:$D$503,$A6,Log!$B$4:$B$503,K$5,Log!$E$4:$E$503,"A")=0,"",SUMIFS(Log!$I$4:$I$503,Log!$D$4:$D$503,$A6,Log!$B$4:$B$503,K$5,Log!$E$4:$E$503,"A")))</f>
        <v/>
      </c>
      <c r="L6" s="31" t="str">
        <f aca="false">IF($A6="","",IF(SUMIFS(Log!$I$4:$I$503,Log!$D$4:$D$503,$A6,Log!$B$4:$B$503,L$5,Log!$E$4:$E$503,"A")=0,"",SUMIFS(Log!$I$4:$I$503,Log!$D$4:$D$503,$A6,Log!$B$4:$B$503,L$5,Log!$E$4:$E$503,"A")))</f>
        <v/>
      </c>
      <c r="M6" s="31" t="str">
        <f aca="false">IF($A6="","",IF(SUMIFS(Log!$I$4:$I$503,Log!$D$4:$D$503,$A6,Log!$B$4:$B$503,M$5,Log!$E$4:$E$503,"A")=0,"",SUMIFS(Log!$I$4:$I$503,Log!$D$4:$D$503,$A6,Log!$B$4:$B$503,M$5,Log!$E$4:$E$503,"A")))</f>
        <v/>
      </c>
      <c r="N6" s="31" t="str">
        <f aca="false">IF($A6="","",IF(SUMIFS(Log!$I$4:$I$503,Log!$D$4:$D$503,$A6,Log!$B$4:$B$503,N$5,Log!$E$4:$E$503,"A")=0,"",SUMIFS(Log!$I$4:$I$503,Log!$D$4:$D$503,$A6,Log!$B$4:$B$503,N$5,Log!$E$4:$E$503,"A")))</f>
        <v/>
      </c>
      <c r="O6" s="31" t="str">
        <f aca="false">IF($A6="","",IF(SUMIFS(Log!$I$4:$I$503,Log!$D$4:$D$503,$A6,Log!$B$4:$B$503,O$5,Log!$E$4:$E$503,"A")=0,"",SUMIFS(Log!$I$4:$I$503,Log!$D$4:$D$503,$A6,Log!$B$4:$B$503,O$5,Log!$E$4:$E$503,"A")))</f>
        <v/>
      </c>
      <c r="P6" s="31" t="str">
        <f aca="false">IF($A6="","",IF(SUMIFS(Log!$I$4:$I$503,Log!$D$4:$D$503,$A6,Log!$B$4:$B$503,P$5,Log!$E$4:$E$503,"A")=0,"",SUMIFS(Log!$I$4:$I$503,Log!$D$4:$D$503,$A6,Log!$B$4:$B$503,P$5,Log!$E$4:$E$503,"A")))</f>
        <v/>
      </c>
      <c r="Q6" s="31" t="str">
        <f aca="false">IF($A6="","",IF(SUMIFS(Log!$I$4:$I$503,Log!$D$4:$D$503,$A6,Log!$B$4:$B$503,Q$5,Log!$E$4:$E$503,"A")=0,"",SUMIFS(Log!$I$4:$I$503,Log!$D$4:$D$503,$A6,Log!$B$4:$B$503,Q$5,Log!$E$4:$E$503,"A")))</f>
        <v/>
      </c>
      <c r="R6" s="32" t="str">
        <f aca="false">IF(COUNT(B6:Q6)=0,"",SUM(B6:Q6))</f>
        <v/>
      </c>
    </row>
    <row r="7" customFormat="false" ht="16.5" hidden="false" customHeight="true" outlineLevel="0" collapsed="false">
      <c r="A7" s="33" t="str">
        <f aca="false">IF(Übungen!$A5="","",Übungen!$A5)</f>
        <v>Split Squat</v>
      </c>
      <c r="B7" s="34" t="n">
        <f aca="false">IF($A7="","",IF(SUMIFS(Log!$I$4:$I$503,Log!$D$4:$D$503,$A7,Log!$B$4:$B$503,B$5,Log!$E$4:$E$503,"A")=0,"",SUMIFS(Log!$I$4:$I$503,Log!$D$4:$D$503,$A7,Log!$B$4:$B$503,B$5,Log!$E$4:$E$503,"A")))</f>
        <v>1610</v>
      </c>
      <c r="C7" s="34" t="n">
        <f aca="false">IF($A7="","",IF(SUMIFS(Log!$I$4:$I$503,Log!$D$4:$D$503,$A7,Log!$B$4:$B$503,C$5,Log!$E$4:$E$503,"A")=0,"",SUMIFS(Log!$I$4:$I$503,Log!$D$4:$D$503,$A7,Log!$B$4:$B$503,C$5,Log!$E$4:$E$503,"A")))</f>
        <v>1575</v>
      </c>
      <c r="D7" s="34" t="n">
        <f aca="false">IF($A7="","",IF(SUMIFS(Log!$I$4:$I$503,Log!$D$4:$D$503,$A7,Log!$B$4:$B$503,D$5,Log!$E$4:$E$503,"A")=0,"",SUMIFS(Log!$I$4:$I$503,Log!$D$4:$D$503,$A7,Log!$B$4:$B$503,D$5,Log!$E$4:$E$503,"A")))</f>
        <v>2275</v>
      </c>
      <c r="E7" s="34" t="n">
        <f aca="false">IF($A7="","",IF(SUMIFS(Log!$I$4:$I$503,Log!$D$4:$D$503,$A7,Log!$B$4:$B$503,E$5,Log!$E$4:$E$503,"A")=0,"",SUMIFS(Log!$I$4:$I$503,Log!$D$4:$D$503,$A7,Log!$B$4:$B$503,E$5,Log!$E$4:$E$503,"A")))</f>
        <v>1640</v>
      </c>
      <c r="F7" s="34" t="str">
        <f aca="false">IF($A7="","",IF(SUMIFS(Log!$I$4:$I$503,Log!$D$4:$D$503,$A7,Log!$B$4:$B$503,F$5,Log!$E$4:$E$503,"A")=0,"",SUMIFS(Log!$I$4:$I$503,Log!$D$4:$D$503,$A7,Log!$B$4:$B$503,F$5,Log!$E$4:$E$503,"A")))</f>
        <v/>
      </c>
      <c r="G7" s="34" t="str">
        <f aca="false">IF($A7="","",IF(SUMIFS(Log!$I$4:$I$503,Log!$D$4:$D$503,$A7,Log!$B$4:$B$503,G$5,Log!$E$4:$E$503,"A")=0,"",SUMIFS(Log!$I$4:$I$503,Log!$D$4:$D$503,$A7,Log!$B$4:$B$503,G$5,Log!$E$4:$E$503,"A")))</f>
        <v/>
      </c>
      <c r="H7" s="34" t="str">
        <f aca="false">IF($A7="","",IF(SUMIFS(Log!$I$4:$I$503,Log!$D$4:$D$503,$A7,Log!$B$4:$B$503,H$5,Log!$E$4:$E$503,"A")=0,"",SUMIFS(Log!$I$4:$I$503,Log!$D$4:$D$503,$A7,Log!$B$4:$B$503,H$5,Log!$E$4:$E$503,"A")))</f>
        <v/>
      </c>
      <c r="I7" s="34" t="str">
        <f aca="false">IF($A7="","",IF(SUMIFS(Log!$I$4:$I$503,Log!$D$4:$D$503,$A7,Log!$B$4:$B$503,I$5,Log!$E$4:$E$503,"A")=0,"",SUMIFS(Log!$I$4:$I$503,Log!$D$4:$D$503,$A7,Log!$B$4:$B$503,I$5,Log!$E$4:$E$503,"A")))</f>
        <v/>
      </c>
      <c r="J7" s="34" t="str">
        <f aca="false">IF($A7="","",IF(SUMIFS(Log!$I$4:$I$503,Log!$D$4:$D$503,$A7,Log!$B$4:$B$503,J$5,Log!$E$4:$E$503,"A")=0,"",SUMIFS(Log!$I$4:$I$503,Log!$D$4:$D$503,$A7,Log!$B$4:$B$503,J$5,Log!$E$4:$E$503,"A")))</f>
        <v/>
      </c>
      <c r="K7" s="34" t="str">
        <f aca="false">IF($A7="","",IF(SUMIFS(Log!$I$4:$I$503,Log!$D$4:$D$503,$A7,Log!$B$4:$B$503,K$5,Log!$E$4:$E$503,"A")=0,"",SUMIFS(Log!$I$4:$I$503,Log!$D$4:$D$503,$A7,Log!$B$4:$B$503,K$5,Log!$E$4:$E$503,"A")))</f>
        <v/>
      </c>
      <c r="L7" s="34" t="str">
        <f aca="false">IF($A7="","",IF(SUMIFS(Log!$I$4:$I$503,Log!$D$4:$D$503,$A7,Log!$B$4:$B$503,L$5,Log!$E$4:$E$503,"A")=0,"",SUMIFS(Log!$I$4:$I$503,Log!$D$4:$D$503,$A7,Log!$B$4:$B$503,L$5,Log!$E$4:$E$503,"A")))</f>
        <v/>
      </c>
      <c r="M7" s="34" t="str">
        <f aca="false">IF($A7="","",IF(SUMIFS(Log!$I$4:$I$503,Log!$D$4:$D$503,$A7,Log!$B$4:$B$503,M$5,Log!$E$4:$E$503,"A")=0,"",SUMIFS(Log!$I$4:$I$503,Log!$D$4:$D$503,$A7,Log!$B$4:$B$503,M$5,Log!$E$4:$E$503,"A")))</f>
        <v/>
      </c>
      <c r="N7" s="34" t="str">
        <f aca="false">IF($A7="","",IF(SUMIFS(Log!$I$4:$I$503,Log!$D$4:$D$503,$A7,Log!$B$4:$B$503,N$5,Log!$E$4:$E$503,"A")=0,"",SUMIFS(Log!$I$4:$I$503,Log!$D$4:$D$503,$A7,Log!$B$4:$B$503,N$5,Log!$E$4:$E$503,"A")))</f>
        <v/>
      </c>
      <c r="O7" s="34" t="str">
        <f aca="false">IF($A7="","",IF(SUMIFS(Log!$I$4:$I$503,Log!$D$4:$D$503,$A7,Log!$B$4:$B$503,O$5,Log!$E$4:$E$503,"A")=0,"",SUMIFS(Log!$I$4:$I$503,Log!$D$4:$D$503,$A7,Log!$B$4:$B$503,O$5,Log!$E$4:$E$503,"A")))</f>
        <v/>
      </c>
      <c r="P7" s="34" t="str">
        <f aca="false">IF($A7="","",IF(SUMIFS(Log!$I$4:$I$503,Log!$D$4:$D$503,$A7,Log!$B$4:$B$503,P$5,Log!$E$4:$E$503,"A")=0,"",SUMIFS(Log!$I$4:$I$503,Log!$D$4:$D$503,$A7,Log!$B$4:$B$503,P$5,Log!$E$4:$E$503,"A")))</f>
        <v/>
      </c>
      <c r="Q7" s="34" t="str">
        <f aca="false">IF($A7="","",IF(SUMIFS(Log!$I$4:$I$503,Log!$D$4:$D$503,$A7,Log!$B$4:$B$503,Q$5,Log!$E$4:$E$503,"A")=0,"",SUMIFS(Log!$I$4:$I$503,Log!$D$4:$D$503,$A7,Log!$B$4:$B$503,Q$5,Log!$E$4:$E$503,"A")))</f>
        <v/>
      </c>
      <c r="R7" s="32" t="n">
        <f aca="false">IF(COUNT(B7:Q7)=0,"",SUM(B7:Q7))</f>
        <v>7100</v>
      </c>
    </row>
    <row r="8" customFormat="false" ht="16.5" hidden="false" customHeight="true" outlineLevel="0" collapsed="false">
      <c r="A8" s="30" t="str">
        <f aca="false">IF(Übungen!$A6="","",Übungen!$A6)</f>
        <v>Beinstrecker</v>
      </c>
      <c r="B8" s="31" t="n">
        <f aca="false">IF($A8="","",IF(SUMIFS(Log!$I$4:$I$503,Log!$D$4:$D$503,$A8,Log!$B$4:$B$503,B$5,Log!$E$4:$E$503,"A")=0,"",SUMIFS(Log!$I$4:$I$503,Log!$D$4:$D$503,$A8,Log!$B$4:$B$503,B$5,Log!$E$4:$E$503,"A")))</f>
        <v>1205</v>
      </c>
      <c r="C8" s="31" t="n">
        <f aca="false">IF($A8="","",IF(SUMIFS(Log!$I$4:$I$503,Log!$D$4:$D$503,$A8,Log!$B$4:$B$503,C$5,Log!$E$4:$E$503,"A")=0,"",SUMIFS(Log!$I$4:$I$503,Log!$D$4:$D$503,$A8,Log!$B$4:$B$503,C$5,Log!$E$4:$E$503,"A")))</f>
        <v>1630</v>
      </c>
      <c r="D8" s="31" t="n">
        <f aca="false">IF($A8="","",IF(SUMIFS(Log!$I$4:$I$503,Log!$D$4:$D$503,$A8,Log!$B$4:$B$503,D$5,Log!$E$4:$E$503,"A")=0,"",SUMIFS(Log!$I$4:$I$503,Log!$D$4:$D$503,$A8,Log!$B$4:$B$503,D$5,Log!$E$4:$E$503,"A")))</f>
        <v>1430</v>
      </c>
      <c r="E8" s="31" t="n">
        <f aca="false">IF($A8="","",IF(SUMIFS(Log!$I$4:$I$503,Log!$D$4:$D$503,$A8,Log!$B$4:$B$503,E$5,Log!$E$4:$E$503,"A")=0,"",SUMIFS(Log!$I$4:$I$503,Log!$D$4:$D$503,$A8,Log!$B$4:$B$503,E$5,Log!$E$4:$E$503,"A")))</f>
        <v>1600</v>
      </c>
      <c r="F8" s="31" t="str">
        <f aca="false">IF($A8="","",IF(SUMIFS(Log!$I$4:$I$503,Log!$D$4:$D$503,$A8,Log!$B$4:$B$503,F$5,Log!$E$4:$E$503,"A")=0,"",SUMIFS(Log!$I$4:$I$503,Log!$D$4:$D$503,$A8,Log!$B$4:$B$503,F$5,Log!$E$4:$E$503,"A")))</f>
        <v/>
      </c>
      <c r="G8" s="31" t="str">
        <f aca="false">IF($A8="","",IF(SUMIFS(Log!$I$4:$I$503,Log!$D$4:$D$503,$A8,Log!$B$4:$B$503,G$5,Log!$E$4:$E$503,"A")=0,"",SUMIFS(Log!$I$4:$I$503,Log!$D$4:$D$503,$A8,Log!$B$4:$B$503,G$5,Log!$E$4:$E$503,"A")))</f>
        <v/>
      </c>
      <c r="H8" s="31" t="str">
        <f aca="false">IF($A8="","",IF(SUMIFS(Log!$I$4:$I$503,Log!$D$4:$D$503,$A8,Log!$B$4:$B$503,H$5,Log!$E$4:$E$503,"A")=0,"",SUMIFS(Log!$I$4:$I$503,Log!$D$4:$D$503,$A8,Log!$B$4:$B$503,H$5,Log!$E$4:$E$503,"A")))</f>
        <v/>
      </c>
      <c r="I8" s="31" t="str">
        <f aca="false">IF($A8="","",IF(SUMIFS(Log!$I$4:$I$503,Log!$D$4:$D$503,$A8,Log!$B$4:$B$503,I$5,Log!$E$4:$E$503,"A")=0,"",SUMIFS(Log!$I$4:$I$503,Log!$D$4:$D$503,$A8,Log!$B$4:$B$503,I$5,Log!$E$4:$E$503,"A")))</f>
        <v/>
      </c>
      <c r="J8" s="31" t="str">
        <f aca="false">IF($A8="","",IF(SUMIFS(Log!$I$4:$I$503,Log!$D$4:$D$503,$A8,Log!$B$4:$B$503,J$5,Log!$E$4:$E$503,"A")=0,"",SUMIFS(Log!$I$4:$I$503,Log!$D$4:$D$503,$A8,Log!$B$4:$B$503,J$5,Log!$E$4:$E$503,"A")))</f>
        <v/>
      </c>
      <c r="K8" s="31" t="str">
        <f aca="false">IF($A8="","",IF(SUMIFS(Log!$I$4:$I$503,Log!$D$4:$D$503,$A8,Log!$B$4:$B$503,K$5,Log!$E$4:$E$503,"A")=0,"",SUMIFS(Log!$I$4:$I$503,Log!$D$4:$D$503,$A8,Log!$B$4:$B$503,K$5,Log!$E$4:$E$503,"A")))</f>
        <v/>
      </c>
      <c r="L8" s="31" t="str">
        <f aca="false">IF($A8="","",IF(SUMIFS(Log!$I$4:$I$503,Log!$D$4:$D$503,$A8,Log!$B$4:$B$503,L$5,Log!$E$4:$E$503,"A")=0,"",SUMIFS(Log!$I$4:$I$503,Log!$D$4:$D$503,$A8,Log!$B$4:$B$503,L$5,Log!$E$4:$E$503,"A")))</f>
        <v/>
      </c>
      <c r="M8" s="31" t="str">
        <f aca="false">IF($A8="","",IF(SUMIFS(Log!$I$4:$I$503,Log!$D$4:$D$503,$A8,Log!$B$4:$B$503,M$5,Log!$E$4:$E$503,"A")=0,"",SUMIFS(Log!$I$4:$I$503,Log!$D$4:$D$503,$A8,Log!$B$4:$B$503,M$5,Log!$E$4:$E$503,"A")))</f>
        <v/>
      </c>
      <c r="N8" s="31" t="str">
        <f aca="false">IF($A8="","",IF(SUMIFS(Log!$I$4:$I$503,Log!$D$4:$D$503,$A8,Log!$B$4:$B$503,N$5,Log!$E$4:$E$503,"A")=0,"",SUMIFS(Log!$I$4:$I$503,Log!$D$4:$D$503,$A8,Log!$B$4:$B$503,N$5,Log!$E$4:$E$503,"A")))</f>
        <v/>
      </c>
      <c r="O8" s="31" t="str">
        <f aca="false">IF($A8="","",IF(SUMIFS(Log!$I$4:$I$503,Log!$D$4:$D$503,$A8,Log!$B$4:$B$503,O$5,Log!$E$4:$E$503,"A")=0,"",SUMIFS(Log!$I$4:$I$503,Log!$D$4:$D$503,$A8,Log!$B$4:$B$503,O$5,Log!$E$4:$E$503,"A")))</f>
        <v/>
      </c>
      <c r="P8" s="31" t="str">
        <f aca="false">IF($A8="","",IF(SUMIFS(Log!$I$4:$I$503,Log!$D$4:$D$503,$A8,Log!$B$4:$B$503,P$5,Log!$E$4:$E$503,"A")=0,"",SUMIFS(Log!$I$4:$I$503,Log!$D$4:$D$503,$A8,Log!$B$4:$B$503,P$5,Log!$E$4:$E$503,"A")))</f>
        <v/>
      </c>
      <c r="Q8" s="31" t="str">
        <f aca="false">IF($A8="","",IF(SUMIFS(Log!$I$4:$I$503,Log!$D$4:$D$503,$A8,Log!$B$4:$B$503,Q$5,Log!$E$4:$E$503,"A")=0,"",SUMIFS(Log!$I$4:$I$503,Log!$D$4:$D$503,$A8,Log!$B$4:$B$503,Q$5,Log!$E$4:$E$503,"A")))</f>
        <v/>
      </c>
      <c r="R8" s="32" t="n">
        <f aca="false">IF(COUNT(B8:Q8)=0,"",SUM(B8:Q8))</f>
        <v>5865</v>
      </c>
    </row>
    <row r="9" customFormat="false" ht="16.5" hidden="false" customHeight="true" outlineLevel="0" collapsed="false">
      <c r="A9" s="33" t="str">
        <f aca="false">IF(Übungen!$A7="","",Übungen!$A7)</f>
        <v>Adduktion</v>
      </c>
      <c r="B9" s="34" t="n">
        <f aca="false">IF($A9="","",IF(SUMIFS(Log!$I$4:$I$503,Log!$D$4:$D$503,$A9,Log!$B$4:$B$503,B$5,Log!$E$4:$E$503,"A")=0,"",SUMIFS(Log!$I$4:$I$503,Log!$D$4:$D$503,$A9,Log!$B$4:$B$503,B$5,Log!$E$4:$E$503,"A")))</f>
        <v>4117.5</v>
      </c>
      <c r="C9" s="34" t="n">
        <f aca="false">IF($A9="","",IF(SUMIFS(Log!$I$4:$I$503,Log!$D$4:$D$503,$A9,Log!$B$4:$B$503,C$5,Log!$E$4:$E$503,"A")=0,"",SUMIFS(Log!$I$4:$I$503,Log!$D$4:$D$503,$A9,Log!$B$4:$B$503,C$5,Log!$E$4:$E$503,"A")))</f>
        <v>5490</v>
      </c>
      <c r="D9" s="34" t="n">
        <f aca="false">IF($A9="","",IF(SUMIFS(Log!$I$4:$I$503,Log!$D$4:$D$503,$A9,Log!$B$4:$B$503,D$5,Log!$E$4:$E$503,"A")=0,"",SUMIFS(Log!$I$4:$I$503,Log!$D$4:$D$503,$A9,Log!$B$4:$B$503,D$5,Log!$E$4:$E$503,"A")))</f>
        <v>5337.5</v>
      </c>
      <c r="E9" s="34" t="n">
        <f aca="false">IF($A9="","",IF(SUMIFS(Log!$I$4:$I$503,Log!$D$4:$D$503,$A9,Log!$B$4:$B$503,E$5,Log!$E$4:$E$503,"A")=0,"",SUMIFS(Log!$I$4:$I$503,Log!$D$4:$D$503,$A9,Log!$B$4:$B$503,E$5,Log!$E$4:$E$503,"A")))</f>
        <v>6862.5</v>
      </c>
      <c r="F9" s="34" t="str">
        <f aca="false">IF($A9="","",IF(SUMIFS(Log!$I$4:$I$503,Log!$D$4:$D$503,$A9,Log!$B$4:$B$503,F$5,Log!$E$4:$E$503,"A")=0,"",SUMIFS(Log!$I$4:$I$503,Log!$D$4:$D$503,$A9,Log!$B$4:$B$503,F$5,Log!$E$4:$E$503,"A")))</f>
        <v/>
      </c>
      <c r="G9" s="34" t="str">
        <f aca="false">IF($A9="","",IF(SUMIFS(Log!$I$4:$I$503,Log!$D$4:$D$503,$A9,Log!$B$4:$B$503,G$5,Log!$E$4:$E$503,"A")=0,"",SUMIFS(Log!$I$4:$I$503,Log!$D$4:$D$503,$A9,Log!$B$4:$B$503,G$5,Log!$E$4:$E$503,"A")))</f>
        <v/>
      </c>
      <c r="H9" s="34" t="str">
        <f aca="false">IF($A9="","",IF(SUMIFS(Log!$I$4:$I$503,Log!$D$4:$D$503,$A9,Log!$B$4:$B$503,H$5,Log!$E$4:$E$503,"A")=0,"",SUMIFS(Log!$I$4:$I$503,Log!$D$4:$D$503,$A9,Log!$B$4:$B$503,H$5,Log!$E$4:$E$503,"A")))</f>
        <v/>
      </c>
      <c r="I9" s="34" t="str">
        <f aca="false">IF($A9="","",IF(SUMIFS(Log!$I$4:$I$503,Log!$D$4:$D$503,$A9,Log!$B$4:$B$503,I$5,Log!$E$4:$E$503,"A")=0,"",SUMIFS(Log!$I$4:$I$503,Log!$D$4:$D$503,$A9,Log!$B$4:$B$503,I$5,Log!$E$4:$E$503,"A")))</f>
        <v/>
      </c>
      <c r="J9" s="34" t="str">
        <f aca="false">IF($A9="","",IF(SUMIFS(Log!$I$4:$I$503,Log!$D$4:$D$503,$A9,Log!$B$4:$B$503,J$5,Log!$E$4:$E$503,"A")=0,"",SUMIFS(Log!$I$4:$I$503,Log!$D$4:$D$503,$A9,Log!$B$4:$B$503,J$5,Log!$E$4:$E$503,"A")))</f>
        <v/>
      </c>
      <c r="K9" s="34" t="str">
        <f aca="false">IF($A9="","",IF(SUMIFS(Log!$I$4:$I$503,Log!$D$4:$D$503,$A9,Log!$B$4:$B$503,K$5,Log!$E$4:$E$503,"A")=0,"",SUMIFS(Log!$I$4:$I$503,Log!$D$4:$D$503,$A9,Log!$B$4:$B$503,K$5,Log!$E$4:$E$503,"A")))</f>
        <v/>
      </c>
      <c r="L9" s="34" t="str">
        <f aca="false">IF($A9="","",IF(SUMIFS(Log!$I$4:$I$503,Log!$D$4:$D$503,$A9,Log!$B$4:$B$503,L$5,Log!$E$4:$E$503,"A")=0,"",SUMIFS(Log!$I$4:$I$503,Log!$D$4:$D$503,$A9,Log!$B$4:$B$503,L$5,Log!$E$4:$E$503,"A")))</f>
        <v/>
      </c>
      <c r="M9" s="34" t="str">
        <f aca="false">IF($A9="","",IF(SUMIFS(Log!$I$4:$I$503,Log!$D$4:$D$503,$A9,Log!$B$4:$B$503,M$5,Log!$E$4:$E$503,"A")=0,"",SUMIFS(Log!$I$4:$I$503,Log!$D$4:$D$503,$A9,Log!$B$4:$B$503,M$5,Log!$E$4:$E$503,"A")))</f>
        <v/>
      </c>
      <c r="N9" s="34" t="str">
        <f aca="false">IF($A9="","",IF(SUMIFS(Log!$I$4:$I$503,Log!$D$4:$D$503,$A9,Log!$B$4:$B$503,N$5,Log!$E$4:$E$503,"A")=0,"",SUMIFS(Log!$I$4:$I$503,Log!$D$4:$D$503,$A9,Log!$B$4:$B$503,N$5,Log!$E$4:$E$503,"A")))</f>
        <v/>
      </c>
      <c r="O9" s="34" t="str">
        <f aca="false">IF($A9="","",IF(SUMIFS(Log!$I$4:$I$503,Log!$D$4:$D$503,$A9,Log!$B$4:$B$503,O$5,Log!$E$4:$E$503,"A")=0,"",SUMIFS(Log!$I$4:$I$503,Log!$D$4:$D$503,$A9,Log!$B$4:$B$503,O$5,Log!$E$4:$E$503,"A")))</f>
        <v/>
      </c>
      <c r="P9" s="34" t="str">
        <f aca="false">IF($A9="","",IF(SUMIFS(Log!$I$4:$I$503,Log!$D$4:$D$503,$A9,Log!$B$4:$B$503,P$5,Log!$E$4:$E$503,"A")=0,"",SUMIFS(Log!$I$4:$I$503,Log!$D$4:$D$503,$A9,Log!$B$4:$B$503,P$5,Log!$E$4:$E$503,"A")))</f>
        <v/>
      </c>
      <c r="Q9" s="34" t="str">
        <f aca="false">IF($A9="","",IF(SUMIFS(Log!$I$4:$I$503,Log!$D$4:$D$503,$A9,Log!$B$4:$B$503,Q$5,Log!$E$4:$E$503,"A")=0,"",SUMIFS(Log!$I$4:$I$503,Log!$D$4:$D$503,$A9,Log!$B$4:$B$503,Q$5,Log!$E$4:$E$503,"A")))</f>
        <v/>
      </c>
      <c r="R9" s="32" t="n">
        <f aca="false">IF(COUNT(B9:Q9)=0,"",SUM(B9:Q9))</f>
        <v>21807.5</v>
      </c>
    </row>
    <row r="10" customFormat="false" ht="16.5" hidden="false" customHeight="true" outlineLevel="0" collapsed="false">
      <c r="A10" s="30" t="str">
        <f aca="false">IF(Übungen!$A8="","",Übungen!$A8)</f>
        <v>Rumänisches Kreuzheben</v>
      </c>
      <c r="B10" s="31" t="str">
        <f aca="false">IF($A10="","",IF(SUMIFS(Log!$I$4:$I$503,Log!$D$4:$D$503,$A10,Log!$B$4:$B$503,B$5,Log!$E$4:$E$503,"A")=0,"",SUMIFS(Log!$I$4:$I$503,Log!$D$4:$D$503,$A10,Log!$B$4:$B$503,B$5,Log!$E$4:$E$503,"A")))</f>
        <v/>
      </c>
      <c r="C10" s="31" t="str">
        <f aca="false">IF($A10="","",IF(SUMIFS(Log!$I$4:$I$503,Log!$D$4:$D$503,$A10,Log!$B$4:$B$503,C$5,Log!$E$4:$E$503,"A")=0,"",SUMIFS(Log!$I$4:$I$503,Log!$D$4:$D$503,$A10,Log!$B$4:$B$503,C$5,Log!$E$4:$E$503,"A")))</f>
        <v/>
      </c>
      <c r="D10" s="31" t="str">
        <f aca="false">IF($A10="","",IF(SUMIFS(Log!$I$4:$I$503,Log!$D$4:$D$503,$A10,Log!$B$4:$B$503,D$5,Log!$E$4:$E$503,"A")=0,"",SUMIFS(Log!$I$4:$I$503,Log!$D$4:$D$503,$A10,Log!$B$4:$B$503,D$5,Log!$E$4:$E$503,"A")))</f>
        <v/>
      </c>
      <c r="E10" s="31" t="str">
        <f aca="false">IF($A10="","",IF(SUMIFS(Log!$I$4:$I$503,Log!$D$4:$D$503,$A10,Log!$B$4:$B$503,E$5,Log!$E$4:$E$503,"A")=0,"",SUMIFS(Log!$I$4:$I$503,Log!$D$4:$D$503,$A10,Log!$B$4:$B$503,E$5,Log!$E$4:$E$503,"A")))</f>
        <v/>
      </c>
      <c r="F10" s="31" t="str">
        <f aca="false">IF($A10="","",IF(SUMIFS(Log!$I$4:$I$503,Log!$D$4:$D$503,$A10,Log!$B$4:$B$503,F$5,Log!$E$4:$E$503,"A")=0,"",SUMIFS(Log!$I$4:$I$503,Log!$D$4:$D$503,$A10,Log!$B$4:$B$503,F$5,Log!$E$4:$E$503,"A")))</f>
        <v/>
      </c>
      <c r="G10" s="31" t="str">
        <f aca="false">IF($A10="","",IF(SUMIFS(Log!$I$4:$I$503,Log!$D$4:$D$503,$A10,Log!$B$4:$B$503,G$5,Log!$E$4:$E$503,"A")=0,"",SUMIFS(Log!$I$4:$I$503,Log!$D$4:$D$503,$A10,Log!$B$4:$B$503,G$5,Log!$E$4:$E$503,"A")))</f>
        <v/>
      </c>
      <c r="H10" s="31" t="str">
        <f aca="false">IF($A10="","",IF(SUMIFS(Log!$I$4:$I$503,Log!$D$4:$D$503,$A10,Log!$B$4:$B$503,H$5,Log!$E$4:$E$503,"A")=0,"",SUMIFS(Log!$I$4:$I$503,Log!$D$4:$D$503,$A10,Log!$B$4:$B$503,H$5,Log!$E$4:$E$503,"A")))</f>
        <v/>
      </c>
      <c r="I10" s="31" t="str">
        <f aca="false">IF($A10="","",IF(SUMIFS(Log!$I$4:$I$503,Log!$D$4:$D$503,$A10,Log!$B$4:$B$503,I$5,Log!$E$4:$E$503,"A")=0,"",SUMIFS(Log!$I$4:$I$503,Log!$D$4:$D$503,$A10,Log!$B$4:$B$503,I$5,Log!$E$4:$E$503,"A")))</f>
        <v/>
      </c>
      <c r="J10" s="31" t="str">
        <f aca="false">IF($A10="","",IF(SUMIFS(Log!$I$4:$I$503,Log!$D$4:$D$503,$A10,Log!$B$4:$B$503,J$5,Log!$E$4:$E$503,"A")=0,"",SUMIFS(Log!$I$4:$I$503,Log!$D$4:$D$503,$A10,Log!$B$4:$B$503,J$5,Log!$E$4:$E$503,"A")))</f>
        <v/>
      </c>
      <c r="K10" s="31" t="str">
        <f aca="false">IF($A10="","",IF(SUMIFS(Log!$I$4:$I$503,Log!$D$4:$D$503,$A10,Log!$B$4:$B$503,K$5,Log!$E$4:$E$503,"A")=0,"",SUMIFS(Log!$I$4:$I$503,Log!$D$4:$D$503,$A10,Log!$B$4:$B$503,K$5,Log!$E$4:$E$503,"A")))</f>
        <v/>
      </c>
      <c r="L10" s="31" t="str">
        <f aca="false">IF($A10="","",IF(SUMIFS(Log!$I$4:$I$503,Log!$D$4:$D$503,$A10,Log!$B$4:$B$503,L$5,Log!$E$4:$E$503,"A")=0,"",SUMIFS(Log!$I$4:$I$503,Log!$D$4:$D$503,$A10,Log!$B$4:$B$503,L$5,Log!$E$4:$E$503,"A")))</f>
        <v/>
      </c>
      <c r="M10" s="31" t="str">
        <f aca="false">IF($A10="","",IF(SUMIFS(Log!$I$4:$I$503,Log!$D$4:$D$503,$A10,Log!$B$4:$B$503,M$5,Log!$E$4:$E$503,"A")=0,"",SUMIFS(Log!$I$4:$I$503,Log!$D$4:$D$503,$A10,Log!$B$4:$B$503,M$5,Log!$E$4:$E$503,"A")))</f>
        <v/>
      </c>
      <c r="N10" s="31" t="str">
        <f aca="false">IF($A10="","",IF(SUMIFS(Log!$I$4:$I$503,Log!$D$4:$D$503,$A10,Log!$B$4:$B$503,N$5,Log!$E$4:$E$503,"A")=0,"",SUMIFS(Log!$I$4:$I$503,Log!$D$4:$D$503,$A10,Log!$B$4:$B$503,N$5,Log!$E$4:$E$503,"A")))</f>
        <v/>
      </c>
      <c r="O10" s="31" t="str">
        <f aca="false">IF($A10="","",IF(SUMIFS(Log!$I$4:$I$503,Log!$D$4:$D$503,$A10,Log!$B$4:$B$503,O$5,Log!$E$4:$E$503,"A")=0,"",SUMIFS(Log!$I$4:$I$503,Log!$D$4:$D$503,$A10,Log!$B$4:$B$503,O$5,Log!$E$4:$E$503,"A")))</f>
        <v/>
      </c>
      <c r="P10" s="31" t="str">
        <f aca="false">IF($A10="","",IF(SUMIFS(Log!$I$4:$I$503,Log!$D$4:$D$503,$A10,Log!$B$4:$B$503,P$5,Log!$E$4:$E$503,"A")=0,"",SUMIFS(Log!$I$4:$I$503,Log!$D$4:$D$503,$A10,Log!$B$4:$B$503,P$5,Log!$E$4:$E$503,"A")))</f>
        <v/>
      </c>
      <c r="Q10" s="31" t="str">
        <f aca="false">IF($A10="","",IF(SUMIFS(Log!$I$4:$I$503,Log!$D$4:$D$503,$A10,Log!$B$4:$B$503,Q$5,Log!$E$4:$E$503,"A")=0,"",SUMIFS(Log!$I$4:$I$503,Log!$D$4:$D$503,$A10,Log!$B$4:$B$503,Q$5,Log!$E$4:$E$503,"A")))</f>
        <v/>
      </c>
      <c r="R10" s="32" t="str">
        <f aca="false">IF(COUNT(B10:Q10)=0,"",SUM(B10:Q10))</f>
        <v/>
      </c>
    </row>
    <row r="11" customFormat="false" ht="16.5" hidden="false" customHeight="true" outlineLevel="0" collapsed="false">
      <c r="A11" s="33" t="str">
        <f aca="false">IF(Übungen!$A9="","",Übungen!$A9)</f>
        <v>Hip Thrust</v>
      </c>
      <c r="B11" s="34" t="n">
        <f aca="false">IF($A11="","",IF(SUMIFS(Log!$I$4:$I$503,Log!$D$4:$D$503,$A11,Log!$B$4:$B$503,B$5,Log!$E$4:$E$503,"A")=0,"",SUMIFS(Log!$I$4:$I$503,Log!$D$4:$D$503,$A11,Log!$B$4:$B$503,B$5,Log!$E$4:$E$503,"A")))</f>
        <v>4560</v>
      </c>
      <c r="C11" s="34" t="n">
        <f aca="false">IF($A11="","",IF(SUMIFS(Log!$I$4:$I$503,Log!$D$4:$D$503,$A11,Log!$B$4:$B$503,C$5,Log!$E$4:$E$503,"A")=0,"",SUMIFS(Log!$I$4:$I$503,Log!$D$4:$D$503,$A11,Log!$B$4:$B$503,C$5,Log!$E$4:$E$503,"A")))</f>
        <v>4080</v>
      </c>
      <c r="D11" s="34" t="n">
        <f aca="false">IF($A11="","",IF(SUMIFS(Log!$I$4:$I$503,Log!$D$4:$D$503,$A11,Log!$B$4:$B$503,D$5,Log!$E$4:$E$503,"A")=0,"",SUMIFS(Log!$I$4:$I$503,Log!$D$4:$D$503,$A11,Log!$B$4:$B$503,D$5,Log!$E$4:$E$503,"A")))</f>
        <v>4940</v>
      </c>
      <c r="E11" s="34" t="n">
        <f aca="false">IF($A11="","",IF(SUMIFS(Log!$I$4:$I$503,Log!$D$4:$D$503,$A11,Log!$B$4:$B$503,E$5,Log!$E$4:$E$503,"A")=0,"",SUMIFS(Log!$I$4:$I$503,Log!$D$4:$D$503,$A11,Log!$B$4:$B$503,E$5,Log!$E$4:$E$503,"A")))</f>
        <v>6480</v>
      </c>
      <c r="F11" s="34" t="str">
        <f aca="false">IF($A11="","",IF(SUMIFS(Log!$I$4:$I$503,Log!$D$4:$D$503,$A11,Log!$B$4:$B$503,F$5,Log!$E$4:$E$503,"A")=0,"",SUMIFS(Log!$I$4:$I$503,Log!$D$4:$D$503,$A11,Log!$B$4:$B$503,F$5,Log!$E$4:$E$503,"A")))</f>
        <v/>
      </c>
      <c r="G11" s="34" t="str">
        <f aca="false">IF($A11="","",IF(SUMIFS(Log!$I$4:$I$503,Log!$D$4:$D$503,$A11,Log!$B$4:$B$503,G$5,Log!$E$4:$E$503,"A")=0,"",SUMIFS(Log!$I$4:$I$503,Log!$D$4:$D$503,$A11,Log!$B$4:$B$503,G$5,Log!$E$4:$E$503,"A")))</f>
        <v/>
      </c>
      <c r="H11" s="34" t="str">
        <f aca="false">IF($A11="","",IF(SUMIFS(Log!$I$4:$I$503,Log!$D$4:$D$503,$A11,Log!$B$4:$B$503,H$5,Log!$E$4:$E$503,"A")=0,"",SUMIFS(Log!$I$4:$I$503,Log!$D$4:$D$503,$A11,Log!$B$4:$B$503,H$5,Log!$E$4:$E$503,"A")))</f>
        <v/>
      </c>
      <c r="I11" s="34" t="str">
        <f aca="false">IF($A11="","",IF(SUMIFS(Log!$I$4:$I$503,Log!$D$4:$D$503,$A11,Log!$B$4:$B$503,I$5,Log!$E$4:$E$503,"A")=0,"",SUMIFS(Log!$I$4:$I$503,Log!$D$4:$D$503,$A11,Log!$B$4:$B$503,I$5,Log!$E$4:$E$503,"A")))</f>
        <v/>
      </c>
      <c r="J11" s="34" t="str">
        <f aca="false">IF($A11="","",IF(SUMIFS(Log!$I$4:$I$503,Log!$D$4:$D$503,$A11,Log!$B$4:$B$503,J$5,Log!$E$4:$E$503,"A")=0,"",SUMIFS(Log!$I$4:$I$503,Log!$D$4:$D$503,$A11,Log!$B$4:$B$503,J$5,Log!$E$4:$E$503,"A")))</f>
        <v/>
      </c>
      <c r="K11" s="34" t="str">
        <f aca="false">IF($A11="","",IF(SUMIFS(Log!$I$4:$I$503,Log!$D$4:$D$503,$A11,Log!$B$4:$B$503,K$5,Log!$E$4:$E$503,"A")=0,"",SUMIFS(Log!$I$4:$I$503,Log!$D$4:$D$503,$A11,Log!$B$4:$B$503,K$5,Log!$E$4:$E$503,"A")))</f>
        <v/>
      </c>
      <c r="L11" s="34" t="str">
        <f aca="false">IF($A11="","",IF(SUMIFS(Log!$I$4:$I$503,Log!$D$4:$D$503,$A11,Log!$B$4:$B$503,L$5,Log!$E$4:$E$503,"A")=0,"",SUMIFS(Log!$I$4:$I$503,Log!$D$4:$D$503,$A11,Log!$B$4:$B$503,L$5,Log!$E$4:$E$503,"A")))</f>
        <v/>
      </c>
      <c r="M11" s="34" t="str">
        <f aca="false">IF($A11="","",IF(SUMIFS(Log!$I$4:$I$503,Log!$D$4:$D$503,$A11,Log!$B$4:$B$503,M$5,Log!$E$4:$E$503,"A")=0,"",SUMIFS(Log!$I$4:$I$503,Log!$D$4:$D$503,$A11,Log!$B$4:$B$503,M$5,Log!$E$4:$E$503,"A")))</f>
        <v/>
      </c>
      <c r="N11" s="34" t="str">
        <f aca="false">IF($A11="","",IF(SUMIFS(Log!$I$4:$I$503,Log!$D$4:$D$503,$A11,Log!$B$4:$B$503,N$5,Log!$E$4:$E$503,"A")=0,"",SUMIFS(Log!$I$4:$I$503,Log!$D$4:$D$503,$A11,Log!$B$4:$B$503,N$5,Log!$E$4:$E$503,"A")))</f>
        <v/>
      </c>
      <c r="O11" s="34" t="str">
        <f aca="false">IF($A11="","",IF(SUMIFS(Log!$I$4:$I$503,Log!$D$4:$D$503,$A11,Log!$B$4:$B$503,O$5,Log!$E$4:$E$503,"A")=0,"",SUMIFS(Log!$I$4:$I$503,Log!$D$4:$D$503,$A11,Log!$B$4:$B$503,O$5,Log!$E$4:$E$503,"A")))</f>
        <v/>
      </c>
      <c r="P11" s="34" t="str">
        <f aca="false">IF($A11="","",IF(SUMIFS(Log!$I$4:$I$503,Log!$D$4:$D$503,$A11,Log!$B$4:$B$503,P$5,Log!$E$4:$E$503,"A")=0,"",SUMIFS(Log!$I$4:$I$503,Log!$D$4:$D$503,$A11,Log!$B$4:$B$503,P$5,Log!$E$4:$E$503,"A")))</f>
        <v/>
      </c>
      <c r="Q11" s="34" t="str">
        <f aca="false">IF($A11="","",IF(SUMIFS(Log!$I$4:$I$503,Log!$D$4:$D$503,$A11,Log!$B$4:$B$503,Q$5,Log!$E$4:$E$503,"A")=0,"",SUMIFS(Log!$I$4:$I$503,Log!$D$4:$D$503,$A11,Log!$B$4:$B$503,Q$5,Log!$E$4:$E$503,"A")))</f>
        <v/>
      </c>
      <c r="R11" s="32" t="n">
        <f aca="false">IF(COUNT(B11:Q11)=0,"",SUM(B11:Q11))</f>
        <v>20060</v>
      </c>
    </row>
    <row r="12" customFormat="false" ht="16.5" hidden="false" customHeight="true" outlineLevel="0" collapsed="false">
      <c r="A12" s="30" t="str">
        <f aca="false">IF(Übungen!$A10="","",Übungen!$A10)</f>
        <v>Beinbeuger</v>
      </c>
      <c r="B12" s="31" t="n">
        <f aca="false">IF($A12="","",IF(SUMIFS(Log!$I$4:$I$503,Log!$D$4:$D$503,$A12,Log!$B$4:$B$503,B$5,Log!$E$4:$E$503,"A")=0,"",SUMIFS(Log!$I$4:$I$503,Log!$D$4:$D$503,$A12,Log!$B$4:$B$503,B$5,Log!$E$4:$E$503,"A")))</f>
        <v>1130</v>
      </c>
      <c r="C12" s="31" t="n">
        <f aca="false">IF($A12="","",IF(SUMIFS(Log!$I$4:$I$503,Log!$D$4:$D$503,$A12,Log!$B$4:$B$503,C$5,Log!$E$4:$E$503,"A")=0,"",SUMIFS(Log!$I$4:$I$503,Log!$D$4:$D$503,$A12,Log!$B$4:$B$503,C$5,Log!$E$4:$E$503,"A")))</f>
        <v>1150</v>
      </c>
      <c r="D12" s="31" t="n">
        <f aca="false">IF($A12="","",IF(SUMIFS(Log!$I$4:$I$503,Log!$D$4:$D$503,$A12,Log!$B$4:$B$503,D$5,Log!$E$4:$E$503,"A")=0,"",SUMIFS(Log!$I$4:$I$503,Log!$D$4:$D$503,$A12,Log!$B$4:$B$503,D$5,Log!$E$4:$E$503,"A")))</f>
        <v>1275</v>
      </c>
      <c r="E12" s="31" t="str">
        <f aca="false">IF($A12="","",IF(SUMIFS(Log!$I$4:$I$503,Log!$D$4:$D$503,$A12,Log!$B$4:$B$503,E$5,Log!$E$4:$E$503,"A")=0,"",SUMIFS(Log!$I$4:$I$503,Log!$D$4:$D$503,$A12,Log!$B$4:$B$503,E$5,Log!$E$4:$E$503,"A")))</f>
        <v/>
      </c>
      <c r="F12" s="31" t="str">
        <f aca="false">IF($A12="","",IF(SUMIFS(Log!$I$4:$I$503,Log!$D$4:$D$503,$A12,Log!$B$4:$B$503,F$5,Log!$E$4:$E$503,"A")=0,"",SUMIFS(Log!$I$4:$I$503,Log!$D$4:$D$503,$A12,Log!$B$4:$B$503,F$5,Log!$E$4:$E$503,"A")))</f>
        <v/>
      </c>
      <c r="G12" s="31" t="str">
        <f aca="false">IF($A12="","",IF(SUMIFS(Log!$I$4:$I$503,Log!$D$4:$D$503,$A12,Log!$B$4:$B$503,G$5,Log!$E$4:$E$503,"A")=0,"",SUMIFS(Log!$I$4:$I$503,Log!$D$4:$D$503,$A12,Log!$B$4:$B$503,G$5,Log!$E$4:$E$503,"A")))</f>
        <v/>
      </c>
      <c r="H12" s="31" t="str">
        <f aca="false">IF($A12="","",IF(SUMIFS(Log!$I$4:$I$503,Log!$D$4:$D$503,$A12,Log!$B$4:$B$503,H$5,Log!$E$4:$E$503,"A")=0,"",SUMIFS(Log!$I$4:$I$503,Log!$D$4:$D$503,$A12,Log!$B$4:$B$503,H$5,Log!$E$4:$E$503,"A")))</f>
        <v/>
      </c>
      <c r="I12" s="31" t="str">
        <f aca="false">IF($A12="","",IF(SUMIFS(Log!$I$4:$I$503,Log!$D$4:$D$503,$A12,Log!$B$4:$B$503,I$5,Log!$E$4:$E$503,"A")=0,"",SUMIFS(Log!$I$4:$I$503,Log!$D$4:$D$503,$A12,Log!$B$4:$B$503,I$5,Log!$E$4:$E$503,"A")))</f>
        <v/>
      </c>
      <c r="J12" s="31" t="str">
        <f aca="false">IF($A12="","",IF(SUMIFS(Log!$I$4:$I$503,Log!$D$4:$D$503,$A12,Log!$B$4:$B$503,J$5,Log!$E$4:$E$503,"A")=0,"",SUMIFS(Log!$I$4:$I$503,Log!$D$4:$D$503,$A12,Log!$B$4:$B$503,J$5,Log!$E$4:$E$503,"A")))</f>
        <v/>
      </c>
      <c r="K12" s="31" t="str">
        <f aca="false">IF($A12="","",IF(SUMIFS(Log!$I$4:$I$503,Log!$D$4:$D$503,$A12,Log!$B$4:$B$503,K$5,Log!$E$4:$E$503,"A")=0,"",SUMIFS(Log!$I$4:$I$503,Log!$D$4:$D$503,$A12,Log!$B$4:$B$503,K$5,Log!$E$4:$E$503,"A")))</f>
        <v/>
      </c>
      <c r="L12" s="31" t="str">
        <f aca="false">IF($A12="","",IF(SUMIFS(Log!$I$4:$I$503,Log!$D$4:$D$503,$A12,Log!$B$4:$B$503,L$5,Log!$E$4:$E$503,"A")=0,"",SUMIFS(Log!$I$4:$I$503,Log!$D$4:$D$503,$A12,Log!$B$4:$B$503,L$5,Log!$E$4:$E$503,"A")))</f>
        <v/>
      </c>
      <c r="M12" s="31" t="str">
        <f aca="false">IF($A12="","",IF(SUMIFS(Log!$I$4:$I$503,Log!$D$4:$D$503,$A12,Log!$B$4:$B$503,M$5,Log!$E$4:$E$503,"A")=0,"",SUMIFS(Log!$I$4:$I$503,Log!$D$4:$D$503,$A12,Log!$B$4:$B$503,M$5,Log!$E$4:$E$503,"A")))</f>
        <v/>
      </c>
      <c r="N12" s="31" t="str">
        <f aca="false">IF($A12="","",IF(SUMIFS(Log!$I$4:$I$503,Log!$D$4:$D$503,$A12,Log!$B$4:$B$503,N$5,Log!$E$4:$E$503,"A")=0,"",SUMIFS(Log!$I$4:$I$503,Log!$D$4:$D$503,$A12,Log!$B$4:$B$503,N$5,Log!$E$4:$E$503,"A")))</f>
        <v/>
      </c>
      <c r="O12" s="31" t="str">
        <f aca="false">IF($A12="","",IF(SUMIFS(Log!$I$4:$I$503,Log!$D$4:$D$503,$A12,Log!$B$4:$B$503,O$5,Log!$E$4:$E$503,"A")=0,"",SUMIFS(Log!$I$4:$I$503,Log!$D$4:$D$503,$A12,Log!$B$4:$B$503,O$5,Log!$E$4:$E$503,"A")))</f>
        <v/>
      </c>
      <c r="P12" s="31" t="str">
        <f aca="false">IF($A12="","",IF(SUMIFS(Log!$I$4:$I$503,Log!$D$4:$D$503,$A12,Log!$B$4:$B$503,P$5,Log!$E$4:$E$503,"A")=0,"",SUMIFS(Log!$I$4:$I$503,Log!$D$4:$D$503,$A12,Log!$B$4:$B$503,P$5,Log!$E$4:$E$503,"A")))</f>
        <v/>
      </c>
      <c r="Q12" s="31" t="str">
        <f aca="false">IF($A12="","",IF(SUMIFS(Log!$I$4:$I$503,Log!$D$4:$D$503,$A12,Log!$B$4:$B$503,Q$5,Log!$E$4:$E$503,"A")=0,"",SUMIFS(Log!$I$4:$I$503,Log!$D$4:$D$503,$A12,Log!$B$4:$B$503,Q$5,Log!$E$4:$E$503,"A")))</f>
        <v/>
      </c>
      <c r="R12" s="32" t="n">
        <f aca="false">IF(COUNT(B12:Q12)=0,"",SUM(B12:Q12))</f>
        <v>3555</v>
      </c>
    </row>
    <row r="13" customFormat="false" ht="16.5" hidden="false" customHeight="true" outlineLevel="0" collapsed="false">
      <c r="A13" s="33" t="str">
        <f aca="false">IF(Übungen!$A11="","",Übungen!$A11)</f>
        <v>Seitliche Kickbacks</v>
      </c>
      <c r="B13" s="34" t="n">
        <f aca="false">IF($A13="","",IF(SUMIFS(Log!$I$4:$I$503,Log!$D$4:$D$503,$A13,Log!$B$4:$B$503,B$5,Log!$E$4:$E$503,"A")=0,"",SUMIFS(Log!$I$4:$I$503,Log!$D$4:$D$503,$A13,Log!$B$4:$B$503,B$5,Log!$E$4:$E$503,"A")))</f>
        <v>1078</v>
      </c>
      <c r="C13" s="34" t="n">
        <f aca="false">IF($A13="","",IF(SUMIFS(Log!$I$4:$I$503,Log!$D$4:$D$503,$A13,Log!$B$4:$B$503,C$5,Log!$E$4:$E$503,"A")=0,"",SUMIFS(Log!$I$4:$I$503,Log!$D$4:$D$503,$A13,Log!$B$4:$B$503,C$5,Log!$E$4:$E$503,"A")))</f>
        <v>975</v>
      </c>
      <c r="D13" s="34" t="str">
        <f aca="false">IF($A13="","",IF(SUMIFS(Log!$I$4:$I$503,Log!$D$4:$D$503,$A13,Log!$B$4:$B$503,D$5,Log!$E$4:$E$503,"A")=0,"",SUMIFS(Log!$I$4:$I$503,Log!$D$4:$D$503,$A13,Log!$B$4:$B$503,D$5,Log!$E$4:$E$503,"A")))</f>
        <v/>
      </c>
      <c r="E13" s="34" t="str">
        <f aca="false">IF($A13="","",IF(SUMIFS(Log!$I$4:$I$503,Log!$D$4:$D$503,$A13,Log!$B$4:$B$503,E$5,Log!$E$4:$E$503,"A")=0,"",SUMIFS(Log!$I$4:$I$503,Log!$D$4:$D$503,$A13,Log!$B$4:$B$503,E$5,Log!$E$4:$E$503,"A")))</f>
        <v/>
      </c>
      <c r="F13" s="34" t="str">
        <f aca="false">IF($A13="","",IF(SUMIFS(Log!$I$4:$I$503,Log!$D$4:$D$503,$A13,Log!$B$4:$B$503,F$5,Log!$E$4:$E$503,"A")=0,"",SUMIFS(Log!$I$4:$I$503,Log!$D$4:$D$503,$A13,Log!$B$4:$B$503,F$5,Log!$E$4:$E$503,"A")))</f>
        <v/>
      </c>
      <c r="G13" s="34" t="str">
        <f aca="false">IF($A13="","",IF(SUMIFS(Log!$I$4:$I$503,Log!$D$4:$D$503,$A13,Log!$B$4:$B$503,G$5,Log!$E$4:$E$503,"A")=0,"",SUMIFS(Log!$I$4:$I$503,Log!$D$4:$D$503,$A13,Log!$B$4:$B$503,G$5,Log!$E$4:$E$503,"A")))</f>
        <v/>
      </c>
      <c r="H13" s="34" t="str">
        <f aca="false">IF($A13="","",IF(SUMIFS(Log!$I$4:$I$503,Log!$D$4:$D$503,$A13,Log!$B$4:$B$503,H$5,Log!$E$4:$E$503,"A")=0,"",SUMIFS(Log!$I$4:$I$503,Log!$D$4:$D$503,$A13,Log!$B$4:$B$503,H$5,Log!$E$4:$E$503,"A")))</f>
        <v/>
      </c>
      <c r="I13" s="34" t="str">
        <f aca="false">IF($A13="","",IF(SUMIFS(Log!$I$4:$I$503,Log!$D$4:$D$503,$A13,Log!$B$4:$B$503,I$5,Log!$E$4:$E$503,"A")=0,"",SUMIFS(Log!$I$4:$I$503,Log!$D$4:$D$503,$A13,Log!$B$4:$B$503,I$5,Log!$E$4:$E$503,"A")))</f>
        <v/>
      </c>
      <c r="J13" s="34" t="str">
        <f aca="false">IF($A13="","",IF(SUMIFS(Log!$I$4:$I$503,Log!$D$4:$D$503,$A13,Log!$B$4:$B$503,J$5,Log!$E$4:$E$503,"A")=0,"",SUMIFS(Log!$I$4:$I$503,Log!$D$4:$D$503,$A13,Log!$B$4:$B$503,J$5,Log!$E$4:$E$503,"A")))</f>
        <v/>
      </c>
      <c r="K13" s="34" t="str">
        <f aca="false">IF($A13="","",IF(SUMIFS(Log!$I$4:$I$503,Log!$D$4:$D$503,$A13,Log!$B$4:$B$503,K$5,Log!$E$4:$E$503,"A")=0,"",SUMIFS(Log!$I$4:$I$503,Log!$D$4:$D$503,$A13,Log!$B$4:$B$503,K$5,Log!$E$4:$E$503,"A")))</f>
        <v/>
      </c>
      <c r="L13" s="34" t="str">
        <f aca="false">IF($A13="","",IF(SUMIFS(Log!$I$4:$I$503,Log!$D$4:$D$503,$A13,Log!$B$4:$B$503,L$5,Log!$E$4:$E$503,"A")=0,"",SUMIFS(Log!$I$4:$I$503,Log!$D$4:$D$503,$A13,Log!$B$4:$B$503,L$5,Log!$E$4:$E$503,"A")))</f>
        <v/>
      </c>
      <c r="M13" s="34" t="str">
        <f aca="false">IF($A13="","",IF(SUMIFS(Log!$I$4:$I$503,Log!$D$4:$D$503,$A13,Log!$B$4:$B$503,M$5,Log!$E$4:$E$503,"A")=0,"",SUMIFS(Log!$I$4:$I$503,Log!$D$4:$D$503,$A13,Log!$B$4:$B$503,M$5,Log!$E$4:$E$503,"A")))</f>
        <v/>
      </c>
      <c r="N13" s="34" t="str">
        <f aca="false">IF($A13="","",IF(SUMIFS(Log!$I$4:$I$503,Log!$D$4:$D$503,$A13,Log!$B$4:$B$503,N$5,Log!$E$4:$E$503,"A")=0,"",SUMIFS(Log!$I$4:$I$503,Log!$D$4:$D$503,$A13,Log!$B$4:$B$503,N$5,Log!$E$4:$E$503,"A")))</f>
        <v/>
      </c>
      <c r="O13" s="34" t="str">
        <f aca="false">IF($A13="","",IF(SUMIFS(Log!$I$4:$I$503,Log!$D$4:$D$503,$A13,Log!$B$4:$B$503,O$5,Log!$E$4:$E$503,"A")=0,"",SUMIFS(Log!$I$4:$I$503,Log!$D$4:$D$503,$A13,Log!$B$4:$B$503,O$5,Log!$E$4:$E$503,"A")))</f>
        <v/>
      </c>
      <c r="P13" s="34" t="str">
        <f aca="false">IF($A13="","",IF(SUMIFS(Log!$I$4:$I$503,Log!$D$4:$D$503,$A13,Log!$B$4:$B$503,P$5,Log!$E$4:$E$503,"A")=0,"",SUMIFS(Log!$I$4:$I$503,Log!$D$4:$D$503,$A13,Log!$B$4:$B$503,P$5,Log!$E$4:$E$503,"A")))</f>
        <v/>
      </c>
      <c r="Q13" s="34" t="str">
        <f aca="false">IF($A13="","",IF(SUMIFS(Log!$I$4:$I$503,Log!$D$4:$D$503,$A13,Log!$B$4:$B$503,Q$5,Log!$E$4:$E$503,"A")=0,"",SUMIFS(Log!$I$4:$I$503,Log!$D$4:$D$503,$A13,Log!$B$4:$B$503,Q$5,Log!$E$4:$E$503,"A")))</f>
        <v/>
      </c>
      <c r="R13" s="32" t="n">
        <f aca="false">IF(COUNT(B13:Q13)=0,"",SUM(B13:Q13))</f>
        <v>2053</v>
      </c>
    </row>
    <row r="14" customFormat="false" ht="16.5" hidden="false" customHeight="true" outlineLevel="0" collapsed="false">
      <c r="A14" s="30" t="str">
        <f aca="false">IF(Übungen!$A12="","",Übungen!$A12)</f>
        <v>Waden</v>
      </c>
      <c r="B14" s="31" t="n">
        <f aca="false">IF($A14="","",IF(SUMIFS(Log!$I$4:$I$503,Log!$D$4:$D$503,$A14,Log!$B$4:$B$503,B$5,Log!$E$4:$E$503,"A")=0,"",SUMIFS(Log!$I$4:$I$503,Log!$D$4:$D$503,$A14,Log!$B$4:$B$503,B$5,Log!$E$4:$E$503,"A")))</f>
        <v>3465</v>
      </c>
      <c r="C14" s="31" t="n">
        <f aca="false">IF($A14="","",IF(SUMIFS(Log!$I$4:$I$503,Log!$D$4:$D$503,$A14,Log!$B$4:$B$503,C$5,Log!$E$4:$E$503,"A")=0,"",SUMIFS(Log!$I$4:$I$503,Log!$D$4:$D$503,$A14,Log!$B$4:$B$503,C$5,Log!$E$4:$E$503,"A")))</f>
        <v>3480</v>
      </c>
      <c r="D14" s="31" t="str">
        <f aca="false">IF($A14="","",IF(SUMIFS(Log!$I$4:$I$503,Log!$D$4:$D$503,$A14,Log!$B$4:$B$503,D$5,Log!$E$4:$E$503,"A")=0,"",SUMIFS(Log!$I$4:$I$503,Log!$D$4:$D$503,$A14,Log!$B$4:$B$503,D$5,Log!$E$4:$E$503,"A")))</f>
        <v/>
      </c>
      <c r="E14" s="31" t="str">
        <f aca="false">IF($A14="","",IF(SUMIFS(Log!$I$4:$I$503,Log!$D$4:$D$503,$A14,Log!$B$4:$B$503,E$5,Log!$E$4:$E$503,"A")=0,"",SUMIFS(Log!$I$4:$I$503,Log!$D$4:$D$503,$A14,Log!$B$4:$B$503,E$5,Log!$E$4:$E$503,"A")))</f>
        <v/>
      </c>
      <c r="F14" s="31" t="str">
        <f aca="false">IF($A14="","",IF(SUMIFS(Log!$I$4:$I$503,Log!$D$4:$D$503,$A14,Log!$B$4:$B$503,F$5,Log!$E$4:$E$503,"A")=0,"",SUMIFS(Log!$I$4:$I$503,Log!$D$4:$D$503,$A14,Log!$B$4:$B$503,F$5,Log!$E$4:$E$503,"A")))</f>
        <v/>
      </c>
      <c r="G14" s="31" t="str">
        <f aca="false">IF($A14="","",IF(SUMIFS(Log!$I$4:$I$503,Log!$D$4:$D$503,$A14,Log!$B$4:$B$503,G$5,Log!$E$4:$E$503,"A")=0,"",SUMIFS(Log!$I$4:$I$503,Log!$D$4:$D$503,$A14,Log!$B$4:$B$503,G$5,Log!$E$4:$E$503,"A")))</f>
        <v/>
      </c>
      <c r="H14" s="31" t="str">
        <f aca="false">IF($A14="","",IF(SUMIFS(Log!$I$4:$I$503,Log!$D$4:$D$503,$A14,Log!$B$4:$B$503,H$5,Log!$E$4:$E$503,"A")=0,"",SUMIFS(Log!$I$4:$I$503,Log!$D$4:$D$503,$A14,Log!$B$4:$B$503,H$5,Log!$E$4:$E$503,"A")))</f>
        <v/>
      </c>
      <c r="I14" s="31" t="str">
        <f aca="false">IF($A14="","",IF(SUMIFS(Log!$I$4:$I$503,Log!$D$4:$D$503,$A14,Log!$B$4:$B$503,I$5,Log!$E$4:$E$503,"A")=0,"",SUMIFS(Log!$I$4:$I$503,Log!$D$4:$D$503,$A14,Log!$B$4:$B$503,I$5,Log!$E$4:$E$503,"A")))</f>
        <v/>
      </c>
      <c r="J14" s="31" t="str">
        <f aca="false">IF($A14="","",IF(SUMIFS(Log!$I$4:$I$503,Log!$D$4:$D$503,$A14,Log!$B$4:$B$503,J$5,Log!$E$4:$E$503,"A")=0,"",SUMIFS(Log!$I$4:$I$503,Log!$D$4:$D$503,$A14,Log!$B$4:$B$503,J$5,Log!$E$4:$E$503,"A")))</f>
        <v/>
      </c>
      <c r="K14" s="31" t="str">
        <f aca="false">IF($A14="","",IF(SUMIFS(Log!$I$4:$I$503,Log!$D$4:$D$503,$A14,Log!$B$4:$B$503,K$5,Log!$E$4:$E$503,"A")=0,"",SUMIFS(Log!$I$4:$I$503,Log!$D$4:$D$503,$A14,Log!$B$4:$B$503,K$5,Log!$E$4:$E$503,"A")))</f>
        <v/>
      </c>
      <c r="L14" s="31" t="str">
        <f aca="false">IF($A14="","",IF(SUMIFS(Log!$I$4:$I$503,Log!$D$4:$D$503,$A14,Log!$B$4:$B$503,L$5,Log!$E$4:$E$503,"A")=0,"",SUMIFS(Log!$I$4:$I$503,Log!$D$4:$D$503,$A14,Log!$B$4:$B$503,L$5,Log!$E$4:$E$503,"A")))</f>
        <v/>
      </c>
      <c r="M14" s="31" t="str">
        <f aca="false">IF($A14="","",IF(SUMIFS(Log!$I$4:$I$503,Log!$D$4:$D$503,$A14,Log!$B$4:$B$503,M$5,Log!$E$4:$E$503,"A")=0,"",SUMIFS(Log!$I$4:$I$503,Log!$D$4:$D$503,$A14,Log!$B$4:$B$503,M$5,Log!$E$4:$E$503,"A")))</f>
        <v/>
      </c>
      <c r="N14" s="31" t="str">
        <f aca="false">IF($A14="","",IF(SUMIFS(Log!$I$4:$I$503,Log!$D$4:$D$503,$A14,Log!$B$4:$B$503,N$5,Log!$E$4:$E$503,"A")=0,"",SUMIFS(Log!$I$4:$I$503,Log!$D$4:$D$503,$A14,Log!$B$4:$B$503,N$5,Log!$E$4:$E$503,"A")))</f>
        <v/>
      </c>
      <c r="O14" s="31" t="str">
        <f aca="false">IF($A14="","",IF(SUMIFS(Log!$I$4:$I$503,Log!$D$4:$D$503,$A14,Log!$B$4:$B$503,O$5,Log!$E$4:$E$503,"A")=0,"",SUMIFS(Log!$I$4:$I$503,Log!$D$4:$D$503,$A14,Log!$B$4:$B$503,O$5,Log!$E$4:$E$503,"A")))</f>
        <v/>
      </c>
      <c r="P14" s="31" t="str">
        <f aca="false">IF($A14="","",IF(SUMIFS(Log!$I$4:$I$503,Log!$D$4:$D$503,$A14,Log!$B$4:$B$503,P$5,Log!$E$4:$E$503,"A")=0,"",SUMIFS(Log!$I$4:$I$503,Log!$D$4:$D$503,$A14,Log!$B$4:$B$503,P$5,Log!$E$4:$E$503,"A")))</f>
        <v/>
      </c>
      <c r="Q14" s="31" t="str">
        <f aca="false">IF($A14="","",IF(SUMIFS(Log!$I$4:$I$503,Log!$D$4:$D$503,$A14,Log!$B$4:$B$503,Q$5,Log!$E$4:$E$503,"A")=0,"",SUMIFS(Log!$I$4:$I$503,Log!$D$4:$D$503,$A14,Log!$B$4:$B$503,Q$5,Log!$E$4:$E$503,"A")))</f>
        <v/>
      </c>
      <c r="R14" s="32" t="n">
        <f aca="false">IF(COUNT(B14:Q14)=0,"",SUM(B14:Q14))</f>
        <v>6945</v>
      </c>
    </row>
    <row r="15" customFormat="false" ht="16.5" hidden="false" customHeight="true" outlineLevel="0" collapsed="false">
      <c r="A15" s="33" t="str">
        <f aca="false">IF(Übungen!$A13="","",Übungen!$A13)</f>
        <v>Lunges</v>
      </c>
      <c r="B15" s="34" t="str">
        <f aca="false">IF($A15="","",IF(SUMIFS(Log!$I$4:$I$503,Log!$D$4:$D$503,$A15,Log!$B$4:$B$503,B$5,Log!$E$4:$E$503,"A")=0,"",SUMIFS(Log!$I$4:$I$503,Log!$D$4:$D$503,$A15,Log!$B$4:$B$503,B$5,Log!$E$4:$E$503,"A")))</f>
        <v/>
      </c>
      <c r="C15" s="34" t="str">
        <f aca="false">IF($A15="","",IF(SUMIFS(Log!$I$4:$I$503,Log!$D$4:$D$503,$A15,Log!$B$4:$B$503,C$5,Log!$E$4:$E$503,"A")=0,"",SUMIFS(Log!$I$4:$I$503,Log!$D$4:$D$503,$A15,Log!$B$4:$B$503,C$5,Log!$E$4:$E$503,"A")))</f>
        <v/>
      </c>
      <c r="D15" s="34" t="str">
        <f aca="false">IF($A15="","",IF(SUMIFS(Log!$I$4:$I$503,Log!$D$4:$D$503,$A15,Log!$B$4:$B$503,D$5,Log!$E$4:$E$503,"A")=0,"",SUMIFS(Log!$I$4:$I$503,Log!$D$4:$D$503,$A15,Log!$B$4:$B$503,D$5,Log!$E$4:$E$503,"A")))</f>
        <v/>
      </c>
      <c r="E15" s="34" t="str">
        <f aca="false">IF($A15="","",IF(SUMIFS(Log!$I$4:$I$503,Log!$D$4:$D$503,$A15,Log!$B$4:$B$503,E$5,Log!$E$4:$E$503,"A")=0,"",SUMIFS(Log!$I$4:$I$503,Log!$D$4:$D$503,$A15,Log!$B$4:$B$503,E$5,Log!$E$4:$E$503,"A")))</f>
        <v/>
      </c>
      <c r="F15" s="34" t="str">
        <f aca="false">IF($A15="","",IF(SUMIFS(Log!$I$4:$I$503,Log!$D$4:$D$503,$A15,Log!$B$4:$B$503,F$5,Log!$E$4:$E$503,"A")=0,"",SUMIFS(Log!$I$4:$I$503,Log!$D$4:$D$503,$A15,Log!$B$4:$B$503,F$5,Log!$E$4:$E$503,"A")))</f>
        <v/>
      </c>
      <c r="G15" s="34" t="str">
        <f aca="false">IF($A15="","",IF(SUMIFS(Log!$I$4:$I$503,Log!$D$4:$D$503,$A15,Log!$B$4:$B$503,G$5,Log!$E$4:$E$503,"A")=0,"",SUMIFS(Log!$I$4:$I$503,Log!$D$4:$D$503,$A15,Log!$B$4:$B$503,G$5,Log!$E$4:$E$503,"A")))</f>
        <v/>
      </c>
      <c r="H15" s="34" t="str">
        <f aca="false">IF($A15="","",IF(SUMIFS(Log!$I$4:$I$503,Log!$D$4:$D$503,$A15,Log!$B$4:$B$503,H$5,Log!$E$4:$E$503,"A")=0,"",SUMIFS(Log!$I$4:$I$503,Log!$D$4:$D$503,$A15,Log!$B$4:$B$503,H$5,Log!$E$4:$E$503,"A")))</f>
        <v/>
      </c>
      <c r="I15" s="34" t="str">
        <f aca="false">IF($A15="","",IF(SUMIFS(Log!$I$4:$I$503,Log!$D$4:$D$503,$A15,Log!$B$4:$B$503,I$5,Log!$E$4:$E$503,"A")=0,"",SUMIFS(Log!$I$4:$I$503,Log!$D$4:$D$503,$A15,Log!$B$4:$B$503,I$5,Log!$E$4:$E$503,"A")))</f>
        <v/>
      </c>
      <c r="J15" s="34" t="str">
        <f aca="false">IF($A15="","",IF(SUMIFS(Log!$I$4:$I$503,Log!$D$4:$D$503,$A15,Log!$B$4:$B$503,J$5,Log!$E$4:$E$503,"A")=0,"",SUMIFS(Log!$I$4:$I$503,Log!$D$4:$D$503,$A15,Log!$B$4:$B$503,J$5,Log!$E$4:$E$503,"A")))</f>
        <v/>
      </c>
      <c r="K15" s="34" t="str">
        <f aca="false">IF($A15="","",IF(SUMIFS(Log!$I$4:$I$503,Log!$D$4:$D$503,$A15,Log!$B$4:$B$503,K$5,Log!$E$4:$E$503,"A")=0,"",SUMIFS(Log!$I$4:$I$503,Log!$D$4:$D$503,$A15,Log!$B$4:$B$503,K$5,Log!$E$4:$E$503,"A")))</f>
        <v/>
      </c>
      <c r="L15" s="34" t="str">
        <f aca="false">IF($A15="","",IF(SUMIFS(Log!$I$4:$I$503,Log!$D$4:$D$503,$A15,Log!$B$4:$B$503,L$5,Log!$E$4:$E$503,"A")=0,"",SUMIFS(Log!$I$4:$I$503,Log!$D$4:$D$503,$A15,Log!$B$4:$B$503,L$5,Log!$E$4:$E$503,"A")))</f>
        <v/>
      </c>
      <c r="M15" s="34" t="str">
        <f aca="false">IF($A15="","",IF(SUMIFS(Log!$I$4:$I$503,Log!$D$4:$D$503,$A15,Log!$B$4:$B$503,M$5,Log!$E$4:$E$503,"A")=0,"",SUMIFS(Log!$I$4:$I$503,Log!$D$4:$D$503,$A15,Log!$B$4:$B$503,M$5,Log!$E$4:$E$503,"A")))</f>
        <v/>
      </c>
      <c r="N15" s="34" t="str">
        <f aca="false">IF($A15="","",IF(SUMIFS(Log!$I$4:$I$503,Log!$D$4:$D$503,$A15,Log!$B$4:$B$503,N$5,Log!$E$4:$E$503,"A")=0,"",SUMIFS(Log!$I$4:$I$503,Log!$D$4:$D$503,$A15,Log!$B$4:$B$503,N$5,Log!$E$4:$E$503,"A")))</f>
        <v/>
      </c>
      <c r="O15" s="34" t="str">
        <f aca="false">IF($A15="","",IF(SUMIFS(Log!$I$4:$I$503,Log!$D$4:$D$503,$A15,Log!$B$4:$B$503,O$5,Log!$E$4:$E$503,"A")=0,"",SUMIFS(Log!$I$4:$I$503,Log!$D$4:$D$503,$A15,Log!$B$4:$B$503,O$5,Log!$E$4:$E$503,"A")))</f>
        <v/>
      </c>
      <c r="P15" s="34" t="str">
        <f aca="false">IF($A15="","",IF(SUMIFS(Log!$I$4:$I$503,Log!$D$4:$D$503,$A15,Log!$B$4:$B$503,P$5,Log!$E$4:$E$503,"A")=0,"",SUMIFS(Log!$I$4:$I$503,Log!$D$4:$D$503,$A15,Log!$B$4:$B$503,P$5,Log!$E$4:$E$503,"A")))</f>
        <v/>
      </c>
      <c r="Q15" s="34" t="str">
        <f aca="false">IF($A15="","",IF(SUMIFS(Log!$I$4:$I$503,Log!$D$4:$D$503,$A15,Log!$B$4:$B$503,Q$5,Log!$E$4:$E$503,"A")=0,"",SUMIFS(Log!$I$4:$I$503,Log!$D$4:$D$503,$A15,Log!$B$4:$B$503,Q$5,Log!$E$4:$E$503,"A")))</f>
        <v/>
      </c>
      <c r="R15" s="32" t="str">
        <f aca="false">IF(COUNT(B15:Q15)=0,"",SUM(B15:Q15))</f>
        <v/>
      </c>
    </row>
    <row r="16" customFormat="false" ht="16.5" hidden="false" customHeight="true" outlineLevel="0" collapsed="false">
      <c r="A16" s="30" t="str">
        <f aca="false">IF(Übungen!$A14="","",Übungen!$A14)</f>
        <v>Kickback</v>
      </c>
      <c r="B16" s="31" t="n">
        <f aca="false">IF($A16="","",IF(SUMIFS(Log!$I$4:$I$503,Log!$D$4:$D$503,$A16,Log!$B$4:$B$503,B$5,Log!$E$4:$E$503,"A")=0,"",SUMIFS(Log!$I$4:$I$503,Log!$D$4:$D$503,$A16,Log!$B$4:$B$503,B$5,Log!$E$4:$E$503,"A")))</f>
        <v>1974</v>
      </c>
      <c r="C16" s="31" t="n">
        <f aca="false">IF($A16="","",IF(SUMIFS(Log!$I$4:$I$503,Log!$D$4:$D$503,$A16,Log!$B$4:$B$503,C$5,Log!$E$4:$E$503,"A")=0,"",SUMIFS(Log!$I$4:$I$503,Log!$D$4:$D$503,$A16,Log!$B$4:$B$503,C$5,Log!$E$4:$E$503,"A")))</f>
        <v>1274</v>
      </c>
      <c r="D16" s="31" t="n">
        <f aca="false">IF($A16="","",IF(SUMIFS(Log!$I$4:$I$503,Log!$D$4:$D$503,$A16,Log!$B$4:$B$503,D$5,Log!$E$4:$E$503,"A")=0,"",SUMIFS(Log!$I$4:$I$503,Log!$D$4:$D$503,$A16,Log!$B$4:$B$503,D$5,Log!$E$4:$E$503,"A")))</f>
        <v>2086</v>
      </c>
      <c r="E16" s="31" t="n">
        <f aca="false">IF($A16="","",IF(SUMIFS(Log!$I$4:$I$503,Log!$D$4:$D$503,$A16,Log!$B$4:$B$503,E$5,Log!$E$4:$E$503,"A")=0,"",SUMIFS(Log!$I$4:$I$503,Log!$D$4:$D$503,$A16,Log!$B$4:$B$503,E$5,Log!$E$4:$E$503,"A")))</f>
        <v>1785</v>
      </c>
      <c r="F16" s="31" t="str">
        <f aca="false">IF($A16="","",IF(SUMIFS(Log!$I$4:$I$503,Log!$D$4:$D$503,$A16,Log!$B$4:$B$503,F$5,Log!$E$4:$E$503,"A")=0,"",SUMIFS(Log!$I$4:$I$503,Log!$D$4:$D$503,$A16,Log!$B$4:$B$503,F$5,Log!$E$4:$E$503,"A")))</f>
        <v/>
      </c>
      <c r="G16" s="31" t="str">
        <f aca="false">IF($A16="","",IF(SUMIFS(Log!$I$4:$I$503,Log!$D$4:$D$503,$A16,Log!$B$4:$B$503,G$5,Log!$E$4:$E$503,"A")=0,"",SUMIFS(Log!$I$4:$I$503,Log!$D$4:$D$503,$A16,Log!$B$4:$B$503,G$5,Log!$E$4:$E$503,"A")))</f>
        <v/>
      </c>
      <c r="H16" s="31" t="str">
        <f aca="false">IF($A16="","",IF(SUMIFS(Log!$I$4:$I$503,Log!$D$4:$D$503,$A16,Log!$B$4:$B$503,H$5,Log!$E$4:$E$503,"A")=0,"",SUMIFS(Log!$I$4:$I$503,Log!$D$4:$D$503,$A16,Log!$B$4:$B$503,H$5,Log!$E$4:$E$503,"A")))</f>
        <v/>
      </c>
      <c r="I16" s="31" t="str">
        <f aca="false">IF($A16="","",IF(SUMIFS(Log!$I$4:$I$503,Log!$D$4:$D$503,$A16,Log!$B$4:$B$503,I$5,Log!$E$4:$E$503,"A")=0,"",SUMIFS(Log!$I$4:$I$503,Log!$D$4:$D$503,$A16,Log!$B$4:$B$503,I$5,Log!$E$4:$E$503,"A")))</f>
        <v/>
      </c>
      <c r="J16" s="31" t="str">
        <f aca="false">IF($A16="","",IF(SUMIFS(Log!$I$4:$I$503,Log!$D$4:$D$503,$A16,Log!$B$4:$B$503,J$5,Log!$E$4:$E$503,"A")=0,"",SUMIFS(Log!$I$4:$I$503,Log!$D$4:$D$503,$A16,Log!$B$4:$B$503,J$5,Log!$E$4:$E$503,"A")))</f>
        <v/>
      </c>
      <c r="K16" s="31" t="str">
        <f aca="false">IF($A16="","",IF(SUMIFS(Log!$I$4:$I$503,Log!$D$4:$D$503,$A16,Log!$B$4:$B$503,K$5,Log!$E$4:$E$503,"A")=0,"",SUMIFS(Log!$I$4:$I$503,Log!$D$4:$D$503,$A16,Log!$B$4:$B$503,K$5,Log!$E$4:$E$503,"A")))</f>
        <v/>
      </c>
      <c r="L16" s="31" t="str">
        <f aca="false">IF($A16="","",IF(SUMIFS(Log!$I$4:$I$503,Log!$D$4:$D$503,$A16,Log!$B$4:$B$503,L$5,Log!$E$4:$E$503,"A")=0,"",SUMIFS(Log!$I$4:$I$503,Log!$D$4:$D$503,$A16,Log!$B$4:$B$503,L$5,Log!$E$4:$E$503,"A")))</f>
        <v/>
      </c>
      <c r="M16" s="31" t="str">
        <f aca="false">IF($A16="","",IF(SUMIFS(Log!$I$4:$I$503,Log!$D$4:$D$503,$A16,Log!$B$4:$B$503,M$5,Log!$E$4:$E$503,"A")=0,"",SUMIFS(Log!$I$4:$I$503,Log!$D$4:$D$503,$A16,Log!$B$4:$B$503,M$5,Log!$E$4:$E$503,"A")))</f>
        <v/>
      </c>
      <c r="N16" s="31" t="str">
        <f aca="false">IF($A16="","",IF(SUMIFS(Log!$I$4:$I$503,Log!$D$4:$D$503,$A16,Log!$B$4:$B$503,N$5,Log!$E$4:$E$503,"A")=0,"",SUMIFS(Log!$I$4:$I$503,Log!$D$4:$D$503,$A16,Log!$B$4:$B$503,N$5,Log!$E$4:$E$503,"A")))</f>
        <v/>
      </c>
      <c r="O16" s="31" t="str">
        <f aca="false">IF($A16="","",IF(SUMIFS(Log!$I$4:$I$503,Log!$D$4:$D$503,$A16,Log!$B$4:$B$503,O$5,Log!$E$4:$E$503,"A")=0,"",SUMIFS(Log!$I$4:$I$503,Log!$D$4:$D$503,$A16,Log!$B$4:$B$503,O$5,Log!$E$4:$E$503,"A")))</f>
        <v/>
      </c>
      <c r="P16" s="31" t="str">
        <f aca="false">IF($A16="","",IF(SUMIFS(Log!$I$4:$I$503,Log!$D$4:$D$503,$A16,Log!$B$4:$B$503,P$5,Log!$E$4:$E$503,"A")=0,"",SUMIFS(Log!$I$4:$I$503,Log!$D$4:$D$503,$A16,Log!$B$4:$B$503,P$5,Log!$E$4:$E$503,"A")))</f>
        <v/>
      </c>
      <c r="Q16" s="31" t="str">
        <f aca="false">IF($A16="","",IF(SUMIFS(Log!$I$4:$I$503,Log!$D$4:$D$503,$A16,Log!$B$4:$B$503,Q$5,Log!$E$4:$E$503,"A")=0,"",SUMIFS(Log!$I$4:$I$503,Log!$D$4:$D$503,$A16,Log!$B$4:$B$503,Q$5,Log!$E$4:$E$503,"A")))</f>
        <v/>
      </c>
      <c r="R16" s="32" t="n">
        <f aca="false">IF(COUNT(B16:Q16)=0,"",SUM(B16:Q16))</f>
        <v>7119</v>
      </c>
    </row>
    <row r="17" customFormat="false" ht="16.5" hidden="false" customHeight="true" outlineLevel="0" collapsed="false">
      <c r="A17" s="33" t="str">
        <f aca="false">IF(Übungen!$A15="","",Übungen!$A15)</f>
        <v/>
      </c>
      <c r="B17" s="34" t="str">
        <f aca="false">IF($A17="","",IF(SUMIFS(Log!$I$4:$I$503,Log!$D$4:$D$503,$A17,Log!$B$4:$B$503,B$5,Log!$E$4:$E$503,"A")=0,"",SUMIFS(Log!$I$4:$I$503,Log!$D$4:$D$503,$A17,Log!$B$4:$B$503,B$5,Log!$E$4:$E$503,"A")))</f>
        <v/>
      </c>
      <c r="C17" s="34" t="str">
        <f aca="false">IF($A17="","",IF(SUMIFS(Log!$I$4:$I$503,Log!$D$4:$D$503,$A17,Log!$B$4:$B$503,C$5,Log!$E$4:$E$503,"A")=0,"",SUMIFS(Log!$I$4:$I$503,Log!$D$4:$D$503,$A17,Log!$B$4:$B$503,C$5,Log!$E$4:$E$503,"A")))</f>
        <v/>
      </c>
      <c r="D17" s="34" t="str">
        <f aca="false">IF($A17="","",IF(SUMIFS(Log!$I$4:$I$503,Log!$D$4:$D$503,$A17,Log!$B$4:$B$503,D$5,Log!$E$4:$E$503,"A")=0,"",SUMIFS(Log!$I$4:$I$503,Log!$D$4:$D$503,$A17,Log!$B$4:$B$503,D$5,Log!$E$4:$E$503,"A")))</f>
        <v/>
      </c>
      <c r="E17" s="34" t="str">
        <f aca="false">IF($A17="","",IF(SUMIFS(Log!$I$4:$I$503,Log!$D$4:$D$503,$A17,Log!$B$4:$B$503,E$5,Log!$E$4:$E$503,"A")=0,"",SUMIFS(Log!$I$4:$I$503,Log!$D$4:$D$503,$A17,Log!$B$4:$B$503,E$5,Log!$E$4:$E$503,"A")))</f>
        <v/>
      </c>
      <c r="F17" s="34" t="str">
        <f aca="false">IF($A17="","",IF(SUMIFS(Log!$I$4:$I$503,Log!$D$4:$D$503,$A17,Log!$B$4:$B$503,F$5,Log!$E$4:$E$503,"A")=0,"",SUMIFS(Log!$I$4:$I$503,Log!$D$4:$D$503,$A17,Log!$B$4:$B$503,F$5,Log!$E$4:$E$503,"A")))</f>
        <v/>
      </c>
      <c r="G17" s="34" t="str">
        <f aca="false">IF($A17="","",IF(SUMIFS(Log!$I$4:$I$503,Log!$D$4:$D$503,$A17,Log!$B$4:$B$503,G$5,Log!$E$4:$E$503,"A")=0,"",SUMIFS(Log!$I$4:$I$503,Log!$D$4:$D$503,$A17,Log!$B$4:$B$503,G$5,Log!$E$4:$E$503,"A")))</f>
        <v/>
      </c>
      <c r="H17" s="34" t="str">
        <f aca="false">IF($A17="","",IF(SUMIFS(Log!$I$4:$I$503,Log!$D$4:$D$503,$A17,Log!$B$4:$B$503,H$5,Log!$E$4:$E$503,"A")=0,"",SUMIFS(Log!$I$4:$I$503,Log!$D$4:$D$503,$A17,Log!$B$4:$B$503,H$5,Log!$E$4:$E$503,"A")))</f>
        <v/>
      </c>
      <c r="I17" s="34" t="str">
        <f aca="false">IF($A17="","",IF(SUMIFS(Log!$I$4:$I$503,Log!$D$4:$D$503,$A17,Log!$B$4:$B$503,I$5,Log!$E$4:$E$503,"A")=0,"",SUMIFS(Log!$I$4:$I$503,Log!$D$4:$D$503,$A17,Log!$B$4:$B$503,I$5,Log!$E$4:$E$503,"A")))</f>
        <v/>
      </c>
      <c r="J17" s="34" t="str">
        <f aca="false">IF($A17="","",IF(SUMIFS(Log!$I$4:$I$503,Log!$D$4:$D$503,$A17,Log!$B$4:$B$503,J$5,Log!$E$4:$E$503,"A")=0,"",SUMIFS(Log!$I$4:$I$503,Log!$D$4:$D$503,$A17,Log!$B$4:$B$503,J$5,Log!$E$4:$E$503,"A")))</f>
        <v/>
      </c>
      <c r="K17" s="34" t="str">
        <f aca="false">IF($A17="","",IF(SUMIFS(Log!$I$4:$I$503,Log!$D$4:$D$503,$A17,Log!$B$4:$B$503,K$5,Log!$E$4:$E$503,"A")=0,"",SUMIFS(Log!$I$4:$I$503,Log!$D$4:$D$503,$A17,Log!$B$4:$B$503,K$5,Log!$E$4:$E$503,"A")))</f>
        <v/>
      </c>
      <c r="L17" s="34" t="str">
        <f aca="false">IF($A17="","",IF(SUMIFS(Log!$I$4:$I$503,Log!$D$4:$D$503,$A17,Log!$B$4:$B$503,L$5,Log!$E$4:$E$503,"A")=0,"",SUMIFS(Log!$I$4:$I$503,Log!$D$4:$D$503,$A17,Log!$B$4:$B$503,L$5,Log!$E$4:$E$503,"A")))</f>
        <v/>
      </c>
      <c r="M17" s="34" t="str">
        <f aca="false">IF($A17="","",IF(SUMIFS(Log!$I$4:$I$503,Log!$D$4:$D$503,$A17,Log!$B$4:$B$503,M$5,Log!$E$4:$E$503,"A")=0,"",SUMIFS(Log!$I$4:$I$503,Log!$D$4:$D$503,$A17,Log!$B$4:$B$503,M$5,Log!$E$4:$E$503,"A")))</f>
        <v/>
      </c>
      <c r="N17" s="34" t="str">
        <f aca="false">IF($A17="","",IF(SUMIFS(Log!$I$4:$I$503,Log!$D$4:$D$503,$A17,Log!$B$4:$B$503,N$5,Log!$E$4:$E$503,"A")=0,"",SUMIFS(Log!$I$4:$I$503,Log!$D$4:$D$503,$A17,Log!$B$4:$B$503,N$5,Log!$E$4:$E$503,"A")))</f>
        <v/>
      </c>
      <c r="O17" s="34" t="str">
        <f aca="false">IF($A17="","",IF(SUMIFS(Log!$I$4:$I$503,Log!$D$4:$D$503,$A17,Log!$B$4:$B$503,O$5,Log!$E$4:$E$503,"A")=0,"",SUMIFS(Log!$I$4:$I$503,Log!$D$4:$D$503,$A17,Log!$B$4:$B$503,O$5,Log!$E$4:$E$503,"A")))</f>
        <v/>
      </c>
      <c r="P17" s="34" t="str">
        <f aca="false">IF($A17="","",IF(SUMIFS(Log!$I$4:$I$503,Log!$D$4:$D$503,$A17,Log!$B$4:$B$503,P$5,Log!$E$4:$E$503,"A")=0,"",SUMIFS(Log!$I$4:$I$503,Log!$D$4:$D$503,$A17,Log!$B$4:$B$503,P$5,Log!$E$4:$E$503,"A")))</f>
        <v/>
      </c>
      <c r="Q17" s="34" t="str">
        <f aca="false">IF($A17="","",IF(SUMIFS(Log!$I$4:$I$503,Log!$D$4:$D$503,$A17,Log!$B$4:$B$503,Q$5,Log!$E$4:$E$503,"A")=0,"",SUMIFS(Log!$I$4:$I$503,Log!$D$4:$D$503,$A17,Log!$B$4:$B$503,Q$5,Log!$E$4:$E$503,"A")))</f>
        <v/>
      </c>
      <c r="R17" s="32" t="str">
        <f aca="false">IF(COUNT(B17:Q17)=0,"",SUM(B17:Q17))</f>
        <v/>
      </c>
    </row>
    <row r="18" customFormat="false" ht="16.5" hidden="false" customHeight="true" outlineLevel="0" collapsed="false">
      <c r="A18" s="30" t="str">
        <f aca="false">IF(Übungen!$A16="","",Übungen!$A16)</f>
        <v/>
      </c>
      <c r="B18" s="31" t="str">
        <f aca="false">IF($A18="","",IF(SUMIFS(Log!$I$4:$I$503,Log!$D$4:$D$503,$A18,Log!$B$4:$B$503,B$5,Log!$E$4:$E$503,"A")=0,"",SUMIFS(Log!$I$4:$I$503,Log!$D$4:$D$503,$A18,Log!$B$4:$B$503,B$5,Log!$E$4:$E$503,"A")))</f>
        <v/>
      </c>
      <c r="C18" s="31" t="str">
        <f aca="false">IF($A18="","",IF(SUMIFS(Log!$I$4:$I$503,Log!$D$4:$D$503,$A18,Log!$B$4:$B$503,C$5,Log!$E$4:$E$503,"A")=0,"",SUMIFS(Log!$I$4:$I$503,Log!$D$4:$D$503,$A18,Log!$B$4:$B$503,C$5,Log!$E$4:$E$503,"A")))</f>
        <v/>
      </c>
      <c r="D18" s="31" t="str">
        <f aca="false">IF($A18="","",IF(SUMIFS(Log!$I$4:$I$503,Log!$D$4:$D$503,$A18,Log!$B$4:$B$503,D$5,Log!$E$4:$E$503,"A")=0,"",SUMIFS(Log!$I$4:$I$503,Log!$D$4:$D$503,$A18,Log!$B$4:$B$503,D$5,Log!$E$4:$E$503,"A")))</f>
        <v/>
      </c>
      <c r="E18" s="31" t="str">
        <f aca="false">IF($A18="","",IF(SUMIFS(Log!$I$4:$I$503,Log!$D$4:$D$503,$A18,Log!$B$4:$B$503,E$5,Log!$E$4:$E$503,"A")=0,"",SUMIFS(Log!$I$4:$I$503,Log!$D$4:$D$503,$A18,Log!$B$4:$B$503,E$5,Log!$E$4:$E$503,"A")))</f>
        <v/>
      </c>
      <c r="F18" s="31" t="str">
        <f aca="false">IF($A18="","",IF(SUMIFS(Log!$I$4:$I$503,Log!$D$4:$D$503,$A18,Log!$B$4:$B$503,F$5,Log!$E$4:$E$503,"A")=0,"",SUMIFS(Log!$I$4:$I$503,Log!$D$4:$D$503,$A18,Log!$B$4:$B$503,F$5,Log!$E$4:$E$503,"A")))</f>
        <v/>
      </c>
      <c r="G18" s="31" t="str">
        <f aca="false">IF($A18="","",IF(SUMIFS(Log!$I$4:$I$503,Log!$D$4:$D$503,$A18,Log!$B$4:$B$503,G$5,Log!$E$4:$E$503,"A")=0,"",SUMIFS(Log!$I$4:$I$503,Log!$D$4:$D$503,$A18,Log!$B$4:$B$503,G$5,Log!$E$4:$E$503,"A")))</f>
        <v/>
      </c>
      <c r="H18" s="31" t="str">
        <f aca="false">IF($A18="","",IF(SUMIFS(Log!$I$4:$I$503,Log!$D$4:$D$503,$A18,Log!$B$4:$B$503,H$5,Log!$E$4:$E$503,"A")=0,"",SUMIFS(Log!$I$4:$I$503,Log!$D$4:$D$503,$A18,Log!$B$4:$B$503,H$5,Log!$E$4:$E$503,"A")))</f>
        <v/>
      </c>
      <c r="I18" s="31" t="str">
        <f aca="false">IF($A18="","",IF(SUMIFS(Log!$I$4:$I$503,Log!$D$4:$D$503,$A18,Log!$B$4:$B$503,I$5,Log!$E$4:$E$503,"A")=0,"",SUMIFS(Log!$I$4:$I$503,Log!$D$4:$D$503,$A18,Log!$B$4:$B$503,I$5,Log!$E$4:$E$503,"A")))</f>
        <v/>
      </c>
      <c r="J18" s="31" t="str">
        <f aca="false">IF($A18="","",IF(SUMIFS(Log!$I$4:$I$503,Log!$D$4:$D$503,$A18,Log!$B$4:$B$503,J$5,Log!$E$4:$E$503,"A")=0,"",SUMIFS(Log!$I$4:$I$503,Log!$D$4:$D$503,$A18,Log!$B$4:$B$503,J$5,Log!$E$4:$E$503,"A")))</f>
        <v/>
      </c>
      <c r="K18" s="31" t="str">
        <f aca="false">IF($A18="","",IF(SUMIFS(Log!$I$4:$I$503,Log!$D$4:$D$503,$A18,Log!$B$4:$B$503,K$5,Log!$E$4:$E$503,"A")=0,"",SUMIFS(Log!$I$4:$I$503,Log!$D$4:$D$503,$A18,Log!$B$4:$B$503,K$5,Log!$E$4:$E$503,"A")))</f>
        <v/>
      </c>
      <c r="L18" s="31" t="str">
        <f aca="false">IF($A18="","",IF(SUMIFS(Log!$I$4:$I$503,Log!$D$4:$D$503,$A18,Log!$B$4:$B$503,L$5,Log!$E$4:$E$503,"A")=0,"",SUMIFS(Log!$I$4:$I$503,Log!$D$4:$D$503,$A18,Log!$B$4:$B$503,L$5,Log!$E$4:$E$503,"A")))</f>
        <v/>
      </c>
      <c r="M18" s="31" t="str">
        <f aca="false">IF($A18="","",IF(SUMIFS(Log!$I$4:$I$503,Log!$D$4:$D$503,$A18,Log!$B$4:$B$503,M$5,Log!$E$4:$E$503,"A")=0,"",SUMIFS(Log!$I$4:$I$503,Log!$D$4:$D$503,$A18,Log!$B$4:$B$503,M$5,Log!$E$4:$E$503,"A")))</f>
        <v/>
      </c>
      <c r="N18" s="31" t="str">
        <f aca="false">IF($A18="","",IF(SUMIFS(Log!$I$4:$I$503,Log!$D$4:$D$503,$A18,Log!$B$4:$B$503,N$5,Log!$E$4:$E$503,"A")=0,"",SUMIFS(Log!$I$4:$I$503,Log!$D$4:$D$503,$A18,Log!$B$4:$B$503,N$5,Log!$E$4:$E$503,"A")))</f>
        <v/>
      </c>
      <c r="O18" s="31" t="str">
        <f aca="false">IF($A18="","",IF(SUMIFS(Log!$I$4:$I$503,Log!$D$4:$D$503,$A18,Log!$B$4:$B$503,O$5,Log!$E$4:$E$503,"A")=0,"",SUMIFS(Log!$I$4:$I$503,Log!$D$4:$D$503,$A18,Log!$B$4:$B$503,O$5,Log!$E$4:$E$503,"A")))</f>
        <v/>
      </c>
      <c r="P18" s="31" t="str">
        <f aca="false">IF($A18="","",IF(SUMIFS(Log!$I$4:$I$503,Log!$D$4:$D$503,$A18,Log!$B$4:$B$503,P$5,Log!$E$4:$E$503,"A")=0,"",SUMIFS(Log!$I$4:$I$503,Log!$D$4:$D$503,$A18,Log!$B$4:$B$503,P$5,Log!$E$4:$E$503,"A")))</f>
        <v/>
      </c>
      <c r="Q18" s="31" t="str">
        <f aca="false">IF($A18="","",IF(SUMIFS(Log!$I$4:$I$503,Log!$D$4:$D$503,$A18,Log!$B$4:$B$503,Q$5,Log!$E$4:$E$503,"A")=0,"",SUMIFS(Log!$I$4:$I$503,Log!$D$4:$D$503,$A18,Log!$B$4:$B$503,Q$5,Log!$E$4:$E$503,"A")))</f>
        <v/>
      </c>
      <c r="R18" s="32" t="str">
        <f aca="false">IF(COUNT(B18:Q18)=0,"",SUM(B18:Q18))</f>
        <v/>
      </c>
    </row>
    <row r="19" customFormat="false" ht="16.5" hidden="false" customHeight="true" outlineLevel="0" collapsed="false">
      <c r="A19" s="33" t="str">
        <f aca="false">IF(Übungen!$A17="","",Übungen!$A17)</f>
        <v/>
      </c>
      <c r="B19" s="34" t="str">
        <f aca="false">IF($A19="","",IF(SUMIFS(Log!$I$4:$I$503,Log!$D$4:$D$503,$A19,Log!$B$4:$B$503,B$5,Log!$E$4:$E$503,"A")=0,"",SUMIFS(Log!$I$4:$I$503,Log!$D$4:$D$503,$A19,Log!$B$4:$B$503,B$5,Log!$E$4:$E$503,"A")))</f>
        <v/>
      </c>
      <c r="C19" s="34" t="str">
        <f aca="false">IF($A19="","",IF(SUMIFS(Log!$I$4:$I$503,Log!$D$4:$D$503,$A19,Log!$B$4:$B$503,C$5,Log!$E$4:$E$503,"A")=0,"",SUMIFS(Log!$I$4:$I$503,Log!$D$4:$D$503,$A19,Log!$B$4:$B$503,C$5,Log!$E$4:$E$503,"A")))</f>
        <v/>
      </c>
      <c r="D19" s="34" t="str">
        <f aca="false">IF($A19="","",IF(SUMIFS(Log!$I$4:$I$503,Log!$D$4:$D$503,$A19,Log!$B$4:$B$503,D$5,Log!$E$4:$E$503,"A")=0,"",SUMIFS(Log!$I$4:$I$503,Log!$D$4:$D$503,$A19,Log!$B$4:$B$503,D$5,Log!$E$4:$E$503,"A")))</f>
        <v/>
      </c>
      <c r="E19" s="34" t="str">
        <f aca="false">IF($A19="","",IF(SUMIFS(Log!$I$4:$I$503,Log!$D$4:$D$503,$A19,Log!$B$4:$B$503,E$5,Log!$E$4:$E$503,"A")=0,"",SUMIFS(Log!$I$4:$I$503,Log!$D$4:$D$503,$A19,Log!$B$4:$B$503,E$5,Log!$E$4:$E$503,"A")))</f>
        <v/>
      </c>
      <c r="F19" s="34" t="str">
        <f aca="false">IF($A19="","",IF(SUMIFS(Log!$I$4:$I$503,Log!$D$4:$D$503,$A19,Log!$B$4:$B$503,F$5,Log!$E$4:$E$503,"A")=0,"",SUMIFS(Log!$I$4:$I$503,Log!$D$4:$D$503,$A19,Log!$B$4:$B$503,F$5,Log!$E$4:$E$503,"A")))</f>
        <v/>
      </c>
      <c r="G19" s="34" t="str">
        <f aca="false">IF($A19="","",IF(SUMIFS(Log!$I$4:$I$503,Log!$D$4:$D$503,$A19,Log!$B$4:$B$503,G$5,Log!$E$4:$E$503,"A")=0,"",SUMIFS(Log!$I$4:$I$503,Log!$D$4:$D$503,$A19,Log!$B$4:$B$503,G$5,Log!$E$4:$E$503,"A")))</f>
        <v/>
      </c>
      <c r="H19" s="34" t="str">
        <f aca="false">IF($A19="","",IF(SUMIFS(Log!$I$4:$I$503,Log!$D$4:$D$503,$A19,Log!$B$4:$B$503,H$5,Log!$E$4:$E$503,"A")=0,"",SUMIFS(Log!$I$4:$I$503,Log!$D$4:$D$503,$A19,Log!$B$4:$B$503,H$5,Log!$E$4:$E$503,"A")))</f>
        <v/>
      </c>
      <c r="I19" s="34" t="str">
        <f aca="false">IF($A19="","",IF(SUMIFS(Log!$I$4:$I$503,Log!$D$4:$D$503,$A19,Log!$B$4:$B$503,I$5,Log!$E$4:$E$503,"A")=0,"",SUMIFS(Log!$I$4:$I$503,Log!$D$4:$D$503,$A19,Log!$B$4:$B$503,I$5,Log!$E$4:$E$503,"A")))</f>
        <v/>
      </c>
      <c r="J19" s="34" t="str">
        <f aca="false">IF($A19="","",IF(SUMIFS(Log!$I$4:$I$503,Log!$D$4:$D$503,$A19,Log!$B$4:$B$503,J$5,Log!$E$4:$E$503,"A")=0,"",SUMIFS(Log!$I$4:$I$503,Log!$D$4:$D$503,$A19,Log!$B$4:$B$503,J$5,Log!$E$4:$E$503,"A")))</f>
        <v/>
      </c>
      <c r="K19" s="34" t="str">
        <f aca="false">IF($A19="","",IF(SUMIFS(Log!$I$4:$I$503,Log!$D$4:$D$503,$A19,Log!$B$4:$B$503,K$5,Log!$E$4:$E$503,"A")=0,"",SUMIFS(Log!$I$4:$I$503,Log!$D$4:$D$503,$A19,Log!$B$4:$B$503,K$5,Log!$E$4:$E$503,"A")))</f>
        <v/>
      </c>
      <c r="L19" s="34" t="str">
        <f aca="false">IF($A19="","",IF(SUMIFS(Log!$I$4:$I$503,Log!$D$4:$D$503,$A19,Log!$B$4:$B$503,L$5,Log!$E$4:$E$503,"A")=0,"",SUMIFS(Log!$I$4:$I$503,Log!$D$4:$D$503,$A19,Log!$B$4:$B$503,L$5,Log!$E$4:$E$503,"A")))</f>
        <v/>
      </c>
      <c r="M19" s="34" t="str">
        <f aca="false">IF($A19="","",IF(SUMIFS(Log!$I$4:$I$503,Log!$D$4:$D$503,$A19,Log!$B$4:$B$503,M$5,Log!$E$4:$E$503,"A")=0,"",SUMIFS(Log!$I$4:$I$503,Log!$D$4:$D$503,$A19,Log!$B$4:$B$503,M$5,Log!$E$4:$E$503,"A")))</f>
        <v/>
      </c>
      <c r="N19" s="34" t="str">
        <f aca="false">IF($A19="","",IF(SUMIFS(Log!$I$4:$I$503,Log!$D$4:$D$503,$A19,Log!$B$4:$B$503,N$5,Log!$E$4:$E$503,"A")=0,"",SUMIFS(Log!$I$4:$I$503,Log!$D$4:$D$503,$A19,Log!$B$4:$B$503,N$5,Log!$E$4:$E$503,"A")))</f>
        <v/>
      </c>
      <c r="O19" s="34" t="str">
        <f aca="false">IF($A19="","",IF(SUMIFS(Log!$I$4:$I$503,Log!$D$4:$D$503,$A19,Log!$B$4:$B$503,O$5,Log!$E$4:$E$503,"A")=0,"",SUMIFS(Log!$I$4:$I$503,Log!$D$4:$D$503,$A19,Log!$B$4:$B$503,O$5,Log!$E$4:$E$503,"A")))</f>
        <v/>
      </c>
      <c r="P19" s="34" t="str">
        <f aca="false">IF($A19="","",IF(SUMIFS(Log!$I$4:$I$503,Log!$D$4:$D$503,$A19,Log!$B$4:$B$503,P$5,Log!$E$4:$E$503,"A")=0,"",SUMIFS(Log!$I$4:$I$503,Log!$D$4:$D$503,$A19,Log!$B$4:$B$503,P$5,Log!$E$4:$E$503,"A")))</f>
        <v/>
      </c>
      <c r="Q19" s="34" t="str">
        <f aca="false">IF($A19="","",IF(SUMIFS(Log!$I$4:$I$503,Log!$D$4:$D$503,$A19,Log!$B$4:$B$503,Q$5,Log!$E$4:$E$503,"A")=0,"",SUMIFS(Log!$I$4:$I$503,Log!$D$4:$D$503,$A19,Log!$B$4:$B$503,Q$5,Log!$E$4:$E$503,"A")))</f>
        <v/>
      </c>
      <c r="R19" s="32" t="str">
        <f aca="false">IF(COUNT(B19:Q19)=0,"",SUM(B19:Q19))</f>
        <v/>
      </c>
    </row>
    <row r="22" customFormat="false" ht="19.5" hidden="false" customHeight="true" outlineLevel="0" collapsed="false">
      <c r="A22" s="3" t="s">
        <v>128</v>
      </c>
      <c r="B22" s="3"/>
      <c r="C22" s="3"/>
      <c r="D22" s="3"/>
      <c r="E22" s="3"/>
      <c r="F22" s="3"/>
      <c r="G22" s="3"/>
      <c r="H22" s="3"/>
      <c r="I22" s="3"/>
      <c r="J22" s="3"/>
      <c r="K22" s="3"/>
      <c r="L22" s="3"/>
      <c r="M22" s="3"/>
      <c r="N22" s="3"/>
      <c r="O22" s="3"/>
      <c r="P22" s="3"/>
      <c r="Q22" s="3"/>
      <c r="R22" s="3"/>
    </row>
    <row r="23" customFormat="false" ht="21.75" hidden="false" customHeight="true" outlineLevel="0" collapsed="false">
      <c r="A23" s="16" t="s">
        <v>89</v>
      </c>
      <c r="B23" s="16" t="n">
        <v>1</v>
      </c>
      <c r="C23" s="16" t="n">
        <v>2</v>
      </c>
      <c r="D23" s="16" t="n">
        <v>3</v>
      </c>
      <c r="E23" s="16" t="n">
        <v>4</v>
      </c>
      <c r="F23" s="16" t="n">
        <v>5</v>
      </c>
      <c r="G23" s="16" t="n">
        <v>6</v>
      </c>
      <c r="H23" s="16" t="n">
        <v>7</v>
      </c>
      <c r="I23" s="16" t="n">
        <v>8</v>
      </c>
      <c r="J23" s="16" t="n">
        <v>9</v>
      </c>
      <c r="K23" s="16" t="n">
        <v>10</v>
      </c>
      <c r="L23" s="16" t="n">
        <v>11</v>
      </c>
      <c r="M23" s="16" t="n">
        <v>12</v>
      </c>
      <c r="N23" s="16" t="n">
        <v>13</v>
      </c>
      <c r="O23" s="16" t="n">
        <v>14</v>
      </c>
      <c r="P23" s="16" t="n">
        <v>15</v>
      </c>
      <c r="Q23" s="16" t="n">
        <v>16</v>
      </c>
      <c r="R23" s="16" t="s">
        <v>129</v>
      </c>
    </row>
    <row r="24" customFormat="false" ht="16.5" hidden="false" customHeight="true" outlineLevel="0" collapsed="false">
      <c r="A24" s="30" t="str">
        <f aca="false">IF(Übungen!$A4="","",Übungen!$A4)</f>
        <v>Hackenschmidt-Kniebeuge</v>
      </c>
      <c r="B24" s="35" t="str">
        <f aca="false">IF($A24="","",IF(SUMPRODUCT(MAX((Log!$D$4:$D$503=$A24)*(Log!$B$4:$B$503=B$23)*(Log!$E$4:$E$503="A")*(Log!$F$4:$F$503&lt;&gt;"")*Log!$F$4:$F$503))=0,"",SUMPRODUCT(MAX((Log!$D$4:$D$503=$A24)*(Log!$B$4:$B$503=B$23)*(Log!$E$4:$E$503="A")*(Log!$F$4:$F$503&lt;&gt;"")*Log!$F$4:$F$503))))</f>
        <v/>
      </c>
      <c r="C24" s="35" t="str">
        <f aca="false">IF($A24="","",IF(SUMPRODUCT(MAX((Log!$D$4:$D$503=$A24)*(Log!$B$4:$B$503=C$23)*(Log!$E$4:$E$503="A")*(Log!$F$4:$F$503&lt;&gt;"")*Log!$F$4:$F$503))=0,"",SUMPRODUCT(MAX((Log!$D$4:$D$503=$A24)*(Log!$B$4:$B$503=C$23)*(Log!$E$4:$E$503="A")*(Log!$F$4:$F$503&lt;&gt;"")*Log!$F$4:$F$503))))</f>
        <v/>
      </c>
      <c r="D24" s="35" t="str">
        <f aca="false">IF($A24="","",IF(SUMPRODUCT(MAX((Log!$D$4:$D$503=$A24)*(Log!$B$4:$B$503=D$23)*(Log!$E$4:$E$503="A")*(Log!$F$4:$F$503&lt;&gt;"")*Log!$F$4:$F$503))=0,"",SUMPRODUCT(MAX((Log!$D$4:$D$503=$A24)*(Log!$B$4:$B$503=D$23)*(Log!$E$4:$E$503="A")*(Log!$F$4:$F$503&lt;&gt;"")*Log!$F$4:$F$503))))</f>
        <v/>
      </c>
      <c r="E24" s="35" t="str">
        <f aca="false">IF($A24="","",IF(SUMPRODUCT(MAX((Log!$D$4:$D$503=$A24)*(Log!$B$4:$B$503=E$23)*(Log!$E$4:$E$503="A")*(Log!$F$4:$F$503&lt;&gt;"")*Log!$F$4:$F$503))=0,"",SUMPRODUCT(MAX((Log!$D$4:$D$503=$A24)*(Log!$B$4:$B$503=E$23)*(Log!$E$4:$E$503="A")*(Log!$F$4:$F$503&lt;&gt;"")*Log!$F$4:$F$503))))</f>
        <v/>
      </c>
      <c r="F24" s="35" t="str">
        <f aca="false">IF($A24="","",IF(SUMPRODUCT(MAX((Log!$D$4:$D$503=$A24)*(Log!$B$4:$B$503=F$23)*(Log!$E$4:$E$503="A")*(Log!$F$4:$F$503&lt;&gt;"")*Log!$F$4:$F$503))=0,"",SUMPRODUCT(MAX((Log!$D$4:$D$503=$A24)*(Log!$B$4:$B$503=F$23)*(Log!$E$4:$E$503="A")*(Log!$F$4:$F$503&lt;&gt;"")*Log!$F$4:$F$503))))</f>
        <v/>
      </c>
      <c r="G24" s="35" t="str">
        <f aca="false">IF($A24="","",IF(SUMPRODUCT(MAX((Log!$D$4:$D$503=$A24)*(Log!$B$4:$B$503=G$23)*(Log!$E$4:$E$503="A")*(Log!$F$4:$F$503&lt;&gt;"")*Log!$F$4:$F$503))=0,"",SUMPRODUCT(MAX((Log!$D$4:$D$503=$A24)*(Log!$B$4:$B$503=G$23)*(Log!$E$4:$E$503="A")*(Log!$F$4:$F$503&lt;&gt;"")*Log!$F$4:$F$503))))</f>
        <v/>
      </c>
      <c r="H24" s="35" t="str">
        <f aca="false">IF($A24="","",IF(SUMPRODUCT(MAX((Log!$D$4:$D$503=$A24)*(Log!$B$4:$B$503=H$23)*(Log!$E$4:$E$503="A")*(Log!$F$4:$F$503&lt;&gt;"")*Log!$F$4:$F$503))=0,"",SUMPRODUCT(MAX((Log!$D$4:$D$503=$A24)*(Log!$B$4:$B$503=H$23)*(Log!$E$4:$E$503="A")*(Log!$F$4:$F$503&lt;&gt;"")*Log!$F$4:$F$503))))</f>
        <v/>
      </c>
      <c r="I24" s="35" t="str">
        <f aca="false">IF($A24="","",IF(SUMPRODUCT(MAX((Log!$D$4:$D$503=$A24)*(Log!$B$4:$B$503=I$23)*(Log!$E$4:$E$503="A")*(Log!$F$4:$F$503&lt;&gt;"")*Log!$F$4:$F$503))=0,"",SUMPRODUCT(MAX((Log!$D$4:$D$503=$A24)*(Log!$B$4:$B$503=I$23)*(Log!$E$4:$E$503="A")*(Log!$F$4:$F$503&lt;&gt;"")*Log!$F$4:$F$503))))</f>
        <v/>
      </c>
      <c r="J24" s="35" t="str">
        <f aca="false">IF($A24="","",IF(SUMPRODUCT(MAX((Log!$D$4:$D$503=$A24)*(Log!$B$4:$B$503=J$23)*(Log!$E$4:$E$503="A")*(Log!$F$4:$F$503&lt;&gt;"")*Log!$F$4:$F$503))=0,"",SUMPRODUCT(MAX((Log!$D$4:$D$503=$A24)*(Log!$B$4:$B$503=J$23)*(Log!$E$4:$E$503="A")*(Log!$F$4:$F$503&lt;&gt;"")*Log!$F$4:$F$503))))</f>
        <v/>
      </c>
      <c r="K24" s="35" t="str">
        <f aca="false">IF($A24="","",IF(SUMPRODUCT(MAX((Log!$D$4:$D$503=$A24)*(Log!$B$4:$B$503=K$23)*(Log!$E$4:$E$503="A")*(Log!$F$4:$F$503&lt;&gt;"")*Log!$F$4:$F$503))=0,"",SUMPRODUCT(MAX((Log!$D$4:$D$503=$A24)*(Log!$B$4:$B$503=K$23)*(Log!$E$4:$E$503="A")*(Log!$F$4:$F$503&lt;&gt;"")*Log!$F$4:$F$503))))</f>
        <v/>
      </c>
      <c r="L24" s="35" t="str">
        <f aca="false">IF($A24="","",IF(SUMPRODUCT(MAX((Log!$D$4:$D$503=$A24)*(Log!$B$4:$B$503=L$23)*(Log!$E$4:$E$503="A")*(Log!$F$4:$F$503&lt;&gt;"")*Log!$F$4:$F$503))=0,"",SUMPRODUCT(MAX((Log!$D$4:$D$503=$A24)*(Log!$B$4:$B$503=L$23)*(Log!$E$4:$E$503="A")*(Log!$F$4:$F$503&lt;&gt;"")*Log!$F$4:$F$503))))</f>
        <v/>
      </c>
      <c r="M24" s="35" t="str">
        <f aca="false">IF($A24="","",IF(SUMPRODUCT(MAX((Log!$D$4:$D$503=$A24)*(Log!$B$4:$B$503=M$23)*(Log!$E$4:$E$503="A")*(Log!$F$4:$F$503&lt;&gt;"")*Log!$F$4:$F$503))=0,"",SUMPRODUCT(MAX((Log!$D$4:$D$503=$A24)*(Log!$B$4:$B$503=M$23)*(Log!$E$4:$E$503="A")*(Log!$F$4:$F$503&lt;&gt;"")*Log!$F$4:$F$503))))</f>
        <v/>
      </c>
      <c r="N24" s="35" t="str">
        <f aca="false">IF($A24="","",IF(SUMPRODUCT(MAX((Log!$D$4:$D$503=$A24)*(Log!$B$4:$B$503=N$23)*(Log!$E$4:$E$503="A")*(Log!$F$4:$F$503&lt;&gt;"")*Log!$F$4:$F$503))=0,"",SUMPRODUCT(MAX((Log!$D$4:$D$503=$A24)*(Log!$B$4:$B$503=N$23)*(Log!$E$4:$E$503="A")*(Log!$F$4:$F$503&lt;&gt;"")*Log!$F$4:$F$503))))</f>
        <v/>
      </c>
      <c r="O24" s="35" t="str">
        <f aca="false">IF($A24="","",IF(SUMPRODUCT(MAX((Log!$D$4:$D$503=$A24)*(Log!$B$4:$B$503=O$23)*(Log!$E$4:$E$503="A")*(Log!$F$4:$F$503&lt;&gt;"")*Log!$F$4:$F$503))=0,"",SUMPRODUCT(MAX((Log!$D$4:$D$503=$A24)*(Log!$B$4:$B$503=O$23)*(Log!$E$4:$E$503="A")*(Log!$F$4:$F$503&lt;&gt;"")*Log!$F$4:$F$503))))</f>
        <v/>
      </c>
      <c r="P24" s="35" t="str">
        <f aca="false">IF($A24="","",IF(SUMPRODUCT(MAX((Log!$D$4:$D$503=$A24)*(Log!$B$4:$B$503=P$23)*(Log!$E$4:$E$503="A")*(Log!$F$4:$F$503&lt;&gt;"")*Log!$F$4:$F$503))=0,"",SUMPRODUCT(MAX((Log!$D$4:$D$503=$A24)*(Log!$B$4:$B$503=P$23)*(Log!$E$4:$E$503="A")*(Log!$F$4:$F$503&lt;&gt;"")*Log!$F$4:$F$503))))</f>
        <v/>
      </c>
      <c r="Q24" s="35" t="str">
        <f aca="false">IF($A24="","",IF(SUMPRODUCT(MAX((Log!$D$4:$D$503=$A24)*(Log!$B$4:$B$503=Q$23)*(Log!$E$4:$E$503="A")*(Log!$F$4:$F$503&lt;&gt;"")*Log!$F$4:$F$503))=0,"",SUMPRODUCT(MAX((Log!$D$4:$D$503=$A24)*(Log!$B$4:$B$503=Q$23)*(Log!$E$4:$E$503="A")*(Log!$F$4:$F$503&lt;&gt;"")*Log!$F$4:$F$503))))</f>
        <v/>
      </c>
      <c r="R24" s="36" t="str">
        <f aca="false">IF(COUNT(B24:Q24)=0,"",MAX(B24:Q24))</f>
        <v/>
      </c>
    </row>
    <row r="25" customFormat="false" ht="16.5" hidden="false" customHeight="true" outlineLevel="0" collapsed="false">
      <c r="A25" s="33" t="str">
        <f aca="false">IF(Übungen!$A5="","",Übungen!$A5)</f>
        <v>Split Squat</v>
      </c>
      <c r="B25" s="37" t="n">
        <f aca="false">IF($A25="","",IF(SUMPRODUCT(MAX((Log!$D$4:$D$503=$A25)*(Log!$B$4:$B$503=B$23)*(Log!$E$4:$E$503="A")*(Log!$F$4:$F$503&lt;&gt;"")*Log!$F$4:$F$503))=0,"",SUMPRODUCT(MAX((Log!$D$4:$D$503=$A25)*(Log!$B$4:$B$503=B$23)*(Log!$E$4:$E$503="A")*(Log!$F$4:$F$503&lt;&gt;"")*Log!$F$4:$F$503))))</f>
        <v>100</v>
      </c>
      <c r="C25" s="37" t="n">
        <f aca="false">IF($A25="","",IF(SUMPRODUCT(MAX((Log!$D$4:$D$503=$A25)*(Log!$B$4:$B$503=C$23)*(Log!$E$4:$E$503="A")*(Log!$F$4:$F$503&lt;&gt;"")*Log!$F$4:$F$503))=0,"",SUMPRODUCT(MAX((Log!$D$4:$D$503=$A25)*(Log!$B$4:$B$503=C$23)*(Log!$E$4:$E$503="A")*(Log!$F$4:$F$503&lt;&gt;"")*Log!$F$4:$F$503))))</f>
        <v>105</v>
      </c>
      <c r="D25" s="37" t="n">
        <f aca="false">IF($A25="","",IF(SUMPRODUCT(MAX((Log!$D$4:$D$503=$A25)*(Log!$B$4:$B$503=D$23)*(Log!$E$4:$E$503="A")*(Log!$F$4:$F$503&lt;&gt;"")*Log!$F$4:$F$503))=0,"",SUMPRODUCT(MAX((Log!$D$4:$D$503=$A25)*(Log!$B$4:$B$503=D$23)*(Log!$E$4:$E$503="A")*(Log!$F$4:$F$503&lt;&gt;"")*Log!$F$4:$F$503))))</f>
        <v>100</v>
      </c>
      <c r="E25" s="37" t="n">
        <f aca="false">IF($A25="","",IF(SUMPRODUCT(MAX((Log!$D$4:$D$503=$A25)*(Log!$B$4:$B$503=E$23)*(Log!$E$4:$E$503="A")*(Log!$F$4:$F$503&lt;&gt;"")*Log!$F$4:$F$503))=0,"",SUMPRODUCT(MAX((Log!$D$4:$D$503=$A25)*(Log!$B$4:$B$503=E$23)*(Log!$E$4:$E$503="A")*(Log!$F$4:$F$503&lt;&gt;"")*Log!$F$4:$F$503))))</f>
        <v>80</v>
      </c>
      <c r="F25" s="37" t="str">
        <f aca="false">IF($A25="","",IF(SUMPRODUCT(MAX((Log!$D$4:$D$503=$A25)*(Log!$B$4:$B$503=F$23)*(Log!$E$4:$E$503="A")*(Log!$F$4:$F$503&lt;&gt;"")*Log!$F$4:$F$503))=0,"",SUMPRODUCT(MAX((Log!$D$4:$D$503=$A25)*(Log!$B$4:$B$503=F$23)*(Log!$E$4:$E$503="A")*(Log!$F$4:$F$503&lt;&gt;"")*Log!$F$4:$F$503))))</f>
        <v/>
      </c>
      <c r="G25" s="37" t="str">
        <f aca="false">IF($A25="","",IF(SUMPRODUCT(MAX((Log!$D$4:$D$503=$A25)*(Log!$B$4:$B$503=G$23)*(Log!$E$4:$E$503="A")*(Log!$F$4:$F$503&lt;&gt;"")*Log!$F$4:$F$503))=0,"",SUMPRODUCT(MAX((Log!$D$4:$D$503=$A25)*(Log!$B$4:$B$503=G$23)*(Log!$E$4:$E$503="A")*(Log!$F$4:$F$503&lt;&gt;"")*Log!$F$4:$F$503))))</f>
        <v/>
      </c>
      <c r="H25" s="37" t="str">
        <f aca="false">IF($A25="","",IF(SUMPRODUCT(MAX((Log!$D$4:$D$503=$A25)*(Log!$B$4:$B$503=H$23)*(Log!$E$4:$E$503="A")*(Log!$F$4:$F$503&lt;&gt;"")*Log!$F$4:$F$503))=0,"",SUMPRODUCT(MAX((Log!$D$4:$D$503=$A25)*(Log!$B$4:$B$503=H$23)*(Log!$E$4:$E$503="A")*(Log!$F$4:$F$503&lt;&gt;"")*Log!$F$4:$F$503))))</f>
        <v/>
      </c>
      <c r="I25" s="37" t="str">
        <f aca="false">IF($A25="","",IF(SUMPRODUCT(MAX((Log!$D$4:$D$503=$A25)*(Log!$B$4:$B$503=I$23)*(Log!$E$4:$E$503="A")*(Log!$F$4:$F$503&lt;&gt;"")*Log!$F$4:$F$503))=0,"",SUMPRODUCT(MAX((Log!$D$4:$D$503=$A25)*(Log!$B$4:$B$503=I$23)*(Log!$E$4:$E$503="A")*(Log!$F$4:$F$503&lt;&gt;"")*Log!$F$4:$F$503))))</f>
        <v/>
      </c>
      <c r="J25" s="37" t="str">
        <f aca="false">IF($A25="","",IF(SUMPRODUCT(MAX((Log!$D$4:$D$503=$A25)*(Log!$B$4:$B$503=J$23)*(Log!$E$4:$E$503="A")*(Log!$F$4:$F$503&lt;&gt;"")*Log!$F$4:$F$503))=0,"",SUMPRODUCT(MAX((Log!$D$4:$D$503=$A25)*(Log!$B$4:$B$503=J$23)*(Log!$E$4:$E$503="A")*(Log!$F$4:$F$503&lt;&gt;"")*Log!$F$4:$F$503))))</f>
        <v/>
      </c>
      <c r="K25" s="37" t="str">
        <f aca="false">IF($A25="","",IF(SUMPRODUCT(MAX((Log!$D$4:$D$503=$A25)*(Log!$B$4:$B$503=K$23)*(Log!$E$4:$E$503="A")*(Log!$F$4:$F$503&lt;&gt;"")*Log!$F$4:$F$503))=0,"",SUMPRODUCT(MAX((Log!$D$4:$D$503=$A25)*(Log!$B$4:$B$503=K$23)*(Log!$E$4:$E$503="A")*(Log!$F$4:$F$503&lt;&gt;"")*Log!$F$4:$F$503))))</f>
        <v/>
      </c>
      <c r="L25" s="37" t="str">
        <f aca="false">IF($A25="","",IF(SUMPRODUCT(MAX((Log!$D$4:$D$503=$A25)*(Log!$B$4:$B$503=L$23)*(Log!$E$4:$E$503="A")*(Log!$F$4:$F$503&lt;&gt;"")*Log!$F$4:$F$503))=0,"",SUMPRODUCT(MAX((Log!$D$4:$D$503=$A25)*(Log!$B$4:$B$503=L$23)*(Log!$E$4:$E$503="A")*(Log!$F$4:$F$503&lt;&gt;"")*Log!$F$4:$F$503))))</f>
        <v/>
      </c>
      <c r="M25" s="37" t="str">
        <f aca="false">IF($A25="","",IF(SUMPRODUCT(MAX((Log!$D$4:$D$503=$A25)*(Log!$B$4:$B$503=M$23)*(Log!$E$4:$E$503="A")*(Log!$F$4:$F$503&lt;&gt;"")*Log!$F$4:$F$503))=0,"",SUMPRODUCT(MAX((Log!$D$4:$D$503=$A25)*(Log!$B$4:$B$503=M$23)*(Log!$E$4:$E$503="A")*(Log!$F$4:$F$503&lt;&gt;"")*Log!$F$4:$F$503))))</f>
        <v/>
      </c>
      <c r="N25" s="37" t="str">
        <f aca="false">IF($A25="","",IF(SUMPRODUCT(MAX((Log!$D$4:$D$503=$A25)*(Log!$B$4:$B$503=N$23)*(Log!$E$4:$E$503="A")*(Log!$F$4:$F$503&lt;&gt;"")*Log!$F$4:$F$503))=0,"",SUMPRODUCT(MAX((Log!$D$4:$D$503=$A25)*(Log!$B$4:$B$503=N$23)*(Log!$E$4:$E$503="A")*(Log!$F$4:$F$503&lt;&gt;"")*Log!$F$4:$F$503))))</f>
        <v/>
      </c>
      <c r="O25" s="37" t="str">
        <f aca="false">IF($A25="","",IF(SUMPRODUCT(MAX((Log!$D$4:$D$503=$A25)*(Log!$B$4:$B$503=O$23)*(Log!$E$4:$E$503="A")*(Log!$F$4:$F$503&lt;&gt;"")*Log!$F$4:$F$503))=0,"",SUMPRODUCT(MAX((Log!$D$4:$D$503=$A25)*(Log!$B$4:$B$503=O$23)*(Log!$E$4:$E$503="A")*(Log!$F$4:$F$503&lt;&gt;"")*Log!$F$4:$F$503))))</f>
        <v/>
      </c>
      <c r="P25" s="37" t="str">
        <f aca="false">IF($A25="","",IF(SUMPRODUCT(MAX((Log!$D$4:$D$503=$A25)*(Log!$B$4:$B$503=P$23)*(Log!$E$4:$E$503="A")*(Log!$F$4:$F$503&lt;&gt;"")*Log!$F$4:$F$503))=0,"",SUMPRODUCT(MAX((Log!$D$4:$D$503=$A25)*(Log!$B$4:$B$503=P$23)*(Log!$E$4:$E$503="A")*(Log!$F$4:$F$503&lt;&gt;"")*Log!$F$4:$F$503))))</f>
        <v/>
      </c>
      <c r="Q25" s="37" t="str">
        <f aca="false">IF($A25="","",IF(SUMPRODUCT(MAX((Log!$D$4:$D$503=$A25)*(Log!$B$4:$B$503=Q$23)*(Log!$E$4:$E$503="A")*(Log!$F$4:$F$503&lt;&gt;"")*Log!$F$4:$F$503))=0,"",SUMPRODUCT(MAX((Log!$D$4:$D$503=$A25)*(Log!$B$4:$B$503=Q$23)*(Log!$E$4:$E$503="A")*(Log!$F$4:$F$503&lt;&gt;"")*Log!$F$4:$F$503))))</f>
        <v/>
      </c>
      <c r="R25" s="36" t="n">
        <f aca="false">IF(COUNT(B25:Q25)=0,"",MAX(B25:Q25))</f>
        <v>105</v>
      </c>
    </row>
    <row r="26" customFormat="false" ht="16.5" hidden="false" customHeight="true" outlineLevel="0" collapsed="false">
      <c r="A26" s="30" t="str">
        <f aca="false">IF(Übungen!$A6="","",Übungen!$A6)</f>
        <v>Beinstrecker</v>
      </c>
      <c r="B26" s="35" t="n">
        <f aca="false">IF($A26="","",IF(SUMPRODUCT(MAX((Log!$D$4:$D$503=$A26)*(Log!$B$4:$B$503=B$23)*(Log!$E$4:$E$503="A")*(Log!$F$4:$F$503&lt;&gt;"")*Log!$F$4:$F$503))=0,"",SUMPRODUCT(MAX((Log!$D$4:$D$503=$A26)*(Log!$B$4:$B$503=B$23)*(Log!$E$4:$E$503="A")*(Log!$F$4:$F$503&lt;&gt;"")*Log!$F$4:$F$503))))</f>
        <v>75</v>
      </c>
      <c r="C26" s="35" t="n">
        <f aca="false">IF($A26="","",IF(SUMPRODUCT(MAX((Log!$D$4:$D$503=$A26)*(Log!$B$4:$B$503=C$23)*(Log!$E$4:$E$503="A")*(Log!$F$4:$F$503&lt;&gt;"")*Log!$F$4:$F$503))=0,"",SUMPRODUCT(MAX((Log!$D$4:$D$503=$A26)*(Log!$B$4:$B$503=C$23)*(Log!$E$4:$E$503="A")*(Log!$F$4:$F$503&lt;&gt;"")*Log!$F$4:$F$503))))</f>
        <v>80</v>
      </c>
      <c r="D26" s="35" t="n">
        <f aca="false">IF($A26="","",IF(SUMPRODUCT(MAX((Log!$D$4:$D$503=$A26)*(Log!$B$4:$B$503=D$23)*(Log!$E$4:$E$503="A")*(Log!$F$4:$F$503&lt;&gt;"")*Log!$F$4:$F$503))=0,"",SUMPRODUCT(MAX((Log!$D$4:$D$503=$A26)*(Log!$B$4:$B$503=D$23)*(Log!$E$4:$E$503="A")*(Log!$F$4:$F$503&lt;&gt;"")*Log!$F$4:$F$503))))</f>
        <v>85</v>
      </c>
      <c r="E26" s="35" t="n">
        <f aca="false">IF($A26="","",IF(SUMPRODUCT(MAX((Log!$D$4:$D$503=$A26)*(Log!$B$4:$B$503=E$23)*(Log!$E$4:$E$503="A")*(Log!$F$4:$F$503&lt;&gt;"")*Log!$F$4:$F$503))=0,"",SUMPRODUCT(MAX((Log!$D$4:$D$503=$A26)*(Log!$B$4:$B$503=E$23)*(Log!$E$4:$E$503="A")*(Log!$F$4:$F$503&lt;&gt;"")*Log!$F$4:$F$503))))</f>
        <v>80</v>
      </c>
      <c r="F26" s="35" t="str">
        <f aca="false">IF($A26="","",IF(SUMPRODUCT(MAX((Log!$D$4:$D$503=$A26)*(Log!$B$4:$B$503=F$23)*(Log!$E$4:$E$503="A")*(Log!$F$4:$F$503&lt;&gt;"")*Log!$F$4:$F$503))=0,"",SUMPRODUCT(MAX((Log!$D$4:$D$503=$A26)*(Log!$B$4:$B$503=F$23)*(Log!$E$4:$E$503="A")*(Log!$F$4:$F$503&lt;&gt;"")*Log!$F$4:$F$503))))</f>
        <v/>
      </c>
      <c r="G26" s="35" t="str">
        <f aca="false">IF($A26="","",IF(SUMPRODUCT(MAX((Log!$D$4:$D$503=$A26)*(Log!$B$4:$B$503=G$23)*(Log!$E$4:$E$503="A")*(Log!$F$4:$F$503&lt;&gt;"")*Log!$F$4:$F$503))=0,"",SUMPRODUCT(MAX((Log!$D$4:$D$503=$A26)*(Log!$B$4:$B$503=G$23)*(Log!$E$4:$E$503="A")*(Log!$F$4:$F$503&lt;&gt;"")*Log!$F$4:$F$503))))</f>
        <v/>
      </c>
      <c r="H26" s="35" t="str">
        <f aca="false">IF($A26="","",IF(SUMPRODUCT(MAX((Log!$D$4:$D$503=$A26)*(Log!$B$4:$B$503=H$23)*(Log!$E$4:$E$503="A")*(Log!$F$4:$F$503&lt;&gt;"")*Log!$F$4:$F$503))=0,"",SUMPRODUCT(MAX((Log!$D$4:$D$503=$A26)*(Log!$B$4:$B$503=H$23)*(Log!$E$4:$E$503="A")*(Log!$F$4:$F$503&lt;&gt;"")*Log!$F$4:$F$503))))</f>
        <v/>
      </c>
      <c r="I26" s="35" t="str">
        <f aca="false">IF($A26="","",IF(SUMPRODUCT(MAX((Log!$D$4:$D$503=$A26)*(Log!$B$4:$B$503=I$23)*(Log!$E$4:$E$503="A")*(Log!$F$4:$F$503&lt;&gt;"")*Log!$F$4:$F$503))=0,"",SUMPRODUCT(MAX((Log!$D$4:$D$503=$A26)*(Log!$B$4:$B$503=I$23)*(Log!$E$4:$E$503="A")*(Log!$F$4:$F$503&lt;&gt;"")*Log!$F$4:$F$503))))</f>
        <v/>
      </c>
      <c r="J26" s="35" t="str">
        <f aca="false">IF($A26="","",IF(SUMPRODUCT(MAX((Log!$D$4:$D$503=$A26)*(Log!$B$4:$B$503=J$23)*(Log!$E$4:$E$503="A")*(Log!$F$4:$F$503&lt;&gt;"")*Log!$F$4:$F$503))=0,"",SUMPRODUCT(MAX((Log!$D$4:$D$503=$A26)*(Log!$B$4:$B$503=J$23)*(Log!$E$4:$E$503="A")*(Log!$F$4:$F$503&lt;&gt;"")*Log!$F$4:$F$503))))</f>
        <v/>
      </c>
      <c r="K26" s="35" t="str">
        <f aca="false">IF($A26="","",IF(SUMPRODUCT(MAX((Log!$D$4:$D$503=$A26)*(Log!$B$4:$B$503=K$23)*(Log!$E$4:$E$503="A")*(Log!$F$4:$F$503&lt;&gt;"")*Log!$F$4:$F$503))=0,"",SUMPRODUCT(MAX((Log!$D$4:$D$503=$A26)*(Log!$B$4:$B$503=K$23)*(Log!$E$4:$E$503="A")*(Log!$F$4:$F$503&lt;&gt;"")*Log!$F$4:$F$503))))</f>
        <v/>
      </c>
      <c r="L26" s="35" t="str">
        <f aca="false">IF($A26="","",IF(SUMPRODUCT(MAX((Log!$D$4:$D$503=$A26)*(Log!$B$4:$B$503=L$23)*(Log!$E$4:$E$503="A")*(Log!$F$4:$F$503&lt;&gt;"")*Log!$F$4:$F$503))=0,"",SUMPRODUCT(MAX((Log!$D$4:$D$503=$A26)*(Log!$B$4:$B$503=L$23)*(Log!$E$4:$E$503="A")*(Log!$F$4:$F$503&lt;&gt;"")*Log!$F$4:$F$503))))</f>
        <v/>
      </c>
      <c r="M26" s="35" t="str">
        <f aca="false">IF($A26="","",IF(SUMPRODUCT(MAX((Log!$D$4:$D$503=$A26)*(Log!$B$4:$B$503=M$23)*(Log!$E$4:$E$503="A")*(Log!$F$4:$F$503&lt;&gt;"")*Log!$F$4:$F$503))=0,"",SUMPRODUCT(MAX((Log!$D$4:$D$503=$A26)*(Log!$B$4:$B$503=M$23)*(Log!$E$4:$E$503="A")*(Log!$F$4:$F$503&lt;&gt;"")*Log!$F$4:$F$503))))</f>
        <v/>
      </c>
      <c r="N26" s="35" t="str">
        <f aca="false">IF($A26="","",IF(SUMPRODUCT(MAX((Log!$D$4:$D$503=$A26)*(Log!$B$4:$B$503=N$23)*(Log!$E$4:$E$503="A")*(Log!$F$4:$F$503&lt;&gt;"")*Log!$F$4:$F$503))=0,"",SUMPRODUCT(MAX((Log!$D$4:$D$503=$A26)*(Log!$B$4:$B$503=N$23)*(Log!$E$4:$E$503="A")*(Log!$F$4:$F$503&lt;&gt;"")*Log!$F$4:$F$503))))</f>
        <v/>
      </c>
      <c r="O26" s="35" t="str">
        <f aca="false">IF($A26="","",IF(SUMPRODUCT(MAX((Log!$D$4:$D$503=$A26)*(Log!$B$4:$B$503=O$23)*(Log!$E$4:$E$503="A")*(Log!$F$4:$F$503&lt;&gt;"")*Log!$F$4:$F$503))=0,"",SUMPRODUCT(MAX((Log!$D$4:$D$503=$A26)*(Log!$B$4:$B$503=O$23)*(Log!$E$4:$E$503="A")*(Log!$F$4:$F$503&lt;&gt;"")*Log!$F$4:$F$503))))</f>
        <v/>
      </c>
      <c r="P26" s="35" t="str">
        <f aca="false">IF($A26="","",IF(SUMPRODUCT(MAX((Log!$D$4:$D$503=$A26)*(Log!$B$4:$B$503=P$23)*(Log!$E$4:$E$503="A")*(Log!$F$4:$F$503&lt;&gt;"")*Log!$F$4:$F$503))=0,"",SUMPRODUCT(MAX((Log!$D$4:$D$503=$A26)*(Log!$B$4:$B$503=P$23)*(Log!$E$4:$E$503="A")*(Log!$F$4:$F$503&lt;&gt;"")*Log!$F$4:$F$503))))</f>
        <v/>
      </c>
      <c r="Q26" s="35" t="str">
        <f aca="false">IF($A26="","",IF(SUMPRODUCT(MAX((Log!$D$4:$D$503=$A26)*(Log!$B$4:$B$503=Q$23)*(Log!$E$4:$E$503="A")*(Log!$F$4:$F$503&lt;&gt;"")*Log!$F$4:$F$503))=0,"",SUMPRODUCT(MAX((Log!$D$4:$D$503=$A26)*(Log!$B$4:$B$503=Q$23)*(Log!$E$4:$E$503="A")*(Log!$F$4:$F$503&lt;&gt;"")*Log!$F$4:$F$503))))</f>
        <v/>
      </c>
      <c r="R26" s="36" t="n">
        <f aca="false">IF(COUNT(B26:Q26)=0,"",MAX(B26:Q26))</f>
        <v>85</v>
      </c>
    </row>
    <row r="27" customFormat="false" ht="16.5" hidden="false" customHeight="true" outlineLevel="0" collapsed="false">
      <c r="A27" s="33" t="str">
        <f aca="false">IF(Übungen!$A7="","",Übungen!$A7)</f>
        <v>Adduktion</v>
      </c>
      <c r="B27" s="37" t="n">
        <f aca="false">IF($A27="","",IF(SUMPRODUCT(MAX((Log!$D$4:$D$503=$A27)*(Log!$B$4:$B$503=B$23)*(Log!$E$4:$E$503="A")*(Log!$F$4:$F$503&lt;&gt;"")*Log!$F$4:$F$503))=0,"",SUMPRODUCT(MAX((Log!$D$4:$D$503=$A27)*(Log!$B$4:$B$503=B$23)*(Log!$E$4:$E$503="A")*(Log!$F$4:$F$503&lt;&gt;"")*Log!$F$4:$F$503))))</f>
        <v>152.5</v>
      </c>
      <c r="C27" s="37" t="n">
        <f aca="false">IF($A27="","",IF(SUMPRODUCT(MAX((Log!$D$4:$D$503=$A27)*(Log!$B$4:$B$503=C$23)*(Log!$E$4:$E$503="A")*(Log!$F$4:$F$503&lt;&gt;"")*Log!$F$4:$F$503))=0,"",SUMPRODUCT(MAX((Log!$D$4:$D$503=$A27)*(Log!$B$4:$B$503=C$23)*(Log!$E$4:$E$503="A")*(Log!$F$4:$F$503&lt;&gt;"")*Log!$F$4:$F$503))))</f>
        <v>152.5</v>
      </c>
      <c r="D27" s="37" t="n">
        <f aca="false">IF($A27="","",IF(SUMPRODUCT(MAX((Log!$D$4:$D$503=$A27)*(Log!$B$4:$B$503=D$23)*(Log!$E$4:$E$503="A")*(Log!$F$4:$F$503&lt;&gt;"")*Log!$F$4:$F$503))=0,"",SUMPRODUCT(MAX((Log!$D$4:$D$503=$A27)*(Log!$B$4:$B$503=D$23)*(Log!$E$4:$E$503="A")*(Log!$F$4:$F$503&lt;&gt;"")*Log!$F$4:$F$503))))</f>
        <v>152.5</v>
      </c>
      <c r="E27" s="37" t="n">
        <f aca="false">IF($A27="","",IF(SUMPRODUCT(MAX((Log!$D$4:$D$503=$A27)*(Log!$B$4:$B$503=E$23)*(Log!$E$4:$E$503="A")*(Log!$F$4:$F$503&lt;&gt;"")*Log!$F$4:$F$503))=0,"",SUMPRODUCT(MAX((Log!$D$4:$D$503=$A27)*(Log!$B$4:$B$503=E$23)*(Log!$E$4:$E$503="A")*(Log!$F$4:$F$503&lt;&gt;"")*Log!$F$4:$F$503))))</f>
        <v>152.5</v>
      </c>
      <c r="F27" s="37" t="str">
        <f aca="false">IF($A27="","",IF(SUMPRODUCT(MAX((Log!$D$4:$D$503=$A27)*(Log!$B$4:$B$503=F$23)*(Log!$E$4:$E$503="A")*(Log!$F$4:$F$503&lt;&gt;"")*Log!$F$4:$F$503))=0,"",SUMPRODUCT(MAX((Log!$D$4:$D$503=$A27)*(Log!$B$4:$B$503=F$23)*(Log!$E$4:$E$503="A")*(Log!$F$4:$F$503&lt;&gt;"")*Log!$F$4:$F$503))))</f>
        <v/>
      </c>
      <c r="G27" s="37" t="str">
        <f aca="false">IF($A27="","",IF(SUMPRODUCT(MAX((Log!$D$4:$D$503=$A27)*(Log!$B$4:$B$503=G$23)*(Log!$E$4:$E$503="A")*(Log!$F$4:$F$503&lt;&gt;"")*Log!$F$4:$F$503))=0,"",SUMPRODUCT(MAX((Log!$D$4:$D$503=$A27)*(Log!$B$4:$B$503=G$23)*(Log!$E$4:$E$503="A")*(Log!$F$4:$F$503&lt;&gt;"")*Log!$F$4:$F$503))))</f>
        <v/>
      </c>
      <c r="H27" s="37" t="str">
        <f aca="false">IF($A27="","",IF(SUMPRODUCT(MAX((Log!$D$4:$D$503=$A27)*(Log!$B$4:$B$503=H$23)*(Log!$E$4:$E$503="A")*(Log!$F$4:$F$503&lt;&gt;"")*Log!$F$4:$F$503))=0,"",SUMPRODUCT(MAX((Log!$D$4:$D$503=$A27)*(Log!$B$4:$B$503=H$23)*(Log!$E$4:$E$503="A")*(Log!$F$4:$F$503&lt;&gt;"")*Log!$F$4:$F$503))))</f>
        <v/>
      </c>
      <c r="I27" s="37" t="str">
        <f aca="false">IF($A27="","",IF(SUMPRODUCT(MAX((Log!$D$4:$D$503=$A27)*(Log!$B$4:$B$503=I$23)*(Log!$E$4:$E$503="A")*(Log!$F$4:$F$503&lt;&gt;"")*Log!$F$4:$F$503))=0,"",SUMPRODUCT(MAX((Log!$D$4:$D$503=$A27)*(Log!$B$4:$B$503=I$23)*(Log!$E$4:$E$503="A")*(Log!$F$4:$F$503&lt;&gt;"")*Log!$F$4:$F$503))))</f>
        <v/>
      </c>
      <c r="J27" s="37" t="str">
        <f aca="false">IF($A27="","",IF(SUMPRODUCT(MAX((Log!$D$4:$D$503=$A27)*(Log!$B$4:$B$503=J$23)*(Log!$E$4:$E$503="A")*(Log!$F$4:$F$503&lt;&gt;"")*Log!$F$4:$F$503))=0,"",SUMPRODUCT(MAX((Log!$D$4:$D$503=$A27)*(Log!$B$4:$B$503=J$23)*(Log!$E$4:$E$503="A")*(Log!$F$4:$F$503&lt;&gt;"")*Log!$F$4:$F$503))))</f>
        <v/>
      </c>
      <c r="K27" s="37" t="str">
        <f aca="false">IF($A27="","",IF(SUMPRODUCT(MAX((Log!$D$4:$D$503=$A27)*(Log!$B$4:$B$503=K$23)*(Log!$E$4:$E$503="A")*(Log!$F$4:$F$503&lt;&gt;"")*Log!$F$4:$F$503))=0,"",SUMPRODUCT(MAX((Log!$D$4:$D$503=$A27)*(Log!$B$4:$B$503=K$23)*(Log!$E$4:$E$503="A")*(Log!$F$4:$F$503&lt;&gt;"")*Log!$F$4:$F$503))))</f>
        <v/>
      </c>
      <c r="L27" s="37" t="str">
        <f aca="false">IF($A27="","",IF(SUMPRODUCT(MAX((Log!$D$4:$D$503=$A27)*(Log!$B$4:$B$503=L$23)*(Log!$E$4:$E$503="A")*(Log!$F$4:$F$503&lt;&gt;"")*Log!$F$4:$F$503))=0,"",SUMPRODUCT(MAX((Log!$D$4:$D$503=$A27)*(Log!$B$4:$B$503=L$23)*(Log!$E$4:$E$503="A")*(Log!$F$4:$F$503&lt;&gt;"")*Log!$F$4:$F$503))))</f>
        <v/>
      </c>
      <c r="M27" s="37" t="str">
        <f aca="false">IF($A27="","",IF(SUMPRODUCT(MAX((Log!$D$4:$D$503=$A27)*(Log!$B$4:$B$503=M$23)*(Log!$E$4:$E$503="A")*(Log!$F$4:$F$503&lt;&gt;"")*Log!$F$4:$F$503))=0,"",SUMPRODUCT(MAX((Log!$D$4:$D$503=$A27)*(Log!$B$4:$B$503=M$23)*(Log!$E$4:$E$503="A")*(Log!$F$4:$F$503&lt;&gt;"")*Log!$F$4:$F$503))))</f>
        <v/>
      </c>
      <c r="N27" s="37" t="str">
        <f aca="false">IF($A27="","",IF(SUMPRODUCT(MAX((Log!$D$4:$D$503=$A27)*(Log!$B$4:$B$503=N$23)*(Log!$E$4:$E$503="A")*(Log!$F$4:$F$503&lt;&gt;"")*Log!$F$4:$F$503))=0,"",SUMPRODUCT(MAX((Log!$D$4:$D$503=$A27)*(Log!$B$4:$B$503=N$23)*(Log!$E$4:$E$503="A")*(Log!$F$4:$F$503&lt;&gt;"")*Log!$F$4:$F$503))))</f>
        <v/>
      </c>
      <c r="O27" s="37" t="str">
        <f aca="false">IF($A27="","",IF(SUMPRODUCT(MAX((Log!$D$4:$D$503=$A27)*(Log!$B$4:$B$503=O$23)*(Log!$E$4:$E$503="A")*(Log!$F$4:$F$503&lt;&gt;"")*Log!$F$4:$F$503))=0,"",SUMPRODUCT(MAX((Log!$D$4:$D$503=$A27)*(Log!$B$4:$B$503=O$23)*(Log!$E$4:$E$503="A")*(Log!$F$4:$F$503&lt;&gt;"")*Log!$F$4:$F$503))))</f>
        <v/>
      </c>
      <c r="P27" s="37" t="str">
        <f aca="false">IF($A27="","",IF(SUMPRODUCT(MAX((Log!$D$4:$D$503=$A27)*(Log!$B$4:$B$503=P$23)*(Log!$E$4:$E$503="A")*(Log!$F$4:$F$503&lt;&gt;"")*Log!$F$4:$F$503))=0,"",SUMPRODUCT(MAX((Log!$D$4:$D$503=$A27)*(Log!$B$4:$B$503=P$23)*(Log!$E$4:$E$503="A")*(Log!$F$4:$F$503&lt;&gt;"")*Log!$F$4:$F$503))))</f>
        <v/>
      </c>
      <c r="Q27" s="37" t="str">
        <f aca="false">IF($A27="","",IF(SUMPRODUCT(MAX((Log!$D$4:$D$503=$A27)*(Log!$B$4:$B$503=Q$23)*(Log!$E$4:$E$503="A")*(Log!$F$4:$F$503&lt;&gt;"")*Log!$F$4:$F$503))=0,"",SUMPRODUCT(MAX((Log!$D$4:$D$503=$A27)*(Log!$B$4:$B$503=Q$23)*(Log!$E$4:$E$503="A")*(Log!$F$4:$F$503&lt;&gt;"")*Log!$F$4:$F$503))))</f>
        <v/>
      </c>
      <c r="R27" s="36" t="n">
        <f aca="false">IF(COUNT(B27:Q27)=0,"",MAX(B27:Q27))</f>
        <v>152.5</v>
      </c>
    </row>
    <row r="28" customFormat="false" ht="16.5" hidden="false" customHeight="true" outlineLevel="0" collapsed="false">
      <c r="A28" s="30" t="str">
        <f aca="false">IF(Übungen!$A8="","",Übungen!$A8)</f>
        <v>Rumänisches Kreuzheben</v>
      </c>
      <c r="B28" s="35" t="str">
        <f aca="false">IF($A28="","",IF(SUMPRODUCT(MAX((Log!$D$4:$D$503=$A28)*(Log!$B$4:$B$503=B$23)*(Log!$E$4:$E$503="A")*(Log!$F$4:$F$503&lt;&gt;"")*Log!$F$4:$F$503))=0,"",SUMPRODUCT(MAX((Log!$D$4:$D$503=$A28)*(Log!$B$4:$B$503=B$23)*(Log!$E$4:$E$503="A")*(Log!$F$4:$F$503&lt;&gt;"")*Log!$F$4:$F$503))))</f>
        <v/>
      </c>
      <c r="C28" s="35" t="str">
        <f aca="false">IF($A28="","",IF(SUMPRODUCT(MAX((Log!$D$4:$D$503=$A28)*(Log!$B$4:$B$503=C$23)*(Log!$E$4:$E$503="A")*(Log!$F$4:$F$503&lt;&gt;"")*Log!$F$4:$F$503))=0,"",SUMPRODUCT(MAX((Log!$D$4:$D$503=$A28)*(Log!$B$4:$B$503=C$23)*(Log!$E$4:$E$503="A")*(Log!$F$4:$F$503&lt;&gt;"")*Log!$F$4:$F$503))))</f>
        <v/>
      </c>
      <c r="D28" s="35" t="str">
        <f aca="false">IF($A28="","",IF(SUMPRODUCT(MAX((Log!$D$4:$D$503=$A28)*(Log!$B$4:$B$503=D$23)*(Log!$E$4:$E$503="A")*(Log!$F$4:$F$503&lt;&gt;"")*Log!$F$4:$F$503))=0,"",SUMPRODUCT(MAX((Log!$D$4:$D$503=$A28)*(Log!$B$4:$B$503=D$23)*(Log!$E$4:$E$503="A")*(Log!$F$4:$F$503&lt;&gt;"")*Log!$F$4:$F$503))))</f>
        <v/>
      </c>
      <c r="E28" s="35" t="str">
        <f aca="false">IF($A28="","",IF(SUMPRODUCT(MAX((Log!$D$4:$D$503=$A28)*(Log!$B$4:$B$503=E$23)*(Log!$E$4:$E$503="A")*(Log!$F$4:$F$503&lt;&gt;"")*Log!$F$4:$F$503))=0,"",SUMPRODUCT(MAX((Log!$D$4:$D$503=$A28)*(Log!$B$4:$B$503=E$23)*(Log!$E$4:$E$503="A")*(Log!$F$4:$F$503&lt;&gt;"")*Log!$F$4:$F$503))))</f>
        <v/>
      </c>
      <c r="F28" s="35" t="str">
        <f aca="false">IF($A28="","",IF(SUMPRODUCT(MAX((Log!$D$4:$D$503=$A28)*(Log!$B$4:$B$503=F$23)*(Log!$E$4:$E$503="A")*(Log!$F$4:$F$503&lt;&gt;"")*Log!$F$4:$F$503))=0,"",SUMPRODUCT(MAX((Log!$D$4:$D$503=$A28)*(Log!$B$4:$B$503=F$23)*(Log!$E$4:$E$503="A")*(Log!$F$4:$F$503&lt;&gt;"")*Log!$F$4:$F$503))))</f>
        <v/>
      </c>
      <c r="G28" s="35" t="str">
        <f aca="false">IF($A28="","",IF(SUMPRODUCT(MAX((Log!$D$4:$D$503=$A28)*(Log!$B$4:$B$503=G$23)*(Log!$E$4:$E$503="A")*(Log!$F$4:$F$503&lt;&gt;"")*Log!$F$4:$F$503))=0,"",SUMPRODUCT(MAX((Log!$D$4:$D$503=$A28)*(Log!$B$4:$B$503=G$23)*(Log!$E$4:$E$503="A")*(Log!$F$4:$F$503&lt;&gt;"")*Log!$F$4:$F$503))))</f>
        <v/>
      </c>
      <c r="H28" s="35" t="str">
        <f aca="false">IF($A28="","",IF(SUMPRODUCT(MAX((Log!$D$4:$D$503=$A28)*(Log!$B$4:$B$503=H$23)*(Log!$E$4:$E$503="A")*(Log!$F$4:$F$503&lt;&gt;"")*Log!$F$4:$F$503))=0,"",SUMPRODUCT(MAX((Log!$D$4:$D$503=$A28)*(Log!$B$4:$B$503=H$23)*(Log!$E$4:$E$503="A")*(Log!$F$4:$F$503&lt;&gt;"")*Log!$F$4:$F$503))))</f>
        <v/>
      </c>
      <c r="I28" s="35" t="str">
        <f aca="false">IF($A28="","",IF(SUMPRODUCT(MAX((Log!$D$4:$D$503=$A28)*(Log!$B$4:$B$503=I$23)*(Log!$E$4:$E$503="A")*(Log!$F$4:$F$503&lt;&gt;"")*Log!$F$4:$F$503))=0,"",SUMPRODUCT(MAX((Log!$D$4:$D$503=$A28)*(Log!$B$4:$B$503=I$23)*(Log!$E$4:$E$503="A")*(Log!$F$4:$F$503&lt;&gt;"")*Log!$F$4:$F$503))))</f>
        <v/>
      </c>
      <c r="J28" s="35" t="str">
        <f aca="false">IF($A28="","",IF(SUMPRODUCT(MAX((Log!$D$4:$D$503=$A28)*(Log!$B$4:$B$503=J$23)*(Log!$E$4:$E$503="A")*(Log!$F$4:$F$503&lt;&gt;"")*Log!$F$4:$F$503))=0,"",SUMPRODUCT(MAX((Log!$D$4:$D$503=$A28)*(Log!$B$4:$B$503=J$23)*(Log!$E$4:$E$503="A")*(Log!$F$4:$F$503&lt;&gt;"")*Log!$F$4:$F$503))))</f>
        <v/>
      </c>
      <c r="K28" s="35" t="str">
        <f aca="false">IF($A28="","",IF(SUMPRODUCT(MAX((Log!$D$4:$D$503=$A28)*(Log!$B$4:$B$503=K$23)*(Log!$E$4:$E$503="A")*(Log!$F$4:$F$503&lt;&gt;"")*Log!$F$4:$F$503))=0,"",SUMPRODUCT(MAX((Log!$D$4:$D$503=$A28)*(Log!$B$4:$B$503=K$23)*(Log!$E$4:$E$503="A")*(Log!$F$4:$F$503&lt;&gt;"")*Log!$F$4:$F$503))))</f>
        <v/>
      </c>
      <c r="L28" s="35" t="str">
        <f aca="false">IF($A28="","",IF(SUMPRODUCT(MAX((Log!$D$4:$D$503=$A28)*(Log!$B$4:$B$503=L$23)*(Log!$E$4:$E$503="A")*(Log!$F$4:$F$503&lt;&gt;"")*Log!$F$4:$F$503))=0,"",SUMPRODUCT(MAX((Log!$D$4:$D$503=$A28)*(Log!$B$4:$B$503=L$23)*(Log!$E$4:$E$503="A")*(Log!$F$4:$F$503&lt;&gt;"")*Log!$F$4:$F$503))))</f>
        <v/>
      </c>
      <c r="M28" s="35" t="str">
        <f aca="false">IF($A28="","",IF(SUMPRODUCT(MAX((Log!$D$4:$D$503=$A28)*(Log!$B$4:$B$503=M$23)*(Log!$E$4:$E$503="A")*(Log!$F$4:$F$503&lt;&gt;"")*Log!$F$4:$F$503))=0,"",SUMPRODUCT(MAX((Log!$D$4:$D$503=$A28)*(Log!$B$4:$B$503=M$23)*(Log!$E$4:$E$503="A")*(Log!$F$4:$F$503&lt;&gt;"")*Log!$F$4:$F$503))))</f>
        <v/>
      </c>
      <c r="N28" s="35" t="str">
        <f aca="false">IF($A28="","",IF(SUMPRODUCT(MAX((Log!$D$4:$D$503=$A28)*(Log!$B$4:$B$503=N$23)*(Log!$E$4:$E$503="A")*(Log!$F$4:$F$503&lt;&gt;"")*Log!$F$4:$F$503))=0,"",SUMPRODUCT(MAX((Log!$D$4:$D$503=$A28)*(Log!$B$4:$B$503=N$23)*(Log!$E$4:$E$503="A")*(Log!$F$4:$F$503&lt;&gt;"")*Log!$F$4:$F$503))))</f>
        <v/>
      </c>
      <c r="O28" s="35" t="str">
        <f aca="false">IF($A28="","",IF(SUMPRODUCT(MAX((Log!$D$4:$D$503=$A28)*(Log!$B$4:$B$503=O$23)*(Log!$E$4:$E$503="A")*(Log!$F$4:$F$503&lt;&gt;"")*Log!$F$4:$F$503))=0,"",SUMPRODUCT(MAX((Log!$D$4:$D$503=$A28)*(Log!$B$4:$B$503=O$23)*(Log!$E$4:$E$503="A")*(Log!$F$4:$F$503&lt;&gt;"")*Log!$F$4:$F$503))))</f>
        <v/>
      </c>
      <c r="P28" s="35" t="str">
        <f aca="false">IF($A28="","",IF(SUMPRODUCT(MAX((Log!$D$4:$D$503=$A28)*(Log!$B$4:$B$503=P$23)*(Log!$E$4:$E$503="A")*(Log!$F$4:$F$503&lt;&gt;"")*Log!$F$4:$F$503))=0,"",SUMPRODUCT(MAX((Log!$D$4:$D$503=$A28)*(Log!$B$4:$B$503=P$23)*(Log!$E$4:$E$503="A")*(Log!$F$4:$F$503&lt;&gt;"")*Log!$F$4:$F$503))))</f>
        <v/>
      </c>
      <c r="Q28" s="35" t="str">
        <f aca="false">IF($A28="","",IF(SUMPRODUCT(MAX((Log!$D$4:$D$503=$A28)*(Log!$B$4:$B$503=Q$23)*(Log!$E$4:$E$503="A")*(Log!$F$4:$F$503&lt;&gt;"")*Log!$F$4:$F$503))=0,"",SUMPRODUCT(MAX((Log!$D$4:$D$503=$A28)*(Log!$B$4:$B$503=Q$23)*(Log!$E$4:$E$503="A")*(Log!$F$4:$F$503&lt;&gt;"")*Log!$F$4:$F$503))))</f>
        <v/>
      </c>
      <c r="R28" s="36" t="str">
        <f aca="false">IF(COUNT(B28:Q28)=0,"",MAX(B28:Q28))</f>
        <v/>
      </c>
    </row>
    <row r="29" customFormat="false" ht="16.5" hidden="false" customHeight="true" outlineLevel="0" collapsed="false">
      <c r="A29" s="33" t="str">
        <f aca="false">IF(Übungen!$A9="","",Übungen!$A9)</f>
        <v>Hip Thrust</v>
      </c>
      <c r="B29" s="37" t="n">
        <f aca="false">IF($A29="","",IF(SUMPRODUCT(MAX((Log!$D$4:$D$503=$A29)*(Log!$B$4:$B$503=B$23)*(Log!$E$4:$E$503="A")*(Log!$F$4:$F$503&lt;&gt;"")*Log!$F$4:$F$503))=0,"",SUMPRODUCT(MAX((Log!$D$4:$D$503=$A29)*(Log!$B$4:$B$503=B$23)*(Log!$E$4:$E$503="A")*(Log!$F$4:$F$503&lt;&gt;"")*Log!$F$4:$F$503))))</f>
        <v>240</v>
      </c>
      <c r="C29" s="37" t="n">
        <f aca="false">IF($A29="","",IF(SUMPRODUCT(MAX((Log!$D$4:$D$503=$A29)*(Log!$B$4:$B$503=C$23)*(Log!$E$4:$E$503="A")*(Log!$F$4:$F$503&lt;&gt;"")*Log!$F$4:$F$503))=0,"",SUMPRODUCT(MAX((Log!$D$4:$D$503=$A29)*(Log!$B$4:$B$503=C$23)*(Log!$E$4:$E$503="A")*(Log!$F$4:$F$503&lt;&gt;"")*Log!$F$4:$F$503))))</f>
        <v>280</v>
      </c>
      <c r="D29" s="37" t="n">
        <f aca="false">IF($A29="","",IF(SUMPRODUCT(MAX((Log!$D$4:$D$503=$A29)*(Log!$B$4:$B$503=D$23)*(Log!$E$4:$E$503="A")*(Log!$F$4:$F$503&lt;&gt;"")*Log!$F$4:$F$503))=0,"",SUMPRODUCT(MAX((Log!$D$4:$D$503=$A29)*(Log!$B$4:$B$503=D$23)*(Log!$E$4:$E$503="A")*(Log!$F$4:$F$503&lt;&gt;"")*Log!$F$4:$F$503))))</f>
        <v>280</v>
      </c>
      <c r="E29" s="37" t="n">
        <f aca="false">IF($A29="","",IF(SUMPRODUCT(MAX((Log!$D$4:$D$503=$A29)*(Log!$B$4:$B$503=E$23)*(Log!$E$4:$E$503="A")*(Log!$F$4:$F$503&lt;&gt;"")*Log!$F$4:$F$503))=0,"",SUMPRODUCT(MAX((Log!$D$4:$D$503=$A29)*(Log!$B$4:$B$503=E$23)*(Log!$E$4:$E$503="A")*(Log!$F$4:$F$503&lt;&gt;"")*Log!$F$4:$F$503))))</f>
        <v>270</v>
      </c>
      <c r="F29" s="37" t="str">
        <f aca="false">IF($A29="","",IF(SUMPRODUCT(MAX((Log!$D$4:$D$503=$A29)*(Log!$B$4:$B$503=F$23)*(Log!$E$4:$E$503="A")*(Log!$F$4:$F$503&lt;&gt;"")*Log!$F$4:$F$503))=0,"",SUMPRODUCT(MAX((Log!$D$4:$D$503=$A29)*(Log!$B$4:$B$503=F$23)*(Log!$E$4:$E$503="A")*(Log!$F$4:$F$503&lt;&gt;"")*Log!$F$4:$F$503))))</f>
        <v/>
      </c>
      <c r="G29" s="37" t="str">
        <f aca="false">IF($A29="","",IF(SUMPRODUCT(MAX((Log!$D$4:$D$503=$A29)*(Log!$B$4:$B$503=G$23)*(Log!$E$4:$E$503="A")*(Log!$F$4:$F$503&lt;&gt;"")*Log!$F$4:$F$503))=0,"",SUMPRODUCT(MAX((Log!$D$4:$D$503=$A29)*(Log!$B$4:$B$503=G$23)*(Log!$E$4:$E$503="A")*(Log!$F$4:$F$503&lt;&gt;"")*Log!$F$4:$F$503))))</f>
        <v/>
      </c>
      <c r="H29" s="37" t="str">
        <f aca="false">IF($A29="","",IF(SUMPRODUCT(MAX((Log!$D$4:$D$503=$A29)*(Log!$B$4:$B$503=H$23)*(Log!$E$4:$E$503="A")*(Log!$F$4:$F$503&lt;&gt;"")*Log!$F$4:$F$503))=0,"",SUMPRODUCT(MAX((Log!$D$4:$D$503=$A29)*(Log!$B$4:$B$503=H$23)*(Log!$E$4:$E$503="A")*(Log!$F$4:$F$503&lt;&gt;"")*Log!$F$4:$F$503))))</f>
        <v/>
      </c>
      <c r="I29" s="37" t="str">
        <f aca="false">IF($A29="","",IF(SUMPRODUCT(MAX((Log!$D$4:$D$503=$A29)*(Log!$B$4:$B$503=I$23)*(Log!$E$4:$E$503="A")*(Log!$F$4:$F$503&lt;&gt;"")*Log!$F$4:$F$503))=0,"",SUMPRODUCT(MAX((Log!$D$4:$D$503=$A29)*(Log!$B$4:$B$503=I$23)*(Log!$E$4:$E$503="A")*(Log!$F$4:$F$503&lt;&gt;"")*Log!$F$4:$F$503))))</f>
        <v/>
      </c>
      <c r="J29" s="37" t="str">
        <f aca="false">IF($A29="","",IF(SUMPRODUCT(MAX((Log!$D$4:$D$503=$A29)*(Log!$B$4:$B$503=J$23)*(Log!$E$4:$E$503="A")*(Log!$F$4:$F$503&lt;&gt;"")*Log!$F$4:$F$503))=0,"",SUMPRODUCT(MAX((Log!$D$4:$D$503=$A29)*(Log!$B$4:$B$503=J$23)*(Log!$E$4:$E$503="A")*(Log!$F$4:$F$503&lt;&gt;"")*Log!$F$4:$F$503))))</f>
        <v/>
      </c>
      <c r="K29" s="37" t="str">
        <f aca="false">IF($A29="","",IF(SUMPRODUCT(MAX((Log!$D$4:$D$503=$A29)*(Log!$B$4:$B$503=K$23)*(Log!$E$4:$E$503="A")*(Log!$F$4:$F$503&lt;&gt;"")*Log!$F$4:$F$503))=0,"",SUMPRODUCT(MAX((Log!$D$4:$D$503=$A29)*(Log!$B$4:$B$503=K$23)*(Log!$E$4:$E$503="A")*(Log!$F$4:$F$503&lt;&gt;"")*Log!$F$4:$F$503))))</f>
        <v/>
      </c>
      <c r="L29" s="37" t="str">
        <f aca="false">IF($A29="","",IF(SUMPRODUCT(MAX((Log!$D$4:$D$503=$A29)*(Log!$B$4:$B$503=L$23)*(Log!$E$4:$E$503="A")*(Log!$F$4:$F$503&lt;&gt;"")*Log!$F$4:$F$503))=0,"",SUMPRODUCT(MAX((Log!$D$4:$D$503=$A29)*(Log!$B$4:$B$503=L$23)*(Log!$E$4:$E$503="A")*(Log!$F$4:$F$503&lt;&gt;"")*Log!$F$4:$F$503))))</f>
        <v/>
      </c>
      <c r="M29" s="37" t="str">
        <f aca="false">IF($A29="","",IF(SUMPRODUCT(MAX((Log!$D$4:$D$503=$A29)*(Log!$B$4:$B$503=M$23)*(Log!$E$4:$E$503="A")*(Log!$F$4:$F$503&lt;&gt;"")*Log!$F$4:$F$503))=0,"",SUMPRODUCT(MAX((Log!$D$4:$D$503=$A29)*(Log!$B$4:$B$503=M$23)*(Log!$E$4:$E$503="A")*(Log!$F$4:$F$503&lt;&gt;"")*Log!$F$4:$F$503))))</f>
        <v/>
      </c>
      <c r="N29" s="37" t="str">
        <f aca="false">IF($A29="","",IF(SUMPRODUCT(MAX((Log!$D$4:$D$503=$A29)*(Log!$B$4:$B$503=N$23)*(Log!$E$4:$E$503="A")*(Log!$F$4:$F$503&lt;&gt;"")*Log!$F$4:$F$503))=0,"",SUMPRODUCT(MAX((Log!$D$4:$D$503=$A29)*(Log!$B$4:$B$503=N$23)*(Log!$E$4:$E$503="A")*(Log!$F$4:$F$503&lt;&gt;"")*Log!$F$4:$F$503))))</f>
        <v/>
      </c>
      <c r="O29" s="37" t="str">
        <f aca="false">IF($A29="","",IF(SUMPRODUCT(MAX((Log!$D$4:$D$503=$A29)*(Log!$B$4:$B$503=O$23)*(Log!$E$4:$E$503="A")*(Log!$F$4:$F$503&lt;&gt;"")*Log!$F$4:$F$503))=0,"",SUMPRODUCT(MAX((Log!$D$4:$D$503=$A29)*(Log!$B$4:$B$503=O$23)*(Log!$E$4:$E$503="A")*(Log!$F$4:$F$503&lt;&gt;"")*Log!$F$4:$F$503))))</f>
        <v/>
      </c>
      <c r="P29" s="37" t="str">
        <f aca="false">IF($A29="","",IF(SUMPRODUCT(MAX((Log!$D$4:$D$503=$A29)*(Log!$B$4:$B$503=P$23)*(Log!$E$4:$E$503="A")*(Log!$F$4:$F$503&lt;&gt;"")*Log!$F$4:$F$503))=0,"",SUMPRODUCT(MAX((Log!$D$4:$D$503=$A29)*(Log!$B$4:$B$503=P$23)*(Log!$E$4:$E$503="A")*(Log!$F$4:$F$503&lt;&gt;"")*Log!$F$4:$F$503))))</f>
        <v/>
      </c>
      <c r="Q29" s="37" t="str">
        <f aca="false">IF($A29="","",IF(SUMPRODUCT(MAX((Log!$D$4:$D$503=$A29)*(Log!$B$4:$B$503=Q$23)*(Log!$E$4:$E$503="A")*(Log!$F$4:$F$503&lt;&gt;"")*Log!$F$4:$F$503))=0,"",SUMPRODUCT(MAX((Log!$D$4:$D$503=$A29)*(Log!$B$4:$B$503=Q$23)*(Log!$E$4:$E$503="A")*(Log!$F$4:$F$503&lt;&gt;"")*Log!$F$4:$F$503))))</f>
        <v/>
      </c>
      <c r="R29" s="36" t="n">
        <f aca="false">IF(COUNT(B29:Q29)=0,"",MAX(B29:Q29))</f>
        <v>280</v>
      </c>
    </row>
    <row r="30" customFormat="false" ht="16.5" hidden="false" customHeight="true" outlineLevel="0" collapsed="false">
      <c r="A30" s="30" t="str">
        <f aca="false">IF(Übungen!$A10="","",Übungen!$A10)</f>
        <v>Beinbeuger</v>
      </c>
      <c r="B30" s="35" t="n">
        <f aca="false">IF($A30="","",IF(SUMPRODUCT(MAX((Log!$D$4:$D$503=$A30)*(Log!$B$4:$B$503=B$23)*(Log!$E$4:$E$503="A")*(Log!$F$4:$F$503&lt;&gt;"")*Log!$F$4:$F$503))=0,"",SUMPRODUCT(MAX((Log!$D$4:$D$503=$A30)*(Log!$B$4:$B$503=B$23)*(Log!$E$4:$E$503="A")*(Log!$F$4:$F$503&lt;&gt;"")*Log!$F$4:$F$503))))</f>
        <v>50</v>
      </c>
      <c r="C30" s="35" t="n">
        <f aca="false">IF($A30="","",IF(SUMPRODUCT(MAX((Log!$D$4:$D$503=$A30)*(Log!$B$4:$B$503=C$23)*(Log!$E$4:$E$503="A")*(Log!$F$4:$F$503&lt;&gt;"")*Log!$F$4:$F$503))=0,"",SUMPRODUCT(MAX((Log!$D$4:$D$503=$A30)*(Log!$B$4:$B$503=C$23)*(Log!$E$4:$E$503="A")*(Log!$F$4:$F$503&lt;&gt;"")*Log!$F$4:$F$503))))</f>
        <v>55</v>
      </c>
      <c r="D30" s="35" t="n">
        <f aca="false">IF($A30="","",IF(SUMPRODUCT(MAX((Log!$D$4:$D$503=$A30)*(Log!$B$4:$B$503=D$23)*(Log!$E$4:$E$503="A")*(Log!$F$4:$F$503&lt;&gt;"")*Log!$F$4:$F$503))=0,"",SUMPRODUCT(MAX((Log!$D$4:$D$503=$A30)*(Log!$B$4:$B$503=D$23)*(Log!$E$4:$E$503="A")*(Log!$F$4:$F$503&lt;&gt;"")*Log!$F$4:$F$503))))</f>
        <v>45</v>
      </c>
      <c r="E30" s="35" t="str">
        <f aca="false">IF($A30="","",IF(SUMPRODUCT(MAX((Log!$D$4:$D$503=$A30)*(Log!$B$4:$B$503=E$23)*(Log!$E$4:$E$503="A")*(Log!$F$4:$F$503&lt;&gt;"")*Log!$F$4:$F$503))=0,"",SUMPRODUCT(MAX((Log!$D$4:$D$503=$A30)*(Log!$B$4:$B$503=E$23)*(Log!$E$4:$E$503="A")*(Log!$F$4:$F$503&lt;&gt;"")*Log!$F$4:$F$503))))</f>
        <v/>
      </c>
      <c r="F30" s="35" t="str">
        <f aca="false">IF($A30="","",IF(SUMPRODUCT(MAX((Log!$D$4:$D$503=$A30)*(Log!$B$4:$B$503=F$23)*(Log!$E$4:$E$503="A")*(Log!$F$4:$F$503&lt;&gt;"")*Log!$F$4:$F$503))=0,"",SUMPRODUCT(MAX((Log!$D$4:$D$503=$A30)*(Log!$B$4:$B$503=F$23)*(Log!$E$4:$E$503="A")*(Log!$F$4:$F$503&lt;&gt;"")*Log!$F$4:$F$503))))</f>
        <v/>
      </c>
      <c r="G30" s="35" t="str">
        <f aca="false">IF($A30="","",IF(SUMPRODUCT(MAX((Log!$D$4:$D$503=$A30)*(Log!$B$4:$B$503=G$23)*(Log!$E$4:$E$503="A")*(Log!$F$4:$F$503&lt;&gt;"")*Log!$F$4:$F$503))=0,"",SUMPRODUCT(MAX((Log!$D$4:$D$503=$A30)*(Log!$B$4:$B$503=G$23)*(Log!$E$4:$E$503="A")*(Log!$F$4:$F$503&lt;&gt;"")*Log!$F$4:$F$503))))</f>
        <v/>
      </c>
      <c r="H30" s="35" t="str">
        <f aca="false">IF($A30="","",IF(SUMPRODUCT(MAX((Log!$D$4:$D$503=$A30)*(Log!$B$4:$B$503=H$23)*(Log!$E$4:$E$503="A")*(Log!$F$4:$F$503&lt;&gt;"")*Log!$F$4:$F$503))=0,"",SUMPRODUCT(MAX((Log!$D$4:$D$503=$A30)*(Log!$B$4:$B$503=H$23)*(Log!$E$4:$E$503="A")*(Log!$F$4:$F$503&lt;&gt;"")*Log!$F$4:$F$503))))</f>
        <v/>
      </c>
      <c r="I30" s="35" t="str">
        <f aca="false">IF($A30="","",IF(SUMPRODUCT(MAX((Log!$D$4:$D$503=$A30)*(Log!$B$4:$B$503=I$23)*(Log!$E$4:$E$503="A")*(Log!$F$4:$F$503&lt;&gt;"")*Log!$F$4:$F$503))=0,"",SUMPRODUCT(MAX((Log!$D$4:$D$503=$A30)*(Log!$B$4:$B$503=I$23)*(Log!$E$4:$E$503="A")*(Log!$F$4:$F$503&lt;&gt;"")*Log!$F$4:$F$503))))</f>
        <v/>
      </c>
      <c r="J30" s="35" t="str">
        <f aca="false">IF($A30="","",IF(SUMPRODUCT(MAX((Log!$D$4:$D$503=$A30)*(Log!$B$4:$B$503=J$23)*(Log!$E$4:$E$503="A")*(Log!$F$4:$F$503&lt;&gt;"")*Log!$F$4:$F$503))=0,"",SUMPRODUCT(MAX((Log!$D$4:$D$503=$A30)*(Log!$B$4:$B$503=J$23)*(Log!$E$4:$E$503="A")*(Log!$F$4:$F$503&lt;&gt;"")*Log!$F$4:$F$503))))</f>
        <v/>
      </c>
      <c r="K30" s="35" t="str">
        <f aca="false">IF($A30="","",IF(SUMPRODUCT(MAX((Log!$D$4:$D$503=$A30)*(Log!$B$4:$B$503=K$23)*(Log!$E$4:$E$503="A")*(Log!$F$4:$F$503&lt;&gt;"")*Log!$F$4:$F$503))=0,"",SUMPRODUCT(MAX((Log!$D$4:$D$503=$A30)*(Log!$B$4:$B$503=K$23)*(Log!$E$4:$E$503="A")*(Log!$F$4:$F$503&lt;&gt;"")*Log!$F$4:$F$503))))</f>
        <v/>
      </c>
      <c r="L30" s="35" t="str">
        <f aca="false">IF($A30="","",IF(SUMPRODUCT(MAX((Log!$D$4:$D$503=$A30)*(Log!$B$4:$B$503=L$23)*(Log!$E$4:$E$503="A")*(Log!$F$4:$F$503&lt;&gt;"")*Log!$F$4:$F$503))=0,"",SUMPRODUCT(MAX((Log!$D$4:$D$503=$A30)*(Log!$B$4:$B$503=L$23)*(Log!$E$4:$E$503="A")*(Log!$F$4:$F$503&lt;&gt;"")*Log!$F$4:$F$503))))</f>
        <v/>
      </c>
      <c r="M30" s="35" t="str">
        <f aca="false">IF($A30="","",IF(SUMPRODUCT(MAX((Log!$D$4:$D$503=$A30)*(Log!$B$4:$B$503=M$23)*(Log!$E$4:$E$503="A")*(Log!$F$4:$F$503&lt;&gt;"")*Log!$F$4:$F$503))=0,"",SUMPRODUCT(MAX((Log!$D$4:$D$503=$A30)*(Log!$B$4:$B$503=M$23)*(Log!$E$4:$E$503="A")*(Log!$F$4:$F$503&lt;&gt;"")*Log!$F$4:$F$503))))</f>
        <v/>
      </c>
      <c r="N30" s="35" t="str">
        <f aca="false">IF($A30="","",IF(SUMPRODUCT(MAX((Log!$D$4:$D$503=$A30)*(Log!$B$4:$B$503=N$23)*(Log!$E$4:$E$503="A")*(Log!$F$4:$F$503&lt;&gt;"")*Log!$F$4:$F$503))=0,"",SUMPRODUCT(MAX((Log!$D$4:$D$503=$A30)*(Log!$B$4:$B$503=N$23)*(Log!$E$4:$E$503="A")*(Log!$F$4:$F$503&lt;&gt;"")*Log!$F$4:$F$503))))</f>
        <v/>
      </c>
      <c r="O30" s="35" t="str">
        <f aca="false">IF($A30="","",IF(SUMPRODUCT(MAX((Log!$D$4:$D$503=$A30)*(Log!$B$4:$B$503=O$23)*(Log!$E$4:$E$503="A")*(Log!$F$4:$F$503&lt;&gt;"")*Log!$F$4:$F$503))=0,"",SUMPRODUCT(MAX((Log!$D$4:$D$503=$A30)*(Log!$B$4:$B$503=O$23)*(Log!$E$4:$E$503="A")*(Log!$F$4:$F$503&lt;&gt;"")*Log!$F$4:$F$503))))</f>
        <v/>
      </c>
      <c r="P30" s="35" t="str">
        <f aca="false">IF($A30="","",IF(SUMPRODUCT(MAX((Log!$D$4:$D$503=$A30)*(Log!$B$4:$B$503=P$23)*(Log!$E$4:$E$503="A")*(Log!$F$4:$F$503&lt;&gt;"")*Log!$F$4:$F$503))=0,"",SUMPRODUCT(MAX((Log!$D$4:$D$503=$A30)*(Log!$B$4:$B$503=P$23)*(Log!$E$4:$E$503="A")*(Log!$F$4:$F$503&lt;&gt;"")*Log!$F$4:$F$503))))</f>
        <v/>
      </c>
      <c r="Q30" s="35" t="str">
        <f aca="false">IF($A30="","",IF(SUMPRODUCT(MAX((Log!$D$4:$D$503=$A30)*(Log!$B$4:$B$503=Q$23)*(Log!$E$4:$E$503="A")*(Log!$F$4:$F$503&lt;&gt;"")*Log!$F$4:$F$503))=0,"",SUMPRODUCT(MAX((Log!$D$4:$D$503=$A30)*(Log!$B$4:$B$503=Q$23)*(Log!$E$4:$E$503="A")*(Log!$F$4:$F$503&lt;&gt;"")*Log!$F$4:$F$503))))</f>
        <v/>
      </c>
      <c r="R30" s="36" t="n">
        <f aca="false">IF(COUNT(B30:Q30)=0,"",MAX(B30:Q30))</f>
        <v>55</v>
      </c>
    </row>
    <row r="31" customFormat="false" ht="16.5" hidden="false" customHeight="true" outlineLevel="0" collapsed="false">
      <c r="A31" s="33" t="str">
        <f aca="false">IF(Übungen!$A11="","",Übungen!$A11)</f>
        <v>Seitliche Kickbacks</v>
      </c>
      <c r="B31" s="37" t="n">
        <f aca="false">IF($A31="","",IF(SUMPRODUCT(MAX((Log!$D$4:$D$503=$A31)*(Log!$B$4:$B$503=B$23)*(Log!$E$4:$E$503="A")*(Log!$F$4:$F$503&lt;&gt;"")*Log!$F$4:$F$503))=0,"",SUMPRODUCT(MAX((Log!$D$4:$D$503=$A31)*(Log!$B$4:$B$503=B$23)*(Log!$E$4:$E$503="A")*(Log!$F$4:$F$503&lt;&gt;"")*Log!$F$4:$F$503))))</f>
        <v>49</v>
      </c>
      <c r="C31" s="37" t="n">
        <f aca="false">IF($A31="","",IF(SUMPRODUCT(MAX((Log!$D$4:$D$503=$A31)*(Log!$B$4:$B$503=C$23)*(Log!$E$4:$E$503="A")*(Log!$F$4:$F$503&lt;&gt;"")*Log!$F$4:$F$503))=0,"",SUMPRODUCT(MAX((Log!$D$4:$D$503=$A31)*(Log!$B$4:$B$503=C$23)*(Log!$E$4:$E$503="A")*(Log!$F$4:$F$503&lt;&gt;"")*Log!$F$4:$F$503))))</f>
        <v>35</v>
      </c>
      <c r="D31" s="37" t="str">
        <f aca="false">IF($A31="","",IF(SUMPRODUCT(MAX((Log!$D$4:$D$503=$A31)*(Log!$B$4:$B$503=D$23)*(Log!$E$4:$E$503="A")*(Log!$F$4:$F$503&lt;&gt;"")*Log!$F$4:$F$503))=0,"",SUMPRODUCT(MAX((Log!$D$4:$D$503=$A31)*(Log!$B$4:$B$503=D$23)*(Log!$E$4:$E$503="A")*(Log!$F$4:$F$503&lt;&gt;"")*Log!$F$4:$F$503))))</f>
        <v/>
      </c>
      <c r="E31" s="37" t="str">
        <f aca="false">IF($A31="","",IF(SUMPRODUCT(MAX((Log!$D$4:$D$503=$A31)*(Log!$B$4:$B$503=E$23)*(Log!$E$4:$E$503="A")*(Log!$F$4:$F$503&lt;&gt;"")*Log!$F$4:$F$503))=0,"",SUMPRODUCT(MAX((Log!$D$4:$D$503=$A31)*(Log!$B$4:$B$503=E$23)*(Log!$E$4:$E$503="A")*(Log!$F$4:$F$503&lt;&gt;"")*Log!$F$4:$F$503))))</f>
        <v/>
      </c>
      <c r="F31" s="37" t="str">
        <f aca="false">IF($A31="","",IF(SUMPRODUCT(MAX((Log!$D$4:$D$503=$A31)*(Log!$B$4:$B$503=F$23)*(Log!$E$4:$E$503="A")*(Log!$F$4:$F$503&lt;&gt;"")*Log!$F$4:$F$503))=0,"",SUMPRODUCT(MAX((Log!$D$4:$D$503=$A31)*(Log!$B$4:$B$503=F$23)*(Log!$E$4:$E$503="A")*(Log!$F$4:$F$503&lt;&gt;"")*Log!$F$4:$F$503))))</f>
        <v/>
      </c>
      <c r="G31" s="37" t="str">
        <f aca="false">IF($A31="","",IF(SUMPRODUCT(MAX((Log!$D$4:$D$503=$A31)*(Log!$B$4:$B$503=G$23)*(Log!$E$4:$E$503="A")*(Log!$F$4:$F$503&lt;&gt;"")*Log!$F$4:$F$503))=0,"",SUMPRODUCT(MAX((Log!$D$4:$D$503=$A31)*(Log!$B$4:$B$503=G$23)*(Log!$E$4:$E$503="A")*(Log!$F$4:$F$503&lt;&gt;"")*Log!$F$4:$F$503))))</f>
        <v/>
      </c>
      <c r="H31" s="37" t="str">
        <f aca="false">IF($A31="","",IF(SUMPRODUCT(MAX((Log!$D$4:$D$503=$A31)*(Log!$B$4:$B$503=H$23)*(Log!$E$4:$E$503="A")*(Log!$F$4:$F$503&lt;&gt;"")*Log!$F$4:$F$503))=0,"",SUMPRODUCT(MAX((Log!$D$4:$D$503=$A31)*(Log!$B$4:$B$503=H$23)*(Log!$E$4:$E$503="A")*(Log!$F$4:$F$503&lt;&gt;"")*Log!$F$4:$F$503))))</f>
        <v/>
      </c>
      <c r="I31" s="37" t="str">
        <f aca="false">IF($A31="","",IF(SUMPRODUCT(MAX((Log!$D$4:$D$503=$A31)*(Log!$B$4:$B$503=I$23)*(Log!$E$4:$E$503="A")*(Log!$F$4:$F$503&lt;&gt;"")*Log!$F$4:$F$503))=0,"",SUMPRODUCT(MAX((Log!$D$4:$D$503=$A31)*(Log!$B$4:$B$503=I$23)*(Log!$E$4:$E$503="A")*(Log!$F$4:$F$503&lt;&gt;"")*Log!$F$4:$F$503))))</f>
        <v/>
      </c>
      <c r="J31" s="37" t="str">
        <f aca="false">IF($A31="","",IF(SUMPRODUCT(MAX((Log!$D$4:$D$503=$A31)*(Log!$B$4:$B$503=J$23)*(Log!$E$4:$E$503="A")*(Log!$F$4:$F$503&lt;&gt;"")*Log!$F$4:$F$503))=0,"",SUMPRODUCT(MAX((Log!$D$4:$D$503=$A31)*(Log!$B$4:$B$503=J$23)*(Log!$E$4:$E$503="A")*(Log!$F$4:$F$503&lt;&gt;"")*Log!$F$4:$F$503))))</f>
        <v/>
      </c>
      <c r="K31" s="37" t="str">
        <f aca="false">IF($A31="","",IF(SUMPRODUCT(MAX((Log!$D$4:$D$503=$A31)*(Log!$B$4:$B$503=K$23)*(Log!$E$4:$E$503="A")*(Log!$F$4:$F$503&lt;&gt;"")*Log!$F$4:$F$503))=0,"",SUMPRODUCT(MAX((Log!$D$4:$D$503=$A31)*(Log!$B$4:$B$503=K$23)*(Log!$E$4:$E$503="A")*(Log!$F$4:$F$503&lt;&gt;"")*Log!$F$4:$F$503))))</f>
        <v/>
      </c>
      <c r="L31" s="37" t="str">
        <f aca="false">IF($A31="","",IF(SUMPRODUCT(MAX((Log!$D$4:$D$503=$A31)*(Log!$B$4:$B$503=L$23)*(Log!$E$4:$E$503="A")*(Log!$F$4:$F$503&lt;&gt;"")*Log!$F$4:$F$503))=0,"",SUMPRODUCT(MAX((Log!$D$4:$D$503=$A31)*(Log!$B$4:$B$503=L$23)*(Log!$E$4:$E$503="A")*(Log!$F$4:$F$503&lt;&gt;"")*Log!$F$4:$F$503))))</f>
        <v/>
      </c>
      <c r="M31" s="37" t="str">
        <f aca="false">IF($A31="","",IF(SUMPRODUCT(MAX((Log!$D$4:$D$503=$A31)*(Log!$B$4:$B$503=M$23)*(Log!$E$4:$E$503="A")*(Log!$F$4:$F$503&lt;&gt;"")*Log!$F$4:$F$503))=0,"",SUMPRODUCT(MAX((Log!$D$4:$D$503=$A31)*(Log!$B$4:$B$503=M$23)*(Log!$E$4:$E$503="A")*(Log!$F$4:$F$503&lt;&gt;"")*Log!$F$4:$F$503))))</f>
        <v/>
      </c>
      <c r="N31" s="37" t="str">
        <f aca="false">IF($A31="","",IF(SUMPRODUCT(MAX((Log!$D$4:$D$503=$A31)*(Log!$B$4:$B$503=N$23)*(Log!$E$4:$E$503="A")*(Log!$F$4:$F$503&lt;&gt;"")*Log!$F$4:$F$503))=0,"",SUMPRODUCT(MAX((Log!$D$4:$D$503=$A31)*(Log!$B$4:$B$503=N$23)*(Log!$E$4:$E$503="A")*(Log!$F$4:$F$503&lt;&gt;"")*Log!$F$4:$F$503))))</f>
        <v/>
      </c>
      <c r="O31" s="37" t="str">
        <f aca="false">IF($A31="","",IF(SUMPRODUCT(MAX((Log!$D$4:$D$503=$A31)*(Log!$B$4:$B$503=O$23)*(Log!$E$4:$E$503="A")*(Log!$F$4:$F$503&lt;&gt;"")*Log!$F$4:$F$503))=0,"",SUMPRODUCT(MAX((Log!$D$4:$D$503=$A31)*(Log!$B$4:$B$503=O$23)*(Log!$E$4:$E$503="A")*(Log!$F$4:$F$503&lt;&gt;"")*Log!$F$4:$F$503))))</f>
        <v/>
      </c>
      <c r="P31" s="37" t="str">
        <f aca="false">IF($A31="","",IF(SUMPRODUCT(MAX((Log!$D$4:$D$503=$A31)*(Log!$B$4:$B$503=P$23)*(Log!$E$4:$E$503="A")*(Log!$F$4:$F$503&lt;&gt;"")*Log!$F$4:$F$503))=0,"",SUMPRODUCT(MAX((Log!$D$4:$D$503=$A31)*(Log!$B$4:$B$503=P$23)*(Log!$E$4:$E$503="A")*(Log!$F$4:$F$503&lt;&gt;"")*Log!$F$4:$F$503))))</f>
        <v/>
      </c>
      <c r="Q31" s="37" t="str">
        <f aca="false">IF($A31="","",IF(SUMPRODUCT(MAX((Log!$D$4:$D$503=$A31)*(Log!$B$4:$B$503=Q$23)*(Log!$E$4:$E$503="A")*(Log!$F$4:$F$503&lt;&gt;"")*Log!$F$4:$F$503))=0,"",SUMPRODUCT(MAX((Log!$D$4:$D$503=$A31)*(Log!$B$4:$B$503=Q$23)*(Log!$E$4:$E$503="A")*(Log!$F$4:$F$503&lt;&gt;"")*Log!$F$4:$F$503))))</f>
        <v/>
      </c>
      <c r="R31" s="36" t="n">
        <f aca="false">IF(COUNT(B31:Q31)=0,"",MAX(B31:Q31))</f>
        <v>49</v>
      </c>
    </row>
    <row r="32" customFormat="false" ht="16.5" hidden="false" customHeight="true" outlineLevel="0" collapsed="false">
      <c r="A32" s="30" t="str">
        <f aca="false">IF(Übungen!$A12="","",Übungen!$A12)</f>
        <v>Waden</v>
      </c>
      <c r="B32" s="35" t="n">
        <f aca="false">IF($A32="","",IF(SUMPRODUCT(MAX((Log!$D$4:$D$503=$A32)*(Log!$B$4:$B$503=B$23)*(Log!$E$4:$E$503="A")*(Log!$F$4:$F$503&lt;&gt;"")*Log!$F$4:$F$503))=0,"",SUMPRODUCT(MAX((Log!$D$4:$D$503=$A32)*(Log!$B$4:$B$503=B$23)*(Log!$E$4:$E$503="A")*(Log!$F$4:$F$503&lt;&gt;"")*Log!$F$4:$F$503))))</f>
        <v>145</v>
      </c>
      <c r="C32" s="35" t="n">
        <f aca="false">IF($A32="","",IF(SUMPRODUCT(MAX((Log!$D$4:$D$503=$A32)*(Log!$B$4:$B$503=C$23)*(Log!$E$4:$E$503="A")*(Log!$F$4:$F$503&lt;&gt;"")*Log!$F$4:$F$503))=0,"",SUMPRODUCT(MAX((Log!$D$4:$D$503=$A32)*(Log!$B$4:$B$503=C$23)*(Log!$E$4:$E$503="A")*(Log!$F$4:$F$503&lt;&gt;"")*Log!$F$4:$F$503))))</f>
        <v>150</v>
      </c>
      <c r="D32" s="35" t="str">
        <f aca="false">IF($A32="","",IF(SUMPRODUCT(MAX((Log!$D$4:$D$503=$A32)*(Log!$B$4:$B$503=D$23)*(Log!$E$4:$E$503="A")*(Log!$F$4:$F$503&lt;&gt;"")*Log!$F$4:$F$503))=0,"",SUMPRODUCT(MAX((Log!$D$4:$D$503=$A32)*(Log!$B$4:$B$503=D$23)*(Log!$E$4:$E$503="A")*(Log!$F$4:$F$503&lt;&gt;"")*Log!$F$4:$F$503))))</f>
        <v/>
      </c>
      <c r="E32" s="35" t="str">
        <f aca="false">IF($A32="","",IF(SUMPRODUCT(MAX((Log!$D$4:$D$503=$A32)*(Log!$B$4:$B$503=E$23)*(Log!$E$4:$E$503="A")*(Log!$F$4:$F$503&lt;&gt;"")*Log!$F$4:$F$503))=0,"",SUMPRODUCT(MAX((Log!$D$4:$D$503=$A32)*(Log!$B$4:$B$503=E$23)*(Log!$E$4:$E$503="A")*(Log!$F$4:$F$503&lt;&gt;"")*Log!$F$4:$F$503))))</f>
        <v/>
      </c>
      <c r="F32" s="35" t="str">
        <f aca="false">IF($A32="","",IF(SUMPRODUCT(MAX((Log!$D$4:$D$503=$A32)*(Log!$B$4:$B$503=F$23)*(Log!$E$4:$E$503="A")*(Log!$F$4:$F$503&lt;&gt;"")*Log!$F$4:$F$503))=0,"",SUMPRODUCT(MAX((Log!$D$4:$D$503=$A32)*(Log!$B$4:$B$503=F$23)*(Log!$E$4:$E$503="A")*(Log!$F$4:$F$503&lt;&gt;"")*Log!$F$4:$F$503))))</f>
        <v/>
      </c>
      <c r="G32" s="35" t="str">
        <f aca="false">IF($A32="","",IF(SUMPRODUCT(MAX((Log!$D$4:$D$503=$A32)*(Log!$B$4:$B$503=G$23)*(Log!$E$4:$E$503="A")*(Log!$F$4:$F$503&lt;&gt;"")*Log!$F$4:$F$503))=0,"",SUMPRODUCT(MAX((Log!$D$4:$D$503=$A32)*(Log!$B$4:$B$503=G$23)*(Log!$E$4:$E$503="A")*(Log!$F$4:$F$503&lt;&gt;"")*Log!$F$4:$F$503))))</f>
        <v/>
      </c>
      <c r="H32" s="35" t="str">
        <f aca="false">IF($A32="","",IF(SUMPRODUCT(MAX((Log!$D$4:$D$503=$A32)*(Log!$B$4:$B$503=H$23)*(Log!$E$4:$E$503="A")*(Log!$F$4:$F$503&lt;&gt;"")*Log!$F$4:$F$503))=0,"",SUMPRODUCT(MAX((Log!$D$4:$D$503=$A32)*(Log!$B$4:$B$503=H$23)*(Log!$E$4:$E$503="A")*(Log!$F$4:$F$503&lt;&gt;"")*Log!$F$4:$F$503))))</f>
        <v/>
      </c>
      <c r="I32" s="35" t="str">
        <f aca="false">IF($A32="","",IF(SUMPRODUCT(MAX((Log!$D$4:$D$503=$A32)*(Log!$B$4:$B$503=I$23)*(Log!$E$4:$E$503="A")*(Log!$F$4:$F$503&lt;&gt;"")*Log!$F$4:$F$503))=0,"",SUMPRODUCT(MAX((Log!$D$4:$D$503=$A32)*(Log!$B$4:$B$503=I$23)*(Log!$E$4:$E$503="A")*(Log!$F$4:$F$503&lt;&gt;"")*Log!$F$4:$F$503))))</f>
        <v/>
      </c>
      <c r="J32" s="35" t="str">
        <f aca="false">IF($A32="","",IF(SUMPRODUCT(MAX((Log!$D$4:$D$503=$A32)*(Log!$B$4:$B$503=J$23)*(Log!$E$4:$E$503="A")*(Log!$F$4:$F$503&lt;&gt;"")*Log!$F$4:$F$503))=0,"",SUMPRODUCT(MAX((Log!$D$4:$D$503=$A32)*(Log!$B$4:$B$503=J$23)*(Log!$E$4:$E$503="A")*(Log!$F$4:$F$503&lt;&gt;"")*Log!$F$4:$F$503))))</f>
        <v/>
      </c>
      <c r="K32" s="35" t="str">
        <f aca="false">IF($A32="","",IF(SUMPRODUCT(MAX((Log!$D$4:$D$503=$A32)*(Log!$B$4:$B$503=K$23)*(Log!$E$4:$E$503="A")*(Log!$F$4:$F$503&lt;&gt;"")*Log!$F$4:$F$503))=0,"",SUMPRODUCT(MAX((Log!$D$4:$D$503=$A32)*(Log!$B$4:$B$503=K$23)*(Log!$E$4:$E$503="A")*(Log!$F$4:$F$503&lt;&gt;"")*Log!$F$4:$F$503))))</f>
        <v/>
      </c>
      <c r="L32" s="35" t="str">
        <f aca="false">IF($A32="","",IF(SUMPRODUCT(MAX((Log!$D$4:$D$503=$A32)*(Log!$B$4:$B$503=L$23)*(Log!$E$4:$E$503="A")*(Log!$F$4:$F$503&lt;&gt;"")*Log!$F$4:$F$503))=0,"",SUMPRODUCT(MAX((Log!$D$4:$D$503=$A32)*(Log!$B$4:$B$503=L$23)*(Log!$E$4:$E$503="A")*(Log!$F$4:$F$503&lt;&gt;"")*Log!$F$4:$F$503))))</f>
        <v/>
      </c>
      <c r="M32" s="35" t="str">
        <f aca="false">IF($A32="","",IF(SUMPRODUCT(MAX((Log!$D$4:$D$503=$A32)*(Log!$B$4:$B$503=M$23)*(Log!$E$4:$E$503="A")*(Log!$F$4:$F$503&lt;&gt;"")*Log!$F$4:$F$503))=0,"",SUMPRODUCT(MAX((Log!$D$4:$D$503=$A32)*(Log!$B$4:$B$503=M$23)*(Log!$E$4:$E$503="A")*(Log!$F$4:$F$503&lt;&gt;"")*Log!$F$4:$F$503))))</f>
        <v/>
      </c>
      <c r="N32" s="35" t="str">
        <f aca="false">IF($A32="","",IF(SUMPRODUCT(MAX((Log!$D$4:$D$503=$A32)*(Log!$B$4:$B$503=N$23)*(Log!$E$4:$E$503="A")*(Log!$F$4:$F$503&lt;&gt;"")*Log!$F$4:$F$503))=0,"",SUMPRODUCT(MAX((Log!$D$4:$D$503=$A32)*(Log!$B$4:$B$503=N$23)*(Log!$E$4:$E$503="A")*(Log!$F$4:$F$503&lt;&gt;"")*Log!$F$4:$F$503))))</f>
        <v/>
      </c>
      <c r="O32" s="35" t="str">
        <f aca="false">IF($A32="","",IF(SUMPRODUCT(MAX((Log!$D$4:$D$503=$A32)*(Log!$B$4:$B$503=O$23)*(Log!$E$4:$E$503="A")*(Log!$F$4:$F$503&lt;&gt;"")*Log!$F$4:$F$503))=0,"",SUMPRODUCT(MAX((Log!$D$4:$D$503=$A32)*(Log!$B$4:$B$503=O$23)*(Log!$E$4:$E$503="A")*(Log!$F$4:$F$503&lt;&gt;"")*Log!$F$4:$F$503))))</f>
        <v/>
      </c>
      <c r="P32" s="35" t="str">
        <f aca="false">IF($A32="","",IF(SUMPRODUCT(MAX((Log!$D$4:$D$503=$A32)*(Log!$B$4:$B$503=P$23)*(Log!$E$4:$E$503="A")*(Log!$F$4:$F$503&lt;&gt;"")*Log!$F$4:$F$503))=0,"",SUMPRODUCT(MAX((Log!$D$4:$D$503=$A32)*(Log!$B$4:$B$503=P$23)*(Log!$E$4:$E$503="A")*(Log!$F$4:$F$503&lt;&gt;"")*Log!$F$4:$F$503))))</f>
        <v/>
      </c>
      <c r="Q32" s="35" t="str">
        <f aca="false">IF($A32="","",IF(SUMPRODUCT(MAX((Log!$D$4:$D$503=$A32)*(Log!$B$4:$B$503=Q$23)*(Log!$E$4:$E$503="A")*(Log!$F$4:$F$503&lt;&gt;"")*Log!$F$4:$F$503))=0,"",SUMPRODUCT(MAX((Log!$D$4:$D$503=$A32)*(Log!$B$4:$B$503=Q$23)*(Log!$E$4:$E$503="A")*(Log!$F$4:$F$503&lt;&gt;"")*Log!$F$4:$F$503))))</f>
        <v/>
      </c>
      <c r="R32" s="36" t="n">
        <f aca="false">IF(COUNT(B32:Q32)=0,"",MAX(B32:Q32))</f>
        <v>150</v>
      </c>
    </row>
    <row r="33" customFormat="false" ht="16.5" hidden="false" customHeight="true" outlineLevel="0" collapsed="false">
      <c r="A33" s="33" t="str">
        <f aca="false">IF(Übungen!$A13="","",Übungen!$A13)</f>
        <v>Lunges</v>
      </c>
      <c r="B33" s="37" t="n">
        <f aca="false">IF($A33="","",IF(SUMPRODUCT(MAX((Log!$D$4:$D$503=$A33)*(Log!$B$4:$B$503=B$23)*(Log!$E$4:$E$503="A")*(Log!$F$4:$F$503&lt;&gt;"")*Log!$F$4:$F$503))=0,"",SUMPRODUCT(MAX((Log!$D$4:$D$503=$A33)*(Log!$B$4:$B$503=B$23)*(Log!$E$4:$E$503="A")*(Log!$F$4:$F$503&lt;&gt;"")*Log!$F$4:$F$503))))</f>
        <v>10</v>
      </c>
      <c r="C33" s="37" t="n">
        <f aca="false">IF($A33="","",IF(SUMPRODUCT(MAX((Log!$D$4:$D$503=$A33)*(Log!$B$4:$B$503=C$23)*(Log!$E$4:$E$503="A")*(Log!$F$4:$F$503&lt;&gt;"")*Log!$F$4:$F$503))=0,"",SUMPRODUCT(MAX((Log!$D$4:$D$503=$A33)*(Log!$B$4:$B$503=C$23)*(Log!$E$4:$E$503="A")*(Log!$F$4:$F$503&lt;&gt;"")*Log!$F$4:$F$503))))</f>
        <v>16</v>
      </c>
      <c r="D33" s="37" t="n">
        <f aca="false">IF($A33="","",IF(SUMPRODUCT(MAX((Log!$D$4:$D$503=$A33)*(Log!$B$4:$B$503=D$23)*(Log!$E$4:$E$503="A")*(Log!$F$4:$F$503&lt;&gt;"")*Log!$F$4:$F$503))=0,"",SUMPRODUCT(MAX((Log!$D$4:$D$503=$A33)*(Log!$B$4:$B$503=D$23)*(Log!$E$4:$E$503="A")*(Log!$F$4:$F$503&lt;&gt;"")*Log!$F$4:$F$503))))</f>
        <v>18</v>
      </c>
      <c r="E33" s="37" t="str">
        <f aca="false">IF($A33="","",IF(SUMPRODUCT(MAX((Log!$D$4:$D$503=$A33)*(Log!$B$4:$B$503=E$23)*(Log!$E$4:$E$503="A")*(Log!$F$4:$F$503&lt;&gt;"")*Log!$F$4:$F$503))=0,"",SUMPRODUCT(MAX((Log!$D$4:$D$503=$A33)*(Log!$B$4:$B$503=E$23)*(Log!$E$4:$E$503="A")*(Log!$F$4:$F$503&lt;&gt;"")*Log!$F$4:$F$503))))</f>
        <v/>
      </c>
      <c r="F33" s="37" t="str">
        <f aca="false">IF($A33="","",IF(SUMPRODUCT(MAX((Log!$D$4:$D$503=$A33)*(Log!$B$4:$B$503=F$23)*(Log!$E$4:$E$503="A")*(Log!$F$4:$F$503&lt;&gt;"")*Log!$F$4:$F$503))=0,"",SUMPRODUCT(MAX((Log!$D$4:$D$503=$A33)*(Log!$B$4:$B$503=F$23)*(Log!$E$4:$E$503="A")*(Log!$F$4:$F$503&lt;&gt;"")*Log!$F$4:$F$503))))</f>
        <v/>
      </c>
      <c r="G33" s="37" t="str">
        <f aca="false">IF($A33="","",IF(SUMPRODUCT(MAX((Log!$D$4:$D$503=$A33)*(Log!$B$4:$B$503=G$23)*(Log!$E$4:$E$503="A")*(Log!$F$4:$F$503&lt;&gt;"")*Log!$F$4:$F$503))=0,"",SUMPRODUCT(MAX((Log!$D$4:$D$503=$A33)*(Log!$B$4:$B$503=G$23)*(Log!$E$4:$E$503="A")*(Log!$F$4:$F$503&lt;&gt;"")*Log!$F$4:$F$503))))</f>
        <v/>
      </c>
      <c r="H33" s="37" t="str">
        <f aca="false">IF($A33="","",IF(SUMPRODUCT(MAX((Log!$D$4:$D$503=$A33)*(Log!$B$4:$B$503=H$23)*(Log!$E$4:$E$503="A")*(Log!$F$4:$F$503&lt;&gt;"")*Log!$F$4:$F$503))=0,"",SUMPRODUCT(MAX((Log!$D$4:$D$503=$A33)*(Log!$B$4:$B$503=H$23)*(Log!$E$4:$E$503="A")*(Log!$F$4:$F$503&lt;&gt;"")*Log!$F$4:$F$503))))</f>
        <v/>
      </c>
      <c r="I33" s="37" t="str">
        <f aca="false">IF($A33="","",IF(SUMPRODUCT(MAX((Log!$D$4:$D$503=$A33)*(Log!$B$4:$B$503=I$23)*(Log!$E$4:$E$503="A")*(Log!$F$4:$F$503&lt;&gt;"")*Log!$F$4:$F$503))=0,"",SUMPRODUCT(MAX((Log!$D$4:$D$503=$A33)*(Log!$B$4:$B$503=I$23)*(Log!$E$4:$E$503="A")*(Log!$F$4:$F$503&lt;&gt;"")*Log!$F$4:$F$503))))</f>
        <v/>
      </c>
      <c r="J33" s="37" t="str">
        <f aca="false">IF($A33="","",IF(SUMPRODUCT(MAX((Log!$D$4:$D$503=$A33)*(Log!$B$4:$B$503=J$23)*(Log!$E$4:$E$503="A")*(Log!$F$4:$F$503&lt;&gt;"")*Log!$F$4:$F$503))=0,"",SUMPRODUCT(MAX((Log!$D$4:$D$503=$A33)*(Log!$B$4:$B$503=J$23)*(Log!$E$4:$E$503="A")*(Log!$F$4:$F$503&lt;&gt;"")*Log!$F$4:$F$503))))</f>
        <v/>
      </c>
      <c r="K33" s="37" t="str">
        <f aca="false">IF($A33="","",IF(SUMPRODUCT(MAX((Log!$D$4:$D$503=$A33)*(Log!$B$4:$B$503=K$23)*(Log!$E$4:$E$503="A")*(Log!$F$4:$F$503&lt;&gt;"")*Log!$F$4:$F$503))=0,"",SUMPRODUCT(MAX((Log!$D$4:$D$503=$A33)*(Log!$B$4:$B$503=K$23)*(Log!$E$4:$E$503="A")*(Log!$F$4:$F$503&lt;&gt;"")*Log!$F$4:$F$503))))</f>
        <v/>
      </c>
      <c r="L33" s="37" t="str">
        <f aca="false">IF($A33="","",IF(SUMPRODUCT(MAX((Log!$D$4:$D$503=$A33)*(Log!$B$4:$B$503=L$23)*(Log!$E$4:$E$503="A")*(Log!$F$4:$F$503&lt;&gt;"")*Log!$F$4:$F$503))=0,"",SUMPRODUCT(MAX((Log!$D$4:$D$503=$A33)*(Log!$B$4:$B$503=L$23)*(Log!$E$4:$E$503="A")*(Log!$F$4:$F$503&lt;&gt;"")*Log!$F$4:$F$503))))</f>
        <v/>
      </c>
      <c r="M33" s="37" t="str">
        <f aca="false">IF($A33="","",IF(SUMPRODUCT(MAX((Log!$D$4:$D$503=$A33)*(Log!$B$4:$B$503=M$23)*(Log!$E$4:$E$503="A")*(Log!$F$4:$F$503&lt;&gt;"")*Log!$F$4:$F$503))=0,"",SUMPRODUCT(MAX((Log!$D$4:$D$503=$A33)*(Log!$B$4:$B$503=M$23)*(Log!$E$4:$E$503="A")*(Log!$F$4:$F$503&lt;&gt;"")*Log!$F$4:$F$503))))</f>
        <v/>
      </c>
      <c r="N33" s="37" t="str">
        <f aca="false">IF($A33="","",IF(SUMPRODUCT(MAX((Log!$D$4:$D$503=$A33)*(Log!$B$4:$B$503=N$23)*(Log!$E$4:$E$503="A")*(Log!$F$4:$F$503&lt;&gt;"")*Log!$F$4:$F$503))=0,"",SUMPRODUCT(MAX((Log!$D$4:$D$503=$A33)*(Log!$B$4:$B$503=N$23)*(Log!$E$4:$E$503="A")*(Log!$F$4:$F$503&lt;&gt;"")*Log!$F$4:$F$503))))</f>
        <v/>
      </c>
      <c r="O33" s="37" t="str">
        <f aca="false">IF($A33="","",IF(SUMPRODUCT(MAX((Log!$D$4:$D$503=$A33)*(Log!$B$4:$B$503=O$23)*(Log!$E$4:$E$503="A")*(Log!$F$4:$F$503&lt;&gt;"")*Log!$F$4:$F$503))=0,"",SUMPRODUCT(MAX((Log!$D$4:$D$503=$A33)*(Log!$B$4:$B$503=O$23)*(Log!$E$4:$E$503="A")*(Log!$F$4:$F$503&lt;&gt;"")*Log!$F$4:$F$503))))</f>
        <v/>
      </c>
      <c r="P33" s="37" t="str">
        <f aca="false">IF($A33="","",IF(SUMPRODUCT(MAX((Log!$D$4:$D$503=$A33)*(Log!$B$4:$B$503=P$23)*(Log!$E$4:$E$503="A")*(Log!$F$4:$F$503&lt;&gt;"")*Log!$F$4:$F$503))=0,"",SUMPRODUCT(MAX((Log!$D$4:$D$503=$A33)*(Log!$B$4:$B$503=P$23)*(Log!$E$4:$E$503="A")*(Log!$F$4:$F$503&lt;&gt;"")*Log!$F$4:$F$503))))</f>
        <v/>
      </c>
      <c r="Q33" s="37" t="str">
        <f aca="false">IF($A33="","",IF(SUMPRODUCT(MAX((Log!$D$4:$D$503=$A33)*(Log!$B$4:$B$503=Q$23)*(Log!$E$4:$E$503="A")*(Log!$F$4:$F$503&lt;&gt;"")*Log!$F$4:$F$503))=0,"",SUMPRODUCT(MAX((Log!$D$4:$D$503=$A33)*(Log!$B$4:$B$503=Q$23)*(Log!$E$4:$E$503="A")*(Log!$F$4:$F$503&lt;&gt;"")*Log!$F$4:$F$503))))</f>
        <v/>
      </c>
      <c r="R33" s="36" t="n">
        <f aca="false">IF(COUNT(B33:Q33)=0,"",MAX(B33:Q33))</f>
        <v>18</v>
      </c>
    </row>
    <row r="34" customFormat="false" ht="16.5" hidden="false" customHeight="true" outlineLevel="0" collapsed="false">
      <c r="A34" s="30" t="str">
        <f aca="false">IF(Übungen!$A14="","",Übungen!$A14)</f>
        <v>Kickback</v>
      </c>
      <c r="B34" s="35" t="n">
        <f aca="false">IF($A34="","",IF(SUMPRODUCT(MAX((Log!$D$4:$D$503=$A34)*(Log!$B$4:$B$503=B$23)*(Log!$E$4:$E$503="A")*(Log!$F$4:$F$503&lt;&gt;"")*Log!$F$4:$F$503))=0,"",SUMPRODUCT(MAX((Log!$D$4:$D$503=$A34)*(Log!$B$4:$B$503=B$23)*(Log!$E$4:$E$503="A")*(Log!$F$4:$F$503&lt;&gt;"")*Log!$F$4:$F$503))))</f>
        <v>77</v>
      </c>
      <c r="C34" s="35" t="n">
        <f aca="false">IF($A34="","",IF(SUMPRODUCT(MAX((Log!$D$4:$D$503=$A34)*(Log!$B$4:$B$503=C$23)*(Log!$E$4:$E$503="A")*(Log!$F$4:$F$503&lt;&gt;"")*Log!$F$4:$F$503))=0,"",SUMPRODUCT(MAX((Log!$D$4:$D$503=$A34)*(Log!$B$4:$B$503=C$23)*(Log!$E$4:$E$503="A")*(Log!$F$4:$F$503&lt;&gt;"")*Log!$F$4:$F$503))))</f>
        <v>84</v>
      </c>
      <c r="D34" s="35" t="n">
        <f aca="false">IF($A34="","",IF(SUMPRODUCT(MAX((Log!$D$4:$D$503=$A34)*(Log!$B$4:$B$503=D$23)*(Log!$E$4:$E$503="A")*(Log!$F$4:$F$503&lt;&gt;"")*Log!$F$4:$F$503))=0,"",SUMPRODUCT(MAX((Log!$D$4:$D$503=$A34)*(Log!$B$4:$B$503=D$23)*(Log!$E$4:$E$503="A")*(Log!$F$4:$F$503&lt;&gt;"")*Log!$F$4:$F$503))))</f>
        <v>84</v>
      </c>
      <c r="E34" s="35" t="n">
        <f aca="false">IF($A34="","",IF(SUMPRODUCT(MAX((Log!$D$4:$D$503=$A34)*(Log!$B$4:$B$503=E$23)*(Log!$E$4:$E$503="A")*(Log!$F$4:$F$503&lt;&gt;"")*Log!$F$4:$F$503))=0,"",SUMPRODUCT(MAX((Log!$D$4:$D$503=$A34)*(Log!$B$4:$B$503=E$23)*(Log!$E$4:$E$503="A")*(Log!$F$4:$F$503&lt;&gt;"")*Log!$F$4:$F$503))))</f>
        <v>63</v>
      </c>
      <c r="F34" s="35" t="str">
        <f aca="false">IF($A34="","",IF(SUMPRODUCT(MAX((Log!$D$4:$D$503=$A34)*(Log!$B$4:$B$503=F$23)*(Log!$E$4:$E$503="A")*(Log!$F$4:$F$503&lt;&gt;"")*Log!$F$4:$F$503))=0,"",SUMPRODUCT(MAX((Log!$D$4:$D$503=$A34)*(Log!$B$4:$B$503=F$23)*(Log!$E$4:$E$503="A")*(Log!$F$4:$F$503&lt;&gt;"")*Log!$F$4:$F$503))))</f>
        <v/>
      </c>
      <c r="G34" s="35" t="str">
        <f aca="false">IF($A34="","",IF(SUMPRODUCT(MAX((Log!$D$4:$D$503=$A34)*(Log!$B$4:$B$503=G$23)*(Log!$E$4:$E$503="A")*(Log!$F$4:$F$503&lt;&gt;"")*Log!$F$4:$F$503))=0,"",SUMPRODUCT(MAX((Log!$D$4:$D$503=$A34)*(Log!$B$4:$B$503=G$23)*(Log!$E$4:$E$503="A")*(Log!$F$4:$F$503&lt;&gt;"")*Log!$F$4:$F$503))))</f>
        <v/>
      </c>
      <c r="H34" s="35" t="str">
        <f aca="false">IF($A34="","",IF(SUMPRODUCT(MAX((Log!$D$4:$D$503=$A34)*(Log!$B$4:$B$503=H$23)*(Log!$E$4:$E$503="A")*(Log!$F$4:$F$503&lt;&gt;"")*Log!$F$4:$F$503))=0,"",SUMPRODUCT(MAX((Log!$D$4:$D$503=$A34)*(Log!$B$4:$B$503=H$23)*(Log!$E$4:$E$503="A")*(Log!$F$4:$F$503&lt;&gt;"")*Log!$F$4:$F$503))))</f>
        <v/>
      </c>
      <c r="I34" s="35" t="str">
        <f aca="false">IF($A34="","",IF(SUMPRODUCT(MAX((Log!$D$4:$D$503=$A34)*(Log!$B$4:$B$503=I$23)*(Log!$E$4:$E$503="A")*(Log!$F$4:$F$503&lt;&gt;"")*Log!$F$4:$F$503))=0,"",SUMPRODUCT(MAX((Log!$D$4:$D$503=$A34)*(Log!$B$4:$B$503=I$23)*(Log!$E$4:$E$503="A")*(Log!$F$4:$F$503&lt;&gt;"")*Log!$F$4:$F$503))))</f>
        <v/>
      </c>
      <c r="J34" s="35" t="str">
        <f aca="false">IF($A34="","",IF(SUMPRODUCT(MAX((Log!$D$4:$D$503=$A34)*(Log!$B$4:$B$503=J$23)*(Log!$E$4:$E$503="A")*(Log!$F$4:$F$503&lt;&gt;"")*Log!$F$4:$F$503))=0,"",SUMPRODUCT(MAX((Log!$D$4:$D$503=$A34)*(Log!$B$4:$B$503=J$23)*(Log!$E$4:$E$503="A")*(Log!$F$4:$F$503&lt;&gt;"")*Log!$F$4:$F$503))))</f>
        <v/>
      </c>
      <c r="K34" s="35" t="str">
        <f aca="false">IF($A34="","",IF(SUMPRODUCT(MAX((Log!$D$4:$D$503=$A34)*(Log!$B$4:$B$503=K$23)*(Log!$E$4:$E$503="A")*(Log!$F$4:$F$503&lt;&gt;"")*Log!$F$4:$F$503))=0,"",SUMPRODUCT(MAX((Log!$D$4:$D$503=$A34)*(Log!$B$4:$B$503=K$23)*(Log!$E$4:$E$503="A")*(Log!$F$4:$F$503&lt;&gt;"")*Log!$F$4:$F$503))))</f>
        <v/>
      </c>
      <c r="L34" s="35" t="str">
        <f aca="false">IF($A34="","",IF(SUMPRODUCT(MAX((Log!$D$4:$D$503=$A34)*(Log!$B$4:$B$503=L$23)*(Log!$E$4:$E$503="A")*(Log!$F$4:$F$503&lt;&gt;"")*Log!$F$4:$F$503))=0,"",SUMPRODUCT(MAX((Log!$D$4:$D$503=$A34)*(Log!$B$4:$B$503=L$23)*(Log!$E$4:$E$503="A")*(Log!$F$4:$F$503&lt;&gt;"")*Log!$F$4:$F$503))))</f>
        <v/>
      </c>
      <c r="M34" s="35" t="str">
        <f aca="false">IF($A34="","",IF(SUMPRODUCT(MAX((Log!$D$4:$D$503=$A34)*(Log!$B$4:$B$503=M$23)*(Log!$E$4:$E$503="A")*(Log!$F$4:$F$503&lt;&gt;"")*Log!$F$4:$F$503))=0,"",SUMPRODUCT(MAX((Log!$D$4:$D$503=$A34)*(Log!$B$4:$B$503=M$23)*(Log!$E$4:$E$503="A")*(Log!$F$4:$F$503&lt;&gt;"")*Log!$F$4:$F$503))))</f>
        <v/>
      </c>
      <c r="N34" s="35" t="str">
        <f aca="false">IF($A34="","",IF(SUMPRODUCT(MAX((Log!$D$4:$D$503=$A34)*(Log!$B$4:$B$503=N$23)*(Log!$E$4:$E$503="A")*(Log!$F$4:$F$503&lt;&gt;"")*Log!$F$4:$F$503))=0,"",SUMPRODUCT(MAX((Log!$D$4:$D$503=$A34)*(Log!$B$4:$B$503=N$23)*(Log!$E$4:$E$503="A")*(Log!$F$4:$F$503&lt;&gt;"")*Log!$F$4:$F$503))))</f>
        <v/>
      </c>
      <c r="O34" s="35" t="str">
        <f aca="false">IF($A34="","",IF(SUMPRODUCT(MAX((Log!$D$4:$D$503=$A34)*(Log!$B$4:$B$503=O$23)*(Log!$E$4:$E$503="A")*(Log!$F$4:$F$503&lt;&gt;"")*Log!$F$4:$F$503))=0,"",SUMPRODUCT(MAX((Log!$D$4:$D$503=$A34)*(Log!$B$4:$B$503=O$23)*(Log!$E$4:$E$503="A")*(Log!$F$4:$F$503&lt;&gt;"")*Log!$F$4:$F$503))))</f>
        <v/>
      </c>
      <c r="P34" s="35" t="str">
        <f aca="false">IF($A34="","",IF(SUMPRODUCT(MAX((Log!$D$4:$D$503=$A34)*(Log!$B$4:$B$503=P$23)*(Log!$E$4:$E$503="A")*(Log!$F$4:$F$503&lt;&gt;"")*Log!$F$4:$F$503))=0,"",SUMPRODUCT(MAX((Log!$D$4:$D$503=$A34)*(Log!$B$4:$B$503=P$23)*(Log!$E$4:$E$503="A")*(Log!$F$4:$F$503&lt;&gt;"")*Log!$F$4:$F$503))))</f>
        <v/>
      </c>
      <c r="Q34" s="35" t="str">
        <f aca="false">IF($A34="","",IF(SUMPRODUCT(MAX((Log!$D$4:$D$503=$A34)*(Log!$B$4:$B$503=Q$23)*(Log!$E$4:$E$503="A")*(Log!$F$4:$F$503&lt;&gt;"")*Log!$F$4:$F$503))=0,"",SUMPRODUCT(MAX((Log!$D$4:$D$503=$A34)*(Log!$B$4:$B$503=Q$23)*(Log!$E$4:$E$503="A")*(Log!$F$4:$F$503&lt;&gt;"")*Log!$F$4:$F$503))))</f>
        <v/>
      </c>
      <c r="R34" s="36" t="n">
        <f aca="false">IF(COUNT(B34:Q34)=0,"",MAX(B34:Q34))</f>
        <v>84</v>
      </c>
    </row>
    <row r="35" customFormat="false" ht="16.5" hidden="false" customHeight="true" outlineLevel="0" collapsed="false">
      <c r="A35" s="33" t="str">
        <f aca="false">IF(Übungen!$A15="","",Übungen!$A15)</f>
        <v/>
      </c>
      <c r="B35" s="37" t="str">
        <f aca="false">IF($A35="","",IF(SUMPRODUCT(MAX((Log!$D$4:$D$503=$A35)*(Log!$B$4:$B$503=B$23)*(Log!$E$4:$E$503="A")*(Log!$F$4:$F$503&lt;&gt;"")*Log!$F$4:$F$503))=0,"",SUMPRODUCT(MAX((Log!$D$4:$D$503=$A35)*(Log!$B$4:$B$503=B$23)*(Log!$E$4:$E$503="A")*(Log!$F$4:$F$503&lt;&gt;"")*Log!$F$4:$F$503))))</f>
        <v/>
      </c>
      <c r="C35" s="37" t="str">
        <f aca="false">IF($A35="","",IF(SUMPRODUCT(MAX((Log!$D$4:$D$503=$A35)*(Log!$B$4:$B$503=C$23)*(Log!$E$4:$E$503="A")*(Log!$F$4:$F$503&lt;&gt;"")*Log!$F$4:$F$503))=0,"",SUMPRODUCT(MAX((Log!$D$4:$D$503=$A35)*(Log!$B$4:$B$503=C$23)*(Log!$E$4:$E$503="A")*(Log!$F$4:$F$503&lt;&gt;"")*Log!$F$4:$F$503))))</f>
        <v/>
      </c>
      <c r="D35" s="37" t="str">
        <f aca="false">IF($A35="","",IF(SUMPRODUCT(MAX((Log!$D$4:$D$503=$A35)*(Log!$B$4:$B$503=D$23)*(Log!$E$4:$E$503="A")*(Log!$F$4:$F$503&lt;&gt;"")*Log!$F$4:$F$503))=0,"",SUMPRODUCT(MAX((Log!$D$4:$D$503=$A35)*(Log!$B$4:$B$503=D$23)*(Log!$E$4:$E$503="A")*(Log!$F$4:$F$503&lt;&gt;"")*Log!$F$4:$F$503))))</f>
        <v/>
      </c>
      <c r="E35" s="37" t="str">
        <f aca="false">IF($A35="","",IF(SUMPRODUCT(MAX((Log!$D$4:$D$503=$A35)*(Log!$B$4:$B$503=E$23)*(Log!$E$4:$E$503="A")*(Log!$F$4:$F$503&lt;&gt;"")*Log!$F$4:$F$503))=0,"",SUMPRODUCT(MAX((Log!$D$4:$D$503=$A35)*(Log!$B$4:$B$503=E$23)*(Log!$E$4:$E$503="A")*(Log!$F$4:$F$503&lt;&gt;"")*Log!$F$4:$F$503))))</f>
        <v/>
      </c>
      <c r="F35" s="37" t="str">
        <f aca="false">IF($A35="","",IF(SUMPRODUCT(MAX((Log!$D$4:$D$503=$A35)*(Log!$B$4:$B$503=F$23)*(Log!$E$4:$E$503="A")*(Log!$F$4:$F$503&lt;&gt;"")*Log!$F$4:$F$503))=0,"",SUMPRODUCT(MAX((Log!$D$4:$D$503=$A35)*(Log!$B$4:$B$503=F$23)*(Log!$E$4:$E$503="A")*(Log!$F$4:$F$503&lt;&gt;"")*Log!$F$4:$F$503))))</f>
        <v/>
      </c>
      <c r="G35" s="37" t="str">
        <f aca="false">IF($A35="","",IF(SUMPRODUCT(MAX((Log!$D$4:$D$503=$A35)*(Log!$B$4:$B$503=G$23)*(Log!$E$4:$E$503="A")*(Log!$F$4:$F$503&lt;&gt;"")*Log!$F$4:$F$503))=0,"",SUMPRODUCT(MAX((Log!$D$4:$D$503=$A35)*(Log!$B$4:$B$503=G$23)*(Log!$E$4:$E$503="A")*(Log!$F$4:$F$503&lt;&gt;"")*Log!$F$4:$F$503))))</f>
        <v/>
      </c>
      <c r="H35" s="37" t="str">
        <f aca="false">IF($A35="","",IF(SUMPRODUCT(MAX((Log!$D$4:$D$503=$A35)*(Log!$B$4:$B$503=H$23)*(Log!$E$4:$E$503="A")*(Log!$F$4:$F$503&lt;&gt;"")*Log!$F$4:$F$503))=0,"",SUMPRODUCT(MAX((Log!$D$4:$D$503=$A35)*(Log!$B$4:$B$503=H$23)*(Log!$E$4:$E$503="A")*(Log!$F$4:$F$503&lt;&gt;"")*Log!$F$4:$F$503))))</f>
        <v/>
      </c>
      <c r="I35" s="37" t="str">
        <f aca="false">IF($A35="","",IF(SUMPRODUCT(MAX((Log!$D$4:$D$503=$A35)*(Log!$B$4:$B$503=I$23)*(Log!$E$4:$E$503="A")*(Log!$F$4:$F$503&lt;&gt;"")*Log!$F$4:$F$503))=0,"",SUMPRODUCT(MAX((Log!$D$4:$D$503=$A35)*(Log!$B$4:$B$503=I$23)*(Log!$E$4:$E$503="A")*(Log!$F$4:$F$503&lt;&gt;"")*Log!$F$4:$F$503))))</f>
        <v/>
      </c>
      <c r="J35" s="37" t="str">
        <f aca="false">IF($A35="","",IF(SUMPRODUCT(MAX((Log!$D$4:$D$503=$A35)*(Log!$B$4:$B$503=J$23)*(Log!$E$4:$E$503="A")*(Log!$F$4:$F$503&lt;&gt;"")*Log!$F$4:$F$503))=0,"",SUMPRODUCT(MAX((Log!$D$4:$D$503=$A35)*(Log!$B$4:$B$503=J$23)*(Log!$E$4:$E$503="A")*(Log!$F$4:$F$503&lt;&gt;"")*Log!$F$4:$F$503))))</f>
        <v/>
      </c>
      <c r="K35" s="37" t="str">
        <f aca="false">IF($A35="","",IF(SUMPRODUCT(MAX((Log!$D$4:$D$503=$A35)*(Log!$B$4:$B$503=K$23)*(Log!$E$4:$E$503="A")*(Log!$F$4:$F$503&lt;&gt;"")*Log!$F$4:$F$503))=0,"",SUMPRODUCT(MAX((Log!$D$4:$D$503=$A35)*(Log!$B$4:$B$503=K$23)*(Log!$E$4:$E$503="A")*(Log!$F$4:$F$503&lt;&gt;"")*Log!$F$4:$F$503))))</f>
        <v/>
      </c>
      <c r="L35" s="37" t="str">
        <f aca="false">IF($A35="","",IF(SUMPRODUCT(MAX((Log!$D$4:$D$503=$A35)*(Log!$B$4:$B$503=L$23)*(Log!$E$4:$E$503="A")*(Log!$F$4:$F$503&lt;&gt;"")*Log!$F$4:$F$503))=0,"",SUMPRODUCT(MAX((Log!$D$4:$D$503=$A35)*(Log!$B$4:$B$503=L$23)*(Log!$E$4:$E$503="A")*(Log!$F$4:$F$503&lt;&gt;"")*Log!$F$4:$F$503))))</f>
        <v/>
      </c>
      <c r="M35" s="37" t="str">
        <f aca="false">IF($A35="","",IF(SUMPRODUCT(MAX((Log!$D$4:$D$503=$A35)*(Log!$B$4:$B$503=M$23)*(Log!$E$4:$E$503="A")*(Log!$F$4:$F$503&lt;&gt;"")*Log!$F$4:$F$503))=0,"",SUMPRODUCT(MAX((Log!$D$4:$D$503=$A35)*(Log!$B$4:$B$503=M$23)*(Log!$E$4:$E$503="A")*(Log!$F$4:$F$503&lt;&gt;"")*Log!$F$4:$F$503))))</f>
        <v/>
      </c>
      <c r="N35" s="37" t="str">
        <f aca="false">IF($A35="","",IF(SUMPRODUCT(MAX((Log!$D$4:$D$503=$A35)*(Log!$B$4:$B$503=N$23)*(Log!$E$4:$E$503="A")*(Log!$F$4:$F$503&lt;&gt;"")*Log!$F$4:$F$503))=0,"",SUMPRODUCT(MAX((Log!$D$4:$D$503=$A35)*(Log!$B$4:$B$503=N$23)*(Log!$E$4:$E$503="A")*(Log!$F$4:$F$503&lt;&gt;"")*Log!$F$4:$F$503))))</f>
        <v/>
      </c>
      <c r="O35" s="37" t="str">
        <f aca="false">IF($A35="","",IF(SUMPRODUCT(MAX((Log!$D$4:$D$503=$A35)*(Log!$B$4:$B$503=O$23)*(Log!$E$4:$E$503="A")*(Log!$F$4:$F$503&lt;&gt;"")*Log!$F$4:$F$503))=0,"",SUMPRODUCT(MAX((Log!$D$4:$D$503=$A35)*(Log!$B$4:$B$503=O$23)*(Log!$E$4:$E$503="A")*(Log!$F$4:$F$503&lt;&gt;"")*Log!$F$4:$F$503))))</f>
        <v/>
      </c>
      <c r="P35" s="37" t="str">
        <f aca="false">IF($A35="","",IF(SUMPRODUCT(MAX((Log!$D$4:$D$503=$A35)*(Log!$B$4:$B$503=P$23)*(Log!$E$4:$E$503="A")*(Log!$F$4:$F$503&lt;&gt;"")*Log!$F$4:$F$503))=0,"",SUMPRODUCT(MAX((Log!$D$4:$D$503=$A35)*(Log!$B$4:$B$503=P$23)*(Log!$E$4:$E$503="A")*(Log!$F$4:$F$503&lt;&gt;"")*Log!$F$4:$F$503))))</f>
        <v/>
      </c>
      <c r="Q35" s="37" t="str">
        <f aca="false">IF($A35="","",IF(SUMPRODUCT(MAX((Log!$D$4:$D$503=$A35)*(Log!$B$4:$B$503=Q$23)*(Log!$E$4:$E$503="A")*(Log!$F$4:$F$503&lt;&gt;"")*Log!$F$4:$F$503))=0,"",SUMPRODUCT(MAX((Log!$D$4:$D$503=$A35)*(Log!$B$4:$B$503=Q$23)*(Log!$E$4:$E$503="A")*(Log!$F$4:$F$503&lt;&gt;"")*Log!$F$4:$F$503))))</f>
        <v/>
      </c>
      <c r="R35" s="36" t="str">
        <f aca="false">IF(COUNT(B35:Q35)=0,"",MAX(B35:Q35))</f>
        <v/>
      </c>
    </row>
    <row r="36" customFormat="false" ht="16.5" hidden="false" customHeight="true" outlineLevel="0" collapsed="false">
      <c r="A36" s="30" t="str">
        <f aca="false">IF(Übungen!$A16="","",Übungen!$A16)</f>
        <v/>
      </c>
      <c r="B36" s="35" t="str">
        <f aca="false">IF($A36="","",IF(SUMPRODUCT(MAX((Log!$D$4:$D$503=$A36)*(Log!$B$4:$B$503=B$23)*(Log!$E$4:$E$503="A")*(Log!$F$4:$F$503&lt;&gt;"")*Log!$F$4:$F$503))=0,"",SUMPRODUCT(MAX((Log!$D$4:$D$503=$A36)*(Log!$B$4:$B$503=B$23)*(Log!$E$4:$E$503="A")*(Log!$F$4:$F$503&lt;&gt;"")*Log!$F$4:$F$503))))</f>
        <v/>
      </c>
      <c r="C36" s="35" t="str">
        <f aca="false">IF($A36="","",IF(SUMPRODUCT(MAX((Log!$D$4:$D$503=$A36)*(Log!$B$4:$B$503=C$23)*(Log!$E$4:$E$503="A")*(Log!$F$4:$F$503&lt;&gt;"")*Log!$F$4:$F$503))=0,"",SUMPRODUCT(MAX((Log!$D$4:$D$503=$A36)*(Log!$B$4:$B$503=C$23)*(Log!$E$4:$E$503="A")*(Log!$F$4:$F$503&lt;&gt;"")*Log!$F$4:$F$503))))</f>
        <v/>
      </c>
      <c r="D36" s="35" t="str">
        <f aca="false">IF($A36="","",IF(SUMPRODUCT(MAX((Log!$D$4:$D$503=$A36)*(Log!$B$4:$B$503=D$23)*(Log!$E$4:$E$503="A")*(Log!$F$4:$F$503&lt;&gt;"")*Log!$F$4:$F$503))=0,"",SUMPRODUCT(MAX((Log!$D$4:$D$503=$A36)*(Log!$B$4:$B$503=D$23)*(Log!$E$4:$E$503="A")*(Log!$F$4:$F$503&lt;&gt;"")*Log!$F$4:$F$503))))</f>
        <v/>
      </c>
      <c r="E36" s="35" t="str">
        <f aca="false">IF($A36="","",IF(SUMPRODUCT(MAX((Log!$D$4:$D$503=$A36)*(Log!$B$4:$B$503=E$23)*(Log!$E$4:$E$503="A")*(Log!$F$4:$F$503&lt;&gt;"")*Log!$F$4:$F$503))=0,"",SUMPRODUCT(MAX((Log!$D$4:$D$503=$A36)*(Log!$B$4:$B$503=E$23)*(Log!$E$4:$E$503="A")*(Log!$F$4:$F$503&lt;&gt;"")*Log!$F$4:$F$503))))</f>
        <v/>
      </c>
      <c r="F36" s="35" t="str">
        <f aca="false">IF($A36="","",IF(SUMPRODUCT(MAX((Log!$D$4:$D$503=$A36)*(Log!$B$4:$B$503=F$23)*(Log!$E$4:$E$503="A")*(Log!$F$4:$F$503&lt;&gt;"")*Log!$F$4:$F$503))=0,"",SUMPRODUCT(MAX((Log!$D$4:$D$503=$A36)*(Log!$B$4:$B$503=F$23)*(Log!$E$4:$E$503="A")*(Log!$F$4:$F$503&lt;&gt;"")*Log!$F$4:$F$503))))</f>
        <v/>
      </c>
      <c r="G36" s="35" t="str">
        <f aca="false">IF($A36="","",IF(SUMPRODUCT(MAX((Log!$D$4:$D$503=$A36)*(Log!$B$4:$B$503=G$23)*(Log!$E$4:$E$503="A")*(Log!$F$4:$F$503&lt;&gt;"")*Log!$F$4:$F$503))=0,"",SUMPRODUCT(MAX((Log!$D$4:$D$503=$A36)*(Log!$B$4:$B$503=G$23)*(Log!$E$4:$E$503="A")*(Log!$F$4:$F$503&lt;&gt;"")*Log!$F$4:$F$503))))</f>
        <v/>
      </c>
      <c r="H36" s="35" t="str">
        <f aca="false">IF($A36="","",IF(SUMPRODUCT(MAX((Log!$D$4:$D$503=$A36)*(Log!$B$4:$B$503=H$23)*(Log!$E$4:$E$503="A")*(Log!$F$4:$F$503&lt;&gt;"")*Log!$F$4:$F$503))=0,"",SUMPRODUCT(MAX((Log!$D$4:$D$503=$A36)*(Log!$B$4:$B$503=H$23)*(Log!$E$4:$E$503="A")*(Log!$F$4:$F$503&lt;&gt;"")*Log!$F$4:$F$503))))</f>
        <v/>
      </c>
      <c r="I36" s="35" t="str">
        <f aca="false">IF($A36="","",IF(SUMPRODUCT(MAX((Log!$D$4:$D$503=$A36)*(Log!$B$4:$B$503=I$23)*(Log!$E$4:$E$503="A")*(Log!$F$4:$F$503&lt;&gt;"")*Log!$F$4:$F$503))=0,"",SUMPRODUCT(MAX((Log!$D$4:$D$503=$A36)*(Log!$B$4:$B$503=I$23)*(Log!$E$4:$E$503="A")*(Log!$F$4:$F$503&lt;&gt;"")*Log!$F$4:$F$503))))</f>
        <v/>
      </c>
      <c r="J36" s="35" t="str">
        <f aca="false">IF($A36="","",IF(SUMPRODUCT(MAX((Log!$D$4:$D$503=$A36)*(Log!$B$4:$B$503=J$23)*(Log!$E$4:$E$503="A")*(Log!$F$4:$F$503&lt;&gt;"")*Log!$F$4:$F$503))=0,"",SUMPRODUCT(MAX((Log!$D$4:$D$503=$A36)*(Log!$B$4:$B$503=J$23)*(Log!$E$4:$E$503="A")*(Log!$F$4:$F$503&lt;&gt;"")*Log!$F$4:$F$503))))</f>
        <v/>
      </c>
      <c r="K36" s="35" t="str">
        <f aca="false">IF($A36="","",IF(SUMPRODUCT(MAX((Log!$D$4:$D$503=$A36)*(Log!$B$4:$B$503=K$23)*(Log!$E$4:$E$503="A")*(Log!$F$4:$F$503&lt;&gt;"")*Log!$F$4:$F$503))=0,"",SUMPRODUCT(MAX((Log!$D$4:$D$503=$A36)*(Log!$B$4:$B$503=K$23)*(Log!$E$4:$E$503="A")*(Log!$F$4:$F$503&lt;&gt;"")*Log!$F$4:$F$503))))</f>
        <v/>
      </c>
      <c r="L36" s="35" t="str">
        <f aca="false">IF($A36="","",IF(SUMPRODUCT(MAX((Log!$D$4:$D$503=$A36)*(Log!$B$4:$B$503=L$23)*(Log!$E$4:$E$503="A")*(Log!$F$4:$F$503&lt;&gt;"")*Log!$F$4:$F$503))=0,"",SUMPRODUCT(MAX((Log!$D$4:$D$503=$A36)*(Log!$B$4:$B$503=L$23)*(Log!$E$4:$E$503="A")*(Log!$F$4:$F$503&lt;&gt;"")*Log!$F$4:$F$503))))</f>
        <v/>
      </c>
      <c r="M36" s="35" t="str">
        <f aca="false">IF($A36="","",IF(SUMPRODUCT(MAX((Log!$D$4:$D$503=$A36)*(Log!$B$4:$B$503=M$23)*(Log!$E$4:$E$503="A")*(Log!$F$4:$F$503&lt;&gt;"")*Log!$F$4:$F$503))=0,"",SUMPRODUCT(MAX((Log!$D$4:$D$503=$A36)*(Log!$B$4:$B$503=M$23)*(Log!$E$4:$E$503="A")*(Log!$F$4:$F$503&lt;&gt;"")*Log!$F$4:$F$503))))</f>
        <v/>
      </c>
      <c r="N36" s="35" t="str">
        <f aca="false">IF($A36="","",IF(SUMPRODUCT(MAX((Log!$D$4:$D$503=$A36)*(Log!$B$4:$B$503=N$23)*(Log!$E$4:$E$503="A")*(Log!$F$4:$F$503&lt;&gt;"")*Log!$F$4:$F$503))=0,"",SUMPRODUCT(MAX((Log!$D$4:$D$503=$A36)*(Log!$B$4:$B$503=N$23)*(Log!$E$4:$E$503="A")*(Log!$F$4:$F$503&lt;&gt;"")*Log!$F$4:$F$503))))</f>
        <v/>
      </c>
      <c r="O36" s="35" t="str">
        <f aca="false">IF($A36="","",IF(SUMPRODUCT(MAX((Log!$D$4:$D$503=$A36)*(Log!$B$4:$B$503=O$23)*(Log!$E$4:$E$503="A")*(Log!$F$4:$F$503&lt;&gt;"")*Log!$F$4:$F$503))=0,"",SUMPRODUCT(MAX((Log!$D$4:$D$503=$A36)*(Log!$B$4:$B$503=O$23)*(Log!$E$4:$E$503="A")*(Log!$F$4:$F$503&lt;&gt;"")*Log!$F$4:$F$503))))</f>
        <v/>
      </c>
      <c r="P36" s="35" t="str">
        <f aca="false">IF($A36="","",IF(SUMPRODUCT(MAX((Log!$D$4:$D$503=$A36)*(Log!$B$4:$B$503=P$23)*(Log!$E$4:$E$503="A")*(Log!$F$4:$F$503&lt;&gt;"")*Log!$F$4:$F$503))=0,"",SUMPRODUCT(MAX((Log!$D$4:$D$503=$A36)*(Log!$B$4:$B$503=P$23)*(Log!$E$4:$E$503="A")*(Log!$F$4:$F$503&lt;&gt;"")*Log!$F$4:$F$503))))</f>
        <v/>
      </c>
      <c r="Q36" s="35" t="str">
        <f aca="false">IF($A36="","",IF(SUMPRODUCT(MAX((Log!$D$4:$D$503=$A36)*(Log!$B$4:$B$503=Q$23)*(Log!$E$4:$E$503="A")*(Log!$F$4:$F$503&lt;&gt;"")*Log!$F$4:$F$503))=0,"",SUMPRODUCT(MAX((Log!$D$4:$D$503=$A36)*(Log!$B$4:$B$503=Q$23)*(Log!$E$4:$E$503="A")*(Log!$F$4:$F$503&lt;&gt;"")*Log!$F$4:$F$503))))</f>
        <v/>
      </c>
      <c r="R36" s="36" t="str">
        <f aca="false">IF(COUNT(B36:Q36)=0,"",MAX(B36:Q36))</f>
        <v/>
      </c>
    </row>
    <row r="37" customFormat="false" ht="16.5" hidden="false" customHeight="true" outlineLevel="0" collapsed="false">
      <c r="A37" s="33" t="str">
        <f aca="false">IF(Übungen!$A17="","",Übungen!$A17)</f>
        <v/>
      </c>
      <c r="B37" s="37" t="str">
        <f aca="false">IF($A37="","",IF(SUMPRODUCT(MAX((Log!$D$4:$D$503=$A37)*(Log!$B$4:$B$503=B$23)*(Log!$E$4:$E$503="A")*(Log!$F$4:$F$503&lt;&gt;"")*Log!$F$4:$F$503))=0,"",SUMPRODUCT(MAX((Log!$D$4:$D$503=$A37)*(Log!$B$4:$B$503=B$23)*(Log!$E$4:$E$503="A")*(Log!$F$4:$F$503&lt;&gt;"")*Log!$F$4:$F$503))))</f>
        <v/>
      </c>
      <c r="C37" s="37" t="str">
        <f aca="false">IF($A37="","",IF(SUMPRODUCT(MAX((Log!$D$4:$D$503=$A37)*(Log!$B$4:$B$503=C$23)*(Log!$E$4:$E$503="A")*(Log!$F$4:$F$503&lt;&gt;"")*Log!$F$4:$F$503))=0,"",SUMPRODUCT(MAX((Log!$D$4:$D$503=$A37)*(Log!$B$4:$B$503=C$23)*(Log!$E$4:$E$503="A")*(Log!$F$4:$F$503&lt;&gt;"")*Log!$F$4:$F$503))))</f>
        <v/>
      </c>
      <c r="D37" s="37" t="str">
        <f aca="false">IF($A37="","",IF(SUMPRODUCT(MAX((Log!$D$4:$D$503=$A37)*(Log!$B$4:$B$503=D$23)*(Log!$E$4:$E$503="A")*(Log!$F$4:$F$503&lt;&gt;"")*Log!$F$4:$F$503))=0,"",SUMPRODUCT(MAX((Log!$D$4:$D$503=$A37)*(Log!$B$4:$B$503=D$23)*(Log!$E$4:$E$503="A")*(Log!$F$4:$F$503&lt;&gt;"")*Log!$F$4:$F$503))))</f>
        <v/>
      </c>
      <c r="E37" s="37" t="str">
        <f aca="false">IF($A37="","",IF(SUMPRODUCT(MAX((Log!$D$4:$D$503=$A37)*(Log!$B$4:$B$503=E$23)*(Log!$E$4:$E$503="A")*(Log!$F$4:$F$503&lt;&gt;"")*Log!$F$4:$F$503))=0,"",SUMPRODUCT(MAX((Log!$D$4:$D$503=$A37)*(Log!$B$4:$B$503=E$23)*(Log!$E$4:$E$503="A")*(Log!$F$4:$F$503&lt;&gt;"")*Log!$F$4:$F$503))))</f>
        <v/>
      </c>
      <c r="F37" s="37" t="str">
        <f aca="false">IF($A37="","",IF(SUMPRODUCT(MAX((Log!$D$4:$D$503=$A37)*(Log!$B$4:$B$503=F$23)*(Log!$E$4:$E$503="A")*(Log!$F$4:$F$503&lt;&gt;"")*Log!$F$4:$F$503))=0,"",SUMPRODUCT(MAX((Log!$D$4:$D$503=$A37)*(Log!$B$4:$B$503=F$23)*(Log!$E$4:$E$503="A")*(Log!$F$4:$F$503&lt;&gt;"")*Log!$F$4:$F$503))))</f>
        <v/>
      </c>
      <c r="G37" s="37" t="str">
        <f aca="false">IF($A37="","",IF(SUMPRODUCT(MAX((Log!$D$4:$D$503=$A37)*(Log!$B$4:$B$503=G$23)*(Log!$E$4:$E$503="A")*(Log!$F$4:$F$503&lt;&gt;"")*Log!$F$4:$F$503))=0,"",SUMPRODUCT(MAX((Log!$D$4:$D$503=$A37)*(Log!$B$4:$B$503=G$23)*(Log!$E$4:$E$503="A")*(Log!$F$4:$F$503&lt;&gt;"")*Log!$F$4:$F$503))))</f>
        <v/>
      </c>
      <c r="H37" s="37" t="str">
        <f aca="false">IF($A37="","",IF(SUMPRODUCT(MAX((Log!$D$4:$D$503=$A37)*(Log!$B$4:$B$503=H$23)*(Log!$E$4:$E$503="A")*(Log!$F$4:$F$503&lt;&gt;"")*Log!$F$4:$F$503))=0,"",SUMPRODUCT(MAX((Log!$D$4:$D$503=$A37)*(Log!$B$4:$B$503=H$23)*(Log!$E$4:$E$503="A")*(Log!$F$4:$F$503&lt;&gt;"")*Log!$F$4:$F$503))))</f>
        <v/>
      </c>
      <c r="I37" s="37" t="str">
        <f aca="false">IF($A37="","",IF(SUMPRODUCT(MAX((Log!$D$4:$D$503=$A37)*(Log!$B$4:$B$503=I$23)*(Log!$E$4:$E$503="A")*(Log!$F$4:$F$503&lt;&gt;"")*Log!$F$4:$F$503))=0,"",SUMPRODUCT(MAX((Log!$D$4:$D$503=$A37)*(Log!$B$4:$B$503=I$23)*(Log!$E$4:$E$503="A")*(Log!$F$4:$F$503&lt;&gt;"")*Log!$F$4:$F$503))))</f>
        <v/>
      </c>
      <c r="J37" s="37" t="str">
        <f aca="false">IF($A37="","",IF(SUMPRODUCT(MAX((Log!$D$4:$D$503=$A37)*(Log!$B$4:$B$503=J$23)*(Log!$E$4:$E$503="A")*(Log!$F$4:$F$503&lt;&gt;"")*Log!$F$4:$F$503))=0,"",SUMPRODUCT(MAX((Log!$D$4:$D$503=$A37)*(Log!$B$4:$B$503=J$23)*(Log!$E$4:$E$503="A")*(Log!$F$4:$F$503&lt;&gt;"")*Log!$F$4:$F$503))))</f>
        <v/>
      </c>
      <c r="K37" s="37" t="str">
        <f aca="false">IF($A37="","",IF(SUMPRODUCT(MAX((Log!$D$4:$D$503=$A37)*(Log!$B$4:$B$503=K$23)*(Log!$E$4:$E$503="A")*(Log!$F$4:$F$503&lt;&gt;"")*Log!$F$4:$F$503))=0,"",SUMPRODUCT(MAX((Log!$D$4:$D$503=$A37)*(Log!$B$4:$B$503=K$23)*(Log!$E$4:$E$503="A")*(Log!$F$4:$F$503&lt;&gt;"")*Log!$F$4:$F$503))))</f>
        <v/>
      </c>
      <c r="L37" s="37" t="str">
        <f aca="false">IF($A37="","",IF(SUMPRODUCT(MAX((Log!$D$4:$D$503=$A37)*(Log!$B$4:$B$503=L$23)*(Log!$E$4:$E$503="A")*(Log!$F$4:$F$503&lt;&gt;"")*Log!$F$4:$F$503))=0,"",SUMPRODUCT(MAX((Log!$D$4:$D$503=$A37)*(Log!$B$4:$B$503=L$23)*(Log!$E$4:$E$503="A")*(Log!$F$4:$F$503&lt;&gt;"")*Log!$F$4:$F$503))))</f>
        <v/>
      </c>
      <c r="M37" s="37" t="str">
        <f aca="false">IF($A37="","",IF(SUMPRODUCT(MAX((Log!$D$4:$D$503=$A37)*(Log!$B$4:$B$503=M$23)*(Log!$E$4:$E$503="A")*(Log!$F$4:$F$503&lt;&gt;"")*Log!$F$4:$F$503))=0,"",SUMPRODUCT(MAX((Log!$D$4:$D$503=$A37)*(Log!$B$4:$B$503=M$23)*(Log!$E$4:$E$503="A")*(Log!$F$4:$F$503&lt;&gt;"")*Log!$F$4:$F$503))))</f>
        <v/>
      </c>
      <c r="N37" s="37" t="str">
        <f aca="false">IF($A37="","",IF(SUMPRODUCT(MAX((Log!$D$4:$D$503=$A37)*(Log!$B$4:$B$503=N$23)*(Log!$E$4:$E$503="A")*(Log!$F$4:$F$503&lt;&gt;"")*Log!$F$4:$F$503))=0,"",SUMPRODUCT(MAX((Log!$D$4:$D$503=$A37)*(Log!$B$4:$B$503=N$23)*(Log!$E$4:$E$503="A")*(Log!$F$4:$F$503&lt;&gt;"")*Log!$F$4:$F$503))))</f>
        <v/>
      </c>
      <c r="O37" s="37" t="str">
        <f aca="false">IF($A37="","",IF(SUMPRODUCT(MAX((Log!$D$4:$D$503=$A37)*(Log!$B$4:$B$503=O$23)*(Log!$E$4:$E$503="A")*(Log!$F$4:$F$503&lt;&gt;"")*Log!$F$4:$F$503))=0,"",SUMPRODUCT(MAX((Log!$D$4:$D$503=$A37)*(Log!$B$4:$B$503=O$23)*(Log!$E$4:$E$503="A")*(Log!$F$4:$F$503&lt;&gt;"")*Log!$F$4:$F$503))))</f>
        <v/>
      </c>
      <c r="P37" s="37" t="str">
        <f aca="false">IF($A37="","",IF(SUMPRODUCT(MAX((Log!$D$4:$D$503=$A37)*(Log!$B$4:$B$503=P$23)*(Log!$E$4:$E$503="A")*(Log!$F$4:$F$503&lt;&gt;"")*Log!$F$4:$F$503))=0,"",SUMPRODUCT(MAX((Log!$D$4:$D$503=$A37)*(Log!$B$4:$B$503=P$23)*(Log!$E$4:$E$503="A")*(Log!$F$4:$F$503&lt;&gt;"")*Log!$F$4:$F$503))))</f>
        <v/>
      </c>
      <c r="Q37" s="37" t="str">
        <f aca="false">IF($A37="","",IF(SUMPRODUCT(MAX((Log!$D$4:$D$503=$A37)*(Log!$B$4:$B$503=Q$23)*(Log!$E$4:$E$503="A")*(Log!$F$4:$F$503&lt;&gt;"")*Log!$F$4:$F$503))=0,"",SUMPRODUCT(MAX((Log!$D$4:$D$503=$A37)*(Log!$B$4:$B$503=Q$23)*(Log!$E$4:$E$503="A")*(Log!$F$4:$F$503&lt;&gt;"")*Log!$F$4:$F$503))))</f>
        <v/>
      </c>
      <c r="R37" s="36" t="str">
        <f aca="false">IF(COUNT(B37:Q37)=0,"",MAX(B37:Q37))</f>
        <v/>
      </c>
    </row>
    <row r="40" customFormat="false" ht="19.5" hidden="false" customHeight="true" outlineLevel="0" collapsed="false">
      <c r="A40" s="3" t="s">
        <v>130</v>
      </c>
      <c r="B40" s="3"/>
      <c r="C40" s="3"/>
      <c r="D40" s="3"/>
      <c r="E40" s="3"/>
      <c r="F40" s="3"/>
      <c r="G40" s="3"/>
      <c r="H40" s="3"/>
      <c r="I40" s="3"/>
      <c r="J40" s="3"/>
      <c r="K40" s="3"/>
      <c r="L40" s="3"/>
      <c r="M40" s="3"/>
      <c r="N40" s="3"/>
      <c r="O40" s="3"/>
      <c r="P40" s="3"/>
      <c r="Q40" s="3"/>
      <c r="R40" s="3"/>
    </row>
    <row r="41" customFormat="false" ht="21.75" hidden="false" customHeight="true" outlineLevel="0" collapsed="false">
      <c r="A41" s="16" t="s">
        <v>89</v>
      </c>
      <c r="B41" s="16" t="n">
        <v>1</v>
      </c>
      <c r="C41" s="16" t="n">
        <v>2</v>
      </c>
      <c r="D41" s="16" t="n">
        <v>3</v>
      </c>
      <c r="E41" s="16" t="n">
        <v>4</v>
      </c>
      <c r="F41" s="16" t="n">
        <v>5</v>
      </c>
      <c r="G41" s="16" t="n">
        <v>6</v>
      </c>
      <c r="H41" s="16" t="n">
        <v>7</v>
      </c>
      <c r="I41" s="16" t="n">
        <v>8</v>
      </c>
      <c r="J41" s="16" t="n">
        <v>9</v>
      </c>
      <c r="K41" s="16" t="n">
        <v>10</v>
      </c>
      <c r="L41" s="16" t="n">
        <v>11</v>
      </c>
      <c r="M41" s="16" t="n">
        <v>12</v>
      </c>
      <c r="N41" s="16" t="n">
        <v>13</v>
      </c>
      <c r="O41" s="16" t="n">
        <v>14</v>
      </c>
      <c r="P41" s="16" t="n">
        <v>15</v>
      </c>
      <c r="Q41" s="16" t="n">
        <v>16</v>
      </c>
      <c r="R41" s="16" t="s">
        <v>129</v>
      </c>
    </row>
    <row r="42" customFormat="false" ht="16.5" hidden="false" customHeight="true" outlineLevel="0" collapsed="false">
      <c r="A42" s="30" t="str">
        <f aca="false">IF(Übungen!$A4="","",Übungen!$A4)</f>
        <v>Hackenschmidt-Kniebeuge</v>
      </c>
      <c r="B42" s="35" t="str">
        <f aca="false">IF($A42="","",IF(SUMPRODUCT(MAX((Log!$D$4:$D$503=$A42)*(Log!$B$4:$B$503=B$41)*(Log!$E$4:$E$503="A")*(Log!$F$4:$F$503&lt;&gt;"")*(Log!$G$4:$G$503&lt;&gt;"")*Log!$F$4:$F$503*(1+Log!$G$4:$G$503/30)))=0,"",SUMPRODUCT(MAX((Log!$D$4:$D$503=$A42)*(Log!$B$4:$B$503=B$41)*(Log!$E$4:$E$503="A")*(Log!$F$4:$F$503&lt;&gt;"")*(Log!$G$4:$G$503&lt;&gt;"")*Log!$F$4:$F$503*(1+Log!$G$4:$G$503/30)))))</f>
        <v/>
      </c>
      <c r="C42" s="35" t="str">
        <f aca="false">IF($A42="","",IF(SUMPRODUCT(MAX((Log!$D$4:$D$503=$A42)*(Log!$B$4:$B$503=C$41)*(Log!$E$4:$E$503="A")*(Log!$F$4:$F$503&lt;&gt;"")*(Log!$G$4:$G$503&lt;&gt;"")*Log!$F$4:$F$503*(1+Log!$G$4:$G$503/30)))=0,"",SUMPRODUCT(MAX((Log!$D$4:$D$503=$A42)*(Log!$B$4:$B$503=C$41)*(Log!$E$4:$E$503="A")*(Log!$F$4:$F$503&lt;&gt;"")*(Log!$G$4:$G$503&lt;&gt;"")*Log!$F$4:$F$503*(1+Log!$G$4:$G$503/30)))))</f>
        <v/>
      </c>
      <c r="D42" s="35" t="str">
        <f aca="false">IF($A42="","",IF(SUMPRODUCT(MAX((Log!$D$4:$D$503=$A42)*(Log!$B$4:$B$503=D$41)*(Log!$E$4:$E$503="A")*(Log!$F$4:$F$503&lt;&gt;"")*(Log!$G$4:$G$503&lt;&gt;"")*Log!$F$4:$F$503*(1+Log!$G$4:$G$503/30)))=0,"",SUMPRODUCT(MAX((Log!$D$4:$D$503=$A42)*(Log!$B$4:$B$503=D$41)*(Log!$E$4:$E$503="A")*(Log!$F$4:$F$503&lt;&gt;"")*(Log!$G$4:$G$503&lt;&gt;"")*Log!$F$4:$F$503*(1+Log!$G$4:$G$503/30)))))</f>
        <v/>
      </c>
      <c r="E42" s="35" t="str">
        <f aca="false">IF($A42="","",IF(SUMPRODUCT(MAX((Log!$D$4:$D$503=$A42)*(Log!$B$4:$B$503=E$41)*(Log!$E$4:$E$503="A")*(Log!$F$4:$F$503&lt;&gt;"")*(Log!$G$4:$G$503&lt;&gt;"")*Log!$F$4:$F$503*(1+Log!$G$4:$G$503/30)))=0,"",SUMPRODUCT(MAX((Log!$D$4:$D$503=$A42)*(Log!$B$4:$B$503=E$41)*(Log!$E$4:$E$503="A")*(Log!$F$4:$F$503&lt;&gt;"")*(Log!$G$4:$G$503&lt;&gt;"")*Log!$F$4:$F$503*(1+Log!$G$4:$G$503/30)))))</f>
        <v/>
      </c>
      <c r="F42" s="35" t="str">
        <f aca="false">IF($A42="","",IF(SUMPRODUCT(MAX((Log!$D$4:$D$503=$A42)*(Log!$B$4:$B$503=F$41)*(Log!$E$4:$E$503="A")*(Log!$F$4:$F$503&lt;&gt;"")*(Log!$G$4:$G$503&lt;&gt;"")*Log!$F$4:$F$503*(1+Log!$G$4:$G$503/30)))=0,"",SUMPRODUCT(MAX((Log!$D$4:$D$503=$A42)*(Log!$B$4:$B$503=F$41)*(Log!$E$4:$E$503="A")*(Log!$F$4:$F$503&lt;&gt;"")*(Log!$G$4:$G$503&lt;&gt;"")*Log!$F$4:$F$503*(1+Log!$G$4:$G$503/30)))))</f>
        <v/>
      </c>
      <c r="G42" s="35" t="str">
        <f aca="false">IF($A42="","",IF(SUMPRODUCT(MAX((Log!$D$4:$D$503=$A42)*(Log!$B$4:$B$503=G$41)*(Log!$E$4:$E$503="A")*(Log!$F$4:$F$503&lt;&gt;"")*(Log!$G$4:$G$503&lt;&gt;"")*Log!$F$4:$F$503*(1+Log!$G$4:$G$503/30)))=0,"",SUMPRODUCT(MAX((Log!$D$4:$D$503=$A42)*(Log!$B$4:$B$503=G$41)*(Log!$E$4:$E$503="A")*(Log!$F$4:$F$503&lt;&gt;"")*(Log!$G$4:$G$503&lt;&gt;"")*Log!$F$4:$F$503*(1+Log!$G$4:$G$503/30)))))</f>
        <v/>
      </c>
      <c r="H42" s="35" t="str">
        <f aca="false">IF($A42="","",IF(SUMPRODUCT(MAX((Log!$D$4:$D$503=$A42)*(Log!$B$4:$B$503=H$41)*(Log!$E$4:$E$503="A")*(Log!$F$4:$F$503&lt;&gt;"")*(Log!$G$4:$G$503&lt;&gt;"")*Log!$F$4:$F$503*(1+Log!$G$4:$G$503/30)))=0,"",SUMPRODUCT(MAX((Log!$D$4:$D$503=$A42)*(Log!$B$4:$B$503=H$41)*(Log!$E$4:$E$503="A")*(Log!$F$4:$F$503&lt;&gt;"")*(Log!$G$4:$G$503&lt;&gt;"")*Log!$F$4:$F$503*(1+Log!$G$4:$G$503/30)))))</f>
        <v/>
      </c>
      <c r="I42" s="35" t="str">
        <f aca="false">IF($A42="","",IF(SUMPRODUCT(MAX((Log!$D$4:$D$503=$A42)*(Log!$B$4:$B$503=I$41)*(Log!$E$4:$E$503="A")*(Log!$F$4:$F$503&lt;&gt;"")*(Log!$G$4:$G$503&lt;&gt;"")*Log!$F$4:$F$503*(1+Log!$G$4:$G$503/30)))=0,"",SUMPRODUCT(MAX((Log!$D$4:$D$503=$A42)*(Log!$B$4:$B$503=I$41)*(Log!$E$4:$E$503="A")*(Log!$F$4:$F$503&lt;&gt;"")*(Log!$G$4:$G$503&lt;&gt;"")*Log!$F$4:$F$503*(1+Log!$G$4:$G$503/30)))))</f>
        <v/>
      </c>
      <c r="J42" s="35" t="str">
        <f aca="false">IF($A42="","",IF(SUMPRODUCT(MAX((Log!$D$4:$D$503=$A42)*(Log!$B$4:$B$503=J$41)*(Log!$E$4:$E$503="A")*(Log!$F$4:$F$503&lt;&gt;"")*(Log!$G$4:$G$503&lt;&gt;"")*Log!$F$4:$F$503*(1+Log!$G$4:$G$503/30)))=0,"",SUMPRODUCT(MAX((Log!$D$4:$D$503=$A42)*(Log!$B$4:$B$503=J$41)*(Log!$E$4:$E$503="A")*(Log!$F$4:$F$503&lt;&gt;"")*(Log!$G$4:$G$503&lt;&gt;"")*Log!$F$4:$F$503*(1+Log!$G$4:$G$503/30)))))</f>
        <v/>
      </c>
      <c r="K42" s="35" t="str">
        <f aca="false">IF($A42="","",IF(SUMPRODUCT(MAX((Log!$D$4:$D$503=$A42)*(Log!$B$4:$B$503=K$41)*(Log!$E$4:$E$503="A")*(Log!$F$4:$F$503&lt;&gt;"")*(Log!$G$4:$G$503&lt;&gt;"")*Log!$F$4:$F$503*(1+Log!$G$4:$G$503/30)))=0,"",SUMPRODUCT(MAX((Log!$D$4:$D$503=$A42)*(Log!$B$4:$B$503=K$41)*(Log!$E$4:$E$503="A")*(Log!$F$4:$F$503&lt;&gt;"")*(Log!$G$4:$G$503&lt;&gt;"")*Log!$F$4:$F$503*(1+Log!$G$4:$G$503/30)))))</f>
        <v/>
      </c>
      <c r="L42" s="35" t="str">
        <f aca="false">IF($A42="","",IF(SUMPRODUCT(MAX((Log!$D$4:$D$503=$A42)*(Log!$B$4:$B$503=L$41)*(Log!$E$4:$E$503="A")*(Log!$F$4:$F$503&lt;&gt;"")*(Log!$G$4:$G$503&lt;&gt;"")*Log!$F$4:$F$503*(1+Log!$G$4:$G$503/30)))=0,"",SUMPRODUCT(MAX((Log!$D$4:$D$503=$A42)*(Log!$B$4:$B$503=L$41)*(Log!$E$4:$E$503="A")*(Log!$F$4:$F$503&lt;&gt;"")*(Log!$G$4:$G$503&lt;&gt;"")*Log!$F$4:$F$503*(1+Log!$G$4:$G$503/30)))))</f>
        <v/>
      </c>
      <c r="M42" s="35" t="str">
        <f aca="false">IF($A42="","",IF(SUMPRODUCT(MAX((Log!$D$4:$D$503=$A42)*(Log!$B$4:$B$503=M$41)*(Log!$E$4:$E$503="A")*(Log!$F$4:$F$503&lt;&gt;"")*(Log!$G$4:$G$503&lt;&gt;"")*Log!$F$4:$F$503*(1+Log!$G$4:$G$503/30)))=0,"",SUMPRODUCT(MAX((Log!$D$4:$D$503=$A42)*(Log!$B$4:$B$503=M$41)*(Log!$E$4:$E$503="A")*(Log!$F$4:$F$503&lt;&gt;"")*(Log!$G$4:$G$503&lt;&gt;"")*Log!$F$4:$F$503*(1+Log!$G$4:$G$503/30)))))</f>
        <v/>
      </c>
      <c r="N42" s="35" t="str">
        <f aca="false">IF($A42="","",IF(SUMPRODUCT(MAX((Log!$D$4:$D$503=$A42)*(Log!$B$4:$B$503=N$41)*(Log!$E$4:$E$503="A")*(Log!$F$4:$F$503&lt;&gt;"")*(Log!$G$4:$G$503&lt;&gt;"")*Log!$F$4:$F$503*(1+Log!$G$4:$G$503/30)))=0,"",SUMPRODUCT(MAX((Log!$D$4:$D$503=$A42)*(Log!$B$4:$B$503=N$41)*(Log!$E$4:$E$503="A")*(Log!$F$4:$F$503&lt;&gt;"")*(Log!$G$4:$G$503&lt;&gt;"")*Log!$F$4:$F$503*(1+Log!$G$4:$G$503/30)))))</f>
        <v/>
      </c>
      <c r="O42" s="35" t="str">
        <f aca="false">IF($A42="","",IF(SUMPRODUCT(MAX((Log!$D$4:$D$503=$A42)*(Log!$B$4:$B$503=O$41)*(Log!$E$4:$E$503="A")*(Log!$F$4:$F$503&lt;&gt;"")*(Log!$G$4:$G$503&lt;&gt;"")*Log!$F$4:$F$503*(1+Log!$G$4:$G$503/30)))=0,"",SUMPRODUCT(MAX((Log!$D$4:$D$503=$A42)*(Log!$B$4:$B$503=O$41)*(Log!$E$4:$E$503="A")*(Log!$F$4:$F$503&lt;&gt;"")*(Log!$G$4:$G$503&lt;&gt;"")*Log!$F$4:$F$503*(1+Log!$G$4:$G$503/30)))))</f>
        <v/>
      </c>
      <c r="P42" s="35" t="str">
        <f aca="false">IF($A42="","",IF(SUMPRODUCT(MAX((Log!$D$4:$D$503=$A42)*(Log!$B$4:$B$503=P$41)*(Log!$E$4:$E$503="A")*(Log!$F$4:$F$503&lt;&gt;"")*(Log!$G$4:$G$503&lt;&gt;"")*Log!$F$4:$F$503*(1+Log!$G$4:$G$503/30)))=0,"",SUMPRODUCT(MAX((Log!$D$4:$D$503=$A42)*(Log!$B$4:$B$503=P$41)*(Log!$E$4:$E$503="A")*(Log!$F$4:$F$503&lt;&gt;"")*(Log!$G$4:$G$503&lt;&gt;"")*Log!$F$4:$F$503*(1+Log!$G$4:$G$503/30)))))</f>
        <v/>
      </c>
      <c r="Q42" s="35" t="str">
        <f aca="false">IF($A42="","",IF(SUMPRODUCT(MAX((Log!$D$4:$D$503=$A42)*(Log!$B$4:$B$503=Q$41)*(Log!$E$4:$E$503="A")*(Log!$F$4:$F$503&lt;&gt;"")*(Log!$G$4:$G$503&lt;&gt;"")*Log!$F$4:$F$503*(1+Log!$G$4:$G$503/30)))=0,"",SUMPRODUCT(MAX((Log!$D$4:$D$503=$A42)*(Log!$B$4:$B$503=Q$41)*(Log!$E$4:$E$503="A")*(Log!$F$4:$F$503&lt;&gt;"")*(Log!$G$4:$G$503&lt;&gt;"")*Log!$F$4:$F$503*(1+Log!$G$4:$G$503/30)))))</f>
        <v/>
      </c>
      <c r="R42" s="36" t="str">
        <f aca="false">IF(COUNT(B42:Q42)=0,"",MAX(B42:Q42))</f>
        <v/>
      </c>
    </row>
    <row r="43" customFormat="false" ht="16.5" hidden="false" customHeight="true" outlineLevel="0" collapsed="false">
      <c r="A43" s="33" t="str">
        <f aca="false">IF(Übungen!$A5="","",Übungen!$A5)</f>
        <v>Split Squat</v>
      </c>
      <c r="B43" s="37" t="n">
        <f aca="false">IF($A43="","",IF(SUMPRODUCT(MAX((Log!$D$4:$D$503=$A43)*(Log!$B$4:$B$503=B$41)*(Log!$E$4:$E$503="A")*(Log!$F$4:$F$503&lt;&gt;"")*(Log!$G$4:$G$503&lt;&gt;"")*Log!$F$4:$F$503*(1+Log!$G$4:$G$503/30)))=0,"",SUMPRODUCT(MAX((Log!$D$4:$D$503=$A43)*(Log!$B$4:$B$503=B$41)*(Log!$E$4:$E$503="A")*(Log!$F$4:$F$503&lt;&gt;"")*(Log!$G$4:$G$503&lt;&gt;"")*Log!$F$4:$F$503*(1+Log!$G$4:$G$503/30)))))</f>
        <v>116.666666666667</v>
      </c>
      <c r="C43" s="37" t="n">
        <f aca="false">IF($A43="","",IF(SUMPRODUCT(MAX((Log!$D$4:$D$503=$A43)*(Log!$B$4:$B$503=C$41)*(Log!$E$4:$E$503="A")*(Log!$F$4:$F$503&lt;&gt;"")*(Log!$G$4:$G$503&lt;&gt;"")*Log!$F$4:$F$503*(1+Log!$G$4:$G$503/30)))=0,"",SUMPRODUCT(MAX((Log!$D$4:$D$503=$A43)*(Log!$B$4:$B$503=C$41)*(Log!$E$4:$E$503="A")*(Log!$F$4:$F$503&lt;&gt;"")*(Log!$G$4:$G$503&lt;&gt;"")*Log!$F$4:$F$503*(1+Log!$G$4:$G$503/30)))))</f>
        <v>119</v>
      </c>
      <c r="D43" s="37" t="n">
        <f aca="false">IF($A43="","",IF(SUMPRODUCT(MAX((Log!$D$4:$D$503=$A43)*(Log!$B$4:$B$503=D$41)*(Log!$E$4:$E$503="A")*(Log!$F$4:$F$503&lt;&gt;"")*(Log!$G$4:$G$503&lt;&gt;"")*Log!$F$4:$F$503*(1+Log!$G$4:$G$503/30)))=0,"",SUMPRODUCT(MAX((Log!$D$4:$D$503=$A43)*(Log!$B$4:$B$503=D$41)*(Log!$E$4:$E$503="A")*(Log!$F$4:$F$503&lt;&gt;"")*(Log!$G$4:$G$503&lt;&gt;"")*Log!$F$4:$F$503*(1+Log!$G$4:$G$503/30)))))</f>
        <v>123.5</v>
      </c>
      <c r="E43" s="37" t="n">
        <f aca="false">IF($A43="","",IF(SUMPRODUCT(MAX((Log!$D$4:$D$503=$A43)*(Log!$B$4:$B$503=E$41)*(Log!$E$4:$E$503="A")*(Log!$F$4:$F$503&lt;&gt;"")*(Log!$G$4:$G$503&lt;&gt;"")*Log!$F$4:$F$503*(1+Log!$G$4:$G$503/30)))=0,"",SUMPRODUCT(MAX((Log!$D$4:$D$503=$A43)*(Log!$B$4:$B$503=E$41)*(Log!$E$4:$E$503="A")*(Log!$F$4:$F$503&lt;&gt;"")*(Log!$G$4:$G$503&lt;&gt;"")*Log!$F$4:$F$503*(1+Log!$G$4:$G$503/30)))))</f>
        <v>101.333333333333</v>
      </c>
      <c r="F43" s="37" t="str">
        <f aca="false">IF($A43="","",IF(SUMPRODUCT(MAX((Log!$D$4:$D$503=$A43)*(Log!$B$4:$B$503=F$41)*(Log!$E$4:$E$503="A")*(Log!$F$4:$F$503&lt;&gt;"")*(Log!$G$4:$G$503&lt;&gt;"")*Log!$F$4:$F$503*(1+Log!$G$4:$G$503/30)))=0,"",SUMPRODUCT(MAX((Log!$D$4:$D$503=$A43)*(Log!$B$4:$B$503=F$41)*(Log!$E$4:$E$503="A")*(Log!$F$4:$F$503&lt;&gt;"")*(Log!$G$4:$G$503&lt;&gt;"")*Log!$F$4:$F$503*(1+Log!$G$4:$G$503/30)))))</f>
        <v/>
      </c>
      <c r="G43" s="37" t="str">
        <f aca="false">IF($A43="","",IF(SUMPRODUCT(MAX((Log!$D$4:$D$503=$A43)*(Log!$B$4:$B$503=G$41)*(Log!$E$4:$E$503="A")*(Log!$F$4:$F$503&lt;&gt;"")*(Log!$G$4:$G$503&lt;&gt;"")*Log!$F$4:$F$503*(1+Log!$G$4:$G$503/30)))=0,"",SUMPRODUCT(MAX((Log!$D$4:$D$503=$A43)*(Log!$B$4:$B$503=G$41)*(Log!$E$4:$E$503="A")*(Log!$F$4:$F$503&lt;&gt;"")*(Log!$G$4:$G$503&lt;&gt;"")*Log!$F$4:$F$503*(1+Log!$G$4:$G$503/30)))))</f>
        <v/>
      </c>
      <c r="H43" s="37" t="str">
        <f aca="false">IF($A43="","",IF(SUMPRODUCT(MAX((Log!$D$4:$D$503=$A43)*(Log!$B$4:$B$503=H$41)*(Log!$E$4:$E$503="A")*(Log!$F$4:$F$503&lt;&gt;"")*(Log!$G$4:$G$503&lt;&gt;"")*Log!$F$4:$F$503*(1+Log!$G$4:$G$503/30)))=0,"",SUMPRODUCT(MAX((Log!$D$4:$D$503=$A43)*(Log!$B$4:$B$503=H$41)*(Log!$E$4:$E$503="A")*(Log!$F$4:$F$503&lt;&gt;"")*(Log!$G$4:$G$503&lt;&gt;"")*Log!$F$4:$F$503*(1+Log!$G$4:$G$503/30)))))</f>
        <v/>
      </c>
      <c r="I43" s="37" t="str">
        <f aca="false">IF($A43="","",IF(SUMPRODUCT(MAX((Log!$D$4:$D$503=$A43)*(Log!$B$4:$B$503=I$41)*(Log!$E$4:$E$503="A")*(Log!$F$4:$F$503&lt;&gt;"")*(Log!$G$4:$G$503&lt;&gt;"")*Log!$F$4:$F$503*(1+Log!$G$4:$G$503/30)))=0,"",SUMPRODUCT(MAX((Log!$D$4:$D$503=$A43)*(Log!$B$4:$B$503=I$41)*(Log!$E$4:$E$503="A")*(Log!$F$4:$F$503&lt;&gt;"")*(Log!$G$4:$G$503&lt;&gt;"")*Log!$F$4:$F$503*(1+Log!$G$4:$G$503/30)))))</f>
        <v/>
      </c>
      <c r="J43" s="37" t="str">
        <f aca="false">IF($A43="","",IF(SUMPRODUCT(MAX((Log!$D$4:$D$503=$A43)*(Log!$B$4:$B$503=J$41)*(Log!$E$4:$E$503="A")*(Log!$F$4:$F$503&lt;&gt;"")*(Log!$G$4:$G$503&lt;&gt;"")*Log!$F$4:$F$503*(1+Log!$G$4:$G$503/30)))=0,"",SUMPRODUCT(MAX((Log!$D$4:$D$503=$A43)*(Log!$B$4:$B$503=J$41)*(Log!$E$4:$E$503="A")*(Log!$F$4:$F$503&lt;&gt;"")*(Log!$G$4:$G$503&lt;&gt;"")*Log!$F$4:$F$503*(1+Log!$G$4:$G$503/30)))))</f>
        <v/>
      </c>
      <c r="K43" s="37" t="str">
        <f aca="false">IF($A43="","",IF(SUMPRODUCT(MAX((Log!$D$4:$D$503=$A43)*(Log!$B$4:$B$503=K$41)*(Log!$E$4:$E$503="A")*(Log!$F$4:$F$503&lt;&gt;"")*(Log!$G$4:$G$503&lt;&gt;"")*Log!$F$4:$F$503*(1+Log!$G$4:$G$503/30)))=0,"",SUMPRODUCT(MAX((Log!$D$4:$D$503=$A43)*(Log!$B$4:$B$503=K$41)*(Log!$E$4:$E$503="A")*(Log!$F$4:$F$503&lt;&gt;"")*(Log!$G$4:$G$503&lt;&gt;"")*Log!$F$4:$F$503*(1+Log!$G$4:$G$503/30)))))</f>
        <v/>
      </c>
      <c r="L43" s="37" t="str">
        <f aca="false">IF($A43="","",IF(SUMPRODUCT(MAX((Log!$D$4:$D$503=$A43)*(Log!$B$4:$B$503=L$41)*(Log!$E$4:$E$503="A")*(Log!$F$4:$F$503&lt;&gt;"")*(Log!$G$4:$G$503&lt;&gt;"")*Log!$F$4:$F$503*(1+Log!$G$4:$G$503/30)))=0,"",SUMPRODUCT(MAX((Log!$D$4:$D$503=$A43)*(Log!$B$4:$B$503=L$41)*(Log!$E$4:$E$503="A")*(Log!$F$4:$F$503&lt;&gt;"")*(Log!$G$4:$G$503&lt;&gt;"")*Log!$F$4:$F$503*(1+Log!$G$4:$G$503/30)))))</f>
        <v/>
      </c>
      <c r="M43" s="37" t="str">
        <f aca="false">IF($A43="","",IF(SUMPRODUCT(MAX((Log!$D$4:$D$503=$A43)*(Log!$B$4:$B$503=M$41)*(Log!$E$4:$E$503="A")*(Log!$F$4:$F$503&lt;&gt;"")*(Log!$G$4:$G$503&lt;&gt;"")*Log!$F$4:$F$503*(1+Log!$G$4:$G$503/30)))=0,"",SUMPRODUCT(MAX((Log!$D$4:$D$503=$A43)*(Log!$B$4:$B$503=M$41)*(Log!$E$4:$E$503="A")*(Log!$F$4:$F$503&lt;&gt;"")*(Log!$G$4:$G$503&lt;&gt;"")*Log!$F$4:$F$503*(1+Log!$G$4:$G$503/30)))))</f>
        <v/>
      </c>
      <c r="N43" s="37" t="str">
        <f aca="false">IF($A43="","",IF(SUMPRODUCT(MAX((Log!$D$4:$D$503=$A43)*(Log!$B$4:$B$503=N$41)*(Log!$E$4:$E$503="A")*(Log!$F$4:$F$503&lt;&gt;"")*(Log!$G$4:$G$503&lt;&gt;"")*Log!$F$4:$F$503*(1+Log!$G$4:$G$503/30)))=0,"",SUMPRODUCT(MAX((Log!$D$4:$D$503=$A43)*(Log!$B$4:$B$503=N$41)*(Log!$E$4:$E$503="A")*(Log!$F$4:$F$503&lt;&gt;"")*(Log!$G$4:$G$503&lt;&gt;"")*Log!$F$4:$F$503*(1+Log!$G$4:$G$503/30)))))</f>
        <v/>
      </c>
      <c r="O43" s="37" t="str">
        <f aca="false">IF($A43="","",IF(SUMPRODUCT(MAX((Log!$D$4:$D$503=$A43)*(Log!$B$4:$B$503=O$41)*(Log!$E$4:$E$503="A")*(Log!$F$4:$F$503&lt;&gt;"")*(Log!$G$4:$G$503&lt;&gt;"")*Log!$F$4:$F$503*(1+Log!$G$4:$G$503/30)))=0,"",SUMPRODUCT(MAX((Log!$D$4:$D$503=$A43)*(Log!$B$4:$B$503=O$41)*(Log!$E$4:$E$503="A")*(Log!$F$4:$F$503&lt;&gt;"")*(Log!$G$4:$G$503&lt;&gt;"")*Log!$F$4:$F$503*(1+Log!$G$4:$G$503/30)))))</f>
        <v/>
      </c>
      <c r="P43" s="37" t="str">
        <f aca="false">IF($A43="","",IF(SUMPRODUCT(MAX((Log!$D$4:$D$503=$A43)*(Log!$B$4:$B$503=P$41)*(Log!$E$4:$E$503="A")*(Log!$F$4:$F$503&lt;&gt;"")*(Log!$G$4:$G$503&lt;&gt;"")*Log!$F$4:$F$503*(1+Log!$G$4:$G$503/30)))=0,"",SUMPRODUCT(MAX((Log!$D$4:$D$503=$A43)*(Log!$B$4:$B$503=P$41)*(Log!$E$4:$E$503="A")*(Log!$F$4:$F$503&lt;&gt;"")*(Log!$G$4:$G$503&lt;&gt;"")*Log!$F$4:$F$503*(1+Log!$G$4:$G$503/30)))))</f>
        <v/>
      </c>
      <c r="Q43" s="37" t="str">
        <f aca="false">IF($A43="","",IF(SUMPRODUCT(MAX((Log!$D$4:$D$503=$A43)*(Log!$B$4:$B$503=Q$41)*(Log!$E$4:$E$503="A")*(Log!$F$4:$F$503&lt;&gt;"")*(Log!$G$4:$G$503&lt;&gt;"")*Log!$F$4:$F$503*(1+Log!$G$4:$G$503/30)))=0,"",SUMPRODUCT(MAX((Log!$D$4:$D$503=$A43)*(Log!$B$4:$B$503=Q$41)*(Log!$E$4:$E$503="A")*(Log!$F$4:$F$503&lt;&gt;"")*(Log!$G$4:$G$503&lt;&gt;"")*Log!$F$4:$F$503*(1+Log!$G$4:$G$503/30)))))</f>
        <v/>
      </c>
      <c r="R43" s="36" t="n">
        <f aca="false">IF(COUNT(B43:Q43)=0,"",MAX(B43:Q43))</f>
        <v>123.5</v>
      </c>
    </row>
    <row r="44" customFormat="false" ht="16.5" hidden="false" customHeight="true" outlineLevel="0" collapsed="false">
      <c r="A44" s="30" t="str">
        <f aca="false">IF(Übungen!$A6="","",Übungen!$A6)</f>
        <v>Beinstrecker</v>
      </c>
      <c r="B44" s="35" t="n">
        <f aca="false">IF($A44="","",IF(SUMPRODUCT(MAX((Log!$D$4:$D$503=$A44)*(Log!$B$4:$B$503=B$41)*(Log!$E$4:$E$503="A")*(Log!$F$4:$F$503&lt;&gt;"")*(Log!$G$4:$G$503&lt;&gt;"")*Log!$F$4:$F$503*(1+Log!$G$4:$G$503/30)))=0,"",SUMPRODUCT(MAX((Log!$D$4:$D$503=$A44)*(Log!$B$4:$B$503=B$41)*(Log!$E$4:$E$503="A")*(Log!$F$4:$F$503&lt;&gt;"")*(Log!$G$4:$G$503&lt;&gt;"")*Log!$F$4:$F$503*(1+Log!$G$4:$G$503/30)))))</f>
        <v>100</v>
      </c>
      <c r="C44" s="35" t="n">
        <f aca="false">IF($A44="","",IF(SUMPRODUCT(MAX((Log!$D$4:$D$503=$A44)*(Log!$B$4:$B$503=C$41)*(Log!$E$4:$E$503="A")*(Log!$F$4:$F$503&lt;&gt;"")*(Log!$G$4:$G$503&lt;&gt;"")*Log!$F$4:$F$503*(1+Log!$G$4:$G$503/30)))=0,"",SUMPRODUCT(MAX((Log!$D$4:$D$503=$A44)*(Log!$B$4:$B$503=C$41)*(Log!$E$4:$E$503="A")*(Log!$F$4:$F$503&lt;&gt;"")*(Log!$G$4:$G$503&lt;&gt;"")*Log!$F$4:$F$503*(1+Log!$G$4:$G$503/30)))))</f>
        <v>104</v>
      </c>
      <c r="D44" s="35" t="n">
        <f aca="false">IF($A44="","",IF(SUMPRODUCT(MAX((Log!$D$4:$D$503=$A44)*(Log!$B$4:$B$503=D$41)*(Log!$E$4:$E$503="A")*(Log!$F$4:$F$503&lt;&gt;"")*(Log!$G$4:$G$503&lt;&gt;"")*Log!$F$4:$F$503*(1+Log!$G$4:$G$503/30)))=0,"",SUMPRODUCT(MAX((Log!$D$4:$D$503=$A44)*(Log!$B$4:$B$503=D$41)*(Log!$E$4:$E$503="A")*(Log!$F$4:$F$503&lt;&gt;"")*(Log!$G$4:$G$503&lt;&gt;"")*Log!$F$4:$F$503*(1+Log!$G$4:$G$503/30)))))</f>
        <v>107.666666666667</v>
      </c>
      <c r="E44" s="35" t="n">
        <f aca="false">IF($A44="","",IF(SUMPRODUCT(MAX((Log!$D$4:$D$503=$A44)*(Log!$B$4:$B$503=E$41)*(Log!$E$4:$E$503="A")*(Log!$F$4:$F$503&lt;&gt;"")*(Log!$G$4:$G$503&lt;&gt;"")*Log!$F$4:$F$503*(1+Log!$G$4:$G$503/30)))=0,"",SUMPRODUCT(MAX((Log!$D$4:$D$503=$A44)*(Log!$B$4:$B$503=E$41)*(Log!$E$4:$E$503="A")*(Log!$F$4:$F$503&lt;&gt;"")*(Log!$G$4:$G$503&lt;&gt;"")*Log!$F$4:$F$503*(1+Log!$G$4:$G$503/30)))))</f>
        <v>112</v>
      </c>
      <c r="F44" s="35" t="str">
        <f aca="false">IF($A44="","",IF(SUMPRODUCT(MAX((Log!$D$4:$D$503=$A44)*(Log!$B$4:$B$503=F$41)*(Log!$E$4:$E$503="A")*(Log!$F$4:$F$503&lt;&gt;"")*(Log!$G$4:$G$503&lt;&gt;"")*Log!$F$4:$F$503*(1+Log!$G$4:$G$503/30)))=0,"",SUMPRODUCT(MAX((Log!$D$4:$D$503=$A44)*(Log!$B$4:$B$503=F$41)*(Log!$E$4:$E$503="A")*(Log!$F$4:$F$503&lt;&gt;"")*(Log!$G$4:$G$503&lt;&gt;"")*Log!$F$4:$F$503*(1+Log!$G$4:$G$503/30)))))</f>
        <v/>
      </c>
      <c r="G44" s="35" t="str">
        <f aca="false">IF($A44="","",IF(SUMPRODUCT(MAX((Log!$D$4:$D$503=$A44)*(Log!$B$4:$B$503=G$41)*(Log!$E$4:$E$503="A")*(Log!$F$4:$F$503&lt;&gt;"")*(Log!$G$4:$G$503&lt;&gt;"")*Log!$F$4:$F$503*(1+Log!$G$4:$G$503/30)))=0,"",SUMPRODUCT(MAX((Log!$D$4:$D$503=$A44)*(Log!$B$4:$B$503=G$41)*(Log!$E$4:$E$503="A")*(Log!$F$4:$F$503&lt;&gt;"")*(Log!$G$4:$G$503&lt;&gt;"")*Log!$F$4:$F$503*(1+Log!$G$4:$G$503/30)))))</f>
        <v/>
      </c>
      <c r="H44" s="35" t="str">
        <f aca="false">IF($A44="","",IF(SUMPRODUCT(MAX((Log!$D$4:$D$503=$A44)*(Log!$B$4:$B$503=H$41)*(Log!$E$4:$E$503="A")*(Log!$F$4:$F$503&lt;&gt;"")*(Log!$G$4:$G$503&lt;&gt;"")*Log!$F$4:$F$503*(1+Log!$G$4:$G$503/30)))=0,"",SUMPRODUCT(MAX((Log!$D$4:$D$503=$A44)*(Log!$B$4:$B$503=H$41)*(Log!$E$4:$E$503="A")*(Log!$F$4:$F$503&lt;&gt;"")*(Log!$G$4:$G$503&lt;&gt;"")*Log!$F$4:$F$503*(1+Log!$G$4:$G$503/30)))))</f>
        <v/>
      </c>
      <c r="I44" s="35" t="str">
        <f aca="false">IF($A44="","",IF(SUMPRODUCT(MAX((Log!$D$4:$D$503=$A44)*(Log!$B$4:$B$503=I$41)*(Log!$E$4:$E$503="A")*(Log!$F$4:$F$503&lt;&gt;"")*(Log!$G$4:$G$503&lt;&gt;"")*Log!$F$4:$F$503*(1+Log!$G$4:$G$503/30)))=0,"",SUMPRODUCT(MAX((Log!$D$4:$D$503=$A44)*(Log!$B$4:$B$503=I$41)*(Log!$E$4:$E$503="A")*(Log!$F$4:$F$503&lt;&gt;"")*(Log!$G$4:$G$503&lt;&gt;"")*Log!$F$4:$F$503*(1+Log!$G$4:$G$503/30)))))</f>
        <v/>
      </c>
      <c r="J44" s="35" t="str">
        <f aca="false">IF($A44="","",IF(SUMPRODUCT(MAX((Log!$D$4:$D$503=$A44)*(Log!$B$4:$B$503=J$41)*(Log!$E$4:$E$503="A")*(Log!$F$4:$F$503&lt;&gt;"")*(Log!$G$4:$G$503&lt;&gt;"")*Log!$F$4:$F$503*(1+Log!$G$4:$G$503/30)))=0,"",SUMPRODUCT(MAX((Log!$D$4:$D$503=$A44)*(Log!$B$4:$B$503=J$41)*(Log!$E$4:$E$503="A")*(Log!$F$4:$F$503&lt;&gt;"")*(Log!$G$4:$G$503&lt;&gt;"")*Log!$F$4:$F$503*(1+Log!$G$4:$G$503/30)))))</f>
        <v/>
      </c>
      <c r="K44" s="35" t="str">
        <f aca="false">IF($A44="","",IF(SUMPRODUCT(MAX((Log!$D$4:$D$503=$A44)*(Log!$B$4:$B$503=K$41)*(Log!$E$4:$E$503="A")*(Log!$F$4:$F$503&lt;&gt;"")*(Log!$G$4:$G$503&lt;&gt;"")*Log!$F$4:$F$503*(1+Log!$G$4:$G$503/30)))=0,"",SUMPRODUCT(MAX((Log!$D$4:$D$503=$A44)*(Log!$B$4:$B$503=K$41)*(Log!$E$4:$E$503="A")*(Log!$F$4:$F$503&lt;&gt;"")*(Log!$G$4:$G$503&lt;&gt;"")*Log!$F$4:$F$503*(1+Log!$G$4:$G$503/30)))))</f>
        <v/>
      </c>
      <c r="L44" s="35" t="str">
        <f aca="false">IF($A44="","",IF(SUMPRODUCT(MAX((Log!$D$4:$D$503=$A44)*(Log!$B$4:$B$503=L$41)*(Log!$E$4:$E$503="A")*(Log!$F$4:$F$503&lt;&gt;"")*(Log!$G$4:$G$503&lt;&gt;"")*Log!$F$4:$F$503*(1+Log!$G$4:$G$503/30)))=0,"",SUMPRODUCT(MAX((Log!$D$4:$D$503=$A44)*(Log!$B$4:$B$503=L$41)*(Log!$E$4:$E$503="A")*(Log!$F$4:$F$503&lt;&gt;"")*(Log!$G$4:$G$503&lt;&gt;"")*Log!$F$4:$F$503*(1+Log!$G$4:$G$503/30)))))</f>
        <v/>
      </c>
      <c r="M44" s="35" t="str">
        <f aca="false">IF($A44="","",IF(SUMPRODUCT(MAX((Log!$D$4:$D$503=$A44)*(Log!$B$4:$B$503=M$41)*(Log!$E$4:$E$503="A")*(Log!$F$4:$F$503&lt;&gt;"")*(Log!$G$4:$G$503&lt;&gt;"")*Log!$F$4:$F$503*(1+Log!$G$4:$G$503/30)))=0,"",SUMPRODUCT(MAX((Log!$D$4:$D$503=$A44)*(Log!$B$4:$B$503=M$41)*(Log!$E$4:$E$503="A")*(Log!$F$4:$F$503&lt;&gt;"")*(Log!$G$4:$G$503&lt;&gt;"")*Log!$F$4:$F$503*(1+Log!$G$4:$G$503/30)))))</f>
        <v/>
      </c>
      <c r="N44" s="35" t="str">
        <f aca="false">IF($A44="","",IF(SUMPRODUCT(MAX((Log!$D$4:$D$503=$A44)*(Log!$B$4:$B$503=N$41)*(Log!$E$4:$E$503="A")*(Log!$F$4:$F$503&lt;&gt;"")*(Log!$G$4:$G$503&lt;&gt;"")*Log!$F$4:$F$503*(1+Log!$G$4:$G$503/30)))=0,"",SUMPRODUCT(MAX((Log!$D$4:$D$503=$A44)*(Log!$B$4:$B$503=N$41)*(Log!$E$4:$E$503="A")*(Log!$F$4:$F$503&lt;&gt;"")*(Log!$G$4:$G$503&lt;&gt;"")*Log!$F$4:$F$503*(1+Log!$G$4:$G$503/30)))))</f>
        <v/>
      </c>
      <c r="O44" s="35" t="str">
        <f aca="false">IF($A44="","",IF(SUMPRODUCT(MAX((Log!$D$4:$D$503=$A44)*(Log!$B$4:$B$503=O$41)*(Log!$E$4:$E$503="A")*(Log!$F$4:$F$503&lt;&gt;"")*(Log!$G$4:$G$503&lt;&gt;"")*Log!$F$4:$F$503*(1+Log!$G$4:$G$503/30)))=0,"",SUMPRODUCT(MAX((Log!$D$4:$D$503=$A44)*(Log!$B$4:$B$503=O$41)*(Log!$E$4:$E$503="A")*(Log!$F$4:$F$503&lt;&gt;"")*(Log!$G$4:$G$503&lt;&gt;"")*Log!$F$4:$F$503*(1+Log!$G$4:$G$503/30)))))</f>
        <v/>
      </c>
      <c r="P44" s="35" t="str">
        <f aca="false">IF($A44="","",IF(SUMPRODUCT(MAX((Log!$D$4:$D$503=$A44)*(Log!$B$4:$B$503=P$41)*(Log!$E$4:$E$503="A")*(Log!$F$4:$F$503&lt;&gt;"")*(Log!$G$4:$G$503&lt;&gt;"")*Log!$F$4:$F$503*(1+Log!$G$4:$G$503/30)))=0,"",SUMPRODUCT(MAX((Log!$D$4:$D$503=$A44)*(Log!$B$4:$B$503=P$41)*(Log!$E$4:$E$503="A")*(Log!$F$4:$F$503&lt;&gt;"")*(Log!$G$4:$G$503&lt;&gt;"")*Log!$F$4:$F$503*(1+Log!$G$4:$G$503/30)))))</f>
        <v/>
      </c>
      <c r="Q44" s="35" t="str">
        <f aca="false">IF($A44="","",IF(SUMPRODUCT(MAX((Log!$D$4:$D$503=$A44)*(Log!$B$4:$B$503=Q$41)*(Log!$E$4:$E$503="A")*(Log!$F$4:$F$503&lt;&gt;"")*(Log!$G$4:$G$503&lt;&gt;"")*Log!$F$4:$F$503*(1+Log!$G$4:$G$503/30)))=0,"",SUMPRODUCT(MAX((Log!$D$4:$D$503=$A44)*(Log!$B$4:$B$503=Q$41)*(Log!$E$4:$E$503="A")*(Log!$F$4:$F$503&lt;&gt;"")*(Log!$G$4:$G$503&lt;&gt;"")*Log!$F$4:$F$503*(1+Log!$G$4:$G$503/30)))))</f>
        <v/>
      </c>
      <c r="R44" s="36" t="n">
        <f aca="false">IF(COUNT(B44:Q44)=0,"",MAX(B44:Q44))</f>
        <v>112</v>
      </c>
    </row>
    <row r="45" customFormat="false" ht="16.5" hidden="false" customHeight="true" outlineLevel="0" collapsed="false">
      <c r="A45" s="33" t="str">
        <f aca="false">IF(Übungen!$A7="","",Übungen!$A7)</f>
        <v>Adduktion</v>
      </c>
      <c r="B45" s="37" t="n">
        <f aca="false">IF($A45="","",IF(SUMPRODUCT(MAX((Log!$D$4:$D$503=$A45)*(Log!$B$4:$B$503=B$41)*(Log!$E$4:$E$503="A")*(Log!$F$4:$F$503&lt;&gt;"")*(Log!$G$4:$G$503&lt;&gt;"")*Log!$F$4:$F$503*(1+Log!$G$4:$G$503/30)))=0,"",SUMPRODUCT(MAX((Log!$D$4:$D$503=$A45)*(Log!$B$4:$B$503=B$41)*(Log!$E$4:$E$503="A")*(Log!$F$4:$F$503&lt;&gt;"")*(Log!$G$4:$G$503&lt;&gt;"")*Log!$F$4:$F$503*(1+Log!$G$4:$G$503/30)))))</f>
        <v>238.916666666667</v>
      </c>
      <c r="C45" s="37" t="n">
        <f aca="false">IF($A45="","",IF(SUMPRODUCT(MAX((Log!$D$4:$D$503=$A45)*(Log!$B$4:$B$503=C$41)*(Log!$E$4:$E$503="A")*(Log!$F$4:$F$503&lt;&gt;"")*(Log!$G$4:$G$503&lt;&gt;"")*Log!$F$4:$F$503*(1+Log!$G$4:$G$503/30)))=0,"",SUMPRODUCT(MAX((Log!$D$4:$D$503=$A45)*(Log!$B$4:$B$503=C$41)*(Log!$E$4:$E$503="A")*(Log!$F$4:$F$503&lt;&gt;"")*(Log!$G$4:$G$503&lt;&gt;"")*Log!$F$4:$F$503*(1+Log!$G$4:$G$503/30)))))</f>
        <v>254.166666666667</v>
      </c>
      <c r="D45" s="37" t="n">
        <f aca="false">IF($A45="","",IF(SUMPRODUCT(MAX((Log!$D$4:$D$503=$A45)*(Log!$B$4:$B$503=D$41)*(Log!$E$4:$E$503="A")*(Log!$F$4:$F$503&lt;&gt;"")*(Log!$G$4:$G$503&lt;&gt;"")*Log!$F$4:$F$503*(1+Log!$G$4:$G$503/30)))=0,"",SUMPRODUCT(MAX((Log!$D$4:$D$503=$A45)*(Log!$B$4:$B$503=D$41)*(Log!$E$4:$E$503="A")*(Log!$F$4:$F$503&lt;&gt;"")*(Log!$G$4:$G$503&lt;&gt;"")*Log!$F$4:$F$503*(1+Log!$G$4:$G$503/30)))))</f>
        <v>264.333333333333</v>
      </c>
      <c r="E45" s="37" t="n">
        <f aca="false">IF($A45="","",IF(SUMPRODUCT(MAX((Log!$D$4:$D$503=$A45)*(Log!$B$4:$B$503=E$41)*(Log!$E$4:$E$503="A")*(Log!$F$4:$F$503&lt;&gt;"")*(Log!$G$4:$G$503&lt;&gt;"")*Log!$F$4:$F$503*(1+Log!$G$4:$G$503/30)))=0,"",SUMPRODUCT(MAX((Log!$D$4:$D$503=$A45)*(Log!$B$4:$B$503=E$41)*(Log!$E$4:$E$503="A")*(Log!$F$4:$F$503&lt;&gt;"")*(Log!$G$4:$G$503&lt;&gt;"")*Log!$F$4:$F$503*(1+Log!$G$4:$G$503/30)))))</f>
        <v>279.583333333333</v>
      </c>
      <c r="F45" s="37" t="str">
        <f aca="false">IF($A45="","",IF(SUMPRODUCT(MAX((Log!$D$4:$D$503=$A45)*(Log!$B$4:$B$503=F$41)*(Log!$E$4:$E$503="A")*(Log!$F$4:$F$503&lt;&gt;"")*(Log!$G$4:$G$503&lt;&gt;"")*Log!$F$4:$F$503*(1+Log!$G$4:$G$503/30)))=0,"",SUMPRODUCT(MAX((Log!$D$4:$D$503=$A45)*(Log!$B$4:$B$503=F$41)*(Log!$E$4:$E$503="A")*(Log!$F$4:$F$503&lt;&gt;"")*(Log!$G$4:$G$503&lt;&gt;"")*Log!$F$4:$F$503*(1+Log!$G$4:$G$503/30)))))</f>
        <v/>
      </c>
      <c r="G45" s="37" t="str">
        <f aca="false">IF($A45="","",IF(SUMPRODUCT(MAX((Log!$D$4:$D$503=$A45)*(Log!$B$4:$B$503=G$41)*(Log!$E$4:$E$503="A")*(Log!$F$4:$F$503&lt;&gt;"")*(Log!$G$4:$G$503&lt;&gt;"")*Log!$F$4:$F$503*(1+Log!$G$4:$G$503/30)))=0,"",SUMPRODUCT(MAX((Log!$D$4:$D$503=$A45)*(Log!$B$4:$B$503=G$41)*(Log!$E$4:$E$503="A")*(Log!$F$4:$F$503&lt;&gt;"")*(Log!$G$4:$G$503&lt;&gt;"")*Log!$F$4:$F$503*(1+Log!$G$4:$G$503/30)))))</f>
        <v/>
      </c>
      <c r="H45" s="37" t="str">
        <f aca="false">IF($A45="","",IF(SUMPRODUCT(MAX((Log!$D$4:$D$503=$A45)*(Log!$B$4:$B$503=H$41)*(Log!$E$4:$E$503="A")*(Log!$F$4:$F$503&lt;&gt;"")*(Log!$G$4:$G$503&lt;&gt;"")*Log!$F$4:$F$503*(1+Log!$G$4:$G$503/30)))=0,"",SUMPRODUCT(MAX((Log!$D$4:$D$503=$A45)*(Log!$B$4:$B$503=H$41)*(Log!$E$4:$E$503="A")*(Log!$F$4:$F$503&lt;&gt;"")*(Log!$G$4:$G$503&lt;&gt;"")*Log!$F$4:$F$503*(1+Log!$G$4:$G$503/30)))))</f>
        <v/>
      </c>
      <c r="I45" s="37" t="str">
        <f aca="false">IF($A45="","",IF(SUMPRODUCT(MAX((Log!$D$4:$D$503=$A45)*(Log!$B$4:$B$503=I$41)*(Log!$E$4:$E$503="A")*(Log!$F$4:$F$503&lt;&gt;"")*(Log!$G$4:$G$503&lt;&gt;"")*Log!$F$4:$F$503*(1+Log!$G$4:$G$503/30)))=0,"",SUMPRODUCT(MAX((Log!$D$4:$D$503=$A45)*(Log!$B$4:$B$503=I$41)*(Log!$E$4:$E$503="A")*(Log!$F$4:$F$503&lt;&gt;"")*(Log!$G$4:$G$503&lt;&gt;"")*Log!$F$4:$F$503*(1+Log!$G$4:$G$503/30)))))</f>
        <v/>
      </c>
      <c r="J45" s="37" t="str">
        <f aca="false">IF($A45="","",IF(SUMPRODUCT(MAX((Log!$D$4:$D$503=$A45)*(Log!$B$4:$B$503=J$41)*(Log!$E$4:$E$503="A")*(Log!$F$4:$F$503&lt;&gt;"")*(Log!$G$4:$G$503&lt;&gt;"")*Log!$F$4:$F$503*(1+Log!$G$4:$G$503/30)))=0,"",SUMPRODUCT(MAX((Log!$D$4:$D$503=$A45)*(Log!$B$4:$B$503=J$41)*(Log!$E$4:$E$503="A")*(Log!$F$4:$F$503&lt;&gt;"")*(Log!$G$4:$G$503&lt;&gt;"")*Log!$F$4:$F$503*(1+Log!$G$4:$G$503/30)))))</f>
        <v/>
      </c>
      <c r="K45" s="37" t="str">
        <f aca="false">IF($A45="","",IF(SUMPRODUCT(MAX((Log!$D$4:$D$503=$A45)*(Log!$B$4:$B$503=K$41)*(Log!$E$4:$E$503="A")*(Log!$F$4:$F$503&lt;&gt;"")*(Log!$G$4:$G$503&lt;&gt;"")*Log!$F$4:$F$503*(1+Log!$G$4:$G$503/30)))=0,"",SUMPRODUCT(MAX((Log!$D$4:$D$503=$A45)*(Log!$B$4:$B$503=K$41)*(Log!$E$4:$E$503="A")*(Log!$F$4:$F$503&lt;&gt;"")*(Log!$G$4:$G$503&lt;&gt;"")*Log!$F$4:$F$503*(1+Log!$G$4:$G$503/30)))))</f>
        <v/>
      </c>
      <c r="L45" s="37" t="str">
        <f aca="false">IF($A45="","",IF(SUMPRODUCT(MAX((Log!$D$4:$D$503=$A45)*(Log!$B$4:$B$503=L$41)*(Log!$E$4:$E$503="A")*(Log!$F$4:$F$503&lt;&gt;"")*(Log!$G$4:$G$503&lt;&gt;"")*Log!$F$4:$F$503*(1+Log!$G$4:$G$503/30)))=0,"",SUMPRODUCT(MAX((Log!$D$4:$D$503=$A45)*(Log!$B$4:$B$503=L$41)*(Log!$E$4:$E$503="A")*(Log!$F$4:$F$503&lt;&gt;"")*(Log!$G$4:$G$503&lt;&gt;"")*Log!$F$4:$F$503*(1+Log!$G$4:$G$503/30)))))</f>
        <v/>
      </c>
      <c r="M45" s="37" t="str">
        <f aca="false">IF($A45="","",IF(SUMPRODUCT(MAX((Log!$D$4:$D$503=$A45)*(Log!$B$4:$B$503=M$41)*(Log!$E$4:$E$503="A")*(Log!$F$4:$F$503&lt;&gt;"")*(Log!$G$4:$G$503&lt;&gt;"")*Log!$F$4:$F$503*(1+Log!$G$4:$G$503/30)))=0,"",SUMPRODUCT(MAX((Log!$D$4:$D$503=$A45)*(Log!$B$4:$B$503=M$41)*(Log!$E$4:$E$503="A")*(Log!$F$4:$F$503&lt;&gt;"")*(Log!$G$4:$G$503&lt;&gt;"")*Log!$F$4:$F$503*(1+Log!$G$4:$G$503/30)))))</f>
        <v/>
      </c>
      <c r="N45" s="37" t="str">
        <f aca="false">IF($A45="","",IF(SUMPRODUCT(MAX((Log!$D$4:$D$503=$A45)*(Log!$B$4:$B$503=N$41)*(Log!$E$4:$E$503="A")*(Log!$F$4:$F$503&lt;&gt;"")*(Log!$G$4:$G$503&lt;&gt;"")*Log!$F$4:$F$503*(1+Log!$G$4:$G$503/30)))=0,"",SUMPRODUCT(MAX((Log!$D$4:$D$503=$A45)*(Log!$B$4:$B$503=N$41)*(Log!$E$4:$E$503="A")*(Log!$F$4:$F$503&lt;&gt;"")*(Log!$G$4:$G$503&lt;&gt;"")*Log!$F$4:$F$503*(1+Log!$G$4:$G$503/30)))))</f>
        <v/>
      </c>
      <c r="O45" s="37" t="str">
        <f aca="false">IF($A45="","",IF(SUMPRODUCT(MAX((Log!$D$4:$D$503=$A45)*(Log!$B$4:$B$503=O$41)*(Log!$E$4:$E$503="A")*(Log!$F$4:$F$503&lt;&gt;"")*(Log!$G$4:$G$503&lt;&gt;"")*Log!$F$4:$F$503*(1+Log!$G$4:$G$503/30)))=0,"",SUMPRODUCT(MAX((Log!$D$4:$D$503=$A45)*(Log!$B$4:$B$503=O$41)*(Log!$E$4:$E$503="A")*(Log!$F$4:$F$503&lt;&gt;"")*(Log!$G$4:$G$503&lt;&gt;"")*Log!$F$4:$F$503*(1+Log!$G$4:$G$503/30)))))</f>
        <v/>
      </c>
      <c r="P45" s="37" t="str">
        <f aca="false">IF($A45="","",IF(SUMPRODUCT(MAX((Log!$D$4:$D$503=$A45)*(Log!$B$4:$B$503=P$41)*(Log!$E$4:$E$503="A")*(Log!$F$4:$F$503&lt;&gt;"")*(Log!$G$4:$G$503&lt;&gt;"")*Log!$F$4:$F$503*(1+Log!$G$4:$G$503/30)))=0,"",SUMPRODUCT(MAX((Log!$D$4:$D$503=$A45)*(Log!$B$4:$B$503=P$41)*(Log!$E$4:$E$503="A")*(Log!$F$4:$F$503&lt;&gt;"")*(Log!$G$4:$G$503&lt;&gt;"")*Log!$F$4:$F$503*(1+Log!$G$4:$G$503/30)))))</f>
        <v/>
      </c>
      <c r="Q45" s="37" t="str">
        <f aca="false">IF($A45="","",IF(SUMPRODUCT(MAX((Log!$D$4:$D$503=$A45)*(Log!$B$4:$B$503=Q$41)*(Log!$E$4:$E$503="A")*(Log!$F$4:$F$503&lt;&gt;"")*(Log!$G$4:$G$503&lt;&gt;"")*Log!$F$4:$F$503*(1+Log!$G$4:$G$503/30)))=0,"",SUMPRODUCT(MAX((Log!$D$4:$D$503=$A45)*(Log!$B$4:$B$503=Q$41)*(Log!$E$4:$E$503="A")*(Log!$F$4:$F$503&lt;&gt;"")*(Log!$G$4:$G$503&lt;&gt;"")*Log!$F$4:$F$503*(1+Log!$G$4:$G$503/30)))))</f>
        <v/>
      </c>
      <c r="R45" s="36" t="n">
        <f aca="false">IF(COUNT(B45:Q45)=0,"",MAX(B45:Q45))</f>
        <v>279.583333333333</v>
      </c>
    </row>
    <row r="46" customFormat="false" ht="16.5" hidden="false" customHeight="true" outlineLevel="0" collapsed="false">
      <c r="A46" s="30" t="str">
        <f aca="false">IF(Übungen!$A8="","",Übungen!$A8)</f>
        <v>Rumänisches Kreuzheben</v>
      </c>
      <c r="B46" s="35" t="str">
        <f aca="false">IF($A46="","",IF(SUMPRODUCT(MAX((Log!$D$4:$D$503=$A46)*(Log!$B$4:$B$503=B$41)*(Log!$E$4:$E$503="A")*(Log!$F$4:$F$503&lt;&gt;"")*(Log!$G$4:$G$503&lt;&gt;"")*Log!$F$4:$F$503*(1+Log!$G$4:$G$503/30)))=0,"",SUMPRODUCT(MAX((Log!$D$4:$D$503=$A46)*(Log!$B$4:$B$503=B$41)*(Log!$E$4:$E$503="A")*(Log!$F$4:$F$503&lt;&gt;"")*(Log!$G$4:$G$503&lt;&gt;"")*Log!$F$4:$F$503*(1+Log!$G$4:$G$503/30)))))</f>
        <v/>
      </c>
      <c r="C46" s="35" t="str">
        <f aca="false">IF($A46="","",IF(SUMPRODUCT(MAX((Log!$D$4:$D$503=$A46)*(Log!$B$4:$B$503=C$41)*(Log!$E$4:$E$503="A")*(Log!$F$4:$F$503&lt;&gt;"")*(Log!$G$4:$G$503&lt;&gt;"")*Log!$F$4:$F$503*(1+Log!$G$4:$G$503/30)))=0,"",SUMPRODUCT(MAX((Log!$D$4:$D$503=$A46)*(Log!$B$4:$B$503=C$41)*(Log!$E$4:$E$503="A")*(Log!$F$4:$F$503&lt;&gt;"")*(Log!$G$4:$G$503&lt;&gt;"")*Log!$F$4:$F$503*(1+Log!$G$4:$G$503/30)))))</f>
        <v/>
      </c>
      <c r="D46" s="35" t="str">
        <f aca="false">IF($A46="","",IF(SUMPRODUCT(MAX((Log!$D$4:$D$503=$A46)*(Log!$B$4:$B$503=D$41)*(Log!$E$4:$E$503="A")*(Log!$F$4:$F$503&lt;&gt;"")*(Log!$G$4:$G$503&lt;&gt;"")*Log!$F$4:$F$503*(1+Log!$G$4:$G$503/30)))=0,"",SUMPRODUCT(MAX((Log!$D$4:$D$503=$A46)*(Log!$B$4:$B$503=D$41)*(Log!$E$4:$E$503="A")*(Log!$F$4:$F$503&lt;&gt;"")*(Log!$G$4:$G$503&lt;&gt;"")*Log!$F$4:$F$503*(1+Log!$G$4:$G$503/30)))))</f>
        <v/>
      </c>
      <c r="E46" s="35" t="str">
        <f aca="false">IF($A46="","",IF(SUMPRODUCT(MAX((Log!$D$4:$D$503=$A46)*(Log!$B$4:$B$503=E$41)*(Log!$E$4:$E$503="A")*(Log!$F$4:$F$503&lt;&gt;"")*(Log!$G$4:$G$503&lt;&gt;"")*Log!$F$4:$F$503*(1+Log!$G$4:$G$503/30)))=0,"",SUMPRODUCT(MAX((Log!$D$4:$D$503=$A46)*(Log!$B$4:$B$503=E$41)*(Log!$E$4:$E$503="A")*(Log!$F$4:$F$503&lt;&gt;"")*(Log!$G$4:$G$503&lt;&gt;"")*Log!$F$4:$F$503*(1+Log!$G$4:$G$503/30)))))</f>
        <v/>
      </c>
      <c r="F46" s="35" t="str">
        <f aca="false">IF($A46="","",IF(SUMPRODUCT(MAX((Log!$D$4:$D$503=$A46)*(Log!$B$4:$B$503=F$41)*(Log!$E$4:$E$503="A")*(Log!$F$4:$F$503&lt;&gt;"")*(Log!$G$4:$G$503&lt;&gt;"")*Log!$F$4:$F$503*(1+Log!$G$4:$G$503/30)))=0,"",SUMPRODUCT(MAX((Log!$D$4:$D$503=$A46)*(Log!$B$4:$B$503=F$41)*(Log!$E$4:$E$503="A")*(Log!$F$4:$F$503&lt;&gt;"")*(Log!$G$4:$G$503&lt;&gt;"")*Log!$F$4:$F$503*(1+Log!$G$4:$G$503/30)))))</f>
        <v/>
      </c>
      <c r="G46" s="35" t="str">
        <f aca="false">IF($A46="","",IF(SUMPRODUCT(MAX((Log!$D$4:$D$503=$A46)*(Log!$B$4:$B$503=G$41)*(Log!$E$4:$E$503="A")*(Log!$F$4:$F$503&lt;&gt;"")*(Log!$G$4:$G$503&lt;&gt;"")*Log!$F$4:$F$503*(1+Log!$G$4:$G$503/30)))=0,"",SUMPRODUCT(MAX((Log!$D$4:$D$503=$A46)*(Log!$B$4:$B$503=G$41)*(Log!$E$4:$E$503="A")*(Log!$F$4:$F$503&lt;&gt;"")*(Log!$G$4:$G$503&lt;&gt;"")*Log!$F$4:$F$503*(1+Log!$G$4:$G$503/30)))))</f>
        <v/>
      </c>
      <c r="H46" s="35" t="str">
        <f aca="false">IF($A46="","",IF(SUMPRODUCT(MAX((Log!$D$4:$D$503=$A46)*(Log!$B$4:$B$503=H$41)*(Log!$E$4:$E$503="A")*(Log!$F$4:$F$503&lt;&gt;"")*(Log!$G$4:$G$503&lt;&gt;"")*Log!$F$4:$F$503*(1+Log!$G$4:$G$503/30)))=0,"",SUMPRODUCT(MAX((Log!$D$4:$D$503=$A46)*(Log!$B$4:$B$503=H$41)*(Log!$E$4:$E$503="A")*(Log!$F$4:$F$503&lt;&gt;"")*(Log!$G$4:$G$503&lt;&gt;"")*Log!$F$4:$F$503*(1+Log!$G$4:$G$503/30)))))</f>
        <v/>
      </c>
      <c r="I46" s="35" t="str">
        <f aca="false">IF($A46="","",IF(SUMPRODUCT(MAX((Log!$D$4:$D$503=$A46)*(Log!$B$4:$B$503=I$41)*(Log!$E$4:$E$503="A")*(Log!$F$4:$F$503&lt;&gt;"")*(Log!$G$4:$G$503&lt;&gt;"")*Log!$F$4:$F$503*(1+Log!$G$4:$G$503/30)))=0,"",SUMPRODUCT(MAX((Log!$D$4:$D$503=$A46)*(Log!$B$4:$B$503=I$41)*(Log!$E$4:$E$503="A")*(Log!$F$4:$F$503&lt;&gt;"")*(Log!$G$4:$G$503&lt;&gt;"")*Log!$F$4:$F$503*(1+Log!$G$4:$G$503/30)))))</f>
        <v/>
      </c>
      <c r="J46" s="35" t="str">
        <f aca="false">IF($A46="","",IF(SUMPRODUCT(MAX((Log!$D$4:$D$503=$A46)*(Log!$B$4:$B$503=J$41)*(Log!$E$4:$E$503="A")*(Log!$F$4:$F$503&lt;&gt;"")*(Log!$G$4:$G$503&lt;&gt;"")*Log!$F$4:$F$503*(1+Log!$G$4:$G$503/30)))=0,"",SUMPRODUCT(MAX((Log!$D$4:$D$503=$A46)*(Log!$B$4:$B$503=J$41)*(Log!$E$4:$E$503="A")*(Log!$F$4:$F$503&lt;&gt;"")*(Log!$G$4:$G$503&lt;&gt;"")*Log!$F$4:$F$503*(1+Log!$G$4:$G$503/30)))))</f>
        <v/>
      </c>
      <c r="K46" s="35" t="str">
        <f aca="false">IF($A46="","",IF(SUMPRODUCT(MAX((Log!$D$4:$D$503=$A46)*(Log!$B$4:$B$503=K$41)*(Log!$E$4:$E$503="A")*(Log!$F$4:$F$503&lt;&gt;"")*(Log!$G$4:$G$503&lt;&gt;"")*Log!$F$4:$F$503*(1+Log!$G$4:$G$503/30)))=0,"",SUMPRODUCT(MAX((Log!$D$4:$D$503=$A46)*(Log!$B$4:$B$503=K$41)*(Log!$E$4:$E$503="A")*(Log!$F$4:$F$503&lt;&gt;"")*(Log!$G$4:$G$503&lt;&gt;"")*Log!$F$4:$F$503*(1+Log!$G$4:$G$503/30)))))</f>
        <v/>
      </c>
      <c r="L46" s="35" t="str">
        <f aca="false">IF($A46="","",IF(SUMPRODUCT(MAX((Log!$D$4:$D$503=$A46)*(Log!$B$4:$B$503=L$41)*(Log!$E$4:$E$503="A")*(Log!$F$4:$F$503&lt;&gt;"")*(Log!$G$4:$G$503&lt;&gt;"")*Log!$F$4:$F$503*(1+Log!$G$4:$G$503/30)))=0,"",SUMPRODUCT(MAX((Log!$D$4:$D$503=$A46)*(Log!$B$4:$B$503=L$41)*(Log!$E$4:$E$503="A")*(Log!$F$4:$F$503&lt;&gt;"")*(Log!$G$4:$G$503&lt;&gt;"")*Log!$F$4:$F$503*(1+Log!$G$4:$G$503/30)))))</f>
        <v/>
      </c>
      <c r="M46" s="35" t="str">
        <f aca="false">IF($A46="","",IF(SUMPRODUCT(MAX((Log!$D$4:$D$503=$A46)*(Log!$B$4:$B$503=M$41)*(Log!$E$4:$E$503="A")*(Log!$F$4:$F$503&lt;&gt;"")*(Log!$G$4:$G$503&lt;&gt;"")*Log!$F$4:$F$503*(1+Log!$G$4:$G$503/30)))=0,"",SUMPRODUCT(MAX((Log!$D$4:$D$503=$A46)*(Log!$B$4:$B$503=M$41)*(Log!$E$4:$E$503="A")*(Log!$F$4:$F$503&lt;&gt;"")*(Log!$G$4:$G$503&lt;&gt;"")*Log!$F$4:$F$503*(1+Log!$G$4:$G$503/30)))))</f>
        <v/>
      </c>
      <c r="N46" s="35" t="str">
        <f aca="false">IF($A46="","",IF(SUMPRODUCT(MAX((Log!$D$4:$D$503=$A46)*(Log!$B$4:$B$503=N$41)*(Log!$E$4:$E$503="A")*(Log!$F$4:$F$503&lt;&gt;"")*(Log!$G$4:$G$503&lt;&gt;"")*Log!$F$4:$F$503*(1+Log!$G$4:$G$503/30)))=0,"",SUMPRODUCT(MAX((Log!$D$4:$D$503=$A46)*(Log!$B$4:$B$503=N$41)*(Log!$E$4:$E$503="A")*(Log!$F$4:$F$503&lt;&gt;"")*(Log!$G$4:$G$503&lt;&gt;"")*Log!$F$4:$F$503*(1+Log!$G$4:$G$503/30)))))</f>
        <v/>
      </c>
      <c r="O46" s="35" t="str">
        <f aca="false">IF($A46="","",IF(SUMPRODUCT(MAX((Log!$D$4:$D$503=$A46)*(Log!$B$4:$B$503=O$41)*(Log!$E$4:$E$503="A")*(Log!$F$4:$F$503&lt;&gt;"")*(Log!$G$4:$G$503&lt;&gt;"")*Log!$F$4:$F$503*(1+Log!$G$4:$G$503/30)))=0,"",SUMPRODUCT(MAX((Log!$D$4:$D$503=$A46)*(Log!$B$4:$B$503=O$41)*(Log!$E$4:$E$503="A")*(Log!$F$4:$F$503&lt;&gt;"")*(Log!$G$4:$G$503&lt;&gt;"")*Log!$F$4:$F$503*(1+Log!$G$4:$G$503/30)))))</f>
        <v/>
      </c>
      <c r="P46" s="35" t="str">
        <f aca="false">IF($A46="","",IF(SUMPRODUCT(MAX((Log!$D$4:$D$503=$A46)*(Log!$B$4:$B$503=P$41)*(Log!$E$4:$E$503="A")*(Log!$F$4:$F$503&lt;&gt;"")*(Log!$G$4:$G$503&lt;&gt;"")*Log!$F$4:$F$503*(1+Log!$G$4:$G$503/30)))=0,"",SUMPRODUCT(MAX((Log!$D$4:$D$503=$A46)*(Log!$B$4:$B$503=P$41)*(Log!$E$4:$E$503="A")*(Log!$F$4:$F$503&lt;&gt;"")*(Log!$G$4:$G$503&lt;&gt;"")*Log!$F$4:$F$503*(1+Log!$G$4:$G$503/30)))))</f>
        <v/>
      </c>
      <c r="Q46" s="35" t="str">
        <f aca="false">IF($A46="","",IF(SUMPRODUCT(MAX((Log!$D$4:$D$503=$A46)*(Log!$B$4:$B$503=Q$41)*(Log!$E$4:$E$503="A")*(Log!$F$4:$F$503&lt;&gt;"")*(Log!$G$4:$G$503&lt;&gt;"")*Log!$F$4:$F$503*(1+Log!$G$4:$G$503/30)))=0,"",SUMPRODUCT(MAX((Log!$D$4:$D$503=$A46)*(Log!$B$4:$B$503=Q$41)*(Log!$E$4:$E$503="A")*(Log!$F$4:$F$503&lt;&gt;"")*(Log!$G$4:$G$503&lt;&gt;"")*Log!$F$4:$F$503*(1+Log!$G$4:$G$503/30)))))</f>
        <v/>
      </c>
      <c r="R46" s="36" t="str">
        <f aca="false">IF(COUNT(B46:Q46)=0,"",MAX(B46:Q46))</f>
        <v/>
      </c>
    </row>
    <row r="47" customFormat="false" ht="16.5" hidden="false" customHeight="true" outlineLevel="0" collapsed="false">
      <c r="A47" s="33" t="str">
        <f aca="false">IF(Übungen!$A9="","",Übungen!$A9)</f>
        <v>Hip Thrust</v>
      </c>
      <c r="B47" s="37" t="n">
        <f aca="false">IF($A47="","",IF(SUMPRODUCT(MAX((Log!$D$4:$D$503=$A47)*(Log!$B$4:$B$503=B$41)*(Log!$E$4:$E$503="A")*(Log!$F$4:$F$503&lt;&gt;"")*(Log!$G$4:$G$503&lt;&gt;"")*Log!$F$4:$F$503*(1+Log!$G$4:$G$503/30)))=0,"",SUMPRODUCT(MAX((Log!$D$4:$D$503=$A47)*(Log!$B$4:$B$503=B$41)*(Log!$E$4:$E$503="A")*(Log!$F$4:$F$503&lt;&gt;"")*(Log!$G$4:$G$503&lt;&gt;"")*Log!$F$4:$F$503*(1+Log!$G$4:$G$503/30)))))</f>
        <v>308</v>
      </c>
      <c r="C47" s="37" t="n">
        <f aca="false">IF($A47="","",IF(SUMPRODUCT(MAX((Log!$D$4:$D$503=$A47)*(Log!$B$4:$B$503=C$41)*(Log!$E$4:$E$503="A")*(Log!$F$4:$F$503&lt;&gt;"")*(Log!$G$4:$G$503&lt;&gt;"")*Log!$F$4:$F$503*(1+Log!$G$4:$G$503/30)))=0,"",SUMPRODUCT(MAX((Log!$D$4:$D$503=$A47)*(Log!$B$4:$B$503=C$41)*(Log!$E$4:$E$503="A")*(Log!$F$4:$F$503&lt;&gt;"")*(Log!$G$4:$G$503&lt;&gt;"")*Log!$F$4:$F$503*(1+Log!$G$4:$G$503/30)))))</f>
        <v>336</v>
      </c>
      <c r="D47" s="37" t="n">
        <f aca="false">IF($A47="","",IF(SUMPRODUCT(MAX((Log!$D$4:$D$503=$A47)*(Log!$B$4:$B$503=D$41)*(Log!$E$4:$E$503="A")*(Log!$F$4:$F$503&lt;&gt;"")*(Log!$G$4:$G$503&lt;&gt;"")*Log!$F$4:$F$503*(1+Log!$G$4:$G$503/30)))=0,"",SUMPRODUCT(MAX((Log!$D$4:$D$503=$A47)*(Log!$B$4:$B$503=D$41)*(Log!$E$4:$E$503="A")*(Log!$F$4:$F$503&lt;&gt;"")*(Log!$G$4:$G$503&lt;&gt;"")*Log!$F$4:$F$503*(1+Log!$G$4:$G$503/30)))))</f>
        <v>360</v>
      </c>
      <c r="E47" s="37" t="n">
        <f aca="false">IF($A47="","",IF(SUMPRODUCT(MAX((Log!$D$4:$D$503=$A47)*(Log!$B$4:$B$503=E$41)*(Log!$E$4:$E$503="A")*(Log!$F$4:$F$503&lt;&gt;"")*(Log!$G$4:$G$503&lt;&gt;"")*Log!$F$4:$F$503*(1+Log!$G$4:$G$503/30)))=0,"",SUMPRODUCT(MAX((Log!$D$4:$D$503=$A47)*(Log!$B$4:$B$503=E$41)*(Log!$E$4:$E$503="A")*(Log!$F$4:$F$503&lt;&gt;"")*(Log!$G$4:$G$503&lt;&gt;"")*Log!$F$4:$F$503*(1+Log!$G$4:$G$503/30)))))</f>
        <v>342</v>
      </c>
      <c r="F47" s="37" t="str">
        <f aca="false">IF($A47="","",IF(SUMPRODUCT(MAX((Log!$D$4:$D$503=$A47)*(Log!$B$4:$B$503=F$41)*(Log!$E$4:$E$503="A")*(Log!$F$4:$F$503&lt;&gt;"")*(Log!$G$4:$G$503&lt;&gt;"")*Log!$F$4:$F$503*(1+Log!$G$4:$G$503/30)))=0,"",SUMPRODUCT(MAX((Log!$D$4:$D$503=$A47)*(Log!$B$4:$B$503=F$41)*(Log!$E$4:$E$503="A")*(Log!$F$4:$F$503&lt;&gt;"")*(Log!$G$4:$G$503&lt;&gt;"")*Log!$F$4:$F$503*(1+Log!$G$4:$G$503/30)))))</f>
        <v/>
      </c>
      <c r="G47" s="37" t="str">
        <f aca="false">IF($A47="","",IF(SUMPRODUCT(MAX((Log!$D$4:$D$503=$A47)*(Log!$B$4:$B$503=G$41)*(Log!$E$4:$E$503="A")*(Log!$F$4:$F$503&lt;&gt;"")*(Log!$G$4:$G$503&lt;&gt;"")*Log!$F$4:$F$503*(1+Log!$G$4:$G$503/30)))=0,"",SUMPRODUCT(MAX((Log!$D$4:$D$503=$A47)*(Log!$B$4:$B$503=G$41)*(Log!$E$4:$E$503="A")*(Log!$F$4:$F$503&lt;&gt;"")*(Log!$G$4:$G$503&lt;&gt;"")*Log!$F$4:$F$503*(1+Log!$G$4:$G$503/30)))))</f>
        <v/>
      </c>
      <c r="H47" s="37" t="str">
        <f aca="false">IF($A47="","",IF(SUMPRODUCT(MAX((Log!$D$4:$D$503=$A47)*(Log!$B$4:$B$503=H$41)*(Log!$E$4:$E$503="A")*(Log!$F$4:$F$503&lt;&gt;"")*(Log!$G$4:$G$503&lt;&gt;"")*Log!$F$4:$F$503*(1+Log!$G$4:$G$503/30)))=0,"",SUMPRODUCT(MAX((Log!$D$4:$D$503=$A47)*(Log!$B$4:$B$503=H$41)*(Log!$E$4:$E$503="A")*(Log!$F$4:$F$503&lt;&gt;"")*(Log!$G$4:$G$503&lt;&gt;"")*Log!$F$4:$F$503*(1+Log!$G$4:$G$503/30)))))</f>
        <v/>
      </c>
      <c r="I47" s="37" t="str">
        <f aca="false">IF($A47="","",IF(SUMPRODUCT(MAX((Log!$D$4:$D$503=$A47)*(Log!$B$4:$B$503=I$41)*(Log!$E$4:$E$503="A")*(Log!$F$4:$F$503&lt;&gt;"")*(Log!$G$4:$G$503&lt;&gt;"")*Log!$F$4:$F$503*(1+Log!$G$4:$G$503/30)))=0,"",SUMPRODUCT(MAX((Log!$D$4:$D$503=$A47)*(Log!$B$4:$B$503=I$41)*(Log!$E$4:$E$503="A")*(Log!$F$4:$F$503&lt;&gt;"")*(Log!$G$4:$G$503&lt;&gt;"")*Log!$F$4:$F$503*(1+Log!$G$4:$G$503/30)))))</f>
        <v/>
      </c>
      <c r="J47" s="37" t="str">
        <f aca="false">IF($A47="","",IF(SUMPRODUCT(MAX((Log!$D$4:$D$503=$A47)*(Log!$B$4:$B$503=J$41)*(Log!$E$4:$E$503="A")*(Log!$F$4:$F$503&lt;&gt;"")*(Log!$G$4:$G$503&lt;&gt;"")*Log!$F$4:$F$503*(1+Log!$G$4:$G$503/30)))=0,"",SUMPRODUCT(MAX((Log!$D$4:$D$503=$A47)*(Log!$B$4:$B$503=J$41)*(Log!$E$4:$E$503="A")*(Log!$F$4:$F$503&lt;&gt;"")*(Log!$G$4:$G$503&lt;&gt;"")*Log!$F$4:$F$503*(1+Log!$G$4:$G$503/30)))))</f>
        <v/>
      </c>
      <c r="K47" s="37" t="str">
        <f aca="false">IF($A47="","",IF(SUMPRODUCT(MAX((Log!$D$4:$D$503=$A47)*(Log!$B$4:$B$503=K$41)*(Log!$E$4:$E$503="A")*(Log!$F$4:$F$503&lt;&gt;"")*(Log!$G$4:$G$503&lt;&gt;"")*Log!$F$4:$F$503*(1+Log!$G$4:$G$503/30)))=0,"",SUMPRODUCT(MAX((Log!$D$4:$D$503=$A47)*(Log!$B$4:$B$503=K$41)*(Log!$E$4:$E$503="A")*(Log!$F$4:$F$503&lt;&gt;"")*(Log!$G$4:$G$503&lt;&gt;"")*Log!$F$4:$F$503*(1+Log!$G$4:$G$503/30)))))</f>
        <v/>
      </c>
      <c r="L47" s="37" t="str">
        <f aca="false">IF($A47="","",IF(SUMPRODUCT(MAX((Log!$D$4:$D$503=$A47)*(Log!$B$4:$B$503=L$41)*(Log!$E$4:$E$503="A")*(Log!$F$4:$F$503&lt;&gt;"")*(Log!$G$4:$G$503&lt;&gt;"")*Log!$F$4:$F$503*(1+Log!$G$4:$G$503/30)))=0,"",SUMPRODUCT(MAX((Log!$D$4:$D$503=$A47)*(Log!$B$4:$B$503=L$41)*(Log!$E$4:$E$503="A")*(Log!$F$4:$F$503&lt;&gt;"")*(Log!$G$4:$G$503&lt;&gt;"")*Log!$F$4:$F$503*(1+Log!$G$4:$G$503/30)))))</f>
        <v/>
      </c>
      <c r="M47" s="37" t="str">
        <f aca="false">IF($A47="","",IF(SUMPRODUCT(MAX((Log!$D$4:$D$503=$A47)*(Log!$B$4:$B$503=M$41)*(Log!$E$4:$E$503="A")*(Log!$F$4:$F$503&lt;&gt;"")*(Log!$G$4:$G$503&lt;&gt;"")*Log!$F$4:$F$503*(1+Log!$G$4:$G$503/30)))=0,"",SUMPRODUCT(MAX((Log!$D$4:$D$503=$A47)*(Log!$B$4:$B$503=M$41)*(Log!$E$4:$E$503="A")*(Log!$F$4:$F$503&lt;&gt;"")*(Log!$G$4:$G$503&lt;&gt;"")*Log!$F$4:$F$503*(1+Log!$G$4:$G$503/30)))))</f>
        <v/>
      </c>
      <c r="N47" s="37" t="str">
        <f aca="false">IF($A47="","",IF(SUMPRODUCT(MAX((Log!$D$4:$D$503=$A47)*(Log!$B$4:$B$503=N$41)*(Log!$E$4:$E$503="A")*(Log!$F$4:$F$503&lt;&gt;"")*(Log!$G$4:$G$503&lt;&gt;"")*Log!$F$4:$F$503*(1+Log!$G$4:$G$503/30)))=0,"",SUMPRODUCT(MAX((Log!$D$4:$D$503=$A47)*(Log!$B$4:$B$503=N$41)*(Log!$E$4:$E$503="A")*(Log!$F$4:$F$503&lt;&gt;"")*(Log!$G$4:$G$503&lt;&gt;"")*Log!$F$4:$F$503*(1+Log!$G$4:$G$503/30)))))</f>
        <v/>
      </c>
      <c r="O47" s="37" t="str">
        <f aca="false">IF($A47="","",IF(SUMPRODUCT(MAX((Log!$D$4:$D$503=$A47)*(Log!$B$4:$B$503=O$41)*(Log!$E$4:$E$503="A")*(Log!$F$4:$F$503&lt;&gt;"")*(Log!$G$4:$G$503&lt;&gt;"")*Log!$F$4:$F$503*(1+Log!$G$4:$G$503/30)))=0,"",SUMPRODUCT(MAX((Log!$D$4:$D$503=$A47)*(Log!$B$4:$B$503=O$41)*(Log!$E$4:$E$503="A")*(Log!$F$4:$F$503&lt;&gt;"")*(Log!$G$4:$G$503&lt;&gt;"")*Log!$F$4:$F$503*(1+Log!$G$4:$G$503/30)))))</f>
        <v/>
      </c>
      <c r="P47" s="37" t="str">
        <f aca="false">IF($A47="","",IF(SUMPRODUCT(MAX((Log!$D$4:$D$503=$A47)*(Log!$B$4:$B$503=P$41)*(Log!$E$4:$E$503="A")*(Log!$F$4:$F$503&lt;&gt;"")*(Log!$G$4:$G$503&lt;&gt;"")*Log!$F$4:$F$503*(1+Log!$G$4:$G$503/30)))=0,"",SUMPRODUCT(MAX((Log!$D$4:$D$503=$A47)*(Log!$B$4:$B$503=P$41)*(Log!$E$4:$E$503="A")*(Log!$F$4:$F$503&lt;&gt;"")*(Log!$G$4:$G$503&lt;&gt;"")*Log!$F$4:$F$503*(1+Log!$G$4:$G$503/30)))))</f>
        <v/>
      </c>
      <c r="Q47" s="37" t="str">
        <f aca="false">IF($A47="","",IF(SUMPRODUCT(MAX((Log!$D$4:$D$503=$A47)*(Log!$B$4:$B$503=Q$41)*(Log!$E$4:$E$503="A")*(Log!$F$4:$F$503&lt;&gt;"")*(Log!$G$4:$G$503&lt;&gt;"")*Log!$F$4:$F$503*(1+Log!$G$4:$G$503/30)))=0,"",SUMPRODUCT(MAX((Log!$D$4:$D$503=$A47)*(Log!$B$4:$B$503=Q$41)*(Log!$E$4:$E$503="A")*(Log!$F$4:$F$503&lt;&gt;"")*(Log!$G$4:$G$503&lt;&gt;"")*Log!$F$4:$F$503*(1+Log!$G$4:$G$503/30)))))</f>
        <v/>
      </c>
      <c r="R47" s="36" t="n">
        <f aca="false">IF(COUNT(B47:Q47)=0,"",MAX(B47:Q47))</f>
        <v>360</v>
      </c>
    </row>
    <row r="48" customFormat="false" ht="16.5" hidden="false" customHeight="true" outlineLevel="0" collapsed="false">
      <c r="A48" s="30" t="str">
        <f aca="false">IF(Übungen!$A10="","",Übungen!$A10)</f>
        <v>Beinbeuger</v>
      </c>
      <c r="B48" s="35" t="n">
        <f aca="false">IF($A48="","",IF(SUMPRODUCT(MAX((Log!$D$4:$D$503=$A48)*(Log!$B$4:$B$503=B$41)*(Log!$E$4:$E$503="A")*(Log!$F$4:$F$503&lt;&gt;"")*(Log!$G$4:$G$503&lt;&gt;"")*Log!$F$4:$F$503*(1+Log!$G$4:$G$503/30)))=0,"",SUMPRODUCT(MAX((Log!$D$4:$D$503=$A48)*(Log!$B$4:$B$503=B$41)*(Log!$E$4:$E$503="A")*(Log!$F$4:$F$503&lt;&gt;"")*(Log!$G$4:$G$503&lt;&gt;"")*Log!$F$4:$F$503*(1+Log!$G$4:$G$503/30)))))</f>
        <v>66.6666666666667</v>
      </c>
      <c r="C48" s="35" t="n">
        <f aca="false">IF($A48="","",IF(SUMPRODUCT(MAX((Log!$D$4:$D$503=$A48)*(Log!$B$4:$B$503=C$41)*(Log!$E$4:$E$503="A")*(Log!$F$4:$F$503&lt;&gt;"")*(Log!$G$4:$G$503&lt;&gt;"")*Log!$F$4:$F$503*(1+Log!$G$4:$G$503/30)))=0,"",SUMPRODUCT(MAX((Log!$D$4:$D$503=$A48)*(Log!$B$4:$B$503=C$41)*(Log!$E$4:$E$503="A")*(Log!$F$4:$F$503&lt;&gt;"")*(Log!$G$4:$G$503&lt;&gt;"")*Log!$F$4:$F$503*(1+Log!$G$4:$G$503/30)))))</f>
        <v>73.3333333333333</v>
      </c>
      <c r="D48" s="35" t="n">
        <f aca="false">IF($A48="","",IF(SUMPRODUCT(MAX((Log!$D$4:$D$503=$A48)*(Log!$B$4:$B$503=D$41)*(Log!$E$4:$E$503="A")*(Log!$F$4:$F$503&lt;&gt;"")*(Log!$G$4:$G$503&lt;&gt;"")*Log!$F$4:$F$503*(1+Log!$G$4:$G$503/30)))=0,"",SUMPRODUCT(MAX((Log!$D$4:$D$503=$A48)*(Log!$B$4:$B$503=D$41)*(Log!$E$4:$E$503="A")*(Log!$F$4:$F$503&lt;&gt;"")*(Log!$G$4:$G$503&lt;&gt;"")*Log!$F$4:$F$503*(1+Log!$G$4:$G$503/30)))))</f>
        <v>67.5</v>
      </c>
      <c r="E48" s="35" t="str">
        <f aca="false">IF($A48="","",IF(SUMPRODUCT(MAX((Log!$D$4:$D$503=$A48)*(Log!$B$4:$B$503=E$41)*(Log!$E$4:$E$503="A")*(Log!$F$4:$F$503&lt;&gt;"")*(Log!$G$4:$G$503&lt;&gt;"")*Log!$F$4:$F$503*(1+Log!$G$4:$G$503/30)))=0,"",SUMPRODUCT(MAX((Log!$D$4:$D$503=$A48)*(Log!$B$4:$B$503=E$41)*(Log!$E$4:$E$503="A")*(Log!$F$4:$F$503&lt;&gt;"")*(Log!$G$4:$G$503&lt;&gt;"")*Log!$F$4:$F$503*(1+Log!$G$4:$G$503/30)))))</f>
        <v/>
      </c>
      <c r="F48" s="35" t="str">
        <f aca="false">IF($A48="","",IF(SUMPRODUCT(MAX((Log!$D$4:$D$503=$A48)*(Log!$B$4:$B$503=F$41)*(Log!$E$4:$E$503="A")*(Log!$F$4:$F$503&lt;&gt;"")*(Log!$G$4:$G$503&lt;&gt;"")*Log!$F$4:$F$503*(1+Log!$G$4:$G$503/30)))=0,"",SUMPRODUCT(MAX((Log!$D$4:$D$503=$A48)*(Log!$B$4:$B$503=F$41)*(Log!$E$4:$E$503="A")*(Log!$F$4:$F$503&lt;&gt;"")*(Log!$G$4:$G$503&lt;&gt;"")*Log!$F$4:$F$503*(1+Log!$G$4:$G$503/30)))))</f>
        <v/>
      </c>
      <c r="G48" s="35" t="str">
        <f aca="false">IF($A48="","",IF(SUMPRODUCT(MAX((Log!$D$4:$D$503=$A48)*(Log!$B$4:$B$503=G$41)*(Log!$E$4:$E$503="A")*(Log!$F$4:$F$503&lt;&gt;"")*(Log!$G$4:$G$503&lt;&gt;"")*Log!$F$4:$F$503*(1+Log!$G$4:$G$503/30)))=0,"",SUMPRODUCT(MAX((Log!$D$4:$D$503=$A48)*(Log!$B$4:$B$503=G$41)*(Log!$E$4:$E$503="A")*(Log!$F$4:$F$503&lt;&gt;"")*(Log!$G$4:$G$503&lt;&gt;"")*Log!$F$4:$F$503*(1+Log!$G$4:$G$503/30)))))</f>
        <v/>
      </c>
      <c r="H48" s="35" t="str">
        <f aca="false">IF($A48="","",IF(SUMPRODUCT(MAX((Log!$D$4:$D$503=$A48)*(Log!$B$4:$B$503=H$41)*(Log!$E$4:$E$503="A")*(Log!$F$4:$F$503&lt;&gt;"")*(Log!$G$4:$G$503&lt;&gt;"")*Log!$F$4:$F$503*(1+Log!$G$4:$G$503/30)))=0,"",SUMPRODUCT(MAX((Log!$D$4:$D$503=$A48)*(Log!$B$4:$B$503=H$41)*(Log!$E$4:$E$503="A")*(Log!$F$4:$F$503&lt;&gt;"")*(Log!$G$4:$G$503&lt;&gt;"")*Log!$F$4:$F$503*(1+Log!$G$4:$G$503/30)))))</f>
        <v/>
      </c>
      <c r="I48" s="35" t="str">
        <f aca="false">IF($A48="","",IF(SUMPRODUCT(MAX((Log!$D$4:$D$503=$A48)*(Log!$B$4:$B$503=I$41)*(Log!$E$4:$E$503="A")*(Log!$F$4:$F$503&lt;&gt;"")*(Log!$G$4:$G$503&lt;&gt;"")*Log!$F$4:$F$503*(1+Log!$G$4:$G$503/30)))=0,"",SUMPRODUCT(MAX((Log!$D$4:$D$503=$A48)*(Log!$B$4:$B$503=I$41)*(Log!$E$4:$E$503="A")*(Log!$F$4:$F$503&lt;&gt;"")*(Log!$G$4:$G$503&lt;&gt;"")*Log!$F$4:$F$503*(1+Log!$G$4:$G$503/30)))))</f>
        <v/>
      </c>
      <c r="J48" s="35" t="str">
        <f aca="false">IF($A48="","",IF(SUMPRODUCT(MAX((Log!$D$4:$D$503=$A48)*(Log!$B$4:$B$503=J$41)*(Log!$E$4:$E$503="A")*(Log!$F$4:$F$503&lt;&gt;"")*(Log!$G$4:$G$503&lt;&gt;"")*Log!$F$4:$F$503*(1+Log!$G$4:$G$503/30)))=0,"",SUMPRODUCT(MAX((Log!$D$4:$D$503=$A48)*(Log!$B$4:$B$503=J$41)*(Log!$E$4:$E$503="A")*(Log!$F$4:$F$503&lt;&gt;"")*(Log!$G$4:$G$503&lt;&gt;"")*Log!$F$4:$F$503*(1+Log!$G$4:$G$503/30)))))</f>
        <v/>
      </c>
      <c r="K48" s="35" t="str">
        <f aca="false">IF($A48="","",IF(SUMPRODUCT(MAX((Log!$D$4:$D$503=$A48)*(Log!$B$4:$B$503=K$41)*(Log!$E$4:$E$503="A")*(Log!$F$4:$F$503&lt;&gt;"")*(Log!$G$4:$G$503&lt;&gt;"")*Log!$F$4:$F$503*(1+Log!$G$4:$G$503/30)))=0,"",SUMPRODUCT(MAX((Log!$D$4:$D$503=$A48)*(Log!$B$4:$B$503=K$41)*(Log!$E$4:$E$503="A")*(Log!$F$4:$F$503&lt;&gt;"")*(Log!$G$4:$G$503&lt;&gt;"")*Log!$F$4:$F$503*(1+Log!$G$4:$G$503/30)))))</f>
        <v/>
      </c>
      <c r="L48" s="35" t="str">
        <f aca="false">IF($A48="","",IF(SUMPRODUCT(MAX((Log!$D$4:$D$503=$A48)*(Log!$B$4:$B$503=L$41)*(Log!$E$4:$E$503="A")*(Log!$F$4:$F$503&lt;&gt;"")*(Log!$G$4:$G$503&lt;&gt;"")*Log!$F$4:$F$503*(1+Log!$G$4:$G$503/30)))=0,"",SUMPRODUCT(MAX((Log!$D$4:$D$503=$A48)*(Log!$B$4:$B$503=L$41)*(Log!$E$4:$E$503="A")*(Log!$F$4:$F$503&lt;&gt;"")*(Log!$G$4:$G$503&lt;&gt;"")*Log!$F$4:$F$503*(1+Log!$G$4:$G$503/30)))))</f>
        <v/>
      </c>
      <c r="M48" s="35" t="str">
        <f aca="false">IF($A48="","",IF(SUMPRODUCT(MAX((Log!$D$4:$D$503=$A48)*(Log!$B$4:$B$503=M$41)*(Log!$E$4:$E$503="A")*(Log!$F$4:$F$503&lt;&gt;"")*(Log!$G$4:$G$503&lt;&gt;"")*Log!$F$4:$F$503*(1+Log!$G$4:$G$503/30)))=0,"",SUMPRODUCT(MAX((Log!$D$4:$D$503=$A48)*(Log!$B$4:$B$503=M$41)*(Log!$E$4:$E$503="A")*(Log!$F$4:$F$503&lt;&gt;"")*(Log!$G$4:$G$503&lt;&gt;"")*Log!$F$4:$F$503*(1+Log!$G$4:$G$503/30)))))</f>
        <v/>
      </c>
      <c r="N48" s="35" t="str">
        <f aca="false">IF($A48="","",IF(SUMPRODUCT(MAX((Log!$D$4:$D$503=$A48)*(Log!$B$4:$B$503=N$41)*(Log!$E$4:$E$503="A")*(Log!$F$4:$F$503&lt;&gt;"")*(Log!$G$4:$G$503&lt;&gt;"")*Log!$F$4:$F$503*(1+Log!$G$4:$G$503/30)))=0,"",SUMPRODUCT(MAX((Log!$D$4:$D$503=$A48)*(Log!$B$4:$B$503=N$41)*(Log!$E$4:$E$503="A")*(Log!$F$4:$F$503&lt;&gt;"")*(Log!$G$4:$G$503&lt;&gt;"")*Log!$F$4:$F$503*(1+Log!$G$4:$G$503/30)))))</f>
        <v/>
      </c>
      <c r="O48" s="35" t="str">
        <f aca="false">IF($A48="","",IF(SUMPRODUCT(MAX((Log!$D$4:$D$503=$A48)*(Log!$B$4:$B$503=O$41)*(Log!$E$4:$E$503="A")*(Log!$F$4:$F$503&lt;&gt;"")*(Log!$G$4:$G$503&lt;&gt;"")*Log!$F$4:$F$503*(1+Log!$G$4:$G$503/30)))=0,"",SUMPRODUCT(MAX((Log!$D$4:$D$503=$A48)*(Log!$B$4:$B$503=O$41)*(Log!$E$4:$E$503="A")*(Log!$F$4:$F$503&lt;&gt;"")*(Log!$G$4:$G$503&lt;&gt;"")*Log!$F$4:$F$503*(1+Log!$G$4:$G$503/30)))))</f>
        <v/>
      </c>
      <c r="P48" s="35" t="str">
        <f aca="false">IF($A48="","",IF(SUMPRODUCT(MAX((Log!$D$4:$D$503=$A48)*(Log!$B$4:$B$503=P$41)*(Log!$E$4:$E$503="A")*(Log!$F$4:$F$503&lt;&gt;"")*(Log!$G$4:$G$503&lt;&gt;"")*Log!$F$4:$F$503*(1+Log!$G$4:$G$503/30)))=0,"",SUMPRODUCT(MAX((Log!$D$4:$D$503=$A48)*(Log!$B$4:$B$503=P$41)*(Log!$E$4:$E$503="A")*(Log!$F$4:$F$503&lt;&gt;"")*(Log!$G$4:$G$503&lt;&gt;"")*Log!$F$4:$F$503*(1+Log!$G$4:$G$503/30)))))</f>
        <v/>
      </c>
      <c r="Q48" s="35" t="str">
        <f aca="false">IF($A48="","",IF(SUMPRODUCT(MAX((Log!$D$4:$D$503=$A48)*(Log!$B$4:$B$503=Q$41)*(Log!$E$4:$E$503="A")*(Log!$F$4:$F$503&lt;&gt;"")*(Log!$G$4:$G$503&lt;&gt;"")*Log!$F$4:$F$503*(1+Log!$G$4:$G$503/30)))=0,"",SUMPRODUCT(MAX((Log!$D$4:$D$503=$A48)*(Log!$B$4:$B$503=Q$41)*(Log!$E$4:$E$503="A")*(Log!$F$4:$F$503&lt;&gt;"")*(Log!$G$4:$G$503&lt;&gt;"")*Log!$F$4:$F$503*(1+Log!$G$4:$G$503/30)))))</f>
        <v/>
      </c>
      <c r="R48" s="36" t="n">
        <f aca="false">IF(COUNT(B48:Q48)=0,"",MAX(B48:Q48))</f>
        <v>73.3333333333333</v>
      </c>
    </row>
    <row r="49" customFormat="false" ht="16.5" hidden="false" customHeight="true" outlineLevel="0" collapsed="false">
      <c r="A49" s="33" t="str">
        <f aca="false">IF(Übungen!$A11="","",Übungen!$A11)</f>
        <v>Seitliche Kickbacks</v>
      </c>
      <c r="B49" s="37" t="n">
        <f aca="false">IF($A49="","",IF(SUMPRODUCT(MAX((Log!$D$4:$D$503=$A49)*(Log!$B$4:$B$503=B$41)*(Log!$E$4:$E$503="A")*(Log!$F$4:$F$503&lt;&gt;"")*(Log!$G$4:$G$503&lt;&gt;"")*Log!$F$4:$F$503*(1+Log!$G$4:$G$503/30)))=0,"",SUMPRODUCT(MAX((Log!$D$4:$D$503=$A49)*(Log!$B$4:$B$503=B$41)*(Log!$E$4:$E$503="A")*(Log!$F$4:$F$503&lt;&gt;"")*(Log!$G$4:$G$503&lt;&gt;"")*Log!$F$4:$F$503*(1+Log!$G$4:$G$503/30)))))</f>
        <v>68.6</v>
      </c>
      <c r="C49" s="37" t="n">
        <f aca="false">IF($A49="","",IF(SUMPRODUCT(MAX((Log!$D$4:$D$503=$A49)*(Log!$B$4:$B$503=C$41)*(Log!$E$4:$E$503="A")*(Log!$F$4:$F$503&lt;&gt;"")*(Log!$G$4:$G$503&lt;&gt;"")*Log!$F$4:$F$503*(1+Log!$G$4:$G$503/30)))=0,"",SUMPRODUCT(MAX((Log!$D$4:$D$503=$A49)*(Log!$B$4:$B$503=C$41)*(Log!$E$4:$E$503="A")*(Log!$F$4:$F$503&lt;&gt;"")*(Log!$G$4:$G$503&lt;&gt;"")*Log!$F$4:$F$503*(1+Log!$G$4:$G$503/30)))))</f>
        <v>52.5</v>
      </c>
      <c r="D49" s="37" t="str">
        <f aca="false">IF($A49="","",IF(SUMPRODUCT(MAX((Log!$D$4:$D$503=$A49)*(Log!$B$4:$B$503=D$41)*(Log!$E$4:$E$503="A")*(Log!$F$4:$F$503&lt;&gt;"")*(Log!$G$4:$G$503&lt;&gt;"")*Log!$F$4:$F$503*(1+Log!$G$4:$G$503/30)))=0,"",SUMPRODUCT(MAX((Log!$D$4:$D$503=$A49)*(Log!$B$4:$B$503=D$41)*(Log!$E$4:$E$503="A")*(Log!$F$4:$F$503&lt;&gt;"")*(Log!$G$4:$G$503&lt;&gt;"")*Log!$F$4:$F$503*(1+Log!$G$4:$G$503/30)))))</f>
        <v/>
      </c>
      <c r="E49" s="37" t="str">
        <f aca="false">IF($A49="","",IF(SUMPRODUCT(MAX((Log!$D$4:$D$503=$A49)*(Log!$B$4:$B$503=E$41)*(Log!$E$4:$E$503="A")*(Log!$F$4:$F$503&lt;&gt;"")*(Log!$G$4:$G$503&lt;&gt;"")*Log!$F$4:$F$503*(1+Log!$G$4:$G$503/30)))=0,"",SUMPRODUCT(MAX((Log!$D$4:$D$503=$A49)*(Log!$B$4:$B$503=E$41)*(Log!$E$4:$E$503="A")*(Log!$F$4:$F$503&lt;&gt;"")*(Log!$G$4:$G$503&lt;&gt;"")*Log!$F$4:$F$503*(1+Log!$G$4:$G$503/30)))))</f>
        <v/>
      </c>
      <c r="F49" s="37" t="str">
        <f aca="false">IF($A49="","",IF(SUMPRODUCT(MAX((Log!$D$4:$D$503=$A49)*(Log!$B$4:$B$503=F$41)*(Log!$E$4:$E$503="A")*(Log!$F$4:$F$503&lt;&gt;"")*(Log!$G$4:$G$503&lt;&gt;"")*Log!$F$4:$F$503*(1+Log!$G$4:$G$503/30)))=0,"",SUMPRODUCT(MAX((Log!$D$4:$D$503=$A49)*(Log!$B$4:$B$503=F$41)*(Log!$E$4:$E$503="A")*(Log!$F$4:$F$503&lt;&gt;"")*(Log!$G$4:$G$503&lt;&gt;"")*Log!$F$4:$F$503*(1+Log!$G$4:$G$503/30)))))</f>
        <v/>
      </c>
      <c r="G49" s="37" t="str">
        <f aca="false">IF($A49="","",IF(SUMPRODUCT(MAX((Log!$D$4:$D$503=$A49)*(Log!$B$4:$B$503=G$41)*(Log!$E$4:$E$503="A")*(Log!$F$4:$F$503&lt;&gt;"")*(Log!$G$4:$G$503&lt;&gt;"")*Log!$F$4:$F$503*(1+Log!$G$4:$G$503/30)))=0,"",SUMPRODUCT(MAX((Log!$D$4:$D$503=$A49)*(Log!$B$4:$B$503=G$41)*(Log!$E$4:$E$503="A")*(Log!$F$4:$F$503&lt;&gt;"")*(Log!$G$4:$G$503&lt;&gt;"")*Log!$F$4:$F$503*(1+Log!$G$4:$G$503/30)))))</f>
        <v/>
      </c>
      <c r="H49" s="37" t="str">
        <f aca="false">IF($A49="","",IF(SUMPRODUCT(MAX((Log!$D$4:$D$503=$A49)*(Log!$B$4:$B$503=H$41)*(Log!$E$4:$E$503="A")*(Log!$F$4:$F$503&lt;&gt;"")*(Log!$G$4:$G$503&lt;&gt;"")*Log!$F$4:$F$503*(1+Log!$G$4:$G$503/30)))=0,"",SUMPRODUCT(MAX((Log!$D$4:$D$503=$A49)*(Log!$B$4:$B$503=H$41)*(Log!$E$4:$E$503="A")*(Log!$F$4:$F$503&lt;&gt;"")*(Log!$G$4:$G$503&lt;&gt;"")*Log!$F$4:$F$503*(1+Log!$G$4:$G$503/30)))))</f>
        <v/>
      </c>
      <c r="I49" s="37" t="str">
        <f aca="false">IF($A49="","",IF(SUMPRODUCT(MAX((Log!$D$4:$D$503=$A49)*(Log!$B$4:$B$503=I$41)*(Log!$E$4:$E$503="A")*(Log!$F$4:$F$503&lt;&gt;"")*(Log!$G$4:$G$503&lt;&gt;"")*Log!$F$4:$F$503*(1+Log!$G$4:$G$503/30)))=0,"",SUMPRODUCT(MAX((Log!$D$4:$D$503=$A49)*(Log!$B$4:$B$503=I$41)*(Log!$E$4:$E$503="A")*(Log!$F$4:$F$503&lt;&gt;"")*(Log!$G$4:$G$503&lt;&gt;"")*Log!$F$4:$F$503*(1+Log!$G$4:$G$503/30)))))</f>
        <v/>
      </c>
      <c r="J49" s="37" t="str">
        <f aca="false">IF($A49="","",IF(SUMPRODUCT(MAX((Log!$D$4:$D$503=$A49)*(Log!$B$4:$B$503=J$41)*(Log!$E$4:$E$503="A")*(Log!$F$4:$F$503&lt;&gt;"")*(Log!$G$4:$G$503&lt;&gt;"")*Log!$F$4:$F$503*(1+Log!$G$4:$G$503/30)))=0,"",SUMPRODUCT(MAX((Log!$D$4:$D$503=$A49)*(Log!$B$4:$B$503=J$41)*(Log!$E$4:$E$503="A")*(Log!$F$4:$F$503&lt;&gt;"")*(Log!$G$4:$G$503&lt;&gt;"")*Log!$F$4:$F$503*(1+Log!$G$4:$G$503/30)))))</f>
        <v/>
      </c>
      <c r="K49" s="37" t="str">
        <f aca="false">IF($A49="","",IF(SUMPRODUCT(MAX((Log!$D$4:$D$503=$A49)*(Log!$B$4:$B$503=K$41)*(Log!$E$4:$E$503="A")*(Log!$F$4:$F$503&lt;&gt;"")*(Log!$G$4:$G$503&lt;&gt;"")*Log!$F$4:$F$503*(1+Log!$G$4:$G$503/30)))=0,"",SUMPRODUCT(MAX((Log!$D$4:$D$503=$A49)*(Log!$B$4:$B$503=K$41)*(Log!$E$4:$E$503="A")*(Log!$F$4:$F$503&lt;&gt;"")*(Log!$G$4:$G$503&lt;&gt;"")*Log!$F$4:$F$503*(1+Log!$G$4:$G$503/30)))))</f>
        <v/>
      </c>
      <c r="L49" s="37" t="str">
        <f aca="false">IF($A49="","",IF(SUMPRODUCT(MAX((Log!$D$4:$D$503=$A49)*(Log!$B$4:$B$503=L$41)*(Log!$E$4:$E$503="A")*(Log!$F$4:$F$503&lt;&gt;"")*(Log!$G$4:$G$503&lt;&gt;"")*Log!$F$4:$F$503*(1+Log!$G$4:$G$503/30)))=0,"",SUMPRODUCT(MAX((Log!$D$4:$D$503=$A49)*(Log!$B$4:$B$503=L$41)*(Log!$E$4:$E$503="A")*(Log!$F$4:$F$503&lt;&gt;"")*(Log!$G$4:$G$503&lt;&gt;"")*Log!$F$4:$F$503*(1+Log!$G$4:$G$503/30)))))</f>
        <v/>
      </c>
      <c r="M49" s="37" t="str">
        <f aca="false">IF($A49="","",IF(SUMPRODUCT(MAX((Log!$D$4:$D$503=$A49)*(Log!$B$4:$B$503=M$41)*(Log!$E$4:$E$503="A")*(Log!$F$4:$F$503&lt;&gt;"")*(Log!$G$4:$G$503&lt;&gt;"")*Log!$F$4:$F$503*(1+Log!$G$4:$G$503/30)))=0,"",SUMPRODUCT(MAX((Log!$D$4:$D$503=$A49)*(Log!$B$4:$B$503=M$41)*(Log!$E$4:$E$503="A")*(Log!$F$4:$F$503&lt;&gt;"")*(Log!$G$4:$G$503&lt;&gt;"")*Log!$F$4:$F$503*(1+Log!$G$4:$G$503/30)))))</f>
        <v/>
      </c>
      <c r="N49" s="37" t="str">
        <f aca="false">IF($A49="","",IF(SUMPRODUCT(MAX((Log!$D$4:$D$503=$A49)*(Log!$B$4:$B$503=N$41)*(Log!$E$4:$E$503="A")*(Log!$F$4:$F$503&lt;&gt;"")*(Log!$G$4:$G$503&lt;&gt;"")*Log!$F$4:$F$503*(1+Log!$G$4:$G$503/30)))=0,"",SUMPRODUCT(MAX((Log!$D$4:$D$503=$A49)*(Log!$B$4:$B$503=N$41)*(Log!$E$4:$E$503="A")*(Log!$F$4:$F$503&lt;&gt;"")*(Log!$G$4:$G$503&lt;&gt;"")*Log!$F$4:$F$503*(1+Log!$G$4:$G$503/30)))))</f>
        <v/>
      </c>
      <c r="O49" s="37" t="str">
        <f aca="false">IF($A49="","",IF(SUMPRODUCT(MAX((Log!$D$4:$D$503=$A49)*(Log!$B$4:$B$503=O$41)*(Log!$E$4:$E$503="A")*(Log!$F$4:$F$503&lt;&gt;"")*(Log!$G$4:$G$503&lt;&gt;"")*Log!$F$4:$F$503*(1+Log!$G$4:$G$503/30)))=0,"",SUMPRODUCT(MAX((Log!$D$4:$D$503=$A49)*(Log!$B$4:$B$503=O$41)*(Log!$E$4:$E$503="A")*(Log!$F$4:$F$503&lt;&gt;"")*(Log!$G$4:$G$503&lt;&gt;"")*Log!$F$4:$F$503*(1+Log!$G$4:$G$503/30)))))</f>
        <v/>
      </c>
      <c r="P49" s="37" t="str">
        <f aca="false">IF($A49="","",IF(SUMPRODUCT(MAX((Log!$D$4:$D$503=$A49)*(Log!$B$4:$B$503=P$41)*(Log!$E$4:$E$503="A")*(Log!$F$4:$F$503&lt;&gt;"")*(Log!$G$4:$G$503&lt;&gt;"")*Log!$F$4:$F$503*(1+Log!$G$4:$G$503/30)))=0,"",SUMPRODUCT(MAX((Log!$D$4:$D$503=$A49)*(Log!$B$4:$B$503=P$41)*(Log!$E$4:$E$503="A")*(Log!$F$4:$F$503&lt;&gt;"")*(Log!$G$4:$G$503&lt;&gt;"")*Log!$F$4:$F$503*(1+Log!$G$4:$G$503/30)))))</f>
        <v/>
      </c>
      <c r="Q49" s="37" t="str">
        <f aca="false">IF($A49="","",IF(SUMPRODUCT(MAX((Log!$D$4:$D$503=$A49)*(Log!$B$4:$B$503=Q$41)*(Log!$E$4:$E$503="A")*(Log!$F$4:$F$503&lt;&gt;"")*(Log!$G$4:$G$503&lt;&gt;"")*Log!$F$4:$F$503*(1+Log!$G$4:$G$503/30)))=0,"",SUMPRODUCT(MAX((Log!$D$4:$D$503=$A49)*(Log!$B$4:$B$503=Q$41)*(Log!$E$4:$E$503="A")*(Log!$F$4:$F$503&lt;&gt;"")*(Log!$G$4:$G$503&lt;&gt;"")*Log!$F$4:$F$503*(1+Log!$G$4:$G$503/30)))))</f>
        <v/>
      </c>
      <c r="R49" s="36" t="n">
        <f aca="false">IF(COUNT(B49:Q49)=0,"",MAX(B49:Q49))</f>
        <v>68.6</v>
      </c>
    </row>
    <row r="50" customFormat="false" ht="16.5" hidden="false" customHeight="true" outlineLevel="0" collapsed="false">
      <c r="A50" s="30" t="str">
        <f aca="false">IF(Übungen!$A12="","",Übungen!$A12)</f>
        <v>Waden</v>
      </c>
      <c r="B50" s="35" t="n">
        <f aca="false">IF($A50="","",IF(SUMPRODUCT(MAX((Log!$D$4:$D$503=$A50)*(Log!$B$4:$B$503=B$41)*(Log!$E$4:$E$503="A")*(Log!$F$4:$F$503&lt;&gt;"")*(Log!$G$4:$G$503&lt;&gt;"")*Log!$F$4:$F$503*(1+Log!$G$4:$G$503/30)))=0,"",SUMPRODUCT(MAX((Log!$D$4:$D$503=$A50)*(Log!$B$4:$B$503=B$41)*(Log!$E$4:$E$503="A")*(Log!$F$4:$F$503&lt;&gt;"")*(Log!$G$4:$G$503&lt;&gt;"")*Log!$F$4:$F$503*(1+Log!$G$4:$G$503/30)))))</f>
        <v>203</v>
      </c>
      <c r="C50" s="35" t="n">
        <f aca="false">IF($A50="","",IF(SUMPRODUCT(MAX((Log!$D$4:$D$503=$A50)*(Log!$B$4:$B$503=C$41)*(Log!$E$4:$E$503="A")*(Log!$F$4:$F$503&lt;&gt;"")*(Log!$G$4:$G$503&lt;&gt;"")*Log!$F$4:$F$503*(1+Log!$G$4:$G$503/30)))=0,"",SUMPRODUCT(MAX((Log!$D$4:$D$503=$A50)*(Log!$B$4:$B$503=C$41)*(Log!$E$4:$E$503="A")*(Log!$F$4:$F$503&lt;&gt;"")*(Log!$G$4:$G$503&lt;&gt;"")*Log!$F$4:$F$503*(1+Log!$G$4:$G$503/30)))))</f>
        <v>210</v>
      </c>
      <c r="D50" s="35" t="str">
        <f aca="false">IF($A50="","",IF(SUMPRODUCT(MAX((Log!$D$4:$D$503=$A50)*(Log!$B$4:$B$503=D$41)*(Log!$E$4:$E$503="A")*(Log!$F$4:$F$503&lt;&gt;"")*(Log!$G$4:$G$503&lt;&gt;"")*Log!$F$4:$F$503*(1+Log!$G$4:$G$503/30)))=0,"",SUMPRODUCT(MAX((Log!$D$4:$D$503=$A50)*(Log!$B$4:$B$503=D$41)*(Log!$E$4:$E$503="A")*(Log!$F$4:$F$503&lt;&gt;"")*(Log!$G$4:$G$503&lt;&gt;"")*Log!$F$4:$F$503*(1+Log!$G$4:$G$503/30)))))</f>
        <v/>
      </c>
      <c r="E50" s="35" t="str">
        <f aca="false">IF($A50="","",IF(SUMPRODUCT(MAX((Log!$D$4:$D$503=$A50)*(Log!$B$4:$B$503=E$41)*(Log!$E$4:$E$503="A")*(Log!$F$4:$F$503&lt;&gt;"")*(Log!$G$4:$G$503&lt;&gt;"")*Log!$F$4:$F$503*(1+Log!$G$4:$G$503/30)))=0,"",SUMPRODUCT(MAX((Log!$D$4:$D$503=$A50)*(Log!$B$4:$B$503=E$41)*(Log!$E$4:$E$503="A")*(Log!$F$4:$F$503&lt;&gt;"")*(Log!$G$4:$G$503&lt;&gt;"")*Log!$F$4:$F$503*(1+Log!$G$4:$G$503/30)))))</f>
        <v/>
      </c>
      <c r="F50" s="35" t="str">
        <f aca="false">IF($A50="","",IF(SUMPRODUCT(MAX((Log!$D$4:$D$503=$A50)*(Log!$B$4:$B$503=F$41)*(Log!$E$4:$E$503="A")*(Log!$F$4:$F$503&lt;&gt;"")*(Log!$G$4:$G$503&lt;&gt;"")*Log!$F$4:$F$503*(1+Log!$G$4:$G$503/30)))=0,"",SUMPRODUCT(MAX((Log!$D$4:$D$503=$A50)*(Log!$B$4:$B$503=F$41)*(Log!$E$4:$E$503="A")*(Log!$F$4:$F$503&lt;&gt;"")*(Log!$G$4:$G$503&lt;&gt;"")*Log!$F$4:$F$503*(1+Log!$G$4:$G$503/30)))))</f>
        <v/>
      </c>
      <c r="G50" s="35" t="str">
        <f aca="false">IF($A50="","",IF(SUMPRODUCT(MAX((Log!$D$4:$D$503=$A50)*(Log!$B$4:$B$503=G$41)*(Log!$E$4:$E$503="A")*(Log!$F$4:$F$503&lt;&gt;"")*(Log!$G$4:$G$503&lt;&gt;"")*Log!$F$4:$F$503*(1+Log!$G$4:$G$503/30)))=0,"",SUMPRODUCT(MAX((Log!$D$4:$D$503=$A50)*(Log!$B$4:$B$503=G$41)*(Log!$E$4:$E$503="A")*(Log!$F$4:$F$503&lt;&gt;"")*(Log!$G$4:$G$503&lt;&gt;"")*Log!$F$4:$F$503*(1+Log!$G$4:$G$503/30)))))</f>
        <v/>
      </c>
      <c r="H50" s="35" t="str">
        <f aca="false">IF($A50="","",IF(SUMPRODUCT(MAX((Log!$D$4:$D$503=$A50)*(Log!$B$4:$B$503=H$41)*(Log!$E$4:$E$503="A")*(Log!$F$4:$F$503&lt;&gt;"")*(Log!$G$4:$G$503&lt;&gt;"")*Log!$F$4:$F$503*(1+Log!$G$4:$G$503/30)))=0,"",SUMPRODUCT(MAX((Log!$D$4:$D$503=$A50)*(Log!$B$4:$B$503=H$41)*(Log!$E$4:$E$503="A")*(Log!$F$4:$F$503&lt;&gt;"")*(Log!$G$4:$G$503&lt;&gt;"")*Log!$F$4:$F$503*(1+Log!$G$4:$G$503/30)))))</f>
        <v/>
      </c>
      <c r="I50" s="35" t="str">
        <f aca="false">IF($A50="","",IF(SUMPRODUCT(MAX((Log!$D$4:$D$503=$A50)*(Log!$B$4:$B$503=I$41)*(Log!$E$4:$E$503="A")*(Log!$F$4:$F$503&lt;&gt;"")*(Log!$G$4:$G$503&lt;&gt;"")*Log!$F$4:$F$503*(1+Log!$G$4:$G$503/30)))=0,"",SUMPRODUCT(MAX((Log!$D$4:$D$503=$A50)*(Log!$B$4:$B$503=I$41)*(Log!$E$4:$E$503="A")*(Log!$F$4:$F$503&lt;&gt;"")*(Log!$G$4:$G$503&lt;&gt;"")*Log!$F$4:$F$503*(1+Log!$G$4:$G$503/30)))))</f>
        <v/>
      </c>
      <c r="J50" s="35" t="str">
        <f aca="false">IF($A50="","",IF(SUMPRODUCT(MAX((Log!$D$4:$D$503=$A50)*(Log!$B$4:$B$503=J$41)*(Log!$E$4:$E$503="A")*(Log!$F$4:$F$503&lt;&gt;"")*(Log!$G$4:$G$503&lt;&gt;"")*Log!$F$4:$F$503*(1+Log!$G$4:$G$503/30)))=0,"",SUMPRODUCT(MAX((Log!$D$4:$D$503=$A50)*(Log!$B$4:$B$503=J$41)*(Log!$E$4:$E$503="A")*(Log!$F$4:$F$503&lt;&gt;"")*(Log!$G$4:$G$503&lt;&gt;"")*Log!$F$4:$F$503*(1+Log!$G$4:$G$503/30)))))</f>
        <v/>
      </c>
      <c r="K50" s="35" t="str">
        <f aca="false">IF($A50="","",IF(SUMPRODUCT(MAX((Log!$D$4:$D$503=$A50)*(Log!$B$4:$B$503=K$41)*(Log!$E$4:$E$503="A")*(Log!$F$4:$F$503&lt;&gt;"")*(Log!$G$4:$G$503&lt;&gt;"")*Log!$F$4:$F$503*(1+Log!$G$4:$G$503/30)))=0,"",SUMPRODUCT(MAX((Log!$D$4:$D$503=$A50)*(Log!$B$4:$B$503=K$41)*(Log!$E$4:$E$503="A")*(Log!$F$4:$F$503&lt;&gt;"")*(Log!$G$4:$G$503&lt;&gt;"")*Log!$F$4:$F$503*(1+Log!$G$4:$G$503/30)))))</f>
        <v/>
      </c>
      <c r="L50" s="35" t="str">
        <f aca="false">IF($A50="","",IF(SUMPRODUCT(MAX((Log!$D$4:$D$503=$A50)*(Log!$B$4:$B$503=L$41)*(Log!$E$4:$E$503="A")*(Log!$F$4:$F$503&lt;&gt;"")*(Log!$G$4:$G$503&lt;&gt;"")*Log!$F$4:$F$503*(1+Log!$G$4:$G$503/30)))=0,"",SUMPRODUCT(MAX((Log!$D$4:$D$503=$A50)*(Log!$B$4:$B$503=L$41)*(Log!$E$4:$E$503="A")*(Log!$F$4:$F$503&lt;&gt;"")*(Log!$G$4:$G$503&lt;&gt;"")*Log!$F$4:$F$503*(1+Log!$G$4:$G$503/30)))))</f>
        <v/>
      </c>
      <c r="M50" s="35" t="str">
        <f aca="false">IF($A50="","",IF(SUMPRODUCT(MAX((Log!$D$4:$D$503=$A50)*(Log!$B$4:$B$503=M$41)*(Log!$E$4:$E$503="A")*(Log!$F$4:$F$503&lt;&gt;"")*(Log!$G$4:$G$503&lt;&gt;"")*Log!$F$4:$F$503*(1+Log!$G$4:$G$503/30)))=0,"",SUMPRODUCT(MAX((Log!$D$4:$D$503=$A50)*(Log!$B$4:$B$503=M$41)*(Log!$E$4:$E$503="A")*(Log!$F$4:$F$503&lt;&gt;"")*(Log!$G$4:$G$503&lt;&gt;"")*Log!$F$4:$F$503*(1+Log!$G$4:$G$503/30)))))</f>
        <v/>
      </c>
      <c r="N50" s="35" t="str">
        <f aca="false">IF($A50="","",IF(SUMPRODUCT(MAX((Log!$D$4:$D$503=$A50)*(Log!$B$4:$B$503=N$41)*(Log!$E$4:$E$503="A")*(Log!$F$4:$F$503&lt;&gt;"")*(Log!$G$4:$G$503&lt;&gt;"")*Log!$F$4:$F$503*(1+Log!$G$4:$G$503/30)))=0,"",SUMPRODUCT(MAX((Log!$D$4:$D$503=$A50)*(Log!$B$4:$B$503=N$41)*(Log!$E$4:$E$503="A")*(Log!$F$4:$F$503&lt;&gt;"")*(Log!$G$4:$G$503&lt;&gt;"")*Log!$F$4:$F$503*(1+Log!$G$4:$G$503/30)))))</f>
        <v/>
      </c>
      <c r="O50" s="35" t="str">
        <f aca="false">IF($A50="","",IF(SUMPRODUCT(MAX((Log!$D$4:$D$503=$A50)*(Log!$B$4:$B$503=O$41)*(Log!$E$4:$E$503="A")*(Log!$F$4:$F$503&lt;&gt;"")*(Log!$G$4:$G$503&lt;&gt;"")*Log!$F$4:$F$503*(1+Log!$G$4:$G$503/30)))=0,"",SUMPRODUCT(MAX((Log!$D$4:$D$503=$A50)*(Log!$B$4:$B$503=O$41)*(Log!$E$4:$E$503="A")*(Log!$F$4:$F$503&lt;&gt;"")*(Log!$G$4:$G$503&lt;&gt;"")*Log!$F$4:$F$503*(1+Log!$G$4:$G$503/30)))))</f>
        <v/>
      </c>
      <c r="P50" s="35" t="str">
        <f aca="false">IF($A50="","",IF(SUMPRODUCT(MAX((Log!$D$4:$D$503=$A50)*(Log!$B$4:$B$503=P$41)*(Log!$E$4:$E$503="A")*(Log!$F$4:$F$503&lt;&gt;"")*(Log!$G$4:$G$503&lt;&gt;"")*Log!$F$4:$F$503*(1+Log!$G$4:$G$503/30)))=0,"",SUMPRODUCT(MAX((Log!$D$4:$D$503=$A50)*(Log!$B$4:$B$503=P$41)*(Log!$E$4:$E$503="A")*(Log!$F$4:$F$503&lt;&gt;"")*(Log!$G$4:$G$503&lt;&gt;"")*Log!$F$4:$F$503*(1+Log!$G$4:$G$503/30)))))</f>
        <v/>
      </c>
      <c r="Q50" s="35" t="str">
        <f aca="false">IF($A50="","",IF(SUMPRODUCT(MAX((Log!$D$4:$D$503=$A50)*(Log!$B$4:$B$503=Q$41)*(Log!$E$4:$E$503="A")*(Log!$F$4:$F$503&lt;&gt;"")*(Log!$G$4:$G$503&lt;&gt;"")*Log!$F$4:$F$503*(1+Log!$G$4:$G$503/30)))=0,"",SUMPRODUCT(MAX((Log!$D$4:$D$503=$A50)*(Log!$B$4:$B$503=Q$41)*(Log!$E$4:$E$503="A")*(Log!$F$4:$F$503&lt;&gt;"")*(Log!$G$4:$G$503&lt;&gt;"")*Log!$F$4:$F$503*(1+Log!$G$4:$G$503/30)))))</f>
        <v/>
      </c>
      <c r="R50" s="36" t="n">
        <f aca="false">IF(COUNT(B50:Q50)=0,"",MAX(B50:Q50))</f>
        <v>210</v>
      </c>
    </row>
    <row r="51" customFormat="false" ht="16.5" hidden="false" customHeight="true" outlineLevel="0" collapsed="false">
      <c r="A51" s="33" t="str">
        <f aca="false">IF(Übungen!$A13="","",Übungen!$A13)</f>
        <v>Lunges</v>
      </c>
      <c r="B51" s="37" t="str">
        <f aca="false">IF($A51="","",IF(SUMPRODUCT(MAX((Log!$D$4:$D$503=$A51)*(Log!$B$4:$B$503=B$41)*(Log!$E$4:$E$503="A")*(Log!$F$4:$F$503&lt;&gt;"")*(Log!$G$4:$G$503&lt;&gt;"")*Log!$F$4:$F$503*(1+Log!$G$4:$G$503/30)))=0,"",SUMPRODUCT(MAX((Log!$D$4:$D$503=$A51)*(Log!$B$4:$B$503=B$41)*(Log!$E$4:$E$503="A")*(Log!$F$4:$F$503&lt;&gt;"")*(Log!$G$4:$G$503&lt;&gt;"")*Log!$F$4:$F$503*(1+Log!$G$4:$G$503/30)))))</f>
        <v/>
      </c>
      <c r="C51" s="37" t="str">
        <f aca="false">IF($A51="","",IF(SUMPRODUCT(MAX((Log!$D$4:$D$503=$A51)*(Log!$B$4:$B$503=C$41)*(Log!$E$4:$E$503="A")*(Log!$F$4:$F$503&lt;&gt;"")*(Log!$G$4:$G$503&lt;&gt;"")*Log!$F$4:$F$503*(1+Log!$G$4:$G$503/30)))=0,"",SUMPRODUCT(MAX((Log!$D$4:$D$503=$A51)*(Log!$B$4:$B$503=C$41)*(Log!$E$4:$E$503="A")*(Log!$F$4:$F$503&lt;&gt;"")*(Log!$G$4:$G$503&lt;&gt;"")*Log!$F$4:$F$503*(1+Log!$G$4:$G$503/30)))))</f>
        <v/>
      </c>
      <c r="D51" s="37" t="str">
        <f aca="false">IF($A51="","",IF(SUMPRODUCT(MAX((Log!$D$4:$D$503=$A51)*(Log!$B$4:$B$503=D$41)*(Log!$E$4:$E$503="A")*(Log!$F$4:$F$503&lt;&gt;"")*(Log!$G$4:$G$503&lt;&gt;"")*Log!$F$4:$F$503*(1+Log!$G$4:$G$503/30)))=0,"",SUMPRODUCT(MAX((Log!$D$4:$D$503=$A51)*(Log!$B$4:$B$503=D$41)*(Log!$E$4:$E$503="A")*(Log!$F$4:$F$503&lt;&gt;"")*(Log!$G$4:$G$503&lt;&gt;"")*Log!$F$4:$F$503*(1+Log!$G$4:$G$503/30)))))</f>
        <v/>
      </c>
      <c r="E51" s="37" t="str">
        <f aca="false">IF($A51="","",IF(SUMPRODUCT(MAX((Log!$D$4:$D$503=$A51)*(Log!$B$4:$B$503=E$41)*(Log!$E$4:$E$503="A")*(Log!$F$4:$F$503&lt;&gt;"")*(Log!$G$4:$G$503&lt;&gt;"")*Log!$F$4:$F$503*(1+Log!$G$4:$G$503/30)))=0,"",SUMPRODUCT(MAX((Log!$D$4:$D$503=$A51)*(Log!$B$4:$B$503=E$41)*(Log!$E$4:$E$503="A")*(Log!$F$4:$F$503&lt;&gt;"")*(Log!$G$4:$G$503&lt;&gt;"")*Log!$F$4:$F$503*(1+Log!$G$4:$G$503/30)))))</f>
        <v/>
      </c>
      <c r="F51" s="37" t="str">
        <f aca="false">IF($A51="","",IF(SUMPRODUCT(MAX((Log!$D$4:$D$503=$A51)*(Log!$B$4:$B$503=F$41)*(Log!$E$4:$E$503="A")*(Log!$F$4:$F$503&lt;&gt;"")*(Log!$G$4:$G$503&lt;&gt;"")*Log!$F$4:$F$503*(1+Log!$G$4:$G$503/30)))=0,"",SUMPRODUCT(MAX((Log!$D$4:$D$503=$A51)*(Log!$B$4:$B$503=F$41)*(Log!$E$4:$E$503="A")*(Log!$F$4:$F$503&lt;&gt;"")*(Log!$G$4:$G$503&lt;&gt;"")*Log!$F$4:$F$503*(1+Log!$G$4:$G$503/30)))))</f>
        <v/>
      </c>
      <c r="G51" s="37" t="str">
        <f aca="false">IF($A51="","",IF(SUMPRODUCT(MAX((Log!$D$4:$D$503=$A51)*(Log!$B$4:$B$503=G$41)*(Log!$E$4:$E$503="A")*(Log!$F$4:$F$503&lt;&gt;"")*(Log!$G$4:$G$503&lt;&gt;"")*Log!$F$4:$F$503*(1+Log!$G$4:$G$503/30)))=0,"",SUMPRODUCT(MAX((Log!$D$4:$D$503=$A51)*(Log!$B$4:$B$503=G$41)*(Log!$E$4:$E$503="A")*(Log!$F$4:$F$503&lt;&gt;"")*(Log!$G$4:$G$503&lt;&gt;"")*Log!$F$4:$F$503*(1+Log!$G$4:$G$503/30)))))</f>
        <v/>
      </c>
      <c r="H51" s="37" t="str">
        <f aca="false">IF($A51="","",IF(SUMPRODUCT(MAX((Log!$D$4:$D$503=$A51)*(Log!$B$4:$B$503=H$41)*(Log!$E$4:$E$503="A")*(Log!$F$4:$F$503&lt;&gt;"")*(Log!$G$4:$G$503&lt;&gt;"")*Log!$F$4:$F$503*(1+Log!$G$4:$G$503/30)))=0,"",SUMPRODUCT(MAX((Log!$D$4:$D$503=$A51)*(Log!$B$4:$B$503=H$41)*(Log!$E$4:$E$503="A")*(Log!$F$4:$F$503&lt;&gt;"")*(Log!$G$4:$G$503&lt;&gt;"")*Log!$F$4:$F$503*(1+Log!$G$4:$G$503/30)))))</f>
        <v/>
      </c>
      <c r="I51" s="37" t="str">
        <f aca="false">IF($A51="","",IF(SUMPRODUCT(MAX((Log!$D$4:$D$503=$A51)*(Log!$B$4:$B$503=I$41)*(Log!$E$4:$E$503="A")*(Log!$F$4:$F$503&lt;&gt;"")*(Log!$G$4:$G$503&lt;&gt;"")*Log!$F$4:$F$503*(1+Log!$G$4:$G$503/30)))=0,"",SUMPRODUCT(MAX((Log!$D$4:$D$503=$A51)*(Log!$B$4:$B$503=I$41)*(Log!$E$4:$E$503="A")*(Log!$F$4:$F$503&lt;&gt;"")*(Log!$G$4:$G$503&lt;&gt;"")*Log!$F$4:$F$503*(1+Log!$G$4:$G$503/30)))))</f>
        <v/>
      </c>
      <c r="J51" s="37" t="str">
        <f aca="false">IF($A51="","",IF(SUMPRODUCT(MAX((Log!$D$4:$D$503=$A51)*(Log!$B$4:$B$503=J$41)*(Log!$E$4:$E$503="A")*(Log!$F$4:$F$503&lt;&gt;"")*(Log!$G$4:$G$503&lt;&gt;"")*Log!$F$4:$F$503*(1+Log!$G$4:$G$503/30)))=0,"",SUMPRODUCT(MAX((Log!$D$4:$D$503=$A51)*(Log!$B$4:$B$503=J$41)*(Log!$E$4:$E$503="A")*(Log!$F$4:$F$503&lt;&gt;"")*(Log!$G$4:$G$503&lt;&gt;"")*Log!$F$4:$F$503*(1+Log!$G$4:$G$503/30)))))</f>
        <v/>
      </c>
      <c r="K51" s="37" t="str">
        <f aca="false">IF($A51="","",IF(SUMPRODUCT(MAX((Log!$D$4:$D$503=$A51)*(Log!$B$4:$B$503=K$41)*(Log!$E$4:$E$503="A")*(Log!$F$4:$F$503&lt;&gt;"")*(Log!$G$4:$G$503&lt;&gt;"")*Log!$F$4:$F$503*(1+Log!$G$4:$G$503/30)))=0,"",SUMPRODUCT(MAX((Log!$D$4:$D$503=$A51)*(Log!$B$4:$B$503=K$41)*(Log!$E$4:$E$503="A")*(Log!$F$4:$F$503&lt;&gt;"")*(Log!$G$4:$G$503&lt;&gt;"")*Log!$F$4:$F$503*(1+Log!$G$4:$G$503/30)))))</f>
        <v/>
      </c>
      <c r="L51" s="37" t="str">
        <f aca="false">IF($A51="","",IF(SUMPRODUCT(MAX((Log!$D$4:$D$503=$A51)*(Log!$B$4:$B$503=L$41)*(Log!$E$4:$E$503="A")*(Log!$F$4:$F$503&lt;&gt;"")*(Log!$G$4:$G$503&lt;&gt;"")*Log!$F$4:$F$503*(1+Log!$G$4:$G$503/30)))=0,"",SUMPRODUCT(MAX((Log!$D$4:$D$503=$A51)*(Log!$B$4:$B$503=L$41)*(Log!$E$4:$E$503="A")*(Log!$F$4:$F$503&lt;&gt;"")*(Log!$G$4:$G$503&lt;&gt;"")*Log!$F$4:$F$503*(1+Log!$G$4:$G$503/30)))))</f>
        <v/>
      </c>
      <c r="M51" s="37" t="str">
        <f aca="false">IF($A51="","",IF(SUMPRODUCT(MAX((Log!$D$4:$D$503=$A51)*(Log!$B$4:$B$503=M$41)*(Log!$E$4:$E$503="A")*(Log!$F$4:$F$503&lt;&gt;"")*(Log!$G$4:$G$503&lt;&gt;"")*Log!$F$4:$F$503*(1+Log!$G$4:$G$503/30)))=0,"",SUMPRODUCT(MAX((Log!$D$4:$D$503=$A51)*(Log!$B$4:$B$503=M$41)*(Log!$E$4:$E$503="A")*(Log!$F$4:$F$503&lt;&gt;"")*(Log!$G$4:$G$503&lt;&gt;"")*Log!$F$4:$F$503*(1+Log!$G$4:$G$503/30)))))</f>
        <v/>
      </c>
      <c r="N51" s="37" t="str">
        <f aca="false">IF($A51="","",IF(SUMPRODUCT(MAX((Log!$D$4:$D$503=$A51)*(Log!$B$4:$B$503=N$41)*(Log!$E$4:$E$503="A")*(Log!$F$4:$F$503&lt;&gt;"")*(Log!$G$4:$G$503&lt;&gt;"")*Log!$F$4:$F$503*(1+Log!$G$4:$G$503/30)))=0,"",SUMPRODUCT(MAX((Log!$D$4:$D$503=$A51)*(Log!$B$4:$B$503=N$41)*(Log!$E$4:$E$503="A")*(Log!$F$4:$F$503&lt;&gt;"")*(Log!$G$4:$G$503&lt;&gt;"")*Log!$F$4:$F$503*(1+Log!$G$4:$G$503/30)))))</f>
        <v/>
      </c>
      <c r="O51" s="37" t="str">
        <f aca="false">IF($A51="","",IF(SUMPRODUCT(MAX((Log!$D$4:$D$503=$A51)*(Log!$B$4:$B$503=O$41)*(Log!$E$4:$E$503="A")*(Log!$F$4:$F$503&lt;&gt;"")*(Log!$G$4:$G$503&lt;&gt;"")*Log!$F$4:$F$503*(1+Log!$G$4:$G$503/30)))=0,"",SUMPRODUCT(MAX((Log!$D$4:$D$503=$A51)*(Log!$B$4:$B$503=O$41)*(Log!$E$4:$E$503="A")*(Log!$F$4:$F$503&lt;&gt;"")*(Log!$G$4:$G$503&lt;&gt;"")*Log!$F$4:$F$503*(1+Log!$G$4:$G$503/30)))))</f>
        <v/>
      </c>
      <c r="P51" s="37" t="str">
        <f aca="false">IF($A51="","",IF(SUMPRODUCT(MAX((Log!$D$4:$D$503=$A51)*(Log!$B$4:$B$503=P$41)*(Log!$E$4:$E$503="A")*(Log!$F$4:$F$503&lt;&gt;"")*(Log!$G$4:$G$503&lt;&gt;"")*Log!$F$4:$F$503*(1+Log!$G$4:$G$503/30)))=0,"",SUMPRODUCT(MAX((Log!$D$4:$D$503=$A51)*(Log!$B$4:$B$503=P$41)*(Log!$E$4:$E$503="A")*(Log!$F$4:$F$503&lt;&gt;"")*(Log!$G$4:$G$503&lt;&gt;"")*Log!$F$4:$F$503*(1+Log!$G$4:$G$503/30)))))</f>
        <v/>
      </c>
      <c r="Q51" s="37" t="str">
        <f aca="false">IF($A51="","",IF(SUMPRODUCT(MAX((Log!$D$4:$D$503=$A51)*(Log!$B$4:$B$503=Q$41)*(Log!$E$4:$E$503="A")*(Log!$F$4:$F$503&lt;&gt;"")*(Log!$G$4:$G$503&lt;&gt;"")*Log!$F$4:$F$503*(1+Log!$G$4:$G$503/30)))=0,"",SUMPRODUCT(MAX((Log!$D$4:$D$503=$A51)*(Log!$B$4:$B$503=Q$41)*(Log!$E$4:$E$503="A")*(Log!$F$4:$F$503&lt;&gt;"")*(Log!$G$4:$G$503&lt;&gt;"")*Log!$F$4:$F$503*(1+Log!$G$4:$G$503/30)))))</f>
        <v/>
      </c>
      <c r="R51" s="36" t="str">
        <f aca="false">IF(COUNT(B51:Q51)=0,"",MAX(B51:Q51))</f>
        <v/>
      </c>
    </row>
    <row r="52" customFormat="false" ht="16.5" hidden="false" customHeight="true" outlineLevel="0" collapsed="false">
      <c r="A52" s="30" t="str">
        <f aca="false">IF(Übungen!$A14="","",Übungen!$A14)</f>
        <v>Kickback</v>
      </c>
      <c r="B52" s="35" t="n">
        <f aca="false">IF($A52="","",IF(SUMPRODUCT(MAX((Log!$D$4:$D$503=$A52)*(Log!$B$4:$B$503=B$41)*(Log!$E$4:$E$503="A")*(Log!$F$4:$F$503&lt;&gt;"")*(Log!$G$4:$G$503&lt;&gt;"")*Log!$F$4:$F$503*(1+Log!$G$4:$G$503/30)))=0,"",SUMPRODUCT(MAX((Log!$D$4:$D$503=$A52)*(Log!$B$4:$B$503=B$41)*(Log!$E$4:$E$503="A")*(Log!$F$4:$F$503&lt;&gt;"")*(Log!$G$4:$G$503&lt;&gt;"")*Log!$F$4:$F$503*(1+Log!$G$4:$G$503/30)))))</f>
        <v>107.8</v>
      </c>
      <c r="C52" s="35" t="n">
        <f aca="false">IF($A52="","",IF(SUMPRODUCT(MAX((Log!$D$4:$D$503=$A52)*(Log!$B$4:$B$503=C$41)*(Log!$E$4:$E$503="A")*(Log!$F$4:$F$503&lt;&gt;"")*(Log!$G$4:$G$503&lt;&gt;"")*Log!$F$4:$F$503*(1+Log!$G$4:$G$503/30)))=0,"",SUMPRODUCT(MAX((Log!$D$4:$D$503=$A52)*(Log!$B$4:$B$503=C$41)*(Log!$E$4:$E$503="A")*(Log!$F$4:$F$503&lt;&gt;"")*(Log!$G$4:$G$503&lt;&gt;"")*Log!$F$4:$F$503*(1+Log!$G$4:$G$503/30)))))</f>
        <v>102.666666666667</v>
      </c>
      <c r="D52" s="35" t="n">
        <f aca="false">IF($A52="","",IF(SUMPRODUCT(MAX((Log!$D$4:$D$503=$A52)*(Log!$B$4:$B$503=D$41)*(Log!$E$4:$E$503="A")*(Log!$F$4:$F$503&lt;&gt;"")*(Log!$G$4:$G$503&lt;&gt;"")*Log!$F$4:$F$503*(1+Log!$G$4:$G$503/30)))=0,"",SUMPRODUCT(MAX((Log!$D$4:$D$503=$A52)*(Log!$B$4:$B$503=D$41)*(Log!$E$4:$E$503="A")*(Log!$F$4:$F$503&lt;&gt;"")*(Log!$G$4:$G$503&lt;&gt;"")*Log!$F$4:$F$503*(1+Log!$G$4:$G$503/30)))))</f>
        <v>117.6</v>
      </c>
      <c r="E52" s="35" t="n">
        <f aca="false">IF($A52="","",IF(SUMPRODUCT(MAX((Log!$D$4:$D$503=$A52)*(Log!$B$4:$B$503=E$41)*(Log!$E$4:$E$503="A")*(Log!$F$4:$F$503&lt;&gt;"")*(Log!$G$4:$G$503&lt;&gt;"")*Log!$F$4:$F$503*(1+Log!$G$4:$G$503/30)))=0,"",SUMPRODUCT(MAX((Log!$D$4:$D$503=$A52)*(Log!$B$4:$B$503=E$41)*(Log!$E$4:$E$503="A")*(Log!$F$4:$F$503&lt;&gt;"")*(Log!$G$4:$G$503&lt;&gt;"")*Log!$F$4:$F$503*(1+Log!$G$4:$G$503/30)))))</f>
        <v>94.5</v>
      </c>
      <c r="F52" s="35" t="str">
        <f aca="false">IF($A52="","",IF(SUMPRODUCT(MAX((Log!$D$4:$D$503=$A52)*(Log!$B$4:$B$503=F$41)*(Log!$E$4:$E$503="A")*(Log!$F$4:$F$503&lt;&gt;"")*(Log!$G$4:$G$503&lt;&gt;"")*Log!$F$4:$F$503*(1+Log!$G$4:$G$503/30)))=0,"",SUMPRODUCT(MAX((Log!$D$4:$D$503=$A52)*(Log!$B$4:$B$503=F$41)*(Log!$E$4:$E$503="A")*(Log!$F$4:$F$503&lt;&gt;"")*(Log!$G$4:$G$503&lt;&gt;"")*Log!$F$4:$F$503*(1+Log!$G$4:$G$503/30)))))</f>
        <v/>
      </c>
      <c r="G52" s="35" t="str">
        <f aca="false">IF($A52="","",IF(SUMPRODUCT(MAX((Log!$D$4:$D$503=$A52)*(Log!$B$4:$B$503=G$41)*(Log!$E$4:$E$503="A")*(Log!$F$4:$F$503&lt;&gt;"")*(Log!$G$4:$G$503&lt;&gt;"")*Log!$F$4:$F$503*(1+Log!$G$4:$G$503/30)))=0,"",SUMPRODUCT(MAX((Log!$D$4:$D$503=$A52)*(Log!$B$4:$B$503=G$41)*(Log!$E$4:$E$503="A")*(Log!$F$4:$F$503&lt;&gt;"")*(Log!$G$4:$G$503&lt;&gt;"")*Log!$F$4:$F$503*(1+Log!$G$4:$G$503/30)))))</f>
        <v/>
      </c>
      <c r="H52" s="35" t="str">
        <f aca="false">IF($A52="","",IF(SUMPRODUCT(MAX((Log!$D$4:$D$503=$A52)*(Log!$B$4:$B$503=H$41)*(Log!$E$4:$E$503="A")*(Log!$F$4:$F$503&lt;&gt;"")*(Log!$G$4:$G$503&lt;&gt;"")*Log!$F$4:$F$503*(1+Log!$G$4:$G$503/30)))=0,"",SUMPRODUCT(MAX((Log!$D$4:$D$503=$A52)*(Log!$B$4:$B$503=H$41)*(Log!$E$4:$E$503="A")*(Log!$F$4:$F$503&lt;&gt;"")*(Log!$G$4:$G$503&lt;&gt;"")*Log!$F$4:$F$503*(1+Log!$G$4:$G$503/30)))))</f>
        <v/>
      </c>
      <c r="I52" s="35" t="str">
        <f aca="false">IF($A52="","",IF(SUMPRODUCT(MAX((Log!$D$4:$D$503=$A52)*(Log!$B$4:$B$503=I$41)*(Log!$E$4:$E$503="A")*(Log!$F$4:$F$503&lt;&gt;"")*(Log!$G$4:$G$503&lt;&gt;"")*Log!$F$4:$F$503*(1+Log!$G$4:$G$503/30)))=0,"",SUMPRODUCT(MAX((Log!$D$4:$D$503=$A52)*(Log!$B$4:$B$503=I$41)*(Log!$E$4:$E$503="A")*(Log!$F$4:$F$503&lt;&gt;"")*(Log!$G$4:$G$503&lt;&gt;"")*Log!$F$4:$F$503*(1+Log!$G$4:$G$503/30)))))</f>
        <v/>
      </c>
      <c r="J52" s="35" t="str">
        <f aca="false">IF($A52="","",IF(SUMPRODUCT(MAX((Log!$D$4:$D$503=$A52)*(Log!$B$4:$B$503=J$41)*(Log!$E$4:$E$503="A")*(Log!$F$4:$F$503&lt;&gt;"")*(Log!$G$4:$G$503&lt;&gt;"")*Log!$F$4:$F$503*(1+Log!$G$4:$G$503/30)))=0,"",SUMPRODUCT(MAX((Log!$D$4:$D$503=$A52)*(Log!$B$4:$B$503=J$41)*(Log!$E$4:$E$503="A")*(Log!$F$4:$F$503&lt;&gt;"")*(Log!$G$4:$G$503&lt;&gt;"")*Log!$F$4:$F$503*(1+Log!$G$4:$G$503/30)))))</f>
        <v/>
      </c>
      <c r="K52" s="35" t="str">
        <f aca="false">IF($A52="","",IF(SUMPRODUCT(MAX((Log!$D$4:$D$503=$A52)*(Log!$B$4:$B$503=K$41)*(Log!$E$4:$E$503="A")*(Log!$F$4:$F$503&lt;&gt;"")*(Log!$G$4:$G$503&lt;&gt;"")*Log!$F$4:$F$503*(1+Log!$G$4:$G$503/30)))=0,"",SUMPRODUCT(MAX((Log!$D$4:$D$503=$A52)*(Log!$B$4:$B$503=K$41)*(Log!$E$4:$E$503="A")*(Log!$F$4:$F$503&lt;&gt;"")*(Log!$G$4:$G$503&lt;&gt;"")*Log!$F$4:$F$503*(1+Log!$G$4:$G$503/30)))))</f>
        <v/>
      </c>
      <c r="L52" s="35" t="str">
        <f aca="false">IF($A52="","",IF(SUMPRODUCT(MAX((Log!$D$4:$D$503=$A52)*(Log!$B$4:$B$503=L$41)*(Log!$E$4:$E$503="A")*(Log!$F$4:$F$503&lt;&gt;"")*(Log!$G$4:$G$503&lt;&gt;"")*Log!$F$4:$F$503*(1+Log!$G$4:$G$503/30)))=0,"",SUMPRODUCT(MAX((Log!$D$4:$D$503=$A52)*(Log!$B$4:$B$503=L$41)*(Log!$E$4:$E$503="A")*(Log!$F$4:$F$503&lt;&gt;"")*(Log!$G$4:$G$503&lt;&gt;"")*Log!$F$4:$F$503*(1+Log!$G$4:$G$503/30)))))</f>
        <v/>
      </c>
      <c r="M52" s="35" t="str">
        <f aca="false">IF($A52="","",IF(SUMPRODUCT(MAX((Log!$D$4:$D$503=$A52)*(Log!$B$4:$B$503=M$41)*(Log!$E$4:$E$503="A")*(Log!$F$4:$F$503&lt;&gt;"")*(Log!$G$4:$G$503&lt;&gt;"")*Log!$F$4:$F$503*(1+Log!$G$4:$G$503/30)))=0,"",SUMPRODUCT(MAX((Log!$D$4:$D$503=$A52)*(Log!$B$4:$B$503=M$41)*(Log!$E$4:$E$503="A")*(Log!$F$4:$F$503&lt;&gt;"")*(Log!$G$4:$G$503&lt;&gt;"")*Log!$F$4:$F$503*(1+Log!$G$4:$G$503/30)))))</f>
        <v/>
      </c>
      <c r="N52" s="35" t="str">
        <f aca="false">IF($A52="","",IF(SUMPRODUCT(MAX((Log!$D$4:$D$503=$A52)*(Log!$B$4:$B$503=N$41)*(Log!$E$4:$E$503="A")*(Log!$F$4:$F$503&lt;&gt;"")*(Log!$G$4:$G$503&lt;&gt;"")*Log!$F$4:$F$503*(1+Log!$G$4:$G$503/30)))=0,"",SUMPRODUCT(MAX((Log!$D$4:$D$503=$A52)*(Log!$B$4:$B$503=N$41)*(Log!$E$4:$E$503="A")*(Log!$F$4:$F$503&lt;&gt;"")*(Log!$G$4:$G$503&lt;&gt;"")*Log!$F$4:$F$503*(1+Log!$G$4:$G$503/30)))))</f>
        <v/>
      </c>
      <c r="O52" s="35" t="str">
        <f aca="false">IF($A52="","",IF(SUMPRODUCT(MAX((Log!$D$4:$D$503=$A52)*(Log!$B$4:$B$503=O$41)*(Log!$E$4:$E$503="A")*(Log!$F$4:$F$503&lt;&gt;"")*(Log!$G$4:$G$503&lt;&gt;"")*Log!$F$4:$F$503*(1+Log!$G$4:$G$503/30)))=0,"",SUMPRODUCT(MAX((Log!$D$4:$D$503=$A52)*(Log!$B$4:$B$503=O$41)*(Log!$E$4:$E$503="A")*(Log!$F$4:$F$503&lt;&gt;"")*(Log!$G$4:$G$503&lt;&gt;"")*Log!$F$4:$F$503*(1+Log!$G$4:$G$503/30)))))</f>
        <v/>
      </c>
      <c r="P52" s="35" t="str">
        <f aca="false">IF($A52="","",IF(SUMPRODUCT(MAX((Log!$D$4:$D$503=$A52)*(Log!$B$4:$B$503=P$41)*(Log!$E$4:$E$503="A")*(Log!$F$4:$F$503&lt;&gt;"")*(Log!$G$4:$G$503&lt;&gt;"")*Log!$F$4:$F$503*(1+Log!$G$4:$G$503/30)))=0,"",SUMPRODUCT(MAX((Log!$D$4:$D$503=$A52)*(Log!$B$4:$B$503=P$41)*(Log!$E$4:$E$503="A")*(Log!$F$4:$F$503&lt;&gt;"")*(Log!$G$4:$G$503&lt;&gt;"")*Log!$F$4:$F$503*(1+Log!$G$4:$G$503/30)))))</f>
        <v/>
      </c>
      <c r="Q52" s="35" t="str">
        <f aca="false">IF($A52="","",IF(SUMPRODUCT(MAX((Log!$D$4:$D$503=$A52)*(Log!$B$4:$B$503=Q$41)*(Log!$E$4:$E$503="A")*(Log!$F$4:$F$503&lt;&gt;"")*(Log!$G$4:$G$503&lt;&gt;"")*Log!$F$4:$F$503*(1+Log!$G$4:$G$503/30)))=0,"",SUMPRODUCT(MAX((Log!$D$4:$D$503=$A52)*(Log!$B$4:$B$503=Q$41)*(Log!$E$4:$E$503="A")*(Log!$F$4:$F$503&lt;&gt;"")*(Log!$G$4:$G$503&lt;&gt;"")*Log!$F$4:$F$503*(1+Log!$G$4:$G$503/30)))))</f>
        <v/>
      </c>
      <c r="R52" s="36" t="n">
        <f aca="false">IF(COUNT(B52:Q52)=0,"",MAX(B52:Q52))</f>
        <v>117.6</v>
      </c>
    </row>
    <row r="53" customFormat="false" ht="16.5" hidden="false" customHeight="true" outlineLevel="0" collapsed="false">
      <c r="A53" s="33" t="str">
        <f aca="false">IF(Übungen!$A15="","",Übungen!$A15)</f>
        <v/>
      </c>
      <c r="B53" s="37" t="str">
        <f aca="false">IF($A53="","",IF(SUMPRODUCT(MAX((Log!$D$4:$D$503=$A53)*(Log!$B$4:$B$503=B$41)*(Log!$E$4:$E$503="A")*(Log!$F$4:$F$503&lt;&gt;"")*(Log!$G$4:$G$503&lt;&gt;"")*Log!$F$4:$F$503*(1+Log!$G$4:$G$503/30)))=0,"",SUMPRODUCT(MAX((Log!$D$4:$D$503=$A53)*(Log!$B$4:$B$503=B$41)*(Log!$E$4:$E$503="A")*(Log!$F$4:$F$503&lt;&gt;"")*(Log!$G$4:$G$503&lt;&gt;"")*Log!$F$4:$F$503*(1+Log!$G$4:$G$503/30)))))</f>
        <v/>
      </c>
      <c r="C53" s="37" t="str">
        <f aca="false">IF($A53="","",IF(SUMPRODUCT(MAX((Log!$D$4:$D$503=$A53)*(Log!$B$4:$B$503=C$41)*(Log!$E$4:$E$503="A")*(Log!$F$4:$F$503&lt;&gt;"")*(Log!$G$4:$G$503&lt;&gt;"")*Log!$F$4:$F$503*(1+Log!$G$4:$G$503/30)))=0,"",SUMPRODUCT(MAX((Log!$D$4:$D$503=$A53)*(Log!$B$4:$B$503=C$41)*(Log!$E$4:$E$503="A")*(Log!$F$4:$F$503&lt;&gt;"")*(Log!$G$4:$G$503&lt;&gt;"")*Log!$F$4:$F$503*(1+Log!$G$4:$G$503/30)))))</f>
        <v/>
      </c>
      <c r="D53" s="37" t="str">
        <f aca="false">IF($A53="","",IF(SUMPRODUCT(MAX((Log!$D$4:$D$503=$A53)*(Log!$B$4:$B$503=D$41)*(Log!$E$4:$E$503="A")*(Log!$F$4:$F$503&lt;&gt;"")*(Log!$G$4:$G$503&lt;&gt;"")*Log!$F$4:$F$503*(1+Log!$G$4:$G$503/30)))=0,"",SUMPRODUCT(MAX((Log!$D$4:$D$503=$A53)*(Log!$B$4:$B$503=D$41)*(Log!$E$4:$E$503="A")*(Log!$F$4:$F$503&lt;&gt;"")*(Log!$G$4:$G$503&lt;&gt;"")*Log!$F$4:$F$503*(1+Log!$G$4:$G$503/30)))))</f>
        <v/>
      </c>
      <c r="E53" s="37" t="str">
        <f aca="false">IF($A53="","",IF(SUMPRODUCT(MAX((Log!$D$4:$D$503=$A53)*(Log!$B$4:$B$503=E$41)*(Log!$E$4:$E$503="A")*(Log!$F$4:$F$503&lt;&gt;"")*(Log!$G$4:$G$503&lt;&gt;"")*Log!$F$4:$F$503*(1+Log!$G$4:$G$503/30)))=0,"",SUMPRODUCT(MAX((Log!$D$4:$D$503=$A53)*(Log!$B$4:$B$503=E$41)*(Log!$E$4:$E$503="A")*(Log!$F$4:$F$503&lt;&gt;"")*(Log!$G$4:$G$503&lt;&gt;"")*Log!$F$4:$F$503*(1+Log!$G$4:$G$503/30)))))</f>
        <v/>
      </c>
      <c r="F53" s="37" t="str">
        <f aca="false">IF($A53="","",IF(SUMPRODUCT(MAX((Log!$D$4:$D$503=$A53)*(Log!$B$4:$B$503=F$41)*(Log!$E$4:$E$503="A")*(Log!$F$4:$F$503&lt;&gt;"")*(Log!$G$4:$G$503&lt;&gt;"")*Log!$F$4:$F$503*(1+Log!$G$4:$G$503/30)))=0,"",SUMPRODUCT(MAX((Log!$D$4:$D$503=$A53)*(Log!$B$4:$B$503=F$41)*(Log!$E$4:$E$503="A")*(Log!$F$4:$F$503&lt;&gt;"")*(Log!$G$4:$G$503&lt;&gt;"")*Log!$F$4:$F$503*(1+Log!$G$4:$G$503/30)))))</f>
        <v/>
      </c>
      <c r="G53" s="37" t="str">
        <f aca="false">IF($A53="","",IF(SUMPRODUCT(MAX((Log!$D$4:$D$503=$A53)*(Log!$B$4:$B$503=G$41)*(Log!$E$4:$E$503="A")*(Log!$F$4:$F$503&lt;&gt;"")*(Log!$G$4:$G$503&lt;&gt;"")*Log!$F$4:$F$503*(1+Log!$G$4:$G$503/30)))=0,"",SUMPRODUCT(MAX((Log!$D$4:$D$503=$A53)*(Log!$B$4:$B$503=G$41)*(Log!$E$4:$E$503="A")*(Log!$F$4:$F$503&lt;&gt;"")*(Log!$G$4:$G$503&lt;&gt;"")*Log!$F$4:$F$503*(1+Log!$G$4:$G$503/30)))))</f>
        <v/>
      </c>
      <c r="H53" s="37" t="str">
        <f aca="false">IF($A53="","",IF(SUMPRODUCT(MAX((Log!$D$4:$D$503=$A53)*(Log!$B$4:$B$503=H$41)*(Log!$E$4:$E$503="A")*(Log!$F$4:$F$503&lt;&gt;"")*(Log!$G$4:$G$503&lt;&gt;"")*Log!$F$4:$F$503*(1+Log!$G$4:$G$503/30)))=0,"",SUMPRODUCT(MAX((Log!$D$4:$D$503=$A53)*(Log!$B$4:$B$503=H$41)*(Log!$E$4:$E$503="A")*(Log!$F$4:$F$503&lt;&gt;"")*(Log!$G$4:$G$503&lt;&gt;"")*Log!$F$4:$F$503*(1+Log!$G$4:$G$503/30)))))</f>
        <v/>
      </c>
      <c r="I53" s="37" t="str">
        <f aca="false">IF($A53="","",IF(SUMPRODUCT(MAX((Log!$D$4:$D$503=$A53)*(Log!$B$4:$B$503=I$41)*(Log!$E$4:$E$503="A")*(Log!$F$4:$F$503&lt;&gt;"")*(Log!$G$4:$G$503&lt;&gt;"")*Log!$F$4:$F$503*(1+Log!$G$4:$G$503/30)))=0,"",SUMPRODUCT(MAX((Log!$D$4:$D$503=$A53)*(Log!$B$4:$B$503=I$41)*(Log!$E$4:$E$503="A")*(Log!$F$4:$F$503&lt;&gt;"")*(Log!$G$4:$G$503&lt;&gt;"")*Log!$F$4:$F$503*(1+Log!$G$4:$G$503/30)))))</f>
        <v/>
      </c>
      <c r="J53" s="37" t="str">
        <f aca="false">IF($A53="","",IF(SUMPRODUCT(MAX((Log!$D$4:$D$503=$A53)*(Log!$B$4:$B$503=J$41)*(Log!$E$4:$E$503="A")*(Log!$F$4:$F$503&lt;&gt;"")*(Log!$G$4:$G$503&lt;&gt;"")*Log!$F$4:$F$503*(1+Log!$G$4:$G$503/30)))=0,"",SUMPRODUCT(MAX((Log!$D$4:$D$503=$A53)*(Log!$B$4:$B$503=J$41)*(Log!$E$4:$E$503="A")*(Log!$F$4:$F$503&lt;&gt;"")*(Log!$G$4:$G$503&lt;&gt;"")*Log!$F$4:$F$503*(1+Log!$G$4:$G$503/30)))))</f>
        <v/>
      </c>
      <c r="K53" s="37" t="str">
        <f aca="false">IF($A53="","",IF(SUMPRODUCT(MAX((Log!$D$4:$D$503=$A53)*(Log!$B$4:$B$503=K$41)*(Log!$E$4:$E$503="A")*(Log!$F$4:$F$503&lt;&gt;"")*(Log!$G$4:$G$503&lt;&gt;"")*Log!$F$4:$F$503*(1+Log!$G$4:$G$503/30)))=0,"",SUMPRODUCT(MAX((Log!$D$4:$D$503=$A53)*(Log!$B$4:$B$503=K$41)*(Log!$E$4:$E$503="A")*(Log!$F$4:$F$503&lt;&gt;"")*(Log!$G$4:$G$503&lt;&gt;"")*Log!$F$4:$F$503*(1+Log!$G$4:$G$503/30)))))</f>
        <v/>
      </c>
      <c r="L53" s="37" t="str">
        <f aca="false">IF($A53="","",IF(SUMPRODUCT(MAX((Log!$D$4:$D$503=$A53)*(Log!$B$4:$B$503=L$41)*(Log!$E$4:$E$503="A")*(Log!$F$4:$F$503&lt;&gt;"")*(Log!$G$4:$G$503&lt;&gt;"")*Log!$F$4:$F$503*(1+Log!$G$4:$G$503/30)))=0,"",SUMPRODUCT(MAX((Log!$D$4:$D$503=$A53)*(Log!$B$4:$B$503=L$41)*(Log!$E$4:$E$503="A")*(Log!$F$4:$F$503&lt;&gt;"")*(Log!$G$4:$G$503&lt;&gt;"")*Log!$F$4:$F$503*(1+Log!$G$4:$G$503/30)))))</f>
        <v/>
      </c>
      <c r="M53" s="37" t="str">
        <f aca="false">IF($A53="","",IF(SUMPRODUCT(MAX((Log!$D$4:$D$503=$A53)*(Log!$B$4:$B$503=M$41)*(Log!$E$4:$E$503="A")*(Log!$F$4:$F$503&lt;&gt;"")*(Log!$G$4:$G$503&lt;&gt;"")*Log!$F$4:$F$503*(1+Log!$G$4:$G$503/30)))=0,"",SUMPRODUCT(MAX((Log!$D$4:$D$503=$A53)*(Log!$B$4:$B$503=M$41)*(Log!$E$4:$E$503="A")*(Log!$F$4:$F$503&lt;&gt;"")*(Log!$G$4:$G$503&lt;&gt;"")*Log!$F$4:$F$503*(1+Log!$G$4:$G$503/30)))))</f>
        <v/>
      </c>
      <c r="N53" s="37" t="str">
        <f aca="false">IF($A53="","",IF(SUMPRODUCT(MAX((Log!$D$4:$D$503=$A53)*(Log!$B$4:$B$503=N$41)*(Log!$E$4:$E$503="A")*(Log!$F$4:$F$503&lt;&gt;"")*(Log!$G$4:$G$503&lt;&gt;"")*Log!$F$4:$F$503*(1+Log!$G$4:$G$503/30)))=0,"",SUMPRODUCT(MAX((Log!$D$4:$D$503=$A53)*(Log!$B$4:$B$503=N$41)*(Log!$E$4:$E$503="A")*(Log!$F$4:$F$503&lt;&gt;"")*(Log!$G$4:$G$503&lt;&gt;"")*Log!$F$4:$F$503*(1+Log!$G$4:$G$503/30)))))</f>
        <v/>
      </c>
      <c r="O53" s="37" t="str">
        <f aca="false">IF($A53="","",IF(SUMPRODUCT(MAX((Log!$D$4:$D$503=$A53)*(Log!$B$4:$B$503=O$41)*(Log!$E$4:$E$503="A")*(Log!$F$4:$F$503&lt;&gt;"")*(Log!$G$4:$G$503&lt;&gt;"")*Log!$F$4:$F$503*(1+Log!$G$4:$G$503/30)))=0,"",SUMPRODUCT(MAX((Log!$D$4:$D$503=$A53)*(Log!$B$4:$B$503=O$41)*(Log!$E$4:$E$503="A")*(Log!$F$4:$F$503&lt;&gt;"")*(Log!$G$4:$G$503&lt;&gt;"")*Log!$F$4:$F$503*(1+Log!$G$4:$G$503/30)))))</f>
        <v/>
      </c>
      <c r="P53" s="37" t="str">
        <f aca="false">IF($A53="","",IF(SUMPRODUCT(MAX((Log!$D$4:$D$503=$A53)*(Log!$B$4:$B$503=P$41)*(Log!$E$4:$E$503="A")*(Log!$F$4:$F$503&lt;&gt;"")*(Log!$G$4:$G$503&lt;&gt;"")*Log!$F$4:$F$503*(1+Log!$G$4:$G$503/30)))=0,"",SUMPRODUCT(MAX((Log!$D$4:$D$503=$A53)*(Log!$B$4:$B$503=P$41)*(Log!$E$4:$E$503="A")*(Log!$F$4:$F$503&lt;&gt;"")*(Log!$G$4:$G$503&lt;&gt;"")*Log!$F$4:$F$503*(1+Log!$G$4:$G$503/30)))))</f>
        <v/>
      </c>
      <c r="Q53" s="37" t="str">
        <f aca="false">IF($A53="","",IF(SUMPRODUCT(MAX((Log!$D$4:$D$503=$A53)*(Log!$B$4:$B$503=Q$41)*(Log!$E$4:$E$503="A")*(Log!$F$4:$F$503&lt;&gt;"")*(Log!$G$4:$G$503&lt;&gt;"")*Log!$F$4:$F$503*(1+Log!$G$4:$G$503/30)))=0,"",SUMPRODUCT(MAX((Log!$D$4:$D$503=$A53)*(Log!$B$4:$B$503=Q$41)*(Log!$E$4:$E$503="A")*(Log!$F$4:$F$503&lt;&gt;"")*(Log!$G$4:$G$503&lt;&gt;"")*Log!$F$4:$F$503*(1+Log!$G$4:$G$503/30)))))</f>
        <v/>
      </c>
      <c r="R53" s="36" t="str">
        <f aca="false">IF(COUNT(B53:Q53)=0,"",MAX(B53:Q53))</f>
        <v/>
      </c>
    </row>
    <row r="54" customFormat="false" ht="16.5" hidden="false" customHeight="true" outlineLevel="0" collapsed="false">
      <c r="A54" s="30" t="str">
        <f aca="false">IF(Übungen!$A16="","",Übungen!$A16)</f>
        <v/>
      </c>
      <c r="B54" s="35" t="str">
        <f aca="false">IF($A54="","",IF(SUMPRODUCT(MAX((Log!$D$4:$D$503=$A54)*(Log!$B$4:$B$503=B$41)*(Log!$E$4:$E$503="A")*(Log!$F$4:$F$503&lt;&gt;"")*(Log!$G$4:$G$503&lt;&gt;"")*Log!$F$4:$F$503*(1+Log!$G$4:$G$503/30)))=0,"",SUMPRODUCT(MAX((Log!$D$4:$D$503=$A54)*(Log!$B$4:$B$503=B$41)*(Log!$E$4:$E$503="A")*(Log!$F$4:$F$503&lt;&gt;"")*(Log!$G$4:$G$503&lt;&gt;"")*Log!$F$4:$F$503*(1+Log!$G$4:$G$503/30)))))</f>
        <v/>
      </c>
      <c r="C54" s="35" t="str">
        <f aca="false">IF($A54="","",IF(SUMPRODUCT(MAX((Log!$D$4:$D$503=$A54)*(Log!$B$4:$B$503=C$41)*(Log!$E$4:$E$503="A")*(Log!$F$4:$F$503&lt;&gt;"")*(Log!$G$4:$G$503&lt;&gt;"")*Log!$F$4:$F$503*(1+Log!$G$4:$G$503/30)))=0,"",SUMPRODUCT(MAX((Log!$D$4:$D$503=$A54)*(Log!$B$4:$B$503=C$41)*(Log!$E$4:$E$503="A")*(Log!$F$4:$F$503&lt;&gt;"")*(Log!$G$4:$G$503&lt;&gt;"")*Log!$F$4:$F$503*(1+Log!$G$4:$G$503/30)))))</f>
        <v/>
      </c>
      <c r="D54" s="35" t="str">
        <f aca="false">IF($A54="","",IF(SUMPRODUCT(MAX((Log!$D$4:$D$503=$A54)*(Log!$B$4:$B$503=D$41)*(Log!$E$4:$E$503="A")*(Log!$F$4:$F$503&lt;&gt;"")*(Log!$G$4:$G$503&lt;&gt;"")*Log!$F$4:$F$503*(1+Log!$G$4:$G$503/30)))=0,"",SUMPRODUCT(MAX((Log!$D$4:$D$503=$A54)*(Log!$B$4:$B$503=D$41)*(Log!$E$4:$E$503="A")*(Log!$F$4:$F$503&lt;&gt;"")*(Log!$G$4:$G$503&lt;&gt;"")*Log!$F$4:$F$503*(1+Log!$G$4:$G$503/30)))))</f>
        <v/>
      </c>
      <c r="E54" s="35" t="str">
        <f aca="false">IF($A54="","",IF(SUMPRODUCT(MAX((Log!$D$4:$D$503=$A54)*(Log!$B$4:$B$503=E$41)*(Log!$E$4:$E$503="A")*(Log!$F$4:$F$503&lt;&gt;"")*(Log!$G$4:$G$503&lt;&gt;"")*Log!$F$4:$F$503*(1+Log!$G$4:$G$503/30)))=0,"",SUMPRODUCT(MAX((Log!$D$4:$D$503=$A54)*(Log!$B$4:$B$503=E$41)*(Log!$E$4:$E$503="A")*(Log!$F$4:$F$503&lt;&gt;"")*(Log!$G$4:$G$503&lt;&gt;"")*Log!$F$4:$F$503*(1+Log!$G$4:$G$503/30)))))</f>
        <v/>
      </c>
      <c r="F54" s="35" t="str">
        <f aca="false">IF($A54="","",IF(SUMPRODUCT(MAX((Log!$D$4:$D$503=$A54)*(Log!$B$4:$B$503=F$41)*(Log!$E$4:$E$503="A")*(Log!$F$4:$F$503&lt;&gt;"")*(Log!$G$4:$G$503&lt;&gt;"")*Log!$F$4:$F$503*(1+Log!$G$4:$G$503/30)))=0,"",SUMPRODUCT(MAX((Log!$D$4:$D$503=$A54)*(Log!$B$4:$B$503=F$41)*(Log!$E$4:$E$503="A")*(Log!$F$4:$F$503&lt;&gt;"")*(Log!$G$4:$G$503&lt;&gt;"")*Log!$F$4:$F$503*(1+Log!$G$4:$G$503/30)))))</f>
        <v/>
      </c>
      <c r="G54" s="35" t="str">
        <f aca="false">IF($A54="","",IF(SUMPRODUCT(MAX((Log!$D$4:$D$503=$A54)*(Log!$B$4:$B$503=G$41)*(Log!$E$4:$E$503="A")*(Log!$F$4:$F$503&lt;&gt;"")*(Log!$G$4:$G$503&lt;&gt;"")*Log!$F$4:$F$503*(1+Log!$G$4:$G$503/30)))=0,"",SUMPRODUCT(MAX((Log!$D$4:$D$503=$A54)*(Log!$B$4:$B$503=G$41)*(Log!$E$4:$E$503="A")*(Log!$F$4:$F$503&lt;&gt;"")*(Log!$G$4:$G$503&lt;&gt;"")*Log!$F$4:$F$503*(1+Log!$G$4:$G$503/30)))))</f>
        <v/>
      </c>
      <c r="H54" s="35" t="str">
        <f aca="false">IF($A54="","",IF(SUMPRODUCT(MAX((Log!$D$4:$D$503=$A54)*(Log!$B$4:$B$503=H$41)*(Log!$E$4:$E$503="A")*(Log!$F$4:$F$503&lt;&gt;"")*(Log!$G$4:$G$503&lt;&gt;"")*Log!$F$4:$F$503*(1+Log!$G$4:$G$503/30)))=0,"",SUMPRODUCT(MAX((Log!$D$4:$D$503=$A54)*(Log!$B$4:$B$503=H$41)*(Log!$E$4:$E$503="A")*(Log!$F$4:$F$503&lt;&gt;"")*(Log!$G$4:$G$503&lt;&gt;"")*Log!$F$4:$F$503*(1+Log!$G$4:$G$503/30)))))</f>
        <v/>
      </c>
      <c r="I54" s="35" t="str">
        <f aca="false">IF($A54="","",IF(SUMPRODUCT(MAX((Log!$D$4:$D$503=$A54)*(Log!$B$4:$B$503=I$41)*(Log!$E$4:$E$503="A")*(Log!$F$4:$F$503&lt;&gt;"")*(Log!$G$4:$G$503&lt;&gt;"")*Log!$F$4:$F$503*(1+Log!$G$4:$G$503/30)))=0,"",SUMPRODUCT(MAX((Log!$D$4:$D$503=$A54)*(Log!$B$4:$B$503=I$41)*(Log!$E$4:$E$503="A")*(Log!$F$4:$F$503&lt;&gt;"")*(Log!$G$4:$G$503&lt;&gt;"")*Log!$F$4:$F$503*(1+Log!$G$4:$G$503/30)))))</f>
        <v/>
      </c>
      <c r="J54" s="35" t="str">
        <f aca="false">IF($A54="","",IF(SUMPRODUCT(MAX((Log!$D$4:$D$503=$A54)*(Log!$B$4:$B$503=J$41)*(Log!$E$4:$E$503="A")*(Log!$F$4:$F$503&lt;&gt;"")*(Log!$G$4:$G$503&lt;&gt;"")*Log!$F$4:$F$503*(1+Log!$G$4:$G$503/30)))=0,"",SUMPRODUCT(MAX((Log!$D$4:$D$503=$A54)*(Log!$B$4:$B$503=J$41)*(Log!$E$4:$E$503="A")*(Log!$F$4:$F$503&lt;&gt;"")*(Log!$G$4:$G$503&lt;&gt;"")*Log!$F$4:$F$503*(1+Log!$G$4:$G$503/30)))))</f>
        <v/>
      </c>
      <c r="K54" s="35" t="str">
        <f aca="false">IF($A54="","",IF(SUMPRODUCT(MAX((Log!$D$4:$D$503=$A54)*(Log!$B$4:$B$503=K$41)*(Log!$E$4:$E$503="A")*(Log!$F$4:$F$503&lt;&gt;"")*(Log!$G$4:$G$503&lt;&gt;"")*Log!$F$4:$F$503*(1+Log!$G$4:$G$503/30)))=0,"",SUMPRODUCT(MAX((Log!$D$4:$D$503=$A54)*(Log!$B$4:$B$503=K$41)*(Log!$E$4:$E$503="A")*(Log!$F$4:$F$503&lt;&gt;"")*(Log!$G$4:$G$503&lt;&gt;"")*Log!$F$4:$F$503*(1+Log!$G$4:$G$503/30)))))</f>
        <v/>
      </c>
      <c r="L54" s="35" t="str">
        <f aca="false">IF($A54="","",IF(SUMPRODUCT(MAX((Log!$D$4:$D$503=$A54)*(Log!$B$4:$B$503=L$41)*(Log!$E$4:$E$503="A")*(Log!$F$4:$F$503&lt;&gt;"")*(Log!$G$4:$G$503&lt;&gt;"")*Log!$F$4:$F$503*(1+Log!$G$4:$G$503/30)))=0,"",SUMPRODUCT(MAX((Log!$D$4:$D$503=$A54)*(Log!$B$4:$B$503=L$41)*(Log!$E$4:$E$503="A")*(Log!$F$4:$F$503&lt;&gt;"")*(Log!$G$4:$G$503&lt;&gt;"")*Log!$F$4:$F$503*(1+Log!$G$4:$G$503/30)))))</f>
        <v/>
      </c>
      <c r="M54" s="35" t="str">
        <f aca="false">IF($A54="","",IF(SUMPRODUCT(MAX((Log!$D$4:$D$503=$A54)*(Log!$B$4:$B$503=M$41)*(Log!$E$4:$E$503="A")*(Log!$F$4:$F$503&lt;&gt;"")*(Log!$G$4:$G$503&lt;&gt;"")*Log!$F$4:$F$503*(1+Log!$G$4:$G$503/30)))=0,"",SUMPRODUCT(MAX((Log!$D$4:$D$503=$A54)*(Log!$B$4:$B$503=M$41)*(Log!$E$4:$E$503="A")*(Log!$F$4:$F$503&lt;&gt;"")*(Log!$G$4:$G$503&lt;&gt;"")*Log!$F$4:$F$503*(1+Log!$G$4:$G$503/30)))))</f>
        <v/>
      </c>
      <c r="N54" s="35" t="str">
        <f aca="false">IF($A54="","",IF(SUMPRODUCT(MAX((Log!$D$4:$D$503=$A54)*(Log!$B$4:$B$503=N$41)*(Log!$E$4:$E$503="A")*(Log!$F$4:$F$503&lt;&gt;"")*(Log!$G$4:$G$503&lt;&gt;"")*Log!$F$4:$F$503*(1+Log!$G$4:$G$503/30)))=0,"",SUMPRODUCT(MAX((Log!$D$4:$D$503=$A54)*(Log!$B$4:$B$503=N$41)*(Log!$E$4:$E$503="A")*(Log!$F$4:$F$503&lt;&gt;"")*(Log!$G$4:$G$503&lt;&gt;"")*Log!$F$4:$F$503*(1+Log!$G$4:$G$503/30)))))</f>
        <v/>
      </c>
      <c r="O54" s="35" t="str">
        <f aca="false">IF($A54="","",IF(SUMPRODUCT(MAX((Log!$D$4:$D$503=$A54)*(Log!$B$4:$B$503=O$41)*(Log!$E$4:$E$503="A")*(Log!$F$4:$F$503&lt;&gt;"")*(Log!$G$4:$G$503&lt;&gt;"")*Log!$F$4:$F$503*(1+Log!$G$4:$G$503/30)))=0,"",SUMPRODUCT(MAX((Log!$D$4:$D$503=$A54)*(Log!$B$4:$B$503=O$41)*(Log!$E$4:$E$503="A")*(Log!$F$4:$F$503&lt;&gt;"")*(Log!$G$4:$G$503&lt;&gt;"")*Log!$F$4:$F$503*(1+Log!$G$4:$G$503/30)))))</f>
        <v/>
      </c>
      <c r="P54" s="35" t="str">
        <f aca="false">IF($A54="","",IF(SUMPRODUCT(MAX((Log!$D$4:$D$503=$A54)*(Log!$B$4:$B$503=P$41)*(Log!$E$4:$E$503="A")*(Log!$F$4:$F$503&lt;&gt;"")*(Log!$G$4:$G$503&lt;&gt;"")*Log!$F$4:$F$503*(1+Log!$G$4:$G$503/30)))=0,"",SUMPRODUCT(MAX((Log!$D$4:$D$503=$A54)*(Log!$B$4:$B$503=P$41)*(Log!$E$4:$E$503="A")*(Log!$F$4:$F$503&lt;&gt;"")*(Log!$G$4:$G$503&lt;&gt;"")*Log!$F$4:$F$503*(1+Log!$G$4:$G$503/30)))))</f>
        <v/>
      </c>
      <c r="Q54" s="35" t="str">
        <f aca="false">IF($A54="","",IF(SUMPRODUCT(MAX((Log!$D$4:$D$503=$A54)*(Log!$B$4:$B$503=Q$41)*(Log!$E$4:$E$503="A")*(Log!$F$4:$F$503&lt;&gt;"")*(Log!$G$4:$G$503&lt;&gt;"")*Log!$F$4:$F$503*(1+Log!$G$4:$G$503/30)))=0,"",SUMPRODUCT(MAX((Log!$D$4:$D$503=$A54)*(Log!$B$4:$B$503=Q$41)*(Log!$E$4:$E$503="A")*(Log!$F$4:$F$503&lt;&gt;"")*(Log!$G$4:$G$503&lt;&gt;"")*Log!$F$4:$F$503*(1+Log!$G$4:$G$503/30)))))</f>
        <v/>
      </c>
      <c r="R54" s="36" t="str">
        <f aca="false">IF(COUNT(B54:Q54)=0,"",MAX(B54:Q54))</f>
        <v/>
      </c>
    </row>
    <row r="55" customFormat="false" ht="16.5" hidden="false" customHeight="true" outlineLevel="0" collapsed="false">
      <c r="A55" s="33" t="str">
        <f aca="false">IF(Übungen!$A17="","",Übungen!$A17)</f>
        <v/>
      </c>
      <c r="B55" s="37" t="str">
        <f aca="false">IF($A55="","",IF(SUMPRODUCT(MAX((Log!$D$4:$D$503=$A55)*(Log!$B$4:$B$503=B$41)*(Log!$E$4:$E$503="A")*(Log!$F$4:$F$503&lt;&gt;"")*(Log!$G$4:$G$503&lt;&gt;"")*Log!$F$4:$F$503*(1+Log!$G$4:$G$503/30)))=0,"",SUMPRODUCT(MAX((Log!$D$4:$D$503=$A55)*(Log!$B$4:$B$503=B$41)*(Log!$E$4:$E$503="A")*(Log!$F$4:$F$503&lt;&gt;"")*(Log!$G$4:$G$503&lt;&gt;"")*Log!$F$4:$F$503*(1+Log!$G$4:$G$503/30)))))</f>
        <v/>
      </c>
      <c r="C55" s="37" t="str">
        <f aca="false">IF($A55="","",IF(SUMPRODUCT(MAX((Log!$D$4:$D$503=$A55)*(Log!$B$4:$B$503=C$41)*(Log!$E$4:$E$503="A")*(Log!$F$4:$F$503&lt;&gt;"")*(Log!$G$4:$G$503&lt;&gt;"")*Log!$F$4:$F$503*(1+Log!$G$4:$G$503/30)))=0,"",SUMPRODUCT(MAX((Log!$D$4:$D$503=$A55)*(Log!$B$4:$B$503=C$41)*(Log!$E$4:$E$503="A")*(Log!$F$4:$F$503&lt;&gt;"")*(Log!$G$4:$G$503&lt;&gt;"")*Log!$F$4:$F$503*(1+Log!$G$4:$G$503/30)))))</f>
        <v/>
      </c>
      <c r="D55" s="37" t="str">
        <f aca="false">IF($A55="","",IF(SUMPRODUCT(MAX((Log!$D$4:$D$503=$A55)*(Log!$B$4:$B$503=D$41)*(Log!$E$4:$E$503="A")*(Log!$F$4:$F$503&lt;&gt;"")*(Log!$G$4:$G$503&lt;&gt;"")*Log!$F$4:$F$503*(1+Log!$G$4:$G$503/30)))=0,"",SUMPRODUCT(MAX((Log!$D$4:$D$503=$A55)*(Log!$B$4:$B$503=D$41)*(Log!$E$4:$E$503="A")*(Log!$F$4:$F$503&lt;&gt;"")*(Log!$G$4:$G$503&lt;&gt;"")*Log!$F$4:$F$503*(1+Log!$G$4:$G$503/30)))))</f>
        <v/>
      </c>
      <c r="E55" s="37" t="str">
        <f aca="false">IF($A55="","",IF(SUMPRODUCT(MAX((Log!$D$4:$D$503=$A55)*(Log!$B$4:$B$503=E$41)*(Log!$E$4:$E$503="A")*(Log!$F$4:$F$503&lt;&gt;"")*(Log!$G$4:$G$503&lt;&gt;"")*Log!$F$4:$F$503*(1+Log!$G$4:$G$503/30)))=0,"",SUMPRODUCT(MAX((Log!$D$4:$D$503=$A55)*(Log!$B$4:$B$503=E$41)*(Log!$E$4:$E$503="A")*(Log!$F$4:$F$503&lt;&gt;"")*(Log!$G$4:$G$503&lt;&gt;"")*Log!$F$4:$F$503*(1+Log!$G$4:$G$503/30)))))</f>
        <v/>
      </c>
      <c r="F55" s="37" t="str">
        <f aca="false">IF($A55="","",IF(SUMPRODUCT(MAX((Log!$D$4:$D$503=$A55)*(Log!$B$4:$B$503=F$41)*(Log!$E$4:$E$503="A")*(Log!$F$4:$F$503&lt;&gt;"")*(Log!$G$4:$G$503&lt;&gt;"")*Log!$F$4:$F$503*(1+Log!$G$4:$G$503/30)))=0,"",SUMPRODUCT(MAX((Log!$D$4:$D$503=$A55)*(Log!$B$4:$B$503=F$41)*(Log!$E$4:$E$503="A")*(Log!$F$4:$F$503&lt;&gt;"")*(Log!$G$4:$G$503&lt;&gt;"")*Log!$F$4:$F$503*(1+Log!$G$4:$G$503/30)))))</f>
        <v/>
      </c>
      <c r="G55" s="37" t="str">
        <f aca="false">IF($A55="","",IF(SUMPRODUCT(MAX((Log!$D$4:$D$503=$A55)*(Log!$B$4:$B$503=G$41)*(Log!$E$4:$E$503="A")*(Log!$F$4:$F$503&lt;&gt;"")*(Log!$G$4:$G$503&lt;&gt;"")*Log!$F$4:$F$503*(1+Log!$G$4:$G$503/30)))=0,"",SUMPRODUCT(MAX((Log!$D$4:$D$503=$A55)*(Log!$B$4:$B$503=G$41)*(Log!$E$4:$E$503="A")*(Log!$F$4:$F$503&lt;&gt;"")*(Log!$G$4:$G$503&lt;&gt;"")*Log!$F$4:$F$503*(1+Log!$G$4:$G$503/30)))))</f>
        <v/>
      </c>
      <c r="H55" s="37" t="str">
        <f aca="false">IF($A55="","",IF(SUMPRODUCT(MAX((Log!$D$4:$D$503=$A55)*(Log!$B$4:$B$503=H$41)*(Log!$E$4:$E$503="A")*(Log!$F$4:$F$503&lt;&gt;"")*(Log!$G$4:$G$503&lt;&gt;"")*Log!$F$4:$F$503*(1+Log!$G$4:$G$503/30)))=0,"",SUMPRODUCT(MAX((Log!$D$4:$D$503=$A55)*(Log!$B$4:$B$503=H$41)*(Log!$E$4:$E$503="A")*(Log!$F$4:$F$503&lt;&gt;"")*(Log!$G$4:$G$503&lt;&gt;"")*Log!$F$4:$F$503*(1+Log!$G$4:$G$503/30)))))</f>
        <v/>
      </c>
      <c r="I55" s="37" t="str">
        <f aca="false">IF($A55="","",IF(SUMPRODUCT(MAX((Log!$D$4:$D$503=$A55)*(Log!$B$4:$B$503=I$41)*(Log!$E$4:$E$503="A")*(Log!$F$4:$F$503&lt;&gt;"")*(Log!$G$4:$G$503&lt;&gt;"")*Log!$F$4:$F$503*(1+Log!$G$4:$G$503/30)))=0,"",SUMPRODUCT(MAX((Log!$D$4:$D$503=$A55)*(Log!$B$4:$B$503=I$41)*(Log!$E$4:$E$503="A")*(Log!$F$4:$F$503&lt;&gt;"")*(Log!$G$4:$G$503&lt;&gt;"")*Log!$F$4:$F$503*(1+Log!$G$4:$G$503/30)))))</f>
        <v/>
      </c>
      <c r="J55" s="37" t="str">
        <f aca="false">IF($A55="","",IF(SUMPRODUCT(MAX((Log!$D$4:$D$503=$A55)*(Log!$B$4:$B$503=J$41)*(Log!$E$4:$E$503="A")*(Log!$F$4:$F$503&lt;&gt;"")*(Log!$G$4:$G$503&lt;&gt;"")*Log!$F$4:$F$503*(1+Log!$G$4:$G$503/30)))=0,"",SUMPRODUCT(MAX((Log!$D$4:$D$503=$A55)*(Log!$B$4:$B$503=J$41)*(Log!$E$4:$E$503="A")*(Log!$F$4:$F$503&lt;&gt;"")*(Log!$G$4:$G$503&lt;&gt;"")*Log!$F$4:$F$503*(1+Log!$G$4:$G$503/30)))))</f>
        <v/>
      </c>
      <c r="K55" s="37" t="str">
        <f aca="false">IF($A55="","",IF(SUMPRODUCT(MAX((Log!$D$4:$D$503=$A55)*(Log!$B$4:$B$503=K$41)*(Log!$E$4:$E$503="A")*(Log!$F$4:$F$503&lt;&gt;"")*(Log!$G$4:$G$503&lt;&gt;"")*Log!$F$4:$F$503*(1+Log!$G$4:$G$503/30)))=0,"",SUMPRODUCT(MAX((Log!$D$4:$D$503=$A55)*(Log!$B$4:$B$503=K$41)*(Log!$E$4:$E$503="A")*(Log!$F$4:$F$503&lt;&gt;"")*(Log!$G$4:$G$503&lt;&gt;"")*Log!$F$4:$F$503*(1+Log!$G$4:$G$503/30)))))</f>
        <v/>
      </c>
      <c r="L55" s="37" t="str">
        <f aca="false">IF($A55="","",IF(SUMPRODUCT(MAX((Log!$D$4:$D$503=$A55)*(Log!$B$4:$B$503=L$41)*(Log!$E$4:$E$503="A")*(Log!$F$4:$F$503&lt;&gt;"")*(Log!$G$4:$G$503&lt;&gt;"")*Log!$F$4:$F$503*(1+Log!$G$4:$G$503/30)))=0,"",SUMPRODUCT(MAX((Log!$D$4:$D$503=$A55)*(Log!$B$4:$B$503=L$41)*(Log!$E$4:$E$503="A")*(Log!$F$4:$F$503&lt;&gt;"")*(Log!$G$4:$G$503&lt;&gt;"")*Log!$F$4:$F$503*(1+Log!$G$4:$G$503/30)))))</f>
        <v/>
      </c>
      <c r="M55" s="37" t="str">
        <f aca="false">IF($A55="","",IF(SUMPRODUCT(MAX((Log!$D$4:$D$503=$A55)*(Log!$B$4:$B$503=M$41)*(Log!$E$4:$E$503="A")*(Log!$F$4:$F$503&lt;&gt;"")*(Log!$G$4:$G$503&lt;&gt;"")*Log!$F$4:$F$503*(1+Log!$G$4:$G$503/30)))=0,"",SUMPRODUCT(MAX((Log!$D$4:$D$503=$A55)*(Log!$B$4:$B$503=M$41)*(Log!$E$4:$E$503="A")*(Log!$F$4:$F$503&lt;&gt;"")*(Log!$G$4:$G$503&lt;&gt;"")*Log!$F$4:$F$503*(1+Log!$G$4:$G$503/30)))))</f>
        <v/>
      </c>
      <c r="N55" s="37" t="str">
        <f aca="false">IF($A55="","",IF(SUMPRODUCT(MAX((Log!$D$4:$D$503=$A55)*(Log!$B$4:$B$503=N$41)*(Log!$E$4:$E$503="A")*(Log!$F$4:$F$503&lt;&gt;"")*(Log!$G$4:$G$503&lt;&gt;"")*Log!$F$4:$F$503*(1+Log!$G$4:$G$503/30)))=0,"",SUMPRODUCT(MAX((Log!$D$4:$D$503=$A55)*(Log!$B$4:$B$503=N$41)*(Log!$E$4:$E$503="A")*(Log!$F$4:$F$503&lt;&gt;"")*(Log!$G$4:$G$503&lt;&gt;"")*Log!$F$4:$F$503*(1+Log!$G$4:$G$503/30)))))</f>
        <v/>
      </c>
      <c r="O55" s="37" t="str">
        <f aca="false">IF($A55="","",IF(SUMPRODUCT(MAX((Log!$D$4:$D$503=$A55)*(Log!$B$4:$B$503=O$41)*(Log!$E$4:$E$503="A")*(Log!$F$4:$F$503&lt;&gt;"")*(Log!$G$4:$G$503&lt;&gt;"")*Log!$F$4:$F$503*(1+Log!$G$4:$G$503/30)))=0,"",SUMPRODUCT(MAX((Log!$D$4:$D$503=$A55)*(Log!$B$4:$B$503=O$41)*(Log!$E$4:$E$503="A")*(Log!$F$4:$F$503&lt;&gt;"")*(Log!$G$4:$G$503&lt;&gt;"")*Log!$F$4:$F$503*(1+Log!$G$4:$G$503/30)))))</f>
        <v/>
      </c>
      <c r="P55" s="37" t="str">
        <f aca="false">IF($A55="","",IF(SUMPRODUCT(MAX((Log!$D$4:$D$503=$A55)*(Log!$B$4:$B$503=P$41)*(Log!$E$4:$E$503="A")*(Log!$F$4:$F$503&lt;&gt;"")*(Log!$G$4:$G$503&lt;&gt;"")*Log!$F$4:$F$503*(1+Log!$G$4:$G$503/30)))=0,"",SUMPRODUCT(MAX((Log!$D$4:$D$503=$A55)*(Log!$B$4:$B$503=P$41)*(Log!$E$4:$E$503="A")*(Log!$F$4:$F$503&lt;&gt;"")*(Log!$G$4:$G$503&lt;&gt;"")*Log!$F$4:$F$503*(1+Log!$G$4:$G$503/30)))))</f>
        <v/>
      </c>
      <c r="Q55" s="37" t="str">
        <f aca="false">IF($A55="","",IF(SUMPRODUCT(MAX((Log!$D$4:$D$503=$A55)*(Log!$B$4:$B$503=Q$41)*(Log!$E$4:$E$503="A")*(Log!$F$4:$F$503&lt;&gt;"")*(Log!$G$4:$G$503&lt;&gt;"")*Log!$F$4:$F$503*(1+Log!$G$4:$G$503/30)))=0,"",SUMPRODUCT(MAX((Log!$D$4:$D$503=$A55)*(Log!$B$4:$B$503=Q$41)*(Log!$E$4:$E$503="A")*(Log!$F$4:$F$503&lt;&gt;"")*(Log!$G$4:$G$503&lt;&gt;"")*Log!$F$4:$F$503*(1+Log!$G$4:$G$503/30)))))</f>
        <v/>
      </c>
      <c r="R55" s="36" t="str">
        <f aca="false">IF(COUNT(B55:Q55)=0,"",MAX(B55:Q55))</f>
        <v/>
      </c>
    </row>
  </sheetData>
  <mergeCells count="5">
    <mergeCell ref="A1:R1"/>
    <mergeCell ref="A2:R2"/>
    <mergeCell ref="A4:R4"/>
    <mergeCell ref="A22:R22"/>
    <mergeCell ref="A40:R40"/>
  </mergeCells>
  <conditionalFormatting sqref="A6:A19">
    <cfRule type="expression" priority="2" aboveAverage="0" equalAverage="0" bottom="0" percent="0" rank="0" text="" dxfId="9">
      <formula>Übungen!$I4="nein"</formula>
    </cfRule>
  </conditionalFormatting>
  <conditionalFormatting sqref="B6:Q19">
    <cfRule type="colorScale" priority="3">
      <colorScale>
        <cfvo type="min" val="0"/>
        <cfvo type="max" val="0"/>
        <color rgb="FFFFFFFF"/>
        <color rgb="FF9EC5E8"/>
      </colorScale>
    </cfRule>
  </conditionalFormatting>
  <conditionalFormatting sqref="A24:A37">
    <cfRule type="expression" priority="4" aboveAverage="0" equalAverage="0" bottom="0" percent="0" rank="0" text="" dxfId="9">
      <formula>Übungen!$I4="nein"</formula>
    </cfRule>
  </conditionalFormatting>
  <conditionalFormatting sqref="B24:Q37">
    <cfRule type="colorScale" priority="5">
      <colorScale>
        <cfvo type="min" val="0"/>
        <cfvo type="max" val="0"/>
        <color rgb="FFFFFFFF"/>
        <color rgb="FF9EC5E8"/>
      </colorScale>
    </cfRule>
  </conditionalFormatting>
  <conditionalFormatting sqref="A42:A55">
    <cfRule type="expression" priority="6" aboveAverage="0" equalAverage="0" bottom="0" percent="0" rank="0" text="" dxfId="9">
      <formula>Übungen!$I4="nein"</formula>
    </cfRule>
  </conditionalFormatting>
  <conditionalFormatting sqref="B42:Q55">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1" man="true" max="16383" min="0"/>
    <brk id="39" man="true" max="16383" min="0"/>
  </rowBreak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9"/>
    <col collapsed="false" customWidth="true" hidden="false" outlineLevel="0" max="3" min="3" style="0" width="13"/>
    <col collapsed="false" customWidth="true" hidden="false" outlineLevel="0" max="4" min="4" style="0" width="9"/>
    <col collapsed="false" customWidth="true" hidden="false" outlineLevel="0" max="9" min="5" style="0" width="13"/>
    <col collapsed="false" customWidth="true" hidden="false" outlineLevel="0" max="11" min="10" style="0" width="14"/>
  </cols>
  <sheetData>
    <row r="1" customFormat="false" ht="30" hidden="false" customHeight="true" outlineLevel="0" collapsed="false">
      <c r="A1" s="1" t="s">
        <v>131</v>
      </c>
      <c r="B1" s="1"/>
      <c r="C1" s="1"/>
      <c r="D1" s="1"/>
      <c r="E1" s="1"/>
      <c r="F1" s="1"/>
      <c r="G1" s="1"/>
      <c r="H1" s="1"/>
      <c r="I1" s="1"/>
      <c r="J1" s="1"/>
      <c r="K1" s="1"/>
    </row>
    <row r="2" customFormat="false" ht="15" hidden="false" customHeight="true" outlineLevel="0" collapsed="false">
      <c r="A2" s="2" t="s">
        <v>132</v>
      </c>
      <c r="B2" s="2"/>
      <c r="C2" s="2"/>
      <c r="D2" s="2"/>
      <c r="E2" s="2"/>
      <c r="F2" s="2"/>
      <c r="G2" s="2"/>
      <c r="H2" s="2"/>
      <c r="I2" s="2"/>
      <c r="J2" s="2"/>
      <c r="K2" s="2"/>
    </row>
    <row r="3" customFormat="false" ht="33.75" hidden="false" customHeight="true" outlineLevel="0" collapsed="false">
      <c r="A3" s="16" t="s">
        <v>89</v>
      </c>
      <c r="B3" s="16" t="s">
        <v>133</v>
      </c>
      <c r="C3" s="16" t="s">
        <v>134</v>
      </c>
      <c r="D3" s="16" t="s">
        <v>135</v>
      </c>
      <c r="E3" s="16" t="s">
        <v>136</v>
      </c>
      <c r="F3" s="16" t="s">
        <v>137</v>
      </c>
      <c r="G3" s="16" t="s">
        <v>138</v>
      </c>
      <c r="H3" s="16" t="s">
        <v>139</v>
      </c>
      <c r="I3" s="16" t="s">
        <v>140</v>
      </c>
      <c r="J3" s="16" t="s">
        <v>141</v>
      </c>
      <c r="K3" s="16" t="s">
        <v>142</v>
      </c>
    </row>
    <row r="4" customFormat="false" ht="18" hidden="false" customHeight="true" outlineLevel="0" collapsed="false">
      <c r="A4" s="30" t="str">
        <f aca="false">IF(Übungen!$A4="","",Übungen!$A4)</f>
        <v>Hackenschmidt-Kniebeuge</v>
      </c>
      <c r="B4" s="31" t="str">
        <f aca="false">IF($A4="","",IF(SUMPRODUCT(MAX((Log!$D$4:$D$503=$A4)*(Log!$E$4:$E$503="A")*Log!$B$4:$B$503))=0,"",SUMPRODUCT(MIN((Log!$D$4:$D$503=$A4)*(Log!$E$4:$E$503="A")*Log!$B$4:$B$503+((Log!$D$4:$D$503&lt;&gt;$A4)+(Log!$E$4:$E$503&lt;&gt;"A")&gt;0)*9999))))</f>
        <v/>
      </c>
      <c r="C4" s="31" t="str">
        <f aca="false">IF($B4="","",SUMIFS(Log!$I$4:$I$503,Log!$D$4:$D$503,$A4,Log!$B$4:$B$503,$B4,Log!$E$4:$E$503,"A"))</f>
        <v/>
      </c>
      <c r="D4" s="31" t="str">
        <f aca="false">IF($A4="","",IF(SUMPRODUCT(MAX((Log!$D$4:$D$503=$A4)*(Log!$E$4:$E$503="A")*Log!$B$4:$B$503))=0,"",SUMPRODUCT(MAX((Log!$D$4:$D$503=$A4)*(Log!$E$4:$E$503="A")*Log!$B$4:$B$503))))</f>
        <v/>
      </c>
      <c r="E4" s="31" t="str">
        <f aca="false">IF($D4="","",SUMIFS(Log!$I$4:$I$503,Log!$D$4:$D$503,$A4,Log!$B$4:$B$503,$D4,Log!$E$4:$E$503,"A"))</f>
        <v/>
      </c>
      <c r="F4" s="31" t="str">
        <f aca="false">IF(OR($C4="",$E4=""),"",$E4-$C4)</f>
        <v/>
      </c>
      <c r="G4" s="38" t="str">
        <f aca="false">IF(OR($C4="",$E4="",$C4=0),"",$E4/$C4-1)</f>
        <v/>
      </c>
      <c r="H4" s="35" t="str">
        <f aca="false">IF($D4="","",IF(SUMPRODUCT(MAX((Log!$D$4:$D$503=$A4)*(Log!$B$4:$B$503=$D4)*(Log!$E$4:$E$503="A")*(Log!$F$4:$F$503&lt;&gt;"")*Log!$F$4:$F$503))=0,"",SUMPRODUCT(MAX((Log!$D$4:$D$503=$A4)*(Log!$B$4:$B$503=$D4)*(Log!$E$4:$E$503="A")*(Log!$F$4:$F$503&lt;&gt;"")*Log!$F$4:$F$503))))</f>
        <v/>
      </c>
      <c r="I4" s="35" t="str">
        <f aca="false">IF($A4="","",IF(SUMPRODUCT(MAX((Log!$D$4:$D$503=$A4)*(Log!$E$4:$E$503="A")*(Log!$F$4:$F$503&lt;&gt;"")*Log!$F$4:$F$503))=0,"",SUMPRODUCT(MAX((Log!$D$4:$D$503=$A4)*(Log!$E$4:$E$503="A")*(Log!$F$4:$F$503&lt;&gt;"")*Log!$F$4:$F$503))))</f>
        <v/>
      </c>
      <c r="J4" s="35" t="str">
        <f aca="false">IF(OR($H4="",$I4=""),"",$H4-$I4)</f>
        <v/>
      </c>
      <c r="K4" s="39" t="str">
        <f aca="false">IF($G4="","",IF($G4&gt;0.05,"steigend",IF($G4&lt;-0.05,"fallend","stabil")))</f>
        <v/>
      </c>
    </row>
    <row r="5" customFormat="false" ht="18" hidden="false" customHeight="true" outlineLevel="0" collapsed="false">
      <c r="A5" s="33" t="str">
        <f aca="false">IF(Übungen!$A5="","",Übungen!$A5)</f>
        <v>Split Squat</v>
      </c>
      <c r="B5" s="34" t="n">
        <f aca="false">IF($A5="","",IF(SUMPRODUCT(MAX((Log!$D$4:$D$503=$A5)*(Log!$E$4:$E$503="A")*Log!$B$4:$B$503))=0,"",SUMPRODUCT(MIN((Log!$D$4:$D$503=$A5)*(Log!$E$4:$E$503="A")*Log!$B$4:$B$503+((Log!$D$4:$D$503&lt;&gt;$A5)+(Log!$E$4:$E$503&lt;&gt;"A")&gt;0)*9999))))</f>
        <v>1</v>
      </c>
      <c r="C5" s="34" t="n">
        <f aca="false">IF($B5="","",SUMIFS(Log!$I$4:$I$503,Log!$D$4:$D$503,$A5,Log!$B$4:$B$503,$B5,Log!$E$4:$E$503,"A"))</f>
        <v>1610</v>
      </c>
      <c r="D5" s="34" t="n">
        <f aca="false">IF($A5="","",IF(SUMPRODUCT(MAX((Log!$D$4:$D$503=$A5)*(Log!$E$4:$E$503="A")*Log!$B$4:$B$503))=0,"",SUMPRODUCT(MAX((Log!$D$4:$D$503=$A5)*(Log!$E$4:$E$503="A")*Log!$B$4:$B$503))))</f>
        <v>4</v>
      </c>
      <c r="E5" s="34" t="n">
        <f aca="false">IF($D5="","",SUMIFS(Log!$I$4:$I$503,Log!$D$4:$D$503,$A5,Log!$B$4:$B$503,$D5,Log!$E$4:$E$503,"A"))</f>
        <v>1640</v>
      </c>
      <c r="F5" s="34" t="n">
        <f aca="false">IF(OR($C5="",$E5=""),"",$E5-$C5)</f>
        <v>30</v>
      </c>
      <c r="G5" s="40" t="n">
        <f aca="false">IF(OR($C5="",$E5="",$C5=0),"",$E5/$C5-1)</f>
        <v>0.0186335403726707</v>
      </c>
      <c r="H5" s="37" t="n">
        <f aca="false">IF($D5="","",IF(SUMPRODUCT(MAX((Log!$D$4:$D$503=$A5)*(Log!$B$4:$B$503=$D5)*(Log!$E$4:$E$503="A")*(Log!$F$4:$F$503&lt;&gt;"")*Log!$F$4:$F$503))=0,"",SUMPRODUCT(MAX((Log!$D$4:$D$503=$A5)*(Log!$B$4:$B$503=$D5)*(Log!$E$4:$E$503="A")*(Log!$F$4:$F$503&lt;&gt;"")*Log!$F$4:$F$503))))</f>
        <v>80</v>
      </c>
      <c r="I5" s="37" t="n">
        <f aca="false">IF($A5="","",IF(SUMPRODUCT(MAX((Log!$D$4:$D$503=$A5)*(Log!$E$4:$E$503="A")*(Log!$F$4:$F$503&lt;&gt;"")*Log!$F$4:$F$503))=0,"",SUMPRODUCT(MAX((Log!$D$4:$D$503=$A5)*(Log!$E$4:$E$503="A")*(Log!$F$4:$F$503&lt;&gt;"")*Log!$F$4:$F$503))))</f>
        <v>105</v>
      </c>
      <c r="J5" s="37" t="n">
        <f aca="false">IF(OR($H5="",$I5=""),"",$H5-$I5)</f>
        <v>-25</v>
      </c>
      <c r="K5" s="41" t="str">
        <f aca="false">IF($G5="","",IF($G5&gt;0.05,"steigend",IF($G5&lt;-0.05,"fallend","stabil")))</f>
        <v>stabil</v>
      </c>
    </row>
    <row r="6" customFormat="false" ht="18" hidden="false" customHeight="true" outlineLevel="0" collapsed="false">
      <c r="A6" s="30" t="str">
        <f aca="false">IF(Übungen!$A6="","",Übungen!$A6)</f>
        <v>Beinstrecker</v>
      </c>
      <c r="B6" s="31" t="n">
        <f aca="false">IF($A6="","",IF(SUMPRODUCT(MAX((Log!$D$4:$D$503=$A6)*(Log!$E$4:$E$503="A")*Log!$B$4:$B$503))=0,"",SUMPRODUCT(MIN((Log!$D$4:$D$503=$A6)*(Log!$E$4:$E$503="A")*Log!$B$4:$B$503+((Log!$D$4:$D$503&lt;&gt;$A6)+(Log!$E$4:$E$503&lt;&gt;"A")&gt;0)*9999))))</f>
        <v>1</v>
      </c>
      <c r="C6" s="31" t="n">
        <f aca="false">IF($B6="","",SUMIFS(Log!$I$4:$I$503,Log!$D$4:$D$503,$A6,Log!$B$4:$B$503,$B6,Log!$E$4:$E$503,"A"))</f>
        <v>1205</v>
      </c>
      <c r="D6" s="31" t="n">
        <f aca="false">IF($A6="","",IF(SUMPRODUCT(MAX((Log!$D$4:$D$503=$A6)*(Log!$E$4:$E$503="A")*Log!$B$4:$B$503))=0,"",SUMPRODUCT(MAX((Log!$D$4:$D$503=$A6)*(Log!$E$4:$E$503="A")*Log!$B$4:$B$503))))</f>
        <v>4</v>
      </c>
      <c r="E6" s="31" t="n">
        <f aca="false">IF($D6="","",SUMIFS(Log!$I$4:$I$503,Log!$D$4:$D$503,$A6,Log!$B$4:$B$503,$D6,Log!$E$4:$E$503,"A"))</f>
        <v>1600</v>
      </c>
      <c r="F6" s="31" t="n">
        <f aca="false">IF(OR($C6="",$E6=""),"",$E6-$C6)</f>
        <v>395</v>
      </c>
      <c r="G6" s="38" t="n">
        <f aca="false">IF(OR($C6="",$E6="",$C6=0),"",$E6/$C6-1)</f>
        <v>0.327800829875519</v>
      </c>
      <c r="H6" s="35" t="n">
        <f aca="false">IF($D6="","",IF(SUMPRODUCT(MAX((Log!$D$4:$D$503=$A6)*(Log!$B$4:$B$503=$D6)*(Log!$E$4:$E$503="A")*(Log!$F$4:$F$503&lt;&gt;"")*Log!$F$4:$F$503))=0,"",SUMPRODUCT(MAX((Log!$D$4:$D$503=$A6)*(Log!$B$4:$B$503=$D6)*(Log!$E$4:$E$503="A")*(Log!$F$4:$F$503&lt;&gt;"")*Log!$F$4:$F$503))))</f>
        <v>80</v>
      </c>
      <c r="I6" s="35" t="n">
        <f aca="false">IF($A6="","",IF(SUMPRODUCT(MAX((Log!$D$4:$D$503=$A6)*(Log!$E$4:$E$503="A")*(Log!$F$4:$F$503&lt;&gt;"")*Log!$F$4:$F$503))=0,"",SUMPRODUCT(MAX((Log!$D$4:$D$503=$A6)*(Log!$E$4:$E$503="A")*(Log!$F$4:$F$503&lt;&gt;"")*Log!$F$4:$F$503))))</f>
        <v>85</v>
      </c>
      <c r="J6" s="35" t="n">
        <f aca="false">IF(OR($H6="",$I6=""),"",$H6-$I6)</f>
        <v>-5</v>
      </c>
      <c r="K6" s="39" t="str">
        <f aca="false">IF($G6="","",IF($G6&gt;0.05,"steigend",IF($G6&lt;-0.05,"fallend","stabil")))</f>
        <v>steigend</v>
      </c>
    </row>
    <row r="7" customFormat="false" ht="18" hidden="false" customHeight="true" outlineLevel="0" collapsed="false">
      <c r="A7" s="33" t="str">
        <f aca="false">IF(Übungen!$A7="","",Übungen!$A7)</f>
        <v>Adduktion</v>
      </c>
      <c r="B7" s="34" t="n">
        <f aca="false">IF($A7="","",IF(SUMPRODUCT(MAX((Log!$D$4:$D$503=$A7)*(Log!$E$4:$E$503="A")*Log!$B$4:$B$503))=0,"",SUMPRODUCT(MIN((Log!$D$4:$D$503=$A7)*(Log!$E$4:$E$503="A")*Log!$B$4:$B$503+((Log!$D$4:$D$503&lt;&gt;$A7)+(Log!$E$4:$E$503&lt;&gt;"A")&gt;0)*9999))))</f>
        <v>1</v>
      </c>
      <c r="C7" s="34" t="n">
        <f aca="false">IF($B7="","",SUMIFS(Log!$I$4:$I$503,Log!$D$4:$D$503,$A7,Log!$B$4:$B$503,$B7,Log!$E$4:$E$503,"A"))</f>
        <v>4117.5</v>
      </c>
      <c r="D7" s="34" t="n">
        <f aca="false">IF($A7="","",IF(SUMPRODUCT(MAX((Log!$D$4:$D$503=$A7)*(Log!$E$4:$E$503="A")*Log!$B$4:$B$503))=0,"",SUMPRODUCT(MAX((Log!$D$4:$D$503=$A7)*(Log!$E$4:$E$503="A")*Log!$B$4:$B$503))))</f>
        <v>4</v>
      </c>
      <c r="E7" s="34" t="n">
        <f aca="false">IF($D7="","",SUMIFS(Log!$I$4:$I$503,Log!$D$4:$D$503,$A7,Log!$B$4:$B$503,$D7,Log!$E$4:$E$503,"A"))</f>
        <v>6862.5</v>
      </c>
      <c r="F7" s="34" t="n">
        <f aca="false">IF(OR($C7="",$E7=""),"",$E7-$C7)</f>
        <v>2745</v>
      </c>
      <c r="G7" s="40" t="n">
        <f aca="false">IF(OR($C7="",$E7="",$C7=0),"",$E7/$C7-1)</f>
        <v>0.666666666666667</v>
      </c>
      <c r="H7" s="37" t="n">
        <f aca="false">IF($D7="","",IF(SUMPRODUCT(MAX((Log!$D$4:$D$503=$A7)*(Log!$B$4:$B$503=$D7)*(Log!$E$4:$E$503="A")*(Log!$F$4:$F$503&lt;&gt;"")*Log!$F$4:$F$503))=0,"",SUMPRODUCT(MAX((Log!$D$4:$D$503=$A7)*(Log!$B$4:$B$503=$D7)*(Log!$E$4:$E$503="A")*(Log!$F$4:$F$503&lt;&gt;"")*Log!$F$4:$F$503))))</f>
        <v>152.5</v>
      </c>
      <c r="I7" s="37" t="n">
        <f aca="false">IF($A7="","",IF(SUMPRODUCT(MAX((Log!$D$4:$D$503=$A7)*(Log!$E$4:$E$503="A")*(Log!$F$4:$F$503&lt;&gt;"")*Log!$F$4:$F$503))=0,"",SUMPRODUCT(MAX((Log!$D$4:$D$503=$A7)*(Log!$E$4:$E$503="A")*(Log!$F$4:$F$503&lt;&gt;"")*Log!$F$4:$F$503))))</f>
        <v>152.5</v>
      </c>
      <c r="J7" s="37" t="n">
        <f aca="false">IF(OR($H7="",$I7=""),"",$H7-$I7)</f>
        <v>0</v>
      </c>
      <c r="K7" s="41" t="str">
        <f aca="false">IF($G7="","",IF($G7&gt;0.05,"steigend",IF($G7&lt;-0.05,"fallend","stabil")))</f>
        <v>steigend</v>
      </c>
    </row>
    <row r="8" customFormat="false" ht="18" hidden="false" customHeight="true" outlineLevel="0" collapsed="false">
      <c r="A8" s="30" t="str">
        <f aca="false">IF(Übungen!$A8="","",Übungen!$A8)</f>
        <v>Rumänisches Kreuzheben</v>
      </c>
      <c r="B8" s="31" t="str">
        <f aca="false">IF($A8="","",IF(SUMPRODUCT(MAX((Log!$D$4:$D$503=$A8)*(Log!$E$4:$E$503="A")*Log!$B$4:$B$503))=0,"",SUMPRODUCT(MIN((Log!$D$4:$D$503=$A8)*(Log!$E$4:$E$503="A")*Log!$B$4:$B$503+((Log!$D$4:$D$503&lt;&gt;$A8)+(Log!$E$4:$E$503&lt;&gt;"A")&gt;0)*9999))))</f>
        <v/>
      </c>
      <c r="C8" s="31" t="str">
        <f aca="false">IF($B8="","",SUMIFS(Log!$I$4:$I$503,Log!$D$4:$D$503,$A8,Log!$B$4:$B$503,$B8,Log!$E$4:$E$503,"A"))</f>
        <v/>
      </c>
      <c r="D8" s="31" t="str">
        <f aca="false">IF($A8="","",IF(SUMPRODUCT(MAX((Log!$D$4:$D$503=$A8)*(Log!$E$4:$E$503="A")*Log!$B$4:$B$503))=0,"",SUMPRODUCT(MAX((Log!$D$4:$D$503=$A8)*(Log!$E$4:$E$503="A")*Log!$B$4:$B$503))))</f>
        <v/>
      </c>
      <c r="E8" s="31" t="str">
        <f aca="false">IF($D8="","",SUMIFS(Log!$I$4:$I$503,Log!$D$4:$D$503,$A8,Log!$B$4:$B$503,$D8,Log!$E$4:$E$503,"A"))</f>
        <v/>
      </c>
      <c r="F8" s="31" t="str">
        <f aca="false">IF(OR($C8="",$E8=""),"",$E8-$C8)</f>
        <v/>
      </c>
      <c r="G8" s="38" t="str">
        <f aca="false">IF(OR($C8="",$E8="",$C8=0),"",$E8/$C8-1)</f>
        <v/>
      </c>
      <c r="H8" s="35" t="str">
        <f aca="false">IF($D8="","",IF(SUMPRODUCT(MAX((Log!$D$4:$D$503=$A8)*(Log!$B$4:$B$503=$D8)*(Log!$E$4:$E$503="A")*(Log!$F$4:$F$503&lt;&gt;"")*Log!$F$4:$F$503))=0,"",SUMPRODUCT(MAX((Log!$D$4:$D$503=$A8)*(Log!$B$4:$B$503=$D8)*(Log!$E$4:$E$503="A")*(Log!$F$4:$F$503&lt;&gt;"")*Log!$F$4:$F$503))))</f>
        <v/>
      </c>
      <c r="I8" s="35" t="str">
        <f aca="false">IF($A8="","",IF(SUMPRODUCT(MAX((Log!$D$4:$D$503=$A8)*(Log!$E$4:$E$503="A")*(Log!$F$4:$F$503&lt;&gt;"")*Log!$F$4:$F$503))=0,"",SUMPRODUCT(MAX((Log!$D$4:$D$503=$A8)*(Log!$E$4:$E$503="A")*(Log!$F$4:$F$503&lt;&gt;"")*Log!$F$4:$F$503))))</f>
        <v/>
      </c>
      <c r="J8" s="35" t="str">
        <f aca="false">IF(OR($H8="",$I8=""),"",$H8-$I8)</f>
        <v/>
      </c>
      <c r="K8" s="39" t="str">
        <f aca="false">IF($G8="","",IF($G8&gt;0.05,"steigend",IF($G8&lt;-0.05,"fallend","stabil")))</f>
        <v/>
      </c>
    </row>
    <row r="9" customFormat="false" ht="18" hidden="false" customHeight="true" outlineLevel="0" collapsed="false">
      <c r="A9" s="33" t="str">
        <f aca="false">IF(Übungen!$A9="","",Übungen!$A9)</f>
        <v>Hip Thrust</v>
      </c>
      <c r="B9" s="34" t="n">
        <f aca="false">IF($A9="","",IF(SUMPRODUCT(MAX((Log!$D$4:$D$503=$A9)*(Log!$E$4:$E$503="A")*Log!$B$4:$B$503))=0,"",SUMPRODUCT(MIN((Log!$D$4:$D$503=$A9)*(Log!$E$4:$E$503="A")*Log!$B$4:$B$503+((Log!$D$4:$D$503&lt;&gt;$A9)+(Log!$E$4:$E$503&lt;&gt;"A")&gt;0)*9999))))</f>
        <v>1</v>
      </c>
      <c r="C9" s="34" t="n">
        <f aca="false">IF($B9="","",SUMIFS(Log!$I$4:$I$503,Log!$D$4:$D$503,$A9,Log!$B$4:$B$503,$B9,Log!$E$4:$E$503,"A"))</f>
        <v>4560</v>
      </c>
      <c r="D9" s="34" t="n">
        <f aca="false">IF($A9="","",IF(SUMPRODUCT(MAX((Log!$D$4:$D$503=$A9)*(Log!$E$4:$E$503="A")*Log!$B$4:$B$503))=0,"",SUMPRODUCT(MAX((Log!$D$4:$D$503=$A9)*(Log!$E$4:$E$503="A")*Log!$B$4:$B$503))))</f>
        <v>4</v>
      </c>
      <c r="E9" s="34" t="n">
        <f aca="false">IF($D9="","",SUMIFS(Log!$I$4:$I$503,Log!$D$4:$D$503,$A9,Log!$B$4:$B$503,$D9,Log!$E$4:$E$503,"A"))</f>
        <v>6480</v>
      </c>
      <c r="F9" s="34" t="n">
        <f aca="false">IF(OR($C9="",$E9=""),"",$E9-$C9)</f>
        <v>1920</v>
      </c>
      <c r="G9" s="40" t="n">
        <f aca="false">IF(OR($C9="",$E9="",$C9=0),"",$E9/$C9-1)</f>
        <v>0.421052631578947</v>
      </c>
      <c r="H9" s="37" t="n">
        <f aca="false">IF($D9="","",IF(SUMPRODUCT(MAX((Log!$D$4:$D$503=$A9)*(Log!$B$4:$B$503=$D9)*(Log!$E$4:$E$503="A")*(Log!$F$4:$F$503&lt;&gt;"")*Log!$F$4:$F$503))=0,"",SUMPRODUCT(MAX((Log!$D$4:$D$503=$A9)*(Log!$B$4:$B$503=$D9)*(Log!$E$4:$E$503="A")*(Log!$F$4:$F$503&lt;&gt;"")*Log!$F$4:$F$503))))</f>
        <v>270</v>
      </c>
      <c r="I9" s="37" t="n">
        <f aca="false">IF($A9="","",IF(SUMPRODUCT(MAX((Log!$D$4:$D$503=$A9)*(Log!$E$4:$E$503="A")*(Log!$F$4:$F$503&lt;&gt;"")*Log!$F$4:$F$503))=0,"",SUMPRODUCT(MAX((Log!$D$4:$D$503=$A9)*(Log!$E$4:$E$503="A")*(Log!$F$4:$F$503&lt;&gt;"")*Log!$F$4:$F$503))))</f>
        <v>280</v>
      </c>
      <c r="J9" s="37" t="n">
        <f aca="false">IF(OR($H9="",$I9=""),"",$H9-$I9)</f>
        <v>-10</v>
      </c>
      <c r="K9" s="41" t="str">
        <f aca="false">IF($G9="","",IF($G9&gt;0.05,"steigend",IF($G9&lt;-0.05,"fallend","stabil")))</f>
        <v>steigend</v>
      </c>
    </row>
    <row r="10" customFormat="false" ht="18" hidden="false" customHeight="true" outlineLevel="0" collapsed="false">
      <c r="A10" s="30" t="str">
        <f aca="false">IF(Übungen!$A10="","",Übungen!$A10)</f>
        <v>Beinbeuger</v>
      </c>
      <c r="B10" s="31" t="n">
        <f aca="false">IF($A10="","",IF(SUMPRODUCT(MAX((Log!$D$4:$D$503=$A10)*(Log!$E$4:$E$503="A")*Log!$B$4:$B$503))=0,"",SUMPRODUCT(MIN((Log!$D$4:$D$503=$A10)*(Log!$E$4:$E$503="A")*Log!$B$4:$B$503+((Log!$D$4:$D$503&lt;&gt;$A10)+(Log!$E$4:$E$503&lt;&gt;"A")&gt;0)*9999))))</f>
        <v>1</v>
      </c>
      <c r="C10" s="31" t="n">
        <f aca="false">IF($B10="","",SUMIFS(Log!$I$4:$I$503,Log!$D$4:$D$503,$A10,Log!$B$4:$B$503,$B10,Log!$E$4:$E$503,"A"))</f>
        <v>1130</v>
      </c>
      <c r="D10" s="31" t="n">
        <f aca="false">IF($A10="","",IF(SUMPRODUCT(MAX((Log!$D$4:$D$503=$A10)*(Log!$E$4:$E$503="A")*Log!$B$4:$B$503))=0,"",SUMPRODUCT(MAX((Log!$D$4:$D$503=$A10)*(Log!$E$4:$E$503="A")*Log!$B$4:$B$503))))</f>
        <v>3</v>
      </c>
      <c r="E10" s="31" t="n">
        <f aca="false">IF($D10="","",SUMIFS(Log!$I$4:$I$503,Log!$D$4:$D$503,$A10,Log!$B$4:$B$503,$D10,Log!$E$4:$E$503,"A"))</f>
        <v>1275</v>
      </c>
      <c r="F10" s="31" t="n">
        <f aca="false">IF(OR($C10="",$E10=""),"",$E10-$C10)</f>
        <v>145</v>
      </c>
      <c r="G10" s="38" t="n">
        <f aca="false">IF(OR($C10="",$E10="",$C10=0),"",$E10/$C10-1)</f>
        <v>0.128318584070797</v>
      </c>
      <c r="H10" s="35" t="n">
        <f aca="false">IF($D10="","",IF(SUMPRODUCT(MAX((Log!$D$4:$D$503=$A10)*(Log!$B$4:$B$503=$D10)*(Log!$E$4:$E$503="A")*(Log!$F$4:$F$503&lt;&gt;"")*Log!$F$4:$F$503))=0,"",SUMPRODUCT(MAX((Log!$D$4:$D$503=$A10)*(Log!$B$4:$B$503=$D10)*(Log!$E$4:$E$503="A")*(Log!$F$4:$F$503&lt;&gt;"")*Log!$F$4:$F$503))))</f>
        <v>45</v>
      </c>
      <c r="I10" s="35" t="n">
        <f aca="false">IF($A10="","",IF(SUMPRODUCT(MAX((Log!$D$4:$D$503=$A10)*(Log!$E$4:$E$503="A")*(Log!$F$4:$F$503&lt;&gt;"")*Log!$F$4:$F$503))=0,"",SUMPRODUCT(MAX((Log!$D$4:$D$503=$A10)*(Log!$E$4:$E$503="A")*(Log!$F$4:$F$503&lt;&gt;"")*Log!$F$4:$F$503))))</f>
        <v>55</v>
      </c>
      <c r="J10" s="35" t="n">
        <f aca="false">IF(OR($H10="",$I10=""),"",$H10-$I10)</f>
        <v>-10</v>
      </c>
      <c r="K10" s="39" t="str">
        <f aca="false">IF($G10="","",IF($G10&gt;0.05,"steigend",IF($G10&lt;-0.05,"fallend","stabil")))</f>
        <v>steigend</v>
      </c>
    </row>
    <row r="11" customFormat="false" ht="18" hidden="false" customHeight="true" outlineLevel="0" collapsed="false">
      <c r="A11" s="33" t="str">
        <f aca="false">IF(Übungen!$A11="","",Übungen!$A11)</f>
        <v>Seitliche Kickbacks</v>
      </c>
      <c r="B11" s="34" t="n">
        <f aca="false">IF($A11="","",IF(SUMPRODUCT(MAX((Log!$D$4:$D$503=$A11)*(Log!$E$4:$E$503="A")*Log!$B$4:$B$503))=0,"",SUMPRODUCT(MIN((Log!$D$4:$D$503=$A11)*(Log!$E$4:$E$503="A")*Log!$B$4:$B$503+((Log!$D$4:$D$503&lt;&gt;$A11)+(Log!$E$4:$E$503&lt;&gt;"A")&gt;0)*9999))))</f>
        <v>1</v>
      </c>
      <c r="C11" s="34" t="n">
        <f aca="false">IF($B11="","",SUMIFS(Log!$I$4:$I$503,Log!$D$4:$D$503,$A11,Log!$B$4:$B$503,$B11,Log!$E$4:$E$503,"A"))</f>
        <v>1078</v>
      </c>
      <c r="D11" s="34" t="n">
        <f aca="false">IF($A11="","",IF(SUMPRODUCT(MAX((Log!$D$4:$D$503=$A11)*(Log!$E$4:$E$503="A")*Log!$B$4:$B$503))=0,"",SUMPRODUCT(MAX((Log!$D$4:$D$503=$A11)*(Log!$E$4:$E$503="A")*Log!$B$4:$B$503))))</f>
        <v>2</v>
      </c>
      <c r="E11" s="34" t="n">
        <f aca="false">IF($D11="","",SUMIFS(Log!$I$4:$I$503,Log!$D$4:$D$503,$A11,Log!$B$4:$B$503,$D11,Log!$E$4:$E$503,"A"))</f>
        <v>975</v>
      </c>
      <c r="F11" s="34" t="n">
        <f aca="false">IF(OR($C11="",$E11=""),"",$E11-$C11)</f>
        <v>-103</v>
      </c>
      <c r="G11" s="40" t="n">
        <f aca="false">IF(OR($C11="",$E11="",$C11=0),"",$E11/$C11-1)</f>
        <v>-0.0955473098330241</v>
      </c>
      <c r="H11" s="37" t="n">
        <f aca="false">IF($D11="","",IF(SUMPRODUCT(MAX((Log!$D$4:$D$503=$A11)*(Log!$B$4:$B$503=$D11)*(Log!$E$4:$E$503="A")*(Log!$F$4:$F$503&lt;&gt;"")*Log!$F$4:$F$503))=0,"",SUMPRODUCT(MAX((Log!$D$4:$D$503=$A11)*(Log!$B$4:$B$503=$D11)*(Log!$E$4:$E$503="A")*(Log!$F$4:$F$503&lt;&gt;"")*Log!$F$4:$F$503))))</f>
        <v>35</v>
      </c>
      <c r="I11" s="37" t="n">
        <f aca="false">IF($A11="","",IF(SUMPRODUCT(MAX((Log!$D$4:$D$503=$A11)*(Log!$E$4:$E$503="A")*(Log!$F$4:$F$503&lt;&gt;"")*Log!$F$4:$F$503))=0,"",SUMPRODUCT(MAX((Log!$D$4:$D$503=$A11)*(Log!$E$4:$E$503="A")*(Log!$F$4:$F$503&lt;&gt;"")*Log!$F$4:$F$503))))</f>
        <v>49</v>
      </c>
      <c r="J11" s="37" t="n">
        <f aca="false">IF(OR($H11="",$I11=""),"",$H11-$I11)</f>
        <v>-14</v>
      </c>
      <c r="K11" s="41" t="str">
        <f aca="false">IF($G11="","",IF($G11&gt;0.05,"steigend",IF($G11&lt;-0.05,"fallend","stabil")))</f>
        <v>fallend</v>
      </c>
    </row>
    <row r="12" customFormat="false" ht="18" hidden="false" customHeight="true" outlineLevel="0" collapsed="false">
      <c r="A12" s="30" t="str">
        <f aca="false">IF(Übungen!$A12="","",Übungen!$A12)</f>
        <v>Waden</v>
      </c>
      <c r="B12" s="31" t="n">
        <f aca="false">IF($A12="","",IF(SUMPRODUCT(MAX((Log!$D$4:$D$503=$A12)*(Log!$E$4:$E$503="A")*Log!$B$4:$B$503))=0,"",SUMPRODUCT(MIN((Log!$D$4:$D$503=$A12)*(Log!$E$4:$E$503="A")*Log!$B$4:$B$503+((Log!$D$4:$D$503&lt;&gt;$A12)+(Log!$E$4:$E$503&lt;&gt;"A")&gt;0)*9999))))</f>
        <v>1</v>
      </c>
      <c r="C12" s="31" t="n">
        <f aca="false">IF($B12="","",SUMIFS(Log!$I$4:$I$503,Log!$D$4:$D$503,$A12,Log!$B$4:$B$503,$B12,Log!$E$4:$E$503,"A"))</f>
        <v>3465</v>
      </c>
      <c r="D12" s="31" t="n">
        <f aca="false">IF($A12="","",IF(SUMPRODUCT(MAX((Log!$D$4:$D$503=$A12)*(Log!$E$4:$E$503="A")*Log!$B$4:$B$503))=0,"",SUMPRODUCT(MAX((Log!$D$4:$D$503=$A12)*(Log!$E$4:$E$503="A")*Log!$B$4:$B$503))))</f>
        <v>2</v>
      </c>
      <c r="E12" s="31" t="n">
        <f aca="false">IF($D12="","",SUMIFS(Log!$I$4:$I$503,Log!$D$4:$D$503,$A12,Log!$B$4:$B$503,$D12,Log!$E$4:$E$503,"A"))</f>
        <v>3480</v>
      </c>
      <c r="F12" s="31" t="n">
        <f aca="false">IF(OR($C12="",$E12=""),"",$E12-$C12)</f>
        <v>15</v>
      </c>
      <c r="G12" s="38" t="n">
        <f aca="false">IF(OR($C12="",$E12="",$C12=0),"",$E12/$C12-1)</f>
        <v>0.00432900432900429</v>
      </c>
      <c r="H12" s="35" t="n">
        <f aca="false">IF($D12="","",IF(SUMPRODUCT(MAX((Log!$D$4:$D$503=$A12)*(Log!$B$4:$B$503=$D12)*(Log!$E$4:$E$503="A")*(Log!$F$4:$F$503&lt;&gt;"")*Log!$F$4:$F$503))=0,"",SUMPRODUCT(MAX((Log!$D$4:$D$503=$A12)*(Log!$B$4:$B$503=$D12)*(Log!$E$4:$E$503="A")*(Log!$F$4:$F$503&lt;&gt;"")*Log!$F$4:$F$503))))</f>
        <v>150</v>
      </c>
      <c r="I12" s="35" t="n">
        <f aca="false">IF($A12="","",IF(SUMPRODUCT(MAX((Log!$D$4:$D$503=$A12)*(Log!$E$4:$E$503="A")*(Log!$F$4:$F$503&lt;&gt;"")*Log!$F$4:$F$503))=0,"",SUMPRODUCT(MAX((Log!$D$4:$D$503=$A12)*(Log!$E$4:$E$503="A")*(Log!$F$4:$F$503&lt;&gt;"")*Log!$F$4:$F$503))))</f>
        <v>150</v>
      </c>
      <c r="J12" s="35" t="n">
        <f aca="false">IF(OR($H12="",$I12=""),"",$H12-$I12)</f>
        <v>0</v>
      </c>
      <c r="K12" s="39" t="str">
        <f aca="false">IF($G12="","",IF($G12&gt;0.05,"steigend",IF($G12&lt;-0.05,"fallend","stabil")))</f>
        <v>stabil</v>
      </c>
    </row>
    <row r="13" customFormat="false" ht="18" hidden="false" customHeight="true" outlineLevel="0" collapsed="false">
      <c r="A13" s="33" t="str">
        <f aca="false">IF(Übungen!$A13="","",Übungen!$A13)</f>
        <v>Lunges</v>
      </c>
      <c r="B13" s="34" t="n">
        <f aca="false">IF($A13="","",IF(SUMPRODUCT(MAX((Log!$D$4:$D$503=$A13)*(Log!$E$4:$E$503="A")*Log!$B$4:$B$503))=0,"",SUMPRODUCT(MIN((Log!$D$4:$D$503=$A13)*(Log!$E$4:$E$503="A")*Log!$B$4:$B$503+((Log!$D$4:$D$503&lt;&gt;$A13)+(Log!$E$4:$E$503&lt;&gt;"A")&gt;0)*9999))))</f>
        <v>1</v>
      </c>
      <c r="C13" s="34" t="n">
        <f aca="false">IF($B13="","",SUMIFS(Log!$I$4:$I$503,Log!$D$4:$D$503,$A13,Log!$B$4:$B$503,$B13,Log!$E$4:$E$503,"A"))</f>
        <v>0</v>
      </c>
      <c r="D13" s="34" t="n">
        <f aca="false">IF($A13="","",IF(SUMPRODUCT(MAX((Log!$D$4:$D$503=$A13)*(Log!$E$4:$E$503="A")*Log!$B$4:$B$503))=0,"",SUMPRODUCT(MAX((Log!$D$4:$D$503=$A13)*(Log!$E$4:$E$503="A")*Log!$B$4:$B$503))))</f>
        <v>3</v>
      </c>
      <c r="E13" s="34" t="n">
        <f aca="false">IF($D13="","",SUMIFS(Log!$I$4:$I$503,Log!$D$4:$D$503,$A13,Log!$B$4:$B$503,$D13,Log!$E$4:$E$503,"A"))</f>
        <v>0</v>
      </c>
      <c r="F13" s="34" t="n">
        <f aca="false">IF(OR($C13="",$E13=""),"",$E13-$C13)</f>
        <v>0</v>
      </c>
      <c r="G13" s="40" t="str">
        <f aca="false">IF(OR($C13="",$E13="",$C13=0),"",$E13/$C13-1)</f>
        <v/>
      </c>
      <c r="H13" s="37" t="n">
        <f aca="false">IF($D13="","",IF(SUMPRODUCT(MAX((Log!$D$4:$D$503=$A13)*(Log!$B$4:$B$503=$D13)*(Log!$E$4:$E$503="A")*(Log!$F$4:$F$503&lt;&gt;"")*Log!$F$4:$F$503))=0,"",SUMPRODUCT(MAX((Log!$D$4:$D$503=$A13)*(Log!$B$4:$B$503=$D13)*(Log!$E$4:$E$503="A")*(Log!$F$4:$F$503&lt;&gt;"")*Log!$F$4:$F$503))))</f>
        <v>18</v>
      </c>
      <c r="I13" s="37" t="n">
        <f aca="false">IF($A13="","",IF(SUMPRODUCT(MAX((Log!$D$4:$D$503=$A13)*(Log!$E$4:$E$503="A")*(Log!$F$4:$F$503&lt;&gt;"")*Log!$F$4:$F$503))=0,"",SUMPRODUCT(MAX((Log!$D$4:$D$503=$A13)*(Log!$E$4:$E$503="A")*(Log!$F$4:$F$503&lt;&gt;"")*Log!$F$4:$F$503))))</f>
        <v>18</v>
      </c>
      <c r="J13" s="37" t="n">
        <f aca="false">IF(OR($H13="",$I13=""),"",$H13-$I13)</f>
        <v>0</v>
      </c>
      <c r="K13" s="41" t="str">
        <f aca="false">IF($G13="","",IF($G13&gt;0.05,"steigend",IF($G13&lt;-0.05,"fallend","stabil")))</f>
        <v/>
      </c>
    </row>
    <row r="14" customFormat="false" ht="18" hidden="false" customHeight="true" outlineLevel="0" collapsed="false">
      <c r="A14" s="30" t="str">
        <f aca="false">IF(Übungen!$A14="","",Übungen!$A14)</f>
        <v>Kickback</v>
      </c>
      <c r="B14" s="31" t="n">
        <f aca="false">IF($A14="","",IF(SUMPRODUCT(MAX((Log!$D$4:$D$503=$A14)*(Log!$E$4:$E$503="A")*Log!$B$4:$B$503))=0,"",SUMPRODUCT(MIN((Log!$D$4:$D$503=$A14)*(Log!$E$4:$E$503="A")*Log!$B$4:$B$503+((Log!$D$4:$D$503&lt;&gt;$A14)+(Log!$E$4:$E$503&lt;&gt;"A")&gt;0)*9999))))</f>
        <v>1</v>
      </c>
      <c r="C14" s="31" t="n">
        <f aca="false">IF($B14="","",SUMIFS(Log!$I$4:$I$503,Log!$D$4:$D$503,$A14,Log!$B$4:$B$503,$B14,Log!$E$4:$E$503,"A"))</f>
        <v>1974</v>
      </c>
      <c r="D14" s="31" t="n">
        <f aca="false">IF($A14="","",IF(SUMPRODUCT(MAX((Log!$D$4:$D$503=$A14)*(Log!$E$4:$E$503="A")*Log!$B$4:$B$503))=0,"",SUMPRODUCT(MAX((Log!$D$4:$D$503=$A14)*(Log!$E$4:$E$503="A")*Log!$B$4:$B$503))))</f>
        <v>4</v>
      </c>
      <c r="E14" s="31" t="n">
        <f aca="false">IF($D14="","",SUMIFS(Log!$I$4:$I$503,Log!$D$4:$D$503,$A14,Log!$B$4:$B$503,$D14,Log!$E$4:$E$503,"A"))</f>
        <v>1785</v>
      </c>
      <c r="F14" s="31" t="n">
        <f aca="false">IF(OR($C14="",$E14=""),"",$E14-$C14)</f>
        <v>-189</v>
      </c>
      <c r="G14" s="38" t="n">
        <f aca="false">IF(OR($C14="",$E14="",$C14=0),"",$E14/$C14-1)</f>
        <v>-0.0957446808510638</v>
      </c>
      <c r="H14" s="35" t="n">
        <f aca="false">IF($D14="","",IF(SUMPRODUCT(MAX((Log!$D$4:$D$503=$A14)*(Log!$B$4:$B$503=$D14)*(Log!$E$4:$E$503="A")*(Log!$F$4:$F$503&lt;&gt;"")*Log!$F$4:$F$503))=0,"",SUMPRODUCT(MAX((Log!$D$4:$D$503=$A14)*(Log!$B$4:$B$503=$D14)*(Log!$E$4:$E$503="A")*(Log!$F$4:$F$503&lt;&gt;"")*Log!$F$4:$F$503))))</f>
        <v>63</v>
      </c>
      <c r="I14" s="35" t="n">
        <f aca="false">IF($A14="","",IF(SUMPRODUCT(MAX((Log!$D$4:$D$503=$A14)*(Log!$E$4:$E$503="A")*(Log!$F$4:$F$503&lt;&gt;"")*Log!$F$4:$F$503))=0,"",SUMPRODUCT(MAX((Log!$D$4:$D$503=$A14)*(Log!$E$4:$E$503="A")*(Log!$F$4:$F$503&lt;&gt;"")*Log!$F$4:$F$503))))</f>
        <v>84</v>
      </c>
      <c r="J14" s="35" t="n">
        <f aca="false">IF(OR($H14="",$I14=""),"",$H14-$I14)</f>
        <v>-21</v>
      </c>
      <c r="K14" s="39" t="str">
        <f aca="false">IF($G14="","",IF($G14&gt;0.05,"steigend",IF($G14&lt;-0.05,"fallend","stabil")))</f>
        <v>fallend</v>
      </c>
    </row>
    <row r="15" customFormat="false" ht="18" hidden="false" customHeight="true" outlineLevel="0" collapsed="false">
      <c r="A15" s="33" t="str">
        <f aca="false">IF(Übungen!$A15="","",Übungen!$A15)</f>
        <v/>
      </c>
      <c r="B15" s="34" t="str">
        <f aca="false">IF($A15="","",IF(SUMPRODUCT(MAX((Log!$D$4:$D$503=$A15)*(Log!$E$4:$E$503="A")*Log!$B$4:$B$503))=0,"",SUMPRODUCT(MIN((Log!$D$4:$D$503=$A15)*(Log!$E$4:$E$503="A")*Log!$B$4:$B$503+((Log!$D$4:$D$503&lt;&gt;$A15)+(Log!$E$4:$E$503&lt;&gt;"A")&gt;0)*9999))))</f>
        <v/>
      </c>
      <c r="C15" s="34" t="str">
        <f aca="false">IF($B15="","",SUMIFS(Log!$I$4:$I$503,Log!$D$4:$D$503,$A15,Log!$B$4:$B$503,$B15,Log!$E$4:$E$503,"A"))</f>
        <v/>
      </c>
      <c r="D15" s="34" t="str">
        <f aca="false">IF($A15="","",IF(SUMPRODUCT(MAX((Log!$D$4:$D$503=$A15)*(Log!$E$4:$E$503="A")*Log!$B$4:$B$503))=0,"",SUMPRODUCT(MAX((Log!$D$4:$D$503=$A15)*(Log!$E$4:$E$503="A")*Log!$B$4:$B$503))))</f>
        <v/>
      </c>
      <c r="E15" s="34" t="str">
        <f aca="false">IF($D15="","",SUMIFS(Log!$I$4:$I$503,Log!$D$4:$D$503,$A15,Log!$B$4:$B$503,$D15,Log!$E$4:$E$503,"A"))</f>
        <v/>
      </c>
      <c r="F15" s="34" t="str">
        <f aca="false">IF(OR($C15="",$E15=""),"",$E15-$C15)</f>
        <v/>
      </c>
      <c r="G15" s="40" t="str">
        <f aca="false">IF(OR($C15="",$E15="",$C15=0),"",$E15/$C15-1)</f>
        <v/>
      </c>
      <c r="H15" s="37" t="str">
        <f aca="false">IF($D15="","",IF(SUMPRODUCT(MAX((Log!$D$4:$D$503=$A15)*(Log!$B$4:$B$503=$D15)*(Log!$E$4:$E$503="A")*(Log!$F$4:$F$503&lt;&gt;"")*Log!$F$4:$F$503))=0,"",SUMPRODUCT(MAX((Log!$D$4:$D$503=$A15)*(Log!$B$4:$B$503=$D15)*(Log!$E$4:$E$503="A")*(Log!$F$4:$F$503&lt;&gt;"")*Log!$F$4:$F$503))))</f>
        <v/>
      </c>
      <c r="I15" s="37" t="str">
        <f aca="false">IF($A15="","",IF(SUMPRODUCT(MAX((Log!$D$4:$D$503=$A15)*(Log!$E$4:$E$503="A")*(Log!$F$4:$F$503&lt;&gt;"")*Log!$F$4:$F$503))=0,"",SUMPRODUCT(MAX((Log!$D$4:$D$503=$A15)*(Log!$E$4:$E$503="A")*(Log!$F$4:$F$503&lt;&gt;"")*Log!$F$4:$F$503))))</f>
        <v/>
      </c>
      <c r="J15" s="37" t="str">
        <f aca="false">IF(OR($H15="",$I15=""),"",$H15-$I15)</f>
        <v/>
      </c>
      <c r="K15" s="41" t="str">
        <f aca="false">IF($G15="","",IF($G15&gt;0.05,"steigend",IF($G15&lt;-0.05,"fallend","stabil")))</f>
        <v/>
      </c>
    </row>
    <row r="16" customFormat="false" ht="18" hidden="false" customHeight="true" outlineLevel="0" collapsed="false">
      <c r="A16" s="30" t="str">
        <f aca="false">IF(Übungen!$A16="","",Übungen!$A16)</f>
        <v/>
      </c>
      <c r="B16" s="31" t="str">
        <f aca="false">IF($A16="","",IF(SUMPRODUCT(MAX((Log!$D$4:$D$503=$A16)*(Log!$E$4:$E$503="A")*Log!$B$4:$B$503))=0,"",SUMPRODUCT(MIN((Log!$D$4:$D$503=$A16)*(Log!$E$4:$E$503="A")*Log!$B$4:$B$503+((Log!$D$4:$D$503&lt;&gt;$A16)+(Log!$E$4:$E$503&lt;&gt;"A")&gt;0)*9999))))</f>
        <v/>
      </c>
      <c r="C16" s="31" t="str">
        <f aca="false">IF($B16="","",SUMIFS(Log!$I$4:$I$503,Log!$D$4:$D$503,$A16,Log!$B$4:$B$503,$B16,Log!$E$4:$E$503,"A"))</f>
        <v/>
      </c>
      <c r="D16" s="31" t="str">
        <f aca="false">IF($A16="","",IF(SUMPRODUCT(MAX((Log!$D$4:$D$503=$A16)*(Log!$E$4:$E$503="A")*Log!$B$4:$B$503))=0,"",SUMPRODUCT(MAX((Log!$D$4:$D$503=$A16)*(Log!$E$4:$E$503="A")*Log!$B$4:$B$503))))</f>
        <v/>
      </c>
      <c r="E16" s="31" t="str">
        <f aca="false">IF($D16="","",SUMIFS(Log!$I$4:$I$503,Log!$D$4:$D$503,$A16,Log!$B$4:$B$503,$D16,Log!$E$4:$E$503,"A"))</f>
        <v/>
      </c>
      <c r="F16" s="31" t="str">
        <f aca="false">IF(OR($C16="",$E16=""),"",$E16-$C16)</f>
        <v/>
      </c>
      <c r="G16" s="38" t="str">
        <f aca="false">IF(OR($C16="",$E16="",$C16=0),"",$E16/$C16-1)</f>
        <v/>
      </c>
      <c r="H16" s="35" t="str">
        <f aca="false">IF($D16="","",IF(SUMPRODUCT(MAX((Log!$D$4:$D$503=$A16)*(Log!$B$4:$B$503=$D16)*(Log!$E$4:$E$503="A")*(Log!$F$4:$F$503&lt;&gt;"")*Log!$F$4:$F$503))=0,"",SUMPRODUCT(MAX((Log!$D$4:$D$503=$A16)*(Log!$B$4:$B$503=$D16)*(Log!$E$4:$E$503="A")*(Log!$F$4:$F$503&lt;&gt;"")*Log!$F$4:$F$503))))</f>
        <v/>
      </c>
      <c r="I16" s="35" t="str">
        <f aca="false">IF($A16="","",IF(SUMPRODUCT(MAX((Log!$D$4:$D$503=$A16)*(Log!$E$4:$E$503="A")*(Log!$F$4:$F$503&lt;&gt;"")*Log!$F$4:$F$503))=0,"",SUMPRODUCT(MAX((Log!$D$4:$D$503=$A16)*(Log!$E$4:$E$503="A")*(Log!$F$4:$F$503&lt;&gt;"")*Log!$F$4:$F$503))))</f>
        <v/>
      </c>
      <c r="J16" s="35" t="str">
        <f aca="false">IF(OR($H16="",$I16=""),"",$H16-$I16)</f>
        <v/>
      </c>
      <c r="K16" s="39" t="str">
        <f aca="false">IF($G16="","",IF($G16&gt;0.05,"steigend",IF($G16&lt;-0.05,"fallend","stabil")))</f>
        <v/>
      </c>
    </row>
    <row r="17" customFormat="false" ht="18" hidden="false" customHeight="true" outlineLevel="0" collapsed="false">
      <c r="A17" s="33" t="str">
        <f aca="false">IF(Übungen!$A17="","",Übungen!$A17)</f>
        <v/>
      </c>
      <c r="B17" s="34" t="str">
        <f aca="false">IF($A17="","",IF(SUMPRODUCT(MAX((Log!$D$4:$D$503=$A17)*(Log!$E$4:$E$503="A")*Log!$B$4:$B$503))=0,"",SUMPRODUCT(MIN((Log!$D$4:$D$503=$A17)*(Log!$E$4:$E$503="A")*Log!$B$4:$B$503+((Log!$D$4:$D$503&lt;&gt;$A17)+(Log!$E$4:$E$503&lt;&gt;"A")&gt;0)*9999))))</f>
        <v/>
      </c>
      <c r="C17" s="34" t="str">
        <f aca="false">IF($B17="","",SUMIFS(Log!$I$4:$I$503,Log!$D$4:$D$503,$A17,Log!$B$4:$B$503,$B17,Log!$E$4:$E$503,"A"))</f>
        <v/>
      </c>
      <c r="D17" s="34" t="str">
        <f aca="false">IF($A17="","",IF(SUMPRODUCT(MAX((Log!$D$4:$D$503=$A17)*(Log!$E$4:$E$503="A")*Log!$B$4:$B$503))=0,"",SUMPRODUCT(MAX((Log!$D$4:$D$503=$A17)*(Log!$E$4:$E$503="A")*Log!$B$4:$B$503))))</f>
        <v/>
      </c>
      <c r="E17" s="34" t="str">
        <f aca="false">IF($D17="","",SUMIFS(Log!$I$4:$I$503,Log!$D$4:$D$503,$A17,Log!$B$4:$B$503,$D17,Log!$E$4:$E$503,"A"))</f>
        <v/>
      </c>
      <c r="F17" s="34" t="str">
        <f aca="false">IF(OR($C17="",$E17=""),"",$E17-$C17)</f>
        <v/>
      </c>
      <c r="G17" s="40" t="str">
        <f aca="false">IF(OR($C17="",$E17="",$C17=0),"",$E17/$C17-1)</f>
        <v/>
      </c>
      <c r="H17" s="37" t="str">
        <f aca="false">IF($D17="","",IF(SUMPRODUCT(MAX((Log!$D$4:$D$503=$A17)*(Log!$B$4:$B$503=$D17)*(Log!$E$4:$E$503="A")*(Log!$F$4:$F$503&lt;&gt;"")*Log!$F$4:$F$503))=0,"",SUMPRODUCT(MAX((Log!$D$4:$D$503=$A17)*(Log!$B$4:$B$503=$D17)*(Log!$E$4:$E$503="A")*(Log!$F$4:$F$503&lt;&gt;"")*Log!$F$4:$F$503))))</f>
        <v/>
      </c>
      <c r="I17" s="37" t="str">
        <f aca="false">IF($A17="","",IF(SUMPRODUCT(MAX((Log!$D$4:$D$503=$A17)*(Log!$E$4:$E$503="A")*(Log!$F$4:$F$503&lt;&gt;"")*Log!$F$4:$F$503))=0,"",SUMPRODUCT(MAX((Log!$D$4:$D$503=$A17)*(Log!$E$4:$E$503="A")*(Log!$F$4:$F$503&lt;&gt;"")*Log!$F$4:$F$503))))</f>
        <v/>
      </c>
      <c r="J17" s="37" t="str">
        <f aca="false">IF(OR($H17="",$I17=""),"",$H17-$I17)</f>
        <v/>
      </c>
      <c r="K17" s="41" t="str">
        <f aca="false">IF($G17="","",IF($G17&gt;0.05,"steigend",IF($G17&lt;-0.05,"fallend","stabil")))</f>
        <v/>
      </c>
    </row>
    <row r="19" customFormat="false" ht="25.5" hidden="false" customHeight="true" outlineLevel="0" collapsed="false">
      <c r="A19" s="42" t="s">
        <v>143</v>
      </c>
      <c r="B19" s="42"/>
      <c r="C19" s="42"/>
      <c r="D19" s="42"/>
      <c r="E19" s="42"/>
      <c r="F19" s="42"/>
      <c r="G19" s="42"/>
      <c r="H19" s="42"/>
      <c r="I19" s="42"/>
      <c r="J19" s="42"/>
      <c r="K19" s="42"/>
    </row>
  </sheetData>
  <mergeCells count="3">
    <mergeCell ref="A1:K1"/>
    <mergeCell ref="A2:K2"/>
    <mergeCell ref="A19:K19"/>
  </mergeCells>
  <conditionalFormatting sqref="F4:G17">
    <cfRule type="expression" priority="2" aboveAverage="0" equalAverage="0" bottom="0" percent="0" rank="0" text="" dxfId="10">
      <formula>AND($G4&lt;&gt;"",$G4&gt;0.05)</formula>
    </cfRule>
    <cfRule type="expression" priority="3" aboveAverage="0" equalAverage="0" bottom="0" percent="0" rank="0" text="" dxfId="11">
      <formula>AND($G4&lt;&gt;"",$G4&lt;-0.05)</formula>
    </cfRule>
  </conditionalFormatting>
  <conditionalFormatting sqref="K4:K17">
    <cfRule type="expression" priority="4" aboveAverage="0" equalAverage="0" bottom="0" percent="0" rank="0" text="" dxfId="10">
      <formula>$K4="steigend"</formula>
    </cfRule>
    <cfRule type="expression" priority="5" aboveAverage="0" equalAverage="0" bottom="0" percent="0" rank="0" text="" dxfId="11">
      <formula>$K4="fallend"</formula>
    </cfRule>
  </conditionalFormatting>
  <conditionalFormatting sqref="A4:K17">
    <cfRule type="expression" priority="6" aboveAverage="0" equalAverage="0" bottom="0" percent="0" rank="0" text="" dxfId="9">
      <formula>Übungen!$I4="nein"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4"/>
    <col collapsed="false" customWidth="true" hidden="false" outlineLevel="0" max="3" min="3" style="0" width="8"/>
    <col collapsed="false" customWidth="true" hidden="false" outlineLevel="0" max="4" min="4" style="0" width="9"/>
    <col collapsed="false" customWidth="true" hidden="false" outlineLevel="0" max="5" min="5" style="0" width="13"/>
    <col collapsed="false" customWidth="true" hidden="false" outlineLevel="0" max="6" min="6" style="0" width="12"/>
    <col collapsed="false" customWidth="true" hidden="false" outlineLevel="0" max="7" min="7" style="0" width="8"/>
    <col collapsed="false" customWidth="true" hidden="false" outlineLevel="0" max="8" min="8" style="0" width="12"/>
    <col collapsed="false" customWidth="true" hidden="false" outlineLevel="0" max="9" min="9" style="0" width="8"/>
    <col collapsed="false" customWidth="true" hidden="false" outlineLevel="0" max="10" min="10" style="0" width="13"/>
    <col collapsed="false" customWidth="true" hidden="false" outlineLevel="0" max="11" min="11" style="0" width="9"/>
    <col collapsed="false" customWidth="true" hidden="false" outlineLevel="0" max="12" min="12" style="0" width="12"/>
    <col collapsed="false" customWidth="true" hidden="false" outlineLevel="0" max="13" min="13" style="0" width="8"/>
    <col collapsed="false" customWidth="true" hidden="false" outlineLevel="0" max="14" min="14" style="0" width="11"/>
  </cols>
  <sheetData>
    <row r="1" customFormat="false" ht="30" hidden="false" customHeight="true" outlineLevel="0" collapsed="false">
      <c r="A1" s="1" t="s">
        <v>144</v>
      </c>
      <c r="B1" s="1"/>
      <c r="C1" s="1"/>
      <c r="D1" s="1"/>
      <c r="E1" s="1"/>
      <c r="F1" s="1"/>
      <c r="G1" s="1"/>
      <c r="H1" s="1"/>
      <c r="I1" s="1"/>
      <c r="J1" s="1"/>
      <c r="K1" s="1"/>
      <c r="L1" s="1"/>
      <c r="M1" s="1"/>
      <c r="N1" s="1"/>
    </row>
    <row r="2" customFormat="false" ht="15" hidden="false" customHeight="true" outlineLevel="0" collapsed="false">
      <c r="A2" s="2" t="s">
        <v>145</v>
      </c>
      <c r="B2" s="2"/>
      <c r="C2" s="2"/>
      <c r="D2" s="2"/>
      <c r="E2" s="2"/>
      <c r="F2" s="2"/>
      <c r="G2" s="2"/>
      <c r="H2" s="2"/>
      <c r="I2" s="2"/>
      <c r="J2" s="2"/>
      <c r="K2" s="2"/>
      <c r="L2" s="2"/>
      <c r="M2" s="2"/>
      <c r="N2" s="2"/>
    </row>
    <row r="3" customFormat="false" ht="33.75" hidden="false" customHeight="true" outlineLevel="0" collapsed="false">
      <c r="A3" s="16" t="s">
        <v>89</v>
      </c>
      <c r="B3" s="16" t="s">
        <v>88</v>
      </c>
      <c r="C3" s="16" t="s">
        <v>146</v>
      </c>
      <c r="D3" s="16" t="s">
        <v>80</v>
      </c>
      <c r="E3" s="16" t="s">
        <v>147</v>
      </c>
      <c r="F3" s="16" t="s">
        <v>148</v>
      </c>
      <c r="G3" s="16" t="s">
        <v>149</v>
      </c>
      <c r="H3" s="16" t="s">
        <v>150</v>
      </c>
      <c r="I3" s="16" t="s">
        <v>149</v>
      </c>
      <c r="J3" s="16" t="s">
        <v>151</v>
      </c>
      <c r="K3" s="16" t="s">
        <v>135</v>
      </c>
      <c r="L3" s="16" t="s">
        <v>139</v>
      </c>
      <c r="M3" s="16" t="s">
        <v>152</v>
      </c>
      <c r="N3" s="16" t="s">
        <v>153</v>
      </c>
    </row>
    <row r="4" customFormat="false" ht="18" hidden="false" customHeight="true" outlineLevel="0" collapsed="false">
      <c r="A4" s="30" t="str">
        <f aca="false">IF(Übungen!$A4="","",Übungen!$A4)</f>
        <v>Hackenschmidt-Kniebeuge</v>
      </c>
      <c r="B4" s="43" t="str">
        <f aca="false">IF(Übungen!$B4="","",Übungen!$B4)</f>
        <v>Beine vorne</v>
      </c>
      <c r="C4" s="31" t="str">
        <f aca="false">IF($D4="","",SUMPRODUCT((COUNTIFS(Log!$D$4:$D$503,$A4,Log!$E$4:$E$503,"A",Log!$B$4:$B$503,Einheiten!$A$4:$A$27)&gt;0)*1))</f>
        <v/>
      </c>
      <c r="D4" s="31" t="str">
        <f aca="false">IF($A4="","",IF(COUNTIFS(Log!$D$4:$D$503,$A4,Log!$E$4:$E$503,"A")=0,"",COUNTIFS(Log!$D$4:$D$503,$A4,Log!$E$4:$E$503,"A")))</f>
        <v/>
      </c>
      <c r="E4" s="31" t="str">
        <f aca="false">IF($D4="","",SUMIFS(Log!$I$4:$I$503,Log!$D$4:$D$503,$A4,Log!$E$4:$E$503,"A"))</f>
        <v/>
      </c>
      <c r="F4" s="44" t="str">
        <f aca="false">IF($D4="","",IF(SUMPRODUCT(MAX((Log!$D$4:$D$503=$A4)*(Log!$E$4:$E$503="A")*(Log!$F$4:$F$503&lt;&gt;"")*Log!$F$4:$F$503))=0,"",SUMPRODUCT(MAX((Log!$D$4:$D$503=$A4)*(Log!$E$4:$E$503="A")*(Log!$F$4:$F$503&lt;&gt;"")*Log!$F$4:$F$503))))</f>
        <v/>
      </c>
      <c r="G4" s="31" t="str">
        <f aca="false">IF($F4="","",SUMPRODUCT(MAX((Log!$D$4:$D$503=$A4)*(Log!$E$4:$E$503="A")*(Log!$F$4:$F$503=$F4)*Log!$B$4:$B$503)))</f>
        <v/>
      </c>
      <c r="H4" s="44" t="str">
        <f aca="false">IF($D4="","",IF(SUMPRODUCT(MAX((Log!$D$4:$D$503=$A4)*(Log!$E$4:$E$503="A")*(Log!$F$4:$F$503&lt;&gt;"")*(Log!$G$4:$G$503&lt;&gt;"")*Log!$F$4:$F$503*(1+Log!$G$4:$G$503/30)))=0,"",SUMPRODUCT(MAX((Log!$D$4:$D$503=$A4)*(Log!$E$4:$E$503="A")*(Log!$F$4:$F$503&lt;&gt;"")*(Log!$G$4:$G$503&lt;&gt;"")*Log!$F$4:$F$503*(1+Log!$G$4:$G$503/30)))))</f>
        <v/>
      </c>
      <c r="I4" s="31" t="str">
        <f aca="false">IF($H4="","",SUMPRODUCT(MAX((Log!$D$4:$D$503=$A4)*(Log!$E$4:$E$503="A")*(Log!$F$4:$F$503&lt;&gt;"")*(Log!$G$4:$G$503&lt;&gt;"")*(ROUND(Log!$F$4:$F$503*(1+Log!$G$4:$G$503/30),6)=ROUND($H4,6))*Log!$B$4:$B$503)))</f>
        <v/>
      </c>
      <c r="J4" s="31" t="str">
        <f aca="false">IF($D4="","",IF(SUMPRODUCT(MAX((Log!$D$4:$D$503=$A4)*(Log!$E$4:$E$503="A")*(Log!$F$4:$F$503&lt;&gt;"")*(Log!$G$4:$G$503&lt;&gt;"")*Log!$F$4:$F$503*Log!$G$4:$G$503))=0,"",SUMPRODUCT(MAX((Log!$D$4:$D$503=$A4)*(Log!$E$4:$E$503="A")*(Log!$F$4:$F$503&lt;&gt;"")*(Log!$G$4:$G$503&lt;&gt;"")*Log!$F$4:$F$503*Log!$G$4:$G$503))))</f>
        <v/>
      </c>
      <c r="K4" s="31" t="str">
        <f aca="false">IF($D4="","",IF(SUMPRODUCT(MAX((Log!$D$4:$D$503=$A4)*(Log!$E$4:$E$503="A")*Log!$B$4:$B$503))=0,"",SUMPRODUCT(MAX((Log!$D$4:$D$503=$A4)*(Log!$E$4:$E$503="A")*Log!$B$4:$B$503))))</f>
        <v/>
      </c>
      <c r="L4" s="35" t="str">
        <f aca="false">IF($K4="","",IF(SUMPRODUCT(MAX((Log!$D$4:$D$503=$A4)*(Log!$B$4:$B$503=$K4)*(Log!$E$4:$E$503="A")*(Log!$F$4:$F$503&lt;&gt;"")*Log!$F$4:$F$503))=0,"",SUMPRODUCT(MAX((Log!$D$4:$D$503=$A4)*(Log!$B$4:$B$503=$K4)*(Log!$E$4:$E$503="A")*(Log!$F$4:$F$503&lt;&gt;"")*Log!$F$4:$F$503))))</f>
        <v/>
      </c>
      <c r="M4" s="31" t="str">
        <f aca="false">IF($L4="","",IF(SUMPRODUCT(MAX((Log!$D$4:$D$503=$A4)*(Log!$B$4:$B$503=$K4)*(Log!$E$4:$E$503="A")*(Log!$F$4:$F$503=$L4)*Log!$G$4:$G$503))=0,"",SUMPRODUCT(MAX((Log!$D$4:$D$503=$A4)*(Log!$B$4:$B$503=$K4)*(Log!$E$4:$E$503="A")*(Log!$F$4:$F$503=$L4)*Log!$G$4:$G$503))))</f>
        <v/>
      </c>
      <c r="N4" s="44" t="str">
        <f aca="false">IF($L4&lt;&gt;"",IF(Übungen!$H4="",ROUND($L4*1.025*2,0)/2,MIN(ROUND($L4*1.025*2,0)/2,Übungen!$H4)),IF(Übungen!$G4="","",Übungen!$G4))</f>
        <v/>
      </c>
    </row>
    <row r="5" customFormat="false" ht="18" hidden="false" customHeight="true" outlineLevel="0" collapsed="false">
      <c r="A5" s="33" t="str">
        <f aca="false">IF(Übungen!$A5="","",Übungen!$A5)</f>
        <v>Split Squat</v>
      </c>
      <c r="B5" s="4" t="str">
        <f aca="false">IF(Übungen!$B5="","",Übungen!$B5)</f>
        <v>Beine vorne</v>
      </c>
      <c r="C5" s="34" t="n">
        <f aca="false">IF($D5="","",SUMPRODUCT((COUNTIFS(Log!$D$4:$D$503,$A5,Log!$E$4:$E$503,"A",Log!$B$4:$B$503,Einheiten!$A$4:$A$27)&gt;0)*1))</f>
        <v>4</v>
      </c>
      <c r="D5" s="34" t="n">
        <f aca="false">IF($A5="","",IF(COUNTIFS(Log!$D$4:$D$503,$A5,Log!$E$4:$E$503,"A")=0,"",COUNTIFS(Log!$D$4:$D$503,$A5,Log!$E$4:$E$503,"A")))</f>
        <v>12</v>
      </c>
      <c r="E5" s="34" t="n">
        <f aca="false">IF($D5="","",SUMIFS(Log!$I$4:$I$503,Log!$D$4:$D$503,$A5,Log!$E$4:$E$503,"A"))</f>
        <v>7100</v>
      </c>
      <c r="F5" s="45" t="n">
        <f aca="false">IF($D5="","",IF(SUMPRODUCT(MAX((Log!$D$4:$D$503=$A5)*(Log!$E$4:$E$503="A")*(Log!$F$4:$F$503&lt;&gt;"")*Log!$F$4:$F$503))=0,"",SUMPRODUCT(MAX((Log!$D$4:$D$503=$A5)*(Log!$E$4:$E$503="A")*(Log!$F$4:$F$503&lt;&gt;"")*Log!$F$4:$F$503))))</f>
        <v>105</v>
      </c>
      <c r="G5" s="34" t="n">
        <f aca="false">IF($F5="","",SUMPRODUCT(MAX((Log!$D$4:$D$503=$A5)*(Log!$E$4:$E$503="A")*(Log!$F$4:$F$503=$F5)*Log!$B$4:$B$503)))</f>
        <v>2</v>
      </c>
      <c r="H5" s="45" t="n">
        <f aca="false">IF($D5="","",IF(SUMPRODUCT(MAX((Log!$D$4:$D$503=$A5)*(Log!$E$4:$E$503="A")*(Log!$F$4:$F$503&lt;&gt;"")*(Log!$G$4:$G$503&lt;&gt;"")*Log!$F$4:$F$503*(1+Log!$G$4:$G$503/30)))=0,"",SUMPRODUCT(MAX((Log!$D$4:$D$503=$A5)*(Log!$E$4:$E$503="A")*(Log!$F$4:$F$503&lt;&gt;"")*(Log!$G$4:$G$503&lt;&gt;"")*Log!$F$4:$F$503*(1+Log!$G$4:$G$503/30)))))</f>
        <v>123.5</v>
      </c>
      <c r="I5" s="34" t="n">
        <f aca="false">IF($H5="","",SUMPRODUCT(MAX((Log!$D$4:$D$503=$A5)*(Log!$E$4:$E$503="A")*(Log!$F$4:$F$503&lt;&gt;"")*(Log!$G$4:$G$503&lt;&gt;"")*(ROUND(Log!$F$4:$F$503*(1+Log!$G$4:$G$503/30),6)=ROUND($H5,6))*Log!$B$4:$B$503)))</f>
        <v>3</v>
      </c>
      <c r="J5" s="34" t="n">
        <f aca="false">IF($D5="","",IF(SUMPRODUCT(MAX((Log!$D$4:$D$503=$A5)*(Log!$E$4:$E$503="A")*(Log!$F$4:$F$503&lt;&gt;"")*(Log!$G$4:$G$503&lt;&gt;"")*Log!$F$4:$F$503*Log!$G$4:$G$503))=0,"",SUMPRODUCT(MAX((Log!$D$4:$D$503=$A5)*(Log!$E$4:$E$503="A")*(Log!$F$4:$F$503&lt;&gt;"")*(Log!$G$4:$G$503&lt;&gt;"")*Log!$F$4:$F$503*Log!$G$4:$G$503))))</f>
        <v>855</v>
      </c>
      <c r="K5" s="34" t="n">
        <f aca="false">IF($D5="","",IF(SUMPRODUCT(MAX((Log!$D$4:$D$503=$A5)*(Log!$E$4:$E$503="A")*Log!$B$4:$B$503))=0,"",SUMPRODUCT(MAX((Log!$D$4:$D$503=$A5)*(Log!$E$4:$E$503="A")*Log!$B$4:$B$503))))</f>
        <v>4</v>
      </c>
      <c r="L5" s="37" t="n">
        <f aca="false">IF($K5="","",IF(SUMPRODUCT(MAX((Log!$D$4:$D$503=$A5)*(Log!$B$4:$B$503=$K5)*(Log!$E$4:$E$503="A")*(Log!$F$4:$F$503&lt;&gt;"")*Log!$F$4:$F$503))=0,"",SUMPRODUCT(MAX((Log!$D$4:$D$503=$A5)*(Log!$B$4:$B$503=$K5)*(Log!$E$4:$E$503="A")*(Log!$F$4:$F$503&lt;&gt;"")*Log!$F$4:$F$503))))</f>
        <v>80</v>
      </c>
      <c r="M5" s="34" t="n">
        <f aca="false">IF($L5="","",IF(SUMPRODUCT(MAX((Log!$D$4:$D$503=$A5)*(Log!$B$4:$B$503=$K5)*(Log!$E$4:$E$503="A")*(Log!$F$4:$F$503=$L5)*Log!$G$4:$G$503))=0,"",SUMPRODUCT(MAX((Log!$D$4:$D$503=$A5)*(Log!$B$4:$B$503=$K5)*(Log!$E$4:$E$503="A")*(Log!$F$4:$F$503=$L5)*Log!$G$4:$G$503))))</f>
        <v>8</v>
      </c>
      <c r="N5" s="45" t="n">
        <f aca="false">IF($L5&lt;&gt;"",IF(Übungen!$H5="",ROUND($L5*1.025*2,0)/2,MIN(ROUND($L5*1.025*2,0)/2,Übungen!$H5)),IF(Übungen!$G5="","",Übungen!$G5))</f>
        <v>82</v>
      </c>
    </row>
    <row r="6" customFormat="false" ht="18" hidden="false" customHeight="true" outlineLevel="0" collapsed="false">
      <c r="A6" s="30" t="str">
        <f aca="false">IF(Übungen!$A6="","",Übungen!$A6)</f>
        <v>Beinstrecker</v>
      </c>
      <c r="B6" s="43" t="str">
        <f aca="false">IF(Übungen!$B6="","",Übungen!$B6)</f>
        <v>Beine vorne</v>
      </c>
      <c r="C6" s="31" t="n">
        <f aca="false">IF($D6="","",SUMPRODUCT((COUNTIFS(Log!$D$4:$D$503,$A6,Log!$E$4:$E$503,"A",Log!$B$4:$B$503,Einheiten!$A$4:$A$27)&gt;0)*1))</f>
        <v>4</v>
      </c>
      <c r="D6" s="31" t="n">
        <f aca="false">IF($A6="","",IF(COUNTIFS(Log!$D$4:$D$503,$A6,Log!$E$4:$E$503,"A")=0,"",COUNTIFS(Log!$D$4:$D$503,$A6,Log!$E$4:$E$503,"A")))</f>
        <v>8</v>
      </c>
      <c r="E6" s="31" t="n">
        <f aca="false">IF($D6="","",SUMIFS(Log!$I$4:$I$503,Log!$D$4:$D$503,$A6,Log!$E$4:$E$503,"A"))</f>
        <v>5865</v>
      </c>
      <c r="F6" s="44" t="n">
        <f aca="false">IF($D6="","",IF(SUMPRODUCT(MAX((Log!$D$4:$D$503=$A6)*(Log!$E$4:$E$503="A")*(Log!$F$4:$F$503&lt;&gt;"")*Log!$F$4:$F$503))=0,"",SUMPRODUCT(MAX((Log!$D$4:$D$503=$A6)*(Log!$E$4:$E$503="A")*(Log!$F$4:$F$503&lt;&gt;"")*Log!$F$4:$F$503))))</f>
        <v>85</v>
      </c>
      <c r="G6" s="31" t="n">
        <f aca="false">IF($F6="","",SUMPRODUCT(MAX((Log!$D$4:$D$503=$A6)*(Log!$E$4:$E$503="A")*(Log!$F$4:$F$503=$F6)*Log!$B$4:$B$503)))</f>
        <v>3</v>
      </c>
      <c r="H6" s="44" t="n">
        <f aca="false">IF($D6="","",IF(SUMPRODUCT(MAX((Log!$D$4:$D$503=$A6)*(Log!$E$4:$E$503="A")*(Log!$F$4:$F$503&lt;&gt;"")*(Log!$G$4:$G$503&lt;&gt;"")*Log!$F$4:$F$503*(1+Log!$G$4:$G$503/30)))=0,"",SUMPRODUCT(MAX((Log!$D$4:$D$503=$A6)*(Log!$E$4:$E$503="A")*(Log!$F$4:$F$503&lt;&gt;"")*(Log!$G$4:$G$503&lt;&gt;"")*Log!$F$4:$F$503*(1+Log!$G$4:$G$503/30)))))</f>
        <v>112</v>
      </c>
      <c r="I6" s="31" t="n">
        <f aca="false">IF($H6="","",SUMPRODUCT(MAX((Log!$D$4:$D$503=$A6)*(Log!$E$4:$E$503="A")*(Log!$F$4:$F$503&lt;&gt;"")*(Log!$G$4:$G$503&lt;&gt;"")*(ROUND(Log!$F$4:$F$503*(1+Log!$G$4:$G$503/30),6)=ROUND($H6,6))*Log!$B$4:$B$503)))</f>
        <v>4</v>
      </c>
      <c r="J6" s="31" t="n">
        <f aca="false">IF($D6="","",IF(SUMPRODUCT(MAX((Log!$D$4:$D$503=$A6)*(Log!$E$4:$E$503="A")*(Log!$F$4:$F$503&lt;&gt;"")*(Log!$G$4:$G$503&lt;&gt;"")*Log!$F$4:$F$503*Log!$G$4:$G$503))=0,"",SUMPRODUCT(MAX((Log!$D$4:$D$503=$A6)*(Log!$E$4:$E$503="A")*(Log!$F$4:$F$503&lt;&gt;"")*(Log!$G$4:$G$503&lt;&gt;"")*Log!$F$4:$F$503*Log!$G$4:$G$503))))</f>
        <v>960</v>
      </c>
      <c r="K6" s="31" t="n">
        <f aca="false">IF($D6="","",IF(SUMPRODUCT(MAX((Log!$D$4:$D$503=$A6)*(Log!$E$4:$E$503="A")*Log!$B$4:$B$503))=0,"",SUMPRODUCT(MAX((Log!$D$4:$D$503=$A6)*(Log!$E$4:$E$503="A")*Log!$B$4:$B$503))))</f>
        <v>4</v>
      </c>
      <c r="L6" s="35" t="n">
        <f aca="false">IF($K6="","",IF(SUMPRODUCT(MAX((Log!$D$4:$D$503=$A6)*(Log!$B$4:$B$503=$K6)*(Log!$E$4:$E$503="A")*(Log!$F$4:$F$503&lt;&gt;"")*Log!$F$4:$F$503))=0,"",SUMPRODUCT(MAX((Log!$D$4:$D$503=$A6)*(Log!$B$4:$B$503=$K6)*(Log!$E$4:$E$503="A")*(Log!$F$4:$F$503&lt;&gt;"")*Log!$F$4:$F$503))))</f>
        <v>80</v>
      </c>
      <c r="M6" s="31" t="n">
        <f aca="false">IF($L6="","",IF(SUMPRODUCT(MAX((Log!$D$4:$D$503=$A6)*(Log!$B$4:$B$503=$K6)*(Log!$E$4:$E$503="A")*(Log!$F$4:$F$503=$L6)*Log!$G$4:$G$503))=0,"",SUMPRODUCT(MAX((Log!$D$4:$D$503=$A6)*(Log!$B$4:$B$503=$K6)*(Log!$E$4:$E$503="A")*(Log!$F$4:$F$503=$L6)*Log!$G$4:$G$503))))</f>
        <v>12</v>
      </c>
      <c r="N6" s="44" t="n">
        <f aca="false">IF($L6&lt;&gt;"",IF(Übungen!$H6="",ROUND($L6*1.025*2,0)/2,MIN(ROUND($L6*1.025*2,0)/2,Übungen!$H6)),IF(Übungen!$G6="","",Übungen!$G6))</f>
        <v>82</v>
      </c>
    </row>
    <row r="7" customFormat="false" ht="18" hidden="false" customHeight="true" outlineLevel="0" collapsed="false">
      <c r="A7" s="33" t="str">
        <f aca="false">IF(Übungen!$A7="","",Übungen!$A7)</f>
        <v>Adduktion</v>
      </c>
      <c r="B7" s="4" t="str">
        <f aca="false">IF(Übungen!$B7="","",Übungen!$B7)</f>
        <v>Beine vorne</v>
      </c>
      <c r="C7" s="34" t="n">
        <f aca="false">IF($D7="","",SUMPRODUCT((COUNTIFS(Log!$D$4:$D$503,$A7,Log!$E$4:$E$503,"A",Log!$B$4:$B$503,Einheiten!$A$4:$A$27)&gt;0)*1))</f>
        <v>4</v>
      </c>
      <c r="D7" s="34" t="n">
        <f aca="false">IF($A7="","",IF(COUNTIFS(Log!$D$4:$D$503,$A7,Log!$E$4:$E$503,"A")=0,"",COUNTIFS(Log!$D$4:$D$503,$A7,Log!$E$4:$E$503,"A")))</f>
        <v>8</v>
      </c>
      <c r="E7" s="34" t="n">
        <f aca="false">IF($D7="","",SUMIFS(Log!$I$4:$I$503,Log!$D$4:$D$503,$A7,Log!$E$4:$E$503,"A"))</f>
        <v>21807.5</v>
      </c>
      <c r="F7" s="45" t="n">
        <f aca="false">IF($D7="","",IF(SUMPRODUCT(MAX((Log!$D$4:$D$503=$A7)*(Log!$E$4:$E$503="A")*(Log!$F$4:$F$503&lt;&gt;"")*Log!$F$4:$F$503))=0,"",SUMPRODUCT(MAX((Log!$D$4:$D$503=$A7)*(Log!$E$4:$E$503="A")*(Log!$F$4:$F$503&lt;&gt;"")*Log!$F$4:$F$503))))</f>
        <v>152.5</v>
      </c>
      <c r="G7" s="34" t="n">
        <f aca="false">IF($F7="","",SUMPRODUCT(MAX((Log!$D$4:$D$503=$A7)*(Log!$E$4:$E$503="A")*(Log!$F$4:$F$503=$F7)*Log!$B$4:$B$503)))</f>
        <v>4</v>
      </c>
      <c r="H7" s="45" t="n">
        <f aca="false">IF($D7="","",IF(SUMPRODUCT(MAX((Log!$D$4:$D$503=$A7)*(Log!$E$4:$E$503="A")*(Log!$F$4:$F$503&lt;&gt;"")*(Log!$G$4:$G$503&lt;&gt;"")*Log!$F$4:$F$503*(1+Log!$G$4:$G$503/30)))=0,"",SUMPRODUCT(MAX((Log!$D$4:$D$503=$A7)*(Log!$E$4:$E$503="A")*(Log!$F$4:$F$503&lt;&gt;"")*(Log!$G$4:$G$503&lt;&gt;"")*Log!$F$4:$F$503*(1+Log!$G$4:$G$503/30)))))</f>
        <v>279.583333333333</v>
      </c>
      <c r="I7" s="34" t="n">
        <f aca="false">IF($H7="","",SUMPRODUCT(MAX((Log!$D$4:$D$503=$A7)*(Log!$E$4:$E$503="A")*(Log!$F$4:$F$503&lt;&gt;"")*(Log!$G$4:$G$503&lt;&gt;"")*(ROUND(Log!$F$4:$F$503*(1+Log!$G$4:$G$503/30),6)=ROUND($H7,6))*Log!$B$4:$B$503)))</f>
        <v>4</v>
      </c>
      <c r="J7" s="34" t="n">
        <f aca="false">IF($D7="","",IF(SUMPRODUCT(MAX((Log!$D$4:$D$503=$A7)*(Log!$E$4:$E$503="A")*(Log!$F$4:$F$503&lt;&gt;"")*(Log!$G$4:$G$503&lt;&gt;"")*Log!$F$4:$F$503*Log!$G$4:$G$503))=0,"",SUMPRODUCT(MAX((Log!$D$4:$D$503=$A7)*(Log!$E$4:$E$503="A")*(Log!$F$4:$F$503&lt;&gt;"")*(Log!$G$4:$G$503&lt;&gt;"")*Log!$F$4:$F$503*Log!$G$4:$G$503))))</f>
        <v>3812.5</v>
      </c>
      <c r="K7" s="34" t="n">
        <f aca="false">IF($D7="","",IF(SUMPRODUCT(MAX((Log!$D$4:$D$503=$A7)*(Log!$E$4:$E$503="A")*Log!$B$4:$B$503))=0,"",SUMPRODUCT(MAX((Log!$D$4:$D$503=$A7)*(Log!$E$4:$E$503="A")*Log!$B$4:$B$503))))</f>
        <v>4</v>
      </c>
      <c r="L7" s="37" t="n">
        <f aca="false">IF($K7="","",IF(SUMPRODUCT(MAX((Log!$D$4:$D$503=$A7)*(Log!$B$4:$B$503=$K7)*(Log!$E$4:$E$503="A")*(Log!$F$4:$F$503&lt;&gt;"")*Log!$F$4:$F$503))=0,"",SUMPRODUCT(MAX((Log!$D$4:$D$503=$A7)*(Log!$B$4:$B$503=$K7)*(Log!$E$4:$E$503="A")*(Log!$F$4:$F$503&lt;&gt;"")*Log!$F$4:$F$503))))</f>
        <v>152.5</v>
      </c>
      <c r="M7" s="34" t="n">
        <f aca="false">IF($L7="","",IF(SUMPRODUCT(MAX((Log!$D$4:$D$503=$A7)*(Log!$B$4:$B$503=$K7)*(Log!$E$4:$E$503="A")*(Log!$F$4:$F$503=$L7)*Log!$G$4:$G$503))=0,"",SUMPRODUCT(MAX((Log!$D$4:$D$503=$A7)*(Log!$B$4:$B$503=$K7)*(Log!$E$4:$E$503="A")*(Log!$F$4:$F$503=$L7)*Log!$G$4:$G$503))))</f>
        <v>25</v>
      </c>
      <c r="N7" s="45" t="n">
        <f aca="false">IF($L7&lt;&gt;"",IF(Übungen!$H7="",ROUND($L7*1.025*2,0)/2,MIN(ROUND($L7*1.025*2,0)/2,Übungen!$H7)),IF(Übungen!$G7="","",Übungen!$G7))</f>
        <v>152.5</v>
      </c>
    </row>
    <row r="8" customFormat="false" ht="18" hidden="false" customHeight="true" outlineLevel="0" collapsed="false">
      <c r="A8" s="30" t="str">
        <f aca="false">IF(Übungen!$A8="","",Übungen!$A8)</f>
        <v>Rumänisches Kreuzheben</v>
      </c>
      <c r="B8" s="43" t="str">
        <f aca="false">IF(Übungen!$B8="","",Übungen!$B8)</f>
        <v>Beine hinten</v>
      </c>
      <c r="C8" s="31" t="str">
        <f aca="false">IF($D8="","",SUMPRODUCT((COUNTIFS(Log!$D$4:$D$503,$A8,Log!$E$4:$E$503,"A",Log!$B$4:$B$503,Einheiten!$A$4:$A$27)&gt;0)*1))</f>
        <v/>
      </c>
      <c r="D8" s="31" t="str">
        <f aca="false">IF($A8="","",IF(COUNTIFS(Log!$D$4:$D$503,$A8,Log!$E$4:$E$503,"A")=0,"",COUNTIFS(Log!$D$4:$D$503,$A8,Log!$E$4:$E$503,"A")))</f>
        <v/>
      </c>
      <c r="E8" s="31" t="str">
        <f aca="false">IF($D8="","",SUMIFS(Log!$I$4:$I$503,Log!$D$4:$D$503,$A8,Log!$E$4:$E$503,"A"))</f>
        <v/>
      </c>
      <c r="F8" s="44" t="str">
        <f aca="false">IF($D8="","",IF(SUMPRODUCT(MAX((Log!$D$4:$D$503=$A8)*(Log!$E$4:$E$503="A")*(Log!$F$4:$F$503&lt;&gt;"")*Log!$F$4:$F$503))=0,"",SUMPRODUCT(MAX((Log!$D$4:$D$503=$A8)*(Log!$E$4:$E$503="A")*(Log!$F$4:$F$503&lt;&gt;"")*Log!$F$4:$F$503))))</f>
        <v/>
      </c>
      <c r="G8" s="31" t="str">
        <f aca="false">IF($F8="","",SUMPRODUCT(MAX((Log!$D$4:$D$503=$A8)*(Log!$E$4:$E$503="A")*(Log!$F$4:$F$503=$F8)*Log!$B$4:$B$503)))</f>
        <v/>
      </c>
      <c r="H8" s="44" t="str">
        <f aca="false">IF($D8="","",IF(SUMPRODUCT(MAX((Log!$D$4:$D$503=$A8)*(Log!$E$4:$E$503="A")*(Log!$F$4:$F$503&lt;&gt;"")*(Log!$G$4:$G$503&lt;&gt;"")*Log!$F$4:$F$503*(1+Log!$G$4:$G$503/30)))=0,"",SUMPRODUCT(MAX((Log!$D$4:$D$503=$A8)*(Log!$E$4:$E$503="A")*(Log!$F$4:$F$503&lt;&gt;"")*(Log!$G$4:$G$503&lt;&gt;"")*Log!$F$4:$F$503*(1+Log!$G$4:$G$503/30)))))</f>
        <v/>
      </c>
      <c r="I8" s="31" t="str">
        <f aca="false">IF($H8="","",SUMPRODUCT(MAX((Log!$D$4:$D$503=$A8)*(Log!$E$4:$E$503="A")*(Log!$F$4:$F$503&lt;&gt;"")*(Log!$G$4:$G$503&lt;&gt;"")*(ROUND(Log!$F$4:$F$503*(1+Log!$G$4:$G$503/30),6)=ROUND($H8,6))*Log!$B$4:$B$503)))</f>
        <v/>
      </c>
      <c r="J8" s="31" t="str">
        <f aca="false">IF($D8="","",IF(SUMPRODUCT(MAX((Log!$D$4:$D$503=$A8)*(Log!$E$4:$E$503="A")*(Log!$F$4:$F$503&lt;&gt;"")*(Log!$G$4:$G$503&lt;&gt;"")*Log!$F$4:$F$503*Log!$G$4:$G$503))=0,"",SUMPRODUCT(MAX((Log!$D$4:$D$503=$A8)*(Log!$E$4:$E$503="A")*(Log!$F$4:$F$503&lt;&gt;"")*(Log!$G$4:$G$503&lt;&gt;"")*Log!$F$4:$F$503*Log!$G$4:$G$503))))</f>
        <v/>
      </c>
      <c r="K8" s="31" t="str">
        <f aca="false">IF($D8="","",IF(SUMPRODUCT(MAX((Log!$D$4:$D$503=$A8)*(Log!$E$4:$E$503="A")*Log!$B$4:$B$503))=0,"",SUMPRODUCT(MAX((Log!$D$4:$D$503=$A8)*(Log!$E$4:$E$503="A")*Log!$B$4:$B$503))))</f>
        <v/>
      </c>
      <c r="L8" s="35" t="str">
        <f aca="false">IF($K8="","",IF(SUMPRODUCT(MAX((Log!$D$4:$D$503=$A8)*(Log!$B$4:$B$503=$K8)*(Log!$E$4:$E$503="A")*(Log!$F$4:$F$503&lt;&gt;"")*Log!$F$4:$F$503))=0,"",SUMPRODUCT(MAX((Log!$D$4:$D$503=$A8)*(Log!$B$4:$B$503=$K8)*(Log!$E$4:$E$503="A")*(Log!$F$4:$F$503&lt;&gt;"")*Log!$F$4:$F$503))))</f>
        <v/>
      </c>
      <c r="M8" s="31" t="str">
        <f aca="false">IF($L8="","",IF(SUMPRODUCT(MAX((Log!$D$4:$D$503=$A8)*(Log!$B$4:$B$503=$K8)*(Log!$E$4:$E$503="A")*(Log!$F$4:$F$503=$L8)*Log!$G$4:$G$503))=0,"",SUMPRODUCT(MAX((Log!$D$4:$D$503=$A8)*(Log!$B$4:$B$503=$K8)*(Log!$E$4:$E$503="A")*(Log!$F$4:$F$503=$L8)*Log!$G$4:$G$503))))</f>
        <v/>
      </c>
      <c r="N8" s="44" t="str">
        <f aca="false">IF($L8&lt;&gt;"",IF(Übungen!$H8="",ROUND($L8*1.025*2,0)/2,MIN(ROUND($L8*1.025*2,0)/2,Übungen!$H8)),IF(Übungen!$G8="","",Übungen!$G8))</f>
        <v/>
      </c>
    </row>
    <row r="9" customFormat="false" ht="18" hidden="false" customHeight="true" outlineLevel="0" collapsed="false">
      <c r="A9" s="33" t="str">
        <f aca="false">IF(Übungen!$A9="","",Übungen!$A9)</f>
        <v>Hip Thrust</v>
      </c>
      <c r="B9" s="4" t="str">
        <f aca="false">IF(Übungen!$B9="","",Übungen!$B9)</f>
        <v>Beine hinten</v>
      </c>
      <c r="C9" s="34" t="n">
        <f aca="false">IF($D9="","",SUMPRODUCT((COUNTIFS(Log!$D$4:$D$503,$A9,Log!$E$4:$E$503,"A",Log!$B$4:$B$503,Einheiten!$A$4:$A$27)&gt;0)*1))</f>
        <v>4</v>
      </c>
      <c r="D9" s="34" t="n">
        <f aca="false">IF($A9="","",IF(COUNTIFS(Log!$D$4:$D$503,$A9,Log!$E$4:$E$503,"A")=0,"",COUNTIFS(Log!$D$4:$D$503,$A9,Log!$E$4:$E$503,"A")))</f>
        <v>9</v>
      </c>
      <c r="E9" s="34" t="n">
        <f aca="false">IF($D9="","",SUMIFS(Log!$I$4:$I$503,Log!$D$4:$D$503,$A9,Log!$E$4:$E$503,"A"))</f>
        <v>20060</v>
      </c>
      <c r="F9" s="45" t="n">
        <f aca="false">IF($D9="","",IF(SUMPRODUCT(MAX((Log!$D$4:$D$503=$A9)*(Log!$E$4:$E$503="A")*(Log!$F$4:$F$503&lt;&gt;"")*Log!$F$4:$F$503))=0,"",SUMPRODUCT(MAX((Log!$D$4:$D$503=$A9)*(Log!$E$4:$E$503="A")*(Log!$F$4:$F$503&lt;&gt;"")*Log!$F$4:$F$503))))</f>
        <v>280</v>
      </c>
      <c r="G9" s="34" t="n">
        <f aca="false">IF($F9="","",SUMPRODUCT(MAX((Log!$D$4:$D$503=$A9)*(Log!$E$4:$E$503="A")*(Log!$F$4:$F$503=$F9)*Log!$B$4:$B$503)))</f>
        <v>3</v>
      </c>
      <c r="H9" s="45" t="n">
        <f aca="false">IF($D9="","",IF(SUMPRODUCT(MAX((Log!$D$4:$D$503=$A9)*(Log!$E$4:$E$503="A")*(Log!$F$4:$F$503&lt;&gt;"")*(Log!$G$4:$G$503&lt;&gt;"")*Log!$F$4:$F$503*(1+Log!$G$4:$G$503/30)))=0,"",SUMPRODUCT(MAX((Log!$D$4:$D$503=$A9)*(Log!$E$4:$E$503="A")*(Log!$F$4:$F$503&lt;&gt;"")*(Log!$G$4:$G$503&lt;&gt;"")*Log!$F$4:$F$503*(1+Log!$G$4:$G$503/30)))))</f>
        <v>360</v>
      </c>
      <c r="I9" s="34" t="n">
        <f aca="false">IF($H9="","",SUMPRODUCT(MAX((Log!$D$4:$D$503=$A9)*(Log!$E$4:$E$503="A")*(Log!$F$4:$F$503&lt;&gt;"")*(Log!$G$4:$G$503&lt;&gt;"")*(ROUND(Log!$F$4:$F$503*(1+Log!$G$4:$G$503/30),6)=ROUND($H9,6))*Log!$B$4:$B$503)))</f>
        <v>3</v>
      </c>
      <c r="J9" s="34" t="n">
        <f aca="false">IF($D9="","",IF(SUMPRODUCT(MAX((Log!$D$4:$D$503=$A9)*(Log!$E$4:$E$503="A")*(Log!$F$4:$F$503&lt;&gt;"")*(Log!$G$4:$G$503&lt;&gt;"")*Log!$F$4:$F$503*Log!$G$4:$G$503))=0,"",SUMPRODUCT(MAX((Log!$D$4:$D$503=$A9)*(Log!$E$4:$E$503="A")*(Log!$F$4:$F$503&lt;&gt;"")*(Log!$G$4:$G$503&lt;&gt;"")*Log!$F$4:$F$503*Log!$G$4:$G$503))))</f>
        <v>2700</v>
      </c>
      <c r="K9" s="34" t="n">
        <f aca="false">IF($D9="","",IF(SUMPRODUCT(MAX((Log!$D$4:$D$503=$A9)*(Log!$E$4:$E$503="A")*Log!$B$4:$B$503))=0,"",SUMPRODUCT(MAX((Log!$D$4:$D$503=$A9)*(Log!$E$4:$E$503="A")*Log!$B$4:$B$503))))</f>
        <v>4</v>
      </c>
      <c r="L9" s="37" t="n">
        <f aca="false">IF($K9="","",IF(SUMPRODUCT(MAX((Log!$D$4:$D$503=$A9)*(Log!$B$4:$B$503=$K9)*(Log!$E$4:$E$503="A")*(Log!$F$4:$F$503&lt;&gt;"")*Log!$F$4:$F$503))=0,"",SUMPRODUCT(MAX((Log!$D$4:$D$503=$A9)*(Log!$B$4:$B$503=$K9)*(Log!$E$4:$E$503="A")*(Log!$F$4:$F$503&lt;&gt;"")*Log!$F$4:$F$503))))</f>
        <v>270</v>
      </c>
      <c r="M9" s="34" t="n">
        <f aca="false">IF($L9="","",IF(SUMPRODUCT(MAX((Log!$D$4:$D$503=$A9)*(Log!$B$4:$B$503=$K9)*(Log!$E$4:$E$503="A")*(Log!$F$4:$F$503=$L9)*Log!$G$4:$G$503))=0,"",SUMPRODUCT(MAX((Log!$D$4:$D$503=$A9)*(Log!$B$4:$B$503=$K9)*(Log!$E$4:$E$503="A")*(Log!$F$4:$F$503=$L9)*Log!$G$4:$G$503))))</f>
        <v>8</v>
      </c>
      <c r="N9" s="45" t="n">
        <f aca="false">IF($L9&lt;&gt;"",IF(Übungen!$H9="",ROUND($L9*1.025*2,0)/2,MIN(ROUND($L9*1.025*2,0)/2,Übungen!$H9)),IF(Übungen!$G9="","",Übungen!$G9))</f>
        <v>277</v>
      </c>
    </row>
    <row r="10" customFormat="false" ht="18" hidden="false" customHeight="true" outlineLevel="0" collapsed="false">
      <c r="A10" s="30" t="str">
        <f aca="false">IF(Übungen!$A10="","",Übungen!$A10)</f>
        <v>Beinbeuger</v>
      </c>
      <c r="B10" s="43" t="str">
        <f aca="false">IF(Übungen!$B10="","",Übungen!$B10)</f>
        <v>Beine hinten</v>
      </c>
      <c r="C10" s="31" t="n">
        <f aca="false">IF($D10="","",SUMPRODUCT((COUNTIFS(Log!$D$4:$D$503,$A10,Log!$E$4:$E$503,"A",Log!$B$4:$B$503,Einheiten!$A$4:$A$27)&gt;0)*1))</f>
        <v>3</v>
      </c>
      <c r="D10" s="31" t="n">
        <f aca="false">IF($A10="","",IF(COUNTIFS(Log!$D$4:$D$503,$A10,Log!$E$4:$E$503,"A")=0,"",COUNTIFS(Log!$D$4:$D$503,$A10,Log!$E$4:$E$503,"A")))</f>
        <v>6</v>
      </c>
      <c r="E10" s="31" t="n">
        <f aca="false">IF($D10="","",SUMIFS(Log!$I$4:$I$503,Log!$D$4:$D$503,$A10,Log!$E$4:$E$503,"A"))</f>
        <v>3555</v>
      </c>
      <c r="F10" s="44" t="n">
        <f aca="false">IF($D10="","",IF(SUMPRODUCT(MAX((Log!$D$4:$D$503=$A10)*(Log!$E$4:$E$503="A")*(Log!$F$4:$F$503&lt;&gt;"")*Log!$F$4:$F$503))=0,"",SUMPRODUCT(MAX((Log!$D$4:$D$503=$A10)*(Log!$E$4:$E$503="A")*(Log!$F$4:$F$503&lt;&gt;"")*Log!$F$4:$F$503))))</f>
        <v>55</v>
      </c>
      <c r="G10" s="31" t="n">
        <f aca="false">IF($F10="","",SUMPRODUCT(MAX((Log!$D$4:$D$503=$A10)*(Log!$E$4:$E$503="A")*(Log!$F$4:$F$503=$F10)*Log!$B$4:$B$503)))</f>
        <v>2</v>
      </c>
      <c r="H10" s="44" t="n">
        <f aca="false">IF($D10="","",IF(SUMPRODUCT(MAX((Log!$D$4:$D$503=$A10)*(Log!$E$4:$E$503="A")*(Log!$F$4:$F$503&lt;&gt;"")*(Log!$G$4:$G$503&lt;&gt;"")*Log!$F$4:$F$503*(1+Log!$G$4:$G$503/30)))=0,"",SUMPRODUCT(MAX((Log!$D$4:$D$503=$A10)*(Log!$E$4:$E$503="A")*(Log!$F$4:$F$503&lt;&gt;"")*(Log!$G$4:$G$503&lt;&gt;"")*Log!$F$4:$F$503*(1+Log!$G$4:$G$503/30)))))</f>
        <v>73.3333333333333</v>
      </c>
      <c r="I10" s="31" t="n">
        <f aca="false">IF($H10="","",SUMPRODUCT(MAX((Log!$D$4:$D$503=$A10)*(Log!$E$4:$E$503="A")*(Log!$F$4:$F$503&lt;&gt;"")*(Log!$G$4:$G$503&lt;&gt;"")*(ROUND(Log!$F$4:$F$503*(1+Log!$G$4:$G$503/30),6)=ROUND($H10,6))*Log!$B$4:$B$503)))</f>
        <v>2</v>
      </c>
      <c r="J10" s="31" t="n">
        <f aca="false">IF($D10="","",IF(SUMPRODUCT(MAX((Log!$D$4:$D$503=$A10)*(Log!$E$4:$E$503="A")*(Log!$F$4:$F$503&lt;&gt;"")*(Log!$G$4:$G$503&lt;&gt;"")*Log!$F$4:$F$503*Log!$G$4:$G$503))=0,"",SUMPRODUCT(MAX((Log!$D$4:$D$503=$A10)*(Log!$E$4:$E$503="A")*(Log!$F$4:$F$503&lt;&gt;"")*(Log!$G$4:$G$503&lt;&gt;"")*Log!$F$4:$F$503*Log!$G$4:$G$503))))</f>
        <v>675</v>
      </c>
      <c r="K10" s="31" t="n">
        <f aca="false">IF($D10="","",IF(SUMPRODUCT(MAX((Log!$D$4:$D$503=$A10)*(Log!$E$4:$E$503="A")*Log!$B$4:$B$503))=0,"",SUMPRODUCT(MAX((Log!$D$4:$D$503=$A10)*(Log!$E$4:$E$503="A")*Log!$B$4:$B$503))))</f>
        <v>3</v>
      </c>
      <c r="L10" s="35" t="n">
        <f aca="false">IF($K10="","",IF(SUMPRODUCT(MAX((Log!$D$4:$D$503=$A10)*(Log!$B$4:$B$503=$K10)*(Log!$E$4:$E$503="A")*(Log!$F$4:$F$503&lt;&gt;"")*Log!$F$4:$F$503))=0,"",SUMPRODUCT(MAX((Log!$D$4:$D$503=$A10)*(Log!$B$4:$B$503=$K10)*(Log!$E$4:$E$503="A")*(Log!$F$4:$F$503&lt;&gt;"")*Log!$F$4:$F$503))))</f>
        <v>45</v>
      </c>
      <c r="M10" s="31" t="n">
        <f aca="false">IF($L10="","",IF(SUMPRODUCT(MAX((Log!$D$4:$D$503=$A10)*(Log!$B$4:$B$503=$K10)*(Log!$E$4:$E$503="A")*(Log!$F$4:$F$503=$L10)*Log!$G$4:$G$503))=0,"",SUMPRODUCT(MAX((Log!$D$4:$D$503=$A10)*(Log!$B$4:$B$503=$K10)*(Log!$E$4:$E$503="A")*(Log!$F$4:$F$503=$L10)*Log!$G$4:$G$503))))</f>
        <v>15</v>
      </c>
      <c r="N10" s="44" t="n">
        <f aca="false">IF($L10&lt;&gt;"",IF(Übungen!$H10="",ROUND($L10*1.025*2,0)/2,MIN(ROUND($L10*1.025*2,0)/2,Übungen!$H10)),IF(Übungen!$G10="","",Übungen!$G10))</f>
        <v>46</v>
      </c>
    </row>
    <row r="11" customFormat="false" ht="18" hidden="false" customHeight="true" outlineLevel="0" collapsed="false">
      <c r="A11" s="33" t="str">
        <f aca="false">IF(Übungen!$A11="","",Übungen!$A11)</f>
        <v>Seitliche Kickbacks</v>
      </c>
      <c r="B11" s="4" t="str">
        <f aca="false">IF(Übungen!$B11="","",Übungen!$B11)</f>
        <v>Beine hinten</v>
      </c>
      <c r="C11" s="34" t="n">
        <f aca="false">IF($D11="","",SUMPRODUCT((COUNTIFS(Log!$D$4:$D$503,$A11,Log!$E$4:$E$503,"A",Log!$B$4:$B$503,Einheiten!$A$4:$A$27)&gt;0)*1))</f>
        <v>2</v>
      </c>
      <c r="D11" s="34" t="n">
        <f aca="false">IF($A11="","",IF(COUNTIFS(Log!$D$4:$D$503,$A11,Log!$E$4:$E$503,"A")=0,"",COUNTIFS(Log!$D$4:$D$503,$A11,Log!$E$4:$E$503,"A")))</f>
        <v>4</v>
      </c>
      <c r="E11" s="34" t="n">
        <f aca="false">IF($D11="","",SUMIFS(Log!$I$4:$I$503,Log!$D$4:$D$503,$A11,Log!$E$4:$E$503,"A"))</f>
        <v>2053</v>
      </c>
      <c r="F11" s="45" t="n">
        <f aca="false">IF($D11="","",IF(SUMPRODUCT(MAX((Log!$D$4:$D$503=$A11)*(Log!$E$4:$E$503="A")*(Log!$F$4:$F$503&lt;&gt;"")*Log!$F$4:$F$503))=0,"",SUMPRODUCT(MAX((Log!$D$4:$D$503=$A11)*(Log!$E$4:$E$503="A")*(Log!$F$4:$F$503&lt;&gt;"")*Log!$F$4:$F$503))))</f>
        <v>49</v>
      </c>
      <c r="G11" s="34" t="n">
        <f aca="false">IF($F11="","",SUMPRODUCT(MAX((Log!$D$4:$D$503=$A11)*(Log!$E$4:$E$503="A")*(Log!$F$4:$F$503=$F11)*Log!$B$4:$B$503)))</f>
        <v>1</v>
      </c>
      <c r="H11" s="45" t="n">
        <f aca="false">IF($D11="","",IF(SUMPRODUCT(MAX((Log!$D$4:$D$503=$A11)*(Log!$E$4:$E$503="A")*(Log!$F$4:$F$503&lt;&gt;"")*(Log!$G$4:$G$503&lt;&gt;"")*Log!$F$4:$F$503*(1+Log!$G$4:$G$503/30)))=0,"",SUMPRODUCT(MAX((Log!$D$4:$D$503=$A11)*(Log!$E$4:$E$503="A")*(Log!$F$4:$F$503&lt;&gt;"")*(Log!$G$4:$G$503&lt;&gt;"")*Log!$F$4:$F$503*(1+Log!$G$4:$G$503/30)))))</f>
        <v>68.6</v>
      </c>
      <c r="I11" s="34" t="n">
        <f aca="false">IF($H11="","",SUMPRODUCT(MAX((Log!$D$4:$D$503=$A11)*(Log!$E$4:$E$503="A")*(Log!$F$4:$F$503&lt;&gt;"")*(Log!$G$4:$G$503&lt;&gt;"")*(ROUND(Log!$F$4:$F$503*(1+Log!$G$4:$G$503/30),6)=ROUND($H11,6))*Log!$B$4:$B$503)))</f>
        <v>1</v>
      </c>
      <c r="J11" s="34" t="n">
        <f aca="false">IF($D11="","",IF(SUMPRODUCT(MAX((Log!$D$4:$D$503=$A11)*(Log!$E$4:$E$503="A")*(Log!$F$4:$F$503&lt;&gt;"")*(Log!$G$4:$G$503&lt;&gt;"")*Log!$F$4:$F$503*Log!$G$4:$G$503))=0,"",SUMPRODUCT(MAX((Log!$D$4:$D$503=$A11)*(Log!$E$4:$E$503="A")*(Log!$F$4:$F$503&lt;&gt;"")*(Log!$G$4:$G$503&lt;&gt;"")*Log!$F$4:$F$503*Log!$G$4:$G$503))))</f>
        <v>588</v>
      </c>
      <c r="K11" s="34" t="n">
        <f aca="false">IF($D11="","",IF(SUMPRODUCT(MAX((Log!$D$4:$D$503=$A11)*(Log!$E$4:$E$503="A")*Log!$B$4:$B$503))=0,"",SUMPRODUCT(MAX((Log!$D$4:$D$503=$A11)*(Log!$E$4:$E$503="A")*Log!$B$4:$B$503))))</f>
        <v>2</v>
      </c>
      <c r="L11" s="37" t="n">
        <f aca="false">IF($K11="","",IF(SUMPRODUCT(MAX((Log!$D$4:$D$503=$A11)*(Log!$B$4:$B$503=$K11)*(Log!$E$4:$E$503="A")*(Log!$F$4:$F$503&lt;&gt;"")*Log!$F$4:$F$503))=0,"",SUMPRODUCT(MAX((Log!$D$4:$D$503=$A11)*(Log!$B$4:$B$503=$K11)*(Log!$E$4:$E$503="A")*(Log!$F$4:$F$503&lt;&gt;"")*Log!$F$4:$F$503))))</f>
        <v>35</v>
      </c>
      <c r="M11" s="34" t="n">
        <f aca="false">IF($L11="","",IF(SUMPRODUCT(MAX((Log!$D$4:$D$503=$A11)*(Log!$B$4:$B$503=$K11)*(Log!$E$4:$E$503="A")*(Log!$F$4:$F$503=$L11)*Log!$G$4:$G$503))=0,"",SUMPRODUCT(MAX((Log!$D$4:$D$503=$A11)*(Log!$B$4:$B$503=$K11)*(Log!$E$4:$E$503="A")*(Log!$F$4:$F$503=$L11)*Log!$G$4:$G$503))))</f>
        <v>15</v>
      </c>
      <c r="N11" s="45" t="n">
        <f aca="false">IF($L11&lt;&gt;"",IF(Übungen!$H11="",ROUND($L11*1.025*2,0)/2,MIN(ROUND($L11*1.025*2,0)/2,Übungen!$H11)),IF(Übungen!$G11="","",Übungen!$G11))</f>
        <v>36</v>
      </c>
    </row>
    <row r="12" customFormat="false" ht="18" hidden="false" customHeight="true" outlineLevel="0" collapsed="false">
      <c r="A12" s="30" t="str">
        <f aca="false">IF(Übungen!$A12="","",Übungen!$A12)</f>
        <v>Waden</v>
      </c>
      <c r="B12" s="43" t="str">
        <f aca="false">IF(Übungen!$B12="","",Übungen!$B12)</f>
        <v>Beine hinten</v>
      </c>
      <c r="C12" s="31" t="n">
        <f aca="false">IF($D12="","",SUMPRODUCT((COUNTIFS(Log!$D$4:$D$503,$A12,Log!$E$4:$E$503,"A",Log!$B$4:$B$503,Einheiten!$A$4:$A$27)&gt;0)*1))</f>
        <v>2</v>
      </c>
      <c r="D12" s="31" t="n">
        <f aca="false">IF($A12="","",IF(COUNTIFS(Log!$D$4:$D$503,$A12,Log!$E$4:$E$503,"A")=0,"",COUNTIFS(Log!$D$4:$D$503,$A12,Log!$E$4:$E$503,"A")))</f>
        <v>4</v>
      </c>
      <c r="E12" s="31" t="n">
        <f aca="false">IF($D12="","",SUMIFS(Log!$I$4:$I$503,Log!$D$4:$D$503,$A12,Log!$E$4:$E$503,"A"))</f>
        <v>6945</v>
      </c>
      <c r="F12" s="44" t="n">
        <f aca="false">IF($D12="","",IF(SUMPRODUCT(MAX((Log!$D$4:$D$503=$A12)*(Log!$E$4:$E$503="A")*(Log!$F$4:$F$503&lt;&gt;"")*Log!$F$4:$F$503))=0,"",SUMPRODUCT(MAX((Log!$D$4:$D$503=$A12)*(Log!$E$4:$E$503="A")*(Log!$F$4:$F$503&lt;&gt;"")*Log!$F$4:$F$503))))</f>
        <v>150</v>
      </c>
      <c r="G12" s="31" t="n">
        <f aca="false">IF($F12="","",SUMPRODUCT(MAX((Log!$D$4:$D$503=$A12)*(Log!$E$4:$E$503="A")*(Log!$F$4:$F$503=$F12)*Log!$B$4:$B$503)))</f>
        <v>2</v>
      </c>
      <c r="H12" s="44" t="n">
        <f aca="false">IF($D12="","",IF(SUMPRODUCT(MAX((Log!$D$4:$D$503=$A12)*(Log!$E$4:$E$503="A")*(Log!$F$4:$F$503&lt;&gt;"")*(Log!$G$4:$G$503&lt;&gt;"")*Log!$F$4:$F$503*(1+Log!$G$4:$G$503/30)))=0,"",SUMPRODUCT(MAX((Log!$D$4:$D$503=$A12)*(Log!$E$4:$E$503="A")*(Log!$F$4:$F$503&lt;&gt;"")*(Log!$G$4:$G$503&lt;&gt;"")*Log!$F$4:$F$503*(1+Log!$G$4:$G$503/30)))))</f>
        <v>210</v>
      </c>
      <c r="I12" s="31" t="n">
        <f aca="false">IF($H12="","",SUMPRODUCT(MAX((Log!$D$4:$D$503=$A12)*(Log!$E$4:$E$503="A")*(Log!$F$4:$F$503&lt;&gt;"")*(Log!$G$4:$G$503&lt;&gt;"")*(ROUND(Log!$F$4:$F$503*(1+Log!$G$4:$G$503/30),6)=ROUND($H12,6))*Log!$B$4:$B$503)))</f>
        <v>2</v>
      </c>
      <c r="J12" s="31" t="n">
        <f aca="false">IF($D12="","",IF(SUMPRODUCT(MAX((Log!$D$4:$D$503=$A12)*(Log!$E$4:$E$503="A")*(Log!$F$4:$F$503&lt;&gt;"")*(Log!$G$4:$G$503&lt;&gt;"")*Log!$F$4:$F$503*Log!$G$4:$G$503))=0,"",SUMPRODUCT(MAX((Log!$D$4:$D$503=$A12)*(Log!$E$4:$E$503="A")*(Log!$F$4:$F$503&lt;&gt;"")*(Log!$G$4:$G$503&lt;&gt;"")*Log!$F$4:$F$503*Log!$G$4:$G$503))))</f>
        <v>1800</v>
      </c>
      <c r="K12" s="31" t="n">
        <f aca="false">IF($D12="","",IF(SUMPRODUCT(MAX((Log!$D$4:$D$503=$A12)*(Log!$E$4:$E$503="A")*Log!$B$4:$B$503))=0,"",SUMPRODUCT(MAX((Log!$D$4:$D$503=$A12)*(Log!$E$4:$E$503="A")*Log!$B$4:$B$503))))</f>
        <v>2</v>
      </c>
      <c r="L12" s="35" t="n">
        <f aca="false">IF($K12="","",IF(SUMPRODUCT(MAX((Log!$D$4:$D$503=$A12)*(Log!$B$4:$B$503=$K12)*(Log!$E$4:$E$503="A")*(Log!$F$4:$F$503&lt;&gt;"")*Log!$F$4:$F$503))=0,"",SUMPRODUCT(MAX((Log!$D$4:$D$503=$A12)*(Log!$B$4:$B$503=$K12)*(Log!$E$4:$E$503="A")*(Log!$F$4:$F$503&lt;&gt;"")*Log!$F$4:$F$503))))</f>
        <v>150</v>
      </c>
      <c r="M12" s="31" t="n">
        <f aca="false">IF($L12="","",IF(SUMPRODUCT(MAX((Log!$D$4:$D$503=$A12)*(Log!$B$4:$B$503=$K12)*(Log!$E$4:$E$503="A")*(Log!$F$4:$F$503=$L12)*Log!$G$4:$G$503))=0,"",SUMPRODUCT(MAX((Log!$D$4:$D$503=$A12)*(Log!$B$4:$B$503=$K12)*(Log!$E$4:$E$503="A")*(Log!$F$4:$F$503=$L12)*Log!$G$4:$G$503))))</f>
        <v>12</v>
      </c>
      <c r="N12" s="44" t="n">
        <f aca="false">IF($L12&lt;&gt;"",IF(Übungen!$H12="",ROUND($L12*1.025*2,0)/2,MIN(ROUND($L12*1.025*2,0)/2,Übungen!$H12)),IF(Übungen!$G12="","",Übungen!$G12))</f>
        <v>154</v>
      </c>
    </row>
    <row r="13" customFormat="false" ht="18" hidden="false" customHeight="true" outlineLevel="0" collapsed="false">
      <c r="A13" s="33" t="str">
        <f aca="false">IF(Übungen!$A13="","",Übungen!$A13)</f>
        <v>Lunges</v>
      </c>
      <c r="B13" s="4" t="str">
        <f aca="false">IF(Übungen!$B13="","",Übungen!$B13)</f>
        <v>Beine vorne</v>
      </c>
      <c r="C13" s="34" t="n">
        <f aca="false">IF($D13="","",SUMPRODUCT((COUNTIFS(Log!$D$4:$D$503,$A13,Log!$E$4:$E$503,"A",Log!$B$4:$B$503,Einheiten!$A$4:$A$27)&gt;0)*1))</f>
        <v>3</v>
      </c>
      <c r="D13" s="34" t="n">
        <f aca="false">IF($A13="","",IF(COUNTIFS(Log!$D$4:$D$503,$A13,Log!$E$4:$E$503,"A")=0,"",COUNTIFS(Log!$D$4:$D$503,$A13,Log!$E$4:$E$503,"A")))</f>
        <v>3</v>
      </c>
      <c r="E13" s="34" t="n">
        <f aca="false">IF($D13="","",SUMIFS(Log!$I$4:$I$503,Log!$D$4:$D$503,$A13,Log!$E$4:$E$503,"A"))</f>
        <v>0</v>
      </c>
      <c r="F13" s="45" t="n">
        <f aca="false">IF($D13="","",IF(SUMPRODUCT(MAX((Log!$D$4:$D$503=$A13)*(Log!$E$4:$E$503="A")*(Log!$F$4:$F$503&lt;&gt;"")*Log!$F$4:$F$503))=0,"",SUMPRODUCT(MAX((Log!$D$4:$D$503=$A13)*(Log!$E$4:$E$503="A")*(Log!$F$4:$F$503&lt;&gt;"")*Log!$F$4:$F$503))))</f>
        <v>18</v>
      </c>
      <c r="G13" s="34" t="n">
        <f aca="false">IF($F13="","",SUMPRODUCT(MAX((Log!$D$4:$D$503=$A13)*(Log!$E$4:$E$503="A")*(Log!$F$4:$F$503=$F13)*Log!$B$4:$B$503)))</f>
        <v>3</v>
      </c>
      <c r="H13" s="45" t="str">
        <f aca="false">IF($D13="","",IF(SUMPRODUCT(MAX((Log!$D$4:$D$503=$A13)*(Log!$E$4:$E$503="A")*(Log!$F$4:$F$503&lt;&gt;"")*(Log!$G$4:$G$503&lt;&gt;"")*Log!$F$4:$F$503*(1+Log!$G$4:$G$503/30)))=0,"",SUMPRODUCT(MAX((Log!$D$4:$D$503=$A13)*(Log!$E$4:$E$503="A")*(Log!$F$4:$F$503&lt;&gt;"")*(Log!$G$4:$G$503&lt;&gt;"")*Log!$F$4:$F$503*(1+Log!$G$4:$G$503/30)))))</f>
        <v/>
      </c>
      <c r="I13" s="34" t="str">
        <f aca="false">IF($H13="","",SUMPRODUCT(MAX((Log!$D$4:$D$503=$A13)*(Log!$E$4:$E$503="A")*(Log!$F$4:$F$503&lt;&gt;"")*(Log!$G$4:$G$503&lt;&gt;"")*(ROUND(Log!$F$4:$F$503*(1+Log!$G$4:$G$503/30),6)=ROUND($H13,6))*Log!$B$4:$B$503)))</f>
        <v/>
      </c>
      <c r="J13" s="34" t="str">
        <f aca="false">IF($D13="","",IF(SUMPRODUCT(MAX((Log!$D$4:$D$503=$A13)*(Log!$E$4:$E$503="A")*(Log!$F$4:$F$503&lt;&gt;"")*(Log!$G$4:$G$503&lt;&gt;"")*Log!$F$4:$F$503*Log!$G$4:$G$503))=0,"",SUMPRODUCT(MAX((Log!$D$4:$D$503=$A13)*(Log!$E$4:$E$503="A")*(Log!$F$4:$F$503&lt;&gt;"")*(Log!$G$4:$G$503&lt;&gt;"")*Log!$F$4:$F$503*Log!$G$4:$G$503))))</f>
        <v/>
      </c>
      <c r="K13" s="34" t="n">
        <f aca="false">IF($D13="","",IF(SUMPRODUCT(MAX((Log!$D$4:$D$503=$A13)*(Log!$E$4:$E$503="A")*Log!$B$4:$B$503))=0,"",SUMPRODUCT(MAX((Log!$D$4:$D$503=$A13)*(Log!$E$4:$E$503="A")*Log!$B$4:$B$503))))</f>
        <v>3</v>
      </c>
      <c r="L13" s="37" t="n">
        <f aca="false">IF($K13="","",IF(SUMPRODUCT(MAX((Log!$D$4:$D$503=$A13)*(Log!$B$4:$B$503=$K13)*(Log!$E$4:$E$503="A")*(Log!$F$4:$F$503&lt;&gt;"")*Log!$F$4:$F$503))=0,"",SUMPRODUCT(MAX((Log!$D$4:$D$503=$A13)*(Log!$B$4:$B$503=$K13)*(Log!$E$4:$E$503="A")*(Log!$F$4:$F$503&lt;&gt;"")*Log!$F$4:$F$503))))</f>
        <v>18</v>
      </c>
      <c r="M13" s="34" t="str">
        <f aca="false">IF($L13="","",IF(SUMPRODUCT(MAX((Log!$D$4:$D$503=$A13)*(Log!$B$4:$B$503=$K13)*(Log!$E$4:$E$503="A")*(Log!$F$4:$F$503=$L13)*Log!$G$4:$G$503))=0,"",SUMPRODUCT(MAX((Log!$D$4:$D$503=$A13)*(Log!$B$4:$B$503=$K13)*(Log!$E$4:$E$503="A")*(Log!$F$4:$F$503=$L13)*Log!$G$4:$G$503))))</f>
        <v/>
      </c>
      <c r="N13" s="45" t="n">
        <f aca="false">IF($L13&lt;&gt;"",IF(Übungen!$H13="",ROUND($L13*1.025*2,0)/2,MIN(ROUND($L13*1.025*2,0)/2,Übungen!$H13)),IF(Übungen!$G13="","",Übungen!$G13))</f>
        <v>18.5</v>
      </c>
    </row>
    <row r="14" customFormat="false" ht="18" hidden="false" customHeight="true" outlineLevel="0" collapsed="false">
      <c r="A14" s="30" t="str">
        <f aca="false">IF(Übungen!$A14="","",Übungen!$A14)</f>
        <v>Kickback</v>
      </c>
      <c r="B14" s="43" t="str">
        <f aca="false">IF(Übungen!$B14="","",Übungen!$B14)</f>
        <v>Beine hinten</v>
      </c>
      <c r="C14" s="31" t="n">
        <f aca="false">IF($D14="","",SUMPRODUCT((COUNTIFS(Log!$D$4:$D$503,$A14,Log!$E$4:$E$503,"A",Log!$B$4:$B$503,Einheiten!$A$4:$A$27)&gt;0)*1))</f>
        <v>4</v>
      </c>
      <c r="D14" s="31" t="n">
        <f aca="false">IF($A14="","",IF(COUNTIFS(Log!$D$4:$D$503,$A14,Log!$E$4:$E$503,"A")=0,"",COUNTIFS(Log!$D$4:$D$503,$A14,Log!$E$4:$E$503,"A")))</f>
        <v>8</v>
      </c>
      <c r="E14" s="31" t="n">
        <f aca="false">IF($D14="","",SUMIFS(Log!$I$4:$I$503,Log!$D$4:$D$503,$A14,Log!$E$4:$E$503,"A"))</f>
        <v>7119</v>
      </c>
      <c r="F14" s="44" t="n">
        <f aca="false">IF($D14="","",IF(SUMPRODUCT(MAX((Log!$D$4:$D$503=$A14)*(Log!$E$4:$E$503="A")*(Log!$F$4:$F$503&lt;&gt;"")*Log!$F$4:$F$503))=0,"",SUMPRODUCT(MAX((Log!$D$4:$D$503=$A14)*(Log!$E$4:$E$503="A")*(Log!$F$4:$F$503&lt;&gt;"")*Log!$F$4:$F$503))))</f>
        <v>84</v>
      </c>
      <c r="G14" s="31" t="n">
        <f aca="false">IF($F14="","",SUMPRODUCT(MAX((Log!$D$4:$D$503=$A14)*(Log!$E$4:$E$503="A")*(Log!$F$4:$F$503=$F14)*Log!$B$4:$B$503)))</f>
        <v>3</v>
      </c>
      <c r="H14" s="44" t="n">
        <f aca="false">IF($D14="","",IF(SUMPRODUCT(MAX((Log!$D$4:$D$503=$A14)*(Log!$E$4:$E$503="A")*(Log!$F$4:$F$503&lt;&gt;"")*(Log!$G$4:$G$503&lt;&gt;"")*Log!$F$4:$F$503*(1+Log!$G$4:$G$503/30)))=0,"",SUMPRODUCT(MAX((Log!$D$4:$D$503=$A14)*(Log!$E$4:$E$503="A")*(Log!$F$4:$F$503&lt;&gt;"")*(Log!$G$4:$G$503&lt;&gt;"")*Log!$F$4:$F$503*(1+Log!$G$4:$G$503/30)))))</f>
        <v>117.6</v>
      </c>
      <c r="I14" s="31" t="n">
        <f aca="false">IF($H14="","",SUMPRODUCT(MAX((Log!$D$4:$D$503=$A14)*(Log!$E$4:$E$503="A")*(Log!$F$4:$F$503&lt;&gt;"")*(Log!$G$4:$G$503&lt;&gt;"")*(ROUND(Log!$F$4:$F$503*(1+Log!$G$4:$G$503/30),6)=ROUND($H14,6))*Log!$B$4:$B$503)))</f>
        <v>3</v>
      </c>
      <c r="J14" s="31" t="n">
        <f aca="false">IF($D14="","",IF(SUMPRODUCT(MAX((Log!$D$4:$D$503=$A14)*(Log!$E$4:$E$503="A")*(Log!$F$4:$F$503&lt;&gt;"")*(Log!$G$4:$G$503&lt;&gt;"")*Log!$F$4:$F$503*Log!$G$4:$G$503))=0,"",SUMPRODUCT(MAX((Log!$D$4:$D$503=$A14)*(Log!$E$4:$E$503="A")*(Log!$F$4:$F$503&lt;&gt;"")*(Log!$G$4:$G$503&lt;&gt;"")*Log!$F$4:$F$503*Log!$G$4:$G$503))))</f>
        <v>1078</v>
      </c>
      <c r="K14" s="31" t="n">
        <f aca="false">IF($D14="","",IF(SUMPRODUCT(MAX((Log!$D$4:$D$503=$A14)*(Log!$E$4:$E$503="A")*Log!$B$4:$B$503))=0,"",SUMPRODUCT(MAX((Log!$D$4:$D$503=$A14)*(Log!$E$4:$E$503="A")*Log!$B$4:$B$503))))</f>
        <v>4</v>
      </c>
      <c r="L14" s="35" t="n">
        <f aca="false">IF($K14="","",IF(SUMPRODUCT(MAX((Log!$D$4:$D$503=$A14)*(Log!$B$4:$B$503=$K14)*(Log!$E$4:$E$503="A")*(Log!$F$4:$F$503&lt;&gt;"")*Log!$F$4:$F$503))=0,"",SUMPRODUCT(MAX((Log!$D$4:$D$503=$A14)*(Log!$B$4:$B$503=$K14)*(Log!$E$4:$E$503="A")*(Log!$F$4:$F$503&lt;&gt;"")*Log!$F$4:$F$503))))</f>
        <v>63</v>
      </c>
      <c r="M14" s="31" t="n">
        <f aca="false">IF($L14="","",IF(SUMPRODUCT(MAX((Log!$D$4:$D$503=$A14)*(Log!$B$4:$B$503=$K14)*(Log!$E$4:$E$503="A")*(Log!$F$4:$F$503=$L14)*Log!$G$4:$G$503))=0,"",SUMPRODUCT(MAX((Log!$D$4:$D$503=$A14)*(Log!$B$4:$B$503=$K14)*(Log!$E$4:$E$503="A")*(Log!$F$4:$F$503=$L14)*Log!$G$4:$G$503))))</f>
        <v>15</v>
      </c>
      <c r="N14" s="44" t="n">
        <f aca="false">IF($L14&lt;&gt;"",IF(Übungen!$H14="",ROUND($L14*1.025*2,0)/2,MIN(ROUND($L14*1.025*2,0)/2,Übungen!$H14)),IF(Übungen!$G14="","",Übungen!$G14))</f>
        <v>64.5</v>
      </c>
    </row>
    <row r="15" customFormat="false" ht="18" hidden="false" customHeight="true" outlineLevel="0" collapsed="false">
      <c r="A15" s="33" t="str">
        <f aca="false">IF(Übungen!$A15="","",Übungen!$A15)</f>
        <v/>
      </c>
      <c r="B15" s="4" t="str">
        <f aca="false">IF(Übungen!$B15="","",Übungen!$B15)</f>
        <v/>
      </c>
      <c r="C15" s="34" t="str">
        <f aca="false">IF($D15="","",SUMPRODUCT((COUNTIFS(Log!$D$4:$D$503,$A15,Log!$E$4:$E$503,"A",Log!$B$4:$B$503,Einheiten!$A$4:$A$27)&gt;0)*1))</f>
        <v/>
      </c>
      <c r="D15" s="34" t="str">
        <f aca="false">IF($A15="","",IF(COUNTIFS(Log!$D$4:$D$503,$A15,Log!$E$4:$E$503,"A")=0,"",COUNTIFS(Log!$D$4:$D$503,$A15,Log!$E$4:$E$503,"A")))</f>
        <v/>
      </c>
      <c r="E15" s="34" t="str">
        <f aca="false">IF($D15="","",SUMIFS(Log!$I$4:$I$503,Log!$D$4:$D$503,$A15,Log!$E$4:$E$503,"A"))</f>
        <v/>
      </c>
      <c r="F15" s="45" t="str">
        <f aca="false">IF($D15="","",IF(SUMPRODUCT(MAX((Log!$D$4:$D$503=$A15)*(Log!$E$4:$E$503="A")*(Log!$F$4:$F$503&lt;&gt;"")*Log!$F$4:$F$503))=0,"",SUMPRODUCT(MAX((Log!$D$4:$D$503=$A15)*(Log!$E$4:$E$503="A")*(Log!$F$4:$F$503&lt;&gt;"")*Log!$F$4:$F$503))))</f>
        <v/>
      </c>
      <c r="G15" s="34" t="str">
        <f aca="false">IF($F15="","",SUMPRODUCT(MAX((Log!$D$4:$D$503=$A15)*(Log!$E$4:$E$503="A")*(Log!$F$4:$F$503=$F15)*Log!$B$4:$B$503)))</f>
        <v/>
      </c>
      <c r="H15" s="45" t="str">
        <f aca="false">IF($D15="","",IF(SUMPRODUCT(MAX((Log!$D$4:$D$503=$A15)*(Log!$E$4:$E$503="A")*(Log!$F$4:$F$503&lt;&gt;"")*(Log!$G$4:$G$503&lt;&gt;"")*Log!$F$4:$F$503*(1+Log!$G$4:$G$503/30)))=0,"",SUMPRODUCT(MAX((Log!$D$4:$D$503=$A15)*(Log!$E$4:$E$503="A")*(Log!$F$4:$F$503&lt;&gt;"")*(Log!$G$4:$G$503&lt;&gt;"")*Log!$F$4:$F$503*(1+Log!$G$4:$G$503/30)))))</f>
        <v/>
      </c>
      <c r="I15" s="34" t="str">
        <f aca="false">IF($H15="","",SUMPRODUCT(MAX((Log!$D$4:$D$503=$A15)*(Log!$E$4:$E$503="A")*(Log!$F$4:$F$503&lt;&gt;"")*(Log!$G$4:$G$503&lt;&gt;"")*(ROUND(Log!$F$4:$F$503*(1+Log!$G$4:$G$503/30),6)=ROUND($H15,6))*Log!$B$4:$B$503)))</f>
        <v/>
      </c>
      <c r="J15" s="34" t="str">
        <f aca="false">IF($D15="","",IF(SUMPRODUCT(MAX((Log!$D$4:$D$503=$A15)*(Log!$E$4:$E$503="A")*(Log!$F$4:$F$503&lt;&gt;"")*(Log!$G$4:$G$503&lt;&gt;"")*Log!$F$4:$F$503*Log!$G$4:$G$503))=0,"",SUMPRODUCT(MAX((Log!$D$4:$D$503=$A15)*(Log!$E$4:$E$503="A")*(Log!$F$4:$F$503&lt;&gt;"")*(Log!$G$4:$G$503&lt;&gt;"")*Log!$F$4:$F$503*Log!$G$4:$G$503))))</f>
        <v/>
      </c>
      <c r="K15" s="34" t="str">
        <f aca="false">IF($D15="","",IF(SUMPRODUCT(MAX((Log!$D$4:$D$503=$A15)*(Log!$E$4:$E$503="A")*Log!$B$4:$B$503))=0,"",SUMPRODUCT(MAX((Log!$D$4:$D$503=$A15)*(Log!$E$4:$E$503="A")*Log!$B$4:$B$503))))</f>
        <v/>
      </c>
      <c r="L15" s="37" t="str">
        <f aca="false">IF($K15="","",IF(SUMPRODUCT(MAX((Log!$D$4:$D$503=$A15)*(Log!$B$4:$B$503=$K15)*(Log!$E$4:$E$503="A")*(Log!$F$4:$F$503&lt;&gt;"")*Log!$F$4:$F$503))=0,"",SUMPRODUCT(MAX((Log!$D$4:$D$503=$A15)*(Log!$B$4:$B$503=$K15)*(Log!$E$4:$E$503="A")*(Log!$F$4:$F$503&lt;&gt;"")*Log!$F$4:$F$503))))</f>
        <v/>
      </c>
      <c r="M15" s="34" t="str">
        <f aca="false">IF($L15="","",IF(SUMPRODUCT(MAX((Log!$D$4:$D$503=$A15)*(Log!$B$4:$B$503=$K15)*(Log!$E$4:$E$503="A")*(Log!$F$4:$F$503=$L15)*Log!$G$4:$G$503))=0,"",SUMPRODUCT(MAX((Log!$D$4:$D$503=$A15)*(Log!$B$4:$B$503=$K15)*(Log!$E$4:$E$503="A")*(Log!$F$4:$F$503=$L15)*Log!$G$4:$G$503))))</f>
        <v/>
      </c>
      <c r="N15" s="45" t="str">
        <f aca="false">IF($L15&lt;&gt;"",IF(Übungen!$H15="",ROUND($L15*1.025*2,0)/2,MIN(ROUND($L15*1.025*2,0)/2,Übungen!$H15)),IF(Übungen!$G15="","",Übungen!$G15))</f>
        <v/>
      </c>
    </row>
    <row r="16" customFormat="false" ht="18" hidden="false" customHeight="true" outlineLevel="0" collapsed="false">
      <c r="A16" s="30" t="str">
        <f aca="false">IF(Übungen!$A16="","",Übungen!$A16)</f>
        <v/>
      </c>
      <c r="B16" s="43" t="str">
        <f aca="false">IF(Übungen!$B16="","",Übungen!$B16)</f>
        <v/>
      </c>
      <c r="C16" s="31" t="str">
        <f aca="false">IF($D16="","",SUMPRODUCT((COUNTIFS(Log!$D$4:$D$503,$A16,Log!$E$4:$E$503,"A",Log!$B$4:$B$503,Einheiten!$A$4:$A$27)&gt;0)*1))</f>
        <v/>
      </c>
      <c r="D16" s="31" t="str">
        <f aca="false">IF($A16="","",IF(COUNTIFS(Log!$D$4:$D$503,$A16,Log!$E$4:$E$503,"A")=0,"",COUNTIFS(Log!$D$4:$D$503,$A16,Log!$E$4:$E$503,"A")))</f>
        <v/>
      </c>
      <c r="E16" s="31" t="str">
        <f aca="false">IF($D16="","",SUMIFS(Log!$I$4:$I$503,Log!$D$4:$D$503,$A16,Log!$E$4:$E$503,"A"))</f>
        <v/>
      </c>
      <c r="F16" s="44" t="str">
        <f aca="false">IF($D16="","",IF(SUMPRODUCT(MAX((Log!$D$4:$D$503=$A16)*(Log!$E$4:$E$503="A")*(Log!$F$4:$F$503&lt;&gt;"")*Log!$F$4:$F$503))=0,"",SUMPRODUCT(MAX((Log!$D$4:$D$503=$A16)*(Log!$E$4:$E$503="A")*(Log!$F$4:$F$503&lt;&gt;"")*Log!$F$4:$F$503))))</f>
        <v/>
      </c>
      <c r="G16" s="31" t="str">
        <f aca="false">IF($F16="","",SUMPRODUCT(MAX((Log!$D$4:$D$503=$A16)*(Log!$E$4:$E$503="A")*(Log!$F$4:$F$503=$F16)*Log!$B$4:$B$503)))</f>
        <v/>
      </c>
      <c r="H16" s="44" t="str">
        <f aca="false">IF($D16="","",IF(SUMPRODUCT(MAX((Log!$D$4:$D$503=$A16)*(Log!$E$4:$E$503="A")*(Log!$F$4:$F$503&lt;&gt;"")*(Log!$G$4:$G$503&lt;&gt;"")*Log!$F$4:$F$503*(1+Log!$G$4:$G$503/30)))=0,"",SUMPRODUCT(MAX((Log!$D$4:$D$503=$A16)*(Log!$E$4:$E$503="A")*(Log!$F$4:$F$503&lt;&gt;"")*(Log!$G$4:$G$503&lt;&gt;"")*Log!$F$4:$F$503*(1+Log!$G$4:$G$503/30)))))</f>
        <v/>
      </c>
      <c r="I16" s="31" t="str">
        <f aca="false">IF($H16="","",SUMPRODUCT(MAX((Log!$D$4:$D$503=$A16)*(Log!$E$4:$E$503="A")*(Log!$F$4:$F$503&lt;&gt;"")*(Log!$G$4:$G$503&lt;&gt;"")*(ROUND(Log!$F$4:$F$503*(1+Log!$G$4:$G$503/30),6)=ROUND($H16,6))*Log!$B$4:$B$503)))</f>
        <v/>
      </c>
      <c r="J16" s="31" t="str">
        <f aca="false">IF($D16="","",IF(SUMPRODUCT(MAX((Log!$D$4:$D$503=$A16)*(Log!$E$4:$E$503="A")*(Log!$F$4:$F$503&lt;&gt;"")*(Log!$G$4:$G$503&lt;&gt;"")*Log!$F$4:$F$503*Log!$G$4:$G$503))=0,"",SUMPRODUCT(MAX((Log!$D$4:$D$503=$A16)*(Log!$E$4:$E$503="A")*(Log!$F$4:$F$503&lt;&gt;"")*(Log!$G$4:$G$503&lt;&gt;"")*Log!$F$4:$F$503*Log!$G$4:$G$503))))</f>
        <v/>
      </c>
      <c r="K16" s="31" t="str">
        <f aca="false">IF($D16="","",IF(SUMPRODUCT(MAX((Log!$D$4:$D$503=$A16)*(Log!$E$4:$E$503="A")*Log!$B$4:$B$503))=0,"",SUMPRODUCT(MAX((Log!$D$4:$D$503=$A16)*(Log!$E$4:$E$503="A")*Log!$B$4:$B$503))))</f>
        <v/>
      </c>
      <c r="L16" s="35" t="str">
        <f aca="false">IF($K16="","",IF(SUMPRODUCT(MAX((Log!$D$4:$D$503=$A16)*(Log!$B$4:$B$503=$K16)*(Log!$E$4:$E$503="A")*(Log!$F$4:$F$503&lt;&gt;"")*Log!$F$4:$F$503))=0,"",SUMPRODUCT(MAX((Log!$D$4:$D$503=$A16)*(Log!$B$4:$B$503=$K16)*(Log!$E$4:$E$503="A")*(Log!$F$4:$F$503&lt;&gt;"")*Log!$F$4:$F$503))))</f>
        <v/>
      </c>
      <c r="M16" s="31" t="str">
        <f aca="false">IF($L16="","",IF(SUMPRODUCT(MAX((Log!$D$4:$D$503=$A16)*(Log!$B$4:$B$503=$K16)*(Log!$E$4:$E$503="A")*(Log!$F$4:$F$503=$L16)*Log!$G$4:$G$503))=0,"",SUMPRODUCT(MAX((Log!$D$4:$D$503=$A16)*(Log!$B$4:$B$503=$K16)*(Log!$E$4:$E$503="A")*(Log!$F$4:$F$503=$L16)*Log!$G$4:$G$503))))</f>
        <v/>
      </c>
      <c r="N16" s="44" t="str">
        <f aca="false">IF($L16&lt;&gt;"",IF(Übungen!$H16="",ROUND($L16*1.025*2,0)/2,MIN(ROUND($L16*1.025*2,0)/2,Übungen!$H16)),IF(Übungen!$G16="","",Übungen!$G16))</f>
        <v/>
      </c>
    </row>
    <row r="17" customFormat="false" ht="18" hidden="false" customHeight="true" outlineLevel="0" collapsed="false">
      <c r="A17" s="33" t="str">
        <f aca="false">IF(Übungen!$A17="","",Übungen!$A17)</f>
        <v/>
      </c>
      <c r="B17" s="4" t="str">
        <f aca="false">IF(Übungen!$B17="","",Übungen!$B17)</f>
        <v/>
      </c>
      <c r="C17" s="34" t="str">
        <f aca="false">IF($D17="","",SUMPRODUCT((COUNTIFS(Log!$D$4:$D$503,$A17,Log!$E$4:$E$503,"A",Log!$B$4:$B$503,Einheiten!$A$4:$A$27)&gt;0)*1))</f>
        <v/>
      </c>
      <c r="D17" s="34" t="str">
        <f aca="false">IF($A17="","",IF(COUNTIFS(Log!$D$4:$D$503,$A17,Log!$E$4:$E$503,"A")=0,"",COUNTIFS(Log!$D$4:$D$503,$A17,Log!$E$4:$E$503,"A")))</f>
        <v/>
      </c>
      <c r="E17" s="34" t="str">
        <f aca="false">IF($D17="","",SUMIFS(Log!$I$4:$I$503,Log!$D$4:$D$503,$A17,Log!$E$4:$E$503,"A"))</f>
        <v/>
      </c>
      <c r="F17" s="45" t="str">
        <f aca="false">IF($D17="","",IF(SUMPRODUCT(MAX((Log!$D$4:$D$503=$A17)*(Log!$E$4:$E$503="A")*(Log!$F$4:$F$503&lt;&gt;"")*Log!$F$4:$F$503))=0,"",SUMPRODUCT(MAX((Log!$D$4:$D$503=$A17)*(Log!$E$4:$E$503="A")*(Log!$F$4:$F$503&lt;&gt;"")*Log!$F$4:$F$503))))</f>
        <v/>
      </c>
      <c r="G17" s="34" t="str">
        <f aca="false">IF($F17="","",SUMPRODUCT(MAX((Log!$D$4:$D$503=$A17)*(Log!$E$4:$E$503="A")*(Log!$F$4:$F$503=$F17)*Log!$B$4:$B$503)))</f>
        <v/>
      </c>
      <c r="H17" s="45" t="str">
        <f aca="false">IF($D17="","",IF(SUMPRODUCT(MAX((Log!$D$4:$D$503=$A17)*(Log!$E$4:$E$503="A")*(Log!$F$4:$F$503&lt;&gt;"")*(Log!$G$4:$G$503&lt;&gt;"")*Log!$F$4:$F$503*(1+Log!$G$4:$G$503/30)))=0,"",SUMPRODUCT(MAX((Log!$D$4:$D$503=$A17)*(Log!$E$4:$E$503="A")*(Log!$F$4:$F$503&lt;&gt;"")*(Log!$G$4:$G$503&lt;&gt;"")*Log!$F$4:$F$503*(1+Log!$G$4:$G$503/30)))))</f>
        <v/>
      </c>
      <c r="I17" s="34" t="str">
        <f aca="false">IF($H17="","",SUMPRODUCT(MAX((Log!$D$4:$D$503=$A17)*(Log!$E$4:$E$503="A")*(Log!$F$4:$F$503&lt;&gt;"")*(Log!$G$4:$G$503&lt;&gt;"")*(ROUND(Log!$F$4:$F$503*(1+Log!$G$4:$G$503/30),6)=ROUND($H17,6))*Log!$B$4:$B$503)))</f>
        <v/>
      </c>
      <c r="J17" s="34" t="str">
        <f aca="false">IF($D17="","",IF(SUMPRODUCT(MAX((Log!$D$4:$D$503=$A17)*(Log!$E$4:$E$503="A")*(Log!$F$4:$F$503&lt;&gt;"")*(Log!$G$4:$G$503&lt;&gt;"")*Log!$F$4:$F$503*Log!$G$4:$G$503))=0,"",SUMPRODUCT(MAX((Log!$D$4:$D$503=$A17)*(Log!$E$4:$E$503="A")*(Log!$F$4:$F$503&lt;&gt;"")*(Log!$G$4:$G$503&lt;&gt;"")*Log!$F$4:$F$503*Log!$G$4:$G$503))))</f>
        <v/>
      </c>
      <c r="K17" s="34" t="str">
        <f aca="false">IF($D17="","",IF(SUMPRODUCT(MAX((Log!$D$4:$D$503=$A17)*(Log!$E$4:$E$503="A")*Log!$B$4:$B$503))=0,"",SUMPRODUCT(MAX((Log!$D$4:$D$503=$A17)*(Log!$E$4:$E$503="A")*Log!$B$4:$B$503))))</f>
        <v/>
      </c>
      <c r="L17" s="37" t="str">
        <f aca="false">IF($K17="","",IF(SUMPRODUCT(MAX((Log!$D$4:$D$503=$A17)*(Log!$B$4:$B$503=$K17)*(Log!$E$4:$E$503="A")*(Log!$F$4:$F$503&lt;&gt;"")*Log!$F$4:$F$503))=0,"",SUMPRODUCT(MAX((Log!$D$4:$D$503=$A17)*(Log!$B$4:$B$503=$K17)*(Log!$E$4:$E$503="A")*(Log!$F$4:$F$503&lt;&gt;"")*Log!$F$4:$F$503))))</f>
        <v/>
      </c>
      <c r="M17" s="34" t="str">
        <f aca="false">IF($L17="","",IF(SUMPRODUCT(MAX((Log!$D$4:$D$503=$A17)*(Log!$B$4:$B$503=$K17)*(Log!$E$4:$E$503="A")*(Log!$F$4:$F$503=$L17)*Log!$G$4:$G$503))=0,"",SUMPRODUCT(MAX((Log!$D$4:$D$503=$A17)*(Log!$B$4:$B$503=$K17)*(Log!$E$4:$E$503="A")*(Log!$F$4:$F$503=$L17)*Log!$G$4:$G$503))))</f>
        <v/>
      </c>
      <c r="N17" s="45" t="str">
        <f aca="false">IF($L17&lt;&gt;"",IF(Übungen!$H17="",ROUND($L17*1.025*2,0)/2,MIN(ROUND($L17*1.025*2,0)/2,Übungen!$H17)),IF(Übungen!$G17="","",Übungen!$G17))</f>
        <v/>
      </c>
    </row>
    <row r="19" customFormat="false" ht="30" hidden="false" customHeight="true" outlineLevel="0" collapsed="false">
      <c r="A19" s="42" t="s">
        <v>154</v>
      </c>
      <c r="B19" s="42"/>
      <c r="C19" s="42"/>
      <c r="D19" s="42"/>
      <c r="E19" s="42"/>
      <c r="F19" s="42"/>
      <c r="G19" s="42"/>
      <c r="H19" s="42"/>
      <c r="I19" s="42"/>
      <c r="J19" s="42"/>
      <c r="K19" s="42"/>
      <c r="L19" s="42"/>
      <c r="M19" s="42"/>
      <c r="N19" s="42"/>
    </row>
  </sheetData>
  <mergeCells count="3">
    <mergeCell ref="A1:N1"/>
    <mergeCell ref="A2:N2"/>
    <mergeCell ref="A19:N19"/>
  </mergeCells>
  <conditionalFormatting sqref="A4:N17">
    <cfRule type="expression" priority="2" aboveAverage="0" equalAverage="0" bottom="0" percent="0" rank="0" text="" dxfId="9">
      <formula>Übungen!$I4="nein"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4" min="3" style="0" width="13"/>
    <col collapsed="false" customWidth="true" hidden="false" outlineLevel="0" max="5" min="5" style="0" width="10"/>
    <col collapsed="false" customWidth="true" hidden="false" outlineLevel="0" max="6" min="6" style="0" width="8"/>
    <col collapsed="false" customWidth="true" hidden="false" outlineLevel="0" max="7" min="7" style="0" width="7"/>
    <col collapsed="false" customWidth="true" hidden="false" outlineLevel="0" max="8" min="8" style="0" width="30"/>
  </cols>
  <sheetData>
    <row r="1" customFormat="false" ht="27.75" hidden="false" customHeight="true" outlineLevel="0" collapsed="false">
      <c r="A1" s="1" t="s">
        <v>155</v>
      </c>
      <c r="B1" s="1"/>
      <c r="C1" s="1"/>
      <c r="D1" s="1"/>
      <c r="E1" s="1"/>
      <c r="F1" s="1"/>
      <c r="G1" s="1"/>
      <c r="H1" s="1"/>
    </row>
    <row r="2" customFormat="false" ht="12.75" hidden="false" customHeight="true" outlineLevel="0" collapsed="false">
      <c r="A2" s="46" t="s">
        <v>54</v>
      </c>
      <c r="B2" s="46"/>
      <c r="C2" s="47" t="s">
        <v>156</v>
      </c>
      <c r="D2" s="47" t="s">
        <v>157</v>
      </c>
      <c r="E2" s="46" t="s">
        <v>158</v>
      </c>
      <c r="F2" s="46"/>
      <c r="G2" s="46" t="s">
        <v>159</v>
      </c>
      <c r="H2" s="46"/>
    </row>
    <row r="3" customFormat="false" ht="19.5" hidden="false" customHeight="true" outlineLevel="0" collapsed="false">
      <c r="A3" s="48"/>
      <c r="B3" s="48"/>
      <c r="C3" s="48"/>
      <c r="D3" s="48"/>
      <c r="E3" s="48"/>
      <c r="F3" s="48"/>
      <c r="G3" s="48"/>
      <c r="H3" s="48"/>
    </row>
    <row r="5" customFormat="false" ht="18.75" hidden="false" customHeight="true" outlineLevel="0" collapsed="false">
      <c r="A5" s="49" t="str">
        <f aca="false">Übungen!$A$4</f>
        <v>Hackenschmidt-Kniebeuge</v>
      </c>
      <c r="B5" s="49"/>
      <c r="C5" s="49"/>
      <c r="D5" s="49"/>
      <c r="E5" s="49"/>
      <c r="F5" s="49"/>
      <c r="G5" s="49"/>
      <c r="H5" s="49"/>
    </row>
    <row r="6" customFormat="false" ht="15" hidden="false" customHeight="true" outlineLevel="0" collapsed="false">
      <c r="A6" s="50" t="str">
        <f aca="false">IF(IFERROR(INDEX(Rekorde!$L$4:$L$17,MATCH(Übungen!$A$4,Rekorde!$A$4:$A$17,0)),"")="",IF(IFERROR(INDEX(Rekorde!$N$4:$N$17,MATCH(Übungen!$A$4,Rekorde!$A$4:$A$17,0)),"")="","Neu im Plan - Startgewicht im Blatt 'Übungen' eintragen     ·     ","Neu im Plan     ·     Start: "&amp;TEXT(IFERROR(INDEX(Rekorde!$N$4:$N$17,MATCH(Übungen!$A$4,Rekorde!$A$4:$A$17,0)),""),"0.#")&amp;"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"&amp;IF(IFERROR(INDEX(Rekorde!$N$4:$N$17,MATCH(Übungen!$A$4,Rekorde!$A$4:$A$17,0)),"")="","","Ziel heute: "&amp;TEXT(IFERROR(INDEX(Rekorde!$N$4:$N$17,MATCH(Übungen!$A$4,Rekorde!$A$4:$A$17,0)),""),"0.#")&amp;" kg     ·     ")&amp;IF(AND(Übungen!$H$4&lt;&gt;"",IFERROR(INDEX(Rekorde!$N$4:$N$17,MATCH(Übungen!$A$4,Rekorde!$A$4:$A$17,0)),"")&lt;&gt;"",IFERROR(INDEX(Rekorde!$N$4:$N$17,MATCH(Übungen!$A$4,Rekorde!$A$4:$A$17,0)),"")&gt;=Übungen!$H$4),"Stackende, über Tempo und Pausen steigern     ·     ",""))&amp;"Vorgabe: "&amp;Übungen!$E$4&amp;" × "&amp;Übungen!$D$4&amp;" Wdh @ RPE "&amp;Übungen!$F$4</f>
        <v>Neu im Plan - Startgewicht im Blatt 'Übungen' eintragen     ·     Vorgabe: 3 × 6-10 Wdh @ RPE 8-9</v>
      </c>
      <c r="B6" s="50"/>
      <c r="C6" s="50"/>
      <c r="D6" s="50"/>
      <c r="E6" s="50"/>
      <c r="F6" s="50"/>
      <c r="G6" s="50"/>
      <c r="H6" s="50"/>
    </row>
    <row r="7" customFormat="false" ht="13.5" hidden="false" customHeight="true" outlineLevel="0" collapsed="false">
      <c r="A7" s="51" t="s">
        <v>160</v>
      </c>
      <c r="B7" s="51" t="s">
        <v>161</v>
      </c>
      <c r="C7" s="51" t="s">
        <v>162</v>
      </c>
      <c r="D7" s="51" t="s">
        <v>163</v>
      </c>
      <c r="E7" s="51" t="s">
        <v>92</v>
      </c>
      <c r="F7" s="51" t="s">
        <v>39</v>
      </c>
      <c r="G7" s="51" t="s">
        <v>164</v>
      </c>
      <c r="H7" s="51" t="s">
        <v>83</v>
      </c>
    </row>
    <row r="8" customFormat="false" ht="19.5" hidden="false" customHeight="true" outlineLevel="0" collapsed="false">
      <c r="A8" s="52" t="n">
        <v>1</v>
      </c>
      <c r="B8" s="53" t="s">
        <v>97</v>
      </c>
      <c r="C8" s="54" t="str">
        <f aca="false">IF(IFERROR(INDEX(Rekorde!$N$4:$N$17,MATCH(Übungen!$A$4,Rekorde!$A$4:$A$17,0)),"")="","",ROUND(IFERROR(INDEX(Rekorde!$N$4:$N$17,MATCH(Übungen!$A$4,Rekorde!$A$4:$A$17,0)),"")*0.45*2,0)/2)</f>
        <v/>
      </c>
      <c r="D8" s="55"/>
      <c r="E8" s="55"/>
      <c r="F8" s="55"/>
      <c r="G8" s="55"/>
      <c r="H8" s="55"/>
    </row>
    <row r="9" customFormat="false" ht="19.5" hidden="false" customHeight="true" outlineLevel="0" collapsed="false">
      <c r="A9" s="52" t="n">
        <v>2</v>
      </c>
      <c r="B9" s="53" t="s">
        <v>97</v>
      </c>
      <c r="C9" s="54" t="str">
        <f aca="false">IF(IFERROR(INDEX(Rekorde!$N$4:$N$17,MATCH(Übungen!$A$4,Rekorde!$A$4:$A$17,0)),"")="","",ROUND(IFERROR(INDEX(Rekorde!$N$4:$N$17,MATCH(Übungen!$A$4,Rekorde!$A$4:$A$17,0)),"")*0.7*2,0)/2)</f>
        <v/>
      </c>
      <c r="D9" s="55"/>
      <c r="E9" s="55"/>
      <c r="F9" s="55"/>
      <c r="G9" s="55"/>
      <c r="H9" s="55"/>
    </row>
    <row r="10" customFormat="false" ht="19.5" hidden="false" customHeight="true" outlineLevel="0" collapsed="false">
      <c r="A10" s="52" t="n">
        <v>3</v>
      </c>
      <c r="B10" s="56" t="s">
        <v>98</v>
      </c>
      <c r="C10" s="54" t="str">
        <f aca="false">IF(IFERROR(INDEX(Rekorde!$N$4:$N$17,MATCH(Übungen!$A$4,Rekorde!$A$4:$A$17,0)),"")="","",ROUND(IFERROR(INDEX(Rekorde!$N$4:$N$17,MATCH(Übungen!$A$4,Rekorde!$A$4:$A$17,0)),"")*1*2,0)/2)</f>
        <v/>
      </c>
      <c r="D10" s="55"/>
      <c r="E10" s="55"/>
      <c r="F10" s="55"/>
      <c r="G10" s="55"/>
      <c r="H10" s="55"/>
    </row>
    <row r="11" customFormat="false" ht="19.5" hidden="false" customHeight="true" outlineLevel="0" collapsed="false">
      <c r="A11" s="52" t="n">
        <v>4</v>
      </c>
      <c r="B11" s="56" t="s">
        <v>98</v>
      </c>
      <c r="C11" s="54" t="str">
        <f aca="false">IF(IFERROR(INDEX(Rekorde!$N$4:$N$17,MATCH(Übungen!$A$4,Rekorde!$A$4:$A$17,0)),"")="","",ROUND(IFERROR(INDEX(Rekorde!$N$4:$N$17,MATCH(Übungen!$A$4,Rekorde!$A$4:$A$17,0)),"")*1*2,0)/2)</f>
        <v/>
      </c>
      <c r="D11" s="55"/>
      <c r="E11" s="55"/>
      <c r="F11" s="55"/>
      <c r="G11" s="55"/>
      <c r="H11" s="55"/>
    </row>
    <row r="12" customFormat="false" ht="19.5" hidden="false" customHeight="true" outlineLevel="0" collapsed="false">
      <c r="A12" s="52" t="n">
        <v>5</v>
      </c>
      <c r="B12" s="56" t="s">
        <v>98</v>
      </c>
      <c r="C12" s="54" t="str">
        <f aca="false">IF(IFERROR(INDEX(Rekorde!$N$4:$N$17,MATCH(Übungen!$A$4,Rekorde!$A$4:$A$17,0)),"")="","",ROUND(IFERROR(INDEX(Rekorde!$N$4:$N$17,MATCH(Übungen!$A$4,Rekorde!$A$4:$A$17,0)),"")*1*2,0)/2)</f>
        <v/>
      </c>
      <c r="D12" s="55"/>
      <c r="E12" s="55"/>
      <c r="F12" s="55"/>
      <c r="G12" s="55"/>
      <c r="H12" s="55"/>
    </row>
    <row r="14" customFormat="false" ht="18.75" hidden="false" customHeight="true" outlineLevel="0" collapsed="false">
      <c r="A14" s="49" t="str">
        <f aca="false">Übungen!$A$5</f>
        <v>Split Squat</v>
      </c>
      <c r="B14" s="49"/>
      <c r="C14" s="49"/>
      <c r="D14" s="49"/>
      <c r="E14" s="49"/>
      <c r="F14" s="49"/>
      <c r="G14" s="49"/>
      <c r="H14" s="49"/>
    </row>
    <row r="15" customFormat="false" ht="15" hidden="false" customHeight="true" outlineLevel="0" collapsed="false">
      <c r="A15" s="50" t="str">
        <f aca="false">IF(IFERROR(INDEX(Rekorde!$L$4:$L$17,MATCH(Übungen!$A$5,Rekorde!$A$4:$A$17,0)),"")="",IF(IFERROR(INDEX(Rekorde!$N$4:$N$17,MATCH(Übungen!$A$5,Rekorde!$A$4:$A$17,0)),"")="","Neu im Plan - Startgewicht im Blatt 'Übungen' eintragen     ·     ","Neu im Plan     ·     Start: "&amp;TEXT(IFERROR(INDEX(Rekorde!$N$4:$N$17,MATCH(Übungen!$A$5,Rekorde!$A$4:$A$17,0)),""),"0.#")&amp;"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"&amp;IF(IFERROR(INDEX(Rekorde!$N$4:$N$17,MATCH(Übungen!$A$5,Rekorde!$A$4:$A$17,0)),"")="","","Ziel heute: "&amp;TEXT(IFERROR(INDEX(Rekorde!$N$4:$N$17,MATCH(Übungen!$A$5,Rekorde!$A$4:$A$17,0)),""),"0.#")&amp;" kg     ·     ")&amp;IF(AND(Übungen!$H$5&lt;&gt;"",IFERROR(INDEX(Rekorde!$N$4:$N$17,MATCH(Übungen!$A$5,Rekorde!$A$4:$A$17,0)),"")&lt;&gt;"",IFERROR(INDEX(Rekorde!$N$4:$N$17,MATCH(Übungen!$A$5,Rekorde!$A$4:$A$17,0)),"")&gt;=Übungen!$H$5),"Stackende, über Tempo und Pausen steigern     ·     ",""))&amp;"Vorgabe: "&amp;Übungen!$E$5&amp;" × "&amp;Übungen!$D$5&amp;" Wdh @ RPE "&amp;Übungen!$F$5</f>
        <v>Zuletzt: 80 kg × 8 Wdh     ·     Bestwert: 105 kg     ·     Ziel heute: 82 kg     ·     Vorgabe: 3 × 8-10 Wdh @ RPE 8</v>
      </c>
      <c r="B15" s="50"/>
      <c r="C15" s="50"/>
      <c r="D15" s="50"/>
      <c r="E15" s="50"/>
      <c r="F15" s="50"/>
      <c r="G15" s="50"/>
      <c r="H15" s="50"/>
    </row>
    <row r="16" customFormat="false" ht="13.5" hidden="false" customHeight="true" outlineLevel="0" collapsed="false">
      <c r="A16" s="51" t="s">
        <v>160</v>
      </c>
      <c r="B16" s="51" t="s">
        <v>161</v>
      </c>
      <c r="C16" s="51" t="s">
        <v>162</v>
      </c>
      <c r="D16" s="51" t="s">
        <v>163</v>
      </c>
      <c r="E16" s="51" t="s">
        <v>92</v>
      </c>
      <c r="F16" s="51" t="s">
        <v>39</v>
      </c>
      <c r="G16" s="51" t="s">
        <v>164</v>
      </c>
      <c r="H16" s="51" t="s">
        <v>83</v>
      </c>
    </row>
    <row r="17" customFormat="false" ht="19.5" hidden="false" customHeight="true" outlineLevel="0" collapsed="false">
      <c r="A17" s="52" t="n">
        <v>1</v>
      </c>
      <c r="B17" s="53" t="s">
        <v>97</v>
      </c>
      <c r="C17" s="54" t="n">
        <f aca="false">IF(IFERROR(INDEX(Rekorde!$N$4:$N$17,MATCH(Übungen!$A$5,Rekorde!$A$4:$A$17,0)),"")="","",ROUND(IFERROR(INDEX(Rekorde!$N$4:$N$17,MATCH(Übungen!$A$5,Rekorde!$A$4:$A$17,0)),"")*0.45*2,0)/2)</f>
        <v>37</v>
      </c>
      <c r="D17" s="55"/>
      <c r="E17" s="55"/>
      <c r="F17" s="55"/>
      <c r="G17" s="55"/>
      <c r="H17" s="55"/>
    </row>
    <row r="18" customFormat="false" ht="19.5" hidden="false" customHeight="true" outlineLevel="0" collapsed="false">
      <c r="A18" s="52" t="n">
        <v>2</v>
      </c>
      <c r="B18" s="53" t="s">
        <v>97</v>
      </c>
      <c r="C18" s="54" t="n">
        <f aca="false">IF(IFERROR(INDEX(Rekorde!$N$4:$N$17,MATCH(Übungen!$A$5,Rekorde!$A$4:$A$17,0)),"")="","",ROUND(IFERROR(INDEX(Rekorde!$N$4:$N$17,MATCH(Übungen!$A$5,Rekorde!$A$4:$A$17,0)),"")*0.7*2,0)/2)</f>
        <v>57.5</v>
      </c>
      <c r="D18" s="55"/>
      <c r="E18" s="55"/>
      <c r="F18" s="55"/>
      <c r="G18" s="55"/>
      <c r="H18" s="55"/>
    </row>
    <row r="19" customFormat="false" ht="19.5" hidden="false" customHeight="true" outlineLevel="0" collapsed="false">
      <c r="A19" s="52" t="n">
        <v>3</v>
      </c>
      <c r="B19" s="56" t="s">
        <v>98</v>
      </c>
      <c r="C19" s="54" t="n">
        <f aca="false">IF(IFERROR(INDEX(Rekorde!$N$4:$N$17,MATCH(Übungen!$A$5,Rekorde!$A$4:$A$17,0)),"")="","",ROUND(IFERROR(INDEX(Rekorde!$N$4:$N$17,MATCH(Übungen!$A$5,Rekorde!$A$4:$A$17,0)),"")*1*2,0)/2)</f>
        <v>82</v>
      </c>
      <c r="D19" s="55"/>
      <c r="E19" s="55"/>
      <c r="F19" s="55"/>
      <c r="G19" s="55"/>
      <c r="H19" s="55"/>
    </row>
    <row r="20" customFormat="false" ht="19.5" hidden="false" customHeight="true" outlineLevel="0" collapsed="false">
      <c r="A20" s="52" t="n">
        <v>4</v>
      </c>
      <c r="B20" s="56" t="s">
        <v>98</v>
      </c>
      <c r="C20" s="54" t="n">
        <f aca="false">IF(IFERROR(INDEX(Rekorde!$N$4:$N$17,MATCH(Übungen!$A$5,Rekorde!$A$4:$A$17,0)),"")="","",ROUND(IFERROR(INDEX(Rekorde!$N$4:$N$17,MATCH(Übungen!$A$5,Rekorde!$A$4:$A$17,0)),"")*1*2,0)/2)</f>
        <v>82</v>
      </c>
      <c r="D20" s="55"/>
      <c r="E20" s="55"/>
      <c r="F20" s="55"/>
      <c r="G20" s="55"/>
      <c r="H20" s="55"/>
    </row>
    <row r="21" customFormat="false" ht="19.5" hidden="false" customHeight="true" outlineLevel="0" collapsed="false">
      <c r="A21" s="52" t="n">
        <v>5</v>
      </c>
      <c r="B21" s="56" t="s">
        <v>98</v>
      </c>
      <c r="C21" s="54" t="n">
        <f aca="false">IF(IFERROR(INDEX(Rekorde!$N$4:$N$17,MATCH(Übungen!$A$5,Rekorde!$A$4:$A$17,0)),"")="","",ROUND(IFERROR(INDEX(Rekorde!$N$4:$N$17,MATCH(Übungen!$A$5,Rekorde!$A$4:$A$17,0)),"")*1*2,0)/2)</f>
        <v>82</v>
      </c>
      <c r="D21" s="55"/>
      <c r="E21" s="55"/>
      <c r="F21" s="55"/>
      <c r="G21" s="55"/>
      <c r="H21" s="55"/>
    </row>
    <row r="23" customFormat="false" ht="18.75" hidden="false" customHeight="true" outlineLevel="0" collapsed="false">
      <c r="A23" s="49" t="str">
        <f aca="false">Übungen!$A$6</f>
        <v>Beinstrecker</v>
      </c>
      <c r="B23" s="49"/>
      <c r="C23" s="49"/>
      <c r="D23" s="49"/>
      <c r="E23" s="49"/>
      <c r="F23" s="49"/>
      <c r="G23" s="49"/>
      <c r="H23" s="49"/>
    </row>
    <row r="24" customFormat="false" ht="15" hidden="false" customHeight="true" outlineLevel="0" collapsed="false">
      <c r="A24" s="50" t="str">
        <f aca="false">IF(IFERROR(INDEX(Rekorde!$L$4:$L$17,MATCH(Übungen!$A$6,Rekorde!$A$4:$A$17,0)),"")="",IF(IFERROR(INDEX(Rekorde!$N$4:$N$17,MATCH(Übungen!$A$6,Rekorde!$A$4:$A$17,0)),"")="","Neu im Plan - Startgewicht im Blatt 'Übungen' eintragen     ·     ","Neu im Plan     ·     Start: "&amp;TEXT(IFERROR(INDEX(Rekorde!$N$4:$N$17,MATCH(Übungen!$A$6,Rekorde!$A$4:$A$17,0)),""),"0.#")&amp;"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"&amp;IF(IFERROR(INDEX(Rekorde!$N$4:$N$17,MATCH(Übungen!$A$6,Rekorde!$A$4:$A$17,0)),"")="","","Ziel heute: "&amp;TEXT(IFERROR(INDEX(Rekorde!$N$4:$N$17,MATCH(Übungen!$A$6,Rekorde!$A$4:$A$17,0)),""),"0.#")&amp;" kg     ·     ")&amp;IF(AND(Übungen!$H$6&lt;&gt;"",IFERROR(INDEX(Rekorde!$N$4:$N$17,MATCH(Übungen!$A$6,Rekorde!$A$4:$A$17,0)),"")&lt;&gt;"",IFERROR(INDEX(Rekorde!$N$4:$N$17,MATCH(Übungen!$A$6,Rekorde!$A$4:$A$17,0)),"")&gt;=Übungen!$H$6),"Stackende, über Tempo und Pausen steigern     ·     ",""))&amp;"Vorgabe: "&amp;Übungen!$E$6&amp;" × "&amp;Übungen!$D$6&amp;" Wdh @ RPE "&amp;Übungen!$F$6</f>
        <v>Zuletzt: 80 kg × 12 Wdh     ·     Bestwert: 85 kg     ·     Ziel heute: 82 kg     ·     Vorgabe: 3 × 12-15 Wdh @ RPE 9</v>
      </c>
      <c r="B24" s="50"/>
      <c r="C24" s="50"/>
      <c r="D24" s="50"/>
      <c r="E24" s="50"/>
      <c r="F24" s="50"/>
      <c r="G24" s="50"/>
      <c r="H24" s="50"/>
    </row>
    <row r="25" customFormat="false" ht="13.5" hidden="false" customHeight="true" outlineLevel="0" collapsed="false">
      <c r="A25" s="51" t="s">
        <v>160</v>
      </c>
      <c r="B25" s="51" t="s">
        <v>161</v>
      </c>
      <c r="C25" s="51" t="s">
        <v>162</v>
      </c>
      <c r="D25" s="51" t="s">
        <v>163</v>
      </c>
      <c r="E25" s="51" t="s">
        <v>92</v>
      </c>
      <c r="F25" s="51" t="s">
        <v>39</v>
      </c>
      <c r="G25" s="51" t="s">
        <v>164</v>
      </c>
      <c r="H25" s="51" t="s">
        <v>83</v>
      </c>
    </row>
    <row r="26" customFormat="false" ht="19.5" hidden="false" customHeight="true" outlineLevel="0" collapsed="false">
      <c r="A26" s="52" t="n">
        <v>1</v>
      </c>
      <c r="B26" s="53" t="s">
        <v>97</v>
      </c>
      <c r="C26" s="54" t="n">
        <f aca="false">IF(IFERROR(INDEX(Rekorde!$N$4:$N$17,MATCH(Übungen!$A$6,Rekorde!$A$4:$A$17,0)),"")="","",ROUND(IFERROR(INDEX(Rekorde!$N$4:$N$17,MATCH(Übungen!$A$6,Rekorde!$A$4:$A$17,0)),"")*0.45*2,0)/2)</f>
        <v>37</v>
      </c>
      <c r="D26" s="55"/>
      <c r="E26" s="55"/>
      <c r="F26" s="55"/>
      <c r="G26" s="55"/>
      <c r="H26" s="55"/>
    </row>
    <row r="27" customFormat="false" ht="19.5" hidden="false" customHeight="true" outlineLevel="0" collapsed="false">
      <c r="A27" s="52" t="n">
        <v>2</v>
      </c>
      <c r="B27" s="53" t="s">
        <v>97</v>
      </c>
      <c r="C27" s="54" t="n">
        <f aca="false">IF(IFERROR(INDEX(Rekorde!$N$4:$N$17,MATCH(Übungen!$A$6,Rekorde!$A$4:$A$17,0)),"")="","",ROUND(IFERROR(INDEX(Rekorde!$N$4:$N$17,MATCH(Übungen!$A$6,Rekorde!$A$4:$A$17,0)),"")*0.7*2,0)/2)</f>
        <v>57.5</v>
      </c>
      <c r="D27" s="55"/>
      <c r="E27" s="55"/>
      <c r="F27" s="55"/>
      <c r="G27" s="55"/>
      <c r="H27" s="55"/>
    </row>
    <row r="28" customFormat="false" ht="19.5" hidden="false" customHeight="true" outlineLevel="0" collapsed="false">
      <c r="A28" s="52" t="n">
        <v>3</v>
      </c>
      <c r="B28" s="56" t="s">
        <v>98</v>
      </c>
      <c r="C28" s="54" t="n">
        <f aca="false">IF(IFERROR(INDEX(Rekorde!$N$4:$N$17,MATCH(Übungen!$A$6,Rekorde!$A$4:$A$17,0)),"")="","",ROUND(IFERROR(INDEX(Rekorde!$N$4:$N$17,MATCH(Übungen!$A$6,Rekorde!$A$4:$A$17,0)),"")*1*2,0)/2)</f>
        <v>82</v>
      </c>
      <c r="D28" s="55"/>
      <c r="E28" s="55"/>
      <c r="F28" s="55"/>
      <c r="G28" s="55"/>
      <c r="H28" s="55"/>
    </row>
    <row r="29" customFormat="false" ht="19.5" hidden="false" customHeight="true" outlineLevel="0" collapsed="false">
      <c r="A29" s="52" t="n">
        <v>4</v>
      </c>
      <c r="B29" s="56" t="s">
        <v>98</v>
      </c>
      <c r="C29" s="54" t="n">
        <f aca="false">IF(IFERROR(INDEX(Rekorde!$N$4:$N$17,MATCH(Übungen!$A$6,Rekorde!$A$4:$A$17,0)),"")="","",ROUND(IFERROR(INDEX(Rekorde!$N$4:$N$17,MATCH(Übungen!$A$6,Rekorde!$A$4:$A$17,0)),"")*1*2,0)/2)</f>
        <v>82</v>
      </c>
      <c r="D29" s="55"/>
      <c r="E29" s="55"/>
      <c r="F29" s="55"/>
      <c r="G29" s="55"/>
      <c r="H29" s="55"/>
    </row>
    <row r="30" customFormat="false" ht="19.5" hidden="false" customHeight="true" outlineLevel="0" collapsed="false">
      <c r="A30" s="52" t="n">
        <v>5</v>
      </c>
      <c r="B30" s="53" t="s">
        <v>99</v>
      </c>
      <c r="C30" s="57"/>
      <c r="D30" s="55"/>
      <c r="E30" s="55"/>
      <c r="F30" s="55"/>
      <c r="G30" s="55"/>
      <c r="H30" s="55"/>
    </row>
    <row r="32" customFormat="false" ht="18.75" hidden="false" customHeight="true" outlineLevel="0" collapsed="false">
      <c r="A32" s="49" t="str">
        <f aca="false">Übungen!$A$7</f>
        <v>Adduktion</v>
      </c>
      <c r="B32" s="49"/>
      <c r="C32" s="49"/>
      <c r="D32" s="49"/>
      <c r="E32" s="49"/>
      <c r="F32" s="49"/>
      <c r="G32" s="49"/>
      <c r="H32" s="49"/>
    </row>
    <row r="33" customFormat="false" ht="15" hidden="false" customHeight="true" outlineLevel="0" collapsed="false">
      <c r="A33" s="50" t="str">
        <f aca="false">IF(IFERROR(INDEX(Rekorde!$L$4:$L$17,MATCH(Übungen!$A$7,Rekorde!$A$4:$A$17,0)),"")="",IF(IFERROR(INDEX(Rekorde!$N$4:$N$17,MATCH(Übungen!$A$7,Rekorde!$A$4:$A$17,0)),"")="","Neu im Plan - Startgewicht im Blatt 'Übungen' eintragen     ·     ","Neu im Plan     ·     Start: "&amp;TEXT(IFERROR(INDEX(Rekorde!$N$4:$N$17,MATCH(Übungen!$A$7,Rekorde!$A$4:$A$17,0)),""),"0.#")&amp;"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"&amp;IF(IFERROR(INDEX(Rekorde!$N$4:$N$17,MATCH(Übungen!$A$7,Rekorde!$A$4:$A$17,0)),"")="","","Ziel heute: "&amp;TEXT(IFERROR(INDEX(Rekorde!$N$4:$N$17,MATCH(Übungen!$A$7,Rekorde!$A$4:$A$17,0)),""),"0.#")&amp;" kg     ·     ")&amp;IF(AND(Übungen!$H$7&lt;&gt;"",IFERROR(INDEX(Rekorde!$N$4:$N$17,MATCH(Übungen!$A$7,Rekorde!$A$4:$A$17,0)),"")&lt;&gt;"",IFERROR(INDEX(Rekorde!$N$4:$N$17,MATCH(Übungen!$A$7,Rekorde!$A$4:$A$17,0)),"")&gt;=Übungen!$H$7),"Stackende, über Tempo und Pausen steigern     ·     ",""))&amp;"Vorgabe: "&amp;Übungen!$E$7&amp;" × "&amp;Übungen!$D$7&amp;" Wdh @ RPE "&amp;Übungen!$F$7</f>
        <v>Zuletzt: 152.5 kg × 25 Wdh     ·     Bestwert: 152.5 kg     ·     Ziel heute: 152.5 kg     ·     Stackende, über Tempo und Pausen steigern     ·     Vorgabe: 3 × 15-20 Wdh @ RPE 9</v>
      </c>
      <c r="B33" s="50"/>
      <c r="C33" s="50"/>
      <c r="D33" s="50"/>
      <c r="E33" s="50"/>
      <c r="F33" s="50"/>
      <c r="G33" s="50"/>
      <c r="H33" s="50"/>
    </row>
    <row r="34" customFormat="false" ht="13.5" hidden="false" customHeight="true" outlineLevel="0" collapsed="false">
      <c r="A34" s="51" t="s">
        <v>160</v>
      </c>
      <c r="B34" s="51" t="s">
        <v>161</v>
      </c>
      <c r="C34" s="51" t="s">
        <v>162</v>
      </c>
      <c r="D34" s="51" t="s">
        <v>163</v>
      </c>
      <c r="E34" s="51" t="s">
        <v>92</v>
      </c>
      <c r="F34" s="51" t="s">
        <v>39</v>
      </c>
      <c r="G34" s="51" t="s">
        <v>164</v>
      </c>
      <c r="H34" s="51" t="s">
        <v>83</v>
      </c>
    </row>
    <row r="35" customFormat="false" ht="19.5" hidden="false" customHeight="true" outlineLevel="0" collapsed="false">
      <c r="A35" s="52" t="n">
        <v>1</v>
      </c>
      <c r="B35" s="53" t="s">
        <v>97</v>
      </c>
      <c r="C35" s="54" t="n">
        <f aca="false">IF(IFERROR(INDEX(Rekorde!$N$4:$N$17,MATCH(Übungen!$A$7,Rekorde!$A$4:$A$17,0)),"")="","",ROUND(IFERROR(INDEX(Rekorde!$N$4:$N$17,MATCH(Übungen!$A$7,Rekorde!$A$4:$A$17,0)),"")*0.45*2,0)/2)</f>
        <v>68.5</v>
      </c>
      <c r="D35" s="55"/>
      <c r="E35" s="55"/>
      <c r="F35" s="55"/>
      <c r="G35" s="55"/>
      <c r="H35" s="55"/>
    </row>
    <row r="36" customFormat="false" ht="19.5" hidden="false" customHeight="true" outlineLevel="0" collapsed="false">
      <c r="A36" s="52" t="n">
        <v>2</v>
      </c>
      <c r="B36" s="53" t="s">
        <v>97</v>
      </c>
      <c r="C36" s="54" t="n">
        <f aca="false">IF(IFERROR(INDEX(Rekorde!$N$4:$N$17,MATCH(Übungen!$A$7,Rekorde!$A$4:$A$17,0)),"")="","",ROUND(IFERROR(INDEX(Rekorde!$N$4:$N$17,MATCH(Übungen!$A$7,Rekorde!$A$4:$A$17,0)),"")*0.7*2,0)/2)</f>
        <v>107</v>
      </c>
      <c r="D36" s="55"/>
      <c r="E36" s="55"/>
      <c r="F36" s="55"/>
      <c r="G36" s="55"/>
      <c r="H36" s="55"/>
    </row>
    <row r="37" customFormat="false" ht="19.5" hidden="false" customHeight="true" outlineLevel="0" collapsed="false">
      <c r="A37" s="52" t="n">
        <v>3</v>
      </c>
      <c r="B37" s="56" t="s">
        <v>98</v>
      </c>
      <c r="C37" s="54" t="n">
        <f aca="false">IF(IFERROR(INDEX(Rekorde!$N$4:$N$17,MATCH(Übungen!$A$7,Rekorde!$A$4:$A$17,0)),"")="","",ROUND(IFERROR(INDEX(Rekorde!$N$4:$N$17,MATCH(Übungen!$A$7,Rekorde!$A$4:$A$17,0)),"")*1*2,0)/2)</f>
        <v>152.5</v>
      </c>
      <c r="D37" s="55"/>
      <c r="E37" s="55"/>
      <c r="F37" s="55"/>
      <c r="G37" s="55"/>
      <c r="H37" s="55"/>
    </row>
    <row r="38" customFormat="false" ht="19.5" hidden="false" customHeight="true" outlineLevel="0" collapsed="false">
      <c r="A38" s="52" t="n">
        <v>4</v>
      </c>
      <c r="B38" s="56" t="s">
        <v>98</v>
      </c>
      <c r="C38" s="54" t="n">
        <f aca="false">IF(IFERROR(INDEX(Rekorde!$N$4:$N$17,MATCH(Übungen!$A$7,Rekorde!$A$4:$A$17,0)),"")="","",ROUND(IFERROR(INDEX(Rekorde!$N$4:$N$17,MATCH(Übungen!$A$7,Rekorde!$A$4:$A$17,0)),"")*1*2,0)/2)</f>
        <v>152.5</v>
      </c>
      <c r="D38" s="55"/>
      <c r="E38" s="55"/>
      <c r="F38" s="55"/>
      <c r="G38" s="55"/>
      <c r="H38" s="55"/>
    </row>
    <row r="39" customFormat="false" ht="19.5" hidden="false" customHeight="true" outlineLevel="0" collapsed="false">
      <c r="A39" s="52" t="n">
        <v>5</v>
      </c>
      <c r="B39" s="53" t="s">
        <v>99</v>
      </c>
      <c r="C39" s="57"/>
      <c r="D39" s="55"/>
      <c r="E39" s="55"/>
      <c r="F39" s="55"/>
      <c r="G39" s="55"/>
      <c r="H39" s="55"/>
    </row>
    <row r="41" customFormat="false" ht="15.75" hidden="false" customHeight="true" outlineLevel="0" collapsed="false">
      <c r="A41" s="3" t="s">
        <v>165</v>
      </c>
      <c r="B41" s="3"/>
      <c r="C41" s="3"/>
      <c r="D41" s="3"/>
      <c r="E41" s="3"/>
      <c r="F41" s="3"/>
      <c r="G41" s="3"/>
      <c r="H41" s="3"/>
    </row>
    <row r="42" customFormat="false" ht="18" hidden="false" customHeight="true" outlineLevel="0" collapsed="false">
      <c r="A42" s="58"/>
      <c r="B42" s="58"/>
      <c r="C42" s="58"/>
      <c r="D42" s="58"/>
      <c r="E42" s="58"/>
      <c r="F42" s="58"/>
      <c r="G42" s="58"/>
      <c r="H42" s="58"/>
    </row>
    <row r="43" customFormat="false" ht="18" hidden="false" customHeight="true" outlineLevel="0" collapsed="false">
      <c r="A43" s="58"/>
      <c r="B43" s="58"/>
      <c r="C43" s="58"/>
      <c r="D43" s="58"/>
      <c r="E43" s="58"/>
      <c r="F43" s="58"/>
      <c r="G43" s="58"/>
      <c r="H43" s="58"/>
    </row>
    <row r="44" customFormat="false" ht="18" hidden="false" customHeight="true" outlineLevel="0" collapsed="false">
      <c r="A44" s="58"/>
      <c r="B44" s="58"/>
      <c r="C44" s="58"/>
      <c r="D44" s="58"/>
      <c r="E44" s="58"/>
      <c r="F44" s="58"/>
      <c r="G44" s="58"/>
      <c r="H44" s="58"/>
    </row>
    <row r="46" customFormat="false" ht="27.75" hidden="false" customHeight="true" outlineLevel="0" collapsed="false">
      <c r="A46" s="1" t="s">
        <v>166</v>
      </c>
      <c r="B46" s="1"/>
      <c r="C46" s="1"/>
      <c r="D46" s="1"/>
      <c r="E46" s="1"/>
      <c r="F46" s="1"/>
      <c r="G46" s="1"/>
      <c r="H46" s="1"/>
    </row>
    <row r="47" customFormat="false" ht="12.75" hidden="false" customHeight="true" outlineLevel="0" collapsed="false">
      <c r="A47" s="46" t="s">
        <v>54</v>
      </c>
      <c r="B47" s="46"/>
      <c r="C47" s="47" t="s">
        <v>156</v>
      </c>
      <c r="D47" s="47" t="s">
        <v>157</v>
      </c>
      <c r="E47" s="46" t="s">
        <v>158</v>
      </c>
      <c r="F47" s="46"/>
      <c r="G47" s="46" t="s">
        <v>159</v>
      </c>
      <c r="H47" s="46"/>
    </row>
    <row r="48" customFormat="false" ht="19.5" hidden="false" customHeight="true" outlineLevel="0" collapsed="false">
      <c r="A48" s="48"/>
      <c r="B48" s="48"/>
      <c r="C48" s="48"/>
      <c r="D48" s="48"/>
      <c r="E48" s="48"/>
      <c r="F48" s="48"/>
      <c r="G48" s="48"/>
      <c r="H48" s="48"/>
    </row>
    <row r="50" customFormat="false" ht="18.75" hidden="false" customHeight="true" outlineLevel="0" collapsed="false">
      <c r="A50" s="49" t="str">
        <f aca="false">Übungen!$A$8</f>
        <v>Rumänisches Kreuzheben</v>
      </c>
      <c r="B50" s="49"/>
      <c r="C50" s="49"/>
      <c r="D50" s="49"/>
      <c r="E50" s="49"/>
      <c r="F50" s="49"/>
      <c r="G50" s="49"/>
      <c r="H50" s="49"/>
    </row>
    <row r="51" customFormat="false" ht="15" hidden="false" customHeight="true" outlineLevel="0" collapsed="false">
      <c r="A51" s="50" t="str">
        <f aca="false">IF(IFERROR(INDEX(Rekorde!$L$4:$L$17,MATCH(Übungen!$A$8,Rekorde!$A$4:$A$17,0)),"")="",IF(IFERROR(INDEX(Rekorde!$N$4:$N$17,MATCH(Übungen!$A$8,Rekorde!$A$4:$A$17,0)),"")="","Neu im Plan - Startgewicht im Blatt 'Übungen' eintragen     ·     ","Neu im Plan     ·     Start: "&amp;TEXT(IFERROR(INDEX(Rekorde!$N$4:$N$17,MATCH(Übungen!$A$8,Rekorde!$A$4:$A$17,0)),""),"0.#")&amp;"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"&amp;IF(IFERROR(INDEX(Rekorde!$N$4:$N$17,MATCH(Übungen!$A$8,Rekorde!$A$4:$A$17,0)),"")="","","Ziel heute: "&amp;TEXT(IFERROR(INDEX(Rekorde!$N$4:$N$17,MATCH(Übungen!$A$8,Rekorde!$A$4:$A$17,0)),""),"0.#")&amp;" kg     ·     ")&amp;IF(AND(Übungen!$H$8&lt;&gt;"",IFERROR(INDEX(Rekorde!$N$4:$N$17,MATCH(Übungen!$A$8,Rekorde!$A$4:$A$17,0)),"")&lt;&gt;"",IFERROR(INDEX(Rekorde!$N$4:$N$17,MATCH(Übungen!$A$8,Rekorde!$A$4:$A$17,0)),"")&gt;=Übungen!$H$8),"Stackende, über Tempo und Pausen steigern     ·     ",""))&amp;"Vorgabe: "&amp;Übungen!$E$8&amp;" × "&amp;Übungen!$D$8&amp;" Wdh @ RPE "&amp;Übungen!$F$8</f>
        <v>Neu im Plan - Startgewicht im Blatt 'Übungen' eintragen     ·     Vorgabe: 3 × 8-10 Wdh @ RPE 8</v>
      </c>
      <c r="B51" s="50"/>
      <c r="C51" s="50"/>
      <c r="D51" s="50"/>
      <c r="E51" s="50"/>
      <c r="F51" s="50"/>
      <c r="G51" s="50"/>
      <c r="H51" s="50"/>
    </row>
    <row r="52" customFormat="false" ht="13.5" hidden="false" customHeight="true" outlineLevel="0" collapsed="false">
      <c r="A52" s="51" t="s">
        <v>160</v>
      </c>
      <c r="B52" s="51" t="s">
        <v>161</v>
      </c>
      <c r="C52" s="51" t="s">
        <v>162</v>
      </c>
      <c r="D52" s="51" t="s">
        <v>163</v>
      </c>
      <c r="E52" s="51" t="s">
        <v>92</v>
      </c>
      <c r="F52" s="51" t="s">
        <v>39</v>
      </c>
      <c r="G52" s="51" t="s">
        <v>164</v>
      </c>
      <c r="H52" s="51" t="s">
        <v>83</v>
      </c>
    </row>
    <row r="53" customFormat="false" ht="19.5" hidden="false" customHeight="true" outlineLevel="0" collapsed="false">
      <c r="A53" s="52" t="n">
        <v>1</v>
      </c>
      <c r="B53" s="53" t="s">
        <v>97</v>
      </c>
      <c r="C53" s="54" t="str">
        <f aca="false">IF(IFERROR(INDEX(Rekorde!$N$4:$N$17,MATCH(Übungen!$A$8,Rekorde!$A$4:$A$17,0)),"")="","",ROUND(IFERROR(INDEX(Rekorde!$N$4:$N$17,MATCH(Übungen!$A$8,Rekorde!$A$4:$A$17,0)),"")*0.45*2,0)/2)</f>
        <v/>
      </c>
      <c r="D53" s="55"/>
      <c r="E53" s="55"/>
      <c r="F53" s="55"/>
      <c r="G53" s="55"/>
      <c r="H53" s="55"/>
    </row>
    <row r="54" customFormat="false" ht="19.5" hidden="false" customHeight="true" outlineLevel="0" collapsed="false">
      <c r="A54" s="52" t="n">
        <v>2</v>
      </c>
      <c r="B54" s="53" t="s">
        <v>97</v>
      </c>
      <c r="C54" s="54" t="str">
        <f aca="false">IF(IFERROR(INDEX(Rekorde!$N$4:$N$17,MATCH(Übungen!$A$8,Rekorde!$A$4:$A$17,0)),"")="","",ROUND(IFERROR(INDEX(Rekorde!$N$4:$N$17,MATCH(Übungen!$A$8,Rekorde!$A$4:$A$17,0)),"")*0.7*2,0)/2)</f>
        <v/>
      </c>
      <c r="D54" s="55"/>
      <c r="E54" s="55"/>
      <c r="F54" s="55"/>
      <c r="G54" s="55"/>
      <c r="H54" s="55"/>
    </row>
    <row r="55" customFormat="false" ht="19.5" hidden="false" customHeight="true" outlineLevel="0" collapsed="false">
      <c r="A55" s="52" t="n">
        <v>3</v>
      </c>
      <c r="B55" s="56" t="s">
        <v>98</v>
      </c>
      <c r="C55" s="54" t="str">
        <f aca="false">IF(IFERROR(INDEX(Rekorde!$N$4:$N$17,MATCH(Übungen!$A$8,Rekorde!$A$4:$A$17,0)),"")="","",ROUND(IFERROR(INDEX(Rekorde!$N$4:$N$17,MATCH(Übungen!$A$8,Rekorde!$A$4:$A$17,0)),"")*1*2,0)/2)</f>
        <v/>
      </c>
      <c r="D55" s="55"/>
      <c r="E55" s="55"/>
      <c r="F55" s="55"/>
      <c r="G55" s="55"/>
      <c r="H55" s="55"/>
    </row>
    <row r="56" customFormat="false" ht="19.5" hidden="false" customHeight="true" outlineLevel="0" collapsed="false">
      <c r="A56" s="52" t="n">
        <v>4</v>
      </c>
      <c r="B56" s="56" t="s">
        <v>98</v>
      </c>
      <c r="C56" s="54" t="str">
        <f aca="false">IF(IFERROR(INDEX(Rekorde!$N$4:$N$17,MATCH(Übungen!$A$8,Rekorde!$A$4:$A$17,0)),"")="","",ROUND(IFERROR(INDEX(Rekorde!$N$4:$N$17,MATCH(Übungen!$A$8,Rekorde!$A$4:$A$17,0)),"")*1*2,0)/2)</f>
        <v/>
      </c>
      <c r="D56" s="55"/>
      <c r="E56" s="55"/>
      <c r="F56" s="55"/>
      <c r="G56" s="55"/>
      <c r="H56" s="55"/>
    </row>
    <row r="57" customFormat="false" ht="19.5" hidden="false" customHeight="true" outlineLevel="0" collapsed="false">
      <c r="A57" s="52" t="n">
        <v>5</v>
      </c>
      <c r="B57" s="56" t="s">
        <v>98</v>
      </c>
      <c r="C57" s="54" t="str">
        <f aca="false">IF(IFERROR(INDEX(Rekorde!$N$4:$N$17,MATCH(Übungen!$A$8,Rekorde!$A$4:$A$17,0)),"")="","",ROUND(IFERROR(INDEX(Rekorde!$N$4:$N$17,MATCH(Übungen!$A$8,Rekorde!$A$4:$A$17,0)),"")*1*2,0)/2)</f>
        <v/>
      </c>
      <c r="D57" s="55"/>
      <c r="E57" s="55"/>
      <c r="F57" s="55"/>
      <c r="G57" s="55"/>
      <c r="H57" s="55"/>
    </row>
    <row r="59" customFormat="false" ht="18.75" hidden="false" customHeight="true" outlineLevel="0" collapsed="false">
      <c r="A59" s="49" t="str">
        <f aca="false">Übungen!$A$9</f>
        <v>Hip Thrust</v>
      </c>
      <c r="B59" s="49"/>
      <c r="C59" s="49"/>
      <c r="D59" s="49"/>
      <c r="E59" s="49"/>
      <c r="F59" s="49"/>
      <c r="G59" s="49"/>
      <c r="H59" s="49"/>
    </row>
    <row r="60" customFormat="false" ht="15" hidden="false" customHeight="true" outlineLevel="0" collapsed="false">
      <c r="A60" s="50" t="str">
        <f aca="false">IF(IFERROR(INDEX(Rekorde!$L$4:$L$17,MATCH(Übungen!$A$9,Rekorde!$A$4:$A$17,0)),"")="",IF(IFERROR(INDEX(Rekorde!$N$4:$N$17,MATCH(Übungen!$A$9,Rekorde!$A$4:$A$17,0)),"")="","Neu im Plan - Startgewicht im Blatt 'Übungen' eintragen     ·     ","Neu im Plan     ·     Start: "&amp;TEXT(IFERROR(INDEX(Rekorde!$N$4:$N$17,MATCH(Übungen!$A$9,Rekorde!$A$4:$A$17,0)),""),"0.#")&amp;"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"&amp;IF(IFERROR(INDEX(Rekorde!$N$4:$N$17,MATCH(Übungen!$A$9,Rekorde!$A$4:$A$17,0)),"")="","","Ziel heute: "&amp;TEXT(IFERROR(INDEX(Rekorde!$N$4:$N$17,MATCH(Übungen!$A$9,Rekorde!$A$4:$A$17,0)),""),"0.#")&amp;" kg     ·     ")&amp;IF(AND(Übungen!$H$9&lt;&gt;"",IFERROR(INDEX(Rekorde!$N$4:$N$17,MATCH(Übungen!$A$9,Rekorde!$A$4:$A$17,0)),"")&lt;&gt;"",IFERROR(INDEX(Rekorde!$N$4:$N$17,MATCH(Übungen!$A$9,Rekorde!$A$4:$A$17,0)),"")&gt;=Übungen!$H$9),"Stackende, über Tempo und Pausen steigern     ·     ",""))&amp;"Vorgabe: "&amp;Übungen!$E$9&amp;" × "&amp;Übungen!$D$9&amp;" Wdh @ RPE "&amp;Übungen!$F$9</f>
        <v>Zuletzt: 270 kg × 8 Wdh     ·     Bestwert: 280 kg     ·     Ziel heute: 277 kg     ·     Vorgabe: 3 × 8-12 Wdh @ RPE 8-9</v>
      </c>
      <c r="B60" s="50"/>
      <c r="C60" s="50"/>
      <c r="D60" s="50"/>
      <c r="E60" s="50"/>
      <c r="F60" s="50"/>
      <c r="G60" s="50"/>
      <c r="H60" s="50"/>
    </row>
    <row r="61" customFormat="false" ht="13.5" hidden="false" customHeight="true" outlineLevel="0" collapsed="false">
      <c r="A61" s="51" t="s">
        <v>160</v>
      </c>
      <c r="B61" s="51" t="s">
        <v>161</v>
      </c>
      <c r="C61" s="51" t="s">
        <v>162</v>
      </c>
      <c r="D61" s="51" t="s">
        <v>163</v>
      </c>
      <c r="E61" s="51" t="s">
        <v>92</v>
      </c>
      <c r="F61" s="51" t="s">
        <v>39</v>
      </c>
      <c r="G61" s="51" t="s">
        <v>164</v>
      </c>
      <c r="H61" s="51" t="s">
        <v>83</v>
      </c>
    </row>
    <row r="62" customFormat="false" ht="19.5" hidden="false" customHeight="true" outlineLevel="0" collapsed="false">
      <c r="A62" s="52" t="n">
        <v>1</v>
      </c>
      <c r="B62" s="53" t="s">
        <v>97</v>
      </c>
      <c r="C62" s="54" t="n">
        <f aca="false">IF(IFERROR(INDEX(Rekorde!$N$4:$N$17,MATCH(Übungen!$A$9,Rekorde!$A$4:$A$17,0)),"")="","",ROUND(IFERROR(INDEX(Rekorde!$N$4:$N$17,MATCH(Übungen!$A$9,Rekorde!$A$4:$A$17,0)),"")*0.45*2,0)/2)</f>
        <v>124.5</v>
      </c>
      <c r="D62" s="55"/>
      <c r="E62" s="55"/>
      <c r="F62" s="55"/>
      <c r="G62" s="55"/>
      <c r="H62" s="55"/>
    </row>
    <row r="63" customFormat="false" ht="19.5" hidden="false" customHeight="true" outlineLevel="0" collapsed="false">
      <c r="A63" s="52" t="n">
        <v>2</v>
      </c>
      <c r="B63" s="53" t="s">
        <v>97</v>
      </c>
      <c r="C63" s="54" t="n">
        <f aca="false">IF(IFERROR(INDEX(Rekorde!$N$4:$N$17,MATCH(Übungen!$A$9,Rekorde!$A$4:$A$17,0)),"")="","",ROUND(IFERROR(INDEX(Rekorde!$N$4:$N$17,MATCH(Übungen!$A$9,Rekorde!$A$4:$A$17,0)),"")*0.7*2,0)/2)</f>
        <v>194</v>
      </c>
      <c r="D63" s="55"/>
      <c r="E63" s="55"/>
      <c r="F63" s="55"/>
      <c r="G63" s="55"/>
      <c r="H63" s="55"/>
    </row>
    <row r="64" customFormat="false" ht="19.5" hidden="false" customHeight="true" outlineLevel="0" collapsed="false">
      <c r="A64" s="52" t="n">
        <v>3</v>
      </c>
      <c r="B64" s="56" t="s">
        <v>98</v>
      </c>
      <c r="C64" s="54" t="n">
        <f aca="false">IF(IFERROR(INDEX(Rekorde!$N$4:$N$17,MATCH(Übungen!$A$9,Rekorde!$A$4:$A$17,0)),"")="","",ROUND(IFERROR(INDEX(Rekorde!$N$4:$N$17,MATCH(Übungen!$A$9,Rekorde!$A$4:$A$17,0)),"")*1*2,0)/2)</f>
        <v>277</v>
      </c>
      <c r="D64" s="55"/>
      <c r="E64" s="55"/>
      <c r="F64" s="55"/>
      <c r="G64" s="55"/>
      <c r="H64" s="55"/>
    </row>
    <row r="65" customFormat="false" ht="19.5" hidden="false" customHeight="true" outlineLevel="0" collapsed="false">
      <c r="A65" s="52" t="n">
        <v>4</v>
      </c>
      <c r="B65" s="56" t="s">
        <v>98</v>
      </c>
      <c r="C65" s="54" t="n">
        <f aca="false">IF(IFERROR(INDEX(Rekorde!$N$4:$N$17,MATCH(Übungen!$A$9,Rekorde!$A$4:$A$17,0)),"")="","",ROUND(IFERROR(INDEX(Rekorde!$N$4:$N$17,MATCH(Übungen!$A$9,Rekorde!$A$4:$A$17,0)),"")*1*2,0)/2)</f>
        <v>277</v>
      </c>
      <c r="D65" s="55"/>
      <c r="E65" s="55"/>
      <c r="F65" s="55"/>
      <c r="G65" s="55"/>
      <c r="H65" s="55"/>
    </row>
    <row r="66" customFormat="false" ht="19.5" hidden="false" customHeight="true" outlineLevel="0" collapsed="false">
      <c r="A66" s="52" t="n">
        <v>5</v>
      </c>
      <c r="B66" s="56" t="s">
        <v>98</v>
      </c>
      <c r="C66" s="54" t="n">
        <f aca="false">IF(IFERROR(INDEX(Rekorde!$N$4:$N$17,MATCH(Übungen!$A$9,Rekorde!$A$4:$A$17,0)),"")="","",ROUND(IFERROR(INDEX(Rekorde!$N$4:$N$17,MATCH(Übungen!$A$9,Rekorde!$A$4:$A$17,0)),"")*1*2,0)/2)</f>
        <v>277</v>
      </c>
      <c r="D66" s="55"/>
      <c r="E66" s="55"/>
      <c r="F66" s="55"/>
      <c r="G66" s="55"/>
      <c r="H66" s="55"/>
    </row>
    <row r="68" customFormat="false" ht="18.75" hidden="false" customHeight="true" outlineLevel="0" collapsed="false">
      <c r="A68" s="49" t="str">
        <f aca="false">Übungen!$A$10</f>
        <v>Beinbeuger</v>
      </c>
      <c r="B68" s="49"/>
      <c r="C68" s="49"/>
      <c r="D68" s="49"/>
      <c r="E68" s="49"/>
      <c r="F68" s="49"/>
      <c r="G68" s="49"/>
      <c r="H68" s="49"/>
    </row>
    <row r="69" customFormat="false" ht="15" hidden="false" customHeight="true" outlineLevel="0" collapsed="false">
      <c r="A69" s="50" t="str">
        <f aca="false">IF(IFERROR(INDEX(Rekorde!$L$4:$L$17,MATCH(Übungen!$A$10,Rekorde!$A$4:$A$17,0)),"")="",IF(IFERROR(INDEX(Rekorde!$N$4:$N$17,MATCH(Übungen!$A$10,Rekorde!$A$4:$A$17,0)),"")="","Neu im Plan - Startgewicht im Blatt 'Übungen' eintragen     ·     ","Neu im Plan     ·     Start: "&amp;TEXT(IFERROR(INDEX(Rekorde!$N$4:$N$17,MATCH(Übungen!$A$10,Rekorde!$A$4:$A$17,0)),""),"0.#")&amp;"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"&amp;IF(IFERROR(INDEX(Rekorde!$N$4:$N$17,MATCH(Übungen!$A$10,Rekorde!$A$4:$A$17,0)),"")="","","Ziel heute: "&amp;TEXT(IFERROR(INDEX(Rekorde!$N$4:$N$17,MATCH(Übungen!$A$10,Rekorde!$A$4:$A$17,0)),""),"0.#")&amp;" kg     ·     ")&amp;IF(AND(Übungen!$H$10&lt;&gt;"",IFERROR(INDEX(Rekorde!$N$4:$N$17,MATCH(Übungen!$A$10,Rekorde!$A$4:$A$17,0)),"")&lt;&gt;"",IFERROR(INDEX(Rekorde!$N$4:$N$17,MATCH(Übungen!$A$10,Rekorde!$A$4:$A$17,0)),"")&gt;=Übungen!$H$10),"Stackende, über Tempo und Pausen steigern     ·     ",""))&amp;"Vorgabe: "&amp;Übungen!$E$10&amp;" × "&amp;Übungen!$D$10&amp;" Wdh @ RPE "&amp;Übungen!$F$10</f>
        <v>Zuletzt: 45 kg × 15 Wdh     ·     Bestwert: 55 kg     ·     Ziel heute: 46 kg     ·     Vorgabe: 3 × 10-12 Wdh @ RPE 9</v>
      </c>
      <c r="B69" s="50"/>
      <c r="C69" s="50"/>
      <c r="D69" s="50"/>
      <c r="E69" s="50"/>
      <c r="F69" s="50"/>
      <c r="G69" s="50"/>
      <c r="H69" s="50"/>
    </row>
    <row r="70" customFormat="false" ht="13.5" hidden="false" customHeight="true" outlineLevel="0" collapsed="false">
      <c r="A70" s="51" t="s">
        <v>160</v>
      </c>
      <c r="B70" s="51" t="s">
        <v>161</v>
      </c>
      <c r="C70" s="51" t="s">
        <v>162</v>
      </c>
      <c r="D70" s="51" t="s">
        <v>163</v>
      </c>
      <c r="E70" s="51" t="s">
        <v>92</v>
      </c>
      <c r="F70" s="51" t="s">
        <v>39</v>
      </c>
      <c r="G70" s="51" t="s">
        <v>164</v>
      </c>
      <c r="H70" s="51" t="s">
        <v>83</v>
      </c>
    </row>
    <row r="71" customFormat="false" ht="19.5" hidden="false" customHeight="true" outlineLevel="0" collapsed="false">
      <c r="A71" s="52" t="n">
        <v>1</v>
      </c>
      <c r="B71" s="53" t="s">
        <v>97</v>
      </c>
      <c r="C71" s="54" t="n">
        <f aca="false">IF(IFERROR(INDEX(Rekorde!$N$4:$N$17,MATCH(Übungen!$A$10,Rekorde!$A$4:$A$17,0)),"")="","",ROUND(IFERROR(INDEX(Rekorde!$N$4:$N$17,MATCH(Übungen!$A$10,Rekorde!$A$4:$A$17,0)),"")*0.45*2,0)/2)</f>
        <v>20.5</v>
      </c>
      <c r="D71" s="55"/>
      <c r="E71" s="55"/>
      <c r="F71" s="55"/>
      <c r="G71" s="55"/>
      <c r="H71" s="55"/>
    </row>
    <row r="72" customFormat="false" ht="19.5" hidden="false" customHeight="true" outlineLevel="0" collapsed="false">
      <c r="A72" s="52" t="n">
        <v>2</v>
      </c>
      <c r="B72" s="53" t="s">
        <v>97</v>
      </c>
      <c r="C72" s="54" t="n">
        <f aca="false">IF(IFERROR(INDEX(Rekorde!$N$4:$N$17,MATCH(Übungen!$A$10,Rekorde!$A$4:$A$17,0)),"")="","",ROUND(IFERROR(INDEX(Rekorde!$N$4:$N$17,MATCH(Übungen!$A$10,Rekorde!$A$4:$A$17,0)),"")*0.7*2,0)/2)</f>
        <v>32</v>
      </c>
      <c r="D72" s="55"/>
      <c r="E72" s="55"/>
      <c r="F72" s="55"/>
      <c r="G72" s="55"/>
      <c r="H72" s="55"/>
    </row>
    <row r="73" customFormat="false" ht="19.5" hidden="false" customHeight="true" outlineLevel="0" collapsed="false">
      <c r="A73" s="52" t="n">
        <v>3</v>
      </c>
      <c r="B73" s="56" t="s">
        <v>98</v>
      </c>
      <c r="C73" s="54" t="n">
        <f aca="false">IF(IFERROR(INDEX(Rekorde!$N$4:$N$17,MATCH(Übungen!$A$10,Rekorde!$A$4:$A$17,0)),"")="","",ROUND(IFERROR(INDEX(Rekorde!$N$4:$N$17,MATCH(Übungen!$A$10,Rekorde!$A$4:$A$17,0)),"")*1*2,0)/2)</f>
        <v>46</v>
      </c>
      <c r="D73" s="55"/>
      <c r="E73" s="55"/>
      <c r="F73" s="55"/>
      <c r="G73" s="55"/>
      <c r="H73" s="55"/>
    </row>
    <row r="74" customFormat="false" ht="19.5" hidden="false" customHeight="true" outlineLevel="0" collapsed="false">
      <c r="A74" s="52" t="n">
        <v>4</v>
      </c>
      <c r="B74" s="56" t="s">
        <v>98</v>
      </c>
      <c r="C74" s="54" t="n">
        <f aca="false">IF(IFERROR(INDEX(Rekorde!$N$4:$N$17,MATCH(Übungen!$A$10,Rekorde!$A$4:$A$17,0)),"")="","",ROUND(IFERROR(INDEX(Rekorde!$N$4:$N$17,MATCH(Übungen!$A$10,Rekorde!$A$4:$A$17,0)),"")*1*2,0)/2)</f>
        <v>46</v>
      </c>
      <c r="D74" s="55"/>
      <c r="E74" s="55"/>
      <c r="F74" s="55"/>
      <c r="G74" s="55"/>
      <c r="H74" s="55"/>
    </row>
    <row r="75" customFormat="false" ht="19.5" hidden="false" customHeight="true" outlineLevel="0" collapsed="false">
      <c r="A75" s="52" t="n">
        <v>5</v>
      </c>
      <c r="B75" s="53" t="s">
        <v>99</v>
      </c>
      <c r="C75" s="57"/>
      <c r="D75" s="55"/>
      <c r="E75" s="55"/>
      <c r="F75" s="55"/>
      <c r="G75" s="55"/>
      <c r="H75" s="55"/>
    </row>
    <row r="77" customFormat="false" ht="18.75" hidden="false" customHeight="true" outlineLevel="0" collapsed="false">
      <c r="A77" s="49" t="str">
        <f aca="false">Übungen!$A$11</f>
        <v>Seitliche Kickbacks</v>
      </c>
      <c r="B77" s="49"/>
      <c r="C77" s="49"/>
      <c r="D77" s="49"/>
      <c r="E77" s="49"/>
      <c r="F77" s="49"/>
      <c r="G77" s="49"/>
      <c r="H77" s="49"/>
    </row>
    <row r="78" customFormat="false" ht="15" hidden="false" customHeight="true" outlineLevel="0" collapsed="false">
      <c r="A78" s="50" t="str">
        <f aca="false">IF(IFERROR(INDEX(Rekorde!$L$4:$L$17,MATCH(Übungen!$A$11,Rekorde!$A$4:$A$17,0)),"")="",IF(IFERROR(INDEX(Rekorde!$N$4:$N$17,MATCH(Übungen!$A$11,Rekorde!$A$4:$A$17,0)),"")="","Neu im Plan - Startgewicht im Blatt 'Übungen' eintragen     ·     ","Neu im Plan     ·     Start: "&amp;TEXT(IFERROR(INDEX(Rekorde!$N$4:$N$17,MATCH(Übungen!$A$11,Rekorde!$A$4:$A$17,0)),""),"0.#")&amp;"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"&amp;IF(IFERROR(INDEX(Rekorde!$N$4:$N$17,MATCH(Übungen!$A$11,Rekorde!$A$4:$A$17,0)),"")="","","Ziel heute: "&amp;TEXT(IFERROR(INDEX(Rekorde!$N$4:$N$17,MATCH(Übungen!$A$11,Rekorde!$A$4:$A$17,0)),""),"0.#")&amp;" kg     ·     ")&amp;IF(AND(Übungen!$H$11&lt;&gt;"",IFERROR(INDEX(Rekorde!$N$4:$N$17,MATCH(Übungen!$A$11,Rekorde!$A$4:$A$17,0)),"")&lt;&gt;"",IFERROR(INDEX(Rekorde!$N$4:$N$17,MATCH(Übungen!$A$11,Rekorde!$A$4:$A$17,0)),"")&gt;=Übungen!$H$11),"Stackende, über Tempo und Pausen steigern     ·     ",""))&amp;"Vorgabe: "&amp;Übungen!$E$11&amp;" × "&amp;Übungen!$D$11&amp;" Wdh @ RPE "&amp;Übungen!$F$11</f>
        <v>Zuletzt: 35 kg × 15 Wdh     ·     Bestwert: 49 kg     ·     Ziel heute: 36 kg     ·     Vorgabe: 3 × 15-20 Wdh @ RPE 9</v>
      </c>
      <c r="B78" s="50"/>
      <c r="C78" s="50"/>
      <c r="D78" s="50"/>
      <c r="E78" s="50"/>
      <c r="F78" s="50"/>
      <c r="G78" s="50"/>
      <c r="H78" s="50"/>
    </row>
    <row r="79" customFormat="false" ht="13.5" hidden="false" customHeight="true" outlineLevel="0" collapsed="false">
      <c r="A79" s="51" t="s">
        <v>160</v>
      </c>
      <c r="B79" s="51" t="s">
        <v>161</v>
      </c>
      <c r="C79" s="51" t="s">
        <v>162</v>
      </c>
      <c r="D79" s="51" t="s">
        <v>163</v>
      </c>
      <c r="E79" s="51" t="s">
        <v>92</v>
      </c>
      <c r="F79" s="51" t="s">
        <v>39</v>
      </c>
      <c r="G79" s="51" t="s">
        <v>164</v>
      </c>
      <c r="H79" s="51" t="s">
        <v>83</v>
      </c>
    </row>
    <row r="80" customFormat="false" ht="19.5" hidden="false" customHeight="true" outlineLevel="0" collapsed="false">
      <c r="A80" s="52" t="n">
        <v>1</v>
      </c>
      <c r="B80" s="53" t="s">
        <v>97</v>
      </c>
      <c r="C80" s="54" t="n">
        <f aca="false">IF(IFERROR(INDEX(Rekorde!$N$4:$N$17,MATCH(Übungen!$A$11,Rekorde!$A$4:$A$17,0)),"")="","",ROUND(IFERROR(INDEX(Rekorde!$N$4:$N$17,MATCH(Übungen!$A$11,Rekorde!$A$4:$A$17,0)),"")*0.45*2,0)/2)</f>
        <v>16</v>
      </c>
      <c r="D80" s="55"/>
      <c r="E80" s="55"/>
      <c r="F80" s="55"/>
      <c r="G80" s="55"/>
      <c r="H80" s="55"/>
    </row>
    <row r="81" customFormat="false" ht="19.5" hidden="false" customHeight="true" outlineLevel="0" collapsed="false">
      <c r="A81" s="52" t="n">
        <v>2</v>
      </c>
      <c r="B81" s="53" t="s">
        <v>97</v>
      </c>
      <c r="C81" s="54" t="n">
        <f aca="false">IF(IFERROR(INDEX(Rekorde!$N$4:$N$17,MATCH(Übungen!$A$11,Rekorde!$A$4:$A$17,0)),"")="","",ROUND(IFERROR(INDEX(Rekorde!$N$4:$N$17,MATCH(Übungen!$A$11,Rekorde!$A$4:$A$17,0)),"")*0.7*2,0)/2)</f>
        <v>25</v>
      </c>
      <c r="D81" s="55"/>
      <c r="E81" s="55"/>
      <c r="F81" s="55"/>
      <c r="G81" s="55"/>
      <c r="H81" s="55"/>
    </row>
    <row r="82" customFormat="false" ht="19.5" hidden="false" customHeight="true" outlineLevel="0" collapsed="false">
      <c r="A82" s="52" t="n">
        <v>3</v>
      </c>
      <c r="B82" s="56" t="s">
        <v>98</v>
      </c>
      <c r="C82" s="54" t="n">
        <f aca="false">IF(IFERROR(INDEX(Rekorde!$N$4:$N$17,MATCH(Übungen!$A$11,Rekorde!$A$4:$A$17,0)),"")="","",ROUND(IFERROR(INDEX(Rekorde!$N$4:$N$17,MATCH(Übungen!$A$11,Rekorde!$A$4:$A$17,0)),"")*1*2,0)/2)</f>
        <v>36</v>
      </c>
      <c r="D82" s="55"/>
      <c r="E82" s="55"/>
      <c r="F82" s="55"/>
      <c r="G82" s="55"/>
      <c r="H82" s="55"/>
    </row>
    <row r="83" customFormat="false" ht="19.5" hidden="false" customHeight="true" outlineLevel="0" collapsed="false">
      <c r="A83" s="52" t="n">
        <v>4</v>
      </c>
      <c r="B83" s="56" t="s">
        <v>98</v>
      </c>
      <c r="C83" s="54" t="n">
        <f aca="false">IF(IFERROR(INDEX(Rekorde!$N$4:$N$17,MATCH(Übungen!$A$11,Rekorde!$A$4:$A$17,0)),"")="","",ROUND(IFERROR(INDEX(Rekorde!$N$4:$N$17,MATCH(Übungen!$A$11,Rekorde!$A$4:$A$17,0)),"")*1*2,0)/2)</f>
        <v>36</v>
      </c>
      <c r="D83" s="55"/>
      <c r="E83" s="55"/>
      <c r="F83" s="55"/>
      <c r="G83" s="55"/>
      <c r="H83" s="55"/>
    </row>
    <row r="84" customFormat="false" ht="19.5" hidden="false" customHeight="true" outlineLevel="0" collapsed="false">
      <c r="A84" s="52" t="n">
        <v>5</v>
      </c>
      <c r="B84" s="56" t="s">
        <v>98</v>
      </c>
      <c r="C84" s="54" t="n">
        <f aca="false">IF(IFERROR(INDEX(Rekorde!$N$4:$N$17,MATCH(Übungen!$A$11,Rekorde!$A$4:$A$17,0)),"")="","",ROUND(IFERROR(INDEX(Rekorde!$N$4:$N$17,MATCH(Übungen!$A$11,Rekorde!$A$4:$A$17,0)),"")*1*2,0)/2)</f>
        <v>36</v>
      </c>
      <c r="D84" s="55"/>
      <c r="E84" s="55"/>
      <c r="F84" s="55"/>
      <c r="G84" s="55"/>
      <c r="H84" s="55"/>
    </row>
    <row r="86" customFormat="false" ht="18.75" hidden="false" customHeight="true" outlineLevel="0" collapsed="false">
      <c r="A86" s="49" t="str">
        <f aca="false">Übungen!$A$12</f>
        <v>Waden</v>
      </c>
      <c r="B86" s="49"/>
      <c r="C86" s="49"/>
      <c r="D86" s="49"/>
      <c r="E86" s="49"/>
      <c r="F86" s="49"/>
      <c r="G86" s="49"/>
      <c r="H86" s="49"/>
    </row>
    <row r="87" customFormat="false" ht="15" hidden="false" customHeight="true" outlineLevel="0" collapsed="false">
      <c r="A87" s="50" t="str">
        <f aca="false">IF(IFERROR(INDEX(Rekorde!$L$4:$L$17,MATCH(Übungen!$A$12,Rekorde!$A$4:$A$17,0)),"")="",IF(IFERROR(INDEX(Rekorde!$N$4:$N$17,MATCH(Übungen!$A$12,Rekorde!$A$4:$A$17,0)),"")="","Neu im Plan - Startgewicht im Blatt 'Übungen' eintragen     ·     ","Neu im Plan     ·     Start: "&amp;TEXT(IFERROR(INDEX(Rekorde!$N$4:$N$17,MATCH(Übungen!$A$12,Rekorde!$A$4:$A$17,0)),""),"0.#")&amp;"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"&amp;IF(IFERROR(INDEX(Rekorde!$N$4:$N$17,MATCH(Übungen!$A$12,Rekorde!$A$4:$A$17,0)),"")="","","Ziel heute: "&amp;TEXT(IFERROR(INDEX(Rekorde!$N$4:$N$17,MATCH(Übungen!$A$12,Rekorde!$A$4:$A$17,0)),""),"0.#")&amp;" kg     ·     ")&amp;IF(AND(Übungen!$H$12&lt;&gt;"",IFERROR(INDEX(Rekorde!$N$4:$N$17,MATCH(Übungen!$A$12,Rekorde!$A$4:$A$17,0)),"")&lt;&gt;"",IFERROR(INDEX(Rekorde!$N$4:$N$17,MATCH(Übungen!$A$12,Rekorde!$A$4:$A$17,0)),"")&gt;=Übungen!$H$12),"Stackende, über Tempo und Pausen steigern     ·     ",""))&amp;"Vorgabe: "&amp;Übungen!$E$12&amp;" × "&amp;Übungen!$D$12&amp;" Wdh @ RPE "&amp;Übungen!$F$12</f>
        <v>Zuletzt: 150 kg × 12 Wdh     ·     Bestwert: 150 kg     ·     Ziel heute: 154 kg     ·     Vorgabe: 3 × 10-15 Wdh @ RPE 9</v>
      </c>
      <c r="B87" s="50"/>
      <c r="C87" s="50"/>
      <c r="D87" s="50"/>
      <c r="E87" s="50"/>
      <c r="F87" s="50"/>
      <c r="G87" s="50"/>
      <c r="H87" s="50"/>
    </row>
    <row r="88" customFormat="false" ht="13.5" hidden="false" customHeight="true" outlineLevel="0" collapsed="false">
      <c r="A88" s="51" t="s">
        <v>160</v>
      </c>
      <c r="B88" s="51" t="s">
        <v>161</v>
      </c>
      <c r="C88" s="51" t="s">
        <v>162</v>
      </c>
      <c r="D88" s="51" t="s">
        <v>163</v>
      </c>
      <c r="E88" s="51" t="s">
        <v>92</v>
      </c>
      <c r="F88" s="51" t="s">
        <v>39</v>
      </c>
      <c r="G88" s="51" t="s">
        <v>164</v>
      </c>
      <c r="H88" s="51" t="s">
        <v>83</v>
      </c>
    </row>
    <row r="89" customFormat="false" ht="19.5" hidden="false" customHeight="true" outlineLevel="0" collapsed="false">
      <c r="A89" s="52" t="n">
        <v>1</v>
      </c>
      <c r="B89" s="53" t="s">
        <v>97</v>
      </c>
      <c r="C89" s="54" t="n">
        <f aca="false">IF(IFERROR(INDEX(Rekorde!$N$4:$N$17,MATCH(Übungen!$A$12,Rekorde!$A$4:$A$17,0)),"")="","",ROUND(IFERROR(INDEX(Rekorde!$N$4:$N$17,MATCH(Übungen!$A$12,Rekorde!$A$4:$A$17,0)),"")*0.45*2,0)/2)</f>
        <v>69.5</v>
      </c>
      <c r="D89" s="55"/>
      <c r="E89" s="55"/>
      <c r="F89" s="55"/>
      <c r="G89" s="55"/>
      <c r="H89" s="55"/>
    </row>
    <row r="90" customFormat="false" ht="19.5" hidden="false" customHeight="true" outlineLevel="0" collapsed="false">
      <c r="A90" s="52" t="n">
        <v>2</v>
      </c>
      <c r="B90" s="53" t="s">
        <v>97</v>
      </c>
      <c r="C90" s="54" t="n">
        <f aca="false">IF(IFERROR(INDEX(Rekorde!$N$4:$N$17,MATCH(Übungen!$A$12,Rekorde!$A$4:$A$17,0)),"")="","",ROUND(IFERROR(INDEX(Rekorde!$N$4:$N$17,MATCH(Übungen!$A$12,Rekorde!$A$4:$A$17,0)),"")*0.7*2,0)/2)</f>
        <v>108</v>
      </c>
      <c r="D90" s="55"/>
      <c r="E90" s="55"/>
      <c r="F90" s="55"/>
      <c r="G90" s="55"/>
      <c r="H90" s="55"/>
    </row>
    <row r="91" customFormat="false" ht="19.5" hidden="false" customHeight="true" outlineLevel="0" collapsed="false">
      <c r="A91" s="52" t="n">
        <v>3</v>
      </c>
      <c r="B91" s="56" t="s">
        <v>98</v>
      </c>
      <c r="C91" s="54" t="n">
        <f aca="false">IF(IFERROR(INDEX(Rekorde!$N$4:$N$17,MATCH(Übungen!$A$12,Rekorde!$A$4:$A$17,0)),"")="","",ROUND(IFERROR(INDEX(Rekorde!$N$4:$N$17,MATCH(Übungen!$A$12,Rekorde!$A$4:$A$17,0)),"")*1*2,0)/2)</f>
        <v>154</v>
      </c>
      <c r="D91" s="55"/>
      <c r="E91" s="55"/>
      <c r="F91" s="55"/>
      <c r="G91" s="55"/>
      <c r="H91" s="55"/>
    </row>
    <row r="92" customFormat="false" ht="19.5" hidden="false" customHeight="true" outlineLevel="0" collapsed="false">
      <c r="A92" s="52" t="n">
        <v>4</v>
      </c>
      <c r="B92" s="56" t="s">
        <v>98</v>
      </c>
      <c r="C92" s="54" t="n">
        <f aca="false">IF(IFERROR(INDEX(Rekorde!$N$4:$N$17,MATCH(Übungen!$A$12,Rekorde!$A$4:$A$17,0)),"")="","",ROUND(IFERROR(INDEX(Rekorde!$N$4:$N$17,MATCH(Übungen!$A$12,Rekorde!$A$4:$A$17,0)),"")*1*2,0)/2)</f>
        <v>154</v>
      </c>
      <c r="D92" s="55"/>
      <c r="E92" s="55"/>
      <c r="F92" s="55"/>
      <c r="G92" s="55"/>
      <c r="H92" s="55"/>
    </row>
    <row r="93" customFormat="false" ht="19.5" hidden="false" customHeight="true" outlineLevel="0" collapsed="false">
      <c r="A93" s="52" t="n">
        <v>5</v>
      </c>
      <c r="B93" s="56" t="s">
        <v>98</v>
      </c>
      <c r="C93" s="54" t="n">
        <f aca="false">IF(IFERROR(INDEX(Rekorde!$N$4:$N$17,MATCH(Übungen!$A$12,Rekorde!$A$4:$A$17,0)),"")="","",ROUND(IFERROR(INDEX(Rekorde!$N$4:$N$17,MATCH(Übungen!$A$12,Rekorde!$A$4:$A$17,0)),"")*1*2,0)/2)</f>
        <v>154</v>
      </c>
      <c r="D93" s="55"/>
      <c r="E93" s="55"/>
      <c r="F93" s="55"/>
      <c r="G93" s="55"/>
      <c r="H93" s="55"/>
    </row>
    <row r="95" customFormat="false" ht="15.75" hidden="false" customHeight="true" outlineLevel="0" collapsed="false">
      <c r="A95" s="3" t="s">
        <v>165</v>
      </c>
      <c r="B95" s="3"/>
      <c r="C95" s="3"/>
      <c r="D95" s="3"/>
      <c r="E95" s="3"/>
      <c r="F95" s="3"/>
      <c r="G95" s="3"/>
      <c r="H95" s="3"/>
    </row>
    <row r="96" customFormat="false" ht="18" hidden="false" customHeight="true" outlineLevel="0" collapsed="false">
      <c r="A96" s="58"/>
      <c r="B96" s="58"/>
      <c r="C96" s="58"/>
      <c r="D96" s="58"/>
      <c r="E96" s="58"/>
      <c r="F96" s="58"/>
      <c r="G96" s="58"/>
      <c r="H96" s="58"/>
    </row>
    <row r="97" customFormat="false" ht="18" hidden="false" customHeight="true" outlineLevel="0" collapsed="false">
      <c r="A97" s="58"/>
      <c r="B97" s="58"/>
      <c r="C97" s="58"/>
      <c r="D97" s="58"/>
      <c r="E97" s="58"/>
      <c r="F97" s="58"/>
      <c r="G97" s="58"/>
      <c r="H97" s="58"/>
    </row>
    <row r="98" customFormat="false" ht="18" hidden="false" customHeight="true" outlineLevel="0" collapsed="false">
      <c r="A98" s="58"/>
      <c r="B98" s="58"/>
      <c r="C98" s="58"/>
      <c r="D98" s="58"/>
      <c r="E98" s="58"/>
      <c r="F98" s="58"/>
      <c r="G98" s="58"/>
      <c r="H98" s="58"/>
    </row>
  </sheetData>
  <mergeCells count="40">
    <mergeCell ref="A1:H1"/>
    <mergeCell ref="A2:B2"/>
    <mergeCell ref="E2:F2"/>
    <mergeCell ref="G2:H2"/>
    <mergeCell ref="A3:B3"/>
    <mergeCell ref="E3:F3"/>
    <mergeCell ref="G3:H3"/>
    <mergeCell ref="A5:H5"/>
    <mergeCell ref="A6:H6"/>
    <mergeCell ref="A14:H14"/>
    <mergeCell ref="A15:H15"/>
    <mergeCell ref="A23:H23"/>
    <mergeCell ref="A24:H24"/>
    <mergeCell ref="A32:H32"/>
    <mergeCell ref="A33:H33"/>
    <mergeCell ref="A41:H41"/>
    <mergeCell ref="A42:H42"/>
    <mergeCell ref="A43:H43"/>
    <mergeCell ref="A44:H44"/>
    <mergeCell ref="A46:H46"/>
    <mergeCell ref="A47:B47"/>
    <mergeCell ref="E47:F47"/>
    <mergeCell ref="G47:H47"/>
    <mergeCell ref="A48:B48"/>
    <mergeCell ref="E48:F48"/>
    <mergeCell ref="G48:H48"/>
    <mergeCell ref="A50:H50"/>
    <mergeCell ref="A51:H51"/>
    <mergeCell ref="A59:H59"/>
    <mergeCell ref="A60:H60"/>
    <mergeCell ref="A68:H68"/>
    <mergeCell ref="A69:H69"/>
    <mergeCell ref="A77:H77"/>
    <mergeCell ref="A78:H78"/>
    <mergeCell ref="A86:H86"/>
    <mergeCell ref="A87:H87"/>
    <mergeCell ref="A95:H95"/>
    <mergeCell ref="A96:H96"/>
    <mergeCell ref="A97:H97"/>
    <mergeCell ref="A98:H98"/>
  </mergeCells>
  <printOptions headings="false" gridLines="false" gridLinesSet="true" horizontalCentered="true" verticalCentered="false"/>
  <pageMargins left="0.5" right="0.4" top="0.5" bottom="0.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&amp;K808080Plan (kg) = Aufwärm-Rampe 45 % / 70 %, dann Zielgewicht aus dem Blatt 'Rekorde'&amp;R&amp;8 &amp;K808080Seite &amp;P von &amp;N</oddFooter>
  </headerFooter>
  <rowBreaks count="1" manualBreakCount="1">
    <brk id="44"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5"/>
    <col collapsed="false" customWidth="true" hidden="false" outlineLevel="0" max="3" min="3" style="0" width="22"/>
    <col collapsed="false" customWidth="true" hidden="false" outlineLevel="0" max="4" min="4" style="0" width="10"/>
    <col collapsed="false" customWidth="true" hidden="false" outlineLevel="0" max="6" min="5" style="0" width="8"/>
    <col collapsed="false" customWidth="true" hidden="false" outlineLevel="0" max="8" min="7" style="0" width="10"/>
    <col collapsed="false" customWidth="true" hidden="false" outlineLevel="0" max="9" min="9" style="0" width="8"/>
    <col collapsed="false" customWidth="true" hidden="false" outlineLevel="0" max="10" min="10" style="0" width="46"/>
  </cols>
  <sheetData>
    <row r="1" customFormat="false" ht="30" hidden="false" customHeight="true" outlineLevel="0" collapsed="false">
      <c r="A1" s="1" t="s">
        <v>167</v>
      </c>
      <c r="B1" s="1"/>
      <c r="C1" s="1"/>
      <c r="D1" s="1"/>
      <c r="E1" s="1"/>
      <c r="F1" s="1"/>
      <c r="G1" s="1"/>
      <c r="H1" s="1"/>
      <c r="I1" s="1"/>
      <c r="J1" s="1"/>
    </row>
    <row r="2" customFormat="false" ht="15" hidden="false" customHeight="true" outlineLevel="0" collapsed="false">
      <c r="A2" s="2" t="s">
        <v>168</v>
      </c>
      <c r="B2" s="2"/>
      <c r="C2" s="2"/>
      <c r="D2" s="2"/>
      <c r="E2" s="2"/>
      <c r="F2" s="2"/>
      <c r="G2" s="2"/>
      <c r="H2" s="2"/>
      <c r="I2" s="2"/>
      <c r="J2" s="2"/>
    </row>
    <row r="3" customFormat="false" ht="30" hidden="false" customHeight="true" outlineLevel="0" collapsed="false">
      <c r="A3" s="16" t="s">
        <v>89</v>
      </c>
      <c r="B3" s="16" t="s">
        <v>88</v>
      </c>
      <c r="C3" s="16" t="s">
        <v>169</v>
      </c>
      <c r="D3" s="16" t="s">
        <v>170</v>
      </c>
      <c r="E3" s="16" t="s">
        <v>171</v>
      </c>
      <c r="F3" s="16" t="s">
        <v>172</v>
      </c>
      <c r="G3" s="16" t="s">
        <v>173</v>
      </c>
      <c r="H3" s="16" t="s">
        <v>174</v>
      </c>
      <c r="I3" s="16" t="s">
        <v>175</v>
      </c>
      <c r="J3" s="16" t="s">
        <v>83</v>
      </c>
    </row>
    <row r="4" customFormat="false" ht="45.75" hidden="false" customHeight="true" outlineLevel="0" collapsed="false">
      <c r="A4" s="19" t="s">
        <v>176</v>
      </c>
      <c r="B4" s="19" t="s">
        <v>177</v>
      </c>
      <c r="C4" s="19" t="s">
        <v>178</v>
      </c>
      <c r="D4" s="27" t="s">
        <v>179</v>
      </c>
      <c r="E4" s="27" t="n">
        <v>3</v>
      </c>
      <c r="F4" s="27" t="s">
        <v>180</v>
      </c>
      <c r="G4" s="20"/>
      <c r="H4" s="20"/>
      <c r="I4" s="27" t="s">
        <v>181</v>
      </c>
      <c r="J4" s="59" t="s">
        <v>182</v>
      </c>
    </row>
    <row r="5" customFormat="false" ht="45.75" hidden="false" customHeight="true" outlineLevel="0" collapsed="false">
      <c r="A5" s="19" t="s">
        <v>112</v>
      </c>
      <c r="B5" s="19" t="s">
        <v>177</v>
      </c>
      <c r="C5" s="19" t="s">
        <v>183</v>
      </c>
      <c r="D5" s="27" t="s">
        <v>184</v>
      </c>
      <c r="E5" s="27" t="n">
        <v>3</v>
      </c>
      <c r="F5" s="27" t="s">
        <v>185</v>
      </c>
      <c r="G5" s="20"/>
      <c r="H5" s="20"/>
      <c r="I5" s="27" t="s">
        <v>181</v>
      </c>
      <c r="J5" s="59" t="s">
        <v>186</v>
      </c>
    </row>
    <row r="6" customFormat="false" ht="45.75" hidden="false" customHeight="true" outlineLevel="0" collapsed="false">
      <c r="A6" s="19" t="s">
        <v>105</v>
      </c>
      <c r="B6" s="19" t="s">
        <v>177</v>
      </c>
      <c r="C6" s="19" t="s">
        <v>187</v>
      </c>
      <c r="D6" s="27" t="s">
        <v>188</v>
      </c>
      <c r="E6" s="27" t="n">
        <v>3</v>
      </c>
      <c r="F6" s="27" t="s">
        <v>189</v>
      </c>
      <c r="G6" s="20"/>
      <c r="H6" s="20"/>
      <c r="I6" s="27" t="s">
        <v>181</v>
      </c>
      <c r="J6" s="59" t="s">
        <v>190</v>
      </c>
    </row>
    <row r="7" customFormat="false" ht="45.75" hidden="false" customHeight="true" outlineLevel="0" collapsed="false">
      <c r="A7" s="19" t="s">
        <v>96</v>
      </c>
      <c r="B7" s="19" t="s">
        <v>177</v>
      </c>
      <c r="C7" s="19" t="s">
        <v>187</v>
      </c>
      <c r="D7" s="27" t="s">
        <v>191</v>
      </c>
      <c r="E7" s="27" t="n">
        <v>3</v>
      </c>
      <c r="F7" s="27" t="s">
        <v>189</v>
      </c>
      <c r="G7" s="20"/>
      <c r="H7" s="20" t="n">
        <v>152.5</v>
      </c>
      <c r="I7" s="27" t="s">
        <v>181</v>
      </c>
      <c r="J7" s="59" t="s">
        <v>192</v>
      </c>
    </row>
    <row r="8" customFormat="false" ht="45.75" hidden="false" customHeight="true" outlineLevel="0" collapsed="false">
      <c r="A8" s="19" t="s">
        <v>193</v>
      </c>
      <c r="B8" s="19" t="s">
        <v>194</v>
      </c>
      <c r="C8" s="19" t="s">
        <v>195</v>
      </c>
      <c r="D8" s="27" t="s">
        <v>184</v>
      </c>
      <c r="E8" s="27" t="n">
        <v>3</v>
      </c>
      <c r="F8" s="27" t="s">
        <v>185</v>
      </c>
      <c r="G8" s="20"/>
      <c r="H8" s="20"/>
      <c r="I8" s="27" t="s">
        <v>181</v>
      </c>
      <c r="J8" s="59" t="s">
        <v>196</v>
      </c>
    </row>
    <row r="9" customFormat="false" ht="45.75" hidden="false" customHeight="true" outlineLevel="0" collapsed="false">
      <c r="A9" s="19" t="s">
        <v>120</v>
      </c>
      <c r="B9" s="19" t="s">
        <v>194</v>
      </c>
      <c r="C9" s="19" t="s">
        <v>195</v>
      </c>
      <c r="D9" s="27" t="s">
        <v>197</v>
      </c>
      <c r="E9" s="27" t="n">
        <v>3</v>
      </c>
      <c r="F9" s="27" t="s">
        <v>180</v>
      </c>
      <c r="G9" s="20"/>
      <c r="H9" s="20"/>
      <c r="I9" s="27" t="s">
        <v>181</v>
      </c>
      <c r="J9" s="59" t="s">
        <v>198</v>
      </c>
    </row>
    <row r="10" customFormat="false" ht="45.75" hidden="false" customHeight="true" outlineLevel="0" collapsed="false">
      <c r="A10" s="19" t="s">
        <v>116</v>
      </c>
      <c r="B10" s="19" t="s">
        <v>194</v>
      </c>
      <c r="C10" s="19" t="s">
        <v>199</v>
      </c>
      <c r="D10" s="27" t="s">
        <v>200</v>
      </c>
      <c r="E10" s="27" t="n">
        <v>3</v>
      </c>
      <c r="F10" s="27" t="s">
        <v>189</v>
      </c>
      <c r="G10" s="20"/>
      <c r="H10" s="20"/>
      <c r="I10" s="27" t="s">
        <v>181</v>
      </c>
      <c r="J10" s="59" t="s">
        <v>201</v>
      </c>
    </row>
    <row r="11" customFormat="false" ht="45.75" hidden="false" customHeight="true" outlineLevel="0" collapsed="false">
      <c r="A11" s="19" t="s">
        <v>115</v>
      </c>
      <c r="B11" s="19" t="s">
        <v>194</v>
      </c>
      <c r="C11" s="19" t="s">
        <v>202</v>
      </c>
      <c r="D11" s="27" t="s">
        <v>191</v>
      </c>
      <c r="E11" s="27" t="n">
        <v>3</v>
      </c>
      <c r="F11" s="27" t="s">
        <v>189</v>
      </c>
      <c r="G11" s="20"/>
      <c r="H11" s="20"/>
      <c r="I11" s="27" t="s">
        <v>181</v>
      </c>
      <c r="J11" s="59" t="s">
        <v>203</v>
      </c>
    </row>
    <row r="12" customFormat="false" ht="45.75" hidden="false" customHeight="true" outlineLevel="0" collapsed="false">
      <c r="A12" s="19" t="s">
        <v>124</v>
      </c>
      <c r="B12" s="19" t="s">
        <v>194</v>
      </c>
      <c r="C12" s="19" t="s">
        <v>187</v>
      </c>
      <c r="D12" s="27" t="s">
        <v>204</v>
      </c>
      <c r="E12" s="27" t="n">
        <v>3</v>
      </c>
      <c r="F12" s="27" t="s">
        <v>189</v>
      </c>
      <c r="G12" s="20"/>
      <c r="H12" s="20"/>
      <c r="I12" s="27" t="s">
        <v>181</v>
      </c>
      <c r="J12" s="59" t="s">
        <v>205</v>
      </c>
    </row>
    <row r="13" customFormat="false" ht="45.75" hidden="false" customHeight="true" outlineLevel="0" collapsed="false">
      <c r="A13" s="60" t="s">
        <v>52</v>
      </c>
      <c r="B13" s="60" t="s">
        <v>177</v>
      </c>
      <c r="C13" s="60" t="s">
        <v>206</v>
      </c>
      <c r="D13" s="61" t="s">
        <v>200</v>
      </c>
      <c r="E13" s="61"/>
      <c r="F13" s="61"/>
      <c r="G13" s="62"/>
      <c r="H13" s="62"/>
      <c r="I13" s="61" t="s">
        <v>207</v>
      </c>
      <c r="J13" s="63" t="s">
        <v>208</v>
      </c>
    </row>
    <row r="14" customFormat="false" ht="45.75" hidden="false" customHeight="true" outlineLevel="0" collapsed="false">
      <c r="A14" s="60" t="s">
        <v>114</v>
      </c>
      <c r="B14" s="60" t="s">
        <v>194</v>
      </c>
      <c r="C14" s="60" t="s">
        <v>209</v>
      </c>
      <c r="D14" s="61" t="s">
        <v>204</v>
      </c>
      <c r="E14" s="61"/>
      <c r="F14" s="61"/>
      <c r="G14" s="62"/>
      <c r="H14" s="62"/>
      <c r="I14" s="61" t="s">
        <v>207</v>
      </c>
      <c r="J14" s="63" t="s">
        <v>210</v>
      </c>
    </row>
    <row r="15" customFormat="false" ht="18" hidden="false" customHeight="true" outlineLevel="0" collapsed="false">
      <c r="A15" s="19"/>
      <c r="B15" s="19"/>
      <c r="C15" s="19"/>
      <c r="D15" s="27"/>
      <c r="E15" s="27"/>
      <c r="F15" s="27"/>
      <c r="G15" s="20"/>
      <c r="H15" s="20"/>
      <c r="I15" s="27"/>
      <c r="J15" s="59"/>
    </row>
    <row r="16" customFormat="false" ht="18" hidden="false" customHeight="true" outlineLevel="0" collapsed="false">
      <c r="A16" s="19"/>
      <c r="B16" s="19"/>
      <c r="C16" s="19"/>
      <c r="D16" s="27"/>
      <c r="E16" s="27"/>
      <c r="F16" s="27"/>
      <c r="G16" s="20"/>
      <c r="H16" s="20"/>
      <c r="I16" s="27"/>
      <c r="J16" s="59"/>
    </row>
    <row r="17" customFormat="false" ht="18" hidden="false" customHeight="true" outlineLevel="0" collapsed="false">
      <c r="A17" s="19"/>
      <c r="B17" s="19"/>
      <c r="C17" s="19"/>
      <c r="D17" s="27"/>
      <c r="E17" s="27"/>
      <c r="F17" s="27"/>
      <c r="G17" s="20"/>
      <c r="H17" s="20"/>
      <c r="I17" s="27"/>
      <c r="J17" s="59"/>
    </row>
    <row r="19" customFormat="false" ht="39.75" hidden="false" customHeight="true" outlineLevel="0" collapsed="false">
      <c r="A19" s="42" t="s">
        <v>211</v>
      </c>
      <c r="B19" s="42"/>
      <c r="C19" s="42"/>
      <c r="D19" s="42"/>
      <c r="E19" s="42"/>
      <c r="F19" s="42"/>
      <c r="G19" s="42"/>
      <c r="H19" s="42"/>
      <c r="I19" s="42"/>
      <c r="J19" s="42"/>
    </row>
  </sheetData>
  <mergeCells count="3">
    <mergeCell ref="A1:J1"/>
    <mergeCell ref="A2:J2"/>
    <mergeCell ref="A19:J19"/>
  </mergeCells>
  <dataValidations count="2">
    <dataValidation allowBlank="true" errorStyle="stop" operator="between" showDropDown="false" showErrorMessage="false" showInputMessage="false" sqref="B4:B17"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I4:I17"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2026-07-31T13:31:33Z</dcterms:created>
  <dc:creator>openpyxl</dc:creator>
  <dc:description/>
  <dc:language>en-US</dc:language>
  <cp:lastModifiedBy/>
  <dcterms:modified xsi:type="dcterms:W3CDTF">2026-07-31T13:31:36Z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