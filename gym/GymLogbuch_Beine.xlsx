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Log!$A$1:$L$162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Progression!$A$1:$K$19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Rekorde!$A$1:$N$19</definedName>
    <definedName function="false" hidden="false" localSheetId="9" name="_xlnm.Print_Titles" vbProcedure="false">Rekorde!$1:$3</definedName>
    <definedName function="false" hidden="false" localSheetId="0" name="_xlnm.Print_Area" vbProcedure="false">Start!$B$1:$E$46</definedName>
    <definedName function="false" hidden="false" localSheetId="0" name="_xlnm.Print_Titles" vbProcedure="false">Start!$1:$2</definedName>
    <definedName function="false" hidden="false" localSheetId="10" name="_xlnm.Print_Area" vbProcedure="false">Trainingsblatt!$A$1:$H$395</definedName>
    <definedName function="false" hidden="false" localSheetId="11" name="_xlnm.Print_Area" vbProcedure="false">Übungen!$A$1:$K$19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<sst xmlns="http://schemas.openxmlformats.org/spreadsheetml/2006/main" count="1192" uniqueCount="368">
  <si>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</si>
  <si>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</si>
  <si>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</si>
  <si>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</si>
  <si>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</si>
  <si>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</si>
  <si>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</si>
  <si>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</si>
  <si>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</si>
  <si>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</si>
  <si>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</si>
  <si>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</si>
  <si>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</si>
  <si>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</si>
  <si>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</si>
  <si>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</si>
  <si>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</si>
  <si>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</si>
  <si>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</si>
  <si>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</si>
  <si>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</si>
  <si>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</si>
  <si>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</si>
  <si>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</si>
  <si>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</si>
  <si>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</si>
  <si>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</si>
  <si>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</si>
  <si>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</si>
  <si>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</si>
  <si>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</si>
  <si>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</si>
  <si>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</si>
  <si>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</si>
  <si>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</si>
  <si>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</si>
  <si>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</si>
  <si>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</si>
  <si>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</si>
  <si>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</si>
  <si>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</si>
  <si>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</si>
  <si>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</si>
  <si>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</si>
  <si>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</si>
  <si>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</si>
  <si>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</si>
  <si>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</si>
  <si>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</si>
  <si>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</si>
  <si>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</si>
  <si>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</si>
  <si>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</si>
  <si>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</si>
  <si>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</si>
  <si>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</si>
  <si>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</si>
  <si>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</si>
  <si>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</si>
  <si>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</si>
  <si>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</si>
  <si>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</si>
  <si>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</si>
  <si>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</si>
  <si>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</si>
  <si>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</si>
  <si>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Hackenschmidt-Kniebeuge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</si>
  <si>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</si>
  <si>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</si>
  <si>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</si>
  <si>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</si>
  <si>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</si>
  <si>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</si>
  <si>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</si>
  <si>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</si>
  <si>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</si>
  <si>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</si>
  <si>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</si>
  <si>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</si>
  <si>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</si>
  <si>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</si>
  <si>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</si>
  <si>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</si>
  <si>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</si>
  <si>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</si>
  <si>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</si>
  <si>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</si>
  <si>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</si>
  <si>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</si>
  <si>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</si>
  <si>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</si>
  <si>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</si>
  <si>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</si>
  <si>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</si>
  <si>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</si>
  <si>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</si>
  <si>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</si>
  <si>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</si>
  <si>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</si>
  <si>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</si>
  <si>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</si>
  <si>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</si>
  <si>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</si>
  <si>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</si>
  <si>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</si>
  <si>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</si>
  <si>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</si>
  <si>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</si>
  <si>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</si>
  <si>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</si>
  <si>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</si>
  <si>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</si>
  <si>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</si>
  <si>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</si>
  <si>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</si>
  <si>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</si>
  <si>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</si>
  <si>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</si>
  <si>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</si>
  <si>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</si>
  <si>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</si>
  <si>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</si>
  <si>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</si>
  <si>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</si>
  <si>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</si>
  <si>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</si>
  <si>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</si>
  <si>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</si>
  <si>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</si>
  <si>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</si>
  <si>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</si>
  <si>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</si>
  <si>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</si>
  <si>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</si>
  <si>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</si>
  <si>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</si>
  <si>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</si>
  <si>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</si>
  <si>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</si>
  <si>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</si>
  <si>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</si>
  <si>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</si>
  <si>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</si>
  <si>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</si>
  <si>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</si>
  <si>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</si>
  <si>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</si>
  <si>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</si>
  <si>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</si>
  <si>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</si>
  <si>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</si>
  <si>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</si>
  <si>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</si>
  <si>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</si>
  <si>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</si>
  <si>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</si>
  <si>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</si>
  <si>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</si>
  <si>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</si>
  <si>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</si>
  <si>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</si>
  <si>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</si>
  <si>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</si>
  <si>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</si>
  <si>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</si>
  <si>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</si>
  <si>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</si>
  <si>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</si>
  <si>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</si>
  <si>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</si>
  <si>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</si>
  <si>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</si>
  <si>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</si>
  <si>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</si>
  <si>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</si>
  <si>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</si>
  <si>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</si>
  <si>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</si>
  <si>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</si>
  <si>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</si>
  <si>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</si>
  <si>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</si>
  <si>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</si>
  <si>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</si>
  <si>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</si>
  <si>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</si>
  <si>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</si>
  <si>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</si>
  <si>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</si>
  <si>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</si>
  <si>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</si>
  <si>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</si>
  <si>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</si>
  <si>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</si>
  <si>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</si>
  <si>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</si>
  <si>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</si>
  <si>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</si>
  <si>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</si>
  <si>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</si>
  <si>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</si>
  <si>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</si>
  <si>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</si>
  <si>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</si>
  <si>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</si>
  <si>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</si>
  <si>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</si>
  <si>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</si>
  <si>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</si>
  <si>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</si>
  <si>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</si>
  <si>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</si>
  <si>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</si>
  <si>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</si>
  <si>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</si>
  <si>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</si>
  <si>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</si>
  <si>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</si>
  <si>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</si>
  <si>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</si>
  <si>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</si>
  <si>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</si>
  <si>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</si>
  <si>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</si>
  <si>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</si>
  <si>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</si>
  <si>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</si>
  <si>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</si>
  <si>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</si>
  <si>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</si>
  <si>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</si>
  <si>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</si>
  <si>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</si>
  <si>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</si>
  <si>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</si>
  <si>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</si>
  <si>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</si>
  <si>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</si>
  <si>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</si>
  <si>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</si>
  <si>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</si>
  <si>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</si>
  <si>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</si>
  <si>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</si>
  <si>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</si>
  <si>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</si>
  <si>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</si>
  <si>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</si>
  <si>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</si>
  <si>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</si>
  <si>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</si>
  <si>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</si>
  <si>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</si>
  <si>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</si>
  <si>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</si>
  <si>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</si>
  <si>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</si>
  <si>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</si>
  <si>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</si>
  <si>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</si>
  <si>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</si>
  <si>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</si>
  <si>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</si>
  <si>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</si>
  <si>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</si>
  <si>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</si>
  <si>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</si>
  <si>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</si>
  <si>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</si>
  <si>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</si>
  <si>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</si>
  <si>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</si>
  <si>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</si>
  <si>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</si>
  <si>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Lesehilfe: Volumen schwankt mit der Wiederholungszahl. Fallendes Volumen bei steigendem Top-Gewicht ist kein Rückschritt, sondern eine Verschiebung Richtung Kraft. Schwelle für steigend / fallend: 5 Prozent.</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</si>
  <si>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</si>
  <si>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</si>
  <si>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</si>
  <si>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</si>
  <si>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</si>
  <si>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</si>
  <si>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</si>
  <si>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</si>
  <si>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Wdh
dazu</t>
  </si>
  <si>
    <t xml:space="preserve">Nächstes
Ziel (kg)</t>
  </si>
  <si>
    <t xml:space="preserve">Nächstes Ziel = letztes Top-Gewicht plus 2.5 Prozent, gerundet auf 0.5 kg, begrenzt durch 'Max (kg)' aus dem Blatt 'Übungen'. Ohne Historie greift stattdessen das Startgewicht. Richtwert, keine Vorgabe - an Maschinen bestimmt die Steckplatte den Sprung.   ·   Graue, kursive Zeilen sind archivierte Übungen: nicht mehr im Plan, Historie bleibt.</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</si>
  <si>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</si>
  <si>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</si>
  <si>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</si>
  <si>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</si>
  <si>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</si>
  <si>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</si>
  <si>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</si>
  <si>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</si>
  <si>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</si>
  <si>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</si>
  <si>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</si>
  <si>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</si>
  <si>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</si>
  <si>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</si>
  <si>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</si>
  <si>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</si>
  <si>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</si>
  <si>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</si>
  <si>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</si>
  <si>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</si>
  <si>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</si>
  <si>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Ziel-
Sätze</t>
  </si>
  <si>
    <t xml:space="preserve">Ziel-
RPE</t>
  </si>
  <si>
    <t xml:space="preserve">Start
(kg)</t>
  </si>
  <si>
    <t xml:space="preserve">Max
(kg)</t>
  </si>
  <si>
    <t xml:space="preserve">Aktiv</t>
  </si>
  <si>
    <t xml:space="preserve">Reha frei
ab Woche</t>
  </si>
  <si>
    <t xml:space="preserve">Reha-Hinweis</t>
  </si>
  <si>
    <t xml:space="preserve">Hackenschmidt-Kniebeuge</t>
  </si>
  <si>
    <t xml:space="preserve">Beine vorne</t>
  </si>
  <si>
    <t xml:space="preserve">Hackenschmidt / Pendel</t>
  </si>
  <si>
    <t xml:space="preserve">6-10</t>
  </si>
  <si>
    <t xml:space="preserve">8-9</t>
  </si>
  <si>
    <t xml:space="preserve">ja</t>
  </si>
  <si>
    <t xml:space="preserve">Ersetzt Lunges. Schwere Grundübung zuerst, Quadrizeps unter Last in der gedehnten Position, Rücken gestützt. Ohne Maschine: Pendelkniebeuge, sonst Beinpresse mit tiefer Fussposition.</t>
  </si>
  <si>
    <t xml:space="preserve">Beinpresse mit tiefer Fussposition, Hände seitlich abgelegt</t>
  </si>
  <si>
    <t xml:space="preserve">Schulterpolster und Griffe. Der Griff ist isometrische Ellenbogenbeugung, deshalb erst nach der Sperrfrist. Ab Freigabe locker greifen, nicht ziehen.</t>
  </si>
  <si>
    <t xml:space="preserve">Multipresse / Hantel</t>
  </si>
  <si>
    <t xml:space="preserve">8-10</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</si>
  <si>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</si>
  <si>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</si>
  <si>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</si>
  <si>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</si>
  <si>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</si>
  <si>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12-15</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</si>
  <si>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</si>
  <si>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</si>
  <si>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</si>
  <si>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</si>
  <si>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15-20</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</si>
  <si>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</si>
  <si>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</si>
  <si>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</si>
  <si>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</si>
  <si>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</si>
  <si>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</si>
  <si>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</si>
  <si>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</si>
  <si>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8-12</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</si>
  <si>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</si>
  <si>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</si>
  <si>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</si>
  <si>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</si>
  <si>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10-12</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</si>
  <si>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</si>
  <si>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</si>
  <si>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</si>
  <si>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</si>
  <si>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</si>
  <si>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</si>
  <si>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10-15</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</si>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</sst>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2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4" fillId="8" borderId="1" xfId="0" applyFont="true" applyBorder="true" applyAlignment="true" applyProtection="false">
      <alignment horizontal="left" vertical="center" textRotation="0" wrapText="false" indent="1"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27" fillId="6" borderId="1" xfId="0" applyFont="true" applyBorder="true" applyAlignment="true" applyProtection="false">
      <alignment horizontal="left" vertical="center" textRotation="0" wrapText="false" indent="0" shrinkToFit="false"/>
      <protection locked="true" hidden="false"/>
    </xf>
    <xf numFmtId="164" fontId="27" fillId="6" borderId="1" xfId="0" applyFont="true" applyBorder="true" applyAlignment="true" applyProtection="false">
      <alignment horizontal="center" vertical="center" textRotation="0" wrapText="false" indent="0" shrinkToFit="false"/>
      <protection locked="true" hidden="false"/>
    </xf>
    <xf numFmtId="166" fontId="27" fillId="6" borderId="1"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73388653"/>
        <c:axId val="89336361"/>
      </c:barChart>
      <c:catAx>
        <c:axId val="7338865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336361"/>
        <c:crosses val="autoZero"/>
        <c:auto val="1"/>
        <c:lblAlgn val="ctr"/>
        <c:lblOffset val="100"/>
        <c:noMultiLvlLbl val="0"/>
      </c:catAx>
      <c:valAx>
        <c:axId val="8933636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3886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71039893"/>
        <c:axId val="6255768"/>
      </c:barChart>
      <c:catAx>
        <c:axId val="710398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5768"/>
        <c:crosses val="autoZero"/>
        <c:auto val="1"/>
        <c:lblAlgn val="ctr"/>
        <c:lblOffset val="100"/>
        <c:noMultiLvlLbl val="0"/>
      </c:catAx>
      <c:valAx>
        <c:axId val="625576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398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89152430"/>
        <c:axId val="27670726"/>
      </c:barChart>
      <c:catAx>
        <c:axId val="891524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70726"/>
        <c:crosses val="autoZero"/>
        <c:auto val="1"/>
        <c:lblAlgn val="ctr"/>
        <c:lblOffset val="100"/>
        <c:noMultiLvlLbl val="0"/>
      </c:catAx>
      <c:valAx>
        <c:axId val="2767072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5243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35313044"/>
        <c:axId val="83902080"/>
      </c:barChart>
      <c:catAx>
        <c:axId val="353130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902080"/>
        <c:crosses val="autoZero"/>
        <c:auto val="1"/>
        <c:lblAlgn val="ctr"/>
        <c:lblOffset val="100"/>
        <c:noMultiLvlLbl val="0"/>
      </c:catAx>
      <c:valAx>
        <c:axId val="8390208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3130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71722456"/>
        <c:axId val="93067881"/>
      </c:lineChart>
      <c:catAx>
        <c:axId val="717224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67881"/>
        <c:crosses val="autoZero"/>
        <c:auto val="1"/>
        <c:lblAlgn val="ctr"/>
        <c:lblOffset val="100"/>
        <c:noMultiLvlLbl val="0"/>
      </c:catAx>
      <c:valAx>
        <c:axId val="93067881"/>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7224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41861043"/>
        <c:axId val="4069134"/>
      </c:lineChart>
      <c:catAx>
        <c:axId val="418610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69134"/>
        <c:crosses val="autoZero"/>
        <c:auto val="1"/>
        <c:lblAlgn val="ctr"/>
        <c:lblOffset val="100"/>
        <c:noMultiLvlLbl val="0"/>
      </c:catAx>
      <c:valAx>
        <c:axId val="4069134"/>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86104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4</v>
      </c>
      <c r="D5" s="5"/>
      <c r="E5" s="5"/>
    </row>
    <row r="6" customFormat="false" ht="15" hidden="false" customHeight="false" outlineLevel="0" collapsed="false">
      <c r="B6" s="4" t="s">
        <v>4</v>
      </c>
      <c r="C6" s="5" t="n">
        <f aca="false">COUNTA(Log!$E$4:$E$1203)</f>
        <v>119</v>
      </c>
      <c r="D6" s="5"/>
      <c r="E6" s="5"/>
    </row>
    <row r="7" customFormat="false" ht="15" hidden="false" customHeight="false" outlineLevel="0" collapsed="false">
      <c r="B7" s="4" t="s">
        <v>5</v>
      </c>
      <c r="C7" s="6" t="n">
        <f aca="false">IFERROR(SUM(Log!$I$4:$I$1203)/1000,0)</f>
        <v>89.172</v>
      </c>
      <c r="D7" s="6"/>
      <c r="E7" s="6"/>
    </row>
    <row r="8" customFormat="false" ht="15" hidden="false" customHeight="false" outlineLevel="0" collapsed="false">
      <c r="B8" s="4" t="s">
        <v>6</v>
      </c>
      <c r="C8" s="6" t="n">
        <f aca="false">SUMPRODUCT(MAX((Log!$E$4:$E$1203="A")*(Log!$F$4:$F$1203&lt;&gt;"")*Log!$F$4:$F$1203))</f>
        <v>280</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6" customFormat="false" ht="19.5" hidden="false" customHeight="true" outlineLevel="0" collapsed="false">
      <c r="B36" s="3" t="s">
        <v>50</v>
      </c>
      <c r="C36" s="3"/>
      <c r="D36" s="3"/>
      <c r="E36" s="3"/>
    </row>
    <row r="37" customFormat="false" ht="30" hidden="false" customHeight="true" outlineLevel="0" collapsed="false">
      <c r="B37" s="11" t="s">
        <v>51</v>
      </c>
      <c r="C37" s="9" t="s">
        <v>52</v>
      </c>
      <c r="D37" s="9"/>
      <c r="E37" s="9"/>
    </row>
    <row r="38" customFormat="false" ht="30" hidden="false" customHeight="true" outlineLevel="0" collapsed="false">
      <c r="B38" s="11" t="s">
        <v>53</v>
      </c>
      <c r="C38" s="9" t="s">
        <v>54</v>
      </c>
      <c r="D38" s="9"/>
      <c r="E38" s="9"/>
    </row>
    <row r="39" customFormat="false" ht="17.25" hidden="false" customHeight="true" outlineLevel="0" collapsed="false">
      <c r="B39" s="11" t="s">
        <v>55</v>
      </c>
      <c r="C39" s="9" t="s">
        <v>56</v>
      </c>
      <c r="D39" s="9"/>
      <c r="E39" s="9"/>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42"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6" customFormat="false" ht="15" hidden="false" customHeight="false" outlineLevel="0" collapsed="false">
      <c r="B46" s="12" t="s">
        <v>67</v>
      </c>
      <c r="C46" s="12"/>
      <c r="D46" s="12"/>
      <c r="E46" s="12"/>
    </row>
  </sheetData>
  <mergeCells count="40">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B36:E36"/>
    <mergeCell ref="C37:E37"/>
    <mergeCell ref="C38:E38"/>
    <mergeCell ref="C39:E39"/>
    <mergeCell ref="C40:E40"/>
    <mergeCell ref="C41:E41"/>
    <mergeCell ref="C42:E42"/>
    <mergeCell ref="C43:E43"/>
    <mergeCell ref="C44:E44"/>
    <mergeCell ref="B46:E46"/>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68</v>
      </c>
      <c r="B1" s="1"/>
      <c r="C1" s="1"/>
      <c r="D1" s="1"/>
      <c r="E1" s="1"/>
      <c r="F1" s="1"/>
      <c r="G1" s="1"/>
      <c r="H1" s="1"/>
      <c r="I1" s="1"/>
      <c r="J1" s="1"/>
    </row>
    <row r="2" customFormat="false" ht="15" hidden="false" customHeight="true" outlineLevel="0" collapsed="false">
      <c r="A2" s="2" t="s">
        <v>69</v>
      </c>
      <c r="B2" s="2"/>
      <c r="C2" s="2"/>
      <c r="D2" s="2"/>
      <c r="E2" s="2"/>
      <c r="F2" s="2"/>
      <c r="G2" s="2"/>
      <c r="H2" s="2"/>
      <c r="I2" s="2"/>
      <c r="J2" s="2"/>
    </row>
    <row r="4" customFormat="false" ht="15.75" hidden="false" customHeight="true" outlineLevel="0" collapsed="false">
      <c r="B4" s="13" t="s">
        <v>70</v>
      </c>
      <c r="C4" s="13"/>
      <c r="E4" s="13" t="s">
        <v>4</v>
      </c>
      <c r="F4" s="13"/>
      <c r="H4" s="13" t="s">
        <v>71</v>
      </c>
      <c r="I4" s="13"/>
    </row>
    <row r="5" customFormat="false" ht="30" hidden="false" customHeight="true" outlineLevel="0" collapsed="false">
      <c r="B5" s="14" t="n">
        <f aca="false">COUNT(Einheiten!$I$4:$I$63)</f>
        <v>4</v>
      </c>
      <c r="C5" s="14"/>
      <c r="E5" s="14" t="n">
        <f aca="false">COUNTA(Log!$E$4:$E$1203)</f>
        <v>119</v>
      </c>
      <c r="F5" s="14"/>
      <c r="H5" s="14" t="n">
        <f aca="false">COUNTIF(Log!$E$4:$E$1203,"A")</f>
        <v>62</v>
      </c>
      <c r="I5" s="14"/>
    </row>
    <row r="7" customFormat="false" ht="15.75" hidden="false" customHeight="true" outlineLevel="0" collapsed="false">
      <c r="B7" s="13" t="s">
        <v>5</v>
      </c>
      <c r="C7" s="13"/>
      <c r="E7" s="13" t="s">
        <v>72</v>
      </c>
      <c r="F7" s="13"/>
      <c r="H7" s="13" t="s">
        <v>73</v>
      </c>
      <c r="I7" s="13"/>
    </row>
    <row r="8" customFormat="false" ht="30" hidden="false" customHeight="true" outlineLevel="0" collapsed="false">
      <c r="B8" s="15" t="n">
        <f aca="false">SUM(Log!$I$4:$I$1203)/1000</f>
        <v>89.172</v>
      </c>
      <c r="C8" s="15"/>
      <c r="E8" s="15" t="n">
        <f aca="false">SUMIF(Log!$E$4:$E$1203,"A",Log!$I$4:$I$1203)/1000</f>
        <v>74.5045</v>
      </c>
      <c r="F8" s="15"/>
      <c r="H8" s="14" t="n">
        <f aca="false">IFERROR(SUMIF(Log!$E$4:$E$1203,"A",Log!$I$4:$I$1203)/COUNT(Einheiten!$I$4:$I$63),"")</f>
        <v>18626.125</v>
      </c>
      <c r="I8" s="14"/>
    </row>
    <row r="10" customFormat="false" ht="15.75" hidden="false" customHeight="true" outlineLevel="0" collapsed="false">
      <c r="B10" s="13" t="s">
        <v>74</v>
      </c>
      <c r="C10" s="13"/>
      <c r="E10" s="13" t="s">
        <v>75</v>
      </c>
      <c r="F10" s="13"/>
      <c r="H10" s="13" t="s">
        <v>76</v>
      </c>
      <c r="I10" s="13"/>
    </row>
    <row r="11" customFormat="false" ht="30" hidden="false" customHeight="true" outlineLevel="0" collapsed="false">
      <c r="B11" s="15" t="n">
        <f aca="false">SUMPRODUCT(MAX((Log!$E$4:$E$1203="A")*(Log!$F$4:$F$1203&lt;&gt;"")*Log!$F$4:$F$1203))</f>
        <v>280</v>
      </c>
      <c r="C11" s="15"/>
      <c r="E11" s="15" t="n">
        <f aca="false">MAX(Rekorde!$H$4:$H$17)</f>
        <v>360</v>
      </c>
      <c r="F11" s="15"/>
      <c r="H11" s="14" t="n">
        <f aca="false">COUNTIF(Übungen!$I$4:$I$17,"ja")</f>
        <v>9</v>
      </c>
      <c r="I11" s="14"/>
    </row>
    <row r="13" customFormat="false" ht="19.5" hidden="false" customHeight="true" outlineLevel="0" collapsed="false">
      <c r="B13" s="16" t="s">
        <v>77</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78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79</v>
      </c>
      <c r="B1" s="1"/>
      <c r="C1" s="1"/>
      <c r="D1" s="1"/>
      <c r="E1" s="1"/>
      <c r="F1" s="1"/>
      <c r="G1" s="1"/>
    </row>
    <row r="2" customFormat="false" ht="25.5" hidden="false" customHeight="true" outlineLevel="0" collapsed="false">
      <c r="A2" s="20" t="s">
        <v>80</v>
      </c>
      <c r="B2" s="20"/>
      <c r="C2" s="20"/>
      <c r="D2" s="20"/>
      <c r="E2" s="20"/>
      <c r="F2" s="20"/>
      <c r="G2" s="20"/>
    </row>
    <row r="4" customFormat="false" ht="19.5" hidden="false" customHeight="true" outlineLevel="0" collapsed="false">
      <c r="A4" s="3" t="s">
        <v>81</v>
      </c>
      <c r="B4" s="3"/>
      <c r="C4" s="3"/>
      <c r="D4" s="3"/>
      <c r="E4" s="3"/>
      <c r="F4" s="3"/>
      <c r="G4" s="3"/>
    </row>
    <row r="5" customFormat="false" ht="30" hidden="false" customHeight="true" outlineLevel="0" collapsed="false">
      <c r="A5" s="21" t="s">
        <v>82</v>
      </c>
      <c r="B5" s="9" t="s">
        <v>83</v>
      </c>
      <c r="C5" s="9"/>
      <c r="D5" s="9"/>
      <c r="E5" s="9"/>
      <c r="F5" s="9"/>
      <c r="G5" s="9"/>
    </row>
    <row r="6" customFormat="false" ht="30" hidden="false" customHeight="true" outlineLevel="0" collapsed="false">
      <c r="A6" s="21" t="s">
        <v>84</v>
      </c>
      <c r="B6" s="9" t="s">
        <v>85</v>
      </c>
      <c r="C6" s="9"/>
      <c r="D6" s="9"/>
      <c r="E6" s="9"/>
      <c r="F6" s="9"/>
      <c r="G6" s="9"/>
    </row>
    <row r="7" customFormat="false" ht="17.25" hidden="false" customHeight="true" outlineLevel="0" collapsed="false">
      <c r="A7" s="21" t="s">
        <v>86</v>
      </c>
      <c r="B7" s="9" t="s">
        <v>87</v>
      </c>
      <c r="C7" s="9"/>
      <c r="D7" s="9"/>
      <c r="E7" s="9"/>
      <c r="F7" s="9"/>
      <c r="G7" s="9"/>
    </row>
    <row r="8" customFormat="false" ht="30" hidden="false" customHeight="true" outlineLevel="0" collapsed="false">
      <c r="A8" s="21" t="s">
        <v>88</v>
      </c>
      <c r="B8" s="9" t="s">
        <v>89</v>
      </c>
      <c r="C8" s="9"/>
      <c r="D8" s="9"/>
      <c r="E8" s="9"/>
      <c r="F8" s="9"/>
      <c r="G8" s="9"/>
    </row>
    <row r="9" customFormat="false" ht="17.25" hidden="false" customHeight="true" outlineLevel="0" collapsed="false">
      <c r="A9" s="21" t="s">
        <v>90</v>
      </c>
      <c r="B9" s="9" t="s">
        <v>91</v>
      </c>
      <c r="C9" s="9"/>
      <c r="D9" s="9"/>
      <c r="E9" s="9"/>
      <c r="F9" s="9"/>
      <c r="G9" s="9"/>
    </row>
    <row r="11" customFormat="false" ht="19.5" hidden="false" customHeight="true" outlineLevel="0" collapsed="false">
      <c r="A11" s="3" t="s">
        <v>92</v>
      </c>
      <c r="B11" s="3"/>
      <c r="C11" s="3"/>
      <c r="D11" s="3"/>
      <c r="E11" s="3"/>
      <c r="F11" s="3"/>
      <c r="G11" s="3"/>
    </row>
    <row r="12" customFormat="false" ht="30" hidden="false" customHeight="true" outlineLevel="0" collapsed="false">
      <c r="A12" s="22" t="s">
        <v>93</v>
      </c>
      <c r="B12" s="22" t="s">
        <v>94</v>
      </c>
      <c r="C12" s="22" t="s">
        <v>95</v>
      </c>
      <c r="D12" s="22" t="s">
        <v>96</v>
      </c>
      <c r="E12" s="22" t="s">
        <v>97</v>
      </c>
      <c r="F12" s="22" t="s">
        <v>98</v>
      </c>
      <c r="G12" s="22" t="s">
        <v>99</v>
      </c>
    </row>
    <row r="13" customFormat="false" ht="67.5" hidden="false" customHeight="true" outlineLevel="0" collapsed="false">
      <c r="A13" s="23" t="s">
        <v>100</v>
      </c>
      <c r="B13" s="24" t="s">
        <v>101</v>
      </c>
      <c r="C13" s="25" t="s">
        <v>102</v>
      </c>
      <c r="D13" s="25" t="s">
        <v>103</v>
      </c>
      <c r="E13" s="25" t="s">
        <v>104</v>
      </c>
      <c r="F13" s="25" t="s">
        <v>105</v>
      </c>
      <c r="G13" s="25" t="s">
        <v>106</v>
      </c>
    </row>
    <row r="14" customFormat="false" ht="79.5" hidden="false" customHeight="true" outlineLevel="0" collapsed="false">
      <c r="A14" s="26" t="s">
        <v>107</v>
      </c>
      <c r="B14" s="27" t="s">
        <v>108</v>
      </c>
      <c r="C14" s="9" t="s">
        <v>109</v>
      </c>
      <c r="D14" s="9" t="s">
        <v>110</v>
      </c>
      <c r="E14" s="9" t="s">
        <v>111</v>
      </c>
      <c r="F14" s="9" t="s">
        <v>112</v>
      </c>
      <c r="G14" s="9" t="s">
        <v>113</v>
      </c>
    </row>
    <row r="15" customFormat="false" ht="67.5" hidden="false" customHeight="true" outlineLevel="0" collapsed="false">
      <c r="A15" s="23" t="s">
        <v>114</v>
      </c>
      <c r="B15" s="24" t="s">
        <v>115</v>
      </c>
      <c r="C15" s="25" t="s">
        <v>116</v>
      </c>
      <c r="D15" s="25" t="s">
        <v>117</v>
      </c>
      <c r="E15" s="25" t="s">
        <v>118</v>
      </c>
      <c r="F15" s="25" t="s">
        <v>119</v>
      </c>
      <c r="G15" s="25" t="s">
        <v>120</v>
      </c>
    </row>
    <row r="16" customFormat="false" ht="67.5" hidden="false" customHeight="true" outlineLevel="0" collapsed="false">
      <c r="A16" s="26" t="s">
        <v>121</v>
      </c>
      <c r="B16" s="27" t="s">
        <v>122</v>
      </c>
      <c r="C16" s="9" t="s">
        <v>123</v>
      </c>
      <c r="D16" s="9" t="s">
        <v>124</v>
      </c>
      <c r="E16" s="9" t="s">
        <v>125</v>
      </c>
      <c r="F16" s="9" t="s">
        <v>126</v>
      </c>
      <c r="G16" s="9" t="s">
        <v>127</v>
      </c>
    </row>
    <row r="17" customFormat="false" ht="54.75" hidden="false" customHeight="true" outlineLevel="0" collapsed="false">
      <c r="A17" s="23" t="s">
        <v>128</v>
      </c>
      <c r="B17" s="24" t="s">
        <v>129</v>
      </c>
      <c r="C17" s="25" t="s">
        <v>130</v>
      </c>
      <c r="D17" s="25" t="s">
        <v>131</v>
      </c>
      <c r="E17" s="25" t="s">
        <v>132</v>
      </c>
      <c r="F17" s="25" t="s">
        <v>133</v>
      </c>
      <c r="G17" s="25" t="s">
        <v>134</v>
      </c>
    </row>
    <row r="19" customFormat="false" ht="19.5" hidden="false" customHeight="true" outlineLevel="0" collapsed="false">
      <c r="A19" s="3" t="s">
        <v>135</v>
      </c>
      <c r="B19" s="3"/>
      <c r="C19" s="3"/>
      <c r="D19" s="3"/>
      <c r="E19" s="3"/>
      <c r="F19" s="3"/>
      <c r="G19" s="3"/>
    </row>
    <row r="20" customFormat="false" ht="42" hidden="false" customHeight="true" outlineLevel="0" collapsed="false">
      <c r="A20" s="28" t="s">
        <v>136</v>
      </c>
      <c r="B20" s="28"/>
      <c r="C20" s="28"/>
      <c r="D20" s="28"/>
      <c r="E20" s="28"/>
      <c r="F20" s="28"/>
      <c r="G20" s="28"/>
    </row>
    <row r="22" customFormat="false" ht="19.5" hidden="false" customHeight="true" outlineLevel="0" collapsed="false">
      <c r="A22" s="3" t="s">
        <v>137</v>
      </c>
      <c r="B22" s="3"/>
      <c r="C22" s="3"/>
      <c r="D22" s="3"/>
      <c r="E22" s="3"/>
      <c r="F22" s="3"/>
      <c r="G22" s="3"/>
    </row>
    <row r="23" customFormat="false" ht="30" hidden="false" customHeight="true" outlineLevel="0" collapsed="false">
      <c r="A23" s="21" t="s">
        <v>138</v>
      </c>
      <c r="B23" s="29" t="s">
        <v>139</v>
      </c>
      <c r="C23" s="9" t="s">
        <v>140</v>
      </c>
      <c r="D23" s="9"/>
      <c r="E23" s="9"/>
      <c r="F23" s="9"/>
      <c r="G23" s="9"/>
    </row>
    <row r="24" customFormat="false" ht="17.25" hidden="false" customHeight="true" outlineLevel="0" collapsed="false">
      <c r="A24" s="21" t="s">
        <v>141</v>
      </c>
      <c r="B24" s="30" t="s">
        <v>142</v>
      </c>
      <c r="C24" s="9" t="s">
        <v>143</v>
      </c>
      <c r="D24" s="9"/>
      <c r="E24" s="9"/>
      <c r="F24" s="9"/>
      <c r="G24" s="9"/>
    </row>
    <row r="25" customFormat="false" ht="30" hidden="false" customHeight="true" outlineLevel="0" collapsed="false">
      <c r="A25" s="21" t="s">
        <v>144</v>
      </c>
      <c r="B25" s="30" t="s">
        <v>142</v>
      </c>
      <c r="C25" s="9" t="s">
        <v>145</v>
      </c>
      <c r="D25" s="9"/>
      <c r="E25" s="9"/>
      <c r="F25" s="9"/>
      <c r="G25" s="9"/>
    </row>
    <row r="26" customFormat="false" ht="30" hidden="false" customHeight="true" outlineLevel="0" collapsed="false">
      <c r="A26" s="21" t="s">
        <v>146</v>
      </c>
      <c r="B26" s="30" t="s">
        <v>147</v>
      </c>
      <c r="C26" s="9" t="s">
        <v>148</v>
      </c>
      <c r="D26" s="9"/>
      <c r="E26" s="9"/>
      <c r="F26" s="9"/>
      <c r="G26" s="9"/>
    </row>
    <row r="27" customFormat="false" ht="30" hidden="false" customHeight="true" outlineLevel="0" collapsed="false">
      <c r="A27" s="21" t="s">
        <v>149</v>
      </c>
      <c r="B27" s="29" t="s">
        <v>150</v>
      </c>
      <c r="C27" s="9" t="s">
        <v>151</v>
      </c>
      <c r="D27" s="9"/>
      <c r="E27" s="9"/>
      <c r="F27" s="9"/>
      <c r="G27" s="9"/>
    </row>
    <row r="28" customFormat="false" ht="17.25" hidden="false" customHeight="true" outlineLevel="0" collapsed="false">
      <c r="A28" s="21" t="s">
        <v>152</v>
      </c>
      <c r="B28" s="29" t="s">
        <v>139</v>
      </c>
      <c r="C28" s="9" t="s">
        <v>153</v>
      </c>
      <c r="D28" s="9"/>
      <c r="E28" s="9"/>
      <c r="F28" s="9"/>
      <c r="G28" s="9"/>
    </row>
    <row r="29" customFormat="false" ht="30" hidden="false" customHeight="true" outlineLevel="0" collapsed="false">
      <c r="A29" s="21" t="s">
        <v>154</v>
      </c>
      <c r="B29" s="29" t="s">
        <v>155</v>
      </c>
      <c r="C29" s="9" t="s">
        <v>156</v>
      </c>
      <c r="D29" s="9"/>
      <c r="E29" s="9"/>
      <c r="F29" s="9"/>
      <c r="G29" s="9"/>
    </row>
    <row r="31" customFormat="false" ht="25.5" hidden="false" customHeight="true" outlineLevel="0" collapsed="false">
      <c r="A31" s="31" t="s">
        <v>157</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158</v>
      </c>
      <c r="B1" s="1"/>
      <c r="C1" s="1"/>
      <c r="D1" s="1"/>
      <c r="E1" s="1"/>
      <c r="F1" s="1"/>
      <c r="G1" s="1"/>
    </row>
    <row r="2" customFormat="false" ht="15" hidden="false" customHeight="true" outlineLevel="0" collapsed="false">
      <c r="A2" s="2" t="s">
        <v>159</v>
      </c>
      <c r="B2" s="2"/>
      <c r="C2" s="2"/>
      <c r="D2" s="2"/>
      <c r="E2" s="2"/>
      <c r="F2" s="2"/>
      <c r="G2" s="2"/>
    </row>
    <row r="4" customFormat="false" ht="33.75" hidden="false" customHeight="true" outlineLevel="0" collapsed="false">
      <c r="A4" s="32" t="s">
        <v>160</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161</v>
      </c>
      <c r="B6" s="22" t="s">
        <v>162</v>
      </c>
      <c r="C6" s="22" t="s">
        <v>163</v>
      </c>
      <c r="D6" s="22" t="s">
        <v>164</v>
      </c>
      <c r="E6" s="22" t="s">
        <v>165</v>
      </c>
      <c r="F6" s="22" t="s">
        <v>166</v>
      </c>
      <c r="G6" s="22" t="s">
        <v>167</v>
      </c>
    </row>
    <row r="7" customFormat="false" ht="33.75" hidden="false" customHeight="true" outlineLevel="0" collapsed="false">
      <c r="A7" s="36" t="str">
        <f aca="false">IF(Übungen!$I4&lt;&gt;"ja","",Übungen!$A4)</f>
        <v>Hackenschmidt-Kniebeuge</v>
      </c>
      <c r="B7" s="37" t="n">
        <f aca="false">IF(Übungen!$I4&lt;&gt;"ja","",Übungen!$J4)</f>
        <v>6</v>
      </c>
      <c r="C7" s="38" t="str">
        <f aca="false">IF($A7="","",IF($B7="","offen",IF($B$4&gt;=$B7,"FREI","GESPERRT")))</f>
        <v>GESPERRT</v>
      </c>
      <c r="D7" s="37" t="n">
        <f aca="false">IF(Übungen!$I4&lt;&gt;"ja","",Übungen!$E4)</f>
        <v>3</v>
      </c>
      <c r="E7" s="37" t="str">
        <f aca="false">IF(Übungen!$I4&lt;&gt;"ja","",Übungen!$D4)</f>
        <v>6-10</v>
      </c>
      <c r="F7" s="25" t="str">
        <f aca="false">IF($C7="GESPERRT",Übungen!$L4,"")</f>
        <v>Beinpresse mit tiefer Fussposition, Hände seitlich abgelegt</v>
      </c>
      <c r="G7" s="25" t="str">
        <f aca="false">IF(Übungen!$I4&lt;&gt;"ja","",Übungen!$M4)</f>
        <v>Schulterpolster und Griffe. Der Griff ist isometrische Ellenbogenbeugung, deshalb erst nach der Sperrfrist. Ab Freigabe locker greifen, nicht ziehen.</v>
      </c>
    </row>
    <row r="8" customFormat="false" ht="33.75" hidden="false" customHeight="true" outlineLevel="0" collapsed="false">
      <c r="A8" s="39" t="str">
        <f aca="false">IF(Übungen!$I5&lt;&gt;"ja","",Übungen!$A5)</f>
        <v>Split Squat</v>
      </c>
      <c r="B8" s="40" t="n">
        <f aca="false">IF(Übungen!$I5&lt;&gt;"ja","",Übungen!$J5)</f>
        <v>8</v>
      </c>
      <c r="C8" s="41" t="str">
        <f aca="false">IF($A8="","",IF($B8="","offen",IF($B$4&gt;=$B8,"FREI","GESPERRT")))</f>
        <v>GESPERRT</v>
      </c>
      <c r="D8" s="40" t="n">
        <f aca="false">IF(Übungen!$I5&lt;&gt;"ja","",Übungen!$E5)</f>
        <v>3</v>
      </c>
      <c r="E8" s="40" t="str">
        <f aca="false">IF(Übungen!$I5&lt;&gt;"ja","",Übungen!$D5)</f>
        <v>8-10</v>
      </c>
      <c r="F8" s="9" t="str">
        <f aca="false">IF($C8="GESPERRT",Übungen!$L5,"")</f>
        <v>Beinpresse einbeinig, ab Woche 6 Multipresse ohne Zusatzhantel</v>
      </c>
      <c r="G8" s="9" t="str">
        <f aca="false">IF(Übungen!$I5&lt;&gt;"ja","",Übungen!$M5)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IF(Übungen!$I6&lt;&gt;"ja","",Übungen!$A6)</f>
        <v>Beinstrecker</v>
      </c>
      <c r="B9" s="37" t="n">
        <f aca="false">IF(Übungen!$I6&lt;&gt;"ja","",Übungen!$J6)</f>
        <v>1</v>
      </c>
      <c r="C9" s="38" t="str">
        <f aca="false">IF($A9="","",IF($B9="","offen",IF($B$4&gt;=$B9,"FREI","GESPERRT")))</f>
        <v>FREI</v>
      </c>
      <c r="D9" s="37" t="n">
        <f aca="false">IF(Übungen!$I6&lt;&gt;"ja","",Übungen!$E6)</f>
        <v>3</v>
      </c>
      <c r="E9" s="37" t="str">
        <f aca="false">IF(Übungen!$I6&lt;&gt;"ja","",Übungen!$D6)</f>
        <v>12-15</v>
      </c>
      <c r="F9" s="25" t="str">
        <f aca="false">IF($C9="GESPERRT",Übungen!$L6,"")</f>
        <v/>
      </c>
      <c r="G9" s="25" t="str">
        <f aca="false">IF(Übungen!$I6&lt;&gt;"ja","",Übungen!$M6)</f>
        <v>Uneingeschränkt. Hände in den Schoss legen oder locker auflegen, nicht an den Griffen ziehen.</v>
      </c>
    </row>
    <row r="10" customFormat="false" ht="33.75" hidden="false" customHeight="true" outlineLevel="0" collapsed="false">
      <c r="A10" s="39" t="str">
        <f aca="false">IF(Übungen!$I7&lt;&gt;"ja","",Übungen!$A7)</f>
        <v>Adduktion</v>
      </c>
      <c r="B10" s="40" t="n">
        <f aca="false">IF(Übungen!$I7&lt;&gt;"ja","",Übungen!$J7)</f>
        <v>1</v>
      </c>
      <c r="C10" s="41" t="str">
        <f aca="false">IF($A10="","",IF($B10="","offen",IF($B$4&gt;=$B10,"FREI","GESPERRT")))</f>
        <v>FREI</v>
      </c>
      <c r="D10" s="40" t="n">
        <f aca="false">IF(Übungen!$I7&lt;&gt;"ja","",Übungen!$E7)</f>
        <v>3</v>
      </c>
      <c r="E10" s="40" t="str">
        <f aca="false">IF(Übungen!$I7&lt;&gt;"ja","",Übungen!$D7)</f>
        <v>15-20</v>
      </c>
      <c r="F10" s="9" t="str">
        <f aca="false">IF($C10="GESPERRT",Übungen!$L7,"")</f>
        <v/>
      </c>
      <c r="G10" s="9" t="str">
        <f aca="false">IF(Übungen!$I7&lt;&gt;"ja","",Übungen!$M7)</f>
        <v>Uneingeschränkt. Arm in der Schlinge belassen, Rumpf bleibt ruhig.</v>
      </c>
    </row>
    <row r="11" customFormat="false" ht="33.75" hidden="false" customHeight="true" outlineLevel="0" collapsed="false">
      <c r="A11" s="36" t="str">
        <f aca="false">IF(Übungen!$I8&lt;&gt;"ja","",Übungen!$A8)</f>
        <v>Rumänisches Kreuzheben</v>
      </c>
      <c r="B11" s="37" t="n">
        <f aca="false">IF(Übungen!$I8&lt;&gt;"ja","",Übungen!$J8)</f>
        <v>12</v>
      </c>
      <c r="C11" s="38" t="str">
        <f aca="false">IF($A11="","",IF($B11="","offen",IF($B$4&gt;=$B11,"FREI","GESPERRT")))</f>
        <v>GESPERRT</v>
      </c>
      <c r="D11" s="37" t="n">
        <f aca="false">IF(Übungen!$I8&lt;&gt;"ja","",Übungen!$E8)</f>
        <v>3</v>
      </c>
      <c r="E11" s="37" t="str">
        <f aca="false">IF(Übungen!$I8&lt;&gt;"ja","",Übungen!$D8)</f>
        <v>8-10</v>
      </c>
      <c r="F11" s="25" t="str">
        <f aca="false">IF($C11="GESPERRT",Übungen!$L8,"")</f>
        <v>Beinbeuger sitzend, Rückenstrecker mit vor der Brust gekreuzten Armen, Kabel-RDL mit Hüftgurt</v>
      </c>
      <c r="G11" s="25" t="str">
        <f aca="false">IF(Übungen!$I8&lt;&gt;"ja","",Übungen!$M8)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IF(Übungen!$I9&lt;&gt;"ja","",Übungen!$A9)</f>
        <v>Hip Thrust</v>
      </c>
      <c r="B12" s="40" t="n">
        <f aca="false">IF(Übungen!$I9&lt;&gt;"ja","",Übungen!$J9)</f>
        <v>4</v>
      </c>
      <c r="C12" s="41" t="str">
        <f aca="false">IF($A12="","",IF($B12="","offen",IF($B$4&gt;=$B12,"FREI","GESPERRT")))</f>
        <v>GESPERRT</v>
      </c>
      <c r="D12" s="40" t="n">
        <f aca="false">IF(Übungen!$I9&lt;&gt;"ja","",Übungen!$E9)</f>
        <v>3</v>
      </c>
      <c r="E12" s="40" t="str">
        <f aca="false">IF(Übungen!$I9&lt;&gt;"ja","",Übungen!$D9)</f>
        <v>8-12</v>
      </c>
      <c r="F12" s="9" t="str">
        <f aca="false">IF($C12="GESPERRT",Übungen!$L9,"")</f>
        <v>Hip Thrust Maschine mit Polster ab Woche 2</v>
      </c>
      <c r="G12" s="9" t="str">
        <f aca="false">IF(Übungen!$I9&lt;&gt;"ja","",Übungen!$M9)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IF(Übungen!$I10&lt;&gt;"ja","",Übungen!$A10)</f>
        <v>Beinbeuger</v>
      </c>
      <c r="B13" s="37" t="n">
        <f aca="false">IF(Übungen!$I10&lt;&gt;"ja","",Übungen!$J10)</f>
        <v>1</v>
      </c>
      <c r="C13" s="38" t="str">
        <f aca="false">IF($A13="","",IF($B13="","offen",IF($B$4&gt;=$B13,"FREI","GESPERRT")))</f>
        <v>FREI</v>
      </c>
      <c r="D13" s="37" t="n">
        <f aca="false">IF(Übungen!$I10&lt;&gt;"ja","",Übungen!$E10)</f>
        <v>3</v>
      </c>
      <c r="E13" s="37" t="str">
        <f aca="false">IF(Übungen!$I10&lt;&gt;"ja","",Übungen!$D10)</f>
        <v>10-12</v>
      </c>
      <c r="F13" s="25" t="str">
        <f aca="false">IF($C13="GESPERRT",Übungen!$L10,"")</f>
        <v/>
      </c>
      <c r="G13" s="25" t="str">
        <f aca="false">IF(Übungen!$I10&lt;&gt;"ja","",Übungen!$M10)</f>
        <v>Sitzend. Griffe locker halten oder loslassen, das Polster hält das Bein.</v>
      </c>
    </row>
    <row r="14" customFormat="false" ht="33.75" hidden="false" customHeight="true" outlineLevel="0" collapsed="false">
      <c r="A14" s="39" t="str">
        <f aca="false">IF(Übungen!$I11&lt;&gt;"ja","",Übungen!$A11)</f>
        <v>Seitliche Kickbacks</v>
      </c>
      <c r="B14" s="40" t="n">
        <f aca="false">IF(Übungen!$I11&lt;&gt;"ja","",Übungen!$J11)</f>
        <v>2</v>
      </c>
      <c r="C14" s="41" t="str">
        <f aca="false">IF($A14="","",IF($B14="","offen",IF($B$4&gt;=$B14,"FREI","GESPERRT")))</f>
        <v>GESPERRT</v>
      </c>
      <c r="D14" s="40" t="n">
        <f aca="false">IF(Übungen!$I11&lt;&gt;"ja","",Übungen!$E11)</f>
        <v>3</v>
      </c>
      <c r="E14" s="40" t="str">
        <f aca="false">IF(Übungen!$I11&lt;&gt;"ja","",Übungen!$D11)</f>
        <v>15-20</v>
      </c>
      <c r="F14" s="9" t="str">
        <f aca="false">IF($C14="GESPERRT",Übungen!$L11,"")</f>
        <v>Abduktion an der Maschine im Sitzen</v>
      </c>
      <c r="G14" s="9" t="str">
        <f aca="false">IF(Übungen!$I11&lt;&gt;"ja","",Übungen!$M11)</f>
        <v>Im Stehen mit der gesunden Seite abstützen. Kein Zug über den operierten Arm.</v>
      </c>
    </row>
    <row r="15" customFormat="false" ht="33.75" hidden="false" customHeight="true" outlineLevel="0" collapsed="false">
      <c r="A15" s="36" t="str">
        <f aca="false">IF(Übungen!$I12&lt;&gt;"ja","",Übungen!$A12)</f>
        <v>Waden</v>
      </c>
      <c r="B15" s="37" t="n">
        <f aca="false">IF(Übungen!$I12&lt;&gt;"ja","",Übungen!$J12)</f>
        <v>2</v>
      </c>
      <c r="C15" s="38" t="str">
        <f aca="false">IF($A15="","",IF($B15="","offen",IF($B$4&gt;=$B15,"FREI","GESPERRT")))</f>
        <v>GESPERRT</v>
      </c>
      <c r="D15" s="37" t="n">
        <f aca="false">IF(Übungen!$I12&lt;&gt;"ja","",Übungen!$E12)</f>
        <v>3</v>
      </c>
      <c r="E15" s="37" t="str">
        <f aca="false">IF(Übungen!$I12&lt;&gt;"ja","",Übungen!$D12)</f>
        <v>10-15</v>
      </c>
      <c r="F15" s="25" t="str">
        <f aca="false">IF($C15="GESPERRT",Übungen!$L12,"")</f>
        <v>Wadenmaschine sitzend ab Woche 1</v>
      </c>
      <c r="G15" s="25" t="str">
        <f aca="false">IF(Übungen!$I12&lt;&gt;"ja","",Übungen!$M12)</f>
        <v>Sitzend ab Woche 1. Stehende Variante mit Schulterpolster erst ab Woche 4 bis 6, Multipresse-Variante ab Woche 8.</v>
      </c>
    </row>
    <row r="16" customFormat="false" ht="33.75" hidden="false" customHeight="true" outlineLevel="0" collapsed="false">
      <c r="A16" s="39" t="str">
        <f aca="false">IF(Übungen!$I13&lt;&gt;"ja","",Übungen!$A13)</f>
        <v/>
      </c>
      <c r="B16" s="40" t="str">
        <f aca="false">IF(Übungen!$I13&lt;&gt;"ja","",Übungen!$J13)</f>
        <v/>
      </c>
      <c r="C16" s="41" t="str">
        <f aca="false">IF($A16="","",IF($B16="","offen",IF($B$4&gt;=$B16,"FREI","GESPERRT")))</f>
        <v/>
      </c>
      <c r="D16" s="40" t="str">
        <f aca="false">IF(Übungen!$I13&lt;&gt;"ja","",Übungen!$E13)</f>
        <v/>
      </c>
      <c r="E16" s="40" t="str">
        <f aca="false">IF(Übungen!$I13&lt;&gt;"ja","",Übungen!$D13)</f>
        <v/>
      </c>
      <c r="F16" s="9" t="str">
        <f aca="false">IF($C16="GESPERRT",Übungen!$L13,"")</f>
        <v/>
      </c>
      <c r="G16" s="9" t="str">
        <f aca="false">IF(Übungen!$I13&lt;&gt;"ja","",Übungen!$M13)</f>
        <v/>
      </c>
    </row>
    <row r="17" customFormat="false" ht="33.75" hidden="false" customHeight="true" outlineLevel="0" collapsed="false">
      <c r="A17" s="36" t="str">
        <f aca="false">IF(Übungen!$I14&lt;&gt;"ja","",Übungen!$A14)</f>
        <v/>
      </c>
      <c r="B17" s="37" t="str">
        <f aca="false">IF(Übungen!$I14&lt;&gt;"ja","",Übungen!$J14)</f>
        <v/>
      </c>
      <c r="C17" s="38" t="str">
        <f aca="false">IF($A17="","",IF($B17="","offen",IF($B$4&gt;=$B17,"FREI","GESPERRT")))</f>
        <v/>
      </c>
      <c r="D17" s="37" t="str">
        <f aca="false">IF(Übungen!$I14&lt;&gt;"ja","",Übungen!$E14)</f>
        <v/>
      </c>
      <c r="E17" s="37" t="str">
        <f aca="false">IF(Übungen!$I14&lt;&gt;"ja","",Übungen!$D14)</f>
        <v/>
      </c>
      <c r="F17" s="25" t="str">
        <f aca="false">IF($C17="GESPERRT",Übungen!$L14,"")</f>
        <v/>
      </c>
      <c r="G17" s="25" t="str">
        <f aca="false">IF(Übungen!$I14&lt;&gt;"ja","",Übungen!$M14)</f>
        <v/>
      </c>
    </row>
    <row r="18" customFormat="false" ht="33.75" hidden="false" customHeight="true" outlineLevel="0" collapsed="false">
      <c r="A18" s="39" t="str">
        <f aca="false">IF(Übungen!$I15&lt;&gt;"ja","",Übungen!$A15)</f>
        <v/>
      </c>
      <c r="B18" s="40" t="str">
        <f aca="false">IF(Übungen!$I15&lt;&gt;"ja","",Übungen!$J15)</f>
        <v/>
      </c>
      <c r="C18" s="41" t="str">
        <f aca="false">IF($A18="","",IF($B18="","offen",IF($B$4&gt;=$B18,"FREI","GESPERRT")))</f>
        <v/>
      </c>
      <c r="D18" s="40" t="str">
        <f aca="false">IF(Übungen!$I15&lt;&gt;"ja","",Übungen!$E15)</f>
        <v/>
      </c>
      <c r="E18" s="40" t="str">
        <f aca="false">IF(Übungen!$I15&lt;&gt;"ja","",Übungen!$D15)</f>
        <v/>
      </c>
      <c r="F18" s="9" t="str">
        <f aca="false">IF($C18="GESPERRT",Übungen!$L15,"")</f>
        <v/>
      </c>
      <c r="G18" s="9" t="str">
        <f aca="false">IF(Übungen!$I15&lt;&gt;"ja","",Übungen!$M15)</f>
        <v/>
      </c>
    </row>
    <row r="19" customFormat="false" ht="33.75" hidden="false" customHeight="true" outlineLevel="0" collapsed="false">
      <c r="A19" s="36" t="str">
        <f aca="false">IF(Übungen!$I16&lt;&gt;"ja","",Übungen!$A16)</f>
        <v/>
      </c>
      <c r="B19" s="37" t="str">
        <f aca="false">IF(Übungen!$I16&lt;&gt;"ja","",Übungen!$J16)</f>
        <v/>
      </c>
      <c r="C19" s="38" t="str">
        <f aca="false">IF($A19="","",IF($B19="","offen",IF($B$4&gt;=$B19,"FREI","GESPERRT")))</f>
        <v/>
      </c>
      <c r="D19" s="37" t="str">
        <f aca="false">IF(Übungen!$I16&lt;&gt;"ja","",Übungen!$E16)</f>
        <v/>
      </c>
      <c r="E19" s="37" t="str">
        <f aca="false">IF(Übungen!$I16&lt;&gt;"ja","",Übungen!$D16)</f>
        <v/>
      </c>
      <c r="F19" s="25" t="str">
        <f aca="false">IF($C19="GESPERRT",Übungen!$L16,"")</f>
        <v/>
      </c>
      <c r="G19" s="25" t="str">
        <f aca="false">IF(Übungen!$I16&lt;&gt;"ja","",Übungen!$M16)</f>
        <v/>
      </c>
    </row>
    <row r="20" customFormat="false" ht="33.75" hidden="false" customHeight="true" outlineLevel="0" collapsed="false">
      <c r="A20" s="39" t="str">
        <f aca="false">IF(Übungen!$I17&lt;&gt;"ja","",Übungen!$A17)</f>
        <v/>
      </c>
      <c r="B20" s="40" t="str">
        <f aca="false">IF(Übungen!$I17&lt;&gt;"ja","",Übungen!$J17)</f>
        <v/>
      </c>
      <c r="C20" s="41" t="str">
        <f aca="false">IF($A20="","",IF($B20="","offen",IF($B$4&gt;=$B20,"FREI","GESPERRT")))</f>
        <v/>
      </c>
      <c r="D20" s="40" t="str">
        <f aca="false">IF(Übungen!$I17&lt;&gt;"ja","",Übungen!$E17)</f>
        <v/>
      </c>
      <c r="E20" s="40" t="str">
        <f aca="false">IF(Übungen!$I17&lt;&gt;"ja","",Übungen!$D17)</f>
        <v/>
      </c>
      <c r="F20" s="9" t="str">
        <f aca="false">IF($C20="GESPERRT",Übungen!$L17,"")</f>
        <v/>
      </c>
      <c r="G20" s="9" t="str">
        <f aca="false">IF(Übungen!$I17&lt;&gt;"ja","",Übungen!$M17)</f>
        <v/>
      </c>
    </row>
    <row r="22" customFormat="false" ht="19.5" hidden="false" customHeight="true" outlineLevel="0" collapsed="false">
      <c r="A22" s="3" t="s">
        <v>168</v>
      </c>
      <c r="B22" s="3"/>
      <c r="C22" s="3"/>
      <c r="D22" s="3"/>
      <c r="E22" s="3"/>
      <c r="F22" s="3"/>
      <c r="G22" s="3"/>
    </row>
    <row r="23" customFormat="false" ht="30" hidden="false" customHeight="true" outlineLevel="0" collapsed="false">
      <c r="A23" s="21" t="s">
        <v>169</v>
      </c>
      <c r="B23" s="9" t="s">
        <v>170</v>
      </c>
      <c r="C23" s="9"/>
      <c r="D23" s="9"/>
      <c r="E23" s="9"/>
      <c r="F23" s="9"/>
      <c r="G23" s="9"/>
    </row>
    <row r="24" customFormat="false" ht="17.25" hidden="false" customHeight="true" outlineLevel="0" collapsed="false">
      <c r="A24" s="21" t="s">
        <v>171</v>
      </c>
      <c r="B24" s="9" t="s">
        <v>172</v>
      </c>
      <c r="C24" s="9"/>
      <c r="D24" s="9"/>
      <c r="E24" s="9"/>
      <c r="F24" s="9"/>
      <c r="G24" s="9"/>
    </row>
    <row r="25" customFormat="false" ht="30" hidden="false" customHeight="true" outlineLevel="0" collapsed="false">
      <c r="A25" s="21" t="s">
        <v>173</v>
      </c>
      <c r="B25" s="9" t="s">
        <v>174</v>
      </c>
      <c r="C25" s="9"/>
      <c r="D25" s="9"/>
      <c r="E25" s="9"/>
      <c r="F25" s="9"/>
      <c r="G25" s="9"/>
    </row>
    <row r="26" customFormat="false" ht="30" hidden="false" customHeight="true" outlineLevel="0" collapsed="false">
      <c r="A26" s="21" t="s">
        <v>175</v>
      </c>
      <c r="B26" s="9" t="s">
        <v>176</v>
      </c>
      <c r="C26" s="9"/>
      <c r="D26" s="9"/>
      <c r="E26" s="9"/>
      <c r="F26" s="9"/>
      <c r="G26" s="9"/>
    </row>
    <row r="27" customFormat="false" ht="30" hidden="false" customHeight="true" outlineLevel="0" collapsed="false">
      <c r="A27" s="21" t="s">
        <v>177</v>
      </c>
      <c r="B27" s="9" t="s">
        <v>178</v>
      </c>
      <c r="C27" s="9"/>
      <c r="D27" s="9"/>
      <c r="E27" s="9"/>
      <c r="F27" s="9"/>
      <c r="G27" s="9"/>
    </row>
    <row r="28" customFormat="false" ht="30" hidden="false" customHeight="true" outlineLevel="0" collapsed="false">
      <c r="A28" s="21" t="s">
        <v>179</v>
      </c>
      <c r="B28" s="9" t="s">
        <v>180</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181</v>
      </c>
      <c r="B1" s="1"/>
      <c r="C1" s="1"/>
      <c r="D1" s="1"/>
      <c r="E1" s="1"/>
      <c r="F1" s="1"/>
      <c r="G1" s="1"/>
      <c r="H1" s="1"/>
      <c r="I1" s="1"/>
      <c r="J1" s="1"/>
      <c r="K1" s="1"/>
      <c r="L1" s="1"/>
    </row>
    <row r="2" customFormat="false" ht="15" hidden="false" customHeight="true" outlineLevel="0" collapsed="false">
      <c r="A2" s="2" t="s">
        <v>182</v>
      </c>
      <c r="B2" s="2"/>
      <c r="C2" s="2"/>
      <c r="D2" s="2"/>
      <c r="E2" s="2"/>
      <c r="F2" s="2"/>
      <c r="G2" s="2"/>
      <c r="H2" s="2"/>
      <c r="I2" s="2"/>
      <c r="J2" s="2"/>
      <c r="K2" s="2"/>
      <c r="L2" s="2"/>
    </row>
    <row r="4" customFormat="false" ht="19.5" hidden="false" customHeight="true" outlineLevel="0" collapsed="false">
      <c r="A4" s="32" t="s">
        <v>183</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184</v>
      </c>
      <c r="B6" s="3"/>
      <c r="C6" s="3"/>
      <c r="D6" s="3"/>
      <c r="E6" s="3"/>
      <c r="F6" s="3"/>
      <c r="G6" s="3"/>
      <c r="H6" s="3"/>
      <c r="I6" s="3"/>
      <c r="J6" s="3"/>
      <c r="K6" s="3"/>
      <c r="L6" s="3"/>
    </row>
    <row r="7" customFormat="false" ht="19.5" hidden="false" customHeight="true" outlineLevel="0" collapsed="false">
      <c r="A7" s="44" t="s">
        <v>185</v>
      </c>
      <c r="B7" s="44"/>
      <c r="C7" s="45" t="n">
        <f aca="false">COUNT($A$28:$A$267)</f>
        <v>0</v>
      </c>
      <c r="D7" s="45"/>
      <c r="E7" s="44" t="s">
        <v>186</v>
      </c>
      <c r="F7" s="44"/>
      <c r="G7" s="46" t="str">
        <f aca="false">IF(COUNT($A$28:$A$267)=0,"",MAX($A$28:$A$267))</f>
        <v/>
      </c>
      <c r="H7" s="46"/>
      <c r="I7" s="44" t="s">
        <v>160</v>
      </c>
      <c r="J7" s="44"/>
      <c r="K7" s="45" t="str">
        <f aca="false">IF(COUNT($A$28:$A$267)=0,"",IFERROR(INDEX($B$28:$B$267,MATCH(MAX($A$28:$A$267),$A$28:$A$267,0)),""))</f>
        <v/>
      </c>
      <c r="L7" s="45"/>
    </row>
    <row r="8" customFormat="false" ht="19.5" hidden="false" customHeight="true" outlineLevel="0" collapsed="false">
      <c r="A8" s="44" t="s">
        <v>187</v>
      </c>
      <c r="B8" s="44"/>
      <c r="C8" s="45" t="str">
        <f aca="false">IF(COUNT($A$28:$A$267)=0,"",IFERROR(INDEX($F$28:$F$267,MATCH(MAX($A$28:$A$267),$A$28:$A$267,0)),""))</f>
        <v/>
      </c>
      <c r="D8" s="45"/>
      <c r="E8" s="44" t="s">
        <v>188</v>
      </c>
      <c r="F8" s="44"/>
      <c r="G8" s="45" t="str">
        <f aca="false">IF(COUNT($F$28:$F$267)=0,"",MAX($F$28:$F$267))</f>
        <v/>
      </c>
      <c r="H8" s="45"/>
      <c r="I8" s="44" t="s">
        <v>189</v>
      </c>
      <c r="J8" s="44"/>
      <c r="K8" s="45" t="str">
        <f aca="false">IF(COUNT($A$28:$A$267)=0,"",IFERROR(INDEX($G$28:$G$267,MATCH(MAX($A$28:$A$267),$A$28:$A$267,0)),""))</f>
        <v/>
      </c>
      <c r="L8" s="45"/>
    </row>
    <row r="9" customFormat="false" ht="19.5" hidden="false" customHeight="true" outlineLevel="0" collapsed="false">
      <c r="A9" s="44" t="s">
        <v>190</v>
      </c>
      <c r="B9" s="44"/>
      <c r="C9" s="45" t="str">
        <f aca="false">IF(COUNT($A$28:$A$267)=0,"",IFERROR(INDEX($H$28:$H$267,MATCH(MAX($A$28:$A$267),$A$28:$A$267,0)),""))</f>
        <v/>
      </c>
      <c r="D9" s="45"/>
      <c r="E9" s="44" t="s">
        <v>191</v>
      </c>
      <c r="F9" s="44"/>
      <c r="G9" s="47" t="str">
        <f aca="false">IF(COUNT($A$28:$A$267)=0,"",IFERROR(AVERAGEIFS($D$28:$D$267,$A$28:$A$267,"&gt;="&amp;MAX($A$28:$A$267)-13),""))</f>
        <v/>
      </c>
      <c r="H9" s="47"/>
      <c r="I9" s="44" t="s">
        <v>192</v>
      </c>
      <c r="J9" s="44"/>
      <c r="K9" s="47" t="str">
        <f aca="false">IF(COUNT($A$28:$A$267)=0,"",IFERROR(AVERAGEIFS($E$28:$E$267,$A$28:$A$267,"&gt;="&amp;MAX($A$28:$A$267)-13),""))</f>
        <v/>
      </c>
      <c r="L9" s="47"/>
    </row>
    <row r="11" customFormat="false" ht="19.5" hidden="false" customHeight="true" outlineLevel="0" collapsed="false">
      <c r="A11" s="3" t="s">
        <v>193</v>
      </c>
      <c r="B11" s="3"/>
      <c r="C11" s="3"/>
      <c r="D11" s="3"/>
      <c r="E11" s="3"/>
      <c r="F11" s="3"/>
      <c r="G11" s="3"/>
      <c r="H11" s="3"/>
      <c r="I11" s="3"/>
      <c r="J11" s="3"/>
      <c r="K11" s="3"/>
      <c r="L11" s="3"/>
    </row>
    <row r="27" customFormat="false" ht="33.75" hidden="false" customHeight="true" outlineLevel="0" collapsed="false">
      <c r="A27" s="22" t="s">
        <v>61</v>
      </c>
      <c r="B27" s="22" t="s">
        <v>94</v>
      </c>
      <c r="C27" s="22" t="s">
        <v>93</v>
      </c>
      <c r="D27" s="22" t="s">
        <v>194</v>
      </c>
      <c r="E27" s="22" t="s">
        <v>195</v>
      </c>
      <c r="F27" s="22" t="s">
        <v>196</v>
      </c>
      <c r="G27" s="22" t="s">
        <v>197</v>
      </c>
      <c r="H27" s="22" t="s">
        <v>198</v>
      </c>
      <c r="I27" s="22" t="s">
        <v>199</v>
      </c>
      <c r="J27" s="22" t="s">
        <v>200</v>
      </c>
      <c r="K27" s="22" t="s">
        <v>201</v>
      </c>
      <c r="L27" s="22" t="s">
        <v>202</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203</v>
      </c>
      <c r="B1" s="1"/>
      <c r="C1" s="1"/>
      <c r="D1" s="1"/>
      <c r="E1" s="1"/>
      <c r="F1" s="1"/>
      <c r="G1" s="1"/>
      <c r="H1" s="1"/>
      <c r="I1" s="1"/>
      <c r="J1" s="1"/>
      <c r="K1" s="1"/>
    </row>
    <row r="2" customFormat="false" ht="15" hidden="false" customHeight="true" outlineLevel="0" collapsed="false">
      <c r="A2" s="2" t="s">
        <v>204</v>
      </c>
      <c r="B2" s="2"/>
      <c r="C2" s="2"/>
      <c r="D2" s="2"/>
      <c r="E2" s="2"/>
      <c r="F2" s="2"/>
      <c r="G2" s="2"/>
      <c r="H2" s="2"/>
      <c r="I2" s="2"/>
      <c r="J2" s="2"/>
      <c r="K2" s="2"/>
    </row>
    <row r="3" customFormat="false" ht="31.5" hidden="false" customHeight="true" outlineLevel="0" collapsed="false">
      <c r="A3" s="22" t="s">
        <v>205</v>
      </c>
      <c r="B3" s="22" t="s">
        <v>61</v>
      </c>
      <c r="C3" s="22" t="s">
        <v>206</v>
      </c>
      <c r="D3" s="22" t="s">
        <v>207</v>
      </c>
      <c r="E3" s="22" t="s">
        <v>208</v>
      </c>
      <c r="F3" s="22" t="s">
        <v>201</v>
      </c>
      <c r="G3" s="22" t="s">
        <v>209</v>
      </c>
      <c r="H3" s="22" t="s">
        <v>210</v>
      </c>
      <c r="I3" s="22" t="s">
        <v>211</v>
      </c>
      <c r="J3" s="22" t="s">
        <v>212</v>
      </c>
      <c r="K3" s="22" t="s">
        <v>213</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str">
        <f aca="false">IF(COUNTIFS(Log!$B$4:$B$1203,$A8,Log!$E$4:$E$1203,"A")=0,"",COUNTIFS(Log!$B$4:$B$1203,$A8,Log!$E$4:$E$1203,"A"))</f>
        <v/>
      </c>
      <c r="I8" s="55" t="str">
        <f aca="false">IF($H8="","",SUMIFS(Log!$I$4:$I$1203,Log!$B$4:$B$1203,$A8,Log!$E$4:$E$1203,"A"))</f>
        <v/>
      </c>
      <c r="J8" s="55" t="str">
        <f aca="false">IF($H8="","",SUMIFS(Log!$I$4:$I$1203,Log!$B$4:$B$1203,$A8))</f>
        <v/>
      </c>
      <c r="K8" s="52"/>
    </row>
    <row r="9" customFormat="false" ht="18" hidden="false" customHeight="true" outlineLevel="0" collapsed="false">
      <c r="A9" s="53" t="n">
        <v>6</v>
      </c>
      <c r="B9" s="48"/>
      <c r="C9" s="52"/>
      <c r="D9" s="50"/>
      <c r="E9" s="54"/>
      <c r="F9" s="50"/>
      <c r="G9" s="54"/>
      <c r="H9" s="55" t="str">
        <f aca="false">IF(COUNTIFS(Log!$B$4:$B$1203,$A9,Log!$E$4:$E$1203,"A")=0,"",COUNTIFS(Log!$B$4:$B$1203,$A9,Log!$E$4:$E$1203,"A"))</f>
        <v/>
      </c>
      <c r="I9" s="55" t="str">
        <f aca="false">IF($H9="","",SUMIFS(Log!$I$4:$I$1203,Log!$B$4:$B$1203,$A9,Log!$E$4:$E$1203,"A"))</f>
        <v/>
      </c>
      <c r="J9" s="55" t="str">
        <f aca="false">IF($H9="","",SUMIFS(Log!$I$4:$I$1203,Log!$B$4:$B$1203,$A9))</f>
        <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214</v>
      </c>
      <c r="B64" s="57"/>
      <c r="C64" s="57"/>
      <c r="D64" s="57"/>
      <c r="E64" s="57"/>
      <c r="F64" s="57"/>
      <c r="G64" s="57"/>
      <c r="H64" s="58" t="n">
        <f aca="false">SUM(H4:H63)</f>
        <v>62</v>
      </c>
      <c r="I64" s="58" t="n">
        <f aca="false">SUM(I4:I63)</f>
        <v>74504.5</v>
      </c>
      <c r="J64" s="58" t="n">
        <f aca="false">SUM(J4:J63)</f>
        <v>89172</v>
      </c>
      <c r="K64" s="57"/>
    </row>
    <row r="66" customFormat="false" ht="15" hidden="false" customHeight="false" outlineLevel="0" collapsed="false">
      <c r="A66" s="19" t="s">
        <v>215</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216</v>
      </c>
      <c r="B1" s="1"/>
      <c r="C1" s="1"/>
      <c r="D1" s="1"/>
      <c r="E1" s="1"/>
      <c r="F1" s="1"/>
      <c r="G1" s="1"/>
      <c r="H1" s="1"/>
      <c r="I1" s="1"/>
      <c r="J1" s="1"/>
      <c r="K1" s="1"/>
      <c r="L1" s="1"/>
    </row>
    <row r="2" customFormat="false" ht="15" hidden="false" customHeight="true" outlineLevel="0" collapsed="false">
      <c r="A2" s="2" t="s">
        <v>217</v>
      </c>
      <c r="B2" s="2"/>
      <c r="C2" s="2"/>
      <c r="D2" s="2"/>
      <c r="E2" s="2"/>
      <c r="F2" s="2"/>
      <c r="G2" s="2"/>
      <c r="H2" s="2"/>
      <c r="I2" s="2"/>
      <c r="J2" s="2"/>
      <c r="K2" s="2"/>
      <c r="L2" s="2"/>
    </row>
    <row r="3" customFormat="false" ht="31.5" hidden="false" customHeight="true" outlineLevel="0" collapsed="false">
      <c r="A3" s="22" t="s">
        <v>61</v>
      </c>
      <c r="B3" s="22" t="s">
        <v>205</v>
      </c>
      <c r="C3" s="22" t="s">
        <v>218</v>
      </c>
      <c r="D3" s="22" t="s">
        <v>161</v>
      </c>
      <c r="E3" s="22" t="s">
        <v>219</v>
      </c>
      <c r="F3" s="22" t="s">
        <v>220</v>
      </c>
      <c r="G3" s="22" t="s">
        <v>221</v>
      </c>
      <c r="H3" s="22" t="s">
        <v>46</v>
      </c>
      <c r="I3" s="22" t="s">
        <v>222</v>
      </c>
      <c r="J3" s="22" t="s">
        <v>223</v>
      </c>
      <c r="K3" s="22" t="s">
        <v>224</v>
      </c>
      <c r="L3" s="22" t="s">
        <v>213</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225</v>
      </c>
      <c r="E4" s="53" t="s">
        <v>226</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225</v>
      </c>
      <c r="E5" s="53" t="s">
        <v>227</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225</v>
      </c>
      <c r="E6" s="53" t="s">
        <v>227</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225</v>
      </c>
      <c r="E7" s="53" t="s">
        <v>228</v>
      </c>
      <c r="F7" s="50" t="n">
        <v>110</v>
      </c>
      <c r="G7" s="54" t="n">
        <v>10</v>
      </c>
      <c r="H7" s="50"/>
      <c r="I7" s="55" t="str">
        <f aca="false">IF(AND(ISNUMBER($F7),ISNUMBER($G7),$E7&lt;&gt;"R"),$F7*$G7,"")</f>
        <v/>
      </c>
      <c r="J7" s="61" t="str">
        <f aca="false">IF(AND($E7="A",ISNUMBER($F7),ISNUMBER($G7)),$F7*(1+$G7/30),"")</f>
        <v/>
      </c>
      <c r="K7" s="52" t="s">
        <v>229</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225</v>
      </c>
      <c r="E8" s="53" t="s">
        <v>226</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225</v>
      </c>
      <c r="E9" s="53" t="s">
        <v>227</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225</v>
      </c>
      <c r="E10" s="53" t="s">
        <v>227</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225</v>
      </c>
      <c r="E11" s="53" t="s">
        <v>228</v>
      </c>
      <c r="F11" s="50" t="n">
        <v>110</v>
      </c>
      <c r="G11" s="54" t="n">
        <v>10</v>
      </c>
      <c r="H11" s="50"/>
      <c r="I11" s="55" t="str">
        <f aca="false">IF(AND(ISNUMBER($F11),ISNUMBER($G11),$E11&lt;&gt;"R"),$F11*$G11,"")</f>
        <v/>
      </c>
      <c r="J11" s="61" t="str">
        <f aca="false">IF(AND($E11="A",ISNUMBER($F11),ISNUMBER($G11)),$F11*(1+$G11/30),"")</f>
        <v/>
      </c>
      <c r="K11" s="52" t="s">
        <v>230</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225</v>
      </c>
      <c r="E12" s="53" t="s">
        <v>226</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225</v>
      </c>
      <c r="E13" s="53" t="s">
        <v>226</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225</v>
      </c>
      <c r="E14" s="53" t="s">
        <v>227</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225</v>
      </c>
      <c r="E15" s="53" t="s">
        <v>227</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225</v>
      </c>
      <c r="E16" s="53" t="s">
        <v>228</v>
      </c>
      <c r="F16" s="50" t="n">
        <v>110</v>
      </c>
      <c r="G16" s="54" t="n">
        <v>10</v>
      </c>
      <c r="H16" s="50"/>
      <c r="I16" s="55" t="str">
        <f aca="false">IF(AND(ISNUMBER($F16),ISNUMBER($G16),$E16&lt;&gt;"R"),$F16*$G16,"")</f>
        <v/>
      </c>
      <c r="J16" s="61" t="str">
        <f aca="false">IF(AND($E16="A",ISNUMBER($F16),ISNUMBER($G16)),$F16*(1+$G16/30),"")</f>
        <v/>
      </c>
      <c r="K16" s="52" t="s">
        <v>231</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225</v>
      </c>
      <c r="E17" s="53" t="s">
        <v>226</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225</v>
      </c>
      <c r="E18" s="53" t="s">
        <v>226</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225</v>
      </c>
      <c r="E19" s="53" t="s">
        <v>227</v>
      </c>
      <c r="F19" s="50" t="n">
        <v>152.5</v>
      </c>
      <c r="G19" s="54" t="n">
        <v>25</v>
      </c>
      <c r="H19" s="50"/>
      <c r="I19" s="55" t="n">
        <f aca="false">IF(AND(ISNUMBER($F19),ISNUMBER($G19),$E19&lt;&gt;"R"),$F19*$G19,"")</f>
        <v>3812.5</v>
      </c>
      <c r="J19" s="61" t="n">
        <f aca="false">IF(AND($E19="A",ISNUMBER($F19),ISNUMBER($G19)),$F19*(1+$G19/30),"")</f>
        <v>279.583333333333</v>
      </c>
      <c r="K19" s="52"/>
      <c r="L19" s="52" t="s">
        <v>232</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225</v>
      </c>
      <c r="E20" s="53" t="s">
        <v>227</v>
      </c>
      <c r="F20" s="50" t="n">
        <v>152.5</v>
      </c>
      <c r="G20" s="54" t="n">
        <v>20</v>
      </c>
      <c r="H20" s="50"/>
      <c r="I20" s="55" t="n">
        <f aca="false">IF(AND(ISNUMBER($F20),ISNUMBER($G20),$E20&lt;&gt;"R"),$F20*$G20,"")</f>
        <v>3050</v>
      </c>
      <c r="J20" s="61" t="n">
        <f aca="false">IF(AND($E20="A",ISNUMBER($F20),ISNUMBER($G20)),$F20*(1+$G20/30),"")</f>
        <v>254.166666666667</v>
      </c>
      <c r="K20" s="52"/>
      <c r="L20" s="52" t="s">
        <v>232</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225</v>
      </c>
      <c r="E21" s="53" t="s">
        <v>228</v>
      </c>
      <c r="F21" s="50" t="n">
        <v>125</v>
      </c>
      <c r="G21" s="54" t="n">
        <v>6</v>
      </c>
      <c r="H21" s="50"/>
      <c r="I21" s="55" t="str">
        <f aca="false">IF(AND(ISNUMBER($F21),ISNUMBER($G21),$E21&lt;&gt;"R"),$F21*$G21,"")</f>
        <v/>
      </c>
      <c r="J21" s="61" t="str">
        <f aca="false">IF(AND($E21="A",ISNUMBER($F21),ISNUMBER($G21)),$F21*(1+$G21/30),"")</f>
        <v/>
      </c>
      <c r="K21" s="52" t="s">
        <v>233</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234</v>
      </c>
      <c r="E22" s="53" t="s">
        <v>226</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234</v>
      </c>
      <c r="E23" s="53" t="s">
        <v>226</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234</v>
      </c>
      <c r="E24" s="53" t="s">
        <v>227</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234</v>
      </c>
      <c r="E25" s="53" t="s">
        <v>227</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234</v>
      </c>
      <c r="E26" s="53" t="s">
        <v>228</v>
      </c>
      <c r="F26" s="50" t="n">
        <v>55</v>
      </c>
      <c r="G26" s="54"/>
      <c r="H26" s="50"/>
      <c r="I26" s="55" t="str">
        <f aca="false">IF(AND(ISNUMBER($F26),ISNUMBER($G26),$E26&lt;&gt;"R"),$F26*$G26,"")</f>
        <v/>
      </c>
      <c r="J26" s="61" t="str">
        <f aca="false">IF(AND($E26="A",ISNUMBER($F26),ISNUMBER($G26)),$F26*(1+$G26/30),"")</f>
        <v/>
      </c>
      <c r="K26" s="52" t="s">
        <v>235</v>
      </c>
      <c r="L26" s="52" t="s">
        <v>236</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234</v>
      </c>
      <c r="E27" s="53" t="s">
        <v>226</v>
      </c>
      <c r="F27" s="50" t="n">
        <v>10</v>
      </c>
      <c r="G27" s="54"/>
      <c r="H27" s="50"/>
      <c r="I27" s="55" t="str">
        <f aca="false">IF(AND(ISNUMBER($F27),ISNUMBER($G27),$E27&lt;&gt;"R"),$F27*$G27,"")</f>
        <v/>
      </c>
      <c r="J27" s="61" t="str">
        <f aca="false">IF(AND($E27="A",ISNUMBER($F27),ISNUMBER($G27)),$F27*(1+$G27/30),"")</f>
        <v/>
      </c>
      <c r="K27" s="52"/>
      <c r="L27" s="52" t="s">
        <v>237</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234</v>
      </c>
      <c r="E28" s="53" t="s">
        <v>226</v>
      </c>
      <c r="F28" s="50" t="n">
        <v>20</v>
      </c>
      <c r="G28" s="54"/>
      <c r="H28" s="50"/>
      <c r="I28" s="55" t="str">
        <f aca="false">IF(AND(ISNUMBER($F28),ISNUMBER($G28),$E28&lt;&gt;"R"),$F28*$G28,"")</f>
        <v/>
      </c>
      <c r="J28" s="61" t="str">
        <f aca="false">IF(AND($E28="A",ISNUMBER($F28),ISNUMBER($G28)),$F28*(1+$G28/30),"")</f>
        <v/>
      </c>
      <c r="K28" s="52"/>
      <c r="L28" s="52" t="s">
        <v>237</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234</v>
      </c>
      <c r="E29" s="53" t="s">
        <v>227</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234</v>
      </c>
      <c r="E30" s="53" t="s">
        <v>227</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234</v>
      </c>
      <c r="E31" s="53" t="s">
        <v>228</v>
      </c>
      <c r="F31" s="50" t="n">
        <v>60</v>
      </c>
      <c r="G31" s="54" t="n">
        <v>10</v>
      </c>
      <c r="H31" s="50"/>
      <c r="I31" s="55" t="str">
        <f aca="false">IF(AND(ISNUMBER($F31),ISNUMBER($G31),$E31&lt;&gt;"R"),$F31*$G31,"")</f>
        <v/>
      </c>
      <c r="J31" s="61" t="str">
        <f aca="false">IF(AND($E31="A",ISNUMBER($F31),ISNUMBER($G31)),$F31*(1+$G31/30),"")</f>
        <v/>
      </c>
      <c r="K31" s="52" t="s">
        <v>238</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234</v>
      </c>
      <c r="E32" s="53" t="s">
        <v>226</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234</v>
      </c>
      <c r="E33" s="53" t="s">
        <v>226</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234</v>
      </c>
      <c r="E34" s="53" t="s">
        <v>227</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234</v>
      </c>
      <c r="E35" s="53" t="s">
        <v>227</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234</v>
      </c>
      <c r="E36" s="53" t="s">
        <v>228</v>
      </c>
      <c r="F36" s="50" t="n">
        <v>65</v>
      </c>
      <c r="G36" s="54" t="n">
        <v>10</v>
      </c>
      <c r="H36" s="50"/>
      <c r="I36" s="55" t="str">
        <f aca="false">IF(AND(ISNUMBER($F36),ISNUMBER($G36),$E36&lt;&gt;"R"),$F36*$G36,"")</f>
        <v/>
      </c>
      <c r="J36" s="61" t="str">
        <f aca="false">IF(AND($E36="A",ISNUMBER($F36),ISNUMBER($G36)),$F36*(1+$G36/30),"")</f>
        <v/>
      </c>
      <c r="K36" s="52" t="s">
        <v>239</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234</v>
      </c>
      <c r="E37" s="53" t="s">
        <v>226</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234</v>
      </c>
      <c r="E38" s="53" t="s">
        <v>226</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234</v>
      </c>
      <c r="E39" s="53" t="s">
        <v>227</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234</v>
      </c>
      <c r="E40" s="53" t="s">
        <v>227</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234</v>
      </c>
      <c r="E41" s="53" t="s">
        <v>228</v>
      </c>
      <c r="F41" s="50" t="n">
        <v>70</v>
      </c>
      <c r="G41" s="54" t="n">
        <v>6</v>
      </c>
      <c r="H41" s="50"/>
      <c r="I41" s="55" t="str">
        <f aca="false">IF(AND(ISNUMBER($F41),ISNUMBER($G41),$E41&lt;&gt;"R"),$F41*$G41,"")</f>
        <v/>
      </c>
      <c r="J41" s="61" t="str">
        <f aca="false">IF(AND($E41="A",ISNUMBER($F41),ISNUMBER($G41)),$F41*(1+$G41/30),"")</f>
        <v/>
      </c>
      <c r="K41" s="52" t="s">
        <v>240</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241</v>
      </c>
      <c r="E42" s="53" t="s">
        <v>226</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241</v>
      </c>
      <c r="E43" s="53" t="s">
        <v>226</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241</v>
      </c>
      <c r="E44" s="53" t="s">
        <v>227</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241</v>
      </c>
      <c r="E45" s="53" t="s">
        <v>227</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241</v>
      </c>
      <c r="E46" s="53" t="s">
        <v>227</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241</v>
      </c>
      <c r="E47" s="53" t="s">
        <v>226</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241</v>
      </c>
      <c r="E48" s="53" t="s">
        <v>226</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241</v>
      </c>
      <c r="E49" s="53" t="s">
        <v>227</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241</v>
      </c>
      <c r="E50" s="53" t="s">
        <v>227</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241</v>
      </c>
      <c r="E51" s="53" t="s">
        <v>227</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241</v>
      </c>
      <c r="E52" s="53" t="s">
        <v>226</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241</v>
      </c>
      <c r="E53" s="53" t="s">
        <v>226</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241</v>
      </c>
      <c r="E54" s="53" t="s">
        <v>227</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241</v>
      </c>
      <c r="E55" s="53" t="s">
        <v>227</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241</v>
      </c>
      <c r="E56" s="53" t="s">
        <v>227</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241</v>
      </c>
      <c r="E57" s="53" t="s">
        <v>226</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241</v>
      </c>
      <c r="E58" s="53" t="s">
        <v>226</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241</v>
      </c>
      <c r="E59" s="53" t="s">
        <v>227</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241</v>
      </c>
      <c r="E60" s="53" t="s">
        <v>227</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241</v>
      </c>
      <c r="E61" s="53" t="s">
        <v>227</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59</v>
      </c>
      <c r="E62" s="53" t="s">
        <v>227</v>
      </c>
      <c r="F62" s="50" t="n">
        <v>10</v>
      </c>
      <c r="G62" s="54"/>
      <c r="H62" s="50"/>
      <c r="I62" s="55" t="str">
        <f aca="false">IF(AND(ISNUMBER($F62),ISNUMBER($G62),$E62&lt;&gt;"R"),$F62*$G62,"")</f>
        <v/>
      </c>
      <c r="J62" s="61" t="str">
        <f aca="false">IF(AND($E62="A",ISNUMBER($F62),ISNUMBER($G62)),$F62*(1+$G62/30),"")</f>
        <v/>
      </c>
      <c r="K62" s="52"/>
      <c r="L62" s="52" t="s">
        <v>242</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59</v>
      </c>
      <c r="E63" s="53" t="s">
        <v>227</v>
      </c>
      <c r="F63" s="50" t="n">
        <v>16</v>
      </c>
      <c r="G63" s="54"/>
      <c r="H63" s="50"/>
      <c r="I63" s="55" t="str">
        <f aca="false">IF(AND(ISNUMBER($F63),ISNUMBER($G63),$E63&lt;&gt;"R"),$F63*$G63,"")</f>
        <v/>
      </c>
      <c r="J63" s="61" t="str">
        <f aca="false">IF(AND($E63="A",ISNUMBER($F63),ISNUMBER($G63)),$F63*(1+$G63/30),"")</f>
        <v/>
      </c>
      <c r="K63" s="52"/>
      <c r="L63" s="52" t="s">
        <v>242</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59</v>
      </c>
      <c r="E64" s="53" t="s">
        <v>227</v>
      </c>
      <c r="F64" s="50" t="n">
        <v>18</v>
      </c>
      <c r="G64" s="54"/>
      <c r="H64" s="50"/>
      <c r="I64" s="55" t="str">
        <f aca="false">IF(AND(ISNUMBER($F64),ISNUMBER($G64),$E64&lt;&gt;"R"),$F64*$G64,"")</f>
        <v/>
      </c>
      <c r="J64" s="61" t="str">
        <f aca="false">IF(AND($E64="A",ISNUMBER($F64),ISNUMBER($G64)),$F64*(1+$G64/30),"")</f>
        <v/>
      </c>
      <c r="K64" s="52"/>
      <c r="L64" s="52" t="s">
        <v>242</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243</v>
      </c>
      <c r="E65" s="53" t="s">
        <v>226</v>
      </c>
      <c r="F65" s="50" t="n">
        <v>35</v>
      </c>
      <c r="G65" s="54"/>
      <c r="H65" s="50"/>
      <c r="I65" s="55" t="str">
        <f aca="false">IF(AND(ISNUMBER($F65),ISNUMBER($G65),$E65&lt;&gt;"R"),$F65*$G65,"")</f>
        <v/>
      </c>
      <c r="J65" s="61" t="str">
        <f aca="false">IF(AND($E65="A",ISNUMBER($F65),ISNUMBER($G65)),$F65*(1+$G65/30),"")</f>
        <v/>
      </c>
      <c r="K65" s="52"/>
      <c r="L65" s="52" t="s">
        <v>242</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243</v>
      </c>
      <c r="E66" s="53" t="s">
        <v>226</v>
      </c>
      <c r="F66" s="50" t="n">
        <v>49</v>
      </c>
      <c r="G66" s="54"/>
      <c r="H66" s="50"/>
      <c r="I66" s="55" t="str">
        <f aca="false">IF(AND(ISNUMBER($F66),ISNUMBER($G66),$E66&lt;&gt;"R"),$F66*$G66,"")</f>
        <v/>
      </c>
      <c r="J66" s="61" t="str">
        <f aca="false">IF(AND($E66="A",ISNUMBER($F66),ISNUMBER($G66)),$F66*(1+$G66/30),"")</f>
        <v/>
      </c>
      <c r="K66" s="52"/>
      <c r="L66" s="52" t="s">
        <v>242</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243</v>
      </c>
      <c r="E67" s="53" t="s">
        <v>227</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243</v>
      </c>
      <c r="E68" s="53" t="s">
        <v>227</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243</v>
      </c>
      <c r="E69" s="53" t="s">
        <v>226</v>
      </c>
      <c r="F69" s="50" t="n">
        <v>30</v>
      </c>
      <c r="G69" s="54"/>
      <c r="H69" s="50"/>
      <c r="I69" s="55" t="str">
        <f aca="false">IF(AND(ISNUMBER($F69),ISNUMBER($G69),$E69&lt;&gt;"R"),$F69*$G69,"")</f>
        <v/>
      </c>
      <c r="J69" s="61" t="str">
        <f aca="false">IF(AND($E69="A",ISNUMBER($F69),ISNUMBER($G69)),$F69*(1+$G69/30),"")</f>
        <v/>
      </c>
      <c r="K69" s="52"/>
      <c r="L69" s="52" t="s">
        <v>242</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243</v>
      </c>
      <c r="E70" s="53" t="s">
        <v>226</v>
      </c>
      <c r="F70" s="50" t="n">
        <v>42</v>
      </c>
      <c r="G70" s="54"/>
      <c r="H70" s="50"/>
      <c r="I70" s="55" t="str">
        <f aca="false">IF(AND(ISNUMBER($F70),ISNUMBER($G70),$E70&lt;&gt;"R"),$F70*$G70,"")</f>
        <v/>
      </c>
      <c r="J70" s="61" t="str">
        <f aca="false">IF(AND($E70="A",ISNUMBER($F70),ISNUMBER($G70)),$F70*(1+$G70/30),"")</f>
        <v/>
      </c>
      <c r="K70" s="52"/>
      <c r="L70" s="52" t="s">
        <v>242</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243</v>
      </c>
      <c r="E71" s="53" t="s">
        <v>227</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243</v>
      </c>
      <c r="E72" s="53" t="s">
        <v>227</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243</v>
      </c>
      <c r="E73" s="53" t="s">
        <v>226</v>
      </c>
      <c r="F73" s="50" t="n">
        <v>20</v>
      </c>
      <c r="G73" s="54"/>
      <c r="H73" s="50"/>
      <c r="I73" s="55" t="str">
        <f aca="false">IF(AND(ISNUMBER($F73),ISNUMBER($G73),$E73&lt;&gt;"R"),$F73*$G73,"")</f>
        <v/>
      </c>
      <c r="J73" s="61" t="str">
        <f aca="false">IF(AND($E73="A",ISNUMBER($F73),ISNUMBER($G73)),$F73*(1+$G73/30),"")</f>
        <v/>
      </c>
      <c r="K73" s="52"/>
      <c r="L73" s="52" t="s">
        <v>242</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243</v>
      </c>
      <c r="E74" s="53" t="s">
        <v>226</v>
      </c>
      <c r="F74" s="50" t="n">
        <v>30</v>
      </c>
      <c r="G74" s="54"/>
      <c r="H74" s="50"/>
      <c r="I74" s="55" t="str">
        <f aca="false">IF(AND(ISNUMBER($F74),ISNUMBER($G74),$E74&lt;&gt;"R"),$F74*$G74,"")</f>
        <v/>
      </c>
      <c r="J74" s="61" t="str">
        <f aca="false">IF(AND($E74="A",ISNUMBER($F74),ISNUMBER($G74)),$F74*(1+$G74/30),"")</f>
        <v/>
      </c>
      <c r="K74" s="52"/>
      <c r="L74" s="52" t="s">
        <v>242</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243</v>
      </c>
      <c r="E75" s="53" t="s">
        <v>227</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243</v>
      </c>
      <c r="E76" s="53" t="s">
        <v>227</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243</v>
      </c>
      <c r="E77" s="53" t="s">
        <v>226</v>
      </c>
      <c r="F77" s="50" t="n">
        <v>25</v>
      </c>
      <c r="G77" s="54"/>
      <c r="H77" s="50"/>
      <c r="I77" s="55" t="str">
        <f aca="false">IF(AND(ISNUMBER($F77),ISNUMBER($G77),$E77&lt;&gt;"R"),$F77*$G77,"")</f>
        <v/>
      </c>
      <c r="J77" s="61" t="str">
        <f aca="false">IF(AND($E77="A",ISNUMBER($F77),ISNUMBER($G77)),$F77*(1+$G77/30),"")</f>
        <v/>
      </c>
      <c r="K77" s="52"/>
      <c r="L77" s="52" t="s">
        <v>242</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243</v>
      </c>
      <c r="E78" s="53" t="s">
        <v>226</v>
      </c>
      <c r="F78" s="50" t="n">
        <v>35</v>
      </c>
      <c r="G78" s="54"/>
      <c r="H78" s="50"/>
      <c r="I78" s="55" t="str">
        <f aca="false">IF(AND(ISNUMBER($F78),ISNUMBER($G78),$E78&lt;&gt;"R"),$F78*$G78,"")</f>
        <v/>
      </c>
      <c r="J78" s="61" t="str">
        <f aca="false">IF(AND($E78="A",ISNUMBER($F78),ISNUMBER($G78)),$F78*(1+$G78/30),"")</f>
        <v/>
      </c>
      <c r="K78" s="52"/>
      <c r="L78" s="52" t="s">
        <v>242</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243</v>
      </c>
      <c r="E79" s="53" t="s">
        <v>227</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243</v>
      </c>
      <c r="E80" s="53" t="s">
        <v>227</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244</v>
      </c>
      <c r="E81" s="53" t="s">
        <v>226</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244</v>
      </c>
      <c r="E82" s="53" t="s">
        <v>227</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244</v>
      </c>
      <c r="E83" s="53" t="s">
        <v>227</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244</v>
      </c>
      <c r="E84" s="53" t="s">
        <v>226</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244</v>
      </c>
      <c r="E85" s="53" t="s">
        <v>227</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244</v>
      </c>
      <c r="E86" s="53" t="s">
        <v>227</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245</v>
      </c>
      <c r="E87" s="53" t="s">
        <v>226</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245</v>
      </c>
      <c r="E88" s="53" t="s">
        <v>227</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245</v>
      </c>
      <c r="E89" s="53" t="s">
        <v>227</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245</v>
      </c>
      <c r="E90" s="53" t="s">
        <v>228</v>
      </c>
      <c r="F90" s="50" t="n">
        <v>30</v>
      </c>
      <c r="G90" s="54" t="n">
        <v>10</v>
      </c>
      <c r="H90" s="50"/>
      <c r="I90" s="55" t="str">
        <f aca="false">IF(AND(ISNUMBER($F90),ISNUMBER($G90),$E90&lt;&gt;"R"),$F90*$G90,"")</f>
        <v/>
      </c>
      <c r="J90" s="61" t="str">
        <f aca="false">IF(AND($E90="A",ISNUMBER($F90),ISNUMBER($G90)),$F90*(1+$G90/30),"")</f>
        <v/>
      </c>
      <c r="K90" s="52" t="s">
        <v>246</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245</v>
      </c>
      <c r="E91" s="53" t="s">
        <v>226</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245</v>
      </c>
      <c r="E92" s="53" t="s">
        <v>227</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245</v>
      </c>
      <c r="E93" s="53" t="s">
        <v>227</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245</v>
      </c>
      <c r="E94" s="53" t="s">
        <v>228</v>
      </c>
      <c r="F94" s="50" t="n">
        <v>40</v>
      </c>
      <c r="G94" s="54" t="n">
        <v>8</v>
      </c>
      <c r="H94" s="50"/>
      <c r="I94" s="55" t="str">
        <f aca="false">IF(AND(ISNUMBER($F94),ISNUMBER($G94),$E94&lt;&gt;"R"),$F94*$G94,"")</f>
        <v/>
      </c>
      <c r="J94" s="61" t="str">
        <f aca="false">IF(AND($E94="A",ISNUMBER($F94),ISNUMBER($G94)),$F94*(1+$G94/30),"")</f>
        <v/>
      </c>
      <c r="K94" s="52" t="s">
        <v>247</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245</v>
      </c>
      <c r="E95" s="53" t="s">
        <v>226</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245</v>
      </c>
      <c r="E96" s="53" t="s">
        <v>227</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245</v>
      </c>
      <c r="E97" s="53" t="s">
        <v>227</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245</v>
      </c>
      <c r="E98" s="53" t="s">
        <v>228</v>
      </c>
      <c r="F98" s="50" t="n">
        <v>30</v>
      </c>
      <c r="G98" s="54" t="n">
        <v>6</v>
      </c>
      <c r="H98" s="50"/>
      <c r="I98" s="55" t="str">
        <f aca="false">IF(AND(ISNUMBER($F98),ISNUMBER($G98),$E98&lt;&gt;"R"),$F98*$G98,"")</f>
        <v/>
      </c>
      <c r="J98" s="61" t="str">
        <f aca="false">IF(AND($E98="A",ISNUMBER($F98),ISNUMBER($G98)),$F98*(1+$G98/30),"")</f>
        <v/>
      </c>
      <c r="K98" s="52" t="s">
        <v>248</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249</v>
      </c>
      <c r="E99" s="53" t="s">
        <v>226</v>
      </c>
      <c r="F99" s="50" t="n">
        <v>170</v>
      </c>
      <c r="G99" s="54" t="n">
        <v>10</v>
      </c>
      <c r="H99" s="50"/>
      <c r="I99" s="55" t="n">
        <f aca="false">IF(AND(ISNUMBER($F99),ISNUMBER($G99),$E99&lt;&gt;"R"),$F99*$G99,"")</f>
        <v>1700</v>
      </c>
      <c r="J99" s="61" t="str">
        <f aca="false">IF(AND($E99="A",ISNUMBER($F99),ISNUMBER($G99)),$F99*(1+$G99/30),"")</f>
        <v/>
      </c>
      <c r="K99" s="52"/>
      <c r="L99" s="52" t="s">
        <v>250</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249</v>
      </c>
      <c r="E100" s="53" t="s">
        <v>227</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249</v>
      </c>
      <c r="E101" s="53" t="s">
        <v>227</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249</v>
      </c>
      <c r="E102" s="53" t="s">
        <v>228</v>
      </c>
      <c r="F102" s="50"/>
      <c r="G102" s="54" t="n">
        <v>6</v>
      </c>
      <c r="H102" s="50"/>
      <c r="I102" s="55" t="str">
        <f aca="false">IF(AND(ISNUMBER($F102),ISNUMBER($G102),$E102&lt;&gt;"R"),$F102*$G102,"")</f>
        <v/>
      </c>
      <c r="J102" s="61" t="str">
        <f aca="false">IF(AND($E102="A",ISNUMBER($F102),ISNUMBER($G102)),$F102*(1+$G102/30),"")</f>
        <v/>
      </c>
      <c r="K102" s="52" t="s">
        <v>251</v>
      </c>
      <c r="L102" s="52" t="s">
        <v>252</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249</v>
      </c>
      <c r="E103" s="53" t="s">
        <v>226</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249</v>
      </c>
      <c r="E104" s="53" t="s">
        <v>227</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249</v>
      </c>
      <c r="E105" s="53" t="s">
        <v>227</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249</v>
      </c>
      <c r="E106" s="53" t="s">
        <v>228</v>
      </c>
      <c r="F106" s="50"/>
      <c r="G106" s="54" t="n">
        <v>6</v>
      </c>
      <c r="H106" s="50"/>
      <c r="I106" s="55" t="str">
        <f aca="false">IF(AND(ISNUMBER($F106),ISNUMBER($G106),$E106&lt;&gt;"R"),$F106*$G106,"")</f>
        <v/>
      </c>
      <c r="J106" s="61" t="str">
        <f aca="false">IF(AND($E106="A",ISNUMBER($F106),ISNUMBER($G106)),$F106*(1+$G106/30),"")</f>
        <v/>
      </c>
      <c r="K106" s="52" t="s">
        <v>251</v>
      </c>
      <c r="L106" s="52" t="s">
        <v>252</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249</v>
      </c>
      <c r="E107" s="53" t="s">
        <v>226</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249</v>
      </c>
      <c r="E108" s="53" t="s">
        <v>226</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249</v>
      </c>
      <c r="E109" s="53" t="s">
        <v>227</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249</v>
      </c>
      <c r="E110" s="53" t="s">
        <v>227</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249</v>
      </c>
      <c r="E111" s="53" t="s">
        <v>228</v>
      </c>
      <c r="F111" s="50"/>
      <c r="G111" s="54" t="n">
        <v>6</v>
      </c>
      <c r="H111" s="50"/>
      <c r="I111" s="55" t="str">
        <f aca="false">IF(AND(ISNUMBER($F111),ISNUMBER($G111),$E111&lt;&gt;"R"),$F111*$G111,"")</f>
        <v/>
      </c>
      <c r="J111" s="61" t="str">
        <f aca="false">IF(AND($E111="A",ISNUMBER($F111),ISNUMBER($G111)),$F111*(1+$G111/30),"")</f>
        <v/>
      </c>
      <c r="K111" s="52" t="s">
        <v>251</v>
      </c>
      <c r="L111" s="52" t="s">
        <v>252</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249</v>
      </c>
      <c r="E112" s="53" t="s">
        <v>226</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249</v>
      </c>
      <c r="E113" s="53" t="s">
        <v>226</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249</v>
      </c>
      <c r="E114" s="53" t="s">
        <v>227</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249</v>
      </c>
      <c r="E115" s="53" t="s">
        <v>227</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249</v>
      </c>
      <c r="E116" s="53" t="s">
        <v>227</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253</v>
      </c>
      <c r="E117" s="53" t="s">
        <v>226</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253</v>
      </c>
      <c r="E118" s="53" t="s">
        <v>227</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253</v>
      </c>
      <c r="E119" s="53" t="s">
        <v>227</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253</v>
      </c>
      <c r="E120" s="53" t="s">
        <v>226</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253</v>
      </c>
      <c r="E121" s="53" t="s">
        <v>227</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253</v>
      </c>
      <c r="E122" s="53" t="s">
        <v>227</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c r="C123" s="60" t="str">
        <f aca="false">IFERROR(IF($D123="","",INDEX(Übungen!$B$4:$B$17,MATCH($D123,Übungen!$A$4:$A$17,0))),"")</f>
        <v/>
      </c>
      <c r="D123" s="52"/>
      <c r="E123" s="53"/>
      <c r="F123" s="50"/>
      <c r="G123" s="54"/>
      <c r="H123" s="50"/>
      <c r="I123" s="55" t="str">
        <f aca="false">IF(AND(ISNUMBER($F123),ISNUMBER($G123),$E123&lt;&gt;"R"),$F123*$G123,"")</f>
        <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c r="C124" s="60" t="str">
        <f aca="false">IFERROR(IF($D124="","",INDEX(Übungen!$B$4:$B$17,MATCH($D124,Übungen!$A$4:$A$17,0))),"")</f>
        <v/>
      </c>
      <c r="D124" s="52"/>
      <c r="E124" s="53"/>
      <c r="F124" s="50"/>
      <c r="G124" s="54"/>
      <c r="H124" s="50"/>
      <c r="I124" s="55" t="str">
        <f aca="false">IF(AND(ISNUMBER($F124),ISNUMBER($G124),$E124&lt;&gt;"R"),$F124*$G124,"")</f>
        <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c r="C125" s="60" t="str">
        <f aca="false">IFERROR(IF($D125="","",INDEX(Übungen!$B$4:$B$17,MATCH($D125,Übungen!$A$4:$A$17,0))),"")</f>
        <v/>
      </c>
      <c r="D125" s="52"/>
      <c r="E125" s="53"/>
      <c r="F125" s="50"/>
      <c r="G125" s="54"/>
      <c r="H125" s="50"/>
      <c r="I125" s="55" t="str">
        <f aca="false">IF(AND(ISNUMBER($F125),ISNUMBER($G125),$E125&lt;&gt;"R"),$F125*$G125,"")</f>
        <v/>
      </c>
      <c r="J125" s="61" t="str">
        <f aca="false">IF(AND($E125="A",ISNUMBER($F125),ISNUMBER($G125)),$F125*(1+$G125/30),"")</f>
        <v/>
      </c>
      <c r="K125" s="52"/>
      <c r="L125" s="52"/>
    </row>
    <row r="126" customFormat="false" ht="15.75" hidden="false" customHeight="true" outlineLevel="0" collapsed="false">
      <c r="A126" s="59" t="str">
        <f aca="false">IFERROR(IF($B126="","",IF(INDEX(Einheiten!$B$4:$B$63,MATCH($B126,Einheiten!$A$4:$A$63,0))=0,"",INDEX(Einheiten!$B$4:$B$63,MATCH($B126,Einheiten!$A$4:$A$63,0)))),"")</f>
        <v/>
      </c>
      <c r="B126" s="51"/>
      <c r="C126" s="60" t="str">
        <f aca="false">IFERROR(IF($D126="","",INDEX(Übungen!$B$4:$B$17,MATCH($D126,Übungen!$A$4:$A$17,0))),"")</f>
        <v/>
      </c>
      <c r="D126" s="52"/>
      <c r="E126" s="53"/>
      <c r="F126" s="50"/>
      <c r="G126" s="54"/>
      <c r="H126" s="50"/>
      <c r="I126" s="55" t="str">
        <f aca="false">IF(AND(ISNUMBER($F126),ISNUMBER($G126),$E126&lt;&gt;"R"),$F126*$G126,"")</f>
        <v/>
      </c>
      <c r="J126" s="61" t="str">
        <f aca="false">IF(AND($E126="A",ISNUMBER($F126),ISNUMBER($G126)),$F126*(1+$G126/30),"")</f>
        <v/>
      </c>
      <c r="K126" s="52"/>
      <c r="L126" s="52"/>
    </row>
    <row r="127" customFormat="false" ht="15.75" hidden="false" customHeight="true" outlineLevel="0" collapsed="false">
      <c r="A127" s="59" t="str">
        <f aca="false">IFERROR(IF($B127="","",IF(INDEX(Einheiten!$B$4:$B$63,MATCH($B127,Einheiten!$A$4:$A$63,0))=0,"",INDEX(Einheiten!$B$4:$B$63,MATCH($B127,Einheiten!$A$4:$A$63,0)))),"")</f>
        <v/>
      </c>
      <c r="B127" s="51"/>
      <c r="C127" s="60" t="str">
        <f aca="false">IFERROR(IF($D127="","",INDEX(Übungen!$B$4:$B$17,MATCH($D127,Übungen!$A$4:$A$17,0))),"")</f>
        <v/>
      </c>
      <c r="D127" s="52"/>
      <c r="E127" s="53"/>
      <c r="F127" s="50"/>
      <c r="G127" s="54"/>
      <c r="H127" s="50"/>
      <c r="I127" s="55" t="str">
        <f aca="false">IF(AND(ISNUMBER($F127),ISNUMBER($G127),$E127&lt;&gt;"R"),$F127*$G127,"")</f>
        <v/>
      </c>
      <c r="J127" s="61" t="str">
        <f aca="false">IF(AND($E127="A",ISNUMBER($F127),ISNUMBER($G127)),$F127*(1+$G127/30),"")</f>
        <v/>
      </c>
      <c r="K127" s="52"/>
      <c r="L127" s="52"/>
    </row>
    <row r="128" customFormat="false" ht="15.75" hidden="false" customHeight="true" outlineLevel="0" collapsed="false">
      <c r="A128" s="59" t="str">
        <f aca="false">IFERROR(IF($B128="","",IF(INDEX(Einheiten!$B$4:$B$63,MATCH($B128,Einheiten!$A$4:$A$63,0))=0,"",INDEX(Einheiten!$B$4:$B$63,MATCH($B128,Einheiten!$A$4:$A$63,0)))),"")</f>
        <v/>
      </c>
      <c r="B128" s="51"/>
      <c r="C128" s="60" t="str">
        <f aca="false">IFERROR(IF($D128="","",INDEX(Übungen!$B$4:$B$17,MATCH($D128,Übungen!$A$4:$A$17,0))),"")</f>
        <v/>
      </c>
      <c r="D128" s="52"/>
      <c r="E128" s="53"/>
      <c r="F128" s="50"/>
      <c r="G128" s="54"/>
      <c r="H128" s="50"/>
      <c r="I128" s="55" t="str">
        <f aca="false">IF(AND(ISNUMBER($F128),ISNUMBER($G128),$E128&lt;&gt;"R"),$F128*$G128,"")</f>
        <v/>
      </c>
      <c r="J128" s="61" t="str">
        <f aca="false">IF(AND($E128="A",ISNUMBER($F128),ISNUMBER($G128)),$F128*(1+$G128/30),"")</f>
        <v/>
      </c>
      <c r="K128" s="52"/>
      <c r="L128" s="52"/>
    </row>
    <row r="129" customFormat="false" ht="15.75" hidden="false" customHeight="true" outlineLevel="0" collapsed="false">
      <c r="A129" s="59" t="str">
        <f aca="false">IFERROR(IF($B129="","",IF(INDEX(Einheiten!$B$4:$B$63,MATCH($B129,Einheiten!$A$4:$A$63,0))=0,"",INDEX(Einheiten!$B$4:$B$63,MATCH($B129,Einheiten!$A$4:$A$63,0)))),"")</f>
        <v/>
      </c>
      <c r="B129" s="51"/>
      <c r="C129" s="60" t="str">
        <f aca="false">IFERROR(IF($D129="","",INDEX(Übungen!$B$4:$B$17,MATCH($D129,Übungen!$A$4:$A$17,0))),"")</f>
        <v/>
      </c>
      <c r="D129" s="52"/>
      <c r="E129" s="53"/>
      <c r="F129" s="50"/>
      <c r="G129" s="54"/>
      <c r="H129" s="50"/>
      <c r="I129" s="55" t="str">
        <f aca="false">IF(AND(ISNUMBER($F129),ISNUMBER($G129),$E129&lt;&gt;"R"),$F129*$G129,"")</f>
        <v/>
      </c>
      <c r="J129" s="61" t="str">
        <f aca="false">IF(AND($E129="A",ISNUMBER($F129),ISNUMBER($G129)),$F129*(1+$G129/30),"")</f>
        <v/>
      </c>
      <c r="K129" s="52"/>
      <c r="L129" s="52"/>
    </row>
    <row r="130" customFormat="false" ht="15.75" hidden="false" customHeight="true" outlineLevel="0" collapsed="false">
      <c r="A130" s="59" t="str">
        <f aca="false">IFERROR(IF($B130="","",IF(INDEX(Einheiten!$B$4:$B$63,MATCH($B130,Einheiten!$A$4:$A$63,0))=0,"",INDEX(Einheiten!$B$4:$B$63,MATCH($B130,Einheiten!$A$4:$A$63,0)))),"")</f>
        <v/>
      </c>
      <c r="B130" s="51"/>
      <c r="C130" s="60" t="str">
        <f aca="false">IFERROR(IF($D130="","",INDEX(Übungen!$B$4:$B$17,MATCH($D130,Übungen!$A$4:$A$17,0))),"")</f>
        <v/>
      </c>
      <c r="D130" s="52"/>
      <c r="E130" s="53"/>
      <c r="F130" s="50"/>
      <c r="G130" s="54"/>
      <c r="H130" s="50"/>
      <c r="I130" s="55" t="str">
        <f aca="false">IF(AND(ISNUMBER($F130),ISNUMBER($G130),$E130&lt;&gt;"R"),$F130*$G130,"")</f>
        <v/>
      </c>
      <c r="J130" s="61" t="str">
        <f aca="false">IF(AND($E130="A",ISNUMBER($F130),ISNUMBER($G130)),$F130*(1+$G130/30),"")</f>
        <v/>
      </c>
      <c r="K130" s="52"/>
      <c r="L130" s="52"/>
    </row>
    <row r="131" customFormat="false" ht="15.75" hidden="false" customHeight="true" outlineLevel="0" collapsed="false">
      <c r="A131" s="59" t="str">
        <f aca="false">IFERROR(IF($B131="","",IF(INDEX(Einheiten!$B$4:$B$63,MATCH($B131,Einheiten!$A$4:$A$63,0))=0,"",INDEX(Einheiten!$B$4:$B$63,MATCH($B131,Einheiten!$A$4:$A$63,0)))),"")</f>
        <v/>
      </c>
      <c r="B131" s="51"/>
      <c r="C131" s="60" t="str">
        <f aca="false">IFERROR(IF($D131="","",INDEX(Übungen!$B$4:$B$17,MATCH($D131,Übungen!$A$4:$A$17,0))),"")</f>
        <v/>
      </c>
      <c r="D131" s="52"/>
      <c r="E131" s="53"/>
      <c r="F131" s="50"/>
      <c r="G131" s="54"/>
      <c r="H131" s="50"/>
      <c r="I131" s="55" t="str">
        <f aca="false">IF(AND(ISNUMBER($F131),ISNUMBER($G131),$E131&lt;&gt;"R"),$F131*$G131,"")</f>
        <v/>
      </c>
      <c r="J131" s="61" t="str">
        <f aca="false">IF(AND($E131="A",ISNUMBER($F131),ISNUMBER($G131)),$F131*(1+$G131/30),"")</f>
        <v/>
      </c>
      <c r="K131" s="52"/>
      <c r="L131" s="52"/>
    </row>
    <row r="132" customFormat="false" ht="15.75" hidden="false" customHeight="true" outlineLevel="0" collapsed="false">
      <c r="A132" s="59" t="str">
        <f aca="false">IFERROR(IF($B132="","",IF(INDEX(Einheiten!$B$4:$B$63,MATCH($B132,Einheiten!$A$4:$A$63,0))=0,"",INDEX(Einheiten!$B$4:$B$63,MATCH($B132,Einheiten!$A$4:$A$63,0)))),"")</f>
        <v/>
      </c>
      <c r="B132" s="51"/>
      <c r="C132" s="60" t="str">
        <f aca="false">IFERROR(IF($D132="","",INDEX(Übungen!$B$4:$B$17,MATCH($D132,Übungen!$A$4:$A$17,0))),"")</f>
        <v/>
      </c>
      <c r="D132" s="52"/>
      <c r="E132" s="53"/>
      <c r="F132" s="50"/>
      <c r="G132" s="54"/>
      <c r="H132" s="50"/>
      <c r="I132" s="55" t="str">
        <f aca="false">IF(AND(ISNUMBER($F132),ISNUMBER($G132),$E132&lt;&gt;"R"),$F132*$G132,"")</f>
        <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c r="C133" s="60" t="str">
        <f aca="false">IFERROR(IF($D133="","",INDEX(Übungen!$B$4:$B$17,MATCH($D133,Übungen!$A$4:$A$17,0))),"")</f>
        <v/>
      </c>
      <c r="D133" s="52"/>
      <c r="E133" s="53"/>
      <c r="F133" s="50"/>
      <c r="G133" s="54"/>
      <c r="H133" s="50"/>
      <c r="I133" s="55" t="str">
        <f aca="false">IF(AND(ISNUMBER($F133),ISNUMBER($G133),$E133&lt;&gt;"R"),$F133*$G133,"")</f>
        <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c r="C134" s="60" t="str">
        <f aca="false">IFERROR(IF($D134="","",INDEX(Übungen!$B$4:$B$17,MATCH($D134,Übungen!$A$4:$A$17,0))),"")</f>
        <v/>
      </c>
      <c r="D134" s="52"/>
      <c r="E134" s="53"/>
      <c r="F134" s="50"/>
      <c r="G134" s="54"/>
      <c r="H134" s="50"/>
      <c r="I134" s="55" t="str">
        <f aca="false">IF(AND(ISNUMBER($F134),ISNUMBER($G134),$E134&lt;&gt;"R"),$F134*$G134,"")</f>
        <v/>
      </c>
      <c r="J134" s="61" t="str">
        <f aca="false">IF(AND($E134="A",ISNUMBER($F134),ISNUMBER($G134)),$F134*(1+$G134/30),"")</f>
        <v/>
      </c>
      <c r="K134" s="52"/>
      <c r="L134" s="52"/>
    </row>
    <row r="135" customFormat="false" ht="15.75" hidden="false" customHeight="true" outlineLevel="0" collapsed="false">
      <c r="A135" s="59" t="str">
        <f aca="false">IFERROR(IF($B135="","",IF(INDEX(Einheiten!$B$4:$B$63,MATCH($B135,Einheiten!$A$4:$A$63,0))=0,"",INDEX(Einheiten!$B$4:$B$63,MATCH($B135,Einheiten!$A$4:$A$63,0)))),"")</f>
        <v/>
      </c>
      <c r="B135" s="51"/>
      <c r="C135" s="60" t="str">
        <f aca="false">IFERROR(IF($D135="","",INDEX(Übungen!$B$4:$B$17,MATCH($D135,Übungen!$A$4:$A$17,0))),"")</f>
        <v/>
      </c>
      <c r="D135" s="52"/>
      <c r="E135" s="53"/>
      <c r="F135" s="50"/>
      <c r="G135" s="54"/>
      <c r="H135" s="50"/>
      <c r="I135" s="55" t="str">
        <f aca="false">IF(AND(ISNUMBER($F135),ISNUMBER($G135),$E135&lt;&gt;"R"),$F135*$G135,"")</f>
        <v/>
      </c>
      <c r="J135" s="61" t="str">
        <f aca="false">IF(AND($E135="A",ISNUMBER($F135),ISNUMBER($G135)),$F135*(1+$G135/30),"")</f>
        <v/>
      </c>
      <c r="K135" s="52"/>
      <c r="L135" s="52"/>
    </row>
    <row r="136" customFormat="false" ht="15.75" hidden="false" customHeight="true" outlineLevel="0" collapsed="false">
      <c r="A136" s="59" t="str">
        <f aca="false">IFERROR(IF($B136="","",IF(INDEX(Einheiten!$B$4:$B$63,MATCH($B136,Einheiten!$A$4:$A$63,0))=0,"",INDEX(Einheiten!$B$4:$B$63,MATCH($B136,Einheiten!$A$4:$A$63,0)))),"")</f>
        <v/>
      </c>
      <c r="B136" s="51"/>
      <c r="C136" s="60" t="str">
        <f aca="false">IFERROR(IF($D136="","",INDEX(Übungen!$B$4:$B$17,MATCH($D136,Übungen!$A$4:$A$17,0))),"")</f>
        <v/>
      </c>
      <c r="D136" s="52"/>
      <c r="E136" s="53"/>
      <c r="F136" s="50"/>
      <c r="G136" s="54"/>
      <c r="H136" s="50"/>
      <c r="I136" s="55" t="str">
        <f aca="false">IF(AND(ISNUMBER($F136),ISNUMBER($G136),$E136&lt;&gt;"R"),$F136*$G136,"")</f>
        <v/>
      </c>
      <c r="J136" s="61" t="str">
        <f aca="false">IF(AND($E136="A",ISNUMBER($F136),ISNUMBER($G136)),$F136*(1+$G136/30),"")</f>
        <v/>
      </c>
      <c r="K136" s="52"/>
      <c r="L136" s="52"/>
    </row>
    <row r="137" customFormat="false" ht="15.75" hidden="false" customHeight="true" outlineLevel="0" collapsed="false">
      <c r="A137" s="59" t="str">
        <f aca="false">IFERROR(IF($B137="","",IF(INDEX(Einheiten!$B$4:$B$63,MATCH($B137,Einheiten!$A$4:$A$63,0))=0,"",INDEX(Einheiten!$B$4:$B$63,MATCH($B137,Einheiten!$A$4:$A$63,0)))),"")</f>
        <v/>
      </c>
      <c r="B137" s="51"/>
      <c r="C137" s="60" t="str">
        <f aca="false">IFERROR(IF($D137="","",INDEX(Übungen!$B$4:$B$17,MATCH($D137,Übungen!$A$4:$A$17,0))),"")</f>
        <v/>
      </c>
      <c r="D137" s="52"/>
      <c r="E137" s="53"/>
      <c r="F137" s="50"/>
      <c r="G137" s="54"/>
      <c r="H137" s="50"/>
      <c r="I137" s="55" t="str">
        <f aca="false">IF(AND(ISNUMBER($F137),ISNUMBER($G137),$E137&lt;&gt;"R"),$F137*$G137,"")</f>
        <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c r="C138" s="60" t="str">
        <f aca="false">IFERROR(IF($D138="","",INDEX(Übungen!$B$4:$B$17,MATCH($D138,Übungen!$A$4:$A$17,0))),"")</f>
        <v/>
      </c>
      <c r="D138" s="52"/>
      <c r="E138" s="53"/>
      <c r="F138" s="50"/>
      <c r="G138" s="54"/>
      <c r="H138" s="50"/>
      <c r="I138" s="55" t="str">
        <f aca="false">IF(AND(ISNUMBER($F138),ISNUMBER($G138),$E138&lt;&gt;"R"),$F138*$G138,"")</f>
        <v/>
      </c>
      <c r="J138" s="61" t="str">
        <f aca="false">IF(AND($E138="A",ISNUMBER($F138),ISNUMBER($G138)),$F138*(1+$G138/30),"")</f>
        <v/>
      </c>
      <c r="K138" s="52"/>
      <c r="L138" s="52"/>
    </row>
    <row r="139" customFormat="false" ht="15.75" hidden="false" customHeight="true" outlineLevel="0" collapsed="false">
      <c r="A139" s="59" t="str">
        <f aca="false">IFERROR(IF($B139="","",IF(INDEX(Einheiten!$B$4:$B$63,MATCH($B139,Einheiten!$A$4:$A$63,0))=0,"",INDEX(Einheiten!$B$4:$B$63,MATCH($B139,Einheiten!$A$4:$A$63,0)))),"")</f>
        <v/>
      </c>
      <c r="B139" s="51"/>
      <c r="C139" s="60" t="str">
        <f aca="false">IFERROR(IF($D139="","",INDEX(Übungen!$B$4:$B$17,MATCH($D139,Übungen!$A$4:$A$17,0))),"")</f>
        <v/>
      </c>
      <c r="D139" s="52"/>
      <c r="E139" s="53"/>
      <c r="F139" s="50"/>
      <c r="G139" s="54"/>
      <c r="H139" s="50"/>
      <c r="I139" s="55" t="str">
        <f aca="false">IF(AND(ISNUMBER($F139),ISNUMBER($G139),$E139&lt;&gt;"R"),$F139*$G139,"")</f>
        <v/>
      </c>
      <c r="J139" s="61" t="str">
        <f aca="false">IF(AND($E139="A",ISNUMBER($F139),ISNUMBER($G139)),$F139*(1+$G139/30),"")</f>
        <v/>
      </c>
      <c r="K139" s="52"/>
      <c r="L139" s="52"/>
    </row>
    <row r="140" customFormat="false" ht="15.75" hidden="false" customHeight="true" outlineLevel="0" collapsed="false">
      <c r="A140" s="59" t="str">
        <f aca="false">IFERROR(IF($B140="","",IF(INDEX(Einheiten!$B$4:$B$63,MATCH($B140,Einheiten!$A$4:$A$63,0))=0,"",INDEX(Einheiten!$B$4:$B$63,MATCH($B140,Einheiten!$A$4:$A$63,0)))),"")</f>
        <v/>
      </c>
      <c r="B140" s="51"/>
      <c r="C140" s="60" t="str">
        <f aca="false">IFERROR(IF($D140="","",INDEX(Übungen!$B$4:$B$17,MATCH($D140,Übungen!$A$4:$A$17,0))),"")</f>
        <v/>
      </c>
      <c r="D140" s="52"/>
      <c r="E140" s="53"/>
      <c r="F140" s="50"/>
      <c r="G140" s="54"/>
      <c r="H140" s="50"/>
      <c r="I140" s="55" t="str">
        <f aca="false">IF(AND(ISNUMBER($F140),ISNUMBER($G140),$E140&lt;&gt;"R"),$F140*$G140,"")</f>
        <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c r="C141" s="60" t="str">
        <f aca="false">IFERROR(IF($D141="","",INDEX(Übungen!$B$4:$B$17,MATCH($D141,Übungen!$A$4:$A$17,0))),"")</f>
        <v/>
      </c>
      <c r="D141" s="52"/>
      <c r="E141" s="53"/>
      <c r="F141" s="50"/>
      <c r="G141" s="54"/>
      <c r="H141" s="50"/>
      <c r="I141" s="55" t="str">
        <f aca="false">IF(AND(ISNUMBER($F141),ISNUMBER($G141),$E141&lt;&gt;"R"),$F141*$G141,"")</f>
        <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c r="C142" s="60" t="str">
        <f aca="false">IFERROR(IF($D142="","",INDEX(Übungen!$B$4:$B$17,MATCH($D142,Übungen!$A$4:$A$17,0))),"")</f>
        <v/>
      </c>
      <c r="D142" s="52"/>
      <c r="E142" s="53"/>
      <c r="F142" s="50"/>
      <c r="G142" s="54"/>
      <c r="H142" s="50"/>
      <c r="I142" s="55" t="str">
        <f aca="false">IF(AND(ISNUMBER($F142),ISNUMBER($G142),$E142&lt;&gt;"R"),$F142*$G142,"")</f>
        <v/>
      </c>
      <c r="J142" s="61" t="str">
        <f aca="false">IF(AND($E142="A",ISNUMBER($F142),ISNUMBER($G142)),$F142*(1+$G142/30),"")</f>
        <v/>
      </c>
      <c r="K142" s="52"/>
      <c r="L142" s="52"/>
    </row>
    <row r="143" customFormat="false" ht="15.75" hidden="false" customHeight="true" outlineLevel="0" collapsed="false">
      <c r="A143" s="59" t="str">
        <f aca="false">IFERROR(IF($B143="","",IF(INDEX(Einheiten!$B$4:$B$63,MATCH($B143,Einheiten!$A$4:$A$63,0))=0,"",INDEX(Einheiten!$B$4:$B$63,MATCH($B143,Einheiten!$A$4:$A$63,0)))),"")</f>
        <v/>
      </c>
      <c r="B143" s="51"/>
      <c r="C143" s="60" t="str">
        <f aca="false">IFERROR(IF($D143="","",INDEX(Übungen!$B$4:$B$17,MATCH($D143,Übungen!$A$4:$A$17,0))),"")</f>
        <v/>
      </c>
      <c r="D143" s="52"/>
      <c r="E143" s="53"/>
      <c r="F143" s="50"/>
      <c r="G143" s="54"/>
      <c r="H143" s="50"/>
      <c r="I143" s="55" t="str">
        <f aca="false">IF(AND(ISNUMBER($F143),ISNUMBER($G143),$E143&lt;&gt;"R"),$F143*$G143,"")</f>
        <v/>
      </c>
      <c r="J143" s="61" t="str">
        <f aca="false">IF(AND($E143="A",ISNUMBER($F143),ISNUMBER($G143)),$F143*(1+$G143/30),"")</f>
        <v/>
      </c>
      <c r="K143" s="52"/>
      <c r="L143" s="52"/>
    </row>
    <row r="144" customFormat="false" ht="15.75" hidden="false" customHeight="true" outlineLevel="0" collapsed="false">
      <c r="A144" s="59" t="str">
        <f aca="false">IFERROR(IF($B144="","",IF(INDEX(Einheiten!$B$4:$B$63,MATCH($B144,Einheiten!$A$4:$A$63,0))=0,"",INDEX(Einheiten!$B$4:$B$63,MATCH($B144,Einheiten!$A$4:$A$63,0)))),"")</f>
        <v/>
      </c>
      <c r="B144" s="51"/>
      <c r="C144" s="60" t="str">
        <f aca="false">IFERROR(IF($D144="","",INDEX(Übungen!$B$4:$B$17,MATCH($D144,Übungen!$A$4:$A$17,0))),"")</f>
        <v/>
      </c>
      <c r="D144" s="52"/>
      <c r="E144" s="53"/>
      <c r="F144" s="50"/>
      <c r="G144" s="54"/>
      <c r="H144" s="50"/>
      <c r="I144" s="55" t="str">
        <f aca="false">IF(AND(ISNUMBER($F144),ISNUMBER($G144),$E144&lt;&gt;"R"),$F144*$G144,"")</f>
        <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c r="C145" s="60" t="str">
        <f aca="false">IFERROR(IF($D145="","",INDEX(Übungen!$B$4:$B$17,MATCH($D145,Übungen!$A$4:$A$17,0))),"")</f>
        <v/>
      </c>
      <c r="D145" s="52"/>
      <c r="E145" s="53"/>
      <c r="F145" s="50"/>
      <c r="G145" s="54"/>
      <c r="H145" s="50"/>
      <c r="I145" s="55" t="str">
        <f aca="false">IF(AND(ISNUMBER($F145),ISNUMBER($G145),$E145&lt;&gt;"R"),$F145*$G145,"")</f>
        <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c r="C146" s="60" t="str">
        <f aca="false">IFERROR(IF($D146="","",INDEX(Übungen!$B$4:$B$17,MATCH($D146,Übungen!$A$4:$A$17,0))),"")</f>
        <v/>
      </c>
      <c r="D146" s="52"/>
      <c r="E146" s="53"/>
      <c r="F146" s="50"/>
      <c r="G146" s="54"/>
      <c r="H146" s="50"/>
      <c r="I146" s="55" t="str">
        <f aca="false">IF(AND(ISNUMBER($F146),ISNUMBER($G146),$E146&lt;&gt;"R"),$F146*$G146,"")</f>
        <v/>
      </c>
      <c r="J146" s="61" t="str">
        <f aca="false">IF(AND($E146="A",ISNUMBER($F146),ISNUMBER($G146)),$F146*(1+$G146/30),"")</f>
        <v/>
      </c>
      <c r="K146" s="52"/>
      <c r="L146" s="52"/>
    </row>
    <row r="147" customFormat="false" ht="15.75" hidden="false" customHeight="true" outlineLevel="0" collapsed="false">
      <c r="A147" s="59" t="str">
        <f aca="false">IFERROR(IF($B147="","",IF(INDEX(Einheiten!$B$4:$B$63,MATCH($B147,Einheiten!$A$4:$A$63,0))=0,"",INDEX(Einheiten!$B$4:$B$63,MATCH($B147,Einheiten!$A$4:$A$63,0)))),"")</f>
        <v/>
      </c>
      <c r="B147" s="51"/>
      <c r="C147" s="60" t="str">
        <f aca="false">IFERROR(IF($D147="","",INDEX(Übungen!$B$4:$B$17,MATCH($D147,Übungen!$A$4:$A$17,0))),"")</f>
        <v/>
      </c>
      <c r="D147" s="52"/>
      <c r="E147" s="53"/>
      <c r="F147" s="50"/>
      <c r="G147" s="54"/>
      <c r="H147" s="50"/>
      <c r="I147" s="55" t="str">
        <f aca="false">IF(AND(ISNUMBER($F147),ISNUMBER($G147),$E147&lt;&gt;"R"),$F147*$G147,"")</f>
        <v/>
      </c>
      <c r="J147" s="61" t="str">
        <f aca="false">IF(AND($E147="A",ISNUMBER($F147),ISNUMBER($G147)),$F147*(1+$G147/30),"")</f>
        <v/>
      </c>
      <c r="K147" s="52"/>
      <c r="L147" s="52"/>
    </row>
    <row r="148" customFormat="false" ht="15.75" hidden="false" customHeight="true" outlineLevel="0" collapsed="false">
      <c r="A148" s="59" t="str">
        <f aca="false">IFERROR(IF($B148="","",IF(INDEX(Einheiten!$B$4:$B$63,MATCH($B148,Einheiten!$A$4:$A$63,0))=0,"",INDEX(Einheiten!$B$4:$B$63,MATCH($B148,Einheiten!$A$4:$A$63,0)))),"")</f>
        <v/>
      </c>
      <c r="B148" s="51"/>
      <c r="C148" s="60" t="str">
        <f aca="false">IFERROR(IF($D148="","",INDEX(Übungen!$B$4:$B$17,MATCH($D148,Übungen!$A$4:$A$17,0))),"")</f>
        <v/>
      </c>
      <c r="D148" s="52"/>
      <c r="E148" s="53"/>
      <c r="F148" s="50"/>
      <c r="G148" s="54"/>
      <c r="H148" s="50"/>
      <c r="I148" s="55" t="str">
        <f aca="false">IF(AND(ISNUMBER($F148),ISNUMBER($G148),$E148&lt;&gt;"R"),$F148*$G148,"")</f>
        <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c r="C149" s="60" t="str">
        <f aca="false">IFERROR(IF($D149="","",INDEX(Übungen!$B$4:$B$17,MATCH($D149,Übungen!$A$4:$A$17,0))),"")</f>
        <v/>
      </c>
      <c r="D149" s="52"/>
      <c r="E149" s="53"/>
      <c r="F149" s="50"/>
      <c r="G149" s="54"/>
      <c r="H149" s="50"/>
      <c r="I149" s="55" t="str">
        <f aca="false">IF(AND(ISNUMBER($F149),ISNUMBER($G149),$E149&lt;&gt;"R"),$F149*$G149,"")</f>
        <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c r="C150" s="60" t="str">
        <f aca="false">IFERROR(IF($D150="","",INDEX(Übungen!$B$4:$B$17,MATCH($D150,Übungen!$A$4:$A$17,0))),"")</f>
        <v/>
      </c>
      <c r="D150" s="52"/>
      <c r="E150" s="53"/>
      <c r="F150" s="50"/>
      <c r="G150" s="54"/>
      <c r="H150" s="50"/>
      <c r="I150" s="55" t="str">
        <f aca="false">IF(AND(ISNUMBER($F150),ISNUMBER($G150),$E150&lt;&gt;"R"),$F150*$G150,"")</f>
        <v/>
      </c>
      <c r="J150" s="61" t="str">
        <f aca="false">IF(AND($E150="A",ISNUMBER($F150),ISNUMBER($G150)),$F150*(1+$G150/30),"")</f>
        <v/>
      </c>
      <c r="K150" s="52"/>
      <c r="L150" s="52"/>
    </row>
    <row r="151" customFormat="false" ht="15.75" hidden="false" customHeight="true" outlineLevel="0" collapsed="false">
      <c r="A151" s="59" t="str">
        <f aca="false">IFERROR(IF($B151="","",IF(INDEX(Einheiten!$B$4:$B$63,MATCH($B151,Einheiten!$A$4:$A$63,0))=0,"",INDEX(Einheiten!$B$4:$B$63,MATCH($B151,Einheiten!$A$4:$A$63,0)))),"")</f>
        <v/>
      </c>
      <c r="B151" s="51"/>
      <c r="C151" s="60" t="str">
        <f aca="false">IFERROR(IF($D151="","",INDEX(Übungen!$B$4:$B$17,MATCH($D151,Übungen!$A$4:$A$17,0))),"")</f>
        <v/>
      </c>
      <c r="D151" s="52"/>
      <c r="E151" s="53"/>
      <c r="F151" s="50"/>
      <c r="G151" s="54"/>
      <c r="H151" s="50"/>
      <c r="I151" s="55" t="str">
        <f aca="false">IF(AND(ISNUMBER($F151),ISNUMBER($G151),$E151&lt;&gt;"R"),$F151*$G151,"")</f>
        <v/>
      </c>
      <c r="J151" s="61" t="str">
        <f aca="false">IF(AND($E151="A",ISNUMBER($F151),ISNUMBER($G151)),$F151*(1+$G151/30),"")</f>
        <v/>
      </c>
      <c r="K151" s="52"/>
      <c r="L151" s="52"/>
    </row>
    <row r="152" customFormat="false" ht="15.75" hidden="false" customHeight="true" outlineLevel="0" collapsed="false">
      <c r="A152" s="59" t="str">
        <f aca="false">IFERROR(IF($B152="","",IF(INDEX(Einheiten!$B$4:$B$63,MATCH($B152,Einheiten!$A$4:$A$63,0))=0,"",INDEX(Einheiten!$B$4:$B$63,MATCH($B152,Einheiten!$A$4:$A$63,0)))),"")</f>
        <v/>
      </c>
      <c r="B152" s="51"/>
      <c r="C152" s="60" t="str">
        <f aca="false">IFERROR(IF($D152="","",INDEX(Übungen!$B$4:$B$17,MATCH($D152,Übungen!$A$4:$A$17,0))),"")</f>
        <v/>
      </c>
      <c r="D152" s="52"/>
      <c r="E152" s="53"/>
      <c r="F152" s="50"/>
      <c r="G152" s="54"/>
      <c r="H152" s="50"/>
      <c r="I152" s="55" t="str">
        <f aca="false">IF(AND(ISNUMBER($F152),ISNUMBER($G152),$E152&lt;&gt;"R"),$F152*$G152,"")</f>
        <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c r="C153" s="60" t="str">
        <f aca="false">IFERROR(IF($D153="","",INDEX(Übungen!$B$4:$B$17,MATCH($D153,Übungen!$A$4:$A$17,0))),"")</f>
        <v/>
      </c>
      <c r="D153" s="52"/>
      <c r="E153" s="53"/>
      <c r="F153" s="50"/>
      <c r="G153" s="54"/>
      <c r="H153" s="50"/>
      <c r="I153" s="55" t="str">
        <f aca="false">IF(AND(ISNUMBER($F153),ISNUMBER($G153),$E153&lt;&gt;"R"),$F153*$G153,"")</f>
        <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c r="C154" s="60" t="str">
        <f aca="false">IFERROR(IF($D154="","",INDEX(Übungen!$B$4:$B$17,MATCH($D154,Übungen!$A$4:$A$17,0))),"")</f>
        <v/>
      </c>
      <c r="D154" s="52"/>
      <c r="E154" s="53"/>
      <c r="F154" s="50"/>
      <c r="G154" s="54"/>
      <c r="H154" s="50"/>
      <c r="I154" s="55" t="str">
        <f aca="false">IF(AND(ISNUMBER($F154),ISNUMBER($G154),$E154&lt;&gt;"R"),$F154*$G154,"")</f>
        <v/>
      </c>
      <c r="J154" s="61" t="str">
        <f aca="false">IF(AND($E154="A",ISNUMBER($F154),ISNUMBER($G154)),$F154*(1+$G154/30),"")</f>
        <v/>
      </c>
      <c r="K154" s="52"/>
      <c r="L154" s="52"/>
    </row>
    <row r="155" customFormat="false" ht="15.75" hidden="false" customHeight="true" outlineLevel="0" collapsed="false">
      <c r="A155" s="59" t="str">
        <f aca="false">IFERROR(IF($B155="","",IF(INDEX(Einheiten!$B$4:$B$63,MATCH($B155,Einheiten!$A$4:$A$63,0))=0,"",INDEX(Einheiten!$B$4:$B$63,MATCH($B155,Einheiten!$A$4:$A$63,0)))),"")</f>
        <v/>
      </c>
      <c r="B155" s="51"/>
      <c r="C155" s="60" t="str">
        <f aca="false">IFERROR(IF($D155="","",INDEX(Übungen!$B$4:$B$17,MATCH($D155,Übungen!$A$4:$A$17,0))),"")</f>
        <v/>
      </c>
      <c r="D155" s="52"/>
      <c r="E155" s="53"/>
      <c r="F155" s="50"/>
      <c r="G155" s="54"/>
      <c r="H155" s="50"/>
      <c r="I155" s="55" t="str">
        <f aca="false">IF(AND(ISNUMBER($F155),ISNUMBER($G155),$E155&lt;&gt;"R"),$F155*$G155,"")</f>
        <v/>
      </c>
      <c r="J155" s="61" t="str">
        <f aca="false">IF(AND($E155="A",ISNUMBER($F155),ISNUMBER($G155)),$F155*(1+$G155/30),"")</f>
        <v/>
      </c>
      <c r="K155" s="52"/>
      <c r="L155" s="52"/>
    </row>
    <row r="156" customFormat="false" ht="15.75" hidden="false" customHeight="true" outlineLevel="0" collapsed="false">
      <c r="A156" s="59" t="str">
        <f aca="false">IFERROR(IF($B156="","",IF(INDEX(Einheiten!$B$4:$B$63,MATCH($B156,Einheiten!$A$4:$A$63,0))=0,"",INDEX(Einheiten!$B$4:$B$63,MATCH($B156,Einheiten!$A$4:$A$63,0)))),"")</f>
        <v/>
      </c>
      <c r="B156" s="51"/>
      <c r="C156" s="60" t="str">
        <f aca="false">IFERROR(IF($D156="","",INDEX(Übungen!$B$4:$B$17,MATCH($D156,Übungen!$A$4:$A$17,0))),"")</f>
        <v/>
      </c>
      <c r="D156" s="52"/>
      <c r="E156" s="53"/>
      <c r="F156" s="50"/>
      <c r="G156" s="54"/>
      <c r="H156" s="50"/>
      <c r="I156" s="55" t="str">
        <f aca="false">IF(AND(ISNUMBER($F156),ISNUMBER($G156),$E156&lt;&gt;"R"),$F156*$G156,"")</f>
        <v/>
      </c>
      <c r="J156" s="61" t="str">
        <f aca="false">IF(AND($E156="A",ISNUMBER($F156),ISNUMBER($G156)),$F156*(1+$G156/30),"")</f>
        <v/>
      </c>
      <c r="K156" s="52"/>
      <c r="L156" s="52"/>
    </row>
    <row r="157" customFormat="false" ht="15.75" hidden="false" customHeight="true" outlineLevel="0" collapsed="false">
      <c r="A157" s="59" t="str">
        <f aca="false">IFERROR(IF($B157="","",IF(INDEX(Einheiten!$B$4:$B$63,MATCH($B157,Einheiten!$A$4:$A$63,0))=0,"",INDEX(Einheiten!$B$4:$B$63,MATCH($B157,Einheiten!$A$4:$A$63,0)))),"")</f>
        <v/>
      </c>
      <c r="B157" s="51"/>
      <c r="C157" s="60" t="str">
        <f aca="false">IFERROR(IF($D157="","",INDEX(Übungen!$B$4:$B$17,MATCH($D157,Übungen!$A$4:$A$17,0))),"")</f>
        <v/>
      </c>
      <c r="D157" s="52"/>
      <c r="E157" s="53"/>
      <c r="F157" s="50"/>
      <c r="G157" s="54"/>
      <c r="H157" s="50"/>
      <c r="I157" s="55" t="str">
        <f aca="false">IF(AND(ISNUMBER($F157),ISNUMBER($G157),$E157&lt;&gt;"R"),$F157*$G157,"")</f>
        <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c r="C158" s="60" t="str">
        <f aca="false">IFERROR(IF($D158="","",INDEX(Übungen!$B$4:$B$17,MATCH($D158,Übungen!$A$4:$A$17,0))),"")</f>
        <v/>
      </c>
      <c r="D158" s="52"/>
      <c r="E158" s="53"/>
      <c r="F158" s="50"/>
      <c r="G158" s="54"/>
      <c r="H158" s="50"/>
      <c r="I158" s="55" t="str">
        <f aca="false">IF(AND(ISNUMBER($F158),ISNUMBER($G158),$E158&lt;&gt;"R"),$F158*$G158,"")</f>
        <v/>
      </c>
      <c r="J158" s="61" t="str">
        <f aca="false">IF(AND($E158="A",ISNUMBER($F158),ISNUMBER($G158)),$F158*(1+$G158/30),"")</f>
        <v/>
      </c>
      <c r="K158" s="52"/>
      <c r="L158" s="52"/>
    </row>
    <row r="159" customFormat="false" ht="15.75" hidden="false" customHeight="true" outlineLevel="0" collapsed="false">
      <c r="A159" s="59" t="str">
        <f aca="false">IFERROR(IF($B159="","",IF(INDEX(Einheiten!$B$4:$B$63,MATCH($B159,Einheiten!$A$4:$A$63,0))=0,"",INDEX(Einheiten!$B$4:$B$63,MATCH($B159,Einheiten!$A$4:$A$63,0)))),"")</f>
        <v/>
      </c>
      <c r="B159" s="51"/>
      <c r="C159" s="60" t="str">
        <f aca="false">IFERROR(IF($D159="","",INDEX(Übungen!$B$4:$B$17,MATCH($D159,Übungen!$A$4:$A$17,0))),"")</f>
        <v/>
      </c>
      <c r="D159" s="52"/>
      <c r="E159" s="53"/>
      <c r="F159" s="50"/>
      <c r="G159" s="54"/>
      <c r="H159" s="50"/>
      <c r="I159" s="55" t="str">
        <f aca="false">IF(AND(ISNUMBER($F159),ISNUMBER($G159),$E159&lt;&gt;"R"),$F159*$G159,"")</f>
        <v/>
      </c>
      <c r="J159" s="61" t="str">
        <f aca="false">IF(AND($E159="A",ISNUMBER($F159),ISNUMBER($G159)),$F159*(1+$G159/30),"")</f>
        <v/>
      </c>
      <c r="K159" s="52"/>
      <c r="L159" s="52"/>
    </row>
    <row r="160" customFormat="false" ht="15.75" hidden="false" customHeight="true" outlineLevel="0" collapsed="false">
      <c r="A160" s="59" t="str">
        <f aca="false">IFERROR(IF($B160="","",IF(INDEX(Einheiten!$B$4:$B$63,MATCH($B160,Einheiten!$A$4:$A$63,0))=0,"",INDEX(Einheiten!$B$4:$B$63,MATCH($B160,Einheiten!$A$4:$A$63,0)))),"")</f>
        <v/>
      </c>
      <c r="B160" s="51"/>
      <c r="C160" s="60" t="str">
        <f aca="false">IFERROR(IF($D160="","",INDEX(Übungen!$B$4:$B$17,MATCH($D160,Übungen!$A$4:$A$17,0))),"")</f>
        <v/>
      </c>
      <c r="D160" s="52"/>
      <c r="E160" s="53"/>
      <c r="F160" s="50"/>
      <c r="G160" s="54"/>
      <c r="H160" s="50"/>
      <c r="I160" s="55" t="str">
        <f aca="false">IF(AND(ISNUMBER($F160),ISNUMBER($G160),$E160&lt;&gt;"R"),$F160*$G160,"")</f>
        <v/>
      </c>
      <c r="J160" s="61" t="str">
        <f aca="false">IF(AND($E160="A",ISNUMBER($F160),ISNUMBER($G160)),$F160*(1+$G160/30),"")</f>
        <v/>
      </c>
      <c r="K160" s="52"/>
      <c r="L160" s="52"/>
    </row>
    <row r="161" customFormat="false" ht="15.75" hidden="false" customHeight="true" outlineLevel="0" collapsed="false">
      <c r="A161" s="59" t="str">
        <f aca="false">IFERROR(IF($B161="","",IF(INDEX(Einheiten!$B$4:$B$63,MATCH($B161,Einheiten!$A$4:$A$63,0))=0,"",INDEX(Einheiten!$B$4:$B$63,MATCH($B161,Einheiten!$A$4:$A$63,0)))),"")</f>
        <v/>
      </c>
      <c r="B161" s="51"/>
      <c r="C161" s="60" t="str">
        <f aca="false">IFERROR(IF($D161="","",INDEX(Übungen!$B$4:$B$17,MATCH($D161,Übungen!$A$4:$A$17,0))),"")</f>
        <v/>
      </c>
      <c r="D161" s="52"/>
      <c r="E161" s="53"/>
      <c r="F161" s="50"/>
      <c r="G161" s="54"/>
      <c r="H161" s="50"/>
      <c r="I161" s="55" t="str">
        <f aca="false">IF(AND(ISNUMBER($F161),ISNUMBER($G161),$E161&lt;&gt;"R"),$F161*$G161,"")</f>
        <v/>
      </c>
      <c r="J161" s="61" t="str">
        <f aca="false">IF(AND($E161="A",ISNUMBER($F161),ISNUMBER($G161)),$F161*(1+$G161/30),"")</f>
        <v/>
      </c>
      <c r="K161" s="52"/>
      <c r="L161" s="52"/>
    </row>
    <row r="162" customFormat="false" ht="15.75" hidden="false" customHeight="true" outlineLevel="0" collapsed="false">
      <c r="A162" s="59" t="str">
        <f aca="false">IFERROR(IF($B162="","",IF(INDEX(Einheiten!$B$4:$B$63,MATCH($B162,Einheiten!$A$4:$A$63,0))=0,"",INDEX(Einheiten!$B$4:$B$63,MATCH($B162,Einheiten!$A$4:$A$63,0)))),"")</f>
        <v/>
      </c>
      <c r="B162" s="51"/>
      <c r="C162" s="60" t="str">
        <f aca="false">IFERROR(IF($D162="","",INDEX(Übungen!$B$4:$B$17,MATCH($D162,Übungen!$A$4:$A$17,0))),"")</f>
        <v/>
      </c>
      <c r="D162" s="52"/>
      <c r="E162" s="53"/>
      <c r="F162" s="50"/>
      <c r="G162" s="54"/>
      <c r="H162" s="50"/>
      <c r="I162" s="55" t="str">
        <f aca="false">IF(AND(ISNUMBER($F162),ISNUMBER($G162),$E162&lt;&gt;"R"),$F162*$G162,"")</f>
        <v/>
      </c>
      <c r="J162" s="61" t="str">
        <f aca="false">IF(AND($E162="A",ISNUMBER($F162),ISNUMBER($G162)),$F162*(1+$G162/30),"")</f>
        <v/>
      </c>
      <c r="K162" s="52"/>
      <c r="L162" s="52"/>
    </row>
    <row r="163" customFormat="false" ht="15.75" hidden="false" customHeight="true" outlineLevel="0" collapsed="false">
      <c r="A163" s="59" t="str">
        <f aca="false">IFERROR(IF($B163="","",IF(INDEX(Einheiten!$B$4:$B$63,MATCH($B163,Einheiten!$A$4:$A$63,0))=0,"",INDEX(Einheiten!$B$4:$B$63,MATCH($B163,Einheiten!$A$4:$A$63,0)))),"")</f>
        <v/>
      </c>
      <c r="B163" s="51"/>
      <c r="C163" s="60" t="str">
        <f aca="false">IFERROR(IF($D163="","",INDEX(Übungen!$B$4:$B$17,MATCH($D163,Übungen!$A$4:$A$17,0))),"")</f>
        <v/>
      </c>
      <c r="D163" s="52"/>
      <c r="E163" s="53"/>
      <c r="F163" s="50"/>
      <c r="G163" s="54"/>
      <c r="H163" s="50"/>
      <c r="I163" s="55" t="str">
        <f aca="false">IF(AND(ISNUMBER($F163),ISNUMBER($G163),$E163&lt;&gt;"R"),$F163*$G163,"")</f>
        <v/>
      </c>
      <c r="J163" s="61" t="str">
        <f aca="false">IF(AND($E163="A",ISNUMBER($F163),ISNUMBER($G163)),$F163*(1+$G163/30),"")</f>
        <v/>
      </c>
      <c r="K163" s="52"/>
      <c r="L163" s="52"/>
    </row>
    <row r="164" customFormat="false" ht="15.75" hidden="false" customHeight="true" outlineLevel="0" collapsed="false">
      <c r="A164" s="59" t="str">
        <f aca="false">IFERROR(IF($B164="","",IF(INDEX(Einheiten!$B$4:$B$63,MATCH($B164,Einheiten!$A$4:$A$63,0))=0,"",INDEX(Einheiten!$B$4:$B$63,MATCH($B164,Einheiten!$A$4:$A$63,0)))),"")</f>
        <v/>
      </c>
      <c r="B164" s="51"/>
      <c r="C164" s="60" t="str">
        <f aca="false">IFERROR(IF($D164="","",INDEX(Übungen!$B$4:$B$17,MATCH($D164,Übungen!$A$4:$A$17,0))),"")</f>
        <v/>
      </c>
      <c r="D164" s="52"/>
      <c r="E164" s="53"/>
      <c r="F164" s="50"/>
      <c r="G164" s="54"/>
      <c r="H164" s="50"/>
      <c r="I164" s="55" t="str">
        <f aca="false">IF(AND(ISNUMBER($F164),ISNUMBER($G164),$E164&lt;&gt;"R"),$F164*$G164,"")</f>
        <v/>
      </c>
      <c r="J164" s="61" t="str">
        <f aca="false">IF(AND($E164="A",ISNUMBER($F164),ISNUMBER($G164)),$F164*(1+$G164/30),"")</f>
        <v/>
      </c>
      <c r="K164" s="52"/>
      <c r="L164" s="52"/>
    </row>
    <row r="165" customFormat="false" ht="15.75" hidden="false" customHeight="true" outlineLevel="0" collapsed="false">
      <c r="A165" s="59" t="str">
        <f aca="false">IFERROR(IF($B165="","",IF(INDEX(Einheiten!$B$4:$B$63,MATCH($B165,Einheiten!$A$4:$A$63,0))=0,"",INDEX(Einheiten!$B$4:$B$63,MATCH($B165,Einheiten!$A$4:$A$63,0)))),"")</f>
        <v/>
      </c>
      <c r="B165" s="51"/>
      <c r="C165" s="60" t="str">
        <f aca="false">IFERROR(IF($D165="","",INDEX(Übungen!$B$4:$B$17,MATCH($D165,Übungen!$A$4:$A$17,0))),"")</f>
        <v/>
      </c>
      <c r="D165" s="52"/>
      <c r="E165" s="53"/>
      <c r="F165" s="50"/>
      <c r="G165" s="54"/>
      <c r="H165" s="50"/>
      <c r="I165" s="55" t="str">
        <f aca="false">IF(AND(ISNUMBER($F165),ISNUMBER($G165),$E165&lt;&gt;"R"),$F165*$G165,"")</f>
        <v/>
      </c>
      <c r="J165" s="61" t="str">
        <f aca="false">IF(AND($E165="A",ISNUMBER($F165),ISNUMBER($G165)),$F165*(1+$G165/30),"")</f>
        <v/>
      </c>
      <c r="K165" s="52"/>
      <c r="L165" s="52"/>
    </row>
    <row r="166" customFormat="false" ht="15.75" hidden="false" customHeight="true" outlineLevel="0" collapsed="false">
      <c r="A166" s="59" t="str">
        <f aca="false">IFERROR(IF($B166="","",IF(INDEX(Einheiten!$B$4:$B$63,MATCH($B166,Einheiten!$A$4:$A$63,0))=0,"",INDEX(Einheiten!$B$4:$B$63,MATCH($B166,Einheiten!$A$4:$A$63,0)))),"")</f>
        <v/>
      </c>
      <c r="B166" s="51"/>
      <c r="C166" s="60" t="str">
        <f aca="false">IFERROR(IF($D166="","",INDEX(Übungen!$B$4:$B$17,MATCH($D166,Übungen!$A$4:$A$17,0))),"")</f>
        <v/>
      </c>
      <c r="D166" s="52"/>
      <c r="E166" s="53"/>
      <c r="F166" s="50"/>
      <c r="G166" s="54"/>
      <c r="H166" s="50"/>
      <c r="I166" s="55" t="str">
        <f aca="false">IF(AND(ISNUMBER($F166),ISNUMBER($G166),$E166&lt;&gt;"R"),$F166*$G166,"")</f>
        <v/>
      </c>
      <c r="J166" s="61" t="str">
        <f aca="false">IF(AND($E166="A",ISNUMBER($F166),ISNUMBER($G166)),$F166*(1+$G166/30),"")</f>
        <v/>
      </c>
      <c r="K166" s="52"/>
      <c r="L166" s="52"/>
    </row>
    <row r="167" customFormat="false" ht="15.75" hidden="false" customHeight="true" outlineLevel="0" collapsed="false">
      <c r="A167" s="59" t="str">
        <f aca="false">IFERROR(IF($B167="","",IF(INDEX(Einheiten!$B$4:$B$63,MATCH($B167,Einheiten!$A$4:$A$63,0))=0,"",INDEX(Einheiten!$B$4:$B$63,MATCH($B167,Einheiten!$A$4:$A$63,0)))),"")</f>
        <v/>
      </c>
      <c r="B167" s="51"/>
      <c r="C167" s="60" t="str">
        <f aca="false">IFERROR(IF($D167="","",INDEX(Übungen!$B$4:$B$17,MATCH($D167,Übungen!$A$4:$A$17,0))),"")</f>
        <v/>
      </c>
      <c r="D167" s="52"/>
      <c r="E167" s="53"/>
      <c r="F167" s="50"/>
      <c r="G167" s="54"/>
      <c r="H167" s="50"/>
      <c r="I167" s="55" t="str">
        <f aca="false">IF(AND(ISNUMBER($F167),ISNUMBER($G167),$E167&lt;&gt;"R"),$F167*$G167,"")</f>
        <v/>
      </c>
      <c r="J167" s="61" t="str">
        <f aca="false">IF(AND($E167="A",ISNUMBER($F167),ISNUMBER($G167)),$F167*(1+$G167/30),"")</f>
        <v/>
      </c>
      <c r="K167" s="52"/>
      <c r="L167" s="52"/>
    </row>
    <row r="168" customFormat="false" ht="15.75" hidden="false" customHeight="true" outlineLevel="0" collapsed="false">
      <c r="A168" s="59" t="str">
        <f aca="false">IFERROR(IF($B168="","",IF(INDEX(Einheiten!$B$4:$B$63,MATCH($B168,Einheiten!$A$4:$A$63,0))=0,"",INDEX(Einheiten!$B$4:$B$63,MATCH($B168,Einheiten!$A$4:$A$63,0)))),"")</f>
        <v/>
      </c>
      <c r="B168" s="51"/>
      <c r="C168" s="60" t="str">
        <f aca="false">IFERROR(IF($D168="","",INDEX(Übungen!$B$4:$B$17,MATCH($D168,Übungen!$A$4:$A$17,0))),"")</f>
        <v/>
      </c>
      <c r="D168" s="52"/>
      <c r="E168" s="53"/>
      <c r="F168" s="50"/>
      <c r="G168" s="54"/>
      <c r="H168" s="50"/>
      <c r="I168" s="55" t="str">
        <f aca="false">IF(AND(ISNUMBER($F168),ISNUMBER($G168),$E168&lt;&gt;"R"),$F168*$G168,"")</f>
        <v/>
      </c>
      <c r="J168" s="61" t="str">
        <f aca="false">IF(AND($E168="A",ISNUMBER($F168),ISNUMBER($G168)),$F168*(1+$G168/30),"")</f>
        <v/>
      </c>
      <c r="K168" s="52"/>
      <c r="L168" s="52"/>
    </row>
    <row r="169" customFormat="false" ht="15.75" hidden="false" customHeight="true" outlineLevel="0" collapsed="false">
      <c r="A169" s="59" t="str">
        <f aca="false">IFERROR(IF($B169="","",IF(INDEX(Einheiten!$B$4:$B$63,MATCH($B169,Einheiten!$A$4:$A$63,0))=0,"",INDEX(Einheiten!$B$4:$B$63,MATCH($B169,Einheiten!$A$4:$A$63,0)))),"")</f>
        <v/>
      </c>
      <c r="B169" s="51"/>
      <c r="C169" s="60" t="str">
        <f aca="false">IFERROR(IF($D169="","",INDEX(Übungen!$B$4:$B$17,MATCH($D169,Übungen!$A$4:$A$17,0))),"")</f>
        <v/>
      </c>
      <c r="D169" s="52"/>
      <c r="E169" s="53"/>
      <c r="F169" s="50"/>
      <c r="G169" s="54"/>
      <c r="H169" s="50"/>
      <c r="I169" s="55" t="str">
        <f aca="false">IF(AND(ISNUMBER($F169),ISNUMBER($G169),$E169&lt;&gt;"R"),$F169*$G169,"")</f>
        <v/>
      </c>
      <c r="J169" s="61" t="str">
        <f aca="false">IF(AND($E169="A",ISNUMBER($F169),ISNUMBER($G169)),$F169*(1+$G169/30),"")</f>
        <v/>
      </c>
      <c r="K169" s="52"/>
      <c r="L169" s="52"/>
    </row>
    <row r="170" customFormat="false" ht="15.75" hidden="false" customHeight="true" outlineLevel="0" collapsed="false">
      <c r="A170" s="59" t="str">
        <f aca="false">IFERROR(IF($B170="","",IF(INDEX(Einheiten!$B$4:$B$63,MATCH($B170,Einheiten!$A$4:$A$63,0))=0,"",INDEX(Einheiten!$B$4:$B$63,MATCH($B170,Einheiten!$A$4:$A$63,0)))),"")</f>
        <v/>
      </c>
      <c r="B170" s="51"/>
      <c r="C170" s="60" t="str">
        <f aca="false">IFERROR(IF($D170="","",INDEX(Übungen!$B$4:$B$17,MATCH($D170,Übungen!$A$4:$A$17,0))),"")</f>
        <v/>
      </c>
      <c r="D170" s="52"/>
      <c r="E170" s="53"/>
      <c r="F170" s="50"/>
      <c r="G170" s="54"/>
      <c r="H170" s="50"/>
      <c r="I170" s="55" t="str">
        <f aca="false">IF(AND(ISNUMBER($F170),ISNUMBER($G170),$E170&lt;&gt;"R"),$F170*$G170,"")</f>
        <v/>
      </c>
      <c r="J170" s="61" t="str">
        <f aca="false">IF(AND($E170="A",ISNUMBER($F170),ISNUMBER($G170)),$F170*(1+$G170/30),"")</f>
        <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254</v>
      </c>
      <c r="B1" s="1"/>
      <c r="C1" s="1"/>
      <c r="D1" s="1"/>
      <c r="E1" s="1"/>
      <c r="F1" s="1"/>
      <c r="G1" s="1"/>
      <c r="H1" s="1"/>
      <c r="I1" s="1"/>
      <c r="J1" s="1"/>
      <c r="K1" s="1"/>
      <c r="L1" s="1"/>
      <c r="M1" s="1"/>
      <c r="N1" s="1"/>
      <c r="O1" s="1"/>
      <c r="P1" s="1"/>
      <c r="Q1" s="1"/>
      <c r="R1" s="1"/>
    </row>
    <row r="2" customFormat="false" ht="15" hidden="false" customHeight="true" outlineLevel="0" collapsed="false">
      <c r="A2" s="2" t="s">
        <v>255</v>
      </c>
      <c r="B2" s="2"/>
      <c r="C2" s="2"/>
      <c r="D2" s="2"/>
      <c r="E2" s="2"/>
      <c r="F2" s="2"/>
      <c r="G2" s="2"/>
      <c r="H2" s="2"/>
      <c r="I2" s="2"/>
      <c r="J2" s="2"/>
      <c r="K2" s="2"/>
      <c r="L2" s="2"/>
      <c r="M2" s="2"/>
      <c r="N2" s="2"/>
      <c r="O2" s="2"/>
      <c r="P2" s="2"/>
      <c r="Q2" s="2"/>
      <c r="R2" s="2"/>
    </row>
    <row r="3" customFormat="false" ht="18" hidden="false" customHeight="true" outlineLevel="0" collapsed="false">
      <c r="A3" s="62" t="s">
        <v>256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257</v>
      </c>
      <c r="B4" s="3"/>
      <c r="C4" s="3"/>
      <c r="D4" s="3"/>
      <c r="E4" s="3"/>
      <c r="F4" s="3"/>
      <c r="G4" s="3"/>
      <c r="H4" s="3"/>
      <c r="I4" s="3"/>
      <c r="J4" s="3"/>
      <c r="K4" s="3"/>
      <c r="L4" s="3"/>
      <c r="M4" s="3"/>
      <c r="N4" s="3"/>
      <c r="O4" s="3"/>
      <c r="P4" s="3"/>
      <c r="Q4" s="3"/>
      <c r="R4" s="3"/>
    </row>
    <row r="5" customFormat="false" ht="21.75" hidden="false" customHeight="true" outlineLevel="0" collapsed="false">
      <c r="A5" s="22" t="s">
        <v>161</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258</v>
      </c>
    </row>
    <row r="6" customFormat="false" ht="16.5" hidden="false" customHeight="true" outlineLevel="0" collapsed="false">
      <c r="A6" s="36" t="str">
        <f aca="false">IF(Übungen!$A4="","",Übungen!$A4)</f>
        <v>Hackenschmidt-Kniebeuge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str">
        <f aca="false">IF($A6="","",IF(SUMIFS(Log!$I$4:$I$1203,Log!$D$4:$D$1203,$A6,Log!$B$4:$B$1203,F$5,Log!$E$4:$E$1203,"A")=0,"",SUMIFS(Log!$I$4:$I$1203,Log!$D$4:$D$1203,$A6,Log!$B$4:$B$1203,F$5,Log!$E$4:$E$1203,"A")))</f>
        <v/>
      </c>
      <c r="G6" s="66" t="str">
        <f aca="false">IF($A6="","",IF(SUMIFS(Log!$I$4:$I$1203,Log!$D$4:$D$1203,$A6,Log!$B$4:$B$1203,G$5,Log!$E$4:$E$1203,"A")=0,"",SUMIFS(Log!$I$4:$I$1203,Log!$D$4:$D$1203,$A6,Log!$B$4:$B$1203,G$5,Log!$E$4:$E$1203,"A")))</f>
        <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str">
        <f aca="false">IF($A6="","",IF(SUMIFS(Log!$I$4:$I$1203,Log!$D$4:$D$1203,$A6,Log!$E$4:$E$1203,"A")=0,"",SUMIFS(Log!$I$4:$I$1203,Log!$D$4:$D$1203,$A6,Log!$E$4:$E$1203,"A")))</f>
        <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str">
        <f aca="false">IF($A7="","",IF(SUMIFS(Log!$I$4:$I$1203,Log!$D$4:$D$1203,$A7,Log!$B$4:$B$1203,F$5,Log!$E$4:$E$1203,"A")=0,"",SUMIFS(Log!$I$4:$I$1203,Log!$D$4:$D$1203,$A7,Log!$B$4:$B$1203,F$5,Log!$E$4:$E$1203,"A")))</f>
        <v/>
      </c>
      <c r="G7" s="68" t="str">
        <f aca="false">IF($A7="","",IF(SUMIFS(Log!$I$4:$I$1203,Log!$D$4:$D$1203,$A7,Log!$B$4:$B$1203,G$5,Log!$E$4:$E$1203,"A")=0,"",SUMIFS(Log!$I$4:$I$1203,Log!$D$4:$D$1203,$A7,Log!$B$4:$B$1203,G$5,Log!$E$4:$E$1203,"A")))</f>
        <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7100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str">
        <f aca="false">IF($A8="","",IF(SUMIFS(Log!$I$4:$I$1203,Log!$D$4:$D$1203,$A8,Log!$B$4:$B$1203,F$5,Log!$E$4:$E$1203,"A")=0,"",SUMIFS(Log!$I$4:$I$1203,Log!$D$4:$D$1203,$A8,Log!$B$4:$B$1203,F$5,Log!$E$4:$E$1203,"A")))</f>
        <v/>
      </c>
      <c r="G8" s="66" t="str">
        <f aca="false">IF($A8="","",IF(SUMIFS(Log!$I$4:$I$1203,Log!$D$4:$D$1203,$A8,Log!$B$4:$B$1203,G$5,Log!$E$4:$E$1203,"A")=0,"",SUMIFS(Log!$I$4:$I$1203,Log!$D$4:$D$1203,$A8,Log!$B$4:$B$1203,G$5,Log!$E$4:$E$1203,"A")))</f>
        <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5865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str">
        <f aca="false">IF($A9="","",IF(SUMIFS(Log!$I$4:$I$1203,Log!$D$4:$D$1203,$A9,Log!$B$4:$B$1203,F$5,Log!$E$4:$E$1203,"A")=0,"",SUMIFS(Log!$I$4:$I$1203,Log!$D$4:$D$1203,$A9,Log!$B$4:$B$1203,F$5,Log!$E$4:$E$1203,"A")))</f>
        <v/>
      </c>
      <c r="G9" s="68" t="str">
        <f aca="false">IF($A9="","",IF(SUMIFS(Log!$I$4:$I$1203,Log!$D$4:$D$1203,$A9,Log!$B$4:$B$1203,G$5,Log!$E$4:$E$1203,"A")=0,"",SUMIFS(Log!$I$4:$I$1203,Log!$D$4:$D$1203,$A9,Log!$B$4:$B$1203,G$5,Log!$E$4:$E$1203,"A")))</f>
        <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21807.5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str">
        <f aca="false">IF($A10="","",IF(SUMIFS(Log!$I$4:$I$1203,Log!$D$4:$D$1203,$A10,Log!$B$4:$B$1203,F$5,Log!$E$4:$E$1203,"A")=0,"",SUMIFS(Log!$I$4:$I$1203,Log!$D$4:$D$1203,$A10,Log!$B$4:$B$1203,F$5,Log!$E$4:$E$1203,"A")))</f>
        <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str">
        <f aca="false">IF($A10="","",IF(SUMIFS(Log!$I$4:$I$1203,Log!$D$4:$D$1203,$A10,Log!$E$4:$E$1203,"A")=0,"",SUMIFS(Log!$I$4:$I$1203,Log!$D$4:$D$1203,$A10,Log!$E$4:$E$1203,"A")))</f>
        <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20060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str">
        <f aca="false">IF($A12="","",IF(SUMIFS(Log!$I$4:$I$1203,Log!$D$4:$D$1203,$A12,Log!$B$4:$B$1203,F$5,Log!$E$4:$E$1203,"A")=0,"",SUMIFS(Log!$I$4:$I$1203,Log!$D$4:$D$1203,$A12,Log!$B$4:$B$1203,F$5,Log!$E$4:$E$1203,"A")))</f>
        <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3555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2053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str">
        <f aca="false">IF($A14="","",IF(SUMIFS(Log!$I$4:$I$1203,Log!$D$4:$D$1203,$A14,Log!$B$4:$B$1203,F$5,Log!$E$4:$E$1203,"A")=0,"",SUMIFS(Log!$I$4:$I$1203,Log!$D$4:$D$1203,$A14,Log!$B$4:$B$1203,F$5,Log!$E$4:$E$1203,"A")))</f>
        <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6945</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259</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161</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260</v>
      </c>
    </row>
    <row r="24" customFormat="false" ht="16.5" hidden="false" customHeight="true" outlineLevel="0" collapsed="false">
      <c r="A24" s="36" t="str">
        <f aca="false">IF(Übungen!$A4="","",Übungen!$A4)</f>
        <v>Hackenschmidt-Kniebeuge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str">
        <f aca="false">IF($A24="","",IF(SUMPRODUCT(MAX((Log!$D$4:$D$1203=$A24)*(Log!$B$4:$B$1203=F$23)*(Log!$E$4:$E$1203="A")*(Log!$F$4:$F$1203&lt;&gt;"")*Log!$F$4:$F$1203))=0,"",SUMPRODUCT(MAX((Log!$D$4:$D$1203=$A24)*(Log!$B$4:$B$1203=F$23)*(Log!$E$4:$E$1203="A")*(Log!$F$4:$F$1203&lt;&gt;"")*Log!$F$4:$F$1203))))</f>
        <v/>
      </c>
      <c r="G24" s="69" t="str">
        <f aca="false">IF($A24="","",IF(SUMPRODUCT(MAX((Log!$D$4:$D$1203=$A24)*(Log!$B$4:$B$1203=G$23)*(Log!$E$4:$E$1203="A")*(Log!$F$4:$F$1203&lt;&gt;"")*Log!$F$4:$F$1203))=0,"",SUMPRODUCT(MAX((Log!$D$4:$D$1203=$A24)*(Log!$B$4:$B$1203=G$23)*(Log!$E$4:$E$1203="A")*(Log!$F$4:$F$1203&lt;&gt;"")*Log!$F$4:$F$1203))))</f>
        <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str">
        <f aca="false">IF($A24="","",IF(SUMPRODUCT(MAX((Log!$D$4:$D$1203=$A24)*(Log!$E$4:$E$1203="A")*(Log!$F$4:$F$1203&lt;&gt;"")*Log!$F$4:$F$1203))=0,"",SUMPRODUCT(MAX((Log!$D$4:$D$1203=$A24)*(Log!$E$4:$E$1203="A")*(Log!$F$4:$F$1203&lt;&gt;"")*Log!$F$4:$F$1203))))</f>
        <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str">
        <f aca="false">IF($A25="","",IF(SUMPRODUCT(MAX((Log!$D$4:$D$1203=$A25)*(Log!$B$4:$B$1203=F$23)*(Log!$E$4:$E$1203="A")*(Log!$F$4:$F$1203&lt;&gt;"")*Log!$F$4:$F$1203))=0,"",SUMPRODUCT(MAX((Log!$D$4:$D$1203=$A25)*(Log!$B$4:$B$1203=F$23)*(Log!$E$4:$E$1203="A")*(Log!$F$4:$F$1203&lt;&gt;"")*Log!$F$4:$F$1203))))</f>
        <v/>
      </c>
      <c r="G25" s="71" t="str">
        <f aca="false">IF($A25="","",IF(SUMPRODUCT(MAX((Log!$D$4:$D$1203=$A25)*(Log!$B$4:$B$1203=G$23)*(Log!$E$4:$E$1203="A")*(Log!$F$4:$F$1203&lt;&gt;"")*Log!$F$4:$F$1203))=0,"",SUMPRODUCT(MAX((Log!$D$4:$D$1203=$A25)*(Log!$B$4:$B$1203=G$23)*(Log!$E$4:$E$1203="A")*(Log!$F$4:$F$1203&lt;&gt;"")*Log!$F$4:$F$1203))))</f>
        <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str">
        <f aca="false">IF($A26="","",IF(SUMPRODUCT(MAX((Log!$D$4:$D$1203=$A26)*(Log!$B$4:$B$1203=F$23)*(Log!$E$4:$E$1203="A")*(Log!$F$4:$F$1203&lt;&gt;"")*Log!$F$4:$F$1203))=0,"",SUMPRODUCT(MAX((Log!$D$4:$D$1203=$A26)*(Log!$B$4:$B$1203=F$23)*(Log!$E$4:$E$1203="A")*(Log!$F$4:$F$1203&lt;&gt;"")*Log!$F$4:$F$1203))))</f>
        <v/>
      </c>
      <c r="G26" s="69" t="str">
        <f aca="false">IF($A26="","",IF(SUMPRODUCT(MAX((Log!$D$4:$D$1203=$A26)*(Log!$B$4:$B$1203=G$23)*(Log!$E$4:$E$1203="A")*(Log!$F$4:$F$1203&lt;&gt;"")*Log!$F$4:$F$1203))=0,"",SUMPRODUCT(MAX((Log!$D$4:$D$1203=$A26)*(Log!$B$4:$B$1203=G$23)*(Log!$E$4:$E$1203="A")*(Log!$F$4:$F$1203&lt;&gt;"")*Log!$F$4:$F$1203))))</f>
        <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85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str">
        <f aca="false">IF($A27="","",IF(SUMPRODUCT(MAX((Log!$D$4:$D$1203=$A27)*(Log!$B$4:$B$1203=F$23)*(Log!$E$4:$E$1203="A")*(Log!$F$4:$F$1203&lt;&gt;"")*Log!$F$4:$F$1203))=0,"",SUMPRODUCT(MAX((Log!$D$4:$D$1203=$A27)*(Log!$B$4:$B$1203=F$23)*(Log!$E$4:$E$1203="A")*(Log!$F$4:$F$1203&lt;&gt;"")*Log!$F$4:$F$1203))))</f>
        <v/>
      </c>
      <c r="G27" s="71" t="str">
        <f aca="false">IF($A27="","",IF(SUMPRODUCT(MAX((Log!$D$4:$D$1203=$A27)*(Log!$B$4:$B$1203=G$23)*(Log!$E$4:$E$1203="A")*(Log!$F$4:$F$1203&lt;&gt;"")*Log!$F$4:$F$1203))=0,"",SUMPRODUCT(MAX((Log!$D$4:$D$1203=$A27)*(Log!$B$4:$B$1203=G$23)*(Log!$E$4:$E$1203="A")*(Log!$F$4:$F$1203&lt;&gt;"")*Log!$F$4:$F$1203))))</f>
        <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152.5</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str">
        <f aca="false">IF($A28="","",IF(SUMPRODUCT(MAX((Log!$D$4:$D$1203=$A28)*(Log!$B$4:$B$1203=F$23)*(Log!$E$4:$E$1203="A")*(Log!$F$4:$F$1203&lt;&gt;"")*Log!$F$4:$F$1203))=0,"",SUMPRODUCT(MAX((Log!$D$4:$D$1203=$A28)*(Log!$B$4:$B$1203=F$23)*(Log!$E$4:$E$1203="A")*(Log!$F$4:$F$1203&lt;&gt;"")*Log!$F$4:$F$1203))))</f>
        <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str">
        <f aca="false">IF($A28="","",IF(SUMPRODUCT(MAX((Log!$D$4:$D$1203=$A28)*(Log!$E$4:$E$1203="A")*(Log!$F$4:$F$1203&lt;&gt;"")*Log!$F$4:$F$1203))=0,"",SUMPRODUCT(MAX((Log!$D$4:$D$1203=$A28)*(Log!$E$4:$E$1203="A")*(Log!$F$4:$F$1203&lt;&gt;"")*Log!$F$4:$F$1203))))</f>
        <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str">
        <f aca="false">IF($A29="","",IF(SUMPRODUCT(MAX((Log!$D$4:$D$1203=$A29)*(Log!$B$4:$B$1203=F$23)*(Log!$E$4:$E$1203="A")*(Log!$F$4:$F$1203&lt;&gt;"")*Log!$F$4:$F$1203))=0,"",SUMPRODUCT(MAX((Log!$D$4:$D$1203=$A29)*(Log!$B$4:$B$1203=F$23)*(Log!$E$4:$E$1203="A")*(Log!$F$4:$F$1203&lt;&gt;"")*Log!$F$4:$F$1203))))</f>
        <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str">
        <f aca="false">IF($A30="","",IF(SUMPRODUCT(MAX((Log!$D$4:$D$1203=$A30)*(Log!$B$4:$B$1203=F$23)*(Log!$E$4:$E$1203="A")*(Log!$F$4:$F$1203&lt;&gt;"")*Log!$F$4:$F$1203))=0,"",SUMPRODUCT(MAX((Log!$D$4:$D$1203=$A30)*(Log!$B$4:$B$1203=F$23)*(Log!$E$4:$E$1203="A")*(Log!$F$4:$F$1203&lt;&gt;"")*Log!$F$4:$F$1203))))</f>
        <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str">
        <f aca="false">IF($A31="","",IF(SUMPRODUCT(MAX((Log!$D$4:$D$1203=$A31)*(Log!$B$4:$B$1203=F$23)*(Log!$E$4:$E$1203="A")*(Log!$F$4:$F$1203&lt;&gt;"")*Log!$F$4:$F$1203))=0,"",SUMPRODUCT(MAX((Log!$D$4:$D$1203=$A31)*(Log!$B$4:$B$1203=F$23)*(Log!$E$4:$E$1203="A")*(Log!$F$4:$F$1203&lt;&gt;"")*Log!$F$4:$F$1203))))</f>
        <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str">
        <f aca="false">IF($A32="","",IF(SUMPRODUCT(MAX((Log!$D$4:$D$1203=$A32)*(Log!$B$4:$B$1203=F$23)*(Log!$E$4:$E$1203="A")*(Log!$F$4:$F$1203&lt;&gt;"")*Log!$F$4:$F$1203))=0,"",SUMPRODUCT(MAX((Log!$D$4:$D$1203=$A32)*(Log!$B$4:$B$1203=F$23)*(Log!$E$4:$E$1203="A")*(Log!$F$4:$F$1203&lt;&gt;"")*Log!$F$4:$F$1203))))</f>
        <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261</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161</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260</v>
      </c>
    </row>
    <row r="42" customFormat="false" ht="16.5" hidden="false" customHeight="true" outlineLevel="0" collapsed="false">
      <c r="A42" s="36" t="str">
        <f aca="false">IF(Übungen!$A4="","",Übungen!$A4)</f>
        <v>Hackenschmidt-Kniebeuge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str">
        <f aca="false">IF($A42="","",IF(SUMPRODUCT(MAX((Log!$D$4:$D$1203=$A42)*(Log!$B$4:$B$1203=F$41)*(Log!$E$4:$E$1203="A")*(Log!$F$4:$F$1203&lt;&gt;"")*(Log!$G$4:$G$1203&lt;&gt;"")*Log!$F$4:$F$1203*(1+Log!$G$4:$G$1203/30)))=0,"",SUMPRODUCT(MAX((Log!$D$4:$D$1203=$A42)*(Log!$B$4:$B$1203=F$41)*(Log!$E$4:$E$1203="A")*(Log!$F$4:$F$1203&lt;&gt;"")*(Log!$G$4:$G$1203&lt;&gt;"")*Log!$F$4:$F$1203*(1+Log!$G$4:$G$1203/30)))))</f>
        <v/>
      </c>
      <c r="G42" s="69" t="str">
        <f aca="false">IF($A42="","",IF(SUMPRODUCT(MAX((Log!$D$4:$D$1203=$A42)*(Log!$B$4:$B$1203=G$41)*(Log!$E$4:$E$1203="A")*(Log!$F$4:$F$1203&lt;&gt;"")*(Log!$G$4:$G$1203&lt;&gt;"")*Log!$F$4:$F$1203*(1+Log!$G$4:$G$1203/30)))=0,"",SUMPRODUCT(MAX((Log!$D$4:$D$1203=$A42)*(Log!$B$4:$B$1203=G$41)*(Log!$E$4:$E$1203="A")*(Log!$F$4:$F$1203&lt;&gt;"")*(Log!$G$4:$G$1203&lt;&gt;"")*Log!$F$4:$F$1203*(1+Log!$G$4:$G$1203/30)))))</f>
        <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str">
        <f aca="false">IF($A43="","",IF(SUMPRODUCT(MAX((Log!$D$4:$D$1203=$A43)*(Log!$B$4:$B$1203=F$41)*(Log!$E$4:$E$1203="A")*(Log!$F$4:$F$1203&lt;&gt;"")*(Log!$G$4:$G$1203&lt;&gt;"")*Log!$F$4:$F$1203*(1+Log!$G$4:$G$1203/30)))=0,"",SUMPRODUCT(MAX((Log!$D$4:$D$1203=$A43)*(Log!$B$4:$B$1203=F$41)*(Log!$E$4:$E$1203="A")*(Log!$F$4:$F$1203&lt;&gt;"")*(Log!$G$4:$G$1203&lt;&gt;"")*Log!$F$4:$F$1203*(1+Log!$G$4:$G$1203/30)))))</f>
        <v/>
      </c>
      <c r="G43" s="71" t="str">
        <f aca="false">IF($A43="","",IF(SUMPRODUCT(MAX((Log!$D$4:$D$1203=$A43)*(Log!$B$4:$B$1203=G$41)*(Log!$E$4:$E$1203="A")*(Log!$F$4:$F$1203&lt;&gt;"")*(Log!$G$4:$G$1203&lt;&gt;"")*Log!$F$4:$F$1203*(1+Log!$G$4:$G$1203/30)))=0,"",SUMPRODUCT(MAX((Log!$D$4:$D$1203=$A43)*(Log!$B$4:$B$1203=G$41)*(Log!$E$4:$E$1203="A")*(Log!$F$4:$F$1203&lt;&gt;"")*(Log!$G$4:$G$1203&lt;&gt;"")*Log!$F$4:$F$1203*(1+Log!$G$4:$G$1203/30)))))</f>
        <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str">
        <f aca="false">IF($A44="","",IF(SUMPRODUCT(MAX((Log!$D$4:$D$1203=$A44)*(Log!$B$4:$B$1203=F$41)*(Log!$E$4:$E$1203="A")*(Log!$F$4:$F$1203&lt;&gt;"")*(Log!$G$4:$G$1203&lt;&gt;"")*Log!$F$4:$F$1203*(1+Log!$G$4:$G$1203/30)))=0,"",SUMPRODUCT(MAX((Log!$D$4:$D$1203=$A44)*(Log!$B$4:$B$1203=F$41)*(Log!$E$4:$E$1203="A")*(Log!$F$4:$F$1203&lt;&gt;"")*(Log!$G$4:$G$1203&lt;&gt;"")*Log!$F$4:$F$1203*(1+Log!$G$4:$G$1203/30)))))</f>
        <v/>
      </c>
      <c r="G44" s="69" t="str">
        <f aca="false">IF($A44="","",IF(SUMPRODUCT(MAX((Log!$D$4:$D$1203=$A44)*(Log!$B$4:$B$1203=G$41)*(Log!$E$4:$E$1203="A")*(Log!$F$4:$F$1203&lt;&gt;"")*(Log!$G$4:$G$1203&lt;&gt;"")*Log!$F$4:$F$1203*(1+Log!$G$4:$G$1203/30)))=0,"",SUMPRODUCT(MAX((Log!$D$4:$D$1203=$A44)*(Log!$B$4:$B$1203=G$41)*(Log!$E$4:$E$1203="A")*(Log!$F$4:$F$1203&lt;&gt;"")*(Log!$G$4:$G$1203&lt;&gt;"")*Log!$F$4:$F$1203*(1+Log!$G$4:$G$1203/30)))))</f>
        <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str">
        <f aca="false">IF($A45="","",IF(SUMPRODUCT(MAX((Log!$D$4:$D$1203=$A45)*(Log!$B$4:$B$1203=F$41)*(Log!$E$4:$E$1203="A")*(Log!$F$4:$F$1203&lt;&gt;"")*(Log!$G$4:$G$1203&lt;&gt;"")*Log!$F$4:$F$1203*(1+Log!$G$4:$G$1203/30)))=0,"",SUMPRODUCT(MAX((Log!$D$4:$D$1203=$A45)*(Log!$B$4:$B$1203=F$41)*(Log!$E$4:$E$1203="A")*(Log!$F$4:$F$1203&lt;&gt;"")*(Log!$G$4:$G$1203&lt;&gt;"")*Log!$F$4:$F$1203*(1+Log!$G$4:$G$1203/30)))))</f>
        <v/>
      </c>
      <c r="G45" s="71" t="str">
        <f aca="false">IF($A45="","",IF(SUMPRODUCT(MAX((Log!$D$4:$D$1203=$A45)*(Log!$B$4:$B$1203=G$41)*(Log!$E$4:$E$1203="A")*(Log!$F$4:$F$1203&lt;&gt;"")*(Log!$G$4:$G$1203&lt;&gt;"")*Log!$F$4:$F$1203*(1+Log!$G$4:$G$1203/30)))=0,"",SUMPRODUCT(MAX((Log!$D$4:$D$1203=$A45)*(Log!$B$4:$B$1203=G$41)*(Log!$E$4:$E$1203="A")*(Log!$F$4:$F$1203&lt;&gt;"")*(Log!$G$4:$G$1203&lt;&gt;"")*Log!$F$4:$F$1203*(1+Log!$G$4:$G$1203/30)))))</f>
        <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str">
        <f aca="false">IF($A46="","",IF(SUMPRODUCT(MAX((Log!$D$4:$D$1203=$A46)*(Log!$B$4:$B$1203=F$41)*(Log!$E$4:$E$1203="A")*(Log!$F$4:$F$1203&lt;&gt;"")*(Log!$G$4:$G$1203&lt;&gt;"")*Log!$F$4:$F$1203*(1+Log!$G$4:$G$1203/30)))=0,"",SUMPRODUCT(MAX((Log!$D$4:$D$1203=$A46)*(Log!$B$4:$B$1203=F$41)*(Log!$E$4:$E$1203="A")*(Log!$F$4:$F$1203&lt;&gt;"")*(Log!$G$4:$G$1203&lt;&gt;"")*Log!$F$4:$F$1203*(1+Log!$G$4:$G$1203/30)))))</f>
        <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str">
        <f aca="false">IF($A47="","",IF(SUMPRODUCT(MAX((Log!$D$4:$D$1203=$A47)*(Log!$B$4:$B$1203=F$41)*(Log!$E$4:$E$1203="A")*(Log!$F$4:$F$1203&lt;&gt;"")*(Log!$G$4:$G$1203&lt;&gt;"")*Log!$F$4:$F$1203*(1+Log!$G$4:$G$1203/30)))=0,"",SUMPRODUCT(MAX((Log!$D$4:$D$1203=$A47)*(Log!$B$4:$B$1203=F$41)*(Log!$E$4:$E$1203="A")*(Log!$F$4:$F$1203&lt;&gt;"")*(Log!$G$4:$G$1203&lt;&gt;"")*Log!$F$4:$F$1203*(1+Log!$G$4:$G$1203/30)))))</f>
        <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str">
        <f aca="false">IF($A48="","",IF(SUMPRODUCT(MAX((Log!$D$4:$D$1203=$A48)*(Log!$B$4:$B$1203=F$41)*(Log!$E$4:$E$1203="A")*(Log!$F$4:$F$1203&lt;&gt;"")*(Log!$G$4:$G$1203&lt;&gt;"")*Log!$F$4:$F$1203*(1+Log!$G$4:$G$1203/30)))=0,"",SUMPRODUCT(MAX((Log!$D$4:$D$1203=$A48)*(Log!$B$4:$B$1203=F$41)*(Log!$E$4:$E$1203="A")*(Log!$F$4:$F$1203&lt;&gt;"")*(Log!$G$4:$G$1203&lt;&gt;"")*Log!$F$4:$F$1203*(1+Log!$G$4:$G$1203/30)))))</f>
        <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str">
        <f aca="false">IF($A49="","",IF(SUMPRODUCT(MAX((Log!$D$4:$D$1203=$A49)*(Log!$B$4:$B$1203=F$41)*(Log!$E$4:$E$1203="A")*(Log!$F$4:$F$1203&lt;&gt;"")*(Log!$G$4:$G$1203&lt;&gt;"")*Log!$F$4:$F$1203*(1+Log!$G$4:$G$1203/30)))=0,"",SUMPRODUCT(MAX((Log!$D$4:$D$1203=$A49)*(Log!$B$4:$B$1203=F$41)*(Log!$E$4:$E$1203="A")*(Log!$F$4:$F$1203&lt;&gt;"")*(Log!$G$4:$G$1203&lt;&gt;"")*Log!$F$4:$F$1203*(1+Log!$G$4:$G$1203/30)))))</f>
        <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str">
        <f aca="false">IF($A50="","",IF(SUMPRODUCT(MAX((Log!$D$4:$D$1203=$A50)*(Log!$B$4:$B$1203=F$41)*(Log!$E$4:$E$1203="A")*(Log!$F$4:$F$1203&lt;&gt;"")*(Log!$G$4:$G$1203&lt;&gt;"")*Log!$F$4:$F$1203*(1+Log!$G$4:$G$1203/30)))=0,"",SUMPRODUCT(MAX((Log!$D$4:$D$1203=$A50)*(Log!$B$4:$B$1203=F$41)*(Log!$E$4:$E$1203="A")*(Log!$F$4:$F$1203&lt;&gt;"")*(Log!$G$4:$G$1203&lt;&gt;"")*Log!$F$4:$F$1203*(1+Log!$G$4:$G$1203/30)))))</f>
        <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Übungen!$I4="nein"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Übungen!$I4="nein"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Übungen!$I4="nein"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3" min="3" style="0" width="13"/>
    <col collapsed="false" customWidth="true" hidden="false" outlineLevel="0" max="4" min="4" style="0" width="9"/>
    <col collapsed="false" customWidth="true" hidden="false" outlineLevel="0" max="9" min="5" style="0" width="13"/>
    <col collapsed="false" customWidth="true" hidden="false" outlineLevel="0" max="11" min="10" style="0" width="14"/>
  </cols>
  <sheetData>
    <row r="1" customFormat="false" ht="30" hidden="false" customHeight="true" outlineLevel="0" collapsed="false">
      <c r="A1" s="1" t="s">
        <v>262</v>
      </c>
      <c r="B1" s="1"/>
      <c r="C1" s="1"/>
      <c r="D1" s="1"/>
      <c r="E1" s="1"/>
      <c r="F1" s="1"/>
      <c r="G1" s="1"/>
      <c r="H1" s="1"/>
      <c r="I1" s="1"/>
      <c r="J1" s="1"/>
      <c r="K1" s="1"/>
    </row>
    <row r="2" customFormat="false" ht="15" hidden="false" customHeight="true" outlineLevel="0" collapsed="false">
      <c r="A2" s="2" t="s">
        <v>263</v>
      </c>
      <c r="B2" s="2"/>
      <c r="C2" s="2"/>
      <c r="D2" s="2"/>
      <c r="E2" s="2"/>
      <c r="F2" s="2"/>
      <c r="G2" s="2"/>
      <c r="H2" s="2"/>
      <c r="I2" s="2"/>
      <c r="J2" s="2"/>
      <c r="K2" s="2"/>
    </row>
    <row r="3" customFormat="false" ht="33.75" hidden="false" customHeight="true" outlineLevel="0" collapsed="false">
      <c r="A3" s="22" t="s">
        <v>161</v>
      </c>
      <c r="B3" s="22" t="s">
        <v>264</v>
      </c>
      <c r="C3" s="22" t="s">
        <v>265</v>
      </c>
      <c r="D3" s="22" t="s">
        <v>266</v>
      </c>
      <c r="E3" s="22" t="s">
        <v>267</v>
      </c>
      <c r="F3" s="22" t="s">
        <v>268</v>
      </c>
      <c r="G3" s="22" t="s">
        <v>269</v>
      </c>
      <c r="H3" s="22" t="s">
        <v>270</v>
      </c>
      <c r="I3" s="22" t="s">
        <v>271</v>
      </c>
      <c r="J3" s="22" t="s">
        <v>272</v>
      </c>
      <c r="K3" s="22" t="s">
        <v>273</v>
      </c>
    </row>
    <row r="4" customFormat="false" ht="18" hidden="false" customHeight="true" outlineLevel="0" collapsed="false">
      <c r="A4" s="36" t="str">
        <f aca="false">IF(Übungen!$A4="","",Übungen!$A4)</f>
        <v>Hackenschmidt-Kniebeuge</v>
      </c>
      <c r="B4" s="66" t="str">
        <f aca="false">IF($A4="","",IF(SUMPRODUCT(MAX((Log!$D$4:$D$1203=$A4)*(Log!$E$4:$E$1203="A")*Log!$B$4:$B$1203))=0,"",SUMPRODUCT(MIN((Log!$D$4:$D$1203=$A4)*(Log!$E$4:$E$1203="A")*Log!$B$4:$B$1203+((Log!$D$4:$D$1203&lt;&gt;$A4)+(Log!$E$4:$E$1203&lt;&gt;"A")&gt;0)*9999))))</f>
        <v/>
      </c>
      <c r="C4" s="66" t="str">
        <f aca="false">IF($B4="","",SUMIFS(Log!$I$4:$I$1203,Log!$D$4:$D$1203,$A4,Log!$B$4:$B$1203,$B4,Log!$E$4:$E$1203,"A"))</f>
        <v/>
      </c>
      <c r="D4" s="66" t="str">
        <f aca="false">IF($A4="","",IF(SUMPRODUCT(MAX((Log!$D$4:$D$1203=$A4)*(Log!$E$4:$E$1203="A")*Log!$B$4:$B$1203))=0,"",SUMPRODUCT(MAX((Log!$D$4:$D$1203=$A4)*(Log!$E$4:$E$1203="A")*Log!$B$4:$B$1203))))</f>
        <v/>
      </c>
      <c r="E4" s="66" t="str">
        <f aca="false">IF($D4="","",SUMIFS(Log!$I$4:$I$1203,Log!$D$4:$D$1203,$A4,Log!$B$4:$B$1203,$D4,Log!$E$4:$E$1203,"A"))</f>
        <v/>
      </c>
      <c r="F4" s="66" t="str">
        <f aca="false">IF(OR($C4="",$E4=""),"",$E4-$C4)</f>
        <v/>
      </c>
      <c r="G4" s="72" t="str">
        <f aca="false">IF(OR($C4="",$E4="",$C4=0),"",$E4/$C4-1)</f>
        <v/>
      </c>
      <c r="H4" s="69" t="str">
        <f aca="false">IF($D4="","",IF(SUMPRODUCT(MAX((Log!$D$4:$D$1203=$A4)*(Log!$B$4:$B$1203=$D4)*(Log!$E$4:$E$1203="A")*(Log!$F$4:$F$1203&lt;&gt;"")*Log!$F$4:$F$1203))=0,"",SUMPRODUCT(MAX((Log!$D$4:$D$1203=$A4)*(Log!$B$4:$B$1203=$D4)*(Log!$E$4:$E$1203="A")*(Log!$F$4:$F$1203&lt;&gt;"")*Log!$F$4:$F$1203))))</f>
        <v/>
      </c>
      <c r="I4" s="69" t="str">
        <f aca="false">IF($A4="","",IF(SUMPRODUCT(MAX((Log!$D$4:$D$1203=$A4)*(Log!$E$4:$E$1203="A")*(Log!$F$4:$F$1203&lt;&gt;"")*Log!$F$4:$F$1203))=0,"",SUMPRODUCT(MAX((Log!$D$4:$D$1203=$A4)*(Log!$E$4:$E$1203="A")*(Log!$F$4:$F$1203&lt;&gt;"")*Log!$F$4:$F$1203))))</f>
        <v/>
      </c>
      <c r="J4" s="69" t="str">
        <f aca="false">IF(OR($H4="",$I4=""),"",$H4-$I4)</f>
        <v/>
      </c>
      <c r="K4" s="73" t="str">
        <f aca="false">IF($G4="","",IF($G4&gt;0.05,"steigend",IF($G4&lt;-0.05,"fallend","stabil")))</f>
        <v/>
      </c>
    </row>
    <row r="5" customFormat="false" ht="18"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4</v>
      </c>
      <c r="E5" s="68" t="n">
        <f aca="false">IF($D5="","",SUMIFS(Log!$I$4:$I$1203,Log!$D$4:$D$1203,$A5,Log!$B$4:$B$1203,$D5,Log!$E$4:$E$1203,"A"))</f>
        <v>1640</v>
      </c>
      <c r="F5" s="68" t="n">
        <f aca="false">IF(OR($C5="",$E5=""),"",$E5-$C5)</f>
        <v>30</v>
      </c>
      <c r="G5" s="74" t="n">
        <f aca="false">IF(OR($C5="",$E5="",$C5=0),"",$E5/$C5-1)</f>
        <v>0.0186335403726707</v>
      </c>
      <c r="H5" s="71" t="n">
        <f aca="false">IF($D5="","",IF(SUMPRODUCT(MAX((Log!$D$4:$D$1203=$A5)*(Log!$B$4:$B$1203=$D5)*(Log!$E$4:$E$1203="A")*(Log!$F$4:$F$1203&lt;&gt;"")*Log!$F$4:$F$1203))=0,"",SUMPRODUCT(MAX((Log!$D$4:$D$1203=$A5)*(Log!$B$4:$B$1203=$D5)*(Log!$E$4:$E$1203="A")*(Log!$F$4:$F$1203&lt;&gt;"")*Log!$F$4:$F$1203))))</f>
        <v>80</v>
      </c>
      <c r="I5" s="71" t="n">
        <f aca="false">IF($A5="","",IF(SUMPRODUCT(MAX((Log!$D$4:$D$1203=$A5)*(Log!$E$4:$E$1203="A")*(Log!$F$4:$F$1203&lt;&gt;"")*Log!$F$4:$F$1203))=0,"",SUMPRODUCT(MAX((Log!$D$4:$D$1203=$A5)*(Log!$E$4:$E$1203="A")*(Log!$F$4:$F$1203&lt;&gt;"")*Log!$F$4:$F$1203))))</f>
        <v>105</v>
      </c>
      <c r="J5" s="71" t="n">
        <f aca="false">IF(OR($H5="",$I5=""),"",$H5-$I5)</f>
        <v>-25</v>
      </c>
      <c r="K5" s="75" t="str">
        <f aca="false">IF($G5="","",IF($G5&gt;0.05,"steigend",IF($G5&lt;-0.05,"fallend","stabil")))</f>
        <v>stabil</v>
      </c>
    </row>
    <row r="6" customFormat="false" ht="18"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4</v>
      </c>
      <c r="E6" s="66" t="n">
        <f aca="false">IF($D6="","",SUMIFS(Log!$I$4:$I$1203,Log!$D$4:$D$1203,$A6,Log!$B$4:$B$1203,$D6,Log!$E$4:$E$1203,"A"))</f>
        <v>1600</v>
      </c>
      <c r="F6" s="66" t="n">
        <f aca="false">IF(OR($C6="",$E6=""),"",$E6-$C6)</f>
        <v>395</v>
      </c>
      <c r="G6" s="72" t="n">
        <f aca="false">IF(OR($C6="",$E6="",$C6=0),"",$E6/$C6-1)</f>
        <v>0.327800829875519</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85</v>
      </c>
      <c r="J6" s="69" t="n">
        <f aca="false">IF(OR($H6="",$I6=""),"",$H6-$I6)</f>
        <v>-5</v>
      </c>
      <c r="K6" s="73" t="str">
        <f aca="false">IF($G6="","",IF($G6&gt;0.05,"steigend",IF($G6&lt;-0.05,"fallend","stabil")))</f>
        <v>steigend</v>
      </c>
    </row>
    <row r="7" customFormat="false" ht="18"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4</v>
      </c>
      <c r="E7" s="68" t="n">
        <f aca="false">IF($D7="","",SUMIFS(Log!$I$4:$I$1203,Log!$D$4:$D$1203,$A7,Log!$B$4:$B$1203,$D7,Log!$E$4:$E$1203,"A"))</f>
        <v>6862.5</v>
      </c>
      <c r="F7" s="68" t="n">
        <f aca="false">IF(OR($C7="",$E7=""),"",$E7-$C7)</f>
        <v>2745</v>
      </c>
      <c r="G7" s="74" t="n">
        <f aca="false">IF(OR($C7="",$E7="",$C7=0),"",$E7/$C7-1)</f>
        <v>0.666666666666667</v>
      </c>
      <c r="H7" s="71" t="n">
        <f aca="false">IF($D7="","",IF(SUMPRODUCT(MAX((Log!$D$4:$D$1203=$A7)*(Log!$B$4:$B$1203=$D7)*(Log!$E$4:$E$1203="A")*(Log!$F$4:$F$1203&lt;&gt;"")*Log!$F$4:$F$1203))=0,"",SUMPRODUCT(MAX((Log!$D$4:$D$1203=$A7)*(Log!$B$4:$B$1203=$D7)*(Log!$E$4:$E$1203="A")*(Log!$F$4:$F$1203&lt;&gt;"")*Log!$F$4:$F$1203))))</f>
        <v>152.5</v>
      </c>
      <c r="I7" s="71" t="n">
        <f aca="false">IF($A7="","",IF(SUMPRODUCT(MAX((Log!$D$4:$D$1203=$A7)*(Log!$E$4:$E$1203="A")*(Log!$F$4:$F$1203&lt;&gt;"")*Log!$F$4:$F$1203))=0,"",SUMPRODUCT(MAX((Log!$D$4:$D$1203=$A7)*(Log!$E$4:$E$1203="A")*(Log!$F$4:$F$1203&lt;&gt;"")*Log!$F$4:$F$1203))))</f>
        <v>152.5</v>
      </c>
      <c r="J7" s="71" t="n">
        <f aca="false">IF(OR($H7="",$I7=""),"",$H7-$I7)</f>
        <v>0</v>
      </c>
      <c r="K7" s="75" t="str">
        <f aca="false">IF($G7="","",IF($G7&gt;0.05,"steigend",IF($G7&lt;-0.05,"fallend","stabil")))</f>
        <v>steigend</v>
      </c>
    </row>
    <row r="8" customFormat="false" ht="18" hidden="false" customHeight="true" outlineLevel="0" collapsed="false">
      <c r="A8" s="36" t="str">
        <f aca="false">IF(Übungen!$A8="","",Übungen!$A8)</f>
        <v>Rumänisches Kreuzheben</v>
      </c>
      <c r="B8" s="66" t="str">
        <f aca="false">IF($A8="","",IF(SUMPRODUCT(MAX((Log!$D$4:$D$1203=$A8)*(Log!$E$4:$E$1203="A")*Log!$B$4:$B$1203))=0,"",SUMPRODUCT(MIN((Log!$D$4:$D$1203=$A8)*(Log!$E$4:$E$1203="A")*Log!$B$4:$B$1203+((Log!$D$4:$D$1203&lt;&gt;$A8)+(Log!$E$4:$E$1203&lt;&gt;"A")&gt;0)*9999))))</f>
        <v/>
      </c>
      <c r="C8" s="66" t="str">
        <f aca="false">IF($B8="","",SUMIFS(Log!$I$4:$I$1203,Log!$D$4:$D$1203,$A8,Log!$B$4:$B$1203,$B8,Log!$E$4:$E$1203,"A"))</f>
        <v/>
      </c>
      <c r="D8" s="66" t="str">
        <f aca="false">IF($A8="","",IF(SUMPRODUCT(MAX((Log!$D$4:$D$1203=$A8)*(Log!$E$4:$E$1203="A")*Log!$B$4:$B$1203))=0,"",SUMPRODUCT(MAX((Log!$D$4:$D$1203=$A8)*(Log!$E$4:$E$1203="A")*Log!$B$4:$B$1203))))</f>
        <v/>
      </c>
      <c r="E8" s="66" t="str">
        <f aca="false">IF($D8="","",SUMIFS(Log!$I$4:$I$1203,Log!$D$4:$D$1203,$A8,Log!$B$4:$B$1203,$D8,Log!$E$4:$E$1203,"A"))</f>
        <v/>
      </c>
      <c r="F8" s="66" t="str">
        <f aca="false">IF(OR($C8="",$E8=""),"",$E8-$C8)</f>
        <v/>
      </c>
      <c r="G8" s="72" t="str">
        <f aca="false">IF(OR($C8="",$E8="",$C8=0),"",$E8/$C8-1)</f>
        <v/>
      </c>
      <c r="H8" s="69" t="str">
        <f aca="false">IF($D8="","",IF(SUMPRODUCT(MAX((Log!$D$4:$D$1203=$A8)*(Log!$B$4:$B$1203=$D8)*(Log!$E$4:$E$1203="A")*(Log!$F$4:$F$1203&lt;&gt;"")*Log!$F$4:$F$1203))=0,"",SUMPRODUCT(MAX((Log!$D$4:$D$1203=$A8)*(Log!$B$4:$B$1203=$D8)*(Log!$E$4:$E$1203="A")*(Log!$F$4:$F$1203&lt;&gt;"")*Log!$F$4:$F$1203))))</f>
        <v/>
      </c>
      <c r="I8" s="69" t="str">
        <f aca="false">IF($A8="","",IF(SUMPRODUCT(MAX((Log!$D$4:$D$1203=$A8)*(Log!$E$4:$E$1203="A")*(Log!$F$4:$F$1203&lt;&gt;"")*Log!$F$4:$F$1203))=0,"",SUMPRODUCT(MAX((Log!$D$4:$D$1203=$A8)*(Log!$E$4:$E$1203="A")*(Log!$F$4:$F$1203&lt;&gt;"")*Log!$F$4:$F$1203))))</f>
        <v/>
      </c>
      <c r="J8" s="69" t="str">
        <f aca="false">IF(OR($H8="",$I8=""),"",$H8-$I8)</f>
        <v/>
      </c>
      <c r="K8" s="73" t="str">
        <f aca="false">IF($G8="","",IF($G8&gt;0.05,"steigend",IF($G8&lt;-0.05,"fallend","stabil")))</f>
        <v/>
      </c>
    </row>
    <row r="9" customFormat="false" ht="18"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4</v>
      </c>
      <c r="E9" s="68" t="n">
        <f aca="false">IF($D9="","",SUMIFS(Log!$I$4:$I$1203,Log!$D$4:$D$1203,$A9,Log!$B$4:$B$1203,$D9,Log!$E$4:$E$1203,"A"))</f>
        <v>6480</v>
      </c>
      <c r="F9" s="68" t="n">
        <f aca="false">IF(OR($C9="",$E9=""),"",$E9-$C9)</f>
        <v>1920</v>
      </c>
      <c r="G9" s="74" t="n">
        <f aca="false">IF(OR($C9="",$E9="",$C9=0),"",$E9/$C9-1)</f>
        <v>0.421052631578947</v>
      </c>
      <c r="H9" s="71" t="n">
        <f aca="false">IF($D9="","",IF(SUMPRODUCT(MAX((Log!$D$4:$D$1203=$A9)*(Log!$B$4:$B$1203=$D9)*(Log!$E$4:$E$1203="A")*(Log!$F$4:$F$1203&lt;&gt;"")*Log!$F$4:$F$1203))=0,"",SUMPRODUCT(MAX((Log!$D$4:$D$1203=$A9)*(Log!$B$4:$B$1203=$D9)*(Log!$E$4:$E$1203="A")*(Log!$F$4:$F$1203&lt;&gt;"")*Log!$F$4:$F$1203))))</f>
        <v>270</v>
      </c>
      <c r="I9" s="71" t="n">
        <f aca="false">IF($A9="","",IF(SUMPRODUCT(MAX((Log!$D$4:$D$1203=$A9)*(Log!$E$4:$E$1203="A")*(Log!$F$4:$F$1203&lt;&gt;"")*Log!$F$4:$F$1203))=0,"",SUMPRODUCT(MAX((Log!$D$4:$D$1203=$A9)*(Log!$E$4:$E$1203="A")*(Log!$F$4:$F$1203&lt;&gt;"")*Log!$F$4:$F$1203))))</f>
        <v>280</v>
      </c>
      <c r="J9" s="71" t="n">
        <f aca="false">IF(OR($H9="",$I9=""),"",$H9-$I9)</f>
        <v>-10</v>
      </c>
      <c r="K9" s="75" t="str">
        <f aca="false">IF($G9="","",IF($G9&gt;0.05,"steigend",IF($G9&lt;-0.05,"fallend","stabil")))</f>
        <v>steigend</v>
      </c>
    </row>
    <row r="10" customFormat="false" ht="18"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3</v>
      </c>
      <c r="E10" s="66" t="n">
        <f aca="false">IF($D10="","",SUMIFS(Log!$I$4:$I$1203,Log!$D$4:$D$1203,$A10,Log!$B$4:$B$1203,$D10,Log!$E$4:$E$1203,"A"))</f>
        <v>1275</v>
      </c>
      <c r="F10" s="66" t="n">
        <f aca="false">IF(OR($C10="",$E10=""),"",$E10-$C10)</f>
        <v>145</v>
      </c>
      <c r="G10" s="72" t="n">
        <f aca="false">IF(OR($C10="",$E10="",$C10=0),"",$E10/$C10-1)</f>
        <v>0.128318584070797</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steigend</v>
      </c>
    </row>
    <row r="11" customFormat="false" ht="18"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2</v>
      </c>
      <c r="E11" s="68" t="n">
        <f aca="false">IF($D11="","",SUMIFS(Log!$I$4:$I$1203,Log!$D$4:$D$1203,$A11,Log!$B$4:$B$1203,$D11,Log!$E$4:$E$1203,"A"))</f>
        <v>975</v>
      </c>
      <c r="F11" s="68" t="n">
        <f aca="false">IF(OR($C11="",$E11=""),"",$E11-$C11)</f>
        <v>-103</v>
      </c>
      <c r="G11" s="74" t="n">
        <f aca="false">IF(OR($C11="",$E11="",$C11=0),"",$E11/$C11-1)</f>
        <v>-0.0955473098330241</v>
      </c>
      <c r="H11" s="71" t="n">
        <f aca="false">IF($D11="","",IF(SUMPRODUCT(MAX((Log!$D$4:$D$1203=$A11)*(Log!$B$4:$B$1203=$D11)*(Log!$E$4:$E$1203="A")*(Log!$F$4:$F$1203&lt;&gt;"")*Log!$F$4:$F$1203))=0,"",SUMPRODUCT(MAX((Log!$D$4:$D$1203=$A11)*(Log!$B$4:$B$1203=$D11)*(Log!$E$4:$E$1203="A")*(Log!$F$4:$F$1203&lt;&gt;"")*Log!$F$4:$F$1203))))</f>
        <v>35</v>
      </c>
      <c r="I11" s="71" t="n">
        <f aca="false">IF($A11="","",IF(SUMPRODUCT(MAX((Log!$D$4:$D$1203=$A11)*(Log!$E$4:$E$1203="A")*(Log!$F$4:$F$1203&lt;&gt;"")*Log!$F$4:$F$1203))=0,"",SUMPRODUCT(MAX((Log!$D$4:$D$1203=$A11)*(Log!$E$4:$E$1203="A")*(Log!$F$4:$F$1203&lt;&gt;"")*Log!$F$4:$F$1203))))</f>
        <v>49</v>
      </c>
      <c r="J11" s="71" t="n">
        <f aca="false">IF(OR($H11="",$I11=""),"",$H11-$I11)</f>
        <v>-14</v>
      </c>
      <c r="K11" s="75" t="str">
        <f aca="false">IF($G11="","",IF($G11&gt;0.05,"steigend",IF($G11&lt;-0.05,"fallend","stabil")))</f>
        <v>fallend</v>
      </c>
    </row>
    <row r="12" customFormat="false" ht="18"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2</v>
      </c>
      <c r="E12" s="66" t="n">
        <f aca="false">IF($D12="","",SUMIFS(Log!$I$4:$I$1203,Log!$D$4:$D$1203,$A12,Log!$B$4:$B$1203,$D12,Log!$E$4:$E$1203,"A"))</f>
        <v>3480</v>
      </c>
      <c r="F12" s="66" t="n">
        <f aca="false">IF(OR($C12="",$E12=""),"",$E12-$C12)</f>
        <v>15</v>
      </c>
      <c r="G12" s="72" t="n">
        <f aca="false">IF(OR($C12="",$E12="",$C12=0),"",$E12/$C12-1)</f>
        <v>0.00432900432900429</v>
      </c>
      <c r="H12" s="69" t="n">
        <f aca="false">IF($D12="","",IF(SUMPRODUCT(MAX((Log!$D$4:$D$1203=$A12)*(Log!$B$4:$B$1203=$D12)*(Log!$E$4:$E$1203="A")*(Log!$F$4:$F$1203&lt;&gt;"")*Log!$F$4:$F$1203))=0,"",SUMPRODUCT(MAX((Log!$D$4:$D$1203=$A12)*(Log!$B$4:$B$1203=$D12)*(Log!$E$4:$E$1203="A")*(Log!$F$4:$F$1203&lt;&gt;"")*Log!$F$4:$F$1203))))</f>
        <v>150</v>
      </c>
      <c r="I12" s="69" t="n">
        <f aca="false">IF($A12="","",IF(SUMPRODUCT(MAX((Log!$D$4:$D$1203=$A12)*(Log!$E$4:$E$1203="A")*(Log!$F$4:$F$1203&lt;&gt;"")*Log!$F$4:$F$1203))=0,"",SUMPRODUCT(MAX((Log!$D$4:$D$1203=$A12)*(Log!$E$4:$E$1203="A")*(Log!$F$4:$F$1203&lt;&gt;"")*Log!$F$4:$F$1203))))</f>
        <v>150</v>
      </c>
      <c r="J12" s="69" t="n">
        <f aca="false">IF(OR($H12="",$I12=""),"",$H12-$I12)</f>
        <v>0</v>
      </c>
      <c r="K12" s="73" t="str">
        <f aca="false">IF($G12="","",IF($G12&gt;0.05,"steigend",IF($G12&lt;-0.05,"fallend","stabil")))</f>
        <v>stabil</v>
      </c>
    </row>
    <row r="13" customFormat="false" ht="18"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4"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5" t="str">
        <f aca="false">IF($G13="","",IF($G13&gt;0.05,"steigend",IF($G13&lt;-0.05,"fallend","stabil")))</f>
        <v/>
      </c>
    </row>
    <row r="14" customFormat="false" ht="18"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row>
    <row r="15" customFormat="false" ht="18"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4"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5" t="str">
        <f aca="false">IF($G15="","",IF($G15&gt;0.05,"steigend",IF($G15&lt;-0.05,"fallend","stabil")))</f>
        <v/>
      </c>
    </row>
    <row r="16" customFormat="false" ht="18"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row>
    <row r="17" customFormat="false" ht="18"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4"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5" t="str">
        <f aca="false">IF($G17="","",IF($G17&gt;0.05,"steigend",IF($G17&lt;-0.05,"fallend","stabil")))</f>
        <v/>
      </c>
    </row>
    <row r="19" customFormat="false" ht="25.5" hidden="false" customHeight="true" outlineLevel="0" collapsed="false">
      <c r="A19" s="76" t="s">
        <v>274</v>
      </c>
      <c r="B19" s="76"/>
      <c r="C19" s="76"/>
      <c r="D19" s="76"/>
      <c r="E19" s="76"/>
      <c r="F19" s="76"/>
      <c r="G19" s="76"/>
      <c r="H19" s="76"/>
      <c r="I19" s="76"/>
      <c r="J19" s="76"/>
      <c r="K19" s="76"/>
    </row>
  </sheetData>
  <mergeCells count="3">
    <mergeCell ref="A1:K1"/>
    <mergeCell ref="A2:K2"/>
    <mergeCell ref="A19:K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A4:K17">
    <cfRule type="expression" priority="6" aboveAverage="0" equalAverage="0" bottom="0" percent="0" rank="0" text="" dxfId="13">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8"/>
    <col collapsed="false" customWidth="true" hidden="false" outlineLevel="0" max="4" min="4" style="0" width="9"/>
    <col collapsed="false" customWidth="true" hidden="false" outlineLevel="0" max="5" min="5" style="0" width="13"/>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13"/>
    <col collapsed="false" customWidth="true" hidden="false" outlineLevel="0" max="11" min="11" style="0" width="9"/>
    <col collapsed="false" customWidth="true" hidden="false" outlineLevel="0" max="12" min="12" style="0" width="12"/>
    <col collapsed="false" customWidth="true" hidden="false" outlineLevel="0" max="13" min="13" style="0" width="8"/>
    <col collapsed="false" customWidth="true" hidden="false" outlineLevel="0" max="14" min="14" style="0" width="11"/>
  </cols>
  <sheetData>
    <row r="1" customFormat="false" ht="30" hidden="false" customHeight="true" outlineLevel="0" collapsed="false">
      <c r="A1" s="1" t="s">
        <v>275</v>
      </c>
      <c r="B1" s="1"/>
      <c r="C1" s="1"/>
      <c r="D1" s="1"/>
      <c r="E1" s="1"/>
      <c r="F1" s="1"/>
      <c r="G1" s="1"/>
      <c r="H1" s="1"/>
      <c r="I1" s="1"/>
      <c r="J1" s="1"/>
      <c r="K1" s="1"/>
      <c r="L1" s="1"/>
      <c r="M1" s="1"/>
      <c r="N1" s="1"/>
    </row>
    <row r="2" customFormat="false" ht="15" hidden="false" customHeight="true" outlineLevel="0" collapsed="false">
      <c r="A2" s="2" t="s">
        <v>276</v>
      </c>
      <c r="B2" s="2"/>
      <c r="C2" s="2"/>
      <c r="D2" s="2"/>
      <c r="E2" s="2"/>
      <c r="F2" s="2"/>
      <c r="G2" s="2"/>
      <c r="H2" s="2"/>
      <c r="I2" s="2"/>
      <c r="J2" s="2"/>
      <c r="K2" s="2"/>
      <c r="L2" s="2"/>
      <c r="M2" s="2"/>
      <c r="N2" s="2"/>
    </row>
    <row r="3" customFormat="false" ht="33.75" hidden="false" customHeight="true" outlineLevel="0" collapsed="false">
      <c r="A3" s="22" t="s">
        <v>161</v>
      </c>
      <c r="B3" s="22" t="s">
        <v>218</v>
      </c>
      <c r="C3" s="22" t="s">
        <v>277</v>
      </c>
      <c r="D3" s="22" t="s">
        <v>210</v>
      </c>
      <c r="E3" s="22" t="s">
        <v>278</v>
      </c>
      <c r="F3" s="22" t="s">
        <v>279</v>
      </c>
      <c r="G3" s="22" t="s">
        <v>280</v>
      </c>
      <c r="H3" s="22" t="s">
        <v>281</v>
      </c>
      <c r="I3" s="22" t="s">
        <v>280</v>
      </c>
      <c r="J3" s="22" t="s">
        <v>282</v>
      </c>
      <c r="K3" s="22" t="s">
        <v>266</v>
      </c>
      <c r="L3" s="22" t="s">
        <v>270</v>
      </c>
      <c r="M3" s="22" t="s">
        <v>283</v>
      </c>
      <c r="N3" s="22" t="s">
        <v>284</v>
      </c>
    </row>
    <row r="4" customFormat="false" ht="18" hidden="false" customHeight="true" outlineLevel="0" collapsed="false">
      <c r="A4" s="36" t="str">
        <f aca="false">IF(Übungen!$A4="","",Übungen!$A4)</f>
        <v>Hackenschmidt-Kniebeuge</v>
      </c>
      <c r="B4" s="77" t="str">
        <f aca="false">IF(Übungen!$B4="","",Übungen!$B4)</f>
        <v>Beine vorne</v>
      </c>
      <c r="C4" s="66" t="str">
        <f aca="false">IF($D4="","",SUMPRODUCT((COUNTIFS(Log!$D$4:$D$1203,$A4,Log!$E$4:$E$1203,"A",Log!$B$4:$B$1203,Einheiten!$A$4:$A$63)&gt;0)*1))</f>
        <v/>
      </c>
      <c r="D4" s="66" t="str">
        <f aca="false">IF($A4="","",IF(COUNTIFS(Log!$D$4:$D$1203,$A4,Log!$E$4:$E$1203,"A")=0,"",COUNTIFS(Log!$D$4:$D$1203,$A4,Log!$E$4:$E$1203,"A")))</f>
        <v/>
      </c>
      <c r="E4" s="66" t="str">
        <f aca="false">IF($D4="","",SUMIFS(Log!$I$4:$I$1203,Log!$D$4:$D$1203,$A4,Log!$E$4:$E$1203,"A"))</f>
        <v/>
      </c>
      <c r="F4" s="78" t="str">
        <f aca="false">IF($D4="","",IF(SUMPRODUCT(MAX((Log!$D$4:$D$1203=$A4)*(Log!$E$4:$E$1203="A")*(Log!$F$4:$F$1203&lt;&gt;"")*Log!$F$4:$F$1203))=0,"",SUMPRODUCT(MAX((Log!$D$4:$D$1203=$A4)*(Log!$E$4:$E$1203="A")*(Log!$F$4:$F$1203&lt;&gt;"")*Log!$F$4:$F$1203))))</f>
        <v/>
      </c>
      <c r="G4" s="66" t="str">
        <f aca="false">IF($F4="","",SUMPRODUCT(MAX((Log!$D$4:$D$1203=$A4)*(Log!$E$4:$E$1203="A")*(Log!$F$4:$F$1203=$F4)*Log!$B$4:$B$1203)))</f>
        <v/>
      </c>
      <c r="H4" s="78" t="str">
        <f aca="false">IF($D4="","",IF(SUMPRODUCT(MAX((Log!$D$4:$D$1203=$A4)*(Log!$E$4:$E$1203="A")*(Log!$F$4:$F$1203&lt;&gt;"")*(Log!$G$4:$G$1203&lt;&gt;"")*Log!$F$4:$F$1203*(1+Log!$G$4:$G$1203/30)))=0,"",SUMPRODUCT(MAX((Log!$D$4:$D$1203=$A4)*(Log!$E$4:$E$1203="A")*(Log!$F$4:$F$1203&lt;&gt;"")*(Log!$G$4:$G$1203&lt;&gt;"")*Log!$F$4:$F$1203*(1+Log!$G$4:$G$1203/30)))))</f>
        <v/>
      </c>
      <c r="I4" s="66" t="str">
        <f aca="false">IF($H4="","",SUMPRODUCT(MAX((Log!$D$4:$D$1203=$A4)*(Log!$E$4:$E$1203="A")*(Log!$F$4:$F$1203&lt;&gt;"")*(Log!$G$4:$G$1203&lt;&gt;"")*(ROUND(Log!$F$4:$F$1203*(1+Log!$G$4:$G$1203/30),6)=ROUND($H4,6))*Log!$B$4:$B$1203)))</f>
        <v/>
      </c>
      <c r="J4" s="66" t="str">
        <f aca="false">IF($D4="","",IF(SUMPRODUCT(MAX((Log!$D$4:$D$1203=$A4)*(Log!$E$4:$E$1203="A")*(Log!$F$4:$F$1203&lt;&gt;"")*(Log!$G$4:$G$1203&lt;&gt;"")*Log!$F$4:$F$1203*Log!$G$4:$G$1203))=0,"",SUMPRODUCT(MAX((Log!$D$4:$D$1203=$A4)*(Log!$E$4:$E$1203="A")*(Log!$F$4:$F$1203&lt;&gt;"")*(Log!$G$4:$G$1203&lt;&gt;"")*Log!$F$4:$F$1203*Log!$G$4:$G$1203))))</f>
        <v/>
      </c>
      <c r="K4" s="66" t="str">
        <f aca="false">IF($D4="","",IF(SUMPRODUCT(MAX((Log!$D$4:$D$1203=$A4)*(Log!$E$4:$E$1203="A")*Log!$B$4:$B$1203))=0,"",SUMPRODUCT(MAX((Log!$D$4:$D$1203=$A4)*(Log!$E$4:$E$1203="A")*Log!$B$4:$B$1203))))</f>
        <v/>
      </c>
      <c r="L4" s="69" t="str">
        <f aca="false">IF($K4="","",IF(SUMPRODUCT(MAX((Log!$D$4:$D$1203=$A4)*(Log!$B$4:$B$1203=$K4)*(Log!$E$4:$E$1203="A")*(Log!$F$4:$F$1203&lt;&gt;"")*Log!$F$4:$F$1203))=0,"",SUMPRODUCT(MAX((Log!$D$4:$D$1203=$A4)*(Log!$B$4:$B$1203=$K4)*(Log!$E$4:$E$1203="A")*(Log!$F$4:$F$1203&lt;&gt;"")*Log!$F$4:$F$1203))))</f>
        <v/>
      </c>
      <c r="M4" s="66" t="str">
        <f aca="false">IF($L4="","",IF(SUMPRODUCT(MAX((Log!$D$4:$D$1203=$A4)*(Log!$B$4:$B$1203=$K4)*(Log!$E$4:$E$1203="A")*(Log!$F$4:$F$1203=$L4)*Log!$G$4:$G$1203))=0,"",SUMPRODUCT(MAX((Log!$D$4:$D$1203=$A4)*(Log!$B$4:$B$1203=$K4)*(Log!$E$4:$E$1203="A")*(Log!$F$4:$F$1203=$L4)*Log!$G$4:$G$1203))))</f>
        <v/>
      </c>
      <c r="N4" s="78" t="str">
        <f aca="false">IF($L4&lt;&gt;"",IF(Übungen!$H4="",ROUND($L4*1.025*2,0)/2,MIN(ROUND($L4*1.025*2,0)/2,Übungen!$H4)),IF(Übungen!$G4="","",Übungen!$G4))</f>
        <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4</v>
      </c>
      <c r="D5" s="68" t="n">
        <f aca="false">IF($A5="","",IF(COUNTIFS(Log!$D$4:$D$1203,$A5,Log!$E$4:$E$1203,"A")=0,"",COUNTIFS(Log!$D$4:$D$1203,$A5,Log!$E$4:$E$1203,"A")))</f>
        <v>12</v>
      </c>
      <c r="E5" s="68" t="n">
        <f aca="false">IF($D5="","",SUMIFS(Log!$I$4:$I$1203,Log!$D$4:$D$1203,$A5,Log!$E$4:$E$1203,"A"))</f>
        <v>7100</v>
      </c>
      <c r="F5" s="79" t="n">
        <f aca="false">IF($D5="","",IF(SUMPRODUCT(MAX((Log!$D$4:$D$1203=$A5)*(Log!$E$4:$E$1203="A")*(Log!$F$4:$F$1203&lt;&gt;"")*Log!$F$4:$F$1203))=0,"",SUMPRODUCT(MAX((Log!$D$4:$D$1203=$A5)*(Log!$E$4:$E$1203="A")*(Log!$F$4:$F$1203&lt;&gt;"")*Log!$F$4:$F$1203))))</f>
        <v>105</v>
      </c>
      <c r="G5" s="68" t="n">
        <f aca="false">IF($F5="","",SUMPRODUCT(MAX((Log!$D$4:$D$1203=$A5)*(Log!$E$4:$E$1203="A")*(Log!$F$4:$F$1203=$F5)*Log!$B$4:$B$1203)))</f>
        <v>2</v>
      </c>
      <c r="H5" s="79" t="n">
        <f aca="false">IF($D5="","",IF(SUMPRODUCT(MAX((Log!$D$4:$D$1203=$A5)*(Log!$E$4:$E$1203="A")*(Log!$F$4:$F$1203&lt;&gt;"")*(Log!$G$4:$G$1203&lt;&gt;"")*Log!$F$4:$F$1203*(1+Log!$G$4:$G$1203/30)))=0,"",SUMPRODUCT(MAX((Log!$D$4:$D$1203=$A5)*(Log!$E$4:$E$1203="A")*(Log!$F$4:$F$1203&lt;&gt;"")*(Log!$G$4:$G$1203&lt;&gt;"")*Log!$F$4:$F$1203*(1+Log!$G$4:$G$1203/30)))))</f>
        <v>123.5</v>
      </c>
      <c r="I5" s="68" t="n">
        <f aca="false">IF($H5="","",SUMPRODUCT(MAX((Log!$D$4:$D$1203=$A5)*(Log!$E$4:$E$1203="A")*(Log!$F$4:$F$1203&lt;&gt;"")*(Log!$G$4:$G$1203&lt;&gt;"")*(ROUND(Log!$F$4:$F$1203*(1+Log!$G$4:$G$1203/30),6)=ROUND($H5,6))*Log!$B$4:$B$1203)))</f>
        <v>3</v>
      </c>
      <c r="J5" s="68" t="n">
        <f aca="false">IF($D5="","",IF(SUMPRODUCT(MAX((Log!$D$4:$D$1203=$A5)*(Log!$E$4:$E$1203="A")*(Log!$F$4:$F$1203&lt;&gt;"")*(Log!$G$4:$G$1203&lt;&gt;"")*Log!$F$4:$F$1203*Log!$G$4:$G$1203))=0,"",SUMPRODUCT(MAX((Log!$D$4:$D$1203=$A5)*(Log!$E$4:$E$1203="A")*(Log!$F$4:$F$1203&lt;&gt;"")*(Log!$G$4:$G$1203&lt;&gt;"")*Log!$F$4:$F$1203*Log!$G$4:$G$1203))))</f>
        <v>855</v>
      </c>
      <c r="K5" s="68" t="n">
        <f aca="false">IF($D5="","",IF(SUMPRODUCT(MAX((Log!$D$4:$D$1203=$A5)*(Log!$E$4:$E$1203="A")*Log!$B$4:$B$1203))=0,"",SUMPRODUCT(MAX((Log!$D$4:$D$1203=$A5)*(Log!$E$4:$E$1203="A")*Log!$B$4:$B$1203))))</f>
        <v>4</v>
      </c>
      <c r="L5" s="71" t="n">
        <f aca="false">IF($K5="","",IF(SUMPRODUCT(MAX((Log!$D$4:$D$1203=$A5)*(Log!$B$4:$B$1203=$K5)*(Log!$E$4:$E$1203="A")*(Log!$F$4:$F$1203&lt;&gt;"")*Log!$F$4:$F$1203))=0,"",SUMPRODUCT(MAX((Log!$D$4:$D$1203=$A5)*(Log!$B$4:$B$1203=$K5)*(Log!$E$4:$E$1203="A")*(Log!$F$4:$F$1203&lt;&gt;"")*Log!$F$4:$F$1203))))</f>
        <v>80</v>
      </c>
      <c r="M5" s="68" t="n">
        <f aca="false">IF($L5="","",IF(SUMPRODUCT(MAX((Log!$D$4:$D$1203=$A5)*(Log!$B$4:$B$1203=$K5)*(Log!$E$4:$E$1203="A")*(Log!$F$4:$F$1203=$L5)*Log!$G$4:$G$1203))=0,"",SUMPRODUCT(MAX((Log!$D$4:$D$1203=$A5)*(Log!$B$4:$B$1203=$K5)*(Log!$E$4:$E$1203="A")*(Log!$F$4:$F$1203=$L5)*Log!$G$4:$G$1203))))</f>
        <v>8</v>
      </c>
      <c r="N5" s="79" t="n">
        <f aca="false">IF($L5&lt;&gt;"",IF(Übungen!$H5="",ROUND($L5*1.025*2,0)/2,MIN(ROUND($L5*1.025*2,0)/2,Übungen!$H5)),IF(Übungen!$G5="","",Übungen!$G5))</f>
        <v>82</v>
      </c>
    </row>
    <row r="6" customFormat="false" ht="18" hidden="false" customHeight="true" outlineLevel="0" collapsed="false">
      <c r="A6" s="36" t="str">
        <f aca="false">IF(Übungen!$A6="","",Übungen!$A6)</f>
        <v>Beinstrecker</v>
      </c>
      <c r="B6" s="77" t="str">
        <f aca="false">IF(Übungen!$B6="","",Übungen!$B6)</f>
        <v>Beine vorne</v>
      </c>
      <c r="C6" s="66" t="n">
        <f aca="false">IF($D6="","",SUMPRODUCT((COUNTIFS(Log!$D$4:$D$1203,$A6,Log!$E$4:$E$1203,"A",Log!$B$4:$B$1203,Einheiten!$A$4:$A$63)&gt;0)*1))</f>
        <v>4</v>
      </c>
      <c r="D6" s="66" t="n">
        <f aca="false">IF($A6="","",IF(COUNTIFS(Log!$D$4:$D$1203,$A6,Log!$E$4:$E$1203,"A")=0,"",COUNTIFS(Log!$D$4:$D$1203,$A6,Log!$E$4:$E$1203,"A")))</f>
        <v>8</v>
      </c>
      <c r="E6" s="66" t="n">
        <f aca="false">IF($D6="","",SUMIFS(Log!$I$4:$I$1203,Log!$D$4:$D$1203,$A6,Log!$E$4:$E$1203,"A"))</f>
        <v>5865</v>
      </c>
      <c r="F6" s="78" t="n">
        <f aca="false">IF($D6="","",IF(SUMPRODUCT(MAX((Log!$D$4:$D$1203=$A6)*(Log!$E$4:$E$1203="A")*(Log!$F$4:$F$1203&lt;&gt;"")*Log!$F$4:$F$1203))=0,"",SUMPRODUCT(MAX((Log!$D$4:$D$1203=$A6)*(Log!$E$4:$E$1203="A")*(Log!$F$4:$F$1203&lt;&gt;"")*Log!$F$4:$F$1203))))</f>
        <v>85</v>
      </c>
      <c r="G6" s="66" t="n">
        <f aca="false">IF($F6="","",SUMPRODUCT(MAX((Log!$D$4:$D$1203=$A6)*(Log!$E$4:$E$1203="A")*(Log!$F$4:$F$1203=$F6)*Log!$B$4:$B$1203)))</f>
        <v>3</v>
      </c>
      <c r="H6" s="78" t="n">
        <f aca="false">IF($D6="","",IF(SUMPRODUCT(MAX((Log!$D$4:$D$1203=$A6)*(Log!$E$4:$E$1203="A")*(Log!$F$4:$F$1203&lt;&gt;"")*(Log!$G$4:$G$1203&lt;&gt;"")*Log!$F$4:$F$1203*(1+Log!$G$4:$G$1203/30)))=0,"",SUMPRODUCT(MAX((Log!$D$4:$D$1203=$A6)*(Log!$E$4:$E$1203="A")*(Log!$F$4:$F$1203&lt;&gt;"")*(Log!$G$4:$G$1203&lt;&gt;"")*Log!$F$4:$F$1203*(1+Log!$G$4:$G$1203/30)))))</f>
        <v>112</v>
      </c>
      <c r="I6" s="66" t="n">
        <f aca="false">IF($H6="","",SUMPRODUCT(MAX((Log!$D$4:$D$1203=$A6)*(Log!$E$4:$E$1203="A")*(Log!$F$4:$F$1203&lt;&gt;"")*(Log!$G$4:$G$1203&lt;&gt;"")*(ROUND(Log!$F$4:$F$1203*(1+Log!$G$4:$G$1203/30),6)=ROUND($H6,6))*Log!$B$4:$B$1203)))</f>
        <v>4</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4</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12</v>
      </c>
      <c r="N6" s="78" t="n">
        <f aca="false">IF($L6&lt;&gt;"",IF(Übungen!$H6="",ROUND($L6*1.025*2,0)/2,MIN(ROUND($L6*1.025*2,0)/2,Übungen!$H6)),IF(Übungen!$G6="","",Übungen!$G6))</f>
        <v>82</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4</v>
      </c>
      <c r="D7" s="68" t="n">
        <f aca="false">IF($A7="","",IF(COUNTIFS(Log!$D$4:$D$1203,$A7,Log!$E$4:$E$1203,"A")=0,"",COUNTIFS(Log!$D$4:$D$1203,$A7,Log!$E$4:$E$1203,"A")))</f>
        <v>8</v>
      </c>
      <c r="E7" s="68" t="n">
        <f aca="false">IF($D7="","",SUMIFS(Log!$I$4:$I$1203,Log!$D$4:$D$1203,$A7,Log!$E$4:$E$1203,"A"))</f>
        <v>21807.5</v>
      </c>
      <c r="F7" s="79" t="n">
        <f aca="false">IF($D7="","",IF(SUMPRODUCT(MAX((Log!$D$4:$D$1203=$A7)*(Log!$E$4:$E$1203="A")*(Log!$F$4:$F$1203&lt;&gt;"")*Log!$F$4:$F$1203))=0,"",SUMPRODUCT(MAX((Log!$D$4:$D$1203=$A7)*(Log!$E$4:$E$1203="A")*(Log!$F$4:$F$1203&lt;&gt;"")*Log!$F$4:$F$1203))))</f>
        <v>152.5</v>
      </c>
      <c r="G7" s="68" t="n">
        <f aca="false">IF($F7="","",SUMPRODUCT(MAX((Log!$D$4:$D$1203=$A7)*(Log!$E$4:$E$1203="A")*(Log!$F$4:$F$1203=$F7)*Log!$B$4:$B$1203)))</f>
        <v>4</v>
      </c>
      <c r="H7" s="79"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4</v>
      </c>
      <c r="L7" s="71" t="n">
        <f aca="false">IF($K7="","",IF(SUMPRODUCT(MAX((Log!$D$4:$D$1203=$A7)*(Log!$B$4:$B$1203=$K7)*(Log!$E$4:$E$1203="A")*(Log!$F$4:$F$1203&lt;&gt;"")*Log!$F$4:$F$1203))=0,"",SUMPRODUCT(MAX((Log!$D$4:$D$1203=$A7)*(Log!$B$4:$B$1203=$K7)*(Log!$E$4:$E$1203="A")*(Log!$F$4:$F$1203&lt;&gt;"")*Log!$F$4:$F$1203))))</f>
        <v>152.5</v>
      </c>
      <c r="M7" s="68" t="n">
        <f aca="false">IF($L7="","",IF(SUMPRODUCT(MAX((Log!$D$4:$D$1203=$A7)*(Log!$B$4:$B$1203=$K7)*(Log!$E$4:$E$1203="A")*(Log!$F$4:$F$1203=$L7)*Log!$G$4:$G$1203))=0,"",SUMPRODUCT(MAX((Log!$D$4:$D$1203=$A7)*(Log!$B$4:$B$1203=$K7)*(Log!$E$4:$E$1203="A")*(Log!$F$4:$F$1203=$L7)*Log!$G$4:$G$1203))))</f>
        <v>25</v>
      </c>
      <c r="N7" s="79" t="n">
        <f aca="false">IF($L7&lt;&gt;"",IF(Übungen!$H7="",ROUND($L7*1.025*2,0)/2,MIN(ROUND($L7*1.025*2,0)/2,Übungen!$H7)),IF(Übungen!$G7="","",Übungen!$G7))</f>
        <v>152.5</v>
      </c>
    </row>
    <row r="8" customFormat="false" ht="18" hidden="false" customHeight="true" outlineLevel="0" collapsed="false">
      <c r="A8" s="36" t="str">
        <f aca="false">IF(Übungen!$A8="","",Übungen!$A8)</f>
        <v>Rumänisches Kreuzheben</v>
      </c>
      <c r="B8" s="77" t="str">
        <f aca="false">IF(Übungen!$B8="","",Übungen!$B8)</f>
        <v>Beine hinten</v>
      </c>
      <c r="C8" s="66" t="str">
        <f aca="false">IF($D8="","",SUMPRODUCT((COUNTIFS(Log!$D$4:$D$1203,$A8,Log!$E$4:$E$1203,"A",Log!$B$4:$B$1203,Einheiten!$A$4:$A$63)&gt;0)*1))</f>
        <v/>
      </c>
      <c r="D8" s="66" t="str">
        <f aca="false">IF($A8="","",IF(COUNTIFS(Log!$D$4:$D$1203,$A8,Log!$E$4:$E$1203,"A")=0,"",COUNTIFS(Log!$D$4:$D$1203,$A8,Log!$E$4:$E$1203,"A")))</f>
        <v/>
      </c>
      <c r="E8" s="66" t="str">
        <f aca="false">IF($D8="","",SUMIFS(Log!$I$4:$I$1203,Log!$D$4:$D$1203,$A8,Log!$E$4:$E$1203,"A"))</f>
        <v/>
      </c>
      <c r="F8" s="78" t="str">
        <f aca="false">IF($D8="","",IF(SUMPRODUCT(MAX((Log!$D$4:$D$1203=$A8)*(Log!$E$4:$E$1203="A")*(Log!$F$4:$F$1203&lt;&gt;"")*Log!$F$4:$F$1203))=0,"",SUMPRODUCT(MAX((Log!$D$4:$D$1203=$A8)*(Log!$E$4:$E$1203="A")*(Log!$F$4:$F$1203&lt;&gt;"")*Log!$F$4:$F$1203))))</f>
        <v/>
      </c>
      <c r="G8" s="66" t="str">
        <f aca="false">IF($F8="","",SUMPRODUCT(MAX((Log!$D$4:$D$1203=$A8)*(Log!$E$4:$E$1203="A")*(Log!$F$4:$F$1203=$F8)*Log!$B$4:$B$1203)))</f>
        <v/>
      </c>
      <c r="H8" s="78" t="str">
        <f aca="false">IF($D8="","",IF(SUMPRODUCT(MAX((Log!$D$4:$D$1203=$A8)*(Log!$E$4:$E$1203="A")*(Log!$F$4:$F$1203&lt;&gt;"")*(Log!$G$4:$G$1203&lt;&gt;"")*Log!$F$4:$F$1203*(1+Log!$G$4:$G$1203/30)))=0,"",SUMPRODUCT(MAX((Log!$D$4:$D$1203=$A8)*(Log!$E$4:$E$1203="A")*(Log!$F$4:$F$1203&lt;&gt;"")*(Log!$G$4:$G$1203&lt;&gt;"")*Log!$F$4:$F$1203*(1+Log!$G$4:$G$1203/30)))))</f>
        <v/>
      </c>
      <c r="I8" s="66" t="str">
        <f aca="false">IF($H8="","",SUMPRODUCT(MAX((Log!$D$4:$D$1203=$A8)*(Log!$E$4:$E$1203="A")*(Log!$F$4:$F$1203&lt;&gt;"")*(Log!$G$4:$G$1203&lt;&gt;"")*(ROUND(Log!$F$4:$F$1203*(1+Log!$G$4:$G$1203/30),6)=ROUND($H8,6))*Log!$B$4:$B$1203)))</f>
        <v/>
      </c>
      <c r="J8" s="66" t="str">
        <f aca="false">IF($D8="","",IF(SUMPRODUCT(MAX((Log!$D$4:$D$1203=$A8)*(Log!$E$4:$E$1203="A")*(Log!$F$4:$F$1203&lt;&gt;"")*(Log!$G$4:$G$1203&lt;&gt;"")*Log!$F$4:$F$1203*Log!$G$4:$G$1203))=0,"",SUMPRODUCT(MAX((Log!$D$4:$D$1203=$A8)*(Log!$E$4:$E$1203="A")*(Log!$F$4:$F$1203&lt;&gt;"")*(Log!$G$4:$G$1203&lt;&gt;"")*Log!$F$4:$F$1203*Log!$G$4:$G$1203))))</f>
        <v/>
      </c>
      <c r="K8" s="66" t="str">
        <f aca="false">IF($D8="","",IF(SUMPRODUCT(MAX((Log!$D$4:$D$1203=$A8)*(Log!$E$4:$E$1203="A")*Log!$B$4:$B$1203))=0,"",SUMPRODUCT(MAX((Log!$D$4:$D$1203=$A8)*(Log!$E$4:$E$1203="A")*Log!$B$4:$B$1203))))</f>
        <v/>
      </c>
      <c r="L8" s="69" t="str">
        <f aca="false">IF($K8="","",IF(SUMPRODUCT(MAX((Log!$D$4:$D$1203=$A8)*(Log!$B$4:$B$1203=$K8)*(Log!$E$4:$E$1203="A")*(Log!$F$4:$F$1203&lt;&gt;"")*Log!$F$4:$F$1203))=0,"",SUMPRODUCT(MAX((Log!$D$4:$D$1203=$A8)*(Log!$B$4:$B$1203=$K8)*(Log!$E$4:$E$1203="A")*(Log!$F$4:$F$1203&lt;&gt;"")*Log!$F$4:$F$1203))))</f>
        <v/>
      </c>
      <c r="M8" s="66" t="str">
        <f aca="false">IF($L8="","",IF(SUMPRODUCT(MAX((Log!$D$4:$D$1203=$A8)*(Log!$B$4:$B$1203=$K8)*(Log!$E$4:$E$1203="A")*(Log!$F$4:$F$1203=$L8)*Log!$G$4:$G$1203))=0,"",SUMPRODUCT(MAX((Log!$D$4:$D$1203=$A8)*(Log!$B$4:$B$1203=$K8)*(Log!$E$4:$E$1203="A")*(Log!$F$4:$F$1203=$L8)*Log!$G$4:$G$1203))))</f>
        <v/>
      </c>
      <c r="N8" s="78" t="str">
        <f aca="false">IF($L8&lt;&gt;"",IF(Übungen!$H8="",ROUND($L8*1.025*2,0)/2,MIN(ROUND($L8*1.025*2,0)/2,Übungen!$H8)),IF(Übungen!$G8="","",Übungen!$G8))</f>
        <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4</v>
      </c>
      <c r="D9" s="68" t="n">
        <f aca="false">IF($A9="","",IF(COUNTIFS(Log!$D$4:$D$1203,$A9,Log!$E$4:$E$1203,"A")=0,"",COUNTIFS(Log!$D$4:$D$1203,$A9,Log!$E$4:$E$1203,"A")))</f>
        <v>9</v>
      </c>
      <c r="E9" s="68" t="n">
        <f aca="false">IF($D9="","",SUMIFS(Log!$I$4:$I$1203,Log!$D$4:$D$1203,$A9,Log!$E$4:$E$1203,"A"))</f>
        <v>20060</v>
      </c>
      <c r="F9" s="79" t="n">
        <f aca="false">IF($D9="","",IF(SUMPRODUCT(MAX((Log!$D$4:$D$1203=$A9)*(Log!$E$4:$E$1203="A")*(Log!$F$4:$F$1203&lt;&gt;"")*Log!$F$4:$F$1203))=0,"",SUMPRODUCT(MAX((Log!$D$4:$D$1203=$A9)*(Log!$E$4:$E$1203="A")*(Log!$F$4:$F$1203&lt;&gt;"")*Log!$F$4:$F$1203))))</f>
        <v>280</v>
      </c>
      <c r="G9" s="68" t="n">
        <f aca="false">IF($F9="","",SUMPRODUCT(MAX((Log!$D$4:$D$1203=$A9)*(Log!$E$4:$E$1203="A")*(Log!$F$4:$F$1203=$F9)*Log!$B$4:$B$1203)))</f>
        <v>3</v>
      </c>
      <c r="H9" s="79"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4</v>
      </c>
      <c r="L9" s="71" t="n">
        <f aca="false">IF($K9="","",IF(SUMPRODUCT(MAX((Log!$D$4:$D$1203=$A9)*(Log!$B$4:$B$1203=$K9)*(Log!$E$4:$E$1203="A")*(Log!$F$4:$F$1203&lt;&gt;"")*Log!$F$4:$F$1203))=0,"",SUMPRODUCT(MAX((Log!$D$4:$D$1203=$A9)*(Log!$B$4:$B$1203=$K9)*(Log!$E$4:$E$1203="A")*(Log!$F$4:$F$1203&lt;&gt;"")*Log!$F$4:$F$1203))))</f>
        <v>270</v>
      </c>
      <c r="M9" s="68" t="n">
        <f aca="false">IF($L9="","",IF(SUMPRODUCT(MAX((Log!$D$4:$D$1203=$A9)*(Log!$B$4:$B$1203=$K9)*(Log!$E$4:$E$1203="A")*(Log!$F$4:$F$1203=$L9)*Log!$G$4:$G$1203))=0,"",SUMPRODUCT(MAX((Log!$D$4:$D$1203=$A9)*(Log!$B$4:$B$1203=$K9)*(Log!$E$4:$E$1203="A")*(Log!$F$4:$F$1203=$L9)*Log!$G$4:$G$1203))))</f>
        <v>8</v>
      </c>
      <c r="N9" s="79" t="n">
        <f aca="false">IF($L9&lt;&gt;"",IF(Übungen!$H9="",ROUND($L9*1.025*2,0)/2,MIN(ROUND($L9*1.025*2,0)/2,Übungen!$H9)),IF(Übungen!$G9="","",Übungen!$G9))</f>
        <v>277</v>
      </c>
    </row>
    <row r="10" customFormat="false" ht="18" hidden="false" customHeight="true" outlineLevel="0" collapsed="false">
      <c r="A10" s="36" t="str">
        <f aca="false">IF(Übungen!$A10="","",Übungen!$A10)</f>
        <v>Beinbeuger</v>
      </c>
      <c r="B10" s="77" t="str">
        <f aca="false">IF(Übungen!$B10="","",Übungen!$B10)</f>
        <v>Beine hinten</v>
      </c>
      <c r="C10" s="66" t="n">
        <f aca="false">IF($D10="","",SUMPRODUCT((COUNTIFS(Log!$D$4:$D$1203,$A10,Log!$E$4:$E$1203,"A",Log!$B$4:$B$1203,Einheiten!$A$4:$A$63)&gt;0)*1))</f>
        <v>3</v>
      </c>
      <c r="D10" s="66" t="n">
        <f aca="false">IF($A10="","",IF(COUNTIFS(Log!$D$4:$D$1203,$A10,Log!$E$4:$E$1203,"A")=0,"",COUNTIFS(Log!$D$4:$D$1203,$A10,Log!$E$4:$E$1203,"A")))</f>
        <v>6</v>
      </c>
      <c r="E10" s="66" t="n">
        <f aca="false">IF($D10="","",SUMIFS(Log!$I$4:$I$1203,Log!$D$4:$D$1203,$A10,Log!$E$4:$E$1203,"A"))</f>
        <v>3555</v>
      </c>
      <c r="F10" s="78" t="n">
        <f aca="false">IF($D10="","",IF(SUMPRODUCT(MAX((Log!$D$4:$D$1203=$A10)*(Log!$E$4:$E$1203="A")*(Log!$F$4:$F$1203&lt;&gt;"")*Log!$F$4:$F$1203))=0,"",SUMPRODUCT(MAX((Log!$D$4:$D$1203=$A10)*(Log!$E$4:$E$1203="A")*(Log!$F$4:$F$1203&lt;&gt;"")*Log!$F$4:$F$1203))))</f>
        <v>55</v>
      </c>
      <c r="G10" s="66" t="n">
        <f aca="false">IF($F10="","",SUMPRODUCT(MAX((Log!$D$4:$D$1203=$A10)*(Log!$E$4:$E$1203="A")*(Log!$F$4:$F$1203=$F10)*Log!$B$4:$B$1203)))</f>
        <v>2</v>
      </c>
      <c r="H10" s="78"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3</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15</v>
      </c>
      <c r="N10" s="78" t="n">
        <f aca="false">IF($L10&lt;&gt;"",IF(Übungen!$H10="",ROUND($L10*1.025*2,0)/2,MIN(ROUND($L10*1.025*2,0)/2,Übungen!$H10)),IF(Übungen!$G10="","",Übungen!$G10))</f>
        <v>46</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2</v>
      </c>
      <c r="D11" s="68" t="n">
        <f aca="false">IF($A11="","",IF(COUNTIFS(Log!$D$4:$D$1203,$A11,Log!$E$4:$E$1203,"A")=0,"",COUNTIFS(Log!$D$4:$D$1203,$A11,Log!$E$4:$E$1203,"A")))</f>
        <v>4</v>
      </c>
      <c r="E11" s="68" t="n">
        <f aca="false">IF($D11="","",SUMIFS(Log!$I$4:$I$1203,Log!$D$4:$D$1203,$A11,Log!$E$4:$E$1203,"A"))</f>
        <v>2053</v>
      </c>
      <c r="F11" s="79" t="n">
        <f aca="false">IF($D11="","",IF(SUMPRODUCT(MAX((Log!$D$4:$D$1203=$A11)*(Log!$E$4:$E$1203="A")*(Log!$F$4:$F$1203&lt;&gt;"")*Log!$F$4:$F$1203))=0,"",SUMPRODUCT(MAX((Log!$D$4:$D$1203=$A11)*(Log!$E$4:$E$1203="A")*(Log!$F$4:$F$1203&lt;&gt;"")*Log!$F$4:$F$1203))))</f>
        <v>49</v>
      </c>
      <c r="G11" s="68" t="n">
        <f aca="false">IF($F11="","",SUMPRODUCT(MAX((Log!$D$4:$D$1203=$A11)*(Log!$E$4:$E$1203="A")*(Log!$F$4:$F$1203=$F11)*Log!$B$4:$B$1203)))</f>
        <v>1</v>
      </c>
      <c r="H11" s="79"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2</v>
      </c>
      <c r="L11" s="71" t="n">
        <f aca="false">IF($K11="","",IF(SUMPRODUCT(MAX((Log!$D$4:$D$1203=$A11)*(Log!$B$4:$B$1203=$K11)*(Log!$E$4:$E$1203="A")*(Log!$F$4:$F$1203&lt;&gt;"")*Log!$F$4:$F$1203))=0,"",SUMPRODUCT(MAX((Log!$D$4:$D$1203=$A11)*(Log!$B$4:$B$1203=$K11)*(Log!$E$4:$E$1203="A")*(Log!$F$4:$F$1203&lt;&gt;"")*Log!$F$4:$F$1203))))</f>
        <v>35</v>
      </c>
      <c r="M11" s="68" t="n">
        <f aca="false">IF($L11="","",IF(SUMPRODUCT(MAX((Log!$D$4:$D$1203=$A11)*(Log!$B$4:$B$1203=$K11)*(Log!$E$4:$E$1203="A")*(Log!$F$4:$F$1203=$L11)*Log!$G$4:$G$1203))=0,"",SUMPRODUCT(MAX((Log!$D$4:$D$1203=$A11)*(Log!$B$4:$B$1203=$K11)*(Log!$E$4:$E$1203="A")*(Log!$F$4:$F$1203=$L11)*Log!$G$4:$G$1203))))</f>
        <v>15</v>
      </c>
      <c r="N11" s="79" t="n">
        <f aca="false">IF($L11&lt;&gt;"",IF(Übungen!$H11="",ROUND($L11*1.025*2,0)/2,MIN(ROUND($L11*1.025*2,0)/2,Übungen!$H11)),IF(Übungen!$G11="","",Übungen!$G11))</f>
        <v>36</v>
      </c>
    </row>
    <row r="12" customFormat="false" ht="18" hidden="false" customHeight="true" outlineLevel="0" collapsed="false">
      <c r="A12" s="36" t="str">
        <f aca="false">IF(Übungen!$A12="","",Übungen!$A12)</f>
        <v>Waden</v>
      </c>
      <c r="B12" s="77" t="str">
        <f aca="false">IF(Übungen!$B12="","",Übungen!$B12)</f>
        <v>Beine hinten</v>
      </c>
      <c r="C12" s="66" t="n">
        <f aca="false">IF($D12="","",SUMPRODUCT((COUNTIFS(Log!$D$4:$D$1203,$A12,Log!$E$4:$E$1203,"A",Log!$B$4:$B$1203,Einheiten!$A$4:$A$63)&gt;0)*1))</f>
        <v>2</v>
      </c>
      <c r="D12" s="66" t="n">
        <f aca="false">IF($A12="","",IF(COUNTIFS(Log!$D$4:$D$1203,$A12,Log!$E$4:$E$1203,"A")=0,"",COUNTIFS(Log!$D$4:$D$1203,$A12,Log!$E$4:$E$1203,"A")))</f>
        <v>4</v>
      </c>
      <c r="E12" s="66" t="n">
        <f aca="false">IF($D12="","",SUMIFS(Log!$I$4:$I$1203,Log!$D$4:$D$1203,$A12,Log!$E$4:$E$1203,"A"))</f>
        <v>6945</v>
      </c>
      <c r="F12" s="78" t="n">
        <f aca="false">IF($D12="","",IF(SUMPRODUCT(MAX((Log!$D$4:$D$1203=$A12)*(Log!$E$4:$E$1203="A")*(Log!$F$4:$F$1203&lt;&gt;"")*Log!$F$4:$F$1203))=0,"",SUMPRODUCT(MAX((Log!$D$4:$D$1203=$A12)*(Log!$E$4:$E$1203="A")*(Log!$F$4:$F$1203&lt;&gt;"")*Log!$F$4:$F$1203))))</f>
        <v>150</v>
      </c>
      <c r="G12" s="66" t="n">
        <f aca="false">IF($F12="","",SUMPRODUCT(MAX((Log!$D$4:$D$1203=$A12)*(Log!$E$4:$E$1203="A")*(Log!$F$4:$F$1203=$F12)*Log!$B$4:$B$1203)))</f>
        <v>2</v>
      </c>
      <c r="H12" s="78"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2</v>
      </c>
      <c r="L12" s="69" t="n">
        <f aca="false">IF($K12="","",IF(SUMPRODUCT(MAX((Log!$D$4:$D$1203=$A12)*(Log!$B$4:$B$1203=$K12)*(Log!$E$4:$E$1203="A")*(Log!$F$4:$F$1203&lt;&gt;"")*Log!$F$4:$F$1203))=0,"",SUMPRODUCT(MAX((Log!$D$4:$D$1203=$A12)*(Log!$B$4:$B$1203=$K12)*(Log!$E$4:$E$1203="A")*(Log!$F$4:$F$1203&lt;&gt;"")*Log!$F$4:$F$1203))))</f>
        <v>150</v>
      </c>
      <c r="M12" s="66" t="n">
        <f aca="false">IF($L12="","",IF(SUMPRODUCT(MAX((Log!$D$4:$D$1203=$A12)*(Log!$B$4:$B$1203=$K12)*(Log!$E$4:$E$1203="A")*(Log!$F$4:$F$1203=$L12)*Log!$G$4:$G$1203))=0,"",SUMPRODUCT(MAX((Log!$D$4:$D$1203=$A12)*(Log!$B$4:$B$1203=$K12)*(Log!$E$4:$E$1203="A")*(Log!$F$4:$F$1203=$L12)*Log!$G$4:$G$1203))))</f>
        <v>12</v>
      </c>
      <c r="N12" s="78" t="n">
        <f aca="false">IF($L12&lt;&gt;"",IF(Übungen!$H12="",ROUND($L12*1.025*2,0)/2,MIN(ROUND($L12*1.025*2,0)/2,Übungen!$H12)),IF(Übungen!$G12="","",Übungen!$G12))</f>
        <v>154</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79" t="n">
        <f aca="false">IF($D13="","",IF(SUMPRODUCT(MAX((Log!$D$4:$D$1203=$A13)*(Log!$E$4:$E$1203="A")*(Log!$F$4:$F$1203&lt;&gt;"")*Log!$F$4:$F$1203))=0,"",SUMPRODUCT(MAX((Log!$D$4:$D$1203=$A13)*(Log!$E$4:$E$1203="A")*(Log!$F$4:$F$1203&lt;&gt;"")*Log!$F$4:$F$1203))))</f>
        <v>18</v>
      </c>
      <c r="G13" s="68" t="n">
        <f aca="false">IF($F13="","",SUMPRODUCT(MAX((Log!$D$4:$D$1203=$A13)*(Log!$E$4:$E$1203="A")*(Log!$F$4:$F$1203=$F13)*Log!$B$4:$B$1203)))</f>
        <v>3</v>
      </c>
      <c r="H13" s="79"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79" t="n">
        <f aca="false">IF($L13&lt;&gt;"",IF(Übungen!$H13="",ROUND($L13*1.025*2,0)/2,MIN(ROUND($L13*1.025*2,0)/2,Übungen!$H13)),IF(Übungen!$G13="","",Übungen!$G13))</f>
        <v>18.5</v>
      </c>
    </row>
    <row r="14" customFormat="false" ht="18" hidden="false" customHeight="true" outlineLevel="0" collapsed="false">
      <c r="A14" s="36" t="str">
        <f aca="false">IF(Übungen!$A14="","",Übungen!$A14)</f>
        <v>Kickback</v>
      </c>
      <c r="B14" s="77"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78" t="n">
        <f aca="false">IF($D14="","",IF(SUMPRODUCT(MAX((Log!$D$4:$D$1203=$A14)*(Log!$E$4:$E$1203="A")*(Log!$F$4:$F$1203&lt;&gt;"")*Log!$F$4:$F$1203))=0,"",SUMPRODUCT(MAX((Log!$D$4:$D$1203=$A14)*(Log!$E$4:$E$1203="A")*(Log!$F$4:$F$1203&lt;&gt;"")*Log!$F$4:$F$1203))))</f>
        <v>84</v>
      </c>
      <c r="G14" s="66" t="n">
        <f aca="false">IF($F14="","",SUMPRODUCT(MAX((Log!$D$4:$D$1203=$A14)*(Log!$E$4:$E$1203="A")*(Log!$F$4:$F$1203=$F14)*Log!$B$4:$B$1203)))</f>
        <v>3</v>
      </c>
      <c r="H14" s="78"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78" t="n">
        <f aca="false">IF($L14&lt;&gt;"",IF(Übungen!$H14="",ROUND($L14*1.025*2,0)/2,MIN(ROUND($L14*1.025*2,0)/2,Übungen!$H14)),IF(Übungen!$G14="","",Übungen!$G14))</f>
        <v>64.5</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79" t="str">
        <f aca="false">IF($D15="","",IF(SUMPRODUCT(MAX((Log!$D$4:$D$1203=$A15)*(Log!$E$4:$E$1203="A")*(Log!$F$4:$F$1203&lt;&gt;"")*Log!$F$4:$F$1203))=0,"",SUMPRODUCT(MAX((Log!$D$4:$D$1203=$A15)*(Log!$E$4:$E$1203="A")*(Log!$F$4:$F$1203&lt;&gt;"")*Log!$F$4:$F$1203))))</f>
        <v/>
      </c>
      <c r="G15" s="68" t="str">
        <f aca="false">IF($F15="","",SUMPRODUCT(MAX((Log!$D$4:$D$1203=$A15)*(Log!$E$4:$E$1203="A")*(Log!$F$4:$F$1203=$F15)*Log!$B$4:$B$1203)))</f>
        <v/>
      </c>
      <c r="H15" s="79"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79" t="str">
        <f aca="false">IF($L15&lt;&gt;"",IF(Übungen!$H15="",ROUND($L15*1.025*2,0)/2,MIN(ROUND($L15*1.025*2,0)/2,Übungen!$H15)),IF(Übungen!$G15="","",Übungen!$G15))</f>
        <v/>
      </c>
    </row>
    <row r="16" customFormat="false" ht="18" hidden="false" customHeight="true" outlineLevel="0" collapsed="false">
      <c r="A16" s="36" t="str">
        <f aca="false">IF(Übungen!$A16="","",Übungen!$A16)</f>
        <v/>
      </c>
      <c r="B16" s="77"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78" t="str">
        <f aca="false">IF($D16="","",IF(SUMPRODUCT(MAX((Log!$D$4:$D$1203=$A16)*(Log!$E$4:$E$1203="A")*(Log!$F$4:$F$1203&lt;&gt;"")*Log!$F$4:$F$1203))=0,"",SUMPRODUCT(MAX((Log!$D$4:$D$1203=$A16)*(Log!$E$4:$E$1203="A")*(Log!$F$4:$F$1203&lt;&gt;"")*Log!$F$4:$F$1203))))</f>
        <v/>
      </c>
      <c r="G16" s="66" t="str">
        <f aca="false">IF($F16="","",SUMPRODUCT(MAX((Log!$D$4:$D$1203=$A16)*(Log!$E$4:$E$1203="A")*(Log!$F$4:$F$1203=$F16)*Log!$B$4:$B$1203)))</f>
        <v/>
      </c>
      <c r="H16" s="78"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78" t="str">
        <f aca="false">IF($L16&lt;&gt;"",IF(Übungen!$H16="",ROUND($L16*1.025*2,0)/2,MIN(ROUND($L16*1.025*2,0)/2,Übungen!$H16)),IF(Übungen!$G16="","",Übungen!$G16))</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79" t="str">
        <f aca="false">IF($D17="","",IF(SUMPRODUCT(MAX((Log!$D$4:$D$1203=$A17)*(Log!$E$4:$E$1203="A")*(Log!$F$4:$F$1203&lt;&gt;"")*Log!$F$4:$F$1203))=0,"",SUMPRODUCT(MAX((Log!$D$4:$D$1203=$A17)*(Log!$E$4:$E$1203="A")*(Log!$F$4:$F$1203&lt;&gt;"")*Log!$F$4:$F$1203))))</f>
        <v/>
      </c>
      <c r="G17" s="68" t="str">
        <f aca="false">IF($F17="","",SUMPRODUCT(MAX((Log!$D$4:$D$1203=$A17)*(Log!$E$4:$E$1203="A")*(Log!$F$4:$F$1203=$F17)*Log!$B$4:$B$1203)))</f>
        <v/>
      </c>
      <c r="H17" s="79"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79" t="str">
        <f aca="false">IF($L17&lt;&gt;"",IF(Übungen!$H17="",ROUND($L17*1.025*2,0)/2,MIN(ROUND($L17*1.025*2,0)/2,Übungen!$H17)),IF(Übungen!$G17="","",Übungen!$G17))</f>
        <v/>
      </c>
    </row>
    <row r="19" customFormat="false" ht="30" hidden="false" customHeight="true" outlineLevel="0" collapsed="false">
      <c r="A19" s="76" t="s">
        <v>285</v>
      </c>
      <c r="B19" s="76"/>
      <c r="C19" s="76"/>
      <c r="D19" s="76"/>
      <c r="E19" s="76"/>
      <c r="F19" s="76"/>
      <c r="G19" s="76"/>
      <c r="H19" s="76"/>
      <c r="I19" s="76"/>
      <c r="J19" s="76"/>
      <c r="K19" s="76"/>
      <c r="L19" s="76"/>
      <c r="M19" s="76"/>
      <c r="N19" s="76"/>
    </row>
  </sheetData>
  <mergeCells count="3">
    <mergeCell ref="A1:N1"/>
    <mergeCell ref="A2:N2"/>
    <mergeCell ref="A19:N19"/>
  </mergeCells>
  <conditionalFormatting sqref="A4:N17">
    <cfRule type="expression" priority="2" aboveAverage="0" equalAverage="0" bottom="0" percent="0" rank="0" text="" dxfId="13">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7" min="7" style="0" width="7"/>
    <col collapsed="false" customWidth="true" hidden="false" outlineLevel="0" max="8" min="8" style="0" width="30"/>
  </cols>
  <sheetData>
    <row r="1" customFormat="false" ht="27.75" hidden="false" customHeight="true" outlineLevel="0" collapsed="false">
      <c r="A1" s="1" t="s">
        <v>286</v>
      </c>
      <c r="B1" s="1"/>
      <c r="C1" s="1"/>
      <c r="D1" s="1"/>
      <c r="E1" s="1"/>
      <c r="F1" s="1"/>
      <c r="G1" s="1"/>
      <c r="H1" s="1"/>
    </row>
    <row r="2" customFormat="false" ht="12.75" hidden="false" customHeight="true" outlineLevel="0" collapsed="false">
      <c r="A2" s="80" t="s">
        <v>61</v>
      </c>
      <c r="B2" s="80"/>
      <c r="C2" s="81" t="s">
        <v>287</v>
      </c>
      <c r="D2" s="81" t="s">
        <v>288</v>
      </c>
      <c r="E2" s="80" t="s">
        <v>289</v>
      </c>
      <c r="F2" s="80"/>
      <c r="G2" s="80" t="s">
        <v>290</v>
      </c>
      <c r="H2" s="80"/>
    </row>
    <row r="3" customFormat="false" ht="19.5" hidden="false" customHeight="true" outlineLevel="0" collapsed="false">
      <c r="A3" s="82"/>
      <c r="B3" s="82"/>
      <c r="C3" s="82"/>
      <c r="D3" s="82"/>
      <c r="E3" s="82"/>
      <c r="F3" s="82"/>
      <c r="G3" s="82"/>
      <c r="H3" s="82"/>
    </row>
    <row r="5" customFormat="false" ht="18.75" hidden="false" customHeight="true" outlineLevel="0" collapsed="false">
      <c r="A5" s="83" t="str">
        <f aca="false">Übungen!$A$4</f>
        <v>Hackenschmidt-Kniebeuge</v>
      </c>
      <c r="B5" s="83"/>
      <c r="C5" s="83"/>
      <c r="D5" s="83"/>
      <c r="E5" s="83"/>
      <c r="F5" s="83"/>
      <c r="G5" s="83"/>
      <c r="H5" s="83"/>
    </row>
    <row r="6" customFormat="false" ht="15" hidden="false" customHeight="true" outlineLevel="0" collapsed="false">
      <c r="A6"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f>
        <v>GESPERRT bis Woche 6 nach OP     ·     Ersatz: Beinpresse mit tiefer Fussposition, Hände seitlich abgelegt     ·     Vorgabe: 3 × 6-10 Wdh @ RPE 8-9</v>
      </c>
      <c r="B6" s="84"/>
      <c r="C6" s="84"/>
      <c r="D6" s="84"/>
      <c r="E6" s="84"/>
      <c r="F6" s="84"/>
      <c r="G6" s="84"/>
      <c r="H6" s="84"/>
    </row>
    <row r="7" customFormat="false" ht="13.5" hidden="false" customHeight="true" outlineLevel="0" collapsed="false">
      <c r="A7" s="85" t="s">
        <v>291</v>
      </c>
      <c r="B7" s="85" t="s">
        <v>292</v>
      </c>
      <c r="C7" s="85" t="s">
        <v>293</v>
      </c>
      <c r="D7" s="85" t="s">
        <v>294</v>
      </c>
      <c r="E7" s="85" t="s">
        <v>221</v>
      </c>
      <c r="F7" s="85" t="s">
        <v>46</v>
      </c>
      <c r="G7" s="85" t="s">
        <v>295</v>
      </c>
      <c r="H7" s="85" t="s">
        <v>213</v>
      </c>
    </row>
    <row r="8" customFormat="false" ht="19.5" hidden="false" customHeight="true" outlineLevel="0" collapsed="false">
      <c r="A8" s="86" t="n">
        <v>1</v>
      </c>
      <c r="B8" s="41" t="s">
        <v>226</v>
      </c>
      <c r="C8" s="87" t="str">
        <f aca="false">IF(AND(Übungen!$J$4&lt;&gt;"",'Reha-Modus'!$B$4&lt;&gt;"",'Reha-Modus'!$B$4&lt;Übungen!$J$4),"",IF(IFERROR(INDEX(Rekorde!$N$4:$N$17,MATCH(Übungen!$A$4,Rekorde!$A$4:$A$17,0)),"")="","",ROUND(IFERROR(INDEX(Rekorde!$N$4:$N$17,MATCH(Übungen!$A$4,Rekorde!$A$4:$A$17,0)),"")*0.45*2,0)/2))</f>
        <v/>
      </c>
      <c r="D8" s="88"/>
      <c r="E8" s="88"/>
      <c r="F8" s="88"/>
      <c r="G8" s="88"/>
      <c r="H8" s="88"/>
    </row>
    <row r="9" customFormat="false" ht="19.5" hidden="false" customHeight="true" outlineLevel="0" collapsed="false">
      <c r="A9" s="86" t="n">
        <v>2</v>
      </c>
      <c r="B9" s="41" t="s">
        <v>226</v>
      </c>
      <c r="C9" s="87" t="str">
        <f aca="false">IF(AND(Übungen!$J$4&lt;&gt;"",'Reha-Modus'!$B$4&lt;&gt;"",'Reha-Modus'!$B$4&lt;Übungen!$J$4),"",IF(IFERROR(INDEX(Rekorde!$N$4:$N$17,MATCH(Übungen!$A$4,Rekorde!$A$4:$A$17,0)),"")="","",ROUND(IFERROR(INDEX(Rekorde!$N$4:$N$17,MATCH(Übungen!$A$4,Rekorde!$A$4:$A$17,0)),"")*0.7*2,0)/2))</f>
        <v/>
      </c>
      <c r="D9" s="88"/>
      <c r="E9" s="88"/>
      <c r="F9" s="88"/>
      <c r="G9" s="88"/>
      <c r="H9" s="88"/>
    </row>
    <row r="10" customFormat="false" ht="19.5" hidden="false" customHeight="true" outlineLevel="0" collapsed="false">
      <c r="A10" s="86" t="n">
        <v>3</v>
      </c>
      <c r="B10" s="89" t="s">
        <v>227</v>
      </c>
      <c r="C10" s="87" t="str">
        <f aca="false">IF(AND(Übungen!$J$4&lt;&gt;"",'Reha-Modus'!$B$4&lt;&gt;"",'Reha-Modus'!$B$4&lt;Übungen!$J$4),"",IF(IFERROR(INDEX(Rekorde!$N$4:$N$17,MATCH(Übungen!$A$4,Rekorde!$A$4:$A$17,0)),"")="","",ROUND(IFERROR(INDEX(Rekorde!$N$4:$N$17,MATCH(Übungen!$A$4,Rekorde!$A$4:$A$17,0)),"")*1*2,0)/2))</f>
        <v/>
      </c>
      <c r="D10" s="88"/>
      <c r="E10" s="88"/>
      <c r="F10" s="88"/>
      <c r="G10" s="88"/>
      <c r="H10" s="88"/>
    </row>
    <row r="11" customFormat="false" ht="19.5" hidden="false" customHeight="true" outlineLevel="0" collapsed="false">
      <c r="A11" s="86" t="n">
        <v>4</v>
      </c>
      <c r="B11" s="89" t="s">
        <v>227</v>
      </c>
      <c r="C11" s="87" t="str">
        <f aca="false">IF(AND(Übungen!$J$4&lt;&gt;"",'Reha-Modus'!$B$4&lt;&gt;"",'Reha-Modus'!$B$4&lt;Übungen!$J$4),"",IF(IFERROR(INDEX(Rekorde!$N$4:$N$17,MATCH(Übungen!$A$4,Rekorde!$A$4:$A$17,0)),"")="","",ROUND(IFERROR(INDEX(Rekorde!$N$4:$N$17,MATCH(Übungen!$A$4,Rekorde!$A$4:$A$17,0)),"")*1*2,0)/2))</f>
        <v/>
      </c>
      <c r="D11" s="88"/>
      <c r="E11" s="88"/>
      <c r="F11" s="88"/>
      <c r="G11" s="88"/>
      <c r="H11" s="88"/>
    </row>
    <row r="12" customFormat="false" ht="19.5" hidden="false" customHeight="true" outlineLevel="0" collapsed="false">
      <c r="A12" s="86" t="n">
        <v>5</v>
      </c>
      <c r="B12" s="89" t="s">
        <v>227</v>
      </c>
      <c r="C12" s="87" t="str">
        <f aca="false">IF(AND(Übungen!$J$4&lt;&gt;"",'Reha-Modus'!$B$4&lt;&gt;"",'Reha-Modus'!$B$4&lt;Übungen!$J$4),"",IF(IFERROR(INDEX(Rekorde!$N$4:$N$17,MATCH(Übungen!$A$4,Rekorde!$A$4:$A$17,0)),"")="","",ROUND(IFERROR(INDEX(Rekorde!$N$4:$N$17,MATCH(Übungen!$A$4,Rekorde!$A$4:$A$17,0)),"")*1*2,0)/2))</f>
        <v/>
      </c>
      <c r="D12" s="88"/>
      <c r="E12" s="88"/>
      <c r="F12" s="88"/>
      <c r="G12" s="88"/>
      <c r="H12" s="88"/>
    </row>
    <row r="14" customFormat="false" ht="18.75" hidden="false" customHeight="true" outlineLevel="0" collapsed="false">
      <c r="A14" s="83" t="str">
        <f aca="false">Übungen!$A$5</f>
        <v>Split Squat</v>
      </c>
      <c r="B14" s="83"/>
      <c r="C14" s="83"/>
      <c r="D14" s="83"/>
      <c r="E14" s="83"/>
      <c r="F14" s="83"/>
      <c r="G14" s="83"/>
      <c r="H14" s="83"/>
    </row>
    <row r="15" customFormat="false" ht="15" hidden="false" customHeight="true" outlineLevel="0" collapsed="false">
      <c r="A15"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f>
        <v>GESPERRT bis Woche 8 nach OP     ·     Ersatz: Beinpresse einbeinig, ab Woche 6 Multipresse ohne Zusatzhantel     ·     Vorgabe: 3 × 8-10 Wdh @ RPE 8</v>
      </c>
      <c r="B15" s="84"/>
      <c r="C15" s="84"/>
      <c r="D15" s="84"/>
      <c r="E15" s="84"/>
      <c r="F15" s="84"/>
      <c r="G15" s="84"/>
      <c r="H15" s="84"/>
    </row>
    <row r="16" customFormat="false" ht="13.5" hidden="false" customHeight="true" outlineLevel="0" collapsed="false">
      <c r="A16" s="85" t="s">
        <v>291</v>
      </c>
      <c r="B16" s="85" t="s">
        <v>292</v>
      </c>
      <c r="C16" s="85" t="s">
        <v>293</v>
      </c>
      <c r="D16" s="85" t="s">
        <v>294</v>
      </c>
      <c r="E16" s="85" t="s">
        <v>221</v>
      </c>
      <c r="F16" s="85" t="s">
        <v>46</v>
      </c>
      <c r="G16" s="85" t="s">
        <v>295</v>
      </c>
      <c r="H16" s="85" t="s">
        <v>213</v>
      </c>
    </row>
    <row r="17" customFormat="false" ht="19.5" hidden="false" customHeight="true" outlineLevel="0" collapsed="false">
      <c r="A17" s="86" t="n">
        <v>1</v>
      </c>
      <c r="B17" s="41" t="s">
        <v>226</v>
      </c>
      <c r="C17" s="87" t="str">
        <f aca="false">IF(AND(Übungen!$J$5&lt;&gt;"",'Reha-Modus'!$B$4&lt;&gt;"",'Reha-Modus'!$B$4&lt;Übungen!$J$5),"",IF(IFERROR(INDEX(Rekorde!$N$4:$N$17,MATCH(Übungen!$A$5,Rekorde!$A$4:$A$17,0)),"")="","",ROUND(IFERROR(INDEX(Rekorde!$N$4:$N$17,MATCH(Übungen!$A$5,Rekorde!$A$4:$A$17,0)),"")*0.45*2,0)/2))</f>
        <v/>
      </c>
      <c r="D17" s="88"/>
      <c r="E17" s="88"/>
      <c r="F17" s="88"/>
      <c r="G17" s="88"/>
      <c r="H17" s="88"/>
    </row>
    <row r="18" customFormat="false" ht="19.5" hidden="false" customHeight="true" outlineLevel="0" collapsed="false">
      <c r="A18" s="86" t="n">
        <v>2</v>
      </c>
      <c r="B18" s="41" t="s">
        <v>226</v>
      </c>
      <c r="C18" s="87" t="str">
        <f aca="false">IF(AND(Übungen!$J$5&lt;&gt;"",'Reha-Modus'!$B$4&lt;&gt;"",'Reha-Modus'!$B$4&lt;Übungen!$J$5),"",IF(IFERROR(INDEX(Rekorde!$N$4:$N$17,MATCH(Übungen!$A$5,Rekorde!$A$4:$A$17,0)),"")="","",ROUND(IFERROR(INDEX(Rekorde!$N$4:$N$17,MATCH(Übungen!$A$5,Rekorde!$A$4:$A$17,0)),"")*0.7*2,0)/2))</f>
        <v/>
      </c>
      <c r="D18" s="88"/>
      <c r="E18" s="88"/>
      <c r="F18" s="88"/>
      <c r="G18" s="88"/>
      <c r="H18" s="88"/>
    </row>
    <row r="19" customFormat="false" ht="19.5" hidden="false" customHeight="true" outlineLevel="0" collapsed="false">
      <c r="A19" s="86" t="n">
        <v>3</v>
      </c>
      <c r="B19" s="89" t="s">
        <v>227</v>
      </c>
      <c r="C19" s="87" t="str">
        <f aca="false">IF(AND(Übungen!$J$5&lt;&gt;"",'Reha-Modus'!$B$4&lt;&gt;"",'Reha-Modus'!$B$4&lt;Übungen!$J$5),"",IF(IFERROR(INDEX(Rekorde!$N$4:$N$17,MATCH(Übungen!$A$5,Rekorde!$A$4:$A$17,0)),"")="","",ROUND(IFERROR(INDEX(Rekorde!$N$4:$N$17,MATCH(Übungen!$A$5,Rekorde!$A$4:$A$17,0)),"")*1*2,0)/2))</f>
        <v/>
      </c>
      <c r="D19" s="88"/>
      <c r="E19" s="88"/>
      <c r="F19" s="88"/>
      <c r="G19" s="88"/>
      <c r="H19" s="88"/>
    </row>
    <row r="20" customFormat="false" ht="19.5" hidden="false" customHeight="true" outlineLevel="0" collapsed="false">
      <c r="A20" s="86" t="n">
        <v>4</v>
      </c>
      <c r="B20" s="89" t="s">
        <v>227</v>
      </c>
      <c r="C20" s="87" t="str">
        <f aca="false">IF(AND(Übungen!$J$5&lt;&gt;"",'Reha-Modus'!$B$4&lt;&gt;"",'Reha-Modus'!$B$4&lt;Übungen!$J$5),"",IF(IFERROR(INDEX(Rekorde!$N$4:$N$17,MATCH(Übungen!$A$5,Rekorde!$A$4:$A$17,0)),"")="","",ROUND(IFERROR(INDEX(Rekorde!$N$4:$N$17,MATCH(Übungen!$A$5,Rekorde!$A$4:$A$17,0)),"")*1*2,0)/2))</f>
        <v/>
      </c>
      <c r="D20" s="88"/>
      <c r="E20" s="88"/>
      <c r="F20" s="88"/>
      <c r="G20" s="88"/>
      <c r="H20" s="88"/>
    </row>
    <row r="21" customFormat="false" ht="19.5" hidden="false" customHeight="true" outlineLevel="0" collapsed="false">
      <c r="A21" s="86" t="n">
        <v>5</v>
      </c>
      <c r="B21" s="89" t="s">
        <v>227</v>
      </c>
      <c r="C21" s="87" t="str">
        <f aca="false">IF(AND(Übungen!$J$5&lt;&gt;"",'Reha-Modus'!$B$4&lt;&gt;"",'Reha-Modus'!$B$4&lt;Übungen!$J$5),"",IF(IFERROR(INDEX(Rekorde!$N$4:$N$17,MATCH(Übungen!$A$5,Rekorde!$A$4:$A$17,0)),"")="","",ROUND(IFERROR(INDEX(Rekorde!$N$4:$N$17,MATCH(Übungen!$A$5,Rekorde!$A$4:$A$17,0)),"")*1*2,0)/2))</f>
        <v/>
      </c>
      <c r="D21" s="88"/>
      <c r="E21" s="88"/>
      <c r="F21" s="88"/>
      <c r="G21" s="88"/>
      <c r="H21" s="88"/>
    </row>
    <row r="23" customFormat="false" ht="18.75" hidden="false" customHeight="true" outlineLevel="0" collapsed="false">
      <c r="A23" s="83" t="str">
        <f aca="false">Übungen!$A$6</f>
        <v>Beinstrecker</v>
      </c>
      <c r="B23" s="83"/>
      <c r="C23" s="83"/>
      <c r="D23" s="83"/>
      <c r="E23" s="83"/>
      <c r="F23" s="83"/>
      <c r="G23" s="83"/>
      <c r="H23" s="83"/>
    </row>
    <row r="24" customFormat="false" ht="15" hidden="false" customHeight="true" outlineLevel="0" collapsed="false">
      <c r="A24"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f>
        <v>Zuletzt: 80 kg × 12 Wdh     ·     Bestwert: 85 kg     ·     Ziel heute: 82 kg     ·     Vorgabe: 3 × 12-15 Wdh @ RPE 9</v>
      </c>
      <c r="B24" s="84"/>
      <c r="C24" s="84"/>
      <c r="D24" s="84"/>
      <c r="E24" s="84"/>
      <c r="F24" s="84"/>
      <c r="G24" s="84"/>
      <c r="H24" s="84"/>
    </row>
    <row r="25" customFormat="false" ht="13.5" hidden="false" customHeight="true" outlineLevel="0" collapsed="false">
      <c r="A25" s="85" t="s">
        <v>291</v>
      </c>
      <c r="B25" s="85" t="s">
        <v>292</v>
      </c>
      <c r="C25" s="85" t="s">
        <v>293</v>
      </c>
      <c r="D25" s="85" t="s">
        <v>294</v>
      </c>
      <c r="E25" s="85" t="s">
        <v>221</v>
      </c>
      <c r="F25" s="85" t="s">
        <v>46</v>
      </c>
      <c r="G25" s="85" t="s">
        <v>295</v>
      </c>
      <c r="H25" s="85" t="s">
        <v>213</v>
      </c>
    </row>
    <row r="26" customFormat="false" ht="19.5" hidden="false" customHeight="true" outlineLevel="0" collapsed="false">
      <c r="A26" s="86" t="n">
        <v>1</v>
      </c>
      <c r="B26" s="41" t="s">
        <v>226</v>
      </c>
      <c r="C26" s="87" t="n">
        <f aca="false">IF(AND(Übungen!$J$6&lt;&gt;"",'Reha-Modus'!$B$4&lt;&gt;"",'Reha-Modus'!$B$4&lt;Übungen!$J$6),"",IF(IFERROR(INDEX(Rekorde!$N$4:$N$17,MATCH(Übungen!$A$6,Rekorde!$A$4:$A$17,0)),"")="","",ROUND(IFERROR(INDEX(Rekorde!$N$4:$N$17,MATCH(Übungen!$A$6,Rekorde!$A$4:$A$17,0)),"")*0.45*2,0)/2))</f>
        <v>37</v>
      </c>
      <c r="D26" s="88"/>
      <c r="E26" s="88"/>
      <c r="F26" s="88"/>
      <c r="G26" s="88"/>
      <c r="H26" s="88"/>
    </row>
    <row r="27" customFormat="false" ht="19.5" hidden="false" customHeight="true" outlineLevel="0" collapsed="false">
      <c r="A27" s="86" t="n">
        <v>2</v>
      </c>
      <c r="B27" s="41" t="s">
        <v>226</v>
      </c>
      <c r="C27" s="87" t="n">
        <f aca="false">IF(AND(Übungen!$J$6&lt;&gt;"",'Reha-Modus'!$B$4&lt;&gt;"",'Reha-Modus'!$B$4&lt;Übungen!$J$6),"",IF(IFERROR(INDEX(Rekorde!$N$4:$N$17,MATCH(Übungen!$A$6,Rekorde!$A$4:$A$17,0)),"")="","",ROUND(IFERROR(INDEX(Rekorde!$N$4:$N$17,MATCH(Übungen!$A$6,Rekorde!$A$4:$A$17,0)),"")*0.7*2,0)/2))</f>
        <v>57.5</v>
      </c>
      <c r="D27" s="88"/>
      <c r="E27" s="88"/>
      <c r="F27" s="88"/>
      <c r="G27" s="88"/>
      <c r="H27" s="88"/>
    </row>
    <row r="28" customFormat="false" ht="19.5" hidden="false" customHeight="true" outlineLevel="0" collapsed="false">
      <c r="A28" s="86" t="n">
        <v>3</v>
      </c>
      <c r="B28" s="89" t="s">
        <v>227</v>
      </c>
      <c r="C28" s="87" t="n">
        <f aca="false">IF(AND(Übungen!$J$6&lt;&gt;"",'Reha-Modus'!$B$4&lt;&gt;"",'Reha-Modus'!$B$4&lt;Übungen!$J$6),"",IF(IFERROR(INDEX(Rekorde!$N$4:$N$17,MATCH(Übungen!$A$6,Rekorde!$A$4:$A$17,0)),"")="","",ROUND(IFERROR(INDEX(Rekorde!$N$4:$N$17,MATCH(Übungen!$A$6,Rekorde!$A$4:$A$17,0)),"")*1*2,0)/2))</f>
        <v>82</v>
      </c>
      <c r="D28" s="88"/>
      <c r="E28" s="88"/>
      <c r="F28" s="88"/>
      <c r="G28" s="88"/>
      <c r="H28" s="88"/>
    </row>
    <row r="29" customFormat="false" ht="19.5" hidden="false" customHeight="true" outlineLevel="0" collapsed="false">
      <c r="A29" s="86" t="n">
        <v>4</v>
      </c>
      <c r="B29" s="89" t="s">
        <v>227</v>
      </c>
      <c r="C29" s="87" t="n">
        <f aca="false">IF(AND(Übungen!$J$6&lt;&gt;"",'Reha-Modus'!$B$4&lt;&gt;"",'Reha-Modus'!$B$4&lt;Übungen!$J$6),"",IF(IFERROR(INDEX(Rekorde!$N$4:$N$17,MATCH(Übungen!$A$6,Rekorde!$A$4:$A$17,0)),"")="","",ROUND(IFERROR(INDEX(Rekorde!$N$4:$N$17,MATCH(Übungen!$A$6,Rekorde!$A$4:$A$17,0)),"")*1*2,0)/2))</f>
        <v>82</v>
      </c>
      <c r="D29" s="88"/>
      <c r="E29" s="88"/>
      <c r="F29" s="88"/>
      <c r="G29" s="88"/>
      <c r="H29" s="88"/>
    </row>
    <row r="30" customFormat="false" ht="19.5" hidden="false" customHeight="true" outlineLevel="0" collapsed="false">
      <c r="A30" s="86" t="n">
        <v>5</v>
      </c>
      <c r="B30" s="41" t="s">
        <v>228</v>
      </c>
      <c r="C30" s="90"/>
      <c r="D30" s="88"/>
      <c r="E30" s="88"/>
      <c r="F30" s="88"/>
      <c r="G30" s="88"/>
      <c r="H30" s="88"/>
    </row>
    <row r="32" customFormat="false" ht="18.75" hidden="false" customHeight="true" outlineLevel="0" collapsed="false">
      <c r="A32" s="83" t="str">
        <f aca="false">Übungen!$A$7</f>
        <v>Adduktion</v>
      </c>
      <c r="B32" s="83"/>
      <c r="C32" s="83"/>
      <c r="D32" s="83"/>
      <c r="E32" s="83"/>
      <c r="F32" s="83"/>
      <c r="G32" s="83"/>
      <c r="H32" s="83"/>
    </row>
    <row r="33" customFormat="false" ht="15" hidden="false" customHeight="true" outlineLevel="0" collapsed="false">
      <c r="A33"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f>
        <v>Zuletzt: 152.5 kg × 25 Wdh     ·     Bestwert: 152.5 kg     ·     Ziel heute: 152.5 kg     ·     Stackende, über Tempo und Pausen steigern     ·     Vorgabe: 3 × 15-20 Wdh @ RPE 9</v>
      </c>
      <c r="B33" s="84"/>
      <c r="C33" s="84"/>
      <c r="D33" s="84"/>
      <c r="E33" s="84"/>
      <c r="F33" s="84"/>
      <c r="G33" s="84"/>
      <c r="H33" s="84"/>
    </row>
    <row r="34" customFormat="false" ht="13.5" hidden="false" customHeight="true" outlineLevel="0" collapsed="false">
      <c r="A34" s="85" t="s">
        <v>291</v>
      </c>
      <c r="B34" s="85" t="s">
        <v>292</v>
      </c>
      <c r="C34" s="85" t="s">
        <v>293</v>
      </c>
      <c r="D34" s="85" t="s">
        <v>294</v>
      </c>
      <c r="E34" s="85" t="s">
        <v>221</v>
      </c>
      <c r="F34" s="85" t="s">
        <v>46</v>
      </c>
      <c r="G34" s="85" t="s">
        <v>295</v>
      </c>
      <c r="H34" s="85" t="s">
        <v>213</v>
      </c>
    </row>
    <row r="35" customFormat="false" ht="19.5" hidden="false" customHeight="true" outlineLevel="0" collapsed="false">
      <c r="A35" s="86" t="n">
        <v>1</v>
      </c>
      <c r="B35" s="41" t="s">
        <v>226</v>
      </c>
      <c r="C35" s="87" t="n">
        <f aca="false">IF(AND(Übungen!$J$7&lt;&gt;"",'Reha-Modus'!$B$4&lt;&gt;"",'Reha-Modus'!$B$4&lt;Übungen!$J$7),"",IF(IFERROR(INDEX(Rekorde!$N$4:$N$17,MATCH(Übungen!$A$7,Rekorde!$A$4:$A$17,0)),"")="","",ROUND(IFERROR(INDEX(Rekorde!$N$4:$N$17,MATCH(Übungen!$A$7,Rekorde!$A$4:$A$17,0)),"")*0.45*2,0)/2))</f>
        <v>68.5</v>
      </c>
      <c r="D35" s="88"/>
      <c r="E35" s="88"/>
      <c r="F35" s="88"/>
      <c r="G35" s="88"/>
      <c r="H35" s="88"/>
    </row>
    <row r="36" customFormat="false" ht="19.5" hidden="false" customHeight="true" outlineLevel="0" collapsed="false">
      <c r="A36" s="86" t="n">
        <v>2</v>
      </c>
      <c r="B36" s="41" t="s">
        <v>226</v>
      </c>
      <c r="C36" s="87" t="n">
        <f aca="false">IF(AND(Übungen!$J$7&lt;&gt;"",'Reha-Modus'!$B$4&lt;&gt;"",'Reha-Modus'!$B$4&lt;Übungen!$J$7),"",IF(IFERROR(INDEX(Rekorde!$N$4:$N$17,MATCH(Übungen!$A$7,Rekorde!$A$4:$A$17,0)),"")="","",ROUND(IFERROR(INDEX(Rekorde!$N$4:$N$17,MATCH(Übungen!$A$7,Rekorde!$A$4:$A$17,0)),"")*0.7*2,0)/2))</f>
        <v>107</v>
      </c>
      <c r="D36" s="88"/>
      <c r="E36" s="88"/>
      <c r="F36" s="88"/>
      <c r="G36" s="88"/>
      <c r="H36" s="88"/>
    </row>
    <row r="37" customFormat="false" ht="19.5" hidden="false" customHeight="true" outlineLevel="0" collapsed="false">
      <c r="A37" s="86" t="n">
        <v>3</v>
      </c>
      <c r="B37" s="89" t="s">
        <v>227</v>
      </c>
      <c r="C37" s="87" t="n">
        <f aca="false">IF(AND(Übungen!$J$7&lt;&gt;"",'Reha-Modus'!$B$4&lt;&gt;"",'Reha-Modus'!$B$4&lt;Übungen!$J$7),"",IF(IFERROR(INDEX(Rekorde!$N$4:$N$17,MATCH(Übungen!$A$7,Rekorde!$A$4:$A$17,0)),"")="","",ROUND(IFERROR(INDEX(Rekorde!$N$4:$N$17,MATCH(Übungen!$A$7,Rekorde!$A$4:$A$17,0)),"")*1*2,0)/2))</f>
        <v>152.5</v>
      </c>
      <c r="D37" s="88"/>
      <c r="E37" s="88"/>
      <c r="F37" s="88"/>
      <c r="G37" s="88"/>
      <c r="H37" s="88"/>
    </row>
    <row r="38" customFormat="false" ht="19.5" hidden="false" customHeight="true" outlineLevel="0" collapsed="false">
      <c r="A38" s="86" t="n">
        <v>4</v>
      </c>
      <c r="B38" s="89" t="s">
        <v>227</v>
      </c>
      <c r="C38" s="87" t="n">
        <f aca="false">IF(AND(Übungen!$J$7&lt;&gt;"",'Reha-Modus'!$B$4&lt;&gt;"",'Reha-Modus'!$B$4&lt;Übungen!$J$7),"",IF(IFERROR(INDEX(Rekorde!$N$4:$N$17,MATCH(Übungen!$A$7,Rekorde!$A$4:$A$17,0)),"")="","",ROUND(IFERROR(INDEX(Rekorde!$N$4:$N$17,MATCH(Übungen!$A$7,Rekorde!$A$4:$A$17,0)),"")*1*2,0)/2))</f>
        <v>152.5</v>
      </c>
      <c r="D38" s="88"/>
      <c r="E38" s="88"/>
      <c r="F38" s="88"/>
      <c r="G38" s="88"/>
      <c r="H38" s="88"/>
    </row>
    <row r="39" customFormat="false" ht="19.5" hidden="false" customHeight="true" outlineLevel="0" collapsed="false">
      <c r="A39" s="86" t="n">
        <v>5</v>
      </c>
      <c r="B39" s="41" t="s">
        <v>228</v>
      </c>
      <c r="C39" s="90"/>
      <c r="D39" s="88"/>
      <c r="E39" s="88"/>
      <c r="F39" s="88"/>
      <c r="G39" s="88"/>
      <c r="H39" s="88"/>
    </row>
    <row r="41" customFormat="false" ht="15.75" hidden="false" customHeight="true" outlineLevel="0" collapsed="false">
      <c r="A41" s="3" t="s">
        <v>296</v>
      </c>
      <c r="B41" s="3"/>
      <c r="C41" s="3"/>
      <c r="D41" s="3"/>
      <c r="E41" s="3"/>
      <c r="F41" s="3"/>
      <c r="G41" s="3"/>
      <c r="H41" s="3"/>
    </row>
    <row r="42" customFormat="false" ht="18" hidden="false" customHeight="true" outlineLevel="0" collapsed="false">
      <c r="A42" s="91"/>
      <c r="B42" s="91"/>
      <c r="C42" s="91"/>
      <c r="D42" s="91"/>
      <c r="E42" s="91"/>
      <c r="F42" s="91"/>
      <c r="G42" s="91"/>
      <c r="H42" s="91"/>
    </row>
    <row r="43" customFormat="false" ht="18" hidden="false" customHeight="true" outlineLevel="0" collapsed="false">
      <c r="A43" s="91"/>
      <c r="B43" s="91"/>
      <c r="C43" s="91"/>
      <c r="D43" s="91"/>
      <c r="E43" s="91"/>
      <c r="F43" s="91"/>
      <c r="G43" s="91"/>
      <c r="H43" s="91"/>
    </row>
    <row r="44" customFormat="false" ht="18" hidden="false" customHeight="true" outlineLevel="0" collapsed="false">
      <c r="A44" s="91"/>
      <c r="B44" s="91"/>
      <c r="C44" s="91"/>
      <c r="D44" s="91"/>
      <c r="E44" s="91"/>
      <c r="F44" s="91"/>
      <c r="G44" s="91"/>
      <c r="H44" s="91"/>
    </row>
    <row r="46" customFormat="false" ht="27.75" hidden="false" customHeight="true" outlineLevel="0" collapsed="false">
      <c r="A46" s="1" t="s">
        <v>297</v>
      </c>
      <c r="B46" s="1"/>
      <c r="C46" s="1"/>
      <c r="D46" s="1"/>
      <c r="E46" s="1"/>
      <c r="F46" s="1"/>
      <c r="G46" s="1"/>
      <c r="H46" s="1"/>
    </row>
    <row r="47" customFormat="false" ht="12.75" hidden="false" customHeight="true" outlineLevel="0" collapsed="false">
      <c r="A47" s="80" t="s">
        <v>61</v>
      </c>
      <c r="B47" s="80"/>
      <c r="C47" s="81" t="s">
        <v>287</v>
      </c>
      <c r="D47" s="81" t="s">
        <v>288</v>
      </c>
      <c r="E47" s="80" t="s">
        <v>289</v>
      </c>
      <c r="F47" s="80"/>
      <c r="G47" s="80" t="s">
        <v>290</v>
      </c>
      <c r="H47" s="80"/>
    </row>
    <row r="48" customFormat="false" ht="19.5" hidden="false" customHeight="true" outlineLevel="0" collapsed="false">
      <c r="A48" s="82"/>
      <c r="B48" s="82"/>
      <c r="C48" s="82"/>
      <c r="D48" s="82"/>
      <c r="E48" s="82"/>
      <c r="F48" s="82"/>
      <c r="G48" s="82"/>
      <c r="H48" s="82"/>
    </row>
    <row r="50" customFormat="false" ht="18.75" hidden="false" customHeight="true" outlineLevel="0" collapsed="false">
      <c r="A50" s="83" t="str">
        <f aca="false">Übungen!$A$8</f>
        <v>Rumänisches Kreuzheben</v>
      </c>
      <c r="B50" s="83"/>
      <c r="C50" s="83"/>
      <c r="D50" s="83"/>
      <c r="E50" s="83"/>
      <c r="F50" s="83"/>
      <c r="G50" s="83"/>
      <c r="H50" s="83"/>
    </row>
    <row r="51" customFormat="false" ht="15" hidden="false" customHeight="true" outlineLevel="0" collapsed="false">
      <c r="A51"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f>
        <v>GESPERRT bis Woche 12 nach OP     ·     Ersatz: Beinbeuger sitzend, Rückenstrecker mit vor der Brust gekreuzten Armen, Kabel-RDL mit Hüftgurt     ·     Vorgabe: 3 × 8-10 Wdh @ RPE 8</v>
      </c>
      <c r="B51" s="84"/>
      <c r="C51" s="84"/>
      <c r="D51" s="84"/>
      <c r="E51" s="84"/>
      <c r="F51" s="84"/>
      <c r="G51" s="84"/>
      <c r="H51" s="84"/>
    </row>
    <row r="52" customFormat="false" ht="13.5" hidden="false" customHeight="true" outlineLevel="0" collapsed="false">
      <c r="A52" s="85" t="s">
        <v>291</v>
      </c>
      <c r="B52" s="85" t="s">
        <v>292</v>
      </c>
      <c r="C52" s="85" t="s">
        <v>293</v>
      </c>
      <c r="D52" s="85" t="s">
        <v>294</v>
      </c>
      <c r="E52" s="85" t="s">
        <v>221</v>
      </c>
      <c r="F52" s="85" t="s">
        <v>46</v>
      </c>
      <c r="G52" s="85" t="s">
        <v>295</v>
      </c>
      <c r="H52" s="85" t="s">
        <v>213</v>
      </c>
    </row>
    <row r="53" customFormat="false" ht="19.5" hidden="false" customHeight="true" outlineLevel="0" collapsed="false">
      <c r="A53" s="86" t="n">
        <v>1</v>
      </c>
      <c r="B53" s="41" t="s">
        <v>226</v>
      </c>
      <c r="C53" s="87" t="str">
        <f aca="false">IF(AND(Übungen!$J$8&lt;&gt;"",'Reha-Modus'!$B$4&lt;&gt;"",'Reha-Modus'!$B$4&lt;Übungen!$J$8),"",IF(IFERROR(INDEX(Rekorde!$N$4:$N$17,MATCH(Übungen!$A$8,Rekorde!$A$4:$A$17,0)),"")="","",ROUND(IFERROR(INDEX(Rekorde!$N$4:$N$17,MATCH(Übungen!$A$8,Rekorde!$A$4:$A$17,0)),"")*0.45*2,0)/2))</f>
        <v/>
      </c>
      <c r="D53" s="88"/>
      <c r="E53" s="88"/>
      <c r="F53" s="88"/>
      <c r="G53" s="88"/>
      <c r="H53" s="88"/>
    </row>
    <row r="54" customFormat="false" ht="19.5" hidden="false" customHeight="true" outlineLevel="0" collapsed="false">
      <c r="A54" s="86" t="n">
        <v>2</v>
      </c>
      <c r="B54" s="41" t="s">
        <v>226</v>
      </c>
      <c r="C54" s="87" t="str">
        <f aca="false">IF(AND(Übungen!$J$8&lt;&gt;"",'Reha-Modus'!$B$4&lt;&gt;"",'Reha-Modus'!$B$4&lt;Übungen!$J$8),"",IF(IFERROR(INDEX(Rekorde!$N$4:$N$17,MATCH(Übungen!$A$8,Rekorde!$A$4:$A$17,0)),"")="","",ROUND(IFERROR(INDEX(Rekorde!$N$4:$N$17,MATCH(Übungen!$A$8,Rekorde!$A$4:$A$17,0)),"")*0.7*2,0)/2))</f>
        <v/>
      </c>
      <c r="D54" s="88"/>
      <c r="E54" s="88"/>
      <c r="F54" s="88"/>
      <c r="G54" s="88"/>
      <c r="H54" s="88"/>
    </row>
    <row r="55" customFormat="false" ht="19.5" hidden="false" customHeight="true" outlineLevel="0" collapsed="false">
      <c r="A55" s="86" t="n">
        <v>3</v>
      </c>
      <c r="B55" s="89" t="s">
        <v>227</v>
      </c>
      <c r="C55" s="87" t="str">
        <f aca="false">IF(AND(Übungen!$J$8&lt;&gt;"",'Reha-Modus'!$B$4&lt;&gt;"",'Reha-Modus'!$B$4&lt;Übungen!$J$8),"",IF(IFERROR(INDEX(Rekorde!$N$4:$N$17,MATCH(Übungen!$A$8,Rekorde!$A$4:$A$17,0)),"")="","",ROUND(IFERROR(INDEX(Rekorde!$N$4:$N$17,MATCH(Übungen!$A$8,Rekorde!$A$4:$A$17,0)),"")*1*2,0)/2))</f>
        <v/>
      </c>
      <c r="D55" s="88"/>
      <c r="E55" s="88"/>
      <c r="F55" s="88"/>
      <c r="G55" s="88"/>
      <c r="H55" s="88"/>
    </row>
    <row r="56" customFormat="false" ht="19.5" hidden="false" customHeight="true" outlineLevel="0" collapsed="false">
      <c r="A56" s="86" t="n">
        <v>4</v>
      </c>
      <c r="B56" s="89" t="s">
        <v>227</v>
      </c>
      <c r="C56" s="87" t="str">
        <f aca="false">IF(AND(Übungen!$J$8&lt;&gt;"",'Reha-Modus'!$B$4&lt;&gt;"",'Reha-Modus'!$B$4&lt;Übungen!$J$8),"",IF(IFERROR(INDEX(Rekorde!$N$4:$N$17,MATCH(Übungen!$A$8,Rekorde!$A$4:$A$17,0)),"")="","",ROUND(IFERROR(INDEX(Rekorde!$N$4:$N$17,MATCH(Übungen!$A$8,Rekorde!$A$4:$A$17,0)),"")*1*2,0)/2))</f>
        <v/>
      </c>
      <c r="D56" s="88"/>
      <c r="E56" s="88"/>
      <c r="F56" s="88"/>
      <c r="G56" s="88"/>
      <c r="H56" s="88"/>
    </row>
    <row r="57" customFormat="false" ht="19.5" hidden="false" customHeight="true" outlineLevel="0" collapsed="false">
      <c r="A57" s="86" t="n">
        <v>5</v>
      </c>
      <c r="B57" s="89" t="s">
        <v>227</v>
      </c>
      <c r="C57" s="87" t="str">
        <f aca="false">IF(AND(Übungen!$J$8&lt;&gt;"",'Reha-Modus'!$B$4&lt;&gt;"",'Reha-Modus'!$B$4&lt;Übungen!$J$8),"",IF(IFERROR(INDEX(Rekorde!$N$4:$N$17,MATCH(Übungen!$A$8,Rekorde!$A$4:$A$17,0)),"")="","",ROUND(IFERROR(INDEX(Rekorde!$N$4:$N$17,MATCH(Übungen!$A$8,Rekorde!$A$4:$A$17,0)),"")*1*2,0)/2))</f>
        <v/>
      </c>
      <c r="D57" s="88"/>
      <c r="E57" s="88"/>
      <c r="F57" s="88"/>
      <c r="G57" s="88"/>
      <c r="H57" s="88"/>
    </row>
    <row r="59" customFormat="false" ht="18.75" hidden="false" customHeight="true" outlineLevel="0" collapsed="false">
      <c r="A59" s="83" t="str">
        <f aca="false">Übungen!$A$9</f>
        <v>Hip Thrust</v>
      </c>
      <c r="B59" s="83"/>
      <c r="C59" s="83"/>
      <c r="D59" s="83"/>
      <c r="E59" s="83"/>
      <c r="F59" s="83"/>
      <c r="G59" s="83"/>
      <c r="H59" s="83"/>
    </row>
    <row r="60" customFormat="false" ht="15" hidden="false" customHeight="true" outlineLevel="0" collapsed="false">
      <c r="A60"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f>
        <v>GESPERRT bis Woche 4 nach OP     ·     Ersatz: Hip Thrust Maschine mit Polster ab Woche 2     ·     Vorgabe: 3 × 8-12 Wdh @ RPE 8-9</v>
      </c>
      <c r="B60" s="84"/>
      <c r="C60" s="84"/>
      <c r="D60" s="84"/>
      <c r="E60" s="84"/>
      <c r="F60" s="84"/>
      <c r="G60" s="84"/>
      <c r="H60" s="84"/>
    </row>
    <row r="61" customFormat="false" ht="13.5" hidden="false" customHeight="true" outlineLevel="0" collapsed="false">
      <c r="A61" s="85" t="s">
        <v>291</v>
      </c>
      <c r="B61" s="85" t="s">
        <v>292</v>
      </c>
      <c r="C61" s="85" t="s">
        <v>293</v>
      </c>
      <c r="D61" s="85" t="s">
        <v>294</v>
      </c>
      <c r="E61" s="85" t="s">
        <v>221</v>
      </c>
      <c r="F61" s="85" t="s">
        <v>46</v>
      </c>
      <c r="G61" s="85" t="s">
        <v>295</v>
      </c>
      <c r="H61" s="85" t="s">
        <v>213</v>
      </c>
    </row>
    <row r="62" customFormat="false" ht="19.5" hidden="false" customHeight="true" outlineLevel="0" collapsed="false">
      <c r="A62" s="86" t="n">
        <v>1</v>
      </c>
      <c r="B62" s="41" t="s">
        <v>226</v>
      </c>
      <c r="C62" s="87" t="str">
        <f aca="false">IF(AND(Übungen!$J$9&lt;&gt;"",'Reha-Modus'!$B$4&lt;&gt;"",'Reha-Modus'!$B$4&lt;Übungen!$J$9),"",IF(IFERROR(INDEX(Rekorde!$N$4:$N$17,MATCH(Übungen!$A$9,Rekorde!$A$4:$A$17,0)),"")="","",ROUND(IFERROR(INDEX(Rekorde!$N$4:$N$17,MATCH(Übungen!$A$9,Rekorde!$A$4:$A$17,0)),"")*0.45*2,0)/2))</f>
        <v/>
      </c>
      <c r="D62" s="88"/>
      <c r="E62" s="88"/>
      <c r="F62" s="88"/>
      <c r="G62" s="88"/>
      <c r="H62" s="88"/>
    </row>
    <row r="63" customFormat="false" ht="19.5" hidden="false" customHeight="true" outlineLevel="0" collapsed="false">
      <c r="A63" s="86" t="n">
        <v>2</v>
      </c>
      <c r="B63" s="41" t="s">
        <v>226</v>
      </c>
      <c r="C63" s="87" t="str">
        <f aca="false">IF(AND(Übungen!$J$9&lt;&gt;"",'Reha-Modus'!$B$4&lt;&gt;"",'Reha-Modus'!$B$4&lt;Übungen!$J$9),"",IF(IFERROR(INDEX(Rekorde!$N$4:$N$17,MATCH(Übungen!$A$9,Rekorde!$A$4:$A$17,0)),"")="","",ROUND(IFERROR(INDEX(Rekorde!$N$4:$N$17,MATCH(Übungen!$A$9,Rekorde!$A$4:$A$17,0)),"")*0.7*2,0)/2))</f>
        <v/>
      </c>
      <c r="D63" s="88"/>
      <c r="E63" s="88"/>
      <c r="F63" s="88"/>
      <c r="G63" s="88"/>
      <c r="H63" s="88"/>
    </row>
    <row r="64" customFormat="false" ht="19.5" hidden="false" customHeight="true" outlineLevel="0" collapsed="false">
      <c r="A64" s="86" t="n">
        <v>3</v>
      </c>
      <c r="B64" s="89" t="s">
        <v>227</v>
      </c>
      <c r="C64" s="87" t="str">
        <f aca="false">IF(AND(Übungen!$J$9&lt;&gt;"",'Reha-Modus'!$B$4&lt;&gt;"",'Reha-Modus'!$B$4&lt;Übungen!$J$9),"",IF(IFERROR(INDEX(Rekorde!$N$4:$N$17,MATCH(Übungen!$A$9,Rekorde!$A$4:$A$17,0)),"")="","",ROUND(IFERROR(INDEX(Rekorde!$N$4:$N$17,MATCH(Übungen!$A$9,Rekorde!$A$4:$A$17,0)),"")*1*2,0)/2))</f>
        <v/>
      </c>
      <c r="D64" s="88"/>
      <c r="E64" s="88"/>
      <c r="F64" s="88"/>
      <c r="G64" s="88"/>
      <c r="H64" s="88"/>
    </row>
    <row r="65" customFormat="false" ht="19.5" hidden="false" customHeight="true" outlineLevel="0" collapsed="false">
      <c r="A65" s="86" t="n">
        <v>4</v>
      </c>
      <c r="B65" s="89" t="s">
        <v>227</v>
      </c>
      <c r="C65" s="87" t="str">
        <f aca="false">IF(AND(Übungen!$J$9&lt;&gt;"",'Reha-Modus'!$B$4&lt;&gt;"",'Reha-Modus'!$B$4&lt;Übungen!$J$9),"",IF(IFERROR(INDEX(Rekorde!$N$4:$N$17,MATCH(Übungen!$A$9,Rekorde!$A$4:$A$17,0)),"")="","",ROUND(IFERROR(INDEX(Rekorde!$N$4:$N$17,MATCH(Übungen!$A$9,Rekorde!$A$4:$A$17,0)),"")*1*2,0)/2))</f>
        <v/>
      </c>
      <c r="D65" s="88"/>
      <c r="E65" s="88"/>
      <c r="F65" s="88"/>
      <c r="G65" s="88"/>
      <c r="H65" s="88"/>
    </row>
    <row r="66" customFormat="false" ht="19.5" hidden="false" customHeight="true" outlineLevel="0" collapsed="false">
      <c r="A66" s="86" t="n">
        <v>5</v>
      </c>
      <c r="B66" s="89" t="s">
        <v>227</v>
      </c>
      <c r="C66" s="87" t="str">
        <f aca="false">IF(AND(Übungen!$J$9&lt;&gt;"",'Reha-Modus'!$B$4&lt;&gt;"",'Reha-Modus'!$B$4&lt;Übungen!$J$9),"",IF(IFERROR(INDEX(Rekorde!$N$4:$N$17,MATCH(Übungen!$A$9,Rekorde!$A$4:$A$17,0)),"")="","",ROUND(IFERROR(INDEX(Rekorde!$N$4:$N$17,MATCH(Übungen!$A$9,Rekorde!$A$4:$A$17,0)),"")*1*2,0)/2))</f>
        <v/>
      </c>
      <c r="D66" s="88"/>
      <c r="E66" s="88"/>
      <c r="F66" s="88"/>
      <c r="G66" s="88"/>
      <c r="H66" s="88"/>
    </row>
    <row r="68" customFormat="false" ht="18.75" hidden="false" customHeight="true" outlineLevel="0" collapsed="false">
      <c r="A68" s="83" t="str">
        <f aca="false">Übungen!$A$10</f>
        <v>Beinbeuger</v>
      </c>
      <c r="B68" s="83"/>
      <c r="C68" s="83"/>
      <c r="D68" s="83"/>
      <c r="E68" s="83"/>
      <c r="F68" s="83"/>
      <c r="G68" s="83"/>
      <c r="H68" s="83"/>
    </row>
    <row r="69" customFormat="false" ht="15" hidden="false" customHeight="true" outlineLevel="0" collapsed="false">
      <c r="A69"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f>
        <v>Zuletzt: 45 kg × 15 Wdh     ·     Bestwert: 55 kg     ·     Ziel heute: 46 kg     ·     Vorgabe: 3 × 10-12 Wdh @ RPE 9</v>
      </c>
      <c r="B69" s="84"/>
      <c r="C69" s="84"/>
      <c r="D69" s="84"/>
      <c r="E69" s="84"/>
      <c r="F69" s="84"/>
      <c r="G69" s="84"/>
      <c r="H69" s="84"/>
    </row>
    <row r="70" customFormat="false" ht="13.5" hidden="false" customHeight="true" outlineLevel="0" collapsed="false">
      <c r="A70" s="85" t="s">
        <v>291</v>
      </c>
      <c r="B70" s="85" t="s">
        <v>292</v>
      </c>
      <c r="C70" s="85" t="s">
        <v>293</v>
      </c>
      <c r="D70" s="85" t="s">
        <v>294</v>
      </c>
      <c r="E70" s="85" t="s">
        <v>221</v>
      </c>
      <c r="F70" s="85" t="s">
        <v>46</v>
      </c>
      <c r="G70" s="85" t="s">
        <v>295</v>
      </c>
      <c r="H70" s="85" t="s">
        <v>213</v>
      </c>
    </row>
    <row r="71" customFormat="false" ht="19.5" hidden="false" customHeight="true" outlineLevel="0" collapsed="false">
      <c r="A71" s="86" t="n">
        <v>1</v>
      </c>
      <c r="B71" s="41" t="s">
        <v>226</v>
      </c>
      <c r="C71" s="87" t="n">
        <f aca="false">IF(AND(Übungen!$J$10&lt;&gt;"",'Reha-Modus'!$B$4&lt;&gt;"",'Reha-Modus'!$B$4&lt;Übungen!$J$10),"",IF(IFERROR(INDEX(Rekorde!$N$4:$N$17,MATCH(Übungen!$A$10,Rekorde!$A$4:$A$17,0)),"")="","",ROUND(IFERROR(INDEX(Rekorde!$N$4:$N$17,MATCH(Übungen!$A$10,Rekorde!$A$4:$A$17,0)),"")*0.45*2,0)/2))</f>
        <v>20.5</v>
      </c>
      <c r="D71" s="88"/>
      <c r="E71" s="88"/>
      <c r="F71" s="88"/>
      <c r="G71" s="88"/>
      <c r="H71" s="88"/>
    </row>
    <row r="72" customFormat="false" ht="19.5" hidden="false" customHeight="true" outlineLevel="0" collapsed="false">
      <c r="A72" s="86" t="n">
        <v>2</v>
      </c>
      <c r="B72" s="41" t="s">
        <v>226</v>
      </c>
      <c r="C72" s="87" t="n">
        <f aca="false">IF(AND(Übungen!$J$10&lt;&gt;"",'Reha-Modus'!$B$4&lt;&gt;"",'Reha-Modus'!$B$4&lt;Übungen!$J$10),"",IF(IFERROR(INDEX(Rekorde!$N$4:$N$17,MATCH(Übungen!$A$10,Rekorde!$A$4:$A$17,0)),"")="","",ROUND(IFERROR(INDEX(Rekorde!$N$4:$N$17,MATCH(Übungen!$A$10,Rekorde!$A$4:$A$17,0)),"")*0.7*2,0)/2))</f>
        <v>32</v>
      </c>
      <c r="D72" s="88"/>
      <c r="E72" s="88"/>
      <c r="F72" s="88"/>
      <c r="G72" s="88"/>
      <c r="H72" s="88"/>
    </row>
    <row r="73" customFormat="false" ht="19.5" hidden="false" customHeight="true" outlineLevel="0" collapsed="false">
      <c r="A73" s="86" t="n">
        <v>3</v>
      </c>
      <c r="B73" s="89" t="s">
        <v>227</v>
      </c>
      <c r="C73" s="87" t="n">
        <f aca="false">IF(AND(Übungen!$J$10&lt;&gt;"",'Reha-Modus'!$B$4&lt;&gt;"",'Reha-Modus'!$B$4&lt;Übungen!$J$10),"",IF(IFERROR(INDEX(Rekorde!$N$4:$N$17,MATCH(Übungen!$A$10,Rekorde!$A$4:$A$17,0)),"")="","",ROUND(IFERROR(INDEX(Rekorde!$N$4:$N$17,MATCH(Übungen!$A$10,Rekorde!$A$4:$A$17,0)),"")*1*2,0)/2))</f>
        <v>46</v>
      </c>
      <c r="D73" s="88"/>
      <c r="E73" s="88"/>
      <c r="F73" s="88"/>
      <c r="G73" s="88"/>
      <c r="H73" s="88"/>
    </row>
    <row r="74" customFormat="false" ht="19.5" hidden="false" customHeight="true" outlineLevel="0" collapsed="false">
      <c r="A74" s="86" t="n">
        <v>4</v>
      </c>
      <c r="B74" s="89" t="s">
        <v>227</v>
      </c>
      <c r="C74" s="87" t="n">
        <f aca="false">IF(AND(Übungen!$J$10&lt;&gt;"",'Reha-Modus'!$B$4&lt;&gt;"",'Reha-Modus'!$B$4&lt;Übungen!$J$10),"",IF(IFERROR(INDEX(Rekorde!$N$4:$N$17,MATCH(Übungen!$A$10,Rekorde!$A$4:$A$17,0)),"")="","",ROUND(IFERROR(INDEX(Rekorde!$N$4:$N$17,MATCH(Übungen!$A$10,Rekorde!$A$4:$A$17,0)),"")*1*2,0)/2))</f>
        <v>46</v>
      </c>
      <c r="D74" s="88"/>
      <c r="E74" s="88"/>
      <c r="F74" s="88"/>
      <c r="G74" s="88"/>
      <c r="H74" s="88"/>
    </row>
    <row r="75" customFormat="false" ht="19.5" hidden="false" customHeight="true" outlineLevel="0" collapsed="false">
      <c r="A75" s="86" t="n">
        <v>5</v>
      </c>
      <c r="B75" s="41" t="s">
        <v>228</v>
      </c>
      <c r="C75" s="90"/>
      <c r="D75" s="88"/>
      <c r="E75" s="88"/>
      <c r="F75" s="88"/>
      <c r="G75" s="88"/>
      <c r="H75" s="88"/>
    </row>
    <row r="77" customFormat="false" ht="18.75" hidden="false" customHeight="true" outlineLevel="0" collapsed="false">
      <c r="A77" s="83" t="str">
        <f aca="false">Übungen!$A$11</f>
        <v>Seitliche Kickbacks</v>
      </c>
      <c r="B77" s="83"/>
      <c r="C77" s="83"/>
      <c r="D77" s="83"/>
      <c r="E77" s="83"/>
      <c r="F77" s="83"/>
      <c r="G77" s="83"/>
      <c r="H77" s="83"/>
    </row>
    <row r="78" customFormat="false" ht="15" hidden="false" customHeight="true" outlineLevel="0" collapsed="false">
      <c r="A78"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f>
        <v>GESPERRT bis Woche 2 nach OP     ·     Ersatz: Abduktion an der Maschine im Sitzen     ·     Vorgabe: 3 × 15-20 Wdh @ RPE 9</v>
      </c>
      <c r="B78" s="84"/>
      <c r="C78" s="84"/>
      <c r="D78" s="84"/>
      <c r="E78" s="84"/>
      <c r="F78" s="84"/>
      <c r="G78" s="84"/>
      <c r="H78" s="84"/>
    </row>
    <row r="79" customFormat="false" ht="13.5" hidden="false" customHeight="true" outlineLevel="0" collapsed="false">
      <c r="A79" s="85" t="s">
        <v>291</v>
      </c>
      <c r="B79" s="85" t="s">
        <v>292</v>
      </c>
      <c r="C79" s="85" t="s">
        <v>293</v>
      </c>
      <c r="D79" s="85" t="s">
        <v>294</v>
      </c>
      <c r="E79" s="85" t="s">
        <v>221</v>
      </c>
      <c r="F79" s="85" t="s">
        <v>46</v>
      </c>
      <c r="G79" s="85" t="s">
        <v>295</v>
      </c>
      <c r="H79" s="85" t="s">
        <v>213</v>
      </c>
    </row>
    <row r="80" customFormat="false" ht="19.5" hidden="false" customHeight="true" outlineLevel="0" collapsed="false">
      <c r="A80" s="86" t="n">
        <v>1</v>
      </c>
      <c r="B80" s="41" t="s">
        <v>226</v>
      </c>
      <c r="C80" s="87" t="str">
        <f aca="false">IF(AND(Übungen!$J$11&lt;&gt;"",'Reha-Modus'!$B$4&lt;&gt;"",'Reha-Modus'!$B$4&lt;Übungen!$J$11),"",IF(IFERROR(INDEX(Rekorde!$N$4:$N$17,MATCH(Übungen!$A$11,Rekorde!$A$4:$A$17,0)),"")="","",ROUND(IFERROR(INDEX(Rekorde!$N$4:$N$17,MATCH(Übungen!$A$11,Rekorde!$A$4:$A$17,0)),"")*0.45*2,0)/2))</f>
        <v/>
      </c>
      <c r="D80" s="88"/>
      <c r="E80" s="88"/>
      <c r="F80" s="88"/>
      <c r="G80" s="88"/>
      <c r="H80" s="88"/>
    </row>
    <row r="81" customFormat="false" ht="19.5" hidden="false" customHeight="true" outlineLevel="0" collapsed="false">
      <c r="A81" s="86" t="n">
        <v>2</v>
      </c>
      <c r="B81" s="41" t="s">
        <v>226</v>
      </c>
      <c r="C81" s="87" t="str">
        <f aca="false">IF(AND(Übungen!$J$11&lt;&gt;"",'Reha-Modus'!$B$4&lt;&gt;"",'Reha-Modus'!$B$4&lt;Übungen!$J$11),"",IF(IFERROR(INDEX(Rekorde!$N$4:$N$17,MATCH(Übungen!$A$11,Rekorde!$A$4:$A$17,0)),"")="","",ROUND(IFERROR(INDEX(Rekorde!$N$4:$N$17,MATCH(Übungen!$A$11,Rekorde!$A$4:$A$17,0)),"")*0.7*2,0)/2))</f>
        <v/>
      </c>
      <c r="D81" s="88"/>
      <c r="E81" s="88"/>
      <c r="F81" s="88"/>
      <c r="G81" s="88"/>
      <c r="H81" s="88"/>
    </row>
    <row r="82" customFormat="false" ht="19.5" hidden="false" customHeight="true" outlineLevel="0" collapsed="false">
      <c r="A82" s="86" t="n">
        <v>3</v>
      </c>
      <c r="B82" s="89" t="s">
        <v>227</v>
      </c>
      <c r="C82" s="87" t="str">
        <f aca="false">IF(AND(Übungen!$J$11&lt;&gt;"",'Reha-Modus'!$B$4&lt;&gt;"",'Reha-Modus'!$B$4&lt;Übungen!$J$11),"",IF(IFERROR(INDEX(Rekorde!$N$4:$N$17,MATCH(Übungen!$A$11,Rekorde!$A$4:$A$17,0)),"")="","",ROUND(IFERROR(INDEX(Rekorde!$N$4:$N$17,MATCH(Übungen!$A$11,Rekorde!$A$4:$A$17,0)),"")*1*2,0)/2))</f>
        <v/>
      </c>
      <c r="D82" s="88"/>
      <c r="E82" s="88"/>
      <c r="F82" s="88"/>
      <c r="G82" s="88"/>
      <c r="H82" s="88"/>
    </row>
    <row r="83" customFormat="false" ht="19.5" hidden="false" customHeight="true" outlineLevel="0" collapsed="false">
      <c r="A83" s="86" t="n">
        <v>4</v>
      </c>
      <c r="B83" s="89" t="s">
        <v>227</v>
      </c>
      <c r="C83" s="87" t="str">
        <f aca="false">IF(AND(Übungen!$J$11&lt;&gt;"",'Reha-Modus'!$B$4&lt;&gt;"",'Reha-Modus'!$B$4&lt;Übungen!$J$11),"",IF(IFERROR(INDEX(Rekorde!$N$4:$N$17,MATCH(Übungen!$A$11,Rekorde!$A$4:$A$17,0)),"")="","",ROUND(IFERROR(INDEX(Rekorde!$N$4:$N$17,MATCH(Übungen!$A$11,Rekorde!$A$4:$A$17,0)),"")*1*2,0)/2))</f>
        <v/>
      </c>
      <c r="D83" s="88"/>
      <c r="E83" s="88"/>
      <c r="F83" s="88"/>
      <c r="G83" s="88"/>
      <c r="H83" s="88"/>
    </row>
    <row r="84" customFormat="false" ht="19.5" hidden="false" customHeight="true" outlineLevel="0" collapsed="false">
      <c r="A84" s="86" t="n">
        <v>5</v>
      </c>
      <c r="B84" s="89" t="s">
        <v>227</v>
      </c>
      <c r="C84" s="87" t="str">
        <f aca="false">IF(AND(Übungen!$J$11&lt;&gt;"",'Reha-Modus'!$B$4&lt;&gt;"",'Reha-Modus'!$B$4&lt;Übungen!$J$11),"",IF(IFERROR(INDEX(Rekorde!$N$4:$N$17,MATCH(Übungen!$A$11,Rekorde!$A$4:$A$17,0)),"")="","",ROUND(IFERROR(INDEX(Rekorde!$N$4:$N$17,MATCH(Übungen!$A$11,Rekorde!$A$4:$A$17,0)),"")*1*2,0)/2))</f>
        <v/>
      </c>
      <c r="D84" s="88"/>
      <c r="E84" s="88"/>
      <c r="F84" s="88"/>
      <c r="G84" s="88"/>
      <c r="H84" s="88"/>
    </row>
    <row r="86" customFormat="false" ht="18.75" hidden="false" customHeight="true" outlineLevel="0" collapsed="false">
      <c r="A86" s="83" t="str">
        <f aca="false">Übungen!$A$12</f>
        <v>Waden</v>
      </c>
      <c r="B86" s="83"/>
      <c r="C86" s="83"/>
      <c r="D86" s="83"/>
      <c r="E86" s="83"/>
      <c r="F86" s="83"/>
      <c r="G86" s="83"/>
      <c r="H86" s="83"/>
    </row>
    <row r="87" customFormat="false" ht="15" hidden="false" customHeight="true" outlineLevel="0" collapsed="false">
      <c r="A87"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f>
        <v>GESPERRT bis Woche 2 nach OP     ·     Ersatz: Wadenmaschine sitzend ab Woche 1     ·     Vorgabe: 3 × 10-15 Wdh @ RPE 9</v>
      </c>
      <c r="B87" s="84"/>
      <c r="C87" s="84"/>
      <c r="D87" s="84"/>
      <c r="E87" s="84"/>
      <c r="F87" s="84"/>
      <c r="G87" s="84"/>
      <c r="H87" s="84"/>
    </row>
    <row r="88" customFormat="false" ht="13.5" hidden="false" customHeight="true" outlineLevel="0" collapsed="false">
      <c r="A88" s="85" t="s">
        <v>291</v>
      </c>
      <c r="B88" s="85" t="s">
        <v>292</v>
      </c>
      <c r="C88" s="85" t="s">
        <v>293</v>
      </c>
      <c r="D88" s="85" t="s">
        <v>294</v>
      </c>
      <c r="E88" s="85" t="s">
        <v>221</v>
      </c>
      <c r="F88" s="85" t="s">
        <v>46</v>
      </c>
      <c r="G88" s="85" t="s">
        <v>295</v>
      </c>
      <c r="H88" s="85" t="s">
        <v>213</v>
      </c>
    </row>
    <row r="89" customFormat="false" ht="19.5" hidden="false" customHeight="true" outlineLevel="0" collapsed="false">
      <c r="A89" s="86" t="n">
        <v>1</v>
      </c>
      <c r="B89" s="41" t="s">
        <v>226</v>
      </c>
      <c r="C89" s="87" t="str">
        <f aca="false">IF(AND(Übungen!$J$12&lt;&gt;"",'Reha-Modus'!$B$4&lt;&gt;"",'Reha-Modus'!$B$4&lt;Übungen!$J$12),"",IF(IFERROR(INDEX(Rekorde!$N$4:$N$17,MATCH(Übungen!$A$12,Rekorde!$A$4:$A$17,0)),"")="","",ROUND(IFERROR(INDEX(Rekorde!$N$4:$N$17,MATCH(Übungen!$A$12,Rekorde!$A$4:$A$17,0)),"")*0.45*2,0)/2))</f>
        <v/>
      </c>
      <c r="D89" s="88"/>
      <c r="E89" s="88"/>
      <c r="F89" s="88"/>
      <c r="G89" s="88"/>
      <c r="H89" s="88"/>
    </row>
    <row r="90" customFormat="false" ht="19.5" hidden="false" customHeight="true" outlineLevel="0" collapsed="false">
      <c r="A90" s="86" t="n">
        <v>2</v>
      </c>
      <c r="B90" s="41" t="s">
        <v>226</v>
      </c>
      <c r="C90" s="87" t="str">
        <f aca="false">IF(AND(Übungen!$J$12&lt;&gt;"",'Reha-Modus'!$B$4&lt;&gt;"",'Reha-Modus'!$B$4&lt;Übungen!$J$12),"",IF(IFERROR(INDEX(Rekorde!$N$4:$N$17,MATCH(Übungen!$A$12,Rekorde!$A$4:$A$17,0)),"")="","",ROUND(IFERROR(INDEX(Rekorde!$N$4:$N$17,MATCH(Übungen!$A$12,Rekorde!$A$4:$A$17,0)),"")*0.7*2,0)/2))</f>
        <v/>
      </c>
      <c r="D90" s="88"/>
      <c r="E90" s="88"/>
      <c r="F90" s="88"/>
      <c r="G90" s="88"/>
      <c r="H90" s="88"/>
    </row>
    <row r="91" customFormat="false" ht="19.5" hidden="false" customHeight="true" outlineLevel="0" collapsed="false">
      <c r="A91" s="86" t="n">
        <v>3</v>
      </c>
      <c r="B91" s="89" t="s">
        <v>227</v>
      </c>
      <c r="C91" s="87" t="str">
        <f aca="false">IF(AND(Übungen!$J$12&lt;&gt;"",'Reha-Modus'!$B$4&lt;&gt;"",'Reha-Modus'!$B$4&lt;Übungen!$J$12),"",IF(IFERROR(INDEX(Rekorde!$N$4:$N$17,MATCH(Übungen!$A$12,Rekorde!$A$4:$A$17,0)),"")="","",ROUND(IFERROR(INDEX(Rekorde!$N$4:$N$17,MATCH(Übungen!$A$12,Rekorde!$A$4:$A$17,0)),"")*1*2,0)/2))</f>
        <v/>
      </c>
      <c r="D91" s="88"/>
      <c r="E91" s="88"/>
      <c r="F91" s="88"/>
      <c r="G91" s="88"/>
      <c r="H91" s="88"/>
    </row>
    <row r="92" customFormat="false" ht="19.5" hidden="false" customHeight="true" outlineLevel="0" collapsed="false">
      <c r="A92" s="86" t="n">
        <v>4</v>
      </c>
      <c r="B92" s="89" t="s">
        <v>227</v>
      </c>
      <c r="C92" s="87" t="str">
        <f aca="false">IF(AND(Übungen!$J$12&lt;&gt;"",'Reha-Modus'!$B$4&lt;&gt;"",'Reha-Modus'!$B$4&lt;Übungen!$J$12),"",IF(IFERROR(INDEX(Rekorde!$N$4:$N$17,MATCH(Übungen!$A$12,Rekorde!$A$4:$A$17,0)),"")="","",ROUND(IFERROR(INDEX(Rekorde!$N$4:$N$17,MATCH(Übungen!$A$12,Rekorde!$A$4:$A$17,0)),"")*1*2,0)/2))</f>
        <v/>
      </c>
      <c r="D92" s="88"/>
      <c r="E92" s="88"/>
      <c r="F92" s="88"/>
      <c r="G92" s="88"/>
      <c r="H92" s="88"/>
    </row>
    <row r="93" customFormat="false" ht="19.5" hidden="false" customHeight="true" outlineLevel="0" collapsed="false">
      <c r="A93" s="86" t="n">
        <v>5</v>
      </c>
      <c r="B93" s="89" t="s">
        <v>227</v>
      </c>
      <c r="C93" s="87" t="str">
        <f aca="false">IF(AND(Übungen!$J$12&lt;&gt;"",'Reha-Modus'!$B$4&lt;&gt;"",'Reha-Modus'!$B$4&lt;Übungen!$J$12),"",IF(IFERROR(INDEX(Rekorde!$N$4:$N$17,MATCH(Übungen!$A$12,Rekorde!$A$4:$A$17,0)),"")="","",ROUND(IFERROR(INDEX(Rekorde!$N$4:$N$17,MATCH(Übungen!$A$12,Rekorde!$A$4:$A$17,0)),"")*1*2,0)/2))</f>
        <v/>
      </c>
      <c r="D93" s="88"/>
      <c r="E93" s="88"/>
      <c r="F93" s="88"/>
      <c r="G93" s="88"/>
      <c r="H93" s="88"/>
    </row>
    <row r="95" customFormat="false" ht="15.75" hidden="false" customHeight="true" outlineLevel="0" collapsed="false">
      <c r="A95" s="3" t="s">
        <v>296</v>
      </c>
      <c r="B95" s="3"/>
      <c r="C95" s="3"/>
      <c r="D95" s="3"/>
      <c r="E95" s="3"/>
      <c r="F95" s="3"/>
      <c r="G95" s="3"/>
      <c r="H95" s="3"/>
    </row>
    <row r="96" customFormat="false" ht="18" hidden="false" customHeight="true" outlineLevel="0" collapsed="false">
      <c r="A96" s="91"/>
      <c r="B96" s="91"/>
      <c r="C96" s="91"/>
      <c r="D96" s="91"/>
      <c r="E96" s="91"/>
      <c r="F96" s="91"/>
      <c r="G96" s="91"/>
      <c r="H96" s="91"/>
    </row>
    <row r="97" customFormat="false" ht="18" hidden="false" customHeight="true" outlineLevel="0" collapsed="false">
      <c r="A97" s="91"/>
      <c r="B97" s="91"/>
      <c r="C97" s="91"/>
      <c r="D97" s="91"/>
      <c r="E97" s="91"/>
      <c r="F97" s="91"/>
      <c r="G97" s="91"/>
      <c r="H97" s="91"/>
    </row>
    <row r="98" customFormat="false" ht="18" hidden="false" customHeight="true" outlineLevel="0" collapsed="false">
      <c r="A98" s="91"/>
      <c r="B98" s="91"/>
      <c r="C98" s="91"/>
      <c r="D98" s="91"/>
      <c r="E98" s="91"/>
      <c r="F98" s="91"/>
      <c r="G98" s="91"/>
      <c r="H98" s="91"/>
    </row>
    <row r="100" customFormat="false" ht="27.75" hidden="false" customHeight="true" outlineLevel="0" collapsed="false">
      <c r="A100" s="1" t="s">
        <v>298</v>
      </c>
      <c r="B100" s="1"/>
      <c r="C100" s="1"/>
      <c r="D100" s="1"/>
      <c r="E100" s="1"/>
      <c r="F100" s="1"/>
      <c r="G100" s="1"/>
      <c r="H100" s="1"/>
    </row>
    <row r="101" customFormat="false" ht="12.75" hidden="false" customHeight="true" outlineLevel="0" collapsed="false">
      <c r="A101" s="80" t="s">
        <v>61</v>
      </c>
      <c r="B101" s="80"/>
      <c r="C101" s="81" t="s">
        <v>287</v>
      </c>
      <c r="D101" s="81" t="s">
        <v>288</v>
      </c>
      <c r="E101" s="80" t="s">
        <v>289</v>
      </c>
      <c r="F101" s="80"/>
      <c r="G101" s="80" t="s">
        <v>290</v>
      </c>
      <c r="H101" s="80"/>
    </row>
    <row r="102" customFormat="false" ht="19.5" hidden="false" customHeight="true" outlineLevel="0" collapsed="false">
      <c r="A102" s="82"/>
      <c r="B102" s="82"/>
      <c r="C102" s="82"/>
      <c r="D102" s="82"/>
      <c r="E102" s="82"/>
      <c r="F102" s="82"/>
      <c r="G102" s="82"/>
      <c r="H102" s="82"/>
    </row>
    <row r="104" customFormat="false" ht="18.75" hidden="false" customHeight="true" outlineLevel="0" collapsed="false">
      <c r="A104" s="83" t="str">
        <f aca="false">Übungen!$A$4</f>
        <v>Hackenschmidt-Kniebeuge</v>
      </c>
      <c r="B104" s="83"/>
      <c r="C104" s="83"/>
      <c r="D104" s="83"/>
      <c r="E104" s="83"/>
      <c r="F104" s="83"/>
      <c r="G104" s="83"/>
      <c r="H104" s="83"/>
    </row>
    <row r="105" customFormat="false" ht="15" hidden="false" customHeight="true" outlineLevel="0" collapsed="false">
      <c r="A105"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f>
        <v>GESPERRT bis Woche 6 nach OP     ·     Ersatz: Beinpresse mit tiefer Fussposition, Hände seitlich abgelegt     ·     Vorgabe: 3 × 6-10 Wdh @ RPE 8-9</v>
      </c>
      <c r="B105" s="84"/>
      <c r="C105" s="84"/>
      <c r="D105" s="84"/>
      <c r="E105" s="84"/>
      <c r="F105" s="84"/>
      <c r="G105" s="84"/>
      <c r="H105" s="84"/>
    </row>
    <row r="106" customFormat="false" ht="13.5" hidden="false" customHeight="true" outlineLevel="0" collapsed="false">
      <c r="A106" s="85" t="s">
        <v>291</v>
      </c>
      <c r="B106" s="85" t="s">
        <v>292</v>
      </c>
      <c r="C106" s="85" t="s">
        <v>293</v>
      </c>
      <c r="D106" s="85" t="s">
        <v>294</v>
      </c>
      <c r="E106" s="85" t="s">
        <v>221</v>
      </c>
      <c r="F106" s="85" t="s">
        <v>46</v>
      </c>
      <c r="G106" s="85" t="s">
        <v>295</v>
      </c>
      <c r="H106" s="85" t="s">
        <v>213</v>
      </c>
    </row>
    <row r="107" customFormat="false" ht="19.5" hidden="false" customHeight="true" outlineLevel="0" collapsed="false">
      <c r="A107" s="86" t="n">
        <v>1</v>
      </c>
      <c r="B107" s="41" t="s">
        <v>226</v>
      </c>
      <c r="C107" s="87" t="str">
        <f aca="false">IF(AND(Übungen!$J$4&lt;&gt;"",'Reha-Modus'!$B$4&lt;&gt;"",'Reha-Modus'!$B$4&lt;Übungen!$J$4),"",IF(IFERROR(INDEX(Rekorde!$N$4:$N$17,MATCH(Übungen!$A$4,Rekorde!$A$4:$A$17,0)),"")="","",ROUND(IFERROR(INDEX(Rekorde!$N$4:$N$17,MATCH(Übungen!$A$4,Rekorde!$A$4:$A$17,0)),"")*0.45*2,0)/2))</f>
        <v/>
      </c>
      <c r="D107" s="88"/>
      <c r="E107" s="88"/>
      <c r="F107" s="88"/>
      <c r="G107" s="88"/>
      <c r="H107" s="88"/>
    </row>
    <row r="108" customFormat="false" ht="19.5" hidden="false" customHeight="true" outlineLevel="0" collapsed="false">
      <c r="A108" s="86" t="n">
        <v>2</v>
      </c>
      <c r="B108" s="41" t="s">
        <v>226</v>
      </c>
      <c r="C108" s="87" t="str">
        <f aca="false">IF(AND(Übungen!$J$4&lt;&gt;"",'Reha-Modus'!$B$4&lt;&gt;"",'Reha-Modus'!$B$4&lt;Übungen!$J$4),"",IF(IFERROR(INDEX(Rekorde!$N$4:$N$17,MATCH(Übungen!$A$4,Rekorde!$A$4:$A$17,0)),"")="","",ROUND(IFERROR(INDEX(Rekorde!$N$4:$N$17,MATCH(Übungen!$A$4,Rekorde!$A$4:$A$17,0)),"")*0.7*2,0)/2))</f>
        <v/>
      </c>
      <c r="D108" s="88"/>
      <c r="E108" s="88"/>
      <c r="F108" s="88"/>
      <c r="G108" s="88"/>
      <c r="H108" s="88"/>
    </row>
    <row r="109" customFormat="false" ht="19.5" hidden="false" customHeight="true" outlineLevel="0" collapsed="false">
      <c r="A109" s="86" t="n">
        <v>3</v>
      </c>
      <c r="B109" s="89" t="s">
        <v>227</v>
      </c>
      <c r="C109" s="87" t="str">
        <f aca="false">IF(AND(Übungen!$J$4&lt;&gt;"",'Reha-Modus'!$B$4&lt;&gt;"",'Reha-Modus'!$B$4&lt;Übungen!$J$4),"",IF(IFERROR(INDEX(Rekorde!$N$4:$N$17,MATCH(Übungen!$A$4,Rekorde!$A$4:$A$17,0)),"")="","",ROUND(IFERROR(INDEX(Rekorde!$N$4:$N$17,MATCH(Übungen!$A$4,Rekorde!$A$4:$A$17,0)),"")*1*2,0)/2))</f>
        <v/>
      </c>
      <c r="D109" s="88"/>
      <c r="E109" s="88"/>
      <c r="F109" s="88"/>
      <c r="G109" s="88"/>
      <c r="H109" s="88"/>
    </row>
    <row r="110" customFormat="false" ht="19.5" hidden="false" customHeight="true" outlineLevel="0" collapsed="false">
      <c r="A110" s="86" t="n">
        <v>4</v>
      </c>
      <c r="B110" s="89" t="s">
        <v>227</v>
      </c>
      <c r="C110" s="87" t="str">
        <f aca="false">IF(AND(Übungen!$J$4&lt;&gt;"",'Reha-Modus'!$B$4&lt;&gt;"",'Reha-Modus'!$B$4&lt;Übungen!$J$4),"",IF(IFERROR(INDEX(Rekorde!$N$4:$N$17,MATCH(Übungen!$A$4,Rekorde!$A$4:$A$17,0)),"")="","",ROUND(IFERROR(INDEX(Rekorde!$N$4:$N$17,MATCH(Übungen!$A$4,Rekorde!$A$4:$A$17,0)),"")*1*2,0)/2))</f>
        <v/>
      </c>
      <c r="D110" s="88"/>
      <c r="E110" s="88"/>
      <c r="F110" s="88"/>
      <c r="G110" s="88"/>
      <c r="H110" s="88"/>
    </row>
    <row r="111" customFormat="false" ht="19.5" hidden="false" customHeight="true" outlineLevel="0" collapsed="false">
      <c r="A111" s="86" t="n">
        <v>5</v>
      </c>
      <c r="B111" s="89" t="s">
        <v>227</v>
      </c>
      <c r="C111" s="87" t="str">
        <f aca="false">IF(AND(Übungen!$J$4&lt;&gt;"",'Reha-Modus'!$B$4&lt;&gt;"",'Reha-Modus'!$B$4&lt;Übungen!$J$4),"",IF(IFERROR(INDEX(Rekorde!$N$4:$N$17,MATCH(Übungen!$A$4,Rekorde!$A$4:$A$17,0)),"")="","",ROUND(IFERROR(INDEX(Rekorde!$N$4:$N$17,MATCH(Übungen!$A$4,Rekorde!$A$4:$A$17,0)),"")*1*2,0)/2))</f>
        <v/>
      </c>
      <c r="D111" s="88"/>
      <c r="E111" s="88"/>
      <c r="F111" s="88"/>
      <c r="G111" s="88"/>
      <c r="H111" s="88"/>
    </row>
    <row r="113" customFormat="false" ht="18.75" hidden="false" customHeight="true" outlineLevel="0" collapsed="false">
      <c r="A113" s="83" t="str">
        <f aca="false">Übungen!$A$5</f>
        <v>Split Squat</v>
      </c>
      <c r="B113" s="83"/>
      <c r="C113" s="83"/>
      <c r="D113" s="83"/>
      <c r="E113" s="83"/>
      <c r="F113" s="83"/>
      <c r="G113" s="83"/>
      <c r="H113" s="83"/>
    </row>
    <row r="114" customFormat="false" ht="15" hidden="false" customHeight="true" outlineLevel="0" collapsed="false">
      <c r="A114"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f>
        <v>GESPERRT bis Woche 8 nach OP     ·     Ersatz: Beinpresse einbeinig, ab Woche 6 Multipresse ohne Zusatzhantel     ·     Vorgabe: 3 × 8-10 Wdh @ RPE 8</v>
      </c>
      <c r="B114" s="84"/>
      <c r="C114" s="84"/>
      <c r="D114" s="84"/>
      <c r="E114" s="84"/>
      <c r="F114" s="84"/>
      <c r="G114" s="84"/>
      <c r="H114" s="84"/>
    </row>
    <row r="115" customFormat="false" ht="13.5" hidden="false" customHeight="true" outlineLevel="0" collapsed="false">
      <c r="A115" s="85" t="s">
        <v>291</v>
      </c>
      <c r="B115" s="85" t="s">
        <v>292</v>
      </c>
      <c r="C115" s="85" t="s">
        <v>293</v>
      </c>
      <c r="D115" s="85" t="s">
        <v>294</v>
      </c>
      <c r="E115" s="85" t="s">
        <v>221</v>
      </c>
      <c r="F115" s="85" t="s">
        <v>46</v>
      </c>
      <c r="G115" s="85" t="s">
        <v>295</v>
      </c>
      <c r="H115" s="85" t="s">
        <v>213</v>
      </c>
    </row>
    <row r="116" customFormat="false" ht="19.5" hidden="false" customHeight="true" outlineLevel="0" collapsed="false">
      <c r="A116" s="86" t="n">
        <v>1</v>
      </c>
      <c r="B116" s="41" t="s">
        <v>226</v>
      </c>
      <c r="C116" s="87" t="str">
        <f aca="false">IF(AND(Übungen!$J$5&lt;&gt;"",'Reha-Modus'!$B$4&lt;&gt;"",'Reha-Modus'!$B$4&lt;Übungen!$J$5),"",IF(IFERROR(INDEX(Rekorde!$N$4:$N$17,MATCH(Übungen!$A$5,Rekorde!$A$4:$A$17,0)),"")="","",ROUND(IFERROR(INDEX(Rekorde!$N$4:$N$17,MATCH(Übungen!$A$5,Rekorde!$A$4:$A$17,0)),"")*0.45*2,0)/2))</f>
        <v/>
      </c>
      <c r="D116" s="88"/>
      <c r="E116" s="88"/>
      <c r="F116" s="88"/>
      <c r="G116" s="88"/>
      <c r="H116" s="88"/>
    </row>
    <row r="117" customFormat="false" ht="19.5" hidden="false" customHeight="true" outlineLevel="0" collapsed="false">
      <c r="A117" s="86" t="n">
        <v>2</v>
      </c>
      <c r="B117" s="41" t="s">
        <v>226</v>
      </c>
      <c r="C117" s="87" t="str">
        <f aca="false">IF(AND(Übungen!$J$5&lt;&gt;"",'Reha-Modus'!$B$4&lt;&gt;"",'Reha-Modus'!$B$4&lt;Übungen!$J$5),"",IF(IFERROR(INDEX(Rekorde!$N$4:$N$17,MATCH(Übungen!$A$5,Rekorde!$A$4:$A$17,0)),"")="","",ROUND(IFERROR(INDEX(Rekorde!$N$4:$N$17,MATCH(Übungen!$A$5,Rekorde!$A$4:$A$17,0)),"")*0.7*2,0)/2))</f>
        <v/>
      </c>
      <c r="D117" s="88"/>
      <c r="E117" s="88"/>
      <c r="F117" s="88"/>
      <c r="G117" s="88"/>
      <c r="H117" s="88"/>
    </row>
    <row r="118" customFormat="false" ht="19.5" hidden="false" customHeight="true" outlineLevel="0" collapsed="false">
      <c r="A118" s="86" t="n">
        <v>3</v>
      </c>
      <c r="B118" s="89" t="s">
        <v>227</v>
      </c>
      <c r="C118" s="87" t="str">
        <f aca="false">IF(AND(Übungen!$J$5&lt;&gt;"",'Reha-Modus'!$B$4&lt;&gt;"",'Reha-Modus'!$B$4&lt;Übungen!$J$5),"",IF(IFERROR(INDEX(Rekorde!$N$4:$N$17,MATCH(Übungen!$A$5,Rekorde!$A$4:$A$17,0)),"")="","",ROUND(IFERROR(INDEX(Rekorde!$N$4:$N$17,MATCH(Übungen!$A$5,Rekorde!$A$4:$A$17,0)),"")*1*2,0)/2))</f>
        <v/>
      </c>
      <c r="D118" s="88"/>
      <c r="E118" s="88"/>
      <c r="F118" s="88"/>
      <c r="G118" s="88"/>
      <c r="H118" s="88"/>
    </row>
    <row r="119" customFormat="false" ht="19.5" hidden="false" customHeight="true" outlineLevel="0" collapsed="false">
      <c r="A119" s="86" t="n">
        <v>4</v>
      </c>
      <c r="B119" s="89" t="s">
        <v>227</v>
      </c>
      <c r="C119" s="87" t="str">
        <f aca="false">IF(AND(Übungen!$J$5&lt;&gt;"",'Reha-Modus'!$B$4&lt;&gt;"",'Reha-Modus'!$B$4&lt;Übungen!$J$5),"",IF(IFERROR(INDEX(Rekorde!$N$4:$N$17,MATCH(Übungen!$A$5,Rekorde!$A$4:$A$17,0)),"")="","",ROUND(IFERROR(INDEX(Rekorde!$N$4:$N$17,MATCH(Übungen!$A$5,Rekorde!$A$4:$A$17,0)),"")*1*2,0)/2))</f>
        <v/>
      </c>
      <c r="D119" s="88"/>
      <c r="E119" s="88"/>
      <c r="F119" s="88"/>
      <c r="G119" s="88"/>
      <c r="H119" s="88"/>
    </row>
    <row r="120" customFormat="false" ht="19.5" hidden="false" customHeight="true" outlineLevel="0" collapsed="false">
      <c r="A120" s="86" t="n">
        <v>5</v>
      </c>
      <c r="B120" s="89" t="s">
        <v>227</v>
      </c>
      <c r="C120" s="87" t="str">
        <f aca="false">IF(AND(Übungen!$J$5&lt;&gt;"",'Reha-Modus'!$B$4&lt;&gt;"",'Reha-Modus'!$B$4&lt;Übungen!$J$5),"",IF(IFERROR(INDEX(Rekorde!$N$4:$N$17,MATCH(Übungen!$A$5,Rekorde!$A$4:$A$17,0)),"")="","",ROUND(IFERROR(INDEX(Rekorde!$N$4:$N$17,MATCH(Übungen!$A$5,Rekorde!$A$4:$A$17,0)),"")*1*2,0)/2))</f>
        <v/>
      </c>
      <c r="D120" s="88"/>
      <c r="E120" s="88"/>
      <c r="F120" s="88"/>
      <c r="G120" s="88"/>
      <c r="H120" s="88"/>
    </row>
    <row r="122" customFormat="false" ht="18.75" hidden="false" customHeight="true" outlineLevel="0" collapsed="false">
      <c r="A122" s="83" t="str">
        <f aca="false">Übungen!$A$6</f>
        <v>Beinstrecker</v>
      </c>
      <c r="B122" s="83"/>
      <c r="C122" s="83"/>
      <c r="D122" s="83"/>
      <c r="E122" s="83"/>
      <c r="F122" s="83"/>
      <c r="G122" s="83"/>
      <c r="H122" s="83"/>
    </row>
    <row r="123" customFormat="false" ht="15" hidden="false" customHeight="true" outlineLevel="0" collapsed="false">
      <c r="A123"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f>
        <v>Zuletzt: 80 kg × 12 Wdh     ·     Bestwert: 85 kg     ·     Ziel heute: 82 kg     ·     Vorgabe: 3 × 12-15 Wdh @ RPE 9</v>
      </c>
      <c r="B123" s="84"/>
      <c r="C123" s="84"/>
      <c r="D123" s="84"/>
      <c r="E123" s="84"/>
      <c r="F123" s="84"/>
      <c r="G123" s="84"/>
      <c r="H123" s="84"/>
    </row>
    <row r="124" customFormat="false" ht="13.5" hidden="false" customHeight="true" outlineLevel="0" collapsed="false">
      <c r="A124" s="85" t="s">
        <v>291</v>
      </c>
      <c r="B124" s="85" t="s">
        <v>292</v>
      </c>
      <c r="C124" s="85" t="s">
        <v>293</v>
      </c>
      <c r="D124" s="85" t="s">
        <v>294</v>
      </c>
      <c r="E124" s="85" t="s">
        <v>221</v>
      </c>
      <c r="F124" s="85" t="s">
        <v>46</v>
      </c>
      <c r="G124" s="85" t="s">
        <v>295</v>
      </c>
      <c r="H124" s="85" t="s">
        <v>213</v>
      </c>
    </row>
    <row r="125" customFormat="false" ht="19.5" hidden="false" customHeight="true" outlineLevel="0" collapsed="false">
      <c r="A125" s="86" t="n">
        <v>1</v>
      </c>
      <c r="B125" s="41" t="s">
        <v>226</v>
      </c>
      <c r="C125" s="87" t="n">
        <f aca="false">IF(AND(Übungen!$J$6&lt;&gt;"",'Reha-Modus'!$B$4&lt;&gt;"",'Reha-Modus'!$B$4&lt;Übungen!$J$6),"",IF(IFERROR(INDEX(Rekorde!$N$4:$N$17,MATCH(Übungen!$A$6,Rekorde!$A$4:$A$17,0)),"")="","",ROUND(IFERROR(INDEX(Rekorde!$N$4:$N$17,MATCH(Übungen!$A$6,Rekorde!$A$4:$A$17,0)),"")*0.45*2,0)/2))</f>
        <v>37</v>
      </c>
      <c r="D125" s="88"/>
      <c r="E125" s="88"/>
      <c r="F125" s="88"/>
      <c r="G125" s="88"/>
      <c r="H125" s="88"/>
    </row>
    <row r="126" customFormat="false" ht="19.5" hidden="false" customHeight="true" outlineLevel="0" collapsed="false">
      <c r="A126" s="86" t="n">
        <v>2</v>
      </c>
      <c r="B126" s="41" t="s">
        <v>226</v>
      </c>
      <c r="C126" s="87" t="n">
        <f aca="false">IF(AND(Übungen!$J$6&lt;&gt;"",'Reha-Modus'!$B$4&lt;&gt;"",'Reha-Modus'!$B$4&lt;Übungen!$J$6),"",IF(IFERROR(INDEX(Rekorde!$N$4:$N$17,MATCH(Übungen!$A$6,Rekorde!$A$4:$A$17,0)),"")="","",ROUND(IFERROR(INDEX(Rekorde!$N$4:$N$17,MATCH(Übungen!$A$6,Rekorde!$A$4:$A$17,0)),"")*0.7*2,0)/2))</f>
        <v>57.5</v>
      </c>
      <c r="D126" s="88"/>
      <c r="E126" s="88"/>
      <c r="F126" s="88"/>
      <c r="G126" s="88"/>
      <c r="H126" s="88"/>
    </row>
    <row r="127" customFormat="false" ht="19.5" hidden="false" customHeight="true" outlineLevel="0" collapsed="false">
      <c r="A127" s="86" t="n">
        <v>3</v>
      </c>
      <c r="B127" s="89" t="s">
        <v>227</v>
      </c>
      <c r="C127" s="87" t="n">
        <f aca="false">IF(AND(Übungen!$J$6&lt;&gt;"",'Reha-Modus'!$B$4&lt;&gt;"",'Reha-Modus'!$B$4&lt;Übungen!$J$6),"",IF(IFERROR(INDEX(Rekorde!$N$4:$N$17,MATCH(Übungen!$A$6,Rekorde!$A$4:$A$17,0)),"")="","",ROUND(IFERROR(INDEX(Rekorde!$N$4:$N$17,MATCH(Übungen!$A$6,Rekorde!$A$4:$A$17,0)),"")*1*2,0)/2))</f>
        <v>82</v>
      </c>
      <c r="D127" s="88"/>
      <c r="E127" s="88"/>
      <c r="F127" s="88"/>
      <c r="G127" s="88"/>
      <c r="H127" s="88"/>
    </row>
    <row r="128" customFormat="false" ht="19.5" hidden="false" customHeight="true" outlineLevel="0" collapsed="false">
      <c r="A128" s="86" t="n">
        <v>4</v>
      </c>
      <c r="B128" s="89" t="s">
        <v>227</v>
      </c>
      <c r="C128" s="87" t="n">
        <f aca="false">IF(AND(Übungen!$J$6&lt;&gt;"",'Reha-Modus'!$B$4&lt;&gt;"",'Reha-Modus'!$B$4&lt;Übungen!$J$6),"",IF(IFERROR(INDEX(Rekorde!$N$4:$N$17,MATCH(Übungen!$A$6,Rekorde!$A$4:$A$17,0)),"")="","",ROUND(IFERROR(INDEX(Rekorde!$N$4:$N$17,MATCH(Übungen!$A$6,Rekorde!$A$4:$A$17,0)),"")*1*2,0)/2))</f>
        <v>82</v>
      </c>
      <c r="D128" s="88"/>
      <c r="E128" s="88"/>
      <c r="F128" s="88"/>
      <c r="G128" s="88"/>
      <c r="H128" s="88"/>
    </row>
    <row r="129" customFormat="false" ht="19.5" hidden="false" customHeight="true" outlineLevel="0" collapsed="false">
      <c r="A129" s="86" t="n">
        <v>5</v>
      </c>
      <c r="B129" s="41" t="s">
        <v>228</v>
      </c>
      <c r="C129" s="90"/>
      <c r="D129" s="88"/>
      <c r="E129" s="88"/>
      <c r="F129" s="88"/>
      <c r="G129" s="88"/>
      <c r="H129" s="88"/>
    </row>
    <row r="131" customFormat="false" ht="18.75" hidden="false" customHeight="true" outlineLevel="0" collapsed="false">
      <c r="A131" s="83" t="str">
        <f aca="false">Übungen!$A$7</f>
        <v>Adduktion</v>
      </c>
      <c r="B131" s="83"/>
      <c r="C131" s="83"/>
      <c r="D131" s="83"/>
      <c r="E131" s="83"/>
      <c r="F131" s="83"/>
      <c r="G131" s="83"/>
      <c r="H131" s="83"/>
    </row>
    <row r="132" customFormat="false" ht="15" hidden="false" customHeight="true" outlineLevel="0" collapsed="false">
      <c r="A132"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f>
        <v>Zuletzt: 152.5 kg × 25 Wdh     ·     Bestwert: 152.5 kg     ·     Ziel heute: 152.5 kg     ·     Stackende, über Tempo und Pausen steigern     ·     Vorgabe: 3 × 15-20 Wdh @ RPE 9</v>
      </c>
      <c r="B132" s="84"/>
      <c r="C132" s="84"/>
      <c r="D132" s="84"/>
      <c r="E132" s="84"/>
      <c r="F132" s="84"/>
      <c r="G132" s="84"/>
      <c r="H132" s="84"/>
    </row>
    <row r="133" customFormat="false" ht="13.5" hidden="false" customHeight="true" outlineLevel="0" collapsed="false">
      <c r="A133" s="85" t="s">
        <v>291</v>
      </c>
      <c r="B133" s="85" t="s">
        <v>292</v>
      </c>
      <c r="C133" s="85" t="s">
        <v>293</v>
      </c>
      <c r="D133" s="85" t="s">
        <v>294</v>
      </c>
      <c r="E133" s="85" t="s">
        <v>221</v>
      </c>
      <c r="F133" s="85" t="s">
        <v>46</v>
      </c>
      <c r="G133" s="85" t="s">
        <v>295</v>
      </c>
      <c r="H133" s="85" t="s">
        <v>213</v>
      </c>
    </row>
    <row r="134" customFormat="false" ht="19.5" hidden="false" customHeight="true" outlineLevel="0" collapsed="false">
      <c r="A134" s="86" t="n">
        <v>1</v>
      </c>
      <c r="B134" s="41" t="s">
        <v>226</v>
      </c>
      <c r="C134" s="87" t="n">
        <f aca="false">IF(AND(Übungen!$J$7&lt;&gt;"",'Reha-Modus'!$B$4&lt;&gt;"",'Reha-Modus'!$B$4&lt;Übungen!$J$7),"",IF(IFERROR(INDEX(Rekorde!$N$4:$N$17,MATCH(Übungen!$A$7,Rekorde!$A$4:$A$17,0)),"")="","",ROUND(IFERROR(INDEX(Rekorde!$N$4:$N$17,MATCH(Übungen!$A$7,Rekorde!$A$4:$A$17,0)),"")*0.45*2,0)/2))</f>
        <v>68.5</v>
      </c>
      <c r="D134" s="88"/>
      <c r="E134" s="88"/>
      <c r="F134" s="88"/>
      <c r="G134" s="88"/>
      <c r="H134" s="88"/>
    </row>
    <row r="135" customFormat="false" ht="19.5" hidden="false" customHeight="true" outlineLevel="0" collapsed="false">
      <c r="A135" s="86" t="n">
        <v>2</v>
      </c>
      <c r="B135" s="41" t="s">
        <v>226</v>
      </c>
      <c r="C135" s="87" t="n">
        <f aca="false">IF(AND(Übungen!$J$7&lt;&gt;"",'Reha-Modus'!$B$4&lt;&gt;"",'Reha-Modus'!$B$4&lt;Übungen!$J$7),"",IF(IFERROR(INDEX(Rekorde!$N$4:$N$17,MATCH(Übungen!$A$7,Rekorde!$A$4:$A$17,0)),"")="","",ROUND(IFERROR(INDEX(Rekorde!$N$4:$N$17,MATCH(Übungen!$A$7,Rekorde!$A$4:$A$17,0)),"")*0.7*2,0)/2))</f>
        <v>107</v>
      </c>
      <c r="D135" s="88"/>
      <c r="E135" s="88"/>
      <c r="F135" s="88"/>
      <c r="G135" s="88"/>
      <c r="H135" s="88"/>
    </row>
    <row r="136" customFormat="false" ht="19.5" hidden="false" customHeight="true" outlineLevel="0" collapsed="false">
      <c r="A136" s="86" t="n">
        <v>3</v>
      </c>
      <c r="B136" s="89" t="s">
        <v>227</v>
      </c>
      <c r="C136" s="87" t="n">
        <f aca="false">IF(AND(Übungen!$J$7&lt;&gt;"",'Reha-Modus'!$B$4&lt;&gt;"",'Reha-Modus'!$B$4&lt;Übungen!$J$7),"",IF(IFERROR(INDEX(Rekorde!$N$4:$N$17,MATCH(Übungen!$A$7,Rekorde!$A$4:$A$17,0)),"")="","",ROUND(IFERROR(INDEX(Rekorde!$N$4:$N$17,MATCH(Übungen!$A$7,Rekorde!$A$4:$A$17,0)),"")*1*2,0)/2))</f>
        <v>152.5</v>
      </c>
      <c r="D136" s="88"/>
      <c r="E136" s="88"/>
      <c r="F136" s="88"/>
      <c r="G136" s="88"/>
      <c r="H136" s="88"/>
    </row>
    <row r="137" customFormat="false" ht="19.5" hidden="false" customHeight="true" outlineLevel="0" collapsed="false">
      <c r="A137" s="86" t="n">
        <v>4</v>
      </c>
      <c r="B137" s="89" t="s">
        <v>227</v>
      </c>
      <c r="C137" s="87" t="n">
        <f aca="false">IF(AND(Übungen!$J$7&lt;&gt;"",'Reha-Modus'!$B$4&lt;&gt;"",'Reha-Modus'!$B$4&lt;Übungen!$J$7),"",IF(IFERROR(INDEX(Rekorde!$N$4:$N$17,MATCH(Übungen!$A$7,Rekorde!$A$4:$A$17,0)),"")="","",ROUND(IFERROR(INDEX(Rekorde!$N$4:$N$17,MATCH(Übungen!$A$7,Rekorde!$A$4:$A$17,0)),"")*1*2,0)/2))</f>
        <v>152.5</v>
      </c>
      <c r="D137" s="88"/>
      <c r="E137" s="88"/>
      <c r="F137" s="88"/>
      <c r="G137" s="88"/>
      <c r="H137" s="88"/>
    </row>
    <row r="138" customFormat="false" ht="19.5" hidden="false" customHeight="true" outlineLevel="0" collapsed="false">
      <c r="A138" s="86" t="n">
        <v>5</v>
      </c>
      <c r="B138" s="41" t="s">
        <v>228</v>
      </c>
      <c r="C138" s="90"/>
      <c r="D138" s="88"/>
      <c r="E138" s="88"/>
      <c r="F138" s="88"/>
      <c r="G138" s="88"/>
      <c r="H138" s="88"/>
    </row>
    <row r="140" customFormat="false" ht="15.75" hidden="false" customHeight="true" outlineLevel="0" collapsed="false">
      <c r="A140" s="3" t="s">
        <v>296</v>
      </c>
      <c r="B140" s="3"/>
      <c r="C140" s="3"/>
      <c r="D140" s="3"/>
      <c r="E140" s="3"/>
      <c r="F140" s="3"/>
      <c r="G140" s="3"/>
      <c r="H140" s="3"/>
    </row>
    <row r="141" customFormat="false" ht="18" hidden="false" customHeight="true" outlineLevel="0" collapsed="false">
      <c r="A141" s="91"/>
      <c r="B141" s="91"/>
      <c r="C141" s="91"/>
      <c r="D141" s="91"/>
      <c r="E141" s="91"/>
      <c r="F141" s="91"/>
      <c r="G141" s="91"/>
      <c r="H141" s="91"/>
    </row>
    <row r="142" customFormat="false" ht="18" hidden="false" customHeight="true" outlineLevel="0" collapsed="false">
      <c r="A142" s="91"/>
      <c r="B142" s="91"/>
      <c r="C142" s="91"/>
      <c r="D142" s="91"/>
      <c r="E142" s="91"/>
      <c r="F142" s="91"/>
      <c r="G142" s="91"/>
      <c r="H142" s="91"/>
    </row>
    <row r="143" customFormat="false" ht="18" hidden="false" customHeight="true" outlineLevel="0" collapsed="false">
      <c r="A143" s="91"/>
      <c r="B143" s="91"/>
      <c r="C143" s="91"/>
      <c r="D143" s="91"/>
      <c r="E143" s="91"/>
      <c r="F143" s="91"/>
      <c r="G143" s="91"/>
      <c r="H143" s="91"/>
    </row>
    <row r="145" customFormat="false" ht="27.75" hidden="false" customHeight="true" outlineLevel="0" collapsed="false">
      <c r="A145" s="1" t="s">
        <v>299</v>
      </c>
      <c r="B145" s="1"/>
      <c r="C145" s="1"/>
      <c r="D145" s="1"/>
      <c r="E145" s="1"/>
      <c r="F145" s="1"/>
      <c r="G145" s="1"/>
      <c r="H145" s="1"/>
    </row>
    <row r="146" customFormat="false" ht="12.75" hidden="false" customHeight="true" outlineLevel="0" collapsed="false">
      <c r="A146" s="80" t="s">
        <v>61</v>
      </c>
      <c r="B146" s="80"/>
      <c r="C146" s="81" t="s">
        <v>287</v>
      </c>
      <c r="D146" s="81" t="s">
        <v>288</v>
      </c>
      <c r="E146" s="80" t="s">
        <v>289</v>
      </c>
      <c r="F146" s="80"/>
      <c r="G146" s="80" t="s">
        <v>290</v>
      </c>
      <c r="H146" s="80"/>
    </row>
    <row r="147" customFormat="false" ht="19.5" hidden="false" customHeight="true" outlineLevel="0" collapsed="false">
      <c r="A147" s="82"/>
      <c r="B147" s="82"/>
      <c r="C147" s="82"/>
      <c r="D147" s="82"/>
      <c r="E147" s="82"/>
      <c r="F147" s="82"/>
      <c r="G147" s="82"/>
      <c r="H147" s="82"/>
    </row>
    <row r="149" customFormat="false" ht="18.75" hidden="false" customHeight="true" outlineLevel="0" collapsed="false">
      <c r="A149" s="83" t="str">
        <f aca="false">Übungen!$A$8</f>
        <v>Rumänisches Kreuzheben</v>
      </c>
      <c r="B149" s="83"/>
      <c r="C149" s="83"/>
      <c r="D149" s="83"/>
      <c r="E149" s="83"/>
      <c r="F149" s="83"/>
      <c r="G149" s="83"/>
      <c r="H149" s="83"/>
    </row>
    <row r="150" customFormat="false" ht="15" hidden="false" customHeight="true" outlineLevel="0" collapsed="false">
      <c r="A150"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f>
        <v>GESPERRT bis Woche 12 nach OP     ·     Ersatz: Beinbeuger sitzend, Rückenstrecker mit vor der Brust gekreuzten Armen, Kabel-RDL mit Hüftgurt     ·     Vorgabe: 3 × 8-10 Wdh @ RPE 8</v>
      </c>
      <c r="B150" s="84"/>
      <c r="C150" s="84"/>
      <c r="D150" s="84"/>
      <c r="E150" s="84"/>
      <c r="F150" s="84"/>
      <c r="G150" s="84"/>
      <c r="H150" s="84"/>
    </row>
    <row r="151" customFormat="false" ht="13.5" hidden="false" customHeight="true" outlineLevel="0" collapsed="false">
      <c r="A151" s="85" t="s">
        <v>291</v>
      </c>
      <c r="B151" s="85" t="s">
        <v>292</v>
      </c>
      <c r="C151" s="85" t="s">
        <v>293</v>
      </c>
      <c r="D151" s="85" t="s">
        <v>294</v>
      </c>
      <c r="E151" s="85" t="s">
        <v>221</v>
      </c>
      <c r="F151" s="85" t="s">
        <v>46</v>
      </c>
      <c r="G151" s="85" t="s">
        <v>295</v>
      </c>
      <c r="H151" s="85" t="s">
        <v>213</v>
      </c>
    </row>
    <row r="152" customFormat="false" ht="19.5" hidden="false" customHeight="true" outlineLevel="0" collapsed="false">
      <c r="A152" s="86" t="n">
        <v>1</v>
      </c>
      <c r="B152" s="41" t="s">
        <v>226</v>
      </c>
      <c r="C152" s="87" t="str">
        <f aca="false">IF(AND(Übungen!$J$8&lt;&gt;"",'Reha-Modus'!$B$4&lt;&gt;"",'Reha-Modus'!$B$4&lt;Übungen!$J$8),"",IF(IFERROR(INDEX(Rekorde!$N$4:$N$17,MATCH(Übungen!$A$8,Rekorde!$A$4:$A$17,0)),"")="","",ROUND(IFERROR(INDEX(Rekorde!$N$4:$N$17,MATCH(Übungen!$A$8,Rekorde!$A$4:$A$17,0)),"")*0.45*2,0)/2))</f>
        <v/>
      </c>
      <c r="D152" s="88"/>
      <c r="E152" s="88"/>
      <c r="F152" s="88"/>
      <c r="G152" s="88"/>
      <c r="H152" s="88"/>
    </row>
    <row r="153" customFormat="false" ht="19.5" hidden="false" customHeight="true" outlineLevel="0" collapsed="false">
      <c r="A153" s="86" t="n">
        <v>2</v>
      </c>
      <c r="B153" s="41" t="s">
        <v>226</v>
      </c>
      <c r="C153" s="87" t="str">
        <f aca="false">IF(AND(Übungen!$J$8&lt;&gt;"",'Reha-Modus'!$B$4&lt;&gt;"",'Reha-Modus'!$B$4&lt;Übungen!$J$8),"",IF(IFERROR(INDEX(Rekorde!$N$4:$N$17,MATCH(Übungen!$A$8,Rekorde!$A$4:$A$17,0)),"")="","",ROUND(IFERROR(INDEX(Rekorde!$N$4:$N$17,MATCH(Übungen!$A$8,Rekorde!$A$4:$A$17,0)),"")*0.7*2,0)/2))</f>
        <v/>
      </c>
      <c r="D153" s="88"/>
      <c r="E153" s="88"/>
      <c r="F153" s="88"/>
      <c r="G153" s="88"/>
      <c r="H153" s="88"/>
    </row>
    <row r="154" customFormat="false" ht="19.5" hidden="false" customHeight="true" outlineLevel="0" collapsed="false">
      <c r="A154" s="86" t="n">
        <v>3</v>
      </c>
      <c r="B154" s="89" t="s">
        <v>227</v>
      </c>
      <c r="C154" s="87" t="str">
        <f aca="false">IF(AND(Übungen!$J$8&lt;&gt;"",'Reha-Modus'!$B$4&lt;&gt;"",'Reha-Modus'!$B$4&lt;Übungen!$J$8),"",IF(IFERROR(INDEX(Rekorde!$N$4:$N$17,MATCH(Übungen!$A$8,Rekorde!$A$4:$A$17,0)),"")="","",ROUND(IFERROR(INDEX(Rekorde!$N$4:$N$17,MATCH(Übungen!$A$8,Rekorde!$A$4:$A$17,0)),"")*1*2,0)/2))</f>
        <v/>
      </c>
      <c r="D154" s="88"/>
      <c r="E154" s="88"/>
      <c r="F154" s="88"/>
      <c r="G154" s="88"/>
      <c r="H154" s="88"/>
    </row>
    <row r="155" customFormat="false" ht="19.5" hidden="false" customHeight="true" outlineLevel="0" collapsed="false">
      <c r="A155" s="86" t="n">
        <v>4</v>
      </c>
      <c r="B155" s="89" t="s">
        <v>227</v>
      </c>
      <c r="C155" s="87" t="str">
        <f aca="false">IF(AND(Übungen!$J$8&lt;&gt;"",'Reha-Modus'!$B$4&lt;&gt;"",'Reha-Modus'!$B$4&lt;Übungen!$J$8),"",IF(IFERROR(INDEX(Rekorde!$N$4:$N$17,MATCH(Übungen!$A$8,Rekorde!$A$4:$A$17,0)),"")="","",ROUND(IFERROR(INDEX(Rekorde!$N$4:$N$17,MATCH(Übungen!$A$8,Rekorde!$A$4:$A$17,0)),"")*1*2,0)/2))</f>
        <v/>
      </c>
      <c r="D155" s="88"/>
      <c r="E155" s="88"/>
      <c r="F155" s="88"/>
      <c r="G155" s="88"/>
      <c r="H155" s="88"/>
    </row>
    <row r="156" customFormat="false" ht="19.5" hidden="false" customHeight="true" outlineLevel="0" collapsed="false">
      <c r="A156" s="86" t="n">
        <v>5</v>
      </c>
      <c r="B156" s="89" t="s">
        <v>227</v>
      </c>
      <c r="C156" s="87" t="str">
        <f aca="false">IF(AND(Übungen!$J$8&lt;&gt;"",'Reha-Modus'!$B$4&lt;&gt;"",'Reha-Modus'!$B$4&lt;Übungen!$J$8),"",IF(IFERROR(INDEX(Rekorde!$N$4:$N$17,MATCH(Übungen!$A$8,Rekorde!$A$4:$A$17,0)),"")="","",ROUND(IFERROR(INDEX(Rekorde!$N$4:$N$17,MATCH(Übungen!$A$8,Rekorde!$A$4:$A$17,0)),"")*1*2,0)/2))</f>
        <v/>
      </c>
      <c r="D156" s="88"/>
      <c r="E156" s="88"/>
      <c r="F156" s="88"/>
      <c r="G156" s="88"/>
      <c r="H156" s="88"/>
    </row>
    <row r="158" customFormat="false" ht="18.75" hidden="false" customHeight="true" outlineLevel="0" collapsed="false">
      <c r="A158" s="83" t="str">
        <f aca="false">Übungen!$A$9</f>
        <v>Hip Thrust</v>
      </c>
      <c r="B158" s="83"/>
      <c r="C158" s="83"/>
      <c r="D158" s="83"/>
      <c r="E158" s="83"/>
      <c r="F158" s="83"/>
      <c r="G158" s="83"/>
      <c r="H158" s="83"/>
    </row>
    <row r="159" customFormat="false" ht="15" hidden="false" customHeight="true" outlineLevel="0" collapsed="false">
      <c r="A159"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f>
        <v>GESPERRT bis Woche 4 nach OP     ·     Ersatz: Hip Thrust Maschine mit Polster ab Woche 2     ·     Vorgabe: 3 × 8-12 Wdh @ RPE 8-9</v>
      </c>
      <c r="B159" s="84"/>
      <c r="C159" s="84"/>
      <c r="D159" s="84"/>
      <c r="E159" s="84"/>
      <c r="F159" s="84"/>
      <c r="G159" s="84"/>
      <c r="H159" s="84"/>
    </row>
    <row r="160" customFormat="false" ht="13.5" hidden="false" customHeight="true" outlineLevel="0" collapsed="false">
      <c r="A160" s="85" t="s">
        <v>291</v>
      </c>
      <c r="B160" s="85" t="s">
        <v>292</v>
      </c>
      <c r="C160" s="85" t="s">
        <v>293</v>
      </c>
      <c r="D160" s="85" t="s">
        <v>294</v>
      </c>
      <c r="E160" s="85" t="s">
        <v>221</v>
      </c>
      <c r="F160" s="85" t="s">
        <v>46</v>
      </c>
      <c r="G160" s="85" t="s">
        <v>295</v>
      </c>
      <c r="H160" s="85" t="s">
        <v>213</v>
      </c>
    </row>
    <row r="161" customFormat="false" ht="19.5" hidden="false" customHeight="true" outlineLevel="0" collapsed="false">
      <c r="A161" s="86" t="n">
        <v>1</v>
      </c>
      <c r="B161" s="41" t="s">
        <v>226</v>
      </c>
      <c r="C161" s="87" t="str">
        <f aca="false">IF(AND(Übungen!$J$9&lt;&gt;"",'Reha-Modus'!$B$4&lt;&gt;"",'Reha-Modus'!$B$4&lt;Übungen!$J$9),"",IF(IFERROR(INDEX(Rekorde!$N$4:$N$17,MATCH(Übungen!$A$9,Rekorde!$A$4:$A$17,0)),"")="","",ROUND(IFERROR(INDEX(Rekorde!$N$4:$N$17,MATCH(Übungen!$A$9,Rekorde!$A$4:$A$17,0)),"")*0.45*2,0)/2))</f>
        <v/>
      </c>
      <c r="D161" s="88"/>
      <c r="E161" s="88"/>
      <c r="F161" s="88"/>
      <c r="G161" s="88"/>
      <c r="H161" s="88"/>
    </row>
    <row r="162" customFormat="false" ht="19.5" hidden="false" customHeight="true" outlineLevel="0" collapsed="false">
      <c r="A162" s="86" t="n">
        <v>2</v>
      </c>
      <c r="B162" s="41" t="s">
        <v>226</v>
      </c>
      <c r="C162" s="87" t="str">
        <f aca="false">IF(AND(Übungen!$J$9&lt;&gt;"",'Reha-Modus'!$B$4&lt;&gt;"",'Reha-Modus'!$B$4&lt;Übungen!$J$9),"",IF(IFERROR(INDEX(Rekorde!$N$4:$N$17,MATCH(Übungen!$A$9,Rekorde!$A$4:$A$17,0)),"")="","",ROUND(IFERROR(INDEX(Rekorde!$N$4:$N$17,MATCH(Übungen!$A$9,Rekorde!$A$4:$A$17,0)),"")*0.7*2,0)/2))</f>
        <v/>
      </c>
      <c r="D162" s="88"/>
      <c r="E162" s="88"/>
      <c r="F162" s="88"/>
      <c r="G162" s="88"/>
      <c r="H162" s="88"/>
    </row>
    <row r="163" customFormat="false" ht="19.5" hidden="false" customHeight="true" outlineLevel="0" collapsed="false">
      <c r="A163" s="86" t="n">
        <v>3</v>
      </c>
      <c r="B163" s="89" t="s">
        <v>227</v>
      </c>
      <c r="C163" s="87" t="str">
        <f aca="false">IF(AND(Übungen!$J$9&lt;&gt;"",'Reha-Modus'!$B$4&lt;&gt;"",'Reha-Modus'!$B$4&lt;Übungen!$J$9),"",IF(IFERROR(INDEX(Rekorde!$N$4:$N$17,MATCH(Übungen!$A$9,Rekorde!$A$4:$A$17,0)),"")="","",ROUND(IFERROR(INDEX(Rekorde!$N$4:$N$17,MATCH(Übungen!$A$9,Rekorde!$A$4:$A$17,0)),"")*1*2,0)/2))</f>
        <v/>
      </c>
      <c r="D163" s="88"/>
      <c r="E163" s="88"/>
      <c r="F163" s="88"/>
      <c r="G163" s="88"/>
      <c r="H163" s="88"/>
    </row>
    <row r="164" customFormat="false" ht="19.5" hidden="false" customHeight="true" outlineLevel="0" collapsed="false">
      <c r="A164" s="86" t="n">
        <v>4</v>
      </c>
      <c r="B164" s="89" t="s">
        <v>227</v>
      </c>
      <c r="C164" s="87" t="str">
        <f aca="false">IF(AND(Übungen!$J$9&lt;&gt;"",'Reha-Modus'!$B$4&lt;&gt;"",'Reha-Modus'!$B$4&lt;Übungen!$J$9),"",IF(IFERROR(INDEX(Rekorde!$N$4:$N$17,MATCH(Übungen!$A$9,Rekorde!$A$4:$A$17,0)),"")="","",ROUND(IFERROR(INDEX(Rekorde!$N$4:$N$17,MATCH(Übungen!$A$9,Rekorde!$A$4:$A$17,0)),"")*1*2,0)/2))</f>
        <v/>
      </c>
      <c r="D164" s="88"/>
      <c r="E164" s="88"/>
      <c r="F164" s="88"/>
      <c r="G164" s="88"/>
      <c r="H164" s="88"/>
    </row>
    <row r="165" customFormat="false" ht="19.5" hidden="false" customHeight="true" outlineLevel="0" collapsed="false">
      <c r="A165" s="86" t="n">
        <v>5</v>
      </c>
      <c r="B165" s="89" t="s">
        <v>227</v>
      </c>
      <c r="C165" s="87" t="str">
        <f aca="false">IF(AND(Übungen!$J$9&lt;&gt;"",'Reha-Modus'!$B$4&lt;&gt;"",'Reha-Modus'!$B$4&lt;Übungen!$J$9),"",IF(IFERROR(INDEX(Rekorde!$N$4:$N$17,MATCH(Übungen!$A$9,Rekorde!$A$4:$A$17,0)),"")="","",ROUND(IFERROR(INDEX(Rekorde!$N$4:$N$17,MATCH(Übungen!$A$9,Rekorde!$A$4:$A$17,0)),"")*1*2,0)/2))</f>
        <v/>
      </c>
      <c r="D165" s="88"/>
      <c r="E165" s="88"/>
      <c r="F165" s="88"/>
      <c r="G165" s="88"/>
      <c r="H165" s="88"/>
    </row>
    <row r="167" customFormat="false" ht="18.75" hidden="false" customHeight="true" outlineLevel="0" collapsed="false">
      <c r="A167" s="83" t="str">
        <f aca="false">Übungen!$A$10</f>
        <v>Beinbeuger</v>
      </c>
      <c r="B167" s="83"/>
      <c r="C167" s="83"/>
      <c r="D167" s="83"/>
      <c r="E167" s="83"/>
      <c r="F167" s="83"/>
      <c r="G167" s="83"/>
      <c r="H167" s="83"/>
    </row>
    <row r="168" customFormat="false" ht="15" hidden="false" customHeight="true" outlineLevel="0" collapsed="false">
      <c r="A168"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f>
        <v>Zuletzt: 45 kg × 15 Wdh     ·     Bestwert: 55 kg     ·     Ziel heute: 46 kg     ·     Vorgabe: 3 × 10-12 Wdh @ RPE 9</v>
      </c>
      <c r="B168" s="84"/>
      <c r="C168" s="84"/>
      <c r="D168" s="84"/>
      <c r="E168" s="84"/>
      <c r="F168" s="84"/>
      <c r="G168" s="84"/>
      <c r="H168" s="84"/>
    </row>
    <row r="169" customFormat="false" ht="13.5" hidden="false" customHeight="true" outlineLevel="0" collapsed="false">
      <c r="A169" s="85" t="s">
        <v>291</v>
      </c>
      <c r="B169" s="85" t="s">
        <v>292</v>
      </c>
      <c r="C169" s="85" t="s">
        <v>293</v>
      </c>
      <c r="D169" s="85" t="s">
        <v>294</v>
      </c>
      <c r="E169" s="85" t="s">
        <v>221</v>
      </c>
      <c r="F169" s="85" t="s">
        <v>46</v>
      </c>
      <c r="G169" s="85" t="s">
        <v>295</v>
      </c>
      <c r="H169" s="85" t="s">
        <v>213</v>
      </c>
    </row>
    <row r="170" customFormat="false" ht="19.5" hidden="false" customHeight="true" outlineLevel="0" collapsed="false">
      <c r="A170" s="86" t="n">
        <v>1</v>
      </c>
      <c r="B170" s="41" t="s">
        <v>226</v>
      </c>
      <c r="C170" s="87" t="n">
        <f aca="false">IF(AND(Übungen!$J$10&lt;&gt;"",'Reha-Modus'!$B$4&lt;&gt;"",'Reha-Modus'!$B$4&lt;Übungen!$J$10),"",IF(IFERROR(INDEX(Rekorde!$N$4:$N$17,MATCH(Übungen!$A$10,Rekorde!$A$4:$A$17,0)),"")="","",ROUND(IFERROR(INDEX(Rekorde!$N$4:$N$17,MATCH(Übungen!$A$10,Rekorde!$A$4:$A$17,0)),"")*0.45*2,0)/2))</f>
        <v>20.5</v>
      </c>
      <c r="D170" s="88"/>
      <c r="E170" s="88"/>
      <c r="F170" s="88"/>
      <c r="G170" s="88"/>
      <c r="H170" s="88"/>
    </row>
    <row r="171" customFormat="false" ht="19.5" hidden="false" customHeight="true" outlineLevel="0" collapsed="false">
      <c r="A171" s="86" t="n">
        <v>2</v>
      </c>
      <c r="B171" s="41" t="s">
        <v>226</v>
      </c>
      <c r="C171" s="87" t="n">
        <f aca="false">IF(AND(Übungen!$J$10&lt;&gt;"",'Reha-Modus'!$B$4&lt;&gt;"",'Reha-Modus'!$B$4&lt;Übungen!$J$10),"",IF(IFERROR(INDEX(Rekorde!$N$4:$N$17,MATCH(Übungen!$A$10,Rekorde!$A$4:$A$17,0)),"")="","",ROUND(IFERROR(INDEX(Rekorde!$N$4:$N$17,MATCH(Übungen!$A$10,Rekorde!$A$4:$A$17,0)),"")*0.7*2,0)/2))</f>
        <v>32</v>
      </c>
      <c r="D171" s="88"/>
      <c r="E171" s="88"/>
      <c r="F171" s="88"/>
      <c r="G171" s="88"/>
      <c r="H171" s="88"/>
    </row>
    <row r="172" customFormat="false" ht="19.5" hidden="false" customHeight="true" outlineLevel="0" collapsed="false">
      <c r="A172" s="86" t="n">
        <v>3</v>
      </c>
      <c r="B172" s="89" t="s">
        <v>227</v>
      </c>
      <c r="C172" s="87" t="n">
        <f aca="false">IF(AND(Übungen!$J$10&lt;&gt;"",'Reha-Modus'!$B$4&lt;&gt;"",'Reha-Modus'!$B$4&lt;Übungen!$J$10),"",IF(IFERROR(INDEX(Rekorde!$N$4:$N$17,MATCH(Übungen!$A$10,Rekorde!$A$4:$A$17,0)),"")="","",ROUND(IFERROR(INDEX(Rekorde!$N$4:$N$17,MATCH(Übungen!$A$10,Rekorde!$A$4:$A$17,0)),"")*1*2,0)/2))</f>
        <v>46</v>
      </c>
      <c r="D172" s="88"/>
      <c r="E172" s="88"/>
      <c r="F172" s="88"/>
      <c r="G172" s="88"/>
      <c r="H172" s="88"/>
    </row>
    <row r="173" customFormat="false" ht="19.5" hidden="false" customHeight="true" outlineLevel="0" collapsed="false">
      <c r="A173" s="86" t="n">
        <v>4</v>
      </c>
      <c r="B173" s="89" t="s">
        <v>227</v>
      </c>
      <c r="C173" s="87" t="n">
        <f aca="false">IF(AND(Übungen!$J$10&lt;&gt;"",'Reha-Modus'!$B$4&lt;&gt;"",'Reha-Modus'!$B$4&lt;Übungen!$J$10),"",IF(IFERROR(INDEX(Rekorde!$N$4:$N$17,MATCH(Übungen!$A$10,Rekorde!$A$4:$A$17,0)),"")="","",ROUND(IFERROR(INDEX(Rekorde!$N$4:$N$17,MATCH(Übungen!$A$10,Rekorde!$A$4:$A$17,0)),"")*1*2,0)/2))</f>
        <v>46</v>
      </c>
      <c r="D173" s="88"/>
      <c r="E173" s="88"/>
      <c r="F173" s="88"/>
      <c r="G173" s="88"/>
      <c r="H173" s="88"/>
    </row>
    <row r="174" customFormat="false" ht="19.5" hidden="false" customHeight="true" outlineLevel="0" collapsed="false">
      <c r="A174" s="86" t="n">
        <v>5</v>
      </c>
      <c r="B174" s="41" t="s">
        <v>228</v>
      </c>
      <c r="C174" s="90"/>
      <c r="D174" s="88"/>
      <c r="E174" s="88"/>
      <c r="F174" s="88"/>
      <c r="G174" s="88"/>
      <c r="H174" s="88"/>
    </row>
    <row r="176" customFormat="false" ht="18.75" hidden="false" customHeight="true" outlineLevel="0" collapsed="false">
      <c r="A176" s="83" t="str">
        <f aca="false">Übungen!$A$11</f>
        <v>Seitliche Kickbacks</v>
      </c>
      <c r="B176" s="83"/>
      <c r="C176" s="83"/>
      <c r="D176" s="83"/>
      <c r="E176" s="83"/>
      <c r="F176" s="83"/>
      <c r="G176" s="83"/>
      <c r="H176" s="83"/>
    </row>
    <row r="177" customFormat="false" ht="15" hidden="false" customHeight="true" outlineLevel="0" collapsed="false">
      <c r="A177"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f>
        <v>GESPERRT bis Woche 2 nach OP     ·     Ersatz: Abduktion an der Maschine im Sitzen     ·     Vorgabe: 3 × 15-20 Wdh @ RPE 9</v>
      </c>
      <c r="B177" s="84"/>
      <c r="C177" s="84"/>
      <c r="D177" s="84"/>
      <c r="E177" s="84"/>
      <c r="F177" s="84"/>
      <c r="G177" s="84"/>
      <c r="H177" s="84"/>
    </row>
    <row r="178" customFormat="false" ht="13.5" hidden="false" customHeight="true" outlineLevel="0" collapsed="false">
      <c r="A178" s="85" t="s">
        <v>291</v>
      </c>
      <c r="B178" s="85" t="s">
        <v>292</v>
      </c>
      <c r="C178" s="85" t="s">
        <v>293</v>
      </c>
      <c r="D178" s="85" t="s">
        <v>294</v>
      </c>
      <c r="E178" s="85" t="s">
        <v>221</v>
      </c>
      <c r="F178" s="85" t="s">
        <v>46</v>
      </c>
      <c r="G178" s="85" t="s">
        <v>295</v>
      </c>
      <c r="H178" s="85" t="s">
        <v>213</v>
      </c>
    </row>
    <row r="179" customFormat="false" ht="19.5" hidden="false" customHeight="true" outlineLevel="0" collapsed="false">
      <c r="A179" s="86" t="n">
        <v>1</v>
      </c>
      <c r="B179" s="41" t="s">
        <v>226</v>
      </c>
      <c r="C179" s="87" t="str">
        <f aca="false">IF(AND(Übungen!$J$11&lt;&gt;"",'Reha-Modus'!$B$4&lt;&gt;"",'Reha-Modus'!$B$4&lt;Übungen!$J$11),"",IF(IFERROR(INDEX(Rekorde!$N$4:$N$17,MATCH(Übungen!$A$11,Rekorde!$A$4:$A$17,0)),"")="","",ROUND(IFERROR(INDEX(Rekorde!$N$4:$N$17,MATCH(Übungen!$A$11,Rekorde!$A$4:$A$17,0)),"")*0.45*2,0)/2))</f>
        <v/>
      </c>
      <c r="D179" s="88"/>
      <c r="E179" s="88"/>
      <c r="F179" s="88"/>
      <c r="G179" s="88"/>
      <c r="H179" s="88"/>
    </row>
    <row r="180" customFormat="false" ht="19.5" hidden="false" customHeight="true" outlineLevel="0" collapsed="false">
      <c r="A180" s="86" t="n">
        <v>2</v>
      </c>
      <c r="B180" s="41" t="s">
        <v>226</v>
      </c>
      <c r="C180" s="87" t="str">
        <f aca="false">IF(AND(Übungen!$J$11&lt;&gt;"",'Reha-Modus'!$B$4&lt;&gt;"",'Reha-Modus'!$B$4&lt;Übungen!$J$11),"",IF(IFERROR(INDEX(Rekorde!$N$4:$N$17,MATCH(Übungen!$A$11,Rekorde!$A$4:$A$17,0)),"")="","",ROUND(IFERROR(INDEX(Rekorde!$N$4:$N$17,MATCH(Übungen!$A$11,Rekorde!$A$4:$A$17,0)),"")*0.7*2,0)/2))</f>
        <v/>
      </c>
      <c r="D180" s="88"/>
      <c r="E180" s="88"/>
      <c r="F180" s="88"/>
      <c r="G180" s="88"/>
      <c r="H180" s="88"/>
    </row>
    <row r="181" customFormat="false" ht="19.5" hidden="false" customHeight="true" outlineLevel="0" collapsed="false">
      <c r="A181" s="86" t="n">
        <v>3</v>
      </c>
      <c r="B181" s="89" t="s">
        <v>227</v>
      </c>
      <c r="C181" s="87" t="str">
        <f aca="false">IF(AND(Übungen!$J$11&lt;&gt;"",'Reha-Modus'!$B$4&lt;&gt;"",'Reha-Modus'!$B$4&lt;Übungen!$J$11),"",IF(IFERROR(INDEX(Rekorde!$N$4:$N$17,MATCH(Übungen!$A$11,Rekorde!$A$4:$A$17,0)),"")="","",ROUND(IFERROR(INDEX(Rekorde!$N$4:$N$17,MATCH(Übungen!$A$11,Rekorde!$A$4:$A$17,0)),"")*1*2,0)/2))</f>
        <v/>
      </c>
      <c r="D181" s="88"/>
      <c r="E181" s="88"/>
      <c r="F181" s="88"/>
      <c r="G181" s="88"/>
      <c r="H181" s="88"/>
    </row>
    <row r="182" customFormat="false" ht="19.5" hidden="false" customHeight="true" outlineLevel="0" collapsed="false">
      <c r="A182" s="86" t="n">
        <v>4</v>
      </c>
      <c r="B182" s="89" t="s">
        <v>227</v>
      </c>
      <c r="C182" s="87" t="str">
        <f aca="false">IF(AND(Übungen!$J$11&lt;&gt;"",'Reha-Modus'!$B$4&lt;&gt;"",'Reha-Modus'!$B$4&lt;Übungen!$J$11),"",IF(IFERROR(INDEX(Rekorde!$N$4:$N$17,MATCH(Übungen!$A$11,Rekorde!$A$4:$A$17,0)),"")="","",ROUND(IFERROR(INDEX(Rekorde!$N$4:$N$17,MATCH(Übungen!$A$11,Rekorde!$A$4:$A$17,0)),"")*1*2,0)/2))</f>
        <v/>
      </c>
      <c r="D182" s="88"/>
      <c r="E182" s="88"/>
      <c r="F182" s="88"/>
      <c r="G182" s="88"/>
      <c r="H182" s="88"/>
    </row>
    <row r="183" customFormat="false" ht="19.5" hidden="false" customHeight="true" outlineLevel="0" collapsed="false">
      <c r="A183" s="86" t="n">
        <v>5</v>
      </c>
      <c r="B183" s="89" t="s">
        <v>227</v>
      </c>
      <c r="C183" s="87" t="str">
        <f aca="false">IF(AND(Übungen!$J$11&lt;&gt;"",'Reha-Modus'!$B$4&lt;&gt;"",'Reha-Modus'!$B$4&lt;Übungen!$J$11),"",IF(IFERROR(INDEX(Rekorde!$N$4:$N$17,MATCH(Übungen!$A$11,Rekorde!$A$4:$A$17,0)),"")="","",ROUND(IFERROR(INDEX(Rekorde!$N$4:$N$17,MATCH(Übungen!$A$11,Rekorde!$A$4:$A$17,0)),"")*1*2,0)/2))</f>
        <v/>
      </c>
      <c r="D183" s="88"/>
      <c r="E183" s="88"/>
      <c r="F183" s="88"/>
      <c r="G183" s="88"/>
      <c r="H183" s="88"/>
    </row>
    <row r="185" customFormat="false" ht="18.75" hidden="false" customHeight="true" outlineLevel="0" collapsed="false">
      <c r="A185" s="83" t="str">
        <f aca="false">Übungen!$A$12</f>
        <v>Waden</v>
      </c>
      <c r="B185" s="83"/>
      <c r="C185" s="83"/>
      <c r="D185" s="83"/>
      <c r="E185" s="83"/>
      <c r="F185" s="83"/>
      <c r="G185" s="83"/>
      <c r="H185" s="83"/>
    </row>
    <row r="186" customFormat="false" ht="15" hidden="false" customHeight="true" outlineLevel="0" collapsed="false">
      <c r="A186"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f>
        <v>GESPERRT bis Woche 2 nach OP     ·     Ersatz: Wadenmaschine sitzend ab Woche 1     ·     Vorgabe: 3 × 10-15 Wdh @ RPE 9</v>
      </c>
      <c r="B186" s="84"/>
      <c r="C186" s="84"/>
      <c r="D186" s="84"/>
      <c r="E186" s="84"/>
      <c r="F186" s="84"/>
      <c r="G186" s="84"/>
      <c r="H186" s="84"/>
    </row>
    <row r="187" customFormat="false" ht="13.5" hidden="false" customHeight="true" outlineLevel="0" collapsed="false">
      <c r="A187" s="85" t="s">
        <v>291</v>
      </c>
      <c r="B187" s="85" t="s">
        <v>292</v>
      </c>
      <c r="C187" s="85" t="s">
        <v>293</v>
      </c>
      <c r="D187" s="85" t="s">
        <v>294</v>
      </c>
      <c r="E187" s="85" t="s">
        <v>221</v>
      </c>
      <c r="F187" s="85" t="s">
        <v>46</v>
      </c>
      <c r="G187" s="85" t="s">
        <v>295</v>
      </c>
      <c r="H187" s="85" t="s">
        <v>213</v>
      </c>
    </row>
    <row r="188" customFormat="false" ht="19.5" hidden="false" customHeight="true" outlineLevel="0" collapsed="false">
      <c r="A188" s="86" t="n">
        <v>1</v>
      </c>
      <c r="B188" s="41" t="s">
        <v>226</v>
      </c>
      <c r="C188" s="87" t="str">
        <f aca="false">IF(AND(Übungen!$J$12&lt;&gt;"",'Reha-Modus'!$B$4&lt;&gt;"",'Reha-Modus'!$B$4&lt;Übungen!$J$12),"",IF(IFERROR(INDEX(Rekorde!$N$4:$N$17,MATCH(Übungen!$A$12,Rekorde!$A$4:$A$17,0)),"")="","",ROUND(IFERROR(INDEX(Rekorde!$N$4:$N$17,MATCH(Übungen!$A$12,Rekorde!$A$4:$A$17,0)),"")*0.45*2,0)/2))</f>
        <v/>
      </c>
      <c r="D188" s="88"/>
      <c r="E188" s="88"/>
      <c r="F188" s="88"/>
      <c r="G188" s="88"/>
      <c r="H188" s="88"/>
    </row>
    <row r="189" customFormat="false" ht="19.5" hidden="false" customHeight="true" outlineLevel="0" collapsed="false">
      <c r="A189" s="86" t="n">
        <v>2</v>
      </c>
      <c r="B189" s="41" t="s">
        <v>226</v>
      </c>
      <c r="C189" s="87" t="str">
        <f aca="false">IF(AND(Übungen!$J$12&lt;&gt;"",'Reha-Modus'!$B$4&lt;&gt;"",'Reha-Modus'!$B$4&lt;Übungen!$J$12),"",IF(IFERROR(INDEX(Rekorde!$N$4:$N$17,MATCH(Übungen!$A$12,Rekorde!$A$4:$A$17,0)),"")="","",ROUND(IFERROR(INDEX(Rekorde!$N$4:$N$17,MATCH(Übungen!$A$12,Rekorde!$A$4:$A$17,0)),"")*0.7*2,0)/2))</f>
        <v/>
      </c>
      <c r="D189" s="88"/>
      <c r="E189" s="88"/>
      <c r="F189" s="88"/>
      <c r="G189" s="88"/>
      <c r="H189" s="88"/>
    </row>
    <row r="190" customFormat="false" ht="19.5" hidden="false" customHeight="true" outlineLevel="0" collapsed="false">
      <c r="A190" s="86" t="n">
        <v>3</v>
      </c>
      <c r="B190" s="89" t="s">
        <v>227</v>
      </c>
      <c r="C190" s="87" t="str">
        <f aca="false">IF(AND(Übungen!$J$12&lt;&gt;"",'Reha-Modus'!$B$4&lt;&gt;"",'Reha-Modus'!$B$4&lt;Übungen!$J$12),"",IF(IFERROR(INDEX(Rekorde!$N$4:$N$17,MATCH(Übungen!$A$12,Rekorde!$A$4:$A$17,0)),"")="","",ROUND(IFERROR(INDEX(Rekorde!$N$4:$N$17,MATCH(Übungen!$A$12,Rekorde!$A$4:$A$17,0)),"")*1*2,0)/2))</f>
        <v/>
      </c>
      <c r="D190" s="88"/>
      <c r="E190" s="88"/>
      <c r="F190" s="88"/>
      <c r="G190" s="88"/>
      <c r="H190" s="88"/>
    </row>
    <row r="191" customFormat="false" ht="19.5" hidden="false" customHeight="true" outlineLevel="0" collapsed="false">
      <c r="A191" s="86" t="n">
        <v>4</v>
      </c>
      <c r="B191" s="89" t="s">
        <v>227</v>
      </c>
      <c r="C191" s="87" t="str">
        <f aca="false">IF(AND(Übungen!$J$12&lt;&gt;"",'Reha-Modus'!$B$4&lt;&gt;"",'Reha-Modus'!$B$4&lt;Übungen!$J$12),"",IF(IFERROR(INDEX(Rekorde!$N$4:$N$17,MATCH(Übungen!$A$12,Rekorde!$A$4:$A$17,0)),"")="","",ROUND(IFERROR(INDEX(Rekorde!$N$4:$N$17,MATCH(Übungen!$A$12,Rekorde!$A$4:$A$17,0)),"")*1*2,0)/2))</f>
        <v/>
      </c>
      <c r="D191" s="88"/>
      <c r="E191" s="88"/>
      <c r="F191" s="88"/>
      <c r="G191" s="88"/>
      <c r="H191" s="88"/>
    </row>
    <row r="192" customFormat="false" ht="19.5" hidden="false" customHeight="true" outlineLevel="0" collapsed="false">
      <c r="A192" s="86" t="n">
        <v>5</v>
      </c>
      <c r="B192" s="89" t="s">
        <v>227</v>
      </c>
      <c r="C192" s="87" t="str">
        <f aca="false">IF(AND(Übungen!$J$12&lt;&gt;"",'Reha-Modus'!$B$4&lt;&gt;"",'Reha-Modus'!$B$4&lt;Übungen!$J$12),"",IF(IFERROR(INDEX(Rekorde!$N$4:$N$17,MATCH(Übungen!$A$12,Rekorde!$A$4:$A$17,0)),"")="","",ROUND(IFERROR(INDEX(Rekorde!$N$4:$N$17,MATCH(Übungen!$A$12,Rekorde!$A$4:$A$17,0)),"")*1*2,0)/2))</f>
        <v/>
      </c>
      <c r="D192" s="88"/>
      <c r="E192" s="88"/>
      <c r="F192" s="88"/>
      <c r="G192" s="88"/>
      <c r="H192" s="88"/>
    </row>
    <row r="194" customFormat="false" ht="15.75" hidden="false" customHeight="true" outlineLevel="0" collapsed="false">
      <c r="A194" s="3" t="s">
        <v>296</v>
      </c>
      <c r="B194" s="3"/>
      <c r="C194" s="3"/>
      <c r="D194" s="3"/>
      <c r="E194" s="3"/>
      <c r="F194" s="3"/>
      <c r="G194" s="3"/>
      <c r="H194" s="3"/>
    </row>
    <row r="195" customFormat="false" ht="18" hidden="false" customHeight="true" outlineLevel="0" collapsed="false">
      <c r="A195" s="91"/>
      <c r="B195" s="91"/>
      <c r="C195" s="91"/>
      <c r="D195" s="91"/>
      <c r="E195" s="91"/>
      <c r="F195" s="91"/>
      <c r="G195" s="91"/>
      <c r="H195" s="91"/>
    </row>
    <row r="196" customFormat="false" ht="18" hidden="false" customHeight="true" outlineLevel="0" collapsed="false">
      <c r="A196" s="91"/>
      <c r="B196" s="91"/>
      <c r="C196" s="91"/>
      <c r="D196" s="91"/>
      <c r="E196" s="91"/>
      <c r="F196" s="91"/>
      <c r="G196" s="91"/>
      <c r="H196" s="91"/>
    </row>
    <row r="197" customFormat="false" ht="18" hidden="false" customHeight="true" outlineLevel="0" collapsed="false">
      <c r="A197" s="91"/>
      <c r="B197" s="91"/>
      <c r="C197" s="91"/>
      <c r="D197" s="91"/>
      <c r="E197" s="91"/>
      <c r="F197" s="91"/>
      <c r="G197" s="91"/>
      <c r="H197" s="91"/>
    </row>
    <row r="199" customFormat="false" ht="27.75" hidden="false" customHeight="true" outlineLevel="0" collapsed="false">
      <c r="A199" s="1" t="s">
        <v>300</v>
      </c>
      <c r="B199" s="1"/>
      <c r="C199" s="1"/>
      <c r="D199" s="1"/>
      <c r="E199" s="1"/>
      <c r="F199" s="1"/>
      <c r="G199" s="1"/>
      <c r="H199" s="1"/>
    </row>
    <row r="200" customFormat="false" ht="12.75" hidden="false" customHeight="true" outlineLevel="0" collapsed="false">
      <c r="A200" s="80" t="s">
        <v>61</v>
      </c>
      <c r="B200" s="80"/>
      <c r="C200" s="81" t="s">
        <v>287</v>
      </c>
      <c r="D200" s="81" t="s">
        <v>288</v>
      </c>
      <c r="E200" s="80" t="s">
        <v>289</v>
      </c>
      <c r="F200" s="80"/>
      <c r="G200" s="80" t="s">
        <v>290</v>
      </c>
      <c r="H200" s="80"/>
    </row>
    <row r="201" customFormat="false" ht="19.5" hidden="false" customHeight="true" outlineLevel="0" collapsed="false">
      <c r="A201" s="82"/>
      <c r="B201" s="82"/>
      <c r="C201" s="82"/>
      <c r="D201" s="82"/>
      <c r="E201" s="82"/>
      <c r="F201" s="82"/>
      <c r="G201" s="82"/>
      <c r="H201" s="82"/>
    </row>
    <row r="203" customFormat="false" ht="18.75" hidden="false" customHeight="true" outlineLevel="0" collapsed="false">
      <c r="A203" s="83" t="str">
        <f aca="false">Übungen!$A$4</f>
        <v>Hackenschmidt-Kniebeuge</v>
      </c>
      <c r="B203" s="83"/>
      <c r="C203" s="83"/>
      <c r="D203" s="83"/>
      <c r="E203" s="83"/>
      <c r="F203" s="83"/>
      <c r="G203" s="83"/>
      <c r="H203" s="83"/>
    </row>
    <row r="204" customFormat="false" ht="15" hidden="false" customHeight="true" outlineLevel="0" collapsed="false">
      <c r="A204"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f>
        <v>GESPERRT bis Woche 6 nach OP     ·     Ersatz: Beinpresse mit tiefer Fussposition, Hände seitlich abgelegt     ·     Vorgabe: 3 × 6-10 Wdh @ RPE 8-9</v>
      </c>
      <c r="B204" s="84"/>
      <c r="C204" s="84"/>
      <c r="D204" s="84"/>
      <c r="E204" s="84"/>
      <c r="F204" s="84"/>
      <c r="G204" s="84"/>
      <c r="H204" s="84"/>
    </row>
    <row r="205" customFormat="false" ht="13.5" hidden="false" customHeight="true" outlineLevel="0" collapsed="false">
      <c r="A205" s="85" t="s">
        <v>291</v>
      </c>
      <c r="B205" s="85" t="s">
        <v>292</v>
      </c>
      <c r="C205" s="85" t="s">
        <v>293</v>
      </c>
      <c r="D205" s="85" t="s">
        <v>294</v>
      </c>
      <c r="E205" s="85" t="s">
        <v>221</v>
      </c>
      <c r="F205" s="85" t="s">
        <v>46</v>
      </c>
      <c r="G205" s="85" t="s">
        <v>295</v>
      </c>
      <c r="H205" s="85" t="s">
        <v>213</v>
      </c>
    </row>
    <row r="206" customFormat="false" ht="19.5" hidden="false" customHeight="true" outlineLevel="0" collapsed="false">
      <c r="A206" s="86" t="n">
        <v>1</v>
      </c>
      <c r="B206" s="41" t="s">
        <v>226</v>
      </c>
      <c r="C206" s="87" t="str">
        <f aca="false">IF(AND(Übungen!$J$4&lt;&gt;"",'Reha-Modus'!$B$4&lt;&gt;"",'Reha-Modus'!$B$4&lt;Übungen!$J$4),"",IF(IFERROR(INDEX(Rekorde!$N$4:$N$17,MATCH(Übungen!$A$4,Rekorde!$A$4:$A$17,0)),"")="","",ROUND(IFERROR(INDEX(Rekorde!$N$4:$N$17,MATCH(Übungen!$A$4,Rekorde!$A$4:$A$17,0)),"")*0.45*2,0)/2))</f>
        <v/>
      </c>
      <c r="D206" s="88"/>
      <c r="E206" s="88"/>
      <c r="F206" s="88"/>
      <c r="G206" s="88"/>
      <c r="H206" s="88"/>
    </row>
    <row r="207" customFormat="false" ht="19.5" hidden="false" customHeight="true" outlineLevel="0" collapsed="false">
      <c r="A207" s="86" t="n">
        <v>2</v>
      </c>
      <c r="B207" s="41" t="s">
        <v>226</v>
      </c>
      <c r="C207" s="87" t="str">
        <f aca="false">IF(AND(Übungen!$J$4&lt;&gt;"",'Reha-Modus'!$B$4&lt;&gt;"",'Reha-Modus'!$B$4&lt;Übungen!$J$4),"",IF(IFERROR(INDEX(Rekorde!$N$4:$N$17,MATCH(Übungen!$A$4,Rekorde!$A$4:$A$17,0)),"")="","",ROUND(IFERROR(INDEX(Rekorde!$N$4:$N$17,MATCH(Übungen!$A$4,Rekorde!$A$4:$A$17,0)),"")*0.7*2,0)/2))</f>
        <v/>
      </c>
      <c r="D207" s="88"/>
      <c r="E207" s="88"/>
      <c r="F207" s="88"/>
      <c r="G207" s="88"/>
      <c r="H207" s="88"/>
    </row>
    <row r="208" customFormat="false" ht="19.5" hidden="false" customHeight="true" outlineLevel="0" collapsed="false">
      <c r="A208" s="86" t="n">
        <v>3</v>
      </c>
      <c r="B208" s="89" t="s">
        <v>227</v>
      </c>
      <c r="C208" s="87" t="str">
        <f aca="false">IF(AND(Übungen!$J$4&lt;&gt;"",'Reha-Modus'!$B$4&lt;&gt;"",'Reha-Modus'!$B$4&lt;Übungen!$J$4),"",IF(IFERROR(INDEX(Rekorde!$N$4:$N$17,MATCH(Übungen!$A$4,Rekorde!$A$4:$A$17,0)),"")="","",ROUND(IFERROR(INDEX(Rekorde!$N$4:$N$17,MATCH(Übungen!$A$4,Rekorde!$A$4:$A$17,0)),"")*1*2,0)/2))</f>
        <v/>
      </c>
      <c r="D208" s="88"/>
      <c r="E208" s="88"/>
      <c r="F208" s="88"/>
      <c r="G208" s="88"/>
      <c r="H208" s="88"/>
    </row>
    <row r="209" customFormat="false" ht="19.5" hidden="false" customHeight="true" outlineLevel="0" collapsed="false">
      <c r="A209" s="86" t="n">
        <v>4</v>
      </c>
      <c r="B209" s="89" t="s">
        <v>227</v>
      </c>
      <c r="C209" s="87" t="str">
        <f aca="false">IF(AND(Übungen!$J$4&lt;&gt;"",'Reha-Modus'!$B$4&lt;&gt;"",'Reha-Modus'!$B$4&lt;Übungen!$J$4),"",IF(IFERROR(INDEX(Rekorde!$N$4:$N$17,MATCH(Übungen!$A$4,Rekorde!$A$4:$A$17,0)),"")="","",ROUND(IFERROR(INDEX(Rekorde!$N$4:$N$17,MATCH(Übungen!$A$4,Rekorde!$A$4:$A$17,0)),"")*1*2,0)/2))</f>
        <v/>
      </c>
      <c r="D209" s="88"/>
      <c r="E209" s="88"/>
      <c r="F209" s="88"/>
      <c r="G209" s="88"/>
      <c r="H209" s="88"/>
    </row>
    <row r="210" customFormat="false" ht="19.5" hidden="false" customHeight="true" outlineLevel="0" collapsed="false">
      <c r="A210" s="86" t="n">
        <v>5</v>
      </c>
      <c r="B210" s="89" t="s">
        <v>227</v>
      </c>
      <c r="C210" s="87" t="str">
        <f aca="false">IF(AND(Übungen!$J$4&lt;&gt;"",'Reha-Modus'!$B$4&lt;&gt;"",'Reha-Modus'!$B$4&lt;Übungen!$J$4),"",IF(IFERROR(INDEX(Rekorde!$N$4:$N$17,MATCH(Übungen!$A$4,Rekorde!$A$4:$A$17,0)),"")="","",ROUND(IFERROR(INDEX(Rekorde!$N$4:$N$17,MATCH(Übungen!$A$4,Rekorde!$A$4:$A$17,0)),"")*1*2,0)/2))</f>
        <v/>
      </c>
      <c r="D210" s="88"/>
      <c r="E210" s="88"/>
      <c r="F210" s="88"/>
      <c r="G210" s="88"/>
      <c r="H210" s="88"/>
    </row>
    <row r="212" customFormat="false" ht="18.75" hidden="false" customHeight="true" outlineLevel="0" collapsed="false">
      <c r="A212" s="83" t="str">
        <f aca="false">Übungen!$A$5</f>
        <v>Split Squat</v>
      </c>
      <c r="B212" s="83"/>
      <c r="C212" s="83"/>
      <c r="D212" s="83"/>
      <c r="E212" s="83"/>
      <c r="F212" s="83"/>
      <c r="G212" s="83"/>
      <c r="H212" s="83"/>
    </row>
    <row r="213" customFormat="false" ht="15" hidden="false" customHeight="true" outlineLevel="0" collapsed="false">
      <c r="A213"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f>
        <v>GESPERRT bis Woche 8 nach OP     ·     Ersatz: Beinpresse einbeinig, ab Woche 6 Multipresse ohne Zusatzhantel     ·     Vorgabe: 3 × 8-10 Wdh @ RPE 8</v>
      </c>
      <c r="B213" s="84"/>
      <c r="C213" s="84"/>
      <c r="D213" s="84"/>
      <c r="E213" s="84"/>
      <c r="F213" s="84"/>
      <c r="G213" s="84"/>
      <c r="H213" s="84"/>
    </row>
    <row r="214" customFormat="false" ht="13.5" hidden="false" customHeight="true" outlineLevel="0" collapsed="false">
      <c r="A214" s="85" t="s">
        <v>291</v>
      </c>
      <c r="B214" s="85" t="s">
        <v>292</v>
      </c>
      <c r="C214" s="85" t="s">
        <v>293</v>
      </c>
      <c r="D214" s="85" t="s">
        <v>294</v>
      </c>
      <c r="E214" s="85" t="s">
        <v>221</v>
      </c>
      <c r="F214" s="85" t="s">
        <v>46</v>
      </c>
      <c r="G214" s="85" t="s">
        <v>295</v>
      </c>
      <c r="H214" s="85" t="s">
        <v>213</v>
      </c>
    </row>
    <row r="215" customFormat="false" ht="19.5" hidden="false" customHeight="true" outlineLevel="0" collapsed="false">
      <c r="A215" s="86" t="n">
        <v>1</v>
      </c>
      <c r="B215" s="41" t="s">
        <v>226</v>
      </c>
      <c r="C215" s="87" t="str">
        <f aca="false">IF(AND(Übungen!$J$5&lt;&gt;"",'Reha-Modus'!$B$4&lt;&gt;"",'Reha-Modus'!$B$4&lt;Übungen!$J$5),"",IF(IFERROR(INDEX(Rekorde!$N$4:$N$17,MATCH(Übungen!$A$5,Rekorde!$A$4:$A$17,0)),"")="","",ROUND(IFERROR(INDEX(Rekorde!$N$4:$N$17,MATCH(Übungen!$A$5,Rekorde!$A$4:$A$17,0)),"")*0.45*2,0)/2))</f>
        <v/>
      </c>
      <c r="D215" s="88"/>
      <c r="E215" s="88"/>
      <c r="F215" s="88"/>
      <c r="G215" s="88"/>
      <c r="H215" s="88"/>
    </row>
    <row r="216" customFormat="false" ht="19.5" hidden="false" customHeight="true" outlineLevel="0" collapsed="false">
      <c r="A216" s="86" t="n">
        <v>2</v>
      </c>
      <c r="B216" s="41" t="s">
        <v>226</v>
      </c>
      <c r="C216" s="87" t="str">
        <f aca="false">IF(AND(Übungen!$J$5&lt;&gt;"",'Reha-Modus'!$B$4&lt;&gt;"",'Reha-Modus'!$B$4&lt;Übungen!$J$5),"",IF(IFERROR(INDEX(Rekorde!$N$4:$N$17,MATCH(Übungen!$A$5,Rekorde!$A$4:$A$17,0)),"")="","",ROUND(IFERROR(INDEX(Rekorde!$N$4:$N$17,MATCH(Übungen!$A$5,Rekorde!$A$4:$A$17,0)),"")*0.7*2,0)/2))</f>
        <v/>
      </c>
      <c r="D216" s="88"/>
      <c r="E216" s="88"/>
      <c r="F216" s="88"/>
      <c r="G216" s="88"/>
      <c r="H216" s="88"/>
    </row>
    <row r="217" customFormat="false" ht="19.5" hidden="false" customHeight="true" outlineLevel="0" collapsed="false">
      <c r="A217" s="86" t="n">
        <v>3</v>
      </c>
      <c r="B217" s="89" t="s">
        <v>227</v>
      </c>
      <c r="C217" s="87" t="str">
        <f aca="false">IF(AND(Übungen!$J$5&lt;&gt;"",'Reha-Modus'!$B$4&lt;&gt;"",'Reha-Modus'!$B$4&lt;Übungen!$J$5),"",IF(IFERROR(INDEX(Rekorde!$N$4:$N$17,MATCH(Übungen!$A$5,Rekorde!$A$4:$A$17,0)),"")="","",ROUND(IFERROR(INDEX(Rekorde!$N$4:$N$17,MATCH(Übungen!$A$5,Rekorde!$A$4:$A$17,0)),"")*1*2,0)/2))</f>
        <v/>
      </c>
      <c r="D217" s="88"/>
      <c r="E217" s="88"/>
      <c r="F217" s="88"/>
      <c r="G217" s="88"/>
      <c r="H217" s="88"/>
    </row>
    <row r="218" customFormat="false" ht="19.5" hidden="false" customHeight="true" outlineLevel="0" collapsed="false">
      <c r="A218" s="86" t="n">
        <v>4</v>
      </c>
      <c r="B218" s="89" t="s">
        <v>227</v>
      </c>
      <c r="C218" s="87" t="str">
        <f aca="false">IF(AND(Übungen!$J$5&lt;&gt;"",'Reha-Modus'!$B$4&lt;&gt;"",'Reha-Modus'!$B$4&lt;Übungen!$J$5),"",IF(IFERROR(INDEX(Rekorde!$N$4:$N$17,MATCH(Übungen!$A$5,Rekorde!$A$4:$A$17,0)),"")="","",ROUND(IFERROR(INDEX(Rekorde!$N$4:$N$17,MATCH(Übungen!$A$5,Rekorde!$A$4:$A$17,0)),"")*1*2,0)/2))</f>
        <v/>
      </c>
      <c r="D218" s="88"/>
      <c r="E218" s="88"/>
      <c r="F218" s="88"/>
      <c r="G218" s="88"/>
      <c r="H218" s="88"/>
    </row>
    <row r="219" customFormat="false" ht="19.5" hidden="false" customHeight="true" outlineLevel="0" collapsed="false">
      <c r="A219" s="86" t="n">
        <v>5</v>
      </c>
      <c r="B219" s="89" t="s">
        <v>227</v>
      </c>
      <c r="C219" s="87" t="str">
        <f aca="false">IF(AND(Übungen!$J$5&lt;&gt;"",'Reha-Modus'!$B$4&lt;&gt;"",'Reha-Modus'!$B$4&lt;Übungen!$J$5),"",IF(IFERROR(INDEX(Rekorde!$N$4:$N$17,MATCH(Übungen!$A$5,Rekorde!$A$4:$A$17,0)),"")="","",ROUND(IFERROR(INDEX(Rekorde!$N$4:$N$17,MATCH(Übungen!$A$5,Rekorde!$A$4:$A$17,0)),"")*1*2,0)/2))</f>
        <v/>
      </c>
      <c r="D219" s="88"/>
      <c r="E219" s="88"/>
      <c r="F219" s="88"/>
      <c r="G219" s="88"/>
      <c r="H219" s="88"/>
    </row>
    <row r="221" customFormat="false" ht="18.75" hidden="false" customHeight="true" outlineLevel="0" collapsed="false">
      <c r="A221" s="83" t="str">
        <f aca="false">Übungen!$A$6</f>
        <v>Beinstrecker</v>
      </c>
      <c r="B221" s="83"/>
      <c r="C221" s="83"/>
      <c r="D221" s="83"/>
      <c r="E221" s="83"/>
      <c r="F221" s="83"/>
      <c r="G221" s="83"/>
      <c r="H221" s="83"/>
    </row>
    <row r="222" customFormat="false" ht="15" hidden="false" customHeight="true" outlineLevel="0" collapsed="false">
      <c r="A222"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f>
        <v>Zuletzt: 80 kg × 12 Wdh     ·     Bestwert: 85 kg     ·     Ziel heute: 82 kg     ·     Vorgabe: 3 × 12-15 Wdh @ RPE 9</v>
      </c>
      <c r="B222" s="84"/>
      <c r="C222" s="84"/>
      <c r="D222" s="84"/>
      <c r="E222" s="84"/>
      <c r="F222" s="84"/>
      <c r="G222" s="84"/>
      <c r="H222" s="84"/>
    </row>
    <row r="223" customFormat="false" ht="13.5" hidden="false" customHeight="true" outlineLevel="0" collapsed="false">
      <c r="A223" s="85" t="s">
        <v>291</v>
      </c>
      <c r="B223" s="85" t="s">
        <v>292</v>
      </c>
      <c r="C223" s="85" t="s">
        <v>293</v>
      </c>
      <c r="D223" s="85" t="s">
        <v>294</v>
      </c>
      <c r="E223" s="85" t="s">
        <v>221</v>
      </c>
      <c r="F223" s="85" t="s">
        <v>46</v>
      </c>
      <c r="G223" s="85" t="s">
        <v>295</v>
      </c>
      <c r="H223" s="85" t="s">
        <v>213</v>
      </c>
    </row>
    <row r="224" customFormat="false" ht="19.5" hidden="false" customHeight="true" outlineLevel="0" collapsed="false">
      <c r="A224" s="86" t="n">
        <v>1</v>
      </c>
      <c r="B224" s="41" t="s">
        <v>226</v>
      </c>
      <c r="C224" s="87" t="n">
        <f aca="false">IF(AND(Übungen!$J$6&lt;&gt;"",'Reha-Modus'!$B$4&lt;&gt;"",'Reha-Modus'!$B$4&lt;Übungen!$J$6),"",IF(IFERROR(INDEX(Rekorde!$N$4:$N$17,MATCH(Übungen!$A$6,Rekorde!$A$4:$A$17,0)),"")="","",ROUND(IFERROR(INDEX(Rekorde!$N$4:$N$17,MATCH(Übungen!$A$6,Rekorde!$A$4:$A$17,0)),"")*0.45*2,0)/2))</f>
        <v>37</v>
      </c>
      <c r="D224" s="88"/>
      <c r="E224" s="88"/>
      <c r="F224" s="88"/>
      <c r="G224" s="88"/>
      <c r="H224" s="88"/>
    </row>
    <row r="225" customFormat="false" ht="19.5" hidden="false" customHeight="true" outlineLevel="0" collapsed="false">
      <c r="A225" s="86" t="n">
        <v>2</v>
      </c>
      <c r="B225" s="41" t="s">
        <v>226</v>
      </c>
      <c r="C225" s="87" t="n">
        <f aca="false">IF(AND(Übungen!$J$6&lt;&gt;"",'Reha-Modus'!$B$4&lt;&gt;"",'Reha-Modus'!$B$4&lt;Übungen!$J$6),"",IF(IFERROR(INDEX(Rekorde!$N$4:$N$17,MATCH(Übungen!$A$6,Rekorde!$A$4:$A$17,0)),"")="","",ROUND(IFERROR(INDEX(Rekorde!$N$4:$N$17,MATCH(Übungen!$A$6,Rekorde!$A$4:$A$17,0)),"")*0.7*2,0)/2))</f>
        <v>57.5</v>
      </c>
      <c r="D225" s="88"/>
      <c r="E225" s="88"/>
      <c r="F225" s="88"/>
      <c r="G225" s="88"/>
      <c r="H225" s="88"/>
    </row>
    <row r="226" customFormat="false" ht="19.5" hidden="false" customHeight="true" outlineLevel="0" collapsed="false">
      <c r="A226" s="86" t="n">
        <v>3</v>
      </c>
      <c r="B226" s="89" t="s">
        <v>227</v>
      </c>
      <c r="C226" s="87" t="n">
        <f aca="false">IF(AND(Übungen!$J$6&lt;&gt;"",'Reha-Modus'!$B$4&lt;&gt;"",'Reha-Modus'!$B$4&lt;Übungen!$J$6),"",IF(IFERROR(INDEX(Rekorde!$N$4:$N$17,MATCH(Übungen!$A$6,Rekorde!$A$4:$A$17,0)),"")="","",ROUND(IFERROR(INDEX(Rekorde!$N$4:$N$17,MATCH(Übungen!$A$6,Rekorde!$A$4:$A$17,0)),"")*1*2,0)/2))</f>
        <v>82</v>
      </c>
      <c r="D226" s="88"/>
      <c r="E226" s="88"/>
      <c r="F226" s="88"/>
      <c r="G226" s="88"/>
      <c r="H226" s="88"/>
    </row>
    <row r="227" customFormat="false" ht="19.5" hidden="false" customHeight="true" outlineLevel="0" collapsed="false">
      <c r="A227" s="86" t="n">
        <v>4</v>
      </c>
      <c r="B227" s="89" t="s">
        <v>227</v>
      </c>
      <c r="C227" s="87" t="n">
        <f aca="false">IF(AND(Übungen!$J$6&lt;&gt;"",'Reha-Modus'!$B$4&lt;&gt;"",'Reha-Modus'!$B$4&lt;Übungen!$J$6),"",IF(IFERROR(INDEX(Rekorde!$N$4:$N$17,MATCH(Übungen!$A$6,Rekorde!$A$4:$A$17,0)),"")="","",ROUND(IFERROR(INDEX(Rekorde!$N$4:$N$17,MATCH(Übungen!$A$6,Rekorde!$A$4:$A$17,0)),"")*1*2,0)/2))</f>
        <v>82</v>
      </c>
      <c r="D227" s="88"/>
      <c r="E227" s="88"/>
      <c r="F227" s="88"/>
      <c r="G227" s="88"/>
      <c r="H227" s="88"/>
    </row>
    <row r="228" customFormat="false" ht="19.5" hidden="false" customHeight="true" outlineLevel="0" collapsed="false">
      <c r="A228" s="86" t="n">
        <v>5</v>
      </c>
      <c r="B228" s="41" t="s">
        <v>228</v>
      </c>
      <c r="C228" s="90"/>
      <c r="D228" s="88"/>
      <c r="E228" s="88"/>
      <c r="F228" s="88"/>
      <c r="G228" s="88"/>
      <c r="H228" s="88"/>
    </row>
    <row r="230" customFormat="false" ht="18.75" hidden="false" customHeight="true" outlineLevel="0" collapsed="false">
      <c r="A230" s="83" t="str">
        <f aca="false">Übungen!$A$7</f>
        <v>Adduktion</v>
      </c>
      <c r="B230" s="83"/>
      <c r="C230" s="83"/>
      <c r="D230" s="83"/>
      <c r="E230" s="83"/>
      <c r="F230" s="83"/>
      <c r="G230" s="83"/>
      <c r="H230" s="83"/>
    </row>
    <row r="231" customFormat="false" ht="15" hidden="false" customHeight="true" outlineLevel="0" collapsed="false">
      <c r="A231"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f>
        <v>Zuletzt: 152.5 kg × 25 Wdh     ·     Bestwert: 152.5 kg     ·     Ziel heute: 152.5 kg     ·     Stackende, über Tempo und Pausen steigern     ·     Vorgabe: 3 × 15-20 Wdh @ RPE 9</v>
      </c>
      <c r="B231" s="84"/>
      <c r="C231" s="84"/>
      <c r="D231" s="84"/>
      <c r="E231" s="84"/>
      <c r="F231" s="84"/>
      <c r="G231" s="84"/>
      <c r="H231" s="84"/>
    </row>
    <row r="232" customFormat="false" ht="13.5" hidden="false" customHeight="true" outlineLevel="0" collapsed="false">
      <c r="A232" s="85" t="s">
        <v>291</v>
      </c>
      <c r="B232" s="85" t="s">
        <v>292</v>
      </c>
      <c r="C232" s="85" t="s">
        <v>293</v>
      </c>
      <c r="D232" s="85" t="s">
        <v>294</v>
      </c>
      <c r="E232" s="85" t="s">
        <v>221</v>
      </c>
      <c r="F232" s="85" t="s">
        <v>46</v>
      </c>
      <c r="G232" s="85" t="s">
        <v>295</v>
      </c>
      <c r="H232" s="85" t="s">
        <v>213</v>
      </c>
    </row>
    <row r="233" customFormat="false" ht="19.5" hidden="false" customHeight="true" outlineLevel="0" collapsed="false">
      <c r="A233" s="86" t="n">
        <v>1</v>
      </c>
      <c r="B233" s="41" t="s">
        <v>226</v>
      </c>
      <c r="C233" s="87" t="n">
        <f aca="false">IF(AND(Übungen!$J$7&lt;&gt;"",'Reha-Modus'!$B$4&lt;&gt;"",'Reha-Modus'!$B$4&lt;Übungen!$J$7),"",IF(IFERROR(INDEX(Rekorde!$N$4:$N$17,MATCH(Übungen!$A$7,Rekorde!$A$4:$A$17,0)),"")="","",ROUND(IFERROR(INDEX(Rekorde!$N$4:$N$17,MATCH(Übungen!$A$7,Rekorde!$A$4:$A$17,0)),"")*0.45*2,0)/2))</f>
        <v>68.5</v>
      </c>
      <c r="D233" s="88"/>
      <c r="E233" s="88"/>
      <c r="F233" s="88"/>
      <c r="G233" s="88"/>
      <c r="H233" s="88"/>
    </row>
    <row r="234" customFormat="false" ht="19.5" hidden="false" customHeight="true" outlineLevel="0" collapsed="false">
      <c r="A234" s="86" t="n">
        <v>2</v>
      </c>
      <c r="B234" s="41" t="s">
        <v>226</v>
      </c>
      <c r="C234" s="87" t="n">
        <f aca="false">IF(AND(Übungen!$J$7&lt;&gt;"",'Reha-Modus'!$B$4&lt;&gt;"",'Reha-Modus'!$B$4&lt;Übungen!$J$7),"",IF(IFERROR(INDEX(Rekorde!$N$4:$N$17,MATCH(Übungen!$A$7,Rekorde!$A$4:$A$17,0)),"")="","",ROUND(IFERROR(INDEX(Rekorde!$N$4:$N$17,MATCH(Übungen!$A$7,Rekorde!$A$4:$A$17,0)),"")*0.7*2,0)/2))</f>
        <v>107</v>
      </c>
      <c r="D234" s="88"/>
      <c r="E234" s="88"/>
      <c r="F234" s="88"/>
      <c r="G234" s="88"/>
      <c r="H234" s="88"/>
    </row>
    <row r="235" customFormat="false" ht="19.5" hidden="false" customHeight="true" outlineLevel="0" collapsed="false">
      <c r="A235" s="86" t="n">
        <v>3</v>
      </c>
      <c r="B235" s="89" t="s">
        <v>227</v>
      </c>
      <c r="C235" s="87" t="n">
        <f aca="false">IF(AND(Übungen!$J$7&lt;&gt;"",'Reha-Modus'!$B$4&lt;&gt;"",'Reha-Modus'!$B$4&lt;Übungen!$J$7),"",IF(IFERROR(INDEX(Rekorde!$N$4:$N$17,MATCH(Übungen!$A$7,Rekorde!$A$4:$A$17,0)),"")="","",ROUND(IFERROR(INDEX(Rekorde!$N$4:$N$17,MATCH(Übungen!$A$7,Rekorde!$A$4:$A$17,0)),"")*1*2,0)/2))</f>
        <v>152.5</v>
      </c>
      <c r="D235" s="88"/>
      <c r="E235" s="88"/>
      <c r="F235" s="88"/>
      <c r="G235" s="88"/>
      <c r="H235" s="88"/>
    </row>
    <row r="236" customFormat="false" ht="19.5" hidden="false" customHeight="true" outlineLevel="0" collapsed="false">
      <c r="A236" s="86" t="n">
        <v>4</v>
      </c>
      <c r="B236" s="89" t="s">
        <v>227</v>
      </c>
      <c r="C236" s="87" t="n">
        <f aca="false">IF(AND(Übungen!$J$7&lt;&gt;"",'Reha-Modus'!$B$4&lt;&gt;"",'Reha-Modus'!$B$4&lt;Übungen!$J$7),"",IF(IFERROR(INDEX(Rekorde!$N$4:$N$17,MATCH(Übungen!$A$7,Rekorde!$A$4:$A$17,0)),"")="","",ROUND(IFERROR(INDEX(Rekorde!$N$4:$N$17,MATCH(Übungen!$A$7,Rekorde!$A$4:$A$17,0)),"")*1*2,0)/2))</f>
        <v>152.5</v>
      </c>
      <c r="D236" s="88"/>
      <c r="E236" s="88"/>
      <c r="F236" s="88"/>
      <c r="G236" s="88"/>
      <c r="H236" s="88"/>
    </row>
    <row r="237" customFormat="false" ht="19.5" hidden="false" customHeight="true" outlineLevel="0" collapsed="false">
      <c r="A237" s="86" t="n">
        <v>5</v>
      </c>
      <c r="B237" s="41" t="s">
        <v>228</v>
      </c>
      <c r="C237" s="90"/>
      <c r="D237" s="88"/>
      <c r="E237" s="88"/>
      <c r="F237" s="88"/>
      <c r="G237" s="88"/>
      <c r="H237" s="88"/>
    </row>
    <row r="239" customFormat="false" ht="15.75" hidden="false" customHeight="true" outlineLevel="0" collapsed="false">
      <c r="A239" s="3" t="s">
        <v>296</v>
      </c>
      <c r="B239" s="3"/>
      <c r="C239" s="3"/>
      <c r="D239" s="3"/>
      <c r="E239" s="3"/>
      <c r="F239" s="3"/>
      <c r="G239" s="3"/>
      <c r="H239" s="3"/>
    </row>
    <row r="240" customFormat="false" ht="18" hidden="false" customHeight="true" outlineLevel="0" collapsed="false">
      <c r="A240" s="91"/>
      <c r="B240" s="91"/>
      <c r="C240" s="91"/>
      <c r="D240" s="91"/>
      <c r="E240" s="91"/>
      <c r="F240" s="91"/>
      <c r="G240" s="91"/>
      <c r="H240" s="91"/>
    </row>
    <row r="241" customFormat="false" ht="18" hidden="false" customHeight="true" outlineLevel="0" collapsed="false">
      <c r="A241" s="91"/>
      <c r="B241" s="91"/>
      <c r="C241" s="91"/>
      <c r="D241" s="91"/>
      <c r="E241" s="91"/>
      <c r="F241" s="91"/>
      <c r="G241" s="91"/>
      <c r="H241" s="91"/>
    </row>
    <row r="242" customFormat="false" ht="18" hidden="false" customHeight="true" outlineLevel="0" collapsed="false">
      <c r="A242" s="91"/>
      <c r="B242" s="91"/>
      <c r="C242" s="91"/>
      <c r="D242" s="91"/>
      <c r="E242" s="91"/>
      <c r="F242" s="91"/>
      <c r="G242" s="91"/>
      <c r="H242" s="91"/>
    </row>
    <row r="244" customFormat="false" ht="27.75" hidden="false" customHeight="true" outlineLevel="0" collapsed="false">
      <c r="A244" s="1" t="s">
        <v>301</v>
      </c>
      <c r="B244" s="1"/>
      <c r="C244" s="1"/>
      <c r="D244" s="1"/>
      <c r="E244" s="1"/>
      <c r="F244" s="1"/>
      <c r="G244" s="1"/>
      <c r="H244" s="1"/>
    </row>
    <row r="245" customFormat="false" ht="12.75" hidden="false" customHeight="true" outlineLevel="0" collapsed="false">
      <c r="A245" s="80" t="s">
        <v>61</v>
      </c>
      <c r="B245" s="80"/>
      <c r="C245" s="81" t="s">
        <v>287</v>
      </c>
      <c r="D245" s="81" t="s">
        <v>288</v>
      </c>
      <c r="E245" s="80" t="s">
        <v>289</v>
      </c>
      <c r="F245" s="80"/>
      <c r="G245" s="80" t="s">
        <v>290</v>
      </c>
      <c r="H245" s="80"/>
    </row>
    <row r="246" customFormat="false" ht="19.5" hidden="false" customHeight="true" outlineLevel="0" collapsed="false">
      <c r="A246" s="82"/>
      <c r="B246" s="82"/>
      <c r="C246" s="82"/>
      <c r="D246" s="82"/>
      <c r="E246" s="82"/>
      <c r="F246" s="82"/>
      <c r="G246" s="82"/>
      <c r="H246" s="82"/>
    </row>
    <row r="248" customFormat="false" ht="18.75" hidden="false" customHeight="true" outlineLevel="0" collapsed="false">
      <c r="A248" s="83" t="str">
        <f aca="false">Übungen!$A$8</f>
        <v>Rumänisches Kreuzheben</v>
      </c>
      <c r="B248" s="83"/>
      <c r="C248" s="83"/>
      <c r="D248" s="83"/>
      <c r="E248" s="83"/>
      <c r="F248" s="83"/>
      <c r="G248" s="83"/>
      <c r="H248" s="83"/>
    </row>
    <row r="249" customFormat="false" ht="15" hidden="false" customHeight="true" outlineLevel="0" collapsed="false">
      <c r="A249"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f>
        <v>GESPERRT bis Woche 12 nach OP     ·     Ersatz: Beinbeuger sitzend, Rückenstrecker mit vor der Brust gekreuzten Armen, Kabel-RDL mit Hüftgurt     ·     Vorgabe: 3 × 8-10 Wdh @ RPE 8</v>
      </c>
      <c r="B249" s="84"/>
      <c r="C249" s="84"/>
      <c r="D249" s="84"/>
      <c r="E249" s="84"/>
      <c r="F249" s="84"/>
      <c r="G249" s="84"/>
      <c r="H249" s="84"/>
    </row>
    <row r="250" customFormat="false" ht="13.5" hidden="false" customHeight="true" outlineLevel="0" collapsed="false">
      <c r="A250" s="85" t="s">
        <v>291</v>
      </c>
      <c r="B250" s="85" t="s">
        <v>292</v>
      </c>
      <c r="C250" s="85" t="s">
        <v>293</v>
      </c>
      <c r="D250" s="85" t="s">
        <v>294</v>
      </c>
      <c r="E250" s="85" t="s">
        <v>221</v>
      </c>
      <c r="F250" s="85" t="s">
        <v>46</v>
      </c>
      <c r="G250" s="85" t="s">
        <v>295</v>
      </c>
      <c r="H250" s="85" t="s">
        <v>213</v>
      </c>
    </row>
    <row r="251" customFormat="false" ht="19.5" hidden="false" customHeight="true" outlineLevel="0" collapsed="false">
      <c r="A251" s="86" t="n">
        <v>1</v>
      </c>
      <c r="B251" s="41" t="s">
        <v>226</v>
      </c>
      <c r="C251" s="87" t="str">
        <f aca="false">IF(AND(Übungen!$J$8&lt;&gt;"",'Reha-Modus'!$B$4&lt;&gt;"",'Reha-Modus'!$B$4&lt;Übungen!$J$8),"",IF(IFERROR(INDEX(Rekorde!$N$4:$N$17,MATCH(Übungen!$A$8,Rekorde!$A$4:$A$17,0)),"")="","",ROUND(IFERROR(INDEX(Rekorde!$N$4:$N$17,MATCH(Übungen!$A$8,Rekorde!$A$4:$A$17,0)),"")*0.45*2,0)/2))</f>
        <v/>
      </c>
      <c r="D251" s="88"/>
      <c r="E251" s="88"/>
      <c r="F251" s="88"/>
      <c r="G251" s="88"/>
      <c r="H251" s="88"/>
    </row>
    <row r="252" customFormat="false" ht="19.5" hidden="false" customHeight="true" outlineLevel="0" collapsed="false">
      <c r="A252" s="86" t="n">
        <v>2</v>
      </c>
      <c r="B252" s="41" t="s">
        <v>226</v>
      </c>
      <c r="C252" s="87" t="str">
        <f aca="false">IF(AND(Übungen!$J$8&lt;&gt;"",'Reha-Modus'!$B$4&lt;&gt;"",'Reha-Modus'!$B$4&lt;Übungen!$J$8),"",IF(IFERROR(INDEX(Rekorde!$N$4:$N$17,MATCH(Übungen!$A$8,Rekorde!$A$4:$A$17,0)),"")="","",ROUND(IFERROR(INDEX(Rekorde!$N$4:$N$17,MATCH(Übungen!$A$8,Rekorde!$A$4:$A$17,0)),"")*0.7*2,0)/2))</f>
        <v/>
      </c>
      <c r="D252" s="88"/>
      <c r="E252" s="88"/>
      <c r="F252" s="88"/>
      <c r="G252" s="88"/>
      <c r="H252" s="88"/>
    </row>
    <row r="253" customFormat="false" ht="19.5" hidden="false" customHeight="true" outlineLevel="0" collapsed="false">
      <c r="A253" s="86" t="n">
        <v>3</v>
      </c>
      <c r="B253" s="89" t="s">
        <v>227</v>
      </c>
      <c r="C253" s="87" t="str">
        <f aca="false">IF(AND(Übungen!$J$8&lt;&gt;"",'Reha-Modus'!$B$4&lt;&gt;"",'Reha-Modus'!$B$4&lt;Übungen!$J$8),"",IF(IFERROR(INDEX(Rekorde!$N$4:$N$17,MATCH(Übungen!$A$8,Rekorde!$A$4:$A$17,0)),"")="","",ROUND(IFERROR(INDEX(Rekorde!$N$4:$N$17,MATCH(Übungen!$A$8,Rekorde!$A$4:$A$17,0)),"")*1*2,0)/2))</f>
        <v/>
      </c>
      <c r="D253" s="88"/>
      <c r="E253" s="88"/>
      <c r="F253" s="88"/>
      <c r="G253" s="88"/>
      <c r="H253" s="88"/>
    </row>
    <row r="254" customFormat="false" ht="19.5" hidden="false" customHeight="true" outlineLevel="0" collapsed="false">
      <c r="A254" s="86" t="n">
        <v>4</v>
      </c>
      <c r="B254" s="89" t="s">
        <v>227</v>
      </c>
      <c r="C254" s="87" t="str">
        <f aca="false">IF(AND(Übungen!$J$8&lt;&gt;"",'Reha-Modus'!$B$4&lt;&gt;"",'Reha-Modus'!$B$4&lt;Übungen!$J$8),"",IF(IFERROR(INDEX(Rekorde!$N$4:$N$17,MATCH(Übungen!$A$8,Rekorde!$A$4:$A$17,0)),"")="","",ROUND(IFERROR(INDEX(Rekorde!$N$4:$N$17,MATCH(Übungen!$A$8,Rekorde!$A$4:$A$17,0)),"")*1*2,0)/2))</f>
        <v/>
      </c>
      <c r="D254" s="88"/>
      <c r="E254" s="88"/>
      <c r="F254" s="88"/>
      <c r="G254" s="88"/>
      <c r="H254" s="88"/>
    </row>
    <row r="255" customFormat="false" ht="19.5" hidden="false" customHeight="true" outlineLevel="0" collapsed="false">
      <c r="A255" s="86" t="n">
        <v>5</v>
      </c>
      <c r="B255" s="89" t="s">
        <v>227</v>
      </c>
      <c r="C255" s="87" t="str">
        <f aca="false">IF(AND(Übungen!$J$8&lt;&gt;"",'Reha-Modus'!$B$4&lt;&gt;"",'Reha-Modus'!$B$4&lt;Übungen!$J$8),"",IF(IFERROR(INDEX(Rekorde!$N$4:$N$17,MATCH(Übungen!$A$8,Rekorde!$A$4:$A$17,0)),"")="","",ROUND(IFERROR(INDEX(Rekorde!$N$4:$N$17,MATCH(Übungen!$A$8,Rekorde!$A$4:$A$17,0)),"")*1*2,0)/2))</f>
        <v/>
      </c>
      <c r="D255" s="88"/>
      <c r="E255" s="88"/>
      <c r="F255" s="88"/>
      <c r="G255" s="88"/>
      <c r="H255" s="88"/>
    </row>
    <row r="257" customFormat="false" ht="18.75" hidden="false" customHeight="true" outlineLevel="0" collapsed="false">
      <c r="A257" s="83" t="str">
        <f aca="false">Übungen!$A$9</f>
        <v>Hip Thrust</v>
      </c>
      <c r="B257" s="83"/>
      <c r="C257" s="83"/>
      <c r="D257" s="83"/>
      <c r="E257" s="83"/>
      <c r="F257" s="83"/>
      <c r="G257" s="83"/>
      <c r="H257" s="83"/>
    </row>
    <row r="258" customFormat="false" ht="15" hidden="false" customHeight="true" outlineLevel="0" collapsed="false">
      <c r="A258"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f>
        <v>GESPERRT bis Woche 4 nach OP     ·     Ersatz: Hip Thrust Maschine mit Polster ab Woche 2     ·     Vorgabe: 3 × 8-12 Wdh @ RPE 8-9</v>
      </c>
      <c r="B258" s="84"/>
      <c r="C258" s="84"/>
      <c r="D258" s="84"/>
      <c r="E258" s="84"/>
      <c r="F258" s="84"/>
      <c r="G258" s="84"/>
      <c r="H258" s="84"/>
    </row>
    <row r="259" customFormat="false" ht="13.5" hidden="false" customHeight="true" outlineLevel="0" collapsed="false">
      <c r="A259" s="85" t="s">
        <v>291</v>
      </c>
      <c r="B259" s="85" t="s">
        <v>292</v>
      </c>
      <c r="C259" s="85" t="s">
        <v>293</v>
      </c>
      <c r="D259" s="85" t="s">
        <v>294</v>
      </c>
      <c r="E259" s="85" t="s">
        <v>221</v>
      </c>
      <c r="F259" s="85" t="s">
        <v>46</v>
      </c>
      <c r="G259" s="85" t="s">
        <v>295</v>
      </c>
      <c r="H259" s="85" t="s">
        <v>213</v>
      </c>
    </row>
    <row r="260" customFormat="false" ht="19.5" hidden="false" customHeight="true" outlineLevel="0" collapsed="false">
      <c r="A260" s="86" t="n">
        <v>1</v>
      </c>
      <c r="B260" s="41" t="s">
        <v>226</v>
      </c>
      <c r="C260" s="87" t="str">
        <f aca="false">IF(AND(Übungen!$J$9&lt;&gt;"",'Reha-Modus'!$B$4&lt;&gt;"",'Reha-Modus'!$B$4&lt;Übungen!$J$9),"",IF(IFERROR(INDEX(Rekorde!$N$4:$N$17,MATCH(Übungen!$A$9,Rekorde!$A$4:$A$17,0)),"")="","",ROUND(IFERROR(INDEX(Rekorde!$N$4:$N$17,MATCH(Übungen!$A$9,Rekorde!$A$4:$A$17,0)),"")*0.45*2,0)/2))</f>
        <v/>
      </c>
      <c r="D260" s="88"/>
      <c r="E260" s="88"/>
      <c r="F260" s="88"/>
      <c r="G260" s="88"/>
      <c r="H260" s="88"/>
    </row>
    <row r="261" customFormat="false" ht="19.5" hidden="false" customHeight="true" outlineLevel="0" collapsed="false">
      <c r="A261" s="86" t="n">
        <v>2</v>
      </c>
      <c r="B261" s="41" t="s">
        <v>226</v>
      </c>
      <c r="C261" s="87" t="str">
        <f aca="false">IF(AND(Übungen!$J$9&lt;&gt;"",'Reha-Modus'!$B$4&lt;&gt;"",'Reha-Modus'!$B$4&lt;Übungen!$J$9),"",IF(IFERROR(INDEX(Rekorde!$N$4:$N$17,MATCH(Übungen!$A$9,Rekorde!$A$4:$A$17,0)),"")="","",ROUND(IFERROR(INDEX(Rekorde!$N$4:$N$17,MATCH(Übungen!$A$9,Rekorde!$A$4:$A$17,0)),"")*0.7*2,0)/2))</f>
        <v/>
      </c>
      <c r="D261" s="88"/>
      <c r="E261" s="88"/>
      <c r="F261" s="88"/>
      <c r="G261" s="88"/>
      <c r="H261" s="88"/>
    </row>
    <row r="262" customFormat="false" ht="19.5" hidden="false" customHeight="true" outlineLevel="0" collapsed="false">
      <c r="A262" s="86" t="n">
        <v>3</v>
      </c>
      <c r="B262" s="89" t="s">
        <v>227</v>
      </c>
      <c r="C262" s="87" t="str">
        <f aca="false">IF(AND(Übungen!$J$9&lt;&gt;"",'Reha-Modus'!$B$4&lt;&gt;"",'Reha-Modus'!$B$4&lt;Übungen!$J$9),"",IF(IFERROR(INDEX(Rekorde!$N$4:$N$17,MATCH(Übungen!$A$9,Rekorde!$A$4:$A$17,0)),"")="","",ROUND(IFERROR(INDEX(Rekorde!$N$4:$N$17,MATCH(Übungen!$A$9,Rekorde!$A$4:$A$17,0)),"")*1*2,0)/2))</f>
        <v/>
      </c>
      <c r="D262" s="88"/>
      <c r="E262" s="88"/>
      <c r="F262" s="88"/>
      <c r="G262" s="88"/>
      <c r="H262" s="88"/>
    </row>
    <row r="263" customFormat="false" ht="19.5" hidden="false" customHeight="true" outlineLevel="0" collapsed="false">
      <c r="A263" s="86" t="n">
        <v>4</v>
      </c>
      <c r="B263" s="89" t="s">
        <v>227</v>
      </c>
      <c r="C263" s="87" t="str">
        <f aca="false">IF(AND(Übungen!$J$9&lt;&gt;"",'Reha-Modus'!$B$4&lt;&gt;"",'Reha-Modus'!$B$4&lt;Übungen!$J$9),"",IF(IFERROR(INDEX(Rekorde!$N$4:$N$17,MATCH(Übungen!$A$9,Rekorde!$A$4:$A$17,0)),"")="","",ROUND(IFERROR(INDEX(Rekorde!$N$4:$N$17,MATCH(Übungen!$A$9,Rekorde!$A$4:$A$17,0)),"")*1*2,0)/2))</f>
        <v/>
      </c>
      <c r="D263" s="88"/>
      <c r="E263" s="88"/>
      <c r="F263" s="88"/>
      <c r="G263" s="88"/>
      <c r="H263" s="88"/>
    </row>
    <row r="264" customFormat="false" ht="19.5" hidden="false" customHeight="true" outlineLevel="0" collapsed="false">
      <c r="A264" s="86" t="n">
        <v>5</v>
      </c>
      <c r="B264" s="89" t="s">
        <v>227</v>
      </c>
      <c r="C264" s="87" t="str">
        <f aca="false">IF(AND(Übungen!$J$9&lt;&gt;"",'Reha-Modus'!$B$4&lt;&gt;"",'Reha-Modus'!$B$4&lt;Übungen!$J$9),"",IF(IFERROR(INDEX(Rekorde!$N$4:$N$17,MATCH(Übungen!$A$9,Rekorde!$A$4:$A$17,0)),"")="","",ROUND(IFERROR(INDEX(Rekorde!$N$4:$N$17,MATCH(Übungen!$A$9,Rekorde!$A$4:$A$17,0)),"")*1*2,0)/2))</f>
        <v/>
      </c>
      <c r="D264" s="88"/>
      <c r="E264" s="88"/>
      <c r="F264" s="88"/>
      <c r="G264" s="88"/>
      <c r="H264" s="88"/>
    </row>
    <row r="266" customFormat="false" ht="18.75" hidden="false" customHeight="true" outlineLevel="0" collapsed="false">
      <c r="A266" s="83" t="str">
        <f aca="false">Übungen!$A$10</f>
        <v>Beinbeuger</v>
      </c>
      <c r="B266" s="83"/>
      <c r="C266" s="83"/>
      <c r="D266" s="83"/>
      <c r="E266" s="83"/>
      <c r="F266" s="83"/>
      <c r="G266" s="83"/>
      <c r="H266" s="83"/>
    </row>
    <row r="267" customFormat="false" ht="15" hidden="false" customHeight="true" outlineLevel="0" collapsed="false">
      <c r="A267"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f>
        <v>Zuletzt: 45 kg × 15 Wdh     ·     Bestwert: 55 kg     ·     Ziel heute: 46 kg     ·     Vorgabe: 3 × 10-12 Wdh @ RPE 9</v>
      </c>
      <c r="B267" s="84"/>
      <c r="C267" s="84"/>
      <c r="D267" s="84"/>
      <c r="E267" s="84"/>
      <c r="F267" s="84"/>
      <c r="G267" s="84"/>
      <c r="H267" s="84"/>
    </row>
    <row r="268" customFormat="false" ht="13.5" hidden="false" customHeight="true" outlineLevel="0" collapsed="false">
      <c r="A268" s="85" t="s">
        <v>291</v>
      </c>
      <c r="B268" s="85" t="s">
        <v>292</v>
      </c>
      <c r="C268" s="85" t="s">
        <v>293</v>
      </c>
      <c r="D268" s="85" t="s">
        <v>294</v>
      </c>
      <c r="E268" s="85" t="s">
        <v>221</v>
      </c>
      <c r="F268" s="85" t="s">
        <v>46</v>
      </c>
      <c r="G268" s="85" t="s">
        <v>295</v>
      </c>
      <c r="H268" s="85" t="s">
        <v>213</v>
      </c>
    </row>
    <row r="269" customFormat="false" ht="19.5" hidden="false" customHeight="true" outlineLevel="0" collapsed="false">
      <c r="A269" s="86" t="n">
        <v>1</v>
      </c>
      <c r="B269" s="41" t="s">
        <v>226</v>
      </c>
      <c r="C269" s="87" t="n">
        <f aca="false">IF(AND(Übungen!$J$10&lt;&gt;"",'Reha-Modus'!$B$4&lt;&gt;"",'Reha-Modus'!$B$4&lt;Übungen!$J$10),"",IF(IFERROR(INDEX(Rekorde!$N$4:$N$17,MATCH(Übungen!$A$10,Rekorde!$A$4:$A$17,0)),"")="","",ROUND(IFERROR(INDEX(Rekorde!$N$4:$N$17,MATCH(Übungen!$A$10,Rekorde!$A$4:$A$17,0)),"")*0.45*2,0)/2))</f>
        <v>20.5</v>
      </c>
      <c r="D269" s="88"/>
      <c r="E269" s="88"/>
      <c r="F269" s="88"/>
      <c r="G269" s="88"/>
      <c r="H269" s="88"/>
    </row>
    <row r="270" customFormat="false" ht="19.5" hidden="false" customHeight="true" outlineLevel="0" collapsed="false">
      <c r="A270" s="86" t="n">
        <v>2</v>
      </c>
      <c r="B270" s="41" t="s">
        <v>226</v>
      </c>
      <c r="C270" s="87" t="n">
        <f aca="false">IF(AND(Übungen!$J$10&lt;&gt;"",'Reha-Modus'!$B$4&lt;&gt;"",'Reha-Modus'!$B$4&lt;Übungen!$J$10),"",IF(IFERROR(INDEX(Rekorde!$N$4:$N$17,MATCH(Übungen!$A$10,Rekorde!$A$4:$A$17,0)),"")="","",ROUND(IFERROR(INDEX(Rekorde!$N$4:$N$17,MATCH(Übungen!$A$10,Rekorde!$A$4:$A$17,0)),"")*0.7*2,0)/2))</f>
        <v>32</v>
      </c>
      <c r="D270" s="88"/>
      <c r="E270" s="88"/>
      <c r="F270" s="88"/>
      <c r="G270" s="88"/>
      <c r="H270" s="88"/>
    </row>
    <row r="271" customFormat="false" ht="19.5" hidden="false" customHeight="true" outlineLevel="0" collapsed="false">
      <c r="A271" s="86" t="n">
        <v>3</v>
      </c>
      <c r="B271" s="89" t="s">
        <v>227</v>
      </c>
      <c r="C271" s="87" t="n">
        <f aca="false">IF(AND(Übungen!$J$10&lt;&gt;"",'Reha-Modus'!$B$4&lt;&gt;"",'Reha-Modus'!$B$4&lt;Übungen!$J$10),"",IF(IFERROR(INDEX(Rekorde!$N$4:$N$17,MATCH(Übungen!$A$10,Rekorde!$A$4:$A$17,0)),"")="","",ROUND(IFERROR(INDEX(Rekorde!$N$4:$N$17,MATCH(Übungen!$A$10,Rekorde!$A$4:$A$17,0)),"")*1*2,0)/2))</f>
        <v>46</v>
      </c>
      <c r="D271" s="88"/>
      <c r="E271" s="88"/>
      <c r="F271" s="88"/>
      <c r="G271" s="88"/>
      <c r="H271" s="88"/>
    </row>
    <row r="272" customFormat="false" ht="19.5" hidden="false" customHeight="true" outlineLevel="0" collapsed="false">
      <c r="A272" s="86" t="n">
        <v>4</v>
      </c>
      <c r="B272" s="89" t="s">
        <v>227</v>
      </c>
      <c r="C272" s="87" t="n">
        <f aca="false">IF(AND(Übungen!$J$10&lt;&gt;"",'Reha-Modus'!$B$4&lt;&gt;"",'Reha-Modus'!$B$4&lt;Übungen!$J$10),"",IF(IFERROR(INDEX(Rekorde!$N$4:$N$17,MATCH(Übungen!$A$10,Rekorde!$A$4:$A$17,0)),"")="","",ROUND(IFERROR(INDEX(Rekorde!$N$4:$N$17,MATCH(Übungen!$A$10,Rekorde!$A$4:$A$17,0)),"")*1*2,0)/2))</f>
        <v>46</v>
      </c>
      <c r="D272" s="88"/>
      <c r="E272" s="88"/>
      <c r="F272" s="88"/>
      <c r="G272" s="88"/>
      <c r="H272" s="88"/>
    </row>
    <row r="273" customFormat="false" ht="19.5" hidden="false" customHeight="true" outlineLevel="0" collapsed="false">
      <c r="A273" s="86" t="n">
        <v>5</v>
      </c>
      <c r="B273" s="41" t="s">
        <v>228</v>
      </c>
      <c r="C273" s="90"/>
      <c r="D273" s="88"/>
      <c r="E273" s="88"/>
      <c r="F273" s="88"/>
      <c r="G273" s="88"/>
      <c r="H273" s="88"/>
    </row>
    <row r="275" customFormat="false" ht="18.75" hidden="false" customHeight="true" outlineLevel="0" collapsed="false">
      <c r="A275" s="83" t="str">
        <f aca="false">Übungen!$A$11</f>
        <v>Seitliche Kickbacks</v>
      </c>
      <c r="B275" s="83"/>
      <c r="C275" s="83"/>
      <c r="D275" s="83"/>
      <c r="E275" s="83"/>
      <c r="F275" s="83"/>
      <c r="G275" s="83"/>
      <c r="H275" s="83"/>
    </row>
    <row r="276" customFormat="false" ht="15" hidden="false" customHeight="true" outlineLevel="0" collapsed="false">
      <c r="A276"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f>
        <v>GESPERRT bis Woche 2 nach OP     ·     Ersatz: Abduktion an der Maschine im Sitzen     ·     Vorgabe: 3 × 15-20 Wdh @ RPE 9</v>
      </c>
      <c r="B276" s="84"/>
      <c r="C276" s="84"/>
      <c r="D276" s="84"/>
      <c r="E276" s="84"/>
      <c r="F276" s="84"/>
      <c r="G276" s="84"/>
      <c r="H276" s="84"/>
    </row>
    <row r="277" customFormat="false" ht="13.5" hidden="false" customHeight="true" outlineLevel="0" collapsed="false">
      <c r="A277" s="85" t="s">
        <v>291</v>
      </c>
      <c r="B277" s="85" t="s">
        <v>292</v>
      </c>
      <c r="C277" s="85" t="s">
        <v>293</v>
      </c>
      <c r="D277" s="85" t="s">
        <v>294</v>
      </c>
      <c r="E277" s="85" t="s">
        <v>221</v>
      </c>
      <c r="F277" s="85" t="s">
        <v>46</v>
      </c>
      <c r="G277" s="85" t="s">
        <v>295</v>
      </c>
      <c r="H277" s="85" t="s">
        <v>213</v>
      </c>
    </row>
    <row r="278" customFormat="false" ht="19.5" hidden="false" customHeight="true" outlineLevel="0" collapsed="false">
      <c r="A278" s="86" t="n">
        <v>1</v>
      </c>
      <c r="B278" s="41" t="s">
        <v>226</v>
      </c>
      <c r="C278" s="87" t="str">
        <f aca="false">IF(AND(Übungen!$J$11&lt;&gt;"",'Reha-Modus'!$B$4&lt;&gt;"",'Reha-Modus'!$B$4&lt;Übungen!$J$11),"",IF(IFERROR(INDEX(Rekorde!$N$4:$N$17,MATCH(Übungen!$A$11,Rekorde!$A$4:$A$17,0)),"")="","",ROUND(IFERROR(INDEX(Rekorde!$N$4:$N$17,MATCH(Übungen!$A$11,Rekorde!$A$4:$A$17,0)),"")*0.45*2,0)/2))</f>
        <v/>
      </c>
      <c r="D278" s="88"/>
      <c r="E278" s="88"/>
      <c r="F278" s="88"/>
      <c r="G278" s="88"/>
      <c r="H278" s="88"/>
    </row>
    <row r="279" customFormat="false" ht="19.5" hidden="false" customHeight="true" outlineLevel="0" collapsed="false">
      <c r="A279" s="86" t="n">
        <v>2</v>
      </c>
      <c r="B279" s="41" t="s">
        <v>226</v>
      </c>
      <c r="C279" s="87" t="str">
        <f aca="false">IF(AND(Übungen!$J$11&lt;&gt;"",'Reha-Modus'!$B$4&lt;&gt;"",'Reha-Modus'!$B$4&lt;Übungen!$J$11),"",IF(IFERROR(INDEX(Rekorde!$N$4:$N$17,MATCH(Übungen!$A$11,Rekorde!$A$4:$A$17,0)),"")="","",ROUND(IFERROR(INDEX(Rekorde!$N$4:$N$17,MATCH(Übungen!$A$11,Rekorde!$A$4:$A$17,0)),"")*0.7*2,0)/2))</f>
        <v/>
      </c>
      <c r="D279" s="88"/>
      <c r="E279" s="88"/>
      <c r="F279" s="88"/>
      <c r="G279" s="88"/>
      <c r="H279" s="88"/>
    </row>
    <row r="280" customFormat="false" ht="19.5" hidden="false" customHeight="true" outlineLevel="0" collapsed="false">
      <c r="A280" s="86" t="n">
        <v>3</v>
      </c>
      <c r="B280" s="89" t="s">
        <v>227</v>
      </c>
      <c r="C280" s="87" t="str">
        <f aca="false">IF(AND(Übungen!$J$11&lt;&gt;"",'Reha-Modus'!$B$4&lt;&gt;"",'Reha-Modus'!$B$4&lt;Übungen!$J$11),"",IF(IFERROR(INDEX(Rekorde!$N$4:$N$17,MATCH(Übungen!$A$11,Rekorde!$A$4:$A$17,0)),"")="","",ROUND(IFERROR(INDEX(Rekorde!$N$4:$N$17,MATCH(Übungen!$A$11,Rekorde!$A$4:$A$17,0)),"")*1*2,0)/2))</f>
        <v/>
      </c>
      <c r="D280" s="88"/>
      <c r="E280" s="88"/>
      <c r="F280" s="88"/>
      <c r="G280" s="88"/>
      <c r="H280" s="88"/>
    </row>
    <row r="281" customFormat="false" ht="19.5" hidden="false" customHeight="true" outlineLevel="0" collapsed="false">
      <c r="A281" s="86" t="n">
        <v>4</v>
      </c>
      <c r="B281" s="89" t="s">
        <v>227</v>
      </c>
      <c r="C281" s="87" t="str">
        <f aca="false">IF(AND(Übungen!$J$11&lt;&gt;"",'Reha-Modus'!$B$4&lt;&gt;"",'Reha-Modus'!$B$4&lt;Übungen!$J$11),"",IF(IFERROR(INDEX(Rekorde!$N$4:$N$17,MATCH(Übungen!$A$11,Rekorde!$A$4:$A$17,0)),"")="","",ROUND(IFERROR(INDEX(Rekorde!$N$4:$N$17,MATCH(Übungen!$A$11,Rekorde!$A$4:$A$17,0)),"")*1*2,0)/2))</f>
        <v/>
      </c>
      <c r="D281" s="88"/>
      <c r="E281" s="88"/>
      <c r="F281" s="88"/>
      <c r="G281" s="88"/>
      <c r="H281" s="88"/>
    </row>
    <row r="282" customFormat="false" ht="19.5" hidden="false" customHeight="true" outlineLevel="0" collapsed="false">
      <c r="A282" s="86" t="n">
        <v>5</v>
      </c>
      <c r="B282" s="89" t="s">
        <v>227</v>
      </c>
      <c r="C282" s="87" t="str">
        <f aca="false">IF(AND(Übungen!$J$11&lt;&gt;"",'Reha-Modus'!$B$4&lt;&gt;"",'Reha-Modus'!$B$4&lt;Übungen!$J$11),"",IF(IFERROR(INDEX(Rekorde!$N$4:$N$17,MATCH(Übungen!$A$11,Rekorde!$A$4:$A$17,0)),"")="","",ROUND(IFERROR(INDEX(Rekorde!$N$4:$N$17,MATCH(Übungen!$A$11,Rekorde!$A$4:$A$17,0)),"")*1*2,0)/2))</f>
        <v/>
      </c>
      <c r="D282" s="88"/>
      <c r="E282" s="88"/>
      <c r="F282" s="88"/>
      <c r="G282" s="88"/>
      <c r="H282" s="88"/>
    </row>
    <row r="284" customFormat="false" ht="18.75" hidden="false" customHeight="true" outlineLevel="0" collapsed="false">
      <c r="A284" s="83" t="str">
        <f aca="false">Übungen!$A$12</f>
        <v>Waden</v>
      </c>
      <c r="B284" s="83"/>
      <c r="C284" s="83"/>
      <c r="D284" s="83"/>
      <c r="E284" s="83"/>
      <c r="F284" s="83"/>
      <c r="G284" s="83"/>
      <c r="H284" s="83"/>
    </row>
    <row r="285" customFormat="false" ht="15" hidden="false" customHeight="true" outlineLevel="0" collapsed="false">
      <c r="A285"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f>
        <v>GESPERRT bis Woche 2 nach OP     ·     Ersatz: Wadenmaschine sitzend ab Woche 1     ·     Vorgabe: 3 × 10-15 Wdh @ RPE 9</v>
      </c>
      <c r="B285" s="84"/>
      <c r="C285" s="84"/>
      <c r="D285" s="84"/>
      <c r="E285" s="84"/>
      <c r="F285" s="84"/>
      <c r="G285" s="84"/>
      <c r="H285" s="84"/>
    </row>
    <row r="286" customFormat="false" ht="13.5" hidden="false" customHeight="true" outlineLevel="0" collapsed="false">
      <c r="A286" s="85" t="s">
        <v>291</v>
      </c>
      <c r="B286" s="85" t="s">
        <v>292</v>
      </c>
      <c r="C286" s="85" t="s">
        <v>293</v>
      </c>
      <c r="D286" s="85" t="s">
        <v>294</v>
      </c>
      <c r="E286" s="85" t="s">
        <v>221</v>
      </c>
      <c r="F286" s="85" t="s">
        <v>46</v>
      </c>
      <c r="G286" s="85" t="s">
        <v>295</v>
      </c>
      <c r="H286" s="85" t="s">
        <v>213</v>
      </c>
    </row>
    <row r="287" customFormat="false" ht="19.5" hidden="false" customHeight="true" outlineLevel="0" collapsed="false">
      <c r="A287" s="86" t="n">
        <v>1</v>
      </c>
      <c r="B287" s="41" t="s">
        <v>226</v>
      </c>
      <c r="C287" s="87" t="str">
        <f aca="false">IF(AND(Übungen!$J$12&lt;&gt;"",'Reha-Modus'!$B$4&lt;&gt;"",'Reha-Modus'!$B$4&lt;Übungen!$J$12),"",IF(IFERROR(INDEX(Rekorde!$N$4:$N$17,MATCH(Übungen!$A$12,Rekorde!$A$4:$A$17,0)),"")="","",ROUND(IFERROR(INDEX(Rekorde!$N$4:$N$17,MATCH(Übungen!$A$12,Rekorde!$A$4:$A$17,0)),"")*0.45*2,0)/2))</f>
        <v/>
      </c>
      <c r="D287" s="88"/>
      <c r="E287" s="88"/>
      <c r="F287" s="88"/>
      <c r="G287" s="88"/>
      <c r="H287" s="88"/>
    </row>
    <row r="288" customFormat="false" ht="19.5" hidden="false" customHeight="true" outlineLevel="0" collapsed="false">
      <c r="A288" s="86" t="n">
        <v>2</v>
      </c>
      <c r="B288" s="41" t="s">
        <v>226</v>
      </c>
      <c r="C288" s="87" t="str">
        <f aca="false">IF(AND(Übungen!$J$12&lt;&gt;"",'Reha-Modus'!$B$4&lt;&gt;"",'Reha-Modus'!$B$4&lt;Übungen!$J$12),"",IF(IFERROR(INDEX(Rekorde!$N$4:$N$17,MATCH(Übungen!$A$12,Rekorde!$A$4:$A$17,0)),"")="","",ROUND(IFERROR(INDEX(Rekorde!$N$4:$N$17,MATCH(Übungen!$A$12,Rekorde!$A$4:$A$17,0)),"")*0.7*2,0)/2))</f>
        <v/>
      </c>
      <c r="D288" s="88"/>
      <c r="E288" s="88"/>
      <c r="F288" s="88"/>
      <c r="G288" s="88"/>
      <c r="H288" s="88"/>
    </row>
    <row r="289" customFormat="false" ht="19.5" hidden="false" customHeight="true" outlineLevel="0" collapsed="false">
      <c r="A289" s="86" t="n">
        <v>3</v>
      </c>
      <c r="B289" s="89" t="s">
        <v>227</v>
      </c>
      <c r="C289" s="87" t="str">
        <f aca="false">IF(AND(Übungen!$J$12&lt;&gt;"",'Reha-Modus'!$B$4&lt;&gt;"",'Reha-Modus'!$B$4&lt;Übungen!$J$12),"",IF(IFERROR(INDEX(Rekorde!$N$4:$N$17,MATCH(Übungen!$A$12,Rekorde!$A$4:$A$17,0)),"")="","",ROUND(IFERROR(INDEX(Rekorde!$N$4:$N$17,MATCH(Übungen!$A$12,Rekorde!$A$4:$A$17,0)),"")*1*2,0)/2))</f>
        <v/>
      </c>
      <c r="D289" s="88"/>
      <c r="E289" s="88"/>
      <c r="F289" s="88"/>
      <c r="G289" s="88"/>
      <c r="H289" s="88"/>
    </row>
    <row r="290" customFormat="false" ht="19.5" hidden="false" customHeight="true" outlineLevel="0" collapsed="false">
      <c r="A290" s="86" t="n">
        <v>4</v>
      </c>
      <c r="B290" s="89" t="s">
        <v>227</v>
      </c>
      <c r="C290" s="87" t="str">
        <f aca="false">IF(AND(Übungen!$J$12&lt;&gt;"",'Reha-Modus'!$B$4&lt;&gt;"",'Reha-Modus'!$B$4&lt;Übungen!$J$12),"",IF(IFERROR(INDEX(Rekorde!$N$4:$N$17,MATCH(Übungen!$A$12,Rekorde!$A$4:$A$17,0)),"")="","",ROUND(IFERROR(INDEX(Rekorde!$N$4:$N$17,MATCH(Übungen!$A$12,Rekorde!$A$4:$A$17,0)),"")*1*2,0)/2))</f>
        <v/>
      </c>
      <c r="D290" s="88"/>
      <c r="E290" s="88"/>
      <c r="F290" s="88"/>
      <c r="G290" s="88"/>
      <c r="H290" s="88"/>
    </row>
    <row r="291" customFormat="false" ht="19.5" hidden="false" customHeight="true" outlineLevel="0" collapsed="false">
      <c r="A291" s="86" t="n">
        <v>5</v>
      </c>
      <c r="B291" s="89" t="s">
        <v>227</v>
      </c>
      <c r="C291" s="87" t="str">
        <f aca="false">IF(AND(Übungen!$J$12&lt;&gt;"",'Reha-Modus'!$B$4&lt;&gt;"",'Reha-Modus'!$B$4&lt;Übungen!$J$12),"",IF(IFERROR(INDEX(Rekorde!$N$4:$N$17,MATCH(Übungen!$A$12,Rekorde!$A$4:$A$17,0)),"")="","",ROUND(IFERROR(INDEX(Rekorde!$N$4:$N$17,MATCH(Übungen!$A$12,Rekorde!$A$4:$A$17,0)),"")*1*2,0)/2))</f>
        <v/>
      </c>
      <c r="D291" s="88"/>
      <c r="E291" s="88"/>
      <c r="F291" s="88"/>
      <c r="G291" s="88"/>
      <c r="H291" s="88"/>
    </row>
    <row r="293" customFormat="false" ht="15.75" hidden="false" customHeight="true" outlineLevel="0" collapsed="false">
      <c r="A293" s="3" t="s">
        <v>296</v>
      </c>
      <c r="B293" s="3"/>
      <c r="C293" s="3"/>
      <c r="D293" s="3"/>
      <c r="E293" s="3"/>
      <c r="F293" s="3"/>
      <c r="G293" s="3"/>
      <c r="H293" s="3"/>
    </row>
    <row r="294" customFormat="false" ht="18" hidden="false" customHeight="true" outlineLevel="0" collapsed="false">
      <c r="A294" s="91"/>
      <c r="B294" s="91"/>
      <c r="C294" s="91"/>
      <c r="D294" s="91"/>
      <c r="E294" s="91"/>
      <c r="F294" s="91"/>
      <c r="G294" s="91"/>
      <c r="H294" s="91"/>
    </row>
    <row r="295" customFormat="false" ht="18" hidden="false" customHeight="true" outlineLevel="0" collapsed="false">
      <c r="A295" s="91"/>
      <c r="B295" s="91"/>
      <c r="C295" s="91"/>
      <c r="D295" s="91"/>
      <c r="E295" s="91"/>
      <c r="F295" s="91"/>
      <c r="G295" s="91"/>
      <c r="H295" s="91"/>
    </row>
    <row r="296" customFormat="false" ht="18" hidden="false" customHeight="true" outlineLevel="0" collapsed="false">
      <c r="A296" s="91"/>
      <c r="B296" s="91"/>
      <c r="C296" s="91"/>
      <c r="D296" s="91"/>
      <c r="E296" s="91"/>
      <c r="F296" s="91"/>
      <c r="G296" s="91"/>
      <c r="H296" s="91"/>
    </row>
    <row r="298" customFormat="false" ht="27.75" hidden="false" customHeight="true" outlineLevel="0" collapsed="false">
      <c r="A298" s="1" t="s">
        <v>302</v>
      </c>
      <c r="B298" s="1"/>
      <c r="C298" s="1"/>
      <c r="D298" s="1"/>
      <c r="E298" s="1"/>
      <c r="F298" s="1"/>
      <c r="G298" s="1"/>
      <c r="H298" s="1"/>
    </row>
    <row r="299" customFormat="false" ht="12.75" hidden="false" customHeight="true" outlineLevel="0" collapsed="false">
      <c r="A299" s="80" t="s">
        <v>61</v>
      </c>
      <c r="B299" s="80"/>
      <c r="C299" s="81" t="s">
        <v>287</v>
      </c>
      <c r="D299" s="81" t="s">
        <v>288</v>
      </c>
      <c r="E299" s="80" t="s">
        <v>289</v>
      </c>
      <c r="F299" s="80"/>
      <c r="G299" s="80" t="s">
        <v>290</v>
      </c>
      <c r="H299" s="80"/>
    </row>
    <row r="300" customFormat="false" ht="19.5" hidden="false" customHeight="true" outlineLevel="0" collapsed="false">
      <c r="A300" s="82"/>
      <c r="B300" s="82"/>
      <c r="C300" s="82"/>
      <c r="D300" s="82"/>
      <c r="E300" s="82"/>
      <c r="F300" s="82"/>
      <c r="G300" s="82"/>
      <c r="H300" s="82"/>
    </row>
    <row r="302" customFormat="false" ht="18.75" hidden="false" customHeight="true" outlineLevel="0" collapsed="false">
      <c r="A302" s="83" t="str">
        <f aca="false">Übungen!$A$4</f>
        <v>Hackenschmidt-Kniebeuge</v>
      </c>
      <c r="B302" s="83"/>
      <c r="C302" s="83"/>
      <c r="D302" s="83"/>
      <c r="E302" s="83"/>
      <c r="F302" s="83"/>
      <c r="G302" s="83"/>
      <c r="H302" s="83"/>
    </row>
    <row r="303" customFormat="false" ht="15" hidden="false" customHeight="true" outlineLevel="0" collapsed="false">
      <c r="A303"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f>
        <v>GESPERRT bis Woche 6 nach OP     ·     Ersatz: Beinpresse mit tiefer Fussposition, Hände seitlich abgelegt     ·     Vorgabe: 3 × 6-10 Wdh @ RPE 8-9</v>
      </c>
      <c r="B303" s="84"/>
      <c r="C303" s="84"/>
      <c r="D303" s="84"/>
      <c r="E303" s="84"/>
      <c r="F303" s="84"/>
      <c r="G303" s="84"/>
      <c r="H303" s="84"/>
    </row>
    <row r="304" customFormat="false" ht="13.5" hidden="false" customHeight="true" outlineLevel="0" collapsed="false">
      <c r="A304" s="85" t="s">
        <v>291</v>
      </c>
      <c r="B304" s="85" t="s">
        <v>292</v>
      </c>
      <c r="C304" s="85" t="s">
        <v>293</v>
      </c>
      <c r="D304" s="85" t="s">
        <v>294</v>
      </c>
      <c r="E304" s="85" t="s">
        <v>221</v>
      </c>
      <c r="F304" s="85" t="s">
        <v>46</v>
      </c>
      <c r="G304" s="85" t="s">
        <v>295</v>
      </c>
      <c r="H304" s="85" t="s">
        <v>213</v>
      </c>
    </row>
    <row r="305" customFormat="false" ht="19.5" hidden="false" customHeight="true" outlineLevel="0" collapsed="false">
      <c r="A305" s="86" t="n">
        <v>1</v>
      </c>
      <c r="B305" s="41" t="s">
        <v>226</v>
      </c>
      <c r="C305" s="87" t="str">
        <f aca="false">IF(AND(Übungen!$J$4&lt;&gt;"",'Reha-Modus'!$B$4&lt;&gt;"",'Reha-Modus'!$B$4&lt;Übungen!$J$4),"",IF(IFERROR(INDEX(Rekorde!$N$4:$N$17,MATCH(Übungen!$A$4,Rekorde!$A$4:$A$17,0)),"")="","",ROUND(IFERROR(INDEX(Rekorde!$N$4:$N$17,MATCH(Übungen!$A$4,Rekorde!$A$4:$A$17,0)),"")*0.45*2,0)/2))</f>
        <v/>
      </c>
      <c r="D305" s="88"/>
      <c r="E305" s="88"/>
      <c r="F305" s="88"/>
      <c r="G305" s="88"/>
      <c r="H305" s="88"/>
    </row>
    <row r="306" customFormat="false" ht="19.5" hidden="false" customHeight="true" outlineLevel="0" collapsed="false">
      <c r="A306" s="86" t="n">
        <v>2</v>
      </c>
      <c r="B306" s="41" t="s">
        <v>226</v>
      </c>
      <c r="C306" s="87" t="str">
        <f aca="false">IF(AND(Übungen!$J$4&lt;&gt;"",'Reha-Modus'!$B$4&lt;&gt;"",'Reha-Modus'!$B$4&lt;Übungen!$J$4),"",IF(IFERROR(INDEX(Rekorde!$N$4:$N$17,MATCH(Übungen!$A$4,Rekorde!$A$4:$A$17,0)),"")="","",ROUND(IFERROR(INDEX(Rekorde!$N$4:$N$17,MATCH(Übungen!$A$4,Rekorde!$A$4:$A$17,0)),"")*0.7*2,0)/2))</f>
        <v/>
      </c>
      <c r="D306" s="88"/>
      <c r="E306" s="88"/>
      <c r="F306" s="88"/>
      <c r="G306" s="88"/>
      <c r="H306" s="88"/>
    </row>
    <row r="307" customFormat="false" ht="19.5" hidden="false" customHeight="true" outlineLevel="0" collapsed="false">
      <c r="A307" s="86" t="n">
        <v>3</v>
      </c>
      <c r="B307" s="89" t="s">
        <v>227</v>
      </c>
      <c r="C307" s="87" t="str">
        <f aca="false">IF(AND(Übungen!$J$4&lt;&gt;"",'Reha-Modus'!$B$4&lt;&gt;"",'Reha-Modus'!$B$4&lt;Übungen!$J$4),"",IF(IFERROR(INDEX(Rekorde!$N$4:$N$17,MATCH(Übungen!$A$4,Rekorde!$A$4:$A$17,0)),"")="","",ROUND(IFERROR(INDEX(Rekorde!$N$4:$N$17,MATCH(Übungen!$A$4,Rekorde!$A$4:$A$17,0)),"")*1*2,0)/2))</f>
        <v/>
      </c>
      <c r="D307" s="88"/>
      <c r="E307" s="88"/>
      <c r="F307" s="88"/>
      <c r="G307" s="88"/>
      <c r="H307" s="88"/>
    </row>
    <row r="308" customFormat="false" ht="19.5" hidden="false" customHeight="true" outlineLevel="0" collapsed="false">
      <c r="A308" s="86" t="n">
        <v>4</v>
      </c>
      <c r="B308" s="89" t="s">
        <v>227</v>
      </c>
      <c r="C308" s="87" t="str">
        <f aca="false">IF(AND(Übungen!$J$4&lt;&gt;"",'Reha-Modus'!$B$4&lt;&gt;"",'Reha-Modus'!$B$4&lt;Übungen!$J$4),"",IF(IFERROR(INDEX(Rekorde!$N$4:$N$17,MATCH(Übungen!$A$4,Rekorde!$A$4:$A$17,0)),"")="","",ROUND(IFERROR(INDEX(Rekorde!$N$4:$N$17,MATCH(Übungen!$A$4,Rekorde!$A$4:$A$17,0)),"")*1*2,0)/2))</f>
        <v/>
      </c>
      <c r="D308" s="88"/>
      <c r="E308" s="88"/>
      <c r="F308" s="88"/>
      <c r="G308" s="88"/>
      <c r="H308" s="88"/>
    </row>
    <row r="309" customFormat="false" ht="19.5" hidden="false" customHeight="true" outlineLevel="0" collapsed="false">
      <c r="A309" s="86" t="n">
        <v>5</v>
      </c>
      <c r="B309" s="89" t="s">
        <v>227</v>
      </c>
      <c r="C309" s="87" t="str">
        <f aca="false">IF(AND(Übungen!$J$4&lt;&gt;"",'Reha-Modus'!$B$4&lt;&gt;"",'Reha-Modus'!$B$4&lt;Übungen!$J$4),"",IF(IFERROR(INDEX(Rekorde!$N$4:$N$17,MATCH(Übungen!$A$4,Rekorde!$A$4:$A$17,0)),"")="","",ROUND(IFERROR(INDEX(Rekorde!$N$4:$N$17,MATCH(Übungen!$A$4,Rekorde!$A$4:$A$17,0)),"")*1*2,0)/2))</f>
        <v/>
      </c>
      <c r="D309" s="88"/>
      <c r="E309" s="88"/>
      <c r="F309" s="88"/>
      <c r="G309" s="88"/>
      <c r="H309" s="88"/>
    </row>
    <row r="311" customFormat="false" ht="18.75" hidden="false" customHeight="true" outlineLevel="0" collapsed="false">
      <c r="A311" s="83" t="str">
        <f aca="false">Übungen!$A$5</f>
        <v>Split Squat</v>
      </c>
      <c r="B311" s="83"/>
      <c r="C311" s="83"/>
      <c r="D311" s="83"/>
      <c r="E311" s="83"/>
      <c r="F311" s="83"/>
      <c r="G311" s="83"/>
      <c r="H311" s="83"/>
    </row>
    <row r="312" customFormat="false" ht="15" hidden="false" customHeight="true" outlineLevel="0" collapsed="false">
      <c r="A312"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f>
        <v>GESPERRT bis Woche 8 nach OP     ·     Ersatz: Beinpresse einbeinig, ab Woche 6 Multipresse ohne Zusatzhantel     ·     Vorgabe: 3 × 8-10 Wdh @ RPE 8</v>
      </c>
      <c r="B312" s="84"/>
      <c r="C312" s="84"/>
      <c r="D312" s="84"/>
      <c r="E312" s="84"/>
      <c r="F312" s="84"/>
      <c r="G312" s="84"/>
      <c r="H312" s="84"/>
    </row>
    <row r="313" customFormat="false" ht="13.5" hidden="false" customHeight="true" outlineLevel="0" collapsed="false">
      <c r="A313" s="85" t="s">
        <v>291</v>
      </c>
      <c r="B313" s="85" t="s">
        <v>292</v>
      </c>
      <c r="C313" s="85" t="s">
        <v>293</v>
      </c>
      <c r="D313" s="85" t="s">
        <v>294</v>
      </c>
      <c r="E313" s="85" t="s">
        <v>221</v>
      </c>
      <c r="F313" s="85" t="s">
        <v>46</v>
      </c>
      <c r="G313" s="85" t="s">
        <v>295</v>
      </c>
      <c r="H313" s="85" t="s">
        <v>213</v>
      </c>
    </row>
    <row r="314" customFormat="false" ht="19.5" hidden="false" customHeight="true" outlineLevel="0" collapsed="false">
      <c r="A314" s="86" t="n">
        <v>1</v>
      </c>
      <c r="B314" s="41" t="s">
        <v>226</v>
      </c>
      <c r="C314" s="87" t="str">
        <f aca="false">IF(AND(Übungen!$J$5&lt;&gt;"",'Reha-Modus'!$B$4&lt;&gt;"",'Reha-Modus'!$B$4&lt;Übungen!$J$5),"",IF(IFERROR(INDEX(Rekorde!$N$4:$N$17,MATCH(Übungen!$A$5,Rekorde!$A$4:$A$17,0)),"")="","",ROUND(IFERROR(INDEX(Rekorde!$N$4:$N$17,MATCH(Übungen!$A$5,Rekorde!$A$4:$A$17,0)),"")*0.45*2,0)/2))</f>
        <v/>
      </c>
      <c r="D314" s="88"/>
      <c r="E314" s="88"/>
      <c r="F314" s="88"/>
      <c r="G314" s="88"/>
      <c r="H314" s="88"/>
    </row>
    <row r="315" customFormat="false" ht="19.5" hidden="false" customHeight="true" outlineLevel="0" collapsed="false">
      <c r="A315" s="86" t="n">
        <v>2</v>
      </c>
      <c r="B315" s="41" t="s">
        <v>226</v>
      </c>
      <c r="C315" s="87" t="str">
        <f aca="false">IF(AND(Übungen!$J$5&lt;&gt;"",'Reha-Modus'!$B$4&lt;&gt;"",'Reha-Modus'!$B$4&lt;Übungen!$J$5),"",IF(IFERROR(INDEX(Rekorde!$N$4:$N$17,MATCH(Übungen!$A$5,Rekorde!$A$4:$A$17,0)),"")="","",ROUND(IFERROR(INDEX(Rekorde!$N$4:$N$17,MATCH(Übungen!$A$5,Rekorde!$A$4:$A$17,0)),"")*0.7*2,0)/2))</f>
        <v/>
      </c>
      <c r="D315" s="88"/>
      <c r="E315" s="88"/>
      <c r="F315" s="88"/>
      <c r="G315" s="88"/>
      <c r="H315" s="88"/>
    </row>
    <row r="316" customFormat="false" ht="19.5" hidden="false" customHeight="true" outlineLevel="0" collapsed="false">
      <c r="A316" s="86" t="n">
        <v>3</v>
      </c>
      <c r="B316" s="89" t="s">
        <v>227</v>
      </c>
      <c r="C316" s="87" t="str">
        <f aca="false">IF(AND(Übungen!$J$5&lt;&gt;"",'Reha-Modus'!$B$4&lt;&gt;"",'Reha-Modus'!$B$4&lt;Übungen!$J$5),"",IF(IFERROR(INDEX(Rekorde!$N$4:$N$17,MATCH(Übungen!$A$5,Rekorde!$A$4:$A$17,0)),"")="","",ROUND(IFERROR(INDEX(Rekorde!$N$4:$N$17,MATCH(Übungen!$A$5,Rekorde!$A$4:$A$17,0)),"")*1*2,0)/2))</f>
        <v/>
      </c>
      <c r="D316" s="88"/>
      <c r="E316" s="88"/>
      <c r="F316" s="88"/>
      <c r="G316" s="88"/>
      <c r="H316" s="88"/>
    </row>
    <row r="317" customFormat="false" ht="19.5" hidden="false" customHeight="true" outlineLevel="0" collapsed="false">
      <c r="A317" s="86" t="n">
        <v>4</v>
      </c>
      <c r="B317" s="89" t="s">
        <v>227</v>
      </c>
      <c r="C317" s="87" t="str">
        <f aca="false">IF(AND(Übungen!$J$5&lt;&gt;"",'Reha-Modus'!$B$4&lt;&gt;"",'Reha-Modus'!$B$4&lt;Übungen!$J$5),"",IF(IFERROR(INDEX(Rekorde!$N$4:$N$17,MATCH(Übungen!$A$5,Rekorde!$A$4:$A$17,0)),"")="","",ROUND(IFERROR(INDEX(Rekorde!$N$4:$N$17,MATCH(Übungen!$A$5,Rekorde!$A$4:$A$17,0)),"")*1*2,0)/2))</f>
        <v/>
      </c>
      <c r="D317" s="88"/>
      <c r="E317" s="88"/>
      <c r="F317" s="88"/>
      <c r="G317" s="88"/>
      <c r="H317" s="88"/>
    </row>
    <row r="318" customFormat="false" ht="19.5" hidden="false" customHeight="true" outlineLevel="0" collapsed="false">
      <c r="A318" s="86" t="n">
        <v>5</v>
      </c>
      <c r="B318" s="89" t="s">
        <v>227</v>
      </c>
      <c r="C318" s="87" t="str">
        <f aca="false">IF(AND(Übungen!$J$5&lt;&gt;"",'Reha-Modus'!$B$4&lt;&gt;"",'Reha-Modus'!$B$4&lt;Übungen!$J$5),"",IF(IFERROR(INDEX(Rekorde!$N$4:$N$17,MATCH(Übungen!$A$5,Rekorde!$A$4:$A$17,0)),"")="","",ROUND(IFERROR(INDEX(Rekorde!$N$4:$N$17,MATCH(Übungen!$A$5,Rekorde!$A$4:$A$17,0)),"")*1*2,0)/2))</f>
        <v/>
      </c>
      <c r="D318" s="88"/>
      <c r="E318" s="88"/>
      <c r="F318" s="88"/>
      <c r="G318" s="88"/>
      <c r="H318" s="88"/>
    </row>
    <row r="320" customFormat="false" ht="18.75" hidden="false" customHeight="true" outlineLevel="0" collapsed="false">
      <c r="A320" s="83" t="str">
        <f aca="false">Übungen!$A$6</f>
        <v>Beinstrecker</v>
      </c>
      <c r="B320" s="83"/>
      <c r="C320" s="83"/>
      <c r="D320" s="83"/>
      <c r="E320" s="83"/>
      <c r="F320" s="83"/>
      <c r="G320" s="83"/>
      <c r="H320" s="83"/>
    </row>
    <row r="321" customFormat="false" ht="15" hidden="false" customHeight="true" outlineLevel="0" collapsed="false">
      <c r="A321"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f>
        <v>Zuletzt: 80 kg × 12 Wdh     ·     Bestwert: 85 kg     ·     Ziel heute: 82 kg     ·     Vorgabe: 3 × 12-15 Wdh @ RPE 9</v>
      </c>
      <c r="B321" s="84"/>
      <c r="C321" s="84"/>
      <c r="D321" s="84"/>
      <c r="E321" s="84"/>
      <c r="F321" s="84"/>
      <c r="G321" s="84"/>
      <c r="H321" s="84"/>
    </row>
    <row r="322" customFormat="false" ht="13.5" hidden="false" customHeight="true" outlineLevel="0" collapsed="false">
      <c r="A322" s="85" t="s">
        <v>291</v>
      </c>
      <c r="B322" s="85" t="s">
        <v>292</v>
      </c>
      <c r="C322" s="85" t="s">
        <v>293</v>
      </c>
      <c r="D322" s="85" t="s">
        <v>294</v>
      </c>
      <c r="E322" s="85" t="s">
        <v>221</v>
      </c>
      <c r="F322" s="85" t="s">
        <v>46</v>
      </c>
      <c r="G322" s="85" t="s">
        <v>295</v>
      </c>
      <c r="H322" s="85" t="s">
        <v>213</v>
      </c>
    </row>
    <row r="323" customFormat="false" ht="19.5" hidden="false" customHeight="true" outlineLevel="0" collapsed="false">
      <c r="A323" s="86" t="n">
        <v>1</v>
      </c>
      <c r="B323" s="41" t="s">
        <v>226</v>
      </c>
      <c r="C323" s="87" t="n">
        <f aca="false">IF(AND(Übungen!$J$6&lt;&gt;"",'Reha-Modus'!$B$4&lt;&gt;"",'Reha-Modus'!$B$4&lt;Übungen!$J$6),"",IF(IFERROR(INDEX(Rekorde!$N$4:$N$17,MATCH(Übungen!$A$6,Rekorde!$A$4:$A$17,0)),"")="","",ROUND(IFERROR(INDEX(Rekorde!$N$4:$N$17,MATCH(Übungen!$A$6,Rekorde!$A$4:$A$17,0)),"")*0.45*2,0)/2))</f>
        <v>37</v>
      </c>
      <c r="D323" s="88"/>
      <c r="E323" s="88"/>
      <c r="F323" s="88"/>
      <c r="G323" s="88"/>
      <c r="H323" s="88"/>
    </row>
    <row r="324" customFormat="false" ht="19.5" hidden="false" customHeight="true" outlineLevel="0" collapsed="false">
      <c r="A324" s="86" t="n">
        <v>2</v>
      </c>
      <c r="B324" s="41" t="s">
        <v>226</v>
      </c>
      <c r="C324" s="87" t="n">
        <f aca="false">IF(AND(Übungen!$J$6&lt;&gt;"",'Reha-Modus'!$B$4&lt;&gt;"",'Reha-Modus'!$B$4&lt;Übungen!$J$6),"",IF(IFERROR(INDEX(Rekorde!$N$4:$N$17,MATCH(Übungen!$A$6,Rekorde!$A$4:$A$17,0)),"")="","",ROUND(IFERROR(INDEX(Rekorde!$N$4:$N$17,MATCH(Übungen!$A$6,Rekorde!$A$4:$A$17,0)),"")*0.7*2,0)/2))</f>
        <v>57.5</v>
      </c>
      <c r="D324" s="88"/>
      <c r="E324" s="88"/>
      <c r="F324" s="88"/>
      <c r="G324" s="88"/>
      <c r="H324" s="88"/>
    </row>
    <row r="325" customFormat="false" ht="19.5" hidden="false" customHeight="true" outlineLevel="0" collapsed="false">
      <c r="A325" s="86" t="n">
        <v>3</v>
      </c>
      <c r="B325" s="89" t="s">
        <v>227</v>
      </c>
      <c r="C325" s="87" t="n">
        <f aca="false">IF(AND(Übungen!$J$6&lt;&gt;"",'Reha-Modus'!$B$4&lt;&gt;"",'Reha-Modus'!$B$4&lt;Übungen!$J$6),"",IF(IFERROR(INDEX(Rekorde!$N$4:$N$17,MATCH(Übungen!$A$6,Rekorde!$A$4:$A$17,0)),"")="","",ROUND(IFERROR(INDEX(Rekorde!$N$4:$N$17,MATCH(Übungen!$A$6,Rekorde!$A$4:$A$17,0)),"")*1*2,0)/2))</f>
        <v>82</v>
      </c>
      <c r="D325" s="88"/>
      <c r="E325" s="88"/>
      <c r="F325" s="88"/>
      <c r="G325" s="88"/>
      <c r="H325" s="88"/>
    </row>
    <row r="326" customFormat="false" ht="19.5" hidden="false" customHeight="true" outlineLevel="0" collapsed="false">
      <c r="A326" s="86" t="n">
        <v>4</v>
      </c>
      <c r="B326" s="89" t="s">
        <v>227</v>
      </c>
      <c r="C326" s="87" t="n">
        <f aca="false">IF(AND(Übungen!$J$6&lt;&gt;"",'Reha-Modus'!$B$4&lt;&gt;"",'Reha-Modus'!$B$4&lt;Übungen!$J$6),"",IF(IFERROR(INDEX(Rekorde!$N$4:$N$17,MATCH(Übungen!$A$6,Rekorde!$A$4:$A$17,0)),"")="","",ROUND(IFERROR(INDEX(Rekorde!$N$4:$N$17,MATCH(Übungen!$A$6,Rekorde!$A$4:$A$17,0)),"")*1*2,0)/2))</f>
        <v>82</v>
      </c>
      <c r="D326" s="88"/>
      <c r="E326" s="88"/>
      <c r="F326" s="88"/>
      <c r="G326" s="88"/>
      <c r="H326" s="88"/>
    </row>
    <row r="327" customFormat="false" ht="19.5" hidden="false" customHeight="true" outlineLevel="0" collapsed="false">
      <c r="A327" s="86" t="n">
        <v>5</v>
      </c>
      <c r="B327" s="41" t="s">
        <v>228</v>
      </c>
      <c r="C327" s="90"/>
      <c r="D327" s="88"/>
      <c r="E327" s="88"/>
      <c r="F327" s="88"/>
      <c r="G327" s="88"/>
      <c r="H327" s="88"/>
    </row>
    <row r="329" customFormat="false" ht="18.75" hidden="false" customHeight="true" outlineLevel="0" collapsed="false">
      <c r="A329" s="83" t="str">
        <f aca="false">Übungen!$A$7</f>
        <v>Adduktion</v>
      </c>
      <c r="B329" s="83"/>
      <c r="C329" s="83"/>
      <c r="D329" s="83"/>
      <c r="E329" s="83"/>
      <c r="F329" s="83"/>
      <c r="G329" s="83"/>
      <c r="H329" s="83"/>
    </row>
    <row r="330" customFormat="false" ht="15" hidden="false" customHeight="true" outlineLevel="0" collapsed="false">
      <c r="A330"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f>
        <v>Zuletzt: 152.5 kg × 25 Wdh     ·     Bestwert: 152.5 kg     ·     Ziel heute: 152.5 kg     ·     Stackende, über Tempo und Pausen steigern     ·     Vorgabe: 3 × 15-20 Wdh @ RPE 9</v>
      </c>
      <c r="B330" s="84"/>
      <c r="C330" s="84"/>
      <c r="D330" s="84"/>
      <c r="E330" s="84"/>
      <c r="F330" s="84"/>
      <c r="G330" s="84"/>
      <c r="H330" s="84"/>
    </row>
    <row r="331" customFormat="false" ht="13.5" hidden="false" customHeight="true" outlineLevel="0" collapsed="false">
      <c r="A331" s="85" t="s">
        <v>291</v>
      </c>
      <c r="B331" s="85" t="s">
        <v>292</v>
      </c>
      <c r="C331" s="85" t="s">
        <v>293</v>
      </c>
      <c r="D331" s="85" t="s">
        <v>294</v>
      </c>
      <c r="E331" s="85" t="s">
        <v>221</v>
      </c>
      <c r="F331" s="85" t="s">
        <v>46</v>
      </c>
      <c r="G331" s="85" t="s">
        <v>295</v>
      </c>
      <c r="H331" s="85" t="s">
        <v>213</v>
      </c>
    </row>
    <row r="332" customFormat="false" ht="19.5" hidden="false" customHeight="true" outlineLevel="0" collapsed="false">
      <c r="A332" s="86" t="n">
        <v>1</v>
      </c>
      <c r="B332" s="41" t="s">
        <v>226</v>
      </c>
      <c r="C332" s="87" t="n">
        <f aca="false">IF(AND(Übungen!$J$7&lt;&gt;"",'Reha-Modus'!$B$4&lt;&gt;"",'Reha-Modus'!$B$4&lt;Übungen!$J$7),"",IF(IFERROR(INDEX(Rekorde!$N$4:$N$17,MATCH(Übungen!$A$7,Rekorde!$A$4:$A$17,0)),"")="","",ROUND(IFERROR(INDEX(Rekorde!$N$4:$N$17,MATCH(Übungen!$A$7,Rekorde!$A$4:$A$17,0)),"")*0.45*2,0)/2))</f>
        <v>68.5</v>
      </c>
      <c r="D332" s="88"/>
      <c r="E332" s="88"/>
      <c r="F332" s="88"/>
      <c r="G332" s="88"/>
      <c r="H332" s="88"/>
    </row>
    <row r="333" customFormat="false" ht="19.5" hidden="false" customHeight="true" outlineLevel="0" collapsed="false">
      <c r="A333" s="86" t="n">
        <v>2</v>
      </c>
      <c r="B333" s="41" t="s">
        <v>226</v>
      </c>
      <c r="C333" s="87" t="n">
        <f aca="false">IF(AND(Übungen!$J$7&lt;&gt;"",'Reha-Modus'!$B$4&lt;&gt;"",'Reha-Modus'!$B$4&lt;Übungen!$J$7),"",IF(IFERROR(INDEX(Rekorde!$N$4:$N$17,MATCH(Übungen!$A$7,Rekorde!$A$4:$A$17,0)),"")="","",ROUND(IFERROR(INDEX(Rekorde!$N$4:$N$17,MATCH(Übungen!$A$7,Rekorde!$A$4:$A$17,0)),"")*0.7*2,0)/2))</f>
        <v>107</v>
      </c>
      <c r="D333" s="88"/>
      <c r="E333" s="88"/>
      <c r="F333" s="88"/>
      <c r="G333" s="88"/>
      <c r="H333" s="88"/>
    </row>
    <row r="334" customFormat="false" ht="19.5" hidden="false" customHeight="true" outlineLevel="0" collapsed="false">
      <c r="A334" s="86" t="n">
        <v>3</v>
      </c>
      <c r="B334" s="89" t="s">
        <v>227</v>
      </c>
      <c r="C334" s="87" t="n">
        <f aca="false">IF(AND(Übungen!$J$7&lt;&gt;"",'Reha-Modus'!$B$4&lt;&gt;"",'Reha-Modus'!$B$4&lt;Übungen!$J$7),"",IF(IFERROR(INDEX(Rekorde!$N$4:$N$17,MATCH(Übungen!$A$7,Rekorde!$A$4:$A$17,0)),"")="","",ROUND(IFERROR(INDEX(Rekorde!$N$4:$N$17,MATCH(Übungen!$A$7,Rekorde!$A$4:$A$17,0)),"")*1*2,0)/2))</f>
        <v>152.5</v>
      </c>
      <c r="D334" s="88"/>
      <c r="E334" s="88"/>
      <c r="F334" s="88"/>
      <c r="G334" s="88"/>
      <c r="H334" s="88"/>
    </row>
    <row r="335" customFormat="false" ht="19.5" hidden="false" customHeight="true" outlineLevel="0" collapsed="false">
      <c r="A335" s="86" t="n">
        <v>4</v>
      </c>
      <c r="B335" s="89" t="s">
        <v>227</v>
      </c>
      <c r="C335" s="87" t="n">
        <f aca="false">IF(AND(Übungen!$J$7&lt;&gt;"",'Reha-Modus'!$B$4&lt;&gt;"",'Reha-Modus'!$B$4&lt;Übungen!$J$7),"",IF(IFERROR(INDEX(Rekorde!$N$4:$N$17,MATCH(Übungen!$A$7,Rekorde!$A$4:$A$17,0)),"")="","",ROUND(IFERROR(INDEX(Rekorde!$N$4:$N$17,MATCH(Übungen!$A$7,Rekorde!$A$4:$A$17,0)),"")*1*2,0)/2))</f>
        <v>152.5</v>
      </c>
      <c r="D335" s="88"/>
      <c r="E335" s="88"/>
      <c r="F335" s="88"/>
      <c r="G335" s="88"/>
      <c r="H335" s="88"/>
    </row>
    <row r="336" customFormat="false" ht="19.5" hidden="false" customHeight="true" outlineLevel="0" collapsed="false">
      <c r="A336" s="86" t="n">
        <v>5</v>
      </c>
      <c r="B336" s="41" t="s">
        <v>228</v>
      </c>
      <c r="C336" s="90"/>
      <c r="D336" s="88"/>
      <c r="E336" s="88"/>
      <c r="F336" s="88"/>
      <c r="G336" s="88"/>
      <c r="H336" s="88"/>
    </row>
    <row r="338" customFormat="false" ht="15.75" hidden="false" customHeight="true" outlineLevel="0" collapsed="false">
      <c r="A338" s="3" t="s">
        <v>296</v>
      </c>
      <c r="B338" s="3"/>
      <c r="C338" s="3"/>
      <c r="D338" s="3"/>
      <c r="E338" s="3"/>
      <c r="F338" s="3"/>
      <c r="G338" s="3"/>
      <c r="H338" s="3"/>
    </row>
    <row r="339" customFormat="false" ht="18" hidden="false" customHeight="true" outlineLevel="0" collapsed="false">
      <c r="A339" s="91"/>
      <c r="B339" s="91"/>
      <c r="C339" s="91"/>
      <c r="D339" s="91"/>
      <c r="E339" s="91"/>
      <c r="F339" s="91"/>
      <c r="G339" s="91"/>
      <c r="H339" s="91"/>
    </row>
    <row r="340" customFormat="false" ht="18" hidden="false" customHeight="true" outlineLevel="0" collapsed="false">
      <c r="A340" s="91"/>
      <c r="B340" s="91"/>
      <c r="C340" s="91"/>
      <c r="D340" s="91"/>
      <c r="E340" s="91"/>
      <c r="F340" s="91"/>
      <c r="G340" s="91"/>
      <c r="H340" s="91"/>
    </row>
    <row r="341" customFormat="false" ht="18" hidden="false" customHeight="true" outlineLevel="0" collapsed="false">
      <c r="A341" s="91"/>
      <c r="B341" s="91"/>
      <c r="C341" s="91"/>
      <c r="D341" s="91"/>
      <c r="E341" s="91"/>
      <c r="F341" s="91"/>
      <c r="G341" s="91"/>
      <c r="H341" s="91"/>
    </row>
    <row r="343" customFormat="false" ht="27.75" hidden="false" customHeight="true" outlineLevel="0" collapsed="false">
      <c r="A343" s="1" t="s">
        <v>303</v>
      </c>
      <c r="B343" s="1"/>
      <c r="C343" s="1"/>
      <c r="D343" s="1"/>
      <c r="E343" s="1"/>
      <c r="F343" s="1"/>
      <c r="G343" s="1"/>
      <c r="H343" s="1"/>
    </row>
    <row r="344" customFormat="false" ht="12.75" hidden="false" customHeight="true" outlineLevel="0" collapsed="false">
      <c r="A344" s="80" t="s">
        <v>61</v>
      </c>
      <c r="B344" s="80"/>
      <c r="C344" s="81" t="s">
        <v>287</v>
      </c>
      <c r="D344" s="81" t="s">
        <v>288</v>
      </c>
      <c r="E344" s="80" t="s">
        <v>289</v>
      </c>
      <c r="F344" s="80"/>
      <c r="G344" s="80" t="s">
        <v>290</v>
      </c>
      <c r="H344" s="80"/>
    </row>
    <row r="345" customFormat="false" ht="19.5" hidden="false" customHeight="true" outlineLevel="0" collapsed="false">
      <c r="A345" s="82"/>
      <c r="B345" s="82"/>
      <c r="C345" s="82"/>
      <c r="D345" s="82"/>
      <c r="E345" s="82"/>
      <c r="F345" s="82"/>
      <c r="G345" s="82"/>
      <c r="H345" s="82"/>
    </row>
    <row r="347" customFormat="false" ht="18.75" hidden="false" customHeight="true" outlineLevel="0" collapsed="false">
      <c r="A347" s="83" t="str">
        <f aca="false">Übungen!$A$8</f>
        <v>Rumänisches Kreuzheben</v>
      </c>
      <c r="B347" s="83"/>
      <c r="C347" s="83"/>
      <c r="D347" s="83"/>
      <c r="E347" s="83"/>
      <c r="F347" s="83"/>
      <c r="G347" s="83"/>
      <c r="H347" s="83"/>
    </row>
    <row r="348" customFormat="false" ht="15" hidden="false" customHeight="true" outlineLevel="0" collapsed="false">
      <c r="A348"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f>
        <v>GESPERRT bis Woche 12 nach OP     ·     Ersatz: Beinbeuger sitzend, Rückenstrecker mit vor der Brust gekreuzten Armen, Kabel-RDL mit Hüftgurt     ·     Vorgabe: 3 × 8-10 Wdh @ RPE 8</v>
      </c>
      <c r="B348" s="84"/>
      <c r="C348" s="84"/>
      <c r="D348" s="84"/>
      <c r="E348" s="84"/>
      <c r="F348" s="84"/>
      <c r="G348" s="84"/>
      <c r="H348" s="84"/>
    </row>
    <row r="349" customFormat="false" ht="13.5" hidden="false" customHeight="true" outlineLevel="0" collapsed="false">
      <c r="A349" s="85" t="s">
        <v>291</v>
      </c>
      <c r="B349" s="85" t="s">
        <v>292</v>
      </c>
      <c r="C349" s="85" t="s">
        <v>293</v>
      </c>
      <c r="D349" s="85" t="s">
        <v>294</v>
      </c>
      <c r="E349" s="85" t="s">
        <v>221</v>
      </c>
      <c r="F349" s="85" t="s">
        <v>46</v>
      </c>
      <c r="G349" s="85" t="s">
        <v>295</v>
      </c>
      <c r="H349" s="85" t="s">
        <v>213</v>
      </c>
    </row>
    <row r="350" customFormat="false" ht="19.5" hidden="false" customHeight="true" outlineLevel="0" collapsed="false">
      <c r="A350" s="86" t="n">
        <v>1</v>
      </c>
      <c r="B350" s="41" t="s">
        <v>226</v>
      </c>
      <c r="C350" s="87" t="str">
        <f aca="false">IF(AND(Übungen!$J$8&lt;&gt;"",'Reha-Modus'!$B$4&lt;&gt;"",'Reha-Modus'!$B$4&lt;Übungen!$J$8),"",IF(IFERROR(INDEX(Rekorde!$N$4:$N$17,MATCH(Übungen!$A$8,Rekorde!$A$4:$A$17,0)),"")="","",ROUND(IFERROR(INDEX(Rekorde!$N$4:$N$17,MATCH(Übungen!$A$8,Rekorde!$A$4:$A$17,0)),"")*0.45*2,0)/2))</f>
        <v/>
      </c>
      <c r="D350" s="88"/>
      <c r="E350" s="88"/>
      <c r="F350" s="88"/>
      <c r="G350" s="88"/>
      <c r="H350" s="88"/>
    </row>
    <row r="351" customFormat="false" ht="19.5" hidden="false" customHeight="true" outlineLevel="0" collapsed="false">
      <c r="A351" s="86" t="n">
        <v>2</v>
      </c>
      <c r="B351" s="41" t="s">
        <v>226</v>
      </c>
      <c r="C351" s="87" t="str">
        <f aca="false">IF(AND(Übungen!$J$8&lt;&gt;"",'Reha-Modus'!$B$4&lt;&gt;"",'Reha-Modus'!$B$4&lt;Übungen!$J$8),"",IF(IFERROR(INDEX(Rekorde!$N$4:$N$17,MATCH(Übungen!$A$8,Rekorde!$A$4:$A$17,0)),"")="","",ROUND(IFERROR(INDEX(Rekorde!$N$4:$N$17,MATCH(Übungen!$A$8,Rekorde!$A$4:$A$17,0)),"")*0.7*2,0)/2))</f>
        <v/>
      </c>
      <c r="D351" s="88"/>
      <c r="E351" s="88"/>
      <c r="F351" s="88"/>
      <c r="G351" s="88"/>
      <c r="H351" s="88"/>
    </row>
    <row r="352" customFormat="false" ht="19.5" hidden="false" customHeight="true" outlineLevel="0" collapsed="false">
      <c r="A352" s="86" t="n">
        <v>3</v>
      </c>
      <c r="B352" s="89" t="s">
        <v>227</v>
      </c>
      <c r="C352" s="87" t="str">
        <f aca="false">IF(AND(Übungen!$J$8&lt;&gt;"",'Reha-Modus'!$B$4&lt;&gt;"",'Reha-Modus'!$B$4&lt;Übungen!$J$8),"",IF(IFERROR(INDEX(Rekorde!$N$4:$N$17,MATCH(Übungen!$A$8,Rekorde!$A$4:$A$17,0)),"")="","",ROUND(IFERROR(INDEX(Rekorde!$N$4:$N$17,MATCH(Übungen!$A$8,Rekorde!$A$4:$A$17,0)),"")*1*2,0)/2))</f>
        <v/>
      </c>
      <c r="D352" s="88"/>
      <c r="E352" s="88"/>
      <c r="F352" s="88"/>
      <c r="G352" s="88"/>
      <c r="H352" s="88"/>
    </row>
    <row r="353" customFormat="false" ht="19.5" hidden="false" customHeight="true" outlineLevel="0" collapsed="false">
      <c r="A353" s="86" t="n">
        <v>4</v>
      </c>
      <c r="B353" s="89" t="s">
        <v>227</v>
      </c>
      <c r="C353" s="87" t="str">
        <f aca="false">IF(AND(Übungen!$J$8&lt;&gt;"",'Reha-Modus'!$B$4&lt;&gt;"",'Reha-Modus'!$B$4&lt;Übungen!$J$8),"",IF(IFERROR(INDEX(Rekorde!$N$4:$N$17,MATCH(Übungen!$A$8,Rekorde!$A$4:$A$17,0)),"")="","",ROUND(IFERROR(INDEX(Rekorde!$N$4:$N$17,MATCH(Übungen!$A$8,Rekorde!$A$4:$A$17,0)),"")*1*2,0)/2))</f>
        <v/>
      </c>
      <c r="D353" s="88"/>
      <c r="E353" s="88"/>
      <c r="F353" s="88"/>
      <c r="G353" s="88"/>
      <c r="H353" s="88"/>
    </row>
    <row r="354" customFormat="false" ht="19.5" hidden="false" customHeight="true" outlineLevel="0" collapsed="false">
      <c r="A354" s="86" t="n">
        <v>5</v>
      </c>
      <c r="B354" s="89" t="s">
        <v>227</v>
      </c>
      <c r="C354" s="87" t="str">
        <f aca="false">IF(AND(Übungen!$J$8&lt;&gt;"",'Reha-Modus'!$B$4&lt;&gt;"",'Reha-Modus'!$B$4&lt;Übungen!$J$8),"",IF(IFERROR(INDEX(Rekorde!$N$4:$N$17,MATCH(Übungen!$A$8,Rekorde!$A$4:$A$17,0)),"")="","",ROUND(IFERROR(INDEX(Rekorde!$N$4:$N$17,MATCH(Übungen!$A$8,Rekorde!$A$4:$A$17,0)),"")*1*2,0)/2))</f>
        <v/>
      </c>
      <c r="D354" s="88"/>
      <c r="E354" s="88"/>
      <c r="F354" s="88"/>
      <c r="G354" s="88"/>
      <c r="H354" s="88"/>
    </row>
    <row r="356" customFormat="false" ht="18.75" hidden="false" customHeight="true" outlineLevel="0" collapsed="false">
      <c r="A356" s="83" t="str">
        <f aca="false">Übungen!$A$9</f>
        <v>Hip Thrust</v>
      </c>
      <c r="B356" s="83"/>
      <c r="C356" s="83"/>
      <c r="D356" s="83"/>
      <c r="E356" s="83"/>
      <c r="F356" s="83"/>
      <c r="G356" s="83"/>
      <c r="H356" s="83"/>
    </row>
    <row r="357" customFormat="false" ht="15" hidden="false" customHeight="true" outlineLevel="0" collapsed="false">
      <c r="A357"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f>
        <v>GESPERRT bis Woche 4 nach OP     ·     Ersatz: Hip Thrust Maschine mit Polster ab Woche 2     ·     Vorgabe: 3 × 8-12 Wdh @ RPE 8-9</v>
      </c>
      <c r="B357" s="84"/>
      <c r="C357" s="84"/>
      <c r="D357" s="84"/>
      <c r="E357" s="84"/>
      <c r="F357" s="84"/>
      <c r="G357" s="84"/>
      <c r="H357" s="84"/>
    </row>
    <row r="358" customFormat="false" ht="13.5" hidden="false" customHeight="true" outlineLevel="0" collapsed="false">
      <c r="A358" s="85" t="s">
        <v>291</v>
      </c>
      <c r="B358" s="85" t="s">
        <v>292</v>
      </c>
      <c r="C358" s="85" t="s">
        <v>293</v>
      </c>
      <c r="D358" s="85" t="s">
        <v>294</v>
      </c>
      <c r="E358" s="85" t="s">
        <v>221</v>
      </c>
      <c r="F358" s="85" t="s">
        <v>46</v>
      </c>
      <c r="G358" s="85" t="s">
        <v>295</v>
      </c>
      <c r="H358" s="85" t="s">
        <v>213</v>
      </c>
    </row>
    <row r="359" customFormat="false" ht="19.5" hidden="false" customHeight="true" outlineLevel="0" collapsed="false">
      <c r="A359" s="86" t="n">
        <v>1</v>
      </c>
      <c r="B359" s="41" t="s">
        <v>226</v>
      </c>
      <c r="C359" s="87" t="str">
        <f aca="false">IF(AND(Übungen!$J$9&lt;&gt;"",'Reha-Modus'!$B$4&lt;&gt;"",'Reha-Modus'!$B$4&lt;Übungen!$J$9),"",IF(IFERROR(INDEX(Rekorde!$N$4:$N$17,MATCH(Übungen!$A$9,Rekorde!$A$4:$A$17,0)),"")="","",ROUND(IFERROR(INDEX(Rekorde!$N$4:$N$17,MATCH(Übungen!$A$9,Rekorde!$A$4:$A$17,0)),"")*0.45*2,0)/2))</f>
        <v/>
      </c>
      <c r="D359" s="88"/>
      <c r="E359" s="88"/>
      <c r="F359" s="88"/>
      <c r="G359" s="88"/>
      <c r="H359" s="88"/>
    </row>
    <row r="360" customFormat="false" ht="19.5" hidden="false" customHeight="true" outlineLevel="0" collapsed="false">
      <c r="A360" s="86" t="n">
        <v>2</v>
      </c>
      <c r="B360" s="41" t="s">
        <v>226</v>
      </c>
      <c r="C360" s="87" t="str">
        <f aca="false">IF(AND(Übungen!$J$9&lt;&gt;"",'Reha-Modus'!$B$4&lt;&gt;"",'Reha-Modus'!$B$4&lt;Übungen!$J$9),"",IF(IFERROR(INDEX(Rekorde!$N$4:$N$17,MATCH(Übungen!$A$9,Rekorde!$A$4:$A$17,0)),"")="","",ROUND(IFERROR(INDEX(Rekorde!$N$4:$N$17,MATCH(Übungen!$A$9,Rekorde!$A$4:$A$17,0)),"")*0.7*2,0)/2))</f>
        <v/>
      </c>
      <c r="D360" s="88"/>
      <c r="E360" s="88"/>
      <c r="F360" s="88"/>
      <c r="G360" s="88"/>
      <c r="H360" s="88"/>
    </row>
    <row r="361" customFormat="false" ht="19.5" hidden="false" customHeight="true" outlineLevel="0" collapsed="false">
      <c r="A361" s="86" t="n">
        <v>3</v>
      </c>
      <c r="B361" s="89" t="s">
        <v>227</v>
      </c>
      <c r="C361" s="87" t="str">
        <f aca="false">IF(AND(Übungen!$J$9&lt;&gt;"",'Reha-Modus'!$B$4&lt;&gt;"",'Reha-Modus'!$B$4&lt;Übungen!$J$9),"",IF(IFERROR(INDEX(Rekorde!$N$4:$N$17,MATCH(Übungen!$A$9,Rekorde!$A$4:$A$17,0)),"")="","",ROUND(IFERROR(INDEX(Rekorde!$N$4:$N$17,MATCH(Übungen!$A$9,Rekorde!$A$4:$A$17,0)),"")*1*2,0)/2))</f>
        <v/>
      </c>
      <c r="D361" s="88"/>
      <c r="E361" s="88"/>
      <c r="F361" s="88"/>
      <c r="G361" s="88"/>
      <c r="H361" s="88"/>
    </row>
    <row r="362" customFormat="false" ht="19.5" hidden="false" customHeight="true" outlineLevel="0" collapsed="false">
      <c r="A362" s="86" t="n">
        <v>4</v>
      </c>
      <c r="B362" s="89" t="s">
        <v>227</v>
      </c>
      <c r="C362" s="87" t="str">
        <f aca="false">IF(AND(Übungen!$J$9&lt;&gt;"",'Reha-Modus'!$B$4&lt;&gt;"",'Reha-Modus'!$B$4&lt;Übungen!$J$9),"",IF(IFERROR(INDEX(Rekorde!$N$4:$N$17,MATCH(Übungen!$A$9,Rekorde!$A$4:$A$17,0)),"")="","",ROUND(IFERROR(INDEX(Rekorde!$N$4:$N$17,MATCH(Übungen!$A$9,Rekorde!$A$4:$A$17,0)),"")*1*2,0)/2))</f>
        <v/>
      </c>
      <c r="D362" s="88"/>
      <c r="E362" s="88"/>
      <c r="F362" s="88"/>
      <c r="G362" s="88"/>
      <c r="H362" s="88"/>
    </row>
    <row r="363" customFormat="false" ht="19.5" hidden="false" customHeight="true" outlineLevel="0" collapsed="false">
      <c r="A363" s="86" t="n">
        <v>5</v>
      </c>
      <c r="B363" s="89" t="s">
        <v>227</v>
      </c>
      <c r="C363" s="87" t="str">
        <f aca="false">IF(AND(Übungen!$J$9&lt;&gt;"",'Reha-Modus'!$B$4&lt;&gt;"",'Reha-Modus'!$B$4&lt;Übungen!$J$9),"",IF(IFERROR(INDEX(Rekorde!$N$4:$N$17,MATCH(Übungen!$A$9,Rekorde!$A$4:$A$17,0)),"")="","",ROUND(IFERROR(INDEX(Rekorde!$N$4:$N$17,MATCH(Übungen!$A$9,Rekorde!$A$4:$A$17,0)),"")*1*2,0)/2))</f>
        <v/>
      </c>
      <c r="D363" s="88"/>
      <c r="E363" s="88"/>
      <c r="F363" s="88"/>
      <c r="G363" s="88"/>
      <c r="H363" s="88"/>
    </row>
    <row r="365" customFormat="false" ht="18.75" hidden="false" customHeight="true" outlineLevel="0" collapsed="false">
      <c r="A365" s="83" t="str">
        <f aca="false">Übungen!$A$10</f>
        <v>Beinbeuger</v>
      </c>
      <c r="B365" s="83"/>
      <c r="C365" s="83"/>
      <c r="D365" s="83"/>
      <c r="E365" s="83"/>
      <c r="F365" s="83"/>
      <c r="G365" s="83"/>
      <c r="H365" s="83"/>
    </row>
    <row r="366" customFormat="false" ht="15" hidden="false" customHeight="true" outlineLevel="0" collapsed="false">
      <c r="A366"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f>
        <v>Zuletzt: 45 kg × 15 Wdh     ·     Bestwert: 55 kg     ·     Ziel heute: 46 kg     ·     Vorgabe: 3 × 10-12 Wdh @ RPE 9</v>
      </c>
      <c r="B366" s="84"/>
      <c r="C366" s="84"/>
      <c r="D366" s="84"/>
      <c r="E366" s="84"/>
      <c r="F366" s="84"/>
      <c r="G366" s="84"/>
      <c r="H366" s="84"/>
    </row>
    <row r="367" customFormat="false" ht="13.5" hidden="false" customHeight="true" outlineLevel="0" collapsed="false">
      <c r="A367" s="85" t="s">
        <v>291</v>
      </c>
      <c r="B367" s="85" t="s">
        <v>292</v>
      </c>
      <c r="C367" s="85" t="s">
        <v>293</v>
      </c>
      <c r="D367" s="85" t="s">
        <v>294</v>
      </c>
      <c r="E367" s="85" t="s">
        <v>221</v>
      </c>
      <c r="F367" s="85" t="s">
        <v>46</v>
      </c>
      <c r="G367" s="85" t="s">
        <v>295</v>
      </c>
      <c r="H367" s="85" t="s">
        <v>213</v>
      </c>
    </row>
    <row r="368" customFormat="false" ht="19.5" hidden="false" customHeight="true" outlineLevel="0" collapsed="false">
      <c r="A368" s="86" t="n">
        <v>1</v>
      </c>
      <c r="B368" s="41" t="s">
        <v>226</v>
      </c>
      <c r="C368" s="87" t="n">
        <f aca="false">IF(AND(Übungen!$J$10&lt;&gt;"",'Reha-Modus'!$B$4&lt;&gt;"",'Reha-Modus'!$B$4&lt;Übungen!$J$10),"",IF(IFERROR(INDEX(Rekorde!$N$4:$N$17,MATCH(Übungen!$A$10,Rekorde!$A$4:$A$17,0)),"")="","",ROUND(IFERROR(INDEX(Rekorde!$N$4:$N$17,MATCH(Übungen!$A$10,Rekorde!$A$4:$A$17,0)),"")*0.45*2,0)/2))</f>
        <v>20.5</v>
      </c>
      <c r="D368" s="88"/>
      <c r="E368" s="88"/>
      <c r="F368" s="88"/>
      <c r="G368" s="88"/>
      <c r="H368" s="88"/>
    </row>
    <row r="369" customFormat="false" ht="19.5" hidden="false" customHeight="true" outlineLevel="0" collapsed="false">
      <c r="A369" s="86" t="n">
        <v>2</v>
      </c>
      <c r="B369" s="41" t="s">
        <v>226</v>
      </c>
      <c r="C369" s="87" t="n">
        <f aca="false">IF(AND(Übungen!$J$10&lt;&gt;"",'Reha-Modus'!$B$4&lt;&gt;"",'Reha-Modus'!$B$4&lt;Übungen!$J$10),"",IF(IFERROR(INDEX(Rekorde!$N$4:$N$17,MATCH(Übungen!$A$10,Rekorde!$A$4:$A$17,0)),"")="","",ROUND(IFERROR(INDEX(Rekorde!$N$4:$N$17,MATCH(Übungen!$A$10,Rekorde!$A$4:$A$17,0)),"")*0.7*2,0)/2))</f>
        <v>32</v>
      </c>
      <c r="D369" s="88"/>
      <c r="E369" s="88"/>
      <c r="F369" s="88"/>
      <c r="G369" s="88"/>
      <c r="H369" s="88"/>
    </row>
    <row r="370" customFormat="false" ht="19.5" hidden="false" customHeight="true" outlineLevel="0" collapsed="false">
      <c r="A370" s="86" t="n">
        <v>3</v>
      </c>
      <c r="B370" s="89" t="s">
        <v>227</v>
      </c>
      <c r="C370" s="87" t="n">
        <f aca="false">IF(AND(Übungen!$J$10&lt;&gt;"",'Reha-Modus'!$B$4&lt;&gt;"",'Reha-Modus'!$B$4&lt;Übungen!$J$10),"",IF(IFERROR(INDEX(Rekorde!$N$4:$N$17,MATCH(Übungen!$A$10,Rekorde!$A$4:$A$17,0)),"")="","",ROUND(IFERROR(INDEX(Rekorde!$N$4:$N$17,MATCH(Übungen!$A$10,Rekorde!$A$4:$A$17,0)),"")*1*2,0)/2))</f>
        <v>46</v>
      </c>
      <c r="D370" s="88"/>
      <c r="E370" s="88"/>
      <c r="F370" s="88"/>
      <c r="G370" s="88"/>
      <c r="H370" s="88"/>
    </row>
    <row r="371" customFormat="false" ht="19.5" hidden="false" customHeight="true" outlineLevel="0" collapsed="false">
      <c r="A371" s="86" t="n">
        <v>4</v>
      </c>
      <c r="B371" s="89" t="s">
        <v>227</v>
      </c>
      <c r="C371" s="87" t="n">
        <f aca="false">IF(AND(Übungen!$J$10&lt;&gt;"",'Reha-Modus'!$B$4&lt;&gt;"",'Reha-Modus'!$B$4&lt;Übungen!$J$10),"",IF(IFERROR(INDEX(Rekorde!$N$4:$N$17,MATCH(Übungen!$A$10,Rekorde!$A$4:$A$17,0)),"")="","",ROUND(IFERROR(INDEX(Rekorde!$N$4:$N$17,MATCH(Übungen!$A$10,Rekorde!$A$4:$A$17,0)),"")*1*2,0)/2))</f>
        <v>46</v>
      </c>
      <c r="D371" s="88"/>
      <c r="E371" s="88"/>
      <c r="F371" s="88"/>
      <c r="G371" s="88"/>
      <c r="H371" s="88"/>
    </row>
    <row r="372" customFormat="false" ht="19.5" hidden="false" customHeight="true" outlineLevel="0" collapsed="false">
      <c r="A372" s="86" t="n">
        <v>5</v>
      </c>
      <c r="B372" s="41" t="s">
        <v>228</v>
      </c>
      <c r="C372" s="90"/>
      <c r="D372" s="88"/>
      <c r="E372" s="88"/>
      <c r="F372" s="88"/>
      <c r="G372" s="88"/>
      <c r="H372" s="88"/>
    </row>
    <row r="374" customFormat="false" ht="18.75" hidden="false" customHeight="true" outlineLevel="0" collapsed="false">
      <c r="A374" s="83" t="str">
        <f aca="false">Übungen!$A$11</f>
        <v>Seitliche Kickbacks</v>
      </c>
      <c r="B374" s="83"/>
      <c r="C374" s="83"/>
      <c r="D374" s="83"/>
      <c r="E374" s="83"/>
      <c r="F374" s="83"/>
      <c r="G374" s="83"/>
      <c r="H374" s="83"/>
    </row>
    <row r="375" customFormat="false" ht="15" hidden="false" customHeight="true" outlineLevel="0" collapsed="false">
      <c r="A375"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f>
        <v>GESPERRT bis Woche 2 nach OP     ·     Ersatz: Abduktion an der Maschine im Sitzen     ·     Vorgabe: 3 × 15-20 Wdh @ RPE 9</v>
      </c>
      <c r="B375" s="84"/>
      <c r="C375" s="84"/>
      <c r="D375" s="84"/>
      <c r="E375" s="84"/>
      <c r="F375" s="84"/>
      <c r="G375" s="84"/>
      <c r="H375" s="84"/>
    </row>
    <row r="376" customFormat="false" ht="13.5" hidden="false" customHeight="true" outlineLevel="0" collapsed="false">
      <c r="A376" s="85" t="s">
        <v>291</v>
      </c>
      <c r="B376" s="85" t="s">
        <v>292</v>
      </c>
      <c r="C376" s="85" t="s">
        <v>293</v>
      </c>
      <c r="D376" s="85" t="s">
        <v>294</v>
      </c>
      <c r="E376" s="85" t="s">
        <v>221</v>
      </c>
      <c r="F376" s="85" t="s">
        <v>46</v>
      </c>
      <c r="G376" s="85" t="s">
        <v>295</v>
      </c>
      <c r="H376" s="85" t="s">
        <v>213</v>
      </c>
    </row>
    <row r="377" customFormat="false" ht="19.5" hidden="false" customHeight="true" outlineLevel="0" collapsed="false">
      <c r="A377" s="86" t="n">
        <v>1</v>
      </c>
      <c r="B377" s="41" t="s">
        <v>226</v>
      </c>
      <c r="C377" s="87" t="str">
        <f aca="false">IF(AND(Übungen!$J$11&lt;&gt;"",'Reha-Modus'!$B$4&lt;&gt;"",'Reha-Modus'!$B$4&lt;Übungen!$J$11),"",IF(IFERROR(INDEX(Rekorde!$N$4:$N$17,MATCH(Übungen!$A$11,Rekorde!$A$4:$A$17,0)),"")="","",ROUND(IFERROR(INDEX(Rekorde!$N$4:$N$17,MATCH(Übungen!$A$11,Rekorde!$A$4:$A$17,0)),"")*0.45*2,0)/2))</f>
        <v/>
      </c>
      <c r="D377" s="88"/>
      <c r="E377" s="88"/>
      <c r="F377" s="88"/>
      <c r="G377" s="88"/>
      <c r="H377" s="88"/>
    </row>
    <row r="378" customFormat="false" ht="19.5" hidden="false" customHeight="true" outlineLevel="0" collapsed="false">
      <c r="A378" s="86" t="n">
        <v>2</v>
      </c>
      <c r="B378" s="41" t="s">
        <v>226</v>
      </c>
      <c r="C378" s="87" t="str">
        <f aca="false">IF(AND(Übungen!$J$11&lt;&gt;"",'Reha-Modus'!$B$4&lt;&gt;"",'Reha-Modus'!$B$4&lt;Übungen!$J$11),"",IF(IFERROR(INDEX(Rekorde!$N$4:$N$17,MATCH(Übungen!$A$11,Rekorde!$A$4:$A$17,0)),"")="","",ROUND(IFERROR(INDEX(Rekorde!$N$4:$N$17,MATCH(Übungen!$A$11,Rekorde!$A$4:$A$17,0)),"")*0.7*2,0)/2))</f>
        <v/>
      </c>
      <c r="D378" s="88"/>
      <c r="E378" s="88"/>
      <c r="F378" s="88"/>
      <c r="G378" s="88"/>
      <c r="H378" s="88"/>
    </row>
    <row r="379" customFormat="false" ht="19.5" hidden="false" customHeight="true" outlineLevel="0" collapsed="false">
      <c r="A379" s="86" t="n">
        <v>3</v>
      </c>
      <c r="B379" s="89" t="s">
        <v>227</v>
      </c>
      <c r="C379" s="87" t="str">
        <f aca="false">IF(AND(Übungen!$J$11&lt;&gt;"",'Reha-Modus'!$B$4&lt;&gt;"",'Reha-Modus'!$B$4&lt;Übungen!$J$11),"",IF(IFERROR(INDEX(Rekorde!$N$4:$N$17,MATCH(Übungen!$A$11,Rekorde!$A$4:$A$17,0)),"")="","",ROUND(IFERROR(INDEX(Rekorde!$N$4:$N$17,MATCH(Übungen!$A$11,Rekorde!$A$4:$A$17,0)),"")*1*2,0)/2))</f>
        <v/>
      </c>
      <c r="D379" s="88"/>
      <c r="E379" s="88"/>
      <c r="F379" s="88"/>
      <c r="G379" s="88"/>
      <c r="H379" s="88"/>
    </row>
    <row r="380" customFormat="false" ht="19.5" hidden="false" customHeight="true" outlineLevel="0" collapsed="false">
      <c r="A380" s="86" t="n">
        <v>4</v>
      </c>
      <c r="B380" s="89" t="s">
        <v>227</v>
      </c>
      <c r="C380" s="87" t="str">
        <f aca="false">IF(AND(Übungen!$J$11&lt;&gt;"",'Reha-Modus'!$B$4&lt;&gt;"",'Reha-Modus'!$B$4&lt;Übungen!$J$11),"",IF(IFERROR(INDEX(Rekorde!$N$4:$N$17,MATCH(Übungen!$A$11,Rekorde!$A$4:$A$17,0)),"")="","",ROUND(IFERROR(INDEX(Rekorde!$N$4:$N$17,MATCH(Übungen!$A$11,Rekorde!$A$4:$A$17,0)),"")*1*2,0)/2))</f>
        <v/>
      </c>
      <c r="D380" s="88"/>
      <c r="E380" s="88"/>
      <c r="F380" s="88"/>
      <c r="G380" s="88"/>
      <c r="H380" s="88"/>
    </row>
    <row r="381" customFormat="false" ht="19.5" hidden="false" customHeight="true" outlineLevel="0" collapsed="false">
      <c r="A381" s="86" t="n">
        <v>5</v>
      </c>
      <c r="B381" s="89" t="s">
        <v>227</v>
      </c>
      <c r="C381" s="87" t="str">
        <f aca="false">IF(AND(Übungen!$J$11&lt;&gt;"",'Reha-Modus'!$B$4&lt;&gt;"",'Reha-Modus'!$B$4&lt;Übungen!$J$11),"",IF(IFERROR(INDEX(Rekorde!$N$4:$N$17,MATCH(Übungen!$A$11,Rekorde!$A$4:$A$17,0)),"")="","",ROUND(IFERROR(INDEX(Rekorde!$N$4:$N$17,MATCH(Übungen!$A$11,Rekorde!$A$4:$A$17,0)),"")*1*2,0)/2))</f>
        <v/>
      </c>
      <c r="D381" s="88"/>
      <c r="E381" s="88"/>
      <c r="F381" s="88"/>
      <c r="G381" s="88"/>
      <c r="H381" s="88"/>
    </row>
    <row r="383" customFormat="false" ht="18.75" hidden="false" customHeight="true" outlineLevel="0" collapsed="false">
      <c r="A383" s="83" t="str">
        <f aca="false">Übungen!$A$12</f>
        <v>Waden</v>
      </c>
      <c r="B383" s="83"/>
      <c r="C383" s="83"/>
      <c r="D383" s="83"/>
      <c r="E383" s="83"/>
      <c r="F383" s="83"/>
      <c r="G383" s="83"/>
      <c r="H383" s="83"/>
    </row>
    <row r="384" customFormat="false" ht="15" hidden="false" customHeight="true" outlineLevel="0" collapsed="false">
      <c r="A384"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f>
        <v>GESPERRT bis Woche 2 nach OP     ·     Ersatz: Wadenmaschine sitzend ab Woche 1     ·     Vorgabe: 3 × 10-15 Wdh @ RPE 9</v>
      </c>
      <c r="B384" s="84"/>
      <c r="C384" s="84"/>
      <c r="D384" s="84"/>
      <c r="E384" s="84"/>
      <c r="F384" s="84"/>
      <c r="G384" s="84"/>
      <c r="H384" s="84"/>
    </row>
    <row r="385" customFormat="false" ht="13.5" hidden="false" customHeight="true" outlineLevel="0" collapsed="false">
      <c r="A385" s="85" t="s">
        <v>291</v>
      </c>
      <c r="B385" s="85" t="s">
        <v>292</v>
      </c>
      <c r="C385" s="85" t="s">
        <v>293</v>
      </c>
      <c r="D385" s="85" t="s">
        <v>294</v>
      </c>
      <c r="E385" s="85" t="s">
        <v>221</v>
      </c>
      <c r="F385" s="85" t="s">
        <v>46</v>
      </c>
      <c r="G385" s="85" t="s">
        <v>295</v>
      </c>
      <c r="H385" s="85" t="s">
        <v>213</v>
      </c>
    </row>
    <row r="386" customFormat="false" ht="19.5" hidden="false" customHeight="true" outlineLevel="0" collapsed="false">
      <c r="A386" s="86" t="n">
        <v>1</v>
      </c>
      <c r="B386" s="41" t="s">
        <v>226</v>
      </c>
      <c r="C386" s="87" t="str">
        <f aca="false">IF(AND(Übungen!$J$12&lt;&gt;"",'Reha-Modus'!$B$4&lt;&gt;"",'Reha-Modus'!$B$4&lt;Übungen!$J$12),"",IF(IFERROR(INDEX(Rekorde!$N$4:$N$17,MATCH(Übungen!$A$12,Rekorde!$A$4:$A$17,0)),"")="","",ROUND(IFERROR(INDEX(Rekorde!$N$4:$N$17,MATCH(Übungen!$A$12,Rekorde!$A$4:$A$17,0)),"")*0.45*2,0)/2))</f>
        <v/>
      </c>
      <c r="D386" s="88"/>
      <c r="E386" s="88"/>
      <c r="F386" s="88"/>
      <c r="G386" s="88"/>
      <c r="H386" s="88"/>
    </row>
    <row r="387" customFormat="false" ht="19.5" hidden="false" customHeight="true" outlineLevel="0" collapsed="false">
      <c r="A387" s="86" t="n">
        <v>2</v>
      </c>
      <c r="B387" s="41" t="s">
        <v>226</v>
      </c>
      <c r="C387" s="87" t="str">
        <f aca="false">IF(AND(Übungen!$J$12&lt;&gt;"",'Reha-Modus'!$B$4&lt;&gt;"",'Reha-Modus'!$B$4&lt;Übungen!$J$12),"",IF(IFERROR(INDEX(Rekorde!$N$4:$N$17,MATCH(Übungen!$A$12,Rekorde!$A$4:$A$17,0)),"")="","",ROUND(IFERROR(INDEX(Rekorde!$N$4:$N$17,MATCH(Übungen!$A$12,Rekorde!$A$4:$A$17,0)),"")*0.7*2,0)/2))</f>
        <v/>
      </c>
      <c r="D387" s="88"/>
      <c r="E387" s="88"/>
      <c r="F387" s="88"/>
      <c r="G387" s="88"/>
      <c r="H387" s="88"/>
    </row>
    <row r="388" customFormat="false" ht="19.5" hidden="false" customHeight="true" outlineLevel="0" collapsed="false">
      <c r="A388" s="86" t="n">
        <v>3</v>
      </c>
      <c r="B388" s="89" t="s">
        <v>227</v>
      </c>
      <c r="C388" s="87" t="str">
        <f aca="false">IF(AND(Übungen!$J$12&lt;&gt;"",'Reha-Modus'!$B$4&lt;&gt;"",'Reha-Modus'!$B$4&lt;Übungen!$J$12),"",IF(IFERROR(INDEX(Rekorde!$N$4:$N$17,MATCH(Übungen!$A$12,Rekorde!$A$4:$A$17,0)),"")="","",ROUND(IFERROR(INDEX(Rekorde!$N$4:$N$17,MATCH(Übungen!$A$12,Rekorde!$A$4:$A$17,0)),"")*1*2,0)/2))</f>
        <v/>
      </c>
      <c r="D388" s="88"/>
      <c r="E388" s="88"/>
      <c r="F388" s="88"/>
      <c r="G388" s="88"/>
      <c r="H388" s="88"/>
    </row>
    <row r="389" customFormat="false" ht="19.5" hidden="false" customHeight="true" outlineLevel="0" collapsed="false">
      <c r="A389" s="86" t="n">
        <v>4</v>
      </c>
      <c r="B389" s="89" t="s">
        <v>227</v>
      </c>
      <c r="C389" s="87" t="str">
        <f aca="false">IF(AND(Übungen!$J$12&lt;&gt;"",'Reha-Modus'!$B$4&lt;&gt;"",'Reha-Modus'!$B$4&lt;Übungen!$J$12),"",IF(IFERROR(INDEX(Rekorde!$N$4:$N$17,MATCH(Übungen!$A$12,Rekorde!$A$4:$A$17,0)),"")="","",ROUND(IFERROR(INDEX(Rekorde!$N$4:$N$17,MATCH(Übungen!$A$12,Rekorde!$A$4:$A$17,0)),"")*1*2,0)/2))</f>
        <v/>
      </c>
      <c r="D389" s="88"/>
      <c r="E389" s="88"/>
      <c r="F389" s="88"/>
      <c r="G389" s="88"/>
      <c r="H389" s="88"/>
    </row>
    <row r="390" customFormat="false" ht="19.5" hidden="false" customHeight="true" outlineLevel="0" collapsed="false">
      <c r="A390" s="86" t="n">
        <v>5</v>
      </c>
      <c r="B390" s="89" t="s">
        <v>227</v>
      </c>
      <c r="C390" s="87" t="str">
        <f aca="false">IF(AND(Übungen!$J$12&lt;&gt;"",'Reha-Modus'!$B$4&lt;&gt;"",'Reha-Modus'!$B$4&lt;Übungen!$J$12),"",IF(IFERROR(INDEX(Rekorde!$N$4:$N$17,MATCH(Übungen!$A$12,Rekorde!$A$4:$A$17,0)),"")="","",ROUND(IFERROR(INDEX(Rekorde!$N$4:$N$17,MATCH(Übungen!$A$12,Rekorde!$A$4:$A$17,0)),"")*1*2,0)/2))</f>
        <v/>
      </c>
      <c r="D390" s="88"/>
      <c r="E390" s="88"/>
      <c r="F390" s="88"/>
      <c r="G390" s="88"/>
      <c r="H390" s="88"/>
    </row>
    <row r="392" customFormat="false" ht="15.75" hidden="false" customHeight="true" outlineLevel="0" collapsed="false">
      <c r="A392" s="3" t="s">
        <v>296</v>
      </c>
      <c r="B392" s="3"/>
      <c r="C392" s="3"/>
      <c r="D392" s="3"/>
      <c r="E392" s="3"/>
      <c r="F392" s="3"/>
      <c r="G392" s="3"/>
      <c r="H392" s="3"/>
    </row>
    <row r="393" customFormat="false" ht="18" hidden="false" customHeight="true" outlineLevel="0" collapsed="false">
      <c r="A393" s="91"/>
      <c r="B393" s="91"/>
      <c r="C393" s="91"/>
      <c r="D393" s="91"/>
      <c r="E393" s="91"/>
      <c r="F393" s="91"/>
      <c r="G393" s="91"/>
      <c r="H393" s="91"/>
    </row>
    <row r="394" customFormat="false" ht="18" hidden="false" customHeight="true" outlineLevel="0" collapsed="false">
      <c r="A394" s="91"/>
      <c r="B394" s="91"/>
      <c r="C394" s="91"/>
      <c r="D394" s="91"/>
      <c r="E394" s="91"/>
      <c r="F394" s="91"/>
      <c r="G394" s="91"/>
      <c r="H394" s="91"/>
    </row>
    <row r="395" customFormat="false" ht="18" hidden="false" customHeight="true" outlineLevel="0" collapsed="false">
      <c r="A395" s="91"/>
      <c r="B395" s="91"/>
      <c r="C395" s="91"/>
      <c r="D395" s="91"/>
      <c r="E395" s="91"/>
      <c r="F395" s="91"/>
      <c r="G395" s="91"/>
      <c r="H395" s="91"/>
    </row>
  </sheetData>
  <mergeCells count="160">
    <mergeCell ref="A1:H1"/>
    <mergeCell ref="A2:B2"/>
    <mergeCell ref="E2:F2"/>
    <mergeCell ref="G2:H2"/>
    <mergeCell ref="A3:B3"/>
    <mergeCell ref="E3:F3"/>
    <mergeCell ref="G3:H3"/>
    <mergeCell ref="A5:H5"/>
    <mergeCell ref="A6:H6"/>
    <mergeCell ref="A14:H14"/>
    <mergeCell ref="A15:H15"/>
    <mergeCell ref="A23:H23"/>
    <mergeCell ref="A24:H24"/>
    <mergeCell ref="A32:H32"/>
    <mergeCell ref="A33:H33"/>
    <mergeCell ref="A41:H41"/>
    <mergeCell ref="A42:H42"/>
    <mergeCell ref="A43:H43"/>
    <mergeCell ref="A44:H44"/>
    <mergeCell ref="A46:H46"/>
    <mergeCell ref="A47:B47"/>
    <mergeCell ref="E47:F47"/>
    <mergeCell ref="G47:H47"/>
    <mergeCell ref="A48:B48"/>
    <mergeCell ref="E48:F48"/>
    <mergeCell ref="G48:H48"/>
    <mergeCell ref="A50:H50"/>
    <mergeCell ref="A51:H51"/>
    <mergeCell ref="A59:H59"/>
    <mergeCell ref="A60:H60"/>
    <mergeCell ref="A68:H68"/>
    <mergeCell ref="A69:H69"/>
    <mergeCell ref="A77:H77"/>
    <mergeCell ref="A78:H78"/>
    <mergeCell ref="A86:H86"/>
    <mergeCell ref="A87:H87"/>
    <mergeCell ref="A95:H95"/>
    <mergeCell ref="A96:H96"/>
    <mergeCell ref="A97:H97"/>
    <mergeCell ref="A98:H98"/>
    <mergeCell ref="A100:H100"/>
    <mergeCell ref="A101:B101"/>
    <mergeCell ref="E101:F101"/>
    <mergeCell ref="G101:H101"/>
    <mergeCell ref="A102:B102"/>
    <mergeCell ref="E102:F102"/>
    <mergeCell ref="G102:H102"/>
    <mergeCell ref="A104:H104"/>
    <mergeCell ref="A105:H105"/>
    <mergeCell ref="A113:H113"/>
    <mergeCell ref="A114:H114"/>
    <mergeCell ref="A122:H122"/>
    <mergeCell ref="A123:H123"/>
    <mergeCell ref="A131:H131"/>
    <mergeCell ref="A132:H132"/>
    <mergeCell ref="A140:H140"/>
    <mergeCell ref="A141:H141"/>
    <mergeCell ref="A142:H142"/>
    <mergeCell ref="A143:H143"/>
    <mergeCell ref="A145:H145"/>
    <mergeCell ref="A146:B146"/>
    <mergeCell ref="E146:F146"/>
    <mergeCell ref="G146:H146"/>
    <mergeCell ref="A147:B147"/>
    <mergeCell ref="E147:F147"/>
    <mergeCell ref="G147:H147"/>
    <mergeCell ref="A149:H149"/>
    <mergeCell ref="A150:H150"/>
    <mergeCell ref="A158:H158"/>
    <mergeCell ref="A159:H159"/>
    <mergeCell ref="A167:H167"/>
    <mergeCell ref="A168:H168"/>
    <mergeCell ref="A176:H176"/>
    <mergeCell ref="A177:H177"/>
    <mergeCell ref="A185:H185"/>
    <mergeCell ref="A186:H186"/>
    <mergeCell ref="A194:H194"/>
    <mergeCell ref="A195:H195"/>
    <mergeCell ref="A196:H196"/>
    <mergeCell ref="A197:H197"/>
    <mergeCell ref="A199:H199"/>
    <mergeCell ref="A200:B200"/>
    <mergeCell ref="E200:F200"/>
    <mergeCell ref="G200:H200"/>
    <mergeCell ref="A201:B201"/>
    <mergeCell ref="E201:F201"/>
    <mergeCell ref="G201:H201"/>
    <mergeCell ref="A203:H203"/>
    <mergeCell ref="A204:H204"/>
    <mergeCell ref="A212:H212"/>
    <mergeCell ref="A213:H213"/>
    <mergeCell ref="A221:H221"/>
    <mergeCell ref="A222:H222"/>
    <mergeCell ref="A230:H230"/>
    <mergeCell ref="A231:H231"/>
    <mergeCell ref="A239:H239"/>
    <mergeCell ref="A240:H240"/>
    <mergeCell ref="A241:H241"/>
    <mergeCell ref="A242:H242"/>
    <mergeCell ref="A244:H244"/>
    <mergeCell ref="A245:B245"/>
    <mergeCell ref="E245:F245"/>
    <mergeCell ref="G245:H245"/>
    <mergeCell ref="A246:B246"/>
    <mergeCell ref="E246:F246"/>
    <mergeCell ref="G246:H246"/>
    <mergeCell ref="A248:H248"/>
    <mergeCell ref="A249:H249"/>
    <mergeCell ref="A257:H257"/>
    <mergeCell ref="A258:H258"/>
    <mergeCell ref="A266:H266"/>
    <mergeCell ref="A267:H267"/>
    <mergeCell ref="A275:H275"/>
    <mergeCell ref="A276:H276"/>
    <mergeCell ref="A284:H284"/>
    <mergeCell ref="A285:H285"/>
    <mergeCell ref="A293:H293"/>
    <mergeCell ref="A294:H294"/>
    <mergeCell ref="A295:H295"/>
    <mergeCell ref="A296:H296"/>
    <mergeCell ref="A298:H298"/>
    <mergeCell ref="A299:B299"/>
    <mergeCell ref="E299:F299"/>
    <mergeCell ref="G299:H299"/>
    <mergeCell ref="A300:B300"/>
    <mergeCell ref="E300:F300"/>
    <mergeCell ref="G300:H300"/>
    <mergeCell ref="A302:H302"/>
    <mergeCell ref="A303:H303"/>
    <mergeCell ref="A311:H311"/>
    <mergeCell ref="A312:H312"/>
    <mergeCell ref="A320:H320"/>
    <mergeCell ref="A321:H321"/>
    <mergeCell ref="A329:H329"/>
    <mergeCell ref="A330:H330"/>
    <mergeCell ref="A338:H338"/>
    <mergeCell ref="A339:H339"/>
    <mergeCell ref="A340:H340"/>
    <mergeCell ref="A341:H341"/>
    <mergeCell ref="A343:H343"/>
    <mergeCell ref="A344:B344"/>
    <mergeCell ref="E344:F344"/>
    <mergeCell ref="G344:H344"/>
    <mergeCell ref="A345:B345"/>
    <mergeCell ref="E345:F345"/>
    <mergeCell ref="G345:H345"/>
    <mergeCell ref="A347:H347"/>
    <mergeCell ref="A348:H348"/>
    <mergeCell ref="A356:H356"/>
    <mergeCell ref="A357:H357"/>
    <mergeCell ref="A365:H365"/>
    <mergeCell ref="A366:H366"/>
    <mergeCell ref="A374:H374"/>
    <mergeCell ref="A375:H375"/>
    <mergeCell ref="A383:H383"/>
    <mergeCell ref="A384:H384"/>
    <mergeCell ref="A392:H392"/>
    <mergeCell ref="A393:H393"/>
    <mergeCell ref="A394:H394"/>
    <mergeCell ref="A395:H395"/>
  </mergeCells>
  <conditionalFormatting sqref="A1:H395">
    <cfRule type="expression" priority="2" aboveAverage="0" equalAverage="0" bottom="0" percent="0" rank="0" text="" dxfId="14">
      <formula>LEFT($A1,8)="GESPERRT"</formula>
    </cfRule>
  </conditionalFormatting>
  <printOptions headings="false" gridLines="false" gridLinesSet="true" horizontalCentered="true" verticalCentered="false"/>
  <pageMargins left="0.5" right="0.4" top="0.5" bottom="0.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(kg) = Aufwärm-Rampe 45 % / 70 %, dann Zielgewicht aus dem Blatt 'Rekorde'&amp;R&amp;8 &amp;K808080Seite &amp;P von &amp;N</oddFooter>
  </headerFooter>
  <rowBreaks count="7" manualBreakCount="7">
    <brk id="44" man="true" max="16383" min="0"/>
    <brk id="98" man="true" max="16383" min="0"/>
    <brk id="143" man="true" max="16383" min="0"/>
    <brk id="197" man="true" max="16383" min="0"/>
    <brk id="242" man="true" max="16383" min="0"/>
    <brk id="296" man="true" max="16383" min="0"/>
    <brk id="341"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20"/>
    <col collapsed="false" customWidth="true" hidden="false" outlineLevel="0" max="4" min="4" style="0" width="9"/>
    <col collapsed="false" customWidth="true" hidden="false" outlineLevel="0" max="6" min="5" style="0" width="7"/>
    <col collapsed="false" customWidth="true" hidden="false" outlineLevel="0" max="8" min="7" style="0" width="8"/>
    <col collapsed="false" customWidth="true" hidden="false" outlineLevel="0" max="9" min="9" style="0" width="7"/>
    <col collapsed="false" customWidth="true" hidden="false" outlineLevel="0" max="10" min="10" style="0" width="9"/>
    <col collapsed="false" customWidth="true" hidden="false" outlineLevel="0" max="11" min="11" style="0" width="34"/>
    <col collapsed="false" customWidth="true" hidden="false" outlineLevel="0" max="12" min="12" style="0" width="32"/>
    <col collapsed="false" customWidth="true" hidden="false" outlineLevel="0" max="13" min="13" style="0" width="36"/>
  </cols>
  <sheetData>
    <row r="1" customFormat="false" ht="30" hidden="false" customHeight="true" outlineLevel="0" collapsed="false">
      <c r="A1" s="1" t="s">
        <v>304</v>
      </c>
      <c r="B1" s="1"/>
      <c r="C1" s="1"/>
      <c r="D1" s="1"/>
      <c r="E1" s="1"/>
      <c r="F1" s="1"/>
      <c r="G1" s="1"/>
      <c r="H1" s="1"/>
      <c r="I1" s="1"/>
      <c r="J1" s="1"/>
      <c r="K1" s="1"/>
      <c r="L1" s="1"/>
      <c r="M1" s="1"/>
    </row>
    <row r="2" customFormat="false" ht="15" hidden="false" customHeight="true" outlineLevel="0" collapsed="false">
      <c r="A2" s="2" t="s">
        <v>305</v>
      </c>
      <c r="B2" s="2"/>
      <c r="C2" s="2"/>
      <c r="D2" s="2"/>
      <c r="E2" s="2"/>
      <c r="F2" s="2"/>
      <c r="G2" s="2"/>
      <c r="H2" s="2"/>
      <c r="I2" s="2"/>
      <c r="J2" s="2"/>
      <c r="K2" s="2"/>
      <c r="L2" s="2"/>
      <c r="M2" s="2"/>
    </row>
    <row r="3" customFormat="false" ht="31.5" hidden="false" customHeight="true" outlineLevel="0" collapsed="false">
      <c r="A3" s="22" t="s">
        <v>161</v>
      </c>
      <c r="B3" s="22" t="s">
        <v>218</v>
      </c>
      <c r="C3" s="22" t="s">
        <v>306</v>
      </c>
      <c r="D3" s="22" t="s">
        <v>165</v>
      </c>
      <c r="E3" s="22" t="s">
        <v>307</v>
      </c>
      <c r="F3" s="22" t="s">
        <v>308</v>
      </c>
      <c r="G3" s="22" t="s">
        <v>309</v>
      </c>
      <c r="H3" s="22" t="s">
        <v>310</v>
      </c>
      <c r="I3" s="22" t="s">
        <v>311</v>
      </c>
      <c r="J3" s="22" t="s">
        <v>312</v>
      </c>
      <c r="K3" s="22" t="s">
        <v>213</v>
      </c>
      <c r="L3" s="22" t="s">
        <v>166</v>
      </c>
      <c r="M3" s="22" t="s">
        <v>313</v>
      </c>
    </row>
    <row r="4" customFormat="false" ht="57.75" hidden="false" customHeight="true" outlineLevel="0" collapsed="false">
      <c r="A4" s="52" t="s">
        <v>314</v>
      </c>
      <c r="B4" s="52" t="s">
        <v>315</v>
      </c>
      <c r="C4" s="52" t="s">
        <v>316</v>
      </c>
      <c r="D4" s="51" t="s">
        <v>317</v>
      </c>
      <c r="E4" s="51" t="n">
        <v>3</v>
      </c>
      <c r="F4" s="51" t="s">
        <v>318</v>
      </c>
      <c r="G4" s="50"/>
      <c r="H4" s="50"/>
      <c r="I4" s="51" t="s">
        <v>319</v>
      </c>
      <c r="J4" s="51" t="n">
        <v>6</v>
      </c>
      <c r="K4" s="92" t="s">
        <v>320</v>
      </c>
      <c r="L4" s="92" t="s">
        <v>321</v>
      </c>
      <c r="M4" s="92" t="s">
        <v>322</v>
      </c>
    </row>
    <row r="5" customFormat="false" ht="57.75" hidden="false" customHeight="true" outlineLevel="0" collapsed="false">
      <c r="A5" s="52" t="s">
        <v>241</v>
      </c>
      <c r="B5" s="52" t="s">
        <v>315</v>
      </c>
      <c r="C5" s="52" t="s">
        <v>323</v>
      </c>
      <c r="D5" s="51" t="s">
        <v>324</v>
      </c>
      <c r="E5" s="51" t="n">
        <v>3</v>
      </c>
      <c r="F5" s="51" t="s">
        <v>325</v>
      </c>
      <c r="G5" s="50"/>
      <c r="H5" s="50"/>
      <c r="I5" s="51" t="s">
        <v>319</v>
      </c>
      <c r="J5" s="51" t="n">
        <v>8</v>
      </c>
      <c r="K5" s="92" t="s">
        <v>326</v>
      </c>
      <c r="L5" s="92" t="s">
        <v>327</v>
      </c>
      <c r="M5" s="92" t="s">
        <v>328</v>
      </c>
    </row>
    <row r="6" customFormat="false" ht="57.75" hidden="false" customHeight="true" outlineLevel="0" collapsed="false">
      <c r="A6" s="52" t="s">
        <v>234</v>
      </c>
      <c r="B6" s="52" t="s">
        <v>315</v>
      </c>
      <c r="C6" s="52" t="s">
        <v>329</v>
      </c>
      <c r="D6" s="51" t="s">
        <v>330</v>
      </c>
      <c r="E6" s="51" t="n">
        <v>3</v>
      </c>
      <c r="F6" s="51" t="s">
        <v>331</v>
      </c>
      <c r="G6" s="50"/>
      <c r="H6" s="50"/>
      <c r="I6" s="51" t="s">
        <v>319</v>
      </c>
      <c r="J6" s="51" t="n">
        <v>1</v>
      </c>
      <c r="K6" s="92" t="s">
        <v>332</v>
      </c>
      <c r="L6" s="92" t="s">
        <v>333</v>
      </c>
      <c r="M6" s="92" t="s">
        <v>334</v>
      </c>
    </row>
    <row r="7" customFormat="false" ht="57.75" hidden="false" customHeight="true" outlineLevel="0" collapsed="false">
      <c r="A7" s="52" t="s">
        <v>225</v>
      </c>
      <c r="B7" s="52" t="s">
        <v>315</v>
      </c>
      <c r="C7" s="52" t="s">
        <v>329</v>
      </c>
      <c r="D7" s="51" t="s">
        <v>335</v>
      </c>
      <c r="E7" s="51" t="n">
        <v>3</v>
      </c>
      <c r="F7" s="51" t="s">
        <v>331</v>
      </c>
      <c r="G7" s="50"/>
      <c r="H7" s="50" t="n">
        <v>152.5</v>
      </c>
      <c r="I7" s="51" t="s">
        <v>319</v>
      </c>
      <c r="J7" s="51" t="n">
        <v>1</v>
      </c>
      <c r="K7" s="92" t="s">
        <v>336</v>
      </c>
      <c r="L7" s="92" t="s">
        <v>333</v>
      </c>
      <c r="M7" s="92" t="s">
        <v>337</v>
      </c>
    </row>
    <row r="8" customFormat="false" ht="57.75" hidden="false" customHeight="true" outlineLevel="0" collapsed="false">
      <c r="A8" s="52" t="s">
        <v>338</v>
      </c>
      <c r="B8" s="52" t="s">
        <v>339</v>
      </c>
      <c r="C8" s="52" t="s">
        <v>340</v>
      </c>
      <c r="D8" s="51" t="s">
        <v>324</v>
      </c>
      <c r="E8" s="51" t="n">
        <v>3</v>
      </c>
      <c r="F8" s="51" t="s">
        <v>325</v>
      </c>
      <c r="G8" s="50"/>
      <c r="H8" s="50"/>
      <c r="I8" s="51" t="s">
        <v>319</v>
      </c>
      <c r="J8" s="51" t="n">
        <v>12</v>
      </c>
      <c r="K8" s="92" t="s">
        <v>341</v>
      </c>
      <c r="L8" s="92" t="s">
        <v>342</v>
      </c>
      <c r="M8" s="92" t="s">
        <v>343</v>
      </c>
    </row>
    <row r="9" customFormat="false" ht="57.75" hidden="false" customHeight="true" outlineLevel="0" collapsed="false">
      <c r="A9" s="52" t="s">
        <v>249</v>
      </c>
      <c r="B9" s="52" t="s">
        <v>339</v>
      </c>
      <c r="C9" s="52" t="s">
        <v>340</v>
      </c>
      <c r="D9" s="51" t="s">
        <v>344</v>
      </c>
      <c r="E9" s="51" t="n">
        <v>3</v>
      </c>
      <c r="F9" s="51" t="s">
        <v>318</v>
      </c>
      <c r="G9" s="50"/>
      <c r="H9" s="50"/>
      <c r="I9" s="51" t="s">
        <v>319</v>
      </c>
      <c r="J9" s="51" t="n">
        <v>4</v>
      </c>
      <c r="K9" s="92" t="s">
        <v>345</v>
      </c>
      <c r="L9" s="92" t="s">
        <v>346</v>
      </c>
      <c r="M9" s="92" t="s">
        <v>347</v>
      </c>
    </row>
    <row r="10" customFormat="false" ht="57.75" hidden="false" customHeight="true" outlineLevel="0" collapsed="false">
      <c r="A10" s="52" t="s">
        <v>245</v>
      </c>
      <c r="B10" s="52" t="s">
        <v>339</v>
      </c>
      <c r="C10" s="52" t="s">
        <v>348</v>
      </c>
      <c r="D10" s="51" t="s">
        <v>349</v>
      </c>
      <c r="E10" s="51" t="n">
        <v>3</v>
      </c>
      <c r="F10" s="51" t="s">
        <v>331</v>
      </c>
      <c r="G10" s="50"/>
      <c r="H10" s="50"/>
      <c r="I10" s="51" t="s">
        <v>319</v>
      </c>
      <c r="J10" s="51" t="n">
        <v>1</v>
      </c>
      <c r="K10" s="92" t="s">
        <v>350</v>
      </c>
      <c r="L10" s="92" t="s">
        <v>333</v>
      </c>
      <c r="M10" s="92" t="s">
        <v>351</v>
      </c>
    </row>
    <row r="11" customFormat="false" ht="57.75" hidden="false" customHeight="true" outlineLevel="0" collapsed="false">
      <c r="A11" s="52" t="s">
        <v>244</v>
      </c>
      <c r="B11" s="52" t="s">
        <v>339</v>
      </c>
      <c r="C11" s="52" t="s">
        <v>352</v>
      </c>
      <c r="D11" s="51" t="s">
        <v>335</v>
      </c>
      <c r="E11" s="51" t="n">
        <v>3</v>
      </c>
      <c r="F11" s="51" t="s">
        <v>331</v>
      </c>
      <c r="G11" s="50"/>
      <c r="H11" s="50"/>
      <c r="I11" s="51" t="s">
        <v>319</v>
      </c>
      <c r="J11" s="51" t="n">
        <v>2</v>
      </c>
      <c r="K11" s="92" t="s">
        <v>353</v>
      </c>
      <c r="L11" s="92" t="s">
        <v>354</v>
      </c>
      <c r="M11" s="92" t="s">
        <v>355</v>
      </c>
    </row>
    <row r="12" customFormat="false" ht="57.75" hidden="false" customHeight="true" outlineLevel="0" collapsed="false">
      <c r="A12" s="52" t="s">
        <v>253</v>
      </c>
      <c r="B12" s="52" t="s">
        <v>339</v>
      </c>
      <c r="C12" s="52" t="s">
        <v>329</v>
      </c>
      <c r="D12" s="51" t="s">
        <v>356</v>
      </c>
      <c r="E12" s="51" t="n">
        <v>3</v>
      </c>
      <c r="F12" s="51" t="s">
        <v>331</v>
      </c>
      <c r="G12" s="50"/>
      <c r="H12" s="50"/>
      <c r="I12" s="51" t="s">
        <v>319</v>
      </c>
      <c r="J12" s="51" t="n">
        <v>2</v>
      </c>
      <c r="K12" s="92" t="s">
        <v>357</v>
      </c>
      <c r="L12" s="92" t="s">
        <v>358</v>
      </c>
      <c r="M12" s="92" t="s">
        <v>359</v>
      </c>
    </row>
    <row r="13" customFormat="false" ht="57.75" hidden="false" customHeight="true" outlineLevel="0" collapsed="false">
      <c r="A13" s="93" t="s">
        <v>59</v>
      </c>
      <c r="B13" s="93" t="s">
        <v>315</v>
      </c>
      <c r="C13" s="93" t="s">
        <v>360</v>
      </c>
      <c r="D13" s="94" t="s">
        <v>349</v>
      </c>
      <c r="E13" s="94"/>
      <c r="F13" s="94"/>
      <c r="G13" s="95"/>
      <c r="H13" s="95"/>
      <c r="I13" s="94" t="s">
        <v>361</v>
      </c>
      <c r="J13" s="94"/>
      <c r="K13" s="96" t="s">
        <v>362</v>
      </c>
      <c r="L13" s="96" t="s">
        <v>363</v>
      </c>
      <c r="M13" s="96" t="s">
        <v>364</v>
      </c>
    </row>
    <row r="14" customFormat="false" ht="57.75" hidden="false" customHeight="true" outlineLevel="0" collapsed="false">
      <c r="A14" s="93" t="s">
        <v>243</v>
      </c>
      <c r="B14" s="93" t="s">
        <v>339</v>
      </c>
      <c r="C14" s="93" t="s">
        <v>365</v>
      </c>
      <c r="D14" s="94" t="s">
        <v>356</v>
      </c>
      <c r="E14" s="94"/>
      <c r="F14" s="94"/>
      <c r="G14" s="95"/>
      <c r="H14" s="95"/>
      <c r="I14" s="94" t="s">
        <v>361</v>
      </c>
      <c r="J14" s="94"/>
      <c r="K14" s="96" t="s">
        <v>366</v>
      </c>
      <c r="L14" s="96" t="s">
        <v>363</v>
      </c>
      <c r="M14" s="96" t="s">
        <v>364</v>
      </c>
    </row>
    <row r="15" customFormat="false" ht="18" hidden="false" customHeight="true" outlineLevel="0" collapsed="false">
      <c r="A15" s="52"/>
      <c r="B15" s="52"/>
      <c r="C15" s="52"/>
      <c r="D15" s="51"/>
      <c r="E15" s="51"/>
      <c r="F15" s="51"/>
      <c r="G15" s="50"/>
      <c r="H15" s="50"/>
      <c r="I15" s="51"/>
      <c r="J15" s="51"/>
      <c r="K15" s="92"/>
      <c r="L15" s="92"/>
      <c r="M15" s="92"/>
    </row>
    <row r="16" customFormat="false" ht="18" hidden="false" customHeight="true" outlineLevel="0" collapsed="false">
      <c r="A16" s="52"/>
      <c r="B16" s="52"/>
      <c r="C16" s="52"/>
      <c r="D16" s="51"/>
      <c r="E16" s="51"/>
      <c r="F16" s="51"/>
      <c r="G16" s="50"/>
      <c r="H16" s="50"/>
      <c r="I16" s="51"/>
      <c r="J16" s="51"/>
      <c r="K16" s="92"/>
      <c r="L16" s="92"/>
      <c r="M16" s="92"/>
    </row>
    <row r="17" customFormat="false" ht="18" hidden="false" customHeight="true" outlineLevel="0" collapsed="false">
      <c r="A17" s="52"/>
      <c r="B17" s="52"/>
      <c r="C17" s="52"/>
      <c r="D17" s="51"/>
      <c r="E17" s="51"/>
      <c r="F17" s="51"/>
      <c r="G17" s="50"/>
      <c r="H17" s="50"/>
      <c r="I17" s="51"/>
      <c r="J17" s="51"/>
      <c r="K17" s="92"/>
      <c r="L17" s="92"/>
      <c r="M17" s="92"/>
    </row>
    <row r="19" customFormat="false" ht="39.75" hidden="false" customHeight="true" outlineLevel="0" collapsed="false">
      <c r="A19" s="76" t="s">
        <v>367</v>
      </c>
      <c r="B19" s="76"/>
      <c r="C19" s="76"/>
      <c r="D19" s="76"/>
      <c r="E19" s="76"/>
      <c r="F19" s="76"/>
      <c r="G19" s="76"/>
      <c r="H19" s="76"/>
      <c r="I19" s="76"/>
      <c r="J19" s="76"/>
      <c r="K19" s="76"/>
      <c r="L19" s="76"/>
      <c r="M19" s="76"/>
    </row>
  </sheetData>
  <mergeCells count="3">
    <mergeCell ref="A1:M1"/>
    <mergeCell ref="A2:M2"/>
    <mergeCell ref="A19:M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I4:I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2026-08-05T18:07:47Z</dcterms:created>
  <dc:creator>openpyxl</dc:creator>
  <dc:description/>
  <dc:language>en-US</dc:language>
  <cp:lastModifiedBy/>
  <dcterms:modified xsi:type="dcterms:W3CDTF">2026-08-05T18:07:54Z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