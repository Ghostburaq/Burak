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Log!$A$1:$L$222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0" name="_xlnm.Print_Area" vbProcedure="false">Trainingsblatt!$A$1:$I$463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<sst xmlns="http://schemas.openxmlformats.org/spreadsheetml/2006/main" count="1426" uniqueCount="387">
  <si>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</si>
  <si>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</si>
  <si>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</si>
  <si>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</si>
  <si>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</si>
  <si>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</si>
  <si>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</si>
  <si>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</si>
  <si>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</si>
  <si>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</si>
  <si>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</si>
  <si>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</si>
  <si>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</si>
  <si>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</si>
  <si>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</si>
  <si>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</si>
  <si>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</si>
  <si>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</si>
  <si>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</si>
  <si>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</si>
  <si>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</si>
  <si>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</si>
  <si>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</si>
  <si>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</si>
  <si>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</si>
  <si>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</si>
  <si>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</si>
  <si>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</si>
  <si>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</si>
  <si>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</si>
  <si>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</si>
  <si>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</si>
  <si>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</si>
  <si>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</si>
  <si>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</si>
  <si>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</si>
  <si>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</si>
  <si>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</si>
  <si>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</si>
  <si>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</si>
  <si>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</si>
  <si>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</si>
  <si>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</si>
  <si>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</si>
  <si>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</si>
  <si>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</si>
  <si>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</si>
  <si>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</si>
  <si>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</si>
  <si>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</si>
  <si>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</si>
  <si>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</si>
  <si>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</si>
  <si>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</si>
  <si>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</si>
  <si>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</si>
  <si>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</si>
  <si>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</si>
  <si>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</si>
  <si>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</si>
  <si>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</si>
  <si>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</si>
  <si>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</si>
  <si>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</si>
  <si>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</si>
  <si>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</si>
  <si>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</si>
  <si>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</si>
  <si>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</si>
  <si>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</si>
  <si>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</si>
  <si>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</si>
  <si>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</si>
  <si>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</si>
  <si>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</si>
  <si>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</si>
  <si>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</si>
  <si>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</si>
  <si>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</si>
  <si>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</si>
  <si>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</si>
  <si>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</si>
  <si>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</si>
  <si>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</si>
  <si>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</si>
  <si>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</si>
  <si>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</si>
  <si>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</si>
  <si>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</si>
  <si>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</si>
  <si>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</si>
  <si>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</si>
  <si>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</si>
  <si>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</si>
  <si>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</si>
  <si>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</si>
  <si>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</si>
  <si>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</si>
  <si>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</si>
  <si>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</si>
  <si>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</si>
  <si>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</si>
  <si>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</si>
  <si>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</si>
  <si>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</si>
  <si>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</si>
  <si>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</si>
  <si>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</si>
  <si>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</si>
  <si>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</si>
  <si>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</si>
  <si>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</si>
  <si>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</si>
  <si>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</si>
  <si>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</si>
  <si>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</si>
  <si>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</si>
  <si>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</si>
  <si>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</si>
  <si>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</si>
  <si>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</si>
  <si>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</si>
  <si>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</si>
  <si>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</si>
  <si>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</si>
  <si>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</si>
  <si>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</si>
  <si>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</si>
  <si>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</si>
  <si>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</si>
  <si>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</si>
  <si>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</si>
  <si>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</si>
  <si>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</si>
  <si>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</si>
  <si>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</si>
  <si>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</si>
  <si>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</si>
  <si>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</si>
  <si>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</si>
  <si>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</si>
  <si>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</si>
  <si>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</si>
  <si>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</si>
  <si>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</si>
  <si>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</si>
  <si>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</si>
  <si>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</si>
  <si>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</si>
  <si>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</si>
  <si>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</si>
  <si>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</si>
  <si>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</si>
  <si>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</si>
  <si>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</si>
  <si>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</si>
  <si>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</si>
  <si>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</si>
  <si>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</si>
  <si>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</si>
  <si>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</si>
  <si>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</si>
  <si>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</si>
  <si>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</si>
  <si>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</si>
  <si>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</si>
  <si>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</si>
  <si>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</si>
  <si>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</si>
  <si>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</si>
  <si>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</si>
  <si>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</si>
  <si>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</si>
  <si>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</si>
  <si>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</si>
  <si>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</si>
  <si>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</si>
  <si>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</si>
  <si>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</si>
  <si>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</si>
  <si>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</si>
  <si>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</si>
  <si>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</si>
  <si>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</si>
  <si>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</si>
  <si>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</si>
  <si>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</si>
  <si>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</si>
  <si>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</si>
  <si>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</si>
  <si>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</si>
  <si>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</si>
  <si>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</si>
  <si>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</si>
  <si>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</si>
  <si>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</si>
  <si>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</si>
  <si>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</si>
  <si>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</si>
  <si>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</si>
  <si>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</si>
  <si>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</si>
  <si>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</si>
  <si>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</si>
  <si>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</si>
  <si>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</si>
  <si>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</si>
  <si>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</si>
  <si>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</si>
  <si>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</si>
  <si>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</si>
  <si>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</si>
  <si>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</si>
  <si>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</si>
  <si>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</si>
  <si>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</si>
  <si>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</si>
  <si>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</si>
  <si>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</si>
  <si>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</si>
  <si>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</si>
  <si>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</si>
  <si>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</si>
  <si>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</si>
  <si>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</si>
  <si>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</si>
  <si>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</si>
  <si>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</si>
  <si>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</si>
  <si>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</si>
  <si>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</si>
  <si>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</si>
  <si>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</si>
  <si>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</si>
  <si>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</si>
  <si>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</si>
  <si>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</si>
  <si>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</si>
  <si>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</si>
  <si>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</si>
  <si>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</si>
  <si>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</si>
  <si>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</si>
  <si>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</si>
  <si>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</si>
  <si>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</si>
  <si>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</si>
  <si>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</si>
  <si>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</si>
  <si>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</si>
  <si>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</si>
  <si>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</si>
  <si>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</si>
  <si>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</si>
  <si>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</si>
  <si>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</si>
  <si>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</si>
  <si>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</si>
  <si>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</si>
  <si>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</si>
  <si>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</si>
  <si>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</si>
  <si>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</si>
  <si>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</si>
  <si>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</si>
  <si>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</si>
  <si>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</si>
  <si>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</si>
  <si>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</si>
  <si>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</si>
  <si>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</si>
  <si>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</si>
  <si>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</si>
  <si>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</si>
  <si>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</si>
  <si>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</si>
  <si>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</si>
  <si>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</si>
  <si>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</si>
  <si>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</si>
  <si>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</si>
  <si>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</si>
  <si>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</si>
  <si>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</si>
  <si>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</si>
  <si>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</si>
  <si>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</si>
  <si>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</si>
  <si>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</si>
  <si>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</si>
  <si>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</si>
  <si>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</si>
  <si>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</si>
  <si>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</si>
  <si>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</si>
  <si>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</si>
  <si>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</si>
  <si>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</si>
  <si>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</si>
  <si>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</si>
  <si>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</si>
  <si>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</si>
  <si>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</si>
  <si>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</si>
  <si>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</si>
  <si>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</si>
  <si>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</si>
  <si>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</si>
  <si>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</si>
  <si>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</si>
  <si>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</si>
  <si>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</si>
  <si>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</si>
  <si>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</si>
  <si>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</si>
  <si>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</si>
  <si>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</si>
  <si>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</si>
  <si>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</si>
  <si>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</si>
  <si>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</si>
  <si>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</si>
  <si>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</si>
  <si>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</si>
  <si>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</si>
  <si>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</si>
  <si>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</si>
  <si>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</si>
  <si>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</si>
  <si>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</si>
  <si>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</si>
  <si>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</si>
  <si>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</si>
  <si>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</si>
  <si>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</si>
  <si>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</si>
  <si>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</si>
  <si>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</si>
  <si>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</si>
  <si>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</si>
  <si>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</si>
  <si>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</si>
  <si>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</si>
  <si>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</si>
  <si>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</si>
  <si>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</si>
  <si>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</si>
  <si>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</si>
  <si>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</si>
  <si>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</si>
  <si>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</si>
  <si>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</si>
  <si>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</si>
  <si>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</si>
  <si>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</si>
  <si>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</si>
  <si>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</si>
  <si>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</si>
  <si>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</si>
  <si>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</si>
  <si>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</si>
  <si>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</si>
  <si>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</si>
  <si>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</si>
  <si>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</si>
  <si>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</si>
  <si>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</si>
  <si>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Beinbeuger sitzend, ab Woche 1 frei</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</si>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</sst>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61169474"/>
        <c:axId val="37791625"/>
      </c:barChart>
      <c:catAx>
        <c:axId val="6116947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791625"/>
        <c:crosses val="autoZero"/>
        <c:auto val="1"/>
        <c:lblAlgn val="ctr"/>
        <c:lblOffset val="100"/>
        <c:noMultiLvlLbl val="0"/>
      </c:catAx>
      <c:valAx>
        <c:axId val="3779162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16947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Rekorde!$L$4:$L$15</c:f>
              <c:numCache>
                <c:formatCode>#,##0.0;\-#,##0.0;\–</c:formatCode>
                <c:ptCount val="12"/>
                <c:pt idx="0">
                  <c:v>303</c:v>
                </c:pt>
                <c:pt idx="1">
                  <c:v>100</c:v>
                </c:pt>
                <c:pt idx="2">
                  <c:v>95</c:v>
                </c:pt>
                <c:pt idx="3">
                  <c:v>180</c:v>
                </c:pt>
                <c:pt idx="4">
                  <c:v>135</c:v>
                </c:pt>
                <c:pt idx="5">
                  <c:v>290</c:v>
                </c:pt>
                <c:pt idx="6">
                  <c:v>141</c:v>
                </c:pt>
                <c:pt idx="7">
                  <c:v>52.5</c:v>
                </c:pt>
                <c:pt idx="8">
                  <c:v>36</c:v>
                </c:pt>
                <c:pt idx="9">
                  <c:v>160</c:v>
                </c:pt>
                <c:pt idx="10">
                  <c:v>18</c:v>
                </c:pt>
                <c:pt idx="11">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Rekorde!$F$4:$F$15</c:f>
              <c:numCache>
                <c:formatCode>#,##0.0;\-#,##0.0;\–</c:formatCode>
                <c:ptCount val="12"/>
                <c:pt idx="0">
                  <c:v>303</c:v>
                </c:pt>
                <c:pt idx="1">
                  <c:v>105</c:v>
                </c:pt>
                <c:pt idx="2">
                  <c:v>95</c:v>
                </c:pt>
                <c:pt idx="3">
                  <c:v>180</c:v>
                </c:pt>
                <c:pt idx="4">
                  <c:v>135</c:v>
                </c:pt>
                <c:pt idx="5">
                  <c:v>290</c:v>
                </c:pt>
                <c:pt idx="6">
                  <c:v>141</c:v>
                </c:pt>
                <c:pt idx="7">
                  <c:v>55</c:v>
                </c:pt>
                <c:pt idx="8">
                  <c:v>49</c:v>
                </c:pt>
                <c:pt idx="9">
                  <c:v>160</c:v>
                </c:pt>
                <c:pt idx="10">
                  <c:v>18</c:v>
                </c:pt>
                <c:pt idx="11">
                  <c:v>84</c:v>
                </c:pt>
              </c:numCache>
            </c:numRef>
          </c:val>
        </c:ser>
        <c:gapWidth val="60"/>
        <c:overlap val="0"/>
        <c:axId val="3804068"/>
        <c:axId val="50165775"/>
      </c:barChart>
      <c:catAx>
        <c:axId val="38040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65775"/>
        <c:crosses val="autoZero"/>
        <c:auto val="1"/>
        <c:lblAlgn val="ctr"/>
        <c:lblOffset val="100"/>
        <c:noMultiLvlLbl val="0"/>
      </c:catAx>
      <c:valAx>
        <c:axId val="5016577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0406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Rekorde!$E$4:$E$15</c:f>
              <c:numCache>
                <c:formatCode>#,##0;\-#,##0;\–</c:formatCode>
                <c:ptCount val="12"/>
                <c:pt idx="0">
                  <c:v>13124</c:v>
                </c:pt>
                <c:pt idx="1">
                  <c:v>11560</c:v>
                </c:pt>
                <c:pt idx="2">
                  <c:v>9105</c:v>
                </c:pt>
                <c:pt idx="3">
                  <c:v>27251.5</c:v>
                </c:pt>
                <c:pt idx="4">
                  <c:v>6550</c:v>
                </c:pt>
                <c:pt idx="5">
                  <c:v>31960</c:v>
                </c:pt>
                <c:pt idx="6">
                  <c:v>3732</c:v>
                </c:pt>
                <c:pt idx="7">
                  <c:v>5660</c:v>
                </c:pt>
                <c:pt idx="8">
                  <c:v>2773</c:v>
                </c:pt>
                <c:pt idx="9">
                  <c:v>13770</c:v>
                </c:pt>
                <c:pt idx="10">
                  <c:v>0</c:v>
                </c:pt>
                <c:pt idx="11">
                  <c:v>7119</c:v>
                </c:pt>
              </c:numCache>
            </c:numRef>
          </c:val>
        </c:ser>
        <c:gapWidth val="60"/>
        <c:overlap val="0"/>
        <c:axId val="17327389"/>
        <c:axId val="9347096"/>
      </c:barChart>
      <c:catAx>
        <c:axId val="173273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47096"/>
        <c:crosses val="autoZero"/>
        <c:auto val="1"/>
        <c:lblAlgn val="ctr"/>
        <c:lblOffset val="100"/>
        <c:noMultiLvlLbl val="0"/>
      </c:catAx>
      <c:valAx>
        <c:axId val="934709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273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Rekorde!$H$4:$H$15</c:f>
              <c:numCache>
                <c:formatCode>#,##0.0;\-#,##0.0;\–</c:formatCode>
                <c:ptCount val="12"/>
                <c:pt idx="0">
                  <c:v>382.2</c:v>
                </c:pt>
                <c:pt idx="1">
                  <c:v>133.333333333333</c:v>
                </c:pt>
                <c:pt idx="2">
                  <c:v>114</c:v>
                </c:pt>
                <c:pt idx="3">
                  <c:v>279.583333333333</c:v>
                </c:pt>
                <c:pt idx="4">
                  <c:v>164.666666666667</c:v>
                </c:pt>
                <c:pt idx="5">
                  <c:v>367.333333333333</c:v>
                </c:pt>
                <c:pt idx="6">
                  <c:v>204</c:v>
                </c:pt>
                <c:pt idx="7">
                  <c:v>73.3333333333333</c:v>
                </c:pt>
                <c:pt idx="8">
                  <c:v>68.6</c:v>
                </c:pt>
                <c:pt idx="9">
                  <c:v>224</c:v>
                </c:pt>
                <c:pt idx="11">
                  <c:v>117.6</c:v>
                </c:pt>
              </c:numCache>
            </c:numRef>
          </c:val>
        </c:ser>
        <c:gapWidth val="60"/>
        <c:overlap val="0"/>
        <c:axId val="92771726"/>
        <c:axId val="96006073"/>
      </c:barChart>
      <c:catAx>
        <c:axId val="927717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006073"/>
        <c:crosses val="autoZero"/>
        <c:auto val="1"/>
        <c:lblAlgn val="ctr"/>
        <c:lblOffset val="100"/>
        <c:noMultiLvlLbl val="0"/>
      </c:catAx>
      <c:valAx>
        <c:axId val="9600607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717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21577054"/>
        <c:axId val="15782635"/>
      </c:lineChart>
      <c:catAx>
        <c:axId val="215770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782635"/>
        <c:crosses val="autoZero"/>
        <c:auto val="1"/>
        <c:lblAlgn val="ctr"/>
        <c:lblOffset val="100"/>
        <c:noMultiLvlLbl val="0"/>
      </c:catAx>
      <c:valAx>
        <c:axId val="15782635"/>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57705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59018540"/>
        <c:axId val="74899024"/>
      </c:lineChart>
      <c:catAx>
        <c:axId val="590185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99024"/>
        <c:crosses val="autoZero"/>
        <c:auto val="1"/>
        <c:lblAlgn val="ctr"/>
        <c:lblOffset val="100"/>
        <c:noMultiLvlLbl val="0"/>
      </c:catAx>
      <c:valAx>
        <c:axId val="74899024"/>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1854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10</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7</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89</v>
      </c>
      <c r="B1" s="1"/>
      <c r="C1" s="1"/>
      <c r="D1" s="1"/>
      <c r="E1" s="1"/>
      <c r="F1" s="1"/>
      <c r="G1" s="1"/>
    </row>
    <row r="2" customFormat="false" ht="25.5" hidden="false" customHeight="true" outlineLevel="0" collapsed="false">
      <c r="A2" s="20" t="s">
        <v>90</v>
      </c>
      <c r="B2" s="20"/>
      <c r="C2" s="20"/>
      <c r="D2" s="20"/>
      <c r="E2" s="20"/>
      <c r="F2" s="20"/>
      <c r="G2" s="20"/>
    </row>
    <row r="4" customFormat="false" ht="19.5" hidden="false" customHeight="true" outlineLevel="0" collapsed="false">
      <c r="A4" s="3" t="s">
        <v>91</v>
      </c>
      <c r="B4" s="3"/>
      <c r="C4" s="3"/>
      <c r="D4" s="3"/>
      <c r="E4" s="3"/>
      <c r="F4" s="3"/>
      <c r="G4" s="3"/>
    </row>
    <row r="5" customFormat="false" ht="30" hidden="false" customHeight="true" outlineLevel="0" collapsed="false">
      <c r="A5" s="21" t="s">
        <v>92</v>
      </c>
      <c r="B5" s="9" t="s">
        <v>93</v>
      </c>
      <c r="C5" s="9"/>
      <c r="D5" s="9"/>
      <c r="E5" s="9"/>
      <c r="F5" s="9"/>
      <c r="G5" s="9"/>
    </row>
    <row r="6" customFormat="false" ht="30" hidden="false" customHeight="true" outlineLevel="0" collapsed="false">
      <c r="A6" s="21" t="s">
        <v>94</v>
      </c>
      <c r="B6" s="9" t="s">
        <v>95</v>
      </c>
      <c r="C6" s="9"/>
      <c r="D6" s="9"/>
      <c r="E6" s="9"/>
      <c r="F6" s="9"/>
      <c r="G6" s="9"/>
    </row>
    <row r="7" customFormat="false" ht="17.25" hidden="false" customHeight="true" outlineLevel="0" collapsed="false">
      <c r="A7" s="21" t="s">
        <v>96</v>
      </c>
      <c r="B7" s="9" t="s">
        <v>97</v>
      </c>
      <c r="C7" s="9"/>
      <c r="D7" s="9"/>
      <c r="E7" s="9"/>
      <c r="F7" s="9"/>
      <c r="G7" s="9"/>
    </row>
    <row r="8" customFormat="false" ht="30" hidden="false" customHeight="true" outlineLevel="0" collapsed="false">
      <c r="A8" s="21" t="s">
        <v>98</v>
      </c>
      <c r="B8" s="9" t="s">
        <v>99</v>
      </c>
      <c r="C8" s="9"/>
      <c r="D8" s="9"/>
      <c r="E8" s="9"/>
      <c r="F8" s="9"/>
      <c r="G8" s="9"/>
    </row>
    <row r="9" customFormat="false" ht="17.25" hidden="false" customHeight="true" outlineLevel="0" collapsed="false">
      <c r="A9" s="21" t="s">
        <v>100</v>
      </c>
      <c r="B9" s="9" t="s">
        <v>101</v>
      </c>
      <c r="C9" s="9"/>
      <c r="D9" s="9"/>
      <c r="E9" s="9"/>
      <c r="F9" s="9"/>
      <c r="G9" s="9"/>
    </row>
    <row r="11" customFormat="false" ht="19.5" hidden="false" customHeight="true" outlineLevel="0" collapsed="false">
      <c r="A11" s="3" t="s">
        <v>102</v>
      </c>
      <c r="B11" s="3"/>
      <c r="C11" s="3"/>
      <c r="D11" s="3"/>
      <c r="E11" s="3"/>
      <c r="F11" s="3"/>
      <c r="G11" s="3"/>
    </row>
    <row r="12" customFormat="false" ht="30" hidden="false" customHeight="true" outlineLevel="0" collapsed="false">
      <c r="A12" s="22" t="s">
        <v>103</v>
      </c>
      <c r="B12" s="22" t="s">
        <v>104</v>
      </c>
      <c r="C12" s="22" t="s">
        <v>105</v>
      </c>
      <c r="D12" s="22" t="s">
        <v>106</v>
      </c>
      <c r="E12" s="22" t="s">
        <v>107</v>
      </c>
      <c r="F12" s="22" t="s">
        <v>108</v>
      </c>
      <c r="G12" s="22" t="s">
        <v>109</v>
      </c>
    </row>
    <row r="13" customFormat="false" ht="67.5" hidden="false" customHeight="true" outlineLevel="0" collapsed="false">
      <c r="A13" s="23" t="s">
        <v>110</v>
      </c>
      <c r="B13" s="24" t="s">
        <v>111</v>
      </c>
      <c r="C13" s="25" t="s">
        <v>112</v>
      </c>
      <c r="D13" s="25" t="s">
        <v>113</v>
      </c>
      <c r="E13" s="25" t="s">
        <v>114</v>
      </c>
      <c r="F13" s="25" t="s">
        <v>115</v>
      </c>
      <c r="G13" s="25" t="s">
        <v>116</v>
      </c>
    </row>
    <row r="14" customFormat="false" ht="79.5" hidden="false" customHeight="true" outlineLevel="0" collapsed="false">
      <c r="A14" s="26" t="s">
        <v>117</v>
      </c>
      <c r="B14" s="27" t="s">
        <v>118</v>
      </c>
      <c r="C14" s="9" t="s">
        <v>119</v>
      </c>
      <c r="D14" s="9" t="s">
        <v>120</v>
      </c>
      <c r="E14" s="9" t="s">
        <v>121</v>
      </c>
      <c r="F14" s="9" t="s">
        <v>122</v>
      </c>
      <c r="G14" s="9" t="s">
        <v>123</v>
      </c>
    </row>
    <row r="15" customFormat="false" ht="67.5" hidden="false" customHeight="true" outlineLevel="0" collapsed="false">
      <c r="A15" s="23" t="s">
        <v>124</v>
      </c>
      <c r="B15" s="24" t="s">
        <v>125</v>
      </c>
      <c r="C15" s="25" t="s">
        <v>126</v>
      </c>
      <c r="D15" s="25" t="s">
        <v>127</v>
      </c>
      <c r="E15" s="25" t="s">
        <v>128</v>
      </c>
      <c r="F15" s="25" t="s">
        <v>129</v>
      </c>
      <c r="G15" s="25" t="s">
        <v>130</v>
      </c>
    </row>
    <row r="16" customFormat="false" ht="67.5" hidden="false" customHeight="true" outlineLevel="0" collapsed="false">
      <c r="A16" s="26" t="s">
        <v>131</v>
      </c>
      <c r="B16" s="27" t="s">
        <v>132</v>
      </c>
      <c r="C16" s="9" t="s">
        <v>133</v>
      </c>
      <c r="D16" s="9" t="s">
        <v>134</v>
      </c>
      <c r="E16" s="9" t="s">
        <v>135</v>
      </c>
      <c r="F16" s="9" t="s">
        <v>136</v>
      </c>
      <c r="G16" s="9" t="s">
        <v>137</v>
      </c>
    </row>
    <row r="17" customFormat="false" ht="54.75" hidden="false" customHeight="true" outlineLevel="0" collapsed="false">
      <c r="A17" s="23" t="s">
        <v>138</v>
      </c>
      <c r="B17" s="24" t="s">
        <v>139</v>
      </c>
      <c r="C17" s="25" t="s">
        <v>140</v>
      </c>
      <c r="D17" s="25" t="s">
        <v>141</v>
      </c>
      <c r="E17" s="25" t="s">
        <v>142</v>
      </c>
      <c r="F17" s="25" t="s">
        <v>143</v>
      </c>
      <c r="G17" s="25" t="s">
        <v>144</v>
      </c>
    </row>
    <row r="19" customFormat="false" ht="19.5" hidden="false" customHeight="true" outlineLevel="0" collapsed="false">
      <c r="A19" s="3" t="s">
        <v>145</v>
      </c>
      <c r="B19" s="3"/>
      <c r="C19" s="3"/>
      <c r="D19" s="3"/>
      <c r="E19" s="3"/>
      <c r="F19" s="3"/>
      <c r="G19" s="3"/>
    </row>
    <row r="20" customFormat="false" ht="42" hidden="false" customHeight="true" outlineLevel="0" collapsed="false">
      <c r="A20" s="28" t="s">
        <v>146</v>
      </c>
      <c r="B20" s="28"/>
      <c r="C20" s="28"/>
      <c r="D20" s="28"/>
      <c r="E20" s="28"/>
      <c r="F20" s="28"/>
      <c r="G20" s="28"/>
    </row>
    <row r="22" customFormat="false" ht="19.5" hidden="false" customHeight="true" outlineLevel="0" collapsed="false">
      <c r="A22" s="3" t="s">
        <v>147</v>
      </c>
      <c r="B22" s="3"/>
      <c r="C22" s="3"/>
      <c r="D22" s="3"/>
      <c r="E22" s="3"/>
      <c r="F22" s="3"/>
      <c r="G22" s="3"/>
    </row>
    <row r="23" customFormat="false" ht="30" hidden="false" customHeight="true" outlineLevel="0" collapsed="false">
      <c r="A23" s="21" t="s">
        <v>148</v>
      </c>
      <c r="B23" s="29" t="s">
        <v>149</v>
      </c>
      <c r="C23" s="9" t="s">
        <v>150</v>
      </c>
      <c r="D23" s="9"/>
      <c r="E23" s="9"/>
      <c r="F23" s="9"/>
      <c r="G23" s="9"/>
    </row>
    <row r="24" customFormat="false" ht="17.25" hidden="false" customHeight="true" outlineLevel="0" collapsed="false">
      <c r="A24" s="21" t="s">
        <v>151</v>
      </c>
      <c r="B24" s="30" t="s">
        <v>152</v>
      </c>
      <c r="C24" s="9" t="s">
        <v>153</v>
      </c>
      <c r="D24" s="9"/>
      <c r="E24" s="9"/>
      <c r="F24" s="9"/>
      <c r="G24" s="9"/>
    </row>
    <row r="25" customFormat="false" ht="30" hidden="false" customHeight="true" outlineLevel="0" collapsed="false">
      <c r="A25" s="21" t="s">
        <v>154</v>
      </c>
      <c r="B25" s="30" t="s">
        <v>152</v>
      </c>
      <c r="C25" s="9" t="s">
        <v>155</v>
      </c>
      <c r="D25" s="9"/>
      <c r="E25" s="9"/>
      <c r="F25" s="9"/>
      <c r="G25" s="9"/>
    </row>
    <row r="26" customFormat="false" ht="30" hidden="false" customHeight="true" outlineLevel="0" collapsed="false">
      <c r="A26" s="21" t="s">
        <v>156</v>
      </c>
      <c r="B26" s="30" t="s">
        <v>157</v>
      </c>
      <c r="C26" s="9" t="s">
        <v>158</v>
      </c>
      <c r="D26" s="9"/>
      <c r="E26" s="9"/>
      <c r="F26" s="9"/>
      <c r="G26" s="9"/>
    </row>
    <row r="27" customFormat="false" ht="30" hidden="false" customHeight="true" outlineLevel="0" collapsed="false">
      <c r="A27" s="21" t="s">
        <v>159</v>
      </c>
      <c r="B27" s="29" t="s">
        <v>160</v>
      </c>
      <c r="C27" s="9" t="s">
        <v>161</v>
      </c>
      <c r="D27" s="9"/>
      <c r="E27" s="9"/>
      <c r="F27" s="9"/>
      <c r="G27" s="9"/>
    </row>
    <row r="28" customFormat="false" ht="17.25" hidden="false" customHeight="true" outlineLevel="0" collapsed="false">
      <c r="A28" s="21" t="s">
        <v>162</v>
      </c>
      <c r="B28" s="29" t="s">
        <v>149</v>
      </c>
      <c r="C28" s="9" t="s">
        <v>163</v>
      </c>
      <c r="D28" s="9"/>
      <c r="E28" s="9"/>
      <c r="F28" s="9"/>
      <c r="G28" s="9"/>
    </row>
    <row r="29" customFormat="false" ht="30" hidden="false" customHeight="true" outlineLevel="0" collapsed="false">
      <c r="A29" s="21" t="s">
        <v>164</v>
      </c>
      <c r="B29" s="29" t="s">
        <v>165</v>
      </c>
      <c r="C29" s="9" t="s">
        <v>166</v>
      </c>
      <c r="D29" s="9"/>
      <c r="E29" s="9"/>
      <c r="F29" s="9"/>
      <c r="G29" s="9"/>
    </row>
    <row r="31" customFormat="false" ht="25.5" hidden="false" customHeight="true" outlineLevel="0" collapsed="false">
      <c r="A31" s="31" t="s">
        <v>167</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168</v>
      </c>
      <c r="B1" s="1"/>
      <c r="C1" s="1"/>
      <c r="D1" s="1"/>
      <c r="E1" s="1"/>
      <c r="F1" s="1"/>
      <c r="G1" s="1"/>
    </row>
    <row r="2" customFormat="false" ht="15" hidden="false" customHeight="true" outlineLevel="0" collapsed="false">
      <c r="A2" s="2" t="s">
        <v>169</v>
      </c>
      <c r="B2" s="2"/>
      <c r="C2" s="2"/>
      <c r="D2" s="2"/>
      <c r="E2" s="2"/>
      <c r="F2" s="2"/>
      <c r="G2" s="2"/>
    </row>
    <row r="4" customFormat="false" ht="33.75" hidden="false" customHeight="true" outlineLevel="0" collapsed="false">
      <c r="A4" s="32" t="s">
        <v>170</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171</v>
      </c>
      <c r="B6" s="22" t="s">
        <v>172</v>
      </c>
      <c r="C6" s="22" t="s">
        <v>173</v>
      </c>
      <c r="D6" s="22" t="s">
        <v>174</v>
      </c>
      <c r="E6" s="22" t="s">
        <v>175</v>
      </c>
      <c r="F6" s="22" t="s">
        <v>176</v>
      </c>
      <c r="G6" s="22" t="s">
        <v>177</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5-8</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Hip &amp; Glute</v>
      </c>
      <c r="B13" s="37" t="n">
        <f aca="false">IF(Übungen!$K10&lt;&gt;"ja","",Übungen!$L10)</f>
        <v>2</v>
      </c>
      <c r="C13" s="38" t="str">
        <f aca="false">IF($A13="","",IF($B13="","offen",IF($B$4&gt;=$B13,"FREI","GESPERRT")))</f>
        <v>GESPERRT</v>
      </c>
      <c r="D13" s="37" t="n">
        <f aca="false">IF(Übungen!$K10&lt;&gt;"ja","",Übungen!$F10)</f>
        <v>3</v>
      </c>
      <c r="E13" s="37" t="str">
        <f aca="false">IF(Übungen!$K10&lt;&gt;"ja","",Übungen!$D10&amp;"-"&amp;Übungen!$E10)</f>
        <v>5-8</v>
      </c>
      <c r="F13" s="25" t="str">
        <f aca="false">IF($C13="GESPERRT",Übungen!$N10,"")</f>
        <v>Beinbeuger sitzend, ab Woche 1 frei</v>
      </c>
      <c r="G13" s="25" t="str">
        <f aca="false">IF(Übungen!$K10&lt;&gt;"ja","",Übungen!$O10)</f>
        <v>Freigabewoche abgeleitet aus der Hip-Thrust-Maschine im Fahrplan (dort ab Woche 2). Arme vor der Brust kreuzen, nicht am Gerät abstützen. Woche mit Operateur oder Physiotherapie bestätigen.</v>
      </c>
    </row>
    <row r="14" customFormat="false" ht="33.75" hidden="false" customHeight="true" outlineLevel="0" collapsed="false">
      <c r="A14" s="39" t="str">
        <f aca="false">IF(Übungen!$K11&lt;&gt;"ja","",Übungen!$A11)</f>
        <v>Beinbeuger</v>
      </c>
      <c r="B14" s="40" t="n">
        <f aca="false">IF(Übungen!$K11&lt;&gt;"ja","",Übungen!$L11)</f>
        <v>1</v>
      </c>
      <c r="C14" s="41" t="str">
        <f aca="false">IF($A14="","",IF($B14="","offen",IF($B$4&gt;=$B14,"FREI","GESPERRT")))</f>
        <v>FREI</v>
      </c>
      <c r="D14" s="40" t="n">
        <f aca="false">IF(Übungen!$K11&lt;&gt;"ja","",Übungen!$F11)</f>
        <v>3</v>
      </c>
      <c r="E14" s="40" t="str">
        <f aca="false">IF(Übungen!$K11&lt;&gt;"ja","",Übungen!$D11&amp;"-"&amp;Übungen!$E11)</f>
        <v>5-8</v>
      </c>
      <c r="F14" s="9" t="str">
        <f aca="false">IF($C14="GESPERRT",Übungen!$N11,"")</f>
        <v/>
      </c>
      <c r="G14" s="9" t="str">
        <f aca="false">IF(Übungen!$K11&lt;&gt;"ja","",Übungen!$O11)</f>
        <v>Sitzend. Griffe locker halten oder loslassen, das Polster hält das Bein.</v>
      </c>
    </row>
    <row r="15" customFormat="false" ht="33.75" hidden="false" customHeight="true" outlineLevel="0" collapsed="false">
      <c r="A15" s="36" t="str">
        <f aca="false">IF(Übungen!$K12&lt;&gt;"ja","",Übungen!$A12)</f>
        <v>Seitliche Kickbacks</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5-8</v>
      </c>
      <c r="F15" s="25" t="str">
        <f aca="false">IF($C15="GESPERRT",Übungen!$N12,"")</f>
        <v>Abduktion an der Maschine im Sitzen</v>
      </c>
      <c r="G15" s="25" t="str">
        <f aca="false">IF(Übungen!$K12&lt;&gt;"ja","",Übungen!$O12)</f>
        <v>Im Stehen mit der gesunden Seite abstützen. Kein Zug über den operierten Arm.</v>
      </c>
    </row>
    <row r="16" customFormat="false" ht="33.75" hidden="false" customHeight="true" outlineLevel="0" collapsed="false">
      <c r="A16" s="39" t="str">
        <f aca="false">IF(Übungen!$K13&lt;&gt;"ja","",Übungen!$A13)</f>
        <v>Waden</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Wadenmaschine sitzend ab Woche 1</v>
      </c>
      <c r="G16" s="9" t="str">
        <f aca="false">IF(Übungen!$K13&lt;&gt;"ja","",Übungen!$O13)</f>
        <v>Sitzend ab Woche 1. Stehende Variante mit Schulterpolster erst ab Woche 4 bis 6, Multipresse-Variante ab Woche 8.</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178</v>
      </c>
      <c r="B22" s="3"/>
      <c r="C22" s="3"/>
      <c r="D22" s="3"/>
      <c r="E22" s="3"/>
      <c r="F22" s="3"/>
      <c r="G22" s="3"/>
    </row>
    <row r="23" customFormat="false" ht="30" hidden="false" customHeight="true" outlineLevel="0" collapsed="false">
      <c r="A23" s="21" t="s">
        <v>179</v>
      </c>
      <c r="B23" s="9" t="s">
        <v>180</v>
      </c>
      <c r="C23" s="9"/>
      <c r="D23" s="9"/>
      <c r="E23" s="9"/>
      <c r="F23" s="9"/>
      <c r="G23" s="9"/>
    </row>
    <row r="24" customFormat="false" ht="17.25" hidden="false" customHeight="true" outlineLevel="0" collapsed="false">
      <c r="A24" s="21" t="s">
        <v>181</v>
      </c>
      <c r="B24" s="9" t="s">
        <v>182</v>
      </c>
      <c r="C24" s="9"/>
      <c r="D24" s="9"/>
      <c r="E24" s="9"/>
      <c r="F24" s="9"/>
      <c r="G24" s="9"/>
    </row>
    <row r="25" customFormat="false" ht="30" hidden="false" customHeight="true" outlineLevel="0" collapsed="false">
      <c r="A25" s="21" t="s">
        <v>183</v>
      </c>
      <c r="B25" s="9" t="s">
        <v>184</v>
      </c>
      <c r="C25" s="9"/>
      <c r="D25" s="9"/>
      <c r="E25" s="9"/>
      <c r="F25" s="9"/>
      <c r="G25" s="9"/>
    </row>
    <row r="26" customFormat="false" ht="30" hidden="false" customHeight="true" outlineLevel="0" collapsed="false">
      <c r="A26" s="21" t="s">
        <v>185</v>
      </c>
      <c r="B26" s="9" t="s">
        <v>186</v>
      </c>
      <c r="C26" s="9"/>
      <c r="D26" s="9"/>
      <c r="E26" s="9"/>
      <c r="F26" s="9"/>
      <c r="G26" s="9"/>
    </row>
    <row r="27" customFormat="false" ht="30" hidden="false" customHeight="true" outlineLevel="0" collapsed="false">
      <c r="A27" s="21" t="s">
        <v>187</v>
      </c>
      <c r="B27" s="9" t="s">
        <v>188</v>
      </c>
      <c r="C27" s="9"/>
      <c r="D27" s="9"/>
      <c r="E27" s="9"/>
      <c r="F27" s="9"/>
      <c r="G27" s="9"/>
    </row>
    <row r="28" customFormat="false" ht="30" hidden="false" customHeight="true" outlineLevel="0" collapsed="false">
      <c r="A28" s="21" t="s">
        <v>189</v>
      </c>
      <c r="B28" s="9" t="s">
        <v>190</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191</v>
      </c>
      <c r="B1" s="1"/>
      <c r="C1" s="1"/>
      <c r="D1" s="1"/>
      <c r="E1" s="1"/>
      <c r="F1" s="1"/>
      <c r="G1" s="1"/>
      <c r="H1" s="1"/>
      <c r="I1" s="1"/>
      <c r="J1" s="1"/>
      <c r="K1" s="1"/>
      <c r="L1" s="1"/>
    </row>
    <row r="2" customFormat="false" ht="15" hidden="false" customHeight="true" outlineLevel="0" collapsed="false">
      <c r="A2" s="2" t="s">
        <v>192</v>
      </c>
      <c r="B2" s="2"/>
      <c r="C2" s="2"/>
      <c r="D2" s="2"/>
      <c r="E2" s="2"/>
      <c r="F2" s="2"/>
      <c r="G2" s="2"/>
      <c r="H2" s="2"/>
      <c r="I2" s="2"/>
      <c r="J2" s="2"/>
      <c r="K2" s="2"/>
      <c r="L2" s="2"/>
    </row>
    <row r="4" customFormat="false" ht="19.5" hidden="false" customHeight="true" outlineLevel="0" collapsed="false">
      <c r="A4" s="32" t="s">
        <v>193</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194</v>
      </c>
      <c r="B6" s="3"/>
      <c r="C6" s="3"/>
      <c r="D6" s="3"/>
      <c r="E6" s="3"/>
      <c r="F6" s="3"/>
      <c r="G6" s="3"/>
      <c r="H6" s="3"/>
      <c r="I6" s="3"/>
      <c r="J6" s="3"/>
      <c r="K6" s="3"/>
      <c r="L6" s="3"/>
    </row>
    <row r="7" customFormat="false" ht="19.5" hidden="false" customHeight="true" outlineLevel="0" collapsed="false">
      <c r="A7" s="44" t="s">
        <v>195</v>
      </c>
      <c r="B7" s="44"/>
      <c r="C7" s="45" t="n">
        <f aca="false">COUNT($A$28:$A$267)</f>
        <v>0</v>
      </c>
      <c r="D7" s="45"/>
      <c r="E7" s="44" t="s">
        <v>196</v>
      </c>
      <c r="F7" s="44"/>
      <c r="G7" s="46" t="str">
        <f aca="false">IF(COUNT($A$28:$A$267)=0,"",MAX($A$28:$A$267))</f>
        <v/>
      </c>
      <c r="H7" s="46"/>
      <c r="I7" s="44" t="s">
        <v>170</v>
      </c>
      <c r="J7" s="44"/>
      <c r="K7" s="45" t="str">
        <f aca="false">IF(COUNT($A$28:$A$267)=0,"",IFERROR(INDEX($B$28:$B$267,MATCH(MAX($A$28:$A$267),$A$28:$A$267,0)),""))</f>
        <v/>
      </c>
      <c r="L7" s="45"/>
    </row>
    <row r="8" customFormat="false" ht="19.5" hidden="false" customHeight="true" outlineLevel="0" collapsed="false">
      <c r="A8" s="44" t="s">
        <v>197</v>
      </c>
      <c r="B8" s="44"/>
      <c r="C8" s="45" t="str">
        <f aca="false">IF(COUNT($A$28:$A$267)=0,"",IFERROR(INDEX($F$28:$F$267,MATCH(MAX($A$28:$A$267),$A$28:$A$267,0)),""))</f>
        <v/>
      </c>
      <c r="D8" s="45"/>
      <c r="E8" s="44" t="s">
        <v>198</v>
      </c>
      <c r="F8" s="44"/>
      <c r="G8" s="45" t="str">
        <f aca="false">IF(COUNT($F$28:$F$267)=0,"",MAX($F$28:$F$267))</f>
        <v/>
      </c>
      <c r="H8" s="45"/>
      <c r="I8" s="44" t="s">
        <v>199</v>
      </c>
      <c r="J8" s="44"/>
      <c r="K8" s="45" t="str">
        <f aca="false">IF(COUNT($A$28:$A$267)=0,"",IFERROR(INDEX($G$28:$G$267,MATCH(MAX($A$28:$A$267),$A$28:$A$267,0)),""))</f>
        <v/>
      </c>
      <c r="L8" s="45"/>
    </row>
    <row r="9" customFormat="false" ht="19.5" hidden="false" customHeight="true" outlineLevel="0" collapsed="false">
      <c r="A9" s="44" t="s">
        <v>200</v>
      </c>
      <c r="B9" s="44"/>
      <c r="C9" s="45" t="str">
        <f aca="false">IF(COUNT($A$28:$A$267)=0,"",IFERROR(INDEX($H$28:$H$267,MATCH(MAX($A$28:$A$267),$A$28:$A$267,0)),""))</f>
        <v/>
      </c>
      <c r="D9" s="45"/>
      <c r="E9" s="44" t="s">
        <v>201</v>
      </c>
      <c r="F9" s="44"/>
      <c r="G9" s="47" t="str">
        <f aca="false">IF(COUNT($A$28:$A$267)=0,"",IFERROR(AVERAGEIFS($D$28:$D$267,$A$28:$A$267,"&gt;="&amp;MAX($A$28:$A$267)-13),""))</f>
        <v/>
      </c>
      <c r="H9" s="47"/>
      <c r="I9" s="44" t="s">
        <v>202</v>
      </c>
      <c r="J9" s="44"/>
      <c r="K9" s="47" t="str">
        <f aca="false">IF(COUNT($A$28:$A$267)=0,"",IFERROR(AVERAGEIFS($E$28:$E$267,$A$28:$A$267,"&gt;="&amp;MAX($A$28:$A$267)-13),""))</f>
        <v/>
      </c>
      <c r="L9" s="47"/>
    </row>
    <row r="11" customFormat="false" ht="19.5" hidden="false" customHeight="true" outlineLevel="0" collapsed="false">
      <c r="A11" s="3" t="s">
        <v>203</v>
      </c>
      <c r="B11" s="3"/>
      <c r="C11" s="3"/>
      <c r="D11" s="3"/>
      <c r="E11" s="3"/>
      <c r="F11" s="3"/>
      <c r="G11" s="3"/>
      <c r="H11" s="3"/>
      <c r="I11" s="3"/>
      <c r="J11" s="3"/>
      <c r="K11" s="3"/>
      <c r="L11" s="3"/>
    </row>
    <row r="27" customFormat="false" ht="33.75" hidden="false" customHeight="true" outlineLevel="0" collapsed="false">
      <c r="A27" s="22" t="s">
        <v>67</v>
      </c>
      <c r="B27" s="22" t="s">
        <v>104</v>
      </c>
      <c r="C27" s="22" t="s">
        <v>103</v>
      </c>
      <c r="D27" s="22" t="s">
        <v>204</v>
      </c>
      <c r="E27" s="22" t="s">
        <v>205</v>
      </c>
      <c r="F27" s="22" t="s">
        <v>206</v>
      </c>
      <c r="G27" s="22" t="s">
        <v>207</v>
      </c>
      <c r="H27" s="22" t="s">
        <v>208</v>
      </c>
      <c r="I27" s="22" t="s">
        <v>209</v>
      </c>
      <c r="J27" s="22" t="s">
        <v>210</v>
      </c>
      <c r="K27" s="22" t="s">
        <v>211</v>
      </c>
      <c r="L27" s="22" t="s">
        <v>212</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213</v>
      </c>
      <c r="B1" s="1"/>
      <c r="C1" s="1"/>
      <c r="D1" s="1"/>
      <c r="E1" s="1"/>
      <c r="F1" s="1"/>
      <c r="G1" s="1"/>
      <c r="H1" s="1"/>
      <c r="I1" s="1"/>
      <c r="J1" s="1"/>
      <c r="K1" s="1"/>
    </row>
    <row r="2" customFormat="false" ht="15" hidden="false" customHeight="true" outlineLevel="0" collapsed="false">
      <c r="A2" s="2" t="s">
        <v>214</v>
      </c>
      <c r="B2" s="2"/>
      <c r="C2" s="2"/>
      <c r="D2" s="2"/>
      <c r="E2" s="2"/>
      <c r="F2" s="2"/>
      <c r="G2" s="2"/>
      <c r="H2" s="2"/>
      <c r="I2" s="2"/>
      <c r="J2" s="2"/>
      <c r="K2" s="2"/>
    </row>
    <row r="3" customFormat="false" ht="31.5" hidden="false" customHeight="true" outlineLevel="0" collapsed="false">
      <c r="A3" s="22" t="s">
        <v>215</v>
      </c>
      <c r="B3" s="22" t="s">
        <v>67</v>
      </c>
      <c r="C3" s="22" t="s">
        <v>216</v>
      </c>
      <c r="D3" s="22" t="s">
        <v>217</v>
      </c>
      <c r="E3" s="22" t="s">
        <v>218</v>
      </c>
      <c r="F3" s="22" t="s">
        <v>211</v>
      </c>
      <c r="G3" s="22" t="s">
        <v>219</v>
      </c>
      <c r="H3" s="22" t="s">
        <v>220</v>
      </c>
      <c r="I3" s="22" t="s">
        <v>221</v>
      </c>
      <c r="J3" s="22" t="s">
        <v>222</v>
      </c>
      <c r="K3" s="22" t="s">
        <v>223</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224</v>
      </c>
      <c r="B64" s="57"/>
      <c r="C64" s="57"/>
      <c r="D64" s="57"/>
      <c r="E64" s="57"/>
      <c r="F64" s="57"/>
      <c r="G64" s="57"/>
      <c r="H64" s="58" t="n">
        <f aca="false">SUM(H4:H63)</f>
        <v>105</v>
      </c>
      <c r="I64" s="58" t="n">
        <f aca="false">SUM(I4:I63)</f>
        <v>132604.5</v>
      </c>
      <c r="J64" s="58" t="n">
        <f aca="false">SUM(J4:J63)</f>
        <v>152492</v>
      </c>
      <c r="K64" s="57"/>
    </row>
    <row r="66" customFormat="false" ht="15" hidden="false" customHeight="false" outlineLevel="0" collapsed="false">
      <c r="A66" s="19" t="s">
        <v>225</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226</v>
      </c>
      <c r="B1" s="1"/>
      <c r="C1" s="1"/>
      <c r="D1" s="1"/>
      <c r="E1" s="1"/>
      <c r="F1" s="1"/>
      <c r="G1" s="1"/>
      <c r="H1" s="1"/>
      <c r="I1" s="1"/>
      <c r="J1" s="1"/>
      <c r="K1" s="1"/>
      <c r="L1" s="1"/>
    </row>
    <row r="2" customFormat="false" ht="15" hidden="false" customHeight="true" outlineLevel="0" collapsed="false">
      <c r="A2" s="2" t="s">
        <v>227</v>
      </c>
      <c r="B2" s="2"/>
      <c r="C2" s="2"/>
      <c r="D2" s="2"/>
      <c r="E2" s="2"/>
      <c r="F2" s="2"/>
      <c r="G2" s="2"/>
      <c r="H2" s="2"/>
      <c r="I2" s="2"/>
      <c r="J2" s="2"/>
      <c r="K2" s="2"/>
      <c r="L2" s="2"/>
    </row>
    <row r="3" customFormat="false" ht="31.5" hidden="false" customHeight="true" outlineLevel="0" collapsed="false">
      <c r="A3" s="22" t="s">
        <v>67</v>
      </c>
      <c r="B3" s="22" t="s">
        <v>215</v>
      </c>
      <c r="C3" s="22" t="s">
        <v>228</v>
      </c>
      <c r="D3" s="22" t="s">
        <v>171</v>
      </c>
      <c r="E3" s="22" t="s">
        <v>229</v>
      </c>
      <c r="F3" s="22" t="s">
        <v>230</v>
      </c>
      <c r="G3" s="22" t="s">
        <v>231</v>
      </c>
      <c r="H3" s="22" t="s">
        <v>46</v>
      </c>
      <c r="I3" s="22" t="s">
        <v>232</v>
      </c>
      <c r="J3" s="22" t="s">
        <v>233</v>
      </c>
      <c r="K3" s="22" t="s">
        <v>234</v>
      </c>
      <c r="L3" s="22" t="s">
        <v>223</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235</v>
      </c>
      <c r="E4" s="53" t="s">
        <v>236</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235</v>
      </c>
      <c r="E5" s="53" t="s">
        <v>237</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235</v>
      </c>
      <c r="E6" s="53" t="s">
        <v>237</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235</v>
      </c>
      <c r="E7" s="53" t="s">
        <v>238</v>
      </c>
      <c r="F7" s="50" t="n">
        <v>110</v>
      </c>
      <c r="G7" s="54" t="n">
        <v>10</v>
      </c>
      <c r="H7" s="50"/>
      <c r="I7" s="55" t="str">
        <f aca="false">IF(AND(ISNUMBER($F7),ISNUMBER($G7),$E7&lt;&gt;"R"),$F7*$G7,"")</f>
        <v/>
      </c>
      <c r="J7" s="61" t="str">
        <f aca="false">IF(AND($E7="A",ISNUMBER($F7),ISNUMBER($G7)),$F7*(1+$G7/30),"")</f>
        <v/>
      </c>
      <c r="K7" s="52" t="s">
        <v>239</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235</v>
      </c>
      <c r="E8" s="53" t="s">
        <v>236</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235</v>
      </c>
      <c r="E9" s="53" t="s">
        <v>237</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235</v>
      </c>
      <c r="E10" s="53" t="s">
        <v>237</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235</v>
      </c>
      <c r="E11" s="53" t="s">
        <v>238</v>
      </c>
      <c r="F11" s="50" t="n">
        <v>110</v>
      </c>
      <c r="G11" s="54" t="n">
        <v>10</v>
      </c>
      <c r="H11" s="50"/>
      <c r="I11" s="55" t="str">
        <f aca="false">IF(AND(ISNUMBER($F11),ISNUMBER($G11),$E11&lt;&gt;"R"),$F11*$G11,"")</f>
        <v/>
      </c>
      <c r="J11" s="61" t="str">
        <f aca="false">IF(AND($E11="A",ISNUMBER($F11),ISNUMBER($G11)),$F11*(1+$G11/30),"")</f>
        <v/>
      </c>
      <c r="K11" s="52" t="s">
        <v>240</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235</v>
      </c>
      <c r="E12" s="53" t="s">
        <v>236</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235</v>
      </c>
      <c r="E13" s="53" t="s">
        <v>236</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235</v>
      </c>
      <c r="E14" s="53" t="s">
        <v>237</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235</v>
      </c>
      <c r="E15" s="53" t="s">
        <v>237</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235</v>
      </c>
      <c r="E16" s="53" t="s">
        <v>238</v>
      </c>
      <c r="F16" s="50" t="n">
        <v>110</v>
      </c>
      <c r="G16" s="54" t="n">
        <v>10</v>
      </c>
      <c r="H16" s="50"/>
      <c r="I16" s="55" t="str">
        <f aca="false">IF(AND(ISNUMBER($F16),ISNUMBER($G16),$E16&lt;&gt;"R"),$F16*$G16,"")</f>
        <v/>
      </c>
      <c r="J16" s="61" t="str">
        <f aca="false">IF(AND($E16="A",ISNUMBER($F16),ISNUMBER($G16)),$F16*(1+$G16/30),"")</f>
        <v/>
      </c>
      <c r="K16" s="52" t="s">
        <v>241</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235</v>
      </c>
      <c r="E17" s="53" t="s">
        <v>236</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235</v>
      </c>
      <c r="E18" s="53" t="s">
        <v>236</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235</v>
      </c>
      <c r="E19" s="53" t="s">
        <v>237</v>
      </c>
      <c r="F19" s="50" t="n">
        <v>152.5</v>
      </c>
      <c r="G19" s="54" t="n">
        <v>25</v>
      </c>
      <c r="H19" s="50"/>
      <c r="I19" s="55" t="n">
        <f aca="false">IF(AND(ISNUMBER($F19),ISNUMBER($G19),$E19&lt;&gt;"R"),$F19*$G19,"")</f>
        <v>3812.5</v>
      </c>
      <c r="J19" s="61" t="n">
        <f aca="false">IF(AND($E19="A",ISNUMBER($F19),ISNUMBER($G19)),$F19*(1+$G19/30),"")</f>
        <v>279.583333333333</v>
      </c>
      <c r="K19" s="52"/>
      <c r="L19" s="52" t="s">
        <v>242</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235</v>
      </c>
      <c r="E20" s="53" t="s">
        <v>237</v>
      </c>
      <c r="F20" s="50" t="n">
        <v>152.5</v>
      </c>
      <c r="G20" s="54" t="n">
        <v>20</v>
      </c>
      <c r="H20" s="50"/>
      <c r="I20" s="55" t="n">
        <f aca="false">IF(AND(ISNUMBER($F20),ISNUMBER($G20),$E20&lt;&gt;"R"),$F20*$G20,"")</f>
        <v>3050</v>
      </c>
      <c r="J20" s="61" t="n">
        <f aca="false">IF(AND($E20="A",ISNUMBER($F20),ISNUMBER($G20)),$F20*(1+$G20/30),"")</f>
        <v>254.166666666667</v>
      </c>
      <c r="K20" s="52"/>
      <c r="L20" s="52" t="s">
        <v>242</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235</v>
      </c>
      <c r="E21" s="53" t="s">
        <v>238</v>
      </c>
      <c r="F21" s="50" t="n">
        <v>125</v>
      </c>
      <c r="G21" s="54" t="n">
        <v>6</v>
      </c>
      <c r="H21" s="50"/>
      <c r="I21" s="55" t="str">
        <f aca="false">IF(AND(ISNUMBER($F21),ISNUMBER($G21),$E21&lt;&gt;"R"),$F21*$G21,"")</f>
        <v/>
      </c>
      <c r="J21" s="61" t="str">
        <f aca="false">IF(AND($E21="A",ISNUMBER($F21),ISNUMBER($G21)),$F21*(1+$G21/30),"")</f>
        <v/>
      </c>
      <c r="K21" s="52" t="s">
        <v>243</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244</v>
      </c>
      <c r="E22" s="53" t="s">
        <v>236</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244</v>
      </c>
      <c r="E23" s="53" t="s">
        <v>236</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244</v>
      </c>
      <c r="E24" s="53" t="s">
        <v>237</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244</v>
      </c>
      <c r="E25" s="53" t="s">
        <v>237</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244</v>
      </c>
      <c r="E26" s="53" t="s">
        <v>238</v>
      </c>
      <c r="F26" s="50" t="n">
        <v>55</v>
      </c>
      <c r="G26" s="54"/>
      <c r="H26" s="50"/>
      <c r="I26" s="55" t="str">
        <f aca="false">IF(AND(ISNUMBER($F26),ISNUMBER($G26),$E26&lt;&gt;"R"),$F26*$G26,"")</f>
        <v/>
      </c>
      <c r="J26" s="61" t="str">
        <f aca="false">IF(AND($E26="A",ISNUMBER($F26),ISNUMBER($G26)),$F26*(1+$G26/30),"")</f>
        <v/>
      </c>
      <c r="K26" s="52" t="s">
        <v>245</v>
      </c>
      <c r="L26" s="52" t="s">
        <v>246</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244</v>
      </c>
      <c r="E27" s="53" t="s">
        <v>236</v>
      </c>
      <c r="F27" s="50" t="n">
        <v>10</v>
      </c>
      <c r="G27" s="54"/>
      <c r="H27" s="50"/>
      <c r="I27" s="55" t="str">
        <f aca="false">IF(AND(ISNUMBER($F27),ISNUMBER($G27),$E27&lt;&gt;"R"),$F27*$G27,"")</f>
        <v/>
      </c>
      <c r="J27" s="61" t="str">
        <f aca="false">IF(AND($E27="A",ISNUMBER($F27),ISNUMBER($G27)),$F27*(1+$G27/30),"")</f>
        <v/>
      </c>
      <c r="K27" s="52"/>
      <c r="L27" s="52" t="s">
        <v>247</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244</v>
      </c>
      <c r="E28" s="53" t="s">
        <v>236</v>
      </c>
      <c r="F28" s="50" t="n">
        <v>20</v>
      </c>
      <c r="G28" s="54"/>
      <c r="H28" s="50"/>
      <c r="I28" s="55" t="str">
        <f aca="false">IF(AND(ISNUMBER($F28),ISNUMBER($G28),$E28&lt;&gt;"R"),$F28*$G28,"")</f>
        <v/>
      </c>
      <c r="J28" s="61" t="str">
        <f aca="false">IF(AND($E28="A",ISNUMBER($F28),ISNUMBER($G28)),$F28*(1+$G28/30),"")</f>
        <v/>
      </c>
      <c r="K28" s="52"/>
      <c r="L28" s="52" t="s">
        <v>247</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244</v>
      </c>
      <c r="E29" s="53" t="s">
        <v>237</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244</v>
      </c>
      <c r="E30" s="53" t="s">
        <v>237</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244</v>
      </c>
      <c r="E31" s="53" t="s">
        <v>238</v>
      </c>
      <c r="F31" s="50" t="n">
        <v>60</v>
      </c>
      <c r="G31" s="54" t="n">
        <v>10</v>
      </c>
      <c r="H31" s="50"/>
      <c r="I31" s="55" t="str">
        <f aca="false">IF(AND(ISNUMBER($F31),ISNUMBER($G31),$E31&lt;&gt;"R"),$F31*$G31,"")</f>
        <v/>
      </c>
      <c r="J31" s="61" t="str">
        <f aca="false">IF(AND($E31="A",ISNUMBER($F31),ISNUMBER($G31)),$F31*(1+$G31/30),"")</f>
        <v/>
      </c>
      <c r="K31" s="52" t="s">
        <v>248</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244</v>
      </c>
      <c r="E32" s="53" t="s">
        <v>236</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244</v>
      </c>
      <c r="E33" s="53" t="s">
        <v>236</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244</v>
      </c>
      <c r="E34" s="53" t="s">
        <v>237</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244</v>
      </c>
      <c r="E35" s="53" t="s">
        <v>237</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244</v>
      </c>
      <c r="E36" s="53" t="s">
        <v>238</v>
      </c>
      <c r="F36" s="50" t="n">
        <v>65</v>
      </c>
      <c r="G36" s="54" t="n">
        <v>10</v>
      </c>
      <c r="H36" s="50"/>
      <c r="I36" s="55" t="str">
        <f aca="false">IF(AND(ISNUMBER($F36),ISNUMBER($G36),$E36&lt;&gt;"R"),$F36*$G36,"")</f>
        <v/>
      </c>
      <c r="J36" s="61" t="str">
        <f aca="false">IF(AND($E36="A",ISNUMBER($F36),ISNUMBER($G36)),$F36*(1+$G36/30),"")</f>
        <v/>
      </c>
      <c r="K36" s="52" t="s">
        <v>249</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244</v>
      </c>
      <c r="E37" s="53" t="s">
        <v>236</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244</v>
      </c>
      <c r="E38" s="53" t="s">
        <v>236</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244</v>
      </c>
      <c r="E39" s="53" t="s">
        <v>237</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244</v>
      </c>
      <c r="E40" s="53" t="s">
        <v>237</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244</v>
      </c>
      <c r="E41" s="53" t="s">
        <v>238</v>
      </c>
      <c r="F41" s="50" t="n">
        <v>70</v>
      </c>
      <c r="G41" s="54" t="n">
        <v>6</v>
      </c>
      <c r="H41" s="50"/>
      <c r="I41" s="55" t="str">
        <f aca="false">IF(AND(ISNUMBER($F41),ISNUMBER($G41),$E41&lt;&gt;"R"),$F41*$G41,"")</f>
        <v/>
      </c>
      <c r="J41" s="61" t="str">
        <f aca="false">IF(AND($E41="A",ISNUMBER($F41),ISNUMBER($G41)),$F41*(1+$G41/30),"")</f>
        <v/>
      </c>
      <c r="K41" s="52" t="s">
        <v>250</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251</v>
      </c>
      <c r="E42" s="53" t="s">
        <v>236</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251</v>
      </c>
      <c r="E43" s="53" t="s">
        <v>236</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251</v>
      </c>
      <c r="E44" s="53" t="s">
        <v>237</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251</v>
      </c>
      <c r="E45" s="53" t="s">
        <v>237</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251</v>
      </c>
      <c r="E46" s="53" t="s">
        <v>237</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251</v>
      </c>
      <c r="E47" s="53" t="s">
        <v>236</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251</v>
      </c>
      <c r="E48" s="53" t="s">
        <v>236</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251</v>
      </c>
      <c r="E49" s="53" t="s">
        <v>237</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251</v>
      </c>
      <c r="E50" s="53" t="s">
        <v>237</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251</v>
      </c>
      <c r="E51" s="53" t="s">
        <v>237</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251</v>
      </c>
      <c r="E52" s="53" t="s">
        <v>236</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251</v>
      </c>
      <c r="E53" s="53" t="s">
        <v>236</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251</v>
      </c>
      <c r="E54" s="53" t="s">
        <v>237</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251</v>
      </c>
      <c r="E55" s="53" t="s">
        <v>237</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251</v>
      </c>
      <c r="E56" s="53" t="s">
        <v>237</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251</v>
      </c>
      <c r="E57" s="53" t="s">
        <v>236</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251</v>
      </c>
      <c r="E58" s="53" t="s">
        <v>236</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251</v>
      </c>
      <c r="E59" s="53" t="s">
        <v>237</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251</v>
      </c>
      <c r="E60" s="53" t="s">
        <v>237</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251</v>
      </c>
      <c r="E61" s="53" t="s">
        <v>237</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65</v>
      </c>
      <c r="E62" s="53" t="s">
        <v>237</v>
      </c>
      <c r="F62" s="50" t="n">
        <v>10</v>
      </c>
      <c r="G62" s="54"/>
      <c r="H62" s="50"/>
      <c r="I62" s="55" t="str">
        <f aca="false">IF(AND(ISNUMBER($F62),ISNUMBER($G62),$E62&lt;&gt;"R"),$F62*$G62,"")</f>
        <v/>
      </c>
      <c r="J62" s="61" t="str">
        <f aca="false">IF(AND($E62="A",ISNUMBER($F62),ISNUMBER($G62)),$F62*(1+$G62/30),"")</f>
        <v/>
      </c>
      <c r="K62" s="52"/>
      <c r="L62" s="52" t="s">
        <v>252</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65</v>
      </c>
      <c r="E63" s="53" t="s">
        <v>237</v>
      </c>
      <c r="F63" s="50" t="n">
        <v>16</v>
      </c>
      <c r="G63" s="54"/>
      <c r="H63" s="50"/>
      <c r="I63" s="55" t="str">
        <f aca="false">IF(AND(ISNUMBER($F63),ISNUMBER($G63),$E63&lt;&gt;"R"),$F63*$G63,"")</f>
        <v/>
      </c>
      <c r="J63" s="61" t="str">
        <f aca="false">IF(AND($E63="A",ISNUMBER($F63),ISNUMBER($G63)),$F63*(1+$G63/30),"")</f>
        <v/>
      </c>
      <c r="K63" s="52"/>
      <c r="L63" s="52" t="s">
        <v>252</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65</v>
      </c>
      <c r="E64" s="53" t="s">
        <v>237</v>
      </c>
      <c r="F64" s="50" t="n">
        <v>18</v>
      </c>
      <c r="G64" s="54"/>
      <c r="H64" s="50"/>
      <c r="I64" s="55" t="str">
        <f aca="false">IF(AND(ISNUMBER($F64),ISNUMBER($G64),$E64&lt;&gt;"R"),$F64*$G64,"")</f>
        <v/>
      </c>
      <c r="J64" s="61" t="str">
        <f aca="false">IF(AND($E64="A",ISNUMBER($F64),ISNUMBER($G64)),$F64*(1+$G64/30),"")</f>
        <v/>
      </c>
      <c r="K64" s="52"/>
      <c r="L64" s="52" t="s">
        <v>252</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253</v>
      </c>
      <c r="E65" s="53" t="s">
        <v>236</v>
      </c>
      <c r="F65" s="50" t="n">
        <v>35</v>
      </c>
      <c r="G65" s="54"/>
      <c r="H65" s="50"/>
      <c r="I65" s="55" t="str">
        <f aca="false">IF(AND(ISNUMBER($F65),ISNUMBER($G65),$E65&lt;&gt;"R"),$F65*$G65,"")</f>
        <v/>
      </c>
      <c r="J65" s="61" t="str">
        <f aca="false">IF(AND($E65="A",ISNUMBER($F65),ISNUMBER($G65)),$F65*(1+$G65/30),"")</f>
        <v/>
      </c>
      <c r="K65" s="52"/>
      <c r="L65" s="52" t="s">
        <v>252</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253</v>
      </c>
      <c r="E66" s="53" t="s">
        <v>236</v>
      </c>
      <c r="F66" s="50" t="n">
        <v>49</v>
      </c>
      <c r="G66" s="54"/>
      <c r="H66" s="50"/>
      <c r="I66" s="55" t="str">
        <f aca="false">IF(AND(ISNUMBER($F66),ISNUMBER($G66),$E66&lt;&gt;"R"),$F66*$G66,"")</f>
        <v/>
      </c>
      <c r="J66" s="61" t="str">
        <f aca="false">IF(AND($E66="A",ISNUMBER($F66),ISNUMBER($G66)),$F66*(1+$G66/30),"")</f>
        <v/>
      </c>
      <c r="K66" s="52"/>
      <c r="L66" s="52" t="s">
        <v>252</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253</v>
      </c>
      <c r="E67" s="53" t="s">
        <v>237</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253</v>
      </c>
      <c r="E68" s="53" t="s">
        <v>237</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253</v>
      </c>
      <c r="E69" s="53" t="s">
        <v>236</v>
      </c>
      <c r="F69" s="50" t="n">
        <v>30</v>
      </c>
      <c r="G69" s="54"/>
      <c r="H69" s="50"/>
      <c r="I69" s="55" t="str">
        <f aca="false">IF(AND(ISNUMBER($F69),ISNUMBER($G69),$E69&lt;&gt;"R"),$F69*$G69,"")</f>
        <v/>
      </c>
      <c r="J69" s="61" t="str">
        <f aca="false">IF(AND($E69="A",ISNUMBER($F69),ISNUMBER($G69)),$F69*(1+$G69/30),"")</f>
        <v/>
      </c>
      <c r="K69" s="52"/>
      <c r="L69" s="52" t="s">
        <v>252</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253</v>
      </c>
      <c r="E70" s="53" t="s">
        <v>236</v>
      </c>
      <c r="F70" s="50" t="n">
        <v>42</v>
      </c>
      <c r="G70" s="54"/>
      <c r="H70" s="50"/>
      <c r="I70" s="55" t="str">
        <f aca="false">IF(AND(ISNUMBER($F70),ISNUMBER($G70),$E70&lt;&gt;"R"),$F70*$G70,"")</f>
        <v/>
      </c>
      <c r="J70" s="61" t="str">
        <f aca="false">IF(AND($E70="A",ISNUMBER($F70),ISNUMBER($G70)),$F70*(1+$G70/30),"")</f>
        <v/>
      </c>
      <c r="K70" s="52"/>
      <c r="L70" s="52" t="s">
        <v>252</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253</v>
      </c>
      <c r="E71" s="53" t="s">
        <v>237</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253</v>
      </c>
      <c r="E72" s="53" t="s">
        <v>237</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253</v>
      </c>
      <c r="E73" s="53" t="s">
        <v>236</v>
      </c>
      <c r="F73" s="50" t="n">
        <v>20</v>
      </c>
      <c r="G73" s="54"/>
      <c r="H73" s="50"/>
      <c r="I73" s="55" t="str">
        <f aca="false">IF(AND(ISNUMBER($F73),ISNUMBER($G73),$E73&lt;&gt;"R"),$F73*$G73,"")</f>
        <v/>
      </c>
      <c r="J73" s="61" t="str">
        <f aca="false">IF(AND($E73="A",ISNUMBER($F73),ISNUMBER($G73)),$F73*(1+$G73/30),"")</f>
        <v/>
      </c>
      <c r="K73" s="52"/>
      <c r="L73" s="52" t="s">
        <v>252</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253</v>
      </c>
      <c r="E74" s="53" t="s">
        <v>236</v>
      </c>
      <c r="F74" s="50" t="n">
        <v>30</v>
      </c>
      <c r="G74" s="54"/>
      <c r="H74" s="50"/>
      <c r="I74" s="55" t="str">
        <f aca="false">IF(AND(ISNUMBER($F74),ISNUMBER($G74),$E74&lt;&gt;"R"),$F74*$G74,"")</f>
        <v/>
      </c>
      <c r="J74" s="61" t="str">
        <f aca="false">IF(AND($E74="A",ISNUMBER($F74),ISNUMBER($G74)),$F74*(1+$G74/30),"")</f>
        <v/>
      </c>
      <c r="K74" s="52"/>
      <c r="L74" s="52" t="s">
        <v>252</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253</v>
      </c>
      <c r="E75" s="53" t="s">
        <v>237</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253</v>
      </c>
      <c r="E76" s="53" t="s">
        <v>237</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253</v>
      </c>
      <c r="E77" s="53" t="s">
        <v>236</v>
      </c>
      <c r="F77" s="50" t="n">
        <v>25</v>
      </c>
      <c r="G77" s="54"/>
      <c r="H77" s="50"/>
      <c r="I77" s="55" t="str">
        <f aca="false">IF(AND(ISNUMBER($F77),ISNUMBER($G77),$E77&lt;&gt;"R"),$F77*$G77,"")</f>
        <v/>
      </c>
      <c r="J77" s="61" t="str">
        <f aca="false">IF(AND($E77="A",ISNUMBER($F77),ISNUMBER($G77)),$F77*(1+$G77/30),"")</f>
        <v/>
      </c>
      <c r="K77" s="52"/>
      <c r="L77" s="52" t="s">
        <v>252</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253</v>
      </c>
      <c r="E78" s="53" t="s">
        <v>236</v>
      </c>
      <c r="F78" s="50" t="n">
        <v>35</v>
      </c>
      <c r="G78" s="54"/>
      <c r="H78" s="50"/>
      <c r="I78" s="55" t="str">
        <f aca="false">IF(AND(ISNUMBER($F78),ISNUMBER($G78),$E78&lt;&gt;"R"),$F78*$G78,"")</f>
        <v/>
      </c>
      <c r="J78" s="61" t="str">
        <f aca="false">IF(AND($E78="A",ISNUMBER($F78),ISNUMBER($G78)),$F78*(1+$G78/30),"")</f>
        <v/>
      </c>
      <c r="K78" s="52"/>
      <c r="L78" s="52" t="s">
        <v>252</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253</v>
      </c>
      <c r="E79" s="53" t="s">
        <v>237</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253</v>
      </c>
      <c r="E80" s="53" t="s">
        <v>237</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254</v>
      </c>
      <c r="E81" s="53" t="s">
        <v>236</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254</v>
      </c>
      <c r="E82" s="53" t="s">
        <v>237</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254</v>
      </c>
      <c r="E83" s="53" t="s">
        <v>237</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254</v>
      </c>
      <c r="E84" s="53" t="s">
        <v>236</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254</v>
      </c>
      <c r="E85" s="53" t="s">
        <v>237</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254</v>
      </c>
      <c r="E86" s="53" t="s">
        <v>237</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255</v>
      </c>
      <c r="E87" s="53" t="s">
        <v>236</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255</v>
      </c>
      <c r="E88" s="53" t="s">
        <v>237</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255</v>
      </c>
      <c r="E89" s="53" t="s">
        <v>237</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255</v>
      </c>
      <c r="E90" s="53" t="s">
        <v>238</v>
      </c>
      <c r="F90" s="50" t="n">
        <v>30</v>
      </c>
      <c r="G90" s="54" t="n">
        <v>10</v>
      </c>
      <c r="H90" s="50"/>
      <c r="I90" s="55" t="str">
        <f aca="false">IF(AND(ISNUMBER($F90),ISNUMBER($G90),$E90&lt;&gt;"R"),$F90*$G90,"")</f>
        <v/>
      </c>
      <c r="J90" s="61" t="str">
        <f aca="false">IF(AND($E90="A",ISNUMBER($F90),ISNUMBER($G90)),$F90*(1+$G90/30),"")</f>
        <v/>
      </c>
      <c r="K90" s="52" t="s">
        <v>256</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255</v>
      </c>
      <c r="E91" s="53" t="s">
        <v>236</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255</v>
      </c>
      <c r="E92" s="53" t="s">
        <v>237</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255</v>
      </c>
      <c r="E93" s="53" t="s">
        <v>237</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255</v>
      </c>
      <c r="E94" s="53" t="s">
        <v>238</v>
      </c>
      <c r="F94" s="50" t="n">
        <v>40</v>
      </c>
      <c r="G94" s="54" t="n">
        <v>8</v>
      </c>
      <c r="H94" s="50"/>
      <c r="I94" s="55" t="str">
        <f aca="false">IF(AND(ISNUMBER($F94),ISNUMBER($G94),$E94&lt;&gt;"R"),$F94*$G94,"")</f>
        <v/>
      </c>
      <c r="J94" s="61" t="str">
        <f aca="false">IF(AND($E94="A",ISNUMBER($F94),ISNUMBER($G94)),$F94*(1+$G94/30),"")</f>
        <v/>
      </c>
      <c r="K94" s="52" t="s">
        <v>257</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255</v>
      </c>
      <c r="E95" s="53" t="s">
        <v>236</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255</v>
      </c>
      <c r="E96" s="53" t="s">
        <v>237</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255</v>
      </c>
      <c r="E97" s="53" t="s">
        <v>237</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255</v>
      </c>
      <c r="E98" s="53" t="s">
        <v>238</v>
      </c>
      <c r="F98" s="50" t="n">
        <v>30</v>
      </c>
      <c r="G98" s="54" t="n">
        <v>6</v>
      </c>
      <c r="H98" s="50"/>
      <c r="I98" s="55" t="str">
        <f aca="false">IF(AND(ISNUMBER($F98),ISNUMBER($G98),$E98&lt;&gt;"R"),$F98*$G98,"")</f>
        <v/>
      </c>
      <c r="J98" s="61" t="str">
        <f aca="false">IF(AND($E98="A",ISNUMBER($F98),ISNUMBER($G98)),$F98*(1+$G98/30),"")</f>
        <v/>
      </c>
      <c r="K98" s="52" t="s">
        <v>258</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259</v>
      </c>
      <c r="E99" s="53" t="s">
        <v>236</v>
      </c>
      <c r="F99" s="50" t="n">
        <v>170</v>
      </c>
      <c r="G99" s="54" t="n">
        <v>10</v>
      </c>
      <c r="H99" s="50"/>
      <c r="I99" s="55" t="n">
        <f aca="false">IF(AND(ISNUMBER($F99),ISNUMBER($G99),$E99&lt;&gt;"R"),$F99*$G99,"")</f>
        <v>1700</v>
      </c>
      <c r="J99" s="61" t="str">
        <f aca="false">IF(AND($E99="A",ISNUMBER($F99),ISNUMBER($G99)),$F99*(1+$G99/30),"")</f>
        <v/>
      </c>
      <c r="K99" s="52"/>
      <c r="L99" s="52" t="s">
        <v>260</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259</v>
      </c>
      <c r="E100" s="53" t="s">
        <v>237</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259</v>
      </c>
      <c r="E101" s="53" t="s">
        <v>237</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259</v>
      </c>
      <c r="E102" s="53" t="s">
        <v>238</v>
      </c>
      <c r="F102" s="50"/>
      <c r="G102" s="54" t="n">
        <v>6</v>
      </c>
      <c r="H102" s="50"/>
      <c r="I102" s="55" t="str">
        <f aca="false">IF(AND(ISNUMBER($F102),ISNUMBER($G102),$E102&lt;&gt;"R"),$F102*$G102,"")</f>
        <v/>
      </c>
      <c r="J102" s="61" t="str">
        <f aca="false">IF(AND($E102="A",ISNUMBER($F102),ISNUMBER($G102)),$F102*(1+$G102/30),"")</f>
        <v/>
      </c>
      <c r="K102" s="52" t="s">
        <v>261</v>
      </c>
      <c r="L102" s="52" t="s">
        <v>262</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259</v>
      </c>
      <c r="E103" s="53" t="s">
        <v>236</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259</v>
      </c>
      <c r="E104" s="53" t="s">
        <v>237</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259</v>
      </c>
      <c r="E105" s="53" t="s">
        <v>237</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259</v>
      </c>
      <c r="E106" s="53" t="s">
        <v>238</v>
      </c>
      <c r="F106" s="50"/>
      <c r="G106" s="54" t="n">
        <v>6</v>
      </c>
      <c r="H106" s="50"/>
      <c r="I106" s="55" t="str">
        <f aca="false">IF(AND(ISNUMBER($F106),ISNUMBER($G106),$E106&lt;&gt;"R"),$F106*$G106,"")</f>
        <v/>
      </c>
      <c r="J106" s="61" t="str">
        <f aca="false">IF(AND($E106="A",ISNUMBER($F106),ISNUMBER($G106)),$F106*(1+$G106/30),"")</f>
        <v/>
      </c>
      <c r="K106" s="52" t="s">
        <v>261</v>
      </c>
      <c r="L106" s="52" t="s">
        <v>262</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259</v>
      </c>
      <c r="E107" s="53" t="s">
        <v>236</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259</v>
      </c>
      <c r="E108" s="53" t="s">
        <v>236</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259</v>
      </c>
      <c r="E109" s="53" t="s">
        <v>237</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259</v>
      </c>
      <c r="E110" s="53" t="s">
        <v>237</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259</v>
      </c>
      <c r="E111" s="53" t="s">
        <v>238</v>
      </c>
      <c r="F111" s="50"/>
      <c r="G111" s="54" t="n">
        <v>6</v>
      </c>
      <c r="H111" s="50"/>
      <c r="I111" s="55" t="str">
        <f aca="false">IF(AND(ISNUMBER($F111),ISNUMBER($G111),$E111&lt;&gt;"R"),$F111*$G111,"")</f>
        <v/>
      </c>
      <c r="J111" s="61" t="str">
        <f aca="false">IF(AND($E111="A",ISNUMBER($F111),ISNUMBER($G111)),$F111*(1+$G111/30),"")</f>
        <v/>
      </c>
      <c r="K111" s="52" t="s">
        <v>261</v>
      </c>
      <c r="L111" s="52" t="s">
        <v>262</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259</v>
      </c>
      <c r="E112" s="53" t="s">
        <v>236</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259</v>
      </c>
      <c r="E113" s="53" t="s">
        <v>236</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259</v>
      </c>
      <c r="E114" s="53" t="s">
        <v>237</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259</v>
      </c>
      <c r="E115" s="53" t="s">
        <v>237</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259</v>
      </c>
      <c r="E116" s="53" t="s">
        <v>237</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263</v>
      </c>
      <c r="E117" s="53" t="s">
        <v>236</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263</v>
      </c>
      <c r="E118" s="53" t="s">
        <v>237</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263</v>
      </c>
      <c r="E119" s="53" t="s">
        <v>237</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263</v>
      </c>
      <c r="E120" s="53" t="s">
        <v>236</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263</v>
      </c>
      <c r="E121" s="53" t="s">
        <v>237</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263</v>
      </c>
      <c r="E122" s="53" t="s">
        <v>237</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IFERROR(IF($D123="","",INDEX(Übungen!$B$4:$B$17,MATCH($D123,Übungen!$A$4:$A$17,0))),"")</f>
        <v>Beine hinten</v>
      </c>
      <c r="D123" s="52" t="s">
        <v>264</v>
      </c>
      <c r="E123" s="53" t="s">
        <v>236</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IFERROR(IF($D124="","",INDEX(Übungen!$B$4:$B$17,MATCH($D124,Übungen!$A$4:$A$17,0))),"")</f>
        <v>Beine hinten</v>
      </c>
      <c r="D124" s="52" t="s">
        <v>264</v>
      </c>
      <c r="E124" s="53" t="s">
        <v>236</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IFERROR(IF($D125="","",INDEX(Übungen!$B$4:$B$17,MATCH($D125,Übungen!$A$4:$A$17,0))),"")</f>
        <v>Beine hinten</v>
      </c>
      <c r="D125" s="52" t="s">
        <v>264</v>
      </c>
      <c r="E125" s="53" t="s">
        <v>237</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IFERROR(IF($D126="","",INDEX(Übungen!$B$4:$B$17,MATCH($D126,Übungen!$A$4:$A$17,0))),"")</f>
        <v>Beine hinten</v>
      </c>
      <c r="D126" s="52" t="s">
        <v>264</v>
      </c>
      <c r="E126" s="53" t="s">
        <v>237</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IFERROR(IF($D127="","",INDEX(Übungen!$B$4:$B$17,MATCH($D127,Übungen!$A$4:$A$17,0))),"")</f>
        <v>Beine hinten</v>
      </c>
      <c r="D127" s="52" t="s">
        <v>264</v>
      </c>
      <c r="E127" s="53" t="s">
        <v>237</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IFERROR(IF($D128="","",INDEX(Übungen!$B$4:$B$17,MATCH($D128,Übungen!$A$4:$A$17,0))),"")</f>
        <v>Beine hinten</v>
      </c>
      <c r="D128" s="52" t="s">
        <v>259</v>
      </c>
      <c r="E128" s="53" t="s">
        <v>236</v>
      </c>
      <c r="F128" s="50" t="n">
        <v>125</v>
      </c>
      <c r="G128" s="54" t="n">
        <v>8</v>
      </c>
      <c r="H128" s="50"/>
      <c r="I128" s="55" t="n">
        <f aca="false">IF(AND(ISNUMBER($F128),ISNUMBER($G128),$E128&lt;&gt;"R"),$F128*$G128,"")</f>
        <v>1000</v>
      </c>
      <c r="J128" s="61" t="str">
        <f aca="false">IF(AND($E128="A",ISNUMBER($F128),ISNUMBER($G128)),$F128*(1+$G128/30),"")</f>
        <v/>
      </c>
      <c r="K128" s="52"/>
      <c r="L128" s="52" t="s">
        <v>265</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IFERROR(IF($D129="","",INDEX(Übungen!$B$4:$B$17,MATCH($D129,Übungen!$A$4:$A$17,0))),"")</f>
        <v>Beine hinten</v>
      </c>
      <c r="D129" s="52" t="s">
        <v>259</v>
      </c>
      <c r="E129" s="53" t="s">
        <v>237</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IFERROR(IF($D130="","",INDEX(Übungen!$B$4:$B$17,MATCH($D130,Übungen!$A$4:$A$17,0))),"")</f>
        <v>Beine hinten</v>
      </c>
      <c r="D130" s="52" t="s">
        <v>259</v>
      </c>
      <c r="E130" s="53" t="s">
        <v>237</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IFERROR(IF($D131="","",INDEX(Übungen!$B$4:$B$17,MATCH($D131,Übungen!$A$4:$A$17,0))),"")</f>
        <v>Beine hinten</v>
      </c>
      <c r="D131" s="52" t="s">
        <v>259</v>
      </c>
      <c r="E131" s="53" t="s">
        <v>237</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IFERROR(IF($D132="","",INDEX(Übungen!$B$4:$B$17,MATCH($D132,Übungen!$A$4:$A$17,0))),"")</f>
        <v>Beine hinten</v>
      </c>
      <c r="D132" s="52" t="s">
        <v>255</v>
      </c>
      <c r="E132" s="53" t="s">
        <v>236</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IFERROR(IF($D133="","",INDEX(Übungen!$B$4:$B$17,MATCH($D133,Übungen!$A$4:$A$17,0))),"")</f>
        <v>Beine hinten</v>
      </c>
      <c r="D133" s="52" t="s">
        <v>255</v>
      </c>
      <c r="E133" s="53" t="s">
        <v>236</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IFERROR(IF($D134="","",INDEX(Übungen!$B$4:$B$17,MATCH($D134,Übungen!$A$4:$A$17,0))),"")</f>
        <v>Beine hinten</v>
      </c>
      <c r="D134" s="52" t="s">
        <v>255</v>
      </c>
      <c r="E134" s="53" t="s">
        <v>237</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IFERROR(IF($D135="","",INDEX(Übungen!$B$4:$B$17,MATCH($D135,Übungen!$A$4:$A$17,0))),"")</f>
        <v>Beine hinten</v>
      </c>
      <c r="D135" s="52" t="s">
        <v>255</v>
      </c>
      <c r="E135" s="53" t="s">
        <v>237</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IFERROR(IF($D136="","",INDEX(Übungen!$B$4:$B$17,MATCH($D136,Übungen!$A$4:$A$17,0))),"")</f>
        <v>Beine hinten</v>
      </c>
      <c r="D136" s="52" t="s">
        <v>255</v>
      </c>
      <c r="E136" s="53" t="s">
        <v>238</v>
      </c>
      <c r="F136" s="50" t="n">
        <v>30</v>
      </c>
      <c r="G136" s="54" t="n">
        <v>6</v>
      </c>
      <c r="H136" s="50"/>
      <c r="I136" s="55" t="str">
        <f aca="false">IF(AND(ISNUMBER($F136),ISNUMBER($G136),$E136&lt;&gt;"R"),$F136*$G136,"")</f>
        <v/>
      </c>
      <c r="J136" s="61" t="str">
        <f aca="false">IF(AND($E136="A",ISNUMBER($F136),ISNUMBER($G136)),$F136*(1+$G136/30),"")</f>
        <v/>
      </c>
      <c r="K136" s="52" t="s">
        <v>258</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IFERROR(IF($D137="","",INDEX(Übungen!$B$4:$B$17,MATCH($D137,Übungen!$A$4:$A$17,0))),"")</f>
        <v>Beine hinten</v>
      </c>
      <c r="D137" s="52" t="s">
        <v>254</v>
      </c>
      <c r="E137" s="53" t="s">
        <v>236</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IFERROR(IF($D138="","",INDEX(Übungen!$B$4:$B$17,MATCH($D138,Übungen!$A$4:$A$17,0))),"")</f>
        <v>Beine hinten</v>
      </c>
      <c r="D138" s="52" t="s">
        <v>254</v>
      </c>
      <c r="E138" s="53" t="s">
        <v>237</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IFERROR(IF($D139="","",INDEX(Übungen!$B$4:$B$17,MATCH($D139,Übungen!$A$4:$A$17,0))),"")</f>
        <v>Beine hinten</v>
      </c>
      <c r="D139" s="52" t="s">
        <v>254</v>
      </c>
      <c r="E139" s="53" t="s">
        <v>237</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IFERROR(IF($D140="","",INDEX(Übungen!$B$4:$B$17,MATCH($D140,Übungen!$A$4:$A$17,0))),"")</f>
        <v>Beine hinten</v>
      </c>
      <c r="D140" s="52" t="s">
        <v>263</v>
      </c>
      <c r="E140" s="53" t="s">
        <v>236</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IFERROR(IF($D141="","",INDEX(Übungen!$B$4:$B$17,MATCH($D141,Übungen!$A$4:$A$17,0))),"")</f>
        <v>Beine hinten</v>
      </c>
      <c r="D141" s="52" t="s">
        <v>263</v>
      </c>
      <c r="E141" s="53" t="s">
        <v>236</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IFERROR(IF($D142="","",INDEX(Übungen!$B$4:$B$17,MATCH($D142,Übungen!$A$4:$A$17,0))),"")</f>
        <v>Beine hinten</v>
      </c>
      <c r="D142" s="52" t="s">
        <v>263</v>
      </c>
      <c r="E142" s="53" t="s">
        <v>237</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IFERROR(IF($D143="","",INDEX(Übungen!$B$4:$B$17,MATCH($D143,Übungen!$A$4:$A$17,0))),"")</f>
        <v>Beine hinten</v>
      </c>
      <c r="D143" s="52" t="s">
        <v>263</v>
      </c>
      <c r="E143" s="53" t="s">
        <v>237</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IFERROR(IF($D144="","",INDEX(Übungen!$B$4:$B$17,MATCH($D144,Übungen!$A$4:$A$17,0))),"")</f>
        <v>Beine vorne</v>
      </c>
      <c r="D144" s="52" t="s">
        <v>251</v>
      </c>
      <c r="E144" s="53" t="s">
        <v>236</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IFERROR(IF($D145="","",INDEX(Übungen!$B$4:$B$17,MATCH($D145,Übungen!$A$4:$A$17,0))),"")</f>
        <v>Beine vorne</v>
      </c>
      <c r="D145" s="52" t="s">
        <v>251</v>
      </c>
      <c r="E145" s="53" t="s">
        <v>236</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IFERROR(IF($D146="","",INDEX(Übungen!$B$4:$B$17,MATCH($D146,Übungen!$A$4:$A$17,0))),"")</f>
        <v>Beine vorne</v>
      </c>
      <c r="D146" s="52" t="s">
        <v>251</v>
      </c>
      <c r="E146" s="53" t="s">
        <v>237</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IFERROR(IF($D147="","",INDEX(Übungen!$B$4:$B$17,MATCH($D147,Übungen!$A$4:$A$17,0))),"")</f>
        <v>Beine vorne</v>
      </c>
      <c r="D147" s="52" t="s">
        <v>251</v>
      </c>
      <c r="E147" s="53" t="s">
        <v>237</v>
      </c>
      <c r="F147" s="50" t="n">
        <v>80</v>
      </c>
      <c r="G147" s="54" t="n">
        <v>12</v>
      </c>
      <c r="H147" s="50"/>
      <c r="I147" s="55" t="n">
        <f aca="false">IF(AND(ISNUMBER($F147),ISNUMBER($G147),$E147&lt;&gt;"R"),$F147*$G147,"")</f>
        <v>960</v>
      </c>
      <c r="J147" s="61" t="n">
        <f aca="false">IF(AND($E147="A",ISNUMBER($F147),ISNUMBER($G147)),$F147*(1+$G147/30),"")</f>
        <v>112</v>
      </c>
      <c r="K147" s="52"/>
      <c r="L147" s="52" t="s">
        <v>266</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IFERROR(IF($D148="","",INDEX(Übungen!$B$4:$B$17,MATCH($D148,Übungen!$A$4:$A$17,0))),"")</f>
        <v>Beine vorne</v>
      </c>
      <c r="D148" s="52" t="s">
        <v>267</v>
      </c>
      <c r="E148" s="53" t="s">
        <v>236</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IFERROR(IF($D149="","",INDEX(Übungen!$B$4:$B$17,MATCH($D149,Übungen!$A$4:$A$17,0))),"")</f>
        <v>Beine vorne</v>
      </c>
      <c r="D149" s="52" t="s">
        <v>267</v>
      </c>
      <c r="E149" s="53" t="s">
        <v>236</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IFERROR(IF($D150="","",INDEX(Übungen!$B$4:$B$17,MATCH($D150,Übungen!$A$4:$A$17,0))),"")</f>
        <v>Beine vorne</v>
      </c>
      <c r="D150" s="52" t="s">
        <v>267</v>
      </c>
      <c r="E150" s="53" t="s">
        <v>237</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IFERROR(IF($D151="","",INDEX(Übungen!$B$4:$B$17,MATCH($D151,Übungen!$A$4:$A$17,0))),"")</f>
        <v>Beine vorne</v>
      </c>
      <c r="D151" s="52" t="s">
        <v>267</v>
      </c>
      <c r="E151" s="53" t="s">
        <v>237</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IFERROR(IF($D152="","",INDEX(Übungen!$B$4:$B$17,MATCH($D152,Übungen!$A$4:$A$17,0))),"")</f>
        <v>Beine vorne</v>
      </c>
      <c r="D152" s="52" t="s">
        <v>244</v>
      </c>
      <c r="E152" s="53" t="s">
        <v>236</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IFERROR(IF($D153="","",INDEX(Übungen!$B$4:$B$17,MATCH($D153,Übungen!$A$4:$A$17,0))),"")</f>
        <v>Beine vorne</v>
      </c>
      <c r="D153" s="52" t="s">
        <v>244</v>
      </c>
      <c r="E153" s="53" t="s">
        <v>236</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IFERROR(IF($D154="","",INDEX(Übungen!$B$4:$B$17,MATCH($D154,Übungen!$A$4:$A$17,0))),"")</f>
        <v>Beine vorne</v>
      </c>
      <c r="D154" s="52" t="s">
        <v>244</v>
      </c>
      <c r="E154" s="53" t="s">
        <v>237</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IFERROR(IF($D155="","",INDEX(Übungen!$B$4:$B$17,MATCH($D155,Übungen!$A$4:$A$17,0))),"")</f>
        <v>Beine vorne</v>
      </c>
      <c r="D155" s="52" t="s">
        <v>244</v>
      </c>
      <c r="E155" s="53" t="s">
        <v>237</v>
      </c>
      <c r="F155" s="50" t="n">
        <v>70</v>
      </c>
      <c r="G155" s="54" t="n">
        <v>11</v>
      </c>
      <c r="H155" s="50"/>
      <c r="I155" s="55" t="n">
        <f aca="false">IF(AND(ISNUMBER($F155),ISNUMBER($G155),$E155&lt;&gt;"R"),$F155*$G155,"")</f>
        <v>770</v>
      </c>
      <c r="J155" s="61" t="n">
        <f aca="false">IF(AND($E155="A",ISNUMBER($F155),ISNUMBER($G155)),$F155*(1+$G155/30),"")</f>
        <v>95.6666666666667</v>
      </c>
      <c r="K155" s="52"/>
      <c r="L155" s="52" t="s">
        <v>266</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IFERROR(IF($D156="","",INDEX(Übungen!$B$4:$B$17,MATCH($D156,Übungen!$A$4:$A$17,0))),"")</f>
        <v>Beine vorne</v>
      </c>
      <c r="D156" s="52" t="s">
        <v>244</v>
      </c>
      <c r="E156" s="53" t="s">
        <v>238</v>
      </c>
      <c r="F156" s="50" t="n">
        <v>50</v>
      </c>
      <c r="G156" s="54"/>
      <c r="H156" s="50"/>
      <c r="I156" s="55" t="str">
        <f aca="false">IF(AND(ISNUMBER($F156),ISNUMBER($G156),$E156&lt;&gt;"R"),$F156*$G156,"")</f>
        <v/>
      </c>
      <c r="J156" s="61" t="str">
        <f aca="false">IF(AND($E156="A",ISNUMBER($F156),ISNUMBER($G156)),$F156*(1+$G156/30),"")</f>
        <v/>
      </c>
      <c r="K156" s="52" t="s">
        <v>268</v>
      </c>
      <c r="L156" s="52" t="s">
        <v>269</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IFERROR(IF($D157="","",INDEX(Übungen!$B$4:$B$17,MATCH($D157,Übungen!$A$4:$A$17,0))),"")</f>
        <v>Beine vorne</v>
      </c>
      <c r="D157" s="52" t="s">
        <v>235</v>
      </c>
      <c r="E157" s="53" t="s">
        <v>236</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IFERROR(IF($D158="","",INDEX(Übungen!$B$4:$B$17,MATCH($D158,Übungen!$A$4:$A$17,0))),"")</f>
        <v>Beine vorne</v>
      </c>
      <c r="D158" s="52" t="s">
        <v>235</v>
      </c>
      <c r="E158" s="53" t="s">
        <v>237</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IFERROR(IF($D159="","",INDEX(Übungen!$B$4:$B$17,MATCH($D159,Übungen!$A$4:$A$17,0))),"")</f>
        <v>Beine vorne</v>
      </c>
      <c r="D159" s="52" t="s">
        <v>235</v>
      </c>
      <c r="E159" s="53" t="s">
        <v>237</v>
      </c>
      <c r="F159" s="50" t="n">
        <v>162.5</v>
      </c>
      <c r="G159" s="54"/>
      <c r="H159" s="50"/>
      <c r="I159" s="55" t="str">
        <f aca="false">IF(AND(ISNUMBER($F159),ISNUMBER($G159),$E159&lt;&gt;"R"),$F159*$G159,"")</f>
        <v/>
      </c>
      <c r="J159" s="61" t="str">
        <f aca="false">IF(AND($E159="A",ISNUMBER($F159),ISNUMBER($G159)),$F159*(1+$G159/30),"")</f>
        <v/>
      </c>
      <c r="K159" s="52"/>
      <c r="L159" s="52" t="s">
        <v>269</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IFERROR(IF($D160="","",INDEX(Übungen!$B$4:$B$17,MATCH($D160,Übungen!$A$4:$A$17,0))),"")</f>
        <v>Beine vorne</v>
      </c>
      <c r="D160" s="52" t="s">
        <v>251</v>
      </c>
      <c r="E160" s="53" t="s">
        <v>237</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IFERROR(IF($D161="","",INDEX(Übungen!$B$4:$B$17,MATCH($D161,Übungen!$A$4:$A$17,0))),"")</f>
        <v>Beine vorne</v>
      </c>
      <c r="D161" s="52" t="s">
        <v>251</v>
      </c>
      <c r="E161" s="53" t="s">
        <v>237</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IFERROR(IF($D162="","",INDEX(Übungen!$B$4:$B$17,MATCH($D162,Übungen!$A$4:$A$17,0))),"")</f>
        <v>Beine vorne</v>
      </c>
      <c r="D162" s="52" t="s">
        <v>251</v>
      </c>
      <c r="E162" s="53" t="s">
        <v>237</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IFERROR(IF($D163="","",INDEX(Übungen!$B$4:$B$17,MATCH($D163,Übungen!$A$4:$A$17,0))),"")</f>
        <v>Beine vorne</v>
      </c>
      <c r="D163" s="52" t="s">
        <v>267</v>
      </c>
      <c r="E163" s="53" t="s">
        <v>237</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IFERROR(IF($D164="","",INDEX(Übungen!$B$4:$B$17,MATCH($D164,Übungen!$A$4:$A$17,0))),"")</f>
        <v>Beine vorne</v>
      </c>
      <c r="D164" s="52" t="s">
        <v>267</v>
      </c>
      <c r="E164" s="53" t="s">
        <v>237</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IFERROR(IF($D165="","",INDEX(Übungen!$B$4:$B$17,MATCH($D165,Übungen!$A$4:$A$17,0))),"")</f>
        <v>Beine vorne</v>
      </c>
      <c r="D165" s="52" t="s">
        <v>267</v>
      </c>
      <c r="E165" s="53" t="s">
        <v>237</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IFERROR(IF($D166="","",INDEX(Übungen!$B$4:$B$17,MATCH($D166,Übungen!$A$4:$A$17,0))),"")</f>
        <v>Beine vorne</v>
      </c>
      <c r="D166" s="52" t="s">
        <v>244</v>
      </c>
      <c r="E166" s="53" t="s">
        <v>237</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IFERROR(IF($D167="","",INDEX(Übungen!$B$4:$B$17,MATCH($D167,Übungen!$A$4:$A$17,0))),"")</f>
        <v>Beine vorne</v>
      </c>
      <c r="D167" s="52" t="s">
        <v>244</v>
      </c>
      <c r="E167" s="53" t="s">
        <v>237</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IFERROR(IF($D168="","",INDEX(Übungen!$B$4:$B$17,MATCH($D168,Übungen!$A$4:$A$17,0))),"")</f>
        <v>Beine vorne</v>
      </c>
      <c r="D168" s="52" t="s">
        <v>244</v>
      </c>
      <c r="E168" s="53" t="s">
        <v>237</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IFERROR(IF($D169="","",INDEX(Übungen!$B$4:$B$17,MATCH($D169,Übungen!$A$4:$A$17,0))),"")</f>
        <v>Beine vorne</v>
      </c>
      <c r="D169" s="52" t="s">
        <v>235</v>
      </c>
      <c r="E169" s="53" t="s">
        <v>237</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IFERROR(IF($D170="","",INDEX(Übungen!$B$4:$B$17,MATCH($D170,Übungen!$A$4:$A$17,0))),"")</f>
        <v>Beine vorne</v>
      </c>
      <c r="D170" s="52" t="s">
        <v>235</v>
      </c>
      <c r="E170" s="53" t="s">
        <v>237</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IFERROR(IF($D171="","",INDEX(Übungen!$B$4:$B$17,MATCH($D171,Übungen!$A$4:$A$17,0))),"")</f>
        <v>Beine hinten</v>
      </c>
      <c r="D171" s="52" t="s">
        <v>264</v>
      </c>
      <c r="E171" s="53" t="s">
        <v>237</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IFERROR(IF($D172="","",INDEX(Übungen!$B$4:$B$17,MATCH($D172,Übungen!$A$4:$A$17,0))),"")</f>
        <v>Beine hinten</v>
      </c>
      <c r="D172" s="52" t="s">
        <v>264</v>
      </c>
      <c r="E172" s="53" t="s">
        <v>237</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IFERROR(IF($D173="","",INDEX(Übungen!$B$4:$B$17,MATCH($D173,Übungen!$A$4:$A$17,0))),"")</f>
        <v>Beine hinten</v>
      </c>
      <c r="D173" s="52" t="s">
        <v>264</v>
      </c>
      <c r="E173" s="53" t="s">
        <v>237</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IFERROR(IF($D174="","",INDEX(Übungen!$B$4:$B$17,MATCH($D174,Übungen!$A$4:$A$17,0))),"")</f>
        <v>Beine hinten</v>
      </c>
      <c r="D174" s="52" t="s">
        <v>259</v>
      </c>
      <c r="E174" s="53" t="s">
        <v>237</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IFERROR(IF($D175="","",INDEX(Übungen!$B$4:$B$17,MATCH($D175,Übungen!$A$4:$A$17,0))),"")</f>
        <v>Beine hinten</v>
      </c>
      <c r="D175" s="52" t="s">
        <v>259</v>
      </c>
      <c r="E175" s="53" t="s">
        <v>237</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IFERROR(IF($D176="","",INDEX(Übungen!$B$4:$B$17,MATCH($D176,Übungen!$A$4:$A$17,0))),"")</f>
        <v>Beine hinten</v>
      </c>
      <c r="D176" s="52" t="s">
        <v>259</v>
      </c>
      <c r="E176" s="53" t="s">
        <v>237</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IFERROR(IF($D177="","",INDEX(Übungen!$B$4:$B$17,MATCH($D177,Übungen!$A$4:$A$17,0))),"")</f>
        <v>Beine hinten</v>
      </c>
      <c r="D177" s="52" t="s">
        <v>255</v>
      </c>
      <c r="E177" s="53" t="s">
        <v>237</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IFERROR(IF($D178="","",INDEX(Übungen!$B$4:$B$17,MATCH($D178,Übungen!$A$4:$A$17,0))),"")</f>
        <v>Beine hinten</v>
      </c>
      <c r="D178" s="52" t="s">
        <v>255</v>
      </c>
      <c r="E178" s="53" t="s">
        <v>237</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IFERROR(IF($D179="","",INDEX(Übungen!$B$4:$B$17,MATCH($D179,Übungen!$A$4:$A$17,0))),"")</f>
        <v>Beine hinten</v>
      </c>
      <c r="D179" s="52" t="s">
        <v>270</v>
      </c>
      <c r="E179" s="53" t="s">
        <v>237</v>
      </c>
      <c r="F179" s="50" t="n">
        <v>136</v>
      </c>
      <c r="G179" s="54" t="n">
        <v>15</v>
      </c>
      <c r="H179" s="50"/>
      <c r="I179" s="55" t="n">
        <f aca="false">IF(AND(ISNUMBER($F179),ISNUMBER($G179),$E179&lt;&gt;"R"),$F179*$G179,"")</f>
        <v>2040</v>
      </c>
      <c r="J179" s="61" t="n">
        <f aca="false">IF(AND($E179="A",ISNUMBER($F179),ISNUMBER($G179)),$F179*(1+$G179/30),"")</f>
        <v>204</v>
      </c>
      <c r="K179" s="52"/>
      <c r="L179" s="52" t="s">
        <v>271</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IFERROR(IF($D180="","",INDEX(Übungen!$B$4:$B$17,MATCH($D180,Übungen!$A$4:$A$17,0))),"")</f>
        <v>Beine hinten</v>
      </c>
      <c r="D180" s="52" t="s">
        <v>270</v>
      </c>
      <c r="E180" s="53" t="s">
        <v>237</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IFERROR(IF($D181="","",INDEX(Übungen!$B$4:$B$17,MATCH($D181,Übungen!$A$4:$A$17,0))),"")</f>
        <v>Beine hinten</v>
      </c>
      <c r="D181" s="52" t="s">
        <v>263</v>
      </c>
      <c r="E181" s="53" t="s">
        <v>237</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IFERROR(IF($D182="","",INDEX(Übungen!$B$4:$B$17,MATCH($D182,Übungen!$A$4:$A$17,0))),"")</f>
        <v>Beine hinten</v>
      </c>
      <c r="D182" s="52" t="s">
        <v>263</v>
      </c>
      <c r="E182" s="53" t="s">
        <v>237</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272</v>
      </c>
      <c r="B1" s="1"/>
      <c r="C1" s="1"/>
      <c r="D1" s="1"/>
      <c r="E1" s="1"/>
      <c r="F1" s="1"/>
      <c r="G1" s="1"/>
      <c r="H1" s="1"/>
      <c r="I1" s="1"/>
      <c r="J1" s="1"/>
      <c r="K1" s="1"/>
      <c r="L1" s="1"/>
      <c r="M1" s="1"/>
      <c r="N1" s="1"/>
      <c r="O1" s="1"/>
      <c r="P1" s="1"/>
      <c r="Q1" s="1"/>
      <c r="R1" s="1"/>
    </row>
    <row r="2" customFormat="false" ht="15" hidden="false" customHeight="true" outlineLevel="0" collapsed="false">
      <c r="A2" s="2" t="s">
        <v>273</v>
      </c>
      <c r="B2" s="2"/>
      <c r="C2" s="2"/>
      <c r="D2" s="2"/>
      <c r="E2" s="2"/>
      <c r="F2" s="2"/>
      <c r="G2" s="2"/>
      <c r="H2" s="2"/>
      <c r="I2" s="2"/>
      <c r="J2" s="2"/>
      <c r="K2" s="2"/>
      <c r="L2" s="2"/>
      <c r="M2" s="2"/>
      <c r="N2" s="2"/>
      <c r="O2" s="2"/>
      <c r="P2" s="2"/>
      <c r="Q2" s="2"/>
      <c r="R2" s="2"/>
    </row>
    <row r="3" customFormat="false" ht="18" hidden="false" customHeight="true" outlineLevel="0" collapsed="false">
      <c r="A3" s="62" t="s">
        <v>274</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275</v>
      </c>
      <c r="B4" s="3"/>
      <c r="C4" s="3"/>
      <c r="D4" s="3"/>
      <c r="E4" s="3"/>
      <c r="F4" s="3"/>
      <c r="G4" s="3"/>
      <c r="H4" s="3"/>
      <c r="I4" s="3"/>
      <c r="J4" s="3"/>
      <c r="K4" s="3"/>
      <c r="L4" s="3"/>
      <c r="M4" s="3"/>
      <c r="N4" s="3"/>
      <c r="O4" s="3"/>
      <c r="P4" s="3"/>
      <c r="Q4" s="3"/>
      <c r="R4" s="3"/>
    </row>
    <row r="5" customFormat="false" ht="21.75" hidden="false" customHeight="true" outlineLevel="0" collapsed="false">
      <c r="A5" s="22" t="s">
        <v>171</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276</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13124</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11560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9105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27251.5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n">
        <f aca="false">IF($A11="","",IF(SUMIFS(Log!$I$4:$I$1203,Log!$D$4:$D$1203,$A11,Log!$B$4:$B$1203,F$5,Log!$E$4:$E$1203,"A")=0,"",SUMIFS(Log!$I$4:$I$1203,Log!$D$4:$D$1203,$A11,Log!$B$4:$B$1203,F$5,Log!$E$4:$E$1203,"A")))</f>
        <v>5020</v>
      </c>
      <c r="G11" s="68" t="str">
        <f aca="false">IF($A11="","",IF(SUMIFS(Log!$I$4:$I$1203,Log!$D$4:$D$1203,$A11,Log!$B$4:$B$1203,G$5,Log!$E$4:$E$1203,"A")=0,"",SUMIFS(Log!$I$4:$I$1203,Log!$D$4:$D$1203,$A11,Log!$B$4:$B$1203,G$5,Log!$E$4:$E$1203,"A")))</f>
        <v/>
      </c>
      <c r="H11" s="68" t="n">
        <f aca="false">IF($A11="","",IF(SUMIFS(Log!$I$4:$I$1203,Log!$D$4:$D$1203,$A11,Log!$B$4:$B$1203,H$5,Log!$E$4:$E$1203,"A")=0,"",SUMIFS(Log!$I$4:$I$1203,Log!$D$4:$D$1203,$A11,Log!$B$4:$B$1203,H$5,Log!$E$4:$E$1203,"A")))</f>
        <v>6880</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31960</v>
      </c>
    </row>
    <row r="12" customFormat="false" ht="16.5" hidden="false" customHeight="true" outlineLevel="0" collapsed="false">
      <c r="A12" s="36" t="str">
        <f aca="false">IF(Übungen!$A10="","",Übungen!$A10)</f>
        <v>Hip &amp; Glute</v>
      </c>
      <c r="B12" s="66" t="str">
        <f aca="false">IF($A12="","",IF(SUMIFS(Log!$I$4:$I$1203,Log!$D$4:$D$1203,$A12,Log!$B$4:$B$1203,B$5,Log!$E$4:$E$1203,"A")=0,"",SUMIFS(Log!$I$4:$I$1203,Log!$D$4:$D$1203,$A12,Log!$B$4:$B$1203,B$5,Log!$E$4:$E$1203,"A")))</f>
        <v/>
      </c>
      <c r="C12" s="66" t="str">
        <f aca="false">IF($A12="","",IF(SUMIFS(Log!$I$4:$I$1203,Log!$D$4:$D$1203,$A12,Log!$B$4:$B$1203,C$5,Log!$E$4:$E$1203,"A")=0,"",SUMIFS(Log!$I$4:$I$1203,Log!$D$4:$D$1203,$A12,Log!$B$4:$B$1203,C$5,Log!$E$4:$E$1203,"A")))</f>
        <v/>
      </c>
      <c r="D12" s="66" t="str">
        <f aca="false">IF($A12="","",IF(SUMIFS(Log!$I$4:$I$1203,Log!$D$4:$D$1203,$A12,Log!$B$4:$B$1203,D$5,Log!$E$4:$E$1203,"A")=0,"",SUMIFS(Log!$I$4:$I$1203,Log!$D$4:$D$1203,$A12,Log!$B$4:$B$1203,D$5,Log!$E$4:$E$1203,"A")))</f>
        <v/>
      </c>
      <c r="E12" s="66" t="str">
        <f aca="false">IF($A12="","",IF(SUMIFS(Log!$I$4:$I$1203,Log!$D$4:$D$1203,$A12,Log!$B$4:$B$1203,E$5,Log!$E$4:$E$1203,"A")=0,"",SUMIFS(Log!$I$4:$I$1203,Log!$D$4:$D$1203,$A12,Log!$B$4:$B$1203,E$5,Log!$E$4:$E$1203,"A")))</f>
        <v/>
      </c>
      <c r="F12" s="66" t="str">
        <f aca="false">IF($A12="","",IF(SUMIFS(Log!$I$4:$I$1203,Log!$D$4:$D$1203,$A12,Log!$B$4:$B$1203,F$5,Log!$E$4:$E$1203,"A")=0,"",SUMIFS(Log!$I$4:$I$1203,Log!$D$4:$D$1203,$A12,Log!$B$4:$B$1203,F$5,Log!$E$4:$E$1203,"A")))</f>
        <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3732</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3732</v>
      </c>
    </row>
    <row r="13" customFormat="false" ht="16.5" hidden="false" customHeight="true" outlineLevel="0" collapsed="false">
      <c r="A13" s="39" t="str">
        <f aca="false">IF(Übungen!$A11="","",Übungen!$A11)</f>
        <v>Beinbeuger</v>
      </c>
      <c r="B13" s="68" t="n">
        <f aca="false">IF($A13="","",IF(SUMIFS(Log!$I$4:$I$1203,Log!$D$4:$D$1203,$A13,Log!$B$4:$B$1203,B$5,Log!$E$4:$E$1203,"A")=0,"",SUMIFS(Log!$I$4:$I$1203,Log!$D$4:$D$1203,$A13,Log!$B$4:$B$1203,B$5,Log!$E$4:$E$1203,"A")))</f>
        <v>1130</v>
      </c>
      <c r="C13" s="68" t="n">
        <f aca="false">IF($A13="","",IF(SUMIFS(Log!$I$4:$I$1203,Log!$D$4:$D$1203,$A13,Log!$B$4:$B$1203,C$5,Log!$E$4:$E$1203,"A")=0,"",SUMIFS(Log!$I$4:$I$1203,Log!$D$4:$D$1203,$A13,Log!$B$4:$B$1203,C$5,Log!$E$4:$E$1203,"A")))</f>
        <v>1150</v>
      </c>
      <c r="D13" s="68" t="n">
        <f aca="false">IF($A13="","",IF(SUMIFS(Log!$I$4:$I$1203,Log!$D$4:$D$1203,$A13,Log!$B$4:$B$1203,D$5,Log!$E$4:$E$1203,"A")=0,"",SUMIFS(Log!$I$4:$I$1203,Log!$D$4:$D$1203,$A13,Log!$B$4:$B$1203,D$5,Log!$E$4:$E$1203,"A")))</f>
        <v>1275</v>
      </c>
      <c r="E13" s="68" t="str">
        <f aca="false">IF($A13="","",IF(SUMIFS(Log!$I$4:$I$1203,Log!$D$4:$D$1203,$A13,Log!$B$4:$B$1203,E$5,Log!$E$4:$E$1203,"A")=0,"",SUMIFS(Log!$I$4:$I$1203,Log!$D$4:$D$1203,$A13,Log!$B$4:$B$1203,E$5,Log!$E$4:$E$1203,"A")))</f>
        <v/>
      </c>
      <c r="F13" s="68" t="n">
        <f aca="false">IF($A13="","",IF(SUMIFS(Log!$I$4:$I$1203,Log!$D$4:$D$1203,$A13,Log!$B$4:$B$1203,F$5,Log!$E$4:$E$1203,"A")=0,"",SUMIFS(Log!$I$4:$I$1203,Log!$D$4:$D$1203,$A13,Log!$B$4:$B$1203,F$5,Log!$E$4:$E$1203,"A")))</f>
        <v>1080</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1025</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5660</v>
      </c>
    </row>
    <row r="14" customFormat="false" ht="16.5" hidden="false" customHeight="true" outlineLevel="0" collapsed="false">
      <c r="A14" s="36" t="str">
        <f aca="false">IF(Übungen!$A12="","",Übungen!$A12)</f>
        <v>Seitliche Kickbacks</v>
      </c>
      <c r="B14" s="66" t="n">
        <f aca="false">IF($A14="","",IF(SUMIFS(Log!$I$4:$I$1203,Log!$D$4:$D$1203,$A14,Log!$B$4:$B$1203,B$5,Log!$E$4:$E$1203,"A")=0,"",SUMIFS(Log!$I$4:$I$1203,Log!$D$4:$D$1203,$A14,Log!$B$4:$B$1203,B$5,Log!$E$4:$E$1203,"A")))</f>
        <v>1078</v>
      </c>
      <c r="C14" s="66" t="n">
        <f aca="false">IF($A14="","",IF(SUMIFS(Log!$I$4:$I$1203,Log!$D$4:$D$1203,$A14,Log!$B$4:$B$1203,C$5,Log!$E$4:$E$1203,"A")=0,"",SUMIFS(Log!$I$4:$I$1203,Log!$D$4:$D$1203,$A14,Log!$B$4:$B$1203,C$5,Log!$E$4:$E$1203,"A")))</f>
        <v>975</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720</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2773</v>
      </c>
    </row>
    <row r="15" customFormat="false" ht="16.5" hidden="false" customHeight="true" outlineLevel="0" collapsed="false">
      <c r="A15" s="39" t="str">
        <f aca="false">IF(Übungen!$A13="","",Übungen!$A13)</f>
        <v>Waden</v>
      </c>
      <c r="B15" s="68" t="n">
        <f aca="false">IF($A15="","",IF(SUMIFS(Log!$I$4:$I$1203,Log!$D$4:$D$1203,$A15,Log!$B$4:$B$1203,B$5,Log!$E$4:$E$1203,"A")=0,"",SUMIFS(Log!$I$4:$I$1203,Log!$D$4:$D$1203,$A15,Log!$B$4:$B$1203,B$5,Log!$E$4:$E$1203,"A")))</f>
        <v>3465</v>
      </c>
      <c r="C15" s="68" t="n">
        <f aca="false">IF($A15="","",IF(SUMIFS(Log!$I$4:$I$1203,Log!$D$4:$D$1203,$A15,Log!$B$4:$B$1203,C$5,Log!$E$4:$E$1203,"A")=0,"",SUMIFS(Log!$I$4:$I$1203,Log!$D$4:$D$1203,$A15,Log!$B$4:$B$1203,C$5,Log!$E$4:$E$1203,"A")))</f>
        <v>3480</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3105</v>
      </c>
      <c r="G15" s="68" t="str">
        <f aca="false">IF($A15="","",IF(SUMIFS(Log!$I$4:$I$1203,Log!$D$4:$D$1203,$A15,Log!$B$4:$B$1203,G$5,Log!$E$4:$E$1203,"A")=0,"",SUMIFS(Log!$I$4:$I$1203,Log!$D$4:$D$1203,$A15,Log!$B$4:$B$1203,G$5,Log!$E$4:$E$1203,"A")))</f>
        <v/>
      </c>
      <c r="H15" s="68" t="n">
        <f aca="false">IF($A15="","",IF(SUMIFS(Log!$I$4:$I$1203,Log!$D$4:$D$1203,$A15,Log!$B$4:$B$1203,H$5,Log!$E$4:$E$1203,"A")=0,"",SUMIFS(Log!$I$4:$I$1203,Log!$D$4:$D$1203,$A15,Log!$B$4:$B$1203,H$5,Log!$E$4:$E$1203,"A")))</f>
        <v>3720</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13770</v>
      </c>
    </row>
    <row r="16" customFormat="false" ht="16.5" hidden="false" customHeight="true" outlineLevel="0" collapsed="false">
      <c r="A16" s="36" t="str">
        <f aca="false">IF(Übungen!$A14="","",Übungen!$A14)</f>
        <v>Lunges</v>
      </c>
      <c r="B16" s="66" t="str">
        <f aca="false">IF($A16="","",IF(SUMIFS(Log!$I$4:$I$1203,Log!$D$4:$D$1203,$A16,Log!$B$4:$B$1203,B$5,Log!$E$4:$E$1203,"A")=0,"",SUMIFS(Log!$I$4:$I$1203,Log!$D$4:$D$1203,$A16,Log!$B$4:$B$1203,B$5,Log!$E$4:$E$1203,"A")))</f>
        <v/>
      </c>
      <c r="C16" s="66" t="str">
        <f aca="false">IF($A16="","",IF(SUMIFS(Log!$I$4:$I$1203,Log!$D$4:$D$1203,$A16,Log!$B$4:$B$1203,C$5,Log!$E$4:$E$1203,"A")=0,"",SUMIFS(Log!$I$4:$I$1203,Log!$D$4:$D$1203,$A16,Log!$B$4:$B$1203,C$5,Log!$E$4:$E$1203,"A")))</f>
        <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str">
        <f aca="false">IF($A16="","",IF(SUMIFS(Log!$I$4:$I$1203,Log!$D$4:$D$1203,$A16,Log!$E$4:$E$1203,"A")=0,"",SUMIFS(Log!$I$4:$I$1203,Log!$D$4:$D$1203,$A16,Log!$E$4:$E$1203,"A")))</f>
        <v/>
      </c>
    </row>
    <row r="17" customFormat="false" ht="16.5" hidden="false" customHeight="true" outlineLevel="0" collapsed="false">
      <c r="A17" s="39" t="str">
        <f aca="false">IF(Übungen!$A15="","",Übungen!$A15)</f>
        <v>Kickback</v>
      </c>
      <c r="B17" s="68" t="n">
        <f aca="false">IF($A17="","",IF(SUMIFS(Log!$I$4:$I$1203,Log!$D$4:$D$1203,$A17,Log!$B$4:$B$1203,B$5,Log!$E$4:$E$1203,"A")=0,"",SUMIFS(Log!$I$4:$I$1203,Log!$D$4:$D$1203,$A17,Log!$B$4:$B$1203,B$5,Log!$E$4:$E$1203,"A")))</f>
        <v>1974</v>
      </c>
      <c r="C17" s="68" t="n">
        <f aca="false">IF($A17="","",IF(SUMIFS(Log!$I$4:$I$1203,Log!$D$4:$D$1203,$A17,Log!$B$4:$B$1203,C$5,Log!$E$4:$E$1203,"A")=0,"",SUMIFS(Log!$I$4:$I$1203,Log!$D$4:$D$1203,$A17,Log!$B$4:$B$1203,C$5,Log!$E$4:$E$1203,"A")))</f>
        <v>1274</v>
      </c>
      <c r="D17" s="68" t="n">
        <f aca="false">IF($A17="","",IF(SUMIFS(Log!$I$4:$I$1203,Log!$D$4:$D$1203,$A17,Log!$B$4:$B$1203,D$5,Log!$E$4:$E$1203,"A")=0,"",SUMIFS(Log!$I$4:$I$1203,Log!$D$4:$D$1203,$A17,Log!$B$4:$B$1203,D$5,Log!$E$4:$E$1203,"A")))</f>
        <v>2086</v>
      </c>
      <c r="E17" s="68" t="n">
        <f aca="false">IF($A17="","",IF(SUMIFS(Log!$I$4:$I$1203,Log!$D$4:$D$1203,$A17,Log!$B$4:$B$1203,E$5,Log!$E$4:$E$1203,"A")=0,"",SUMIFS(Log!$I$4:$I$1203,Log!$D$4:$D$1203,$A17,Log!$B$4:$B$1203,E$5,Log!$E$4:$E$1203,"A")))</f>
        <v>1785</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n">
        <f aca="false">IF($A17="","",IF(SUMIFS(Log!$I$4:$I$1203,Log!$D$4:$D$1203,$A17,Log!$E$4:$E$1203,"A")=0,"",SUMIFS(Log!$I$4:$I$1203,Log!$D$4:$D$1203,$A17,Log!$E$4:$E$1203,"A")))</f>
        <v>7119</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277</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171</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278</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n">
        <f aca="false">IF($A24="","",IF(SUMPRODUCT(MAX((Log!$D$4:$D$1203=$A24)*(Log!$B$4:$B$1203=F$23)*(Log!$E$4:$E$1203="A")*(Log!$F$4:$F$1203&lt;&gt;"")*Log!$F$4:$F$1203))=0,"",SUMPRODUCT(MAX((Log!$D$4:$D$1203=$A24)*(Log!$B$4:$B$1203=F$23)*(Log!$E$4:$E$1203="A")*(Log!$F$4:$F$1203&lt;&gt;"")*Log!$F$4:$F$1203))))</f>
        <v>273</v>
      </c>
      <c r="G24" s="69" t="n">
        <f aca="false">IF($A24="","",IF(SUMPRODUCT(MAX((Log!$D$4:$D$1203=$A24)*(Log!$B$4:$B$1203=G$23)*(Log!$E$4:$E$1203="A")*(Log!$F$4:$F$1203&lt;&gt;"")*Log!$F$4:$F$1203))=0,"",SUMPRODUCT(MAX((Log!$D$4:$D$1203=$A24)*(Log!$B$4:$B$1203=G$23)*(Log!$E$4:$E$1203="A")*(Log!$F$4:$F$1203&lt;&gt;"")*Log!$F$4:$F$1203))))</f>
        <v>303</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n">
        <f aca="false">IF($A24="","",IF(SUMPRODUCT(MAX((Log!$D$4:$D$1203=$A24)*(Log!$E$4:$E$1203="A")*(Log!$F$4:$F$1203&lt;&gt;"")*Log!$F$4:$F$1203))=0,"",SUMPRODUCT(MAX((Log!$D$4:$D$1203=$A24)*(Log!$E$4:$E$1203="A")*(Log!$F$4:$F$1203&lt;&gt;"")*Log!$F$4:$F$1203))))</f>
        <v>303</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n">
        <f aca="false">IF($A25="","",IF(SUMPRODUCT(MAX((Log!$D$4:$D$1203=$A25)*(Log!$B$4:$B$1203=F$23)*(Log!$E$4:$E$1203="A")*(Log!$F$4:$F$1203&lt;&gt;"")*Log!$F$4:$F$1203))=0,"",SUMPRODUCT(MAX((Log!$D$4:$D$1203=$A25)*(Log!$B$4:$B$1203=F$23)*(Log!$E$4:$E$1203="A")*(Log!$F$4:$F$1203&lt;&gt;"")*Log!$F$4:$F$1203))))</f>
        <v>100</v>
      </c>
      <c r="G25" s="71" t="n">
        <f aca="false">IF($A25="","",IF(SUMPRODUCT(MAX((Log!$D$4:$D$1203=$A25)*(Log!$B$4:$B$1203=G$23)*(Log!$E$4:$E$1203="A")*(Log!$F$4:$F$1203&lt;&gt;"")*Log!$F$4:$F$1203))=0,"",SUMPRODUCT(MAX((Log!$D$4:$D$1203=$A25)*(Log!$B$4:$B$1203=G$23)*(Log!$E$4:$E$1203="A")*(Log!$F$4:$F$1203&lt;&gt;"")*Log!$F$4:$F$1203))))</f>
        <v>100</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n">
        <f aca="false">IF($A26="","",IF(SUMPRODUCT(MAX((Log!$D$4:$D$1203=$A26)*(Log!$B$4:$B$1203=F$23)*(Log!$E$4:$E$1203="A")*(Log!$F$4:$F$1203&lt;&gt;"")*Log!$F$4:$F$1203))=0,"",SUMPRODUCT(MAX((Log!$D$4:$D$1203=$A26)*(Log!$B$4:$B$1203=F$23)*(Log!$E$4:$E$1203="A")*(Log!$F$4:$F$1203&lt;&gt;"")*Log!$F$4:$F$1203))))</f>
        <v>80</v>
      </c>
      <c r="G26" s="69" t="n">
        <f aca="false">IF($A26="","",IF(SUMPRODUCT(MAX((Log!$D$4:$D$1203=$A26)*(Log!$B$4:$B$1203=G$23)*(Log!$E$4:$E$1203="A")*(Log!$F$4:$F$1203&lt;&gt;"")*Log!$F$4:$F$1203))=0,"",SUMPRODUCT(MAX((Log!$D$4:$D$1203=$A26)*(Log!$B$4:$B$1203=G$23)*(Log!$E$4:$E$1203="A")*(Log!$F$4:$F$1203&lt;&gt;"")*Log!$F$4:$F$1203))))</f>
        <v>95</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95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n">
        <f aca="false">IF($A27="","",IF(SUMPRODUCT(MAX((Log!$D$4:$D$1203=$A27)*(Log!$B$4:$B$1203=F$23)*(Log!$E$4:$E$1203="A")*(Log!$F$4:$F$1203&lt;&gt;"")*Log!$F$4:$F$1203))=0,"",SUMPRODUCT(MAX((Log!$D$4:$D$1203=$A27)*(Log!$B$4:$B$1203=F$23)*(Log!$E$4:$E$1203="A")*(Log!$F$4:$F$1203&lt;&gt;"")*Log!$F$4:$F$1203))))</f>
        <v>162.5</v>
      </c>
      <c r="G27" s="71" t="n">
        <f aca="false">IF($A27="","",IF(SUMPRODUCT(MAX((Log!$D$4:$D$1203=$A27)*(Log!$B$4:$B$1203=G$23)*(Log!$E$4:$E$1203="A")*(Log!$F$4:$F$1203&lt;&gt;"")*Log!$F$4:$F$1203))=0,"",SUMPRODUCT(MAX((Log!$D$4:$D$1203=$A27)*(Log!$B$4:$B$1203=G$23)*(Log!$E$4:$E$1203="A")*(Log!$F$4:$F$1203&lt;&gt;"")*Log!$F$4:$F$1203))))</f>
        <v>180</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180</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n">
        <f aca="false">IF($A28="","",IF(SUMPRODUCT(MAX((Log!$D$4:$D$1203=$A28)*(Log!$B$4:$B$1203=F$23)*(Log!$E$4:$E$1203="A")*(Log!$F$4:$F$1203&lt;&gt;"")*Log!$F$4:$F$1203))=0,"",SUMPRODUCT(MAX((Log!$D$4:$D$1203=$A28)*(Log!$B$4:$B$1203=F$23)*(Log!$E$4:$E$1203="A")*(Log!$F$4:$F$1203&lt;&gt;"")*Log!$F$4:$F$1203))))</f>
        <v>110</v>
      </c>
      <c r="G28" s="69" t="str">
        <f aca="false">IF($A28="","",IF(SUMPRODUCT(MAX((Log!$D$4:$D$1203=$A28)*(Log!$B$4:$B$1203=G$23)*(Log!$E$4:$E$1203="A")*(Log!$F$4:$F$1203&lt;&gt;"")*Log!$F$4:$F$1203))=0,"",SUMPRODUCT(MAX((Log!$D$4:$D$1203=$A28)*(Log!$B$4:$B$1203=G$23)*(Log!$E$4:$E$1203="A")*(Log!$F$4:$F$1203&lt;&gt;"")*Log!$F$4:$F$1203))))</f>
        <v/>
      </c>
      <c r="H28" s="69" t="n">
        <f aca="false">IF($A28="","",IF(SUMPRODUCT(MAX((Log!$D$4:$D$1203=$A28)*(Log!$B$4:$B$1203=H$23)*(Log!$E$4:$E$1203="A")*(Log!$F$4:$F$1203&lt;&gt;"")*Log!$F$4:$F$1203))=0,"",SUMPRODUCT(MAX((Log!$D$4:$D$1203=$A28)*(Log!$B$4:$B$1203=H$23)*(Log!$E$4:$E$1203="A")*(Log!$F$4:$F$1203&lt;&gt;"")*Log!$F$4:$F$1203))))</f>
        <v>135</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n">
        <f aca="false">IF($A28="","",IF(SUMPRODUCT(MAX((Log!$D$4:$D$1203=$A28)*(Log!$E$4:$E$1203="A")*(Log!$F$4:$F$1203&lt;&gt;"")*Log!$F$4:$F$1203))=0,"",SUMPRODUCT(MAX((Log!$D$4:$D$1203=$A28)*(Log!$E$4:$E$1203="A")*(Log!$F$4:$F$1203&lt;&gt;"")*Log!$F$4:$F$1203))))</f>
        <v>135</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n">
        <f aca="false">IF($A29="","",IF(SUMPRODUCT(MAX((Log!$D$4:$D$1203=$A29)*(Log!$B$4:$B$1203=F$23)*(Log!$E$4:$E$1203="A")*(Log!$F$4:$F$1203&lt;&gt;"")*Log!$F$4:$F$1203))=0,"",SUMPRODUCT(MAX((Log!$D$4:$D$1203=$A29)*(Log!$B$4:$B$1203=F$23)*(Log!$E$4:$E$1203="A")*(Log!$F$4:$F$1203&lt;&gt;"")*Log!$F$4:$F$1203))))</f>
        <v>190</v>
      </c>
      <c r="G29" s="71" t="str">
        <f aca="false">IF($A29="","",IF(SUMPRODUCT(MAX((Log!$D$4:$D$1203=$A29)*(Log!$B$4:$B$1203=G$23)*(Log!$E$4:$E$1203="A")*(Log!$F$4:$F$1203&lt;&gt;"")*Log!$F$4:$F$1203))=0,"",SUMPRODUCT(MAX((Log!$D$4:$D$1203=$A29)*(Log!$B$4:$B$1203=G$23)*(Log!$E$4:$E$1203="A")*(Log!$F$4:$F$1203&lt;&gt;"")*Log!$F$4:$F$1203))))</f>
        <v/>
      </c>
      <c r="H29" s="71" t="n">
        <f aca="false">IF($A29="","",IF(SUMPRODUCT(MAX((Log!$D$4:$D$1203=$A29)*(Log!$B$4:$B$1203=H$23)*(Log!$E$4:$E$1203="A")*(Log!$F$4:$F$1203&lt;&gt;"")*Log!$F$4:$F$1203))=0,"",SUMPRODUCT(MAX((Log!$D$4:$D$1203=$A29)*(Log!$B$4:$B$1203=H$23)*(Log!$E$4:$E$1203="A")*(Log!$F$4:$F$1203&lt;&gt;"")*Log!$F$4:$F$1203))))</f>
        <v>290</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290</v>
      </c>
    </row>
    <row r="30" customFormat="false" ht="16.5" hidden="false" customHeight="true" outlineLevel="0" collapsed="false">
      <c r="A30" s="36" t="str">
        <f aca="false">IF(Übungen!$A10="","",Übungen!$A10)</f>
        <v>Hip &amp; Glute</v>
      </c>
      <c r="B30" s="69" t="str">
        <f aca="false">IF($A30="","",IF(SUMPRODUCT(MAX((Log!$D$4:$D$1203=$A30)*(Log!$B$4:$B$1203=B$23)*(Log!$E$4:$E$1203="A")*(Log!$F$4:$F$1203&lt;&gt;"")*Log!$F$4:$F$1203))=0,"",SUMPRODUCT(MAX((Log!$D$4:$D$1203=$A30)*(Log!$B$4:$B$1203=B$23)*(Log!$E$4:$E$1203="A")*(Log!$F$4:$F$1203&lt;&gt;"")*Log!$F$4:$F$1203))))</f>
        <v/>
      </c>
      <c r="C30" s="69" t="str">
        <f aca="false">IF($A30="","",IF(SUMPRODUCT(MAX((Log!$D$4:$D$1203=$A30)*(Log!$B$4:$B$1203=C$23)*(Log!$E$4:$E$1203="A")*(Log!$F$4:$F$1203&lt;&gt;"")*Log!$F$4:$F$1203))=0,"",SUMPRODUCT(MAX((Log!$D$4:$D$1203=$A30)*(Log!$B$4:$B$1203=C$23)*(Log!$E$4:$E$1203="A")*(Log!$F$4:$F$1203&lt;&gt;"")*Log!$F$4:$F$1203))))</f>
        <v/>
      </c>
      <c r="D30" s="69" t="str">
        <f aca="false">IF($A30="","",IF(SUMPRODUCT(MAX((Log!$D$4:$D$1203=$A30)*(Log!$B$4:$B$1203=D$23)*(Log!$E$4:$E$1203="A")*(Log!$F$4:$F$1203&lt;&gt;"")*Log!$F$4:$F$1203))=0,"",SUMPRODUCT(MAX((Log!$D$4:$D$1203=$A30)*(Log!$B$4:$B$1203=D$23)*(Log!$E$4:$E$1203="A")*(Log!$F$4:$F$1203&lt;&gt;"")*Log!$F$4:$F$1203))))</f>
        <v/>
      </c>
      <c r="E30" s="69" t="str">
        <f aca="false">IF($A30="","",IF(SUMPRODUCT(MAX((Log!$D$4:$D$1203=$A30)*(Log!$B$4:$B$1203=E$23)*(Log!$E$4:$E$1203="A")*(Log!$F$4:$F$1203&lt;&gt;"")*Log!$F$4:$F$1203))=0,"",SUMPRODUCT(MAX((Log!$D$4:$D$1203=$A30)*(Log!$B$4:$B$1203=E$23)*(Log!$E$4:$E$1203="A")*(Log!$F$4:$F$1203&lt;&gt;"")*Log!$F$4:$F$1203))))</f>
        <v/>
      </c>
      <c r="F30" s="69" t="str">
        <f aca="false">IF($A30="","",IF(SUMPRODUCT(MAX((Log!$D$4:$D$1203=$A30)*(Log!$B$4:$B$1203=F$23)*(Log!$E$4:$E$1203="A")*(Log!$F$4:$F$1203&lt;&gt;"")*Log!$F$4:$F$1203))=0,"",SUMPRODUCT(MAX((Log!$D$4:$D$1203=$A30)*(Log!$B$4:$B$1203=F$23)*(Log!$E$4:$E$1203="A")*(Log!$F$4:$F$1203&lt;&gt;"")*Log!$F$4:$F$1203))))</f>
        <v/>
      </c>
      <c r="G30" s="69" t="str">
        <f aca="false">IF($A30="","",IF(SUMPRODUCT(MAX((Log!$D$4:$D$1203=$A30)*(Log!$B$4:$B$1203=G$23)*(Log!$E$4:$E$1203="A")*(Log!$F$4:$F$1203&lt;&gt;"")*Log!$F$4:$F$1203))=0,"",SUMPRODUCT(MAX((Log!$D$4:$D$1203=$A30)*(Log!$B$4:$B$1203=G$23)*(Log!$E$4:$E$1203="A")*(Log!$F$4:$F$1203&lt;&gt;"")*Log!$F$4:$F$1203))))</f>
        <v/>
      </c>
      <c r="H30" s="69" t="n">
        <f aca="false">IF($A30="","",IF(SUMPRODUCT(MAX((Log!$D$4:$D$1203=$A30)*(Log!$B$4:$B$1203=H$23)*(Log!$E$4:$E$1203="A")*(Log!$F$4:$F$1203&lt;&gt;"")*Log!$F$4:$F$1203))=0,"",SUMPRODUCT(MAX((Log!$D$4:$D$1203=$A30)*(Log!$B$4:$B$1203=H$23)*(Log!$E$4:$E$1203="A")*(Log!$F$4:$F$1203&lt;&gt;"")*Log!$F$4:$F$1203))))</f>
        <v>141</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141</v>
      </c>
    </row>
    <row r="31" customFormat="false" ht="16.5" hidden="false" customHeight="true" outlineLevel="0" collapsed="false">
      <c r="A31" s="39" t="str">
        <f aca="false">IF(Übungen!$A11="","",Übungen!$A11)</f>
        <v>Beinbeuger</v>
      </c>
      <c r="B31" s="71" t="n">
        <f aca="false">IF($A31="","",IF(SUMPRODUCT(MAX((Log!$D$4:$D$1203=$A31)*(Log!$B$4:$B$1203=B$23)*(Log!$E$4:$E$1203="A")*(Log!$F$4:$F$1203&lt;&gt;"")*Log!$F$4:$F$1203))=0,"",SUMPRODUCT(MAX((Log!$D$4:$D$1203=$A31)*(Log!$B$4:$B$1203=B$23)*(Log!$E$4:$E$1203="A")*(Log!$F$4:$F$1203&lt;&gt;"")*Log!$F$4:$F$1203))))</f>
        <v>50</v>
      </c>
      <c r="C31" s="71" t="n">
        <f aca="false">IF($A31="","",IF(SUMPRODUCT(MAX((Log!$D$4:$D$1203=$A31)*(Log!$B$4:$B$1203=C$23)*(Log!$E$4:$E$1203="A")*(Log!$F$4:$F$1203&lt;&gt;"")*Log!$F$4:$F$1203))=0,"",SUMPRODUCT(MAX((Log!$D$4:$D$1203=$A31)*(Log!$B$4:$B$1203=C$23)*(Log!$E$4:$E$1203="A")*(Log!$F$4:$F$1203&lt;&gt;"")*Log!$F$4:$F$1203))))</f>
        <v>55</v>
      </c>
      <c r="D31" s="71" t="n">
        <f aca="false">IF($A31="","",IF(SUMPRODUCT(MAX((Log!$D$4:$D$1203=$A31)*(Log!$B$4:$B$1203=D$23)*(Log!$E$4:$E$1203="A")*(Log!$F$4:$F$1203&lt;&gt;"")*Log!$F$4:$F$1203))=0,"",SUMPRODUCT(MAX((Log!$D$4:$D$1203=$A31)*(Log!$B$4:$B$1203=D$23)*(Log!$E$4:$E$1203="A")*(Log!$F$4:$F$1203&lt;&gt;"")*Log!$F$4:$F$1203))))</f>
        <v>45</v>
      </c>
      <c r="E31" s="71" t="str">
        <f aca="false">IF($A31="","",IF(SUMPRODUCT(MAX((Log!$D$4:$D$1203=$A31)*(Log!$B$4:$B$1203=E$23)*(Log!$E$4:$E$1203="A")*(Log!$F$4:$F$1203&lt;&gt;"")*Log!$F$4:$F$1203))=0,"",SUMPRODUCT(MAX((Log!$D$4:$D$1203=$A31)*(Log!$B$4:$B$1203=E$23)*(Log!$E$4:$E$1203="A")*(Log!$F$4:$F$1203&lt;&gt;"")*Log!$F$4:$F$1203))))</f>
        <v/>
      </c>
      <c r="F31" s="71" t="n">
        <f aca="false">IF($A31="","",IF(SUMPRODUCT(MAX((Log!$D$4:$D$1203=$A31)*(Log!$B$4:$B$1203=F$23)*(Log!$E$4:$E$1203="A")*(Log!$F$4:$F$1203&lt;&gt;"")*Log!$F$4:$F$1203))=0,"",SUMPRODUCT(MAX((Log!$D$4:$D$1203=$A31)*(Log!$B$4:$B$1203=F$23)*(Log!$E$4:$E$1203="A")*(Log!$F$4:$F$1203&lt;&gt;"")*Log!$F$4:$F$1203))))</f>
        <v>45</v>
      </c>
      <c r="G31" s="71" t="str">
        <f aca="false">IF($A31="","",IF(SUMPRODUCT(MAX((Log!$D$4:$D$1203=$A31)*(Log!$B$4:$B$1203=G$23)*(Log!$E$4:$E$1203="A")*(Log!$F$4:$F$1203&lt;&gt;"")*Log!$F$4:$F$1203))=0,"",SUMPRODUCT(MAX((Log!$D$4:$D$1203=$A31)*(Log!$B$4:$B$1203=G$23)*(Log!$E$4:$E$1203="A")*(Log!$F$4:$F$1203&lt;&gt;"")*Log!$F$4:$F$1203))))</f>
        <v/>
      </c>
      <c r="H31" s="71" t="n">
        <f aca="false">IF($A31="","",IF(SUMPRODUCT(MAX((Log!$D$4:$D$1203=$A31)*(Log!$B$4:$B$1203=H$23)*(Log!$E$4:$E$1203="A")*(Log!$F$4:$F$1203&lt;&gt;"")*Log!$F$4:$F$1203))=0,"",SUMPRODUCT(MAX((Log!$D$4:$D$1203=$A31)*(Log!$B$4:$B$1203=H$23)*(Log!$E$4:$E$1203="A")*(Log!$F$4:$F$1203&lt;&gt;"")*Log!$F$4:$F$1203))))</f>
        <v>52.5</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55</v>
      </c>
    </row>
    <row r="32" customFormat="false" ht="16.5" hidden="false" customHeight="true" outlineLevel="0" collapsed="false">
      <c r="A32" s="36" t="str">
        <f aca="false">IF(Übungen!$A12="","",Übungen!$A12)</f>
        <v>Seitliche Kickbacks</v>
      </c>
      <c r="B32" s="69" t="n">
        <f aca="false">IF($A32="","",IF(SUMPRODUCT(MAX((Log!$D$4:$D$1203=$A32)*(Log!$B$4:$B$1203=B$23)*(Log!$E$4:$E$1203="A")*(Log!$F$4:$F$1203&lt;&gt;"")*Log!$F$4:$F$1203))=0,"",SUMPRODUCT(MAX((Log!$D$4:$D$1203=$A32)*(Log!$B$4:$B$1203=B$23)*(Log!$E$4:$E$1203="A")*(Log!$F$4:$F$1203&lt;&gt;"")*Log!$F$4:$F$1203))))</f>
        <v>49</v>
      </c>
      <c r="C32" s="69" t="n">
        <f aca="false">IF($A32="","",IF(SUMPRODUCT(MAX((Log!$D$4:$D$1203=$A32)*(Log!$B$4:$B$1203=C$23)*(Log!$E$4:$E$1203="A")*(Log!$F$4:$F$1203&lt;&gt;"")*Log!$F$4:$F$1203))=0,"",SUMPRODUCT(MAX((Log!$D$4:$D$1203=$A32)*(Log!$B$4:$B$1203=C$23)*(Log!$E$4:$E$1203="A")*(Log!$F$4:$F$1203&lt;&gt;"")*Log!$F$4:$F$1203))))</f>
        <v>35</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n">
        <f aca="false">IF($A32="","",IF(SUMPRODUCT(MAX((Log!$D$4:$D$1203=$A32)*(Log!$B$4:$B$1203=F$23)*(Log!$E$4:$E$1203="A")*(Log!$F$4:$F$1203&lt;&gt;"")*Log!$F$4:$F$1203))=0,"",SUMPRODUCT(MAX((Log!$D$4:$D$1203=$A32)*(Log!$B$4:$B$1203=F$23)*(Log!$E$4:$E$1203="A")*(Log!$F$4:$F$1203&lt;&gt;"")*Log!$F$4:$F$1203))))</f>
        <v>36</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49</v>
      </c>
    </row>
    <row r="33" customFormat="false" ht="16.5" hidden="false" customHeight="true" outlineLevel="0" collapsed="false">
      <c r="A33" s="39" t="str">
        <f aca="false">IF(Übungen!$A13="","",Übungen!$A13)</f>
        <v>Waden</v>
      </c>
      <c r="B33" s="71" t="n">
        <f aca="false">IF($A33="","",IF(SUMPRODUCT(MAX((Log!$D$4:$D$1203=$A33)*(Log!$B$4:$B$1203=B$23)*(Log!$E$4:$E$1203="A")*(Log!$F$4:$F$1203&lt;&gt;"")*Log!$F$4:$F$1203))=0,"",SUMPRODUCT(MAX((Log!$D$4:$D$1203=$A33)*(Log!$B$4:$B$1203=B$23)*(Log!$E$4:$E$1203="A")*(Log!$F$4:$F$1203&lt;&gt;"")*Log!$F$4:$F$1203))))</f>
        <v>145</v>
      </c>
      <c r="C33" s="71" t="n">
        <f aca="false">IF($A33="","",IF(SUMPRODUCT(MAX((Log!$D$4:$D$1203=$A33)*(Log!$B$4:$B$1203=C$23)*(Log!$E$4:$E$1203="A")*(Log!$F$4:$F$1203&lt;&gt;"")*Log!$F$4:$F$1203))=0,"",SUMPRODUCT(MAX((Log!$D$4:$D$1203=$A33)*(Log!$B$4:$B$1203=C$23)*(Log!$E$4:$E$1203="A")*(Log!$F$4:$F$1203&lt;&gt;"")*Log!$F$4:$F$1203))))</f>
        <v>150</v>
      </c>
      <c r="D33" s="71" t="str">
        <f aca="false">IF($A33="","",IF(SUMPRODUCT(MAX((Log!$D$4:$D$1203=$A33)*(Log!$B$4:$B$1203=D$23)*(Log!$E$4:$E$1203="A")*(Log!$F$4:$F$1203&lt;&gt;"")*Log!$F$4:$F$1203))=0,"",SUMPRODUCT(MAX((Log!$D$4:$D$1203=$A33)*(Log!$B$4:$B$1203=D$23)*(Log!$E$4:$E$1203="A")*(Log!$F$4:$F$1203&lt;&gt;"")*Log!$F$4:$F$1203))))</f>
        <v/>
      </c>
      <c r="E33" s="71" t="str">
        <f aca="false">IF($A33="","",IF(SUMPRODUCT(MAX((Log!$D$4:$D$1203=$A33)*(Log!$B$4:$B$1203=E$23)*(Log!$E$4:$E$1203="A")*(Log!$F$4:$F$1203&lt;&gt;"")*Log!$F$4:$F$1203))=0,"",SUMPRODUCT(MAX((Log!$D$4:$D$1203=$A33)*(Log!$B$4:$B$1203=E$23)*(Log!$E$4:$E$1203="A")*(Log!$F$4:$F$1203&lt;&gt;"")*Log!$F$4:$F$1203))))</f>
        <v/>
      </c>
      <c r="F33" s="71" t="n">
        <f aca="false">IF($A33="","",IF(SUMPRODUCT(MAX((Log!$D$4:$D$1203=$A33)*(Log!$B$4:$B$1203=F$23)*(Log!$E$4:$E$1203="A")*(Log!$F$4:$F$1203&lt;&gt;"")*Log!$F$4:$F$1203))=0,"",SUMPRODUCT(MAX((Log!$D$4:$D$1203=$A33)*(Log!$B$4:$B$1203=F$23)*(Log!$E$4:$E$1203="A")*(Log!$F$4:$F$1203&lt;&gt;"")*Log!$F$4:$F$1203))))</f>
        <v>135</v>
      </c>
      <c r="G33" s="71" t="str">
        <f aca="false">IF($A33="","",IF(SUMPRODUCT(MAX((Log!$D$4:$D$1203=$A33)*(Log!$B$4:$B$1203=G$23)*(Log!$E$4:$E$1203="A")*(Log!$F$4:$F$1203&lt;&gt;"")*Log!$F$4:$F$1203))=0,"",SUMPRODUCT(MAX((Log!$D$4:$D$1203=$A33)*(Log!$B$4:$B$1203=G$23)*(Log!$E$4:$E$1203="A")*(Log!$F$4:$F$1203&lt;&gt;"")*Log!$F$4:$F$1203))))</f>
        <v/>
      </c>
      <c r="H33" s="71" t="n">
        <f aca="false">IF($A33="","",IF(SUMPRODUCT(MAX((Log!$D$4:$D$1203=$A33)*(Log!$B$4:$B$1203=H$23)*(Log!$E$4:$E$1203="A")*(Log!$F$4:$F$1203&lt;&gt;"")*Log!$F$4:$F$1203))=0,"",SUMPRODUCT(MAX((Log!$D$4:$D$1203=$A33)*(Log!$B$4:$B$1203=H$23)*(Log!$E$4:$E$1203="A")*(Log!$F$4:$F$1203&lt;&gt;"")*Log!$F$4:$F$1203))))</f>
        <v>160</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160</v>
      </c>
    </row>
    <row r="34" customFormat="false" ht="16.5" hidden="false" customHeight="true" outlineLevel="0" collapsed="false">
      <c r="A34" s="36" t="str">
        <f aca="false">IF(Übungen!$A14="","",Übungen!$A14)</f>
        <v>Lunges</v>
      </c>
      <c r="B34" s="69" t="n">
        <f aca="false">IF($A34="","",IF(SUMPRODUCT(MAX((Log!$D$4:$D$1203=$A34)*(Log!$B$4:$B$1203=B$23)*(Log!$E$4:$E$1203="A")*(Log!$F$4:$F$1203&lt;&gt;"")*Log!$F$4:$F$1203))=0,"",SUMPRODUCT(MAX((Log!$D$4:$D$1203=$A34)*(Log!$B$4:$B$1203=B$23)*(Log!$E$4:$E$1203="A")*(Log!$F$4:$F$1203&lt;&gt;"")*Log!$F$4:$F$1203))))</f>
        <v>10</v>
      </c>
      <c r="C34" s="69" t="n">
        <f aca="false">IF($A34="","",IF(SUMPRODUCT(MAX((Log!$D$4:$D$1203=$A34)*(Log!$B$4:$B$1203=C$23)*(Log!$E$4:$E$1203="A")*(Log!$F$4:$F$1203&lt;&gt;"")*Log!$F$4:$F$1203))=0,"",SUMPRODUCT(MAX((Log!$D$4:$D$1203=$A34)*(Log!$B$4:$B$1203=C$23)*(Log!$E$4:$E$1203="A")*(Log!$F$4:$F$1203&lt;&gt;"")*Log!$F$4:$F$1203))))</f>
        <v>16</v>
      </c>
      <c r="D34" s="69" t="n">
        <f aca="false">IF($A34="","",IF(SUMPRODUCT(MAX((Log!$D$4:$D$1203=$A34)*(Log!$B$4:$B$1203=D$23)*(Log!$E$4:$E$1203="A")*(Log!$F$4:$F$1203&lt;&gt;"")*Log!$F$4:$F$1203))=0,"",SUMPRODUCT(MAX((Log!$D$4:$D$1203=$A34)*(Log!$B$4:$B$1203=D$23)*(Log!$E$4:$E$1203="A")*(Log!$F$4:$F$1203&lt;&gt;"")*Log!$F$4:$F$1203))))</f>
        <v>18</v>
      </c>
      <c r="E34" s="69" t="str">
        <f aca="false">IF($A34="","",IF(SUMPRODUCT(MAX((Log!$D$4:$D$1203=$A34)*(Log!$B$4:$B$1203=E$23)*(Log!$E$4:$E$1203="A")*(Log!$F$4:$F$1203&lt;&gt;"")*Log!$F$4:$F$1203))=0,"",SUMPRODUCT(MAX((Log!$D$4:$D$1203=$A34)*(Log!$B$4:$B$1203=E$23)*(Log!$E$4:$E$1203="A")*(Log!$F$4:$F$1203&lt;&gt;"")*Log!$F$4:$F$1203))))</f>
        <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18</v>
      </c>
    </row>
    <row r="35" customFormat="false" ht="16.5" hidden="false" customHeight="true" outlineLevel="0" collapsed="false">
      <c r="A35" s="39" t="str">
        <f aca="false">IF(Übungen!$A15="","",Übungen!$A15)</f>
        <v>Kickback</v>
      </c>
      <c r="B35" s="71" t="n">
        <f aca="false">IF($A35="","",IF(SUMPRODUCT(MAX((Log!$D$4:$D$1203=$A35)*(Log!$B$4:$B$1203=B$23)*(Log!$E$4:$E$1203="A")*(Log!$F$4:$F$1203&lt;&gt;"")*Log!$F$4:$F$1203))=0,"",SUMPRODUCT(MAX((Log!$D$4:$D$1203=$A35)*(Log!$B$4:$B$1203=B$23)*(Log!$E$4:$E$1203="A")*(Log!$F$4:$F$1203&lt;&gt;"")*Log!$F$4:$F$1203))))</f>
        <v>77</v>
      </c>
      <c r="C35" s="71" t="n">
        <f aca="false">IF($A35="","",IF(SUMPRODUCT(MAX((Log!$D$4:$D$1203=$A35)*(Log!$B$4:$B$1203=C$23)*(Log!$E$4:$E$1203="A")*(Log!$F$4:$F$1203&lt;&gt;"")*Log!$F$4:$F$1203))=0,"",SUMPRODUCT(MAX((Log!$D$4:$D$1203=$A35)*(Log!$B$4:$B$1203=C$23)*(Log!$E$4:$E$1203="A")*(Log!$F$4:$F$1203&lt;&gt;"")*Log!$F$4:$F$1203))))</f>
        <v>84</v>
      </c>
      <c r="D35" s="71" t="n">
        <f aca="false">IF($A35="","",IF(SUMPRODUCT(MAX((Log!$D$4:$D$1203=$A35)*(Log!$B$4:$B$1203=D$23)*(Log!$E$4:$E$1203="A")*(Log!$F$4:$F$1203&lt;&gt;"")*Log!$F$4:$F$1203))=0,"",SUMPRODUCT(MAX((Log!$D$4:$D$1203=$A35)*(Log!$B$4:$B$1203=D$23)*(Log!$E$4:$E$1203="A")*(Log!$F$4:$F$1203&lt;&gt;"")*Log!$F$4:$F$1203))))</f>
        <v>84</v>
      </c>
      <c r="E35" s="71" t="n">
        <f aca="false">IF($A35="","",IF(SUMPRODUCT(MAX((Log!$D$4:$D$1203=$A35)*(Log!$B$4:$B$1203=E$23)*(Log!$E$4:$E$1203="A")*(Log!$F$4:$F$1203&lt;&gt;"")*Log!$F$4:$F$1203))=0,"",SUMPRODUCT(MAX((Log!$D$4:$D$1203=$A35)*(Log!$B$4:$B$1203=E$23)*(Log!$E$4:$E$1203="A")*(Log!$F$4:$F$1203&lt;&gt;"")*Log!$F$4:$F$1203))))</f>
        <v>63</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n">
        <f aca="false">IF($A35="","",IF(SUMPRODUCT(MAX((Log!$D$4:$D$1203=$A35)*(Log!$E$4:$E$1203="A")*(Log!$F$4:$F$1203&lt;&gt;"")*Log!$F$4:$F$1203))=0,"",SUMPRODUCT(MAX((Log!$D$4:$D$1203=$A35)*(Log!$E$4:$E$1203="A")*(Log!$F$4:$F$1203&lt;&gt;"")*Log!$F$4:$F$1203))))</f>
        <v>84</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279</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171</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278</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n">
        <f aca="false">IF($A42="","",IF(SUMPRODUCT(MAX((Log!$D$4:$D$1203=$A42)*(Log!$B$4:$B$1203=F$41)*(Log!$E$4:$E$1203="A")*(Log!$F$4:$F$1203&lt;&gt;"")*(Log!$G$4:$G$1203&lt;&gt;"")*Log!$F$4:$F$1203*(1+Log!$G$4:$G$1203/30)))=0,"",SUMPRODUCT(MAX((Log!$D$4:$D$1203=$A42)*(Log!$B$4:$B$1203=F$41)*(Log!$E$4:$E$1203="A")*(Log!$F$4:$F$1203&lt;&gt;"")*(Log!$G$4:$G$1203&lt;&gt;"")*Log!$F$4:$F$1203*(1+Log!$G$4:$G$1203/30)))))</f>
        <v>364</v>
      </c>
      <c r="G42" s="69" t="n">
        <f aca="false">IF($A42="","",IF(SUMPRODUCT(MAX((Log!$D$4:$D$1203=$A42)*(Log!$B$4:$B$1203=G$41)*(Log!$E$4:$E$1203="A")*(Log!$F$4:$F$1203&lt;&gt;"")*(Log!$G$4:$G$1203&lt;&gt;"")*Log!$F$4:$F$1203*(1+Log!$G$4:$G$1203/30)))=0,"",SUMPRODUCT(MAX((Log!$D$4:$D$1203=$A42)*(Log!$B$4:$B$1203=G$41)*(Log!$E$4:$E$1203="A")*(Log!$F$4:$F$1203&lt;&gt;"")*(Log!$G$4:$G$1203&lt;&gt;"")*Log!$F$4:$F$1203*(1+Log!$G$4:$G$1203/30)))))</f>
        <v>382.2</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n">
        <f aca="false">IF($A43="","",IF(SUMPRODUCT(MAX((Log!$D$4:$D$1203=$A43)*(Log!$B$4:$B$1203=F$41)*(Log!$E$4:$E$1203="A")*(Log!$F$4:$F$1203&lt;&gt;"")*(Log!$G$4:$G$1203&lt;&gt;"")*Log!$F$4:$F$1203*(1+Log!$G$4:$G$1203/30)))=0,"",SUMPRODUCT(MAX((Log!$D$4:$D$1203=$A43)*(Log!$B$4:$B$1203=F$41)*(Log!$E$4:$E$1203="A")*(Log!$F$4:$F$1203&lt;&gt;"")*(Log!$G$4:$G$1203&lt;&gt;"")*Log!$F$4:$F$1203*(1+Log!$G$4:$G$1203/30)))))</f>
        <v>126.666666666667</v>
      </c>
      <c r="G43" s="71" t="n">
        <f aca="false">IF($A43="","",IF(SUMPRODUCT(MAX((Log!$D$4:$D$1203=$A43)*(Log!$B$4:$B$1203=G$41)*(Log!$E$4:$E$1203="A")*(Log!$F$4:$F$1203&lt;&gt;"")*(Log!$G$4:$G$1203&lt;&gt;"")*Log!$F$4:$F$1203*(1+Log!$G$4:$G$1203/30)))=0,"",SUMPRODUCT(MAX((Log!$D$4:$D$1203=$A43)*(Log!$B$4:$B$1203=G$41)*(Log!$E$4:$E$1203="A")*(Log!$F$4:$F$1203&lt;&gt;"")*(Log!$G$4:$G$1203&lt;&gt;"")*Log!$F$4:$F$1203*(1+Log!$G$4:$G$1203/30)))))</f>
        <v>133.333333333333</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n">
        <f aca="false">IF($A44="","",IF(SUMPRODUCT(MAX((Log!$D$4:$D$1203=$A44)*(Log!$B$4:$B$1203=F$41)*(Log!$E$4:$E$1203="A")*(Log!$F$4:$F$1203&lt;&gt;"")*(Log!$G$4:$G$1203&lt;&gt;"")*Log!$F$4:$F$1203*(1+Log!$G$4:$G$1203/30)))=0,"",SUMPRODUCT(MAX((Log!$D$4:$D$1203=$A44)*(Log!$B$4:$B$1203=F$41)*(Log!$E$4:$E$1203="A")*(Log!$F$4:$F$1203&lt;&gt;"")*(Log!$G$4:$G$1203&lt;&gt;"")*Log!$F$4:$F$1203*(1+Log!$G$4:$G$1203/30)))))</f>
        <v>106.666666666667</v>
      </c>
      <c r="G44" s="69" t="n">
        <f aca="false">IF($A44="","",IF(SUMPRODUCT(MAX((Log!$D$4:$D$1203=$A44)*(Log!$B$4:$B$1203=G$41)*(Log!$E$4:$E$1203="A")*(Log!$F$4:$F$1203&lt;&gt;"")*(Log!$G$4:$G$1203&lt;&gt;"")*Log!$F$4:$F$1203*(1+Log!$G$4:$G$1203/30)))=0,"",SUMPRODUCT(MAX((Log!$D$4:$D$1203=$A44)*(Log!$B$4:$B$1203=G$41)*(Log!$E$4:$E$1203="A")*(Log!$F$4:$F$1203&lt;&gt;"")*(Log!$G$4:$G$1203&lt;&gt;"")*Log!$F$4:$F$1203*(1+Log!$G$4:$G$1203/30)))))</f>
        <v>114</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n">
        <f aca="false">IF($A45="","",IF(SUMPRODUCT(MAX((Log!$D$4:$D$1203=$A45)*(Log!$B$4:$B$1203=F$41)*(Log!$E$4:$E$1203="A")*(Log!$F$4:$F$1203&lt;&gt;"")*(Log!$G$4:$G$1203&lt;&gt;"")*Log!$F$4:$F$1203*(1+Log!$G$4:$G$1203/30)))=0,"",SUMPRODUCT(MAX((Log!$D$4:$D$1203=$A45)*(Log!$B$4:$B$1203=F$41)*(Log!$E$4:$E$1203="A")*(Log!$F$4:$F$1203&lt;&gt;"")*(Log!$G$4:$G$1203&lt;&gt;"")*Log!$F$4:$F$1203*(1+Log!$G$4:$G$1203/30)))))</f>
        <v>249.166666666667</v>
      </c>
      <c r="G45" s="71" t="n">
        <f aca="false">IF($A45="","",IF(SUMPRODUCT(MAX((Log!$D$4:$D$1203=$A45)*(Log!$B$4:$B$1203=G$41)*(Log!$E$4:$E$1203="A")*(Log!$F$4:$F$1203&lt;&gt;"")*(Log!$G$4:$G$1203&lt;&gt;"")*Log!$F$4:$F$1203*(1+Log!$G$4:$G$1203/30)))=0,"",SUMPRODUCT(MAX((Log!$D$4:$D$1203=$A45)*(Log!$B$4:$B$1203=G$41)*(Log!$E$4:$E$1203="A")*(Log!$F$4:$F$1203&lt;&gt;"")*(Log!$G$4:$G$1203&lt;&gt;"")*Log!$F$4:$F$1203*(1+Log!$G$4:$G$1203/30)))))</f>
        <v>228</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n">
        <f aca="false">IF($A46="","",IF(SUMPRODUCT(MAX((Log!$D$4:$D$1203=$A46)*(Log!$B$4:$B$1203=F$41)*(Log!$E$4:$E$1203="A")*(Log!$F$4:$F$1203&lt;&gt;"")*(Log!$G$4:$G$1203&lt;&gt;"")*Log!$F$4:$F$1203*(1+Log!$G$4:$G$1203/30)))=0,"",SUMPRODUCT(MAX((Log!$D$4:$D$1203=$A46)*(Log!$B$4:$B$1203=F$41)*(Log!$E$4:$E$1203="A")*(Log!$F$4:$F$1203&lt;&gt;"")*(Log!$G$4:$G$1203&lt;&gt;"")*Log!$F$4:$F$1203*(1+Log!$G$4:$G$1203/30)))))</f>
        <v>154</v>
      </c>
      <c r="G46" s="69" t="str">
        <f aca="false">IF($A46="","",IF(SUMPRODUCT(MAX((Log!$D$4:$D$1203=$A46)*(Log!$B$4:$B$1203=G$41)*(Log!$E$4:$E$1203="A")*(Log!$F$4:$F$1203&lt;&gt;"")*(Log!$G$4:$G$1203&lt;&gt;"")*Log!$F$4:$F$1203*(1+Log!$G$4:$G$1203/30)))=0,"",SUMPRODUCT(MAX((Log!$D$4:$D$1203=$A46)*(Log!$B$4:$B$1203=G$41)*(Log!$E$4:$E$1203="A")*(Log!$F$4:$F$1203&lt;&gt;"")*(Log!$G$4:$G$1203&lt;&gt;"")*Log!$F$4:$F$1203*(1+Log!$G$4:$G$1203/30)))))</f>
        <v/>
      </c>
      <c r="H46" s="69" t="n">
        <f aca="false">IF($A46="","",IF(SUMPRODUCT(MAX((Log!$D$4:$D$1203=$A46)*(Log!$B$4:$B$1203=H$41)*(Log!$E$4:$E$1203="A")*(Log!$F$4:$F$1203&lt;&gt;"")*(Log!$G$4:$G$1203&lt;&gt;"")*Log!$F$4:$F$1203*(1+Log!$G$4:$G$1203/30)))=0,"",SUMPRODUCT(MAX((Log!$D$4:$D$1203=$A46)*(Log!$B$4:$B$1203=H$41)*(Log!$E$4:$E$1203="A")*(Log!$F$4:$F$1203&lt;&gt;"")*(Log!$G$4:$G$1203&lt;&gt;"")*Log!$F$4:$F$1203*(1+Log!$G$4:$G$1203/30)))))</f>
        <v>164.666666666667</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n">
        <f aca="false">IF($A46="","",IF(SUMPRODUCT(MAX((Log!$D$4:$D$1203=$A46)*(Log!$E$4:$E$1203="A")*(Log!$F$4:$F$1203&lt;&gt;"")*(Log!$G$4:$G$1203&lt;&gt;"")*Log!$F$4:$F$1203*(1+Log!$G$4:$G$1203/30)))=0,"",SUMPRODUCT(MAX((Log!$D$4:$D$1203=$A46)*(Log!$E$4:$E$1203="A")*(Log!$F$4:$F$1203&lt;&gt;"")*(Log!$G$4:$G$1203&lt;&gt;"")*Log!$F$4:$F$1203*(1+Log!$G$4:$G$1203/30)))))</f>
        <v>164.666666666667</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n">
        <f aca="false">IF($A47="","",IF(SUMPRODUCT(MAX((Log!$D$4:$D$1203=$A47)*(Log!$B$4:$B$1203=F$41)*(Log!$E$4:$E$1203="A")*(Log!$F$4:$F$1203&lt;&gt;"")*(Log!$G$4:$G$1203&lt;&gt;"")*Log!$F$4:$F$1203*(1+Log!$G$4:$G$1203/30)))=0,"",SUMPRODUCT(MAX((Log!$D$4:$D$1203=$A47)*(Log!$B$4:$B$1203=F$41)*(Log!$E$4:$E$1203="A")*(Log!$F$4:$F$1203&lt;&gt;"")*(Log!$G$4:$G$1203&lt;&gt;"")*Log!$F$4:$F$1203*(1+Log!$G$4:$G$1203/30)))))</f>
        <v>240.666666666667</v>
      </c>
      <c r="G47" s="71" t="str">
        <f aca="false">IF($A47="","",IF(SUMPRODUCT(MAX((Log!$D$4:$D$1203=$A47)*(Log!$B$4:$B$1203=G$41)*(Log!$E$4:$E$1203="A")*(Log!$F$4:$F$1203&lt;&gt;"")*(Log!$G$4:$G$1203&lt;&gt;"")*Log!$F$4:$F$1203*(1+Log!$G$4:$G$1203/30)))=0,"",SUMPRODUCT(MAX((Log!$D$4:$D$1203=$A47)*(Log!$B$4:$B$1203=G$41)*(Log!$E$4:$E$1203="A")*(Log!$F$4:$F$1203&lt;&gt;"")*(Log!$G$4:$G$1203&lt;&gt;"")*Log!$F$4:$F$1203*(1+Log!$G$4:$G$1203/30)))))</f>
        <v/>
      </c>
      <c r="H47" s="71" t="n">
        <f aca="false">IF($A47="","",IF(SUMPRODUCT(MAX((Log!$D$4:$D$1203=$A47)*(Log!$B$4:$B$1203=H$41)*(Log!$E$4:$E$1203="A")*(Log!$F$4:$F$1203&lt;&gt;"")*(Log!$G$4:$G$1203&lt;&gt;"")*Log!$F$4:$F$1203*(1+Log!$G$4:$G$1203/30)))=0,"",SUMPRODUCT(MAX((Log!$D$4:$D$1203=$A47)*(Log!$B$4:$B$1203=H$41)*(Log!$E$4:$E$1203="A")*(Log!$F$4:$F$1203&lt;&gt;"")*(Log!$G$4:$G$1203&lt;&gt;"")*Log!$F$4:$F$1203*(1+Log!$G$4:$G$1203/30)))))</f>
        <v>367.333333333333</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367.333333333333</v>
      </c>
    </row>
    <row r="48" customFormat="false" ht="16.5" hidden="false" customHeight="true" outlineLevel="0" collapsed="false">
      <c r="A48" s="36" t="str">
        <f aca="false">IF(Übungen!$A10="","",Übungen!$A10)</f>
        <v>Hip &amp; Glute</v>
      </c>
      <c r="B48" s="69" t="str">
        <f aca="false">IF($A48="","",IF(SUMPRODUCT(MAX((Log!$D$4:$D$1203=$A48)*(Log!$B$4:$B$1203=B$41)*(Log!$E$4:$E$1203="A")*(Log!$F$4:$F$1203&lt;&gt;"")*(Log!$G$4:$G$1203&lt;&gt;"")*Log!$F$4:$F$1203*(1+Log!$G$4:$G$1203/30)))=0,"",SUMPRODUCT(MAX((Log!$D$4:$D$1203=$A48)*(Log!$B$4:$B$1203=B$41)*(Log!$E$4:$E$1203="A")*(Log!$F$4:$F$1203&lt;&gt;"")*(Log!$G$4:$G$1203&lt;&gt;"")*Log!$F$4:$F$1203*(1+Log!$G$4:$G$1203/30)))))</f>
        <v/>
      </c>
      <c r="C48" s="69" t="str">
        <f aca="false">IF($A48="","",IF(SUMPRODUCT(MAX((Log!$D$4:$D$1203=$A48)*(Log!$B$4:$B$1203=C$41)*(Log!$E$4:$E$1203="A")*(Log!$F$4:$F$1203&lt;&gt;"")*(Log!$G$4:$G$1203&lt;&gt;"")*Log!$F$4:$F$1203*(1+Log!$G$4:$G$1203/30)))=0,"",SUMPRODUCT(MAX((Log!$D$4:$D$1203=$A48)*(Log!$B$4:$B$1203=C$41)*(Log!$E$4:$E$1203="A")*(Log!$F$4:$F$1203&lt;&gt;"")*(Log!$G$4:$G$1203&lt;&gt;"")*Log!$F$4:$F$1203*(1+Log!$G$4:$G$1203/30)))))</f>
        <v/>
      </c>
      <c r="D48" s="69" t="str">
        <f aca="false">IF($A48="","",IF(SUMPRODUCT(MAX((Log!$D$4:$D$1203=$A48)*(Log!$B$4:$B$1203=D$41)*(Log!$E$4:$E$1203="A")*(Log!$F$4:$F$1203&lt;&gt;"")*(Log!$G$4:$G$1203&lt;&gt;"")*Log!$F$4:$F$1203*(1+Log!$G$4:$G$1203/30)))=0,"",SUMPRODUCT(MAX((Log!$D$4:$D$1203=$A48)*(Log!$B$4:$B$1203=D$41)*(Log!$E$4:$E$1203="A")*(Log!$F$4:$F$1203&lt;&gt;"")*(Log!$G$4:$G$1203&lt;&gt;"")*Log!$F$4:$F$1203*(1+Log!$G$4:$G$1203/30)))))</f>
        <v/>
      </c>
      <c r="E48" s="69" t="str">
        <f aca="false">IF($A48="","",IF(SUMPRODUCT(MAX((Log!$D$4:$D$1203=$A48)*(Log!$B$4:$B$1203=E$41)*(Log!$E$4:$E$1203="A")*(Log!$F$4:$F$1203&lt;&gt;"")*(Log!$G$4:$G$1203&lt;&gt;"")*Log!$F$4:$F$1203*(1+Log!$G$4:$G$1203/30)))=0,"",SUMPRODUCT(MAX((Log!$D$4:$D$1203=$A48)*(Log!$B$4:$B$1203=E$41)*(Log!$E$4:$E$1203="A")*(Log!$F$4:$F$1203&lt;&gt;"")*(Log!$G$4:$G$1203&lt;&gt;"")*Log!$F$4:$F$1203*(1+Log!$G$4:$G$1203/30)))))</f>
        <v/>
      </c>
      <c r="F48" s="69" t="str">
        <f aca="false">IF($A48="","",IF(SUMPRODUCT(MAX((Log!$D$4:$D$1203=$A48)*(Log!$B$4:$B$1203=F$41)*(Log!$E$4:$E$1203="A")*(Log!$F$4:$F$1203&lt;&gt;"")*(Log!$G$4:$G$1203&lt;&gt;"")*Log!$F$4:$F$1203*(1+Log!$G$4:$G$1203/30)))=0,"",SUMPRODUCT(MAX((Log!$D$4:$D$1203=$A48)*(Log!$B$4:$B$1203=F$41)*(Log!$E$4:$E$1203="A")*(Log!$F$4:$F$1203&lt;&gt;"")*(Log!$G$4:$G$1203&lt;&gt;"")*Log!$F$4:$F$1203*(1+Log!$G$4:$G$1203/30)))))</f>
        <v/>
      </c>
      <c r="G48" s="69" t="str">
        <f aca="false">IF($A48="","",IF(SUMPRODUCT(MAX((Log!$D$4:$D$1203=$A48)*(Log!$B$4:$B$1203=G$41)*(Log!$E$4:$E$1203="A")*(Log!$F$4:$F$1203&lt;&gt;"")*(Log!$G$4:$G$1203&lt;&gt;"")*Log!$F$4:$F$1203*(1+Log!$G$4:$G$1203/30)))=0,"",SUMPRODUCT(MAX((Log!$D$4:$D$1203=$A48)*(Log!$B$4:$B$1203=G$41)*(Log!$E$4:$E$1203="A")*(Log!$F$4:$F$1203&lt;&gt;"")*(Log!$G$4:$G$1203&lt;&gt;"")*Log!$F$4:$F$1203*(1+Log!$G$4:$G$1203/30)))))</f>
        <v/>
      </c>
      <c r="H48" s="69" t="n">
        <f aca="false">IF($A48="","",IF(SUMPRODUCT(MAX((Log!$D$4:$D$1203=$A48)*(Log!$B$4:$B$1203=H$41)*(Log!$E$4:$E$1203="A")*(Log!$F$4:$F$1203&lt;&gt;"")*(Log!$G$4:$G$1203&lt;&gt;"")*Log!$F$4:$F$1203*(1+Log!$G$4:$G$1203/30)))=0,"",SUMPRODUCT(MAX((Log!$D$4:$D$1203=$A48)*(Log!$B$4:$B$1203=H$41)*(Log!$E$4:$E$1203="A")*(Log!$F$4:$F$1203&lt;&gt;"")*(Log!$G$4:$G$1203&lt;&gt;"")*Log!$F$4:$F$1203*(1+Log!$G$4:$G$1203/30)))))</f>
        <v>204</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204</v>
      </c>
    </row>
    <row r="49" customFormat="false" ht="16.5" hidden="false" customHeight="true" outlineLevel="0" collapsed="false">
      <c r="A49" s="39" t="str">
        <f aca="false">IF(Übungen!$A11="","",Übungen!$A11)</f>
        <v>Beinbeuger</v>
      </c>
      <c r="B49" s="71" t="n">
        <f aca="false">IF($A49="","",IF(SUMPRODUCT(MAX((Log!$D$4:$D$1203=$A49)*(Log!$B$4:$B$1203=B$41)*(Log!$E$4:$E$1203="A")*(Log!$F$4:$F$1203&lt;&gt;"")*(Log!$G$4:$G$1203&lt;&gt;"")*Log!$F$4:$F$1203*(1+Log!$G$4:$G$1203/30)))=0,"",SUMPRODUCT(MAX((Log!$D$4:$D$1203=$A49)*(Log!$B$4:$B$1203=B$41)*(Log!$E$4:$E$1203="A")*(Log!$F$4:$F$1203&lt;&gt;"")*(Log!$G$4:$G$1203&lt;&gt;"")*Log!$F$4:$F$1203*(1+Log!$G$4:$G$1203/30)))))</f>
        <v>66.6666666666667</v>
      </c>
      <c r="C49" s="71" t="n">
        <f aca="false">IF($A49="","",IF(SUMPRODUCT(MAX((Log!$D$4:$D$1203=$A49)*(Log!$B$4:$B$1203=C$41)*(Log!$E$4:$E$1203="A")*(Log!$F$4:$F$1203&lt;&gt;"")*(Log!$G$4:$G$1203&lt;&gt;"")*Log!$F$4:$F$1203*(1+Log!$G$4:$G$1203/30)))=0,"",SUMPRODUCT(MAX((Log!$D$4:$D$1203=$A49)*(Log!$B$4:$B$1203=C$41)*(Log!$E$4:$E$1203="A")*(Log!$F$4:$F$1203&lt;&gt;"")*(Log!$G$4:$G$1203&lt;&gt;"")*Log!$F$4:$F$1203*(1+Log!$G$4:$G$1203/30)))))</f>
        <v>73.3333333333333</v>
      </c>
      <c r="D49" s="71" t="n">
        <f aca="false">IF($A49="","",IF(SUMPRODUCT(MAX((Log!$D$4:$D$1203=$A49)*(Log!$B$4:$B$1203=D$41)*(Log!$E$4:$E$1203="A")*(Log!$F$4:$F$1203&lt;&gt;"")*(Log!$G$4:$G$1203&lt;&gt;"")*Log!$F$4:$F$1203*(1+Log!$G$4:$G$1203/30)))=0,"",SUMPRODUCT(MAX((Log!$D$4:$D$1203=$A49)*(Log!$B$4:$B$1203=D$41)*(Log!$E$4:$E$1203="A")*(Log!$F$4:$F$1203&lt;&gt;"")*(Log!$G$4:$G$1203&lt;&gt;"")*Log!$F$4:$F$1203*(1+Log!$G$4:$G$1203/30)))))</f>
        <v>67.5</v>
      </c>
      <c r="E49" s="71" t="str">
        <f aca="false">IF($A49="","",IF(SUMPRODUCT(MAX((Log!$D$4:$D$1203=$A49)*(Log!$B$4:$B$1203=E$41)*(Log!$E$4:$E$1203="A")*(Log!$F$4:$F$1203&lt;&gt;"")*(Log!$G$4:$G$1203&lt;&gt;"")*Log!$F$4:$F$1203*(1+Log!$G$4:$G$1203/30)))=0,"",SUMPRODUCT(MAX((Log!$D$4:$D$1203=$A49)*(Log!$B$4:$B$1203=E$41)*(Log!$E$4:$E$1203="A")*(Log!$F$4:$F$1203&lt;&gt;"")*(Log!$G$4:$G$1203&lt;&gt;"")*Log!$F$4:$F$1203*(1+Log!$G$4:$G$1203/30)))))</f>
        <v/>
      </c>
      <c r="F49" s="71" t="n">
        <f aca="false">IF($A49="","",IF(SUMPRODUCT(MAX((Log!$D$4:$D$1203=$A49)*(Log!$B$4:$B$1203=F$41)*(Log!$E$4:$E$1203="A")*(Log!$F$4:$F$1203&lt;&gt;"")*(Log!$G$4:$G$1203&lt;&gt;"")*Log!$F$4:$F$1203*(1+Log!$G$4:$G$1203/30)))=0,"",SUMPRODUCT(MAX((Log!$D$4:$D$1203=$A49)*(Log!$B$4:$B$1203=F$41)*(Log!$E$4:$E$1203="A")*(Log!$F$4:$F$1203&lt;&gt;"")*(Log!$G$4:$G$1203&lt;&gt;"")*Log!$F$4:$F$1203*(1+Log!$G$4:$G$1203/30)))))</f>
        <v>63</v>
      </c>
      <c r="G49" s="71" t="str">
        <f aca="false">IF($A49="","",IF(SUMPRODUCT(MAX((Log!$D$4:$D$1203=$A49)*(Log!$B$4:$B$1203=G$41)*(Log!$E$4:$E$1203="A")*(Log!$F$4:$F$1203&lt;&gt;"")*(Log!$G$4:$G$1203&lt;&gt;"")*Log!$F$4:$F$1203*(1+Log!$G$4:$G$1203/30)))=0,"",SUMPRODUCT(MAX((Log!$D$4:$D$1203=$A49)*(Log!$B$4:$B$1203=G$41)*(Log!$E$4:$E$1203="A")*(Log!$F$4:$F$1203&lt;&gt;"")*(Log!$G$4:$G$1203&lt;&gt;"")*Log!$F$4:$F$1203*(1+Log!$G$4:$G$1203/30)))))</f>
        <v/>
      </c>
      <c r="H49" s="71" t="n">
        <f aca="false">IF($A49="","",IF(SUMPRODUCT(MAX((Log!$D$4:$D$1203=$A49)*(Log!$B$4:$B$1203=H$41)*(Log!$E$4:$E$1203="A")*(Log!$F$4:$F$1203&lt;&gt;"")*(Log!$G$4:$G$1203&lt;&gt;"")*Log!$F$4:$F$1203*(1+Log!$G$4:$G$1203/30)))=0,"",SUMPRODUCT(MAX((Log!$D$4:$D$1203=$A49)*(Log!$B$4:$B$1203=H$41)*(Log!$E$4:$E$1203="A")*(Log!$F$4:$F$1203&lt;&gt;"")*(Log!$G$4:$G$1203&lt;&gt;"")*Log!$F$4:$F$1203*(1+Log!$G$4:$G$1203/30)))))</f>
        <v>70</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73.3333333333333</v>
      </c>
    </row>
    <row r="50" customFormat="false" ht="16.5" hidden="false" customHeight="true" outlineLevel="0" collapsed="false">
      <c r="A50" s="36" t="str">
        <f aca="false">IF(Übungen!$A12="","",Übungen!$A12)</f>
        <v>Seitliche Kickbacks</v>
      </c>
      <c r="B50" s="69" t="n">
        <f aca="false">IF($A50="","",IF(SUMPRODUCT(MAX((Log!$D$4:$D$1203=$A50)*(Log!$B$4:$B$1203=B$41)*(Log!$E$4:$E$1203="A")*(Log!$F$4:$F$1203&lt;&gt;"")*(Log!$G$4:$G$1203&lt;&gt;"")*Log!$F$4:$F$1203*(1+Log!$G$4:$G$1203/30)))=0,"",SUMPRODUCT(MAX((Log!$D$4:$D$1203=$A50)*(Log!$B$4:$B$1203=B$41)*(Log!$E$4:$E$1203="A")*(Log!$F$4:$F$1203&lt;&gt;"")*(Log!$G$4:$G$1203&lt;&gt;"")*Log!$F$4:$F$1203*(1+Log!$G$4:$G$1203/30)))))</f>
        <v>68.6</v>
      </c>
      <c r="C50" s="69" t="n">
        <f aca="false">IF($A50="","",IF(SUMPRODUCT(MAX((Log!$D$4:$D$1203=$A50)*(Log!$B$4:$B$1203=C$41)*(Log!$E$4:$E$1203="A")*(Log!$F$4:$F$1203&lt;&gt;"")*(Log!$G$4:$G$1203&lt;&gt;"")*Log!$F$4:$F$1203*(1+Log!$G$4:$G$1203/30)))=0,"",SUMPRODUCT(MAX((Log!$D$4:$D$1203=$A50)*(Log!$B$4:$B$1203=C$41)*(Log!$E$4:$E$1203="A")*(Log!$F$4:$F$1203&lt;&gt;"")*(Log!$G$4:$G$1203&lt;&gt;"")*Log!$F$4:$F$1203*(1+Log!$G$4:$G$1203/30)))))</f>
        <v>52.5</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n">
        <f aca="false">IF($A50="","",IF(SUMPRODUCT(MAX((Log!$D$4:$D$1203=$A50)*(Log!$B$4:$B$1203=F$41)*(Log!$E$4:$E$1203="A")*(Log!$F$4:$F$1203&lt;&gt;"")*(Log!$G$4:$G$1203&lt;&gt;"")*Log!$F$4:$F$1203*(1+Log!$G$4:$G$1203/30)))=0,"",SUMPRODUCT(MAX((Log!$D$4:$D$1203=$A50)*(Log!$B$4:$B$1203=F$41)*(Log!$E$4:$E$1203="A")*(Log!$F$4:$F$1203&lt;&gt;"")*(Log!$G$4:$G$1203&lt;&gt;"")*Log!$F$4:$F$1203*(1+Log!$G$4:$G$1203/30)))))</f>
        <v>48</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68.6</v>
      </c>
    </row>
    <row r="51" customFormat="false" ht="16.5" hidden="false" customHeight="true" outlineLevel="0" collapsed="false">
      <c r="A51" s="39" t="str">
        <f aca="false">IF(Übungen!$A13="","",Übungen!$A13)</f>
        <v>Waden</v>
      </c>
      <c r="B51" s="71" t="n">
        <f aca="false">IF($A51="","",IF(SUMPRODUCT(MAX((Log!$D$4:$D$1203=$A51)*(Log!$B$4:$B$1203=B$41)*(Log!$E$4:$E$1203="A")*(Log!$F$4:$F$1203&lt;&gt;"")*(Log!$G$4:$G$1203&lt;&gt;"")*Log!$F$4:$F$1203*(1+Log!$G$4:$G$1203/30)))=0,"",SUMPRODUCT(MAX((Log!$D$4:$D$1203=$A51)*(Log!$B$4:$B$1203=B$41)*(Log!$E$4:$E$1203="A")*(Log!$F$4:$F$1203&lt;&gt;"")*(Log!$G$4:$G$1203&lt;&gt;"")*Log!$F$4:$F$1203*(1+Log!$G$4:$G$1203/30)))))</f>
        <v>203</v>
      </c>
      <c r="C51" s="71" t="n">
        <f aca="false">IF($A51="","",IF(SUMPRODUCT(MAX((Log!$D$4:$D$1203=$A51)*(Log!$B$4:$B$1203=C$41)*(Log!$E$4:$E$1203="A")*(Log!$F$4:$F$1203&lt;&gt;"")*(Log!$G$4:$G$1203&lt;&gt;"")*Log!$F$4:$F$1203*(1+Log!$G$4:$G$1203/30)))=0,"",SUMPRODUCT(MAX((Log!$D$4:$D$1203=$A51)*(Log!$B$4:$B$1203=C$41)*(Log!$E$4:$E$1203="A")*(Log!$F$4:$F$1203&lt;&gt;"")*(Log!$G$4:$G$1203&lt;&gt;"")*Log!$F$4:$F$1203*(1+Log!$G$4:$G$1203/30)))))</f>
        <v>210</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n">
        <f aca="false">IF($A51="","",IF(SUMPRODUCT(MAX((Log!$D$4:$D$1203=$A51)*(Log!$B$4:$B$1203=F$41)*(Log!$E$4:$E$1203="A")*(Log!$F$4:$F$1203&lt;&gt;"")*(Log!$G$4:$G$1203&lt;&gt;"")*Log!$F$4:$F$1203*(1+Log!$G$4:$G$1203/30)))=0,"",SUMPRODUCT(MAX((Log!$D$4:$D$1203=$A51)*(Log!$B$4:$B$1203=F$41)*(Log!$E$4:$E$1203="A")*(Log!$F$4:$F$1203&lt;&gt;"")*(Log!$G$4:$G$1203&lt;&gt;"")*Log!$F$4:$F$1203*(1+Log!$G$4:$G$1203/30)))))</f>
        <v>189</v>
      </c>
      <c r="G51" s="71" t="str">
        <f aca="false">IF($A51="","",IF(SUMPRODUCT(MAX((Log!$D$4:$D$1203=$A51)*(Log!$B$4:$B$1203=G$41)*(Log!$E$4:$E$1203="A")*(Log!$F$4:$F$1203&lt;&gt;"")*(Log!$G$4:$G$1203&lt;&gt;"")*Log!$F$4:$F$1203*(1+Log!$G$4:$G$1203/30)))=0,"",SUMPRODUCT(MAX((Log!$D$4:$D$1203=$A51)*(Log!$B$4:$B$1203=G$41)*(Log!$E$4:$E$1203="A")*(Log!$F$4:$F$1203&lt;&gt;"")*(Log!$G$4:$G$1203&lt;&gt;"")*Log!$F$4:$F$1203*(1+Log!$G$4:$G$1203/30)))))</f>
        <v/>
      </c>
      <c r="H51" s="71" t="n">
        <f aca="false">IF($A51="","",IF(SUMPRODUCT(MAX((Log!$D$4:$D$1203=$A51)*(Log!$B$4:$B$1203=H$41)*(Log!$E$4:$E$1203="A")*(Log!$F$4:$F$1203&lt;&gt;"")*(Log!$G$4:$G$1203&lt;&gt;"")*Log!$F$4:$F$1203*(1+Log!$G$4:$G$1203/30)))=0,"",SUMPRODUCT(MAX((Log!$D$4:$D$1203=$A51)*(Log!$B$4:$B$1203=H$41)*(Log!$E$4:$E$1203="A")*(Log!$F$4:$F$1203&lt;&gt;"")*(Log!$G$4:$G$1203&lt;&gt;"")*Log!$F$4:$F$1203*(1+Log!$G$4:$G$1203/30)))))</f>
        <v>224</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n">
        <f aca="false">IF($A51="","",IF(SUMPRODUCT(MAX((Log!$D$4:$D$1203=$A51)*(Log!$E$4:$E$1203="A")*(Log!$F$4:$F$1203&lt;&gt;"")*(Log!$G$4:$G$1203&lt;&gt;"")*Log!$F$4:$F$1203*(1+Log!$G$4:$G$1203/30)))=0,"",SUMPRODUCT(MAX((Log!$D$4:$D$1203=$A51)*(Log!$E$4:$E$1203="A")*(Log!$F$4:$F$1203&lt;&gt;"")*(Log!$G$4:$G$1203&lt;&gt;"")*Log!$F$4:$F$1203*(1+Log!$G$4:$G$1203/30)))))</f>
        <v>224</v>
      </c>
    </row>
    <row r="52" customFormat="false" ht="16.5" hidden="false" customHeight="true" outlineLevel="0" collapsed="false">
      <c r="A52" s="36" t="str">
        <f aca="false">IF(Übungen!$A14="","",Übungen!$A14)</f>
        <v>Lunges</v>
      </c>
      <c r="B52" s="69" t="str">
        <f aca="false">IF($A52="","",IF(SUMPRODUCT(MAX((Log!$D$4:$D$1203=$A52)*(Log!$B$4:$B$1203=B$41)*(Log!$E$4:$E$1203="A")*(Log!$F$4:$F$1203&lt;&gt;"")*(Log!$G$4:$G$1203&lt;&gt;"")*Log!$F$4:$F$1203*(1+Log!$G$4:$G$1203/30)))=0,"",SUMPRODUCT(MAX((Log!$D$4:$D$1203=$A52)*(Log!$B$4:$B$1203=B$41)*(Log!$E$4:$E$1203="A")*(Log!$F$4:$F$1203&lt;&gt;"")*(Log!$G$4:$G$1203&lt;&gt;"")*Log!$F$4:$F$1203*(1+Log!$G$4:$G$1203/30)))))</f>
        <v/>
      </c>
      <c r="C52" s="69" t="str">
        <f aca="false">IF($A52="","",IF(SUMPRODUCT(MAX((Log!$D$4:$D$1203=$A52)*(Log!$B$4:$B$1203=C$41)*(Log!$E$4:$E$1203="A")*(Log!$F$4:$F$1203&lt;&gt;"")*(Log!$G$4:$G$1203&lt;&gt;"")*Log!$F$4:$F$1203*(1+Log!$G$4:$G$1203/30)))=0,"",SUMPRODUCT(MAX((Log!$D$4:$D$1203=$A52)*(Log!$B$4:$B$1203=C$41)*(Log!$E$4:$E$1203="A")*(Log!$F$4:$F$1203&lt;&gt;"")*(Log!$G$4:$G$1203&lt;&gt;"")*Log!$F$4:$F$1203*(1+Log!$G$4:$G$1203/30)))))</f>
        <v/>
      </c>
      <c r="D52" s="69" t="str">
        <f aca="false">IF($A52="","",IF(SUMPRODUCT(MAX((Log!$D$4:$D$1203=$A52)*(Log!$B$4:$B$1203=D$41)*(Log!$E$4:$E$1203="A")*(Log!$F$4:$F$1203&lt;&gt;"")*(Log!$G$4:$G$1203&lt;&gt;"")*Log!$F$4:$F$1203*(1+Log!$G$4:$G$1203/30)))=0,"",SUMPRODUCT(MAX((Log!$D$4:$D$1203=$A52)*(Log!$B$4:$B$1203=D$41)*(Log!$E$4:$E$1203="A")*(Log!$F$4:$F$1203&lt;&gt;"")*(Log!$G$4:$G$1203&lt;&gt;"")*Log!$F$4:$F$1203*(1+Log!$G$4:$G$1203/30)))))</f>
        <v/>
      </c>
      <c r="E52" s="69" t="str">
        <f aca="false">IF($A52="","",IF(SUMPRODUCT(MAX((Log!$D$4:$D$1203=$A52)*(Log!$B$4:$B$1203=E$41)*(Log!$E$4:$E$1203="A")*(Log!$F$4:$F$1203&lt;&gt;"")*(Log!$G$4:$G$1203&lt;&gt;"")*Log!$F$4:$F$1203*(1+Log!$G$4:$G$1203/30)))=0,"",SUMPRODUCT(MAX((Log!$D$4:$D$1203=$A52)*(Log!$B$4:$B$1203=E$41)*(Log!$E$4:$E$1203="A")*(Log!$F$4:$F$1203&lt;&gt;"")*(Log!$G$4:$G$1203&lt;&gt;"")*Log!$F$4:$F$1203*(1+Log!$G$4:$G$1203/30)))))</f>
        <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39" t="str">
        <f aca="false">IF(Übungen!$A15="","",Übungen!$A15)</f>
        <v>Kickback</v>
      </c>
      <c r="B53" s="71" t="n">
        <f aca="false">IF($A53="","",IF(SUMPRODUCT(MAX((Log!$D$4:$D$1203=$A53)*(Log!$B$4:$B$1203=B$41)*(Log!$E$4:$E$1203="A")*(Log!$F$4:$F$1203&lt;&gt;"")*(Log!$G$4:$G$1203&lt;&gt;"")*Log!$F$4:$F$1203*(1+Log!$G$4:$G$1203/30)))=0,"",SUMPRODUCT(MAX((Log!$D$4:$D$1203=$A53)*(Log!$B$4:$B$1203=B$41)*(Log!$E$4:$E$1203="A")*(Log!$F$4:$F$1203&lt;&gt;"")*(Log!$G$4:$G$1203&lt;&gt;"")*Log!$F$4:$F$1203*(1+Log!$G$4:$G$1203/30)))))</f>
        <v>107.8</v>
      </c>
      <c r="C53" s="71" t="n">
        <f aca="false">IF($A53="","",IF(SUMPRODUCT(MAX((Log!$D$4:$D$1203=$A53)*(Log!$B$4:$B$1203=C$41)*(Log!$E$4:$E$1203="A")*(Log!$F$4:$F$1203&lt;&gt;"")*(Log!$G$4:$G$1203&lt;&gt;"")*Log!$F$4:$F$1203*(1+Log!$G$4:$G$1203/30)))=0,"",SUMPRODUCT(MAX((Log!$D$4:$D$1203=$A53)*(Log!$B$4:$B$1203=C$41)*(Log!$E$4:$E$1203="A")*(Log!$F$4:$F$1203&lt;&gt;"")*(Log!$G$4:$G$1203&lt;&gt;"")*Log!$F$4:$F$1203*(1+Log!$G$4:$G$1203/30)))))</f>
        <v>102.666666666667</v>
      </c>
      <c r="D53" s="71" t="n">
        <f aca="false">IF($A53="","",IF(SUMPRODUCT(MAX((Log!$D$4:$D$1203=$A53)*(Log!$B$4:$B$1203=D$41)*(Log!$E$4:$E$1203="A")*(Log!$F$4:$F$1203&lt;&gt;"")*(Log!$G$4:$G$1203&lt;&gt;"")*Log!$F$4:$F$1203*(1+Log!$G$4:$G$1203/30)))=0,"",SUMPRODUCT(MAX((Log!$D$4:$D$1203=$A53)*(Log!$B$4:$B$1203=D$41)*(Log!$E$4:$E$1203="A")*(Log!$F$4:$F$1203&lt;&gt;"")*(Log!$G$4:$G$1203&lt;&gt;"")*Log!$F$4:$F$1203*(1+Log!$G$4:$G$1203/30)))))</f>
        <v>117.6</v>
      </c>
      <c r="E53" s="71" t="n">
        <f aca="false">IF($A53="","",IF(SUMPRODUCT(MAX((Log!$D$4:$D$1203=$A53)*(Log!$B$4:$B$1203=E$41)*(Log!$E$4:$E$1203="A")*(Log!$F$4:$F$1203&lt;&gt;"")*(Log!$G$4:$G$1203&lt;&gt;"")*Log!$F$4:$F$1203*(1+Log!$G$4:$G$1203/30)))=0,"",SUMPRODUCT(MAX((Log!$D$4:$D$1203=$A53)*(Log!$B$4:$B$1203=E$41)*(Log!$E$4:$E$1203="A")*(Log!$F$4:$F$1203&lt;&gt;"")*(Log!$G$4:$G$1203&lt;&gt;"")*Log!$F$4:$F$1203*(1+Log!$G$4:$G$1203/30)))))</f>
        <v>94.5</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n">
        <f aca="false">IF($A53="","",IF(SUMPRODUCT(MAX((Log!$D$4:$D$1203=$A53)*(Log!$E$4:$E$1203="A")*(Log!$F$4:$F$1203&lt;&gt;"")*(Log!$G$4:$G$1203&lt;&gt;"")*Log!$F$4:$F$1203*(1+Log!$G$4:$G$1203/30)))=0,"",SUMPRODUCT(MAX((Log!$D$4:$D$1203=$A53)*(Log!$E$4:$E$1203="A")*(Log!$F$4:$F$1203&lt;&gt;"")*(Log!$G$4:$G$1203&lt;&gt;"")*Log!$F$4:$F$1203*(1+Log!$G$4:$G$1203/30)))))</f>
        <v>117.6</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280</v>
      </c>
      <c r="B1" s="1"/>
      <c r="C1" s="1"/>
      <c r="D1" s="1"/>
      <c r="E1" s="1"/>
      <c r="F1" s="1"/>
      <c r="G1" s="1"/>
      <c r="H1" s="1"/>
      <c r="I1" s="1"/>
      <c r="J1" s="1"/>
      <c r="K1" s="1"/>
    </row>
    <row r="2" customFormat="false" ht="15" hidden="false" customHeight="true" outlineLevel="0" collapsed="false">
      <c r="A2" s="2" t="s">
        <v>281</v>
      </c>
      <c r="B2" s="2"/>
      <c r="C2" s="2"/>
      <c r="D2" s="2"/>
      <c r="E2" s="2"/>
      <c r="F2" s="2"/>
      <c r="G2" s="2"/>
      <c r="H2" s="2"/>
      <c r="I2" s="2"/>
      <c r="J2" s="2"/>
      <c r="K2" s="2"/>
    </row>
    <row r="3" customFormat="false" ht="33.75" hidden="false" customHeight="true" outlineLevel="0" collapsed="false">
      <c r="A3" s="22" t="s">
        <v>171</v>
      </c>
      <c r="B3" s="22" t="s">
        <v>282</v>
      </c>
      <c r="C3" s="22" t="s">
        <v>283</v>
      </c>
      <c r="D3" s="22" t="s">
        <v>284</v>
      </c>
      <c r="E3" s="22" t="s">
        <v>285</v>
      </c>
      <c r="F3" s="22" t="s">
        <v>286</v>
      </c>
      <c r="G3" s="22" t="s">
        <v>287</v>
      </c>
      <c r="H3" s="22" t="s">
        <v>288</v>
      </c>
      <c r="I3" s="22" t="s">
        <v>289</v>
      </c>
      <c r="J3" s="22" t="s">
        <v>290</v>
      </c>
      <c r="K3" s="22" t="s">
        <v>291</v>
      </c>
      <c r="L3" s="22" t="s">
        <v>292</v>
      </c>
      <c r="M3" s="22" t="s">
        <v>293</v>
      </c>
    </row>
    <row r="4" customFormat="false" ht="25.5" hidden="false" customHeight="true" outlineLevel="0" collapsed="false">
      <c r="A4" s="36" t="str">
        <f aca="false">IF(Übungen!$A4="","",Übungen!$A4)</f>
        <v>Beinpresse</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6</v>
      </c>
      <c r="E4" s="66" t="n">
        <f aca="false">IF($D4="","",SUMIFS(Log!$I$4:$I$1203,Log!$D$4:$D$1203,$A4,Log!$B$4:$B$1203,$D4,Log!$E$4:$E$1203,"A"))</f>
        <v>7358</v>
      </c>
      <c r="F4" s="66" t="n">
        <f aca="false">IF(OR($C4="",$E4=""),"",$E4-$C4)</f>
        <v>1592</v>
      </c>
      <c r="G4" s="72" t="n">
        <f aca="false">IF(OR($C4="",$E4="",$C4=0),"",$E4/$C4-1)</f>
        <v>0.276101283385362</v>
      </c>
      <c r="H4" s="69" t="n">
        <f aca="false">IF($D4="","",IF(SUMPRODUCT(MAX((Log!$D$4:$D$1203=$A4)*(Log!$B$4:$B$1203=$D4)*(Log!$E$4:$E$1203="A")*(Log!$F$4:$F$1203&lt;&gt;"")*Log!$F$4:$F$1203))=0,"",SUMPRODUCT(MAX((Log!$D$4:$D$1203=$A4)*(Log!$B$4:$B$1203=$D4)*(Log!$E$4:$E$1203="A")*(Log!$F$4:$F$1203&lt;&gt;"")*Log!$F$4:$F$1203))))</f>
        <v>303</v>
      </c>
      <c r="I4" s="69" t="n">
        <f aca="false">IF($A4="","",IF(SUMPRODUCT(MAX((Log!$D$4:$D$1203=$A4)*(Log!$E$4:$E$1203="A")*(Log!$F$4:$F$1203&lt;&gt;"")*Log!$F$4:$F$1203))=0,"",SUMPRODUCT(MAX((Log!$D$4:$D$1203=$A4)*(Log!$E$4:$E$1203="A")*(Log!$F$4:$F$1203&lt;&gt;"")*Log!$F$4:$F$1203))))</f>
        <v>303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IFERROR(INDEX(Rekorde!$Q$4:$Q$17,MATCH($A4,Rekorde!$A$4:$A$17,0)),"")</f>
        <v>Wdh +1 auf 7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6</v>
      </c>
      <c r="E5" s="68" t="n">
        <f aca="false">IF($D5="","",SUMIFS(Log!$I$4:$I$1203,Log!$D$4:$D$1203,$A5,Log!$B$4:$B$1203,$D5,Log!$E$4:$E$1203,"A"))</f>
        <v>2700</v>
      </c>
      <c r="F5" s="68" t="n">
        <f aca="false">IF(OR($C5="",$E5=""),"",$E5-$C5)</f>
        <v>1090</v>
      </c>
      <c r="G5" s="75" t="n">
        <f aca="false">IF(OR($C5="",$E5="",$C5=0),"",$E5/$C5-1)</f>
        <v>0.677018633540373</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4</v>
      </c>
      <c r="M5" s="77" t="str">
        <f aca="false">IFERROR(INDEX(Rekorde!$Q$4:$Q$17,MATCH($A5,Rekorde!$A$4:$A$17,0)),"")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6</v>
      </c>
      <c r="E6" s="66" t="n">
        <f aca="false">IF($D6="","",SUMIFS(Log!$I$4:$I$1203,Log!$D$4:$D$1203,$A6,Log!$B$4:$B$1203,$D6,Log!$E$4:$E$1203,"A"))</f>
        <v>1670</v>
      </c>
      <c r="F6" s="66" t="n">
        <f aca="false">IF(OR($C6="",$E6=""),"",$E6-$C6)</f>
        <v>465</v>
      </c>
      <c r="G6" s="72" t="n">
        <f aca="false">IF(OR($C6="",$E6="",$C6=0),"",$E6/$C6-1)</f>
        <v>0.385892116182573</v>
      </c>
      <c r="H6" s="69" t="n">
        <f aca="false">IF($D6="","",IF(SUMPRODUCT(MAX((Log!$D$4:$D$1203=$A6)*(Log!$B$4:$B$1203=$D6)*(Log!$E$4:$E$1203="A")*(Log!$F$4:$F$1203&lt;&gt;"")*Log!$F$4:$F$1203))=0,"",SUMPRODUCT(MAX((Log!$D$4:$D$1203=$A6)*(Log!$B$4:$B$1203=$D6)*(Log!$E$4:$E$1203="A")*(Log!$F$4:$F$1203&lt;&gt;"")*Log!$F$4:$F$1203))))</f>
        <v>95</v>
      </c>
      <c r="I6" s="69" t="n">
        <f aca="false">IF($A6="","",IF(SUMPRODUCT(MAX((Log!$D$4:$D$1203=$A6)*(Log!$E$4:$E$1203="A")*(Log!$F$4:$F$1203&lt;&gt;"")*Log!$F$4:$F$1203))=0,"",SUMPRODUCT(MAX((Log!$D$4:$D$1203=$A6)*(Log!$E$4:$E$1203="A")*(Log!$F$4:$F$1203&lt;&gt;"")*Log!$F$4:$F$1203))))</f>
        <v>95</v>
      </c>
      <c r="J6" s="69" t="n">
        <f aca="false">IF(OR($H6="",$I6=""),"",$H6-$I6)</f>
        <v>0</v>
      </c>
      <c r="K6" s="73" t="str">
        <f aca="false">IF($G6="","",IF($G6&gt;0.05,"steigend",IF($G6&lt;-0.05,"fallend","stabil")))</f>
        <v>steigend</v>
      </c>
      <c r="L6" s="66" t="n">
        <f aca="false">IF($H6="","",SUMPRODUCT((COUNTIFS(Log!$D$4:$D$1203,$A6,Log!$E$4:$E$1203,"A",Log!$F$4:$F$1203,$H6,Log!$B$4:$B$1203,Einheiten!$A$4:$A$63)&gt;0)*1))</f>
        <v>1</v>
      </c>
      <c r="M6" s="74" t="str">
        <f aca="false">IFERROR(INDEX(Rekorde!$Q$4:$Q$17,MATCH($A6,Rekorde!$A$4:$A$17,0)),"")</f>
        <v>Wdh +1 auf 6 bei gleichem Gewicht</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6</v>
      </c>
      <c r="E7" s="68" t="n">
        <f aca="false">IF($D7="","",SUMIFS(Log!$I$4:$I$1203,Log!$D$4:$D$1203,$A7,Log!$B$4:$B$1203,$D7,Log!$E$4:$E$1203,"A"))</f>
        <v>2844</v>
      </c>
      <c r="F7" s="68" t="n">
        <f aca="false">IF(OR($C7="",$E7=""),"",$E7-$C7)</f>
        <v>-1273.5</v>
      </c>
      <c r="G7" s="75" t="n">
        <f aca="false">IF(OR($C7="",$E7="",$C7=0),"",$E7/$C7-1)</f>
        <v>-0.309289617486339</v>
      </c>
      <c r="H7" s="71" t="n">
        <f aca="false">IF($D7="","",IF(SUMPRODUCT(MAX((Log!$D$4:$D$1203=$A7)*(Log!$B$4:$B$1203=$D7)*(Log!$E$4:$E$1203="A")*(Log!$F$4:$F$1203&lt;&gt;"")*Log!$F$4:$F$1203))=0,"",SUMPRODUCT(MAX((Log!$D$4:$D$1203=$A7)*(Log!$B$4:$B$1203=$D7)*(Log!$E$4:$E$1203="A")*(Log!$F$4:$F$1203&lt;&gt;"")*Log!$F$4:$F$1203))))</f>
        <v>180</v>
      </c>
      <c r="I7" s="71" t="n">
        <f aca="false">IF($A7="","",IF(SUMPRODUCT(MAX((Log!$D$4:$D$1203=$A7)*(Log!$E$4:$E$1203="A")*(Log!$F$4:$F$1203&lt;&gt;"")*Log!$F$4:$F$1203))=0,"",SUMPRODUCT(MAX((Log!$D$4:$D$1203=$A7)*(Log!$E$4:$E$1203="A")*(Log!$F$4:$F$1203&lt;&gt;"")*Log!$F$4:$F$1203))))</f>
        <v>180</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IFERROR(INDEX(Rekorde!$Q$4:$Q$17,MATCH($A7,Rekorde!$A$4:$A$17,0)),"")</f>
        <v>Gewicht +5 kg, Wdh zurück auf 5</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IFERROR(INDEX(Rekorde!$Q$4:$Q$17,MATCH($A8,Rekorde!$A$4:$A$17,0)),"")</f>
        <v>Wdh +1 auf 7 bei gleichem Gewicht</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7</v>
      </c>
      <c r="E9" s="68" t="n">
        <f aca="false">IF($D9="","",SUMIFS(Log!$I$4:$I$1203,Log!$D$4:$D$1203,$A9,Log!$B$4:$B$1203,$D9,Log!$E$4:$E$1203,"A"))</f>
        <v>6880</v>
      </c>
      <c r="F9" s="68" t="n">
        <f aca="false">IF(OR($C9="",$E9=""),"",$E9-$C9)</f>
        <v>2320</v>
      </c>
      <c r="G9" s="75" t="n">
        <f aca="false">IF(OR($C9="",$E9="",$C9=0),"",$E9/$C9-1)</f>
        <v>0.508771929824561</v>
      </c>
      <c r="H9" s="71" t="n">
        <f aca="false">IF($D9="","",IF(SUMPRODUCT(MAX((Log!$D$4:$D$1203=$A9)*(Log!$B$4:$B$1203=$D9)*(Log!$E$4:$E$1203="A")*(Log!$F$4:$F$1203&lt;&gt;"")*Log!$F$4:$F$1203))=0,"",SUMPRODUCT(MAX((Log!$D$4:$D$1203=$A9)*(Log!$B$4:$B$1203=$D9)*(Log!$E$4:$E$1203="A")*(Log!$F$4:$F$1203&lt;&gt;"")*Log!$F$4:$F$1203))))</f>
        <v>290</v>
      </c>
      <c r="I9" s="71" t="n">
        <f aca="false">IF($A9="","",IF(SUMPRODUCT(MAX((Log!$D$4:$D$1203=$A9)*(Log!$E$4:$E$1203="A")*(Log!$F$4:$F$1203&lt;&gt;"")*Log!$F$4:$F$1203))=0,"",SUMPRODUCT(MAX((Log!$D$4:$D$1203=$A9)*(Log!$E$4:$E$1203="A")*(Log!$F$4:$F$1203&lt;&gt;"")*Log!$F$4:$F$1203))))</f>
        <v>290</v>
      </c>
      <c r="J9" s="71" t="n">
        <f aca="false">IF(OR($H9="",$I9=""),"",$H9-$I9)</f>
        <v>0</v>
      </c>
      <c r="K9" s="76" t="str">
        <f aca="false">IF($G9="","",IF($G9&gt;0.05,"steigend",IF($G9&lt;-0.05,"fallend","stabil")))</f>
        <v>steigend</v>
      </c>
      <c r="L9" s="68" t="n">
        <f aca="false">IF($H9="","",SUMPRODUCT((COUNTIFS(Log!$D$4:$D$1203,$A9,Log!$E$4:$E$1203,"A",Log!$F$4:$F$1203,$H9,Log!$B$4:$B$1203,Einheiten!$A$4:$A$63)&gt;0)*1))</f>
        <v>1</v>
      </c>
      <c r="M9" s="77" t="str">
        <f aca="false">IFERROR(INDEX(Rekorde!$Q$4:$Q$17,MATCH($A9,Rekorde!$A$4:$A$17,0)),"")</f>
        <v>Gewicht +10 kg, Wdh zurück auf 5</v>
      </c>
    </row>
    <row r="10" customFormat="false" ht="25.5" hidden="false" customHeight="true" outlineLevel="0" collapsed="false">
      <c r="A10" s="36" t="str">
        <f aca="false">IF(Übungen!$A10="","",Übungen!$A10)</f>
        <v>Hip &amp; Glute</v>
      </c>
      <c r="B10" s="66" t="n">
        <f aca="false">IF($A10="","",IF(SUMPRODUCT(MAX((Log!$D$4:$D$1203=$A10)*(Log!$E$4:$E$1203="A")*Log!$B$4:$B$1203))=0,"",SUMPRODUCT(MIN((Log!$D$4:$D$1203=$A10)*(Log!$E$4:$E$1203="A")*Log!$B$4:$B$1203+((Log!$D$4:$D$1203&lt;&gt;$A10)+(Log!$E$4:$E$1203&lt;&gt;"A")&gt;0)*9999))))</f>
        <v>7</v>
      </c>
      <c r="C10" s="66" t="n">
        <f aca="false">IF($B10="","",SUMIFS(Log!$I$4:$I$1203,Log!$D$4:$D$1203,$A10,Log!$B$4:$B$1203,$B10,Log!$E$4:$E$1203,"A"))</f>
        <v>3732</v>
      </c>
      <c r="D10" s="66" t="n">
        <f aca="false">IF($A10="","",IF(SUMPRODUCT(MAX((Log!$D$4:$D$1203=$A10)*(Log!$E$4:$E$1203="A")*Log!$B$4:$B$1203))=0,"",SUMPRODUCT(MAX((Log!$D$4:$D$1203=$A10)*(Log!$E$4:$E$1203="A")*Log!$B$4:$B$1203))))</f>
        <v>7</v>
      </c>
      <c r="E10" s="66" t="n">
        <f aca="false">IF($D10="","",SUMIFS(Log!$I$4:$I$1203,Log!$D$4:$D$1203,$A10,Log!$B$4:$B$1203,$D10,Log!$E$4:$E$1203,"A"))</f>
        <v>3732</v>
      </c>
      <c r="F10" s="66" t="n">
        <f aca="false">IF(OR($C10="",$E10=""),"",$E10-$C10)</f>
        <v>0</v>
      </c>
      <c r="G10" s="72" t="n">
        <f aca="false">IF(OR($C10="",$E10="",$C10=0),"",$E10/$C10-1)</f>
        <v>0</v>
      </c>
      <c r="H10" s="69" t="n">
        <f aca="false">IF($D10="","",IF(SUMPRODUCT(MAX((Log!$D$4:$D$1203=$A10)*(Log!$B$4:$B$1203=$D10)*(Log!$E$4:$E$1203="A")*(Log!$F$4:$F$1203&lt;&gt;"")*Log!$F$4:$F$1203))=0,"",SUMPRODUCT(MAX((Log!$D$4:$D$1203=$A10)*(Log!$B$4:$B$1203=$D10)*(Log!$E$4:$E$1203="A")*(Log!$F$4:$F$1203&lt;&gt;"")*Log!$F$4:$F$1203))))</f>
        <v>141</v>
      </c>
      <c r="I10" s="69" t="n">
        <f aca="false">IF($A10="","",IF(SUMPRODUCT(MAX((Log!$D$4:$D$1203=$A10)*(Log!$E$4:$E$1203="A")*(Log!$F$4:$F$1203&lt;&gt;"")*Log!$F$4:$F$1203))=0,"",SUMPRODUCT(MAX((Log!$D$4:$D$1203=$A10)*(Log!$E$4:$E$1203="A")*(Log!$F$4:$F$1203&lt;&gt;"")*Log!$F$4:$F$1203))))</f>
        <v>141</v>
      </c>
      <c r="J10" s="69" t="n">
        <f aca="false">IF(OR($H10="",$I10=""),"",$H10-$I10)</f>
        <v>0</v>
      </c>
      <c r="K10" s="73" t="str">
        <f aca="false">IF($G10="","",IF($G10&gt;0.05,"steigend",IF($G10&lt;-0.05,"fallend","stabil")))</f>
        <v>stabil</v>
      </c>
      <c r="L10" s="66" t="n">
        <f aca="false">IF($H10="","",SUMPRODUCT((COUNTIFS(Log!$D$4:$D$1203,$A10,Log!$E$4:$E$1203,"A",Log!$F$4:$F$1203,$H10,Log!$B$4:$B$1203,Einheiten!$A$4:$A$63)&gt;0)*1))</f>
        <v>1</v>
      </c>
      <c r="M10" s="74" t="str">
        <f aca="false">IFERROR(INDEX(Rekorde!$Q$4:$Q$17,MATCH($A10,Rekorde!$A$4:$A$17,0)),"")</f>
        <v>Gewicht +19 kg, Wdh zurück auf 5  (Umstellung auf den neuen Bereich)</v>
      </c>
    </row>
    <row r="11" customFormat="false" ht="25.5" hidden="false" customHeight="true" outlineLevel="0" collapsed="false">
      <c r="A11" s="39" t="str">
        <f aca="false">IF(Übungen!$A11="","",Übungen!$A11)</f>
        <v>Beinbeuger</v>
      </c>
      <c r="B11" s="68" t="n">
        <f aca="false">IF($A11="","",IF(SUMPRODUCT(MAX((Log!$D$4:$D$1203=$A11)*(Log!$E$4:$E$1203="A")*Log!$B$4:$B$1203))=0,"",SUMPRODUCT(MIN((Log!$D$4:$D$1203=$A11)*(Log!$E$4:$E$1203="A")*Log!$B$4:$B$1203+((Log!$D$4:$D$1203&lt;&gt;$A11)+(Log!$E$4:$E$1203&lt;&gt;"A")&gt;0)*9999))))</f>
        <v>1</v>
      </c>
      <c r="C11" s="68" t="n">
        <f aca="false">IF($B11="","",SUMIFS(Log!$I$4:$I$1203,Log!$D$4:$D$1203,$A11,Log!$B$4:$B$1203,$B11,Log!$E$4:$E$1203,"A"))</f>
        <v>1130</v>
      </c>
      <c r="D11" s="68" t="n">
        <f aca="false">IF($A11="","",IF(SUMPRODUCT(MAX((Log!$D$4:$D$1203=$A11)*(Log!$E$4:$E$1203="A")*Log!$B$4:$B$1203))=0,"",SUMPRODUCT(MAX((Log!$D$4:$D$1203=$A11)*(Log!$E$4:$E$1203="A")*Log!$B$4:$B$1203))))</f>
        <v>7</v>
      </c>
      <c r="E11" s="68" t="n">
        <f aca="false">IF($D11="","",SUMIFS(Log!$I$4:$I$1203,Log!$D$4:$D$1203,$A11,Log!$B$4:$B$1203,$D11,Log!$E$4:$E$1203,"A"))</f>
        <v>1025</v>
      </c>
      <c r="F11" s="68" t="n">
        <f aca="false">IF(OR($C11="",$E11=""),"",$E11-$C11)</f>
        <v>-105</v>
      </c>
      <c r="G11" s="75" t="n">
        <f aca="false">IF(OR($C11="",$E11="",$C11=0),"",$E11/$C11-1)</f>
        <v>-0.0929203539823009</v>
      </c>
      <c r="H11" s="71" t="n">
        <f aca="false">IF($D11="","",IF(SUMPRODUCT(MAX((Log!$D$4:$D$1203=$A11)*(Log!$B$4:$B$1203=$D11)*(Log!$E$4:$E$1203="A")*(Log!$F$4:$F$1203&lt;&gt;"")*Log!$F$4:$F$1203))=0,"",SUMPRODUCT(MAX((Log!$D$4:$D$1203=$A11)*(Log!$B$4:$B$1203=$D11)*(Log!$E$4:$E$1203="A")*(Log!$F$4:$F$1203&lt;&gt;"")*Log!$F$4:$F$1203))))</f>
        <v>52.5</v>
      </c>
      <c r="I11" s="71" t="n">
        <f aca="false">IF($A11="","",IF(SUMPRODUCT(MAX((Log!$D$4:$D$1203=$A11)*(Log!$E$4:$E$1203="A")*(Log!$F$4:$F$1203&lt;&gt;"")*Log!$F$4:$F$1203))=0,"",SUMPRODUCT(MAX((Log!$D$4:$D$1203=$A11)*(Log!$E$4:$E$1203="A")*(Log!$F$4:$F$1203&lt;&gt;"")*Log!$F$4:$F$1203))))</f>
        <v>55</v>
      </c>
      <c r="J11" s="71" t="n">
        <f aca="false">IF(OR($H11="",$I11=""),"",$H11-$I11)</f>
        <v>-2.5</v>
      </c>
      <c r="K11" s="76" t="str">
        <f aca="false">IF($G11="","",IF($G11&gt;0.05,"steigend",IF($G11&lt;-0.05,"fallend","stabil")))</f>
        <v>fallend</v>
      </c>
      <c r="L11" s="68" t="n">
        <f aca="false">IF($H11="","",SUMPRODUCT((COUNTIFS(Log!$D$4:$D$1203,$A11,Log!$E$4:$E$1203,"A",Log!$F$4:$F$1203,$H11,Log!$B$4:$B$1203,Einheiten!$A$4:$A$63)&gt;0)*1))</f>
        <v>1</v>
      </c>
      <c r="M11" s="77" t="str">
        <f aca="false">IFERROR(INDEX(Rekorde!$Q$4:$Q$17,MATCH($A11,Rekorde!$A$4:$A$17,0)),"")</f>
        <v>Gewicht +5 kg, Wdh zurück auf 5</v>
      </c>
    </row>
    <row r="12" customFormat="false" ht="25.5" hidden="false" customHeight="true" outlineLevel="0" collapsed="false">
      <c r="A12" s="36" t="str">
        <f aca="false">IF(Übungen!$A12="","",Übungen!$A12)</f>
        <v>Seitliche Kickbacks</v>
      </c>
      <c r="B12" s="66" t="n">
        <f aca="false">IF($A12="","",IF(SUMPRODUCT(MAX((Log!$D$4:$D$1203=$A12)*(Log!$E$4:$E$1203="A")*Log!$B$4:$B$1203))=0,"",SUMPRODUCT(MIN((Log!$D$4:$D$1203=$A12)*(Log!$E$4:$E$1203="A")*Log!$B$4:$B$1203+((Log!$D$4:$D$1203&lt;&gt;$A12)+(Log!$E$4:$E$1203&lt;&gt;"A")&gt;0)*9999))))</f>
        <v>1</v>
      </c>
      <c r="C12" s="66" t="n">
        <f aca="false">IF($B12="","",SUMIFS(Log!$I$4:$I$1203,Log!$D$4:$D$1203,$A12,Log!$B$4:$B$1203,$B12,Log!$E$4:$E$1203,"A"))</f>
        <v>1078</v>
      </c>
      <c r="D12" s="66" t="n">
        <f aca="false">IF($A12="","",IF(SUMPRODUCT(MAX((Log!$D$4:$D$1203=$A12)*(Log!$E$4:$E$1203="A")*Log!$B$4:$B$1203))=0,"",SUMPRODUCT(MAX((Log!$D$4:$D$1203=$A12)*(Log!$E$4:$E$1203="A")*Log!$B$4:$B$1203))))</f>
        <v>5</v>
      </c>
      <c r="E12" s="66" t="n">
        <f aca="false">IF($D12="","",SUMIFS(Log!$I$4:$I$1203,Log!$D$4:$D$1203,$A12,Log!$B$4:$B$1203,$D12,Log!$E$4:$E$1203,"A"))</f>
        <v>720</v>
      </c>
      <c r="F12" s="66" t="n">
        <f aca="false">IF(OR($C12="",$E12=""),"",$E12-$C12)</f>
        <v>-358</v>
      </c>
      <c r="G12" s="72" t="n">
        <f aca="false">IF(OR($C12="",$E12="",$C12=0),"",$E12/$C12-1)</f>
        <v>-0.332096474953618</v>
      </c>
      <c r="H12" s="69" t="n">
        <f aca="false">IF($D12="","",IF(SUMPRODUCT(MAX((Log!$D$4:$D$1203=$A12)*(Log!$B$4:$B$1203=$D12)*(Log!$E$4:$E$1203="A")*(Log!$F$4:$F$1203&lt;&gt;"")*Log!$F$4:$F$1203))=0,"",SUMPRODUCT(MAX((Log!$D$4:$D$1203=$A12)*(Log!$B$4:$B$1203=$D12)*(Log!$E$4:$E$1203="A")*(Log!$F$4:$F$1203&lt;&gt;"")*Log!$F$4:$F$1203))))</f>
        <v>36</v>
      </c>
      <c r="I12" s="69" t="n">
        <f aca="false">IF($A12="","",IF(SUMPRODUCT(MAX((Log!$D$4:$D$1203=$A12)*(Log!$E$4:$E$1203="A")*(Log!$F$4:$F$1203&lt;&gt;"")*Log!$F$4:$F$1203))=0,"",SUMPRODUCT(MAX((Log!$D$4:$D$1203=$A12)*(Log!$E$4:$E$1203="A")*(Log!$F$4:$F$1203&lt;&gt;"")*Log!$F$4:$F$1203))))</f>
        <v>49</v>
      </c>
      <c r="J12" s="69" t="n">
        <f aca="false">IF(OR($H12="",$I12=""),"",$H12-$I12)</f>
        <v>-13</v>
      </c>
      <c r="K12" s="73" t="str">
        <f aca="false">IF($G12="","",IF($G12&gt;0.05,"steigend",IF($G12&lt;-0.05,"fallend","stabil")))</f>
        <v>fallend</v>
      </c>
      <c r="L12" s="66" t="n">
        <f aca="false">IF($H12="","",SUMPRODUCT((COUNTIFS(Log!$D$4:$D$1203,$A12,Log!$E$4:$E$1203,"A",Log!$F$4:$F$1203,$H12,Log!$B$4:$B$1203,Einheiten!$A$4:$A$63)&gt;0)*1))</f>
        <v>1</v>
      </c>
      <c r="M12" s="74" t="str">
        <f aca="false">IFERROR(INDEX(Rekorde!$Q$4:$Q$17,MATCH($A12,Rekorde!$A$4:$A$17,0)),"")</f>
        <v>Gewicht +2 kg, Wdh zurück auf 5</v>
      </c>
    </row>
    <row r="13" customFormat="false" ht="25.5" hidden="false" customHeight="true" outlineLevel="0" collapsed="false">
      <c r="A13" s="39" t="str">
        <f aca="false">IF(Übungen!$A13="","",Übungen!$A13)</f>
        <v>Waden</v>
      </c>
      <c r="B13" s="68" t="n">
        <f aca="false">IF($A13="","",IF(SUMPRODUCT(MAX((Log!$D$4:$D$1203=$A13)*(Log!$E$4:$E$1203="A")*Log!$B$4:$B$1203))=0,"",SUMPRODUCT(MIN((Log!$D$4:$D$1203=$A13)*(Log!$E$4:$E$1203="A")*Log!$B$4:$B$1203+((Log!$D$4:$D$1203&lt;&gt;$A13)+(Log!$E$4:$E$1203&lt;&gt;"A")&gt;0)*9999))))</f>
        <v>1</v>
      </c>
      <c r="C13" s="68" t="n">
        <f aca="false">IF($B13="","",SUMIFS(Log!$I$4:$I$1203,Log!$D$4:$D$1203,$A13,Log!$B$4:$B$1203,$B13,Log!$E$4:$E$1203,"A"))</f>
        <v>3465</v>
      </c>
      <c r="D13" s="68" t="n">
        <f aca="false">IF($A13="","",IF(SUMPRODUCT(MAX((Log!$D$4:$D$1203=$A13)*(Log!$E$4:$E$1203="A")*Log!$B$4:$B$1203))=0,"",SUMPRODUCT(MAX((Log!$D$4:$D$1203=$A13)*(Log!$E$4:$E$1203="A")*Log!$B$4:$B$1203))))</f>
        <v>7</v>
      </c>
      <c r="E13" s="68" t="n">
        <f aca="false">IF($D13="","",SUMIFS(Log!$I$4:$I$1203,Log!$D$4:$D$1203,$A13,Log!$B$4:$B$1203,$D13,Log!$E$4:$E$1203,"A"))</f>
        <v>3720</v>
      </c>
      <c r="F13" s="68" t="n">
        <f aca="false">IF(OR($C13="",$E13=""),"",$E13-$C13)</f>
        <v>255</v>
      </c>
      <c r="G13" s="75" t="n">
        <f aca="false">IF(OR($C13="",$E13="",$C13=0),"",$E13/$C13-1)</f>
        <v>0.0735930735930737</v>
      </c>
      <c r="H13" s="71" t="n">
        <f aca="false">IF($D13="","",IF(SUMPRODUCT(MAX((Log!$D$4:$D$1203=$A13)*(Log!$B$4:$B$1203=$D13)*(Log!$E$4:$E$1203="A")*(Log!$F$4:$F$1203&lt;&gt;"")*Log!$F$4:$F$1203))=0,"",SUMPRODUCT(MAX((Log!$D$4:$D$1203=$A13)*(Log!$B$4:$B$1203=$D13)*(Log!$E$4:$E$1203="A")*(Log!$F$4:$F$1203&lt;&gt;"")*Log!$F$4:$F$1203))))</f>
        <v>160</v>
      </c>
      <c r="I13" s="71" t="n">
        <f aca="false">IF($A13="","",IF(SUMPRODUCT(MAX((Log!$D$4:$D$1203=$A13)*(Log!$E$4:$E$1203="A")*(Log!$F$4:$F$1203&lt;&gt;"")*Log!$F$4:$F$1203))=0,"",SUMPRODUCT(MAX((Log!$D$4:$D$1203=$A13)*(Log!$E$4:$E$1203="A")*(Log!$F$4:$F$1203&lt;&gt;"")*Log!$F$4:$F$1203))))</f>
        <v>160</v>
      </c>
      <c r="J13" s="71" t="n">
        <f aca="false">IF(OR($H13="",$I13=""),"",$H13-$I13)</f>
        <v>0</v>
      </c>
      <c r="K13" s="76" t="str">
        <f aca="false">IF($G13="","",IF($G13&gt;0.05,"steigend",IF($G13&lt;-0.05,"fallend","stabil")))</f>
        <v>steigend</v>
      </c>
      <c r="L13" s="68" t="n">
        <f aca="false">IF($H13="","",SUMPRODUCT((COUNTIFS(Log!$D$4:$D$1203,$A13,Log!$E$4:$E$1203,"A",Log!$F$4:$F$1203,$H13,Log!$B$4:$B$1203,Einheiten!$A$4:$A$63)&gt;0)*1))</f>
        <v>1</v>
      </c>
      <c r="M13" s="77" t="str">
        <f aca="false">IFERROR(INDEX(Rekorde!$Q$4:$Q$17,MATCH($A13,Rekorde!$A$4:$A$17,0)),"")</f>
        <v>Gewicht +20 kg, Wdh zurück auf 5  (Umstellung auf den neuen Bereich)</v>
      </c>
    </row>
    <row r="14" customFormat="false" ht="25.5" hidden="false" customHeight="true" outlineLevel="0" collapsed="false">
      <c r="A14" s="36" t="str">
        <f aca="false">IF(Übungen!$A14="","",Übungen!$A14)</f>
        <v>Lunges</v>
      </c>
      <c r="B14" s="66" t="n">
        <f aca="false">IF($A14="","",IF(SUMPRODUCT(MAX((Log!$D$4:$D$1203=$A14)*(Log!$E$4:$E$1203="A")*Log!$B$4:$B$1203))=0,"",SUMPRODUCT(MIN((Log!$D$4:$D$1203=$A14)*(Log!$E$4:$E$1203="A")*Log!$B$4:$B$1203+((Log!$D$4:$D$1203&lt;&gt;$A14)+(Log!$E$4:$E$1203&lt;&gt;"A")&gt;0)*9999))))</f>
        <v>1</v>
      </c>
      <c r="C14" s="66" t="n">
        <f aca="false">IF($B14="","",SUMIFS(Log!$I$4:$I$1203,Log!$D$4:$D$1203,$A14,Log!$B$4:$B$1203,$B14,Log!$E$4:$E$1203,"A"))</f>
        <v>0</v>
      </c>
      <c r="D14" s="66" t="n">
        <f aca="false">IF($A14="","",IF(SUMPRODUCT(MAX((Log!$D$4:$D$1203=$A14)*(Log!$E$4:$E$1203="A")*Log!$B$4:$B$1203))=0,"",SUMPRODUCT(MAX((Log!$D$4:$D$1203=$A14)*(Log!$E$4:$E$1203="A")*Log!$B$4:$B$1203))))</f>
        <v>3</v>
      </c>
      <c r="E14" s="66" t="n">
        <f aca="false">IF($D14="","",SUMIFS(Log!$I$4:$I$1203,Log!$D$4:$D$1203,$A14,Log!$B$4:$B$1203,$D14,Log!$E$4:$E$1203,"A"))</f>
        <v>0</v>
      </c>
      <c r="F14" s="66" t="n">
        <f aca="false">IF(OR($C14="",$E14=""),"",$E14-$C14)</f>
        <v>0</v>
      </c>
      <c r="G14" s="72" t="str">
        <f aca="false">IF(OR($C14="",$E14="",$C14=0),"",$E14/$C14-1)</f>
        <v/>
      </c>
      <c r="H14" s="69" t="n">
        <f aca="false">IF($D14="","",IF(SUMPRODUCT(MAX((Log!$D$4:$D$1203=$A14)*(Log!$B$4:$B$1203=$D14)*(Log!$E$4:$E$1203="A")*(Log!$F$4:$F$1203&lt;&gt;"")*Log!$F$4:$F$1203))=0,"",SUMPRODUCT(MAX((Log!$D$4:$D$1203=$A14)*(Log!$B$4:$B$1203=$D14)*(Log!$E$4:$E$1203="A")*(Log!$F$4:$F$1203&lt;&gt;"")*Log!$F$4:$F$1203))))</f>
        <v>18</v>
      </c>
      <c r="I14" s="69" t="n">
        <f aca="false">IF($A14="","",IF(SUMPRODUCT(MAX((Log!$D$4:$D$1203=$A14)*(Log!$E$4:$E$1203="A")*(Log!$F$4:$F$1203&lt;&gt;"")*Log!$F$4:$F$1203))=0,"",SUMPRODUCT(MAX((Log!$D$4:$D$1203=$A14)*(Log!$E$4:$E$1203="A")*(Log!$F$4:$F$1203&lt;&gt;"")*Log!$F$4:$F$1203))))</f>
        <v>18</v>
      </c>
      <c r="J14" s="69" t="n">
        <f aca="false">IF(OR($H14="",$I14=""),"",$H14-$I14)</f>
        <v>0</v>
      </c>
      <c r="K14" s="73" t="str">
        <f aca="false">IF($G14="","",IF($G14&gt;0.05,"steigend",IF($G14&lt;-0.05,"fallend","stabil")))</f>
        <v/>
      </c>
      <c r="L14" s="66" t="n">
        <f aca="false">IF($H14="","",SUMPRODUCT((COUNTIFS(Log!$D$4:$D$1203,$A14,Log!$E$4:$E$1203,"A",Log!$F$4:$F$1203,$H14,Log!$B$4:$B$1203,Einheiten!$A$4:$A$63)&gt;0)*1))</f>
        <v>1</v>
      </c>
      <c r="M14" s="74" t="str">
        <f aca="false">IFERROR(INDEX(Rekorde!$Q$4:$Q$17,MATCH($A14,Rekorde!$A$4:$A$17,0)),"")</f>
        <v>Gewicht halten, erst 5 Wdh sauber schaffen</v>
      </c>
    </row>
    <row r="15" customFormat="false" ht="25.5" hidden="false" customHeight="true" outlineLevel="0" collapsed="false">
      <c r="A15" s="39" t="str">
        <f aca="false">IF(Übungen!$A15="","",Übungen!$A15)</f>
        <v>Kickback</v>
      </c>
      <c r="B15" s="68" t="n">
        <f aca="false">IF($A15="","",IF(SUMPRODUCT(MAX((Log!$D$4:$D$1203=$A15)*(Log!$E$4:$E$1203="A")*Log!$B$4:$B$1203))=0,"",SUMPRODUCT(MIN((Log!$D$4:$D$1203=$A15)*(Log!$E$4:$E$1203="A")*Log!$B$4:$B$1203+((Log!$D$4:$D$1203&lt;&gt;$A15)+(Log!$E$4:$E$1203&lt;&gt;"A")&gt;0)*9999))))</f>
        <v>1</v>
      </c>
      <c r="C15" s="68" t="n">
        <f aca="false">IF($B15="","",SUMIFS(Log!$I$4:$I$1203,Log!$D$4:$D$1203,$A15,Log!$B$4:$B$1203,$B15,Log!$E$4:$E$1203,"A"))</f>
        <v>1974</v>
      </c>
      <c r="D15" s="68" t="n">
        <f aca="false">IF($A15="","",IF(SUMPRODUCT(MAX((Log!$D$4:$D$1203=$A15)*(Log!$E$4:$E$1203="A")*Log!$B$4:$B$1203))=0,"",SUMPRODUCT(MAX((Log!$D$4:$D$1203=$A15)*(Log!$E$4:$E$1203="A")*Log!$B$4:$B$1203))))</f>
        <v>4</v>
      </c>
      <c r="E15" s="68" t="n">
        <f aca="false">IF($D15="","",SUMIFS(Log!$I$4:$I$1203,Log!$D$4:$D$1203,$A15,Log!$B$4:$B$1203,$D15,Log!$E$4:$E$1203,"A"))</f>
        <v>1785</v>
      </c>
      <c r="F15" s="68" t="n">
        <f aca="false">IF(OR($C15="",$E15=""),"",$E15-$C15)</f>
        <v>-189</v>
      </c>
      <c r="G15" s="75" t="n">
        <f aca="false">IF(OR($C15="",$E15="",$C15=0),"",$E15/$C15-1)</f>
        <v>-0.0957446808510638</v>
      </c>
      <c r="H15" s="71" t="n">
        <f aca="false">IF($D15="","",IF(SUMPRODUCT(MAX((Log!$D$4:$D$1203=$A15)*(Log!$B$4:$B$1203=$D15)*(Log!$E$4:$E$1203="A")*(Log!$F$4:$F$1203&lt;&gt;"")*Log!$F$4:$F$1203))=0,"",SUMPRODUCT(MAX((Log!$D$4:$D$1203=$A15)*(Log!$B$4:$B$1203=$D15)*(Log!$E$4:$E$1203="A")*(Log!$F$4:$F$1203&lt;&gt;"")*Log!$F$4:$F$1203))))</f>
        <v>63</v>
      </c>
      <c r="I15" s="71" t="n">
        <f aca="false">IF($A15="","",IF(SUMPRODUCT(MAX((Log!$D$4:$D$1203=$A15)*(Log!$E$4:$E$1203="A")*(Log!$F$4:$F$1203&lt;&gt;"")*Log!$F$4:$F$1203))=0,"",SUMPRODUCT(MAX((Log!$D$4:$D$1203=$A15)*(Log!$E$4:$E$1203="A")*(Log!$F$4:$F$1203&lt;&gt;"")*Log!$F$4:$F$1203))))</f>
        <v>84</v>
      </c>
      <c r="J15" s="71" t="n">
        <f aca="false">IF(OR($H15="",$I15=""),"",$H15-$I15)</f>
        <v>-21</v>
      </c>
      <c r="K15" s="76" t="str">
        <f aca="false">IF($G15="","",IF($G15&gt;0.05,"steigend",IF($G15&lt;-0.05,"fallend","stabil")))</f>
        <v>fallend</v>
      </c>
      <c r="L15" s="68" t="n">
        <f aca="false">IF($H15="","",SUMPRODUCT((COUNTIFS(Log!$D$4:$D$1203,$A15,Log!$E$4:$E$1203,"A",Log!$F$4:$F$1203,$H15,Log!$B$4:$B$1203,Einheiten!$A$4:$A$63)&gt;0)*1))</f>
        <v>1</v>
      </c>
      <c r="M15" s="77" t="str">
        <f aca="false">IFERROR(INDEX(Rekorde!$Q$4:$Q$17,MATCH($A15,Rekorde!$A$4:$A$17,0)),"")</f>
        <v>Gewicht +9.5 kg, Wdh zurück auf 5  (Umstellung auf den neuen Bereich)</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294</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295</v>
      </c>
      <c r="B1" s="1"/>
      <c r="C1" s="1"/>
      <c r="D1" s="1"/>
      <c r="E1" s="1"/>
      <c r="F1" s="1"/>
      <c r="G1" s="1"/>
      <c r="H1" s="1"/>
      <c r="I1" s="1"/>
      <c r="J1" s="1"/>
      <c r="K1" s="1"/>
      <c r="L1" s="1"/>
      <c r="M1" s="1"/>
      <c r="N1" s="1"/>
    </row>
    <row r="2" customFormat="false" ht="15" hidden="false" customHeight="true" outlineLevel="0" collapsed="false">
      <c r="A2" s="2" t="s">
        <v>296</v>
      </c>
      <c r="B2" s="2"/>
      <c r="C2" s="2"/>
      <c r="D2" s="2"/>
      <c r="E2" s="2"/>
      <c r="F2" s="2"/>
      <c r="G2" s="2"/>
      <c r="H2" s="2"/>
      <c r="I2" s="2"/>
      <c r="J2" s="2"/>
      <c r="K2" s="2"/>
      <c r="L2" s="2"/>
      <c r="M2" s="2"/>
      <c r="N2" s="2"/>
    </row>
    <row r="3" customFormat="false" ht="33.75" hidden="false" customHeight="true" outlineLevel="0" collapsed="false">
      <c r="A3" s="22" t="s">
        <v>171</v>
      </c>
      <c r="B3" s="22" t="s">
        <v>228</v>
      </c>
      <c r="C3" s="22" t="s">
        <v>297</v>
      </c>
      <c r="D3" s="22" t="s">
        <v>220</v>
      </c>
      <c r="E3" s="22" t="s">
        <v>298</v>
      </c>
      <c r="F3" s="22" t="s">
        <v>299</v>
      </c>
      <c r="G3" s="22" t="s">
        <v>300</v>
      </c>
      <c r="H3" s="22" t="s">
        <v>301</v>
      </c>
      <c r="I3" s="22" t="s">
        <v>300</v>
      </c>
      <c r="J3" s="22" t="s">
        <v>302</v>
      </c>
      <c r="K3" s="22" t="s">
        <v>284</v>
      </c>
      <c r="L3" s="22" t="s">
        <v>288</v>
      </c>
      <c r="M3" s="22" t="s">
        <v>303</v>
      </c>
      <c r="N3" s="22" t="s">
        <v>304</v>
      </c>
      <c r="O3" s="22" t="s">
        <v>305</v>
      </c>
      <c r="P3" s="22" t="s">
        <v>306</v>
      </c>
      <c r="Q3" s="22" t="s">
        <v>293</v>
      </c>
    </row>
    <row r="4" customFormat="false" ht="18" hidden="false" customHeight="true" outlineLevel="0" collapsed="false">
      <c r="A4" s="36" t="str">
        <f aca="false">IF(Übungen!$A4="","",Übungen!$A4)</f>
        <v>Beinpresse</v>
      </c>
      <c r="B4" s="79" t="str">
        <f aca="false">IF(Übungen!$B4="","",Übungen!$B4)</f>
        <v>Beine vorne</v>
      </c>
      <c r="C4" s="66" t="n">
        <f aca="false">IF($D4="","",SUMPRODUCT((COUNTIFS(Log!$D$4:$D$1203,$A4,Log!$E$4:$E$1203,"A",Log!$B$4:$B$1203,Einheiten!$A$4:$A$63)&gt;0)*1))</f>
        <v>2</v>
      </c>
      <c r="D4" s="66" t="n">
        <f aca="false">IF($A4="","",IF(COUNTIFS(Log!$D$4:$D$1203,$A4,Log!$E$4:$E$1203,"A")=0,"",COUNTIFS(Log!$D$4:$D$1203,$A4,Log!$E$4:$E$1203,"A")))</f>
        <v>5</v>
      </c>
      <c r="E4" s="66" t="n">
        <f aca="false">IF($D4="","",SUMIFS(Log!$I$4:$I$1203,Log!$D$4:$D$1203,$A4,Log!$E$4:$E$1203,"A"))</f>
        <v>13124</v>
      </c>
      <c r="F4" s="80" t="n">
        <f aca="false">IF($D4="","",IF(SUMPRODUCT(MAX((Log!$D$4:$D$1203=$A4)*(Log!$E$4:$E$1203="A")*(Log!$F$4:$F$1203&lt;&gt;"")*Log!$F$4:$F$1203))=0,"",SUMPRODUCT(MAX((Log!$D$4:$D$1203=$A4)*(Log!$E$4:$E$1203="A")*(Log!$F$4:$F$1203&lt;&gt;"")*Log!$F$4:$F$1203))))</f>
        <v>303</v>
      </c>
      <c r="G4" s="66" t="n">
        <f aca="false">IF($F4="","",SUMPRODUCT(MAX((Log!$D$4:$D$1203=$A4)*(Log!$E$4:$E$1203="A")*(Log!$F$4:$F$1203=$F4)*Log!$B$4:$B$1203)))</f>
        <v>6</v>
      </c>
      <c r="H4" s="80" t="n">
        <f aca="false">IF($D4="","",IF(SUMPRODUCT(MAX((Log!$D$4:$D$1203=$A4)*(Log!$E$4:$E$1203="A")*(Log!$F$4:$F$1203&lt;&gt;"")*(Log!$G$4:$G$1203&lt;&gt;"")*Log!$F$4:$F$1203*(1+Log!$G$4:$G$1203/30)))=0,"",SUMPRODUCT(MAX((Log!$D$4:$D$1203=$A4)*(Log!$E$4:$E$1203="A")*(Log!$F$4:$F$1203&lt;&gt;"")*(Log!$G$4:$G$1203&lt;&gt;"")*Log!$F$4:$F$1203*(1+Log!$G$4:$G$1203/30)))))</f>
        <v>382.2</v>
      </c>
      <c r="I4" s="66" t="n">
        <f aca="false">IF($H4="","",SUMPRODUCT(MAX((Log!$D$4:$D$1203=$A4)*(Log!$E$4:$E$1203="A")*(Log!$F$4:$F$1203&lt;&gt;"")*(Log!$G$4:$G$1203&lt;&gt;"")*(ROUND(Log!$F$4:$F$1203*(1+Log!$G$4:$G$1203/30),6)=ROUND($H4,6))*Log!$B$4:$B$1203)))</f>
        <v>6</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6</v>
      </c>
      <c r="L4" s="69" t="n">
        <f aca="false">IF($K4="","",IF(SUMPRODUCT(MAX((Log!$D$4:$D$1203=$A4)*(Log!$B$4:$B$1203=$K4)*(Log!$E$4:$E$1203="A")*(Log!$F$4:$F$1203&lt;&gt;"")*Log!$F$4:$F$1203))=0,"",SUMPRODUCT(MAX((Log!$D$4:$D$1203=$A4)*(Log!$B$4:$B$1203=$K4)*(Log!$E$4:$E$1203="A")*(Log!$F$4:$F$1203&lt;&gt;"")*Log!$F$4:$F$1203))))</f>
        <v>303</v>
      </c>
      <c r="M4" s="66" t="n">
        <f aca="false">IF($L4="","",IF(SUMPRODUCT(MAX((Log!$D$4:$D$1203=$A4)*(Log!$B$4:$B$1203=$K4)*(Log!$E$4:$E$1203="A")*(Log!$F$4:$F$1203=$L4)*Log!$G$4:$G$1203))=0,"",SUMPRODUCT(MAX((Log!$D$4:$D$1203=$A4)*(Log!$B$4:$B$1203=$K4)*(Log!$E$4:$E$1203="A")*(Log!$F$4:$F$1203=$L4)*Log!$G$4:$G$1203))))</f>
        <v>6</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2" t="n">
        <f aca="false">IF(Übungen!$D4="","",IF($O4="","",IF($L4="",Übungen!$D4,IF(AND($N4&lt;&gt;"",Übungen!$E4&lt;&gt;"",$N4&gt;=Übungen!$E4),Übungen!$D4,IF(OR($N4="",$N4&lt;Übungen!$D4),Übungen!$D4,MIN(Übungen!$E4,$N4+1))))))</f>
        <v>7</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6</v>
      </c>
      <c r="D5" s="68" t="n">
        <f aca="false">IF($A5="","",IF(COUNTIFS(Log!$D$4:$D$1203,$A5,Log!$E$4:$E$1203,"A")=0,"",COUNTIFS(Log!$D$4:$D$1203,$A5,Log!$E$4:$E$1203,"A")))</f>
        <v>17</v>
      </c>
      <c r="E5" s="68" t="n">
        <f aca="false">IF($D5="","",SUMIFS(Log!$I$4:$I$1203,Log!$D$4:$D$1203,$A5,Log!$E$4:$E$1203,"A"))</f>
        <v>11560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133.333333333333</v>
      </c>
      <c r="I5" s="68" t="n">
        <f aca="false">IF($H5="","",SUMPRODUCT(MAX((Log!$D$4:$D$1203=$A5)*(Log!$E$4:$E$1203="A")*(Log!$F$4:$F$1203&lt;&gt;"")*(Log!$G$4:$G$1203&lt;&gt;"")*(ROUND(Log!$F$4:$F$1203*(1+Log!$G$4:$G$1203/30),6)=ROUND($H5,6))*Log!$B$4:$B$1203)))</f>
        <v>6</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6</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10</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6</v>
      </c>
      <c r="D6" s="66" t="n">
        <f aca="false">IF($A6="","",IF(COUNTIFS(Log!$D$4:$D$1203,$A6,Log!$E$4:$E$1203,"A")=0,"",COUNTIFS(Log!$D$4:$D$1203,$A6,Log!$E$4:$E$1203,"A")))</f>
        <v>13</v>
      </c>
      <c r="E6" s="66" t="n">
        <f aca="false">IF($D6="","",SUMIFS(Log!$I$4:$I$1203,Log!$D$4:$D$1203,$A6,Log!$E$4:$E$1203,"A"))</f>
        <v>9105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6</v>
      </c>
      <c r="L6" s="69" t="n">
        <f aca="false">IF($K6="","",IF(SUMPRODUCT(MAX((Log!$D$4:$D$1203=$A6)*(Log!$B$4:$B$1203=$K6)*(Log!$E$4:$E$1203="A")*(Log!$F$4:$F$1203&lt;&gt;"")*Log!$F$4:$F$1203))=0,"",SUMPRODUCT(MAX((Log!$D$4:$D$1203=$A6)*(Log!$B$4:$B$1203=$K6)*(Log!$E$4:$E$1203="A")*(Log!$F$4:$F$1203&lt;&gt;"")*Log!$F$4:$F$1203))))</f>
        <v>95</v>
      </c>
      <c r="M6" s="66" t="n">
        <f aca="false">IF($L6="","",IF(SUMPRODUCT(MAX((Log!$D$4:$D$1203=$A6)*(Log!$B$4:$B$1203=$K6)*(Log!$E$4:$E$1203="A")*(Log!$F$4:$F$1203=$L6)*Log!$G$4:$G$1203))=0,"",SUMPRODUCT(MAX((Log!$D$4:$D$1203=$A6)*(Log!$B$4:$B$1203=$K6)*(Log!$E$4:$E$1203="A")*(Log!$F$4:$F$1203=$L6)*Log!$G$4:$G$1203))))</f>
        <v>5</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2" t="n">
        <f aca="false">IF(Übungen!$D6="","",IF($O6="","",IF($L6="",Übungen!$D6,IF(AND($N6&lt;&gt;"",Übungen!$E6&lt;&gt;"",$N6&gt;=Übungen!$E6),Übungen!$D6,IF(OR($N6="",$N6&lt;Übungen!$D6),Übungen!$D6,MIN(Übungen!$E6,$N6+1))))))</f>
        <v>6</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6</v>
      </c>
      <c r="D7" s="68" t="n">
        <f aca="false">IF($A7="","",IF(COUNTIFS(Log!$D$4:$D$1203,$A7,Log!$E$4:$E$1203,"A")=0,"",COUNTIFS(Log!$D$4:$D$1203,$A7,Log!$E$4:$E$1203,"A")))</f>
        <v>12</v>
      </c>
      <c r="E7" s="68" t="n">
        <f aca="false">IF($D7="","",SUMIFS(Log!$I$4:$I$1203,Log!$D$4:$D$1203,$A7,Log!$E$4:$E$1203,"A"))</f>
        <v>27251.5</v>
      </c>
      <c r="F7" s="83" t="n">
        <f aca="false">IF($D7="","",IF(SUMPRODUCT(MAX((Log!$D$4:$D$1203=$A7)*(Log!$E$4:$E$1203="A")*(Log!$F$4:$F$1203&lt;&gt;"")*Log!$F$4:$F$1203))=0,"",SUMPRODUCT(MAX((Log!$D$4:$D$1203=$A7)*(Log!$E$4:$E$1203="A")*(Log!$F$4:$F$1203&lt;&gt;"")*Log!$F$4:$F$1203))))</f>
        <v>180</v>
      </c>
      <c r="G7" s="68" t="n">
        <f aca="false">IF($F7="","",SUMPRODUCT(MAX((Log!$D$4:$D$1203=$A7)*(Log!$E$4:$E$1203="A")*(Log!$F$4:$F$1203=$F7)*Log!$B$4:$B$1203)))</f>
        <v>6</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6</v>
      </c>
      <c r="L7" s="71" t="n">
        <f aca="false">IF($K7="","",IF(SUMPRODUCT(MAX((Log!$D$4:$D$1203=$A7)*(Log!$B$4:$B$1203=$K7)*(Log!$E$4:$E$1203="A")*(Log!$F$4:$F$1203&lt;&gt;"")*Log!$F$4:$F$1203))=0,"",SUMPRODUCT(MAX((Log!$D$4:$D$1203=$A7)*(Log!$B$4:$B$1203=$K7)*(Log!$E$4:$E$1203="A")*(Log!$F$4:$F$1203&lt;&gt;"")*Log!$F$4:$F$1203))))</f>
        <v>180</v>
      </c>
      <c r="M7" s="68" t="n">
        <f aca="false">IF($L7="","",IF(SUMPRODUCT(MAX((Log!$D$4:$D$1203=$A7)*(Log!$B$4:$B$1203=$K7)*(Log!$E$4:$E$1203="A")*(Log!$F$4:$F$1203=$L7)*Log!$G$4:$G$1203))=0,"",SUMPRODUCT(MAX((Log!$D$4:$D$1203=$A7)*(Log!$B$4:$B$1203=$K7)*(Log!$E$4:$E$1203="A")*(Log!$F$4:$F$1203=$L7)*Log!$G$4:$G$1203))))</f>
        <v>8</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0" t="n">
        <f aca="false">IF($D8="","",IF(SUMPRODUCT(MAX((Log!$D$4:$D$1203=$A8)*(Log!$E$4:$E$1203="A")*(Log!$F$4:$F$1203&lt;&gt;"")*Log!$F$4:$F$1203))=0,"",SUMPRODUCT(MAX((Log!$D$4:$D$1203=$A8)*(Log!$E$4:$E$1203="A")*(Log!$F$4:$F$1203&lt;&gt;"")*Log!$F$4:$F$1203))))</f>
        <v>135</v>
      </c>
      <c r="G8" s="66" t="n">
        <f aca="false">IF($F8="","",SUMPRODUCT(MAX((Log!$D$4:$D$1203=$A8)*(Log!$E$4:$E$1203="A")*(Log!$F$4:$F$1203=$F8)*Log!$B$4:$B$1203)))</f>
        <v>7</v>
      </c>
      <c r="H8" s="80"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2"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6</v>
      </c>
      <c r="D9" s="68" t="n">
        <f aca="false">IF($A9="","",IF(COUNTIFS(Log!$D$4:$D$1203,$A9,Log!$E$4:$E$1203,"A")=0,"",COUNTIFS(Log!$D$4:$D$1203,$A9,Log!$E$4:$E$1203,"A")))</f>
        <v>15</v>
      </c>
      <c r="E9" s="68" t="n">
        <f aca="false">IF($D9="","",SUMIFS(Log!$I$4:$I$1203,Log!$D$4:$D$1203,$A9,Log!$E$4:$E$1203,"A"))</f>
        <v>31960</v>
      </c>
      <c r="F9" s="83" t="n">
        <f aca="false">IF($D9="","",IF(SUMPRODUCT(MAX((Log!$D$4:$D$1203=$A9)*(Log!$E$4:$E$1203="A")*(Log!$F$4:$F$1203&lt;&gt;"")*Log!$F$4:$F$1203))=0,"",SUMPRODUCT(MAX((Log!$D$4:$D$1203=$A9)*(Log!$E$4:$E$1203="A")*(Log!$F$4:$F$1203&lt;&gt;"")*Log!$F$4:$F$1203))))</f>
        <v>290</v>
      </c>
      <c r="G9" s="68" t="n">
        <f aca="false">IF($F9="","",SUMPRODUCT(MAX((Log!$D$4:$D$1203=$A9)*(Log!$E$4:$E$1203="A")*(Log!$F$4:$F$1203=$F9)*Log!$B$4:$B$1203)))</f>
        <v>7</v>
      </c>
      <c r="H9" s="83" t="n">
        <f aca="false">IF($D9="","",IF(SUMPRODUCT(MAX((Log!$D$4:$D$1203=$A9)*(Log!$E$4:$E$1203="A")*(Log!$F$4:$F$1203&lt;&gt;"")*(Log!$G$4:$G$1203&lt;&gt;"")*Log!$F$4:$F$1203*(1+Log!$G$4:$G$1203/30)))=0,"",SUMPRODUCT(MAX((Log!$D$4:$D$1203=$A9)*(Log!$E$4:$E$1203="A")*(Log!$F$4:$F$1203&lt;&gt;"")*(Log!$G$4:$G$1203&lt;&gt;"")*Log!$F$4:$F$1203*(1+Log!$G$4:$G$1203/30)))))</f>
        <v>367.333333333333</v>
      </c>
      <c r="I9" s="68" t="n">
        <f aca="false">IF($H9="","",SUMPRODUCT(MAX((Log!$D$4:$D$1203=$A9)*(Log!$E$4:$E$1203="A")*(Log!$F$4:$F$1203&lt;&gt;"")*(Log!$G$4:$G$1203&lt;&gt;"")*(ROUND(Log!$F$4:$F$1203*(1+Log!$G$4:$G$1203/30),6)=ROUND($H9,6))*Log!$B$4:$B$1203)))</f>
        <v>7</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7</v>
      </c>
      <c r="L9" s="71" t="n">
        <f aca="false">IF($K9="","",IF(SUMPRODUCT(MAX((Log!$D$4:$D$1203=$A9)*(Log!$B$4:$B$1203=$K9)*(Log!$E$4:$E$1203="A")*(Log!$F$4:$F$1203&lt;&gt;"")*Log!$F$4:$F$1203))=0,"",SUMPRODUCT(MAX((Log!$D$4:$D$1203=$A9)*(Log!$B$4:$B$1203=$K9)*(Log!$E$4:$E$1203="A")*(Log!$F$4:$F$1203&lt;&gt;"")*Log!$F$4:$F$1203))))</f>
        <v>290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300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36" t="str">
        <f aca="false">IF(Übungen!$A10="","",Übungen!$A10)</f>
        <v>Hip &amp; Glute</v>
      </c>
      <c r="B10" s="79" t="str">
        <f aca="false">IF(Übungen!$B10="","",Übungen!$B10)</f>
        <v>Beine hinten</v>
      </c>
      <c r="C10" s="66" t="n">
        <f aca="false">IF($D10="","",SUMPRODUCT((COUNTIFS(Log!$D$4:$D$1203,$A10,Log!$E$4:$E$1203,"A",Log!$B$4:$B$1203,Einheiten!$A$4:$A$63)&gt;0)*1))</f>
        <v>1</v>
      </c>
      <c r="D10" s="66" t="n">
        <f aca="false">IF($A10="","",IF(COUNTIFS(Log!$D$4:$D$1203,$A10,Log!$E$4:$E$1203,"A")=0,"",COUNTIFS(Log!$D$4:$D$1203,$A10,Log!$E$4:$E$1203,"A")))</f>
        <v>2</v>
      </c>
      <c r="E10" s="66" t="n">
        <f aca="false">IF($D10="","",SUMIFS(Log!$I$4:$I$1203,Log!$D$4:$D$1203,$A10,Log!$E$4:$E$1203,"A"))</f>
        <v>3732</v>
      </c>
      <c r="F10" s="80" t="n">
        <f aca="false">IF($D10="","",IF(SUMPRODUCT(MAX((Log!$D$4:$D$1203=$A10)*(Log!$E$4:$E$1203="A")*(Log!$F$4:$F$1203&lt;&gt;"")*Log!$F$4:$F$1203))=0,"",SUMPRODUCT(MAX((Log!$D$4:$D$1203=$A10)*(Log!$E$4:$E$1203="A")*(Log!$F$4:$F$1203&lt;&gt;"")*Log!$F$4:$F$1203))))</f>
        <v>141</v>
      </c>
      <c r="G10" s="66" t="n">
        <f aca="false">IF($F10="","",SUMPRODUCT(MAX((Log!$D$4:$D$1203=$A10)*(Log!$E$4:$E$1203="A")*(Log!$F$4:$F$1203=$F10)*Log!$B$4:$B$1203)))</f>
        <v>7</v>
      </c>
      <c r="H10" s="80" t="n">
        <f aca="false">IF($D10="","",IF(SUMPRODUCT(MAX((Log!$D$4:$D$1203=$A10)*(Log!$E$4:$E$1203="A")*(Log!$F$4:$F$1203&lt;&gt;"")*(Log!$G$4:$G$1203&lt;&gt;"")*Log!$F$4:$F$1203*(1+Log!$G$4:$G$1203/30)))=0,"",SUMPRODUCT(MAX((Log!$D$4:$D$1203=$A10)*(Log!$E$4:$E$1203="A")*(Log!$F$4:$F$1203&lt;&gt;"")*(Log!$G$4:$G$1203&lt;&gt;"")*Log!$F$4:$F$1203*(1+Log!$G$4:$G$1203/30)))))</f>
        <v>204</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2040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141</v>
      </c>
      <c r="M10" s="66" t="n">
        <f aca="false">IF($L10="","",IF(SUMPRODUCT(MAX((Log!$D$4:$D$1203=$A10)*(Log!$B$4:$B$1203=$K10)*(Log!$E$4:$E$1203="A")*(Log!$F$4:$F$1203=$L10)*Log!$G$4:$G$1203))=0,"",SUMPRODUCT(MAX((Log!$D$4:$D$1203=$A10)*(Log!$B$4:$B$1203=$K10)*(Log!$E$4:$E$1203="A")*(Log!$F$4:$F$1203=$L10)*Log!$G$4:$G$1203))))</f>
        <v>12</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160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+19 kg, Wdh zurück auf 5  (Umstellung auf den neuen Bereich)</v>
      </c>
    </row>
    <row r="11" customFormat="false" ht="18" hidden="false" customHeight="true" outlineLevel="0" collapsed="false">
      <c r="A11" s="39" t="str">
        <f aca="false">IF(Übungen!$A11="","",Übungen!$A11)</f>
        <v>Beinbeuger</v>
      </c>
      <c r="B11" s="4" t="str">
        <f aca="false">IF(Übungen!$B11="","",Übungen!$B11)</f>
        <v>Beine hinten</v>
      </c>
      <c r="C11" s="68" t="n">
        <f aca="false">IF($D11="","",SUMPRODUCT((COUNTIFS(Log!$D$4:$D$1203,$A11,Log!$E$4:$E$1203,"A",Log!$B$4:$B$1203,Einheiten!$A$4:$A$63)&gt;0)*1))</f>
        <v>5</v>
      </c>
      <c r="D11" s="68" t="n">
        <f aca="false">IF($A11="","",IF(COUNTIFS(Log!$D$4:$D$1203,$A11,Log!$E$4:$E$1203,"A")=0,"",COUNTIFS(Log!$D$4:$D$1203,$A11,Log!$E$4:$E$1203,"A")))</f>
        <v>10</v>
      </c>
      <c r="E11" s="68" t="n">
        <f aca="false">IF($D11="","",SUMIFS(Log!$I$4:$I$1203,Log!$D$4:$D$1203,$A11,Log!$E$4:$E$1203,"A"))</f>
        <v>5660</v>
      </c>
      <c r="F11" s="83" t="n">
        <f aca="false">IF($D11="","",IF(SUMPRODUCT(MAX((Log!$D$4:$D$1203=$A11)*(Log!$E$4:$E$1203="A")*(Log!$F$4:$F$1203&lt;&gt;"")*Log!$F$4:$F$1203))=0,"",SUMPRODUCT(MAX((Log!$D$4:$D$1203=$A11)*(Log!$E$4:$E$1203="A")*(Log!$F$4:$F$1203&lt;&gt;"")*Log!$F$4:$F$1203))))</f>
        <v>55</v>
      </c>
      <c r="G11" s="68" t="n">
        <f aca="false">IF($F11="","",SUMPRODUCT(MAX((Log!$D$4:$D$1203=$A11)*(Log!$E$4:$E$1203="A")*(Log!$F$4:$F$1203=$F11)*Log!$B$4:$B$1203)))</f>
        <v>2</v>
      </c>
      <c r="H11" s="83" t="n">
        <f aca="false">IF($D11="","",IF(SUMPRODUCT(MAX((Log!$D$4:$D$1203=$A11)*(Log!$E$4:$E$1203="A")*(Log!$F$4:$F$1203&lt;&gt;"")*(Log!$G$4:$G$1203&lt;&gt;"")*Log!$F$4:$F$1203*(1+Log!$G$4:$G$1203/30)))=0,"",SUMPRODUCT(MAX((Log!$D$4:$D$1203=$A11)*(Log!$E$4:$E$1203="A")*(Log!$F$4:$F$1203&lt;&gt;"")*(Log!$G$4:$G$1203&lt;&gt;"")*Log!$F$4:$F$1203*(1+Log!$G$4:$G$1203/30)))))</f>
        <v>73.3333333333333</v>
      </c>
      <c r="I11" s="68" t="n">
        <f aca="false">IF($H11="","",SUMPRODUCT(MAX((Log!$D$4:$D$1203=$A11)*(Log!$E$4:$E$1203="A")*(Log!$F$4:$F$1203&lt;&gt;"")*(Log!$G$4:$G$1203&lt;&gt;"")*(ROUND(Log!$F$4:$F$1203*(1+Log!$G$4:$G$1203/30),6)=ROUND($H11,6))*Log!$B$4:$B$1203)))</f>
        <v>2</v>
      </c>
      <c r="J11" s="68" t="n">
        <f aca="false">IF($D11="","",IF(SUMPRODUCT(MAX((Log!$D$4:$D$1203=$A11)*(Log!$E$4:$E$1203="A")*(Log!$F$4:$F$1203&lt;&gt;"")*(Log!$G$4:$G$1203&lt;&gt;"")*Log!$F$4:$F$1203*Log!$G$4:$G$1203))=0,"",SUMPRODUCT(MAX((Log!$D$4:$D$1203=$A11)*(Log!$E$4:$E$1203="A")*(Log!$F$4:$F$1203&lt;&gt;"")*(Log!$G$4:$G$1203&lt;&gt;"")*Log!$F$4:$F$1203*Log!$G$4:$G$1203))))</f>
        <v>675</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52.5</v>
      </c>
      <c r="M11" s="68" t="n">
        <f aca="false">IF($L11="","",IF(SUMPRODUCT(MAX((Log!$D$4:$D$1203=$A11)*(Log!$B$4:$B$1203=$K11)*(Log!$E$4:$E$1203="A")*(Log!$F$4:$F$1203=$L11)*Log!$G$4:$G$1203))=0,"",SUMPRODUCT(MAX((Log!$D$4:$D$1203=$A11)*(Log!$B$4:$B$1203=$K11)*(Log!$E$4:$E$1203="A")*(Log!$F$4:$F$1203=$L11)*Log!$G$4:$G$1203))))</f>
        <v>10</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57.5</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Wdh zurück auf 5</v>
      </c>
    </row>
    <row r="12" customFormat="false" ht="18" hidden="false" customHeight="true" outlineLevel="0" collapsed="false">
      <c r="A12" s="36" t="str">
        <f aca="false">IF(Übungen!$A12="","",Übungen!$A12)</f>
        <v>Seitliche Kickbacks</v>
      </c>
      <c r="B12" s="79" t="str">
        <f aca="false">IF(Übungen!$B12="","",Übungen!$B12)</f>
        <v>Beine hinten</v>
      </c>
      <c r="C12" s="66" t="n">
        <f aca="false">IF($D12="","",SUMPRODUCT((COUNTIFS(Log!$D$4:$D$1203,$A12,Log!$E$4:$E$1203,"A",Log!$B$4:$B$1203,Einheiten!$A$4:$A$63)&gt;0)*1))</f>
        <v>3</v>
      </c>
      <c r="D12" s="66" t="n">
        <f aca="false">IF($A12="","",IF(COUNTIFS(Log!$D$4:$D$1203,$A12,Log!$E$4:$E$1203,"A")=0,"",COUNTIFS(Log!$D$4:$D$1203,$A12,Log!$E$4:$E$1203,"A")))</f>
        <v>6</v>
      </c>
      <c r="E12" s="66" t="n">
        <f aca="false">IF($D12="","",SUMIFS(Log!$I$4:$I$1203,Log!$D$4:$D$1203,$A12,Log!$E$4:$E$1203,"A"))</f>
        <v>2773</v>
      </c>
      <c r="F12" s="80" t="n">
        <f aca="false">IF($D12="","",IF(SUMPRODUCT(MAX((Log!$D$4:$D$1203=$A12)*(Log!$E$4:$E$1203="A")*(Log!$F$4:$F$1203&lt;&gt;"")*Log!$F$4:$F$1203))=0,"",SUMPRODUCT(MAX((Log!$D$4:$D$1203=$A12)*(Log!$E$4:$E$1203="A")*(Log!$F$4:$F$1203&lt;&gt;"")*Log!$F$4:$F$1203))))</f>
        <v>49</v>
      </c>
      <c r="G12" s="66" t="n">
        <f aca="false">IF($F12="","",SUMPRODUCT(MAX((Log!$D$4:$D$1203=$A12)*(Log!$E$4:$E$1203="A")*(Log!$F$4:$F$1203=$F12)*Log!$B$4:$B$1203)))</f>
        <v>1</v>
      </c>
      <c r="H12" s="80" t="n">
        <f aca="false">IF($D12="","",IF(SUMPRODUCT(MAX((Log!$D$4:$D$1203=$A12)*(Log!$E$4:$E$1203="A")*(Log!$F$4:$F$1203&lt;&gt;"")*(Log!$G$4:$G$1203&lt;&gt;"")*Log!$F$4:$F$1203*(1+Log!$G$4:$G$1203/30)))=0,"",SUMPRODUCT(MAX((Log!$D$4:$D$1203=$A12)*(Log!$E$4:$E$1203="A")*(Log!$F$4:$F$1203&lt;&gt;"")*(Log!$G$4:$G$1203&lt;&gt;"")*Log!$F$4:$F$1203*(1+Log!$G$4:$G$1203/30)))))</f>
        <v>68.6</v>
      </c>
      <c r="I12" s="66" t="n">
        <f aca="false">IF($H12="","",SUMPRODUCT(MAX((Log!$D$4:$D$1203=$A12)*(Log!$E$4:$E$1203="A")*(Log!$F$4:$F$1203&lt;&gt;"")*(Log!$G$4:$G$1203&lt;&gt;"")*(ROUND(Log!$F$4:$F$1203*(1+Log!$G$4:$G$1203/30),6)=ROUND($H12,6))*Log!$B$4:$B$1203)))</f>
        <v>1</v>
      </c>
      <c r="J12" s="66" t="n">
        <f aca="false">IF($D12="","",IF(SUMPRODUCT(MAX((Log!$D$4:$D$1203=$A12)*(Log!$E$4:$E$1203="A")*(Log!$F$4:$F$1203&lt;&gt;"")*(Log!$G$4:$G$1203&lt;&gt;"")*Log!$F$4:$F$1203*Log!$G$4:$G$1203))=0,"",SUMPRODUCT(MAX((Log!$D$4:$D$1203=$A12)*(Log!$E$4:$E$1203="A")*(Log!$F$4:$F$1203&lt;&gt;"")*(Log!$G$4:$G$1203&lt;&gt;"")*Log!$F$4:$F$1203*Log!$G$4:$G$1203))))</f>
        <v>588</v>
      </c>
      <c r="K12" s="66" t="n">
        <f aca="false">IF($D12="","",IF(SUMPRODUCT(MAX((Log!$D$4:$D$1203=$A12)*(Log!$E$4:$E$1203="A")*Log!$B$4:$B$1203))=0,"",SUMPRODUCT(MAX((Log!$D$4:$D$1203=$A12)*(Log!$E$4:$E$1203="A")*Log!$B$4:$B$1203))))</f>
        <v>5</v>
      </c>
      <c r="L12" s="69" t="n">
        <f aca="false">IF($K12="","",IF(SUMPRODUCT(MAX((Log!$D$4:$D$1203=$A12)*(Log!$B$4:$B$1203=$K12)*(Log!$E$4:$E$1203="A")*(Log!$F$4:$F$1203&lt;&gt;"")*Log!$F$4:$F$1203))=0,"",SUMPRODUCT(MAX((Log!$D$4:$D$1203=$A12)*(Log!$B$4:$B$1203=$K12)*(Log!$E$4:$E$1203="A")*(Log!$F$4:$F$1203&lt;&gt;"")*Log!$F$4:$F$1203))))</f>
        <v>36</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38</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Wdh zurück auf 5</v>
      </c>
    </row>
    <row r="13" customFormat="false" ht="18" hidden="false" customHeight="true" outlineLevel="0" collapsed="false">
      <c r="A13" s="39" t="str">
        <f aca="false">IF(Übungen!$A13="","",Übungen!$A13)</f>
        <v>Waden</v>
      </c>
      <c r="B13" s="4" t="str">
        <f aca="false">IF(Übungen!$B13="","",Übungen!$B13)</f>
        <v>Beine hinten</v>
      </c>
      <c r="C13" s="68" t="n">
        <f aca="false">IF($D13="","",SUMPRODUCT((COUNTIFS(Log!$D$4:$D$1203,$A13,Log!$E$4:$E$1203,"A",Log!$B$4:$B$1203,Einheiten!$A$4:$A$63)&gt;0)*1))</f>
        <v>4</v>
      </c>
      <c r="D13" s="68" t="n">
        <f aca="false">IF($A13="","",IF(COUNTIFS(Log!$D$4:$D$1203,$A13,Log!$E$4:$E$1203,"A")=0,"",COUNTIFS(Log!$D$4:$D$1203,$A13,Log!$E$4:$E$1203,"A")))</f>
        <v>8</v>
      </c>
      <c r="E13" s="68" t="n">
        <f aca="false">IF($D13="","",SUMIFS(Log!$I$4:$I$1203,Log!$D$4:$D$1203,$A13,Log!$E$4:$E$1203,"A"))</f>
        <v>13770</v>
      </c>
      <c r="F13" s="83" t="n">
        <f aca="false">IF($D13="","",IF(SUMPRODUCT(MAX((Log!$D$4:$D$1203=$A13)*(Log!$E$4:$E$1203="A")*(Log!$F$4:$F$1203&lt;&gt;"")*Log!$F$4:$F$1203))=0,"",SUMPRODUCT(MAX((Log!$D$4:$D$1203=$A13)*(Log!$E$4:$E$1203="A")*(Log!$F$4:$F$1203&lt;&gt;"")*Log!$F$4:$F$1203))))</f>
        <v>160</v>
      </c>
      <c r="G13" s="68" t="n">
        <f aca="false">IF($F13="","",SUMPRODUCT(MAX((Log!$D$4:$D$1203=$A13)*(Log!$E$4:$E$1203="A")*(Log!$F$4:$F$1203=$F13)*Log!$B$4:$B$1203)))</f>
        <v>7</v>
      </c>
      <c r="H13" s="83" t="n">
        <f aca="false">IF($D13="","",IF(SUMPRODUCT(MAX((Log!$D$4:$D$1203=$A13)*(Log!$E$4:$E$1203="A")*(Log!$F$4:$F$1203&lt;&gt;"")*(Log!$G$4:$G$1203&lt;&gt;"")*Log!$F$4:$F$1203*(1+Log!$G$4:$G$1203/30)))=0,"",SUMPRODUCT(MAX((Log!$D$4:$D$1203=$A13)*(Log!$E$4:$E$1203="A")*(Log!$F$4:$F$1203&lt;&gt;"")*(Log!$G$4:$G$1203&lt;&gt;"")*Log!$F$4:$F$1203*(1+Log!$G$4:$G$1203/30)))))</f>
        <v>224</v>
      </c>
      <c r="I13" s="68" t="n">
        <f aca="false">IF($H13="","",SUMPRODUCT(MAX((Log!$D$4:$D$1203=$A13)*(Log!$E$4:$E$1203="A")*(Log!$F$4:$F$1203&lt;&gt;"")*(Log!$G$4:$G$1203&lt;&gt;"")*(ROUND(Log!$F$4:$F$1203*(1+Log!$G$4:$G$1203/30),6)=ROUND($H13,6))*Log!$B$4:$B$1203)))</f>
        <v>7</v>
      </c>
      <c r="J13" s="68" t="n">
        <f aca="false">IF($D13="","",IF(SUMPRODUCT(MAX((Log!$D$4:$D$1203=$A13)*(Log!$E$4:$E$1203="A")*(Log!$F$4:$F$1203&lt;&gt;"")*(Log!$G$4:$G$1203&lt;&gt;"")*Log!$F$4:$F$1203*Log!$G$4:$G$1203))=0,"",SUMPRODUCT(MAX((Log!$D$4:$D$1203=$A13)*(Log!$E$4:$E$1203="A")*(Log!$F$4:$F$1203&lt;&gt;"")*(Log!$G$4:$G$1203&lt;&gt;"")*Log!$F$4:$F$1203*Log!$G$4:$G$1203))))</f>
        <v>1920</v>
      </c>
      <c r="K13" s="68" t="n">
        <f aca="false">IF($D13="","",IF(SUMPRODUCT(MAX((Log!$D$4:$D$1203=$A13)*(Log!$E$4:$E$1203="A")*Log!$B$4:$B$1203))=0,"",SUMPRODUCT(MAX((Log!$D$4:$D$1203=$A13)*(Log!$E$4:$E$1203="A")*Log!$B$4:$B$1203))))</f>
        <v>7</v>
      </c>
      <c r="L13" s="71" t="n">
        <f aca="false">IF($K13="","",IF(SUMPRODUCT(MAX((Log!$D$4:$D$1203=$A13)*(Log!$B$4:$B$1203=$K13)*(Log!$E$4:$E$1203="A")*(Log!$F$4:$F$1203&lt;&gt;"")*Log!$F$4:$F$1203))=0,"",SUMPRODUCT(MAX((Log!$D$4:$D$1203=$A13)*(Log!$B$4:$B$1203=$K13)*(Log!$E$4:$E$1203="A")*(Log!$F$4:$F$1203&lt;&gt;"")*Log!$F$4:$F$1203))))</f>
        <v>160</v>
      </c>
      <c r="M13" s="68" t="n">
        <f aca="false">IF($L13="","",IF(SUMPRODUCT(MAX((Log!$D$4:$D$1203=$A13)*(Log!$B$4:$B$1203=$K13)*(Log!$E$4:$E$1203="A")*(Log!$F$4:$F$1203=$L13)*Log!$G$4:$G$1203))=0,"",SUMPRODUCT(MAX((Log!$D$4:$D$1203=$A13)*(Log!$B$4:$B$1203=$K13)*(Log!$E$4:$E$1203="A")*(Log!$F$4:$F$1203=$L13)*Log!$G$4:$G$1203))))</f>
        <v>12</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12</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180</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+20 kg, Wdh zurück auf 5  (Umstellung auf den neuen Bereich)</v>
      </c>
    </row>
    <row r="14" customFormat="false" ht="18" hidden="false" customHeight="true" outlineLevel="0" collapsed="false">
      <c r="A14" s="36" t="str">
        <f aca="false">IF(Übungen!$A14="","",Übungen!$A14)</f>
        <v>Lunges</v>
      </c>
      <c r="B14" s="79" t="str">
        <f aca="false">IF(Übungen!$B14="","",Übungen!$B14)</f>
        <v>Beine vorne</v>
      </c>
      <c r="C14" s="66" t="n">
        <f aca="false">IF($D14="","",SUMPRODUCT((COUNTIFS(Log!$D$4:$D$1203,$A14,Log!$E$4:$E$1203,"A",Log!$B$4:$B$1203,Einheiten!$A$4:$A$63)&gt;0)*1))</f>
        <v>3</v>
      </c>
      <c r="D14" s="66" t="n">
        <f aca="false">IF($A14="","",IF(COUNTIFS(Log!$D$4:$D$1203,$A14,Log!$E$4:$E$1203,"A")=0,"",COUNTIFS(Log!$D$4:$D$1203,$A14,Log!$E$4:$E$1203,"A")))</f>
        <v>3</v>
      </c>
      <c r="E14" s="66" t="n">
        <f aca="false">IF($D14="","",SUMIFS(Log!$I$4:$I$1203,Log!$D$4:$D$1203,$A14,Log!$E$4:$E$1203,"A"))</f>
        <v>0</v>
      </c>
      <c r="F14" s="80" t="n">
        <f aca="false">IF($D14="","",IF(SUMPRODUCT(MAX((Log!$D$4:$D$1203=$A14)*(Log!$E$4:$E$1203="A")*(Log!$F$4:$F$1203&lt;&gt;"")*Log!$F$4:$F$1203))=0,"",SUMPRODUCT(MAX((Log!$D$4:$D$1203=$A14)*(Log!$E$4:$E$1203="A")*(Log!$F$4:$F$1203&lt;&gt;"")*Log!$F$4:$F$1203))))</f>
        <v>18</v>
      </c>
      <c r="G14" s="66" t="n">
        <f aca="false">IF($F14="","",SUMPRODUCT(MAX((Log!$D$4:$D$1203=$A14)*(Log!$E$4:$E$1203="A")*(Log!$F$4:$F$1203=$F14)*Log!$B$4:$B$1203)))</f>
        <v>3</v>
      </c>
      <c r="H14" s="80" t="str">
        <f aca="false">IF($D14="","",IF(SUMPRODUCT(MAX((Log!$D$4:$D$1203=$A14)*(Log!$E$4:$E$1203="A")*(Log!$F$4:$F$1203&lt;&gt;"")*(Log!$G$4:$G$1203&lt;&gt;"")*Log!$F$4:$F$1203*(1+Log!$G$4:$G$1203/30)))=0,"",SUMPRODUCT(MAX((Log!$D$4:$D$1203=$A14)*(Log!$E$4:$E$1203="A")*(Log!$F$4:$F$1203&lt;&gt;"")*(Log!$G$4:$G$1203&lt;&gt;"")*Log!$F$4:$F$1203*(1+Log!$G$4:$G$1203/30)))))</f>
        <v/>
      </c>
      <c r="I14" s="66" t="str">
        <f aca="false">IF($H14="","",SUMPRODUCT(MAX((Log!$D$4:$D$1203=$A14)*(Log!$E$4:$E$1203="A")*(Log!$F$4:$F$1203&lt;&gt;"")*(Log!$G$4:$G$1203&lt;&gt;"")*(ROUND(Log!$F$4:$F$1203*(1+Log!$G$4:$G$1203/30),6)=ROUND($H14,6))*Log!$B$4:$B$1203)))</f>
        <v/>
      </c>
      <c r="J14" s="66" t="str">
        <f aca="false">IF($D14="","",IF(SUMPRODUCT(MAX((Log!$D$4:$D$1203=$A14)*(Log!$E$4:$E$1203="A")*(Log!$F$4:$F$1203&lt;&gt;"")*(Log!$G$4:$G$1203&lt;&gt;"")*Log!$F$4:$F$1203*Log!$G$4:$G$1203))=0,"",SUMPRODUCT(MAX((Log!$D$4:$D$1203=$A14)*(Log!$E$4:$E$1203="A")*(Log!$F$4:$F$1203&lt;&gt;"")*(Log!$G$4:$G$1203&lt;&gt;"")*Log!$F$4:$F$1203*Log!$G$4:$G$1203))))</f>
        <v/>
      </c>
      <c r="K14" s="66" t="n">
        <f aca="false">IF($D14="","",IF(SUMPRODUCT(MAX((Log!$D$4:$D$1203=$A14)*(Log!$E$4:$E$1203="A")*Log!$B$4:$B$1203))=0,"",SUMPRODUCT(MAX((Log!$D$4:$D$1203=$A14)*(Log!$E$4:$E$1203="A")*Log!$B$4:$B$1203))))</f>
        <v>3</v>
      </c>
      <c r="L14" s="69" t="n">
        <f aca="false">IF($K14="","",IF(SUMPRODUCT(MAX((Log!$D$4:$D$1203=$A14)*(Log!$B$4:$B$1203=$K14)*(Log!$E$4:$E$1203="A")*(Log!$F$4:$F$1203&lt;&gt;"")*Log!$F$4:$F$1203))=0,"",SUMPRODUCT(MAX((Log!$D$4:$D$1203=$A14)*(Log!$B$4:$B$1203=$K14)*(Log!$E$4:$E$1203="A")*(Log!$F$4:$F$1203&lt;&gt;"")*Log!$F$4:$F$1203))))</f>
        <v>18</v>
      </c>
      <c r="M14" s="66" t="str">
        <f aca="false">IF($L14="","",IF(SUMPRODUCT(MAX((Log!$D$4:$D$1203=$A14)*(Log!$B$4:$B$1203=$K14)*(Log!$E$4:$E$1203="A")*(Log!$F$4:$F$1203=$L14)*Log!$G$4:$G$1203))=0,"",SUMPRODUCT(MAX((Log!$D$4:$D$1203=$A14)*(Log!$B$4:$B$1203=$K14)*(Log!$E$4:$E$1203="A")*(Log!$F$4:$F$1203=$L14)*Log!$G$4:$G$1203))))</f>
        <v/>
      </c>
      <c r="N14" s="66" t="str">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halten, erst 5 Wdh sauber schaffen</v>
      </c>
    </row>
    <row r="15" customFormat="false" ht="18" hidden="false" customHeight="true" outlineLevel="0" collapsed="false">
      <c r="A15" s="39" t="str">
        <f aca="false">IF(Übungen!$A15="","",Übungen!$A15)</f>
        <v>Kickback</v>
      </c>
      <c r="B15" s="4" t="str">
        <f aca="false">IF(Übungen!$B15="","",Übungen!$B15)</f>
        <v>Beine hinten</v>
      </c>
      <c r="C15" s="68" t="n">
        <f aca="false">IF($D15="","",SUMPRODUCT((COUNTIFS(Log!$D$4:$D$1203,$A15,Log!$E$4:$E$1203,"A",Log!$B$4:$B$1203,Einheiten!$A$4:$A$63)&gt;0)*1))</f>
        <v>4</v>
      </c>
      <c r="D15" s="68" t="n">
        <f aca="false">IF($A15="","",IF(COUNTIFS(Log!$D$4:$D$1203,$A15,Log!$E$4:$E$1203,"A")=0,"",COUNTIFS(Log!$D$4:$D$1203,$A15,Log!$E$4:$E$1203,"A")))</f>
        <v>8</v>
      </c>
      <c r="E15" s="68" t="n">
        <f aca="false">IF($D15="","",SUMIFS(Log!$I$4:$I$1203,Log!$D$4:$D$1203,$A15,Log!$E$4:$E$1203,"A"))</f>
        <v>7119</v>
      </c>
      <c r="F15" s="83" t="n">
        <f aca="false">IF($D15="","",IF(SUMPRODUCT(MAX((Log!$D$4:$D$1203=$A15)*(Log!$E$4:$E$1203="A")*(Log!$F$4:$F$1203&lt;&gt;"")*Log!$F$4:$F$1203))=0,"",SUMPRODUCT(MAX((Log!$D$4:$D$1203=$A15)*(Log!$E$4:$E$1203="A")*(Log!$F$4:$F$1203&lt;&gt;"")*Log!$F$4:$F$1203))))</f>
        <v>84</v>
      </c>
      <c r="G15" s="68" t="n">
        <f aca="false">IF($F15="","",SUMPRODUCT(MAX((Log!$D$4:$D$1203=$A15)*(Log!$E$4:$E$1203="A")*(Log!$F$4:$F$1203=$F15)*Log!$B$4:$B$1203)))</f>
        <v>3</v>
      </c>
      <c r="H15" s="83" t="n">
        <f aca="false">IF($D15="","",IF(SUMPRODUCT(MAX((Log!$D$4:$D$1203=$A15)*(Log!$E$4:$E$1203="A")*(Log!$F$4:$F$1203&lt;&gt;"")*(Log!$G$4:$G$1203&lt;&gt;"")*Log!$F$4:$F$1203*(1+Log!$G$4:$G$1203/30)))=0,"",SUMPRODUCT(MAX((Log!$D$4:$D$1203=$A15)*(Log!$E$4:$E$1203="A")*(Log!$F$4:$F$1203&lt;&gt;"")*(Log!$G$4:$G$1203&lt;&gt;"")*Log!$F$4:$F$1203*(1+Log!$G$4:$G$1203/30)))))</f>
        <v>117.6</v>
      </c>
      <c r="I15" s="68" t="n">
        <f aca="false">IF($H15="","",SUMPRODUCT(MAX((Log!$D$4:$D$1203=$A15)*(Log!$E$4:$E$1203="A")*(Log!$F$4:$F$1203&lt;&gt;"")*(Log!$G$4:$G$1203&lt;&gt;"")*(ROUND(Log!$F$4:$F$1203*(1+Log!$G$4:$G$1203/30),6)=ROUND($H15,6))*Log!$B$4:$B$1203)))</f>
        <v>3</v>
      </c>
      <c r="J15" s="68" t="n">
        <f aca="false">IF($D15="","",IF(SUMPRODUCT(MAX((Log!$D$4:$D$1203=$A15)*(Log!$E$4:$E$1203="A")*(Log!$F$4:$F$1203&lt;&gt;"")*(Log!$G$4:$G$1203&lt;&gt;"")*Log!$F$4:$F$1203*Log!$G$4:$G$1203))=0,"",SUMPRODUCT(MAX((Log!$D$4:$D$1203=$A15)*(Log!$E$4:$E$1203="A")*(Log!$F$4:$F$1203&lt;&gt;"")*(Log!$G$4:$G$1203&lt;&gt;"")*Log!$F$4:$F$1203*Log!$G$4:$G$1203))))</f>
        <v>1078</v>
      </c>
      <c r="K15" s="68" t="n">
        <f aca="false">IF($D15="","",IF(SUMPRODUCT(MAX((Log!$D$4:$D$1203=$A15)*(Log!$E$4:$E$1203="A")*Log!$B$4:$B$1203))=0,"",SUMPRODUCT(MAX((Log!$D$4:$D$1203=$A15)*(Log!$E$4:$E$1203="A")*Log!$B$4:$B$1203))))</f>
        <v>4</v>
      </c>
      <c r="L15" s="71" t="n">
        <f aca="false">IF($K15="","",IF(SUMPRODUCT(MAX((Log!$D$4:$D$1203=$A15)*(Log!$B$4:$B$1203=$K15)*(Log!$E$4:$E$1203="A")*(Log!$F$4:$F$1203&lt;&gt;"")*Log!$F$4:$F$1203))=0,"",SUMPRODUCT(MAX((Log!$D$4:$D$1203=$A15)*(Log!$B$4:$B$1203=$K15)*(Log!$E$4:$E$1203="A")*(Log!$F$4:$F$1203&lt;&gt;"")*Log!$F$4:$F$1203))))</f>
        <v>63</v>
      </c>
      <c r="M15" s="68" t="n">
        <f aca="false">IF($L15="","",IF(SUMPRODUCT(MAX((Log!$D$4:$D$1203=$A15)*(Log!$B$4:$B$1203=$K15)*(Log!$E$4:$E$1203="A")*(Log!$F$4:$F$1203=$L15)*Log!$G$4:$G$1203))=0,"",SUMPRODUCT(MAX((Log!$D$4:$D$1203=$A15)*(Log!$B$4:$B$1203=$K15)*(Log!$E$4:$E$1203="A")*(Log!$F$4:$F$1203=$L15)*Log!$G$4:$G$1203))))</f>
        <v>15</v>
      </c>
      <c r="N15" s="68"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15</v>
      </c>
      <c r="O15" s="84"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72.5</v>
      </c>
      <c r="P15" s="85" t="n">
        <f aca="false">IF(Übungen!$D15="","",IF($O15="","",IF($L15="",Übungen!$D15,IF(AND($N15&lt;&gt;"",Übungen!$E15&lt;&gt;"",$N15&gt;=Übungen!$E15),Übungen!$D15,IF(OR($N15="",$N15&lt;Übungen!$D15),Übungen!$D15,MIN(Übungen!$E15,$N15+1))))))</f>
        <v>5</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+9.5 kg, Wdh zurück auf 5  (Umstellung auf den neuen Bereich)</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307</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308</v>
      </c>
      <c r="B1" s="1"/>
      <c r="C1" s="1"/>
      <c r="D1" s="1"/>
      <c r="E1" s="1"/>
      <c r="F1" s="1"/>
      <c r="G1" s="1"/>
      <c r="H1" s="1"/>
      <c r="I1" s="1"/>
    </row>
    <row r="2" customFormat="false" ht="12" hidden="false" customHeight="true" outlineLevel="0" collapsed="false">
      <c r="A2" s="86" t="s">
        <v>67</v>
      </c>
      <c r="B2" s="86"/>
      <c r="C2" s="87" t="s">
        <v>309</v>
      </c>
      <c r="D2" s="87" t="s">
        <v>310</v>
      </c>
      <c r="E2" s="86" t="s">
        <v>311</v>
      </c>
      <c r="F2" s="86"/>
      <c r="G2" s="86" t="s">
        <v>312</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7" s="91"/>
      <c r="C7" s="91"/>
      <c r="D7" s="91"/>
      <c r="E7" s="91"/>
      <c r="F7" s="91"/>
      <c r="G7" s="91"/>
      <c r="H7" s="91"/>
      <c r="I7" s="91"/>
    </row>
    <row r="8" customFormat="false" ht="18" hidden="false" customHeight="true" outlineLevel="0" collapsed="false">
      <c r="A8" s="92" t="s">
        <v>313</v>
      </c>
      <c r="B8" s="92" t="s">
        <v>314</v>
      </c>
      <c r="C8" s="92" t="s">
        <v>315</v>
      </c>
      <c r="D8" s="92" t="s">
        <v>316</v>
      </c>
      <c r="E8" s="92" t="s">
        <v>317</v>
      </c>
      <c r="F8" s="92" t="s">
        <v>231</v>
      </c>
      <c r="G8" s="92" t="s">
        <v>46</v>
      </c>
      <c r="H8" s="92" t="s">
        <v>318</v>
      </c>
      <c r="I8" s="92" t="s">
        <v>223</v>
      </c>
    </row>
    <row r="9" customFormat="false" ht="18" hidden="false" customHeight="true" outlineLevel="0" collapsed="false">
      <c r="A9" s="93" t="n">
        <v>1</v>
      </c>
      <c r="B9" s="41" t="s">
        <v>236</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236</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237</v>
      </c>
      <c r="C11" s="94" t="str">
        <f aca="false">IF(AND(Übungen!$L$4&lt;&gt;"",'Reha-Modus'!$B$4&lt;&gt;"",'Reha-Modus'!$B$4&lt;Übungen!$L$4),"",IF(IFERROR(INDEX(Rekorde!$O$4:$O$17,MATCH(Übungen!$A$4,Rekorde!$A$4:$A$17,0)),"")="","",ROUND(IFERROR(INDEX(Rekorde!$O$4:$O$17,MATCH(Übungen!$A$4,Rekorde!$A$4:$A$17,0)),"")*1*2,0)/2))</f>
        <v/>
      </c>
      <c r="D11" s="98" t="str">
        <f aca="false">IF(AND(Übungen!$L$4&lt;&gt;"",'Reha-Modus'!$B$4&lt;&gt;"",'Reha-Modus'!$B$4&lt;Übungen!$L$4),"",IF(IFERROR(INDEX(Rekorde!$P$4:$P$17,MATCH(Übungen!$A$4,Rekorde!$A$4:$A$17,0)),"")="","",IFERROR(INDEX(Rekorde!$P$4:$P$17,MATCH(Übungen!$A$4,Rekorde!$A$4:$A$17,0)),"")))</f>
        <v/>
      </c>
      <c r="E11" s="96"/>
      <c r="F11" s="96"/>
      <c r="G11" s="96"/>
      <c r="H11" s="96"/>
      <c r="I11" s="96"/>
    </row>
    <row r="12" customFormat="false" ht="18" hidden="false" customHeight="true" outlineLevel="0" collapsed="false">
      <c r="A12" s="93" t="n">
        <v>4</v>
      </c>
      <c r="B12" s="97" t="s">
        <v>237</v>
      </c>
      <c r="C12" s="94" t="str">
        <f aca="false">IF(AND(Übungen!$L$4&lt;&gt;"",'Reha-Modus'!$B$4&lt;&gt;"",'Reha-Modus'!$B$4&lt;Übungen!$L$4),"",IF(IFERROR(INDEX(Rekorde!$O$4:$O$17,MATCH(Übungen!$A$4,Rekorde!$A$4:$A$17,0)),"")="","",ROUND(IFERROR(INDEX(Rekorde!$O$4:$O$17,MATCH(Übungen!$A$4,Rekorde!$A$4:$A$17,0)),"")*1*2,0)/2))</f>
        <v/>
      </c>
      <c r="D12" s="98" t="str">
        <f aca="false">IF(AND(Übungen!$L$4&lt;&gt;"",'Reha-Modus'!$B$4&lt;&gt;"",'Reha-Modus'!$B$4&lt;Übungen!$L$4),"",IF(IFERROR(INDEX(Rekorde!$P$4:$P$17,MATCH(Übungen!$A$4,Rekorde!$A$4:$A$17,0)),"")="","",IFERROR(INDEX(Rekorde!$P$4:$P$17,MATCH(Übungen!$A$4,Rekorde!$A$4:$A$17,0)),"")))</f>
        <v/>
      </c>
      <c r="E12" s="96"/>
      <c r="F12" s="96"/>
      <c r="G12" s="96"/>
      <c r="H12" s="96"/>
      <c r="I12" s="96"/>
    </row>
    <row r="13" customFormat="false" ht="18" hidden="false" customHeight="true" outlineLevel="0" collapsed="false">
      <c r="A13" s="93" t="n">
        <v>5</v>
      </c>
      <c r="B13" s="97" t="s">
        <v>237</v>
      </c>
      <c r="C13" s="94" t="str">
        <f aca="false">IF(AND(Übungen!$L$4&lt;&gt;"",'Reha-Modus'!$B$4&lt;&gt;"",'Reha-Modus'!$B$4&lt;Übungen!$L$4),"",IF(IFERROR(INDEX(Rekorde!$O$4:$O$17,MATCH(Übungen!$A$4,Rekorde!$A$4:$A$17,0)),"")="","",ROUND(IFERROR(INDEX(Rekorde!$O$4:$O$17,MATCH(Übungen!$A$4,Rekorde!$A$4:$A$17,0)),"")*1*2,0)/2))</f>
        <v/>
      </c>
      <c r="D13" s="98" t="str">
        <f aca="false">IF(AND(Übungen!$L$4&lt;&gt;"",'Reha-Modus'!$B$4&lt;&gt;"",'Reha-Modus'!$B$4&lt;Übungen!$L$4),"",IF(IFERROR(INDEX(Rekorde!$P$4:$P$17,MATCH(Übungen!$A$4,Rekorde!$A$4:$A$17,0)),"")="","",IFERROR(INDEX(Rekorde!$P$4:$P$17,MATCH(Übungen!$A$4,Rekorde!$A$4:$A$17,0)),"")))</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7" s="91"/>
      <c r="C17" s="91"/>
      <c r="D17" s="91"/>
      <c r="E17" s="91"/>
      <c r="F17" s="91"/>
      <c r="G17" s="91"/>
      <c r="H17" s="91"/>
      <c r="I17" s="91"/>
    </row>
    <row r="18" customFormat="false" ht="18" hidden="false" customHeight="true" outlineLevel="0" collapsed="false">
      <c r="A18" s="92" t="s">
        <v>313</v>
      </c>
      <c r="B18" s="92" t="s">
        <v>314</v>
      </c>
      <c r="C18" s="92" t="s">
        <v>315</v>
      </c>
      <c r="D18" s="92" t="s">
        <v>316</v>
      </c>
      <c r="E18" s="92" t="s">
        <v>317</v>
      </c>
      <c r="F18" s="92" t="s">
        <v>231</v>
      </c>
      <c r="G18" s="92" t="s">
        <v>46</v>
      </c>
      <c r="H18" s="92" t="s">
        <v>318</v>
      </c>
      <c r="I18" s="92" t="s">
        <v>223</v>
      </c>
    </row>
    <row r="19" customFormat="false" ht="18" hidden="false" customHeight="true" outlineLevel="0" collapsed="false">
      <c r="A19" s="93" t="n">
        <v>1</v>
      </c>
      <c r="B19" s="41" t="s">
        <v>236</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236</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237</v>
      </c>
      <c r="C21" s="94" t="str">
        <f aca="false">IF(AND(Übungen!$L$5&lt;&gt;"",'Reha-Modus'!$B$4&lt;&gt;"",'Reha-Modus'!$B$4&lt;Übungen!$L$5),"",IF(IFERROR(INDEX(Rekorde!$O$4:$O$17,MATCH(Übungen!$A$5,Rekorde!$A$4:$A$17,0)),"")="","",ROUND(IFERROR(INDEX(Rekorde!$O$4:$O$17,MATCH(Übungen!$A$5,Rekorde!$A$4:$A$17,0)),"")*1*2,0)/2))</f>
        <v/>
      </c>
      <c r="D21" s="98" t="str">
        <f aca="false">IF(AND(Übungen!$L$5&lt;&gt;"",'Reha-Modus'!$B$4&lt;&gt;"",'Reha-Modus'!$B$4&lt;Übungen!$L$5),"",IF(IFERROR(INDEX(Rekorde!$P$4:$P$17,MATCH(Übungen!$A$5,Rekorde!$A$4:$A$17,0)),"")="","",IFERROR(INDEX(Rekorde!$P$4:$P$17,MATCH(Übungen!$A$5,Rekorde!$A$4:$A$17,0)),"")))</f>
        <v/>
      </c>
      <c r="E21" s="96"/>
      <c r="F21" s="96"/>
      <c r="G21" s="96"/>
      <c r="H21" s="96"/>
      <c r="I21" s="96"/>
    </row>
    <row r="22" customFormat="false" ht="18" hidden="false" customHeight="true" outlineLevel="0" collapsed="false">
      <c r="A22" s="93" t="n">
        <v>4</v>
      </c>
      <c r="B22" s="97" t="s">
        <v>237</v>
      </c>
      <c r="C22" s="94" t="str">
        <f aca="false">IF(AND(Übungen!$L$5&lt;&gt;"",'Reha-Modus'!$B$4&lt;&gt;"",'Reha-Modus'!$B$4&lt;Übungen!$L$5),"",IF(IFERROR(INDEX(Rekorde!$O$4:$O$17,MATCH(Übungen!$A$5,Rekorde!$A$4:$A$17,0)),"")="","",ROUND(IFERROR(INDEX(Rekorde!$O$4:$O$17,MATCH(Übungen!$A$5,Rekorde!$A$4:$A$17,0)),"")*1*2,0)/2))</f>
        <v/>
      </c>
      <c r="D22" s="98" t="str">
        <f aca="false">IF(AND(Übungen!$L$5&lt;&gt;"",'Reha-Modus'!$B$4&lt;&gt;"",'Reha-Modus'!$B$4&lt;Übungen!$L$5),"",IF(IFERROR(INDEX(Rekorde!$P$4:$P$17,MATCH(Übungen!$A$5,Rekorde!$A$4:$A$17,0)),"")="","",IFERROR(INDEX(Rekorde!$P$4:$P$17,MATCH(Übungen!$A$5,Rekorde!$A$4:$A$17,0)),"")))</f>
        <v/>
      </c>
      <c r="E22" s="96"/>
      <c r="F22" s="96"/>
      <c r="G22" s="96"/>
      <c r="H22" s="96"/>
      <c r="I22" s="96"/>
    </row>
    <row r="23" customFormat="false" ht="18" hidden="false" customHeight="true" outlineLevel="0" collapsed="false">
      <c r="A23" s="93" t="n">
        <v>5</v>
      </c>
      <c r="B23" s="97" t="s">
        <v>237</v>
      </c>
      <c r="C23" s="94" t="str">
        <f aca="false">IF(AND(Übungen!$L$5&lt;&gt;"",'Reha-Modus'!$B$4&lt;&gt;"",'Reha-Modus'!$B$4&lt;Übungen!$L$5),"",IF(IFERROR(INDEX(Rekorde!$O$4:$O$17,MATCH(Übungen!$A$5,Rekorde!$A$4:$A$17,0)),"")="","",ROUND(IFERROR(INDEX(Rekorde!$O$4:$O$17,MATCH(Übungen!$A$5,Rekorde!$A$4:$A$17,0)),"")*1*2,0)/2))</f>
        <v/>
      </c>
      <c r="D23" s="98" t="str">
        <f aca="false">IF(AND(Übungen!$L$5&lt;&gt;"",'Reha-Modus'!$B$4&lt;&gt;"",'Reha-Modus'!$B$4&lt;Übungen!$L$5),"",IF(IFERROR(INDEX(Rekorde!$P$4:$P$17,MATCH(Übungen!$A$5,Rekorde!$A$4:$A$17,0)),"")="","",IFERROR(INDEX(Rekorde!$P$4:$P$17,MATCH(Übungen!$A$5,Rekorde!$A$4:$A$17,0)),"")))</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7" s="91"/>
      <c r="C27" s="91"/>
      <c r="D27" s="91"/>
      <c r="E27" s="91"/>
      <c r="F27" s="91"/>
      <c r="G27" s="91"/>
      <c r="H27" s="91"/>
      <c r="I27" s="91"/>
    </row>
    <row r="28" customFormat="false" ht="18" hidden="false" customHeight="true" outlineLevel="0" collapsed="false">
      <c r="A28" s="92" t="s">
        <v>313</v>
      </c>
      <c r="B28" s="92" t="s">
        <v>314</v>
      </c>
      <c r="C28" s="92" t="s">
        <v>315</v>
      </c>
      <c r="D28" s="92" t="s">
        <v>316</v>
      </c>
      <c r="E28" s="92" t="s">
        <v>317</v>
      </c>
      <c r="F28" s="92" t="s">
        <v>231</v>
      </c>
      <c r="G28" s="92" t="s">
        <v>46</v>
      </c>
      <c r="H28" s="92" t="s">
        <v>318</v>
      </c>
      <c r="I28" s="92" t="s">
        <v>223</v>
      </c>
    </row>
    <row r="29" customFormat="false" ht="18" hidden="false" customHeight="true" outlineLevel="0" collapsed="false">
      <c r="A29" s="93" t="n">
        <v>1</v>
      </c>
      <c r="B29" s="41" t="s">
        <v>236</v>
      </c>
      <c r="C29" s="94" t="n">
        <f aca="false">IF(AND(Übungen!$L$6&lt;&gt;"",'Reha-Modus'!$B$4&lt;&gt;"",'Reha-Modus'!$B$4&lt;Übungen!$L$6),"",IF(IFERROR(INDEX(Rekorde!$O$4:$O$17,MATCH(Übungen!$A$6,Rekorde!$A$4:$A$17,0)),"")="","",ROUND(IFERROR(INDEX(Rekorde!$O$4:$O$17,MATCH(Übungen!$A$6,Rekorde!$A$4:$A$17,0)),"")*0.45*2,0)/2))</f>
        <v>43</v>
      </c>
      <c r="D29" s="95"/>
      <c r="E29" s="96"/>
      <c r="F29" s="96"/>
      <c r="G29" s="96"/>
      <c r="H29" s="96"/>
      <c r="I29" s="96"/>
    </row>
    <row r="30" customFormat="false" ht="18" hidden="false" customHeight="true" outlineLevel="0" collapsed="false">
      <c r="A30" s="93" t="n">
        <v>2</v>
      </c>
      <c r="B30" s="41" t="s">
        <v>236</v>
      </c>
      <c r="C30" s="94" t="n">
        <f aca="false">IF(AND(Übungen!$L$6&lt;&gt;"",'Reha-Modus'!$B$4&lt;&gt;"",'Reha-Modus'!$B$4&lt;Übungen!$L$6),"",IF(IFERROR(INDEX(Rekorde!$O$4:$O$17,MATCH(Übungen!$A$6,Rekorde!$A$4:$A$17,0)),"")="","",ROUND(IFERROR(INDEX(Rekorde!$O$4:$O$17,MATCH(Übungen!$A$6,Rekorde!$A$4:$A$17,0)),"")*0.7*2,0)/2))</f>
        <v>66.5</v>
      </c>
      <c r="D30" s="95"/>
      <c r="E30" s="96"/>
      <c r="F30" s="96"/>
      <c r="G30" s="96"/>
      <c r="H30" s="96"/>
      <c r="I30" s="96"/>
    </row>
    <row r="31" customFormat="false" ht="18" hidden="false" customHeight="true" outlineLevel="0" collapsed="false">
      <c r="A31" s="93" t="n">
        <v>3</v>
      </c>
      <c r="B31" s="97" t="s">
        <v>237</v>
      </c>
      <c r="C31" s="94" t="n">
        <f aca="false">IF(AND(Übungen!$L$6&lt;&gt;"",'Reha-Modus'!$B$4&lt;&gt;"",'Reha-Modus'!$B$4&lt;Übungen!$L$6),"",IF(IFERROR(INDEX(Rekorde!$O$4:$O$17,MATCH(Übungen!$A$6,Rekorde!$A$4:$A$17,0)),"")="","",ROUND(IFERROR(INDEX(Rekorde!$O$4:$O$17,MATCH(Übungen!$A$6,Rekorde!$A$4:$A$17,0)),"")*1*2,0)/2))</f>
        <v>95</v>
      </c>
      <c r="D31" s="98" t="n">
        <f aca="false">IF(AND(Übungen!$L$6&lt;&gt;"",'Reha-Modus'!$B$4&lt;&gt;"",'Reha-Modus'!$B$4&lt;Übungen!$L$6),"",IF(IFERROR(INDEX(Rekorde!$P$4:$P$17,MATCH(Übungen!$A$6,Rekorde!$A$4:$A$17,0)),"")="","",IFERROR(INDEX(Rekorde!$P$4:$P$17,MATCH(Übungen!$A$6,Rekorde!$A$4:$A$17,0)),"")))</f>
        <v>6</v>
      </c>
      <c r="E31" s="96"/>
      <c r="F31" s="96"/>
      <c r="G31" s="96"/>
      <c r="H31" s="96"/>
      <c r="I31" s="96"/>
    </row>
    <row r="32" customFormat="false" ht="18" hidden="false" customHeight="true" outlineLevel="0" collapsed="false">
      <c r="A32" s="93" t="n">
        <v>4</v>
      </c>
      <c r="B32" s="97" t="s">
        <v>237</v>
      </c>
      <c r="C32" s="94" t="n">
        <f aca="false">IF(AND(Übungen!$L$6&lt;&gt;"",'Reha-Modus'!$B$4&lt;&gt;"",'Reha-Modus'!$B$4&lt;Übungen!$L$6),"",IF(IFERROR(INDEX(Rekorde!$O$4:$O$17,MATCH(Übungen!$A$6,Rekorde!$A$4:$A$17,0)),"")="","",ROUND(IFERROR(INDEX(Rekorde!$O$4:$O$17,MATCH(Übungen!$A$6,Rekorde!$A$4:$A$17,0)),"")*1*2,0)/2))</f>
        <v>95</v>
      </c>
      <c r="D32" s="98" t="n">
        <f aca="false">IF(AND(Übungen!$L$6&lt;&gt;"",'Reha-Modus'!$B$4&lt;&gt;"",'Reha-Modus'!$B$4&lt;Übungen!$L$6),"",IF(IFERROR(INDEX(Rekorde!$P$4:$P$17,MATCH(Übungen!$A$6,Rekorde!$A$4:$A$17,0)),"")="","",IFERROR(INDEX(Rekorde!$P$4:$P$17,MATCH(Übungen!$A$6,Rekorde!$A$4:$A$17,0)),"")))</f>
        <v>6</v>
      </c>
      <c r="E32" s="96"/>
      <c r="F32" s="96"/>
      <c r="G32" s="96"/>
      <c r="H32" s="96"/>
      <c r="I32" s="96"/>
    </row>
    <row r="33" customFormat="false" ht="18" hidden="false" customHeight="true" outlineLevel="0" collapsed="false">
      <c r="A33" s="93" t="n">
        <v>5</v>
      </c>
      <c r="B33" s="41" t="s">
        <v>238</v>
      </c>
      <c r="C33" s="95"/>
      <c r="D33" s="95"/>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7" s="91"/>
      <c r="C37" s="91"/>
      <c r="D37" s="91"/>
      <c r="E37" s="91"/>
      <c r="F37" s="91"/>
      <c r="G37" s="91"/>
      <c r="H37" s="91"/>
      <c r="I37" s="91"/>
    </row>
    <row r="38" customFormat="false" ht="18" hidden="false" customHeight="true" outlineLevel="0" collapsed="false">
      <c r="A38" s="92" t="s">
        <v>313</v>
      </c>
      <c r="B38" s="92" t="s">
        <v>314</v>
      </c>
      <c r="C38" s="92" t="s">
        <v>315</v>
      </c>
      <c r="D38" s="92" t="s">
        <v>316</v>
      </c>
      <c r="E38" s="92" t="s">
        <v>317</v>
      </c>
      <c r="F38" s="92" t="s">
        <v>231</v>
      </c>
      <c r="G38" s="92" t="s">
        <v>46</v>
      </c>
      <c r="H38" s="92" t="s">
        <v>318</v>
      </c>
      <c r="I38" s="92" t="s">
        <v>223</v>
      </c>
    </row>
    <row r="39" customFormat="false" ht="18" hidden="false" customHeight="true" outlineLevel="0" collapsed="false">
      <c r="A39" s="93" t="n">
        <v>1</v>
      </c>
      <c r="B39" s="41" t="s">
        <v>236</v>
      </c>
      <c r="C39" s="94" t="n">
        <f aca="false">IF(AND(Übungen!$L$7&lt;&gt;"",'Reha-Modus'!$B$4&lt;&gt;"",'Reha-Modus'!$B$4&lt;Übungen!$L$7),"",IF(IFERROR(INDEX(Rekorde!$O$4:$O$17,MATCH(Übungen!$A$7,Rekorde!$A$4:$A$17,0)),"")="","",ROUND(IFERROR(INDEX(Rekorde!$O$4:$O$17,MATCH(Übungen!$A$7,Rekorde!$A$4:$A$17,0)),"")*0.45*2,0)/2))</f>
        <v>83.5</v>
      </c>
      <c r="D39" s="95"/>
      <c r="E39" s="96"/>
      <c r="F39" s="96"/>
      <c r="G39" s="96"/>
      <c r="H39" s="96"/>
      <c r="I39" s="96"/>
    </row>
    <row r="40" customFormat="false" ht="18" hidden="false" customHeight="true" outlineLevel="0" collapsed="false">
      <c r="A40" s="93" t="n">
        <v>2</v>
      </c>
      <c r="B40" s="41" t="s">
        <v>236</v>
      </c>
      <c r="C40" s="94" t="n">
        <f aca="false">IF(AND(Übungen!$L$7&lt;&gt;"",'Reha-Modus'!$B$4&lt;&gt;"",'Reha-Modus'!$B$4&lt;Übungen!$L$7),"",IF(IFERROR(INDEX(Rekorde!$O$4:$O$17,MATCH(Übungen!$A$7,Rekorde!$A$4:$A$17,0)),"")="","",ROUND(IFERROR(INDEX(Rekorde!$O$4:$O$17,MATCH(Übungen!$A$7,Rekorde!$A$4:$A$17,0)),"")*0.7*2,0)/2))</f>
        <v>129.5</v>
      </c>
      <c r="D40" s="95"/>
      <c r="E40" s="96"/>
      <c r="F40" s="96"/>
      <c r="G40" s="96"/>
      <c r="H40" s="96"/>
      <c r="I40" s="96"/>
    </row>
    <row r="41" customFormat="false" ht="18" hidden="false" customHeight="true" outlineLevel="0" collapsed="false">
      <c r="A41" s="93" t="n">
        <v>3</v>
      </c>
      <c r="B41" s="97" t="s">
        <v>237</v>
      </c>
      <c r="C41" s="94" t="n">
        <f aca="false">IF(AND(Übungen!$L$7&lt;&gt;"",'Reha-Modus'!$B$4&lt;&gt;"",'Reha-Modus'!$B$4&lt;Übungen!$L$7),"",IF(IFERROR(INDEX(Rekorde!$O$4:$O$17,MATCH(Übungen!$A$7,Rekorde!$A$4:$A$17,0)),"")="","",ROUND(IFERROR(INDEX(Rekorde!$O$4:$O$17,MATCH(Übungen!$A$7,Rekorde!$A$4:$A$17,0)),"")*1*2,0)/2))</f>
        <v>185</v>
      </c>
      <c r="D41" s="98" t="n">
        <f aca="false">IF(AND(Übungen!$L$7&lt;&gt;"",'Reha-Modus'!$B$4&lt;&gt;"",'Reha-Modus'!$B$4&lt;Übungen!$L$7),"",IF(IFERROR(INDEX(Rekorde!$P$4:$P$17,MATCH(Übungen!$A$7,Rekorde!$A$4:$A$17,0)),"")="","",IFERROR(INDEX(Rekorde!$P$4:$P$17,MATCH(Übungen!$A$7,Rekorde!$A$4:$A$17,0)),"")))</f>
        <v>5</v>
      </c>
      <c r="E41" s="96"/>
      <c r="F41" s="96"/>
      <c r="G41" s="96"/>
      <c r="H41" s="96"/>
      <c r="I41" s="96"/>
    </row>
    <row r="42" customFormat="false" ht="18" hidden="false" customHeight="true" outlineLevel="0" collapsed="false">
      <c r="A42" s="93" t="n">
        <v>4</v>
      </c>
      <c r="B42" s="97" t="s">
        <v>237</v>
      </c>
      <c r="C42" s="94" t="n">
        <f aca="false">IF(AND(Übungen!$L$7&lt;&gt;"",'Reha-Modus'!$B$4&lt;&gt;"",'Reha-Modus'!$B$4&lt;Übungen!$L$7),"",IF(IFERROR(INDEX(Rekorde!$O$4:$O$17,MATCH(Übungen!$A$7,Rekorde!$A$4:$A$17,0)),"")="","",ROUND(IFERROR(INDEX(Rekorde!$O$4:$O$17,MATCH(Übungen!$A$7,Rekorde!$A$4:$A$17,0)),"")*1*2,0)/2))</f>
        <v>185</v>
      </c>
      <c r="D42" s="98" t="n">
        <f aca="false">IF(AND(Übungen!$L$7&lt;&gt;"",'Reha-Modus'!$B$4&lt;&gt;"",'Reha-Modus'!$B$4&lt;Übungen!$L$7),"",IF(IFERROR(INDEX(Rekorde!$P$4:$P$17,MATCH(Übungen!$A$7,Rekorde!$A$4:$A$17,0)),"")="","",IFERROR(INDEX(Rekorde!$P$4:$P$17,MATCH(Übungen!$A$7,Rekorde!$A$4:$A$17,0)),"")))</f>
        <v>5</v>
      </c>
      <c r="E42" s="96"/>
      <c r="F42" s="96"/>
      <c r="G42" s="96"/>
      <c r="H42" s="96"/>
      <c r="I42" s="96"/>
    </row>
    <row r="43" customFormat="false" ht="18" hidden="false" customHeight="true" outlineLevel="0" collapsed="false">
      <c r="A43" s="93" t="n">
        <v>5</v>
      </c>
      <c r="B43" s="41" t="s">
        <v>238</v>
      </c>
      <c r="C43" s="95"/>
      <c r="D43" s="95"/>
      <c r="E43" s="96"/>
      <c r="F43" s="96"/>
      <c r="G43" s="96"/>
      <c r="H43" s="96"/>
      <c r="I43" s="96"/>
    </row>
    <row r="45" customFormat="false" ht="15.75" hidden="false" customHeight="true" outlineLevel="0" collapsed="false">
      <c r="A45" s="3" t="s">
        <v>319</v>
      </c>
      <c r="B45" s="3"/>
      <c r="C45" s="3"/>
      <c r="D45" s="3"/>
      <c r="E45" s="3"/>
      <c r="F45" s="3"/>
      <c r="G45" s="3"/>
      <c r="H45" s="3"/>
      <c r="I45" s="3"/>
    </row>
    <row r="46" customFormat="false" ht="18" hidden="false" customHeight="true" outlineLevel="0" collapsed="false">
      <c r="A46" s="99"/>
      <c r="B46" s="99"/>
      <c r="C46" s="99"/>
      <c r="D46" s="99"/>
      <c r="E46" s="99"/>
      <c r="F46" s="99"/>
      <c r="G46" s="99"/>
      <c r="H46" s="99"/>
      <c r="I46" s="99"/>
    </row>
    <row r="47" customFormat="false" ht="18" hidden="false" customHeight="true" outlineLevel="0" collapsed="false">
      <c r="A47" s="99"/>
      <c r="B47" s="99"/>
      <c r="C47" s="99"/>
      <c r="D47" s="99"/>
      <c r="E47" s="99"/>
      <c r="F47" s="99"/>
      <c r="G47" s="99"/>
      <c r="H47" s="99"/>
      <c r="I47" s="99"/>
    </row>
    <row r="49" customFormat="false" ht="27.75" hidden="false" customHeight="true" outlineLevel="0" collapsed="false">
      <c r="A49" s="1" t="s">
        <v>320</v>
      </c>
      <c r="B49" s="1"/>
      <c r="C49" s="1"/>
      <c r="D49" s="1"/>
      <c r="E49" s="1"/>
      <c r="F49" s="1"/>
      <c r="G49" s="1"/>
      <c r="H49" s="1"/>
      <c r="I49" s="1"/>
    </row>
    <row r="50" customFormat="false" ht="12" hidden="false" customHeight="true" outlineLevel="0" collapsed="false">
      <c r="A50" s="86" t="s">
        <v>67</v>
      </c>
      <c r="B50" s="86"/>
      <c r="C50" s="87" t="s">
        <v>309</v>
      </c>
      <c r="D50" s="87" t="s">
        <v>310</v>
      </c>
      <c r="E50" s="86" t="s">
        <v>311</v>
      </c>
      <c r="F50" s="86"/>
      <c r="G50" s="86" t="s">
        <v>312</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55" s="91"/>
      <c r="C55" s="91"/>
      <c r="D55" s="91"/>
      <c r="E55" s="91"/>
      <c r="F55" s="91"/>
      <c r="G55" s="91"/>
      <c r="H55" s="91"/>
      <c r="I55" s="91"/>
    </row>
    <row r="56" customFormat="false" ht="18" hidden="false" customHeight="true" outlineLevel="0" collapsed="false">
      <c r="A56" s="92" t="s">
        <v>313</v>
      </c>
      <c r="B56" s="92" t="s">
        <v>314</v>
      </c>
      <c r="C56" s="92" t="s">
        <v>315</v>
      </c>
      <c r="D56" s="92" t="s">
        <v>316</v>
      </c>
      <c r="E56" s="92" t="s">
        <v>317</v>
      </c>
      <c r="F56" s="92" t="s">
        <v>231</v>
      </c>
      <c r="G56" s="92" t="s">
        <v>46</v>
      </c>
      <c r="H56" s="92" t="s">
        <v>318</v>
      </c>
      <c r="I56" s="92" t="s">
        <v>223</v>
      </c>
    </row>
    <row r="57" customFormat="false" ht="18" hidden="false" customHeight="true" outlineLevel="0" collapsed="false">
      <c r="A57" s="93" t="n">
        <v>1</v>
      </c>
      <c r="B57" s="41" t="s">
        <v>236</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236</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237</v>
      </c>
      <c r="C59" s="94" t="str">
        <f aca="false">IF(AND(Übungen!$L$8&lt;&gt;"",'Reha-Modus'!$B$4&lt;&gt;"",'Reha-Modus'!$B$4&lt;Übungen!$L$8),"",IF(IFERROR(INDEX(Rekorde!$O$4:$O$17,MATCH(Übungen!$A$8,Rekorde!$A$4:$A$17,0)),"")="","",ROUND(IFERROR(INDEX(Rekorde!$O$4:$O$17,MATCH(Übungen!$A$8,Rekorde!$A$4:$A$17,0)),"")*1*2,0)/2))</f>
        <v/>
      </c>
      <c r="D59" s="98" t="str">
        <f aca="false">IF(AND(Übungen!$L$8&lt;&gt;"",'Reha-Modus'!$B$4&lt;&gt;"",'Reha-Modus'!$B$4&lt;Übungen!$L$8),"",IF(IFERROR(INDEX(Rekorde!$P$4:$P$17,MATCH(Übungen!$A$8,Rekorde!$A$4:$A$17,0)),"")="","",IFERROR(INDEX(Rekorde!$P$4:$P$17,MATCH(Übungen!$A$8,Rekorde!$A$4:$A$17,0)),"")))</f>
        <v/>
      </c>
      <c r="E59" s="96"/>
      <c r="F59" s="96"/>
      <c r="G59" s="96"/>
      <c r="H59" s="96"/>
      <c r="I59" s="96"/>
    </row>
    <row r="60" customFormat="false" ht="18" hidden="false" customHeight="true" outlineLevel="0" collapsed="false">
      <c r="A60" s="93" t="n">
        <v>4</v>
      </c>
      <c r="B60" s="97" t="s">
        <v>237</v>
      </c>
      <c r="C60" s="94" t="str">
        <f aca="false">IF(AND(Übungen!$L$8&lt;&gt;"",'Reha-Modus'!$B$4&lt;&gt;"",'Reha-Modus'!$B$4&lt;Übungen!$L$8),"",IF(IFERROR(INDEX(Rekorde!$O$4:$O$17,MATCH(Übungen!$A$8,Rekorde!$A$4:$A$17,0)),"")="","",ROUND(IFERROR(INDEX(Rekorde!$O$4:$O$17,MATCH(Übungen!$A$8,Rekorde!$A$4:$A$17,0)),"")*1*2,0)/2))</f>
        <v/>
      </c>
      <c r="D60" s="98" t="str">
        <f aca="false">IF(AND(Übungen!$L$8&lt;&gt;"",'Reha-Modus'!$B$4&lt;&gt;"",'Reha-Modus'!$B$4&lt;Übungen!$L$8),"",IF(IFERROR(INDEX(Rekorde!$P$4:$P$17,MATCH(Übungen!$A$8,Rekorde!$A$4:$A$17,0)),"")="","",IFERROR(INDEX(Rekorde!$P$4:$P$17,MATCH(Übungen!$A$8,Rekorde!$A$4:$A$17,0)),"")))</f>
        <v/>
      </c>
      <c r="E60" s="96"/>
      <c r="F60" s="96"/>
      <c r="G60" s="96"/>
      <c r="H60" s="96"/>
      <c r="I60" s="96"/>
    </row>
    <row r="61" customFormat="false" ht="18" hidden="false" customHeight="true" outlineLevel="0" collapsed="false">
      <c r="A61" s="93" t="n">
        <v>5</v>
      </c>
      <c r="B61" s="97" t="s">
        <v>237</v>
      </c>
      <c r="C61" s="94" t="str">
        <f aca="false">IF(AND(Übungen!$L$8&lt;&gt;"",'Reha-Modus'!$B$4&lt;&gt;"",'Reha-Modus'!$B$4&lt;Übungen!$L$8),"",IF(IFERROR(INDEX(Rekorde!$O$4:$O$17,MATCH(Übungen!$A$8,Rekorde!$A$4:$A$17,0)),"")="","",ROUND(IFERROR(INDEX(Rekorde!$O$4:$O$17,MATCH(Übungen!$A$8,Rekorde!$A$4:$A$17,0)),"")*1*2,0)/2))</f>
        <v/>
      </c>
      <c r="D61" s="98" t="str">
        <f aca="false">IF(AND(Übungen!$L$8&lt;&gt;"",'Reha-Modus'!$B$4&lt;&gt;"",'Reha-Modus'!$B$4&lt;Übungen!$L$8),"",IF(IFERROR(INDEX(Rekorde!$P$4:$P$17,MATCH(Übungen!$A$8,Rekorde!$A$4:$A$17,0)),"")="","",IFERROR(INDEX(Rekorde!$P$4:$P$17,MATCH(Übungen!$A$8,Rekorde!$A$4:$A$17,0)),"")))</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65" s="91"/>
      <c r="C65" s="91"/>
      <c r="D65" s="91"/>
      <c r="E65" s="91"/>
      <c r="F65" s="91"/>
      <c r="G65" s="91"/>
      <c r="H65" s="91"/>
      <c r="I65" s="91"/>
    </row>
    <row r="66" customFormat="false" ht="18" hidden="false" customHeight="true" outlineLevel="0" collapsed="false">
      <c r="A66" s="92" t="s">
        <v>313</v>
      </c>
      <c r="B66" s="92" t="s">
        <v>314</v>
      </c>
      <c r="C66" s="92" t="s">
        <v>315</v>
      </c>
      <c r="D66" s="92" t="s">
        <v>316</v>
      </c>
      <c r="E66" s="92" t="s">
        <v>317</v>
      </c>
      <c r="F66" s="92" t="s">
        <v>231</v>
      </c>
      <c r="G66" s="92" t="s">
        <v>46</v>
      </c>
      <c r="H66" s="92" t="s">
        <v>318</v>
      </c>
      <c r="I66" s="92" t="s">
        <v>223</v>
      </c>
    </row>
    <row r="67" customFormat="false" ht="18" hidden="false" customHeight="true" outlineLevel="0" collapsed="false">
      <c r="A67" s="93" t="n">
        <v>1</v>
      </c>
      <c r="B67" s="41" t="s">
        <v>236</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236</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237</v>
      </c>
      <c r="C69" s="94" t="str">
        <f aca="false">IF(AND(Übungen!$L$9&lt;&gt;"",'Reha-Modus'!$B$4&lt;&gt;"",'Reha-Modus'!$B$4&lt;Übungen!$L$9),"",IF(IFERROR(INDEX(Rekorde!$O$4:$O$17,MATCH(Übungen!$A$9,Rekorde!$A$4:$A$17,0)),"")="","",ROUND(IFERROR(INDEX(Rekorde!$O$4:$O$17,MATCH(Übungen!$A$9,Rekorde!$A$4:$A$17,0)),"")*1*2,0)/2))</f>
        <v/>
      </c>
      <c r="D69" s="98" t="str">
        <f aca="false">IF(AND(Übungen!$L$9&lt;&gt;"",'Reha-Modus'!$B$4&lt;&gt;"",'Reha-Modus'!$B$4&lt;Übungen!$L$9),"",IF(IFERROR(INDEX(Rekorde!$P$4:$P$17,MATCH(Übungen!$A$9,Rekorde!$A$4:$A$17,0)),"")="","",IFERROR(INDEX(Rekorde!$P$4:$P$17,MATCH(Übungen!$A$9,Rekorde!$A$4:$A$17,0)),"")))</f>
        <v/>
      </c>
      <c r="E69" s="96"/>
      <c r="F69" s="96"/>
      <c r="G69" s="96"/>
      <c r="H69" s="96"/>
      <c r="I69" s="96"/>
    </row>
    <row r="70" customFormat="false" ht="18" hidden="false" customHeight="true" outlineLevel="0" collapsed="false">
      <c r="A70" s="93" t="n">
        <v>4</v>
      </c>
      <c r="B70" s="97" t="s">
        <v>237</v>
      </c>
      <c r="C70" s="94" t="str">
        <f aca="false">IF(AND(Übungen!$L$9&lt;&gt;"",'Reha-Modus'!$B$4&lt;&gt;"",'Reha-Modus'!$B$4&lt;Übungen!$L$9),"",IF(IFERROR(INDEX(Rekorde!$O$4:$O$17,MATCH(Übungen!$A$9,Rekorde!$A$4:$A$17,0)),"")="","",ROUND(IFERROR(INDEX(Rekorde!$O$4:$O$17,MATCH(Übungen!$A$9,Rekorde!$A$4:$A$17,0)),"")*1*2,0)/2))</f>
        <v/>
      </c>
      <c r="D70" s="98" t="str">
        <f aca="false">IF(AND(Übungen!$L$9&lt;&gt;"",'Reha-Modus'!$B$4&lt;&gt;"",'Reha-Modus'!$B$4&lt;Übungen!$L$9),"",IF(IFERROR(INDEX(Rekorde!$P$4:$P$17,MATCH(Übungen!$A$9,Rekorde!$A$4:$A$17,0)),"")="","",IFERROR(INDEX(Rekorde!$P$4:$P$17,MATCH(Übungen!$A$9,Rekorde!$A$4:$A$17,0)),"")))</f>
        <v/>
      </c>
      <c r="E70" s="96"/>
      <c r="F70" s="96"/>
      <c r="G70" s="96"/>
      <c r="H70" s="96"/>
      <c r="I70" s="96"/>
    </row>
    <row r="71" customFormat="false" ht="18" hidden="false" customHeight="true" outlineLevel="0" collapsed="false">
      <c r="A71" s="93" t="n">
        <v>5</v>
      </c>
      <c r="B71" s="97" t="s">
        <v>237</v>
      </c>
      <c r="C71" s="94" t="str">
        <f aca="false">IF(AND(Übungen!$L$9&lt;&gt;"",'Reha-Modus'!$B$4&lt;&gt;"",'Reha-Modus'!$B$4&lt;Übungen!$L$9),"",IF(IFERROR(INDEX(Rekorde!$O$4:$O$17,MATCH(Übungen!$A$9,Rekorde!$A$4:$A$17,0)),"")="","",ROUND(IFERROR(INDEX(Rekorde!$O$4:$O$17,MATCH(Übungen!$A$9,Rekorde!$A$4:$A$17,0)),"")*1*2,0)/2))</f>
        <v/>
      </c>
      <c r="D71" s="98" t="str">
        <f aca="false">IF(AND(Übungen!$L$9&lt;&gt;"",'Reha-Modus'!$B$4&lt;&gt;"",'Reha-Modus'!$B$4&lt;Übungen!$L$9),"",IF(IFERROR(INDEX(Rekorde!$P$4:$P$17,MATCH(Übungen!$A$9,Rekorde!$A$4:$A$17,0)),"")="","",IFERROR(INDEX(Rekorde!$P$4:$P$17,MATCH(Übungen!$A$9,Rekorde!$A$4:$A$17,0)),"")))</f>
        <v/>
      </c>
      <c r="E71" s="96"/>
      <c r="F71" s="96"/>
      <c r="G71" s="96"/>
      <c r="H71" s="96"/>
      <c r="I71" s="96"/>
    </row>
    <row r="73" customFormat="false" ht="18.75" hidden="false" customHeight="true" outlineLevel="0" collapsed="false">
      <c r="A73" s="89" t="str">
        <f aca="false">Übungen!$A$10</f>
        <v>Hip &amp; Glute</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75" s="91"/>
      <c r="C75" s="91"/>
      <c r="D75" s="91"/>
      <c r="E75" s="91"/>
      <c r="F75" s="91"/>
      <c r="G75" s="91"/>
      <c r="H75" s="91"/>
      <c r="I75" s="91"/>
    </row>
    <row r="76" customFormat="false" ht="18" hidden="false" customHeight="true" outlineLevel="0" collapsed="false">
      <c r="A76" s="92" t="s">
        <v>313</v>
      </c>
      <c r="B76" s="92" t="s">
        <v>314</v>
      </c>
      <c r="C76" s="92" t="s">
        <v>315</v>
      </c>
      <c r="D76" s="92" t="s">
        <v>316</v>
      </c>
      <c r="E76" s="92" t="s">
        <v>317</v>
      </c>
      <c r="F76" s="92" t="s">
        <v>231</v>
      </c>
      <c r="G76" s="92" t="s">
        <v>46</v>
      </c>
      <c r="H76" s="92" t="s">
        <v>318</v>
      </c>
      <c r="I76" s="92" t="s">
        <v>223</v>
      </c>
    </row>
    <row r="77" customFormat="false" ht="18" hidden="false" customHeight="true" outlineLevel="0" collapsed="false">
      <c r="A77" s="93" t="n">
        <v>1</v>
      </c>
      <c r="B77" s="41" t="s">
        <v>236</v>
      </c>
      <c r="C77" s="94" t="str">
        <f aca="false">IF(AND(Übungen!$L$10&lt;&gt;"",'Reha-Modus'!$B$4&lt;&gt;"",'Reha-Modus'!$B$4&lt;Übungen!$L$10),"",IF(IFERROR(INDEX(Rekorde!$O$4:$O$17,MATCH(Übungen!$A$10,Rekorde!$A$4:$A$17,0)),"")="","",ROUND(IFERROR(INDEX(Rekorde!$O$4:$O$17,MATCH(Übungen!$A$10,Rekorde!$A$4:$A$17,0)),"")*0.45*2,0)/2))</f>
        <v/>
      </c>
      <c r="D77" s="95"/>
      <c r="E77" s="96"/>
      <c r="F77" s="96"/>
      <c r="G77" s="96"/>
      <c r="H77" s="96"/>
      <c r="I77" s="96"/>
    </row>
    <row r="78" customFormat="false" ht="18" hidden="false" customHeight="true" outlineLevel="0" collapsed="false">
      <c r="A78" s="93" t="n">
        <v>2</v>
      </c>
      <c r="B78" s="41" t="s">
        <v>236</v>
      </c>
      <c r="C78" s="94" t="str">
        <f aca="false">IF(AND(Übungen!$L$10&lt;&gt;"",'Reha-Modus'!$B$4&lt;&gt;"",'Reha-Modus'!$B$4&lt;Übungen!$L$10),"",IF(IFERROR(INDEX(Rekorde!$O$4:$O$17,MATCH(Übungen!$A$10,Rekorde!$A$4:$A$17,0)),"")="","",ROUND(IFERROR(INDEX(Rekorde!$O$4:$O$17,MATCH(Übungen!$A$10,Rekorde!$A$4:$A$17,0)),"")*0.7*2,0)/2))</f>
        <v/>
      </c>
      <c r="D78" s="95"/>
      <c r="E78" s="96"/>
      <c r="F78" s="96"/>
      <c r="G78" s="96"/>
      <c r="H78" s="96"/>
      <c r="I78" s="96"/>
    </row>
    <row r="79" customFormat="false" ht="18" hidden="false" customHeight="true" outlineLevel="0" collapsed="false">
      <c r="A79" s="93" t="n">
        <v>3</v>
      </c>
      <c r="B79" s="97" t="s">
        <v>237</v>
      </c>
      <c r="C79" s="94" t="str">
        <f aca="false">IF(AND(Übungen!$L$10&lt;&gt;"",'Reha-Modus'!$B$4&lt;&gt;"",'Reha-Modus'!$B$4&lt;Übungen!$L$10),"",IF(IFERROR(INDEX(Rekorde!$O$4:$O$17,MATCH(Übungen!$A$10,Rekorde!$A$4:$A$17,0)),"")="","",ROUND(IFERROR(INDEX(Rekorde!$O$4:$O$17,MATCH(Übungen!$A$10,Rekorde!$A$4:$A$17,0)),"")*1*2,0)/2))</f>
        <v/>
      </c>
      <c r="D79" s="98" t="str">
        <f aca="false">IF(AND(Übungen!$L$10&lt;&gt;"",'Reha-Modus'!$B$4&lt;&gt;"",'Reha-Modus'!$B$4&lt;Übungen!$L$10),"",IF(IFERROR(INDEX(Rekorde!$P$4:$P$17,MATCH(Übungen!$A$10,Rekorde!$A$4:$A$17,0)),"")="","",IFERROR(INDEX(Rekorde!$P$4:$P$17,MATCH(Übungen!$A$10,Rekorde!$A$4:$A$17,0)),"")))</f>
        <v/>
      </c>
      <c r="E79" s="96"/>
      <c r="F79" s="96"/>
      <c r="G79" s="96"/>
      <c r="H79" s="96"/>
      <c r="I79" s="96"/>
    </row>
    <row r="80" customFormat="false" ht="18" hidden="false" customHeight="true" outlineLevel="0" collapsed="false">
      <c r="A80" s="93" t="n">
        <v>4</v>
      </c>
      <c r="B80" s="97" t="s">
        <v>237</v>
      </c>
      <c r="C80" s="94" t="str">
        <f aca="false">IF(AND(Übungen!$L$10&lt;&gt;"",'Reha-Modus'!$B$4&lt;&gt;"",'Reha-Modus'!$B$4&lt;Übungen!$L$10),"",IF(IFERROR(INDEX(Rekorde!$O$4:$O$17,MATCH(Übungen!$A$10,Rekorde!$A$4:$A$17,0)),"")="","",ROUND(IFERROR(INDEX(Rekorde!$O$4:$O$17,MATCH(Übungen!$A$10,Rekorde!$A$4:$A$17,0)),"")*1*2,0)/2))</f>
        <v/>
      </c>
      <c r="D80" s="98" t="str">
        <f aca="false">IF(AND(Übungen!$L$10&lt;&gt;"",'Reha-Modus'!$B$4&lt;&gt;"",'Reha-Modus'!$B$4&lt;Übungen!$L$10),"",IF(IFERROR(INDEX(Rekorde!$P$4:$P$17,MATCH(Übungen!$A$10,Rekorde!$A$4:$A$17,0)),"")="","",IFERROR(INDEX(Rekorde!$P$4:$P$17,MATCH(Übungen!$A$10,Rekorde!$A$4:$A$17,0)),"")))</f>
        <v/>
      </c>
      <c r="E80" s="96"/>
      <c r="F80" s="96"/>
      <c r="G80" s="96"/>
      <c r="H80" s="96"/>
      <c r="I80" s="96"/>
    </row>
    <row r="81" customFormat="false" ht="18" hidden="false" customHeight="true" outlineLevel="0" collapsed="false">
      <c r="A81" s="93" t="n">
        <v>5</v>
      </c>
      <c r="B81" s="97" t="s">
        <v>237</v>
      </c>
      <c r="C81" s="94" t="str">
        <f aca="false">IF(AND(Übungen!$L$10&lt;&gt;"",'Reha-Modus'!$B$4&lt;&gt;"",'Reha-Modus'!$B$4&lt;Übungen!$L$10),"",IF(IFERROR(INDEX(Rekorde!$O$4:$O$17,MATCH(Übungen!$A$10,Rekorde!$A$4:$A$17,0)),"")="","",ROUND(IFERROR(INDEX(Rekorde!$O$4:$O$17,MATCH(Übungen!$A$10,Rekorde!$A$4:$A$17,0)),"")*1*2,0)/2))</f>
        <v/>
      </c>
      <c r="D81" s="98" t="str">
        <f aca="false">IF(AND(Übungen!$L$10&lt;&gt;"",'Reha-Modus'!$B$4&lt;&gt;"",'Reha-Modus'!$B$4&lt;Übungen!$L$10),"",IF(IFERROR(INDEX(Rekorde!$P$4:$P$17,MATCH(Übungen!$A$10,Rekorde!$A$4:$A$17,0)),"")="","",IFERROR(INDEX(Rekorde!$P$4:$P$17,MATCH(Übungen!$A$10,Rekorde!$A$4:$A$17,0)),"")))</f>
        <v/>
      </c>
      <c r="E81" s="96"/>
      <c r="F81" s="96"/>
      <c r="G81" s="96"/>
      <c r="H81" s="96"/>
      <c r="I81" s="96"/>
    </row>
    <row r="83" customFormat="false" ht="18.75" hidden="false" customHeight="true" outlineLevel="0" collapsed="false">
      <c r="A83" s="89" t="str">
        <f aca="false">Übungen!$A$11</f>
        <v>Beinbeuger</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85" s="91"/>
      <c r="C85" s="91"/>
      <c r="D85" s="91"/>
      <c r="E85" s="91"/>
      <c r="F85" s="91"/>
      <c r="G85" s="91"/>
      <c r="H85" s="91"/>
      <c r="I85" s="91"/>
    </row>
    <row r="86" customFormat="false" ht="18" hidden="false" customHeight="true" outlineLevel="0" collapsed="false">
      <c r="A86" s="92" t="s">
        <v>313</v>
      </c>
      <c r="B86" s="92" t="s">
        <v>314</v>
      </c>
      <c r="C86" s="92" t="s">
        <v>315</v>
      </c>
      <c r="D86" s="92" t="s">
        <v>316</v>
      </c>
      <c r="E86" s="92" t="s">
        <v>317</v>
      </c>
      <c r="F86" s="92" t="s">
        <v>231</v>
      </c>
      <c r="G86" s="92" t="s">
        <v>46</v>
      </c>
      <c r="H86" s="92" t="s">
        <v>318</v>
      </c>
      <c r="I86" s="92" t="s">
        <v>223</v>
      </c>
    </row>
    <row r="87" customFormat="false" ht="18" hidden="false" customHeight="true" outlineLevel="0" collapsed="false">
      <c r="A87" s="93" t="n">
        <v>1</v>
      </c>
      <c r="B87" s="41" t="s">
        <v>236</v>
      </c>
      <c r="C87" s="94" t="n">
        <f aca="false">IF(AND(Übungen!$L$11&lt;&gt;"",'Reha-Modus'!$B$4&lt;&gt;"",'Reha-Modus'!$B$4&lt;Übungen!$L$11),"",IF(IFERROR(INDEX(Rekorde!$O$4:$O$17,MATCH(Übungen!$A$11,Rekorde!$A$4:$A$17,0)),"")="","",ROUND(IFERROR(INDEX(Rekorde!$O$4:$O$17,MATCH(Übungen!$A$11,Rekorde!$A$4:$A$17,0)),"")*0.45*2,0)/2))</f>
        <v>26</v>
      </c>
      <c r="D87" s="95"/>
      <c r="E87" s="96"/>
      <c r="F87" s="96"/>
      <c r="G87" s="96"/>
      <c r="H87" s="96"/>
      <c r="I87" s="96"/>
    </row>
    <row r="88" customFormat="false" ht="18" hidden="false" customHeight="true" outlineLevel="0" collapsed="false">
      <c r="A88" s="93" t="n">
        <v>2</v>
      </c>
      <c r="B88" s="41" t="s">
        <v>236</v>
      </c>
      <c r="C88" s="94" t="n">
        <f aca="false">IF(AND(Übungen!$L$11&lt;&gt;"",'Reha-Modus'!$B$4&lt;&gt;"",'Reha-Modus'!$B$4&lt;Übungen!$L$11),"",IF(IFERROR(INDEX(Rekorde!$O$4:$O$17,MATCH(Übungen!$A$11,Rekorde!$A$4:$A$17,0)),"")="","",ROUND(IFERROR(INDEX(Rekorde!$O$4:$O$17,MATCH(Übungen!$A$11,Rekorde!$A$4:$A$17,0)),"")*0.7*2,0)/2))</f>
        <v>40.5</v>
      </c>
      <c r="D88" s="95"/>
      <c r="E88" s="96"/>
      <c r="F88" s="96"/>
      <c r="G88" s="96"/>
      <c r="H88" s="96"/>
      <c r="I88" s="96"/>
    </row>
    <row r="89" customFormat="false" ht="18" hidden="false" customHeight="true" outlineLevel="0" collapsed="false">
      <c r="A89" s="93" t="n">
        <v>3</v>
      </c>
      <c r="B89" s="97" t="s">
        <v>237</v>
      </c>
      <c r="C89" s="94" t="n">
        <f aca="false">IF(AND(Übungen!$L$11&lt;&gt;"",'Reha-Modus'!$B$4&lt;&gt;"",'Reha-Modus'!$B$4&lt;Übungen!$L$11),"",IF(IFERROR(INDEX(Rekorde!$O$4:$O$17,MATCH(Übungen!$A$11,Rekorde!$A$4:$A$17,0)),"")="","",ROUND(IFERROR(INDEX(Rekorde!$O$4:$O$17,MATCH(Übungen!$A$11,Rekorde!$A$4:$A$17,0)),"")*1*2,0)/2))</f>
        <v>57.5</v>
      </c>
      <c r="D89" s="98" t="n">
        <f aca="false">IF(AND(Übungen!$L$11&lt;&gt;"",'Reha-Modus'!$B$4&lt;&gt;"",'Reha-Modus'!$B$4&lt;Übungen!$L$11),"",IF(IFERROR(INDEX(Rekorde!$P$4:$P$17,MATCH(Übungen!$A$11,Rekorde!$A$4:$A$17,0)),"")="","",IFERROR(INDEX(Rekorde!$P$4:$P$17,MATCH(Übungen!$A$11,Rekorde!$A$4:$A$17,0)),"")))</f>
        <v>5</v>
      </c>
      <c r="E89" s="96"/>
      <c r="F89" s="96"/>
      <c r="G89" s="96"/>
      <c r="H89" s="96"/>
      <c r="I89" s="96"/>
    </row>
    <row r="90" customFormat="false" ht="18" hidden="false" customHeight="true" outlineLevel="0" collapsed="false">
      <c r="A90" s="93" t="n">
        <v>4</v>
      </c>
      <c r="B90" s="97" t="s">
        <v>237</v>
      </c>
      <c r="C90" s="94" t="n">
        <f aca="false">IF(AND(Übungen!$L$11&lt;&gt;"",'Reha-Modus'!$B$4&lt;&gt;"",'Reha-Modus'!$B$4&lt;Übungen!$L$11),"",IF(IFERROR(INDEX(Rekorde!$O$4:$O$17,MATCH(Übungen!$A$11,Rekorde!$A$4:$A$17,0)),"")="","",ROUND(IFERROR(INDEX(Rekorde!$O$4:$O$17,MATCH(Übungen!$A$11,Rekorde!$A$4:$A$17,0)),"")*1*2,0)/2))</f>
        <v>57.5</v>
      </c>
      <c r="D90" s="98" t="n">
        <f aca="false">IF(AND(Übungen!$L$11&lt;&gt;"",'Reha-Modus'!$B$4&lt;&gt;"",'Reha-Modus'!$B$4&lt;Übungen!$L$11),"",IF(IFERROR(INDEX(Rekorde!$P$4:$P$17,MATCH(Übungen!$A$11,Rekorde!$A$4:$A$17,0)),"")="","",IFERROR(INDEX(Rekorde!$P$4:$P$17,MATCH(Übungen!$A$11,Rekorde!$A$4:$A$17,0)),"")))</f>
        <v>5</v>
      </c>
      <c r="E90" s="96"/>
      <c r="F90" s="96"/>
      <c r="G90" s="96"/>
      <c r="H90" s="96"/>
      <c r="I90" s="96"/>
    </row>
    <row r="91" customFormat="false" ht="18" hidden="false" customHeight="true" outlineLevel="0" collapsed="false">
      <c r="A91" s="93" t="n">
        <v>5</v>
      </c>
      <c r="B91" s="41" t="s">
        <v>238</v>
      </c>
      <c r="C91" s="95"/>
      <c r="D91" s="95"/>
      <c r="E91" s="96"/>
      <c r="F91" s="96"/>
      <c r="G91" s="96"/>
      <c r="H91" s="96"/>
      <c r="I91" s="96"/>
    </row>
    <row r="93" customFormat="false" ht="18.75" hidden="false" customHeight="true" outlineLevel="0" collapsed="false">
      <c r="A93" s="89" t="str">
        <f aca="false">Übungen!$A$12</f>
        <v>Seitliche Kickbacks</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95" s="91"/>
      <c r="C95" s="91"/>
      <c r="D95" s="91"/>
      <c r="E95" s="91"/>
      <c r="F95" s="91"/>
      <c r="G95" s="91"/>
      <c r="H95" s="91"/>
      <c r="I95" s="91"/>
    </row>
    <row r="96" customFormat="false" ht="18" hidden="false" customHeight="true" outlineLevel="0" collapsed="false">
      <c r="A96" s="92" t="s">
        <v>313</v>
      </c>
      <c r="B96" s="92" t="s">
        <v>314</v>
      </c>
      <c r="C96" s="92" t="s">
        <v>315</v>
      </c>
      <c r="D96" s="92" t="s">
        <v>316</v>
      </c>
      <c r="E96" s="92" t="s">
        <v>317</v>
      </c>
      <c r="F96" s="92" t="s">
        <v>231</v>
      </c>
      <c r="G96" s="92" t="s">
        <v>46</v>
      </c>
      <c r="H96" s="92" t="s">
        <v>318</v>
      </c>
      <c r="I96" s="92" t="s">
        <v>223</v>
      </c>
    </row>
    <row r="97" customFormat="false" ht="18" hidden="false" customHeight="true" outlineLevel="0" collapsed="false">
      <c r="A97" s="93" t="n">
        <v>1</v>
      </c>
      <c r="B97" s="41" t="s">
        <v>236</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236</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237</v>
      </c>
      <c r="C99" s="94" t="str">
        <f aca="false">IF(AND(Übungen!$L$12&lt;&gt;"",'Reha-Modus'!$B$4&lt;&gt;"",'Reha-Modus'!$B$4&lt;Übungen!$L$12),"",IF(IFERROR(INDEX(Rekorde!$O$4:$O$17,MATCH(Übungen!$A$12,Rekorde!$A$4:$A$17,0)),"")="","",ROUND(IFERROR(INDEX(Rekorde!$O$4:$O$17,MATCH(Übungen!$A$12,Rekorde!$A$4:$A$17,0)),"")*1*2,0)/2))</f>
        <v/>
      </c>
      <c r="D99" s="98" t="str">
        <f aca="false">IF(AND(Übungen!$L$12&lt;&gt;"",'Reha-Modus'!$B$4&lt;&gt;"",'Reha-Modus'!$B$4&lt;Übungen!$L$12),"",IF(IFERROR(INDEX(Rekorde!$P$4:$P$17,MATCH(Übungen!$A$12,Rekorde!$A$4:$A$17,0)),"")="","",IFERROR(INDEX(Rekorde!$P$4:$P$17,MATCH(Übungen!$A$12,Rekorde!$A$4:$A$17,0)),"")))</f>
        <v/>
      </c>
      <c r="E99" s="96"/>
      <c r="F99" s="96"/>
      <c r="G99" s="96"/>
      <c r="H99" s="96"/>
      <c r="I99" s="96"/>
    </row>
    <row r="100" customFormat="false" ht="18" hidden="false" customHeight="true" outlineLevel="0" collapsed="false">
      <c r="A100" s="93" t="n">
        <v>4</v>
      </c>
      <c r="B100" s="97" t="s">
        <v>237</v>
      </c>
      <c r="C100" s="94" t="str">
        <f aca="false">IF(AND(Übungen!$L$12&lt;&gt;"",'Reha-Modus'!$B$4&lt;&gt;"",'Reha-Modus'!$B$4&lt;Übungen!$L$12),"",IF(IFERROR(INDEX(Rekorde!$O$4:$O$17,MATCH(Übungen!$A$12,Rekorde!$A$4:$A$17,0)),"")="","",ROUND(IFERROR(INDEX(Rekorde!$O$4:$O$17,MATCH(Übungen!$A$12,Rekorde!$A$4:$A$17,0)),"")*1*2,0)/2))</f>
        <v/>
      </c>
      <c r="D100" s="98" t="str">
        <f aca="false">IF(AND(Übungen!$L$12&lt;&gt;"",'Reha-Modus'!$B$4&lt;&gt;"",'Reha-Modus'!$B$4&lt;Übungen!$L$12),"",IF(IFERROR(INDEX(Rekorde!$P$4:$P$17,MATCH(Übungen!$A$12,Rekorde!$A$4:$A$17,0)),"")="","",IFERROR(INDEX(Rekorde!$P$4:$P$17,MATCH(Übungen!$A$12,Rekorde!$A$4:$A$17,0)),"")))</f>
        <v/>
      </c>
      <c r="E100" s="96"/>
      <c r="F100" s="96"/>
      <c r="G100" s="96"/>
      <c r="H100" s="96"/>
      <c r="I100" s="96"/>
    </row>
    <row r="101" customFormat="false" ht="18" hidden="false" customHeight="true" outlineLevel="0" collapsed="false">
      <c r="A101" s="93" t="n">
        <v>5</v>
      </c>
      <c r="B101" s="97" t="s">
        <v>237</v>
      </c>
      <c r="C101" s="94" t="str">
        <f aca="false">IF(AND(Übungen!$L$12&lt;&gt;"",'Reha-Modus'!$B$4&lt;&gt;"",'Reha-Modus'!$B$4&lt;Übungen!$L$12),"",IF(IFERROR(INDEX(Rekorde!$O$4:$O$17,MATCH(Übungen!$A$12,Rekorde!$A$4:$A$17,0)),"")="","",ROUND(IFERROR(INDEX(Rekorde!$O$4:$O$17,MATCH(Übungen!$A$12,Rekorde!$A$4:$A$17,0)),"")*1*2,0)/2))</f>
        <v/>
      </c>
      <c r="D101" s="98" t="str">
        <f aca="false">IF(AND(Übungen!$L$12&lt;&gt;"",'Reha-Modus'!$B$4&lt;&gt;"",'Reha-Modus'!$B$4&lt;Übungen!$L$12),"",IF(IFERROR(INDEX(Rekorde!$P$4:$P$17,MATCH(Übungen!$A$12,Rekorde!$A$4:$A$17,0)),"")="","",IFERROR(INDEX(Rekorde!$P$4:$P$17,MATCH(Übungen!$A$12,Rekorde!$A$4:$A$17,0)),"")))</f>
        <v/>
      </c>
      <c r="E101" s="96"/>
      <c r="F101" s="96"/>
      <c r="G101" s="96"/>
      <c r="H101" s="96"/>
      <c r="I101" s="96"/>
    </row>
    <row r="103" customFormat="false" ht="18.75" hidden="false" customHeight="true" outlineLevel="0" collapsed="false">
      <c r="A103" s="89" t="str">
        <f aca="false">Übungen!$A$13</f>
        <v>Waden</v>
      </c>
      <c r="B103" s="89"/>
      <c r="C103" s="89"/>
      <c r="D103" s="89"/>
      <c r="E103" s="89"/>
      <c r="F103" s="89"/>
      <c r="G103" s="89"/>
      <c r="H103" s="89"/>
      <c r="I103" s="89"/>
    </row>
    <row r="104" customFormat="false" ht="13.5" hidden="false" customHeight="true" outlineLevel="0" collapsed="false">
      <c r="A104"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104" s="90"/>
      <c r="C104" s="90"/>
      <c r="D104" s="90"/>
      <c r="E104" s="90"/>
      <c r="F104" s="90"/>
      <c r="G104" s="90"/>
      <c r="H104" s="90"/>
      <c r="I104" s="90"/>
    </row>
    <row r="105" customFormat="false" ht="13.5" hidden="false" customHeight="true" outlineLevel="0" collapsed="false">
      <c r="A105"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105" s="91"/>
      <c r="C105" s="91"/>
      <c r="D105" s="91"/>
      <c r="E105" s="91"/>
      <c r="F105" s="91"/>
      <c r="G105" s="91"/>
      <c r="H105" s="91"/>
      <c r="I105" s="91"/>
    </row>
    <row r="106" customFormat="false" ht="18" hidden="false" customHeight="true" outlineLevel="0" collapsed="false">
      <c r="A106" s="92" t="s">
        <v>313</v>
      </c>
      <c r="B106" s="92" t="s">
        <v>314</v>
      </c>
      <c r="C106" s="92" t="s">
        <v>315</v>
      </c>
      <c r="D106" s="92" t="s">
        <v>316</v>
      </c>
      <c r="E106" s="92" t="s">
        <v>317</v>
      </c>
      <c r="F106" s="92" t="s">
        <v>231</v>
      </c>
      <c r="G106" s="92" t="s">
        <v>46</v>
      </c>
      <c r="H106" s="92" t="s">
        <v>318</v>
      </c>
      <c r="I106" s="92" t="s">
        <v>223</v>
      </c>
    </row>
    <row r="107" customFormat="false" ht="18" hidden="false" customHeight="true" outlineLevel="0" collapsed="false">
      <c r="A107" s="93" t="n">
        <v>1</v>
      </c>
      <c r="B107" s="41" t="s">
        <v>236</v>
      </c>
      <c r="C107" s="94" t="str">
        <f aca="false">IF(AND(Übungen!$L$13&lt;&gt;"",'Reha-Modus'!$B$4&lt;&gt;"",'Reha-Modus'!$B$4&lt;Übungen!$L$13),"",IF(IFERROR(INDEX(Rekorde!$O$4:$O$17,MATCH(Übungen!$A$13,Rekorde!$A$4:$A$17,0)),"")="","",ROUND(IFERROR(INDEX(Rekorde!$O$4:$O$17,MATCH(Übungen!$A$13,Rekorde!$A$4:$A$17,0)),"")*0.45*2,0)/2))</f>
        <v/>
      </c>
      <c r="D107" s="95"/>
      <c r="E107" s="96"/>
      <c r="F107" s="96"/>
      <c r="G107" s="96"/>
      <c r="H107" s="96"/>
      <c r="I107" s="96"/>
    </row>
    <row r="108" customFormat="false" ht="18" hidden="false" customHeight="true" outlineLevel="0" collapsed="false">
      <c r="A108" s="93" t="n">
        <v>2</v>
      </c>
      <c r="B108" s="41" t="s">
        <v>236</v>
      </c>
      <c r="C108" s="94" t="str">
        <f aca="false">IF(AND(Übungen!$L$13&lt;&gt;"",'Reha-Modus'!$B$4&lt;&gt;"",'Reha-Modus'!$B$4&lt;Übungen!$L$13),"",IF(IFERROR(INDEX(Rekorde!$O$4:$O$17,MATCH(Übungen!$A$13,Rekorde!$A$4:$A$17,0)),"")="","",ROUND(IFERROR(INDEX(Rekorde!$O$4:$O$17,MATCH(Übungen!$A$13,Rekorde!$A$4:$A$17,0)),"")*0.7*2,0)/2))</f>
        <v/>
      </c>
      <c r="D108" s="95"/>
      <c r="E108" s="96"/>
      <c r="F108" s="96"/>
      <c r="G108" s="96"/>
      <c r="H108" s="96"/>
      <c r="I108" s="96"/>
    </row>
    <row r="109" customFormat="false" ht="18" hidden="false" customHeight="true" outlineLevel="0" collapsed="false">
      <c r="A109" s="93" t="n">
        <v>3</v>
      </c>
      <c r="B109" s="97" t="s">
        <v>237</v>
      </c>
      <c r="C109" s="94" t="str">
        <f aca="false">IF(AND(Übungen!$L$13&lt;&gt;"",'Reha-Modus'!$B$4&lt;&gt;"",'Reha-Modus'!$B$4&lt;Übungen!$L$13),"",IF(IFERROR(INDEX(Rekorde!$O$4:$O$17,MATCH(Übungen!$A$13,Rekorde!$A$4:$A$17,0)),"")="","",ROUND(IFERROR(INDEX(Rekorde!$O$4:$O$17,MATCH(Übungen!$A$13,Rekorde!$A$4:$A$17,0)),"")*1*2,0)/2))</f>
        <v/>
      </c>
      <c r="D109" s="98" t="str">
        <f aca="false">IF(AND(Übungen!$L$13&lt;&gt;"",'Reha-Modus'!$B$4&lt;&gt;"",'Reha-Modus'!$B$4&lt;Übungen!$L$13),"",IF(IFERROR(INDEX(Rekorde!$P$4:$P$17,MATCH(Übungen!$A$13,Rekorde!$A$4:$A$17,0)),"")="","",IFERROR(INDEX(Rekorde!$P$4:$P$17,MATCH(Übungen!$A$13,Rekorde!$A$4:$A$17,0)),"")))</f>
        <v/>
      </c>
      <c r="E109" s="96"/>
      <c r="F109" s="96"/>
      <c r="G109" s="96"/>
      <c r="H109" s="96"/>
      <c r="I109" s="96"/>
    </row>
    <row r="110" customFormat="false" ht="18" hidden="false" customHeight="true" outlineLevel="0" collapsed="false">
      <c r="A110" s="93" t="n">
        <v>4</v>
      </c>
      <c r="B110" s="97" t="s">
        <v>237</v>
      </c>
      <c r="C110" s="94" t="str">
        <f aca="false">IF(AND(Übungen!$L$13&lt;&gt;"",'Reha-Modus'!$B$4&lt;&gt;"",'Reha-Modus'!$B$4&lt;Übungen!$L$13),"",IF(IFERROR(INDEX(Rekorde!$O$4:$O$17,MATCH(Übungen!$A$13,Rekorde!$A$4:$A$17,0)),"")="","",ROUND(IFERROR(INDEX(Rekorde!$O$4:$O$17,MATCH(Übungen!$A$13,Rekorde!$A$4:$A$17,0)),"")*1*2,0)/2))</f>
        <v/>
      </c>
      <c r="D110" s="98" t="str">
        <f aca="false">IF(AND(Übungen!$L$13&lt;&gt;"",'Reha-Modus'!$B$4&lt;&gt;"",'Reha-Modus'!$B$4&lt;Übungen!$L$13),"",IF(IFERROR(INDEX(Rekorde!$P$4:$P$17,MATCH(Übungen!$A$13,Rekorde!$A$4:$A$17,0)),"")="","",IFERROR(INDEX(Rekorde!$P$4:$P$17,MATCH(Übungen!$A$13,Rekorde!$A$4:$A$17,0)),"")))</f>
        <v/>
      </c>
      <c r="E110" s="96"/>
      <c r="F110" s="96"/>
      <c r="G110" s="96"/>
      <c r="H110" s="96"/>
      <c r="I110" s="96"/>
    </row>
    <row r="111" customFormat="false" ht="18" hidden="false" customHeight="true" outlineLevel="0" collapsed="false">
      <c r="A111" s="93" t="n">
        <v>5</v>
      </c>
      <c r="B111" s="97" t="s">
        <v>237</v>
      </c>
      <c r="C111" s="94" t="str">
        <f aca="false">IF(AND(Übungen!$L$13&lt;&gt;"",'Reha-Modus'!$B$4&lt;&gt;"",'Reha-Modus'!$B$4&lt;Übungen!$L$13),"",IF(IFERROR(INDEX(Rekorde!$O$4:$O$17,MATCH(Übungen!$A$13,Rekorde!$A$4:$A$17,0)),"")="","",ROUND(IFERROR(INDEX(Rekorde!$O$4:$O$17,MATCH(Übungen!$A$13,Rekorde!$A$4:$A$17,0)),"")*1*2,0)/2))</f>
        <v/>
      </c>
      <c r="D111" s="98" t="str">
        <f aca="false">IF(AND(Übungen!$L$13&lt;&gt;"",'Reha-Modus'!$B$4&lt;&gt;"",'Reha-Modus'!$B$4&lt;Übungen!$L$13),"",IF(IFERROR(INDEX(Rekorde!$P$4:$P$17,MATCH(Übungen!$A$13,Rekorde!$A$4:$A$17,0)),"")="","",IFERROR(INDEX(Rekorde!$P$4:$P$17,MATCH(Übungen!$A$13,Rekorde!$A$4:$A$17,0)),"")))</f>
        <v/>
      </c>
      <c r="E111" s="96"/>
      <c r="F111" s="96"/>
      <c r="G111" s="96"/>
      <c r="H111" s="96"/>
      <c r="I111" s="96"/>
    </row>
    <row r="113" customFormat="false" ht="15.75" hidden="false" customHeight="true" outlineLevel="0" collapsed="false">
      <c r="A113" s="3" t="s">
        <v>319</v>
      </c>
      <c r="B113" s="3"/>
      <c r="C113" s="3"/>
      <c r="D113" s="3"/>
      <c r="E113" s="3"/>
      <c r="F113" s="3"/>
      <c r="G113" s="3"/>
      <c r="H113" s="3"/>
      <c r="I113" s="3"/>
    </row>
    <row r="114" customFormat="false" ht="18" hidden="false" customHeight="true" outlineLevel="0" collapsed="false">
      <c r="A114" s="99"/>
      <c r="B114" s="99"/>
      <c r="C114" s="99"/>
      <c r="D114" s="99"/>
      <c r="E114" s="99"/>
      <c r="F114" s="99"/>
      <c r="G114" s="99"/>
      <c r="H114" s="99"/>
      <c r="I114" s="99"/>
    </row>
    <row r="115" customFormat="false" ht="18" hidden="false" customHeight="true" outlineLevel="0" collapsed="false">
      <c r="A115" s="99"/>
      <c r="B115" s="99"/>
      <c r="C115" s="99"/>
      <c r="D115" s="99"/>
      <c r="E115" s="99"/>
      <c r="F115" s="99"/>
      <c r="G115" s="99"/>
      <c r="H115" s="99"/>
      <c r="I115" s="99"/>
    </row>
    <row r="117" customFormat="false" ht="27.75" hidden="false" customHeight="true" outlineLevel="0" collapsed="false">
      <c r="A117" s="1" t="s">
        <v>321</v>
      </c>
      <c r="B117" s="1"/>
      <c r="C117" s="1"/>
      <c r="D117" s="1"/>
      <c r="E117" s="1"/>
      <c r="F117" s="1"/>
      <c r="G117" s="1"/>
      <c r="H117" s="1"/>
      <c r="I117" s="1"/>
    </row>
    <row r="118" customFormat="false" ht="12" hidden="false" customHeight="true" outlineLevel="0" collapsed="false">
      <c r="A118" s="86" t="s">
        <v>67</v>
      </c>
      <c r="B118" s="86"/>
      <c r="C118" s="87" t="s">
        <v>309</v>
      </c>
      <c r="D118" s="87" t="s">
        <v>310</v>
      </c>
      <c r="E118" s="86" t="s">
        <v>311</v>
      </c>
      <c r="F118" s="86"/>
      <c r="G118" s="86" t="s">
        <v>312</v>
      </c>
      <c r="H118" s="86"/>
    </row>
    <row r="119" customFormat="false" ht="18" hidden="false" customHeight="true" outlineLevel="0" collapsed="false">
      <c r="A119" s="88"/>
      <c r="B119" s="88"/>
      <c r="C119" s="88"/>
      <c r="D119" s="88"/>
      <c r="E119" s="88"/>
      <c r="F119" s="88"/>
      <c r="G119" s="88"/>
      <c r="H119" s="88"/>
    </row>
    <row r="121" customFormat="false" ht="18.75" hidden="false" customHeight="true" outlineLevel="0" collapsed="false">
      <c r="A121" s="89" t="str">
        <f aca="false">Übungen!$A$4</f>
        <v>Beinpresse</v>
      </c>
      <c r="B121" s="89"/>
      <c r="C121" s="89"/>
      <c r="D121" s="89"/>
      <c r="E121" s="89"/>
      <c r="F121" s="89"/>
      <c r="G121" s="89"/>
      <c r="H121" s="89"/>
      <c r="I121" s="89"/>
    </row>
    <row r="122" customFormat="false" ht="13.5" hidden="false" customHeight="true" outlineLevel="0" collapsed="false">
      <c r="A12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22" s="90"/>
      <c r="C122" s="90"/>
      <c r="D122" s="90"/>
      <c r="E122" s="90"/>
      <c r="F122" s="90"/>
      <c r="G122" s="90"/>
      <c r="H122" s="90"/>
      <c r="I122" s="90"/>
    </row>
    <row r="123" customFormat="false" ht="13.5" hidden="false" customHeight="true" outlineLevel="0" collapsed="false">
      <c r="A12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123" s="91"/>
      <c r="C123" s="91"/>
      <c r="D123" s="91"/>
      <c r="E123" s="91"/>
      <c r="F123" s="91"/>
      <c r="G123" s="91"/>
      <c r="H123" s="91"/>
      <c r="I123" s="91"/>
    </row>
    <row r="124" customFormat="false" ht="18" hidden="false" customHeight="true" outlineLevel="0" collapsed="false">
      <c r="A124" s="92" t="s">
        <v>313</v>
      </c>
      <c r="B124" s="92" t="s">
        <v>314</v>
      </c>
      <c r="C124" s="92" t="s">
        <v>315</v>
      </c>
      <c r="D124" s="92" t="s">
        <v>316</v>
      </c>
      <c r="E124" s="92" t="s">
        <v>317</v>
      </c>
      <c r="F124" s="92" t="s">
        <v>231</v>
      </c>
      <c r="G124" s="92" t="s">
        <v>46</v>
      </c>
      <c r="H124" s="92" t="s">
        <v>318</v>
      </c>
      <c r="I124" s="92" t="s">
        <v>223</v>
      </c>
    </row>
    <row r="125" customFormat="false" ht="18" hidden="false" customHeight="true" outlineLevel="0" collapsed="false">
      <c r="A125" s="93" t="n">
        <v>1</v>
      </c>
      <c r="B125" s="41" t="s">
        <v>236</v>
      </c>
      <c r="C125" s="94" t="str">
        <f aca="false">IF(AND(Übungen!$L$4&lt;&gt;"",'Reha-Modus'!$B$4&lt;&gt;"",'Reha-Modus'!$B$4&lt;Übungen!$L$4),"",IF(IFERROR(INDEX(Rekorde!$O$4:$O$17,MATCH(Übungen!$A$4,Rekorde!$A$4:$A$17,0)),"")="","",ROUND(IFERROR(INDEX(Rekorde!$O$4:$O$17,MATCH(Übungen!$A$4,Rekorde!$A$4:$A$17,0)),"")*0.45*2,0)/2))</f>
        <v/>
      </c>
      <c r="D125" s="95"/>
      <c r="E125" s="96"/>
      <c r="F125" s="96"/>
      <c r="G125" s="96"/>
      <c r="H125" s="96"/>
      <c r="I125" s="96"/>
    </row>
    <row r="126" customFormat="false" ht="18" hidden="false" customHeight="true" outlineLevel="0" collapsed="false">
      <c r="A126" s="93" t="n">
        <v>2</v>
      </c>
      <c r="B126" s="41" t="s">
        <v>236</v>
      </c>
      <c r="C126" s="94" t="str">
        <f aca="false">IF(AND(Übungen!$L$4&lt;&gt;"",'Reha-Modus'!$B$4&lt;&gt;"",'Reha-Modus'!$B$4&lt;Übungen!$L$4),"",IF(IFERROR(INDEX(Rekorde!$O$4:$O$17,MATCH(Übungen!$A$4,Rekorde!$A$4:$A$17,0)),"")="","",ROUND(IFERROR(INDEX(Rekorde!$O$4:$O$17,MATCH(Übungen!$A$4,Rekorde!$A$4:$A$17,0)),"")*0.7*2,0)/2))</f>
        <v/>
      </c>
      <c r="D126" s="95"/>
      <c r="E126" s="96"/>
      <c r="F126" s="96"/>
      <c r="G126" s="96"/>
      <c r="H126" s="96"/>
      <c r="I126" s="96"/>
    </row>
    <row r="127" customFormat="false" ht="18" hidden="false" customHeight="true" outlineLevel="0" collapsed="false">
      <c r="A127" s="93" t="n">
        <v>3</v>
      </c>
      <c r="B127" s="97" t="s">
        <v>237</v>
      </c>
      <c r="C127" s="94" t="str">
        <f aca="false">IF(AND(Übungen!$L$4&lt;&gt;"",'Reha-Modus'!$B$4&lt;&gt;"",'Reha-Modus'!$B$4&lt;Übungen!$L$4),"",IF(IFERROR(INDEX(Rekorde!$O$4:$O$17,MATCH(Übungen!$A$4,Rekorde!$A$4:$A$17,0)),"")="","",ROUND(IFERROR(INDEX(Rekorde!$O$4:$O$17,MATCH(Übungen!$A$4,Rekorde!$A$4:$A$17,0)),"")*1*2,0)/2))</f>
        <v/>
      </c>
      <c r="D127" s="98" t="str">
        <f aca="false">IF(AND(Übungen!$L$4&lt;&gt;"",'Reha-Modus'!$B$4&lt;&gt;"",'Reha-Modus'!$B$4&lt;Übungen!$L$4),"",IF(IFERROR(INDEX(Rekorde!$P$4:$P$17,MATCH(Übungen!$A$4,Rekorde!$A$4:$A$17,0)),"")="","",IFERROR(INDEX(Rekorde!$P$4:$P$17,MATCH(Übungen!$A$4,Rekorde!$A$4:$A$17,0)),"")))</f>
        <v/>
      </c>
      <c r="E127" s="96"/>
      <c r="F127" s="96"/>
      <c r="G127" s="96"/>
      <c r="H127" s="96"/>
      <c r="I127" s="96"/>
    </row>
    <row r="128" customFormat="false" ht="18" hidden="false" customHeight="true" outlineLevel="0" collapsed="false">
      <c r="A128" s="93" t="n">
        <v>4</v>
      </c>
      <c r="B128" s="97" t="s">
        <v>237</v>
      </c>
      <c r="C128" s="94" t="str">
        <f aca="false">IF(AND(Übungen!$L$4&lt;&gt;"",'Reha-Modus'!$B$4&lt;&gt;"",'Reha-Modus'!$B$4&lt;Übungen!$L$4),"",IF(IFERROR(INDEX(Rekorde!$O$4:$O$17,MATCH(Übungen!$A$4,Rekorde!$A$4:$A$17,0)),"")="","",ROUND(IFERROR(INDEX(Rekorde!$O$4:$O$17,MATCH(Übungen!$A$4,Rekorde!$A$4:$A$17,0)),"")*1*2,0)/2))</f>
        <v/>
      </c>
      <c r="D128" s="98" t="str">
        <f aca="false">IF(AND(Übungen!$L$4&lt;&gt;"",'Reha-Modus'!$B$4&lt;&gt;"",'Reha-Modus'!$B$4&lt;Übungen!$L$4),"",IF(IFERROR(INDEX(Rekorde!$P$4:$P$17,MATCH(Übungen!$A$4,Rekorde!$A$4:$A$17,0)),"")="","",IFERROR(INDEX(Rekorde!$P$4:$P$17,MATCH(Übungen!$A$4,Rekorde!$A$4:$A$17,0)),"")))</f>
        <v/>
      </c>
      <c r="E128" s="96"/>
      <c r="F128" s="96"/>
      <c r="G128" s="96"/>
      <c r="H128" s="96"/>
      <c r="I128" s="96"/>
    </row>
    <row r="129" customFormat="false" ht="18" hidden="false" customHeight="true" outlineLevel="0" collapsed="false">
      <c r="A129" s="93" t="n">
        <v>5</v>
      </c>
      <c r="B129" s="97" t="s">
        <v>237</v>
      </c>
      <c r="C129" s="94" t="str">
        <f aca="false">IF(AND(Übungen!$L$4&lt;&gt;"",'Reha-Modus'!$B$4&lt;&gt;"",'Reha-Modus'!$B$4&lt;Übungen!$L$4),"",IF(IFERROR(INDEX(Rekorde!$O$4:$O$17,MATCH(Übungen!$A$4,Rekorde!$A$4:$A$17,0)),"")="","",ROUND(IFERROR(INDEX(Rekorde!$O$4:$O$17,MATCH(Übungen!$A$4,Rekorde!$A$4:$A$17,0)),"")*1*2,0)/2))</f>
        <v/>
      </c>
      <c r="D129" s="98" t="str">
        <f aca="false">IF(AND(Übungen!$L$4&lt;&gt;"",'Reha-Modus'!$B$4&lt;&gt;"",'Reha-Modus'!$B$4&lt;Übungen!$L$4),"",IF(IFERROR(INDEX(Rekorde!$P$4:$P$17,MATCH(Übungen!$A$4,Rekorde!$A$4:$A$17,0)),"")="","",IFERROR(INDEX(Rekorde!$P$4:$P$17,MATCH(Übungen!$A$4,Rekorde!$A$4:$A$17,0)),"")))</f>
        <v/>
      </c>
      <c r="E129" s="96"/>
      <c r="F129" s="96"/>
      <c r="G129" s="96"/>
      <c r="H129" s="96"/>
      <c r="I129" s="96"/>
    </row>
    <row r="131" customFormat="false" ht="18.75" hidden="false" customHeight="true" outlineLevel="0" collapsed="false">
      <c r="A131" s="89" t="str">
        <f aca="false">Übungen!$A$5</f>
        <v>Split Squat</v>
      </c>
      <c r="B131" s="89"/>
      <c r="C131" s="89"/>
      <c r="D131" s="89"/>
      <c r="E131" s="89"/>
      <c r="F131" s="89"/>
      <c r="G131" s="89"/>
      <c r="H131" s="89"/>
      <c r="I131" s="89"/>
    </row>
    <row r="132" customFormat="false" ht="13.5" hidden="false" customHeight="true" outlineLevel="0" collapsed="false">
      <c r="A13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32" s="90"/>
      <c r="C132" s="90"/>
      <c r="D132" s="90"/>
      <c r="E132" s="90"/>
      <c r="F132" s="90"/>
      <c r="G132" s="90"/>
      <c r="H132" s="90"/>
      <c r="I132" s="90"/>
    </row>
    <row r="133" customFormat="false" ht="13.5" hidden="false" customHeight="true" outlineLevel="0" collapsed="false">
      <c r="A13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33" s="91"/>
      <c r="C133" s="91"/>
      <c r="D133" s="91"/>
      <c r="E133" s="91"/>
      <c r="F133" s="91"/>
      <c r="G133" s="91"/>
      <c r="H133" s="91"/>
      <c r="I133" s="91"/>
    </row>
    <row r="134" customFormat="false" ht="18" hidden="false" customHeight="true" outlineLevel="0" collapsed="false">
      <c r="A134" s="92" t="s">
        <v>313</v>
      </c>
      <c r="B134" s="92" t="s">
        <v>314</v>
      </c>
      <c r="C134" s="92" t="s">
        <v>315</v>
      </c>
      <c r="D134" s="92" t="s">
        <v>316</v>
      </c>
      <c r="E134" s="92" t="s">
        <v>317</v>
      </c>
      <c r="F134" s="92" t="s">
        <v>231</v>
      </c>
      <c r="G134" s="92" t="s">
        <v>46</v>
      </c>
      <c r="H134" s="92" t="s">
        <v>318</v>
      </c>
      <c r="I134" s="92" t="s">
        <v>223</v>
      </c>
    </row>
    <row r="135" customFormat="false" ht="18" hidden="false" customHeight="true" outlineLevel="0" collapsed="false">
      <c r="A135" s="93" t="n">
        <v>1</v>
      </c>
      <c r="B135" s="41" t="s">
        <v>236</v>
      </c>
      <c r="C135" s="94" t="str">
        <f aca="false">IF(AND(Übungen!$L$5&lt;&gt;"",'Reha-Modus'!$B$4&lt;&gt;"",'Reha-Modus'!$B$4&lt;Übungen!$L$5),"",IF(IFERROR(INDEX(Rekorde!$O$4:$O$17,MATCH(Übungen!$A$5,Rekorde!$A$4:$A$17,0)),"")="","",ROUND(IFERROR(INDEX(Rekorde!$O$4:$O$17,MATCH(Übungen!$A$5,Rekorde!$A$4:$A$17,0)),"")*0.45*2,0)/2))</f>
        <v/>
      </c>
      <c r="D135" s="95"/>
      <c r="E135" s="96"/>
      <c r="F135" s="96"/>
      <c r="G135" s="96"/>
      <c r="H135" s="96"/>
      <c r="I135" s="96"/>
    </row>
    <row r="136" customFormat="false" ht="18" hidden="false" customHeight="true" outlineLevel="0" collapsed="false">
      <c r="A136" s="93" t="n">
        <v>2</v>
      </c>
      <c r="B136" s="41" t="s">
        <v>236</v>
      </c>
      <c r="C136" s="94" t="str">
        <f aca="false">IF(AND(Übungen!$L$5&lt;&gt;"",'Reha-Modus'!$B$4&lt;&gt;"",'Reha-Modus'!$B$4&lt;Übungen!$L$5),"",IF(IFERROR(INDEX(Rekorde!$O$4:$O$17,MATCH(Übungen!$A$5,Rekorde!$A$4:$A$17,0)),"")="","",ROUND(IFERROR(INDEX(Rekorde!$O$4:$O$17,MATCH(Übungen!$A$5,Rekorde!$A$4:$A$17,0)),"")*0.7*2,0)/2))</f>
        <v/>
      </c>
      <c r="D136" s="95"/>
      <c r="E136" s="96"/>
      <c r="F136" s="96"/>
      <c r="G136" s="96"/>
      <c r="H136" s="96"/>
      <c r="I136" s="96"/>
    </row>
    <row r="137" customFormat="false" ht="18" hidden="false" customHeight="true" outlineLevel="0" collapsed="false">
      <c r="A137" s="93" t="n">
        <v>3</v>
      </c>
      <c r="B137" s="97" t="s">
        <v>237</v>
      </c>
      <c r="C137" s="94" t="str">
        <f aca="false">IF(AND(Übungen!$L$5&lt;&gt;"",'Reha-Modus'!$B$4&lt;&gt;"",'Reha-Modus'!$B$4&lt;Übungen!$L$5),"",IF(IFERROR(INDEX(Rekorde!$O$4:$O$17,MATCH(Übungen!$A$5,Rekorde!$A$4:$A$17,0)),"")="","",ROUND(IFERROR(INDEX(Rekorde!$O$4:$O$17,MATCH(Übungen!$A$5,Rekorde!$A$4:$A$17,0)),"")*1*2,0)/2))</f>
        <v/>
      </c>
      <c r="D137" s="98" t="str">
        <f aca="false">IF(AND(Übungen!$L$5&lt;&gt;"",'Reha-Modus'!$B$4&lt;&gt;"",'Reha-Modus'!$B$4&lt;Übungen!$L$5),"",IF(IFERROR(INDEX(Rekorde!$P$4:$P$17,MATCH(Übungen!$A$5,Rekorde!$A$4:$A$17,0)),"")="","",IFERROR(INDEX(Rekorde!$P$4:$P$17,MATCH(Übungen!$A$5,Rekorde!$A$4:$A$17,0)),"")))</f>
        <v/>
      </c>
      <c r="E137" s="96"/>
      <c r="F137" s="96"/>
      <c r="G137" s="96"/>
      <c r="H137" s="96"/>
      <c r="I137" s="96"/>
    </row>
    <row r="138" customFormat="false" ht="18" hidden="false" customHeight="true" outlineLevel="0" collapsed="false">
      <c r="A138" s="93" t="n">
        <v>4</v>
      </c>
      <c r="B138" s="97" t="s">
        <v>237</v>
      </c>
      <c r="C138" s="94" t="str">
        <f aca="false">IF(AND(Übungen!$L$5&lt;&gt;"",'Reha-Modus'!$B$4&lt;&gt;"",'Reha-Modus'!$B$4&lt;Übungen!$L$5),"",IF(IFERROR(INDEX(Rekorde!$O$4:$O$17,MATCH(Übungen!$A$5,Rekorde!$A$4:$A$17,0)),"")="","",ROUND(IFERROR(INDEX(Rekorde!$O$4:$O$17,MATCH(Übungen!$A$5,Rekorde!$A$4:$A$17,0)),"")*1*2,0)/2))</f>
        <v/>
      </c>
      <c r="D138" s="98" t="str">
        <f aca="false">IF(AND(Übungen!$L$5&lt;&gt;"",'Reha-Modus'!$B$4&lt;&gt;"",'Reha-Modus'!$B$4&lt;Übungen!$L$5),"",IF(IFERROR(INDEX(Rekorde!$P$4:$P$17,MATCH(Übungen!$A$5,Rekorde!$A$4:$A$17,0)),"")="","",IFERROR(INDEX(Rekorde!$P$4:$P$17,MATCH(Übungen!$A$5,Rekorde!$A$4:$A$17,0)),"")))</f>
        <v/>
      </c>
      <c r="E138" s="96"/>
      <c r="F138" s="96"/>
      <c r="G138" s="96"/>
      <c r="H138" s="96"/>
      <c r="I138" s="96"/>
    </row>
    <row r="139" customFormat="false" ht="18" hidden="false" customHeight="true" outlineLevel="0" collapsed="false">
      <c r="A139" s="93" t="n">
        <v>5</v>
      </c>
      <c r="B139" s="97" t="s">
        <v>237</v>
      </c>
      <c r="C139" s="94" t="str">
        <f aca="false">IF(AND(Übungen!$L$5&lt;&gt;"",'Reha-Modus'!$B$4&lt;&gt;"",'Reha-Modus'!$B$4&lt;Übungen!$L$5),"",IF(IFERROR(INDEX(Rekorde!$O$4:$O$17,MATCH(Übungen!$A$5,Rekorde!$A$4:$A$17,0)),"")="","",ROUND(IFERROR(INDEX(Rekorde!$O$4:$O$17,MATCH(Übungen!$A$5,Rekorde!$A$4:$A$17,0)),"")*1*2,0)/2))</f>
        <v/>
      </c>
      <c r="D139" s="98" t="str">
        <f aca="false">IF(AND(Übungen!$L$5&lt;&gt;"",'Reha-Modus'!$B$4&lt;&gt;"",'Reha-Modus'!$B$4&lt;Übungen!$L$5),"",IF(IFERROR(INDEX(Rekorde!$P$4:$P$17,MATCH(Übungen!$A$5,Rekorde!$A$4:$A$17,0)),"")="","",IFERROR(INDEX(Rekorde!$P$4:$P$17,MATCH(Übungen!$A$5,Rekorde!$A$4:$A$17,0)),"")))</f>
        <v/>
      </c>
      <c r="E139" s="96"/>
      <c r="F139" s="96"/>
      <c r="G139" s="96"/>
      <c r="H139" s="96"/>
      <c r="I139" s="96"/>
    </row>
    <row r="141" customFormat="false" ht="18.75" hidden="false" customHeight="true" outlineLevel="0" collapsed="false">
      <c r="A141" s="89" t="str">
        <f aca="false">Übungen!$A$6</f>
        <v>Beinstrecker</v>
      </c>
      <c r="B141" s="89"/>
      <c r="C141" s="89"/>
      <c r="D141" s="89"/>
      <c r="E141" s="89"/>
      <c r="F141" s="89"/>
      <c r="G141" s="89"/>
      <c r="H141" s="89"/>
      <c r="I141" s="89"/>
    </row>
    <row r="142" customFormat="false" ht="13.5" hidden="false" customHeight="true" outlineLevel="0" collapsed="false">
      <c r="A14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42" s="90"/>
      <c r="C142" s="90"/>
      <c r="D142" s="90"/>
      <c r="E142" s="90"/>
      <c r="F142" s="90"/>
      <c r="G142" s="90"/>
      <c r="H142" s="90"/>
      <c r="I142" s="90"/>
    </row>
    <row r="143" customFormat="false" ht="13.5" hidden="false" customHeight="true" outlineLevel="0" collapsed="false">
      <c r="A14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143" s="91"/>
      <c r="C143" s="91"/>
      <c r="D143" s="91"/>
      <c r="E143" s="91"/>
      <c r="F143" s="91"/>
      <c r="G143" s="91"/>
      <c r="H143" s="91"/>
      <c r="I143" s="91"/>
    </row>
    <row r="144" customFormat="false" ht="18" hidden="false" customHeight="true" outlineLevel="0" collapsed="false">
      <c r="A144" s="92" t="s">
        <v>313</v>
      </c>
      <c r="B144" s="92" t="s">
        <v>314</v>
      </c>
      <c r="C144" s="92" t="s">
        <v>315</v>
      </c>
      <c r="D144" s="92" t="s">
        <v>316</v>
      </c>
      <c r="E144" s="92" t="s">
        <v>317</v>
      </c>
      <c r="F144" s="92" t="s">
        <v>231</v>
      </c>
      <c r="G144" s="92" t="s">
        <v>46</v>
      </c>
      <c r="H144" s="92" t="s">
        <v>318</v>
      </c>
      <c r="I144" s="92" t="s">
        <v>223</v>
      </c>
    </row>
    <row r="145" customFormat="false" ht="18" hidden="false" customHeight="true" outlineLevel="0" collapsed="false">
      <c r="A145" s="93" t="n">
        <v>1</v>
      </c>
      <c r="B145" s="41" t="s">
        <v>236</v>
      </c>
      <c r="C145" s="94" t="n">
        <f aca="false">IF(AND(Übungen!$L$6&lt;&gt;"",'Reha-Modus'!$B$4&lt;&gt;"",'Reha-Modus'!$B$4&lt;Übungen!$L$6),"",IF(IFERROR(INDEX(Rekorde!$O$4:$O$17,MATCH(Übungen!$A$6,Rekorde!$A$4:$A$17,0)),"")="","",ROUND(IFERROR(INDEX(Rekorde!$O$4:$O$17,MATCH(Übungen!$A$6,Rekorde!$A$4:$A$17,0)),"")*0.45*2,0)/2))</f>
        <v>43</v>
      </c>
      <c r="D145" s="95"/>
      <c r="E145" s="96"/>
      <c r="F145" s="96"/>
      <c r="G145" s="96"/>
      <c r="H145" s="96"/>
      <c r="I145" s="96"/>
    </row>
    <row r="146" customFormat="false" ht="18" hidden="false" customHeight="true" outlineLevel="0" collapsed="false">
      <c r="A146" s="93" t="n">
        <v>2</v>
      </c>
      <c r="B146" s="41" t="s">
        <v>236</v>
      </c>
      <c r="C146" s="94" t="n">
        <f aca="false">IF(AND(Übungen!$L$6&lt;&gt;"",'Reha-Modus'!$B$4&lt;&gt;"",'Reha-Modus'!$B$4&lt;Übungen!$L$6),"",IF(IFERROR(INDEX(Rekorde!$O$4:$O$17,MATCH(Übungen!$A$6,Rekorde!$A$4:$A$17,0)),"")="","",ROUND(IFERROR(INDEX(Rekorde!$O$4:$O$17,MATCH(Übungen!$A$6,Rekorde!$A$4:$A$17,0)),"")*0.7*2,0)/2))</f>
        <v>66.5</v>
      </c>
      <c r="D146" s="95"/>
      <c r="E146" s="96"/>
      <c r="F146" s="96"/>
      <c r="G146" s="96"/>
      <c r="H146" s="96"/>
      <c r="I146" s="96"/>
    </row>
    <row r="147" customFormat="false" ht="18" hidden="false" customHeight="true" outlineLevel="0" collapsed="false">
      <c r="A147" s="93" t="n">
        <v>3</v>
      </c>
      <c r="B147" s="97" t="s">
        <v>237</v>
      </c>
      <c r="C147" s="94" t="n">
        <f aca="false">IF(AND(Übungen!$L$6&lt;&gt;"",'Reha-Modus'!$B$4&lt;&gt;"",'Reha-Modus'!$B$4&lt;Übungen!$L$6),"",IF(IFERROR(INDEX(Rekorde!$O$4:$O$17,MATCH(Übungen!$A$6,Rekorde!$A$4:$A$17,0)),"")="","",ROUND(IFERROR(INDEX(Rekorde!$O$4:$O$17,MATCH(Übungen!$A$6,Rekorde!$A$4:$A$17,0)),"")*1*2,0)/2))</f>
        <v>95</v>
      </c>
      <c r="D147" s="98" t="n">
        <f aca="false">IF(AND(Übungen!$L$6&lt;&gt;"",'Reha-Modus'!$B$4&lt;&gt;"",'Reha-Modus'!$B$4&lt;Übungen!$L$6),"",IF(IFERROR(INDEX(Rekorde!$P$4:$P$17,MATCH(Übungen!$A$6,Rekorde!$A$4:$A$17,0)),"")="","",IFERROR(INDEX(Rekorde!$P$4:$P$17,MATCH(Übungen!$A$6,Rekorde!$A$4:$A$17,0)),"")))</f>
        <v>6</v>
      </c>
      <c r="E147" s="96"/>
      <c r="F147" s="96"/>
      <c r="G147" s="96"/>
      <c r="H147" s="96"/>
      <c r="I147" s="96"/>
    </row>
    <row r="148" customFormat="false" ht="18" hidden="false" customHeight="true" outlineLevel="0" collapsed="false">
      <c r="A148" s="93" t="n">
        <v>4</v>
      </c>
      <c r="B148" s="97" t="s">
        <v>237</v>
      </c>
      <c r="C148" s="94" t="n">
        <f aca="false">IF(AND(Übungen!$L$6&lt;&gt;"",'Reha-Modus'!$B$4&lt;&gt;"",'Reha-Modus'!$B$4&lt;Übungen!$L$6),"",IF(IFERROR(INDEX(Rekorde!$O$4:$O$17,MATCH(Übungen!$A$6,Rekorde!$A$4:$A$17,0)),"")="","",ROUND(IFERROR(INDEX(Rekorde!$O$4:$O$17,MATCH(Übungen!$A$6,Rekorde!$A$4:$A$17,0)),"")*1*2,0)/2))</f>
        <v>95</v>
      </c>
      <c r="D148" s="98" t="n">
        <f aca="false">IF(AND(Übungen!$L$6&lt;&gt;"",'Reha-Modus'!$B$4&lt;&gt;"",'Reha-Modus'!$B$4&lt;Übungen!$L$6),"",IF(IFERROR(INDEX(Rekorde!$P$4:$P$17,MATCH(Übungen!$A$6,Rekorde!$A$4:$A$17,0)),"")="","",IFERROR(INDEX(Rekorde!$P$4:$P$17,MATCH(Übungen!$A$6,Rekorde!$A$4:$A$17,0)),"")))</f>
        <v>6</v>
      </c>
      <c r="E148" s="96"/>
      <c r="F148" s="96"/>
      <c r="G148" s="96"/>
      <c r="H148" s="96"/>
      <c r="I148" s="96"/>
    </row>
    <row r="149" customFormat="false" ht="18" hidden="false" customHeight="true" outlineLevel="0" collapsed="false">
      <c r="A149" s="93" t="n">
        <v>5</v>
      </c>
      <c r="B149" s="41" t="s">
        <v>238</v>
      </c>
      <c r="C149" s="95"/>
      <c r="D149" s="95"/>
      <c r="E149" s="96"/>
      <c r="F149" s="96"/>
      <c r="G149" s="96"/>
      <c r="H149" s="96"/>
      <c r="I149" s="96"/>
    </row>
    <row r="151" customFormat="false" ht="18.75" hidden="false" customHeight="true" outlineLevel="0" collapsed="false">
      <c r="A151" s="89" t="str">
        <f aca="false">Übungen!$A$7</f>
        <v>Adduktion</v>
      </c>
      <c r="B151" s="89"/>
      <c r="C151" s="89"/>
      <c r="D151" s="89"/>
      <c r="E151" s="89"/>
      <c r="F151" s="89"/>
      <c r="G151" s="89"/>
      <c r="H151" s="89"/>
      <c r="I151" s="89"/>
    </row>
    <row r="152" customFormat="false" ht="13.5" hidden="false" customHeight="true" outlineLevel="0" collapsed="false">
      <c r="A15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52" s="90"/>
      <c r="C152" s="90"/>
      <c r="D152" s="90"/>
      <c r="E152" s="90"/>
      <c r="F152" s="90"/>
      <c r="G152" s="90"/>
      <c r="H152" s="90"/>
      <c r="I152" s="90"/>
    </row>
    <row r="153" customFormat="false" ht="13.5" hidden="false" customHeight="true" outlineLevel="0" collapsed="false">
      <c r="A15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153" s="91"/>
      <c r="C153" s="91"/>
      <c r="D153" s="91"/>
      <c r="E153" s="91"/>
      <c r="F153" s="91"/>
      <c r="G153" s="91"/>
      <c r="H153" s="91"/>
      <c r="I153" s="91"/>
    </row>
    <row r="154" customFormat="false" ht="18" hidden="false" customHeight="true" outlineLevel="0" collapsed="false">
      <c r="A154" s="92" t="s">
        <v>313</v>
      </c>
      <c r="B154" s="92" t="s">
        <v>314</v>
      </c>
      <c r="C154" s="92" t="s">
        <v>315</v>
      </c>
      <c r="D154" s="92" t="s">
        <v>316</v>
      </c>
      <c r="E154" s="92" t="s">
        <v>317</v>
      </c>
      <c r="F154" s="92" t="s">
        <v>231</v>
      </c>
      <c r="G154" s="92" t="s">
        <v>46</v>
      </c>
      <c r="H154" s="92" t="s">
        <v>318</v>
      </c>
      <c r="I154" s="92" t="s">
        <v>223</v>
      </c>
    </row>
    <row r="155" customFormat="false" ht="18" hidden="false" customHeight="true" outlineLevel="0" collapsed="false">
      <c r="A155" s="93" t="n">
        <v>1</v>
      </c>
      <c r="B155" s="41" t="s">
        <v>236</v>
      </c>
      <c r="C155" s="94" t="n">
        <f aca="false">IF(AND(Übungen!$L$7&lt;&gt;"",'Reha-Modus'!$B$4&lt;&gt;"",'Reha-Modus'!$B$4&lt;Übungen!$L$7),"",IF(IFERROR(INDEX(Rekorde!$O$4:$O$17,MATCH(Übungen!$A$7,Rekorde!$A$4:$A$17,0)),"")="","",ROUND(IFERROR(INDEX(Rekorde!$O$4:$O$17,MATCH(Übungen!$A$7,Rekorde!$A$4:$A$17,0)),"")*0.45*2,0)/2))</f>
        <v>83.5</v>
      </c>
      <c r="D155" s="95"/>
      <c r="E155" s="96"/>
      <c r="F155" s="96"/>
      <c r="G155" s="96"/>
      <c r="H155" s="96"/>
      <c r="I155" s="96"/>
    </row>
    <row r="156" customFormat="false" ht="18" hidden="false" customHeight="true" outlineLevel="0" collapsed="false">
      <c r="A156" s="93" t="n">
        <v>2</v>
      </c>
      <c r="B156" s="41" t="s">
        <v>236</v>
      </c>
      <c r="C156" s="94" t="n">
        <f aca="false">IF(AND(Übungen!$L$7&lt;&gt;"",'Reha-Modus'!$B$4&lt;&gt;"",'Reha-Modus'!$B$4&lt;Übungen!$L$7),"",IF(IFERROR(INDEX(Rekorde!$O$4:$O$17,MATCH(Übungen!$A$7,Rekorde!$A$4:$A$17,0)),"")="","",ROUND(IFERROR(INDEX(Rekorde!$O$4:$O$17,MATCH(Übungen!$A$7,Rekorde!$A$4:$A$17,0)),"")*0.7*2,0)/2))</f>
        <v>129.5</v>
      </c>
      <c r="D156" s="95"/>
      <c r="E156" s="96"/>
      <c r="F156" s="96"/>
      <c r="G156" s="96"/>
      <c r="H156" s="96"/>
      <c r="I156" s="96"/>
    </row>
    <row r="157" customFormat="false" ht="18" hidden="false" customHeight="true" outlineLevel="0" collapsed="false">
      <c r="A157" s="93" t="n">
        <v>3</v>
      </c>
      <c r="B157" s="97" t="s">
        <v>237</v>
      </c>
      <c r="C157" s="94" t="n">
        <f aca="false">IF(AND(Übungen!$L$7&lt;&gt;"",'Reha-Modus'!$B$4&lt;&gt;"",'Reha-Modus'!$B$4&lt;Übungen!$L$7),"",IF(IFERROR(INDEX(Rekorde!$O$4:$O$17,MATCH(Übungen!$A$7,Rekorde!$A$4:$A$17,0)),"")="","",ROUND(IFERROR(INDEX(Rekorde!$O$4:$O$17,MATCH(Übungen!$A$7,Rekorde!$A$4:$A$17,0)),"")*1*2,0)/2))</f>
        <v>185</v>
      </c>
      <c r="D157" s="98" t="n">
        <f aca="false">IF(AND(Übungen!$L$7&lt;&gt;"",'Reha-Modus'!$B$4&lt;&gt;"",'Reha-Modus'!$B$4&lt;Übungen!$L$7),"",IF(IFERROR(INDEX(Rekorde!$P$4:$P$17,MATCH(Übungen!$A$7,Rekorde!$A$4:$A$17,0)),"")="","",IFERROR(INDEX(Rekorde!$P$4:$P$17,MATCH(Übungen!$A$7,Rekorde!$A$4:$A$17,0)),"")))</f>
        <v>5</v>
      </c>
      <c r="E157" s="96"/>
      <c r="F157" s="96"/>
      <c r="G157" s="96"/>
      <c r="H157" s="96"/>
      <c r="I157" s="96"/>
    </row>
    <row r="158" customFormat="false" ht="18" hidden="false" customHeight="true" outlineLevel="0" collapsed="false">
      <c r="A158" s="93" t="n">
        <v>4</v>
      </c>
      <c r="B158" s="97" t="s">
        <v>237</v>
      </c>
      <c r="C158" s="94" t="n">
        <f aca="false">IF(AND(Übungen!$L$7&lt;&gt;"",'Reha-Modus'!$B$4&lt;&gt;"",'Reha-Modus'!$B$4&lt;Übungen!$L$7),"",IF(IFERROR(INDEX(Rekorde!$O$4:$O$17,MATCH(Übungen!$A$7,Rekorde!$A$4:$A$17,0)),"")="","",ROUND(IFERROR(INDEX(Rekorde!$O$4:$O$17,MATCH(Übungen!$A$7,Rekorde!$A$4:$A$17,0)),"")*1*2,0)/2))</f>
        <v>185</v>
      </c>
      <c r="D158" s="98" t="n">
        <f aca="false">IF(AND(Übungen!$L$7&lt;&gt;"",'Reha-Modus'!$B$4&lt;&gt;"",'Reha-Modus'!$B$4&lt;Übungen!$L$7),"",IF(IFERROR(INDEX(Rekorde!$P$4:$P$17,MATCH(Übungen!$A$7,Rekorde!$A$4:$A$17,0)),"")="","",IFERROR(INDEX(Rekorde!$P$4:$P$17,MATCH(Übungen!$A$7,Rekorde!$A$4:$A$17,0)),"")))</f>
        <v>5</v>
      </c>
      <c r="E158" s="96"/>
      <c r="F158" s="96"/>
      <c r="G158" s="96"/>
      <c r="H158" s="96"/>
      <c r="I158" s="96"/>
    </row>
    <row r="159" customFormat="false" ht="18" hidden="false" customHeight="true" outlineLevel="0" collapsed="false">
      <c r="A159" s="93" t="n">
        <v>5</v>
      </c>
      <c r="B159" s="41" t="s">
        <v>238</v>
      </c>
      <c r="C159" s="95"/>
      <c r="D159" s="95"/>
      <c r="E159" s="96"/>
      <c r="F159" s="96"/>
      <c r="G159" s="96"/>
      <c r="H159" s="96"/>
      <c r="I159" s="96"/>
    </row>
    <row r="161" customFormat="false" ht="15.75" hidden="false" customHeight="true" outlineLevel="0" collapsed="false">
      <c r="A161" s="3" t="s">
        <v>319</v>
      </c>
      <c r="B161" s="3"/>
      <c r="C161" s="3"/>
      <c r="D161" s="3"/>
      <c r="E161" s="3"/>
      <c r="F161" s="3"/>
      <c r="G161" s="3"/>
      <c r="H161" s="3"/>
      <c r="I161" s="3"/>
    </row>
    <row r="162" customFormat="false" ht="18" hidden="false" customHeight="true" outlineLevel="0" collapsed="false">
      <c r="A162" s="99"/>
      <c r="B162" s="99"/>
      <c r="C162" s="99"/>
      <c r="D162" s="99"/>
      <c r="E162" s="99"/>
      <c r="F162" s="99"/>
      <c r="G162" s="99"/>
      <c r="H162" s="99"/>
      <c r="I162" s="99"/>
    </row>
    <row r="163" customFormat="false" ht="18" hidden="false" customHeight="true" outlineLevel="0" collapsed="false">
      <c r="A163" s="99"/>
      <c r="B163" s="99"/>
      <c r="C163" s="99"/>
      <c r="D163" s="99"/>
      <c r="E163" s="99"/>
      <c r="F163" s="99"/>
      <c r="G163" s="99"/>
      <c r="H163" s="99"/>
      <c r="I163" s="99"/>
    </row>
    <row r="165" customFormat="false" ht="27.75" hidden="false" customHeight="true" outlineLevel="0" collapsed="false">
      <c r="A165" s="1" t="s">
        <v>322</v>
      </c>
      <c r="B165" s="1"/>
      <c r="C165" s="1"/>
      <c r="D165" s="1"/>
      <c r="E165" s="1"/>
      <c r="F165" s="1"/>
      <c r="G165" s="1"/>
      <c r="H165" s="1"/>
      <c r="I165" s="1"/>
    </row>
    <row r="166" customFormat="false" ht="12" hidden="false" customHeight="true" outlineLevel="0" collapsed="false">
      <c r="A166" s="86" t="s">
        <v>67</v>
      </c>
      <c r="B166" s="86"/>
      <c r="C166" s="87" t="s">
        <v>309</v>
      </c>
      <c r="D166" s="87" t="s">
        <v>310</v>
      </c>
      <c r="E166" s="86" t="s">
        <v>311</v>
      </c>
      <c r="F166" s="86"/>
      <c r="G166" s="86" t="s">
        <v>312</v>
      </c>
      <c r="H166" s="86"/>
    </row>
    <row r="167" customFormat="false" ht="18" hidden="false" customHeight="true" outlineLevel="0" collapsed="false">
      <c r="A167" s="88"/>
      <c r="B167" s="88"/>
      <c r="C167" s="88"/>
      <c r="D167" s="88"/>
      <c r="E167" s="88"/>
      <c r="F167" s="88"/>
      <c r="G167" s="88"/>
      <c r="H167" s="88"/>
    </row>
    <row r="169" customFormat="false" ht="18.75" hidden="false" customHeight="true" outlineLevel="0" collapsed="false">
      <c r="A169" s="89" t="str">
        <f aca="false">Übungen!$A$8</f>
        <v>Rumänisches Kreuzheben</v>
      </c>
      <c r="B169" s="89"/>
      <c r="C169" s="89"/>
      <c r="D169" s="89"/>
      <c r="E169" s="89"/>
      <c r="F169" s="89"/>
      <c r="G169" s="89"/>
      <c r="H169" s="89"/>
      <c r="I169" s="89"/>
    </row>
    <row r="170" customFormat="false" ht="13.5" hidden="false" customHeight="true" outlineLevel="0" collapsed="false">
      <c r="A17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70" s="90"/>
      <c r="C170" s="90"/>
      <c r="D170" s="90"/>
      <c r="E170" s="90"/>
      <c r="F170" s="90"/>
      <c r="G170" s="90"/>
      <c r="H170" s="90"/>
      <c r="I170" s="90"/>
    </row>
    <row r="171" customFormat="false" ht="13.5" hidden="false" customHeight="true" outlineLevel="0" collapsed="false">
      <c r="A17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171" s="91"/>
      <c r="C171" s="91"/>
      <c r="D171" s="91"/>
      <c r="E171" s="91"/>
      <c r="F171" s="91"/>
      <c r="G171" s="91"/>
      <c r="H171" s="91"/>
      <c r="I171" s="91"/>
    </row>
    <row r="172" customFormat="false" ht="18" hidden="false" customHeight="true" outlineLevel="0" collapsed="false">
      <c r="A172" s="92" t="s">
        <v>313</v>
      </c>
      <c r="B172" s="92" t="s">
        <v>314</v>
      </c>
      <c r="C172" s="92" t="s">
        <v>315</v>
      </c>
      <c r="D172" s="92" t="s">
        <v>316</v>
      </c>
      <c r="E172" s="92" t="s">
        <v>317</v>
      </c>
      <c r="F172" s="92" t="s">
        <v>231</v>
      </c>
      <c r="G172" s="92" t="s">
        <v>46</v>
      </c>
      <c r="H172" s="92" t="s">
        <v>318</v>
      </c>
      <c r="I172" s="92" t="s">
        <v>223</v>
      </c>
    </row>
    <row r="173" customFormat="false" ht="18" hidden="false" customHeight="true" outlineLevel="0" collapsed="false">
      <c r="A173" s="93" t="n">
        <v>1</v>
      </c>
      <c r="B173" s="41" t="s">
        <v>236</v>
      </c>
      <c r="C173" s="94" t="str">
        <f aca="false">IF(AND(Übungen!$L$8&lt;&gt;"",'Reha-Modus'!$B$4&lt;&gt;"",'Reha-Modus'!$B$4&lt;Übungen!$L$8),"",IF(IFERROR(INDEX(Rekorde!$O$4:$O$17,MATCH(Übungen!$A$8,Rekorde!$A$4:$A$17,0)),"")="","",ROUND(IFERROR(INDEX(Rekorde!$O$4:$O$17,MATCH(Übungen!$A$8,Rekorde!$A$4:$A$17,0)),"")*0.45*2,0)/2))</f>
        <v/>
      </c>
      <c r="D173" s="95"/>
      <c r="E173" s="96"/>
      <c r="F173" s="96"/>
      <c r="G173" s="96"/>
      <c r="H173" s="96"/>
      <c r="I173" s="96"/>
    </row>
    <row r="174" customFormat="false" ht="18" hidden="false" customHeight="true" outlineLevel="0" collapsed="false">
      <c r="A174" s="93" t="n">
        <v>2</v>
      </c>
      <c r="B174" s="41" t="s">
        <v>236</v>
      </c>
      <c r="C174" s="94" t="str">
        <f aca="false">IF(AND(Übungen!$L$8&lt;&gt;"",'Reha-Modus'!$B$4&lt;&gt;"",'Reha-Modus'!$B$4&lt;Übungen!$L$8),"",IF(IFERROR(INDEX(Rekorde!$O$4:$O$17,MATCH(Übungen!$A$8,Rekorde!$A$4:$A$17,0)),"")="","",ROUND(IFERROR(INDEX(Rekorde!$O$4:$O$17,MATCH(Übungen!$A$8,Rekorde!$A$4:$A$17,0)),"")*0.7*2,0)/2))</f>
        <v/>
      </c>
      <c r="D174" s="95"/>
      <c r="E174" s="96"/>
      <c r="F174" s="96"/>
      <c r="G174" s="96"/>
      <c r="H174" s="96"/>
      <c r="I174" s="96"/>
    </row>
    <row r="175" customFormat="false" ht="18" hidden="false" customHeight="true" outlineLevel="0" collapsed="false">
      <c r="A175" s="93" t="n">
        <v>3</v>
      </c>
      <c r="B175" s="97" t="s">
        <v>237</v>
      </c>
      <c r="C175" s="94" t="str">
        <f aca="false">IF(AND(Übungen!$L$8&lt;&gt;"",'Reha-Modus'!$B$4&lt;&gt;"",'Reha-Modus'!$B$4&lt;Übungen!$L$8),"",IF(IFERROR(INDEX(Rekorde!$O$4:$O$17,MATCH(Übungen!$A$8,Rekorde!$A$4:$A$17,0)),"")="","",ROUND(IFERROR(INDEX(Rekorde!$O$4:$O$17,MATCH(Übungen!$A$8,Rekorde!$A$4:$A$17,0)),"")*1*2,0)/2))</f>
        <v/>
      </c>
      <c r="D175" s="98" t="str">
        <f aca="false">IF(AND(Übungen!$L$8&lt;&gt;"",'Reha-Modus'!$B$4&lt;&gt;"",'Reha-Modus'!$B$4&lt;Übungen!$L$8),"",IF(IFERROR(INDEX(Rekorde!$P$4:$P$17,MATCH(Übungen!$A$8,Rekorde!$A$4:$A$17,0)),"")="","",IFERROR(INDEX(Rekorde!$P$4:$P$17,MATCH(Übungen!$A$8,Rekorde!$A$4:$A$17,0)),"")))</f>
        <v/>
      </c>
      <c r="E175" s="96"/>
      <c r="F175" s="96"/>
      <c r="G175" s="96"/>
      <c r="H175" s="96"/>
      <c r="I175" s="96"/>
    </row>
    <row r="176" customFormat="false" ht="18" hidden="false" customHeight="true" outlineLevel="0" collapsed="false">
      <c r="A176" s="93" t="n">
        <v>4</v>
      </c>
      <c r="B176" s="97" t="s">
        <v>237</v>
      </c>
      <c r="C176" s="94" t="str">
        <f aca="false">IF(AND(Übungen!$L$8&lt;&gt;"",'Reha-Modus'!$B$4&lt;&gt;"",'Reha-Modus'!$B$4&lt;Übungen!$L$8),"",IF(IFERROR(INDEX(Rekorde!$O$4:$O$17,MATCH(Übungen!$A$8,Rekorde!$A$4:$A$17,0)),"")="","",ROUND(IFERROR(INDEX(Rekorde!$O$4:$O$17,MATCH(Übungen!$A$8,Rekorde!$A$4:$A$17,0)),"")*1*2,0)/2))</f>
        <v/>
      </c>
      <c r="D176" s="98" t="str">
        <f aca="false">IF(AND(Übungen!$L$8&lt;&gt;"",'Reha-Modus'!$B$4&lt;&gt;"",'Reha-Modus'!$B$4&lt;Übungen!$L$8),"",IF(IFERROR(INDEX(Rekorde!$P$4:$P$17,MATCH(Übungen!$A$8,Rekorde!$A$4:$A$17,0)),"")="","",IFERROR(INDEX(Rekorde!$P$4:$P$17,MATCH(Übungen!$A$8,Rekorde!$A$4:$A$17,0)),"")))</f>
        <v/>
      </c>
      <c r="E176" s="96"/>
      <c r="F176" s="96"/>
      <c r="G176" s="96"/>
      <c r="H176" s="96"/>
      <c r="I176" s="96"/>
    </row>
    <row r="177" customFormat="false" ht="18" hidden="false" customHeight="true" outlineLevel="0" collapsed="false">
      <c r="A177" s="93" t="n">
        <v>5</v>
      </c>
      <c r="B177" s="97" t="s">
        <v>237</v>
      </c>
      <c r="C177" s="94" t="str">
        <f aca="false">IF(AND(Übungen!$L$8&lt;&gt;"",'Reha-Modus'!$B$4&lt;&gt;"",'Reha-Modus'!$B$4&lt;Übungen!$L$8),"",IF(IFERROR(INDEX(Rekorde!$O$4:$O$17,MATCH(Übungen!$A$8,Rekorde!$A$4:$A$17,0)),"")="","",ROUND(IFERROR(INDEX(Rekorde!$O$4:$O$17,MATCH(Übungen!$A$8,Rekorde!$A$4:$A$17,0)),"")*1*2,0)/2))</f>
        <v/>
      </c>
      <c r="D177" s="98" t="str">
        <f aca="false">IF(AND(Übungen!$L$8&lt;&gt;"",'Reha-Modus'!$B$4&lt;&gt;"",'Reha-Modus'!$B$4&lt;Übungen!$L$8),"",IF(IFERROR(INDEX(Rekorde!$P$4:$P$17,MATCH(Übungen!$A$8,Rekorde!$A$4:$A$17,0)),"")="","",IFERROR(INDEX(Rekorde!$P$4:$P$17,MATCH(Übungen!$A$8,Rekorde!$A$4:$A$17,0)),"")))</f>
        <v/>
      </c>
      <c r="E177" s="96"/>
      <c r="F177" s="96"/>
      <c r="G177" s="96"/>
      <c r="H177" s="96"/>
      <c r="I177" s="96"/>
    </row>
    <row r="179" customFormat="false" ht="18.75" hidden="false" customHeight="true" outlineLevel="0" collapsed="false">
      <c r="A179" s="89" t="str">
        <f aca="false">Übungen!$A$9</f>
        <v>Hip Thrust</v>
      </c>
      <c r="B179" s="89"/>
      <c r="C179" s="89"/>
      <c r="D179" s="89"/>
      <c r="E179" s="89"/>
      <c r="F179" s="89"/>
      <c r="G179" s="89"/>
      <c r="H179" s="89"/>
      <c r="I179" s="89"/>
    </row>
    <row r="180" customFormat="false" ht="13.5" hidden="false" customHeight="true" outlineLevel="0" collapsed="false">
      <c r="A18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80" s="90"/>
      <c r="C180" s="90"/>
      <c r="D180" s="90"/>
      <c r="E180" s="90"/>
      <c r="F180" s="90"/>
      <c r="G180" s="90"/>
      <c r="H180" s="90"/>
      <c r="I180" s="90"/>
    </row>
    <row r="181" customFormat="false" ht="13.5" hidden="false" customHeight="true" outlineLevel="0" collapsed="false">
      <c r="A18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181" s="91"/>
      <c r="C181" s="91"/>
      <c r="D181" s="91"/>
      <c r="E181" s="91"/>
      <c r="F181" s="91"/>
      <c r="G181" s="91"/>
      <c r="H181" s="91"/>
      <c r="I181" s="91"/>
    </row>
    <row r="182" customFormat="false" ht="18" hidden="false" customHeight="true" outlineLevel="0" collapsed="false">
      <c r="A182" s="92" t="s">
        <v>313</v>
      </c>
      <c r="B182" s="92" t="s">
        <v>314</v>
      </c>
      <c r="C182" s="92" t="s">
        <v>315</v>
      </c>
      <c r="D182" s="92" t="s">
        <v>316</v>
      </c>
      <c r="E182" s="92" t="s">
        <v>317</v>
      </c>
      <c r="F182" s="92" t="s">
        <v>231</v>
      </c>
      <c r="G182" s="92" t="s">
        <v>46</v>
      </c>
      <c r="H182" s="92" t="s">
        <v>318</v>
      </c>
      <c r="I182" s="92" t="s">
        <v>223</v>
      </c>
    </row>
    <row r="183" customFormat="false" ht="18" hidden="false" customHeight="true" outlineLevel="0" collapsed="false">
      <c r="A183" s="93" t="n">
        <v>1</v>
      </c>
      <c r="B183" s="41" t="s">
        <v>236</v>
      </c>
      <c r="C183" s="94" t="str">
        <f aca="false">IF(AND(Übungen!$L$9&lt;&gt;"",'Reha-Modus'!$B$4&lt;&gt;"",'Reha-Modus'!$B$4&lt;Übungen!$L$9),"",IF(IFERROR(INDEX(Rekorde!$O$4:$O$17,MATCH(Übungen!$A$9,Rekorde!$A$4:$A$17,0)),"")="","",ROUND(IFERROR(INDEX(Rekorde!$O$4:$O$17,MATCH(Übungen!$A$9,Rekorde!$A$4:$A$17,0)),"")*0.45*2,0)/2))</f>
        <v/>
      </c>
      <c r="D183" s="95"/>
      <c r="E183" s="96"/>
      <c r="F183" s="96"/>
      <c r="G183" s="96"/>
      <c r="H183" s="96"/>
      <c r="I183" s="96"/>
    </row>
    <row r="184" customFormat="false" ht="18" hidden="false" customHeight="true" outlineLevel="0" collapsed="false">
      <c r="A184" s="93" t="n">
        <v>2</v>
      </c>
      <c r="B184" s="41" t="s">
        <v>236</v>
      </c>
      <c r="C184" s="94" t="str">
        <f aca="false">IF(AND(Übungen!$L$9&lt;&gt;"",'Reha-Modus'!$B$4&lt;&gt;"",'Reha-Modus'!$B$4&lt;Übungen!$L$9),"",IF(IFERROR(INDEX(Rekorde!$O$4:$O$17,MATCH(Übungen!$A$9,Rekorde!$A$4:$A$17,0)),"")="","",ROUND(IFERROR(INDEX(Rekorde!$O$4:$O$17,MATCH(Übungen!$A$9,Rekorde!$A$4:$A$17,0)),"")*0.7*2,0)/2))</f>
        <v/>
      </c>
      <c r="D184" s="95"/>
      <c r="E184" s="96"/>
      <c r="F184" s="96"/>
      <c r="G184" s="96"/>
      <c r="H184" s="96"/>
      <c r="I184" s="96"/>
    </row>
    <row r="185" customFormat="false" ht="18" hidden="false" customHeight="true" outlineLevel="0" collapsed="false">
      <c r="A185" s="93" t="n">
        <v>3</v>
      </c>
      <c r="B185" s="97" t="s">
        <v>237</v>
      </c>
      <c r="C185" s="94" t="str">
        <f aca="false">IF(AND(Übungen!$L$9&lt;&gt;"",'Reha-Modus'!$B$4&lt;&gt;"",'Reha-Modus'!$B$4&lt;Übungen!$L$9),"",IF(IFERROR(INDEX(Rekorde!$O$4:$O$17,MATCH(Übungen!$A$9,Rekorde!$A$4:$A$17,0)),"")="","",ROUND(IFERROR(INDEX(Rekorde!$O$4:$O$17,MATCH(Übungen!$A$9,Rekorde!$A$4:$A$17,0)),"")*1*2,0)/2))</f>
        <v/>
      </c>
      <c r="D185" s="98" t="str">
        <f aca="false">IF(AND(Übungen!$L$9&lt;&gt;"",'Reha-Modus'!$B$4&lt;&gt;"",'Reha-Modus'!$B$4&lt;Übungen!$L$9),"",IF(IFERROR(INDEX(Rekorde!$P$4:$P$17,MATCH(Übungen!$A$9,Rekorde!$A$4:$A$17,0)),"")="","",IFERROR(INDEX(Rekorde!$P$4:$P$17,MATCH(Übungen!$A$9,Rekorde!$A$4:$A$17,0)),"")))</f>
        <v/>
      </c>
      <c r="E185" s="96"/>
      <c r="F185" s="96"/>
      <c r="G185" s="96"/>
      <c r="H185" s="96"/>
      <c r="I185" s="96"/>
    </row>
    <row r="186" customFormat="false" ht="18" hidden="false" customHeight="true" outlineLevel="0" collapsed="false">
      <c r="A186" s="93" t="n">
        <v>4</v>
      </c>
      <c r="B186" s="97" t="s">
        <v>237</v>
      </c>
      <c r="C186" s="94" t="str">
        <f aca="false">IF(AND(Übungen!$L$9&lt;&gt;"",'Reha-Modus'!$B$4&lt;&gt;"",'Reha-Modus'!$B$4&lt;Übungen!$L$9),"",IF(IFERROR(INDEX(Rekorde!$O$4:$O$17,MATCH(Übungen!$A$9,Rekorde!$A$4:$A$17,0)),"")="","",ROUND(IFERROR(INDEX(Rekorde!$O$4:$O$17,MATCH(Übungen!$A$9,Rekorde!$A$4:$A$17,0)),"")*1*2,0)/2))</f>
        <v/>
      </c>
      <c r="D186" s="98" t="str">
        <f aca="false">IF(AND(Übungen!$L$9&lt;&gt;"",'Reha-Modus'!$B$4&lt;&gt;"",'Reha-Modus'!$B$4&lt;Übungen!$L$9),"",IF(IFERROR(INDEX(Rekorde!$P$4:$P$17,MATCH(Übungen!$A$9,Rekorde!$A$4:$A$17,0)),"")="","",IFERROR(INDEX(Rekorde!$P$4:$P$17,MATCH(Übungen!$A$9,Rekorde!$A$4:$A$17,0)),"")))</f>
        <v/>
      </c>
      <c r="E186" s="96"/>
      <c r="F186" s="96"/>
      <c r="G186" s="96"/>
      <c r="H186" s="96"/>
      <c r="I186" s="96"/>
    </row>
    <row r="187" customFormat="false" ht="18" hidden="false" customHeight="true" outlineLevel="0" collapsed="false">
      <c r="A187" s="93" t="n">
        <v>5</v>
      </c>
      <c r="B187" s="97" t="s">
        <v>237</v>
      </c>
      <c r="C187" s="94" t="str">
        <f aca="false">IF(AND(Übungen!$L$9&lt;&gt;"",'Reha-Modus'!$B$4&lt;&gt;"",'Reha-Modus'!$B$4&lt;Übungen!$L$9),"",IF(IFERROR(INDEX(Rekorde!$O$4:$O$17,MATCH(Übungen!$A$9,Rekorde!$A$4:$A$17,0)),"")="","",ROUND(IFERROR(INDEX(Rekorde!$O$4:$O$17,MATCH(Übungen!$A$9,Rekorde!$A$4:$A$17,0)),"")*1*2,0)/2))</f>
        <v/>
      </c>
      <c r="D187" s="98" t="str">
        <f aca="false">IF(AND(Übungen!$L$9&lt;&gt;"",'Reha-Modus'!$B$4&lt;&gt;"",'Reha-Modus'!$B$4&lt;Übungen!$L$9),"",IF(IFERROR(INDEX(Rekorde!$P$4:$P$17,MATCH(Übungen!$A$9,Rekorde!$A$4:$A$17,0)),"")="","",IFERROR(INDEX(Rekorde!$P$4:$P$17,MATCH(Übungen!$A$9,Rekorde!$A$4:$A$17,0)),"")))</f>
        <v/>
      </c>
      <c r="E187" s="96"/>
      <c r="F187" s="96"/>
      <c r="G187" s="96"/>
      <c r="H187" s="96"/>
      <c r="I187" s="96"/>
    </row>
    <row r="189" customFormat="false" ht="18.75" hidden="false" customHeight="true" outlineLevel="0" collapsed="false">
      <c r="A189" s="89" t="str">
        <f aca="false">Übungen!$A$10</f>
        <v>Hip &amp; Glute</v>
      </c>
      <c r="B189" s="89"/>
      <c r="C189" s="89"/>
      <c r="D189" s="89"/>
      <c r="E189" s="89"/>
      <c r="F189" s="89"/>
      <c r="G189" s="89"/>
      <c r="H189" s="89"/>
      <c r="I189" s="89"/>
    </row>
    <row r="190" customFormat="false" ht="13.5" hidden="false" customHeight="true" outlineLevel="0" collapsed="false">
      <c r="A19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190" s="90"/>
      <c r="C190" s="90"/>
      <c r="D190" s="90"/>
      <c r="E190" s="90"/>
      <c r="F190" s="90"/>
      <c r="G190" s="90"/>
      <c r="H190" s="90"/>
      <c r="I190" s="90"/>
    </row>
    <row r="191" customFormat="false" ht="13.5" hidden="false" customHeight="true" outlineLevel="0" collapsed="false">
      <c r="A19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191" s="91"/>
      <c r="C191" s="91"/>
      <c r="D191" s="91"/>
      <c r="E191" s="91"/>
      <c r="F191" s="91"/>
      <c r="G191" s="91"/>
      <c r="H191" s="91"/>
      <c r="I191" s="91"/>
    </row>
    <row r="192" customFormat="false" ht="18" hidden="false" customHeight="true" outlineLevel="0" collapsed="false">
      <c r="A192" s="92" t="s">
        <v>313</v>
      </c>
      <c r="B192" s="92" t="s">
        <v>314</v>
      </c>
      <c r="C192" s="92" t="s">
        <v>315</v>
      </c>
      <c r="D192" s="92" t="s">
        <v>316</v>
      </c>
      <c r="E192" s="92" t="s">
        <v>317</v>
      </c>
      <c r="F192" s="92" t="s">
        <v>231</v>
      </c>
      <c r="G192" s="92" t="s">
        <v>46</v>
      </c>
      <c r="H192" s="92" t="s">
        <v>318</v>
      </c>
      <c r="I192" s="92" t="s">
        <v>223</v>
      </c>
    </row>
    <row r="193" customFormat="false" ht="18" hidden="false" customHeight="true" outlineLevel="0" collapsed="false">
      <c r="A193" s="93" t="n">
        <v>1</v>
      </c>
      <c r="B193" s="41" t="s">
        <v>236</v>
      </c>
      <c r="C193" s="94" t="str">
        <f aca="false">IF(AND(Übungen!$L$10&lt;&gt;"",'Reha-Modus'!$B$4&lt;&gt;"",'Reha-Modus'!$B$4&lt;Übungen!$L$10),"",IF(IFERROR(INDEX(Rekorde!$O$4:$O$17,MATCH(Übungen!$A$10,Rekorde!$A$4:$A$17,0)),"")="","",ROUND(IFERROR(INDEX(Rekorde!$O$4:$O$17,MATCH(Übungen!$A$10,Rekorde!$A$4:$A$17,0)),"")*0.45*2,0)/2))</f>
        <v/>
      </c>
      <c r="D193" s="95"/>
      <c r="E193" s="96"/>
      <c r="F193" s="96"/>
      <c r="G193" s="96"/>
      <c r="H193" s="96"/>
      <c r="I193" s="96"/>
    </row>
    <row r="194" customFormat="false" ht="18" hidden="false" customHeight="true" outlineLevel="0" collapsed="false">
      <c r="A194" s="93" t="n">
        <v>2</v>
      </c>
      <c r="B194" s="41" t="s">
        <v>236</v>
      </c>
      <c r="C194" s="94" t="str">
        <f aca="false">IF(AND(Übungen!$L$10&lt;&gt;"",'Reha-Modus'!$B$4&lt;&gt;"",'Reha-Modus'!$B$4&lt;Übungen!$L$10),"",IF(IFERROR(INDEX(Rekorde!$O$4:$O$17,MATCH(Übungen!$A$10,Rekorde!$A$4:$A$17,0)),"")="","",ROUND(IFERROR(INDEX(Rekorde!$O$4:$O$17,MATCH(Übungen!$A$10,Rekorde!$A$4:$A$17,0)),"")*0.7*2,0)/2))</f>
        <v/>
      </c>
      <c r="D194" s="95"/>
      <c r="E194" s="96"/>
      <c r="F194" s="96"/>
      <c r="G194" s="96"/>
      <c r="H194" s="96"/>
      <c r="I194" s="96"/>
    </row>
    <row r="195" customFormat="false" ht="18" hidden="false" customHeight="true" outlineLevel="0" collapsed="false">
      <c r="A195" s="93" t="n">
        <v>3</v>
      </c>
      <c r="B195" s="97" t="s">
        <v>237</v>
      </c>
      <c r="C195" s="94" t="str">
        <f aca="false">IF(AND(Übungen!$L$10&lt;&gt;"",'Reha-Modus'!$B$4&lt;&gt;"",'Reha-Modus'!$B$4&lt;Übungen!$L$10),"",IF(IFERROR(INDEX(Rekorde!$O$4:$O$17,MATCH(Übungen!$A$10,Rekorde!$A$4:$A$17,0)),"")="","",ROUND(IFERROR(INDEX(Rekorde!$O$4:$O$17,MATCH(Übungen!$A$10,Rekorde!$A$4:$A$17,0)),"")*1*2,0)/2))</f>
        <v/>
      </c>
      <c r="D195" s="98" t="str">
        <f aca="false">IF(AND(Übungen!$L$10&lt;&gt;"",'Reha-Modus'!$B$4&lt;&gt;"",'Reha-Modus'!$B$4&lt;Übungen!$L$10),"",IF(IFERROR(INDEX(Rekorde!$P$4:$P$17,MATCH(Übungen!$A$10,Rekorde!$A$4:$A$17,0)),"")="","",IFERROR(INDEX(Rekorde!$P$4:$P$17,MATCH(Übungen!$A$10,Rekorde!$A$4:$A$17,0)),"")))</f>
        <v/>
      </c>
      <c r="E195" s="96"/>
      <c r="F195" s="96"/>
      <c r="G195" s="96"/>
      <c r="H195" s="96"/>
      <c r="I195" s="96"/>
    </row>
    <row r="196" customFormat="false" ht="18" hidden="false" customHeight="true" outlineLevel="0" collapsed="false">
      <c r="A196" s="93" t="n">
        <v>4</v>
      </c>
      <c r="B196" s="97" t="s">
        <v>237</v>
      </c>
      <c r="C196" s="94" t="str">
        <f aca="false">IF(AND(Übungen!$L$10&lt;&gt;"",'Reha-Modus'!$B$4&lt;&gt;"",'Reha-Modus'!$B$4&lt;Übungen!$L$10),"",IF(IFERROR(INDEX(Rekorde!$O$4:$O$17,MATCH(Übungen!$A$10,Rekorde!$A$4:$A$17,0)),"")="","",ROUND(IFERROR(INDEX(Rekorde!$O$4:$O$17,MATCH(Übungen!$A$10,Rekorde!$A$4:$A$17,0)),"")*1*2,0)/2))</f>
        <v/>
      </c>
      <c r="D196" s="98" t="str">
        <f aca="false">IF(AND(Übungen!$L$10&lt;&gt;"",'Reha-Modus'!$B$4&lt;&gt;"",'Reha-Modus'!$B$4&lt;Übungen!$L$10),"",IF(IFERROR(INDEX(Rekorde!$P$4:$P$17,MATCH(Übungen!$A$10,Rekorde!$A$4:$A$17,0)),"")="","",IFERROR(INDEX(Rekorde!$P$4:$P$17,MATCH(Übungen!$A$10,Rekorde!$A$4:$A$17,0)),"")))</f>
        <v/>
      </c>
      <c r="E196" s="96"/>
      <c r="F196" s="96"/>
      <c r="G196" s="96"/>
      <c r="H196" s="96"/>
      <c r="I196" s="96"/>
    </row>
    <row r="197" customFormat="false" ht="18" hidden="false" customHeight="true" outlineLevel="0" collapsed="false">
      <c r="A197" s="93" t="n">
        <v>5</v>
      </c>
      <c r="B197" s="97" t="s">
        <v>237</v>
      </c>
      <c r="C197" s="94" t="str">
        <f aca="false">IF(AND(Übungen!$L$10&lt;&gt;"",'Reha-Modus'!$B$4&lt;&gt;"",'Reha-Modus'!$B$4&lt;Übungen!$L$10),"",IF(IFERROR(INDEX(Rekorde!$O$4:$O$17,MATCH(Übungen!$A$10,Rekorde!$A$4:$A$17,0)),"")="","",ROUND(IFERROR(INDEX(Rekorde!$O$4:$O$17,MATCH(Übungen!$A$10,Rekorde!$A$4:$A$17,0)),"")*1*2,0)/2))</f>
        <v/>
      </c>
      <c r="D197" s="98" t="str">
        <f aca="false">IF(AND(Übungen!$L$10&lt;&gt;"",'Reha-Modus'!$B$4&lt;&gt;"",'Reha-Modus'!$B$4&lt;Übungen!$L$10),"",IF(IFERROR(INDEX(Rekorde!$P$4:$P$17,MATCH(Übungen!$A$10,Rekorde!$A$4:$A$17,0)),"")="","",IFERROR(INDEX(Rekorde!$P$4:$P$17,MATCH(Übungen!$A$10,Rekorde!$A$4:$A$17,0)),"")))</f>
        <v/>
      </c>
      <c r="E197" s="96"/>
      <c r="F197" s="96"/>
      <c r="G197" s="96"/>
      <c r="H197" s="96"/>
      <c r="I197" s="96"/>
    </row>
    <row r="199" customFormat="false" ht="18.75" hidden="false" customHeight="true" outlineLevel="0" collapsed="false">
      <c r="A199" s="89" t="str">
        <f aca="false">Übungen!$A$11</f>
        <v>Beinbeuger</v>
      </c>
      <c r="B199" s="89"/>
      <c r="C199" s="89"/>
      <c r="D199" s="89"/>
      <c r="E199" s="89"/>
      <c r="F199" s="89"/>
      <c r="G199" s="89"/>
      <c r="H199" s="89"/>
      <c r="I199" s="89"/>
    </row>
    <row r="200" customFormat="false" ht="13.5" hidden="false" customHeight="true" outlineLevel="0" collapsed="false">
      <c r="A20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200" s="90"/>
      <c r="C200" s="90"/>
      <c r="D200" s="90"/>
      <c r="E200" s="90"/>
      <c r="F200" s="90"/>
      <c r="G200" s="90"/>
      <c r="H200" s="90"/>
      <c r="I200" s="90"/>
    </row>
    <row r="201" customFormat="false" ht="13.5" hidden="false" customHeight="true" outlineLevel="0" collapsed="false">
      <c r="A20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201" s="91"/>
      <c r="C201" s="91"/>
      <c r="D201" s="91"/>
      <c r="E201" s="91"/>
      <c r="F201" s="91"/>
      <c r="G201" s="91"/>
      <c r="H201" s="91"/>
      <c r="I201" s="91"/>
    </row>
    <row r="202" customFormat="false" ht="18" hidden="false" customHeight="true" outlineLevel="0" collapsed="false">
      <c r="A202" s="92" t="s">
        <v>313</v>
      </c>
      <c r="B202" s="92" t="s">
        <v>314</v>
      </c>
      <c r="C202" s="92" t="s">
        <v>315</v>
      </c>
      <c r="D202" s="92" t="s">
        <v>316</v>
      </c>
      <c r="E202" s="92" t="s">
        <v>317</v>
      </c>
      <c r="F202" s="92" t="s">
        <v>231</v>
      </c>
      <c r="G202" s="92" t="s">
        <v>46</v>
      </c>
      <c r="H202" s="92" t="s">
        <v>318</v>
      </c>
      <c r="I202" s="92" t="s">
        <v>223</v>
      </c>
    </row>
    <row r="203" customFormat="false" ht="18" hidden="false" customHeight="true" outlineLevel="0" collapsed="false">
      <c r="A203" s="93" t="n">
        <v>1</v>
      </c>
      <c r="B203" s="41" t="s">
        <v>236</v>
      </c>
      <c r="C203" s="94" t="n">
        <f aca="false">IF(AND(Übungen!$L$11&lt;&gt;"",'Reha-Modus'!$B$4&lt;&gt;"",'Reha-Modus'!$B$4&lt;Übungen!$L$11),"",IF(IFERROR(INDEX(Rekorde!$O$4:$O$17,MATCH(Übungen!$A$11,Rekorde!$A$4:$A$17,0)),"")="","",ROUND(IFERROR(INDEX(Rekorde!$O$4:$O$17,MATCH(Übungen!$A$11,Rekorde!$A$4:$A$17,0)),"")*0.45*2,0)/2))</f>
        <v>26</v>
      </c>
      <c r="D203" s="95"/>
      <c r="E203" s="96"/>
      <c r="F203" s="96"/>
      <c r="G203" s="96"/>
      <c r="H203" s="96"/>
      <c r="I203" s="96"/>
    </row>
    <row r="204" customFormat="false" ht="18" hidden="false" customHeight="true" outlineLevel="0" collapsed="false">
      <c r="A204" s="93" t="n">
        <v>2</v>
      </c>
      <c r="B204" s="41" t="s">
        <v>236</v>
      </c>
      <c r="C204" s="94" t="n">
        <f aca="false">IF(AND(Übungen!$L$11&lt;&gt;"",'Reha-Modus'!$B$4&lt;&gt;"",'Reha-Modus'!$B$4&lt;Übungen!$L$11),"",IF(IFERROR(INDEX(Rekorde!$O$4:$O$17,MATCH(Übungen!$A$11,Rekorde!$A$4:$A$17,0)),"")="","",ROUND(IFERROR(INDEX(Rekorde!$O$4:$O$17,MATCH(Übungen!$A$11,Rekorde!$A$4:$A$17,0)),"")*0.7*2,0)/2))</f>
        <v>40.5</v>
      </c>
      <c r="D204" s="95"/>
      <c r="E204" s="96"/>
      <c r="F204" s="96"/>
      <c r="G204" s="96"/>
      <c r="H204" s="96"/>
      <c r="I204" s="96"/>
    </row>
    <row r="205" customFormat="false" ht="18" hidden="false" customHeight="true" outlineLevel="0" collapsed="false">
      <c r="A205" s="93" t="n">
        <v>3</v>
      </c>
      <c r="B205" s="97" t="s">
        <v>237</v>
      </c>
      <c r="C205" s="94" t="n">
        <f aca="false">IF(AND(Übungen!$L$11&lt;&gt;"",'Reha-Modus'!$B$4&lt;&gt;"",'Reha-Modus'!$B$4&lt;Übungen!$L$11),"",IF(IFERROR(INDEX(Rekorde!$O$4:$O$17,MATCH(Übungen!$A$11,Rekorde!$A$4:$A$17,0)),"")="","",ROUND(IFERROR(INDEX(Rekorde!$O$4:$O$17,MATCH(Übungen!$A$11,Rekorde!$A$4:$A$17,0)),"")*1*2,0)/2))</f>
        <v>57.5</v>
      </c>
      <c r="D205" s="98" t="n">
        <f aca="false">IF(AND(Übungen!$L$11&lt;&gt;"",'Reha-Modus'!$B$4&lt;&gt;"",'Reha-Modus'!$B$4&lt;Übungen!$L$11),"",IF(IFERROR(INDEX(Rekorde!$P$4:$P$17,MATCH(Übungen!$A$11,Rekorde!$A$4:$A$17,0)),"")="","",IFERROR(INDEX(Rekorde!$P$4:$P$17,MATCH(Übungen!$A$11,Rekorde!$A$4:$A$17,0)),"")))</f>
        <v>5</v>
      </c>
      <c r="E205" s="96"/>
      <c r="F205" s="96"/>
      <c r="G205" s="96"/>
      <c r="H205" s="96"/>
      <c r="I205" s="96"/>
    </row>
    <row r="206" customFormat="false" ht="18" hidden="false" customHeight="true" outlineLevel="0" collapsed="false">
      <c r="A206" s="93" t="n">
        <v>4</v>
      </c>
      <c r="B206" s="97" t="s">
        <v>237</v>
      </c>
      <c r="C206" s="94" t="n">
        <f aca="false">IF(AND(Übungen!$L$11&lt;&gt;"",'Reha-Modus'!$B$4&lt;&gt;"",'Reha-Modus'!$B$4&lt;Übungen!$L$11),"",IF(IFERROR(INDEX(Rekorde!$O$4:$O$17,MATCH(Übungen!$A$11,Rekorde!$A$4:$A$17,0)),"")="","",ROUND(IFERROR(INDEX(Rekorde!$O$4:$O$17,MATCH(Übungen!$A$11,Rekorde!$A$4:$A$17,0)),"")*1*2,0)/2))</f>
        <v>57.5</v>
      </c>
      <c r="D206" s="98" t="n">
        <f aca="false">IF(AND(Übungen!$L$11&lt;&gt;"",'Reha-Modus'!$B$4&lt;&gt;"",'Reha-Modus'!$B$4&lt;Übungen!$L$11),"",IF(IFERROR(INDEX(Rekorde!$P$4:$P$17,MATCH(Übungen!$A$11,Rekorde!$A$4:$A$17,0)),"")="","",IFERROR(INDEX(Rekorde!$P$4:$P$17,MATCH(Übungen!$A$11,Rekorde!$A$4:$A$17,0)),"")))</f>
        <v>5</v>
      </c>
      <c r="E206" s="96"/>
      <c r="F206" s="96"/>
      <c r="G206" s="96"/>
      <c r="H206" s="96"/>
      <c r="I206" s="96"/>
    </row>
    <row r="207" customFormat="false" ht="18" hidden="false" customHeight="true" outlineLevel="0" collapsed="false">
      <c r="A207" s="93" t="n">
        <v>5</v>
      </c>
      <c r="B207" s="41" t="s">
        <v>238</v>
      </c>
      <c r="C207" s="95"/>
      <c r="D207" s="95"/>
      <c r="E207" s="96"/>
      <c r="F207" s="96"/>
      <c r="G207" s="96"/>
      <c r="H207" s="96"/>
      <c r="I207" s="96"/>
    </row>
    <row r="209" customFormat="false" ht="18.75" hidden="false" customHeight="true" outlineLevel="0" collapsed="false">
      <c r="A209" s="89" t="str">
        <f aca="false">Übungen!$A$12</f>
        <v>Seitliche Kickbacks</v>
      </c>
      <c r="B209" s="89"/>
      <c r="C209" s="89"/>
      <c r="D209" s="89"/>
      <c r="E209" s="89"/>
      <c r="F209" s="89"/>
      <c r="G209" s="89"/>
      <c r="H209" s="89"/>
      <c r="I209" s="89"/>
    </row>
    <row r="210" customFormat="false" ht="13.5" hidden="false" customHeight="true" outlineLevel="0" collapsed="false">
      <c r="A21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210" s="90"/>
      <c r="C210" s="90"/>
      <c r="D210" s="90"/>
      <c r="E210" s="90"/>
      <c r="F210" s="90"/>
      <c r="G210" s="90"/>
      <c r="H210" s="90"/>
      <c r="I210" s="90"/>
    </row>
    <row r="211" customFormat="false" ht="13.5" hidden="false" customHeight="true" outlineLevel="0" collapsed="false">
      <c r="A21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211" s="91"/>
      <c r="C211" s="91"/>
      <c r="D211" s="91"/>
      <c r="E211" s="91"/>
      <c r="F211" s="91"/>
      <c r="G211" s="91"/>
      <c r="H211" s="91"/>
      <c r="I211" s="91"/>
    </row>
    <row r="212" customFormat="false" ht="18" hidden="false" customHeight="true" outlineLevel="0" collapsed="false">
      <c r="A212" s="92" t="s">
        <v>313</v>
      </c>
      <c r="B212" s="92" t="s">
        <v>314</v>
      </c>
      <c r="C212" s="92" t="s">
        <v>315</v>
      </c>
      <c r="D212" s="92" t="s">
        <v>316</v>
      </c>
      <c r="E212" s="92" t="s">
        <v>317</v>
      </c>
      <c r="F212" s="92" t="s">
        <v>231</v>
      </c>
      <c r="G212" s="92" t="s">
        <v>46</v>
      </c>
      <c r="H212" s="92" t="s">
        <v>318</v>
      </c>
      <c r="I212" s="92" t="s">
        <v>223</v>
      </c>
    </row>
    <row r="213" customFormat="false" ht="18" hidden="false" customHeight="true" outlineLevel="0" collapsed="false">
      <c r="A213" s="93" t="n">
        <v>1</v>
      </c>
      <c r="B213" s="41" t="s">
        <v>236</v>
      </c>
      <c r="C213" s="94" t="str">
        <f aca="false">IF(AND(Übungen!$L$12&lt;&gt;"",'Reha-Modus'!$B$4&lt;&gt;"",'Reha-Modus'!$B$4&lt;Übungen!$L$12),"",IF(IFERROR(INDEX(Rekorde!$O$4:$O$17,MATCH(Übungen!$A$12,Rekorde!$A$4:$A$17,0)),"")="","",ROUND(IFERROR(INDEX(Rekorde!$O$4:$O$17,MATCH(Übungen!$A$12,Rekorde!$A$4:$A$17,0)),"")*0.45*2,0)/2))</f>
        <v/>
      </c>
      <c r="D213" s="95"/>
      <c r="E213" s="96"/>
      <c r="F213" s="96"/>
      <c r="G213" s="96"/>
      <c r="H213" s="96"/>
      <c r="I213" s="96"/>
    </row>
    <row r="214" customFormat="false" ht="18" hidden="false" customHeight="true" outlineLevel="0" collapsed="false">
      <c r="A214" s="93" t="n">
        <v>2</v>
      </c>
      <c r="B214" s="41" t="s">
        <v>236</v>
      </c>
      <c r="C214" s="94" t="str">
        <f aca="false">IF(AND(Übungen!$L$12&lt;&gt;"",'Reha-Modus'!$B$4&lt;&gt;"",'Reha-Modus'!$B$4&lt;Übungen!$L$12),"",IF(IFERROR(INDEX(Rekorde!$O$4:$O$17,MATCH(Übungen!$A$12,Rekorde!$A$4:$A$17,0)),"")="","",ROUND(IFERROR(INDEX(Rekorde!$O$4:$O$17,MATCH(Übungen!$A$12,Rekorde!$A$4:$A$17,0)),"")*0.7*2,0)/2))</f>
        <v/>
      </c>
      <c r="D214" s="95"/>
      <c r="E214" s="96"/>
      <c r="F214" s="96"/>
      <c r="G214" s="96"/>
      <c r="H214" s="96"/>
      <c r="I214" s="96"/>
    </row>
    <row r="215" customFormat="false" ht="18" hidden="false" customHeight="true" outlineLevel="0" collapsed="false">
      <c r="A215" s="93" t="n">
        <v>3</v>
      </c>
      <c r="B215" s="97" t="s">
        <v>237</v>
      </c>
      <c r="C215" s="94" t="str">
        <f aca="false">IF(AND(Übungen!$L$12&lt;&gt;"",'Reha-Modus'!$B$4&lt;&gt;"",'Reha-Modus'!$B$4&lt;Übungen!$L$12),"",IF(IFERROR(INDEX(Rekorde!$O$4:$O$17,MATCH(Übungen!$A$12,Rekorde!$A$4:$A$17,0)),"")="","",ROUND(IFERROR(INDEX(Rekorde!$O$4:$O$17,MATCH(Übungen!$A$12,Rekorde!$A$4:$A$17,0)),"")*1*2,0)/2))</f>
        <v/>
      </c>
      <c r="D215" s="98" t="str">
        <f aca="false">IF(AND(Übungen!$L$12&lt;&gt;"",'Reha-Modus'!$B$4&lt;&gt;"",'Reha-Modus'!$B$4&lt;Übungen!$L$12),"",IF(IFERROR(INDEX(Rekorde!$P$4:$P$17,MATCH(Übungen!$A$12,Rekorde!$A$4:$A$17,0)),"")="","",IFERROR(INDEX(Rekorde!$P$4:$P$17,MATCH(Übungen!$A$12,Rekorde!$A$4:$A$17,0)),"")))</f>
        <v/>
      </c>
      <c r="E215" s="96"/>
      <c r="F215" s="96"/>
      <c r="G215" s="96"/>
      <c r="H215" s="96"/>
      <c r="I215" s="96"/>
    </row>
    <row r="216" customFormat="false" ht="18" hidden="false" customHeight="true" outlineLevel="0" collapsed="false">
      <c r="A216" s="93" t="n">
        <v>4</v>
      </c>
      <c r="B216" s="97" t="s">
        <v>237</v>
      </c>
      <c r="C216" s="94" t="str">
        <f aca="false">IF(AND(Übungen!$L$12&lt;&gt;"",'Reha-Modus'!$B$4&lt;&gt;"",'Reha-Modus'!$B$4&lt;Übungen!$L$12),"",IF(IFERROR(INDEX(Rekorde!$O$4:$O$17,MATCH(Übungen!$A$12,Rekorde!$A$4:$A$17,0)),"")="","",ROUND(IFERROR(INDEX(Rekorde!$O$4:$O$17,MATCH(Übungen!$A$12,Rekorde!$A$4:$A$17,0)),"")*1*2,0)/2))</f>
        <v/>
      </c>
      <c r="D216" s="98" t="str">
        <f aca="false">IF(AND(Übungen!$L$12&lt;&gt;"",'Reha-Modus'!$B$4&lt;&gt;"",'Reha-Modus'!$B$4&lt;Übungen!$L$12),"",IF(IFERROR(INDEX(Rekorde!$P$4:$P$17,MATCH(Übungen!$A$12,Rekorde!$A$4:$A$17,0)),"")="","",IFERROR(INDEX(Rekorde!$P$4:$P$17,MATCH(Übungen!$A$12,Rekorde!$A$4:$A$17,0)),"")))</f>
        <v/>
      </c>
      <c r="E216" s="96"/>
      <c r="F216" s="96"/>
      <c r="G216" s="96"/>
      <c r="H216" s="96"/>
      <c r="I216" s="96"/>
    </row>
    <row r="217" customFormat="false" ht="18" hidden="false" customHeight="true" outlineLevel="0" collapsed="false">
      <c r="A217" s="93" t="n">
        <v>5</v>
      </c>
      <c r="B217" s="97" t="s">
        <v>237</v>
      </c>
      <c r="C217" s="94" t="str">
        <f aca="false">IF(AND(Übungen!$L$12&lt;&gt;"",'Reha-Modus'!$B$4&lt;&gt;"",'Reha-Modus'!$B$4&lt;Übungen!$L$12),"",IF(IFERROR(INDEX(Rekorde!$O$4:$O$17,MATCH(Übungen!$A$12,Rekorde!$A$4:$A$17,0)),"")="","",ROUND(IFERROR(INDEX(Rekorde!$O$4:$O$17,MATCH(Übungen!$A$12,Rekorde!$A$4:$A$17,0)),"")*1*2,0)/2))</f>
        <v/>
      </c>
      <c r="D217" s="98" t="str">
        <f aca="false">IF(AND(Übungen!$L$12&lt;&gt;"",'Reha-Modus'!$B$4&lt;&gt;"",'Reha-Modus'!$B$4&lt;Übungen!$L$12),"",IF(IFERROR(INDEX(Rekorde!$P$4:$P$17,MATCH(Übungen!$A$12,Rekorde!$A$4:$A$17,0)),"")="","",IFERROR(INDEX(Rekorde!$P$4:$P$17,MATCH(Übungen!$A$12,Rekorde!$A$4:$A$17,0)),"")))</f>
        <v/>
      </c>
      <c r="E217" s="96"/>
      <c r="F217" s="96"/>
      <c r="G217" s="96"/>
      <c r="H217" s="96"/>
      <c r="I217" s="96"/>
    </row>
    <row r="219" customFormat="false" ht="18.75" hidden="false" customHeight="true" outlineLevel="0" collapsed="false">
      <c r="A219" s="89" t="str">
        <f aca="false">Übungen!$A$13</f>
        <v>Waden</v>
      </c>
      <c r="B219" s="89"/>
      <c r="C219" s="89"/>
      <c r="D219" s="89"/>
      <c r="E219" s="89"/>
      <c r="F219" s="89"/>
      <c r="G219" s="89"/>
      <c r="H219" s="89"/>
      <c r="I219" s="89"/>
    </row>
    <row r="220" customFormat="false" ht="13.5" hidden="false" customHeight="true" outlineLevel="0" collapsed="false">
      <c r="A220"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220" s="90"/>
      <c r="C220" s="90"/>
      <c r="D220" s="90"/>
      <c r="E220" s="90"/>
      <c r="F220" s="90"/>
      <c r="G220" s="90"/>
      <c r="H220" s="90"/>
      <c r="I220" s="90"/>
    </row>
    <row r="221" customFormat="false" ht="13.5" hidden="false" customHeight="true" outlineLevel="0" collapsed="false">
      <c r="A221"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221" s="91"/>
      <c r="C221" s="91"/>
      <c r="D221" s="91"/>
      <c r="E221" s="91"/>
      <c r="F221" s="91"/>
      <c r="G221" s="91"/>
      <c r="H221" s="91"/>
      <c r="I221" s="91"/>
    </row>
    <row r="222" customFormat="false" ht="18" hidden="false" customHeight="true" outlineLevel="0" collapsed="false">
      <c r="A222" s="92" t="s">
        <v>313</v>
      </c>
      <c r="B222" s="92" t="s">
        <v>314</v>
      </c>
      <c r="C222" s="92" t="s">
        <v>315</v>
      </c>
      <c r="D222" s="92" t="s">
        <v>316</v>
      </c>
      <c r="E222" s="92" t="s">
        <v>317</v>
      </c>
      <c r="F222" s="92" t="s">
        <v>231</v>
      </c>
      <c r="G222" s="92" t="s">
        <v>46</v>
      </c>
      <c r="H222" s="92" t="s">
        <v>318</v>
      </c>
      <c r="I222" s="92" t="s">
        <v>223</v>
      </c>
    </row>
    <row r="223" customFormat="false" ht="18" hidden="false" customHeight="true" outlineLevel="0" collapsed="false">
      <c r="A223" s="93" t="n">
        <v>1</v>
      </c>
      <c r="B223" s="41" t="s">
        <v>236</v>
      </c>
      <c r="C223" s="94" t="str">
        <f aca="false">IF(AND(Übungen!$L$13&lt;&gt;"",'Reha-Modus'!$B$4&lt;&gt;"",'Reha-Modus'!$B$4&lt;Übungen!$L$13),"",IF(IFERROR(INDEX(Rekorde!$O$4:$O$17,MATCH(Übungen!$A$13,Rekorde!$A$4:$A$17,0)),"")="","",ROUND(IFERROR(INDEX(Rekorde!$O$4:$O$17,MATCH(Übungen!$A$13,Rekorde!$A$4:$A$17,0)),"")*0.45*2,0)/2))</f>
        <v/>
      </c>
      <c r="D223" s="95"/>
      <c r="E223" s="96"/>
      <c r="F223" s="96"/>
      <c r="G223" s="96"/>
      <c r="H223" s="96"/>
      <c r="I223" s="96"/>
    </row>
    <row r="224" customFormat="false" ht="18" hidden="false" customHeight="true" outlineLevel="0" collapsed="false">
      <c r="A224" s="93" t="n">
        <v>2</v>
      </c>
      <c r="B224" s="41" t="s">
        <v>236</v>
      </c>
      <c r="C224" s="94" t="str">
        <f aca="false">IF(AND(Übungen!$L$13&lt;&gt;"",'Reha-Modus'!$B$4&lt;&gt;"",'Reha-Modus'!$B$4&lt;Übungen!$L$13),"",IF(IFERROR(INDEX(Rekorde!$O$4:$O$17,MATCH(Übungen!$A$13,Rekorde!$A$4:$A$17,0)),"")="","",ROUND(IFERROR(INDEX(Rekorde!$O$4:$O$17,MATCH(Übungen!$A$13,Rekorde!$A$4:$A$17,0)),"")*0.7*2,0)/2))</f>
        <v/>
      </c>
      <c r="D224" s="95"/>
      <c r="E224" s="96"/>
      <c r="F224" s="96"/>
      <c r="G224" s="96"/>
      <c r="H224" s="96"/>
      <c r="I224" s="96"/>
    </row>
    <row r="225" customFormat="false" ht="18" hidden="false" customHeight="true" outlineLevel="0" collapsed="false">
      <c r="A225" s="93" t="n">
        <v>3</v>
      </c>
      <c r="B225" s="97" t="s">
        <v>237</v>
      </c>
      <c r="C225" s="94" t="str">
        <f aca="false">IF(AND(Übungen!$L$13&lt;&gt;"",'Reha-Modus'!$B$4&lt;&gt;"",'Reha-Modus'!$B$4&lt;Übungen!$L$13),"",IF(IFERROR(INDEX(Rekorde!$O$4:$O$17,MATCH(Übungen!$A$13,Rekorde!$A$4:$A$17,0)),"")="","",ROUND(IFERROR(INDEX(Rekorde!$O$4:$O$17,MATCH(Übungen!$A$13,Rekorde!$A$4:$A$17,0)),"")*1*2,0)/2))</f>
        <v/>
      </c>
      <c r="D225" s="98" t="str">
        <f aca="false">IF(AND(Übungen!$L$13&lt;&gt;"",'Reha-Modus'!$B$4&lt;&gt;"",'Reha-Modus'!$B$4&lt;Übungen!$L$13),"",IF(IFERROR(INDEX(Rekorde!$P$4:$P$17,MATCH(Übungen!$A$13,Rekorde!$A$4:$A$17,0)),"")="","",IFERROR(INDEX(Rekorde!$P$4:$P$17,MATCH(Übungen!$A$13,Rekorde!$A$4:$A$17,0)),"")))</f>
        <v/>
      </c>
      <c r="E225" s="96"/>
      <c r="F225" s="96"/>
      <c r="G225" s="96"/>
      <c r="H225" s="96"/>
      <c r="I225" s="96"/>
    </row>
    <row r="226" customFormat="false" ht="18" hidden="false" customHeight="true" outlineLevel="0" collapsed="false">
      <c r="A226" s="93" t="n">
        <v>4</v>
      </c>
      <c r="B226" s="97" t="s">
        <v>237</v>
      </c>
      <c r="C226" s="94" t="str">
        <f aca="false">IF(AND(Übungen!$L$13&lt;&gt;"",'Reha-Modus'!$B$4&lt;&gt;"",'Reha-Modus'!$B$4&lt;Übungen!$L$13),"",IF(IFERROR(INDEX(Rekorde!$O$4:$O$17,MATCH(Übungen!$A$13,Rekorde!$A$4:$A$17,0)),"")="","",ROUND(IFERROR(INDEX(Rekorde!$O$4:$O$17,MATCH(Übungen!$A$13,Rekorde!$A$4:$A$17,0)),"")*1*2,0)/2))</f>
        <v/>
      </c>
      <c r="D226" s="98" t="str">
        <f aca="false">IF(AND(Übungen!$L$13&lt;&gt;"",'Reha-Modus'!$B$4&lt;&gt;"",'Reha-Modus'!$B$4&lt;Übungen!$L$13),"",IF(IFERROR(INDEX(Rekorde!$P$4:$P$17,MATCH(Übungen!$A$13,Rekorde!$A$4:$A$17,0)),"")="","",IFERROR(INDEX(Rekorde!$P$4:$P$17,MATCH(Übungen!$A$13,Rekorde!$A$4:$A$17,0)),"")))</f>
        <v/>
      </c>
      <c r="E226" s="96"/>
      <c r="F226" s="96"/>
      <c r="G226" s="96"/>
      <c r="H226" s="96"/>
      <c r="I226" s="96"/>
    </row>
    <row r="227" customFormat="false" ht="18" hidden="false" customHeight="true" outlineLevel="0" collapsed="false">
      <c r="A227" s="93" t="n">
        <v>5</v>
      </c>
      <c r="B227" s="97" t="s">
        <v>237</v>
      </c>
      <c r="C227" s="94" t="str">
        <f aca="false">IF(AND(Übungen!$L$13&lt;&gt;"",'Reha-Modus'!$B$4&lt;&gt;"",'Reha-Modus'!$B$4&lt;Übungen!$L$13),"",IF(IFERROR(INDEX(Rekorde!$O$4:$O$17,MATCH(Übungen!$A$13,Rekorde!$A$4:$A$17,0)),"")="","",ROUND(IFERROR(INDEX(Rekorde!$O$4:$O$17,MATCH(Übungen!$A$13,Rekorde!$A$4:$A$17,0)),"")*1*2,0)/2))</f>
        <v/>
      </c>
      <c r="D227" s="98" t="str">
        <f aca="false">IF(AND(Übungen!$L$13&lt;&gt;"",'Reha-Modus'!$B$4&lt;&gt;"",'Reha-Modus'!$B$4&lt;Übungen!$L$13),"",IF(IFERROR(INDEX(Rekorde!$P$4:$P$17,MATCH(Übungen!$A$13,Rekorde!$A$4:$A$17,0)),"")="","",IFERROR(INDEX(Rekorde!$P$4:$P$17,MATCH(Übungen!$A$13,Rekorde!$A$4:$A$17,0)),"")))</f>
        <v/>
      </c>
      <c r="E227" s="96"/>
      <c r="F227" s="96"/>
      <c r="G227" s="96"/>
      <c r="H227" s="96"/>
      <c r="I227" s="96"/>
    </row>
    <row r="229" customFormat="false" ht="15.75" hidden="false" customHeight="true" outlineLevel="0" collapsed="false">
      <c r="A229" s="3" t="s">
        <v>319</v>
      </c>
      <c r="B229" s="3"/>
      <c r="C229" s="3"/>
      <c r="D229" s="3"/>
      <c r="E229" s="3"/>
      <c r="F229" s="3"/>
      <c r="G229" s="3"/>
      <c r="H229" s="3"/>
      <c r="I229" s="3"/>
    </row>
    <row r="230" customFormat="false" ht="18" hidden="false" customHeight="true" outlineLevel="0" collapsed="false">
      <c r="A230" s="99"/>
      <c r="B230" s="99"/>
      <c r="C230" s="99"/>
      <c r="D230" s="99"/>
      <c r="E230" s="99"/>
      <c r="F230" s="99"/>
      <c r="G230" s="99"/>
      <c r="H230" s="99"/>
      <c r="I230" s="99"/>
    </row>
    <row r="231" customFormat="false" ht="18" hidden="false" customHeight="true" outlineLevel="0" collapsed="false">
      <c r="A231" s="99"/>
      <c r="B231" s="99"/>
      <c r="C231" s="99"/>
      <c r="D231" s="99"/>
      <c r="E231" s="99"/>
      <c r="F231" s="99"/>
      <c r="G231" s="99"/>
      <c r="H231" s="99"/>
      <c r="I231" s="99"/>
    </row>
    <row r="233" customFormat="false" ht="27.75" hidden="false" customHeight="true" outlineLevel="0" collapsed="false">
      <c r="A233" s="1" t="s">
        <v>323</v>
      </c>
      <c r="B233" s="1"/>
      <c r="C233" s="1"/>
      <c r="D233" s="1"/>
      <c r="E233" s="1"/>
      <c r="F233" s="1"/>
      <c r="G233" s="1"/>
      <c r="H233" s="1"/>
      <c r="I233" s="1"/>
    </row>
    <row r="234" customFormat="false" ht="12" hidden="false" customHeight="true" outlineLevel="0" collapsed="false">
      <c r="A234" s="86" t="s">
        <v>67</v>
      </c>
      <c r="B234" s="86"/>
      <c r="C234" s="87" t="s">
        <v>309</v>
      </c>
      <c r="D234" s="87" t="s">
        <v>310</v>
      </c>
      <c r="E234" s="86" t="s">
        <v>311</v>
      </c>
      <c r="F234" s="86"/>
      <c r="G234" s="86" t="s">
        <v>312</v>
      </c>
      <c r="H234" s="86"/>
    </row>
    <row r="235" customFormat="false" ht="18" hidden="false" customHeight="true" outlineLevel="0" collapsed="false">
      <c r="A235" s="88"/>
      <c r="B235" s="88"/>
      <c r="C235" s="88"/>
      <c r="D235" s="88"/>
      <c r="E235" s="88"/>
      <c r="F235" s="88"/>
      <c r="G235" s="88"/>
      <c r="H235" s="88"/>
    </row>
    <row r="237" customFormat="false" ht="18.75" hidden="false" customHeight="true" outlineLevel="0" collapsed="false">
      <c r="A237" s="89" t="str">
        <f aca="false">Übungen!$A$4</f>
        <v>Beinpresse</v>
      </c>
      <c r="B237" s="89"/>
      <c r="C237" s="89"/>
      <c r="D237" s="89"/>
      <c r="E237" s="89"/>
      <c r="F237" s="89"/>
      <c r="G237" s="89"/>
      <c r="H237" s="89"/>
      <c r="I237" s="89"/>
    </row>
    <row r="238" customFormat="false" ht="13.5" hidden="false" customHeight="true" outlineLevel="0" collapsed="false">
      <c r="A23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38" s="90"/>
      <c r="C238" s="90"/>
      <c r="D238" s="90"/>
      <c r="E238" s="90"/>
      <c r="F238" s="90"/>
      <c r="G238" s="90"/>
      <c r="H238" s="90"/>
      <c r="I238" s="90"/>
    </row>
    <row r="239" customFormat="false" ht="13.5" hidden="false" customHeight="true" outlineLevel="0" collapsed="false">
      <c r="A23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239" s="91"/>
      <c r="C239" s="91"/>
      <c r="D239" s="91"/>
      <c r="E239" s="91"/>
      <c r="F239" s="91"/>
      <c r="G239" s="91"/>
      <c r="H239" s="91"/>
      <c r="I239" s="91"/>
    </row>
    <row r="240" customFormat="false" ht="18" hidden="false" customHeight="true" outlineLevel="0" collapsed="false">
      <c r="A240" s="92" t="s">
        <v>313</v>
      </c>
      <c r="B240" s="92" t="s">
        <v>314</v>
      </c>
      <c r="C240" s="92" t="s">
        <v>315</v>
      </c>
      <c r="D240" s="92" t="s">
        <v>316</v>
      </c>
      <c r="E240" s="92" t="s">
        <v>317</v>
      </c>
      <c r="F240" s="92" t="s">
        <v>231</v>
      </c>
      <c r="G240" s="92" t="s">
        <v>46</v>
      </c>
      <c r="H240" s="92" t="s">
        <v>318</v>
      </c>
      <c r="I240" s="92" t="s">
        <v>223</v>
      </c>
    </row>
    <row r="241" customFormat="false" ht="18" hidden="false" customHeight="true" outlineLevel="0" collapsed="false">
      <c r="A241" s="93" t="n">
        <v>1</v>
      </c>
      <c r="B241" s="41" t="s">
        <v>236</v>
      </c>
      <c r="C241" s="94" t="str">
        <f aca="false">IF(AND(Übungen!$L$4&lt;&gt;"",'Reha-Modus'!$B$4&lt;&gt;"",'Reha-Modus'!$B$4&lt;Übungen!$L$4),"",IF(IFERROR(INDEX(Rekorde!$O$4:$O$17,MATCH(Übungen!$A$4,Rekorde!$A$4:$A$17,0)),"")="","",ROUND(IFERROR(INDEX(Rekorde!$O$4:$O$17,MATCH(Übungen!$A$4,Rekorde!$A$4:$A$17,0)),"")*0.45*2,0)/2))</f>
        <v/>
      </c>
      <c r="D241" s="95"/>
      <c r="E241" s="96"/>
      <c r="F241" s="96"/>
      <c r="G241" s="96"/>
      <c r="H241" s="96"/>
      <c r="I241" s="96"/>
    </row>
    <row r="242" customFormat="false" ht="18" hidden="false" customHeight="true" outlineLevel="0" collapsed="false">
      <c r="A242" s="93" t="n">
        <v>2</v>
      </c>
      <c r="B242" s="41" t="s">
        <v>236</v>
      </c>
      <c r="C242" s="94" t="str">
        <f aca="false">IF(AND(Übungen!$L$4&lt;&gt;"",'Reha-Modus'!$B$4&lt;&gt;"",'Reha-Modus'!$B$4&lt;Übungen!$L$4),"",IF(IFERROR(INDEX(Rekorde!$O$4:$O$17,MATCH(Übungen!$A$4,Rekorde!$A$4:$A$17,0)),"")="","",ROUND(IFERROR(INDEX(Rekorde!$O$4:$O$17,MATCH(Übungen!$A$4,Rekorde!$A$4:$A$17,0)),"")*0.7*2,0)/2))</f>
        <v/>
      </c>
      <c r="D242" s="95"/>
      <c r="E242" s="96"/>
      <c r="F242" s="96"/>
      <c r="G242" s="96"/>
      <c r="H242" s="96"/>
      <c r="I242" s="96"/>
    </row>
    <row r="243" customFormat="false" ht="18" hidden="false" customHeight="true" outlineLevel="0" collapsed="false">
      <c r="A243" s="93" t="n">
        <v>3</v>
      </c>
      <c r="B243" s="97" t="s">
        <v>237</v>
      </c>
      <c r="C243" s="94" t="str">
        <f aca="false">IF(AND(Übungen!$L$4&lt;&gt;"",'Reha-Modus'!$B$4&lt;&gt;"",'Reha-Modus'!$B$4&lt;Übungen!$L$4),"",IF(IFERROR(INDEX(Rekorde!$O$4:$O$17,MATCH(Übungen!$A$4,Rekorde!$A$4:$A$17,0)),"")="","",ROUND(IFERROR(INDEX(Rekorde!$O$4:$O$17,MATCH(Übungen!$A$4,Rekorde!$A$4:$A$17,0)),"")*1*2,0)/2))</f>
        <v/>
      </c>
      <c r="D243" s="98" t="str">
        <f aca="false">IF(AND(Übungen!$L$4&lt;&gt;"",'Reha-Modus'!$B$4&lt;&gt;"",'Reha-Modus'!$B$4&lt;Übungen!$L$4),"",IF(IFERROR(INDEX(Rekorde!$P$4:$P$17,MATCH(Übungen!$A$4,Rekorde!$A$4:$A$17,0)),"")="","",IFERROR(INDEX(Rekorde!$P$4:$P$17,MATCH(Übungen!$A$4,Rekorde!$A$4:$A$17,0)),"")))</f>
        <v/>
      </c>
      <c r="E243" s="96"/>
      <c r="F243" s="96"/>
      <c r="G243" s="96"/>
      <c r="H243" s="96"/>
      <c r="I243" s="96"/>
    </row>
    <row r="244" customFormat="false" ht="18" hidden="false" customHeight="true" outlineLevel="0" collapsed="false">
      <c r="A244" s="93" t="n">
        <v>4</v>
      </c>
      <c r="B244" s="97" t="s">
        <v>237</v>
      </c>
      <c r="C244" s="94" t="str">
        <f aca="false">IF(AND(Übungen!$L$4&lt;&gt;"",'Reha-Modus'!$B$4&lt;&gt;"",'Reha-Modus'!$B$4&lt;Übungen!$L$4),"",IF(IFERROR(INDEX(Rekorde!$O$4:$O$17,MATCH(Übungen!$A$4,Rekorde!$A$4:$A$17,0)),"")="","",ROUND(IFERROR(INDEX(Rekorde!$O$4:$O$17,MATCH(Übungen!$A$4,Rekorde!$A$4:$A$17,0)),"")*1*2,0)/2))</f>
        <v/>
      </c>
      <c r="D244" s="98" t="str">
        <f aca="false">IF(AND(Übungen!$L$4&lt;&gt;"",'Reha-Modus'!$B$4&lt;&gt;"",'Reha-Modus'!$B$4&lt;Übungen!$L$4),"",IF(IFERROR(INDEX(Rekorde!$P$4:$P$17,MATCH(Übungen!$A$4,Rekorde!$A$4:$A$17,0)),"")="","",IFERROR(INDEX(Rekorde!$P$4:$P$17,MATCH(Übungen!$A$4,Rekorde!$A$4:$A$17,0)),"")))</f>
        <v/>
      </c>
      <c r="E244" s="96"/>
      <c r="F244" s="96"/>
      <c r="G244" s="96"/>
      <c r="H244" s="96"/>
      <c r="I244" s="96"/>
    </row>
    <row r="245" customFormat="false" ht="18" hidden="false" customHeight="true" outlineLevel="0" collapsed="false">
      <c r="A245" s="93" t="n">
        <v>5</v>
      </c>
      <c r="B245" s="97" t="s">
        <v>237</v>
      </c>
      <c r="C245" s="94" t="str">
        <f aca="false">IF(AND(Übungen!$L$4&lt;&gt;"",'Reha-Modus'!$B$4&lt;&gt;"",'Reha-Modus'!$B$4&lt;Übungen!$L$4),"",IF(IFERROR(INDEX(Rekorde!$O$4:$O$17,MATCH(Übungen!$A$4,Rekorde!$A$4:$A$17,0)),"")="","",ROUND(IFERROR(INDEX(Rekorde!$O$4:$O$17,MATCH(Übungen!$A$4,Rekorde!$A$4:$A$17,0)),"")*1*2,0)/2))</f>
        <v/>
      </c>
      <c r="D245" s="98" t="str">
        <f aca="false">IF(AND(Übungen!$L$4&lt;&gt;"",'Reha-Modus'!$B$4&lt;&gt;"",'Reha-Modus'!$B$4&lt;Übungen!$L$4),"",IF(IFERROR(INDEX(Rekorde!$P$4:$P$17,MATCH(Übungen!$A$4,Rekorde!$A$4:$A$17,0)),"")="","",IFERROR(INDEX(Rekorde!$P$4:$P$17,MATCH(Übungen!$A$4,Rekorde!$A$4:$A$17,0)),"")))</f>
        <v/>
      </c>
      <c r="E245" s="96"/>
      <c r="F245" s="96"/>
      <c r="G245" s="96"/>
      <c r="H245" s="96"/>
      <c r="I245" s="96"/>
    </row>
    <row r="247" customFormat="false" ht="18.75" hidden="false" customHeight="true" outlineLevel="0" collapsed="false">
      <c r="A247" s="89" t="str">
        <f aca="false">Übungen!$A$5</f>
        <v>Split Squat</v>
      </c>
      <c r="B247" s="89"/>
      <c r="C247" s="89"/>
      <c r="D247" s="89"/>
      <c r="E247" s="89"/>
      <c r="F247" s="89"/>
      <c r="G247" s="89"/>
      <c r="H247" s="89"/>
      <c r="I247" s="89"/>
    </row>
    <row r="248" customFormat="false" ht="13.5" hidden="false" customHeight="true" outlineLevel="0" collapsed="false">
      <c r="A24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48" s="90"/>
      <c r="C248" s="90"/>
      <c r="D248" s="90"/>
      <c r="E248" s="90"/>
      <c r="F248" s="90"/>
      <c r="G248" s="90"/>
      <c r="H248" s="90"/>
      <c r="I248" s="90"/>
    </row>
    <row r="249" customFormat="false" ht="13.5" hidden="false" customHeight="true" outlineLevel="0" collapsed="false">
      <c r="A24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249" s="91"/>
      <c r="C249" s="91"/>
      <c r="D249" s="91"/>
      <c r="E249" s="91"/>
      <c r="F249" s="91"/>
      <c r="G249" s="91"/>
      <c r="H249" s="91"/>
      <c r="I249" s="91"/>
    </row>
    <row r="250" customFormat="false" ht="18" hidden="false" customHeight="true" outlineLevel="0" collapsed="false">
      <c r="A250" s="92" t="s">
        <v>313</v>
      </c>
      <c r="B250" s="92" t="s">
        <v>314</v>
      </c>
      <c r="C250" s="92" t="s">
        <v>315</v>
      </c>
      <c r="D250" s="92" t="s">
        <v>316</v>
      </c>
      <c r="E250" s="92" t="s">
        <v>317</v>
      </c>
      <c r="F250" s="92" t="s">
        <v>231</v>
      </c>
      <c r="G250" s="92" t="s">
        <v>46</v>
      </c>
      <c r="H250" s="92" t="s">
        <v>318</v>
      </c>
      <c r="I250" s="92" t="s">
        <v>223</v>
      </c>
    </row>
    <row r="251" customFormat="false" ht="18" hidden="false" customHeight="true" outlineLevel="0" collapsed="false">
      <c r="A251" s="93" t="n">
        <v>1</v>
      </c>
      <c r="B251" s="41" t="s">
        <v>236</v>
      </c>
      <c r="C251" s="94" t="str">
        <f aca="false">IF(AND(Übungen!$L$5&lt;&gt;"",'Reha-Modus'!$B$4&lt;&gt;"",'Reha-Modus'!$B$4&lt;Übungen!$L$5),"",IF(IFERROR(INDEX(Rekorde!$O$4:$O$17,MATCH(Übungen!$A$5,Rekorde!$A$4:$A$17,0)),"")="","",ROUND(IFERROR(INDEX(Rekorde!$O$4:$O$17,MATCH(Übungen!$A$5,Rekorde!$A$4:$A$17,0)),"")*0.45*2,0)/2))</f>
        <v/>
      </c>
      <c r="D251" s="95"/>
      <c r="E251" s="96"/>
      <c r="F251" s="96"/>
      <c r="G251" s="96"/>
      <c r="H251" s="96"/>
      <c r="I251" s="96"/>
    </row>
    <row r="252" customFormat="false" ht="18" hidden="false" customHeight="true" outlineLevel="0" collapsed="false">
      <c r="A252" s="93" t="n">
        <v>2</v>
      </c>
      <c r="B252" s="41" t="s">
        <v>236</v>
      </c>
      <c r="C252" s="94" t="str">
        <f aca="false">IF(AND(Übungen!$L$5&lt;&gt;"",'Reha-Modus'!$B$4&lt;&gt;"",'Reha-Modus'!$B$4&lt;Übungen!$L$5),"",IF(IFERROR(INDEX(Rekorde!$O$4:$O$17,MATCH(Übungen!$A$5,Rekorde!$A$4:$A$17,0)),"")="","",ROUND(IFERROR(INDEX(Rekorde!$O$4:$O$17,MATCH(Übungen!$A$5,Rekorde!$A$4:$A$17,0)),"")*0.7*2,0)/2))</f>
        <v/>
      </c>
      <c r="D252" s="95"/>
      <c r="E252" s="96"/>
      <c r="F252" s="96"/>
      <c r="G252" s="96"/>
      <c r="H252" s="96"/>
      <c r="I252" s="96"/>
    </row>
    <row r="253" customFormat="false" ht="18" hidden="false" customHeight="true" outlineLevel="0" collapsed="false">
      <c r="A253" s="93" t="n">
        <v>3</v>
      </c>
      <c r="B253" s="97" t="s">
        <v>237</v>
      </c>
      <c r="C253" s="94" t="str">
        <f aca="false">IF(AND(Übungen!$L$5&lt;&gt;"",'Reha-Modus'!$B$4&lt;&gt;"",'Reha-Modus'!$B$4&lt;Übungen!$L$5),"",IF(IFERROR(INDEX(Rekorde!$O$4:$O$17,MATCH(Übungen!$A$5,Rekorde!$A$4:$A$17,0)),"")="","",ROUND(IFERROR(INDEX(Rekorde!$O$4:$O$17,MATCH(Übungen!$A$5,Rekorde!$A$4:$A$17,0)),"")*1*2,0)/2))</f>
        <v/>
      </c>
      <c r="D253" s="98" t="str">
        <f aca="false">IF(AND(Übungen!$L$5&lt;&gt;"",'Reha-Modus'!$B$4&lt;&gt;"",'Reha-Modus'!$B$4&lt;Übungen!$L$5),"",IF(IFERROR(INDEX(Rekorde!$P$4:$P$17,MATCH(Übungen!$A$5,Rekorde!$A$4:$A$17,0)),"")="","",IFERROR(INDEX(Rekorde!$P$4:$P$17,MATCH(Übungen!$A$5,Rekorde!$A$4:$A$17,0)),"")))</f>
        <v/>
      </c>
      <c r="E253" s="96"/>
      <c r="F253" s="96"/>
      <c r="G253" s="96"/>
      <c r="H253" s="96"/>
      <c r="I253" s="96"/>
    </row>
    <row r="254" customFormat="false" ht="18" hidden="false" customHeight="true" outlineLevel="0" collapsed="false">
      <c r="A254" s="93" t="n">
        <v>4</v>
      </c>
      <c r="B254" s="97" t="s">
        <v>237</v>
      </c>
      <c r="C254" s="94" t="str">
        <f aca="false">IF(AND(Übungen!$L$5&lt;&gt;"",'Reha-Modus'!$B$4&lt;&gt;"",'Reha-Modus'!$B$4&lt;Übungen!$L$5),"",IF(IFERROR(INDEX(Rekorde!$O$4:$O$17,MATCH(Übungen!$A$5,Rekorde!$A$4:$A$17,0)),"")="","",ROUND(IFERROR(INDEX(Rekorde!$O$4:$O$17,MATCH(Übungen!$A$5,Rekorde!$A$4:$A$17,0)),"")*1*2,0)/2))</f>
        <v/>
      </c>
      <c r="D254" s="98" t="str">
        <f aca="false">IF(AND(Übungen!$L$5&lt;&gt;"",'Reha-Modus'!$B$4&lt;&gt;"",'Reha-Modus'!$B$4&lt;Übungen!$L$5),"",IF(IFERROR(INDEX(Rekorde!$P$4:$P$17,MATCH(Übungen!$A$5,Rekorde!$A$4:$A$17,0)),"")="","",IFERROR(INDEX(Rekorde!$P$4:$P$17,MATCH(Übungen!$A$5,Rekorde!$A$4:$A$17,0)),"")))</f>
        <v/>
      </c>
      <c r="E254" s="96"/>
      <c r="F254" s="96"/>
      <c r="G254" s="96"/>
      <c r="H254" s="96"/>
      <c r="I254" s="96"/>
    </row>
    <row r="255" customFormat="false" ht="18" hidden="false" customHeight="true" outlineLevel="0" collapsed="false">
      <c r="A255" s="93" t="n">
        <v>5</v>
      </c>
      <c r="B255" s="97" t="s">
        <v>237</v>
      </c>
      <c r="C255" s="94" t="str">
        <f aca="false">IF(AND(Übungen!$L$5&lt;&gt;"",'Reha-Modus'!$B$4&lt;&gt;"",'Reha-Modus'!$B$4&lt;Übungen!$L$5),"",IF(IFERROR(INDEX(Rekorde!$O$4:$O$17,MATCH(Übungen!$A$5,Rekorde!$A$4:$A$17,0)),"")="","",ROUND(IFERROR(INDEX(Rekorde!$O$4:$O$17,MATCH(Übungen!$A$5,Rekorde!$A$4:$A$17,0)),"")*1*2,0)/2))</f>
        <v/>
      </c>
      <c r="D255" s="98" t="str">
        <f aca="false">IF(AND(Übungen!$L$5&lt;&gt;"",'Reha-Modus'!$B$4&lt;&gt;"",'Reha-Modus'!$B$4&lt;Übungen!$L$5),"",IF(IFERROR(INDEX(Rekorde!$P$4:$P$17,MATCH(Übungen!$A$5,Rekorde!$A$4:$A$17,0)),"")="","",IFERROR(INDEX(Rekorde!$P$4:$P$17,MATCH(Übungen!$A$5,Rekorde!$A$4:$A$17,0)),"")))</f>
        <v/>
      </c>
      <c r="E255" s="96"/>
      <c r="F255" s="96"/>
      <c r="G255" s="96"/>
      <c r="H255" s="96"/>
      <c r="I255" s="96"/>
    </row>
    <row r="257" customFormat="false" ht="18.75" hidden="false" customHeight="true" outlineLevel="0" collapsed="false">
      <c r="A257" s="89" t="str">
        <f aca="false">Übungen!$A$6</f>
        <v>Beinstrecker</v>
      </c>
      <c r="B257" s="89"/>
      <c r="C257" s="89"/>
      <c r="D257" s="89"/>
      <c r="E257" s="89"/>
      <c r="F257" s="89"/>
      <c r="G257" s="89"/>
      <c r="H257" s="89"/>
      <c r="I257" s="89"/>
    </row>
    <row r="258" customFormat="false" ht="13.5" hidden="false" customHeight="true" outlineLevel="0" collapsed="false">
      <c r="A25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58" s="90"/>
      <c r="C258" s="90"/>
      <c r="D258" s="90"/>
      <c r="E258" s="90"/>
      <c r="F258" s="90"/>
      <c r="G258" s="90"/>
      <c r="H258" s="90"/>
      <c r="I258" s="90"/>
    </row>
    <row r="259" customFormat="false" ht="13.5" hidden="false" customHeight="true" outlineLevel="0" collapsed="false">
      <c r="A25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59" s="91"/>
      <c r="C259" s="91"/>
      <c r="D259" s="91"/>
      <c r="E259" s="91"/>
      <c r="F259" s="91"/>
      <c r="G259" s="91"/>
      <c r="H259" s="91"/>
      <c r="I259" s="91"/>
    </row>
    <row r="260" customFormat="false" ht="18" hidden="false" customHeight="true" outlineLevel="0" collapsed="false">
      <c r="A260" s="92" t="s">
        <v>313</v>
      </c>
      <c r="B260" s="92" t="s">
        <v>314</v>
      </c>
      <c r="C260" s="92" t="s">
        <v>315</v>
      </c>
      <c r="D260" s="92" t="s">
        <v>316</v>
      </c>
      <c r="E260" s="92" t="s">
        <v>317</v>
      </c>
      <c r="F260" s="92" t="s">
        <v>231</v>
      </c>
      <c r="G260" s="92" t="s">
        <v>46</v>
      </c>
      <c r="H260" s="92" t="s">
        <v>318</v>
      </c>
      <c r="I260" s="92" t="s">
        <v>223</v>
      </c>
    </row>
    <row r="261" customFormat="false" ht="18" hidden="false" customHeight="true" outlineLevel="0" collapsed="false">
      <c r="A261" s="93" t="n">
        <v>1</v>
      </c>
      <c r="B261" s="41" t="s">
        <v>236</v>
      </c>
      <c r="C261" s="94" t="n">
        <f aca="false">IF(AND(Übungen!$L$6&lt;&gt;"",'Reha-Modus'!$B$4&lt;&gt;"",'Reha-Modus'!$B$4&lt;Übungen!$L$6),"",IF(IFERROR(INDEX(Rekorde!$O$4:$O$17,MATCH(Übungen!$A$6,Rekorde!$A$4:$A$17,0)),"")="","",ROUND(IFERROR(INDEX(Rekorde!$O$4:$O$17,MATCH(Übungen!$A$6,Rekorde!$A$4:$A$17,0)),"")*0.45*2,0)/2))</f>
        <v>43</v>
      </c>
      <c r="D261" s="95"/>
      <c r="E261" s="96"/>
      <c r="F261" s="96"/>
      <c r="G261" s="96"/>
      <c r="H261" s="96"/>
      <c r="I261" s="96"/>
    </row>
    <row r="262" customFormat="false" ht="18" hidden="false" customHeight="true" outlineLevel="0" collapsed="false">
      <c r="A262" s="93" t="n">
        <v>2</v>
      </c>
      <c r="B262" s="41" t="s">
        <v>236</v>
      </c>
      <c r="C262" s="94" t="n">
        <f aca="false">IF(AND(Übungen!$L$6&lt;&gt;"",'Reha-Modus'!$B$4&lt;&gt;"",'Reha-Modus'!$B$4&lt;Übungen!$L$6),"",IF(IFERROR(INDEX(Rekorde!$O$4:$O$17,MATCH(Übungen!$A$6,Rekorde!$A$4:$A$17,0)),"")="","",ROUND(IFERROR(INDEX(Rekorde!$O$4:$O$17,MATCH(Übungen!$A$6,Rekorde!$A$4:$A$17,0)),"")*0.7*2,0)/2))</f>
        <v>66.5</v>
      </c>
      <c r="D262" s="95"/>
      <c r="E262" s="96"/>
      <c r="F262" s="96"/>
      <c r="G262" s="96"/>
      <c r="H262" s="96"/>
      <c r="I262" s="96"/>
    </row>
    <row r="263" customFormat="false" ht="18" hidden="false" customHeight="true" outlineLevel="0" collapsed="false">
      <c r="A263" s="93" t="n">
        <v>3</v>
      </c>
      <c r="B263" s="97" t="s">
        <v>237</v>
      </c>
      <c r="C263" s="94" t="n">
        <f aca="false">IF(AND(Übungen!$L$6&lt;&gt;"",'Reha-Modus'!$B$4&lt;&gt;"",'Reha-Modus'!$B$4&lt;Übungen!$L$6),"",IF(IFERROR(INDEX(Rekorde!$O$4:$O$17,MATCH(Übungen!$A$6,Rekorde!$A$4:$A$17,0)),"")="","",ROUND(IFERROR(INDEX(Rekorde!$O$4:$O$17,MATCH(Übungen!$A$6,Rekorde!$A$4:$A$17,0)),"")*1*2,0)/2))</f>
        <v>95</v>
      </c>
      <c r="D263" s="98" t="n">
        <f aca="false">IF(AND(Übungen!$L$6&lt;&gt;"",'Reha-Modus'!$B$4&lt;&gt;"",'Reha-Modus'!$B$4&lt;Übungen!$L$6),"",IF(IFERROR(INDEX(Rekorde!$P$4:$P$17,MATCH(Übungen!$A$6,Rekorde!$A$4:$A$17,0)),"")="","",IFERROR(INDEX(Rekorde!$P$4:$P$17,MATCH(Übungen!$A$6,Rekorde!$A$4:$A$17,0)),"")))</f>
        <v>6</v>
      </c>
      <c r="E263" s="96"/>
      <c r="F263" s="96"/>
      <c r="G263" s="96"/>
      <c r="H263" s="96"/>
      <c r="I263" s="96"/>
    </row>
    <row r="264" customFormat="false" ht="18" hidden="false" customHeight="true" outlineLevel="0" collapsed="false">
      <c r="A264" s="93" t="n">
        <v>4</v>
      </c>
      <c r="B264" s="97" t="s">
        <v>237</v>
      </c>
      <c r="C264" s="94" t="n">
        <f aca="false">IF(AND(Übungen!$L$6&lt;&gt;"",'Reha-Modus'!$B$4&lt;&gt;"",'Reha-Modus'!$B$4&lt;Übungen!$L$6),"",IF(IFERROR(INDEX(Rekorde!$O$4:$O$17,MATCH(Übungen!$A$6,Rekorde!$A$4:$A$17,0)),"")="","",ROUND(IFERROR(INDEX(Rekorde!$O$4:$O$17,MATCH(Übungen!$A$6,Rekorde!$A$4:$A$17,0)),"")*1*2,0)/2))</f>
        <v>95</v>
      </c>
      <c r="D264" s="98" t="n">
        <f aca="false">IF(AND(Übungen!$L$6&lt;&gt;"",'Reha-Modus'!$B$4&lt;&gt;"",'Reha-Modus'!$B$4&lt;Übungen!$L$6),"",IF(IFERROR(INDEX(Rekorde!$P$4:$P$17,MATCH(Übungen!$A$6,Rekorde!$A$4:$A$17,0)),"")="","",IFERROR(INDEX(Rekorde!$P$4:$P$17,MATCH(Übungen!$A$6,Rekorde!$A$4:$A$17,0)),"")))</f>
        <v>6</v>
      </c>
      <c r="E264" s="96"/>
      <c r="F264" s="96"/>
      <c r="G264" s="96"/>
      <c r="H264" s="96"/>
      <c r="I264" s="96"/>
    </row>
    <row r="265" customFormat="false" ht="18" hidden="false" customHeight="true" outlineLevel="0" collapsed="false">
      <c r="A265" s="93" t="n">
        <v>5</v>
      </c>
      <c r="B265" s="41" t="s">
        <v>238</v>
      </c>
      <c r="C265" s="95"/>
      <c r="D265" s="95"/>
      <c r="E265" s="96"/>
      <c r="F265" s="96"/>
      <c r="G265" s="96"/>
      <c r="H265" s="96"/>
      <c r="I265" s="96"/>
    </row>
    <row r="267" customFormat="false" ht="18.75" hidden="false" customHeight="true" outlineLevel="0" collapsed="false">
      <c r="A267" s="89" t="str">
        <f aca="false">Übungen!$A$7</f>
        <v>Adduktion</v>
      </c>
      <c r="B267" s="89"/>
      <c r="C267" s="89"/>
      <c r="D267" s="89"/>
      <c r="E267" s="89"/>
      <c r="F267" s="89"/>
      <c r="G267" s="89"/>
      <c r="H267" s="89"/>
      <c r="I267" s="89"/>
    </row>
    <row r="268" customFormat="false" ht="13.5" hidden="false" customHeight="true" outlineLevel="0" collapsed="false">
      <c r="A26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68" s="90"/>
      <c r="C268" s="90"/>
      <c r="D268" s="90"/>
      <c r="E268" s="90"/>
      <c r="F268" s="90"/>
      <c r="G268" s="90"/>
      <c r="H268" s="90"/>
      <c r="I268" s="90"/>
    </row>
    <row r="269" customFormat="false" ht="13.5" hidden="false" customHeight="true" outlineLevel="0" collapsed="false">
      <c r="A26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269" s="91"/>
      <c r="C269" s="91"/>
      <c r="D269" s="91"/>
      <c r="E269" s="91"/>
      <c r="F269" s="91"/>
      <c r="G269" s="91"/>
      <c r="H269" s="91"/>
      <c r="I269" s="91"/>
    </row>
    <row r="270" customFormat="false" ht="18" hidden="false" customHeight="true" outlineLevel="0" collapsed="false">
      <c r="A270" s="92" t="s">
        <v>313</v>
      </c>
      <c r="B270" s="92" t="s">
        <v>314</v>
      </c>
      <c r="C270" s="92" t="s">
        <v>315</v>
      </c>
      <c r="D270" s="92" t="s">
        <v>316</v>
      </c>
      <c r="E270" s="92" t="s">
        <v>317</v>
      </c>
      <c r="F270" s="92" t="s">
        <v>231</v>
      </c>
      <c r="G270" s="92" t="s">
        <v>46</v>
      </c>
      <c r="H270" s="92" t="s">
        <v>318</v>
      </c>
      <c r="I270" s="92" t="s">
        <v>223</v>
      </c>
    </row>
    <row r="271" customFormat="false" ht="18" hidden="false" customHeight="true" outlineLevel="0" collapsed="false">
      <c r="A271" s="93" t="n">
        <v>1</v>
      </c>
      <c r="B271" s="41" t="s">
        <v>236</v>
      </c>
      <c r="C271" s="94" t="n">
        <f aca="false">IF(AND(Übungen!$L$7&lt;&gt;"",'Reha-Modus'!$B$4&lt;&gt;"",'Reha-Modus'!$B$4&lt;Übungen!$L$7),"",IF(IFERROR(INDEX(Rekorde!$O$4:$O$17,MATCH(Übungen!$A$7,Rekorde!$A$4:$A$17,0)),"")="","",ROUND(IFERROR(INDEX(Rekorde!$O$4:$O$17,MATCH(Übungen!$A$7,Rekorde!$A$4:$A$17,0)),"")*0.45*2,0)/2))</f>
        <v>83.5</v>
      </c>
      <c r="D271" s="95"/>
      <c r="E271" s="96"/>
      <c r="F271" s="96"/>
      <c r="G271" s="96"/>
      <c r="H271" s="96"/>
      <c r="I271" s="96"/>
    </row>
    <row r="272" customFormat="false" ht="18" hidden="false" customHeight="true" outlineLevel="0" collapsed="false">
      <c r="A272" s="93" t="n">
        <v>2</v>
      </c>
      <c r="B272" s="41" t="s">
        <v>236</v>
      </c>
      <c r="C272" s="94" t="n">
        <f aca="false">IF(AND(Übungen!$L$7&lt;&gt;"",'Reha-Modus'!$B$4&lt;&gt;"",'Reha-Modus'!$B$4&lt;Übungen!$L$7),"",IF(IFERROR(INDEX(Rekorde!$O$4:$O$17,MATCH(Übungen!$A$7,Rekorde!$A$4:$A$17,0)),"")="","",ROUND(IFERROR(INDEX(Rekorde!$O$4:$O$17,MATCH(Übungen!$A$7,Rekorde!$A$4:$A$17,0)),"")*0.7*2,0)/2))</f>
        <v>129.5</v>
      </c>
      <c r="D272" s="95"/>
      <c r="E272" s="96"/>
      <c r="F272" s="96"/>
      <c r="G272" s="96"/>
      <c r="H272" s="96"/>
      <c r="I272" s="96"/>
    </row>
    <row r="273" customFormat="false" ht="18" hidden="false" customHeight="true" outlineLevel="0" collapsed="false">
      <c r="A273" s="93" t="n">
        <v>3</v>
      </c>
      <c r="B273" s="97" t="s">
        <v>237</v>
      </c>
      <c r="C273" s="94" t="n">
        <f aca="false">IF(AND(Übungen!$L$7&lt;&gt;"",'Reha-Modus'!$B$4&lt;&gt;"",'Reha-Modus'!$B$4&lt;Übungen!$L$7),"",IF(IFERROR(INDEX(Rekorde!$O$4:$O$17,MATCH(Übungen!$A$7,Rekorde!$A$4:$A$17,0)),"")="","",ROUND(IFERROR(INDEX(Rekorde!$O$4:$O$17,MATCH(Übungen!$A$7,Rekorde!$A$4:$A$17,0)),"")*1*2,0)/2))</f>
        <v>185</v>
      </c>
      <c r="D273" s="98" t="n">
        <f aca="false">IF(AND(Übungen!$L$7&lt;&gt;"",'Reha-Modus'!$B$4&lt;&gt;"",'Reha-Modus'!$B$4&lt;Übungen!$L$7),"",IF(IFERROR(INDEX(Rekorde!$P$4:$P$17,MATCH(Übungen!$A$7,Rekorde!$A$4:$A$17,0)),"")="","",IFERROR(INDEX(Rekorde!$P$4:$P$17,MATCH(Übungen!$A$7,Rekorde!$A$4:$A$17,0)),"")))</f>
        <v>5</v>
      </c>
      <c r="E273" s="96"/>
      <c r="F273" s="96"/>
      <c r="G273" s="96"/>
      <c r="H273" s="96"/>
      <c r="I273" s="96"/>
    </row>
    <row r="274" customFormat="false" ht="18" hidden="false" customHeight="true" outlineLevel="0" collapsed="false">
      <c r="A274" s="93" t="n">
        <v>4</v>
      </c>
      <c r="B274" s="97" t="s">
        <v>237</v>
      </c>
      <c r="C274" s="94" t="n">
        <f aca="false">IF(AND(Übungen!$L$7&lt;&gt;"",'Reha-Modus'!$B$4&lt;&gt;"",'Reha-Modus'!$B$4&lt;Übungen!$L$7),"",IF(IFERROR(INDEX(Rekorde!$O$4:$O$17,MATCH(Übungen!$A$7,Rekorde!$A$4:$A$17,0)),"")="","",ROUND(IFERROR(INDEX(Rekorde!$O$4:$O$17,MATCH(Übungen!$A$7,Rekorde!$A$4:$A$17,0)),"")*1*2,0)/2))</f>
        <v>185</v>
      </c>
      <c r="D274" s="98" t="n">
        <f aca="false">IF(AND(Übungen!$L$7&lt;&gt;"",'Reha-Modus'!$B$4&lt;&gt;"",'Reha-Modus'!$B$4&lt;Übungen!$L$7),"",IF(IFERROR(INDEX(Rekorde!$P$4:$P$17,MATCH(Übungen!$A$7,Rekorde!$A$4:$A$17,0)),"")="","",IFERROR(INDEX(Rekorde!$P$4:$P$17,MATCH(Übungen!$A$7,Rekorde!$A$4:$A$17,0)),"")))</f>
        <v>5</v>
      </c>
      <c r="E274" s="96"/>
      <c r="F274" s="96"/>
      <c r="G274" s="96"/>
      <c r="H274" s="96"/>
      <c r="I274" s="96"/>
    </row>
    <row r="275" customFormat="false" ht="18" hidden="false" customHeight="true" outlineLevel="0" collapsed="false">
      <c r="A275" s="93" t="n">
        <v>5</v>
      </c>
      <c r="B275" s="41" t="s">
        <v>238</v>
      </c>
      <c r="C275" s="95"/>
      <c r="D275" s="95"/>
      <c r="E275" s="96"/>
      <c r="F275" s="96"/>
      <c r="G275" s="96"/>
      <c r="H275" s="96"/>
      <c r="I275" s="96"/>
    </row>
    <row r="277" customFormat="false" ht="15.75" hidden="false" customHeight="true" outlineLevel="0" collapsed="false">
      <c r="A277" s="3" t="s">
        <v>319</v>
      </c>
      <c r="B277" s="3"/>
      <c r="C277" s="3"/>
      <c r="D277" s="3"/>
      <c r="E277" s="3"/>
      <c r="F277" s="3"/>
      <c r="G277" s="3"/>
      <c r="H277" s="3"/>
      <c r="I277" s="3"/>
    </row>
    <row r="278" customFormat="false" ht="18" hidden="false" customHeight="true" outlineLevel="0" collapsed="false">
      <c r="A278" s="99"/>
      <c r="B278" s="99"/>
      <c r="C278" s="99"/>
      <c r="D278" s="99"/>
      <c r="E278" s="99"/>
      <c r="F278" s="99"/>
      <c r="G278" s="99"/>
      <c r="H278" s="99"/>
      <c r="I278" s="99"/>
    </row>
    <row r="279" customFormat="false" ht="18" hidden="false" customHeight="true" outlineLevel="0" collapsed="false">
      <c r="A279" s="99"/>
      <c r="B279" s="99"/>
      <c r="C279" s="99"/>
      <c r="D279" s="99"/>
      <c r="E279" s="99"/>
      <c r="F279" s="99"/>
      <c r="G279" s="99"/>
      <c r="H279" s="99"/>
      <c r="I279" s="99"/>
    </row>
    <row r="281" customFormat="false" ht="27.75" hidden="false" customHeight="true" outlineLevel="0" collapsed="false">
      <c r="A281" s="1" t="s">
        <v>324</v>
      </c>
      <c r="B281" s="1"/>
      <c r="C281" s="1"/>
      <c r="D281" s="1"/>
      <c r="E281" s="1"/>
      <c r="F281" s="1"/>
      <c r="G281" s="1"/>
      <c r="H281" s="1"/>
      <c r="I281" s="1"/>
    </row>
    <row r="282" customFormat="false" ht="12" hidden="false" customHeight="true" outlineLevel="0" collapsed="false">
      <c r="A282" s="86" t="s">
        <v>67</v>
      </c>
      <c r="B282" s="86"/>
      <c r="C282" s="87" t="s">
        <v>309</v>
      </c>
      <c r="D282" s="87" t="s">
        <v>310</v>
      </c>
      <c r="E282" s="86" t="s">
        <v>311</v>
      </c>
      <c r="F282" s="86"/>
      <c r="G282" s="86" t="s">
        <v>312</v>
      </c>
      <c r="H282" s="86"/>
    </row>
    <row r="283" customFormat="false" ht="18" hidden="false" customHeight="true" outlineLevel="0" collapsed="false">
      <c r="A283" s="88"/>
      <c r="B283" s="88"/>
      <c r="C283" s="88"/>
      <c r="D283" s="88"/>
      <c r="E283" s="88"/>
      <c r="F283" s="88"/>
      <c r="G283" s="88"/>
      <c r="H283" s="88"/>
    </row>
    <row r="285" customFormat="false" ht="18.75" hidden="false" customHeight="true" outlineLevel="0" collapsed="false">
      <c r="A285" s="89" t="str">
        <f aca="false">Übungen!$A$8</f>
        <v>Rumänisches Kreuzheben</v>
      </c>
      <c r="B285" s="89"/>
      <c r="C285" s="89"/>
      <c r="D285" s="89"/>
      <c r="E285" s="89"/>
      <c r="F285" s="89"/>
      <c r="G285" s="89"/>
      <c r="H285" s="89"/>
      <c r="I285" s="89"/>
    </row>
    <row r="286" customFormat="false" ht="13.5" hidden="false" customHeight="true" outlineLevel="0" collapsed="false">
      <c r="A28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86" s="90"/>
      <c r="C286" s="90"/>
      <c r="D286" s="90"/>
      <c r="E286" s="90"/>
      <c r="F286" s="90"/>
      <c r="G286" s="90"/>
      <c r="H286" s="90"/>
      <c r="I286" s="90"/>
    </row>
    <row r="287" customFormat="false" ht="13.5" hidden="false" customHeight="true" outlineLevel="0" collapsed="false">
      <c r="A28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287" s="91"/>
      <c r="C287" s="91"/>
      <c r="D287" s="91"/>
      <c r="E287" s="91"/>
      <c r="F287" s="91"/>
      <c r="G287" s="91"/>
      <c r="H287" s="91"/>
      <c r="I287" s="91"/>
    </row>
    <row r="288" customFormat="false" ht="18" hidden="false" customHeight="true" outlineLevel="0" collapsed="false">
      <c r="A288" s="92" t="s">
        <v>313</v>
      </c>
      <c r="B288" s="92" t="s">
        <v>314</v>
      </c>
      <c r="C288" s="92" t="s">
        <v>315</v>
      </c>
      <c r="D288" s="92" t="s">
        <v>316</v>
      </c>
      <c r="E288" s="92" t="s">
        <v>317</v>
      </c>
      <c r="F288" s="92" t="s">
        <v>231</v>
      </c>
      <c r="G288" s="92" t="s">
        <v>46</v>
      </c>
      <c r="H288" s="92" t="s">
        <v>318</v>
      </c>
      <c r="I288" s="92" t="s">
        <v>223</v>
      </c>
    </row>
    <row r="289" customFormat="false" ht="18" hidden="false" customHeight="true" outlineLevel="0" collapsed="false">
      <c r="A289" s="93" t="n">
        <v>1</v>
      </c>
      <c r="B289" s="41" t="s">
        <v>236</v>
      </c>
      <c r="C289" s="94" t="str">
        <f aca="false">IF(AND(Übungen!$L$8&lt;&gt;"",'Reha-Modus'!$B$4&lt;&gt;"",'Reha-Modus'!$B$4&lt;Übungen!$L$8),"",IF(IFERROR(INDEX(Rekorde!$O$4:$O$17,MATCH(Übungen!$A$8,Rekorde!$A$4:$A$17,0)),"")="","",ROUND(IFERROR(INDEX(Rekorde!$O$4:$O$17,MATCH(Übungen!$A$8,Rekorde!$A$4:$A$17,0)),"")*0.45*2,0)/2))</f>
        <v/>
      </c>
      <c r="D289" s="95"/>
      <c r="E289" s="96"/>
      <c r="F289" s="96"/>
      <c r="G289" s="96"/>
      <c r="H289" s="96"/>
      <c r="I289" s="96"/>
    </row>
    <row r="290" customFormat="false" ht="18" hidden="false" customHeight="true" outlineLevel="0" collapsed="false">
      <c r="A290" s="93" t="n">
        <v>2</v>
      </c>
      <c r="B290" s="41" t="s">
        <v>236</v>
      </c>
      <c r="C290" s="94" t="str">
        <f aca="false">IF(AND(Übungen!$L$8&lt;&gt;"",'Reha-Modus'!$B$4&lt;&gt;"",'Reha-Modus'!$B$4&lt;Übungen!$L$8),"",IF(IFERROR(INDEX(Rekorde!$O$4:$O$17,MATCH(Übungen!$A$8,Rekorde!$A$4:$A$17,0)),"")="","",ROUND(IFERROR(INDEX(Rekorde!$O$4:$O$17,MATCH(Übungen!$A$8,Rekorde!$A$4:$A$17,0)),"")*0.7*2,0)/2))</f>
        <v/>
      </c>
      <c r="D290" s="95"/>
      <c r="E290" s="96"/>
      <c r="F290" s="96"/>
      <c r="G290" s="96"/>
      <c r="H290" s="96"/>
      <c r="I290" s="96"/>
    </row>
    <row r="291" customFormat="false" ht="18" hidden="false" customHeight="true" outlineLevel="0" collapsed="false">
      <c r="A291" s="93" t="n">
        <v>3</v>
      </c>
      <c r="B291" s="97" t="s">
        <v>237</v>
      </c>
      <c r="C291" s="94" t="str">
        <f aca="false">IF(AND(Übungen!$L$8&lt;&gt;"",'Reha-Modus'!$B$4&lt;&gt;"",'Reha-Modus'!$B$4&lt;Übungen!$L$8),"",IF(IFERROR(INDEX(Rekorde!$O$4:$O$17,MATCH(Übungen!$A$8,Rekorde!$A$4:$A$17,0)),"")="","",ROUND(IFERROR(INDEX(Rekorde!$O$4:$O$17,MATCH(Übungen!$A$8,Rekorde!$A$4:$A$17,0)),"")*1*2,0)/2))</f>
        <v/>
      </c>
      <c r="D291" s="98" t="str">
        <f aca="false">IF(AND(Übungen!$L$8&lt;&gt;"",'Reha-Modus'!$B$4&lt;&gt;"",'Reha-Modus'!$B$4&lt;Übungen!$L$8),"",IF(IFERROR(INDEX(Rekorde!$P$4:$P$17,MATCH(Übungen!$A$8,Rekorde!$A$4:$A$17,0)),"")="","",IFERROR(INDEX(Rekorde!$P$4:$P$17,MATCH(Übungen!$A$8,Rekorde!$A$4:$A$17,0)),"")))</f>
        <v/>
      </c>
      <c r="E291" s="96"/>
      <c r="F291" s="96"/>
      <c r="G291" s="96"/>
      <c r="H291" s="96"/>
      <c r="I291" s="96"/>
    </row>
    <row r="292" customFormat="false" ht="18" hidden="false" customHeight="true" outlineLevel="0" collapsed="false">
      <c r="A292" s="93" t="n">
        <v>4</v>
      </c>
      <c r="B292" s="97" t="s">
        <v>237</v>
      </c>
      <c r="C292" s="94" t="str">
        <f aca="false">IF(AND(Übungen!$L$8&lt;&gt;"",'Reha-Modus'!$B$4&lt;&gt;"",'Reha-Modus'!$B$4&lt;Übungen!$L$8),"",IF(IFERROR(INDEX(Rekorde!$O$4:$O$17,MATCH(Übungen!$A$8,Rekorde!$A$4:$A$17,0)),"")="","",ROUND(IFERROR(INDEX(Rekorde!$O$4:$O$17,MATCH(Übungen!$A$8,Rekorde!$A$4:$A$17,0)),"")*1*2,0)/2))</f>
        <v/>
      </c>
      <c r="D292" s="98" t="str">
        <f aca="false">IF(AND(Übungen!$L$8&lt;&gt;"",'Reha-Modus'!$B$4&lt;&gt;"",'Reha-Modus'!$B$4&lt;Übungen!$L$8),"",IF(IFERROR(INDEX(Rekorde!$P$4:$P$17,MATCH(Übungen!$A$8,Rekorde!$A$4:$A$17,0)),"")="","",IFERROR(INDEX(Rekorde!$P$4:$P$17,MATCH(Übungen!$A$8,Rekorde!$A$4:$A$17,0)),"")))</f>
        <v/>
      </c>
      <c r="E292" s="96"/>
      <c r="F292" s="96"/>
      <c r="G292" s="96"/>
      <c r="H292" s="96"/>
      <c r="I292" s="96"/>
    </row>
    <row r="293" customFormat="false" ht="18" hidden="false" customHeight="true" outlineLevel="0" collapsed="false">
      <c r="A293" s="93" t="n">
        <v>5</v>
      </c>
      <c r="B293" s="97" t="s">
        <v>237</v>
      </c>
      <c r="C293" s="94" t="str">
        <f aca="false">IF(AND(Übungen!$L$8&lt;&gt;"",'Reha-Modus'!$B$4&lt;&gt;"",'Reha-Modus'!$B$4&lt;Übungen!$L$8),"",IF(IFERROR(INDEX(Rekorde!$O$4:$O$17,MATCH(Übungen!$A$8,Rekorde!$A$4:$A$17,0)),"")="","",ROUND(IFERROR(INDEX(Rekorde!$O$4:$O$17,MATCH(Übungen!$A$8,Rekorde!$A$4:$A$17,0)),"")*1*2,0)/2))</f>
        <v/>
      </c>
      <c r="D293" s="98" t="str">
        <f aca="false">IF(AND(Übungen!$L$8&lt;&gt;"",'Reha-Modus'!$B$4&lt;&gt;"",'Reha-Modus'!$B$4&lt;Übungen!$L$8),"",IF(IFERROR(INDEX(Rekorde!$P$4:$P$17,MATCH(Übungen!$A$8,Rekorde!$A$4:$A$17,0)),"")="","",IFERROR(INDEX(Rekorde!$P$4:$P$17,MATCH(Übungen!$A$8,Rekorde!$A$4:$A$17,0)),"")))</f>
        <v/>
      </c>
      <c r="E293" s="96"/>
      <c r="F293" s="96"/>
      <c r="G293" s="96"/>
      <c r="H293" s="96"/>
      <c r="I293" s="96"/>
    </row>
    <row r="295" customFormat="false" ht="18.75" hidden="false" customHeight="true" outlineLevel="0" collapsed="false">
      <c r="A295" s="89" t="str">
        <f aca="false">Übungen!$A$9</f>
        <v>Hip Thrust</v>
      </c>
      <c r="B295" s="89"/>
      <c r="C295" s="89"/>
      <c r="D295" s="89"/>
      <c r="E295" s="89"/>
      <c r="F295" s="89"/>
      <c r="G295" s="89"/>
      <c r="H295" s="89"/>
      <c r="I295" s="89"/>
    </row>
    <row r="296" customFormat="false" ht="13.5" hidden="false" customHeight="true" outlineLevel="0" collapsed="false">
      <c r="A29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96" s="90"/>
      <c r="C296" s="90"/>
      <c r="D296" s="90"/>
      <c r="E296" s="90"/>
      <c r="F296" s="90"/>
      <c r="G296" s="90"/>
      <c r="H296" s="90"/>
      <c r="I296" s="90"/>
    </row>
    <row r="297" customFormat="false" ht="13.5" hidden="false" customHeight="true" outlineLevel="0" collapsed="false">
      <c r="A29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297" s="91"/>
      <c r="C297" s="91"/>
      <c r="D297" s="91"/>
      <c r="E297" s="91"/>
      <c r="F297" s="91"/>
      <c r="G297" s="91"/>
      <c r="H297" s="91"/>
      <c r="I297" s="91"/>
    </row>
    <row r="298" customFormat="false" ht="18" hidden="false" customHeight="true" outlineLevel="0" collapsed="false">
      <c r="A298" s="92" t="s">
        <v>313</v>
      </c>
      <c r="B298" s="92" t="s">
        <v>314</v>
      </c>
      <c r="C298" s="92" t="s">
        <v>315</v>
      </c>
      <c r="D298" s="92" t="s">
        <v>316</v>
      </c>
      <c r="E298" s="92" t="s">
        <v>317</v>
      </c>
      <c r="F298" s="92" t="s">
        <v>231</v>
      </c>
      <c r="G298" s="92" t="s">
        <v>46</v>
      </c>
      <c r="H298" s="92" t="s">
        <v>318</v>
      </c>
      <c r="I298" s="92" t="s">
        <v>223</v>
      </c>
    </row>
    <row r="299" customFormat="false" ht="18" hidden="false" customHeight="true" outlineLevel="0" collapsed="false">
      <c r="A299" s="93" t="n">
        <v>1</v>
      </c>
      <c r="B299" s="41" t="s">
        <v>236</v>
      </c>
      <c r="C299" s="94" t="str">
        <f aca="false">IF(AND(Übungen!$L$9&lt;&gt;"",'Reha-Modus'!$B$4&lt;&gt;"",'Reha-Modus'!$B$4&lt;Übungen!$L$9),"",IF(IFERROR(INDEX(Rekorde!$O$4:$O$17,MATCH(Übungen!$A$9,Rekorde!$A$4:$A$17,0)),"")="","",ROUND(IFERROR(INDEX(Rekorde!$O$4:$O$17,MATCH(Übungen!$A$9,Rekorde!$A$4:$A$17,0)),"")*0.45*2,0)/2))</f>
        <v/>
      </c>
      <c r="D299" s="95"/>
      <c r="E299" s="96"/>
      <c r="F299" s="96"/>
      <c r="G299" s="96"/>
      <c r="H299" s="96"/>
      <c r="I299" s="96"/>
    </row>
    <row r="300" customFormat="false" ht="18" hidden="false" customHeight="true" outlineLevel="0" collapsed="false">
      <c r="A300" s="93" t="n">
        <v>2</v>
      </c>
      <c r="B300" s="41" t="s">
        <v>236</v>
      </c>
      <c r="C300" s="94" t="str">
        <f aca="false">IF(AND(Übungen!$L$9&lt;&gt;"",'Reha-Modus'!$B$4&lt;&gt;"",'Reha-Modus'!$B$4&lt;Übungen!$L$9),"",IF(IFERROR(INDEX(Rekorde!$O$4:$O$17,MATCH(Übungen!$A$9,Rekorde!$A$4:$A$17,0)),"")="","",ROUND(IFERROR(INDEX(Rekorde!$O$4:$O$17,MATCH(Übungen!$A$9,Rekorde!$A$4:$A$17,0)),"")*0.7*2,0)/2))</f>
        <v/>
      </c>
      <c r="D300" s="95"/>
      <c r="E300" s="96"/>
      <c r="F300" s="96"/>
      <c r="G300" s="96"/>
      <c r="H300" s="96"/>
      <c r="I300" s="96"/>
    </row>
    <row r="301" customFormat="false" ht="18" hidden="false" customHeight="true" outlineLevel="0" collapsed="false">
      <c r="A301" s="93" t="n">
        <v>3</v>
      </c>
      <c r="B301" s="97" t="s">
        <v>237</v>
      </c>
      <c r="C301" s="94" t="str">
        <f aca="false">IF(AND(Übungen!$L$9&lt;&gt;"",'Reha-Modus'!$B$4&lt;&gt;"",'Reha-Modus'!$B$4&lt;Übungen!$L$9),"",IF(IFERROR(INDEX(Rekorde!$O$4:$O$17,MATCH(Übungen!$A$9,Rekorde!$A$4:$A$17,0)),"")="","",ROUND(IFERROR(INDEX(Rekorde!$O$4:$O$17,MATCH(Übungen!$A$9,Rekorde!$A$4:$A$17,0)),"")*1*2,0)/2))</f>
        <v/>
      </c>
      <c r="D301" s="98" t="str">
        <f aca="false">IF(AND(Übungen!$L$9&lt;&gt;"",'Reha-Modus'!$B$4&lt;&gt;"",'Reha-Modus'!$B$4&lt;Übungen!$L$9),"",IF(IFERROR(INDEX(Rekorde!$P$4:$P$17,MATCH(Übungen!$A$9,Rekorde!$A$4:$A$17,0)),"")="","",IFERROR(INDEX(Rekorde!$P$4:$P$17,MATCH(Übungen!$A$9,Rekorde!$A$4:$A$17,0)),"")))</f>
        <v/>
      </c>
      <c r="E301" s="96"/>
      <c r="F301" s="96"/>
      <c r="G301" s="96"/>
      <c r="H301" s="96"/>
      <c r="I301" s="96"/>
    </row>
    <row r="302" customFormat="false" ht="18" hidden="false" customHeight="true" outlineLevel="0" collapsed="false">
      <c r="A302" s="93" t="n">
        <v>4</v>
      </c>
      <c r="B302" s="97" t="s">
        <v>237</v>
      </c>
      <c r="C302" s="94" t="str">
        <f aca="false">IF(AND(Übungen!$L$9&lt;&gt;"",'Reha-Modus'!$B$4&lt;&gt;"",'Reha-Modus'!$B$4&lt;Übungen!$L$9),"",IF(IFERROR(INDEX(Rekorde!$O$4:$O$17,MATCH(Übungen!$A$9,Rekorde!$A$4:$A$17,0)),"")="","",ROUND(IFERROR(INDEX(Rekorde!$O$4:$O$17,MATCH(Übungen!$A$9,Rekorde!$A$4:$A$17,0)),"")*1*2,0)/2))</f>
        <v/>
      </c>
      <c r="D302" s="98" t="str">
        <f aca="false">IF(AND(Übungen!$L$9&lt;&gt;"",'Reha-Modus'!$B$4&lt;&gt;"",'Reha-Modus'!$B$4&lt;Übungen!$L$9),"",IF(IFERROR(INDEX(Rekorde!$P$4:$P$17,MATCH(Übungen!$A$9,Rekorde!$A$4:$A$17,0)),"")="","",IFERROR(INDEX(Rekorde!$P$4:$P$17,MATCH(Übungen!$A$9,Rekorde!$A$4:$A$17,0)),"")))</f>
        <v/>
      </c>
      <c r="E302" s="96"/>
      <c r="F302" s="96"/>
      <c r="G302" s="96"/>
      <c r="H302" s="96"/>
      <c r="I302" s="96"/>
    </row>
    <row r="303" customFormat="false" ht="18" hidden="false" customHeight="true" outlineLevel="0" collapsed="false">
      <c r="A303" s="93" t="n">
        <v>5</v>
      </c>
      <c r="B303" s="97" t="s">
        <v>237</v>
      </c>
      <c r="C303" s="94" t="str">
        <f aca="false">IF(AND(Übungen!$L$9&lt;&gt;"",'Reha-Modus'!$B$4&lt;&gt;"",'Reha-Modus'!$B$4&lt;Übungen!$L$9),"",IF(IFERROR(INDEX(Rekorde!$O$4:$O$17,MATCH(Übungen!$A$9,Rekorde!$A$4:$A$17,0)),"")="","",ROUND(IFERROR(INDEX(Rekorde!$O$4:$O$17,MATCH(Übungen!$A$9,Rekorde!$A$4:$A$17,0)),"")*1*2,0)/2))</f>
        <v/>
      </c>
      <c r="D303" s="98" t="str">
        <f aca="false">IF(AND(Übungen!$L$9&lt;&gt;"",'Reha-Modus'!$B$4&lt;&gt;"",'Reha-Modus'!$B$4&lt;Übungen!$L$9),"",IF(IFERROR(INDEX(Rekorde!$P$4:$P$17,MATCH(Übungen!$A$9,Rekorde!$A$4:$A$17,0)),"")="","",IFERROR(INDEX(Rekorde!$P$4:$P$17,MATCH(Übungen!$A$9,Rekorde!$A$4:$A$17,0)),"")))</f>
        <v/>
      </c>
      <c r="E303" s="96"/>
      <c r="F303" s="96"/>
      <c r="G303" s="96"/>
      <c r="H303" s="96"/>
      <c r="I303" s="96"/>
    </row>
    <row r="305" customFormat="false" ht="18.75" hidden="false" customHeight="true" outlineLevel="0" collapsed="false">
      <c r="A305" s="89" t="str">
        <f aca="false">Übungen!$A$10</f>
        <v>Hip &amp; Glute</v>
      </c>
      <c r="B305" s="89"/>
      <c r="C305" s="89"/>
      <c r="D305" s="89"/>
      <c r="E305" s="89"/>
      <c r="F305" s="89"/>
      <c r="G305" s="89"/>
      <c r="H305" s="89"/>
      <c r="I305" s="89"/>
    </row>
    <row r="306" customFormat="false" ht="13.5" hidden="false" customHeight="true" outlineLevel="0" collapsed="false">
      <c r="A30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306" s="90"/>
      <c r="C306" s="90"/>
      <c r="D306" s="90"/>
      <c r="E306" s="90"/>
      <c r="F306" s="90"/>
      <c r="G306" s="90"/>
      <c r="H306" s="90"/>
      <c r="I306" s="90"/>
    </row>
    <row r="307" customFormat="false" ht="13.5" hidden="false" customHeight="true" outlineLevel="0" collapsed="false">
      <c r="A30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307" s="91"/>
      <c r="C307" s="91"/>
      <c r="D307" s="91"/>
      <c r="E307" s="91"/>
      <c r="F307" s="91"/>
      <c r="G307" s="91"/>
      <c r="H307" s="91"/>
      <c r="I307" s="91"/>
    </row>
    <row r="308" customFormat="false" ht="18" hidden="false" customHeight="true" outlineLevel="0" collapsed="false">
      <c r="A308" s="92" t="s">
        <v>313</v>
      </c>
      <c r="B308" s="92" t="s">
        <v>314</v>
      </c>
      <c r="C308" s="92" t="s">
        <v>315</v>
      </c>
      <c r="D308" s="92" t="s">
        <v>316</v>
      </c>
      <c r="E308" s="92" t="s">
        <v>317</v>
      </c>
      <c r="F308" s="92" t="s">
        <v>231</v>
      </c>
      <c r="G308" s="92" t="s">
        <v>46</v>
      </c>
      <c r="H308" s="92" t="s">
        <v>318</v>
      </c>
      <c r="I308" s="92" t="s">
        <v>223</v>
      </c>
    </row>
    <row r="309" customFormat="false" ht="18" hidden="false" customHeight="true" outlineLevel="0" collapsed="false">
      <c r="A309" s="93" t="n">
        <v>1</v>
      </c>
      <c r="B309" s="41" t="s">
        <v>236</v>
      </c>
      <c r="C309" s="94" t="str">
        <f aca="false">IF(AND(Übungen!$L$10&lt;&gt;"",'Reha-Modus'!$B$4&lt;&gt;"",'Reha-Modus'!$B$4&lt;Übungen!$L$10),"",IF(IFERROR(INDEX(Rekorde!$O$4:$O$17,MATCH(Übungen!$A$10,Rekorde!$A$4:$A$17,0)),"")="","",ROUND(IFERROR(INDEX(Rekorde!$O$4:$O$17,MATCH(Übungen!$A$10,Rekorde!$A$4:$A$17,0)),"")*0.45*2,0)/2))</f>
        <v/>
      </c>
      <c r="D309" s="95"/>
      <c r="E309" s="96"/>
      <c r="F309" s="96"/>
      <c r="G309" s="96"/>
      <c r="H309" s="96"/>
      <c r="I309" s="96"/>
    </row>
    <row r="310" customFormat="false" ht="18" hidden="false" customHeight="true" outlineLevel="0" collapsed="false">
      <c r="A310" s="93" t="n">
        <v>2</v>
      </c>
      <c r="B310" s="41" t="s">
        <v>236</v>
      </c>
      <c r="C310" s="94" t="str">
        <f aca="false">IF(AND(Übungen!$L$10&lt;&gt;"",'Reha-Modus'!$B$4&lt;&gt;"",'Reha-Modus'!$B$4&lt;Übungen!$L$10),"",IF(IFERROR(INDEX(Rekorde!$O$4:$O$17,MATCH(Übungen!$A$10,Rekorde!$A$4:$A$17,0)),"")="","",ROUND(IFERROR(INDEX(Rekorde!$O$4:$O$17,MATCH(Übungen!$A$10,Rekorde!$A$4:$A$17,0)),"")*0.7*2,0)/2))</f>
        <v/>
      </c>
      <c r="D310" s="95"/>
      <c r="E310" s="96"/>
      <c r="F310" s="96"/>
      <c r="G310" s="96"/>
      <c r="H310" s="96"/>
      <c r="I310" s="96"/>
    </row>
    <row r="311" customFormat="false" ht="18" hidden="false" customHeight="true" outlineLevel="0" collapsed="false">
      <c r="A311" s="93" t="n">
        <v>3</v>
      </c>
      <c r="B311" s="97" t="s">
        <v>237</v>
      </c>
      <c r="C311" s="94" t="str">
        <f aca="false">IF(AND(Übungen!$L$10&lt;&gt;"",'Reha-Modus'!$B$4&lt;&gt;"",'Reha-Modus'!$B$4&lt;Übungen!$L$10),"",IF(IFERROR(INDEX(Rekorde!$O$4:$O$17,MATCH(Übungen!$A$10,Rekorde!$A$4:$A$17,0)),"")="","",ROUND(IFERROR(INDEX(Rekorde!$O$4:$O$17,MATCH(Übungen!$A$10,Rekorde!$A$4:$A$17,0)),"")*1*2,0)/2))</f>
        <v/>
      </c>
      <c r="D311" s="98" t="str">
        <f aca="false">IF(AND(Übungen!$L$10&lt;&gt;"",'Reha-Modus'!$B$4&lt;&gt;"",'Reha-Modus'!$B$4&lt;Übungen!$L$10),"",IF(IFERROR(INDEX(Rekorde!$P$4:$P$17,MATCH(Übungen!$A$10,Rekorde!$A$4:$A$17,0)),"")="","",IFERROR(INDEX(Rekorde!$P$4:$P$17,MATCH(Übungen!$A$10,Rekorde!$A$4:$A$17,0)),"")))</f>
        <v/>
      </c>
      <c r="E311" s="96"/>
      <c r="F311" s="96"/>
      <c r="G311" s="96"/>
      <c r="H311" s="96"/>
      <c r="I311" s="96"/>
    </row>
    <row r="312" customFormat="false" ht="18" hidden="false" customHeight="true" outlineLevel="0" collapsed="false">
      <c r="A312" s="93" t="n">
        <v>4</v>
      </c>
      <c r="B312" s="97" t="s">
        <v>237</v>
      </c>
      <c r="C312" s="94" t="str">
        <f aca="false">IF(AND(Übungen!$L$10&lt;&gt;"",'Reha-Modus'!$B$4&lt;&gt;"",'Reha-Modus'!$B$4&lt;Übungen!$L$10),"",IF(IFERROR(INDEX(Rekorde!$O$4:$O$17,MATCH(Übungen!$A$10,Rekorde!$A$4:$A$17,0)),"")="","",ROUND(IFERROR(INDEX(Rekorde!$O$4:$O$17,MATCH(Übungen!$A$10,Rekorde!$A$4:$A$17,0)),"")*1*2,0)/2))</f>
        <v/>
      </c>
      <c r="D312" s="98" t="str">
        <f aca="false">IF(AND(Übungen!$L$10&lt;&gt;"",'Reha-Modus'!$B$4&lt;&gt;"",'Reha-Modus'!$B$4&lt;Übungen!$L$10),"",IF(IFERROR(INDEX(Rekorde!$P$4:$P$17,MATCH(Übungen!$A$10,Rekorde!$A$4:$A$17,0)),"")="","",IFERROR(INDEX(Rekorde!$P$4:$P$17,MATCH(Übungen!$A$10,Rekorde!$A$4:$A$17,0)),"")))</f>
        <v/>
      </c>
      <c r="E312" s="96"/>
      <c r="F312" s="96"/>
      <c r="G312" s="96"/>
      <c r="H312" s="96"/>
      <c r="I312" s="96"/>
    </row>
    <row r="313" customFormat="false" ht="18" hidden="false" customHeight="true" outlineLevel="0" collapsed="false">
      <c r="A313" s="93" t="n">
        <v>5</v>
      </c>
      <c r="B313" s="97" t="s">
        <v>237</v>
      </c>
      <c r="C313" s="94" t="str">
        <f aca="false">IF(AND(Übungen!$L$10&lt;&gt;"",'Reha-Modus'!$B$4&lt;&gt;"",'Reha-Modus'!$B$4&lt;Übungen!$L$10),"",IF(IFERROR(INDEX(Rekorde!$O$4:$O$17,MATCH(Übungen!$A$10,Rekorde!$A$4:$A$17,0)),"")="","",ROUND(IFERROR(INDEX(Rekorde!$O$4:$O$17,MATCH(Übungen!$A$10,Rekorde!$A$4:$A$17,0)),"")*1*2,0)/2))</f>
        <v/>
      </c>
      <c r="D313" s="98" t="str">
        <f aca="false">IF(AND(Übungen!$L$10&lt;&gt;"",'Reha-Modus'!$B$4&lt;&gt;"",'Reha-Modus'!$B$4&lt;Übungen!$L$10),"",IF(IFERROR(INDEX(Rekorde!$P$4:$P$17,MATCH(Übungen!$A$10,Rekorde!$A$4:$A$17,0)),"")="","",IFERROR(INDEX(Rekorde!$P$4:$P$17,MATCH(Übungen!$A$10,Rekorde!$A$4:$A$17,0)),"")))</f>
        <v/>
      </c>
      <c r="E313" s="96"/>
      <c r="F313" s="96"/>
      <c r="G313" s="96"/>
      <c r="H313" s="96"/>
      <c r="I313" s="96"/>
    </row>
    <row r="315" customFormat="false" ht="18.75" hidden="false" customHeight="true" outlineLevel="0" collapsed="false">
      <c r="A315" s="89" t="str">
        <f aca="false">Übungen!$A$11</f>
        <v>Beinbeuger</v>
      </c>
      <c r="B315" s="89"/>
      <c r="C315" s="89"/>
      <c r="D315" s="89"/>
      <c r="E315" s="89"/>
      <c r="F315" s="89"/>
      <c r="G315" s="89"/>
      <c r="H315" s="89"/>
      <c r="I315" s="89"/>
    </row>
    <row r="316" customFormat="false" ht="13.5" hidden="false" customHeight="true" outlineLevel="0" collapsed="false">
      <c r="A31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316" s="90"/>
      <c r="C316" s="90"/>
      <c r="D316" s="90"/>
      <c r="E316" s="90"/>
      <c r="F316" s="90"/>
      <c r="G316" s="90"/>
      <c r="H316" s="90"/>
      <c r="I316" s="90"/>
    </row>
    <row r="317" customFormat="false" ht="13.5" hidden="false" customHeight="true" outlineLevel="0" collapsed="false">
      <c r="A31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317" s="91"/>
      <c r="C317" s="91"/>
      <c r="D317" s="91"/>
      <c r="E317" s="91"/>
      <c r="F317" s="91"/>
      <c r="G317" s="91"/>
      <c r="H317" s="91"/>
      <c r="I317" s="91"/>
    </row>
    <row r="318" customFormat="false" ht="18" hidden="false" customHeight="true" outlineLevel="0" collapsed="false">
      <c r="A318" s="92" t="s">
        <v>313</v>
      </c>
      <c r="B318" s="92" t="s">
        <v>314</v>
      </c>
      <c r="C318" s="92" t="s">
        <v>315</v>
      </c>
      <c r="D318" s="92" t="s">
        <v>316</v>
      </c>
      <c r="E318" s="92" t="s">
        <v>317</v>
      </c>
      <c r="F318" s="92" t="s">
        <v>231</v>
      </c>
      <c r="G318" s="92" t="s">
        <v>46</v>
      </c>
      <c r="H318" s="92" t="s">
        <v>318</v>
      </c>
      <c r="I318" s="92" t="s">
        <v>223</v>
      </c>
    </row>
    <row r="319" customFormat="false" ht="18" hidden="false" customHeight="true" outlineLevel="0" collapsed="false">
      <c r="A319" s="93" t="n">
        <v>1</v>
      </c>
      <c r="B319" s="41" t="s">
        <v>236</v>
      </c>
      <c r="C319" s="94" t="n">
        <f aca="false">IF(AND(Übungen!$L$11&lt;&gt;"",'Reha-Modus'!$B$4&lt;&gt;"",'Reha-Modus'!$B$4&lt;Übungen!$L$11),"",IF(IFERROR(INDEX(Rekorde!$O$4:$O$17,MATCH(Übungen!$A$11,Rekorde!$A$4:$A$17,0)),"")="","",ROUND(IFERROR(INDEX(Rekorde!$O$4:$O$17,MATCH(Übungen!$A$11,Rekorde!$A$4:$A$17,0)),"")*0.45*2,0)/2))</f>
        <v>26</v>
      </c>
      <c r="D319" s="95"/>
      <c r="E319" s="96"/>
      <c r="F319" s="96"/>
      <c r="G319" s="96"/>
      <c r="H319" s="96"/>
      <c r="I319" s="96"/>
    </row>
    <row r="320" customFormat="false" ht="18" hidden="false" customHeight="true" outlineLevel="0" collapsed="false">
      <c r="A320" s="93" t="n">
        <v>2</v>
      </c>
      <c r="B320" s="41" t="s">
        <v>236</v>
      </c>
      <c r="C320" s="94" t="n">
        <f aca="false">IF(AND(Übungen!$L$11&lt;&gt;"",'Reha-Modus'!$B$4&lt;&gt;"",'Reha-Modus'!$B$4&lt;Übungen!$L$11),"",IF(IFERROR(INDEX(Rekorde!$O$4:$O$17,MATCH(Übungen!$A$11,Rekorde!$A$4:$A$17,0)),"")="","",ROUND(IFERROR(INDEX(Rekorde!$O$4:$O$17,MATCH(Übungen!$A$11,Rekorde!$A$4:$A$17,0)),"")*0.7*2,0)/2))</f>
        <v>40.5</v>
      </c>
      <c r="D320" s="95"/>
      <c r="E320" s="96"/>
      <c r="F320" s="96"/>
      <c r="G320" s="96"/>
      <c r="H320" s="96"/>
      <c r="I320" s="96"/>
    </row>
    <row r="321" customFormat="false" ht="18" hidden="false" customHeight="true" outlineLevel="0" collapsed="false">
      <c r="A321" s="93" t="n">
        <v>3</v>
      </c>
      <c r="B321" s="97" t="s">
        <v>237</v>
      </c>
      <c r="C321" s="94" t="n">
        <f aca="false">IF(AND(Übungen!$L$11&lt;&gt;"",'Reha-Modus'!$B$4&lt;&gt;"",'Reha-Modus'!$B$4&lt;Übungen!$L$11),"",IF(IFERROR(INDEX(Rekorde!$O$4:$O$17,MATCH(Übungen!$A$11,Rekorde!$A$4:$A$17,0)),"")="","",ROUND(IFERROR(INDEX(Rekorde!$O$4:$O$17,MATCH(Übungen!$A$11,Rekorde!$A$4:$A$17,0)),"")*1*2,0)/2))</f>
        <v>57.5</v>
      </c>
      <c r="D321" s="98" t="n">
        <f aca="false">IF(AND(Übungen!$L$11&lt;&gt;"",'Reha-Modus'!$B$4&lt;&gt;"",'Reha-Modus'!$B$4&lt;Übungen!$L$11),"",IF(IFERROR(INDEX(Rekorde!$P$4:$P$17,MATCH(Übungen!$A$11,Rekorde!$A$4:$A$17,0)),"")="","",IFERROR(INDEX(Rekorde!$P$4:$P$17,MATCH(Übungen!$A$11,Rekorde!$A$4:$A$17,0)),"")))</f>
        <v>5</v>
      </c>
      <c r="E321" s="96"/>
      <c r="F321" s="96"/>
      <c r="G321" s="96"/>
      <c r="H321" s="96"/>
      <c r="I321" s="96"/>
    </row>
    <row r="322" customFormat="false" ht="18" hidden="false" customHeight="true" outlineLevel="0" collapsed="false">
      <c r="A322" s="93" t="n">
        <v>4</v>
      </c>
      <c r="B322" s="97" t="s">
        <v>237</v>
      </c>
      <c r="C322" s="94" t="n">
        <f aca="false">IF(AND(Übungen!$L$11&lt;&gt;"",'Reha-Modus'!$B$4&lt;&gt;"",'Reha-Modus'!$B$4&lt;Übungen!$L$11),"",IF(IFERROR(INDEX(Rekorde!$O$4:$O$17,MATCH(Übungen!$A$11,Rekorde!$A$4:$A$17,0)),"")="","",ROUND(IFERROR(INDEX(Rekorde!$O$4:$O$17,MATCH(Übungen!$A$11,Rekorde!$A$4:$A$17,0)),"")*1*2,0)/2))</f>
        <v>57.5</v>
      </c>
      <c r="D322" s="98" t="n">
        <f aca="false">IF(AND(Übungen!$L$11&lt;&gt;"",'Reha-Modus'!$B$4&lt;&gt;"",'Reha-Modus'!$B$4&lt;Übungen!$L$11),"",IF(IFERROR(INDEX(Rekorde!$P$4:$P$17,MATCH(Übungen!$A$11,Rekorde!$A$4:$A$17,0)),"")="","",IFERROR(INDEX(Rekorde!$P$4:$P$17,MATCH(Übungen!$A$11,Rekorde!$A$4:$A$17,0)),"")))</f>
        <v>5</v>
      </c>
      <c r="E322" s="96"/>
      <c r="F322" s="96"/>
      <c r="G322" s="96"/>
      <c r="H322" s="96"/>
      <c r="I322" s="96"/>
    </row>
    <row r="323" customFormat="false" ht="18" hidden="false" customHeight="true" outlineLevel="0" collapsed="false">
      <c r="A323" s="93" t="n">
        <v>5</v>
      </c>
      <c r="B323" s="41" t="s">
        <v>238</v>
      </c>
      <c r="C323" s="95"/>
      <c r="D323" s="95"/>
      <c r="E323" s="96"/>
      <c r="F323" s="96"/>
      <c r="G323" s="96"/>
      <c r="H323" s="96"/>
      <c r="I323" s="96"/>
    </row>
    <row r="325" customFormat="false" ht="18.75" hidden="false" customHeight="true" outlineLevel="0" collapsed="false">
      <c r="A325" s="89" t="str">
        <f aca="false">Übungen!$A$12</f>
        <v>Seitliche Kickbacks</v>
      </c>
      <c r="B325" s="89"/>
      <c r="C325" s="89"/>
      <c r="D325" s="89"/>
      <c r="E325" s="89"/>
      <c r="F325" s="89"/>
      <c r="G325" s="89"/>
      <c r="H325" s="89"/>
      <c r="I325" s="89"/>
    </row>
    <row r="326" customFormat="false" ht="13.5" hidden="false" customHeight="true" outlineLevel="0" collapsed="false">
      <c r="A32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326" s="90"/>
      <c r="C326" s="90"/>
      <c r="D326" s="90"/>
      <c r="E326" s="90"/>
      <c r="F326" s="90"/>
      <c r="G326" s="90"/>
      <c r="H326" s="90"/>
      <c r="I326" s="90"/>
    </row>
    <row r="327" customFormat="false" ht="13.5" hidden="false" customHeight="true" outlineLevel="0" collapsed="false">
      <c r="A32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327" s="91"/>
      <c r="C327" s="91"/>
      <c r="D327" s="91"/>
      <c r="E327" s="91"/>
      <c r="F327" s="91"/>
      <c r="G327" s="91"/>
      <c r="H327" s="91"/>
      <c r="I327" s="91"/>
    </row>
    <row r="328" customFormat="false" ht="18" hidden="false" customHeight="true" outlineLevel="0" collapsed="false">
      <c r="A328" s="92" t="s">
        <v>313</v>
      </c>
      <c r="B328" s="92" t="s">
        <v>314</v>
      </c>
      <c r="C328" s="92" t="s">
        <v>315</v>
      </c>
      <c r="D328" s="92" t="s">
        <v>316</v>
      </c>
      <c r="E328" s="92" t="s">
        <v>317</v>
      </c>
      <c r="F328" s="92" t="s">
        <v>231</v>
      </c>
      <c r="G328" s="92" t="s">
        <v>46</v>
      </c>
      <c r="H328" s="92" t="s">
        <v>318</v>
      </c>
      <c r="I328" s="92" t="s">
        <v>223</v>
      </c>
    </row>
    <row r="329" customFormat="false" ht="18" hidden="false" customHeight="true" outlineLevel="0" collapsed="false">
      <c r="A329" s="93" t="n">
        <v>1</v>
      </c>
      <c r="B329" s="41" t="s">
        <v>236</v>
      </c>
      <c r="C329" s="94" t="str">
        <f aca="false">IF(AND(Übungen!$L$12&lt;&gt;"",'Reha-Modus'!$B$4&lt;&gt;"",'Reha-Modus'!$B$4&lt;Übungen!$L$12),"",IF(IFERROR(INDEX(Rekorde!$O$4:$O$17,MATCH(Übungen!$A$12,Rekorde!$A$4:$A$17,0)),"")="","",ROUND(IFERROR(INDEX(Rekorde!$O$4:$O$17,MATCH(Übungen!$A$12,Rekorde!$A$4:$A$17,0)),"")*0.45*2,0)/2))</f>
        <v/>
      </c>
      <c r="D329" s="95"/>
      <c r="E329" s="96"/>
      <c r="F329" s="96"/>
      <c r="G329" s="96"/>
      <c r="H329" s="96"/>
      <c r="I329" s="96"/>
    </row>
    <row r="330" customFormat="false" ht="18" hidden="false" customHeight="true" outlineLevel="0" collapsed="false">
      <c r="A330" s="93" t="n">
        <v>2</v>
      </c>
      <c r="B330" s="41" t="s">
        <v>236</v>
      </c>
      <c r="C330" s="94" t="str">
        <f aca="false">IF(AND(Übungen!$L$12&lt;&gt;"",'Reha-Modus'!$B$4&lt;&gt;"",'Reha-Modus'!$B$4&lt;Übungen!$L$12),"",IF(IFERROR(INDEX(Rekorde!$O$4:$O$17,MATCH(Übungen!$A$12,Rekorde!$A$4:$A$17,0)),"")="","",ROUND(IFERROR(INDEX(Rekorde!$O$4:$O$17,MATCH(Übungen!$A$12,Rekorde!$A$4:$A$17,0)),"")*0.7*2,0)/2))</f>
        <v/>
      </c>
      <c r="D330" s="95"/>
      <c r="E330" s="96"/>
      <c r="F330" s="96"/>
      <c r="G330" s="96"/>
      <c r="H330" s="96"/>
      <c r="I330" s="96"/>
    </row>
    <row r="331" customFormat="false" ht="18" hidden="false" customHeight="true" outlineLevel="0" collapsed="false">
      <c r="A331" s="93" t="n">
        <v>3</v>
      </c>
      <c r="B331" s="97" t="s">
        <v>237</v>
      </c>
      <c r="C331" s="94" t="str">
        <f aca="false">IF(AND(Übungen!$L$12&lt;&gt;"",'Reha-Modus'!$B$4&lt;&gt;"",'Reha-Modus'!$B$4&lt;Übungen!$L$12),"",IF(IFERROR(INDEX(Rekorde!$O$4:$O$17,MATCH(Übungen!$A$12,Rekorde!$A$4:$A$17,0)),"")="","",ROUND(IFERROR(INDEX(Rekorde!$O$4:$O$17,MATCH(Übungen!$A$12,Rekorde!$A$4:$A$17,0)),"")*1*2,0)/2))</f>
        <v/>
      </c>
      <c r="D331" s="98" t="str">
        <f aca="false">IF(AND(Übungen!$L$12&lt;&gt;"",'Reha-Modus'!$B$4&lt;&gt;"",'Reha-Modus'!$B$4&lt;Übungen!$L$12),"",IF(IFERROR(INDEX(Rekorde!$P$4:$P$17,MATCH(Übungen!$A$12,Rekorde!$A$4:$A$17,0)),"")="","",IFERROR(INDEX(Rekorde!$P$4:$P$17,MATCH(Übungen!$A$12,Rekorde!$A$4:$A$17,0)),"")))</f>
        <v/>
      </c>
      <c r="E331" s="96"/>
      <c r="F331" s="96"/>
      <c r="G331" s="96"/>
      <c r="H331" s="96"/>
      <c r="I331" s="96"/>
    </row>
    <row r="332" customFormat="false" ht="18" hidden="false" customHeight="true" outlineLevel="0" collapsed="false">
      <c r="A332" s="93" t="n">
        <v>4</v>
      </c>
      <c r="B332" s="97" t="s">
        <v>237</v>
      </c>
      <c r="C332" s="94" t="str">
        <f aca="false">IF(AND(Übungen!$L$12&lt;&gt;"",'Reha-Modus'!$B$4&lt;&gt;"",'Reha-Modus'!$B$4&lt;Übungen!$L$12),"",IF(IFERROR(INDEX(Rekorde!$O$4:$O$17,MATCH(Übungen!$A$12,Rekorde!$A$4:$A$17,0)),"")="","",ROUND(IFERROR(INDEX(Rekorde!$O$4:$O$17,MATCH(Übungen!$A$12,Rekorde!$A$4:$A$17,0)),"")*1*2,0)/2))</f>
        <v/>
      </c>
      <c r="D332" s="98" t="str">
        <f aca="false">IF(AND(Übungen!$L$12&lt;&gt;"",'Reha-Modus'!$B$4&lt;&gt;"",'Reha-Modus'!$B$4&lt;Übungen!$L$12),"",IF(IFERROR(INDEX(Rekorde!$P$4:$P$17,MATCH(Übungen!$A$12,Rekorde!$A$4:$A$17,0)),"")="","",IFERROR(INDEX(Rekorde!$P$4:$P$17,MATCH(Übungen!$A$12,Rekorde!$A$4:$A$17,0)),"")))</f>
        <v/>
      </c>
      <c r="E332" s="96"/>
      <c r="F332" s="96"/>
      <c r="G332" s="96"/>
      <c r="H332" s="96"/>
      <c r="I332" s="96"/>
    </row>
    <row r="333" customFormat="false" ht="18" hidden="false" customHeight="true" outlineLevel="0" collapsed="false">
      <c r="A333" s="93" t="n">
        <v>5</v>
      </c>
      <c r="B333" s="97" t="s">
        <v>237</v>
      </c>
      <c r="C333" s="94" t="str">
        <f aca="false">IF(AND(Übungen!$L$12&lt;&gt;"",'Reha-Modus'!$B$4&lt;&gt;"",'Reha-Modus'!$B$4&lt;Übungen!$L$12),"",IF(IFERROR(INDEX(Rekorde!$O$4:$O$17,MATCH(Übungen!$A$12,Rekorde!$A$4:$A$17,0)),"")="","",ROUND(IFERROR(INDEX(Rekorde!$O$4:$O$17,MATCH(Übungen!$A$12,Rekorde!$A$4:$A$17,0)),"")*1*2,0)/2))</f>
        <v/>
      </c>
      <c r="D333" s="98" t="str">
        <f aca="false">IF(AND(Übungen!$L$12&lt;&gt;"",'Reha-Modus'!$B$4&lt;&gt;"",'Reha-Modus'!$B$4&lt;Übungen!$L$12),"",IF(IFERROR(INDEX(Rekorde!$P$4:$P$17,MATCH(Übungen!$A$12,Rekorde!$A$4:$A$17,0)),"")="","",IFERROR(INDEX(Rekorde!$P$4:$P$17,MATCH(Übungen!$A$12,Rekorde!$A$4:$A$17,0)),"")))</f>
        <v/>
      </c>
      <c r="E333" s="96"/>
      <c r="F333" s="96"/>
      <c r="G333" s="96"/>
      <c r="H333" s="96"/>
      <c r="I333" s="96"/>
    </row>
    <row r="335" customFormat="false" ht="18.75" hidden="false" customHeight="true" outlineLevel="0" collapsed="false">
      <c r="A335" s="89" t="str">
        <f aca="false">Übungen!$A$13</f>
        <v>Waden</v>
      </c>
      <c r="B335" s="89"/>
      <c r="C335" s="89"/>
      <c r="D335" s="89"/>
      <c r="E335" s="89"/>
      <c r="F335" s="89"/>
      <c r="G335" s="89"/>
      <c r="H335" s="89"/>
      <c r="I335" s="89"/>
    </row>
    <row r="336" customFormat="false" ht="13.5" hidden="false" customHeight="true" outlineLevel="0" collapsed="false">
      <c r="A336"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336" s="90"/>
      <c r="C336" s="90"/>
      <c r="D336" s="90"/>
      <c r="E336" s="90"/>
      <c r="F336" s="90"/>
      <c r="G336" s="90"/>
      <c r="H336" s="90"/>
      <c r="I336" s="90"/>
    </row>
    <row r="337" customFormat="false" ht="13.5" hidden="false" customHeight="true" outlineLevel="0" collapsed="false">
      <c r="A337"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337" s="91"/>
      <c r="C337" s="91"/>
      <c r="D337" s="91"/>
      <c r="E337" s="91"/>
      <c r="F337" s="91"/>
      <c r="G337" s="91"/>
      <c r="H337" s="91"/>
      <c r="I337" s="91"/>
    </row>
    <row r="338" customFormat="false" ht="18" hidden="false" customHeight="true" outlineLevel="0" collapsed="false">
      <c r="A338" s="92" t="s">
        <v>313</v>
      </c>
      <c r="B338" s="92" t="s">
        <v>314</v>
      </c>
      <c r="C338" s="92" t="s">
        <v>315</v>
      </c>
      <c r="D338" s="92" t="s">
        <v>316</v>
      </c>
      <c r="E338" s="92" t="s">
        <v>317</v>
      </c>
      <c r="F338" s="92" t="s">
        <v>231</v>
      </c>
      <c r="G338" s="92" t="s">
        <v>46</v>
      </c>
      <c r="H338" s="92" t="s">
        <v>318</v>
      </c>
      <c r="I338" s="92" t="s">
        <v>223</v>
      </c>
    </row>
    <row r="339" customFormat="false" ht="18" hidden="false" customHeight="true" outlineLevel="0" collapsed="false">
      <c r="A339" s="93" t="n">
        <v>1</v>
      </c>
      <c r="B339" s="41" t="s">
        <v>236</v>
      </c>
      <c r="C339" s="94" t="str">
        <f aca="false">IF(AND(Übungen!$L$13&lt;&gt;"",'Reha-Modus'!$B$4&lt;&gt;"",'Reha-Modus'!$B$4&lt;Übungen!$L$13),"",IF(IFERROR(INDEX(Rekorde!$O$4:$O$17,MATCH(Übungen!$A$13,Rekorde!$A$4:$A$17,0)),"")="","",ROUND(IFERROR(INDEX(Rekorde!$O$4:$O$17,MATCH(Übungen!$A$13,Rekorde!$A$4:$A$17,0)),"")*0.45*2,0)/2))</f>
        <v/>
      </c>
      <c r="D339" s="95"/>
      <c r="E339" s="96"/>
      <c r="F339" s="96"/>
      <c r="G339" s="96"/>
      <c r="H339" s="96"/>
      <c r="I339" s="96"/>
    </row>
    <row r="340" customFormat="false" ht="18" hidden="false" customHeight="true" outlineLevel="0" collapsed="false">
      <c r="A340" s="93" t="n">
        <v>2</v>
      </c>
      <c r="B340" s="41" t="s">
        <v>236</v>
      </c>
      <c r="C340" s="94" t="str">
        <f aca="false">IF(AND(Übungen!$L$13&lt;&gt;"",'Reha-Modus'!$B$4&lt;&gt;"",'Reha-Modus'!$B$4&lt;Übungen!$L$13),"",IF(IFERROR(INDEX(Rekorde!$O$4:$O$17,MATCH(Übungen!$A$13,Rekorde!$A$4:$A$17,0)),"")="","",ROUND(IFERROR(INDEX(Rekorde!$O$4:$O$17,MATCH(Übungen!$A$13,Rekorde!$A$4:$A$17,0)),"")*0.7*2,0)/2))</f>
        <v/>
      </c>
      <c r="D340" s="95"/>
      <c r="E340" s="96"/>
      <c r="F340" s="96"/>
      <c r="G340" s="96"/>
      <c r="H340" s="96"/>
      <c r="I340" s="96"/>
    </row>
    <row r="341" customFormat="false" ht="18" hidden="false" customHeight="true" outlineLevel="0" collapsed="false">
      <c r="A341" s="93" t="n">
        <v>3</v>
      </c>
      <c r="B341" s="97" t="s">
        <v>237</v>
      </c>
      <c r="C341" s="94" t="str">
        <f aca="false">IF(AND(Übungen!$L$13&lt;&gt;"",'Reha-Modus'!$B$4&lt;&gt;"",'Reha-Modus'!$B$4&lt;Übungen!$L$13),"",IF(IFERROR(INDEX(Rekorde!$O$4:$O$17,MATCH(Übungen!$A$13,Rekorde!$A$4:$A$17,0)),"")="","",ROUND(IFERROR(INDEX(Rekorde!$O$4:$O$17,MATCH(Übungen!$A$13,Rekorde!$A$4:$A$17,0)),"")*1*2,0)/2))</f>
        <v/>
      </c>
      <c r="D341" s="98" t="str">
        <f aca="false">IF(AND(Übungen!$L$13&lt;&gt;"",'Reha-Modus'!$B$4&lt;&gt;"",'Reha-Modus'!$B$4&lt;Übungen!$L$13),"",IF(IFERROR(INDEX(Rekorde!$P$4:$P$17,MATCH(Übungen!$A$13,Rekorde!$A$4:$A$17,0)),"")="","",IFERROR(INDEX(Rekorde!$P$4:$P$17,MATCH(Übungen!$A$13,Rekorde!$A$4:$A$17,0)),"")))</f>
        <v/>
      </c>
      <c r="E341" s="96"/>
      <c r="F341" s="96"/>
      <c r="G341" s="96"/>
      <c r="H341" s="96"/>
      <c r="I341" s="96"/>
    </row>
    <row r="342" customFormat="false" ht="18" hidden="false" customHeight="true" outlineLevel="0" collapsed="false">
      <c r="A342" s="93" t="n">
        <v>4</v>
      </c>
      <c r="B342" s="97" t="s">
        <v>237</v>
      </c>
      <c r="C342" s="94" t="str">
        <f aca="false">IF(AND(Übungen!$L$13&lt;&gt;"",'Reha-Modus'!$B$4&lt;&gt;"",'Reha-Modus'!$B$4&lt;Übungen!$L$13),"",IF(IFERROR(INDEX(Rekorde!$O$4:$O$17,MATCH(Übungen!$A$13,Rekorde!$A$4:$A$17,0)),"")="","",ROUND(IFERROR(INDEX(Rekorde!$O$4:$O$17,MATCH(Übungen!$A$13,Rekorde!$A$4:$A$17,0)),"")*1*2,0)/2))</f>
        <v/>
      </c>
      <c r="D342" s="98" t="str">
        <f aca="false">IF(AND(Übungen!$L$13&lt;&gt;"",'Reha-Modus'!$B$4&lt;&gt;"",'Reha-Modus'!$B$4&lt;Übungen!$L$13),"",IF(IFERROR(INDEX(Rekorde!$P$4:$P$17,MATCH(Übungen!$A$13,Rekorde!$A$4:$A$17,0)),"")="","",IFERROR(INDEX(Rekorde!$P$4:$P$17,MATCH(Übungen!$A$13,Rekorde!$A$4:$A$17,0)),"")))</f>
        <v/>
      </c>
      <c r="E342" s="96"/>
      <c r="F342" s="96"/>
      <c r="G342" s="96"/>
      <c r="H342" s="96"/>
      <c r="I342" s="96"/>
    </row>
    <row r="343" customFormat="false" ht="18" hidden="false" customHeight="true" outlineLevel="0" collapsed="false">
      <c r="A343" s="93" t="n">
        <v>5</v>
      </c>
      <c r="B343" s="97" t="s">
        <v>237</v>
      </c>
      <c r="C343" s="94" t="str">
        <f aca="false">IF(AND(Übungen!$L$13&lt;&gt;"",'Reha-Modus'!$B$4&lt;&gt;"",'Reha-Modus'!$B$4&lt;Übungen!$L$13),"",IF(IFERROR(INDEX(Rekorde!$O$4:$O$17,MATCH(Übungen!$A$13,Rekorde!$A$4:$A$17,0)),"")="","",ROUND(IFERROR(INDEX(Rekorde!$O$4:$O$17,MATCH(Übungen!$A$13,Rekorde!$A$4:$A$17,0)),"")*1*2,0)/2))</f>
        <v/>
      </c>
      <c r="D343" s="98" t="str">
        <f aca="false">IF(AND(Übungen!$L$13&lt;&gt;"",'Reha-Modus'!$B$4&lt;&gt;"",'Reha-Modus'!$B$4&lt;Übungen!$L$13),"",IF(IFERROR(INDEX(Rekorde!$P$4:$P$17,MATCH(Übungen!$A$13,Rekorde!$A$4:$A$17,0)),"")="","",IFERROR(INDEX(Rekorde!$P$4:$P$17,MATCH(Übungen!$A$13,Rekorde!$A$4:$A$17,0)),"")))</f>
        <v/>
      </c>
      <c r="E343" s="96"/>
      <c r="F343" s="96"/>
      <c r="G343" s="96"/>
      <c r="H343" s="96"/>
      <c r="I343" s="96"/>
    </row>
    <row r="345" customFormat="false" ht="15.75" hidden="false" customHeight="true" outlineLevel="0" collapsed="false">
      <c r="A345" s="3" t="s">
        <v>319</v>
      </c>
      <c r="B345" s="3"/>
      <c r="C345" s="3"/>
      <c r="D345" s="3"/>
      <c r="E345" s="3"/>
      <c r="F345" s="3"/>
      <c r="G345" s="3"/>
      <c r="H345" s="3"/>
      <c r="I345" s="3"/>
    </row>
    <row r="346" customFormat="false" ht="18" hidden="false" customHeight="true" outlineLevel="0" collapsed="false">
      <c r="A346" s="99"/>
      <c r="B346" s="99"/>
      <c r="C346" s="99"/>
      <c r="D346" s="99"/>
      <c r="E346" s="99"/>
      <c r="F346" s="99"/>
      <c r="G346" s="99"/>
      <c r="H346" s="99"/>
      <c r="I346" s="99"/>
    </row>
    <row r="347" customFormat="false" ht="18" hidden="false" customHeight="true" outlineLevel="0" collapsed="false">
      <c r="A347" s="99"/>
      <c r="B347" s="99"/>
      <c r="C347" s="99"/>
      <c r="D347" s="99"/>
      <c r="E347" s="99"/>
      <c r="F347" s="99"/>
      <c r="G347" s="99"/>
      <c r="H347" s="99"/>
      <c r="I347" s="99"/>
    </row>
    <row r="349" customFormat="false" ht="27.75" hidden="false" customHeight="true" outlineLevel="0" collapsed="false">
      <c r="A349" s="1" t="s">
        <v>325</v>
      </c>
      <c r="B349" s="1"/>
      <c r="C349" s="1"/>
      <c r="D349" s="1"/>
      <c r="E349" s="1"/>
      <c r="F349" s="1"/>
      <c r="G349" s="1"/>
      <c r="H349" s="1"/>
      <c r="I349" s="1"/>
    </row>
    <row r="350" customFormat="false" ht="12" hidden="false" customHeight="true" outlineLevel="0" collapsed="false">
      <c r="A350" s="86" t="s">
        <v>67</v>
      </c>
      <c r="B350" s="86"/>
      <c r="C350" s="87" t="s">
        <v>309</v>
      </c>
      <c r="D350" s="87" t="s">
        <v>310</v>
      </c>
      <c r="E350" s="86" t="s">
        <v>311</v>
      </c>
      <c r="F350" s="86"/>
      <c r="G350" s="86" t="s">
        <v>312</v>
      </c>
      <c r="H350" s="86"/>
    </row>
    <row r="351" customFormat="false" ht="18" hidden="false" customHeight="true" outlineLevel="0" collapsed="false">
      <c r="A351" s="88"/>
      <c r="B351" s="88"/>
      <c r="C351" s="88"/>
      <c r="D351" s="88"/>
      <c r="E351" s="88"/>
      <c r="F351" s="88"/>
      <c r="G351" s="88"/>
      <c r="H351" s="88"/>
    </row>
    <row r="353" customFormat="false" ht="18.75" hidden="false" customHeight="true" outlineLevel="0" collapsed="false">
      <c r="A353" s="89" t="str">
        <f aca="false">Übungen!$A$4</f>
        <v>Beinpresse</v>
      </c>
      <c r="B353" s="89"/>
      <c r="C353" s="89"/>
      <c r="D353" s="89"/>
      <c r="E353" s="89"/>
      <c r="F353" s="89"/>
      <c r="G353" s="89"/>
      <c r="H353" s="89"/>
      <c r="I353" s="89"/>
    </row>
    <row r="354" customFormat="false" ht="13.5" hidden="false" customHeight="true" outlineLevel="0" collapsed="false">
      <c r="A35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54" s="90"/>
      <c r="C354" s="90"/>
      <c r="D354" s="90"/>
      <c r="E354" s="90"/>
      <c r="F354" s="90"/>
      <c r="G354" s="90"/>
      <c r="H354" s="90"/>
      <c r="I354" s="90"/>
    </row>
    <row r="355" customFormat="false" ht="13.5" hidden="false" customHeight="true" outlineLevel="0" collapsed="false">
      <c r="A35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355" s="91"/>
      <c r="C355" s="91"/>
      <c r="D355" s="91"/>
      <c r="E355" s="91"/>
      <c r="F355" s="91"/>
      <c r="G355" s="91"/>
      <c r="H355" s="91"/>
      <c r="I355" s="91"/>
    </row>
    <row r="356" customFormat="false" ht="18" hidden="false" customHeight="true" outlineLevel="0" collapsed="false">
      <c r="A356" s="92" t="s">
        <v>313</v>
      </c>
      <c r="B356" s="92" t="s">
        <v>314</v>
      </c>
      <c r="C356" s="92" t="s">
        <v>315</v>
      </c>
      <c r="D356" s="92" t="s">
        <v>316</v>
      </c>
      <c r="E356" s="92" t="s">
        <v>317</v>
      </c>
      <c r="F356" s="92" t="s">
        <v>231</v>
      </c>
      <c r="G356" s="92" t="s">
        <v>46</v>
      </c>
      <c r="H356" s="92" t="s">
        <v>318</v>
      </c>
      <c r="I356" s="92" t="s">
        <v>223</v>
      </c>
    </row>
    <row r="357" customFormat="false" ht="18" hidden="false" customHeight="true" outlineLevel="0" collapsed="false">
      <c r="A357" s="93" t="n">
        <v>1</v>
      </c>
      <c r="B357" s="41" t="s">
        <v>236</v>
      </c>
      <c r="C357" s="94" t="str">
        <f aca="false">IF(AND(Übungen!$L$4&lt;&gt;"",'Reha-Modus'!$B$4&lt;&gt;"",'Reha-Modus'!$B$4&lt;Übungen!$L$4),"",IF(IFERROR(INDEX(Rekorde!$O$4:$O$17,MATCH(Übungen!$A$4,Rekorde!$A$4:$A$17,0)),"")="","",ROUND(IFERROR(INDEX(Rekorde!$O$4:$O$17,MATCH(Übungen!$A$4,Rekorde!$A$4:$A$17,0)),"")*0.45*2,0)/2))</f>
        <v/>
      </c>
      <c r="D357" s="95"/>
      <c r="E357" s="96"/>
      <c r="F357" s="96"/>
      <c r="G357" s="96"/>
      <c r="H357" s="96"/>
      <c r="I357" s="96"/>
    </row>
    <row r="358" customFormat="false" ht="18" hidden="false" customHeight="true" outlineLevel="0" collapsed="false">
      <c r="A358" s="93" t="n">
        <v>2</v>
      </c>
      <c r="B358" s="41" t="s">
        <v>236</v>
      </c>
      <c r="C358" s="94" t="str">
        <f aca="false">IF(AND(Übungen!$L$4&lt;&gt;"",'Reha-Modus'!$B$4&lt;&gt;"",'Reha-Modus'!$B$4&lt;Übungen!$L$4),"",IF(IFERROR(INDEX(Rekorde!$O$4:$O$17,MATCH(Übungen!$A$4,Rekorde!$A$4:$A$17,0)),"")="","",ROUND(IFERROR(INDEX(Rekorde!$O$4:$O$17,MATCH(Übungen!$A$4,Rekorde!$A$4:$A$17,0)),"")*0.7*2,0)/2))</f>
        <v/>
      </c>
      <c r="D358" s="95"/>
      <c r="E358" s="96"/>
      <c r="F358" s="96"/>
      <c r="G358" s="96"/>
      <c r="H358" s="96"/>
      <c r="I358" s="96"/>
    </row>
    <row r="359" customFormat="false" ht="18" hidden="false" customHeight="true" outlineLevel="0" collapsed="false">
      <c r="A359" s="93" t="n">
        <v>3</v>
      </c>
      <c r="B359" s="97" t="s">
        <v>237</v>
      </c>
      <c r="C359" s="94" t="str">
        <f aca="false">IF(AND(Übungen!$L$4&lt;&gt;"",'Reha-Modus'!$B$4&lt;&gt;"",'Reha-Modus'!$B$4&lt;Übungen!$L$4),"",IF(IFERROR(INDEX(Rekorde!$O$4:$O$17,MATCH(Übungen!$A$4,Rekorde!$A$4:$A$17,0)),"")="","",ROUND(IFERROR(INDEX(Rekorde!$O$4:$O$17,MATCH(Übungen!$A$4,Rekorde!$A$4:$A$17,0)),"")*1*2,0)/2))</f>
        <v/>
      </c>
      <c r="D359" s="98" t="str">
        <f aca="false">IF(AND(Übungen!$L$4&lt;&gt;"",'Reha-Modus'!$B$4&lt;&gt;"",'Reha-Modus'!$B$4&lt;Übungen!$L$4),"",IF(IFERROR(INDEX(Rekorde!$P$4:$P$17,MATCH(Übungen!$A$4,Rekorde!$A$4:$A$17,0)),"")="","",IFERROR(INDEX(Rekorde!$P$4:$P$17,MATCH(Übungen!$A$4,Rekorde!$A$4:$A$17,0)),"")))</f>
        <v/>
      </c>
      <c r="E359" s="96"/>
      <c r="F359" s="96"/>
      <c r="G359" s="96"/>
      <c r="H359" s="96"/>
      <c r="I359" s="96"/>
    </row>
    <row r="360" customFormat="false" ht="18" hidden="false" customHeight="true" outlineLevel="0" collapsed="false">
      <c r="A360" s="93" t="n">
        <v>4</v>
      </c>
      <c r="B360" s="97" t="s">
        <v>237</v>
      </c>
      <c r="C360" s="94" t="str">
        <f aca="false">IF(AND(Übungen!$L$4&lt;&gt;"",'Reha-Modus'!$B$4&lt;&gt;"",'Reha-Modus'!$B$4&lt;Übungen!$L$4),"",IF(IFERROR(INDEX(Rekorde!$O$4:$O$17,MATCH(Übungen!$A$4,Rekorde!$A$4:$A$17,0)),"")="","",ROUND(IFERROR(INDEX(Rekorde!$O$4:$O$17,MATCH(Übungen!$A$4,Rekorde!$A$4:$A$17,0)),"")*1*2,0)/2))</f>
        <v/>
      </c>
      <c r="D360" s="98" t="str">
        <f aca="false">IF(AND(Übungen!$L$4&lt;&gt;"",'Reha-Modus'!$B$4&lt;&gt;"",'Reha-Modus'!$B$4&lt;Übungen!$L$4),"",IF(IFERROR(INDEX(Rekorde!$P$4:$P$17,MATCH(Übungen!$A$4,Rekorde!$A$4:$A$17,0)),"")="","",IFERROR(INDEX(Rekorde!$P$4:$P$17,MATCH(Übungen!$A$4,Rekorde!$A$4:$A$17,0)),"")))</f>
        <v/>
      </c>
      <c r="E360" s="96"/>
      <c r="F360" s="96"/>
      <c r="G360" s="96"/>
      <c r="H360" s="96"/>
      <c r="I360" s="96"/>
    </row>
    <row r="361" customFormat="false" ht="18" hidden="false" customHeight="true" outlineLevel="0" collapsed="false">
      <c r="A361" s="93" t="n">
        <v>5</v>
      </c>
      <c r="B361" s="97" t="s">
        <v>237</v>
      </c>
      <c r="C361" s="94" t="str">
        <f aca="false">IF(AND(Übungen!$L$4&lt;&gt;"",'Reha-Modus'!$B$4&lt;&gt;"",'Reha-Modus'!$B$4&lt;Übungen!$L$4),"",IF(IFERROR(INDEX(Rekorde!$O$4:$O$17,MATCH(Übungen!$A$4,Rekorde!$A$4:$A$17,0)),"")="","",ROUND(IFERROR(INDEX(Rekorde!$O$4:$O$17,MATCH(Übungen!$A$4,Rekorde!$A$4:$A$17,0)),"")*1*2,0)/2))</f>
        <v/>
      </c>
      <c r="D361" s="98" t="str">
        <f aca="false">IF(AND(Übungen!$L$4&lt;&gt;"",'Reha-Modus'!$B$4&lt;&gt;"",'Reha-Modus'!$B$4&lt;Übungen!$L$4),"",IF(IFERROR(INDEX(Rekorde!$P$4:$P$17,MATCH(Übungen!$A$4,Rekorde!$A$4:$A$17,0)),"")="","",IFERROR(INDEX(Rekorde!$P$4:$P$17,MATCH(Übungen!$A$4,Rekorde!$A$4:$A$17,0)),"")))</f>
        <v/>
      </c>
      <c r="E361" s="96"/>
      <c r="F361" s="96"/>
      <c r="G361" s="96"/>
      <c r="H361" s="96"/>
      <c r="I361" s="96"/>
    </row>
    <row r="363" customFormat="false" ht="18.75" hidden="false" customHeight="true" outlineLevel="0" collapsed="false">
      <c r="A363" s="89" t="str">
        <f aca="false">Übungen!$A$5</f>
        <v>Split Squat</v>
      </c>
      <c r="B363" s="89"/>
      <c r="C363" s="89"/>
      <c r="D363" s="89"/>
      <c r="E363" s="89"/>
      <c r="F363" s="89"/>
      <c r="G363" s="89"/>
      <c r="H363" s="89"/>
      <c r="I363" s="89"/>
    </row>
    <row r="364" customFormat="false" ht="13.5" hidden="false" customHeight="true" outlineLevel="0" collapsed="false">
      <c r="A36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64" s="90"/>
      <c r="C364" s="90"/>
      <c r="D364" s="90"/>
      <c r="E364" s="90"/>
      <c r="F364" s="90"/>
      <c r="G364" s="90"/>
      <c r="H364" s="90"/>
      <c r="I364" s="90"/>
    </row>
    <row r="365" customFormat="false" ht="13.5" hidden="false" customHeight="true" outlineLevel="0" collapsed="false">
      <c r="A36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365" s="91"/>
      <c r="C365" s="91"/>
      <c r="D365" s="91"/>
      <c r="E365" s="91"/>
      <c r="F365" s="91"/>
      <c r="G365" s="91"/>
      <c r="H365" s="91"/>
      <c r="I365" s="91"/>
    </row>
    <row r="366" customFormat="false" ht="18" hidden="false" customHeight="true" outlineLevel="0" collapsed="false">
      <c r="A366" s="92" t="s">
        <v>313</v>
      </c>
      <c r="B366" s="92" t="s">
        <v>314</v>
      </c>
      <c r="C366" s="92" t="s">
        <v>315</v>
      </c>
      <c r="D366" s="92" t="s">
        <v>316</v>
      </c>
      <c r="E366" s="92" t="s">
        <v>317</v>
      </c>
      <c r="F366" s="92" t="s">
        <v>231</v>
      </c>
      <c r="G366" s="92" t="s">
        <v>46</v>
      </c>
      <c r="H366" s="92" t="s">
        <v>318</v>
      </c>
      <c r="I366" s="92" t="s">
        <v>223</v>
      </c>
    </row>
    <row r="367" customFormat="false" ht="18" hidden="false" customHeight="true" outlineLevel="0" collapsed="false">
      <c r="A367" s="93" t="n">
        <v>1</v>
      </c>
      <c r="B367" s="41" t="s">
        <v>236</v>
      </c>
      <c r="C367" s="94" t="str">
        <f aca="false">IF(AND(Übungen!$L$5&lt;&gt;"",'Reha-Modus'!$B$4&lt;&gt;"",'Reha-Modus'!$B$4&lt;Übungen!$L$5),"",IF(IFERROR(INDEX(Rekorde!$O$4:$O$17,MATCH(Übungen!$A$5,Rekorde!$A$4:$A$17,0)),"")="","",ROUND(IFERROR(INDEX(Rekorde!$O$4:$O$17,MATCH(Übungen!$A$5,Rekorde!$A$4:$A$17,0)),"")*0.45*2,0)/2))</f>
        <v/>
      </c>
      <c r="D367" s="95"/>
      <c r="E367" s="96"/>
      <c r="F367" s="96"/>
      <c r="G367" s="96"/>
      <c r="H367" s="96"/>
      <c r="I367" s="96"/>
    </row>
    <row r="368" customFormat="false" ht="18" hidden="false" customHeight="true" outlineLevel="0" collapsed="false">
      <c r="A368" s="93" t="n">
        <v>2</v>
      </c>
      <c r="B368" s="41" t="s">
        <v>236</v>
      </c>
      <c r="C368" s="94" t="str">
        <f aca="false">IF(AND(Übungen!$L$5&lt;&gt;"",'Reha-Modus'!$B$4&lt;&gt;"",'Reha-Modus'!$B$4&lt;Übungen!$L$5),"",IF(IFERROR(INDEX(Rekorde!$O$4:$O$17,MATCH(Übungen!$A$5,Rekorde!$A$4:$A$17,0)),"")="","",ROUND(IFERROR(INDEX(Rekorde!$O$4:$O$17,MATCH(Übungen!$A$5,Rekorde!$A$4:$A$17,0)),"")*0.7*2,0)/2))</f>
        <v/>
      </c>
      <c r="D368" s="95"/>
      <c r="E368" s="96"/>
      <c r="F368" s="96"/>
      <c r="G368" s="96"/>
      <c r="H368" s="96"/>
      <c r="I368" s="96"/>
    </row>
    <row r="369" customFormat="false" ht="18" hidden="false" customHeight="true" outlineLevel="0" collapsed="false">
      <c r="A369" s="93" t="n">
        <v>3</v>
      </c>
      <c r="B369" s="97" t="s">
        <v>237</v>
      </c>
      <c r="C369" s="94" t="str">
        <f aca="false">IF(AND(Übungen!$L$5&lt;&gt;"",'Reha-Modus'!$B$4&lt;&gt;"",'Reha-Modus'!$B$4&lt;Übungen!$L$5),"",IF(IFERROR(INDEX(Rekorde!$O$4:$O$17,MATCH(Übungen!$A$5,Rekorde!$A$4:$A$17,0)),"")="","",ROUND(IFERROR(INDEX(Rekorde!$O$4:$O$17,MATCH(Übungen!$A$5,Rekorde!$A$4:$A$17,0)),"")*1*2,0)/2))</f>
        <v/>
      </c>
      <c r="D369" s="98" t="str">
        <f aca="false">IF(AND(Übungen!$L$5&lt;&gt;"",'Reha-Modus'!$B$4&lt;&gt;"",'Reha-Modus'!$B$4&lt;Übungen!$L$5),"",IF(IFERROR(INDEX(Rekorde!$P$4:$P$17,MATCH(Übungen!$A$5,Rekorde!$A$4:$A$17,0)),"")="","",IFERROR(INDEX(Rekorde!$P$4:$P$17,MATCH(Übungen!$A$5,Rekorde!$A$4:$A$17,0)),"")))</f>
        <v/>
      </c>
      <c r="E369" s="96"/>
      <c r="F369" s="96"/>
      <c r="G369" s="96"/>
      <c r="H369" s="96"/>
      <c r="I369" s="96"/>
    </row>
    <row r="370" customFormat="false" ht="18" hidden="false" customHeight="true" outlineLevel="0" collapsed="false">
      <c r="A370" s="93" t="n">
        <v>4</v>
      </c>
      <c r="B370" s="97" t="s">
        <v>237</v>
      </c>
      <c r="C370" s="94" t="str">
        <f aca="false">IF(AND(Übungen!$L$5&lt;&gt;"",'Reha-Modus'!$B$4&lt;&gt;"",'Reha-Modus'!$B$4&lt;Übungen!$L$5),"",IF(IFERROR(INDEX(Rekorde!$O$4:$O$17,MATCH(Übungen!$A$5,Rekorde!$A$4:$A$17,0)),"")="","",ROUND(IFERROR(INDEX(Rekorde!$O$4:$O$17,MATCH(Übungen!$A$5,Rekorde!$A$4:$A$17,0)),"")*1*2,0)/2))</f>
        <v/>
      </c>
      <c r="D370" s="98" t="str">
        <f aca="false">IF(AND(Übungen!$L$5&lt;&gt;"",'Reha-Modus'!$B$4&lt;&gt;"",'Reha-Modus'!$B$4&lt;Übungen!$L$5),"",IF(IFERROR(INDEX(Rekorde!$P$4:$P$17,MATCH(Übungen!$A$5,Rekorde!$A$4:$A$17,0)),"")="","",IFERROR(INDEX(Rekorde!$P$4:$P$17,MATCH(Übungen!$A$5,Rekorde!$A$4:$A$17,0)),"")))</f>
        <v/>
      </c>
      <c r="E370" s="96"/>
      <c r="F370" s="96"/>
      <c r="G370" s="96"/>
      <c r="H370" s="96"/>
      <c r="I370" s="96"/>
    </row>
    <row r="371" customFormat="false" ht="18" hidden="false" customHeight="true" outlineLevel="0" collapsed="false">
      <c r="A371" s="93" t="n">
        <v>5</v>
      </c>
      <c r="B371" s="97" t="s">
        <v>237</v>
      </c>
      <c r="C371" s="94" t="str">
        <f aca="false">IF(AND(Übungen!$L$5&lt;&gt;"",'Reha-Modus'!$B$4&lt;&gt;"",'Reha-Modus'!$B$4&lt;Übungen!$L$5),"",IF(IFERROR(INDEX(Rekorde!$O$4:$O$17,MATCH(Übungen!$A$5,Rekorde!$A$4:$A$17,0)),"")="","",ROUND(IFERROR(INDEX(Rekorde!$O$4:$O$17,MATCH(Übungen!$A$5,Rekorde!$A$4:$A$17,0)),"")*1*2,0)/2))</f>
        <v/>
      </c>
      <c r="D371" s="98" t="str">
        <f aca="false">IF(AND(Übungen!$L$5&lt;&gt;"",'Reha-Modus'!$B$4&lt;&gt;"",'Reha-Modus'!$B$4&lt;Übungen!$L$5),"",IF(IFERROR(INDEX(Rekorde!$P$4:$P$17,MATCH(Übungen!$A$5,Rekorde!$A$4:$A$17,0)),"")="","",IFERROR(INDEX(Rekorde!$P$4:$P$17,MATCH(Übungen!$A$5,Rekorde!$A$4:$A$17,0)),"")))</f>
        <v/>
      </c>
      <c r="E371" s="96"/>
      <c r="F371" s="96"/>
      <c r="G371" s="96"/>
      <c r="H371" s="96"/>
      <c r="I371" s="96"/>
    </row>
    <row r="373" customFormat="false" ht="18.75" hidden="false" customHeight="true" outlineLevel="0" collapsed="false">
      <c r="A373" s="89" t="str">
        <f aca="false">Übungen!$A$6</f>
        <v>Beinstrecker</v>
      </c>
      <c r="B373" s="89"/>
      <c r="C373" s="89"/>
      <c r="D373" s="89"/>
      <c r="E373" s="89"/>
      <c r="F373" s="89"/>
      <c r="G373" s="89"/>
      <c r="H373" s="89"/>
      <c r="I373" s="89"/>
    </row>
    <row r="374" customFormat="false" ht="13.5" hidden="false" customHeight="true" outlineLevel="0" collapsed="false">
      <c r="A37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74" s="90"/>
      <c r="C374" s="90"/>
      <c r="D374" s="90"/>
      <c r="E374" s="90"/>
      <c r="F374" s="90"/>
      <c r="G374" s="90"/>
      <c r="H374" s="90"/>
      <c r="I374" s="90"/>
    </row>
    <row r="375" customFormat="false" ht="13.5" hidden="false" customHeight="true" outlineLevel="0" collapsed="false">
      <c r="A37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375" s="91"/>
      <c r="C375" s="91"/>
      <c r="D375" s="91"/>
      <c r="E375" s="91"/>
      <c r="F375" s="91"/>
      <c r="G375" s="91"/>
      <c r="H375" s="91"/>
      <c r="I375" s="91"/>
    </row>
    <row r="376" customFormat="false" ht="18" hidden="false" customHeight="true" outlineLevel="0" collapsed="false">
      <c r="A376" s="92" t="s">
        <v>313</v>
      </c>
      <c r="B376" s="92" t="s">
        <v>314</v>
      </c>
      <c r="C376" s="92" t="s">
        <v>315</v>
      </c>
      <c r="D376" s="92" t="s">
        <v>316</v>
      </c>
      <c r="E376" s="92" t="s">
        <v>317</v>
      </c>
      <c r="F376" s="92" t="s">
        <v>231</v>
      </c>
      <c r="G376" s="92" t="s">
        <v>46</v>
      </c>
      <c r="H376" s="92" t="s">
        <v>318</v>
      </c>
      <c r="I376" s="92" t="s">
        <v>223</v>
      </c>
    </row>
    <row r="377" customFormat="false" ht="18" hidden="false" customHeight="true" outlineLevel="0" collapsed="false">
      <c r="A377" s="93" t="n">
        <v>1</v>
      </c>
      <c r="B377" s="41" t="s">
        <v>236</v>
      </c>
      <c r="C377" s="94" t="n">
        <f aca="false">IF(AND(Übungen!$L$6&lt;&gt;"",'Reha-Modus'!$B$4&lt;&gt;"",'Reha-Modus'!$B$4&lt;Übungen!$L$6),"",IF(IFERROR(INDEX(Rekorde!$O$4:$O$17,MATCH(Übungen!$A$6,Rekorde!$A$4:$A$17,0)),"")="","",ROUND(IFERROR(INDEX(Rekorde!$O$4:$O$17,MATCH(Übungen!$A$6,Rekorde!$A$4:$A$17,0)),"")*0.45*2,0)/2))</f>
        <v>43</v>
      </c>
      <c r="D377" s="95"/>
      <c r="E377" s="96"/>
      <c r="F377" s="96"/>
      <c r="G377" s="96"/>
      <c r="H377" s="96"/>
      <c r="I377" s="96"/>
    </row>
    <row r="378" customFormat="false" ht="18" hidden="false" customHeight="true" outlineLevel="0" collapsed="false">
      <c r="A378" s="93" t="n">
        <v>2</v>
      </c>
      <c r="B378" s="41" t="s">
        <v>236</v>
      </c>
      <c r="C378" s="94" t="n">
        <f aca="false">IF(AND(Übungen!$L$6&lt;&gt;"",'Reha-Modus'!$B$4&lt;&gt;"",'Reha-Modus'!$B$4&lt;Übungen!$L$6),"",IF(IFERROR(INDEX(Rekorde!$O$4:$O$17,MATCH(Übungen!$A$6,Rekorde!$A$4:$A$17,0)),"")="","",ROUND(IFERROR(INDEX(Rekorde!$O$4:$O$17,MATCH(Übungen!$A$6,Rekorde!$A$4:$A$17,0)),"")*0.7*2,0)/2))</f>
        <v>66.5</v>
      </c>
      <c r="D378" s="95"/>
      <c r="E378" s="96"/>
      <c r="F378" s="96"/>
      <c r="G378" s="96"/>
      <c r="H378" s="96"/>
      <c r="I378" s="96"/>
    </row>
    <row r="379" customFormat="false" ht="18" hidden="false" customHeight="true" outlineLevel="0" collapsed="false">
      <c r="A379" s="93" t="n">
        <v>3</v>
      </c>
      <c r="B379" s="97" t="s">
        <v>237</v>
      </c>
      <c r="C379" s="94" t="n">
        <f aca="false">IF(AND(Übungen!$L$6&lt;&gt;"",'Reha-Modus'!$B$4&lt;&gt;"",'Reha-Modus'!$B$4&lt;Übungen!$L$6),"",IF(IFERROR(INDEX(Rekorde!$O$4:$O$17,MATCH(Übungen!$A$6,Rekorde!$A$4:$A$17,0)),"")="","",ROUND(IFERROR(INDEX(Rekorde!$O$4:$O$17,MATCH(Übungen!$A$6,Rekorde!$A$4:$A$17,0)),"")*1*2,0)/2))</f>
        <v>95</v>
      </c>
      <c r="D379" s="98" t="n">
        <f aca="false">IF(AND(Übungen!$L$6&lt;&gt;"",'Reha-Modus'!$B$4&lt;&gt;"",'Reha-Modus'!$B$4&lt;Übungen!$L$6),"",IF(IFERROR(INDEX(Rekorde!$P$4:$P$17,MATCH(Übungen!$A$6,Rekorde!$A$4:$A$17,0)),"")="","",IFERROR(INDEX(Rekorde!$P$4:$P$17,MATCH(Übungen!$A$6,Rekorde!$A$4:$A$17,0)),"")))</f>
        <v>6</v>
      </c>
      <c r="E379" s="96"/>
      <c r="F379" s="96"/>
      <c r="G379" s="96"/>
      <c r="H379" s="96"/>
      <c r="I379" s="96"/>
    </row>
    <row r="380" customFormat="false" ht="18" hidden="false" customHeight="true" outlineLevel="0" collapsed="false">
      <c r="A380" s="93" t="n">
        <v>4</v>
      </c>
      <c r="B380" s="97" t="s">
        <v>237</v>
      </c>
      <c r="C380" s="94" t="n">
        <f aca="false">IF(AND(Übungen!$L$6&lt;&gt;"",'Reha-Modus'!$B$4&lt;&gt;"",'Reha-Modus'!$B$4&lt;Übungen!$L$6),"",IF(IFERROR(INDEX(Rekorde!$O$4:$O$17,MATCH(Übungen!$A$6,Rekorde!$A$4:$A$17,0)),"")="","",ROUND(IFERROR(INDEX(Rekorde!$O$4:$O$17,MATCH(Übungen!$A$6,Rekorde!$A$4:$A$17,0)),"")*1*2,0)/2))</f>
        <v>95</v>
      </c>
      <c r="D380" s="98" t="n">
        <f aca="false">IF(AND(Übungen!$L$6&lt;&gt;"",'Reha-Modus'!$B$4&lt;&gt;"",'Reha-Modus'!$B$4&lt;Übungen!$L$6),"",IF(IFERROR(INDEX(Rekorde!$P$4:$P$17,MATCH(Übungen!$A$6,Rekorde!$A$4:$A$17,0)),"")="","",IFERROR(INDEX(Rekorde!$P$4:$P$17,MATCH(Übungen!$A$6,Rekorde!$A$4:$A$17,0)),"")))</f>
        <v>6</v>
      </c>
      <c r="E380" s="96"/>
      <c r="F380" s="96"/>
      <c r="G380" s="96"/>
      <c r="H380" s="96"/>
      <c r="I380" s="96"/>
    </row>
    <row r="381" customFormat="false" ht="18" hidden="false" customHeight="true" outlineLevel="0" collapsed="false">
      <c r="A381" s="93" t="n">
        <v>5</v>
      </c>
      <c r="B381" s="41" t="s">
        <v>238</v>
      </c>
      <c r="C381" s="95"/>
      <c r="D381" s="95"/>
      <c r="E381" s="96"/>
      <c r="F381" s="96"/>
      <c r="G381" s="96"/>
      <c r="H381" s="96"/>
      <c r="I381" s="96"/>
    </row>
    <row r="383" customFormat="false" ht="18.75" hidden="false" customHeight="true" outlineLevel="0" collapsed="false">
      <c r="A383" s="89" t="str">
        <f aca="false">Übungen!$A$7</f>
        <v>Adduktion</v>
      </c>
      <c r="B383" s="89"/>
      <c r="C383" s="89"/>
      <c r="D383" s="89"/>
      <c r="E383" s="89"/>
      <c r="F383" s="89"/>
      <c r="G383" s="89"/>
      <c r="H383" s="89"/>
      <c r="I383" s="89"/>
    </row>
    <row r="384" customFormat="false" ht="13.5" hidden="false" customHeight="true" outlineLevel="0" collapsed="false">
      <c r="A38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84" s="90"/>
      <c r="C384" s="90"/>
      <c r="D384" s="90"/>
      <c r="E384" s="90"/>
      <c r="F384" s="90"/>
      <c r="G384" s="90"/>
      <c r="H384" s="90"/>
      <c r="I384" s="90"/>
    </row>
    <row r="385" customFormat="false" ht="13.5" hidden="false" customHeight="true" outlineLevel="0" collapsed="false">
      <c r="A38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85" s="91"/>
      <c r="C385" s="91"/>
      <c r="D385" s="91"/>
      <c r="E385" s="91"/>
      <c r="F385" s="91"/>
      <c r="G385" s="91"/>
      <c r="H385" s="91"/>
      <c r="I385" s="91"/>
    </row>
    <row r="386" customFormat="false" ht="18" hidden="false" customHeight="true" outlineLevel="0" collapsed="false">
      <c r="A386" s="92" t="s">
        <v>313</v>
      </c>
      <c r="B386" s="92" t="s">
        <v>314</v>
      </c>
      <c r="C386" s="92" t="s">
        <v>315</v>
      </c>
      <c r="D386" s="92" t="s">
        <v>316</v>
      </c>
      <c r="E386" s="92" t="s">
        <v>317</v>
      </c>
      <c r="F386" s="92" t="s">
        <v>231</v>
      </c>
      <c r="G386" s="92" t="s">
        <v>46</v>
      </c>
      <c r="H386" s="92" t="s">
        <v>318</v>
      </c>
      <c r="I386" s="92" t="s">
        <v>223</v>
      </c>
    </row>
    <row r="387" customFormat="false" ht="18" hidden="false" customHeight="true" outlineLevel="0" collapsed="false">
      <c r="A387" s="93" t="n">
        <v>1</v>
      </c>
      <c r="B387" s="41" t="s">
        <v>236</v>
      </c>
      <c r="C387" s="94" t="n">
        <f aca="false">IF(AND(Übungen!$L$7&lt;&gt;"",'Reha-Modus'!$B$4&lt;&gt;"",'Reha-Modus'!$B$4&lt;Übungen!$L$7),"",IF(IFERROR(INDEX(Rekorde!$O$4:$O$17,MATCH(Übungen!$A$7,Rekorde!$A$4:$A$17,0)),"")="","",ROUND(IFERROR(INDEX(Rekorde!$O$4:$O$17,MATCH(Übungen!$A$7,Rekorde!$A$4:$A$17,0)),"")*0.45*2,0)/2))</f>
        <v>83.5</v>
      </c>
      <c r="D387" s="95"/>
      <c r="E387" s="96"/>
      <c r="F387" s="96"/>
      <c r="G387" s="96"/>
      <c r="H387" s="96"/>
      <c r="I387" s="96"/>
    </row>
    <row r="388" customFormat="false" ht="18" hidden="false" customHeight="true" outlineLevel="0" collapsed="false">
      <c r="A388" s="93" t="n">
        <v>2</v>
      </c>
      <c r="B388" s="41" t="s">
        <v>236</v>
      </c>
      <c r="C388" s="94" t="n">
        <f aca="false">IF(AND(Übungen!$L$7&lt;&gt;"",'Reha-Modus'!$B$4&lt;&gt;"",'Reha-Modus'!$B$4&lt;Übungen!$L$7),"",IF(IFERROR(INDEX(Rekorde!$O$4:$O$17,MATCH(Übungen!$A$7,Rekorde!$A$4:$A$17,0)),"")="","",ROUND(IFERROR(INDEX(Rekorde!$O$4:$O$17,MATCH(Übungen!$A$7,Rekorde!$A$4:$A$17,0)),"")*0.7*2,0)/2))</f>
        <v>129.5</v>
      </c>
      <c r="D388" s="95"/>
      <c r="E388" s="96"/>
      <c r="F388" s="96"/>
      <c r="G388" s="96"/>
      <c r="H388" s="96"/>
      <c r="I388" s="96"/>
    </row>
    <row r="389" customFormat="false" ht="18" hidden="false" customHeight="true" outlineLevel="0" collapsed="false">
      <c r="A389" s="93" t="n">
        <v>3</v>
      </c>
      <c r="B389" s="97" t="s">
        <v>237</v>
      </c>
      <c r="C389" s="94" t="n">
        <f aca="false">IF(AND(Übungen!$L$7&lt;&gt;"",'Reha-Modus'!$B$4&lt;&gt;"",'Reha-Modus'!$B$4&lt;Übungen!$L$7),"",IF(IFERROR(INDEX(Rekorde!$O$4:$O$17,MATCH(Übungen!$A$7,Rekorde!$A$4:$A$17,0)),"")="","",ROUND(IFERROR(INDEX(Rekorde!$O$4:$O$17,MATCH(Übungen!$A$7,Rekorde!$A$4:$A$17,0)),"")*1*2,0)/2))</f>
        <v>185</v>
      </c>
      <c r="D389" s="98" t="n">
        <f aca="false">IF(AND(Übungen!$L$7&lt;&gt;"",'Reha-Modus'!$B$4&lt;&gt;"",'Reha-Modus'!$B$4&lt;Übungen!$L$7),"",IF(IFERROR(INDEX(Rekorde!$P$4:$P$17,MATCH(Übungen!$A$7,Rekorde!$A$4:$A$17,0)),"")="","",IFERROR(INDEX(Rekorde!$P$4:$P$17,MATCH(Übungen!$A$7,Rekorde!$A$4:$A$17,0)),"")))</f>
        <v>5</v>
      </c>
      <c r="E389" s="96"/>
      <c r="F389" s="96"/>
      <c r="G389" s="96"/>
      <c r="H389" s="96"/>
      <c r="I389" s="96"/>
    </row>
    <row r="390" customFormat="false" ht="18" hidden="false" customHeight="true" outlineLevel="0" collapsed="false">
      <c r="A390" s="93" t="n">
        <v>4</v>
      </c>
      <c r="B390" s="97" t="s">
        <v>237</v>
      </c>
      <c r="C390" s="94" t="n">
        <f aca="false">IF(AND(Übungen!$L$7&lt;&gt;"",'Reha-Modus'!$B$4&lt;&gt;"",'Reha-Modus'!$B$4&lt;Übungen!$L$7),"",IF(IFERROR(INDEX(Rekorde!$O$4:$O$17,MATCH(Übungen!$A$7,Rekorde!$A$4:$A$17,0)),"")="","",ROUND(IFERROR(INDEX(Rekorde!$O$4:$O$17,MATCH(Übungen!$A$7,Rekorde!$A$4:$A$17,0)),"")*1*2,0)/2))</f>
        <v>185</v>
      </c>
      <c r="D390" s="98" t="n">
        <f aca="false">IF(AND(Übungen!$L$7&lt;&gt;"",'Reha-Modus'!$B$4&lt;&gt;"",'Reha-Modus'!$B$4&lt;Übungen!$L$7),"",IF(IFERROR(INDEX(Rekorde!$P$4:$P$17,MATCH(Übungen!$A$7,Rekorde!$A$4:$A$17,0)),"")="","",IFERROR(INDEX(Rekorde!$P$4:$P$17,MATCH(Übungen!$A$7,Rekorde!$A$4:$A$17,0)),"")))</f>
        <v>5</v>
      </c>
      <c r="E390" s="96"/>
      <c r="F390" s="96"/>
      <c r="G390" s="96"/>
      <c r="H390" s="96"/>
      <c r="I390" s="96"/>
    </row>
    <row r="391" customFormat="false" ht="18" hidden="false" customHeight="true" outlineLevel="0" collapsed="false">
      <c r="A391" s="93" t="n">
        <v>5</v>
      </c>
      <c r="B391" s="41" t="s">
        <v>238</v>
      </c>
      <c r="C391" s="95"/>
      <c r="D391" s="95"/>
      <c r="E391" s="96"/>
      <c r="F391" s="96"/>
      <c r="G391" s="96"/>
      <c r="H391" s="96"/>
      <c r="I391" s="96"/>
    </row>
    <row r="393" customFormat="false" ht="15.75" hidden="false" customHeight="true" outlineLevel="0" collapsed="false">
      <c r="A393" s="3" t="s">
        <v>319</v>
      </c>
      <c r="B393" s="3"/>
      <c r="C393" s="3"/>
      <c r="D393" s="3"/>
      <c r="E393" s="3"/>
      <c r="F393" s="3"/>
      <c r="G393" s="3"/>
      <c r="H393" s="3"/>
      <c r="I393" s="3"/>
    </row>
    <row r="394" customFormat="false" ht="18" hidden="false" customHeight="true" outlineLevel="0" collapsed="false">
      <c r="A394" s="99"/>
      <c r="B394" s="99"/>
      <c r="C394" s="99"/>
      <c r="D394" s="99"/>
      <c r="E394" s="99"/>
      <c r="F394" s="99"/>
      <c r="G394" s="99"/>
      <c r="H394" s="99"/>
      <c r="I394" s="99"/>
    </row>
    <row r="395" customFormat="false" ht="18" hidden="false" customHeight="true" outlineLevel="0" collapsed="false">
      <c r="A395" s="99"/>
      <c r="B395" s="99"/>
      <c r="C395" s="99"/>
      <c r="D395" s="99"/>
      <c r="E395" s="99"/>
      <c r="F395" s="99"/>
      <c r="G395" s="99"/>
      <c r="H395" s="99"/>
      <c r="I395" s="99"/>
    </row>
    <row r="397" customFormat="false" ht="27.75" hidden="false" customHeight="true" outlineLevel="0" collapsed="false">
      <c r="A397" s="1" t="s">
        <v>326</v>
      </c>
      <c r="B397" s="1"/>
      <c r="C397" s="1"/>
      <c r="D397" s="1"/>
      <c r="E397" s="1"/>
      <c r="F397" s="1"/>
      <c r="G397" s="1"/>
      <c r="H397" s="1"/>
      <c r="I397" s="1"/>
    </row>
    <row r="398" customFormat="false" ht="12" hidden="false" customHeight="true" outlineLevel="0" collapsed="false">
      <c r="A398" s="86" t="s">
        <v>67</v>
      </c>
      <c r="B398" s="86"/>
      <c r="C398" s="87" t="s">
        <v>309</v>
      </c>
      <c r="D398" s="87" t="s">
        <v>310</v>
      </c>
      <c r="E398" s="86" t="s">
        <v>311</v>
      </c>
      <c r="F398" s="86"/>
      <c r="G398" s="86" t="s">
        <v>312</v>
      </c>
      <c r="H398" s="86"/>
    </row>
    <row r="399" customFormat="false" ht="18" hidden="false" customHeight="true" outlineLevel="0" collapsed="false">
      <c r="A399" s="88"/>
      <c r="B399" s="88"/>
      <c r="C399" s="88"/>
      <c r="D399" s="88"/>
      <c r="E399" s="88"/>
      <c r="F399" s="88"/>
      <c r="G399" s="88"/>
      <c r="H399" s="88"/>
    </row>
    <row r="401" customFormat="false" ht="18.75" hidden="false" customHeight="true" outlineLevel="0" collapsed="false">
      <c r="A401" s="89" t="str">
        <f aca="false">Übungen!$A$8</f>
        <v>Rumänisches Kreuzheben</v>
      </c>
      <c r="B401" s="89"/>
      <c r="C401" s="89"/>
      <c r="D401" s="89"/>
      <c r="E401" s="89"/>
      <c r="F401" s="89"/>
      <c r="G401" s="89"/>
      <c r="H401" s="89"/>
      <c r="I401" s="89"/>
    </row>
    <row r="402" customFormat="false" ht="13.5" hidden="false" customHeight="true" outlineLevel="0" collapsed="false">
      <c r="A40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402" s="90"/>
      <c r="C402" s="90"/>
      <c r="D402" s="90"/>
      <c r="E402" s="90"/>
      <c r="F402" s="90"/>
      <c r="G402" s="90"/>
      <c r="H402" s="90"/>
      <c r="I402" s="90"/>
    </row>
    <row r="403" customFormat="false" ht="13.5" hidden="false" customHeight="true" outlineLevel="0" collapsed="false">
      <c r="A40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403" s="91"/>
      <c r="C403" s="91"/>
      <c r="D403" s="91"/>
      <c r="E403" s="91"/>
      <c r="F403" s="91"/>
      <c r="G403" s="91"/>
      <c r="H403" s="91"/>
      <c r="I403" s="91"/>
    </row>
    <row r="404" customFormat="false" ht="18" hidden="false" customHeight="true" outlineLevel="0" collapsed="false">
      <c r="A404" s="92" t="s">
        <v>313</v>
      </c>
      <c r="B404" s="92" t="s">
        <v>314</v>
      </c>
      <c r="C404" s="92" t="s">
        <v>315</v>
      </c>
      <c r="D404" s="92" t="s">
        <v>316</v>
      </c>
      <c r="E404" s="92" t="s">
        <v>317</v>
      </c>
      <c r="F404" s="92" t="s">
        <v>231</v>
      </c>
      <c r="G404" s="92" t="s">
        <v>46</v>
      </c>
      <c r="H404" s="92" t="s">
        <v>318</v>
      </c>
      <c r="I404" s="92" t="s">
        <v>223</v>
      </c>
    </row>
    <row r="405" customFormat="false" ht="18" hidden="false" customHeight="true" outlineLevel="0" collapsed="false">
      <c r="A405" s="93" t="n">
        <v>1</v>
      </c>
      <c r="B405" s="41" t="s">
        <v>236</v>
      </c>
      <c r="C405" s="94" t="str">
        <f aca="false">IF(AND(Übungen!$L$8&lt;&gt;"",'Reha-Modus'!$B$4&lt;&gt;"",'Reha-Modus'!$B$4&lt;Übungen!$L$8),"",IF(IFERROR(INDEX(Rekorde!$O$4:$O$17,MATCH(Übungen!$A$8,Rekorde!$A$4:$A$17,0)),"")="","",ROUND(IFERROR(INDEX(Rekorde!$O$4:$O$17,MATCH(Übungen!$A$8,Rekorde!$A$4:$A$17,0)),"")*0.45*2,0)/2))</f>
        <v/>
      </c>
      <c r="D405" s="95"/>
      <c r="E405" s="96"/>
      <c r="F405" s="96"/>
      <c r="G405" s="96"/>
      <c r="H405" s="96"/>
      <c r="I405" s="96"/>
    </row>
    <row r="406" customFormat="false" ht="18" hidden="false" customHeight="true" outlineLevel="0" collapsed="false">
      <c r="A406" s="93" t="n">
        <v>2</v>
      </c>
      <c r="B406" s="41" t="s">
        <v>236</v>
      </c>
      <c r="C406" s="94" t="str">
        <f aca="false">IF(AND(Übungen!$L$8&lt;&gt;"",'Reha-Modus'!$B$4&lt;&gt;"",'Reha-Modus'!$B$4&lt;Übungen!$L$8),"",IF(IFERROR(INDEX(Rekorde!$O$4:$O$17,MATCH(Übungen!$A$8,Rekorde!$A$4:$A$17,0)),"")="","",ROUND(IFERROR(INDEX(Rekorde!$O$4:$O$17,MATCH(Übungen!$A$8,Rekorde!$A$4:$A$17,0)),"")*0.7*2,0)/2))</f>
        <v/>
      </c>
      <c r="D406" s="95"/>
      <c r="E406" s="96"/>
      <c r="F406" s="96"/>
      <c r="G406" s="96"/>
      <c r="H406" s="96"/>
      <c r="I406" s="96"/>
    </row>
    <row r="407" customFormat="false" ht="18" hidden="false" customHeight="true" outlineLevel="0" collapsed="false">
      <c r="A407" s="93" t="n">
        <v>3</v>
      </c>
      <c r="B407" s="97" t="s">
        <v>237</v>
      </c>
      <c r="C407" s="94" t="str">
        <f aca="false">IF(AND(Übungen!$L$8&lt;&gt;"",'Reha-Modus'!$B$4&lt;&gt;"",'Reha-Modus'!$B$4&lt;Übungen!$L$8),"",IF(IFERROR(INDEX(Rekorde!$O$4:$O$17,MATCH(Übungen!$A$8,Rekorde!$A$4:$A$17,0)),"")="","",ROUND(IFERROR(INDEX(Rekorde!$O$4:$O$17,MATCH(Übungen!$A$8,Rekorde!$A$4:$A$17,0)),"")*1*2,0)/2))</f>
        <v/>
      </c>
      <c r="D407" s="98" t="str">
        <f aca="false">IF(AND(Übungen!$L$8&lt;&gt;"",'Reha-Modus'!$B$4&lt;&gt;"",'Reha-Modus'!$B$4&lt;Übungen!$L$8),"",IF(IFERROR(INDEX(Rekorde!$P$4:$P$17,MATCH(Übungen!$A$8,Rekorde!$A$4:$A$17,0)),"")="","",IFERROR(INDEX(Rekorde!$P$4:$P$17,MATCH(Übungen!$A$8,Rekorde!$A$4:$A$17,0)),"")))</f>
        <v/>
      </c>
      <c r="E407" s="96"/>
      <c r="F407" s="96"/>
      <c r="G407" s="96"/>
      <c r="H407" s="96"/>
      <c r="I407" s="96"/>
    </row>
    <row r="408" customFormat="false" ht="18" hidden="false" customHeight="true" outlineLevel="0" collapsed="false">
      <c r="A408" s="93" t="n">
        <v>4</v>
      </c>
      <c r="B408" s="97" t="s">
        <v>237</v>
      </c>
      <c r="C408" s="94" t="str">
        <f aca="false">IF(AND(Übungen!$L$8&lt;&gt;"",'Reha-Modus'!$B$4&lt;&gt;"",'Reha-Modus'!$B$4&lt;Übungen!$L$8),"",IF(IFERROR(INDEX(Rekorde!$O$4:$O$17,MATCH(Übungen!$A$8,Rekorde!$A$4:$A$17,0)),"")="","",ROUND(IFERROR(INDEX(Rekorde!$O$4:$O$17,MATCH(Übungen!$A$8,Rekorde!$A$4:$A$17,0)),"")*1*2,0)/2))</f>
        <v/>
      </c>
      <c r="D408" s="98" t="str">
        <f aca="false">IF(AND(Übungen!$L$8&lt;&gt;"",'Reha-Modus'!$B$4&lt;&gt;"",'Reha-Modus'!$B$4&lt;Übungen!$L$8),"",IF(IFERROR(INDEX(Rekorde!$P$4:$P$17,MATCH(Übungen!$A$8,Rekorde!$A$4:$A$17,0)),"")="","",IFERROR(INDEX(Rekorde!$P$4:$P$17,MATCH(Übungen!$A$8,Rekorde!$A$4:$A$17,0)),"")))</f>
        <v/>
      </c>
      <c r="E408" s="96"/>
      <c r="F408" s="96"/>
      <c r="G408" s="96"/>
      <c r="H408" s="96"/>
      <c r="I408" s="96"/>
    </row>
    <row r="409" customFormat="false" ht="18" hidden="false" customHeight="true" outlineLevel="0" collapsed="false">
      <c r="A409" s="93" t="n">
        <v>5</v>
      </c>
      <c r="B409" s="97" t="s">
        <v>237</v>
      </c>
      <c r="C409" s="94" t="str">
        <f aca="false">IF(AND(Übungen!$L$8&lt;&gt;"",'Reha-Modus'!$B$4&lt;&gt;"",'Reha-Modus'!$B$4&lt;Übungen!$L$8),"",IF(IFERROR(INDEX(Rekorde!$O$4:$O$17,MATCH(Übungen!$A$8,Rekorde!$A$4:$A$17,0)),"")="","",ROUND(IFERROR(INDEX(Rekorde!$O$4:$O$17,MATCH(Übungen!$A$8,Rekorde!$A$4:$A$17,0)),"")*1*2,0)/2))</f>
        <v/>
      </c>
      <c r="D409" s="98" t="str">
        <f aca="false">IF(AND(Übungen!$L$8&lt;&gt;"",'Reha-Modus'!$B$4&lt;&gt;"",'Reha-Modus'!$B$4&lt;Übungen!$L$8),"",IF(IFERROR(INDEX(Rekorde!$P$4:$P$17,MATCH(Übungen!$A$8,Rekorde!$A$4:$A$17,0)),"")="","",IFERROR(INDEX(Rekorde!$P$4:$P$17,MATCH(Übungen!$A$8,Rekorde!$A$4:$A$17,0)),"")))</f>
        <v/>
      </c>
      <c r="E409" s="96"/>
      <c r="F409" s="96"/>
      <c r="G409" s="96"/>
      <c r="H409" s="96"/>
      <c r="I409" s="96"/>
    </row>
    <row r="411" customFormat="false" ht="18.75" hidden="false" customHeight="true" outlineLevel="0" collapsed="false">
      <c r="A411" s="89" t="str">
        <f aca="false">Übungen!$A$9</f>
        <v>Hip Thrust</v>
      </c>
      <c r="B411" s="89"/>
      <c r="C411" s="89"/>
      <c r="D411" s="89"/>
      <c r="E411" s="89"/>
      <c r="F411" s="89"/>
      <c r="G411" s="89"/>
      <c r="H411" s="89"/>
      <c r="I411" s="89"/>
    </row>
    <row r="412" customFormat="false" ht="13.5" hidden="false" customHeight="true" outlineLevel="0" collapsed="false">
      <c r="A41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412" s="90"/>
      <c r="C412" s="90"/>
      <c r="D412" s="90"/>
      <c r="E412" s="90"/>
      <c r="F412" s="90"/>
      <c r="G412" s="90"/>
      <c r="H412" s="90"/>
      <c r="I412" s="90"/>
    </row>
    <row r="413" customFormat="false" ht="13.5" hidden="false" customHeight="true" outlineLevel="0" collapsed="false">
      <c r="A41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413" s="91"/>
      <c r="C413" s="91"/>
      <c r="D413" s="91"/>
      <c r="E413" s="91"/>
      <c r="F413" s="91"/>
      <c r="G413" s="91"/>
      <c r="H413" s="91"/>
      <c r="I413" s="91"/>
    </row>
    <row r="414" customFormat="false" ht="18" hidden="false" customHeight="true" outlineLevel="0" collapsed="false">
      <c r="A414" s="92" t="s">
        <v>313</v>
      </c>
      <c r="B414" s="92" t="s">
        <v>314</v>
      </c>
      <c r="C414" s="92" t="s">
        <v>315</v>
      </c>
      <c r="D414" s="92" t="s">
        <v>316</v>
      </c>
      <c r="E414" s="92" t="s">
        <v>317</v>
      </c>
      <c r="F414" s="92" t="s">
        <v>231</v>
      </c>
      <c r="G414" s="92" t="s">
        <v>46</v>
      </c>
      <c r="H414" s="92" t="s">
        <v>318</v>
      </c>
      <c r="I414" s="92" t="s">
        <v>223</v>
      </c>
    </row>
    <row r="415" customFormat="false" ht="18" hidden="false" customHeight="true" outlineLevel="0" collapsed="false">
      <c r="A415" s="93" t="n">
        <v>1</v>
      </c>
      <c r="B415" s="41" t="s">
        <v>236</v>
      </c>
      <c r="C415" s="94" t="str">
        <f aca="false">IF(AND(Übungen!$L$9&lt;&gt;"",'Reha-Modus'!$B$4&lt;&gt;"",'Reha-Modus'!$B$4&lt;Übungen!$L$9),"",IF(IFERROR(INDEX(Rekorde!$O$4:$O$17,MATCH(Übungen!$A$9,Rekorde!$A$4:$A$17,0)),"")="","",ROUND(IFERROR(INDEX(Rekorde!$O$4:$O$17,MATCH(Übungen!$A$9,Rekorde!$A$4:$A$17,0)),"")*0.45*2,0)/2))</f>
        <v/>
      </c>
      <c r="D415" s="95"/>
      <c r="E415" s="96"/>
      <c r="F415" s="96"/>
      <c r="G415" s="96"/>
      <c r="H415" s="96"/>
      <c r="I415" s="96"/>
    </row>
    <row r="416" customFormat="false" ht="18" hidden="false" customHeight="true" outlineLevel="0" collapsed="false">
      <c r="A416" s="93" t="n">
        <v>2</v>
      </c>
      <c r="B416" s="41" t="s">
        <v>236</v>
      </c>
      <c r="C416" s="94" t="str">
        <f aca="false">IF(AND(Übungen!$L$9&lt;&gt;"",'Reha-Modus'!$B$4&lt;&gt;"",'Reha-Modus'!$B$4&lt;Übungen!$L$9),"",IF(IFERROR(INDEX(Rekorde!$O$4:$O$17,MATCH(Übungen!$A$9,Rekorde!$A$4:$A$17,0)),"")="","",ROUND(IFERROR(INDEX(Rekorde!$O$4:$O$17,MATCH(Übungen!$A$9,Rekorde!$A$4:$A$17,0)),"")*0.7*2,0)/2))</f>
        <v/>
      </c>
      <c r="D416" s="95"/>
      <c r="E416" s="96"/>
      <c r="F416" s="96"/>
      <c r="G416" s="96"/>
      <c r="H416" s="96"/>
      <c r="I416" s="96"/>
    </row>
    <row r="417" customFormat="false" ht="18" hidden="false" customHeight="true" outlineLevel="0" collapsed="false">
      <c r="A417" s="93" t="n">
        <v>3</v>
      </c>
      <c r="B417" s="97" t="s">
        <v>237</v>
      </c>
      <c r="C417" s="94" t="str">
        <f aca="false">IF(AND(Übungen!$L$9&lt;&gt;"",'Reha-Modus'!$B$4&lt;&gt;"",'Reha-Modus'!$B$4&lt;Übungen!$L$9),"",IF(IFERROR(INDEX(Rekorde!$O$4:$O$17,MATCH(Übungen!$A$9,Rekorde!$A$4:$A$17,0)),"")="","",ROUND(IFERROR(INDEX(Rekorde!$O$4:$O$17,MATCH(Übungen!$A$9,Rekorde!$A$4:$A$17,0)),"")*1*2,0)/2))</f>
        <v/>
      </c>
      <c r="D417" s="98" t="str">
        <f aca="false">IF(AND(Übungen!$L$9&lt;&gt;"",'Reha-Modus'!$B$4&lt;&gt;"",'Reha-Modus'!$B$4&lt;Übungen!$L$9),"",IF(IFERROR(INDEX(Rekorde!$P$4:$P$17,MATCH(Übungen!$A$9,Rekorde!$A$4:$A$17,0)),"")="","",IFERROR(INDEX(Rekorde!$P$4:$P$17,MATCH(Übungen!$A$9,Rekorde!$A$4:$A$17,0)),"")))</f>
        <v/>
      </c>
      <c r="E417" s="96"/>
      <c r="F417" s="96"/>
      <c r="G417" s="96"/>
      <c r="H417" s="96"/>
      <c r="I417" s="96"/>
    </row>
    <row r="418" customFormat="false" ht="18" hidden="false" customHeight="true" outlineLevel="0" collapsed="false">
      <c r="A418" s="93" t="n">
        <v>4</v>
      </c>
      <c r="B418" s="97" t="s">
        <v>237</v>
      </c>
      <c r="C418" s="94" t="str">
        <f aca="false">IF(AND(Übungen!$L$9&lt;&gt;"",'Reha-Modus'!$B$4&lt;&gt;"",'Reha-Modus'!$B$4&lt;Übungen!$L$9),"",IF(IFERROR(INDEX(Rekorde!$O$4:$O$17,MATCH(Übungen!$A$9,Rekorde!$A$4:$A$17,0)),"")="","",ROUND(IFERROR(INDEX(Rekorde!$O$4:$O$17,MATCH(Übungen!$A$9,Rekorde!$A$4:$A$17,0)),"")*1*2,0)/2))</f>
        <v/>
      </c>
      <c r="D418" s="98" t="str">
        <f aca="false">IF(AND(Übungen!$L$9&lt;&gt;"",'Reha-Modus'!$B$4&lt;&gt;"",'Reha-Modus'!$B$4&lt;Übungen!$L$9),"",IF(IFERROR(INDEX(Rekorde!$P$4:$P$17,MATCH(Übungen!$A$9,Rekorde!$A$4:$A$17,0)),"")="","",IFERROR(INDEX(Rekorde!$P$4:$P$17,MATCH(Übungen!$A$9,Rekorde!$A$4:$A$17,0)),"")))</f>
        <v/>
      </c>
      <c r="E418" s="96"/>
      <c r="F418" s="96"/>
      <c r="G418" s="96"/>
      <c r="H418" s="96"/>
      <c r="I418" s="96"/>
    </row>
    <row r="419" customFormat="false" ht="18" hidden="false" customHeight="true" outlineLevel="0" collapsed="false">
      <c r="A419" s="93" t="n">
        <v>5</v>
      </c>
      <c r="B419" s="97" t="s">
        <v>237</v>
      </c>
      <c r="C419" s="94" t="str">
        <f aca="false">IF(AND(Übungen!$L$9&lt;&gt;"",'Reha-Modus'!$B$4&lt;&gt;"",'Reha-Modus'!$B$4&lt;Übungen!$L$9),"",IF(IFERROR(INDEX(Rekorde!$O$4:$O$17,MATCH(Übungen!$A$9,Rekorde!$A$4:$A$17,0)),"")="","",ROUND(IFERROR(INDEX(Rekorde!$O$4:$O$17,MATCH(Übungen!$A$9,Rekorde!$A$4:$A$17,0)),"")*1*2,0)/2))</f>
        <v/>
      </c>
      <c r="D419" s="98" t="str">
        <f aca="false">IF(AND(Übungen!$L$9&lt;&gt;"",'Reha-Modus'!$B$4&lt;&gt;"",'Reha-Modus'!$B$4&lt;Übungen!$L$9),"",IF(IFERROR(INDEX(Rekorde!$P$4:$P$17,MATCH(Übungen!$A$9,Rekorde!$A$4:$A$17,0)),"")="","",IFERROR(INDEX(Rekorde!$P$4:$P$17,MATCH(Übungen!$A$9,Rekorde!$A$4:$A$17,0)),"")))</f>
        <v/>
      </c>
      <c r="E419" s="96"/>
      <c r="F419" s="96"/>
      <c r="G419" s="96"/>
      <c r="H419" s="96"/>
      <c r="I419" s="96"/>
    </row>
    <row r="421" customFormat="false" ht="18.75" hidden="false" customHeight="true" outlineLevel="0" collapsed="false">
      <c r="A421" s="89" t="str">
        <f aca="false">Übungen!$A$10</f>
        <v>Hip &amp; Glute</v>
      </c>
      <c r="B421" s="89"/>
      <c r="C421" s="89"/>
      <c r="D421" s="89"/>
      <c r="E421" s="89"/>
      <c r="F421" s="89"/>
      <c r="G421" s="89"/>
      <c r="H421" s="89"/>
      <c r="I421" s="89"/>
    </row>
    <row r="422" customFormat="false" ht="13.5" hidden="false" customHeight="true" outlineLevel="0" collapsed="false">
      <c r="A42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422" s="90"/>
      <c r="C422" s="90"/>
      <c r="D422" s="90"/>
      <c r="E422" s="90"/>
      <c r="F422" s="90"/>
      <c r="G422" s="90"/>
      <c r="H422" s="90"/>
      <c r="I422" s="90"/>
    </row>
    <row r="423" customFormat="false" ht="13.5" hidden="false" customHeight="true" outlineLevel="0" collapsed="false">
      <c r="A42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423" s="91"/>
      <c r="C423" s="91"/>
      <c r="D423" s="91"/>
      <c r="E423" s="91"/>
      <c r="F423" s="91"/>
      <c r="G423" s="91"/>
      <c r="H423" s="91"/>
      <c r="I423" s="91"/>
    </row>
    <row r="424" customFormat="false" ht="18" hidden="false" customHeight="true" outlineLevel="0" collapsed="false">
      <c r="A424" s="92" t="s">
        <v>313</v>
      </c>
      <c r="B424" s="92" t="s">
        <v>314</v>
      </c>
      <c r="C424" s="92" t="s">
        <v>315</v>
      </c>
      <c r="D424" s="92" t="s">
        <v>316</v>
      </c>
      <c r="E424" s="92" t="s">
        <v>317</v>
      </c>
      <c r="F424" s="92" t="s">
        <v>231</v>
      </c>
      <c r="G424" s="92" t="s">
        <v>46</v>
      </c>
      <c r="H424" s="92" t="s">
        <v>318</v>
      </c>
      <c r="I424" s="92" t="s">
        <v>223</v>
      </c>
    </row>
    <row r="425" customFormat="false" ht="18" hidden="false" customHeight="true" outlineLevel="0" collapsed="false">
      <c r="A425" s="93" t="n">
        <v>1</v>
      </c>
      <c r="B425" s="41" t="s">
        <v>236</v>
      </c>
      <c r="C425" s="94" t="str">
        <f aca="false">IF(AND(Übungen!$L$10&lt;&gt;"",'Reha-Modus'!$B$4&lt;&gt;"",'Reha-Modus'!$B$4&lt;Übungen!$L$10),"",IF(IFERROR(INDEX(Rekorde!$O$4:$O$17,MATCH(Übungen!$A$10,Rekorde!$A$4:$A$17,0)),"")="","",ROUND(IFERROR(INDEX(Rekorde!$O$4:$O$17,MATCH(Übungen!$A$10,Rekorde!$A$4:$A$17,0)),"")*0.45*2,0)/2))</f>
        <v/>
      </c>
      <c r="D425" s="95"/>
      <c r="E425" s="96"/>
      <c r="F425" s="96"/>
      <c r="G425" s="96"/>
      <c r="H425" s="96"/>
      <c r="I425" s="96"/>
    </row>
    <row r="426" customFormat="false" ht="18" hidden="false" customHeight="true" outlineLevel="0" collapsed="false">
      <c r="A426" s="93" t="n">
        <v>2</v>
      </c>
      <c r="B426" s="41" t="s">
        <v>236</v>
      </c>
      <c r="C426" s="94" t="str">
        <f aca="false">IF(AND(Übungen!$L$10&lt;&gt;"",'Reha-Modus'!$B$4&lt;&gt;"",'Reha-Modus'!$B$4&lt;Übungen!$L$10),"",IF(IFERROR(INDEX(Rekorde!$O$4:$O$17,MATCH(Übungen!$A$10,Rekorde!$A$4:$A$17,0)),"")="","",ROUND(IFERROR(INDEX(Rekorde!$O$4:$O$17,MATCH(Übungen!$A$10,Rekorde!$A$4:$A$17,0)),"")*0.7*2,0)/2))</f>
        <v/>
      </c>
      <c r="D426" s="95"/>
      <c r="E426" s="96"/>
      <c r="F426" s="96"/>
      <c r="G426" s="96"/>
      <c r="H426" s="96"/>
      <c r="I426" s="96"/>
    </row>
    <row r="427" customFormat="false" ht="18" hidden="false" customHeight="true" outlineLevel="0" collapsed="false">
      <c r="A427" s="93" t="n">
        <v>3</v>
      </c>
      <c r="B427" s="97" t="s">
        <v>237</v>
      </c>
      <c r="C427" s="94" t="str">
        <f aca="false">IF(AND(Übungen!$L$10&lt;&gt;"",'Reha-Modus'!$B$4&lt;&gt;"",'Reha-Modus'!$B$4&lt;Übungen!$L$10),"",IF(IFERROR(INDEX(Rekorde!$O$4:$O$17,MATCH(Übungen!$A$10,Rekorde!$A$4:$A$17,0)),"")="","",ROUND(IFERROR(INDEX(Rekorde!$O$4:$O$17,MATCH(Übungen!$A$10,Rekorde!$A$4:$A$17,0)),"")*1*2,0)/2))</f>
        <v/>
      </c>
      <c r="D427" s="98" t="str">
        <f aca="false">IF(AND(Übungen!$L$10&lt;&gt;"",'Reha-Modus'!$B$4&lt;&gt;"",'Reha-Modus'!$B$4&lt;Übungen!$L$10),"",IF(IFERROR(INDEX(Rekorde!$P$4:$P$17,MATCH(Übungen!$A$10,Rekorde!$A$4:$A$17,0)),"")="","",IFERROR(INDEX(Rekorde!$P$4:$P$17,MATCH(Übungen!$A$10,Rekorde!$A$4:$A$17,0)),"")))</f>
        <v/>
      </c>
      <c r="E427" s="96"/>
      <c r="F427" s="96"/>
      <c r="G427" s="96"/>
      <c r="H427" s="96"/>
      <c r="I427" s="96"/>
    </row>
    <row r="428" customFormat="false" ht="18" hidden="false" customHeight="true" outlineLevel="0" collapsed="false">
      <c r="A428" s="93" t="n">
        <v>4</v>
      </c>
      <c r="B428" s="97" t="s">
        <v>237</v>
      </c>
      <c r="C428" s="94" t="str">
        <f aca="false">IF(AND(Übungen!$L$10&lt;&gt;"",'Reha-Modus'!$B$4&lt;&gt;"",'Reha-Modus'!$B$4&lt;Übungen!$L$10),"",IF(IFERROR(INDEX(Rekorde!$O$4:$O$17,MATCH(Übungen!$A$10,Rekorde!$A$4:$A$17,0)),"")="","",ROUND(IFERROR(INDEX(Rekorde!$O$4:$O$17,MATCH(Übungen!$A$10,Rekorde!$A$4:$A$17,0)),"")*1*2,0)/2))</f>
        <v/>
      </c>
      <c r="D428" s="98" t="str">
        <f aca="false">IF(AND(Übungen!$L$10&lt;&gt;"",'Reha-Modus'!$B$4&lt;&gt;"",'Reha-Modus'!$B$4&lt;Übungen!$L$10),"",IF(IFERROR(INDEX(Rekorde!$P$4:$P$17,MATCH(Übungen!$A$10,Rekorde!$A$4:$A$17,0)),"")="","",IFERROR(INDEX(Rekorde!$P$4:$P$17,MATCH(Übungen!$A$10,Rekorde!$A$4:$A$17,0)),"")))</f>
        <v/>
      </c>
      <c r="E428" s="96"/>
      <c r="F428" s="96"/>
      <c r="G428" s="96"/>
      <c r="H428" s="96"/>
      <c r="I428" s="96"/>
    </row>
    <row r="429" customFormat="false" ht="18" hidden="false" customHeight="true" outlineLevel="0" collapsed="false">
      <c r="A429" s="93" t="n">
        <v>5</v>
      </c>
      <c r="B429" s="97" t="s">
        <v>237</v>
      </c>
      <c r="C429" s="94" t="str">
        <f aca="false">IF(AND(Übungen!$L$10&lt;&gt;"",'Reha-Modus'!$B$4&lt;&gt;"",'Reha-Modus'!$B$4&lt;Übungen!$L$10),"",IF(IFERROR(INDEX(Rekorde!$O$4:$O$17,MATCH(Übungen!$A$10,Rekorde!$A$4:$A$17,0)),"")="","",ROUND(IFERROR(INDEX(Rekorde!$O$4:$O$17,MATCH(Übungen!$A$10,Rekorde!$A$4:$A$17,0)),"")*1*2,0)/2))</f>
        <v/>
      </c>
      <c r="D429" s="98" t="str">
        <f aca="false">IF(AND(Übungen!$L$10&lt;&gt;"",'Reha-Modus'!$B$4&lt;&gt;"",'Reha-Modus'!$B$4&lt;Übungen!$L$10),"",IF(IFERROR(INDEX(Rekorde!$P$4:$P$17,MATCH(Übungen!$A$10,Rekorde!$A$4:$A$17,0)),"")="","",IFERROR(INDEX(Rekorde!$P$4:$P$17,MATCH(Übungen!$A$10,Rekorde!$A$4:$A$17,0)),"")))</f>
        <v/>
      </c>
      <c r="E429" s="96"/>
      <c r="F429" s="96"/>
      <c r="G429" s="96"/>
      <c r="H429" s="96"/>
      <c r="I429" s="96"/>
    </row>
    <row r="431" customFormat="false" ht="18.75" hidden="false" customHeight="true" outlineLevel="0" collapsed="false">
      <c r="A431" s="89" t="str">
        <f aca="false">Übungen!$A$11</f>
        <v>Beinbeuger</v>
      </c>
      <c r="B431" s="89"/>
      <c r="C431" s="89"/>
      <c r="D431" s="89"/>
      <c r="E431" s="89"/>
      <c r="F431" s="89"/>
      <c r="G431" s="89"/>
      <c r="H431" s="89"/>
      <c r="I431" s="89"/>
    </row>
    <row r="432" customFormat="false" ht="13.5" hidden="false" customHeight="true" outlineLevel="0" collapsed="false">
      <c r="A43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432" s="90"/>
      <c r="C432" s="90"/>
      <c r="D432" s="90"/>
      <c r="E432" s="90"/>
      <c r="F432" s="90"/>
      <c r="G432" s="90"/>
      <c r="H432" s="90"/>
      <c r="I432" s="90"/>
    </row>
    <row r="433" customFormat="false" ht="13.5" hidden="false" customHeight="true" outlineLevel="0" collapsed="false">
      <c r="A43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433" s="91"/>
      <c r="C433" s="91"/>
      <c r="D433" s="91"/>
      <c r="E433" s="91"/>
      <c r="F433" s="91"/>
      <c r="G433" s="91"/>
      <c r="H433" s="91"/>
      <c r="I433" s="91"/>
    </row>
    <row r="434" customFormat="false" ht="18" hidden="false" customHeight="true" outlineLevel="0" collapsed="false">
      <c r="A434" s="92" t="s">
        <v>313</v>
      </c>
      <c r="B434" s="92" t="s">
        <v>314</v>
      </c>
      <c r="C434" s="92" t="s">
        <v>315</v>
      </c>
      <c r="D434" s="92" t="s">
        <v>316</v>
      </c>
      <c r="E434" s="92" t="s">
        <v>317</v>
      </c>
      <c r="F434" s="92" t="s">
        <v>231</v>
      </c>
      <c r="G434" s="92" t="s">
        <v>46</v>
      </c>
      <c r="H434" s="92" t="s">
        <v>318</v>
      </c>
      <c r="I434" s="92" t="s">
        <v>223</v>
      </c>
    </row>
    <row r="435" customFormat="false" ht="18" hidden="false" customHeight="true" outlineLevel="0" collapsed="false">
      <c r="A435" s="93" t="n">
        <v>1</v>
      </c>
      <c r="B435" s="41" t="s">
        <v>236</v>
      </c>
      <c r="C435" s="94" t="n">
        <f aca="false">IF(AND(Übungen!$L$11&lt;&gt;"",'Reha-Modus'!$B$4&lt;&gt;"",'Reha-Modus'!$B$4&lt;Übungen!$L$11),"",IF(IFERROR(INDEX(Rekorde!$O$4:$O$17,MATCH(Übungen!$A$11,Rekorde!$A$4:$A$17,0)),"")="","",ROUND(IFERROR(INDEX(Rekorde!$O$4:$O$17,MATCH(Übungen!$A$11,Rekorde!$A$4:$A$17,0)),"")*0.45*2,0)/2))</f>
        <v>26</v>
      </c>
      <c r="D435" s="95"/>
      <c r="E435" s="96"/>
      <c r="F435" s="96"/>
      <c r="G435" s="96"/>
      <c r="H435" s="96"/>
      <c r="I435" s="96"/>
    </row>
    <row r="436" customFormat="false" ht="18" hidden="false" customHeight="true" outlineLevel="0" collapsed="false">
      <c r="A436" s="93" t="n">
        <v>2</v>
      </c>
      <c r="B436" s="41" t="s">
        <v>236</v>
      </c>
      <c r="C436" s="94" t="n">
        <f aca="false">IF(AND(Übungen!$L$11&lt;&gt;"",'Reha-Modus'!$B$4&lt;&gt;"",'Reha-Modus'!$B$4&lt;Übungen!$L$11),"",IF(IFERROR(INDEX(Rekorde!$O$4:$O$17,MATCH(Übungen!$A$11,Rekorde!$A$4:$A$17,0)),"")="","",ROUND(IFERROR(INDEX(Rekorde!$O$4:$O$17,MATCH(Übungen!$A$11,Rekorde!$A$4:$A$17,0)),"")*0.7*2,0)/2))</f>
        <v>40.5</v>
      </c>
      <c r="D436" s="95"/>
      <c r="E436" s="96"/>
      <c r="F436" s="96"/>
      <c r="G436" s="96"/>
      <c r="H436" s="96"/>
      <c r="I436" s="96"/>
    </row>
    <row r="437" customFormat="false" ht="18" hidden="false" customHeight="true" outlineLevel="0" collapsed="false">
      <c r="A437" s="93" t="n">
        <v>3</v>
      </c>
      <c r="B437" s="97" t="s">
        <v>237</v>
      </c>
      <c r="C437" s="94" t="n">
        <f aca="false">IF(AND(Übungen!$L$11&lt;&gt;"",'Reha-Modus'!$B$4&lt;&gt;"",'Reha-Modus'!$B$4&lt;Übungen!$L$11),"",IF(IFERROR(INDEX(Rekorde!$O$4:$O$17,MATCH(Übungen!$A$11,Rekorde!$A$4:$A$17,0)),"")="","",ROUND(IFERROR(INDEX(Rekorde!$O$4:$O$17,MATCH(Übungen!$A$11,Rekorde!$A$4:$A$17,0)),"")*1*2,0)/2))</f>
        <v>57.5</v>
      </c>
      <c r="D437" s="98" t="n">
        <f aca="false">IF(AND(Übungen!$L$11&lt;&gt;"",'Reha-Modus'!$B$4&lt;&gt;"",'Reha-Modus'!$B$4&lt;Übungen!$L$11),"",IF(IFERROR(INDEX(Rekorde!$P$4:$P$17,MATCH(Übungen!$A$11,Rekorde!$A$4:$A$17,0)),"")="","",IFERROR(INDEX(Rekorde!$P$4:$P$17,MATCH(Übungen!$A$11,Rekorde!$A$4:$A$17,0)),"")))</f>
        <v>5</v>
      </c>
      <c r="E437" s="96"/>
      <c r="F437" s="96"/>
      <c r="G437" s="96"/>
      <c r="H437" s="96"/>
      <c r="I437" s="96"/>
    </row>
    <row r="438" customFormat="false" ht="18" hidden="false" customHeight="true" outlineLevel="0" collapsed="false">
      <c r="A438" s="93" t="n">
        <v>4</v>
      </c>
      <c r="B438" s="97" t="s">
        <v>237</v>
      </c>
      <c r="C438" s="94" t="n">
        <f aca="false">IF(AND(Übungen!$L$11&lt;&gt;"",'Reha-Modus'!$B$4&lt;&gt;"",'Reha-Modus'!$B$4&lt;Übungen!$L$11),"",IF(IFERROR(INDEX(Rekorde!$O$4:$O$17,MATCH(Übungen!$A$11,Rekorde!$A$4:$A$17,0)),"")="","",ROUND(IFERROR(INDEX(Rekorde!$O$4:$O$17,MATCH(Übungen!$A$11,Rekorde!$A$4:$A$17,0)),"")*1*2,0)/2))</f>
        <v>57.5</v>
      </c>
      <c r="D438" s="98" t="n">
        <f aca="false">IF(AND(Übungen!$L$11&lt;&gt;"",'Reha-Modus'!$B$4&lt;&gt;"",'Reha-Modus'!$B$4&lt;Übungen!$L$11),"",IF(IFERROR(INDEX(Rekorde!$P$4:$P$17,MATCH(Übungen!$A$11,Rekorde!$A$4:$A$17,0)),"")="","",IFERROR(INDEX(Rekorde!$P$4:$P$17,MATCH(Übungen!$A$11,Rekorde!$A$4:$A$17,0)),"")))</f>
        <v>5</v>
      </c>
      <c r="E438" s="96"/>
      <c r="F438" s="96"/>
      <c r="G438" s="96"/>
      <c r="H438" s="96"/>
      <c r="I438" s="96"/>
    </row>
    <row r="439" customFormat="false" ht="18" hidden="false" customHeight="true" outlineLevel="0" collapsed="false">
      <c r="A439" s="93" t="n">
        <v>5</v>
      </c>
      <c r="B439" s="41" t="s">
        <v>238</v>
      </c>
      <c r="C439" s="95"/>
      <c r="D439" s="95"/>
      <c r="E439" s="96"/>
      <c r="F439" s="96"/>
      <c r="G439" s="96"/>
      <c r="H439" s="96"/>
      <c r="I439" s="96"/>
    </row>
    <row r="441" customFormat="false" ht="18.75" hidden="false" customHeight="true" outlineLevel="0" collapsed="false">
      <c r="A441" s="89" t="str">
        <f aca="false">Übungen!$A$12</f>
        <v>Seitliche Kickbacks</v>
      </c>
      <c r="B441" s="89"/>
      <c r="C441" s="89"/>
      <c r="D441" s="89"/>
      <c r="E441" s="89"/>
      <c r="F441" s="89"/>
      <c r="G441" s="89"/>
      <c r="H441" s="89"/>
      <c r="I441" s="89"/>
    </row>
    <row r="442" customFormat="false" ht="13.5" hidden="false" customHeight="true" outlineLevel="0" collapsed="false">
      <c r="A44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442" s="90"/>
      <c r="C442" s="90"/>
      <c r="D442" s="90"/>
      <c r="E442" s="90"/>
      <c r="F442" s="90"/>
      <c r="G442" s="90"/>
      <c r="H442" s="90"/>
      <c r="I442" s="90"/>
    </row>
    <row r="443" customFormat="false" ht="13.5" hidden="false" customHeight="true" outlineLevel="0" collapsed="false">
      <c r="A44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443" s="91"/>
      <c r="C443" s="91"/>
      <c r="D443" s="91"/>
      <c r="E443" s="91"/>
      <c r="F443" s="91"/>
      <c r="G443" s="91"/>
      <c r="H443" s="91"/>
      <c r="I443" s="91"/>
    </row>
    <row r="444" customFormat="false" ht="18" hidden="false" customHeight="true" outlineLevel="0" collapsed="false">
      <c r="A444" s="92" t="s">
        <v>313</v>
      </c>
      <c r="B444" s="92" t="s">
        <v>314</v>
      </c>
      <c r="C444" s="92" t="s">
        <v>315</v>
      </c>
      <c r="D444" s="92" t="s">
        <v>316</v>
      </c>
      <c r="E444" s="92" t="s">
        <v>317</v>
      </c>
      <c r="F444" s="92" t="s">
        <v>231</v>
      </c>
      <c r="G444" s="92" t="s">
        <v>46</v>
      </c>
      <c r="H444" s="92" t="s">
        <v>318</v>
      </c>
      <c r="I444" s="92" t="s">
        <v>223</v>
      </c>
    </row>
    <row r="445" customFormat="false" ht="18" hidden="false" customHeight="true" outlineLevel="0" collapsed="false">
      <c r="A445" s="93" t="n">
        <v>1</v>
      </c>
      <c r="B445" s="41" t="s">
        <v>236</v>
      </c>
      <c r="C445" s="94" t="str">
        <f aca="false">IF(AND(Übungen!$L$12&lt;&gt;"",'Reha-Modus'!$B$4&lt;&gt;"",'Reha-Modus'!$B$4&lt;Übungen!$L$12),"",IF(IFERROR(INDEX(Rekorde!$O$4:$O$17,MATCH(Übungen!$A$12,Rekorde!$A$4:$A$17,0)),"")="","",ROUND(IFERROR(INDEX(Rekorde!$O$4:$O$17,MATCH(Übungen!$A$12,Rekorde!$A$4:$A$17,0)),"")*0.45*2,0)/2))</f>
        <v/>
      </c>
      <c r="D445" s="95"/>
      <c r="E445" s="96"/>
      <c r="F445" s="96"/>
      <c r="G445" s="96"/>
      <c r="H445" s="96"/>
      <c r="I445" s="96"/>
    </row>
    <row r="446" customFormat="false" ht="18" hidden="false" customHeight="true" outlineLevel="0" collapsed="false">
      <c r="A446" s="93" t="n">
        <v>2</v>
      </c>
      <c r="B446" s="41" t="s">
        <v>236</v>
      </c>
      <c r="C446" s="94" t="str">
        <f aca="false">IF(AND(Übungen!$L$12&lt;&gt;"",'Reha-Modus'!$B$4&lt;&gt;"",'Reha-Modus'!$B$4&lt;Übungen!$L$12),"",IF(IFERROR(INDEX(Rekorde!$O$4:$O$17,MATCH(Übungen!$A$12,Rekorde!$A$4:$A$17,0)),"")="","",ROUND(IFERROR(INDEX(Rekorde!$O$4:$O$17,MATCH(Übungen!$A$12,Rekorde!$A$4:$A$17,0)),"")*0.7*2,0)/2))</f>
        <v/>
      </c>
      <c r="D446" s="95"/>
      <c r="E446" s="96"/>
      <c r="F446" s="96"/>
      <c r="G446" s="96"/>
      <c r="H446" s="96"/>
      <c r="I446" s="96"/>
    </row>
    <row r="447" customFormat="false" ht="18" hidden="false" customHeight="true" outlineLevel="0" collapsed="false">
      <c r="A447" s="93" t="n">
        <v>3</v>
      </c>
      <c r="B447" s="97" t="s">
        <v>237</v>
      </c>
      <c r="C447" s="94" t="str">
        <f aca="false">IF(AND(Übungen!$L$12&lt;&gt;"",'Reha-Modus'!$B$4&lt;&gt;"",'Reha-Modus'!$B$4&lt;Übungen!$L$12),"",IF(IFERROR(INDEX(Rekorde!$O$4:$O$17,MATCH(Übungen!$A$12,Rekorde!$A$4:$A$17,0)),"")="","",ROUND(IFERROR(INDEX(Rekorde!$O$4:$O$17,MATCH(Übungen!$A$12,Rekorde!$A$4:$A$17,0)),"")*1*2,0)/2))</f>
        <v/>
      </c>
      <c r="D447" s="98" t="str">
        <f aca="false">IF(AND(Übungen!$L$12&lt;&gt;"",'Reha-Modus'!$B$4&lt;&gt;"",'Reha-Modus'!$B$4&lt;Übungen!$L$12),"",IF(IFERROR(INDEX(Rekorde!$P$4:$P$17,MATCH(Übungen!$A$12,Rekorde!$A$4:$A$17,0)),"")="","",IFERROR(INDEX(Rekorde!$P$4:$P$17,MATCH(Übungen!$A$12,Rekorde!$A$4:$A$17,0)),"")))</f>
        <v/>
      </c>
      <c r="E447" s="96"/>
      <c r="F447" s="96"/>
      <c r="G447" s="96"/>
      <c r="H447" s="96"/>
      <c r="I447" s="96"/>
    </row>
    <row r="448" customFormat="false" ht="18" hidden="false" customHeight="true" outlineLevel="0" collapsed="false">
      <c r="A448" s="93" t="n">
        <v>4</v>
      </c>
      <c r="B448" s="97" t="s">
        <v>237</v>
      </c>
      <c r="C448" s="94" t="str">
        <f aca="false">IF(AND(Übungen!$L$12&lt;&gt;"",'Reha-Modus'!$B$4&lt;&gt;"",'Reha-Modus'!$B$4&lt;Übungen!$L$12),"",IF(IFERROR(INDEX(Rekorde!$O$4:$O$17,MATCH(Übungen!$A$12,Rekorde!$A$4:$A$17,0)),"")="","",ROUND(IFERROR(INDEX(Rekorde!$O$4:$O$17,MATCH(Übungen!$A$12,Rekorde!$A$4:$A$17,0)),"")*1*2,0)/2))</f>
        <v/>
      </c>
      <c r="D448" s="98" t="str">
        <f aca="false">IF(AND(Übungen!$L$12&lt;&gt;"",'Reha-Modus'!$B$4&lt;&gt;"",'Reha-Modus'!$B$4&lt;Übungen!$L$12),"",IF(IFERROR(INDEX(Rekorde!$P$4:$P$17,MATCH(Übungen!$A$12,Rekorde!$A$4:$A$17,0)),"")="","",IFERROR(INDEX(Rekorde!$P$4:$P$17,MATCH(Übungen!$A$12,Rekorde!$A$4:$A$17,0)),"")))</f>
        <v/>
      </c>
      <c r="E448" s="96"/>
      <c r="F448" s="96"/>
      <c r="G448" s="96"/>
      <c r="H448" s="96"/>
      <c r="I448" s="96"/>
    </row>
    <row r="449" customFormat="false" ht="18" hidden="false" customHeight="true" outlineLevel="0" collapsed="false">
      <c r="A449" s="93" t="n">
        <v>5</v>
      </c>
      <c r="B449" s="97" t="s">
        <v>237</v>
      </c>
      <c r="C449" s="94" t="str">
        <f aca="false">IF(AND(Übungen!$L$12&lt;&gt;"",'Reha-Modus'!$B$4&lt;&gt;"",'Reha-Modus'!$B$4&lt;Übungen!$L$12),"",IF(IFERROR(INDEX(Rekorde!$O$4:$O$17,MATCH(Übungen!$A$12,Rekorde!$A$4:$A$17,0)),"")="","",ROUND(IFERROR(INDEX(Rekorde!$O$4:$O$17,MATCH(Übungen!$A$12,Rekorde!$A$4:$A$17,0)),"")*1*2,0)/2))</f>
        <v/>
      </c>
      <c r="D449" s="98" t="str">
        <f aca="false">IF(AND(Übungen!$L$12&lt;&gt;"",'Reha-Modus'!$B$4&lt;&gt;"",'Reha-Modus'!$B$4&lt;Übungen!$L$12),"",IF(IFERROR(INDEX(Rekorde!$P$4:$P$17,MATCH(Übungen!$A$12,Rekorde!$A$4:$A$17,0)),"")="","",IFERROR(INDEX(Rekorde!$P$4:$P$17,MATCH(Übungen!$A$12,Rekorde!$A$4:$A$17,0)),"")))</f>
        <v/>
      </c>
      <c r="E449" s="96"/>
      <c r="F449" s="96"/>
      <c r="G449" s="96"/>
      <c r="H449" s="96"/>
      <c r="I449" s="96"/>
    </row>
    <row r="451" customFormat="false" ht="18.75" hidden="false" customHeight="true" outlineLevel="0" collapsed="false">
      <c r="A451" s="89" t="str">
        <f aca="false">Übungen!$A$13</f>
        <v>Waden</v>
      </c>
      <c r="B451" s="89"/>
      <c r="C451" s="89"/>
      <c r="D451" s="89"/>
      <c r="E451" s="89"/>
      <c r="F451" s="89"/>
      <c r="G451" s="89"/>
      <c r="H451" s="89"/>
      <c r="I451" s="89"/>
    </row>
    <row r="452" customFormat="false" ht="13.5" hidden="false" customHeight="true" outlineLevel="0" collapsed="false">
      <c r="A452"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452" s="90"/>
      <c r="C452" s="90"/>
      <c r="D452" s="90"/>
      <c r="E452" s="90"/>
      <c r="F452" s="90"/>
      <c r="G452" s="90"/>
      <c r="H452" s="90"/>
      <c r="I452" s="90"/>
    </row>
    <row r="453" customFormat="false" ht="13.5" hidden="false" customHeight="true" outlineLevel="0" collapsed="false">
      <c r="A453"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453" s="91"/>
      <c r="C453" s="91"/>
      <c r="D453" s="91"/>
      <c r="E453" s="91"/>
      <c r="F453" s="91"/>
      <c r="G453" s="91"/>
      <c r="H453" s="91"/>
      <c r="I453" s="91"/>
    </row>
    <row r="454" customFormat="false" ht="18" hidden="false" customHeight="true" outlineLevel="0" collapsed="false">
      <c r="A454" s="92" t="s">
        <v>313</v>
      </c>
      <c r="B454" s="92" t="s">
        <v>314</v>
      </c>
      <c r="C454" s="92" t="s">
        <v>315</v>
      </c>
      <c r="D454" s="92" t="s">
        <v>316</v>
      </c>
      <c r="E454" s="92" t="s">
        <v>317</v>
      </c>
      <c r="F454" s="92" t="s">
        <v>231</v>
      </c>
      <c r="G454" s="92" t="s">
        <v>46</v>
      </c>
      <c r="H454" s="92" t="s">
        <v>318</v>
      </c>
      <c r="I454" s="92" t="s">
        <v>223</v>
      </c>
    </row>
    <row r="455" customFormat="false" ht="18" hidden="false" customHeight="true" outlineLevel="0" collapsed="false">
      <c r="A455" s="93" t="n">
        <v>1</v>
      </c>
      <c r="B455" s="41" t="s">
        <v>236</v>
      </c>
      <c r="C455" s="94" t="str">
        <f aca="false">IF(AND(Übungen!$L$13&lt;&gt;"",'Reha-Modus'!$B$4&lt;&gt;"",'Reha-Modus'!$B$4&lt;Übungen!$L$13),"",IF(IFERROR(INDEX(Rekorde!$O$4:$O$17,MATCH(Übungen!$A$13,Rekorde!$A$4:$A$17,0)),"")="","",ROUND(IFERROR(INDEX(Rekorde!$O$4:$O$17,MATCH(Übungen!$A$13,Rekorde!$A$4:$A$17,0)),"")*0.45*2,0)/2))</f>
        <v/>
      </c>
      <c r="D455" s="95"/>
      <c r="E455" s="96"/>
      <c r="F455" s="96"/>
      <c r="G455" s="96"/>
      <c r="H455" s="96"/>
      <c r="I455" s="96"/>
    </row>
    <row r="456" customFormat="false" ht="18" hidden="false" customHeight="true" outlineLevel="0" collapsed="false">
      <c r="A456" s="93" t="n">
        <v>2</v>
      </c>
      <c r="B456" s="41" t="s">
        <v>236</v>
      </c>
      <c r="C456" s="94" t="str">
        <f aca="false">IF(AND(Übungen!$L$13&lt;&gt;"",'Reha-Modus'!$B$4&lt;&gt;"",'Reha-Modus'!$B$4&lt;Übungen!$L$13),"",IF(IFERROR(INDEX(Rekorde!$O$4:$O$17,MATCH(Übungen!$A$13,Rekorde!$A$4:$A$17,0)),"")="","",ROUND(IFERROR(INDEX(Rekorde!$O$4:$O$17,MATCH(Übungen!$A$13,Rekorde!$A$4:$A$17,0)),"")*0.7*2,0)/2))</f>
        <v/>
      </c>
      <c r="D456" s="95"/>
      <c r="E456" s="96"/>
      <c r="F456" s="96"/>
      <c r="G456" s="96"/>
      <c r="H456" s="96"/>
      <c r="I456" s="96"/>
    </row>
    <row r="457" customFormat="false" ht="18" hidden="false" customHeight="true" outlineLevel="0" collapsed="false">
      <c r="A457" s="93" t="n">
        <v>3</v>
      </c>
      <c r="B457" s="97" t="s">
        <v>237</v>
      </c>
      <c r="C457" s="94" t="str">
        <f aca="false">IF(AND(Übungen!$L$13&lt;&gt;"",'Reha-Modus'!$B$4&lt;&gt;"",'Reha-Modus'!$B$4&lt;Übungen!$L$13),"",IF(IFERROR(INDEX(Rekorde!$O$4:$O$17,MATCH(Übungen!$A$13,Rekorde!$A$4:$A$17,0)),"")="","",ROUND(IFERROR(INDEX(Rekorde!$O$4:$O$17,MATCH(Übungen!$A$13,Rekorde!$A$4:$A$17,0)),"")*1*2,0)/2))</f>
        <v/>
      </c>
      <c r="D457" s="98" t="str">
        <f aca="false">IF(AND(Übungen!$L$13&lt;&gt;"",'Reha-Modus'!$B$4&lt;&gt;"",'Reha-Modus'!$B$4&lt;Übungen!$L$13),"",IF(IFERROR(INDEX(Rekorde!$P$4:$P$17,MATCH(Übungen!$A$13,Rekorde!$A$4:$A$17,0)),"")="","",IFERROR(INDEX(Rekorde!$P$4:$P$17,MATCH(Übungen!$A$13,Rekorde!$A$4:$A$17,0)),"")))</f>
        <v/>
      </c>
      <c r="E457" s="96"/>
      <c r="F457" s="96"/>
      <c r="G457" s="96"/>
      <c r="H457" s="96"/>
      <c r="I457" s="96"/>
    </row>
    <row r="458" customFormat="false" ht="18" hidden="false" customHeight="true" outlineLevel="0" collapsed="false">
      <c r="A458" s="93" t="n">
        <v>4</v>
      </c>
      <c r="B458" s="97" t="s">
        <v>237</v>
      </c>
      <c r="C458" s="94" t="str">
        <f aca="false">IF(AND(Übungen!$L$13&lt;&gt;"",'Reha-Modus'!$B$4&lt;&gt;"",'Reha-Modus'!$B$4&lt;Übungen!$L$13),"",IF(IFERROR(INDEX(Rekorde!$O$4:$O$17,MATCH(Übungen!$A$13,Rekorde!$A$4:$A$17,0)),"")="","",ROUND(IFERROR(INDEX(Rekorde!$O$4:$O$17,MATCH(Übungen!$A$13,Rekorde!$A$4:$A$17,0)),"")*1*2,0)/2))</f>
        <v/>
      </c>
      <c r="D458" s="98" t="str">
        <f aca="false">IF(AND(Übungen!$L$13&lt;&gt;"",'Reha-Modus'!$B$4&lt;&gt;"",'Reha-Modus'!$B$4&lt;Übungen!$L$13),"",IF(IFERROR(INDEX(Rekorde!$P$4:$P$17,MATCH(Übungen!$A$13,Rekorde!$A$4:$A$17,0)),"")="","",IFERROR(INDEX(Rekorde!$P$4:$P$17,MATCH(Übungen!$A$13,Rekorde!$A$4:$A$17,0)),"")))</f>
        <v/>
      </c>
      <c r="E458" s="96"/>
      <c r="F458" s="96"/>
      <c r="G458" s="96"/>
      <c r="H458" s="96"/>
      <c r="I458" s="96"/>
    </row>
    <row r="459" customFormat="false" ht="18" hidden="false" customHeight="true" outlineLevel="0" collapsed="false">
      <c r="A459" s="93" t="n">
        <v>5</v>
      </c>
      <c r="B459" s="97" t="s">
        <v>237</v>
      </c>
      <c r="C459" s="94" t="str">
        <f aca="false">IF(AND(Übungen!$L$13&lt;&gt;"",'Reha-Modus'!$B$4&lt;&gt;"",'Reha-Modus'!$B$4&lt;Übungen!$L$13),"",IF(IFERROR(INDEX(Rekorde!$O$4:$O$17,MATCH(Übungen!$A$13,Rekorde!$A$4:$A$17,0)),"")="","",ROUND(IFERROR(INDEX(Rekorde!$O$4:$O$17,MATCH(Übungen!$A$13,Rekorde!$A$4:$A$17,0)),"")*1*2,0)/2))</f>
        <v/>
      </c>
      <c r="D459" s="98" t="str">
        <f aca="false">IF(AND(Übungen!$L$13&lt;&gt;"",'Reha-Modus'!$B$4&lt;&gt;"",'Reha-Modus'!$B$4&lt;Übungen!$L$13),"",IF(IFERROR(INDEX(Rekorde!$P$4:$P$17,MATCH(Übungen!$A$13,Rekorde!$A$4:$A$17,0)),"")="","",IFERROR(INDEX(Rekorde!$P$4:$P$17,MATCH(Übungen!$A$13,Rekorde!$A$4:$A$17,0)),"")))</f>
        <v/>
      </c>
      <c r="E459" s="96"/>
      <c r="F459" s="96"/>
      <c r="G459" s="96"/>
      <c r="H459" s="96"/>
      <c r="I459" s="96"/>
    </row>
    <row r="461" customFormat="false" ht="15.75" hidden="false" customHeight="true" outlineLevel="0" collapsed="false">
      <c r="A461" s="3" t="s">
        <v>319</v>
      </c>
      <c r="B461" s="3"/>
      <c r="C461" s="3"/>
      <c r="D461" s="3"/>
      <c r="E461" s="3"/>
      <c r="F461" s="3"/>
      <c r="G461" s="3"/>
      <c r="H461" s="3"/>
      <c r="I461" s="3"/>
    </row>
    <row r="462" customFormat="false" ht="18" hidden="false" customHeight="true" outlineLevel="0" collapsed="false">
      <c r="A462" s="99"/>
      <c r="B462" s="99"/>
      <c r="C462" s="99"/>
      <c r="D462" s="99"/>
      <c r="E462" s="99"/>
      <c r="F462" s="99"/>
      <c r="G462" s="99"/>
      <c r="H462" s="99"/>
      <c r="I462" s="99"/>
    </row>
    <row r="463" customFormat="false" ht="18" hidden="false" customHeight="true" outlineLevel="0" collapsed="false">
      <c r="A463" s="99"/>
      <c r="B463" s="99"/>
      <c r="C463" s="99"/>
      <c r="D463" s="99"/>
      <c r="E463" s="99"/>
      <c r="F463" s="99"/>
      <c r="G463" s="99"/>
      <c r="H463" s="99"/>
      <c r="I463" s="99"/>
    </row>
  </sheetData>
  <mergeCells count="200">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17:I117"/>
    <mergeCell ref="A118:B118"/>
    <mergeCell ref="E118:F118"/>
    <mergeCell ref="G118:H118"/>
    <mergeCell ref="A119:B119"/>
    <mergeCell ref="E119:F119"/>
    <mergeCell ref="G119:H119"/>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65:I165"/>
    <mergeCell ref="A166:B166"/>
    <mergeCell ref="E166:F166"/>
    <mergeCell ref="G166:H166"/>
    <mergeCell ref="A167:B167"/>
    <mergeCell ref="E167:F167"/>
    <mergeCell ref="G167:H167"/>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1:I281"/>
    <mergeCell ref="A282:B282"/>
    <mergeCell ref="E282:F282"/>
    <mergeCell ref="G282:H282"/>
    <mergeCell ref="A283:B283"/>
    <mergeCell ref="E283:F283"/>
    <mergeCell ref="G283:H283"/>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49:I349"/>
    <mergeCell ref="A350:B350"/>
    <mergeCell ref="E350:F350"/>
    <mergeCell ref="G350:H350"/>
    <mergeCell ref="A351:B351"/>
    <mergeCell ref="E351:F351"/>
    <mergeCell ref="G351:H351"/>
    <mergeCell ref="A353:I353"/>
    <mergeCell ref="A354:I354"/>
    <mergeCell ref="A355:I355"/>
    <mergeCell ref="A363:I363"/>
    <mergeCell ref="A364:I364"/>
    <mergeCell ref="A365:I365"/>
    <mergeCell ref="A373:I373"/>
    <mergeCell ref="A374:I374"/>
    <mergeCell ref="A375:I375"/>
    <mergeCell ref="A383:I383"/>
    <mergeCell ref="A384:I384"/>
    <mergeCell ref="A385:I385"/>
    <mergeCell ref="A393:I393"/>
    <mergeCell ref="A394:I394"/>
    <mergeCell ref="A395:I395"/>
    <mergeCell ref="A397:I397"/>
    <mergeCell ref="A398:B398"/>
    <mergeCell ref="E398:F398"/>
    <mergeCell ref="G398:H398"/>
    <mergeCell ref="A399:B399"/>
    <mergeCell ref="E399:F399"/>
    <mergeCell ref="G399:H399"/>
    <mergeCell ref="A401:I401"/>
    <mergeCell ref="A402:I402"/>
    <mergeCell ref="A403:I403"/>
    <mergeCell ref="A411:I411"/>
    <mergeCell ref="A412:I412"/>
    <mergeCell ref="A413:I413"/>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s>
  <conditionalFormatting sqref="A1:I46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15" man="true" max="16383" min="0"/>
    <brk id="163" man="true" max="16383" min="0"/>
    <brk id="231" man="true" max="16383" min="0"/>
    <brk id="279" man="true" max="16383" min="0"/>
    <brk id="347" man="true" max="16383" min="0"/>
    <brk id="39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327</v>
      </c>
      <c r="B1" s="1"/>
      <c r="C1" s="1"/>
      <c r="D1" s="1"/>
      <c r="E1" s="1"/>
      <c r="F1" s="1"/>
      <c r="G1" s="1"/>
      <c r="H1" s="1"/>
      <c r="I1" s="1"/>
      <c r="J1" s="1"/>
      <c r="K1" s="1"/>
      <c r="L1" s="1"/>
      <c r="M1" s="1"/>
    </row>
    <row r="2" customFormat="false" ht="15" hidden="false" customHeight="true" outlineLevel="0" collapsed="false">
      <c r="A2" s="2" t="s">
        <v>328</v>
      </c>
      <c r="B2" s="2"/>
      <c r="C2" s="2"/>
      <c r="D2" s="2"/>
      <c r="E2" s="2"/>
      <c r="F2" s="2"/>
      <c r="G2" s="2"/>
      <c r="H2" s="2"/>
      <c r="I2" s="2"/>
      <c r="J2" s="2"/>
      <c r="K2" s="2"/>
      <c r="L2" s="2"/>
      <c r="M2" s="2"/>
    </row>
    <row r="3" customFormat="false" ht="31.5" hidden="false" customHeight="true" outlineLevel="0" collapsed="false">
      <c r="A3" s="22" t="s">
        <v>171</v>
      </c>
      <c r="B3" s="22" t="s">
        <v>228</v>
      </c>
      <c r="C3" s="22" t="s">
        <v>329</v>
      </c>
      <c r="D3" s="22" t="s">
        <v>330</v>
      </c>
      <c r="E3" s="22" t="s">
        <v>331</v>
      </c>
      <c r="F3" s="22" t="s">
        <v>332</v>
      </c>
      <c r="G3" s="22" t="s">
        <v>333</v>
      </c>
      <c r="H3" s="22" t="s">
        <v>334</v>
      </c>
      <c r="I3" s="22" t="s">
        <v>335</v>
      </c>
      <c r="J3" s="22" t="s">
        <v>336</v>
      </c>
      <c r="K3" s="22" t="s">
        <v>337</v>
      </c>
      <c r="L3" s="22" t="s">
        <v>338</v>
      </c>
      <c r="M3" s="22" t="s">
        <v>223</v>
      </c>
      <c r="N3" s="22" t="s">
        <v>176</v>
      </c>
      <c r="O3" s="22" t="s">
        <v>339</v>
      </c>
    </row>
    <row r="4" customFormat="false" ht="57.75" hidden="false" customHeight="true" outlineLevel="0" collapsed="false">
      <c r="A4" s="52" t="s">
        <v>267</v>
      </c>
      <c r="B4" s="52" t="s">
        <v>340</v>
      </c>
      <c r="C4" s="52" t="s">
        <v>341</v>
      </c>
      <c r="D4" s="51" t="n">
        <v>5</v>
      </c>
      <c r="E4" s="51" t="n">
        <v>8</v>
      </c>
      <c r="F4" s="51" t="n">
        <v>3</v>
      </c>
      <c r="G4" s="51" t="s">
        <v>342</v>
      </c>
      <c r="H4" s="50"/>
      <c r="I4" s="50"/>
      <c r="J4" s="50" t="n">
        <v>10</v>
      </c>
      <c r="K4" s="51" t="s">
        <v>343</v>
      </c>
      <c r="L4" s="51" t="n">
        <v>2</v>
      </c>
      <c r="M4" s="100" t="s">
        <v>344</v>
      </c>
      <c r="N4" s="100" t="s">
        <v>345</v>
      </c>
      <c r="O4" s="100" t="s">
        <v>346</v>
      </c>
    </row>
    <row r="5" customFormat="false" ht="57.75" hidden="false" customHeight="true" outlineLevel="0" collapsed="false">
      <c r="A5" s="52" t="s">
        <v>251</v>
      </c>
      <c r="B5" s="52" t="s">
        <v>340</v>
      </c>
      <c r="C5" s="52" t="s">
        <v>347</v>
      </c>
      <c r="D5" s="51" t="n">
        <v>5</v>
      </c>
      <c r="E5" s="51" t="n">
        <v>8</v>
      </c>
      <c r="F5" s="51" t="n">
        <v>3</v>
      </c>
      <c r="G5" s="51" t="s">
        <v>348</v>
      </c>
      <c r="H5" s="50"/>
      <c r="I5" s="50"/>
      <c r="J5" s="50" t="n">
        <v>5</v>
      </c>
      <c r="K5" s="51" t="s">
        <v>343</v>
      </c>
      <c r="L5" s="51" t="n">
        <v>8</v>
      </c>
      <c r="M5" s="100" t="s">
        <v>349</v>
      </c>
      <c r="N5" s="100" t="s">
        <v>350</v>
      </c>
      <c r="O5" s="100" t="s">
        <v>351</v>
      </c>
    </row>
    <row r="6" customFormat="false" ht="57.75" hidden="false" customHeight="true" outlineLevel="0" collapsed="false">
      <c r="A6" s="52" t="s">
        <v>244</v>
      </c>
      <c r="B6" s="52" t="s">
        <v>340</v>
      </c>
      <c r="C6" s="52" t="s">
        <v>352</v>
      </c>
      <c r="D6" s="51" t="n">
        <v>5</v>
      </c>
      <c r="E6" s="51" t="n">
        <v>8</v>
      </c>
      <c r="F6" s="51" t="n">
        <v>3</v>
      </c>
      <c r="G6" s="51" t="s">
        <v>353</v>
      </c>
      <c r="H6" s="50"/>
      <c r="I6" s="50"/>
      <c r="J6" s="50" t="n">
        <v>5</v>
      </c>
      <c r="K6" s="51" t="s">
        <v>343</v>
      </c>
      <c r="L6" s="51" t="n">
        <v>1</v>
      </c>
      <c r="M6" s="100" t="s">
        <v>354</v>
      </c>
      <c r="N6" s="100" t="s">
        <v>355</v>
      </c>
      <c r="O6" s="100" t="s">
        <v>356</v>
      </c>
    </row>
    <row r="7" customFormat="false" ht="57.75" hidden="false" customHeight="true" outlineLevel="0" collapsed="false">
      <c r="A7" s="52" t="s">
        <v>235</v>
      </c>
      <c r="B7" s="52" t="s">
        <v>340</v>
      </c>
      <c r="C7" s="52" t="s">
        <v>352</v>
      </c>
      <c r="D7" s="51" t="n">
        <v>5</v>
      </c>
      <c r="E7" s="51" t="n">
        <v>8</v>
      </c>
      <c r="F7" s="51" t="n">
        <v>3</v>
      </c>
      <c r="G7" s="51" t="s">
        <v>353</v>
      </c>
      <c r="H7" s="50"/>
      <c r="I7" s="50"/>
      <c r="J7" s="50" t="n">
        <v>2.5</v>
      </c>
      <c r="K7" s="51" t="s">
        <v>343</v>
      </c>
      <c r="L7" s="51" t="n">
        <v>1</v>
      </c>
      <c r="M7" s="100" t="s">
        <v>357</v>
      </c>
      <c r="N7" s="100" t="s">
        <v>355</v>
      </c>
      <c r="O7" s="100" t="s">
        <v>358</v>
      </c>
    </row>
    <row r="8" customFormat="false" ht="57.75" hidden="false" customHeight="true" outlineLevel="0" collapsed="false">
      <c r="A8" s="52" t="s">
        <v>264</v>
      </c>
      <c r="B8" s="52" t="s">
        <v>359</v>
      </c>
      <c r="C8" s="52" t="s">
        <v>265</v>
      </c>
      <c r="D8" s="51" t="n">
        <v>5</v>
      </c>
      <c r="E8" s="51" t="n">
        <v>8</v>
      </c>
      <c r="F8" s="51" t="n">
        <v>3</v>
      </c>
      <c r="G8" s="51" t="s">
        <v>348</v>
      </c>
      <c r="H8" s="50"/>
      <c r="I8" s="50"/>
      <c r="J8" s="50" t="n">
        <v>2.5</v>
      </c>
      <c r="K8" s="51" t="s">
        <v>343</v>
      </c>
      <c r="L8" s="51" t="n">
        <v>12</v>
      </c>
      <c r="M8" s="100" t="s">
        <v>360</v>
      </c>
      <c r="N8" s="100" t="s">
        <v>361</v>
      </c>
      <c r="O8" s="100" t="s">
        <v>362</v>
      </c>
    </row>
    <row r="9" customFormat="false" ht="57.75" hidden="false" customHeight="true" outlineLevel="0" collapsed="false">
      <c r="A9" s="52" t="s">
        <v>259</v>
      </c>
      <c r="B9" s="52" t="s">
        <v>359</v>
      </c>
      <c r="C9" s="52" t="s">
        <v>265</v>
      </c>
      <c r="D9" s="51" t="n">
        <v>5</v>
      </c>
      <c r="E9" s="51" t="n">
        <v>8</v>
      </c>
      <c r="F9" s="51" t="n">
        <v>3</v>
      </c>
      <c r="G9" s="51" t="s">
        <v>342</v>
      </c>
      <c r="H9" s="50"/>
      <c r="I9" s="50"/>
      <c r="J9" s="50" t="n">
        <v>10</v>
      </c>
      <c r="K9" s="51" t="s">
        <v>343</v>
      </c>
      <c r="L9" s="51" t="n">
        <v>4</v>
      </c>
      <c r="M9" s="100" t="s">
        <v>363</v>
      </c>
      <c r="N9" s="100" t="s">
        <v>364</v>
      </c>
      <c r="O9" s="100" t="s">
        <v>365</v>
      </c>
    </row>
    <row r="10" customFormat="false" ht="57.75" hidden="false" customHeight="true" outlineLevel="0" collapsed="false">
      <c r="A10" s="52" t="s">
        <v>270</v>
      </c>
      <c r="B10" s="52" t="s">
        <v>359</v>
      </c>
      <c r="C10" s="52" t="s">
        <v>352</v>
      </c>
      <c r="D10" s="51" t="n">
        <v>5</v>
      </c>
      <c r="E10" s="51" t="n">
        <v>8</v>
      </c>
      <c r="F10" s="51" t="n">
        <v>3</v>
      </c>
      <c r="G10" s="51" t="s">
        <v>342</v>
      </c>
      <c r="H10" s="50"/>
      <c r="I10" s="50"/>
      <c r="J10" s="50" t="n">
        <v>5</v>
      </c>
      <c r="K10" s="51" t="s">
        <v>343</v>
      </c>
      <c r="L10" s="51" t="n">
        <v>2</v>
      </c>
      <c r="M10" s="100" t="s">
        <v>366</v>
      </c>
      <c r="N10" s="100" t="s">
        <v>367</v>
      </c>
      <c r="O10" s="100" t="s">
        <v>368</v>
      </c>
    </row>
    <row r="11" customFormat="false" ht="57.75" hidden="false" customHeight="true" outlineLevel="0" collapsed="false">
      <c r="A11" s="52" t="s">
        <v>255</v>
      </c>
      <c r="B11" s="52" t="s">
        <v>359</v>
      </c>
      <c r="C11" s="52" t="s">
        <v>369</v>
      </c>
      <c r="D11" s="51" t="n">
        <v>5</v>
      </c>
      <c r="E11" s="51" t="n">
        <v>8</v>
      </c>
      <c r="F11" s="51" t="n">
        <v>3</v>
      </c>
      <c r="G11" s="51" t="s">
        <v>353</v>
      </c>
      <c r="H11" s="50"/>
      <c r="I11" s="50"/>
      <c r="J11" s="50" t="n">
        <v>5</v>
      </c>
      <c r="K11" s="51" t="s">
        <v>343</v>
      </c>
      <c r="L11" s="51" t="n">
        <v>1</v>
      </c>
      <c r="M11" s="100" t="s">
        <v>370</v>
      </c>
      <c r="N11" s="100" t="s">
        <v>355</v>
      </c>
      <c r="O11" s="100" t="s">
        <v>371</v>
      </c>
    </row>
    <row r="12" customFormat="false" ht="57.75" hidden="false" customHeight="true" outlineLevel="0" collapsed="false">
      <c r="A12" s="52" t="s">
        <v>254</v>
      </c>
      <c r="B12" s="52" t="s">
        <v>359</v>
      </c>
      <c r="C12" s="52" t="s">
        <v>372</v>
      </c>
      <c r="D12" s="51" t="n">
        <v>5</v>
      </c>
      <c r="E12" s="51" t="n">
        <v>8</v>
      </c>
      <c r="F12" s="51" t="n">
        <v>3</v>
      </c>
      <c r="G12" s="51" t="s">
        <v>353</v>
      </c>
      <c r="H12" s="50"/>
      <c r="I12" s="50"/>
      <c r="J12" s="50" t="n">
        <v>2</v>
      </c>
      <c r="K12" s="51" t="s">
        <v>343</v>
      </c>
      <c r="L12" s="51" t="n">
        <v>2</v>
      </c>
      <c r="M12" s="100" t="s">
        <v>373</v>
      </c>
      <c r="N12" s="100" t="s">
        <v>374</v>
      </c>
      <c r="O12" s="100" t="s">
        <v>375</v>
      </c>
    </row>
    <row r="13" customFormat="false" ht="57.75" hidden="false" customHeight="true" outlineLevel="0" collapsed="false">
      <c r="A13" s="52" t="s">
        <v>263</v>
      </c>
      <c r="B13" s="52" t="s">
        <v>359</v>
      </c>
      <c r="C13" s="52" t="s">
        <v>352</v>
      </c>
      <c r="D13" s="51" t="n">
        <v>5</v>
      </c>
      <c r="E13" s="51" t="n">
        <v>8</v>
      </c>
      <c r="F13" s="51" t="n">
        <v>3</v>
      </c>
      <c r="G13" s="51" t="s">
        <v>353</v>
      </c>
      <c r="H13" s="50"/>
      <c r="I13" s="50"/>
      <c r="J13" s="50" t="n">
        <v>5</v>
      </c>
      <c r="K13" s="51" t="s">
        <v>343</v>
      </c>
      <c r="L13" s="51" t="n">
        <v>2</v>
      </c>
      <c r="M13" s="100" t="s">
        <v>376</v>
      </c>
      <c r="N13" s="100" t="s">
        <v>377</v>
      </c>
      <c r="O13" s="100" t="s">
        <v>378</v>
      </c>
    </row>
    <row r="14" customFormat="false" ht="57.75" hidden="false" customHeight="true" outlineLevel="0" collapsed="false">
      <c r="A14" s="101" t="s">
        <v>65</v>
      </c>
      <c r="B14" s="101" t="s">
        <v>340</v>
      </c>
      <c r="C14" s="101" t="s">
        <v>379</v>
      </c>
      <c r="D14" s="102" t="n">
        <v>5</v>
      </c>
      <c r="E14" s="102" t="n">
        <v>8</v>
      </c>
      <c r="F14" s="102"/>
      <c r="G14" s="102"/>
      <c r="H14" s="103"/>
      <c r="I14" s="103"/>
      <c r="J14" s="103"/>
      <c r="K14" s="102" t="s">
        <v>380</v>
      </c>
      <c r="L14" s="102"/>
      <c r="M14" s="104" t="s">
        <v>381</v>
      </c>
      <c r="N14" s="104" t="s">
        <v>382</v>
      </c>
      <c r="O14" s="104" t="s">
        <v>383</v>
      </c>
    </row>
    <row r="15" customFormat="false" ht="57.75" hidden="false" customHeight="true" outlineLevel="0" collapsed="false">
      <c r="A15" s="101" t="s">
        <v>253</v>
      </c>
      <c r="B15" s="101" t="s">
        <v>359</v>
      </c>
      <c r="C15" s="101" t="s">
        <v>384</v>
      </c>
      <c r="D15" s="102" t="n">
        <v>5</v>
      </c>
      <c r="E15" s="102" t="n">
        <v>8</v>
      </c>
      <c r="F15" s="102"/>
      <c r="G15" s="102"/>
      <c r="H15" s="103"/>
      <c r="I15" s="103"/>
      <c r="J15" s="103"/>
      <c r="K15" s="102" t="s">
        <v>380</v>
      </c>
      <c r="L15" s="102"/>
      <c r="M15" s="104" t="s">
        <v>385</v>
      </c>
      <c r="N15" s="104" t="s">
        <v>382</v>
      </c>
      <c r="O15" s="104" t="s">
        <v>383</v>
      </c>
    </row>
    <row r="16" customFormat="false" ht="18" hidden="false" customHeight="true" outlineLevel="0" collapsed="false">
      <c r="A16" s="52"/>
      <c r="B16" s="52"/>
      <c r="C16" s="52"/>
      <c r="D16" s="51"/>
      <c r="E16" s="51"/>
      <c r="F16" s="51"/>
      <c r="G16" s="51"/>
      <c r="H16" s="50"/>
      <c r="I16" s="50"/>
      <c r="J16" s="50"/>
      <c r="K16" s="51"/>
      <c r="L16" s="51"/>
      <c r="M16" s="100"/>
      <c r="N16" s="100"/>
      <c r="O16" s="100"/>
    </row>
    <row r="17" customFormat="false" ht="18" hidden="false" customHeight="true" outlineLevel="0" collapsed="false">
      <c r="A17" s="52"/>
      <c r="B17" s="52"/>
      <c r="C17" s="52"/>
      <c r="D17" s="51"/>
      <c r="E17" s="51"/>
      <c r="F17" s="51"/>
      <c r="G17" s="51"/>
      <c r="H17" s="50"/>
      <c r="I17" s="50"/>
      <c r="J17" s="50"/>
      <c r="K17" s="51"/>
      <c r="L17" s="51"/>
      <c r="M17" s="100"/>
      <c r="N17" s="100"/>
      <c r="O17" s="100"/>
    </row>
    <row r="19" customFormat="false" ht="39.75" hidden="false" customHeight="true" outlineLevel="0" collapsed="false">
      <c r="A19" s="78" t="s">
        <v>386</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2026-08-13T10:16:22Z</dcterms:created>
  <dc:creator>openpyxl</dc:creator>
  <dc:description/>
  <dc:language>en-US</dc:language>
  <cp:lastModifiedBy/>
  <dcterms:modified xsi:type="dcterms:W3CDTF">2026-08-13T10:16:37Z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