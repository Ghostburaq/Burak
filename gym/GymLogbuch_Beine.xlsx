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lan" sheetId="1" state="visible" r:id="rId3"/>
    <sheet name="Trainingsblatt" sheetId="2" state="visible" r:id="rId4"/>
    <sheet name="Log" sheetId="3" state="visible" r:id="rId5"/>
    <sheet name="Verlauf" sheetId="4" state="visible" r:id="rId6"/>
    <sheet name="Reha" sheetId="5" state="visible" r:id="rId7"/>
    <sheet name="Reha-Log" sheetId="6" state="visible" r:id="rId8"/>
  </sheets>
  <definedNames>
    <definedName function="false" hidden="false" localSheetId="2" name="_xlnm.Print_Area" vbProcedure="false">Log!$A$1:$H$157</definedName>
    <definedName function="false" hidden="false" localSheetId="2" name="_xlnm.Print_Titles" vbProcedure="false">Log!$1:$3</definedName>
    <definedName function="false" hidden="true" localSheetId="2" name="_xlnm._FilterDatabase" vbProcedure="false">Log!$A$3:$H$903</definedName>
    <definedName function="false" hidden="false" localSheetId="0" name="_xlnm.Print_Area" vbProcedure="false">Plan!$A$1:$O$25</definedName>
    <definedName function="false" hidden="false" localSheetId="0" name="_xlnm.Print_Titles" vbProcedure="false">Plan!$1:$5</definedName>
    <definedName function="false" hidden="false" localSheetId="4" name="_xlnm.Print_Area" vbProcedure="false">Reha!$A$1:$G$31</definedName>
    <definedName function="false" hidden="false" localSheetId="4" name="_xlnm.Print_Titles" vbProcedure="false">Reha!$1:$2</definedName>
    <definedName function="false" hidden="false" localSheetId="5" name="_xlnm.Print_Area" vbProcedure="false">'Reha-Log'!$A$1:$H$44</definedName>
    <definedName function="false" hidden="false" localSheetId="5" name="_xlnm.Print_Titles" vbProcedure="false">'Reha-Log'!$1:$2</definedName>
    <definedName function="false" hidden="false" localSheetId="1" name="_xlnm.Print_Area" vbProcedure="false">Trainingsblatt!$A$1:$I$423</definedName>
    <definedName function="false" hidden="false" localSheetId="3" name="_xlnm.Print_Area" vbProcedure="false">Verlauf!$A$1:$O$34</definedName>
    <definedName function="false" hidden="false" localSheetId="3" name="_xlnm.Print_Titles" vbProcedure="false">Verlauf!$1:$4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<sst xmlns="http://schemas.openxmlformats.org/spreadsheetml/2006/main" count="1006" uniqueCount="202">
  <si>
    <t xml:space="preserve">PLAN  |  ALLES AUF EINEN BLICK</t>
  </si>
  <si>
    <t xml:space="preserve">Gelb sind deine Vorgaben, hellblau rechnet sich aus dem Log. Die grünen HEUTE-Spalten sagen, womit du die nächste Einheit startest.</t>
  </si>
  <si>
    <t xml:space="preserve">Woche nach OP</t>
  </si>
  <si>
    <t xml:space="preserve">Deine Vorgaben  ·  hier änderst du den Plan</t>
  </si>
  <si>
    <t xml:space="preserve">Stand aus dem Log  ·  rechnet sich selbst</t>
  </si>
  <si>
    <t xml:space="preserve">Übung</t>
  </si>
  <si>
    <t xml:space="preserve">Wdh
von</t>
  </si>
  <si>
    <t xml:space="preserve">Wdh
bis</t>
  </si>
  <si>
    <t xml:space="preserve">Sätze</t>
  </si>
  <si>
    <t xml:space="preserve">Schritt
(kg)</t>
  </si>
  <si>
    <t xml:space="preserve">Start
(kg)</t>
  </si>
  <si>
    <t xml:space="preserve">Max
(kg)</t>
  </si>
  <si>
    <t xml:space="preserve">Aktiv</t>
  </si>
  <si>
    <t xml:space="preserve">frei ab
Woche</t>
  </si>
  <si>
    <t xml:space="preserve">Status
heute</t>
  </si>
  <si>
    <t xml:space="preserve">zuletzt</t>
  </si>
  <si>
    <t xml:space="preserve">HEUTE
(kg)</t>
  </si>
  <si>
    <t xml:space="preserve">× Wdh</t>
  </si>
  <si>
    <t xml:space="preserve">Nächster Schritt</t>
  </si>
  <si>
    <t xml:space="preserve">gleiche
Last seit</t>
  </si>
  <si>
    <t xml:space="preserve">Hinweis</t>
  </si>
  <si>
    <t xml:space="preserve">Hilfsspalten →</t>
  </si>
  <si>
    <t xml:space="preserve">Beine vorne</t>
  </si>
  <si>
    <t xml:space="preserve">Beinpresse</t>
  </si>
  <si>
    <t xml:space="preserve">ja</t>
  </si>
  <si>
    <t xml:space="preserve">Tiefe Fussposition, Hände seitlich ablegen statt an den Griffen ziehen. Ersetzt Hackenschmidt und Lunges.</t>
  </si>
  <si>
    <t xml:space="preserve">Split Squat</t>
  </si>
  <si>
    <t xml:space="preserve">Je Bein. Ersatz in der Sperrzeit: Beinpresse einbeinig.</t>
  </si>
  <si>
    <t xml:space="preserve">Beinstrecker</t>
  </si>
  <si>
    <t xml:space="preserve">Dritter Satz als Reduktionssatz. Hände in den Schoss.</t>
  </si>
  <si>
    <t xml:space="preserve">Adduktion</t>
  </si>
  <si>
    <t xml:space="preserve">152.5 kg ist Stackende. Weiter über 3 s Exzentrik und 1 s Pause in der Dehnung, nicht über Last.</t>
  </si>
  <si>
    <t xml:space="preserve">Beine hinten</t>
  </si>
  <si>
    <t xml:space="preserve">Rumänisches Kreuzheben</t>
  </si>
  <si>
    <t xml:space="preserve">Ersetzt Kickback. Ersatz in der Sperrzeit: Beinbeuger sitzend.</t>
  </si>
  <si>
    <t xml:space="preserve">Hip Thrust</t>
  </si>
  <si>
    <t xml:space="preserve">Gesamtgewicht inkl. Stange notieren. Ersatz: Hip Thrust Maschine ab Woche 2.</t>
  </si>
  <si>
    <t xml:space="preserve">Beinbeuger</t>
  </si>
  <si>
    <t xml:space="preserve">Sitzend. Dritter Satz als Reduktionssatz.</t>
  </si>
  <si>
    <t xml:space="preserve">Seitliche Kickbacks</t>
  </si>
  <si>
    <t xml:space="preserve">Gluteus medius. Ersatz: Abduktion an der Maschine sitzend.</t>
  </si>
  <si>
    <t xml:space="preserve">Waden</t>
  </si>
  <si>
    <t xml:space="preserve">Sitzend ab Woche 1, stehend ab Woche 4.</t>
  </si>
  <si>
    <t xml:space="preserve">Archiv  ·  nicht mehr im Plan, Historie bleibt erhalten</t>
  </si>
  <si>
    <t xml:space="preserve">Lunges</t>
  </si>
  <si>
    <t xml:space="preserve">nein</t>
  </si>
  <si>
    <t xml:space="preserve">Archiv. Redundant zum Split Squat.</t>
  </si>
  <si>
    <t xml:space="preserve">Kickback</t>
  </si>
  <si>
    <t xml:space="preserve">Archiv. Von Hip Thrust und RDL abgedeckt.</t>
  </si>
  <si>
    <t xml:space="preserve">Doppelte Progression: Solange der schwächste Arbeitssatz unter 'Wdh bis' liegt, bleibt das Gewicht stehen und es kommt eine Wiederholung dazu. Schaffen alle Sätze das obere Ende, kommt eine Laststufe drauf und die Wiederholungen fangen bei 'Wdh von' wieder an. 'Max (kg)' deckelt das Ganze, 'Start (kg)' gilt für Übungen ohne Historie. 'gleiche Last seit' wird ab vier Einheiten gelb - dann steht die Übung.</t>
  </si>
  <si>
    <t xml:space="preserve">Rechts neben dem Druckbereich stehen der Hinweistext je Übung und drei Hilfsspalten, aus denen die Progression rechnet. Nicht löschen, aber auch nicht nötig zum Arbeiten.</t>
  </si>
  <si>
    <t xml:space="preserve">BEINE VORNE        Blatt 1 von 4</t>
  </si>
  <si>
    <t xml:space="preserve">Datum</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</si>
  <si>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</si>
  <si>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</si>
  <si>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</si>
  <si>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</si>
  <si>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</si>
  <si>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</si>
  <si>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</si>
  <si>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</si>
  <si>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</si>
  <si>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Wdh</t>
  </si>
  <si>
    <t xml:space="preserve">RPE</t>
  </si>
  <si>
    <t xml:space="preserve">OK</t>
  </si>
  <si>
    <t xml:space="preserve">Notiz</t>
  </si>
  <si>
    <t xml:space="preserve">W</t>
  </si>
  <si>
    <t xml:space="preserve">A</t>
  </si>
  <si>
    <t xml:space="preserve">R</t>
  </si>
  <si>
    <t xml:space="preserve">Notizen zur Einheit</t>
  </si>
  <si>
    <t xml:space="preserve">BEINE HINTEN        Blatt 1 von 4</t>
  </si>
  <si>
    <t xml:space="preserve">BEINE VORNE        Blatt 2 von 4</t>
  </si>
  <si>
    <t xml:space="preserve">BEINE HINTEN        Blatt 2 von 4</t>
  </si>
  <si>
    <t xml:space="preserve">BEINE VORNE        Blatt 3 von 4</t>
  </si>
  <si>
    <t xml:space="preserve">BEINE HINTEN        Blatt 3 von 4</t>
  </si>
  <si>
    <t xml:space="preserve">BEINE VORNE        Blatt 4 von 4</t>
  </si>
  <si>
    <t xml:space="preserve">BEINE HINTEN        Blatt 4 von 4</t>
  </si>
  <si>
    <t xml:space="preserve">LOG  |  EIN SATZ PRO ZEILE</t>
  </si>
  <si>
    <t xml:space="preserve">Nur die gelben Spalten. Volumen rechnet sich selbst, alles andere zieht das Blatt 'Plan' daraus.</t>
  </si>
  <si>
    <t xml:space="preserve">Einheit</t>
  </si>
  <si>
    <t xml:space="preserve">Satz</t>
  </si>
  <si>
    <t xml:space="preserve">Gewicht
(kg)</t>
  </si>
  <si>
    <t xml:space="preserve">Volumen
(kg)</t>
  </si>
  <si>
    <t xml:space="preserve">Drop: 110 / 72.5</t>
  </si>
  <si>
    <t xml:space="preserve">Drop: 110 / 72.5 / 35</t>
  </si>
  <si>
    <t xml:space="preserve">Drop: 110 / 72.5 / 35 / 20</t>
  </si>
  <si>
    <t xml:space="preserve">Original 152.2, als Tippfehler gewertet</t>
  </si>
  <si>
    <t xml:space="preserve">Drop: 125 / 110 / 95 / 80</t>
  </si>
  <si>
    <t xml:space="preserve">Original 10-5 Wdh, Zuordnung unklar</t>
  </si>
  <si>
    <t xml:space="preserve">Original: W 10kg 20kg 5-6wdh, Zuordnung unklar</t>
  </si>
  <si>
    <t xml:space="preserve">Drop: 60 / 45 / 30 / 15 / 15</t>
  </si>
  <si>
    <t xml:space="preserve">Drop: 65 / 55 / 45 / 35 / 25 / 15</t>
  </si>
  <si>
    <t xml:space="preserve">Drop: 70 / 60 / 45 / 30 / 15</t>
  </si>
  <si>
    <t xml:space="preserve">Wdh fehlt im Original</t>
  </si>
  <si>
    <t xml:space="preserve">Drop: 30 / 20 / 10</t>
  </si>
  <si>
    <t xml:space="preserve">Drop: 40 / 35 / 30</t>
  </si>
  <si>
    <t xml:space="preserve">Drop: 30 / 25 / 20</t>
  </si>
  <si>
    <t xml:space="preserve">Gesamtgewicht inkl. Stange</t>
  </si>
  <si>
    <t xml:space="preserve">Absolutgewicht im Original nicht notiert</t>
  </si>
  <si>
    <t xml:space="preserve">VERLAUF  |  ARBEITSVOLUMEN JE ÜBUNG UND EINHEIT</t>
  </si>
  <si>
    <t xml:space="preserve">Gewicht × Wdh, nur Arbeitssätze. Leer = in dieser Einheit nicht trainiert.</t>
  </si>
  <si>
    <t xml:space="preserve">Ab Einheit</t>
  </si>
  <si>
    <t xml:space="preserve">Gesamt (kg)</t>
  </si>
  <si>
    <t xml:space="preserve">Ø je Einheit</t>
  </si>
  <si>
    <t xml:space="preserve">Summe je Einheit</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</si>
  <si>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</si>
  <si>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</si>
  <si>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</si>
  <si>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</si>
  <si>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</si>
  <si>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</si>
  <si>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</si>
  <si>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</si>
  <si>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</si>
  <si>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</si>
  <si>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</si>
  <si>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</si>
  <si>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</si>
  <si>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</si>
  <si>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</si>
  <si>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</si>
  <si>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</si>
  <si>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</si>
  <si>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</si>
  <si>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</si>
  <si>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</si>
  <si>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</si>
  <si>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</si>
  <si>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</si>
  <si>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</si>
  <si>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</si>
  <si>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</si>
  <si>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</si>
  <si>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</si>
  <si>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</si>
  <si>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</si>
  <si>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</si>
  <si>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</si>
  <si>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</si>
  <si>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</si>
  <si>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</si>
  <si>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</si>
  <si>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</si>
  <si>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</si>
  <si>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</si>
  <si>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</si>
  <si>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</si>
  <si>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</si>
  <si>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</si>
  <si>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</si>
  <si>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</si>
  <si>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</si>
  <si>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</si>
  <si>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</si>
  <si>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</si>
  <si>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</si>
  <si>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</si>
  <si>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</si>
  <si>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</si>
  <si>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</si>
  <si>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</si>
  <si>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</si>
  <si>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</si>
  <si>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</si>
  <si>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</si>
  <si>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</si>
  <si>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</si>
  <si>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</si>
  <si>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</si>
  <si>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</si>
  <si>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</si>
  <si>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</si>
  <si>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</si>
  <si>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</si>
  <si>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</si>
  <si>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</si>
  <si>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</si>
  <si>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</si>
  <si>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</si>
  <si>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</si>
  <si>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</si>
  <si>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</si>
  <si>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</si>
  <si>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</si>
  <si>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REHA-LOG  |  TÄGLICH 60 SEKUNDEN</t>
  </si>
  <si>
    <t xml:space="preserve">Schmerz und Beweglichkeit. Der Statusblock zeigt, ob es vorwärtsgeht - das ist die Grundlage für den Physio-Termin.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</si>
  <si>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</si>
  <si>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</si>
  <si>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</si>
  <si>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</si>
  <si>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</si>
  <si>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</si>
  <si>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</si>
  <si>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aktuell</t>
  </si>
  <si>
    <t xml:space="preserve">Schmerz Ruhe Ø 14 T.</t>
  </si>
  <si>
    <t xml:space="preserve">Schmerz Last Ø 14 T.</t>
  </si>
  <si>
    <t xml:space="preserve">Woche</t>
  </si>
  <si>
    <t xml:space="preserve">Schmerz
Ruhe 0-10</t>
  </si>
  <si>
    <t xml:space="preserve">Schmerz
Last 0-10</t>
  </si>
  <si>
    <t xml:space="preserve">Flexion
Grad</t>
  </si>
  <si>
    <t xml:space="preserve">Abduktion
Grad</t>
  </si>
  <si>
    <t xml:space="preserve">Aussen-
rotation Grad</t>
  </si>
</sst>
</file>

<file path=xl/styles.xml><?xml version="1.0" encoding="utf-8"?>
<styleSheet xmlns="http://schemas.openxmlformats.org/spreadsheetml/2006/main">
  <numFmts count="5">
    <numFmt numFmtId="164" formatCode="General"/>
    <numFmt numFmtId="165" formatCode="#,##0;\-#,##0;\–"/>
    <numFmt numFmtId="166" formatCode="#,##0.0;\-#,##0.0;\–"/>
    <numFmt numFmtId="167" formatCode="dd\.mm\.yyyy"/>
    <numFmt numFmtId="168" formatCode="0"/>
  </numFmts>
  <fonts count="2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0"/>
      <name val="Arial"/>
      <family val="0"/>
      <charset val="1"/>
    </font>
    <font>
      <b val="true"/>
      <sz val="12"/>
      <color rgb="FF1F3A5F"/>
      <name val="Arial"/>
      <family val="0"/>
      <charset val="1"/>
    </font>
    <font>
      <sz val="10"/>
      <name val="Arial"/>
      <family val="0"/>
      <charset val="1"/>
    </font>
    <font>
      <b val="true"/>
      <sz val="10"/>
      <color rgb="FFFFFFFF"/>
      <name val="Arial"/>
      <family val="0"/>
      <charset val="1"/>
    </font>
    <font>
      <b val="true"/>
      <sz val="10"/>
      <color rgb="FF1F3A5F"/>
      <name val="Arial"/>
      <family val="0"/>
      <charset val="1"/>
    </font>
    <font>
      <b val="true"/>
      <sz val="12"/>
      <color rgb="FF15803D"/>
      <name val="Arial"/>
      <family val="0"/>
      <charset val="1"/>
    </font>
    <font>
      <sz val="9"/>
      <color rgb="FF1F3A5F"/>
      <name val="Arial"/>
      <family val="0"/>
      <charset val="1"/>
    </font>
    <font>
      <sz val="8.5"/>
      <color rgb="FF4A5568"/>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b val="true"/>
      <sz val="10"/>
      <color rgb="FF15803D"/>
      <name val="Arial"/>
      <family val="0"/>
      <charset val="1"/>
    </font>
    <font>
      <b val="true"/>
      <sz val="11"/>
      <color rgb="FF1F3A5F"/>
      <name val="Arial"/>
      <family val="0"/>
      <charset val="1"/>
    </font>
    <font>
      <b val="true"/>
      <sz val="18"/>
      <color rgb="FF000000"/>
      <name val="Calibri"/>
      <family val="2"/>
    </font>
    <font>
      <sz val="10"/>
      <color rgb="FF000000"/>
      <name val="Calibri"/>
      <family val="2"/>
    </font>
    <font>
      <b val="true"/>
      <sz val="10"/>
      <color rgb="FFB91C1C"/>
      <name val="Arial"/>
      <family val="0"/>
      <charset val="1"/>
    </font>
    <font>
      <b val="true"/>
      <sz val="9"/>
      <color rgb="FFB91C1C"/>
      <name val="Arial"/>
      <family val="0"/>
      <charset val="1"/>
    </font>
    <font>
      <b val="true"/>
      <sz val="9"/>
      <color rgb="FF15803D"/>
      <name val="Arial"/>
      <family val="0"/>
      <charset val="1"/>
    </font>
    <font>
      <b val="true"/>
      <sz val="9"/>
      <color rgb="FFB45309"/>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FFF6D5"/>
        <bgColor rgb="FFF9F9F9"/>
      </patternFill>
    </fill>
    <fill>
      <patternFill patternType="solid">
        <fgColor rgb="FFF5F8FB"/>
        <bgColor rgb="FFF9F9F9"/>
      </patternFill>
    </fill>
    <fill>
      <patternFill patternType="solid">
        <fgColor rgb="FF3D6288"/>
        <bgColor rgb="FF4A5568"/>
      </patternFill>
    </fill>
    <fill>
      <patternFill patternType="solid">
        <fgColor rgb="FF1F3A5F"/>
        <bgColor rgb="FF142A44"/>
      </patternFill>
    </fill>
    <fill>
      <patternFill patternType="solid">
        <fgColor rgb="FF8A94A0"/>
        <bgColor rgb="FF878787"/>
      </patternFill>
    </fill>
    <fill>
      <patternFill patternType="solid">
        <fgColor rgb="FFEDF1F6"/>
        <bgColor rgb="FFE7F2EA"/>
      </patternFill>
    </fill>
    <fill>
      <patternFill patternType="solid">
        <fgColor rgb="FFE7F2EA"/>
        <bgColor rgb="FFEDF1F6"/>
      </patternFill>
    </fill>
    <fill>
      <patternFill patternType="solid">
        <fgColor rgb="FFFFFFFF"/>
        <bgColor rgb="FFF9F9F9"/>
      </patternFill>
    </fill>
    <fill>
      <patternFill patternType="solid">
        <fgColor rgb="FFB91C1C"/>
        <bgColor rgb="FFBE4B48"/>
      </patternFill>
    </fill>
    <fill>
      <patternFill patternType="solid">
        <fgColor rgb="FFF8D7D7"/>
        <bgColor rgb="FFFCE8C0"/>
      </patternFill>
    </fill>
  </fills>
  <borders count="5">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right/>
      <top/>
      <bottom style="medium">
        <color rgb="FF1F3A5F"/>
      </bottom>
      <diagonal/>
    </border>
    <border diagonalUp="false" diagonalDown="false">
      <left/>
      <right/>
      <top/>
      <bottom style="thin">
        <color rgb="FFAEBACA"/>
      </bottom>
      <diagonal/>
    </border>
    <border diagonalUp="false" diagonalDown="false">
      <left/>
      <right/>
      <top style="medium">
        <color rgb="FF1F3A5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8" fillId="4" borderId="0" xfId="0" applyFont="true" applyBorder="true" applyAlignment="true" applyProtection="false">
      <alignment horizontal="left" vertical="center" textRotation="0" wrapText="false" indent="1" shrinkToFit="false"/>
      <protection locked="true" hidden="false"/>
    </xf>
    <xf numFmtId="164" fontId="9" fillId="5" borderId="0" xfId="0" applyFont="true" applyBorder="true" applyAlignment="true" applyProtection="false">
      <alignment horizontal="left" vertical="center" textRotation="0" wrapText="false" indent="1"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10" fillId="8"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lef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6" fontId="8" fillId="3" borderId="1" xfId="0" applyFont="tru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6" fontId="11" fillId="9" borderId="1" xfId="0" applyFont="true" applyBorder="true" applyAlignment="true" applyProtection="false">
      <alignment horizontal="center" vertical="center" textRotation="0" wrapText="false" indent="0" shrinkToFit="false"/>
      <protection locked="true" hidden="false"/>
    </xf>
    <xf numFmtId="165" fontId="11" fillId="9"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top" textRotation="0" wrapText="tru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5" fontId="13" fillId="0" borderId="0" xfId="0" applyFont="true" applyBorder="false" applyAlignment="true" applyProtection="false">
      <alignment horizontal="center" vertical="center" textRotation="0" wrapText="false" indent="0" shrinkToFit="false"/>
      <protection locked="true" hidden="false"/>
    </xf>
    <xf numFmtId="166" fontId="13"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top" textRotation="0" wrapText="true" indent="0" shrinkToFit="false"/>
      <protection locked="true" hidden="false"/>
    </xf>
    <xf numFmtId="164" fontId="13"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1" shrinkToFit="false"/>
      <protection locked="true" hidden="false"/>
    </xf>
    <xf numFmtId="164" fontId="10" fillId="8" borderId="1" xfId="0" applyFont="true" applyBorder="true" applyAlignment="true" applyProtection="false">
      <alignment horizontal="left" vertical="center" textRotation="0" wrapText="false" indent="1" shrinkToFit="false"/>
      <protection locked="true" hidden="false"/>
    </xf>
    <xf numFmtId="164" fontId="14" fillId="0" borderId="1" xfId="0" applyFont="true" applyBorder="true" applyAlignment="true" applyProtection="false">
      <alignment horizontal="left" vertical="center" textRotation="0" wrapText="false" indent="1"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6" fontId="16"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5" fontId="17" fillId="0" borderId="1" xfId="0" applyFont="true" applyBorder="true" applyAlignment="true" applyProtection="false">
      <alignment horizontal="center" vertical="center"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8" fontId="18" fillId="3" borderId="1" xfId="0" applyFont="true" applyBorder="true" applyAlignment="true" applyProtection="false">
      <alignment horizontal="center" vertical="center" textRotation="0" wrapText="false" indent="0" shrinkToFit="false"/>
      <protection locked="true" hidden="false"/>
    </xf>
    <xf numFmtId="164" fontId="13" fillId="4" borderId="0" xfId="0" applyFont="true" applyBorder="true" applyAlignment="true" applyProtection="false">
      <alignment horizontal="left" vertical="center" textRotation="0" wrapText="false" indent="1" shrinkToFit="false"/>
      <protection locked="true" hidden="false"/>
    </xf>
    <xf numFmtId="168" fontId="9" fillId="6" borderId="1" xfId="0" applyFont="true" applyBorder="true" applyAlignment="true" applyProtection="false">
      <alignment horizontal="center"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5" fontId="8" fillId="8" borderId="1" xfId="0" applyFont="true" applyBorder="true" applyAlignment="true" applyProtection="false">
      <alignment horizontal="center" vertical="center" textRotation="0" wrapText="false" indent="0" shrinkToFit="false"/>
      <protection locked="true" hidden="false"/>
    </xf>
    <xf numFmtId="165" fontId="6" fillId="4"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6" fillId="8" borderId="4" xfId="0" applyFont="true" applyBorder="true" applyAlignment="true" applyProtection="false">
      <alignment horizontal="left" vertical="center" textRotation="0" wrapText="false" indent="0" shrinkToFit="false"/>
      <protection locked="true" hidden="false"/>
    </xf>
    <xf numFmtId="165" fontId="6" fillId="8" borderId="4" xfId="0" applyFont="true" applyBorder="true" applyAlignment="true" applyProtection="false">
      <alignment horizontal="center" vertical="center" textRotation="0" wrapText="false" indent="0" shrinkToFit="false"/>
      <protection locked="true" hidden="false"/>
    </xf>
    <xf numFmtId="164" fontId="0" fillId="8" borderId="4" xfId="0" applyFont="false" applyBorder="tru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9" fillId="11" borderId="0" xfId="0" applyFont="true" applyBorder="true" applyAlignment="true" applyProtection="false">
      <alignment horizontal="left" vertical="center" textRotation="0" wrapText="false" indent="1" shrinkToFit="false"/>
      <protection locked="true" hidden="false"/>
    </xf>
    <xf numFmtId="164" fontId="21" fillId="12" borderId="1" xfId="0" applyFont="true" applyBorder="true" applyAlignment="true" applyProtection="false">
      <alignment horizontal="left" vertical="top"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7" fontId="6" fillId="3" borderId="1" xfId="0" applyFont="true" applyBorder="true" applyAlignment="true" applyProtection="false">
      <alignment horizontal="center" vertical="center" textRotation="0" wrapText="false" indent="0" shrinkToFit="false"/>
      <protection locked="true" hidden="false"/>
    </xf>
    <xf numFmtId="164" fontId="8" fillId="8"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ont>
        <name val="Arial"/>
        <charset val="1"/>
        <family val="0"/>
        <i val="1"/>
        <color rgb="FF8A94A0"/>
        <sz val="10"/>
      </font>
    </dxf>
    <dxf>
      <fill>
        <patternFill>
          <bgColor rgb="FFF8D7D7"/>
        </patternFill>
      </fill>
    </dxf>
    <dxf>
      <font>
        <name val="Arial"/>
        <charset val="1"/>
        <family val="0"/>
        <b val="1"/>
        <color rgb="FFB91C1C"/>
        <sz val="10"/>
      </font>
    </dxf>
    <dxf>
      <font>
        <name val="Arial"/>
        <charset val="1"/>
        <family val="0"/>
        <b val="1"/>
        <color rgb="FF15803D"/>
        <sz val="10"/>
      </font>
    </dxf>
    <dxf>
      <font>
        <name val="Arial"/>
        <charset val="1"/>
        <family val="0"/>
        <b val="1"/>
        <color rgb="FFB45309"/>
        <sz val="10"/>
      </font>
      <fill>
        <patternFill>
          <bgColor rgb="FFFCE8C0"/>
        </patternFill>
      </fill>
    </dxf>
    <dxf>
      <font>
        <name val="Arial"/>
        <charset val="1"/>
        <family val="0"/>
        <b val="1"/>
        <color rgb="FFB91C1C"/>
        <sz val="10"/>
      </font>
      <fill>
        <patternFill>
          <bgColor rgb="FFF8D7D7"/>
        </patternFill>
      </fill>
    </dxf>
    <dxf>
      <fill>
        <patternFill patternType="solid">
          <fgColor rgb="FF1F3A5F"/>
          <bgColor rgb="FF000000"/>
        </patternFill>
      </fill>
    </dxf>
    <dxf>
      <fill>
        <patternFill patternType="solid">
          <fgColor rgb="FFE7F2EA"/>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5F8FB"/>
          <bgColor rgb="FF000000"/>
        </patternFill>
      </fill>
    </dxf>
    <dxf>
      <fill>
        <patternFill>
          <bgColor rgb="FFE7F2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5F8FB"/>
      <rgbColor rgb="FFFCE8C0"/>
      <rgbColor rgb="FFF9F9F9"/>
      <rgbColor rgb="FFFF99CC"/>
      <rgbColor rgb="FFCC99FF"/>
      <rgbColor rgb="FFF8D7D7"/>
      <rgbColor rgb="FF4A7EBB"/>
      <rgbColor rgb="FF33CCCC"/>
      <rgbColor rgb="FF98B855"/>
      <rgbColor rgb="FFFFCC00"/>
      <rgbColor rgb="FFFF9900"/>
      <rgbColor rgb="FFFF6600"/>
      <rgbColor rgb="FF3D6288"/>
      <rgbColor rgb="FF8A94A0"/>
      <rgbColor rgb="FF142A44"/>
      <rgbColor rgb="FF4F81BD"/>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Verlauf!$B$4:$M$4</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Verlauf!$B$16:$M$16</c:f>
              <c:numCache>
                <c:formatCode>#,##0;\-#,##0;\–</c:formatCode>
                <c:ptCount val="12"/>
                <c:pt idx="0">
                  <c:v>19139.5</c:v>
                </c:pt>
                <c:pt idx="1">
                  <c:v>19654</c:v>
                </c:pt>
                <c:pt idx="2">
                  <c:v>17343.5</c:v>
                </c:pt>
                <c:pt idx="3">
                  <c:v>18367.5</c:v>
                </c:pt>
              </c:numCache>
            </c:numRef>
          </c:val>
        </c:ser>
        <c:gapWidth val="150"/>
        <c:overlap val="0"/>
        <c:axId val="67381194"/>
        <c:axId val="78606207"/>
      </c:barChart>
      <c:catAx>
        <c:axId val="67381194"/>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606207"/>
        <c:crosses val="autoZero"/>
        <c:auto val="1"/>
        <c:lblAlgn val="ctr"/>
        <c:lblOffset val="100"/>
        <c:noMultiLvlLbl val="0"/>
      </c:catAx>
      <c:valAx>
        <c:axId val="78606207"/>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38119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'Reha-Log'!E11</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'Reha-Log'!$A$12:$A$191</c:f>
              <c:strCache>
                <c:ptCount val="18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strCache>
            </c:strRef>
          </c:cat>
          <c:val>
            <c:numRef>
              <c:f>'Reha-Log'!$E$12:$E$191</c:f>
              <c:numCache>
                <c:formatCode>General</c:formatCode>
                <c:ptCount val="180"/>
              </c:numCache>
            </c:numRef>
          </c:val>
          <c:smooth val="1"/>
        </c:ser>
        <c:ser>
          <c:idx val="1"/>
          <c:order val="1"/>
          <c:tx>
            <c:strRef>
              <c:f>'Reha-Log'!F11</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'Reha-Log'!$A$12:$A$191</c:f>
              <c:strCache>
                <c:ptCount val="18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strCache>
            </c:strRef>
          </c:cat>
          <c:val>
            <c:numRef>
              <c:f>'Reha-Log'!$F$12:$F$191</c:f>
              <c:numCache>
                <c:formatCode>General</c:formatCode>
                <c:ptCount val="180"/>
              </c:numCache>
            </c:numRef>
          </c:val>
          <c:smooth val="1"/>
        </c:ser>
        <c:ser>
          <c:idx val="2"/>
          <c:order val="2"/>
          <c:tx>
            <c:strRef>
              <c:f>'Reha-Log'!G11</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'Reha-Log'!$A$12:$A$191</c:f>
              <c:strCache>
                <c:ptCount val="18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strCache>
            </c:strRef>
          </c:cat>
          <c:val>
            <c:numRef>
              <c:f>'Reha-Log'!$G$12:$G$191</c:f>
              <c:numCache>
                <c:formatCode>General</c:formatCode>
                <c:ptCount val="180"/>
              </c:numCache>
            </c:numRef>
          </c:val>
          <c:smooth val="1"/>
        </c:ser>
        <c:hiLowLines>
          <c:spPr>
            <a:ln w="0">
              <a:noFill/>
            </a:ln>
          </c:spPr>
        </c:hiLowLines>
        <c:marker val="0"/>
        <c:axId val="313308"/>
        <c:axId val="72951174"/>
      </c:lineChart>
      <c:catAx>
        <c:axId val="31330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51174"/>
        <c:crosses val="autoZero"/>
        <c:auto val="1"/>
        <c:lblAlgn val="ctr"/>
        <c:lblOffset val="100"/>
        <c:noMultiLvlLbl val="0"/>
      </c:catAx>
      <c:valAx>
        <c:axId val="72951174"/>
        <c:scaling>
          <c:orientation val="minMax"/>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30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'Reha-Log'!C11</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'Reha-Log'!$A$12:$A$191</c:f>
              <c:strCache>
                <c:ptCount val="18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strCache>
            </c:strRef>
          </c:cat>
          <c:val>
            <c:numRef>
              <c:f>'Reha-Log'!$C$12:$C$191</c:f>
              <c:numCache>
                <c:formatCode>General</c:formatCode>
                <c:ptCount val="180"/>
              </c:numCache>
            </c:numRef>
          </c:val>
          <c:smooth val="1"/>
        </c:ser>
        <c:ser>
          <c:idx val="1"/>
          <c:order val="1"/>
          <c:tx>
            <c:strRef>
              <c:f>'Reha-Log'!D11</c:f>
              <c:strCache>
                <c:ptCount val="1"/>
                <c:pt idx="0">
                  <c:v>Schmerz
Last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'Reha-Log'!$A$12:$A$191</c:f>
              <c:strCache>
                <c:ptCount val="18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strCache>
            </c:strRef>
          </c:cat>
          <c:val>
            <c:numRef>
              <c:f>'Reha-Log'!$D$12:$D$191</c:f>
              <c:numCache>
                <c:formatCode>General</c:formatCode>
                <c:ptCount val="180"/>
              </c:numCache>
            </c:numRef>
          </c:val>
          <c:smooth val="1"/>
        </c:ser>
        <c:hiLowLines>
          <c:spPr>
            <a:ln w="0">
              <a:noFill/>
            </a:ln>
          </c:spPr>
        </c:hiLowLines>
        <c:marker val="0"/>
        <c:axId val="54513479"/>
        <c:axId val="31840914"/>
      </c:lineChart>
      <c:catAx>
        <c:axId val="545134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840914"/>
        <c:crosses val="autoZero"/>
        <c:auto val="1"/>
        <c:lblAlgn val="ctr"/>
        <c:lblOffset val="100"/>
        <c:noMultiLvlLbl val="0"/>
      </c:catAx>
      <c:valAx>
        <c:axId val="31840914"/>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51347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0</xdr:rowOff>
    </xdr:from>
    <xdr:to>
      <xdr:col>8</xdr:col>
      <xdr:colOff>185400</xdr:colOff>
      <xdr:row>31</xdr:row>
      <xdr:rowOff>32760</xdr:rowOff>
    </xdr:to>
    <xdr:graphicFrame>
      <xdr:nvGraphicFramePr>
        <xdr:cNvPr id="0" name="Chart 1"/>
        <xdr:cNvGraphicFramePr/>
      </xdr:nvGraphicFramePr>
      <xdr:xfrm>
        <a:off x="0" y="3714840"/>
        <a:ext cx="79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192</xdr:row>
      <xdr:rowOff>0</xdr:rowOff>
    </xdr:from>
    <xdr:to>
      <xdr:col>4</xdr:col>
      <xdr:colOff>590400</xdr:colOff>
      <xdr:row>204</xdr:row>
      <xdr:rowOff>53640</xdr:rowOff>
    </xdr:to>
    <xdr:graphicFrame>
      <xdr:nvGraphicFramePr>
        <xdr:cNvPr id="1" name="Chart 1"/>
        <xdr:cNvGraphicFramePr/>
      </xdr:nvGraphicFramePr>
      <xdr:xfrm>
        <a:off x="0" y="38909520"/>
        <a:ext cx="46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192</xdr:row>
      <xdr:rowOff>0</xdr:rowOff>
    </xdr:from>
    <xdr:to>
      <xdr:col>7</xdr:col>
      <xdr:colOff>1656720</xdr:colOff>
      <xdr:row>204</xdr:row>
      <xdr:rowOff>53640</xdr:rowOff>
    </xdr:to>
    <xdr:graphicFrame>
      <xdr:nvGraphicFramePr>
        <xdr:cNvPr id="2" name="Chart 2"/>
        <xdr:cNvGraphicFramePr/>
      </xdr:nvGraphicFramePr>
      <xdr:xfrm>
        <a:off x="4089240" y="38909520"/>
        <a:ext cx="4679640" cy="23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4" min="2" style="0" width="7"/>
    <col collapsed="false" customWidth="true" hidden="false" outlineLevel="0" max="7" min="5" style="0" width="8"/>
    <col collapsed="false" customWidth="true" hidden="false" outlineLevel="0" max="8" min="8" style="0" width="7"/>
    <col collapsed="false" customWidth="true" hidden="false" outlineLevel="0" max="9" min="9" style="0" width="8"/>
    <col collapsed="false" customWidth="true" hidden="false" outlineLevel="0" max="10" min="10" style="0" width="11"/>
    <col collapsed="false" customWidth="true" hidden="false" outlineLevel="0" max="11" min="11" style="0" width="15"/>
    <col collapsed="false" customWidth="true" hidden="false" outlineLevel="0" max="12" min="12" style="0" width="10"/>
    <col collapsed="false" customWidth="true" hidden="false" outlineLevel="0" max="13" min="13" style="0" width="8"/>
    <col collapsed="false" customWidth="true" hidden="false" outlineLevel="0" max="14" min="14" style="0" width="32"/>
    <col collapsed="false" customWidth="true" hidden="false" outlineLevel="0" max="15" min="15" style="0" width="9"/>
    <col collapsed="false" customWidth="true" hidden="false" outlineLevel="0" max="16" min="16" style="0" width="44"/>
    <col collapsed="false" customWidth="true" hidden="false" outlineLevel="0" max="19" min="17" style="0" width="9"/>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row>
    <row r="2" customFormat="false" ht="13.5" hidden="false" customHeight="true" outlineLevel="0" collapsed="false">
      <c r="A2" s="2" t="s">
        <v>1</v>
      </c>
      <c r="B2" s="2"/>
      <c r="C2" s="2"/>
      <c r="D2" s="2"/>
      <c r="E2" s="2"/>
      <c r="F2" s="2"/>
      <c r="G2" s="2"/>
      <c r="H2" s="2"/>
      <c r="I2" s="2"/>
      <c r="J2" s="2"/>
      <c r="K2" s="2"/>
      <c r="L2" s="2"/>
      <c r="M2" s="2"/>
      <c r="N2" s="2"/>
      <c r="O2" s="2"/>
      <c r="P2" s="2"/>
      <c r="Q2" s="2"/>
      <c r="R2" s="2"/>
      <c r="S2" s="2"/>
    </row>
    <row r="3" customFormat="false" ht="21.75" hidden="false" customHeight="true" outlineLevel="0" collapsed="false">
      <c r="A3" s="3" t="s">
        <v>2</v>
      </c>
      <c r="B3" s="3"/>
      <c r="C3" s="4" t="n">
        <v>1</v>
      </c>
      <c r="D3" s="4"/>
      <c r="E3" s="5" t="str">
        <f aca="false">"Phase "&amp;IF($C$3&lt;=2,"1 Schutz",IF($C$3&lt;=6,"2 Beweglichkeit",IF($C$3&lt;=12,"3 erste Last",IF($C$3&lt;=16,"4 Aufbau","5 Rückkehr"))))&amp;". Woche links anpassen - Status und Trainingsblatt ziehen sofort nach."</f>
        <v>Phase 1 Schutz. Woche links anpassen - Status und Trainingsblatt ziehen sofort nach.</v>
      </c>
      <c r="F3" s="5"/>
      <c r="G3" s="5"/>
      <c r="H3" s="5"/>
      <c r="I3" s="5"/>
      <c r="J3" s="5"/>
      <c r="K3" s="5"/>
      <c r="L3" s="5"/>
      <c r="M3" s="5"/>
      <c r="N3" s="5"/>
      <c r="O3" s="5"/>
    </row>
    <row r="4" customFormat="false" ht="18" hidden="false" customHeight="true" outlineLevel="0" collapsed="false">
      <c r="A4" s="6" t="s">
        <v>3</v>
      </c>
      <c r="B4" s="6"/>
      <c r="C4" s="6"/>
      <c r="D4" s="6"/>
      <c r="E4" s="6"/>
      <c r="F4" s="6"/>
      <c r="G4" s="6"/>
      <c r="H4" s="6"/>
      <c r="I4" s="6"/>
      <c r="J4" s="6" t="s">
        <v>4</v>
      </c>
      <c r="K4" s="6"/>
      <c r="L4" s="6"/>
      <c r="M4" s="6"/>
      <c r="N4" s="6"/>
      <c r="O4" s="6"/>
    </row>
    <row r="5" customFormat="false" ht="30" hidden="false" customHeight="true" outlineLevel="0" collapsed="false">
      <c r="A5" s="7" t="s">
        <v>5</v>
      </c>
      <c r="B5" s="7" t="s">
        <v>6</v>
      </c>
      <c r="C5" s="7" t="s">
        <v>7</v>
      </c>
      <c r="D5" s="7" t="s">
        <v>8</v>
      </c>
      <c r="E5" s="7" t="s">
        <v>9</v>
      </c>
      <c r="F5" s="7" t="s">
        <v>10</v>
      </c>
      <c r="G5" s="7" t="s">
        <v>11</v>
      </c>
      <c r="H5" s="7" t="s">
        <v>12</v>
      </c>
      <c r="I5" s="7" t="s">
        <v>13</v>
      </c>
      <c r="J5" s="7" t="s">
        <v>14</v>
      </c>
      <c r="K5" s="7" t="s">
        <v>15</v>
      </c>
      <c r="L5" s="7" t="s">
        <v>16</v>
      </c>
      <c r="M5" s="7" t="s">
        <v>17</v>
      </c>
      <c r="N5" s="7" t="s">
        <v>18</v>
      </c>
      <c r="O5" s="7" t="s">
        <v>19</v>
      </c>
      <c r="P5" s="8" t="s">
        <v>20</v>
      </c>
      <c r="Q5" s="8" t="s">
        <v>21</v>
      </c>
      <c r="R5" s="8"/>
      <c r="S5" s="8"/>
    </row>
    <row r="6" customFormat="false" ht="18" hidden="false" customHeight="true" outlineLevel="0" collapsed="false">
      <c r="A6" s="9" t="s">
        <v>22</v>
      </c>
      <c r="B6" s="9"/>
      <c r="C6" s="9"/>
      <c r="D6" s="9"/>
      <c r="E6" s="9"/>
      <c r="F6" s="9"/>
      <c r="G6" s="9"/>
      <c r="H6" s="9"/>
      <c r="I6" s="9"/>
      <c r="J6" s="9"/>
      <c r="K6" s="9"/>
      <c r="L6" s="9"/>
      <c r="M6" s="9"/>
      <c r="N6" s="9"/>
      <c r="O6" s="9"/>
      <c r="P6" s="9"/>
      <c r="Q6" s="9"/>
      <c r="R6" s="9"/>
      <c r="S6" s="9"/>
    </row>
    <row r="7" customFormat="false" ht="25.5" hidden="false" customHeight="true" outlineLevel="0" collapsed="false">
      <c r="A7" s="10" t="s">
        <v>23</v>
      </c>
      <c r="B7" s="11" t="n">
        <v>8</v>
      </c>
      <c r="C7" s="11" t="n">
        <v>12</v>
      </c>
      <c r="D7" s="11" t="n">
        <v>3</v>
      </c>
      <c r="E7" s="12" t="n">
        <v>5</v>
      </c>
      <c r="F7" s="12"/>
      <c r="G7" s="12"/>
      <c r="H7" s="11" t="s">
        <v>24</v>
      </c>
      <c r="I7" s="11" t="n">
        <v>2</v>
      </c>
      <c r="J7" s="13" t="str">
        <f aca="false">IF($A7="","",IF($H7&lt;&gt;"ja","Archiv",IF(OR($I7="",Plan!$C$3&gt;=$I7),"FREI","GESPERRT")))</f>
        <v>GESPERRT</v>
      </c>
      <c r="K7" s="14" t="str">
        <f aca="false">IF($R7="","",TEXT($R7,"0.#")&amp;" kg × "&amp;IF($S7="","?",$S7)&amp;" Wdh")</f>
        <v/>
      </c>
      <c r="L7" s="15" t="str">
        <f aca="false">IF($A7="","",IF($R7="",IF($F7="","",$F7),IF(AND($S7&lt;&gt;"",$C7&lt;&gt;"",$S7&gt;=$C7),IF($G7="",$R7+IF($E7="",0,$E7),MIN($R7+IF($E7="",0,$E7),$G7)),$R7)))</f>
        <v/>
      </c>
      <c r="M7" s="16" t="str">
        <f aca="false">IF(OR($B7="",$L7=""),"",IF($R7="",$B7,IF(AND($S7&lt;&gt;"",$C7&lt;&gt;"",$S7&gt;=$C7),$B7,IF(OR($S7="",$S7&lt;$B7),$B7,MIN($C7,$S7+1)))))</f>
        <v/>
      </c>
      <c r="N7" s="17" t="str">
        <f aca="false">IF($L7="","",IF($R7="","Startgewicht eintragen und loslegen",IF(AND(AND($S7&lt;&gt;"",$C7&lt;&gt;"",$S7&gt;=$C7),$L7&gt;$R7),"Gewicht +"&amp;TEXT($L7-$R7,"0.#")&amp;" kg, Wdh zurück auf "&amp;$B7,IF(AND($S7&lt;&gt;"",$C7&lt;&gt;"",$S7&gt;=$C7),"Obergrenze - über Tempo und Pausen steigern",IF(OR($S7="",$S7&lt;$B7),"Gewicht halten, erst "&amp;$B7&amp;" Wdh schaffen","Wdh +1 auf "&amp;$M7)))))</f>
        <v/>
      </c>
      <c r="O7" s="18" t="str">
        <f aca="false">IF($R7="","",SUMPRODUCT((COUNTIFS(Log!$C$4:$C$903,$A7,Log!$D$4:$D$903,"A",Log!$E$4:$E$903,$R7,Log!$B$4:$B$903,ROW($1:$60))&gt;0)*1))</f>
        <v/>
      </c>
      <c r="P7" s="19" t="s">
        <v>25</v>
      </c>
      <c r="Q7" s="20" t="str">
        <f aca="false">IF($A7="","",IF(SUMPRODUCT(MAX((Log!$C$4:$C$903=$A7)*(Log!$D$4:$D$903="A")*Log!$B$4:$B$903))=0,"",SUMPRODUCT(MAX((Log!$C$4:$C$903=$A7)*(Log!$D$4:$D$903="A")*Log!$B$4:$B$903))))</f>
        <v/>
      </c>
      <c r="R7" s="21" t="str">
        <f aca="false">IF($Q7="","",SUMPRODUCT(MAX((Log!$C$4:$C$903=$A7)*(Log!$B$4:$B$903=$Q7)*(Log!$D$4:$D$903="A")*(Log!$E$4:$E$903&lt;&gt;"")*Log!$E$4:$E$903)))</f>
        <v/>
      </c>
      <c r="S7" s="20" t="str">
        <f aca="false">IF($R7="","",IF(SUMPRODUCT(MIN((Log!$C$4:$C$903=$A7)*(Log!$B$4:$B$903=$Q7)*(Log!$D$4:$D$903="A")*(Log!$E$4:$E$903=$R7)*Log!$F$4:$F$903+((Log!$C$4:$C$903&lt;&gt;$A7)+(Log!$B$4:$B$903&lt;&gt;$Q7)+(Log!$D$4:$D$903&lt;&gt;"A")+(Log!$E$4:$E$903&lt;&gt;$R7)+(Log!$F$4:$F$903="")&gt;0)*999))&gt;=999,"",SUMPRODUCT(MIN((Log!$C$4:$C$903=$A7)*(Log!$B$4:$B$903=$Q7)*(Log!$D$4:$D$903="A")*(Log!$E$4:$E$903=$R7)*Log!$F$4:$F$903+((Log!$C$4:$C$903&lt;&gt;$A7)+(Log!$B$4:$B$903&lt;&gt;$Q7)+(Log!$D$4:$D$903&lt;&gt;"A")+(Log!$E$4:$E$903&lt;&gt;$R7)+(Log!$F$4:$F$903="")&gt;0)*999))))</f>
        <v/>
      </c>
    </row>
    <row r="8" customFormat="false" ht="25.5" hidden="false" customHeight="true" outlineLevel="0" collapsed="false">
      <c r="A8" s="10" t="s">
        <v>26</v>
      </c>
      <c r="B8" s="11" t="n">
        <v>8</v>
      </c>
      <c r="C8" s="11" t="n">
        <v>10</v>
      </c>
      <c r="D8" s="11" t="n">
        <v>3</v>
      </c>
      <c r="E8" s="12" t="n">
        <v>5</v>
      </c>
      <c r="F8" s="12"/>
      <c r="G8" s="12"/>
      <c r="H8" s="11" t="s">
        <v>24</v>
      </c>
      <c r="I8" s="11" t="n">
        <v>8</v>
      </c>
      <c r="J8" s="13" t="str">
        <f aca="false">IF($A8="","",IF($H8&lt;&gt;"ja","Archiv",IF(OR($I8="",Plan!$C$3&gt;=$I8),"FREI","GESPERRT")))</f>
        <v>GESPERRT</v>
      </c>
      <c r="K8" s="14" t="str">
        <f aca="false">IF($R8="","",TEXT($R8,"0.#")&amp;" kg × "&amp;IF($S8="","?",$S8)&amp;" Wdh")</f>
        <v>80 kg × 8 Wdh</v>
      </c>
      <c r="L8" s="15" t="n">
        <f aca="false">IF($A8="","",IF($R8="",IF($F8="","",$F8),IF(AND($S8&lt;&gt;"",$C8&lt;&gt;"",$S8&gt;=$C8),IF($G8="",$R8+IF($E8="",0,$E8),MIN($R8+IF($E8="",0,$E8),$G8)),$R8)))</f>
        <v>80</v>
      </c>
      <c r="M8" s="16" t="n">
        <f aca="false">IF(OR($B8="",$L8=""),"",IF($R8="",$B8,IF(AND($S8&lt;&gt;"",$C8&lt;&gt;"",$S8&gt;=$C8),$B8,IF(OR($S8="",$S8&lt;$B8),$B8,MIN($C8,$S8+1)))))</f>
        <v>9</v>
      </c>
      <c r="N8" s="17" t="str">
        <f aca="false">IF($L8="","",IF($R8="","Startgewicht eintragen und loslegen",IF(AND(AND($S8&lt;&gt;"",$C8&lt;&gt;"",$S8&gt;=$C8),$L8&gt;$R8),"Gewicht +"&amp;TEXT($L8-$R8,"0.#")&amp;" kg, Wdh zurück auf "&amp;$B8,IF(AND($S8&lt;&gt;"",$C8&lt;&gt;"",$S8&gt;=$C8),"Obergrenze - über Tempo und Pausen steigern",IF(OR($S8="",$S8&lt;$B8),"Gewicht halten, erst "&amp;$B8&amp;" Wdh schaffen","Wdh +1 auf "&amp;$M8)))))</f>
        <v>Wdh +1 auf 9</v>
      </c>
      <c r="O8" s="18" t="n">
        <f aca="false">IF($R8="","",SUMPRODUCT((COUNTIFS(Log!$C$4:$C$903,$A8,Log!$D$4:$D$903,"A",Log!$E$4:$E$903,$R8,Log!$B$4:$B$903,ROW($1:$60))&gt;0)*1))</f>
        <v>2</v>
      </c>
      <c r="P8" s="19" t="s">
        <v>27</v>
      </c>
      <c r="Q8" s="20" t="n">
        <f aca="false">IF($A8="","",IF(SUMPRODUCT(MAX((Log!$C$4:$C$903=$A8)*(Log!$D$4:$D$903="A")*Log!$B$4:$B$903))=0,"",SUMPRODUCT(MAX((Log!$C$4:$C$903=$A8)*(Log!$D$4:$D$903="A")*Log!$B$4:$B$903))))</f>
        <v>4</v>
      </c>
      <c r="R8" s="21" t="n">
        <f aca="false">IF($Q8="","",SUMPRODUCT(MAX((Log!$C$4:$C$903=$A8)*(Log!$B$4:$B$903=$Q8)*(Log!$D$4:$D$903="A")*(Log!$E$4:$E$903&lt;&gt;"")*Log!$E$4:$E$903)))</f>
        <v>80</v>
      </c>
      <c r="S8" s="20" t="n">
        <f aca="false">IF($R8="","",IF(SUMPRODUCT(MIN((Log!$C$4:$C$903=$A8)*(Log!$B$4:$B$903=$Q8)*(Log!$D$4:$D$903="A")*(Log!$E$4:$E$903=$R8)*Log!$F$4:$F$903+((Log!$C$4:$C$903&lt;&gt;$A8)+(Log!$B$4:$B$903&lt;&gt;$Q8)+(Log!$D$4:$D$903&lt;&gt;"A")+(Log!$E$4:$E$903&lt;&gt;$R8)+(Log!$F$4:$F$903="")&gt;0)*999))&gt;=999,"",SUMPRODUCT(MIN((Log!$C$4:$C$903=$A8)*(Log!$B$4:$B$903=$Q8)*(Log!$D$4:$D$903="A")*(Log!$E$4:$E$903=$R8)*Log!$F$4:$F$903+((Log!$C$4:$C$903&lt;&gt;$A8)+(Log!$B$4:$B$903&lt;&gt;$Q8)+(Log!$D$4:$D$903&lt;&gt;"A")+(Log!$E$4:$E$903&lt;&gt;$R8)+(Log!$F$4:$F$903="")&gt;0)*999))))</f>
        <v>8</v>
      </c>
    </row>
    <row r="9" customFormat="false" ht="25.5" hidden="false" customHeight="true" outlineLevel="0" collapsed="false">
      <c r="A9" s="10" t="s">
        <v>28</v>
      </c>
      <c r="B9" s="11" t="n">
        <v>12</v>
      </c>
      <c r="C9" s="11" t="n">
        <v>15</v>
      </c>
      <c r="D9" s="11" t="n">
        <v>3</v>
      </c>
      <c r="E9" s="12" t="n">
        <v>5</v>
      </c>
      <c r="F9" s="12"/>
      <c r="G9" s="12"/>
      <c r="H9" s="11" t="s">
        <v>24</v>
      </c>
      <c r="I9" s="11" t="n">
        <v>1</v>
      </c>
      <c r="J9" s="13" t="str">
        <f aca="false">IF($A9="","",IF($H9&lt;&gt;"ja","Archiv",IF(OR($I9="",Plan!$C$3&gt;=$I9),"FREI","GESPERRT")))</f>
        <v>FREI</v>
      </c>
      <c r="K9" s="14" t="str">
        <f aca="false">IF($R9="","",TEXT($R9,"0.#")&amp;" kg × "&amp;IF($S9="","?",$S9)&amp;" Wdh")</f>
        <v>80 kg × 8 Wdh</v>
      </c>
      <c r="L9" s="15" t="n">
        <f aca="false">IF($A9="","",IF($R9="",IF($F9="","",$F9),IF(AND($S9&lt;&gt;"",$C9&lt;&gt;"",$S9&gt;=$C9),IF($G9="",$R9+IF($E9="",0,$E9),MIN($R9+IF($E9="",0,$E9),$G9)),$R9)))</f>
        <v>80</v>
      </c>
      <c r="M9" s="16" t="n">
        <f aca="false">IF(OR($B9="",$L9=""),"",IF($R9="",$B9,IF(AND($S9&lt;&gt;"",$C9&lt;&gt;"",$S9&gt;=$C9),$B9,IF(OR($S9="",$S9&lt;$B9),$B9,MIN($C9,$S9+1)))))</f>
        <v>12</v>
      </c>
      <c r="N9" s="17" t="str">
        <f aca="false">IF($L9="","",IF($R9="","Startgewicht eintragen und loslegen",IF(AND(AND($S9&lt;&gt;"",$C9&lt;&gt;"",$S9&gt;=$C9),$L9&gt;$R9),"Gewicht +"&amp;TEXT($L9-$R9,"0.#")&amp;" kg, Wdh zurück auf "&amp;$B9,IF(AND($S9&lt;&gt;"",$C9&lt;&gt;"",$S9&gt;=$C9),"Obergrenze - über Tempo und Pausen steigern",IF(OR($S9="",$S9&lt;$B9),"Gewicht halten, erst "&amp;$B9&amp;" Wdh schaffen","Wdh +1 auf "&amp;$M9)))))</f>
        <v>Gewicht halten, erst 12 Wdh schaffen</v>
      </c>
      <c r="O9" s="18" t="n">
        <f aca="false">IF($R9="","",SUMPRODUCT((COUNTIFS(Log!$C$4:$C$903,$A9,Log!$D$4:$D$903,"A",Log!$E$4:$E$903,$R9,Log!$B$4:$B$903,ROW($1:$60))&gt;0)*1))</f>
        <v>2</v>
      </c>
      <c r="P9" s="19" t="s">
        <v>29</v>
      </c>
      <c r="Q9" s="20" t="n">
        <f aca="false">IF($A9="","",IF(SUMPRODUCT(MAX((Log!$C$4:$C$903=$A9)*(Log!$D$4:$D$903="A")*Log!$B$4:$B$903))=0,"",SUMPRODUCT(MAX((Log!$C$4:$C$903=$A9)*(Log!$D$4:$D$903="A")*Log!$B$4:$B$903))))</f>
        <v>4</v>
      </c>
      <c r="R9" s="21" t="n">
        <f aca="false">IF($Q9="","",SUMPRODUCT(MAX((Log!$C$4:$C$903=$A9)*(Log!$B$4:$B$903=$Q9)*(Log!$D$4:$D$903="A")*(Log!$E$4:$E$903&lt;&gt;"")*Log!$E$4:$E$903)))</f>
        <v>80</v>
      </c>
      <c r="S9" s="20" t="n">
        <f aca="false">IF($R9="","",IF(SUMPRODUCT(MIN((Log!$C$4:$C$903=$A9)*(Log!$B$4:$B$903=$Q9)*(Log!$D$4:$D$903="A")*(Log!$E$4:$E$903=$R9)*Log!$F$4:$F$903+((Log!$C$4:$C$903&lt;&gt;$A9)+(Log!$B$4:$B$903&lt;&gt;$Q9)+(Log!$D$4:$D$903&lt;&gt;"A")+(Log!$E$4:$E$903&lt;&gt;$R9)+(Log!$F$4:$F$903="")&gt;0)*999))&gt;=999,"",SUMPRODUCT(MIN((Log!$C$4:$C$903=$A9)*(Log!$B$4:$B$903=$Q9)*(Log!$D$4:$D$903="A")*(Log!$E$4:$E$903=$R9)*Log!$F$4:$F$903+((Log!$C$4:$C$903&lt;&gt;$A9)+(Log!$B$4:$B$903&lt;&gt;$Q9)+(Log!$D$4:$D$903&lt;&gt;"A")+(Log!$E$4:$E$903&lt;&gt;$R9)+(Log!$F$4:$F$903="")&gt;0)*999))))</f>
        <v>8</v>
      </c>
    </row>
    <row r="10" customFormat="false" ht="25.5" hidden="false" customHeight="true" outlineLevel="0" collapsed="false">
      <c r="A10" s="10" t="s">
        <v>30</v>
      </c>
      <c r="B10" s="11" t="n">
        <v>15</v>
      </c>
      <c r="C10" s="11" t="n">
        <v>20</v>
      </c>
      <c r="D10" s="11" t="n">
        <v>3</v>
      </c>
      <c r="E10" s="12" t="n">
        <v>2.5</v>
      </c>
      <c r="F10" s="12"/>
      <c r="G10" s="12" t="n">
        <v>152.5</v>
      </c>
      <c r="H10" s="11" t="s">
        <v>24</v>
      </c>
      <c r="I10" s="11" t="n">
        <v>1</v>
      </c>
      <c r="J10" s="13" t="str">
        <f aca="false">IF($A10="","",IF($H10&lt;&gt;"ja","Archiv",IF(OR($I10="",Plan!$C$3&gt;=$I10),"FREI","GESPERRT")))</f>
        <v>FREI</v>
      </c>
      <c r="K10" s="14" t="str">
        <f aca="false">IF($R10="","",TEXT($R10,"0.#")&amp;" kg × "&amp;IF($S10="","?",$S10)&amp;" Wdh")</f>
        <v>152.5 kg × 20 Wdh</v>
      </c>
      <c r="L10" s="15" t="n">
        <f aca="false">IF($A10="","",IF($R10="",IF($F10="","",$F10),IF(AND($S10&lt;&gt;"",$C10&lt;&gt;"",$S10&gt;=$C10),IF($G10="",$R10+IF($E10="",0,$E10),MIN($R10+IF($E10="",0,$E10),$G10)),$R10)))</f>
        <v>152.5</v>
      </c>
      <c r="M10" s="16" t="n">
        <f aca="false">IF(OR($B10="",$L10=""),"",IF($R10="",$B10,IF(AND($S10&lt;&gt;"",$C10&lt;&gt;"",$S10&gt;=$C10),$B10,IF(OR($S10="",$S10&lt;$B10),$B10,MIN($C10,$S10+1)))))</f>
        <v>15</v>
      </c>
      <c r="N10" s="17" t="str">
        <f aca="false">IF($L10="","",IF($R10="","Startgewicht eintragen und loslegen",IF(AND(AND($S10&lt;&gt;"",$C10&lt;&gt;"",$S10&gt;=$C10),$L10&gt;$R10),"Gewicht +"&amp;TEXT($L10-$R10,"0.#")&amp;" kg, Wdh zurück auf "&amp;$B10,IF(AND($S10&lt;&gt;"",$C10&lt;&gt;"",$S10&gt;=$C10),"Obergrenze - über Tempo und Pausen steigern",IF(OR($S10="",$S10&lt;$B10),"Gewicht halten, erst "&amp;$B10&amp;" Wdh schaffen","Wdh +1 auf "&amp;$M10)))))</f>
        <v>Obergrenze - über Tempo und Pausen steigern</v>
      </c>
      <c r="O10" s="18" t="n">
        <f aca="false">IF($R10="","",SUMPRODUCT((COUNTIFS(Log!$C$4:$C$903,$A10,Log!$D$4:$D$903,"A",Log!$E$4:$E$903,$R10,Log!$B$4:$B$903,ROW($1:$60))&gt;0)*1))</f>
        <v>4</v>
      </c>
      <c r="P10" s="19" t="s">
        <v>31</v>
      </c>
      <c r="Q10" s="20" t="n">
        <f aca="false">IF($A10="","",IF(SUMPRODUCT(MAX((Log!$C$4:$C$903=$A10)*(Log!$D$4:$D$903="A")*Log!$B$4:$B$903))=0,"",SUMPRODUCT(MAX((Log!$C$4:$C$903=$A10)*(Log!$D$4:$D$903="A")*Log!$B$4:$B$903))))</f>
        <v>4</v>
      </c>
      <c r="R10" s="21" t="n">
        <f aca="false">IF($Q10="","",SUMPRODUCT(MAX((Log!$C$4:$C$903=$A10)*(Log!$B$4:$B$903=$Q10)*(Log!$D$4:$D$903="A")*(Log!$E$4:$E$903&lt;&gt;"")*Log!$E$4:$E$903)))</f>
        <v>152.5</v>
      </c>
      <c r="S10" s="20" t="n">
        <f aca="false">IF($R10="","",IF(SUMPRODUCT(MIN((Log!$C$4:$C$903=$A10)*(Log!$B$4:$B$903=$Q10)*(Log!$D$4:$D$903="A")*(Log!$E$4:$E$903=$R10)*Log!$F$4:$F$903+((Log!$C$4:$C$903&lt;&gt;$A10)+(Log!$B$4:$B$903&lt;&gt;$Q10)+(Log!$D$4:$D$903&lt;&gt;"A")+(Log!$E$4:$E$903&lt;&gt;$R10)+(Log!$F$4:$F$903="")&gt;0)*999))&gt;=999,"",SUMPRODUCT(MIN((Log!$C$4:$C$903=$A10)*(Log!$B$4:$B$903=$Q10)*(Log!$D$4:$D$903="A")*(Log!$E$4:$E$903=$R10)*Log!$F$4:$F$903+((Log!$C$4:$C$903&lt;&gt;$A10)+(Log!$B$4:$B$903&lt;&gt;$Q10)+(Log!$D$4:$D$903&lt;&gt;"A")+(Log!$E$4:$E$903&lt;&gt;$R10)+(Log!$F$4:$F$903="")&gt;0)*999))))</f>
        <v>20</v>
      </c>
    </row>
    <row r="11" customFormat="false" ht="25.5" hidden="false" customHeight="true" outlineLevel="0" collapsed="false">
      <c r="A11" s="10"/>
      <c r="B11" s="11"/>
      <c r="C11" s="11"/>
      <c r="D11" s="11"/>
      <c r="E11" s="12"/>
      <c r="F11" s="12"/>
      <c r="G11" s="12"/>
      <c r="H11" s="11"/>
      <c r="I11" s="11"/>
      <c r="J11" s="13" t="str">
        <f aca="false">IF($A11="","",IF($H11&lt;&gt;"ja","Archiv",IF(OR($I11="",Plan!$C$3&gt;=$I11),"FREI","GESPERRT")))</f>
        <v/>
      </c>
      <c r="K11" s="14" t="str">
        <f aca="false">IF($R11="","",TEXT($R11,"0.#")&amp;" kg × "&amp;IF($S11="","?",$S11)&amp;" Wdh")</f>
        <v/>
      </c>
      <c r="L11" s="15" t="str">
        <f aca="false">IF($A11="","",IF($R11="",IF($F11="","",$F11),IF(AND($S11&lt;&gt;"",$C11&lt;&gt;"",$S11&gt;=$C11),IF($G11="",$R11+IF($E11="",0,$E11),MIN($R11+IF($E11="",0,$E11),$G11)),$R11)))</f>
        <v/>
      </c>
      <c r="M11" s="16" t="str">
        <f aca="false">IF(OR($B11="",$L11=""),"",IF($R11="",$B11,IF(AND($S11&lt;&gt;"",$C11&lt;&gt;"",$S11&gt;=$C11),$B11,IF(OR($S11="",$S11&lt;$B11),$B11,MIN($C11,$S11+1)))))</f>
        <v/>
      </c>
      <c r="N11" s="17" t="str">
        <f aca="false">IF($L11="","",IF($R11="","Startgewicht eintragen und loslegen",IF(AND(AND($S11&lt;&gt;"",$C11&lt;&gt;"",$S11&gt;=$C11),$L11&gt;$R11),"Gewicht +"&amp;TEXT($L11-$R11,"0.#")&amp;" kg, Wdh zurück auf "&amp;$B11,IF(AND($S11&lt;&gt;"",$C11&lt;&gt;"",$S11&gt;=$C11),"Obergrenze - über Tempo und Pausen steigern",IF(OR($S11="",$S11&lt;$B11),"Gewicht halten, erst "&amp;$B11&amp;" Wdh schaffen","Wdh +1 auf "&amp;$M11)))))</f>
        <v/>
      </c>
      <c r="O11" s="18" t="str">
        <f aca="false">IF($R11="","",SUMPRODUCT((COUNTIFS(Log!$C$4:$C$903,$A11,Log!$D$4:$D$903,"A",Log!$E$4:$E$903,$R11,Log!$B$4:$B$903,ROW($1:$60))&gt;0)*1))</f>
        <v/>
      </c>
      <c r="Q11" s="20" t="str">
        <f aca="false">IF($A11="","",IF(SUMPRODUCT(MAX((Log!$C$4:$C$903=$A11)*(Log!$D$4:$D$903="A")*Log!$B$4:$B$903))=0,"",SUMPRODUCT(MAX((Log!$C$4:$C$903=$A11)*(Log!$D$4:$D$903="A")*Log!$B$4:$B$903))))</f>
        <v/>
      </c>
      <c r="R11" s="21" t="str">
        <f aca="false">IF($Q11="","",SUMPRODUCT(MAX((Log!$C$4:$C$903=$A11)*(Log!$B$4:$B$903=$Q11)*(Log!$D$4:$D$903="A")*(Log!$E$4:$E$903&lt;&gt;"")*Log!$E$4:$E$903)))</f>
        <v/>
      </c>
      <c r="S11" s="20" t="str">
        <f aca="false">IF($R11="","",IF(SUMPRODUCT(MIN((Log!$C$4:$C$903=$A11)*(Log!$B$4:$B$903=$Q11)*(Log!$D$4:$D$903="A")*(Log!$E$4:$E$903=$R11)*Log!$F$4:$F$903+((Log!$C$4:$C$903&lt;&gt;$A11)+(Log!$B$4:$B$903&lt;&gt;$Q11)+(Log!$D$4:$D$903&lt;&gt;"A")+(Log!$E$4:$E$903&lt;&gt;$R11)+(Log!$F$4:$F$903="")&gt;0)*999))&gt;=999,"",SUMPRODUCT(MIN((Log!$C$4:$C$903=$A11)*(Log!$B$4:$B$903=$Q11)*(Log!$D$4:$D$903="A")*(Log!$E$4:$E$903=$R11)*Log!$F$4:$F$903+((Log!$C$4:$C$903&lt;&gt;$A11)+(Log!$B$4:$B$903&lt;&gt;$Q11)+(Log!$D$4:$D$903&lt;&gt;"A")+(Log!$E$4:$E$903&lt;&gt;$R11)+(Log!$F$4:$F$903="")&gt;0)*999))))</f>
        <v/>
      </c>
    </row>
    <row r="12" customFormat="false" ht="18" hidden="false" customHeight="true" outlineLevel="0" collapsed="false">
      <c r="A12" s="9" t="s">
        <v>32</v>
      </c>
      <c r="B12" s="9"/>
      <c r="C12" s="9"/>
      <c r="D12" s="9"/>
      <c r="E12" s="9"/>
      <c r="F12" s="9"/>
      <c r="G12" s="9"/>
      <c r="H12" s="9"/>
      <c r="I12" s="9"/>
      <c r="J12" s="9"/>
      <c r="K12" s="9"/>
      <c r="L12" s="9"/>
      <c r="M12" s="9"/>
      <c r="N12" s="9"/>
      <c r="O12" s="9"/>
      <c r="P12" s="9"/>
      <c r="Q12" s="9"/>
      <c r="R12" s="9"/>
      <c r="S12" s="9"/>
    </row>
    <row r="13" customFormat="false" ht="25.5" hidden="false" customHeight="true" outlineLevel="0" collapsed="false">
      <c r="A13" s="10" t="s">
        <v>33</v>
      </c>
      <c r="B13" s="11" t="n">
        <v>8</v>
      </c>
      <c r="C13" s="11" t="n">
        <v>10</v>
      </c>
      <c r="D13" s="11" t="n">
        <v>3</v>
      </c>
      <c r="E13" s="12" t="n">
        <v>2.5</v>
      </c>
      <c r="F13" s="12"/>
      <c r="G13" s="12"/>
      <c r="H13" s="11" t="s">
        <v>24</v>
      </c>
      <c r="I13" s="11" t="n">
        <v>12</v>
      </c>
      <c r="J13" s="13" t="str">
        <f aca="false">IF($A13="","",IF($H13&lt;&gt;"ja","Archiv",IF(OR($I13="",Plan!$C$3&gt;=$I13),"FREI","GESPERRT")))</f>
        <v>GESPERRT</v>
      </c>
      <c r="K13" s="14" t="str">
        <f aca="false">IF($R13="","",TEXT($R13,"0.#")&amp;" kg × "&amp;IF($S13="","?",$S13)&amp;" Wdh")</f>
        <v/>
      </c>
      <c r="L13" s="15" t="str">
        <f aca="false">IF($A13="","",IF($R13="",IF($F13="","",$F13),IF(AND($S13&lt;&gt;"",$C13&lt;&gt;"",$S13&gt;=$C13),IF($G13="",$R13+IF($E13="",0,$E13),MIN($R13+IF($E13="",0,$E13),$G13)),$R13)))</f>
        <v/>
      </c>
      <c r="M13" s="16" t="str">
        <f aca="false">IF(OR($B13="",$L13=""),"",IF($R13="",$B13,IF(AND($S13&lt;&gt;"",$C13&lt;&gt;"",$S13&gt;=$C13),$B13,IF(OR($S13="",$S13&lt;$B13),$B13,MIN($C13,$S13+1)))))</f>
        <v/>
      </c>
      <c r="N13" s="17" t="str">
        <f aca="false">IF($L13="","",IF($R13="","Startgewicht eintragen und loslegen",IF(AND(AND($S13&lt;&gt;"",$C13&lt;&gt;"",$S13&gt;=$C13),$L13&gt;$R13),"Gewicht +"&amp;TEXT($L13-$R13,"0.#")&amp;" kg, Wdh zurück auf "&amp;$B13,IF(AND($S13&lt;&gt;"",$C13&lt;&gt;"",$S13&gt;=$C13),"Obergrenze - über Tempo und Pausen steigern",IF(OR($S13="",$S13&lt;$B13),"Gewicht halten, erst "&amp;$B13&amp;" Wdh schaffen","Wdh +1 auf "&amp;$M13)))))</f>
        <v/>
      </c>
      <c r="O13" s="18" t="str">
        <f aca="false">IF($R13="","",SUMPRODUCT((COUNTIFS(Log!$C$4:$C$903,$A13,Log!$D$4:$D$903,"A",Log!$E$4:$E$903,$R13,Log!$B$4:$B$903,ROW($1:$60))&gt;0)*1))</f>
        <v/>
      </c>
      <c r="P13" s="19" t="s">
        <v>34</v>
      </c>
      <c r="Q13" s="20" t="str">
        <f aca="false">IF($A13="","",IF(SUMPRODUCT(MAX((Log!$C$4:$C$903=$A13)*(Log!$D$4:$D$903="A")*Log!$B$4:$B$903))=0,"",SUMPRODUCT(MAX((Log!$C$4:$C$903=$A13)*(Log!$D$4:$D$903="A")*Log!$B$4:$B$903))))</f>
        <v/>
      </c>
      <c r="R13" s="21" t="str">
        <f aca="false">IF($Q13="","",SUMPRODUCT(MAX((Log!$C$4:$C$903=$A13)*(Log!$B$4:$B$903=$Q13)*(Log!$D$4:$D$903="A")*(Log!$E$4:$E$903&lt;&gt;"")*Log!$E$4:$E$903)))</f>
        <v/>
      </c>
      <c r="S13" s="20" t="str">
        <f aca="false">IF($R13="","",IF(SUMPRODUCT(MIN((Log!$C$4:$C$903=$A13)*(Log!$B$4:$B$903=$Q13)*(Log!$D$4:$D$903="A")*(Log!$E$4:$E$903=$R13)*Log!$F$4:$F$903+((Log!$C$4:$C$903&lt;&gt;$A13)+(Log!$B$4:$B$903&lt;&gt;$Q13)+(Log!$D$4:$D$903&lt;&gt;"A")+(Log!$E$4:$E$903&lt;&gt;$R13)+(Log!$F$4:$F$903="")&gt;0)*999))&gt;=999,"",SUMPRODUCT(MIN((Log!$C$4:$C$903=$A13)*(Log!$B$4:$B$903=$Q13)*(Log!$D$4:$D$903="A")*(Log!$E$4:$E$903=$R13)*Log!$F$4:$F$903+((Log!$C$4:$C$903&lt;&gt;$A13)+(Log!$B$4:$B$903&lt;&gt;$Q13)+(Log!$D$4:$D$903&lt;&gt;"A")+(Log!$E$4:$E$903&lt;&gt;$R13)+(Log!$F$4:$F$903="")&gt;0)*999))))</f>
        <v/>
      </c>
    </row>
    <row r="14" customFormat="false" ht="25.5" hidden="false" customHeight="true" outlineLevel="0" collapsed="false">
      <c r="A14" s="10" t="s">
        <v>35</v>
      </c>
      <c r="B14" s="11" t="n">
        <v>8</v>
      </c>
      <c r="C14" s="11" t="n">
        <v>12</v>
      </c>
      <c r="D14" s="11" t="n">
        <v>3</v>
      </c>
      <c r="E14" s="12" t="n">
        <v>10</v>
      </c>
      <c r="F14" s="12"/>
      <c r="G14" s="12"/>
      <c r="H14" s="11" t="s">
        <v>24</v>
      </c>
      <c r="I14" s="11" t="n">
        <v>4</v>
      </c>
      <c r="J14" s="13" t="str">
        <f aca="false">IF($A14="","",IF($H14&lt;&gt;"ja","Archiv",IF(OR($I14="",Plan!$C$3&gt;=$I14),"FREI","GESPERRT")))</f>
        <v>GESPERRT</v>
      </c>
      <c r="K14" s="14" t="str">
        <f aca="false">IF($R14="","",TEXT($R14,"0.#")&amp;" kg × "&amp;IF($S14="","?",$S14)&amp;" Wdh")</f>
        <v>270 kg × 8 Wdh</v>
      </c>
      <c r="L14" s="15" t="n">
        <f aca="false">IF($A14="","",IF($R14="",IF($F14="","",$F14),IF(AND($S14&lt;&gt;"",$C14&lt;&gt;"",$S14&gt;=$C14),IF($G14="",$R14+IF($E14="",0,$E14),MIN($R14+IF($E14="",0,$E14),$G14)),$R14)))</f>
        <v>270</v>
      </c>
      <c r="M14" s="16" t="n">
        <f aca="false">IF(OR($B14="",$L14=""),"",IF($R14="",$B14,IF(AND($S14&lt;&gt;"",$C14&lt;&gt;"",$S14&gt;=$C14),$B14,IF(OR($S14="",$S14&lt;$B14),$B14,MIN($C14,$S14+1)))))</f>
        <v>9</v>
      </c>
      <c r="N14" s="17" t="str">
        <f aca="false">IF($L14="","",IF($R14="","Startgewicht eintragen und loslegen",IF(AND(AND($S14&lt;&gt;"",$C14&lt;&gt;"",$S14&gt;=$C14),$L14&gt;$R14),"Gewicht +"&amp;TEXT($L14-$R14,"0.#")&amp;" kg, Wdh zurück auf "&amp;$B14,IF(AND($S14&lt;&gt;"",$C14&lt;&gt;"",$S14&gt;=$C14),"Obergrenze - über Tempo und Pausen steigern",IF(OR($S14="",$S14&lt;$B14),"Gewicht halten, erst "&amp;$B14&amp;" Wdh schaffen","Wdh +1 auf "&amp;$M14)))))</f>
        <v>Wdh +1 auf 9</v>
      </c>
      <c r="O14" s="18" t="n">
        <f aca="false">IF($R14="","",SUMPRODUCT((COUNTIFS(Log!$C$4:$C$903,$A14,Log!$D$4:$D$903,"A",Log!$E$4:$E$903,$R14,Log!$B$4:$B$903,ROW($1:$60))&gt;0)*1))</f>
        <v>2</v>
      </c>
      <c r="P14" s="19" t="s">
        <v>36</v>
      </c>
      <c r="Q14" s="20" t="n">
        <f aca="false">IF($A14="","",IF(SUMPRODUCT(MAX((Log!$C$4:$C$903=$A14)*(Log!$D$4:$D$903="A")*Log!$B$4:$B$903))=0,"",SUMPRODUCT(MAX((Log!$C$4:$C$903=$A14)*(Log!$D$4:$D$903="A")*Log!$B$4:$B$903))))</f>
        <v>4</v>
      </c>
      <c r="R14" s="21" t="n">
        <f aca="false">IF($Q14="","",SUMPRODUCT(MAX((Log!$C$4:$C$903=$A14)*(Log!$B$4:$B$903=$Q14)*(Log!$D$4:$D$903="A")*(Log!$E$4:$E$903&lt;&gt;"")*Log!$E$4:$E$903)))</f>
        <v>270</v>
      </c>
      <c r="S14" s="20" t="n">
        <f aca="false">IF($R14="","",IF(SUMPRODUCT(MIN((Log!$C$4:$C$903=$A14)*(Log!$B$4:$B$903=$Q14)*(Log!$D$4:$D$903="A")*(Log!$E$4:$E$903=$R14)*Log!$F$4:$F$903+((Log!$C$4:$C$903&lt;&gt;$A14)+(Log!$B$4:$B$903&lt;&gt;$Q14)+(Log!$D$4:$D$903&lt;&gt;"A")+(Log!$E$4:$E$903&lt;&gt;$R14)+(Log!$F$4:$F$903="")&gt;0)*999))&gt;=999,"",SUMPRODUCT(MIN((Log!$C$4:$C$903=$A14)*(Log!$B$4:$B$903=$Q14)*(Log!$D$4:$D$903="A")*(Log!$E$4:$E$903=$R14)*Log!$F$4:$F$903+((Log!$C$4:$C$903&lt;&gt;$A14)+(Log!$B$4:$B$903&lt;&gt;$Q14)+(Log!$D$4:$D$903&lt;&gt;"A")+(Log!$E$4:$E$903&lt;&gt;$R14)+(Log!$F$4:$F$903="")&gt;0)*999))))</f>
        <v>8</v>
      </c>
    </row>
    <row r="15" customFormat="false" ht="25.5" hidden="false" customHeight="true" outlineLevel="0" collapsed="false">
      <c r="A15" s="10" t="s">
        <v>37</v>
      </c>
      <c r="B15" s="11" t="n">
        <v>10</v>
      </c>
      <c r="C15" s="11" t="n">
        <v>12</v>
      </c>
      <c r="D15" s="11" t="n">
        <v>3</v>
      </c>
      <c r="E15" s="12" t="n">
        <v>5</v>
      </c>
      <c r="F15" s="12"/>
      <c r="G15" s="12"/>
      <c r="H15" s="11" t="s">
        <v>24</v>
      </c>
      <c r="I15" s="11" t="n">
        <v>1</v>
      </c>
      <c r="J15" s="13" t="str">
        <f aca="false">IF($A15="","",IF($H15&lt;&gt;"ja","Archiv",IF(OR($I15="",Plan!$C$3&gt;=$I15),"FREI","GESPERRT")))</f>
        <v>FREI</v>
      </c>
      <c r="K15" s="14" t="str">
        <f aca="false">IF($R15="","",TEXT($R15,"0.#")&amp;" kg × "&amp;IF($S15="","?",$S15)&amp;" Wdh")</f>
        <v>45 kg × 15 Wdh</v>
      </c>
      <c r="L15" s="15" t="n">
        <f aca="false">IF($A15="","",IF($R15="",IF($F15="","",$F15),IF(AND($S15&lt;&gt;"",$C15&lt;&gt;"",$S15&gt;=$C15),IF($G15="",$R15+IF($E15="",0,$E15),MIN($R15+IF($E15="",0,$E15),$G15)),$R15)))</f>
        <v>50</v>
      </c>
      <c r="M15" s="16" t="n">
        <f aca="false">IF(OR($B15="",$L15=""),"",IF($R15="",$B15,IF(AND($S15&lt;&gt;"",$C15&lt;&gt;"",$S15&gt;=$C15),$B15,IF(OR($S15="",$S15&lt;$B15),$B15,MIN($C15,$S15+1)))))</f>
        <v>10</v>
      </c>
      <c r="N15" s="17" t="str">
        <f aca="false">IF($L15="","",IF($R15="","Startgewicht eintragen und loslegen",IF(AND(AND($S15&lt;&gt;"",$C15&lt;&gt;"",$S15&gt;=$C15),$L15&gt;$R15),"Gewicht +"&amp;TEXT($L15-$R15,"0.#")&amp;" kg, Wdh zurück auf "&amp;$B15,IF(AND($S15&lt;&gt;"",$C15&lt;&gt;"",$S15&gt;=$C15),"Obergrenze - über Tempo und Pausen steigern",IF(OR($S15="",$S15&lt;$B15),"Gewicht halten, erst "&amp;$B15&amp;" Wdh schaffen","Wdh +1 auf "&amp;$M15)))))</f>
        <v>Gewicht +5 kg, Wdh zurück auf 10</v>
      </c>
      <c r="O15" s="18" t="n">
        <f aca="false">IF($R15="","",SUMPRODUCT((COUNTIFS(Log!$C$4:$C$903,$A15,Log!$D$4:$D$903,"A",Log!$E$4:$E$903,$R15,Log!$B$4:$B$903,ROW($1:$60))&gt;0)*1))</f>
        <v>2</v>
      </c>
      <c r="P15" s="19" t="s">
        <v>38</v>
      </c>
      <c r="Q15" s="20" t="n">
        <f aca="false">IF($A15="","",IF(SUMPRODUCT(MAX((Log!$C$4:$C$903=$A15)*(Log!$D$4:$D$903="A")*Log!$B$4:$B$903))=0,"",SUMPRODUCT(MAX((Log!$C$4:$C$903=$A15)*(Log!$D$4:$D$903="A")*Log!$B$4:$B$903))))</f>
        <v>3</v>
      </c>
      <c r="R15" s="21" t="n">
        <f aca="false">IF($Q15="","",SUMPRODUCT(MAX((Log!$C$4:$C$903=$A15)*(Log!$B$4:$B$903=$Q15)*(Log!$D$4:$D$903="A")*(Log!$E$4:$E$903&lt;&gt;"")*Log!$E$4:$E$903)))</f>
        <v>45</v>
      </c>
      <c r="S15" s="20" t="n">
        <f aca="false">IF($R15="","",IF(SUMPRODUCT(MIN((Log!$C$4:$C$903=$A15)*(Log!$B$4:$B$903=$Q15)*(Log!$D$4:$D$903="A")*(Log!$E$4:$E$903=$R15)*Log!$F$4:$F$903+((Log!$C$4:$C$903&lt;&gt;$A15)+(Log!$B$4:$B$903&lt;&gt;$Q15)+(Log!$D$4:$D$903&lt;&gt;"A")+(Log!$E$4:$E$903&lt;&gt;$R15)+(Log!$F$4:$F$903="")&gt;0)*999))&gt;=999,"",SUMPRODUCT(MIN((Log!$C$4:$C$903=$A15)*(Log!$B$4:$B$903=$Q15)*(Log!$D$4:$D$903="A")*(Log!$E$4:$E$903=$R15)*Log!$F$4:$F$903+((Log!$C$4:$C$903&lt;&gt;$A15)+(Log!$B$4:$B$903&lt;&gt;$Q15)+(Log!$D$4:$D$903&lt;&gt;"A")+(Log!$E$4:$E$903&lt;&gt;$R15)+(Log!$F$4:$F$903="")&gt;0)*999))))</f>
        <v>15</v>
      </c>
    </row>
    <row r="16" customFormat="false" ht="25.5" hidden="false" customHeight="true" outlineLevel="0" collapsed="false">
      <c r="A16" s="10" t="s">
        <v>39</v>
      </c>
      <c r="B16" s="11" t="n">
        <v>15</v>
      </c>
      <c r="C16" s="11" t="n">
        <v>20</v>
      </c>
      <c r="D16" s="11" t="n">
        <v>3</v>
      </c>
      <c r="E16" s="12" t="n">
        <v>5</v>
      </c>
      <c r="F16" s="12"/>
      <c r="G16" s="12"/>
      <c r="H16" s="11" t="s">
        <v>24</v>
      </c>
      <c r="I16" s="11" t="n">
        <v>2</v>
      </c>
      <c r="J16" s="13" t="str">
        <f aca="false">IF($A16="","",IF($H16&lt;&gt;"ja","Archiv",IF(OR($I16="",Plan!$C$3&gt;=$I16),"FREI","GESPERRT")))</f>
        <v>GESPERRT</v>
      </c>
      <c r="K16" s="14" t="str">
        <f aca="false">IF($R16="","",TEXT($R16,"0.#")&amp;" kg × "&amp;IF($S16="","?",$S16)&amp;" Wdh")</f>
        <v>35 kg × 15 Wdh</v>
      </c>
      <c r="L16" s="15" t="n">
        <f aca="false">IF($A16="","",IF($R16="",IF($F16="","",$F16),IF(AND($S16&lt;&gt;"",$C16&lt;&gt;"",$S16&gt;=$C16),IF($G16="",$R16+IF($E16="",0,$E16),MIN($R16+IF($E16="",0,$E16),$G16)),$R16)))</f>
        <v>35</v>
      </c>
      <c r="M16" s="16" t="n">
        <f aca="false">IF(OR($B16="",$L16=""),"",IF($R16="",$B16,IF(AND($S16&lt;&gt;"",$C16&lt;&gt;"",$S16&gt;=$C16),$B16,IF(OR($S16="",$S16&lt;$B16),$B16,MIN($C16,$S16+1)))))</f>
        <v>16</v>
      </c>
      <c r="N16" s="17" t="str">
        <f aca="false">IF($L16="","",IF($R16="","Startgewicht eintragen und loslegen",IF(AND(AND($S16&lt;&gt;"",$C16&lt;&gt;"",$S16&gt;=$C16),$L16&gt;$R16),"Gewicht +"&amp;TEXT($L16-$R16,"0.#")&amp;" kg, Wdh zurück auf "&amp;$B16,IF(AND($S16&lt;&gt;"",$C16&lt;&gt;"",$S16&gt;=$C16),"Obergrenze - über Tempo und Pausen steigern",IF(OR($S16="",$S16&lt;$B16),"Gewicht halten, erst "&amp;$B16&amp;" Wdh schaffen","Wdh +1 auf "&amp;$M16)))))</f>
        <v>Wdh +1 auf 16</v>
      </c>
      <c r="O16" s="18" t="n">
        <f aca="false">IF($R16="","",SUMPRODUCT((COUNTIFS(Log!$C$4:$C$903,$A16,Log!$D$4:$D$903,"A",Log!$E$4:$E$903,$R16,Log!$B$4:$B$903,ROW($1:$60))&gt;0)*1))</f>
        <v>2</v>
      </c>
      <c r="P16" s="19" t="s">
        <v>40</v>
      </c>
      <c r="Q16" s="20" t="n">
        <f aca="false">IF($A16="","",IF(SUMPRODUCT(MAX((Log!$C$4:$C$903=$A16)*(Log!$D$4:$D$903="A")*Log!$B$4:$B$903))=0,"",SUMPRODUCT(MAX((Log!$C$4:$C$903=$A16)*(Log!$D$4:$D$903="A")*Log!$B$4:$B$903))))</f>
        <v>2</v>
      </c>
      <c r="R16" s="21" t="n">
        <f aca="false">IF($Q16="","",SUMPRODUCT(MAX((Log!$C$4:$C$903=$A16)*(Log!$B$4:$B$903=$Q16)*(Log!$D$4:$D$903="A")*(Log!$E$4:$E$903&lt;&gt;"")*Log!$E$4:$E$903)))</f>
        <v>35</v>
      </c>
      <c r="S16" s="20" t="n">
        <f aca="false">IF($R16="","",IF(SUMPRODUCT(MIN((Log!$C$4:$C$903=$A16)*(Log!$B$4:$B$903=$Q16)*(Log!$D$4:$D$903="A")*(Log!$E$4:$E$903=$R16)*Log!$F$4:$F$903+((Log!$C$4:$C$903&lt;&gt;$A16)+(Log!$B$4:$B$903&lt;&gt;$Q16)+(Log!$D$4:$D$903&lt;&gt;"A")+(Log!$E$4:$E$903&lt;&gt;$R16)+(Log!$F$4:$F$903="")&gt;0)*999))&gt;=999,"",SUMPRODUCT(MIN((Log!$C$4:$C$903=$A16)*(Log!$B$4:$B$903=$Q16)*(Log!$D$4:$D$903="A")*(Log!$E$4:$E$903=$R16)*Log!$F$4:$F$903+((Log!$C$4:$C$903&lt;&gt;$A16)+(Log!$B$4:$B$903&lt;&gt;$Q16)+(Log!$D$4:$D$903&lt;&gt;"A")+(Log!$E$4:$E$903&lt;&gt;$R16)+(Log!$F$4:$F$903="")&gt;0)*999))))</f>
        <v>15</v>
      </c>
    </row>
    <row r="17" customFormat="false" ht="25.5" hidden="false" customHeight="true" outlineLevel="0" collapsed="false">
      <c r="A17" s="10" t="s">
        <v>41</v>
      </c>
      <c r="B17" s="11" t="n">
        <v>10</v>
      </c>
      <c r="C17" s="11" t="n">
        <v>15</v>
      </c>
      <c r="D17" s="11" t="n">
        <v>3</v>
      </c>
      <c r="E17" s="12" t="n">
        <v>5</v>
      </c>
      <c r="F17" s="12"/>
      <c r="G17" s="12"/>
      <c r="H17" s="11" t="s">
        <v>24</v>
      </c>
      <c r="I17" s="11" t="n">
        <v>2</v>
      </c>
      <c r="J17" s="13" t="str">
        <f aca="false">IF($A17="","",IF($H17&lt;&gt;"ja","Archiv",IF(OR($I17="",Plan!$C$3&gt;=$I17),"FREI","GESPERRT")))</f>
        <v>GESPERRT</v>
      </c>
      <c r="K17" s="14" t="str">
        <f aca="false">IF($R17="","",TEXT($R17,"0.#")&amp;" kg × "&amp;IF($S17="","?",$S17)&amp;" Wdh")</f>
        <v>150 kg × 12 Wdh</v>
      </c>
      <c r="L17" s="15" t="n">
        <f aca="false">IF($A17="","",IF($R17="",IF($F17="","",$F17),IF(AND($S17&lt;&gt;"",$C17&lt;&gt;"",$S17&gt;=$C17),IF($G17="",$R17+IF($E17="",0,$E17),MIN($R17+IF($E17="",0,$E17),$G17)),$R17)))</f>
        <v>150</v>
      </c>
      <c r="M17" s="16" t="n">
        <f aca="false">IF(OR($B17="",$L17=""),"",IF($R17="",$B17,IF(AND($S17&lt;&gt;"",$C17&lt;&gt;"",$S17&gt;=$C17),$B17,IF(OR($S17="",$S17&lt;$B17),$B17,MIN($C17,$S17+1)))))</f>
        <v>13</v>
      </c>
      <c r="N17" s="17" t="str">
        <f aca="false">IF($L17="","",IF($R17="","Startgewicht eintragen und loslegen",IF(AND(AND($S17&lt;&gt;"",$C17&lt;&gt;"",$S17&gt;=$C17),$L17&gt;$R17),"Gewicht +"&amp;TEXT($L17-$R17,"0.#")&amp;" kg, Wdh zurück auf "&amp;$B17,IF(AND($S17&lt;&gt;"",$C17&lt;&gt;"",$S17&gt;=$C17),"Obergrenze - über Tempo und Pausen steigern",IF(OR($S17="",$S17&lt;$B17),"Gewicht halten, erst "&amp;$B17&amp;" Wdh schaffen","Wdh +1 auf "&amp;$M17)))))</f>
        <v>Wdh +1 auf 13</v>
      </c>
      <c r="O17" s="18" t="n">
        <f aca="false">IF($R17="","",SUMPRODUCT((COUNTIFS(Log!$C$4:$C$903,$A17,Log!$D$4:$D$903,"A",Log!$E$4:$E$903,$R17,Log!$B$4:$B$903,ROW($1:$60))&gt;0)*1))</f>
        <v>1</v>
      </c>
      <c r="P17" s="19" t="s">
        <v>42</v>
      </c>
      <c r="Q17" s="20" t="n">
        <f aca="false">IF($A17="","",IF(SUMPRODUCT(MAX((Log!$C$4:$C$903=$A17)*(Log!$D$4:$D$903="A")*Log!$B$4:$B$903))=0,"",SUMPRODUCT(MAX((Log!$C$4:$C$903=$A17)*(Log!$D$4:$D$903="A")*Log!$B$4:$B$903))))</f>
        <v>2</v>
      </c>
      <c r="R17" s="21" t="n">
        <f aca="false">IF($Q17="","",SUMPRODUCT(MAX((Log!$C$4:$C$903=$A17)*(Log!$B$4:$B$903=$Q17)*(Log!$D$4:$D$903="A")*(Log!$E$4:$E$903&lt;&gt;"")*Log!$E$4:$E$903)))</f>
        <v>150</v>
      </c>
      <c r="S17" s="20" t="n">
        <f aca="false">IF($R17="","",IF(SUMPRODUCT(MIN((Log!$C$4:$C$903=$A17)*(Log!$B$4:$B$903=$Q17)*(Log!$D$4:$D$903="A")*(Log!$E$4:$E$903=$R17)*Log!$F$4:$F$903+((Log!$C$4:$C$903&lt;&gt;$A17)+(Log!$B$4:$B$903&lt;&gt;$Q17)+(Log!$D$4:$D$903&lt;&gt;"A")+(Log!$E$4:$E$903&lt;&gt;$R17)+(Log!$F$4:$F$903="")&gt;0)*999))&gt;=999,"",SUMPRODUCT(MIN((Log!$C$4:$C$903=$A17)*(Log!$B$4:$B$903=$Q17)*(Log!$D$4:$D$903="A")*(Log!$E$4:$E$903=$R17)*Log!$F$4:$F$903+((Log!$C$4:$C$903&lt;&gt;$A17)+(Log!$B$4:$B$903&lt;&gt;$Q17)+(Log!$D$4:$D$903&lt;&gt;"A")+(Log!$E$4:$E$903&lt;&gt;$R17)+(Log!$F$4:$F$903="")&gt;0)*999))))</f>
        <v>12</v>
      </c>
    </row>
    <row r="18" customFormat="false" ht="25.5" hidden="false" customHeight="true" outlineLevel="0" collapsed="false">
      <c r="A18" s="10"/>
      <c r="B18" s="11"/>
      <c r="C18" s="11"/>
      <c r="D18" s="11"/>
      <c r="E18" s="12"/>
      <c r="F18" s="12"/>
      <c r="G18" s="12"/>
      <c r="H18" s="11"/>
      <c r="I18" s="11"/>
      <c r="J18" s="13" t="str">
        <f aca="false">IF($A18="","",IF($H18&lt;&gt;"ja","Archiv",IF(OR($I18="",Plan!$C$3&gt;=$I18),"FREI","GESPERRT")))</f>
        <v/>
      </c>
      <c r="K18" s="14" t="str">
        <f aca="false">IF($R18="","",TEXT($R18,"0.#")&amp;" kg × "&amp;IF($S18="","?",$S18)&amp;" Wdh")</f>
        <v/>
      </c>
      <c r="L18" s="15" t="str">
        <f aca="false">IF($A18="","",IF($R18="",IF($F18="","",$F18),IF(AND($S18&lt;&gt;"",$C18&lt;&gt;"",$S18&gt;=$C18),IF($G18="",$R18+IF($E18="",0,$E18),MIN($R18+IF($E18="",0,$E18),$G18)),$R18)))</f>
        <v/>
      </c>
      <c r="M18" s="16" t="str">
        <f aca="false">IF(OR($B18="",$L18=""),"",IF($R18="",$B18,IF(AND($S18&lt;&gt;"",$C18&lt;&gt;"",$S18&gt;=$C18),$B18,IF(OR($S18="",$S18&lt;$B18),$B18,MIN($C18,$S18+1)))))</f>
        <v/>
      </c>
      <c r="N18" s="17" t="str">
        <f aca="false">IF($L18="","",IF($R18="","Startgewicht eintragen und loslegen",IF(AND(AND($S18&lt;&gt;"",$C18&lt;&gt;"",$S18&gt;=$C18),$L18&gt;$R18),"Gewicht +"&amp;TEXT($L18-$R18,"0.#")&amp;" kg, Wdh zurück auf "&amp;$B18,IF(AND($S18&lt;&gt;"",$C18&lt;&gt;"",$S18&gt;=$C18),"Obergrenze - über Tempo und Pausen steigern",IF(OR($S18="",$S18&lt;$B18),"Gewicht halten, erst "&amp;$B18&amp;" Wdh schaffen","Wdh +1 auf "&amp;$M18)))))</f>
        <v/>
      </c>
      <c r="O18" s="18" t="str">
        <f aca="false">IF($R18="","",SUMPRODUCT((COUNTIFS(Log!$C$4:$C$903,$A18,Log!$D$4:$D$903,"A",Log!$E$4:$E$903,$R18,Log!$B$4:$B$903,ROW($1:$60))&gt;0)*1))</f>
        <v/>
      </c>
      <c r="Q18" s="20" t="str">
        <f aca="false">IF($A18="","",IF(SUMPRODUCT(MAX((Log!$C$4:$C$903=$A18)*(Log!$D$4:$D$903="A")*Log!$B$4:$B$903))=0,"",SUMPRODUCT(MAX((Log!$C$4:$C$903=$A18)*(Log!$D$4:$D$903="A")*Log!$B$4:$B$903))))</f>
        <v/>
      </c>
      <c r="R18" s="21" t="str">
        <f aca="false">IF($Q18="","",SUMPRODUCT(MAX((Log!$C$4:$C$903=$A18)*(Log!$B$4:$B$903=$Q18)*(Log!$D$4:$D$903="A")*(Log!$E$4:$E$903&lt;&gt;"")*Log!$E$4:$E$903)))</f>
        <v/>
      </c>
      <c r="S18" s="20" t="str">
        <f aca="false">IF($R18="","",IF(SUMPRODUCT(MIN((Log!$C$4:$C$903=$A18)*(Log!$B$4:$B$903=$Q18)*(Log!$D$4:$D$903="A")*(Log!$E$4:$E$903=$R18)*Log!$F$4:$F$903+((Log!$C$4:$C$903&lt;&gt;$A18)+(Log!$B$4:$B$903&lt;&gt;$Q18)+(Log!$D$4:$D$903&lt;&gt;"A")+(Log!$E$4:$E$903&lt;&gt;$R18)+(Log!$F$4:$F$903="")&gt;0)*999))&gt;=999,"",SUMPRODUCT(MIN((Log!$C$4:$C$903=$A18)*(Log!$B$4:$B$903=$Q18)*(Log!$D$4:$D$903="A")*(Log!$E$4:$E$903=$R18)*Log!$F$4:$F$903+((Log!$C$4:$C$903&lt;&gt;$A18)+(Log!$B$4:$B$903&lt;&gt;$Q18)+(Log!$D$4:$D$903&lt;&gt;"A")+(Log!$E$4:$E$903&lt;&gt;$R18)+(Log!$F$4:$F$903="")&gt;0)*999))))</f>
        <v/>
      </c>
    </row>
    <row r="19" customFormat="false" ht="18" hidden="false" customHeight="true" outlineLevel="0" collapsed="false">
      <c r="A19" s="9" t="s">
        <v>43</v>
      </c>
      <c r="B19" s="9"/>
      <c r="C19" s="9"/>
      <c r="D19" s="9"/>
      <c r="E19" s="9"/>
      <c r="F19" s="9"/>
      <c r="G19" s="9"/>
      <c r="H19" s="9"/>
      <c r="I19" s="9"/>
      <c r="J19" s="9"/>
      <c r="K19" s="9"/>
      <c r="L19" s="9"/>
      <c r="M19" s="9"/>
      <c r="N19" s="9"/>
      <c r="O19" s="9"/>
      <c r="P19" s="9"/>
      <c r="Q19" s="9"/>
      <c r="R19" s="9"/>
      <c r="S19" s="9"/>
    </row>
    <row r="20" customFormat="false" ht="25.5" hidden="false" customHeight="true" outlineLevel="0" collapsed="false">
      <c r="A20" s="10" t="s">
        <v>44</v>
      </c>
      <c r="B20" s="11" t="n">
        <v>10</v>
      </c>
      <c r="C20" s="11" t="n">
        <v>12</v>
      </c>
      <c r="D20" s="11"/>
      <c r="E20" s="12"/>
      <c r="F20" s="12"/>
      <c r="G20" s="12"/>
      <c r="H20" s="11" t="s">
        <v>45</v>
      </c>
      <c r="I20" s="11"/>
      <c r="J20" s="13" t="str">
        <f aca="false">IF($A20="","",IF($H20&lt;&gt;"ja","Archiv",IF(OR($I20="",Plan!$C$3&gt;=$I20),"FREI","GESPERRT")))</f>
        <v>Archiv</v>
      </c>
      <c r="K20" s="14" t="str">
        <f aca="false">IF($R20="","",TEXT($R20,"0.#")&amp;" kg × "&amp;IF($S20="","?",$S20)&amp;" Wdh")</f>
        <v>18 kg × ? Wdh</v>
      </c>
      <c r="L20" s="15" t="n">
        <f aca="false">IF($A20="","",IF($R20="",IF($F20="","",$F20),IF(AND($S20&lt;&gt;"",$C20&lt;&gt;"",$S20&gt;=$C20),IF($G20="",$R20+IF($E20="",0,$E20),MIN($R20+IF($E20="",0,$E20),$G20)),$R20)))</f>
        <v>18</v>
      </c>
      <c r="M20" s="16" t="n">
        <f aca="false">IF(OR($B20="",$L20=""),"",IF($R20="",$B20,IF(AND($S20&lt;&gt;"",$C20&lt;&gt;"",$S20&gt;=$C20),$B20,IF(OR($S20="",$S20&lt;$B20),$B20,MIN($C20,$S20+1)))))</f>
        <v>10</v>
      </c>
      <c r="N20" s="17" t="str">
        <f aca="false">IF($L20="","",IF($R20="","Startgewicht eintragen und loslegen",IF(AND(AND($S20&lt;&gt;"",$C20&lt;&gt;"",$S20&gt;=$C20),$L20&gt;$R20),"Gewicht +"&amp;TEXT($L20-$R20,"0.#")&amp;" kg, Wdh zurück auf "&amp;$B20,IF(AND($S20&lt;&gt;"",$C20&lt;&gt;"",$S20&gt;=$C20),"Obergrenze - über Tempo und Pausen steigern",IF(OR($S20="",$S20&lt;$B20),"Gewicht halten, erst "&amp;$B20&amp;" Wdh schaffen","Wdh +1 auf "&amp;$M20)))))</f>
        <v>Gewicht halten, erst 10 Wdh schaffen</v>
      </c>
      <c r="O20" s="18" t="n">
        <f aca="false">IF($R20="","",SUMPRODUCT((COUNTIFS(Log!$C$4:$C$903,$A20,Log!$D$4:$D$903,"A",Log!$E$4:$E$903,$R20,Log!$B$4:$B$903,ROW($1:$60))&gt;0)*1))</f>
        <v>1</v>
      </c>
      <c r="P20" s="19" t="s">
        <v>46</v>
      </c>
      <c r="Q20" s="20" t="n">
        <f aca="false">IF($A20="","",IF(SUMPRODUCT(MAX((Log!$C$4:$C$903=$A20)*(Log!$D$4:$D$903="A")*Log!$B$4:$B$903))=0,"",SUMPRODUCT(MAX((Log!$C$4:$C$903=$A20)*(Log!$D$4:$D$903="A")*Log!$B$4:$B$903))))</f>
        <v>3</v>
      </c>
      <c r="R20" s="21" t="n">
        <f aca="false">IF($Q20="","",SUMPRODUCT(MAX((Log!$C$4:$C$903=$A20)*(Log!$B$4:$B$903=$Q20)*(Log!$D$4:$D$903="A")*(Log!$E$4:$E$903&lt;&gt;"")*Log!$E$4:$E$903)))</f>
        <v>18</v>
      </c>
      <c r="S20" s="20" t="str">
        <f aca="false">IF($R20="","",IF(SUMPRODUCT(MIN((Log!$C$4:$C$903=$A20)*(Log!$B$4:$B$903=$Q20)*(Log!$D$4:$D$903="A")*(Log!$E$4:$E$903=$R20)*Log!$F$4:$F$903+((Log!$C$4:$C$903&lt;&gt;$A20)+(Log!$B$4:$B$903&lt;&gt;$Q20)+(Log!$D$4:$D$903&lt;&gt;"A")+(Log!$E$4:$E$903&lt;&gt;$R20)+(Log!$F$4:$F$903="")&gt;0)*999))&gt;=999,"",SUMPRODUCT(MIN((Log!$C$4:$C$903=$A20)*(Log!$B$4:$B$903=$Q20)*(Log!$D$4:$D$903="A")*(Log!$E$4:$E$903=$R20)*Log!$F$4:$F$903+((Log!$C$4:$C$903&lt;&gt;$A20)+(Log!$B$4:$B$903&lt;&gt;$Q20)+(Log!$D$4:$D$903&lt;&gt;"A")+(Log!$E$4:$E$903&lt;&gt;$R20)+(Log!$F$4:$F$903="")&gt;0)*999))))</f>
        <v/>
      </c>
    </row>
    <row r="21" customFormat="false" ht="25.5" hidden="false" customHeight="true" outlineLevel="0" collapsed="false">
      <c r="A21" s="10" t="s">
        <v>47</v>
      </c>
      <c r="B21" s="11" t="n">
        <v>10</v>
      </c>
      <c r="C21" s="11" t="n">
        <v>15</v>
      </c>
      <c r="D21" s="11"/>
      <c r="E21" s="12"/>
      <c r="F21" s="12"/>
      <c r="G21" s="12"/>
      <c r="H21" s="11" t="s">
        <v>45</v>
      </c>
      <c r="I21" s="11"/>
      <c r="J21" s="13" t="str">
        <f aca="false">IF($A21="","",IF($H21&lt;&gt;"ja","Archiv",IF(OR($I21="",Plan!$C$3&gt;=$I21),"FREI","GESPERRT")))</f>
        <v>Archiv</v>
      </c>
      <c r="K21" s="14" t="str">
        <f aca="false">IF($R21="","",TEXT($R21,"0.#")&amp;" kg × "&amp;IF($S21="","?",$S21)&amp;" Wdh")</f>
        <v>63 kg × 15 Wdh</v>
      </c>
      <c r="L21" s="15" t="n">
        <f aca="false">IF($A21="","",IF($R21="",IF($F21="","",$F21),IF(AND($S21&lt;&gt;"",$C21&lt;&gt;"",$S21&gt;=$C21),IF($G21="",$R21+IF($E21="",0,$E21),MIN($R21+IF($E21="",0,$E21),$G21)),$R21)))</f>
        <v>63</v>
      </c>
      <c r="M21" s="16" t="n">
        <f aca="false">IF(OR($B21="",$L21=""),"",IF($R21="",$B21,IF(AND($S21&lt;&gt;"",$C21&lt;&gt;"",$S21&gt;=$C21),$B21,IF(OR($S21="",$S21&lt;$B21),$B21,MIN($C21,$S21+1)))))</f>
        <v>10</v>
      </c>
      <c r="N21" s="17" t="str">
        <f aca="false">IF($L21="","",IF($R21="","Startgewicht eintragen und loslegen",IF(AND(AND($S21&lt;&gt;"",$C21&lt;&gt;"",$S21&gt;=$C21),$L21&gt;$R21),"Gewicht +"&amp;TEXT($L21-$R21,"0.#")&amp;" kg, Wdh zurück auf "&amp;$B21,IF(AND($S21&lt;&gt;"",$C21&lt;&gt;"",$S21&gt;=$C21),"Obergrenze - über Tempo und Pausen steigern",IF(OR($S21="",$S21&lt;$B21),"Gewicht halten, erst "&amp;$B21&amp;" Wdh schaffen","Wdh +1 auf "&amp;$M21)))))</f>
        <v>Obergrenze - über Tempo und Pausen steigern</v>
      </c>
      <c r="O21" s="18" t="n">
        <f aca="false">IF($R21="","",SUMPRODUCT((COUNTIFS(Log!$C$4:$C$903,$A21,Log!$D$4:$D$903,"A",Log!$E$4:$E$903,$R21,Log!$B$4:$B$903,ROW($1:$60))&gt;0)*1))</f>
        <v>1</v>
      </c>
      <c r="P21" s="19" t="s">
        <v>48</v>
      </c>
      <c r="Q21" s="20" t="n">
        <f aca="false">IF($A21="","",IF(SUMPRODUCT(MAX((Log!$C$4:$C$903=$A21)*(Log!$D$4:$D$903="A")*Log!$B$4:$B$903))=0,"",SUMPRODUCT(MAX((Log!$C$4:$C$903=$A21)*(Log!$D$4:$D$903="A")*Log!$B$4:$B$903))))</f>
        <v>4</v>
      </c>
      <c r="R21" s="21" t="n">
        <f aca="false">IF($Q21="","",SUMPRODUCT(MAX((Log!$C$4:$C$903=$A21)*(Log!$B$4:$B$903=$Q21)*(Log!$D$4:$D$903="A")*(Log!$E$4:$E$903&lt;&gt;"")*Log!$E$4:$E$903)))</f>
        <v>63</v>
      </c>
      <c r="S21" s="20" t="n">
        <f aca="false">IF($R21="","",IF(SUMPRODUCT(MIN((Log!$C$4:$C$903=$A21)*(Log!$B$4:$B$903=$Q21)*(Log!$D$4:$D$903="A")*(Log!$E$4:$E$903=$R21)*Log!$F$4:$F$903+((Log!$C$4:$C$903&lt;&gt;$A21)+(Log!$B$4:$B$903&lt;&gt;$Q21)+(Log!$D$4:$D$903&lt;&gt;"A")+(Log!$E$4:$E$903&lt;&gt;$R21)+(Log!$F$4:$F$903="")&gt;0)*999))&gt;=999,"",SUMPRODUCT(MIN((Log!$C$4:$C$903=$A21)*(Log!$B$4:$B$903=$Q21)*(Log!$D$4:$D$903="A")*(Log!$E$4:$E$903=$R21)*Log!$F$4:$F$903+((Log!$C$4:$C$903&lt;&gt;$A21)+(Log!$B$4:$B$903&lt;&gt;$Q21)+(Log!$D$4:$D$903&lt;&gt;"A")+(Log!$E$4:$E$903&lt;&gt;$R21)+(Log!$F$4:$F$903="")&gt;0)*999))))</f>
        <v>15</v>
      </c>
    </row>
    <row r="23" customFormat="false" ht="54.75" hidden="false" customHeight="true" outlineLevel="0" collapsed="false">
      <c r="A23" s="22" t="s">
        <v>49</v>
      </c>
      <c r="B23" s="22"/>
      <c r="C23" s="22"/>
      <c r="D23" s="22"/>
      <c r="E23" s="22"/>
      <c r="F23" s="22"/>
      <c r="G23" s="22"/>
      <c r="H23" s="22"/>
      <c r="I23" s="22"/>
      <c r="J23" s="22"/>
      <c r="K23" s="22"/>
      <c r="L23" s="22"/>
      <c r="M23" s="22"/>
      <c r="N23" s="22"/>
      <c r="O23" s="22"/>
    </row>
    <row r="24" customFormat="false" ht="30" hidden="false" customHeight="true" outlineLevel="0" collapsed="false">
      <c r="A24" s="22" t="s">
        <v>50</v>
      </c>
      <c r="B24" s="22"/>
      <c r="C24" s="22"/>
      <c r="D24" s="22"/>
      <c r="E24" s="22"/>
      <c r="F24" s="22"/>
      <c r="G24" s="22"/>
      <c r="H24" s="22"/>
      <c r="I24" s="22"/>
      <c r="J24" s="22"/>
      <c r="K24" s="22"/>
      <c r="L24" s="22"/>
      <c r="M24" s="22"/>
      <c r="N24" s="22"/>
      <c r="O24" s="22"/>
    </row>
  </sheetData>
  <mergeCells count="12">
    <mergeCell ref="A1:S1"/>
    <mergeCell ref="A2:S2"/>
    <mergeCell ref="A3:B3"/>
    <mergeCell ref="C3:D3"/>
    <mergeCell ref="E3:O3"/>
    <mergeCell ref="A4:I4"/>
    <mergeCell ref="J4:O4"/>
    <mergeCell ref="A6:S6"/>
    <mergeCell ref="A12:S12"/>
    <mergeCell ref="A19:S19"/>
    <mergeCell ref="A23:O23"/>
    <mergeCell ref="A24:O24"/>
  </mergeCells>
  <conditionalFormatting sqref="A6:O21">
    <cfRule type="expression" priority="2" aboveAverage="0" equalAverage="0" bottom="0" percent="0" rank="0" text="" dxfId="0">
      <formula>$J6="Archiv"</formula>
    </cfRule>
    <cfRule type="expression" priority="3" aboveAverage="0" equalAverage="0" bottom="0" percent="0" rank="0" text="" dxfId="1">
      <formula>$J6="GESPERRT"</formula>
    </cfRule>
  </conditionalFormatting>
  <conditionalFormatting sqref="J6:J21">
    <cfRule type="expression" priority="4" aboveAverage="0" equalAverage="0" bottom="0" percent="0" rank="0" text="" dxfId="2">
      <formula>$J6="GESPERRT"</formula>
    </cfRule>
    <cfRule type="expression" priority="5" aboveAverage="0" equalAverage="0" bottom="0" percent="0" rank="0" text="" dxfId="3">
      <formula>$J6="FREI"</formula>
    </cfRule>
  </conditionalFormatting>
  <conditionalFormatting sqref="O6:O21">
    <cfRule type="expression" priority="6" aboveAverage="0" equalAverage="0" bottom="0" percent="0" rank="0" text="" dxfId="4">
      <formula>AND($O6&lt;&gt;"",$O6&gt;=4)</formula>
    </cfRule>
  </conditionalFormatting>
  <dataValidations count="1">
    <dataValidation allowBlank="true" errorStyle="stop" operator="between" showDropDown="false" showErrorMessage="false" showInputMessage="false" sqref="H6:H21" type="list">
      <formula1>"ja,nein"</formula1>
      <formula2>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&amp;K909090Plan</oddHeader>
    <oddFooter>&amp;L&amp;8 &amp;K909090Grün = womit du heute startest&amp;R&amp;8 &amp;K909090Seite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5.5" hidden="false" customHeight="true" outlineLevel="0" collapsed="false">
      <c r="A1" s="1" t="s">
        <v>51</v>
      </c>
      <c r="B1" s="1"/>
      <c r="C1" s="1"/>
      <c r="D1" s="1"/>
      <c r="E1" s="1"/>
      <c r="F1" s="1"/>
      <c r="G1" s="1"/>
      <c r="H1" s="1"/>
      <c r="I1" s="1"/>
    </row>
    <row r="2" customFormat="false" ht="12" hidden="false" customHeight="true" outlineLevel="0" collapsed="false">
      <c r="A2" s="23" t="s">
        <v>52</v>
      </c>
      <c r="B2" s="23"/>
      <c r="C2" s="24" t="s">
        <v>53</v>
      </c>
      <c r="D2" s="23" t="s">
        <v>54</v>
      </c>
      <c r="E2" s="23"/>
      <c r="F2" s="23" t="s">
        <v>55</v>
      </c>
      <c r="G2" s="23"/>
      <c r="H2" s="23" t="s">
        <v>56</v>
      </c>
      <c r="I2" s="23"/>
    </row>
    <row r="3" customFormat="false" ht="18" hidden="false" customHeight="true" outlineLevel="0" collapsed="false">
      <c r="A3" s="25"/>
      <c r="B3" s="25"/>
      <c r="C3" s="25"/>
      <c r="D3" s="25"/>
      <c r="E3" s="25"/>
      <c r="F3" s="25"/>
      <c r="G3" s="25"/>
      <c r="H3" s="25"/>
      <c r="I3" s="25"/>
    </row>
    <row r="5" customFormat="false" ht="18" hidden="false" customHeight="true" outlineLevel="0" collapsed="false">
      <c r="A5" s="26" t="str">
        <f aca="false">Plan!$A$7</f>
        <v>Beinpresse</v>
      </c>
      <c r="B5" s="26"/>
      <c r="C5" s="26"/>
      <c r="D5" s="26"/>
      <c r="E5" s="26"/>
      <c r="F5" s="26"/>
      <c r="G5" s="26"/>
      <c r="H5" s="26"/>
      <c r="I5" s="26"/>
    </row>
    <row r="6" customFormat="false" ht="15.75" hidden="false" customHeight="true" outlineLevel="0" collapsed="false">
      <c r="A6"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GESPERRT bis Woche 2 nach OP     ·     3 Sätze</v>
      </c>
      <c r="B6" s="27"/>
      <c r="C6" s="27"/>
      <c r="D6" s="27"/>
      <c r="E6" s="27"/>
      <c r="F6" s="27"/>
      <c r="G6" s="27"/>
      <c r="H6" s="27"/>
      <c r="I6" s="27"/>
    </row>
    <row r="7" customFormat="false" ht="13.5" hidden="false" customHeight="true" outlineLevel="0" collapsed="false">
      <c r="A7" s="28" t="str">
        <f aca="false">IF(IFERROR(INDEX(Plan!$K$6:$K$21,MATCH(Plan!$A$7,Plan!$A$6:$A$21,0)),"")="","","zuletzt "&amp;IFERROR(INDEX(Plan!$K$6:$K$21,MATCH(Plan!$A$7,Plan!$A$6:$A$21,0)),"")&amp;"     ·     ")&amp;IF(IFERROR(INDEX(Plan!$N$6:$N$21,MATCH(Plan!$A$7,Plan!$A$6:$A$21,0)),"")="","",IFERROR(INDEX(Plan!$N$6:$N$21,MATCH(Plan!$A$7,Plan!$A$6:$A$21,0)),""))</f>
        <v/>
      </c>
      <c r="B7" s="28"/>
      <c r="C7" s="28"/>
      <c r="D7" s="28"/>
      <c r="E7" s="28"/>
      <c r="F7" s="28"/>
      <c r="G7" s="28"/>
      <c r="H7" s="28"/>
      <c r="I7" s="28"/>
    </row>
    <row r="8" customFormat="false" ht="18" hidden="false" customHeight="true" outlineLevel="0" collapsed="false">
      <c r="A8" s="29" t="s">
        <v>57</v>
      </c>
      <c r="B8" s="29" t="s">
        <v>58</v>
      </c>
      <c r="C8" s="29" t="s">
        <v>59</v>
      </c>
      <c r="D8" s="29" t="s">
        <v>60</v>
      </c>
      <c r="E8" s="29" t="s">
        <v>61</v>
      </c>
      <c r="F8" s="29" t="s">
        <v>62</v>
      </c>
      <c r="G8" s="29" t="s">
        <v>63</v>
      </c>
      <c r="H8" s="29" t="s">
        <v>64</v>
      </c>
      <c r="I8" s="29" t="s">
        <v>65</v>
      </c>
    </row>
    <row r="9" customFormat="false" ht="18" hidden="false" customHeight="true" outlineLevel="0" collapsed="false">
      <c r="A9" s="30" t="n">
        <v>1</v>
      </c>
      <c r="B9" s="31" t="s">
        <v>66</v>
      </c>
      <c r="C9" s="32" t="str">
        <f aca="false">IF(OR(IFERROR(INDEX(Plan!$J$6:$J$21,MATCH(Plan!$A$7,Plan!$A$6:$A$21,0)),"")="GESPERRT",IFERROR(INDEX(Plan!$L$6:$L$21,MATCH(Plan!$A$7,Plan!$A$6:$A$21,0)),"")=""),"",ROUND(IFERROR(INDEX(Plan!$L$6:$L$21,MATCH(Plan!$A$7,Plan!$A$6:$A$21,0)),"")*0.45*2,0)/2)</f>
        <v/>
      </c>
      <c r="D9" s="33"/>
      <c r="E9" s="34"/>
      <c r="F9" s="34"/>
      <c r="G9" s="34"/>
      <c r="H9" s="34"/>
      <c r="I9" s="34"/>
    </row>
    <row r="10" customFormat="false" ht="18" hidden="false" customHeight="true" outlineLevel="0" collapsed="false">
      <c r="A10" s="30" t="n">
        <v>2</v>
      </c>
      <c r="B10" s="31" t="s">
        <v>66</v>
      </c>
      <c r="C10" s="32" t="str">
        <f aca="false">IF(OR(IFERROR(INDEX(Plan!$J$6:$J$21,MATCH(Plan!$A$7,Plan!$A$6:$A$21,0)),"")="GESPERRT",IFERROR(INDEX(Plan!$L$6:$L$21,MATCH(Plan!$A$7,Plan!$A$6:$A$21,0)),"")=""),"",ROUND(IFERROR(INDEX(Plan!$L$6:$L$21,MATCH(Plan!$A$7,Plan!$A$6:$A$21,0)),"")*0.7*2,0)/2)</f>
        <v/>
      </c>
      <c r="D10" s="33"/>
      <c r="E10" s="34"/>
      <c r="F10" s="34"/>
      <c r="G10" s="34"/>
      <c r="H10" s="34"/>
      <c r="I10" s="34"/>
    </row>
    <row r="11" customFormat="false" ht="18" hidden="false" customHeight="true" outlineLevel="0" collapsed="false">
      <c r="A11" s="30" t="n">
        <v>3</v>
      </c>
      <c r="B11" s="35" t="s">
        <v>67</v>
      </c>
      <c r="C11" s="32" t="str">
        <f aca="false">IF(OR(IFERROR(INDEX(Plan!$J$6:$J$21,MATCH(Plan!$A$7,Plan!$A$6:$A$21,0)),"")="GESPERRT",IFERROR(INDEX(Plan!$L$6:$L$21,MATCH(Plan!$A$7,Plan!$A$6:$A$21,0)),"")=""),"",ROUND(IFERROR(INDEX(Plan!$L$6:$L$21,MATCH(Plan!$A$7,Plan!$A$6:$A$21,0)),"")*1*2,0)/2)</f>
        <v/>
      </c>
      <c r="D11" s="36" t="str">
        <f aca="false">IF(OR(IFERROR(INDEX(Plan!$J$6:$J$21,MATCH(Plan!$A$7,Plan!$A$6:$A$21,0)),"")="GESPERRT",IFERROR(INDEX(Plan!$M$6:$M$21,MATCH(Plan!$A$7,Plan!$A$6:$A$21,0)),"")=""),"",IFERROR(INDEX(Plan!$M$6:$M$21,MATCH(Plan!$A$7,Plan!$A$6:$A$21,0)),""))</f>
        <v/>
      </c>
      <c r="E11" s="34"/>
      <c r="F11" s="34"/>
      <c r="G11" s="34"/>
      <c r="H11" s="34"/>
      <c r="I11" s="34"/>
    </row>
    <row r="12" customFormat="false" ht="18" hidden="false" customHeight="true" outlineLevel="0" collapsed="false">
      <c r="A12" s="30" t="n">
        <v>4</v>
      </c>
      <c r="B12" s="35" t="s">
        <v>67</v>
      </c>
      <c r="C12" s="32" t="str">
        <f aca="false">IF(OR(IFERROR(INDEX(Plan!$J$6:$J$21,MATCH(Plan!$A$7,Plan!$A$6:$A$21,0)),"")="GESPERRT",IFERROR(INDEX(Plan!$L$6:$L$21,MATCH(Plan!$A$7,Plan!$A$6:$A$21,0)),"")=""),"",ROUND(IFERROR(INDEX(Plan!$L$6:$L$21,MATCH(Plan!$A$7,Plan!$A$6:$A$21,0)),"")*1*2,0)/2)</f>
        <v/>
      </c>
      <c r="D12" s="36" t="str">
        <f aca="false">IF(OR(IFERROR(INDEX(Plan!$J$6:$J$21,MATCH(Plan!$A$7,Plan!$A$6:$A$21,0)),"")="GESPERRT",IFERROR(INDEX(Plan!$M$6:$M$21,MATCH(Plan!$A$7,Plan!$A$6:$A$21,0)),"")=""),"",IFERROR(INDEX(Plan!$M$6:$M$21,MATCH(Plan!$A$7,Plan!$A$6:$A$21,0)),""))</f>
        <v/>
      </c>
      <c r="E12" s="34"/>
      <c r="F12" s="34"/>
      <c r="G12" s="34"/>
      <c r="H12" s="34"/>
      <c r="I12" s="34"/>
    </row>
    <row r="13" customFormat="false" ht="18" hidden="false" customHeight="true" outlineLevel="0" collapsed="false">
      <c r="A13" s="30" t="n">
        <v>5</v>
      </c>
      <c r="B13" s="35" t="s">
        <v>67</v>
      </c>
      <c r="C13" s="32" t="str">
        <f aca="false">IF(OR(IFERROR(INDEX(Plan!$J$6:$J$21,MATCH(Plan!$A$7,Plan!$A$6:$A$21,0)),"")="GESPERRT",IFERROR(INDEX(Plan!$L$6:$L$21,MATCH(Plan!$A$7,Plan!$A$6:$A$21,0)),"")=""),"",ROUND(IFERROR(INDEX(Plan!$L$6:$L$21,MATCH(Plan!$A$7,Plan!$A$6:$A$21,0)),"")*1*2,0)/2)</f>
        <v/>
      </c>
      <c r="D13" s="36" t="str">
        <f aca="false">IF(OR(IFERROR(INDEX(Plan!$J$6:$J$21,MATCH(Plan!$A$7,Plan!$A$6:$A$21,0)),"")="GESPERRT",IFERROR(INDEX(Plan!$M$6:$M$21,MATCH(Plan!$A$7,Plan!$A$6:$A$21,0)),"")=""),"",IFERROR(INDEX(Plan!$M$6:$M$21,MATCH(Plan!$A$7,Plan!$A$6:$A$21,0)),""))</f>
        <v/>
      </c>
      <c r="E13" s="34"/>
      <c r="F13" s="34"/>
      <c r="G13" s="34"/>
      <c r="H13" s="34"/>
      <c r="I13" s="34"/>
    </row>
    <row r="15" customFormat="false" ht="18" hidden="false" customHeight="true" outlineLevel="0" collapsed="false">
      <c r="A15" s="26" t="str">
        <f aca="false">Plan!$A$8</f>
        <v>Split Squat</v>
      </c>
      <c r="B15" s="26"/>
      <c r="C15" s="26"/>
      <c r="D15" s="26"/>
      <c r="E15" s="26"/>
      <c r="F15" s="26"/>
      <c r="G15" s="26"/>
      <c r="H15" s="26"/>
      <c r="I15" s="26"/>
    </row>
    <row r="16" customFormat="false" ht="15.75" hidden="false" customHeight="true" outlineLevel="0" collapsed="false">
      <c r="A16"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GESPERRT bis Woche 8 nach OP     ·     3 Sätze</v>
      </c>
      <c r="B16" s="27"/>
      <c r="C16" s="27"/>
      <c r="D16" s="27"/>
      <c r="E16" s="27"/>
      <c r="F16" s="27"/>
      <c r="G16" s="27"/>
      <c r="H16" s="27"/>
      <c r="I16" s="27"/>
    </row>
    <row r="17" customFormat="false" ht="13.5" hidden="false" customHeight="true" outlineLevel="0" collapsed="false">
      <c r="A17" s="28" t="str">
        <f aca="false">IF(IFERROR(INDEX(Plan!$K$6:$K$21,MATCH(Plan!$A$8,Plan!$A$6:$A$21,0)),"")="","","zuletzt "&amp;IFERROR(INDEX(Plan!$K$6:$K$21,MATCH(Plan!$A$8,Plan!$A$6:$A$21,0)),"")&amp;"     ·     ")&amp;IF(IFERROR(INDEX(Plan!$N$6:$N$21,MATCH(Plan!$A$8,Plan!$A$6:$A$21,0)),"")="","",IFERROR(INDEX(Plan!$N$6:$N$21,MATCH(Plan!$A$8,Plan!$A$6:$A$21,0)),""))</f>
        <v>zuletzt 80 kg × 8 Wdh     ·     Wdh +1 auf 9</v>
      </c>
      <c r="B17" s="28"/>
      <c r="C17" s="28"/>
      <c r="D17" s="28"/>
      <c r="E17" s="28"/>
      <c r="F17" s="28"/>
      <c r="G17" s="28"/>
      <c r="H17" s="28"/>
      <c r="I17" s="28"/>
    </row>
    <row r="18" customFormat="false" ht="18" hidden="false" customHeight="true" outlineLevel="0" collapsed="false">
      <c r="A18" s="29" t="s">
        <v>57</v>
      </c>
      <c r="B18" s="29" t="s">
        <v>58</v>
      </c>
      <c r="C18" s="29" t="s">
        <v>59</v>
      </c>
      <c r="D18" s="29" t="s">
        <v>60</v>
      </c>
      <c r="E18" s="29" t="s">
        <v>61</v>
      </c>
      <c r="F18" s="29" t="s">
        <v>62</v>
      </c>
      <c r="G18" s="29" t="s">
        <v>63</v>
      </c>
      <c r="H18" s="29" t="s">
        <v>64</v>
      </c>
      <c r="I18" s="29" t="s">
        <v>65</v>
      </c>
    </row>
    <row r="19" customFormat="false" ht="18" hidden="false" customHeight="true" outlineLevel="0" collapsed="false">
      <c r="A19" s="30" t="n">
        <v>1</v>
      </c>
      <c r="B19" s="31" t="s">
        <v>66</v>
      </c>
      <c r="C19" s="32" t="str">
        <f aca="false">IF(OR(IFERROR(INDEX(Plan!$J$6:$J$21,MATCH(Plan!$A$8,Plan!$A$6:$A$21,0)),"")="GESPERRT",IFERROR(INDEX(Plan!$L$6:$L$21,MATCH(Plan!$A$8,Plan!$A$6:$A$21,0)),"")=""),"",ROUND(IFERROR(INDEX(Plan!$L$6:$L$21,MATCH(Plan!$A$8,Plan!$A$6:$A$21,0)),"")*0.45*2,0)/2)</f>
        <v/>
      </c>
      <c r="D19" s="33"/>
      <c r="E19" s="34"/>
      <c r="F19" s="34"/>
      <c r="G19" s="34"/>
      <c r="H19" s="34"/>
      <c r="I19" s="34"/>
    </row>
    <row r="20" customFormat="false" ht="18" hidden="false" customHeight="true" outlineLevel="0" collapsed="false">
      <c r="A20" s="30" t="n">
        <v>2</v>
      </c>
      <c r="B20" s="31" t="s">
        <v>66</v>
      </c>
      <c r="C20" s="32" t="str">
        <f aca="false">IF(OR(IFERROR(INDEX(Plan!$J$6:$J$21,MATCH(Plan!$A$8,Plan!$A$6:$A$21,0)),"")="GESPERRT",IFERROR(INDEX(Plan!$L$6:$L$21,MATCH(Plan!$A$8,Plan!$A$6:$A$21,0)),"")=""),"",ROUND(IFERROR(INDEX(Plan!$L$6:$L$21,MATCH(Plan!$A$8,Plan!$A$6:$A$21,0)),"")*0.7*2,0)/2)</f>
        <v/>
      </c>
      <c r="D20" s="33"/>
      <c r="E20" s="34"/>
      <c r="F20" s="34"/>
      <c r="G20" s="34"/>
      <c r="H20" s="34"/>
      <c r="I20" s="34"/>
    </row>
    <row r="21" customFormat="false" ht="18" hidden="false" customHeight="true" outlineLevel="0" collapsed="false">
      <c r="A21" s="30" t="n">
        <v>3</v>
      </c>
      <c r="B21" s="35" t="s">
        <v>67</v>
      </c>
      <c r="C21" s="32" t="str">
        <f aca="false">IF(OR(IFERROR(INDEX(Plan!$J$6:$J$21,MATCH(Plan!$A$8,Plan!$A$6:$A$21,0)),"")="GESPERRT",IFERROR(INDEX(Plan!$L$6:$L$21,MATCH(Plan!$A$8,Plan!$A$6:$A$21,0)),"")=""),"",ROUND(IFERROR(INDEX(Plan!$L$6:$L$21,MATCH(Plan!$A$8,Plan!$A$6:$A$21,0)),"")*1*2,0)/2)</f>
        <v/>
      </c>
      <c r="D21" s="36" t="str">
        <f aca="false">IF(OR(IFERROR(INDEX(Plan!$J$6:$J$21,MATCH(Plan!$A$8,Plan!$A$6:$A$21,0)),"")="GESPERRT",IFERROR(INDEX(Plan!$M$6:$M$21,MATCH(Plan!$A$8,Plan!$A$6:$A$21,0)),"")=""),"",IFERROR(INDEX(Plan!$M$6:$M$21,MATCH(Plan!$A$8,Plan!$A$6:$A$21,0)),""))</f>
        <v/>
      </c>
      <c r="E21" s="34"/>
      <c r="F21" s="34"/>
      <c r="G21" s="34"/>
      <c r="H21" s="34"/>
      <c r="I21" s="34"/>
    </row>
    <row r="22" customFormat="false" ht="18" hidden="false" customHeight="true" outlineLevel="0" collapsed="false">
      <c r="A22" s="30" t="n">
        <v>4</v>
      </c>
      <c r="B22" s="35" t="s">
        <v>67</v>
      </c>
      <c r="C22" s="32" t="str">
        <f aca="false">IF(OR(IFERROR(INDEX(Plan!$J$6:$J$21,MATCH(Plan!$A$8,Plan!$A$6:$A$21,0)),"")="GESPERRT",IFERROR(INDEX(Plan!$L$6:$L$21,MATCH(Plan!$A$8,Plan!$A$6:$A$21,0)),"")=""),"",ROUND(IFERROR(INDEX(Plan!$L$6:$L$21,MATCH(Plan!$A$8,Plan!$A$6:$A$21,0)),"")*1*2,0)/2)</f>
        <v/>
      </c>
      <c r="D22" s="36" t="str">
        <f aca="false">IF(OR(IFERROR(INDEX(Plan!$J$6:$J$21,MATCH(Plan!$A$8,Plan!$A$6:$A$21,0)),"")="GESPERRT",IFERROR(INDEX(Plan!$M$6:$M$21,MATCH(Plan!$A$8,Plan!$A$6:$A$21,0)),"")=""),"",IFERROR(INDEX(Plan!$M$6:$M$21,MATCH(Plan!$A$8,Plan!$A$6:$A$21,0)),""))</f>
        <v/>
      </c>
      <c r="E22" s="34"/>
      <c r="F22" s="34"/>
      <c r="G22" s="34"/>
      <c r="H22" s="34"/>
      <c r="I22" s="34"/>
    </row>
    <row r="23" customFormat="false" ht="18" hidden="false" customHeight="true" outlineLevel="0" collapsed="false">
      <c r="A23" s="30" t="n">
        <v>5</v>
      </c>
      <c r="B23" s="35" t="s">
        <v>67</v>
      </c>
      <c r="C23" s="32" t="str">
        <f aca="false">IF(OR(IFERROR(INDEX(Plan!$J$6:$J$21,MATCH(Plan!$A$8,Plan!$A$6:$A$21,0)),"")="GESPERRT",IFERROR(INDEX(Plan!$L$6:$L$21,MATCH(Plan!$A$8,Plan!$A$6:$A$21,0)),"")=""),"",ROUND(IFERROR(INDEX(Plan!$L$6:$L$21,MATCH(Plan!$A$8,Plan!$A$6:$A$21,0)),"")*1*2,0)/2)</f>
        <v/>
      </c>
      <c r="D23" s="36" t="str">
        <f aca="false">IF(OR(IFERROR(INDEX(Plan!$J$6:$J$21,MATCH(Plan!$A$8,Plan!$A$6:$A$21,0)),"")="GESPERRT",IFERROR(INDEX(Plan!$M$6:$M$21,MATCH(Plan!$A$8,Plan!$A$6:$A$21,0)),"")=""),"",IFERROR(INDEX(Plan!$M$6:$M$21,MATCH(Plan!$A$8,Plan!$A$6:$A$21,0)),""))</f>
        <v/>
      </c>
      <c r="E23" s="34"/>
      <c r="F23" s="34"/>
      <c r="G23" s="34"/>
      <c r="H23" s="34"/>
      <c r="I23" s="34"/>
    </row>
    <row r="25" customFormat="false" ht="18" hidden="false" customHeight="true" outlineLevel="0" collapsed="false">
      <c r="A25" s="26" t="str">
        <f aca="false">Plan!$A$9</f>
        <v>Beinstrecker</v>
      </c>
      <c r="B25" s="26"/>
      <c r="C25" s="26"/>
      <c r="D25" s="26"/>
      <c r="E25" s="26"/>
      <c r="F25" s="26"/>
      <c r="G25" s="26"/>
      <c r="H25" s="26"/>
      <c r="I25" s="26"/>
    </row>
    <row r="26" customFormat="false" ht="15.75" hidden="false" customHeight="true" outlineLevel="0" collapsed="false">
      <c r="A26"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26" s="27"/>
      <c r="C26" s="27"/>
      <c r="D26" s="27"/>
      <c r="E26" s="27"/>
      <c r="F26" s="27"/>
      <c r="G26" s="27"/>
      <c r="H26" s="27"/>
      <c r="I26" s="27"/>
    </row>
    <row r="27" customFormat="false" ht="13.5" hidden="false" customHeight="true" outlineLevel="0" collapsed="false">
      <c r="A27" s="28" t="str">
        <f aca="false">IF(IFERROR(INDEX(Plan!$K$6:$K$21,MATCH(Plan!$A$9,Plan!$A$6:$A$21,0)),"")="","","zuletzt "&amp;IFERROR(INDEX(Plan!$K$6:$K$21,MATCH(Plan!$A$9,Plan!$A$6:$A$21,0)),"")&amp;"     ·     ")&amp;IF(IFERROR(INDEX(Plan!$N$6:$N$21,MATCH(Plan!$A$9,Plan!$A$6:$A$21,0)),"")="","",IFERROR(INDEX(Plan!$N$6:$N$21,MATCH(Plan!$A$9,Plan!$A$6:$A$21,0)),""))</f>
        <v>zuletzt 80 kg × 8 Wdh     ·     Gewicht halten, erst 12 Wdh schaffen</v>
      </c>
      <c r="B27" s="28"/>
      <c r="C27" s="28"/>
      <c r="D27" s="28"/>
      <c r="E27" s="28"/>
      <c r="F27" s="28"/>
      <c r="G27" s="28"/>
      <c r="H27" s="28"/>
      <c r="I27" s="28"/>
    </row>
    <row r="28" customFormat="false" ht="18" hidden="false" customHeight="true" outlineLevel="0" collapsed="false">
      <c r="A28" s="29" t="s">
        <v>57</v>
      </c>
      <c r="B28" s="29" t="s">
        <v>58</v>
      </c>
      <c r="C28" s="29" t="s">
        <v>59</v>
      </c>
      <c r="D28" s="29" t="s">
        <v>60</v>
      </c>
      <c r="E28" s="29" t="s">
        <v>61</v>
      </c>
      <c r="F28" s="29" t="s">
        <v>62</v>
      </c>
      <c r="G28" s="29" t="s">
        <v>63</v>
      </c>
      <c r="H28" s="29" t="s">
        <v>64</v>
      </c>
      <c r="I28" s="29" t="s">
        <v>65</v>
      </c>
    </row>
    <row r="29" customFormat="false" ht="18" hidden="false" customHeight="true" outlineLevel="0" collapsed="false">
      <c r="A29" s="30" t="n">
        <v>1</v>
      </c>
      <c r="B29" s="31" t="s">
        <v>66</v>
      </c>
      <c r="C29" s="32" t="n">
        <f aca="false">IF(OR(IFERROR(INDEX(Plan!$J$6:$J$21,MATCH(Plan!$A$9,Plan!$A$6:$A$21,0)),"")="GESPERRT",IFERROR(INDEX(Plan!$L$6:$L$21,MATCH(Plan!$A$9,Plan!$A$6:$A$21,0)),"")=""),"",ROUND(IFERROR(INDEX(Plan!$L$6:$L$21,MATCH(Plan!$A$9,Plan!$A$6:$A$21,0)),"")*0.45*2,0)/2)</f>
        <v>36</v>
      </c>
      <c r="D29" s="33"/>
      <c r="E29" s="34"/>
      <c r="F29" s="34"/>
      <c r="G29" s="34"/>
      <c r="H29" s="34"/>
      <c r="I29" s="34"/>
    </row>
    <row r="30" customFormat="false" ht="18" hidden="false" customHeight="true" outlineLevel="0" collapsed="false">
      <c r="A30" s="30" t="n">
        <v>2</v>
      </c>
      <c r="B30" s="31" t="s">
        <v>66</v>
      </c>
      <c r="C30" s="32" t="n">
        <f aca="false">IF(OR(IFERROR(INDEX(Plan!$J$6:$J$21,MATCH(Plan!$A$9,Plan!$A$6:$A$21,0)),"")="GESPERRT",IFERROR(INDEX(Plan!$L$6:$L$21,MATCH(Plan!$A$9,Plan!$A$6:$A$21,0)),"")=""),"",ROUND(IFERROR(INDEX(Plan!$L$6:$L$21,MATCH(Plan!$A$9,Plan!$A$6:$A$21,0)),"")*0.7*2,0)/2)</f>
        <v>56</v>
      </c>
      <c r="D30" s="33"/>
      <c r="E30" s="34"/>
      <c r="F30" s="34"/>
      <c r="G30" s="34"/>
      <c r="H30" s="34"/>
      <c r="I30" s="34"/>
    </row>
    <row r="31" customFormat="false" ht="18" hidden="false" customHeight="true" outlineLevel="0" collapsed="false">
      <c r="A31" s="30" t="n">
        <v>3</v>
      </c>
      <c r="B31" s="35" t="s">
        <v>67</v>
      </c>
      <c r="C31" s="32" t="n">
        <f aca="false">IF(OR(IFERROR(INDEX(Plan!$J$6:$J$21,MATCH(Plan!$A$9,Plan!$A$6:$A$21,0)),"")="GESPERRT",IFERROR(INDEX(Plan!$L$6:$L$21,MATCH(Plan!$A$9,Plan!$A$6:$A$21,0)),"")=""),"",ROUND(IFERROR(INDEX(Plan!$L$6:$L$21,MATCH(Plan!$A$9,Plan!$A$6:$A$21,0)),"")*1*2,0)/2)</f>
        <v>80</v>
      </c>
      <c r="D31" s="36" t="n">
        <f aca="false">IF(OR(IFERROR(INDEX(Plan!$J$6:$J$21,MATCH(Plan!$A$9,Plan!$A$6:$A$21,0)),"")="GESPERRT",IFERROR(INDEX(Plan!$M$6:$M$21,MATCH(Plan!$A$9,Plan!$A$6:$A$21,0)),"")=""),"",IFERROR(INDEX(Plan!$M$6:$M$21,MATCH(Plan!$A$9,Plan!$A$6:$A$21,0)),""))</f>
        <v>12</v>
      </c>
      <c r="E31" s="34"/>
      <c r="F31" s="34"/>
      <c r="G31" s="34"/>
      <c r="H31" s="34"/>
      <c r="I31" s="34"/>
    </row>
    <row r="32" customFormat="false" ht="18" hidden="false" customHeight="true" outlineLevel="0" collapsed="false">
      <c r="A32" s="30" t="n">
        <v>4</v>
      </c>
      <c r="B32" s="35" t="s">
        <v>67</v>
      </c>
      <c r="C32" s="32" t="n">
        <f aca="false">IF(OR(IFERROR(INDEX(Plan!$J$6:$J$21,MATCH(Plan!$A$9,Plan!$A$6:$A$21,0)),"")="GESPERRT",IFERROR(INDEX(Plan!$L$6:$L$21,MATCH(Plan!$A$9,Plan!$A$6:$A$21,0)),"")=""),"",ROUND(IFERROR(INDEX(Plan!$L$6:$L$21,MATCH(Plan!$A$9,Plan!$A$6:$A$21,0)),"")*1*2,0)/2)</f>
        <v>80</v>
      </c>
      <c r="D32" s="36" t="n">
        <f aca="false">IF(OR(IFERROR(INDEX(Plan!$J$6:$J$21,MATCH(Plan!$A$9,Plan!$A$6:$A$21,0)),"")="GESPERRT",IFERROR(INDEX(Plan!$M$6:$M$21,MATCH(Plan!$A$9,Plan!$A$6:$A$21,0)),"")=""),"",IFERROR(INDEX(Plan!$M$6:$M$21,MATCH(Plan!$A$9,Plan!$A$6:$A$21,0)),""))</f>
        <v>12</v>
      </c>
      <c r="E32" s="34"/>
      <c r="F32" s="34"/>
      <c r="G32" s="34"/>
      <c r="H32" s="34"/>
      <c r="I32" s="34"/>
    </row>
    <row r="33" customFormat="false" ht="18" hidden="false" customHeight="true" outlineLevel="0" collapsed="false">
      <c r="A33" s="30" t="n">
        <v>5</v>
      </c>
      <c r="B33" s="31" t="s">
        <v>68</v>
      </c>
      <c r="C33" s="33"/>
      <c r="D33" s="33"/>
      <c r="E33" s="34"/>
      <c r="F33" s="34"/>
      <c r="G33" s="34"/>
      <c r="H33" s="34"/>
      <c r="I33" s="34"/>
    </row>
    <row r="35" customFormat="false" ht="18" hidden="false" customHeight="true" outlineLevel="0" collapsed="false">
      <c r="A35" s="26" t="str">
        <f aca="false">Plan!$A$10</f>
        <v>Adduktion</v>
      </c>
      <c r="B35" s="26"/>
      <c r="C35" s="26"/>
      <c r="D35" s="26"/>
      <c r="E35" s="26"/>
      <c r="F35" s="26"/>
      <c r="G35" s="26"/>
      <c r="H35" s="26"/>
      <c r="I35" s="26"/>
    </row>
    <row r="36" customFormat="false" ht="15.75" hidden="false" customHeight="true" outlineLevel="0" collapsed="false">
      <c r="A36"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36" s="27"/>
      <c r="C36" s="27"/>
      <c r="D36" s="27"/>
      <c r="E36" s="27"/>
      <c r="F36" s="27"/>
      <c r="G36" s="27"/>
      <c r="H36" s="27"/>
      <c r="I36" s="27"/>
    </row>
    <row r="37" customFormat="false" ht="13.5" hidden="false" customHeight="true" outlineLevel="0" collapsed="false">
      <c r="A37"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37" s="28"/>
      <c r="C37" s="28"/>
      <c r="D37" s="28"/>
      <c r="E37" s="28"/>
      <c r="F37" s="28"/>
      <c r="G37" s="28"/>
      <c r="H37" s="28"/>
      <c r="I37" s="28"/>
    </row>
    <row r="38" customFormat="false" ht="18" hidden="false" customHeight="true" outlineLevel="0" collapsed="false">
      <c r="A38" s="29" t="s">
        <v>57</v>
      </c>
      <c r="B38" s="29" t="s">
        <v>58</v>
      </c>
      <c r="C38" s="29" t="s">
        <v>59</v>
      </c>
      <c r="D38" s="29" t="s">
        <v>60</v>
      </c>
      <c r="E38" s="29" t="s">
        <v>61</v>
      </c>
      <c r="F38" s="29" t="s">
        <v>62</v>
      </c>
      <c r="G38" s="29" t="s">
        <v>63</v>
      </c>
      <c r="H38" s="29" t="s">
        <v>64</v>
      </c>
      <c r="I38" s="29" t="s">
        <v>65</v>
      </c>
    </row>
    <row r="39" customFormat="false" ht="18" hidden="false" customHeight="true" outlineLevel="0" collapsed="false">
      <c r="A39" s="30" t="n">
        <v>1</v>
      </c>
      <c r="B39" s="31" t="s">
        <v>66</v>
      </c>
      <c r="C39" s="32" t="n">
        <f aca="false">IF(OR(IFERROR(INDEX(Plan!$J$6:$J$21,MATCH(Plan!$A$10,Plan!$A$6:$A$21,0)),"")="GESPERRT",IFERROR(INDEX(Plan!$L$6:$L$21,MATCH(Plan!$A$10,Plan!$A$6:$A$21,0)),"")=""),"",ROUND(IFERROR(INDEX(Plan!$L$6:$L$21,MATCH(Plan!$A$10,Plan!$A$6:$A$21,0)),"")*0.45*2,0)/2)</f>
        <v>68.5</v>
      </c>
      <c r="D39" s="33"/>
      <c r="E39" s="34"/>
      <c r="F39" s="34"/>
      <c r="G39" s="34"/>
      <c r="H39" s="34"/>
      <c r="I39" s="34"/>
    </row>
    <row r="40" customFormat="false" ht="18" hidden="false" customHeight="true" outlineLevel="0" collapsed="false">
      <c r="A40" s="30" t="n">
        <v>2</v>
      </c>
      <c r="B40" s="31" t="s">
        <v>66</v>
      </c>
      <c r="C40" s="32" t="n">
        <f aca="false">IF(OR(IFERROR(INDEX(Plan!$J$6:$J$21,MATCH(Plan!$A$10,Plan!$A$6:$A$21,0)),"")="GESPERRT",IFERROR(INDEX(Plan!$L$6:$L$21,MATCH(Plan!$A$10,Plan!$A$6:$A$21,0)),"")=""),"",ROUND(IFERROR(INDEX(Plan!$L$6:$L$21,MATCH(Plan!$A$10,Plan!$A$6:$A$21,0)),"")*0.7*2,0)/2)</f>
        <v>107</v>
      </c>
      <c r="D40" s="33"/>
      <c r="E40" s="34"/>
      <c r="F40" s="34"/>
      <c r="G40" s="34"/>
      <c r="H40" s="34"/>
      <c r="I40" s="34"/>
    </row>
    <row r="41" customFormat="false" ht="18" hidden="false" customHeight="true" outlineLevel="0" collapsed="false">
      <c r="A41" s="30" t="n">
        <v>3</v>
      </c>
      <c r="B41" s="35" t="s">
        <v>67</v>
      </c>
      <c r="C41" s="32" t="n">
        <f aca="false">IF(OR(IFERROR(INDEX(Plan!$J$6:$J$21,MATCH(Plan!$A$10,Plan!$A$6:$A$21,0)),"")="GESPERRT",IFERROR(INDEX(Plan!$L$6:$L$21,MATCH(Plan!$A$10,Plan!$A$6:$A$21,0)),"")=""),"",ROUND(IFERROR(INDEX(Plan!$L$6:$L$21,MATCH(Plan!$A$10,Plan!$A$6:$A$21,0)),"")*1*2,0)/2)</f>
        <v>152.5</v>
      </c>
      <c r="D41" s="36" t="n">
        <f aca="false">IF(OR(IFERROR(INDEX(Plan!$J$6:$J$21,MATCH(Plan!$A$10,Plan!$A$6:$A$21,0)),"")="GESPERRT",IFERROR(INDEX(Plan!$M$6:$M$21,MATCH(Plan!$A$10,Plan!$A$6:$A$21,0)),"")=""),"",IFERROR(INDEX(Plan!$M$6:$M$21,MATCH(Plan!$A$10,Plan!$A$6:$A$21,0)),""))</f>
        <v>15</v>
      </c>
      <c r="E41" s="34"/>
      <c r="F41" s="34"/>
      <c r="G41" s="34"/>
      <c r="H41" s="34"/>
      <c r="I41" s="34"/>
    </row>
    <row r="42" customFormat="false" ht="18" hidden="false" customHeight="true" outlineLevel="0" collapsed="false">
      <c r="A42" s="30" t="n">
        <v>4</v>
      </c>
      <c r="B42" s="35" t="s">
        <v>67</v>
      </c>
      <c r="C42" s="32" t="n">
        <f aca="false">IF(OR(IFERROR(INDEX(Plan!$J$6:$J$21,MATCH(Plan!$A$10,Plan!$A$6:$A$21,0)),"")="GESPERRT",IFERROR(INDEX(Plan!$L$6:$L$21,MATCH(Plan!$A$10,Plan!$A$6:$A$21,0)),"")=""),"",ROUND(IFERROR(INDEX(Plan!$L$6:$L$21,MATCH(Plan!$A$10,Plan!$A$6:$A$21,0)),"")*1*2,0)/2)</f>
        <v>152.5</v>
      </c>
      <c r="D42" s="36" t="n">
        <f aca="false">IF(OR(IFERROR(INDEX(Plan!$J$6:$J$21,MATCH(Plan!$A$10,Plan!$A$6:$A$21,0)),"")="GESPERRT",IFERROR(INDEX(Plan!$M$6:$M$21,MATCH(Plan!$A$10,Plan!$A$6:$A$21,0)),"")=""),"",IFERROR(INDEX(Plan!$M$6:$M$21,MATCH(Plan!$A$10,Plan!$A$6:$A$21,0)),""))</f>
        <v>15</v>
      </c>
      <c r="E42" s="34"/>
      <c r="F42" s="34"/>
      <c r="G42" s="34"/>
      <c r="H42" s="34"/>
      <c r="I42" s="34"/>
    </row>
    <row r="43" customFormat="false" ht="18" hidden="false" customHeight="true" outlineLevel="0" collapsed="false">
      <c r="A43" s="30" t="n">
        <v>5</v>
      </c>
      <c r="B43" s="31" t="s">
        <v>68</v>
      </c>
      <c r="C43" s="33"/>
      <c r="D43" s="33"/>
      <c r="E43" s="34"/>
      <c r="F43" s="34"/>
      <c r="G43" s="34"/>
      <c r="H43" s="34"/>
      <c r="I43" s="34"/>
    </row>
    <row r="45" customFormat="false" ht="18" hidden="false" customHeight="true" outlineLevel="0" collapsed="false">
      <c r="A45" s="6" t="s">
        <v>69</v>
      </c>
      <c r="B45" s="6"/>
      <c r="C45" s="6"/>
      <c r="D45" s="6"/>
      <c r="E45" s="6"/>
      <c r="F45" s="6"/>
      <c r="G45" s="6"/>
      <c r="H45" s="6"/>
      <c r="I45" s="6"/>
    </row>
    <row r="46" customFormat="false" ht="16.5" hidden="false" customHeight="true" outlineLevel="0" collapsed="false">
      <c r="A46" s="37"/>
      <c r="B46" s="37"/>
      <c r="C46" s="37"/>
      <c r="D46" s="37"/>
      <c r="E46" s="37"/>
      <c r="F46" s="37"/>
      <c r="G46" s="37"/>
      <c r="H46" s="37"/>
      <c r="I46" s="37"/>
    </row>
    <row r="47" customFormat="false" ht="16.5" hidden="false" customHeight="true" outlineLevel="0" collapsed="false">
      <c r="A47" s="37"/>
      <c r="B47" s="37"/>
      <c r="C47" s="37"/>
      <c r="D47" s="37"/>
      <c r="E47" s="37"/>
      <c r="F47" s="37"/>
      <c r="G47" s="37"/>
      <c r="H47" s="37"/>
      <c r="I47" s="37"/>
    </row>
    <row r="49" customFormat="false" ht="25.5" hidden="false" customHeight="true" outlineLevel="0" collapsed="false">
      <c r="A49" s="1" t="s">
        <v>70</v>
      </c>
      <c r="B49" s="1"/>
      <c r="C49" s="1"/>
      <c r="D49" s="1"/>
      <c r="E49" s="1"/>
      <c r="F49" s="1"/>
      <c r="G49" s="1"/>
      <c r="H49" s="1"/>
      <c r="I49" s="1"/>
    </row>
    <row r="50" customFormat="false" ht="12" hidden="false" customHeight="true" outlineLevel="0" collapsed="false">
      <c r="A50" s="23" t="s">
        <v>52</v>
      </c>
      <c r="B50" s="23"/>
      <c r="C50" s="24" t="s">
        <v>53</v>
      </c>
      <c r="D50" s="23" t="s">
        <v>54</v>
      </c>
      <c r="E50" s="23"/>
      <c r="F50" s="23" t="s">
        <v>55</v>
      </c>
      <c r="G50" s="23"/>
      <c r="H50" s="23" t="s">
        <v>56</v>
      </c>
      <c r="I50" s="23"/>
    </row>
    <row r="51" customFormat="false" ht="18" hidden="false" customHeight="true" outlineLevel="0" collapsed="false">
      <c r="A51" s="25"/>
      <c r="B51" s="25"/>
      <c r="C51" s="25"/>
      <c r="D51" s="25"/>
      <c r="E51" s="25"/>
      <c r="F51" s="25"/>
      <c r="G51" s="25"/>
      <c r="H51" s="25"/>
      <c r="I51" s="25"/>
    </row>
    <row r="53" customFormat="false" ht="18" hidden="false" customHeight="true" outlineLevel="0" collapsed="false">
      <c r="A53" s="26" t="str">
        <f aca="false">Plan!$A$13</f>
        <v>Rumänisches Kreuzheben</v>
      </c>
      <c r="B53" s="26"/>
      <c r="C53" s="26"/>
      <c r="D53" s="26"/>
      <c r="E53" s="26"/>
      <c r="F53" s="26"/>
      <c r="G53" s="26"/>
      <c r="H53" s="26"/>
      <c r="I53" s="26"/>
    </row>
    <row r="54" customFormat="false" ht="15.75" hidden="false" customHeight="true" outlineLevel="0" collapsed="false">
      <c r="A54"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GESPERRT bis Woche 12 nach OP     ·     3 Sätze</v>
      </c>
      <c r="B54" s="27"/>
      <c r="C54" s="27"/>
      <c r="D54" s="27"/>
      <c r="E54" s="27"/>
      <c r="F54" s="27"/>
      <c r="G54" s="27"/>
      <c r="H54" s="27"/>
      <c r="I54" s="27"/>
    </row>
    <row r="55" customFormat="false" ht="13.5" hidden="false" customHeight="true" outlineLevel="0" collapsed="false">
      <c r="A55" s="28" t="str">
        <f aca="false">IF(IFERROR(INDEX(Plan!$K$6:$K$21,MATCH(Plan!$A$13,Plan!$A$6:$A$21,0)),"")="","","zuletzt "&amp;IFERROR(INDEX(Plan!$K$6:$K$21,MATCH(Plan!$A$13,Plan!$A$6:$A$21,0)),"")&amp;"     ·     ")&amp;IF(IFERROR(INDEX(Plan!$N$6:$N$21,MATCH(Plan!$A$13,Plan!$A$6:$A$21,0)),"")="","",IFERROR(INDEX(Plan!$N$6:$N$21,MATCH(Plan!$A$13,Plan!$A$6:$A$21,0)),""))</f>
        <v/>
      </c>
      <c r="B55" s="28"/>
      <c r="C55" s="28"/>
      <c r="D55" s="28"/>
      <c r="E55" s="28"/>
      <c r="F55" s="28"/>
      <c r="G55" s="28"/>
      <c r="H55" s="28"/>
      <c r="I55" s="28"/>
    </row>
    <row r="56" customFormat="false" ht="18" hidden="false" customHeight="true" outlineLevel="0" collapsed="false">
      <c r="A56" s="29" t="s">
        <v>57</v>
      </c>
      <c r="B56" s="29" t="s">
        <v>58</v>
      </c>
      <c r="C56" s="29" t="s">
        <v>59</v>
      </c>
      <c r="D56" s="29" t="s">
        <v>60</v>
      </c>
      <c r="E56" s="29" t="s">
        <v>61</v>
      </c>
      <c r="F56" s="29" t="s">
        <v>62</v>
      </c>
      <c r="G56" s="29" t="s">
        <v>63</v>
      </c>
      <c r="H56" s="29" t="s">
        <v>64</v>
      </c>
      <c r="I56" s="29" t="s">
        <v>65</v>
      </c>
    </row>
    <row r="57" customFormat="false" ht="18" hidden="false" customHeight="true" outlineLevel="0" collapsed="false">
      <c r="A57" s="30" t="n">
        <v>1</v>
      </c>
      <c r="B57" s="31" t="s">
        <v>66</v>
      </c>
      <c r="C57" s="32" t="str">
        <f aca="false">IF(OR(IFERROR(INDEX(Plan!$J$6:$J$21,MATCH(Plan!$A$13,Plan!$A$6:$A$21,0)),"")="GESPERRT",IFERROR(INDEX(Plan!$L$6:$L$21,MATCH(Plan!$A$13,Plan!$A$6:$A$21,0)),"")=""),"",ROUND(IFERROR(INDEX(Plan!$L$6:$L$21,MATCH(Plan!$A$13,Plan!$A$6:$A$21,0)),"")*0.45*2,0)/2)</f>
        <v/>
      </c>
      <c r="D57" s="33"/>
      <c r="E57" s="34"/>
      <c r="F57" s="34"/>
      <c r="G57" s="34"/>
      <c r="H57" s="34"/>
      <c r="I57" s="34"/>
    </row>
    <row r="58" customFormat="false" ht="18" hidden="false" customHeight="true" outlineLevel="0" collapsed="false">
      <c r="A58" s="30" t="n">
        <v>2</v>
      </c>
      <c r="B58" s="31" t="s">
        <v>66</v>
      </c>
      <c r="C58" s="32" t="str">
        <f aca="false">IF(OR(IFERROR(INDEX(Plan!$J$6:$J$21,MATCH(Plan!$A$13,Plan!$A$6:$A$21,0)),"")="GESPERRT",IFERROR(INDEX(Plan!$L$6:$L$21,MATCH(Plan!$A$13,Plan!$A$6:$A$21,0)),"")=""),"",ROUND(IFERROR(INDEX(Plan!$L$6:$L$21,MATCH(Plan!$A$13,Plan!$A$6:$A$21,0)),"")*0.7*2,0)/2)</f>
        <v/>
      </c>
      <c r="D58" s="33"/>
      <c r="E58" s="34"/>
      <c r="F58" s="34"/>
      <c r="G58" s="34"/>
      <c r="H58" s="34"/>
      <c r="I58" s="34"/>
    </row>
    <row r="59" customFormat="false" ht="18" hidden="false" customHeight="true" outlineLevel="0" collapsed="false">
      <c r="A59" s="30" t="n">
        <v>3</v>
      </c>
      <c r="B59" s="35" t="s">
        <v>67</v>
      </c>
      <c r="C59" s="32" t="str">
        <f aca="false">IF(OR(IFERROR(INDEX(Plan!$J$6:$J$21,MATCH(Plan!$A$13,Plan!$A$6:$A$21,0)),"")="GESPERRT",IFERROR(INDEX(Plan!$L$6:$L$21,MATCH(Plan!$A$13,Plan!$A$6:$A$21,0)),"")=""),"",ROUND(IFERROR(INDEX(Plan!$L$6:$L$21,MATCH(Plan!$A$13,Plan!$A$6:$A$21,0)),"")*1*2,0)/2)</f>
        <v/>
      </c>
      <c r="D59" s="36" t="str">
        <f aca="false">IF(OR(IFERROR(INDEX(Plan!$J$6:$J$21,MATCH(Plan!$A$13,Plan!$A$6:$A$21,0)),"")="GESPERRT",IFERROR(INDEX(Plan!$M$6:$M$21,MATCH(Plan!$A$13,Plan!$A$6:$A$21,0)),"")=""),"",IFERROR(INDEX(Plan!$M$6:$M$21,MATCH(Plan!$A$13,Plan!$A$6:$A$21,0)),""))</f>
        <v/>
      </c>
      <c r="E59" s="34"/>
      <c r="F59" s="34"/>
      <c r="G59" s="34"/>
      <c r="H59" s="34"/>
      <c r="I59" s="34"/>
    </row>
    <row r="60" customFormat="false" ht="18" hidden="false" customHeight="true" outlineLevel="0" collapsed="false">
      <c r="A60" s="30" t="n">
        <v>4</v>
      </c>
      <c r="B60" s="35" t="s">
        <v>67</v>
      </c>
      <c r="C60" s="32" t="str">
        <f aca="false">IF(OR(IFERROR(INDEX(Plan!$J$6:$J$21,MATCH(Plan!$A$13,Plan!$A$6:$A$21,0)),"")="GESPERRT",IFERROR(INDEX(Plan!$L$6:$L$21,MATCH(Plan!$A$13,Plan!$A$6:$A$21,0)),"")=""),"",ROUND(IFERROR(INDEX(Plan!$L$6:$L$21,MATCH(Plan!$A$13,Plan!$A$6:$A$21,0)),"")*1*2,0)/2)</f>
        <v/>
      </c>
      <c r="D60" s="36" t="str">
        <f aca="false">IF(OR(IFERROR(INDEX(Plan!$J$6:$J$21,MATCH(Plan!$A$13,Plan!$A$6:$A$21,0)),"")="GESPERRT",IFERROR(INDEX(Plan!$M$6:$M$21,MATCH(Plan!$A$13,Plan!$A$6:$A$21,0)),"")=""),"",IFERROR(INDEX(Plan!$M$6:$M$21,MATCH(Plan!$A$13,Plan!$A$6:$A$21,0)),""))</f>
        <v/>
      </c>
      <c r="E60" s="34"/>
      <c r="F60" s="34"/>
      <c r="G60" s="34"/>
      <c r="H60" s="34"/>
      <c r="I60" s="34"/>
    </row>
    <row r="61" customFormat="false" ht="18" hidden="false" customHeight="true" outlineLevel="0" collapsed="false">
      <c r="A61" s="30" t="n">
        <v>5</v>
      </c>
      <c r="B61" s="35" t="s">
        <v>67</v>
      </c>
      <c r="C61" s="32" t="str">
        <f aca="false">IF(OR(IFERROR(INDEX(Plan!$J$6:$J$21,MATCH(Plan!$A$13,Plan!$A$6:$A$21,0)),"")="GESPERRT",IFERROR(INDEX(Plan!$L$6:$L$21,MATCH(Plan!$A$13,Plan!$A$6:$A$21,0)),"")=""),"",ROUND(IFERROR(INDEX(Plan!$L$6:$L$21,MATCH(Plan!$A$13,Plan!$A$6:$A$21,0)),"")*1*2,0)/2)</f>
        <v/>
      </c>
      <c r="D61" s="36" t="str">
        <f aca="false">IF(OR(IFERROR(INDEX(Plan!$J$6:$J$21,MATCH(Plan!$A$13,Plan!$A$6:$A$21,0)),"")="GESPERRT",IFERROR(INDEX(Plan!$M$6:$M$21,MATCH(Plan!$A$13,Plan!$A$6:$A$21,0)),"")=""),"",IFERROR(INDEX(Plan!$M$6:$M$21,MATCH(Plan!$A$13,Plan!$A$6:$A$21,0)),""))</f>
        <v/>
      </c>
      <c r="E61" s="34"/>
      <c r="F61" s="34"/>
      <c r="G61" s="34"/>
      <c r="H61" s="34"/>
      <c r="I61" s="34"/>
    </row>
    <row r="63" customFormat="false" ht="18" hidden="false" customHeight="true" outlineLevel="0" collapsed="false">
      <c r="A63" s="26" t="str">
        <f aca="false">Plan!$A$14</f>
        <v>Hip Thrust</v>
      </c>
      <c r="B63" s="26"/>
      <c r="C63" s="26"/>
      <c r="D63" s="26"/>
      <c r="E63" s="26"/>
      <c r="F63" s="26"/>
      <c r="G63" s="26"/>
      <c r="H63" s="26"/>
      <c r="I63" s="26"/>
    </row>
    <row r="64" customFormat="false" ht="15.75" hidden="false" customHeight="true" outlineLevel="0" collapsed="false">
      <c r="A64"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GESPERRT bis Woche 4 nach OP     ·     3 Sätze</v>
      </c>
      <c r="B64" s="27"/>
      <c r="C64" s="27"/>
      <c r="D64" s="27"/>
      <c r="E64" s="27"/>
      <c r="F64" s="27"/>
      <c r="G64" s="27"/>
      <c r="H64" s="27"/>
      <c r="I64" s="27"/>
    </row>
    <row r="65" customFormat="false" ht="13.5" hidden="false" customHeight="true" outlineLevel="0" collapsed="false">
      <c r="A65" s="28" t="str">
        <f aca="false">IF(IFERROR(INDEX(Plan!$K$6:$K$21,MATCH(Plan!$A$14,Plan!$A$6:$A$21,0)),"")="","","zuletzt "&amp;IFERROR(INDEX(Plan!$K$6:$K$21,MATCH(Plan!$A$14,Plan!$A$6:$A$21,0)),"")&amp;"     ·     ")&amp;IF(IFERROR(INDEX(Plan!$N$6:$N$21,MATCH(Plan!$A$14,Plan!$A$6:$A$21,0)),"")="","",IFERROR(INDEX(Plan!$N$6:$N$21,MATCH(Plan!$A$14,Plan!$A$6:$A$21,0)),""))</f>
        <v>zuletzt 270 kg × 8 Wdh     ·     Wdh +1 auf 9</v>
      </c>
      <c r="B65" s="28"/>
      <c r="C65" s="28"/>
      <c r="D65" s="28"/>
      <c r="E65" s="28"/>
      <c r="F65" s="28"/>
      <c r="G65" s="28"/>
      <c r="H65" s="28"/>
      <c r="I65" s="28"/>
    </row>
    <row r="66" customFormat="false" ht="18" hidden="false" customHeight="true" outlineLevel="0" collapsed="false">
      <c r="A66" s="29" t="s">
        <v>57</v>
      </c>
      <c r="B66" s="29" t="s">
        <v>58</v>
      </c>
      <c r="C66" s="29" t="s">
        <v>59</v>
      </c>
      <c r="D66" s="29" t="s">
        <v>60</v>
      </c>
      <c r="E66" s="29" t="s">
        <v>61</v>
      </c>
      <c r="F66" s="29" t="s">
        <v>62</v>
      </c>
      <c r="G66" s="29" t="s">
        <v>63</v>
      </c>
      <c r="H66" s="29" t="s">
        <v>64</v>
      </c>
      <c r="I66" s="29" t="s">
        <v>65</v>
      </c>
    </row>
    <row r="67" customFormat="false" ht="18" hidden="false" customHeight="true" outlineLevel="0" collapsed="false">
      <c r="A67" s="30" t="n">
        <v>1</v>
      </c>
      <c r="B67" s="31" t="s">
        <v>66</v>
      </c>
      <c r="C67" s="32" t="str">
        <f aca="false">IF(OR(IFERROR(INDEX(Plan!$J$6:$J$21,MATCH(Plan!$A$14,Plan!$A$6:$A$21,0)),"")="GESPERRT",IFERROR(INDEX(Plan!$L$6:$L$21,MATCH(Plan!$A$14,Plan!$A$6:$A$21,0)),"")=""),"",ROUND(IFERROR(INDEX(Plan!$L$6:$L$21,MATCH(Plan!$A$14,Plan!$A$6:$A$21,0)),"")*0.45*2,0)/2)</f>
        <v/>
      </c>
      <c r="D67" s="33"/>
      <c r="E67" s="34"/>
      <c r="F67" s="34"/>
      <c r="G67" s="34"/>
      <c r="H67" s="34"/>
      <c r="I67" s="34"/>
    </row>
    <row r="68" customFormat="false" ht="18" hidden="false" customHeight="true" outlineLevel="0" collapsed="false">
      <c r="A68" s="30" t="n">
        <v>2</v>
      </c>
      <c r="B68" s="31" t="s">
        <v>66</v>
      </c>
      <c r="C68" s="32" t="str">
        <f aca="false">IF(OR(IFERROR(INDEX(Plan!$J$6:$J$21,MATCH(Plan!$A$14,Plan!$A$6:$A$21,0)),"")="GESPERRT",IFERROR(INDEX(Plan!$L$6:$L$21,MATCH(Plan!$A$14,Plan!$A$6:$A$21,0)),"")=""),"",ROUND(IFERROR(INDEX(Plan!$L$6:$L$21,MATCH(Plan!$A$14,Plan!$A$6:$A$21,0)),"")*0.7*2,0)/2)</f>
        <v/>
      </c>
      <c r="D68" s="33"/>
      <c r="E68" s="34"/>
      <c r="F68" s="34"/>
      <c r="G68" s="34"/>
      <c r="H68" s="34"/>
      <c r="I68" s="34"/>
    </row>
    <row r="69" customFormat="false" ht="18" hidden="false" customHeight="true" outlineLevel="0" collapsed="false">
      <c r="A69" s="30" t="n">
        <v>3</v>
      </c>
      <c r="B69" s="35" t="s">
        <v>67</v>
      </c>
      <c r="C69" s="32" t="str">
        <f aca="false">IF(OR(IFERROR(INDEX(Plan!$J$6:$J$21,MATCH(Plan!$A$14,Plan!$A$6:$A$21,0)),"")="GESPERRT",IFERROR(INDEX(Plan!$L$6:$L$21,MATCH(Plan!$A$14,Plan!$A$6:$A$21,0)),"")=""),"",ROUND(IFERROR(INDEX(Plan!$L$6:$L$21,MATCH(Plan!$A$14,Plan!$A$6:$A$21,0)),"")*1*2,0)/2)</f>
        <v/>
      </c>
      <c r="D69" s="36" t="str">
        <f aca="false">IF(OR(IFERROR(INDEX(Plan!$J$6:$J$21,MATCH(Plan!$A$14,Plan!$A$6:$A$21,0)),"")="GESPERRT",IFERROR(INDEX(Plan!$M$6:$M$21,MATCH(Plan!$A$14,Plan!$A$6:$A$21,0)),"")=""),"",IFERROR(INDEX(Plan!$M$6:$M$21,MATCH(Plan!$A$14,Plan!$A$6:$A$21,0)),""))</f>
        <v/>
      </c>
      <c r="E69" s="34"/>
      <c r="F69" s="34"/>
      <c r="G69" s="34"/>
      <c r="H69" s="34"/>
      <c r="I69" s="34"/>
    </row>
    <row r="70" customFormat="false" ht="18" hidden="false" customHeight="true" outlineLevel="0" collapsed="false">
      <c r="A70" s="30" t="n">
        <v>4</v>
      </c>
      <c r="B70" s="35" t="s">
        <v>67</v>
      </c>
      <c r="C70" s="32" t="str">
        <f aca="false">IF(OR(IFERROR(INDEX(Plan!$J$6:$J$21,MATCH(Plan!$A$14,Plan!$A$6:$A$21,0)),"")="GESPERRT",IFERROR(INDEX(Plan!$L$6:$L$21,MATCH(Plan!$A$14,Plan!$A$6:$A$21,0)),"")=""),"",ROUND(IFERROR(INDEX(Plan!$L$6:$L$21,MATCH(Plan!$A$14,Plan!$A$6:$A$21,0)),"")*1*2,0)/2)</f>
        <v/>
      </c>
      <c r="D70" s="36" t="str">
        <f aca="false">IF(OR(IFERROR(INDEX(Plan!$J$6:$J$21,MATCH(Plan!$A$14,Plan!$A$6:$A$21,0)),"")="GESPERRT",IFERROR(INDEX(Plan!$M$6:$M$21,MATCH(Plan!$A$14,Plan!$A$6:$A$21,0)),"")=""),"",IFERROR(INDEX(Plan!$M$6:$M$21,MATCH(Plan!$A$14,Plan!$A$6:$A$21,0)),""))</f>
        <v/>
      </c>
      <c r="E70" s="34"/>
      <c r="F70" s="34"/>
      <c r="G70" s="34"/>
      <c r="H70" s="34"/>
      <c r="I70" s="34"/>
    </row>
    <row r="71" customFormat="false" ht="18" hidden="false" customHeight="true" outlineLevel="0" collapsed="false">
      <c r="A71" s="30" t="n">
        <v>5</v>
      </c>
      <c r="B71" s="35" t="s">
        <v>67</v>
      </c>
      <c r="C71" s="32" t="str">
        <f aca="false">IF(OR(IFERROR(INDEX(Plan!$J$6:$J$21,MATCH(Plan!$A$14,Plan!$A$6:$A$21,0)),"")="GESPERRT",IFERROR(INDEX(Plan!$L$6:$L$21,MATCH(Plan!$A$14,Plan!$A$6:$A$21,0)),"")=""),"",ROUND(IFERROR(INDEX(Plan!$L$6:$L$21,MATCH(Plan!$A$14,Plan!$A$6:$A$21,0)),"")*1*2,0)/2)</f>
        <v/>
      </c>
      <c r="D71" s="36" t="str">
        <f aca="false">IF(OR(IFERROR(INDEX(Plan!$J$6:$J$21,MATCH(Plan!$A$14,Plan!$A$6:$A$21,0)),"")="GESPERRT",IFERROR(INDEX(Plan!$M$6:$M$21,MATCH(Plan!$A$14,Plan!$A$6:$A$21,0)),"")=""),"",IFERROR(INDEX(Plan!$M$6:$M$21,MATCH(Plan!$A$14,Plan!$A$6:$A$21,0)),""))</f>
        <v/>
      </c>
      <c r="E71" s="34"/>
      <c r="F71" s="34"/>
      <c r="G71" s="34"/>
      <c r="H71" s="34"/>
      <c r="I71" s="34"/>
    </row>
    <row r="73" customFormat="false" ht="18" hidden="false" customHeight="true" outlineLevel="0" collapsed="false">
      <c r="A73" s="26" t="str">
        <f aca="false">Plan!$A$15</f>
        <v>Beinbeuger</v>
      </c>
      <c r="B73" s="26"/>
      <c r="C73" s="26"/>
      <c r="D73" s="26"/>
      <c r="E73" s="26"/>
      <c r="F73" s="26"/>
      <c r="G73" s="26"/>
      <c r="H73" s="26"/>
      <c r="I73" s="26"/>
    </row>
    <row r="74" customFormat="false" ht="15.75" hidden="false" customHeight="true" outlineLevel="0" collapsed="false">
      <c r="A74"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74" s="27"/>
      <c r="C74" s="27"/>
      <c r="D74" s="27"/>
      <c r="E74" s="27"/>
      <c r="F74" s="27"/>
      <c r="G74" s="27"/>
      <c r="H74" s="27"/>
      <c r="I74" s="27"/>
    </row>
    <row r="75" customFormat="false" ht="13.5" hidden="false" customHeight="true" outlineLevel="0" collapsed="false">
      <c r="A75"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75" s="28"/>
      <c r="C75" s="28"/>
      <c r="D75" s="28"/>
      <c r="E75" s="28"/>
      <c r="F75" s="28"/>
      <c r="G75" s="28"/>
      <c r="H75" s="28"/>
      <c r="I75" s="28"/>
    </row>
    <row r="76" customFormat="false" ht="18" hidden="false" customHeight="true" outlineLevel="0" collapsed="false">
      <c r="A76" s="29" t="s">
        <v>57</v>
      </c>
      <c r="B76" s="29" t="s">
        <v>58</v>
      </c>
      <c r="C76" s="29" t="s">
        <v>59</v>
      </c>
      <c r="D76" s="29" t="s">
        <v>60</v>
      </c>
      <c r="E76" s="29" t="s">
        <v>61</v>
      </c>
      <c r="F76" s="29" t="s">
        <v>62</v>
      </c>
      <c r="G76" s="29" t="s">
        <v>63</v>
      </c>
      <c r="H76" s="29" t="s">
        <v>64</v>
      </c>
      <c r="I76" s="29" t="s">
        <v>65</v>
      </c>
    </row>
    <row r="77" customFormat="false" ht="18" hidden="false" customHeight="true" outlineLevel="0" collapsed="false">
      <c r="A77" s="30" t="n">
        <v>1</v>
      </c>
      <c r="B77" s="31" t="s">
        <v>66</v>
      </c>
      <c r="C77" s="32" t="n">
        <f aca="false">IF(OR(IFERROR(INDEX(Plan!$J$6:$J$21,MATCH(Plan!$A$15,Plan!$A$6:$A$21,0)),"")="GESPERRT",IFERROR(INDEX(Plan!$L$6:$L$21,MATCH(Plan!$A$15,Plan!$A$6:$A$21,0)),"")=""),"",ROUND(IFERROR(INDEX(Plan!$L$6:$L$21,MATCH(Plan!$A$15,Plan!$A$6:$A$21,0)),"")*0.45*2,0)/2)</f>
        <v>22.5</v>
      </c>
      <c r="D77" s="33"/>
      <c r="E77" s="34"/>
      <c r="F77" s="34"/>
      <c r="G77" s="34"/>
      <c r="H77" s="34"/>
      <c r="I77" s="34"/>
    </row>
    <row r="78" customFormat="false" ht="18" hidden="false" customHeight="true" outlineLevel="0" collapsed="false">
      <c r="A78" s="30" t="n">
        <v>2</v>
      </c>
      <c r="B78" s="31" t="s">
        <v>66</v>
      </c>
      <c r="C78" s="32" t="n">
        <f aca="false">IF(OR(IFERROR(INDEX(Plan!$J$6:$J$21,MATCH(Plan!$A$15,Plan!$A$6:$A$21,0)),"")="GESPERRT",IFERROR(INDEX(Plan!$L$6:$L$21,MATCH(Plan!$A$15,Plan!$A$6:$A$21,0)),"")=""),"",ROUND(IFERROR(INDEX(Plan!$L$6:$L$21,MATCH(Plan!$A$15,Plan!$A$6:$A$21,0)),"")*0.7*2,0)/2)</f>
        <v>35</v>
      </c>
      <c r="D78" s="33"/>
      <c r="E78" s="34"/>
      <c r="F78" s="34"/>
      <c r="G78" s="34"/>
      <c r="H78" s="34"/>
      <c r="I78" s="34"/>
    </row>
    <row r="79" customFormat="false" ht="18" hidden="false" customHeight="true" outlineLevel="0" collapsed="false">
      <c r="A79" s="30" t="n">
        <v>3</v>
      </c>
      <c r="B79" s="35" t="s">
        <v>67</v>
      </c>
      <c r="C79" s="32" t="n">
        <f aca="false">IF(OR(IFERROR(INDEX(Plan!$J$6:$J$21,MATCH(Plan!$A$15,Plan!$A$6:$A$21,0)),"")="GESPERRT",IFERROR(INDEX(Plan!$L$6:$L$21,MATCH(Plan!$A$15,Plan!$A$6:$A$21,0)),"")=""),"",ROUND(IFERROR(INDEX(Plan!$L$6:$L$21,MATCH(Plan!$A$15,Plan!$A$6:$A$21,0)),"")*1*2,0)/2)</f>
        <v>50</v>
      </c>
      <c r="D79" s="36" t="n">
        <f aca="false">IF(OR(IFERROR(INDEX(Plan!$J$6:$J$21,MATCH(Plan!$A$15,Plan!$A$6:$A$21,0)),"")="GESPERRT",IFERROR(INDEX(Plan!$M$6:$M$21,MATCH(Plan!$A$15,Plan!$A$6:$A$21,0)),"")=""),"",IFERROR(INDEX(Plan!$M$6:$M$21,MATCH(Plan!$A$15,Plan!$A$6:$A$21,0)),""))</f>
        <v>10</v>
      </c>
      <c r="E79" s="34"/>
      <c r="F79" s="34"/>
      <c r="G79" s="34"/>
      <c r="H79" s="34"/>
      <c r="I79" s="34"/>
    </row>
    <row r="80" customFormat="false" ht="18" hidden="false" customHeight="true" outlineLevel="0" collapsed="false">
      <c r="A80" s="30" t="n">
        <v>4</v>
      </c>
      <c r="B80" s="35" t="s">
        <v>67</v>
      </c>
      <c r="C80" s="32" t="n">
        <f aca="false">IF(OR(IFERROR(INDEX(Plan!$J$6:$J$21,MATCH(Plan!$A$15,Plan!$A$6:$A$21,0)),"")="GESPERRT",IFERROR(INDEX(Plan!$L$6:$L$21,MATCH(Plan!$A$15,Plan!$A$6:$A$21,0)),"")=""),"",ROUND(IFERROR(INDEX(Plan!$L$6:$L$21,MATCH(Plan!$A$15,Plan!$A$6:$A$21,0)),"")*1*2,0)/2)</f>
        <v>50</v>
      </c>
      <c r="D80" s="36" t="n">
        <f aca="false">IF(OR(IFERROR(INDEX(Plan!$J$6:$J$21,MATCH(Plan!$A$15,Plan!$A$6:$A$21,0)),"")="GESPERRT",IFERROR(INDEX(Plan!$M$6:$M$21,MATCH(Plan!$A$15,Plan!$A$6:$A$21,0)),"")=""),"",IFERROR(INDEX(Plan!$M$6:$M$21,MATCH(Plan!$A$15,Plan!$A$6:$A$21,0)),""))</f>
        <v>10</v>
      </c>
      <c r="E80" s="34"/>
      <c r="F80" s="34"/>
      <c r="G80" s="34"/>
      <c r="H80" s="34"/>
      <c r="I80" s="34"/>
    </row>
    <row r="81" customFormat="false" ht="18" hidden="false" customHeight="true" outlineLevel="0" collapsed="false">
      <c r="A81" s="30" t="n">
        <v>5</v>
      </c>
      <c r="B81" s="31" t="s">
        <v>68</v>
      </c>
      <c r="C81" s="33"/>
      <c r="D81" s="33"/>
      <c r="E81" s="34"/>
      <c r="F81" s="34"/>
      <c r="G81" s="34"/>
      <c r="H81" s="34"/>
      <c r="I81" s="34"/>
    </row>
    <row r="83" customFormat="false" ht="18" hidden="false" customHeight="true" outlineLevel="0" collapsed="false">
      <c r="A83" s="26" t="str">
        <f aca="false">Plan!$A$16</f>
        <v>Seitliche Kickbacks</v>
      </c>
      <c r="B83" s="26"/>
      <c r="C83" s="26"/>
      <c r="D83" s="26"/>
      <c r="E83" s="26"/>
      <c r="F83" s="26"/>
      <c r="G83" s="26"/>
      <c r="H83" s="26"/>
      <c r="I83" s="26"/>
    </row>
    <row r="84" customFormat="false" ht="15.75" hidden="false" customHeight="true" outlineLevel="0" collapsed="false">
      <c r="A84"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GESPERRT bis Woche 2 nach OP     ·     3 Sätze</v>
      </c>
      <c r="B84" s="27"/>
      <c r="C84" s="27"/>
      <c r="D84" s="27"/>
      <c r="E84" s="27"/>
      <c r="F84" s="27"/>
      <c r="G84" s="27"/>
      <c r="H84" s="27"/>
      <c r="I84" s="27"/>
    </row>
    <row r="85" customFormat="false" ht="13.5" hidden="false" customHeight="true" outlineLevel="0" collapsed="false">
      <c r="A85" s="28" t="str">
        <f aca="false">IF(IFERROR(INDEX(Plan!$K$6:$K$21,MATCH(Plan!$A$16,Plan!$A$6:$A$21,0)),"")="","","zuletzt "&amp;IFERROR(INDEX(Plan!$K$6:$K$21,MATCH(Plan!$A$16,Plan!$A$6:$A$21,0)),"")&amp;"     ·     ")&amp;IF(IFERROR(INDEX(Plan!$N$6:$N$21,MATCH(Plan!$A$16,Plan!$A$6:$A$21,0)),"")="","",IFERROR(INDEX(Plan!$N$6:$N$21,MATCH(Plan!$A$16,Plan!$A$6:$A$21,0)),""))</f>
        <v>zuletzt 35 kg × 15 Wdh     ·     Wdh +1 auf 16</v>
      </c>
      <c r="B85" s="28"/>
      <c r="C85" s="28"/>
      <c r="D85" s="28"/>
      <c r="E85" s="28"/>
      <c r="F85" s="28"/>
      <c r="G85" s="28"/>
      <c r="H85" s="28"/>
      <c r="I85" s="28"/>
    </row>
    <row r="86" customFormat="false" ht="18" hidden="false" customHeight="true" outlineLevel="0" collapsed="false">
      <c r="A86" s="29" t="s">
        <v>57</v>
      </c>
      <c r="B86" s="29" t="s">
        <v>58</v>
      </c>
      <c r="C86" s="29" t="s">
        <v>59</v>
      </c>
      <c r="D86" s="29" t="s">
        <v>60</v>
      </c>
      <c r="E86" s="29" t="s">
        <v>61</v>
      </c>
      <c r="F86" s="29" t="s">
        <v>62</v>
      </c>
      <c r="G86" s="29" t="s">
        <v>63</v>
      </c>
      <c r="H86" s="29" t="s">
        <v>64</v>
      </c>
      <c r="I86" s="29" t="s">
        <v>65</v>
      </c>
    </row>
    <row r="87" customFormat="false" ht="18" hidden="false" customHeight="true" outlineLevel="0" collapsed="false">
      <c r="A87" s="30" t="n">
        <v>1</v>
      </c>
      <c r="B87" s="31" t="s">
        <v>66</v>
      </c>
      <c r="C87" s="32" t="str">
        <f aca="false">IF(OR(IFERROR(INDEX(Plan!$J$6:$J$21,MATCH(Plan!$A$16,Plan!$A$6:$A$21,0)),"")="GESPERRT",IFERROR(INDEX(Plan!$L$6:$L$21,MATCH(Plan!$A$16,Plan!$A$6:$A$21,0)),"")=""),"",ROUND(IFERROR(INDEX(Plan!$L$6:$L$21,MATCH(Plan!$A$16,Plan!$A$6:$A$21,0)),"")*0.45*2,0)/2)</f>
        <v/>
      </c>
      <c r="D87" s="33"/>
      <c r="E87" s="34"/>
      <c r="F87" s="34"/>
      <c r="G87" s="34"/>
      <c r="H87" s="34"/>
      <c r="I87" s="34"/>
    </row>
    <row r="88" customFormat="false" ht="18" hidden="false" customHeight="true" outlineLevel="0" collapsed="false">
      <c r="A88" s="30" t="n">
        <v>2</v>
      </c>
      <c r="B88" s="31" t="s">
        <v>66</v>
      </c>
      <c r="C88" s="32" t="str">
        <f aca="false">IF(OR(IFERROR(INDEX(Plan!$J$6:$J$21,MATCH(Plan!$A$16,Plan!$A$6:$A$21,0)),"")="GESPERRT",IFERROR(INDEX(Plan!$L$6:$L$21,MATCH(Plan!$A$16,Plan!$A$6:$A$21,0)),"")=""),"",ROUND(IFERROR(INDEX(Plan!$L$6:$L$21,MATCH(Plan!$A$16,Plan!$A$6:$A$21,0)),"")*0.7*2,0)/2)</f>
        <v/>
      </c>
      <c r="D88" s="33"/>
      <c r="E88" s="34"/>
      <c r="F88" s="34"/>
      <c r="G88" s="34"/>
      <c r="H88" s="34"/>
      <c r="I88" s="34"/>
    </row>
    <row r="89" customFormat="false" ht="18" hidden="false" customHeight="true" outlineLevel="0" collapsed="false">
      <c r="A89" s="30" t="n">
        <v>3</v>
      </c>
      <c r="B89" s="35" t="s">
        <v>67</v>
      </c>
      <c r="C89" s="32" t="str">
        <f aca="false">IF(OR(IFERROR(INDEX(Plan!$J$6:$J$21,MATCH(Plan!$A$16,Plan!$A$6:$A$21,0)),"")="GESPERRT",IFERROR(INDEX(Plan!$L$6:$L$21,MATCH(Plan!$A$16,Plan!$A$6:$A$21,0)),"")=""),"",ROUND(IFERROR(INDEX(Plan!$L$6:$L$21,MATCH(Plan!$A$16,Plan!$A$6:$A$21,0)),"")*1*2,0)/2)</f>
        <v/>
      </c>
      <c r="D89" s="36" t="str">
        <f aca="false">IF(OR(IFERROR(INDEX(Plan!$J$6:$J$21,MATCH(Plan!$A$16,Plan!$A$6:$A$21,0)),"")="GESPERRT",IFERROR(INDEX(Plan!$M$6:$M$21,MATCH(Plan!$A$16,Plan!$A$6:$A$21,0)),"")=""),"",IFERROR(INDEX(Plan!$M$6:$M$21,MATCH(Plan!$A$16,Plan!$A$6:$A$21,0)),""))</f>
        <v/>
      </c>
      <c r="E89" s="34"/>
      <c r="F89" s="34"/>
      <c r="G89" s="34"/>
      <c r="H89" s="34"/>
      <c r="I89" s="34"/>
    </row>
    <row r="90" customFormat="false" ht="18" hidden="false" customHeight="true" outlineLevel="0" collapsed="false">
      <c r="A90" s="30" t="n">
        <v>4</v>
      </c>
      <c r="B90" s="35" t="s">
        <v>67</v>
      </c>
      <c r="C90" s="32" t="str">
        <f aca="false">IF(OR(IFERROR(INDEX(Plan!$J$6:$J$21,MATCH(Plan!$A$16,Plan!$A$6:$A$21,0)),"")="GESPERRT",IFERROR(INDEX(Plan!$L$6:$L$21,MATCH(Plan!$A$16,Plan!$A$6:$A$21,0)),"")=""),"",ROUND(IFERROR(INDEX(Plan!$L$6:$L$21,MATCH(Plan!$A$16,Plan!$A$6:$A$21,0)),"")*1*2,0)/2)</f>
        <v/>
      </c>
      <c r="D90" s="36" t="str">
        <f aca="false">IF(OR(IFERROR(INDEX(Plan!$J$6:$J$21,MATCH(Plan!$A$16,Plan!$A$6:$A$21,0)),"")="GESPERRT",IFERROR(INDEX(Plan!$M$6:$M$21,MATCH(Plan!$A$16,Plan!$A$6:$A$21,0)),"")=""),"",IFERROR(INDEX(Plan!$M$6:$M$21,MATCH(Plan!$A$16,Plan!$A$6:$A$21,0)),""))</f>
        <v/>
      </c>
      <c r="E90" s="34"/>
      <c r="F90" s="34"/>
      <c r="G90" s="34"/>
      <c r="H90" s="34"/>
      <c r="I90" s="34"/>
    </row>
    <row r="91" customFormat="false" ht="18" hidden="false" customHeight="true" outlineLevel="0" collapsed="false">
      <c r="A91" s="30" t="n">
        <v>5</v>
      </c>
      <c r="B91" s="35" t="s">
        <v>67</v>
      </c>
      <c r="C91" s="32" t="str">
        <f aca="false">IF(OR(IFERROR(INDEX(Plan!$J$6:$J$21,MATCH(Plan!$A$16,Plan!$A$6:$A$21,0)),"")="GESPERRT",IFERROR(INDEX(Plan!$L$6:$L$21,MATCH(Plan!$A$16,Plan!$A$6:$A$21,0)),"")=""),"",ROUND(IFERROR(INDEX(Plan!$L$6:$L$21,MATCH(Plan!$A$16,Plan!$A$6:$A$21,0)),"")*1*2,0)/2)</f>
        <v/>
      </c>
      <c r="D91" s="36" t="str">
        <f aca="false">IF(OR(IFERROR(INDEX(Plan!$J$6:$J$21,MATCH(Plan!$A$16,Plan!$A$6:$A$21,0)),"")="GESPERRT",IFERROR(INDEX(Plan!$M$6:$M$21,MATCH(Plan!$A$16,Plan!$A$6:$A$21,0)),"")=""),"",IFERROR(INDEX(Plan!$M$6:$M$21,MATCH(Plan!$A$16,Plan!$A$6:$A$21,0)),""))</f>
        <v/>
      </c>
      <c r="E91" s="34"/>
      <c r="F91" s="34"/>
      <c r="G91" s="34"/>
      <c r="H91" s="34"/>
      <c r="I91" s="34"/>
    </row>
    <row r="93" customFormat="false" ht="18" hidden="false" customHeight="true" outlineLevel="0" collapsed="false">
      <c r="A93" s="26" t="str">
        <f aca="false">Plan!$A$17</f>
        <v>Waden</v>
      </c>
      <c r="B93" s="26"/>
      <c r="C93" s="26"/>
      <c r="D93" s="26"/>
      <c r="E93" s="26"/>
      <c r="F93" s="26"/>
      <c r="G93" s="26"/>
      <c r="H93" s="26"/>
      <c r="I93" s="26"/>
    </row>
    <row r="94" customFormat="false" ht="15.75" hidden="false" customHeight="true" outlineLevel="0" collapsed="false">
      <c r="A94"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GESPERRT bis Woche 2 nach OP     ·     3 Sätze</v>
      </c>
      <c r="B94" s="27"/>
      <c r="C94" s="27"/>
      <c r="D94" s="27"/>
      <c r="E94" s="27"/>
      <c r="F94" s="27"/>
      <c r="G94" s="27"/>
      <c r="H94" s="27"/>
      <c r="I94" s="27"/>
    </row>
    <row r="95" customFormat="false" ht="13.5" hidden="false" customHeight="true" outlineLevel="0" collapsed="false">
      <c r="A95" s="28" t="str">
        <f aca="false">IF(IFERROR(INDEX(Plan!$K$6:$K$21,MATCH(Plan!$A$17,Plan!$A$6:$A$21,0)),"")="","","zuletzt "&amp;IFERROR(INDEX(Plan!$K$6:$K$21,MATCH(Plan!$A$17,Plan!$A$6:$A$21,0)),"")&amp;"     ·     ")&amp;IF(IFERROR(INDEX(Plan!$N$6:$N$21,MATCH(Plan!$A$17,Plan!$A$6:$A$21,0)),"")="","",IFERROR(INDEX(Plan!$N$6:$N$21,MATCH(Plan!$A$17,Plan!$A$6:$A$21,0)),""))</f>
        <v>zuletzt 150 kg × 12 Wdh     ·     Wdh +1 auf 13</v>
      </c>
      <c r="B95" s="28"/>
      <c r="C95" s="28"/>
      <c r="D95" s="28"/>
      <c r="E95" s="28"/>
      <c r="F95" s="28"/>
      <c r="G95" s="28"/>
      <c r="H95" s="28"/>
      <c r="I95" s="28"/>
    </row>
    <row r="96" customFormat="false" ht="18" hidden="false" customHeight="true" outlineLevel="0" collapsed="false">
      <c r="A96" s="29" t="s">
        <v>57</v>
      </c>
      <c r="B96" s="29" t="s">
        <v>58</v>
      </c>
      <c r="C96" s="29" t="s">
        <v>59</v>
      </c>
      <c r="D96" s="29" t="s">
        <v>60</v>
      </c>
      <c r="E96" s="29" t="s">
        <v>61</v>
      </c>
      <c r="F96" s="29" t="s">
        <v>62</v>
      </c>
      <c r="G96" s="29" t="s">
        <v>63</v>
      </c>
      <c r="H96" s="29" t="s">
        <v>64</v>
      </c>
      <c r="I96" s="29" t="s">
        <v>65</v>
      </c>
    </row>
    <row r="97" customFormat="false" ht="18" hidden="false" customHeight="true" outlineLevel="0" collapsed="false">
      <c r="A97" s="30" t="n">
        <v>1</v>
      </c>
      <c r="B97" s="31" t="s">
        <v>66</v>
      </c>
      <c r="C97" s="32" t="str">
        <f aca="false">IF(OR(IFERROR(INDEX(Plan!$J$6:$J$21,MATCH(Plan!$A$17,Plan!$A$6:$A$21,0)),"")="GESPERRT",IFERROR(INDEX(Plan!$L$6:$L$21,MATCH(Plan!$A$17,Plan!$A$6:$A$21,0)),"")=""),"",ROUND(IFERROR(INDEX(Plan!$L$6:$L$21,MATCH(Plan!$A$17,Plan!$A$6:$A$21,0)),"")*0.45*2,0)/2)</f>
        <v/>
      </c>
      <c r="D97" s="33"/>
      <c r="E97" s="34"/>
      <c r="F97" s="34"/>
      <c r="G97" s="34"/>
      <c r="H97" s="34"/>
      <c r="I97" s="34"/>
    </row>
    <row r="98" customFormat="false" ht="18" hidden="false" customHeight="true" outlineLevel="0" collapsed="false">
      <c r="A98" s="30" t="n">
        <v>2</v>
      </c>
      <c r="B98" s="31" t="s">
        <v>66</v>
      </c>
      <c r="C98" s="32" t="str">
        <f aca="false">IF(OR(IFERROR(INDEX(Plan!$J$6:$J$21,MATCH(Plan!$A$17,Plan!$A$6:$A$21,0)),"")="GESPERRT",IFERROR(INDEX(Plan!$L$6:$L$21,MATCH(Plan!$A$17,Plan!$A$6:$A$21,0)),"")=""),"",ROUND(IFERROR(INDEX(Plan!$L$6:$L$21,MATCH(Plan!$A$17,Plan!$A$6:$A$21,0)),"")*0.7*2,0)/2)</f>
        <v/>
      </c>
      <c r="D98" s="33"/>
      <c r="E98" s="34"/>
      <c r="F98" s="34"/>
      <c r="G98" s="34"/>
      <c r="H98" s="34"/>
      <c r="I98" s="34"/>
    </row>
    <row r="99" customFormat="false" ht="18" hidden="false" customHeight="true" outlineLevel="0" collapsed="false">
      <c r="A99" s="30" t="n">
        <v>3</v>
      </c>
      <c r="B99" s="35" t="s">
        <v>67</v>
      </c>
      <c r="C99" s="32" t="str">
        <f aca="false">IF(OR(IFERROR(INDEX(Plan!$J$6:$J$21,MATCH(Plan!$A$17,Plan!$A$6:$A$21,0)),"")="GESPERRT",IFERROR(INDEX(Plan!$L$6:$L$21,MATCH(Plan!$A$17,Plan!$A$6:$A$21,0)),"")=""),"",ROUND(IFERROR(INDEX(Plan!$L$6:$L$21,MATCH(Plan!$A$17,Plan!$A$6:$A$21,0)),"")*1*2,0)/2)</f>
        <v/>
      </c>
      <c r="D99" s="36" t="str">
        <f aca="false">IF(OR(IFERROR(INDEX(Plan!$J$6:$J$21,MATCH(Plan!$A$17,Plan!$A$6:$A$21,0)),"")="GESPERRT",IFERROR(INDEX(Plan!$M$6:$M$21,MATCH(Plan!$A$17,Plan!$A$6:$A$21,0)),"")=""),"",IFERROR(INDEX(Plan!$M$6:$M$21,MATCH(Plan!$A$17,Plan!$A$6:$A$21,0)),""))</f>
        <v/>
      </c>
      <c r="E99" s="34"/>
      <c r="F99" s="34"/>
      <c r="G99" s="34"/>
      <c r="H99" s="34"/>
      <c r="I99" s="34"/>
    </row>
    <row r="100" customFormat="false" ht="18" hidden="false" customHeight="true" outlineLevel="0" collapsed="false">
      <c r="A100" s="30" t="n">
        <v>4</v>
      </c>
      <c r="B100" s="35" t="s">
        <v>67</v>
      </c>
      <c r="C100" s="32" t="str">
        <f aca="false">IF(OR(IFERROR(INDEX(Plan!$J$6:$J$21,MATCH(Plan!$A$17,Plan!$A$6:$A$21,0)),"")="GESPERRT",IFERROR(INDEX(Plan!$L$6:$L$21,MATCH(Plan!$A$17,Plan!$A$6:$A$21,0)),"")=""),"",ROUND(IFERROR(INDEX(Plan!$L$6:$L$21,MATCH(Plan!$A$17,Plan!$A$6:$A$21,0)),"")*1*2,0)/2)</f>
        <v/>
      </c>
      <c r="D100" s="36" t="str">
        <f aca="false">IF(OR(IFERROR(INDEX(Plan!$J$6:$J$21,MATCH(Plan!$A$17,Plan!$A$6:$A$21,0)),"")="GESPERRT",IFERROR(INDEX(Plan!$M$6:$M$21,MATCH(Plan!$A$17,Plan!$A$6:$A$21,0)),"")=""),"",IFERROR(INDEX(Plan!$M$6:$M$21,MATCH(Plan!$A$17,Plan!$A$6:$A$21,0)),""))</f>
        <v/>
      </c>
      <c r="E100" s="34"/>
      <c r="F100" s="34"/>
      <c r="G100" s="34"/>
      <c r="H100" s="34"/>
      <c r="I100" s="34"/>
    </row>
    <row r="101" customFormat="false" ht="18" hidden="false" customHeight="true" outlineLevel="0" collapsed="false">
      <c r="A101" s="30" t="n">
        <v>5</v>
      </c>
      <c r="B101" s="35" t="s">
        <v>67</v>
      </c>
      <c r="C101" s="32" t="str">
        <f aca="false">IF(OR(IFERROR(INDEX(Plan!$J$6:$J$21,MATCH(Plan!$A$17,Plan!$A$6:$A$21,0)),"")="GESPERRT",IFERROR(INDEX(Plan!$L$6:$L$21,MATCH(Plan!$A$17,Plan!$A$6:$A$21,0)),"")=""),"",ROUND(IFERROR(INDEX(Plan!$L$6:$L$21,MATCH(Plan!$A$17,Plan!$A$6:$A$21,0)),"")*1*2,0)/2)</f>
        <v/>
      </c>
      <c r="D101" s="36" t="str">
        <f aca="false">IF(OR(IFERROR(INDEX(Plan!$J$6:$J$21,MATCH(Plan!$A$17,Plan!$A$6:$A$21,0)),"")="GESPERRT",IFERROR(INDEX(Plan!$M$6:$M$21,MATCH(Plan!$A$17,Plan!$A$6:$A$21,0)),"")=""),"",IFERROR(INDEX(Plan!$M$6:$M$21,MATCH(Plan!$A$17,Plan!$A$6:$A$21,0)),""))</f>
        <v/>
      </c>
      <c r="E101" s="34"/>
      <c r="F101" s="34"/>
      <c r="G101" s="34"/>
      <c r="H101" s="34"/>
      <c r="I101" s="34"/>
    </row>
    <row r="103" customFormat="false" ht="18" hidden="false" customHeight="true" outlineLevel="0" collapsed="false">
      <c r="A103" s="6" t="s">
        <v>69</v>
      </c>
      <c r="B103" s="6"/>
      <c r="C103" s="6"/>
      <c r="D103" s="6"/>
      <c r="E103" s="6"/>
      <c r="F103" s="6"/>
      <c r="G103" s="6"/>
      <c r="H103" s="6"/>
      <c r="I103" s="6"/>
    </row>
    <row r="104" customFormat="false" ht="16.5" hidden="false" customHeight="true" outlineLevel="0" collapsed="false">
      <c r="A104" s="37"/>
      <c r="B104" s="37"/>
      <c r="C104" s="37"/>
      <c r="D104" s="37"/>
      <c r="E104" s="37"/>
      <c r="F104" s="37"/>
      <c r="G104" s="37"/>
      <c r="H104" s="37"/>
      <c r="I104" s="37"/>
    </row>
    <row r="105" customFormat="false" ht="16.5" hidden="false" customHeight="true" outlineLevel="0" collapsed="false">
      <c r="A105" s="37"/>
      <c r="B105" s="37"/>
      <c r="C105" s="37"/>
      <c r="D105" s="37"/>
      <c r="E105" s="37"/>
      <c r="F105" s="37"/>
      <c r="G105" s="37"/>
      <c r="H105" s="37"/>
      <c r="I105" s="37"/>
    </row>
    <row r="107" customFormat="false" ht="25.5" hidden="false" customHeight="true" outlineLevel="0" collapsed="false">
      <c r="A107" s="1" t="s">
        <v>71</v>
      </c>
      <c r="B107" s="1"/>
      <c r="C107" s="1"/>
      <c r="D107" s="1"/>
      <c r="E107" s="1"/>
      <c r="F107" s="1"/>
      <c r="G107" s="1"/>
      <c r="H107" s="1"/>
      <c r="I107" s="1"/>
    </row>
    <row r="108" customFormat="false" ht="12" hidden="false" customHeight="true" outlineLevel="0" collapsed="false">
      <c r="A108" s="23" t="s">
        <v>52</v>
      </c>
      <c r="B108" s="23"/>
      <c r="C108" s="24" t="s">
        <v>53</v>
      </c>
      <c r="D108" s="23" t="s">
        <v>54</v>
      </c>
      <c r="E108" s="23"/>
      <c r="F108" s="23" t="s">
        <v>55</v>
      </c>
      <c r="G108" s="23"/>
      <c r="H108" s="23" t="s">
        <v>56</v>
      </c>
      <c r="I108" s="23"/>
    </row>
    <row r="109" customFormat="false" ht="18" hidden="false" customHeight="true" outlineLevel="0" collapsed="false">
      <c r="A109" s="25"/>
      <c r="B109" s="25"/>
      <c r="C109" s="25"/>
      <c r="D109" s="25"/>
      <c r="E109" s="25"/>
      <c r="F109" s="25"/>
      <c r="G109" s="25"/>
      <c r="H109" s="25"/>
      <c r="I109" s="25"/>
    </row>
    <row r="111" customFormat="false" ht="18" hidden="false" customHeight="true" outlineLevel="0" collapsed="false">
      <c r="A111" s="26" t="str">
        <f aca="false">Plan!$A$7</f>
        <v>Beinpresse</v>
      </c>
      <c r="B111" s="26"/>
      <c r="C111" s="26"/>
      <c r="D111" s="26"/>
      <c r="E111" s="26"/>
      <c r="F111" s="26"/>
      <c r="G111" s="26"/>
      <c r="H111" s="26"/>
      <c r="I111" s="26"/>
    </row>
    <row r="112" customFormat="false" ht="15.75" hidden="false" customHeight="true" outlineLevel="0" collapsed="false">
      <c r="A112"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GESPERRT bis Woche 2 nach OP     ·     3 Sätze</v>
      </c>
      <c r="B112" s="27"/>
      <c r="C112" s="27"/>
      <c r="D112" s="27"/>
      <c r="E112" s="27"/>
      <c r="F112" s="27"/>
      <c r="G112" s="27"/>
      <c r="H112" s="27"/>
      <c r="I112" s="27"/>
    </row>
    <row r="113" customFormat="false" ht="13.5" hidden="false" customHeight="true" outlineLevel="0" collapsed="false">
      <c r="A113" s="28" t="str">
        <f aca="false">IF(IFERROR(INDEX(Plan!$K$6:$K$21,MATCH(Plan!$A$7,Plan!$A$6:$A$21,0)),"")="","","zuletzt "&amp;IFERROR(INDEX(Plan!$K$6:$K$21,MATCH(Plan!$A$7,Plan!$A$6:$A$21,0)),"")&amp;"     ·     ")&amp;IF(IFERROR(INDEX(Plan!$N$6:$N$21,MATCH(Plan!$A$7,Plan!$A$6:$A$21,0)),"")="","",IFERROR(INDEX(Plan!$N$6:$N$21,MATCH(Plan!$A$7,Plan!$A$6:$A$21,0)),""))</f>
        <v/>
      </c>
      <c r="B113" s="28"/>
      <c r="C113" s="28"/>
      <c r="D113" s="28"/>
      <c r="E113" s="28"/>
      <c r="F113" s="28"/>
      <c r="G113" s="28"/>
      <c r="H113" s="28"/>
      <c r="I113" s="28"/>
    </row>
    <row r="114" customFormat="false" ht="18" hidden="false" customHeight="true" outlineLevel="0" collapsed="false">
      <c r="A114" s="29" t="s">
        <v>57</v>
      </c>
      <c r="B114" s="29" t="s">
        <v>58</v>
      </c>
      <c r="C114" s="29" t="s">
        <v>59</v>
      </c>
      <c r="D114" s="29" t="s">
        <v>60</v>
      </c>
      <c r="E114" s="29" t="s">
        <v>61</v>
      </c>
      <c r="F114" s="29" t="s">
        <v>62</v>
      </c>
      <c r="G114" s="29" t="s">
        <v>63</v>
      </c>
      <c r="H114" s="29" t="s">
        <v>64</v>
      </c>
      <c r="I114" s="29" t="s">
        <v>65</v>
      </c>
    </row>
    <row r="115" customFormat="false" ht="18" hidden="false" customHeight="true" outlineLevel="0" collapsed="false">
      <c r="A115" s="30" t="n">
        <v>1</v>
      </c>
      <c r="B115" s="31" t="s">
        <v>66</v>
      </c>
      <c r="C115" s="32" t="str">
        <f aca="false">IF(OR(IFERROR(INDEX(Plan!$J$6:$J$21,MATCH(Plan!$A$7,Plan!$A$6:$A$21,0)),"")="GESPERRT",IFERROR(INDEX(Plan!$L$6:$L$21,MATCH(Plan!$A$7,Plan!$A$6:$A$21,0)),"")=""),"",ROUND(IFERROR(INDEX(Plan!$L$6:$L$21,MATCH(Plan!$A$7,Plan!$A$6:$A$21,0)),"")*0.45*2,0)/2)</f>
        <v/>
      </c>
      <c r="D115" s="33"/>
      <c r="E115" s="34"/>
      <c r="F115" s="34"/>
      <c r="G115" s="34"/>
      <c r="H115" s="34"/>
      <c r="I115" s="34"/>
    </row>
    <row r="116" customFormat="false" ht="18" hidden="false" customHeight="true" outlineLevel="0" collapsed="false">
      <c r="A116" s="30" t="n">
        <v>2</v>
      </c>
      <c r="B116" s="31" t="s">
        <v>66</v>
      </c>
      <c r="C116" s="32" t="str">
        <f aca="false">IF(OR(IFERROR(INDEX(Plan!$J$6:$J$21,MATCH(Plan!$A$7,Plan!$A$6:$A$21,0)),"")="GESPERRT",IFERROR(INDEX(Plan!$L$6:$L$21,MATCH(Plan!$A$7,Plan!$A$6:$A$21,0)),"")=""),"",ROUND(IFERROR(INDEX(Plan!$L$6:$L$21,MATCH(Plan!$A$7,Plan!$A$6:$A$21,0)),"")*0.7*2,0)/2)</f>
        <v/>
      </c>
      <c r="D116" s="33"/>
      <c r="E116" s="34"/>
      <c r="F116" s="34"/>
      <c r="G116" s="34"/>
      <c r="H116" s="34"/>
      <c r="I116" s="34"/>
    </row>
    <row r="117" customFormat="false" ht="18" hidden="false" customHeight="true" outlineLevel="0" collapsed="false">
      <c r="A117" s="30" t="n">
        <v>3</v>
      </c>
      <c r="B117" s="35" t="s">
        <v>67</v>
      </c>
      <c r="C117" s="32" t="str">
        <f aca="false">IF(OR(IFERROR(INDEX(Plan!$J$6:$J$21,MATCH(Plan!$A$7,Plan!$A$6:$A$21,0)),"")="GESPERRT",IFERROR(INDEX(Plan!$L$6:$L$21,MATCH(Plan!$A$7,Plan!$A$6:$A$21,0)),"")=""),"",ROUND(IFERROR(INDEX(Plan!$L$6:$L$21,MATCH(Plan!$A$7,Plan!$A$6:$A$21,0)),"")*1*2,0)/2)</f>
        <v/>
      </c>
      <c r="D117" s="36" t="str">
        <f aca="false">IF(OR(IFERROR(INDEX(Plan!$J$6:$J$21,MATCH(Plan!$A$7,Plan!$A$6:$A$21,0)),"")="GESPERRT",IFERROR(INDEX(Plan!$M$6:$M$21,MATCH(Plan!$A$7,Plan!$A$6:$A$21,0)),"")=""),"",IFERROR(INDEX(Plan!$M$6:$M$21,MATCH(Plan!$A$7,Plan!$A$6:$A$21,0)),""))</f>
        <v/>
      </c>
      <c r="E117" s="34"/>
      <c r="F117" s="34"/>
      <c r="G117" s="34"/>
      <c r="H117" s="34"/>
      <c r="I117" s="34"/>
    </row>
    <row r="118" customFormat="false" ht="18" hidden="false" customHeight="true" outlineLevel="0" collapsed="false">
      <c r="A118" s="30" t="n">
        <v>4</v>
      </c>
      <c r="B118" s="35" t="s">
        <v>67</v>
      </c>
      <c r="C118" s="32" t="str">
        <f aca="false">IF(OR(IFERROR(INDEX(Plan!$J$6:$J$21,MATCH(Plan!$A$7,Plan!$A$6:$A$21,0)),"")="GESPERRT",IFERROR(INDEX(Plan!$L$6:$L$21,MATCH(Plan!$A$7,Plan!$A$6:$A$21,0)),"")=""),"",ROUND(IFERROR(INDEX(Plan!$L$6:$L$21,MATCH(Plan!$A$7,Plan!$A$6:$A$21,0)),"")*1*2,0)/2)</f>
        <v/>
      </c>
      <c r="D118" s="36" t="str">
        <f aca="false">IF(OR(IFERROR(INDEX(Plan!$J$6:$J$21,MATCH(Plan!$A$7,Plan!$A$6:$A$21,0)),"")="GESPERRT",IFERROR(INDEX(Plan!$M$6:$M$21,MATCH(Plan!$A$7,Plan!$A$6:$A$21,0)),"")=""),"",IFERROR(INDEX(Plan!$M$6:$M$21,MATCH(Plan!$A$7,Plan!$A$6:$A$21,0)),""))</f>
        <v/>
      </c>
      <c r="E118" s="34"/>
      <c r="F118" s="34"/>
      <c r="G118" s="34"/>
      <c r="H118" s="34"/>
      <c r="I118" s="34"/>
    </row>
    <row r="119" customFormat="false" ht="18" hidden="false" customHeight="true" outlineLevel="0" collapsed="false">
      <c r="A119" s="30" t="n">
        <v>5</v>
      </c>
      <c r="B119" s="35" t="s">
        <v>67</v>
      </c>
      <c r="C119" s="32" t="str">
        <f aca="false">IF(OR(IFERROR(INDEX(Plan!$J$6:$J$21,MATCH(Plan!$A$7,Plan!$A$6:$A$21,0)),"")="GESPERRT",IFERROR(INDEX(Plan!$L$6:$L$21,MATCH(Plan!$A$7,Plan!$A$6:$A$21,0)),"")=""),"",ROUND(IFERROR(INDEX(Plan!$L$6:$L$21,MATCH(Plan!$A$7,Plan!$A$6:$A$21,0)),"")*1*2,0)/2)</f>
        <v/>
      </c>
      <c r="D119" s="36" t="str">
        <f aca="false">IF(OR(IFERROR(INDEX(Plan!$J$6:$J$21,MATCH(Plan!$A$7,Plan!$A$6:$A$21,0)),"")="GESPERRT",IFERROR(INDEX(Plan!$M$6:$M$21,MATCH(Plan!$A$7,Plan!$A$6:$A$21,0)),"")=""),"",IFERROR(INDEX(Plan!$M$6:$M$21,MATCH(Plan!$A$7,Plan!$A$6:$A$21,0)),""))</f>
        <v/>
      </c>
      <c r="E119" s="34"/>
      <c r="F119" s="34"/>
      <c r="G119" s="34"/>
      <c r="H119" s="34"/>
      <c r="I119" s="34"/>
    </row>
    <row r="121" customFormat="false" ht="18" hidden="false" customHeight="true" outlineLevel="0" collapsed="false">
      <c r="A121" s="26" t="str">
        <f aca="false">Plan!$A$8</f>
        <v>Split Squat</v>
      </c>
      <c r="B121" s="26"/>
      <c r="C121" s="26"/>
      <c r="D121" s="26"/>
      <c r="E121" s="26"/>
      <c r="F121" s="26"/>
      <c r="G121" s="26"/>
      <c r="H121" s="26"/>
      <c r="I121" s="26"/>
    </row>
    <row r="122" customFormat="false" ht="15.75" hidden="false" customHeight="true" outlineLevel="0" collapsed="false">
      <c r="A122"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GESPERRT bis Woche 8 nach OP     ·     3 Sätze</v>
      </c>
      <c r="B122" s="27"/>
      <c r="C122" s="27"/>
      <c r="D122" s="27"/>
      <c r="E122" s="27"/>
      <c r="F122" s="27"/>
      <c r="G122" s="27"/>
      <c r="H122" s="27"/>
      <c r="I122" s="27"/>
    </row>
    <row r="123" customFormat="false" ht="13.5" hidden="false" customHeight="true" outlineLevel="0" collapsed="false">
      <c r="A123" s="28" t="str">
        <f aca="false">IF(IFERROR(INDEX(Plan!$K$6:$K$21,MATCH(Plan!$A$8,Plan!$A$6:$A$21,0)),"")="","","zuletzt "&amp;IFERROR(INDEX(Plan!$K$6:$K$21,MATCH(Plan!$A$8,Plan!$A$6:$A$21,0)),"")&amp;"     ·     ")&amp;IF(IFERROR(INDEX(Plan!$N$6:$N$21,MATCH(Plan!$A$8,Plan!$A$6:$A$21,0)),"")="","",IFERROR(INDEX(Plan!$N$6:$N$21,MATCH(Plan!$A$8,Plan!$A$6:$A$21,0)),""))</f>
        <v>zuletzt 80 kg × 8 Wdh     ·     Wdh +1 auf 9</v>
      </c>
      <c r="B123" s="28"/>
      <c r="C123" s="28"/>
      <c r="D123" s="28"/>
      <c r="E123" s="28"/>
      <c r="F123" s="28"/>
      <c r="G123" s="28"/>
      <c r="H123" s="28"/>
      <c r="I123" s="28"/>
    </row>
    <row r="124" customFormat="false" ht="18" hidden="false" customHeight="true" outlineLevel="0" collapsed="false">
      <c r="A124" s="29" t="s">
        <v>57</v>
      </c>
      <c r="B124" s="29" t="s">
        <v>58</v>
      </c>
      <c r="C124" s="29" t="s">
        <v>59</v>
      </c>
      <c r="D124" s="29" t="s">
        <v>60</v>
      </c>
      <c r="E124" s="29" t="s">
        <v>61</v>
      </c>
      <c r="F124" s="29" t="s">
        <v>62</v>
      </c>
      <c r="G124" s="29" t="s">
        <v>63</v>
      </c>
      <c r="H124" s="29" t="s">
        <v>64</v>
      </c>
      <c r="I124" s="29" t="s">
        <v>65</v>
      </c>
    </row>
    <row r="125" customFormat="false" ht="18" hidden="false" customHeight="true" outlineLevel="0" collapsed="false">
      <c r="A125" s="30" t="n">
        <v>1</v>
      </c>
      <c r="B125" s="31" t="s">
        <v>66</v>
      </c>
      <c r="C125" s="32" t="str">
        <f aca="false">IF(OR(IFERROR(INDEX(Plan!$J$6:$J$21,MATCH(Plan!$A$8,Plan!$A$6:$A$21,0)),"")="GESPERRT",IFERROR(INDEX(Plan!$L$6:$L$21,MATCH(Plan!$A$8,Plan!$A$6:$A$21,0)),"")=""),"",ROUND(IFERROR(INDEX(Plan!$L$6:$L$21,MATCH(Plan!$A$8,Plan!$A$6:$A$21,0)),"")*0.45*2,0)/2)</f>
        <v/>
      </c>
      <c r="D125" s="33"/>
      <c r="E125" s="34"/>
      <c r="F125" s="34"/>
      <c r="G125" s="34"/>
      <c r="H125" s="34"/>
      <c r="I125" s="34"/>
    </row>
    <row r="126" customFormat="false" ht="18" hidden="false" customHeight="true" outlineLevel="0" collapsed="false">
      <c r="A126" s="30" t="n">
        <v>2</v>
      </c>
      <c r="B126" s="31" t="s">
        <v>66</v>
      </c>
      <c r="C126" s="32" t="str">
        <f aca="false">IF(OR(IFERROR(INDEX(Plan!$J$6:$J$21,MATCH(Plan!$A$8,Plan!$A$6:$A$21,0)),"")="GESPERRT",IFERROR(INDEX(Plan!$L$6:$L$21,MATCH(Plan!$A$8,Plan!$A$6:$A$21,0)),"")=""),"",ROUND(IFERROR(INDEX(Plan!$L$6:$L$21,MATCH(Plan!$A$8,Plan!$A$6:$A$21,0)),"")*0.7*2,0)/2)</f>
        <v/>
      </c>
      <c r="D126" s="33"/>
      <c r="E126" s="34"/>
      <c r="F126" s="34"/>
      <c r="G126" s="34"/>
      <c r="H126" s="34"/>
      <c r="I126" s="34"/>
    </row>
    <row r="127" customFormat="false" ht="18" hidden="false" customHeight="true" outlineLevel="0" collapsed="false">
      <c r="A127" s="30" t="n">
        <v>3</v>
      </c>
      <c r="B127" s="35" t="s">
        <v>67</v>
      </c>
      <c r="C127" s="32" t="str">
        <f aca="false">IF(OR(IFERROR(INDEX(Plan!$J$6:$J$21,MATCH(Plan!$A$8,Plan!$A$6:$A$21,0)),"")="GESPERRT",IFERROR(INDEX(Plan!$L$6:$L$21,MATCH(Plan!$A$8,Plan!$A$6:$A$21,0)),"")=""),"",ROUND(IFERROR(INDEX(Plan!$L$6:$L$21,MATCH(Plan!$A$8,Plan!$A$6:$A$21,0)),"")*1*2,0)/2)</f>
        <v/>
      </c>
      <c r="D127" s="36" t="str">
        <f aca="false">IF(OR(IFERROR(INDEX(Plan!$J$6:$J$21,MATCH(Plan!$A$8,Plan!$A$6:$A$21,0)),"")="GESPERRT",IFERROR(INDEX(Plan!$M$6:$M$21,MATCH(Plan!$A$8,Plan!$A$6:$A$21,0)),"")=""),"",IFERROR(INDEX(Plan!$M$6:$M$21,MATCH(Plan!$A$8,Plan!$A$6:$A$21,0)),""))</f>
        <v/>
      </c>
      <c r="E127" s="34"/>
      <c r="F127" s="34"/>
      <c r="G127" s="34"/>
      <c r="H127" s="34"/>
      <c r="I127" s="34"/>
    </row>
    <row r="128" customFormat="false" ht="18" hidden="false" customHeight="true" outlineLevel="0" collapsed="false">
      <c r="A128" s="30" t="n">
        <v>4</v>
      </c>
      <c r="B128" s="35" t="s">
        <v>67</v>
      </c>
      <c r="C128" s="32" t="str">
        <f aca="false">IF(OR(IFERROR(INDEX(Plan!$J$6:$J$21,MATCH(Plan!$A$8,Plan!$A$6:$A$21,0)),"")="GESPERRT",IFERROR(INDEX(Plan!$L$6:$L$21,MATCH(Plan!$A$8,Plan!$A$6:$A$21,0)),"")=""),"",ROUND(IFERROR(INDEX(Plan!$L$6:$L$21,MATCH(Plan!$A$8,Plan!$A$6:$A$21,0)),"")*1*2,0)/2)</f>
        <v/>
      </c>
      <c r="D128" s="36" t="str">
        <f aca="false">IF(OR(IFERROR(INDEX(Plan!$J$6:$J$21,MATCH(Plan!$A$8,Plan!$A$6:$A$21,0)),"")="GESPERRT",IFERROR(INDEX(Plan!$M$6:$M$21,MATCH(Plan!$A$8,Plan!$A$6:$A$21,0)),"")=""),"",IFERROR(INDEX(Plan!$M$6:$M$21,MATCH(Plan!$A$8,Plan!$A$6:$A$21,0)),""))</f>
        <v/>
      </c>
      <c r="E128" s="34"/>
      <c r="F128" s="34"/>
      <c r="G128" s="34"/>
      <c r="H128" s="34"/>
      <c r="I128" s="34"/>
    </row>
    <row r="129" customFormat="false" ht="18" hidden="false" customHeight="true" outlineLevel="0" collapsed="false">
      <c r="A129" s="30" t="n">
        <v>5</v>
      </c>
      <c r="B129" s="35" t="s">
        <v>67</v>
      </c>
      <c r="C129" s="32" t="str">
        <f aca="false">IF(OR(IFERROR(INDEX(Plan!$J$6:$J$21,MATCH(Plan!$A$8,Plan!$A$6:$A$21,0)),"")="GESPERRT",IFERROR(INDEX(Plan!$L$6:$L$21,MATCH(Plan!$A$8,Plan!$A$6:$A$21,0)),"")=""),"",ROUND(IFERROR(INDEX(Plan!$L$6:$L$21,MATCH(Plan!$A$8,Plan!$A$6:$A$21,0)),"")*1*2,0)/2)</f>
        <v/>
      </c>
      <c r="D129" s="36" t="str">
        <f aca="false">IF(OR(IFERROR(INDEX(Plan!$J$6:$J$21,MATCH(Plan!$A$8,Plan!$A$6:$A$21,0)),"")="GESPERRT",IFERROR(INDEX(Plan!$M$6:$M$21,MATCH(Plan!$A$8,Plan!$A$6:$A$21,0)),"")=""),"",IFERROR(INDEX(Plan!$M$6:$M$21,MATCH(Plan!$A$8,Plan!$A$6:$A$21,0)),""))</f>
        <v/>
      </c>
      <c r="E129" s="34"/>
      <c r="F129" s="34"/>
      <c r="G129" s="34"/>
      <c r="H129" s="34"/>
      <c r="I129" s="34"/>
    </row>
    <row r="131" customFormat="false" ht="18" hidden="false" customHeight="true" outlineLevel="0" collapsed="false">
      <c r="A131" s="26" t="str">
        <f aca="false">Plan!$A$9</f>
        <v>Beinstrecker</v>
      </c>
      <c r="B131" s="26"/>
      <c r="C131" s="26"/>
      <c r="D131" s="26"/>
      <c r="E131" s="26"/>
      <c r="F131" s="26"/>
      <c r="G131" s="26"/>
      <c r="H131" s="26"/>
      <c r="I131" s="26"/>
    </row>
    <row r="132" customFormat="false" ht="15.75" hidden="false" customHeight="true" outlineLevel="0" collapsed="false">
      <c r="A132"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132" s="27"/>
      <c r="C132" s="27"/>
      <c r="D132" s="27"/>
      <c r="E132" s="27"/>
      <c r="F132" s="27"/>
      <c r="G132" s="27"/>
      <c r="H132" s="27"/>
      <c r="I132" s="27"/>
    </row>
    <row r="133" customFormat="false" ht="13.5" hidden="false" customHeight="true" outlineLevel="0" collapsed="false">
      <c r="A133" s="28" t="str">
        <f aca="false">IF(IFERROR(INDEX(Plan!$K$6:$K$21,MATCH(Plan!$A$9,Plan!$A$6:$A$21,0)),"")="","","zuletzt "&amp;IFERROR(INDEX(Plan!$K$6:$K$21,MATCH(Plan!$A$9,Plan!$A$6:$A$21,0)),"")&amp;"     ·     ")&amp;IF(IFERROR(INDEX(Plan!$N$6:$N$21,MATCH(Plan!$A$9,Plan!$A$6:$A$21,0)),"")="","",IFERROR(INDEX(Plan!$N$6:$N$21,MATCH(Plan!$A$9,Plan!$A$6:$A$21,0)),""))</f>
        <v>zuletzt 80 kg × 8 Wdh     ·     Gewicht halten, erst 12 Wdh schaffen</v>
      </c>
      <c r="B133" s="28"/>
      <c r="C133" s="28"/>
      <c r="D133" s="28"/>
      <c r="E133" s="28"/>
      <c r="F133" s="28"/>
      <c r="G133" s="28"/>
      <c r="H133" s="28"/>
      <c r="I133" s="28"/>
    </row>
    <row r="134" customFormat="false" ht="18" hidden="false" customHeight="true" outlineLevel="0" collapsed="false">
      <c r="A134" s="29" t="s">
        <v>57</v>
      </c>
      <c r="B134" s="29" t="s">
        <v>58</v>
      </c>
      <c r="C134" s="29" t="s">
        <v>59</v>
      </c>
      <c r="D134" s="29" t="s">
        <v>60</v>
      </c>
      <c r="E134" s="29" t="s">
        <v>61</v>
      </c>
      <c r="F134" s="29" t="s">
        <v>62</v>
      </c>
      <c r="G134" s="29" t="s">
        <v>63</v>
      </c>
      <c r="H134" s="29" t="s">
        <v>64</v>
      </c>
      <c r="I134" s="29" t="s">
        <v>65</v>
      </c>
    </row>
    <row r="135" customFormat="false" ht="18" hidden="false" customHeight="true" outlineLevel="0" collapsed="false">
      <c r="A135" s="30" t="n">
        <v>1</v>
      </c>
      <c r="B135" s="31" t="s">
        <v>66</v>
      </c>
      <c r="C135" s="32" t="n">
        <f aca="false">IF(OR(IFERROR(INDEX(Plan!$J$6:$J$21,MATCH(Plan!$A$9,Plan!$A$6:$A$21,0)),"")="GESPERRT",IFERROR(INDEX(Plan!$L$6:$L$21,MATCH(Plan!$A$9,Plan!$A$6:$A$21,0)),"")=""),"",ROUND(IFERROR(INDEX(Plan!$L$6:$L$21,MATCH(Plan!$A$9,Plan!$A$6:$A$21,0)),"")*0.45*2,0)/2)</f>
        <v>36</v>
      </c>
      <c r="D135" s="33"/>
      <c r="E135" s="34"/>
      <c r="F135" s="34"/>
      <c r="G135" s="34"/>
      <c r="H135" s="34"/>
      <c r="I135" s="34"/>
    </row>
    <row r="136" customFormat="false" ht="18" hidden="false" customHeight="true" outlineLevel="0" collapsed="false">
      <c r="A136" s="30" t="n">
        <v>2</v>
      </c>
      <c r="B136" s="31" t="s">
        <v>66</v>
      </c>
      <c r="C136" s="32" t="n">
        <f aca="false">IF(OR(IFERROR(INDEX(Plan!$J$6:$J$21,MATCH(Plan!$A$9,Plan!$A$6:$A$21,0)),"")="GESPERRT",IFERROR(INDEX(Plan!$L$6:$L$21,MATCH(Plan!$A$9,Plan!$A$6:$A$21,0)),"")=""),"",ROUND(IFERROR(INDEX(Plan!$L$6:$L$21,MATCH(Plan!$A$9,Plan!$A$6:$A$21,0)),"")*0.7*2,0)/2)</f>
        <v>56</v>
      </c>
      <c r="D136" s="33"/>
      <c r="E136" s="34"/>
      <c r="F136" s="34"/>
      <c r="G136" s="34"/>
      <c r="H136" s="34"/>
      <c r="I136" s="34"/>
    </row>
    <row r="137" customFormat="false" ht="18" hidden="false" customHeight="true" outlineLevel="0" collapsed="false">
      <c r="A137" s="30" t="n">
        <v>3</v>
      </c>
      <c r="B137" s="35" t="s">
        <v>67</v>
      </c>
      <c r="C137" s="32" t="n">
        <f aca="false">IF(OR(IFERROR(INDEX(Plan!$J$6:$J$21,MATCH(Plan!$A$9,Plan!$A$6:$A$21,0)),"")="GESPERRT",IFERROR(INDEX(Plan!$L$6:$L$21,MATCH(Plan!$A$9,Plan!$A$6:$A$21,0)),"")=""),"",ROUND(IFERROR(INDEX(Plan!$L$6:$L$21,MATCH(Plan!$A$9,Plan!$A$6:$A$21,0)),"")*1*2,0)/2)</f>
        <v>80</v>
      </c>
      <c r="D137" s="36" t="n">
        <f aca="false">IF(OR(IFERROR(INDEX(Plan!$J$6:$J$21,MATCH(Plan!$A$9,Plan!$A$6:$A$21,0)),"")="GESPERRT",IFERROR(INDEX(Plan!$M$6:$M$21,MATCH(Plan!$A$9,Plan!$A$6:$A$21,0)),"")=""),"",IFERROR(INDEX(Plan!$M$6:$M$21,MATCH(Plan!$A$9,Plan!$A$6:$A$21,0)),""))</f>
        <v>12</v>
      </c>
      <c r="E137" s="34"/>
      <c r="F137" s="34"/>
      <c r="G137" s="34"/>
      <c r="H137" s="34"/>
      <c r="I137" s="34"/>
    </row>
    <row r="138" customFormat="false" ht="18" hidden="false" customHeight="true" outlineLevel="0" collapsed="false">
      <c r="A138" s="30" t="n">
        <v>4</v>
      </c>
      <c r="B138" s="35" t="s">
        <v>67</v>
      </c>
      <c r="C138" s="32" t="n">
        <f aca="false">IF(OR(IFERROR(INDEX(Plan!$J$6:$J$21,MATCH(Plan!$A$9,Plan!$A$6:$A$21,0)),"")="GESPERRT",IFERROR(INDEX(Plan!$L$6:$L$21,MATCH(Plan!$A$9,Plan!$A$6:$A$21,0)),"")=""),"",ROUND(IFERROR(INDEX(Plan!$L$6:$L$21,MATCH(Plan!$A$9,Plan!$A$6:$A$21,0)),"")*1*2,0)/2)</f>
        <v>80</v>
      </c>
      <c r="D138" s="36" t="n">
        <f aca="false">IF(OR(IFERROR(INDEX(Plan!$J$6:$J$21,MATCH(Plan!$A$9,Plan!$A$6:$A$21,0)),"")="GESPERRT",IFERROR(INDEX(Plan!$M$6:$M$21,MATCH(Plan!$A$9,Plan!$A$6:$A$21,0)),"")=""),"",IFERROR(INDEX(Plan!$M$6:$M$21,MATCH(Plan!$A$9,Plan!$A$6:$A$21,0)),""))</f>
        <v>12</v>
      </c>
      <c r="E138" s="34"/>
      <c r="F138" s="34"/>
      <c r="G138" s="34"/>
      <c r="H138" s="34"/>
      <c r="I138" s="34"/>
    </row>
    <row r="139" customFormat="false" ht="18" hidden="false" customHeight="true" outlineLevel="0" collapsed="false">
      <c r="A139" s="30" t="n">
        <v>5</v>
      </c>
      <c r="B139" s="31" t="s">
        <v>68</v>
      </c>
      <c r="C139" s="33"/>
      <c r="D139" s="33"/>
      <c r="E139" s="34"/>
      <c r="F139" s="34"/>
      <c r="G139" s="34"/>
      <c r="H139" s="34"/>
      <c r="I139" s="34"/>
    </row>
    <row r="141" customFormat="false" ht="18" hidden="false" customHeight="true" outlineLevel="0" collapsed="false">
      <c r="A141" s="26" t="str">
        <f aca="false">Plan!$A$10</f>
        <v>Adduktion</v>
      </c>
      <c r="B141" s="26"/>
      <c r="C141" s="26"/>
      <c r="D141" s="26"/>
      <c r="E141" s="26"/>
      <c r="F141" s="26"/>
      <c r="G141" s="26"/>
      <c r="H141" s="26"/>
      <c r="I141" s="26"/>
    </row>
    <row r="142" customFormat="false" ht="15.75" hidden="false" customHeight="true" outlineLevel="0" collapsed="false">
      <c r="A142"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142" s="27"/>
      <c r="C142" s="27"/>
      <c r="D142" s="27"/>
      <c r="E142" s="27"/>
      <c r="F142" s="27"/>
      <c r="G142" s="27"/>
      <c r="H142" s="27"/>
      <c r="I142" s="27"/>
    </row>
    <row r="143" customFormat="false" ht="13.5" hidden="false" customHeight="true" outlineLevel="0" collapsed="false">
      <c r="A143"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143" s="28"/>
      <c r="C143" s="28"/>
      <c r="D143" s="28"/>
      <c r="E143" s="28"/>
      <c r="F143" s="28"/>
      <c r="G143" s="28"/>
      <c r="H143" s="28"/>
      <c r="I143" s="28"/>
    </row>
    <row r="144" customFormat="false" ht="18" hidden="false" customHeight="true" outlineLevel="0" collapsed="false">
      <c r="A144" s="29" t="s">
        <v>57</v>
      </c>
      <c r="B144" s="29" t="s">
        <v>58</v>
      </c>
      <c r="C144" s="29" t="s">
        <v>59</v>
      </c>
      <c r="D144" s="29" t="s">
        <v>60</v>
      </c>
      <c r="E144" s="29" t="s">
        <v>61</v>
      </c>
      <c r="F144" s="29" t="s">
        <v>62</v>
      </c>
      <c r="G144" s="29" t="s">
        <v>63</v>
      </c>
      <c r="H144" s="29" t="s">
        <v>64</v>
      </c>
      <c r="I144" s="29" t="s">
        <v>65</v>
      </c>
    </row>
    <row r="145" customFormat="false" ht="18" hidden="false" customHeight="true" outlineLevel="0" collapsed="false">
      <c r="A145" s="30" t="n">
        <v>1</v>
      </c>
      <c r="B145" s="31" t="s">
        <v>66</v>
      </c>
      <c r="C145" s="32" t="n">
        <f aca="false">IF(OR(IFERROR(INDEX(Plan!$J$6:$J$21,MATCH(Plan!$A$10,Plan!$A$6:$A$21,0)),"")="GESPERRT",IFERROR(INDEX(Plan!$L$6:$L$21,MATCH(Plan!$A$10,Plan!$A$6:$A$21,0)),"")=""),"",ROUND(IFERROR(INDEX(Plan!$L$6:$L$21,MATCH(Plan!$A$10,Plan!$A$6:$A$21,0)),"")*0.45*2,0)/2)</f>
        <v>68.5</v>
      </c>
      <c r="D145" s="33"/>
      <c r="E145" s="34"/>
      <c r="F145" s="34"/>
      <c r="G145" s="34"/>
      <c r="H145" s="34"/>
      <c r="I145" s="34"/>
    </row>
    <row r="146" customFormat="false" ht="18" hidden="false" customHeight="true" outlineLevel="0" collapsed="false">
      <c r="A146" s="30" t="n">
        <v>2</v>
      </c>
      <c r="B146" s="31" t="s">
        <v>66</v>
      </c>
      <c r="C146" s="32" t="n">
        <f aca="false">IF(OR(IFERROR(INDEX(Plan!$J$6:$J$21,MATCH(Plan!$A$10,Plan!$A$6:$A$21,0)),"")="GESPERRT",IFERROR(INDEX(Plan!$L$6:$L$21,MATCH(Plan!$A$10,Plan!$A$6:$A$21,0)),"")=""),"",ROUND(IFERROR(INDEX(Plan!$L$6:$L$21,MATCH(Plan!$A$10,Plan!$A$6:$A$21,0)),"")*0.7*2,0)/2)</f>
        <v>107</v>
      </c>
      <c r="D146" s="33"/>
      <c r="E146" s="34"/>
      <c r="F146" s="34"/>
      <c r="G146" s="34"/>
      <c r="H146" s="34"/>
      <c r="I146" s="34"/>
    </row>
    <row r="147" customFormat="false" ht="18" hidden="false" customHeight="true" outlineLevel="0" collapsed="false">
      <c r="A147" s="30" t="n">
        <v>3</v>
      </c>
      <c r="B147" s="35" t="s">
        <v>67</v>
      </c>
      <c r="C147" s="32" t="n">
        <f aca="false">IF(OR(IFERROR(INDEX(Plan!$J$6:$J$21,MATCH(Plan!$A$10,Plan!$A$6:$A$21,0)),"")="GESPERRT",IFERROR(INDEX(Plan!$L$6:$L$21,MATCH(Plan!$A$10,Plan!$A$6:$A$21,0)),"")=""),"",ROUND(IFERROR(INDEX(Plan!$L$6:$L$21,MATCH(Plan!$A$10,Plan!$A$6:$A$21,0)),"")*1*2,0)/2)</f>
        <v>152.5</v>
      </c>
      <c r="D147" s="36" t="n">
        <f aca="false">IF(OR(IFERROR(INDEX(Plan!$J$6:$J$21,MATCH(Plan!$A$10,Plan!$A$6:$A$21,0)),"")="GESPERRT",IFERROR(INDEX(Plan!$M$6:$M$21,MATCH(Plan!$A$10,Plan!$A$6:$A$21,0)),"")=""),"",IFERROR(INDEX(Plan!$M$6:$M$21,MATCH(Plan!$A$10,Plan!$A$6:$A$21,0)),""))</f>
        <v>15</v>
      </c>
      <c r="E147" s="34"/>
      <c r="F147" s="34"/>
      <c r="G147" s="34"/>
      <c r="H147" s="34"/>
      <c r="I147" s="34"/>
    </row>
    <row r="148" customFormat="false" ht="18" hidden="false" customHeight="true" outlineLevel="0" collapsed="false">
      <c r="A148" s="30" t="n">
        <v>4</v>
      </c>
      <c r="B148" s="35" t="s">
        <v>67</v>
      </c>
      <c r="C148" s="32" t="n">
        <f aca="false">IF(OR(IFERROR(INDEX(Plan!$J$6:$J$21,MATCH(Plan!$A$10,Plan!$A$6:$A$21,0)),"")="GESPERRT",IFERROR(INDEX(Plan!$L$6:$L$21,MATCH(Plan!$A$10,Plan!$A$6:$A$21,0)),"")=""),"",ROUND(IFERROR(INDEX(Plan!$L$6:$L$21,MATCH(Plan!$A$10,Plan!$A$6:$A$21,0)),"")*1*2,0)/2)</f>
        <v>152.5</v>
      </c>
      <c r="D148" s="36" t="n">
        <f aca="false">IF(OR(IFERROR(INDEX(Plan!$J$6:$J$21,MATCH(Plan!$A$10,Plan!$A$6:$A$21,0)),"")="GESPERRT",IFERROR(INDEX(Plan!$M$6:$M$21,MATCH(Plan!$A$10,Plan!$A$6:$A$21,0)),"")=""),"",IFERROR(INDEX(Plan!$M$6:$M$21,MATCH(Plan!$A$10,Plan!$A$6:$A$21,0)),""))</f>
        <v>15</v>
      </c>
      <c r="E148" s="34"/>
      <c r="F148" s="34"/>
      <c r="G148" s="34"/>
      <c r="H148" s="34"/>
      <c r="I148" s="34"/>
    </row>
    <row r="149" customFormat="false" ht="18" hidden="false" customHeight="true" outlineLevel="0" collapsed="false">
      <c r="A149" s="30" t="n">
        <v>5</v>
      </c>
      <c r="B149" s="31" t="s">
        <v>68</v>
      </c>
      <c r="C149" s="33"/>
      <c r="D149" s="33"/>
      <c r="E149" s="34"/>
      <c r="F149" s="34"/>
      <c r="G149" s="34"/>
      <c r="H149" s="34"/>
      <c r="I149" s="34"/>
    </row>
    <row r="151" customFormat="false" ht="18" hidden="false" customHeight="true" outlineLevel="0" collapsed="false">
      <c r="A151" s="6" t="s">
        <v>69</v>
      </c>
      <c r="B151" s="6"/>
      <c r="C151" s="6"/>
      <c r="D151" s="6"/>
      <c r="E151" s="6"/>
      <c r="F151" s="6"/>
      <c r="G151" s="6"/>
      <c r="H151" s="6"/>
      <c r="I151" s="6"/>
    </row>
    <row r="152" customFormat="false" ht="16.5" hidden="false" customHeight="true" outlineLevel="0" collapsed="false">
      <c r="A152" s="37"/>
      <c r="B152" s="37"/>
      <c r="C152" s="37"/>
      <c r="D152" s="37"/>
      <c r="E152" s="37"/>
      <c r="F152" s="37"/>
      <c r="G152" s="37"/>
      <c r="H152" s="37"/>
      <c r="I152" s="37"/>
    </row>
    <row r="153" customFormat="false" ht="16.5" hidden="false" customHeight="true" outlineLevel="0" collapsed="false">
      <c r="A153" s="37"/>
      <c r="B153" s="37"/>
      <c r="C153" s="37"/>
      <c r="D153" s="37"/>
      <c r="E153" s="37"/>
      <c r="F153" s="37"/>
      <c r="G153" s="37"/>
      <c r="H153" s="37"/>
      <c r="I153" s="37"/>
    </row>
    <row r="155" customFormat="false" ht="25.5" hidden="false" customHeight="true" outlineLevel="0" collapsed="false">
      <c r="A155" s="1" t="s">
        <v>72</v>
      </c>
      <c r="B155" s="1"/>
      <c r="C155" s="1"/>
      <c r="D155" s="1"/>
      <c r="E155" s="1"/>
      <c r="F155" s="1"/>
      <c r="G155" s="1"/>
      <c r="H155" s="1"/>
      <c r="I155" s="1"/>
    </row>
    <row r="156" customFormat="false" ht="12" hidden="false" customHeight="true" outlineLevel="0" collapsed="false">
      <c r="A156" s="23" t="s">
        <v>52</v>
      </c>
      <c r="B156" s="23"/>
      <c r="C156" s="24" t="s">
        <v>53</v>
      </c>
      <c r="D156" s="23" t="s">
        <v>54</v>
      </c>
      <c r="E156" s="23"/>
      <c r="F156" s="23" t="s">
        <v>55</v>
      </c>
      <c r="G156" s="23"/>
      <c r="H156" s="23" t="s">
        <v>56</v>
      </c>
      <c r="I156" s="23"/>
    </row>
    <row r="157" customFormat="false" ht="18" hidden="false" customHeight="true" outlineLevel="0" collapsed="false">
      <c r="A157" s="25"/>
      <c r="B157" s="25"/>
      <c r="C157" s="25"/>
      <c r="D157" s="25"/>
      <c r="E157" s="25"/>
      <c r="F157" s="25"/>
      <c r="G157" s="25"/>
      <c r="H157" s="25"/>
      <c r="I157" s="25"/>
    </row>
    <row r="159" customFormat="false" ht="18" hidden="false" customHeight="true" outlineLevel="0" collapsed="false">
      <c r="A159" s="26" t="str">
        <f aca="false">Plan!$A$13</f>
        <v>Rumänisches Kreuzheben</v>
      </c>
      <c r="B159" s="26"/>
      <c r="C159" s="26"/>
      <c r="D159" s="26"/>
      <c r="E159" s="26"/>
      <c r="F159" s="26"/>
      <c r="G159" s="26"/>
      <c r="H159" s="26"/>
      <c r="I159" s="26"/>
    </row>
    <row r="160" customFormat="false" ht="15.75" hidden="false" customHeight="true" outlineLevel="0" collapsed="false">
      <c r="A160"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GESPERRT bis Woche 12 nach OP     ·     3 Sätze</v>
      </c>
      <c r="B160" s="27"/>
      <c r="C160" s="27"/>
      <c r="D160" s="27"/>
      <c r="E160" s="27"/>
      <c r="F160" s="27"/>
      <c r="G160" s="27"/>
      <c r="H160" s="27"/>
      <c r="I160" s="27"/>
    </row>
    <row r="161" customFormat="false" ht="13.5" hidden="false" customHeight="true" outlineLevel="0" collapsed="false">
      <c r="A161" s="28" t="str">
        <f aca="false">IF(IFERROR(INDEX(Plan!$K$6:$K$21,MATCH(Plan!$A$13,Plan!$A$6:$A$21,0)),"")="","","zuletzt "&amp;IFERROR(INDEX(Plan!$K$6:$K$21,MATCH(Plan!$A$13,Plan!$A$6:$A$21,0)),"")&amp;"     ·     ")&amp;IF(IFERROR(INDEX(Plan!$N$6:$N$21,MATCH(Plan!$A$13,Plan!$A$6:$A$21,0)),"")="","",IFERROR(INDEX(Plan!$N$6:$N$21,MATCH(Plan!$A$13,Plan!$A$6:$A$21,0)),""))</f>
        <v/>
      </c>
      <c r="B161" s="28"/>
      <c r="C161" s="28"/>
      <c r="D161" s="28"/>
      <c r="E161" s="28"/>
      <c r="F161" s="28"/>
      <c r="G161" s="28"/>
      <c r="H161" s="28"/>
      <c r="I161" s="28"/>
    </row>
    <row r="162" customFormat="false" ht="18" hidden="false" customHeight="true" outlineLevel="0" collapsed="false">
      <c r="A162" s="29" t="s">
        <v>57</v>
      </c>
      <c r="B162" s="29" t="s">
        <v>58</v>
      </c>
      <c r="C162" s="29" t="s">
        <v>59</v>
      </c>
      <c r="D162" s="29" t="s">
        <v>60</v>
      </c>
      <c r="E162" s="29" t="s">
        <v>61</v>
      </c>
      <c r="F162" s="29" t="s">
        <v>62</v>
      </c>
      <c r="G162" s="29" t="s">
        <v>63</v>
      </c>
      <c r="H162" s="29" t="s">
        <v>64</v>
      </c>
      <c r="I162" s="29" t="s">
        <v>65</v>
      </c>
    </row>
    <row r="163" customFormat="false" ht="18" hidden="false" customHeight="true" outlineLevel="0" collapsed="false">
      <c r="A163" s="30" t="n">
        <v>1</v>
      </c>
      <c r="B163" s="31" t="s">
        <v>66</v>
      </c>
      <c r="C163" s="32" t="str">
        <f aca="false">IF(OR(IFERROR(INDEX(Plan!$J$6:$J$21,MATCH(Plan!$A$13,Plan!$A$6:$A$21,0)),"")="GESPERRT",IFERROR(INDEX(Plan!$L$6:$L$21,MATCH(Plan!$A$13,Plan!$A$6:$A$21,0)),"")=""),"",ROUND(IFERROR(INDEX(Plan!$L$6:$L$21,MATCH(Plan!$A$13,Plan!$A$6:$A$21,0)),"")*0.45*2,0)/2)</f>
        <v/>
      </c>
      <c r="D163" s="33"/>
      <c r="E163" s="34"/>
      <c r="F163" s="34"/>
      <c r="G163" s="34"/>
      <c r="H163" s="34"/>
      <c r="I163" s="34"/>
    </row>
    <row r="164" customFormat="false" ht="18" hidden="false" customHeight="true" outlineLevel="0" collapsed="false">
      <c r="A164" s="30" t="n">
        <v>2</v>
      </c>
      <c r="B164" s="31" t="s">
        <v>66</v>
      </c>
      <c r="C164" s="32" t="str">
        <f aca="false">IF(OR(IFERROR(INDEX(Plan!$J$6:$J$21,MATCH(Plan!$A$13,Plan!$A$6:$A$21,0)),"")="GESPERRT",IFERROR(INDEX(Plan!$L$6:$L$21,MATCH(Plan!$A$13,Plan!$A$6:$A$21,0)),"")=""),"",ROUND(IFERROR(INDEX(Plan!$L$6:$L$21,MATCH(Plan!$A$13,Plan!$A$6:$A$21,0)),"")*0.7*2,0)/2)</f>
        <v/>
      </c>
      <c r="D164" s="33"/>
      <c r="E164" s="34"/>
      <c r="F164" s="34"/>
      <c r="G164" s="34"/>
      <c r="H164" s="34"/>
      <c r="I164" s="34"/>
    </row>
    <row r="165" customFormat="false" ht="18" hidden="false" customHeight="true" outlineLevel="0" collapsed="false">
      <c r="A165" s="30" t="n">
        <v>3</v>
      </c>
      <c r="B165" s="35" t="s">
        <v>67</v>
      </c>
      <c r="C165" s="32" t="str">
        <f aca="false">IF(OR(IFERROR(INDEX(Plan!$J$6:$J$21,MATCH(Plan!$A$13,Plan!$A$6:$A$21,0)),"")="GESPERRT",IFERROR(INDEX(Plan!$L$6:$L$21,MATCH(Plan!$A$13,Plan!$A$6:$A$21,0)),"")=""),"",ROUND(IFERROR(INDEX(Plan!$L$6:$L$21,MATCH(Plan!$A$13,Plan!$A$6:$A$21,0)),"")*1*2,0)/2)</f>
        <v/>
      </c>
      <c r="D165" s="36" t="str">
        <f aca="false">IF(OR(IFERROR(INDEX(Plan!$J$6:$J$21,MATCH(Plan!$A$13,Plan!$A$6:$A$21,0)),"")="GESPERRT",IFERROR(INDEX(Plan!$M$6:$M$21,MATCH(Plan!$A$13,Plan!$A$6:$A$21,0)),"")=""),"",IFERROR(INDEX(Plan!$M$6:$M$21,MATCH(Plan!$A$13,Plan!$A$6:$A$21,0)),""))</f>
        <v/>
      </c>
      <c r="E165" s="34"/>
      <c r="F165" s="34"/>
      <c r="G165" s="34"/>
      <c r="H165" s="34"/>
      <c r="I165" s="34"/>
    </row>
    <row r="166" customFormat="false" ht="18" hidden="false" customHeight="true" outlineLevel="0" collapsed="false">
      <c r="A166" s="30" t="n">
        <v>4</v>
      </c>
      <c r="B166" s="35" t="s">
        <v>67</v>
      </c>
      <c r="C166" s="32" t="str">
        <f aca="false">IF(OR(IFERROR(INDEX(Plan!$J$6:$J$21,MATCH(Plan!$A$13,Plan!$A$6:$A$21,0)),"")="GESPERRT",IFERROR(INDEX(Plan!$L$6:$L$21,MATCH(Plan!$A$13,Plan!$A$6:$A$21,0)),"")=""),"",ROUND(IFERROR(INDEX(Plan!$L$6:$L$21,MATCH(Plan!$A$13,Plan!$A$6:$A$21,0)),"")*1*2,0)/2)</f>
        <v/>
      </c>
      <c r="D166" s="36" t="str">
        <f aca="false">IF(OR(IFERROR(INDEX(Plan!$J$6:$J$21,MATCH(Plan!$A$13,Plan!$A$6:$A$21,0)),"")="GESPERRT",IFERROR(INDEX(Plan!$M$6:$M$21,MATCH(Plan!$A$13,Plan!$A$6:$A$21,0)),"")=""),"",IFERROR(INDEX(Plan!$M$6:$M$21,MATCH(Plan!$A$13,Plan!$A$6:$A$21,0)),""))</f>
        <v/>
      </c>
      <c r="E166" s="34"/>
      <c r="F166" s="34"/>
      <c r="G166" s="34"/>
      <c r="H166" s="34"/>
      <c r="I166" s="34"/>
    </row>
    <row r="167" customFormat="false" ht="18" hidden="false" customHeight="true" outlineLevel="0" collapsed="false">
      <c r="A167" s="30" t="n">
        <v>5</v>
      </c>
      <c r="B167" s="35" t="s">
        <v>67</v>
      </c>
      <c r="C167" s="32" t="str">
        <f aca="false">IF(OR(IFERROR(INDEX(Plan!$J$6:$J$21,MATCH(Plan!$A$13,Plan!$A$6:$A$21,0)),"")="GESPERRT",IFERROR(INDEX(Plan!$L$6:$L$21,MATCH(Plan!$A$13,Plan!$A$6:$A$21,0)),"")=""),"",ROUND(IFERROR(INDEX(Plan!$L$6:$L$21,MATCH(Plan!$A$13,Plan!$A$6:$A$21,0)),"")*1*2,0)/2)</f>
        <v/>
      </c>
      <c r="D167" s="36" t="str">
        <f aca="false">IF(OR(IFERROR(INDEX(Plan!$J$6:$J$21,MATCH(Plan!$A$13,Plan!$A$6:$A$21,0)),"")="GESPERRT",IFERROR(INDEX(Plan!$M$6:$M$21,MATCH(Plan!$A$13,Plan!$A$6:$A$21,0)),"")=""),"",IFERROR(INDEX(Plan!$M$6:$M$21,MATCH(Plan!$A$13,Plan!$A$6:$A$21,0)),""))</f>
        <v/>
      </c>
      <c r="E167" s="34"/>
      <c r="F167" s="34"/>
      <c r="G167" s="34"/>
      <c r="H167" s="34"/>
      <c r="I167" s="34"/>
    </row>
    <row r="169" customFormat="false" ht="18" hidden="false" customHeight="true" outlineLevel="0" collapsed="false">
      <c r="A169" s="26" t="str">
        <f aca="false">Plan!$A$14</f>
        <v>Hip Thrust</v>
      </c>
      <c r="B169" s="26"/>
      <c r="C169" s="26"/>
      <c r="D169" s="26"/>
      <c r="E169" s="26"/>
      <c r="F169" s="26"/>
      <c r="G169" s="26"/>
      <c r="H169" s="26"/>
      <c r="I169" s="26"/>
    </row>
    <row r="170" customFormat="false" ht="15.75" hidden="false" customHeight="true" outlineLevel="0" collapsed="false">
      <c r="A170"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GESPERRT bis Woche 4 nach OP     ·     3 Sätze</v>
      </c>
      <c r="B170" s="27"/>
      <c r="C170" s="27"/>
      <c r="D170" s="27"/>
      <c r="E170" s="27"/>
      <c r="F170" s="27"/>
      <c r="G170" s="27"/>
      <c r="H170" s="27"/>
      <c r="I170" s="27"/>
    </row>
    <row r="171" customFormat="false" ht="13.5" hidden="false" customHeight="true" outlineLevel="0" collapsed="false">
      <c r="A171" s="28" t="str">
        <f aca="false">IF(IFERROR(INDEX(Plan!$K$6:$K$21,MATCH(Plan!$A$14,Plan!$A$6:$A$21,0)),"")="","","zuletzt "&amp;IFERROR(INDEX(Plan!$K$6:$K$21,MATCH(Plan!$A$14,Plan!$A$6:$A$21,0)),"")&amp;"     ·     ")&amp;IF(IFERROR(INDEX(Plan!$N$6:$N$21,MATCH(Plan!$A$14,Plan!$A$6:$A$21,0)),"")="","",IFERROR(INDEX(Plan!$N$6:$N$21,MATCH(Plan!$A$14,Plan!$A$6:$A$21,0)),""))</f>
        <v>zuletzt 270 kg × 8 Wdh     ·     Wdh +1 auf 9</v>
      </c>
      <c r="B171" s="28"/>
      <c r="C171" s="28"/>
      <c r="D171" s="28"/>
      <c r="E171" s="28"/>
      <c r="F171" s="28"/>
      <c r="G171" s="28"/>
      <c r="H171" s="28"/>
      <c r="I171" s="28"/>
    </row>
    <row r="172" customFormat="false" ht="18" hidden="false" customHeight="true" outlineLevel="0" collapsed="false">
      <c r="A172" s="29" t="s">
        <v>57</v>
      </c>
      <c r="B172" s="29" t="s">
        <v>58</v>
      </c>
      <c r="C172" s="29" t="s">
        <v>59</v>
      </c>
      <c r="D172" s="29" t="s">
        <v>60</v>
      </c>
      <c r="E172" s="29" t="s">
        <v>61</v>
      </c>
      <c r="F172" s="29" t="s">
        <v>62</v>
      </c>
      <c r="G172" s="29" t="s">
        <v>63</v>
      </c>
      <c r="H172" s="29" t="s">
        <v>64</v>
      </c>
      <c r="I172" s="29" t="s">
        <v>65</v>
      </c>
    </row>
    <row r="173" customFormat="false" ht="18" hidden="false" customHeight="true" outlineLevel="0" collapsed="false">
      <c r="A173" s="30" t="n">
        <v>1</v>
      </c>
      <c r="B173" s="31" t="s">
        <v>66</v>
      </c>
      <c r="C173" s="32" t="str">
        <f aca="false">IF(OR(IFERROR(INDEX(Plan!$J$6:$J$21,MATCH(Plan!$A$14,Plan!$A$6:$A$21,0)),"")="GESPERRT",IFERROR(INDEX(Plan!$L$6:$L$21,MATCH(Plan!$A$14,Plan!$A$6:$A$21,0)),"")=""),"",ROUND(IFERROR(INDEX(Plan!$L$6:$L$21,MATCH(Plan!$A$14,Plan!$A$6:$A$21,0)),"")*0.45*2,0)/2)</f>
        <v/>
      </c>
      <c r="D173" s="33"/>
      <c r="E173" s="34"/>
      <c r="F173" s="34"/>
      <c r="G173" s="34"/>
      <c r="H173" s="34"/>
      <c r="I173" s="34"/>
    </row>
    <row r="174" customFormat="false" ht="18" hidden="false" customHeight="true" outlineLevel="0" collapsed="false">
      <c r="A174" s="30" t="n">
        <v>2</v>
      </c>
      <c r="B174" s="31" t="s">
        <v>66</v>
      </c>
      <c r="C174" s="32" t="str">
        <f aca="false">IF(OR(IFERROR(INDEX(Plan!$J$6:$J$21,MATCH(Plan!$A$14,Plan!$A$6:$A$21,0)),"")="GESPERRT",IFERROR(INDEX(Plan!$L$6:$L$21,MATCH(Plan!$A$14,Plan!$A$6:$A$21,0)),"")=""),"",ROUND(IFERROR(INDEX(Plan!$L$6:$L$21,MATCH(Plan!$A$14,Plan!$A$6:$A$21,0)),"")*0.7*2,0)/2)</f>
        <v/>
      </c>
      <c r="D174" s="33"/>
      <c r="E174" s="34"/>
      <c r="F174" s="34"/>
      <c r="G174" s="34"/>
      <c r="H174" s="34"/>
      <c r="I174" s="34"/>
    </row>
    <row r="175" customFormat="false" ht="18" hidden="false" customHeight="true" outlineLevel="0" collapsed="false">
      <c r="A175" s="30" t="n">
        <v>3</v>
      </c>
      <c r="B175" s="35" t="s">
        <v>67</v>
      </c>
      <c r="C175" s="32" t="str">
        <f aca="false">IF(OR(IFERROR(INDEX(Plan!$J$6:$J$21,MATCH(Plan!$A$14,Plan!$A$6:$A$21,0)),"")="GESPERRT",IFERROR(INDEX(Plan!$L$6:$L$21,MATCH(Plan!$A$14,Plan!$A$6:$A$21,0)),"")=""),"",ROUND(IFERROR(INDEX(Plan!$L$6:$L$21,MATCH(Plan!$A$14,Plan!$A$6:$A$21,0)),"")*1*2,0)/2)</f>
        <v/>
      </c>
      <c r="D175" s="36" t="str">
        <f aca="false">IF(OR(IFERROR(INDEX(Plan!$J$6:$J$21,MATCH(Plan!$A$14,Plan!$A$6:$A$21,0)),"")="GESPERRT",IFERROR(INDEX(Plan!$M$6:$M$21,MATCH(Plan!$A$14,Plan!$A$6:$A$21,0)),"")=""),"",IFERROR(INDEX(Plan!$M$6:$M$21,MATCH(Plan!$A$14,Plan!$A$6:$A$21,0)),""))</f>
        <v/>
      </c>
      <c r="E175" s="34"/>
      <c r="F175" s="34"/>
      <c r="G175" s="34"/>
      <c r="H175" s="34"/>
      <c r="I175" s="34"/>
    </row>
    <row r="176" customFormat="false" ht="18" hidden="false" customHeight="true" outlineLevel="0" collapsed="false">
      <c r="A176" s="30" t="n">
        <v>4</v>
      </c>
      <c r="B176" s="35" t="s">
        <v>67</v>
      </c>
      <c r="C176" s="32" t="str">
        <f aca="false">IF(OR(IFERROR(INDEX(Plan!$J$6:$J$21,MATCH(Plan!$A$14,Plan!$A$6:$A$21,0)),"")="GESPERRT",IFERROR(INDEX(Plan!$L$6:$L$21,MATCH(Plan!$A$14,Plan!$A$6:$A$21,0)),"")=""),"",ROUND(IFERROR(INDEX(Plan!$L$6:$L$21,MATCH(Plan!$A$14,Plan!$A$6:$A$21,0)),"")*1*2,0)/2)</f>
        <v/>
      </c>
      <c r="D176" s="36" t="str">
        <f aca="false">IF(OR(IFERROR(INDEX(Plan!$J$6:$J$21,MATCH(Plan!$A$14,Plan!$A$6:$A$21,0)),"")="GESPERRT",IFERROR(INDEX(Plan!$M$6:$M$21,MATCH(Plan!$A$14,Plan!$A$6:$A$21,0)),"")=""),"",IFERROR(INDEX(Plan!$M$6:$M$21,MATCH(Plan!$A$14,Plan!$A$6:$A$21,0)),""))</f>
        <v/>
      </c>
      <c r="E176" s="34"/>
      <c r="F176" s="34"/>
      <c r="G176" s="34"/>
      <c r="H176" s="34"/>
      <c r="I176" s="34"/>
    </row>
    <row r="177" customFormat="false" ht="18" hidden="false" customHeight="true" outlineLevel="0" collapsed="false">
      <c r="A177" s="30" t="n">
        <v>5</v>
      </c>
      <c r="B177" s="35" t="s">
        <v>67</v>
      </c>
      <c r="C177" s="32" t="str">
        <f aca="false">IF(OR(IFERROR(INDEX(Plan!$J$6:$J$21,MATCH(Plan!$A$14,Plan!$A$6:$A$21,0)),"")="GESPERRT",IFERROR(INDEX(Plan!$L$6:$L$21,MATCH(Plan!$A$14,Plan!$A$6:$A$21,0)),"")=""),"",ROUND(IFERROR(INDEX(Plan!$L$6:$L$21,MATCH(Plan!$A$14,Plan!$A$6:$A$21,0)),"")*1*2,0)/2)</f>
        <v/>
      </c>
      <c r="D177" s="36" t="str">
        <f aca="false">IF(OR(IFERROR(INDEX(Plan!$J$6:$J$21,MATCH(Plan!$A$14,Plan!$A$6:$A$21,0)),"")="GESPERRT",IFERROR(INDEX(Plan!$M$6:$M$21,MATCH(Plan!$A$14,Plan!$A$6:$A$21,0)),"")=""),"",IFERROR(INDEX(Plan!$M$6:$M$21,MATCH(Plan!$A$14,Plan!$A$6:$A$21,0)),""))</f>
        <v/>
      </c>
      <c r="E177" s="34"/>
      <c r="F177" s="34"/>
      <c r="G177" s="34"/>
      <c r="H177" s="34"/>
      <c r="I177" s="34"/>
    </row>
    <row r="179" customFormat="false" ht="18" hidden="false" customHeight="true" outlineLevel="0" collapsed="false">
      <c r="A179" s="26" t="str">
        <f aca="false">Plan!$A$15</f>
        <v>Beinbeuger</v>
      </c>
      <c r="B179" s="26"/>
      <c r="C179" s="26"/>
      <c r="D179" s="26"/>
      <c r="E179" s="26"/>
      <c r="F179" s="26"/>
      <c r="G179" s="26"/>
      <c r="H179" s="26"/>
      <c r="I179" s="26"/>
    </row>
    <row r="180" customFormat="false" ht="15.75" hidden="false" customHeight="true" outlineLevel="0" collapsed="false">
      <c r="A180"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180" s="27"/>
      <c r="C180" s="27"/>
      <c r="D180" s="27"/>
      <c r="E180" s="27"/>
      <c r="F180" s="27"/>
      <c r="G180" s="27"/>
      <c r="H180" s="27"/>
      <c r="I180" s="27"/>
    </row>
    <row r="181" customFormat="false" ht="13.5" hidden="false" customHeight="true" outlineLevel="0" collapsed="false">
      <c r="A181"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181" s="28"/>
      <c r="C181" s="28"/>
      <c r="D181" s="28"/>
      <c r="E181" s="28"/>
      <c r="F181" s="28"/>
      <c r="G181" s="28"/>
      <c r="H181" s="28"/>
      <c r="I181" s="28"/>
    </row>
    <row r="182" customFormat="false" ht="18" hidden="false" customHeight="true" outlineLevel="0" collapsed="false">
      <c r="A182" s="29" t="s">
        <v>57</v>
      </c>
      <c r="B182" s="29" t="s">
        <v>58</v>
      </c>
      <c r="C182" s="29" t="s">
        <v>59</v>
      </c>
      <c r="D182" s="29" t="s">
        <v>60</v>
      </c>
      <c r="E182" s="29" t="s">
        <v>61</v>
      </c>
      <c r="F182" s="29" t="s">
        <v>62</v>
      </c>
      <c r="G182" s="29" t="s">
        <v>63</v>
      </c>
      <c r="H182" s="29" t="s">
        <v>64</v>
      </c>
      <c r="I182" s="29" t="s">
        <v>65</v>
      </c>
    </row>
    <row r="183" customFormat="false" ht="18" hidden="false" customHeight="true" outlineLevel="0" collapsed="false">
      <c r="A183" s="30" t="n">
        <v>1</v>
      </c>
      <c r="B183" s="31" t="s">
        <v>66</v>
      </c>
      <c r="C183" s="32" t="n">
        <f aca="false">IF(OR(IFERROR(INDEX(Plan!$J$6:$J$21,MATCH(Plan!$A$15,Plan!$A$6:$A$21,0)),"")="GESPERRT",IFERROR(INDEX(Plan!$L$6:$L$21,MATCH(Plan!$A$15,Plan!$A$6:$A$21,0)),"")=""),"",ROUND(IFERROR(INDEX(Plan!$L$6:$L$21,MATCH(Plan!$A$15,Plan!$A$6:$A$21,0)),"")*0.45*2,0)/2)</f>
        <v>22.5</v>
      </c>
      <c r="D183" s="33"/>
      <c r="E183" s="34"/>
      <c r="F183" s="34"/>
      <c r="G183" s="34"/>
      <c r="H183" s="34"/>
      <c r="I183" s="34"/>
    </row>
    <row r="184" customFormat="false" ht="18" hidden="false" customHeight="true" outlineLevel="0" collapsed="false">
      <c r="A184" s="30" t="n">
        <v>2</v>
      </c>
      <c r="B184" s="31" t="s">
        <v>66</v>
      </c>
      <c r="C184" s="32" t="n">
        <f aca="false">IF(OR(IFERROR(INDEX(Plan!$J$6:$J$21,MATCH(Plan!$A$15,Plan!$A$6:$A$21,0)),"")="GESPERRT",IFERROR(INDEX(Plan!$L$6:$L$21,MATCH(Plan!$A$15,Plan!$A$6:$A$21,0)),"")=""),"",ROUND(IFERROR(INDEX(Plan!$L$6:$L$21,MATCH(Plan!$A$15,Plan!$A$6:$A$21,0)),"")*0.7*2,0)/2)</f>
        <v>35</v>
      </c>
      <c r="D184" s="33"/>
      <c r="E184" s="34"/>
      <c r="F184" s="34"/>
      <c r="G184" s="34"/>
      <c r="H184" s="34"/>
      <c r="I184" s="34"/>
    </row>
    <row r="185" customFormat="false" ht="18" hidden="false" customHeight="true" outlineLevel="0" collapsed="false">
      <c r="A185" s="30" t="n">
        <v>3</v>
      </c>
      <c r="B185" s="35" t="s">
        <v>67</v>
      </c>
      <c r="C185" s="32" t="n">
        <f aca="false">IF(OR(IFERROR(INDEX(Plan!$J$6:$J$21,MATCH(Plan!$A$15,Plan!$A$6:$A$21,0)),"")="GESPERRT",IFERROR(INDEX(Plan!$L$6:$L$21,MATCH(Plan!$A$15,Plan!$A$6:$A$21,0)),"")=""),"",ROUND(IFERROR(INDEX(Plan!$L$6:$L$21,MATCH(Plan!$A$15,Plan!$A$6:$A$21,0)),"")*1*2,0)/2)</f>
        <v>50</v>
      </c>
      <c r="D185" s="36" t="n">
        <f aca="false">IF(OR(IFERROR(INDEX(Plan!$J$6:$J$21,MATCH(Plan!$A$15,Plan!$A$6:$A$21,0)),"")="GESPERRT",IFERROR(INDEX(Plan!$M$6:$M$21,MATCH(Plan!$A$15,Plan!$A$6:$A$21,0)),"")=""),"",IFERROR(INDEX(Plan!$M$6:$M$21,MATCH(Plan!$A$15,Plan!$A$6:$A$21,0)),""))</f>
        <v>10</v>
      </c>
      <c r="E185" s="34"/>
      <c r="F185" s="34"/>
      <c r="G185" s="34"/>
      <c r="H185" s="34"/>
      <c r="I185" s="34"/>
    </row>
    <row r="186" customFormat="false" ht="18" hidden="false" customHeight="true" outlineLevel="0" collapsed="false">
      <c r="A186" s="30" t="n">
        <v>4</v>
      </c>
      <c r="B186" s="35" t="s">
        <v>67</v>
      </c>
      <c r="C186" s="32" t="n">
        <f aca="false">IF(OR(IFERROR(INDEX(Plan!$J$6:$J$21,MATCH(Plan!$A$15,Plan!$A$6:$A$21,0)),"")="GESPERRT",IFERROR(INDEX(Plan!$L$6:$L$21,MATCH(Plan!$A$15,Plan!$A$6:$A$21,0)),"")=""),"",ROUND(IFERROR(INDEX(Plan!$L$6:$L$21,MATCH(Plan!$A$15,Plan!$A$6:$A$21,0)),"")*1*2,0)/2)</f>
        <v>50</v>
      </c>
      <c r="D186" s="36" t="n">
        <f aca="false">IF(OR(IFERROR(INDEX(Plan!$J$6:$J$21,MATCH(Plan!$A$15,Plan!$A$6:$A$21,0)),"")="GESPERRT",IFERROR(INDEX(Plan!$M$6:$M$21,MATCH(Plan!$A$15,Plan!$A$6:$A$21,0)),"")=""),"",IFERROR(INDEX(Plan!$M$6:$M$21,MATCH(Plan!$A$15,Plan!$A$6:$A$21,0)),""))</f>
        <v>10</v>
      </c>
      <c r="E186" s="34"/>
      <c r="F186" s="34"/>
      <c r="G186" s="34"/>
      <c r="H186" s="34"/>
      <c r="I186" s="34"/>
    </row>
    <row r="187" customFormat="false" ht="18" hidden="false" customHeight="true" outlineLevel="0" collapsed="false">
      <c r="A187" s="30" t="n">
        <v>5</v>
      </c>
      <c r="B187" s="31" t="s">
        <v>68</v>
      </c>
      <c r="C187" s="33"/>
      <c r="D187" s="33"/>
      <c r="E187" s="34"/>
      <c r="F187" s="34"/>
      <c r="G187" s="34"/>
      <c r="H187" s="34"/>
      <c r="I187" s="34"/>
    </row>
    <row r="189" customFormat="false" ht="18" hidden="false" customHeight="true" outlineLevel="0" collapsed="false">
      <c r="A189" s="26" t="str">
        <f aca="false">Plan!$A$16</f>
        <v>Seitliche Kickbacks</v>
      </c>
      <c r="B189" s="26"/>
      <c r="C189" s="26"/>
      <c r="D189" s="26"/>
      <c r="E189" s="26"/>
      <c r="F189" s="26"/>
      <c r="G189" s="26"/>
      <c r="H189" s="26"/>
      <c r="I189" s="26"/>
    </row>
    <row r="190" customFormat="false" ht="15.75" hidden="false" customHeight="true" outlineLevel="0" collapsed="false">
      <c r="A190"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GESPERRT bis Woche 2 nach OP     ·     3 Sätze</v>
      </c>
      <c r="B190" s="27"/>
      <c r="C190" s="27"/>
      <c r="D190" s="27"/>
      <c r="E190" s="27"/>
      <c r="F190" s="27"/>
      <c r="G190" s="27"/>
      <c r="H190" s="27"/>
      <c r="I190" s="27"/>
    </row>
    <row r="191" customFormat="false" ht="13.5" hidden="false" customHeight="true" outlineLevel="0" collapsed="false">
      <c r="A191" s="28" t="str">
        <f aca="false">IF(IFERROR(INDEX(Plan!$K$6:$K$21,MATCH(Plan!$A$16,Plan!$A$6:$A$21,0)),"")="","","zuletzt "&amp;IFERROR(INDEX(Plan!$K$6:$K$21,MATCH(Plan!$A$16,Plan!$A$6:$A$21,0)),"")&amp;"     ·     ")&amp;IF(IFERROR(INDEX(Plan!$N$6:$N$21,MATCH(Plan!$A$16,Plan!$A$6:$A$21,0)),"")="","",IFERROR(INDEX(Plan!$N$6:$N$21,MATCH(Plan!$A$16,Plan!$A$6:$A$21,0)),""))</f>
        <v>zuletzt 35 kg × 15 Wdh     ·     Wdh +1 auf 16</v>
      </c>
      <c r="B191" s="28"/>
      <c r="C191" s="28"/>
      <c r="D191" s="28"/>
      <c r="E191" s="28"/>
      <c r="F191" s="28"/>
      <c r="G191" s="28"/>
      <c r="H191" s="28"/>
      <c r="I191" s="28"/>
    </row>
    <row r="192" customFormat="false" ht="18" hidden="false" customHeight="true" outlineLevel="0" collapsed="false">
      <c r="A192" s="29" t="s">
        <v>57</v>
      </c>
      <c r="B192" s="29" t="s">
        <v>58</v>
      </c>
      <c r="C192" s="29" t="s">
        <v>59</v>
      </c>
      <c r="D192" s="29" t="s">
        <v>60</v>
      </c>
      <c r="E192" s="29" t="s">
        <v>61</v>
      </c>
      <c r="F192" s="29" t="s">
        <v>62</v>
      </c>
      <c r="G192" s="29" t="s">
        <v>63</v>
      </c>
      <c r="H192" s="29" t="s">
        <v>64</v>
      </c>
      <c r="I192" s="29" t="s">
        <v>65</v>
      </c>
    </row>
    <row r="193" customFormat="false" ht="18" hidden="false" customHeight="true" outlineLevel="0" collapsed="false">
      <c r="A193" s="30" t="n">
        <v>1</v>
      </c>
      <c r="B193" s="31" t="s">
        <v>66</v>
      </c>
      <c r="C193" s="32" t="str">
        <f aca="false">IF(OR(IFERROR(INDEX(Plan!$J$6:$J$21,MATCH(Plan!$A$16,Plan!$A$6:$A$21,0)),"")="GESPERRT",IFERROR(INDEX(Plan!$L$6:$L$21,MATCH(Plan!$A$16,Plan!$A$6:$A$21,0)),"")=""),"",ROUND(IFERROR(INDEX(Plan!$L$6:$L$21,MATCH(Plan!$A$16,Plan!$A$6:$A$21,0)),"")*0.45*2,0)/2)</f>
        <v/>
      </c>
      <c r="D193" s="33"/>
      <c r="E193" s="34"/>
      <c r="F193" s="34"/>
      <c r="G193" s="34"/>
      <c r="H193" s="34"/>
      <c r="I193" s="34"/>
    </row>
    <row r="194" customFormat="false" ht="18" hidden="false" customHeight="true" outlineLevel="0" collapsed="false">
      <c r="A194" s="30" t="n">
        <v>2</v>
      </c>
      <c r="B194" s="31" t="s">
        <v>66</v>
      </c>
      <c r="C194" s="32" t="str">
        <f aca="false">IF(OR(IFERROR(INDEX(Plan!$J$6:$J$21,MATCH(Plan!$A$16,Plan!$A$6:$A$21,0)),"")="GESPERRT",IFERROR(INDEX(Plan!$L$6:$L$21,MATCH(Plan!$A$16,Plan!$A$6:$A$21,0)),"")=""),"",ROUND(IFERROR(INDEX(Plan!$L$6:$L$21,MATCH(Plan!$A$16,Plan!$A$6:$A$21,0)),"")*0.7*2,0)/2)</f>
        <v/>
      </c>
      <c r="D194" s="33"/>
      <c r="E194" s="34"/>
      <c r="F194" s="34"/>
      <c r="G194" s="34"/>
      <c r="H194" s="34"/>
      <c r="I194" s="34"/>
    </row>
    <row r="195" customFormat="false" ht="18" hidden="false" customHeight="true" outlineLevel="0" collapsed="false">
      <c r="A195" s="30" t="n">
        <v>3</v>
      </c>
      <c r="B195" s="35" t="s">
        <v>67</v>
      </c>
      <c r="C195" s="32" t="str">
        <f aca="false">IF(OR(IFERROR(INDEX(Plan!$J$6:$J$21,MATCH(Plan!$A$16,Plan!$A$6:$A$21,0)),"")="GESPERRT",IFERROR(INDEX(Plan!$L$6:$L$21,MATCH(Plan!$A$16,Plan!$A$6:$A$21,0)),"")=""),"",ROUND(IFERROR(INDEX(Plan!$L$6:$L$21,MATCH(Plan!$A$16,Plan!$A$6:$A$21,0)),"")*1*2,0)/2)</f>
        <v/>
      </c>
      <c r="D195" s="36" t="str">
        <f aca="false">IF(OR(IFERROR(INDEX(Plan!$J$6:$J$21,MATCH(Plan!$A$16,Plan!$A$6:$A$21,0)),"")="GESPERRT",IFERROR(INDEX(Plan!$M$6:$M$21,MATCH(Plan!$A$16,Plan!$A$6:$A$21,0)),"")=""),"",IFERROR(INDEX(Plan!$M$6:$M$21,MATCH(Plan!$A$16,Plan!$A$6:$A$21,0)),""))</f>
        <v/>
      </c>
      <c r="E195" s="34"/>
      <c r="F195" s="34"/>
      <c r="G195" s="34"/>
      <c r="H195" s="34"/>
      <c r="I195" s="34"/>
    </row>
    <row r="196" customFormat="false" ht="18" hidden="false" customHeight="true" outlineLevel="0" collapsed="false">
      <c r="A196" s="30" t="n">
        <v>4</v>
      </c>
      <c r="B196" s="35" t="s">
        <v>67</v>
      </c>
      <c r="C196" s="32" t="str">
        <f aca="false">IF(OR(IFERROR(INDEX(Plan!$J$6:$J$21,MATCH(Plan!$A$16,Plan!$A$6:$A$21,0)),"")="GESPERRT",IFERROR(INDEX(Plan!$L$6:$L$21,MATCH(Plan!$A$16,Plan!$A$6:$A$21,0)),"")=""),"",ROUND(IFERROR(INDEX(Plan!$L$6:$L$21,MATCH(Plan!$A$16,Plan!$A$6:$A$21,0)),"")*1*2,0)/2)</f>
        <v/>
      </c>
      <c r="D196" s="36" t="str">
        <f aca="false">IF(OR(IFERROR(INDEX(Plan!$J$6:$J$21,MATCH(Plan!$A$16,Plan!$A$6:$A$21,0)),"")="GESPERRT",IFERROR(INDEX(Plan!$M$6:$M$21,MATCH(Plan!$A$16,Plan!$A$6:$A$21,0)),"")=""),"",IFERROR(INDEX(Plan!$M$6:$M$21,MATCH(Plan!$A$16,Plan!$A$6:$A$21,0)),""))</f>
        <v/>
      </c>
      <c r="E196" s="34"/>
      <c r="F196" s="34"/>
      <c r="G196" s="34"/>
      <c r="H196" s="34"/>
      <c r="I196" s="34"/>
    </row>
    <row r="197" customFormat="false" ht="18" hidden="false" customHeight="true" outlineLevel="0" collapsed="false">
      <c r="A197" s="30" t="n">
        <v>5</v>
      </c>
      <c r="B197" s="35" t="s">
        <v>67</v>
      </c>
      <c r="C197" s="32" t="str">
        <f aca="false">IF(OR(IFERROR(INDEX(Plan!$J$6:$J$21,MATCH(Plan!$A$16,Plan!$A$6:$A$21,0)),"")="GESPERRT",IFERROR(INDEX(Plan!$L$6:$L$21,MATCH(Plan!$A$16,Plan!$A$6:$A$21,0)),"")=""),"",ROUND(IFERROR(INDEX(Plan!$L$6:$L$21,MATCH(Plan!$A$16,Plan!$A$6:$A$21,0)),"")*1*2,0)/2)</f>
        <v/>
      </c>
      <c r="D197" s="36" t="str">
        <f aca="false">IF(OR(IFERROR(INDEX(Plan!$J$6:$J$21,MATCH(Plan!$A$16,Plan!$A$6:$A$21,0)),"")="GESPERRT",IFERROR(INDEX(Plan!$M$6:$M$21,MATCH(Plan!$A$16,Plan!$A$6:$A$21,0)),"")=""),"",IFERROR(INDEX(Plan!$M$6:$M$21,MATCH(Plan!$A$16,Plan!$A$6:$A$21,0)),""))</f>
        <v/>
      </c>
      <c r="E197" s="34"/>
      <c r="F197" s="34"/>
      <c r="G197" s="34"/>
      <c r="H197" s="34"/>
      <c r="I197" s="34"/>
    </row>
    <row r="199" customFormat="false" ht="18" hidden="false" customHeight="true" outlineLevel="0" collapsed="false">
      <c r="A199" s="26" t="str">
        <f aca="false">Plan!$A$17</f>
        <v>Waden</v>
      </c>
      <c r="B199" s="26"/>
      <c r="C199" s="26"/>
      <c r="D199" s="26"/>
      <c r="E199" s="26"/>
      <c r="F199" s="26"/>
      <c r="G199" s="26"/>
      <c r="H199" s="26"/>
      <c r="I199" s="26"/>
    </row>
    <row r="200" customFormat="false" ht="15.75" hidden="false" customHeight="true" outlineLevel="0" collapsed="false">
      <c r="A200"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GESPERRT bis Woche 2 nach OP     ·     3 Sätze</v>
      </c>
      <c r="B200" s="27"/>
      <c r="C200" s="27"/>
      <c r="D200" s="27"/>
      <c r="E200" s="27"/>
      <c r="F200" s="27"/>
      <c r="G200" s="27"/>
      <c r="H200" s="27"/>
      <c r="I200" s="27"/>
    </row>
    <row r="201" customFormat="false" ht="13.5" hidden="false" customHeight="true" outlineLevel="0" collapsed="false">
      <c r="A201" s="28" t="str">
        <f aca="false">IF(IFERROR(INDEX(Plan!$K$6:$K$21,MATCH(Plan!$A$17,Plan!$A$6:$A$21,0)),"")="","","zuletzt "&amp;IFERROR(INDEX(Plan!$K$6:$K$21,MATCH(Plan!$A$17,Plan!$A$6:$A$21,0)),"")&amp;"     ·     ")&amp;IF(IFERROR(INDEX(Plan!$N$6:$N$21,MATCH(Plan!$A$17,Plan!$A$6:$A$21,0)),"")="","",IFERROR(INDEX(Plan!$N$6:$N$21,MATCH(Plan!$A$17,Plan!$A$6:$A$21,0)),""))</f>
        <v>zuletzt 150 kg × 12 Wdh     ·     Wdh +1 auf 13</v>
      </c>
      <c r="B201" s="28"/>
      <c r="C201" s="28"/>
      <c r="D201" s="28"/>
      <c r="E201" s="28"/>
      <c r="F201" s="28"/>
      <c r="G201" s="28"/>
      <c r="H201" s="28"/>
      <c r="I201" s="28"/>
    </row>
    <row r="202" customFormat="false" ht="18" hidden="false" customHeight="true" outlineLevel="0" collapsed="false">
      <c r="A202" s="29" t="s">
        <v>57</v>
      </c>
      <c r="B202" s="29" t="s">
        <v>58</v>
      </c>
      <c r="C202" s="29" t="s">
        <v>59</v>
      </c>
      <c r="D202" s="29" t="s">
        <v>60</v>
      </c>
      <c r="E202" s="29" t="s">
        <v>61</v>
      </c>
      <c r="F202" s="29" t="s">
        <v>62</v>
      </c>
      <c r="G202" s="29" t="s">
        <v>63</v>
      </c>
      <c r="H202" s="29" t="s">
        <v>64</v>
      </c>
      <c r="I202" s="29" t="s">
        <v>65</v>
      </c>
    </row>
    <row r="203" customFormat="false" ht="18" hidden="false" customHeight="true" outlineLevel="0" collapsed="false">
      <c r="A203" s="30" t="n">
        <v>1</v>
      </c>
      <c r="B203" s="31" t="s">
        <v>66</v>
      </c>
      <c r="C203" s="32" t="str">
        <f aca="false">IF(OR(IFERROR(INDEX(Plan!$J$6:$J$21,MATCH(Plan!$A$17,Plan!$A$6:$A$21,0)),"")="GESPERRT",IFERROR(INDEX(Plan!$L$6:$L$21,MATCH(Plan!$A$17,Plan!$A$6:$A$21,0)),"")=""),"",ROUND(IFERROR(INDEX(Plan!$L$6:$L$21,MATCH(Plan!$A$17,Plan!$A$6:$A$21,0)),"")*0.45*2,0)/2)</f>
        <v/>
      </c>
      <c r="D203" s="33"/>
      <c r="E203" s="34"/>
      <c r="F203" s="34"/>
      <c r="G203" s="34"/>
      <c r="H203" s="34"/>
      <c r="I203" s="34"/>
    </row>
    <row r="204" customFormat="false" ht="18" hidden="false" customHeight="true" outlineLevel="0" collapsed="false">
      <c r="A204" s="30" t="n">
        <v>2</v>
      </c>
      <c r="B204" s="31" t="s">
        <v>66</v>
      </c>
      <c r="C204" s="32" t="str">
        <f aca="false">IF(OR(IFERROR(INDEX(Plan!$J$6:$J$21,MATCH(Plan!$A$17,Plan!$A$6:$A$21,0)),"")="GESPERRT",IFERROR(INDEX(Plan!$L$6:$L$21,MATCH(Plan!$A$17,Plan!$A$6:$A$21,0)),"")=""),"",ROUND(IFERROR(INDEX(Plan!$L$6:$L$21,MATCH(Plan!$A$17,Plan!$A$6:$A$21,0)),"")*0.7*2,0)/2)</f>
        <v/>
      </c>
      <c r="D204" s="33"/>
      <c r="E204" s="34"/>
      <c r="F204" s="34"/>
      <c r="G204" s="34"/>
      <c r="H204" s="34"/>
      <c r="I204" s="34"/>
    </row>
    <row r="205" customFormat="false" ht="18" hidden="false" customHeight="true" outlineLevel="0" collapsed="false">
      <c r="A205" s="30" t="n">
        <v>3</v>
      </c>
      <c r="B205" s="35" t="s">
        <v>67</v>
      </c>
      <c r="C205" s="32" t="str">
        <f aca="false">IF(OR(IFERROR(INDEX(Plan!$J$6:$J$21,MATCH(Plan!$A$17,Plan!$A$6:$A$21,0)),"")="GESPERRT",IFERROR(INDEX(Plan!$L$6:$L$21,MATCH(Plan!$A$17,Plan!$A$6:$A$21,0)),"")=""),"",ROUND(IFERROR(INDEX(Plan!$L$6:$L$21,MATCH(Plan!$A$17,Plan!$A$6:$A$21,0)),"")*1*2,0)/2)</f>
        <v/>
      </c>
      <c r="D205" s="36" t="str">
        <f aca="false">IF(OR(IFERROR(INDEX(Plan!$J$6:$J$21,MATCH(Plan!$A$17,Plan!$A$6:$A$21,0)),"")="GESPERRT",IFERROR(INDEX(Plan!$M$6:$M$21,MATCH(Plan!$A$17,Plan!$A$6:$A$21,0)),"")=""),"",IFERROR(INDEX(Plan!$M$6:$M$21,MATCH(Plan!$A$17,Plan!$A$6:$A$21,0)),""))</f>
        <v/>
      </c>
      <c r="E205" s="34"/>
      <c r="F205" s="34"/>
      <c r="G205" s="34"/>
      <c r="H205" s="34"/>
      <c r="I205" s="34"/>
    </row>
    <row r="206" customFormat="false" ht="18" hidden="false" customHeight="true" outlineLevel="0" collapsed="false">
      <c r="A206" s="30" t="n">
        <v>4</v>
      </c>
      <c r="B206" s="35" t="s">
        <v>67</v>
      </c>
      <c r="C206" s="32" t="str">
        <f aca="false">IF(OR(IFERROR(INDEX(Plan!$J$6:$J$21,MATCH(Plan!$A$17,Plan!$A$6:$A$21,0)),"")="GESPERRT",IFERROR(INDEX(Plan!$L$6:$L$21,MATCH(Plan!$A$17,Plan!$A$6:$A$21,0)),"")=""),"",ROUND(IFERROR(INDEX(Plan!$L$6:$L$21,MATCH(Plan!$A$17,Plan!$A$6:$A$21,0)),"")*1*2,0)/2)</f>
        <v/>
      </c>
      <c r="D206" s="36" t="str">
        <f aca="false">IF(OR(IFERROR(INDEX(Plan!$J$6:$J$21,MATCH(Plan!$A$17,Plan!$A$6:$A$21,0)),"")="GESPERRT",IFERROR(INDEX(Plan!$M$6:$M$21,MATCH(Plan!$A$17,Plan!$A$6:$A$21,0)),"")=""),"",IFERROR(INDEX(Plan!$M$6:$M$21,MATCH(Plan!$A$17,Plan!$A$6:$A$21,0)),""))</f>
        <v/>
      </c>
      <c r="E206" s="34"/>
      <c r="F206" s="34"/>
      <c r="G206" s="34"/>
      <c r="H206" s="34"/>
      <c r="I206" s="34"/>
    </row>
    <row r="207" customFormat="false" ht="18" hidden="false" customHeight="true" outlineLevel="0" collapsed="false">
      <c r="A207" s="30" t="n">
        <v>5</v>
      </c>
      <c r="B207" s="35" t="s">
        <v>67</v>
      </c>
      <c r="C207" s="32" t="str">
        <f aca="false">IF(OR(IFERROR(INDEX(Plan!$J$6:$J$21,MATCH(Plan!$A$17,Plan!$A$6:$A$21,0)),"")="GESPERRT",IFERROR(INDEX(Plan!$L$6:$L$21,MATCH(Plan!$A$17,Plan!$A$6:$A$21,0)),"")=""),"",ROUND(IFERROR(INDEX(Plan!$L$6:$L$21,MATCH(Plan!$A$17,Plan!$A$6:$A$21,0)),"")*1*2,0)/2)</f>
        <v/>
      </c>
      <c r="D207" s="36" t="str">
        <f aca="false">IF(OR(IFERROR(INDEX(Plan!$J$6:$J$21,MATCH(Plan!$A$17,Plan!$A$6:$A$21,0)),"")="GESPERRT",IFERROR(INDEX(Plan!$M$6:$M$21,MATCH(Plan!$A$17,Plan!$A$6:$A$21,0)),"")=""),"",IFERROR(INDEX(Plan!$M$6:$M$21,MATCH(Plan!$A$17,Plan!$A$6:$A$21,0)),""))</f>
        <v/>
      </c>
      <c r="E207" s="34"/>
      <c r="F207" s="34"/>
      <c r="G207" s="34"/>
      <c r="H207" s="34"/>
      <c r="I207" s="34"/>
    </row>
    <row r="209" customFormat="false" ht="18" hidden="false" customHeight="true" outlineLevel="0" collapsed="false">
      <c r="A209" s="6" t="s">
        <v>69</v>
      </c>
      <c r="B209" s="6"/>
      <c r="C209" s="6"/>
      <c r="D209" s="6"/>
      <c r="E209" s="6"/>
      <c r="F209" s="6"/>
      <c r="G209" s="6"/>
      <c r="H209" s="6"/>
      <c r="I209" s="6"/>
    </row>
    <row r="210" customFormat="false" ht="16.5" hidden="false" customHeight="true" outlineLevel="0" collapsed="false">
      <c r="A210" s="37"/>
      <c r="B210" s="37"/>
      <c r="C210" s="37"/>
      <c r="D210" s="37"/>
      <c r="E210" s="37"/>
      <c r="F210" s="37"/>
      <c r="G210" s="37"/>
      <c r="H210" s="37"/>
      <c r="I210" s="37"/>
    </row>
    <row r="211" customFormat="false" ht="16.5" hidden="false" customHeight="true" outlineLevel="0" collapsed="false">
      <c r="A211" s="37"/>
      <c r="B211" s="37"/>
      <c r="C211" s="37"/>
      <c r="D211" s="37"/>
      <c r="E211" s="37"/>
      <c r="F211" s="37"/>
      <c r="G211" s="37"/>
      <c r="H211" s="37"/>
      <c r="I211" s="37"/>
    </row>
    <row r="213" customFormat="false" ht="25.5" hidden="false" customHeight="true" outlineLevel="0" collapsed="false">
      <c r="A213" s="1" t="s">
        <v>73</v>
      </c>
      <c r="B213" s="1"/>
      <c r="C213" s="1"/>
      <c r="D213" s="1"/>
      <c r="E213" s="1"/>
      <c r="F213" s="1"/>
      <c r="G213" s="1"/>
      <c r="H213" s="1"/>
      <c r="I213" s="1"/>
    </row>
    <row r="214" customFormat="false" ht="12" hidden="false" customHeight="true" outlineLevel="0" collapsed="false">
      <c r="A214" s="23" t="s">
        <v>52</v>
      </c>
      <c r="B214" s="23"/>
      <c r="C214" s="24" t="s">
        <v>53</v>
      </c>
      <c r="D214" s="23" t="s">
        <v>54</v>
      </c>
      <c r="E214" s="23"/>
      <c r="F214" s="23" t="s">
        <v>55</v>
      </c>
      <c r="G214" s="23"/>
      <c r="H214" s="23" t="s">
        <v>56</v>
      </c>
      <c r="I214" s="23"/>
    </row>
    <row r="215" customFormat="false" ht="18" hidden="false" customHeight="true" outlineLevel="0" collapsed="false">
      <c r="A215" s="25"/>
      <c r="B215" s="25"/>
      <c r="C215" s="25"/>
      <c r="D215" s="25"/>
      <c r="E215" s="25"/>
      <c r="F215" s="25"/>
      <c r="G215" s="25"/>
      <c r="H215" s="25"/>
      <c r="I215" s="25"/>
    </row>
    <row r="217" customFormat="false" ht="18" hidden="false" customHeight="true" outlineLevel="0" collapsed="false">
      <c r="A217" s="26" t="str">
        <f aca="false">Plan!$A$7</f>
        <v>Beinpresse</v>
      </c>
      <c r="B217" s="26"/>
      <c r="C217" s="26"/>
      <c r="D217" s="26"/>
      <c r="E217" s="26"/>
      <c r="F217" s="26"/>
      <c r="G217" s="26"/>
      <c r="H217" s="26"/>
      <c r="I217" s="26"/>
    </row>
    <row r="218" customFormat="false" ht="15.75" hidden="false" customHeight="true" outlineLevel="0" collapsed="false">
      <c r="A218"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GESPERRT bis Woche 2 nach OP     ·     3 Sätze</v>
      </c>
      <c r="B218" s="27"/>
      <c r="C218" s="27"/>
      <c r="D218" s="27"/>
      <c r="E218" s="27"/>
      <c r="F218" s="27"/>
      <c r="G218" s="27"/>
      <c r="H218" s="27"/>
      <c r="I218" s="27"/>
    </row>
    <row r="219" customFormat="false" ht="13.5" hidden="false" customHeight="true" outlineLevel="0" collapsed="false">
      <c r="A219" s="28" t="str">
        <f aca="false">IF(IFERROR(INDEX(Plan!$K$6:$K$21,MATCH(Plan!$A$7,Plan!$A$6:$A$21,0)),"")="","","zuletzt "&amp;IFERROR(INDEX(Plan!$K$6:$K$21,MATCH(Plan!$A$7,Plan!$A$6:$A$21,0)),"")&amp;"     ·     ")&amp;IF(IFERROR(INDEX(Plan!$N$6:$N$21,MATCH(Plan!$A$7,Plan!$A$6:$A$21,0)),"")="","",IFERROR(INDEX(Plan!$N$6:$N$21,MATCH(Plan!$A$7,Plan!$A$6:$A$21,0)),""))</f>
        <v/>
      </c>
      <c r="B219" s="28"/>
      <c r="C219" s="28"/>
      <c r="D219" s="28"/>
      <c r="E219" s="28"/>
      <c r="F219" s="28"/>
      <c r="G219" s="28"/>
      <c r="H219" s="28"/>
      <c r="I219" s="28"/>
    </row>
    <row r="220" customFormat="false" ht="18" hidden="false" customHeight="true" outlineLevel="0" collapsed="false">
      <c r="A220" s="29" t="s">
        <v>57</v>
      </c>
      <c r="B220" s="29" t="s">
        <v>58</v>
      </c>
      <c r="C220" s="29" t="s">
        <v>59</v>
      </c>
      <c r="D220" s="29" t="s">
        <v>60</v>
      </c>
      <c r="E220" s="29" t="s">
        <v>61</v>
      </c>
      <c r="F220" s="29" t="s">
        <v>62</v>
      </c>
      <c r="G220" s="29" t="s">
        <v>63</v>
      </c>
      <c r="H220" s="29" t="s">
        <v>64</v>
      </c>
      <c r="I220" s="29" t="s">
        <v>65</v>
      </c>
    </row>
    <row r="221" customFormat="false" ht="18" hidden="false" customHeight="true" outlineLevel="0" collapsed="false">
      <c r="A221" s="30" t="n">
        <v>1</v>
      </c>
      <c r="B221" s="31" t="s">
        <v>66</v>
      </c>
      <c r="C221" s="32" t="str">
        <f aca="false">IF(OR(IFERROR(INDEX(Plan!$J$6:$J$21,MATCH(Plan!$A$7,Plan!$A$6:$A$21,0)),"")="GESPERRT",IFERROR(INDEX(Plan!$L$6:$L$21,MATCH(Plan!$A$7,Plan!$A$6:$A$21,0)),"")=""),"",ROUND(IFERROR(INDEX(Plan!$L$6:$L$21,MATCH(Plan!$A$7,Plan!$A$6:$A$21,0)),"")*0.45*2,0)/2)</f>
        <v/>
      </c>
      <c r="D221" s="33"/>
      <c r="E221" s="34"/>
      <c r="F221" s="34"/>
      <c r="G221" s="34"/>
      <c r="H221" s="34"/>
      <c r="I221" s="34"/>
    </row>
    <row r="222" customFormat="false" ht="18" hidden="false" customHeight="true" outlineLevel="0" collapsed="false">
      <c r="A222" s="30" t="n">
        <v>2</v>
      </c>
      <c r="B222" s="31" t="s">
        <v>66</v>
      </c>
      <c r="C222" s="32" t="str">
        <f aca="false">IF(OR(IFERROR(INDEX(Plan!$J$6:$J$21,MATCH(Plan!$A$7,Plan!$A$6:$A$21,0)),"")="GESPERRT",IFERROR(INDEX(Plan!$L$6:$L$21,MATCH(Plan!$A$7,Plan!$A$6:$A$21,0)),"")=""),"",ROUND(IFERROR(INDEX(Plan!$L$6:$L$21,MATCH(Plan!$A$7,Plan!$A$6:$A$21,0)),"")*0.7*2,0)/2)</f>
        <v/>
      </c>
      <c r="D222" s="33"/>
      <c r="E222" s="34"/>
      <c r="F222" s="34"/>
      <c r="G222" s="34"/>
      <c r="H222" s="34"/>
      <c r="I222" s="34"/>
    </row>
    <row r="223" customFormat="false" ht="18" hidden="false" customHeight="true" outlineLevel="0" collapsed="false">
      <c r="A223" s="30" t="n">
        <v>3</v>
      </c>
      <c r="B223" s="35" t="s">
        <v>67</v>
      </c>
      <c r="C223" s="32" t="str">
        <f aca="false">IF(OR(IFERROR(INDEX(Plan!$J$6:$J$21,MATCH(Plan!$A$7,Plan!$A$6:$A$21,0)),"")="GESPERRT",IFERROR(INDEX(Plan!$L$6:$L$21,MATCH(Plan!$A$7,Plan!$A$6:$A$21,0)),"")=""),"",ROUND(IFERROR(INDEX(Plan!$L$6:$L$21,MATCH(Plan!$A$7,Plan!$A$6:$A$21,0)),"")*1*2,0)/2)</f>
        <v/>
      </c>
      <c r="D223" s="36" t="str">
        <f aca="false">IF(OR(IFERROR(INDEX(Plan!$J$6:$J$21,MATCH(Plan!$A$7,Plan!$A$6:$A$21,0)),"")="GESPERRT",IFERROR(INDEX(Plan!$M$6:$M$21,MATCH(Plan!$A$7,Plan!$A$6:$A$21,0)),"")=""),"",IFERROR(INDEX(Plan!$M$6:$M$21,MATCH(Plan!$A$7,Plan!$A$6:$A$21,0)),""))</f>
        <v/>
      </c>
      <c r="E223" s="34"/>
      <c r="F223" s="34"/>
      <c r="G223" s="34"/>
      <c r="H223" s="34"/>
      <c r="I223" s="34"/>
    </row>
    <row r="224" customFormat="false" ht="18" hidden="false" customHeight="true" outlineLevel="0" collapsed="false">
      <c r="A224" s="30" t="n">
        <v>4</v>
      </c>
      <c r="B224" s="35" t="s">
        <v>67</v>
      </c>
      <c r="C224" s="32" t="str">
        <f aca="false">IF(OR(IFERROR(INDEX(Plan!$J$6:$J$21,MATCH(Plan!$A$7,Plan!$A$6:$A$21,0)),"")="GESPERRT",IFERROR(INDEX(Plan!$L$6:$L$21,MATCH(Plan!$A$7,Plan!$A$6:$A$21,0)),"")=""),"",ROUND(IFERROR(INDEX(Plan!$L$6:$L$21,MATCH(Plan!$A$7,Plan!$A$6:$A$21,0)),"")*1*2,0)/2)</f>
        <v/>
      </c>
      <c r="D224" s="36" t="str">
        <f aca="false">IF(OR(IFERROR(INDEX(Plan!$J$6:$J$21,MATCH(Plan!$A$7,Plan!$A$6:$A$21,0)),"")="GESPERRT",IFERROR(INDEX(Plan!$M$6:$M$21,MATCH(Plan!$A$7,Plan!$A$6:$A$21,0)),"")=""),"",IFERROR(INDEX(Plan!$M$6:$M$21,MATCH(Plan!$A$7,Plan!$A$6:$A$21,0)),""))</f>
        <v/>
      </c>
      <c r="E224" s="34"/>
      <c r="F224" s="34"/>
      <c r="G224" s="34"/>
      <c r="H224" s="34"/>
      <c r="I224" s="34"/>
    </row>
    <row r="225" customFormat="false" ht="18" hidden="false" customHeight="true" outlineLevel="0" collapsed="false">
      <c r="A225" s="30" t="n">
        <v>5</v>
      </c>
      <c r="B225" s="35" t="s">
        <v>67</v>
      </c>
      <c r="C225" s="32" t="str">
        <f aca="false">IF(OR(IFERROR(INDEX(Plan!$J$6:$J$21,MATCH(Plan!$A$7,Plan!$A$6:$A$21,0)),"")="GESPERRT",IFERROR(INDEX(Plan!$L$6:$L$21,MATCH(Plan!$A$7,Plan!$A$6:$A$21,0)),"")=""),"",ROUND(IFERROR(INDEX(Plan!$L$6:$L$21,MATCH(Plan!$A$7,Plan!$A$6:$A$21,0)),"")*1*2,0)/2)</f>
        <v/>
      </c>
      <c r="D225" s="36" t="str">
        <f aca="false">IF(OR(IFERROR(INDEX(Plan!$J$6:$J$21,MATCH(Plan!$A$7,Plan!$A$6:$A$21,0)),"")="GESPERRT",IFERROR(INDEX(Plan!$M$6:$M$21,MATCH(Plan!$A$7,Plan!$A$6:$A$21,0)),"")=""),"",IFERROR(INDEX(Plan!$M$6:$M$21,MATCH(Plan!$A$7,Plan!$A$6:$A$21,0)),""))</f>
        <v/>
      </c>
      <c r="E225" s="34"/>
      <c r="F225" s="34"/>
      <c r="G225" s="34"/>
      <c r="H225" s="34"/>
      <c r="I225" s="34"/>
    </row>
    <row r="227" customFormat="false" ht="18" hidden="false" customHeight="true" outlineLevel="0" collapsed="false">
      <c r="A227" s="26" t="str">
        <f aca="false">Plan!$A$8</f>
        <v>Split Squat</v>
      </c>
      <c r="B227" s="26"/>
      <c r="C227" s="26"/>
      <c r="D227" s="26"/>
      <c r="E227" s="26"/>
      <c r="F227" s="26"/>
      <c r="G227" s="26"/>
      <c r="H227" s="26"/>
      <c r="I227" s="26"/>
    </row>
    <row r="228" customFormat="false" ht="15.75" hidden="false" customHeight="true" outlineLevel="0" collapsed="false">
      <c r="A228"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GESPERRT bis Woche 8 nach OP     ·     3 Sätze</v>
      </c>
      <c r="B228" s="27"/>
      <c r="C228" s="27"/>
      <c r="D228" s="27"/>
      <c r="E228" s="27"/>
      <c r="F228" s="27"/>
      <c r="G228" s="27"/>
      <c r="H228" s="27"/>
      <c r="I228" s="27"/>
    </row>
    <row r="229" customFormat="false" ht="13.5" hidden="false" customHeight="true" outlineLevel="0" collapsed="false">
      <c r="A229" s="28" t="str">
        <f aca="false">IF(IFERROR(INDEX(Plan!$K$6:$K$21,MATCH(Plan!$A$8,Plan!$A$6:$A$21,0)),"")="","","zuletzt "&amp;IFERROR(INDEX(Plan!$K$6:$K$21,MATCH(Plan!$A$8,Plan!$A$6:$A$21,0)),"")&amp;"     ·     ")&amp;IF(IFERROR(INDEX(Plan!$N$6:$N$21,MATCH(Plan!$A$8,Plan!$A$6:$A$21,0)),"")="","",IFERROR(INDEX(Plan!$N$6:$N$21,MATCH(Plan!$A$8,Plan!$A$6:$A$21,0)),""))</f>
        <v>zuletzt 80 kg × 8 Wdh     ·     Wdh +1 auf 9</v>
      </c>
      <c r="B229" s="28"/>
      <c r="C229" s="28"/>
      <c r="D229" s="28"/>
      <c r="E229" s="28"/>
      <c r="F229" s="28"/>
      <c r="G229" s="28"/>
      <c r="H229" s="28"/>
      <c r="I229" s="28"/>
    </row>
    <row r="230" customFormat="false" ht="18" hidden="false" customHeight="true" outlineLevel="0" collapsed="false">
      <c r="A230" s="29" t="s">
        <v>57</v>
      </c>
      <c r="B230" s="29" t="s">
        <v>58</v>
      </c>
      <c r="C230" s="29" t="s">
        <v>59</v>
      </c>
      <c r="D230" s="29" t="s">
        <v>60</v>
      </c>
      <c r="E230" s="29" t="s">
        <v>61</v>
      </c>
      <c r="F230" s="29" t="s">
        <v>62</v>
      </c>
      <c r="G230" s="29" t="s">
        <v>63</v>
      </c>
      <c r="H230" s="29" t="s">
        <v>64</v>
      </c>
      <c r="I230" s="29" t="s">
        <v>65</v>
      </c>
    </row>
    <row r="231" customFormat="false" ht="18" hidden="false" customHeight="true" outlineLevel="0" collapsed="false">
      <c r="A231" s="30" t="n">
        <v>1</v>
      </c>
      <c r="B231" s="31" t="s">
        <v>66</v>
      </c>
      <c r="C231" s="32" t="str">
        <f aca="false">IF(OR(IFERROR(INDEX(Plan!$J$6:$J$21,MATCH(Plan!$A$8,Plan!$A$6:$A$21,0)),"")="GESPERRT",IFERROR(INDEX(Plan!$L$6:$L$21,MATCH(Plan!$A$8,Plan!$A$6:$A$21,0)),"")=""),"",ROUND(IFERROR(INDEX(Plan!$L$6:$L$21,MATCH(Plan!$A$8,Plan!$A$6:$A$21,0)),"")*0.45*2,0)/2)</f>
        <v/>
      </c>
      <c r="D231" s="33"/>
      <c r="E231" s="34"/>
      <c r="F231" s="34"/>
      <c r="G231" s="34"/>
      <c r="H231" s="34"/>
      <c r="I231" s="34"/>
    </row>
    <row r="232" customFormat="false" ht="18" hidden="false" customHeight="true" outlineLevel="0" collapsed="false">
      <c r="A232" s="30" t="n">
        <v>2</v>
      </c>
      <c r="B232" s="31" t="s">
        <v>66</v>
      </c>
      <c r="C232" s="32" t="str">
        <f aca="false">IF(OR(IFERROR(INDEX(Plan!$J$6:$J$21,MATCH(Plan!$A$8,Plan!$A$6:$A$21,0)),"")="GESPERRT",IFERROR(INDEX(Plan!$L$6:$L$21,MATCH(Plan!$A$8,Plan!$A$6:$A$21,0)),"")=""),"",ROUND(IFERROR(INDEX(Plan!$L$6:$L$21,MATCH(Plan!$A$8,Plan!$A$6:$A$21,0)),"")*0.7*2,0)/2)</f>
        <v/>
      </c>
      <c r="D232" s="33"/>
      <c r="E232" s="34"/>
      <c r="F232" s="34"/>
      <c r="G232" s="34"/>
      <c r="H232" s="34"/>
      <c r="I232" s="34"/>
    </row>
    <row r="233" customFormat="false" ht="18" hidden="false" customHeight="true" outlineLevel="0" collapsed="false">
      <c r="A233" s="30" t="n">
        <v>3</v>
      </c>
      <c r="B233" s="35" t="s">
        <v>67</v>
      </c>
      <c r="C233" s="32" t="str">
        <f aca="false">IF(OR(IFERROR(INDEX(Plan!$J$6:$J$21,MATCH(Plan!$A$8,Plan!$A$6:$A$21,0)),"")="GESPERRT",IFERROR(INDEX(Plan!$L$6:$L$21,MATCH(Plan!$A$8,Plan!$A$6:$A$21,0)),"")=""),"",ROUND(IFERROR(INDEX(Plan!$L$6:$L$21,MATCH(Plan!$A$8,Plan!$A$6:$A$21,0)),"")*1*2,0)/2)</f>
        <v/>
      </c>
      <c r="D233" s="36" t="str">
        <f aca="false">IF(OR(IFERROR(INDEX(Plan!$J$6:$J$21,MATCH(Plan!$A$8,Plan!$A$6:$A$21,0)),"")="GESPERRT",IFERROR(INDEX(Plan!$M$6:$M$21,MATCH(Plan!$A$8,Plan!$A$6:$A$21,0)),"")=""),"",IFERROR(INDEX(Plan!$M$6:$M$21,MATCH(Plan!$A$8,Plan!$A$6:$A$21,0)),""))</f>
        <v/>
      </c>
      <c r="E233" s="34"/>
      <c r="F233" s="34"/>
      <c r="G233" s="34"/>
      <c r="H233" s="34"/>
      <c r="I233" s="34"/>
    </row>
    <row r="234" customFormat="false" ht="18" hidden="false" customHeight="true" outlineLevel="0" collapsed="false">
      <c r="A234" s="30" t="n">
        <v>4</v>
      </c>
      <c r="B234" s="35" t="s">
        <v>67</v>
      </c>
      <c r="C234" s="32" t="str">
        <f aca="false">IF(OR(IFERROR(INDEX(Plan!$J$6:$J$21,MATCH(Plan!$A$8,Plan!$A$6:$A$21,0)),"")="GESPERRT",IFERROR(INDEX(Plan!$L$6:$L$21,MATCH(Plan!$A$8,Plan!$A$6:$A$21,0)),"")=""),"",ROUND(IFERROR(INDEX(Plan!$L$6:$L$21,MATCH(Plan!$A$8,Plan!$A$6:$A$21,0)),"")*1*2,0)/2)</f>
        <v/>
      </c>
      <c r="D234" s="36" t="str">
        <f aca="false">IF(OR(IFERROR(INDEX(Plan!$J$6:$J$21,MATCH(Plan!$A$8,Plan!$A$6:$A$21,0)),"")="GESPERRT",IFERROR(INDEX(Plan!$M$6:$M$21,MATCH(Plan!$A$8,Plan!$A$6:$A$21,0)),"")=""),"",IFERROR(INDEX(Plan!$M$6:$M$21,MATCH(Plan!$A$8,Plan!$A$6:$A$21,0)),""))</f>
        <v/>
      </c>
      <c r="E234" s="34"/>
      <c r="F234" s="34"/>
      <c r="G234" s="34"/>
      <c r="H234" s="34"/>
      <c r="I234" s="34"/>
    </row>
    <row r="235" customFormat="false" ht="18" hidden="false" customHeight="true" outlineLevel="0" collapsed="false">
      <c r="A235" s="30" t="n">
        <v>5</v>
      </c>
      <c r="B235" s="35" t="s">
        <v>67</v>
      </c>
      <c r="C235" s="32" t="str">
        <f aca="false">IF(OR(IFERROR(INDEX(Plan!$J$6:$J$21,MATCH(Plan!$A$8,Plan!$A$6:$A$21,0)),"")="GESPERRT",IFERROR(INDEX(Plan!$L$6:$L$21,MATCH(Plan!$A$8,Plan!$A$6:$A$21,0)),"")=""),"",ROUND(IFERROR(INDEX(Plan!$L$6:$L$21,MATCH(Plan!$A$8,Plan!$A$6:$A$21,0)),"")*1*2,0)/2)</f>
        <v/>
      </c>
      <c r="D235" s="36" t="str">
        <f aca="false">IF(OR(IFERROR(INDEX(Plan!$J$6:$J$21,MATCH(Plan!$A$8,Plan!$A$6:$A$21,0)),"")="GESPERRT",IFERROR(INDEX(Plan!$M$6:$M$21,MATCH(Plan!$A$8,Plan!$A$6:$A$21,0)),"")=""),"",IFERROR(INDEX(Plan!$M$6:$M$21,MATCH(Plan!$A$8,Plan!$A$6:$A$21,0)),""))</f>
        <v/>
      </c>
      <c r="E235" s="34"/>
      <c r="F235" s="34"/>
      <c r="G235" s="34"/>
      <c r="H235" s="34"/>
      <c r="I235" s="34"/>
    </row>
    <row r="237" customFormat="false" ht="18" hidden="false" customHeight="true" outlineLevel="0" collapsed="false">
      <c r="A237" s="26" t="str">
        <f aca="false">Plan!$A$9</f>
        <v>Beinstrecker</v>
      </c>
      <c r="B237" s="26"/>
      <c r="C237" s="26"/>
      <c r="D237" s="26"/>
      <c r="E237" s="26"/>
      <c r="F237" s="26"/>
      <c r="G237" s="26"/>
      <c r="H237" s="26"/>
      <c r="I237" s="26"/>
    </row>
    <row r="238" customFormat="false" ht="15.75" hidden="false" customHeight="true" outlineLevel="0" collapsed="false">
      <c r="A238"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238" s="27"/>
      <c r="C238" s="27"/>
      <c r="D238" s="27"/>
      <c r="E238" s="27"/>
      <c r="F238" s="27"/>
      <c r="G238" s="27"/>
      <c r="H238" s="27"/>
      <c r="I238" s="27"/>
    </row>
    <row r="239" customFormat="false" ht="13.5" hidden="false" customHeight="true" outlineLevel="0" collapsed="false">
      <c r="A239" s="28" t="str">
        <f aca="false">IF(IFERROR(INDEX(Plan!$K$6:$K$21,MATCH(Plan!$A$9,Plan!$A$6:$A$21,0)),"")="","","zuletzt "&amp;IFERROR(INDEX(Plan!$K$6:$K$21,MATCH(Plan!$A$9,Plan!$A$6:$A$21,0)),"")&amp;"     ·     ")&amp;IF(IFERROR(INDEX(Plan!$N$6:$N$21,MATCH(Plan!$A$9,Plan!$A$6:$A$21,0)),"")="","",IFERROR(INDEX(Plan!$N$6:$N$21,MATCH(Plan!$A$9,Plan!$A$6:$A$21,0)),""))</f>
        <v>zuletzt 80 kg × 8 Wdh     ·     Gewicht halten, erst 12 Wdh schaffen</v>
      </c>
      <c r="B239" s="28"/>
      <c r="C239" s="28"/>
      <c r="D239" s="28"/>
      <c r="E239" s="28"/>
      <c r="F239" s="28"/>
      <c r="G239" s="28"/>
      <c r="H239" s="28"/>
      <c r="I239" s="28"/>
    </row>
    <row r="240" customFormat="false" ht="18" hidden="false" customHeight="true" outlineLevel="0" collapsed="false">
      <c r="A240" s="29" t="s">
        <v>57</v>
      </c>
      <c r="B240" s="29" t="s">
        <v>58</v>
      </c>
      <c r="C240" s="29" t="s">
        <v>59</v>
      </c>
      <c r="D240" s="29" t="s">
        <v>60</v>
      </c>
      <c r="E240" s="29" t="s">
        <v>61</v>
      </c>
      <c r="F240" s="29" t="s">
        <v>62</v>
      </c>
      <c r="G240" s="29" t="s">
        <v>63</v>
      </c>
      <c r="H240" s="29" t="s">
        <v>64</v>
      </c>
      <c r="I240" s="29" t="s">
        <v>65</v>
      </c>
    </row>
    <row r="241" customFormat="false" ht="18" hidden="false" customHeight="true" outlineLevel="0" collapsed="false">
      <c r="A241" s="30" t="n">
        <v>1</v>
      </c>
      <c r="B241" s="31" t="s">
        <v>66</v>
      </c>
      <c r="C241" s="32" t="n">
        <f aca="false">IF(OR(IFERROR(INDEX(Plan!$J$6:$J$21,MATCH(Plan!$A$9,Plan!$A$6:$A$21,0)),"")="GESPERRT",IFERROR(INDEX(Plan!$L$6:$L$21,MATCH(Plan!$A$9,Plan!$A$6:$A$21,0)),"")=""),"",ROUND(IFERROR(INDEX(Plan!$L$6:$L$21,MATCH(Plan!$A$9,Plan!$A$6:$A$21,0)),"")*0.45*2,0)/2)</f>
        <v>36</v>
      </c>
      <c r="D241" s="33"/>
      <c r="E241" s="34"/>
      <c r="F241" s="34"/>
      <c r="G241" s="34"/>
      <c r="H241" s="34"/>
      <c r="I241" s="34"/>
    </row>
    <row r="242" customFormat="false" ht="18" hidden="false" customHeight="true" outlineLevel="0" collapsed="false">
      <c r="A242" s="30" t="n">
        <v>2</v>
      </c>
      <c r="B242" s="31" t="s">
        <v>66</v>
      </c>
      <c r="C242" s="32" t="n">
        <f aca="false">IF(OR(IFERROR(INDEX(Plan!$J$6:$J$21,MATCH(Plan!$A$9,Plan!$A$6:$A$21,0)),"")="GESPERRT",IFERROR(INDEX(Plan!$L$6:$L$21,MATCH(Plan!$A$9,Plan!$A$6:$A$21,0)),"")=""),"",ROUND(IFERROR(INDEX(Plan!$L$6:$L$21,MATCH(Plan!$A$9,Plan!$A$6:$A$21,0)),"")*0.7*2,0)/2)</f>
        <v>56</v>
      </c>
      <c r="D242" s="33"/>
      <c r="E242" s="34"/>
      <c r="F242" s="34"/>
      <c r="G242" s="34"/>
      <c r="H242" s="34"/>
      <c r="I242" s="34"/>
    </row>
    <row r="243" customFormat="false" ht="18" hidden="false" customHeight="true" outlineLevel="0" collapsed="false">
      <c r="A243" s="30" t="n">
        <v>3</v>
      </c>
      <c r="B243" s="35" t="s">
        <v>67</v>
      </c>
      <c r="C243" s="32" t="n">
        <f aca="false">IF(OR(IFERROR(INDEX(Plan!$J$6:$J$21,MATCH(Plan!$A$9,Plan!$A$6:$A$21,0)),"")="GESPERRT",IFERROR(INDEX(Plan!$L$6:$L$21,MATCH(Plan!$A$9,Plan!$A$6:$A$21,0)),"")=""),"",ROUND(IFERROR(INDEX(Plan!$L$6:$L$21,MATCH(Plan!$A$9,Plan!$A$6:$A$21,0)),"")*1*2,0)/2)</f>
        <v>80</v>
      </c>
      <c r="D243" s="36" t="n">
        <f aca="false">IF(OR(IFERROR(INDEX(Plan!$J$6:$J$21,MATCH(Plan!$A$9,Plan!$A$6:$A$21,0)),"")="GESPERRT",IFERROR(INDEX(Plan!$M$6:$M$21,MATCH(Plan!$A$9,Plan!$A$6:$A$21,0)),"")=""),"",IFERROR(INDEX(Plan!$M$6:$M$21,MATCH(Plan!$A$9,Plan!$A$6:$A$21,0)),""))</f>
        <v>12</v>
      </c>
      <c r="E243" s="34"/>
      <c r="F243" s="34"/>
      <c r="G243" s="34"/>
      <c r="H243" s="34"/>
      <c r="I243" s="34"/>
    </row>
    <row r="244" customFormat="false" ht="18" hidden="false" customHeight="true" outlineLevel="0" collapsed="false">
      <c r="A244" s="30" t="n">
        <v>4</v>
      </c>
      <c r="B244" s="35" t="s">
        <v>67</v>
      </c>
      <c r="C244" s="32" t="n">
        <f aca="false">IF(OR(IFERROR(INDEX(Plan!$J$6:$J$21,MATCH(Plan!$A$9,Plan!$A$6:$A$21,0)),"")="GESPERRT",IFERROR(INDEX(Plan!$L$6:$L$21,MATCH(Plan!$A$9,Plan!$A$6:$A$21,0)),"")=""),"",ROUND(IFERROR(INDEX(Plan!$L$6:$L$21,MATCH(Plan!$A$9,Plan!$A$6:$A$21,0)),"")*1*2,0)/2)</f>
        <v>80</v>
      </c>
      <c r="D244" s="36" t="n">
        <f aca="false">IF(OR(IFERROR(INDEX(Plan!$J$6:$J$21,MATCH(Plan!$A$9,Plan!$A$6:$A$21,0)),"")="GESPERRT",IFERROR(INDEX(Plan!$M$6:$M$21,MATCH(Plan!$A$9,Plan!$A$6:$A$21,0)),"")=""),"",IFERROR(INDEX(Plan!$M$6:$M$21,MATCH(Plan!$A$9,Plan!$A$6:$A$21,0)),""))</f>
        <v>12</v>
      </c>
      <c r="E244" s="34"/>
      <c r="F244" s="34"/>
      <c r="G244" s="34"/>
      <c r="H244" s="34"/>
      <c r="I244" s="34"/>
    </row>
    <row r="245" customFormat="false" ht="18" hidden="false" customHeight="true" outlineLevel="0" collapsed="false">
      <c r="A245" s="30" t="n">
        <v>5</v>
      </c>
      <c r="B245" s="31" t="s">
        <v>68</v>
      </c>
      <c r="C245" s="33"/>
      <c r="D245" s="33"/>
      <c r="E245" s="34"/>
      <c r="F245" s="34"/>
      <c r="G245" s="34"/>
      <c r="H245" s="34"/>
      <c r="I245" s="34"/>
    </row>
    <row r="247" customFormat="false" ht="18" hidden="false" customHeight="true" outlineLevel="0" collapsed="false">
      <c r="A247" s="26" t="str">
        <f aca="false">Plan!$A$10</f>
        <v>Adduktion</v>
      </c>
      <c r="B247" s="26"/>
      <c r="C247" s="26"/>
      <c r="D247" s="26"/>
      <c r="E247" s="26"/>
      <c r="F247" s="26"/>
      <c r="G247" s="26"/>
      <c r="H247" s="26"/>
      <c r="I247" s="26"/>
    </row>
    <row r="248" customFormat="false" ht="15.75" hidden="false" customHeight="true" outlineLevel="0" collapsed="false">
      <c r="A248"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248" s="27"/>
      <c r="C248" s="27"/>
      <c r="D248" s="27"/>
      <c r="E248" s="27"/>
      <c r="F248" s="27"/>
      <c r="G248" s="27"/>
      <c r="H248" s="27"/>
      <c r="I248" s="27"/>
    </row>
    <row r="249" customFormat="false" ht="13.5" hidden="false" customHeight="true" outlineLevel="0" collapsed="false">
      <c r="A249"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249" s="28"/>
      <c r="C249" s="28"/>
      <c r="D249" s="28"/>
      <c r="E249" s="28"/>
      <c r="F249" s="28"/>
      <c r="G249" s="28"/>
      <c r="H249" s="28"/>
      <c r="I249" s="28"/>
    </row>
    <row r="250" customFormat="false" ht="18" hidden="false" customHeight="true" outlineLevel="0" collapsed="false">
      <c r="A250" s="29" t="s">
        <v>57</v>
      </c>
      <c r="B250" s="29" t="s">
        <v>58</v>
      </c>
      <c r="C250" s="29" t="s">
        <v>59</v>
      </c>
      <c r="D250" s="29" t="s">
        <v>60</v>
      </c>
      <c r="E250" s="29" t="s">
        <v>61</v>
      </c>
      <c r="F250" s="29" t="s">
        <v>62</v>
      </c>
      <c r="G250" s="29" t="s">
        <v>63</v>
      </c>
      <c r="H250" s="29" t="s">
        <v>64</v>
      </c>
      <c r="I250" s="29" t="s">
        <v>65</v>
      </c>
    </row>
    <row r="251" customFormat="false" ht="18" hidden="false" customHeight="true" outlineLevel="0" collapsed="false">
      <c r="A251" s="30" t="n">
        <v>1</v>
      </c>
      <c r="B251" s="31" t="s">
        <v>66</v>
      </c>
      <c r="C251" s="32" t="n">
        <f aca="false">IF(OR(IFERROR(INDEX(Plan!$J$6:$J$21,MATCH(Plan!$A$10,Plan!$A$6:$A$21,0)),"")="GESPERRT",IFERROR(INDEX(Plan!$L$6:$L$21,MATCH(Plan!$A$10,Plan!$A$6:$A$21,0)),"")=""),"",ROUND(IFERROR(INDEX(Plan!$L$6:$L$21,MATCH(Plan!$A$10,Plan!$A$6:$A$21,0)),"")*0.45*2,0)/2)</f>
        <v>68.5</v>
      </c>
      <c r="D251" s="33"/>
      <c r="E251" s="34"/>
      <c r="F251" s="34"/>
      <c r="G251" s="34"/>
      <c r="H251" s="34"/>
      <c r="I251" s="34"/>
    </row>
    <row r="252" customFormat="false" ht="18" hidden="false" customHeight="true" outlineLevel="0" collapsed="false">
      <c r="A252" s="30" t="n">
        <v>2</v>
      </c>
      <c r="B252" s="31" t="s">
        <v>66</v>
      </c>
      <c r="C252" s="32" t="n">
        <f aca="false">IF(OR(IFERROR(INDEX(Plan!$J$6:$J$21,MATCH(Plan!$A$10,Plan!$A$6:$A$21,0)),"")="GESPERRT",IFERROR(INDEX(Plan!$L$6:$L$21,MATCH(Plan!$A$10,Plan!$A$6:$A$21,0)),"")=""),"",ROUND(IFERROR(INDEX(Plan!$L$6:$L$21,MATCH(Plan!$A$10,Plan!$A$6:$A$21,0)),"")*0.7*2,0)/2)</f>
        <v>107</v>
      </c>
      <c r="D252" s="33"/>
      <c r="E252" s="34"/>
      <c r="F252" s="34"/>
      <c r="G252" s="34"/>
      <c r="H252" s="34"/>
      <c r="I252" s="34"/>
    </row>
    <row r="253" customFormat="false" ht="18" hidden="false" customHeight="true" outlineLevel="0" collapsed="false">
      <c r="A253" s="30" t="n">
        <v>3</v>
      </c>
      <c r="B253" s="35" t="s">
        <v>67</v>
      </c>
      <c r="C253" s="32" t="n">
        <f aca="false">IF(OR(IFERROR(INDEX(Plan!$J$6:$J$21,MATCH(Plan!$A$10,Plan!$A$6:$A$21,0)),"")="GESPERRT",IFERROR(INDEX(Plan!$L$6:$L$21,MATCH(Plan!$A$10,Plan!$A$6:$A$21,0)),"")=""),"",ROUND(IFERROR(INDEX(Plan!$L$6:$L$21,MATCH(Plan!$A$10,Plan!$A$6:$A$21,0)),"")*1*2,0)/2)</f>
        <v>152.5</v>
      </c>
      <c r="D253" s="36" t="n">
        <f aca="false">IF(OR(IFERROR(INDEX(Plan!$J$6:$J$21,MATCH(Plan!$A$10,Plan!$A$6:$A$21,0)),"")="GESPERRT",IFERROR(INDEX(Plan!$M$6:$M$21,MATCH(Plan!$A$10,Plan!$A$6:$A$21,0)),"")=""),"",IFERROR(INDEX(Plan!$M$6:$M$21,MATCH(Plan!$A$10,Plan!$A$6:$A$21,0)),""))</f>
        <v>15</v>
      </c>
      <c r="E253" s="34"/>
      <c r="F253" s="34"/>
      <c r="G253" s="34"/>
      <c r="H253" s="34"/>
      <c r="I253" s="34"/>
    </row>
    <row r="254" customFormat="false" ht="18" hidden="false" customHeight="true" outlineLevel="0" collapsed="false">
      <c r="A254" s="30" t="n">
        <v>4</v>
      </c>
      <c r="B254" s="35" t="s">
        <v>67</v>
      </c>
      <c r="C254" s="32" t="n">
        <f aca="false">IF(OR(IFERROR(INDEX(Plan!$J$6:$J$21,MATCH(Plan!$A$10,Plan!$A$6:$A$21,0)),"")="GESPERRT",IFERROR(INDEX(Plan!$L$6:$L$21,MATCH(Plan!$A$10,Plan!$A$6:$A$21,0)),"")=""),"",ROUND(IFERROR(INDEX(Plan!$L$6:$L$21,MATCH(Plan!$A$10,Plan!$A$6:$A$21,0)),"")*1*2,0)/2)</f>
        <v>152.5</v>
      </c>
      <c r="D254" s="36" t="n">
        <f aca="false">IF(OR(IFERROR(INDEX(Plan!$J$6:$J$21,MATCH(Plan!$A$10,Plan!$A$6:$A$21,0)),"")="GESPERRT",IFERROR(INDEX(Plan!$M$6:$M$21,MATCH(Plan!$A$10,Plan!$A$6:$A$21,0)),"")=""),"",IFERROR(INDEX(Plan!$M$6:$M$21,MATCH(Plan!$A$10,Plan!$A$6:$A$21,0)),""))</f>
        <v>15</v>
      </c>
      <c r="E254" s="34"/>
      <c r="F254" s="34"/>
      <c r="G254" s="34"/>
      <c r="H254" s="34"/>
      <c r="I254" s="34"/>
    </row>
    <row r="255" customFormat="false" ht="18" hidden="false" customHeight="true" outlineLevel="0" collapsed="false">
      <c r="A255" s="30" t="n">
        <v>5</v>
      </c>
      <c r="B255" s="31" t="s">
        <v>68</v>
      </c>
      <c r="C255" s="33"/>
      <c r="D255" s="33"/>
      <c r="E255" s="34"/>
      <c r="F255" s="34"/>
      <c r="G255" s="34"/>
      <c r="H255" s="34"/>
      <c r="I255" s="34"/>
    </row>
    <row r="257" customFormat="false" ht="18" hidden="false" customHeight="true" outlineLevel="0" collapsed="false">
      <c r="A257" s="6" t="s">
        <v>69</v>
      </c>
      <c r="B257" s="6"/>
      <c r="C257" s="6"/>
      <c r="D257" s="6"/>
      <c r="E257" s="6"/>
      <c r="F257" s="6"/>
      <c r="G257" s="6"/>
      <c r="H257" s="6"/>
      <c r="I257" s="6"/>
    </row>
    <row r="258" customFormat="false" ht="16.5" hidden="false" customHeight="true" outlineLevel="0" collapsed="false">
      <c r="A258" s="37"/>
      <c r="B258" s="37"/>
      <c r="C258" s="37"/>
      <c r="D258" s="37"/>
      <c r="E258" s="37"/>
      <c r="F258" s="37"/>
      <c r="G258" s="37"/>
      <c r="H258" s="37"/>
      <c r="I258" s="37"/>
    </row>
    <row r="259" customFormat="false" ht="16.5" hidden="false" customHeight="true" outlineLevel="0" collapsed="false">
      <c r="A259" s="37"/>
      <c r="B259" s="37"/>
      <c r="C259" s="37"/>
      <c r="D259" s="37"/>
      <c r="E259" s="37"/>
      <c r="F259" s="37"/>
      <c r="G259" s="37"/>
      <c r="H259" s="37"/>
      <c r="I259" s="37"/>
    </row>
    <row r="261" customFormat="false" ht="25.5" hidden="false" customHeight="true" outlineLevel="0" collapsed="false">
      <c r="A261" s="1" t="s">
        <v>74</v>
      </c>
      <c r="B261" s="1"/>
      <c r="C261" s="1"/>
      <c r="D261" s="1"/>
      <c r="E261" s="1"/>
      <c r="F261" s="1"/>
      <c r="G261" s="1"/>
      <c r="H261" s="1"/>
      <c r="I261" s="1"/>
    </row>
    <row r="262" customFormat="false" ht="12" hidden="false" customHeight="true" outlineLevel="0" collapsed="false">
      <c r="A262" s="23" t="s">
        <v>52</v>
      </c>
      <c r="B262" s="23"/>
      <c r="C262" s="24" t="s">
        <v>53</v>
      </c>
      <c r="D262" s="23" t="s">
        <v>54</v>
      </c>
      <c r="E262" s="23"/>
      <c r="F262" s="23" t="s">
        <v>55</v>
      </c>
      <c r="G262" s="23"/>
      <c r="H262" s="23" t="s">
        <v>56</v>
      </c>
      <c r="I262" s="23"/>
    </row>
    <row r="263" customFormat="false" ht="18" hidden="false" customHeight="true" outlineLevel="0" collapsed="false">
      <c r="A263" s="25"/>
      <c r="B263" s="25"/>
      <c r="C263" s="25"/>
      <c r="D263" s="25"/>
      <c r="E263" s="25"/>
      <c r="F263" s="25"/>
      <c r="G263" s="25"/>
      <c r="H263" s="25"/>
      <c r="I263" s="25"/>
    </row>
    <row r="265" customFormat="false" ht="18" hidden="false" customHeight="true" outlineLevel="0" collapsed="false">
      <c r="A265" s="26" t="str">
        <f aca="false">Plan!$A$13</f>
        <v>Rumänisches Kreuzheben</v>
      </c>
      <c r="B265" s="26"/>
      <c r="C265" s="26"/>
      <c r="D265" s="26"/>
      <c r="E265" s="26"/>
      <c r="F265" s="26"/>
      <c r="G265" s="26"/>
      <c r="H265" s="26"/>
      <c r="I265" s="26"/>
    </row>
    <row r="266" customFormat="false" ht="15.75" hidden="false" customHeight="true" outlineLevel="0" collapsed="false">
      <c r="A266"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GESPERRT bis Woche 12 nach OP     ·     3 Sätze</v>
      </c>
      <c r="B266" s="27"/>
      <c r="C266" s="27"/>
      <c r="D266" s="27"/>
      <c r="E266" s="27"/>
      <c r="F266" s="27"/>
      <c r="G266" s="27"/>
      <c r="H266" s="27"/>
      <c r="I266" s="27"/>
    </row>
    <row r="267" customFormat="false" ht="13.5" hidden="false" customHeight="true" outlineLevel="0" collapsed="false">
      <c r="A267" s="28" t="str">
        <f aca="false">IF(IFERROR(INDEX(Plan!$K$6:$K$21,MATCH(Plan!$A$13,Plan!$A$6:$A$21,0)),"")="","","zuletzt "&amp;IFERROR(INDEX(Plan!$K$6:$K$21,MATCH(Plan!$A$13,Plan!$A$6:$A$21,0)),"")&amp;"     ·     ")&amp;IF(IFERROR(INDEX(Plan!$N$6:$N$21,MATCH(Plan!$A$13,Plan!$A$6:$A$21,0)),"")="","",IFERROR(INDEX(Plan!$N$6:$N$21,MATCH(Plan!$A$13,Plan!$A$6:$A$21,0)),""))</f>
        <v/>
      </c>
      <c r="B267" s="28"/>
      <c r="C267" s="28"/>
      <c r="D267" s="28"/>
      <c r="E267" s="28"/>
      <c r="F267" s="28"/>
      <c r="G267" s="28"/>
      <c r="H267" s="28"/>
      <c r="I267" s="28"/>
    </row>
    <row r="268" customFormat="false" ht="18" hidden="false" customHeight="true" outlineLevel="0" collapsed="false">
      <c r="A268" s="29" t="s">
        <v>57</v>
      </c>
      <c r="B268" s="29" t="s">
        <v>58</v>
      </c>
      <c r="C268" s="29" t="s">
        <v>59</v>
      </c>
      <c r="D268" s="29" t="s">
        <v>60</v>
      </c>
      <c r="E268" s="29" t="s">
        <v>61</v>
      </c>
      <c r="F268" s="29" t="s">
        <v>62</v>
      </c>
      <c r="G268" s="29" t="s">
        <v>63</v>
      </c>
      <c r="H268" s="29" t="s">
        <v>64</v>
      </c>
      <c r="I268" s="29" t="s">
        <v>65</v>
      </c>
    </row>
    <row r="269" customFormat="false" ht="18" hidden="false" customHeight="true" outlineLevel="0" collapsed="false">
      <c r="A269" s="30" t="n">
        <v>1</v>
      </c>
      <c r="B269" s="31" t="s">
        <v>66</v>
      </c>
      <c r="C269" s="32" t="str">
        <f aca="false">IF(OR(IFERROR(INDEX(Plan!$J$6:$J$21,MATCH(Plan!$A$13,Plan!$A$6:$A$21,0)),"")="GESPERRT",IFERROR(INDEX(Plan!$L$6:$L$21,MATCH(Plan!$A$13,Plan!$A$6:$A$21,0)),"")=""),"",ROUND(IFERROR(INDEX(Plan!$L$6:$L$21,MATCH(Plan!$A$13,Plan!$A$6:$A$21,0)),"")*0.45*2,0)/2)</f>
        <v/>
      </c>
      <c r="D269" s="33"/>
      <c r="E269" s="34"/>
      <c r="F269" s="34"/>
      <c r="G269" s="34"/>
      <c r="H269" s="34"/>
      <c r="I269" s="34"/>
    </row>
    <row r="270" customFormat="false" ht="18" hidden="false" customHeight="true" outlineLevel="0" collapsed="false">
      <c r="A270" s="30" t="n">
        <v>2</v>
      </c>
      <c r="B270" s="31" t="s">
        <v>66</v>
      </c>
      <c r="C270" s="32" t="str">
        <f aca="false">IF(OR(IFERROR(INDEX(Plan!$J$6:$J$21,MATCH(Plan!$A$13,Plan!$A$6:$A$21,0)),"")="GESPERRT",IFERROR(INDEX(Plan!$L$6:$L$21,MATCH(Plan!$A$13,Plan!$A$6:$A$21,0)),"")=""),"",ROUND(IFERROR(INDEX(Plan!$L$6:$L$21,MATCH(Plan!$A$13,Plan!$A$6:$A$21,0)),"")*0.7*2,0)/2)</f>
        <v/>
      </c>
      <c r="D270" s="33"/>
      <c r="E270" s="34"/>
      <c r="F270" s="34"/>
      <c r="G270" s="34"/>
      <c r="H270" s="34"/>
      <c r="I270" s="34"/>
    </row>
    <row r="271" customFormat="false" ht="18" hidden="false" customHeight="true" outlineLevel="0" collapsed="false">
      <c r="A271" s="30" t="n">
        <v>3</v>
      </c>
      <c r="B271" s="35" t="s">
        <v>67</v>
      </c>
      <c r="C271" s="32" t="str">
        <f aca="false">IF(OR(IFERROR(INDEX(Plan!$J$6:$J$21,MATCH(Plan!$A$13,Plan!$A$6:$A$21,0)),"")="GESPERRT",IFERROR(INDEX(Plan!$L$6:$L$21,MATCH(Plan!$A$13,Plan!$A$6:$A$21,0)),"")=""),"",ROUND(IFERROR(INDEX(Plan!$L$6:$L$21,MATCH(Plan!$A$13,Plan!$A$6:$A$21,0)),"")*1*2,0)/2)</f>
        <v/>
      </c>
      <c r="D271" s="36" t="str">
        <f aca="false">IF(OR(IFERROR(INDEX(Plan!$J$6:$J$21,MATCH(Plan!$A$13,Plan!$A$6:$A$21,0)),"")="GESPERRT",IFERROR(INDEX(Plan!$M$6:$M$21,MATCH(Plan!$A$13,Plan!$A$6:$A$21,0)),"")=""),"",IFERROR(INDEX(Plan!$M$6:$M$21,MATCH(Plan!$A$13,Plan!$A$6:$A$21,0)),""))</f>
        <v/>
      </c>
      <c r="E271" s="34"/>
      <c r="F271" s="34"/>
      <c r="G271" s="34"/>
      <c r="H271" s="34"/>
      <c r="I271" s="34"/>
    </row>
    <row r="272" customFormat="false" ht="18" hidden="false" customHeight="true" outlineLevel="0" collapsed="false">
      <c r="A272" s="30" t="n">
        <v>4</v>
      </c>
      <c r="B272" s="35" t="s">
        <v>67</v>
      </c>
      <c r="C272" s="32" t="str">
        <f aca="false">IF(OR(IFERROR(INDEX(Plan!$J$6:$J$21,MATCH(Plan!$A$13,Plan!$A$6:$A$21,0)),"")="GESPERRT",IFERROR(INDEX(Plan!$L$6:$L$21,MATCH(Plan!$A$13,Plan!$A$6:$A$21,0)),"")=""),"",ROUND(IFERROR(INDEX(Plan!$L$6:$L$21,MATCH(Plan!$A$13,Plan!$A$6:$A$21,0)),"")*1*2,0)/2)</f>
        <v/>
      </c>
      <c r="D272" s="36" t="str">
        <f aca="false">IF(OR(IFERROR(INDEX(Plan!$J$6:$J$21,MATCH(Plan!$A$13,Plan!$A$6:$A$21,0)),"")="GESPERRT",IFERROR(INDEX(Plan!$M$6:$M$21,MATCH(Plan!$A$13,Plan!$A$6:$A$21,0)),"")=""),"",IFERROR(INDEX(Plan!$M$6:$M$21,MATCH(Plan!$A$13,Plan!$A$6:$A$21,0)),""))</f>
        <v/>
      </c>
      <c r="E272" s="34"/>
      <c r="F272" s="34"/>
      <c r="G272" s="34"/>
      <c r="H272" s="34"/>
      <c r="I272" s="34"/>
    </row>
    <row r="273" customFormat="false" ht="18" hidden="false" customHeight="true" outlineLevel="0" collapsed="false">
      <c r="A273" s="30" t="n">
        <v>5</v>
      </c>
      <c r="B273" s="35" t="s">
        <v>67</v>
      </c>
      <c r="C273" s="32" t="str">
        <f aca="false">IF(OR(IFERROR(INDEX(Plan!$J$6:$J$21,MATCH(Plan!$A$13,Plan!$A$6:$A$21,0)),"")="GESPERRT",IFERROR(INDEX(Plan!$L$6:$L$21,MATCH(Plan!$A$13,Plan!$A$6:$A$21,0)),"")=""),"",ROUND(IFERROR(INDEX(Plan!$L$6:$L$21,MATCH(Plan!$A$13,Plan!$A$6:$A$21,0)),"")*1*2,0)/2)</f>
        <v/>
      </c>
      <c r="D273" s="36" t="str">
        <f aca="false">IF(OR(IFERROR(INDEX(Plan!$J$6:$J$21,MATCH(Plan!$A$13,Plan!$A$6:$A$21,0)),"")="GESPERRT",IFERROR(INDEX(Plan!$M$6:$M$21,MATCH(Plan!$A$13,Plan!$A$6:$A$21,0)),"")=""),"",IFERROR(INDEX(Plan!$M$6:$M$21,MATCH(Plan!$A$13,Plan!$A$6:$A$21,0)),""))</f>
        <v/>
      </c>
      <c r="E273" s="34"/>
      <c r="F273" s="34"/>
      <c r="G273" s="34"/>
      <c r="H273" s="34"/>
      <c r="I273" s="34"/>
    </row>
    <row r="275" customFormat="false" ht="18" hidden="false" customHeight="true" outlineLevel="0" collapsed="false">
      <c r="A275" s="26" t="str">
        <f aca="false">Plan!$A$14</f>
        <v>Hip Thrust</v>
      </c>
      <c r="B275" s="26"/>
      <c r="C275" s="26"/>
      <c r="D275" s="26"/>
      <c r="E275" s="26"/>
      <c r="F275" s="26"/>
      <c r="G275" s="26"/>
      <c r="H275" s="26"/>
      <c r="I275" s="26"/>
    </row>
    <row r="276" customFormat="false" ht="15.75" hidden="false" customHeight="true" outlineLevel="0" collapsed="false">
      <c r="A276"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GESPERRT bis Woche 4 nach OP     ·     3 Sätze</v>
      </c>
      <c r="B276" s="27"/>
      <c r="C276" s="27"/>
      <c r="D276" s="27"/>
      <c r="E276" s="27"/>
      <c r="F276" s="27"/>
      <c r="G276" s="27"/>
      <c r="H276" s="27"/>
      <c r="I276" s="27"/>
    </row>
    <row r="277" customFormat="false" ht="13.5" hidden="false" customHeight="true" outlineLevel="0" collapsed="false">
      <c r="A277" s="28" t="str">
        <f aca="false">IF(IFERROR(INDEX(Plan!$K$6:$K$21,MATCH(Plan!$A$14,Plan!$A$6:$A$21,0)),"")="","","zuletzt "&amp;IFERROR(INDEX(Plan!$K$6:$K$21,MATCH(Plan!$A$14,Plan!$A$6:$A$21,0)),"")&amp;"     ·     ")&amp;IF(IFERROR(INDEX(Plan!$N$6:$N$21,MATCH(Plan!$A$14,Plan!$A$6:$A$21,0)),"")="","",IFERROR(INDEX(Plan!$N$6:$N$21,MATCH(Plan!$A$14,Plan!$A$6:$A$21,0)),""))</f>
        <v>zuletzt 270 kg × 8 Wdh     ·     Wdh +1 auf 9</v>
      </c>
      <c r="B277" s="28"/>
      <c r="C277" s="28"/>
      <c r="D277" s="28"/>
      <c r="E277" s="28"/>
      <c r="F277" s="28"/>
      <c r="G277" s="28"/>
      <c r="H277" s="28"/>
      <c r="I277" s="28"/>
    </row>
    <row r="278" customFormat="false" ht="18" hidden="false" customHeight="true" outlineLevel="0" collapsed="false">
      <c r="A278" s="29" t="s">
        <v>57</v>
      </c>
      <c r="B278" s="29" t="s">
        <v>58</v>
      </c>
      <c r="C278" s="29" t="s">
        <v>59</v>
      </c>
      <c r="D278" s="29" t="s">
        <v>60</v>
      </c>
      <c r="E278" s="29" t="s">
        <v>61</v>
      </c>
      <c r="F278" s="29" t="s">
        <v>62</v>
      </c>
      <c r="G278" s="29" t="s">
        <v>63</v>
      </c>
      <c r="H278" s="29" t="s">
        <v>64</v>
      </c>
      <c r="I278" s="29" t="s">
        <v>65</v>
      </c>
    </row>
    <row r="279" customFormat="false" ht="18" hidden="false" customHeight="true" outlineLevel="0" collapsed="false">
      <c r="A279" s="30" t="n">
        <v>1</v>
      </c>
      <c r="B279" s="31" t="s">
        <v>66</v>
      </c>
      <c r="C279" s="32" t="str">
        <f aca="false">IF(OR(IFERROR(INDEX(Plan!$J$6:$J$21,MATCH(Plan!$A$14,Plan!$A$6:$A$21,0)),"")="GESPERRT",IFERROR(INDEX(Plan!$L$6:$L$21,MATCH(Plan!$A$14,Plan!$A$6:$A$21,0)),"")=""),"",ROUND(IFERROR(INDEX(Plan!$L$6:$L$21,MATCH(Plan!$A$14,Plan!$A$6:$A$21,0)),"")*0.45*2,0)/2)</f>
        <v/>
      </c>
      <c r="D279" s="33"/>
      <c r="E279" s="34"/>
      <c r="F279" s="34"/>
      <c r="G279" s="34"/>
      <c r="H279" s="34"/>
      <c r="I279" s="34"/>
    </row>
    <row r="280" customFormat="false" ht="18" hidden="false" customHeight="true" outlineLevel="0" collapsed="false">
      <c r="A280" s="30" t="n">
        <v>2</v>
      </c>
      <c r="B280" s="31" t="s">
        <v>66</v>
      </c>
      <c r="C280" s="32" t="str">
        <f aca="false">IF(OR(IFERROR(INDEX(Plan!$J$6:$J$21,MATCH(Plan!$A$14,Plan!$A$6:$A$21,0)),"")="GESPERRT",IFERROR(INDEX(Plan!$L$6:$L$21,MATCH(Plan!$A$14,Plan!$A$6:$A$21,0)),"")=""),"",ROUND(IFERROR(INDEX(Plan!$L$6:$L$21,MATCH(Plan!$A$14,Plan!$A$6:$A$21,0)),"")*0.7*2,0)/2)</f>
        <v/>
      </c>
      <c r="D280" s="33"/>
      <c r="E280" s="34"/>
      <c r="F280" s="34"/>
      <c r="G280" s="34"/>
      <c r="H280" s="34"/>
      <c r="I280" s="34"/>
    </row>
    <row r="281" customFormat="false" ht="18" hidden="false" customHeight="true" outlineLevel="0" collapsed="false">
      <c r="A281" s="30" t="n">
        <v>3</v>
      </c>
      <c r="B281" s="35" t="s">
        <v>67</v>
      </c>
      <c r="C281" s="32" t="str">
        <f aca="false">IF(OR(IFERROR(INDEX(Plan!$J$6:$J$21,MATCH(Plan!$A$14,Plan!$A$6:$A$21,0)),"")="GESPERRT",IFERROR(INDEX(Plan!$L$6:$L$21,MATCH(Plan!$A$14,Plan!$A$6:$A$21,0)),"")=""),"",ROUND(IFERROR(INDEX(Plan!$L$6:$L$21,MATCH(Plan!$A$14,Plan!$A$6:$A$21,0)),"")*1*2,0)/2)</f>
        <v/>
      </c>
      <c r="D281" s="36" t="str">
        <f aca="false">IF(OR(IFERROR(INDEX(Plan!$J$6:$J$21,MATCH(Plan!$A$14,Plan!$A$6:$A$21,0)),"")="GESPERRT",IFERROR(INDEX(Plan!$M$6:$M$21,MATCH(Plan!$A$14,Plan!$A$6:$A$21,0)),"")=""),"",IFERROR(INDEX(Plan!$M$6:$M$21,MATCH(Plan!$A$14,Plan!$A$6:$A$21,0)),""))</f>
        <v/>
      </c>
      <c r="E281" s="34"/>
      <c r="F281" s="34"/>
      <c r="G281" s="34"/>
      <c r="H281" s="34"/>
      <c r="I281" s="34"/>
    </row>
    <row r="282" customFormat="false" ht="18" hidden="false" customHeight="true" outlineLevel="0" collapsed="false">
      <c r="A282" s="30" t="n">
        <v>4</v>
      </c>
      <c r="B282" s="35" t="s">
        <v>67</v>
      </c>
      <c r="C282" s="32" t="str">
        <f aca="false">IF(OR(IFERROR(INDEX(Plan!$J$6:$J$21,MATCH(Plan!$A$14,Plan!$A$6:$A$21,0)),"")="GESPERRT",IFERROR(INDEX(Plan!$L$6:$L$21,MATCH(Plan!$A$14,Plan!$A$6:$A$21,0)),"")=""),"",ROUND(IFERROR(INDEX(Plan!$L$6:$L$21,MATCH(Plan!$A$14,Plan!$A$6:$A$21,0)),"")*1*2,0)/2)</f>
        <v/>
      </c>
      <c r="D282" s="36" t="str">
        <f aca="false">IF(OR(IFERROR(INDEX(Plan!$J$6:$J$21,MATCH(Plan!$A$14,Plan!$A$6:$A$21,0)),"")="GESPERRT",IFERROR(INDEX(Plan!$M$6:$M$21,MATCH(Plan!$A$14,Plan!$A$6:$A$21,0)),"")=""),"",IFERROR(INDEX(Plan!$M$6:$M$21,MATCH(Plan!$A$14,Plan!$A$6:$A$21,0)),""))</f>
        <v/>
      </c>
      <c r="E282" s="34"/>
      <c r="F282" s="34"/>
      <c r="G282" s="34"/>
      <c r="H282" s="34"/>
      <c r="I282" s="34"/>
    </row>
    <row r="283" customFormat="false" ht="18" hidden="false" customHeight="true" outlineLevel="0" collapsed="false">
      <c r="A283" s="30" t="n">
        <v>5</v>
      </c>
      <c r="B283" s="35" t="s">
        <v>67</v>
      </c>
      <c r="C283" s="32" t="str">
        <f aca="false">IF(OR(IFERROR(INDEX(Plan!$J$6:$J$21,MATCH(Plan!$A$14,Plan!$A$6:$A$21,0)),"")="GESPERRT",IFERROR(INDEX(Plan!$L$6:$L$21,MATCH(Plan!$A$14,Plan!$A$6:$A$21,0)),"")=""),"",ROUND(IFERROR(INDEX(Plan!$L$6:$L$21,MATCH(Plan!$A$14,Plan!$A$6:$A$21,0)),"")*1*2,0)/2)</f>
        <v/>
      </c>
      <c r="D283" s="36" t="str">
        <f aca="false">IF(OR(IFERROR(INDEX(Plan!$J$6:$J$21,MATCH(Plan!$A$14,Plan!$A$6:$A$21,0)),"")="GESPERRT",IFERROR(INDEX(Plan!$M$6:$M$21,MATCH(Plan!$A$14,Plan!$A$6:$A$21,0)),"")=""),"",IFERROR(INDEX(Plan!$M$6:$M$21,MATCH(Plan!$A$14,Plan!$A$6:$A$21,0)),""))</f>
        <v/>
      </c>
      <c r="E283" s="34"/>
      <c r="F283" s="34"/>
      <c r="G283" s="34"/>
      <c r="H283" s="34"/>
      <c r="I283" s="34"/>
    </row>
    <row r="285" customFormat="false" ht="18" hidden="false" customHeight="true" outlineLevel="0" collapsed="false">
      <c r="A285" s="26" t="str">
        <f aca="false">Plan!$A$15</f>
        <v>Beinbeuger</v>
      </c>
      <c r="B285" s="26"/>
      <c r="C285" s="26"/>
      <c r="D285" s="26"/>
      <c r="E285" s="26"/>
      <c r="F285" s="26"/>
      <c r="G285" s="26"/>
      <c r="H285" s="26"/>
      <c r="I285" s="26"/>
    </row>
    <row r="286" customFormat="false" ht="15.75" hidden="false" customHeight="true" outlineLevel="0" collapsed="false">
      <c r="A286"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286" s="27"/>
      <c r="C286" s="27"/>
      <c r="D286" s="27"/>
      <c r="E286" s="27"/>
      <c r="F286" s="27"/>
      <c r="G286" s="27"/>
      <c r="H286" s="27"/>
      <c r="I286" s="27"/>
    </row>
    <row r="287" customFormat="false" ht="13.5" hidden="false" customHeight="true" outlineLevel="0" collapsed="false">
      <c r="A287"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287" s="28"/>
      <c r="C287" s="28"/>
      <c r="D287" s="28"/>
      <c r="E287" s="28"/>
      <c r="F287" s="28"/>
      <c r="G287" s="28"/>
      <c r="H287" s="28"/>
      <c r="I287" s="28"/>
    </row>
    <row r="288" customFormat="false" ht="18" hidden="false" customHeight="true" outlineLevel="0" collapsed="false">
      <c r="A288" s="29" t="s">
        <v>57</v>
      </c>
      <c r="B288" s="29" t="s">
        <v>58</v>
      </c>
      <c r="C288" s="29" t="s">
        <v>59</v>
      </c>
      <c r="D288" s="29" t="s">
        <v>60</v>
      </c>
      <c r="E288" s="29" t="s">
        <v>61</v>
      </c>
      <c r="F288" s="29" t="s">
        <v>62</v>
      </c>
      <c r="G288" s="29" t="s">
        <v>63</v>
      </c>
      <c r="H288" s="29" t="s">
        <v>64</v>
      </c>
      <c r="I288" s="29" t="s">
        <v>65</v>
      </c>
    </row>
    <row r="289" customFormat="false" ht="18" hidden="false" customHeight="true" outlineLevel="0" collapsed="false">
      <c r="A289" s="30" t="n">
        <v>1</v>
      </c>
      <c r="B289" s="31" t="s">
        <v>66</v>
      </c>
      <c r="C289" s="32" t="n">
        <f aca="false">IF(OR(IFERROR(INDEX(Plan!$J$6:$J$21,MATCH(Plan!$A$15,Plan!$A$6:$A$21,0)),"")="GESPERRT",IFERROR(INDEX(Plan!$L$6:$L$21,MATCH(Plan!$A$15,Plan!$A$6:$A$21,0)),"")=""),"",ROUND(IFERROR(INDEX(Plan!$L$6:$L$21,MATCH(Plan!$A$15,Plan!$A$6:$A$21,0)),"")*0.45*2,0)/2)</f>
        <v>22.5</v>
      </c>
      <c r="D289" s="33"/>
      <c r="E289" s="34"/>
      <c r="F289" s="34"/>
      <c r="G289" s="34"/>
      <c r="H289" s="34"/>
      <c r="I289" s="34"/>
    </row>
    <row r="290" customFormat="false" ht="18" hidden="false" customHeight="true" outlineLevel="0" collapsed="false">
      <c r="A290" s="30" t="n">
        <v>2</v>
      </c>
      <c r="B290" s="31" t="s">
        <v>66</v>
      </c>
      <c r="C290" s="32" t="n">
        <f aca="false">IF(OR(IFERROR(INDEX(Plan!$J$6:$J$21,MATCH(Plan!$A$15,Plan!$A$6:$A$21,0)),"")="GESPERRT",IFERROR(INDEX(Plan!$L$6:$L$21,MATCH(Plan!$A$15,Plan!$A$6:$A$21,0)),"")=""),"",ROUND(IFERROR(INDEX(Plan!$L$6:$L$21,MATCH(Plan!$A$15,Plan!$A$6:$A$21,0)),"")*0.7*2,0)/2)</f>
        <v>35</v>
      </c>
      <c r="D290" s="33"/>
      <c r="E290" s="34"/>
      <c r="F290" s="34"/>
      <c r="G290" s="34"/>
      <c r="H290" s="34"/>
      <c r="I290" s="34"/>
    </row>
    <row r="291" customFormat="false" ht="18" hidden="false" customHeight="true" outlineLevel="0" collapsed="false">
      <c r="A291" s="30" t="n">
        <v>3</v>
      </c>
      <c r="B291" s="35" t="s">
        <v>67</v>
      </c>
      <c r="C291" s="32" t="n">
        <f aca="false">IF(OR(IFERROR(INDEX(Plan!$J$6:$J$21,MATCH(Plan!$A$15,Plan!$A$6:$A$21,0)),"")="GESPERRT",IFERROR(INDEX(Plan!$L$6:$L$21,MATCH(Plan!$A$15,Plan!$A$6:$A$21,0)),"")=""),"",ROUND(IFERROR(INDEX(Plan!$L$6:$L$21,MATCH(Plan!$A$15,Plan!$A$6:$A$21,0)),"")*1*2,0)/2)</f>
        <v>50</v>
      </c>
      <c r="D291" s="36" t="n">
        <f aca="false">IF(OR(IFERROR(INDEX(Plan!$J$6:$J$21,MATCH(Plan!$A$15,Plan!$A$6:$A$21,0)),"")="GESPERRT",IFERROR(INDEX(Plan!$M$6:$M$21,MATCH(Plan!$A$15,Plan!$A$6:$A$21,0)),"")=""),"",IFERROR(INDEX(Plan!$M$6:$M$21,MATCH(Plan!$A$15,Plan!$A$6:$A$21,0)),""))</f>
        <v>10</v>
      </c>
      <c r="E291" s="34"/>
      <c r="F291" s="34"/>
      <c r="G291" s="34"/>
      <c r="H291" s="34"/>
      <c r="I291" s="34"/>
    </row>
    <row r="292" customFormat="false" ht="18" hidden="false" customHeight="true" outlineLevel="0" collapsed="false">
      <c r="A292" s="30" t="n">
        <v>4</v>
      </c>
      <c r="B292" s="35" t="s">
        <v>67</v>
      </c>
      <c r="C292" s="32" t="n">
        <f aca="false">IF(OR(IFERROR(INDEX(Plan!$J$6:$J$21,MATCH(Plan!$A$15,Plan!$A$6:$A$21,0)),"")="GESPERRT",IFERROR(INDEX(Plan!$L$6:$L$21,MATCH(Plan!$A$15,Plan!$A$6:$A$21,0)),"")=""),"",ROUND(IFERROR(INDEX(Plan!$L$6:$L$21,MATCH(Plan!$A$15,Plan!$A$6:$A$21,0)),"")*1*2,0)/2)</f>
        <v>50</v>
      </c>
      <c r="D292" s="36" t="n">
        <f aca="false">IF(OR(IFERROR(INDEX(Plan!$J$6:$J$21,MATCH(Plan!$A$15,Plan!$A$6:$A$21,0)),"")="GESPERRT",IFERROR(INDEX(Plan!$M$6:$M$21,MATCH(Plan!$A$15,Plan!$A$6:$A$21,0)),"")=""),"",IFERROR(INDEX(Plan!$M$6:$M$21,MATCH(Plan!$A$15,Plan!$A$6:$A$21,0)),""))</f>
        <v>10</v>
      </c>
      <c r="E292" s="34"/>
      <c r="F292" s="34"/>
      <c r="G292" s="34"/>
      <c r="H292" s="34"/>
      <c r="I292" s="34"/>
    </row>
    <row r="293" customFormat="false" ht="18" hidden="false" customHeight="true" outlineLevel="0" collapsed="false">
      <c r="A293" s="30" t="n">
        <v>5</v>
      </c>
      <c r="B293" s="31" t="s">
        <v>68</v>
      </c>
      <c r="C293" s="33"/>
      <c r="D293" s="33"/>
      <c r="E293" s="34"/>
      <c r="F293" s="34"/>
      <c r="G293" s="34"/>
      <c r="H293" s="34"/>
      <c r="I293" s="34"/>
    </row>
    <row r="295" customFormat="false" ht="18" hidden="false" customHeight="true" outlineLevel="0" collapsed="false">
      <c r="A295" s="26" t="str">
        <f aca="false">Plan!$A$16</f>
        <v>Seitliche Kickbacks</v>
      </c>
      <c r="B295" s="26"/>
      <c r="C295" s="26"/>
      <c r="D295" s="26"/>
      <c r="E295" s="26"/>
      <c r="F295" s="26"/>
      <c r="G295" s="26"/>
      <c r="H295" s="26"/>
      <c r="I295" s="26"/>
    </row>
    <row r="296" customFormat="false" ht="15.75" hidden="false" customHeight="true" outlineLevel="0" collapsed="false">
      <c r="A296"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GESPERRT bis Woche 2 nach OP     ·     3 Sätze</v>
      </c>
      <c r="B296" s="27"/>
      <c r="C296" s="27"/>
      <c r="D296" s="27"/>
      <c r="E296" s="27"/>
      <c r="F296" s="27"/>
      <c r="G296" s="27"/>
      <c r="H296" s="27"/>
      <c r="I296" s="27"/>
    </row>
    <row r="297" customFormat="false" ht="13.5" hidden="false" customHeight="true" outlineLevel="0" collapsed="false">
      <c r="A297" s="28" t="str">
        <f aca="false">IF(IFERROR(INDEX(Plan!$K$6:$K$21,MATCH(Plan!$A$16,Plan!$A$6:$A$21,0)),"")="","","zuletzt "&amp;IFERROR(INDEX(Plan!$K$6:$K$21,MATCH(Plan!$A$16,Plan!$A$6:$A$21,0)),"")&amp;"     ·     ")&amp;IF(IFERROR(INDEX(Plan!$N$6:$N$21,MATCH(Plan!$A$16,Plan!$A$6:$A$21,0)),"")="","",IFERROR(INDEX(Plan!$N$6:$N$21,MATCH(Plan!$A$16,Plan!$A$6:$A$21,0)),""))</f>
        <v>zuletzt 35 kg × 15 Wdh     ·     Wdh +1 auf 16</v>
      </c>
      <c r="B297" s="28"/>
      <c r="C297" s="28"/>
      <c r="D297" s="28"/>
      <c r="E297" s="28"/>
      <c r="F297" s="28"/>
      <c r="G297" s="28"/>
      <c r="H297" s="28"/>
      <c r="I297" s="28"/>
    </row>
    <row r="298" customFormat="false" ht="18" hidden="false" customHeight="true" outlineLevel="0" collapsed="false">
      <c r="A298" s="29" t="s">
        <v>57</v>
      </c>
      <c r="B298" s="29" t="s">
        <v>58</v>
      </c>
      <c r="C298" s="29" t="s">
        <v>59</v>
      </c>
      <c r="D298" s="29" t="s">
        <v>60</v>
      </c>
      <c r="E298" s="29" t="s">
        <v>61</v>
      </c>
      <c r="F298" s="29" t="s">
        <v>62</v>
      </c>
      <c r="G298" s="29" t="s">
        <v>63</v>
      </c>
      <c r="H298" s="29" t="s">
        <v>64</v>
      </c>
      <c r="I298" s="29" t="s">
        <v>65</v>
      </c>
    </row>
    <row r="299" customFormat="false" ht="18" hidden="false" customHeight="true" outlineLevel="0" collapsed="false">
      <c r="A299" s="30" t="n">
        <v>1</v>
      </c>
      <c r="B299" s="31" t="s">
        <v>66</v>
      </c>
      <c r="C299" s="32" t="str">
        <f aca="false">IF(OR(IFERROR(INDEX(Plan!$J$6:$J$21,MATCH(Plan!$A$16,Plan!$A$6:$A$21,0)),"")="GESPERRT",IFERROR(INDEX(Plan!$L$6:$L$21,MATCH(Plan!$A$16,Plan!$A$6:$A$21,0)),"")=""),"",ROUND(IFERROR(INDEX(Plan!$L$6:$L$21,MATCH(Plan!$A$16,Plan!$A$6:$A$21,0)),"")*0.45*2,0)/2)</f>
        <v/>
      </c>
      <c r="D299" s="33"/>
      <c r="E299" s="34"/>
      <c r="F299" s="34"/>
      <c r="G299" s="34"/>
      <c r="H299" s="34"/>
      <c r="I299" s="34"/>
    </row>
    <row r="300" customFormat="false" ht="18" hidden="false" customHeight="true" outlineLevel="0" collapsed="false">
      <c r="A300" s="30" t="n">
        <v>2</v>
      </c>
      <c r="B300" s="31" t="s">
        <v>66</v>
      </c>
      <c r="C300" s="32" t="str">
        <f aca="false">IF(OR(IFERROR(INDEX(Plan!$J$6:$J$21,MATCH(Plan!$A$16,Plan!$A$6:$A$21,0)),"")="GESPERRT",IFERROR(INDEX(Plan!$L$6:$L$21,MATCH(Plan!$A$16,Plan!$A$6:$A$21,0)),"")=""),"",ROUND(IFERROR(INDEX(Plan!$L$6:$L$21,MATCH(Plan!$A$16,Plan!$A$6:$A$21,0)),"")*0.7*2,0)/2)</f>
        <v/>
      </c>
      <c r="D300" s="33"/>
      <c r="E300" s="34"/>
      <c r="F300" s="34"/>
      <c r="G300" s="34"/>
      <c r="H300" s="34"/>
      <c r="I300" s="34"/>
    </row>
    <row r="301" customFormat="false" ht="18" hidden="false" customHeight="true" outlineLevel="0" collapsed="false">
      <c r="A301" s="30" t="n">
        <v>3</v>
      </c>
      <c r="B301" s="35" t="s">
        <v>67</v>
      </c>
      <c r="C301" s="32" t="str">
        <f aca="false">IF(OR(IFERROR(INDEX(Plan!$J$6:$J$21,MATCH(Plan!$A$16,Plan!$A$6:$A$21,0)),"")="GESPERRT",IFERROR(INDEX(Plan!$L$6:$L$21,MATCH(Plan!$A$16,Plan!$A$6:$A$21,0)),"")=""),"",ROUND(IFERROR(INDEX(Plan!$L$6:$L$21,MATCH(Plan!$A$16,Plan!$A$6:$A$21,0)),"")*1*2,0)/2)</f>
        <v/>
      </c>
      <c r="D301" s="36" t="str">
        <f aca="false">IF(OR(IFERROR(INDEX(Plan!$J$6:$J$21,MATCH(Plan!$A$16,Plan!$A$6:$A$21,0)),"")="GESPERRT",IFERROR(INDEX(Plan!$M$6:$M$21,MATCH(Plan!$A$16,Plan!$A$6:$A$21,0)),"")=""),"",IFERROR(INDEX(Plan!$M$6:$M$21,MATCH(Plan!$A$16,Plan!$A$6:$A$21,0)),""))</f>
        <v/>
      </c>
      <c r="E301" s="34"/>
      <c r="F301" s="34"/>
      <c r="G301" s="34"/>
      <c r="H301" s="34"/>
      <c r="I301" s="34"/>
    </row>
    <row r="302" customFormat="false" ht="18" hidden="false" customHeight="true" outlineLevel="0" collapsed="false">
      <c r="A302" s="30" t="n">
        <v>4</v>
      </c>
      <c r="B302" s="35" t="s">
        <v>67</v>
      </c>
      <c r="C302" s="32" t="str">
        <f aca="false">IF(OR(IFERROR(INDEX(Plan!$J$6:$J$21,MATCH(Plan!$A$16,Plan!$A$6:$A$21,0)),"")="GESPERRT",IFERROR(INDEX(Plan!$L$6:$L$21,MATCH(Plan!$A$16,Plan!$A$6:$A$21,0)),"")=""),"",ROUND(IFERROR(INDEX(Plan!$L$6:$L$21,MATCH(Plan!$A$16,Plan!$A$6:$A$21,0)),"")*1*2,0)/2)</f>
        <v/>
      </c>
      <c r="D302" s="36" t="str">
        <f aca="false">IF(OR(IFERROR(INDEX(Plan!$J$6:$J$21,MATCH(Plan!$A$16,Plan!$A$6:$A$21,0)),"")="GESPERRT",IFERROR(INDEX(Plan!$M$6:$M$21,MATCH(Plan!$A$16,Plan!$A$6:$A$21,0)),"")=""),"",IFERROR(INDEX(Plan!$M$6:$M$21,MATCH(Plan!$A$16,Plan!$A$6:$A$21,0)),""))</f>
        <v/>
      </c>
      <c r="E302" s="34"/>
      <c r="F302" s="34"/>
      <c r="G302" s="34"/>
      <c r="H302" s="34"/>
      <c r="I302" s="34"/>
    </row>
    <row r="303" customFormat="false" ht="18" hidden="false" customHeight="true" outlineLevel="0" collapsed="false">
      <c r="A303" s="30" t="n">
        <v>5</v>
      </c>
      <c r="B303" s="35" t="s">
        <v>67</v>
      </c>
      <c r="C303" s="32" t="str">
        <f aca="false">IF(OR(IFERROR(INDEX(Plan!$J$6:$J$21,MATCH(Plan!$A$16,Plan!$A$6:$A$21,0)),"")="GESPERRT",IFERROR(INDEX(Plan!$L$6:$L$21,MATCH(Plan!$A$16,Plan!$A$6:$A$21,0)),"")=""),"",ROUND(IFERROR(INDEX(Plan!$L$6:$L$21,MATCH(Plan!$A$16,Plan!$A$6:$A$21,0)),"")*1*2,0)/2)</f>
        <v/>
      </c>
      <c r="D303" s="36" t="str">
        <f aca="false">IF(OR(IFERROR(INDEX(Plan!$J$6:$J$21,MATCH(Plan!$A$16,Plan!$A$6:$A$21,0)),"")="GESPERRT",IFERROR(INDEX(Plan!$M$6:$M$21,MATCH(Plan!$A$16,Plan!$A$6:$A$21,0)),"")=""),"",IFERROR(INDEX(Plan!$M$6:$M$21,MATCH(Plan!$A$16,Plan!$A$6:$A$21,0)),""))</f>
        <v/>
      </c>
      <c r="E303" s="34"/>
      <c r="F303" s="34"/>
      <c r="G303" s="34"/>
      <c r="H303" s="34"/>
      <c r="I303" s="34"/>
    </row>
    <row r="305" customFormat="false" ht="18" hidden="false" customHeight="true" outlineLevel="0" collapsed="false">
      <c r="A305" s="26" t="str">
        <f aca="false">Plan!$A$17</f>
        <v>Waden</v>
      </c>
      <c r="B305" s="26"/>
      <c r="C305" s="26"/>
      <c r="D305" s="26"/>
      <c r="E305" s="26"/>
      <c r="F305" s="26"/>
      <c r="G305" s="26"/>
      <c r="H305" s="26"/>
      <c r="I305" s="26"/>
    </row>
    <row r="306" customFormat="false" ht="15.75" hidden="false" customHeight="true" outlineLevel="0" collapsed="false">
      <c r="A306"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GESPERRT bis Woche 2 nach OP     ·     3 Sätze</v>
      </c>
      <c r="B306" s="27"/>
      <c r="C306" s="27"/>
      <c r="D306" s="27"/>
      <c r="E306" s="27"/>
      <c r="F306" s="27"/>
      <c r="G306" s="27"/>
      <c r="H306" s="27"/>
      <c r="I306" s="27"/>
    </row>
    <row r="307" customFormat="false" ht="13.5" hidden="false" customHeight="true" outlineLevel="0" collapsed="false">
      <c r="A307" s="28" t="str">
        <f aca="false">IF(IFERROR(INDEX(Plan!$K$6:$K$21,MATCH(Plan!$A$17,Plan!$A$6:$A$21,0)),"")="","","zuletzt "&amp;IFERROR(INDEX(Plan!$K$6:$K$21,MATCH(Plan!$A$17,Plan!$A$6:$A$21,0)),"")&amp;"     ·     ")&amp;IF(IFERROR(INDEX(Plan!$N$6:$N$21,MATCH(Plan!$A$17,Plan!$A$6:$A$21,0)),"")="","",IFERROR(INDEX(Plan!$N$6:$N$21,MATCH(Plan!$A$17,Plan!$A$6:$A$21,0)),""))</f>
        <v>zuletzt 150 kg × 12 Wdh     ·     Wdh +1 auf 13</v>
      </c>
      <c r="B307" s="28"/>
      <c r="C307" s="28"/>
      <c r="D307" s="28"/>
      <c r="E307" s="28"/>
      <c r="F307" s="28"/>
      <c r="G307" s="28"/>
      <c r="H307" s="28"/>
      <c r="I307" s="28"/>
    </row>
    <row r="308" customFormat="false" ht="18" hidden="false" customHeight="true" outlineLevel="0" collapsed="false">
      <c r="A308" s="29" t="s">
        <v>57</v>
      </c>
      <c r="B308" s="29" t="s">
        <v>58</v>
      </c>
      <c r="C308" s="29" t="s">
        <v>59</v>
      </c>
      <c r="D308" s="29" t="s">
        <v>60</v>
      </c>
      <c r="E308" s="29" t="s">
        <v>61</v>
      </c>
      <c r="F308" s="29" t="s">
        <v>62</v>
      </c>
      <c r="G308" s="29" t="s">
        <v>63</v>
      </c>
      <c r="H308" s="29" t="s">
        <v>64</v>
      </c>
      <c r="I308" s="29" t="s">
        <v>65</v>
      </c>
    </row>
    <row r="309" customFormat="false" ht="18" hidden="false" customHeight="true" outlineLevel="0" collapsed="false">
      <c r="A309" s="30" t="n">
        <v>1</v>
      </c>
      <c r="B309" s="31" t="s">
        <v>66</v>
      </c>
      <c r="C309" s="32" t="str">
        <f aca="false">IF(OR(IFERROR(INDEX(Plan!$J$6:$J$21,MATCH(Plan!$A$17,Plan!$A$6:$A$21,0)),"")="GESPERRT",IFERROR(INDEX(Plan!$L$6:$L$21,MATCH(Plan!$A$17,Plan!$A$6:$A$21,0)),"")=""),"",ROUND(IFERROR(INDEX(Plan!$L$6:$L$21,MATCH(Plan!$A$17,Plan!$A$6:$A$21,0)),"")*0.45*2,0)/2)</f>
        <v/>
      </c>
      <c r="D309" s="33"/>
      <c r="E309" s="34"/>
      <c r="F309" s="34"/>
      <c r="G309" s="34"/>
      <c r="H309" s="34"/>
      <c r="I309" s="34"/>
    </row>
    <row r="310" customFormat="false" ht="18" hidden="false" customHeight="true" outlineLevel="0" collapsed="false">
      <c r="A310" s="30" t="n">
        <v>2</v>
      </c>
      <c r="B310" s="31" t="s">
        <v>66</v>
      </c>
      <c r="C310" s="32" t="str">
        <f aca="false">IF(OR(IFERROR(INDEX(Plan!$J$6:$J$21,MATCH(Plan!$A$17,Plan!$A$6:$A$21,0)),"")="GESPERRT",IFERROR(INDEX(Plan!$L$6:$L$21,MATCH(Plan!$A$17,Plan!$A$6:$A$21,0)),"")=""),"",ROUND(IFERROR(INDEX(Plan!$L$6:$L$21,MATCH(Plan!$A$17,Plan!$A$6:$A$21,0)),"")*0.7*2,0)/2)</f>
        <v/>
      </c>
      <c r="D310" s="33"/>
      <c r="E310" s="34"/>
      <c r="F310" s="34"/>
      <c r="G310" s="34"/>
      <c r="H310" s="34"/>
      <c r="I310" s="34"/>
    </row>
    <row r="311" customFormat="false" ht="18" hidden="false" customHeight="true" outlineLevel="0" collapsed="false">
      <c r="A311" s="30" t="n">
        <v>3</v>
      </c>
      <c r="B311" s="35" t="s">
        <v>67</v>
      </c>
      <c r="C311" s="32" t="str">
        <f aca="false">IF(OR(IFERROR(INDEX(Plan!$J$6:$J$21,MATCH(Plan!$A$17,Plan!$A$6:$A$21,0)),"")="GESPERRT",IFERROR(INDEX(Plan!$L$6:$L$21,MATCH(Plan!$A$17,Plan!$A$6:$A$21,0)),"")=""),"",ROUND(IFERROR(INDEX(Plan!$L$6:$L$21,MATCH(Plan!$A$17,Plan!$A$6:$A$21,0)),"")*1*2,0)/2)</f>
        <v/>
      </c>
      <c r="D311" s="36" t="str">
        <f aca="false">IF(OR(IFERROR(INDEX(Plan!$J$6:$J$21,MATCH(Plan!$A$17,Plan!$A$6:$A$21,0)),"")="GESPERRT",IFERROR(INDEX(Plan!$M$6:$M$21,MATCH(Plan!$A$17,Plan!$A$6:$A$21,0)),"")=""),"",IFERROR(INDEX(Plan!$M$6:$M$21,MATCH(Plan!$A$17,Plan!$A$6:$A$21,0)),""))</f>
        <v/>
      </c>
      <c r="E311" s="34"/>
      <c r="F311" s="34"/>
      <c r="G311" s="34"/>
      <c r="H311" s="34"/>
      <c r="I311" s="34"/>
    </row>
    <row r="312" customFormat="false" ht="18" hidden="false" customHeight="true" outlineLevel="0" collapsed="false">
      <c r="A312" s="30" t="n">
        <v>4</v>
      </c>
      <c r="B312" s="35" t="s">
        <v>67</v>
      </c>
      <c r="C312" s="32" t="str">
        <f aca="false">IF(OR(IFERROR(INDEX(Plan!$J$6:$J$21,MATCH(Plan!$A$17,Plan!$A$6:$A$21,0)),"")="GESPERRT",IFERROR(INDEX(Plan!$L$6:$L$21,MATCH(Plan!$A$17,Plan!$A$6:$A$21,0)),"")=""),"",ROUND(IFERROR(INDEX(Plan!$L$6:$L$21,MATCH(Plan!$A$17,Plan!$A$6:$A$21,0)),"")*1*2,0)/2)</f>
        <v/>
      </c>
      <c r="D312" s="36" t="str">
        <f aca="false">IF(OR(IFERROR(INDEX(Plan!$J$6:$J$21,MATCH(Plan!$A$17,Plan!$A$6:$A$21,0)),"")="GESPERRT",IFERROR(INDEX(Plan!$M$6:$M$21,MATCH(Plan!$A$17,Plan!$A$6:$A$21,0)),"")=""),"",IFERROR(INDEX(Plan!$M$6:$M$21,MATCH(Plan!$A$17,Plan!$A$6:$A$21,0)),""))</f>
        <v/>
      </c>
      <c r="E312" s="34"/>
      <c r="F312" s="34"/>
      <c r="G312" s="34"/>
      <c r="H312" s="34"/>
      <c r="I312" s="34"/>
    </row>
    <row r="313" customFormat="false" ht="18" hidden="false" customHeight="true" outlineLevel="0" collapsed="false">
      <c r="A313" s="30" t="n">
        <v>5</v>
      </c>
      <c r="B313" s="35" t="s">
        <v>67</v>
      </c>
      <c r="C313" s="32" t="str">
        <f aca="false">IF(OR(IFERROR(INDEX(Plan!$J$6:$J$21,MATCH(Plan!$A$17,Plan!$A$6:$A$21,0)),"")="GESPERRT",IFERROR(INDEX(Plan!$L$6:$L$21,MATCH(Plan!$A$17,Plan!$A$6:$A$21,0)),"")=""),"",ROUND(IFERROR(INDEX(Plan!$L$6:$L$21,MATCH(Plan!$A$17,Plan!$A$6:$A$21,0)),"")*1*2,0)/2)</f>
        <v/>
      </c>
      <c r="D313" s="36" t="str">
        <f aca="false">IF(OR(IFERROR(INDEX(Plan!$J$6:$J$21,MATCH(Plan!$A$17,Plan!$A$6:$A$21,0)),"")="GESPERRT",IFERROR(INDEX(Plan!$M$6:$M$21,MATCH(Plan!$A$17,Plan!$A$6:$A$21,0)),"")=""),"",IFERROR(INDEX(Plan!$M$6:$M$21,MATCH(Plan!$A$17,Plan!$A$6:$A$21,0)),""))</f>
        <v/>
      </c>
      <c r="E313" s="34"/>
      <c r="F313" s="34"/>
      <c r="G313" s="34"/>
      <c r="H313" s="34"/>
      <c r="I313" s="34"/>
    </row>
    <row r="315" customFormat="false" ht="18" hidden="false" customHeight="true" outlineLevel="0" collapsed="false">
      <c r="A315" s="6" t="s">
        <v>69</v>
      </c>
      <c r="B315" s="6"/>
      <c r="C315" s="6"/>
      <c r="D315" s="6"/>
      <c r="E315" s="6"/>
      <c r="F315" s="6"/>
      <c r="G315" s="6"/>
      <c r="H315" s="6"/>
      <c r="I315" s="6"/>
    </row>
    <row r="316" customFormat="false" ht="16.5" hidden="false" customHeight="true" outlineLevel="0" collapsed="false">
      <c r="A316" s="37"/>
      <c r="B316" s="37"/>
      <c r="C316" s="37"/>
      <c r="D316" s="37"/>
      <c r="E316" s="37"/>
      <c r="F316" s="37"/>
      <c r="G316" s="37"/>
      <c r="H316" s="37"/>
      <c r="I316" s="37"/>
    </row>
    <row r="317" customFormat="false" ht="16.5" hidden="false" customHeight="true" outlineLevel="0" collapsed="false">
      <c r="A317" s="37"/>
      <c r="B317" s="37"/>
      <c r="C317" s="37"/>
      <c r="D317" s="37"/>
      <c r="E317" s="37"/>
      <c r="F317" s="37"/>
      <c r="G317" s="37"/>
      <c r="H317" s="37"/>
      <c r="I317" s="37"/>
    </row>
    <row r="319" customFormat="false" ht="25.5" hidden="false" customHeight="true" outlineLevel="0" collapsed="false">
      <c r="A319" s="1" t="s">
        <v>75</v>
      </c>
      <c r="B319" s="1"/>
      <c r="C319" s="1"/>
      <c r="D319" s="1"/>
      <c r="E319" s="1"/>
      <c r="F319" s="1"/>
      <c r="G319" s="1"/>
      <c r="H319" s="1"/>
      <c r="I319" s="1"/>
    </row>
    <row r="320" customFormat="false" ht="12" hidden="false" customHeight="true" outlineLevel="0" collapsed="false">
      <c r="A320" s="23" t="s">
        <v>52</v>
      </c>
      <c r="B320" s="23"/>
      <c r="C320" s="24" t="s">
        <v>53</v>
      </c>
      <c r="D320" s="23" t="s">
        <v>54</v>
      </c>
      <c r="E320" s="23"/>
      <c r="F320" s="23" t="s">
        <v>55</v>
      </c>
      <c r="G320" s="23"/>
      <c r="H320" s="23" t="s">
        <v>56</v>
      </c>
      <c r="I320" s="23"/>
    </row>
    <row r="321" customFormat="false" ht="18" hidden="false" customHeight="true" outlineLevel="0" collapsed="false">
      <c r="A321" s="25"/>
      <c r="B321" s="25"/>
      <c r="C321" s="25"/>
      <c r="D321" s="25"/>
      <c r="E321" s="25"/>
      <c r="F321" s="25"/>
      <c r="G321" s="25"/>
      <c r="H321" s="25"/>
      <c r="I321" s="25"/>
    </row>
    <row r="323" customFormat="false" ht="18" hidden="false" customHeight="true" outlineLevel="0" collapsed="false">
      <c r="A323" s="26" t="str">
        <f aca="false">Plan!$A$7</f>
        <v>Beinpresse</v>
      </c>
      <c r="B323" s="26"/>
      <c r="C323" s="26"/>
      <c r="D323" s="26"/>
      <c r="E323" s="26"/>
      <c r="F323" s="26"/>
      <c r="G323" s="26"/>
      <c r="H323" s="26"/>
      <c r="I323" s="26"/>
    </row>
    <row r="324" customFormat="false" ht="15.75" hidden="false" customHeight="true" outlineLevel="0" collapsed="false">
      <c r="A324" s="27" t="str">
        <f aca="false">IF(IFERROR(INDEX(Plan!$J$6:$J$21,MATCH(Plan!$A$7,Plan!$A$6:$A$21,0)),"")="GESPERRT","GESPERRT bis Woche "&amp;IFERROR(INDEX(Plan!$I$6:$I$21,MATCH(Plan!$A$7,Plan!$A$6:$A$21,0)),"")&amp;" nach OP",IF(IFERROR(INDEX(Plan!$L$6:$L$21,MATCH(Plan!$A$7,Plan!$A$6:$A$21,0)),"")="","Startgewicht im Blatt 'Plan' eintragen","HEUTE:  "&amp;TEXT(IFERROR(INDEX(Plan!$L$6:$L$21,MATCH(Plan!$A$7,Plan!$A$6:$A$21,0)),""),"0.#")&amp;" kg × "&amp;IFERROR(INDEX(Plan!$M$6:$M$21,MATCH(Plan!$A$7,Plan!$A$6:$A$21,0)),"")&amp;" Wdh"))&amp;"     ·     "&amp;IFERROR(INDEX(Plan!$D$6:$D$21,MATCH(Plan!$A$7,Plan!$A$6:$A$21,0)),"")&amp;" Sätze"</f>
        <v>GESPERRT bis Woche 2 nach OP     ·     3 Sätze</v>
      </c>
      <c r="B324" s="27"/>
      <c r="C324" s="27"/>
      <c r="D324" s="27"/>
      <c r="E324" s="27"/>
      <c r="F324" s="27"/>
      <c r="G324" s="27"/>
      <c r="H324" s="27"/>
      <c r="I324" s="27"/>
    </row>
    <row r="325" customFormat="false" ht="13.5" hidden="false" customHeight="true" outlineLevel="0" collapsed="false">
      <c r="A325" s="28" t="str">
        <f aca="false">IF(IFERROR(INDEX(Plan!$K$6:$K$21,MATCH(Plan!$A$7,Plan!$A$6:$A$21,0)),"")="","","zuletzt "&amp;IFERROR(INDEX(Plan!$K$6:$K$21,MATCH(Plan!$A$7,Plan!$A$6:$A$21,0)),"")&amp;"     ·     ")&amp;IF(IFERROR(INDEX(Plan!$N$6:$N$21,MATCH(Plan!$A$7,Plan!$A$6:$A$21,0)),"")="","",IFERROR(INDEX(Plan!$N$6:$N$21,MATCH(Plan!$A$7,Plan!$A$6:$A$21,0)),""))</f>
        <v/>
      </c>
      <c r="B325" s="28"/>
      <c r="C325" s="28"/>
      <c r="D325" s="28"/>
      <c r="E325" s="28"/>
      <c r="F325" s="28"/>
      <c r="G325" s="28"/>
      <c r="H325" s="28"/>
      <c r="I325" s="28"/>
    </row>
    <row r="326" customFormat="false" ht="18" hidden="false" customHeight="true" outlineLevel="0" collapsed="false">
      <c r="A326" s="29" t="s">
        <v>57</v>
      </c>
      <c r="B326" s="29" t="s">
        <v>58</v>
      </c>
      <c r="C326" s="29" t="s">
        <v>59</v>
      </c>
      <c r="D326" s="29" t="s">
        <v>60</v>
      </c>
      <c r="E326" s="29" t="s">
        <v>61</v>
      </c>
      <c r="F326" s="29" t="s">
        <v>62</v>
      </c>
      <c r="G326" s="29" t="s">
        <v>63</v>
      </c>
      <c r="H326" s="29" t="s">
        <v>64</v>
      </c>
      <c r="I326" s="29" t="s">
        <v>65</v>
      </c>
    </row>
    <row r="327" customFormat="false" ht="18" hidden="false" customHeight="true" outlineLevel="0" collapsed="false">
      <c r="A327" s="30" t="n">
        <v>1</v>
      </c>
      <c r="B327" s="31" t="s">
        <v>66</v>
      </c>
      <c r="C327" s="32" t="str">
        <f aca="false">IF(OR(IFERROR(INDEX(Plan!$J$6:$J$21,MATCH(Plan!$A$7,Plan!$A$6:$A$21,0)),"")="GESPERRT",IFERROR(INDEX(Plan!$L$6:$L$21,MATCH(Plan!$A$7,Plan!$A$6:$A$21,0)),"")=""),"",ROUND(IFERROR(INDEX(Plan!$L$6:$L$21,MATCH(Plan!$A$7,Plan!$A$6:$A$21,0)),"")*0.45*2,0)/2)</f>
        <v/>
      </c>
      <c r="D327" s="33"/>
      <c r="E327" s="34"/>
      <c r="F327" s="34"/>
      <c r="G327" s="34"/>
      <c r="H327" s="34"/>
      <c r="I327" s="34"/>
    </row>
    <row r="328" customFormat="false" ht="18" hidden="false" customHeight="true" outlineLevel="0" collapsed="false">
      <c r="A328" s="30" t="n">
        <v>2</v>
      </c>
      <c r="B328" s="31" t="s">
        <v>66</v>
      </c>
      <c r="C328" s="32" t="str">
        <f aca="false">IF(OR(IFERROR(INDEX(Plan!$J$6:$J$21,MATCH(Plan!$A$7,Plan!$A$6:$A$21,0)),"")="GESPERRT",IFERROR(INDEX(Plan!$L$6:$L$21,MATCH(Plan!$A$7,Plan!$A$6:$A$21,0)),"")=""),"",ROUND(IFERROR(INDEX(Plan!$L$6:$L$21,MATCH(Plan!$A$7,Plan!$A$6:$A$21,0)),"")*0.7*2,0)/2)</f>
        <v/>
      </c>
      <c r="D328" s="33"/>
      <c r="E328" s="34"/>
      <c r="F328" s="34"/>
      <c r="G328" s="34"/>
      <c r="H328" s="34"/>
      <c r="I328" s="34"/>
    </row>
    <row r="329" customFormat="false" ht="18" hidden="false" customHeight="true" outlineLevel="0" collapsed="false">
      <c r="A329" s="30" t="n">
        <v>3</v>
      </c>
      <c r="B329" s="35" t="s">
        <v>67</v>
      </c>
      <c r="C329" s="32" t="str">
        <f aca="false">IF(OR(IFERROR(INDEX(Plan!$J$6:$J$21,MATCH(Plan!$A$7,Plan!$A$6:$A$21,0)),"")="GESPERRT",IFERROR(INDEX(Plan!$L$6:$L$21,MATCH(Plan!$A$7,Plan!$A$6:$A$21,0)),"")=""),"",ROUND(IFERROR(INDEX(Plan!$L$6:$L$21,MATCH(Plan!$A$7,Plan!$A$6:$A$21,0)),"")*1*2,0)/2)</f>
        <v/>
      </c>
      <c r="D329" s="36" t="str">
        <f aca="false">IF(OR(IFERROR(INDEX(Plan!$J$6:$J$21,MATCH(Plan!$A$7,Plan!$A$6:$A$21,0)),"")="GESPERRT",IFERROR(INDEX(Plan!$M$6:$M$21,MATCH(Plan!$A$7,Plan!$A$6:$A$21,0)),"")=""),"",IFERROR(INDEX(Plan!$M$6:$M$21,MATCH(Plan!$A$7,Plan!$A$6:$A$21,0)),""))</f>
        <v/>
      </c>
      <c r="E329" s="34"/>
      <c r="F329" s="34"/>
      <c r="G329" s="34"/>
      <c r="H329" s="34"/>
      <c r="I329" s="34"/>
    </row>
    <row r="330" customFormat="false" ht="18" hidden="false" customHeight="true" outlineLevel="0" collapsed="false">
      <c r="A330" s="30" t="n">
        <v>4</v>
      </c>
      <c r="B330" s="35" t="s">
        <v>67</v>
      </c>
      <c r="C330" s="32" t="str">
        <f aca="false">IF(OR(IFERROR(INDEX(Plan!$J$6:$J$21,MATCH(Plan!$A$7,Plan!$A$6:$A$21,0)),"")="GESPERRT",IFERROR(INDEX(Plan!$L$6:$L$21,MATCH(Plan!$A$7,Plan!$A$6:$A$21,0)),"")=""),"",ROUND(IFERROR(INDEX(Plan!$L$6:$L$21,MATCH(Plan!$A$7,Plan!$A$6:$A$21,0)),"")*1*2,0)/2)</f>
        <v/>
      </c>
      <c r="D330" s="36" t="str">
        <f aca="false">IF(OR(IFERROR(INDEX(Plan!$J$6:$J$21,MATCH(Plan!$A$7,Plan!$A$6:$A$21,0)),"")="GESPERRT",IFERROR(INDEX(Plan!$M$6:$M$21,MATCH(Plan!$A$7,Plan!$A$6:$A$21,0)),"")=""),"",IFERROR(INDEX(Plan!$M$6:$M$21,MATCH(Plan!$A$7,Plan!$A$6:$A$21,0)),""))</f>
        <v/>
      </c>
      <c r="E330" s="34"/>
      <c r="F330" s="34"/>
      <c r="G330" s="34"/>
      <c r="H330" s="34"/>
      <c r="I330" s="34"/>
    </row>
    <row r="331" customFormat="false" ht="18" hidden="false" customHeight="true" outlineLevel="0" collapsed="false">
      <c r="A331" s="30" t="n">
        <v>5</v>
      </c>
      <c r="B331" s="35" t="s">
        <v>67</v>
      </c>
      <c r="C331" s="32" t="str">
        <f aca="false">IF(OR(IFERROR(INDEX(Plan!$J$6:$J$21,MATCH(Plan!$A$7,Plan!$A$6:$A$21,0)),"")="GESPERRT",IFERROR(INDEX(Plan!$L$6:$L$21,MATCH(Plan!$A$7,Plan!$A$6:$A$21,0)),"")=""),"",ROUND(IFERROR(INDEX(Plan!$L$6:$L$21,MATCH(Plan!$A$7,Plan!$A$6:$A$21,0)),"")*1*2,0)/2)</f>
        <v/>
      </c>
      <c r="D331" s="36" t="str">
        <f aca="false">IF(OR(IFERROR(INDEX(Plan!$J$6:$J$21,MATCH(Plan!$A$7,Plan!$A$6:$A$21,0)),"")="GESPERRT",IFERROR(INDEX(Plan!$M$6:$M$21,MATCH(Plan!$A$7,Plan!$A$6:$A$21,0)),"")=""),"",IFERROR(INDEX(Plan!$M$6:$M$21,MATCH(Plan!$A$7,Plan!$A$6:$A$21,0)),""))</f>
        <v/>
      </c>
      <c r="E331" s="34"/>
      <c r="F331" s="34"/>
      <c r="G331" s="34"/>
      <c r="H331" s="34"/>
      <c r="I331" s="34"/>
    </row>
    <row r="333" customFormat="false" ht="18" hidden="false" customHeight="true" outlineLevel="0" collapsed="false">
      <c r="A333" s="26" t="str">
        <f aca="false">Plan!$A$8</f>
        <v>Split Squat</v>
      </c>
      <c r="B333" s="26"/>
      <c r="C333" s="26"/>
      <c r="D333" s="26"/>
      <c r="E333" s="26"/>
      <c r="F333" s="26"/>
      <c r="G333" s="26"/>
      <c r="H333" s="26"/>
      <c r="I333" s="26"/>
    </row>
    <row r="334" customFormat="false" ht="15.75" hidden="false" customHeight="true" outlineLevel="0" collapsed="false">
      <c r="A334" s="27" t="str">
        <f aca="false">IF(IFERROR(INDEX(Plan!$J$6:$J$21,MATCH(Plan!$A$8,Plan!$A$6:$A$21,0)),"")="GESPERRT","GESPERRT bis Woche "&amp;IFERROR(INDEX(Plan!$I$6:$I$21,MATCH(Plan!$A$8,Plan!$A$6:$A$21,0)),"")&amp;" nach OP",IF(IFERROR(INDEX(Plan!$L$6:$L$21,MATCH(Plan!$A$8,Plan!$A$6:$A$21,0)),"")="","Startgewicht im Blatt 'Plan' eintragen","HEUTE:  "&amp;TEXT(IFERROR(INDEX(Plan!$L$6:$L$21,MATCH(Plan!$A$8,Plan!$A$6:$A$21,0)),""),"0.#")&amp;" kg × "&amp;IFERROR(INDEX(Plan!$M$6:$M$21,MATCH(Plan!$A$8,Plan!$A$6:$A$21,0)),"")&amp;" Wdh"))&amp;"     ·     "&amp;IFERROR(INDEX(Plan!$D$6:$D$21,MATCH(Plan!$A$8,Plan!$A$6:$A$21,0)),"")&amp;" Sätze"</f>
        <v>GESPERRT bis Woche 8 nach OP     ·     3 Sätze</v>
      </c>
      <c r="B334" s="27"/>
      <c r="C334" s="27"/>
      <c r="D334" s="27"/>
      <c r="E334" s="27"/>
      <c r="F334" s="27"/>
      <c r="G334" s="27"/>
      <c r="H334" s="27"/>
      <c r="I334" s="27"/>
    </row>
    <row r="335" customFormat="false" ht="13.5" hidden="false" customHeight="true" outlineLevel="0" collapsed="false">
      <c r="A335" s="28" t="str">
        <f aca="false">IF(IFERROR(INDEX(Plan!$K$6:$K$21,MATCH(Plan!$A$8,Plan!$A$6:$A$21,0)),"")="","","zuletzt "&amp;IFERROR(INDEX(Plan!$K$6:$K$21,MATCH(Plan!$A$8,Plan!$A$6:$A$21,0)),"")&amp;"     ·     ")&amp;IF(IFERROR(INDEX(Plan!$N$6:$N$21,MATCH(Plan!$A$8,Plan!$A$6:$A$21,0)),"")="","",IFERROR(INDEX(Plan!$N$6:$N$21,MATCH(Plan!$A$8,Plan!$A$6:$A$21,0)),""))</f>
        <v>zuletzt 80 kg × 8 Wdh     ·     Wdh +1 auf 9</v>
      </c>
      <c r="B335" s="28"/>
      <c r="C335" s="28"/>
      <c r="D335" s="28"/>
      <c r="E335" s="28"/>
      <c r="F335" s="28"/>
      <c r="G335" s="28"/>
      <c r="H335" s="28"/>
      <c r="I335" s="28"/>
    </row>
    <row r="336" customFormat="false" ht="18" hidden="false" customHeight="true" outlineLevel="0" collapsed="false">
      <c r="A336" s="29" t="s">
        <v>57</v>
      </c>
      <c r="B336" s="29" t="s">
        <v>58</v>
      </c>
      <c r="C336" s="29" t="s">
        <v>59</v>
      </c>
      <c r="D336" s="29" t="s">
        <v>60</v>
      </c>
      <c r="E336" s="29" t="s">
        <v>61</v>
      </c>
      <c r="F336" s="29" t="s">
        <v>62</v>
      </c>
      <c r="G336" s="29" t="s">
        <v>63</v>
      </c>
      <c r="H336" s="29" t="s">
        <v>64</v>
      </c>
      <c r="I336" s="29" t="s">
        <v>65</v>
      </c>
    </row>
    <row r="337" customFormat="false" ht="18" hidden="false" customHeight="true" outlineLevel="0" collapsed="false">
      <c r="A337" s="30" t="n">
        <v>1</v>
      </c>
      <c r="B337" s="31" t="s">
        <v>66</v>
      </c>
      <c r="C337" s="32" t="str">
        <f aca="false">IF(OR(IFERROR(INDEX(Plan!$J$6:$J$21,MATCH(Plan!$A$8,Plan!$A$6:$A$21,0)),"")="GESPERRT",IFERROR(INDEX(Plan!$L$6:$L$21,MATCH(Plan!$A$8,Plan!$A$6:$A$21,0)),"")=""),"",ROUND(IFERROR(INDEX(Plan!$L$6:$L$21,MATCH(Plan!$A$8,Plan!$A$6:$A$21,0)),"")*0.45*2,0)/2)</f>
        <v/>
      </c>
      <c r="D337" s="33"/>
      <c r="E337" s="34"/>
      <c r="F337" s="34"/>
      <c r="G337" s="34"/>
      <c r="H337" s="34"/>
      <c r="I337" s="34"/>
    </row>
    <row r="338" customFormat="false" ht="18" hidden="false" customHeight="true" outlineLevel="0" collapsed="false">
      <c r="A338" s="30" t="n">
        <v>2</v>
      </c>
      <c r="B338" s="31" t="s">
        <v>66</v>
      </c>
      <c r="C338" s="32" t="str">
        <f aca="false">IF(OR(IFERROR(INDEX(Plan!$J$6:$J$21,MATCH(Plan!$A$8,Plan!$A$6:$A$21,0)),"")="GESPERRT",IFERROR(INDEX(Plan!$L$6:$L$21,MATCH(Plan!$A$8,Plan!$A$6:$A$21,0)),"")=""),"",ROUND(IFERROR(INDEX(Plan!$L$6:$L$21,MATCH(Plan!$A$8,Plan!$A$6:$A$21,0)),"")*0.7*2,0)/2)</f>
        <v/>
      </c>
      <c r="D338" s="33"/>
      <c r="E338" s="34"/>
      <c r="F338" s="34"/>
      <c r="G338" s="34"/>
      <c r="H338" s="34"/>
      <c r="I338" s="34"/>
    </row>
    <row r="339" customFormat="false" ht="18" hidden="false" customHeight="true" outlineLevel="0" collapsed="false">
      <c r="A339" s="30" t="n">
        <v>3</v>
      </c>
      <c r="B339" s="35" t="s">
        <v>67</v>
      </c>
      <c r="C339" s="32" t="str">
        <f aca="false">IF(OR(IFERROR(INDEX(Plan!$J$6:$J$21,MATCH(Plan!$A$8,Plan!$A$6:$A$21,0)),"")="GESPERRT",IFERROR(INDEX(Plan!$L$6:$L$21,MATCH(Plan!$A$8,Plan!$A$6:$A$21,0)),"")=""),"",ROUND(IFERROR(INDEX(Plan!$L$6:$L$21,MATCH(Plan!$A$8,Plan!$A$6:$A$21,0)),"")*1*2,0)/2)</f>
        <v/>
      </c>
      <c r="D339" s="36" t="str">
        <f aca="false">IF(OR(IFERROR(INDEX(Plan!$J$6:$J$21,MATCH(Plan!$A$8,Plan!$A$6:$A$21,0)),"")="GESPERRT",IFERROR(INDEX(Plan!$M$6:$M$21,MATCH(Plan!$A$8,Plan!$A$6:$A$21,0)),"")=""),"",IFERROR(INDEX(Plan!$M$6:$M$21,MATCH(Plan!$A$8,Plan!$A$6:$A$21,0)),""))</f>
        <v/>
      </c>
      <c r="E339" s="34"/>
      <c r="F339" s="34"/>
      <c r="G339" s="34"/>
      <c r="H339" s="34"/>
      <c r="I339" s="34"/>
    </row>
    <row r="340" customFormat="false" ht="18" hidden="false" customHeight="true" outlineLevel="0" collapsed="false">
      <c r="A340" s="30" t="n">
        <v>4</v>
      </c>
      <c r="B340" s="35" t="s">
        <v>67</v>
      </c>
      <c r="C340" s="32" t="str">
        <f aca="false">IF(OR(IFERROR(INDEX(Plan!$J$6:$J$21,MATCH(Plan!$A$8,Plan!$A$6:$A$21,0)),"")="GESPERRT",IFERROR(INDEX(Plan!$L$6:$L$21,MATCH(Plan!$A$8,Plan!$A$6:$A$21,0)),"")=""),"",ROUND(IFERROR(INDEX(Plan!$L$6:$L$21,MATCH(Plan!$A$8,Plan!$A$6:$A$21,0)),"")*1*2,0)/2)</f>
        <v/>
      </c>
      <c r="D340" s="36" t="str">
        <f aca="false">IF(OR(IFERROR(INDEX(Plan!$J$6:$J$21,MATCH(Plan!$A$8,Plan!$A$6:$A$21,0)),"")="GESPERRT",IFERROR(INDEX(Plan!$M$6:$M$21,MATCH(Plan!$A$8,Plan!$A$6:$A$21,0)),"")=""),"",IFERROR(INDEX(Plan!$M$6:$M$21,MATCH(Plan!$A$8,Plan!$A$6:$A$21,0)),""))</f>
        <v/>
      </c>
      <c r="E340" s="34"/>
      <c r="F340" s="34"/>
      <c r="G340" s="34"/>
      <c r="H340" s="34"/>
      <c r="I340" s="34"/>
    </row>
    <row r="341" customFormat="false" ht="18" hidden="false" customHeight="true" outlineLevel="0" collapsed="false">
      <c r="A341" s="30" t="n">
        <v>5</v>
      </c>
      <c r="B341" s="35" t="s">
        <v>67</v>
      </c>
      <c r="C341" s="32" t="str">
        <f aca="false">IF(OR(IFERROR(INDEX(Plan!$J$6:$J$21,MATCH(Plan!$A$8,Plan!$A$6:$A$21,0)),"")="GESPERRT",IFERROR(INDEX(Plan!$L$6:$L$21,MATCH(Plan!$A$8,Plan!$A$6:$A$21,0)),"")=""),"",ROUND(IFERROR(INDEX(Plan!$L$6:$L$21,MATCH(Plan!$A$8,Plan!$A$6:$A$21,0)),"")*1*2,0)/2)</f>
        <v/>
      </c>
      <c r="D341" s="36" t="str">
        <f aca="false">IF(OR(IFERROR(INDEX(Plan!$J$6:$J$21,MATCH(Plan!$A$8,Plan!$A$6:$A$21,0)),"")="GESPERRT",IFERROR(INDEX(Plan!$M$6:$M$21,MATCH(Plan!$A$8,Plan!$A$6:$A$21,0)),"")=""),"",IFERROR(INDEX(Plan!$M$6:$M$21,MATCH(Plan!$A$8,Plan!$A$6:$A$21,0)),""))</f>
        <v/>
      </c>
      <c r="E341" s="34"/>
      <c r="F341" s="34"/>
      <c r="G341" s="34"/>
      <c r="H341" s="34"/>
      <c r="I341" s="34"/>
    </row>
    <row r="343" customFormat="false" ht="18" hidden="false" customHeight="true" outlineLevel="0" collapsed="false">
      <c r="A343" s="26" t="str">
        <f aca="false">Plan!$A$9</f>
        <v>Beinstrecker</v>
      </c>
      <c r="B343" s="26"/>
      <c r="C343" s="26"/>
      <c r="D343" s="26"/>
      <c r="E343" s="26"/>
      <c r="F343" s="26"/>
      <c r="G343" s="26"/>
      <c r="H343" s="26"/>
      <c r="I343" s="26"/>
    </row>
    <row r="344" customFormat="false" ht="15.75" hidden="false" customHeight="true" outlineLevel="0" collapsed="false">
      <c r="A344" s="27" t="str">
        <f aca="false">IF(IFERROR(INDEX(Plan!$J$6:$J$21,MATCH(Plan!$A$9,Plan!$A$6:$A$21,0)),"")="GESPERRT","GESPERRT bis Woche "&amp;IFERROR(INDEX(Plan!$I$6:$I$21,MATCH(Plan!$A$9,Plan!$A$6:$A$21,0)),"")&amp;" nach OP",IF(IFERROR(INDEX(Plan!$L$6:$L$21,MATCH(Plan!$A$9,Plan!$A$6:$A$21,0)),"")="","Startgewicht im Blatt 'Plan' eintragen","HEUTE:  "&amp;TEXT(IFERROR(INDEX(Plan!$L$6:$L$21,MATCH(Plan!$A$9,Plan!$A$6:$A$21,0)),""),"0.#")&amp;" kg × "&amp;IFERROR(INDEX(Plan!$M$6:$M$21,MATCH(Plan!$A$9,Plan!$A$6:$A$21,0)),"")&amp;" Wdh"))&amp;"     ·     "&amp;IFERROR(INDEX(Plan!$D$6:$D$21,MATCH(Plan!$A$9,Plan!$A$6:$A$21,0)),"")&amp;" Sätze"</f>
        <v>HEUTE:  80 kg × 12 Wdh     ·     3 Sätze</v>
      </c>
      <c r="B344" s="27"/>
      <c r="C344" s="27"/>
      <c r="D344" s="27"/>
      <c r="E344" s="27"/>
      <c r="F344" s="27"/>
      <c r="G344" s="27"/>
      <c r="H344" s="27"/>
      <c r="I344" s="27"/>
    </row>
    <row r="345" customFormat="false" ht="13.5" hidden="false" customHeight="true" outlineLevel="0" collapsed="false">
      <c r="A345" s="28" t="str">
        <f aca="false">IF(IFERROR(INDEX(Plan!$K$6:$K$21,MATCH(Plan!$A$9,Plan!$A$6:$A$21,0)),"")="","","zuletzt "&amp;IFERROR(INDEX(Plan!$K$6:$K$21,MATCH(Plan!$A$9,Plan!$A$6:$A$21,0)),"")&amp;"     ·     ")&amp;IF(IFERROR(INDEX(Plan!$N$6:$N$21,MATCH(Plan!$A$9,Plan!$A$6:$A$21,0)),"")="","",IFERROR(INDEX(Plan!$N$6:$N$21,MATCH(Plan!$A$9,Plan!$A$6:$A$21,0)),""))</f>
        <v>zuletzt 80 kg × 8 Wdh     ·     Gewicht halten, erst 12 Wdh schaffen</v>
      </c>
      <c r="B345" s="28"/>
      <c r="C345" s="28"/>
      <c r="D345" s="28"/>
      <c r="E345" s="28"/>
      <c r="F345" s="28"/>
      <c r="G345" s="28"/>
      <c r="H345" s="28"/>
      <c r="I345" s="28"/>
    </row>
    <row r="346" customFormat="false" ht="18" hidden="false" customHeight="true" outlineLevel="0" collapsed="false">
      <c r="A346" s="29" t="s">
        <v>57</v>
      </c>
      <c r="B346" s="29" t="s">
        <v>58</v>
      </c>
      <c r="C346" s="29" t="s">
        <v>59</v>
      </c>
      <c r="D346" s="29" t="s">
        <v>60</v>
      </c>
      <c r="E346" s="29" t="s">
        <v>61</v>
      </c>
      <c r="F346" s="29" t="s">
        <v>62</v>
      </c>
      <c r="G346" s="29" t="s">
        <v>63</v>
      </c>
      <c r="H346" s="29" t="s">
        <v>64</v>
      </c>
      <c r="I346" s="29" t="s">
        <v>65</v>
      </c>
    </row>
    <row r="347" customFormat="false" ht="18" hidden="false" customHeight="true" outlineLevel="0" collapsed="false">
      <c r="A347" s="30" t="n">
        <v>1</v>
      </c>
      <c r="B347" s="31" t="s">
        <v>66</v>
      </c>
      <c r="C347" s="32" t="n">
        <f aca="false">IF(OR(IFERROR(INDEX(Plan!$J$6:$J$21,MATCH(Plan!$A$9,Plan!$A$6:$A$21,0)),"")="GESPERRT",IFERROR(INDEX(Plan!$L$6:$L$21,MATCH(Plan!$A$9,Plan!$A$6:$A$21,0)),"")=""),"",ROUND(IFERROR(INDEX(Plan!$L$6:$L$21,MATCH(Plan!$A$9,Plan!$A$6:$A$21,0)),"")*0.45*2,0)/2)</f>
        <v>36</v>
      </c>
      <c r="D347" s="33"/>
      <c r="E347" s="34"/>
      <c r="F347" s="34"/>
      <c r="G347" s="34"/>
      <c r="H347" s="34"/>
      <c r="I347" s="34"/>
    </row>
    <row r="348" customFormat="false" ht="18" hidden="false" customHeight="true" outlineLevel="0" collapsed="false">
      <c r="A348" s="30" t="n">
        <v>2</v>
      </c>
      <c r="B348" s="31" t="s">
        <v>66</v>
      </c>
      <c r="C348" s="32" t="n">
        <f aca="false">IF(OR(IFERROR(INDEX(Plan!$J$6:$J$21,MATCH(Plan!$A$9,Plan!$A$6:$A$21,0)),"")="GESPERRT",IFERROR(INDEX(Plan!$L$6:$L$21,MATCH(Plan!$A$9,Plan!$A$6:$A$21,0)),"")=""),"",ROUND(IFERROR(INDEX(Plan!$L$6:$L$21,MATCH(Plan!$A$9,Plan!$A$6:$A$21,0)),"")*0.7*2,0)/2)</f>
        <v>56</v>
      </c>
      <c r="D348" s="33"/>
      <c r="E348" s="34"/>
      <c r="F348" s="34"/>
      <c r="G348" s="34"/>
      <c r="H348" s="34"/>
      <c r="I348" s="34"/>
    </row>
    <row r="349" customFormat="false" ht="18" hidden="false" customHeight="true" outlineLevel="0" collapsed="false">
      <c r="A349" s="30" t="n">
        <v>3</v>
      </c>
      <c r="B349" s="35" t="s">
        <v>67</v>
      </c>
      <c r="C349" s="32" t="n">
        <f aca="false">IF(OR(IFERROR(INDEX(Plan!$J$6:$J$21,MATCH(Plan!$A$9,Plan!$A$6:$A$21,0)),"")="GESPERRT",IFERROR(INDEX(Plan!$L$6:$L$21,MATCH(Plan!$A$9,Plan!$A$6:$A$21,0)),"")=""),"",ROUND(IFERROR(INDEX(Plan!$L$6:$L$21,MATCH(Plan!$A$9,Plan!$A$6:$A$21,0)),"")*1*2,0)/2)</f>
        <v>80</v>
      </c>
      <c r="D349" s="36" t="n">
        <f aca="false">IF(OR(IFERROR(INDEX(Plan!$J$6:$J$21,MATCH(Plan!$A$9,Plan!$A$6:$A$21,0)),"")="GESPERRT",IFERROR(INDEX(Plan!$M$6:$M$21,MATCH(Plan!$A$9,Plan!$A$6:$A$21,0)),"")=""),"",IFERROR(INDEX(Plan!$M$6:$M$21,MATCH(Plan!$A$9,Plan!$A$6:$A$21,0)),""))</f>
        <v>12</v>
      </c>
      <c r="E349" s="34"/>
      <c r="F349" s="34"/>
      <c r="G349" s="34"/>
      <c r="H349" s="34"/>
      <c r="I349" s="34"/>
    </row>
    <row r="350" customFormat="false" ht="18" hidden="false" customHeight="true" outlineLevel="0" collapsed="false">
      <c r="A350" s="30" t="n">
        <v>4</v>
      </c>
      <c r="B350" s="35" t="s">
        <v>67</v>
      </c>
      <c r="C350" s="32" t="n">
        <f aca="false">IF(OR(IFERROR(INDEX(Plan!$J$6:$J$21,MATCH(Plan!$A$9,Plan!$A$6:$A$21,0)),"")="GESPERRT",IFERROR(INDEX(Plan!$L$6:$L$21,MATCH(Plan!$A$9,Plan!$A$6:$A$21,0)),"")=""),"",ROUND(IFERROR(INDEX(Plan!$L$6:$L$21,MATCH(Plan!$A$9,Plan!$A$6:$A$21,0)),"")*1*2,0)/2)</f>
        <v>80</v>
      </c>
      <c r="D350" s="36" t="n">
        <f aca="false">IF(OR(IFERROR(INDEX(Plan!$J$6:$J$21,MATCH(Plan!$A$9,Plan!$A$6:$A$21,0)),"")="GESPERRT",IFERROR(INDEX(Plan!$M$6:$M$21,MATCH(Plan!$A$9,Plan!$A$6:$A$21,0)),"")=""),"",IFERROR(INDEX(Plan!$M$6:$M$21,MATCH(Plan!$A$9,Plan!$A$6:$A$21,0)),""))</f>
        <v>12</v>
      </c>
      <c r="E350" s="34"/>
      <c r="F350" s="34"/>
      <c r="G350" s="34"/>
      <c r="H350" s="34"/>
      <c r="I350" s="34"/>
    </row>
    <row r="351" customFormat="false" ht="18" hidden="false" customHeight="true" outlineLevel="0" collapsed="false">
      <c r="A351" s="30" t="n">
        <v>5</v>
      </c>
      <c r="B351" s="31" t="s">
        <v>68</v>
      </c>
      <c r="C351" s="33"/>
      <c r="D351" s="33"/>
      <c r="E351" s="34"/>
      <c r="F351" s="34"/>
      <c r="G351" s="34"/>
      <c r="H351" s="34"/>
      <c r="I351" s="34"/>
    </row>
    <row r="353" customFormat="false" ht="18" hidden="false" customHeight="true" outlineLevel="0" collapsed="false">
      <c r="A353" s="26" t="str">
        <f aca="false">Plan!$A$10</f>
        <v>Adduktion</v>
      </c>
      <c r="B353" s="26"/>
      <c r="C353" s="26"/>
      <c r="D353" s="26"/>
      <c r="E353" s="26"/>
      <c r="F353" s="26"/>
      <c r="G353" s="26"/>
      <c r="H353" s="26"/>
      <c r="I353" s="26"/>
    </row>
    <row r="354" customFormat="false" ht="15.75" hidden="false" customHeight="true" outlineLevel="0" collapsed="false">
      <c r="A354" s="27" t="str">
        <f aca="false">IF(IFERROR(INDEX(Plan!$J$6:$J$21,MATCH(Plan!$A$10,Plan!$A$6:$A$21,0)),"")="GESPERRT","GESPERRT bis Woche "&amp;IFERROR(INDEX(Plan!$I$6:$I$21,MATCH(Plan!$A$10,Plan!$A$6:$A$21,0)),"")&amp;" nach OP",IF(IFERROR(INDEX(Plan!$L$6:$L$21,MATCH(Plan!$A$10,Plan!$A$6:$A$21,0)),"")="","Startgewicht im Blatt 'Plan' eintragen","HEUTE:  "&amp;TEXT(IFERROR(INDEX(Plan!$L$6:$L$21,MATCH(Plan!$A$10,Plan!$A$6:$A$21,0)),""),"0.#")&amp;" kg × "&amp;IFERROR(INDEX(Plan!$M$6:$M$21,MATCH(Plan!$A$10,Plan!$A$6:$A$21,0)),"")&amp;" Wdh"))&amp;"     ·     "&amp;IFERROR(INDEX(Plan!$D$6:$D$21,MATCH(Plan!$A$10,Plan!$A$6:$A$21,0)),"")&amp;" Sätze"</f>
        <v>HEUTE:  152.5 kg × 15 Wdh     ·     3 Sätze</v>
      </c>
      <c r="B354" s="27"/>
      <c r="C354" s="27"/>
      <c r="D354" s="27"/>
      <c r="E354" s="27"/>
      <c r="F354" s="27"/>
      <c r="G354" s="27"/>
      <c r="H354" s="27"/>
      <c r="I354" s="27"/>
    </row>
    <row r="355" customFormat="false" ht="13.5" hidden="false" customHeight="true" outlineLevel="0" collapsed="false">
      <c r="A355" s="28" t="str">
        <f aca="false">IF(IFERROR(INDEX(Plan!$K$6:$K$21,MATCH(Plan!$A$10,Plan!$A$6:$A$21,0)),"")="","","zuletzt "&amp;IFERROR(INDEX(Plan!$K$6:$K$21,MATCH(Plan!$A$10,Plan!$A$6:$A$21,0)),"")&amp;"     ·     ")&amp;IF(IFERROR(INDEX(Plan!$N$6:$N$21,MATCH(Plan!$A$10,Plan!$A$6:$A$21,0)),"")="","",IFERROR(INDEX(Plan!$N$6:$N$21,MATCH(Plan!$A$10,Plan!$A$6:$A$21,0)),""))</f>
        <v>zuletzt 152.5 kg × 20 Wdh     ·     Obergrenze - über Tempo und Pausen steigern</v>
      </c>
      <c r="B355" s="28"/>
      <c r="C355" s="28"/>
      <c r="D355" s="28"/>
      <c r="E355" s="28"/>
      <c r="F355" s="28"/>
      <c r="G355" s="28"/>
      <c r="H355" s="28"/>
      <c r="I355" s="28"/>
    </row>
    <row r="356" customFormat="false" ht="18" hidden="false" customHeight="true" outlineLevel="0" collapsed="false">
      <c r="A356" s="29" t="s">
        <v>57</v>
      </c>
      <c r="B356" s="29" t="s">
        <v>58</v>
      </c>
      <c r="C356" s="29" t="s">
        <v>59</v>
      </c>
      <c r="D356" s="29" t="s">
        <v>60</v>
      </c>
      <c r="E356" s="29" t="s">
        <v>61</v>
      </c>
      <c r="F356" s="29" t="s">
        <v>62</v>
      </c>
      <c r="G356" s="29" t="s">
        <v>63</v>
      </c>
      <c r="H356" s="29" t="s">
        <v>64</v>
      </c>
      <c r="I356" s="29" t="s">
        <v>65</v>
      </c>
    </row>
    <row r="357" customFormat="false" ht="18" hidden="false" customHeight="true" outlineLevel="0" collapsed="false">
      <c r="A357" s="30" t="n">
        <v>1</v>
      </c>
      <c r="B357" s="31" t="s">
        <v>66</v>
      </c>
      <c r="C357" s="32" t="n">
        <f aca="false">IF(OR(IFERROR(INDEX(Plan!$J$6:$J$21,MATCH(Plan!$A$10,Plan!$A$6:$A$21,0)),"")="GESPERRT",IFERROR(INDEX(Plan!$L$6:$L$21,MATCH(Plan!$A$10,Plan!$A$6:$A$21,0)),"")=""),"",ROUND(IFERROR(INDEX(Plan!$L$6:$L$21,MATCH(Plan!$A$10,Plan!$A$6:$A$21,0)),"")*0.45*2,0)/2)</f>
        <v>68.5</v>
      </c>
      <c r="D357" s="33"/>
      <c r="E357" s="34"/>
      <c r="F357" s="34"/>
      <c r="G357" s="34"/>
      <c r="H357" s="34"/>
      <c r="I357" s="34"/>
    </row>
    <row r="358" customFormat="false" ht="18" hidden="false" customHeight="true" outlineLevel="0" collapsed="false">
      <c r="A358" s="30" t="n">
        <v>2</v>
      </c>
      <c r="B358" s="31" t="s">
        <v>66</v>
      </c>
      <c r="C358" s="32" t="n">
        <f aca="false">IF(OR(IFERROR(INDEX(Plan!$J$6:$J$21,MATCH(Plan!$A$10,Plan!$A$6:$A$21,0)),"")="GESPERRT",IFERROR(INDEX(Plan!$L$6:$L$21,MATCH(Plan!$A$10,Plan!$A$6:$A$21,0)),"")=""),"",ROUND(IFERROR(INDEX(Plan!$L$6:$L$21,MATCH(Plan!$A$10,Plan!$A$6:$A$21,0)),"")*0.7*2,0)/2)</f>
        <v>107</v>
      </c>
      <c r="D358" s="33"/>
      <c r="E358" s="34"/>
      <c r="F358" s="34"/>
      <c r="G358" s="34"/>
      <c r="H358" s="34"/>
      <c r="I358" s="34"/>
    </row>
    <row r="359" customFormat="false" ht="18" hidden="false" customHeight="true" outlineLevel="0" collapsed="false">
      <c r="A359" s="30" t="n">
        <v>3</v>
      </c>
      <c r="B359" s="35" t="s">
        <v>67</v>
      </c>
      <c r="C359" s="32" t="n">
        <f aca="false">IF(OR(IFERROR(INDEX(Plan!$J$6:$J$21,MATCH(Plan!$A$10,Plan!$A$6:$A$21,0)),"")="GESPERRT",IFERROR(INDEX(Plan!$L$6:$L$21,MATCH(Plan!$A$10,Plan!$A$6:$A$21,0)),"")=""),"",ROUND(IFERROR(INDEX(Plan!$L$6:$L$21,MATCH(Plan!$A$10,Plan!$A$6:$A$21,0)),"")*1*2,0)/2)</f>
        <v>152.5</v>
      </c>
      <c r="D359" s="36" t="n">
        <f aca="false">IF(OR(IFERROR(INDEX(Plan!$J$6:$J$21,MATCH(Plan!$A$10,Plan!$A$6:$A$21,0)),"")="GESPERRT",IFERROR(INDEX(Plan!$M$6:$M$21,MATCH(Plan!$A$10,Plan!$A$6:$A$21,0)),"")=""),"",IFERROR(INDEX(Plan!$M$6:$M$21,MATCH(Plan!$A$10,Plan!$A$6:$A$21,0)),""))</f>
        <v>15</v>
      </c>
      <c r="E359" s="34"/>
      <c r="F359" s="34"/>
      <c r="G359" s="34"/>
      <c r="H359" s="34"/>
      <c r="I359" s="34"/>
    </row>
    <row r="360" customFormat="false" ht="18" hidden="false" customHeight="true" outlineLevel="0" collapsed="false">
      <c r="A360" s="30" t="n">
        <v>4</v>
      </c>
      <c r="B360" s="35" t="s">
        <v>67</v>
      </c>
      <c r="C360" s="32" t="n">
        <f aca="false">IF(OR(IFERROR(INDEX(Plan!$J$6:$J$21,MATCH(Plan!$A$10,Plan!$A$6:$A$21,0)),"")="GESPERRT",IFERROR(INDEX(Plan!$L$6:$L$21,MATCH(Plan!$A$10,Plan!$A$6:$A$21,0)),"")=""),"",ROUND(IFERROR(INDEX(Plan!$L$6:$L$21,MATCH(Plan!$A$10,Plan!$A$6:$A$21,0)),"")*1*2,0)/2)</f>
        <v>152.5</v>
      </c>
      <c r="D360" s="36" t="n">
        <f aca="false">IF(OR(IFERROR(INDEX(Plan!$J$6:$J$21,MATCH(Plan!$A$10,Plan!$A$6:$A$21,0)),"")="GESPERRT",IFERROR(INDEX(Plan!$M$6:$M$21,MATCH(Plan!$A$10,Plan!$A$6:$A$21,0)),"")=""),"",IFERROR(INDEX(Plan!$M$6:$M$21,MATCH(Plan!$A$10,Plan!$A$6:$A$21,0)),""))</f>
        <v>15</v>
      </c>
      <c r="E360" s="34"/>
      <c r="F360" s="34"/>
      <c r="G360" s="34"/>
      <c r="H360" s="34"/>
      <c r="I360" s="34"/>
    </row>
    <row r="361" customFormat="false" ht="18" hidden="false" customHeight="true" outlineLevel="0" collapsed="false">
      <c r="A361" s="30" t="n">
        <v>5</v>
      </c>
      <c r="B361" s="31" t="s">
        <v>68</v>
      </c>
      <c r="C361" s="33"/>
      <c r="D361" s="33"/>
      <c r="E361" s="34"/>
      <c r="F361" s="34"/>
      <c r="G361" s="34"/>
      <c r="H361" s="34"/>
      <c r="I361" s="34"/>
    </row>
    <row r="363" customFormat="false" ht="18" hidden="false" customHeight="true" outlineLevel="0" collapsed="false">
      <c r="A363" s="6" t="s">
        <v>69</v>
      </c>
      <c r="B363" s="6"/>
      <c r="C363" s="6"/>
      <c r="D363" s="6"/>
      <c r="E363" s="6"/>
      <c r="F363" s="6"/>
      <c r="G363" s="6"/>
      <c r="H363" s="6"/>
      <c r="I363" s="6"/>
    </row>
    <row r="364" customFormat="false" ht="16.5" hidden="false" customHeight="true" outlineLevel="0" collapsed="false">
      <c r="A364" s="37"/>
      <c r="B364" s="37"/>
      <c r="C364" s="37"/>
      <c r="D364" s="37"/>
      <c r="E364" s="37"/>
      <c r="F364" s="37"/>
      <c r="G364" s="37"/>
      <c r="H364" s="37"/>
      <c r="I364" s="37"/>
    </row>
    <row r="365" customFormat="false" ht="16.5" hidden="false" customHeight="true" outlineLevel="0" collapsed="false">
      <c r="A365" s="37"/>
      <c r="B365" s="37"/>
      <c r="C365" s="37"/>
      <c r="D365" s="37"/>
      <c r="E365" s="37"/>
      <c r="F365" s="37"/>
      <c r="G365" s="37"/>
      <c r="H365" s="37"/>
      <c r="I365" s="37"/>
    </row>
    <row r="367" customFormat="false" ht="25.5" hidden="false" customHeight="true" outlineLevel="0" collapsed="false">
      <c r="A367" s="1" t="s">
        <v>76</v>
      </c>
      <c r="B367" s="1"/>
      <c r="C367" s="1"/>
      <c r="D367" s="1"/>
      <c r="E367" s="1"/>
      <c r="F367" s="1"/>
      <c r="G367" s="1"/>
      <c r="H367" s="1"/>
      <c r="I367" s="1"/>
    </row>
    <row r="368" customFormat="false" ht="12" hidden="false" customHeight="true" outlineLevel="0" collapsed="false">
      <c r="A368" s="23" t="s">
        <v>52</v>
      </c>
      <c r="B368" s="23"/>
      <c r="C368" s="24" t="s">
        <v>53</v>
      </c>
      <c r="D368" s="23" t="s">
        <v>54</v>
      </c>
      <c r="E368" s="23"/>
      <c r="F368" s="23" t="s">
        <v>55</v>
      </c>
      <c r="G368" s="23"/>
      <c r="H368" s="23" t="s">
        <v>56</v>
      </c>
      <c r="I368" s="23"/>
    </row>
    <row r="369" customFormat="false" ht="18" hidden="false" customHeight="true" outlineLevel="0" collapsed="false">
      <c r="A369" s="25"/>
      <c r="B369" s="25"/>
      <c r="C369" s="25"/>
      <c r="D369" s="25"/>
      <c r="E369" s="25"/>
      <c r="F369" s="25"/>
      <c r="G369" s="25"/>
      <c r="H369" s="25"/>
      <c r="I369" s="25"/>
    </row>
    <row r="371" customFormat="false" ht="18" hidden="false" customHeight="true" outlineLevel="0" collapsed="false">
      <c r="A371" s="26" t="str">
        <f aca="false">Plan!$A$13</f>
        <v>Rumänisches Kreuzheben</v>
      </c>
      <c r="B371" s="26"/>
      <c r="C371" s="26"/>
      <c r="D371" s="26"/>
      <c r="E371" s="26"/>
      <c r="F371" s="26"/>
      <c r="G371" s="26"/>
      <c r="H371" s="26"/>
      <c r="I371" s="26"/>
    </row>
    <row r="372" customFormat="false" ht="15.75" hidden="false" customHeight="true" outlineLevel="0" collapsed="false">
      <c r="A372" s="27" t="str">
        <f aca="false">IF(IFERROR(INDEX(Plan!$J$6:$J$21,MATCH(Plan!$A$13,Plan!$A$6:$A$21,0)),"")="GESPERRT","GESPERRT bis Woche "&amp;IFERROR(INDEX(Plan!$I$6:$I$21,MATCH(Plan!$A$13,Plan!$A$6:$A$21,0)),"")&amp;" nach OP",IF(IFERROR(INDEX(Plan!$L$6:$L$21,MATCH(Plan!$A$13,Plan!$A$6:$A$21,0)),"")="","Startgewicht im Blatt 'Plan' eintragen","HEUTE:  "&amp;TEXT(IFERROR(INDEX(Plan!$L$6:$L$21,MATCH(Plan!$A$13,Plan!$A$6:$A$21,0)),""),"0.#")&amp;" kg × "&amp;IFERROR(INDEX(Plan!$M$6:$M$21,MATCH(Plan!$A$13,Plan!$A$6:$A$21,0)),"")&amp;" Wdh"))&amp;"     ·     "&amp;IFERROR(INDEX(Plan!$D$6:$D$21,MATCH(Plan!$A$13,Plan!$A$6:$A$21,0)),"")&amp;" Sätze"</f>
        <v>GESPERRT bis Woche 12 nach OP     ·     3 Sätze</v>
      </c>
      <c r="B372" s="27"/>
      <c r="C372" s="27"/>
      <c r="D372" s="27"/>
      <c r="E372" s="27"/>
      <c r="F372" s="27"/>
      <c r="G372" s="27"/>
      <c r="H372" s="27"/>
      <c r="I372" s="27"/>
    </row>
    <row r="373" customFormat="false" ht="13.5" hidden="false" customHeight="true" outlineLevel="0" collapsed="false">
      <c r="A373" s="28" t="str">
        <f aca="false">IF(IFERROR(INDEX(Plan!$K$6:$K$21,MATCH(Plan!$A$13,Plan!$A$6:$A$21,0)),"")="","","zuletzt "&amp;IFERROR(INDEX(Plan!$K$6:$K$21,MATCH(Plan!$A$13,Plan!$A$6:$A$21,0)),"")&amp;"     ·     ")&amp;IF(IFERROR(INDEX(Plan!$N$6:$N$21,MATCH(Plan!$A$13,Plan!$A$6:$A$21,0)),"")="","",IFERROR(INDEX(Plan!$N$6:$N$21,MATCH(Plan!$A$13,Plan!$A$6:$A$21,0)),""))</f>
        <v/>
      </c>
      <c r="B373" s="28"/>
      <c r="C373" s="28"/>
      <c r="D373" s="28"/>
      <c r="E373" s="28"/>
      <c r="F373" s="28"/>
      <c r="G373" s="28"/>
      <c r="H373" s="28"/>
      <c r="I373" s="28"/>
    </row>
    <row r="374" customFormat="false" ht="18" hidden="false" customHeight="true" outlineLevel="0" collapsed="false">
      <c r="A374" s="29" t="s">
        <v>57</v>
      </c>
      <c r="B374" s="29" t="s">
        <v>58</v>
      </c>
      <c r="C374" s="29" t="s">
        <v>59</v>
      </c>
      <c r="D374" s="29" t="s">
        <v>60</v>
      </c>
      <c r="E374" s="29" t="s">
        <v>61</v>
      </c>
      <c r="F374" s="29" t="s">
        <v>62</v>
      </c>
      <c r="G374" s="29" t="s">
        <v>63</v>
      </c>
      <c r="H374" s="29" t="s">
        <v>64</v>
      </c>
      <c r="I374" s="29" t="s">
        <v>65</v>
      </c>
    </row>
    <row r="375" customFormat="false" ht="18" hidden="false" customHeight="true" outlineLevel="0" collapsed="false">
      <c r="A375" s="30" t="n">
        <v>1</v>
      </c>
      <c r="B375" s="31" t="s">
        <v>66</v>
      </c>
      <c r="C375" s="32" t="str">
        <f aca="false">IF(OR(IFERROR(INDEX(Plan!$J$6:$J$21,MATCH(Plan!$A$13,Plan!$A$6:$A$21,0)),"")="GESPERRT",IFERROR(INDEX(Plan!$L$6:$L$21,MATCH(Plan!$A$13,Plan!$A$6:$A$21,0)),"")=""),"",ROUND(IFERROR(INDEX(Plan!$L$6:$L$21,MATCH(Plan!$A$13,Plan!$A$6:$A$21,0)),"")*0.45*2,0)/2)</f>
        <v/>
      </c>
      <c r="D375" s="33"/>
      <c r="E375" s="34"/>
      <c r="F375" s="34"/>
      <c r="G375" s="34"/>
      <c r="H375" s="34"/>
      <c r="I375" s="34"/>
    </row>
    <row r="376" customFormat="false" ht="18" hidden="false" customHeight="true" outlineLevel="0" collapsed="false">
      <c r="A376" s="30" t="n">
        <v>2</v>
      </c>
      <c r="B376" s="31" t="s">
        <v>66</v>
      </c>
      <c r="C376" s="32" t="str">
        <f aca="false">IF(OR(IFERROR(INDEX(Plan!$J$6:$J$21,MATCH(Plan!$A$13,Plan!$A$6:$A$21,0)),"")="GESPERRT",IFERROR(INDEX(Plan!$L$6:$L$21,MATCH(Plan!$A$13,Plan!$A$6:$A$21,0)),"")=""),"",ROUND(IFERROR(INDEX(Plan!$L$6:$L$21,MATCH(Plan!$A$13,Plan!$A$6:$A$21,0)),"")*0.7*2,0)/2)</f>
        <v/>
      </c>
      <c r="D376" s="33"/>
      <c r="E376" s="34"/>
      <c r="F376" s="34"/>
      <c r="G376" s="34"/>
      <c r="H376" s="34"/>
      <c r="I376" s="34"/>
    </row>
    <row r="377" customFormat="false" ht="18" hidden="false" customHeight="true" outlineLevel="0" collapsed="false">
      <c r="A377" s="30" t="n">
        <v>3</v>
      </c>
      <c r="B377" s="35" t="s">
        <v>67</v>
      </c>
      <c r="C377" s="32" t="str">
        <f aca="false">IF(OR(IFERROR(INDEX(Plan!$J$6:$J$21,MATCH(Plan!$A$13,Plan!$A$6:$A$21,0)),"")="GESPERRT",IFERROR(INDEX(Plan!$L$6:$L$21,MATCH(Plan!$A$13,Plan!$A$6:$A$21,0)),"")=""),"",ROUND(IFERROR(INDEX(Plan!$L$6:$L$21,MATCH(Plan!$A$13,Plan!$A$6:$A$21,0)),"")*1*2,0)/2)</f>
        <v/>
      </c>
      <c r="D377" s="36" t="str">
        <f aca="false">IF(OR(IFERROR(INDEX(Plan!$J$6:$J$21,MATCH(Plan!$A$13,Plan!$A$6:$A$21,0)),"")="GESPERRT",IFERROR(INDEX(Plan!$M$6:$M$21,MATCH(Plan!$A$13,Plan!$A$6:$A$21,0)),"")=""),"",IFERROR(INDEX(Plan!$M$6:$M$21,MATCH(Plan!$A$13,Plan!$A$6:$A$21,0)),""))</f>
        <v/>
      </c>
      <c r="E377" s="34"/>
      <c r="F377" s="34"/>
      <c r="G377" s="34"/>
      <c r="H377" s="34"/>
      <c r="I377" s="34"/>
    </row>
    <row r="378" customFormat="false" ht="18" hidden="false" customHeight="true" outlineLevel="0" collapsed="false">
      <c r="A378" s="30" t="n">
        <v>4</v>
      </c>
      <c r="B378" s="35" t="s">
        <v>67</v>
      </c>
      <c r="C378" s="32" t="str">
        <f aca="false">IF(OR(IFERROR(INDEX(Plan!$J$6:$J$21,MATCH(Plan!$A$13,Plan!$A$6:$A$21,0)),"")="GESPERRT",IFERROR(INDEX(Plan!$L$6:$L$21,MATCH(Plan!$A$13,Plan!$A$6:$A$21,0)),"")=""),"",ROUND(IFERROR(INDEX(Plan!$L$6:$L$21,MATCH(Plan!$A$13,Plan!$A$6:$A$21,0)),"")*1*2,0)/2)</f>
        <v/>
      </c>
      <c r="D378" s="36" t="str">
        <f aca="false">IF(OR(IFERROR(INDEX(Plan!$J$6:$J$21,MATCH(Plan!$A$13,Plan!$A$6:$A$21,0)),"")="GESPERRT",IFERROR(INDEX(Plan!$M$6:$M$21,MATCH(Plan!$A$13,Plan!$A$6:$A$21,0)),"")=""),"",IFERROR(INDEX(Plan!$M$6:$M$21,MATCH(Plan!$A$13,Plan!$A$6:$A$21,0)),""))</f>
        <v/>
      </c>
      <c r="E378" s="34"/>
      <c r="F378" s="34"/>
      <c r="G378" s="34"/>
      <c r="H378" s="34"/>
      <c r="I378" s="34"/>
    </row>
    <row r="379" customFormat="false" ht="18" hidden="false" customHeight="true" outlineLevel="0" collapsed="false">
      <c r="A379" s="30" t="n">
        <v>5</v>
      </c>
      <c r="B379" s="35" t="s">
        <v>67</v>
      </c>
      <c r="C379" s="32" t="str">
        <f aca="false">IF(OR(IFERROR(INDEX(Plan!$J$6:$J$21,MATCH(Plan!$A$13,Plan!$A$6:$A$21,0)),"")="GESPERRT",IFERROR(INDEX(Plan!$L$6:$L$21,MATCH(Plan!$A$13,Plan!$A$6:$A$21,0)),"")=""),"",ROUND(IFERROR(INDEX(Plan!$L$6:$L$21,MATCH(Plan!$A$13,Plan!$A$6:$A$21,0)),"")*1*2,0)/2)</f>
        <v/>
      </c>
      <c r="D379" s="36" t="str">
        <f aca="false">IF(OR(IFERROR(INDEX(Plan!$J$6:$J$21,MATCH(Plan!$A$13,Plan!$A$6:$A$21,0)),"")="GESPERRT",IFERROR(INDEX(Plan!$M$6:$M$21,MATCH(Plan!$A$13,Plan!$A$6:$A$21,0)),"")=""),"",IFERROR(INDEX(Plan!$M$6:$M$21,MATCH(Plan!$A$13,Plan!$A$6:$A$21,0)),""))</f>
        <v/>
      </c>
      <c r="E379" s="34"/>
      <c r="F379" s="34"/>
      <c r="G379" s="34"/>
      <c r="H379" s="34"/>
      <c r="I379" s="34"/>
    </row>
    <row r="381" customFormat="false" ht="18" hidden="false" customHeight="true" outlineLevel="0" collapsed="false">
      <c r="A381" s="26" t="str">
        <f aca="false">Plan!$A$14</f>
        <v>Hip Thrust</v>
      </c>
      <c r="B381" s="26"/>
      <c r="C381" s="26"/>
      <c r="D381" s="26"/>
      <c r="E381" s="26"/>
      <c r="F381" s="26"/>
      <c r="G381" s="26"/>
      <c r="H381" s="26"/>
      <c r="I381" s="26"/>
    </row>
    <row r="382" customFormat="false" ht="15.75" hidden="false" customHeight="true" outlineLevel="0" collapsed="false">
      <c r="A382" s="27" t="str">
        <f aca="false">IF(IFERROR(INDEX(Plan!$J$6:$J$21,MATCH(Plan!$A$14,Plan!$A$6:$A$21,0)),"")="GESPERRT","GESPERRT bis Woche "&amp;IFERROR(INDEX(Plan!$I$6:$I$21,MATCH(Plan!$A$14,Plan!$A$6:$A$21,0)),"")&amp;" nach OP",IF(IFERROR(INDEX(Plan!$L$6:$L$21,MATCH(Plan!$A$14,Plan!$A$6:$A$21,0)),"")="","Startgewicht im Blatt 'Plan' eintragen","HEUTE:  "&amp;TEXT(IFERROR(INDEX(Plan!$L$6:$L$21,MATCH(Plan!$A$14,Plan!$A$6:$A$21,0)),""),"0.#")&amp;" kg × "&amp;IFERROR(INDEX(Plan!$M$6:$M$21,MATCH(Plan!$A$14,Plan!$A$6:$A$21,0)),"")&amp;" Wdh"))&amp;"     ·     "&amp;IFERROR(INDEX(Plan!$D$6:$D$21,MATCH(Plan!$A$14,Plan!$A$6:$A$21,0)),"")&amp;" Sätze"</f>
        <v>GESPERRT bis Woche 4 nach OP     ·     3 Sätze</v>
      </c>
      <c r="B382" s="27"/>
      <c r="C382" s="27"/>
      <c r="D382" s="27"/>
      <c r="E382" s="27"/>
      <c r="F382" s="27"/>
      <c r="G382" s="27"/>
      <c r="H382" s="27"/>
      <c r="I382" s="27"/>
    </row>
    <row r="383" customFormat="false" ht="13.5" hidden="false" customHeight="true" outlineLevel="0" collapsed="false">
      <c r="A383" s="28" t="str">
        <f aca="false">IF(IFERROR(INDEX(Plan!$K$6:$K$21,MATCH(Plan!$A$14,Plan!$A$6:$A$21,0)),"")="","","zuletzt "&amp;IFERROR(INDEX(Plan!$K$6:$K$21,MATCH(Plan!$A$14,Plan!$A$6:$A$21,0)),"")&amp;"     ·     ")&amp;IF(IFERROR(INDEX(Plan!$N$6:$N$21,MATCH(Plan!$A$14,Plan!$A$6:$A$21,0)),"")="","",IFERROR(INDEX(Plan!$N$6:$N$21,MATCH(Plan!$A$14,Plan!$A$6:$A$21,0)),""))</f>
        <v>zuletzt 270 kg × 8 Wdh     ·     Wdh +1 auf 9</v>
      </c>
      <c r="B383" s="28"/>
      <c r="C383" s="28"/>
      <c r="D383" s="28"/>
      <c r="E383" s="28"/>
      <c r="F383" s="28"/>
      <c r="G383" s="28"/>
      <c r="H383" s="28"/>
      <c r="I383" s="28"/>
    </row>
    <row r="384" customFormat="false" ht="18" hidden="false" customHeight="true" outlineLevel="0" collapsed="false">
      <c r="A384" s="29" t="s">
        <v>57</v>
      </c>
      <c r="B384" s="29" t="s">
        <v>58</v>
      </c>
      <c r="C384" s="29" t="s">
        <v>59</v>
      </c>
      <c r="D384" s="29" t="s">
        <v>60</v>
      </c>
      <c r="E384" s="29" t="s">
        <v>61</v>
      </c>
      <c r="F384" s="29" t="s">
        <v>62</v>
      </c>
      <c r="G384" s="29" t="s">
        <v>63</v>
      </c>
      <c r="H384" s="29" t="s">
        <v>64</v>
      </c>
      <c r="I384" s="29" t="s">
        <v>65</v>
      </c>
    </row>
    <row r="385" customFormat="false" ht="18" hidden="false" customHeight="true" outlineLevel="0" collapsed="false">
      <c r="A385" s="30" t="n">
        <v>1</v>
      </c>
      <c r="B385" s="31" t="s">
        <v>66</v>
      </c>
      <c r="C385" s="32" t="str">
        <f aca="false">IF(OR(IFERROR(INDEX(Plan!$J$6:$J$21,MATCH(Plan!$A$14,Plan!$A$6:$A$21,0)),"")="GESPERRT",IFERROR(INDEX(Plan!$L$6:$L$21,MATCH(Plan!$A$14,Plan!$A$6:$A$21,0)),"")=""),"",ROUND(IFERROR(INDEX(Plan!$L$6:$L$21,MATCH(Plan!$A$14,Plan!$A$6:$A$21,0)),"")*0.45*2,0)/2)</f>
        <v/>
      </c>
      <c r="D385" s="33"/>
      <c r="E385" s="34"/>
      <c r="F385" s="34"/>
      <c r="G385" s="34"/>
      <c r="H385" s="34"/>
      <c r="I385" s="34"/>
    </row>
    <row r="386" customFormat="false" ht="18" hidden="false" customHeight="true" outlineLevel="0" collapsed="false">
      <c r="A386" s="30" t="n">
        <v>2</v>
      </c>
      <c r="B386" s="31" t="s">
        <v>66</v>
      </c>
      <c r="C386" s="32" t="str">
        <f aca="false">IF(OR(IFERROR(INDEX(Plan!$J$6:$J$21,MATCH(Plan!$A$14,Plan!$A$6:$A$21,0)),"")="GESPERRT",IFERROR(INDEX(Plan!$L$6:$L$21,MATCH(Plan!$A$14,Plan!$A$6:$A$21,0)),"")=""),"",ROUND(IFERROR(INDEX(Plan!$L$6:$L$21,MATCH(Plan!$A$14,Plan!$A$6:$A$21,0)),"")*0.7*2,0)/2)</f>
        <v/>
      </c>
      <c r="D386" s="33"/>
      <c r="E386" s="34"/>
      <c r="F386" s="34"/>
      <c r="G386" s="34"/>
      <c r="H386" s="34"/>
      <c r="I386" s="34"/>
    </row>
    <row r="387" customFormat="false" ht="18" hidden="false" customHeight="true" outlineLevel="0" collapsed="false">
      <c r="A387" s="30" t="n">
        <v>3</v>
      </c>
      <c r="B387" s="35" t="s">
        <v>67</v>
      </c>
      <c r="C387" s="32" t="str">
        <f aca="false">IF(OR(IFERROR(INDEX(Plan!$J$6:$J$21,MATCH(Plan!$A$14,Plan!$A$6:$A$21,0)),"")="GESPERRT",IFERROR(INDEX(Plan!$L$6:$L$21,MATCH(Plan!$A$14,Plan!$A$6:$A$21,0)),"")=""),"",ROUND(IFERROR(INDEX(Plan!$L$6:$L$21,MATCH(Plan!$A$14,Plan!$A$6:$A$21,0)),"")*1*2,0)/2)</f>
        <v/>
      </c>
      <c r="D387" s="36" t="str">
        <f aca="false">IF(OR(IFERROR(INDEX(Plan!$J$6:$J$21,MATCH(Plan!$A$14,Plan!$A$6:$A$21,0)),"")="GESPERRT",IFERROR(INDEX(Plan!$M$6:$M$21,MATCH(Plan!$A$14,Plan!$A$6:$A$21,0)),"")=""),"",IFERROR(INDEX(Plan!$M$6:$M$21,MATCH(Plan!$A$14,Plan!$A$6:$A$21,0)),""))</f>
        <v/>
      </c>
      <c r="E387" s="34"/>
      <c r="F387" s="34"/>
      <c r="G387" s="34"/>
      <c r="H387" s="34"/>
      <c r="I387" s="34"/>
    </row>
    <row r="388" customFormat="false" ht="18" hidden="false" customHeight="true" outlineLevel="0" collapsed="false">
      <c r="A388" s="30" t="n">
        <v>4</v>
      </c>
      <c r="B388" s="35" t="s">
        <v>67</v>
      </c>
      <c r="C388" s="32" t="str">
        <f aca="false">IF(OR(IFERROR(INDEX(Plan!$J$6:$J$21,MATCH(Plan!$A$14,Plan!$A$6:$A$21,0)),"")="GESPERRT",IFERROR(INDEX(Plan!$L$6:$L$21,MATCH(Plan!$A$14,Plan!$A$6:$A$21,0)),"")=""),"",ROUND(IFERROR(INDEX(Plan!$L$6:$L$21,MATCH(Plan!$A$14,Plan!$A$6:$A$21,0)),"")*1*2,0)/2)</f>
        <v/>
      </c>
      <c r="D388" s="36" t="str">
        <f aca="false">IF(OR(IFERROR(INDEX(Plan!$J$6:$J$21,MATCH(Plan!$A$14,Plan!$A$6:$A$21,0)),"")="GESPERRT",IFERROR(INDEX(Plan!$M$6:$M$21,MATCH(Plan!$A$14,Plan!$A$6:$A$21,0)),"")=""),"",IFERROR(INDEX(Plan!$M$6:$M$21,MATCH(Plan!$A$14,Plan!$A$6:$A$21,0)),""))</f>
        <v/>
      </c>
      <c r="E388" s="34"/>
      <c r="F388" s="34"/>
      <c r="G388" s="34"/>
      <c r="H388" s="34"/>
      <c r="I388" s="34"/>
    </row>
    <row r="389" customFormat="false" ht="18" hidden="false" customHeight="true" outlineLevel="0" collapsed="false">
      <c r="A389" s="30" t="n">
        <v>5</v>
      </c>
      <c r="B389" s="35" t="s">
        <v>67</v>
      </c>
      <c r="C389" s="32" t="str">
        <f aca="false">IF(OR(IFERROR(INDEX(Plan!$J$6:$J$21,MATCH(Plan!$A$14,Plan!$A$6:$A$21,0)),"")="GESPERRT",IFERROR(INDEX(Plan!$L$6:$L$21,MATCH(Plan!$A$14,Plan!$A$6:$A$21,0)),"")=""),"",ROUND(IFERROR(INDEX(Plan!$L$6:$L$21,MATCH(Plan!$A$14,Plan!$A$6:$A$21,0)),"")*1*2,0)/2)</f>
        <v/>
      </c>
      <c r="D389" s="36" t="str">
        <f aca="false">IF(OR(IFERROR(INDEX(Plan!$J$6:$J$21,MATCH(Plan!$A$14,Plan!$A$6:$A$21,0)),"")="GESPERRT",IFERROR(INDEX(Plan!$M$6:$M$21,MATCH(Plan!$A$14,Plan!$A$6:$A$21,0)),"")=""),"",IFERROR(INDEX(Plan!$M$6:$M$21,MATCH(Plan!$A$14,Plan!$A$6:$A$21,0)),""))</f>
        <v/>
      </c>
      <c r="E389" s="34"/>
      <c r="F389" s="34"/>
      <c r="G389" s="34"/>
      <c r="H389" s="34"/>
      <c r="I389" s="34"/>
    </row>
    <row r="391" customFormat="false" ht="18" hidden="false" customHeight="true" outlineLevel="0" collapsed="false">
      <c r="A391" s="26" t="str">
        <f aca="false">Plan!$A$15</f>
        <v>Beinbeuger</v>
      </c>
      <c r="B391" s="26"/>
      <c r="C391" s="26"/>
      <c r="D391" s="26"/>
      <c r="E391" s="26"/>
      <c r="F391" s="26"/>
      <c r="G391" s="26"/>
      <c r="H391" s="26"/>
      <c r="I391" s="26"/>
    </row>
    <row r="392" customFormat="false" ht="15.75" hidden="false" customHeight="true" outlineLevel="0" collapsed="false">
      <c r="A392" s="27" t="str">
        <f aca="false">IF(IFERROR(INDEX(Plan!$J$6:$J$21,MATCH(Plan!$A$15,Plan!$A$6:$A$21,0)),"")="GESPERRT","GESPERRT bis Woche "&amp;IFERROR(INDEX(Plan!$I$6:$I$21,MATCH(Plan!$A$15,Plan!$A$6:$A$21,0)),"")&amp;" nach OP",IF(IFERROR(INDEX(Plan!$L$6:$L$21,MATCH(Plan!$A$15,Plan!$A$6:$A$21,0)),"")="","Startgewicht im Blatt 'Plan' eintragen","HEUTE:  "&amp;TEXT(IFERROR(INDEX(Plan!$L$6:$L$21,MATCH(Plan!$A$15,Plan!$A$6:$A$21,0)),""),"0.#")&amp;" kg × "&amp;IFERROR(INDEX(Plan!$M$6:$M$21,MATCH(Plan!$A$15,Plan!$A$6:$A$21,0)),"")&amp;" Wdh"))&amp;"     ·     "&amp;IFERROR(INDEX(Plan!$D$6:$D$21,MATCH(Plan!$A$15,Plan!$A$6:$A$21,0)),"")&amp;" Sätze"</f>
        <v>HEUTE:  50 kg × 10 Wdh     ·     3 Sätze</v>
      </c>
      <c r="B392" s="27"/>
      <c r="C392" s="27"/>
      <c r="D392" s="27"/>
      <c r="E392" s="27"/>
      <c r="F392" s="27"/>
      <c r="G392" s="27"/>
      <c r="H392" s="27"/>
      <c r="I392" s="27"/>
    </row>
    <row r="393" customFormat="false" ht="13.5" hidden="false" customHeight="true" outlineLevel="0" collapsed="false">
      <c r="A393" s="28" t="str">
        <f aca="false">IF(IFERROR(INDEX(Plan!$K$6:$K$21,MATCH(Plan!$A$15,Plan!$A$6:$A$21,0)),"")="","","zuletzt "&amp;IFERROR(INDEX(Plan!$K$6:$K$21,MATCH(Plan!$A$15,Plan!$A$6:$A$21,0)),"")&amp;"     ·     ")&amp;IF(IFERROR(INDEX(Plan!$N$6:$N$21,MATCH(Plan!$A$15,Plan!$A$6:$A$21,0)),"")="","",IFERROR(INDEX(Plan!$N$6:$N$21,MATCH(Plan!$A$15,Plan!$A$6:$A$21,0)),""))</f>
        <v>zuletzt 45 kg × 15 Wdh     ·     Gewicht +5 kg, Wdh zurück auf 10</v>
      </c>
      <c r="B393" s="28"/>
      <c r="C393" s="28"/>
      <c r="D393" s="28"/>
      <c r="E393" s="28"/>
      <c r="F393" s="28"/>
      <c r="G393" s="28"/>
      <c r="H393" s="28"/>
      <c r="I393" s="28"/>
    </row>
    <row r="394" customFormat="false" ht="18" hidden="false" customHeight="true" outlineLevel="0" collapsed="false">
      <c r="A394" s="29" t="s">
        <v>57</v>
      </c>
      <c r="B394" s="29" t="s">
        <v>58</v>
      </c>
      <c r="C394" s="29" t="s">
        <v>59</v>
      </c>
      <c r="D394" s="29" t="s">
        <v>60</v>
      </c>
      <c r="E394" s="29" t="s">
        <v>61</v>
      </c>
      <c r="F394" s="29" t="s">
        <v>62</v>
      </c>
      <c r="G394" s="29" t="s">
        <v>63</v>
      </c>
      <c r="H394" s="29" t="s">
        <v>64</v>
      </c>
      <c r="I394" s="29" t="s">
        <v>65</v>
      </c>
    </row>
    <row r="395" customFormat="false" ht="18" hidden="false" customHeight="true" outlineLevel="0" collapsed="false">
      <c r="A395" s="30" t="n">
        <v>1</v>
      </c>
      <c r="B395" s="31" t="s">
        <v>66</v>
      </c>
      <c r="C395" s="32" t="n">
        <f aca="false">IF(OR(IFERROR(INDEX(Plan!$J$6:$J$21,MATCH(Plan!$A$15,Plan!$A$6:$A$21,0)),"")="GESPERRT",IFERROR(INDEX(Plan!$L$6:$L$21,MATCH(Plan!$A$15,Plan!$A$6:$A$21,0)),"")=""),"",ROUND(IFERROR(INDEX(Plan!$L$6:$L$21,MATCH(Plan!$A$15,Plan!$A$6:$A$21,0)),"")*0.45*2,0)/2)</f>
        <v>22.5</v>
      </c>
      <c r="D395" s="33"/>
      <c r="E395" s="34"/>
      <c r="F395" s="34"/>
      <c r="G395" s="34"/>
      <c r="H395" s="34"/>
      <c r="I395" s="34"/>
    </row>
    <row r="396" customFormat="false" ht="18" hidden="false" customHeight="true" outlineLevel="0" collapsed="false">
      <c r="A396" s="30" t="n">
        <v>2</v>
      </c>
      <c r="B396" s="31" t="s">
        <v>66</v>
      </c>
      <c r="C396" s="32" t="n">
        <f aca="false">IF(OR(IFERROR(INDEX(Plan!$J$6:$J$21,MATCH(Plan!$A$15,Plan!$A$6:$A$21,0)),"")="GESPERRT",IFERROR(INDEX(Plan!$L$6:$L$21,MATCH(Plan!$A$15,Plan!$A$6:$A$21,0)),"")=""),"",ROUND(IFERROR(INDEX(Plan!$L$6:$L$21,MATCH(Plan!$A$15,Plan!$A$6:$A$21,0)),"")*0.7*2,0)/2)</f>
        <v>35</v>
      </c>
      <c r="D396" s="33"/>
      <c r="E396" s="34"/>
      <c r="F396" s="34"/>
      <c r="G396" s="34"/>
      <c r="H396" s="34"/>
      <c r="I396" s="34"/>
    </row>
    <row r="397" customFormat="false" ht="18" hidden="false" customHeight="true" outlineLevel="0" collapsed="false">
      <c r="A397" s="30" t="n">
        <v>3</v>
      </c>
      <c r="B397" s="35" t="s">
        <v>67</v>
      </c>
      <c r="C397" s="32" t="n">
        <f aca="false">IF(OR(IFERROR(INDEX(Plan!$J$6:$J$21,MATCH(Plan!$A$15,Plan!$A$6:$A$21,0)),"")="GESPERRT",IFERROR(INDEX(Plan!$L$6:$L$21,MATCH(Plan!$A$15,Plan!$A$6:$A$21,0)),"")=""),"",ROUND(IFERROR(INDEX(Plan!$L$6:$L$21,MATCH(Plan!$A$15,Plan!$A$6:$A$21,0)),"")*1*2,0)/2)</f>
        <v>50</v>
      </c>
      <c r="D397" s="36" t="n">
        <f aca="false">IF(OR(IFERROR(INDEX(Plan!$J$6:$J$21,MATCH(Plan!$A$15,Plan!$A$6:$A$21,0)),"")="GESPERRT",IFERROR(INDEX(Plan!$M$6:$M$21,MATCH(Plan!$A$15,Plan!$A$6:$A$21,0)),"")=""),"",IFERROR(INDEX(Plan!$M$6:$M$21,MATCH(Plan!$A$15,Plan!$A$6:$A$21,0)),""))</f>
        <v>10</v>
      </c>
      <c r="E397" s="34"/>
      <c r="F397" s="34"/>
      <c r="G397" s="34"/>
      <c r="H397" s="34"/>
      <c r="I397" s="34"/>
    </row>
    <row r="398" customFormat="false" ht="18" hidden="false" customHeight="true" outlineLevel="0" collapsed="false">
      <c r="A398" s="30" t="n">
        <v>4</v>
      </c>
      <c r="B398" s="35" t="s">
        <v>67</v>
      </c>
      <c r="C398" s="32" t="n">
        <f aca="false">IF(OR(IFERROR(INDEX(Plan!$J$6:$J$21,MATCH(Plan!$A$15,Plan!$A$6:$A$21,0)),"")="GESPERRT",IFERROR(INDEX(Plan!$L$6:$L$21,MATCH(Plan!$A$15,Plan!$A$6:$A$21,0)),"")=""),"",ROUND(IFERROR(INDEX(Plan!$L$6:$L$21,MATCH(Plan!$A$15,Plan!$A$6:$A$21,0)),"")*1*2,0)/2)</f>
        <v>50</v>
      </c>
      <c r="D398" s="36" t="n">
        <f aca="false">IF(OR(IFERROR(INDEX(Plan!$J$6:$J$21,MATCH(Plan!$A$15,Plan!$A$6:$A$21,0)),"")="GESPERRT",IFERROR(INDEX(Plan!$M$6:$M$21,MATCH(Plan!$A$15,Plan!$A$6:$A$21,0)),"")=""),"",IFERROR(INDEX(Plan!$M$6:$M$21,MATCH(Plan!$A$15,Plan!$A$6:$A$21,0)),""))</f>
        <v>10</v>
      </c>
      <c r="E398" s="34"/>
      <c r="F398" s="34"/>
      <c r="G398" s="34"/>
      <c r="H398" s="34"/>
      <c r="I398" s="34"/>
    </row>
    <row r="399" customFormat="false" ht="18" hidden="false" customHeight="true" outlineLevel="0" collapsed="false">
      <c r="A399" s="30" t="n">
        <v>5</v>
      </c>
      <c r="B399" s="31" t="s">
        <v>68</v>
      </c>
      <c r="C399" s="33"/>
      <c r="D399" s="33"/>
      <c r="E399" s="34"/>
      <c r="F399" s="34"/>
      <c r="G399" s="34"/>
      <c r="H399" s="34"/>
      <c r="I399" s="34"/>
    </row>
    <row r="401" customFormat="false" ht="18" hidden="false" customHeight="true" outlineLevel="0" collapsed="false">
      <c r="A401" s="26" t="str">
        <f aca="false">Plan!$A$16</f>
        <v>Seitliche Kickbacks</v>
      </c>
      <c r="B401" s="26"/>
      <c r="C401" s="26"/>
      <c r="D401" s="26"/>
      <c r="E401" s="26"/>
      <c r="F401" s="26"/>
      <c r="G401" s="26"/>
      <c r="H401" s="26"/>
      <c r="I401" s="26"/>
    </row>
    <row r="402" customFormat="false" ht="15.75" hidden="false" customHeight="true" outlineLevel="0" collapsed="false">
      <c r="A402" s="27" t="str">
        <f aca="false">IF(IFERROR(INDEX(Plan!$J$6:$J$21,MATCH(Plan!$A$16,Plan!$A$6:$A$21,0)),"")="GESPERRT","GESPERRT bis Woche "&amp;IFERROR(INDEX(Plan!$I$6:$I$21,MATCH(Plan!$A$16,Plan!$A$6:$A$21,0)),"")&amp;" nach OP",IF(IFERROR(INDEX(Plan!$L$6:$L$21,MATCH(Plan!$A$16,Plan!$A$6:$A$21,0)),"")="","Startgewicht im Blatt 'Plan' eintragen","HEUTE:  "&amp;TEXT(IFERROR(INDEX(Plan!$L$6:$L$21,MATCH(Plan!$A$16,Plan!$A$6:$A$21,0)),""),"0.#")&amp;" kg × "&amp;IFERROR(INDEX(Plan!$M$6:$M$21,MATCH(Plan!$A$16,Plan!$A$6:$A$21,0)),"")&amp;" Wdh"))&amp;"     ·     "&amp;IFERROR(INDEX(Plan!$D$6:$D$21,MATCH(Plan!$A$16,Plan!$A$6:$A$21,0)),"")&amp;" Sätze"</f>
        <v>GESPERRT bis Woche 2 nach OP     ·     3 Sätze</v>
      </c>
      <c r="B402" s="27"/>
      <c r="C402" s="27"/>
      <c r="D402" s="27"/>
      <c r="E402" s="27"/>
      <c r="F402" s="27"/>
      <c r="G402" s="27"/>
      <c r="H402" s="27"/>
      <c r="I402" s="27"/>
    </row>
    <row r="403" customFormat="false" ht="13.5" hidden="false" customHeight="true" outlineLevel="0" collapsed="false">
      <c r="A403" s="28" t="str">
        <f aca="false">IF(IFERROR(INDEX(Plan!$K$6:$K$21,MATCH(Plan!$A$16,Plan!$A$6:$A$21,0)),"")="","","zuletzt "&amp;IFERROR(INDEX(Plan!$K$6:$K$21,MATCH(Plan!$A$16,Plan!$A$6:$A$21,0)),"")&amp;"     ·     ")&amp;IF(IFERROR(INDEX(Plan!$N$6:$N$21,MATCH(Plan!$A$16,Plan!$A$6:$A$21,0)),"")="","",IFERROR(INDEX(Plan!$N$6:$N$21,MATCH(Plan!$A$16,Plan!$A$6:$A$21,0)),""))</f>
        <v>zuletzt 35 kg × 15 Wdh     ·     Wdh +1 auf 16</v>
      </c>
      <c r="B403" s="28"/>
      <c r="C403" s="28"/>
      <c r="D403" s="28"/>
      <c r="E403" s="28"/>
      <c r="F403" s="28"/>
      <c r="G403" s="28"/>
      <c r="H403" s="28"/>
      <c r="I403" s="28"/>
    </row>
    <row r="404" customFormat="false" ht="18" hidden="false" customHeight="true" outlineLevel="0" collapsed="false">
      <c r="A404" s="29" t="s">
        <v>57</v>
      </c>
      <c r="B404" s="29" t="s">
        <v>58</v>
      </c>
      <c r="C404" s="29" t="s">
        <v>59</v>
      </c>
      <c r="D404" s="29" t="s">
        <v>60</v>
      </c>
      <c r="E404" s="29" t="s">
        <v>61</v>
      </c>
      <c r="F404" s="29" t="s">
        <v>62</v>
      </c>
      <c r="G404" s="29" t="s">
        <v>63</v>
      </c>
      <c r="H404" s="29" t="s">
        <v>64</v>
      </c>
      <c r="I404" s="29" t="s">
        <v>65</v>
      </c>
    </row>
    <row r="405" customFormat="false" ht="18" hidden="false" customHeight="true" outlineLevel="0" collapsed="false">
      <c r="A405" s="30" t="n">
        <v>1</v>
      </c>
      <c r="B405" s="31" t="s">
        <v>66</v>
      </c>
      <c r="C405" s="32" t="str">
        <f aca="false">IF(OR(IFERROR(INDEX(Plan!$J$6:$J$21,MATCH(Plan!$A$16,Plan!$A$6:$A$21,0)),"")="GESPERRT",IFERROR(INDEX(Plan!$L$6:$L$21,MATCH(Plan!$A$16,Plan!$A$6:$A$21,0)),"")=""),"",ROUND(IFERROR(INDEX(Plan!$L$6:$L$21,MATCH(Plan!$A$16,Plan!$A$6:$A$21,0)),"")*0.45*2,0)/2)</f>
        <v/>
      </c>
      <c r="D405" s="33"/>
      <c r="E405" s="34"/>
      <c r="F405" s="34"/>
      <c r="G405" s="34"/>
      <c r="H405" s="34"/>
      <c r="I405" s="34"/>
    </row>
    <row r="406" customFormat="false" ht="18" hidden="false" customHeight="true" outlineLevel="0" collapsed="false">
      <c r="A406" s="30" t="n">
        <v>2</v>
      </c>
      <c r="B406" s="31" t="s">
        <v>66</v>
      </c>
      <c r="C406" s="32" t="str">
        <f aca="false">IF(OR(IFERROR(INDEX(Plan!$J$6:$J$21,MATCH(Plan!$A$16,Plan!$A$6:$A$21,0)),"")="GESPERRT",IFERROR(INDEX(Plan!$L$6:$L$21,MATCH(Plan!$A$16,Plan!$A$6:$A$21,0)),"")=""),"",ROUND(IFERROR(INDEX(Plan!$L$6:$L$21,MATCH(Plan!$A$16,Plan!$A$6:$A$21,0)),"")*0.7*2,0)/2)</f>
        <v/>
      </c>
      <c r="D406" s="33"/>
      <c r="E406" s="34"/>
      <c r="F406" s="34"/>
      <c r="G406" s="34"/>
      <c r="H406" s="34"/>
      <c r="I406" s="34"/>
    </row>
    <row r="407" customFormat="false" ht="18" hidden="false" customHeight="true" outlineLevel="0" collapsed="false">
      <c r="A407" s="30" t="n">
        <v>3</v>
      </c>
      <c r="B407" s="35" t="s">
        <v>67</v>
      </c>
      <c r="C407" s="32" t="str">
        <f aca="false">IF(OR(IFERROR(INDEX(Plan!$J$6:$J$21,MATCH(Plan!$A$16,Plan!$A$6:$A$21,0)),"")="GESPERRT",IFERROR(INDEX(Plan!$L$6:$L$21,MATCH(Plan!$A$16,Plan!$A$6:$A$21,0)),"")=""),"",ROUND(IFERROR(INDEX(Plan!$L$6:$L$21,MATCH(Plan!$A$16,Plan!$A$6:$A$21,0)),"")*1*2,0)/2)</f>
        <v/>
      </c>
      <c r="D407" s="36" t="str">
        <f aca="false">IF(OR(IFERROR(INDEX(Plan!$J$6:$J$21,MATCH(Plan!$A$16,Plan!$A$6:$A$21,0)),"")="GESPERRT",IFERROR(INDEX(Plan!$M$6:$M$21,MATCH(Plan!$A$16,Plan!$A$6:$A$21,0)),"")=""),"",IFERROR(INDEX(Plan!$M$6:$M$21,MATCH(Plan!$A$16,Plan!$A$6:$A$21,0)),""))</f>
        <v/>
      </c>
      <c r="E407" s="34"/>
      <c r="F407" s="34"/>
      <c r="G407" s="34"/>
      <c r="H407" s="34"/>
      <c r="I407" s="34"/>
    </row>
    <row r="408" customFormat="false" ht="18" hidden="false" customHeight="true" outlineLevel="0" collapsed="false">
      <c r="A408" s="30" t="n">
        <v>4</v>
      </c>
      <c r="B408" s="35" t="s">
        <v>67</v>
      </c>
      <c r="C408" s="32" t="str">
        <f aca="false">IF(OR(IFERROR(INDEX(Plan!$J$6:$J$21,MATCH(Plan!$A$16,Plan!$A$6:$A$21,0)),"")="GESPERRT",IFERROR(INDEX(Plan!$L$6:$L$21,MATCH(Plan!$A$16,Plan!$A$6:$A$21,0)),"")=""),"",ROUND(IFERROR(INDEX(Plan!$L$6:$L$21,MATCH(Plan!$A$16,Plan!$A$6:$A$21,0)),"")*1*2,0)/2)</f>
        <v/>
      </c>
      <c r="D408" s="36" t="str">
        <f aca="false">IF(OR(IFERROR(INDEX(Plan!$J$6:$J$21,MATCH(Plan!$A$16,Plan!$A$6:$A$21,0)),"")="GESPERRT",IFERROR(INDEX(Plan!$M$6:$M$21,MATCH(Plan!$A$16,Plan!$A$6:$A$21,0)),"")=""),"",IFERROR(INDEX(Plan!$M$6:$M$21,MATCH(Plan!$A$16,Plan!$A$6:$A$21,0)),""))</f>
        <v/>
      </c>
      <c r="E408" s="34"/>
      <c r="F408" s="34"/>
      <c r="G408" s="34"/>
      <c r="H408" s="34"/>
      <c r="I408" s="34"/>
    </row>
    <row r="409" customFormat="false" ht="18" hidden="false" customHeight="true" outlineLevel="0" collapsed="false">
      <c r="A409" s="30" t="n">
        <v>5</v>
      </c>
      <c r="B409" s="35" t="s">
        <v>67</v>
      </c>
      <c r="C409" s="32" t="str">
        <f aca="false">IF(OR(IFERROR(INDEX(Plan!$J$6:$J$21,MATCH(Plan!$A$16,Plan!$A$6:$A$21,0)),"")="GESPERRT",IFERROR(INDEX(Plan!$L$6:$L$21,MATCH(Plan!$A$16,Plan!$A$6:$A$21,0)),"")=""),"",ROUND(IFERROR(INDEX(Plan!$L$6:$L$21,MATCH(Plan!$A$16,Plan!$A$6:$A$21,0)),"")*1*2,0)/2)</f>
        <v/>
      </c>
      <c r="D409" s="36" t="str">
        <f aca="false">IF(OR(IFERROR(INDEX(Plan!$J$6:$J$21,MATCH(Plan!$A$16,Plan!$A$6:$A$21,0)),"")="GESPERRT",IFERROR(INDEX(Plan!$M$6:$M$21,MATCH(Plan!$A$16,Plan!$A$6:$A$21,0)),"")=""),"",IFERROR(INDEX(Plan!$M$6:$M$21,MATCH(Plan!$A$16,Plan!$A$6:$A$21,0)),""))</f>
        <v/>
      </c>
      <c r="E409" s="34"/>
      <c r="F409" s="34"/>
      <c r="G409" s="34"/>
      <c r="H409" s="34"/>
      <c r="I409" s="34"/>
    </row>
    <row r="411" customFormat="false" ht="18" hidden="false" customHeight="true" outlineLevel="0" collapsed="false">
      <c r="A411" s="26" t="str">
        <f aca="false">Plan!$A$17</f>
        <v>Waden</v>
      </c>
      <c r="B411" s="26"/>
      <c r="C411" s="26"/>
      <c r="D411" s="26"/>
      <c r="E411" s="26"/>
      <c r="F411" s="26"/>
      <c r="G411" s="26"/>
      <c r="H411" s="26"/>
      <c r="I411" s="26"/>
    </row>
    <row r="412" customFormat="false" ht="15.75" hidden="false" customHeight="true" outlineLevel="0" collapsed="false">
      <c r="A412" s="27" t="str">
        <f aca="false">IF(IFERROR(INDEX(Plan!$J$6:$J$21,MATCH(Plan!$A$17,Plan!$A$6:$A$21,0)),"")="GESPERRT","GESPERRT bis Woche "&amp;IFERROR(INDEX(Plan!$I$6:$I$21,MATCH(Plan!$A$17,Plan!$A$6:$A$21,0)),"")&amp;" nach OP",IF(IFERROR(INDEX(Plan!$L$6:$L$21,MATCH(Plan!$A$17,Plan!$A$6:$A$21,0)),"")="","Startgewicht im Blatt 'Plan' eintragen","HEUTE:  "&amp;TEXT(IFERROR(INDEX(Plan!$L$6:$L$21,MATCH(Plan!$A$17,Plan!$A$6:$A$21,0)),""),"0.#")&amp;" kg × "&amp;IFERROR(INDEX(Plan!$M$6:$M$21,MATCH(Plan!$A$17,Plan!$A$6:$A$21,0)),"")&amp;" Wdh"))&amp;"     ·     "&amp;IFERROR(INDEX(Plan!$D$6:$D$21,MATCH(Plan!$A$17,Plan!$A$6:$A$21,0)),"")&amp;" Sätze"</f>
        <v>GESPERRT bis Woche 2 nach OP     ·     3 Sätze</v>
      </c>
      <c r="B412" s="27"/>
      <c r="C412" s="27"/>
      <c r="D412" s="27"/>
      <c r="E412" s="27"/>
      <c r="F412" s="27"/>
      <c r="G412" s="27"/>
      <c r="H412" s="27"/>
      <c r="I412" s="27"/>
    </row>
    <row r="413" customFormat="false" ht="13.5" hidden="false" customHeight="true" outlineLevel="0" collapsed="false">
      <c r="A413" s="28" t="str">
        <f aca="false">IF(IFERROR(INDEX(Plan!$K$6:$K$21,MATCH(Plan!$A$17,Plan!$A$6:$A$21,0)),"")="","","zuletzt "&amp;IFERROR(INDEX(Plan!$K$6:$K$21,MATCH(Plan!$A$17,Plan!$A$6:$A$21,0)),"")&amp;"     ·     ")&amp;IF(IFERROR(INDEX(Plan!$N$6:$N$21,MATCH(Plan!$A$17,Plan!$A$6:$A$21,0)),"")="","",IFERROR(INDEX(Plan!$N$6:$N$21,MATCH(Plan!$A$17,Plan!$A$6:$A$21,0)),""))</f>
        <v>zuletzt 150 kg × 12 Wdh     ·     Wdh +1 auf 13</v>
      </c>
      <c r="B413" s="28"/>
      <c r="C413" s="28"/>
      <c r="D413" s="28"/>
      <c r="E413" s="28"/>
      <c r="F413" s="28"/>
      <c r="G413" s="28"/>
      <c r="H413" s="28"/>
      <c r="I413" s="28"/>
    </row>
    <row r="414" customFormat="false" ht="18" hidden="false" customHeight="true" outlineLevel="0" collapsed="false">
      <c r="A414" s="29" t="s">
        <v>57</v>
      </c>
      <c r="B414" s="29" t="s">
        <v>58</v>
      </c>
      <c r="C414" s="29" t="s">
        <v>59</v>
      </c>
      <c r="D414" s="29" t="s">
        <v>60</v>
      </c>
      <c r="E414" s="29" t="s">
        <v>61</v>
      </c>
      <c r="F414" s="29" t="s">
        <v>62</v>
      </c>
      <c r="G414" s="29" t="s">
        <v>63</v>
      </c>
      <c r="H414" s="29" t="s">
        <v>64</v>
      </c>
      <c r="I414" s="29" t="s">
        <v>65</v>
      </c>
    </row>
    <row r="415" customFormat="false" ht="18" hidden="false" customHeight="true" outlineLevel="0" collapsed="false">
      <c r="A415" s="30" t="n">
        <v>1</v>
      </c>
      <c r="B415" s="31" t="s">
        <v>66</v>
      </c>
      <c r="C415" s="32" t="str">
        <f aca="false">IF(OR(IFERROR(INDEX(Plan!$J$6:$J$21,MATCH(Plan!$A$17,Plan!$A$6:$A$21,0)),"")="GESPERRT",IFERROR(INDEX(Plan!$L$6:$L$21,MATCH(Plan!$A$17,Plan!$A$6:$A$21,0)),"")=""),"",ROUND(IFERROR(INDEX(Plan!$L$6:$L$21,MATCH(Plan!$A$17,Plan!$A$6:$A$21,0)),"")*0.45*2,0)/2)</f>
        <v/>
      </c>
      <c r="D415" s="33"/>
      <c r="E415" s="34"/>
      <c r="F415" s="34"/>
      <c r="G415" s="34"/>
      <c r="H415" s="34"/>
      <c r="I415" s="34"/>
    </row>
    <row r="416" customFormat="false" ht="18" hidden="false" customHeight="true" outlineLevel="0" collapsed="false">
      <c r="A416" s="30" t="n">
        <v>2</v>
      </c>
      <c r="B416" s="31" t="s">
        <v>66</v>
      </c>
      <c r="C416" s="32" t="str">
        <f aca="false">IF(OR(IFERROR(INDEX(Plan!$J$6:$J$21,MATCH(Plan!$A$17,Plan!$A$6:$A$21,0)),"")="GESPERRT",IFERROR(INDEX(Plan!$L$6:$L$21,MATCH(Plan!$A$17,Plan!$A$6:$A$21,0)),"")=""),"",ROUND(IFERROR(INDEX(Plan!$L$6:$L$21,MATCH(Plan!$A$17,Plan!$A$6:$A$21,0)),"")*0.7*2,0)/2)</f>
        <v/>
      </c>
      <c r="D416" s="33"/>
      <c r="E416" s="34"/>
      <c r="F416" s="34"/>
      <c r="G416" s="34"/>
      <c r="H416" s="34"/>
      <c r="I416" s="34"/>
    </row>
    <row r="417" customFormat="false" ht="18" hidden="false" customHeight="true" outlineLevel="0" collapsed="false">
      <c r="A417" s="30" t="n">
        <v>3</v>
      </c>
      <c r="B417" s="35" t="s">
        <v>67</v>
      </c>
      <c r="C417" s="32" t="str">
        <f aca="false">IF(OR(IFERROR(INDEX(Plan!$J$6:$J$21,MATCH(Plan!$A$17,Plan!$A$6:$A$21,0)),"")="GESPERRT",IFERROR(INDEX(Plan!$L$6:$L$21,MATCH(Plan!$A$17,Plan!$A$6:$A$21,0)),"")=""),"",ROUND(IFERROR(INDEX(Plan!$L$6:$L$21,MATCH(Plan!$A$17,Plan!$A$6:$A$21,0)),"")*1*2,0)/2)</f>
        <v/>
      </c>
      <c r="D417" s="36" t="str">
        <f aca="false">IF(OR(IFERROR(INDEX(Plan!$J$6:$J$21,MATCH(Plan!$A$17,Plan!$A$6:$A$21,0)),"")="GESPERRT",IFERROR(INDEX(Plan!$M$6:$M$21,MATCH(Plan!$A$17,Plan!$A$6:$A$21,0)),"")=""),"",IFERROR(INDEX(Plan!$M$6:$M$21,MATCH(Plan!$A$17,Plan!$A$6:$A$21,0)),""))</f>
        <v/>
      </c>
      <c r="E417" s="34"/>
      <c r="F417" s="34"/>
      <c r="G417" s="34"/>
      <c r="H417" s="34"/>
      <c r="I417" s="34"/>
    </row>
    <row r="418" customFormat="false" ht="18" hidden="false" customHeight="true" outlineLevel="0" collapsed="false">
      <c r="A418" s="30" t="n">
        <v>4</v>
      </c>
      <c r="B418" s="35" t="s">
        <v>67</v>
      </c>
      <c r="C418" s="32" t="str">
        <f aca="false">IF(OR(IFERROR(INDEX(Plan!$J$6:$J$21,MATCH(Plan!$A$17,Plan!$A$6:$A$21,0)),"")="GESPERRT",IFERROR(INDEX(Plan!$L$6:$L$21,MATCH(Plan!$A$17,Plan!$A$6:$A$21,0)),"")=""),"",ROUND(IFERROR(INDEX(Plan!$L$6:$L$21,MATCH(Plan!$A$17,Plan!$A$6:$A$21,0)),"")*1*2,0)/2)</f>
        <v/>
      </c>
      <c r="D418" s="36" t="str">
        <f aca="false">IF(OR(IFERROR(INDEX(Plan!$J$6:$J$21,MATCH(Plan!$A$17,Plan!$A$6:$A$21,0)),"")="GESPERRT",IFERROR(INDEX(Plan!$M$6:$M$21,MATCH(Plan!$A$17,Plan!$A$6:$A$21,0)),"")=""),"",IFERROR(INDEX(Plan!$M$6:$M$21,MATCH(Plan!$A$17,Plan!$A$6:$A$21,0)),""))</f>
        <v/>
      </c>
      <c r="E418" s="34"/>
      <c r="F418" s="34"/>
      <c r="G418" s="34"/>
      <c r="H418" s="34"/>
      <c r="I418" s="34"/>
    </row>
    <row r="419" customFormat="false" ht="18" hidden="false" customHeight="true" outlineLevel="0" collapsed="false">
      <c r="A419" s="30" t="n">
        <v>5</v>
      </c>
      <c r="B419" s="35" t="s">
        <v>67</v>
      </c>
      <c r="C419" s="32" t="str">
        <f aca="false">IF(OR(IFERROR(INDEX(Plan!$J$6:$J$21,MATCH(Plan!$A$17,Plan!$A$6:$A$21,0)),"")="GESPERRT",IFERROR(INDEX(Plan!$L$6:$L$21,MATCH(Plan!$A$17,Plan!$A$6:$A$21,0)),"")=""),"",ROUND(IFERROR(INDEX(Plan!$L$6:$L$21,MATCH(Plan!$A$17,Plan!$A$6:$A$21,0)),"")*1*2,0)/2)</f>
        <v/>
      </c>
      <c r="D419" s="36" t="str">
        <f aca="false">IF(OR(IFERROR(INDEX(Plan!$J$6:$J$21,MATCH(Plan!$A$17,Plan!$A$6:$A$21,0)),"")="GESPERRT",IFERROR(INDEX(Plan!$M$6:$M$21,MATCH(Plan!$A$17,Plan!$A$6:$A$21,0)),"")=""),"",IFERROR(INDEX(Plan!$M$6:$M$21,MATCH(Plan!$A$17,Plan!$A$6:$A$21,0)),""))</f>
        <v/>
      </c>
      <c r="E419" s="34"/>
      <c r="F419" s="34"/>
      <c r="G419" s="34"/>
      <c r="H419" s="34"/>
      <c r="I419" s="34"/>
    </row>
    <row r="421" customFormat="false" ht="18" hidden="false" customHeight="true" outlineLevel="0" collapsed="false">
      <c r="A421" s="6" t="s">
        <v>69</v>
      </c>
      <c r="B421" s="6"/>
      <c r="C421" s="6"/>
      <c r="D421" s="6"/>
      <c r="E421" s="6"/>
      <c r="F421" s="6"/>
      <c r="G421" s="6"/>
      <c r="H421" s="6"/>
      <c r="I421" s="6"/>
    </row>
    <row r="422" customFormat="false" ht="16.5" hidden="false" customHeight="true" outlineLevel="0" collapsed="false">
      <c r="A422" s="37"/>
      <c r="B422" s="37"/>
      <c r="C422" s="37"/>
      <c r="D422" s="37"/>
      <c r="E422" s="37"/>
      <c r="F422" s="37"/>
      <c r="G422" s="37"/>
      <c r="H422" s="37"/>
      <c r="I422" s="37"/>
    </row>
    <row r="423" customFormat="false" ht="16.5" hidden="false" customHeight="true" outlineLevel="0" collapsed="false">
      <c r="A423" s="37"/>
      <c r="B423" s="37"/>
      <c r="C423" s="37"/>
      <c r="D423" s="37"/>
      <c r="E423" s="37"/>
      <c r="F423" s="37"/>
      <c r="G423" s="37"/>
      <c r="H423" s="37"/>
      <c r="I423" s="37"/>
    </row>
  </sheetData>
  <mergeCells count="204">
    <mergeCell ref="A1:I1"/>
    <mergeCell ref="A2:B2"/>
    <mergeCell ref="D2:E2"/>
    <mergeCell ref="F2:G2"/>
    <mergeCell ref="H2:I2"/>
    <mergeCell ref="A3:B3"/>
    <mergeCell ref="D3:E3"/>
    <mergeCell ref="F3:G3"/>
    <mergeCell ref="H3:I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D50:E50"/>
    <mergeCell ref="F50:G50"/>
    <mergeCell ref="H50:I50"/>
    <mergeCell ref="A51:B51"/>
    <mergeCell ref="D51:E51"/>
    <mergeCell ref="F51:G51"/>
    <mergeCell ref="H51:I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D108:E108"/>
    <mergeCell ref="F108:G108"/>
    <mergeCell ref="H108:I108"/>
    <mergeCell ref="A109:B109"/>
    <mergeCell ref="D109:E109"/>
    <mergeCell ref="F109:G109"/>
    <mergeCell ref="H109:I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D156:E156"/>
    <mergeCell ref="F156:G156"/>
    <mergeCell ref="H156:I156"/>
    <mergeCell ref="A157:B157"/>
    <mergeCell ref="D157:E157"/>
    <mergeCell ref="F157:G157"/>
    <mergeCell ref="H157:I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D214:E214"/>
    <mergeCell ref="F214:G214"/>
    <mergeCell ref="H214:I214"/>
    <mergeCell ref="A215:B215"/>
    <mergeCell ref="D215:E215"/>
    <mergeCell ref="F215:G215"/>
    <mergeCell ref="H215:I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D262:E262"/>
    <mergeCell ref="F262:G262"/>
    <mergeCell ref="H262:I262"/>
    <mergeCell ref="A263:B263"/>
    <mergeCell ref="D263:E263"/>
    <mergeCell ref="F263:G263"/>
    <mergeCell ref="H263:I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D320:E320"/>
    <mergeCell ref="F320:G320"/>
    <mergeCell ref="H320:I320"/>
    <mergeCell ref="A321:B321"/>
    <mergeCell ref="D321:E321"/>
    <mergeCell ref="F321:G321"/>
    <mergeCell ref="H321:I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D368:E368"/>
    <mergeCell ref="F368:G368"/>
    <mergeCell ref="H368:I368"/>
    <mergeCell ref="A369:B369"/>
    <mergeCell ref="D369:E369"/>
    <mergeCell ref="F369:G369"/>
    <mergeCell ref="H369:I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5">
      <formula>LEFT($A1,8)="GESPERRT"</formula>
    </cfRule>
  </conditionalFormatting>
  <printOptions headings="false" gridLines="false" gridLinesSet="true" horizontalCentered="true" verticalCentered="false"/>
  <pageMargins left="0.45" right="0.35" top="0.45" bottom="0.45" header="0.25" footer="0.25"/>
  <pageSetup paperSize="9" scale="100" fitToWidth="1" fitToHeight="0" pageOrder="downThenOver" orientation="portrait" blackAndWhite="false" draft="false" cellComments="none" horizontalDpi="300" verticalDpi="300" copies="1"/>
  <headerFooter differentFirst="false" differentOddEven="false">
    <oddHeader>&amp;L&amp;8 &amp;K909090Gym Logbuch  |  Beine&amp;R&amp;8 &amp;K909090Trainingsblatt</oddHeader>
    <oddFooter>&amp;L&amp;8 &amp;K909090Plan (kg): Aufwärmen 45 % / 70 %, Arbeitssätze auf HEUTE&amp;R&amp;8 &amp;K909090Seite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3" min="3" style="0" width="24"/>
    <col collapsed="false" customWidth="true" hidden="false" outlineLevel="0" max="4" min="4" style="0" width="7"/>
    <col collapsed="false" customWidth="true" hidden="false" outlineLevel="0" max="5" min="5" style="0" width="11"/>
    <col collapsed="false" customWidth="true" hidden="false" outlineLevel="0" max="6" min="6" style="0" width="8"/>
    <col collapsed="false" customWidth="true" hidden="false" outlineLevel="0" max="7" min="7" style="0" width="11"/>
    <col collapsed="false" customWidth="true" hidden="false" outlineLevel="0" max="8" min="8" style="0" width="46"/>
  </cols>
  <sheetData>
    <row r="1" customFormat="false" ht="27.75" hidden="false" customHeight="true" outlineLevel="0" collapsed="false">
      <c r="A1" s="1" t="s">
        <v>77</v>
      </c>
      <c r="B1" s="1"/>
      <c r="C1" s="1"/>
      <c r="D1" s="1"/>
      <c r="E1" s="1"/>
      <c r="F1" s="1"/>
      <c r="G1" s="1"/>
      <c r="H1" s="1"/>
    </row>
    <row r="2" customFormat="false" ht="13.5" hidden="false" customHeight="true" outlineLevel="0" collapsed="false">
      <c r="A2" s="2" t="s">
        <v>78</v>
      </c>
      <c r="B2" s="2"/>
      <c r="C2" s="2"/>
      <c r="D2" s="2"/>
      <c r="E2" s="2"/>
      <c r="F2" s="2"/>
      <c r="G2" s="2"/>
      <c r="H2" s="2"/>
    </row>
    <row r="3" customFormat="false" ht="30" hidden="false" customHeight="true" outlineLevel="0" collapsed="false">
      <c r="A3" s="7" t="s">
        <v>52</v>
      </c>
      <c r="B3" s="7" t="s">
        <v>79</v>
      </c>
      <c r="C3" s="7" t="s">
        <v>5</v>
      </c>
      <c r="D3" s="7" t="s">
        <v>80</v>
      </c>
      <c r="E3" s="7" t="s">
        <v>81</v>
      </c>
      <c r="F3" s="7" t="s">
        <v>62</v>
      </c>
      <c r="G3" s="7" t="s">
        <v>82</v>
      </c>
      <c r="H3" s="7" t="s">
        <v>65</v>
      </c>
    </row>
    <row r="4" customFormat="false" ht="15.75" hidden="false" customHeight="true" outlineLevel="0" collapsed="false">
      <c r="A4" s="38"/>
      <c r="B4" s="11" t="n">
        <v>1</v>
      </c>
      <c r="C4" s="10" t="s">
        <v>30</v>
      </c>
      <c r="D4" s="39" t="s">
        <v>66</v>
      </c>
      <c r="E4" s="12" t="n">
        <v>77.5</v>
      </c>
      <c r="F4" s="40" t="n">
        <v>17</v>
      </c>
      <c r="G4" s="18" t="n">
        <f aca="false">IF(AND(ISNUMBER($E4),ISNUMBER($F4),$D4&lt;&gt;"R"),$E4*$F4,"")</f>
        <v>1317.5</v>
      </c>
      <c r="H4" s="10"/>
    </row>
    <row r="5" customFormat="false" ht="15.75" hidden="false" customHeight="true" outlineLevel="0" collapsed="false">
      <c r="A5" s="38"/>
      <c r="B5" s="11" t="n">
        <v>1</v>
      </c>
      <c r="C5" s="10" t="s">
        <v>30</v>
      </c>
      <c r="D5" s="39" t="s">
        <v>67</v>
      </c>
      <c r="E5" s="12" t="n">
        <v>152.5</v>
      </c>
      <c r="F5" s="40" t="n">
        <v>17</v>
      </c>
      <c r="G5" s="18" t="n">
        <f aca="false">IF(AND(ISNUMBER($E5),ISNUMBER($F5),$D5&lt;&gt;"R"),$E5*$F5,"")</f>
        <v>2592.5</v>
      </c>
      <c r="H5" s="10"/>
    </row>
    <row r="6" customFormat="false" ht="15.75" hidden="false" customHeight="true" outlineLevel="0" collapsed="false">
      <c r="A6" s="38"/>
      <c r="B6" s="11" t="n">
        <v>1</v>
      </c>
      <c r="C6" s="10" t="s">
        <v>30</v>
      </c>
      <c r="D6" s="39" t="s">
        <v>67</v>
      </c>
      <c r="E6" s="12" t="n">
        <v>152.5</v>
      </c>
      <c r="F6" s="40" t="n">
        <v>10</v>
      </c>
      <c r="G6" s="18" t="n">
        <f aca="false">IF(AND(ISNUMBER($E6),ISNUMBER($F6),$D6&lt;&gt;"R"),$E6*$F6,"")</f>
        <v>1525</v>
      </c>
      <c r="H6" s="10"/>
    </row>
    <row r="7" customFormat="false" ht="15.75" hidden="false" customHeight="true" outlineLevel="0" collapsed="false">
      <c r="A7" s="38"/>
      <c r="B7" s="11" t="n">
        <v>1</v>
      </c>
      <c r="C7" s="10" t="s">
        <v>30</v>
      </c>
      <c r="D7" s="39" t="s">
        <v>68</v>
      </c>
      <c r="E7" s="12" t="n">
        <v>110</v>
      </c>
      <c r="F7" s="40" t="n">
        <v>10</v>
      </c>
      <c r="G7" s="18" t="str">
        <f aca="false">IF(AND(ISNUMBER($E7),ISNUMBER($F7),$D7&lt;&gt;"R"),$E7*$F7,"")</f>
        <v/>
      </c>
      <c r="H7" s="10" t="s">
        <v>83</v>
      </c>
    </row>
    <row r="8" customFormat="false" ht="15.75" hidden="false" customHeight="true" outlineLevel="0" collapsed="false">
      <c r="A8" s="38"/>
      <c r="B8" s="11" t="n">
        <v>2</v>
      </c>
      <c r="C8" s="10" t="s">
        <v>30</v>
      </c>
      <c r="D8" s="39" t="s">
        <v>66</v>
      </c>
      <c r="E8" s="12" t="n">
        <v>85</v>
      </c>
      <c r="F8" s="40" t="n">
        <v>10</v>
      </c>
      <c r="G8" s="18" t="n">
        <f aca="false">IF(AND(ISNUMBER($E8),ISNUMBER($F8),$D8&lt;&gt;"R"),$E8*$F8,"")</f>
        <v>850</v>
      </c>
      <c r="H8" s="10"/>
    </row>
    <row r="9" customFormat="false" ht="15.75" hidden="false" customHeight="true" outlineLevel="0" collapsed="false">
      <c r="A9" s="38"/>
      <c r="B9" s="11" t="n">
        <v>2</v>
      </c>
      <c r="C9" s="10" t="s">
        <v>30</v>
      </c>
      <c r="D9" s="39" t="s">
        <v>67</v>
      </c>
      <c r="E9" s="12" t="n">
        <v>152.5</v>
      </c>
      <c r="F9" s="40" t="n">
        <v>20</v>
      </c>
      <c r="G9" s="18" t="n">
        <f aca="false">IF(AND(ISNUMBER($E9),ISNUMBER($F9),$D9&lt;&gt;"R"),$E9*$F9,"")</f>
        <v>3050</v>
      </c>
      <c r="H9" s="10"/>
    </row>
    <row r="10" customFormat="false" ht="15.75" hidden="false" customHeight="true" outlineLevel="0" collapsed="false">
      <c r="A10" s="38"/>
      <c r="B10" s="11" t="n">
        <v>2</v>
      </c>
      <c r="C10" s="10" t="s">
        <v>30</v>
      </c>
      <c r="D10" s="39" t="s">
        <v>67</v>
      </c>
      <c r="E10" s="12" t="n">
        <v>152.5</v>
      </c>
      <c r="F10" s="40" t="n">
        <v>16</v>
      </c>
      <c r="G10" s="18" t="n">
        <f aca="false">IF(AND(ISNUMBER($E10),ISNUMBER($F10),$D10&lt;&gt;"R"),$E10*$F10,"")</f>
        <v>2440</v>
      </c>
      <c r="H10" s="10"/>
    </row>
    <row r="11" customFormat="false" ht="15.75" hidden="false" customHeight="true" outlineLevel="0" collapsed="false">
      <c r="A11" s="38"/>
      <c r="B11" s="11" t="n">
        <v>2</v>
      </c>
      <c r="C11" s="10" t="s">
        <v>30</v>
      </c>
      <c r="D11" s="39" t="s">
        <v>68</v>
      </c>
      <c r="E11" s="12" t="n">
        <v>110</v>
      </c>
      <c r="F11" s="40" t="n">
        <v>10</v>
      </c>
      <c r="G11" s="18" t="str">
        <f aca="false">IF(AND(ISNUMBER($E11),ISNUMBER($F11),$D11&lt;&gt;"R"),$E11*$F11,"")</f>
        <v/>
      </c>
      <c r="H11" s="10" t="s">
        <v>84</v>
      </c>
    </row>
    <row r="12" customFormat="false" ht="15.75" hidden="false" customHeight="true" outlineLevel="0" collapsed="false">
      <c r="A12" s="38"/>
      <c r="B12" s="11" t="n">
        <v>3</v>
      </c>
      <c r="C12" s="10" t="s">
        <v>30</v>
      </c>
      <c r="D12" s="39" t="s">
        <v>66</v>
      </c>
      <c r="E12" s="12" t="n">
        <v>65</v>
      </c>
      <c r="F12" s="40" t="n">
        <v>10</v>
      </c>
      <c r="G12" s="18" t="n">
        <f aca="false">IF(AND(ISNUMBER($E12),ISNUMBER($F12),$D12&lt;&gt;"R"),$E12*$F12,"")</f>
        <v>650</v>
      </c>
      <c r="H12" s="10"/>
    </row>
    <row r="13" customFormat="false" ht="15.75" hidden="false" customHeight="true" outlineLevel="0" collapsed="false">
      <c r="A13" s="38"/>
      <c r="B13" s="11" t="n">
        <v>3</v>
      </c>
      <c r="C13" s="10" t="s">
        <v>30</v>
      </c>
      <c r="D13" s="39" t="s">
        <v>66</v>
      </c>
      <c r="E13" s="12" t="n">
        <v>80</v>
      </c>
      <c r="F13" s="40" t="n">
        <v>6</v>
      </c>
      <c r="G13" s="18" t="n">
        <f aca="false">IF(AND(ISNUMBER($E13),ISNUMBER($F13),$D13&lt;&gt;"R"),$E13*$F13,"")</f>
        <v>480</v>
      </c>
      <c r="H13" s="10"/>
    </row>
    <row r="14" customFormat="false" ht="15.75" hidden="false" customHeight="true" outlineLevel="0" collapsed="false">
      <c r="A14" s="38"/>
      <c r="B14" s="11" t="n">
        <v>3</v>
      </c>
      <c r="C14" s="10" t="s">
        <v>30</v>
      </c>
      <c r="D14" s="39" t="s">
        <v>67</v>
      </c>
      <c r="E14" s="12" t="n">
        <v>152.5</v>
      </c>
      <c r="F14" s="40" t="n">
        <v>22</v>
      </c>
      <c r="G14" s="18" t="n">
        <f aca="false">IF(AND(ISNUMBER($E14),ISNUMBER($F14),$D14&lt;&gt;"R"),$E14*$F14,"")</f>
        <v>3355</v>
      </c>
      <c r="H14" s="10"/>
    </row>
    <row r="15" customFormat="false" ht="15.75" hidden="false" customHeight="true" outlineLevel="0" collapsed="false">
      <c r="A15" s="38"/>
      <c r="B15" s="11" t="n">
        <v>3</v>
      </c>
      <c r="C15" s="10" t="s">
        <v>30</v>
      </c>
      <c r="D15" s="39" t="s">
        <v>67</v>
      </c>
      <c r="E15" s="12" t="n">
        <v>152.5</v>
      </c>
      <c r="F15" s="40" t="n">
        <v>13</v>
      </c>
      <c r="G15" s="18" t="n">
        <f aca="false">IF(AND(ISNUMBER($E15),ISNUMBER($F15),$D15&lt;&gt;"R"),$E15*$F15,"")</f>
        <v>1982.5</v>
      </c>
      <c r="H15" s="10"/>
    </row>
    <row r="16" customFormat="false" ht="15.75" hidden="false" customHeight="true" outlineLevel="0" collapsed="false">
      <c r="A16" s="38"/>
      <c r="B16" s="11" t="n">
        <v>3</v>
      </c>
      <c r="C16" s="10" t="s">
        <v>30</v>
      </c>
      <c r="D16" s="39" t="s">
        <v>68</v>
      </c>
      <c r="E16" s="12" t="n">
        <v>110</v>
      </c>
      <c r="F16" s="40" t="n">
        <v>10</v>
      </c>
      <c r="G16" s="18" t="str">
        <f aca="false">IF(AND(ISNUMBER($E16),ISNUMBER($F16),$D16&lt;&gt;"R"),$E16*$F16,"")</f>
        <v/>
      </c>
      <c r="H16" s="10" t="s">
        <v>85</v>
      </c>
    </row>
    <row r="17" customFormat="false" ht="15.75" hidden="false" customHeight="true" outlineLevel="0" collapsed="false">
      <c r="A17" s="38"/>
      <c r="B17" s="11" t="n">
        <v>4</v>
      </c>
      <c r="C17" s="10" t="s">
        <v>30</v>
      </c>
      <c r="D17" s="39" t="s">
        <v>66</v>
      </c>
      <c r="E17" s="12" t="n">
        <v>50</v>
      </c>
      <c r="F17" s="40" t="n">
        <v>10</v>
      </c>
      <c r="G17" s="18" t="n">
        <f aca="false">IF(AND(ISNUMBER($E17),ISNUMBER($F17),$D17&lt;&gt;"R"),$E17*$F17,"")</f>
        <v>500</v>
      </c>
      <c r="H17" s="10"/>
    </row>
    <row r="18" customFormat="false" ht="15.75" hidden="false" customHeight="true" outlineLevel="0" collapsed="false">
      <c r="A18" s="38"/>
      <c r="B18" s="11" t="n">
        <v>4</v>
      </c>
      <c r="C18" s="10" t="s">
        <v>30</v>
      </c>
      <c r="D18" s="39" t="s">
        <v>66</v>
      </c>
      <c r="E18" s="12" t="n">
        <v>70</v>
      </c>
      <c r="F18" s="40" t="n">
        <v>10</v>
      </c>
      <c r="G18" s="18" t="n">
        <f aca="false">IF(AND(ISNUMBER($E18),ISNUMBER($F18),$D18&lt;&gt;"R"),$E18*$F18,"")</f>
        <v>700</v>
      </c>
      <c r="H18" s="10"/>
    </row>
    <row r="19" customFormat="false" ht="15.75" hidden="false" customHeight="true" outlineLevel="0" collapsed="false">
      <c r="A19" s="38"/>
      <c r="B19" s="11" t="n">
        <v>4</v>
      </c>
      <c r="C19" s="10" t="s">
        <v>30</v>
      </c>
      <c r="D19" s="39" t="s">
        <v>67</v>
      </c>
      <c r="E19" s="12" t="n">
        <v>152.5</v>
      </c>
      <c r="F19" s="40" t="n">
        <v>25</v>
      </c>
      <c r="G19" s="18" t="n">
        <f aca="false">IF(AND(ISNUMBER($E19),ISNUMBER($F19),$D19&lt;&gt;"R"),$E19*$F19,"")</f>
        <v>3812.5</v>
      </c>
      <c r="H19" s="10" t="s">
        <v>86</v>
      </c>
    </row>
    <row r="20" customFormat="false" ht="15.75" hidden="false" customHeight="true" outlineLevel="0" collapsed="false">
      <c r="A20" s="38"/>
      <c r="B20" s="11" t="n">
        <v>4</v>
      </c>
      <c r="C20" s="10" t="s">
        <v>30</v>
      </c>
      <c r="D20" s="39" t="s">
        <v>67</v>
      </c>
      <c r="E20" s="12" t="n">
        <v>152.5</v>
      </c>
      <c r="F20" s="40" t="n">
        <v>20</v>
      </c>
      <c r="G20" s="18" t="n">
        <f aca="false">IF(AND(ISNUMBER($E20),ISNUMBER($F20),$D20&lt;&gt;"R"),$E20*$F20,"")</f>
        <v>3050</v>
      </c>
      <c r="H20" s="10" t="s">
        <v>86</v>
      </c>
    </row>
    <row r="21" customFormat="false" ht="15.75" hidden="false" customHeight="true" outlineLevel="0" collapsed="false">
      <c r="A21" s="38"/>
      <c r="B21" s="11" t="n">
        <v>4</v>
      </c>
      <c r="C21" s="10" t="s">
        <v>30</v>
      </c>
      <c r="D21" s="39" t="s">
        <v>68</v>
      </c>
      <c r="E21" s="12" t="n">
        <v>125</v>
      </c>
      <c r="F21" s="40" t="n">
        <v>6</v>
      </c>
      <c r="G21" s="18" t="str">
        <f aca="false">IF(AND(ISNUMBER($E21),ISNUMBER($F21),$D21&lt;&gt;"R"),$E21*$F21,"")</f>
        <v/>
      </c>
      <c r="H21" s="10" t="s">
        <v>87</v>
      </c>
    </row>
    <row r="22" customFormat="false" ht="15.75" hidden="false" customHeight="true" outlineLevel="0" collapsed="false">
      <c r="A22" s="38"/>
      <c r="B22" s="11" t="n">
        <v>1</v>
      </c>
      <c r="C22" s="10" t="s">
        <v>28</v>
      </c>
      <c r="D22" s="39" t="s">
        <v>66</v>
      </c>
      <c r="E22" s="12" t="n">
        <v>15</v>
      </c>
      <c r="F22" s="40" t="n">
        <v>10</v>
      </c>
      <c r="G22" s="18" t="n">
        <f aca="false">IF(AND(ISNUMBER($E22),ISNUMBER($F22),$D22&lt;&gt;"R"),$E22*$F22,"")</f>
        <v>150</v>
      </c>
      <c r="H22" s="10"/>
    </row>
    <row r="23" customFormat="false" ht="15.75" hidden="false" customHeight="true" outlineLevel="0" collapsed="false">
      <c r="A23" s="38"/>
      <c r="B23" s="11" t="n">
        <v>1</v>
      </c>
      <c r="C23" s="10" t="s">
        <v>28</v>
      </c>
      <c r="D23" s="39" t="s">
        <v>66</v>
      </c>
      <c r="E23" s="12" t="n">
        <v>30</v>
      </c>
      <c r="F23" s="40" t="n">
        <v>4</v>
      </c>
      <c r="G23" s="18" t="n">
        <f aca="false">IF(AND(ISNUMBER($E23),ISNUMBER($F23),$D23&lt;&gt;"R"),$E23*$F23,"")</f>
        <v>120</v>
      </c>
      <c r="H23" s="10"/>
    </row>
    <row r="24" customFormat="false" ht="15.75" hidden="false" customHeight="true" outlineLevel="0" collapsed="false">
      <c r="A24" s="38"/>
      <c r="B24" s="11" t="n">
        <v>1</v>
      </c>
      <c r="C24" s="10" t="s">
        <v>28</v>
      </c>
      <c r="D24" s="39" t="s">
        <v>67</v>
      </c>
      <c r="E24" s="12" t="n">
        <v>65</v>
      </c>
      <c r="F24" s="40" t="n">
        <v>7</v>
      </c>
      <c r="G24" s="18" t="n">
        <f aca="false">IF(AND(ISNUMBER($E24),ISNUMBER($F24),$D24&lt;&gt;"R"),$E24*$F24,"")</f>
        <v>455</v>
      </c>
      <c r="H24" s="10"/>
    </row>
    <row r="25" customFormat="false" ht="15.75" hidden="false" customHeight="true" outlineLevel="0" collapsed="false">
      <c r="A25" s="38"/>
      <c r="B25" s="11" t="n">
        <v>1</v>
      </c>
      <c r="C25" s="10" t="s">
        <v>28</v>
      </c>
      <c r="D25" s="39" t="s">
        <v>67</v>
      </c>
      <c r="E25" s="12" t="n">
        <v>75</v>
      </c>
      <c r="F25" s="40" t="n">
        <v>10</v>
      </c>
      <c r="G25" s="18" t="n">
        <f aca="false">IF(AND(ISNUMBER($E25),ISNUMBER($F25),$D25&lt;&gt;"R"),$E25*$F25,"")</f>
        <v>750</v>
      </c>
      <c r="H25" s="10"/>
    </row>
    <row r="26" customFormat="false" ht="15.75" hidden="false" customHeight="true" outlineLevel="0" collapsed="false">
      <c r="A26" s="38"/>
      <c r="B26" s="11" t="n">
        <v>1</v>
      </c>
      <c r="C26" s="10" t="s">
        <v>28</v>
      </c>
      <c r="D26" s="39" t="s">
        <v>68</v>
      </c>
      <c r="E26" s="12" t="n">
        <v>55</v>
      </c>
      <c r="F26" s="40"/>
      <c r="G26" s="18" t="str">
        <f aca="false">IF(AND(ISNUMBER($E26),ISNUMBER($F26),$D26&lt;&gt;"R"),$E26*$F26,"")</f>
        <v/>
      </c>
      <c r="H26" s="10" t="s">
        <v>88</v>
      </c>
    </row>
    <row r="27" customFormat="false" ht="15.75" hidden="false" customHeight="true" outlineLevel="0" collapsed="false">
      <c r="A27" s="38"/>
      <c r="B27" s="11" t="n">
        <v>2</v>
      </c>
      <c r="C27" s="10" t="s">
        <v>28</v>
      </c>
      <c r="D27" s="39" t="s">
        <v>66</v>
      </c>
      <c r="E27" s="12" t="n">
        <v>10</v>
      </c>
      <c r="F27" s="40"/>
      <c r="G27" s="18" t="str">
        <f aca="false">IF(AND(ISNUMBER($E27),ISNUMBER($F27),$D27&lt;&gt;"R"),$E27*$F27,"")</f>
        <v/>
      </c>
      <c r="H27" s="10" t="s">
        <v>89</v>
      </c>
    </row>
    <row r="28" customFormat="false" ht="15.75" hidden="false" customHeight="true" outlineLevel="0" collapsed="false">
      <c r="A28" s="38"/>
      <c r="B28" s="11" t="n">
        <v>2</v>
      </c>
      <c r="C28" s="10" t="s">
        <v>28</v>
      </c>
      <c r="D28" s="39" t="s">
        <v>66</v>
      </c>
      <c r="E28" s="12" t="n">
        <v>20</v>
      </c>
      <c r="F28" s="40"/>
      <c r="G28" s="18" t="str">
        <f aca="false">IF(AND(ISNUMBER($E28),ISNUMBER($F28),$D28&lt;&gt;"R"),$E28*$F28,"")</f>
        <v/>
      </c>
      <c r="H28" s="10" t="s">
        <v>89</v>
      </c>
    </row>
    <row r="29" customFormat="false" ht="15.75" hidden="false" customHeight="true" outlineLevel="0" collapsed="false">
      <c r="A29" s="38"/>
      <c r="B29" s="11" t="n">
        <v>2</v>
      </c>
      <c r="C29" s="10" t="s">
        <v>28</v>
      </c>
      <c r="D29" s="39" t="s">
        <v>67</v>
      </c>
      <c r="E29" s="12" t="n">
        <v>70</v>
      </c>
      <c r="F29" s="40" t="n">
        <v>13</v>
      </c>
      <c r="G29" s="18" t="n">
        <f aca="false">IF(AND(ISNUMBER($E29),ISNUMBER($F29),$D29&lt;&gt;"R"),$E29*$F29,"")</f>
        <v>910</v>
      </c>
      <c r="H29" s="10"/>
    </row>
    <row r="30" customFormat="false" ht="15.75" hidden="false" customHeight="true" outlineLevel="0" collapsed="false">
      <c r="A30" s="38"/>
      <c r="B30" s="11" t="n">
        <v>2</v>
      </c>
      <c r="C30" s="10" t="s">
        <v>28</v>
      </c>
      <c r="D30" s="39" t="s">
        <v>67</v>
      </c>
      <c r="E30" s="12" t="n">
        <v>80</v>
      </c>
      <c r="F30" s="40" t="n">
        <v>9</v>
      </c>
      <c r="G30" s="18" t="n">
        <f aca="false">IF(AND(ISNUMBER($E30),ISNUMBER($F30),$D30&lt;&gt;"R"),$E30*$F30,"")</f>
        <v>720</v>
      </c>
      <c r="H30" s="10"/>
    </row>
    <row r="31" customFormat="false" ht="15.75" hidden="false" customHeight="true" outlineLevel="0" collapsed="false">
      <c r="A31" s="38"/>
      <c r="B31" s="11" t="n">
        <v>2</v>
      </c>
      <c r="C31" s="10" t="s">
        <v>28</v>
      </c>
      <c r="D31" s="39" t="s">
        <v>68</v>
      </c>
      <c r="E31" s="12" t="n">
        <v>60</v>
      </c>
      <c r="F31" s="40" t="n">
        <v>10</v>
      </c>
      <c r="G31" s="18" t="str">
        <f aca="false">IF(AND(ISNUMBER($E31),ISNUMBER($F31),$D31&lt;&gt;"R"),$E31*$F31,"")</f>
        <v/>
      </c>
      <c r="H31" s="10" t="s">
        <v>90</v>
      </c>
    </row>
    <row r="32" customFormat="false" ht="15.75" hidden="false" customHeight="true" outlineLevel="0" collapsed="false">
      <c r="A32" s="38"/>
      <c r="B32" s="11" t="n">
        <v>3</v>
      </c>
      <c r="C32" s="10" t="s">
        <v>28</v>
      </c>
      <c r="D32" s="39" t="s">
        <v>66</v>
      </c>
      <c r="E32" s="12" t="n">
        <v>15</v>
      </c>
      <c r="F32" s="40" t="n">
        <v>6</v>
      </c>
      <c r="G32" s="18" t="n">
        <f aca="false">IF(AND(ISNUMBER($E32),ISNUMBER($F32),$D32&lt;&gt;"R"),$E32*$F32,"")</f>
        <v>90</v>
      </c>
      <c r="H32" s="10"/>
    </row>
    <row r="33" customFormat="false" ht="15.75" hidden="false" customHeight="true" outlineLevel="0" collapsed="false">
      <c r="A33" s="38"/>
      <c r="B33" s="11" t="n">
        <v>3</v>
      </c>
      <c r="C33" s="10" t="s">
        <v>28</v>
      </c>
      <c r="D33" s="39" t="s">
        <v>66</v>
      </c>
      <c r="E33" s="12" t="n">
        <v>25</v>
      </c>
      <c r="F33" s="40" t="n">
        <v>5</v>
      </c>
      <c r="G33" s="18" t="n">
        <f aca="false">IF(AND(ISNUMBER($E33),ISNUMBER($F33),$D33&lt;&gt;"R"),$E33*$F33,"")</f>
        <v>125</v>
      </c>
      <c r="H33" s="10"/>
    </row>
    <row r="34" customFormat="false" ht="15.75" hidden="false" customHeight="true" outlineLevel="0" collapsed="false">
      <c r="A34" s="38"/>
      <c r="B34" s="11" t="n">
        <v>3</v>
      </c>
      <c r="C34" s="10" t="s">
        <v>28</v>
      </c>
      <c r="D34" s="39" t="s">
        <v>67</v>
      </c>
      <c r="E34" s="12" t="n">
        <v>85</v>
      </c>
      <c r="F34" s="40" t="n">
        <v>8</v>
      </c>
      <c r="G34" s="18" t="n">
        <f aca="false">IF(AND(ISNUMBER($E34),ISNUMBER($F34),$D34&lt;&gt;"R"),$E34*$F34,"")</f>
        <v>680</v>
      </c>
      <c r="H34" s="10"/>
    </row>
    <row r="35" customFormat="false" ht="15.75" hidden="false" customHeight="true" outlineLevel="0" collapsed="false">
      <c r="A35" s="38"/>
      <c r="B35" s="11" t="n">
        <v>3</v>
      </c>
      <c r="C35" s="10" t="s">
        <v>28</v>
      </c>
      <c r="D35" s="39" t="s">
        <v>67</v>
      </c>
      <c r="E35" s="12" t="n">
        <v>75</v>
      </c>
      <c r="F35" s="40" t="n">
        <v>10</v>
      </c>
      <c r="G35" s="18" t="n">
        <f aca="false">IF(AND(ISNUMBER($E35),ISNUMBER($F35),$D35&lt;&gt;"R"),$E35*$F35,"")</f>
        <v>750</v>
      </c>
      <c r="H35" s="10"/>
    </row>
    <row r="36" customFormat="false" ht="15.75" hidden="false" customHeight="true" outlineLevel="0" collapsed="false">
      <c r="A36" s="38"/>
      <c r="B36" s="11" t="n">
        <v>3</v>
      </c>
      <c r="C36" s="10" t="s">
        <v>28</v>
      </c>
      <c r="D36" s="39" t="s">
        <v>68</v>
      </c>
      <c r="E36" s="12" t="n">
        <v>65</v>
      </c>
      <c r="F36" s="40" t="n">
        <v>10</v>
      </c>
      <c r="G36" s="18" t="str">
        <f aca="false">IF(AND(ISNUMBER($E36),ISNUMBER($F36),$D36&lt;&gt;"R"),$E36*$F36,"")</f>
        <v/>
      </c>
      <c r="H36" s="10" t="s">
        <v>91</v>
      </c>
    </row>
    <row r="37" customFormat="false" ht="15.75" hidden="false" customHeight="true" outlineLevel="0" collapsed="false">
      <c r="A37" s="38"/>
      <c r="B37" s="11" t="n">
        <v>4</v>
      </c>
      <c r="C37" s="10" t="s">
        <v>28</v>
      </c>
      <c r="D37" s="39" t="s">
        <v>66</v>
      </c>
      <c r="E37" s="12" t="n">
        <v>15</v>
      </c>
      <c r="F37" s="40" t="n">
        <v>10</v>
      </c>
      <c r="G37" s="18" t="n">
        <f aca="false">IF(AND(ISNUMBER($E37),ISNUMBER($F37),$D37&lt;&gt;"R"),$E37*$F37,"")</f>
        <v>150</v>
      </c>
      <c r="H37" s="10"/>
    </row>
    <row r="38" customFormat="false" ht="15.75" hidden="false" customHeight="true" outlineLevel="0" collapsed="false">
      <c r="A38" s="38"/>
      <c r="B38" s="11" t="n">
        <v>4</v>
      </c>
      <c r="C38" s="10" t="s">
        <v>28</v>
      </c>
      <c r="D38" s="39" t="s">
        <v>66</v>
      </c>
      <c r="E38" s="12" t="n">
        <v>30</v>
      </c>
      <c r="F38" s="40" t="n">
        <v>5</v>
      </c>
      <c r="G38" s="18" t="n">
        <f aca="false">IF(AND(ISNUMBER($E38),ISNUMBER($F38),$D38&lt;&gt;"R"),$E38*$F38,"")</f>
        <v>150</v>
      </c>
      <c r="H38" s="10"/>
    </row>
    <row r="39" customFormat="false" ht="15.75" hidden="false" customHeight="true" outlineLevel="0" collapsed="false">
      <c r="A39" s="38"/>
      <c r="B39" s="11" t="n">
        <v>4</v>
      </c>
      <c r="C39" s="10" t="s">
        <v>28</v>
      </c>
      <c r="D39" s="39" t="s">
        <v>67</v>
      </c>
      <c r="E39" s="12" t="n">
        <v>80</v>
      </c>
      <c r="F39" s="40" t="n">
        <v>12</v>
      </c>
      <c r="G39" s="18" t="n">
        <f aca="false">IF(AND(ISNUMBER($E39),ISNUMBER($F39),$D39&lt;&gt;"R"),$E39*$F39,"")</f>
        <v>960</v>
      </c>
      <c r="H39" s="10"/>
    </row>
    <row r="40" customFormat="false" ht="15.75" hidden="false" customHeight="true" outlineLevel="0" collapsed="false">
      <c r="A40" s="38"/>
      <c r="B40" s="11" t="n">
        <v>4</v>
      </c>
      <c r="C40" s="10" t="s">
        <v>28</v>
      </c>
      <c r="D40" s="39" t="s">
        <v>67</v>
      </c>
      <c r="E40" s="12" t="n">
        <v>80</v>
      </c>
      <c r="F40" s="40" t="n">
        <v>8</v>
      </c>
      <c r="G40" s="18" t="n">
        <f aca="false">IF(AND(ISNUMBER($E40),ISNUMBER($F40),$D40&lt;&gt;"R"),$E40*$F40,"")</f>
        <v>640</v>
      </c>
      <c r="H40" s="10"/>
    </row>
    <row r="41" customFormat="false" ht="15.75" hidden="false" customHeight="true" outlineLevel="0" collapsed="false">
      <c r="A41" s="38"/>
      <c r="B41" s="11" t="n">
        <v>4</v>
      </c>
      <c r="C41" s="10" t="s">
        <v>28</v>
      </c>
      <c r="D41" s="39" t="s">
        <v>68</v>
      </c>
      <c r="E41" s="12" t="n">
        <v>70</v>
      </c>
      <c r="F41" s="40" t="n">
        <v>6</v>
      </c>
      <c r="G41" s="18" t="str">
        <f aca="false">IF(AND(ISNUMBER($E41),ISNUMBER($F41),$D41&lt;&gt;"R"),$E41*$F41,"")</f>
        <v/>
      </c>
      <c r="H41" s="10" t="s">
        <v>92</v>
      </c>
    </row>
    <row r="42" customFormat="false" ht="15.75" hidden="false" customHeight="true" outlineLevel="0" collapsed="false">
      <c r="A42" s="38"/>
      <c r="B42" s="11" t="n">
        <v>1</v>
      </c>
      <c r="C42" s="10" t="s">
        <v>26</v>
      </c>
      <c r="D42" s="39" t="s">
        <v>66</v>
      </c>
      <c r="E42" s="12" t="n">
        <v>20</v>
      </c>
      <c r="F42" s="40" t="n">
        <v>5</v>
      </c>
      <c r="G42" s="18" t="n">
        <f aca="false">IF(AND(ISNUMBER($E42),ISNUMBER($F42),$D42&lt;&gt;"R"),$E42*$F42,"")</f>
        <v>100</v>
      </c>
      <c r="H42" s="10"/>
    </row>
    <row r="43" customFormat="false" ht="15.75" hidden="false" customHeight="true" outlineLevel="0" collapsed="false">
      <c r="A43" s="38"/>
      <c r="B43" s="11" t="n">
        <v>1</v>
      </c>
      <c r="C43" s="10" t="s">
        <v>26</v>
      </c>
      <c r="D43" s="39" t="s">
        <v>66</v>
      </c>
      <c r="E43" s="12" t="n">
        <v>40</v>
      </c>
      <c r="F43" s="40" t="n">
        <v>5</v>
      </c>
      <c r="G43" s="18" t="n">
        <f aca="false">IF(AND(ISNUMBER($E43),ISNUMBER($F43),$D43&lt;&gt;"R"),$E43*$F43,"")</f>
        <v>200</v>
      </c>
      <c r="H43" s="10"/>
    </row>
    <row r="44" customFormat="false" ht="15.75" hidden="false" customHeight="true" outlineLevel="0" collapsed="false">
      <c r="A44" s="38"/>
      <c r="B44" s="11" t="n">
        <v>1</v>
      </c>
      <c r="C44" s="10" t="s">
        <v>26</v>
      </c>
      <c r="D44" s="39" t="s">
        <v>67</v>
      </c>
      <c r="E44" s="12" t="n">
        <v>80</v>
      </c>
      <c r="F44" s="40" t="n">
        <v>6</v>
      </c>
      <c r="G44" s="18" t="n">
        <f aca="false">IF(AND(ISNUMBER($E44),ISNUMBER($F44),$D44&lt;&gt;"R"),$E44*$F44,"")</f>
        <v>480</v>
      </c>
      <c r="H44" s="10"/>
    </row>
    <row r="45" customFormat="false" ht="15.75" hidden="false" customHeight="true" outlineLevel="0" collapsed="false">
      <c r="A45" s="38"/>
      <c r="B45" s="11" t="n">
        <v>1</v>
      </c>
      <c r="C45" s="10" t="s">
        <v>26</v>
      </c>
      <c r="D45" s="39" t="s">
        <v>67</v>
      </c>
      <c r="E45" s="12" t="n">
        <v>90</v>
      </c>
      <c r="F45" s="40" t="n">
        <v>7</v>
      </c>
      <c r="G45" s="18" t="n">
        <f aca="false">IF(AND(ISNUMBER($E45),ISNUMBER($F45),$D45&lt;&gt;"R"),$E45*$F45,"")</f>
        <v>630</v>
      </c>
      <c r="H45" s="10"/>
    </row>
    <row r="46" customFormat="false" ht="15.75" hidden="false" customHeight="true" outlineLevel="0" collapsed="false">
      <c r="A46" s="38"/>
      <c r="B46" s="11" t="n">
        <v>1</v>
      </c>
      <c r="C46" s="10" t="s">
        <v>26</v>
      </c>
      <c r="D46" s="39" t="s">
        <v>67</v>
      </c>
      <c r="E46" s="12" t="n">
        <v>100</v>
      </c>
      <c r="F46" s="40" t="n">
        <v>5</v>
      </c>
      <c r="G46" s="18" t="n">
        <f aca="false">IF(AND(ISNUMBER($E46),ISNUMBER($F46),$D46&lt;&gt;"R"),$E46*$F46,"")</f>
        <v>500</v>
      </c>
      <c r="H46" s="10"/>
    </row>
    <row r="47" customFormat="false" ht="15.75" hidden="false" customHeight="true" outlineLevel="0" collapsed="false">
      <c r="A47" s="38"/>
      <c r="B47" s="11" t="n">
        <v>2</v>
      </c>
      <c r="C47" s="10" t="s">
        <v>26</v>
      </c>
      <c r="D47" s="39" t="s">
        <v>66</v>
      </c>
      <c r="E47" s="12" t="n">
        <v>30</v>
      </c>
      <c r="F47" s="40" t="n">
        <v>5</v>
      </c>
      <c r="G47" s="18" t="n">
        <f aca="false">IF(AND(ISNUMBER($E47),ISNUMBER($F47),$D47&lt;&gt;"R"),$E47*$F47,"")</f>
        <v>150</v>
      </c>
      <c r="H47" s="10"/>
    </row>
    <row r="48" customFormat="false" ht="15.75" hidden="false" customHeight="true" outlineLevel="0" collapsed="false">
      <c r="A48" s="38"/>
      <c r="B48" s="11" t="n">
        <v>2</v>
      </c>
      <c r="C48" s="10" t="s">
        <v>26</v>
      </c>
      <c r="D48" s="39" t="s">
        <v>66</v>
      </c>
      <c r="E48" s="12" t="n">
        <v>50</v>
      </c>
      <c r="F48" s="40" t="n">
        <v>3</v>
      </c>
      <c r="G48" s="18" t="n">
        <f aca="false">IF(AND(ISNUMBER($E48),ISNUMBER($F48),$D48&lt;&gt;"R"),$E48*$F48,"")</f>
        <v>150</v>
      </c>
      <c r="H48" s="10"/>
    </row>
    <row r="49" customFormat="false" ht="15.75" hidden="false" customHeight="true" outlineLevel="0" collapsed="false">
      <c r="A49" s="38"/>
      <c r="B49" s="11" t="n">
        <v>2</v>
      </c>
      <c r="C49" s="10" t="s">
        <v>26</v>
      </c>
      <c r="D49" s="39" t="s">
        <v>67</v>
      </c>
      <c r="E49" s="12" t="n">
        <v>85</v>
      </c>
      <c r="F49" s="40" t="n">
        <v>8</v>
      </c>
      <c r="G49" s="18" t="n">
        <f aca="false">IF(AND(ISNUMBER($E49),ISNUMBER($F49),$D49&lt;&gt;"R"),$E49*$F49,"")</f>
        <v>680</v>
      </c>
      <c r="H49" s="10"/>
    </row>
    <row r="50" customFormat="false" ht="15.75" hidden="false" customHeight="true" outlineLevel="0" collapsed="false">
      <c r="A50" s="38"/>
      <c r="B50" s="11" t="n">
        <v>2</v>
      </c>
      <c r="C50" s="10" t="s">
        <v>26</v>
      </c>
      <c r="D50" s="39" t="s">
        <v>67</v>
      </c>
      <c r="E50" s="12" t="n">
        <v>95</v>
      </c>
      <c r="F50" s="40" t="n">
        <v>5</v>
      </c>
      <c r="G50" s="18" t="n">
        <f aca="false">IF(AND(ISNUMBER($E50),ISNUMBER($F50),$D50&lt;&gt;"R"),$E50*$F50,"")</f>
        <v>475</v>
      </c>
      <c r="H50" s="10"/>
    </row>
    <row r="51" customFormat="false" ht="15.75" hidden="false" customHeight="true" outlineLevel="0" collapsed="false">
      <c r="A51" s="38"/>
      <c r="B51" s="11" t="n">
        <v>2</v>
      </c>
      <c r="C51" s="10" t="s">
        <v>26</v>
      </c>
      <c r="D51" s="39" t="s">
        <v>67</v>
      </c>
      <c r="E51" s="12" t="n">
        <v>105</v>
      </c>
      <c r="F51" s="40" t="n">
        <v>4</v>
      </c>
      <c r="G51" s="18" t="n">
        <f aca="false">IF(AND(ISNUMBER($E51),ISNUMBER($F51),$D51&lt;&gt;"R"),$E51*$F51,"")</f>
        <v>420</v>
      </c>
      <c r="H51" s="10"/>
    </row>
    <row r="52" customFormat="false" ht="15.75" hidden="false" customHeight="true" outlineLevel="0" collapsed="false">
      <c r="A52" s="38"/>
      <c r="B52" s="11" t="n">
        <v>3</v>
      </c>
      <c r="C52" s="10" t="s">
        <v>26</v>
      </c>
      <c r="D52" s="39" t="s">
        <v>66</v>
      </c>
      <c r="E52" s="12" t="n">
        <v>40</v>
      </c>
      <c r="F52" s="40" t="n">
        <v>5</v>
      </c>
      <c r="G52" s="18" t="n">
        <f aca="false">IF(AND(ISNUMBER($E52),ISNUMBER($F52),$D52&lt;&gt;"R"),$E52*$F52,"")</f>
        <v>200</v>
      </c>
      <c r="H52" s="10"/>
    </row>
    <row r="53" customFormat="false" ht="15.75" hidden="false" customHeight="true" outlineLevel="0" collapsed="false">
      <c r="A53" s="38"/>
      <c r="B53" s="11" t="n">
        <v>3</v>
      </c>
      <c r="C53" s="10" t="s">
        <v>26</v>
      </c>
      <c r="D53" s="39" t="s">
        <v>66</v>
      </c>
      <c r="E53" s="12" t="n">
        <v>60</v>
      </c>
      <c r="F53" s="40" t="n">
        <v>3</v>
      </c>
      <c r="G53" s="18" t="n">
        <f aca="false">IF(AND(ISNUMBER($E53),ISNUMBER($F53),$D53&lt;&gt;"R"),$E53*$F53,"")</f>
        <v>180</v>
      </c>
      <c r="H53" s="10"/>
    </row>
    <row r="54" customFormat="false" ht="15.75" hidden="false" customHeight="true" outlineLevel="0" collapsed="false">
      <c r="A54" s="38"/>
      <c r="B54" s="11" t="n">
        <v>3</v>
      </c>
      <c r="C54" s="10" t="s">
        <v>26</v>
      </c>
      <c r="D54" s="39" t="s">
        <v>67</v>
      </c>
      <c r="E54" s="12" t="n">
        <v>100</v>
      </c>
      <c r="F54" s="40" t="n">
        <v>7</v>
      </c>
      <c r="G54" s="18" t="n">
        <f aca="false">IF(AND(ISNUMBER($E54),ISNUMBER($F54),$D54&lt;&gt;"R"),$E54*$F54,"")</f>
        <v>700</v>
      </c>
      <c r="H54" s="10"/>
    </row>
    <row r="55" customFormat="false" ht="15.75" hidden="false" customHeight="true" outlineLevel="0" collapsed="false">
      <c r="A55" s="38"/>
      <c r="B55" s="11" t="n">
        <v>3</v>
      </c>
      <c r="C55" s="10" t="s">
        <v>26</v>
      </c>
      <c r="D55" s="39" t="s">
        <v>67</v>
      </c>
      <c r="E55" s="12" t="n">
        <v>95</v>
      </c>
      <c r="F55" s="40" t="n">
        <v>9</v>
      </c>
      <c r="G55" s="18" t="n">
        <f aca="false">IF(AND(ISNUMBER($E55),ISNUMBER($F55),$D55&lt;&gt;"R"),$E55*$F55,"")</f>
        <v>855</v>
      </c>
      <c r="H55" s="10"/>
    </row>
    <row r="56" customFormat="false" ht="15.75" hidden="false" customHeight="true" outlineLevel="0" collapsed="false">
      <c r="A56" s="38"/>
      <c r="B56" s="11" t="n">
        <v>3</v>
      </c>
      <c r="C56" s="10" t="s">
        <v>26</v>
      </c>
      <c r="D56" s="39" t="s">
        <v>67</v>
      </c>
      <c r="E56" s="12" t="n">
        <v>90</v>
      </c>
      <c r="F56" s="40" t="n">
        <v>8</v>
      </c>
      <c r="G56" s="18" t="n">
        <f aca="false">IF(AND(ISNUMBER($E56),ISNUMBER($F56),$D56&lt;&gt;"R"),$E56*$F56,"")</f>
        <v>720</v>
      </c>
      <c r="H56" s="10"/>
    </row>
    <row r="57" customFormat="false" ht="15.75" hidden="false" customHeight="true" outlineLevel="0" collapsed="false">
      <c r="A57" s="38"/>
      <c r="B57" s="11" t="n">
        <v>4</v>
      </c>
      <c r="C57" s="10" t="s">
        <v>26</v>
      </c>
      <c r="D57" s="39" t="s">
        <v>66</v>
      </c>
      <c r="E57" s="12" t="n">
        <v>40</v>
      </c>
      <c r="F57" s="40" t="n">
        <v>6</v>
      </c>
      <c r="G57" s="18" t="n">
        <f aca="false">IF(AND(ISNUMBER($E57),ISNUMBER($F57),$D57&lt;&gt;"R"),$E57*$F57,"")</f>
        <v>240</v>
      </c>
      <c r="H57" s="10"/>
    </row>
    <row r="58" customFormat="false" ht="15.75" hidden="false" customHeight="true" outlineLevel="0" collapsed="false">
      <c r="A58" s="38"/>
      <c r="B58" s="11" t="n">
        <v>4</v>
      </c>
      <c r="C58" s="10" t="s">
        <v>26</v>
      </c>
      <c r="D58" s="39" t="s">
        <v>66</v>
      </c>
      <c r="E58" s="12" t="n">
        <v>70</v>
      </c>
      <c r="F58" s="40" t="n">
        <v>3</v>
      </c>
      <c r="G58" s="18" t="n">
        <f aca="false">IF(AND(ISNUMBER($E58),ISNUMBER($F58),$D58&lt;&gt;"R"),$E58*$F58,"")</f>
        <v>210</v>
      </c>
      <c r="H58" s="10"/>
    </row>
    <row r="59" customFormat="false" ht="15.75" hidden="false" customHeight="true" outlineLevel="0" collapsed="false">
      <c r="A59" s="38"/>
      <c r="B59" s="11" t="n">
        <v>4</v>
      </c>
      <c r="C59" s="10" t="s">
        <v>26</v>
      </c>
      <c r="D59" s="39" t="s">
        <v>67</v>
      </c>
      <c r="E59" s="12" t="n">
        <v>80</v>
      </c>
      <c r="F59" s="40" t="n">
        <v>8</v>
      </c>
      <c r="G59" s="18" t="n">
        <f aca="false">IF(AND(ISNUMBER($E59),ISNUMBER($F59),$D59&lt;&gt;"R"),$E59*$F59,"")</f>
        <v>640</v>
      </c>
      <c r="H59" s="10"/>
    </row>
    <row r="60" customFormat="false" ht="15.75" hidden="false" customHeight="true" outlineLevel="0" collapsed="false">
      <c r="A60" s="38"/>
      <c r="B60" s="11" t="n">
        <v>4</v>
      </c>
      <c r="C60" s="10" t="s">
        <v>26</v>
      </c>
      <c r="D60" s="39" t="s">
        <v>67</v>
      </c>
      <c r="E60" s="12" t="n">
        <v>60</v>
      </c>
      <c r="F60" s="40" t="n">
        <v>10</v>
      </c>
      <c r="G60" s="18" t="n">
        <f aca="false">IF(AND(ISNUMBER($E60),ISNUMBER($F60),$D60&lt;&gt;"R"),$E60*$F60,"")</f>
        <v>600</v>
      </c>
      <c r="H60" s="10"/>
    </row>
    <row r="61" customFormat="false" ht="15.75" hidden="false" customHeight="true" outlineLevel="0" collapsed="false">
      <c r="A61" s="38"/>
      <c r="B61" s="11" t="n">
        <v>4</v>
      </c>
      <c r="C61" s="10" t="s">
        <v>26</v>
      </c>
      <c r="D61" s="39" t="s">
        <v>67</v>
      </c>
      <c r="E61" s="12" t="n">
        <v>50</v>
      </c>
      <c r="F61" s="40" t="n">
        <v>8</v>
      </c>
      <c r="G61" s="18" t="n">
        <f aca="false">IF(AND(ISNUMBER($E61),ISNUMBER($F61),$D61&lt;&gt;"R"),$E61*$F61,"")</f>
        <v>400</v>
      </c>
      <c r="H61" s="10"/>
    </row>
    <row r="62" customFormat="false" ht="15.75" hidden="false" customHeight="true" outlineLevel="0" collapsed="false">
      <c r="A62" s="38"/>
      <c r="B62" s="11" t="n">
        <v>1</v>
      </c>
      <c r="C62" s="10" t="s">
        <v>44</v>
      </c>
      <c r="D62" s="39" t="s">
        <v>67</v>
      </c>
      <c r="E62" s="12" t="n">
        <v>10</v>
      </c>
      <c r="F62" s="40"/>
      <c r="G62" s="18" t="str">
        <f aca="false">IF(AND(ISNUMBER($E62),ISNUMBER($F62),$D62&lt;&gt;"R"),$E62*$F62,"")</f>
        <v/>
      </c>
      <c r="H62" s="10" t="s">
        <v>93</v>
      </c>
    </row>
    <row r="63" customFormat="false" ht="15.75" hidden="false" customHeight="true" outlineLevel="0" collapsed="false">
      <c r="A63" s="38"/>
      <c r="B63" s="11" t="n">
        <v>2</v>
      </c>
      <c r="C63" s="10" t="s">
        <v>44</v>
      </c>
      <c r="D63" s="39" t="s">
        <v>67</v>
      </c>
      <c r="E63" s="12" t="n">
        <v>16</v>
      </c>
      <c r="F63" s="40"/>
      <c r="G63" s="18" t="str">
        <f aca="false">IF(AND(ISNUMBER($E63),ISNUMBER($F63),$D63&lt;&gt;"R"),$E63*$F63,"")</f>
        <v/>
      </c>
      <c r="H63" s="10" t="s">
        <v>93</v>
      </c>
    </row>
    <row r="64" customFormat="false" ht="15.75" hidden="false" customHeight="true" outlineLevel="0" collapsed="false">
      <c r="A64" s="38"/>
      <c r="B64" s="11" t="n">
        <v>3</v>
      </c>
      <c r="C64" s="10" t="s">
        <v>44</v>
      </c>
      <c r="D64" s="39" t="s">
        <v>67</v>
      </c>
      <c r="E64" s="12" t="n">
        <v>18</v>
      </c>
      <c r="F64" s="40"/>
      <c r="G64" s="18" t="str">
        <f aca="false">IF(AND(ISNUMBER($E64),ISNUMBER($F64),$D64&lt;&gt;"R"),$E64*$F64,"")</f>
        <v/>
      </c>
      <c r="H64" s="10" t="s">
        <v>93</v>
      </c>
    </row>
    <row r="65" customFormat="false" ht="15.75" hidden="false" customHeight="true" outlineLevel="0" collapsed="false">
      <c r="A65" s="38"/>
      <c r="B65" s="11" t="n">
        <v>1</v>
      </c>
      <c r="C65" s="10" t="s">
        <v>47</v>
      </c>
      <c r="D65" s="39" t="s">
        <v>66</v>
      </c>
      <c r="E65" s="12" t="n">
        <v>35</v>
      </c>
      <c r="F65" s="40"/>
      <c r="G65" s="18" t="str">
        <f aca="false">IF(AND(ISNUMBER($E65),ISNUMBER($F65),$D65&lt;&gt;"R"),$E65*$F65,"")</f>
        <v/>
      </c>
      <c r="H65" s="10" t="s">
        <v>93</v>
      </c>
    </row>
    <row r="66" customFormat="false" ht="15.75" hidden="false" customHeight="true" outlineLevel="0" collapsed="false">
      <c r="A66" s="38"/>
      <c r="B66" s="11" t="n">
        <v>1</v>
      </c>
      <c r="C66" s="10" t="s">
        <v>47</v>
      </c>
      <c r="D66" s="39" t="s">
        <v>66</v>
      </c>
      <c r="E66" s="12" t="n">
        <v>49</v>
      </c>
      <c r="F66" s="40"/>
      <c r="G66" s="18" t="str">
        <f aca="false">IF(AND(ISNUMBER($E66),ISNUMBER($F66),$D66&lt;&gt;"R"),$E66*$F66,"")</f>
        <v/>
      </c>
      <c r="H66" s="10" t="s">
        <v>93</v>
      </c>
    </row>
    <row r="67" customFormat="false" ht="15.75" hidden="false" customHeight="true" outlineLevel="0" collapsed="false">
      <c r="A67" s="38"/>
      <c r="B67" s="11" t="n">
        <v>1</v>
      </c>
      <c r="C67" s="10" t="s">
        <v>47</v>
      </c>
      <c r="D67" s="39" t="s">
        <v>67</v>
      </c>
      <c r="E67" s="12" t="n">
        <v>70</v>
      </c>
      <c r="F67" s="40" t="n">
        <v>15</v>
      </c>
      <c r="G67" s="18" t="n">
        <f aca="false">IF(AND(ISNUMBER($E67),ISNUMBER($F67),$D67&lt;&gt;"R"),$E67*$F67,"")</f>
        <v>1050</v>
      </c>
      <c r="H67" s="10"/>
    </row>
    <row r="68" customFormat="false" ht="15.75" hidden="false" customHeight="true" outlineLevel="0" collapsed="false">
      <c r="A68" s="38"/>
      <c r="B68" s="11" t="n">
        <v>1</v>
      </c>
      <c r="C68" s="10" t="s">
        <v>47</v>
      </c>
      <c r="D68" s="39" t="s">
        <v>67</v>
      </c>
      <c r="E68" s="12" t="n">
        <v>77</v>
      </c>
      <c r="F68" s="40" t="n">
        <v>12</v>
      </c>
      <c r="G68" s="18" t="n">
        <f aca="false">IF(AND(ISNUMBER($E68),ISNUMBER($F68),$D68&lt;&gt;"R"),$E68*$F68,"")</f>
        <v>924</v>
      </c>
      <c r="H68" s="10"/>
    </row>
    <row r="69" customFormat="false" ht="15.75" hidden="false" customHeight="true" outlineLevel="0" collapsed="false">
      <c r="A69" s="38"/>
      <c r="B69" s="11" t="n">
        <v>2</v>
      </c>
      <c r="C69" s="10" t="s">
        <v>47</v>
      </c>
      <c r="D69" s="39" t="s">
        <v>66</v>
      </c>
      <c r="E69" s="12" t="n">
        <v>30</v>
      </c>
      <c r="F69" s="40"/>
      <c r="G69" s="18" t="str">
        <f aca="false">IF(AND(ISNUMBER($E69),ISNUMBER($F69),$D69&lt;&gt;"R"),$E69*$F69,"")</f>
        <v/>
      </c>
      <c r="H69" s="10" t="s">
        <v>93</v>
      </c>
    </row>
    <row r="70" customFormat="false" ht="15.75" hidden="false" customHeight="true" outlineLevel="0" collapsed="false">
      <c r="A70" s="38"/>
      <c r="B70" s="11" t="n">
        <v>2</v>
      </c>
      <c r="C70" s="10" t="s">
        <v>47</v>
      </c>
      <c r="D70" s="39" t="s">
        <v>66</v>
      </c>
      <c r="E70" s="12" t="n">
        <v>42</v>
      </c>
      <c r="F70" s="40"/>
      <c r="G70" s="18" t="str">
        <f aca="false">IF(AND(ISNUMBER($E70),ISNUMBER($F70),$D70&lt;&gt;"R"),$E70*$F70,"")</f>
        <v/>
      </c>
      <c r="H70" s="10" t="s">
        <v>93</v>
      </c>
    </row>
    <row r="71" customFormat="false" ht="15.75" hidden="false" customHeight="true" outlineLevel="0" collapsed="false">
      <c r="A71" s="38"/>
      <c r="B71" s="11" t="n">
        <v>2</v>
      </c>
      <c r="C71" s="10" t="s">
        <v>47</v>
      </c>
      <c r="D71" s="39" t="s">
        <v>67</v>
      </c>
      <c r="E71" s="12" t="n">
        <v>77</v>
      </c>
      <c r="F71" s="40" t="n">
        <v>10</v>
      </c>
      <c r="G71" s="18" t="n">
        <f aca="false">IF(AND(ISNUMBER($E71),ISNUMBER($F71),$D71&lt;&gt;"R"),$E71*$F71,"")</f>
        <v>770</v>
      </c>
      <c r="H71" s="10"/>
    </row>
    <row r="72" customFormat="false" ht="15.75" hidden="false" customHeight="true" outlineLevel="0" collapsed="false">
      <c r="A72" s="38"/>
      <c r="B72" s="11" t="n">
        <v>2</v>
      </c>
      <c r="C72" s="10" t="s">
        <v>47</v>
      </c>
      <c r="D72" s="39" t="s">
        <v>67</v>
      </c>
      <c r="E72" s="12" t="n">
        <v>84</v>
      </c>
      <c r="F72" s="40" t="n">
        <v>6</v>
      </c>
      <c r="G72" s="18" t="n">
        <f aca="false">IF(AND(ISNUMBER($E72),ISNUMBER($F72),$D72&lt;&gt;"R"),$E72*$F72,"")</f>
        <v>504</v>
      </c>
      <c r="H72" s="10"/>
    </row>
    <row r="73" customFormat="false" ht="15.75" hidden="false" customHeight="true" outlineLevel="0" collapsed="false">
      <c r="A73" s="38"/>
      <c r="B73" s="11" t="n">
        <v>3</v>
      </c>
      <c r="C73" s="10" t="s">
        <v>47</v>
      </c>
      <c r="D73" s="39" t="s">
        <v>66</v>
      </c>
      <c r="E73" s="12" t="n">
        <v>20</v>
      </c>
      <c r="F73" s="40"/>
      <c r="G73" s="18" t="str">
        <f aca="false">IF(AND(ISNUMBER($E73),ISNUMBER($F73),$D73&lt;&gt;"R"),$E73*$F73,"")</f>
        <v/>
      </c>
      <c r="H73" s="10" t="s">
        <v>93</v>
      </c>
    </row>
    <row r="74" customFormat="false" ht="15.75" hidden="false" customHeight="true" outlineLevel="0" collapsed="false">
      <c r="A74" s="38"/>
      <c r="B74" s="11" t="n">
        <v>3</v>
      </c>
      <c r="C74" s="10" t="s">
        <v>47</v>
      </c>
      <c r="D74" s="39" t="s">
        <v>66</v>
      </c>
      <c r="E74" s="12" t="n">
        <v>30</v>
      </c>
      <c r="F74" s="40"/>
      <c r="G74" s="18" t="str">
        <f aca="false">IF(AND(ISNUMBER($E74),ISNUMBER($F74),$D74&lt;&gt;"R"),$E74*$F74,"")</f>
        <v/>
      </c>
      <c r="H74" s="10" t="s">
        <v>93</v>
      </c>
    </row>
    <row r="75" customFormat="false" ht="15.75" hidden="false" customHeight="true" outlineLevel="0" collapsed="false">
      <c r="A75" s="38"/>
      <c r="B75" s="11" t="n">
        <v>3</v>
      </c>
      <c r="C75" s="10" t="s">
        <v>47</v>
      </c>
      <c r="D75" s="39" t="s">
        <v>67</v>
      </c>
      <c r="E75" s="12" t="n">
        <v>77</v>
      </c>
      <c r="F75" s="40" t="n">
        <v>14</v>
      </c>
      <c r="G75" s="18" t="n">
        <f aca="false">IF(AND(ISNUMBER($E75),ISNUMBER($F75),$D75&lt;&gt;"R"),$E75*$F75,"")</f>
        <v>1078</v>
      </c>
      <c r="H75" s="10"/>
    </row>
    <row r="76" customFormat="false" ht="15.75" hidden="false" customHeight="true" outlineLevel="0" collapsed="false">
      <c r="A76" s="38"/>
      <c r="B76" s="11" t="n">
        <v>3</v>
      </c>
      <c r="C76" s="10" t="s">
        <v>47</v>
      </c>
      <c r="D76" s="39" t="s">
        <v>67</v>
      </c>
      <c r="E76" s="12" t="n">
        <v>84</v>
      </c>
      <c r="F76" s="40" t="n">
        <v>12</v>
      </c>
      <c r="G76" s="18" t="n">
        <f aca="false">IF(AND(ISNUMBER($E76),ISNUMBER($F76),$D76&lt;&gt;"R"),$E76*$F76,"")</f>
        <v>1008</v>
      </c>
      <c r="H76" s="10"/>
    </row>
    <row r="77" customFormat="false" ht="15.75" hidden="false" customHeight="true" outlineLevel="0" collapsed="false">
      <c r="A77" s="38"/>
      <c r="B77" s="11" t="n">
        <v>4</v>
      </c>
      <c r="C77" s="10" t="s">
        <v>47</v>
      </c>
      <c r="D77" s="39" t="s">
        <v>66</v>
      </c>
      <c r="E77" s="12" t="n">
        <v>25</v>
      </c>
      <c r="F77" s="40"/>
      <c r="G77" s="18" t="str">
        <f aca="false">IF(AND(ISNUMBER($E77),ISNUMBER($F77),$D77&lt;&gt;"R"),$E77*$F77,"")</f>
        <v/>
      </c>
      <c r="H77" s="10" t="s">
        <v>93</v>
      </c>
    </row>
    <row r="78" customFormat="false" ht="15.75" hidden="false" customHeight="true" outlineLevel="0" collapsed="false">
      <c r="A78" s="38"/>
      <c r="B78" s="11" t="n">
        <v>4</v>
      </c>
      <c r="C78" s="10" t="s">
        <v>47</v>
      </c>
      <c r="D78" s="39" t="s">
        <v>66</v>
      </c>
      <c r="E78" s="12" t="n">
        <v>35</v>
      </c>
      <c r="F78" s="40"/>
      <c r="G78" s="18" t="str">
        <f aca="false">IF(AND(ISNUMBER($E78),ISNUMBER($F78),$D78&lt;&gt;"R"),$E78*$F78,"")</f>
        <v/>
      </c>
      <c r="H78" s="10" t="s">
        <v>93</v>
      </c>
    </row>
    <row r="79" customFormat="false" ht="15.75" hidden="false" customHeight="true" outlineLevel="0" collapsed="false">
      <c r="A79" s="38"/>
      <c r="B79" s="11" t="n">
        <v>4</v>
      </c>
      <c r="C79" s="10" t="s">
        <v>47</v>
      </c>
      <c r="D79" s="39" t="s">
        <v>67</v>
      </c>
      <c r="E79" s="12" t="n">
        <v>63</v>
      </c>
      <c r="F79" s="40" t="n">
        <v>15</v>
      </c>
      <c r="G79" s="18" t="n">
        <f aca="false">IF(AND(ISNUMBER($E79),ISNUMBER($F79),$D79&lt;&gt;"R"),$E79*$F79,"")</f>
        <v>945</v>
      </c>
      <c r="H79" s="10"/>
    </row>
    <row r="80" customFormat="false" ht="15.75" hidden="false" customHeight="true" outlineLevel="0" collapsed="false">
      <c r="A80" s="38"/>
      <c r="B80" s="11" t="n">
        <v>4</v>
      </c>
      <c r="C80" s="10" t="s">
        <v>47</v>
      </c>
      <c r="D80" s="39" t="s">
        <v>67</v>
      </c>
      <c r="E80" s="12" t="n">
        <v>56</v>
      </c>
      <c r="F80" s="40" t="n">
        <v>15</v>
      </c>
      <c r="G80" s="18" t="n">
        <f aca="false">IF(AND(ISNUMBER($E80),ISNUMBER($F80),$D80&lt;&gt;"R"),$E80*$F80,"")</f>
        <v>840</v>
      </c>
      <c r="H80" s="10"/>
    </row>
    <row r="81" customFormat="false" ht="15.75" hidden="false" customHeight="true" outlineLevel="0" collapsed="false">
      <c r="A81" s="38"/>
      <c r="B81" s="11" t="n">
        <v>1</v>
      </c>
      <c r="C81" s="10" t="s">
        <v>39</v>
      </c>
      <c r="D81" s="39" t="s">
        <v>66</v>
      </c>
      <c r="E81" s="12" t="n">
        <v>15</v>
      </c>
      <c r="F81" s="40" t="n">
        <v>8</v>
      </c>
      <c r="G81" s="18" t="n">
        <f aca="false">IF(AND(ISNUMBER($E81),ISNUMBER($F81),$D81&lt;&gt;"R"),$E81*$F81,"")</f>
        <v>120</v>
      </c>
      <c r="H81" s="10"/>
    </row>
    <row r="82" customFormat="false" ht="15.75" hidden="false" customHeight="true" outlineLevel="0" collapsed="false">
      <c r="A82" s="38"/>
      <c r="B82" s="11" t="n">
        <v>1</v>
      </c>
      <c r="C82" s="10" t="s">
        <v>39</v>
      </c>
      <c r="D82" s="39" t="s">
        <v>67</v>
      </c>
      <c r="E82" s="12" t="n">
        <v>49</v>
      </c>
      <c r="F82" s="40" t="n">
        <v>12</v>
      </c>
      <c r="G82" s="18" t="n">
        <f aca="false">IF(AND(ISNUMBER($E82),ISNUMBER($F82),$D82&lt;&gt;"R"),$E82*$F82,"")</f>
        <v>588</v>
      </c>
      <c r="H82" s="10"/>
    </row>
    <row r="83" customFormat="false" ht="15.75" hidden="false" customHeight="true" outlineLevel="0" collapsed="false">
      <c r="A83" s="38"/>
      <c r="B83" s="11" t="n">
        <v>1</v>
      </c>
      <c r="C83" s="10" t="s">
        <v>39</v>
      </c>
      <c r="D83" s="39" t="s">
        <v>67</v>
      </c>
      <c r="E83" s="12" t="n">
        <v>35</v>
      </c>
      <c r="F83" s="40" t="n">
        <v>14</v>
      </c>
      <c r="G83" s="18" t="n">
        <f aca="false">IF(AND(ISNUMBER($E83),ISNUMBER($F83),$D83&lt;&gt;"R"),$E83*$F83,"")</f>
        <v>490</v>
      </c>
      <c r="H83" s="10"/>
    </row>
    <row r="84" customFormat="false" ht="15.75" hidden="false" customHeight="true" outlineLevel="0" collapsed="false">
      <c r="A84" s="38"/>
      <c r="B84" s="11" t="n">
        <v>2</v>
      </c>
      <c r="C84" s="10" t="s">
        <v>39</v>
      </c>
      <c r="D84" s="39" t="s">
        <v>66</v>
      </c>
      <c r="E84" s="12" t="n">
        <v>25</v>
      </c>
      <c r="F84" s="40" t="n">
        <v>5</v>
      </c>
      <c r="G84" s="18" t="n">
        <f aca="false">IF(AND(ISNUMBER($E84),ISNUMBER($F84),$D84&lt;&gt;"R"),$E84*$F84,"")</f>
        <v>125</v>
      </c>
      <c r="H84" s="10"/>
    </row>
    <row r="85" customFormat="false" ht="15.75" hidden="false" customHeight="true" outlineLevel="0" collapsed="false">
      <c r="A85" s="38"/>
      <c r="B85" s="11" t="n">
        <v>2</v>
      </c>
      <c r="C85" s="10" t="s">
        <v>39</v>
      </c>
      <c r="D85" s="39" t="s">
        <v>67</v>
      </c>
      <c r="E85" s="12" t="n">
        <v>35</v>
      </c>
      <c r="F85" s="40" t="n">
        <v>15</v>
      </c>
      <c r="G85" s="18" t="n">
        <f aca="false">IF(AND(ISNUMBER($E85),ISNUMBER($F85),$D85&lt;&gt;"R"),$E85*$F85,"")</f>
        <v>525</v>
      </c>
      <c r="H85" s="10"/>
    </row>
    <row r="86" customFormat="false" ht="15.75" hidden="false" customHeight="true" outlineLevel="0" collapsed="false">
      <c r="A86" s="38"/>
      <c r="B86" s="11" t="n">
        <v>2</v>
      </c>
      <c r="C86" s="10" t="s">
        <v>39</v>
      </c>
      <c r="D86" s="39" t="s">
        <v>67</v>
      </c>
      <c r="E86" s="12" t="n">
        <v>30</v>
      </c>
      <c r="F86" s="40" t="n">
        <v>15</v>
      </c>
      <c r="G86" s="18" t="n">
        <f aca="false">IF(AND(ISNUMBER($E86),ISNUMBER($F86),$D86&lt;&gt;"R"),$E86*$F86,"")</f>
        <v>450</v>
      </c>
      <c r="H86" s="10"/>
    </row>
    <row r="87" customFormat="false" ht="15.75" hidden="false" customHeight="true" outlineLevel="0" collapsed="false">
      <c r="A87" s="38"/>
      <c r="B87" s="11" t="n">
        <v>1</v>
      </c>
      <c r="C87" s="10" t="s">
        <v>37</v>
      </c>
      <c r="D87" s="39" t="s">
        <v>66</v>
      </c>
      <c r="E87" s="12" t="n">
        <v>25</v>
      </c>
      <c r="F87" s="40" t="n">
        <v>10</v>
      </c>
      <c r="G87" s="18" t="n">
        <f aca="false">IF(AND(ISNUMBER($E87),ISNUMBER($F87),$D87&lt;&gt;"R"),$E87*$F87,"")</f>
        <v>250</v>
      </c>
      <c r="H87" s="10"/>
    </row>
    <row r="88" customFormat="false" ht="15.75" hidden="false" customHeight="true" outlineLevel="0" collapsed="false">
      <c r="A88" s="38"/>
      <c r="B88" s="11" t="n">
        <v>1</v>
      </c>
      <c r="C88" s="10" t="s">
        <v>37</v>
      </c>
      <c r="D88" s="39" t="s">
        <v>67</v>
      </c>
      <c r="E88" s="12" t="n">
        <v>45</v>
      </c>
      <c r="F88" s="40" t="n">
        <v>14</v>
      </c>
      <c r="G88" s="18" t="n">
        <f aca="false">IF(AND(ISNUMBER($E88),ISNUMBER($F88),$D88&lt;&gt;"R"),$E88*$F88,"")</f>
        <v>630</v>
      </c>
      <c r="H88" s="10"/>
    </row>
    <row r="89" customFormat="false" ht="15.75" hidden="false" customHeight="true" outlineLevel="0" collapsed="false">
      <c r="A89" s="38"/>
      <c r="B89" s="11" t="n">
        <v>1</v>
      </c>
      <c r="C89" s="10" t="s">
        <v>37</v>
      </c>
      <c r="D89" s="39" t="s">
        <v>67</v>
      </c>
      <c r="E89" s="12" t="n">
        <v>50</v>
      </c>
      <c r="F89" s="40" t="n">
        <v>10</v>
      </c>
      <c r="G89" s="18" t="n">
        <f aca="false">IF(AND(ISNUMBER($E89),ISNUMBER($F89),$D89&lt;&gt;"R"),$E89*$F89,"")</f>
        <v>500</v>
      </c>
      <c r="H89" s="10"/>
    </row>
    <row r="90" customFormat="false" ht="15.75" hidden="false" customHeight="true" outlineLevel="0" collapsed="false">
      <c r="A90" s="38"/>
      <c r="B90" s="11" t="n">
        <v>1</v>
      </c>
      <c r="C90" s="10" t="s">
        <v>37</v>
      </c>
      <c r="D90" s="39" t="s">
        <v>68</v>
      </c>
      <c r="E90" s="12" t="n">
        <v>30</v>
      </c>
      <c r="F90" s="40" t="n">
        <v>10</v>
      </c>
      <c r="G90" s="18" t="str">
        <f aca="false">IF(AND(ISNUMBER($E90),ISNUMBER($F90),$D90&lt;&gt;"R"),$E90*$F90,"")</f>
        <v/>
      </c>
      <c r="H90" s="10" t="s">
        <v>94</v>
      </c>
    </row>
    <row r="91" customFormat="false" ht="15.75" hidden="false" customHeight="true" outlineLevel="0" collapsed="false">
      <c r="A91" s="38"/>
      <c r="B91" s="11" t="n">
        <v>2</v>
      </c>
      <c r="C91" s="10" t="s">
        <v>37</v>
      </c>
      <c r="D91" s="39" t="s">
        <v>66</v>
      </c>
      <c r="E91" s="12" t="n">
        <v>30</v>
      </c>
      <c r="F91" s="40" t="n">
        <v>10</v>
      </c>
      <c r="G91" s="18" t="n">
        <f aca="false">IF(AND(ISNUMBER($E91),ISNUMBER($F91),$D91&lt;&gt;"R"),$E91*$F91,"")</f>
        <v>300</v>
      </c>
      <c r="H91" s="10"/>
    </row>
    <row r="92" customFormat="false" ht="15.75" hidden="false" customHeight="true" outlineLevel="0" collapsed="false">
      <c r="A92" s="38"/>
      <c r="B92" s="11" t="n">
        <v>2</v>
      </c>
      <c r="C92" s="10" t="s">
        <v>37</v>
      </c>
      <c r="D92" s="39" t="s">
        <v>67</v>
      </c>
      <c r="E92" s="12" t="n">
        <v>50</v>
      </c>
      <c r="F92" s="40" t="n">
        <v>12</v>
      </c>
      <c r="G92" s="18" t="n">
        <f aca="false">IF(AND(ISNUMBER($E92),ISNUMBER($F92),$D92&lt;&gt;"R"),$E92*$F92,"")</f>
        <v>600</v>
      </c>
      <c r="H92" s="10"/>
    </row>
    <row r="93" customFormat="false" ht="15.75" hidden="false" customHeight="true" outlineLevel="0" collapsed="false">
      <c r="A93" s="38"/>
      <c r="B93" s="11" t="n">
        <v>2</v>
      </c>
      <c r="C93" s="10" t="s">
        <v>37</v>
      </c>
      <c r="D93" s="39" t="s">
        <v>67</v>
      </c>
      <c r="E93" s="12" t="n">
        <v>55</v>
      </c>
      <c r="F93" s="40" t="n">
        <v>10</v>
      </c>
      <c r="G93" s="18" t="n">
        <f aca="false">IF(AND(ISNUMBER($E93),ISNUMBER($F93),$D93&lt;&gt;"R"),$E93*$F93,"")</f>
        <v>550</v>
      </c>
      <c r="H93" s="10"/>
    </row>
    <row r="94" customFormat="false" ht="15.75" hidden="false" customHeight="true" outlineLevel="0" collapsed="false">
      <c r="A94" s="38"/>
      <c r="B94" s="11" t="n">
        <v>2</v>
      </c>
      <c r="C94" s="10" t="s">
        <v>37</v>
      </c>
      <c r="D94" s="39" t="s">
        <v>68</v>
      </c>
      <c r="E94" s="12" t="n">
        <v>40</v>
      </c>
      <c r="F94" s="40" t="n">
        <v>8</v>
      </c>
      <c r="G94" s="18" t="str">
        <f aca="false">IF(AND(ISNUMBER($E94),ISNUMBER($F94),$D94&lt;&gt;"R"),$E94*$F94,"")</f>
        <v/>
      </c>
      <c r="H94" s="10" t="s">
        <v>95</v>
      </c>
    </row>
    <row r="95" customFormat="false" ht="15.75" hidden="false" customHeight="true" outlineLevel="0" collapsed="false">
      <c r="A95" s="38"/>
      <c r="B95" s="11" t="n">
        <v>3</v>
      </c>
      <c r="C95" s="10" t="s">
        <v>37</v>
      </c>
      <c r="D95" s="39" t="s">
        <v>66</v>
      </c>
      <c r="E95" s="12" t="n">
        <v>35</v>
      </c>
      <c r="F95" s="40" t="n">
        <v>6</v>
      </c>
      <c r="G95" s="18" t="n">
        <f aca="false">IF(AND(ISNUMBER($E95),ISNUMBER($F95),$D95&lt;&gt;"R"),$E95*$F95,"")</f>
        <v>210</v>
      </c>
      <c r="H95" s="10"/>
    </row>
    <row r="96" customFormat="false" ht="15.75" hidden="false" customHeight="true" outlineLevel="0" collapsed="false">
      <c r="A96" s="38"/>
      <c r="B96" s="11" t="n">
        <v>3</v>
      </c>
      <c r="C96" s="10" t="s">
        <v>37</v>
      </c>
      <c r="D96" s="39" t="s">
        <v>67</v>
      </c>
      <c r="E96" s="12" t="n">
        <v>45</v>
      </c>
      <c r="F96" s="40" t="n">
        <v>15</v>
      </c>
      <c r="G96" s="18" t="n">
        <f aca="false">IF(AND(ISNUMBER($E96),ISNUMBER($F96),$D96&lt;&gt;"R"),$E96*$F96,"")</f>
        <v>675</v>
      </c>
      <c r="H96" s="10"/>
    </row>
    <row r="97" customFormat="false" ht="15.75" hidden="false" customHeight="true" outlineLevel="0" collapsed="false">
      <c r="A97" s="38"/>
      <c r="B97" s="11" t="n">
        <v>3</v>
      </c>
      <c r="C97" s="10" t="s">
        <v>37</v>
      </c>
      <c r="D97" s="39" t="s">
        <v>67</v>
      </c>
      <c r="E97" s="12" t="n">
        <v>40</v>
      </c>
      <c r="F97" s="40" t="n">
        <v>15</v>
      </c>
      <c r="G97" s="18" t="n">
        <f aca="false">IF(AND(ISNUMBER($E97),ISNUMBER($F97),$D97&lt;&gt;"R"),$E97*$F97,"")</f>
        <v>600</v>
      </c>
      <c r="H97" s="10"/>
    </row>
    <row r="98" customFormat="false" ht="15.75" hidden="false" customHeight="true" outlineLevel="0" collapsed="false">
      <c r="A98" s="38"/>
      <c r="B98" s="11" t="n">
        <v>3</v>
      </c>
      <c r="C98" s="10" t="s">
        <v>37</v>
      </c>
      <c r="D98" s="39" t="s">
        <v>68</v>
      </c>
      <c r="E98" s="12" t="n">
        <v>30</v>
      </c>
      <c r="F98" s="40" t="n">
        <v>6</v>
      </c>
      <c r="G98" s="18" t="str">
        <f aca="false">IF(AND(ISNUMBER($E98),ISNUMBER($F98),$D98&lt;&gt;"R"),$E98*$F98,"")</f>
        <v/>
      </c>
      <c r="H98" s="10" t="s">
        <v>96</v>
      </c>
    </row>
    <row r="99" customFormat="false" ht="15.75" hidden="false" customHeight="true" outlineLevel="0" collapsed="false">
      <c r="A99" s="38"/>
      <c r="B99" s="11" t="n">
        <v>1</v>
      </c>
      <c r="C99" s="10" t="s">
        <v>35</v>
      </c>
      <c r="D99" s="39" t="s">
        <v>66</v>
      </c>
      <c r="E99" s="12" t="n">
        <v>170</v>
      </c>
      <c r="F99" s="40" t="n">
        <v>10</v>
      </c>
      <c r="G99" s="18" t="n">
        <f aca="false">IF(AND(ISNUMBER($E99),ISNUMBER($F99),$D99&lt;&gt;"R"),$E99*$F99,"")</f>
        <v>1700</v>
      </c>
      <c r="H99" s="10" t="s">
        <v>97</v>
      </c>
    </row>
    <row r="100" customFormat="false" ht="15.75" hidden="false" customHeight="true" outlineLevel="0" collapsed="false">
      <c r="A100" s="38"/>
      <c r="B100" s="11" t="n">
        <v>1</v>
      </c>
      <c r="C100" s="10" t="s">
        <v>35</v>
      </c>
      <c r="D100" s="39" t="s">
        <v>67</v>
      </c>
      <c r="E100" s="12" t="n">
        <v>220</v>
      </c>
      <c r="F100" s="40" t="n">
        <v>12</v>
      </c>
      <c r="G100" s="18" t="n">
        <f aca="false">IF(AND(ISNUMBER($E100),ISNUMBER($F100),$D100&lt;&gt;"R"),$E100*$F100,"")</f>
        <v>2640</v>
      </c>
      <c r="H100" s="10"/>
    </row>
    <row r="101" customFormat="false" ht="15.75" hidden="false" customHeight="true" outlineLevel="0" collapsed="false">
      <c r="A101" s="38"/>
      <c r="B101" s="11" t="n">
        <v>1</v>
      </c>
      <c r="C101" s="10" t="s">
        <v>35</v>
      </c>
      <c r="D101" s="39" t="s">
        <v>67</v>
      </c>
      <c r="E101" s="12" t="n">
        <v>240</v>
      </c>
      <c r="F101" s="40" t="n">
        <v>8</v>
      </c>
      <c r="G101" s="18" t="n">
        <f aca="false">IF(AND(ISNUMBER($E101),ISNUMBER($F101),$D101&lt;&gt;"R"),$E101*$F101,"")</f>
        <v>1920</v>
      </c>
      <c r="H101" s="10"/>
    </row>
    <row r="102" customFormat="false" ht="15.75" hidden="false" customHeight="true" outlineLevel="0" collapsed="false">
      <c r="A102" s="38"/>
      <c r="B102" s="11" t="n">
        <v>1</v>
      </c>
      <c r="C102" s="10" t="s">
        <v>35</v>
      </c>
      <c r="D102" s="39" t="s">
        <v>68</v>
      </c>
      <c r="E102" s="12"/>
      <c r="F102" s="40" t="n">
        <v>6</v>
      </c>
      <c r="G102" s="18" t="str">
        <f aca="false">IF(AND(ISNUMBER($E102),ISNUMBER($F102),$D102&lt;&gt;"R"),$E102*$F102,"")</f>
        <v/>
      </c>
      <c r="H102" s="10" t="s">
        <v>98</v>
      </c>
    </row>
    <row r="103" customFormat="false" ht="15.75" hidden="false" customHeight="true" outlineLevel="0" collapsed="false">
      <c r="A103" s="38"/>
      <c r="B103" s="11" t="n">
        <v>2</v>
      </c>
      <c r="C103" s="10" t="s">
        <v>35</v>
      </c>
      <c r="D103" s="39" t="s">
        <v>66</v>
      </c>
      <c r="E103" s="12" t="n">
        <v>180</v>
      </c>
      <c r="F103" s="40" t="n">
        <v>10</v>
      </c>
      <c r="G103" s="18" t="n">
        <f aca="false">IF(AND(ISNUMBER($E103),ISNUMBER($F103),$D103&lt;&gt;"R"),$E103*$F103,"")</f>
        <v>1800</v>
      </c>
      <c r="H103" s="10"/>
    </row>
    <row r="104" customFormat="false" ht="15.75" hidden="false" customHeight="true" outlineLevel="0" collapsed="false">
      <c r="A104" s="38"/>
      <c r="B104" s="11" t="n">
        <v>2</v>
      </c>
      <c r="C104" s="10" t="s">
        <v>35</v>
      </c>
      <c r="D104" s="39" t="s">
        <v>67</v>
      </c>
      <c r="E104" s="12" t="n">
        <v>240</v>
      </c>
      <c r="F104" s="40" t="n">
        <v>10</v>
      </c>
      <c r="G104" s="18" t="n">
        <f aca="false">IF(AND(ISNUMBER($E104),ISNUMBER($F104),$D104&lt;&gt;"R"),$E104*$F104,"")</f>
        <v>2400</v>
      </c>
      <c r="H104" s="10"/>
    </row>
    <row r="105" customFormat="false" ht="15.75" hidden="false" customHeight="true" outlineLevel="0" collapsed="false">
      <c r="A105" s="38"/>
      <c r="B105" s="11" t="n">
        <v>2</v>
      </c>
      <c r="C105" s="10" t="s">
        <v>35</v>
      </c>
      <c r="D105" s="39" t="s">
        <v>67</v>
      </c>
      <c r="E105" s="12" t="n">
        <v>280</v>
      </c>
      <c r="F105" s="40" t="n">
        <v>6</v>
      </c>
      <c r="G105" s="18" t="n">
        <f aca="false">IF(AND(ISNUMBER($E105),ISNUMBER($F105),$D105&lt;&gt;"R"),$E105*$F105,"")</f>
        <v>1680</v>
      </c>
      <c r="H105" s="10"/>
    </row>
    <row r="106" customFormat="false" ht="15.75" hidden="false" customHeight="true" outlineLevel="0" collapsed="false">
      <c r="A106" s="38"/>
      <c r="B106" s="11" t="n">
        <v>2</v>
      </c>
      <c r="C106" s="10" t="s">
        <v>35</v>
      </c>
      <c r="D106" s="39" t="s">
        <v>68</v>
      </c>
      <c r="E106" s="12"/>
      <c r="F106" s="40" t="n">
        <v>6</v>
      </c>
      <c r="G106" s="18" t="str">
        <f aca="false">IF(AND(ISNUMBER($E106),ISNUMBER($F106),$D106&lt;&gt;"R"),$E106*$F106,"")</f>
        <v/>
      </c>
      <c r="H106" s="10" t="s">
        <v>98</v>
      </c>
    </row>
    <row r="107" customFormat="false" ht="15.75" hidden="false" customHeight="true" outlineLevel="0" collapsed="false">
      <c r="A107" s="38"/>
      <c r="B107" s="11" t="n">
        <v>3</v>
      </c>
      <c r="C107" s="10" t="s">
        <v>35</v>
      </c>
      <c r="D107" s="39" t="s">
        <v>66</v>
      </c>
      <c r="E107" s="12" t="n">
        <v>120</v>
      </c>
      <c r="F107" s="40" t="n">
        <v>5</v>
      </c>
      <c r="G107" s="18" t="n">
        <f aca="false">IF(AND(ISNUMBER($E107),ISNUMBER($F107),$D107&lt;&gt;"R"),$E107*$F107,"")</f>
        <v>600</v>
      </c>
      <c r="H107" s="10"/>
    </row>
    <row r="108" customFormat="false" ht="15.75" hidden="false" customHeight="true" outlineLevel="0" collapsed="false">
      <c r="A108" s="38"/>
      <c r="B108" s="11" t="n">
        <v>3</v>
      </c>
      <c r="C108" s="10" t="s">
        <v>35</v>
      </c>
      <c r="D108" s="39" t="s">
        <v>66</v>
      </c>
      <c r="E108" s="12" t="n">
        <v>170</v>
      </c>
      <c r="F108" s="40" t="n">
        <v>4</v>
      </c>
      <c r="G108" s="18" t="n">
        <f aca="false">IF(AND(ISNUMBER($E108),ISNUMBER($F108),$D108&lt;&gt;"R"),$E108*$F108,"")</f>
        <v>680</v>
      </c>
      <c r="H108" s="10"/>
    </row>
    <row r="109" customFormat="false" ht="15.75" hidden="false" customHeight="true" outlineLevel="0" collapsed="false">
      <c r="A109" s="38"/>
      <c r="B109" s="11" t="n">
        <v>3</v>
      </c>
      <c r="C109" s="10" t="s">
        <v>35</v>
      </c>
      <c r="D109" s="39" t="s">
        <v>67</v>
      </c>
      <c r="E109" s="12" t="n">
        <v>280</v>
      </c>
      <c r="F109" s="40" t="n">
        <v>8</v>
      </c>
      <c r="G109" s="18" t="n">
        <f aca="false">IF(AND(ISNUMBER($E109),ISNUMBER($F109),$D109&lt;&gt;"R"),$E109*$F109,"")</f>
        <v>2240</v>
      </c>
      <c r="H109" s="10"/>
    </row>
    <row r="110" customFormat="false" ht="15.75" hidden="false" customHeight="true" outlineLevel="0" collapsed="false">
      <c r="A110" s="38"/>
      <c r="B110" s="11" t="n">
        <v>3</v>
      </c>
      <c r="C110" s="10" t="s">
        <v>35</v>
      </c>
      <c r="D110" s="39" t="s">
        <v>67</v>
      </c>
      <c r="E110" s="12" t="n">
        <v>270</v>
      </c>
      <c r="F110" s="40" t="n">
        <v>10</v>
      </c>
      <c r="G110" s="18" t="n">
        <f aca="false">IF(AND(ISNUMBER($E110),ISNUMBER($F110),$D110&lt;&gt;"R"),$E110*$F110,"")</f>
        <v>2700</v>
      </c>
      <c r="H110" s="10"/>
    </row>
    <row r="111" customFormat="false" ht="15.75" hidden="false" customHeight="true" outlineLevel="0" collapsed="false">
      <c r="A111" s="38"/>
      <c r="B111" s="11" t="n">
        <v>3</v>
      </c>
      <c r="C111" s="10" t="s">
        <v>35</v>
      </c>
      <c r="D111" s="39" t="s">
        <v>68</v>
      </c>
      <c r="E111" s="12"/>
      <c r="F111" s="40" t="n">
        <v>6</v>
      </c>
      <c r="G111" s="18" t="str">
        <f aca="false">IF(AND(ISNUMBER($E111),ISNUMBER($F111),$D111&lt;&gt;"R"),$E111*$F111,"")</f>
        <v/>
      </c>
      <c r="H111" s="10" t="s">
        <v>98</v>
      </c>
    </row>
    <row r="112" customFormat="false" ht="15.75" hidden="false" customHeight="true" outlineLevel="0" collapsed="false">
      <c r="A112" s="38"/>
      <c r="B112" s="11" t="n">
        <v>4</v>
      </c>
      <c r="C112" s="10" t="s">
        <v>35</v>
      </c>
      <c r="D112" s="39" t="s">
        <v>66</v>
      </c>
      <c r="E112" s="12" t="n">
        <v>120</v>
      </c>
      <c r="F112" s="40" t="n">
        <v>5</v>
      </c>
      <c r="G112" s="18" t="n">
        <f aca="false">IF(AND(ISNUMBER($E112),ISNUMBER($F112),$D112&lt;&gt;"R"),$E112*$F112,"")</f>
        <v>600</v>
      </c>
      <c r="H112" s="10"/>
    </row>
    <row r="113" customFormat="false" ht="15.75" hidden="false" customHeight="true" outlineLevel="0" collapsed="false">
      <c r="A113" s="38"/>
      <c r="B113" s="11" t="n">
        <v>4</v>
      </c>
      <c r="C113" s="10" t="s">
        <v>35</v>
      </c>
      <c r="D113" s="39" t="s">
        <v>66</v>
      </c>
      <c r="E113" s="12" t="n">
        <v>170</v>
      </c>
      <c r="F113" s="40" t="n">
        <v>3</v>
      </c>
      <c r="G113" s="18" t="n">
        <f aca="false">IF(AND(ISNUMBER($E113),ISNUMBER($F113),$D113&lt;&gt;"R"),$E113*$F113,"")</f>
        <v>510</v>
      </c>
      <c r="H113" s="10"/>
    </row>
    <row r="114" customFormat="false" ht="15.75" hidden="false" customHeight="true" outlineLevel="0" collapsed="false">
      <c r="A114" s="38"/>
      <c r="B114" s="11" t="n">
        <v>4</v>
      </c>
      <c r="C114" s="10" t="s">
        <v>35</v>
      </c>
      <c r="D114" s="39" t="s">
        <v>67</v>
      </c>
      <c r="E114" s="12" t="n">
        <v>270</v>
      </c>
      <c r="F114" s="40" t="n">
        <v>8</v>
      </c>
      <c r="G114" s="18" t="n">
        <f aca="false">IF(AND(ISNUMBER($E114),ISNUMBER($F114),$D114&lt;&gt;"R"),$E114*$F114,"")</f>
        <v>2160</v>
      </c>
      <c r="H114" s="10"/>
    </row>
    <row r="115" customFormat="false" ht="15.75" hidden="false" customHeight="true" outlineLevel="0" collapsed="false">
      <c r="A115" s="38"/>
      <c r="B115" s="11" t="n">
        <v>4</v>
      </c>
      <c r="C115" s="10" t="s">
        <v>35</v>
      </c>
      <c r="D115" s="39" t="s">
        <v>67</v>
      </c>
      <c r="E115" s="12" t="n">
        <v>270</v>
      </c>
      <c r="F115" s="40" t="n">
        <v>8</v>
      </c>
      <c r="G115" s="18" t="n">
        <f aca="false">IF(AND(ISNUMBER($E115),ISNUMBER($F115),$D115&lt;&gt;"R"),$E115*$F115,"")</f>
        <v>2160</v>
      </c>
      <c r="H115" s="10"/>
    </row>
    <row r="116" customFormat="false" ht="15.75" hidden="false" customHeight="true" outlineLevel="0" collapsed="false">
      <c r="A116" s="38"/>
      <c r="B116" s="11" t="n">
        <v>4</v>
      </c>
      <c r="C116" s="10" t="s">
        <v>35</v>
      </c>
      <c r="D116" s="39" t="s">
        <v>67</v>
      </c>
      <c r="E116" s="12" t="n">
        <v>270</v>
      </c>
      <c r="F116" s="40" t="n">
        <v>8</v>
      </c>
      <c r="G116" s="18" t="n">
        <f aca="false">IF(AND(ISNUMBER($E116),ISNUMBER($F116),$D116&lt;&gt;"R"),$E116*$F116,"")</f>
        <v>2160</v>
      </c>
      <c r="H116" s="10"/>
    </row>
    <row r="117" customFormat="false" ht="15.75" hidden="false" customHeight="true" outlineLevel="0" collapsed="false">
      <c r="A117" s="38"/>
      <c r="B117" s="11" t="n">
        <v>1</v>
      </c>
      <c r="C117" s="10" t="s">
        <v>41</v>
      </c>
      <c r="D117" s="39" t="s">
        <v>66</v>
      </c>
      <c r="E117" s="12" t="n">
        <v>65</v>
      </c>
      <c r="F117" s="40" t="n">
        <v>8</v>
      </c>
      <c r="G117" s="18" t="n">
        <f aca="false">IF(AND(ISNUMBER($E117),ISNUMBER($F117),$D117&lt;&gt;"R"),$E117*$F117,"")</f>
        <v>520</v>
      </c>
      <c r="H117" s="10"/>
    </row>
    <row r="118" customFormat="false" ht="15.75" hidden="false" customHeight="true" outlineLevel="0" collapsed="false">
      <c r="A118" s="38"/>
      <c r="B118" s="11" t="n">
        <v>1</v>
      </c>
      <c r="C118" s="10" t="s">
        <v>41</v>
      </c>
      <c r="D118" s="39" t="s">
        <v>67</v>
      </c>
      <c r="E118" s="12" t="n">
        <v>145</v>
      </c>
      <c r="F118" s="40" t="n">
        <v>12</v>
      </c>
      <c r="G118" s="18" t="n">
        <f aca="false">IF(AND(ISNUMBER($E118),ISNUMBER($F118),$D118&lt;&gt;"R"),$E118*$F118,"")</f>
        <v>1740</v>
      </c>
      <c r="H118" s="10"/>
    </row>
    <row r="119" customFormat="false" ht="15.75" hidden="false" customHeight="true" outlineLevel="0" collapsed="false">
      <c r="A119" s="38"/>
      <c r="B119" s="11" t="n">
        <v>1</v>
      </c>
      <c r="C119" s="10" t="s">
        <v>41</v>
      </c>
      <c r="D119" s="39" t="s">
        <v>67</v>
      </c>
      <c r="E119" s="12" t="n">
        <v>115</v>
      </c>
      <c r="F119" s="40" t="n">
        <v>15</v>
      </c>
      <c r="G119" s="18" t="n">
        <f aca="false">IF(AND(ISNUMBER($E119),ISNUMBER($F119),$D119&lt;&gt;"R"),$E119*$F119,"")</f>
        <v>1725</v>
      </c>
      <c r="H119" s="10"/>
    </row>
    <row r="120" customFormat="false" ht="15.75" hidden="false" customHeight="true" outlineLevel="0" collapsed="false">
      <c r="A120" s="38"/>
      <c r="B120" s="11" t="n">
        <v>2</v>
      </c>
      <c r="C120" s="10" t="s">
        <v>41</v>
      </c>
      <c r="D120" s="39" t="s">
        <v>66</v>
      </c>
      <c r="E120" s="12" t="n">
        <v>67.5</v>
      </c>
      <c r="F120" s="40" t="n">
        <v>8</v>
      </c>
      <c r="G120" s="18" t="n">
        <f aca="false">IF(AND(ISNUMBER($E120),ISNUMBER($F120),$D120&lt;&gt;"R"),$E120*$F120,"")</f>
        <v>540</v>
      </c>
      <c r="H120" s="10"/>
    </row>
    <row r="121" customFormat="false" ht="15.75" hidden="false" customHeight="true" outlineLevel="0" collapsed="false">
      <c r="A121" s="38"/>
      <c r="B121" s="11" t="n">
        <v>2</v>
      </c>
      <c r="C121" s="10" t="s">
        <v>41</v>
      </c>
      <c r="D121" s="39" t="s">
        <v>67</v>
      </c>
      <c r="E121" s="12" t="n">
        <v>150</v>
      </c>
      <c r="F121" s="40" t="n">
        <v>12</v>
      </c>
      <c r="G121" s="18" t="n">
        <f aca="false">IF(AND(ISNUMBER($E121),ISNUMBER($F121),$D121&lt;&gt;"R"),$E121*$F121,"")</f>
        <v>1800</v>
      </c>
      <c r="H121" s="10"/>
    </row>
    <row r="122" customFormat="false" ht="15.75" hidden="false" customHeight="true" outlineLevel="0" collapsed="false">
      <c r="A122" s="38"/>
      <c r="B122" s="11" t="n">
        <v>2</v>
      </c>
      <c r="C122" s="10" t="s">
        <v>41</v>
      </c>
      <c r="D122" s="39" t="s">
        <v>67</v>
      </c>
      <c r="E122" s="12" t="n">
        <v>140</v>
      </c>
      <c r="F122" s="40" t="n">
        <v>12</v>
      </c>
      <c r="G122" s="18" t="n">
        <f aca="false">IF(AND(ISNUMBER($E122),ISNUMBER($F122),$D122&lt;&gt;"R"),$E122*$F122,"")</f>
        <v>1680</v>
      </c>
      <c r="H122" s="10"/>
    </row>
    <row r="123" customFormat="false" ht="15.75" hidden="false" customHeight="true" outlineLevel="0" collapsed="false">
      <c r="A123" s="38"/>
      <c r="B123" s="11"/>
      <c r="C123" s="10"/>
      <c r="D123" s="39"/>
      <c r="E123" s="12"/>
      <c r="F123" s="40"/>
      <c r="G123" s="18" t="str">
        <f aca="false">IF(AND(ISNUMBER($E123),ISNUMBER($F123),$D123&lt;&gt;"R"),$E123*$F123,"")</f>
        <v/>
      </c>
      <c r="H123" s="10"/>
    </row>
    <row r="124" customFormat="false" ht="15.75" hidden="false" customHeight="true" outlineLevel="0" collapsed="false">
      <c r="A124" s="38"/>
      <c r="B124" s="11"/>
      <c r="C124" s="10"/>
      <c r="D124" s="39"/>
      <c r="E124" s="12"/>
      <c r="F124" s="40"/>
      <c r="G124" s="18" t="str">
        <f aca="false">IF(AND(ISNUMBER($E124),ISNUMBER($F124),$D124&lt;&gt;"R"),$E124*$F124,"")</f>
        <v/>
      </c>
      <c r="H124" s="10"/>
    </row>
    <row r="125" customFormat="false" ht="15.75" hidden="false" customHeight="true" outlineLevel="0" collapsed="false">
      <c r="A125" s="38"/>
      <c r="B125" s="11"/>
      <c r="C125" s="10"/>
      <c r="D125" s="39"/>
      <c r="E125" s="12"/>
      <c r="F125" s="40"/>
      <c r="G125" s="18" t="str">
        <f aca="false">IF(AND(ISNUMBER($E125),ISNUMBER($F125),$D125&lt;&gt;"R"),$E125*$F125,"")</f>
        <v/>
      </c>
      <c r="H125" s="10"/>
    </row>
    <row r="126" customFormat="false" ht="15.75" hidden="false" customHeight="true" outlineLevel="0" collapsed="false">
      <c r="A126" s="38"/>
      <c r="B126" s="11"/>
      <c r="C126" s="10"/>
      <c r="D126" s="39"/>
      <c r="E126" s="12"/>
      <c r="F126" s="40"/>
      <c r="G126" s="18" t="str">
        <f aca="false">IF(AND(ISNUMBER($E126),ISNUMBER($F126),$D126&lt;&gt;"R"),$E126*$F126,"")</f>
        <v/>
      </c>
      <c r="H126" s="10"/>
    </row>
    <row r="127" customFormat="false" ht="15.75" hidden="false" customHeight="true" outlineLevel="0" collapsed="false">
      <c r="A127" s="38"/>
      <c r="B127" s="11"/>
      <c r="C127" s="10"/>
      <c r="D127" s="39"/>
      <c r="E127" s="12"/>
      <c r="F127" s="40"/>
      <c r="G127" s="18" t="str">
        <f aca="false">IF(AND(ISNUMBER($E127),ISNUMBER($F127),$D127&lt;&gt;"R"),$E127*$F127,"")</f>
        <v/>
      </c>
      <c r="H127" s="10"/>
    </row>
    <row r="128" customFormat="false" ht="15.75" hidden="false" customHeight="true" outlineLevel="0" collapsed="false">
      <c r="A128" s="38"/>
      <c r="B128" s="11"/>
      <c r="C128" s="10"/>
      <c r="D128" s="39"/>
      <c r="E128" s="12"/>
      <c r="F128" s="40"/>
      <c r="G128" s="18" t="str">
        <f aca="false">IF(AND(ISNUMBER($E128),ISNUMBER($F128),$D128&lt;&gt;"R"),$E128*$F128,"")</f>
        <v/>
      </c>
      <c r="H128" s="10"/>
    </row>
    <row r="129" customFormat="false" ht="15.75" hidden="false" customHeight="true" outlineLevel="0" collapsed="false">
      <c r="A129" s="38"/>
      <c r="B129" s="11"/>
      <c r="C129" s="10"/>
      <c r="D129" s="39"/>
      <c r="E129" s="12"/>
      <c r="F129" s="40"/>
      <c r="G129" s="18" t="str">
        <f aca="false">IF(AND(ISNUMBER($E129),ISNUMBER($F129),$D129&lt;&gt;"R"),$E129*$F129,"")</f>
        <v/>
      </c>
      <c r="H129" s="10"/>
    </row>
    <row r="130" customFormat="false" ht="15.75" hidden="false" customHeight="true" outlineLevel="0" collapsed="false">
      <c r="A130" s="38"/>
      <c r="B130" s="11"/>
      <c r="C130" s="10"/>
      <c r="D130" s="39"/>
      <c r="E130" s="12"/>
      <c r="F130" s="40"/>
      <c r="G130" s="18" t="str">
        <f aca="false">IF(AND(ISNUMBER($E130),ISNUMBER($F130),$D130&lt;&gt;"R"),$E130*$F130,"")</f>
        <v/>
      </c>
      <c r="H130" s="10"/>
    </row>
    <row r="131" customFormat="false" ht="15.75" hidden="false" customHeight="true" outlineLevel="0" collapsed="false">
      <c r="A131" s="38"/>
      <c r="B131" s="11"/>
      <c r="C131" s="10"/>
      <c r="D131" s="39"/>
      <c r="E131" s="12"/>
      <c r="F131" s="40"/>
      <c r="G131" s="18" t="str">
        <f aca="false">IF(AND(ISNUMBER($E131),ISNUMBER($F131),$D131&lt;&gt;"R"),$E131*$F131,"")</f>
        <v/>
      </c>
      <c r="H131" s="10"/>
    </row>
    <row r="132" customFormat="false" ht="15.75" hidden="false" customHeight="true" outlineLevel="0" collapsed="false">
      <c r="A132" s="38"/>
      <c r="B132" s="11"/>
      <c r="C132" s="10"/>
      <c r="D132" s="39"/>
      <c r="E132" s="12"/>
      <c r="F132" s="40"/>
      <c r="G132" s="18" t="str">
        <f aca="false">IF(AND(ISNUMBER($E132),ISNUMBER($F132),$D132&lt;&gt;"R"),$E132*$F132,"")</f>
        <v/>
      </c>
      <c r="H132" s="10"/>
    </row>
    <row r="133" customFormat="false" ht="15.75" hidden="false" customHeight="true" outlineLevel="0" collapsed="false">
      <c r="A133" s="38"/>
      <c r="B133" s="11"/>
      <c r="C133" s="10"/>
      <c r="D133" s="39"/>
      <c r="E133" s="12"/>
      <c r="F133" s="40"/>
      <c r="G133" s="18" t="str">
        <f aca="false">IF(AND(ISNUMBER($E133),ISNUMBER($F133),$D133&lt;&gt;"R"),$E133*$F133,"")</f>
        <v/>
      </c>
      <c r="H133" s="10"/>
    </row>
    <row r="134" customFormat="false" ht="15.75" hidden="false" customHeight="true" outlineLevel="0" collapsed="false">
      <c r="A134" s="38"/>
      <c r="B134" s="11"/>
      <c r="C134" s="10"/>
      <c r="D134" s="39"/>
      <c r="E134" s="12"/>
      <c r="F134" s="40"/>
      <c r="G134" s="18" t="str">
        <f aca="false">IF(AND(ISNUMBER($E134),ISNUMBER($F134),$D134&lt;&gt;"R"),$E134*$F134,"")</f>
        <v/>
      </c>
      <c r="H134" s="10"/>
    </row>
    <row r="135" customFormat="false" ht="15.75" hidden="false" customHeight="true" outlineLevel="0" collapsed="false">
      <c r="A135" s="38"/>
      <c r="B135" s="11"/>
      <c r="C135" s="10"/>
      <c r="D135" s="39"/>
      <c r="E135" s="12"/>
      <c r="F135" s="40"/>
      <c r="G135" s="18" t="str">
        <f aca="false">IF(AND(ISNUMBER($E135),ISNUMBER($F135),$D135&lt;&gt;"R"),$E135*$F135,"")</f>
        <v/>
      </c>
      <c r="H135" s="10"/>
    </row>
    <row r="136" customFormat="false" ht="15.75" hidden="false" customHeight="true" outlineLevel="0" collapsed="false">
      <c r="A136" s="38"/>
      <c r="B136" s="11"/>
      <c r="C136" s="10"/>
      <c r="D136" s="39"/>
      <c r="E136" s="12"/>
      <c r="F136" s="40"/>
      <c r="G136" s="18" t="str">
        <f aca="false">IF(AND(ISNUMBER($E136),ISNUMBER($F136),$D136&lt;&gt;"R"),$E136*$F136,"")</f>
        <v/>
      </c>
      <c r="H136" s="10"/>
    </row>
    <row r="137" customFormat="false" ht="15.75" hidden="false" customHeight="true" outlineLevel="0" collapsed="false">
      <c r="A137" s="38"/>
      <c r="B137" s="11"/>
      <c r="C137" s="10"/>
      <c r="D137" s="39"/>
      <c r="E137" s="12"/>
      <c r="F137" s="40"/>
      <c r="G137" s="18" t="str">
        <f aca="false">IF(AND(ISNUMBER($E137),ISNUMBER($F137),$D137&lt;&gt;"R"),$E137*$F137,"")</f>
        <v/>
      </c>
      <c r="H137" s="10"/>
    </row>
    <row r="138" customFormat="false" ht="15.75" hidden="false" customHeight="true" outlineLevel="0" collapsed="false">
      <c r="A138" s="38"/>
      <c r="B138" s="11"/>
      <c r="C138" s="10"/>
      <c r="D138" s="39"/>
      <c r="E138" s="12"/>
      <c r="F138" s="40"/>
      <c r="G138" s="18" t="str">
        <f aca="false">IF(AND(ISNUMBER($E138),ISNUMBER($F138),$D138&lt;&gt;"R"),$E138*$F138,"")</f>
        <v/>
      </c>
      <c r="H138" s="10"/>
    </row>
    <row r="139" customFormat="false" ht="15.75" hidden="false" customHeight="true" outlineLevel="0" collapsed="false">
      <c r="A139" s="38"/>
      <c r="B139" s="11"/>
      <c r="C139" s="10"/>
      <c r="D139" s="39"/>
      <c r="E139" s="12"/>
      <c r="F139" s="40"/>
      <c r="G139" s="18" t="str">
        <f aca="false">IF(AND(ISNUMBER($E139),ISNUMBER($F139),$D139&lt;&gt;"R"),$E139*$F139,"")</f>
        <v/>
      </c>
      <c r="H139" s="10"/>
    </row>
    <row r="140" customFormat="false" ht="15.75" hidden="false" customHeight="true" outlineLevel="0" collapsed="false">
      <c r="A140" s="38"/>
      <c r="B140" s="11"/>
      <c r="C140" s="10"/>
      <c r="D140" s="39"/>
      <c r="E140" s="12"/>
      <c r="F140" s="40"/>
      <c r="G140" s="18" t="str">
        <f aca="false">IF(AND(ISNUMBER($E140),ISNUMBER($F140),$D140&lt;&gt;"R"),$E140*$F140,"")</f>
        <v/>
      </c>
      <c r="H140" s="10"/>
    </row>
    <row r="141" customFormat="false" ht="15.75" hidden="false" customHeight="true" outlineLevel="0" collapsed="false">
      <c r="A141" s="38"/>
      <c r="B141" s="11"/>
      <c r="C141" s="10"/>
      <c r="D141" s="39"/>
      <c r="E141" s="12"/>
      <c r="F141" s="40"/>
      <c r="G141" s="18" t="str">
        <f aca="false">IF(AND(ISNUMBER($E141),ISNUMBER($F141),$D141&lt;&gt;"R"),$E141*$F141,"")</f>
        <v/>
      </c>
      <c r="H141" s="10"/>
    </row>
    <row r="142" customFormat="false" ht="15.75" hidden="false" customHeight="true" outlineLevel="0" collapsed="false">
      <c r="A142" s="38"/>
      <c r="B142" s="11"/>
      <c r="C142" s="10"/>
      <c r="D142" s="39"/>
      <c r="E142" s="12"/>
      <c r="F142" s="40"/>
      <c r="G142" s="18" t="str">
        <f aca="false">IF(AND(ISNUMBER($E142),ISNUMBER($F142),$D142&lt;&gt;"R"),$E142*$F142,"")</f>
        <v/>
      </c>
      <c r="H142" s="10"/>
    </row>
    <row r="143" customFormat="false" ht="15.75" hidden="false" customHeight="true" outlineLevel="0" collapsed="false">
      <c r="A143" s="38"/>
      <c r="B143" s="11"/>
      <c r="C143" s="10"/>
      <c r="D143" s="39"/>
      <c r="E143" s="12"/>
      <c r="F143" s="40"/>
      <c r="G143" s="18" t="str">
        <f aca="false">IF(AND(ISNUMBER($E143),ISNUMBER($F143),$D143&lt;&gt;"R"),$E143*$F143,"")</f>
        <v/>
      </c>
      <c r="H143" s="10"/>
    </row>
    <row r="144" customFormat="false" ht="15.75" hidden="false" customHeight="true" outlineLevel="0" collapsed="false">
      <c r="A144" s="38"/>
      <c r="B144" s="11"/>
      <c r="C144" s="10"/>
      <c r="D144" s="39"/>
      <c r="E144" s="12"/>
      <c r="F144" s="40"/>
      <c r="G144" s="18" t="str">
        <f aca="false">IF(AND(ISNUMBER($E144),ISNUMBER($F144),$D144&lt;&gt;"R"),$E144*$F144,"")</f>
        <v/>
      </c>
      <c r="H144" s="10"/>
    </row>
    <row r="145" customFormat="false" ht="15.75" hidden="false" customHeight="true" outlineLevel="0" collapsed="false">
      <c r="A145" s="38"/>
      <c r="B145" s="11"/>
      <c r="C145" s="10"/>
      <c r="D145" s="39"/>
      <c r="E145" s="12"/>
      <c r="F145" s="40"/>
      <c r="G145" s="18" t="str">
        <f aca="false">IF(AND(ISNUMBER($E145),ISNUMBER($F145),$D145&lt;&gt;"R"),$E145*$F145,"")</f>
        <v/>
      </c>
      <c r="H145" s="10"/>
    </row>
    <row r="146" customFormat="false" ht="15.75" hidden="false" customHeight="true" outlineLevel="0" collapsed="false">
      <c r="A146" s="38"/>
      <c r="B146" s="11"/>
      <c r="C146" s="10"/>
      <c r="D146" s="39"/>
      <c r="E146" s="12"/>
      <c r="F146" s="40"/>
      <c r="G146" s="18" t="str">
        <f aca="false">IF(AND(ISNUMBER($E146),ISNUMBER($F146),$D146&lt;&gt;"R"),$E146*$F146,"")</f>
        <v/>
      </c>
      <c r="H146" s="10"/>
    </row>
    <row r="147" customFormat="false" ht="15.75" hidden="false" customHeight="true" outlineLevel="0" collapsed="false">
      <c r="A147" s="38"/>
      <c r="B147" s="11"/>
      <c r="C147" s="10"/>
      <c r="D147" s="39"/>
      <c r="E147" s="12"/>
      <c r="F147" s="40"/>
      <c r="G147" s="18" t="str">
        <f aca="false">IF(AND(ISNUMBER($E147),ISNUMBER($F147),$D147&lt;&gt;"R"),$E147*$F147,"")</f>
        <v/>
      </c>
      <c r="H147" s="10"/>
    </row>
    <row r="148" customFormat="false" ht="15.75" hidden="false" customHeight="true" outlineLevel="0" collapsed="false">
      <c r="A148" s="38"/>
      <c r="B148" s="11"/>
      <c r="C148" s="10"/>
      <c r="D148" s="39"/>
      <c r="E148" s="12"/>
      <c r="F148" s="40"/>
      <c r="G148" s="18" t="str">
        <f aca="false">IF(AND(ISNUMBER($E148),ISNUMBER($F148),$D148&lt;&gt;"R"),$E148*$F148,"")</f>
        <v/>
      </c>
      <c r="H148" s="10"/>
    </row>
    <row r="149" customFormat="false" ht="15.75" hidden="false" customHeight="true" outlineLevel="0" collapsed="false">
      <c r="A149" s="38"/>
      <c r="B149" s="11"/>
      <c r="C149" s="10"/>
      <c r="D149" s="39"/>
      <c r="E149" s="12"/>
      <c r="F149" s="40"/>
      <c r="G149" s="18" t="str">
        <f aca="false">IF(AND(ISNUMBER($E149),ISNUMBER($F149),$D149&lt;&gt;"R"),$E149*$F149,"")</f>
        <v/>
      </c>
      <c r="H149" s="10"/>
    </row>
    <row r="150" customFormat="false" ht="15.75" hidden="false" customHeight="true" outlineLevel="0" collapsed="false">
      <c r="A150" s="38"/>
      <c r="B150" s="11"/>
      <c r="C150" s="10"/>
      <c r="D150" s="39"/>
      <c r="E150" s="12"/>
      <c r="F150" s="40"/>
      <c r="G150" s="18" t="str">
        <f aca="false">IF(AND(ISNUMBER($E150),ISNUMBER($F150),$D150&lt;&gt;"R"),$E150*$F150,"")</f>
        <v/>
      </c>
      <c r="H150" s="10"/>
    </row>
    <row r="151" customFormat="false" ht="15.75" hidden="false" customHeight="true" outlineLevel="0" collapsed="false">
      <c r="A151" s="38"/>
      <c r="B151" s="11"/>
      <c r="C151" s="10"/>
      <c r="D151" s="39"/>
      <c r="E151" s="12"/>
      <c r="F151" s="40"/>
      <c r="G151" s="18" t="str">
        <f aca="false">IF(AND(ISNUMBER($E151),ISNUMBER($F151),$D151&lt;&gt;"R"),$E151*$F151,"")</f>
        <v/>
      </c>
      <c r="H151" s="10"/>
    </row>
    <row r="152" customFormat="false" ht="15.75" hidden="false" customHeight="true" outlineLevel="0" collapsed="false">
      <c r="A152" s="38"/>
      <c r="B152" s="11"/>
      <c r="C152" s="10"/>
      <c r="D152" s="39"/>
      <c r="E152" s="12"/>
      <c r="F152" s="40"/>
      <c r="G152" s="18" t="str">
        <f aca="false">IF(AND(ISNUMBER($E152),ISNUMBER($F152),$D152&lt;&gt;"R"),$E152*$F152,"")</f>
        <v/>
      </c>
      <c r="H152" s="10"/>
    </row>
    <row r="153" customFormat="false" ht="15.75" hidden="false" customHeight="true" outlineLevel="0" collapsed="false">
      <c r="A153" s="38"/>
      <c r="B153" s="11"/>
      <c r="C153" s="10"/>
      <c r="D153" s="39"/>
      <c r="E153" s="12"/>
      <c r="F153" s="40"/>
      <c r="G153" s="18" t="str">
        <f aca="false">IF(AND(ISNUMBER($E153),ISNUMBER($F153),$D153&lt;&gt;"R"),$E153*$F153,"")</f>
        <v/>
      </c>
      <c r="H153" s="10"/>
    </row>
    <row r="154" customFormat="false" ht="15.75" hidden="false" customHeight="true" outlineLevel="0" collapsed="false">
      <c r="A154" s="38"/>
      <c r="B154" s="11"/>
      <c r="C154" s="10"/>
      <c r="D154" s="39"/>
      <c r="E154" s="12"/>
      <c r="F154" s="40"/>
      <c r="G154" s="18" t="str">
        <f aca="false">IF(AND(ISNUMBER($E154),ISNUMBER($F154),$D154&lt;&gt;"R"),$E154*$F154,"")</f>
        <v/>
      </c>
      <c r="H154" s="10"/>
    </row>
    <row r="155" customFormat="false" ht="15.75" hidden="false" customHeight="true" outlineLevel="0" collapsed="false">
      <c r="A155" s="38"/>
      <c r="B155" s="11"/>
      <c r="C155" s="10"/>
      <c r="D155" s="39"/>
      <c r="E155" s="12"/>
      <c r="F155" s="40"/>
      <c r="G155" s="18" t="str">
        <f aca="false">IF(AND(ISNUMBER($E155),ISNUMBER($F155),$D155&lt;&gt;"R"),$E155*$F155,"")</f>
        <v/>
      </c>
      <c r="H155" s="10"/>
    </row>
    <row r="156" customFormat="false" ht="15.75" hidden="false" customHeight="true" outlineLevel="0" collapsed="false">
      <c r="A156" s="38"/>
      <c r="B156" s="11"/>
      <c r="C156" s="10"/>
      <c r="D156" s="39"/>
      <c r="E156" s="12"/>
      <c r="F156" s="40"/>
      <c r="G156" s="18" t="str">
        <f aca="false">IF(AND(ISNUMBER($E156),ISNUMBER($F156),$D156&lt;&gt;"R"),$E156*$F156,"")</f>
        <v/>
      </c>
      <c r="H156" s="10"/>
    </row>
    <row r="157" customFormat="false" ht="15.75" hidden="false" customHeight="true" outlineLevel="0" collapsed="false">
      <c r="A157" s="38"/>
      <c r="B157" s="11"/>
      <c r="C157" s="10"/>
      <c r="D157" s="39"/>
      <c r="E157" s="12"/>
      <c r="F157" s="40"/>
      <c r="G157" s="18" t="str">
        <f aca="false">IF(AND(ISNUMBER($E157),ISNUMBER($F157),$D157&lt;&gt;"R"),$E157*$F157,"")</f>
        <v/>
      </c>
      <c r="H157" s="10"/>
    </row>
    <row r="158" customFormat="false" ht="15.75" hidden="false" customHeight="true" outlineLevel="0" collapsed="false">
      <c r="A158" s="38"/>
      <c r="B158" s="11"/>
      <c r="C158" s="10"/>
      <c r="D158" s="39"/>
      <c r="E158" s="12"/>
      <c r="F158" s="40"/>
      <c r="G158" s="18" t="str">
        <f aca="false">IF(AND(ISNUMBER($E158),ISNUMBER($F158),$D158&lt;&gt;"R"),$E158*$F158,"")</f>
        <v/>
      </c>
      <c r="H158" s="10"/>
    </row>
    <row r="159" customFormat="false" ht="15.75" hidden="false" customHeight="true" outlineLevel="0" collapsed="false">
      <c r="A159" s="38"/>
      <c r="B159" s="11"/>
      <c r="C159" s="10"/>
      <c r="D159" s="39"/>
      <c r="E159" s="12"/>
      <c r="F159" s="40"/>
      <c r="G159" s="18" t="str">
        <f aca="false">IF(AND(ISNUMBER($E159),ISNUMBER($F159),$D159&lt;&gt;"R"),$E159*$F159,"")</f>
        <v/>
      </c>
      <c r="H159" s="10"/>
    </row>
    <row r="160" customFormat="false" ht="15.75" hidden="false" customHeight="true" outlineLevel="0" collapsed="false">
      <c r="A160" s="38"/>
      <c r="B160" s="11"/>
      <c r="C160" s="10"/>
      <c r="D160" s="39"/>
      <c r="E160" s="12"/>
      <c r="F160" s="40"/>
      <c r="G160" s="18" t="str">
        <f aca="false">IF(AND(ISNUMBER($E160),ISNUMBER($F160),$D160&lt;&gt;"R"),$E160*$F160,"")</f>
        <v/>
      </c>
      <c r="H160" s="10"/>
    </row>
    <row r="161" customFormat="false" ht="15.75" hidden="false" customHeight="true" outlineLevel="0" collapsed="false">
      <c r="A161" s="38"/>
      <c r="B161" s="11"/>
      <c r="C161" s="10"/>
      <c r="D161" s="39"/>
      <c r="E161" s="12"/>
      <c r="F161" s="40"/>
      <c r="G161" s="18" t="str">
        <f aca="false">IF(AND(ISNUMBER($E161),ISNUMBER($F161),$D161&lt;&gt;"R"),$E161*$F161,"")</f>
        <v/>
      </c>
      <c r="H161" s="10"/>
    </row>
    <row r="162" customFormat="false" ht="15.75" hidden="false" customHeight="true" outlineLevel="0" collapsed="false">
      <c r="A162" s="38"/>
      <c r="B162" s="11"/>
      <c r="C162" s="10"/>
      <c r="D162" s="39"/>
      <c r="E162" s="12"/>
      <c r="F162" s="40"/>
      <c r="G162" s="18" t="str">
        <f aca="false">IF(AND(ISNUMBER($E162),ISNUMBER($F162),$D162&lt;&gt;"R"),$E162*$F162,"")</f>
        <v/>
      </c>
      <c r="H162" s="10"/>
    </row>
    <row r="163" customFormat="false" ht="15.75" hidden="false" customHeight="true" outlineLevel="0" collapsed="false">
      <c r="A163" s="38"/>
      <c r="B163" s="11"/>
      <c r="C163" s="10"/>
      <c r="D163" s="39"/>
      <c r="E163" s="12"/>
      <c r="F163" s="40"/>
      <c r="G163" s="18" t="str">
        <f aca="false">IF(AND(ISNUMBER($E163),ISNUMBER($F163),$D163&lt;&gt;"R"),$E163*$F163,"")</f>
        <v/>
      </c>
      <c r="H163" s="10"/>
    </row>
    <row r="164" customFormat="false" ht="15.75" hidden="false" customHeight="true" outlineLevel="0" collapsed="false">
      <c r="A164" s="38"/>
      <c r="B164" s="11"/>
      <c r="C164" s="10"/>
      <c r="D164" s="39"/>
      <c r="E164" s="12"/>
      <c r="F164" s="40"/>
      <c r="G164" s="18" t="str">
        <f aca="false">IF(AND(ISNUMBER($E164),ISNUMBER($F164),$D164&lt;&gt;"R"),$E164*$F164,"")</f>
        <v/>
      </c>
      <c r="H164" s="10"/>
    </row>
    <row r="165" customFormat="false" ht="15.75" hidden="false" customHeight="true" outlineLevel="0" collapsed="false">
      <c r="A165" s="38"/>
      <c r="B165" s="11"/>
      <c r="C165" s="10"/>
      <c r="D165" s="39"/>
      <c r="E165" s="12"/>
      <c r="F165" s="40"/>
      <c r="G165" s="18" t="str">
        <f aca="false">IF(AND(ISNUMBER($E165),ISNUMBER($F165),$D165&lt;&gt;"R"),$E165*$F165,"")</f>
        <v/>
      </c>
      <c r="H165" s="10"/>
    </row>
    <row r="166" customFormat="false" ht="15.75" hidden="false" customHeight="true" outlineLevel="0" collapsed="false">
      <c r="A166" s="38"/>
      <c r="B166" s="11"/>
      <c r="C166" s="10"/>
      <c r="D166" s="39"/>
      <c r="E166" s="12"/>
      <c r="F166" s="40"/>
      <c r="G166" s="18" t="str">
        <f aca="false">IF(AND(ISNUMBER($E166),ISNUMBER($F166),$D166&lt;&gt;"R"),$E166*$F166,"")</f>
        <v/>
      </c>
      <c r="H166" s="10"/>
    </row>
    <row r="167" customFormat="false" ht="15.75" hidden="false" customHeight="true" outlineLevel="0" collapsed="false">
      <c r="A167" s="38"/>
      <c r="B167" s="11"/>
      <c r="C167" s="10"/>
      <c r="D167" s="39"/>
      <c r="E167" s="12"/>
      <c r="F167" s="40"/>
      <c r="G167" s="18" t="str">
        <f aca="false">IF(AND(ISNUMBER($E167),ISNUMBER($F167),$D167&lt;&gt;"R"),$E167*$F167,"")</f>
        <v/>
      </c>
      <c r="H167" s="10"/>
    </row>
    <row r="168" customFormat="false" ht="15.75" hidden="false" customHeight="true" outlineLevel="0" collapsed="false">
      <c r="A168" s="38"/>
      <c r="B168" s="11"/>
      <c r="C168" s="10"/>
      <c r="D168" s="39"/>
      <c r="E168" s="12"/>
      <c r="F168" s="40"/>
      <c r="G168" s="18" t="str">
        <f aca="false">IF(AND(ISNUMBER($E168),ISNUMBER($F168),$D168&lt;&gt;"R"),$E168*$F168,"")</f>
        <v/>
      </c>
      <c r="H168" s="10"/>
    </row>
    <row r="169" customFormat="false" ht="15.75" hidden="false" customHeight="true" outlineLevel="0" collapsed="false">
      <c r="A169" s="38"/>
      <c r="B169" s="11"/>
      <c r="C169" s="10"/>
      <c r="D169" s="39"/>
      <c r="E169" s="12"/>
      <c r="F169" s="40"/>
      <c r="G169" s="18" t="str">
        <f aca="false">IF(AND(ISNUMBER($E169),ISNUMBER($F169),$D169&lt;&gt;"R"),$E169*$F169,"")</f>
        <v/>
      </c>
      <c r="H169" s="10"/>
    </row>
    <row r="170" customFormat="false" ht="15.75" hidden="false" customHeight="true" outlineLevel="0" collapsed="false">
      <c r="A170" s="38"/>
      <c r="B170" s="11"/>
      <c r="C170" s="10"/>
      <c r="D170" s="39"/>
      <c r="E170" s="12"/>
      <c r="F170" s="40"/>
      <c r="G170" s="18" t="str">
        <f aca="false">IF(AND(ISNUMBER($E170),ISNUMBER($F170),$D170&lt;&gt;"R"),$E170*$F170,"")</f>
        <v/>
      </c>
      <c r="H170" s="10"/>
    </row>
    <row r="171" customFormat="false" ht="15.75" hidden="false" customHeight="true" outlineLevel="0" collapsed="false">
      <c r="A171" s="38"/>
      <c r="B171" s="11"/>
      <c r="C171" s="10"/>
      <c r="D171" s="39"/>
      <c r="E171" s="12"/>
      <c r="F171" s="40"/>
      <c r="G171" s="18" t="str">
        <f aca="false">IF(AND(ISNUMBER($E171),ISNUMBER($F171),$D171&lt;&gt;"R"),$E171*$F171,"")</f>
        <v/>
      </c>
      <c r="H171" s="10"/>
    </row>
    <row r="172" customFormat="false" ht="15.75" hidden="false" customHeight="true" outlineLevel="0" collapsed="false">
      <c r="A172" s="38"/>
      <c r="B172" s="11"/>
      <c r="C172" s="10"/>
      <c r="D172" s="39"/>
      <c r="E172" s="12"/>
      <c r="F172" s="40"/>
      <c r="G172" s="18" t="str">
        <f aca="false">IF(AND(ISNUMBER($E172),ISNUMBER($F172),$D172&lt;&gt;"R"),$E172*$F172,"")</f>
        <v/>
      </c>
      <c r="H172" s="10"/>
    </row>
    <row r="173" customFormat="false" ht="15.75" hidden="false" customHeight="true" outlineLevel="0" collapsed="false">
      <c r="A173" s="38"/>
      <c r="B173" s="11"/>
      <c r="C173" s="10"/>
      <c r="D173" s="39"/>
      <c r="E173" s="12"/>
      <c r="F173" s="40"/>
      <c r="G173" s="18" t="str">
        <f aca="false">IF(AND(ISNUMBER($E173),ISNUMBER($F173),$D173&lt;&gt;"R"),$E173*$F173,"")</f>
        <v/>
      </c>
      <c r="H173" s="10"/>
    </row>
    <row r="174" customFormat="false" ht="15.75" hidden="false" customHeight="true" outlineLevel="0" collapsed="false">
      <c r="A174" s="38"/>
      <c r="B174" s="11"/>
      <c r="C174" s="10"/>
      <c r="D174" s="39"/>
      <c r="E174" s="12"/>
      <c r="F174" s="40"/>
      <c r="G174" s="18" t="str">
        <f aca="false">IF(AND(ISNUMBER($E174),ISNUMBER($F174),$D174&lt;&gt;"R"),$E174*$F174,"")</f>
        <v/>
      </c>
      <c r="H174" s="10"/>
    </row>
    <row r="175" customFormat="false" ht="15.75" hidden="false" customHeight="true" outlineLevel="0" collapsed="false">
      <c r="A175" s="38"/>
      <c r="B175" s="11"/>
      <c r="C175" s="10"/>
      <c r="D175" s="39"/>
      <c r="E175" s="12"/>
      <c r="F175" s="40"/>
      <c r="G175" s="18" t="str">
        <f aca="false">IF(AND(ISNUMBER($E175),ISNUMBER($F175),$D175&lt;&gt;"R"),$E175*$F175,"")</f>
        <v/>
      </c>
      <c r="H175" s="10"/>
    </row>
    <row r="176" customFormat="false" ht="15.75" hidden="false" customHeight="true" outlineLevel="0" collapsed="false">
      <c r="A176" s="38"/>
      <c r="B176" s="11"/>
      <c r="C176" s="10"/>
      <c r="D176" s="39"/>
      <c r="E176" s="12"/>
      <c r="F176" s="40"/>
      <c r="G176" s="18" t="str">
        <f aca="false">IF(AND(ISNUMBER($E176),ISNUMBER($F176),$D176&lt;&gt;"R"),$E176*$F176,"")</f>
        <v/>
      </c>
      <c r="H176" s="10"/>
    </row>
    <row r="177" customFormat="false" ht="15.75" hidden="false" customHeight="true" outlineLevel="0" collapsed="false">
      <c r="A177" s="38"/>
      <c r="B177" s="11"/>
      <c r="C177" s="10"/>
      <c r="D177" s="39"/>
      <c r="E177" s="12"/>
      <c r="F177" s="40"/>
      <c r="G177" s="18" t="str">
        <f aca="false">IF(AND(ISNUMBER($E177),ISNUMBER($F177),$D177&lt;&gt;"R"),$E177*$F177,"")</f>
        <v/>
      </c>
      <c r="H177" s="10"/>
    </row>
    <row r="178" customFormat="false" ht="15.75" hidden="false" customHeight="true" outlineLevel="0" collapsed="false">
      <c r="A178" s="38"/>
      <c r="B178" s="11"/>
      <c r="C178" s="10"/>
      <c r="D178" s="39"/>
      <c r="E178" s="12"/>
      <c r="F178" s="40"/>
      <c r="G178" s="18" t="str">
        <f aca="false">IF(AND(ISNUMBER($E178),ISNUMBER($F178),$D178&lt;&gt;"R"),$E178*$F178,"")</f>
        <v/>
      </c>
      <c r="H178" s="10"/>
    </row>
    <row r="179" customFormat="false" ht="15.75" hidden="false" customHeight="true" outlineLevel="0" collapsed="false">
      <c r="A179" s="38"/>
      <c r="B179" s="11"/>
      <c r="C179" s="10"/>
      <c r="D179" s="39"/>
      <c r="E179" s="12"/>
      <c r="F179" s="40"/>
      <c r="G179" s="18" t="str">
        <f aca="false">IF(AND(ISNUMBER($E179),ISNUMBER($F179),$D179&lt;&gt;"R"),$E179*$F179,"")</f>
        <v/>
      </c>
      <c r="H179" s="10"/>
    </row>
    <row r="180" customFormat="false" ht="15.75" hidden="false" customHeight="true" outlineLevel="0" collapsed="false">
      <c r="A180" s="38"/>
      <c r="B180" s="11"/>
      <c r="C180" s="10"/>
      <c r="D180" s="39"/>
      <c r="E180" s="12"/>
      <c r="F180" s="40"/>
      <c r="G180" s="18" t="str">
        <f aca="false">IF(AND(ISNUMBER($E180),ISNUMBER($F180),$D180&lt;&gt;"R"),$E180*$F180,"")</f>
        <v/>
      </c>
      <c r="H180" s="10"/>
    </row>
    <row r="181" customFormat="false" ht="15.75" hidden="false" customHeight="true" outlineLevel="0" collapsed="false">
      <c r="A181" s="38"/>
      <c r="B181" s="11"/>
      <c r="C181" s="10"/>
      <c r="D181" s="39"/>
      <c r="E181" s="12"/>
      <c r="F181" s="40"/>
      <c r="G181" s="18" t="str">
        <f aca="false">IF(AND(ISNUMBER($E181),ISNUMBER($F181),$D181&lt;&gt;"R"),$E181*$F181,"")</f>
        <v/>
      </c>
      <c r="H181" s="10"/>
    </row>
    <row r="182" customFormat="false" ht="15.75" hidden="false" customHeight="true" outlineLevel="0" collapsed="false">
      <c r="A182" s="38"/>
      <c r="B182" s="11"/>
      <c r="C182" s="10"/>
      <c r="D182" s="39"/>
      <c r="E182" s="12"/>
      <c r="F182" s="40"/>
      <c r="G182" s="18" t="str">
        <f aca="false">IF(AND(ISNUMBER($E182),ISNUMBER($F182),$D182&lt;&gt;"R"),$E182*$F182,"")</f>
        <v/>
      </c>
      <c r="H182" s="10"/>
    </row>
    <row r="183" customFormat="false" ht="15.75" hidden="false" customHeight="true" outlineLevel="0" collapsed="false">
      <c r="A183" s="38"/>
      <c r="B183" s="11"/>
      <c r="C183" s="10"/>
      <c r="D183" s="39"/>
      <c r="E183" s="12"/>
      <c r="F183" s="40"/>
      <c r="G183" s="18" t="str">
        <f aca="false">IF(AND(ISNUMBER($E183),ISNUMBER($F183),$D183&lt;&gt;"R"),$E183*$F183,"")</f>
        <v/>
      </c>
      <c r="H183" s="10"/>
    </row>
    <row r="184" customFormat="false" ht="15.75" hidden="false" customHeight="true" outlineLevel="0" collapsed="false">
      <c r="A184" s="38"/>
      <c r="B184" s="11"/>
      <c r="C184" s="10"/>
      <c r="D184" s="39"/>
      <c r="E184" s="12"/>
      <c r="F184" s="40"/>
      <c r="G184" s="18" t="str">
        <f aca="false">IF(AND(ISNUMBER($E184),ISNUMBER($F184),$D184&lt;&gt;"R"),$E184*$F184,"")</f>
        <v/>
      </c>
      <c r="H184" s="10"/>
    </row>
    <row r="185" customFormat="false" ht="15.75" hidden="false" customHeight="true" outlineLevel="0" collapsed="false">
      <c r="A185" s="38"/>
      <c r="B185" s="11"/>
      <c r="C185" s="10"/>
      <c r="D185" s="39"/>
      <c r="E185" s="12"/>
      <c r="F185" s="40"/>
      <c r="G185" s="18" t="str">
        <f aca="false">IF(AND(ISNUMBER($E185),ISNUMBER($F185),$D185&lt;&gt;"R"),$E185*$F185,"")</f>
        <v/>
      </c>
      <c r="H185" s="10"/>
    </row>
    <row r="186" customFormat="false" ht="15.75" hidden="false" customHeight="true" outlineLevel="0" collapsed="false">
      <c r="A186" s="38"/>
      <c r="B186" s="11"/>
      <c r="C186" s="10"/>
      <c r="D186" s="39"/>
      <c r="E186" s="12"/>
      <c r="F186" s="40"/>
      <c r="G186" s="18" t="str">
        <f aca="false">IF(AND(ISNUMBER($E186),ISNUMBER($F186),$D186&lt;&gt;"R"),$E186*$F186,"")</f>
        <v/>
      </c>
      <c r="H186" s="10"/>
    </row>
    <row r="187" customFormat="false" ht="15.75" hidden="false" customHeight="true" outlineLevel="0" collapsed="false">
      <c r="A187" s="38"/>
      <c r="B187" s="11"/>
      <c r="C187" s="10"/>
      <c r="D187" s="39"/>
      <c r="E187" s="12"/>
      <c r="F187" s="40"/>
      <c r="G187" s="18" t="str">
        <f aca="false">IF(AND(ISNUMBER($E187),ISNUMBER($F187),$D187&lt;&gt;"R"),$E187*$F187,"")</f>
        <v/>
      </c>
      <c r="H187" s="10"/>
    </row>
    <row r="188" customFormat="false" ht="15.75" hidden="false" customHeight="true" outlineLevel="0" collapsed="false">
      <c r="A188" s="38"/>
      <c r="B188" s="11"/>
      <c r="C188" s="10"/>
      <c r="D188" s="39"/>
      <c r="E188" s="12"/>
      <c r="F188" s="40"/>
      <c r="G188" s="18" t="str">
        <f aca="false">IF(AND(ISNUMBER($E188),ISNUMBER($F188),$D188&lt;&gt;"R"),$E188*$F188,"")</f>
        <v/>
      </c>
      <c r="H188" s="10"/>
    </row>
    <row r="189" customFormat="false" ht="15.75" hidden="false" customHeight="true" outlineLevel="0" collapsed="false">
      <c r="A189" s="38"/>
      <c r="B189" s="11"/>
      <c r="C189" s="10"/>
      <c r="D189" s="39"/>
      <c r="E189" s="12"/>
      <c r="F189" s="40"/>
      <c r="G189" s="18" t="str">
        <f aca="false">IF(AND(ISNUMBER($E189),ISNUMBER($F189),$D189&lt;&gt;"R"),$E189*$F189,"")</f>
        <v/>
      </c>
      <c r="H189" s="10"/>
    </row>
    <row r="190" customFormat="false" ht="15.75" hidden="false" customHeight="true" outlineLevel="0" collapsed="false">
      <c r="A190" s="38"/>
      <c r="B190" s="11"/>
      <c r="C190" s="10"/>
      <c r="D190" s="39"/>
      <c r="E190" s="12"/>
      <c r="F190" s="40"/>
      <c r="G190" s="18" t="str">
        <f aca="false">IF(AND(ISNUMBER($E190),ISNUMBER($F190),$D190&lt;&gt;"R"),$E190*$F190,"")</f>
        <v/>
      </c>
      <c r="H190" s="10"/>
    </row>
    <row r="191" customFormat="false" ht="15.75" hidden="false" customHeight="true" outlineLevel="0" collapsed="false">
      <c r="A191" s="38"/>
      <c r="B191" s="11"/>
      <c r="C191" s="10"/>
      <c r="D191" s="39"/>
      <c r="E191" s="12"/>
      <c r="F191" s="40"/>
      <c r="G191" s="18" t="str">
        <f aca="false">IF(AND(ISNUMBER($E191),ISNUMBER($F191),$D191&lt;&gt;"R"),$E191*$F191,"")</f>
        <v/>
      </c>
      <c r="H191" s="10"/>
    </row>
    <row r="192" customFormat="false" ht="15.75" hidden="false" customHeight="true" outlineLevel="0" collapsed="false">
      <c r="A192" s="38"/>
      <c r="B192" s="11"/>
      <c r="C192" s="10"/>
      <c r="D192" s="39"/>
      <c r="E192" s="12"/>
      <c r="F192" s="40"/>
      <c r="G192" s="18" t="str">
        <f aca="false">IF(AND(ISNUMBER($E192),ISNUMBER($F192),$D192&lt;&gt;"R"),$E192*$F192,"")</f>
        <v/>
      </c>
      <c r="H192" s="10"/>
    </row>
    <row r="193" customFormat="false" ht="15.75" hidden="false" customHeight="true" outlineLevel="0" collapsed="false">
      <c r="A193" s="38"/>
      <c r="B193" s="11"/>
      <c r="C193" s="10"/>
      <c r="D193" s="39"/>
      <c r="E193" s="12"/>
      <c r="F193" s="40"/>
      <c r="G193" s="18" t="str">
        <f aca="false">IF(AND(ISNUMBER($E193),ISNUMBER($F193),$D193&lt;&gt;"R"),$E193*$F193,"")</f>
        <v/>
      </c>
      <c r="H193" s="10"/>
    </row>
    <row r="194" customFormat="false" ht="15.75" hidden="false" customHeight="true" outlineLevel="0" collapsed="false">
      <c r="A194" s="38"/>
      <c r="B194" s="11"/>
      <c r="C194" s="10"/>
      <c r="D194" s="39"/>
      <c r="E194" s="12"/>
      <c r="F194" s="40"/>
      <c r="G194" s="18" t="str">
        <f aca="false">IF(AND(ISNUMBER($E194),ISNUMBER($F194),$D194&lt;&gt;"R"),$E194*$F194,"")</f>
        <v/>
      </c>
      <c r="H194" s="10"/>
    </row>
    <row r="195" customFormat="false" ht="15.75" hidden="false" customHeight="true" outlineLevel="0" collapsed="false">
      <c r="A195" s="38"/>
      <c r="B195" s="11"/>
      <c r="C195" s="10"/>
      <c r="D195" s="39"/>
      <c r="E195" s="12"/>
      <c r="F195" s="40"/>
      <c r="G195" s="18" t="str">
        <f aca="false">IF(AND(ISNUMBER($E195),ISNUMBER($F195),$D195&lt;&gt;"R"),$E195*$F195,"")</f>
        <v/>
      </c>
      <c r="H195" s="10"/>
    </row>
    <row r="196" customFormat="false" ht="15.75" hidden="false" customHeight="true" outlineLevel="0" collapsed="false">
      <c r="A196" s="38"/>
      <c r="B196" s="11"/>
      <c r="C196" s="10"/>
      <c r="D196" s="39"/>
      <c r="E196" s="12"/>
      <c r="F196" s="40"/>
      <c r="G196" s="18" t="str">
        <f aca="false">IF(AND(ISNUMBER($E196),ISNUMBER($F196),$D196&lt;&gt;"R"),$E196*$F196,"")</f>
        <v/>
      </c>
      <c r="H196" s="10"/>
    </row>
    <row r="197" customFormat="false" ht="15.75" hidden="false" customHeight="true" outlineLevel="0" collapsed="false">
      <c r="A197" s="38"/>
      <c r="B197" s="11"/>
      <c r="C197" s="10"/>
      <c r="D197" s="39"/>
      <c r="E197" s="12"/>
      <c r="F197" s="40"/>
      <c r="G197" s="18" t="str">
        <f aca="false">IF(AND(ISNUMBER($E197),ISNUMBER($F197),$D197&lt;&gt;"R"),$E197*$F197,"")</f>
        <v/>
      </c>
      <c r="H197" s="10"/>
    </row>
    <row r="198" customFormat="false" ht="15.75" hidden="false" customHeight="true" outlineLevel="0" collapsed="false">
      <c r="A198" s="38"/>
      <c r="B198" s="11"/>
      <c r="C198" s="10"/>
      <c r="D198" s="39"/>
      <c r="E198" s="12"/>
      <c r="F198" s="40"/>
      <c r="G198" s="18" t="str">
        <f aca="false">IF(AND(ISNUMBER($E198),ISNUMBER($F198),$D198&lt;&gt;"R"),$E198*$F198,"")</f>
        <v/>
      </c>
      <c r="H198" s="10"/>
    </row>
    <row r="199" customFormat="false" ht="15.75" hidden="false" customHeight="true" outlineLevel="0" collapsed="false">
      <c r="A199" s="38"/>
      <c r="B199" s="11"/>
      <c r="C199" s="10"/>
      <c r="D199" s="39"/>
      <c r="E199" s="12"/>
      <c r="F199" s="40"/>
      <c r="G199" s="18" t="str">
        <f aca="false">IF(AND(ISNUMBER($E199),ISNUMBER($F199),$D199&lt;&gt;"R"),$E199*$F199,"")</f>
        <v/>
      </c>
      <c r="H199" s="10"/>
    </row>
    <row r="200" customFormat="false" ht="15.75" hidden="false" customHeight="true" outlineLevel="0" collapsed="false">
      <c r="A200" s="38"/>
      <c r="B200" s="11"/>
      <c r="C200" s="10"/>
      <c r="D200" s="39"/>
      <c r="E200" s="12"/>
      <c r="F200" s="40"/>
      <c r="G200" s="18" t="str">
        <f aca="false">IF(AND(ISNUMBER($E200),ISNUMBER($F200),$D200&lt;&gt;"R"),$E200*$F200,"")</f>
        <v/>
      </c>
      <c r="H200" s="10"/>
    </row>
    <row r="201" customFormat="false" ht="15.75" hidden="false" customHeight="true" outlineLevel="0" collapsed="false">
      <c r="A201" s="38"/>
      <c r="B201" s="11"/>
      <c r="C201" s="10"/>
      <c r="D201" s="39"/>
      <c r="E201" s="12"/>
      <c r="F201" s="40"/>
      <c r="G201" s="18" t="str">
        <f aca="false">IF(AND(ISNUMBER($E201),ISNUMBER($F201),$D201&lt;&gt;"R"),$E201*$F201,"")</f>
        <v/>
      </c>
      <c r="H201" s="10"/>
    </row>
    <row r="202" customFormat="false" ht="15.75" hidden="false" customHeight="true" outlineLevel="0" collapsed="false">
      <c r="A202" s="38"/>
      <c r="B202" s="11"/>
      <c r="C202" s="10"/>
      <c r="D202" s="39"/>
      <c r="E202" s="12"/>
      <c r="F202" s="40"/>
      <c r="G202" s="18" t="str">
        <f aca="false">IF(AND(ISNUMBER($E202),ISNUMBER($F202),$D202&lt;&gt;"R"),$E202*$F202,"")</f>
        <v/>
      </c>
      <c r="H202" s="10"/>
    </row>
    <row r="203" customFormat="false" ht="15.75" hidden="false" customHeight="true" outlineLevel="0" collapsed="false">
      <c r="A203" s="38"/>
      <c r="B203" s="11"/>
      <c r="C203" s="10"/>
      <c r="D203" s="39"/>
      <c r="E203" s="12"/>
      <c r="F203" s="40"/>
      <c r="G203" s="18" t="str">
        <f aca="false">IF(AND(ISNUMBER($E203),ISNUMBER($F203),$D203&lt;&gt;"R"),$E203*$F203,"")</f>
        <v/>
      </c>
      <c r="H203" s="10"/>
    </row>
    <row r="204" customFormat="false" ht="15.75" hidden="false" customHeight="true" outlineLevel="0" collapsed="false">
      <c r="A204" s="38"/>
      <c r="B204" s="11"/>
      <c r="C204" s="10"/>
      <c r="D204" s="39"/>
      <c r="E204" s="12"/>
      <c r="F204" s="40"/>
      <c r="G204" s="18" t="str">
        <f aca="false">IF(AND(ISNUMBER($E204),ISNUMBER($F204),$D204&lt;&gt;"R"),$E204*$F204,"")</f>
        <v/>
      </c>
      <c r="H204" s="10"/>
    </row>
    <row r="205" customFormat="false" ht="15.75" hidden="false" customHeight="true" outlineLevel="0" collapsed="false">
      <c r="A205" s="38"/>
      <c r="B205" s="11"/>
      <c r="C205" s="10"/>
      <c r="D205" s="39"/>
      <c r="E205" s="12"/>
      <c r="F205" s="40"/>
      <c r="G205" s="18" t="str">
        <f aca="false">IF(AND(ISNUMBER($E205),ISNUMBER($F205),$D205&lt;&gt;"R"),$E205*$F205,"")</f>
        <v/>
      </c>
      <c r="H205" s="10"/>
    </row>
    <row r="206" customFormat="false" ht="15.75" hidden="false" customHeight="true" outlineLevel="0" collapsed="false">
      <c r="A206" s="38"/>
      <c r="B206" s="11"/>
      <c r="C206" s="10"/>
      <c r="D206" s="39"/>
      <c r="E206" s="12"/>
      <c r="F206" s="40"/>
      <c r="G206" s="18" t="str">
        <f aca="false">IF(AND(ISNUMBER($E206),ISNUMBER($F206),$D206&lt;&gt;"R"),$E206*$F206,"")</f>
        <v/>
      </c>
      <c r="H206" s="10"/>
    </row>
    <row r="207" customFormat="false" ht="15.75" hidden="false" customHeight="true" outlineLevel="0" collapsed="false">
      <c r="A207" s="38"/>
      <c r="B207" s="11"/>
      <c r="C207" s="10"/>
      <c r="D207" s="39"/>
      <c r="E207" s="12"/>
      <c r="F207" s="40"/>
      <c r="G207" s="18" t="str">
        <f aca="false">IF(AND(ISNUMBER($E207),ISNUMBER($F207),$D207&lt;&gt;"R"),$E207*$F207,"")</f>
        <v/>
      </c>
      <c r="H207" s="10"/>
    </row>
    <row r="208" customFormat="false" ht="15.75" hidden="false" customHeight="true" outlineLevel="0" collapsed="false">
      <c r="A208" s="38"/>
      <c r="B208" s="11"/>
      <c r="C208" s="10"/>
      <c r="D208" s="39"/>
      <c r="E208" s="12"/>
      <c r="F208" s="40"/>
      <c r="G208" s="18" t="str">
        <f aca="false">IF(AND(ISNUMBER($E208),ISNUMBER($F208),$D208&lt;&gt;"R"),$E208*$F208,"")</f>
        <v/>
      </c>
      <c r="H208" s="10"/>
    </row>
    <row r="209" customFormat="false" ht="15.75" hidden="false" customHeight="true" outlineLevel="0" collapsed="false">
      <c r="A209" s="38"/>
      <c r="B209" s="11"/>
      <c r="C209" s="10"/>
      <c r="D209" s="39"/>
      <c r="E209" s="12"/>
      <c r="F209" s="40"/>
      <c r="G209" s="18" t="str">
        <f aca="false">IF(AND(ISNUMBER($E209),ISNUMBER($F209),$D209&lt;&gt;"R"),$E209*$F209,"")</f>
        <v/>
      </c>
      <c r="H209" s="10"/>
    </row>
    <row r="210" customFormat="false" ht="15.75" hidden="false" customHeight="true" outlineLevel="0" collapsed="false">
      <c r="A210" s="38"/>
      <c r="B210" s="11"/>
      <c r="C210" s="10"/>
      <c r="D210" s="39"/>
      <c r="E210" s="12"/>
      <c r="F210" s="40"/>
      <c r="G210" s="18" t="str">
        <f aca="false">IF(AND(ISNUMBER($E210),ISNUMBER($F210),$D210&lt;&gt;"R"),$E210*$F210,"")</f>
        <v/>
      </c>
      <c r="H210" s="10"/>
    </row>
    <row r="211" customFormat="false" ht="15.75" hidden="false" customHeight="true" outlineLevel="0" collapsed="false">
      <c r="A211" s="38"/>
      <c r="B211" s="11"/>
      <c r="C211" s="10"/>
      <c r="D211" s="39"/>
      <c r="E211" s="12"/>
      <c r="F211" s="40"/>
      <c r="G211" s="18" t="str">
        <f aca="false">IF(AND(ISNUMBER($E211),ISNUMBER($F211),$D211&lt;&gt;"R"),$E211*$F211,"")</f>
        <v/>
      </c>
      <c r="H211" s="10"/>
    </row>
    <row r="212" customFormat="false" ht="15.75" hidden="false" customHeight="true" outlineLevel="0" collapsed="false">
      <c r="A212" s="38"/>
      <c r="B212" s="11"/>
      <c r="C212" s="10"/>
      <c r="D212" s="39"/>
      <c r="E212" s="12"/>
      <c r="F212" s="40"/>
      <c r="G212" s="18" t="str">
        <f aca="false">IF(AND(ISNUMBER($E212),ISNUMBER($F212),$D212&lt;&gt;"R"),$E212*$F212,"")</f>
        <v/>
      </c>
      <c r="H212" s="10"/>
    </row>
    <row r="213" customFormat="false" ht="15.75" hidden="false" customHeight="true" outlineLevel="0" collapsed="false">
      <c r="A213" s="38"/>
      <c r="B213" s="11"/>
      <c r="C213" s="10"/>
      <c r="D213" s="39"/>
      <c r="E213" s="12"/>
      <c r="F213" s="40"/>
      <c r="G213" s="18" t="str">
        <f aca="false">IF(AND(ISNUMBER($E213),ISNUMBER($F213),$D213&lt;&gt;"R"),$E213*$F213,"")</f>
        <v/>
      </c>
      <c r="H213" s="10"/>
    </row>
    <row r="214" customFormat="false" ht="15.75" hidden="false" customHeight="true" outlineLevel="0" collapsed="false">
      <c r="A214" s="38"/>
      <c r="B214" s="11"/>
      <c r="C214" s="10"/>
      <c r="D214" s="39"/>
      <c r="E214" s="12"/>
      <c r="F214" s="40"/>
      <c r="G214" s="18" t="str">
        <f aca="false">IF(AND(ISNUMBER($E214),ISNUMBER($F214),$D214&lt;&gt;"R"),$E214*$F214,"")</f>
        <v/>
      </c>
      <c r="H214" s="10"/>
    </row>
    <row r="215" customFormat="false" ht="15.75" hidden="false" customHeight="true" outlineLevel="0" collapsed="false">
      <c r="A215" s="38"/>
      <c r="B215" s="11"/>
      <c r="C215" s="10"/>
      <c r="D215" s="39"/>
      <c r="E215" s="12"/>
      <c r="F215" s="40"/>
      <c r="G215" s="18" t="str">
        <f aca="false">IF(AND(ISNUMBER($E215),ISNUMBER($F215),$D215&lt;&gt;"R"),$E215*$F215,"")</f>
        <v/>
      </c>
      <c r="H215" s="10"/>
    </row>
    <row r="216" customFormat="false" ht="15.75" hidden="false" customHeight="true" outlineLevel="0" collapsed="false">
      <c r="A216" s="38"/>
      <c r="B216" s="11"/>
      <c r="C216" s="10"/>
      <c r="D216" s="39"/>
      <c r="E216" s="12"/>
      <c r="F216" s="40"/>
      <c r="G216" s="18" t="str">
        <f aca="false">IF(AND(ISNUMBER($E216),ISNUMBER($F216),$D216&lt;&gt;"R"),$E216*$F216,"")</f>
        <v/>
      </c>
      <c r="H216" s="10"/>
    </row>
    <row r="217" customFormat="false" ht="15.75" hidden="false" customHeight="true" outlineLevel="0" collapsed="false">
      <c r="A217" s="38"/>
      <c r="B217" s="11"/>
      <c r="C217" s="10"/>
      <c r="D217" s="39"/>
      <c r="E217" s="12"/>
      <c r="F217" s="40"/>
      <c r="G217" s="18" t="str">
        <f aca="false">IF(AND(ISNUMBER($E217),ISNUMBER($F217),$D217&lt;&gt;"R"),$E217*$F217,"")</f>
        <v/>
      </c>
      <c r="H217" s="10"/>
    </row>
    <row r="218" customFormat="false" ht="15.75" hidden="false" customHeight="true" outlineLevel="0" collapsed="false">
      <c r="A218" s="38"/>
      <c r="B218" s="11"/>
      <c r="C218" s="10"/>
      <c r="D218" s="39"/>
      <c r="E218" s="12"/>
      <c r="F218" s="40"/>
      <c r="G218" s="18" t="str">
        <f aca="false">IF(AND(ISNUMBER($E218),ISNUMBER($F218),$D218&lt;&gt;"R"),$E218*$F218,"")</f>
        <v/>
      </c>
      <c r="H218" s="10"/>
    </row>
    <row r="219" customFormat="false" ht="15.75" hidden="false" customHeight="true" outlineLevel="0" collapsed="false">
      <c r="A219" s="38"/>
      <c r="B219" s="11"/>
      <c r="C219" s="10"/>
      <c r="D219" s="39"/>
      <c r="E219" s="12"/>
      <c r="F219" s="40"/>
      <c r="G219" s="18" t="str">
        <f aca="false">IF(AND(ISNUMBER($E219),ISNUMBER($F219),$D219&lt;&gt;"R"),$E219*$F219,"")</f>
        <v/>
      </c>
      <c r="H219" s="10"/>
    </row>
    <row r="220" customFormat="false" ht="15.75" hidden="false" customHeight="true" outlineLevel="0" collapsed="false">
      <c r="A220" s="38"/>
      <c r="B220" s="11"/>
      <c r="C220" s="10"/>
      <c r="D220" s="39"/>
      <c r="E220" s="12"/>
      <c r="F220" s="40"/>
      <c r="G220" s="18" t="str">
        <f aca="false">IF(AND(ISNUMBER($E220),ISNUMBER($F220),$D220&lt;&gt;"R"),$E220*$F220,"")</f>
        <v/>
      </c>
      <c r="H220" s="10"/>
    </row>
    <row r="221" customFormat="false" ht="15.75" hidden="false" customHeight="true" outlineLevel="0" collapsed="false">
      <c r="A221" s="38"/>
      <c r="B221" s="11"/>
      <c r="C221" s="10"/>
      <c r="D221" s="39"/>
      <c r="E221" s="12"/>
      <c r="F221" s="40"/>
      <c r="G221" s="18" t="str">
        <f aca="false">IF(AND(ISNUMBER($E221),ISNUMBER($F221),$D221&lt;&gt;"R"),$E221*$F221,"")</f>
        <v/>
      </c>
      <c r="H221" s="10"/>
    </row>
    <row r="222" customFormat="false" ht="15.75" hidden="false" customHeight="true" outlineLevel="0" collapsed="false">
      <c r="A222" s="38"/>
      <c r="B222" s="11"/>
      <c r="C222" s="10"/>
      <c r="D222" s="39"/>
      <c r="E222" s="12"/>
      <c r="F222" s="40"/>
      <c r="G222" s="18" t="str">
        <f aca="false">IF(AND(ISNUMBER($E222),ISNUMBER($F222),$D222&lt;&gt;"R"),$E222*$F222,"")</f>
        <v/>
      </c>
      <c r="H222" s="10"/>
    </row>
    <row r="223" customFormat="false" ht="15.75" hidden="false" customHeight="true" outlineLevel="0" collapsed="false">
      <c r="A223" s="38"/>
      <c r="B223" s="11"/>
      <c r="C223" s="10"/>
      <c r="D223" s="39"/>
      <c r="E223" s="12"/>
      <c r="F223" s="40"/>
      <c r="G223" s="18" t="str">
        <f aca="false">IF(AND(ISNUMBER($E223),ISNUMBER($F223),$D223&lt;&gt;"R"),$E223*$F223,"")</f>
        <v/>
      </c>
      <c r="H223" s="10"/>
    </row>
    <row r="224" customFormat="false" ht="15.75" hidden="false" customHeight="true" outlineLevel="0" collapsed="false">
      <c r="A224" s="38"/>
      <c r="B224" s="11"/>
      <c r="C224" s="10"/>
      <c r="D224" s="39"/>
      <c r="E224" s="12"/>
      <c r="F224" s="40"/>
      <c r="G224" s="18" t="str">
        <f aca="false">IF(AND(ISNUMBER($E224),ISNUMBER($F224),$D224&lt;&gt;"R"),$E224*$F224,"")</f>
        <v/>
      </c>
      <c r="H224" s="10"/>
    </row>
    <row r="225" customFormat="false" ht="15.75" hidden="false" customHeight="true" outlineLevel="0" collapsed="false">
      <c r="A225" s="38"/>
      <c r="B225" s="11"/>
      <c r="C225" s="10"/>
      <c r="D225" s="39"/>
      <c r="E225" s="12"/>
      <c r="F225" s="40"/>
      <c r="G225" s="18" t="str">
        <f aca="false">IF(AND(ISNUMBER($E225),ISNUMBER($F225),$D225&lt;&gt;"R"),$E225*$F225,"")</f>
        <v/>
      </c>
      <c r="H225" s="10"/>
    </row>
    <row r="226" customFormat="false" ht="15.75" hidden="false" customHeight="true" outlineLevel="0" collapsed="false">
      <c r="A226" s="38"/>
      <c r="B226" s="11"/>
      <c r="C226" s="10"/>
      <c r="D226" s="39"/>
      <c r="E226" s="12"/>
      <c r="F226" s="40"/>
      <c r="G226" s="18" t="str">
        <f aca="false">IF(AND(ISNUMBER($E226),ISNUMBER($F226),$D226&lt;&gt;"R"),$E226*$F226,"")</f>
        <v/>
      </c>
      <c r="H226" s="10"/>
    </row>
    <row r="227" customFormat="false" ht="15.75" hidden="false" customHeight="true" outlineLevel="0" collapsed="false">
      <c r="A227" s="38"/>
      <c r="B227" s="11"/>
      <c r="C227" s="10"/>
      <c r="D227" s="39"/>
      <c r="E227" s="12"/>
      <c r="F227" s="40"/>
      <c r="G227" s="18" t="str">
        <f aca="false">IF(AND(ISNUMBER($E227),ISNUMBER($F227),$D227&lt;&gt;"R"),$E227*$F227,"")</f>
        <v/>
      </c>
      <c r="H227" s="10"/>
    </row>
    <row r="228" customFormat="false" ht="15.75" hidden="false" customHeight="true" outlineLevel="0" collapsed="false">
      <c r="A228" s="38"/>
      <c r="B228" s="11"/>
      <c r="C228" s="10"/>
      <c r="D228" s="39"/>
      <c r="E228" s="12"/>
      <c r="F228" s="40"/>
      <c r="G228" s="18" t="str">
        <f aca="false">IF(AND(ISNUMBER($E228),ISNUMBER($F228),$D228&lt;&gt;"R"),$E228*$F228,"")</f>
        <v/>
      </c>
      <c r="H228" s="10"/>
    </row>
    <row r="229" customFormat="false" ht="15.75" hidden="false" customHeight="true" outlineLevel="0" collapsed="false">
      <c r="A229" s="38"/>
      <c r="B229" s="11"/>
      <c r="C229" s="10"/>
      <c r="D229" s="39"/>
      <c r="E229" s="12"/>
      <c r="F229" s="40"/>
      <c r="G229" s="18" t="str">
        <f aca="false">IF(AND(ISNUMBER($E229),ISNUMBER($F229),$D229&lt;&gt;"R"),$E229*$F229,"")</f>
        <v/>
      </c>
      <c r="H229" s="10"/>
    </row>
    <row r="230" customFormat="false" ht="15.75" hidden="false" customHeight="true" outlineLevel="0" collapsed="false">
      <c r="A230" s="38"/>
      <c r="B230" s="11"/>
      <c r="C230" s="10"/>
      <c r="D230" s="39"/>
      <c r="E230" s="12"/>
      <c r="F230" s="40"/>
      <c r="G230" s="18" t="str">
        <f aca="false">IF(AND(ISNUMBER($E230),ISNUMBER($F230),$D230&lt;&gt;"R"),$E230*$F230,"")</f>
        <v/>
      </c>
      <c r="H230" s="10"/>
    </row>
    <row r="231" customFormat="false" ht="15.75" hidden="false" customHeight="true" outlineLevel="0" collapsed="false">
      <c r="A231" s="38"/>
      <c r="B231" s="11"/>
      <c r="C231" s="10"/>
      <c r="D231" s="39"/>
      <c r="E231" s="12"/>
      <c r="F231" s="40"/>
      <c r="G231" s="18" t="str">
        <f aca="false">IF(AND(ISNUMBER($E231),ISNUMBER($F231),$D231&lt;&gt;"R"),$E231*$F231,"")</f>
        <v/>
      </c>
      <c r="H231" s="10"/>
    </row>
    <row r="232" customFormat="false" ht="15.75" hidden="false" customHeight="true" outlineLevel="0" collapsed="false">
      <c r="A232" s="38"/>
      <c r="B232" s="11"/>
      <c r="C232" s="10"/>
      <c r="D232" s="39"/>
      <c r="E232" s="12"/>
      <c r="F232" s="40"/>
      <c r="G232" s="18" t="str">
        <f aca="false">IF(AND(ISNUMBER($E232),ISNUMBER($F232),$D232&lt;&gt;"R"),$E232*$F232,"")</f>
        <v/>
      </c>
      <c r="H232" s="10"/>
    </row>
    <row r="233" customFormat="false" ht="15.75" hidden="false" customHeight="true" outlineLevel="0" collapsed="false">
      <c r="A233" s="38"/>
      <c r="B233" s="11"/>
      <c r="C233" s="10"/>
      <c r="D233" s="39"/>
      <c r="E233" s="12"/>
      <c r="F233" s="40"/>
      <c r="G233" s="18" t="str">
        <f aca="false">IF(AND(ISNUMBER($E233),ISNUMBER($F233),$D233&lt;&gt;"R"),$E233*$F233,"")</f>
        <v/>
      </c>
      <c r="H233" s="10"/>
    </row>
    <row r="234" customFormat="false" ht="15.75" hidden="false" customHeight="true" outlineLevel="0" collapsed="false">
      <c r="A234" s="38"/>
      <c r="B234" s="11"/>
      <c r="C234" s="10"/>
      <c r="D234" s="39"/>
      <c r="E234" s="12"/>
      <c r="F234" s="40"/>
      <c r="G234" s="18" t="str">
        <f aca="false">IF(AND(ISNUMBER($E234),ISNUMBER($F234),$D234&lt;&gt;"R"),$E234*$F234,"")</f>
        <v/>
      </c>
      <c r="H234" s="10"/>
    </row>
    <row r="235" customFormat="false" ht="15.75" hidden="false" customHeight="true" outlineLevel="0" collapsed="false">
      <c r="A235" s="38"/>
      <c r="B235" s="11"/>
      <c r="C235" s="10"/>
      <c r="D235" s="39"/>
      <c r="E235" s="12"/>
      <c r="F235" s="40"/>
      <c r="G235" s="18" t="str">
        <f aca="false">IF(AND(ISNUMBER($E235),ISNUMBER($F235),$D235&lt;&gt;"R"),$E235*$F235,"")</f>
        <v/>
      </c>
      <c r="H235" s="10"/>
    </row>
    <row r="236" customFormat="false" ht="15.75" hidden="false" customHeight="true" outlineLevel="0" collapsed="false">
      <c r="A236" s="38"/>
      <c r="B236" s="11"/>
      <c r="C236" s="10"/>
      <c r="D236" s="39"/>
      <c r="E236" s="12"/>
      <c r="F236" s="40"/>
      <c r="G236" s="18" t="str">
        <f aca="false">IF(AND(ISNUMBER($E236),ISNUMBER($F236),$D236&lt;&gt;"R"),$E236*$F236,"")</f>
        <v/>
      </c>
      <c r="H236" s="10"/>
    </row>
    <row r="237" customFormat="false" ht="15.75" hidden="false" customHeight="true" outlineLevel="0" collapsed="false">
      <c r="A237" s="38"/>
      <c r="B237" s="11"/>
      <c r="C237" s="10"/>
      <c r="D237" s="39"/>
      <c r="E237" s="12"/>
      <c r="F237" s="40"/>
      <c r="G237" s="18" t="str">
        <f aca="false">IF(AND(ISNUMBER($E237),ISNUMBER($F237),$D237&lt;&gt;"R"),$E237*$F237,"")</f>
        <v/>
      </c>
      <c r="H237" s="10"/>
    </row>
    <row r="238" customFormat="false" ht="15.75" hidden="false" customHeight="true" outlineLevel="0" collapsed="false">
      <c r="A238" s="38"/>
      <c r="B238" s="11"/>
      <c r="C238" s="10"/>
      <c r="D238" s="39"/>
      <c r="E238" s="12"/>
      <c r="F238" s="40"/>
      <c r="G238" s="18" t="str">
        <f aca="false">IF(AND(ISNUMBER($E238),ISNUMBER($F238),$D238&lt;&gt;"R"),$E238*$F238,"")</f>
        <v/>
      </c>
      <c r="H238" s="10"/>
    </row>
    <row r="239" customFormat="false" ht="15.75" hidden="false" customHeight="true" outlineLevel="0" collapsed="false">
      <c r="A239" s="38"/>
      <c r="B239" s="11"/>
      <c r="C239" s="10"/>
      <c r="D239" s="39"/>
      <c r="E239" s="12"/>
      <c r="F239" s="40"/>
      <c r="G239" s="18" t="str">
        <f aca="false">IF(AND(ISNUMBER($E239),ISNUMBER($F239),$D239&lt;&gt;"R"),$E239*$F239,"")</f>
        <v/>
      </c>
      <c r="H239" s="10"/>
    </row>
    <row r="240" customFormat="false" ht="15.75" hidden="false" customHeight="true" outlineLevel="0" collapsed="false">
      <c r="A240" s="38"/>
      <c r="B240" s="11"/>
      <c r="C240" s="10"/>
      <c r="D240" s="39"/>
      <c r="E240" s="12"/>
      <c r="F240" s="40"/>
      <c r="G240" s="18" t="str">
        <f aca="false">IF(AND(ISNUMBER($E240),ISNUMBER($F240),$D240&lt;&gt;"R"),$E240*$F240,"")</f>
        <v/>
      </c>
      <c r="H240" s="10"/>
    </row>
    <row r="241" customFormat="false" ht="15.75" hidden="false" customHeight="true" outlineLevel="0" collapsed="false">
      <c r="A241" s="38"/>
      <c r="B241" s="11"/>
      <c r="C241" s="10"/>
      <c r="D241" s="39"/>
      <c r="E241" s="12"/>
      <c r="F241" s="40"/>
      <c r="G241" s="18" t="str">
        <f aca="false">IF(AND(ISNUMBER($E241),ISNUMBER($F241),$D241&lt;&gt;"R"),$E241*$F241,"")</f>
        <v/>
      </c>
      <c r="H241" s="10"/>
    </row>
    <row r="242" customFormat="false" ht="15.75" hidden="false" customHeight="true" outlineLevel="0" collapsed="false">
      <c r="A242" s="38"/>
      <c r="B242" s="11"/>
      <c r="C242" s="10"/>
      <c r="D242" s="39"/>
      <c r="E242" s="12"/>
      <c r="F242" s="40"/>
      <c r="G242" s="18" t="str">
        <f aca="false">IF(AND(ISNUMBER($E242),ISNUMBER($F242),$D242&lt;&gt;"R"),$E242*$F242,"")</f>
        <v/>
      </c>
      <c r="H242" s="10"/>
    </row>
    <row r="243" customFormat="false" ht="15.75" hidden="false" customHeight="true" outlineLevel="0" collapsed="false">
      <c r="A243" s="38"/>
      <c r="B243" s="11"/>
      <c r="C243" s="10"/>
      <c r="D243" s="39"/>
      <c r="E243" s="12"/>
      <c r="F243" s="40"/>
      <c r="G243" s="18" t="str">
        <f aca="false">IF(AND(ISNUMBER($E243),ISNUMBER($F243),$D243&lt;&gt;"R"),$E243*$F243,"")</f>
        <v/>
      </c>
      <c r="H243" s="10"/>
    </row>
    <row r="244" customFormat="false" ht="15.75" hidden="false" customHeight="true" outlineLevel="0" collapsed="false">
      <c r="A244" s="38"/>
      <c r="B244" s="11"/>
      <c r="C244" s="10"/>
      <c r="D244" s="39"/>
      <c r="E244" s="12"/>
      <c r="F244" s="40"/>
      <c r="G244" s="18" t="str">
        <f aca="false">IF(AND(ISNUMBER($E244),ISNUMBER($F244),$D244&lt;&gt;"R"),$E244*$F244,"")</f>
        <v/>
      </c>
      <c r="H244" s="10"/>
    </row>
    <row r="245" customFormat="false" ht="15.75" hidden="false" customHeight="true" outlineLevel="0" collapsed="false">
      <c r="A245" s="38"/>
      <c r="B245" s="11"/>
      <c r="C245" s="10"/>
      <c r="D245" s="39"/>
      <c r="E245" s="12"/>
      <c r="F245" s="40"/>
      <c r="G245" s="18" t="str">
        <f aca="false">IF(AND(ISNUMBER($E245),ISNUMBER($F245),$D245&lt;&gt;"R"),$E245*$F245,"")</f>
        <v/>
      </c>
      <c r="H245" s="10"/>
    </row>
    <row r="246" customFormat="false" ht="15.75" hidden="false" customHeight="true" outlineLevel="0" collapsed="false">
      <c r="A246" s="38"/>
      <c r="B246" s="11"/>
      <c r="C246" s="10"/>
      <c r="D246" s="39"/>
      <c r="E246" s="12"/>
      <c r="F246" s="40"/>
      <c r="G246" s="18" t="str">
        <f aca="false">IF(AND(ISNUMBER($E246),ISNUMBER($F246),$D246&lt;&gt;"R"),$E246*$F246,"")</f>
        <v/>
      </c>
      <c r="H246" s="10"/>
    </row>
    <row r="247" customFormat="false" ht="15.75" hidden="false" customHeight="true" outlineLevel="0" collapsed="false">
      <c r="A247" s="38"/>
      <c r="B247" s="11"/>
      <c r="C247" s="10"/>
      <c r="D247" s="39"/>
      <c r="E247" s="12"/>
      <c r="F247" s="40"/>
      <c r="G247" s="18" t="str">
        <f aca="false">IF(AND(ISNUMBER($E247),ISNUMBER($F247),$D247&lt;&gt;"R"),$E247*$F247,"")</f>
        <v/>
      </c>
      <c r="H247" s="10"/>
    </row>
    <row r="248" customFormat="false" ht="15.75" hidden="false" customHeight="true" outlineLevel="0" collapsed="false">
      <c r="A248" s="38"/>
      <c r="B248" s="11"/>
      <c r="C248" s="10"/>
      <c r="D248" s="39"/>
      <c r="E248" s="12"/>
      <c r="F248" s="40"/>
      <c r="G248" s="18" t="str">
        <f aca="false">IF(AND(ISNUMBER($E248),ISNUMBER($F248),$D248&lt;&gt;"R"),$E248*$F248,"")</f>
        <v/>
      </c>
      <c r="H248" s="10"/>
    </row>
    <row r="249" customFormat="false" ht="15.75" hidden="false" customHeight="true" outlineLevel="0" collapsed="false">
      <c r="A249" s="38"/>
      <c r="B249" s="11"/>
      <c r="C249" s="10"/>
      <c r="D249" s="39"/>
      <c r="E249" s="12"/>
      <c r="F249" s="40"/>
      <c r="G249" s="18" t="str">
        <f aca="false">IF(AND(ISNUMBER($E249),ISNUMBER($F249),$D249&lt;&gt;"R"),$E249*$F249,"")</f>
        <v/>
      </c>
      <c r="H249" s="10"/>
    </row>
    <row r="250" customFormat="false" ht="15.75" hidden="false" customHeight="true" outlineLevel="0" collapsed="false">
      <c r="A250" s="38"/>
      <c r="B250" s="11"/>
      <c r="C250" s="10"/>
      <c r="D250" s="39"/>
      <c r="E250" s="12"/>
      <c r="F250" s="40"/>
      <c r="G250" s="18" t="str">
        <f aca="false">IF(AND(ISNUMBER($E250),ISNUMBER($F250),$D250&lt;&gt;"R"),$E250*$F250,"")</f>
        <v/>
      </c>
      <c r="H250" s="10"/>
    </row>
    <row r="251" customFormat="false" ht="15.75" hidden="false" customHeight="true" outlineLevel="0" collapsed="false">
      <c r="A251" s="38"/>
      <c r="B251" s="11"/>
      <c r="C251" s="10"/>
      <c r="D251" s="39"/>
      <c r="E251" s="12"/>
      <c r="F251" s="40"/>
      <c r="G251" s="18" t="str">
        <f aca="false">IF(AND(ISNUMBER($E251),ISNUMBER($F251),$D251&lt;&gt;"R"),$E251*$F251,"")</f>
        <v/>
      </c>
      <c r="H251" s="10"/>
    </row>
    <row r="252" customFormat="false" ht="15.75" hidden="false" customHeight="true" outlineLevel="0" collapsed="false">
      <c r="A252" s="38"/>
      <c r="B252" s="11"/>
      <c r="C252" s="10"/>
      <c r="D252" s="39"/>
      <c r="E252" s="12"/>
      <c r="F252" s="40"/>
      <c r="G252" s="18" t="str">
        <f aca="false">IF(AND(ISNUMBER($E252),ISNUMBER($F252),$D252&lt;&gt;"R"),$E252*$F252,"")</f>
        <v/>
      </c>
      <c r="H252" s="10"/>
    </row>
    <row r="253" customFormat="false" ht="15.75" hidden="false" customHeight="true" outlineLevel="0" collapsed="false">
      <c r="A253" s="38"/>
      <c r="B253" s="11"/>
      <c r="C253" s="10"/>
      <c r="D253" s="39"/>
      <c r="E253" s="12"/>
      <c r="F253" s="40"/>
      <c r="G253" s="18" t="str">
        <f aca="false">IF(AND(ISNUMBER($E253),ISNUMBER($F253),$D253&lt;&gt;"R"),$E253*$F253,"")</f>
        <v/>
      </c>
      <c r="H253" s="10"/>
    </row>
    <row r="254" customFormat="false" ht="15.75" hidden="false" customHeight="true" outlineLevel="0" collapsed="false">
      <c r="A254" s="38"/>
      <c r="B254" s="11"/>
      <c r="C254" s="10"/>
      <c r="D254" s="39"/>
      <c r="E254" s="12"/>
      <c r="F254" s="40"/>
      <c r="G254" s="18" t="str">
        <f aca="false">IF(AND(ISNUMBER($E254),ISNUMBER($F254),$D254&lt;&gt;"R"),$E254*$F254,"")</f>
        <v/>
      </c>
      <c r="H254" s="10"/>
    </row>
    <row r="255" customFormat="false" ht="15.75" hidden="false" customHeight="true" outlineLevel="0" collapsed="false">
      <c r="A255" s="38"/>
      <c r="B255" s="11"/>
      <c r="C255" s="10"/>
      <c r="D255" s="39"/>
      <c r="E255" s="12"/>
      <c r="F255" s="40"/>
      <c r="G255" s="18" t="str">
        <f aca="false">IF(AND(ISNUMBER($E255),ISNUMBER($F255),$D255&lt;&gt;"R"),$E255*$F255,"")</f>
        <v/>
      </c>
      <c r="H255" s="10"/>
    </row>
    <row r="256" customFormat="false" ht="15.75" hidden="false" customHeight="true" outlineLevel="0" collapsed="false">
      <c r="A256" s="38"/>
      <c r="B256" s="11"/>
      <c r="C256" s="10"/>
      <c r="D256" s="39"/>
      <c r="E256" s="12"/>
      <c r="F256" s="40"/>
      <c r="G256" s="18" t="str">
        <f aca="false">IF(AND(ISNUMBER($E256),ISNUMBER($F256),$D256&lt;&gt;"R"),$E256*$F256,"")</f>
        <v/>
      </c>
      <c r="H256" s="10"/>
    </row>
    <row r="257" customFormat="false" ht="15.75" hidden="false" customHeight="true" outlineLevel="0" collapsed="false">
      <c r="A257" s="38"/>
      <c r="B257" s="11"/>
      <c r="C257" s="10"/>
      <c r="D257" s="39"/>
      <c r="E257" s="12"/>
      <c r="F257" s="40"/>
      <c r="G257" s="18" t="str">
        <f aca="false">IF(AND(ISNUMBER($E257),ISNUMBER($F257),$D257&lt;&gt;"R"),$E257*$F257,"")</f>
        <v/>
      </c>
      <c r="H257" s="10"/>
    </row>
    <row r="258" customFormat="false" ht="15.75" hidden="false" customHeight="true" outlineLevel="0" collapsed="false">
      <c r="A258" s="38"/>
      <c r="B258" s="11"/>
      <c r="C258" s="10"/>
      <c r="D258" s="39"/>
      <c r="E258" s="12"/>
      <c r="F258" s="40"/>
      <c r="G258" s="18" t="str">
        <f aca="false">IF(AND(ISNUMBER($E258),ISNUMBER($F258),$D258&lt;&gt;"R"),$E258*$F258,"")</f>
        <v/>
      </c>
      <c r="H258" s="10"/>
    </row>
    <row r="259" customFormat="false" ht="15.75" hidden="false" customHeight="true" outlineLevel="0" collapsed="false">
      <c r="A259" s="38"/>
      <c r="B259" s="11"/>
      <c r="C259" s="10"/>
      <c r="D259" s="39"/>
      <c r="E259" s="12"/>
      <c r="F259" s="40"/>
      <c r="G259" s="18" t="str">
        <f aca="false">IF(AND(ISNUMBER($E259),ISNUMBER($F259),$D259&lt;&gt;"R"),$E259*$F259,"")</f>
        <v/>
      </c>
      <c r="H259" s="10"/>
    </row>
    <row r="260" customFormat="false" ht="15.75" hidden="false" customHeight="true" outlineLevel="0" collapsed="false">
      <c r="A260" s="38"/>
      <c r="B260" s="11"/>
      <c r="C260" s="10"/>
      <c r="D260" s="39"/>
      <c r="E260" s="12"/>
      <c r="F260" s="40"/>
      <c r="G260" s="18" t="str">
        <f aca="false">IF(AND(ISNUMBER($E260),ISNUMBER($F260),$D260&lt;&gt;"R"),$E260*$F260,"")</f>
        <v/>
      </c>
      <c r="H260" s="10"/>
    </row>
    <row r="261" customFormat="false" ht="15.75" hidden="false" customHeight="true" outlineLevel="0" collapsed="false">
      <c r="A261" s="38"/>
      <c r="B261" s="11"/>
      <c r="C261" s="10"/>
      <c r="D261" s="39"/>
      <c r="E261" s="12"/>
      <c r="F261" s="40"/>
      <c r="G261" s="18" t="str">
        <f aca="false">IF(AND(ISNUMBER($E261),ISNUMBER($F261),$D261&lt;&gt;"R"),$E261*$F261,"")</f>
        <v/>
      </c>
      <c r="H261" s="10"/>
    </row>
    <row r="262" customFormat="false" ht="15.75" hidden="false" customHeight="true" outlineLevel="0" collapsed="false">
      <c r="A262" s="38"/>
      <c r="B262" s="11"/>
      <c r="C262" s="10"/>
      <c r="D262" s="39"/>
      <c r="E262" s="12"/>
      <c r="F262" s="40"/>
      <c r="G262" s="18" t="str">
        <f aca="false">IF(AND(ISNUMBER($E262),ISNUMBER($F262),$D262&lt;&gt;"R"),$E262*$F262,"")</f>
        <v/>
      </c>
      <c r="H262" s="10"/>
    </row>
    <row r="263" customFormat="false" ht="15.75" hidden="false" customHeight="true" outlineLevel="0" collapsed="false">
      <c r="A263" s="38"/>
      <c r="B263" s="11"/>
      <c r="C263" s="10"/>
      <c r="D263" s="39"/>
      <c r="E263" s="12"/>
      <c r="F263" s="40"/>
      <c r="G263" s="18" t="str">
        <f aca="false">IF(AND(ISNUMBER($E263),ISNUMBER($F263),$D263&lt;&gt;"R"),$E263*$F263,"")</f>
        <v/>
      </c>
      <c r="H263" s="10"/>
    </row>
    <row r="264" customFormat="false" ht="15.75" hidden="false" customHeight="true" outlineLevel="0" collapsed="false">
      <c r="A264" s="38"/>
      <c r="B264" s="11"/>
      <c r="C264" s="10"/>
      <c r="D264" s="39"/>
      <c r="E264" s="12"/>
      <c r="F264" s="40"/>
      <c r="G264" s="18" t="str">
        <f aca="false">IF(AND(ISNUMBER($E264),ISNUMBER($F264),$D264&lt;&gt;"R"),$E264*$F264,"")</f>
        <v/>
      </c>
      <c r="H264" s="10"/>
    </row>
    <row r="265" customFormat="false" ht="15.75" hidden="false" customHeight="true" outlineLevel="0" collapsed="false">
      <c r="A265" s="38"/>
      <c r="B265" s="11"/>
      <c r="C265" s="10"/>
      <c r="D265" s="39"/>
      <c r="E265" s="12"/>
      <c r="F265" s="40"/>
      <c r="G265" s="18" t="str">
        <f aca="false">IF(AND(ISNUMBER($E265),ISNUMBER($F265),$D265&lt;&gt;"R"),$E265*$F265,"")</f>
        <v/>
      </c>
      <c r="H265" s="10"/>
    </row>
    <row r="266" customFormat="false" ht="15.75" hidden="false" customHeight="true" outlineLevel="0" collapsed="false">
      <c r="A266" s="38"/>
      <c r="B266" s="11"/>
      <c r="C266" s="10"/>
      <c r="D266" s="39"/>
      <c r="E266" s="12"/>
      <c r="F266" s="40"/>
      <c r="G266" s="18" t="str">
        <f aca="false">IF(AND(ISNUMBER($E266),ISNUMBER($F266),$D266&lt;&gt;"R"),$E266*$F266,"")</f>
        <v/>
      </c>
      <c r="H266" s="10"/>
    </row>
    <row r="267" customFormat="false" ht="15.75" hidden="false" customHeight="true" outlineLevel="0" collapsed="false">
      <c r="A267" s="38"/>
      <c r="B267" s="11"/>
      <c r="C267" s="10"/>
      <c r="D267" s="39"/>
      <c r="E267" s="12"/>
      <c r="F267" s="40"/>
      <c r="G267" s="18" t="str">
        <f aca="false">IF(AND(ISNUMBER($E267),ISNUMBER($F267),$D267&lt;&gt;"R"),$E267*$F267,"")</f>
        <v/>
      </c>
      <c r="H267" s="10"/>
    </row>
    <row r="268" customFormat="false" ht="15.75" hidden="false" customHeight="true" outlineLevel="0" collapsed="false">
      <c r="A268" s="38"/>
      <c r="B268" s="11"/>
      <c r="C268" s="10"/>
      <c r="D268" s="39"/>
      <c r="E268" s="12"/>
      <c r="F268" s="40"/>
      <c r="G268" s="18" t="str">
        <f aca="false">IF(AND(ISNUMBER($E268),ISNUMBER($F268),$D268&lt;&gt;"R"),$E268*$F268,"")</f>
        <v/>
      </c>
      <c r="H268" s="10"/>
    </row>
    <row r="269" customFormat="false" ht="15.75" hidden="false" customHeight="true" outlineLevel="0" collapsed="false">
      <c r="A269" s="38"/>
      <c r="B269" s="11"/>
      <c r="C269" s="10"/>
      <c r="D269" s="39"/>
      <c r="E269" s="12"/>
      <c r="F269" s="40"/>
      <c r="G269" s="18" t="str">
        <f aca="false">IF(AND(ISNUMBER($E269),ISNUMBER($F269),$D269&lt;&gt;"R"),$E269*$F269,"")</f>
        <v/>
      </c>
      <c r="H269" s="10"/>
    </row>
    <row r="270" customFormat="false" ht="15.75" hidden="false" customHeight="true" outlineLevel="0" collapsed="false">
      <c r="A270" s="38"/>
      <c r="B270" s="11"/>
      <c r="C270" s="10"/>
      <c r="D270" s="39"/>
      <c r="E270" s="12"/>
      <c r="F270" s="40"/>
      <c r="G270" s="18" t="str">
        <f aca="false">IF(AND(ISNUMBER($E270),ISNUMBER($F270),$D270&lt;&gt;"R"),$E270*$F270,"")</f>
        <v/>
      </c>
      <c r="H270" s="10"/>
    </row>
    <row r="271" customFormat="false" ht="15.75" hidden="false" customHeight="true" outlineLevel="0" collapsed="false">
      <c r="A271" s="38"/>
      <c r="B271" s="11"/>
      <c r="C271" s="10"/>
      <c r="D271" s="39"/>
      <c r="E271" s="12"/>
      <c r="F271" s="40"/>
      <c r="G271" s="18" t="str">
        <f aca="false">IF(AND(ISNUMBER($E271),ISNUMBER($F271),$D271&lt;&gt;"R"),$E271*$F271,"")</f>
        <v/>
      </c>
      <c r="H271" s="10"/>
    </row>
    <row r="272" customFormat="false" ht="15.75" hidden="false" customHeight="true" outlineLevel="0" collapsed="false">
      <c r="A272" s="38"/>
      <c r="B272" s="11"/>
      <c r="C272" s="10"/>
      <c r="D272" s="39"/>
      <c r="E272" s="12"/>
      <c r="F272" s="40"/>
      <c r="G272" s="18" t="str">
        <f aca="false">IF(AND(ISNUMBER($E272),ISNUMBER($F272),$D272&lt;&gt;"R"),$E272*$F272,"")</f>
        <v/>
      </c>
      <c r="H272" s="10"/>
    </row>
    <row r="273" customFormat="false" ht="15.75" hidden="false" customHeight="true" outlineLevel="0" collapsed="false">
      <c r="A273" s="38"/>
      <c r="B273" s="11"/>
      <c r="C273" s="10"/>
      <c r="D273" s="39"/>
      <c r="E273" s="12"/>
      <c r="F273" s="40"/>
      <c r="G273" s="18" t="str">
        <f aca="false">IF(AND(ISNUMBER($E273),ISNUMBER($F273),$D273&lt;&gt;"R"),$E273*$F273,"")</f>
        <v/>
      </c>
      <c r="H273" s="10"/>
    </row>
    <row r="274" customFormat="false" ht="15.75" hidden="false" customHeight="true" outlineLevel="0" collapsed="false">
      <c r="A274" s="38"/>
      <c r="B274" s="11"/>
      <c r="C274" s="10"/>
      <c r="D274" s="39"/>
      <c r="E274" s="12"/>
      <c r="F274" s="40"/>
      <c r="G274" s="18" t="str">
        <f aca="false">IF(AND(ISNUMBER($E274),ISNUMBER($F274),$D274&lt;&gt;"R"),$E274*$F274,"")</f>
        <v/>
      </c>
      <c r="H274" s="10"/>
    </row>
    <row r="275" customFormat="false" ht="15.75" hidden="false" customHeight="true" outlineLevel="0" collapsed="false">
      <c r="A275" s="38"/>
      <c r="B275" s="11"/>
      <c r="C275" s="10"/>
      <c r="D275" s="39"/>
      <c r="E275" s="12"/>
      <c r="F275" s="40"/>
      <c r="G275" s="18" t="str">
        <f aca="false">IF(AND(ISNUMBER($E275),ISNUMBER($F275),$D275&lt;&gt;"R"),$E275*$F275,"")</f>
        <v/>
      </c>
      <c r="H275" s="10"/>
    </row>
    <row r="276" customFormat="false" ht="15.75" hidden="false" customHeight="true" outlineLevel="0" collapsed="false">
      <c r="A276" s="38"/>
      <c r="B276" s="11"/>
      <c r="C276" s="10"/>
      <c r="D276" s="39"/>
      <c r="E276" s="12"/>
      <c r="F276" s="40"/>
      <c r="G276" s="18" t="str">
        <f aca="false">IF(AND(ISNUMBER($E276),ISNUMBER($F276),$D276&lt;&gt;"R"),$E276*$F276,"")</f>
        <v/>
      </c>
      <c r="H276" s="10"/>
    </row>
    <row r="277" customFormat="false" ht="15.75" hidden="false" customHeight="true" outlineLevel="0" collapsed="false">
      <c r="A277" s="38"/>
      <c r="B277" s="11"/>
      <c r="C277" s="10"/>
      <c r="D277" s="39"/>
      <c r="E277" s="12"/>
      <c r="F277" s="40"/>
      <c r="G277" s="18" t="str">
        <f aca="false">IF(AND(ISNUMBER($E277),ISNUMBER($F277),$D277&lt;&gt;"R"),$E277*$F277,"")</f>
        <v/>
      </c>
      <c r="H277" s="10"/>
    </row>
    <row r="278" customFormat="false" ht="15.75" hidden="false" customHeight="true" outlineLevel="0" collapsed="false">
      <c r="A278" s="38"/>
      <c r="B278" s="11"/>
      <c r="C278" s="10"/>
      <c r="D278" s="39"/>
      <c r="E278" s="12"/>
      <c r="F278" s="40"/>
      <c r="G278" s="18" t="str">
        <f aca="false">IF(AND(ISNUMBER($E278),ISNUMBER($F278),$D278&lt;&gt;"R"),$E278*$F278,"")</f>
        <v/>
      </c>
      <c r="H278" s="10"/>
    </row>
    <row r="279" customFormat="false" ht="15.75" hidden="false" customHeight="true" outlineLevel="0" collapsed="false">
      <c r="A279" s="38"/>
      <c r="B279" s="11"/>
      <c r="C279" s="10"/>
      <c r="D279" s="39"/>
      <c r="E279" s="12"/>
      <c r="F279" s="40"/>
      <c r="G279" s="18" t="str">
        <f aca="false">IF(AND(ISNUMBER($E279),ISNUMBER($F279),$D279&lt;&gt;"R"),$E279*$F279,"")</f>
        <v/>
      </c>
      <c r="H279" s="10"/>
    </row>
    <row r="280" customFormat="false" ht="15.75" hidden="false" customHeight="true" outlineLevel="0" collapsed="false">
      <c r="A280" s="38"/>
      <c r="B280" s="11"/>
      <c r="C280" s="10"/>
      <c r="D280" s="39"/>
      <c r="E280" s="12"/>
      <c r="F280" s="40"/>
      <c r="G280" s="18" t="str">
        <f aca="false">IF(AND(ISNUMBER($E280),ISNUMBER($F280),$D280&lt;&gt;"R"),$E280*$F280,"")</f>
        <v/>
      </c>
      <c r="H280" s="10"/>
    </row>
    <row r="281" customFormat="false" ht="15.75" hidden="false" customHeight="true" outlineLevel="0" collapsed="false">
      <c r="A281" s="38"/>
      <c r="B281" s="11"/>
      <c r="C281" s="10"/>
      <c r="D281" s="39"/>
      <c r="E281" s="12"/>
      <c r="F281" s="40"/>
      <c r="G281" s="18" t="str">
        <f aca="false">IF(AND(ISNUMBER($E281),ISNUMBER($F281),$D281&lt;&gt;"R"),$E281*$F281,"")</f>
        <v/>
      </c>
      <c r="H281" s="10"/>
    </row>
    <row r="282" customFormat="false" ht="15.75" hidden="false" customHeight="true" outlineLevel="0" collapsed="false">
      <c r="A282" s="38"/>
      <c r="B282" s="11"/>
      <c r="C282" s="10"/>
      <c r="D282" s="39"/>
      <c r="E282" s="12"/>
      <c r="F282" s="40"/>
      <c r="G282" s="18" t="str">
        <f aca="false">IF(AND(ISNUMBER($E282),ISNUMBER($F282),$D282&lt;&gt;"R"),$E282*$F282,"")</f>
        <v/>
      </c>
      <c r="H282" s="10"/>
    </row>
    <row r="283" customFormat="false" ht="15.75" hidden="false" customHeight="true" outlineLevel="0" collapsed="false">
      <c r="A283" s="38"/>
      <c r="B283" s="11"/>
      <c r="C283" s="10"/>
      <c r="D283" s="39"/>
      <c r="E283" s="12"/>
      <c r="F283" s="40"/>
      <c r="G283" s="18" t="str">
        <f aca="false">IF(AND(ISNUMBER($E283),ISNUMBER($F283),$D283&lt;&gt;"R"),$E283*$F283,"")</f>
        <v/>
      </c>
      <c r="H283" s="10"/>
    </row>
    <row r="284" customFormat="false" ht="15.75" hidden="false" customHeight="true" outlineLevel="0" collapsed="false">
      <c r="A284" s="38"/>
      <c r="B284" s="11"/>
      <c r="C284" s="10"/>
      <c r="D284" s="39"/>
      <c r="E284" s="12"/>
      <c r="F284" s="40"/>
      <c r="G284" s="18" t="str">
        <f aca="false">IF(AND(ISNUMBER($E284),ISNUMBER($F284),$D284&lt;&gt;"R"),$E284*$F284,"")</f>
        <v/>
      </c>
      <c r="H284" s="10"/>
    </row>
    <row r="285" customFormat="false" ht="15.75" hidden="false" customHeight="true" outlineLevel="0" collapsed="false">
      <c r="A285" s="38"/>
      <c r="B285" s="11"/>
      <c r="C285" s="10"/>
      <c r="D285" s="39"/>
      <c r="E285" s="12"/>
      <c r="F285" s="40"/>
      <c r="G285" s="18" t="str">
        <f aca="false">IF(AND(ISNUMBER($E285),ISNUMBER($F285),$D285&lt;&gt;"R"),$E285*$F285,"")</f>
        <v/>
      </c>
      <c r="H285" s="10"/>
    </row>
    <row r="286" customFormat="false" ht="15.75" hidden="false" customHeight="true" outlineLevel="0" collapsed="false">
      <c r="A286" s="38"/>
      <c r="B286" s="11"/>
      <c r="C286" s="10"/>
      <c r="D286" s="39"/>
      <c r="E286" s="12"/>
      <c r="F286" s="40"/>
      <c r="G286" s="18" t="str">
        <f aca="false">IF(AND(ISNUMBER($E286),ISNUMBER($F286),$D286&lt;&gt;"R"),$E286*$F286,"")</f>
        <v/>
      </c>
      <c r="H286" s="10"/>
    </row>
    <row r="287" customFormat="false" ht="15.75" hidden="false" customHeight="true" outlineLevel="0" collapsed="false">
      <c r="A287" s="38"/>
      <c r="B287" s="11"/>
      <c r="C287" s="10"/>
      <c r="D287" s="39"/>
      <c r="E287" s="12"/>
      <c r="F287" s="40"/>
      <c r="G287" s="18" t="str">
        <f aca="false">IF(AND(ISNUMBER($E287),ISNUMBER($F287),$D287&lt;&gt;"R"),$E287*$F287,"")</f>
        <v/>
      </c>
      <c r="H287" s="10"/>
    </row>
    <row r="288" customFormat="false" ht="15.75" hidden="false" customHeight="true" outlineLevel="0" collapsed="false">
      <c r="A288" s="38"/>
      <c r="B288" s="11"/>
      <c r="C288" s="10"/>
      <c r="D288" s="39"/>
      <c r="E288" s="12"/>
      <c r="F288" s="40"/>
      <c r="G288" s="18" t="str">
        <f aca="false">IF(AND(ISNUMBER($E288),ISNUMBER($F288),$D288&lt;&gt;"R"),$E288*$F288,"")</f>
        <v/>
      </c>
      <c r="H288" s="10"/>
    </row>
    <row r="289" customFormat="false" ht="15.75" hidden="false" customHeight="true" outlineLevel="0" collapsed="false">
      <c r="A289" s="38"/>
      <c r="B289" s="11"/>
      <c r="C289" s="10"/>
      <c r="D289" s="39"/>
      <c r="E289" s="12"/>
      <c r="F289" s="40"/>
      <c r="G289" s="18" t="str">
        <f aca="false">IF(AND(ISNUMBER($E289),ISNUMBER($F289),$D289&lt;&gt;"R"),$E289*$F289,"")</f>
        <v/>
      </c>
      <c r="H289" s="10"/>
    </row>
    <row r="290" customFormat="false" ht="15.75" hidden="false" customHeight="true" outlineLevel="0" collapsed="false">
      <c r="A290" s="38"/>
      <c r="B290" s="11"/>
      <c r="C290" s="10"/>
      <c r="D290" s="39"/>
      <c r="E290" s="12"/>
      <c r="F290" s="40"/>
      <c r="G290" s="18" t="str">
        <f aca="false">IF(AND(ISNUMBER($E290),ISNUMBER($F290),$D290&lt;&gt;"R"),$E290*$F290,"")</f>
        <v/>
      </c>
      <c r="H290" s="10"/>
    </row>
    <row r="291" customFormat="false" ht="15.75" hidden="false" customHeight="true" outlineLevel="0" collapsed="false">
      <c r="A291" s="38"/>
      <c r="B291" s="11"/>
      <c r="C291" s="10"/>
      <c r="D291" s="39"/>
      <c r="E291" s="12"/>
      <c r="F291" s="40"/>
      <c r="G291" s="18" t="str">
        <f aca="false">IF(AND(ISNUMBER($E291),ISNUMBER($F291),$D291&lt;&gt;"R"),$E291*$F291,"")</f>
        <v/>
      </c>
      <c r="H291" s="10"/>
    </row>
    <row r="292" customFormat="false" ht="15.75" hidden="false" customHeight="true" outlineLevel="0" collapsed="false">
      <c r="A292" s="38"/>
      <c r="B292" s="11"/>
      <c r="C292" s="10"/>
      <c r="D292" s="39"/>
      <c r="E292" s="12"/>
      <c r="F292" s="40"/>
      <c r="G292" s="18" t="str">
        <f aca="false">IF(AND(ISNUMBER($E292),ISNUMBER($F292),$D292&lt;&gt;"R"),$E292*$F292,"")</f>
        <v/>
      </c>
      <c r="H292" s="10"/>
    </row>
    <row r="293" customFormat="false" ht="15.75" hidden="false" customHeight="true" outlineLevel="0" collapsed="false">
      <c r="A293" s="38"/>
      <c r="B293" s="11"/>
      <c r="C293" s="10"/>
      <c r="D293" s="39"/>
      <c r="E293" s="12"/>
      <c r="F293" s="40"/>
      <c r="G293" s="18" t="str">
        <f aca="false">IF(AND(ISNUMBER($E293),ISNUMBER($F293),$D293&lt;&gt;"R"),$E293*$F293,"")</f>
        <v/>
      </c>
      <c r="H293" s="10"/>
    </row>
    <row r="294" customFormat="false" ht="15.75" hidden="false" customHeight="true" outlineLevel="0" collapsed="false">
      <c r="A294" s="38"/>
      <c r="B294" s="11"/>
      <c r="C294" s="10"/>
      <c r="D294" s="39"/>
      <c r="E294" s="12"/>
      <c r="F294" s="40"/>
      <c r="G294" s="18" t="str">
        <f aca="false">IF(AND(ISNUMBER($E294),ISNUMBER($F294),$D294&lt;&gt;"R"),$E294*$F294,"")</f>
        <v/>
      </c>
      <c r="H294" s="10"/>
    </row>
    <row r="295" customFormat="false" ht="15.75" hidden="false" customHeight="true" outlineLevel="0" collapsed="false">
      <c r="A295" s="38"/>
      <c r="B295" s="11"/>
      <c r="C295" s="10"/>
      <c r="D295" s="39"/>
      <c r="E295" s="12"/>
      <c r="F295" s="40"/>
      <c r="G295" s="18" t="str">
        <f aca="false">IF(AND(ISNUMBER($E295),ISNUMBER($F295),$D295&lt;&gt;"R"),$E295*$F295,"")</f>
        <v/>
      </c>
      <c r="H295" s="10"/>
    </row>
    <row r="296" customFormat="false" ht="15.75" hidden="false" customHeight="true" outlineLevel="0" collapsed="false">
      <c r="A296" s="38"/>
      <c r="B296" s="11"/>
      <c r="C296" s="10"/>
      <c r="D296" s="39"/>
      <c r="E296" s="12"/>
      <c r="F296" s="40"/>
      <c r="G296" s="18" t="str">
        <f aca="false">IF(AND(ISNUMBER($E296),ISNUMBER($F296),$D296&lt;&gt;"R"),$E296*$F296,"")</f>
        <v/>
      </c>
      <c r="H296" s="10"/>
    </row>
    <row r="297" customFormat="false" ht="15.75" hidden="false" customHeight="true" outlineLevel="0" collapsed="false">
      <c r="A297" s="38"/>
      <c r="B297" s="11"/>
      <c r="C297" s="10"/>
      <c r="D297" s="39"/>
      <c r="E297" s="12"/>
      <c r="F297" s="40"/>
      <c r="G297" s="18" t="str">
        <f aca="false">IF(AND(ISNUMBER($E297),ISNUMBER($F297),$D297&lt;&gt;"R"),$E297*$F297,"")</f>
        <v/>
      </c>
      <c r="H297" s="10"/>
    </row>
    <row r="298" customFormat="false" ht="15.75" hidden="false" customHeight="true" outlineLevel="0" collapsed="false">
      <c r="A298" s="38"/>
      <c r="B298" s="11"/>
      <c r="C298" s="10"/>
      <c r="D298" s="39"/>
      <c r="E298" s="12"/>
      <c r="F298" s="40"/>
      <c r="G298" s="18" t="str">
        <f aca="false">IF(AND(ISNUMBER($E298),ISNUMBER($F298),$D298&lt;&gt;"R"),$E298*$F298,"")</f>
        <v/>
      </c>
      <c r="H298" s="10"/>
    </row>
    <row r="299" customFormat="false" ht="15.75" hidden="false" customHeight="true" outlineLevel="0" collapsed="false">
      <c r="A299" s="38"/>
      <c r="B299" s="11"/>
      <c r="C299" s="10"/>
      <c r="D299" s="39"/>
      <c r="E299" s="12"/>
      <c r="F299" s="40"/>
      <c r="G299" s="18" t="str">
        <f aca="false">IF(AND(ISNUMBER($E299),ISNUMBER($F299),$D299&lt;&gt;"R"),$E299*$F299,"")</f>
        <v/>
      </c>
      <c r="H299" s="10"/>
    </row>
    <row r="300" customFormat="false" ht="15.75" hidden="false" customHeight="true" outlineLevel="0" collapsed="false">
      <c r="A300" s="38"/>
      <c r="B300" s="11"/>
      <c r="C300" s="10"/>
      <c r="D300" s="39"/>
      <c r="E300" s="12"/>
      <c r="F300" s="40"/>
      <c r="G300" s="18" t="str">
        <f aca="false">IF(AND(ISNUMBER($E300),ISNUMBER($F300),$D300&lt;&gt;"R"),$E300*$F300,"")</f>
        <v/>
      </c>
      <c r="H300" s="10"/>
    </row>
    <row r="301" customFormat="false" ht="15.75" hidden="false" customHeight="true" outlineLevel="0" collapsed="false">
      <c r="A301" s="38"/>
      <c r="B301" s="11"/>
      <c r="C301" s="10"/>
      <c r="D301" s="39"/>
      <c r="E301" s="12"/>
      <c r="F301" s="40"/>
      <c r="G301" s="18" t="str">
        <f aca="false">IF(AND(ISNUMBER($E301),ISNUMBER($F301),$D301&lt;&gt;"R"),$E301*$F301,"")</f>
        <v/>
      </c>
      <c r="H301" s="10"/>
    </row>
    <row r="302" customFormat="false" ht="15.75" hidden="false" customHeight="true" outlineLevel="0" collapsed="false">
      <c r="A302" s="38"/>
      <c r="B302" s="11"/>
      <c r="C302" s="10"/>
      <c r="D302" s="39"/>
      <c r="E302" s="12"/>
      <c r="F302" s="40"/>
      <c r="G302" s="18" t="str">
        <f aca="false">IF(AND(ISNUMBER($E302),ISNUMBER($F302),$D302&lt;&gt;"R"),$E302*$F302,"")</f>
        <v/>
      </c>
      <c r="H302" s="10"/>
    </row>
    <row r="303" customFormat="false" ht="15.75" hidden="false" customHeight="true" outlineLevel="0" collapsed="false">
      <c r="A303" s="38"/>
      <c r="B303" s="11"/>
      <c r="C303" s="10"/>
      <c r="D303" s="39"/>
      <c r="E303" s="12"/>
      <c r="F303" s="40"/>
      <c r="G303" s="18" t="str">
        <f aca="false">IF(AND(ISNUMBER($E303),ISNUMBER($F303),$D303&lt;&gt;"R"),$E303*$F303,"")</f>
        <v/>
      </c>
      <c r="H303" s="10"/>
    </row>
    <row r="304" customFormat="false" ht="15.75" hidden="false" customHeight="true" outlineLevel="0" collapsed="false">
      <c r="A304" s="38"/>
      <c r="B304" s="11"/>
      <c r="C304" s="10"/>
      <c r="D304" s="39"/>
      <c r="E304" s="12"/>
      <c r="F304" s="40"/>
      <c r="G304" s="18" t="str">
        <f aca="false">IF(AND(ISNUMBER($E304),ISNUMBER($F304),$D304&lt;&gt;"R"),$E304*$F304,"")</f>
        <v/>
      </c>
      <c r="H304" s="10"/>
    </row>
    <row r="305" customFormat="false" ht="15.75" hidden="false" customHeight="true" outlineLevel="0" collapsed="false">
      <c r="A305" s="38"/>
      <c r="B305" s="11"/>
      <c r="C305" s="10"/>
      <c r="D305" s="39"/>
      <c r="E305" s="12"/>
      <c r="F305" s="40"/>
      <c r="G305" s="18" t="str">
        <f aca="false">IF(AND(ISNUMBER($E305),ISNUMBER($F305),$D305&lt;&gt;"R"),$E305*$F305,"")</f>
        <v/>
      </c>
      <c r="H305" s="10"/>
    </row>
    <row r="306" customFormat="false" ht="15.75" hidden="false" customHeight="true" outlineLevel="0" collapsed="false">
      <c r="A306" s="38"/>
      <c r="B306" s="11"/>
      <c r="C306" s="10"/>
      <c r="D306" s="39"/>
      <c r="E306" s="12"/>
      <c r="F306" s="40"/>
      <c r="G306" s="18" t="str">
        <f aca="false">IF(AND(ISNUMBER($E306),ISNUMBER($F306),$D306&lt;&gt;"R"),$E306*$F306,"")</f>
        <v/>
      </c>
      <c r="H306" s="10"/>
    </row>
    <row r="307" customFormat="false" ht="15.75" hidden="false" customHeight="true" outlineLevel="0" collapsed="false">
      <c r="A307" s="38"/>
      <c r="B307" s="11"/>
      <c r="C307" s="10"/>
      <c r="D307" s="39"/>
      <c r="E307" s="12"/>
      <c r="F307" s="40"/>
      <c r="G307" s="18" t="str">
        <f aca="false">IF(AND(ISNUMBER($E307),ISNUMBER($F307),$D307&lt;&gt;"R"),$E307*$F307,"")</f>
        <v/>
      </c>
      <c r="H307" s="10"/>
    </row>
    <row r="308" customFormat="false" ht="15.75" hidden="false" customHeight="true" outlineLevel="0" collapsed="false">
      <c r="A308" s="38"/>
      <c r="B308" s="11"/>
      <c r="C308" s="10"/>
      <c r="D308" s="39"/>
      <c r="E308" s="12"/>
      <c r="F308" s="40"/>
      <c r="G308" s="18" t="str">
        <f aca="false">IF(AND(ISNUMBER($E308),ISNUMBER($F308),$D308&lt;&gt;"R"),$E308*$F308,"")</f>
        <v/>
      </c>
      <c r="H308" s="10"/>
    </row>
    <row r="309" customFormat="false" ht="15.75" hidden="false" customHeight="true" outlineLevel="0" collapsed="false">
      <c r="A309" s="38"/>
      <c r="B309" s="11"/>
      <c r="C309" s="10"/>
      <c r="D309" s="39"/>
      <c r="E309" s="12"/>
      <c r="F309" s="40"/>
      <c r="G309" s="18" t="str">
        <f aca="false">IF(AND(ISNUMBER($E309),ISNUMBER($F309),$D309&lt;&gt;"R"),$E309*$F309,"")</f>
        <v/>
      </c>
      <c r="H309" s="10"/>
    </row>
    <row r="310" customFormat="false" ht="15.75" hidden="false" customHeight="true" outlineLevel="0" collapsed="false">
      <c r="A310" s="38"/>
      <c r="B310" s="11"/>
      <c r="C310" s="10"/>
      <c r="D310" s="39"/>
      <c r="E310" s="12"/>
      <c r="F310" s="40"/>
      <c r="G310" s="18" t="str">
        <f aca="false">IF(AND(ISNUMBER($E310),ISNUMBER($F310),$D310&lt;&gt;"R"),$E310*$F310,"")</f>
        <v/>
      </c>
      <c r="H310" s="10"/>
    </row>
    <row r="311" customFormat="false" ht="15.75" hidden="false" customHeight="true" outlineLevel="0" collapsed="false">
      <c r="A311" s="38"/>
      <c r="B311" s="11"/>
      <c r="C311" s="10"/>
      <c r="D311" s="39"/>
      <c r="E311" s="12"/>
      <c r="F311" s="40"/>
      <c r="G311" s="18" t="str">
        <f aca="false">IF(AND(ISNUMBER($E311),ISNUMBER($F311),$D311&lt;&gt;"R"),$E311*$F311,"")</f>
        <v/>
      </c>
      <c r="H311" s="10"/>
    </row>
    <row r="312" customFormat="false" ht="15.75" hidden="false" customHeight="true" outlineLevel="0" collapsed="false">
      <c r="A312" s="38"/>
      <c r="B312" s="11"/>
      <c r="C312" s="10"/>
      <c r="D312" s="39"/>
      <c r="E312" s="12"/>
      <c r="F312" s="40"/>
      <c r="G312" s="18" t="str">
        <f aca="false">IF(AND(ISNUMBER($E312),ISNUMBER($F312),$D312&lt;&gt;"R"),$E312*$F312,"")</f>
        <v/>
      </c>
      <c r="H312" s="10"/>
    </row>
    <row r="313" customFormat="false" ht="15.75" hidden="false" customHeight="true" outlineLevel="0" collapsed="false">
      <c r="A313" s="38"/>
      <c r="B313" s="11"/>
      <c r="C313" s="10"/>
      <c r="D313" s="39"/>
      <c r="E313" s="12"/>
      <c r="F313" s="40"/>
      <c r="G313" s="18" t="str">
        <f aca="false">IF(AND(ISNUMBER($E313),ISNUMBER($F313),$D313&lt;&gt;"R"),$E313*$F313,"")</f>
        <v/>
      </c>
      <c r="H313" s="10"/>
    </row>
    <row r="314" customFormat="false" ht="15.75" hidden="false" customHeight="true" outlineLevel="0" collapsed="false">
      <c r="A314" s="38"/>
      <c r="B314" s="11"/>
      <c r="C314" s="10"/>
      <c r="D314" s="39"/>
      <c r="E314" s="12"/>
      <c r="F314" s="40"/>
      <c r="G314" s="18" t="str">
        <f aca="false">IF(AND(ISNUMBER($E314),ISNUMBER($F314),$D314&lt;&gt;"R"),$E314*$F314,"")</f>
        <v/>
      </c>
      <c r="H314" s="10"/>
    </row>
    <row r="315" customFormat="false" ht="15.75" hidden="false" customHeight="true" outlineLevel="0" collapsed="false">
      <c r="A315" s="38"/>
      <c r="B315" s="11"/>
      <c r="C315" s="10"/>
      <c r="D315" s="39"/>
      <c r="E315" s="12"/>
      <c r="F315" s="40"/>
      <c r="G315" s="18" t="str">
        <f aca="false">IF(AND(ISNUMBER($E315),ISNUMBER($F315),$D315&lt;&gt;"R"),$E315*$F315,"")</f>
        <v/>
      </c>
      <c r="H315" s="10"/>
    </row>
    <row r="316" customFormat="false" ht="15.75" hidden="false" customHeight="true" outlineLevel="0" collapsed="false">
      <c r="A316" s="38"/>
      <c r="B316" s="11"/>
      <c r="C316" s="10"/>
      <c r="D316" s="39"/>
      <c r="E316" s="12"/>
      <c r="F316" s="40"/>
      <c r="G316" s="18" t="str">
        <f aca="false">IF(AND(ISNUMBER($E316),ISNUMBER($F316),$D316&lt;&gt;"R"),$E316*$F316,"")</f>
        <v/>
      </c>
      <c r="H316" s="10"/>
    </row>
    <row r="317" customFormat="false" ht="15.75" hidden="false" customHeight="true" outlineLevel="0" collapsed="false">
      <c r="A317" s="38"/>
      <c r="B317" s="11"/>
      <c r="C317" s="10"/>
      <c r="D317" s="39"/>
      <c r="E317" s="12"/>
      <c r="F317" s="40"/>
      <c r="G317" s="18" t="str">
        <f aca="false">IF(AND(ISNUMBER($E317),ISNUMBER($F317),$D317&lt;&gt;"R"),$E317*$F317,"")</f>
        <v/>
      </c>
      <c r="H317" s="10"/>
    </row>
    <row r="318" customFormat="false" ht="15.75" hidden="false" customHeight="true" outlineLevel="0" collapsed="false">
      <c r="A318" s="38"/>
      <c r="B318" s="11"/>
      <c r="C318" s="10"/>
      <c r="D318" s="39"/>
      <c r="E318" s="12"/>
      <c r="F318" s="40"/>
      <c r="G318" s="18" t="str">
        <f aca="false">IF(AND(ISNUMBER($E318),ISNUMBER($F318),$D318&lt;&gt;"R"),$E318*$F318,"")</f>
        <v/>
      </c>
      <c r="H318" s="10"/>
    </row>
    <row r="319" customFormat="false" ht="15.75" hidden="false" customHeight="true" outlineLevel="0" collapsed="false">
      <c r="A319" s="38"/>
      <c r="B319" s="11"/>
      <c r="C319" s="10"/>
      <c r="D319" s="39"/>
      <c r="E319" s="12"/>
      <c r="F319" s="40"/>
      <c r="G319" s="18" t="str">
        <f aca="false">IF(AND(ISNUMBER($E319),ISNUMBER($F319),$D319&lt;&gt;"R"),$E319*$F319,"")</f>
        <v/>
      </c>
      <c r="H319" s="10"/>
    </row>
    <row r="320" customFormat="false" ht="15.75" hidden="false" customHeight="true" outlineLevel="0" collapsed="false">
      <c r="A320" s="38"/>
      <c r="B320" s="11"/>
      <c r="C320" s="10"/>
      <c r="D320" s="39"/>
      <c r="E320" s="12"/>
      <c r="F320" s="40"/>
      <c r="G320" s="18" t="str">
        <f aca="false">IF(AND(ISNUMBER($E320),ISNUMBER($F320),$D320&lt;&gt;"R"),$E320*$F320,"")</f>
        <v/>
      </c>
      <c r="H320" s="10"/>
    </row>
    <row r="321" customFormat="false" ht="15.75" hidden="false" customHeight="true" outlineLevel="0" collapsed="false">
      <c r="A321" s="38"/>
      <c r="B321" s="11"/>
      <c r="C321" s="10"/>
      <c r="D321" s="39"/>
      <c r="E321" s="12"/>
      <c r="F321" s="40"/>
      <c r="G321" s="18" t="str">
        <f aca="false">IF(AND(ISNUMBER($E321),ISNUMBER($F321),$D321&lt;&gt;"R"),$E321*$F321,"")</f>
        <v/>
      </c>
      <c r="H321" s="10"/>
    </row>
    <row r="322" customFormat="false" ht="15.75" hidden="false" customHeight="true" outlineLevel="0" collapsed="false">
      <c r="A322" s="38"/>
      <c r="B322" s="11"/>
      <c r="C322" s="10"/>
      <c r="D322" s="39"/>
      <c r="E322" s="12"/>
      <c r="F322" s="40"/>
      <c r="G322" s="18" t="str">
        <f aca="false">IF(AND(ISNUMBER($E322),ISNUMBER($F322),$D322&lt;&gt;"R"),$E322*$F322,"")</f>
        <v/>
      </c>
      <c r="H322" s="10"/>
    </row>
    <row r="323" customFormat="false" ht="15.75" hidden="false" customHeight="true" outlineLevel="0" collapsed="false">
      <c r="A323" s="38"/>
      <c r="B323" s="11"/>
      <c r="C323" s="10"/>
      <c r="D323" s="39"/>
      <c r="E323" s="12"/>
      <c r="F323" s="40"/>
      <c r="G323" s="18" t="str">
        <f aca="false">IF(AND(ISNUMBER($E323),ISNUMBER($F323),$D323&lt;&gt;"R"),$E323*$F323,"")</f>
        <v/>
      </c>
      <c r="H323" s="10"/>
    </row>
    <row r="324" customFormat="false" ht="15.75" hidden="false" customHeight="true" outlineLevel="0" collapsed="false">
      <c r="A324" s="38"/>
      <c r="B324" s="11"/>
      <c r="C324" s="10"/>
      <c r="D324" s="39"/>
      <c r="E324" s="12"/>
      <c r="F324" s="40"/>
      <c r="G324" s="18" t="str">
        <f aca="false">IF(AND(ISNUMBER($E324),ISNUMBER($F324),$D324&lt;&gt;"R"),$E324*$F324,"")</f>
        <v/>
      </c>
      <c r="H324" s="10"/>
    </row>
    <row r="325" customFormat="false" ht="15.75" hidden="false" customHeight="true" outlineLevel="0" collapsed="false">
      <c r="A325" s="38"/>
      <c r="B325" s="11"/>
      <c r="C325" s="10"/>
      <c r="D325" s="39"/>
      <c r="E325" s="12"/>
      <c r="F325" s="40"/>
      <c r="G325" s="18" t="str">
        <f aca="false">IF(AND(ISNUMBER($E325),ISNUMBER($F325),$D325&lt;&gt;"R"),$E325*$F325,"")</f>
        <v/>
      </c>
      <c r="H325" s="10"/>
    </row>
    <row r="326" customFormat="false" ht="15.75" hidden="false" customHeight="true" outlineLevel="0" collapsed="false">
      <c r="A326" s="38"/>
      <c r="B326" s="11"/>
      <c r="C326" s="10"/>
      <c r="D326" s="39"/>
      <c r="E326" s="12"/>
      <c r="F326" s="40"/>
      <c r="G326" s="18" t="str">
        <f aca="false">IF(AND(ISNUMBER($E326),ISNUMBER($F326),$D326&lt;&gt;"R"),$E326*$F326,"")</f>
        <v/>
      </c>
      <c r="H326" s="10"/>
    </row>
    <row r="327" customFormat="false" ht="15.75" hidden="false" customHeight="true" outlineLevel="0" collapsed="false">
      <c r="A327" s="38"/>
      <c r="B327" s="11"/>
      <c r="C327" s="10"/>
      <c r="D327" s="39"/>
      <c r="E327" s="12"/>
      <c r="F327" s="40"/>
      <c r="G327" s="18" t="str">
        <f aca="false">IF(AND(ISNUMBER($E327),ISNUMBER($F327),$D327&lt;&gt;"R"),$E327*$F327,"")</f>
        <v/>
      </c>
      <c r="H327" s="10"/>
    </row>
    <row r="328" customFormat="false" ht="15.75" hidden="false" customHeight="true" outlineLevel="0" collapsed="false">
      <c r="A328" s="38"/>
      <c r="B328" s="11"/>
      <c r="C328" s="10"/>
      <c r="D328" s="39"/>
      <c r="E328" s="12"/>
      <c r="F328" s="40"/>
      <c r="G328" s="18" t="str">
        <f aca="false">IF(AND(ISNUMBER($E328),ISNUMBER($F328),$D328&lt;&gt;"R"),$E328*$F328,"")</f>
        <v/>
      </c>
      <c r="H328" s="10"/>
    </row>
    <row r="329" customFormat="false" ht="15.75" hidden="false" customHeight="true" outlineLevel="0" collapsed="false">
      <c r="A329" s="38"/>
      <c r="B329" s="11"/>
      <c r="C329" s="10"/>
      <c r="D329" s="39"/>
      <c r="E329" s="12"/>
      <c r="F329" s="40"/>
      <c r="G329" s="18" t="str">
        <f aca="false">IF(AND(ISNUMBER($E329),ISNUMBER($F329),$D329&lt;&gt;"R"),$E329*$F329,"")</f>
        <v/>
      </c>
      <c r="H329" s="10"/>
    </row>
    <row r="330" customFormat="false" ht="15.75" hidden="false" customHeight="true" outlineLevel="0" collapsed="false">
      <c r="A330" s="38"/>
      <c r="B330" s="11"/>
      <c r="C330" s="10"/>
      <c r="D330" s="39"/>
      <c r="E330" s="12"/>
      <c r="F330" s="40"/>
      <c r="G330" s="18" t="str">
        <f aca="false">IF(AND(ISNUMBER($E330),ISNUMBER($F330),$D330&lt;&gt;"R"),$E330*$F330,"")</f>
        <v/>
      </c>
      <c r="H330" s="10"/>
    </row>
    <row r="331" customFormat="false" ht="15.75" hidden="false" customHeight="true" outlineLevel="0" collapsed="false">
      <c r="A331" s="38"/>
      <c r="B331" s="11"/>
      <c r="C331" s="10"/>
      <c r="D331" s="39"/>
      <c r="E331" s="12"/>
      <c r="F331" s="40"/>
      <c r="G331" s="18" t="str">
        <f aca="false">IF(AND(ISNUMBER($E331),ISNUMBER($F331),$D331&lt;&gt;"R"),$E331*$F331,"")</f>
        <v/>
      </c>
      <c r="H331" s="10"/>
    </row>
    <row r="332" customFormat="false" ht="15.75" hidden="false" customHeight="true" outlineLevel="0" collapsed="false">
      <c r="A332" s="38"/>
      <c r="B332" s="11"/>
      <c r="C332" s="10"/>
      <c r="D332" s="39"/>
      <c r="E332" s="12"/>
      <c r="F332" s="40"/>
      <c r="G332" s="18" t="str">
        <f aca="false">IF(AND(ISNUMBER($E332),ISNUMBER($F332),$D332&lt;&gt;"R"),$E332*$F332,"")</f>
        <v/>
      </c>
      <c r="H332" s="10"/>
    </row>
    <row r="333" customFormat="false" ht="15.75" hidden="false" customHeight="true" outlineLevel="0" collapsed="false">
      <c r="A333" s="38"/>
      <c r="B333" s="11"/>
      <c r="C333" s="10"/>
      <c r="D333" s="39"/>
      <c r="E333" s="12"/>
      <c r="F333" s="40"/>
      <c r="G333" s="18" t="str">
        <f aca="false">IF(AND(ISNUMBER($E333),ISNUMBER($F333),$D333&lt;&gt;"R"),$E333*$F333,"")</f>
        <v/>
      </c>
      <c r="H333" s="10"/>
    </row>
    <row r="334" customFormat="false" ht="15.75" hidden="false" customHeight="true" outlineLevel="0" collapsed="false">
      <c r="A334" s="38"/>
      <c r="B334" s="11"/>
      <c r="C334" s="10"/>
      <c r="D334" s="39"/>
      <c r="E334" s="12"/>
      <c r="F334" s="40"/>
      <c r="G334" s="18" t="str">
        <f aca="false">IF(AND(ISNUMBER($E334),ISNUMBER($F334),$D334&lt;&gt;"R"),$E334*$F334,"")</f>
        <v/>
      </c>
      <c r="H334" s="10"/>
    </row>
    <row r="335" customFormat="false" ht="15.75" hidden="false" customHeight="true" outlineLevel="0" collapsed="false">
      <c r="A335" s="38"/>
      <c r="B335" s="11"/>
      <c r="C335" s="10"/>
      <c r="D335" s="39"/>
      <c r="E335" s="12"/>
      <c r="F335" s="40"/>
      <c r="G335" s="18" t="str">
        <f aca="false">IF(AND(ISNUMBER($E335),ISNUMBER($F335),$D335&lt;&gt;"R"),$E335*$F335,"")</f>
        <v/>
      </c>
      <c r="H335" s="10"/>
    </row>
    <row r="336" customFormat="false" ht="15.75" hidden="false" customHeight="true" outlineLevel="0" collapsed="false">
      <c r="A336" s="38"/>
      <c r="B336" s="11"/>
      <c r="C336" s="10"/>
      <c r="D336" s="39"/>
      <c r="E336" s="12"/>
      <c r="F336" s="40"/>
      <c r="G336" s="18" t="str">
        <f aca="false">IF(AND(ISNUMBER($E336),ISNUMBER($F336),$D336&lt;&gt;"R"),$E336*$F336,"")</f>
        <v/>
      </c>
      <c r="H336" s="10"/>
    </row>
    <row r="337" customFormat="false" ht="15.75" hidden="false" customHeight="true" outlineLevel="0" collapsed="false">
      <c r="A337" s="38"/>
      <c r="B337" s="11"/>
      <c r="C337" s="10"/>
      <c r="D337" s="39"/>
      <c r="E337" s="12"/>
      <c r="F337" s="40"/>
      <c r="G337" s="18" t="str">
        <f aca="false">IF(AND(ISNUMBER($E337),ISNUMBER($F337),$D337&lt;&gt;"R"),$E337*$F337,"")</f>
        <v/>
      </c>
      <c r="H337" s="10"/>
    </row>
    <row r="338" customFormat="false" ht="15.75" hidden="false" customHeight="true" outlineLevel="0" collapsed="false">
      <c r="A338" s="38"/>
      <c r="B338" s="11"/>
      <c r="C338" s="10"/>
      <c r="D338" s="39"/>
      <c r="E338" s="12"/>
      <c r="F338" s="40"/>
      <c r="G338" s="18" t="str">
        <f aca="false">IF(AND(ISNUMBER($E338),ISNUMBER($F338),$D338&lt;&gt;"R"),$E338*$F338,"")</f>
        <v/>
      </c>
      <c r="H338" s="10"/>
    </row>
    <row r="339" customFormat="false" ht="15.75" hidden="false" customHeight="true" outlineLevel="0" collapsed="false">
      <c r="A339" s="38"/>
      <c r="B339" s="11"/>
      <c r="C339" s="10"/>
      <c r="D339" s="39"/>
      <c r="E339" s="12"/>
      <c r="F339" s="40"/>
      <c r="G339" s="18" t="str">
        <f aca="false">IF(AND(ISNUMBER($E339),ISNUMBER($F339),$D339&lt;&gt;"R"),$E339*$F339,"")</f>
        <v/>
      </c>
      <c r="H339" s="10"/>
    </row>
    <row r="340" customFormat="false" ht="15.75" hidden="false" customHeight="true" outlineLevel="0" collapsed="false">
      <c r="A340" s="38"/>
      <c r="B340" s="11"/>
      <c r="C340" s="10"/>
      <c r="D340" s="39"/>
      <c r="E340" s="12"/>
      <c r="F340" s="40"/>
      <c r="G340" s="18" t="str">
        <f aca="false">IF(AND(ISNUMBER($E340),ISNUMBER($F340),$D340&lt;&gt;"R"),$E340*$F340,"")</f>
        <v/>
      </c>
      <c r="H340" s="10"/>
    </row>
    <row r="341" customFormat="false" ht="15.75" hidden="false" customHeight="true" outlineLevel="0" collapsed="false">
      <c r="A341" s="38"/>
      <c r="B341" s="11"/>
      <c r="C341" s="10"/>
      <c r="D341" s="39"/>
      <c r="E341" s="12"/>
      <c r="F341" s="40"/>
      <c r="G341" s="18" t="str">
        <f aca="false">IF(AND(ISNUMBER($E341),ISNUMBER($F341),$D341&lt;&gt;"R"),$E341*$F341,"")</f>
        <v/>
      </c>
      <c r="H341" s="10"/>
    </row>
    <row r="342" customFormat="false" ht="15.75" hidden="false" customHeight="true" outlineLevel="0" collapsed="false">
      <c r="A342" s="38"/>
      <c r="B342" s="11"/>
      <c r="C342" s="10"/>
      <c r="D342" s="39"/>
      <c r="E342" s="12"/>
      <c r="F342" s="40"/>
      <c r="G342" s="18" t="str">
        <f aca="false">IF(AND(ISNUMBER($E342),ISNUMBER($F342),$D342&lt;&gt;"R"),$E342*$F342,"")</f>
        <v/>
      </c>
      <c r="H342" s="10"/>
    </row>
    <row r="343" customFormat="false" ht="15.75" hidden="false" customHeight="true" outlineLevel="0" collapsed="false">
      <c r="A343" s="38"/>
      <c r="B343" s="11"/>
      <c r="C343" s="10"/>
      <c r="D343" s="39"/>
      <c r="E343" s="12"/>
      <c r="F343" s="40"/>
      <c r="G343" s="18" t="str">
        <f aca="false">IF(AND(ISNUMBER($E343),ISNUMBER($F343),$D343&lt;&gt;"R"),$E343*$F343,"")</f>
        <v/>
      </c>
      <c r="H343" s="10"/>
    </row>
    <row r="344" customFormat="false" ht="15.75" hidden="false" customHeight="true" outlineLevel="0" collapsed="false">
      <c r="A344" s="38"/>
      <c r="B344" s="11"/>
      <c r="C344" s="10"/>
      <c r="D344" s="39"/>
      <c r="E344" s="12"/>
      <c r="F344" s="40"/>
      <c r="G344" s="18" t="str">
        <f aca="false">IF(AND(ISNUMBER($E344),ISNUMBER($F344),$D344&lt;&gt;"R"),$E344*$F344,"")</f>
        <v/>
      </c>
      <c r="H344" s="10"/>
    </row>
    <row r="345" customFormat="false" ht="15.75" hidden="false" customHeight="true" outlineLevel="0" collapsed="false">
      <c r="A345" s="38"/>
      <c r="B345" s="11"/>
      <c r="C345" s="10"/>
      <c r="D345" s="39"/>
      <c r="E345" s="12"/>
      <c r="F345" s="40"/>
      <c r="G345" s="18" t="str">
        <f aca="false">IF(AND(ISNUMBER($E345),ISNUMBER($F345),$D345&lt;&gt;"R"),$E345*$F345,"")</f>
        <v/>
      </c>
      <c r="H345" s="10"/>
    </row>
    <row r="346" customFormat="false" ht="15.75" hidden="false" customHeight="true" outlineLevel="0" collapsed="false">
      <c r="A346" s="38"/>
      <c r="B346" s="11"/>
      <c r="C346" s="10"/>
      <c r="D346" s="39"/>
      <c r="E346" s="12"/>
      <c r="F346" s="40"/>
      <c r="G346" s="18" t="str">
        <f aca="false">IF(AND(ISNUMBER($E346),ISNUMBER($F346),$D346&lt;&gt;"R"),$E346*$F346,"")</f>
        <v/>
      </c>
      <c r="H346" s="10"/>
    </row>
    <row r="347" customFormat="false" ht="15.75" hidden="false" customHeight="true" outlineLevel="0" collapsed="false">
      <c r="A347" s="38"/>
      <c r="B347" s="11"/>
      <c r="C347" s="10"/>
      <c r="D347" s="39"/>
      <c r="E347" s="12"/>
      <c r="F347" s="40"/>
      <c r="G347" s="18" t="str">
        <f aca="false">IF(AND(ISNUMBER($E347),ISNUMBER($F347),$D347&lt;&gt;"R"),$E347*$F347,"")</f>
        <v/>
      </c>
      <c r="H347" s="10"/>
    </row>
    <row r="348" customFormat="false" ht="15.75" hidden="false" customHeight="true" outlineLevel="0" collapsed="false">
      <c r="A348" s="38"/>
      <c r="B348" s="11"/>
      <c r="C348" s="10"/>
      <c r="D348" s="39"/>
      <c r="E348" s="12"/>
      <c r="F348" s="40"/>
      <c r="G348" s="18" t="str">
        <f aca="false">IF(AND(ISNUMBER($E348),ISNUMBER($F348),$D348&lt;&gt;"R"),$E348*$F348,"")</f>
        <v/>
      </c>
      <c r="H348" s="10"/>
    </row>
    <row r="349" customFormat="false" ht="15.75" hidden="false" customHeight="true" outlineLevel="0" collapsed="false">
      <c r="A349" s="38"/>
      <c r="B349" s="11"/>
      <c r="C349" s="10"/>
      <c r="D349" s="39"/>
      <c r="E349" s="12"/>
      <c r="F349" s="40"/>
      <c r="G349" s="18" t="str">
        <f aca="false">IF(AND(ISNUMBER($E349),ISNUMBER($F349),$D349&lt;&gt;"R"),$E349*$F349,"")</f>
        <v/>
      </c>
      <c r="H349" s="10"/>
    </row>
    <row r="350" customFormat="false" ht="15.75" hidden="false" customHeight="true" outlineLevel="0" collapsed="false">
      <c r="A350" s="38"/>
      <c r="B350" s="11"/>
      <c r="C350" s="10"/>
      <c r="D350" s="39"/>
      <c r="E350" s="12"/>
      <c r="F350" s="40"/>
      <c r="G350" s="18" t="str">
        <f aca="false">IF(AND(ISNUMBER($E350),ISNUMBER($F350),$D350&lt;&gt;"R"),$E350*$F350,"")</f>
        <v/>
      </c>
      <c r="H350" s="10"/>
    </row>
    <row r="351" customFormat="false" ht="15.75" hidden="false" customHeight="true" outlineLevel="0" collapsed="false">
      <c r="A351" s="38"/>
      <c r="B351" s="11"/>
      <c r="C351" s="10"/>
      <c r="D351" s="39"/>
      <c r="E351" s="12"/>
      <c r="F351" s="40"/>
      <c r="G351" s="18" t="str">
        <f aca="false">IF(AND(ISNUMBER($E351),ISNUMBER($F351),$D351&lt;&gt;"R"),$E351*$F351,"")</f>
        <v/>
      </c>
      <c r="H351" s="10"/>
    </row>
    <row r="352" customFormat="false" ht="15.75" hidden="false" customHeight="true" outlineLevel="0" collapsed="false">
      <c r="A352" s="38"/>
      <c r="B352" s="11"/>
      <c r="C352" s="10"/>
      <c r="D352" s="39"/>
      <c r="E352" s="12"/>
      <c r="F352" s="40"/>
      <c r="G352" s="18" t="str">
        <f aca="false">IF(AND(ISNUMBER($E352),ISNUMBER($F352),$D352&lt;&gt;"R"),$E352*$F352,"")</f>
        <v/>
      </c>
      <c r="H352" s="10"/>
    </row>
    <row r="353" customFormat="false" ht="15.75" hidden="false" customHeight="true" outlineLevel="0" collapsed="false">
      <c r="A353" s="38"/>
      <c r="B353" s="11"/>
      <c r="C353" s="10"/>
      <c r="D353" s="39"/>
      <c r="E353" s="12"/>
      <c r="F353" s="40"/>
      <c r="G353" s="18" t="str">
        <f aca="false">IF(AND(ISNUMBER($E353),ISNUMBER($F353),$D353&lt;&gt;"R"),$E353*$F353,"")</f>
        <v/>
      </c>
      <c r="H353" s="10"/>
    </row>
    <row r="354" customFormat="false" ht="15.75" hidden="false" customHeight="true" outlineLevel="0" collapsed="false">
      <c r="A354" s="38"/>
      <c r="B354" s="11"/>
      <c r="C354" s="10"/>
      <c r="D354" s="39"/>
      <c r="E354" s="12"/>
      <c r="F354" s="40"/>
      <c r="G354" s="18" t="str">
        <f aca="false">IF(AND(ISNUMBER($E354),ISNUMBER($F354),$D354&lt;&gt;"R"),$E354*$F354,"")</f>
        <v/>
      </c>
      <c r="H354" s="10"/>
    </row>
    <row r="355" customFormat="false" ht="15.75" hidden="false" customHeight="true" outlineLevel="0" collapsed="false">
      <c r="A355" s="38"/>
      <c r="B355" s="11"/>
      <c r="C355" s="10"/>
      <c r="D355" s="39"/>
      <c r="E355" s="12"/>
      <c r="F355" s="40"/>
      <c r="G355" s="18" t="str">
        <f aca="false">IF(AND(ISNUMBER($E355),ISNUMBER($F355),$D355&lt;&gt;"R"),$E355*$F355,"")</f>
        <v/>
      </c>
      <c r="H355" s="10"/>
    </row>
    <row r="356" customFormat="false" ht="15.75" hidden="false" customHeight="true" outlineLevel="0" collapsed="false">
      <c r="A356" s="38"/>
      <c r="B356" s="11"/>
      <c r="C356" s="10"/>
      <c r="D356" s="39"/>
      <c r="E356" s="12"/>
      <c r="F356" s="40"/>
      <c r="G356" s="18" t="str">
        <f aca="false">IF(AND(ISNUMBER($E356),ISNUMBER($F356),$D356&lt;&gt;"R"),$E356*$F356,"")</f>
        <v/>
      </c>
      <c r="H356" s="10"/>
    </row>
    <row r="357" customFormat="false" ht="15.75" hidden="false" customHeight="true" outlineLevel="0" collapsed="false">
      <c r="A357" s="38"/>
      <c r="B357" s="11"/>
      <c r="C357" s="10"/>
      <c r="D357" s="39"/>
      <c r="E357" s="12"/>
      <c r="F357" s="40"/>
      <c r="G357" s="18" t="str">
        <f aca="false">IF(AND(ISNUMBER($E357),ISNUMBER($F357),$D357&lt;&gt;"R"),$E357*$F357,"")</f>
        <v/>
      </c>
      <c r="H357" s="10"/>
    </row>
    <row r="358" customFormat="false" ht="15.75" hidden="false" customHeight="true" outlineLevel="0" collapsed="false">
      <c r="A358" s="38"/>
      <c r="B358" s="11"/>
      <c r="C358" s="10"/>
      <c r="D358" s="39"/>
      <c r="E358" s="12"/>
      <c r="F358" s="40"/>
      <c r="G358" s="18" t="str">
        <f aca="false">IF(AND(ISNUMBER($E358),ISNUMBER($F358),$D358&lt;&gt;"R"),$E358*$F358,"")</f>
        <v/>
      </c>
      <c r="H358" s="10"/>
    </row>
    <row r="359" customFormat="false" ht="15.75" hidden="false" customHeight="true" outlineLevel="0" collapsed="false">
      <c r="A359" s="38"/>
      <c r="B359" s="11"/>
      <c r="C359" s="10"/>
      <c r="D359" s="39"/>
      <c r="E359" s="12"/>
      <c r="F359" s="40"/>
      <c r="G359" s="18" t="str">
        <f aca="false">IF(AND(ISNUMBER($E359),ISNUMBER($F359),$D359&lt;&gt;"R"),$E359*$F359,"")</f>
        <v/>
      </c>
      <c r="H359" s="10"/>
    </row>
    <row r="360" customFormat="false" ht="15.75" hidden="false" customHeight="true" outlineLevel="0" collapsed="false">
      <c r="A360" s="38"/>
      <c r="B360" s="11"/>
      <c r="C360" s="10"/>
      <c r="D360" s="39"/>
      <c r="E360" s="12"/>
      <c r="F360" s="40"/>
      <c r="G360" s="18" t="str">
        <f aca="false">IF(AND(ISNUMBER($E360),ISNUMBER($F360),$D360&lt;&gt;"R"),$E360*$F360,"")</f>
        <v/>
      </c>
      <c r="H360" s="10"/>
    </row>
    <row r="361" customFormat="false" ht="15.75" hidden="false" customHeight="true" outlineLevel="0" collapsed="false">
      <c r="A361" s="38"/>
      <c r="B361" s="11"/>
      <c r="C361" s="10"/>
      <c r="D361" s="39"/>
      <c r="E361" s="12"/>
      <c r="F361" s="40"/>
      <c r="G361" s="18" t="str">
        <f aca="false">IF(AND(ISNUMBER($E361),ISNUMBER($F361),$D361&lt;&gt;"R"),$E361*$F361,"")</f>
        <v/>
      </c>
      <c r="H361" s="10"/>
    </row>
    <row r="362" customFormat="false" ht="15.75" hidden="false" customHeight="true" outlineLevel="0" collapsed="false">
      <c r="A362" s="38"/>
      <c r="B362" s="11"/>
      <c r="C362" s="10"/>
      <c r="D362" s="39"/>
      <c r="E362" s="12"/>
      <c r="F362" s="40"/>
      <c r="G362" s="18" t="str">
        <f aca="false">IF(AND(ISNUMBER($E362),ISNUMBER($F362),$D362&lt;&gt;"R"),$E362*$F362,"")</f>
        <v/>
      </c>
      <c r="H362" s="10"/>
    </row>
    <row r="363" customFormat="false" ht="15.75" hidden="false" customHeight="true" outlineLevel="0" collapsed="false">
      <c r="A363" s="38"/>
      <c r="B363" s="11"/>
      <c r="C363" s="10"/>
      <c r="D363" s="39"/>
      <c r="E363" s="12"/>
      <c r="F363" s="40"/>
      <c r="G363" s="18" t="str">
        <f aca="false">IF(AND(ISNUMBER($E363),ISNUMBER($F363),$D363&lt;&gt;"R"),$E363*$F363,"")</f>
        <v/>
      </c>
      <c r="H363" s="10"/>
    </row>
    <row r="364" customFormat="false" ht="15.75" hidden="false" customHeight="true" outlineLevel="0" collapsed="false">
      <c r="A364" s="38"/>
      <c r="B364" s="11"/>
      <c r="C364" s="10"/>
      <c r="D364" s="39"/>
      <c r="E364" s="12"/>
      <c r="F364" s="40"/>
      <c r="G364" s="18" t="str">
        <f aca="false">IF(AND(ISNUMBER($E364),ISNUMBER($F364),$D364&lt;&gt;"R"),$E364*$F364,"")</f>
        <v/>
      </c>
      <c r="H364" s="10"/>
    </row>
    <row r="365" customFormat="false" ht="15.75" hidden="false" customHeight="true" outlineLevel="0" collapsed="false">
      <c r="A365" s="38"/>
      <c r="B365" s="11"/>
      <c r="C365" s="10"/>
      <c r="D365" s="39"/>
      <c r="E365" s="12"/>
      <c r="F365" s="40"/>
      <c r="G365" s="18" t="str">
        <f aca="false">IF(AND(ISNUMBER($E365),ISNUMBER($F365),$D365&lt;&gt;"R"),$E365*$F365,"")</f>
        <v/>
      </c>
      <c r="H365" s="10"/>
    </row>
    <row r="366" customFormat="false" ht="15.75" hidden="false" customHeight="true" outlineLevel="0" collapsed="false">
      <c r="A366" s="38"/>
      <c r="B366" s="11"/>
      <c r="C366" s="10"/>
      <c r="D366" s="39"/>
      <c r="E366" s="12"/>
      <c r="F366" s="40"/>
      <c r="G366" s="18" t="str">
        <f aca="false">IF(AND(ISNUMBER($E366),ISNUMBER($F366),$D366&lt;&gt;"R"),$E366*$F366,"")</f>
        <v/>
      </c>
      <c r="H366" s="10"/>
    </row>
    <row r="367" customFormat="false" ht="15.75" hidden="false" customHeight="true" outlineLevel="0" collapsed="false">
      <c r="A367" s="38"/>
      <c r="B367" s="11"/>
      <c r="C367" s="10"/>
      <c r="D367" s="39"/>
      <c r="E367" s="12"/>
      <c r="F367" s="40"/>
      <c r="G367" s="18" t="str">
        <f aca="false">IF(AND(ISNUMBER($E367),ISNUMBER($F367),$D367&lt;&gt;"R"),$E367*$F367,"")</f>
        <v/>
      </c>
      <c r="H367" s="10"/>
    </row>
    <row r="368" customFormat="false" ht="15.75" hidden="false" customHeight="true" outlineLevel="0" collapsed="false">
      <c r="A368" s="38"/>
      <c r="B368" s="11"/>
      <c r="C368" s="10"/>
      <c r="D368" s="39"/>
      <c r="E368" s="12"/>
      <c r="F368" s="40"/>
      <c r="G368" s="18" t="str">
        <f aca="false">IF(AND(ISNUMBER($E368),ISNUMBER($F368),$D368&lt;&gt;"R"),$E368*$F368,"")</f>
        <v/>
      </c>
      <c r="H368" s="10"/>
    </row>
    <row r="369" customFormat="false" ht="15.75" hidden="false" customHeight="true" outlineLevel="0" collapsed="false">
      <c r="A369" s="38"/>
      <c r="B369" s="11"/>
      <c r="C369" s="10"/>
      <c r="D369" s="39"/>
      <c r="E369" s="12"/>
      <c r="F369" s="40"/>
      <c r="G369" s="18" t="str">
        <f aca="false">IF(AND(ISNUMBER($E369),ISNUMBER($F369),$D369&lt;&gt;"R"),$E369*$F369,"")</f>
        <v/>
      </c>
      <c r="H369" s="10"/>
    </row>
    <row r="370" customFormat="false" ht="15.75" hidden="false" customHeight="true" outlineLevel="0" collapsed="false">
      <c r="A370" s="38"/>
      <c r="B370" s="11"/>
      <c r="C370" s="10"/>
      <c r="D370" s="39"/>
      <c r="E370" s="12"/>
      <c r="F370" s="40"/>
      <c r="G370" s="18" t="str">
        <f aca="false">IF(AND(ISNUMBER($E370),ISNUMBER($F370),$D370&lt;&gt;"R"),$E370*$F370,"")</f>
        <v/>
      </c>
      <c r="H370" s="10"/>
    </row>
    <row r="371" customFormat="false" ht="15.75" hidden="false" customHeight="true" outlineLevel="0" collapsed="false">
      <c r="A371" s="38"/>
      <c r="B371" s="11"/>
      <c r="C371" s="10"/>
      <c r="D371" s="39"/>
      <c r="E371" s="12"/>
      <c r="F371" s="40"/>
      <c r="G371" s="18" t="str">
        <f aca="false">IF(AND(ISNUMBER($E371),ISNUMBER($F371),$D371&lt;&gt;"R"),$E371*$F371,"")</f>
        <v/>
      </c>
      <c r="H371" s="10"/>
    </row>
    <row r="372" customFormat="false" ht="15.75" hidden="false" customHeight="true" outlineLevel="0" collapsed="false">
      <c r="A372" s="38"/>
      <c r="B372" s="11"/>
      <c r="C372" s="10"/>
      <c r="D372" s="39"/>
      <c r="E372" s="12"/>
      <c r="F372" s="40"/>
      <c r="G372" s="18" t="str">
        <f aca="false">IF(AND(ISNUMBER($E372),ISNUMBER($F372),$D372&lt;&gt;"R"),$E372*$F372,"")</f>
        <v/>
      </c>
      <c r="H372" s="10"/>
    </row>
    <row r="373" customFormat="false" ht="15.75" hidden="false" customHeight="true" outlineLevel="0" collapsed="false">
      <c r="A373" s="38"/>
      <c r="B373" s="11"/>
      <c r="C373" s="10"/>
      <c r="D373" s="39"/>
      <c r="E373" s="12"/>
      <c r="F373" s="40"/>
      <c r="G373" s="18" t="str">
        <f aca="false">IF(AND(ISNUMBER($E373),ISNUMBER($F373),$D373&lt;&gt;"R"),$E373*$F373,"")</f>
        <v/>
      </c>
      <c r="H373" s="10"/>
    </row>
    <row r="374" customFormat="false" ht="15.75" hidden="false" customHeight="true" outlineLevel="0" collapsed="false">
      <c r="A374" s="38"/>
      <c r="B374" s="11"/>
      <c r="C374" s="10"/>
      <c r="D374" s="39"/>
      <c r="E374" s="12"/>
      <c r="F374" s="40"/>
      <c r="G374" s="18" t="str">
        <f aca="false">IF(AND(ISNUMBER($E374),ISNUMBER($F374),$D374&lt;&gt;"R"),$E374*$F374,"")</f>
        <v/>
      </c>
      <c r="H374" s="10"/>
    </row>
    <row r="375" customFormat="false" ht="15.75" hidden="false" customHeight="true" outlineLevel="0" collapsed="false">
      <c r="A375" s="38"/>
      <c r="B375" s="11"/>
      <c r="C375" s="10"/>
      <c r="D375" s="39"/>
      <c r="E375" s="12"/>
      <c r="F375" s="40"/>
      <c r="G375" s="18" t="str">
        <f aca="false">IF(AND(ISNUMBER($E375),ISNUMBER($F375),$D375&lt;&gt;"R"),$E375*$F375,"")</f>
        <v/>
      </c>
      <c r="H375" s="10"/>
    </row>
    <row r="376" customFormat="false" ht="15.75" hidden="false" customHeight="true" outlineLevel="0" collapsed="false">
      <c r="A376" s="38"/>
      <c r="B376" s="11"/>
      <c r="C376" s="10"/>
      <c r="D376" s="39"/>
      <c r="E376" s="12"/>
      <c r="F376" s="40"/>
      <c r="G376" s="18" t="str">
        <f aca="false">IF(AND(ISNUMBER($E376),ISNUMBER($F376),$D376&lt;&gt;"R"),$E376*$F376,"")</f>
        <v/>
      </c>
      <c r="H376" s="10"/>
    </row>
    <row r="377" customFormat="false" ht="15.75" hidden="false" customHeight="true" outlineLevel="0" collapsed="false">
      <c r="A377" s="38"/>
      <c r="B377" s="11"/>
      <c r="C377" s="10"/>
      <c r="D377" s="39"/>
      <c r="E377" s="12"/>
      <c r="F377" s="40"/>
      <c r="G377" s="18" t="str">
        <f aca="false">IF(AND(ISNUMBER($E377),ISNUMBER($F377),$D377&lt;&gt;"R"),$E377*$F377,"")</f>
        <v/>
      </c>
      <c r="H377" s="10"/>
    </row>
    <row r="378" customFormat="false" ht="15.75" hidden="false" customHeight="true" outlineLevel="0" collapsed="false">
      <c r="A378" s="38"/>
      <c r="B378" s="11"/>
      <c r="C378" s="10"/>
      <c r="D378" s="39"/>
      <c r="E378" s="12"/>
      <c r="F378" s="40"/>
      <c r="G378" s="18" t="str">
        <f aca="false">IF(AND(ISNUMBER($E378),ISNUMBER($F378),$D378&lt;&gt;"R"),$E378*$F378,"")</f>
        <v/>
      </c>
      <c r="H378" s="10"/>
    </row>
    <row r="379" customFormat="false" ht="15.75" hidden="false" customHeight="true" outlineLevel="0" collapsed="false">
      <c r="A379" s="38"/>
      <c r="B379" s="11"/>
      <c r="C379" s="10"/>
      <c r="D379" s="39"/>
      <c r="E379" s="12"/>
      <c r="F379" s="40"/>
      <c r="G379" s="18" t="str">
        <f aca="false">IF(AND(ISNUMBER($E379),ISNUMBER($F379),$D379&lt;&gt;"R"),$E379*$F379,"")</f>
        <v/>
      </c>
      <c r="H379" s="10"/>
    </row>
    <row r="380" customFormat="false" ht="15.75" hidden="false" customHeight="true" outlineLevel="0" collapsed="false">
      <c r="A380" s="38"/>
      <c r="B380" s="11"/>
      <c r="C380" s="10"/>
      <c r="D380" s="39"/>
      <c r="E380" s="12"/>
      <c r="F380" s="40"/>
      <c r="G380" s="18" t="str">
        <f aca="false">IF(AND(ISNUMBER($E380),ISNUMBER($F380),$D380&lt;&gt;"R"),$E380*$F380,"")</f>
        <v/>
      </c>
      <c r="H380" s="10"/>
    </row>
    <row r="381" customFormat="false" ht="15.75" hidden="false" customHeight="true" outlineLevel="0" collapsed="false">
      <c r="A381" s="38"/>
      <c r="B381" s="11"/>
      <c r="C381" s="10"/>
      <c r="D381" s="39"/>
      <c r="E381" s="12"/>
      <c r="F381" s="40"/>
      <c r="G381" s="18" t="str">
        <f aca="false">IF(AND(ISNUMBER($E381),ISNUMBER($F381),$D381&lt;&gt;"R"),$E381*$F381,"")</f>
        <v/>
      </c>
      <c r="H381" s="10"/>
    </row>
    <row r="382" customFormat="false" ht="15.75" hidden="false" customHeight="true" outlineLevel="0" collapsed="false">
      <c r="A382" s="38"/>
      <c r="B382" s="11"/>
      <c r="C382" s="10"/>
      <c r="D382" s="39"/>
      <c r="E382" s="12"/>
      <c r="F382" s="40"/>
      <c r="G382" s="18" t="str">
        <f aca="false">IF(AND(ISNUMBER($E382),ISNUMBER($F382),$D382&lt;&gt;"R"),$E382*$F382,"")</f>
        <v/>
      </c>
      <c r="H382" s="10"/>
    </row>
    <row r="383" customFormat="false" ht="15.75" hidden="false" customHeight="true" outlineLevel="0" collapsed="false">
      <c r="A383" s="38"/>
      <c r="B383" s="11"/>
      <c r="C383" s="10"/>
      <c r="D383" s="39"/>
      <c r="E383" s="12"/>
      <c r="F383" s="40"/>
      <c r="G383" s="18" t="str">
        <f aca="false">IF(AND(ISNUMBER($E383),ISNUMBER($F383),$D383&lt;&gt;"R"),$E383*$F383,"")</f>
        <v/>
      </c>
      <c r="H383" s="10"/>
    </row>
    <row r="384" customFormat="false" ht="15.75" hidden="false" customHeight="true" outlineLevel="0" collapsed="false">
      <c r="A384" s="38"/>
      <c r="B384" s="11"/>
      <c r="C384" s="10"/>
      <c r="D384" s="39"/>
      <c r="E384" s="12"/>
      <c r="F384" s="40"/>
      <c r="G384" s="18" t="str">
        <f aca="false">IF(AND(ISNUMBER($E384),ISNUMBER($F384),$D384&lt;&gt;"R"),$E384*$F384,"")</f>
        <v/>
      </c>
      <c r="H384" s="10"/>
    </row>
    <row r="385" customFormat="false" ht="15.75" hidden="false" customHeight="true" outlineLevel="0" collapsed="false">
      <c r="A385" s="38"/>
      <c r="B385" s="11"/>
      <c r="C385" s="10"/>
      <c r="D385" s="39"/>
      <c r="E385" s="12"/>
      <c r="F385" s="40"/>
      <c r="G385" s="18" t="str">
        <f aca="false">IF(AND(ISNUMBER($E385),ISNUMBER($F385),$D385&lt;&gt;"R"),$E385*$F385,"")</f>
        <v/>
      </c>
      <c r="H385" s="10"/>
    </row>
    <row r="386" customFormat="false" ht="15.75" hidden="false" customHeight="true" outlineLevel="0" collapsed="false">
      <c r="A386" s="38"/>
      <c r="B386" s="11"/>
      <c r="C386" s="10"/>
      <c r="D386" s="39"/>
      <c r="E386" s="12"/>
      <c r="F386" s="40"/>
      <c r="G386" s="18" t="str">
        <f aca="false">IF(AND(ISNUMBER($E386),ISNUMBER($F386),$D386&lt;&gt;"R"),$E386*$F386,"")</f>
        <v/>
      </c>
      <c r="H386" s="10"/>
    </row>
    <row r="387" customFormat="false" ht="15.75" hidden="false" customHeight="true" outlineLevel="0" collapsed="false">
      <c r="A387" s="38"/>
      <c r="B387" s="11"/>
      <c r="C387" s="10"/>
      <c r="D387" s="39"/>
      <c r="E387" s="12"/>
      <c r="F387" s="40"/>
      <c r="G387" s="18" t="str">
        <f aca="false">IF(AND(ISNUMBER($E387),ISNUMBER($F387),$D387&lt;&gt;"R"),$E387*$F387,"")</f>
        <v/>
      </c>
      <c r="H387" s="10"/>
    </row>
    <row r="388" customFormat="false" ht="15.75" hidden="false" customHeight="true" outlineLevel="0" collapsed="false">
      <c r="A388" s="38"/>
      <c r="B388" s="11"/>
      <c r="C388" s="10"/>
      <c r="D388" s="39"/>
      <c r="E388" s="12"/>
      <c r="F388" s="40"/>
      <c r="G388" s="18" t="str">
        <f aca="false">IF(AND(ISNUMBER($E388),ISNUMBER($F388),$D388&lt;&gt;"R"),$E388*$F388,"")</f>
        <v/>
      </c>
      <c r="H388" s="10"/>
    </row>
    <row r="389" customFormat="false" ht="15.75" hidden="false" customHeight="true" outlineLevel="0" collapsed="false">
      <c r="A389" s="38"/>
      <c r="B389" s="11"/>
      <c r="C389" s="10"/>
      <c r="D389" s="39"/>
      <c r="E389" s="12"/>
      <c r="F389" s="40"/>
      <c r="G389" s="18" t="str">
        <f aca="false">IF(AND(ISNUMBER($E389),ISNUMBER($F389),$D389&lt;&gt;"R"),$E389*$F389,"")</f>
        <v/>
      </c>
      <c r="H389" s="10"/>
    </row>
    <row r="390" customFormat="false" ht="15.75" hidden="false" customHeight="true" outlineLevel="0" collapsed="false">
      <c r="A390" s="38"/>
      <c r="B390" s="11"/>
      <c r="C390" s="10"/>
      <c r="D390" s="39"/>
      <c r="E390" s="12"/>
      <c r="F390" s="40"/>
      <c r="G390" s="18" t="str">
        <f aca="false">IF(AND(ISNUMBER($E390),ISNUMBER($F390),$D390&lt;&gt;"R"),$E390*$F390,"")</f>
        <v/>
      </c>
      <c r="H390" s="10"/>
    </row>
    <row r="391" customFormat="false" ht="15.75" hidden="false" customHeight="true" outlineLevel="0" collapsed="false">
      <c r="A391" s="38"/>
      <c r="B391" s="11"/>
      <c r="C391" s="10"/>
      <c r="D391" s="39"/>
      <c r="E391" s="12"/>
      <c r="F391" s="40"/>
      <c r="G391" s="18" t="str">
        <f aca="false">IF(AND(ISNUMBER($E391),ISNUMBER($F391),$D391&lt;&gt;"R"),$E391*$F391,"")</f>
        <v/>
      </c>
      <c r="H391" s="10"/>
    </row>
    <row r="392" customFormat="false" ht="15.75" hidden="false" customHeight="true" outlineLevel="0" collapsed="false">
      <c r="A392" s="38"/>
      <c r="B392" s="11"/>
      <c r="C392" s="10"/>
      <c r="D392" s="39"/>
      <c r="E392" s="12"/>
      <c r="F392" s="40"/>
      <c r="G392" s="18" t="str">
        <f aca="false">IF(AND(ISNUMBER($E392),ISNUMBER($F392),$D392&lt;&gt;"R"),$E392*$F392,"")</f>
        <v/>
      </c>
      <c r="H392" s="10"/>
    </row>
    <row r="393" customFormat="false" ht="15.75" hidden="false" customHeight="true" outlineLevel="0" collapsed="false">
      <c r="A393" s="38"/>
      <c r="B393" s="11"/>
      <c r="C393" s="10"/>
      <c r="D393" s="39"/>
      <c r="E393" s="12"/>
      <c r="F393" s="40"/>
      <c r="G393" s="18" t="str">
        <f aca="false">IF(AND(ISNUMBER($E393),ISNUMBER($F393),$D393&lt;&gt;"R"),$E393*$F393,"")</f>
        <v/>
      </c>
      <c r="H393" s="10"/>
    </row>
    <row r="394" customFormat="false" ht="15.75" hidden="false" customHeight="true" outlineLevel="0" collapsed="false">
      <c r="A394" s="38"/>
      <c r="B394" s="11"/>
      <c r="C394" s="10"/>
      <c r="D394" s="39"/>
      <c r="E394" s="12"/>
      <c r="F394" s="40"/>
      <c r="G394" s="18" t="str">
        <f aca="false">IF(AND(ISNUMBER($E394),ISNUMBER($F394),$D394&lt;&gt;"R"),$E394*$F394,"")</f>
        <v/>
      </c>
      <c r="H394" s="10"/>
    </row>
    <row r="395" customFormat="false" ht="15.75" hidden="false" customHeight="true" outlineLevel="0" collapsed="false">
      <c r="A395" s="38"/>
      <c r="B395" s="11"/>
      <c r="C395" s="10"/>
      <c r="D395" s="39"/>
      <c r="E395" s="12"/>
      <c r="F395" s="40"/>
      <c r="G395" s="18" t="str">
        <f aca="false">IF(AND(ISNUMBER($E395),ISNUMBER($F395),$D395&lt;&gt;"R"),$E395*$F395,"")</f>
        <v/>
      </c>
      <c r="H395" s="10"/>
    </row>
    <row r="396" customFormat="false" ht="15.75" hidden="false" customHeight="true" outlineLevel="0" collapsed="false">
      <c r="A396" s="38"/>
      <c r="B396" s="11"/>
      <c r="C396" s="10"/>
      <c r="D396" s="39"/>
      <c r="E396" s="12"/>
      <c r="F396" s="40"/>
      <c r="G396" s="18" t="str">
        <f aca="false">IF(AND(ISNUMBER($E396),ISNUMBER($F396),$D396&lt;&gt;"R"),$E396*$F396,"")</f>
        <v/>
      </c>
      <c r="H396" s="10"/>
    </row>
    <row r="397" customFormat="false" ht="15.75" hidden="false" customHeight="true" outlineLevel="0" collapsed="false">
      <c r="A397" s="38"/>
      <c r="B397" s="11"/>
      <c r="C397" s="10"/>
      <c r="D397" s="39"/>
      <c r="E397" s="12"/>
      <c r="F397" s="40"/>
      <c r="G397" s="18" t="str">
        <f aca="false">IF(AND(ISNUMBER($E397),ISNUMBER($F397),$D397&lt;&gt;"R"),$E397*$F397,"")</f>
        <v/>
      </c>
      <c r="H397" s="10"/>
    </row>
    <row r="398" customFormat="false" ht="15.75" hidden="false" customHeight="true" outlineLevel="0" collapsed="false">
      <c r="A398" s="38"/>
      <c r="B398" s="11"/>
      <c r="C398" s="10"/>
      <c r="D398" s="39"/>
      <c r="E398" s="12"/>
      <c r="F398" s="40"/>
      <c r="G398" s="18" t="str">
        <f aca="false">IF(AND(ISNUMBER($E398),ISNUMBER($F398),$D398&lt;&gt;"R"),$E398*$F398,"")</f>
        <v/>
      </c>
      <c r="H398" s="10"/>
    </row>
    <row r="399" customFormat="false" ht="15.75" hidden="false" customHeight="true" outlineLevel="0" collapsed="false">
      <c r="A399" s="38"/>
      <c r="B399" s="11"/>
      <c r="C399" s="10"/>
      <c r="D399" s="39"/>
      <c r="E399" s="12"/>
      <c r="F399" s="40"/>
      <c r="G399" s="18" t="str">
        <f aca="false">IF(AND(ISNUMBER($E399),ISNUMBER($F399),$D399&lt;&gt;"R"),$E399*$F399,"")</f>
        <v/>
      </c>
      <c r="H399" s="10"/>
    </row>
    <row r="400" customFormat="false" ht="15.75" hidden="false" customHeight="true" outlineLevel="0" collapsed="false">
      <c r="A400" s="38"/>
      <c r="B400" s="11"/>
      <c r="C400" s="10"/>
      <c r="D400" s="39"/>
      <c r="E400" s="12"/>
      <c r="F400" s="40"/>
      <c r="G400" s="18" t="str">
        <f aca="false">IF(AND(ISNUMBER($E400),ISNUMBER($F400),$D400&lt;&gt;"R"),$E400*$F400,"")</f>
        <v/>
      </c>
      <c r="H400" s="10"/>
    </row>
    <row r="401" customFormat="false" ht="15.75" hidden="false" customHeight="true" outlineLevel="0" collapsed="false">
      <c r="A401" s="38"/>
      <c r="B401" s="11"/>
      <c r="C401" s="10"/>
      <c r="D401" s="39"/>
      <c r="E401" s="12"/>
      <c r="F401" s="40"/>
      <c r="G401" s="18" t="str">
        <f aca="false">IF(AND(ISNUMBER($E401),ISNUMBER($F401),$D401&lt;&gt;"R"),$E401*$F401,"")</f>
        <v/>
      </c>
      <c r="H401" s="10"/>
    </row>
    <row r="402" customFormat="false" ht="15.75" hidden="false" customHeight="true" outlineLevel="0" collapsed="false">
      <c r="A402" s="38"/>
      <c r="B402" s="11"/>
      <c r="C402" s="10"/>
      <c r="D402" s="39"/>
      <c r="E402" s="12"/>
      <c r="F402" s="40"/>
      <c r="G402" s="18" t="str">
        <f aca="false">IF(AND(ISNUMBER($E402),ISNUMBER($F402),$D402&lt;&gt;"R"),$E402*$F402,"")</f>
        <v/>
      </c>
      <c r="H402" s="10"/>
    </row>
    <row r="403" customFormat="false" ht="15.75" hidden="false" customHeight="true" outlineLevel="0" collapsed="false">
      <c r="A403" s="38"/>
      <c r="B403" s="11"/>
      <c r="C403" s="10"/>
      <c r="D403" s="39"/>
      <c r="E403" s="12"/>
      <c r="F403" s="40"/>
      <c r="G403" s="18" t="str">
        <f aca="false">IF(AND(ISNUMBER($E403),ISNUMBER($F403),$D403&lt;&gt;"R"),$E403*$F403,"")</f>
        <v/>
      </c>
      <c r="H403" s="10"/>
    </row>
    <row r="404" customFormat="false" ht="15.75" hidden="false" customHeight="true" outlineLevel="0" collapsed="false">
      <c r="A404" s="38"/>
      <c r="B404" s="11"/>
      <c r="C404" s="10"/>
      <c r="D404" s="39"/>
      <c r="E404" s="12"/>
      <c r="F404" s="40"/>
      <c r="G404" s="18" t="str">
        <f aca="false">IF(AND(ISNUMBER($E404),ISNUMBER($F404),$D404&lt;&gt;"R"),$E404*$F404,"")</f>
        <v/>
      </c>
      <c r="H404" s="10"/>
    </row>
    <row r="405" customFormat="false" ht="15.75" hidden="false" customHeight="true" outlineLevel="0" collapsed="false">
      <c r="A405" s="38"/>
      <c r="B405" s="11"/>
      <c r="C405" s="10"/>
      <c r="D405" s="39"/>
      <c r="E405" s="12"/>
      <c r="F405" s="40"/>
      <c r="G405" s="18" t="str">
        <f aca="false">IF(AND(ISNUMBER($E405),ISNUMBER($F405),$D405&lt;&gt;"R"),$E405*$F405,"")</f>
        <v/>
      </c>
      <c r="H405" s="10"/>
    </row>
    <row r="406" customFormat="false" ht="15.75" hidden="false" customHeight="true" outlineLevel="0" collapsed="false">
      <c r="A406" s="38"/>
      <c r="B406" s="11"/>
      <c r="C406" s="10"/>
      <c r="D406" s="39"/>
      <c r="E406" s="12"/>
      <c r="F406" s="40"/>
      <c r="G406" s="18" t="str">
        <f aca="false">IF(AND(ISNUMBER($E406),ISNUMBER($F406),$D406&lt;&gt;"R"),$E406*$F406,"")</f>
        <v/>
      </c>
      <c r="H406" s="10"/>
    </row>
    <row r="407" customFormat="false" ht="15.75" hidden="false" customHeight="true" outlineLevel="0" collapsed="false">
      <c r="A407" s="38"/>
      <c r="B407" s="11"/>
      <c r="C407" s="10"/>
      <c r="D407" s="39"/>
      <c r="E407" s="12"/>
      <c r="F407" s="40"/>
      <c r="G407" s="18" t="str">
        <f aca="false">IF(AND(ISNUMBER($E407),ISNUMBER($F407),$D407&lt;&gt;"R"),$E407*$F407,"")</f>
        <v/>
      </c>
      <c r="H407" s="10"/>
    </row>
    <row r="408" customFormat="false" ht="15.75" hidden="false" customHeight="true" outlineLevel="0" collapsed="false">
      <c r="A408" s="38"/>
      <c r="B408" s="11"/>
      <c r="C408" s="10"/>
      <c r="D408" s="39"/>
      <c r="E408" s="12"/>
      <c r="F408" s="40"/>
      <c r="G408" s="18" t="str">
        <f aca="false">IF(AND(ISNUMBER($E408),ISNUMBER($F408),$D408&lt;&gt;"R"),$E408*$F408,"")</f>
        <v/>
      </c>
      <c r="H408" s="10"/>
    </row>
    <row r="409" customFormat="false" ht="15.75" hidden="false" customHeight="true" outlineLevel="0" collapsed="false">
      <c r="A409" s="38"/>
      <c r="B409" s="11"/>
      <c r="C409" s="10"/>
      <c r="D409" s="39"/>
      <c r="E409" s="12"/>
      <c r="F409" s="40"/>
      <c r="G409" s="18" t="str">
        <f aca="false">IF(AND(ISNUMBER($E409),ISNUMBER($F409),$D409&lt;&gt;"R"),$E409*$F409,"")</f>
        <v/>
      </c>
      <c r="H409" s="10"/>
    </row>
    <row r="410" customFormat="false" ht="15.75" hidden="false" customHeight="true" outlineLevel="0" collapsed="false">
      <c r="A410" s="38"/>
      <c r="B410" s="11"/>
      <c r="C410" s="10"/>
      <c r="D410" s="39"/>
      <c r="E410" s="12"/>
      <c r="F410" s="40"/>
      <c r="G410" s="18" t="str">
        <f aca="false">IF(AND(ISNUMBER($E410),ISNUMBER($F410),$D410&lt;&gt;"R"),$E410*$F410,"")</f>
        <v/>
      </c>
      <c r="H410" s="10"/>
    </row>
    <row r="411" customFormat="false" ht="15.75" hidden="false" customHeight="true" outlineLevel="0" collapsed="false">
      <c r="A411" s="38"/>
      <c r="B411" s="11"/>
      <c r="C411" s="10"/>
      <c r="D411" s="39"/>
      <c r="E411" s="12"/>
      <c r="F411" s="40"/>
      <c r="G411" s="18" t="str">
        <f aca="false">IF(AND(ISNUMBER($E411),ISNUMBER($F411),$D411&lt;&gt;"R"),$E411*$F411,"")</f>
        <v/>
      </c>
      <c r="H411" s="10"/>
    </row>
    <row r="412" customFormat="false" ht="15.75" hidden="false" customHeight="true" outlineLevel="0" collapsed="false">
      <c r="A412" s="38"/>
      <c r="B412" s="11"/>
      <c r="C412" s="10"/>
      <c r="D412" s="39"/>
      <c r="E412" s="12"/>
      <c r="F412" s="40"/>
      <c r="G412" s="18" t="str">
        <f aca="false">IF(AND(ISNUMBER($E412),ISNUMBER($F412),$D412&lt;&gt;"R"),$E412*$F412,"")</f>
        <v/>
      </c>
      <c r="H412" s="10"/>
    </row>
    <row r="413" customFormat="false" ht="15.75" hidden="false" customHeight="true" outlineLevel="0" collapsed="false">
      <c r="A413" s="38"/>
      <c r="B413" s="11"/>
      <c r="C413" s="10"/>
      <c r="D413" s="39"/>
      <c r="E413" s="12"/>
      <c r="F413" s="40"/>
      <c r="G413" s="18" t="str">
        <f aca="false">IF(AND(ISNUMBER($E413),ISNUMBER($F413),$D413&lt;&gt;"R"),$E413*$F413,"")</f>
        <v/>
      </c>
      <c r="H413" s="10"/>
    </row>
    <row r="414" customFormat="false" ht="15.75" hidden="false" customHeight="true" outlineLevel="0" collapsed="false">
      <c r="A414" s="38"/>
      <c r="B414" s="11"/>
      <c r="C414" s="10"/>
      <c r="D414" s="39"/>
      <c r="E414" s="12"/>
      <c r="F414" s="40"/>
      <c r="G414" s="18" t="str">
        <f aca="false">IF(AND(ISNUMBER($E414),ISNUMBER($F414),$D414&lt;&gt;"R"),$E414*$F414,"")</f>
        <v/>
      </c>
      <c r="H414" s="10"/>
    </row>
    <row r="415" customFormat="false" ht="15.75" hidden="false" customHeight="true" outlineLevel="0" collapsed="false">
      <c r="A415" s="38"/>
      <c r="B415" s="11"/>
      <c r="C415" s="10"/>
      <c r="D415" s="39"/>
      <c r="E415" s="12"/>
      <c r="F415" s="40"/>
      <c r="G415" s="18" t="str">
        <f aca="false">IF(AND(ISNUMBER($E415),ISNUMBER($F415),$D415&lt;&gt;"R"),$E415*$F415,"")</f>
        <v/>
      </c>
      <c r="H415" s="10"/>
    </row>
    <row r="416" customFormat="false" ht="15.75" hidden="false" customHeight="true" outlineLevel="0" collapsed="false">
      <c r="A416" s="38"/>
      <c r="B416" s="11"/>
      <c r="C416" s="10"/>
      <c r="D416" s="39"/>
      <c r="E416" s="12"/>
      <c r="F416" s="40"/>
      <c r="G416" s="18" t="str">
        <f aca="false">IF(AND(ISNUMBER($E416),ISNUMBER($F416),$D416&lt;&gt;"R"),$E416*$F416,"")</f>
        <v/>
      </c>
      <c r="H416" s="10"/>
    </row>
    <row r="417" customFormat="false" ht="15.75" hidden="false" customHeight="true" outlineLevel="0" collapsed="false">
      <c r="A417" s="38"/>
      <c r="B417" s="11"/>
      <c r="C417" s="10"/>
      <c r="D417" s="39"/>
      <c r="E417" s="12"/>
      <c r="F417" s="40"/>
      <c r="G417" s="18" t="str">
        <f aca="false">IF(AND(ISNUMBER($E417),ISNUMBER($F417),$D417&lt;&gt;"R"),$E417*$F417,"")</f>
        <v/>
      </c>
      <c r="H417" s="10"/>
    </row>
    <row r="418" customFormat="false" ht="15.75" hidden="false" customHeight="true" outlineLevel="0" collapsed="false">
      <c r="A418" s="38"/>
      <c r="B418" s="11"/>
      <c r="C418" s="10"/>
      <c r="D418" s="39"/>
      <c r="E418" s="12"/>
      <c r="F418" s="40"/>
      <c r="G418" s="18" t="str">
        <f aca="false">IF(AND(ISNUMBER($E418),ISNUMBER($F418),$D418&lt;&gt;"R"),$E418*$F418,"")</f>
        <v/>
      </c>
      <c r="H418" s="10"/>
    </row>
    <row r="419" customFormat="false" ht="15.75" hidden="false" customHeight="true" outlineLevel="0" collapsed="false">
      <c r="A419" s="38"/>
      <c r="B419" s="11"/>
      <c r="C419" s="10"/>
      <c r="D419" s="39"/>
      <c r="E419" s="12"/>
      <c r="F419" s="40"/>
      <c r="G419" s="18" t="str">
        <f aca="false">IF(AND(ISNUMBER($E419),ISNUMBER($F419),$D419&lt;&gt;"R"),$E419*$F419,"")</f>
        <v/>
      </c>
      <c r="H419" s="10"/>
    </row>
    <row r="420" customFormat="false" ht="15.75" hidden="false" customHeight="true" outlineLevel="0" collapsed="false">
      <c r="A420" s="38"/>
      <c r="B420" s="11"/>
      <c r="C420" s="10"/>
      <c r="D420" s="39"/>
      <c r="E420" s="12"/>
      <c r="F420" s="40"/>
      <c r="G420" s="18" t="str">
        <f aca="false">IF(AND(ISNUMBER($E420),ISNUMBER($F420),$D420&lt;&gt;"R"),$E420*$F420,"")</f>
        <v/>
      </c>
      <c r="H420" s="10"/>
    </row>
    <row r="421" customFormat="false" ht="15.75" hidden="false" customHeight="true" outlineLevel="0" collapsed="false">
      <c r="A421" s="38"/>
      <c r="B421" s="11"/>
      <c r="C421" s="10"/>
      <c r="D421" s="39"/>
      <c r="E421" s="12"/>
      <c r="F421" s="40"/>
      <c r="G421" s="18" t="str">
        <f aca="false">IF(AND(ISNUMBER($E421),ISNUMBER($F421),$D421&lt;&gt;"R"),$E421*$F421,"")</f>
        <v/>
      </c>
      <c r="H421" s="10"/>
    </row>
    <row r="422" customFormat="false" ht="15.75" hidden="false" customHeight="true" outlineLevel="0" collapsed="false">
      <c r="A422" s="38"/>
      <c r="B422" s="11"/>
      <c r="C422" s="10"/>
      <c r="D422" s="39"/>
      <c r="E422" s="12"/>
      <c r="F422" s="40"/>
      <c r="G422" s="18" t="str">
        <f aca="false">IF(AND(ISNUMBER($E422),ISNUMBER($F422),$D422&lt;&gt;"R"),$E422*$F422,"")</f>
        <v/>
      </c>
      <c r="H422" s="10"/>
    </row>
    <row r="423" customFormat="false" ht="15.75" hidden="false" customHeight="true" outlineLevel="0" collapsed="false">
      <c r="A423" s="38"/>
      <c r="B423" s="11"/>
      <c r="C423" s="10"/>
      <c r="D423" s="39"/>
      <c r="E423" s="12"/>
      <c r="F423" s="40"/>
      <c r="G423" s="18" t="str">
        <f aca="false">IF(AND(ISNUMBER($E423),ISNUMBER($F423),$D423&lt;&gt;"R"),$E423*$F423,"")</f>
        <v/>
      </c>
      <c r="H423" s="10"/>
    </row>
    <row r="424" customFormat="false" ht="15.75" hidden="false" customHeight="true" outlineLevel="0" collapsed="false">
      <c r="A424" s="38"/>
      <c r="B424" s="11"/>
      <c r="C424" s="10"/>
      <c r="D424" s="39"/>
      <c r="E424" s="12"/>
      <c r="F424" s="40"/>
      <c r="G424" s="18" t="str">
        <f aca="false">IF(AND(ISNUMBER($E424),ISNUMBER($F424),$D424&lt;&gt;"R"),$E424*$F424,"")</f>
        <v/>
      </c>
      <c r="H424" s="10"/>
    </row>
    <row r="425" customFormat="false" ht="15.75" hidden="false" customHeight="true" outlineLevel="0" collapsed="false">
      <c r="A425" s="38"/>
      <c r="B425" s="11"/>
      <c r="C425" s="10"/>
      <c r="D425" s="39"/>
      <c r="E425" s="12"/>
      <c r="F425" s="40"/>
      <c r="G425" s="18" t="str">
        <f aca="false">IF(AND(ISNUMBER($E425),ISNUMBER($F425),$D425&lt;&gt;"R"),$E425*$F425,"")</f>
        <v/>
      </c>
      <c r="H425" s="10"/>
    </row>
    <row r="426" customFormat="false" ht="15.75" hidden="false" customHeight="true" outlineLevel="0" collapsed="false">
      <c r="A426" s="38"/>
      <c r="B426" s="11"/>
      <c r="C426" s="10"/>
      <c r="D426" s="39"/>
      <c r="E426" s="12"/>
      <c r="F426" s="40"/>
      <c r="G426" s="18" t="str">
        <f aca="false">IF(AND(ISNUMBER($E426),ISNUMBER($F426),$D426&lt;&gt;"R"),$E426*$F426,"")</f>
        <v/>
      </c>
      <c r="H426" s="10"/>
    </row>
    <row r="427" customFormat="false" ht="15.75" hidden="false" customHeight="true" outlineLevel="0" collapsed="false">
      <c r="A427" s="38"/>
      <c r="B427" s="11"/>
      <c r="C427" s="10"/>
      <c r="D427" s="39"/>
      <c r="E427" s="12"/>
      <c r="F427" s="40"/>
      <c r="G427" s="18" t="str">
        <f aca="false">IF(AND(ISNUMBER($E427),ISNUMBER($F427),$D427&lt;&gt;"R"),$E427*$F427,"")</f>
        <v/>
      </c>
      <c r="H427" s="10"/>
    </row>
    <row r="428" customFormat="false" ht="15.75" hidden="false" customHeight="true" outlineLevel="0" collapsed="false">
      <c r="A428" s="38"/>
      <c r="B428" s="11"/>
      <c r="C428" s="10"/>
      <c r="D428" s="39"/>
      <c r="E428" s="12"/>
      <c r="F428" s="40"/>
      <c r="G428" s="18" t="str">
        <f aca="false">IF(AND(ISNUMBER($E428),ISNUMBER($F428),$D428&lt;&gt;"R"),$E428*$F428,"")</f>
        <v/>
      </c>
      <c r="H428" s="10"/>
    </row>
    <row r="429" customFormat="false" ht="15.75" hidden="false" customHeight="true" outlineLevel="0" collapsed="false">
      <c r="A429" s="38"/>
      <c r="B429" s="11"/>
      <c r="C429" s="10"/>
      <c r="D429" s="39"/>
      <c r="E429" s="12"/>
      <c r="F429" s="40"/>
      <c r="G429" s="18" t="str">
        <f aca="false">IF(AND(ISNUMBER($E429),ISNUMBER($F429),$D429&lt;&gt;"R"),$E429*$F429,"")</f>
        <v/>
      </c>
      <c r="H429" s="10"/>
    </row>
    <row r="430" customFormat="false" ht="15.75" hidden="false" customHeight="true" outlineLevel="0" collapsed="false">
      <c r="A430" s="38"/>
      <c r="B430" s="11"/>
      <c r="C430" s="10"/>
      <c r="D430" s="39"/>
      <c r="E430" s="12"/>
      <c r="F430" s="40"/>
      <c r="G430" s="18" t="str">
        <f aca="false">IF(AND(ISNUMBER($E430),ISNUMBER($F430),$D430&lt;&gt;"R"),$E430*$F430,"")</f>
        <v/>
      </c>
      <c r="H430" s="10"/>
    </row>
    <row r="431" customFormat="false" ht="15.75" hidden="false" customHeight="true" outlineLevel="0" collapsed="false">
      <c r="A431" s="38"/>
      <c r="B431" s="11"/>
      <c r="C431" s="10"/>
      <c r="D431" s="39"/>
      <c r="E431" s="12"/>
      <c r="F431" s="40"/>
      <c r="G431" s="18" t="str">
        <f aca="false">IF(AND(ISNUMBER($E431),ISNUMBER($F431),$D431&lt;&gt;"R"),$E431*$F431,"")</f>
        <v/>
      </c>
      <c r="H431" s="10"/>
    </row>
    <row r="432" customFormat="false" ht="15.75" hidden="false" customHeight="true" outlineLevel="0" collapsed="false">
      <c r="A432" s="38"/>
      <c r="B432" s="11"/>
      <c r="C432" s="10"/>
      <c r="D432" s="39"/>
      <c r="E432" s="12"/>
      <c r="F432" s="40"/>
      <c r="G432" s="18" t="str">
        <f aca="false">IF(AND(ISNUMBER($E432),ISNUMBER($F432),$D432&lt;&gt;"R"),$E432*$F432,"")</f>
        <v/>
      </c>
      <c r="H432" s="10"/>
    </row>
    <row r="433" customFormat="false" ht="15.75" hidden="false" customHeight="true" outlineLevel="0" collapsed="false">
      <c r="A433" s="38"/>
      <c r="B433" s="11"/>
      <c r="C433" s="10"/>
      <c r="D433" s="39"/>
      <c r="E433" s="12"/>
      <c r="F433" s="40"/>
      <c r="G433" s="18" t="str">
        <f aca="false">IF(AND(ISNUMBER($E433),ISNUMBER($F433),$D433&lt;&gt;"R"),$E433*$F433,"")</f>
        <v/>
      </c>
      <c r="H433" s="10"/>
    </row>
    <row r="434" customFormat="false" ht="15.75" hidden="false" customHeight="true" outlineLevel="0" collapsed="false">
      <c r="A434" s="38"/>
      <c r="B434" s="11"/>
      <c r="C434" s="10"/>
      <c r="D434" s="39"/>
      <c r="E434" s="12"/>
      <c r="F434" s="40"/>
      <c r="G434" s="18" t="str">
        <f aca="false">IF(AND(ISNUMBER($E434),ISNUMBER($F434),$D434&lt;&gt;"R"),$E434*$F434,"")</f>
        <v/>
      </c>
      <c r="H434" s="10"/>
    </row>
    <row r="435" customFormat="false" ht="15.75" hidden="false" customHeight="true" outlineLevel="0" collapsed="false">
      <c r="A435" s="38"/>
      <c r="B435" s="11"/>
      <c r="C435" s="10"/>
      <c r="D435" s="39"/>
      <c r="E435" s="12"/>
      <c r="F435" s="40"/>
      <c r="G435" s="18" t="str">
        <f aca="false">IF(AND(ISNUMBER($E435),ISNUMBER($F435),$D435&lt;&gt;"R"),$E435*$F435,"")</f>
        <v/>
      </c>
      <c r="H435" s="10"/>
    </row>
    <row r="436" customFormat="false" ht="15.75" hidden="false" customHeight="true" outlineLevel="0" collapsed="false">
      <c r="A436" s="38"/>
      <c r="B436" s="11"/>
      <c r="C436" s="10"/>
      <c r="D436" s="39"/>
      <c r="E436" s="12"/>
      <c r="F436" s="40"/>
      <c r="G436" s="18" t="str">
        <f aca="false">IF(AND(ISNUMBER($E436),ISNUMBER($F436),$D436&lt;&gt;"R"),$E436*$F436,"")</f>
        <v/>
      </c>
      <c r="H436" s="10"/>
    </row>
    <row r="437" customFormat="false" ht="15.75" hidden="false" customHeight="true" outlineLevel="0" collapsed="false">
      <c r="A437" s="38"/>
      <c r="B437" s="11"/>
      <c r="C437" s="10"/>
      <c r="D437" s="39"/>
      <c r="E437" s="12"/>
      <c r="F437" s="40"/>
      <c r="G437" s="18" t="str">
        <f aca="false">IF(AND(ISNUMBER($E437),ISNUMBER($F437),$D437&lt;&gt;"R"),$E437*$F437,"")</f>
        <v/>
      </c>
      <c r="H437" s="10"/>
    </row>
    <row r="438" customFormat="false" ht="15.75" hidden="false" customHeight="true" outlineLevel="0" collapsed="false">
      <c r="A438" s="38"/>
      <c r="B438" s="11"/>
      <c r="C438" s="10"/>
      <c r="D438" s="39"/>
      <c r="E438" s="12"/>
      <c r="F438" s="40"/>
      <c r="G438" s="18" t="str">
        <f aca="false">IF(AND(ISNUMBER($E438),ISNUMBER($F438),$D438&lt;&gt;"R"),$E438*$F438,"")</f>
        <v/>
      </c>
      <c r="H438" s="10"/>
    </row>
    <row r="439" customFormat="false" ht="15.75" hidden="false" customHeight="true" outlineLevel="0" collapsed="false">
      <c r="A439" s="38"/>
      <c r="B439" s="11"/>
      <c r="C439" s="10"/>
      <c r="D439" s="39"/>
      <c r="E439" s="12"/>
      <c r="F439" s="40"/>
      <c r="G439" s="18" t="str">
        <f aca="false">IF(AND(ISNUMBER($E439),ISNUMBER($F439),$D439&lt;&gt;"R"),$E439*$F439,"")</f>
        <v/>
      </c>
      <c r="H439" s="10"/>
    </row>
    <row r="440" customFormat="false" ht="15.75" hidden="false" customHeight="true" outlineLevel="0" collapsed="false">
      <c r="A440" s="38"/>
      <c r="B440" s="11"/>
      <c r="C440" s="10"/>
      <c r="D440" s="39"/>
      <c r="E440" s="12"/>
      <c r="F440" s="40"/>
      <c r="G440" s="18" t="str">
        <f aca="false">IF(AND(ISNUMBER($E440),ISNUMBER($F440),$D440&lt;&gt;"R"),$E440*$F440,"")</f>
        <v/>
      </c>
      <c r="H440" s="10"/>
    </row>
    <row r="441" customFormat="false" ht="15.75" hidden="false" customHeight="true" outlineLevel="0" collapsed="false">
      <c r="A441" s="38"/>
      <c r="B441" s="11"/>
      <c r="C441" s="10"/>
      <c r="D441" s="39"/>
      <c r="E441" s="12"/>
      <c r="F441" s="40"/>
      <c r="G441" s="18" t="str">
        <f aca="false">IF(AND(ISNUMBER($E441),ISNUMBER($F441),$D441&lt;&gt;"R"),$E441*$F441,"")</f>
        <v/>
      </c>
      <c r="H441" s="10"/>
    </row>
    <row r="442" customFormat="false" ht="15.75" hidden="false" customHeight="true" outlineLevel="0" collapsed="false">
      <c r="A442" s="38"/>
      <c r="B442" s="11"/>
      <c r="C442" s="10"/>
      <c r="D442" s="39"/>
      <c r="E442" s="12"/>
      <c r="F442" s="40"/>
      <c r="G442" s="18" t="str">
        <f aca="false">IF(AND(ISNUMBER($E442),ISNUMBER($F442),$D442&lt;&gt;"R"),$E442*$F442,"")</f>
        <v/>
      </c>
      <c r="H442" s="10"/>
    </row>
    <row r="443" customFormat="false" ht="15.75" hidden="false" customHeight="true" outlineLevel="0" collapsed="false">
      <c r="A443" s="38"/>
      <c r="B443" s="11"/>
      <c r="C443" s="10"/>
      <c r="D443" s="39"/>
      <c r="E443" s="12"/>
      <c r="F443" s="40"/>
      <c r="G443" s="18" t="str">
        <f aca="false">IF(AND(ISNUMBER($E443),ISNUMBER($F443),$D443&lt;&gt;"R"),$E443*$F443,"")</f>
        <v/>
      </c>
      <c r="H443" s="10"/>
    </row>
    <row r="444" customFormat="false" ht="15.75" hidden="false" customHeight="true" outlineLevel="0" collapsed="false">
      <c r="A444" s="38"/>
      <c r="B444" s="11"/>
      <c r="C444" s="10"/>
      <c r="D444" s="39"/>
      <c r="E444" s="12"/>
      <c r="F444" s="40"/>
      <c r="G444" s="18" t="str">
        <f aca="false">IF(AND(ISNUMBER($E444),ISNUMBER($F444),$D444&lt;&gt;"R"),$E444*$F444,"")</f>
        <v/>
      </c>
      <c r="H444" s="10"/>
    </row>
    <row r="445" customFormat="false" ht="15.75" hidden="false" customHeight="true" outlineLevel="0" collapsed="false">
      <c r="A445" s="38"/>
      <c r="B445" s="11"/>
      <c r="C445" s="10"/>
      <c r="D445" s="39"/>
      <c r="E445" s="12"/>
      <c r="F445" s="40"/>
      <c r="G445" s="18" t="str">
        <f aca="false">IF(AND(ISNUMBER($E445),ISNUMBER($F445),$D445&lt;&gt;"R"),$E445*$F445,"")</f>
        <v/>
      </c>
      <c r="H445" s="10"/>
    </row>
    <row r="446" customFormat="false" ht="15.75" hidden="false" customHeight="true" outlineLevel="0" collapsed="false">
      <c r="A446" s="38"/>
      <c r="B446" s="11"/>
      <c r="C446" s="10"/>
      <c r="D446" s="39"/>
      <c r="E446" s="12"/>
      <c r="F446" s="40"/>
      <c r="G446" s="18" t="str">
        <f aca="false">IF(AND(ISNUMBER($E446),ISNUMBER($F446),$D446&lt;&gt;"R"),$E446*$F446,"")</f>
        <v/>
      </c>
      <c r="H446" s="10"/>
    </row>
    <row r="447" customFormat="false" ht="15.75" hidden="false" customHeight="true" outlineLevel="0" collapsed="false">
      <c r="A447" s="38"/>
      <c r="B447" s="11"/>
      <c r="C447" s="10"/>
      <c r="D447" s="39"/>
      <c r="E447" s="12"/>
      <c r="F447" s="40"/>
      <c r="G447" s="18" t="str">
        <f aca="false">IF(AND(ISNUMBER($E447),ISNUMBER($F447),$D447&lt;&gt;"R"),$E447*$F447,"")</f>
        <v/>
      </c>
      <c r="H447" s="10"/>
    </row>
    <row r="448" customFormat="false" ht="15.75" hidden="false" customHeight="true" outlineLevel="0" collapsed="false">
      <c r="A448" s="38"/>
      <c r="B448" s="11"/>
      <c r="C448" s="10"/>
      <c r="D448" s="39"/>
      <c r="E448" s="12"/>
      <c r="F448" s="40"/>
      <c r="G448" s="18" t="str">
        <f aca="false">IF(AND(ISNUMBER($E448),ISNUMBER($F448),$D448&lt;&gt;"R"),$E448*$F448,"")</f>
        <v/>
      </c>
      <c r="H448" s="10"/>
    </row>
    <row r="449" customFormat="false" ht="15.75" hidden="false" customHeight="true" outlineLevel="0" collapsed="false">
      <c r="A449" s="38"/>
      <c r="B449" s="11"/>
      <c r="C449" s="10"/>
      <c r="D449" s="39"/>
      <c r="E449" s="12"/>
      <c r="F449" s="40"/>
      <c r="G449" s="18" t="str">
        <f aca="false">IF(AND(ISNUMBER($E449),ISNUMBER($F449),$D449&lt;&gt;"R"),$E449*$F449,"")</f>
        <v/>
      </c>
      <c r="H449" s="10"/>
    </row>
    <row r="450" customFormat="false" ht="15.75" hidden="false" customHeight="true" outlineLevel="0" collapsed="false">
      <c r="A450" s="38"/>
      <c r="B450" s="11"/>
      <c r="C450" s="10"/>
      <c r="D450" s="39"/>
      <c r="E450" s="12"/>
      <c r="F450" s="40"/>
      <c r="G450" s="18" t="str">
        <f aca="false">IF(AND(ISNUMBER($E450),ISNUMBER($F450),$D450&lt;&gt;"R"),$E450*$F450,"")</f>
        <v/>
      </c>
      <c r="H450" s="10"/>
    </row>
    <row r="451" customFormat="false" ht="15.75" hidden="false" customHeight="true" outlineLevel="0" collapsed="false">
      <c r="A451" s="38"/>
      <c r="B451" s="11"/>
      <c r="C451" s="10"/>
      <c r="D451" s="39"/>
      <c r="E451" s="12"/>
      <c r="F451" s="40"/>
      <c r="G451" s="18" t="str">
        <f aca="false">IF(AND(ISNUMBER($E451),ISNUMBER($F451),$D451&lt;&gt;"R"),$E451*$F451,"")</f>
        <v/>
      </c>
      <c r="H451" s="10"/>
    </row>
    <row r="452" customFormat="false" ht="15.75" hidden="false" customHeight="true" outlineLevel="0" collapsed="false">
      <c r="A452" s="38"/>
      <c r="B452" s="11"/>
      <c r="C452" s="10"/>
      <c r="D452" s="39"/>
      <c r="E452" s="12"/>
      <c r="F452" s="40"/>
      <c r="G452" s="18" t="str">
        <f aca="false">IF(AND(ISNUMBER($E452),ISNUMBER($F452),$D452&lt;&gt;"R"),$E452*$F452,"")</f>
        <v/>
      </c>
      <c r="H452" s="10"/>
    </row>
    <row r="453" customFormat="false" ht="15.75" hidden="false" customHeight="true" outlineLevel="0" collapsed="false">
      <c r="A453" s="38"/>
      <c r="B453" s="11"/>
      <c r="C453" s="10"/>
      <c r="D453" s="39"/>
      <c r="E453" s="12"/>
      <c r="F453" s="40"/>
      <c r="G453" s="18" t="str">
        <f aca="false">IF(AND(ISNUMBER($E453),ISNUMBER($F453),$D453&lt;&gt;"R"),$E453*$F453,"")</f>
        <v/>
      </c>
      <c r="H453" s="10"/>
    </row>
    <row r="454" customFormat="false" ht="15.75" hidden="false" customHeight="true" outlineLevel="0" collapsed="false">
      <c r="A454" s="38"/>
      <c r="B454" s="11"/>
      <c r="C454" s="10"/>
      <c r="D454" s="39"/>
      <c r="E454" s="12"/>
      <c r="F454" s="40"/>
      <c r="G454" s="18" t="str">
        <f aca="false">IF(AND(ISNUMBER($E454),ISNUMBER($F454),$D454&lt;&gt;"R"),$E454*$F454,"")</f>
        <v/>
      </c>
      <c r="H454" s="10"/>
    </row>
    <row r="455" customFormat="false" ht="15.75" hidden="false" customHeight="true" outlineLevel="0" collapsed="false">
      <c r="A455" s="38"/>
      <c r="B455" s="11"/>
      <c r="C455" s="10"/>
      <c r="D455" s="39"/>
      <c r="E455" s="12"/>
      <c r="F455" s="40"/>
      <c r="G455" s="18" t="str">
        <f aca="false">IF(AND(ISNUMBER($E455),ISNUMBER($F455),$D455&lt;&gt;"R"),$E455*$F455,"")</f>
        <v/>
      </c>
      <c r="H455" s="10"/>
    </row>
    <row r="456" customFormat="false" ht="15.75" hidden="false" customHeight="true" outlineLevel="0" collapsed="false">
      <c r="A456" s="38"/>
      <c r="B456" s="11"/>
      <c r="C456" s="10"/>
      <c r="D456" s="39"/>
      <c r="E456" s="12"/>
      <c r="F456" s="40"/>
      <c r="G456" s="18" t="str">
        <f aca="false">IF(AND(ISNUMBER($E456),ISNUMBER($F456),$D456&lt;&gt;"R"),$E456*$F456,"")</f>
        <v/>
      </c>
      <c r="H456" s="10"/>
    </row>
    <row r="457" customFormat="false" ht="15.75" hidden="false" customHeight="true" outlineLevel="0" collapsed="false">
      <c r="A457" s="38"/>
      <c r="B457" s="11"/>
      <c r="C457" s="10"/>
      <c r="D457" s="39"/>
      <c r="E457" s="12"/>
      <c r="F457" s="40"/>
      <c r="G457" s="18" t="str">
        <f aca="false">IF(AND(ISNUMBER($E457),ISNUMBER($F457),$D457&lt;&gt;"R"),$E457*$F457,"")</f>
        <v/>
      </c>
      <c r="H457" s="10"/>
    </row>
    <row r="458" customFormat="false" ht="15.75" hidden="false" customHeight="true" outlineLevel="0" collapsed="false">
      <c r="A458" s="38"/>
      <c r="B458" s="11"/>
      <c r="C458" s="10"/>
      <c r="D458" s="39"/>
      <c r="E458" s="12"/>
      <c r="F458" s="40"/>
      <c r="G458" s="18" t="str">
        <f aca="false">IF(AND(ISNUMBER($E458),ISNUMBER($F458),$D458&lt;&gt;"R"),$E458*$F458,"")</f>
        <v/>
      </c>
      <c r="H458" s="10"/>
    </row>
    <row r="459" customFormat="false" ht="15.75" hidden="false" customHeight="true" outlineLevel="0" collapsed="false">
      <c r="A459" s="38"/>
      <c r="B459" s="11"/>
      <c r="C459" s="10"/>
      <c r="D459" s="39"/>
      <c r="E459" s="12"/>
      <c r="F459" s="40"/>
      <c r="G459" s="18" t="str">
        <f aca="false">IF(AND(ISNUMBER($E459),ISNUMBER($F459),$D459&lt;&gt;"R"),$E459*$F459,"")</f>
        <v/>
      </c>
      <c r="H459" s="10"/>
    </row>
    <row r="460" customFormat="false" ht="15.75" hidden="false" customHeight="true" outlineLevel="0" collapsed="false">
      <c r="A460" s="38"/>
      <c r="B460" s="11"/>
      <c r="C460" s="10"/>
      <c r="D460" s="39"/>
      <c r="E460" s="12"/>
      <c r="F460" s="40"/>
      <c r="G460" s="18" t="str">
        <f aca="false">IF(AND(ISNUMBER($E460),ISNUMBER($F460),$D460&lt;&gt;"R"),$E460*$F460,"")</f>
        <v/>
      </c>
      <c r="H460" s="10"/>
    </row>
    <row r="461" customFormat="false" ht="15.75" hidden="false" customHeight="true" outlineLevel="0" collapsed="false">
      <c r="A461" s="38"/>
      <c r="B461" s="11"/>
      <c r="C461" s="10"/>
      <c r="D461" s="39"/>
      <c r="E461" s="12"/>
      <c r="F461" s="40"/>
      <c r="G461" s="18" t="str">
        <f aca="false">IF(AND(ISNUMBER($E461),ISNUMBER($F461),$D461&lt;&gt;"R"),$E461*$F461,"")</f>
        <v/>
      </c>
      <c r="H461" s="10"/>
    </row>
    <row r="462" customFormat="false" ht="15.75" hidden="false" customHeight="true" outlineLevel="0" collapsed="false">
      <c r="A462" s="38"/>
      <c r="B462" s="11"/>
      <c r="C462" s="10"/>
      <c r="D462" s="39"/>
      <c r="E462" s="12"/>
      <c r="F462" s="40"/>
      <c r="G462" s="18" t="str">
        <f aca="false">IF(AND(ISNUMBER($E462),ISNUMBER($F462),$D462&lt;&gt;"R"),$E462*$F462,"")</f>
        <v/>
      </c>
      <c r="H462" s="10"/>
    </row>
    <row r="463" customFormat="false" ht="15.75" hidden="false" customHeight="true" outlineLevel="0" collapsed="false">
      <c r="A463" s="38"/>
      <c r="B463" s="11"/>
      <c r="C463" s="10"/>
      <c r="D463" s="39"/>
      <c r="E463" s="12"/>
      <c r="F463" s="40"/>
      <c r="G463" s="18" t="str">
        <f aca="false">IF(AND(ISNUMBER($E463),ISNUMBER($F463),$D463&lt;&gt;"R"),$E463*$F463,"")</f>
        <v/>
      </c>
      <c r="H463" s="10"/>
    </row>
    <row r="464" customFormat="false" ht="15.75" hidden="false" customHeight="true" outlineLevel="0" collapsed="false">
      <c r="A464" s="38"/>
      <c r="B464" s="11"/>
      <c r="C464" s="10"/>
      <c r="D464" s="39"/>
      <c r="E464" s="12"/>
      <c r="F464" s="40"/>
      <c r="G464" s="18" t="str">
        <f aca="false">IF(AND(ISNUMBER($E464),ISNUMBER($F464),$D464&lt;&gt;"R"),$E464*$F464,"")</f>
        <v/>
      </c>
      <c r="H464" s="10"/>
    </row>
    <row r="465" customFormat="false" ht="15.75" hidden="false" customHeight="true" outlineLevel="0" collapsed="false">
      <c r="A465" s="38"/>
      <c r="B465" s="11"/>
      <c r="C465" s="10"/>
      <c r="D465" s="39"/>
      <c r="E465" s="12"/>
      <c r="F465" s="40"/>
      <c r="G465" s="18" t="str">
        <f aca="false">IF(AND(ISNUMBER($E465),ISNUMBER($F465),$D465&lt;&gt;"R"),$E465*$F465,"")</f>
        <v/>
      </c>
      <c r="H465" s="10"/>
    </row>
    <row r="466" customFormat="false" ht="15.75" hidden="false" customHeight="true" outlineLevel="0" collapsed="false">
      <c r="A466" s="38"/>
      <c r="B466" s="11"/>
      <c r="C466" s="10"/>
      <c r="D466" s="39"/>
      <c r="E466" s="12"/>
      <c r="F466" s="40"/>
      <c r="G466" s="18" t="str">
        <f aca="false">IF(AND(ISNUMBER($E466),ISNUMBER($F466),$D466&lt;&gt;"R"),$E466*$F466,"")</f>
        <v/>
      </c>
      <c r="H466" s="10"/>
    </row>
    <row r="467" customFormat="false" ht="15.75" hidden="false" customHeight="true" outlineLevel="0" collapsed="false">
      <c r="A467" s="38"/>
      <c r="B467" s="11"/>
      <c r="C467" s="10"/>
      <c r="D467" s="39"/>
      <c r="E467" s="12"/>
      <c r="F467" s="40"/>
      <c r="G467" s="18" t="str">
        <f aca="false">IF(AND(ISNUMBER($E467),ISNUMBER($F467),$D467&lt;&gt;"R"),$E467*$F467,"")</f>
        <v/>
      </c>
      <c r="H467" s="10"/>
    </row>
    <row r="468" customFormat="false" ht="15.75" hidden="false" customHeight="true" outlineLevel="0" collapsed="false">
      <c r="A468" s="38"/>
      <c r="B468" s="11"/>
      <c r="C468" s="10"/>
      <c r="D468" s="39"/>
      <c r="E468" s="12"/>
      <c r="F468" s="40"/>
      <c r="G468" s="18" t="str">
        <f aca="false">IF(AND(ISNUMBER($E468),ISNUMBER($F468),$D468&lt;&gt;"R"),$E468*$F468,"")</f>
        <v/>
      </c>
      <c r="H468" s="10"/>
    </row>
    <row r="469" customFormat="false" ht="15.75" hidden="false" customHeight="true" outlineLevel="0" collapsed="false">
      <c r="A469" s="38"/>
      <c r="B469" s="11"/>
      <c r="C469" s="10"/>
      <c r="D469" s="39"/>
      <c r="E469" s="12"/>
      <c r="F469" s="40"/>
      <c r="G469" s="18" t="str">
        <f aca="false">IF(AND(ISNUMBER($E469),ISNUMBER($F469),$D469&lt;&gt;"R"),$E469*$F469,"")</f>
        <v/>
      </c>
      <c r="H469" s="10"/>
    </row>
    <row r="470" customFormat="false" ht="15.75" hidden="false" customHeight="true" outlineLevel="0" collapsed="false">
      <c r="A470" s="38"/>
      <c r="B470" s="11"/>
      <c r="C470" s="10"/>
      <c r="D470" s="39"/>
      <c r="E470" s="12"/>
      <c r="F470" s="40"/>
      <c r="G470" s="18" t="str">
        <f aca="false">IF(AND(ISNUMBER($E470),ISNUMBER($F470),$D470&lt;&gt;"R"),$E470*$F470,"")</f>
        <v/>
      </c>
      <c r="H470" s="10"/>
    </row>
    <row r="471" customFormat="false" ht="15.75" hidden="false" customHeight="true" outlineLevel="0" collapsed="false">
      <c r="A471" s="38"/>
      <c r="B471" s="11"/>
      <c r="C471" s="10"/>
      <c r="D471" s="39"/>
      <c r="E471" s="12"/>
      <c r="F471" s="40"/>
      <c r="G471" s="18" t="str">
        <f aca="false">IF(AND(ISNUMBER($E471),ISNUMBER($F471),$D471&lt;&gt;"R"),$E471*$F471,"")</f>
        <v/>
      </c>
      <c r="H471" s="10"/>
    </row>
    <row r="472" customFormat="false" ht="15.75" hidden="false" customHeight="true" outlineLevel="0" collapsed="false">
      <c r="A472" s="38"/>
      <c r="B472" s="11"/>
      <c r="C472" s="10"/>
      <c r="D472" s="39"/>
      <c r="E472" s="12"/>
      <c r="F472" s="40"/>
      <c r="G472" s="18" t="str">
        <f aca="false">IF(AND(ISNUMBER($E472),ISNUMBER($F472),$D472&lt;&gt;"R"),$E472*$F472,"")</f>
        <v/>
      </c>
      <c r="H472" s="10"/>
    </row>
    <row r="473" customFormat="false" ht="15.75" hidden="false" customHeight="true" outlineLevel="0" collapsed="false">
      <c r="A473" s="38"/>
      <c r="B473" s="11"/>
      <c r="C473" s="10"/>
      <c r="D473" s="39"/>
      <c r="E473" s="12"/>
      <c r="F473" s="40"/>
      <c r="G473" s="18" t="str">
        <f aca="false">IF(AND(ISNUMBER($E473),ISNUMBER($F473),$D473&lt;&gt;"R"),$E473*$F473,"")</f>
        <v/>
      </c>
      <c r="H473" s="10"/>
    </row>
    <row r="474" customFormat="false" ht="15.75" hidden="false" customHeight="true" outlineLevel="0" collapsed="false">
      <c r="A474" s="38"/>
      <c r="B474" s="11"/>
      <c r="C474" s="10"/>
      <c r="D474" s="39"/>
      <c r="E474" s="12"/>
      <c r="F474" s="40"/>
      <c r="G474" s="18" t="str">
        <f aca="false">IF(AND(ISNUMBER($E474),ISNUMBER($F474),$D474&lt;&gt;"R"),$E474*$F474,"")</f>
        <v/>
      </c>
      <c r="H474" s="10"/>
    </row>
    <row r="475" customFormat="false" ht="15.75" hidden="false" customHeight="true" outlineLevel="0" collapsed="false">
      <c r="A475" s="38"/>
      <c r="B475" s="11"/>
      <c r="C475" s="10"/>
      <c r="D475" s="39"/>
      <c r="E475" s="12"/>
      <c r="F475" s="40"/>
      <c r="G475" s="18" t="str">
        <f aca="false">IF(AND(ISNUMBER($E475),ISNUMBER($F475),$D475&lt;&gt;"R"),$E475*$F475,"")</f>
        <v/>
      </c>
      <c r="H475" s="10"/>
    </row>
    <row r="476" customFormat="false" ht="15.75" hidden="false" customHeight="true" outlineLevel="0" collapsed="false">
      <c r="A476" s="38"/>
      <c r="B476" s="11"/>
      <c r="C476" s="10"/>
      <c r="D476" s="39"/>
      <c r="E476" s="12"/>
      <c r="F476" s="40"/>
      <c r="G476" s="18" t="str">
        <f aca="false">IF(AND(ISNUMBER($E476),ISNUMBER($F476),$D476&lt;&gt;"R"),$E476*$F476,"")</f>
        <v/>
      </c>
      <c r="H476" s="10"/>
    </row>
    <row r="477" customFormat="false" ht="15.75" hidden="false" customHeight="true" outlineLevel="0" collapsed="false">
      <c r="A477" s="38"/>
      <c r="B477" s="11"/>
      <c r="C477" s="10"/>
      <c r="D477" s="39"/>
      <c r="E477" s="12"/>
      <c r="F477" s="40"/>
      <c r="G477" s="18" t="str">
        <f aca="false">IF(AND(ISNUMBER($E477),ISNUMBER($F477),$D477&lt;&gt;"R"),$E477*$F477,"")</f>
        <v/>
      </c>
      <c r="H477" s="10"/>
    </row>
    <row r="478" customFormat="false" ht="15.75" hidden="false" customHeight="true" outlineLevel="0" collapsed="false">
      <c r="A478" s="38"/>
      <c r="B478" s="11"/>
      <c r="C478" s="10"/>
      <c r="D478" s="39"/>
      <c r="E478" s="12"/>
      <c r="F478" s="40"/>
      <c r="G478" s="18" t="str">
        <f aca="false">IF(AND(ISNUMBER($E478),ISNUMBER($F478),$D478&lt;&gt;"R"),$E478*$F478,"")</f>
        <v/>
      </c>
      <c r="H478" s="10"/>
    </row>
    <row r="479" customFormat="false" ht="15.75" hidden="false" customHeight="true" outlineLevel="0" collapsed="false">
      <c r="A479" s="38"/>
      <c r="B479" s="11"/>
      <c r="C479" s="10"/>
      <c r="D479" s="39"/>
      <c r="E479" s="12"/>
      <c r="F479" s="40"/>
      <c r="G479" s="18" t="str">
        <f aca="false">IF(AND(ISNUMBER($E479),ISNUMBER($F479),$D479&lt;&gt;"R"),$E479*$F479,"")</f>
        <v/>
      </c>
      <c r="H479" s="10"/>
    </row>
    <row r="480" customFormat="false" ht="15.75" hidden="false" customHeight="true" outlineLevel="0" collapsed="false">
      <c r="A480" s="38"/>
      <c r="B480" s="11"/>
      <c r="C480" s="10"/>
      <c r="D480" s="39"/>
      <c r="E480" s="12"/>
      <c r="F480" s="40"/>
      <c r="G480" s="18" t="str">
        <f aca="false">IF(AND(ISNUMBER($E480),ISNUMBER($F480),$D480&lt;&gt;"R"),$E480*$F480,"")</f>
        <v/>
      </c>
      <c r="H480" s="10"/>
    </row>
    <row r="481" customFormat="false" ht="15.75" hidden="false" customHeight="true" outlineLevel="0" collapsed="false">
      <c r="A481" s="38"/>
      <c r="B481" s="11"/>
      <c r="C481" s="10"/>
      <c r="D481" s="39"/>
      <c r="E481" s="12"/>
      <c r="F481" s="40"/>
      <c r="G481" s="18" t="str">
        <f aca="false">IF(AND(ISNUMBER($E481),ISNUMBER($F481),$D481&lt;&gt;"R"),$E481*$F481,"")</f>
        <v/>
      </c>
      <c r="H481" s="10"/>
    </row>
    <row r="482" customFormat="false" ht="15.75" hidden="false" customHeight="true" outlineLevel="0" collapsed="false">
      <c r="A482" s="38"/>
      <c r="B482" s="11"/>
      <c r="C482" s="10"/>
      <c r="D482" s="39"/>
      <c r="E482" s="12"/>
      <c r="F482" s="40"/>
      <c r="G482" s="18" t="str">
        <f aca="false">IF(AND(ISNUMBER($E482),ISNUMBER($F482),$D482&lt;&gt;"R"),$E482*$F482,"")</f>
        <v/>
      </c>
      <c r="H482" s="10"/>
    </row>
    <row r="483" customFormat="false" ht="15.75" hidden="false" customHeight="true" outlineLevel="0" collapsed="false">
      <c r="A483" s="38"/>
      <c r="B483" s="11"/>
      <c r="C483" s="10"/>
      <c r="D483" s="39"/>
      <c r="E483" s="12"/>
      <c r="F483" s="40"/>
      <c r="G483" s="18" t="str">
        <f aca="false">IF(AND(ISNUMBER($E483),ISNUMBER($F483),$D483&lt;&gt;"R"),$E483*$F483,"")</f>
        <v/>
      </c>
      <c r="H483" s="10"/>
    </row>
    <row r="484" customFormat="false" ht="15.75" hidden="false" customHeight="true" outlineLevel="0" collapsed="false">
      <c r="A484" s="38"/>
      <c r="B484" s="11"/>
      <c r="C484" s="10"/>
      <c r="D484" s="39"/>
      <c r="E484" s="12"/>
      <c r="F484" s="40"/>
      <c r="G484" s="18" t="str">
        <f aca="false">IF(AND(ISNUMBER($E484),ISNUMBER($F484),$D484&lt;&gt;"R"),$E484*$F484,"")</f>
        <v/>
      </c>
      <c r="H484" s="10"/>
    </row>
    <row r="485" customFormat="false" ht="15.75" hidden="false" customHeight="true" outlineLevel="0" collapsed="false">
      <c r="A485" s="38"/>
      <c r="B485" s="11"/>
      <c r="C485" s="10"/>
      <c r="D485" s="39"/>
      <c r="E485" s="12"/>
      <c r="F485" s="40"/>
      <c r="G485" s="18" t="str">
        <f aca="false">IF(AND(ISNUMBER($E485),ISNUMBER($F485),$D485&lt;&gt;"R"),$E485*$F485,"")</f>
        <v/>
      </c>
      <c r="H485" s="10"/>
    </row>
    <row r="486" customFormat="false" ht="15.75" hidden="false" customHeight="true" outlineLevel="0" collapsed="false">
      <c r="A486" s="38"/>
      <c r="B486" s="11"/>
      <c r="C486" s="10"/>
      <c r="D486" s="39"/>
      <c r="E486" s="12"/>
      <c r="F486" s="40"/>
      <c r="G486" s="18" t="str">
        <f aca="false">IF(AND(ISNUMBER($E486),ISNUMBER($F486),$D486&lt;&gt;"R"),$E486*$F486,"")</f>
        <v/>
      </c>
      <c r="H486" s="10"/>
    </row>
    <row r="487" customFormat="false" ht="15.75" hidden="false" customHeight="true" outlineLevel="0" collapsed="false">
      <c r="A487" s="38"/>
      <c r="B487" s="11"/>
      <c r="C487" s="10"/>
      <c r="D487" s="39"/>
      <c r="E487" s="12"/>
      <c r="F487" s="40"/>
      <c r="G487" s="18" t="str">
        <f aca="false">IF(AND(ISNUMBER($E487),ISNUMBER($F487),$D487&lt;&gt;"R"),$E487*$F487,"")</f>
        <v/>
      </c>
      <c r="H487" s="10"/>
    </row>
    <row r="488" customFormat="false" ht="15.75" hidden="false" customHeight="true" outlineLevel="0" collapsed="false">
      <c r="A488" s="38"/>
      <c r="B488" s="11"/>
      <c r="C488" s="10"/>
      <c r="D488" s="39"/>
      <c r="E488" s="12"/>
      <c r="F488" s="40"/>
      <c r="G488" s="18" t="str">
        <f aca="false">IF(AND(ISNUMBER($E488),ISNUMBER($F488),$D488&lt;&gt;"R"),$E488*$F488,"")</f>
        <v/>
      </c>
      <c r="H488" s="10"/>
    </row>
    <row r="489" customFormat="false" ht="15.75" hidden="false" customHeight="true" outlineLevel="0" collapsed="false">
      <c r="A489" s="38"/>
      <c r="B489" s="11"/>
      <c r="C489" s="10"/>
      <c r="D489" s="39"/>
      <c r="E489" s="12"/>
      <c r="F489" s="40"/>
      <c r="G489" s="18" t="str">
        <f aca="false">IF(AND(ISNUMBER($E489),ISNUMBER($F489),$D489&lt;&gt;"R"),$E489*$F489,"")</f>
        <v/>
      </c>
      <c r="H489" s="10"/>
    </row>
    <row r="490" customFormat="false" ht="15.75" hidden="false" customHeight="true" outlineLevel="0" collapsed="false">
      <c r="A490" s="38"/>
      <c r="B490" s="11"/>
      <c r="C490" s="10"/>
      <c r="D490" s="39"/>
      <c r="E490" s="12"/>
      <c r="F490" s="40"/>
      <c r="G490" s="18" t="str">
        <f aca="false">IF(AND(ISNUMBER($E490),ISNUMBER($F490),$D490&lt;&gt;"R"),$E490*$F490,"")</f>
        <v/>
      </c>
      <c r="H490" s="10"/>
    </row>
    <row r="491" customFormat="false" ht="15.75" hidden="false" customHeight="true" outlineLevel="0" collapsed="false">
      <c r="A491" s="38"/>
      <c r="B491" s="11"/>
      <c r="C491" s="10"/>
      <c r="D491" s="39"/>
      <c r="E491" s="12"/>
      <c r="F491" s="40"/>
      <c r="G491" s="18" t="str">
        <f aca="false">IF(AND(ISNUMBER($E491),ISNUMBER($F491),$D491&lt;&gt;"R"),$E491*$F491,"")</f>
        <v/>
      </c>
      <c r="H491" s="10"/>
    </row>
    <row r="492" customFormat="false" ht="15.75" hidden="false" customHeight="true" outlineLevel="0" collapsed="false">
      <c r="A492" s="38"/>
      <c r="B492" s="11"/>
      <c r="C492" s="10"/>
      <c r="D492" s="39"/>
      <c r="E492" s="12"/>
      <c r="F492" s="40"/>
      <c r="G492" s="18" t="str">
        <f aca="false">IF(AND(ISNUMBER($E492),ISNUMBER($F492),$D492&lt;&gt;"R"),$E492*$F492,"")</f>
        <v/>
      </c>
      <c r="H492" s="10"/>
    </row>
    <row r="493" customFormat="false" ht="15.75" hidden="false" customHeight="true" outlineLevel="0" collapsed="false">
      <c r="A493" s="38"/>
      <c r="B493" s="11"/>
      <c r="C493" s="10"/>
      <c r="D493" s="39"/>
      <c r="E493" s="12"/>
      <c r="F493" s="40"/>
      <c r="G493" s="18" t="str">
        <f aca="false">IF(AND(ISNUMBER($E493),ISNUMBER($F493),$D493&lt;&gt;"R"),$E493*$F493,"")</f>
        <v/>
      </c>
      <c r="H493" s="10"/>
    </row>
    <row r="494" customFormat="false" ht="15.75" hidden="false" customHeight="true" outlineLevel="0" collapsed="false">
      <c r="A494" s="38"/>
      <c r="B494" s="11"/>
      <c r="C494" s="10"/>
      <c r="D494" s="39"/>
      <c r="E494" s="12"/>
      <c r="F494" s="40"/>
      <c r="G494" s="18" t="str">
        <f aca="false">IF(AND(ISNUMBER($E494),ISNUMBER($F494),$D494&lt;&gt;"R"),$E494*$F494,"")</f>
        <v/>
      </c>
      <c r="H494" s="10"/>
    </row>
    <row r="495" customFormat="false" ht="15.75" hidden="false" customHeight="true" outlineLevel="0" collapsed="false">
      <c r="A495" s="38"/>
      <c r="B495" s="11"/>
      <c r="C495" s="10"/>
      <c r="D495" s="39"/>
      <c r="E495" s="12"/>
      <c r="F495" s="40"/>
      <c r="G495" s="18" t="str">
        <f aca="false">IF(AND(ISNUMBER($E495),ISNUMBER($F495),$D495&lt;&gt;"R"),$E495*$F495,"")</f>
        <v/>
      </c>
      <c r="H495" s="10"/>
    </row>
    <row r="496" customFormat="false" ht="15.75" hidden="false" customHeight="true" outlineLevel="0" collapsed="false">
      <c r="A496" s="38"/>
      <c r="B496" s="11"/>
      <c r="C496" s="10"/>
      <c r="D496" s="39"/>
      <c r="E496" s="12"/>
      <c r="F496" s="40"/>
      <c r="G496" s="18" t="str">
        <f aca="false">IF(AND(ISNUMBER($E496),ISNUMBER($F496),$D496&lt;&gt;"R"),$E496*$F496,"")</f>
        <v/>
      </c>
      <c r="H496" s="10"/>
    </row>
    <row r="497" customFormat="false" ht="15.75" hidden="false" customHeight="true" outlineLevel="0" collapsed="false">
      <c r="A497" s="38"/>
      <c r="B497" s="11"/>
      <c r="C497" s="10"/>
      <c r="D497" s="39"/>
      <c r="E497" s="12"/>
      <c r="F497" s="40"/>
      <c r="G497" s="18" t="str">
        <f aca="false">IF(AND(ISNUMBER($E497),ISNUMBER($F497),$D497&lt;&gt;"R"),$E497*$F497,"")</f>
        <v/>
      </c>
      <c r="H497" s="10"/>
    </row>
    <row r="498" customFormat="false" ht="15.75" hidden="false" customHeight="true" outlineLevel="0" collapsed="false">
      <c r="A498" s="38"/>
      <c r="B498" s="11"/>
      <c r="C498" s="10"/>
      <c r="D498" s="39"/>
      <c r="E498" s="12"/>
      <c r="F498" s="40"/>
      <c r="G498" s="18" t="str">
        <f aca="false">IF(AND(ISNUMBER($E498),ISNUMBER($F498),$D498&lt;&gt;"R"),$E498*$F498,"")</f>
        <v/>
      </c>
      <c r="H498" s="10"/>
    </row>
    <row r="499" customFormat="false" ht="15.75" hidden="false" customHeight="true" outlineLevel="0" collapsed="false">
      <c r="A499" s="38"/>
      <c r="B499" s="11"/>
      <c r="C499" s="10"/>
      <c r="D499" s="39"/>
      <c r="E499" s="12"/>
      <c r="F499" s="40"/>
      <c r="G499" s="18" t="str">
        <f aca="false">IF(AND(ISNUMBER($E499),ISNUMBER($F499),$D499&lt;&gt;"R"),$E499*$F499,"")</f>
        <v/>
      </c>
      <c r="H499" s="10"/>
    </row>
    <row r="500" customFormat="false" ht="15.75" hidden="false" customHeight="true" outlineLevel="0" collapsed="false">
      <c r="A500" s="38"/>
      <c r="B500" s="11"/>
      <c r="C500" s="10"/>
      <c r="D500" s="39"/>
      <c r="E500" s="12"/>
      <c r="F500" s="40"/>
      <c r="G500" s="18" t="str">
        <f aca="false">IF(AND(ISNUMBER($E500),ISNUMBER($F500),$D500&lt;&gt;"R"),$E500*$F500,"")</f>
        <v/>
      </c>
      <c r="H500" s="10"/>
    </row>
    <row r="501" customFormat="false" ht="15.75" hidden="false" customHeight="true" outlineLevel="0" collapsed="false">
      <c r="A501" s="38"/>
      <c r="B501" s="11"/>
      <c r="C501" s="10"/>
      <c r="D501" s="39"/>
      <c r="E501" s="12"/>
      <c r="F501" s="40"/>
      <c r="G501" s="18" t="str">
        <f aca="false">IF(AND(ISNUMBER($E501),ISNUMBER($F501),$D501&lt;&gt;"R"),$E501*$F501,"")</f>
        <v/>
      </c>
      <c r="H501" s="10"/>
    </row>
    <row r="502" customFormat="false" ht="15.75" hidden="false" customHeight="true" outlineLevel="0" collapsed="false">
      <c r="A502" s="38"/>
      <c r="B502" s="11"/>
      <c r="C502" s="10"/>
      <c r="D502" s="39"/>
      <c r="E502" s="12"/>
      <c r="F502" s="40"/>
      <c r="G502" s="18" t="str">
        <f aca="false">IF(AND(ISNUMBER($E502),ISNUMBER($F502),$D502&lt;&gt;"R"),$E502*$F502,"")</f>
        <v/>
      </c>
      <c r="H502" s="10"/>
    </row>
    <row r="503" customFormat="false" ht="15.75" hidden="false" customHeight="true" outlineLevel="0" collapsed="false">
      <c r="A503" s="38"/>
      <c r="B503" s="11"/>
      <c r="C503" s="10"/>
      <c r="D503" s="39"/>
      <c r="E503" s="12"/>
      <c r="F503" s="40"/>
      <c r="G503" s="18" t="str">
        <f aca="false">IF(AND(ISNUMBER($E503),ISNUMBER($F503),$D503&lt;&gt;"R"),$E503*$F503,"")</f>
        <v/>
      </c>
      <c r="H503" s="10"/>
    </row>
    <row r="504" customFormat="false" ht="15.75" hidden="false" customHeight="true" outlineLevel="0" collapsed="false">
      <c r="A504" s="38"/>
      <c r="B504" s="11"/>
      <c r="C504" s="10"/>
      <c r="D504" s="39"/>
      <c r="E504" s="12"/>
      <c r="F504" s="40"/>
      <c r="G504" s="18" t="str">
        <f aca="false">IF(AND(ISNUMBER($E504),ISNUMBER($F504),$D504&lt;&gt;"R"),$E504*$F504,"")</f>
        <v/>
      </c>
      <c r="H504" s="10"/>
    </row>
    <row r="505" customFormat="false" ht="15.75" hidden="false" customHeight="true" outlineLevel="0" collapsed="false">
      <c r="A505" s="38"/>
      <c r="B505" s="11"/>
      <c r="C505" s="10"/>
      <c r="D505" s="39"/>
      <c r="E505" s="12"/>
      <c r="F505" s="40"/>
      <c r="G505" s="18" t="str">
        <f aca="false">IF(AND(ISNUMBER($E505),ISNUMBER($F505),$D505&lt;&gt;"R"),$E505*$F505,"")</f>
        <v/>
      </c>
      <c r="H505" s="10"/>
    </row>
    <row r="506" customFormat="false" ht="15.75" hidden="false" customHeight="true" outlineLevel="0" collapsed="false">
      <c r="A506" s="38"/>
      <c r="B506" s="11"/>
      <c r="C506" s="10"/>
      <c r="D506" s="39"/>
      <c r="E506" s="12"/>
      <c r="F506" s="40"/>
      <c r="G506" s="18" t="str">
        <f aca="false">IF(AND(ISNUMBER($E506),ISNUMBER($F506),$D506&lt;&gt;"R"),$E506*$F506,"")</f>
        <v/>
      </c>
      <c r="H506" s="10"/>
    </row>
    <row r="507" customFormat="false" ht="15.75" hidden="false" customHeight="true" outlineLevel="0" collapsed="false">
      <c r="A507" s="38"/>
      <c r="B507" s="11"/>
      <c r="C507" s="10"/>
      <c r="D507" s="39"/>
      <c r="E507" s="12"/>
      <c r="F507" s="40"/>
      <c r="G507" s="18" t="str">
        <f aca="false">IF(AND(ISNUMBER($E507),ISNUMBER($F507),$D507&lt;&gt;"R"),$E507*$F507,"")</f>
        <v/>
      </c>
      <c r="H507" s="10"/>
    </row>
    <row r="508" customFormat="false" ht="15.75" hidden="false" customHeight="true" outlineLevel="0" collapsed="false">
      <c r="A508" s="38"/>
      <c r="B508" s="11"/>
      <c r="C508" s="10"/>
      <c r="D508" s="39"/>
      <c r="E508" s="12"/>
      <c r="F508" s="40"/>
      <c r="G508" s="18" t="str">
        <f aca="false">IF(AND(ISNUMBER($E508),ISNUMBER($F508),$D508&lt;&gt;"R"),$E508*$F508,"")</f>
        <v/>
      </c>
      <c r="H508" s="10"/>
    </row>
    <row r="509" customFormat="false" ht="15.75" hidden="false" customHeight="true" outlineLevel="0" collapsed="false">
      <c r="A509" s="38"/>
      <c r="B509" s="11"/>
      <c r="C509" s="10"/>
      <c r="D509" s="39"/>
      <c r="E509" s="12"/>
      <c r="F509" s="40"/>
      <c r="G509" s="18" t="str">
        <f aca="false">IF(AND(ISNUMBER($E509),ISNUMBER($F509),$D509&lt;&gt;"R"),$E509*$F509,"")</f>
        <v/>
      </c>
      <c r="H509" s="10"/>
    </row>
    <row r="510" customFormat="false" ht="15.75" hidden="false" customHeight="true" outlineLevel="0" collapsed="false">
      <c r="A510" s="38"/>
      <c r="B510" s="11"/>
      <c r="C510" s="10"/>
      <c r="D510" s="39"/>
      <c r="E510" s="12"/>
      <c r="F510" s="40"/>
      <c r="G510" s="18" t="str">
        <f aca="false">IF(AND(ISNUMBER($E510),ISNUMBER($F510),$D510&lt;&gt;"R"),$E510*$F510,"")</f>
        <v/>
      </c>
      <c r="H510" s="10"/>
    </row>
    <row r="511" customFormat="false" ht="15.75" hidden="false" customHeight="true" outlineLevel="0" collapsed="false">
      <c r="A511" s="38"/>
      <c r="B511" s="11"/>
      <c r="C511" s="10"/>
      <c r="D511" s="39"/>
      <c r="E511" s="12"/>
      <c r="F511" s="40"/>
      <c r="G511" s="18" t="str">
        <f aca="false">IF(AND(ISNUMBER($E511),ISNUMBER($F511),$D511&lt;&gt;"R"),$E511*$F511,"")</f>
        <v/>
      </c>
      <c r="H511" s="10"/>
    </row>
    <row r="512" customFormat="false" ht="15.75" hidden="false" customHeight="true" outlineLevel="0" collapsed="false">
      <c r="A512" s="38"/>
      <c r="B512" s="11"/>
      <c r="C512" s="10"/>
      <c r="D512" s="39"/>
      <c r="E512" s="12"/>
      <c r="F512" s="40"/>
      <c r="G512" s="18" t="str">
        <f aca="false">IF(AND(ISNUMBER($E512),ISNUMBER($F512),$D512&lt;&gt;"R"),$E512*$F512,"")</f>
        <v/>
      </c>
      <c r="H512" s="10"/>
    </row>
    <row r="513" customFormat="false" ht="15.75" hidden="false" customHeight="true" outlineLevel="0" collapsed="false">
      <c r="A513" s="38"/>
      <c r="B513" s="11"/>
      <c r="C513" s="10"/>
      <c r="D513" s="39"/>
      <c r="E513" s="12"/>
      <c r="F513" s="40"/>
      <c r="G513" s="18" t="str">
        <f aca="false">IF(AND(ISNUMBER($E513),ISNUMBER($F513),$D513&lt;&gt;"R"),$E513*$F513,"")</f>
        <v/>
      </c>
      <c r="H513" s="10"/>
    </row>
    <row r="514" customFormat="false" ht="15.75" hidden="false" customHeight="true" outlineLevel="0" collapsed="false">
      <c r="A514" s="38"/>
      <c r="B514" s="11"/>
      <c r="C514" s="10"/>
      <c r="D514" s="39"/>
      <c r="E514" s="12"/>
      <c r="F514" s="40"/>
      <c r="G514" s="18" t="str">
        <f aca="false">IF(AND(ISNUMBER($E514),ISNUMBER($F514),$D514&lt;&gt;"R"),$E514*$F514,"")</f>
        <v/>
      </c>
      <c r="H514" s="10"/>
    </row>
    <row r="515" customFormat="false" ht="15.75" hidden="false" customHeight="true" outlineLevel="0" collapsed="false">
      <c r="A515" s="38"/>
      <c r="B515" s="11"/>
      <c r="C515" s="10"/>
      <c r="D515" s="39"/>
      <c r="E515" s="12"/>
      <c r="F515" s="40"/>
      <c r="G515" s="18" t="str">
        <f aca="false">IF(AND(ISNUMBER($E515),ISNUMBER($F515),$D515&lt;&gt;"R"),$E515*$F515,"")</f>
        <v/>
      </c>
      <c r="H515" s="10"/>
    </row>
    <row r="516" customFormat="false" ht="15.75" hidden="false" customHeight="true" outlineLevel="0" collapsed="false">
      <c r="A516" s="38"/>
      <c r="B516" s="11"/>
      <c r="C516" s="10"/>
      <c r="D516" s="39"/>
      <c r="E516" s="12"/>
      <c r="F516" s="40"/>
      <c r="G516" s="18" t="str">
        <f aca="false">IF(AND(ISNUMBER($E516),ISNUMBER($F516),$D516&lt;&gt;"R"),$E516*$F516,"")</f>
        <v/>
      </c>
      <c r="H516" s="10"/>
    </row>
    <row r="517" customFormat="false" ht="15.75" hidden="false" customHeight="true" outlineLevel="0" collapsed="false">
      <c r="A517" s="38"/>
      <c r="B517" s="11"/>
      <c r="C517" s="10"/>
      <c r="D517" s="39"/>
      <c r="E517" s="12"/>
      <c r="F517" s="40"/>
      <c r="G517" s="18" t="str">
        <f aca="false">IF(AND(ISNUMBER($E517),ISNUMBER($F517),$D517&lt;&gt;"R"),$E517*$F517,"")</f>
        <v/>
      </c>
      <c r="H517" s="10"/>
    </row>
    <row r="518" customFormat="false" ht="15.75" hidden="false" customHeight="true" outlineLevel="0" collapsed="false">
      <c r="A518" s="38"/>
      <c r="B518" s="11"/>
      <c r="C518" s="10"/>
      <c r="D518" s="39"/>
      <c r="E518" s="12"/>
      <c r="F518" s="40"/>
      <c r="G518" s="18" t="str">
        <f aca="false">IF(AND(ISNUMBER($E518),ISNUMBER($F518),$D518&lt;&gt;"R"),$E518*$F518,"")</f>
        <v/>
      </c>
      <c r="H518" s="10"/>
    </row>
    <row r="519" customFormat="false" ht="15.75" hidden="false" customHeight="true" outlineLevel="0" collapsed="false">
      <c r="A519" s="38"/>
      <c r="B519" s="11"/>
      <c r="C519" s="10"/>
      <c r="D519" s="39"/>
      <c r="E519" s="12"/>
      <c r="F519" s="40"/>
      <c r="G519" s="18" t="str">
        <f aca="false">IF(AND(ISNUMBER($E519),ISNUMBER($F519),$D519&lt;&gt;"R"),$E519*$F519,"")</f>
        <v/>
      </c>
      <c r="H519" s="10"/>
    </row>
    <row r="520" customFormat="false" ht="15.75" hidden="false" customHeight="true" outlineLevel="0" collapsed="false">
      <c r="A520" s="38"/>
      <c r="B520" s="11"/>
      <c r="C520" s="10"/>
      <c r="D520" s="39"/>
      <c r="E520" s="12"/>
      <c r="F520" s="40"/>
      <c r="G520" s="18" t="str">
        <f aca="false">IF(AND(ISNUMBER($E520),ISNUMBER($F520),$D520&lt;&gt;"R"),$E520*$F520,"")</f>
        <v/>
      </c>
      <c r="H520" s="10"/>
    </row>
    <row r="521" customFormat="false" ht="15.75" hidden="false" customHeight="true" outlineLevel="0" collapsed="false">
      <c r="A521" s="38"/>
      <c r="B521" s="11"/>
      <c r="C521" s="10"/>
      <c r="D521" s="39"/>
      <c r="E521" s="12"/>
      <c r="F521" s="40"/>
      <c r="G521" s="18" t="str">
        <f aca="false">IF(AND(ISNUMBER($E521),ISNUMBER($F521),$D521&lt;&gt;"R"),$E521*$F521,"")</f>
        <v/>
      </c>
      <c r="H521" s="10"/>
    </row>
    <row r="522" customFormat="false" ht="15.75" hidden="false" customHeight="true" outlineLevel="0" collapsed="false">
      <c r="A522" s="38"/>
      <c r="B522" s="11"/>
      <c r="C522" s="10"/>
      <c r="D522" s="39"/>
      <c r="E522" s="12"/>
      <c r="F522" s="40"/>
      <c r="G522" s="18" t="str">
        <f aca="false">IF(AND(ISNUMBER($E522),ISNUMBER($F522),$D522&lt;&gt;"R"),$E522*$F522,"")</f>
        <v/>
      </c>
      <c r="H522" s="10"/>
    </row>
    <row r="523" customFormat="false" ht="15.75" hidden="false" customHeight="true" outlineLevel="0" collapsed="false">
      <c r="A523" s="38"/>
      <c r="B523" s="11"/>
      <c r="C523" s="10"/>
      <c r="D523" s="39"/>
      <c r="E523" s="12"/>
      <c r="F523" s="40"/>
      <c r="G523" s="18" t="str">
        <f aca="false">IF(AND(ISNUMBER($E523),ISNUMBER($F523),$D523&lt;&gt;"R"),$E523*$F523,"")</f>
        <v/>
      </c>
      <c r="H523" s="10"/>
    </row>
    <row r="524" customFormat="false" ht="15.75" hidden="false" customHeight="true" outlineLevel="0" collapsed="false">
      <c r="A524" s="38"/>
      <c r="B524" s="11"/>
      <c r="C524" s="10"/>
      <c r="D524" s="39"/>
      <c r="E524" s="12"/>
      <c r="F524" s="40"/>
      <c r="G524" s="18" t="str">
        <f aca="false">IF(AND(ISNUMBER($E524),ISNUMBER($F524),$D524&lt;&gt;"R"),$E524*$F524,"")</f>
        <v/>
      </c>
      <c r="H524" s="10"/>
    </row>
    <row r="525" customFormat="false" ht="15.75" hidden="false" customHeight="true" outlineLevel="0" collapsed="false">
      <c r="A525" s="38"/>
      <c r="B525" s="11"/>
      <c r="C525" s="10"/>
      <c r="D525" s="39"/>
      <c r="E525" s="12"/>
      <c r="F525" s="40"/>
      <c r="G525" s="18" t="str">
        <f aca="false">IF(AND(ISNUMBER($E525),ISNUMBER($F525),$D525&lt;&gt;"R"),$E525*$F525,"")</f>
        <v/>
      </c>
      <c r="H525" s="10"/>
    </row>
    <row r="526" customFormat="false" ht="15.75" hidden="false" customHeight="true" outlineLevel="0" collapsed="false">
      <c r="A526" s="38"/>
      <c r="B526" s="11"/>
      <c r="C526" s="10"/>
      <c r="D526" s="39"/>
      <c r="E526" s="12"/>
      <c r="F526" s="40"/>
      <c r="G526" s="18" t="str">
        <f aca="false">IF(AND(ISNUMBER($E526),ISNUMBER($F526),$D526&lt;&gt;"R"),$E526*$F526,"")</f>
        <v/>
      </c>
      <c r="H526" s="10"/>
    </row>
    <row r="527" customFormat="false" ht="15.75" hidden="false" customHeight="true" outlineLevel="0" collapsed="false">
      <c r="A527" s="38"/>
      <c r="B527" s="11"/>
      <c r="C527" s="10"/>
      <c r="D527" s="39"/>
      <c r="E527" s="12"/>
      <c r="F527" s="40"/>
      <c r="G527" s="18" t="str">
        <f aca="false">IF(AND(ISNUMBER($E527),ISNUMBER($F527),$D527&lt;&gt;"R"),$E527*$F527,"")</f>
        <v/>
      </c>
      <c r="H527" s="10"/>
    </row>
    <row r="528" customFormat="false" ht="15.75" hidden="false" customHeight="true" outlineLevel="0" collapsed="false">
      <c r="A528" s="38"/>
      <c r="B528" s="11"/>
      <c r="C528" s="10"/>
      <c r="D528" s="39"/>
      <c r="E528" s="12"/>
      <c r="F528" s="40"/>
      <c r="G528" s="18" t="str">
        <f aca="false">IF(AND(ISNUMBER($E528),ISNUMBER($F528),$D528&lt;&gt;"R"),$E528*$F528,"")</f>
        <v/>
      </c>
      <c r="H528" s="10"/>
    </row>
    <row r="529" customFormat="false" ht="15.75" hidden="false" customHeight="true" outlineLevel="0" collapsed="false">
      <c r="A529" s="38"/>
      <c r="B529" s="11"/>
      <c r="C529" s="10"/>
      <c r="D529" s="39"/>
      <c r="E529" s="12"/>
      <c r="F529" s="40"/>
      <c r="G529" s="18" t="str">
        <f aca="false">IF(AND(ISNUMBER($E529),ISNUMBER($F529),$D529&lt;&gt;"R"),$E529*$F529,"")</f>
        <v/>
      </c>
      <c r="H529" s="10"/>
    </row>
    <row r="530" customFormat="false" ht="15.75" hidden="false" customHeight="true" outlineLevel="0" collapsed="false">
      <c r="A530" s="38"/>
      <c r="B530" s="11"/>
      <c r="C530" s="10"/>
      <c r="D530" s="39"/>
      <c r="E530" s="12"/>
      <c r="F530" s="40"/>
      <c r="G530" s="18" t="str">
        <f aca="false">IF(AND(ISNUMBER($E530),ISNUMBER($F530),$D530&lt;&gt;"R"),$E530*$F530,"")</f>
        <v/>
      </c>
      <c r="H530" s="10"/>
    </row>
    <row r="531" customFormat="false" ht="15.75" hidden="false" customHeight="true" outlineLevel="0" collapsed="false">
      <c r="A531" s="38"/>
      <c r="B531" s="11"/>
      <c r="C531" s="10"/>
      <c r="D531" s="39"/>
      <c r="E531" s="12"/>
      <c r="F531" s="40"/>
      <c r="G531" s="18" t="str">
        <f aca="false">IF(AND(ISNUMBER($E531),ISNUMBER($F531),$D531&lt;&gt;"R"),$E531*$F531,"")</f>
        <v/>
      </c>
      <c r="H531" s="10"/>
    </row>
    <row r="532" customFormat="false" ht="15.75" hidden="false" customHeight="true" outlineLevel="0" collapsed="false">
      <c r="A532" s="38"/>
      <c r="B532" s="11"/>
      <c r="C532" s="10"/>
      <c r="D532" s="39"/>
      <c r="E532" s="12"/>
      <c r="F532" s="40"/>
      <c r="G532" s="18" t="str">
        <f aca="false">IF(AND(ISNUMBER($E532),ISNUMBER($F532),$D532&lt;&gt;"R"),$E532*$F532,"")</f>
        <v/>
      </c>
      <c r="H532" s="10"/>
    </row>
    <row r="533" customFormat="false" ht="15.75" hidden="false" customHeight="true" outlineLevel="0" collapsed="false">
      <c r="A533" s="38"/>
      <c r="B533" s="11"/>
      <c r="C533" s="10"/>
      <c r="D533" s="39"/>
      <c r="E533" s="12"/>
      <c r="F533" s="40"/>
      <c r="G533" s="18" t="str">
        <f aca="false">IF(AND(ISNUMBER($E533),ISNUMBER($F533),$D533&lt;&gt;"R"),$E533*$F533,"")</f>
        <v/>
      </c>
      <c r="H533" s="10"/>
    </row>
    <row r="534" customFormat="false" ht="15.75" hidden="false" customHeight="true" outlineLevel="0" collapsed="false">
      <c r="A534" s="38"/>
      <c r="B534" s="11"/>
      <c r="C534" s="10"/>
      <c r="D534" s="39"/>
      <c r="E534" s="12"/>
      <c r="F534" s="40"/>
      <c r="G534" s="18" t="str">
        <f aca="false">IF(AND(ISNUMBER($E534),ISNUMBER($F534),$D534&lt;&gt;"R"),$E534*$F534,"")</f>
        <v/>
      </c>
      <c r="H534" s="10"/>
    </row>
    <row r="535" customFormat="false" ht="15.75" hidden="false" customHeight="true" outlineLevel="0" collapsed="false">
      <c r="A535" s="38"/>
      <c r="B535" s="11"/>
      <c r="C535" s="10"/>
      <c r="D535" s="39"/>
      <c r="E535" s="12"/>
      <c r="F535" s="40"/>
      <c r="G535" s="18" t="str">
        <f aca="false">IF(AND(ISNUMBER($E535),ISNUMBER($F535),$D535&lt;&gt;"R"),$E535*$F535,"")</f>
        <v/>
      </c>
      <c r="H535" s="10"/>
    </row>
    <row r="536" customFormat="false" ht="15.75" hidden="false" customHeight="true" outlineLevel="0" collapsed="false">
      <c r="A536" s="38"/>
      <c r="B536" s="11"/>
      <c r="C536" s="10"/>
      <c r="D536" s="39"/>
      <c r="E536" s="12"/>
      <c r="F536" s="40"/>
      <c r="G536" s="18" t="str">
        <f aca="false">IF(AND(ISNUMBER($E536),ISNUMBER($F536),$D536&lt;&gt;"R"),$E536*$F536,"")</f>
        <v/>
      </c>
      <c r="H536" s="10"/>
    </row>
    <row r="537" customFormat="false" ht="15.75" hidden="false" customHeight="true" outlineLevel="0" collapsed="false">
      <c r="A537" s="38"/>
      <c r="B537" s="11"/>
      <c r="C537" s="10"/>
      <c r="D537" s="39"/>
      <c r="E537" s="12"/>
      <c r="F537" s="40"/>
      <c r="G537" s="18" t="str">
        <f aca="false">IF(AND(ISNUMBER($E537),ISNUMBER($F537),$D537&lt;&gt;"R"),$E537*$F537,"")</f>
        <v/>
      </c>
      <c r="H537" s="10"/>
    </row>
    <row r="538" customFormat="false" ht="15.75" hidden="false" customHeight="true" outlineLevel="0" collapsed="false">
      <c r="A538" s="38"/>
      <c r="B538" s="11"/>
      <c r="C538" s="10"/>
      <c r="D538" s="39"/>
      <c r="E538" s="12"/>
      <c r="F538" s="40"/>
      <c r="G538" s="18" t="str">
        <f aca="false">IF(AND(ISNUMBER($E538),ISNUMBER($F538),$D538&lt;&gt;"R"),$E538*$F538,"")</f>
        <v/>
      </c>
      <c r="H538" s="10"/>
    </row>
    <row r="539" customFormat="false" ht="15.75" hidden="false" customHeight="true" outlineLevel="0" collapsed="false">
      <c r="A539" s="38"/>
      <c r="B539" s="11"/>
      <c r="C539" s="10"/>
      <c r="D539" s="39"/>
      <c r="E539" s="12"/>
      <c r="F539" s="40"/>
      <c r="G539" s="18" t="str">
        <f aca="false">IF(AND(ISNUMBER($E539),ISNUMBER($F539),$D539&lt;&gt;"R"),$E539*$F539,"")</f>
        <v/>
      </c>
      <c r="H539" s="10"/>
    </row>
    <row r="540" customFormat="false" ht="15.75" hidden="false" customHeight="true" outlineLevel="0" collapsed="false">
      <c r="A540" s="38"/>
      <c r="B540" s="11"/>
      <c r="C540" s="10"/>
      <c r="D540" s="39"/>
      <c r="E540" s="12"/>
      <c r="F540" s="40"/>
      <c r="G540" s="18" t="str">
        <f aca="false">IF(AND(ISNUMBER($E540),ISNUMBER($F540),$D540&lt;&gt;"R"),$E540*$F540,"")</f>
        <v/>
      </c>
      <c r="H540" s="10"/>
    </row>
    <row r="541" customFormat="false" ht="15.75" hidden="false" customHeight="true" outlineLevel="0" collapsed="false">
      <c r="A541" s="38"/>
      <c r="B541" s="11"/>
      <c r="C541" s="10"/>
      <c r="D541" s="39"/>
      <c r="E541" s="12"/>
      <c r="F541" s="40"/>
      <c r="G541" s="18" t="str">
        <f aca="false">IF(AND(ISNUMBER($E541),ISNUMBER($F541),$D541&lt;&gt;"R"),$E541*$F541,"")</f>
        <v/>
      </c>
      <c r="H541" s="10"/>
    </row>
    <row r="542" customFormat="false" ht="15.75" hidden="false" customHeight="true" outlineLevel="0" collapsed="false">
      <c r="A542" s="38"/>
      <c r="B542" s="11"/>
      <c r="C542" s="10"/>
      <c r="D542" s="39"/>
      <c r="E542" s="12"/>
      <c r="F542" s="40"/>
      <c r="G542" s="18" t="str">
        <f aca="false">IF(AND(ISNUMBER($E542),ISNUMBER($F542),$D542&lt;&gt;"R"),$E542*$F542,"")</f>
        <v/>
      </c>
      <c r="H542" s="10"/>
    </row>
    <row r="543" customFormat="false" ht="15.75" hidden="false" customHeight="true" outlineLevel="0" collapsed="false">
      <c r="A543" s="38"/>
      <c r="B543" s="11"/>
      <c r="C543" s="10"/>
      <c r="D543" s="39"/>
      <c r="E543" s="12"/>
      <c r="F543" s="40"/>
      <c r="G543" s="18" t="str">
        <f aca="false">IF(AND(ISNUMBER($E543),ISNUMBER($F543),$D543&lt;&gt;"R"),$E543*$F543,"")</f>
        <v/>
      </c>
      <c r="H543" s="10"/>
    </row>
    <row r="544" customFormat="false" ht="15.75" hidden="false" customHeight="true" outlineLevel="0" collapsed="false">
      <c r="A544" s="38"/>
      <c r="B544" s="11"/>
      <c r="C544" s="10"/>
      <c r="D544" s="39"/>
      <c r="E544" s="12"/>
      <c r="F544" s="40"/>
      <c r="G544" s="18" t="str">
        <f aca="false">IF(AND(ISNUMBER($E544),ISNUMBER($F544),$D544&lt;&gt;"R"),$E544*$F544,"")</f>
        <v/>
      </c>
      <c r="H544" s="10"/>
    </row>
    <row r="545" customFormat="false" ht="15.75" hidden="false" customHeight="true" outlineLevel="0" collapsed="false">
      <c r="A545" s="38"/>
      <c r="B545" s="11"/>
      <c r="C545" s="10"/>
      <c r="D545" s="39"/>
      <c r="E545" s="12"/>
      <c r="F545" s="40"/>
      <c r="G545" s="18" t="str">
        <f aca="false">IF(AND(ISNUMBER($E545),ISNUMBER($F545),$D545&lt;&gt;"R"),$E545*$F545,"")</f>
        <v/>
      </c>
      <c r="H545" s="10"/>
    </row>
    <row r="546" customFormat="false" ht="15.75" hidden="false" customHeight="true" outlineLevel="0" collapsed="false">
      <c r="A546" s="38"/>
      <c r="B546" s="11"/>
      <c r="C546" s="10"/>
      <c r="D546" s="39"/>
      <c r="E546" s="12"/>
      <c r="F546" s="40"/>
      <c r="G546" s="18" t="str">
        <f aca="false">IF(AND(ISNUMBER($E546),ISNUMBER($F546),$D546&lt;&gt;"R"),$E546*$F546,"")</f>
        <v/>
      </c>
      <c r="H546" s="10"/>
    </row>
    <row r="547" customFormat="false" ht="15.75" hidden="false" customHeight="true" outlineLevel="0" collapsed="false">
      <c r="A547" s="38"/>
      <c r="B547" s="11"/>
      <c r="C547" s="10"/>
      <c r="D547" s="39"/>
      <c r="E547" s="12"/>
      <c r="F547" s="40"/>
      <c r="G547" s="18" t="str">
        <f aca="false">IF(AND(ISNUMBER($E547),ISNUMBER($F547),$D547&lt;&gt;"R"),$E547*$F547,"")</f>
        <v/>
      </c>
      <c r="H547" s="10"/>
    </row>
    <row r="548" customFormat="false" ht="15.75" hidden="false" customHeight="true" outlineLevel="0" collapsed="false">
      <c r="A548" s="38"/>
      <c r="B548" s="11"/>
      <c r="C548" s="10"/>
      <c r="D548" s="39"/>
      <c r="E548" s="12"/>
      <c r="F548" s="40"/>
      <c r="G548" s="18" t="str">
        <f aca="false">IF(AND(ISNUMBER($E548),ISNUMBER($F548),$D548&lt;&gt;"R"),$E548*$F548,"")</f>
        <v/>
      </c>
      <c r="H548" s="10"/>
    </row>
    <row r="549" customFormat="false" ht="15.75" hidden="false" customHeight="true" outlineLevel="0" collapsed="false">
      <c r="A549" s="38"/>
      <c r="B549" s="11"/>
      <c r="C549" s="10"/>
      <c r="D549" s="39"/>
      <c r="E549" s="12"/>
      <c r="F549" s="40"/>
      <c r="G549" s="18" t="str">
        <f aca="false">IF(AND(ISNUMBER($E549),ISNUMBER($F549),$D549&lt;&gt;"R"),$E549*$F549,"")</f>
        <v/>
      </c>
      <c r="H549" s="10"/>
    </row>
    <row r="550" customFormat="false" ht="15.75" hidden="false" customHeight="true" outlineLevel="0" collapsed="false">
      <c r="A550" s="38"/>
      <c r="B550" s="11"/>
      <c r="C550" s="10"/>
      <c r="D550" s="39"/>
      <c r="E550" s="12"/>
      <c r="F550" s="40"/>
      <c r="G550" s="18" t="str">
        <f aca="false">IF(AND(ISNUMBER($E550),ISNUMBER($F550),$D550&lt;&gt;"R"),$E550*$F550,"")</f>
        <v/>
      </c>
      <c r="H550" s="10"/>
    </row>
    <row r="551" customFormat="false" ht="15.75" hidden="false" customHeight="true" outlineLevel="0" collapsed="false">
      <c r="A551" s="38"/>
      <c r="B551" s="11"/>
      <c r="C551" s="10"/>
      <c r="D551" s="39"/>
      <c r="E551" s="12"/>
      <c r="F551" s="40"/>
      <c r="G551" s="18" t="str">
        <f aca="false">IF(AND(ISNUMBER($E551),ISNUMBER($F551),$D551&lt;&gt;"R"),$E551*$F551,"")</f>
        <v/>
      </c>
      <c r="H551" s="10"/>
    </row>
    <row r="552" customFormat="false" ht="15.75" hidden="false" customHeight="true" outlineLevel="0" collapsed="false">
      <c r="A552" s="38"/>
      <c r="B552" s="11"/>
      <c r="C552" s="10"/>
      <c r="D552" s="39"/>
      <c r="E552" s="12"/>
      <c r="F552" s="40"/>
      <c r="G552" s="18" t="str">
        <f aca="false">IF(AND(ISNUMBER($E552),ISNUMBER($F552),$D552&lt;&gt;"R"),$E552*$F552,"")</f>
        <v/>
      </c>
      <c r="H552" s="10"/>
    </row>
    <row r="553" customFormat="false" ht="15.75" hidden="false" customHeight="true" outlineLevel="0" collapsed="false">
      <c r="A553" s="38"/>
      <c r="B553" s="11"/>
      <c r="C553" s="10"/>
      <c r="D553" s="39"/>
      <c r="E553" s="12"/>
      <c r="F553" s="40"/>
      <c r="G553" s="18" t="str">
        <f aca="false">IF(AND(ISNUMBER($E553),ISNUMBER($F553),$D553&lt;&gt;"R"),$E553*$F553,"")</f>
        <v/>
      </c>
      <c r="H553" s="10"/>
    </row>
    <row r="554" customFormat="false" ht="15.75" hidden="false" customHeight="true" outlineLevel="0" collapsed="false">
      <c r="A554" s="38"/>
      <c r="B554" s="11"/>
      <c r="C554" s="10"/>
      <c r="D554" s="39"/>
      <c r="E554" s="12"/>
      <c r="F554" s="40"/>
      <c r="G554" s="18" t="str">
        <f aca="false">IF(AND(ISNUMBER($E554),ISNUMBER($F554),$D554&lt;&gt;"R"),$E554*$F554,"")</f>
        <v/>
      </c>
      <c r="H554" s="10"/>
    </row>
    <row r="555" customFormat="false" ht="15.75" hidden="false" customHeight="true" outlineLevel="0" collapsed="false">
      <c r="A555" s="38"/>
      <c r="B555" s="11"/>
      <c r="C555" s="10"/>
      <c r="D555" s="39"/>
      <c r="E555" s="12"/>
      <c r="F555" s="40"/>
      <c r="G555" s="18" t="str">
        <f aca="false">IF(AND(ISNUMBER($E555),ISNUMBER($F555),$D555&lt;&gt;"R"),$E555*$F555,"")</f>
        <v/>
      </c>
      <c r="H555" s="10"/>
    </row>
    <row r="556" customFormat="false" ht="15.75" hidden="false" customHeight="true" outlineLevel="0" collapsed="false">
      <c r="A556" s="38"/>
      <c r="B556" s="11"/>
      <c r="C556" s="10"/>
      <c r="D556" s="39"/>
      <c r="E556" s="12"/>
      <c r="F556" s="40"/>
      <c r="G556" s="18" t="str">
        <f aca="false">IF(AND(ISNUMBER($E556),ISNUMBER($F556),$D556&lt;&gt;"R"),$E556*$F556,"")</f>
        <v/>
      </c>
      <c r="H556" s="10"/>
    </row>
    <row r="557" customFormat="false" ht="15.75" hidden="false" customHeight="true" outlineLevel="0" collapsed="false">
      <c r="A557" s="38"/>
      <c r="B557" s="11"/>
      <c r="C557" s="10"/>
      <c r="D557" s="39"/>
      <c r="E557" s="12"/>
      <c r="F557" s="40"/>
      <c r="G557" s="18" t="str">
        <f aca="false">IF(AND(ISNUMBER($E557),ISNUMBER($F557),$D557&lt;&gt;"R"),$E557*$F557,"")</f>
        <v/>
      </c>
      <c r="H557" s="10"/>
    </row>
    <row r="558" customFormat="false" ht="15.75" hidden="false" customHeight="true" outlineLevel="0" collapsed="false">
      <c r="A558" s="38"/>
      <c r="B558" s="11"/>
      <c r="C558" s="10"/>
      <c r="D558" s="39"/>
      <c r="E558" s="12"/>
      <c r="F558" s="40"/>
      <c r="G558" s="18" t="str">
        <f aca="false">IF(AND(ISNUMBER($E558),ISNUMBER($F558),$D558&lt;&gt;"R"),$E558*$F558,"")</f>
        <v/>
      </c>
      <c r="H558" s="10"/>
    </row>
    <row r="559" customFormat="false" ht="15.75" hidden="false" customHeight="true" outlineLevel="0" collapsed="false">
      <c r="A559" s="38"/>
      <c r="B559" s="11"/>
      <c r="C559" s="10"/>
      <c r="D559" s="39"/>
      <c r="E559" s="12"/>
      <c r="F559" s="40"/>
      <c r="G559" s="18" t="str">
        <f aca="false">IF(AND(ISNUMBER($E559),ISNUMBER($F559),$D559&lt;&gt;"R"),$E559*$F559,"")</f>
        <v/>
      </c>
      <c r="H559" s="10"/>
    </row>
    <row r="560" customFormat="false" ht="15.75" hidden="false" customHeight="true" outlineLevel="0" collapsed="false">
      <c r="A560" s="38"/>
      <c r="B560" s="11"/>
      <c r="C560" s="10"/>
      <c r="D560" s="39"/>
      <c r="E560" s="12"/>
      <c r="F560" s="40"/>
      <c r="G560" s="18" t="str">
        <f aca="false">IF(AND(ISNUMBER($E560),ISNUMBER($F560),$D560&lt;&gt;"R"),$E560*$F560,"")</f>
        <v/>
      </c>
      <c r="H560" s="10"/>
    </row>
    <row r="561" customFormat="false" ht="15.75" hidden="false" customHeight="true" outlineLevel="0" collapsed="false">
      <c r="A561" s="38"/>
      <c r="B561" s="11"/>
      <c r="C561" s="10"/>
      <c r="D561" s="39"/>
      <c r="E561" s="12"/>
      <c r="F561" s="40"/>
      <c r="G561" s="18" t="str">
        <f aca="false">IF(AND(ISNUMBER($E561),ISNUMBER($F561),$D561&lt;&gt;"R"),$E561*$F561,"")</f>
        <v/>
      </c>
      <c r="H561" s="10"/>
    </row>
    <row r="562" customFormat="false" ht="15.75" hidden="false" customHeight="true" outlineLevel="0" collapsed="false">
      <c r="A562" s="38"/>
      <c r="B562" s="11"/>
      <c r="C562" s="10"/>
      <c r="D562" s="39"/>
      <c r="E562" s="12"/>
      <c r="F562" s="40"/>
      <c r="G562" s="18" t="str">
        <f aca="false">IF(AND(ISNUMBER($E562),ISNUMBER($F562),$D562&lt;&gt;"R"),$E562*$F562,"")</f>
        <v/>
      </c>
      <c r="H562" s="10"/>
    </row>
    <row r="563" customFormat="false" ht="15.75" hidden="false" customHeight="true" outlineLevel="0" collapsed="false">
      <c r="A563" s="38"/>
      <c r="B563" s="11"/>
      <c r="C563" s="10"/>
      <c r="D563" s="39"/>
      <c r="E563" s="12"/>
      <c r="F563" s="40"/>
      <c r="G563" s="18" t="str">
        <f aca="false">IF(AND(ISNUMBER($E563),ISNUMBER($F563),$D563&lt;&gt;"R"),$E563*$F563,"")</f>
        <v/>
      </c>
      <c r="H563" s="10"/>
    </row>
    <row r="564" customFormat="false" ht="15.75" hidden="false" customHeight="true" outlineLevel="0" collapsed="false">
      <c r="A564" s="38"/>
      <c r="B564" s="11"/>
      <c r="C564" s="10"/>
      <c r="D564" s="39"/>
      <c r="E564" s="12"/>
      <c r="F564" s="40"/>
      <c r="G564" s="18" t="str">
        <f aca="false">IF(AND(ISNUMBER($E564),ISNUMBER($F564),$D564&lt;&gt;"R"),$E564*$F564,"")</f>
        <v/>
      </c>
      <c r="H564" s="10"/>
    </row>
    <row r="565" customFormat="false" ht="15.75" hidden="false" customHeight="true" outlineLevel="0" collapsed="false">
      <c r="A565" s="38"/>
      <c r="B565" s="11"/>
      <c r="C565" s="10"/>
      <c r="D565" s="39"/>
      <c r="E565" s="12"/>
      <c r="F565" s="40"/>
      <c r="G565" s="18" t="str">
        <f aca="false">IF(AND(ISNUMBER($E565),ISNUMBER($F565),$D565&lt;&gt;"R"),$E565*$F565,"")</f>
        <v/>
      </c>
      <c r="H565" s="10"/>
    </row>
    <row r="566" customFormat="false" ht="15.75" hidden="false" customHeight="true" outlineLevel="0" collapsed="false">
      <c r="A566" s="38"/>
      <c r="B566" s="11"/>
      <c r="C566" s="10"/>
      <c r="D566" s="39"/>
      <c r="E566" s="12"/>
      <c r="F566" s="40"/>
      <c r="G566" s="18" t="str">
        <f aca="false">IF(AND(ISNUMBER($E566),ISNUMBER($F566),$D566&lt;&gt;"R"),$E566*$F566,"")</f>
        <v/>
      </c>
      <c r="H566" s="10"/>
    </row>
    <row r="567" customFormat="false" ht="15.75" hidden="false" customHeight="true" outlineLevel="0" collapsed="false">
      <c r="A567" s="38"/>
      <c r="B567" s="11"/>
      <c r="C567" s="10"/>
      <c r="D567" s="39"/>
      <c r="E567" s="12"/>
      <c r="F567" s="40"/>
      <c r="G567" s="18" t="str">
        <f aca="false">IF(AND(ISNUMBER($E567),ISNUMBER($F567),$D567&lt;&gt;"R"),$E567*$F567,"")</f>
        <v/>
      </c>
      <c r="H567" s="10"/>
    </row>
    <row r="568" customFormat="false" ht="15.75" hidden="false" customHeight="true" outlineLevel="0" collapsed="false">
      <c r="A568" s="38"/>
      <c r="B568" s="11"/>
      <c r="C568" s="10"/>
      <c r="D568" s="39"/>
      <c r="E568" s="12"/>
      <c r="F568" s="40"/>
      <c r="G568" s="18" t="str">
        <f aca="false">IF(AND(ISNUMBER($E568),ISNUMBER($F568),$D568&lt;&gt;"R"),$E568*$F568,"")</f>
        <v/>
      </c>
      <c r="H568" s="10"/>
    </row>
    <row r="569" customFormat="false" ht="15.75" hidden="false" customHeight="true" outlineLevel="0" collapsed="false">
      <c r="A569" s="38"/>
      <c r="B569" s="11"/>
      <c r="C569" s="10"/>
      <c r="D569" s="39"/>
      <c r="E569" s="12"/>
      <c r="F569" s="40"/>
      <c r="G569" s="18" t="str">
        <f aca="false">IF(AND(ISNUMBER($E569),ISNUMBER($F569),$D569&lt;&gt;"R"),$E569*$F569,"")</f>
        <v/>
      </c>
      <c r="H569" s="10"/>
    </row>
    <row r="570" customFormat="false" ht="15.75" hidden="false" customHeight="true" outlineLevel="0" collapsed="false">
      <c r="A570" s="38"/>
      <c r="B570" s="11"/>
      <c r="C570" s="10"/>
      <c r="D570" s="39"/>
      <c r="E570" s="12"/>
      <c r="F570" s="40"/>
      <c r="G570" s="18" t="str">
        <f aca="false">IF(AND(ISNUMBER($E570),ISNUMBER($F570),$D570&lt;&gt;"R"),$E570*$F570,"")</f>
        <v/>
      </c>
      <c r="H570" s="10"/>
    </row>
    <row r="571" customFormat="false" ht="15.75" hidden="false" customHeight="true" outlineLevel="0" collapsed="false">
      <c r="A571" s="38"/>
      <c r="B571" s="11"/>
      <c r="C571" s="10"/>
      <c r="D571" s="39"/>
      <c r="E571" s="12"/>
      <c r="F571" s="40"/>
      <c r="G571" s="18" t="str">
        <f aca="false">IF(AND(ISNUMBER($E571),ISNUMBER($F571),$D571&lt;&gt;"R"),$E571*$F571,"")</f>
        <v/>
      </c>
      <c r="H571" s="10"/>
    </row>
    <row r="572" customFormat="false" ht="15.75" hidden="false" customHeight="true" outlineLevel="0" collapsed="false">
      <c r="A572" s="38"/>
      <c r="B572" s="11"/>
      <c r="C572" s="10"/>
      <c r="D572" s="39"/>
      <c r="E572" s="12"/>
      <c r="F572" s="40"/>
      <c r="G572" s="18" t="str">
        <f aca="false">IF(AND(ISNUMBER($E572),ISNUMBER($F572),$D572&lt;&gt;"R"),$E572*$F572,"")</f>
        <v/>
      </c>
      <c r="H572" s="10"/>
    </row>
    <row r="573" customFormat="false" ht="15.75" hidden="false" customHeight="true" outlineLevel="0" collapsed="false">
      <c r="A573" s="38"/>
      <c r="B573" s="11"/>
      <c r="C573" s="10"/>
      <c r="D573" s="39"/>
      <c r="E573" s="12"/>
      <c r="F573" s="40"/>
      <c r="G573" s="18" t="str">
        <f aca="false">IF(AND(ISNUMBER($E573),ISNUMBER($F573),$D573&lt;&gt;"R"),$E573*$F573,"")</f>
        <v/>
      </c>
      <c r="H573" s="10"/>
    </row>
    <row r="574" customFormat="false" ht="15.75" hidden="false" customHeight="true" outlineLevel="0" collapsed="false">
      <c r="A574" s="38"/>
      <c r="B574" s="11"/>
      <c r="C574" s="10"/>
      <c r="D574" s="39"/>
      <c r="E574" s="12"/>
      <c r="F574" s="40"/>
      <c r="G574" s="18" t="str">
        <f aca="false">IF(AND(ISNUMBER($E574),ISNUMBER($F574),$D574&lt;&gt;"R"),$E574*$F574,"")</f>
        <v/>
      </c>
      <c r="H574" s="10"/>
    </row>
    <row r="575" customFormat="false" ht="15.75" hidden="false" customHeight="true" outlineLevel="0" collapsed="false">
      <c r="A575" s="38"/>
      <c r="B575" s="11"/>
      <c r="C575" s="10"/>
      <c r="D575" s="39"/>
      <c r="E575" s="12"/>
      <c r="F575" s="40"/>
      <c r="G575" s="18" t="str">
        <f aca="false">IF(AND(ISNUMBER($E575),ISNUMBER($F575),$D575&lt;&gt;"R"),$E575*$F575,"")</f>
        <v/>
      </c>
      <c r="H575" s="10"/>
    </row>
    <row r="576" customFormat="false" ht="15.75" hidden="false" customHeight="true" outlineLevel="0" collapsed="false">
      <c r="A576" s="38"/>
      <c r="B576" s="11"/>
      <c r="C576" s="10"/>
      <c r="D576" s="39"/>
      <c r="E576" s="12"/>
      <c r="F576" s="40"/>
      <c r="G576" s="18" t="str">
        <f aca="false">IF(AND(ISNUMBER($E576),ISNUMBER($F576),$D576&lt;&gt;"R"),$E576*$F576,"")</f>
        <v/>
      </c>
      <c r="H576" s="10"/>
    </row>
    <row r="577" customFormat="false" ht="15.75" hidden="false" customHeight="true" outlineLevel="0" collapsed="false">
      <c r="A577" s="38"/>
      <c r="B577" s="11"/>
      <c r="C577" s="10"/>
      <c r="D577" s="39"/>
      <c r="E577" s="12"/>
      <c r="F577" s="40"/>
      <c r="G577" s="18" t="str">
        <f aca="false">IF(AND(ISNUMBER($E577),ISNUMBER($F577),$D577&lt;&gt;"R"),$E577*$F577,"")</f>
        <v/>
      </c>
      <c r="H577" s="10"/>
    </row>
    <row r="578" customFormat="false" ht="15.75" hidden="false" customHeight="true" outlineLevel="0" collapsed="false">
      <c r="A578" s="38"/>
      <c r="B578" s="11"/>
      <c r="C578" s="10"/>
      <c r="D578" s="39"/>
      <c r="E578" s="12"/>
      <c r="F578" s="40"/>
      <c r="G578" s="18" t="str">
        <f aca="false">IF(AND(ISNUMBER($E578),ISNUMBER($F578),$D578&lt;&gt;"R"),$E578*$F578,"")</f>
        <v/>
      </c>
      <c r="H578" s="10"/>
    </row>
    <row r="579" customFormat="false" ht="15.75" hidden="false" customHeight="true" outlineLevel="0" collapsed="false">
      <c r="A579" s="38"/>
      <c r="B579" s="11"/>
      <c r="C579" s="10"/>
      <c r="D579" s="39"/>
      <c r="E579" s="12"/>
      <c r="F579" s="40"/>
      <c r="G579" s="18" t="str">
        <f aca="false">IF(AND(ISNUMBER($E579),ISNUMBER($F579),$D579&lt;&gt;"R"),$E579*$F579,"")</f>
        <v/>
      </c>
      <c r="H579" s="10"/>
    </row>
    <row r="580" customFormat="false" ht="15.75" hidden="false" customHeight="true" outlineLevel="0" collapsed="false">
      <c r="A580" s="38"/>
      <c r="B580" s="11"/>
      <c r="C580" s="10"/>
      <c r="D580" s="39"/>
      <c r="E580" s="12"/>
      <c r="F580" s="40"/>
      <c r="G580" s="18" t="str">
        <f aca="false">IF(AND(ISNUMBER($E580),ISNUMBER($F580),$D580&lt;&gt;"R"),$E580*$F580,"")</f>
        <v/>
      </c>
      <c r="H580" s="10"/>
    </row>
    <row r="581" customFormat="false" ht="15.75" hidden="false" customHeight="true" outlineLevel="0" collapsed="false">
      <c r="A581" s="38"/>
      <c r="B581" s="11"/>
      <c r="C581" s="10"/>
      <c r="D581" s="39"/>
      <c r="E581" s="12"/>
      <c r="F581" s="40"/>
      <c r="G581" s="18" t="str">
        <f aca="false">IF(AND(ISNUMBER($E581),ISNUMBER($F581),$D581&lt;&gt;"R"),$E581*$F581,"")</f>
        <v/>
      </c>
      <c r="H581" s="10"/>
    </row>
    <row r="582" customFormat="false" ht="15.75" hidden="false" customHeight="true" outlineLevel="0" collapsed="false">
      <c r="A582" s="38"/>
      <c r="B582" s="11"/>
      <c r="C582" s="10"/>
      <c r="D582" s="39"/>
      <c r="E582" s="12"/>
      <c r="F582" s="40"/>
      <c r="G582" s="18" t="str">
        <f aca="false">IF(AND(ISNUMBER($E582),ISNUMBER($F582),$D582&lt;&gt;"R"),$E582*$F582,"")</f>
        <v/>
      </c>
      <c r="H582" s="10"/>
    </row>
    <row r="583" customFormat="false" ht="15.75" hidden="false" customHeight="true" outlineLevel="0" collapsed="false">
      <c r="A583" s="38"/>
      <c r="B583" s="11"/>
      <c r="C583" s="10"/>
      <c r="D583" s="39"/>
      <c r="E583" s="12"/>
      <c r="F583" s="40"/>
      <c r="G583" s="18" t="str">
        <f aca="false">IF(AND(ISNUMBER($E583),ISNUMBER($F583),$D583&lt;&gt;"R"),$E583*$F583,"")</f>
        <v/>
      </c>
      <c r="H583" s="10"/>
    </row>
    <row r="584" customFormat="false" ht="15.75" hidden="false" customHeight="true" outlineLevel="0" collapsed="false">
      <c r="A584" s="38"/>
      <c r="B584" s="11"/>
      <c r="C584" s="10"/>
      <c r="D584" s="39"/>
      <c r="E584" s="12"/>
      <c r="F584" s="40"/>
      <c r="G584" s="18" t="str">
        <f aca="false">IF(AND(ISNUMBER($E584),ISNUMBER($F584),$D584&lt;&gt;"R"),$E584*$F584,"")</f>
        <v/>
      </c>
      <c r="H584" s="10"/>
    </row>
    <row r="585" customFormat="false" ht="15.75" hidden="false" customHeight="true" outlineLevel="0" collapsed="false">
      <c r="A585" s="38"/>
      <c r="B585" s="11"/>
      <c r="C585" s="10"/>
      <c r="D585" s="39"/>
      <c r="E585" s="12"/>
      <c r="F585" s="40"/>
      <c r="G585" s="18" t="str">
        <f aca="false">IF(AND(ISNUMBER($E585),ISNUMBER($F585),$D585&lt;&gt;"R"),$E585*$F585,"")</f>
        <v/>
      </c>
      <c r="H585" s="10"/>
    </row>
    <row r="586" customFormat="false" ht="15.75" hidden="false" customHeight="true" outlineLevel="0" collapsed="false">
      <c r="A586" s="38"/>
      <c r="B586" s="11"/>
      <c r="C586" s="10"/>
      <c r="D586" s="39"/>
      <c r="E586" s="12"/>
      <c r="F586" s="40"/>
      <c r="G586" s="18" t="str">
        <f aca="false">IF(AND(ISNUMBER($E586),ISNUMBER($F586),$D586&lt;&gt;"R"),$E586*$F586,"")</f>
        <v/>
      </c>
      <c r="H586" s="10"/>
    </row>
    <row r="587" customFormat="false" ht="15.75" hidden="false" customHeight="true" outlineLevel="0" collapsed="false">
      <c r="A587" s="38"/>
      <c r="B587" s="11"/>
      <c r="C587" s="10"/>
      <c r="D587" s="39"/>
      <c r="E587" s="12"/>
      <c r="F587" s="40"/>
      <c r="G587" s="18" t="str">
        <f aca="false">IF(AND(ISNUMBER($E587),ISNUMBER($F587),$D587&lt;&gt;"R"),$E587*$F587,"")</f>
        <v/>
      </c>
      <c r="H587" s="10"/>
    </row>
    <row r="588" customFormat="false" ht="15.75" hidden="false" customHeight="true" outlineLevel="0" collapsed="false">
      <c r="A588" s="38"/>
      <c r="B588" s="11"/>
      <c r="C588" s="10"/>
      <c r="D588" s="39"/>
      <c r="E588" s="12"/>
      <c r="F588" s="40"/>
      <c r="G588" s="18" t="str">
        <f aca="false">IF(AND(ISNUMBER($E588),ISNUMBER($F588),$D588&lt;&gt;"R"),$E588*$F588,"")</f>
        <v/>
      </c>
      <c r="H588" s="10"/>
    </row>
    <row r="589" customFormat="false" ht="15.75" hidden="false" customHeight="true" outlineLevel="0" collapsed="false">
      <c r="A589" s="38"/>
      <c r="B589" s="11"/>
      <c r="C589" s="10"/>
      <c r="D589" s="39"/>
      <c r="E589" s="12"/>
      <c r="F589" s="40"/>
      <c r="G589" s="18" t="str">
        <f aca="false">IF(AND(ISNUMBER($E589),ISNUMBER($F589),$D589&lt;&gt;"R"),$E589*$F589,"")</f>
        <v/>
      </c>
      <c r="H589" s="10"/>
    </row>
    <row r="590" customFormat="false" ht="15.75" hidden="false" customHeight="true" outlineLevel="0" collapsed="false">
      <c r="A590" s="38"/>
      <c r="B590" s="11"/>
      <c r="C590" s="10"/>
      <c r="D590" s="39"/>
      <c r="E590" s="12"/>
      <c r="F590" s="40"/>
      <c r="G590" s="18" t="str">
        <f aca="false">IF(AND(ISNUMBER($E590),ISNUMBER($F590),$D590&lt;&gt;"R"),$E590*$F590,"")</f>
        <v/>
      </c>
      <c r="H590" s="10"/>
    </row>
    <row r="591" customFormat="false" ht="15.75" hidden="false" customHeight="true" outlineLevel="0" collapsed="false">
      <c r="A591" s="38"/>
      <c r="B591" s="11"/>
      <c r="C591" s="10"/>
      <c r="D591" s="39"/>
      <c r="E591" s="12"/>
      <c r="F591" s="40"/>
      <c r="G591" s="18" t="str">
        <f aca="false">IF(AND(ISNUMBER($E591),ISNUMBER($F591),$D591&lt;&gt;"R"),$E591*$F591,"")</f>
        <v/>
      </c>
      <c r="H591" s="10"/>
    </row>
    <row r="592" customFormat="false" ht="15.75" hidden="false" customHeight="true" outlineLevel="0" collapsed="false">
      <c r="A592" s="38"/>
      <c r="B592" s="11"/>
      <c r="C592" s="10"/>
      <c r="D592" s="39"/>
      <c r="E592" s="12"/>
      <c r="F592" s="40"/>
      <c r="G592" s="18" t="str">
        <f aca="false">IF(AND(ISNUMBER($E592),ISNUMBER($F592),$D592&lt;&gt;"R"),$E592*$F592,"")</f>
        <v/>
      </c>
      <c r="H592" s="10"/>
    </row>
    <row r="593" customFormat="false" ht="15.75" hidden="false" customHeight="true" outlineLevel="0" collapsed="false">
      <c r="A593" s="38"/>
      <c r="B593" s="11"/>
      <c r="C593" s="10"/>
      <c r="D593" s="39"/>
      <c r="E593" s="12"/>
      <c r="F593" s="40"/>
      <c r="G593" s="18" t="str">
        <f aca="false">IF(AND(ISNUMBER($E593),ISNUMBER($F593),$D593&lt;&gt;"R"),$E593*$F593,"")</f>
        <v/>
      </c>
      <c r="H593" s="10"/>
    </row>
    <row r="594" customFormat="false" ht="15.75" hidden="false" customHeight="true" outlineLevel="0" collapsed="false">
      <c r="A594" s="38"/>
      <c r="B594" s="11"/>
      <c r="C594" s="10"/>
      <c r="D594" s="39"/>
      <c r="E594" s="12"/>
      <c r="F594" s="40"/>
      <c r="G594" s="18" t="str">
        <f aca="false">IF(AND(ISNUMBER($E594),ISNUMBER($F594),$D594&lt;&gt;"R"),$E594*$F594,"")</f>
        <v/>
      </c>
      <c r="H594" s="10"/>
    </row>
    <row r="595" customFormat="false" ht="15.75" hidden="false" customHeight="true" outlineLevel="0" collapsed="false">
      <c r="A595" s="38"/>
      <c r="B595" s="11"/>
      <c r="C595" s="10"/>
      <c r="D595" s="39"/>
      <c r="E595" s="12"/>
      <c r="F595" s="40"/>
      <c r="G595" s="18" t="str">
        <f aca="false">IF(AND(ISNUMBER($E595),ISNUMBER($F595),$D595&lt;&gt;"R"),$E595*$F595,"")</f>
        <v/>
      </c>
      <c r="H595" s="10"/>
    </row>
    <row r="596" customFormat="false" ht="15.75" hidden="false" customHeight="true" outlineLevel="0" collapsed="false">
      <c r="A596" s="38"/>
      <c r="B596" s="11"/>
      <c r="C596" s="10"/>
      <c r="D596" s="39"/>
      <c r="E596" s="12"/>
      <c r="F596" s="40"/>
      <c r="G596" s="18" t="str">
        <f aca="false">IF(AND(ISNUMBER($E596),ISNUMBER($F596),$D596&lt;&gt;"R"),$E596*$F596,"")</f>
        <v/>
      </c>
      <c r="H596" s="10"/>
    </row>
    <row r="597" customFormat="false" ht="15.75" hidden="false" customHeight="true" outlineLevel="0" collapsed="false">
      <c r="A597" s="38"/>
      <c r="B597" s="11"/>
      <c r="C597" s="10"/>
      <c r="D597" s="39"/>
      <c r="E597" s="12"/>
      <c r="F597" s="40"/>
      <c r="G597" s="18" t="str">
        <f aca="false">IF(AND(ISNUMBER($E597),ISNUMBER($F597),$D597&lt;&gt;"R"),$E597*$F597,"")</f>
        <v/>
      </c>
      <c r="H597" s="10"/>
    </row>
    <row r="598" customFormat="false" ht="15.75" hidden="false" customHeight="true" outlineLevel="0" collapsed="false">
      <c r="A598" s="38"/>
      <c r="B598" s="11"/>
      <c r="C598" s="10"/>
      <c r="D598" s="39"/>
      <c r="E598" s="12"/>
      <c r="F598" s="40"/>
      <c r="G598" s="18" t="str">
        <f aca="false">IF(AND(ISNUMBER($E598),ISNUMBER($F598),$D598&lt;&gt;"R"),$E598*$F598,"")</f>
        <v/>
      </c>
      <c r="H598" s="10"/>
    </row>
    <row r="599" customFormat="false" ht="15.75" hidden="false" customHeight="true" outlineLevel="0" collapsed="false">
      <c r="A599" s="38"/>
      <c r="B599" s="11"/>
      <c r="C599" s="10"/>
      <c r="D599" s="39"/>
      <c r="E599" s="12"/>
      <c r="F599" s="40"/>
      <c r="G599" s="18" t="str">
        <f aca="false">IF(AND(ISNUMBER($E599),ISNUMBER($F599),$D599&lt;&gt;"R"),$E599*$F599,"")</f>
        <v/>
      </c>
      <c r="H599" s="10"/>
    </row>
    <row r="600" customFormat="false" ht="15.75" hidden="false" customHeight="true" outlineLevel="0" collapsed="false">
      <c r="A600" s="38"/>
      <c r="B600" s="11"/>
      <c r="C600" s="10"/>
      <c r="D600" s="39"/>
      <c r="E600" s="12"/>
      <c r="F600" s="40"/>
      <c r="G600" s="18" t="str">
        <f aca="false">IF(AND(ISNUMBER($E600),ISNUMBER($F600),$D600&lt;&gt;"R"),$E600*$F600,"")</f>
        <v/>
      </c>
      <c r="H600" s="10"/>
    </row>
    <row r="601" customFormat="false" ht="15.75" hidden="false" customHeight="true" outlineLevel="0" collapsed="false">
      <c r="A601" s="38"/>
      <c r="B601" s="11"/>
      <c r="C601" s="10"/>
      <c r="D601" s="39"/>
      <c r="E601" s="12"/>
      <c r="F601" s="40"/>
      <c r="G601" s="18" t="str">
        <f aca="false">IF(AND(ISNUMBER($E601),ISNUMBER($F601),$D601&lt;&gt;"R"),$E601*$F601,"")</f>
        <v/>
      </c>
      <c r="H601" s="10"/>
    </row>
    <row r="602" customFormat="false" ht="15.75" hidden="false" customHeight="true" outlineLevel="0" collapsed="false">
      <c r="A602" s="38"/>
      <c r="B602" s="11"/>
      <c r="C602" s="10"/>
      <c r="D602" s="39"/>
      <c r="E602" s="12"/>
      <c r="F602" s="40"/>
      <c r="G602" s="18" t="str">
        <f aca="false">IF(AND(ISNUMBER($E602),ISNUMBER($F602),$D602&lt;&gt;"R"),$E602*$F602,"")</f>
        <v/>
      </c>
      <c r="H602" s="10"/>
    </row>
    <row r="603" customFormat="false" ht="15.75" hidden="false" customHeight="true" outlineLevel="0" collapsed="false">
      <c r="A603" s="38"/>
      <c r="B603" s="11"/>
      <c r="C603" s="10"/>
      <c r="D603" s="39"/>
      <c r="E603" s="12"/>
      <c r="F603" s="40"/>
      <c r="G603" s="18" t="str">
        <f aca="false">IF(AND(ISNUMBER($E603),ISNUMBER($F603),$D603&lt;&gt;"R"),$E603*$F603,"")</f>
        <v/>
      </c>
      <c r="H603" s="10"/>
    </row>
    <row r="604" customFormat="false" ht="15.75" hidden="false" customHeight="true" outlineLevel="0" collapsed="false">
      <c r="A604" s="38"/>
      <c r="B604" s="11"/>
      <c r="C604" s="10"/>
      <c r="D604" s="39"/>
      <c r="E604" s="12"/>
      <c r="F604" s="40"/>
      <c r="G604" s="18" t="str">
        <f aca="false">IF(AND(ISNUMBER($E604),ISNUMBER($F604),$D604&lt;&gt;"R"),$E604*$F604,"")</f>
        <v/>
      </c>
      <c r="H604" s="10"/>
    </row>
    <row r="605" customFormat="false" ht="15.75" hidden="false" customHeight="true" outlineLevel="0" collapsed="false">
      <c r="A605" s="38"/>
      <c r="B605" s="11"/>
      <c r="C605" s="10"/>
      <c r="D605" s="39"/>
      <c r="E605" s="12"/>
      <c r="F605" s="40"/>
      <c r="G605" s="18" t="str">
        <f aca="false">IF(AND(ISNUMBER($E605),ISNUMBER($F605),$D605&lt;&gt;"R"),$E605*$F605,"")</f>
        <v/>
      </c>
      <c r="H605" s="10"/>
    </row>
    <row r="606" customFormat="false" ht="15.75" hidden="false" customHeight="true" outlineLevel="0" collapsed="false">
      <c r="A606" s="38"/>
      <c r="B606" s="11"/>
      <c r="C606" s="10"/>
      <c r="D606" s="39"/>
      <c r="E606" s="12"/>
      <c r="F606" s="40"/>
      <c r="G606" s="18" t="str">
        <f aca="false">IF(AND(ISNUMBER($E606),ISNUMBER($F606),$D606&lt;&gt;"R"),$E606*$F606,"")</f>
        <v/>
      </c>
      <c r="H606" s="10"/>
    </row>
    <row r="607" customFormat="false" ht="15.75" hidden="false" customHeight="true" outlineLevel="0" collapsed="false">
      <c r="A607" s="38"/>
      <c r="B607" s="11"/>
      <c r="C607" s="10"/>
      <c r="D607" s="39"/>
      <c r="E607" s="12"/>
      <c r="F607" s="40"/>
      <c r="G607" s="18" t="str">
        <f aca="false">IF(AND(ISNUMBER($E607),ISNUMBER($F607),$D607&lt;&gt;"R"),$E607*$F607,"")</f>
        <v/>
      </c>
      <c r="H607" s="10"/>
    </row>
    <row r="608" customFormat="false" ht="15.75" hidden="false" customHeight="true" outlineLevel="0" collapsed="false">
      <c r="A608" s="38"/>
      <c r="B608" s="11"/>
      <c r="C608" s="10"/>
      <c r="D608" s="39"/>
      <c r="E608" s="12"/>
      <c r="F608" s="40"/>
      <c r="G608" s="18" t="str">
        <f aca="false">IF(AND(ISNUMBER($E608),ISNUMBER($F608),$D608&lt;&gt;"R"),$E608*$F608,"")</f>
        <v/>
      </c>
      <c r="H608" s="10"/>
    </row>
    <row r="609" customFormat="false" ht="15.75" hidden="false" customHeight="true" outlineLevel="0" collapsed="false">
      <c r="A609" s="38"/>
      <c r="B609" s="11"/>
      <c r="C609" s="10"/>
      <c r="D609" s="39"/>
      <c r="E609" s="12"/>
      <c r="F609" s="40"/>
      <c r="G609" s="18" t="str">
        <f aca="false">IF(AND(ISNUMBER($E609),ISNUMBER($F609),$D609&lt;&gt;"R"),$E609*$F609,"")</f>
        <v/>
      </c>
      <c r="H609" s="10"/>
    </row>
    <row r="610" customFormat="false" ht="15.75" hidden="false" customHeight="true" outlineLevel="0" collapsed="false">
      <c r="A610" s="38"/>
      <c r="B610" s="11"/>
      <c r="C610" s="10"/>
      <c r="D610" s="39"/>
      <c r="E610" s="12"/>
      <c r="F610" s="40"/>
      <c r="G610" s="18" t="str">
        <f aca="false">IF(AND(ISNUMBER($E610),ISNUMBER($F610),$D610&lt;&gt;"R"),$E610*$F610,"")</f>
        <v/>
      </c>
      <c r="H610" s="10"/>
    </row>
    <row r="611" customFormat="false" ht="15.75" hidden="false" customHeight="true" outlineLevel="0" collapsed="false">
      <c r="A611" s="38"/>
      <c r="B611" s="11"/>
      <c r="C611" s="10"/>
      <c r="D611" s="39"/>
      <c r="E611" s="12"/>
      <c r="F611" s="40"/>
      <c r="G611" s="18" t="str">
        <f aca="false">IF(AND(ISNUMBER($E611),ISNUMBER($F611),$D611&lt;&gt;"R"),$E611*$F611,"")</f>
        <v/>
      </c>
      <c r="H611" s="10"/>
    </row>
    <row r="612" customFormat="false" ht="15.75" hidden="false" customHeight="true" outlineLevel="0" collapsed="false">
      <c r="A612" s="38"/>
      <c r="B612" s="11"/>
      <c r="C612" s="10"/>
      <c r="D612" s="39"/>
      <c r="E612" s="12"/>
      <c r="F612" s="40"/>
      <c r="G612" s="18" t="str">
        <f aca="false">IF(AND(ISNUMBER($E612),ISNUMBER($F612),$D612&lt;&gt;"R"),$E612*$F612,"")</f>
        <v/>
      </c>
      <c r="H612" s="10"/>
    </row>
    <row r="613" customFormat="false" ht="15.75" hidden="false" customHeight="true" outlineLevel="0" collapsed="false">
      <c r="A613" s="38"/>
      <c r="B613" s="11"/>
      <c r="C613" s="10"/>
      <c r="D613" s="39"/>
      <c r="E613" s="12"/>
      <c r="F613" s="40"/>
      <c r="G613" s="18" t="str">
        <f aca="false">IF(AND(ISNUMBER($E613),ISNUMBER($F613),$D613&lt;&gt;"R"),$E613*$F613,"")</f>
        <v/>
      </c>
      <c r="H613" s="10"/>
    </row>
    <row r="614" customFormat="false" ht="15.75" hidden="false" customHeight="true" outlineLevel="0" collapsed="false">
      <c r="A614" s="38"/>
      <c r="B614" s="11"/>
      <c r="C614" s="10"/>
      <c r="D614" s="39"/>
      <c r="E614" s="12"/>
      <c r="F614" s="40"/>
      <c r="G614" s="18" t="str">
        <f aca="false">IF(AND(ISNUMBER($E614),ISNUMBER($F614),$D614&lt;&gt;"R"),$E614*$F614,"")</f>
        <v/>
      </c>
      <c r="H614" s="10"/>
    </row>
    <row r="615" customFormat="false" ht="15.75" hidden="false" customHeight="true" outlineLevel="0" collapsed="false">
      <c r="A615" s="38"/>
      <c r="B615" s="11"/>
      <c r="C615" s="10"/>
      <c r="D615" s="39"/>
      <c r="E615" s="12"/>
      <c r="F615" s="40"/>
      <c r="G615" s="18" t="str">
        <f aca="false">IF(AND(ISNUMBER($E615),ISNUMBER($F615),$D615&lt;&gt;"R"),$E615*$F615,"")</f>
        <v/>
      </c>
      <c r="H615" s="10"/>
    </row>
    <row r="616" customFormat="false" ht="15.75" hidden="false" customHeight="true" outlineLevel="0" collapsed="false">
      <c r="A616" s="38"/>
      <c r="B616" s="11"/>
      <c r="C616" s="10"/>
      <c r="D616" s="39"/>
      <c r="E616" s="12"/>
      <c r="F616" s="40"/>
      <c r="G616" s="18" t="str">
        <f aca="false">IF(AND(ISNUMBER($E616),ISNUMBER($F616),$D616&lt;&gt;"R"),$E616*$F616,"")</f>
        <v/>
      </c>
      <c r="H616" s="10"/>
    </row>
    <row r="617" customFormat="false" ht="15.75" hidden="false" customHeight="true" outlineLevel="0" collapsed="false">
      <c r="A617" s="38"/>
      <c r="B617" s="11"/>
      <c r="C617" s="10"/>
      <c r="D617" s="39"/>
      <c r="E617" s="12"/>
      <c r="F617" s="40"/>
      <c r="G617" s="18" t="str">
        <f aca="false">IF(AND(ISNUMBER($E617),ISNUMBER($F617),$D617&lt;&gt;"R"),$E617*$F617,"")</f>
        <v/>
      </c>
      <c r="H617" s="10"/>
    </row>
    <row r="618" customFormat="false" ht="15.75" hidden="false" customHeight="true" outlineLevel="0" collapsed="false">
      <c r="A618" s="38"/>
      <c r="B618" s="11"/>
      <c r="C618" s="10"/>
      <c r="D618" s="39"/>
      <c r="E618" s="12"/>
      <c r="F618" s="40"/>
      <c r="G618" s="18" t="str">
        <f aca="false">IF(AND(ISNUMBER($E618),ISNUMBER($F618),$D618&lt;&gt;"R"),$E618*$F618,"")</f>
        <v/>
      </c>
      <c r="H618" s="10"/>
    </row>
    <row r="619" customFormat="false" ht="15.75" hidden="false" customHeight="true" outlineLevel="0" collapsed="false">
      <c r="A619" s="38"/>
      <c r="B619" s="11"/>
      <c r="C619" s="10"/>
      <c r="D619" s="39"/>
      <c r="E619" s="12"/>
      <c r="F619" s="40"/>
      <c r="G619" s="18" t="str">
        <f aca="false">IF(AND(ISNUMBER($E619),ISNUMBER($F619),$D619&lt;&gt;"R"),$E619*$F619,"")</f>
        <v/>
      </c>
      <c r="H619" s="10"/>
    </row>
    <row r="620" customFormat="false" ht="15.75" hidden="false" customHeight="true" outlineLevel="0" collapsed="false">
      <c r="A620" s="38"/>
      <c r="B620" s="11"/>
      <c r="C620" s="10"/>
      <c r="D620" s="39"/>
      <c r="E620" s="12"/>
      <c r="F620" s="40"/>
      <c r="G620" s="18" t="str">
        <f aca="false">IF(AND(ISNUMBER($E620),ISNUMBER($F620),$D620&lt;&gt;"R"),$E620*$F620,"")</f>
        <v/>
      </c>
      <c r="H620" s="10"/>
    </row>
    <row r="621" customFormat="false" ht="15.75" hidden="false" customHeight="true" outlineLevel="0" collapsed="false">
      <c r="A621" s="38"/>
      <c r="B621" s="11"/>
      <c r="C621" s="10"/>
      <c r="D621" s="39"/>
      <c r="E621" s="12"/>
      <c r="F621" s="40"/>
      <c r="G621" s="18" t="str">
        <f aca="false">IF(AND(ISNUMBER($E621),ISNUMBER($F621),$D621&lt;&gt;"R"),$E621*$F621,"")</f>
        <v/>
      </c>
      <c r="H621" s="10"/>
    </row>
    <row r="622" customFormat="false" ht="15.75" hidden="false" customHeight="true" outlineLevel="0" collapsed="false">
      <c r="A622" s="38"/>
      <c r="B622" s="11"/>
      <c r="C622" s="10"/>
      <c r="D622" s="39"/>
      <c r="E622" s="12"/>
      <c r="F622" s="40"/>
      <c r="G622" s="18" t="str">
        <f aca="false">IF(AND(ISNUMBER($E622),ISNUMBER($F622),$D622&lt;&gt;"R"),$E622*$F622,"")</f>
        <v/>
      </c>
      <c r="H622" s="10"/>
    </row>
    <row r="623" customFormat="false" ht="15.75" hidden="false" customHeight="true" outlineLevel="0" collapsed="false">
      <c r="A623" s="38"/>
      <c r="B623" s="11"/>
      <c r="C623" s="10"/>
      <c r="D623" s="39"/>
      <c r="E623" s="12"/>
      <c r="F623" s="40"/>
      <c r="G623" s="18" t="str">
        <f aca="false">IF(AND(ISNUMBER($E623),ISNUMBER($F623),$D623&lt;&gt;"R"),$E623*$F623,"")</f>
        <v/>
      </c>
      <c r="H623" s="10"/>
    </row>
    <row r="624" customFormat="false" ht="15.75" hidden="false" customHeight="true" outlineLevel="0" collapsed="false">
      <c r="A624" s="38"/>
      <c r="B624" s="11"/>
      <c r="C624" s="10"/>
      <c r="D624" s="39"/>
      <c r="E624" s="12"/>
      <c r="F624" s="40"/>
      <c r="G624" s="18" t="str">
        <f aca="false">IF(AND(ISNUMBER($E624),ISNUMBER($F624),$D624&lt;&gt;"R"),$E624*$F624,"")</f>
        <v/>
      </c>
      <c r="H624" s="10"/>
    </row>
    <row r="625" customFormat="false" ht="15.75" hidden="false" customHeight="true" outlineLevel="0" collapsed="false">
      <c r="A625" s="38"/>
      <c r="B625" s="11"/>
      <c r="C625" s="10"/>
      <c r="D625" s="39"/>
      <c r="E625" s="12"/>
      <c r="F625" s="40"/>
      <c r="G625" s="18" t="str">
        <f aca="false">IF(AND(ISNUMBER($E625),ISNUMBER($F625),$D625&lt;&gt;"R"),$E625*$F625,"")</f>
        <v/>
      </c>
      <c r="H625" s="10"/>
    </row>
    <row r="626" customFormat="false" ht="15.75" hidden="false" customHeight="true" outlineLevel="0" collapsed="false">
      <c r="A626" s="38"/>
      <c r="B626" s="11"/>
      <c r="C626" s="10"/>
      <c r="D626" s="39"/>
      <c r="E626" s="12"/>
      <c r="F626" s="40"/>
      <c r="G626" s="18" t="str">
        <f aca="false">IF(AND(ISNUMBER($E626),ISNUMBER($F626),$D626&lt;&gt;"R"),$E626*$F626,"")</f>
        <v/>
      </c>
      <c r="H626" s="10"/>
    </row>
    <row r="627" customFormat="false" ht="15.75" hidden="false" customHeight="true" outlineLevel="0" collapsed="false">
      <c r="A627" s="38"/>
      <c r="B627" s="11"/>
      <c r="C627" s="10"/>
      <c r="D627" s="39"/>
      <c r="E627" s="12"/>
      <c r="F627" s="40"/>
      <c r="G627" s="18" t="str">
        <f aca="false">IF(AND(ISNUMBER($E627),ISNUMBER($F627),$D627&lt;&gt;"R"),$E627*$F627,"")</f>
        <v/>
      </c>
      <c r="H627" s="10"/>
    </row>
    <row r="628" customFormat="false" ht="15.75" hidden="false" customHeight="true" outlineLevel="0" collapsed="false">
      <c r="A628" s="38"/>
      <c r="B628" s="11"/>
      <c r="C628" s="10"/>
      <c r="D628" s="39"/>
      <c r="E628" s="12"/>
      <c r="F628" s="40"/>
      <c r="G628" s="18" t="str">
        <f aca="false">IF(AND(ISNUMBER($E628),ISNUMBER($F628),$D628&lt;&gt;"R"),$E628*$F628,"")</f>
        <v/>
      </c>
      <c r="H628" s="10"/>
    </row>
    <row r="629" customFormat="false" ht="15.75" hidden="false" customHeight="true" outlineLevel="0" collapsed="false">
      <c r="A629" s="38"/>
      <c r="B629" s="11"/>
      <c r="C629" s="10"/>
      <c r="D629" s="39"/>
      <c r="E629" s="12"/>
      <c r="F629" s="40"/>
      <c r="G629" s="18" t="str">
        <f aca="false">IF(AND(ISNUMBER($E629),ISNUMBER($F629),$D629&lt;&gt;"R"),$E629*$F629,"")</f>
        <v/>
      </c>
      <c r="H629" s="10"/>
    </row>
    <row r="630" customFormat="false" ht="15.75" hidden="false" customHeight="true" outlineLevel="0" collapsed="false">
      <c r="A630" s="38"/>
      <c r="B630" s="11"/>
      <c r="C630" s="10"/>
      <c r="D630" s="39"/>
      <c r="E630" s="12"/>
      <c r="F630" s="40"/>
      <c r="G630" s="18" t="str">
        <f aca="false">IF(AND(ISNUMBER($E630),ISNUMBER($F630),$D630&lt;&gt;"R"),$E630*$F630,"")</f>
        <v/>
      </c>
      <c r="H630" s="10"/>
    </row>
    <row r="631" customFormat="false" ht="15.75" hidden="false" customHeight="true" outlineLevel="0" collapsed="false">
      <c r="A631" s="38"/>
      <c r="B631" s="11"/>
      <c r="C631" s="10"/>
      <c r="D631" s="39"/>
      <c r="E631" s="12"/>
      <c r="F631" s="40"/>
      <c r="G631" s="18" t="str">
        <f aca="false">IF(AND(ISNUMBER($E631),ISNUMBER($F631),$D631&lt;&gt;"R"),$E631*$F631,"")</f>
        <v/>
      </c>
      <c r="H631" s="10"/>
    </row>
    <row r="632" customFormat="false" ht="15.75" hidden="false" customHeight="true" outlineLevel="0" collapsed="false">
      <c r="A632" s="38"/>
      <c r="B632" s="11"/>
      <c r="C632" s="10"/>
      <c r="D632" s="39"/>
      <c r="E632" s="12"/>
      <c r="F632" s="40"/>
      <c r="G632" s="18" t="str">
        <f aca="false">IF(AND(ISNUMBER($E632),ISNUMBER($F632),$D632&lt;&gt;"R"),$E632*$F632,"")</f>
        <v/>
      </c>
      <c r="H632" s="10"/>
    </row>
    <row r="633" customFormat="false" ht="15.75" hidden="false" customHeight="true" outlineLevel="0" collapsed="false">
      <c r="A633" s="38"/>
      <c r="B633" s="11"/>
      <c r="C633" s="10"/>
      <c r="D633" s="39"/>
      <c r="E633" s="12"/>
      <c r="F633" s="40"/>
      <c r="G633" s="18" t="str">
        <f aca="false">IF(AND(ISNUMBER($E633),ISNUMBER($F633),$D633&lt;&gt;"R"),$E633*$F633,"")</f>
        <v/>
      </c>
      <c r="H633" s="10"/>
    </row>
    <row r="634" customFormat="false" ht="15.75" hidden="false" customHeight="true" outlineLevel="0" collapsed="false">
      <c r="A634" s="38"/>
      <c r="B634" s="11"/>
      <c r="C634" s="10"/>
      <c r="D634" s="39"/>
      <c r="E634" s="12"/>
      <c r="F634" s="40"/>
      <c r="G634" s="18" t="str">
        <f aca="false">IF(AND(ISNUMBER($E634),ISNUMBER($F634),$D634&lt;&gt;"R"),$E634*$F634,"")</f>
        <v/>
      </c>
      <c r="H634" s="10"/>
    </row>
    <row r="635" customFormat="false" ht="15.75" hidden="false" customHeight="true" outlineLevel="0" collapsed="false">
      <c r="A635" s="38"/>
      <c r="B635" s="11"/>
      <c r="C635" s="10"/>
      <c r="D635" s="39"/>
      <c r="E635" s="12"/>
      <c r="F635" s="40"/>
      <c r="G635" s="18" t="str">
        <f aca="false">IF(AND(ISNUMBER($E635),ISNUMBER($F635),$D635&lt;&gt;"R"),$E635*$F635,"")</f>
        <v/>
      </c>
      <c r="H635" s="10"/>
    </row>
    <row r="636" customFormat="false" ht="15.75" hidden="false" customHeight="true" outlineLevel="0" collapsed="false">
      <c r="A636" s="38"/>
      <c r="B636" s="11"/>
      <c r="C636" s="10"/>
      <c r="D636" s="39"/>
      <c r="E636" s="12"/>
      <c r="F636" s="40"/>
      <c r="G636" s="18" t="str">
        <f aca="false">IF(AND(ISNUMBER($E636),ISNUMBER($F636),$D636&lt;&gt;"R"),$E636*$F636,"")</f>
        <v/>
      </c>
      <c r="H636" s="10"/>
    </row>
    <row r="637" customFormat="false" ht="15.75" hidden="false" customHeight="true" outlineLevel="0" collapsed="false">
      <c r="A637" s="38"/>
      <c r="B637" s="11"/>
      <c r="C637" s="10"/>
      <c r="D637" s="39"/>
      <c r="E637" s="12"/>
      <c r="F637" s="40"/>
      <c r="G637" s="18" t="str">
        <f aca="false">IF(AND(ISNUMBER($E637),ISNUMBER($F637),$D637&lt;&gt;"R"),$E637*$F637,"")</f>
        <v/>
      </c>
      <c r="H637" s="10"/>
    </row>
    <row r="638" customFormat="false" ht="15.75" hidden="false" customHeight="true" outlineLevel="0" collapsed="false">
      <c r="A638" s="38"/>
      <c r="B638" s="11"/>
      <c r="C638" s="10"/>
      <c r="D638" s="39"/>
      <c r="E638" s="12"/>
      <c r="F638" s="40"/>
      <c r="G638" s="18" t="str">
        <f aca="false">IF(AND(ISNUMBER($E638),ISNUMBER($F638),$D638&lt;&gt;"R"),$E638*$F638,"")</f>
        <v/>
      </c>
      <c r="H638" s="10"/>
    </row>
    <row r="639" customFormat="false" ht="15.75" hidden="false" customHeight="true" outlineLevel="0" collapsed="false">
      <c r="A639" s="38"/>
      <c r="B639" s="11"/>
      <c r="C639" s="10"/>
      <c r="D639" s="39"/>
      <c r="E639" s="12"/>
      <c r="F639" s="40"/>
      <c r="G639" s="18" t="str">
        <f aca="false">IF(AND(ISNUMBER($E639),ISNUMBER($F639),$D639&lt;&gt;"R"),$E639*$F639,"")</f>
        <v/>
      </c>
      <c r="H639" s="10"/>
    </row>
    <row r="640" customFormat="false" ht="15.75" hidden="false" customHeight="true" outlineLevel="0" collapsed="false">
      <c r="A640" s="38"/>
      <c r="B640" s="11"/>
      <c r="C640" s="10"/>
      <c r="D640" s="39"/>
      <c r="E640" s="12"/>
      <c r="F640" s="40"/>
      <c r="G640" s="18" t="str">
        <f aca="false">IF(AND(ISNUMBER($E640),ISNUMBER($F640),$D640&lt;&gt;"R"),$E640*$F640,"")</f>
        <v/>
      </c>
      <c r="H640" s="10"/>
    </row>
    <row r="641" customFormat="false" ht="15.75" hidden="false" customHeight="true" outlineLevel="0" collapsed="false">
      <c r="A641" s="38"/>
      <c r="B641" s="11"/>
      <c r="C641" s="10"/>
      <c r="D641" s="39"/>
      <c r="E641" s="12"/>
      <c r="F641" s="40"/>
      <c r="G641" s="18" t="str">
        <f aca="false">IF(AND(ISNUMBER($E641),ISNUMBER($F641),$D641&lt;&gt;"R"),$E641*$F641,"")</f>
        <v/>
      </c>
      <c r="H641" s="10"/>
    </row>
    <row r="642" customFormat="false" ht="15.75" hidden="false" customHeight="true" outlineLevel="0" collapsed="false">
      <c r="A642" s="38"/>
      <c r="B642" s="11"/>
      <c r="C642" s="10"/>
      <c r="D642" s="39"/>
      <c r="E642" s="12"/>
      <c r="F642" s="40"/>
      <c r="G642" s="18" t="str">
        <f aca="false">IF(AND(ISNUMBER($E642),ISNUMBER($F642),$D642&lt;&gt;"R"),$E642*$F642,"")</f>
        <v/>
      </c>
      <c r="H642" s="10"/>
    </row>
    <row r="643" customFormat="false" ht="15.75" hidden="false" customHeight="true" outlineLevel="0" collapsed="false">
      <c r="A643" s="38"/>
      <c r="B643" s="11"/>
      <c r="C643" s="10"/>
      <c r="D643" s="39"/>
      <c r="E643" s="12"/>
      <c r="F643" s="40"/>
      <c r="G643" s="18" t="str">
        <f aca="false">IF(AND(ISNUMBER($E643),ISNUMBER($F643),$D643&lt;&gt;"R"),$E643*$F643,"")</f>
        <v/>
      </c>
      <c r="H643" s="10"/>
    </row>
    <row r="644" customFormat="false" ht="15.75" hidden="false" customHeight="true" outlineLevel="0" collapsed="false">
      <c r="A644" s="38"/>
      <c r="B644" s="11"/>
      <c r="C644" s="10"/>
      <c r="D644" s="39"/>
      <c r="E644" s="12"/>
      <c r="F644" s="40"/>
      <c r="G644" s="18" t="str">
        <f aca="false">IF(AND(ISNUMBER($E644),ISNUMBER($F644),$D644&lt;&gt;"R"),$E644*$F644,"")</f>
        <v/>
      </c>
      <c r="H644" s="10"/>
    </row>
    <row r="645" customFormat="false" ht="15.75" hidden="false" customHeight="true" outlineLevel="0" collapsed="false">
      <c r="A645" s="38"/>
      <c r="B645" s="11"/>
      <c r="C645" s="10"/>
      <c r="D645" s="39"/>
      <c r="E645" s="12"/>
      <c r="F645" s="40"/>
      <c r="G645" s="18" t="str">
        <f aca="false">IF(AND(ISNUMBER($E645),ISNUMBER($F645),$D645&lt;&gt;"R"),$E645*$F645,"")</f>
        <v/>
      </c>
      <c r="H645" s="10"/>
    </row>
    <row r="646" customFormat="false" ht="15.75" hidden="false" customHeight="true" outlineLevel="0" collapsed="false">
      <c r="A646" s="38"/>
      <c r="B646" s="11"/>
      <c r="C646" s="10"/>
      <c r="D646" s="39"/>
      <c r="E646" s="12"/>
      <c r="F646" s="40"/>
      <c r="G646" s="18" t="str">
        <f aca="false">IF(AND(ISNUMBER($E646),ISNUMBER($F646),$D646&lt;&gt;"R"),$E646*$F646,"")</f>
        <v/>
      </c>
      <c r="H646" s="10"/>
    </row>
    <row r="647" customFormat="false" ht="15.75" hidden="false" customHeight="true" outlineLevel="0" collapsed="false">
      <c r="A647" s="38"/>
      <c r="B647" s="11"/>
      <c r="C647" s="10"/>
      <c r="D647" s="39"/>
      <c r="E647" s="12"/>
      <c r="F647" s="40"/>
      <c r="G647" s="18" t="str">
        <f aca="false">IF(AND(ISNUMBER($E647),ISNUMBER($F647),$D647&lt;&gt;"R"),$E647*$F647,"")</f>
        <v/>
      </c>
      <c r="H647" s="10"/>
    </row>
    <row r="648" customFormat="false" ht="15.75" hidden="false" customHeight="true" outlineLevel="0" collapsed="false">
      <c r="A648" s="38"/>
      <c r="B648" s="11"/>
      <c r="C648" s="10"/>
      <c r="D648" s="39"/>
      <c r="E648" s="12"/>
      <c r="F648" s="40"/>
      <c r="G648" s="18" t="str">
        <f aca="false">IF(AND(ISNUMBER($E648),ISNUMBER($F648),$D648&lt;&gt;"R"),$E648*$F648,"")</f>
        <v/>
      </c>
      <c r="H648" s="10"/>
    </row>
    <row r="649" customFormat="false" ht="15.75" hidden="false" customHeight="true" outlineLevel="0" collapsed="false">
      <c r="A649" s="38"/>
      <c r="B649" s="11"/>
      <c r="C649" s="10"/>
      <c r="D649" s="39"/>
      <c r="E649" s="12"/>
      <c r="F649" s="40"/>
      <c r="G649" s="18" t="str">
        <f aca="false">IF(AND(ISNUMBER($E649),ISNUMBER($F649),$D649&lt;&gt;"R"),$E649*$F649,"")</f>
        <v/>
      </c>
      <c r="H649" s="10"/>
    </row>
    <row r="650" customFormat="false" ht="15.75" hidden="false" customHeight="true" outlineLevel="0" collapsed="false">
      <c r="A650" s="38"/>
      <c r="B650" s="11"/>
      <c r="C650" s="10"/>
      <c r="D650" s="39"/>
      <c r="E650" s="12"/>
      <c r="F650" s="40"/>
      <c r="G650" s="18" t="str">
        <f aca="false">IF(AND(ISNUMBER($E650),ISNUMBER($F650),$D650&lt;&gt;"R"),$E650*$F650,"")</f>
        <v/>
      </c>
      <c r="H650" s="10"/>
    </row>
    <row r="651" customFormat="false" ht="15.75" hidden="false" customHeight="true" outlineLevel="0" collapsed="false">
      <c r="A651" s="38"/>
      <c r="B651" s="11"/>
      <c r="C651" s="10"/>
      <c r="D651" s="39"/>
      <c r="E651" s="12"/>
      <c r="F651" s="40"/>
      <c r="G651" s="18" t="str">
        <f aca="false">IF(AND(ISNUMBER($E651),ISNUMBER($F651),$D651&lt;&gt;"R"),$E651*$F651,"")</f>
        <v/>
      </c>
      <c r="H651" s="10"/>
    </row>
    <row r="652" customFormat="false" ht="15.75" hidden="false" customHeight="true" outlineLevel="0" collapsed="false">
      <c r="A652" s="38"/>
      <c r="B652" s="11"/>
      <c r="C652" s="10"/>
      <c r="D652" s="39"/>
      <c r="E652" s="12"/>
      <c r="F652" s="40"/>
      <c r="G652" s="18" t="str">
        <f aca="false">IF(AND(ISNUMBER($E652),ISNUMBER($F652),$D652&lt;&gt;"R"),$E652*$F652,"")</f>
        <v/>
      </c>
      <c r="H652" s="10"/>
    </row>
    <row r="653" customFormat="false" ht="15.75" hidden="false" customHeight="true" outlineLevel="0" collapsed="false">
      <c r="A653" s="38"/>
      <c r="B653" s="11"/>
      <c r="C653" s="10"/>
      <c r="D653" s="39"/>
      <c r="E653" s="12"/>
      <c r="F653" s="40"/>
      <c r="G653" s="18" t="str">
        <f aca="false">IF(AND(ISNUMBER($E653),ISNUMBER($F653),$D653&lt;&gt;"R"),$E653*$F653,"")</f>
        <v/>
      </c>
      <c r="H653" s="10"/>
    </row>
    <row r="654" customFormat="false" ht="15.75" hidden="false" customHeight="true" outlineLevel="0" collapsed="false">
      <c r="A654" s="38"/>
      <c r="B654" s="11"/>
      <c r="C654" s="10"/>
      <c r="D654" s="39"/>
      <c r="E654" s="12"/>
      <c r="F654" s="40"/>
      <c r="G654" s="18" t="str">
        <f aca="false">IF(AND(ISNUMBER($E654),ISNUMBER($F654),$D654&lt;&gt;"R"),$E654*$F654,"")</f>
        <v/>
      </c>
      <c r="H654" s="10"/>
    </row>
    <row r="655" customFormat="false" ht="15.75" hidden="false" customHeight="true" outlineLevel="0" collapsed="false">
      <c r="A655" s="38"/>
      <c r="B655" s="11"/>
      <c r="C655" s="10"/>
      <c r="D655" s="39"/>
      <c r="E655" s="12"/>
      <c r="F655" s="40"/>
      <c r="G655" s="18" t="str">
        <f aca="false">IF(AND(ISNUMBER($E655),ISNUMBER($F655),$D655&lt;&gt;"R"),$E655*$F655,"")</f>
        <v/>
      </c>
      <c r="H655" s="10"/>
    </row>
    <row r="656" customFormat="false" ht="15.75" hidden="false" customHeight="true" outlineLevel="0" collapsed="false">
      <c r="A656" s="38"/>
      <c r="B656" s="11"/>
      <c r="C656" s="10"/>
      <c r="D656" s="39"/>
      <c r="E656" s="12"/>
      <c r="F656" s="40"/>
      <c r="G656" s="18" t="str">
        <f aca="false">IF(AND(ISNUMBER($E656),ISNUMBER($F656),$D656&lt;&gt;"R"),$E656*$F656,"")</f>
        <v/>
      </c>
      <c r="H656" s="10"/>
    </row>
    <row r="657" customFormat="false" ht="15.75" hidden="false" customHeight="true" outlineLevel="0" collapsed="false">
      <c r="A657" s="38"/>
      <c r="B657" s="11"/>
      <c r="C657" s="10"/>
      <c r="D657" s="39"/>
      <c r="E657" s="12"/>
      <c r="F657" s="40"/>
      <c r="G657" s="18" t="str">
        <f aca="false">IF(AND(ISNUMBER($E657),ISNUMBER($F657),$D657&lt;&gt;"R"),$E657*$F657,"")</f>
        <v/>
      </c>
      <c r="H657" s="10"/>
    </row>
    <row r="658" customFormat="false" ht="15.75" hidden="false" customHeight="true" outlineLevel="0" collapsed="false">
      <c r="A658" s="38"/>
      <c r="B658" s="11"/>
      <c r="C658" s="10"/>
      <c r="D658" s="39"/>
      <c r="E658" s="12"/>
      <c r="F658" s="40"/>
      <c r="G658" s="18" t="str">
        <f aca="false">IF(AND(ISNUMBER($E658),ISNUMBER($F658),$D658&lt;&gt;"R"),$E658*$F658,"")</f>
        <v/>
      </c>
      <c r="H658" s="10"/>
    </row>
    <row r="659" customFormat="false" ht="15.75" hidden="false" customHeight="true" outlineLevel="0" collapsed="false">
      <c r="A659" s="38"/>
      <c r="B659" s="11"/>
      <c r="C659" s="10"/>
      <c r="D659" s="39"/>
      <c r="E659" s="12"/>
      <c r="F659" s="40"/>
      <c r="G659" s="18" t="str">
        <f aca="false">IF(AND(ISNUMBER($E659),ISNUMBER($F659),$D659&lt;&gt;"R"),$E659*$F659,"")</f>
        <v/>
      </c>
      <c r="H659" s="10"/>
    </row>
    <row r="660" customFormat="false" ht="15.75" hidden="false" customHeight="true" outlineLevel="0" collapsed="false">
      <c r="A660" s="38"/>
      <c r="B660" s="11"/>
      <c r="C660" s="10"/>
      <c r="D660" s="39"/>
      <c r="E660" s="12"/>
      <c r="F660" s="40"/>
      <c r="G660" s="18" t="str">
        <f aca="false">IF(AND(ISNUMBER($E660),ISNUMBER($F660),$D660&lt;&gt;"R"),$E660*$F660,"")</f>
        <v/>
      </c>
      <c r="H660" s="10"/>
    </row>
    <row r="661" customFormat="false" ht="15.75" hidden="false" customHeight="true" outlineLevel="0" collapsed="false">
      <c r="A661" s="38"/>
      <c r="B661" s="11"/>
      <c r="C661" s="10"/>
      <c r="D661" s="39"/>
      <c r="E661" s="12"/>
      <c r="F661" s="40"/>
      <c r="G661" s="18" t="str">
        <f aca="false">IF(AND(ISNUMBER($E661),ISNUMBER($F661),$D661&lt;&gt;"R"),$E661*$F661,"")</f>
        <v/>
      </c>
      <c r="H661" s="10"/>
    </row>
    <row r="662" customFormat="false" ht="15.75" hidden="false" customHeight="true" outlineLevel="0" collapsed="false">
      <c r="A662" s="38"/>
      <c r="B662" s="11"/>
      <c r="C662" s="10"/>
      <c r="D662" s="39"/>
      <c r="E662" s="12"/>
      <c r="F662" s="40"/>
      <c r="G662" s="18" t="str">
        <f aca="false">IF(AND(ISNUMBER($E662),ISNUMBER($F662),$D662&lt;&gt;"R"),$E662*$F662,"")</f>
        <v/>
      </c>
      <c r="H662" s="10"/>
    </row>
    <row r="663" customFormat="false" ht="15.75" hidden="false" customHeight="true" outlineLevel="0" collapsed="false">
      <c r="A663" s="38"/>
      <c r="B663" s="11"/>
      <c r="C663" s="10"/>
      <c r="D663" s="39"/>
      <c r="E663" s="12"/>
      <c r="F663" s="40"/>
      <c r="G663" s="18" t="str">
        <f aca="false">IF(AND(ISNUMBER($E663),ISNUMBER($F663),$D663&lt;&gt;"R"),$E663*$F663,"")</f>
        <v/>
      </c>
      <c r="H663" s="10"/>
    </row>
    <row r="664" customFormat="false" ht="15.75" hidden="false" customHeight="true" outlineLevel="0" collapsed="false">
      <c r="A664" s="38"/>
      <c r="B664" s="11"/>
      <c r="C664" s="10"/>
      <c r="D664" s="39"/>
      <c r="E664" s="12"/>
      <c r="F664" s="40"/>
      <c r="G664" s="18" t="str">
        <f aca="false">IF(AND(ISNUMBER($E664),ISNUMBER($F664),$D664&lt;&gt;"R"),$E664*$F664,"")</f>
        <v/>
      </c>
      <c r="H664" s="10"/>
    </row>
    <row r="665" customFormat="false" ht="15.75" hidden="false" customHeight="true" outlineLevel="0" collapsed="false">
      <c r="A665" s="38"/>
      <c r="B665" s="11"/>
      <c r="C665" s="10"/>
      <c r="D665" s="39"/>
      <c r="E665" s="12"/>
      <c r="F665" s="40"/>
      <c r="G665" s="18" t="str">
        <f aca="false">IF(AND(ISNUMBER($E665),ISNUMBER($F665),$D665&lt;&gt;"R"),$E665*$F665,"")</f>
        <v/>
      </c>
      <c r="H665" s="10"/>
    </row>
    <row r="666" customFormat="false" ht="15.75" hidden="false" customHeight="true" outlineLevel="0" collapsed="false">
      <c r="A666" s="38"/>
      <c r="B666" s="11"/>
      <c r="C666" s="10"/>
      <c r="D666" s="39"/>
      <c r="E666" s="12"/>
      <c r="F666" s="40"/>
      <c r="G666" s="18" t="str">
        <f aca="false">IF(AND(ISNUMBER($E666),ISNUMBER($F666),$D666&lt;&gt;"R"),$E666*$F666,"")</f>
        <v/>
      </c>
      <c r="H666" s="10"/>
    </row>
    <row r="667" customFormat="false" ht="15.75" hidden="false" customHeight="true" outlineLevel="0" collapsed="false">
      <c r="A667" s="38"/>
      <c r="B667" s="11"/>
      <c r="C667" s="10"/>
      <c r="D667" s="39"/>
      <c r="E667" s="12"/>
      <c r="F667" s="40"/>
      <c r="G667" s="18" t="str">
        <f aca="false">IF(AND(ISNUMBER($E667),ISNUMBER($F667),$D667&lt;&gt;"R"),$E667*$F667,"")</f>
        <v/>
      </c>
      <c r="H667" s="10"/>
    </row>
    <row r="668" customFormat="false" ht="15.75" hidden="false" customHeight="true" outlineLevel="0" collapsed="false">
      <c r="A668" s="38"/>
      <c r="B668" s="11"/>
      <c r="C668" s="10"/>
      <c r="D668" s="39"/>
      <c r="E668" s="12"/>
      <c r="F668" s="40"/>
      <c r="G668" s="18" t="str">
        <f aca="false">IF(AND(ISNUMBER($E668),ISNUMBER($F668),$D668&lt;&gt;"R"),$E668*$F668,"")</f>
        <v/>
      </c>
      <c r="H668" s="10"/>
    </row>
    <row r="669" customFormat="false" ht="15.75" hidden="false" customHeight="true" outlineLevel="0" collapsed="false">
      <c r="A669" s="38"/>
      <c r="B669" s="11"/>
      <c r="C669" s="10"/>
      <c r="D669" s="39"/>
      <c r="E669" s="12"/>
      <c r="F669" s="40"/>
      <c r="G669" s="18" t="str">
        <f aca="false">IF(AND(ISNUMBER($E669),ISNUMBER($F669),$D669&lt;&gt;"R"),$E669*$F669,"")</f>
        <v/>
      </c>
      <c r="H669" s="10"/>
    </row>
    <row r="670" customFormat="false" ht="15.75" hidden="false" customHeight="true" outlineLevel="0" collapsed="false">
      <c r="A670" s="38"/>
      <c r="B670" s="11"/>
      <c r="C670" s="10"/>
      <c r="D670" s="39"/>
      <c r="E670" s="12"/>
      <c r="F670" s="40"/>
      <c r="G670" s="18" t="str">
        <f aca="false">IF(AND(ISNUMBER($E670),ISNUMBER($F670),$D670&lt;&gt;"R"),$E670*$F670,"")</f>
        <v/>
      </c>
      <c r="H670" s="10"/>
    </row>
    <row r="671" customFormat="false" ht="15.75" hidden="false" customHeight="true" outlineLevel="0" collapsed="false">
      <c r="A671" s="38"/>
      <c r="B671" s="11"/>
      <c r="C671" s="10"/>
      <c r="D671" s="39"/>
      <c r="E671" s="12"/>
      <c r="F671" s="40"/>
      <c r="G671" s="18" t="str">
        <f aca="false">IF(AND(ISNUMBER($E671),ISNUMBER($F671),$D671&lt;&gt;"R"),$E671*$F671,"")</f>
        <v/>
      </c>
      <c r="H671" s="10"/>
    </row>
    <row r="672" customFormat="false" ht="15.75" hidden="false" customHeight="true" outlineLevel="0" collapsed="false">
      <c r="A672" s="38"/>
      <c r="B672" s="11"/>
      <c r="C672" s="10"/>
      <c r="D672" s="39"/>
      <c r="E672" s="12"/>
      <c r="F672" s="40"/>
      <c r="G672" s="18" t="str">
        <f aca="false">IF(AND(ISNUMBER($E672),ISNUMBER($F672),$D672&lt;&gt;"R"),$E672*$F672,"")</f>
        <v/>
      </c>
      <c r="H672" s="10"/>
    </row>
    <row r="673" customFormat="false" ht="15.75" hidden="false" customHeight="true" outlineLevel="0" collapsed="false">
      <c r="A673" s="38"/>
      <c r="B673" s="11"/>
      <c r="C673" s="10"/>
      <c r="D673" s="39"/>
      <c r="E673" s="12"/>
      <c r="F673" s="40"/>
      <c r="G673" s="18" t="str">
        <f aca="false">IF(AND(ISNUMBER($E673),ISNUMBER($F673),$D673&lt;&gt;"R"),$E673*$F673,"")</f>
        <v/>
      </c>
      <c r="H673" s="10"/>
    </row>
    <row r="674" customFormat="false" ht="15.75" hidden="false" customHeight="true" outlineLevel="0" collapsed="false">
      <c r="A674" s="38"/>
      <c r="B674" s="11"/>
      <c r="C674" s="10"/>
      <c r="D674" s="39"/>
      <c r="E674" s="12"/>
      <c r="F674" s="40"/>
      <c r="G674" s="18" t="str">
        <f aca="false">IF(AND(ISNUMBER($E674),ISNUMBER($F674),$D674&lt;&gt;"R"),$E674*$F674,"")</f>
        <v/>
      </c>
      <c r="H674" s="10"/>
    </row>
    <row r="675" customFormat="false" ht="15.75" hidden="false" customHeight="true" outlineLevel="0" collapsed="false">
      <c r="A675" s="38"/>
      <c r="B675" s="11"/>
      <c r="C675" s="10"/>
      <c r="D675" s="39"/>
      <c r="E675" s="12"/>
      <c r="F675" s="40"/>
      <c r="G675" s="18" t="str">
        <f aca="false">IF(AND(ISNUMBER($E675),ISNUMBER($F675),$D675&lt;&gt;"R"),$E675*$F675,"")</f>
        <v/>
      </c>
      <c r="H675" s="10"/>
    </row>
    <row r="676" customFormat="false" ht="15.75" hidden="false" customHeight="true" outlineLevel="0" collapsed="false">
      <c r="A676" s="38"/>
      <c r="B676" s="11"/>
      <c r="C676" s="10"/>
      <c r="D676" s="39"/>
      <c r="E676" s="12"/>
      <c r="F676" s="40"/>
      <c r="G676" s="18" t="str">
        <f aca="false">IF(AND(ISNUMBER($E676),ISNUMBER($F676),$D676&lt;&gt;"R"),$E676*$F676,"")</f>
        <v/>
      </c>
      <c r="H676" s="10"/>
    </row>
    <row r="677" customFormat="false" ht="15.75" hidden="false" customHeight="true" outlineLevel="0" collapsed="false">
      <c r="A677" s="38"/>
      <c r="B677" s="11"/>
      <c r="C677" s="10"/>
      <c r="D677" s="39"/>
      <c r="E677" s="12"/>
      <c r="F677" s="40"/>
      <c r="G677" s="18" t="str">
        <f aca="false">IF(AND(ISNUMBER($E677),ISNUMBER($F677),$D677&lt;&gt;"R"),$E677*$F677,"")</f>
        <v/>
      </c>
      <c r="H677" s="10"/>
    </row>
    <row r="678" customFormat="false" ht="15.75" hidden="false" customHeight="true" outlineLevel="0" collapsed="false">
      <c r="A678" s="38"/>
      <c r="B678" s="11"/>
      <c r="C678" s="10"/>
      <c r="D678" s="39"/>
      <c r="E678" s="12"/>
      <c r="F678" s="40"/>
      <c r="G678" s="18" t="str">
        <f aca="false">IF(AND(ISNUMBER($E678),ISNUMBER($F678),$D678&lt;&gt;"R"),$E678*$F678,"")</f>
        <v/>
      </c>
      <c r="H678" s="10"/>
    </row>
    <row r="679" customFormat="false" ht="15.75" hidden="false" customHeight="true" outlineLevel="0" collapsed="false">
      <c r="A679" s="38"/>
      <c r="B679" s="11"/>
      <c r="C679" s="10"/>
      <c r="D679" s="39"/>
      <c r="E679" s="12"/>
      <c r="F679" s="40"/>
      <c r="G679" s="18" t="str">
        <f aca="false">IF(AND(ISNUMBER($E679),ISNUMBER($F679),$D679&lt;&gt;"R"),$E679*$F679,"")</f>
        <v/>
      </c>
      <c r="H679" s="10"/>
    </row>
    <row r="680" customFormat="false" ht="15.75" hidden="false" customHeight="true" outlineLevel="0" collapsed="false">
      <c r="A680" s="38"/>
      <c r="B680" s="11"/>
      <c r="C680" s="10"/>
      <c r="D680" s="39"/>
      <c r="E680" s="12"/>
      <c r="F680" s="40"/>
      <c r="G680" s="18" t="str">
        <f aca="false">IF(AND(ISNUMBER($E680),ISNUMBER($F680),$D680&lt;&gt;"R"),$E680*$F680,"")</f>
        <v/>
      </c>
      <c r="H680" s="10"/>
    </row>
    <row r="681" customFormat="false" ht="15.75" hidden="false" customHeight="true" outlineLevel="0" collapsed="false">
      <c r="A681" s="38"/>
      <c r="B681" s="11"/>
      <c r="C681" s="10"/>
      <c r="D681" s="39"/>
      <c r="E681" s="12"/>
      <c r="F681" s="40"/>
      <c r="G681" s="18" t="str">
        <f aca="false">IF(AND(ISNUMBER($E681),ISNUMBER($F681),$D681&lt;&gt;"R"),$E681*$F681,"")</f>
        <v/>
      </c>
      <c r="H681" s="10"/>
    </row>
    <row r="682" customFormat="false" ht="15.75" hidden="false" customHeight="true" outlineLevel="0" collapsed="false">
      <c r="A682" s="38"/>
      <c r="B682" s="11"/>
      <c r="C682" s="10"/>
      <c r="D682" s="39"/>
      <c r="E682" s="12"/>
      <c r="F682" s="40"/>
      <c r="G682" s="18" t="str">
        <f aca="false">IF(AND(ISNUMBER($E682),ISNUMBER($F682),$D682&lt;&gt;"R"),$E682*$F682,"")</f>
        <v/>
      </c>
      <c r="H682" s="10"/>
    </row>
    <row r="683" customFormat="false" ht="15.75" hidden="false" customHeight="true" outlineLevel="0" collapsed="false">
      <c r="A683" s="38"/>
      <c r="B683" s="11"/>
      <c r="C683" s="10"/>
      <c r="D683" s="39"/>
      <c r="E683" s="12"/>
      <c r="F683" s="40"/>
      <c r="G683" s="18" t="str">
        <f aca="false">IF(AND(ISNUMBER($E683),ISNUMBER($F683),$D683&lt;&gt;"R"),$E683*$F683,"")</f>
        <v/>
      </c>
      <c r="H683" s="10"/>
    </row>
    <row r="684" customFormat="false" ht="15.75" hidden="false" customHeight="true" outlineLevel="0" collapsed="false">
      <c r="A684" s="38"/>
      <c r="B684" s="11"/>
      <c r="C684" s="10"/>
      <c r="D684" s="39"/>
      <c r="E684" s="12"/>
      <c r="F684" s="40"/>
      <c r="G684" s="18" t="str">
        <f aca="false">IF(AND(ISNUMBER($E684),ISNUMBER($F684),$D684&lt;&gt;"R"),$E684*$F684,"")</f>
        <v/>
      </c>
      <c r="H684" s="10"/>
    </row>
    <row r="685" customFormat="false" ht="15.75" hidden="false" customHeight="true" outlineLevel="0" collapsed="false">
      <c r="A685" s="38"/>
      <c r="B685" s="11"/>
      <c r="C685" s="10"/>
      <c r="D685" s="39"/>
      <c r="E685" s="12"/>
      <c r="F685" s="40"/>
      <c r="G685" s="18" t="str">
        <f aca="false">IF(AND(ISNUMBER($E685),ISNUMBER($F685),$D685&lt;&gt;"R"),$E685*$F685,"")</f>
        <v/>
      </c>
      <c r="H685" s="10"/>
    </row>
    <row r="686" customFormat="false" ht="15.75" hidden="false" customHeight="true" outlineLevel="0" collapsed="false">
      <c r="A686" s="38"/>
      <c r="B686" s="11"/>
      <c r="C686" s="10"/>
      <c r="D686" s="39"/>
      <c r="E686" s="12"/>
      <c r="F686" s="40"/>
      <c r="G686" s="18" t="str">
        <f aca="false">IF(AND(ISNUMBER($E686),ISNUMBER($F686),$D686&lt;&gt;"R"),$E686*$F686,"")</f>
        <v/>
      </c>
      <c r="H686" s="10"/>
    </row>
    <row r="687" customFormat="false" ht="15.75" hidden="false" customHeight="true" outlineLevel="0" collapsed="false">
      <c r="A687" s="38"/>
      <c r="B687" s="11"/>
      <c r="C687" s="10"/>
      <c r="D687" s="39"/>
      <c r="E687" s="12"/>
      <c r="F687" s="40"/>
      <c r="G687" s="18" t="str">
        <f aca="false">IF(AND(ISNUMBER($E687),ISNUMBER($F687),$D687&lt;&gt;"R"),$E687*$F687,"")</f>
        <v/>
      </c>
      <c r="H687" s="10"/>
    </row>
    <row r="688" customFormat="false" ht="15.75" hidden="false" customHeight="true" outlineLevel="0" collapsed="false">
      <c r="A688" s="38"/>
      <c r="B688" s="11"/>
      <c r="C688" s="10"/>
      <c r="D688" s="39"/>
      <c r="E688" s="12"/>
      <c r="F688" s="40"/>
      <c r="G688" s="18" t="str">
        <f aca="false">IF(AND(ISNUMBER($E688),ISNUMBER($F688),$D688&lt;&gt;"R"),$E688*$F688,"")</f>
        <v/>
      </c>
      <c r="H688" s="10"/>
    </row>
    <row r="689" customFormat="false" ht="15.75" hidden="false" customHeight="true" outlineLevel="0" collapsed="false">
      <c r="A689" s="38"/>
      <c r="B689" s="11"/>
      <c r="C689" s="10"/>
      <c r="D689" s="39"/>
      <c r="E689" s="12"/>
      <c r="F689" s="40"/>
      <c r="G689" s="18" t="str">
        <f aca="false">IF(AND(ISNUMBER($E689),ISNUMBER($F689),$D689&lt;&gt;"R"),$E689*$F689,"")</f>
        <v/>
      </c>
      <c r="H689" s="10"/>
    </row>
    <row r="690" customFormat="false" ht="15.75" hidden="false" customHeight="true" outlineLevel="0" collapsed="false">
      <c r="A690" s="38"/>
      <c r="B690" s="11"/>
      <c r="C690" s="10"/>
      <c r="D690" s="39"/>
      <c r="E690" s="12"/>
      <c r="F690" s="40"/>
      <c r="G690" s="18" t="str">
        <f aca="false">IF(AND(ISNUMBER($E690),ISNUMBER($F690),$D690&lt;&gt;"R"),$E690*$F690,"")</f>
        <v/>
      </c>
      <c r="H690" s="10"/>
    </row>
    <row r="691" customFormat="false" ht="15.75" hidden="false" customHeight="true" outlineLevel="0" collapsed="false">
      <c r="A691" s="38"/>
      <c r="B691" s="11"/>
      <c r="C691" s="10"/>
      <c r="D691" s="39"/>
      <c r="E691" s="12"/>
      <c r="F691" s="40"/>
      <c r="G691" s="18" t="str">
        <f aca="false">IF(AND(ISNUMBER($E691),ISNUMBER($F691),$D691&lt;&gt;"R"),$E691*$F691,"")</f>
        <v/>
      </c>
      <c r="H691" s="10"/>
    </row>
    <row r="692" customFormat="false" ht="15.75" hidden="false" customHeight="true" outlineLevel="0" collapsed="false">
      <c r="A692" s="38"/>
      <c r="B692" s="11"/>
      <c r="C692" s="10"/>
      <c r="D692" s="39"/>
      <c r="E692" s="12"/>
      <c r="F692" s="40"/>
      <c r="G692" s="18" t="str">
        <f aca="false">IF(AND(ISNUMBER($E692),ISNUMBER($F692),$D692&lt;&gt;"R"),$E692*$F692,"")</f>
        <v/>
      </c>
      <c r="H692" s="10"/>
    </row>
    <row r="693" customFormat="false" ht="15.75" hidden="false" customHeight="true" outlineLevel="0" collapsed="false">
      <c r="A693" s="38"/>
      <c r="B693" s="11"/>
      <c r="C693" s="10"/>
      <c r="D693" s="39"/>
      <c r="E693" s="12"/>
      <c r="F693" s="40"/>
      <c r="G693" s="18" t="str">
        <f aca="false">IF(AND(ISNUMBER($E693),ISNUMBER($F693),$D693&lt;&gt;"R"),$E693*$F693,"")</f>
        <v/>
      </c>
      <c r="H693" s="10"/>
    </row>
    <row r="694" customFormat="false" ht="15.75" hidden="false" customHeight="true" outlineLevel="0" collapsed="false">
      <c r="A694" s="38"/>
      <c r="B694" s="11"/>
      <c r="C694" s="10"/>
      <c r="D694" s="39"/>
      <c r="E694" s="12"/>
      <c r="F694" s="40"/>
      <c r="G694" s="18" t="str">
        <f aca="false">IF(AND(ISNUMBER($E694),ISNUMBER($F694),$D694&lt;&gt;"R"),$E694*$F694,"")</f>
        <v/>
      </c>
      <c r="H694" s="10"/>
    </row>
    <row r="695" customFormat="false" ht="15.75" hidden="false" customHeight="true" outlineLevel="0" collapsed="false">
      <c r="A695" s="38"/>
      <c r="B695" s="11"/>
      <c r="C695" s="10"/>
      <c r="D695" s="39"/>
      <c r="E695" s="12"/>
      <c r="F695" s="40"/>
      <c r="G695" s="18" t="str">
        <f aca="false">IF(AND(ISNUMBER($E695),ISNUMBER($F695),$D695&lt;&gt;"R"),$E695*$F695,"")</f>
        <v/>
      </c>
      <c r="H695" s="10"/>
    </row>
    <row r="696" customFormat="false" ht="15.75" hidden="false" customHeight="true" outlineLevel="0" collapsed="false">
      <c r="A696" s="38"/>
      <c r="B696" s="11"/>
      <c r="C696" s="10"/>
      <c r="D696" s="39"/>
      <c r="E696" s="12"/>
      <c r="F696" s="40"/>
      <c r="G696" s="18" t="str">
        <f aca="false">IF(AND(ISNUMBER($E696),ISNUMBER($F696),$D696&lt;&gt;"R"),$E696*$F696,"")</f>
        <v/>
      </c>
      <c r="H696" s="10"/>
    </row>
    <row r="697" customFormat="false" ht="15.75" hidden="false" customHeight="true" outlineLevel="0" collapsed="false">
      <c r="A697" s="38"/>
      <c r="B697" s="11"/>
      <c r="C697" s="10"/>
      <c r="D697" s="39"/>
      <c r="E697" s="12"/>
      <c r="F697" s="40"/>
      <c r="G697" s="18" t="str">
        <f aca="false">IF(AND(ISNUMBER($E697),ISNUMBER($F697),$D697&lt;&gt;"R"),$E697*$F697,"")</f>
        <v/>
      </c>
      <c r="H697" s="10"/>
    </row>
    <row r="698" customFormat="false" ht="15.75" hidden="false" customHeight="true" outlineLevel="0" collapsed="false">
      <c r="A698" s="38"/>
      <c r="B698" s="11"/>
      <c r="C698" s="10"/>
      <c r="D698" s="39"/>
      <c r="E698" s="12"/>
      <c r="F698" s="40"/>
      <c r="G698" s="18" t="str">
        <f aca="false">IF(AND(ISNUMBER($E698),ISNUMBER($F698),$D698&lt;&gt;"R"),$E698*$F698,"")</f>
        <v/>
      </c>
      <c r="H698" s="10"/>
    </row>
    <row r="699" customFormat="false" ht="15.75" hidden="false" customHeight="true" outlineLevel="0" collapsed="false">
      <c r="A699" s="38"/>
      <c r="B699" s="11"/>
      <c r="C699" s="10"/>
      <c r="D699" s="39"/>
      <c r="E699" s="12"/>
      <c r="F699" s="40"/>
      <c r="G699" s="18" t="str">
        <f aca="false">IF(AND(ISNUMBER($E699),ISNUMBER($F699),$D699&lt;&gt;"R"),$E699*$F699,"")</f>
        <v/>
      </c>
      <c r="H699" s="10"/>
    </row>
    <row r="700" customFormat="false" ht="15.75" hidden="false" customHeight="true" outlineLevel="0" collapsed="false">
      <c r="A700" s="38"/>
      <c r="B700" s="11"/>
      <c r="C700" s="10"/>
      <c r="D700" s="39"/>
      <c r="E700" s="12"/>
      <c r="F700" s="40"/>
      <c r="G700" s="18" t="str">
        <f aca="false">IF(AND(ISNUMBER($E700),ISNUMBER($F700),$D700&lt;&gt;"R"),$E700*$F700,"")</f>
        <v/>
      </c>
      <c r="H700" s="10"/>
    </row>
    <row r="701" customFormat="false" ht="15.75" hidden="false" customHeight="true" outlineLevel="0" collapsed="false">
      <c r="A701" s="38"/>
      <c r="B701" s="11"/>
      <c r="C701" s="10"/>
      <c r="D701" s="39"/>
      <c r="E701" s="12"/>
      <c r="F701" s="40"/>
      <c r="G701" s="18" t="str">
        <f aca="false">IF(AND(ISNUMBER($E701),ISNUMBER($F701),$D701&lt;&gt;"R"),$E701*$F701,"")</f>
        <v/>
      </c>
      <c r="H701" s="10"/>
    </row>
    <row r="702" customFormat="false" ht="15.75" hidden="false" customHeight="true" outlineLevel="0" collapsed="false">
      <c r="A702" s="38"/>
      <c r="B702" s="11"/>
      <c r="C702" s="10"/>
      <c r="D702" s="39"/>
      <c r="E702" s="12"/>
      <c r="F702" s="40"/>
      <c r="G702" s="18" t="str">
        <f aca="false">IF(AND(ISNUMBER($E702),ISNUMBER($F702),$D702&lt;&gt;"R"),$E702*$F702,"")</f>
        <v/>
      </c>
      <c r="H702" s="10"/>
    </row>
    <row r="703" customFormat="false" ht="15.75" hidden="false" customHeight="true" outlineLevel="0" collapsed="false">
      <c r="A703" s="38"/>
      <c r="B703" s="11"/>
      <c r="C703" s="10"/>
      <c r="D703" s="39"/>
      <c r="E703" s="12"/>
      <c r="F703" s="40"/>
      <c r="G703" s="18" t="str">
        <f aca="false">IF(AND(ISNUMBER($E703),ISNUMBER($F703),$D703&lt;&gt;"R"),$E703*$F703,"")</f>
        <v/>
      </c>
      <c r="H703" s="10"/>
    </row>
    <row r="704" customFormat="false" ht="15.75" hidden="false" customHeight="true" outlineLevel="0" collapsed="false">
      <c r="A704" s="38"/>
      <c r="B704" s="11"/>
      <c r="C704" s="10"/>
      <c r="D704" s="39"/>
      <c r="E704" s="12"/>
      <c r="F704" s="40"/>
      <c r="G704" s="18" t="str">
        <f aca="false">IF(AND(ISNUMBER($E704),ISNUMBER($F704),$D704&lt;&gt;"R"),$E704*$F704,"")</f>
        <v/>
      </c>
      <c r="H704" s="10"/>
    </row>
    <row r="705" customFormat="false" ht="15.75" hidden="false" customHeight="true" outlineLevel="0" collapsed="false">
      <c r="A705" s="38"/>
      <c r="B705" s="11"/>
      <c r="C705" s="10"/>
      <c r="D705" s="39"/>
      <c r="E705" s="12"/>
      <c r="F705" s="40"/>
      <c r="G705" s="18" t="str">
        <f aca="false">IF(AND(ISNUMBER($E705),ISNUMBER($F705),$D705&lt;&gt;"R"),$E705*$F705,"")</f>
        <v/>
      </c>
      <c r="H705" s="10"/>
    </row>
    <row r="706" customFormat="false" ht="15.75" hidden="false" customHeight="true" outlineLevel="0" collapsed="false">
      <c r="A706" s="38"/>
      <c r="B706" s="11"/>
      <c r="C706" s="10"/>
      <c r="D706" s="39"/>
      <c r="E706" s="12"/>
      <c r="F706" s="40"/>
      <c r="G706" s="18" t="str">
        <f aca="false">IF(AND(ISNUMBER($E706),ISNUMBER($F706),$D706&lt;&gt;"R"),$E706*$F706,"")</f>
        <v/>
      </c>
      <c r="H706" s="10"/>
    </row>
    <row r="707" customFormat="false" ht="15.75" hidden="false" customHeight="true" outlineLevel="0" collapsed="false">
      <c r="A707" s="38"/>
      <c r="B707" s="11"/>
      <c r="C707" s="10"/>
      <c r="D707" s="39"/>
      <c r="E707" s="12"/>
      <c r="F707" s="40"/>
      <c r="G707" s="18" t="str">
        <f aca="false">IF(AND(ISNUMBER($E707),ISNUMBER($F707),$D707&lt;&gt;"R"),$E707*$F707,"")</f>
        <v/>
      </c>
      <c r="H707" s="10"/>
    </row>
    <row r="708" customFormat="false" ht="15.75" hidden="false" customHeight="true" outlineLevel="0" collapsed="false">
      <c r="A708" s="38"/>
      <c r="B708" s="11"/>
      <c r="C708" s="10"/>
      <c r="D708" s="39"/>
      <c r="E708" s="12"/>
      <c r="F708" s="40"/>
      <c r="G708" s="18" t="str">
        <f aca="false">IF(AND(ISNUMBER($E708),ISNUMBER($F708),$D708&lt;&gt;"R"),$E708*$F708,"")</f>
        <v/>
      </c>
      <c r="H708" s="10"/>
    </row>
    <row r="709" customFormat="false" ht="15.75" hidden="false" customHeight="true" outlineLevel="0" collapsed="false">
      <c r="A709" s="38"/>
      <c r="B709" s="11"/>
      <c r="C709" s="10"/>
      <c r="D709" s="39"/>
      <c r="E709" s="12"/>
      <c r="F709" s="40"/>
      <c r="G709" s="18" t="str">
        <f aca="false">IF(AND(ISNUMBER($E709),ISNUMBER($F709),$D709&lt;&gt;"R"),$E709*$F709,"")</f>
        <v/>
      </c>
      <c r="H709" s="10"/>
    </row>
    <row r="710" customFormat="false" ht="15.75" hidden="false" customHeight="true" outlineLevel="0" collapsed="false">
      <c r="A710" s="38"/>
      <c r="B710" s="11"/>
      <c r="C710" s="10"/>
      <c r="D710" s="39"/>
      <c r="E710" s="12"/>
      <c r="F710" s="40"/>
      <c r="G710" s="18" t="str">
        <f aca="false">IF(AND(ISNUMBER($E710),ISNUMBER($F710),$D710&lt;&gt;"R"),$E710*$F710,"")</f>
        <v/>
      </c>
      <c r="H710" s="10"/>
    </row>
    <row r="711" customFormat="false" ht="15.75" hidden="false" customHeight="true" outlineLevel="0" collapsed="false">
      <c r="A711" s="38"/>
      <c r="B711" s="11"/>
      <c r="C711" s="10"/>
      <c r="D711" s="39"/>
      <c r="E711" s="12"/>
      <c r="F711" s="40"/>
      <c r="G711" s="18" t="str">
        <f aca="false">IF(AND(ISNUMBER($E711),ISNUMBER($F711),$D711&lt;&gt;"R"),$E711*$F711,"")</f>
        <v/>
      </c>
      <c r="H711" s="10"/>
    </row>
    <row r="712" customFormat="false" ht="15.75" hidden="false" customHeight="true" outlineLevel="0" collapsed="false">
      <c r="A712" s="38"/>
      <c r="B712" s="11"/>
      <c r="C712" s="10"/>
      <c r="D712" s="39"/>
      <c r="E712" s="12"/>
      <c r="F712" s="40"/>
      <c r="G712" s="18" t="str">
        <f aca="false">IF(AND(ISNUMBER($E712),ISNUMBER($F712),$D712&lt;&gt;"R"),$E712*$F712,"")</f>
        <v/>
      </c>
      <c r="H712" s="10"/>
    </row>
    <row r="713" customFormat="false" ht="15.75" hidden="false" customHeight="true" outlineLevel="0" collapsed="false">
      <c r="A713" s="38"/>
      <c r="B713" s="11"/>
      <c r="C713" s="10"/>
      <c r="D713" s="39"/>
      <c r="E713" s="12"/>
      <c r="F713" s="40"/>
      <c r="G713" s="18" t="str">
        <f aca="false">IF(AND(ISNUMBER($E713),ISNUMBER($F713),$D713&lt;&gt;"R"),$E713*$F713,"")</f>
        <v/>
      </c>
      <c r="H713" s="10"/>
    </row>
    <row r="714" customFormat="false" ht="15.75" hidden="false" customHeight="true" outlineLevel="0" collapsed="false">
      <c r="A714" s="38"/>
      <c r="B714" s="11"/>
      <c r="C714" s="10"/>
      <c r="D714" s="39"/>
      <c r="E714" s="12"/>
      <c r="F714" s="40"/>
      <c r="G714" s="18" t="str">
        <f aca="false">IF(AND(ISNUMBER($E714),ISNUMBER($F714),$D714&lt;&gt;"R"),$E714*$F714,"")</f>
        <v/>
      </c>
      <c r="H714" s="10"/>
    </row>
    <row r="715" customFormat="false" ht="15.75" hidden="false" customHeight="true" outlineLevel="0" collapsed="false">
      <c r="A715" s="38"/>
      <c r="B715" s="11"/>
      <c r="C715" s="10"/>
      <c r="D715" s="39"/>
      <c r="E715" s="12"/>
      <c r="F715" s="40"/>
      <c r="G715" s="18" t="str">
        <f aca="false">IF(AND(ISNUMBER($E715),ISNUMBER($F715),$D715&lt;&gt;"R"),$E715*$F715,"")</f>
        <v/>
      </c>
      <c r="H715" s="10"/>
    </row>
    <row r="716" customFormat="false" ht="15.75" hidden="false" customHeight="true" outlineLevel="0" collapsed="false">
      <c r="A716" s="38"/>
      <c r="B716" s="11"/>
      <c r="C716" s="10"/>
      <c r="D716" s="39"/>
      <c r="E716" s="12"/>
      <c r="F716" s="40"/>
      <c r="G716" s="18" t="str">
        <f aca="false">IF(AND(ISNUMBER($E716),ISNUMBER($F716),$D716&lt;&gt;"R"),$E716*$F716,"")</f>
        <v/>
      </c>
      <c r="H716" s="10"/>
    </row>
    <row r="717" customFormat="false" ht="15.75" hidden="false" customHeight="true" outlineLevel="0" collapsed="false">
      <c r="A717" s="38"/>
      <c r="B717" s="11"/>
      <c r="C717" s="10"/>
      <c r="D717" s="39"/>
      <c r="E717" s="12"/>
      <c r="F717" s="40"/>
      <c r="G717" s="18" t="str">
        <f aca="false">IF(AND(ISNUMBER($E717),ISNUMBER($F717),$D717&lt;&gt;"R"),$E717*$F717,"")</f>
        <v/>
      </c>
      <c r="H717" s="10"/>
    </row>
    <row r="718" customFormat="false" ht="15.75" hidden="false" customHeight="true" outlineLevel="0" collapsed="false">
      <c r="A718" s="38"/>
      <c r="B718" s="11"/>
      <c r="C718" s="10"/>
      <c r="D718" s="39"/>
      <c r="E718" s="12"/>
      <c r="F718" s="40"/>
      <c r="G718" s="18" t="str">
        <f aca="false">IF(AND(ISNUMBER($E718),ISNUMBER($F718),$D718&lt;&gt;"R"),$E718*$F718,"")</f>
        <v/>
      </c>
      <c r="H718" s="10"/>
    </row>
    <row r="719" customFormat="false" ht="15.75" hidden="false" customHeight="true" outlineLevel="0" collapsed="false">
      <c r="A719" s="38"/>
      <c r="B719" s="11"/>
      <c r="C719" s="10"/>
      <c r="D719" s="39"/>
      <c r="E719" s="12"/>
      <c r="F719" s="40"/>
      <c r="G719" s="18" t="str">
        <f aca="false">IF(AND(ISNUMBER($E719),ISNUMBER($F719),$D719&lt;&gt;"R"),$E719*$F719,"")</f>
        <v/>
      </c>
      <c r="H719" s="10"/>
    </row>
    <row r="720" customFormat="false" ht="15.75" hidden="false" customHeight="true" outlineLevel="0" collapsed="false">
      <c r="A720" s="38"/>
      <c r="B720" s="11"/>
      <c r="C720" s="10"/>
      <c r="D720" s="39"/>
      <c r="E720" s="12"/>
      <c r="F720" s="40"/>
      <c r="G720" s="18" t="str">
        <f aca="false">IF(AND(ISNUMBER($E720),ISNUMBER($F720),$D720&lt;&gt;"R"),$E720*$F720,"")</f>
        <v/>
      </c>
      <c r="H720" s="10"/>
    </row>
    <row r="721" customFormat="false" ht="15.75" hidden="false" customHeight="true" outlineLevel="0" collapsed="false">
      <c r="A721" s="38"/>
      <c r="B721" s="11"/>
      <c r="C721" s="10"/>
      <c r="D721" s="39"/>
      <c r="E721" s="12"/>
      <c r="F721" s="40"/>
      <c r="G721" s="18" t="str">
        <f aca="false">IF(AND(ISNUMBER($E721),ISNUMBER($F721),$D721&lt;&gt;"R"),$E721*$F721,"")</f>
        <v/>
      </c>
      <c r="H721" s="10"/>
    </row>
    <row r="722" customFormat="false" ht="15.75" hidden="false" customHeight="true" outlineLevel="0" collapsed="false">
      <c r="A722" s="38"/>
      <c r="B722" s="11"/>
      <c r="C722" s="10"/>
      <c r="D722" s="39"/>
      <c r="E722" s="12"/>
      <c r="F722" s="40"/>
      <c r="G722" s="18" t="str">
        <f aca="false">IF(AND(ISNUMBER($E722),ISNUMBER($F722),$D722&lt;&gt;"R"),$E722*$F722,"")</f>
        <v/>
      </c>
      <c r="H722" s="10"/>
    </row>
    <row r="723" customFormat="false" ht="15.75" hidden="false" customHeight="true" outlineLevel="0" collapsed="false">
      <c r="A723" s="38"/>
      <c r="B723" s="11"/>
      <c r="C723" s="10"/>
      <c r="D723" s="39"/>
      <c r="E723" s="12"/>
      <c r="F723" s="40"/>
      <c r="G723" s="18" t="str">
        <f aca="false">IF(AND(ISNUMBER($E723),ISNUMBER($F723),$D723&lt;&gt;"R"),$E723*$F723,"")</f>
        <v/>
      </c>
      <c r="H723" s="10"/>
    </row>
    <row r="724" customFormat="false" ht="15.75" hidden="false" customHeight="true" outlineLevel="0" collapsed="false">
      <c r="A724" s="38"/>
      <c r="B724" s="11"/>
      <c r="C724" s="10"/>
      <c r="D724" s="39"/>
      <c r="E724" s="12"/>
      <c r="F724" s="40"/>
      <c r="G724" s="18" t="str">
        <f aca="false">IF(AND(ISNUMBER($E724),ISNUMBER($F724),$D724&lt;&gt;"R"),$E724*$F724,"")</f>
        <v/>
      </c>
      <c r="H724" s="10"/>
    </row>
    <row r="725" customFormat="false" ht="15.75" hidden="false" customHeight="true" outlineLevel="0" collapsed="false">
      <c r="A725" s="38"/>
      <c r="B725" s="11"/>
      <c r="C725" s="10"/>
      <c r="D725" s="39"/>
      <c r="E725" s="12"/>
      <c r="F725" s="40"/>
      <c r="G725" s="18" t="str">
        <f aca="false">IF(AND(ISNUMBER($E725),ISNUMBER($F725),$D725&lt;&gt;"R"),$E725*$F725,"")</f>
        <v/>
      </c>
      <c r="H725" s="10"/>
    </row>
    <row r="726" customFormat="false" ht="15.75" hidden="false" customHeight="true" outlineLevel="0" collapsed="false">
      <c r="A726" s="38"/>
      <c r="B726" s="11"/>
      <c r="C726" s="10"/>
      <c r="D726" s="39"/>
      <c r="E726" s="12"/>
      <c r="F726" s="40"/>
      <c r="G726" s="18" t="str">
        <f aca="false">IF(AND(ISNUMBER($E726),ISNUMBER($F726),$D726&lt;&gt;"R"),$E726*$F726,"")</f>
        <v/>
      </c>
      <c r="H726" s="10"/>
    </row>
    <row r="727" customFormat="false" ht="15.75" hidden="false" customHeight="true" outlineLevel="0" collapsed="false">
      <c r="A727" s="38"/>
      <c r="B727" s="11"/>
      <c r="C727" s="10"/>
      <c r="D727" s="39"/>
      <c r="E727" s="12"/>
      <c r="F727" s="40"/>
      <c r="G727" s="18" t="str">
        <f aca="false">IF(AND(ISNUMBER($E727),ISNUMBER($F727),$D727&lt;&gt;"R"),$E727*$F727,"")</f>
        <v/>
      </c>
      <c r="H727" s="10"/>
    </row>
    <row r="728" customFormat="false" ht="15.75" hidden="false" customHeight="true" outlineLevel="0" collapsed="false">
      <c r="A728" s="38"/>
      <c r="B728" s="11"/>
      <c r="C728" s="10"/>
      <c r="D728" s="39"/>
      <c r="E728" s="12"/>
      <c r="F728" s="40"/>
      <c r="G728" s="18" t="str">
        <f aca="false">IF(AND(ISNUMBER($E728),ISNUMBER($F728),$D728&lt;&gt;"R"),$E728*$F728,"")</f>
        <v/>
      </c>
      <c r="H728" s="10"/>
    </row>
    <row r="729" customFormat="false" ht="15.75" hidden="false" customHeight="true" outlineLevel="0" collapsed="false">
      <c r="A729" s="38"/>
      <c r="B729" s="11"/>
      <c r="C729" s="10"/>
      <c r="D729" s="39"/>
      <c r="E729" s="12"/>
      <c r="F729" s="40"/>
      <c r="G729" s="18" t="str">
        <f aca="false">IF(AND(ISNUMBER($E729),ISNUMBER($F729),$D729&lt;&gt;"R"),$E729*$F729,"")</f>
        <v/>
      </c>
      <c r="H729" s="10"/>
    </row>
    <row r="730" customFormat="false" ht="15.75" hidden="false" customHeight="true" outlineLevel="0" collapsed="false">
      <c r="A730" s="38"/>
      <c r="B730" s="11"/>
      <c r="C730" s="10"/>
      <c r="D730" s="39"/>
      <c r="E730" s="12"/>
      <c r="F730" s="40"/>
      <c r="G730" s="18" t="str">
        <f aca="false">IF(AND(ISNUMBER($E730),ISNUMBER($F730),$D730&lt;&gt;"R"),$E730*$F730,"")</f>
        <v/>
      </c>
      <c r="H730" s="10"/>
    </row>
    <row r="731" customFormat="false" ht="15.75" hidden="false" customHeight="true" outlineLevel="0" collapsed="false">
      <c r="A731" s="38"/>
      <c r="B731" s="11"/>
      <c r="C731" s="10"/>
      <c r="D731" s="39"/>
      <c r="E731" s="12"/>
      <c r="F731" s="40"/>
      <c r="G731" s="18" t="str">
        <f aca="false">IF(AND(ISNUMBER($E731),ISNUMBER($F731),$D731&lt;&gt;"R"),$E731*$F731,"")</f>
        <v/>
      </c>
      <c r="H731" s="10"/>
    </row>
    <row r="732" customFormat="false" ht="15.75" hidden="false" customHeight="true" outlineLevel="0" collapsed="false">
      <c r="A732" s="38"/>
      <c r="B732" s="11"/>
      <c r="C732" s="10"/>
      <c r="D732" s="39"/>
      <c r="E732" s="12"/>
      <c r="F732" s="40"/>
      <c r="G732" s="18" t="str">
        <f aca="false">IF(AND(ISNUMBER($E732),ISNUMBER($F732),$D732&lt;&gt;"R"),$E732*$F732,"")</f>
        <v/>
      </c>
      <c r="H732" s="10"/>
    </row>
    <row r="733" customFormat="false" ht="15.75" hidden="false" customHeight="true" outlineLevel="0" collapsed="false">
      <c r="A733" s="38"/>
      <c r="B733" s="11"/>
      <c r="C733" s="10"/>
      <c r="D733" s="39"/>
      <c r="E733" s="12"/>
      <c r="F733" s="40"/>
      <c r="G733" s="18" t="str">
        <f aca="false">IF(AND(ISNUMBER($E733),ISNUMBER($F733),$D733&lt;&gt;"R"),$E733*$F733,"")</f>
        <v/>
      </c>
      <c r="H733" s="10"/>
    </row>
    <row r="734" customFormat="false" ht="15.75" hidden="false" customHeight="true" outlineLevel="0" collapsed="false">
      <c r="A734" s="38"/>
      <c r="B734" s="11"/>
      <c r="C734" s="10"/>
      <c r="D734" s="39"/>
      <c r="E734" s="12"/>
      <c r="F734" s="40"/>
      <c r="G734" s="18" t="str">
        <f aca="false">IF(AND(ISNUMBER($E734),ISNUMBER($F734),$D734&lt;&gt;"R"),$E734*$F734,"")</f>
        <v/>
      </c>
      <c r="H734" s="10"/>
    </row>
    <row r="735" customFormat="false" ht="15.75" hidden="false" customHeight="true" outlineLevel="0" collapsed="false">
      <c r="A735" s="38"/>
      <c r="B735" s="11"/>
      <c r="C735" s="10"/>
      <c r="D735" s="39"/>
      <c r="E735" s="12"/>
      <c r="F735" s="40"/>
      <c r="G735" s="18" t="str">
        <f aca="false">IF(AND(ISNUMBER($E735),ISNUMBER($F735),$D735&lt;&gt;"R"),$E735*$F735,"")</f>
        <v/>
      </c>
      <c r="H735" s="10"/>
    </row>
    <row r="736" customFormat="false" ht="15.75" hidden="false" customHeight="true" outlineLevel="0" collapsed="false">
      <c r="A736" s="38"/>
      <c r="B736" s="11"/>
      <c r="C736" s="10"/>
      <c r="D736" s="39"/>
      <c r="E736" s="12"/>
      <c r="F736" s="40"/>
      <c r="G736" s="18" t="str">
        <f aca="false">IF(AND(ISNUMBER($E736),ISNUMBER($F736),$D736&lt;&gt;"R"),$E736*$F736,"")</f>
        <v/>
      </c>
      <c r="H736" s="10"/>
    </row>
    <row r="737" customFormat="false" ht="15.75" hidden="false" customHeight="true" outlineLevel="0" collapsed="false">
      <c r="A737" s="38"/>
      <c r="B737" s="11"/>
      <c r="C737" s="10"/>
      <c r="D737" s="39"/>
      <c r="E737" s="12"/>
      <c r="F737" s="40"/>
      <c r="G737" s="18" t="str">
        <f aca="false">IF(AND(ISNUMBER($E737),ISNUMBER($F737),$D737&lt;&gt;"R"),$E737*$F737,"")</f>
        <v/>
      </c>
      <c r="H737" s="10"/>
    </row>
    <row r="738" customFormat="false" ht="15.75" hidden="false" customHeight="true" outlineLevel="0" collapsed="false">
      <c r="A738" s="38"/>
      <c r="B738" s="11"/>
      <c r="C738" s="10"/>
      <c r="D738" s="39"/>
      <c r="E738" s="12"/>
      <c r="F738" s="40"/>
      <c r="G738" s="18" t="str">
        <f aca="false">IF(AND(ISNUMBER($E738),ISNUMBER($F738),$D738&lt;&gt;"R"),$E738*$F738,"")</f>
        <v/>
      </c>
      <c r="H738" s="10"/>
    </row>
    <row r="739" customFormat="false" ht="15.75" hidden="false" customHeight="true" outlineLevel="0" collapsed="false">
      <c r="A739" s="38"/>
      <c r="B739" s="11"/>
      <c r="C739" s="10"/>
      <c r="D739" s="39"/>
      <c r="E739" s="12"/>
      <c r="F739" s="40"/>
      <c r="G739" s="18" t="str">
        <f aca="false">IF(AND(ISNUMBER($E739),ISNUMBER($F739),$D739&lt;&gt;"R"),$E739*$F739,"")</f>
        <v/>
      </c>
      <c r="H739" s="10"/>
    </row>
    <row r="740" customFormat="false" ht="15.75" hidden="false" customHeight="true" outlineLevel="0" collapsed="false">
      <c r="A740" s="38"/>
      <c r="B740" s="11"/>
      <c r="C740" s="10"/>
      <c r="D740" s="39"/>
      <c r="E740" s="12"/>
      <c r="F740" s="40"/>
      <c r="G740" s="18" t="str">
        <f aca="false">IF(AND(ISNUMBER($E740),ISNUMBER($F740),$D740&lt;&gt;"R"),$E740*$F740,"")</f>
        <v/>
      </c>
      <c r="H740" s="10"/>
    </row>
    <row r="741" customFormat="false" ht="15.75" hidden="false" customHeight="true" outlineLevel="0" collapsed="false">
      <c r="A741" s="38"/>
      <c r="B741" s="11"/>
      <c r="C741" s="10"/>
      <c r="D741" s="39"/>
      <c r="E741" s="12"/>
      <c r="F741" s="40"/>
      <c r="G741" s="18" t="str">
        <f aca="false">IF(AND(ISNUMBER($E741),ISNUMBER($F741),$D741&lt;&gt;"R"),$E741*$F741,"")</f>
        <v/>
      </c>
      <c r="H741" s="10"/>
    </row>
    <row r="742" customFormat="false" ht="15.75" hidden="false" customHeight="true" outlineLevel="0" collapsed="false">
      <c r="A742" s="38"/>
      <c r="B742" s="11"/>
      <c r="C742" s="10"/>
      <c r="D742" s="39"/>
      <c r="E742" s="12"/>
      <c r="F742" s="40"/>
      <c r="G742" s="18" t="str">
        <f aca="false">IF(AND(ISNUMBER($E742),ISNUMBER($F742),$D742&lt;&gt;"R"),$E742*$F742,"")</f>
        <v/>
      </c>
      <c r="H742" s="10"/>
    </row>
    <row r="743" customFormat="false" ht="15.75" hidden="false" customHeight="true" outlineLevel="0" collapsed="false">
      <c r="A743" s="38"/>
      <c r="B743" s="11"/>
      <c r="C743" s="10"/>
      <c r="D743" s="39"/>
      <c r="E743" s="12"/>
      <c r="F743" s="40"/>
      <c r="G743" s="18" t="str">
        <f aca="false">IF(AND(ISNUMBER($E743),ISNUMBER($F743),$D743&lt;&gt;"R"),$E743*$F743,"")</f>
        <v/>
      </c>
      <c r="H743" s="10"/>
    </row>
    <row r="744" customFormat="false" ht="15.75" hidden="false" customHeight="true" outlineLevel="0" collapsed="false">
      <c r="A744" s="38"/>
      <c r="B744" s="11"/>
      <c r="C744" s="10"/>
      <c r="D744" s="39"/>
      <c r="E744" s="12"/>
      <c r="F744" s="40"/>
      <c r="G744" s="18" t="str">
        <f aca="false">IF(AND(ISNUMBER($E744),ISNUMBER($F744),$D744&lt;&gt;"R"),$E744*$F744,"")</f>
        <v/>
      </c>
      <c r="H744" s="10"/>
    </row>
    <row r="745" customFormat="false" ht="15.75" hidden="false" customHeight="true" outlineLevel="0" collapsed="false">
      <c r="A745" s="38"/>
      <c r="B745" s="11"/>
      <c r="C745" s="10"/>
      <c r="D745" s="39"/>
      <c r="E745" s="12"/>
      <c r="F745" s="40"/>
      <c r="G745" s="18" t="str">
        <f aca="false">IF(AND(ISNUMBER($E745),ISNUMBER($F745),$D745&lt;&gt;"R"),$E745*$F745,"")</f>
        <v/>
      </c>
      <c r="H745" s="10"/>
    </row>
    <row r="746" customFormat="false" ht="15.75" hidden="false" customHeight="true" outlineLevel="0" collapsed="false">
      <c r="A746" s="38"/>
      <c r="B746" s="11"/>
      <c r="C746" s="10"/>
      <c r="D746" s="39"/>
      <c r="E746" s="12"/>
      <c r="F746" s="40"/>
      <c r="G746" s="18" t="str">
        <f aca="false">IF(AND(ISNUMBER($E746),ISNUMBER($F746),$D746&lt;&gt;"R"),$E746*$F746,"")</f>
        <v/>
      </c>
      <c r="H746" s="10"/>
    </row>
    <row r="747" customFormat="false" ht="15.75" hidden="false" customHeight="true" outlineLevel="0" collapsed="false">
      <c r="A747" s="38"/>
      <c r="B747" s="11"/>
      <c r="C747" s="10"/>
      <c r="D747" s="39"/>
      <c r="E747" s="12"/>
      <c r="F747" s="40"/>
      <c r="G747" s="18" t="str">
        <f aca="false">IF(AND(ISNUMBER($E747),ISNUMBER($F747),$D747&lt;&gt;"R"),$E747*$F747,"")</f>
        <v/>
      </c>
      <c r="H747" s="10"/>
    </row>
    <row r="748" customFormat="false" ht="15.75" hidden="false" customHeight="true" outlineLevel="0" collapsed="false">
      <c r="A748" s="38"/>
      <c r="B748" s="11"/>
      <c r="C748" s="10"/>
      <c r="D748" s="39"/>
      <c r="E748" s="12"/>
      <c r="F748" s="40"/>
      <c r="G748" s="18" t="str">
        <f aca="false">IF(AND(ISNUMBER($E748),ISNUMBER($F748),$D748&lt;&gt;"R"),$E748*$F748,"")</f>
        <v/>
      </c>
      <c r="H748" s="10"/>
    </row>
    <row r="749" customFormat="false" ht="15.75" hidden="false" customHeight="true" outlineLevel="0" collapsed="false">
      <c r="A749" s="38"/>
      <c r="B749" s="11"/>
      <c r="C749" s="10"/>
      <c r="D749" s="39"/>
      <c r="E749" s="12"/>
      <c r="F749" s="40"/>
      <c r="G749" s="18" t="str">
        <f aca="false">IF(AND(ISNUMBER($E749),ISNUMBER($F749),$D749&lt;&gt;"R"),$E749*$F749,"")</f>
        <v/>
      </c>
      <c r="H749" s="10"/>
    </row>
    <row r="750" customFormat="false" ht="15.75" hidden="false" customHeight="true" outlineLevel="0" collapsed="false">
      <c r="A750" s="38"/>
      <c r="B750" s="11"/>
      <c r="C750" s="10"/>
      <c r="D750" s="39"/>
      <c r="E750" s="12"/>
      <c r="F750" s="40"/>
      <c r="G750" s="18" t="str">
        <f aca="false">IF(AND(ISNUMBER($E750),ISNUMBER($F750),$D750&lt;&gt;"R"),$E750*$F750,"")</f>
        <v/>
      </c>
      <c r="H750" s="10"/>
    </row>
    <row r="751" customFormat="false" ht="15.75" hidden="false" customHeight="true" outlineLevel="0" collapsed="false">
      <c r="A751" s="38"/>
      <c r="B751" s="11"/>
      <c r="C751" s="10"/>
      <c r="D751" s="39"/>
      <c r="E751" s="12"/>
      <c r="F751" s="40"/>
      <c r="G751" s="18" t="str">
        <f aca="false">IF(AND(ISNUMBER($E751),ISNUMBER($F751),$D751&lt;&gt;"R"),$E751*$F751,"")</f>
        <v/>
      </c>
      <c r="H751" s="10"/>
    </row>
    <row r="752" customFormat="false" ht="15.75" hidden="false" customHeight="true" outlineLevel="0" collapsed="false">
      <c r="A752" s="38"/>
      <c r="B752" s="11"/>
      <c r="C752" s="10"/>
      <c r="D752" s="39"/>
      <c r="E752" s="12"/>
      <c r="F752" s="40"/>
      <c r="G752" s="18" t="str">
        <f aca="false">IF(AND(ISNUMBER($E752),ISNUMBER($F752),$D752&lt;&gt;"R"),$E752*$F752,"")</f>
        <v/>
      </c>
      <c r="H752" s="10"/>
    </row>
    <row r="753" customFormat="false" ht="15.75" hidden="false" customHeight="true" outlineLevel="0" collapsed="false">
      <c r="A753" s="38"/>
      <c r="B753" s="11"/>
      <c r="C753" s="10"/>
      <c r="D753" s="39"/>
      <c r="E753" s="12"/>
      <c r="F753" s="40"/>
      <c r="G753" s="18" t="str">
        <f aca="false">IF(AND(ISNUMBER($E753),ISNUMBER($F753),$D753&lt;&gt;"R"),$E753*$F753,"")</f>
        <v/>
      </c>
      <c r="H753" s="10"/>
    </row>
    <row r="754" customFormat="false" ht="15.75" hidden="false" customHeight="true" outlineLevel="0" collapsed="false">
      <c r="A754" s="38"/>
      <c r="B754" s="11"/>
      <c r="C754" s="10"/>
      <c r="D754" s="39"/>
      <c r="E754" s="12"/>
      <c r="F754" s="40"/>
      <c r="G754" s="18" t="str">
        <f aca="false">IF(AND(ISNUMBER($E754),ISNUMBER($F754),$D754&lt;&gt;"R"),$E754*$F754,"")</f>
        <v/>
      </c>
      <c r="H754" s="10"/>
    </row>
    <row r="755" customFormat="false" ht="15.75" hidden="false" customHeight="true" outlineLevel="0" collapsed="false">
      <c r="A755" s="38"/>
      <c r="B755" s="11"/>
      <c r="C755" s="10"/>
      <c r="D755" s="39"/>
      <c r="E755" s="12"/>
      <c r="F755" s="40"/>
      <c r="G755" s="18" t="str">
        <f aca="false">IF(AND(ISNUMBER($E755),ISNUMBER($F755),$D755&lt;&gt;"R"),$E755*$F755,"")</f>
        <v/>
      </c>
      <c r="H755" s="10"/>
    </row>
    <row r="756" customFormat="false" ht="15.75" hidden="false" customHeight="true" outlineLevel="0" collapsed="false">
      <c r="A756" s="38"/>
      <c r="B756" s="11"/>
      <c r="C756" s="10"/>
      <c r="D756" s="39"/>
      <c r="E756" s="12"/>
      <c r="F756" s="40"/>
      <c r="G756" s="18" t="str">
        <f aca="false">IF(AND(ISNUMBER($E756),ISNUMBER($F756),$D756&lt;&gt;"R"),$E756*$F756,"")</f>
        <v/>
      </c>
      <c r="H756" s="10"/>
    </row>
    <row r="757" customFormat="false" ht="15.75" hidden="false" customHeight="true" outlineLevel="0" collapsed="false">
      <c r="A757" s="38"/>
      <c r="B757" s="11"/>
      <c r="C757" s="10"/>
      <c r="D757" s="39"/>
      <c r="E757" s="12"/>
      <c r="F757" s="40"/>
      <c r="G757" s="18" t="str">
        <f aca="false">IF(AND(ISNUMBER($E757),ISNUMBER($F757),$D757&lt;&gt;"R"),$E757*$F757,"")</f>
        <v/>
      </c>
      <c r="H757" s="10"/>
    </row>
    <row r="758" customFormat="false" ht="15.75" hidden="false" customHeight="true" outlineLevel="0" collapsed="false">
      <c r="A758" s="38"/>
      <c r="B758" s="11"/>
      <c r="C758" s="10"/>
      <c r="D758" s="39"/>
      <c r="E758" s="12"/>
      <c r="F758" s="40"/>
      <c r="G758" s="18" t="str">
        <f aca="false">IF(AND(ISNUMBER($E758),ISNUMBER($F758),$D758&lt;&gt;"R"),$E758*$F758,"")</f>
        <v/>
      </c>
      <c r="H758" s="10"/>
    </row>
    <row r="759" customFormat="false" ht="15.75" hidden="false" customHeight="true" outlineLevel="0" collapsed="false">
      <c r="A759" s="38"/>
      <c r="B759" s="11"/>
      <c r="C759" s="10"/>
      <c r="D759" s="39"/>
      <c r="E759" s="12"/>
      <c r="F759" s="40"/>
      <c r="G759" s="18" t="str">
        <f aca="false">IF(AND(ISNUMBER($E759),ISNUMBER($F759),$D759&lt;&gt;"R"),$E759*$F759,"")</f>
        <v/>
      </c>
      <c r="H759" s="10"/>
    </row>
    <row r="760" customFormat="false" ht="15.75" hidden="false" customHeight="true" outlineLevel="0" collapsed="false">
      <c r="A760" s="38"/>
      <c r="B760" s="11"/>
      <c r="C760" s="10"/>
      <c r="D760" s="39"/>
      <c r="E760" s="12"/>
      <c r="F760" s="40"/>
      <c r="G760" s="18" t="str">
        <f aca="false">IF(AND(ISNUMBER($E760),ISNUMBER($F760),$D760&lt;&gt;"R"),$E760*$F760,"")</f>
        <v/>
      </c>
      <c r="H760" s="10"/>
    </row>
    <row r="761" customFormat="false" ht="15.75" hidden="false" customHeight="true" outlineLevel="0" collapsed="false">
      <c r="A761" s="38"/>
      <c r="B761" s="11"/>
      <c r="C761" s="10"/>
      <c r="D761" s="39"/>
      <c r="E761" s="12"/>
      <c r="F761" s="40"/>
      <c r="G761" s="18" t="str">
        <f aca="false">IF(AND(ISNUMBER($E761),ISNUMBER($F761),$D761&lt;&gt;"R"),$E761*$F761,"")</f>
        <v/>
      </c>
      <c r="H761" s="10"/>
    </row>
    <row r="762" customFormat="false" ht="15.75" hidden="false" customHeight="true" outlineLevel="0" collapsed="false">
      <c r="A762" s="38"/>
      <c r="B762" s="11"/>
      <c r="C762" s="10"/>
      <c r="D762" s="39"/>
      <c r="E762" s="12"/>
      <c r="F762" s="40"/>
      <c r="G762" s="18" t="str">
        <f aca="false">IF(AND(ISNUMBER($E762),ISNUMBER($F762),$D762&lt;&gt;"R"),$E762*$F762,"")</f>
        <v/>
      </c>
      <c r="H762" s="10"/>
    </row>
    <row r="763" customFormat="false" ht="15.75" hidden="false" customHeight="true" outlineLevel="0" collapsed="false">
      <c r="A763" s="38"/>
      <c r="B763" s="11"/>
      <c r="C763" s="10"/>
      <c r="D763" s="39"/>
      <c r="E763" s="12"/>
      <c r="F763" s="40"/>
      <c r="G763" s="18" t="str">
        <f aca="false">IF(AND(ISNUMBER($E763),ISNUMBER($F763),$D763&lt;&gt;"R"),$E763*$F763,"")</f>
        <v/>
      </c>
      <c r="H763" s="10"/>
    </row>
    <row r="764" customFormat="false" ht="15.75" hidden="false" customHeight="true" outlineLevel="0" collapsed="false">
      <c r="A764" s="38"/>
      <c r="B764" s="11"/>
      <c r="C764" s="10"/>
      <c r="D764" s="39"/>
      <c r="E764" s="12"/>
      <c r="F764" s="40"/>
      <c r="G764" s="18" t="str">
        <f aca="false">IF(AND(ISNUMBER($E764),ISNUMBER($F764),$D764&lt;&gt;"R"),$E764*$F764,"")</f>
        <v/>
      </c>
      <c r="H764" s="10"/>
    </row>
    <row r="765" customFormat="false" ht="15.75" hidden="false" customHeight="true" outlineLevel="0" collapsed="false">
      <c r="A765" s="38"/>
      <c r="B765" s="11"/>
      <c r="C765" s="10"/>
      <c r="D765" s="39"/>
      <c r="E765" s="12"/>
      <c r="F765" s="40"/>
      <c r="G765" s="18" t="str">
        <f aca="false">IF(AND(ISNUMBER($E765),ISNUMBER($F765),$D765&lt;&gt;"R"),$E765*$F765,"")</f>
        <v/>
      </c>
      <c r="H765" s="10"/>
    </row>
    <row r="766" customFormat="false" ht="15.75" hidden="false" customHeight="true" outlineLevel="0" collapsed="false">
      <c r="A766" s="38"/>
      <c r="B766" s="11"/>
      <c r="C766" s="10"/>
      <c r="D766" s="39"/>
      <c r="E766" s="12"/>
      <c r="F766" s="40"/>
      <c r="G766" s="18" t="str">
        <f aca="false">IF(AND(ISNUMBER($E766),ISNUMBER($F766),$D766&lt;&gt;"R"),$E766*$F766,"")</f>
        <v/>
      </c>
      <c r="H766" s="10"/>
    </row>
    <row r="767" customFormat="false" ht="15.75" hidden="false" customHeight="true" outlineLevel="0" collapsed="false">
      <c r="A767" s="38"/>
      <c r="B767" s="11"/>
      <c r="C767" s="10"/>
      <c r="D767" s="39"/>
      <c r="E767" s="12"/>
      <c r="F767" s="40"/>
      <c r="G767" s="18" t="str">
        <f aca="false">IF(AND(ISNUMBER($E767),ISNUMBER($F767),$D767&lt;&gt;"R"),$E767*$F767,"")</f>
        <v/>
      </c>
      <c r="H767" s="10"/>
    </row>
    <row r="768" customFormat="false" ht="15.75" hidden="false" customHeight="true" outlineLevel="0" collapsed="false">
      <c r="A768" s="38"/>
      <c r="B768" s="11"/>
      <c r="C768" s="10"/>
      <c r="D768" s="39"/>
      <c r="E768" s="12"/>
      <c r="F768" s="40"/>
      <c r="G768" s="18" t="str">
        <f aca="false">IF(AND(ISNUMBER($E768),ISNUMBER($F768),$D768&lt;&gt;"R"),$E768*$F768,"")</f>
        <v/>
      </c>
      <c r="H768" s="10"/>
    </row>
    <row r="769" customFormat="false" ht="15.75" hidden="false" customHeight="true" outlineLevel="0" collapsed="false">
      <c r="A769" s="38"/>
      <c r="B769" s="11"/>
      <c r="C769" s="10"/>
      <c r="D769" s="39"/>
      <c r="E769" s="12"/>
      <c r="F769" s="40"/>
      <c r="G769" s="18" t="str">
        <f aca="false">IF(AND(ISNUMBER($E769),ISNUMBER($F769),$D769&lt;&gt;"R"),$E769*$F769,"")</f>
        <v/>
      </c>
      <c r="H769" s="10"/>
    </row>
    <row r="770" customFormat="false" ht="15.75" hidden="false" customHeight="true" outlineLevel="0" collapsed="false">
      <c r="A770" s="38"/>
      <c r="B770" s="11"/>
      <c r="C770" s="10"/>
      <c r="D770" s="39"/>
      <c r="E770" s="12"/>
      <c r="F770" s="40"/>
      <c r="G770" s="18" t="str">
        <f aca="false">IF(AND(ISNUMBER($E770),ISNUMBER($F770),$D770&lt;&gt;"R"),$E770*$F770,"")</f>
        <v/>
      </c>
      <c r="H770" s="10"/>
    </row>
    <row r="771" customFormat="false" ht="15.75" hidden="false" customHeight="true" outlineLevel="0" collapsed="false">
      <c r="A771" s="38"/>
      <c r="B771" s="11"/>
      <c r="C771" s="10"/>
      <c r="D771" s="39"/>
      <c r="E771" s="12"/>
      <c r="F771" s="40"/>
      <c r="G771" s="18" t="str">
        <f aca="false">IF(AND(ISNUMBER($E771),ISNUMBER($F771),$D771&lt;&gt;"R"),$E771*$F771,"")</f>
        <v/>
      </c>
      <c r="H771" s="10"/>
    </row>
    <row r="772" customFormat="false" ht="15.75" hidden="false" customHeight="true" outlineLevel="0" collapsed="false">
      <c r="A772" s="38"/>
      <c r="B772" s="11"/>
      <c r="C772" s="10"/>
      <c r="D772" s="39"/>
      <c r="E772" s="12"/>
      <c r="F772" s="40"/>
      <c r="G772" s="18" t="str">
        <f aca="false">IF(AND(ISNUMBER($E772),ISNUMBER($F772),$D772&lt;&gt;"R"),$E772*$F772,"")</f>
        <v/>
      </c>
      <c r="H772" s="10"/>
    </row>
    <row r="773" customFormat="false" ht="15.75" hidden="false" customHeight="true" outlineLevel="0" collapsed="false">
      <c r="A773" s="38"/>
      <c r="B773" s="11"/>
      <c r="C773" s="10"/>
      <c r="D773" s="39"/>
      <c r="E773" s="12"/>
      <c r="F773" s="40"/>
      <c r="G773" s="18" t="str">
        <f aca="false">IF(AND(ISNUMBER($E773),ISNUMBER($F773),$D773&lt;&gt;"R"),$E773*$F773,"")</f>
        <v/>
      </c>
      <c r="H773" s="10"/>
    </row>
    <row r="774" customFormat="false" ht="15.75" hidden="false" customHeight="true" outlineLevel="0" collapsed="false">
      <c r="A774" s="38"/>
      <c r="B774" s="11"/>
      <c r="C774" s="10"/>
      <c r="D774" s="39"/>
      <c r="E774" s="12"/>
      <c r="F774" s="40"/>
      <c r="G774" s="18" t="str">
        <f aca="false">IF(AND(ISNUMBER($E774),ISNUMBER($F774),$D774&lt;&gt;"R"),$E774*$F774,"")</f>
        <v/>
      </c>
      <c r="H774" s="10"/>
    </row>
    <row r="775" customFormat="false" ht="15.75" hidden="false" customHeight="true" outlineLevel="0" collapsed="false">
      <c r="A775" s="38"/>
      <c r="B775" s="11"/>
      <c r="C775" s="10"/>
      <c r="D775" s="39"/>
      <c r="E775" s="12"/>
      <c r="F775" s="40"/>
      <c r="G775" s="18" t="str">
        <f aca="false">IF(AND(ISNUMBER($E775),ISNUMBER($F775),$D775&lt;&gt;"R"),$E775*$F775,"")</f>
        <v/>
      </c>
      <c r="H775" s="10"/>
    </row>
    <row r="776" customFormat="false" ht="15.75" hidden="false" customHeight="true" outlineLevel="0" collapsed="false">
      <c r="A776" s="38"/>
      <c r="B776" s="11"/>
      <c r="C776" s="10"/>
      <c r="D776" s="39"/>
      <c r="E776" s="12"/>
      <c r="F776" s="40"/>
      <c r="G776" s="18" t="str">
        <f aca="false">IF(AND(ISNUMBER($E776),ISNUMBER($F776),$D776&lt;&gt;"R"),$E776*$F776,"")</f>
        <v/>
      </c>
      <c r="H776" s="10"/>
    </row>
    <row r="777" customFormat="false" ht="15.75" hidden="false" customHeight="true" outlineLevel="0" collapsed="false">
      <c r="A777" s="38"/>
      <c r="B777" s="11"/>
      <c r="C777" s="10"/>
      <c r="D777" s="39"/>
      <c r="E777" s="12"/>
      <c r="F777" s="40"/>
      <c r="G777" s="18" t="str">
        <f aca="false">IF(AND(ISNUMBER($E777),ISNUMBER($F777),$D777&lt;&gt;"R"),$E777*$F777,"")</f>
        <v/>
      </c>
      <c r="H777" s="10"/>
    </row>
    <row r="778" customFormat="false" ht="15.75" hidden="false" customHeight="true" outlineLevel="0" collapsed="false">
      <c r="A778" s="38"/>
      <c r="B778" s="11"/>
      <c r="C778" s="10"/>
      <c r="D778" s="39"/>
      <c r="E778" s="12"/>
      <c r="F778" s="40"/>
      <c r="G778" s="18" t="str">
        <f aca="false">IF(AND(ISNUMBER($E778),ISNUMBER($F778),$D778&lt;&gt;"R"),$E778*$F778,"")</f>
        <v/>
      </c>
      <c r="H778" s="10"/>
    </row>
    <row r="779" customFormat="false" ht="15.75" hidden="false" customHeight="true" outlineLevel="0" collapsed="false">
      <c r="A779" s="38"/>
      <c r="B779" s="11"/>
      <c r="C779" s="10"/>
      <c r="D779" s="39"/>
      <c r="E779" s="12"/>
      <c r="F779" s="40"/>
      <c r="G779" s="18" t="str">
        <f aca="false">IF(AND(ISNUMBER($E779),ISNUMBER($F779),$D779&lt;&gt;"R"),$E779*$F779,"")</f>
        <v/>
      </c>
      <c r="H779" s="10"/>
    </row>
    <row r="780" customFormat="false" ht="15.75" hidden="false" customHeight="true" outlineLevel="0" collapsed="false">
      <c r="A780" s="38"/>
      <c r="B780" s="11"/>
      <c r="C780" s="10"/>
      <c r="D780" s="39"/>
      <c r="E780" s="12"/>
      <c r="F780" s="40"/>
      <c r="G780" s="18" t="str">
        <f aca="false">IF(AND(ISNUMBER($E780),ISNUMBER($F780),$D780&lt;&gt;"R"),$E780*$F780,"")</f>
        <v/>
      </c>
      <c r="H780" s="10"/>
    </row>
    <row r="781" customFormat="false" ht="15.75" hidden="false" customHeight="true" outlineLevel="0" collapsed="false">
      <c r="A781" s="38"/>
      <c r="B781" s="11"/>
      <c r="C781" s="10"/>
      <c r="D781" s="39"/>
      <c r="E781" s="12"/>
      <c r="F781" s="40"/>
      <c r="G781" s="18" t="str">
        <f aca="false">IF(AND(ISNUMBER($E781),ISNUMBER($F781),$D781&lt;&gt;"R"),$E781*$F781,"")</f>
        <v/>
      </c>
      <c r="H781" s="10"/>
    </row>
    <row r="782" customFormat="false" ht="15.75" hidden="false" customHeight="true" outlineLevel="0" collapsed="false">
      <c r="A782" s="38"/>
      <c r="B782" s="11"/>
      <c r="C782" s="10"/>
      <c r="D782" s="39"/>
      <c r="E782" s="12"/>
      <c r="F782" s="40"/>
      <c r="G782" s="18" t="str">
        <f aca="false">IF(AND(ISNUMBER($E782),ISNUMBER($F782),$D782&lt;&gt;"R"),$E782*$F782,"")</f>
        <v/>
      </c>
      <c r="H782" s="10"/>
    </row>
    <row r="783" customFormat="false" ht="15.75" hidden="false" customHeight="true" outlineLevel="0" collapsed="false">
      <c r="A783" s="38"/>
      <c r="B783" s="11"/>
      <c r="C783" s="10"/>
      <c r="D783" s="39"/>
      <c r="E783" s="12"/>
      <c r="F783" s="40"/>
      <c r="G783" s="18" t="str">
        <f aca="false">IF(AND(ISNUMBER($E783),ISNUMBER($F783),$D783&lt;&gt;"R"),$E783*$F783,"")</f>
        <v/>
      </c>
      <c r="H783" s="10"/>
    </row>
    <row r="784" customFormat="false" ht="15.75" hidden="false" customHeight="true" outlineLevel="0" collapsed="false">
      <c r="A784" s="38"/>
      <c r="B784" s="11"/>
      <c r="C784" s="10"/>
      <c r="D784" s="39"/>
      <c r="E784" s="12"/>
      <c r="F784" s="40"/>
      <c r="G784" s="18" t="str">
        <f aca="false">IF(AND(ISNUMBER($E784),ISNUMBER($F784),$D784&lt;&gt;"R"),$E784*$F784,"")</f>
        <v/>
      </c>
      <c r="H784" s="10"/>
    </row>
    <row r="785" customFormat="false" ht="15.75" hidden="false" customHeight="true" outlineLevel="0" collapsed="false">
      <c r="A785" s="38"/>
      <c r="B785" s="11"/>
      <c r="C785" s="10"/>
      <c r="D785" s="39"/>
      <c r="E785" s="12"/>
      <c r="F785" s="40"/>
      <c r="G785" s="18" t="str">
        <f aca="false">IF(AND(ISNUMBER($E785),ISNUMBER($F785),$D785&lt;&gt;"R"),$E785*$F785,"")</f>
        <v/>
      </c>
      <c r="H785" s="10"/>
    </row>
    <row r="786" customFormat="false" ht="15.75" hidden="false" customHeight="true" outlineLevel="0" collapsed="false">
      <c r="A786" s="38"/>
      <c r="B786" s="11"/>
      <c r="C786" s="10"/>
      <c r="D786" s="39"/>
      <c r="E786" s="12"/>
      <c r="F786" s="40"/>
      <c r="G786" s="18" t="str">
        <f aca="false">IF(AND(ISNUMBER($E786),ISNUMBER($F786),$D786&lt;&gt;"R"),$E786*$F786,"")</f>
        <v/>
      </c>
      <c r="H786" s="10"/>
    </row>
    <row r="787" customFormat="false" ht="15.75" hidden="false" customHeight="true" outlineLevel="0" collapsed="false">
      <c r="A787" s="38"/>
      <c r="B787" s="11"/>
      <c r="C787" s="10"/>
      <c r="D787" s="39"/>
      <c r="E787" s="12"/>
      <c r="F787" s="40"/>
      <c r="G787" s="18" t="str">
        <f aca="false">IF(AND(ISNUMBER($E787),ISNUMBER($F787),$D787&lt;&gt;"R"),$E787*$F787,"")</f>
        <v/>
      </c>
      <c r="H787" s="10"/>
    </row>
    <row r="788" customFormat="false" ht="15.75" hidden="false" customHeight="true" outlineLevel="0" collapsed="false">
      <c r="A788" s="38"/>
      <c r="B788" s="11"/>
      <c r="C788" s="10"/>
      <c r="D788" s="39"/>
      <c r="E788" s="12"/>
      <c r="F788" s="40"/>
      <c r="G788" s="18" t="str">
        <f aca="false">IF(AND(ISNUMBER($E788),ISNUMBER($F788),$D788&lt;&gt;"R"),$E788*$F788,"")</f>
        <v/>
      </c>
      <c r="H788" s="10"/>
    </row>
    <row r="789" customFormat="false" ht="15.75" hidden="false" customHeight="true" outlineLevel="0" collapsed="false">
      <c r="A789" s="38"/>
      <c r="B789" s="11"/>
      <c r="C789" s="10"/>
      <c r="D789" s="39"/>
      <c r="E789" s="12"/>
      <c r="F789" s="40"/>
      <c r="G789" s="18" t="str">
        <f aca="false">IF(AND(ISNUMBER($E789),ISNUMBER($F789),$D789&lt;&gt;"R"),$E789*$F789,"")</f>
        <v/>
      </c>
      <c r="H789" s="10"/>
    </row>
    <row r="790" customFormat="false" ht="15.75" hidden="false" customHeight="true" outlineLevel="0" collapsed="false">
      <c r="A790" s="38"/>
      <c r="B790" s="11"/>
      <c r="C790" s="10"/>
      <c r="D790" s="39"/>
      <c r="E790" s="12"/>
      <c r="F790" s="40"/>
      <c r="G790" s="18" t="str">
        <f aca="false">IF(AND(ISNUMBER($E790),ISNUMBER($F790),$D790&lt;&gt;"R"),$E790*$F790,"")</f>
        <v/>
      </c>
      <c r="H790" s="10"/>
    </row>
    <row r="791" customFormat="false" ht="15.75" hidden="false" customHeight="true" outlineLevel="0" collapsed="false">
      <c r="A791" s="38"/>
      <c r="B791" s="11"/>
      <c r="C791" s="10"/>
      <c r="D791" s="39"/>
      <c r="E791" s="12"/>
      <c r="F791" s="40"/>
      <c r="G791" s="18" t="str">
        <f aca="false">IF(AND(ISNUMBER($E791),ISNUMBER($F791),$D791&lt;&gt;"R"),$E791*$F791,"")</f>
        <v/>
      </c>
      <c r="H791" s="10"/>
    </row>
    <row r="792" customFormat="false" ht="15.75" hidden="false" customHeight="true" outlineLevel="0" collapsed="false">
      <c r="A792" s="38"/>
      <c r="B792" s="11"/>
      <c r="C792" s="10"/>
      <c r="D792" s="39"/>
      <c r="E792" s="12"/>
      <c r="F792" s="40"/>
      <c r="G792" s="18" t="str">
        <f aca="false">IF(AND(ISNUMBER($E792),ISNUMBER($F792),$D792&lt;&gt;"R"),$E792*$F792,"")</f>
        <v/>
      </c>
      <c r="H792" s="10"/>
    </row>
    <row r="793" customFormat="false" ht="15.75" hidden="false" customHeight="true" outlineLevel="0" collapsed="false">
      <c r="A793" s="38"/>
      <c r="B793" s="11"/>
      <c r="C793" s="10"/>
      <c r="D793" s="39"/>
      <c r="E793" s="12"/>
      <c r="F793" s="40"/>
      <c r="G793" s="18" t="str">
        <f aca="false">IF(AND(ISNUMBER($E793),ISNUMBER($F793),$D793&lt;&gt;"R"),$E793*$F793,"")</f>
        <v/>
      </c>
      <c r="H793" s="10"/>
    </row>
    <row r="794" customFormat="false" ht="15.75" hidden="false" customHeight="true" outlineLevel="0" collapsed="false">
      <c r="A794" s="38"/>
      <c r="B794" s="11"/>
      <c r="C794" s="10"/>
      <c r="D794" s="39"/>
      <c r="E794" s="12"/>
      <c r="F794" s="40"/>
      <c r="G794" s="18" t="str">
        <f aca="false">IF(AND(ISNUMBER($E794),ISNUMBER($F794),$D794&lt;&gt;"R"),$E794*$F794,"")</f>
        <v/>
      </c>
      <c r="H794" s="10"/>
    </row>
    <row r="795" customFormat="false" ht="15.75" hidden="false" customHeight="true" outlineLevel="0" collapsed="false">
      <c r="A795" s="38"/>
      <c r="B795" s="11"/>
      <c r="C795" s="10"/>
      <c r="D795" s="39"/>
      <c r="E795" s="12"/>
      <c r="F795" s="40"/>
      <c r="G795" s="18" t="str">
        <f aca="false">IF(AND(ISNUMBER($E795),ISNUMBER($F795),$D795&lt;&gt;"R"),$E795*$F795,"")</f>
        <v/>
      </c>
      <c r="H795" s="10"/>
    </row>
    <row r="796" customFormat="false" ht="15.75" hidden="false" customHeight="true" outlineLevel="0" collapsed="false">
      <c r="A796" s="38"/>
      <c r="B796" s="11"/>
      <c r="C796" s="10"/>
      <c r="D796" s="39"/>
      <c r="E796" s="12"/>
      <c r="F796" s="40"/>
      <c r="G796" s="18" t="str">
        <f aca="false">IF(AND(ISNUMBER($E796),ISNUMBER($F796),$D796&lt;&gt;"R"),$E796*$F796,"")</f>
        <v/>
      </c>
      <c r="H796" s="10"/>
    </row>
    <row r="797" customFormat="false" ht="15.75" hidden="false" customHeight="true" outlineLevel="0" collapsed="false">
      <c r="A797" s="38"/>
      <c r="B797" s="11"/>
      <c r="C797" s="10"/>
      <c r="D797" s="39"/>
      <c r="E797" s="12"/>
      <c r="F797" s="40"/>
      <c r="G797" s="18" t="str">
        <f aca="false">IF(AND(ISNUMBER($E797),ISNUMBER($F797),$D797&lt;&gt;"R"),$E797*$F797,"")</f>
        <v/>
      </c>
      <c r="H797" s="10"/>
    </row>
    <row r="798" customFormat="false" ht="15.75" hidden="false" customHeight="true" outlineLevel="0" collapsed="false">
      <c r="A798" s="38"/>
      <c r="B798" s="11"/>
      <c r="C798" s="10"/>
      <c r="D798" s="39"/>
      <c r="E798" s="12"/>
      <c r="F798" s="40"/>
      <c r="G798" s="18" t="str">
        <f aca="false">IF(AND(ISNUMBER($E798),ISNUMBER($F798),$D798&lt;&gt;"R"),$E798*$F798,"")</f>
        <v/>
      </c>
      <c r="H798" s="10"/>
    </row>
    <row r="799" customFormat="false" ht="15.75" hidden="false" customHeight="true" outlineLevel="0" collapsed="false">
      <c r="A799" s="38"/>
      <c r="B799" s="11"/>
      <c r="C799" s="10"/>
      <c r="D799" s="39"/>
      <c r="E799" s="12"/>
      <c r="F799" s="40"/>
      <c r="G799" s="18" t="str">
        <f aca="false">IF(AND(ISNUMBER($E799),ISNUMBER($F799),$D799&lt;&gt;"R"),$E799*$F799,"")</f>
        <v/>
      </c>
      <c r="H799" s="10"/>
    </row>
    <row r="800" customFormat="false" ht="15.75" hidden="false" customHeight="true" outlineLevel="0" collapsed="false">
      <c r="A800" s="38"/>
      <c r="B800" s="11"/>
      <c r="C800" s="10"/>
      <c r="D800" s="39"/>
      <c r="E800" s="12"/>
      <c r="F800" s="40"/>
      <c r="G800" s="18" t="str">
        <f aca="false">IF(AND(ISNUMBER($E800),ISNUMBER($F800),$D800&lt;&gt;"R"),$E800*$F800,"")</f>
        <v/>
      </c>
      <c r="H800" s="10"/>
    </row>
    <row r="801" customFormat="false" ht="15.75" hidden="false" customHeight="true" outlineLevel="0" collapsed="false">
      <c r="A801" s="38"/>
      <c r="B801" s="11"/>
      <c r="C801" s="10"/>
      <c r="D801" s="39"/>
      <c r="E801" s="12"/>
      <c r="F801" s="40"/>
      <c r="G801" s="18" t="str">
        <f aca="false">IF(AND(ISNUMBER($E801),ISNUMBER($F801),$D801&lt;&gt;"R"),$E801*$F801,"")</f>
        <v/>
      </c>
      <c r="H801" s="10"/>
    </row>
    <row r="802" customFormat="false" ht="15.75" hidden="false" customHeight="true" outlineLevel="0" collapsed="false">
      <c r="A802" s="38"/>
      <c r="B802" s="11"/>
      <c r="C802" s="10"/>
      <c r="D802" s="39"/>
      <c r="E802" s="12"/>
      <c r="F802" s="40"/>
      <c r="G802" s="18" t="str">
        <f aca="false">IF(AND(ISNUMBER($E802),ISNUMBER($F802),$D802&lt;&gt;"R"),$E802*$F802,"")</f>
        <v/>
      </c>
      <c r="H802" s="10"/>
    </row>
    <row r="803" customFormat="false" ht="15.75" hidden="false" customHeight="true" outlineLevel="0" collapsed="false">
      <c r="A803" s="38"/>
      <c r="B803" s="11"/>
      <c r="C803" s="10"/>
      <c r="D803" s="39"/>
      <c r="E803" s="12"/>
      <c r="F803" s="40"/>
      <c r="G803" s="18" t="str">
        <f aca="false">IF(AND(ISNUMBER($E803),ISNUMBER($F803),$D803&lt;&gt;"R"),$E803*$F803,"")</f>
        <v/>
      </c>
      <c r="H803" s="10"/>
    </row>
    <row r="804" customFormat="false" ht="15.75" hidden="false" customHeight="true" outlineLevel="0" collapsed="false">
      <c r="A804" s="38"/>
      <c r="B804" s="11"/>
      <c r="C804" s="10"/>
      <c r="D804" s="39"/>
      <c r="E804" s="12"/>
      <c r="F804" s="40"/>
      <c r="G804" s="18" t="str">
        <f aca="false">IF(AND(ISNUMBER($E804),ISNUMBER($F804),$D804&lt;&gt;"R"),$E804*$F804,"")</f>
        <v/>
      </c>
      <c r="H804" s="10"/>
    </row>
    <row r="805" customFormat="false" ht="15.75" hidden="false" customHeight="true" outlineLevel="0" collapsed="false">
      <c r="A805" s="38"/>
      <c r="B805" s="11"/>
      <c r="C805" s="10"/>
      <c r="D805" s="39"/>
      <c r="E805" s="12"/>
      <c r="F805" s="40"/>
      <c r="G805" s="18" t="str">
        <f aca="false">IF(AND(ISNUMBER($E805),ISNUMBER($F805),$D805&lt;&gt;"R"),$E805*$F805,"")</f>
        <v/>
      </c>
      <c r="H805" s="10"/>
    </row>
    <row r="806" customFormat="false" ht="15.75" hidden="false" customHeight="true" outlineLevel="0" collapsed="false">
      <c r="A806" s="38"/>
      <c r="B806" s="11"/>
      <c r="C806" s="10"/>
      <c r="D806" s="39"/>
      <c r="E806" s="12"/>
      <c r="F806" s="40"/>
      <c r="G806" s="18" t="str">
        <f aca="false">IF(AND(ISNUMBER($E806),ISNUMBER($F806),$D806&lt;&gt;"R"),$E806*$F806,"")</f>
        <v/>
      </c>
      <c r="H806" s="10"/>
    </row>
    <row r="807" customFormat="false" ht="15.75" hidden="false" customHeight="true" outlineLevel="0" collapsed="false">
      <c r="A807" s="38"/>
      <c r="B807" s="11"/>
      <c r="C807" s="10"/>
      <c r="D807" s="39"/>
      <c r="E807" s="12"/>
      <c r="F807" s="40"/>
      <c r="G807" s="18" t="str">
        <f aca="false">IF(AND(ISNUMBER($E807),ISNUMBER($F807),$D807&lt;&gt;"R"),$E807*$F807,"")</f>
        <v/>
      </c>
      <c r="H807" s="10"/>
    </row>
    <row r="808" customFormat="false" ht="15.75" hidden="false" customHeight="true" outlineLevel="0" collapsed="false">
      <c r="A808" s="38"/>
      <c r="B808" s="11"/>
      <c r="C808" s="10"/>
      <c r="D808" s="39"/>
      <c r="E808" s="12"/>
      <c r="F808" s="40"/>
      <c r="G808" s="18" t="str">
        <f aca="false">IF(AND(ISNUMBER($E808),ISNUMBER($F808),$D808&lt;&gt;"R"),$E808*$F808,"")</f>
        <v/>
      </c>
      <c r="H808" s="10"/>
    </row>
    <row r="809" customFormat="false" ht="15.75" hidden="false" customHeight="true" outlineLevel="0" collapsed="false">
      <c r="A809" s="38"/>
      <c r="B809" s="11"/>
      <c r="C809" s="10"/>
      <c r="D809" s="39"/>
      <c r="E809" s="12"/>
      <c r="F809" s="40"/>
      <c r="G809" s="18" t="str">
        <f aca="false">IF(AND(ISNUMBER($E809),ISNUMBER($F809),$D809&lt;&gt;"R"),$E809*$F809,"")</f>
        <v/>
      </c>
      <c r="H809" s="10"/>
    </row>
    <row r="810" customFormat="false" ht="15.75" hidden="false" customHeight="true" outlineLevel="0" collapsed="false">
      <c r="A810" s="38"/>
      <c r="B810" s="11"/>
      <c r="C810" s="10"/>
      <c r="D810" s="39"/>
      <c r="E810" s="12"/>
      <c r="F810" s="40"/>
      <c r="G810" s="18" t="str">
        <f aca="false">IF(AND(ISNUMBER($E810),ISNUMBER($F810),$D810&lt;&gt;"R"),$E810*$F810,"")</f>
        <v/>
      </c>
      <c r="H810" s="10"/>
    </row>
    <row r="811" customFormat="false" ht="15.75" hidden="false" customHeight="true" outlineLevel="0" collapsed="false">
      <c r="A811" s="38"/>
      <c r="B811" s="11"/>
      <c r="C811" s="10"/>
      <c r="D811" s="39"/>
      <c r="E811" s="12"/>
      <c r="F811" s="40"/>
      <c r="G811" s="18" t="str">
        <f aca="false">IF(AND(ISNUMBER($E811),ISNUMBER($F811),$D811&lt;&gt;"R"),$E811*$F811,"")</f>
        <v/>
      </c>
      <c r="H811" s="10"/>
    </row>
    <row r="812" customFormat="false" ht="15.75" hidden="false" customHeight="true" outlineLevel="0" collapsed="false">
      <c r="A812" s="38"/>
      <c r="B812" s="11"/>
      <c r="C812" s="10"/>
      <c r="D812" s="39"/>
      <c r="E812" s="12"/>
      <c r="F812" s="40"/>
      <c r="G812" s="18" t="str">
        <f aca="false">IF(AND(ISNUMBER($E812),ISNUMBER($F812),$D812&lt;&gt;"R"),$E812*$F812,"")</f>
        <v/>
      </c>
      <c r="H812" s="10"/>
    </row>
    <row r="813" customFormat="false" ht="15.75" hidden="false" customHeight="true" outlineLevel="0" collapsed="false">
      <c r="A813" s="38"/>
      <c r="B813" s="11"/>
      <c r="C813" s="10"/>
      <c r="D813" s="39"/>
      <c r="E813" s="12"/>
      <c r="F813" s="40"/>
      <c r="G813" s="18" t="str">
        <f aca="false">IF(AND(ISNUMBER($E813),ISNUMBER($F813),$D813&lt;&gt;"R"),$E813*$F813,"")</f>
        <v/>
      </c>
      <c r="H813" s="10"/>
    </row>
    <row r="814" customFormat="false" ht="15.75" hidden="false" customHeight="true" outlineLevel="0" collapsed="false">
      <c r="A814" s="38"/>
      <c r="B814" s="11"/>
      <c r="C814" s="10"/>
      <c r="D814" s="39"/>
      <c r="E814" s="12"/>
      <c r="F814" s="40"/>
      <c r="G814" s="18" t="str">
        <f aca="false">IF(AND(ISNUMBER($E814),ISNUMBER($F814),$D814&lt;&gt;"R"),$E814*$F814,"")</f>
        <v/>
      </c>
      <c r="H814" s="10"/>
    </row>
    <row r="815" customFormat="false" ht="15.75" hidden="false" customHeight="true" outlineLevel="0" collapsed="false">
      <c r="A815" s="38"/>
      <c r="B815" s="11"/>
      <c r="C815" s="10"/>
      <c r="D815" s="39"/>
      <c r="E815" s="12"/>
      <c r="F815" s="40"/>
      <c r="G815" s="18" t="str">
        <f aca="false">IF(AND(ISNUMBER($E815),ISNUMBER($F815),$D815&lt;&gt;"R"),$E815*$F815,"")</f>
        <v/>
      </c>
      <c r="H815" s="10"/>
    </row>
    <row r="816" customFormat="false" ht="15.75" hidden="false" customHeight="true" outlineLevel="0" collapsed="false">
      <c r="A816" s="38"/>
      <c r="B816" s="11"/>
      <c r="C816" s="10"/>
      <c r="D816" s="39"/>
      <c r="E816" s="12"/>
      <c r="F816" s="40"/>
      <c r="G816" s="18" t="str">
        <f aca="false">IF(AND(ISNUMBER($E816),ISNUMBER($F816),$D816&lt;&gt;"R"),$E816*$F816,"")</f>
        <v/>
      </c>
      <c r="H816" s="10"/>
    </row>
    <row r="817" customFormat="false" ht="15.75" hidden="false" customHeight="true" outlineLevel="0" collapsed="false">
      <c r="A817" s="38"/>
      <c r="B817" s="11"/>
      <c r="C817" s="10"/>
      <c r="D817" s="39"/>
      <c r="E817" s="12"/>
      <c r="F817" s="40"/>
      <c r="G817" s="18" t="str">
        <f aca="false">IF(AND(ISNUMBER($E817),ISNUMBER($F817),$D817&lt;&gt;"R"),$E817*$F817,"")</f>
        <v/>
      </c>
      <c r="H817" s="10"/>
    </row>
    <row r="818" customFormat="false" ht="15.75" hidden="false" customHeight="true" outlineLevel="0" collapsed="false">
      <c r="A818" s="38"/>
      <c r="B818" s="11"/>
      <c r="C818" s="10"/>
      <c r="D818" s="39"/>
      <c r="E818" s="12"/>
      <c r="F818" s="40"/>
      <c r="G818" s="18" t="str">
        <f aca="false">IF(AND(ISNUMBER($E818),ISNUMBER($F818),$D818&lt;&gt;"R"),$E818*$F818,"")</f>
        <v/>
      </c>
      <c r="H818" s="10"/>
    </row>
    <row r="819" customFormat="false" ht="15.75" hidden="false" customHeight="true" outlineLevel="0" collapsed="false">
      <c r="A819" s="38"/>
      <c r="B819" s="11"/>
      <c r="C819" s="10"/>
      <c r="D819" s="39"/>
      <c r="E819" s="12"/>
      <c r="F819" s="40"/>
      <c r="G819" s="18" t="str">
        <f aca="false">IF(AND(ISNUMBER($E819),ISNUMBER($F819),$D819&lt;&gt;"R"),$E819*$F819,"")</f>
        <v/>
      </c>
      <c r="H819" s="10"/>
    </row>
    <row r="820" customFormat="false" ht="15.75" hidden="false" customHeight="true" outlineLevel="0" collapsed="false">
      <c r="A820" s="38"/>
      <c r="B820" s="11"/>
      <c r="C820" s="10"/>
      <c r="D820" s="39"/>
      <c r="E820" s="12"/>
      <c r="F820" s="40"/>
      <c r="G820" s="18" t="str">
        <f aca="false">IF(AND(ISNUMBER($E820),ISNUMBER($F820),$D820&lt;&gt;"R"),$E820*$F820,"")</f>
        <v/>
      </c>
      <c r="H820" s="10"/>
    </row>
    <row r="821" customFormat="false" ht="15.75" hidden="false" customHeight="true" outlineLevel="0" collapsed="false">
      <c r="A821" s="38"/>
      <c r="B821" s="11"/>
      <c r="C821" s="10"/>
      <c r="D821" s="39"/>
      <c r="E821" s="12"/>
      <c r="F821" s="40"/>
      <c r="G821" s="18" t="str">
        <f aca="false">IF(AND(ISNUMBER($E821),ISNUMBER($F821),$D821&lt;&gt;"R"),$E821*$F821,"")</f>
        <v/>
      </c>
      <c r="H821" s="10"/>
    </row>
    <row r="822" customFormat="false" ht="15.75" hidden="false" customHeight="true" outlineLevel="0" collapsed="false">
      <c r="A822" s="38"/>
      <c r="B822" s="11"/>
      <c r="C822" s="10"/>
      <c r="D822" s="39"/>
      <c r="E822" s="12"/>
      <c r="F822" s="40"/>
      <c r="G822" s="18" t="str">
        <f aca="false">IF(AND(ISNUMBER($E822),ISNUMBER($F822),$D822&lt;&gt;"R"),$E822*$F822,"")</f>
        <v/>
      </c>
      <c r="H822" s="10"/>
    </row>
    <row r="823" customFormat="false" ht="15.75" hidden="false" customHeight="true" outlineLevel="0" collapsed="false">
      <c r="A823" s="38"/>
      <c r="B823" s="11"/>
      <c r="C823" s="10"/>
      <c r="D823" s="39"/>
      <c r="E823" s="12"/>
      <c r="F823" s="40"/>
      <c r="G823" s="18" t="str">
        <f aca="false">IF(AND(ISNUMBER($E823),ISNUMBER($F823),$D823&lt;&gt;"R"),$E823*$F823,"")</f>
        <v/>
      </c>
      <c r="H823" s="10"/>
    </row>
    <row r="824" customFormat="false" ht="15.75" hidden="false" customHeight="true" outlineLevel="0" collapsed="false">
      <c r="A824" s="38"/>
      <c r="B824" s="11"/>
      <c r="C824" s="10"/>
      <c r="D824" s="39"/>
      <c r="E824" s="12"/>
      <c r="F824" s="40"/>
      <c r="G824" s="18" t="str">
        <f aca="false">IF(AND(ISNUMBER($E824),ISNUMBER($F824),$D824&lt;&gt;"R"),$E824*$F824,"")</f>
        <v/>
      </c>
      <c r="H824" s="10"/>
    </row>
    <row r="825" customFormat="false" ht="15.75" hidden="false" customHeight="true" outlineLevel="0" collapsed="false">
      <c r="A825" s="38"/>
      <c r="B825" s="11"/>
      <c r="C825" s="10"/>
      <c r="D825" s="39"/>
      <c r="E825" s="12"/>
      <c r="F825" s="40"/>
      <c r="G825" s="18" t="str">
        <f aca="false">IF(AND(ISNUMBER($E825),ISNUMBER($F825),$D825&lt;&gt;"R"),$E825*$F825,"")</f>
        <v/>
      </c>
      <c r="H825" s="10"/>
    </row>
    <row r="826" customFormat="false" ht="15.75" hidden="false" customHeight="true" outlineLevel="0" collapsed="false">
      <c r="A826" s="38"/>
      <c r="B826" s="11"/>
      <c r="C826" s="10"/>
      <c r="D826" s="39"/>
      <c r="E826" s="12"/>
      <c r="F826" s="40"/>
      <c r="G826" s="18" t="str">
        <f aca="false">IF(AND(ISNUMBER($E826),ISNUMBER($F826),$D826&lt;&gt;"R"),$E826*$F826,"")</f>
        <v/>
      </c>
      <c r="H826" s="10"/>
    </row>
    <row r="827" customFormat="false" ht="15.75" hidden="false" customHeight="true" outlineLevel="0" collapsed="false">
      <c r="A827" s="38"/>
      <c r="B827" s="11"/>
      <c r="C827" s="10"/>
      <c r="D827" s="39"/>
      <c r="E827" s="12"/>
      <c r="F827" s="40"/>
      <c r="G827" s="18" t="str">
        <f aca="false">IF(AND(ISNUMBER($E827),ISNUMBER($F827),$D827&lt;&gt;"R"),$E827*$F827,"")</f>
        <v/>
      </c>
      <c r="H827" s="10"/>
    </row>
    <row r="828" customFormat="false" ht="15.75" hidden="false" customHeight="true" outlineLevel="0" collapsed="false">
      <c r="A828" s="38"/>
      <c r="B828" s="11"/>
      <c r="C828" s="10"/>
      <c r="D828" s="39"/>
      <c r="E828" s="12"/>
      <c r="F828" s="40"/>
      <c r="G828" s="18" t="str">
        <f aca="false">IF(AND(ISNUMBER($E828),ISNUMBER($F828),$D828&lt;&gt;"R"),$E828*$F828,"")</f>
        <v/>
      </c>
      <c r="H828" s="10"/>
    </row>
    <row r="829" customFormat="false" ht="15.75" hidden="false" customHeight="true" outlineLevel="0" collapsed="false">
      <c r="A829" s="38"/>
      <c r="B829" s="11"/>
      <c r="C829" s="10"/>
      <c r="D829" s="39"/>
      <c r="E829" s="12"/>
      <c r="F829" s="40"/>
      <c r="G829" s="18" t="str">
        <f aca="false">IF(AND(ISNUMBER($E829),ISNUMBER($F829),$D829&lt;&gt;"R"),$E829*$F829,"")</f>
        <v/>
      </c>
      <c r="H829" s="10"/>
    </row>
    <row r="830" customFormat="false" ht="15.75" hidden="false" customHeight="true" outlineLevel="0" collapsed="false">
      <c r="A830" s="38"/>
      <c r="B830" s="11"/>
      <c r="C830" s="10"/>
      <c r="D830" s="39"/>
      <c r="E830" s="12"/>
      <c r="F830" s="40"/>
      <c r="G830" s="18" t="str">
        <f aca="false">IF(AND(ISNUMBER($E830),ISNUMBER($F830),$D830&lt;&gt;"R"),$E830*$F830,"")</f>
        <v/>
      </c>
      <c r="H830" s="10"/>
    </row>
    <row r="831" customFormat="false" ht="15.75" hidden="false" customHeight="true" outlineLevel="0" collapsed="false">
      <c r="A831" s="38"/>
      <c r="B831" s="11"/>
      <c r="C831" s="10"/>
      <c r="D831" s="39"/>
      <c r="E831" s="12"/>
      <c r="F831" s="40"/>
      <c r="G831" s="18" t="str">
        <f aca="false">IF(AND(ISNUMBER($E831),ISNUMBER($F831),$D831&lt;&gt;"R"),$E831*$F831,"")</f>
        <v/>
      </c>
      <c r="H831" s="10"/>
    </row>
    <row r="832" customFormat="false" ht="15.75" hidden="false" customHeight="true" outlineLevel="0" collapsed="false">
      <c r="A832" s="38"/>
      <c r="B832" s="11"/>
      <c r="C832" s="10"/>
      <c r="D832" s="39"/>
      <c r="E832" s="12"/>
      <c r="F832" s="40"/>
      <c r="G832" s="18" t="str">
        <f aca="false">IF(AND(ISNUMBER($E832),ISNUMBER($F832),$D832&lt;&gt;"R"),$E832*$F832,"")</f>
        <v/>
      </c>
      <c r="H832" s="10"/>
    </row>
    <row r="833" customFormat="false" ht="15.75" hidden="false" customHeight="true" outlineLevel="0" collapsed="false">
      <c r="A833" s="38"/>
      <c r="B833" s="11"/>
      <c r="C833" s="10"/>
      <c r="D833" s="39"/>
      <c r="E833" s="12"/>
      <c r="F833" s="40"/>
      <c r="G833" s="18" t="str">
        <f aca="false">IF(AND(ISNUMBER($E833),ISNUMBER($F833),$D833&lt;&gt;"R"),$E833*$F833,"")</f>
        <v/>
      </c>
      <c r="H833" s="10"/>
    </row>
    <row r="834" customFormat="false" ht="15.75" hidden="false" customHeight="true" outlineLevel="0" collapsed="false">
      <c r="A834" s="38"/>
      <c r="B834" s="11"/>
      <c r="C834" s="10"/>
      <c r="D834" s="39"/>
      <c r="E834" s="12"/>
      <c r="F834" s="40"/>
      <c r="G834" s="18" t="str">
        <f aca="false">IF(AND(ISNUMBER($E834),ISNUMBER($F834),$D834&lt;&gt;"R"),$E834*$F834,"")</f>
        <v/>
      </c>
      <c r="H834" s="10"/>
    </row>
    <row r="835" customFormat="false" ht="15.75" hidden="false" customHeight="true" outlineLevel="0" collapsed="false">
      <c r="A835" s="38"/>
      <c r="B835" s="11"/>
      <c r="C835" s="10"/>
      <c r="D835" s="39"/>
      <c r="E835" s="12"/>
      <c r="F835" s="40"/>
      <c r="G835" s="18" t="str">
        <f aca="false">IF(AND(ISNUMBER($E835),ISNUMBER($F835),$D835&lt;&gt;"R"),$E835*$F835,"")</f>
        <v/>
      </c>
      <c r="H835" s="10"/>
    </row>
    <row r="836" customFormat="false" ht="15.75" hidden="false" customHeight="true" outlineLevel="0" collapsed="false">
      <c r="A836" s="38"/>
      <c r="B836" s="11"/>
      <c r="C836" s="10"/>
      <c r="D836" s="39"/>
      <c r="E836" s="12"/>
      <c r="F836" s="40"/>
      <c r="G836" s="18" t="str">
        <f aca="false">IF(AND(ISNUMBER($E836),ISNUMBER($F836),$D836&lt;&gt;"R"),$E836*$F836,"")</f>
        <v/>
      </c>
      <c r="H836" s="10"/>
    </row>
    <row r="837" customFormat="false" ht="15.75" hidden="false" customHeight="true" outlineLevel="0" collapsed="false">
      <c r="A837" s="38"/>
      <c r="B837" s="11"/>
      <c r="C837" s="10"/>
      <c r="D837" s="39"/>
      <c r="E837" s="12"/>
      <c r="F837" s="40"/>
      <c r="G837" s="18" t="str">
        <f aca="false">IF(AND(ISNUMBER($E837),ISNUMBER($F837),$D837&lt;&gt;"R"),$E837*$F837,"")</f>
        <v/>
      </c>
      <c r="H837" s="10"/>
    </row>
    <row r="838" customFormat="false" ht="15.75" hidden="false" customHeight="true" outlineLevel="0" collapsed="false">
      <c r="A838" s="38"/>
      <c r="B838" s="11"/>
      <c r="C838" s="10"/>
      <c r="D838" s="39"/>
      <c r="E838" s="12"/>
      <c r="F838" s="40"/>
      <c r="G838" s="18" t="str">
        <f aca="false">IF(AND(ISNUMBER($E838),ISNUMBER($F838),$D838&lt;&gt;"R"),$E838*$F838,"")</f>
        <v/>
      </c>
      <c r="H838" s="10"/>
    </row>
    <row r="839" customFormat="false" ht="15.75" hidden="false" customHeight="true" outlineLevel="0" collapsed="false">
      <c r="A839" s="38"/>
      <c r="B839" s="11"/>
      <c r="C839" s="10"/>
      <c r="D839" s="39"/>
      <c r="E839" s="12"/>
      <c r="F839" s="40"/>
      <c r="G839" s="18" t="str">
        <f aca="false">IF(AND(ISNUMBER($E839),ISNUMBER($F839),$D839&lt;&gt;"R"),$E839*$F839,"")</f>
        <v/>
      </c>
      <c r="H839" s="10"/>
    </row>
    <row r="840" customFormat="false" ht="15.75" hidden="false" customHeight="true" outlineLevel="0" collapsed="false">
      <c r="A840" s="38"/>
      <c r="B840" s="11"/>
      <c r="C840" s="10"/>
      <c r="D840" s="39"/>
      <c r="E840" s="12"/>
      <c r="F840" s="40"/>
      <c r="G840" s="18" t="str">
        <f aca="false">IF(AND(ISNUMBER($E840),ISNUMBER($F840),$D840&lt;&gt;"R"),$E840*$F840,"")</f>
        <v/>
      </c>
      <c r="H840" s="10"/>
    </row>
    <row r="841" customFormat="false" ht="15.75" hidden="false" customHeight="true" outlineLevel="0" collapsed="false">
      <c r="A841" s="38"/>
      <c r="B841" s="11"/>
      <c r="C841" s="10"/>
      <c r="D841" s="39"/>
      <c r="E841" s="12"/>
      <c r="F841" s="40"/>
      <c r="G841" s="18" t="str">
        <f aca="false">IF(AND(ISNUMBER($E841),ISNUMBER($F841),$D841&lt;&gt;"R"),$E841*$F841,"")</f>
        <v/>
      </c>
      <c r="H841" s="10"/>
    </row>
    <row r="842" customFormat="false" ht="15.75" hidden="false" customHeight="true" outlineLevel="0" collapsed="false">
      <c r="A842" s="38"/>
      <c r="B842" s="11"/>
      <c r="C842" s="10"/>
      <c r="D842" s="39"/>
      <c r="E842" s="12"/>
      <c r="F842" s="40"/>
      <c r="G842" s="18" t="str">
        <f aca="false">IF(AND(ISNUMBER($E842),ISNUMBER($F842),$D842&lt;&gt;"R"),$E842*$F842,"")</f>
        <v/>
      </c>
      <c r="H842" s="10"/>
    </row>
    <row r="843" customFormat="false" ht="15.75" hidden="false" customHeight="true" outlineLevel="0" collapsed="false">
      <c r="A843" s="38"/>
      <c r="B843" s="11"/>
      <c r="C843" s="10"/>
      <c r="D843" s="39"/>
      <c r="E843" s="12"/>
      <c r="F843" s="40"/>
      <c r="G843" s="18" t="str">
        <f aca="false">IF(AND(ISNUMBER($E843),ISNUMBER($F843),$D843&lt;&gt;"R"),$E843*$F843,"")</f>
        <v/>
      </c>
      <c r="H843" s="10"/>
    </row>
    <row r="844" customFormat="false" ht="15.75" hidden="false" customHeight="true" outlineLevel="0" collapsed="false">
      <c r="A844" s="38"/>
      <c r="B844" s="11"/>
      <c r="C844" s="10"/>
      <c r="D844" s="39"/>
      <c r="E844" s="12"/>
      <c r="F844" s="40"/>
      <c r="G844" s="18" t="str">
        <f aca="false">IF(AND(ISNUMBER($E844),ISNUMBER($F844),$D844&lt;&gt;"R"),$E844*$F844,"")</f>
        <v/>
      </c>
      <c r="H844" s="10"/>
    </row>
    <row r="845" customFormat="false" ht="15.75" hidden="false" customHeight="true" outlineLevel="0" collapsed="false">
      <c r="A845" s="38"/>
      <c r="B845" s="11"/>
      <c r="C845" s="10"/>
      <c r="D845" s="39"/>
      <c r="E845" s="12"/>
      <c r="F845" s="40"/>
      <c r="G845" s="18" t="str">
        <f aca="false">IF(AND(ISNUMBER($E845),ISNUMBER($F845),$D845&lt;&gt;"R"),$E845*$F845,"")</f>
        <v/>
      </c>
      <c r="H845" s="10"/>
    </row>
    <row r="846" customFormat="false" ht="15.75" hidden="false" customHeight="true" outlineLevel="0" collapsed="false">
      <c r="A846" s="38"/>
      <c r="B846" s="11"/>
      <c r="C846" s="10"/>
      <c r="D846" s="39"/>
      <c r="E846" s="12"/>
      <c r="F846" s="40"/>
      <c r="G846" s="18" t="str">
        <f aca="false">IF(AND(ISNUMBER($E846),ISNUMBER($F846),$D846&lt;&gt;"R"),$E846*$F846,"")</f>
        <v/>
      </c>
      <c r="H846" s="10"/>
    </row>
    <row r="847" customFormat="false" ht="15.75" hidden="false" customHeight="true" outlineLevel="0" collapsed="false">
      <c r="A847" s="38"/>
      <c r="B847" s="11"/>
      <c r="C847" s="10"/>
      <c r="D847" s="39"/>
      <c r="E847" s="12"/>
      <c r="F847" s="40"/>
      <c r="G847" s="18" t="str">
        <f aca="false">IF(AND(ISNUMBER($E847),ISNUMBER($F847),$D847&lt;&gt;"R"),$E847*$F847,"")</f>
        <v/>
      </c>
      <c r="H847" s="10"/>
    </row>
    <row r="848" customFormat="false" ht="15.75" hidden="false" customHeight="true" outlineLevel="0" collapsed="false">
      <c r="A848" s="38"/>
      <c r="B848" s="11"/>
      <c r="C848" s="10"/>
      <c r="D848" s="39"/>
      <c r="E848" s="12"/>
      <c r="F848" s="40"/>
      <c r="G848" s="18" t="str">
        <f aca="false">IF(AND(ISNUMBER($E848),ISNUMBER($F848),$D848&lt;&gt;"R"),$E848*$F848,"")</f>
        <v/>
      </c>
      <c r="H848" s="10"/>
    </row>
    <row r="849" customFormat="false" ht="15.75" hidden="false" customHeight="true" outlineLevel="0" collapsed="false">
      <c r="A849" s="38"/>
      <c r="B849" s="11"/>
      <c r="C849" s="10"/>
      <c r="D849" s="39"/>
      <c r="E849" s="12"/>
      <c r="F849" s="40"/>
      <c r="G849" s="18" t="str">
        <f aca="false">IF(AND(ISNUMBER($E849),ISNUMBER($F849),$D849&lt;&gt;"R"),$E849*$F849,"")</f>
        <v/>
      </c>
      <c r="H849" s="10"/>
    </row>
    <row r="850" customFormat="false" ht="15.75" hidden="false" customHeight="true" outlineLevel="0" collapsed="false">
      <c r="A850" s="38"/>
      <c r="B850" s="11"/>
      <c r="C850" s="10"/>
      <c r="D850" s="39"/>
      <c r="E850" s="12"/>
      <c r="F850" s="40"/>
      <c r="G850" s="18" t="str">
        <f aca="false">IF(AND(ISNUMBER($E850),ISNUMBER($F850),$D850&lt;&gt;"R"),$E850*$F850,"")</f>
        <v/>
      </c>
      <c r="H850" s="10"/>
    </row>
    <row r="851" customFormat="false" ht="15.75" hidden="false" customHeight="true" outlineLevel="0" collapsed="false">
      <c r="A851" s="38"/>
      <c r="B851" s="11"/>
      <c r="C851" s="10"/>
      <c r="D851" s="39"/>
      <c r="E851" s="12"/>
      <c r="F851" s="40"/>
      <c r="G851" s="18" t="str">
        <f aca="false">IF(AND(ISNUMBER($E851),ISNUMBER($F851),$D851&lt;&gt;"R"),$E851*$F851,"")</f>
        <v/>
      </c>
      <c r="H851" s="10"/>
    </row>
    <row r="852" customFormat="false" ht="15.75" hidden="false" customHeight="true" outlineLevel="0" collapsed="false">
      <c r="A852" s="38"/>
      <c r="B852" s="11"/>
      <c r="C852" s="10"/>
      <c r="D852" s="39"/>
      <c r="E852" s="12"/>
      <c r="F852" s="40"/>
      <c r="G852" s="18" t="str">
        <f aca="false">IF(AND(ISNUMBER($E852),ISNUMBER($F852),$D852&lt;&gt;"R"),$E852*$F852,"")</f>
        <v/>
      </c>
      <c r="H852" s="10"/>
    </row>
    <row r="853" customFormat="false" ht="15.75" hidden="false" customHeight="true" outlineLevel="0" collapsed="false">
      <c r="A853" s="38"/>
      <c r="B853" s="11"/>
      <c r="C853" s="10"/>
      <c r="D853" s="39"/>
      <c r="E853" s="12"/>
      <c r="F853" s="40"/>
      <c r="G853" s="18" t="str">
        <f aca="false">IF(AND(ISNUMBER($E853),ISNUMBER($F853),$D853&lt;&gt;"R"),$E853*$F853,"")</f>
        <v/>
      </c>
      <c r="H853" s="10"/>
    </row>
    <row r="854" customFormat="false" ht="15.75" hidden="false" customHeight="true" outlineLevel="0" collapsed="false">
      <c r="A854" s="38"/>
      <c r="B854" s="11"/>
      <c r="C854" s="10"/>
      <c r="D854" s="39"/>
      <c r="E854" s="12"/>
      <c r="F854" s="40"/>
      <c r="G854" s="18" t="str">
        <f aca="false">IF(AND(ISNUMBER($E854),ISNUMBER($F854),$D854&lt;&gt;"R"),$E854*$F854,"")</f>
        <v/>
      </c>
      <c r="H854" s="10"/>
    </row>
    <row r="855" customFormat="false" ht="15.75" hidden="false" customHeight="true" outlineLevel="0" collapsed="false">
      <c r="A855" s="38"/>
      <c r="B855" s="11"/>
      <c r="C855" s="10"/>
      <c r="D855" s="39"/>
      <c r="E855" s="12"/>
      <c r="F855" s="40"/>
      <c r="G855" s="18" t="str">
        <f aca="false">IF(AND(ISNUMBER($E855),ISNUMBER($F855),$D855&lt;&gt;"R"),$E855*$F855,"")</f>
        <v/>
      </c>
      <c r="H855" s="10"/>
    </row>
    <row r="856" customFormat="false" ht="15.75" hidden="false" customHeight="true" outlineLevel="0" collapsed="false">
      <c r="A856" s="38"/>
      <c r="B856" s="11"/>
      <c r="C856" s="10"/>
      <c r="D856" s="39"/>
      <c r="E856" s="12"/>
      <c r="F856" s="40"/>
      <c r="G856" s="18" t="str">
        <f aca="false">IF(AND(ISNUMBER($E856),ISNUMBER($F856),$D856&lt;&gt;"R"),$E856*$F856,"")</f>
        <v/>
      </c>
      <c r="H856" s="10"/>
    </row>
    <row r="857" customFormat="false" ht="15.75" hidden="false" customHeight="true" outlineLevel="0" collapsed="false">
      <c r="A857" s="38"/>
      <c r="B857" s="11"/>
      <c r="C857" s="10"/>
      <c r="D857" s="39"/>
      <c r="E857" s="12"/>
      <c r="F857" s="40"/>
      <c r="G857" s="18" t="str">
        <f aca="false">IF(AND(ISNUMBER($E857),ISNUMBER($F857),$D857&lt;&gt;"R"),$E857*$F857,"")</f>
        <v/>
      </c>
      <c r="H857" s="10"/>
    </row>
    <row r="858" customFormat="false" ht="15.75" hidden="false" customHeight="true" outlineLevel="0" collapsed="false">
      <c r="A858" s="38"/>
      <c r="B858" s="11"/>
      <c r="C858" s="10"/>
      <c r="D858" s="39"/>
      <c r="E858" s="12"/>
      <c r="F858" s="40"/>
      <c r="G858" s="18" t="str">
        <f aca="false">IF(AND(ISNUMBER($E858),ISNUMBER($F858),$D858&lt;&gt;"R"),$E858*$F858,"")</f>
        <v/>
      </c>
      <c r="H858" s="10"/>
    </row>
    <row r="859" customFormat="false" ht="15.75" hidden="false" customHeight="true" outlineLevel="0" collapsed="false">
      <c r="A859" s="38"/>
      <c r="B859" s="11"/>
      <c r="C859" s="10"/>
      <c r="D859" s="39"/>
      <c r="E859" s="12"/>
      <c r="F859" s="40"/>
      <c r="G859" s="18" t="str">
        <f aca="false">IF(AND(ISNUMBER($E859),ISNUMBER($F859),$D859&lt;&gt;"R"),$E859*$F859,"")</f>
        <v/>
      </c>
      <c r="H859" s="10"/>
    </row>
    <row r="860" customFormat="false" ht="15.75" hidden="false" customHeight="true" outlineLevel="0" collapsed="false">
      <c r="A860" s="38"/>
      <c r="B860" s="11"/>
      <c r="C860" s="10"/>
      <c r="D860" s="39"/>
      <c r="E860" s="12"/>
      <c r="F860" s="40"/>
      <c r="G860" s="18" t="str">
        <f aca="false">IF(AND(ISNUMBER($E860),ISNUMBER($F860),$D860&lt;&gt;"R"),$E860*$F860,"")</f>
        <v/>
      </c>
      <c r="H860" s="10"/>
    </row>
    <row r="861" customFormat="false" ht="15.75" hidden="false" customHeight="true" outlineLevel="0" collapsed="false">
      <c r="A861" s="38"/>
      <c r="B861" s="11"/>
      <c r="C861" s="10"/>
      <c r="D861" s="39"/>
      <c r="E861" s="12"/>
      <c r="F861" s="40"/>
      <c r="G861" s="18" t="str">
        <f aca="false">IF(AND(ISNUMBER($E861),ISNUMBER($F861),$D861&lt;&gt;"R"),$E861*$F861,"")</f>
        <v/>
      </c>
      <c r="H861" s="10"/>
    </row>
    <row r="862" customFormat="false" ht="15.75" hidden="false" customHeight="true" outlineLevel="0" collapsed="false">
      <c r="A862" s="38"/>
      <c r="B862" s="11"/>
      <c r="C862" s="10"/>
      <c r="D862" s="39"/>
      <c r="E862" s="12"/>
      <c r="F862" s="40"/>
      <c r="G862" s="18" t="str">
        <f aca="false">IF(AND(ISNUMBER($E862),ISNUMBER($F862),$D862&lt;&gt;"R"),$E862*$F862,"")</f>
        <v/>
      </c>
      <c r="H862" s="10"/>
    </row>
    <row r="863" customFormat="false" ht="15.75" hidden="false" customHeight="true" outlineLevel="0" collapsed="false">
      <c r="A863" s="38"/>
      <c r="B863" s="11"/>
      <c r="C863" s="10"/>
      <c r="D863" s="39"/>
      <c r="E863" s="12"/>
      <c r="F863" s="40"/>
      <c r="G863" s="18" t="str">
        <f aca="false">IF(AND(ISNUMBER($E863),ISNUMBER($F863),$D863&lt;&gt;"R"),$E863*$F863,"")</f>
        <v/>
      </c>
      <c r="H863" s="10"/>
    </row>
    <row r="864" customFormat="false" ht="15.75" hidden="false" customHeight="true" outlineLevel="0" collapsed="false">
      <c r="A864" s="38"/>
      <c r="B864" s="11"/>
      <c r="C864" s="10"/>
      <c r="D864" s="39"/>
      <c r="E864" s="12"/>
      <c r="F864" s="40"/>
      <c r="G864" s="18" t="str">
        <f aca="false">IF(AND(ISNUMBER($E864),ISNUMBER($F864),$D864&lt;&gt;"R"),$E864*$F864,"")</f>
        <v/>
      </c>
      <c r="H864" s="10"/>
    </row>
    <row r="865" customFormat="false" ht="15.75" hidden="false" customHeight="true" outlineLevel="0" collapsed="false">
      <c r="A865" s="38"/>
      <c r="B865" s="11"/>
      <c r="C865" s="10"/>
      <c r="D865" s="39"/>
      <c r="E865" s="12"/>
      <c r="F865" s="40"/>
      <c r="G865" s="18" t="str">
        <f aca="false">IF(AND(ISNUMBER($E865),ISNUMBER($F865),$D865&lt;&gt;"R"),$E865*$F865,"")</f>
        <v/>
      </c>
      <c r="H865" s="10"/>
    </row>
    <row r="866" customFormat="false" ht="15.75" hidden="false" customHeight="true" outlineLevel="0" collapsed="false">
      <c r="A866" s="38"/>
      <c r="B866" s="11"/>
      <c r="C866" s="10"/>
      <c r="D866" s="39"/>
      <c r="E866" s="12"/>
      <c r="F866" s="40"/>
      <c r="G866" s="18" t="str">
        <f aca="false">IF(AND(ISNUMBER($E866),ISNUMBER($F866),$D866&lt;&gt;"R"),$E866*$F866,"")</f>
        <v/>
      </c>
      <c r="H866" s="10"/>
    </row>
    <row r="867" customFormat="false" ht="15.75" hidden="false" customHeight="true" outlineLevel="0" collapsed="false">
      <c r="A867" s="38"/>
      <c r="B867" s="11"/>
      <c r="C867" s="10"/>
      <c r="D867" s="39"/>
      <c r="E867" s="12"/>
      <c r="F867" s="40"/>
      <c r="G867" s="18" t="str">
        <f aca="false">IF(AND(ISNUMBER($E867),ISNUMBER($F867),$D867&lt;&gt;"R"),$E867*$F867,"")</f>
        <v/>
      </c>
      <c r="H867" s="10"/>
    </row>
    <row r="868" customFormat="false" ht="15.75" hidden="false" customHeight="true" outlineLevel="0" collapsed="false">
      <c r="A868" s="38"/>
      <c r="B868" s="11"/>
      <c r="C868" s="10"/>
      <c r="D868" s="39"/>
      <c r="E868" s="12"/>
      <c r="F868" s="40"/>
      <c r="G868" s="18" t="str">
        <f aca="false">IF(AND(ISNUMBER($E868),ISNUMBER($F868),$D868&lt;&gt;"R"),$E868*$F868,"")</f>
        <v/>
      </c>
      <c r="H868" s="10"/>
    </row>
    <row r="869" customFormat="false" ht="15.75" hidden="false" customHeight="true" outlineLevel="0" collapsed="false">
      <c r="A869" s="38"/>
      <c r="B869" s="11"/>
      <c r="C869" s="10"/>
      <c r="D869" s="39"/>
      <c r="E869" s="12"/>
      <c r="F869" s="40"/>
      <c r="G869" s="18" t="str">
        <f aca="false">IF(AND(ISNUMBER($E869),ISNUMBER($F869),$D869&lt;&gt;"R"),$E869*$F869,"")</f>
        <v/>
      </c>
      <c r="H869" s="10"/>
    </row>
    <row r="870" customFormat="false" ht="15.75" hidden="false" customHeight="true" outlineLevel="0" collapsed="false">
      <c r="A870" s="38"/>
      <c r="B870" s="11"/>
      <c r="C870" s="10"/>
      <c r="D870" s="39"/>
      <c r="E870" s="12"/>
      <c r="F870" s="40"/>
      <c r="G870" s="18" t="str">
        <f aca="false">IF(AND(ISNUMBER($E870),ISNUMBER($F870),$D870&lt;&gt;"R"),$E870*$F870,"")</f>
        <v/>
      </c>
      <c r="H870" s="10"/>
    </row>
    <row r="871" customFormat="false" ht="15.75" hidden="false" customHeight="true" outlineLevel="0" collapsed="false">
      <c r="A871" s="38"/>
      <c r="B871" s="11"/>
      <c r="C871" s="10"/>
      <c r="D871" s="39"/>
      <c r="E871" s="12"/>
      <c r="F871" s="40"/>
      <c r="G871" s="18" t="str">
        <f aca="false">IF(AND(ISNUMBER($E871),ISNUMBER($F871),$D871&lt;&gt;"R"),$E871*$F871,"")</f>
        <v/>
      </c>
      <c r="H871" s="10"/>
    </row>
    <row r="872" customFormat="false" ht="15.75" hidden="false" customHeight="true" outlineLevel="0" collapsed="false">
      <c r="A872" s="38"/>
      <c r="B872" s="11"/>
      <c r="C872" s="10"/>
      <c r="D872" s="39"/>
      <c r="E872" s="12"/>
      <c r="F872" s="40"/>
      <c r="G872" s="18" t="str">
        <f aca="false">IF(AND(ISNUMBER($E872),ISNUMBER($F872),$D872&lt;&gt;"R"),$E872*$F872,"")</f>
        <v/>
      </c>
      <c r="H872" s="10"/>
    </row>
    <row r="873" customFormat="false" ht="15.75" hidden="false" customHeight="true" outlineLevel="0" collapsed="false">
      <c r="A873" s="38"/>
      <c r="B873" s="11"/>
      <c r="C873" s="10"/>
      <c r="D873" s="39"/>
      <c r="E873" s="12"/>
      <c r="F873" s="40"/>
      <c r="G873" s="18" t="str">
        <f aca="false">IF(AND(ISNUMBER($E873),ISNUMBER($F873),$D873&lt;&gt;"R"),$E873*$F873,"")</f>
        <v/>
      </c>
      <c r="H873" s="10"/>
    </row>
    <row r="874" customFormat="false" ht="15.75" hidden="false" customHeight="true" outlineLevel="0" collapsed="false">
      <c r="A874" s="38"/>
      <c r="B874" s="11"/>
      <c r="C874" s="10"/>
      <c r="D874" s="39"/>
      <c r="E874" s="12"/>
      <c r="F874" s="40"/>
      <c r="G874" s="18" t="str">
        <f aca="false">IF(AND(ISNUMBER($E874),ISNUMBER($F874),$D874&lt;&gt;"R"),$E874*$F874,"")</f>
        <v/>
      </c>
      <c r="H874" s="10"/>
    </row>
    <row r="875" customFormat="false" ht="15.75" hidden="false" customHeight="true" outlineLevel="0" collapsed="false">
      <c r="A875" s="38"/>
      <c r="B875" s="11"/>
      <c r="C875" s="10"/>
      <c r="D875" s="39"/>
      <c r="E875" s="12"/>
      <c r="F875" s="40"/>
      <c r="G875" s="18" t="str">
        <f aca="false">IF(AND(ISNUMBER($E875),ISNUMBER($F875),$D875&lt;&gt;"R"),$E875*$F875,"")</f>
        <v/>
      </c>
      <c r="H875" s="10"/>
    </row>
    <row r="876" customFormat="false" ht="15.75" hidden="false" customHeight="true" outlineLevel="0" collapsed="false">
      <c r="A876" s="38"/>
      <c r="B876" s="11"/>
      <c r="C876" s="10"/>
      <c r="D876" s="39"/>
      <c r="E876" s="12"/>
      <c r="F876" s="40"/>
      <c r="G876" s="18" t="str">
        <f aca="false">IF(AND(ISNUMBER($E876),ISNUMBER($F876),$D876&lt;&gt;"R"),$E876*$F876,"")</f>
        <v/>
      </c>
      <c r="H876" s="10"/>
    </row>
    <row r="877" customFormat="false" ht="15.75" hidden="false" customHeight="true" outlineLevel="0" collapsed="false">
      <c r="A877" s="38"/>
      <c r="B877" s="11"/>
      <c r="C877" s="10"/>
      <c r="D877" s="39"/>
      <c r="E877" s="12"/>
      <c r="F877" s="40"/>
      <c r="G877" s="18" t="str">
        <f aca="false">IF(AND(ISNUMBER($E877),ISNUMBER($F877),$D877&lt;&gt;"R"),$E877*$F877,"")</f>
        <v/>
      </c>
      <c r="H877" s="10"/>
    </row>
    <row r="878" customFormat="false" ht="15.75" hidden="false" customHeight="true" outlineLevel="0" collapsed="false">
      <c r="A878" s="38"/>
      <c r="B878" s="11"/>
      <c r="C878" s="10"/>
      <c r="D878" s="39"/>
      <c r="E878" s="12"/>
      <c r="F878" s="40"/>
      <c r="G878" s="18" t="str">
        <f aca="false">IF(AND(ISNUMBER($E878),ISNUMBER($F878),$D878&lt;&gt;"R"),$E878*$F878,"")</f>
        <v/>
      </c>
      <c r="H878" s="10"/>
    </row>
    <row r="879" customFormat="false" ht="15.75" hidden="false" customHeight="true" outlineLevel="0" collapsed="false">
      <c r="A879" s="38"/>
      <c r="B879" s="11"/>
      <c r="C879" s="10"/>
      <c r="D879" s="39"/>
      <c r="E879" s="12"/>
      <c r="F879" s="40"/>
      <c r="G879" s="18" t="str">
        <f aca="false">IF(AND(ISNUMBER($E879),ISNUMBER($F879),$D879&lt;&gt;"R"),$E879*$F879,"")</f>
        <v/>
      </c>
      <c r="H879" s="10"/>
    </row>
    <row r="880" customFormat="false" ht="15.75" hidden="false" customHeight="true" outlineLevel="0" collapsed="false">
      <c r="A880" s="38"/>
      <c r="B880" s="11"/>
      <c r="C880" s="10"/>
      <c r="D880" s="39"/>
      <c r="E880" s="12"/>
      <c r="F880" s="40"/>
      <c r="G880" s="18" t="str">
        <f aca="false">IF(AND(ISNUMBER($E880),ISNUMBER($F880),$D880&lt;&gt;"R"),$E880*$F880,"")</f>
        <v/>
      </c>
      <c r="H880" s="10"/>
    </row>
    <row r="881" customFormat="false" ht="15.75" hidden="false" customHeight="true" outlineLevel="0" collapsed="false">
      <c r="A881" s="38"/>
      <c r="B881" s="11"/>
      <c r="C881" s="10"/>
      <c r="D881" s="39"/>
      <c r="E881" s="12"/>
      <c r="F881" s="40"/>
      <c r="G881" s="18" t="str">
        <f aca="false">IF(AND(ISNUMBER($E881),ISNUMBER($F881),$D881&lt;&gt;"R"),$E881*$F881,"")</f>
        <v/>
      </c>
      <c r="H881" s="10"/>
    </row>
    <row r="882" customFormat="false" ht="15.75" hidden="false" customHeight="true" outlineLevel="0" collapsed="false">
      <c r="A882" s="38"/>
      <c r="B882" s="11"/>
      <c r="C882" s="10"/>
      <c r="D882" s="39"/>
      <c r="E882" s="12"/>
      <c r="F882" s="40"/>
      <c r="G882" s="18" t="str">
        <f aca="false">IF(AND(ISNUMBER($E882),ISNUMBER($F882),$D882&lt;&gt;"R"),$E882*$F882,"")</f>
        <v/>
      </c>
      <c r="H882" s="10"/>
    </row>
    <row r="883" customFormat="false" ht="15.75" hidden="false" customHeight="true" outlineLevel="0" collapsed="false">
      <c r="A883" s="38"/>
      <c r="B883" s="11"/>
      <c r="C883" s="10"/>
      <c r="D883" s="39"/>
      <c r="E883" s="12"/>
      <c r="F883" s="40"/>
      <c r="G883" s="18" t="str">
        <f aca="false">IF(AND(ISNUMBER($E883),ISNUMBER($F883),$D883&lt;&gt;"R"),$E883*$F883,"")</f>
        <v/>
      </c>
      <c r="H883" s="10"/>
    </row>
    <row r="884" customFormat="false" ht="15.75" hidden="false" customHeight="true" outlineLevel="0" collapsed="false">
      <c r="A884" s="38"/>
      <c r="B884" s="11"/>
      <c r="C884" s="10"/>
      <c r="D884" s="39"/>
      <c r="E884" s="12"/>
      <c r="F884" s="40"/>
      <c r="G884" s="18" t="str">
        <f aca="false">IF(AND(ISNUMBER($E884),ISNUMBER($F884),$D884&lt;&gt;"R"),$E884*$F884,"")</f>
        <v/>
      </c>
      <c r="H884" s="10"/>
    </row>
    <row r="885" customFormat="false" ht="15.75" hidden="false" customHeight="true" outlineLevel="0" collapsed="false">
      <c r="A885" s="38"/>
      <c r="B885" s="11"/>
      <c r="C885" s="10"/>
      <c r="D885" s="39"/>
      <c r="E885" s="12"/>
      <c r="F885" s="40"/>
      <c r="G885" s="18" t="str">
        <f aca="false">IF(AND(ISNUMBER($E885),ISNUMBER($F885),$D885&lt;&gt;"R"),$E885*$F885,"")</f>
        <v/>
      </c>
      <c r="H885" s="10"/>
    </row>
    <row r="886" customFormat="false" ht="15.75" hidden="false" customHeight="true" outlineLevel="0" collapsed="false">
      <c r="A886" s="38"/>
      <c r="B886" s="11"/>
      <c r="C886" s="10"/>
      <c r="D886" s="39"/>
      <c r="E886" s="12"/>
      <c r="F886" s="40"/>
      <c r="G886" s="18" t="str">
        <f aca="false">IF(AND(ISNUMBER($E886),ISNUMBER($F886),$D886&lt;&gt;"R"),$E886*$F886,"")</f>
        <v/>
      </c>
      <c r="H886" s="10"/>
    </row>
    <row r="887" customFormat="false" ht="15.75" hidden="false" customHeight="true" outlineLevel="0" collapsed="false">
      <c r="A887" s="38"/>
      <c r="B887" s="11"/>
      <c r="C887" s="10"/>
      <c r="D887" s="39"/>
      <c r="E887" s="12"/>
      <c r="F887" s="40"/>
      <c r="G887" s="18" t="str">
        <f aca="false">IF(AND(ISNUMBER($E887),ISNUMBER($F887),$D887&lt;&gt;"R"),$E887*$F887,"")</f>
        <v/>
      </c>
      <c r="H887" s="10"/>
    </row>
    <row r="888" customFormat="false" ht="15.75" hidden="false" customHeight="true" outlineLevel="0" collapsed="false">
      <c r="A888" s="38"/>
      <c r="B888" s="11"/>
      <c r="C888" s="10"/>
      <c r="D888" s="39"/>
      <c r="E888" s="12"/>
      <c r="F888" s="40"/>
      <c r="G888" s="18" t="str">
        <f aca="false">IF(AND(ISNUMBER($E888),ISNUMBER($F888),$D888&lt;&gt;"R"),$E888*$F888,"")</f>
        <v/>
      </c>
      <c r="H888" s="10"/>
    </row>
    <row r="889" customFormat="false" ht="15.75" hidden="false" customHeight="true" outlineLevel="0" collapsed="false">
      <c r="A889" s="38"/>
      <c r="B889" s="11"/>
      <c r="C889" s="10"/>
      <c r="D889" s="39"/>
      <c r="E889" s="12"/>
      <c r="F889" s="40"/>
      <c r="G889" s="18" t="str">
        <f aca="false">IF(AND(ISNUMBER($E889),ISNUMBER($F889),$D889&lt;&gt;"R"),$E889*$F889,"")</f>
        <v/>
      </c>
      <c r="H889" s="10"/>
    </row>
    <row r="890" customFormat="false" ht="15.75" hidden="false" customHeight="true" outlineLevel="0" collapsed="false">
      <c r="A890" s="38"/>
      <c r="B890" s="11"/>
      <c r="C890" s="10"/>
      <c r="D890" s="39"/>
      <c r="E890" s="12"/>
      <c r="F890" s="40"/>
      <c r="G890" s="18" t="str">
        <f aca="false">IF(AND(ISNUMBER($E890),ISNUMBER($F890),$D890&lt;&gt;"R"),$E890*$F890,"")</f>
        <v/>
      </c>
      <c r="H890" s="10"/>
    </row>
    <row r="891" customFormat="false" ht="15.75" hidden="false" customHeight="true" outlineLevel="0" collapsed="false">
      <c r="A891" s="38"/>
      <c r="B891" s="11"/>
      <c r="C891" s="10"/>
      <c r="D891" s="39"/>
      <c r="E891" s="12"/>
      <c r="F891" s="40"/>
      <c r="G891" s="18" t="str">
        <f aca="false">IF(AND(ISNUMBER($E891),ISNUMBER($F891),$D891&lt;&gt;"R"),$E891*$F891,"")</f>
        <v/>
      </c>
      <c r="H891" s="10"/>
    </row>
    <row r="892" customFormat="false" ht="15.75" hidden="false" customHeight="true" outlineLevel="0" collapsed="false">
      <c r="A892" s="38"/>
      <c r="B892" s="11"/>
      <c r="C892" s="10"/>
      <c r="D892" s="39"/>
      <c r="E892" s="12"/>
      <c r="F892" s="40"/>
      <c r="G892" s="18" t="str">
        <f aca="false">IF(AND(ISNUMBER($E892),ISNUMBER($F892),$D892&lt;&gt;"R"),$E892*$F892,"")</f>
        <v/>
      </c>
      <c r="H892" s="10"/>
    </row>
    <row r="893" customFormat="false" ht="15.75" hidden="false" customHeight="true" outlineLevel="0" collapsed="false">
      <c r="A893" s="38"/>
      <c r="B893" s="11"/>
      <c r="C893" s="10"/>
      <c r="D893" s="39"/>
      <c r="E893" s="12"/>
      <c r="F893" s="40"/>
      <c r="G893" s="18" t="str">
        <f aca="false">IF(AND(ISNUMBER($E893),ISNUMBER($F893),$D893&lt;&gt;"R"),$E893*$F893,"")</f>
        <v/>
      </c>
      <c r="H893" s="10"/>
    </row>
    <row r="894" customFormat="false" ht="15.75" hidden="false" customHeight="true" outlineLevel="0" collapsed="false">
      <c r="A894" s="38"/>
      <c r="B894" s="11"/>
      <c r="C894" s="10"/>
      <c r="D894" s="39"/>
      <c r="E894" s="12"/>
      <c r="F894" s="40"/>
      <c r="G894" s="18" t="str">
        <f aca="false">IF(AND(ISNUMBER($E894),ISNUMBER($F894),$D894&lt;&gt;"R"),$E894*$F894,"")</f>
        <v/>
      </c>
      <c r="H894" s="10"/>
    </row>
    <row r="895" customFormat="false" ht="15.75" hidden="false" customHeight="true" outlineLevel="0" collapsed="false">
      <c r="A895" s="38"/>
      <c r="B895" s="11"/>
      <c r="C895" s="10"/>
      <c r="D895" s="39"/>
      <c r="E895" s="12"/>
      <c r="F895" s="40"/>
      <c r="G895" s="18" t="str">
        <f aca="false">IF(AND(ISNUMBER($E895),ISNUMBER($F895),$D895&lt;&gt;"R"),$E895*$F895,"")</f>
        <v/>
      </c>
      <c r="H895" s="10"/>
    </row>
    <row r="896" customFormat="false" ht="15.75" hidden="false" customHeight="true" outlineLevel="0" collapsed="false">
      <c r="A896" s="38"/>
      <c r="B896" s="11"/>
      <c r="C896" s="10"/>
      <c r="D896" s="39"/>
      <c r="E896" s="12"/>
      <c r="F896" s="40"/>
      <c r="G896" s="18" t="str">
        <f aca="false">IF(AND(ISNUMBER($E896),ISNUMBER($F896),$D896&lt;&gt;"R"),$E896*$F896,"")</f>
        <v/>
      </c>
      <c r="H896" s="10"/>
    </row>
    <row r="897" customFormat="false" ht="15.75" hidden="false" customHeight="true" outlineLevel="0" collapsed="false">
      <c r="A897" s="38"/>
      <c r="B897" s="11"/>
      <c r="C897" s="10"/>
      <c r="D897" s="39"/>
      <c r="E897" s="12"/>
      <c r="F897" s="40"/>
      <c r="G897" s="18" t="str">
        <f aca="false">IF(AND(ISNUMBER($E897),ISNUMBER($F897),$D897&lt;&gt;"R"),$E897*$F897,"")</f>
        <v/>
      </c>
      <c r="H897" s="10"/>
    </row>
    <row r="898" customFormat="false" ht="15.75" hidden="false" customHeight="true" outlineLevel="0" collapsed="false">
      <c r="A898" s="38"/>
      <c r="B898" s="11"/>
      <c r="C898" s="10"/>
      <c r="D898" s="39"/>
      <c r="E898" s="12"/>
      <c r="F898" s="40"/>
      <c r="G898" s="18" t="str">
        <f aca="false">IF(AND(ISNUMBER($E898),ISNUMBER($F898),$D898&lt;&gt;"R"),$E898*$F898,"")</f>
        <v/>
      </c>
      <c r="H898" s="10"/>
    </row>
    <row r="899" customFormat="false" ht="15.75" hidden="false" customHeight="true" outlineLevel="0" collapsed="false">
      <c r="A899" s="38"/>
      <c r="B899" s="11"/>
      <c r="C899" s="10"/>
      <c r="D899" s="39"/>
      <c r="E899" s="12"/>
      <c r="F899" s="40"/>
      <c r="G899" s="18" t="str">
        <f aca="false">IF(AND(ISNUMBER($E899),ISNUMBER($F899),$D899&lt;&gt;"R"),$E899*$F899,"")</f>
        <v/>
      </c>
      <c r="H899" s="10"/>
    </row>
    <row r="900" customFormat="false" ht="15.75" hidden="false" customHeight="true" outlineLevel="0" collapsed="false">
      <c r="A900" s="38"/>
      <c r="B900" s="11"/>
      <c r="C900" s="10"/>
      <c r="D900" s="39"/>
      <c r="E900" s="12"/>
      <c r="F900" s="40"/>
      <c r="G900" s="18" t="str">
        <f aca="false">IF(AND(ISNUMBER($E900),ISNUMBER($F900),$D900&lt;&gt;"R"),$E900*$F900,"")</f>
        <v/>
      </c>
      <c r="H900" s="10"/>
    </row>
    <row r="901" customFormat="false" ht="15.75" hidden="false" customHeight="true" outlineLevel="0" collapsed="false">
      <c r="A901" s="38"/>
      <c r="B901" s="11"/>
      <c r="C901" s="10"/>
      <c r="D901" s="39"/>
      <c r="E901" s="12"/>
      <c r="F901" s="40"/>
      <c r="G901" s="18" t="str">
        <f aca="false">IF(AND(ISNUMBER($E901),ISNUMBER($F901),$D901&lt;&gt;"R"),$E901*$F901,"")</f>
        <v/>
      </c>
      <c r="H901" s="10"/>
    </row>
    <row r="902" customFormat="false" ht="15.75" hidden="false" customHeight="true" outlineLevel="0" collapsed="false">
      <c r="A902" s="38"/>
      <c r="B902" s="11"/>
      <c r="C902" s="10"/>
      <c r="D902" s="39"/>
      <c r="E902" s="12"/>
      <c r="F902" s="40"/>
      <c r="G902" s="18" t="str">
        <f aca="false">IF(AND(ISNUMBER($E902),ISNUMBER($F902),$D902&lt;&gt;"R"),$E902*$F902,"")</f>
        <v/>
      </c>
      <c r="H902" s="10"/>
    </row>
    <row r="903" customFormat="false" ht="15.75" hidden="false" customHeight="true" outlineLevel="0" collapsed="false">
      <c r="A903" s="38"/>
      <c r="B903" s="11"/>
      <c r="C903" s="10"/>
      <c r="D903" s="39"/>
      <c r="E903" s="12"/>
      <c r="F903" s="40"/>
      <c r="G903" s="18" t="str">
        <f aca="false">IF(AND(ISNUMBER($E903),ISNUMBER($F903),$D903&lt;&gt;"R"),$E903*$F903,"")</f>
        <v/>
      </c>
      <c r="H903" s="10"/>
    </row>
  </sheetData>
  <autoFilter ref="A3:H903"/>
  <mergeCells count="2">
    <mergeCell ref="A1:H1"/>
    <mergeCell ref="A2:H2"/>
  </mergeCells>
  <conditionalFormatting sqref="A4:H903">
    <cfRule type="expression" priority="2" aboveAverage="0" equalAverage="0" bottom="0" percent="0" rank="0" text="" dxfId="12">
      <formula>$D4="A"</formula>
    </cfRule>
  </conditionalFormatting>
  <dataValidations count="2">
    <dataValidation allowBlank="true" error="Bitte eine Übung aus dem Plan." errorStyle="stop" errorTitle="Übung" operator="between" showDropDown="false" showErrorMessage="false" showInputMessage="false" sqref="C4:C903" type="list">
      <formula1>Plan!$A$6:$A$21</formula1>
      <formula2>0</formula2>
    </dataValidation>
    <dataValidation allowBlank="true" error="W = Warmup, A = Arbeitssatz, R = Reduktionssatz" errorStyle="stop" errorTitle="Satztyp" operator="between" showDropDown="false" showErrorMessage="false" showInputMessage="false" sqref="D4:D903" type="list">
      <formula1>"W,A,R"</formula1>
      <formula2>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&amp;K909090Log</oddHeader>
    <oddFooter>&amp;L&amp;8 &amp;K909090W = Warmup · A = Arbeitssatz (zählt) · R = Reduktionssatz&amp;R&amp;8 &amp;K909090Seite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3" min="2" style="0" width="9"/>
    <col collapsed="false" customWidth="true" hidden="false" outlineLevel="0" max="15" min="14" style="0" width="12"/>
  </cols>
  <sheetData>
    <row r="1" customFormat="false" ht="27.75" hidden="false" customHeight="true" outlineLevel="0" collapsed="false">
      <c r="A1" s="1" t="s">
        <v>99</v>
      </c>
      <c r="B1" s="1"/>
      <c r="C1" s="1"/>
      <c r="D1" s="1"/>
      <c r="E1" s="1"/>
      <c r="F1" s="1"/>
      <c r="G1" s="1"/>
      <c r="H1" s="1"/>
      <c r="I1" s="1"/>
      <c r="J1" s="1"/>
      <c r="K1" s="1"/>
      <c r="L1" s="1"/>
      <c r="M1" s="1"/>
      <c r="N1" s="1"/>
      <c r="O1" s="1"/>
    </row>
    <row r="2" customFormat="false" ht="13.5" hidden="false" customHeight="true" outlineLevel="0" collapsed="false">
      <c r="A2" s="2" t="s">
        <v>100</v>
      </c>
      <c r="B2" s="2"/>
      <c r="C2" s="2"/>
      <c r="D2" s="2"/>
      <c r="E2" s="2"/>
      <c r="F2" s="2"/>
      <c r="G2" s="2"/>
      <c r="H2" s="2"/>
      <c r="I2" s="2"/>
      <c r="J2" s="2"/>
      <c r="K2" s="2"/>
      <c r="L2" s="2"/>
      <c r="M2" s="2"/>
      <c r="N2" s="2"/>
      <c r="O2" s="2"/>
    </row>
    <row r="3" customFormat="false" ht="18" hidden="false" customHeight="true" outlineLevel="0" collapsed="false">
      <c r="A3" s="41" t="s">
        <v>101</v>
      </c>
      <c r="B3" s="42" t="n">
        <v>1</v>
      </c>
      <c r="C3" s="43" t="str">
        <f aca="false">"zeigt Einheit "&amp;$B$3&amp;" bis "&amp;($B$3+11)&amp;".  Zahl links ändern, um weiterzublättern."</f>
        <v>zeigt Einheit 1 bis 12.  Zahl links ändern, um weiterzublättern.</v>
      </c>
      <c r="D3" s="43"/>
      <c r="E3" s="43"/>
      <c r="F3" s="43"/>
      <c r="G3" s="43"/>
      <c r="H3" s="43"/>
      <c r="I3" s="43"/>
      <c r="J3" s="43"/>
      <c r="K3" s="43"/>
      <c r="L3" s="43"/>
      <c r="M3" s="43"/>
      <c r="N3" s="43"/>
      <c r="O3" s="43"/>
    </row>
    <row r="4" customFormat="false" ht="21.75" hidden="false" customHeight="true" outlineLevel="0" collapsed="false">
      <c r="A4" s="7" t="s">
        <v>5</v>
      </c>
      <c r="B4" s="44" t="n">
        <f aca="false">$B$3</f>
        <v>1</v>
      </c>
      <c r="C4" s="44" t="n">
        <f aca="false">B4+1</f>
        <v>2</v>
      </c>
      <c r="D4" s="44" t="n">
        <f aca="false">C4+1</f>
        <v>3</v>
      </c>
      <c r="E4" s="44" t="n">
        <f aca="false">D4+1</f>
        <v>4</v>
      </c>
      <c r="F4" s="44" t="n">
        <f aca="false">E4+1</f>
        <v>5</v>
      </c>
      <c r="G4" s="44" t="n">
        <f aca="false">F4+1</f>
        <v>6</v>
      </c>
      <c r="H4" s="44" t="n">
        <f aca="false">G4+1</f>
        <v>7</v>
      </c>
      <c r="I4" s="44" t="n">
        <f aca="false">H4+1</f>
        <v>8</v>
      </c>
      <c r="J4" s="44" t="n">
        <f aca="false">I4+1</f>
        <v>9</v>
      </c>
      <c r="K4" s="44" t="n">
        <f aca="false">J4+1</f>
        <v>10</v>
      </c>
      <c r="L4" s="44" t="n">
        <f aca="false">K4+1</f>
        <v>11</v>
      </c>
      <c r="M4" s="44" t="n">
        <f aca="false">L4+1</f>
        <v>12</v>
      </c>
      <c r="N4" s="7" t="s">
        <v>102</v>
      </c>
      <c r="O4" s="7" t="s">
        <v>103</v>
      </c>
    </row>
    <row r="5" customFormat="false" ht="16.5" hidden="false" customHeight="true" outlineLevel="0" collapsed="false">
      <c r="A5" s="45" t="str">
        <f aca="false">IF(Plan!$A7="","",Plan!$A7)</f>
        <v>Beinpresse</v>
      </c>
      <c r="B5" s="46" t="str">
        <f aca="false">IF($A5="","",IF(SUMIFS(Log!$G$4:$G$903,Log!$C$4:$C$903,$A5,Log!$B$4:$B$903,B$4,Log!$D$4:$D$903,"A")=0,"",SUMIFS(Log!$G$4:$G$903,Log!$C$4:$C$903,$A5,Log!$B$4:$B$903,B$4,Log!$D$4:$D$903,"A")))</f>
        <v/>
      </c>
      <c r="C5" s="46" t="str">
        <f aca="false">IF($A5="","",IF(SUMIFS(Log!$G$4:$G$903,Log!$C$4:$C$903,$A5,Log!$B$4:$B$903,C$4,Log!$D$4:$D$903,"A")=0,"",SUMIFS(Log!$G$4:$G$903,Log!$C$4:$C$903,$A5,Log!$B$4:$B$903,C$4,Log!$D$4:$D$903,"A")))</f>
        <v/>
      </c>
      <c r="D5" s="46" t="str">
        <f aca="false">IF($A5="","",IF(SUMIFS(Log!$G$4:$G$903,Log!$C$4:$C$903,$A5,Log!$B$4:$B$903,D$4,Log!$D$4:$D$903,"A")=0,"",SUMIFS(Log!$G$4:$G$903,Log!$C$4:$C$903,$A5,Log!$B$4:$B$903,D$4,Log!$D$4:$D$903,"A")))</f>
        <v/>
      </c>
      <c r="E5" s="46" t="str">
        <f aca="false">IF($A5="","",IF(SUMIFS(Log!$G$4:$G$903,Log!$C$4:$C$903,$A5,Log!$B$4:$B$903,E$4,Log!$D$4:$D$903,"A")=0,"",SUMIFS(Log!$G$4:$G$903,Log!$C$4:$C$903,$A5,Log!$B$4:$B$903,E$4,Log!$D$4:$D$903,"A")))</f>
        <v/>
      </c>
      <c r="F5" s="46" t="str">
        <f aca="false">IF($A5="","",IF(SUMIFS(Log!$G$4:$G$903,Log!$C$4:$C$903,$A5,Log!$B$4:$B$903,F$4,Log!$D$4:$D$903,"A")=0,"",SUMIFS(Log!$G$4:$G$903,Log!$C$4:$C$903,$A5,Log!$B$4:$B$903,F$4,Log!$D$4:$D$903,"A")))</f>
        <v/>
      </c>
      <c r="G5" s="46" t="str">
        <f aca="false">IF($A5="","",IF(SUMIFS(Log!$G$4:$G$903,Log!$C$4:$C$903,$A5,Log!$B$4:$B$903,G$4,Log!$D$4:$D$903,"A")=0,"",SUMIFS(Log!$G$4:$G$903,Log!$C$4:$C$903,$A5,Log!$B$4:$B$903,G$4,Log!$D$4:$D$903,"A")))</f>
        <v/>
      </c>
      <c r="H5" s="46" t="str">
        <f aca="false">IF($A5="","",IF(SUMIFS(Log!$G$4:$G$903,Log!$C$4:$C$903,$A5,Log!$B$4:$B$903,H$4,Log!$D$4:$D$903,"A")=0,"",SUMIFS(Log!$G$4:$G$903,Log!$C$4:$C$903,$A5,Log!$B$4:$B$903,H$4,Log!$D$4:$D$903,"A")))</f>
        <v/>
      </c>
      <c r="I5" s="46" t="str">
        <f aca="false">IF($A5="","",IF(SUMIFS(Log!$G$4:$G$903,Log!$C$4:$C$903,$A5,Log!$B$4:$B$903,I$4,Log!$D$4:$D$903,"A")=0,"",SUMIFS(Log!$G$4:$G$903,Log!$C$4:$C$903,$A5,Log!$B$4:$B$903,I$4,Log!$D$4:$D$903,"A")))</f>
        <v/>
      </c>
      <c r="J5" s="46" t="str">
        <f aca="false">IF($A5="","",IF(SUMIFS(Log!$G$4:$G$903,Log!$C$4:$C$903,$A5,Log!$B$4:$B$903,J$4,Log!$D$4:$D$903,"A")=0,"",SUMIFS(Log!$G$4:$G$903,Log!$C$4:$C$903,$A5,Log!$B$4:$B$903,J$4,Log!$D$4:$D$903,"A")))</f>
        <v/>
      </c>
      <c r="K5" s="46" t="str">
        <f aca="false">IF($A5="","",IF(SUMIFS(Log!$G$4:$G$903,Log!$C$4:$C$903,$A5,Log!$B$4:$B$903,K$4,Log!$D$4:$D$903,"A")=0,"",SUMIFS(Log!$G$4:$G$903,Log!$C$4:$C$903,$A5,Log!$B$4:$B$903,K$4,Log!$D$4:$D$903,"A")))</f>
        <v/>
      </c>
      <c r="L5" s="46" t="str">
        <f aca="false">IF($A5="","",IF(SUMIFS(Log!$G$4:$G$903,Log!$C$4:$C$903,$A5,Log!$B$4:$B$903,L$4,Log!$D$4:$D$903,"A")=0,"",SUMIFS(Log!$G$4:$G$903,Log!$C$4:$C$903,$A5,Log!$B$4:$B$903,L$4,Log!$D$4:$D$903,"A")))</f>
        <v/>
      </c>
      <c r="M5" s="46" t="str">
        <f aca="false">IF($A5="","",IF(SUMIFS(Log!$G$4:$G$903,Log!$C$4:$C$903,$A5,Log!$B$4:$B$903,M$4,Log!$D$4:$D$903,"A")=0,"",SUMIFS(Log!$G$4:$G$903,Log!$C$4:$C$903,$A5,Log!$B$4:$B$903,M$4,Log!$D$4:$D$903,"A")))</f>
        <v/>
      </c>
      <c r="N5" s="47" t="str">
        <f aca="false">IF($A5="","",IF(SUMIFS(Log!$G$4:$G$903,Log!$C$4:$C$903,$A5,Log!$D$4:$D$903,"A")=0,"",SUMIFS(Log!$G$4:$G$903,Log!$C$4:$C$903,$A5,Log!$D$4:$D$903,"A")))</f>
        <v/>
      </c>
      <c r="O5" s="18" t="str">
        <f aca="false">IF(OR($A5="",SUMPRODUCT((COUNTIFS(Log!$C$4:$C$903,$A5,Log!$D$4:$D$903,"A",Log!$B$4:$B$903,ROW($1:$60))&gt;0)*1)=0),"",SUMIFS(Log!$G$4:$G$903,Log!$C$4:$C$903,$A5,Log!$D$4:$D$903,"A")/SUMPRODUCT((COUNTIFS(Log!$C$4:$C$903,$A5,Log!$D$4:$D$903,"A",Log!$B$4:$B$903,ROW($1:$60))&gt;0)*1))</f>
        <v/>
      </c>
    </row>
    <row r="6" customFormat="false" ht="16.5" hidden="false" customHeight="true" outlineLevel="0" collapsed="false">
      <c r="A6" s="48" t="str">
        <f aca="false">IF(Plan!$A8="","",Plan!$A8)</f>
        <v>Split Squat</v>
      </c>
      <c r="B6" s="49" t="n">
        <f aca="false">IF($A6="","",IF(SUMIFS(Log!$G$4:$G$903,Log!$C$4:$C$903,$A6,Log!$B$4:$B$903,B$4,Log!$D$4:$D$903,"A")=0,"",SUMIFS(Log!$G$4:$G$903,Log!$C$4:$C$903,$A6,Log!$B$4:$B$903,B$4,Log!$D$4:$D$903,"A")))</f>
        <v>1610</v>
      </c>
      <c r="C6" s="49" t="n">
        <f aca="false">IF($A6="","",IF(SUMIFS(Log!$G$4:$G$903,Log!$C$4:$C$903,$A6,Log!$B$4:$B$903,C$4,Log!$D$4:$D$903,"A")=0,"",SUMIFS(Log!$G$4:$G$903,Log!$C$4:$C$903,$A6,Log!$B$4:$B$903,C$4,Log!$D$4:$D$903,"A")))</f>
        <v>1575</v>
      </c>
      <c r="D6" s="49" t="n">
        <f aca="false">IF($A6="","",IF(SUMIFS(Log!$G$4:$G$903,Log!$C$4:$C$903,$A6,Log!$B$4:$B$903,D$4,Log!$D$4:$D$903,"A")=0,"",SUMIFS(Log!$G$4:$G$903,Log!$C$4:$C$903,$A6,Log!$B$4:$B$903,D$4,Log!$D$4:$D$903,"A")))</f>
        <v>2275</v>
      </c>
      <c r="E6" s="49" t="n">
        <f aca="false">IF($A6="","",IF(SUMIFS(Log!$G$4:$G$903,Log!$C$4:$C$903,$A6,Log!$B$4:$B$903,E$4,Log!$D$4:$D$903,"A")=0,"",SUMIFS(Log!$G$4:$G$903,Log!$C$4:$C$903,$A6,Log!$B$4:$B$903,E$4,Log!$D$4:$D$903,"A")))</f>
        <v>1640</v>
      </c>
      <c r="F6" s="49" t="str">
        <f aca="false">IF($A6="","",IF(SUMIFS(Log!$G$4:$G$903,Log!$C$4:$C$903,$A6,Log!$B$4:$B$903,F$4,Log!$D$4:$D$903,"A")=0,"",SUMIFS(Log!$G$4:$G$903,Log!$C$4:$C$903,$A6,Log!$B$4:$B$903,F$4,Log!$D$4:$D$903,"A")))</f>
        <v/>
      </c>
      <c r="G6" s="49" t="str">
        <f aca="false">IF($A6="","",IF(SUMIFS(Log!$G$4:$G$903,Log!$C$4:$C$903,$A6,Log!$B$4:$B$903,G$4,Log!$D$4:$D$903,"A")=0,"",SUMIFS(Log!$G$4:$G$903,Log!$C$4:$C$903,$A6,Log!$B$4:$B$903,G$4,Log!$D$4:$D$903,"A")))</f>
        <v/>
      </c>
      <c r="H6" s="49" t="str">
        <f aca="false">IF($A6="","",IF(SUMIFS(Log!$G$4:$G$903,Log!$C$4:$C$903,$A6,Log!$B$4:$B$903,H$4,Log!$D$4:$D$903,"A")=0,"",SUMIFS(Log!$G$4:$G$903,Log!$C$4:$C$903,$A6,Log!$B$4:$B$903,H$4,Log!$D$4:$D$903,"A")))</f>
        <v/>
      </c>
      <c r="I6" s="49" t="str">
        <f aca="false">IF($A6="","",IF(SUMIFS(Log!$G$4:$G$903,Log!$C$4:$C$903,$A6,Log!$B$4:$B$903,I$4,Log!$D$4:$D$903,"A")=0,"",SUMIFS(Log!$G$4:$G$903,Log!$C$4:$C$903,$A6,Log!$B$4:$B$903,I$4,Log!$D$4:$D$903,"A")))</f>
        <v/>
      </c>
      <c r="J6" s="49" t="str">
        <f aca="false">IF($A6="","",IF(SUMIFS(Log!$G$4:$G$903,Log!$C$4:$C$903,$A6,Log!$B$4:$B$903,J$4,Log!$D$4:$D$903,"A")=0,"",SUMIFS(Log!$G$4:$G$903,Log!$C$4:$C$903,$A6,Log!$B$4:$B$903,J$4,Log!$D$4:$D$903,"A")))</f>
        <v/>
      </c>
      <c r="K6" s="49" t="str">
        <f aca="false">IF($A6="","",IF(SUMIFS(Log!$G$4:$G$903,Log!$C$4:$C$903,$A6,Log!$B$4:$B$903,K$4,Log!$D$4:$D$903,"A")=0,"",SUMIFS(Log!$G$4:$G$903,Log!$C$4:$C$903,$A6,Log!$B$4:$B$903,K$4,Log!$D$4:$D$903,"A")))</f>
        <v/>
      </c>
      <c r="L6" s="49" t="str">
        <f aca="false">IF($A6="","",IF(SUMIFS(Log!$G$4:$G$903,Log!$C$4:$C$903,$A6,Log!$B$4:$B$903,L$4,Log!$D$4:$D$903,"A")=0,"",SUMIFS(Log!$G$4:$G$903,Log!$C$4:$C$903,$A6,Log!$B$4:$B$903,L$4,Log!$D$4:$D$903,"A")))</f>
        <v/>
      </c>
      <c r="M6" s="49" t="str">
        <f aca="false">IF($A6="","",IF(SUMIFS(Log!$G$4:$G$903,Log!$C$4:$C$903,$A6,Log!$B$4:$B$903,M$4,Log!$D$4:$D$903,"A")=0,"",SUMIFS(Log!$G$4:$G$903,Log!$C$4:$C$903,$A6,Log!$B$4:$B$903,M$4,Log!$D$4:$D$903,"A")))</f>
        <v/>
      </c>
      <c r="N6" s="47" t="n">
        <f aca="false">IF($A6="","",IF(SUMIFS(Log!$G$4:$G$903,Log!$C$4:$C$903,$A6,Log!$D$4:$D$903,"A")=0,"",SUMIFS(Log!$G$4:$G$903,Log!$C$4:$C$903,$A6,Log!$D$4:$D$903,"A")))</f>
        <v>7100</v>
      </c>
      <c r="O6" s="18" t="n">
        <f aca="false">IF(OR($A6="",SUMPRODUCT((COUNTIFS(Log!$C$4:$C$903,$A6,Log!$D$4:$D$903,"A",Log!$B$4:$B$903,ROW($1:$60))&gt;0)*1)=0),"",SUMIFS(Log!$G$4:$G$903,Log!$C$4:$C$903,$A6,Log!$D$4:$D$903,"A")/SUMPRODUCT((COUNTIFS(Log!$C$4:$C$903,$A6,Log!$D$4:$D$903,"A",Log!$B$4:$B$903,ROW($1:$60))&gt;0)*1))</f>
        <v>1775</v>
      </c>
    </row>
    <row r="7" customFormat="false" ht="16.5" hidden="false" customHeight="true" outlineLevel="0" collapsed="false">
      <c r="A7" s="45" t="str">
        <f aca="false">IF(Plan!$A9="","",Plan!$A9)</f>
        <v>Beinstrecker</v>
      </c>
      <c r="B7" s="46" t="n">
        <f aca="false">IF($A7="","",IF(SUMIFS(Log!$G$4:$G$903,Log!$C$4:$C$903,$A7,Log!$B$4:$B$903,B$4,Log!$D$4:$D$903,"A")=0,"",SUMIFS(Log!$G$4:$G$903,Log!$C$4:$C$903,$A7,Log!$B$4:$B$903,B$4,Log!$D$4:$D$903,"A")))</f>
        <v>1205</v>
      </c>
      <c r="C7" s="46" t="n">
        <f aca="false">IF($A7="","",IF(SUMIFS(Log!$G$4:$G$903,Log!$C$4:$C$903,$A7,Log!$B$4:$B$903,C$4,Log!$D$4:$D$903,"A")=0,"",SUMIFS(Log!$G$4:$G$903,Log!$C$4:$C$903,$A7,Log!$B$4:$B$903,C$4,Log!$D$4:$D$903,"A")))</f>
        <v>1630</v>
      </c>
      <c r="D7" s="46" t="n">
        <f aca="false">IF($A7="","",IF(SUMIFS(Log!$G$4:$G$903,Log!$C$4:$C$903,$A7,Log!$B$4:$B$903,D$4,Log!$D$4:$D$903,"A")=0,"",SUMIFS(Log!$G$4:$G$903,Log!$C$4:$C$903,$A7,Log!$B$4:$B$903,D$4,Log!$D$4:$D$903,"A")))</f>
        <v>1430</v>
      </c>
      <c r="E7" s="46" t="n">
        <f aca="false">IF($A7="","",IF(SUMIFS(Log!$G$4:$G$903,Log!$C$4:$C$903,$A7,Log!$B$4:$B$903,E$4,Log!$D$4:$D$903,"A")=0,"",SUMIFS(Log!$G$4:$G$903,Log!$C$4:$C$903,$A7,Log!$B$4:$B$903,E$4,Log!$D$4:$D$903,"A")))</f>
        <v>1600</v>
      </c>
      <c r="F7" s="46" t="str">
        <f aca="false">IF($A7="","",IF(SUMIFS(Log!$G$4:$G$903,Log!$C$4:$C$903,$A7,Log!$B$4:$B$903,F$4,Log!$D$4:$D$903,"A")=0,"",SUMIFS(Log!$G$4:$G$903,Log!$C$4:$C$903,$A7,Log!$B$4:$B$903,F$4,Log!$D$4:$D$903,"A")))</f>
        <v/>
      </c>
      <c r="G7" s="46" t="str">
        <f aca="false">IF($A7="","",IF(SUMIFS(Log!$G$4:$G$903,Log!$C$4:$C$903,$A7,Log!$B$4:$B$903,G$4,Log!$D$4:$D$903,"A")=0,"",SUMIFS(Log!$G$4:$G$903,Log!$C$4:$C$903,$A7,Log!$B$4:$B$903,G$4,Log!$D$4:$D$903,"A")))</f>
        <v/>
      </c>
      <c r="H7" s="46" t="str">
        <f aca="false">IF($A7="","",IF(SUMIFS(Log!$G$4:$G$903,Log!$C$4:$C$903,$A7,Log!$B$4:$B$903,H$4,Log!$D$4:$D$903,"A")=0,"",SUMIFS(Log!$G$4:$G$903,Log!$C$4:$C$903,$A7,Log!$B$4:$B$903,H$4,Log!$D$4:$D$903,"A")))</f>
        <v/>
      </c>
      <c r="I7" s="46" t="str">
        <f aca="false">IF($A7="","",IF(SUMIFS(Log!$G$4:$G$903,Log!$C$4:$C$903,$A7,Log!$B$4:$B$903,I$4,Log!$D$4:$D$903,"A")=0,"",SUMIFS(Log!$G$4:$G$903,Log!$C$4:$C$903,$A7,Log!$B$4:$B$903,I$4,Log!$D$4:$D$903,"A")))</f>
        <v/>
      </c>
      <c r="J7" s="46" t="str">
        <f aca="false">IF($A7="","",IF(SUMIFS(Log!$G$4:$G$903,Log!$C$4:$C$903,$A7,Log!$B$4:$B$903,J$4,Log!$D$4:$D$903,"A")=0,"",SUMIFS(Log!$G$4:$G$903,Log!$C$4:$C$903,$A7,Log!$B$4:$B$903,J$4,Log!$D$4:$D$903,"A")))</f>
        <v/>
      </c>
      <c r="K7" s="46" t="str">
        <f aca="false">IF($A7="","",IF(SUMIFS(Log!$G$4:$G$903,Log!$C$4:$C$903,$A7,Log!$B$4:$B$903,K$4,Log!$D$4:$D$903,"A")=0,"",SUMIFS(Log!$G$4:$G$903,Log!$C$4:$C$903,$A7,Log!$B$4:$B$903,K$4,Log!$D$4:$D$903,"A")))</f>
        <v/>
      </c>
      <c r="L7" s="46" t="str">
        <f aca="false">IF($A7="","",IF(SUMIFS(Log!$G$4:$G$903,Log!$C$4:$C$903,$A7,Log!$B$4:$B$903,L$4,Log!$D$4:$D$903,"A")=0,"",SUMIFS(Log!$G$4:$G$903,Log!$C$4:$C$903,$A7,Log!$B$4:$B$903,L$4,Log!$D$4:$D$903,"A")))</f>
        <v/>
      </c>
      <c r="M7" s="46" t="str">
        <f aca="false">IF($A7="","",IF(SUMIFS(Log!$G$4:$G$903,Log!$C$4:$C$903,$A7,Log!$B$4:$B$903,M$4,Log!$D$4:$D$903,"A")=0,"",SUMIFS(Log!$G$4:$G$903,Log!$C$4:$C$903,$A7,Log!$B$4:$B$903,M$4,Log!$D$4:$D$903,"A")))</f>
        <v/>
      </c>
      <c r="N7" s="47" t="n">
        <f aca="false">IF($A7="","",IF(SUMIFS(Log!$G$4:$G$903,Log!$C$4:$C$903,$A7,Log!$D$4:$D$903,"A")=0,"",SUMIFS(Log!$G$4:$G$903,Log!$C$4:$C$903,$A7,Log!$D$4:$D$903,"A")))</f>
        <v>5865</v>
      </c>
      <c r="O7" s="18" t="n">
        <f aca="false">IF(OR($A7="",SUMPRODUCT((COUNTIFS(Log!$C$4:$C$903,$A7,Log!$D$4:$D$903,"A",Log!$B$4:$B$903,ROW($1:$60))&gt;0)*1)=0),"",SUMIFS(Log!$G$4:$G$903,Log!$C$4:$C$903,$A7,Log!$D$4:$D$903,"A")/SUMPRODUCT((COUNTIFS(Log!$C$4:$C$903,$A7,Log!$D$4:$D$903,"A",Log!$B$4:$B$903,ROW($1:$60))&gt;0)*1))</f>
        <v>1466.25</v>
      </c>
    </row>
    <row r="8" customFormat="false" ht="16.5" hidden="false" customHeight="true" outlineLevel="0" collapsed="false">
      <c r="A8" s="48" t="str">
        <f aca="false">IF(Plan!$A10="","",Plan!$A10)</f>
        <v>Adduktion</v>
      </c>
      <c r="B8" s="49" t="n">
        <f aca="false">IF($A8="","",IF(SUMIFS(Log!$G$4:$G$903,Log!$C$4:$C$903,$A8,Log!$B$4:$B$903,B$4,Log!$D$4:$D$903,"A")=0,"",SUMIFS(Log!$G$4:$G$903,Log!$C$4:$C$903,$A8,Log!$B$4:$B$903,B$4,Log!$D$4:$D$903,"A")))</f>
        <v>4117.5</v>
      </c>
      <c r="C8" s="49" t="n">
        <f aca="false">IF($A8="","",IF(SUMIFS(Log!$G$4:$G$903,Log!$C$4:$C$903,$A8,Log!$B$4:$B$903,C$4,Log!$D$4:$D$903,"A")=0,"",SUMIFS(Log!$G$4:$G$903,Log!$C$4:$C$903,$A8,Log!$B$4:$B$903,C$4,Log!$D$4:$D$903,"A")))</f>
        <v>5490</v>
      </c>
      <c r="D8" s="49" t="n">
        <f aca="false">IF($A8="","",IF(SUMIFS(Log!$G$4:$G$903,Log!$C$4:$C$903,$A8,Log!$B$4:$B$903,D$4,Log!$D$4:$D$903,"A")=0,"",SUMIFS(Log!$G$4:$G$903,Log!$C$4:$C$903,$A8,Log!$B$4:$B$903,D$4,Log!$D$4:$D$903,"A")))</f>
        <v>5337.5</v>
      </c>
      <c r="E8" s="49" t="n">
        <f aca="false">IF($A8="","",IF(SUMIFS(Log!$G$4:$G$903,Log!$C$4:$C$903,$A8,Log!$B$4:$B$903,E$4,Log!$D$4:$D$903,"A")=0,"",SUMIFS(Log!$G$4:$G$903,Log!$C$4:$C$903,$A8,Log!$B$4:$B$903,E$4,Log!$D$4:$D$903,"A")))</f>
        <v>6862.5</v>
      </c>
      <c r="F8" s="49" t="str">
        <f aca="false">IF($A8="","",IF(SUMIFS(Log!$G$4:$G$903,Log!$C$4:$C$903,$A8,Log!$B$4:$B$903,F$4,Log!$D$4:$D$903,"A")=0,"",SUMIFS(Log!$G$4:$G$903,Log!$C$4:$C$903,$A8,Log!$B$4:$B$903,F$4,Log!$D$4:$D$903,"A")))</f>
        <v/>
      </c>
      <c r="G8" s="49" t="str">
        <f aca="false">IF($A8="","",IF(SUMIFS(Log!$G$4:$G$903,Log!$C$4:$C$903,$A8,Log!$B$4:$B$903,G$4,Log!$D$4:$D$903,"A")=0,"",SUMIFS(Log!$G$4:$G$903,Log!$C$4:$C$903,$A8,Log!$B$4:$B$903,G$4,Log!$D$4:$D$903,"A")))</f>
        <v/>
      </c>
      <c r="H8" s="49" t="str">
        <f aca="false">IF($A8="","",IF(SUMIFS(Log!$G$4:$G$903,Log!$C$4:$C$903,$A8,Log!$B$4:$B$903,H$4,Log!$D$4:$D$903,"A")=0,"",SUMIFS(Log!$G$4:$G$903,Log!$C$4:$C$903,$A8,Log!$B$4:$B$903,H$4,Log!$D$4:$D$903,"A")))</f>
        <v/>
      </c>
      <c r="I8" s="49" t="str">
        <f aca="false">IF($A8="","",IF(SUMIFS(Log!$G$4:$G$903,Log!$C$4:$C$903,$A8,Log!$B$4:$B$903,I$4,Log!$D$4:$D$903,"A")=0,"",SUMIFS(Log!$G$4:$G$903,Log!$C$4:$C$903,$A8,Log!$B$4:$B$903,I$4,Log!$D$4:$D$903,"A")))</f>
        <v/>
      </c>
      <c r="J8" s="49" t="str">
        <f aca="false">IF($A8="","",IF(SUMIFS(Log!$G$4:$G$903,Log!$C$4:$C$903,$A8,Log!$B$4:$B$903,J$4,Log!$D$4:$D$903,"A")=0,"",SUMIFS(Log!$G$4:$G$903,Log!$C$4:$C$903,$A8,Log!$B$4:$B$903,J$4,Log!$D$4:$D$903,"A")))</f>
        <v/>
      </c>
      <c r="K8" s="49" t="str">
        <f aca="false">IF($A8="","",IF(SUMIFS(Log!$G$4:$G$903,Log!$C$4:$C$903,$A8,Log!$B$4:$B$903,K$4,Log!$D$4:$D$903,"A")=0,"",SUMIFS(Log!$G$4:$G$903,Log!$C$4:$C$903,$A8,Log!$B$4:$B$903,K$4,Log!$D$4:$D$903,"A")))</f>
        <v/>
      </c>
      <c r="L8" s="49" t="str">
        <f aca="false">IF($A8="","",IF(SUMIFS(Log!$G$4:$G$903,Log!$C$4:$C$903,$A8,Log!$B$4:$B$903,L$4,Log!$D$4:$D$903,"A")=0,"",SUMIFS(Log!$G$4:$G$903,Log!$C$4:$C$903,$A8,Log!$B$4:$B$903,L$4,Log!$D$4:$D$903,"A")))</f>
        <v/>
      </c>
      <c r="M8" s="49" t="str">
        <f aca="false">IF($A8="","",IF(SUMIFS(Log!$G$4:$G$903,Log!$C$4:$C$903,$A8,Log!$B$4:$B$903,M$4,Log!$D$4:$D$903,"A")=0,"",SUMIFS(Log!$G$4:$G$903,Log!$C$4:$C$903,$A8,Log!$B$4:$B$903,M$4,Log!$D$4:$D$903,"A")))</f>
        <v/>
      </c>
      <c r="N8" s="47" t="n">
        <f aca="false">IF($A8="","",IF(SUMIFS(Log!$G$4:$G$903,Log!$C$4:$C$903,$A8,Log!$D$4:$D$903,"A")=0,"",SUMIFS(Log!$G$4:$G$903,Log!$C$4:$C$903,$A8,Log!$D$4:$D$903,"A")))</f>
        <v>21807.5</v>
      </c>
      <c r="O8" s="18" t="n">
        <f aca="false">IF(OR($A8="",SUMPRODUCT((COUNTIFS(Log!$C$4:$C$903,$A8,Log!$D$4:$D$903,"A",Log!$B$4:$B$903,ROW($1:$60))&gt;0)*1)=0),"",SUMIFS(Log!$G$4:$G$903,Log!$C$4:$C$903,$A8,Log!$D$4:$D$903,"A")/SUMPRODUCT((COUNTIFS(Log!$C$4:$C$903,$A8,Log!$D$4:$D$903,"A",Log!$B$4:$B$903,ROW($1:$60))&gt;0)*1))</f>
        <v>5451.875</v>
      </c>
    </row>
    <row r="9" customFormat="false" ht="16.5" hidden="false" customHeight="true" outlineLevel="0" collapsed="false">
      <c r="A9" s="45" t="str">
        <f aca="false">IF(Plan!$A13="","",Plan!$A13)</f>
        <v>Rumänisches Kreuzheben</v>
      </c>
      <c r="B9" s="46" t="str">
        <f aca="false">IF($A9="","",IF(SUMIFS(Log!$G$4:$G$903,Log!$C$4:$C$903,$A9,Log!$B$4:$B$903,B$4,Log!$D$4:$D$903,"A")=0,"",SUMIFS(Log!$G$4:$G$903,Log!$C$4:$C$903,$A9,Log!$B$4:$B$903,B$4,Log!$D$4:$D$903,"A")))</f>
        <v/>
      </c>
      <c r="C9" s="46" t="str">
        <f aca="false">IF($A9="","",IF(SUMIFS(Log!$G$4:$G$903,Log!$C$4:$C$903,$A9,Log!$B$4:$B$903,C$4,Log!$D$4:$D$903,"A")=0,"",SUMIFS(Log!$G$4:$G$903,Log!$C$4:$C$903,$A9,Log!$B$4:$B$903,C$4,Log!$D$4:$D$903,"A")))</f>
        <v/>
      </c>
      <c r="D9" s="46" t="str">
        <f aca="false">IF($A9="","",IF(SUMIFS(Log!$G$4:$G$903,Log!$C$4:$C$903,$A9,Log!$B$4:$B$903,D$4,Log!$D$4:$D$903,"A")=0,"",SUMIFS(Log!$G$4:$G$903,Log!$C$4:$C$903,$A9,Log!$B$4:$B$903,D$4,Log!$D$4:$D$903,"A")))</f>
        <v/>
      </c>
      <c r="E9" s="46" t="str">
        <f aca="false">IF($A9="","",IF(SUMIFS(Log!$G$4:$G$903,Log!$C$4:$C$903,$A9,Log!$B$4:$B$903,E$4,Log!$D$4:$D$903,"A")=0,"",SUMIFS(Log!$G$4:$G$903,Log!$C$4:$C$903,$A9,Log!$B$4:$B$903,E$4,Log!$D$4:$D$903,"A")))</f>
        <v/>
      </c>
      <c r="F9" s="46" t="str">
        <f aca="false">IF($A9="","",IF(SUMIFS(Log!$G$4:$G$903,Log!$C$4:$C$903,$A9,Log!$B$4:$B$903,F$4,Log!$D$4:$D$903,"A")=0,"",SUMIFS(Log!$G$4:$G$903,Log!$C$4:$C$903,$A9,Log!$B$4:$B$903,F$4,Log!$D$4:$D$903,"A")))</f>
        <v/>
      </c>
      <c r="G9" s="46" t="str">
        <f aca="false">IF($A9="","",IF(SUMIFS(Log!$G$4:$G$903,Log!$C$4:$C$903,$A9,Log!$B$4:$B$903,G$4,Log!$D$4:$D$903,"A")=0,"",SUMIFS(Log!$G$4:$G$903,Log!$C$4:$C$903,$A9,Log!$B$4:$B$903,G$4,Log!$D$4:$D$903,"A")))</f>
        <v/>
      </c>
      <c r="H9" s="46" t="str">
        <f aca="false">IF($A9="","",IF(SUMIFS(Log!$G$4:$G$903,Log!$C$4:$C$903,$A9,Log!$B$4:$B$903,H$4,Log!$D$4:$D$903,"A")=0,"",SUMIFS(Log!$G$4:$G$903,Log!$C$4:$C$903,$A9,Log!$B$4:$B$903,H$4,Log!$D$4:$D$903,"A")))</f>
        <v/>
      </c>
      <c r="I9" s="46" t="str">
        <f aca="false">IF($A9="","",IF(SUMIFS(Log!$G$4:$G$903,Log!$C$4:$C$903,$A9,Log!$B$4:$B$903,I$4,Log!$D$4:$D$903,"A")=0,"",SUMIFS(Log!$G$4:$G$903,Log!$C$4:$C$903,$A9,Log!$B$4:$B$903,I$4,Log!$D$4:$D$903,"A")))</f>
        <v/>
      </c>
      <c r="J9" s="46" t="str">
        <f aca="false">IF($A9="","",IF(SUMIFS(Log!$G$4:$G$903,Log!$C$4:$C$903,$A9,Log!$B$4:$B$903,J$4,Log!$D$4:$D$903,"A")=0,"",SUMIFS(Log!$G$4:$G$903,Log!$C$4:$C$903,$A9,Log!$B$4:$B$903,J$4,Log!$D$4:$D$903,"A")))</f>
        <v/>
      </c>
      <c r="K9" s="46" t="str">
        <f aca="false">IF($A9="","",IF(SUMIFS(Log!$G$4:$G$903,Log!$C$4:$C$903,$A9,Log!$B$4:$B$903,K$4,Log!$D$4:$D$903,"A")=0,"",SUMIFS(Log!$G$4:$G$903,Log!$C$4:$C$903,$A9,Log!$B$4:$B$903,K$4,Log!$D$4:$D$903,"A")))</f>
        <v/>
      </c>
      <c r="L9" s="46" t="str">
        <f aca="false">IF($A9="","",IF(SUMIFS(Log!$G$4:$G$903,Log!$C$4:$C$903,$A9,Log!$B$4:$B$903,L$4,Log!$D$4:$D$903,"A")=0,"",SUMIFS(Log!$G$4:$G$903,Log!$C$4:$C$903,$A9,Log!$B$4:$B$903,L$4,Log!$D$4:$D$903,"A")))</f>
        <v/>
      </c>
      <c r="M9" s="46" t="str">
        <f aca="false">IF($A9="","",IF(SUMIFS(Log!$G$4:$G$903,Log!$C$4:$C$903,$A9,Log!$B$4:$B$903,M$4,Log!$D$4:$D$903,"A")=0,"",SUMIFS(Log!$G$4:$G$903,Log!$C$4:$C$903,$A9,Log!$B$4:$B$903,M$4,Log!$D$4:$D$903,"A")))</f>
        <v/>
      </c>
      <c r="N9" s="47" t="str">
        <f aca="false">IF($A9="","",IF(SUMIFS(Log!$G$4:$G$903,Log!$C$4:$C$903,$A9,Log!$D$4:$D$903,"A")=0,"",SUMIFS(Log!$G$4:$G$903,Log!$C$4:$C$903,$A9,Log!$D$4:$D$903,"A")))</f>
        <v/>
      </c>
      <c r="O9" s="18" t="str">
        <f aca="false">IF(OR($A9="",SUMPRODUCT((COUNTIFS(Log!$C$4:$C$903,$A9,Log!$D$4:$D$903,"A",Log!$B$4:$B$903,ROW($1:$60))&gt;0)*1)=0),"",SUMIFS(Log!$G$4:$G$903,Log!$C$4:$C$903,$A9,Log!$D$4:$D$903,"A")/SUMPRODUCT((COUNTIFS(Log!$C$4:$C$903,$A9,Log!$D$4:$D$903,"A",Log!$B$4:$B$903,ROW($1:$60))&gt;0)*1))</f>
        <v/>
      </c>
    </row>
    <row r="10" customFormat="false" ht="16.5" hidden="false" customHeight="true" outlineLevel="0" collapsed="false">
      <c r="A10" s="48" t="str">
        <f aca="false">IF(Plan!$A14="","",Plan!$A14)</f>
        <v>Hip Thrust</v>
      </c>
      <c r="B10" s="49" t="n">
        <f aca="false">IF($A10="","",IF(SUMIFS(Log!$G$4:$G$903,Log!$C$4:$C$903,$A10,Log!$B$4:$B$903,B$4,Log!$D$4:$D$903,"A")=0,"",SUMIFS(Log!$G$4:$G$903,Log!$C$4:$C$903,$A10,Log!$B$4:$B$903,B$4,Log!$D$4:$D$903,"A")))</f>
        <v>4560</v>
      </c>
      <c r="C10" s="49" t="n">
        <f aca="false">IF($A10="","",IF(SUMIFS(Log!$G$4:$G$903,Log!$C$4:$C$903,$A10,Log!$B$4:$B$903,C$4,Log!$D$4:$D$903,"A")=0,"",SUMIFS(Log!$G$4:$G$903,Log!$C$4:$C$903,$A10,Log!$B$4:$B$903,C$4,Log!$D$4:$D$903,"A")))</f>
        <v>4080</v>
      </c>
      <c r="D10" s="49" t="n">
        <f aca="false">IF($A10="","",IF(SUMIFS(Log!$G$4:$G$903,Log!$C$4:$C$903,$A10,Log!$B$4:$B$903,D$4,Log!$D$4:$D$903,"A")=0,"",SUMIFS(Log!$G$4:$G$903,Log!$C$4:$C$903,$A10,Log!$B$4:$B$903,D$4,Log!$D$4:$D$903,"A")))</f>
        <v>4940</v>
      </c>
      <c r="E10" s="49" t="n">
        <f aca="false">IF($A10="","",IF(SUMIFS(Log!$G$4:$G$903,Log!$C$4:$C$903,$A10,Log!$B$4:$B$903,E$4,Log!$D$4:$D$903,"A")=0,"",SUMIFS(Log!$G$4:$G$903,Log!$C$4:$C$903,$A10,Log!$B$4:$B$903,E$4,Log!$D$4:$D$903,"A")))</f>
        <v>6480</v>
      </c>
      <c r="F10" s="49" t="str">
        <f aca="false">IF($A10="","",IF(SUMIFS(Log!$G$4:$G$903,Log!$C$4:$C$903,$A10,Log!$B$4:$B$903,F$4,Log!$D$4:$D$903,"A")=0,"",SUMIFS(Log!$G$4:$G$903,Log!$C$4:$C$903,$A10,Log!$B$4:$B$903,F$4,Log!$D$4:$D$903,"A")))</f>
        <v/>
      </c>
      <c r="G10" s="49" t="str">
        <f aca="false">IF($A10="","",IF(SUMIFS(Log!$G$4:$G$903,Log!$C$4:$C$903,$A10,Log!$B$4:$B$903,G$4,Log!$D$4:$D$903,"A")=0,"",SUMIFS(Log!$G$4:$G$903,Log!$C$4:$C$903,$A10,Log!$B$4:$B$903,G$4,Log!$D$4:$D$903,"A")))</f>
        <v/>
      </c>
      <c r="H10" s="49" t="str">
        <f aca="false">IF($A10="","",IF(SUMIFS(Log!$G$4:$G$903,Log!$C$4:$C$903,$A10,Log!$B$4:$B$903,H$4,Log!$D$4:$D$903,"A")=0,"",SUMIFS(Log!$G$4:$G$903,Log!$C$4:$C$903,$A10,Log!$B$4:$B$903,H$4,Log!$D$4:$D$903,"A")))</f>
        <v/>
      </c>
      <c r="I10" s="49" t="str">
        <f aca="false">IF($A10="","",IF(SUMIFS(Log!$G$4:$G$903,Log!$C$4:$C$903,$A10,Log!$B$4:$B$903,I$4,Log!$D$4:$D$903,"A")=0,"",SUMIFS(Log!$G$4:$G$903,Log!$C$4:$C$903,$A10,Log!$B$4:$B$903,I$4,Log!$D$4:$D$903,"A")))</f>
        <v/>
      </c>
      <c r="J10" s="49" t="str">
        <f aca="false">IF($A10="","",IF(SUMIFS(Log!$G$4:$G$903,Log!$C$4:$C$903,$A10,Log!$B$4:$B$903,J$4,Log!$D$4:$D$903,"A")=0,"",SUMIFS(Log!$G$4:$G$903,Log!$C$4:$C$903,$A10,Log!$B$4:$B$903,J$4,Log!$D$4:$D$903,"A")))</f>
        <v/>
      </c>
      <c r="K10" s="49" t="str">
        <f aca="false">IF($A10="","",IF(SUMIFS(Log!$G$4:$G$903,Log!$C$4:$C$903,$A10,Log!$B$4:$B$903,K$4,Log!$D$4:$D$903,"A")=0,"",SUMIFS(Log!$G$4:$G$903,Log!$C$4:$C$903,$A10,Log!$B$4:$B$903,K$4,Log!$D$4:$D$903,"A")))</f>
        <v/>
      </c>
      <c r="L10" s="49" t="str">
        <f aca="false">IF($A10="","",IF(SUMIFS(Log!$G$4:$G$903,Log!$C$4:$C$903,$A10,Log!$B$4:$B$903,L$4,Log!$D$4:$D$903,"A")=0,"",SUMIFS(Log!$G$4:$G$903,Log!$C$4:$C$903,$A10,Log!$B$4:$B$903,L$4,Log!$D$4:$D$903,"A")))</f>
        <v/>
      </c>
      <c r="M10" s="49" t="str">
        <f aca="false">IF($A10="","",IF(SUMIFS(Log!$G$4:$G$903,Log!$C$4:$C$903,$A10,Log!$B$4:$B$903,M$4,Log!$D$4:$D$903,"A")=0,"",SUMIFS(Log!$G$4:$G$903,Log!$C$4:$C$903,$A10,Log!$B$4:$B$903,M$4,Log!$D$4:$D$903,"A")))</f>
        <v/>
      </c>
      <c r="N10" s="47" t="n">
        <f aca="false">IF($A10="","",IF(SUMIFS(Log!$G$4:$G$903,Log!$C$4:$C$903,$A10,Log!$D$4:$D$903,"A")=0,"",SUMIFS(Log!$G$4:$G$903,Log!$C$4:$C$903,$A10,Log!$D$4:$D$903,"A")))</f>
        <v>20060</v>
      </c>
      <c r="O10" s="18" t="n">
        <f aca="false">IF(OR($A10="",SUMPRODUCT((COUNTIFS(Log!$C$4:$C$903,$A10,Log!$D$4:$D$903,"A",Log!$B$4:$B$903,ROW($1:$60))&gt;0)*1)=0),"",SUMIFS(Log!$G$4:$G$903,Log!$C$4:$C$903,$A10,Log!$D$4:$D$903,"A")/SUMPRODUCT((COUNTIFS(Log!$C$4:$C$903,$A10,Log!$D$4:$D$903,"A",Log!$B$4:$B$903,ROW($1:$60))&gt;0)*1))</f>
        <v>5015</v>
      </c>
    </row>
    <row r="11" customFormat="false" ht="16.5" hidden="false" customHeight="true" outlineLevel="0" collapsed="false">
      <c r="A11" s="45" t="str">
        <f aca="false">IF(Plan!$A15="","",Plan!$A15)</f>
        <v>Beinbeuger</v>
      </c>
      <c r="B11" s="46" t="n">
        <f aca="false">IF($A11="","",IF(SUMIFS(Log!$G$4:$G$903,Log!$C$4:$C$903,$A11,Log!$B$4:$B$903,B$4,Log!$D$4:$D$903,"A")=0,"",SUMIFS(Log!$G$4:$G$903,Log!$C$4:$C$903,$A11,Log!$B$4:$B$903,B$4,Log!$D$4:$D$903,"A")))</f>
        <v>1130</v>
      </c>
      <c r="C11" s="46" t="n">
        <f aca="false">IF($A11="","",IF(SUMIFS(Log!$G$4:$G$903,Log!$C$4:$C$903,$A11,Log!$B$4:$B$903,C$4,Log!$D$4:$D$903,"A")=0,"",SUMIFS(Log!$G$4:$G$903,Log!$C$4:$C$903,$A11,Log!$B$4:$B$903,C$4,Log!$D$4:$D$903,"A")))</f>
        <v>1150</v>
      </c>
      <c r="D11" s="46" t="n">
        <f aca="false">IF($A11="","",IF(SUMIFS(Log!$G$4:$G$903,Log!$C$4:$C$903,$A11,Log!$B$4:$B$903,D$4,Log!$D$4:$D$903,"A")=0,"",SUMIFS(Log!$G$4:$G$903,Log!$C$4:$C$903,$A11,Log!$B$4:$B$903,D$4,Log!$D$4:$D$903,"A")))</f>
        <v>1275</v>
      </c>
      <c r="E11" s="46" t="str">
        <f aca="false">IF($A11="","",IF(SUMIFS(Log!$G$4:$G$903,Log!$C$4:$C$903,$A11,Log!$B$4:$B$903,E$4,Log!$D$4:$D$903,"A")=0,"",SUMIFS(Log!$G$4:$G$903,Log!$C$4:$C$903,$A11,Log!$B$4:$B$903,E$4,Log!$D$4:$D$903,"A")))</f>
        <v/>
      </c>
      <c r="F11" s="46" t="str">
        <f aca="false">IF($A11="","",IF(SUMIFS(Log!$G$4:$G$903,Log!$C$4:$C$903,$A11,Log!$B$4:$B$903,F$4,Log!$D$4:$D$903,"A")=0,"",SUMIFS(Log!$G$4:$G$903,Log!$C$4:$C$903,$A11,Log!$B$4:$B$903,F$4,Log!$D$4:$D$903,"A")))</f>
        <v/>
      </c>
      <c r="G11" s="46" t="str">
        <f aca="false">IF($A11="","",IF(SUMIFS(Log!$G$4:$G$903,Log!$C$4:$C$903,$A11,Log!$B$4:$B$903,G$4,Log!$D$4:$D$903,"A")=0,"",SUMIFS(Log!$G$4:$G$903,Log!$C$4:$C$903,$A11,Log!$B$4:$B$903,G$4,Log!$D$4:$D$903,"A")))</f>
        <v/>
      </c>
      <c r="H11" s="46" t="str">
        <f aca="false">IF($A11="","",IF(SUMIFS(Log!$G$4:$G$903,Log!$C$4:$C$903,$A11,Log!$B$4:$B$903,H$4,Log!$D$4:$D$903,"A")=0,"",SUMIFS(Log!$G$4:$G$903,Log!$C$4:$C$903,$A11,Log!$B$4:$B$903,H$4,Log!$D$4:$D$903,"A")))</f>
        <v/>
      </c>
      <c r="I11" s="46" t="str">
        <f aca="false">IF($A11="","",IF(SUMIFS(Log!$G$4:$G$903,Log!$C$4:$C$903,$A11,Log!$B$4:$B$903,I$4,Log!$D$4:$D$903,"A")=0,"",SUMIFS(Log!$G$4:$G$903,Log!$C$4:$C$903,$A11,Log!$B$4:$B$903,I$4,Log!$D$4:$D$903,"A")))</f>
        <v/>
      </c>
      <c r="J11" s="46" t="str">
        <f aca="false">IF($A11="","",IF(SUMIFS(Log!$G$4:$G$903,Log!$C$4:$C$903,$A11,Log!$B$4:$B$903,J$4,Log!$D$4:$D$903,"A")=0,"",SUMIFS(Log!$G$4:$G$903,Log!$C$4:$C$903,$A11,Log!$B$4:$B$903,J$4,Log!$D$4:$D$903,"A")))</f>
        <v/>
      </c>
      <c r="K11" s="46" t="str">
        <f aca="false">IF($A11="","",IF(SUMIFS(Log!$G$4:$G$903,Log!$C$4:$C$903,$A11,Log!$B$4:$B$903,K$4,Log!$D$4:$D$903,"A")=0,"",SUMIFS(Log!$G$4:$G$903,Log!$C$4:$C$903,$A11,Log!$B$4:$B$903,K$4,Log!$D$4:$D$903,"A")))</f>
        <v/>
      </c>
      <c r="L11" s="46" t="str">
        <f aca="false">IF($A11="","",IF(SUMIFS(Log!$G$4:$G$903,Log!$C$4:$C$903,$A11,Log!$B$4:$B$903,L$4,Log!$D$4:$D$903,"A")=0,"",SUMIFS(Log!$G$4:$G$903,Log!$C$4:$C$903,$A11,Log!$B$4:$B$903,L$4,Log!$D$4:$D$903,"A")))</f>
        <v/>
      </c>
      <c r="M11" s="46" t="str">
        <f aca="false">IF($A11="","",IF(SUMIFS(Log!$G$4:$G$903,Log!$C$4:$C$903,$A11,Log!$B$4:$B$903,M$4,Log!$D$4:$D$903,"A")=0,"",SUMIFS(Log!$G$4:$G$903,Log!$C$4:$C$903,$A11,Log!$B$4:$B$903,M$4,Log!$D$4:$D$903,"A")))</f>
        <v/>
      </c>
      <c r="N11" s="47" t="n">
        <f aca="false">IF($A11="","",IF(SUMIFS(Log!$G$4:$G$903,Log!$C$4:$C$903,$A11,Log!$D$4:$D$903,"A")=0,"",SUMIFS(Log!$G$4:$G$903,Log!$C$4:$C$903,$A11,Log!$D$4:$D$903,"A")))</f>
        <v>3555</v>
      </c>
      <c r="O11" s="18" t="n">
        <f aca="false">IF(OR($A11="",SUMPRODUCT((COUNTIFS(Log!$C$4:$C$903,$A11,Log!$D$4:$D$903,"A",Log!$B$4:$B$903,ROW($1:$60))&gt;0)*1)=0),"",SUMIFS(Log!$G$4:$G$903,Log!$C$4:$C$903,$A11,Log!$D$4:$D$903,"A")/SUMPRODUCT((COUNTIFS(Log!$C$4:$C$903,$A11,Log!$D$4:$D$903,"A",Log!$B$4:$B$903,ROW($1:$60))&gt;0)*1))</f>
        <v>1185</v>
      </c>
    </row>
    <row r="12" customFormat="false" ht="16.5" hidden="false" customHeight="true" outlineLevel="0" collapsed="false">
      <c r="A12" s="48" t="str">
        <f aca="false">IF(Plan!$A16="","",Plan!$A16)</f>
        <v>Seitliche Kickbacks</v>
      </c>
      <c r="B12" s="49" t="n">
        <f aca="false">IF($A12="","",IF(SUMIFS(Log!$G$4:$G$903,Log!$C$4:$C$903,$A12,Log!$B$4:$B$903,B$4,Log!$D$4:$D$903,"A")=0,"",SUMIFS(Log!$G$4:$G$903,Log!$C$4:$C$903,$A12,Log!$B$4:$B$903,B$4,Log!$D$4:$D$903,"A")))</f>
        <v>1078</v>
      </c>
      <c r="C12" s="49" t="n">
        <f aca="false">IF($A12="","",IF(SUMIFS(Log!$G$4:$G$903,Log!$C$4:$C$903,$A12,Log!$B$4:$B$903,C$4,Log!$D$4:$D$903,"A")=0,"",SUMIFS(Log!$G$4:$G$903,Log!$C$4:$C$903,$A12,Log!$B$4:$B$903,C$4,Log!$D$4:$D$903,"A")))</f>
        <v>975</v>
      </c>
      <c r="D12" s="49" t="str">
        <f aca="false">IF($A12="","",IF(SUMIFS(Log!$G$4:$G$903,Log!$C$4:$C$903,$A12,Log!$B$4:$B$903,D$4,Log!$D$4:$D$903,"A")=0,"",SUMIFS(Log!$G$4:$G$903,Log!$C$4:$C$903,$A12,Log!$B$4:$B$903,D$4,Log!$D$4:$D$903,"A")))</f>
        <v/>
      </c>
      <c r="E12" s="49" t="str">
        <f aca="false">IF($A12="","",IF(SUMIFS(Log!$G$4:$G$903,Log!$C$4:$C$903,$A12,Log!$B$4:$B$903,E$4,Log!$D$4:$D$903,"A")=0,"",SUMIFS(Log!$G$4:$G$903,Log!$C$4:$C$903,$A12,Log!$B$4:$B$903,E$4,Log!$D$4:$D$903,"A")))</f>
        <v/>
      </c>
      <c r="F12" s="49" t="str">
        <f aca="false">IF($A12="","",IF(SUMIFS(Log!$G$4:$G$903,Log!$C$4:$C$903,$A12,Log!$B$4:$B$903,F$4,Log!$D$4:$D$903,"A")=0,"",SUMIFS(Log!$G$4:$G$903,Log!$C$4:$C$903,$A12,Log!$B$4:$B$903,F$4,Log!$D$4:$D$903,"A")))</f>
        <v/>
      </c>
      <c r="G12" s="49" t="str">
        <f aca="false">IF($A12="","",IF(SUMIFS(Log!$G$4:$G$903,Log!$C$4:$C$903,$A12,Log!$B$4:$B$903,G$4,Log!$D$4:$D$903,"A")=0,"",SUMIFS(Log!$G$4:$G$903,Log!$C$4:$C$903,$A12,Log!$B$4:$B$903,G$4,Log!$D$4:$D$903,"A")))</f>
        <v/>
      </c>
      <c r="H12" s="49" t="str">
        <f aca="false">IF($A12="","",IF(SUMIFS(Log!$G$4:$G$903,Log!$C$4:$C$903,$A12,Log!$B$4:$B$903,H$4,Log!$D$4:$D$903,"A")=0,"",SUMIFS(Log!$G$4:$G$903,Log!$C$4:$C$903,$A12,Log!$B$4:$B$903,H$4,Log!$D$4:$D$903,"A")))</f>
        <v/>
      </c>
      <c r="I12" s="49" t="str">
        <f aca="false">IF($A12="","",IF(SUMIFS(Log!$G$4:$G$903,Log!$C$4:$C$903,$A12,Log!$B$4:$B$903,I$4,Log!$D$4:$D$903,"A")=0,"",SUMIFS(Log!$G$4:$G$903,Log!$C$4:$C$903,$A12,Log!$B$4:$B$903,I$4,Log!$D$4:$D$903,"A")))</f>
        <v/>
      </c>
      <c r="J12" s="49" t="str">
        <f aca="false">IF($A12="","",IF(SUMIFS(Log!$G$4:$G$903,Log!$C$4:$C$903,$A12,Log!$B$4:$B$903,J$4,Log!$D$4:$D$903,"A")=0,"",SUMIFS(Log!$G$4:$G$903,Log!$C$4:$C$903,$A12,Log!$B$4:$B$903,J$4,Log!$D$4:$D$903,"A")))</f>
        <v/>
      </c>
      <c r="K12" s="49" t="str">
        <f aca="false">IF($A12="","",IF(SUMIFS(Log!$G$4:$G$903,Log!$C$4:$C$903,$A12,Log!$B$4:$B$903,K$4,Log!$D$4:$D$903,"A")=0,"",SUMIFS(Log!$G$4:$G$903,Log!$C$4:$C$903,$A12,Log!$B$4:$B$903,K$4,Log!$D$4:$D$903,"A")))</f>
        <v/>
      </c>
      <c r="L12" s="49" t="str">
        <f aca="false">IF($A12="","",IF(SUMIFS(Log!$G$4:$G$903,Log!$C$4:$C$903,$A12,Log!$B$4:$B$903,L$4,Log!$D$4:$D$903,"A")=0,"",SUMIFS(Log!$G$4:$G$903,Log!$C$4:$C$903,$A12,Log!$B$4:$B$903,L$4,Log!$D$4:$D$903,"A")))</f>
        <v/>
      </c>
      <c r="M12" s="49" t="str">
        <f aca="false">IF($A12="","",IF(SUMIFS(Log!$G$4:$G$903,Log!$C$4:$C$903,$A12,Log!$B$4:$B$903,M$4,Log!$D$4:$D$903,"A")=0,"",SUMIFS(Log!$G$4:$G$903,Log!$C$4:$C$903,$A12,Log!$B$4:$B$903,M$4,Log!$D$4:$D$903,"A")))</f>
        <v/>
      </c>
      <c r="N12" s="47" t="n">
        <f aca="false">IF($A12="","",IF(SUMIFS(Log!$G$4:$G$903,Log!$C$4:$C$903,$A12,Log!$D$4:$D$903,"A")=0,"",SUMIFS(Log!$G$4:$G$903,Log!$C$4:$C$903,$A12,Log!$D$4:$D$903,"A")))</f>
        <v>2053</v>
      </c>
      <c r="O12" s="18" t="n">
        <f aca="false">IF(OR($A12="",SUMPRODUCT((COUNTIFS(Log!$C$4:$C$903,$A12,Log!$D$4:$D$903,"A",Log!$B$4:$B$903,ROW($1:$60))&gt;0)*1)=0),"",SUMIFS(Log!$G$4:$G$903,Log!$C$4:$C$903,$A12,Log!$D$4:$D$903,"A")/SUMPRODUCT((COUNTIFS(Log!$C$4:$C$903,$A12,Log!$D$4:$D$903,"A",Log!$B$4:$B$903,ROW($1:$60))&gt;0)*1))</f>
        <v>1026.5</v>
      </c>
    </row>
    <row r="13" customFormat="false" ht="16.5" hidden="false" customHeight="true" outlineLevel="0" collapsed="false">
      <c r="A13" s="45" t="str">
        <f aca="false">IF(Plan!$A17="","",Plan!$A17)</f>
        <v>Waden</v>
      </c>
      <c r="B13" s="46" t="n">
        <f aca="false">IF($A13="","",IF(SUMIFS(Log!$G$4:$G$903,Log!$C$4:$C$903,$A13,Log!$B$4:$B$903,B$4,Log!$D$4:$D$903,"A")=0,"",SUMIFS(Log!$G$4:$G$903,Log!$C$4:$C$903,$A13,Log!$B$4:$B$903,B$4,Log!$D$4:$D$903,"A")))</f>
        <v>3465</v>
      </c>
      <c r="C13" s="46" t="n">
        <f aca="false">IF($A13="","",IF(SUMIFS(Log!$G$4:$G$903,Log!$C$4:$C$903,$A13,Log!$B$4:$B$903,C$4,Log!$D$4:$D$903,"A")=0,"",SUMIFS(Log!$G$4:$G$903,Log!$C$4:$C$903,$A13,Log!$B$4:$B$903,C$4,Log!$D$4:$D$903,"A")))</f>
        <v>3480</v>
      </c>
      <c r="D13" s="46" t="str">
        <f aca="false">IF($A13="","",IF(SUMIFS(Log!$G$4:$G$903,Log!$C$4:$C$903,$A13,Log!$B$4:$B$903,D$4,Log!$D$4:$D$903,"A")=0,"",SUMIFS(Log!$G$4:$G$903,Log!$C$4:$C$903,$A13,Log!$B$4:$B$903,D$4,Log!$D$4:$D$903,"A")))</f>
        <v/>
      </c>
      <c r="E13" s="46" t="str">
        <f aca="false">IF($A13="","",IF(SUMIFS(Log!$G$4:$G$903,Log!$C$4:$C$903,$A13,Log!$B$4:$B$903,E$4,Log!$D$4:$D$903,"A")=0,"",SUMIFS(Log!$G$4:$G$903,Log!$C$4:$C$903,$A13,Log!$B$4:$B$903,E$4,Log!$D$4:$D$903,"A")))</f>
        <v/>
      </c>
      <c r="F13" s="46" t="str">
        <f aca="false">IF($A13="","",IF(SUMIFS(Log!$G$4:$G$903,Log!$C$4:$C$903,$A13,Log!$B$4:$B$903,F$4,Log!$D$4:$D$903,"A")=0,"",SUMIFS(Log!$G$4:$G$903,Log!$C$4:$C$903,$A13,Log!$B$4:$B$903,F$4,Log!$D$4:$D$903,"A")))</f>
        <v/>
      </c>
      <c r="G13" s="46" t="str">
        <f aca="false">IF($A13="","",IF(SUMIFS(Log!$G$4:$G$903,Log!$C$4:$C$903,$A13,Log!$B$4:$B$903,G$4,Log!$D$4:$D$903,"A")=0,"",SUMIFS(Log!$G$4:$G$903,Log!$C$4:$C$903,$A13,Log!$B$4:$B$903,G$4,Log!$D$4:$D$903,"A")))</f>
        <v/>
      </c>
      <c r="H13" s="46" t="str">
        <f aca="false">IF($A13="","",IF(SUMIFS(Log!$G$4:$G$903,Log!$C$4:$C$903,$A13,Log!$B$4:$B$903,H$4,Log!$D$4:$D$903,"A")=0,"",SUMIFS(Log!$G$4:$G$903,Log!$C$4:$C$903,$A13,Log!$B$4:$B$903,H$4,Log!$D$4:$D$903,"A")))</f>
        <v/>
      </c>
      <c r="I13" s="46" t="str">
        <f aca="false">IF($A13="","",IF(SUMIFS(Log!$G$4:$G$903,Log!$C$4:$C$903,$A13,Log!$B$4:$B$903,I$4,Log!$D$4:$D$903,"A")=0,"",SUMIFS(Log!$G$4:$G$903,Log!$C$4:$C$903,$A13,Log!$B$4:$B$903,I$4,Log!$D$4:$D$903,"A")))</f>
        <v/>
      </c>
      <c r="J13" s="46" t="str">
        <f aca="false">IF($A13="","",IF(SUMIFS(Log!$G$4:$G$903,Log!$C$4:$C$903,$A13,Log!$B$4:$B$903,J$4,Log!$D$4:$D$903,"A")=0,"",SUMIFS(Log!$G$4:$G$903,Log!$C$4:$C$903,$A13,Log!$B$4:$B$903,J$4,Log!$D$4:$D$903,"A")))</f>
        <v/>
      </c>
      <c r="K13" s="46" t="str">
        <f aca="false">IF($A13="","",IF(SUMIFS(Log!$G$4:$G$903,Log!$C$4:$C$903,$A13,Log!$B$4:$B$903,K$4,Log!$D$4:$D$903,"A")=0,"",SUMIFS(Log!$G$4:$G$903,Log!$C$4:$C$903,$A13,Log!$B$4:$B$903,K$4,Log!$D$4:$D$903,"A")))</f>
        <v/>
      </c>
      <c r="L13" s="46" t="str">
        <f aca="false">IF($A13="","",IF(SUMIFS(Log!$G$4:$G$903,Log!$C$4:$C$903,$A13,Log!$B$4:$B$903,L$4,Log!$D$4:$D$903,"A")=0,"",SUMIFS(Log!$G$4:$G$903,Log!$C$4:$C$903,$A13,Log!$B$4:$B$903,L$4,Log!$D$4:$D$903,"A")))</f>
        <v/>
      </c>
      <c r="M13" s="46" t="str">
        <f aca="false">IF($A13="","",IF(SUMIFS(Log!$G$4:$G$903,Log!$C$4:$C$903,$A13,Log!$B$4:$B$903,M$4,Log!$D$4:$D$903,"A")=0,"",SUMIFS(Log!$G$4:$G$903,Log!$C$4:$C$903,$A13,Log!$B$4:$B$903,M$4,Log!$D$4:$D$903,"A")))</f>
        <v/>
      </c>
      <c r="N13" s="47" t="n">
        <f aca="false">IF($A13="","",IF(SUMIFS(Log!$G$4:$G$903,Log!$C$4:$C$903,$A13,Log!$D$4:$D$903,"A")=0,"",SUMIFS(Log!$G$4:$G$903,Log!$C$4:$C$903,$A13,Log!$D$4:$D$903,"A")))</f>
        <v>6945</v>
      </c>
      <c r="O13" s="18" t="n">
        <f aca="false">IF(OR($A13="",SUMPRODUCT((COUNTIFS(Log!$C$4:$C$903,$A13,Log!$D$4:$D$903,"A",Log!$B$4:$B$903,ROW($1:$60))&gt;0)*1)=0),"",SUMIFS(Log!$G$4:$G$903,Log!$C$4:$C$903,$A13,Log!$D$4:$D$903,"A")/SUMPRODUCT((COUNTIFS(Log!$C$4:$C$903,$A13,Log!$D$4:$D$903,"A",Log!$B$4:$B$903,ROW($1:$60))&gt;0)*1))</f>
        <v>3472.5</v>
      </c>
    </row>
    <row r="14" customFormat="false" ht="16.5" hidden="false" customHeight="true" outlineLevel="0" collapsed="false">
      <c r="A14" s="48" t="str">
        <f aca="false">IF(Plan!$A20="","",Plan!$A20)</f>
        <v>Lunges</v>
      </c>
      <c r="B14" s="49" t="str">
        <f aca="false">IF($A14="","",IF(SUMIFS(Log!$G$4:$G$903,Log!$C$4:$C$903,$A14,Log!$B$4:$B$903,B$4,Log!$D$4:$D$903,"A")=0,"",SUMIFS(Log!$G$4:$G$903,Log!$C$4:$C$903,$A14,Log!$B$4:$B$903,B$4,Log!$D$4:$D$903,"A")))</f>
        <v/>
      </c>
      <c r="C14" s="49" t="str">
        <f aca="false">IF($A14="","",IF(SUMIFS(Log!$G$4:$G$903,Log!$C$4:$C$903,$A14,Log!$B$4:$B$903,C$4,Log!$D$4:$D$903,"A")=0,"",SUMIFS(Log!$G$4:$G$903,Log!$C$4:$C$903,$A14,Log!$B$4:$B$903,C$4,Log!$D$4:$D$903,"A")))</f>
        <v/>
      </c>
      <c r="D14" s="49" t="str">
        <f aca="false">IF($A14="","",IF(SUMIFS(Log!$G$4:$G$903,Log!$C$4:$C$903,$A14,Log!$B$4:$B$903,D$4,Log!$D$4:$D$903,"A")=0,"",SUMIFS(Log!$G$4:$G$903,Log!$C$4:$C$903,$A14,Log!$B$4:$B$903,D$4,Log!$D$4:$D$903,"A")))</f>
        <v/>
      </c>
      <c r="E14" s="49" t="str">
        <f aca="false">IF($A14="","",IF(SUMIFS(Log!$G$4:$G$903,Log!$C$4:$C$903,$A14,Log!$B$4:$B$903,E$4,Log!$D$4:$D$903,"A")=0,"",SUMIFS(Log!$G$4:$G$903,Log!$C$4:$C$903,$A14,Log!$B$4:$B$903,E$4,Log!$D$4:$D$903,"A")))</f>
        <v/>
      </c>
      <c r="F14" s="49" t="str">
        <f aca="false">IF($A14="","",IF(SUMIFS(Log!$G$4:$G$903,Log!$C$4:$C$903,$A14,Log!$B$4:$B$903,F$4,Log!$D$4:$D$903,"A")=0,"",SUMIFS(Log!$G$4:$G$903,Log!$C$4:$C$903,$A14,Log!$B$4:$B$903,F$4,Log!$D$4:$D$903,"A")))</f>
        <v/>
      </c>
      <c r="G14" s="49" t="str">
        <f aca="false">IF($A14="","",IF(SUMIFS(Log!$G$4:$G$903,Log!$C$4:$C$903,$A14,Log!$B$4:$B$903,G$4,Log!$D$4:$D$903,"A")=0,"",SUMIFS(Log!$G$4:$G$903,Log!$C$4:$C$903,$A14,Log!$B$4:$B$903,G$4,Log!$D$4:$D$903,"A")))</f>
        <v/>
      </c>
      <c r="H14" s="49" t="str">
        <f aca="false">IF($A14="","",IF(SUMIFS(Log!$G$4:$G$903,Log!$C$4:$C$903,$A14,Log!$B$4:$B$903,H$4,Log!$D$4:$D$903,"A")=0,"",SUMIFS(Log!$G$4:$G$903,Log!$C$4:$C$903,$A14,Log!$B$4:$B$903,H$4,Log!$D$4:$D$903,"A")))</f>
        <v/>
      </c>
      <c r="I14" s="49" t="str">
        <f aca="false">IF($A14="","",IF(SUMIFS(Log!$G$4:$G$903,Log!$C$4:$C$903,$A14,Log!$B$4:$B$903,I$4,Log!$D$4:$D$903,"A")=0,"",SUMIFS(Log!$G$4:$G$903,Log!$C$4:$C$903,$A14,Log!$B$4:$B$903,I$4,Log!$D$4:$D$903,"A")))</f>
        <v/>
      </c>
      <c r="J14" s="49" t="str">
        <f aca="false">IF($A14="","",IF(SUMIFS(Log!$G$4:$G$903,Log!$C$4:$C$903,$A14,Log!$B$4:$B$903,J$4,Log!$D$4:$D$903,"A")=0,"",SUMIFS(Log!$G$4:$G$903,Log!$C$4:$C$903,$A14,Log!$B$4:$B$903,J$4,Log!$D$4:$D$903,"A")))</f>
        <v/>
      </c>
      <c r="K14" s="49" t="str">
        <f aca="false">IF($A14="","",IF(SUMIFS(Log!$G$4:$G$903,Log!$C$4:$C$903,$A14,Log!$B$4:$B$903,K$4,Log!$D$4:$D$903,"A")=0,"",SUMIFS(Log!$G$4:$G$903,Log!$C$4:$C$903,$A14,Log!$B$4:$B$903,K$4,Log!$D$4:$D$903,"A")))</f>
        <v/>
      </c>
      <c r="L14" s="49" t="str">
        <f aca="false">IF($A14="","",IF(SUMIFS(Log!$G$4:$G$903,Log!$C$4:$C$903,$A14,Log!$B$4:$B$903,L$4,Log!$D$4:$D$903,"A")=0,"",SUMIFS(Log!$G$4:$G$903,Log!$C$4:$C$903,$A14,Log!$B$4:$B$903,L$4,Log!$D$4:$D$903,"A")))</f>
        <v/>
      </c>
      <c r="M14" s="49" t="str">
        <f aca="false">IF($A14="","",IF(SUMIFS(Log!$G$4:$G$903,Log!$C$4:$C$903,$A14,Log!$B$4:$B$903,M$4,Log!$D$4:$D$903,"A")=0,"",SUMIFS(Log!$G$4:$G$903,Log!$C$4:$C$903,$A14,Log!$B$4:$B$903,M$4,Log!$D$4:$D$903,"A")))</f>
        <v/>
      </c>
      <c r="N14" s="47" t="str">
        <f aca="false">IF($A14="","",IF(SUMIFS(Log!$G$4:$G$903,Log!$C$4:$C$903,$A14,Log!$D$4:$D$903,"A")=0,"",SUMIFS(Log!$G$4:$G$903,Log!$C$4:$C$903,$A14,Log!$D$4:$D$903,"A")))</f>
        <v/>
      </c>
      <c r="O14" s="18" t="n">
        <f aca="false">IF(OR($A14="",SUMPRODUCT((COUNTIFS(Log!$C$4:$C$903,$A14,Log!$D$4:$D$903,"A",Log!$B$4:$B$903,ROW($1:$60))&gt;0)*1)=0),"",SUMIFS(Log!$G$4:$G$903,Log!$C$4:$C$903,$A14,Log!$D$4:$D$903,"A")/SUMPRODUCT((COUNTIFS(Log!$C$4:$C$903,$A14,Log!$D$4:$D$903,"A",Log!$B$4:$B$903,ROW($1:$60))&gt;0)*1))</f>
        <v>0</v>
      </c>
    </row>
    <row r="15" customFormat="false" ht="16.5" hidden="false" customHeight="true" outlineLevel="0" collapsed="false">
      <c r="A15" s="45" t="str">
        <f aca="false">IF(Plan!$A21="","",Plan!$A21)</f>
        <v>Kickback</v>
      </c>
      <c r="B15" s="46" t="n">
        <f aca="false">IF($A15="","",IF(SUMIFS(Log!$G$4:$G$903,Log!$C$4:$C$903,$A15,Log!$B$4:$B$903,B$4,Log!$D$4:$D$903,"A")=0,"",SUMIFS(Log!$G$4:$G$903,Log!$C$4:$C$903,$A15,Log!$B$4:$B$903,B$4,Log!$D$4:$D$903,"A")))</f>
        <v>1974</v>
      </c>
      <c r="C15" s="46" t="n">
        <f aca="false">IF($A15="","",IF(SUMIFS(Log!$G$4:$G$903,Log!$C$4:$C$903,$A15,Log!$B$4:$B$903,C$4,Log!$D$4:$D$903,"A")=0,"",SUMIFS(Log!$G$4:$G$903,Log!$C$4:$C$903,$A15,Log!$B$4:$B$903,C$4,Log!$D$4:$D$903,"A")))</f>
        <v>1274</v>
      </c>
      <c r="D15" s="46" t="n">
        <f aca="false">IF($A15="","",IF(SUMIFS(Log!$G$4:$G$903,Log!$C$4:$C$903,$A15,Log!$B$4:$B$903,D$4,Log!$D$4:$D$903,"A")=0,"",SUMIFS(Log!$G$4:$G$903,Log!$C$4:$C$903,$A15,Log!$B$4:$B$903,D$4,Log!$D$4:$D$903,"A")))</f>
        <v>2086</v>
      </c>
      <c r="E15" s="46" t="n">
        <f aca="false">IF($A15="","",IF(SUMIFS(Log!$G$4:$G$903,Log!$C$4:$C$903,$A15,Log!$B$4:$B$903,E$4,Log!$D$4:$D$903,"A")=0,"",SUMIFS(Log!$G$4:$G$903,Log!$C$4:$C$903,$A15,Log!$B$4:$B$903,E$4,Log!$D$4:$D$903,"A")))</f>
        <v>1785</v>
      </c>
      <c r="F15" s="46" t="str">
        <f aca="false">IF($A15="","",IF(SUMIFS(Log!$G$4:$G$903,Log!$C$4:$C$903,$A15,Log!$B$4:$B$903,F$4,Log!$D$4:$D$903,"A")=0,"",SUMIFS(Log!$G$4:$G$903,Log!$C$4:$C$903,$A15,Log!$B$4:$B$903,F$4,Log!$D$4:$D$903,"A")))</f>
        <v/>
      </c>
      <c r="G15" s="46" t="str">
        <f aca="false">IF($A15="","",IF(SUMIFS(Log!$G$4:$G$903,Log!$C$4:$C$903,$A15,Log!$B$4:$B$903,G$4,Log!$D$4:$D$903,"A")=0,"",SUMIFS(Log!$G$4:$G$903,Log!$C$4:$C$903,$A15,Log!$B$4:$B$903,G$4,Log!$D$4:$D$903,"A")))</f>
        <v/>
      </c>
      <c r="H15" s="46" t="str">
        <f aca="false">IF($A15="","",IF(SUMIFS(Log!$G$4:$G$903,Log!$C$4:$C$903,$A15,Log!$B$4:$B$903,H$4,Log!$D$4:$D$903,"A")=0,"",SUMIFS(Log!$G$4:$G$903,Log!$C$4:$C$903,$A15,Log!$B$4:$B$903,H$4,Log!$D$4:$D$903,"A")))</f>
        <v/>
      </c>
      <c r="I15" s="46" t="str">
        <f aca="false">IF($A15="","",IF(SUMIFS(Log!$G$4:$G$903,Log!$C$4:$C$903,$A15,Log!$B$4:$B$903,I$4,Log!$D$4:$D$903,"A")=0,"",SUMIFS(Log!$G$4:$G$903,Log!$C$4:$C$903,$A15,Log!$B$4:$B$903,I$4,Log!$D$4:$D$903,"A")))</f>
        <v/>
      </c>
      <c r="J15" s="46" t="str">
        <f aca="false">IF($A15="","",IF(SUMIFS(Log!$G$4:$G$903,Log!$C$4:$C$903,$A15,Log!$B$4:$B$903,J$4,Log!$D$4:$D$903,"A")=0,"",SUMIFS(Log!$G$4:$G$903,Log!$C$4:$C$903,$A15,Log!$B$4:$B$903,J$4,Log!$D$4:$D$903,"A")))</f>
        <v/>
      </c>
      <c r="K15" s="46" t="str">
        <f aca="false">IF($A15="","",IF(SUMIFS(Log!$G$4:$G$903,Log!$C$4:$C$903,$A15,Log!$B$4:$B$903,K$4,Log!$D$4:$D$903,"A")=0,"",SUMIFS(Log!$G$4:$G$903,Log!$C$4:$C$903,$A15,Log!$B$4:$B$903,K$4,Log!$D$4:$D$903,"A")))</f>
        <v/>
      </c>
      <c r="L15" s="46" t="str">
        <f aca="false">IF($A15="","",IF(SUMIFS(Log!$G$4:$G$903,Log!$C$4:$C$903,$A15,Log!$B$4:$B$903,L$4,Log!$D$4:$D$903,"A")=0,"",SUMIFS(Log!$G$4:$G$903,Log!$C$4:$C$903,$A15,Log!$B$4:$B$903,L$4,Log!$D$4:$D$903,"A")))</f>
        <v/>
      </c>
      <c r="M15" s="46" t="str">
        <f aca="false">IF($A15="","",IF(SUMIFS(Log!$G$4:$G$903,Log!$C$4:$C$903,$A15,Log!$B$4:$B$903,M$4,Log!$D$4:$D$903,"A")=0,"",SUMIFS(Log!$G$4:$G$903,Log!$C$4:$C$903,$A15,Log!$B$4:$B$903,M$4,Log!$D$4:$D$903,"A")))</f>
        <v/>
      </c>
      <c r="N15" s="47" t="n">
        <f aca="false">IF($A15="","",IF(SUMIFS(Log!$G$4:$G$903,Log!$C$4:$C$903,$A15,Log!$D$4:$D$903,"A")=0,"",SUMIFS(Log!$G$4:$G$903,Log!$C$4:$C$903,$A15,Log!$D$4:$D$903,"A")))</f>
        <v>7119</v>
      </c>
      <c r="O15" s="18" t="n">
        <f aca="false">IF(OR($A15="",SUMPRODUCT((COUNTIFS(Log!$C$4:$C$903,$A15,Log!$D$4:$D$903,"A",Log!$B$4:$B$903,ROW($1:$60))&gt;0)*1)=0),"",SUMIFS(Log!$G$4:$G$903,Log!$C$4:$C$903,$A15,Log!$D$4:$D$903,"A")/SUMPRODUCT((COUNTIFS(Log!$C$4:$C$903,$A15,Log!$D$4:$D$903,"A",Log!$B$4:$B$903,ROW($1:$60))&gt;0)*1))</f>
        <v>1779.75</v>
      </c>
    </row>
    <row r="16" customFormat="false" ht="15" hidden="false" customHeight="false" outlineLevel="0" collapsed="false">
      <c r="A16" s="50" t="s">
        <v>104</v>
      </c>
      <c r="B16" s="51" t="n">
        <f aca="false">IF(COUNT(B5:B15)=0,"",SUM(B5:B15))</f>
        <v>19139.5</v>
      </c>
      <c r="C16" s="51" t="n">
        <f aca="false">IF(COUNT(C5:C15)=0,"",SUM(C5:C15))</f>
        <v>19654</v>
      </c>
      <c r="D16" s="51" t="n">
        <f aca="false">IF(COUNT(D5:D15)=0,"",SUM(D5:D15))</f>
        <v>17343.5</v>
      </c>
      <c r="E16" s="51" t="n">
        <f aca="false">IF(COUNT(E5:E15)=0,"",SUM(E5:E15))</f>
        <v>18367.5</v>
      </c>
      <c r="F16" s="51" t="str">
        <f aca="false">IF(COUNT(F5:F15)=0,"",SUM(F5:F15))</f>
        <v/>
      </c>
      <c r="G16" s="51" t="str">
        <f aca="false">IF(COUNT(G5:G15)=0,"",SUM(G5:G15))</f>
        <v/>
      </c>
      <c r="H16" s="51" t="str">
        <f aca="false">IF(COUNT(H5:H15)=0,"",SUM(H5:H15))</f>
        <v/>
      </c>
      <c r="I16" s="51" t="str">
        <f aca="false">IF(COUNT(I5:I15)=0,"",SUM(I5:I15))</f>
        <v/>
      </c>
      <c r="J16" s="51" t="str">
        <f aca="false">IF(COUNT(J5:J15)=0,"",SUM(J5:J15))</f>
        <v/>
      </c>
      <c r="K16" s="51" t="str">
        <f aca="false">IF(COUNT(K5:K15)=0,"",SUM(K5:K15))</f>
        <v/>
      </c>
      <c r="L16" s="51" t="str">
        <f aca="false">IF(COUNT(L5:L15)=0,"",SUM(L5:L15))</f>
        <v/>
      </c>
      <c r="M16" s="51" t="str">
        <f aca="false">IF(COUNT(M5:M15)=0,"",SUM(M5:M15))</f>
        <v/>
      </c>
      <c r="N16" s="51" t="n">
        <f aca="false">IF(COUNT(N5:N15)=0,"",SUM(N5:N15))</f>
        <v>74504.5</v>
      </c>
      <c r="O16" s="52"/>
    </row>
  </sheetData>
  <mergeCells count="3">
    <mergeCell ref="A1:O1"/>
    <mergeCell ref="A2:O2"/>
    <mergeCell ref="C3:O3"/>
  </mergeCells>
  <conditionalFormatting sqref="B5:M15">
    <cfRule type="colorScale" priority="2">
      <colorScale>
        <cfvo type="min" val="0"/>
        <cfvo type="max" val="0"/>
        <color rgb="FFFFFFFF"/>
        <color rgb="FF9EC5E8"/>
      </colorScale>
    </cfRule>
  </conditionalFormatting>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&amp;K909090Verlauf</oddHeader>
    <oddFooter>&amp;R&amp;8 &amp;K909090Seite &amp;P von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8"/>
    <col collapsed="false" customWidth="true" hidden="false" outlineLevel="0" max="4" min="4" style="0" width="34"/>
    <col collapsed="false" customWidth="true" hidden="false" outlineLevel="0" max="5" min="5" style="0" width="30"/>
    <col collapsed="false" customWidth="true" hidden="false" outlineLevel="0" max="6" min="6" style="0" width="34"/>
    <col collapsed="false" customWidth="true" hidden="false" outlineLevel="0" max="7" min="7" style="0" width="30"/>
  </cols>
  <sheetData>
    <row r="1" customFormat="false" ht="27.75" hidden="false" customHeight="true" outlineLevel="0" collapsed="false">
      <c r="A1" s="1" t="s">
        <v>105</v>
      </c>
      <c r="B1" s="1"/>
      <c r="C1" s="1"/>
      <c r="D1" s="1"/>
      <c r="E1" s="1"/>
      <c r="F1" s="1"/>
      <c r="G1" s="1"/>
    </row>
    <row r="2" customFormat="false" ht="25.5" hidden="false" customHeight="true" outlineLevel="0" collapsed="false">
      <c r="A2" s="53" t="s">
        <v>106</v>
      </c>
      <c r="B2" s="53"/>
      <c r="C2" s="53"/>
      <c r="D2" s="53"/>
      <c r="E2" s="53"/>
      <c r="F2" s="53"/>
      <c r="G2" s="53"/>
    </row>
    <row r="4" customFormat="false" ht="18" hidden="false" customHeight="true" outlineLevel="0" collapsed="false">
      <c r="A4" s="6" t="s">
        <v>107</v>
      </c>
      <c r="B4" s="6"/>
      <c r="C4" s="6"/>
      <c r="D4" s="6"/>
      <c r="E4" s="6"/>
      <c r="F4" s="6"/>
      <c r="G4" s="6"/>
    </row>
    <row r="5" customFormat="false" ht="30" hidden="false" customHeight="true" outlineLevel="0" collapsed="false">
      <c r="A5" s="54" t="s">
        <v>108</v>
      </c>
      <c r="B5" s="55" t="s">
        <v>109</v>
      </c>
      <c r="C5" s="55"/>
      <c r="D5" s="55"/>
      <c r="E5" s="55"/>
      <c r="F5" s="55"/>
      <c r="G5" s="55"/>
    </row>
    <row r="6" customFormat="false" ht="30" hidden="false" customHeight="true" outlineLevel="0" collapsed="false">
      <c r="A6" s="54" t="s">
        <v>110</v>
      </c>
      <c r="B6" s="55" t="s">
        <v>111</v>
      </c>
      <c r="C6" s="55"/>
      <c r="D6" s="55"/>
      <c r="E6" s="55"/>
      <c r="F6" s="55"/>
      <c r="G6" s="55"/>
    </row>
    <row r="7" customFormat="false" ht="17.25" hidden="false" customHeight="true" outlineLevel="0" collapsed="false">
      <c r="A7" s="54" t="s">
        <v>112</v>
      </c>
      <c r="B7" s="55" t="s">
        <v>113</v>
      </c>
      <c r="C7" s="55"/>
      <c r="D7" s="55"/>
      <c r="E7" s="55"/>
      <c r="F7" s="55"/>
      <c r="G7" s="55"/>
    </row>
    <row r="8" customFormat="false" ht="30" hidden="false" customHeight="true" outlineLevel="0" collapsed="false">
      <c r="A8" s="54" t="s">
        <v>114</v>
      </c>
      <c r="B8" s="55" t="s">
        <v>115</v>
      </c>
      <c r="C8" s="55"/>
      <c r="D8" s="55"/>
      <c r="E8" s="55"/>
      <c r="F8" s="55"/>
      <c r="G8" s="55"/>
    </row>
    <row r="9" customFormat="false" ht="17.25" hidden="false" customHeight="true" outlineLevel="0" collapsed="false">
      <c r="A9" s="54" t="s">
        <v>116</v>
      </c>
      <c r="B9" s="55" t="s">
        <v>117</v>
      </c>
      <c r="C9" s="55"/>
      <c r="D9" s="55"/>
      <c r="E9" s="55"/>
      <c r="F9" s="55"/>
      <c r="G9" s="55"/>
    </row>
    <row r="11" customFormat="false" ht="18" hidden="false" customHeight="true" outlineLevel="0" collapsed="false">
      <c r="A11" s="6" t="s">
        <v>118</v>
      </c>
      <c r="B11" s="6"/>
      <c r="C11" s="6"/>
      <c r="D11" s="6"/>
      <c r="E11" s="6"/>
      <c r="F11" s="6"/>
      <c r="G11" s="6"/>
    </row>
    <row r="12" customFormat="false" ht="27.75" hidden="false" customHeight="true" outlineLevel="0" collapsed="false">
      <c r="A12" s="7" t="s">
        <v>119</v>
      </c>
      <c r="B12" s="7" t="s">
        <v>120</v>
      </c>
      <c r="C12" s="7" t="s">
        <v>121</v>
      </c>
      <c r="D12" s="7" t="s">
        <v>122</v>
      </c>
      <c r="E12" s="7" t="s">
        <v>123</v>
      </c>
      <c r="F12" s="7" t="s">
        <v>124</v>
      </c>
      <c r="G12" s="7" t="s">
        <v>125</v>
      </c>
    </row>
    <row r="13" customFormat="false" ht="67.5" hidden="false" customHeight="true" outlineLevel="0" collapsed="false">
      <c r="A13" s="56" t="s">
        <v>126</v>
      </c>
      <c r="B13" s="57" t="s">
        <v>127</v>
      </c>
      <c r="C13" s="58" t="s">
        <v>128</v>
      </c>
      <c r="D13" s="58" t="s">
        <v>129</v>
      </c>
      <c r="E13" s="58" t="s">
        <v>130</v>
      </c>
      <c r="F13" s="58" t="s">
        <v>131</v>
      </c>
      <c r="G13" s="58" t="s">
        <v>132</v>
      </c>
    </row>
    <row r="14" customFormat="false" ht="79.5" hidden="false" customHeight="true" outlineLevel="0" collapsed="false">
      <c r="A14" s="59" t="s">
        <v>133</v>
      </c>
      <c r="B14" s="60" t="s">
        <v>134</v>
      </c>
      <c r="C14" s="55" t="s">
        <v>135</v>
      </c>
      <c r="D14" s="55" t="s">
        <v>136</v>
      </c>
      <c r="E14" s="55" t="s">
        <v>137</v>
      </c>
      <c r="F14" s="55" t="s">
        <v>138</v>
      </c>
      <c r="G14" s="55" t="s">
        <v>139</v>
      </c>
    </row>
    <row r="15" customFormat="false" ht="79.5" hidden="false" customHeight="true" outlineLevel="0" collapsed="false">
      <c r="A15" s="56" t="s">
        <v>140</v>
      </c>
      <c r="B15" s="57" t="s">
        <v>141</v>
      </c>
      <c r="C15" s="58" t="s">
        <v>142</v>
      </c>
      <c r="D15" s="58" t="s">
        <v>143</v>
      </c>
      <c r="E15" s="58" t="s">
        <v>144</v>
      </c>
      <c r="F15" s="58" t="s">
        <v>145</v>
      </c>
      <c r="G15" s="58" t="s">
        <v>146</v>
      </c>
    </row>
    <row r="16" customFormat="false" ht="67.5" hidden="false" customHeight="true" outlineLevel="0" collapsed="false">
      <c r="A16" s="59" t="s">
        <v>147</v>
      </c>
      <c r="B16" s="60" t="s">
        <v>148</v>
      </c>
      <c r="C16" s="55" t="s">
        <v>149</v>
      </c>
      <c r="D16" s="55" t="s">
        <v>150</v>
      </c>
      <c r="E16" s="55" t="s">
        <v>151</v>
      </c>
      <c r="F16" s="55" t="s">
        <v>152</v>
      </c>
      <c r="G16" s="55" t="s">
        <v>153</v>
      </c>
    </row>
    <row r="17" customFormat="false" ht="54.75" hidden="false" customHeight="true" outlineLevel="0" collapsed="false">
      <c r="A17" s="56" t="s">
        <v>154</v>
      </c>
      <c r="B17" s="57" t="s">
        <v>155</v>
      </c>
      <c r="C17" s="58" t="s">
        <v>156</v>
      </c>
      <c r="D17" s="58" t="s">
        <v>157</v>
      </c>
      <c r="E17" s="58" t="s">
        <v>158</v>
      </c>
      <c r="F17" s="58" t="s">
        <v>159</v>
      </c>
      <c r="G17" s="58" t="s">
        <v>160</v>
      </c>
    </row>
    <row r="19" customFormat="false" ht="18" hidden="false" customHeight="true" outlineLevel="0" collapsed="false">
      <c r="A19" s="61" t="s">
        <v>161</v>
      </c>
      <c r="B19" s="61"/>
      <c r="C19" s="61"/>
      <c r="D19" s="61"/>
      <c r="E19" s="61"/>
      <c r="F19" s="61"/>
      <c r="G19" s="61"/>
    </row>
    <row r="20" customFormat="false" ht="42" hidden="false" customHeight="true" outlineLevel="0" collapsed="false">
      <c r="A20" s="62" t="s">
        <v>162</v>
      </c>
      <c r="B20" s="62"/>
      <c r="C20" s="62"/>
      <c r="D20" s="62"/>
      <c r="E20" s="62"/>
      <c r="F20" s="62"/>
      <c r="G20" s="62"/>
    </row>
    <row r="22" customFormat="false" ht="18" hidden="false" customHeight="true" outlineLevel="0" collapsed="false">
      <c r="A22" s="6" t="s">
        <v>163</v>
      </c>
      <c r="B22" s="6"/>
      <c r="C22" s="6"/>
      <c r="D22" s="6"/>
      <c r="E22" s="6"/>
      <c r="F22" s="6"/>
      <c r="G22" s="6"/>
    </row>
    <row r="23" customFormat="false" ht="30" hidden="false" customHeight="true" outlineLevel="0" collapsed="false">
      <c r="A23" s="54" t="s">
        <v>164</v>
      </c>
      <c r="B23" s="63" t="s">
        <v>165</v>
      </c>
      <c r="C23" s="55" t="s">
        <v>166</v>
      </c>
      <c r="D23" s="55"/>
      <c r="E23" s="55"/>
      <c r="F23" s="55"/>
      <c r="G23" s="55"/>
    </row>
    <row r="24" customFormat="false" ht="17.25" hidden="false" customHeight="true" outlineLevel="0" collapsed="false">
      <c r="A24" s="54" t="s">
        <v>167</v>
      </c>
      <c r="B24" s="64" t="s">
        <v>168</v>
      </c>
      <c r="C24" s="55" t="s">
        <v>169</v>
      </c>
      <c r="D24" s="55"/>
      <c r="E24" s="55"/>
      <c r="F24" s="55"/>
      <c r="G24" s="55"/>
    </row>
    <row r="25" customFormat="false" ht="30" hidden="false" customHeight="true" outlineLevel="0" collapsed="false">
      <c r="A25" s="54" t="s">
        <v>170</v>
      </c>
      <c r="B25" s="64" t="s">
        <v>168</v>
      </c>
      <c r="C25" s="55" t="s">
        <v>171</v>
      </c>
      <c r="D25" s="55"/>
      <c r="E25" s="55"/>
      <c r="F25" s="55"/>
      <c r="G25" s="55"/>
    </row>
    <row r="26" customFormat="false" ht="30" hidden="false" customHeight="true" outlineLevel="0" collapsed="false">
      <c r="A26" s="54" t="s">
        <v>172</v>
      </c>
      <c r="B26" s="64" t="s">
        <v>173</v>
      </c>
      <c r="C26" s="55" t="s">
        <v>174</v>
      </c>
      <c r="D26" s="55"/>
      <c r="E26" s="55"/>
      <c r="F26" s="55"/>
      <c r="G26" s="55"/>
    </row>
    <row r="27" customFormat="false" ht="30" hidden="false" customHeight="true" outlineLevel="0" collapsed="false">
      <c r="A27" s="54" t="s">
        <v>175</v>
      </c>
      <c r="B27" s="63" t="s">
        <v>176</v>
      </c>
      <c r="C27" s="55" t="s">
        <v>177</v>
      </c>
      <c r="D27" s="55"/>
      <c r="E27" s="55"/>
      <c r="F27" s="55"/>
      <c r="G27" s="55"/>
    </row>
    <row r="28" customFormat="false" ht="17.25" hidden="false" customHeight="true" outlineLevel="0" collapsed="false">
      <c r="A28" s="54" t="s">
        <v>178</v>
      </c>
      <c r="B28" s="63" t="s">
        <v>165</v>
      </c>
      <c r="C28" s="55" t="s">
        <v>179</v>
      </c>
      <c r="D28" s="55"/>
      <c r="E28" s="55"/>
      <c r="F28" s="55"/>
      <c r="G28" s="55"/>
    </row>
    <row r="29" customFormat="false" ht="30" hidden="false" customHeight="true" outlineLevel="0" collapsed="false">
      <c r="A29" s="54" t="s">
        <v>180</v>
      </c>
      <c r="B29" s="63" t="s">
        <v>181</v>
      </c>
      <c r="C29" s="55" t="s">
        <v>182</v>
      </c>
      <c r="D29" s="55"/>
      <c r="E29" s="55"/>
      <c r="F29" s="55"/>
      <c r="G29" s="55"/>
    </row>
    <row r="31" customFormat="false" ht="42" hidden="false" customHeight="true" outlineLevel="0" collapsed="false">
      <c r="A31" s="65" t="s">
        <v>183</v>
      </c>
      <c r="B31" s="65"/>
      <c r="C31" s="65"/>
      <c r="D31" s="65"/>
      <c r="E31" s="65"/>
      <c r="F31" s="65"/>
      <c r="G31" s="65"/>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&amp;K909090Reha</oddHeader>
    <oddFooter>&amp;R&amp;8 &amp;K909090Seite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9"/>
    <col collapsed="false" customWidth="true" hidden="false" outlineLevel="0" max="4" min="3" style="0" width="12"/>
    <col collapsed="false" customWidth="true" hidden="false" outlineLevel="0" max="6" min="5" style="0" width="11"/>
    <col collapsed="false" customWidth="true" hidden="false" outlineLevel="0" max="7" min="7" style="0" width="12"/>
    <col collapsed="false" customWidth="true" hidden="false" outlineLevel="0" max="8" min="8" style="0" width="40"/>
  </cols>
  <sheetData>
    <row r="1" customFormat="false" ht="27.75" hidden="false" customHeight="true" outlineLevel="0" collapsed="false">
      <c r="A1" s="1" t="s">
        <v>184</v>
      </c>
      <c r="B1" s="1"/>
      <c r="C1" s="1"/>
      <c r="D1" s="1"/>
      <c r="E1" s="1"/>
      <c r="F1" s="1"/>
      <c r="G1" s="1"/>
      <c r="H1" s="1"/>
    </row>
    <row r="2" customFormat="false" ht="13.5" hidden="false" customHeight="true" outlineLevel="0" collapsed="false">
      <c r="A2" s="2" t="s">
        <v>185</v>
      </c>
      <c r="B2" s="2"/>
      <c r="C2" s="2"/>
      <c r="D2" s="2"/>
      <c r="E2" s="2"/>
      <c r="F2" s="2"/>
      <c r="G2" s="2"/>
      <c r="H2" s="2"/>
    </row>
    <row r="3" customFormat="false" ht="19.5" hidden="false" customHeight="true" outlineLevel="0" collapsed="false">
      <c r="A3" s="41" t="s">
        <v>186</v>
      </c>
      <c r="B3" s="66" t="n">
        <v>46295</v>
      </c>
      <c r="C3" s="5" t="str">
        <f aca="true">"Heute ist Woche "&amp;MAX(1,ROUNDDOWN((TODAY()-$B$3)/7,0)+1)&amp;" nach OP."</f>
        <v>Heute ist Woche 1 nach OP.</v>
      </c>
      <c r="D3" s="5"/>
      <c r="E3" s="5"/>
      <c r="F3" s="5"/>
      <c r="G3" s="5"/>
      <c r="H3" s="5"/>
    </row>
    <row r="4" customFormat="false" ht="18" hidden="false" customHeight="true" outlineLevel="0" collapsed="false">
      <c r="A4" s="6" t="s">
        <v>187</v>
      </c>
      <c r="B4" s="6"/>
      <c r="C4" s="6"/>
      <c r="D4" s="6"/>
      <c r="E4" s="6"/>
      <c r="F4" s="6"/>
      <c r="G4" s="6"/>
      <c r="H4" s="6"/>
    </row>
    <row r="5" customFormat="false" ht="18.75" hidden="false" customHeight="true" outlineLevel="0" collapsed="false">
      <c r="A5" s="67" t="s">
        <v>188</v>
      </c>
      <c r="B5" s="67"/>
      <c r="C5" s="68" t="n">
        <f aca="false">COUNT($A$12:$A$191)</f>
        <v>0</v>
      </c>
      <c r="D5" s="68"/>
      <c r="E5" s="67" t="s">
        <v>189</v>
      </c>
      <c r="F5" s="67"/>
      <c r="G5" s="69" t="str">
        <f aca="false">IF(COUNT($A$12:$A$191)=0,"",MAX($A$12:$A$191))</f>
        <v/>
      </c>
      <c r="H5" s="69"/>
    </row>
    <row r="6" customFormat="false" ht="18.75" hidden="false" customHeight="true" outlineLevel="0" collapsed="false">
      <c r="A6" s="67" t="s">
        <v>190</v>
      </c>
      <c r="B6" s="67"/>
      <c r="C6" s="68" t="str">
        <f aca="false">IF(COUNT($A$12:$A$191)=0,"",IFERROR(INDEX($E$12:$E$191,MATCH(MAX($A$12:$A$191),$A$12:$A$191,0)),""))</f>
        <v/>
      </c>
      <c r="D6" s="68"/>
      <c r="E6" s="67" t="s">
        <v>191</v>
      </c>
      <c r="F6" s="67"/>
      <c r="G6" s="68" t="str">
        <f aca="false">IF(COUNT($E$12:$E$191)=0,"",MAX($E$12:$E$191))</f>
        <v/>
      </c>
      <c r="H6" s="68"/>
    </row>
    <row r="7" customFormat="false" ht="18.75" hidden="false" customHeight="true" outlineLevel="0" collapsed="false">
      <c r="A7" s="67" t="s">
        <v>192</v>
      </c>
      <c r="B7" s="67"/>
      <c r="C7" s="68" t="str">
        <f aca="false">IF(COUNT($A$12:$A$191)=0,"",IFERROR(INDEX($F$12:$F$191,MATCH(MAX($A$12:$A$191),$A$12:$A$191,0)),""))</f>
        <v/>
      </c>
      <c r="D7" s="68"/>
      <c r="E7" s="67" t="s">
        <v>193</v>
      </c>
      <c r="F7" s="67"/>
      <c r="G7" s="68" t="str">
        <f aca="false">IF(COUNT($A$12:$A$191)=0,"",IFERROR(INDEX($G$12:$G$191,MATCH(MAX($A$12:$A$191),$A$12:$A$191,0)),""))</f>
        <v/>
      </c>
      <c r="H7" s="68"/>
    </row>
    <row r="8" customFormat="false" ht="18.75" hidden="false" customHeight="true" outlineLevel="0" collapsed="false">
      <c r="A8" s="67" t="s">
        <v>194</v>
      </c>
      <c r="B8" s="67"/>
      <c r="C8" s="70" t="str">
        <f aca="false">IF(COUNT($A$12:$A$191)=0,"",IFERROR(AVERAGEIFS($C$12:$C$191,$A$12:$A$191,"&gt;="&amp;MAX($A$12:$A$191)-13),""))</f>
        <v/>
      </c>
      <c r="D8" s="70"/>
      <c r="E8" s="67" t="s">
        <v>195</v>
      </c>
      <c r="F8" s="67"/>
      <c r="G8" s="70" t="str">
        <f aca="false">IF(COUNT($A$12:$A$191)=0,"",IFERROR(AVERAGEIFS($D$12:$D$191,$A$12:$A$191,"&gt;="&amp;MAX($A$12:$A$191)-13),""))</f>
        <v/>
      </c>
      <c r="H8" s="70"/>
    </row>
    <row r="11" customFormat="false" ht="30" hidden="false" customHeight="true" outlineLevel="0" collapsed="false">
      <c r="A11" s="7" t="s">
        <v>52</v>
      </c>
      <c r="B11" s="7" t="s">
        <v>196</v>
      </c>
      <c r="C11" s="7" t="s">
        <v>197</v>
      </c>
      <c r="D11" s="7" t="s">
        <v>198</v>
      </c>
      <c r="E11" s="7" t="s">
        <v>199</v>
      </c>
      <c r="F11" s="7" t="s">
        <v>200</v>
      </c>
      <c r="G11" s="7" t="s">
        <v>201</v>
      </c>
      <c r="H11" s="7" t="s">
        <v>65</v>
      </c>
    </row>
    <row r="12" customFormat="false" ht="15.75" hidden="false" customHeight="true" outlineLevel="0" collapsed="false">
      <c r="A12" s="38"/>
      <c r="B12" s="18" t="str">
        <f aca="false">IF(OR($A12="",$B$3=""),"",ROUNDDOWN(($A12-$B$3)/7,0)+1)</f>
        <v/>
      </c>
      <c r="C12" s="40"/>
      <c r="D12" s="40"/>
      <c r="E12" s="40"/>
      <c r="F12" s="40"/>
      <c r="G12" s="40"/>
      <c r="H12" s="10"/>
    </row>
    <row r="13" customFormat="false" ht="15.75" hidden="false" customHeight="true" outlineLevel="0" collapsed="false">
      <c r="A13" s="38"/>
      <c r="B13" s="18" t="str">
        <f aca="false">IF(OR($A13="",$B$3=""),"",ROUNDDOWN(($A13-$B$3)/7,0)+1)</f>
        <v/>
      </c>
      <c r="C13" s="40"/>
      <c r="D13" s="40"/>
      <c r="E13" s="40"/>
      <c r="F13" s="40"/>
      <c r="G13" s="40"/>
      <c r="H13" s="10"/>
    </row>
    <row r="14" customFormat="false" ht="15.75" hidden="false" customHeight="true" outlineLevel="0" collapsed="false">
      <c r="A14" s="38"/>
      <c r="B14" s="18" t="str">
        <f aca="false">IF(OR($A14="",$B$3=""),"",ROUNDDOWN(($A14-$B$3)/7,0)+1)</f>
        <v/>
      </c>
      <c r="C14" s="40"/>
      <c r="D14" s="40"/>
      <c r="E14" s="40"/>
      <c r="F14" s="40"/>
      <c r="G14" s="40"/>
      <c r="H14" s="10"/>
    </row>
    <row r="15" customFormat="false" ht="15.75" hidden="false" customHeight="true" outlineLevel="0" collapsed="false">
      <c r="A15" s="38"/>
      <c r="B15" s="18" t="str">
        <f aca="false">IF(OR($A15="",$B$3=""),"",ROUNDDOWN(($A15-$B$3)/7,0)+1)</f>
        <v/>
      </c>
      <c r="C15" s="40"/>
      <c r="D15" s="40"/>
      <c r="E15" s="40"/>
      <c r="F15" s="40"/>
      <c r="G15" s="40"/>
      <c r="H15" s="10"/>
    </row>
    <row r="16" customFormat="false" ht="15.75" hidden="false" customHeight="true" outlineLevel="0" collapsed="false">
      <c r="A16" s="38"/>
      <c r="B16" s="18" t="str">
        <f aca="false">IF(OR($A16="",$B$3=""),"",ROUNDDOWN(($A16-$B$3)/7,0)+1)</f>
        <v/>
      </c>
      <c r="C16" s="40"/>
      <c r="D16" s="40"/>
      <c r="E16" s="40"/>
      <c r="F16" s="40"/>
      <c r="G16" s="40"/>
      <c r="H16" s="10"/>
    </row>
    <row r="17" customFormat="false" ht="15.75" hidden="false" customHeight="true" outlineLevel="0" collapsed="false">
      <c r="A17" s="38"/>
      <c r="B17" s="18" t="str">
        <f aca="false">IF(OR($A17="",$B$3=""),"",ROUNDDOWN(($A17-$B$3)/7,0)+1)</f>
        <v/>
      </c>
      <c r="C17" s="40"/>
      <c r="D17" s="40"/>
      <c r="E17" s="40"/>
      <c r="F17" s="40"/>
      <c r="G17" s="40"/>
      <c r="H17" s="10"/>
    </row>
    <row r="18" customFormat="false" ht="15.75" hidden="false" customHeight="true" outlineLevel="0" collapsed="false">
      <c r="A18" s="38"/>
      <c r="B18" s="18" t="str">
        <f aca="false">IF(OR($A18="",$B$3=""),"",ROUNDDOWN(($A18-$B$3)/7,0)+1)</f>
        <v/>
      </c>
      <c r="C18" s="40"/>
      <c r="D18" s="40"/>
      <c r="E18" s="40"/>
      <c r="F18" s="40"/>
      <c r="G18" s="40"/>
      <c r="H18" s="10"/>
    </row>
    <row r="19" customFormat="false" ht="15.75" hidden="false" customHeight="true" outlineLevel="0" collapsed="false">
      <c r="A19" s="38"/>
      <c r="B19" s="18" t="str">
        <f aca="false">IF(OR($A19="",$B$3=""),"",ROUNDDOWN(($A19-$B$3)/7,0)+1)</f>
        <v/>
      </c>
      <c r="C19" s="40"/>
      <c r="D19" s="40"/>
      <c r="E19" s="40"/>
      <c r="F19" s="40"/>
      <c r="G19" s="40"/>
      <c r="H19" s="10"/>
    </row>
    <row r="20" customFormat="false" ht="15.75" hidden="false" customHeight="true" outlineLevel="0" collapsed="false">
      <c r="A20" s="38"/>
      <c r="B20" s="18" t="str">
        <f aca="false">IF(OR($A20="",$B$3=""),"",ROUNDDOWN(($A20-$B$3)/7,0)+1)</f>
        <v/>
      </c>
      <c r="C20" s="40"/>
      <c r="D20" s="40"/>
      <c r="E20" s="40"/>
      <c r="F20" s="40"/>
      <c r="G20" s="40"/>
      <c r="H20" s="10"/>
    </row>
    <row r="21" customFormat="false" ht="15.75" hidden="false" customHeight="true" outlineLevel="0" collapsed="false">
      <c r="A21" s="38"/>
      <c r="B21" s="18" t="str">
        <f aca="false">IF(OR($A21="",$B$3=""),"",ROUNDDOWN(($A21-$B$3)/7,0)+1)</f>
        <v/>
      </c>
      <c r="C21" s="40"/>
      <c r="D21" s="40"/>
      <c r="E21" s="40"/>
      <c r="F21" s="40"/>
      <c r="G21" s="40"/>
      <c r="H21" s="10"/>
    </row>
    <row r="22" customFormat="false" ht="15.75" hidden="false" customHeight="true" outlineLevel="0" collapsed="false">
      <c r="A22" s="38"/>
      <c r="B22" s="18" t="str">
        <f aca="false">IF(OR($A22="",$B$3=""),"",ROUNDDOWN(($A22-$B$3)/7,0)+1)</f>
        <v/>
      </c>
      <c r="C22" s="40"/>
      <c r="D22" s="40"/>
      <c r="E22" s="40"/>
      <c r="F22" s="40"/>
      <c r="G22" s="40"/>
      <c r="H22" s="10"/>
    </row>
    <row r="23" customFormat="false" ht="15.75" hidden="false" customHeight="true" outlineLevel="0" collapsed="false">
      <c r="A23" s="38"/>
      <c r="B23" s="18" t="str">
        <f aca="false">IF(OR($A23="",$B$3=""),"",ROUNDDOWN(($A23-$B$3)/7,0)+1)</f>
        <v/>
      </c>
      <c r="C23" s="40"/>
      <c r="D23" s="40"/>
      <c r="E23" s="40"/>
      <c r="F23" s="40"/>
      <c r="G23" s="40"/>
      <c r="H23" s="10"/>
    </row>
    <row r="24" customFormat="false" ht="15.75" hidden="false" customHeight="true" outlineLevel="0" collapsed="false">
      <c r="A24" s="38"/>
      <c r="B24" s="18" t="str">
        <f aca="false">IF(OR($A24="",$B$3=""),"",ROUNDDOWN(($A24-$B$3)/7,0)+1)</f>
        <v/>
      </c>
      <c r="C24" s="40"/>
      <c r="D24" s="40"/>
      <c r="E24" s="40"/>
      <c r="F24" s="40"/>
      <c r="G24" s="40"/>
      <c r="H24" s="10"/>
    </row>
    <row r="25" customFormat="false" ht="15.75" hidden="false" customHeight="true" outlineLevel="0" collapsed="false">
      <c r="A25" s="38"/>
      <c r="B25" s="18" t="str">
        <f aca="false">IF(OR($A25="",$B$3=""),"",ROUNDDOWN(($A25-$B$3)/7,0)+1)</f>
        <v/>
      </c>
      <c r="C25" s="40"/>
      <c r="D25" s="40"/>
      <c r="E25" s="40"/>
      <c r="F25" s="40"/>
      <c r="G25" s="40"/>
      <c r="H25" s="10"/>
    </row>
    <row r="26" customFormat="false" ht="15.75" hidden="false" customHeight="true" outlineLevel="0" collapsed="false">
      <c r="A26" s="38"/>
      <c r="B26" s="18" t="str">
        <f aca="false">IF(OR($A26="",$B$3=""),"",ROUNDDOWN(($A26-$B$3)/7,0)+1)</f>
        <v/>
      </c>
      <c r="C26" s="40"/>
      <c r="D26" s="40"/>
      <c r="E26" s="40"/>
      <c r="F26" s="40"/>
      <c r="G26" s="40"/>
      <c r="H26" s="10"/>
    </row>
    <row r="27" customFormat="false" ht="15.75" hidden="false" customHeight="true" outlineLevel="0" collapsed="false">
      <c r="A27" s="38"/>
      <c r="B27" s="18" t="str">
        <f aca="false">IF(OR($A27="",$B$3=""),"",ROUNDDOWN(($A27-$B$3)/7,0)+1)</f>
        <v/>
      </c>
      <c r="C27" s="40"/>
      <c r="D27" s="40"/>
      <c r="E27" s="40"/>
      <c r="F27" s="40"/>
      <c r="G27" s="40"/>
      <c r="H27" s="10"/>
    </row>
    <row r="28" customFormat="false" ht="15.75" hidden="false" customHeight="true" outlineLevel="0" collapsed="false">
      <c r="A28" s="38"/>
      <c r="B28" s="18" t="str">
        <f aca="false">IF(OR($A28="",$B$3=""),"",ROUNDDOWN(($A28-$B$3)/7,0)+1)</f>
        <v/>
      </c>
      <c r="C28" s="40"/>
      <c r="D28" s="40"/>
      <c r="E28" s="40"/>
      <c r="F28" s="40"/>
      <c r="G28" s="40"/>
      <c r="H28" s="10"/>
    </row>
    <row r="29" customFormat="false" ht="15.75" hidden="false" customHeight="true" outlineLevel="0" collapsed="false">
      <c r="A29" s="38"/>
      <c r="B29" s="18" t="str">
        <f aca="false">IF(OR($A29="",$B$3=""),"",ROUNDDOWN(($A29-$B$3)/7,0)+1)</f>
        <v/>
      </c>
      <c r="C29" s="40"/>
      <c r="D29" s="40"/>
      <c r="E29" s="40"/>
      <c r="F29" s="40"/>
      <c r="G29" s="40"/>
      <c r="H29" s="10"/>
    </row>
    <row r="30" customFormat="false" ht="15.75" hidden="false" customHeight="true" outlineLevel="0" collapsed="false">
      <c r="A30" s="38"/>
      <c r="B30" s="18" t="str">
        <f aca="false">IF(OR($A30="",$B$3=""),"",ROUNDDOWN(($A30-$B$3)/7,0)+1)</f>
        <v/>
      </c>
      <c r="C30" s="40"/>
      <c r="D30" s="40"/>
      <c r="E30" s="40"/>
      <c r="F30" s="40"/>
      <c r="G30" s="40"/>
      <c r="H30" s="10"/>
    </row>
    <row r="31" customFormat="false" ht="15.75" hidden="false" customHeight="true" outlineLevel="0" collapsed="false">
      <c r="A31" s="38"/>
      <c r="B31" s="18" t="str">
        <f aca="false">IF(OR($A31="",$B$3=""),"",ROUNDDOWN(($A31-$B$3)/7,0)+1)</f>
        <v/>
      </c>
      <c r="C31" s="40"/>
      <c r="D31" s="40"/>
      <c r="E31" s="40"/>
      <c r="F31" s="40"/>
      <c r="G31" s="40"/>
      <c r="H31" s="10"/>
    </row>
    <row r="32" customFormat="false" ht="15.75" hidden="false" customHeight="true" outlineLevel="0" collapsed="false">
      <c r="A32" s="38"/>
      <c r="B32" s="18" t="str">
        <f aca="false">IF(OR($A32="",$B$3=""),"",ROUNDDOWN(($A32-$B$3)/7,0)+1)</f>
        <v/>
      </c>
      <c r="C32" s="40"/>
      <c r="D32" s="40"/>
      <c r="E32" s="40"/>
      <c r="F32" s="40"/>
      <c r="G32" s="40"/>
      <c r="H32" s="10"/>
    </row>
    <row r="33" customFormat="false" ht="15.75" hidden="false" customHeight="true" outlineLevel="0" collapsed="false">
      <c r="A33" s="38"/>
      <c r="B33" s="18" t="str">
        <f aca="false">IF(OR($A33="",$B$3=""),"",ROUNDDOWN(($A33-$B$3)/7,0)+1)</f>
        <v/>
      </c>
      <c r="C33" s="40"/>
      <c r="D33" s="40"/>
      <c r="E33" s="40"/>
      <c r="F33" s="40"/>
      <c r="G33" s="40"/>
      <c r="H33" s="10"/>
    </row>
    <row r="34" customFormat="false" ht="15.75" hidden="false" customHeight="true" outlineLevel="0" collapsed="false">
      <c r="A34" s="38"/>
      <c r="B34" s="18" t="str">
        <f aca="false">IF(OR($A34="",$B$3=""),"",ROUNDDOWN(($A34-$B$3)/7,0)+1)</f>
        <v/>
      </c>
      <c r="C34" s="40"/>
      <c r="D34" s="40"/>
      <c r="E34" s="40"/>
      <c r="F34" s="40"/>
      <c r="G34" s="40"/>
      <c r="H34" s="10"/>
    </row>
    <row r="35" customFormat="false" ht="15.75" hidden="false" customHeight="true" outlineLevel="0" collapsed="false">
      <c r="A35" s="38"/>
      <c r="B35" s="18" t="str">
        <f aca="false">IF(OR($A35="",$B$3=""),"",ROUNDDOWN(($A35-$B$3)/7,0)+1)</f>
        <v/>
      </c>
      <c r="C35" s="40"/>
      <c r="D35" s="40"/>
      <c r="E35" s="40"/>
      <c r="F35" s="40"/>
      <c r="G35" s="40"/>
      <c r="H35" s="10"/>
    </row>
    <row r="36" customFormat="false" ht="15.75" hidden="false" customHeight="true" outlineLevel="0" collapsed="false">
      <c r="A36" s="38"/>
      <c r="B36" s="18" t="str">
        <f aca="false">IF(OR($A36="",$B$3=""),"",ROUNDDOWN(($A36-$B$3)/7,0)+1)</f>
        <v/>
      </c>
      <c r="C36" s="40"/>
      <c r="D36" s="40"/>
      <c r="E36" s="40"/>
      <c r="F36" s="40"/>
      <c r="G36" s="40"/>
      <c r="H36" s="10"/>
    </row>
    <row r="37" customFormat="false" ht="15.75" hidden="false" customHeight="true" outlineLevel="0" collapsed="false">
      <c r="A37" s="38"/>
      <c r="B37" s="18" t="str">
        <f aca="false">IF(OR($A37="",$B$3=""),"",ROUNDDOWN(($A37-$B$3)/7,0)+1)</f>
        <v/>
      </c>
      <c r="C37" s="40"/>
      <c r="D37" s="40"/>
      <c r="E37" s="40"/>
      <c r="F37" s="40"/>
      <c r="G37" s="40"/>
      <c r="H37" s="10"/>
    </row>
    <row r="38" customFormat="false" ht="15.75" hidden="false" customHeight="true" outlineLevel="0" collapsed="false">
      <c r="A38" s="38"/>
      <c r="B38" s="18" t="str">
        <f aca="false">IF(OR($A38="",$B$3=""),"",ROUNDDOWN(($A38-$B$3)/7,0)+1)</f>
        <v/>
      </c>
      <c r="C38" s="40"/>
      <c r="D38" s="40"/>
      <c r="E38" s="40"/>
      <c r="F38" s="40"/>
      <c r="G38" s="40"/>
      <c r="H38" s="10"/>
    </row>
    <row r="39" customFormat="false" ht="15.75" hidden="false" customHeight="true" outlineLevel="0" collapsed="false">
      <c r="A39" s="38"/>
      <c r="B39" s="18" t="str">
        <f aca="false">IF(OR($A39="",$B$3=""),"",ROUNDDOWN(($A39-$B$3)/7,0)+1)</f>
        <v/>
      </c>
      <c r="C39" s="40"/>
      <c r="D39" s="40"/>
      <c r="E39" s="40"/>
      <c r="F39" s="40"/>
      <c r="G39" s="40"/>
      <c r="H39" s="10"/>
    </row>
    <row r="40" customFormat="false" ht="15.75" hidden="false" customHeight="true" outlineLevel="0" collapsed="false">
      <c r="A40" s="38"/>
      <c r="B40" s="18" t="str">
        <f aca="false">IF(OR($A40="",$B$3=""),"",ROUNDDOWN(($A40-$B$3)/7,0)+1)</f>
        <v/>
      </c>
      <c r="C40" s="40"/>
      <c r="D40" s="40"/>
      <c r="E40" s="40"/>
      <c r="F40" s="40"/>
      <c r="G40" s="40"/>
      <c r="H40" s="10"/>
    </row>
    <row r="41" customFormat="false" ht="15.75" hidden="false" customHeight="true" outlineLevel="0" collapsed="false">
      <c r="A41" s="38"/>
      <c r="B41" s="18" t="str">
        <f aca="false">IF(OR($A41="",$B$3=""),"",ROUNDDOWN(($A41-$B$3)/7,0)+1)</f>
        <v/>
      </c>
      <c r="C41" s="40"/>
      <c r="D41" s="40"/>
      <c r="E41" s="40"/>
      <c r="F41" s="40"/>
      <c r="G41" s="40"/>
      <c r="H41" s="10"/>
    </row>
    <row r="42" customFormat="false" ht="15.75" hidden="false" customHeight="true" outlineLevel="0" collapsed="false">
      <c r="A42" s="38"/>
      <c r="B42" s="18" t="str">
        <f aca="false">IF(OR($A42="",$B$3=""),"",ROUNDDOWN(($A42-$B$3)/7,0)+1)</f>
        <v/>
      </c>
      <c r="C42" s="40"/>
      <c r="D42" s="40"/>
      <c r="E42" s="40"/>
      <c r="F42" s="40"/>
      <c r="G42" s="40"/>
      <c r="H42" s="10"/>
    </row>
    <row r="43" customFormat="false" ht="15.75" hidden="false" customHeight="true" outlineLevel="0" collapsed="false">
      <c r="A43" s="38"/>
      <c r="B43" s="18" t="str">
        <f aca="false">IF(OR($A43="",$B$3=""),"",ROUNDDOWN(($A43-$B$3)/7,0)+1)</f>
        <v/>
      </c>
      <c r="C43" s="40"/>
      <c r="D43" s="40"/>
      <c r="E43" s="40"/>
      <c r="F43" s="40"/>
      <c r="G43" s="40"/>
      <c r="H43" s="10"/>
    </row>
    <row r="44" customFormat="false" ht="15.75" hidden="false" customHeight="true" outlineLevel="0" collapsed="false">
      <c r="A44" s="38"/>
      <c r="B44" s="18" t="str">
        <f aca="false">IF(OR($A44="",$B$3=""),"",ROUNDDOWN(($A44-$B$3)/7,0)+1)</f>
        <v/>
      </c>
      <c r="C44" s="40"/>
      <c r="D44" s="40"/>
      <c r="E44" s="40"/>
      <c r="F44" s="40"/>
      <c r="G44" s="40"/>
      <c r="H44" s="10"/>
    </row>
    <row r="45" customFormat="false" ht="15.75" hidden="false" customHeight="true" outlineLevel="0" collapsed="false">
      <c r="A45" s="38"/>
      <c r="B45" s="18" t="str">
        <f aca="false">IF(OR($A45="",$B$3=""),"",ROUNDDOWN(($A45-$B$3)/7,0)+1)</f>
        <v/>
      </c>
      <c r="C45" s="40"/>
      <c r="D45" s="40"/>
      <c r="E45" s="40"/>
      <c r="F45" s="40"/>
      <c r="G45" s="40"/>
      <c r="H45" s="10"/>
    </row>
    <row r="46" customFormat="false" ht="15.75" hidden="false" customHeight="true" outlineLevel="0" collapsed="false">
      <c r="A46" s="38"/>
      <c r="B46" s="18" t="str">
        <f aca="false">IF(OR($A46="",$B$3=""),"",ROUNDDOWN(($A46-$B$3)/7,0)+1)</f>
        <v/>
      </c>
      <c r="C46" s="40"/>
      <c r="D46" s="40"/>
      <c r="E46" s="40"/>
      <c r="F46" s="40"/>
      <c r="G46" s="40"/>
      <c r="H46" s="10"/>
    </row>
    <row r="47" customFormat="false" ht="15.75" hidden="false" customHeight="true" outlineLevel="0" collapsed="false">
      <c r="A47" s="38"/>
      <c r="B47" s="18" t="str">
        <f aca="false">IF(OR($A47="",$B$3=""),"",ROUNDDOWN(($A47-$B$3)/7,0)+1)</f>
        <v/>
      </c>
      <c r="C47" s="40"/>
      <c r="D47" s="40"/>
      <c r="E47" s="40"/>
      <c r="F47" s="40"/>
      <c r="G47" s="40"/>
      <c r="H47" s="10"/>
    </row>
    <row r="48" customFormat="false" ht="15.75" hidden="false" customHeight="true" outlineLevel="0" collapsed="false">
      <c r="A48" s="38"/>
      <c r="B48" s="18" t="str">
        <f aca="false">IF(OR($A48="",$B$3=""),"",ROUNDDOWN(($A48-$B$3)/7,0)+1)</f>
        <v/>
      </c>
      <c r="C48" s="40"/>
      <c r="D48" s="40"/>
      <c r="E48" s="40"/>
      <c r="F48" s="40"/>
      <c r="G48" s="40"/>
      <c r="H48" s="10"/>
    </row>
    <row r="49" customFormat="false" ht="15.75" hidden="false" customHeight="true" outlineLevel="0" collapsed="false">
      <c r="A49" s="38"/>
      <c r="B49" s="18" t="str">
        <f aca="false">IF(OR($A49="",$B$3=""),"",ROUNDDOWN(($A49-$B$3)/7,0)+1)</f>
        <v/>
      </c>
      <c r="C49" s="40"/>
      <c r="D49" s="40"/>
      <c r="E49" s="40"/>
      <c r="F49" s="40"/>
      <c r="G49" s="40"/>
      <c r="H49" s="10"/>
    </row>
    <row r="50" customFormat="false" ht="15.75" hidden="false" customHeight="true" outlineLevel="0" collapsed="false">
      <c r="A50" s="38"/>
      <c r="B50" s="18" t="str">
        <f aca="false">IF(OR($A50="",$B$3=""),"",ROUNDDOWN(($A50-$B$3)/7,0)+1)</f>
        <v/>
      </c>
      <c r="C50" s="40"/>
      <c r="D50" s="40"/>
      <c r="E50" s="40"/>
      <c r="F50" s="40"/>
      <c r="G50" s="40"/>
      <c r="H50" s="10"/>
    </row>
    <row r="51" customFormat="false" ht="15.75" hidden="false" customHeight="true" outlineLevel="0" collapsed="false">
      <c r="A51" s="38"/>
      <c r="B51" s="18" t="str">
        <f aca="false">IF(OR($A51="",$B$3=""),"",ROUNDDOWN(($A51-$B$3)/7,0)+1)</f>
        <v/>
      </c>
      <c r="C51" s="40"/>
      <c r="D51" s="40"/>
      <c r="E51" s="40"/>
      <c r="F51" s="40"/>
      <c r="G51" s="40"/>
      <c r="H51" s="10"/>
    </row>
    <row r="52" customFormat="false" ht="15.75" hidden="false" customHeight="true" outlineLevel="0" collapsed="false">
      <c r="A52" s="38"/>
      <c r="B52" s="18" t="str">
        <f aca="false">IF(OR($A52="",$B$3=""),"",ROUNDDOWN(($A52-$B$3)/7,0)+1)</f>
        <v/>
      </c>
      <c r="C52" s="40"/>
      <c r="D52" s="40"/>
      <c r="E52" s="40"/>
      <c r="F52" s="40"/>
      <c r="G52" s="40"/>
      <c r="H52" s="10"/>
    </row>
    <row r="53" customFormat="false" ht="15.75" hidden="false" customHeight="true" outlineLevel="0" collapsed="false">
      <c r="A53" s="38"/>
      <c r="B53" s="18" t="str">
        <f aca="false">IF(OR($A53="",$B$3=""),"",ROUNDDOWN(($A53-$B$3)/7,0)+1)</f>
        <v/>
      </c>
      <c r="C53" s="40"/>
      <c r="D53" s="40"/>
      <c r="E53" s="40"/>
      <c r="F53" s="40"/>
      <c r="G53" s="40"/>
      <c r="H53" s="10"/>
    </row>
    <row r="54" customFormat="false" ht="15.75" hidden="false" customHeight="true" outlineLevel="0" collapsed="false">
      <c r="A54" s="38"/>
      <c r="B54" s="18" t="str">
        <f aca="false">IF(OR($A54="",$B$3=""),"",ROUNDDOWN(($A54-$B$3)/7,0)+1)</f>
        <v/>
      </c>
      <c r="C54" s="40"/>
      <c r="D54" s="40"/>
      <c r="E54" s="40"/>
      <c r="F54" s="40"/>
      <c r="G54" s="40"/>
      <c r="H54" s="10"/>
    </row>
    <row r="55" customFormat="false" ht="15.75" hidden="false" customHeight="true" outlineLevel="0" collapsed="false">
      <c r="A55" s="38"/>
      <c r="B55" s="18" t="str">
        <f aca="false">IF(OR($A55="",$B$3=""),"",ROUNDDOWN(($A55-$B$3)/7,0)+1)</f>
        <v/>
      </c>
      <c r="C55" s="40"/>
      <c r="D55" s="40"/>
      <c r="E55" s="40"/>
      <c r="F55" s="40"/>
      <c r="G55" s="40"/>
      <c r="H55" s="10"/>
    </row>
    <row r="56" customFormat="false" ht="15.75" hidden="false" customHeight="true" outlineLevel="0" collapsed="false">
      <c r="A56" s="38"/>
      <c r="B56" s="18" t="str">
        <f aca="false">IF(OR($A56="",$B$3=""),"",ROUNDDOWN(($A56-$B$3)/7,0)+1)</f>
        <v/>
      </c>
      <c r="C56" s="40"/>
      <c r="D56" s="40"/>
      <c r="E56" s="40"/>
      <c r="F56" s="40"/>
      <c r="G56" s="40"/>
      <c r="H56" s="10"/>
    </row>
    <row r="57" customFormat="false" ht="15.75" hidden="false" customHeight="true" outlineLevel="0" collapsed="false">
      <c r="A57" s="38"/>
      <c r="B57" s="18" t="str">
        <f aca="false">IF(OR($A57="",$B$3=""),"",ROUNDDOWN(($A57-$B$3)/7,0)+1)</f>
        <v/>
      </c>
      <c r="C57" s="40"/>
      <c r="D57" s="40"/>
      <c r="E57" s="40"/>
      <c r="F57" s="40"/>
      <c r="G57" s="40"/>
      <c r="H57" s="10"/>
    </row>
    <row r="58" customFormat="false" ht="15.75" hidden="false" customHeight="true" outlineLevel="0" collapsed="false">
      <c r="A58" s="38"/>
      <c r="B58" s="18" t="str">
        <f aca="false">IF(OR($A58="",$B$3=""),"",ROUNDDOWN(($A58-$B$3)/7,0)+1)</f>
        <v/>
      </c>
      <c r="C58" s="40"/>
      <c r="D58" s="40"/>
      <c r="E58" s="40"/>
      <c r="F58" s="40"/>
      <c r="G58" s="40"/>
      <c r="H58" s="10"/>
    </row>
    <row r="59" customFormat="false" ht="15.75" hidden="false" customHeight="true" outlineLevel="0" collapsed="false">
      <c r="A59" s="38"/>
      <c r="B59" s="18" t="str">
        <f aca="false">IF(OR($A59="",$B$3=""),"",ROUNDDOWN(($A59-$B$3)/7,0)+1)</f>
        <v/>
      </c>
      <c r="C59" s="40"/>
      <c r="D59" s="40"/>
      <c r="E59" s="40"/>
      <c r="F59" s="40"/>
      <c r="G59" s="40"/>
      <c r="H59" s="10"/>
    </row>
    <row r="60" customFormat="false" ht="15.75" hidden="false" customHeight="true" outlineLevel="0" collapsed="false">
      <c r="A60" s="38"/>
      <c r="B60" s="18" t="str">
        <f aca="false">IF(OR($A60="",$B$3=""),"",ROUNDDOWN(($A60-$B$3)/7,0)+1)</f>
        <v/>
      </c>
      <c r="C60" s="40"/>
      <c r="D60" s="40"/>
      <c r="E60" s="40"/>
      <c r="F60" s="40"/>
      <c r="G60" s="40"/>
      <c r="H60" s="10"/>
    </row>
    <row r="61" customFormat="false" ht="15.75" hidden="false" customHeight="true" outlineLevel="0" collapsed="false">
      <c r="A61" s="38"/>
      <c r="B61" s="18" t="str">
        <f aca="false">IF(OR($A61="",$B$3=""),"",ROUNDDOWN(($A61-$B$3)/7,0)+1)</f>
        <v/>
      </c>
      <c r="C61" s="40"/>
      <c r="D61" s="40"/>
      <c r="E61" s="40"/>
      <c r="F61" s="40"/>
      <c r="G61" s="40"/>
      <c r="H61" s="10"/>
    </row>
    <row r="62" customFormat="false" ht="15.75" hidden="false" customHeight="true" outlineLevel="0" collapsed="false">
      <c r="A62" s="38"/>
      <c r="B62" s="18" t="str">
        <f aca="false">IF(OR($A62="",$B$3=""),"",ROUNDDOWN(($A62-$B$3)/7,0)+1)</f>
        <v/>
      </c>
      <c r="C62" s="40"/>
      <c r="D62" s="40"/>
      <c r="E62" s="40"/>
      <c r="F62" s="40"/>
      <c r="G62" s="40"/>
      <c r="H62" s="10"/>
    </row>
    <row r="63" customFormat="false" ht="15.75" hidden="false" customHeight="true" outlineLevel="0" collapsed="false">
      <c r="A63" s="38"/>
      <c r="B63" s="18" t="str">
        <f aca="false">IF(OR($A63="",$B$3=""),"",ROUNDDOWN(($A63-$B$3)/7,0)+1)</f>
        <v/>
      </c>
      <c r="C63" s="40"/>
      <c r="D63" s="40"/>
      <c r="E63" s="40"/>
      <c r="F63" s="40"/>
      <c r="G63" s="40"/>
      <c r="H63" s="10"/>
    </row>
    <row r="64" customFormat="false" ht="15.75" hidden="false" customHeight="true" outlineLevel="0" collapsed="false">
      <c r="A64" s="38"/>
      <c r="B64" s="18" t="str">
        <f aca="false">IF(OR($A64="",$B$3=""),"",ROUNDDOWN(($A64-$B$3)/7,0)+1)</f>
        <v/>
      </c>
      <c r="C64" s="40"/>
      <c r="D64" s="40"/>
      <c r="E64" s="40"/>
      <c r="F64" s="40"/>
      <c r="G64" s="40"/>
      <c r="H64" s="10"/>
    </row>
    <row r="65" customFormat="false" ht="15.75" hidden="false" customHeight="true" outlineLevel="0" collapsed="false">
      <c r="A65" s="38"/>
      <c r="B65" s="18" t="str">
        <f aca="false">IF(OR($A65="",$B$3=""),"",ROUNDDOWN(($A65-$B$3)/7,0)+1)</f>
        <v/>
      </c>
      <c r="C65" s="40"/>
      <c r="D65" s="40"/>
      <c r="E65" s="40"/>
      <c r="F65" s="40"/>
      <c r="G65" s="40"/>
      <c r="H65" s="10"/>
    </row>
    <row r="66" customFormat="false" ht="15.75" hidden="false" customHeight="true" outlineLevel="0" collapsed="false">
      <c r="A66" s="38"/>
      <c r="B66" s="18" t="str">
        <f aca="false">IF(OR($A66="",$B$3=""),"",ROUNDDOWN(($A66-$B$3)/7,0)+1)</f>
        <v/>
      </c>
      <c r="C66" s="40"/>
      <c r="D66" s="40"/>
      <c r="E66" s="40"/>
      <c r="F66" s="40"/>
      <c r="G66" s="40"/>
      <c r="H66" s="10"/>
    </row>
    <row r="67" customFormat="false" ht="15.75" hidden="false" customHeight="true" outlineLevel="0" collapsed="false">
      <c r="A67" s="38"/>
      <c r="B67" s="18" t="str">
        <f aca="false">IF(OR($A67="",$B$3=""),"",ROUNDDOWN(($A67-$B$3)/7,0)+1)</f>
        <v/>
      </c>
      <c r="C67" s="40"/>
      <c r="D67" s="40"/>
      <c r="E67" s="40"/>
      <c r="F67" s="40"/>
      <c r="G67" s="40"/>
      <c r="H67" s="10"/>
    </row>
    <row r="68" customFormat="false" ht="15.75" hidden="false" customHeight="true" outlineLevel="0" collapsed="false">
      <c r="A68" s="38"/>
      <c r="B68" s="18" t="str">
        <f aca="false">IF(OR($A68="",$B$3=""),"",ROUNDDOWN(($A68-$B$3)/7,0)+1)</f>
        <v/>
      </c>
      <c r="C68" s="40"/>
      <c r="D68" s="40"/>
      <c r="E68" s="40"/>
      <c r="F68" s="40"/>
      <c r="G68" s="40"/>
      <c r="H68" s="10"/>
    </row>
    <row r="69" customFormat="false" ht="15.75" hidden="false" customHeight="true" outlineLevel="0" collapsed="false">
      <c r="A69" s="38"/>
      <c r="B69" s="18" t="str">
        <f aca="false">IF(OR($A69="",$B$3=""),"",ROUNDDOWN(($A69-$B$3)/7,0)+1)</f>
        <v/>
      </c>
      <c r="C69" s="40"/>
      <c r="D69" s="40"/>
      <c r="E69" s="40"/>
      <c r="F69" s="40"/>
      <c r="G69" s="40"/>
      <c r="H69" s="10"/>
    </row>
    <row r="70" customFormat="false" ht="15.75" hidden="false" customHeight="true" outlineLevel="0" collapsed="false">
      <c r="A70" s="38"/>
      <c r="B70" s="18" t="str">
        <f aca="false">IF(OR($A70="",$B$3=""),"",ROUNDDOWN(($A70-$B$3)/7,0)+1)</f>
        <v/>
      </c>
      <c r="C70" s="40"/>
      <c r="D70" s="40"/>
      <c r="E70" s="40"/>
      <c r="F70" s="40"/>
      <c r="G70" s="40"/>
      <c r="H70" s="10"/>
    </row>
    <row r="71" customFormat="false" ht="15.75" hidden="false" customHeight="true" outlineLevel="0" collapsed="false">
      <c r="A71" s="38"/>
      <c r="B71" s="18" t="str">
        <f aca="false">IF(OR($A71="",$B$3=""),"",ROUNDDOWN(($A71-$B$3)/7,0)+1)</f>
        <v/>
      </c>
      <c r="C71" s="40"/>
      <c r="D71" s="40"/>
      <c r="E71" s="40"/>
      <c r="F71" s="40"/>
      <c r="G71" s="40"/>
      <c r="H71" s="10"/>
    </row>
    <row r="72" customFormat="false" ht="15.75" hidden="false" customHeight="true" outlineLevel="0" collapsed="false">
      <c r="A72" s="38"/>
      <c r="B72" s="18" t="str">
        <f aca="false">IF(OR($A72="",$B$3=""),"",ROUNDDOWN(($A72-$B$3)/7,0)+1)</f>
        <v/>
      </c>
      <c r="C72" s="40"/>
      <c r="D72" s="40"/>
      <c r="E72" s="40"/>
      <c r="F72" s="40"/>
      <c r="G72" s="40"/>
      <c r="H72" s="10"/>
    </row>
    <row r="73" customFormat="false" ht="15.75" hidden="false" customHeight="true" outlineLevel="0" collapsed="false">
      <c r="A73" s="38"/>
      <c r="B73" s="18" t="str">
        <f aca="false">IF(OR($A73="",$B$3=""),"",ROUNDDOWN(($A73-$B$3)/7,0)+1)</f>
        <v/>
      </c>
      <c r="C73" s="40"/>
      <c r="D73" s="40"/>
      <c r="E73" s="40"/>
      <c r="F73" s="40"/>
      <c r="G73" s="40"/>
      <c r="H73" s="10"/>
    </row>
    <row r="74" customFormat="false" ht="15.75" hidden="false" customHeight="true" outlineLevel="0" collapsed="false">
      <c r="A74" s="38"/>
      <c r="B74" s="18" t="str">
        <f aca="false">IF(OR($A74="",$B$3=""),"",ROUNDDOWN(($A74-$B$3)/7,0)+1)</f>
        <v/>
      </c>
      <c r="C74" s="40"/>
      <c r="D74" s="40"/>
      <c r="E74" s="40"/>
      <c r="F74" s="40"/>
      <c r="G74" s="40"/>
      <c r="H74" s="10"/>
    </row>
    <row r="75" customFormat="false" ht="15.75" hidden="false" customHeight="true" outlineLevel="0" collapsed="false">
      <c r="A75" s="38"/>
      <c r="B75" s="18" t="str">
        <f aca="false">IF(OR($A75="",$B$3=""),"",ROUNDDOWN(($A75-$B$3)/7,0)+1)</f>
        <v/>
      </c>
      <c r="C75" s="40"/>
      <c r="D75" s="40"/>
      <c r="E75" s="40"/>
      <c r="F75" s="40"/>
      <c r="G75" s="40"/>
      <c r="H75" s="10"/>
    </row>
    <row r="76" customFormat="false" ht="15.75" hidden="false" customHeight="true" outlineLevel="0" collapsed="false">
      <c r="A76" s="38"/>
      <c r="B76" s="18" t="str">
        <f aca="false">IF(OR($A76="",$B$3=""),"",ROUNDDOWN(($A76-$B$3)/7,0)+1)</f>
        <v/>
      </c>
      <c r="C76" s="40"/>
      <c r="D76" s="40"/>
      <c r="E76" s="40"/>
      <c r="F76" s="40"/>
      <c r="G76" s="40"/>
      <c r="H76" s="10"/>
    </row>
    <row r="77" customFormat="false" ht="15.75" hidden="false" customHeight="true" outlineLevel="0" collapsed="false">
      <c r="A77" s="38"/>
      <c r="B77" s="18" t="str">
        <f aca="false">IF(OR($A77="",$B$3=""),"",ROUNDDOWN(($A77-$B$3)/7,0)+1)</f>
        <v/>
      </c>
      <c r="C77" s="40"/>
      <c r="D77" s="40"/>
      <c r="E77" s="40"/>
      <c r="F77" s="40"/>
      <c r="G77" s="40"/>
      <c r="H77" s="10"/>
    </row>
    <row r="78" customFormat="false" ht="15.75" hidden="false" customHeight="true" outlineLevel="0" collapsed="false">
      <c r="A78" s="38"/>
      <c r="B78" s="18" t="str">
        <f aca="false">IF(OR($A78="",$B$3=""),"",ROUNDDOWN(($A78-$B$3)/7,0)+1)</f>
        <v/>
      </c>
      <c r="C78" s="40"/>
      <c r="D78" s="40"/>
      <c r="E78" s="40"/>
      <c r="F78" s="40"/>
      <c r="G78" s="40"/>
      <c r="H78" s="10"/>
    </row>
    <row r="79" customFormat="false" ht="15.75" hidden="false" customHeight="true" outlineLevel="0" collapsed="false">
      <c r="A79" s="38"/>
      <c r="B79" s="18" t="str">
        <f aca="false">IF(OR($A79="",$B$3=""),"",ROUNDDOWN(($A79-$B$3)/7,0)+1)</f>
        <v/>
      </c>
      <c r="C79" s="40"/>
      <c r="D79" s="40"/>
      <c r="E79" s="40"/>
      <c r="F79" s="40"/>
      <c r="G79" s="40"/>
      <c r="H79" s="10"/>
    </row>
    <row r="80" customFormat="false" ht="15.75" hidden="false" customHeight="true" outlineLevel="0" collapsed="false">
      <c r="A80" s="38"/>
      <c r="B80" s="18" t="str">
        <f aca="false">IF(OR($A80="",$B$3=""),"",ROUNDDOWN(($A80-$B$3)/7,0)+1)</f>
        <v/>
      </c>
      <c r="C80" s="40"/>
      <c r="D80" s="40"/>
      <c r="E80" s="40"/>
      <c r="F80" s="40"/>
      <c r="G80" s="40"/>
      <c r="H80" s="10"/>
    </row>
    <row r="81" customFormat="false" ht="15.75" hidden="false" customHeight="true" outlineLevel="0" collapsed="false">
      <c r="A81" s="38"/>
      <c r="B81" s="18" t="str">
        <f aca="false">IF(OR($A81="",$B$3=""),"",ROUNDDOWN(($A81-$B$3)/7,0)+1)</f>
        <v/>
      </c>
      <c r="C81" s="40"/>
      <c r="D81" s="40"/>
      <c r="E81" s="40"/>
      <c r="F81" s="40"/>
      <c r="G81" s="40"/>
      <c r="H81" s="10"/>
    </row>
    <row r="82" customFormat="false" ht="15.75" hidden="false" customHeight="true" outlineLevel="0" collapsed="false">
      <c r="A82" s="38"/>
      <c r="B82" s="18" t="str">
        <f aca="false">IF(OR($A82="",$B$3=""),"",ROUNDDOWN(($A82-$B$3)/7,0)+1)</f>
        <v/>
      </c>
      <c r="C82" s="40"/>
      <c r="D82" s="40"/>
      <c r="E82" s="40"/>
      <c r="F82" s="40"/>
      <c r="G82" s="40"/>
      <c r="H82" s="10"/>
    </row>
    <row r="83" customFormat="false" ht="15.75" hidden="false" customHeight="true" outlineLevel="0" collapsed="false">
      <c r="A83" s="38"/>
      <c r="B83" s="18" t="str">
        <f aca="false">IF(OR($A83="",$B$3=""),"",ROUNDDOWN(($A83-$B$3)/7,0)+1)</f>
        <v/>
      </c>
      <c r="C83" s="40"/>
      <c r="D83" s="40"/>
      <c r="E83" s="40"/>
      <c r="F83" s="40"/>
      <c r="G83" s="40"/>
      <c r="H83" s="10"/>
    </row>
    <row r="84" customFormat="false" ht="15.75" hidden="false" customHeight="true" outlineLevel="0" collapsed="false">
      <c r="A84" s="38"/>
      <c r="B84" s="18" t="str">
        <f aca="false">IF(OR($A84="",$B$3=""),"",ROUNDDOWN(($A84-$B$3)/7,0)+1)</f>
        <v/>
      </c>
      <c r="C84" s="40"/>
      <c r="D84" s="40"/>
      <c r="E84" s="40"/>
      <c r="F84" s="40"/>
      <c r="G84" s="40"/>
      <c r="H84" s="10"/>
    </row>
    <row r="85" customFormat="false" ht="15.75" hidden="false" customHeight="true" outlineLevel="0" collapsed="false">
      <c r="A85" s="38"/>
      <c r="B85" s="18" t="str">
        <f aca="false">IF(OR($A85="",$B$3=""),"",ROUNDDOWN(($A85-$B$3)/7,0)+1)</f>
        <v/>
      </c>
      <c r="C85" s="40"/>
      <c r="D85" s="40"/>
      <c r="E85" s="40"/>
      <c r="F85" s="40"/>
      <c r="G85" s="40"/>
      <c r="H85" s="10"/>
    </row>
    <row r="86" customFormat="false" ht="15.75" hidden="false" customHeight="true" outlineLevel="0" collapsed="false">
      <c r="A86" s="38"/>
      <c r="B86" s="18" t="str">
        <f aca="false">IF(OR($A86="",$B$3=""),"",ROUNDDOWN(($A86-$B$3)/7,0)+1)</f>
        <v/>
      </c>
      <c r="C86" s="40"/>
      <c r="D86" s="40"/>
      <c r="E86" s="40"/>
      <c r="F86" s="40"/>
      <c r="G86" s="40"/>
      <c r="H86" s="10"/>
    </row>
    <row r="87" customFormat="false" ht="15.75" hidden="false" customHeight="true" outlineLevel="0" collapsed="false">
      <c r="A87" s="38"/>
      <c r="B87" s="18" t="str">
        <f aca="false">IF(OR($A87="",$B$3=""),"",ROUNDDOWN(($A87-$B$3)/7,0)+1)</f>
        <v/>
      </c>
      <c r="C87" s="40"/>
      <c r="D87" s="40"/>
      <c r="E87" s="40"/>
      <c r="F87" s="40"/>
      <c r="G87" s="40"/>
      <c r="H87" s="10"/>
    </row>
    <row r="88" customFormat="false" ht="15.75" hidden="false" customHeight="true" outlineLevel="0" collapsed="false">
      <c r="A88" s="38"/>
      <c r="B88" s="18" t="str">
        <f aca="false">IF(OR($A88="",$B$3=""),"",ROUNDDOWN(($A88-$B$3)/7,0)+1)</f>
        <v/>
      </c>
      <c r="C88" s="40"/>
      <c r="D88" s="40"/>
      <c r="E88" s="40"/>
      <c r="F88" s="40"/>
      <c r="G88" s="40"/>
      <c r="H88" s="10"/>
    </row>
    <row r="89" customFormat="false" ht="15.75" hidden="false" customHeight="true" outlineLevel="0" collapsed="false">
      <c r="A89" s="38"/>
      <c r="B89" s="18" t="str">
        <f aca="false">IF(OR($A89="",$B$3=""),"",ROUNDDOWN(($A89-$B$3)/7,0)+1)</f>
        <v/>
      </c>
      <c r="C89" s="40"/>
      <c r="D89" s="40"/>
      <c r="E89" s="40"/>
      <c r="F89" s="40"/>
      <c r="G89" s="40"/>
      <c r="H89" s="10"/>
    </row>
    <row r="90" customFormat="false" ht="15.75" hidden="false" customHeight="true" outlineLevel="0" collapsed="false">
      <c r="A90" s="38"/>
      <c r="B90" s="18" t="str">
        <f aca="false">IF(OR($A90="",$B$3=""),"",ROUNDDOWN(($A90-$B$3)/7,0)+1)</f>
        <v/>
      </c>
      <c r="C90" s="40"/>
      <c r="D90" s="40"/>
      <c r="E90" s="40"/>
      <c r="F90" s="40"/>
      <c r="G90" s="40"/>
      <c r="H90" s="10"/>
    </row>
    <row r="91" customFormat="false" ht="15.75" hidden="false" customHeight="true" outlineLevel="0" collapsed="false">
      <c r="A91" s="38"/>
      <c r="B91" s="18" t="str">
        <f aca="false">IF(OR($A91="",$B$3=""),"",ROUNDDOWN(($A91-$B$3)/7,0)+1)</f>
        <v/>
      </c>
      <c r="C91" s="40"/>
      <c r="D91" s="40"/>
      <c r="E91" s="40"/>
      <c r="F91" s="40"/>
      <c r="G91" s="40"/>
      <c r="H91" s="10"/>
    </row>
    <row r="92" customFormat="false" ht="15.75" hidden="false" customHeight="true" outlineLevel="0" collapsed="false">
      <c r="A92" s="38"/>
      <c r="B92" s="18" t="str">
        <f aca="false">IF(OR($A92="",$B$3=""),"",ROUNDDOWN(($A92-$B$3)/7,0)+1)</f>
        <v/>
      </c>
      <c r="C92" s="40"/>
      <c r="D92" s="40"/>
      <c r="E92" s="40"/>
      <c r="F92" s="40"/>
      <c r="G92" s="40"/>
      <c r="H92" s="10"/>
    </row>
    <row r="93" customFormat="false" ht="15.75" hidden="false" customHeight="true" outlineLevel="0" collapsed="false">
      <c r="A93" s="38"/>
      <c r="B93" s="18" t="str">
        <f aca="false">IF(OR($A93="",$B$3=""),"",ROUNDDOWN(($A93-$B$3)/7,0)+1)</f>
        <v/>
      </c>
      <c r="C93" s="40"/>
      <c r="D93" s="40"/>
      <c r="E93" s="40"/>
      <c r="F93" s="40"/>
      <c r="G93" s="40"/>
      <c r="H93" s="10"/>
    </row>
    <row r="94" customFormat="false" ht="15.75" hidden="false" customHeight="true" outlineLevel="0" collapsed="false">
      <c r="A94" s="38"/>
      <c r="B94" s="18" t="str">
        <f aca="false">IF(OR($A94="",$B$3=""),"",ROUNDDOWN(($A94-$B$3)/7,0)+1)</f>
        <v/>
      </c>
      <c r="C94" s="40"/>
      <c r="D94" s="40"/>
      <c r="E94" s="40"/>
      <c r="F94" s="40"/>
      <c r="G94" s="40"/>
      <c r="H94" s="10"/>
    </row>
    <row r="95" customFormat="false" ht="15.75" hidden="false" customHeight="true" outlineLevel="0" collapsed="false">
      <c r="A95" s="38"/>
      <c r="B95" s="18" t="str">
        <f aca="false">IF(OR($A95="",$B$3=""),"",ROUNDDOWN(($A95-$B$3)/7,0)+1)</f>
        <v/>
      </c>
      <c r="C95" s="40"/>
      <c r="D95" s="40"/>
      <c r="E95" s="40"/>
      <c r="F95" s="40"/>
      <c r="G95" s="40"/>
      <c r="H95" s="10"/>
    </row>
    <row r="96" customFormat="false" ht="15.75" hidden="false" customHeight="true" outlineLevel="0" collapsed="false">
      <c r="A96" s="38"/>
      <c r="B96" s="18" t="str">
        <f aca="false">IF(OR($A96="",$B$3=""),"",ROUNDDOWN(($A96-$B$3)/7,0)+1)</f>
        <v/>
      </c>
      <c r="C96" s="40"/>
      <c r="D96" s="40"/>
      <c r="E96" s="40"/>
      <c r="F96" s="40"/>
      <c r="G96" s="40"/>
      <c r="H96" s="10"/>
    </row>
    <row r="97" customFormat="false" ht="15.75" hidden="false" customHeight="true" outlineLevel="0" collapsed="false">
      <c r="A97" s="38"/>
      <c r="B97" s="18" t="str">
        <f aca="false">IF(OR($A97="",$B$3=""),"",ROUNDDOWN(($A97-$B$3)/7,0)+1)</f>
        <v/>
      </c>
      <c r="C97" s="40"/>
      <c r="D97" s="40"/>
      <c r="E97" s="40"/>
      <c r="F97" s="40"/>
      <c r="G97" s="40"/>
      <c r="H97" s="10"/>
    </row>
    <row r="98" customFormat="false" ht="15.75" hidden="false" customHeight="true" outlineLevel="0" collapsed="false">
      <c r="A98" s="38"/>
      <c r="B98" s="18" t="str">
        <f aca="false">IF(OR($A98="",$B$3=""),"",ROUNDDOWN(($A98-$B$3)/7,0)+1)</f>
        <v/>
      </c>
      <c r="C98" s="40"/>
      <c r="D98" s="40"/>
      <c r="E98" s="40"/>
      <c r="F98" s="40"/>
      <c r="G98" s="40"/>
      <c r="H98" s="10"/>
    </row>
    <row r="99" customFormat="false" ht="15.75" hidden="false" customHeight="true" outlineLevel="0" collapsed="false">
      <c r="A99" s="38"/>
      <c r="B99" s="18" t="str">
        <f aca="false">IF(OR($A99="",$B$3=""),"",ROUNDDOWN(($A99-$B$3)/7,0)+1)</f>
        <v/>
      </c>
      <c r="C99" s="40"/>
      <c r="D99" s="40"/>
      <c r="E99" s="40"/>
      <c r="F99" s="40"/>
      <c r="G99" s="40"/>
      <c r="H99" s="10"/>
    </row>
    <row r="100" customFormat="false" ht="15.75" hidden="false" customHeight="true" outlineLevel="0" collapsed="false">
      <c r="A100" s="38"/>
      <c r="B100" s="18" t="str">
        <f aca="false">IF(OR($A100="",$B$3=""),"",ROUNDDOWN(($A100-$B$3)/7,0)+1)</f>
        <v/>
      </c>
      <c r="C100" s="40"/>
      <c r="D100" s="40"/>
      <c r="E100" s="40"/>
      <c r="F100" s="40"/>
      <c r="G100" s="40"/>
      <c r="H100" s="10"/>
    </row>
    <row r="101" customFormat="false" ht="15.75" hidden="false" customHeight="true" outlineLevel="0" collapsed="false">
      <c r="A101" s="38"/>
      <c r="B101" s="18" t="str">
        <f aca="false">IF(OR($A101="",$B$3=""),"",ROUNDDOWN(($A101-$B$3)/7,0)+1)</f>
        <v/>
      </c>
      <c r="C101" s="40"/>
      <c r="D101" s="40"/>
      <c r="E101" s="40"/>
      <c r="F101" s="40"/>
      <c r="G101" s="40"/>
      <c r="H101" s="10"/>
    </row>
    <row r="102" customFormat="false" ht="15.75" hidden="false" customHeight="true" outlineLevel="0" collapsed="false">
      <c r="A102" s="38"/>
      <c r="B102" s="18" t="str">
        <f aca="false">IF(OR($A102="",$B$3=""),"",ROUNDDOWN(($A102-$B$3)/7,0)+1)</f>
        <v/>
      </c>
      <c r="C102" s="40"/>
      <c r="D102" s="40"/>
      <c r="E102" s="40"/>
      <c r="F102" s="40"/>
      <c r="G102" s="40"/>
      <c r="H102" s="10"/>
    </row>
    <row r="103" customFormat="false" ht="15.75" hidden="false" customHeight="true" outlineLevel="0" collapsed="false">
      <c r="A103" s="38"/>
      <c r="B103" s="18" t="str">
        <f aca="false">IF(OR($A103="",$B$3=""),"",ROUNDDOWN(($A103-$B$3)/7,0)+1)</f>
        <v/>
      </c>
      <c r="C103" s="40"/>
      <c r="D103" s="40"/>
      <c r="E103" s="40"/>
      <c r="F103" s="40"/>
      <c r="G103" s="40"/>
      <c r="H103" s="10"/>
    </row>
    <row r="104" customFormat="false" ht="15.75" hidden="false" customHeight="true" outlineLevel="0" collapsed="false">
      <c r="A104" s="38"/>
      <c r="B104" s="18" t="str">
        <f aca="false">IF(OR($A104="",$B$3=""),"",ROUNDDOWN(($A104-$B$3)/7,0)+1)</f>
        <v/>
      </c>
      <c r="C104" s="40"/>
      <c r="D104" s="40"/>
      <c r="E104" s="40"/>
      <c r="F104" s="40"/>
      <c r="G104" s="40"/>
      <c r="H104" s="10"/>
    </row>
    <row r="105" customFormat="false" ht="15.75" hidden="false" customHeight="true" outlineLevel="0" collapsed="false">
      <c r="A105" s="38"/>
      <c r="B105" s="18" t="str">
        <f aca="false">IF(OR($A105="",$B$3=""),"",ROUNDDOWN(($A105-$B$3)/7,0)+1)</f>
        <v/>
      </c>
      <c r="C105" s="40"/>
      <c r="D105" s="40"/>
      <c r="E105" s="40"/>
      <c r="F105" s="40"/>
      <c r="G105" s="40"/>
      <c r="H105" s="10"/>
    </row>
    <row r="106" customFormat="false" ht="15.75" hidden="false" customHeight="true" outlineLevel="0" collapsed="false">
      <c r="A106" s="38"/>
      <c r="B106" s="18" t="str">
        <f aca="false">IF(OR($A106="",$B$3=""),"",ROUNDDOWN(($A106-$B$3)/7,0)+1)</f>
        <v/>
      </c>
      <c r="C106" s="40"/>
      <c r="D106" s="40"/>
      <c r="E106" s="40"/>
      <c r="F106" s="40"/>
      <c r="G106" s="40"/>
      <c r="H106" s="10"/>
    </row>
    <row r="107" customFormat="false" ht="15.75" hidden="false" customHeight="true" outlineLevel="0" collapsed="false">
      <c r="A107" s="38"/>
      <c r="B107" s="18" t="str">
        <f aca="false">IF(OR($A107="",$B$3=""),"",ROUNDDOWN(($A107-$B$3)/7,0)+1)</f>
        <v/>
      </c>
      <c r="C107" s="40"/>
      <c r="D107" s="40"/>
      <c r="E107" s="40"/>
      <c r="F107" s="40"/>
      <c r="G107" s="40"/>
      <c r="H107" s="10"/>
    </row>
    <row r="108" customFormat="false" ht="15.75" hidden="false" customHeight="true" outlineLevel="0" collapsed="false">
      <c r="A108" s="38"/>
      <c r="B108" s="18" t="str">
        <f aca="false">IF(OR($A108="",$B$3=""),"",ROUNDDOWN(($A108-$B$3)/7,0)+1)</f>
        <v/>
      </c>
      <c r="C108" s="40"/>
      <c r="D108" s="40"/>
      <c r="E108" s="40"/>
      <c r="F108" s="40"/>
      <c r="G108" s="40"/>
      <c r="H108" s="10"/>
    </row>
    <row r="109" customFormat="false" ht="15.75" hidden="false" customHeight="true" outlineLevel="0" collapsed="false">
      <c r="A109" s="38"/>
      <c r="B109" s="18" t="str">
        <f aca="false">IF(OR($A109="",$B$3=""),"",ROUNDDOWN(($A109-$B$3)/7,0)+1)</f>
        <v/>
      </c>
      <c r="C109" s="40"/>
      <c r="D109" s="40"/>
      <c r="E109" s="40"/>
      <c r="F109" s="40"/>
      <c r="G109" s="40"/>
      <c r="H109" s="10"/>
    </row>
    <row r="110" customFormat="false" ht="15.75" hidden="false" customHeight="true" outlineLevel="0" collapsed="false">
      <c r="A110" s="38"/>
      <c r="B110" s="18" t="str">
        <f aca="false">IF(OR($A110="",$B$3=""),"",ROUNDDOWN(($A110-$B$3)/7,0)+1)</f>
        <v/>
      </c>
      <c r="C110" s="40"/>
      <c r="D110" s="40"/>
      <c r="E110" s="40"/>
      <c r="F110" s="40"/>
      <c r="G110" s="40"/>
      <c r="H110" s="10"/>
    </row>
    <row r="111" customFormat="false" ht="15.75" hidden="false" customHeight="true" outlineLevel="0" collapsed="false">
      <c r="A111" s="38"/>
      <c r="B111" s="18" t="str">
        <f aca="false">IF(OR($A111="",$B$3=""),"",ROUNDDOWN(($A111-$B$3)/7,0)+1)</f>
        <v/>
      </c>
      <c r="C111" s="40"/>
      <c r="D111" s="40"/>
      <c r="E111" s="40"/>
      <c r="F111" s="40"/>
      <c r="G111" s="40"/>
      <c r="H111" s="10"/>
    </row>
    <row r="112" customFormat="false" ht="15.75" hidden="false" customHeight="true" outlineLevel="0" collapsed="false">
      <c r="A112" s="38"/>
      <c r="B112" s="18" t="str">
        <f aca="false">IF(OR($A112="",$B$3=""),"",ROUNDDOWN(($A112-$B$3)/7,0)+1)</f>
        <v/>
      </c>
      <c r="C112" s="40"/>
      <c r="D112" s="40"/>
      <c r="E112" s="40"/>
      <c r="F112" s="40"/>
      <c r="G112" s="40"/>
      <c r="H112" s="10"/>
    </row>
    <row r="113" customFormat="false" ht="15.75" hidden="false" customHeight="true" outlineLevel="0" collapsed="false">
      <c r="A113" s="38"/>
      <c r="B113" s="18" t="str">
        <f aca="false">IF(OR($A113="",$B$3=""),"",ROUNDDOWN(($A113-$B$3)/7,0)+1)</f>
        <v/>
      </c>
      <c r="C113" s="40"/>
      <c r="D113" s="40"/>
      <c r="E113" s="40"/>
      <c r="F113" s="40"/>
      <c r="G113" s="40"/>
      <c r="H113" s="10"/>
    </row>
    <row r="114" customFormat="false" ht="15.75" hidden="false" customHeight="true" outlineLevel="0" collapsed="false">
      <c r="A114" s="38"/>
      <c r="B114" s="18" t="str">
        <f aca="false">IF(OR($A114="",$B$3=""),"",ROUNDDOWN(($A114-$B$3)/7,0)+1)</f>
        <v/>
      </c>
      <c r="C114" s="40"/>
      <c r="D114" s="40"/>
      <c r="E114" s="40"/>
      <c r="F114" s="40"/>
      <c r="G114" s="40"/>
      <c r="H114" s="10"/>
    </row>
    <row r="115" customFormat="false" ht="15.75" hidden="false" customHeight="true" outlineLevel="0" collapsed="false">
      <c r="A115" s="38"/>
      <c r="B115" s="18" t="str">
        <f aca="false">IF(OR($A115="",$B$3=""),"",ROUNDDOWN(($A115-$B$3)/7,0)+1)</f>
        <v/>
      </c>
      <c r="C115" s="40"/>
      <c r="D115" s="40"/>
      <c r="E115" s="40"/>
      <c r="F115" s="40"/>
      <c r="G115" s="40"/>
      <c r="H115" s="10"/>
    </row>
    <row r="116" customFormat="false" ht="15.75" hidden="false" customHeight="true" outlineLevel="0" collapsed="false">
      <c r="A116" s="38"/>
      <c r="B116" s="18" t="str">
        <f aca="false">IF(OR($A116="",$B$3=""),"",ROUNDDOWN(($A116-$B$3)/7,0)+1)</f>
        <v/>
      </c>
      <c r="C116" s="40"/>
      <c r="D116" s="40"/>
      <c r="E116" s="40"/>
      <c r="F116" s="40"/>
      <c r="G116" s="40"/>
      <c r="H116" s="10"/>
    </row>
    <row r="117" customFormat="false" ht="15.75" hidden="false" customHeight="true" outlineLevel="0" collapsed="false">
      <c r="A117" s="38"/>
      <c r="B117" s="18" t="str">
        <f aca="false">IF(OR($A117="",$B$3=""),"",ROUNDDOWN(($A117-$B$3)/7,0)+1)</f>
        <v/>
      </c>
      <c r="C117" s="40"/>
      <c r="D117" s="40"/>
      <c r="E117" s="40"/>
      <c r="F117" s="40"/>
      <c r="G117" s="40"/>
      <c r="H117" s="10"/>
    </row>
    <row r="118" customFormat="false" ht="15.75" hidden="false" customHeight="true" outlineLevel="0" collapsed="false">
      <c r="A118" s="38"/>
      <c r="B118" s="18" t="str">
        <f aca="false">IF(OR($A118="",$B$3=""),"",ROUNDDOWN(($A118-$B$3)/7,0)+1)</f>
        <v/>
      </c>
      <c r="C118" s="40"/>
      <c r="D118" s="40"/>
      <c r="E118" s="40"/>
      <c r="F118" s="40"/>
      <c r="G118" s="40"/>
      <c r="H118" s="10"/>
    </row>
    <row r="119" customFormat="false" ht="15.75" hidden="false" customHeight="true" outlineLevel="0" collapsed="false">
      <c r="A119" s="38"/>
      <c r="B119" s="18" t="str">
        <f aca="false">IF(OR($A119="",$B$3=""),"",ROUNDDOWN(($A119-$B$3)/7,0)+1)</f>
        <v/>
      </c>
      <c r="C119" s="40"/>
      <c r="D119" s="40"/>
      <c r="E119" s="40"/>
      <c r="F119" s="40"/>
      <c r="G119" s="40"/>
      <c r="H119" s="10"/>
    </row>
    <row r="120" customFormat="false" ht="15.75" hidden="false" customHeight="true" outlineLevel="0" collapsed="false">
      <c r="A120" s="38"/>
      <c r="B120" s="18" t="str">
        <f aca="false">IF(OR($A120="",$B$3=""),"",ROUNDDOWN(($A120-$B$3)/7,0)+1)</f>
        <v/>
      </c>
      <c r="C120" s="40"/>
      <c r="D120" s="40"/>
      <c r="E120" s="40"/>
      <c r="F120" s="40"/>
      <c r="G120" s="40"/>
      <c r="H120" s="10"/>
    </row>
    <row r="121" customFormat="false" ht="15.75" hidden="false" customHeight="true" outlineLevel="0" collapsed="false">
      <c r="A121" s="38"/>
      <c r="B121" s="18" t="str">
        <f aca="false">IF(OR($A121="",$B$3=""),"",ROUNDDOWN(($A121-$B$3)/7,0)+1)</f>
        <v/>
      </c>
      <c r="C121" s="40"/>
      <c r="D121" s="40"/>
      <c r="E121" s="40"/>
      <c r="F121" s="40"/>
      <c r="G121" s="40"/>
      <c r="H121" s="10"/>
    </row>
    <row r="122" customFormat="false" ht="15.75" hidden="false" customHeight="true" outlineLevel="0" collapsed="false">
      <c r="A122" s="38"/>
      <c r="B122" s="18" t="str">
        <f aca="false">IF(OR($A122="",$B$3=""),"",ROUNDDOWN(($A122-$B$3)/7,0)+1)</f>
        <v/>
      </c>
      <c r="C122" s="40"/>
      <c r="D122" s="40"/>
      <c r="E122" s="40"/>
      <c r="F122" s="40"/>
      <c r="G122" s="40"/>
      <c r="H122" s="10"/>
    </row>
    <row r="123" customFormat="false" ht="15.75" hidden="false" customHeight="true" outlineLevel="0" collapsed="false">
      <c r="A123" s="38"/>
      <c r="B123" s="18" t="str">
        <f aca="false">IF(OR($A123="",$B$3=""),"",ROUNDDOWN(($A123-$B$3)/7,0)+1)</f>
        <v/>
      </c>
      <c r="C123" s="40"/>
      <c r="D123" s="40"/>
      <c r="E123" s="40"/>
      <c r="F123" s="40"/>
      <c r="G123" s="40"/>
      <c r="H123" s="10"/>
    </row>
    <row r="124" customFormat="false" ht="15.75" hidden="false" customHeight="true" outlineLevel="0" collapsed="false">
      <c r="A124" s="38"/>
      <c r="B124" s="18" t="str">
        <f aca="false">IF(OR($A124="",$B$3=""),"",ROUNDDOWN(($A124-$B$3)/7,0)+1)</f>
        <v/>
      </c>
      <c r="C124" s="40"/>
      <c r="D124" s="40"/>
      <c r="E124" s="40"/>
      <c r="F124" s="40"/>
      <c r="G124" s="40"/>
      <c r="H124" s="10"/>
    </row>
    <row r="125" customFormat="false" ht="15.75" hidden="false" customHeight="true" outlineLevel="0" collapsed="false">
      <c r="A125" s="38"/>
      <c r="B125" s="18" t="str">
        <f aca="false">IF(OR($A125="",$B$3=""),"",ROUNDDOWN(($A125-$B$3)/7,0)+1)</f>
        <v/>
      </c>
      <c r="C125" s="40"/>
      <c r="D125" s="40"/>
      <c r="E125" s="40"/>
      <c r="F125" s="40"/>
      <c r="G125" s="40"/>
      <c r="H125" s="10"/>
    </row>
    <row r="126" customFormat="false" ht="15.75" hidden="false" customHeight="true" outlineLevel="0" collapsed="false">
      <c r="A126" s="38"/>
      <c r="B126" s="18" t="str">
        <f aca="false">IF(OR($A126="",$B$3=""),"",ROUNDDOWN(($A126-$B$3)/7,0)+1)</f>
        <v/>
      </c>
      <c r="C126" s="40"/>
      <c r="D126" s="40"/>
      <c r="E126" s="40"/>
      <c r="F126" s="40"/>
      <c r="G126" s="40"/>
      <c r="H126" s="10"/>
    </row>
    <row r="127" customFormat="false" ht="15.75" hidden="false" customHeight="true" outlineLevel="0" collapsed="false">
      <c r="A127" s="38"/>
      <c r="B127" s="18" t="str">
        <f aca="false">IF(OR($A127="",$B$3=""),"",ROUNDDOWN(($A127-$B$3)/7,0)+1)</f>
        <v/>
      </c>
      <c r="C127" s="40"/>
      <c r="D127" s="40"/>
      <c r="E127" s="40"/>
      <c r="F127" s="40"/>
      <c r="G127" s="40"/>
      <c r="H127" s="10"/>
    </row>
    <row r="128" customFormat="false" ht="15.75" hidden="false" customHeight="true" outlineLevel="0" collapsed="false">
      <c r="A128" s="38"/>
      <c r="B128" s="18" t="str">
        <f aca="false">IF(OR($A128="",$B$3=""),"",ROUNDDOWN(($A128-$B$3)/7,0)+1)</f>
        <v/>
      </c>
      <c r="C128" s="40"/>
      <c r="D128" s="40"/>
      <c r="E128" s="40"/>
      <c r="F128" s="40"/>
      <c r="G128" s="40"/>
      <c r="H128" s="10"/>
    </row>
    <row r="129" customFormat="false" ht="15.75" hidden="false" customHeight="true" outlineLevel="0" collapsed="false">
      <c r="A129" s="38"/>
      <c r="B129" s="18" t="str">
        <f aca="false">IF(OR($A129="",$B$3=""),"",ROUNDDOWN(($A129-$B$3)/7,0)+1)</f>
        <v/>
      </c>
      <c r="C129" s="40"/>
      <c r="D129" s="40"/>
      <c r="E129" s="40"/>
      <c r="F129" s="40"/>
      <c r="G129" s="40"/>
      <c r="H129" s="10"/>
    </row>
    <row r="130" customFormat="false" ht="15.75" hidden="false" customHeight="true" outlineLevel="0" collapsed="false">
      <c r="A130" s="38"/>
      <c r="B130" s="18" t="str">
        <f aca="false">IF(OR($A130="",$B$3=""),"",ROUNDDOWN(($A130-$B$3)/7,0)+1)</f>
        <v/>
      </c>
      <c r="C130" s="40"/>
      <c r="D130" s="40"/>
      <c r="E130" s="40"/>
      <c r="F130" s="40"/>
      <c r="G130" s="40"/>
      <c r="H130" s="10"/>
    </row>
    <row r="131" customFormat="false" ht="15.75" hidden="false" customHeight="true" outlineLevel="0" collapsed="false">
      <c r="A131" s="38"/>
      <c r="B131" s="18" t="str">
        <f aca="false">IF(OR($A131="",$B$3=""),"",ROUNDDOWN(($A131-$B$3)/7,0)+1)</f>
        <v/>
      </c>
      <c r="C131" s="40"/>
      <c r="D131" s="40"/>
      <c r="E131" s="40"/>
      <c r="F131" s="40"/>
      <c r="G131" s="40"/>
      <c r="H131" s="10"/>
    </row>
    <row r="132" customFormat="false" ht="15.75" hidden="false" customHeight="true" outlineLevel="0" collapsed="false">
      <c r="A132" s="38"/>
      <c r="B132" s="18" t="str">
        <f aca="false">IF(OR($A132="",$B$3=""),"",ROUNDDOWN(($A132-$B$3)/7,0)+1)</f>
        <v/>
      </c>
      <c r="C132" s="40"/>
      <c r="D132" s="40"/>
      <c r="E132" s="40"/>
      <c r="F132" s="40"/>
      <c r="G132" s="40"/>
      <c r="H132" s="10"/>
    </row>
    <row r="133" customFormat="false" ht="15.75" hidden="false" customHeight="true" outlineLevel="0" collapsed="false">
      <c r="A133" s="38"/>
      <c r="B133" s="18" t="str">
        <f aca="false">IF(OR($A133="",$B$3=""),"",ROUNDDOWN(($A133-$B$3)/7,0)+1)</f>
        <v/>
      </c>
      <c r="C133" s="40"/>
      <c r="D133" s="40"/>
      <c r="E133" s="40"/>
      <c r="F133" s="40"/>
      <c r="G133" s="40"/>
      <c r="H133" s="10"/>
    </row>
    <row r="134" customFormat="false" ht="15.75" hidden="false" customHeight="true" outlineLevel="0" collapsed="false">
      <c r="A134" s="38"/>
      <c r="B134" s="18" t="str">
        <f aca="false">IF(OR($A134="",$B$3=""),"",ROUNDDOWN(($A134-$B$3)/7,0)+1)</f>
        <v/>
      </c>
      <c r="C134" s="40"/>
      <c r="D134" s="40"/>
      <c r="E134" s="40"/>
      <c r="F134" s="40"/>
      <c r="G134" s="40"/>
      <c r="H134" s="10"/>
    </row>
    <row r="135" customFormat="false" ht="15.75" hidden="false" customHeight="true" outlineLevel="0" collapsed="false">
      <c r="A135" s="38"/>
      <c r="B135" s="18" t="str">
        <f aca="false">IF(OR($A135="",$B$3=""),"",ROUNDDOWN(($A135-$B$3)/7,0)+1)</f>
        <v/>
      </c>
      <c r="C135" s="40"/>
      <c r="D135" s="40"/>
      <c r="E135" s="40"/>
      <c r="F135" s="40"/>
      <c r="G135" s="40"/>
      <c r="H135" s="10"/>
    </row>
    <row r="136" customFormat="false" ht="15.75" hidden="false" customHeight="true" outlineLevel="0" collapsed="false">
      <c r="A136" s="38"/>
      <c r="B136" s="18" t="str">
        <f aca="false">IF(OR($A136="",$B$3=""),"",ROUNDDOWN(($A136-$B$3)/7,0)+1)</f>
        <v/>
      </c>
      <c r="C136" s="40"/>
      <c r="D136" s="40"/>
      <c r="E136" s="40"/>
      <c r="F136" s="40"/>
      <c r="G136" s="40"/>
      <c r="H136" s="10"/>
    </row>
    <row r="137" customFormat="false" ht="15.75" hidden="false" customHeight="true" outlineLevel="0" collapsed="false">
      <c r="A137" s="38"/>
      <c r="B137" s="18" t="str">
        <f aca="false">IF(OR($A137="",$B$3=""),"",ROUNDDOWN(($A137-$B$3)/7,0)+1)</f>
        <v/>
      </c>
      <c r="C137" s="40"/>
      <c r="D137" s="40"/>
      <c r="E137" s="40"/>
      <c r="F137" s="40"/>
      <c r="G137" s="40"/>
      <c r="H137" s="10"/>
    </row>
    <row r="138" customFormat="false" ht="15.75" hidden="false" customHeight="true" outlineLevel="0" collapsed="false">
      <c r="A138" s="38"/>
      <c r="B138" s="18" t="str">
        <f aca="false">IF(OR($A138="",$B$3=""),"",ROUNDDOWN(($A138-$B$3)/7,0)+1)</f>
        <v/>
      </c>
      <c r="C138" s="40"/>
      <c r="D138" s="40"/>
      <c r="E138" s="40"/>
      <c r="F138" s="40"/>
      <c r="G138" s="40"/>
      <c r="H138" s="10"/>
    </row>
    <row r="139" customFormat="false" ht="15.75" hidden="false" customHeight="true" outlineLevel="0" collapsed="false">
      <c r="A139" s="38"/>
      <c r="B139" s="18" t="str">
        <f aca="false">IF(OR($A139="",$B$3=""),"",ROUNDDOWN(($A139-$B$3)/7,0)+1)</f>
        <v/>
      </c>
      <c r="C139" s="40"/>
      <c r="D139" s="40"/>
      <c r="E139" s="40"/>
      <c r="F139" s="40"/>
      <c r="G139" s="40"/>
      <c r="H139" s="10"/>
    </row>
    <row r="140" customFormat="false" ht="15.75" hidden="false" customHeight="true" outlineLevel="0" collapsed="false">
      <c r="A140" s="38"/>
      <c r="B140" s="18" t="str">
        <f aca="false">IF(OR($A140="",$B$3=""),"",ROUNDDOWN(($A140-$B$3)/7,0)+1)</f>
        <v/>
      </c>
      <c r="C140" s="40"/>
      <c r="D140" s="40"/>
      <c r="E140" s="40"/>
      <c r="F140" s="40"/>
      <c r="G140" s="40"/>
      <c r="H140" s="10"/>
    </row>
    <row r="141" customFormat="false" ht="15.75" hidden="false" customHeight="true" outlineLevel="0" collapsed="false">
      <c r="A141" s="38"/>
      <c r="B141" s="18" t="str">
        <f aca="false">IF(OR($A141="",$B$3=""),"",ROUNDDOWN(($A141-$B$3)/7,0)+1)</f>
        <v/>
      </c>
      <c r="C141" s="40"/>
      <c r="D141" s="40"/>
      <c r="E141" s="40"/>
      <c r="F141" s="40"/>
      <c r="G141" s="40"/>
      <c r="H141" s="10"/>
    </row>
    <row r="142" customFormat="false" ht="15.75" hidden="false" customHeight="true" outlineLevel="0" collapsed="false">
      <c r="A142" s="38"/>
      <c r="B142" s="18" t="str">
        <f aca="false">IF(OR($A142="",$B$3=""),"",ROUNDDOWN(($A142-$B$3)/7,0)+1)</f>
        <v/>
      </c>
      <c r="C142" s="40"/>
      <c r="D142" s="40"/>
      <c r="E142" s="40"/>
      <c r="F142" s="40"/>
      <c r="G142" s="40"/>
      <c r="H142" s="10"/>
    </row>
    <row r="143" customFormat="false" ht="15.75" hidden="false" customHeight="true" outlineLevel="0" collapsed="false">
      <c r="A143" s="38"/>
      <c r="B143" s="18" t="str">
        <f aca="false">IF(OR($A143="",$B$3=""),"",ROUNDDOWN(($A143-$B$3)/7,0)+1)</f>
        <v/>
      </c>
      <c r="C143" s="40"/>
      <c r="D143" s="40"/>
      <c r="E143" s="40"/>
      <c r="F143" s="40"/>
      <c r="G143" s="40"/>
      <c r="H143" s="10"/>
    </row>
    <row r="144" customFormat="false" ht="15.75" hidden="false" customHeight="true" outlineLevel="0" collapsed="false">
      <c r="A144" s="38"/>
      <c r="B144" s="18" t="str">
        <f aca="false">IF(OR($A144="",$B$3=""),"",ROUNDDOWN(($A144-$B$3)/7,0)+1)</f>
        <v/>
      </c>
      <c r="C144" s="40"/>
      <c r="D144" s="40"/>
      <c r="E144" s="40"/>
      <c r="F144" s="40"/>
      <c r="G144" s="40"/>
      <c r="H144" s="10"/>
    </row>
    <row r="145" customFormat="false" ht="15.75" hidden="false" customHeight="true" outlineLevel="0" collapsed="false">
      <c r="A145" s="38"/>
      <c r="B145" s="18" t="str">
        <f aca="false">IF(OR($A145="",$B$3=""),"",ROUNDDOWN(($A145-$B$3)/7,0)+1)</f>
        <v/>
      </c>
      <c r="C145" s="40"/>
      <c r="D145" s="40"/>
      <c r="E145" s="40"/>
      <c r="F145" s="40"/>
      <c r="G145" s="40"/>
      <c r="H145" s="10"/>
    </row>
    <row r="146" customFormat="false" ht="15.75" hidden="false" customHeight="true" outlineLevel="0" collapsed="false">
      <c r="A146" s="38"/>
      <c r="B146" s="18" t="str">
        <f aca="false">IF(OR($A146="",$B$3=""),"",ROUNDDOWN(($A146-$B$3)/7,0)+1)</f>
        <v/>
      </c>
      <c r="C146" s="40"/>
      <c r="D146" s="40"/>
      <c r="E146" s="40"/>
      <c r="F146" s="40"/>
      <c r="G146" s="40"/>
      <c r="H146" s="10"/>
    </row>
    <row r="147" customFormat="false" ht="15.75" hidden="false" customHeight="true" outlineLevel="0" collapsed="false">
      <c r="A147" s="38"/>
      <c r="B147" s="18" t="str">
        <f aca="false">IF(OR($A147="",$B$3=""),"",ROUNDDOWN(($A147-$B$3)/7,0)+1)</f>
        <v/>
      </c>
      <c r="C147" s="40"/>
      <c r="D147" s="40"/>
      <c r="E147" s="40"/>
      <c r="F147" s="40"/>
      <c r="G147" s="40"/>
      <c r="H147" s="10"/>
    </row>
    <row r="148" customFormat="false" ht="15.75" hidden="false" customHeight="true" outlineLevel="0" collapsed="false">
      <c r="A148" s="38"/>
      <c r="B148" s="18" t="str">
        <f aca="false">IF(OR($A148="",$B$3=""),"",ROUNDDOWN(($A148-$B$3)/7,0)+1)</f>
        <v/>
      </c>
      <c r="C148" s="40"/>
      <c r="D148" s="40"/>
      <c r="E148" s="40"/>
      <c r="F148" s="40"/>
      <c r="G148" s="40"/>
      <c r="H148" s="10"/>
    </row>
    <row r="149" customFormat="false" ht="15.75" hidden="false" customHeight="true" outlineLevel="0" collapsed="false">
      <c r="A149" s="38"/>
      <c r="B149" s="18" t="str">
        <f aca="false">IF(OR($A149="",$B$3=""),"",ROUNDDOWN(($A149-$B$3)/7,0)+1)</f>
        <v/>
      </c>
      <c r="C149" s="40"/>
      <c r="D149" s="40"/>
      <c r="E149" s="40"/>
      <c r="F149" s="40"/>
      <c r="G149" s="40"/>
      <c r="H149" s="10"/>
    </row>
    <row r="150" customFormat="false" ht="15.75" hidden="false" customHeight="true" outlineLevel="0" collapsed="false">
      <c r="A150" s="38"/>
      <c r="B150" s="18" t="str">
        <f aca="false">IF(OR($A150="",$B$3=""),"",ROUNDDOWN(($A150-$B$3)/7,0)+1)</f>
        <v/>
      </c>
      <c r="C150" s="40"/>
      <c r="D150" s="40"/>
      <c r="E150" s="40"/>
      <c r="F150" s="40"/>
      <c r="G150" s="40"/>
      <c r="H150" s="10"/>
    </row>
    <row r="151" customFormat="false" ht="15.75" hidden="false" customHeight="true" outlineLevel="0" collapsed="false">
      <c r="A151" s="38"/>
      <c r="B151" s="18" t="str">
        <f aca="false">IF(OR($A151="",$B$3=""),"",ROUNDDOWN(($A151-$B$3)/7,0)+1)</f>
        <v/>
      </c>
      <c r="C151" s="40"/>
      <c r="D151" s="40"/>
      <c r="E151" s="40"/>
      <c r="F151" s="40"/>
      <c r="G151" s="40"/>
      <c r="H151" s="10"/>
    </row>
    <row r="152" customFormat="false" ht="15.75" hidden="false" customHeight="true" outlineLevel="0" collapsed="false">
      <c r="A152" s="38"/>
      <c r="B152" s="18" t="str">
        <f aca="false">IF(OR($A152="",$B$3=""),"",ROUNDDOWN(($A152-$B$3)/7,0)+1)</f>
        <v/>
      </c>
      <c r="C152" s="40"/>
      <c r="D152" s="40"/>
      <c r="E152" s="40"/>
      <c r="F152" s="40"/>
      <c r="G152" s="40"/>
      <c r="H152" s="10"/>
    </row>
    <row r="153" customFormat="false" ht="15.75" hidden="false" customHeight="true" outlineLevel="0" collapsed="false">
      <c r="A153" s="38"/>
      <c r="B153" s="18" t="str">
        <f aca="false">IF(OR($A153="",$B$3=""),"",ROUNDDOWN(($A153-$B$3)/7,0)+1)</f>
        <v/>
      </c>
      <c r="C153" s="40"/>
      <c r="D153" s="40"/>
      <c r="E153" s="40"/>
      <c r="F153" s="40"/>
      <c r="G153" s="40"/>
      <c r="H153" s="10"/>
    </row>
    <row r="154" customFormat="false" ht="15.75" hidden="false" customHeight="true" outlineLevel="0" collapsed="false">
      <c r="A154" s="38"/>
      <c r="B154" s="18" t="str">
        <f aca="false">IF(OR($A154="",$B$3=""),"",ROUNDDOWN(($A154-$B$3)/7,0)+1)</f>
        <v/>
      </c>
      <c r="C154" s="40"/>
      <c r="D154" s="40"/>
      <c r="E154" s="40"/>
      <c r="F154" s="40"/>
      <c r="G154" s="40"/>
      <c r="H154" s="10"/>
    </row>
    <row r="155" customFormat="false" ht="15.75" hidden="false" customHeight="true" outlineLevel="0" collapsed="false">
      <c r="A155" s="38"/>
      <c r="B155" s="18" t="str">
        <f aca="false">IF(OR($A155="",$B$3=""),"",ROUNDDOWN(($A155-$B$3)/7,0)+1)</f>
        <v/>
      </c>
      <c r="C155" s="40"/>
      <c r="D155" s="40"/>
      <c r="E155" s="40"/>
      <c r="F155" s="40"/>
      <c r="G155" s="40"/>
      <c r="H155" s="10"/>
    </row>
    <row r="156" customFormat="false" ht="15.75" hidden="false" customHeight="true" outlineLevel="0" collapsed="false">
      <c r="A156" s="38"/>
      <c r="B156" s="18" t="str">
        <f aca="false">IF(OR($A156="",$B$3=""),"",ROUNDDOWN(($A156-$B$3)/7,0)+1)</f>
        <v/>
      </c>
      <c r="C156" s="40"/>
      <c r="D156" s="40"/>
      <c r="E156" s="40"/>
      <c r="F156" s="40"/>
      <c r="G156" s="40"/>
      <c r="H156" s="10"/>
    </row>
    <row r="157" customFormat="false" ht="15.75" hidden="false" customHeight="true" outlineLevel="0" collapsed="false">
      <c r="A157" s="38"/>
      <c r="B157" s="18" t="str">
        <f aca="false">IF(OR($A157="",$B$3=""),"",ROUNDDOWN(($A157-$B$3)/7,0)+1)</f>
        <v/>
      </c>
      <c r="C157" s="40"/>
      <c r="D157" s="40"/>
      <c r="E157" s="40"/>
      <c r="F157" s="40"/>
      <c r="G157" s="40"/>
      <c r="H157" s="10"/>
    </row>
    <row r="158" customFormat="false" ht="15.75" hidden="false" customHeight="true" outlineLevel="0" collapsed="false">
      <c r="A158" s="38"/>
      <c r="B158" s="18" t="str">
        <f aca="false">IF(OR($A158="",$B$3=""),"",ROUNDDOWN(($A158-$B$3)/7,0)+1)</f>
        <v/>
      </c>
      <c r="C158" s="40"/>
      <c r="D158" s="40"/>
      <c r="E158" s="40"/>
      <c r="F158" s="40"/>
      <c r="G158" s="40"/>
      <c r="H158" s="10"/>
    </row>
    <row r="159" customFormat="false" ht="15.75" hidden="false" customHeight="true" outlineLevel="0" collapsed="false">
      <c r="A159" s="38"/>
      <c r="B159" s="18" t="str">
        <f aca="false">IF(OR($A159="",$B$3=""),"",ROUNDDOWN(($A159-$B$3)/7,0)+1)</f>
        <v/>
      </c>
      <c r="C159" s="40"/>
      <c r="D159" s="40"/>
      <c r="E159" s="40"/>
      <c r="F159" s="40"/>
      <c r="G159" s="40"/>
      <c r="H159" s="10"/>
    </row>
    <row r="160" customFormat="false" ht="15.75" hidden="false" customHeight="true" outlineLevel="0" collapsed="false">
      <c r="A160" s="38"/>
      <c r="B160" s="18" t="str">
        <f aca="false">IF(OR($A160="",$B$3=""),"",ROUNDDOWN(($A160-$B$3)/7,0)+1)</f>
        <v/>
      </c>
      <c r="C160" s="40"/>
      <c r="D160" s="40"/>
      <c r="E160" s="40"/>
      <c r="F160" s="40"/>
      <c r="G160" s="40"/>
      <c r="H160" s="10"/>
    </row>
    <row r="161" customFormat="false" ht="15.75" hidden="false" customHeight="true" outlineLevel="0" collapsed="false">
      <c r="A161" s="38"/>
      <c r="B161" s="18" t="str">
        <f aca="false">IF(OR($A161="",$B$3=""),"",ROUNDDOWN(($A161-$B$3)/7,0)+1)</f>
        <v/>
      </c>
      <c r="C161" s="40"/>
      <c r="D161" s="40"/>
      <c r="E161" s="40"/>
      <c r="F161" s="40"/>
      <c r="G161" s="40"/>
      <c r="H161" s="10"/>
    </row>
    <row r="162" customFormat="false" ht="15.75" hidden="false" customHeight="true" outlineLevel="0" collapsed="false">
      <c r="A162" s="38"/>
      <c r="B162" s="18" t="str">
        <f aca="false">IF(OR($A162="",$B$3=""),"",ROUNDDOWN(($A162-$B$3)/7,0)+1)</f>
        <v/>
      </c>
      <c r="C162" s="40"/>
      <c r="D162" s="40"/>
      <c r="E162" s="40"/>
      <c r="F162" s="40"/>
      <c r="G162" s="40"/>
      <c r="H162" s="10"/>
    </row>
    <row r="163" customFormat="false" ht="15.75" hidden="false" customHeight="true" outlineLevel="0" collapsed="false">
      <c r="A163" s="38"/>
      <c r="B163" s="18" t="str">
        <f aca="false">IF(OR($A163="",$B$3=""),"",ROUNDDOWN(($A163-$B$3)/7,0)+1)</f>
        <v/>
      </c>
      <c r="C163" s="40"/>
      <c r="D163" s="40"/>
      <c r="E163" s="40"/>
      <c r="F163" s="40"/>
      <c r="G163" s="40"/>
      <c r="H163" s="10"/>
    </row>
    <row r="164" customFormat="false" ht="15.75" hidden="false" customHeight="true" outlineLevel="0" collapsed="false">
      <c r="A164" s="38"/>
      <c r="B164" s="18" t="str">
        <f aca="false">IF(OR($A164="",$B$3=""),"",ROUNDDOWN(($A164-$B$3)/7,0)+1)</f>
        <v/>
      </c>
      <c r="C164" s="40"/>
      <c r="D164" s="40"/>
      <c r="E164" s="40"/>
      <c r="F164" s="40"/>
      <c r="G164" s="40"/>
      <c r="H164" s="10"/>
    </row>
    <row r="165" customFormat="false" ht="15.75" hidden="false" customHeight="true" outlineLevel="0" collapsed="false">
      <c r="A165" s="38"/>
      <c r="B165" s="18" t="str">
        <f aca="false">IF(OR($A165="",$B$3=""),"",ROUNDDOWN(($A165-$B$3)/7,0)+1)</f>
        <v/>
      </c>
      <c r="C165" s="40"/>
      <c r="D165" s="40"/>
      <c r="E165" s="40"/>
      <c r="F165" s="40"/>
      <c r="G165" s="40"/>
      <c r="H165" s="10"/>
    </row>
    <row r="166" customFormat="false" ht="15.75" hidden="false" customHeight="true" outlineLevel="0" collapsed="false">
      <c r="A166" s="38"/>
      <c r="B166" s="18" t="str">
        <f aca="false">IF(OR($A166="",$B$3=""),"",ROUNDDOWN(($A166-$B$3)/7,0)+1)</f>
        <v/>
      </c>
      <c r="C166" s="40"/>
      <c r="D166" s="40"/>
      <c r="E166" s="40"/>
      <c r="F166" s="40"/>
      <c r="G166" s="40"/>
      <c r="H166" s="10"/>
    </row>
    <row r="167" customFormat="false" ht="15.75" hidden="false" customHeight="true" outlineLevel="0" collapsed="false">
      <c r="A167" s="38"/>
      <c r="B167" s="18" t="str">
        <f aca="false">IF(OR($A167="",$B$3=""),"",ROUNDDOWN(($A167-$B$3)/7,0)+1)</f>
        <v/>
      </c>
      <c r="C167" s="40"/>
      <c r="D167" s="40"/>
      <c r="E167" s="40"/>
      <c r="F167" s="40"/>
      <c r="G167" s="40"/>
      <c r="H167" s="10"/>
    </row>
    <row r="168" customFormat="false" ht="15.75" hidden="false" customHeight="true" outlineLevel="0" collapsed="false">
      <c r="A168" s="38"/>
      <c r="B168" s="18" t="str">
        <f aca="false">IF(OR($A168="",$B$3=""),"",ROUNDDOWN(($A168-$B$3)/7,0)+1)</f>
        <v/>
      </c>
      <c r="C168" s="40"/>
      <c r="D168" s="40"/>
      <c r="E168" s="40"/>
      <c r="F168" s="40"/>
      <c r="G168" s="40"/>
      <c r="H168" s="10"/>
    </row>
    <row r="169" customFormat="false" ht="15.75" hidden="false" customHeight="true" outlineLevel="0" collapsed="false">
      <c r="A169" s="38"/>
      <c r="B169" s="18" t="str">
        <f aca="false">IF(OR($A169="",$B$3=""),"",ROUNDDOWN(($A169-$B$3)/7,0)+1)</f>
        <v/>
      </c>
      <c r="C169" s="40"/>
      <c r="D169" s="40"/>
      <c r="E169" s="40"/>
      <c r="F169" s="40"/>
      <c r="G169" s="40"/>
      <c r="H169" s="10"/>
    </row>
    <row r="170" customFormat="false" ht="15.75" hidden="false" customHeight="true" outlineLevel="0" collapsed="false">
      <c r="A170" s="38"/>
      <c r="B170" s="18" t="str">
        <f aca="false">IF(OR($A170="",$B$3=""),"",ROUNDDOWN(($A170-$B$3)/7,0)+1)</f>
        <v/>
      </c>
      <c r="C170" s="40"/>
      <c r="D170" s="40"/>
      <c r="E170" s="40"/>
      <c r="F170" s="40"/>
      <c r="G170" s="40"/>
      <c r="H170" s="10"/>
    </row>
    <row r="171" customFormat="false" ht="15.75" hidden="false" customHeight="true" outlineLevel="0" collapsed="false">
      <c r="A171" s="38"/>
      <c r="B171" s="18" t="str">
        <f aca="false">IF(OR($A171="",$B$3=""),"",ROUNDDOWN(($A171-$B$3)/7,0)+1)</f>
        <v/>
      </c>
      <c r="C171" s="40"/>
      <c r="D171" s="40"/>
      <c r="E171" s="40"/>
      <c r="F171" s="40"/>
      <c r="G171" s="40"/>
      <c r="H171" s="10"/>
    </row>
    <row r="172" customFormat="false" ht="15.75" hidden="false" customHeight="true" outlineLevel="0" collapsed="false">
      <c r="A172" s="38"/>
      <c r="B172" s="18" t="str">
        <f aca="false">IF(OR($A172="",$B$3=""),"",ROUNDDOWN(($A172-$B$3)/7,0)+1)</f>
        <v/>
      </c>
      <c r="C172" s="40"/>
      <c r="D172" s="40"/>
      <c r="E172" s="40"/>
      <c r="F172" s="40"/>
      <c r="G172" s="40"/>
      <c r="H172" s="10"/>
    </row>
    <row r="173" customFormat="false" ht="15.75" hidden="false" customHeight="true" outlineLevel="0" collapsed="false">
      <c r="A173" s="38"/>
      <c r="B173" s="18" t="str">
        <f aca="false">IF(OR($A173="",$B$3=""),"",ROUNDDOWN(($A173-$B$3)/7,0)+1)</f>
        <v/>
      </c>
      <c r="C173" s="40"/>
      <c r="D173" s="40"/>
      <c r="E173" s="40"/>
      <c r="F173" s="40"/>
      <c r="G173" s="40"/>
      <c r="H173" s="10"/>
    </row>
    <row r="174" customFormat="false" ht="15.75" hidden="false" customHeight="true" outlineLevel="0" collapsed="false">
      <c r="A174" s="38"/>
      <c r="B174" s="18" t="str">
        <f aca="false">IF(OR($A174="",$B$3=""),"",ROUNDDOWN(($A174-$B$3)/7,0)+1)</f>
        <v/>
      </c>
      <c r="C174" s="40"/>
      <c r="D174" s="40"/>
      <c r="E174" s="40"/>
      <c r="F174" s="40"/>
      <c r="G174" s="40"/>
      <c r="H174" s="10"/>
    </row>
    <row r="175" customFormat="false" ht="15.75" hidden="false" customHeight="true" outlineLevel="0" collapsed="false">
      <c r="A175" s="38"/>
      <c r="B175" s="18" t="str">
        <f aca="false">IF(OR($A175="",$B$3=""),"",ROUNDDOWN(($A175-$B$3)/7,0)+1)</f>
        <v/>
      </c>
      <c r="C175" s="40"/>
      <c r="D175" s="40"/>
      <c r="E175" s="40"/>
      <c r="F175" s="40"/>
      <c r="G175" s="40"/>
      <c r="H175" s="10"/>
    </row>
    <row r="176" customFormat="false" ht="15.75" hidden="false" customHeight="true" outlineLevel="0" collapsed="false">
      <c r="A176" s="38"/>
      <c r="B176" s="18" t="str">
        <f aca="false">IF(OR($A176="",$B$3=""),"",ROUNDDOWN(($A176-$B$3)/7,0)+1)</f>
        <v/>
      </c>
      <c r="C176" s="40"/>
      <c r="D176" s="40"/>
      <c r="E176" s="40"/>
      <c r="F176" s="40"/>
      <c r="G176" s="40"/>
      <c r="H176" s="10"/>
    </row>
    <row r="177" customFormat="false" ht="15.75" hidden="false" customHeight="true" outlineLevel="0" collapsed="false">
      <c r="A177" s="38"/>
      <c r="B177" s="18" t="str">
        <f aca="false">IF(OR($A177="",$B$3=""),"",ROUNDDOWN(($A177-$B$3)/7,0)+1)</f>
        <v/>
      </c>
      <c r="C177" s="40"/>
      <c r="D177" s="40"/>
      <c r="E177" s="40"/>
      <c r="F177" s="40"/>
      <c r="G177" s="40"/>
      <c r="H177" s="10"/>
    </row>
    <row r="178" customFormat="false" ht="15.75" hidden="false" customHeight="true" outlineLevel="0" collapsed="false">
      <c r="A178" s="38"/>
      <c r="B178" s="18" t="str">
        <f aca="false">IF(OR($A178="",$B$3=""),"",ROUNDDOWN(($A178-$B$3)/7,0)+1)</f>
        <v/>
      </c>
      <c r="C178" s="40"/>
      <c r="D178" s="40"/>
      <c r="E178" s="40"/>
      <c r="F178" s="40"/>
      <c r="G178" s="40"/>
      <c r="H178" s="10"/>
    </row>
    <row r="179" customFormat="false" ht="15.75" hidden="false" customHeight="true" outlineLevel="0" collapsed="false">
      <c r="A179" s="38"/>
      <c r="B179" s="18" t="str">
        <f aca="false">IF(OR($A179="",$B$3=""),"",ROUNDDOWN(($A179-$B$3)/7,0)+1)</f>
        <v/>
      </c>
      <c r="C179" s="40"/>
      <c r="D179" s="40"/>
      <c r="E179" s="40"/>
      <c r="F179" s="40"/>
      <c r="G179" s="40"/>
      <c r="H179" s="10"/>
    </row>
    <row r="180" customFormat="false" ht="15.75" hidden="false" customHeight="true" outlineLevel="0" collapsed="false">
      <c r="A180" s="38"/>
      <c r="B180" s="18" t="str">
        <f aca="false">IF(OR($A180="",$B$3=""),"",ROUNDDOWN(($A180-$B$3)/7,0)+1)</f>
        <v/>
      </c>
      <c r="C180" s="40"/>
      <c r="D180" s="40"/>
      <c r="E180" s="40"/>
      <c r="F180" s="40"/>
      <c r="G180" s="40"/>
      <c r="H180" s="10"/>
    </row>
    <row r="181" customFormat="false" ht="15.75" hidden="false" customHeight="true" outlineLevel="0" collapsed="false">
      <c r="A181" s="38"/>
      <c r="B181" s="18" t="str">
        <f aca="false">IF(OR($A181="",$B$3=""),"",ROUNDDOWN(($A181-$B$3)/7,0)+1)</f>
        <v/>
      </c>
      <c r="C181" s="40"/>
      <c r="D181" s="40"/>
      <c r="E181" s="40"/>
      <c r="F181" s="40"/>
      <c r="G181" s="40"/>
      <c r="H181" s="10"/>
    </row>
    <row r="182" customFormat="false" ht="15.75" hidden="false" customHeight="true" outlineLevel="0" collapsed="false">
      <c r="A182" s="38"/>
      <c r="B182" s="18" t="str">
        <f aca="false">IF(OR($A182="",$B$3=""),"",ROUNDDOWN(($A182-$B$3)/7,0)+1)</f>
        <v/>
      </c>
      <c r="C182" s="40"/>
      <c r="D182" s="40"/>
      <c r="E182" s="40"/>
      <c r="F182" s="40"/>
      <c r="G182" s="40"/>
      <c r="H182" s="10"/>
    </row>
    <row r="183" customFormat="false" ht="15.75" hidden="false" customHeight="true" outlineLevel="0" collapsed="false">
      <c r="A183" s="38"/>
      <c r="B183" s="18" t="str">
        <f aca="false">IF(OR($A183="",$B$3=""),"",ROUNDDOWN(($A183-$B$3)/7,0)+1)</f>
        <v/>
      </c>
      <c r="C183" s="40"/>
      <c r="D183" s="40"/>
      <c r="E183" s="40"/>
      <c r="F183" s="40"/>
      <c r="G183" s="40"/>
      <c r="H183" s="10"/>
    </row>
    <row r="184" customFormat="false" ht="15.75" hidden="false" customHeight="true" outlineLevel="0" collapsed="false">
      <c r="A184" s="38"/>
      <c r="B184" s="18" t="str">
        <f aca="false">IF(OR($A184="",$B$3=""),"",ROUNDDOWN(($A184-$B$3)/7,0)+1)</f>
        <v/>
      </c>
      <c r="C184" s="40"/>
      <c r="D184" s="40"/>
      <c r="E184" s="40"/>
      <c r="F184" s="40"/>
      <c r="G184" s="40"/>
      <c r="H184" s="10"/>
    </row>
    <row r="185" customFormat="false" ht="15.75" hidden="false" customHeight="true" outlineLevel="0" collapsed="false">
      <c r="A185" s="38"/>
      <c r="B185" s="18" t="str">
        <f aca="false">IF(OR($A185="",$B$3=""),"",ROUNDDOWN(($A185-$B$3)/7,0)+1)</f>
        <v/>
      </c>
      <c r="C185" s="40"/>
      <c r="D185" s="40"/>
      <c r="E185" s="40"/>
      <c r="F185" s="40"/>
      <c r="G185" s="40"/>
      <c r="H185" s="10"/>
    </row>
    <row r="186" customFormat="false" ht="15.75" hidden="false" customHeight="true" outlineLevel="0" collapsed="false">
      <c r="A186" s="38"/>
      <c r="B186" s="18" t="str">
        <f aca="false">IF(OR($A186="",$B$3=""),"",ROUNDDOWN(($A186-$B$3)/7,0)+1)</f>
        <v/>
      </c>
      <c r="C186" s="40"/>
      <c r="D186" s="40"/>
      <c r="E186" s="40"/>
      <c r="F186" s="40"/>
      <c r="G186" s="40"/>
      <c r="H186" s="10"/>
    </row>
    <row r="187" customFormat="false" ht="15.75" hidden="false" customHeight="true" outlineLevel="0" collapsed="false">
      <c r="A187" s="38"/>
      <c r="B187" s="18" t="str">
        <f aca="false">IF(OR($A187="",$B$3=""),"",ROUNDDOWN(($A187-$B$3)/7,0)+1)</f>
        <v/>
      </c>
      <c r="C187" s="40"/>
      <c r="D187" s="40"/>
      <c r="E187" s="40"/>
      <c r="F187" s="40"/>
      <c r="G187" s="40"/>
      <c r="H187" s="10"/>
    </row>
    <row r="188" customFormat="false" ht="15.75" hidden="false" customHeight="true" outlineLevel="0" collapsed="false">
      <c r="A188" s="38"/>
      <c r="B188" s="18" t="str">
        <f aca="false">IF(OR($A188="",$B$3=""),"",ROUNDDOWN(($A188-$B$3)/7,0)+1)</f>
        <v/>
      </c>
      <c r="C188" s="40"/>
      <c r="D188" s="40"/>
      <c r="E188" s="40"/>
      <c r="F188" s="40"/>
      <c r="G188" s="40"/>
      <c r="H188" s="10"/>
    </row>
    <row r="189" customFormat="false" ht="15.75" hidden="false" customHeight="true" outlineLevel="0" collapsed="false">
      <c r="A189" s="38"/>
      <c r="B189" s="18" t="str">
        <f aca="false">IF(OR($A189="",$B$3=""),"",ROUNDDOWN(($A189-$B$3)/7,0)+1)</f>
        <v/>
      </c>
      <c r="C189" s="40"/>
      <c r="D189" s="40"/>
      <c r="E189" s="40"/>
      <c r="F189" s="40"/>
      <c r="G189" s="40"/>
      <c r="H189" s="10"/>
    </row>
    <row r="190" customFormat="false" ht="15.75" hidden="false" customHeight="true" outlineLevel="0" collapsed="false">
      <c r="A190" s="38"/>
      <c r="B190" s="18" t="str">
        <f aca="false">IF(OR($A190="",$B$3=""),"",ROUNDDOWN(($A190-$B$3)/7,0)+1)</f>
        <v/>
      </c>
      <c r="C190" s="40"/>
      <c r="D190" s="40"/>
      <c r="E190" s="40"/>
      <c r="F190" s="40"/>
      <c r="G190" s="40"/>
      <c r="H190" s="10"/>
    </row>
    <row r="191" customFormat="false" ht="15.75" hidden="false" customHeight="true" outlineLevel="0" collapsed="false">
      <c r="A191" s="38"/>
      <c r="B191" s="18" t="str">
        <f aca="false">IF(OR($A191="",$B$3=""),"",ROUNDDOWN(($A191-$B$3)/7,0)+1)</f>
        <v/>
      </c>
      <c r="C191" s="40"/>
      <c r="D191" s="40"/>
      <c r="E191" s="40"/>
      <c r="F191" s="40"/>
      <c r="G191" s="40"/>
      <c r="H191" s="10"/>
    </row>
  </sheetData>
  <mergeCells count="20">
    <mergeCell ref="A1:H1"/>
    <mergeCell ref="A2:H2"/>
    <mergeCell ref="C3:H3"/>
    <mergeCell ref="A4:H4"/>
    <mergeCell ref="A5:B5"/>
    <mergeCell ref="C5:D5"/>
    <mergeCell ref="E5:F5"/>
    <mergeCell ref="G5:H5"/>
    <mergeCell ref="A6:B6"/>
    <mergeCell ref="C6:D6"/>
    <mergeCell ref="E6:F6"/>
    <mergeCell ref="G6:H6"/>
    <mergeCell ref="A7:B7"/>
    <mergeCell ref="C7:D7"/>
    <mergeCell ref="E7:F7"/>
    <mergeCell ref="G7:H7"/>
    <mergeCell ref="A8:B8"/>
    <mergeCell ref="C8:D8"/>
    <mergeCell ref="E8:F8"/>
    <mergeCell ref="G8:H8"/>
  </mergeCells>
  <conditionalFormatting sqref="C12:D191">
    <cfRule type="expression" priority="2" aboveAverage="0" equalAverage="0" bottom="0" percent="0" rank="0" text="" dxfId="5">
      <formula>AND($C12&lt;&gt;"",$C12&gt;=6)</formula>
    </cfRule>
  </conditionalFormatting>
  <dataValidations count="1">
    <dataValidation allowBlank="true" errorStyle="stop" operator="between" showDropDown="false" showErrorMessage="false" showInputMessage="false" sqref="C12:D191" type="decimal">
      <formula1>0</formula1>
      <formula2>10</formula2>
    </dataValidation>
  </dataValidations>
  <printOptions headings="false" gridLines="false" gridLinesSet="true" horizontalCentered="true" verticalCentered="false"/>
  <pageMargins left="0.45" right="0.35" top="0.5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&amp;L&amp;8 &amp;K909090Gym Logbuch  |  Beine&amp;R&amp;8 &amp;K909090Reha-Log</oddHeader>
    <oddFooter>&amp;L&amp;8 &amp;K909090Immer gleich messen: gleiche Position, gleiche Tageszeit&amp;R&amp;8 &amp;K909090Seite &amp;P von &amp;N</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2026-08-06T10:06:03Z</dcterms:created>
  <dc:creator>openpyxl</dc:creator>
  <dc:description/>
  <dc:language>en-US</dc:language>
  <cp:lastModifiedBy/>
  <dcterms:modified xsi:type="dcterms:W3CDTF">2026-08-06T10:06:06Z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