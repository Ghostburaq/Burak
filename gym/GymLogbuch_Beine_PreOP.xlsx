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Log!$A$1:$L$234</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'OP-Countdown'!$A$1:$G$33</definedName>
    <definedName function="false" hidden="false" localSheetId="2" name="_xlnm.Print_Titles" vbProcedure="false">'OP-Countdown'!$1:$2</definedName>
    <definedName function="false" hidden="false" localSheetId="9" name="_xlnm.Print_Area" vbProcedure="false">Progression!$A$1:$M$21</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1" name="_xlnm.Print_Area" vbProcedure="false">Trainingsblatt!$A$1:$I$503</definedName>
    <definedName function="false" hidden="false" localSheetId="12" name="_xlnm.Print_Area" vbProcedure="false">Übungen!$A$1:$M$21</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<sst xmlns="http://schemas.openxmlformats.org/spreadsheetml/2006/main" count="1568" uniqueCount="442">
  <si>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</si>
  <si>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</si>
  <si>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</si>
  <si>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</si>
  <si>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</si>
  <si>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</si>
  <si>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</si>
  <si>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</si>
  <si>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</si>
  <si>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</si>
  <si>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</si>
  <si>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</si>
  <si>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</si>
  <si>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</si>
  <si>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</si>
  <si>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</si>
  <si>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</si>
  <si>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</si>
  <si>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</si>
  <si>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</si>
  <si>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</si>
  <si>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</si>
  <si>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</si>
  <si>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</si>
  <si>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</si>
  <si>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</si>
  <si>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</si>
  <si>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</si>
  <si>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</si>
  <si>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</si>
  <si>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</si>
  <si>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</si>
  <si>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</si>
  <si>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</si>
  <si>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</si>
  <si>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</si>
  <si>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</si>
  <si>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</si>
  <si>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</si>
  <si>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</si>
  <si>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</si>
  <si>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</si>
  <si>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</si>
  <si>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</si>
  <si>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</si>
  <si>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</si>
  <si>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</si>
  <si>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</si>
  <si>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</si>
  <si>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</si>
  <si>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</si>
  <si>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Davor zwei Aufwärmsätze mit 40 und 70 Prozent des Top-Satzes.</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</si>
  <si>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</si>
  <si>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</si>
  <si>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</si>
  <si>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</si>
  <si>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</si>
  <si>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</si>
  <si>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</si>
  <si>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</si>
  <si>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</si>
  <si>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</si>
  <si>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</si>
  <si>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</si>
  <si>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</si>
  <si>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</si>
  <si>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</si>
  <si>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</si>
  <si>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</si>
  <si>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</si>
  <si>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</si>
  <si>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</si>
  <si>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</si>
  <si>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</si>
  <si>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</si>
  <si>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</si>
  <si>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</si>
  <si>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</si>
  <si>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</si>
  <si>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</si>
  <si>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</si>
  <si>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</si>
  <si>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</si>
  <si>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</si>
  <si>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</si>
  <si>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</si>
  <si>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</si>
  <si>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</si>
  <si>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</si>
  <si>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</si>
  <si>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</si>
  <si>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</si>
  <si>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</si>
  <si>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</si>
  <si>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</si>
  <si>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</si>
  <si>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</si>
  <si>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</si>
  <si>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</si>
  <si>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</si>
  <si>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</si>
  <si>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</si>
  <si>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</si>
  <si>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</si>
  <si>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</si>
  <si>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</si>
  <si>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</si>
  <si>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</si>
  <si>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</si>
  <si>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</si>
  <si>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</si>
  <si>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</si>
  <si>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</si>
  <si>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</si>
  <si>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</si>
  <si>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</si>
  <si>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</si>
  <si>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</si>
  <si>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</si>
  <si>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</si>
  <si>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</si>
  <si>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</si>
  <si>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</si>
  <si>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</si>
  <si>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</si>
  <si>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</si>
  <si>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</si>
  <si>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</si>
  <si>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</si>
  <si>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</si>
  <si>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</si>
  <si>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</si>
  <si>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</si>
  <si>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</si>
  <si>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</si>
  <si>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</si>
  <si>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</si>
  <si>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</si>
  <si>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</si>
  <si>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</si>
  <si>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</si>
  <si>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</si>
  <si>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</si>
  <si>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</si>
  <si>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</si>
  <si>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</si>
  <si>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</si>
  <si>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</si>
  <si>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</si>
  <si>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</si>
  <si>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</si>
  <si>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</si>
  <si>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</si>
  <si>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</si>
  <si>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</si>
  <si>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</si>
  <si>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</si>
  <si>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</si>
  <si>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</si>
  <si>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</si>
  <si>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</si>
  <si>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</si>
  <si>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</si>
  <si>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</si>
  <si>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</si>
  <si>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</si>
  <si>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</si>
  <si>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</si>
  <si>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</si>
  <si>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</si>
  <si>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</si>
  <si>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</si>
  <si>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</si>
  <si>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</si>
  <si>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</si>
  <si>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</si>
  <si>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</si>
  <si>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</si>
  <si>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</si>
  <si>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</si>
  <si>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</si>
  <si>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</si>
  <si>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</si>
  <si>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</si>
  <si>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</si>
  <si>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</si>
  <si>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</si>
  <si>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</si>
  <si>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</si>
  <si>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</si>
  <si>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</si>
  <si>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</si>
  <si>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</si>
  <si>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</si>
  <si>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</si>
  <si>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</si>
  <si>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</si>
  <si>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</si>
  <si>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</si>
  <si>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</si>
  <si>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</si>
  <si>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</si>
  <si>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</si>
  <si>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</si>
  <si>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</si>
  <si>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</si>
  <si>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</si>
  <si>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</si>
  <si>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</si>
  <si>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</si>
  <si>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</si>
  <si>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</si>
  <si>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</si>
  <si>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</si>
  <si>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</si>
  <si>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</si>
  <si>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</si>
  <si>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</si>
  <si>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</si>
  <si>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</si>
  <si>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</si>
  <si>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</si>
  <si>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</si>
  <si>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</si>
  <si>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</si>
  <si>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</si>
  <si>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</si>
  <si>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</si>
  <si>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</si>
  <si>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</si>
  <si>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</si>
  <si>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</si>
  <si>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</si>
  <si>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</si>
  <si>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</si>
  <si>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</si>
  <si>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</si>
  <si>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</si>
  <si>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</si>
  <si>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</si>
  <si>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</si>
  <si>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</si>
  <si>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</si>
  <si>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</si>
  <si>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</si>
  <si>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</si>
  <si>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</si>
  <si>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</si>
  <si>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</si>
  <si>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</si>
  <si>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</si>
  <si>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</si>
  <si>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</si>
  <si>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</si>
  <si>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</si>
  <si>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</si>
  <si>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</si>
  <si>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</si>
  <si>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</si>
  <si>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</si>
  <si>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</si>
  <si>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</si>
  <si>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</si>
  <si>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</si>
  <si>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</si>
  <si>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</si>
  <si>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</si>
  <si>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</si>
  <si>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</si>
  <si>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</si>
  <si>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</si>
  <si>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</si>
  <si>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</si>
  <si>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</si>
  <si>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</si>
  <si>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</si>
  <si>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</si>
  <si>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</si>
  <si>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</si>
  <si>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</si>
  <si>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</si>
  <si>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</si>
  <si>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</si>
  <si>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</si>
  <si>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</si>
  <si>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</si>
  <si>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</si>
  <si>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</si>
  <si>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</si>
  <si>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</si>
  <si>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</si>
  <si>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</si>
  <si>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</si>
  <si>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</si>
  <si>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</si>
  <si>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</si>
  <si>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</si>
  <si>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</si>
  <si>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</si>
  <si>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</si>
  <si>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</si>
  <si>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</si>
  <si>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</si>
  <si>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</si>
  <si>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</si>
  <si>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</si>
  <si>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</si>
  <si>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</si>
  <si>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</si>
  <si>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</si>
  <si>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</si>
  <si>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</si>
  <si>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</si>
  <si>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</si>
  <si>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</si>
  <si>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</si>
  <si>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</si>
  <si>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</si>
  <si>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</si>
  <si>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</si>
  <si>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</si>
  <si>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</si>
  <si>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</si>
  <si>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</si>
  <si>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</si>
  <si>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</si>
  <si>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</si>
  <si>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</si>
  <si>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</si>
  <si>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</si>
  <si>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</si>
  <si>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</si>
  <si>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</si>
  <si>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</si>
  <si>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</si>
  <si>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</si>
  <si>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</si>
  <si>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</si>
  <si>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</si>
  <si>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</si>
  <si>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</si>
  <si>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</si>
  <si>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</si>
  <si>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</si>
  <si>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</si>
  <si>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</si>
  <si>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</si>
  <si>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</si>
  <si>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</si>
  <si>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</si>
  <si>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</si>
  <si>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</si>
  <si>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</si>
  <si>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</si>
  <si>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</si>
  <si>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</si>
  <si>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</si>
  <si>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</si>
  <si>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</si>
  <si>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</si>
  <si>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</si>
  <si>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</si>
  <si>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</si>
  <si>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</si>
  <si>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1. Satz 40 %</t>
  </si>
  <si>
    <t xml:space="preserve">2. Satz 70 %</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</si>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</sst>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numCache>
            </c:numRef>
          </c:val>
        </c:ser>
        <c:gapWidth val="60"/>
        <c:overlap val="0"/>
        <c:axId val="43971409"/>
        <c:axId val="41377697"/>
      </c:barChart>
      <c:catAx>
        <c:axId val="439714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377697"/>
        <c:crosses val="autoZero"/>
        <c:auto val="1"/>
        <c:lblAlgn val="ctr"/>
        <c:lblOffset val="100"/>
        <c:noMultiLvlLbl val="0"/>
      </c:catAx>
      <c:valAx>
        <c:axId val="4137769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97140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141</c:v>
                </c:pt>
                <c:pt idx="8">
                  <c:v>55</c:v>
                </c:pt>
                <c:pt idx="9">
                  <c:v>49</c:v>
                </c:pt>
                <c:pt idx="10">
                  <c:v>160</c:v>
                </c:pt>
                <c:pt idx="11">
                  <c:v>18</c:v>
                </c:pt>
                <c:pt idx="12">
                  <c:v>84</c:v>
                </c:pt>
              </c:numCache>
            </c:numRef>
          </c:val>
        </c:ser>
        <c:gapWidth val="60"/>
        <c:overlap val="0"/>
        <c:axId val="33468558"/>
        <c:axId val="48798839"/>
      </c:barChart>
      <c:catAx>
        <c:axId val="334685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798839"/>
        <c:crosses val="autoZero"/>
        <c:auto val="1"/>
        <c:lblAlgn val="ctr"/>
        <c:lblOffset val="100"/>
        <c:noMultiLvlLbl val="0"/>
      </c:catAx>
      <c:valAx>
        <c:axId val="4879883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46855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6550</c:v>
                </c:pt>
                <c:pt idx="6">
                  <c:v>31960</c:v>
                </c:pt>
                <c:pt idx="7">
                  <c:v>3732</c:v>
                </c:pt>
                <c:pt idx="8">
                  <c:v>5660</c:v>
                </c:pt>
                <c:pt idx="9">
                  <c:v>2773</c:v>
                </c:pt>
                <c:pt idx="10">
                  <c:v>13770</c:v>
                </c:pt>
                <c:pt idx="11">
                  <c:v>0</c:v>
                </c:pt>
                <c:pt idx="12">
                  <c:v>7119</c:v>
                </c:pt>
              </c:numCache>
            </c:numRef>
          </c:val>
        </c:ser>
        <c:gapWidth val="60"/>
        <c:overlap val="0"/>
        <c:axId val="11382865"/>
        <c:axId val="12396082"/>
      </c:barChart>
      <c:catAx>
        <c:axId val="113828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396082"/>
        <c:crosses val="autoZero"/>
        <c:auto val="1"/>
        <c:lblAlgn val="ctr"/>
        <c:lblOffset val="100"/>
        <c:noMultiLvlLbl val="0"/>
      </c:catAx>
      <c:valAx>
        <c:axId val="1239608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3828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27261461"/>
        <c:axId val="6240680"/>
      </c:barChart>
      <c:catAx>
        <c:axId val="272614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40680"/>
        <c:crosses val="autoZero"/>
        <c:auto val="1"/>
        <c:lblAlgn val="ctr"/>
        <c:lblOffset val="100"/>
        <c:noMultiLvlLbl val="0"/>
      </c:catAx>
      <c:valAx>
        <c:axId val="624068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26146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8</v>
      </c>
      <c r="D5" s="5"/>
      <c r="E5" s="5"/>
    </row>
    <row r="6" customFormat="false" ht="15" hidden="false" customHeight="false" outlineLevel="0" collapsed="false">
      <c r="B6" s="4" t="s">
        <v>4</v>
      </c>
      <c r="C6" s="5" t="n">
        <f aca="false">COUNTA(Log!$E$4:$E$1203)</f>
        <v>191</v>
      </c>
      <c r="D6" s="5"/>
      <c r="E6" s="5"/>
    </row>
    <row r="7" customFormat="false" ht="15" hidden="false" customHeight="false" outlineLevel="0" collapsed="false">
      <c r="B7" s="4" t="s">
        <v>5</v>
      </c>
      <c r="C7" s="6" t="n">
        <f aca="false">IFERROR(SUM(Log!$I$4:$I$1203)/1000,0)</f>
        <v>167.3455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8</v>
      </c>
      <c r="C5" s="14"/>
      <c r="E5" s="14" t="n">
        <f aca="false">COUNTA(Log!$E$4:$E$1203)</f>
        <v>191</v>
      </c>
      <c r="F5" s="14"/>
      <c r="H5" s="14" t="n">
        <f aca="false">COUNTIF(Log!$E$4:$E$1203,"A")</f>
        <v>117</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167.3455</v>
      </c>
      <c r="C8" s="15"/>
      <c r="E8" s="15" t="n">
        <f aca="false">SUMIF(Log!$E$4:$E$1203,"A",Log!$I$4:$I$1203)/1000</f>
        <v>147.458</v>
      </c>
      <c r="F8" s="15"/>
      <c r="H8" s="14" t="n">
        <f aca="false">IFERROR(SUMIF(Log!$E$4:$E$1203,"A",Log!$I$4:$I$1203)/COUNT(Einheiten!$I$4:$I$63),"")</f>
        <v>18432.25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333</v>
      </c>
      <c r="C11" s="15"/>
      <c r="E11" s="15" t="n">
        <f aca="false">MAX(Rekorde!$H$4:$H$19)</f>
        <v>421.8</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'OP-Countdown'!$C$4</f>
        <v>42</v>
      </c>
      <c r="C14" s="14"/>
      <c r="E14" s="14" t="n">
        <f aca="false">'OP-Countdown'!$D$4</f>
        <v>6</v>
      </c>
      <c r="F14" s="14"/>
      <c r="H14" s="14" t="n">
        <f aca="false">SUMPRODUCT(('OP-Countdown'!$C$8:$C$23&lt;&gt;"")*(N('OP-Countdown'!$C$8:$C$23&gt;0))*('OP-Countdown'!$F$8:$F$23&lt;&gt;"ja"))</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91</v>
      </c>
      <c r="B1" s="1"/>
      <c r="C1" s="1"/>
      <c r="D1" s="1"/>
      <c r="E1" s="1"/>
      <c r="F1" s="1"/>
      <c r="G1" s="1"/>
    </row>
    <row r="2" customFormat="false" ht="15" hidden="false" customHeight="true" outlineLevel="0" collapsed="false">
      <c r="A2" s="2" t="s">
        <v>92</v>
      </c>
      <c r="B2" s="2"/>
      <c r="C2" s="2"/>
      <c r="D2" s="2"/>
      <c r="E2" s="2"/>
      <c r="F2" s="2"/>
      <c r="G2" s="2"/>
    </row>
    <row r="3" customFormat="false" ht="15" hidden="false" customHeight="false" outlineLevel="0" collapsed="false">
      <c r="C3" s="20" t="s">
        <v>93</v>
      </c>
      <c r="D3" s="20" t="s">
        <v>94</v>
      </c>
    </row>
    <row r="4" customFormat="false" ht="30" hidden="false" customHeight="true" outlineLevel="0" collapsed="false">
      <c r="A4" s="21" t="s">
        <v>95</v>
      </c>
      <c r="B4" s="22" t="n">
        <v>46295</v>
      </c>
      <c r="C4" s="23" t="n">
        <f aca="true">IF($B$4="","",$B$4-TODAY())</f>
        <v>42</v>
      </c>
      <c r="D4" s="23" t="n">
        <f aca="true">IF($B$4="","",ROUNDUP(($B$4-TODAY())/7,0))</f>
        <v>6</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96</v>
      </c>
      <c r="B6" s="3"/>
      <c r="C6" s="3"/>
      <c r="D6" s="3"/>
      <c r="E6" s="3"/>
      <c r="F6" s="3"/>
      <c r="G6" s="3"/>
    </row>
    <row r="7" customFormat="false" ht="30" hidden="false" customHeight="true" outlineLevel="0" collapsed="false">
      <c r="A7" s="25" t="s">
        <v>97</v>
      </c>
      <c r="B7" s="25" t="s">
        <v>98</v>
      </c>
      <c r="C7" s="25" t="s">
        <v>99</v>
      </c>
      <c r="D7" s="25" t="s">
        <v>100</v>
      </c>
      <c r="E7" s="25" t="s">
        <v>101</v>
      </c>
      <c r="F7" s="25" t="s">
        <v>102</v>
      </c>
      <c r="G7" s="25" t="s">
        <v>103</v>
      </c>
    </row>
    <row r="8" customFormat="false" ht="27.75" hidden="false" customHeight="true" outlineLevel="0" collapsed="false">
      <c r="A8" s="26" t="str">
        <f aca="false">IF(Übungen!$K4&lt;&gt;"ja","",Übungen!$A4)</f>
        <v>Beinpresse eng</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Beinpresse breit</v>
      </c>
      <c r="B13" s="33" t="n">
        <f aca="false">IF(Übungen!$K9&lt;&gt;"ja","",Übungen!$L9)</f>
        <v>2</v>
      </c>
      <c r="C13" s="33" t="n">
        <f aca="false">IF($B13="","",MAX(0,$B13-1))</f>
        <v>1</v>
      </c>
      <c r="D13" s="34" t="n">
        <f aca="false">IF(OR($B13="",$B$4=""),"",$B$4+($B13-1)*7)</f>
        <v>46302</v>
      </c>
      <c r="E13" s="9" t="str">
        <f aca="false">IF($A13="","",IF($C13&lt;=0,"kein Ausfall, läuft durch",Übungen!$N9))</f>
        <v>Beinbeuger sitzend, ab Woche 1 frei</v>
      </c>
      <c r="F13" s="30"/>
      <c r="G13" s="31"/>
    </row>
    <row r="14" customFormat="false" ht="27.75" hidden="false" customHeight="true" outlineLevel="0" collapsed="false">
      <c r="A14" s="26" t="str">
        <f aca="false">IF(Übungen!$K10&lt;&gt;"ja","",Übungen!$A10)</f>
        <v>Hip Thrust</v>
      </c>
      <c r="B14" s="27" t="n">
        <f aca="false">IF(Übungen!$K10&lt;&gt;"ja","",Übungen!$L10)</f>
        <v>4</v>
      </c>
      <c r="C14" s="27" t="n">
        <f aca="false">IF($B14="","",MAX(0,$B14-1))</f>
        <v>3</v>
      </c>
      <c r="D14" s="28" t="n">
        <f aca="false">IF(OR($B14="",$B$4=""),"",$B$4+($B14-1)*7)</f>
        <v>46316</v>
      </c>
      <c r="E14" s="29" t="str">
        <f aca="false">IF($A14="","",IF($C14&lt;=0,"kein Ausfall, läuft durch",Übungen!$N10))</f>
        <v>Hip Thrust Maschine mit Polster ab Woche 2</v>
      </c>
      <c r="F14" s="30"/>
      <c r="G14" s="31"/>
    </row>
    <row r="15" customFormat="false" ht="27.75" hidden="false" customHeight="true" outlineLevel="0" collapsed="false">
      <c r="A15" s="32" t="str">
        <f aca="false">IF(Übungen!$K11&lt;&gt;"ja","",Übungen!$A11)</f>
        <v>Hip &amp; Glute</v>
      </c>
      <c r="B15" s="33" t="n">
        <f aca="false">IF(Übungen!$K11&lt;&gt;"ja","",Übungen!$L11)</f>
        <v>2</v>
      </c>
      <c r="C15" s="33" t="n">
        <f aca="false">IF($B15="","",MAX(0,$B15-1))</f>
        <v>1</v>
      </c>
      <c r="D15" s="34" t="n">
        <f aca="false">IF(OR($B15="",$B$4=""),"",$B$4+($B15-1)*7)</f>
        <v>46302</v>
      </c>
      <c r="E15" s="9" t="str">
        <f aca="false">IF($A15="","",IF($C15&lt;=0,"kein Ausfall, läuft durch",Übungen!$N11))</f>
        <v>Beinbeuger sitzend, ab Woche 1 frei</v>
      </c>
      <c r="F15" s="30"/>
      <c r="G15" s="31"/>
    </row>
    <row r="16" customFormat="false" ht="27.75" hidden="false" customHeight="true" outlineLevel="0" collapsed="false">
      <c r="A16" s="26" t="str">
        <f aca="false">IF(Übungen!$K12&lt;&gt;"ja","",Übungen!$A12)</f>
        <v>Beinbeuger</v>
      </c>
      <c r="B16" s="27" t="n">
        <f aca="false">IF(Übungen!$K12&lt;&gt;"ja","",Übungen!$L12)</f>
        <v>1</v>
      </c>
      <c r="C16" s="27" t="n">
        <f aca="false">IF($B16="","",MAX(0,$B16-1))</f>
        <v>0</v>
      </c>
      <c r="D16" s="28" t="n">
        <f aca="false">IF(OR($B16="",$B$4=""),"",$B$4+($B16-1)*7)</f>
        <v>46295</v>
      </c>
      <c r="E16" s="29" t="str">
        <f aca="false">IF($A16="","",IF($C16&lt;=0,"kein Ausfall, läuft durch",Übungen!$N12))</f>
        <v>kein Ausfall, läuft durch</v>
      </c>
      <c r="F16" s="30"/>
      <c r="G16" s="31"/>
    </row>
    <row r="17" customFormat="false" ht="27.75" hidden="false" customHeight="true" outlineLevel="0" collapsed="false">
      <c r="A17" s="32" t="str">
        <f aca="false">IF(Übungen!$K13&lt;&gt;"ja","",Übungen!$A13)</f>
        <v>Seitliche Kickbacks</v>
      </c>
      <c r="B17" s="33" t="n">
        <f aca="false">IF(Übungen!$K13&lt;&gt;"ja","",Übungen!$L13)</f>
        <v>2</v>
      </c>
      <c r="C17" s="33" t="n">
        <f aca="false">IF($B17="","",MAX(0,$B17-1))</f>
        <v>1</v>
      </c>
      <c r="D17" s="34" t="n">
        <f aca="false">IF(OR($B17="",$B$4=""),"",$B$4+($B17-1)*7)</f>
        <v>46302</v>
      </c>
      <c r="E17" s="9" t="str">
        <f aca="false">IF($A17="","",IF($C17&lt;=0,"kein Ausfall, läuft durch",Übungen!$N13))</f>
        <v>Abduktion an der Maschine im Sitzen</v>
      </c>
      <c r="F17" s="30"/>
      <c r="G17" s="31"/>
    </row>
    <row r="18" customFormat="false" ht="27.75" hidden="false" customHeight="true" outlineLevel="0" collapsed="false">
      <c r="A18" s="26" t="str">
        <f aca="false">IF(Übungen!$K14&lt;&gt;"ja","",Übungen!$A14)</f>
        <v>Waden</v>
      </c>
      <c r="B18" s="27" t="n">
        <f aca="false">IF(Übungen!$K14&lt;&gt;"ja","",Übungen!$L14)</f>
        <v>2</v>
      </c>
      <c r="C18" s="27" t="n">
        <f aca="false">IF($B18="","",MAX(0,$B18-1))</f>
        <v>1</v>
      </c>
      <c r="D18" s="28" t="n">
        <f aca="false">IF(OR($B18="",$B$4=""),"",$B$4+($B18-1)*7)</f>
        <v>46302</v>
      </c>
      <c r="E18" s="29" t="str">
        <f aca="false">IF($A18="","",IF($C18&lt;=0,"kein Ausfall, läuft durch",Übungen!$N14))</f>
        <v>Wadenmaschine sitzend ab Woche 1</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2" customFormat="false" ht="27.75" hidden="false" customHeight="true" outlineLevel="0" collapsed="false">
      <c r="A22" s="26" t="str">
        <f aca="false">IF(Übungen!$K18&lt;&gt;"ja","",Übungen!$A18)</f>
        <v/>
      </c>
      <c r="B22" s="27" t="str">
        <f aca="false">IF(Übungen!$K18&lt;&gt;"ja","",Übungen!$L18)</f>
        <v/>
      </c>
      <c r="C22" s="27" t="str">
        <f aca="false">IF($B22="","",MAX(0,$B22-1))</f>
        <v/>
      </c>
      <c r="D22" s="28" t="str">
        <f aca="false">IF(OR($B22="",$B$4=""),"",$B$4+($B22-1)*7)</f>
        <v/>
      </c>
      <c r="E22" s="29" t="str">
        <f aca="false">IF($A22="","",IF($C22&lt;=0,"kein Ausfall, läuft durch",Übungen!$N18))</f>
        <v/>
      </c>
      <c r="F22" s="30"/>
      <c r="G22" s="31"/>
    </row>
    <row r="23" customFormat="false" ht="27.75" hidden="false" customHeight="true" outlineLevel="0" collapsed="false">
      <c r="A23" s="32" t="str">
        <f aca="false">IF(Übungen!$K19&lt;&gt;"ja","",Übungen!$A19)</f>
        <v/>
      </c>
      <c r="B23" s="33" t="str">
        <f aca="false">IF(Übungen!$K19&lt;&gt;"ja","",Übungen!$L19)</f>
        <v/>
      </c>
      <c r="C23" s="33" t="str">
        <f aca="false">IF($B23="","",MAX(0,$B23-1))</f>
        <v/>
      </c>
      <c r="D23" s="34" t="str">
        <f aca="false">IF(OR($B23="",$B$4=""),"",$B$4+($B23-1)*7)</f>
        <v/>
      </c>
      <c r="E23" s="9" t="str">
        <f aca="false">IF($A23="","",IF($C23&lt;=0,"kein Ausfall, läuft durch",Übungen!$N19))</f>
        <v/>
      </c>
      <c r="F23" s="30"/>
      <c r="G23" s="31"/>
    </row>
    <row r="25" customFormat="false" ht="39.75" hidden="false" customHeight="true" outlineLevel="0" collapsed="false">
      <c r="A25" s="35" t="s">
        <v>104</v>
      </c>
      <c r="B25" s="35"/>
      <c r="C25" s="35"/>
      <c r="D25" s="35"/>
      <c r="E25" s="35"/>
      <c r="F25" s="35"/>
      <c r="G25" s="35"/>
    </row>
    <row r="27" customFormat="false" ht="19.5" hidden="false" customHeight="true" outlineLevel="0" collapsed="false">
      <c r="A27" s="3" t="s">
        <v>105</v>
      </c>
      <c r="B27" s="3"/>
      <c r="C27" s="3"/>
      <c r="D27" s="3"/>
      <c r="E27" s="3"/>
      <c r="F27" s="3"/>
      <c r="G27" s="3"/>
    </row>
    <row r="28" customFormat="false" ht="30" hidden="false" customHeight="true" outlineLevel="0" collapsed="false">
      <c r="A28" s="36" t="s">
        <v>106</v>
      </c>
      <c r="B28" s="9" t="s">
        <v>107</v>
      </c>
      <c r="C28" s="9"/>
      <c r="D28" s="9"/>
      <c r="E28" s="9"/>
      <c r="F28" s="9"/>
      <c r="G28" s="9"/>
    </row>
    <row r="29" customFormat="false" ht="30" hidden="false" customHeight="true" outlineLevel="0" collapsed="false">
      <c r="A29" s="36" t="s">
        <v>108</v>
      </c>
      <c r="B29" s="9" t="s">
        <v>109</v>
      </c>
      <c r="C29" s="9"/>
      <c r="D29" s="9"/>
      <c r="E29" s="9"/>
      <c r="F29" s="9"/>
      <c r="G29" s="9"/>
    </row>
    <row r="30" customFormat="false" ht="30" hidden="false" customHeight="true" outlineLevel="0" collapsed="false">
      <c r="A30" s="36" t="s">
        <v>110</v>
      </c>
      <c r="B30" s="9" t="s">
        <v>111</v>
      </c>
      <c r="C30" s="9"/>
      <c r="D30" s="9"/>
      <c r="E30" s="9"/>
      <c r="F30" s="9"/>
      <c r="G30" s="9"/>
    </row>
    <row r="31" customFormat="false" ht="30" hidden="false" customHeight="true" outlineLevel="0" collapsed="false">
      <c r="A31" s="36" t="s">
        <v>112</v>
      </c>
      <c r="B31" s="9" t="s">
        <v>113</v>
      </c>
      <c r="C31" s="9"/>
      <c r="D31" s="9"/>
      <c r="E31" s="9"/>
      <c r="F31" s="9"/>
      <c r="G31" s="9"/>
    </row>
    <row r="33" customFormat="false" ht="30" hidden="false" customHeight="true" outlineLevel="0" collapsed="false">
      <c r="A33" s="37" t="s">
        <v>114</v>
      </c>
      <c r="B33" s="37"/>
      <c r="C33" s="37"/>
      <c r="D33" s="37"/>
      <c r="E33" s="37"/>
      <c r="F33" s="37"/>
      <c r="G33" s="37"/>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115</v>
      </c>
      <c r="C1" s="1"/>
      <c r="D1" s="1"/>
      <c r="E1" s="1"/>
    </row>
    <row r="2" customFormat="false" ht="15" hidden="false" customHeight="true" outlineLevel="0" collapsed="false">
      <c r="B2" s="2" t="s">
        <v>116</v>
      </c>
      <c r="C2" s="2"/>
      <c r="D2" s="2"/>
      <c r="E2" s="2"/>
    </row>
    <row r="4" customFormat="false" ht="19.5" hidden="false" customHeight="true" outlineLevel="0" collapsed="false">
      <c r="B4" s="3" t="s">
        <v>117</v>
      </c>
      <c r="C4" s="3"/>
      <c r="D4" s="3"/>
      <c r="E4" s="3"/>
    </row>
    <row r="5" customFormat="false" ht="13.5" hidden="false" customHeight="true" outlineLevel="0" collapsed="false">
      <c r="B5" s="38" t="s">
        <v>118</v>
      </c>
      <c r="C5" s="38" t="s">
        <v>119</v>
      </c>
      <c r="D5" s="38" t="s">
        <v>120</v>
      </c>
      <c r="E5" s="38" t="s">
        <v>121</v>
      </c>
    </row>
    <row r="6" customFormat="false" ht="30" hidden="false" customHeight="true" outlineLevel="0" collapsed="false">
      <c r="B6" s="9" t="s">
        <v>122</v>
      </c>
      <c r="C6" s="30"/>
      <c r="D6" s="39"/>
      <c r="E6" s="40"/>
    </row>
    <row r="7" customFormat="false" ht="30" hidden="false" customHeight="true" outlineLevel="0" collapsed="false">
      <c r="B7" s="9" t="s">
        <v>123</v>
      </c>
      <c r="C7" s="30"/>
      <c r="D7" s="39"/>
      <c r="E7" s="40"/>
    </row>
    <row r="8" customFormat="false" ht="19.5" hidden="false" customHeight="true" outlineLevel="0" collapsed="false">
      <c r="B8" s="9" t="s">
        <v>124</v>
      </c>
      <c r="C8" s="30"/>
      <c r="D8" s="39"/>
      <c r="E8" s="40"/>
    </row>
    <row r="9" customFormat="false" ht="19.5" hidden="false" customHeight="true" outlineLevel="0" collapsed="false">
      <c r="B9" s="9" t="s">
        <v>125</v>
      </c>
      <c r="C9" s="30"/>
      <c r="D9" s="39"/>
      <c r="E9" s="40"/>
    </row>
    <row r="10" customFormat="false" ht="30" hidden="false" customHeight="true" outlineLevel="0" collapsed="false">
      <c r="B10" s="9" t="s">
        <v>126</v>
      </c>
      <c r="C10" s="30"/>
      <c r="D10" s="39"/>
      <c r="E10" s="40"/>
    </row>
    <row r="11" customFormat="false" ht="19.5" hidden="false" customHeight="true" outlineLevel="0" collapsed="false">
      <c r="B11" s="9" t="s">
        <v>127</v>
      </c>
      <c r="C11" s="30"/>
      <c r="D11" s="39"/>
      <c r="E11" s="40"/>
    </row>
    <row r="12" customFormat="false" ht="19.5" hidden="false" customHeight="true" outlineLevel="0" collapsed="false">
      <c r="B12" s="9" t="s">
        <v>128</v>
      </c>
      <c r="C12" s="30"/>
      <c r="D12" s="39"/>
      <c r="E12" s="40"/>
    </row>
    <row r="13" customFormat="false" ht="19.5" hidden="false" customHeight="true" outlineLevel="0" collapsed="false">
      <c r="B13" s="9" t="s">
        <v>129</v>
      </c>
      <c r="C13" s="30"/>
      <c r="D13" s="39"/>
      <c r="E13" s="40"/>
    </row>
    <row r="14" customFormat="false" ht="19.5" hidden="false" customHeight="true" outlineLevel="0" collapsed="false">
      <c r="B14" s="9" t="s">
        <v>130</v>
      </c>
      <c r="C14" s="30"/>
      <c r="D14" s="39"/>
      <c r="E14" s="40"/>
    </row>
    <row r="15" customFormat="false" ht="42" hidden="false" customHeight="true" outlineLevel="0" collapsed="false">
      <c r="B15" s="9" t="s">
        <v>131</v>
      </c>
      <c r="C15" s="30"/>
      <c r="D15" s="39"/>
      <c r="E15" s="40"/>
    </row>
    <row r="17" customFormat="false" ht="19.5" hidden="false" customHeight="true" outlineLevel="0" collapsed="false">
      <c r="B17" s="3" t="s">
        <v>132</v>
      </c>
      <c r="C17" s="3"/>
      <c r="D17" s="3"/>
      <c r="E17" s="3"/>
    </row>
    <row r="18" customFormat="false" ht="13.5" hidden="false" customHeight="true" outlineLevel="0" collapsed="false">
      <c r="B18" s="38" t="s">
        <v>118</v>
      </c>
      <c r="C18" s="38" t="s">
        <v>119</v>
      </c>
      <c r="D18" s="38" t="s">
        <v>120</v>
      </c>
      <c r="E18" s="38" t="s">
        <v>121</v>
      </c>
    </row>
    <row r="19" customFormat="false" ht="19.5" hidden="false" customHeight="true" outlineLevel="0" collapsed="false">
      <c r="B19" s="9" t="s">
        <v>133</v>
      </c>
      <c r="C19" s="30"/>
      <c r="D19" s="39"/>
      <c r="E19" s="40"/>
    </row>
    <row r="20" customFormat="false" ht="19.5" hidden="false" customHeight="true" outlineLevel="0" collapsed="false">
      <c r="B20" s="9" t="s">
        <v>134</v>
      </c>
      <c r="C20" s="30"/>
      <c r="D20" s="39"/>
      <c r="E20" s="40"/>
    </row>
    <row r="21" customFormat="false" ht="19.5" hidden="false" customHeight="true" outlineLevel="0" collapsed="false">
      <c r="B21" s="9" t="s">
        <v>135</v>
      </c>
      <c r="C21" s="30"/>
      <c r="D21" s="39"/>
      <c r="E21" s="40"/>
    </row>
    <row r="22" customFormat="false" ht="30" hidden="false" customHeight="true" outlineLevel="0" collapsed="false">
      <c r="B22" s="9" t="s">
        <v>136</v>
      </c>
      <c r="C22" s="30"/>
      <c r="D22" s="39"/>
      <c r="E22" s="40"/>
    </row>
    <row r="23" customFormat="false" ht="19.5" hidden="false" customHeight="true" outlineLevel="0" collapsed="false">
      <c r="B23" s="9" t="s">
        <v>137</v>
      </c>
      <c r="C23" s="30"/>
      <c r="D23" s="39"/>
      <c r="E23" s="40"/>
    </row>
    <row r="24" customFormat="false" ht="19.5" hidden="false" customHeight="true" outlineLevel="0" collapsed="false">
      <c r="B24" s="9" t="s">
        <v>138</v>
      </c>
      <c r="C24" s="30"/>
      <c r="D24" s="39"/>
      <c r="E24" s="40"/>
    </row>
    <row r="25" customFormat="false" ht="19.5" hidden="false" customHeight="true" outlineLevel="0" collapsed="false">
      <c r="B25" s="9" t="s">
        <v>139</v>
      </c>
      <c r="C25" s="30"/>
      <c r="D25" s="39"/>
      <c r="E25" s="40"/>
    </row>
    <row r="27" customFormat="false" ht="19.5" hidden="false" customHeight="true" outlineLevel="0" collapsed="false">
      <c r="B27" s="3" t="s">
        <v>140</v>
      </c>
      <c r="C27" s="3"/>
      <c r="D27" s="3"/>
      <c r="E27" s="3"/>
    </row>
    <row r="28" customFormat="false" ht="13.5" hidden="false" customHeight="true" outlineLevel="0" collapsed="false">
      <c r="B28" s="38" t="s">
        <v>118</v>
      </c>
      <c r="C28" s="38" t="s">
        <v>119</v>
      </c>
      <c r="D28" s="38" t="s">
        <v>120</v>
      </c>
      <c r="E28" s="38" t="s">
        <v>121</v>
      </c>
    </row>
    <row r="29" customFormat="false" ht="30" hidden="false" customHeight="true" outlineLevel="0" collapsed="false">
      <c r="B29" s="9" t="s">
        <v>141</v>
      </c>
      <c r="C29" s="30"/>
      <c r="D29" s="39"/>
      <c r="E29" s="40"/>
    </row>
    <row r="30" customFormat="false" ht="30" hidden="false" customHeight="true" outlineLevel="0" collapsed="false">
      <c r="B30" s="9" t="s">
        <v>142</v>
      </c>
      <c r="C30" s="30"/>
      <c r="D30" s="39"/>
      <c r="E30" s="40"/>
    </row>
    <row r="31" customFormat="false" ht="30" hidden="false" customHeight="true" outlineLevel="0" collapsed="false">
      <c r="B31" s="9" t="s">
        <v>143</v>
      </c>
      <c r="C31" s="30"/>
      <c r="D31" s="39"/>
      <c r="E31" s="40"/>
    </row>
    <row r="32" customFormat="false" ht="30" hidden="false" customHeight="true" outlineLevel="0" collapsed="false">
      <c r="B32" s="9" t="s">
        <v>144</v>
      </c>
      <c r="C32" s="30"/>
      <c r="D32" s="39"/>
      <c r="E32" s="40"/>
    </row>
    <row r="33" customFormat="false" ht="30" hidden="false" customHeight="true" outlineLevel="0" collapsed="false">
      <c r="B33" s="9" t="s">
        <v>145</v>
      </c>
      <c r="C33" s="30"/>
      <c r="D33" s="39"/>
      <c r="E33" s="40"/>
    </row>
    <row r="35" customFormat="false" ht="19.5" hidden="false" customHeight="true" outlineLevel="0" collapsed="false">
      <c r="B35" s="3" t="s">
        <v>146</v>
      </c>
      <c r="C35" s="3"/>
      <c r="D35" s="3"/>
      <c r="E35" s="3"/>
    </row>
    <row r="36" customFormat="false" ht="13.5" hidden="false" customHeight="true" outlineLevel="0" collapsed="false">
      <c r="B36" s="38" t="s">
        <v>118</v>
      </c>
      <c r="C36" s="38" t="s">
        <v>119</v>
      </c>
      <c r="D36" s="38" t="s">
        <v>120</v>
      </c>
      <c r="E36" s="38" t="s">
        <v>121</v>
      </c>
    </row>
    <row r="37" customFormat="false" ht="30" hidden="false" customHeight="true" outlineLevel="0" collapsed="false">
      <c r="B37" s="9" t="s">
        <v>147</v>
      </c>
      <c r="C37" s="30"/>
      <c r="D37" s="39"/>
      <c r="E37" s="40"/>
    </row>
    <row r="38" customFormat="false" ht="30" hidden="false" customHeight="true" outlineLevel="0" collapsed="false">
      <c r="B38" s="9" t="s">
        <v>148</v>
      </c>
      <c r="C38" s="30"/>
      <c r="D38" s="39"/>
      <c r="E38" s="40"/>
    </row>
    <row r="39" customFormat="false" ht="30" hidden="false" customHeight="true" outlineLevel="0" collapsed="false">
      <c r="B39" s="9" t="s">
        <v>149</v>
      </c>
      <c r="C39" s="30"/>
      <c r="D39" s="39"/>
      <c r="E39" s="40"/>
    </row>
    <row r="40" customFormat="false" ht="19.5" hidden="false" customHeight="true" outlineLevel="0" collapsed="false">
      <c r="B40" s="9" t="s">
        <v>150</v>
      </c>
      <c r="C40" s="30"/>
      <c r="D40" s="39"/>
      <c r="E40" s="40"/>
    </row>
    <row r="42" customFormat="false" ht="15" hidden="false" customHeight="false" outlineLevel="0" collapsed="false">
      <c r="B42" s="21" t="s">
        <v>151</v>
      </c>
      <c r="C42" s="41" t="n">
        <f aca="false">26-(COUNTIF($C$6:$C$15,"ja")+COUNTIF($C$19:$C$25,"ja")+COUNTIF($C$29:$C$33,"ja")+COUNTIF($C$37:$C$40,"ja"))</f>
        <v>26</v>
      </c>
      <c r="D42" s="42" t="s">
        <v>152</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3" customFormat="false" ht="19.5" hidden="false" customHeight="true" outlineLevel="0" collapsed="false">
      <c r="A3" s="3" t="s">
        <v>155</v>
      </c>
      <c r="B3" s="3"/>
      <c r="C3" s="3"/>
      <c r="D3" s="3"/>
      <c r="E3" s="3"/>
      <c r="F3" s="3"/>
      <c r="G3" s="3"/>
      <c r="H3" s="3"/>
      <c r="I3" s="3"/>
      <c r="J3" s="3"/>
    </row>
    <row r="4" customFormat="false" ht="18" hidden="false" customHeight="true" outlineLevel="0" collapsed="false">
      <c r="A4" s="25" t="s">
        <v>156</v>
      </c>
      <c r="B4" s="25"/>
      <c r="C4" s="25" t="s">
        <v>157</v>
      </c>
      <c r="D4" s="25" t="s">
        <v>158</v>
      </c>
      <c r="E4" s="25" t="s">
        <v>159</v>
      </c>
    </row>
    <row r="5" customFormat="false" ht="18" hidden="false" customHeight="true" outlineLevel="0" collapsed="false">
      <c r="A5" s="43" t="s">
        <v>160</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161</v>
      </c>
      <c r="G5" s="29"/>
      <c r="H5" s="29"/>
      <c r="I5" s="29"/>
      <c r="J5" s="29"/>
    </row>
    <row r="6" customFormat="false" ht="18" hidden="false" customHeight="true" outlineLevel="0" collapsed="false">
      <c r="A6" s="43" t="s">
        <v>162</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163</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164</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165</v>
      </c>
      <c r="B10" s="3"/>
      <c r="C10" s="3"/>
      <c r="D10" s="3"/>
      <c r="E10" s="3"/>
      <c r="F10" s="3"/>
      <c r="G10" s="3"/>
      <c r="H10" s="3"/>
      <c r="I10" s="3"/>
      <c r="J10" s="3"/>
    </row>
    <row r="11" customFormat="false" ht="17.25" hidden="false" customHeight="true" outlineLevel="0" collapsed="false">
      <c r="A11" s="47" t="s">
        <v>166</v>
      </c>
      <c r="B11" s="47"/>
      <c r="C11" s="47"/>
      <c r="D11" s="47"/>
      <c r="E11" s="47"/>
      <c r="F11" s="47"/>
      <c r="G11" s="47"/>
      <c r="H11" s="47"/>
      <c r="I11" s="47"/>
      <c r="J11" s="47"/>
    </row>
    <row r="12" customFormat="false" ht="17.25" hidden="false" customHeight="true" outlineLevel="0" collapsed="false">
      <c r="A12" s="47" t="s">
        <v>167</v>
      </c>
      <c r="B12" s="47"/>
      <c r="C12" s="47"/>
      <c r="D12" s="47"/>
      <c r="E12" s="47"/>
      <c r="F12" s="47"/>
      <c r="G12" s="47"/>
      <c r="H12" s="47"/>
      <c r="I12" s="47"/>
      <c r="J12" s="47"/>
    </row>
    <row r="13" customFormat="false" ht="17.25" hidden="false" customHeight="true" outlineLevel="0" collapsed="false">
      <c r="A13" s="47" t="s">
        <v>168</v>
      </c>
      <c r="B13" s="47"/>
      <c r="C13" s="47"/>
      <c r="D13" s="47"/>
      <c r="E13" s="47"/>
      <c r="F13" s="47"/>
      <c r="G13" s="47"/>
      <c r="H13" s="47"/>
      <c r="I13" s="47"/>
      <c r="J13" s="47"/>
    </row>
    <row r="14" customFormat="false" ht="17.25" hidden="false" customHeight="true" outlineLevel="0" collapsed="false">
      <c r="A14" s="47" t="s">
        <v>169</v>
      </c>
      <c r="B14" s="47"/>
      <c r="C14" s="47"/>
      <c r="D14" s="47"/>
      <c r="E14" s="47"/>
      <c r="F14" s="47"/>
      <c r="G14" s="47"/>
      <c r="H14" s="47"/>
      <c r="I14" s="47"/>
      <c r="J14" s="47"/>
    </row>
    <row r="15" customFormat="false" ht="31.5" hidden="false" customHeight="true" outlineLevel="0" collapsed="false">
      <c r="A15" s="25" t="s">
        <v>69</v>
      </c>
      <c r="B15" s="25" t="s">
        <v>170</v>
      </c>
      <c r="C15" s="25" t="s">
        <v>171</v>
      </c>
      <c r="D15" s="25" t="s">
        <v>172</v>
      </c>
      <c r="E15" s="25" t="s">
        <v>173</v>
      </c>
      <c r="F15" s="25" t="s">
        <v>174</v>
      </c>
      <c r="G15" s="25" t="s">
        <v>175</v>
      </c>
      <c r="H15" s="25" t="s">
        <v>176</v>
      </c>
      <c r="I15" s="25" t="s">
        <v>177</v>
      </c>
      <c r="J15" s="25" t="s">
        <v>178</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179</v>
      </c>
      <c r="B1" s="1"/>
      <c r="C1" s="1"/>
      <c r="D1" s="1"/>
      <c r="E1" s="1"/>
      <c r="F1" s="1"/>
      <c r="G1" s="1"/>
    </row>
    <row r="2" customFormat="false" ht="25.5" hidden="false" customHeight="true" outlineLevel="0" collapsed="false">
      <c r="A2" s="52" t="s">
        <v>180</v>
      </c>
      <c r="B2" s="52"/>
      <c r="C2" s="52"/>
      <c r="D2" s="52"/>
      <c r="E2" s="52"/>
      <c r="F2" s="52"/>
      <c r="G2" s="52"/>
    </row>
    <row r="4" customFormat="false" ht="19.5" hidden="false" customHeight="true" outlineLevel="0" collapsed="false">
      <c r="A4" s="3" t="s">
        <v>181</v>
      </c>
      <c r="B4" s="3"/>
      <c r="C4" s="3"/>
      <c r="D4" s="3"/>
      <c r="E4" s="3"/>
      <c r="F4" s="3"/>
      <c r="G4" s="3"/>
    </row>
    <row r="5" customFormat="false" ht="30" hidden="false" customHeight="true" outlineLevel="0" collapsed="false">
      <c r="A5" s="36" t="s">
        <v>182</v>
      </c>
      <c r="B5" s="9" t="s">
        <v>183</v>
      </c>
      <c r="C5" s="9"/>
      <c r="D5" s="9"/>
      <c r="E5" s="9"/>
      <c r="F5" s="9"/>
      <c r="G5" s="9"/>
    </row>
    <row r="6" customFormat="false" ht="30" hidden="false" customHeight="true" outlineLevel="0" collapsed="false">
      <c r="A6" s="36" t="s">
        <v>184</v>
      </c>
      <c r="B6" s="9" t="s">
        <v>185</v>
      </c>
      <c r="C6" s="9"/>
      <c r="D6" s="9"/>
      <c r="E6" s="9"/>
      <c r="F6" s="9"/>
      <c r="G6" s="9"/>
    </row>
    <row r="7" customFormat="false" ht="17.25" hidden="false" customHeight="true" outlineLevel="0" collapsed="false">
      <c r="A7" s="36" t="s">
        <v>186</v>
      </c>
      <c r="B7" s="9" t="s">
        <v>187</v>
      </c>
      <c r="C7" s="9"/>
      <c r="D7" s="9"/>
      <c r="E7" s="9"/>
      <c r="F7" s="9"/>
      <c r="G7" s="9"/>
    </row>
    <row r="8" customFormat="false" ht="30" hidden="false" customHeight="true" outlineLevel="0" collapsed="false">
      <c r="A8" s="36" t="s">
        <v>188</v>
      </c>
      <c r="B8" s="9" t="s">
        <v>189</v>
      </c>
      <c r="C8" s="9"/>
      <c r="D8" s="9"/>
      <c r="E8" s="9"/>
      <c r="F8" s="9"/>
      <c r="G8" s="9"/>
    </row>
    <row r="9" customFormat="false" ht="17.25" hidden="false" customHeight="true" outlineLevel="0" collapsed="false">
      <c r="A9" s="36" t="s">
        <v>190</v>
      </c>
      <c r="B9" s="9" t="s">
        <v>191</v>
      </c>
      <c r="C9" s="9"/>
      <c r="D9" s="9"/>
      <c r="E9" s="9"/>
      <c r="F9" s="9"/>
      <c r="G9" s="9"/>
    </row>
    <row r="11" customFormat="false" ht="19.5" hidden="false" customHeight="true" outlineLevel="0" collapsed="false">
      <c r="A11" s="3" t="s">
        <v>192</v>
      </c>
      <c r="B11" s="3"/>
      <c r="C11" s="3"/>
      <c r="D11" s="3"/>
      <c r="E11" s="3"/>
      <c r="F11" s="3"/>
      <c r="G11" s="3"/>
    </row>
    <row r="12" customFormat="false" ht="30" hidden="false" customHeight="true" outlineLevel="0" collapsed="false">
      <c r="A12" s="25" t="s">
        <v>193</v>
      </c>
      <c r="B12" s="25" t="s">
        <v>194</v>
      </c>
      <c r="C12" s="25" t="s">
        <v>195</v>
      </c>
      <c r="D12" s="25" t="s">
        <v>196</v>
      </c>
      <c r="E12" s="25" t="s">
        <v>197</v>
      </c>
      <c r="F12" s="25" t="s">
        <v>198</v>
      </c>
      <c r="G12" s="25" t="s">
        <v>199</v>
      </c>
    </row>
    <row r="13" customFormat="false" ht="67.5" hidden="false" customHeight="true" outlineLevel="0" collapsed="false">
      <c r="A13" s="53" t="s">
        <v>200</v>
      </c>
      <c r="B13" s="54" t="s">
        <v>201</v>
      </c>
      <c r="C13" s="29" t="s">
        <v>202</v>
      </c>
      <c r="D13" s="29" t="s">
        <v>203</v>
      </c>
      <c r="E13" s="29" t="s">
        <v>204</v>
      </c>
      <c r="F13" s="29" t="s">
        <v>205</v>
      </c>
      <c r="G13" s="29" t="s">
        <v>206</v>
      </c>
    </row>
    <row r="14" customFormat="false" ht="79.5" hidden="false" customHeight="true" outlineLevel="0" collapsed="false">
      <c r="A14" s="55" t="s">
        <v>207</v>
      </c>
      <c r="B14" s="56" t="s">
        <v>208</v>
      </c>
      <c r="C14" s="9" t="s">
        <v>209</v>
      </c>
      <c r="D14" s="9" t="s">
        <v>210</v>
      </c>
      <c r="E14" s="9" t="s">
        <v>211</v>
      </c>
      <c r="F14" s="9" t="s">
        <v>212</v>
      </c>
      <c r="G14" s="9" t="s">
        <v>213</v>
      </c>
    </row>
    <row r="15" customFormat="false" ht="67.5" hidden="false" customHeight="true" outlineLevel="0" collapsed="false">
      <c r="A15" s="53" t="s">
        <v>214</v>
      </c>
      <c r="B15" s="54" t="s">
        <v>215</v>
      </c>
      <c r="C15" s="29" t="s">
        <v>216</v>
      </c>
      <c r="D15" s="29" t="s">
        <v>217</v>
      </c>
      <c r="E15" s="29" t="s">
        <v>218</v>
      </c>
      <c r="F15" s="29" t="s">
        <v>219</v>
      </c>
      <c r="G15" s="29" t="s">
        <v>220</v>
      </c>
    </row>
    <row r="16" customFormat="false" ht="67.5" hidden="false" customHeight="true" outlineLevel="0" collapsed="false">
      <c r="A16" s="55" t="s">
        <v>221</v>
      </c>
      <c r="B16" s="56" t="s">
        <v>222</v>
      </c>
      <c r="C16" s="9" t="s">
        <v>223</v>
      </c>
      <c r="D16" s="9" t="s">
        <v>224</v>
      </c>
      <c r="E16" s="9" t="s">
        <v>225</v>
      </c>
      <c r="F16" s="9" t="s">
        <v>226</v>
      </c>
      <c r="G16" s="9" t="s">
        <v>227</v>
      </c>
    </row>
    <row r="17" customFormat="false" ht="54.75" hidden="false" customHeight="true" outlineLevel="0" collapsed="false">
      <c r="A17" s="53" t="s">
        <v>228</v>
      </c>
      <c r="B17" s="54" t="s">
        <v>229</v>
      </c>
      <c r="C17" s="29" t="s">
        <v>230</v>
      </c>
      <c r="D17" s="29" t="s">
        <v>231</v>
      </c>
      <c r="E17" s="29" t="s">
        <v>232</v>
      </c>
      <c r="F17" s="29" t="s">
        <v>233</v>
      </c>
      <c r="G17" s="29" t="s">
        <v>234</v>
      </c>
    </row>
    <row r="19" customFormat="false" ht="19.5" hidden="false" customHeight="true" outlineLevel="0" collapsed="false">
      <c r="A19" s="3" t="s">
        <v>235</v>
      </c>
      <c r="B19" s="3"/>
      <c r="C19" s="3"/>
      <c r="D19" s="3"/>
      <c r="E19" s="3"/>
      <c r="F19" s="3"/>
      <c r="G19" s="3"/>
    </row>
    <row r="20" customFormat="false" ht="42" hidden="false" customHeight="true" outlineLevel="0" collapsed="false">
      <c r="A20" s="57" t="s">
        <v>236</v>
      </c>
      <c r="B20" s="57"/>
      <c r="C20" s="57"/>
      <c r="D20" s="57"/>
      <c r="E20" s="57"/>
      <c r="F20" s="57"/>
      <c r="G20" s="57"/>
    </row>
    <row r="22" customFormat="false" ht="19.5" hidden="false" customHeight="true" outlineLevel="0" collapsed="false">
      <c r="A22" s="3" t="s">
        <v>237</v>
      </c>
      <c r="B22" s="3"/>
      <c r="C22" s="3"/>
      <c r="D22" s="3"/>
      <c r="E22" s="3"/>
      <c r="F22" s="3"/>
      <c r="G22" s="3"/>
    </row>
    <row r="23" customFormat="false" ht="30" hidden="false" customHeight="true" outlineLevel="0" collapsed="false">
      <c r="A23" s="36" t="s">
        <v>238</v>
      </c>
      <c r="B23" s="58" t="s">
        <v>239</v>
      </c>
      <c r="C23" s="9" t="s">
        <v>240</v>
      </c>
      <c r="D23" s="9"/>
      <c r="E23" s="9"/>
      <c r="F23" s="9"/>
      <c r="G23" s="9"/>
    </row>
    <row r="24" customFormat="false" ht="17.25" hidden="false" customHeight="true" outlineLevel="0" collapsed="false">
      <c r="A24" s="36" t="s">
        <v>241</v>
      </c>
      <c r="B24" s="59" t="s">
        <v>242</v>
      </c>
      <c r="C24" s="9" t="s">
        <v>243</v>
      </c>
      <c r="D24" s="9"/>
      <c r="E24" s="9"/>
      <c r="F24" s="9"/>
      <c r="G24" s="9"/>
    </row>
    <row r="25" customFormat="false" ht="30" hidden="false" customHeight="true" outlineLevel="0" collapsed="false">
      <c r="A25" s="36" t="s">
        <v>244</v>
      </c>
      <c r="B25" s="59" t="s">
        <v>242</v>
      </c>
      <c r="C25" s="9" t="s">
        <v>245</v>
      </c>
      <c r="D25" s="9"/>
      <c r="E25" s="9"/>
      <c r="F25" s="9"/>
      <c r="G25" s="9"/>
    </row>
    <row r="26" customFormat="false" ht="30" hidden="false" customHeight="true" outlineLevel="0" collapsed="false">
      <c r="A26" s="36" t="s">
        <v>246</v>
      </c>
      <c r="B26" s="59" t="s">
        <v>247</v>
      </c>
      <c r="C26" s="9" t="s">
        <v>248</v>
      </c>
      <c r="D26" s="9"/>
      <c r="E26" s="9"/>
      <c r="F26" s="9"/>
      <c r="G26" s="9"/>
    </row>
    <row r="27" customFormat="false" ht="30" hidden="false" customHeight="true" outlineLevel="0" collapsed="false">
      <c r="A27" s="36" t="s">
        <v>249</v>
      </c>
      <c r="B27" s="58" t="s">
        <v>250</v>
      </c>
      <c r="C27" s="9" t="s">
        <v>251</v>
      </c>
      <c r="D27" s="9"/>
      <c r="E27" s="9"/>
      <c r="F27" s="9"/>
      <c r="G27" s="9"/>
    </row>
    <row r="28" customFormat="false" ht="17.25" hidden="false" customHeight="true" outlineLevel="0" collapsed="false">
      <c r="A28" s="36" t="s">
        <v>252</v>
      </c>
      <c r="B28" s="58" t="s">
        <v>239</v>
      </c>
      <c r="C28" s="9" t="s">
        <v>253</v>
      </c>
      <c r="D28" s="9"/>
      <c r="E28" s="9"/>
      <c r="F28" s="9"/>
      <c r="G28" s="9"/>
    </row>
    <row r="29" customFormat="false" ht="30" hidden="false" customHeight="true" outlineLevel="0" collapsed="false">
      <c r="A29" s="36" t="s">
        <v>254</v>
      </c>
      <c r="B29" s="58" t="s">
        <v>255</v>
      </c>
      <c r="C29" s="9" t="s">
        <v>256</v>
      </c>
      <c r="D29" s="9"/>
      <c r="E29" s="9"/>
      <c r="F29" s="9"/>
      <c r="G29" s="9"/>
    </row>
    <row r="31" customFormat="false" ht="25.5" hidden="false" customHeight="true" outlineLevel="0" collapsed="false">
      <c r="A31" s="60" t="s">
        <v>257</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258</v>
      </c>
      <c r="B1" s="1"/>
      <c r="C1" s="1"/>
      <c r="D1" s="1"/>
      <c r="E1" s="1"/>
      <c r="F1" s="1"/>
      <c r="G1" s="1"/>
      <c r="H1" s="1"/>
      <c r="I1" s="1"/>
      <c r="J1" s="1"/>
      <c r="K1" s="1"/>
    </row>
    <row r="2" customFormat="false" ht="15" hidden="false" customHeight="true" outlineLevel="0" collapsed="false">
      <c r="A2" s="2" t="s">
        <v>259</v>
      </c>
      <c r="B2" s="2"/>
      <c r="C2" s="2"/>
      <c r="D2" s="2"/>
      <c r="E2" s="2"/>
      <c r="F2" s="2"/>
      <c r="G2" s="2"/>
      <c r="H2" s="2"/>
      <c r="I2" s="2"/>
      <c r="J2" s="2"/>
      <c r="K2" s="2"/>
    </row>
    <row r="3" customFormat="false" ht="31.5" hidden="false" customHeight="true" outlineLevel="0" collapsed="false">
      <c r="A3" s="25" t="s">
        <v>260</v>
      </c>
      <c r="B3" s="25" t="s">
        <v>69</v>
      </c>
      <c r="C3" s="25" t="s">
        <v>261</v>
      </c>
      <c r="D3" s="25" t="s">
        <v>262</v>
      </c>
      <c r="E3" s="25" t="s">
        <v>263</v>
      </c>
      <c r="F3" s="25" t="s">
        <v>264</v>
      </c>
      <c r="G3" s="25" t="s">
        <v>265</v>
      </c>
      <c r="H3" s="25" t="s">
        <v>266</v>
      </c>
      <c r="I3" s="25" t="s">
        <v>267</v>
      </c>
      <c r="J3" s="25" t="s">
        <v>268</v>
      </c>
      <c r="K3" s="25" t="s">
        <v>178</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n">
        <f aca="false">IF(COUNTIFS(Log!$B$4:$B$1203,$A10,Log!$E$4:$E$1203,"A")=0,"",COUNTIFS(Log!$B$4:$B$1203,$A10,Log!$E$4:$E$1203,"A"))</f>
        <v>12</v>
      </c>
      <c r="I10" s="44" t="n">
        <f aca="false">IF($H10="","",SUMIFS(Log!$I$4:$I$1203,Log!$B$4:$B$1203,$A10,Log!$E$4:$E$1203,"A"))</f>
        <v>18167</v>
      </c>
      <c r="J10" s="44" t="n">
        <f aca="false">IF($H10="","",SUMIFS(Log!$I$4:$I$1203,Log!$B$4:$B$1203,$A10))</f>
        <v>18167</v>
      </c>
      <c r="K10" s="51"/>
    </row>
    <row r="11" customFormat="false" ht="18" hidden="false" customHeight="true" outlineLevel="0" collapsed="false">
      <c r="A11" s="61" t="n">
        <v>8</v>
      </c>
      <c r="B11" s="48"/>
      <c r="C11" s="51"/>
      <c r="D11" s="50"/>
      <c r="E11" s="62"/>
      <c r="F11" s="50"/>
      <c r="G11" s="62"/>
      <c r="H11" s="44" t="n">
        <f aca="false">IF(COUNTIFS(Log!$B$4:$B$1203,$A11,Log!$E$4:$E$1203,"A")=0,"",COUNTIFS(Log!$B$4:$B$1203,$A11,Log!$E$4:$E$1203,"A"))</f>
        <v>12</v>
      </c>
      <c r="I11" s="44" t="n">
        <f aca="false">IF($H11="","",SUMIFS(Log!$I$4:$I$1203,Log!$B$4:$B$1203,$A11,Log!$E$4:$E$1203,"A"))</f>
        <v>14853.5</v>
      </c>
      <c r="J11" s="44" t="n">
        <f aca="false">IF($H11="","",SUMIFS(Log!$I$4:$I$1203,Log!$B$4:$B$1203,$A11))</f>
        <v>14853.5</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269</v>
      </c>
      <c r="B64" s="64"/>
      <c r="C64" s="64"/>
      <c r="D64" s="64"/>
      <c r="E64" s="64"/>
      <c r="F64" s="64"/>
      <c r="G64" s="64"/>
      <c r="H64" s="65" t="n">
        <f aca="false">SUM(H4:H63)</f>
        <v>117</v>
      </c>
      <c r="I64" s="65" t="n">
        <f aca="false">SUM(I4:I63)</f>
        <v>147458</v>
      </c>
      <c r="J64" s="65" t="n">
        <f aca="false">SUM(J4:J63)</f>
        <v>167345.5</v>
      </c>
      <c r="K64" s="64"/>
    </row>
    <row r="66" customFormat="false" ht="15" hidden="false" customHeight="false" outlineLevel="0" collapsed="false">
      <c r="A66" s="19" t="s">
        <v>270</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271</v>
      </c>
      <c r="B1" s="1"/>
      <c r="C1" s="1"/>
      <c r="D1" s="1"/>
      <c r="E1" s="1"/>
      <c r="F1" s="1"/>
      <c r="G1" s="1"/>
      <c r="H1" s="1"/>
      <c r="I1" s="1"/>
      <c r="J1" s="1"/>
      <c r="K1" s="1"/>
      <c r="L1" s="1"/>
    </row>
    <row r="2" customFormat="false" ht="15" hidden="false" customHeight="true" outlineLevel="0" collapsed="false">
      <c r="A2" s="2" t="s">
        <v>272</v>
      </c>
      <c r="B2" s="2"/>
      <c r="C2" s="2"/>
      <c r="D2" s="2"/>
      <c r="E2" s="2"/>
      <c r="F2" s="2"/>
      <c r="G2" s="2"/>
      <c r="H2" s="2"/>
      <c r="I2" s="2"/>
      <c r="J2" s="2"/>
      <c r="K2" s="2"/>
      <c r="L2" s="2"/>
    </row>
    <row r="3" customFormat="false" ht="31.5" hidden="false" customHeight="true" outlineLevel="0" collapsed="false">
      <c r="A3" s="25" t="s">
        <v>69</v>
      </c>
      <c r="B3" s="25" t="s">
        <v>260</v>
      </c>
      <c r="C3" s="25" t="s">
        <v>273</v>
      </c>
      <c r="D3" s="25" t="s">
        <v>97</v>
      </c>
      <c r="E3" s="25" t="s">
        <v>274</v>
      </c>
      <c r="F3" s="25" t="s">
        <v>275</v>
      </c>
      <c r="G3" s="25" t="s">
        <v>276</v>
      </c>
      <c r="H3" s="25" t="s">
        <v>46</v>
      </c>
      <c r="I3" s="25" t="s">
        <v>277</v>
      </c>
      <c r="J3" s="25" t="s">
        <v>278</v>
      </c>
      <c r="K3" s="25" t="s">
        <v>279</v>
      </c>
      <c r="L3" s="25" t="s">
        <v>178</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IFERROR(IF($D4="","",INDEX(Übungen!$B$4:$B$19,MATCH($D4,Übungen!$A$4:$A$19,0))),"")</f>
        <v>Beine vorne</v>
      </c>
      <c r="D4" s="51" t="s">
        <v>280</v>
      </c>
      <c r="E4" s="61" t="s">
        <v>281</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IFERROR(IF($D5="","",INDEX(Übungen!$B$4:$B$19,MATCH($D5,Übungen!$A$4:$A$19,0))),"")</f>
        <v>Beine vorne</v>
      </c>
      <c r="D5" s="51" t="s">
        <v>280</v>
      </c>
      <c r="E5" s="61" t="s">
        <v>282</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IFERROR(IF($D6="","",INDEX(Übungen!$B$4:$B$19,MATCH($D6,Übungen!$A$4:$A$19,0))),"")</f>
        <v>Beine vorne</v>
      </c>
      <c r="D6" s="51" t="s">
        <v>280</v>
      </c>
      <c r="E6" s="61" t="s">
        <v>282</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IFERROR(IF($D7="","",INDEX(Übungen!$B$4:$B$19,MATCH($D7,Übungen!$A$4:$A$19,0))),"")</f>
        <v>Beine vorne</v>
      </c>
      <c r="D7" s="51" t="s">
        <v>280</v>
      </c>
      <c r="E7" s="61" t="s">
        <v>283</v>
      </c>
      <c r="F7" s="50" t="n">
        <v>110</v>
      </c>
      <c r="G7" s="62" t="n">
        <v>10</v>
      </c>
      <c r="H7" s="50"/>
      <c r="I7" s="44" t="str">
        <f aca="false">IF(AND(ISNUMBER($F7),ISNUMBER($G7),$E7&lt;&gt;"R"),$F7*$G7,"")</f>
        <v/>
      </c>
      <c r="J7" s="46" t="str">
        <f aca="false">IF(AND($E7="A",ISNUMBER($F7),ISNUMBER($G7)),$F7*(1+$G7/30),"")</f>
        <v/>
      </c>
      <c r="K7" s="51" t="s">
        <v>284</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IFERROR(IF($D8="","",INDEX(Übungen!$B$4:$B$19,MATCH($D8,Übungen!$A$4:$A$19,0))),"")</f>
        <v>Beine vorne</v>
      </c>
      <c r="D8" s="51" t="s">
        <v>280</v>
      </c>
      <c r="E8" s="61" t="s">
        <v>281</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IFERROR(IF($D9="","",INDEX(Übungen!$B$4:$B$19,MATCH($D9,Übungen!$A$4:$A$19,0))),"")</f>
        <v>Beine vorne</v>
      </c>
      <c r="D9" s="51" t="s">
        <v>280</v>
      </c>
      <c r="E9" s="61" t="s">
        <v>282</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IFERROR(IF($D10="","",INDEX(Übungen!$B$4:$B$19,MATCH($D10,Übungen!$A$4:$A$19,0))),"")</f>
        <v>Beine vorne</v>
      </c>
      <c r="D10" s="51" t="s">
        <v>280</v>
      </c>
      <c r="E10" s="61" t="s">
        <v>282</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IFERROR(IF($D11="","",INDEX(Übungen!$B$4:$B$19,MATCH($D11,Übungen!$A$4:$A$19,0))),"")</f>
        <v>Beine vorne</v>
      </c>
      <c r="D11" s="51" t="s">
        <v>280</v>
      </c>
      <c r="E11" s="61" t="s">
        <v>283</v>
      </c>
      <c r="F11" s="50" t="n">
        <v>110</v>
      </c>
      <c r="G11" s="62" t="n">
        <v>10</v>
      </c>
      <c r="H11" s="50"/>
      <c r="I11" s="44" t="str">
        <f aca="false">IF(AND(ISNUMBER($F11),ISNUMBER($G11),$E11&lt;&gt;"R"),$F11*$G11,"")</f>
        <v/>
      </c>
      <c r="J11" s="46" t="str">
        <f aca="false">IF(AND($E11="A",ISNUMBER($F11),ISNUMBER($G11)),$F11*(1+$G11/30),"")</f>
        <v/>
      </c>
      <c r="K11" s="51" t="s">
        <v>285</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IFERROR(IF($D12="","",INDEX(Übungen!$B$4:$B$19,MATCH($D12,Übungen!$A$4:$A$19,0))),"")</f>
        <v>Beine vorne</v>
      </c>
      <c r="D12" s="51" t="s">
        <v>280</v>
      </c>
      <c r="E12" s="61" t="s">
        <v>281</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IFERROR(IF($D13="","",INDEX(Übungen!$B$4:$B$19,MATCH($D13,Übungen!$A$4:$A$19,0))),"")</f>
        <v>Beine vorne</v>
      </c>
      <c r="D13" s="51" t="s">
        <v>280</v>
      </c>
      <c r="E13" s="61" t="s">
        <v>281</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IFERROR(IF($D14="","",INDEX(Übungen!$B$4:$B$19,MATCH($D14,Übungen!$A$4:$A$19,0))),"")</f>
        <v>Beine vorne</v>
      </c>
      <c r="D14" s="51" t="s">
        <v>280</v>
      </c>
      <c r="E14" s="61" t="s">
        <v>282</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IFERROR(IF($D15="","",INDEX(Übungen!$B$4:$B$19,MATCH($D15,Übungen!$A$4:$A$19,0))),"")</f>
        <v>Beine vorne</v>
      </c>
      <c r="D15" s="51" t="s">
        <v>280</v>
      </c>
      <c r="E15" s="61" t="s">
        <v>282</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IFERROR(IF($D16="","",INDEX(Übungen!$B$4:$B$19,MATCH($D16,Übungen!$A$4:$A$19,0))),"")</f>
        <v>Beine vorne</v>
      </c>
      <c r="D16" s="51" t="s">
        <v>280</v>
      </c>
      <c r="E16" s="61" t="s">
        <v>283</v>
      </c>
      <c r="F16" s="50" t="n">
        <v>110</v>
      </c>
      <c r="G16" s="62" t="n">
        <v>10</v>
      </c>
      <c r="H16" s="50"/>
      <c r="I16" s="44" t="str">
        <f aca="false">IF(AND(ISNUMBER($F16),ISNUMBER($G16),$E16&lt;&gt;"R"),$F16*$G16,"")</f>
        <v/>
      </c>
      <c r="J16" s="46" t="str">
        <f aca="false">IF(AND($E16="A",ISNUMBER($F16),ISNUMBER($G16)),$F16*(1+$G16/30),"")</f>
        <v/>
      </c>
      <c r="K16" s="51" t="s">
        <v>286</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IFERROR(IF($D17="","",INDEX(Übungen!$B$4:$B$19,MATCH($D17,Übungen!$A$4:$A$19,0))),"")</f>
        <v>Beine vorne</v>
      </c>
      <c r="D17" s="51" t="s">
        <v>280</v>
      </c>
      <c r="E17" s="61" t="s">
        <v>281</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IFERROR(IF($D18="","",INDEX(Übungen!$B$4:$B$19,MATCH($D18,Übungen!$A$4:$A$19,0))),"")</f>
        <v>Beine vorne</v>
      </c>
      <c r="D18" s="51" t="s">
        <v>280</v>
      </c>
      <c r="E18" s="61" t="s">
        <v>281</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IFERROR(IF($D19="","",INDEX(Übungen!$B$4:$B$19,MATCH($D19,Übungen!$A$4:$A$19,0))),"")</f>
        <v>Beine vorne</v>
      </c>
      <c r="D19" s="51" t="s">
        <v>280</v>
      </c>
      <c r="E19" s="61" t="s">
        <v>282</v>
      </c>
      <c r="F19" s="50" t="n">
        <v>152.5</v>
      </c>
      <c r="G19" s="62" t="n">
        <v>25</v>
      </c>
      <c r="H19" s="50"/>
      <c r="I19" s="44" t="n">
        <f aca="false">IF(AND(ISNUMBER($F19),ISNUMBER($G19),$E19&lt;&gt;"R"),$F19*$G19,"")</f>
        <v>3812.5</v>
      </c>
      <c r="J19" s="46" t="n">
        <f aca="false">IF(AND($E19="A",ISNUMBER($F19),ISNUMBER($G19)),$F19*(1+$G19/30),"")</f>
        <v>279.583333333333</v>
      </c>
      <c r="K19" s="51"/>
      <c r="L19" s="51" t="s">
        <v>287</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IFERROR(IF($D20="","",INDEX(Übungen!$B$4:$B$19,MATCH($D20,Übungen!$A$4:$A$19,0))),"")</f>
        <v>Beine vorne</v>
      </c>
      <c r="D20" s="51" t="s">
        <v>280</v>
      </c>
      <c r="E20" s="61" t="s">
        <v>282</v>
      </c>
      <c r="F20" s="50" t="n">
        <v>152.5</v>
      </c>
      <c r="G20" s="62" t="n">
        <v>20</v>
      </c>
      <c r="H20" s="50"/>
      <c r="I20" s="44" t="n">
        <f aca="false">IF(AND(ISNUMBER($F20),ISNUMBER($G20),$E20&lt;&gt;"R"),$F20*$G20,"")</f>
        <v>3050</v>
      </c>
      <c r="J20" s="46" t="n">
        <f aca="false">IF(AND($E20="A",ISNUMBER($F20),ISNUMBER($G20)),$F20*(1+$G20/30),"")</f>
        <v>254.166666666667</v>
      </c>
      <c r="K20" s="51"/>
      <c r="L20" s="51" t="s">
        <v>287</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IFERROR(IF($D21="","",INDEX(Übungen!$B$4:$B$19,MATCH($D21,Übungen!$A$4:$A$19,0))),"")</f>
        <v>Beine vorne</v>
      </c>
      <c r="D21" s="51" t="s">
        <v>280</v>
      </c>
      <c r="E21" s="61" t="s">
        <v>283</v>
      </c>
      <c r="F21" s="50" t="n">
        <v>125</v>
      </c>
      <c r="G21" s="62" t="n">
        <v>6</v>
      </c>
      <c r="H21" s="50"/>
      <c r="I21" s="44" t="str">
        <f aca="false">IF(AND(ISNUMBER($F21),ISNUMBER($G21),$E21&lt;&gt;"R"),$F21*$G21,"")</f>
        <v/>
      </c>
      <c r="J21" s="46" t="str">
        <f aca="false">IF(AND($E21="A",ISNUMBER($F21),ISNUMBER($G21)),$F21*(1+$G21/30),"")</f>
        <v/>
      </c>
      <c r="K21" s="51" t="s">
        <v>288</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IFERROR(IF($D22="","",INDEX(Übungen!$B$4:$B$19,MATCH($D22,Übungen!$A$4:$A$19,0))),"")</f>
        <v>Beine vorne</v>
      </c>
      <c r="D22" s="51" t="s">
        <v>289</v>
      </c>
      <c r="E22" s="61" t="s">
        <v>281</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IFERROR(IF($D23="","",INDEX(Übungen!$B$4:$B$19,MATCH($D23,Übungen!$A$4:$A$19,0))),"")</f>
        <v>Beine vorne</v>
      </c>
      <c r="D23" s="51" t="s">
        <v>289</v>
      </c>
      <c r="E23" s="61" t="s">
        <v>281</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IFERROR(IF($D24="","",INDEX(Übungen!$B$4:$B$19,MATCH($D24,Übungen!$A$4:$A$19,0))),"")</f>
        <v>Beine vorne</v>
      </c>
      <c r="D24" s="51" t="s">
        <v>289</v>
      </c>
      <c r="E24" s="61" t="s">
        <v>282</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IFERROR(IF($D25="","",INDEX(Übungen!$B$4:$B$19,MATCH($D25,Übungen!$A$4:$A$19,0))),"")</f>
        <v>Beine vorne</v>
      </c>
      <c r="D25" s="51" t="s">
        <v>289</v>
      </c>
      <c r="E25" s="61" t="s">
        <v>282</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IFERROR(IF($D26="","",INDEX(Übungen!$B$4:$B$19,MATCH($D26,Übungen!$A$4:$A$19,0))),"")</f>
        <v>Beine vorne</v>
      </c>
      <c r="D26" s="51" t="s">
        <v>289</v>
      </c>
      <c r="E26" s="61" t="s">
        <v>283</v>
      </c>
      <c r="F26" s="50" t="n">
        <v>55</v>
      </c>
      <c r="G26" s="62"/>
      <c r="H26" s="50"/>
      <c r="I26" s="44" t="str">
        <f aca="false">IF(AND(ISNUMBER($F26),ISNUMBER($G26),$E26&lt;&gt;"R"),$F26*$G26,"")</f>
        <v/>
      </c>
      <c r="J26" s="46" t="str">
        <f aca="false">IF(AND($E26="A",ISNUMBER($F26),ISNUMBER($G26)),$F26*(1+$G26/30),"")</f>
        <v/>
      </c>
      <c r="K26" s="51" t="s">
        <v>290</v>
      </c>
      <c r="L26" s="51" t="s">
        <v>291</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IFERROR(IF($D27="","",INDEX(Übungen!$B$4:$B$19,MATCH($D27,Übungen!$A$4:$A$19,0))),"")</f>
        <v>Beine vorne</v>
      </c>
      <c r="D27" s="51" t="s">
        <v>289</v>
      </c>
      <c r="E27" s="61" t="s">
        <v>281</v>
      </c>
      <c r="F27" s="50" t="n">
        <v>10</v>
      </c>
      <c r="G27" s="62"/>
      <c r="H27" s="50"/>
      <c r="I27" s="44" t="str">
        <f aca="false">IF(AND(ISNUMBER($F27),ISNUMBER($G27),$E27&lt;&gt;"R"),$F27*$G27,"")</f>
        <v/>
      </c>
      <c r="J27" s="46" t="str">
        <f aca="false">IF(AND($E27="A",ISNUMBER($F27),ISNUMBER($G27)),$F27*(1+$G27/30),"")</f>
        <v/>
      </c>
      <c r="K27" s="51"/>
      <c r="L27" s="51" t="s">
        <v>292</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IFERROR(IF($D28="","",INDEX(Übungen!$B$4:$B$19,MATCH($D28,Übungen!$A$4:$A$19,0))),"")</f>
        <v>Beine vorne</v>
      </c>
      <c r="D28" s="51" t="s">
        <v>289</v>
      </c>
      <c r="E28" s="61" t="s">
        <v>281</v>
      </c>
      <c r="F28" s="50" t="n">
        <v>20</v>
      </c>
      <c r="G28" s="62"/>
      <c r="H28" s="50"/>
      <c r="I28" s="44" t="str">
        <f aca="false">IF(AND(ISNUMBER($F28),ISNUMBER($G28),$E28&lt;&gt;"R"),$F28*$G28,"")</f>
        <v/>
      </c>
      <c r="J28" s="46" t="str">
        <f aca="false">IF(AND($E28="A",ISNUMBER($F28),ISNUMBER($G28)),$F28*(1+$G28/30),"")</f>
        <v/>
      </c>
      <c r="K28" s="51"/>
      <c r="L28" s="51" t="s">
        <v>292</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IFERROR(IF($D29="","",INDEX(Übungen!$B$4:$B$19,MATCH($D29,Übungen!$A$4:$A$19,0))),"")</f>
        <v>Beine vorne</v>
      </c>
      <c r="D29" s="51" t="s">
        <v>289</v>
      </c>
      <c r="E29" s="61" t="s">
        <v>282</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IFERROR(IF($D30="","",INDEX(Übungen!$B$4:$B$19,MATCH($D30,Übungen!$A$4:$A$19,0))),"")</f>
        <v>Beine vorne</v>
      </c>
      <c r="D30" s="51" t="s">
        <v>289</v>
      </c>
      <c r="E30" s="61" t="s">
        <v>282</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IFERROR(IF($D31="","",INDEX(Übungen!$B$4:$B$19,MATCH($D31,Übungen!$A$4:$A$19,0))),"")</f>
        <v>Beine vorne</v>
      </c>
      <c r="D31" s="51" t="s">
        <v>289</v>
      </c>
      <c r="E31" s="61" t="s">
        <v>283</v>
      </c>
      <c r="F31" s="50" t="n">
        <v>60</v>
      </c>
      <c r="G31" s="62" t="n">
        <v>10</v>
      </c>
      <c r="H31" s="50"/>
      <c r="I31" s="44" t="str">
        <f aca="false">IF(AND(ISNUMBER($F31),ISNUMBER($G31),$E31&lt;&gt;"R"),$F31*$G31,"")</f>
        <v/>
      </c>
      <c r="J31" s="46" t="str">
        <f aca="false">IF(AND($E31="A",ISNUMBER($F31),ISNUMBER($G31)),$F31*(1+$G31/30),"")</f>
        <v/>
      </c>
      <c r="K31" s="51" t="s">
        <v>293</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IFERROR(IF($D32="","",INDEX(Übungen!$B$4:$B$19,MATCH($D32,Übungen!$A$4:$A$19,0))),"")</f>
        <v>Beine vorne</v>
      </c>
      <c r="D32" s="51" t="s">
        <v>289</v>
      </c>
      <c r="E32" s="61" t="s">
        <v>281</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IFERROR(IF($D33="","",INDEX(Übungen!$B$4:$B$19,MATCH($D33,Übungen!$A$4:$A$19,0))),"")</f>
        <v>Beine vorne</v>
      </c>
      <c r="D33" s="51" t="s">
        <v>289</v>
      </c>
      <c r="E33" s="61" t="s">
        <v>281</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IFERROR(IF($D34="","",INDEX(Übungen!$B$4:$B$19,MATCH($D34,Übungen!$A$4:$A$19,0))),"")</f>
        <v>Beine vorne</v>
      </c>
      <c r="D34" s="51" t="s">
        <v>289</v>
      </c>
      <c r="E34" s="61" t="s">
        <v>282</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IFERROR(IF($D35="","",INDEX(Übungen!$B$4:$B$19,MATCH($D35,Übungen!$A$4:$A$19,0))),"")</f>
        <v>Beine vorne</v>
      </c>
      <c r="D35" s="51" t="s">
        <v>289</v>
      </c>
      <c r="E35" s="61" t="s">
        <v>282</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IFERROR(IF($D36="","",INDEX(Übungen!$B$4:$B$19,MATCH($D36,Übungen!$A$4:$A$19,0))),"")</f>
        <v>Beine vorne</v>
      </c>
      <c r="D36" s="51" t="s">
        <v>289</v>
      </c>
      <c r="E36" s="61" t="s">
        <v>283</v>
      </c>
      <c r="F36" s="50" t="n">
        <v>65</v>
      </c>
      <c r="G36" s="62" t="n">
        <v>10</v>
      </c>
      <c r="H36" s="50"/>
      <c r="I36" s="44" t="str">
        <f aca="false">IF(AND(ISNUMBER($F36),ISNUMBER($G36),$E36&lt;&gt;"R"),$F36*$G36,"")</f>
        <v/>
      </c>
      <c r="J36" s="46" t="str">
        <f aca="false">IF(AND($E36="A",ISNUMBER($F36),ISNUMBER($G36)),$F36*(1+$G36/30),"")</f>
        <v/>
      </c>
      <c r="K36" s="51" t="s">
        <v>294</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IFERROR(IF($D37="","",INDEX(Übungen!$B$4:$B$19,MATCH($D37,Übungen!$A$4:$A$19,0))),"")</f>
        <v>Beine vorne</v>
      </c>
      <c r="D37" s="51" t="s">
        <v>289</v>
      </c>
      <c r="E37" s="61" t="s">
        <v>281</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IFERROR(IF($D38="","",INDEX(Übungen!$B$4:$B$19,MATCH($D38,Übungen!$A$4:$A$19,0))),"")</f>
        <v>Beine vorne</v>
      </c>
      <c r="D38" s="51" t="s">
        <v>289</v>
      </c>
      <c r="E38" s="61" t="s">
        <v>281</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IFERROR(IF($D39="","",INDEX(Übungen!$B$4:$B$19,MATCH($D39,Übungen!$A$4:$A$19,0))),"")</f>
        <v>Beine vorne</v>
      </c>
      <c r="D39" s="51" t="s">
        <v>289</v>
      </c>
      <c r="E39" s="61" t="s">
        <v>282</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IFERROR(IF($D40="","",INDEX(Übungen!$B$4:$B$19,MATCH($D40,Übungen!$A$4:$A$19,0))),"")</f>
        <v>Beine vorne</v>
      </c>
      <c r="D40" s="51" t="s">
        <v>289</v>
      </c>
      <c r="E40" s="61" t="s">
        <v>282</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IFERROR(IF($D41="","",INDEX(Übungen!$B$4:$B$19,MATCH($D41,Übungen!$A$4:$A$19,0))),"")</f>
        <v>Beine vorne</v>
      </c>
      <c r="D41" s="51" t="s">
        <v>289</v>
      </c>
      <c r="E41" s="61" t="s">
        <v>283</v>
      </c>
      <c r="F41" s="50" t="n">
        <v>70</v>
      </c>
      <c r="G41" s="62" t="n">
        <v>6</v>
      </c>
      <c r="H41" s="50"/>
      <c r="I41" s="44" t="str">
        <f aca="false">IF(AND(ISNUMBER($F41),ISNUMBER($G41),$E41&lt;&gt;"R"),$F41*$G41,"")</f>
        <v/>
      </c>
      <c r="J41" s="46" t="str">
        <f aca="false">IF(AND($E41="A",ISNUMBER($F41),ISNUMBER($G41)),$F41*(1+$G41/30),"")</f>
        <v/>
      </c>
      <c r="K41" s="51" t="s">
        <v>295</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IFERROR(IF($D42="","",INDEX(Übungen!$B$4:$B$19,MATCH($D42,Übungen!$A$4:$A$19,0))),"")</f>
        <v>Beine vorne</v>
      </c>
      <c r="D42" s="51" t="s">
        <v>296</v>
      </c>
      <c r="E42" s="61" t="s">
        <v>281</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IFERROR(IF($D43="","",INDEX(Übungen!$B$4:$B$19,MATCH($D43,Übungen!$A$4:$A$19,0))),"")</f>
        <v>Beine vorne</v>
      </c>
      <c r="D43" s="51" t="s">
        <v>296</v>
      </c>
      <c r="E43" s="61" t="s">
        <v>281</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IFERROR(IF($D44="","",INDEX(Übungen!$B$4:$B$19,MATCH($D44,Übungen!$A$4:$A$19,0))),"")</f>
        <v>Beine vorne</v>
      </c>
      <c r="D44" s="51" t="s">
        <v>296</v>
      </c>
      <c r="E44" s="61" t="s">
        <v>282</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IFERROR(IF($D45="","",INDEX(Übungen!$B$4:$B$19,MATCH($D45,Übungen!$A$4:$A$19,0))),"")</f>
        <v>Beine vorne</v>
      </c>
      <c r="D45" s="51" t="s">
        <v>296</v>
      </c>
      <c r="E45" s="61" t="s">
        <v>282</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IFERROR(IF($D46="","",INDEX(Übungen!$B$4:$B$19,MATCH($D46,Übungen!$A$4:$A$19,0))),"")</f>
        <v>Beine vorne</v>
      </c>
      <c r="D46" s="51" t="s">
        <v>296</v>
      </c>
      <c r="E46" s="61" t="s">
        <v>282</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IFERROR(IF($D47="","",INDEX(Übungen!$B$4:$B$19,MATCH($D47,Übungen!$A$4:$A$19,0))),"")</f>
        <v>Beine vorne</v>
      </c>
      <c r="D47" s="51" t="s">
        <v>296</v>
      </c>
      <c r="E47" s="61" t="s">
        <v>281</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IFERROR(IF($D48="","",INDEX(Übungen!$B$4:$B$19,MATCH($D48,Übungen!$A$4:$A$19,0))),"")</f>
        <v>Beine vorne</v>
      </c>
      <c r="D48" s="51" t="s">
        <v>296</v>
      </c>
      <c r="E48" s="61" t="s">
        <v>281</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IFERROR(IF($D49="","",INDEX(Übungen!$B$4:$B$19,MATCH($D49,Übungen!$A$4:$A$19,0))),"")</f>
        <v>Beine vorne</v>
      </c>
      <c r="D49" s="51" t="s">
        <v>296</v>
      </c>
      <c r="E49" s="61" t="s">
        <v>282</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IFERROR(IF($D50="","",INDEX(Übungen!$B$4:$B$19,MATCH($D50,Übungen!$A$4:$A$19,0))),"")</f>
        <v>Beine vorne</v>
      </c>
      <c r="D50" s="51" t="s">
        <v>296</v>
      </c>
      <c r="E50" s="61" t="s">
        <v>282</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IFERROR(IF($D51="","",INDEX(Übungen!$B$4:$B$19,MATCH($D51,Übungen!$A$4:$A$19,0))),"")</f>
        <v>Beine vorne</v>
      </c>
      <c r="D51" s="51" t="s">
        <v>296</v>
      </c>
      <c r="E51" s="61" t="s">
        <v>282</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IFERROR(IF($D52="","",INDEX(Übungen!$B$4:$B$19,MATCH($D52,Übungen!$A$4:$A$19,0))),"")</f>
        <v>Beine vorne</v>
      </c>
      <c r="D52" s="51" t="s">
        <v>296</v>
      </c>
      <c r="E52" s="61" t="s">
        <v>281</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IFERROR(IF($D53="","",INDEX(Übungen!$B$4:$B$19,MATCH($D53,Übungen!$A$4:$A$19,0))),"")</f>
        <v>Beine vorne</v>
      </c>
      <c r="D53" s="51" t="s">
        <v>296</v>
      </c>
      <c r="E53" s="61" t="s">
        <v>281</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IFERROR(IF($D54="","",INDEX(Übungen!$B$4:$B$19,MATCH($D54,Übungen!$A$4:$A$19,0))),"")</f>
        <v>Beine vorne</v>
      </c>
      <c r="D54" s="51" t="s">
        <v>296</v>
      </c>
      <c r="E54" s="61" t="s">
        <v>282</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IFERROR(IF($D55="","",INDEX(Übungen!$B$4:$B$19,MATCH($D55,Übungen!$A$4:$A$19,0))),"")</f>
        <v>Beine vorne</v>
      </c>
      <c r="D55" s="51" t="s">
        <v>296</v>
      </c>
      <c r="E55" s="61" t="s">
        <v>282</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IFERROR(IF($D56="","",INDEX(Übungen!$B$4:$B$19,MATCH($D56,Übungen!$A$4:$A$19,0))),"")</f>
        <v>Beine vorne</v>
      </c>
      <c r="D56" s="51" t="s">
        <v>296</v>
      </c>
      <c r="E56" s="61" t="s">
        <v>282</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IFERROR(IF($D57="","",INDEX(Übungen!$B$4:$B$19,MATCH($D57,Übungen!$A$4:$A$19,0))),"")</f>
        <v>Beine vorne</v>
      </c>
      <c r="D57" s="51" t="s">
        <v>296</v>
      </c>
      <c r="E57" s="61" t="s">
        <v>281</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IFERROR(IF($D58="","",INDEX(Übungen!$B$4:$B$19,MATCH($D58,Übungen!$A$4:$A$19,0))),"")</f>
        <v>Beine vorne</v>
      </c>
      <c r="D58" s="51" t="s">
        <v>296</v>
      </c>
      <c r="E58" s="61" t="s">
        <v>281</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IFERROR(IF($D59="","",INDEX(Übungen!$B$4:$B$19,MATCH($D59,Übungen!$A$4:$A$19,0))),"")</f>
        <v>Beine vorne</v>
      </c>
      <c r="D59" s="51" t="s">
        <v>296</v>
      </c>
      <c r="E59" s="61" t="s">
        <v>282</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IFERROR(IF($D60="","",INDEX(Übungen!$B$4:$B$19,MATCH($D60,Übungen!$A$4:$A$19,0))),"")</f>
        <v>Beine vorne</v>
      </c>
      <c r="D60" s="51" t="s">
        <v>296</v>
      </c>
      <c r="E60" s="61" t="s">
        <v>282</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IFERROR(IF($D61="","",INDEX(Übungen!$B$4:$B$19,MATCH($D61,Übungen!$A$4:$A$19,0))),"")</f>
        <v>Beine vorne</v>
      </c>
      <c r="D61" s="51" t="s">
        <v>296</v>
      </c>
      <c r="E61" s="61" t="s">
        <v>282</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IFERROR(IF($D62="","",INDEX(Übungen!$B$4:$B$19,MATCH($D62,Übungen!$A$4:$A$19,0))),"")</f>
        <v>Beine vorne</v>
      </c>
      <c r="D62" s="51" t="s">
        <v>67</v>
      </c>
      <c r="E62" s="61" t="s">
        <v>282</v>
      </c>
      <c r="F62" s="50" t="n">
        <v>10</v>
      </c>
      <c r="G62" s="62"/>
      <c r="H62" s="50"/>
      <c r="I62" s="44" t="str">
        <f aca="false">IF(AND(ISNUMBER($F62),ISNUMBER($G62),$E62&lt;&gt;"R"),$F62*$G62,"")</f>
        <v/>
      </c>
      <c r="J62" s="46" t="str">
        <f aca="false">IF(AND($E62="A",ISNUMBER($F62),ISNUMBER($G62)),$F62*(1+$G62/30),"")</f>
        <v/>
      </c>
      <c r="K62" s="51"/>
      <c r="L62" s="51" t="s">
        <v>297</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IFERROR(IF($D63="","",INDEX(Übungen!$B$4:$B$19,MATCH($D63,Übungen!$A$4:$A$19,0))),"")</f>
        <v>Beine vorne</v>
      </c>
      <c r="D63" s="51" t="s">
        <v>67</v>
      </c>
      <c r="E63" s="61" t="s">
        <v>282</v>
      </c>
      <c r="F63" s="50" t="n">
        <v>16</v>
      </c>
      <c r="G63" s="62"/>
      <c r="H63" s="50"/>
      <c r="I63" s="44" t="str">
        <f aca="false">IF(AND(ISNUMBER($F63),ISNUMBER($G63),$E63&lt;&gt;"R"),$F63*$G63,"")</f>
        <v/>
      </c>
      <c r="J63" s="46" t="str">
        <f aca="false">IF(AND($E63="A",ISNUMBER($F63),ISNUMBER($G63)),$F63*(1+$G63/30),"")</f>
        <v/>
      </c>
      <c r="K63" s="51"/>
      <c r="L63" s="51" t="s">
        <v>297</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IFERROR(IF($D64="","",INDEX(Übungen!$B$4:$B$19,MATCH($D64,Übungen!$A$4:$A$19,0))),"")</f>
        <v>Beine vorne</v>
      </c>
      <c r="D64" s="51" t="s">
        <v>67</v>
      </c>
      <c r="E64" s="61" t="s">
        <v>282</v>
      </c>
      <c r="F64" s="50" t="n">
        <v>18</v>
      </c>
      <c r="G64" s="62"/>
      <c r="H64" s="50"/>
      <c r="I64" s="44" t="str">
        <f aca="false">IF(AND(ISNUMBER($F64),ISNUMBER($G64),$E64&lt;&gt;"R"),$F64*$G64,"")</f>
        <v/>
      </c>
      <c r="J64" s="46" t="str">
        <f aca="false">IF(AND($E64="A",ISNUMBER($F64),ISNUMBER($G64)),$F64*(1+$G64/30),"")</f>
        <v/>
      </c>
      <c r="K64" s="51"/>
      <c r="L64" s="51" t="s">
        <v>297</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IFERROR(IF($D65="","",INDEX(Übungen!$B$4:$B$19,MATCH($D65,Übungen!$A$4:$A$19,0))),"")</f>
        <v>Beine hinten</v>
      </c>
      <c r="D65" s="51" t="s">
        <v>298</v>
      </c>
      <c r="E65" s="61" t="s">
        <v>281</v>
      </c>
      <c r="F65" s="50" t="n">
        <v>35</v>
      </c>
      <c r="G65" s="62"/>
      <c r="H65" s="50"/>
      <c r="I65" s="44" t="str">
        <f aca="false">IF(AND(ISNUMBER($F65),ISNUMBER($G65),$E65&lt;&gt;"R"),$F65*$G65,"")</f>
        <v/>
      </c>
      <c r="J65" s="46" t="str">
        <f aca="false">IF(AND($E65="A",ISNUMBER($F65),ISNUMBER($G65)),$F65*(1+$G65/30),"")</f>
        <v/>
      </c>
      <c r="K65" s="51"/>
      <c r="L65" s="51" t="s">
        <v>297</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IFERROR(IF($D66="","",INDEX(Übungen!$B$4:$B$19,MATCH($D66,Übungen!$A$4:$A$19,0))),"")</f>
        <v>Beine hinten</v>
      </c>
      <c r="D66" s="51" t="s">
        <v>298</v>
      </c>
      <c r="E66" s="61" t="s">
        <v>281</v>
      </c>
      <c r="F66" s="50" t="n">
        <v>49</v>
      </c>
      <c r="G66" s="62"/>
      <c r="H66" s="50"/>
      <c r="I66" s="44" t="str">
        <f aca="false">IF(AND(ISNUMBER($F66),ISNUMBER($G66),$E66&lt;&gt;"R"),$F66*$G66,"")</f>
        <v/>
      </c>
      <c r="J66" s="46" t="str">
        <f aca="false">IF(AND($E66="A",ISNUMBER($F66),ISNUMBER($G66)),$F66*(1+$G66/30),"")</f>
        <v/>
      </c>
      <c r="K66" s="51"/>
      <c r="L66" s="51" t="s">
        <v>297</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IFERROR(IF($D67="","",INDEX(Übungen!$B$4:$B$19,MATCH($D67,Übungen!$A$4:$A$19,0))),"")</f>
        <v>Beine hinten</v>
      </c>
      <c r="D67" s="51" t="s">
        <v>298</v>
      </c>
      <c r="E67" s="61" t="s">
        <v>282</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IFERROR(IF($D68="","",INDEX(Übungen!$B$4:$B$19,MATCH($D68,Übungen!$A$4:$A$19,0))),"")</f>
        <v>Beine hinten</v>
      </c>
      <c r="D68" s="51" t="s">
        <v>298</v>
      </c>
      <c r="E68" s="61" t="s">
        <v>282</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IFERROR(IF($D69="","",INDEX(Übungen!$B$4:$B$19,MATCH($D69,Übungen!$A$4:$A$19,0))),"")</f>
        <v>Beine hinten</v>
      </c>
      <c r="D69" s="51" t="s">
        <v>298</v>
      </c>
      <c r="E69" s="61" t="s">
        <v>281</v>
      </c>
      <c r="F69" s="50" t="n">
        <v>30</v>
      </c>
      <c r="G69" s="62"/>
      <c r="H69" s="50"/>
      <c r="I69" s="44" t="str">
        <f aca="false">IF(AND(ISNUMBER($F69),ISNUMBER($G69),$E69&lt;&gt;"R"),$F69*$G69,"")</f>
        <v/>
      </c>
      <c r="J69" s="46" t="str">
        <f aca="false">IF(AND($E69="A",ISNUMBER($F69),ISNUMBER($G69)),$F69*(1+$G69/30),"")</f>
        <v/>
      </c>
      <c r="K69" s="51"/>
      <c r="L69" s="51" t="s">
        <v>297</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IFERROR(IF($D70="","",INDEX(Übungen!$B$4:$B$19,MATCH($D70,Übungen!$A$4:$A$19,0))),"")</f>
        <v>Beine hinten</v>
      </c>
      <c r="D70" s="51" t="s">
        <v>298</v>
      </c>
      <c r="E70" s="61" t="s">
        <v>281</v>
      </c>
      <c r="F70" s="50" t="n">
        <v>42</v>
      </c>
      <c r="G70" s="62"/>
      <c r="H70" s="50"/>
      <c r="I70" s="44" t="str">
        <f aca="false">IF(AND(ISNUMBER($F70),ISNUMBER($G70),$E70&lt;&gt;"R"),$F70*$G70,"")</f>
        <v/>
      </c>
      <c r="J70" s="46" t="str">
        <f aca="false">IF(AND($E70="A",ISNUMBER($F70),ISNUMBER($G70)),$F70*(1+$G70/30),"")</f>
        <v/>
      </c>
      <c r="K70" s="51"/>
      <c r="L70" s="51" t="s">
        <v>297</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IFERROR(IF($D71="","",INDEX(Übungen!$B$4:$B$19,MATCH($D71,Übungen!$A$4:$A$19,0))),"")</f>
        <v>Beine hinten</v>
      </c>
      <c r="D71" s="51" t="s">
        <v>298</v>
      </c>
      <c r="E71" s="61" t="s">
        <v>282</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IFERROR(IF($D72="","",INDEX(Übungen!$B$4:$B$19,MATCH($D72,Übungen!$A$4:$A$19,0))),"")</f>
        <v>Beine hinten</v>
      </c>
      <c r="D72" s="51" t="s">
        <v>298</v>
      </c>
      <c r="E72" s="61" t="s">
        <v>282</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IFERROR(IF($D73="","",INDEX(Übungen!$B$4:$B$19,MATCH($D73,Übungen!$A$4:$A$19,0))),"")</f>
        <v>Beine hinten</v>
      </c>
      <c r="D73" s="51" t="s">
        <v>298</v>
      </c>
      <c r="E73" s="61" t="s">
        <v>281</v>
      </c>
      <c r="F73" s="50" t="n">
        <v>20</v>
      </c>
      <c r="G73" s="62"/>
      <c r="H73" s="50"/>
      <c r="I73" s="44" t="str">
        <f aca="false">IF(AND(ISNUMBER($F73),ISNUMBER($G73),$E73&lt;&gt;"R"),$F73*$G73,"")</f>
        <v/>
      </c>
      <c r="J73" s="46" t="str">
        <f aca="false">IF(AND($E73="A",ISNUMBER($F73),ISNUMBER($G73)),$F73*(1+$G73/30),"")</f>
        <v/>
      </c>
      <c r="K73" s="51"/>
      <c r="L73" s="51" t="s">
        <v>297</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IFERROR(IF($D74="","",INDEX(Übungen!$B$4:$B$19,MATCH($D74,Übungen!$A$4:$A$19,0))),"")</f>
        <v>Beine hinten</v>
      </c>
      <c r="D74" s="51" t="s">
        <v>298</v>
      </c>
      <c r="E74" s="61" t="s">
        <v>281</v>
      </c>
      <c r="F74" s="50" t="n">
        <v>30</v>
      </c>
      <c r="G74" s="62"/>
      <c r="H74" s="50"/>
      <c r="I74" s="44" t="str">
        <f aca="false">IF(AND(ISNUMBER($F74),ISNUMBER($G74),$E74&lt;&gt;"R"),$F74*$G74,"")</f>
        <v/>
      </c>
      <c r="J74" s="46" t="str">
        <f aca="false">IF(AND($E74="A",ISNUMBER($F74),ISNUMBER($G74)),$F74*(1+$G74/30),"")</f>
        <v/>
      </c>
      <c r="K74" s="51"/>
      <c r="L74" s="51" t="s">
        <v>297</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IFERROR(IF($D75="","",INDEX(Übungen!$B$4:$B$19,MATCH($D75,Übungen!$A$4:$A$19,0))),"")</f>
        <v>Beine hinten</v>
      </c>
      <c r="D75" s="51" t="s">
        <v>298</v>
      </c>
      <c r="E75" s="61" t="s">
        <v>282</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IFERROR(IF($D76="","",INDEX(Übungen!$B$4:$B$19,MATCH($D76,Übungen!$A$4:$A$19,0))),"")</f>
        <v>Beine hinten</v>
      </c>
      <c r="D76" s="51" t="s">
        <v>298</v>
      </c>
      <c r="E76" s="61" t="s">
        <v>282</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IFERROR(IF($D77="","",INDEX(Übungen!$B$4:$B$19,MATCH($D77,Übungen!$A$4:$A$19,0))),"")</f>
        <v>Beine hinten</v>
      </c>
      <c r="D77" s="51" t="s">
        <v>298</v>
      </c>
      <c r="E77" s="61" t="s">
        <v>281</v>
      </c>
      <c r="F77" s="50" t="n">
        <v>25</v>
      </c>
      <c r="G77" s="62"/>
      <c r="H77" s="50"/>
      <c r="I77" s="44" t="str">
        <f aca="false">IF(AND(ISNUMBER($F77),ISNUMBER($G77),$E77&lt;&gt;"R"),$F77*$G77,"")</f>
        <v/>
      </c>
      <c r="J77" s="46" t="str">
        <f aca="false">IF(AND($E77="A",ISNUMBER($F77),ISNUMBER($G77)),$F77*(1+$G77/30),"")</f>
        <v/>
      </c>
      <c r="K77" s="51"/>
      <c r="L77" s="51" t="s">
        <v>297</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IFERROR(IF($D78="","",INDEX(Übungen!$B$4:$B$19,MATCH($D78,Übungen!$A$4:$A$19,0))),"")</f>
        <v>Beine hinten</v>
      </c>
      <c r="D78" s="51" t="s">
        <v>298</v>
      </c>
      <c r="E78" s="61" t="s">
        <v>281</v>
      </c>
      <c r="F78" s="50" t="n">
        <v>35</v>
      </c>
      <c r="G78" s="62"/>
      <c r="H78" s="50"/>
      <c r="I78" s="44" t="str">
        <f aca="false">IF(AND(ISNUMBER($F78),ISNUMBER($G78),$E78&lt;&gt;"R"),$F78*$G78,"")</f>
        <v/>
      </c>
      <c r="J78" s="46" t="str">
        <f aca="false">IF(AND($E78="A",ISNUMBER($F78),ISNUMBER($G78)),$F78*(1+$G78/30),"")</f>
        <v/>
      </c>
      <c r="K78" s="51"/>
      <c r="L78" s="51" t="s">
        <v>297</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IFERROR(IF($D79="","",INDEX(Übungen!$B$4:$B$19,MATCH($D79,Übungen!$A$4:$A$19,0))),"")</f>
        <v>Beine hinten</v>
      </c>
      <c r="D79" s="51" t="s">
        <v>298</v>
      </c>
      <c r="E79" s="61" t="s">
        <v>282</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IFERROR(IF($D80="","",INDEX(Übungen!$B$4:$B$19,MATCH($D80,Übungen!$A$4:$A$19,0))),"")</f>
        <v>Beine hinten</v>
      </c>
      <c r="D80" s="51" t="s">
        <v>298</v>
      </c>
      <c r="E80" s="61" t="s">
        <v>282</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IFERROR(IF($D81="","",INDEX(Übungen!$B$4:$B$19,MATCH($D81,Übungen!$A$4:$A$19,0))),"")</f>
        <v>Beine hinten</v>
      </c>
      <c r="D81" s="51" t="s">
        <v>299</v>
      </c>
      <c r="E81" s="61" t="s">
        <v>281</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IFERROR(IF($D82="","",INDEX(Übungen!$B$4:$B$19,MATCH($D82,Übungen!$A$4:$A$19,0))),"")</f>
        <v>Beine hinten</v>
      </c>
      <c r="D82" s="51" t="s">
        <v>299</v>
      </c>
      <c r="E82" s="61" t="s">
        <v>282</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IFERROR(IF($D83="","",INDEX(Übungen!$B$4:$B$19,MATCH($D83,Übungen!$A$4:$A$19,0))),"")</f>
        <v>Beine hinten</v>
      </c>
      <c r="D83" s="51" t="s">
        <v>299</v>
      </c>
      <c r="E83" s="61" t="s">
        <v>282</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IFERROR(IF($D84="","",INDEX(Übungen!$B$4:$B$19,MATCH($D84,Übungen!$A$4:$A$19,0))),"")</f>
        <v>Beine hinten</v>
      </c>
      <c r="D84" s="51" t="s">
        <v>299</v>
      </c>
      <c r="E84" s="61" t="s">
        <v>281</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IFERROR(IF($D85="","",INDEX(Übungen!$B$4:$B$19,MATCH($D85,Übungen!$A$4:$A$19,0))),"")</f>
        <v>Beine hinten</v>
      </c>
      <c r="D85" s="51" t="s">
        <v>299</v>
      </c>
      <c r="E85" s="61" t="s">
        <v>282</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IFERROR(IF($D86="","",INDEX(Übungen!$B$4:$B$19,MATCH($D86,Übungen!$A$4:$A$19,0))),"")</f>
        <v>Beine hinten</v>
      </c>
      <c r="D86" s="51" t="s">
        <v>299</v>
      </c>
      <c r="E86" s="61" t="s">
        <v>282</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IFERROR(IF($D87="","",INDEX(Übungen!$B$4:$B$19,MATCH($D87,Übungen!$A$4:$A$19,0))),"")</f>
        <v>Beine hinten</v>
      </c>
      <c r="D87" s="51" t="s">
        <v>300</v>
      </c>
      <c r="E87" s="61" t="s">
        <v>281</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IFERROR(IF($D88="","",INDEX(Übungen!$B$4:$B$19,MATCH($D88,Übungen!$A$4:$A$19,0))),"")</f>
        <v>Beine hinten</v>
      </c>
      <c r="D88" s="51" t="s">
        <v>300</v>
      </c>
      <c r="E88" s="61" t="s">
        <v>282</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IFERROR(IF($D89="","",INDEX(Übungen!$B$4:$B$19,MATCH($D89,Übungen!$A$4:$A$19,0))),"")</f>
        <v>Beine hinten</v>
      </c>
      <c r="D89" s="51" t="s">
        <v>300</v>
      </c>
      <c r="E89" s="61" t="s">
        <v>282</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IFERROR(IF($D90="","",INDEX(Übungen!$B$4:$B$19,MATCH($D90,Übungen!$A$4:$A$19,0))),"")</f>
        <v>Beine hinten</v>
      </c>
      <c r="D90" s="51" t="s">
        <v>300</v>
      </c>
      <c r="E90" s="61" t="s">
        <v>283</v>
      </c>
      <c r="F90" s="50" t="n">
        <v>30</v>
      </c>
      <c r="G90" s="62" t="n">
        <v>10</v>
      </c>
      <c r="H90" s="50"/>
      <c r="I90" s="44" t="str">
        <f aca="false">IF(AND(ISNUMBER($F90),ISNUMBER($G90),$E90&lt;&gt;"R"),$F90*$G90,"")</f>
        <v/>
      </c>
      <c r="J90" s="46" t="str">
        <f aca="false">IF(AND($E90="A",ISNUMBER($F90),ISNUMBER($G90)),$F90*(1+$G90/30),"")</f>
        <v/>
      </c>
      <c r="K90" s="51" t="s">
        <v>301</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IFERROR(IF($D91="","",INDEX(Übungen!$B$4:$B$19,MATCH($D91,Übungen!$A$4:$A$19,0))),"")</f>
        <v>Beine hinten</v>
      </c>
      <c r="D91" s="51" t="s">
        <v>300</v>
      </c>
      <c r="E91" s="61" t="s">
        <v>281</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IFERROR(IF($D92="","",INDEX(Übungen!$B$4:$B$19,MATCH($D92,Übungen!$A$4:$A$19,0))),"")</f>
        <v>Beine hinten</v>
      </c>
      <c r="D92" s="51" t="s">
        <v>300</v>
      </c>
      <c r="E92" s="61" t="s">
        <v>282</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IFERROR(IF($D93="","",INDEX(Übungen!$B$4:$B$19,MATCH($D93,Übungen!$A$4:$A$19,0))),"")</f>
        <v>Beine hinten</v>
      </c>
      <c r="D93" s="51" t="s">
        <v>300</v>
      </c>
      <c r="E93" s="61" t="s">
        <v>282</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IFERROR(IF($D94="","",INDEX(Übungen!$B$4:$B$19,MATCH($D94,Übungen!$A$4:$A$19,0))),"")</f>
        <v>Beine hinten</v>
      </c>
      <c r="D94" s="51" t="s">
        <v>300</v>
      </c>
      <c r="E94" s="61" t="s">
        <v>283</v>
      </c>
      <c r="F94" s="50" t="n">
        <v>40</v>
      </c>
      <c r="G94" s="62" t="n">
        <v>8</v>
      </c>
      <c r="H94" s="50"/>
      <c r="I94" s="44" t="str">
        <f aca="false">IF(AND(ISNUMBER($F94),ISNUMBER($G94),$E94&lt;&gt;"R"),$F94*$G94,"")</f>
        <v/>
      </c>
      <c r="J94" s="46" t="str">
        <f aca="false">IF(AND($E94="A",ISNUMBER($F94),ISNUMBER($G94)),$F94*(1+$G94/30),"")</f>
        <v/>
      </c>
      <c r="K94" s="51" t="s">
        <v>302</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IFERROR(IF($D95="","",INDEX(Übungen!$B$4:$B$19,MATCH($D95,Übungen!$A$4:$A$19,0))),"")</f>
        <v>Beine hinten</v>
      </c>
      <c r="D95" s="51" t="s">
        <v>300</v>
      </c>
      <c r="E95" s="61" t="s">
        <v>281</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IFERROR(IF($D96="","",INDEX(Übungen!$B$4:$B$19,MATCH($D96,Übungen!$A$4:$A$19,0))),"")</f>
        <v>Beine hinten</v>
      </c>
      <c r="D96" s="51" t="s">
        <v>300</v>
      </c>
      <c r="E96" s="61" t="s">
        <v>282</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IFERROR(IF($D97="","",INDEX(Übungen!$B$4:$B$19,MATCH($D97,Übungen!$A$4:$A$19,0))),"")</f>
        <v>Beine hinten</v>
      </c>
      <c r="D97" s="51" t="s">
        <v>300</v>
      </c>
      <c r="E97" s="61" t="s">
        <v>282</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IFERROR(IF($D98="","",INDEX(Übungen!$B$4:$B$19,MATCH($D98,Übungen!$A$4:$A$19,0))),"")</f>
        <v>Beine hinten</v>
      </c>
      <c r="D98" s="51" t="s">
        <v>300</v>
      </c>
      <c r="E98" s="61" t="s">
        <v>283</v>
      </c>
      <c r="F98" s="50" t="n">
        <v>30</v>
      </c>
      <c r="G98" s="62" t="n">
        <v>6</v>
      </c>
      <c r="H98" s="50"/>
      <c r="I98" s="44" t="str">
        <f aca="false">IF(AND(ISNUMBER($F98),ISNUMBER($G98),$E98&lt;&gt;"R"),$F98*$G98,"")</f>
        <v/>
      </c>
      <c r="J98" s="46" t="str">
        <f aca="false">IF(AND($E98="A",ISNUMBER($F98),ISNUMBER($G98)),$F98*(1+$G98/30),"")</f>
        <v/>
      </c>
      <c r="K98" s="51" t="s">
        <v>303</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IFERROR(IF($D99="","",INDEX(Übungen!$B$4:$B$19,MATCH($D99,Übungen!$A$4:$A$19,0))),"")</f>
        <v>Beine hinten</v>
      </c>
      <c r="D99" s="51" t="s">
        <v>304</v>
      </c>
      <c r="E99" s="61" t="s">
        <v>281</v>
      </c>
      <c r="F99" s="50" t="n">
        <v>170</v>
      </c>
      <c r="G99" s="62" t="n">
        <v>10</v>
      </c>
      <c r="H99" s="50"/>
      <c r="I99" s="44" t="n">
        <f aca="false">IF(AND(ISNUMBER($F99),ISNUMBER($G99),$E99&lt;&gt;"R"),$F99*$G99,"")</f>
        <v>1700</v>
      </c>
      <c r="J99" s="46" t="str">
        <f aca="false">IF(AND($E99="A",ISNUMBER($F99),ISNUMBER($G99)),$F99*(1+$G99/30),"")</f>
        <v/>
      </c>
      <c r="K99" s="51"/>
      <c r="L99" s="51" t="s">
        <v>305</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IFERROR(IF($D100="","",INDEX(Übungen!$B$4:$B$19,MATCH($D100,Übungen!$A$4:$A$19,0))),"")</f>
        <v>Beine hinten</v>
      </c>
      <c r="D100" s="51" t="s">
        <v>304</v>
      </c>
      <c r="E100" s="61" t="s">
        <v>282</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IFERROR(IF($D101="","",INDEX(Übungen!$B$4:$B$19,MATCH($D101,Übungen!$A$4:$A$19,0))),"")</f>
        <v>Beine hinten</v>
      </c>
      <c r="D101" s="51" t="s">
        <v>304</v>
      </c>
      <c r="E101" s="61" t="s">
        <v>282</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IFERROR(IF($D102="","",INDEX(Übungen!$B$4:$B$19,MATCH($D102,Übungen!$A$4:$A$19,0))),"")</f>
        <v>Beine hinten</v>
      </c>
      <c r="D102" s="51" t="s">
        <v>304</v>
      </c>
      <c r="E102" s="61" t="s">
        <v>283</v>
      </c>
      <c r="F102" s="50"/>
      <c r="G102" s="62" t="n">
        <v>6</v>
      </c>
      <c r="H102" s="50"/>
      <c r="I102" s="44" t="str">
        <f aca="false">IF(AND(ISNUMBER($F102),ISNUMBER($G102),$E102&lt;&gt;"R"),$F102*$G102,"")</f>
        <v/>
      </c>
      <c r="J102" s="46" t="str">
        <f aca="false">IF(AND($E102="A",ISNUMBER($F102),ISNUMBER($G102)),$F102*(1+$G102/30),"")</f>
        <v/>
      </c>
      <c r="K102" s="51" t="s">
        <v>306</v>
      </c>
      <c r="L102" s="51" t="s">
        <v>307</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IFERROR(IF($D103="","",INDEX(Übungen!$B$4:$B$19,MATCH($D103,Übungen!$A$4:$A$19,0))),"")</f>
        <v>Beine hinten</v>
      </c>
      <c r="D103" s="51" t="s">
        <v>304</v>
      </c>
      <c r="E103" s="61" t="s">
        <v>281</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IFERROR(IF($D104="","",INDEX(Übungen!$B$4:$B$19,MATCH($D104,Übungen!$A$4:$A$19,0))),"")</f>
        <v>Beine hinten</v>
      </c>
      <c r="D104" s="51" t="s">
        <v>304</v>
      </c>
      <c r="E104" s="61" t="s">
        <v>282</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IFERROR(IF($D105="","",INDEX(Übungen!$B$4:$B$19,MATCH($D105,Übungen!$A$4:$A$19,0))),"")</f>
        <v>Beine hinten</v>
      </c>
      <c r="D105" s="51" t="s">
        <v>304</v>
      </c>
      <c r="E105" s="61" t="s">
        <v>282</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IFERROR(IF($D106="","",INDEX(Übungen!$B$4:$B$19,MATCH($D106,Übungen!$A$4:$A$19,0))),"")</f>
        <v>Beine hinten</v>
      </c>
      <c r="D106" s="51" t="s">
        <v>304</v>
      </c>
      <c r="E106" s="61" t="s">
        <v>283</v>
      </c>
      <c r="F106" s="50"/>
      <c r="G106" s="62" t="n">
        <v>6</v>
      </c>
      <c r="H106" s="50"/>
      <c r="I106" s="44" t="str">
        <f aca="false">IF(AND(ISNUMBER($F106),ISNUMBER($G106),$E106&lt;&gt;"R"),$F106*$G106,"")</f>
        <v/>
      </c>
      <c r="J106" s="46" t="str">
        <f aca="false">IF(AND($E106="A",ISNUMBER($F106),ISNUMBER($G106)),$F106*(1+$G106/30),"")</f>
        <v/>
      </c>
      <c r="K106" s="51" t="s">
        <v>306</v>
      </c>
      <c r="L106" s="51" t="s">
        <v>307</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IFERROR(IF($D107="","",INDEX(Übungen!$B$4:$B$19,MATCH($D107,Übungen!$A$4:$A$19,0))),"")</f>
        <v>Beine hinten</v>
      </c>
      <c r="D107" s="51" t="s">
        <v>304</v>
      </c>
      <c r="E107" s="61" t="s">
        <v>281</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IFERROR(IF($D108="","",INDEX(Übungen!$B$4:$B$19,MATCH($D108,Übungen!$A$4:$A$19,0))),"")</f>
        <v>Beine hinten</v>
      </c>
      <c r="D108" s="51" t="s">
        <v>304</v>
      </c>
      <c r="E108" s="61" t="s">
        <v>281</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IFERROR(IF($D109="","",INDEX(Übungen!$B$4:$B$19,MATCH($D109,Übungen!$A$4:$A$19,0))),"")</f>
        <v>Beine hinten</v>
      </c>
      <c r="D109" s="51" t="s">
        <v>304</v>
      </c>
      <c r="E109" s="61" t="s">
        <v>282</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IFERROR(IF($D110="","",INDEX(Übungen!$B$4:$B$19,MATCH($D110,Übungen!$A$4:$A$19,0))),"")</f>
        <v>Beine hinten</v>
      </c>
      <c r="D110" s="51" t="s">
        <v>304</v>
      </c>
      <c r="E110" s="61" t="s">
        <v>282</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IFERROR(IF($D111="","",INDEX(Übungen!$B$4:$B$19,MATCH($D111,Übungen!$A$4:$A$19,0))),"")</f>
        <v>Beine hinten</v>
      </c>
      <c r="D111" s="51" t="s">
        <v>304</v>
      </c>
      <c r="E111" s="61" t="s">
        <v>283</v>
      </c>
      <c r="F111" s="50"/>
      <c r="G111" s="62" t="n">
        <v>6</v>
      </c>
      <c r="H111" s="50"/>
      <c r="I111" s="44" t="str">
        <f aca="false">IF(AND(ISNUMBER($F111),ISNUMBER($G111),$E111&lt;&gt;"R"),$F111*$G111,"")</f>
        <v/>
      </c>
      <c r="J111" s="46" t="str">
        <f aca="false">IF(AND($E111="A",ISNUMBER($F111),ISNUMBER($G111)),$F111*(1+$G111/30),"")</f>
        <v/>
      </c>
      <c r="K111" s="51" t="s">
        <v>306</v>
      </c>
      <c r="L111" s="51" t="s">
        <v>307</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IFERROR(IF($D112="","",INDEX(Übungen!$B$4:$B$19,MATCH($D112,Übungen!$A$4:$A$19,0))),"")</f>
        <v>Beine hinten</v>
      </c>
      <c r="D112" s="51" t="s">
        <v>304</v>
      </c>
      <c r="E112" s="61" t="s">
        <v>281</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IFERROR(IF($D113="","",INDEX(Übungen!$B$4:$B$19,MATCH($D113,Übungen!$A$4:$A$19,0))),"")</f>
        <v>Beine hinten</v>
      </c>
      <c r="D113" s="51" t="s">
        <v>304</v>
      </c>
      <c r="E113" s="61" t="s">
        <v>281</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IFERROR(IF($D114="","",INDEX(Übungen!$B$4:$B$19,MATCH($D114,Übungen!$A$4:$A$19,0))),"")</f>
        <v>Beine hinten</v>
      </c>
      <c r="D114" s="51" t="s">
        <v>304</v>
      </c>
      <c r="E114" s="61" t="s">
        <v>282</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IFERROR(IF($D115="","",INDEX(Übungen!$B$4:$B$19,MATCH($D115,Übungen!$A$4:$A$19,0))),"")</f>
        <v>Beine hinten</v>
      </c>
      <c r="D115" s="51" t="s">
        <v>304</v>
      </c>
      <c r="E115" s="61" t="s">
        <v>282</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IFERROR(IF($D116="","",INDEX(Übungen!$B$4:$B$19,MATCH($D116,Übungen!$A$4:$A$19,0))),"")</f>
        <v>Beine hinten</v>
      </c>
      <c r="D116" s="51" t="s">
        <v>304</v>
      </c>
      <c r="E116" s="61" t="s">
        <v>282</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IFERROR(IF($D117="","",INDEX(Übungen!$B$4:$B$19,MATCH($D117,Übungen!$A$4:$A$19,0))),"")</f>
        <v>Beine hinten</v>
      </c>
      <c r="D117" s="51" t="s">
        <v>308</v>
      </c>
      <c r="E117" s="61" t="s">
        <v>281</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IFERROR(IF($D118="","",INDEX(Übungen!$B$4:$B$19,MATCH($D118,Übungen!$A$4:$A$19,0))),"")</f>
        <v>Beine hinten</v>
      </c>
      <c r="D118" s="51" t="s">
        <v>308</v>
      </c>
      <c r="E118" s="61" t="s">
        <v>282</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IFERROR(IF($D119="","",INDEX(Übungen!$B$4:$B$19,MATCH($D119,Übungen!$A$4:$A$19,0))),"")</f>
        <v>Beine hinten</v>
      </c>
      <c r="D119" s="51" t="s">
        <v>308</v>
      </c>
      <c r="E119" s="61" t="s">
        <v>282</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IFERROR(IF($D120="","",INDEX(Übungen!$B$4:$B$19,MATCH($D120,Übungen!$A$4:$A$19,0))),"")</f>
        <v>Beine hinten</v>
      </c>
      <c r="D120" s="51" t="s">
        <v>308</v>
      </c>
      <c r="E120" s="61" t="s">
        <v>281</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IFERROR(IF($D121="","",INDEX(Übungen!$B$4:$B$19,MATCH($D121,Übungen!$A$4:$A$19,0))),"")</f>
        <v>Beine hinten</v>
      </c>
      <c r="D121" s="51" t="s">
        <v>308</v>
      </c>
      <c r="E121" s="61" t="s">
        <v>282</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IFERROR(IF($D122="","",INDEX(Übungen!$B$4:$B$19,MATCH($D122,Übungen!$A$4:$A$19,0))),"")</f>
        <v>Beine hinten</v>
      </c>
      <c r="D122" s="51" t="s">
        <v>308</v>
      </c>
      <c r="E122" s="61" t="s">
        <v>282</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IFERROR(IF($D123="","",INDEX(Übungen!$B$4:$B$19,MATCH($D123,Übungen!$A$4:$A$19,0))),"")</f>
        <v>Beine hinten</v>
      </c>
      <c r="D123" s="51" t="s">
        <v>309</v>
      </c>
      <c r="E123" s="61" t="s">
        <v>281</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IFERROR(IF($D124="","",INDEX(Übungen!$B$4:$B$19,MATCH($D124,Übungen!$A$4:$A$19,0))),"")</f>
        <v>Beine hinten</v>
      </c>
      <c r="D124" s="51" t="s">
        <v>309</v>
      </c>
      <c r="E124" s="61" t="s">
        <v>281</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IFERROR(IF($D125="","",INDEX(Übungen!$B$4:$B$19,MATCH($D125,Übungen!$A$4:$A$19,0))),"")</f>
        <v>Beine hinten</v>
      </c>
      <c r="D125" s="51" t="s">
        <v>309</v>
      </c>
      <c r="E125" s="61" t="s">
        <v>282</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IFERROR(IF($D126="","",INDEX(Übungen!$B$4:$B$19,MATCH($D126,Übungen!$A$4:$A$19,0))),"")</f>
        <v>Beine hinten</v>
      </c>
      <c r="D126" s="51" t="s">
        <v>309</v>
      </c>
      <c r="E126" s="61" t="s">
        <v>282</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IFERROR(IF($D127="","",INDEX(Übungen!$B$4:$B$19,MATCH($D127,Übungen!$A$4:$A$19,0))),"")</f>
        <v>Beine hinten</v>
      </c>
      <c r="D127" s="51" t="s">
        <v>309</v>
      </c>
      <c r="E127" s="61" t="s">
        <v>282</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IFERROR(IF($D128="","",INDEX(Übungen!$B$4:$B$19,MATCH($D128,Übungen!$A$4:$A$19,0))),"")</f>
        <v>Beine hinten</v>
      </c>
      <c r="D128" s="51" t="s">
        <v>304</v>
      </c>
      <c r="E128" s="61" t="s">
        <v>281</v>
      </c>
      <c r="F128" s="50" t="n">
        <v>125</v>
      </c>
      <c r="G128" s="62" t="n">
        <v>8</v>
      </c>
      <c r="H128" s="50"/>
      <c r="I128" s="44" t="n">
        <f aca="false">IF(AND(ISNUMBER($F128),ISNUMBER($G128),$E128&lt;&gt;"R"),$F128*$G128,"")</f>
        <v>1000</v>
      </c>
      <c r="J128" s="46" t="str">
        <f aca="false">IF(AND($E128="A",ISNUMBER($F128),ISNUMBER($G128)),$F128*(1+$G128/30),"")</f>
        <v/>
      </c>
      <c r="K128" s="51"/>
      <c r="L128" s="51" t="s">
        <v>310</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IFERROR(IF($D129="","",INDEX(Übungen!$B$4:$B$19,MATCH($D129,Übungen!$A$4:$A$19,0))),"")</f>
        <v>Beine hinten</v>
      </c>
      <c r="D129" s="51" t="s">
        <v>304</v>
      </c>
      <c r="E129" s="61" t="s">
        <v>282</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IFERROR(IF($D130="","",INDEX(Übungen!$B$4:$B$19,MATCH($D130,Übungen!$A$4:$A$19,0))),"")</f>
        <v>Beine hinten</v>
      </c>
      <c r="D130" s="51" t="s">
        <v>304</v>
      </c>
      <c r="E130" s="61" t="s">
        <v>282</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IFERROR(IF($D131="","",INDEX(Übungen!$B$4:$B$19,MATCH($D131,Übungen!$A$4:$A$19,0))),"")</f>
        <v>Beine hinten</v>
      </c>
      <c r="D131" s="51" t="s">
        <v>304</v>
      </c>
      <c r="E131" s="61" t="s">
        <v>282</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IFERROR(IF($D132="","",INDEX(Übungen!$B$4:$B$19,MATCH($D132,Übungen!$A$4:$A$19,0))),"")</f>
        <v>Beine hinten</v>
      </c>
      <c r="D132" s="51" t="s">
        <v>300</v>
      </c>
      <c r="E132" s="61" t="s">
        <v>281</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IFERROR(IF($D133="","",INDEX(Übungen!$B$4:$B$19,MATCH($D133,Übungen!$A$4:$A$19,0))),"")</f>
        <v>Beine hinten</v>
      </c>
      <c r="D133" s="51" t="s">
        <v>300</v>
      </c>
      <c r="E133" s="61" t="s">
        <v>281</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IFERROR(IF($D134="","",INDEX(Übungen!$B$4:$B$19,MATCH($D134,Übungen!$A$4:$A$19,0))),"")</f>
        <v>Beine hinten</v>
      </c>
      <c r="D134" s="51" t="s">
        <v>300</v>
      </c>
      <c r="E134" s="61" t="s">
        <v>282</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IFERROR(IF($D135="","",INDEX(Übungen!$B$4:$B$19,MATCH($D135,Übungen!$A$4:$A$19,0))),"")</f>
        <v>Beine hinten</v>
      </c>
      <c r="D135" s="51" t="s">
        <v>300</v>
      </c>
      <c r="E135" s="61" t="s">
        <v>282</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IFERROR(IF($D136="","",INDEX(Übungen!$B$4:$B$19,MATCH($D136,Übungen!$A$4:$A$19,0))),"")</f>
        <v>Beine hinten</v>
      </c>
      <c r="D136" s="51" t="s">
        <v>300</v>
      </c>
      <c r="E136" s="61" t="s">
        <v>283</v>
      </c>
      <c r="F136" s="50" t="n">
        <v>30</v>
      </c>
      <c r="G136" s="62" t="n">
        <v>6</v>
      </c>
      <c r="H136" s="50"/>
      <c r="I136" s="44" t="str">
        <f aca="false">IF(AND(ISNUMBER($F136),ISNUMBER($G136),$E136&lt;&gt;"R"),$F136*$G136,"")</f>
        <v/>
      </c>
      <c r="J136" s="46" t="str">
        <f aca="false">IF(AND($E136="A",ISNUMBER($F136),ISNUMBER($G136)),$F136*(1+$G136/30),"")</f>
        <v/>
      </c>
      <c r="K136" s="51" t="s">
        <v>303</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IFERROR(IF($D137="","",INDEX(Übungen!$B$4:$B$19,MATCH($D137,Übungen!$A$4:$A$19,0))),"")</f>
        <v>Beine hinten</v>
      </c>
      <c r="D137" s="51" t="s">
        <v>299</v>
      </c>
      <c r="E137" s="61" t="s">
        <v>281</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IFERROR(IF($D138="","",INDEX(Übungen!$B$4:$B$19,MATCH($D138,Übungen!$A$4:$A$19,0))),"")</f>
        <v>Beine hinten</v>
      </c>
      <c r="D138" s="51" t="s">
        <v>299</v>
      </c>
      <c r="E138" s="61" t="s">
        <v>282</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IFERROR(IF($D139="","",INDEX(Übungen!$B$4:$B$19,MATCH($D139,Übungen!$A$4:$A$19,0))),"")</f>
        <v>Beine hinten</v>
      </c>
      <c r="D139" s="51" t="s">
        <v>299</v>
      </c>
      <c r="E139" s="61" t="s">
        <v>282</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IFERROR(IF($D140="","",INDEX(Übungen!$B$4:$B$19,MATCH($D140,Übungen!$A$4:$A$19,0))),"")</f>
        <v>Beine hinten</v>
      </c>
      <c r="D140" s="51" t="s">
        <v>308</v>
      </c>
      <c r="E140" s="61" t="s">
        <v>281</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IFERROR(IF($D141="","",INDEX(Übungen!$B$4:$B$19,MATCH($D141,Übungen!$A$4:$A$19,0))),"")</f>
        <v>Beine hinten</v>
      </c>
      <c r="D141" s="51" t="s">
        <v>308</v>
      </c>
      <c r="E141" s="61" t="s">
        <v>281</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IFERROR(IF($D142="","",INDEX(Übungen!$B$4:$B$19,MATCH($D142,Übungen!$A$4:$A$19,0))),"")</f>
        <v>Beine hinten</v>
      </c>
      <c r="D142" s="51" t="s">
        <v>308</v>
      </c>
      <c r="E142" s="61" t="s">
        <v>282</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IFERROR(IF($D143="","",INDEX(Übungen!$B$4:$B$19,MATCH($D143,Übungen!$A$4:$A$19,0))),"")</f>
        <v>Beine hinten</v>
      </c>
      <c r="D143" s="51" t="s">
        <v>308</v>
      </c>
      <c r="E143" s="61" t="s">
        <v>282</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IFERROR(IF($D144="","",INDEX(Übungen!$B$4:$B$19,MATCH($D144,Übungen!$A$4:$A$19,0))),"")</f>
        <v>Beine vorne</v>
      </c>
      <c r="D144" s="51" t="s">
        <v>296</v>
      </c>
      <c r="E144" s="61" t="s">
        <v>281</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IFERROR(IF($D145="","",INDEX(Übungen!$B$4:$B$19,MATCH($D145,Übungen!$A$4:$A$19,0))),"")</f>
        <v>Beine vorne</v>
      </c>
      <c r="D145" s="51" t="s">
        <v>296</v>
      </c>
      <c r="E145" s="61" t="s">
        <v>281</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IFERROR(IF($D146="","",INDEX(Übungen!$B$4:$B$19,MATCH($D146,Übungen!$A$4:$A$19,0))),"")</f>
        <v>Beine vorne</v>
      </c>
      <c r="D146" s="51" t="s">
        <v>296</v>
      </c>
      <c r="E146" s="61" t="s">
        <v>282</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IFERROR(IF($D147="","",INDEX(Übungen!$B$4:$B$19,MATCH($D147,Übungen!$A$4:$A$19,0))),"")</f>
        <v>Beine vorne</v>
      </c>
      <c r="D147" s="51" t="s">
        <v>296</v>
      </c>
      <c r="E147" s="61" t="s">
        <v>282</v>
      </c>
      <c r="F147" s="50" t="n">
        <v>80</v>
      </c>
      <c r="G147" s="62" t="n">
        <v>12</v>
      </c>
      <c r="H147" s="50"/>
      <c r="I147" s="44" t="n">
        <f aca="false">IF(AND(ISNUMBER($F147),ISNUMBER($G147),$E147&lt;&gt;"R"),$F147*$G147,"")</f>
        <v>960</v>
      </c>
      <c r="J147" s="46" t="n">
        <f aca="false">IF(AND($E147="A",ISNUMBER($F147),ISNUMBER($G147)),$F147*(1+$G147/30),"")</f>
        <v>112</v>
      </c>
      <c r="K147" s="51"/>
      <c r="L147" s="51" t="s">
        <v>311</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IFERROR(IF($D148="","",INDEX(Übungen!$B$4:$B$19,MATCH($D148,Übungen!$A$4:$A$19,0))),"")</f>
        <v>Beine vorne</v>
      </c>
      <c r="D148" s="51" t="s">
        <v>312</v>
      </c>
      <c r="E148" s="61" t="s">
        <v>281</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IFERROR(IF($D149="","",INDEX(Übungen!$B$4:$B$19,MATCH($D149,Übungen!$A$4:$A$19,0))),"")</f>
        <v>Beine vorne</v>
      </c>
      <c r="D149" s="51" t="s">
        <v>312</v>
      </c>
      <c r="E149" s="61" t="s">
        <v>281</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IFERROR(IF($D150="","",INDEX(Übungen!$B$4:$B$19,MATCH($D150,Übungen!$A$4:$A$19,0))),"")</f>
        <v>Beine vorne</v>
      </c>
      <c r="D150" s="51" t="s">
        <v>312</v>
      </c>
      <c r="E150" s="61" t="s">
        <v>282</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IFERROR(IF($D151="","",INDEX(Übungen!$B$4:$B$19,MATCH($D151,Übungen!$A$4:$A$19,0))),"")</f>
        <v>Beine vorne</v>
      </c>
      <c r="D151" s="51" t="s">
        <v>312</v>
      </c>
      <c r="E151" s="61" t="s">
        <v>282</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IFERROR(IF($D152="","",INDEX(Übungen!$B$4:$B$19,MATCH($D152,Übungen!$A$4:$A$19,0))),"")</f>
        <v>Beine vorne</v>
      </c>
      <c r="D152" s="51" t="s">
        <v>289</v>
      </c>
      <c r="E152" s="61" t="s">
        <v>281</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IFERROR(IF($D153="","",INDEX(Übungen!$B$4:$B$19,MATCH($D153,Übungen!$A$4:$A$19,0))),"")</f>
        <v>Beine vorne</v>
      </c>
      <c r="D153" s="51" t="s">
        <v>289</v>
      </c>
      <c r="E153" s="61" t="s">
        <v>281</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IFERROR(IF($D154="","",INDEX(Übungen!$B$4:$B$19,MATCH($D154,Übungen!$A$4:$A$19,0))),"")</f>
        <v>Beine vorne</v>
      </c>
      <c r="D154" s="51" t="s">
        <v>289</v>
      </c>
      <c r="E154" s="61" t="s">
        <v>282</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IFERROR(IF($D155="","",INDEX(Übungen!$B$4:$B$19,MATCH($D155,Übungen!$A$4:$A$19,0))),"")</f>
        <v>Beine vorne</v>
      </c>
      <c r="D155" s="51" t="s">
        <v>289</v>
      </c>
      <c r="E155" s="61" t="s">
        <v>282</v>
      </c>
      <c r="F155" s="50" t="n">
        <v>70</v>
      </c>
      <c r="G155" s="62" t="n">
        <v>11</v>
      </c>
      <c r="H155" s="50"/>
      <c r="I155" s="44" t="n">
        <f aca="false">IF(AND(ISNUMBER($F155),ISNUMBER($G155),$E155&lt;&gt;"R"),$F155*$G155,"")</f>
        <v>770</v>
      </c>
      <c r="J155" s="46" t="n">
        <f aca="false">IF(AND($E155="A",ISNUMBER($F155),ISNUMBER($G155)),$F155*(1+$G155/30),"")</f>
        <v>95.6666666666667</v>
      </c>
      <c r="K155" s="51"/>
      <c r="L155" s="51" t="s">
        <v>311</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IFERROR(IF($D156="","",INDEX(Übungen!$B$4:$B$19,MATCH($D156,Übungen!$A$4:$A$19,0))),"")</f>
        <v>Beine vorne</v>
      </c>
      <c r="D156" s="51" t="s">
        <v>289</v>
      </c>
      <c r="E156" s="61" t="s">
        <v>283</v>
      </c>
      <c r="F156" s="50" t="n">
        <v>50</v>
      </c>
      <c r="G156" s="62"/>
      <c r="H156" s="50"/>
      <c r="I156" s="44" t="str">
        <f aca="false">IF(AND(ISNUMBER($F156),ISNUMBER($G156),$E156&lt;&gt;"R"),$F156*$G156,"")</f>
        <v/>
      </c>
      <c r="J156" s="46" t="str">
        <f aca="false">IF(AND($E156="A",ISNUMBER($F156),ISNUMBER($G156)),$F156*(1+$G156/30),"")</f>
        <v/>
      </c>
      <c r="K156" s="51" t="s">
        <v>313</v>
      </c>
      <c r="L156" s="51" t="s">
        <v>314</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IFERROR(IF($D157="","",INDEX(Übungen!$B$4:$B$19,MATCH($D157,Übungen!$A$4:$A$19,0))),"")</f>
        <v>Beine vorne</v>
      </c>
      <c r="D157" s="51" t="s">
        <v>280</v>
      </c>
      <c r="E157" s="61" t="s">
        <v>281</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IFERROR(IF($D158="","",INDEX(Übungen!$B$4:$B$19,MATCH($D158,Übungen!$A$4:$A$19,0))),"")</f>
        <v>Beine vorne</v>
      </c>
      <c r="D158" s="51" t="s">
        <v>280</v>
      </c>
      <c r="E158" s="61" t="s">
        <v>282</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IFERROR(IF($D159="","",INDEX(Übungen!$B$4:$B$19,MATCH($D159,Übungen!$A$4:$A$19,0))),"")</f>
        <v>Beine vorne</v>
      </c>
      <c r="D159" s="51" t="s">
        <v>280</v>
      </c>
      <c r="E159" s="61" t="s">
        <v>282</v>
      </c>
      <c r="F159" s="50" t="n">
        <v>162.5</v>
      </c>
      <c r="G159" s="62"/>
      <c r="H159" s="50"/>
      <c r="I159" s="44" t="str">
        <f aca="false">IF(AND(ISNUMBER($F159),ISNUMBER($G159),$E159&lt;&gt;"R"),$F159*$G159,"")</f>
        <v/>
      </c>
      <c r="J159" s="46" t="str">
        <f aca="false">IF(AND($E159="A",ISNUMBER($F159),ISNUMBER($G159)),$F159*(1+$G159/30),"")</f>
        <v/>
      </c>
      <c r="K159" s="51"/>
      <c r="L159" s="51" t="s">
        <v>314</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IFERROR(IF($D160="","",INDEX(Übungen!$B$4:$B$19,MATCH($D160,Übungen!$A$4:$A$19,0))),"")</f>
        <v>Beine vorne</v>
      </c>
      <c r="D160" s="51" t="s">
        <v>296</v>
      </c>
      <c r="E160" s="61" t="s">
        <v>282</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IFERROR(IF($D161="","",INDEX(Übungen!$B$4:$B$19,MATCH($D161,Übungen!$A$4:$A$19,0))),"")</f>
        <v>Beine vorne</v>
      </c>
      <c r="D161" s="51" t="s">
        <v>296</v>
      </c>
      <c r="E161" s="61" t="s">
        <v>282</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IFERROR(IF($D162="","",INDEX(Übungen!$B$4:$B$19,MATCH($D162,Übungen!$A$4:$A$19,0))),"")</f>
        <v>Beine vorne</v>
      </c>
      <c r="D162" s="51" t="s">
        <v>296</v>
      </c>
      <c r="E162" s="61" t="s">
        <v>282</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IFERROR(IF($D163="","",INDEX(Übungen!$B$4:$B$19,MATCH($D163,Übungen!$A$4:$A$19,0))),"")</f>
        <v>Beine vorne</v>
      </c>
      <c r="D163" s="51" t="s">
        <v>312</v>
      </c>
      <c r="E163" s="61" t="s">
        <v>282</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IFERROR(IF($D164="","",INDEX(Übungen!$B$4:$B$19,MATCH($D164,Übungen!$A$4:$A$19,0))),"")</f>
        <v>Beine vorne</v>
      </c>
      <c r="D164" s="51" t="s">
        <v>312</v>
      </c>
      <c r="E164" s="61" t="s">
        <v>282</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IFERROR(IF($D165="","",INDEX(Übungen!$B$4:$B$19,MATCH($D165,Übungen!$A$4:$A$19,0))),"")</f>
        <v>Beine vorne</v>
      </c>
      <c r="D165" s="51" t="s">
        <v>312</v>
      </c>
      <c r="E165" s="61" t="s">
        <v>282</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IFERROR(IF($D166="","",INDEX(Übungen!$B$4:$B$19,MATCH($D166,Übungen!$A$4:$A$19,0))),"")</f>
        <v>Beine vorne</v>
      </c>
      <c r="D166" s="51" t="s">
        <v>289</v>
      </c>
      <c r="E166" s="61" t="s">
        <v>282</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IFERROR(IF($D167="","",INDEX(Übungen!$B$4:$B$19,MATCH($D167,Übungen!$A$4:$A$19,0))),"")</f>
        <v>Beine vorne</v>
      </c>
      <c r="D167" s="51" t="s">
        <v>289</v>
      </c>
      <c r="E167" s="61" t="s">
        <v>282</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IFERROR(IF($D168="","",INDEX(Übungen!$B$4:$B$19,MATCH($D168,Übungen!$A$4:$A$19,0))),"")</f>
        <v>Beine vorne</v>
      </c>
      <c r="D168" s="51" t="s">
        <v>289</v>
      </c>
      <c r="E168" s="61" t="s">
        <v>282</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IFERROR(IF($D169="","",INDEX(Übungen!$B$4:$B$19,MATCH($D169,Übungen!$A$4:$A$19,0))),"")</f>
        <v>Beine vorne</v>
      </c>
      <c r="D169" s="51" t="s">
        <v>280</v>
      </c>
      <c r="E169" s="61" t="s">
        <v>282</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IFERROR(IF($D170="","",INDEX(Übungen!$B$4:$B$19,MATCH($D170,Übungen!$A$4:$A$19,0))),"")</f>
        <v>Beine vorne</v>
      </c>
      <c r="D170" s="51" t="s">
        <v>280</v>
      </c>
      <c r="E170" s="61" t="s">
        <v>282</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t="n">
        <v>7</v>
      </c>
      <c r="C171" s="67" t="str">
        <f aca="false">IFERROR(IF($D171="","",INDEX(Übungen!$B$4:$B$19,MATCH($D171,Übungen!$A$4:$A$19,0))),"")</f>
        <v>Beine hinten</v>
      </c>
      <c r="D171" s="51" t="s">
        <v>309</v>
      </c>
      <c r="E171" s="61" t="s">
        <v>282</v>
      </c>
      <c r="F171" s="50" t="n">
        <v>120</v>
      </c>
      <c r="G171" s="62" t="n">
        <v>8</v>
      </c>
      <c r="H171" s="50"/>
      <c r="I171" s="44" t="n">
        <f aca="false">IF(AND(ISNUMBER($F171),ISNUMBER($G171),$E171&lt;&gt;"R"),$F171*$G171,"")</f>
        <v>960</v>
      </c>
      <c r="J171" s="46" t="n">
        <f aca="false">IF(AND($E171="A",ISNUMBER($F171),ISNUMBER($G171)),$F171*(1+$G171/30),"")</f>
        <v>152</v>
      </c>
      <c r="K171" s="51"/>
      <c r="L171" s="51"/>
    </row>
    <row r="172" customFormat="false" ht="15.75" hidden="false" customHeight="true" outlineLevel="0" collapsed="false">
      <c r="A172" s="66" t="str">
        <f aca="false">IFERROR(IF($B172="","",IF(INDEX(Einheiten!$B$4:$B$63,MATCH($B172,Einheiten!$A$4:$A$63,0))=0,"",INDEX(Einheiten!$B$4:$B$63,MATCH($B172,Einheiten!$A$4:$A$63,0)))),"")</f>
        <v/>
      </c>
      <c r="B172" s="49" t="n">
        <v>7</v>
      </c>
      <c r="C172" s="67" t="str">
        <f aca="false">IFERROR(IF($D172="","",INDEX(Übungen!$B$4:$B$19,MATCH($D172,Übungen!$A$4:$A$19,0))),"")</f>
        <v>Beine hinten</v>
      </c>
      <c r="D172" s="51" t="s">
        <v>309</v>
      </c>
      <c r="E172" s="61" t="s">
        <v>282</v>
      </c>
      <c r="F172" s="50" t="n">
        <v>130</v>
      </c>
      <c r="G172" s="62" t="n">
        <v>8</v>
      </c>
      <c r="H172" s="50"/>
      <c r="I172" s="44" t="n">
        <f aca="false">IF(AND(ISNUMBER($F172),ISNUMBER($G172),$E172&lt;&gt;"R"),$F172*$G172,"")</f>
        <v>1040</v>
      </c>
      <c r="J172" s="46" t="n">
        <f aca="false">IF(AND($E172="A",ISNUMBER($F172),ISNUMBER($G172)),$F172*(1+$G172/30),"")</f>
        <v>164.666666666667</v>
      </c>
      <c r="K172" s="51"/>
      <c r="L172" s="51"/>
    </row>
    <row r="173" customFormat="false" ht="15.75" hidden="false" customHeight="true" outlineLevel="0" collapsed="false">
      <c r="A173" s="66" t="str">
        <f aca="false">IFERROR(IF($B173="","",IF(INDEX(Einheiten!$B$4:$B$63,MATCH($B173,Einheiten!$A$4:$A$63,0))=0,"",INDEX(Einheiten!$B$4:$B$63,MATCH($B173,Einheiten!$A$4:$A$63,0)))),"")</f>
        <v/>
      </c>
      <c r="B173" s="49" t="n">
        <v>7</v>
      </c>
      <c r="C173" s="67" t="str">
        <f aca="false">IFERROR(IF($D173="","",INDEX(Übungen!$B$4:$B$19,MATCH($D173,Übungen!$A$4:$A$19,0))),"")</f>
        <v>Beine hinten</v>
      </c>
      <c r="D173" s="51" t="s">
        <v>309</v>
      </c>
      <c r="E173" s="61" t="s">
        <v>282</v>
      </c>
      <c r="F173" s="50" t="n">
        <v>135</v>
      </c>
      <c r="G173" s="62" t="n">
        <v>6</v>
      </c>
      <c r="H173" s="50"/>
      <c r="I173" s="44" t="n">
        <f aca="false">IF(AND(ISNUMBER($F173),ISNUMBER($G173),$E173&lt;&gt;"R"),$F173*$G173,"")</f>
        <v>810</v>
      </c>
      <c r="J173" s="46" t="n">
        <f aca="false">IF(AND($E173="A",ISNUMBER($F173),ISNUMBER($G173)),$F173*(1+$G173/30),"")</f>
        <v>162</v>
      </c>
      <c r="K173" s="51"/>
      <c r="L173" s="51"/>
    </row>
    <row r="174" customFormat="false" ht="15.75" hidden="false" customHeight="true" outlineLevel="0" collapsed="false">
      <c r="A174" s="66" t="str">
        <f aca="false">IFERROR(IF($B174="","",IF(INDEX(Einheiten!$B$4:$B$63,MATCH($B174,Einheiten!$A$4:$A$63,0))=0,"",INDEX(Einheiten!$B$4:$B$63,MATCH($B174,Einheiten!$A$4:$A$63,0)))),"")</f>
        <v/>
      </c>
      <c r="B174" s="49" t="n">
        <v>7</v>
      </c>
      <c r="C174" s="67" t="str">
        <f aca="false">IFERROR(IF($D174="","",INDEX(Übungen!$B$4:$B$19,MATCH($D174,Übungen!$A$4:$A$19,0))),"")</f>
        <v>Beine hinten</v>
      </c>
      <c r="D174" s="51" t="s">
        <v>304</v>
      </c>
      <c r="E174" s="61" t="s">
        <v>282</v>
      </c>
      <c r="F174" s="50" t="n">
        <v>280</v>
      </c>
      <c r="G174" s="62" t="n">
        <v>8</v>
      </c>
      <c r="H174" s="50"/>
      <c r="I174" s="44" t="n">
        <f aca="false">IF(AND(ISNUMBER($F174),ISNUMBER($G174),$E174&lt;&gt;"R"),$F174*$G174,"")</f>
        <v>2240</v>
      </c>
      <c r="J174" s="46" t="n">
        <f aca="false">IF(AND($E174="A",ISNUMBER($F174),ISNUMBER($G174)),$F174*(1+$G174/30),"")</f>
        <v>354.666666666667</v>
      </c>
      <c r="K174" s="51"/>
      <c r="L174" s="51"/>
    </row>
    <row r="175" customFormat="false" ht="15.75" hidden="false" customHeight="true" outlineLevel="0" collapsed="false">
      <c r="A175" s="66" t="str">
        <f aca="false">IFERROR(IF($B175="","",IF(INDEX(Einheiten!$B$4:$B$63,MATCH($B175,Einheiten!$A$4:$A$63,0))=0,"",INDEX(Einheiten!$B$4:$B$63,MATCH($B175,Einheiten!$A$4:$A$63,0)))),"")</f>
        <v/>
      </c>
      <c r="B175" s="49" t="n">
        <v>7</v>
      </c>
      <c r="C175" s="67" t="str">
        <f aca="false">IFERROR(IF($D175="","",INDEX(Übungen!$B$4:$B$19,MATCH($D175,Übungen!$A$4:$A$19,0))),"")</f>
        <v>Beine hinten</v>
      </c>
      <c r="D175" s="51" t="s">
        <v>304</v>
      </c>
      <c r="E175" s="61" t="s">
        <v>282</v>
      </c>
      <c r="F175" s="50" t="n">
        <v>290</v>
      </c>
      <c r="G175" s="62" t="n">
        <v>8</v>
      </c>
      <c r="H175" s="50"/>
      <c r="I175" s="44" t="n">
        <f aca="false">IF(AND(ISNUMBER($F175),ISNUMBER($G175),$E175&lt;&gt;"R"),$F175*$G175,"")</f>
        <v>2320</v>
      </c>
      <c r="J175" s="46" t="n">
        <f aca="false">IF(AND($E175="A",ISNUMBER($F175),ISNUMBER($G175)),$F175*(1+$G175/30),"")</f>
        <v>367.333333333333</v>
      </c>
      <c r="K175" s="51"/>
      <c r="L175" s="51"/>
    </row>
    <row r="176" customFormat="false" ht="15.75" hidden="false" customHeight="true" outlineLevel="0" collapsed="false">
      <c r="A176" s="66" t="str">
        <f aca="false">IFERROR(IF($B176="","",IF(INDEX(Einheiten!$B$4:$B$63,MATCH($B176,Einheiten!$A$4:$A$63,0))=0,"",INDEX(Einheiten!$B$4:$B$63,MATCH($B176,Einheiten!$A$4:$A$63,0)))),"")</f>
        <v/>
      </c>
      <c r="B176" s="49" t="n">
        <v>7</v>
      </c>
      <c r="C176" s="67" t="str">
        <f aca="false">IFERROR(IF($D176="","",INDEX(Übungen!$B$4:$B$19,MATCH($D176,Übungen!$A$4:$A$19,0))),"")</f>
        <v>Beine hinten</v>
      </c>
      <c r="D176" s="51" t="s">
        <v>304</v>
      </c>
      <c r="E176" s="61" t="s">
        <v>282</v>
      </c>
      <c r="F176" s="50" t="n">
        <v>290</v>
      </c>
      <c r="G176" s="62" t="n">
        <v>8</v>
      </c>
      <c r="H176" s="50"/>
      <c r="I176" s="44" t="n">
        <f aca="false">IF(AND(ISNUMBER($F176),ISNUMBER($G176),$E176&lt;&gt;"R"),$F176*$G176,"")</f>
        <v>2320</v>
      </c>
      <c r="J176" s="46" t="n">
        <f aca="false">IF(AND($E176="A",ISNUMBER($F176),ISNUMBER($G176)),$F176*(1+$G176/30),"")</f>
        <v>367.333333333333</v>
      </c>
      <c r="K176" s="51"/>
      <c r="L176" s="51"/>
    </row>
    <row r="177" customFormat="false" ht="15.75" hidden="false" customHeight="true" outlineLevel="0" collapsed="false">
      <c r="A177" s="66" t="str">
        <f aca="false">IFERROR(IF($B177="","",IF(INDEX(Einheiten!$B$4:$B$63,MATCH($B177,Einheiten!$A$4:$A$63,0))=0,"",INDEX(Einheiten!$B$4:$B$63,MATCH($B177,Einheiten!$A$4:$A$63,0)))),"")</f>
        <v/>
      </c>
      <c r="B177" s="49" t="n">
        <v>7</v>
      </c>
      <c r="C177" s="67" t="str">
        <f aca="false">IFERROR(IF($D177="","",INDEX(Übungen!$B$4:$B$19,MATCH($D177,Übungen!$A$4:$A$19,0))),"")</f>
        <v>Beine hinten</v>
      </c>
      <c r="D177" s="51" t="s">
        <v>300</v>
      </c>
      <c r="E177" s="61" t="s">
        <v>282</v>
      </c>
      <c r="F177" s="50" t="n">
        <v>50</v>
      </c>
      <c r="G177" s="62" t="n">
        <v>10</v>
      </c>
      <c r="H177" s="50"/>
      <c r="I177" s="44" t="n">
        <f aca="false">IF(AND(ISNUMBER($F177),ISNUMBER($G177),$E177&lt;&gt;"R"),$F177*$G177,"")</f>
        <v>500</v>
      </c>
      <c r="J177" s="46" t="n">
        <f aca="false">IF(AND($E177="A",ISNUMBER($F177),ISNUMBER($G177)),$F177*(1+$G177/30),"")</f>
        <v>66.6666666666667</v>
      </c>
      <c r="K177" s="51"/>
      <c r="L177" s="51"/>
    </row>
    <row r="178" customFormat="false" ht="15.75" hidden="false" customHeight="true" outlineLevel="0" collapsed="false">
      <c r="A178" s="66" t="str">
        <f aca="false">IFERROR(IF($B178="","",IF(INDEX(Einheiten!$B$4:$B$63,MATCH($B178,Einheiten!$A$4:$A$63,0))=0,"",INDEX(Einheiten!$B$4:$B$63,MATCH($B178,Einheiten!$A$4:$A$63,0)))),"")</f>
        <v/>
      </c>
      <c r="B178" s="49" t="n">
        <v>7</v>
      </c>
      <c r="C178" s="67" t="str">
        <f aca="false">IFERROR(IF($D178="","",INDEX(Übungen!$B$4:$B$19,MATCH($D178,Übungen!$A$4:$A$19,0))),"")</f>
        <v>Beine hinten</v>
      </c>
      <c r="D178" s="51" t="s">
        <v>300</v>
      </c>
      <c r="E178" s="61" t="s">
        <v>282</v>
      </c>
      <c r="F178" s="50" t="n">
        <v>52.5</v>
      </c>
      <c r="G178" s="62" t="n">
        <v>10</v>
      </c>
      <c r="H178" s="50"/>
      <c r="I178" s="44" t="n">
        <f aca="false">IF(AND(ISNUMBER($F178),ISNUMBER($G178),$E178&lt;&gt;"R"),$F178*$G178,"")</f>
        <v>525</v>
      </c>
      <c r="J178" s="46" t="n">
        <f aca="false">IF(AND($E178="A",ISNUMBER($F178),ISNUMBER($G178)),$F178*(1+$G178/30),"")</f>
        <v>70</v>
      </c>
      <c r="K178" s="51"/>
      <c r="L178" s="51"/>
    </row>
    <row r="179" customFormat="false" ht="15.75" hidden="false" customHeight="true" outlineLevel="0" collapsed="false">
      <c r="A179" s="66" t="str">
        <f aca="false">IFERROR(IF($B179="","",IF(INDEX(Einheiten!$B$4:$B$63,MATCH($B179,Einheiten!$A$4:$A$63,0))=0,"",INDEX(Einheiten!$B$4:$B$63,MATCH($B179,Einheiten!$A$4:$A$63,0)))),"")</f>
        <v/>
      </c>
      <c r="B179" s="49" t="n">
        <v>7</v>
      </c>
      <c r="C179" s="67" t="str">
        <f aca="false">IFERROR(IF($D179="","",INDEX(Übungen!$B$4:$B$19,MATCH($D179,Übungen!$A$4:$A$19,0))),"")</f>
        <v>Beine hinten</v>
      </c>
      <c r="D179" s="51" t="s">
        <v>315</v>
      </c>
      <c r="E179" s="61" t="s">
        <v>282</v>
      </c>
      <c r="F179" s="50" t="n">
        <v>136</v>
      </c>
      <c r="G179" s="62" t="n">
        <v>15</v>
      </c>
      <c r="H179" s="50"/>
      <c r="I179" s="44" t="n">
        <f aca="false">IF(AND(ISNUMBER($F179),ISNUMBER($G179),$E179&lt;&gt;"R"),$F179*$G179,"")</f>
        <v>2040</v>
      </c>
      <c r="J179" s="46" t="n">
        <f aca="false">IF(AND($E179="A",ISNUMBER($F179),ISNUMBER($G179)),$F179*(1+$G179/30),"")</f>
        <v>204</v>
      </c>
      <c r="K179" s="51"/>
      <c r="L179" s="51" t="s">
        <v>316</v>
      </c>
    </row>
    <row r="180" customFormat="false" ht="15.75" hidden="false" customHeight="true" outlineLevel="0" collapsed="false">
      <c r="A180" s="66" t="str">
        <f aca="false">IFERROR(IF($B180="","",IF(INDEX(Einheiten!$B$4:$B$63,MATCH($B180,Einheiten!$A$4:$A$63,0))=0,"",INDEX(Einheiten!$B$4:$B$63,MATCH($B180,Einheiten!$A$4:$A$63,0)))),"")</f>
        <v/>
      </c>
      <c r="B180" s="49" t="n">
        <v>7</v>
      </c>
      <c r="C180" s="67" t="str">
        <f aca="false">IFERROR(IF($D180="","",INDEX(Übungen!$B$4:$B$19,MATCH($D180,Übungen!$A$4:$A$19,0))),"")</f>
        <v>Beine hinten</v>
      </c>
      <c r="D180" s="51" t="s">
        <v>315</v>
      </c>
      <c r="E180" s="61" t="s">
        <v>282</v>
      </c>
      <c r="F180" s="50" t="n">
        <v>141</v>
      </c>
      <c r="G180" s="62" t="n">
        <v>12</v>
      </c>
      <c r="H180" s="50"/>
      <c r="I180" s="44" t="n">
        <f aca="false">IF(AND(ISNUMBER($F180),ISNUMBER($G180),$E180&lt;&gt;"R"),$F180*$G180,"")</f>
        <v>1692</v>
      </c>
      <c r="J180" s="46" t="n">
        <f aca="false">IF(AND($E180="A",ISNUMBER($F180),ISNUMBER($G180)),$F180*(1+$G180/30),"")</f>
        <v>197.4</v>
      </c>
      <c r="K180" s="51"/>
      <c r="L180" s="51"/>
    </row>
    <row r="181" customFormat="false" ht="15.75" hidden="false" customHeight="true" outlineLevel="0" collapsed="false">
      <c r="A181" s="66" t="str">
        <f aca="false">IFERROR(IF($B181="","",IF(INDEX(Einheiten!$B$4:$B$63,MATCH($B181,Einheiten!$A$4:$A$63,0))=0,"",INDEX(Einheiten!$B$4:$B$63,MATCH($B181,Einheiten!$A$4:$A$63,0)))),"")</f>
        <v/>
      </c>
      <c r="B181" s="49" t="n">
        <v>7</v>
      </c>
      <c r="C181" s="67" t="str">
        <f aca="false">IFERROR(IF($D181="","",INDEX(Übungen!$B$4:$B$19,MATCH($D181,Übungen!$A$4:$A$19,0))),"")</f>
        <v>Beine hinten</v>
      </c>
      <c r="D181" s="51" t="s">
        <v>308</v>
      </c>
      <c r="E181" s="61" t="s">
        <v>282</v>
      </c>
      <c r="F181" s="50" t="n">
        <v>150</v>
      </c>
      <c r="G181" s="62" t="n">
        <v>12</v>
      </c>
      <c r="H181" s="50"/>
      <c r="I181" s="44" t="n">
        <f aca="false">IF(AND(ISNUMBER($F181),ISNUMBER($G181),$E181&lt;&gt;"R"),$F181*$G181,"")</f>
        <v>1800</v>
      </c>
      <c r="J181" s="46" t="n">
        <f aca="false">IF(AND($E181="A",ISNUMBER($F181),ISNUMBER($G181)),$F181*(1+$G181/30),"")</f>
        <v>210</v>
      </c>
      <c r="K181" s="51"/>
      <c r="L181" s="51"/>
    </row>
    <row r="182" customFormat="false" ht="15.75" hidden="false" customHeight="true" outlineLevel="0" collapsed="false">
      <c r="A182" s="66" t="str">
        <f aca="false">IFERROR(IF($B182="","",IF(INDEX(Einheiten!$B$4:$B$63,MATCH($B182,Einheiten!$A$4:$A$63,0))=0,"",INDEX(Einheiten!$B$4:$B$63,MATCH($B182,Einheiten!$A$4:$A$63,0)))),"")</f>
        <v/>
      </c>
      <c r="B182" s="49" t="n">
        <v>7</v>
      </c>
      <c r="C182" s="67" t="str">
        <f aca="false">IFERROR(IF($D182="","",INDEX(Übungen!$B$4:$B$19,MATCH($D182,Übungen!$A$4:$A$19,0))),"")</f>
        <v>Beine hinten</v>
      </c>
      <c r="D182" s="51" t="s">
        <v>308</v>
      </c>
      <c r="E182" s="61" t="s">
        <v>282</v>
      </c>
      <c r="F182" s="50" t="n">
        <v>160</v>
      </c>
      <c r="G182" s="62" t="n">
        <v>12</v>
      </c>
      <c r="H182" s="50"/>
      <c r="I182" s="44" t="n">
        <f aca="false">IF(AND(ISNUMBER($F182),ISNUMBER($G182),$E182&lt;&gt;"R"),$F182*$G182,"")</f>
        <v>1920</v>
      </c>
      <c r="J182" s="46" t="n">
        <f aca="false">IF(AND($E182="A",ISNUMBER($F182),ISNUMBER($G182)),$F182*(1+$G182/30),"")</f>
        <v>224</v>
      </c>
      <c r="K182" s="51"/>
      <c r="L182" s="51"/>
    </row>
    <row r="183" customFormat="false" ht="15.75" hidden="false" customHeight="true" outlineLevel="0" collapsed="false">
      <c r="A183" s="66" t="str">
        <f aca="false">IFERROR(IF($B183="","",IF(INDEX(Einheiten!$B$4:$B$63,MATCH($B183,Einheiten!$A$4:$A$63,0))=0,"",INDEX(Einheiten!$B$4:$B$63,MATCH($B183,Einheiten!$A$4:$A$63,0)))),"")</f>
        <v/>
      </c>
      <c r="B183" s="49" t="n">
        <v>8</v>
      </c>
      <c r="C183" s="67" t="str">
        <f aca="false">IFERROR(IF($D183="","",INDEX(Übungen!$B$4:$B$19,MATCH($D183,Übungen!$A$4:$A$19,0))),"")</f>
        <v>Beine vorne</v>
      </c>
      <c r="D183" s="51" t="s">
        <v>296</v>
      </c>
      <c r="E183" s="61" t="s">
        <v>282</v>
      </c>
      <c r="F183" s="50" t="n">
        <v>110</v>
      </c>
      <c r="G183" s="62" t="n">
        <v>7</v>
      </c>
      <c r="H183" s="50"/>
      <c r="I183" s="44" t="n">
        <f aca="false">IF(AND(ISNUMBER($F183),ISNUMBER($G183),$E183&lt;&gt;"R"),$F183*$G183,"")</f>
        <v>770</v>
      </c>
      <c r="J183" s="46" t="n">
        <f aca="false">IF(AND($E183="A",ISNUMBER($F183),ISNUMBER($G183)),$F183*(1+$G183/30),"")</f>
        <v>135.666666666667</v>
      </c>
      <c r="K183" s="51"/>
      <c r="L183" s="51"/>
    </row>
    <row r="184" customFormat="false" ht="15.75" hidden="false" customHeight="true" outlineLevel="0" collapsed="false">
      <c r="A184" s="66" t="str">
        <f aca="false">IFERROR(IF($B184="","",IF(INDEX(Einheiten!$B$4:$B$63,MATCH($B184,Einheiten!$A$4:$A$63,0))=0,"",INDEX(Einheiten!$B$4:$B$63,MATCH($B184,Einheiten!$A$4:$A$63,0)))),"")</f>
        <v/>
      </c>
      <c r="B184" s="49" t="n">
        <v>8</v>
      </c>
      <c r="C184" s="67" t="str">
        <f aca="false">IFERROR(IF($D184="","",INDEX(Übungen!$B$4:$B$19,MATCH($D184,Übungen!$A$4:$A$19,0))),"")</f>
        <v>Beine vorne</v>
      </c>
      <c r="D184" s="51" t="s">
        <v>296</v>
      </c>
      <c r="E184" s="61" t="s">
        <v>282</v>
      </c>
      <c r="F184" s="50" t="n">
        <v>115</v>
      </c>
      <c r="G184" s="62" t="n">
        <v>6</v>
      </c>
      <c r="H184" s="50"/>
      <c r="I184" s="44" t="n">
        <f aca="false">IF(AND(ISNUMBER($F184),ISNUMBER($G184),$E184&lt;&gt;"R"),$F184*$G184,"")</f>
        <v>690</v>
      </c>
      <c r="J184" s="46" t="n">
        <f aca="false">IF(AND($E184="A",ISNUMBER($F184),ISNUMBER($G184)),$F184*(1+$G184/30),"")</f>
        <v>138</v>
      </c>
      <c r="K184" s="51"/>
      <c r="L184" s="51"/>
    </row>
    <row r="185" customFormat="false" ht="15.75" hidden="false" customHeight="true" outlineLevel="0" collapsed="false">
      <c r="A185" s="66" t="str">
        <f aca="false">IFERROR(IF($B185="","",IF(INDEX(Einheiten!$B$4:$B$63,MATCH($B185,Einheiten!$A$4:$A$63,0))=0,"",INDEX(Einheiten!$B$4:$B$63,MATCH($B185,Einheiten!$A$4:$A$63,0)))),"")</f>
        <v/>
      </c>
      <c r="B185" s="49" t="n">
        <v>8</v>
      </c>
      <c r="C185" s="67" t="str">
        <f aca="false">IFERROR(IF($D185="","",INDEX(Übungen!$B$4:$B$19,MATCH($D185,Übungen!$A$4:$A$19,0))),"")</f>
        <v>Beine vorne</v>
      </c>
      <c r="D185" s="51" t="s">
        <v>296</v>
      </c>
      <c r="E185" s="61" t="s">
        <v>282</v>
      </c>
      <c r="F185" s="50" t="n">
        <v>115</v>
      </c>
      <c r="G185" s="62" t="n">
        <v>5</v>
      </c>
      <c r="H185" s="50"/>
      <c r="I185" s="44" t="n">
        <f aca="false">IF(AND(ISNUMBER($F185),ISNUMBER($G185),$E185&lt;&gt;"R"),$F185*$G185,"")</f>
        <v>575</v>
      </c>
      <c r="J185" s="46" t="n">
        <f aca="false">IF(AND($E185="A",ISNUMBER($F185),ISNUMBER($G185)),$F185*(1+$G185/30),"")</f>
        <v>134.166666666667</v>
      </c>
      <c r="K185" s="51"/>
      <c r="L185" s="51"/>
    </row>
    <row r="186" customFormat="false" ht="15.75" hidden="false" customHeight="true" outlineLevel="0" collapsed="false">
      <c r="A186" s="66" t="str">
        <f aca="false">IFERROR(IF($B186="","",IF(INDEX(Einheiten!$B$4:$B$63,MATCH($B186,Einheiten!$A$4:$A$63,0))=0,"",INDEX(Einheiten!$B$4:$B$63,MATCH($B186,Einheiten!$A$4:$A$63,0)))),"")</f>
        <v/>
      </c>
      <c r="B186" s="49" t="n">
        <v>8</v>
      </c>
      <c r="C186" s="67" t="str">
        <f aca="false">IFERROR(IF($D186="","",INDEX(Übungen!$B$4:$B$19,MATCH($D186,Übungen!$A$4:$A$19,0))),"")</f>
        <v>Beine vorne</v>
      </c>
      <c r="D186" s="51" t="s">
        <v>312</v>
      </c>
      <c r="E186" s="61" t="s">
        <v>282</v>
      </c>
      <c r="F186" s="50" t="n">
        <v>333</v>
      </c>
      <c r="G186" s="62" t="n">
        <v>8</v>
      </c>
      <c r="H186" s="50"/>
      <c r="I186" s="44" t="n">
        <f aca="false">IF(AND(ISNUMBER($F186),ISNUMBER($G186),$E186&lt;&gt;"R"),$F186*$G186,"")</f>
        <v>2664</v>
      </c>
      <c r="J186" s="46" t="n">
        <f aca="false">IF(AND($E186="A",ISNUMBER($F186),ISNUMBER($G186)),$F186*(1+$G186/30),"")</f>
        <v>421.8</v>
      </c>
      <c r="K186" s="51"/>
      <c r="L186" s="51"/>
    </row>
    <row r="187" customFormat="false" ht="15.75" hidden="false" customHeight="true" outlineLevel="0" collapsed="false">
      <c r="A187" s="66" t="str">
        <f aca="false">IFERROR(IF($B187="","",IF(INDEX(Einheiten!$B$4:$B$63,MATCH($B187,Einheiten!$A$4:$A$63,0))=0,"",INDEX(Einheiten!$B$4:$B$63,MATCH($B187,Einheiten!$A$4:$A$63,0)))),"")</f>
        <v/>
      </c>
      <c r="B187" s="49" t="n">
        <v>8</v>
      </c>
      <c r="C187" s="67" t="str">
        <f aca="false">IFERROR(IF($D187="","",INDEX(Übungen!$B$4:$B$19,MATCH($D187,Übungen!$A$4:$A$19,0))),"")</f>
        <v>Beine vorne</v>
      </c>
      <c r="D187" s="51" t="s">
        <v>312</v>
      </c>
      <c r="E187" s="61" t="s">
        <v>282</v>
      </c>
      <c r="F187" s="50" t="n">
        <v>333</v>
      </c>
      <c r="G187" s="62" t="n">
        <v>8</v>
      </c>
      <c r="H187" s="50"/>
      <c r="I187" s="44" t="n">
        <f aca="false">IF(AND(ISNUMBER($F187),ISNUMBER($G187),$E187&lt;&gt;"R"),$F187*$G187,"")</f>
        <v>2664</v>
      </c>
      <c r="J187" s="46" t="n">
        <f aca="false">IF(AND($E187="A",ISNUMBER($F187),ISNUMBER($G187)),$F187*(1+$G187/30),"")</f>
        <v>421.8</v>
      </c>
      <c r="K187" s="51"/>
      <c r="L187" s="51"/>
    </row>
    <row r="188" customFormat="false" ht="15.75" hidden="false" customHeight="true" outlineLevel="0" collapsed="false">
      <c r="A188" s="66" t="str">
        <f aca="false">IFERROR(IF($B188="","",IF(INDEX(Einheiten!$B$4:$B$63,MATCH($B188,Einheiten!$A$4:$A$63,0))=0,"",INDEX(Einheiten!$B$4:$B$63,MATCH($B188,Einheiten!$A$4:$A$63,0)))),"")</f>
        <v/>
      </c>
      <c r="B188" s="49" t="n">
        <v>8</v>
      </c>
      <c r="C188" s="67" t="str">
        <f aca="false">IFERROR(IF($D188="","",INDEX(Übungen!$B$4:$B$19,MATCH($D188,Übungen!$A$4:$A$19,0))),"")</f>
        <v>Beine vorne</v>
      </c>
      <c r="D188" s="51" t="s">
        <v>312</v>
      </c>
      <c r="E188" s="61" t="s">
        <v>282</v>
      </c>
      <c r="F188" s="50" t="n">
        <v>303</v>
      </c>
      <c r="G188" s="62" t="n">
        <v>8</v>
      </c>
      <c r="H188" s="50"/>
      <c r="I188" s="44" t="n">
        <f aca="false">IF(AND(ISNUMBER($F188),ISNUMBER($G188),$E188&lt;&gt;"R"),$F188*$G188,"")</f>
        <v>2424</v>
      </c>
      <c r="J188" s="46" t="n">
        <f aca="false">IF(AND($E188="A",ISNUMBER($F188),ISNUMBER($G188)),$F188*(1+$G188/30),"")</f>
        <v>383.8</v>
      </c>
      <c r="K188" s="51"/>
      <c r="L188" s="51"/>
    </row>
    <row r="189" customFormat="false" ht="15.75" hidden="false" customHeight="true" outlineLevel="0" collapsed="false">
      <c r="A189" s="66" t="str">
        <f aca="false">IFERROR(IF($B189="","",IF(INDEX(Einheiten!$B$4:$B$63,MATCH($B189,Einheiten!$A$4:$A$63,0))=0,"",INDEX(Einheiten!$B$4:$B$63,MATCH($B189,Einheiten!$A$4:$A$63,0)))),"")</f>
        <v/>
      </c>
      <c r="B189" s="49" t="n">
        <v>8</v>
      </c>
      <c r="C189" s="67" t="str">
        <f aca="false">IFERROR(IF($D189="","",INDEX(Übungen!$B$4:$B$19,MATCH($D189,Übungen!$A$4:$A$19,0))),"")</f>
        <v>Beine vorne</v>
      </c>
      <c r="D189" s="51" t="s">
        <v>289</v>
      </c>
      <c r="E189" s="61" t="s">
        <v>282</v>
      </c>
      <c r="F189" s="50" t="n">
        <v>80</v>
      </c>
      <c r="G189" s="62" t="n">
        <v>8</v>
      </c>
      <c r="H189" s="50"/>
      <c r="I189" s="44" t="n">
        <f aca="false">IF(AND(ISNUMBER($F189),ISNUMBER($G189),$E189&lt;&gt;"R"),$F189*$G189,"")</f>
        <v>640</v>
      </c>
      <c r="J189" s="46" t="n">
        <f aca="false">IF(AND($E189="A",ISNUMBER($F189),ISNUMBER($G189)),$F189*(1+$G189/30),"")</f>
        <v>101.333333333333</v>
      </c>
      <c r="K189" s="51"/>
      <c r="L189" s="51"/>
    </row>
    <row r="190" customFormat="false" ht="15.75" hidden="false" customHeight="true" outlineLevel="0" collapsed="false">
      <c r="A190" s="66" t="str">
        <f aca="false">IFERROR(IF($B190="","",IF(INDEX(Einheiten!$B$4:$B$63,MATCH($B190,Einheiten!$A$4:$A$63,0))=0,"",INDEX(Einheiten!$B$4:$B$63,MATCH($B190,Einheiten!$A$4:$A$63,0)))),"")</f>
        <v/>
      </c>
      <c r="B190" s="49" t="n">
        <v>8</v>
      </c>
      <c r="C190" s="67" t="str">
        <f aca="false">IFERROR(IF($D190="","",INDEX(Übungen!$B$4:$B$19,MATCH($D190,Übungen!$A$4:$A$19,0))),"")</f>
        <v>Beine vorne</v>
      </c>
      <c r="D190" s="51" t="s">
        <v>289</v>
      </c>
      <c r="E190" s="61" t="s">
        <v>282</v>
      </c>
      <c r="F190" s="50" t="n">
        <v>80</v>
      </c>
      <c r="G190" s="62" t="n">
        <v>8</v>
      </c>
      <c r="H190" s="50"/>
      <c r="I190" s="44" t="n">
        <f aca="false">IF(AND(ISNUMBER($F190),ISNUMBER($G190),$E190&lt;&gt;"R"),$F190*$G190,"")</f>
        <v>640</v>
      </c>
      <c r="J190" s="46" t="n">
        <f aca="false">IF(AND($E190="A",ISNUMBER($F190),ISNUMBER($G190)),$F190*(1+$G190/30),"")</f>
        <v>101.333333333333</v>
      </c>
      <c r="K190" s="51"/>
      <c r="L190" s="51"/>
    </row>
    <row r="191" customFormat="false" ht="15.75" hidden="false" customHeight="true" outlineLevel="0" collapsed="false">
      <c r="A191" s="66" t="str">
        <f aca="false">IFERROR(IF($B191="","",IF(INDEX(Einheiten!$B$4:$B$63,MATCH($B191,Einheiten!$A$4:$A$63,0))=0,"",INDEX(Einheiten!$B$4:$B$63,MATCH($B191,Einheiten!$A$4:$A$63,0)))),"")</f>
        <v/>
      </c>
      <c r="B191" s="49" t="n">
        <v>8</v>
      </c>
      <c r="C191" s="67" t="str">
        <f aca="false">IFERROR(IF($D191="","",INDEX(Übungen!$B$4:$B$19,MATCH($D191,Übungen!$A$4:$A$19,0))),"")</f>
        <v>Beine vorne</v>
      </c>
      <c r="D191" s="51" t="s">
        <v>289</v>
      </c>
      <c r="E191" s="61" t="s">
        <v>282</v>
      </c>
      <c r="F191" s="50" t="n">
        <v>80</v>
      </c>
      <c r="G191" s="62" t="n">
        <v>8</v>
      </c>
      <c r="H191" s="50"/>
      <c r="I191" s="44" t="n">
        <f aca="false">IF(AND(ISNUMBER($F191),ISNUMBER($G191),$E191&lt;&gt;"R"),$F191*$G191,"")</f>
        <v>640</v>
      </c>
      <c r="J191" s="46" t="n">
        <f aca="false">IF(AND($E191="A",ISNUMBER($F191),ISNUMBER($G191)),$F191*(1+$G191/30),"")</f>
        <v>101.333333333333</v>
      </c>
      <c r="K191" s="51"/>
      <c r="L191" s="51"/>
    </row>
    <row r="192" customFormat="false" ht="15.75" hidden="false" customHeight="true" outlineLevel="0" collapsed="false">
      <c r="A192" s="66" t="str">
        <f aca="false">IFERROR(IF($B192="","",IF(INDEX(Einheiten!$B$4:$B$63,MATCH($B192,Einheiten!$A$4:$A$63,0))=0,"",INDEX(Einheiten!$B$4:$B$63,MATCH($B192,Einheiten!$A$4:$A$63,0)))),"")</f>
        <v/>
      </c>
      <c r="B192" s="49" t="n">
        <v>8</v>
      </c>
      <c r="C192" s="67" t="str">
        <f aca="false">IFERROR(IF($D192="","",INDEX(Übungen!$B$4:$B$19,MATCH($D192,Übungen!$A$4:$A$19,0))),"")</f>
        <v>Beine vorne</v>
      </c>
      <c r="D192" s="51" t="s">
        <v>280</v>
      </c>
      <c r="E192" s="61" t="s">
        <v>282</v>
      </c>
      <c r="F192" s="50" t="n">
        <v>185</v>
      </c>
      <c r="G192" s="62" t="n">
        <v>5</v>
      </c>
      <c r="H192" s="50"/>
      <c r="I192" s="44" t="n">
        <f aca="false">IF(AND(ISNUMBER($F192),ISNUMBER($G192),$E192&lt;&gt;"R"),$F192*$G192,"")</f>
        <v>925</v>
      </c>
      <c r="J192" s="46" t="n">
        <f aca="false">IF(AND($E192="A",ISNUMBER($F192),ISNUMBER($G192)),$F192*(1+$G192/30),"")</f>
        <v>215.833333333333</v>
      </c>
      <c r="K192" s="51"/>
      <c r="L192" s="51"/>
    </row>
    <row r="193" customFormat="false" ht="15.75" hidden="false" customHeight="true" outlineLevel="0" collapsed="false">
      <c r="A193" s="66" t="str">
        <f aca="false">IFERROR(IF($B193="","",IF(INDEX(Einheiten!$B$4:$B$63,MATCH($B193,Einheiten!$A$4:$A$63,0))=0,"",INDEX(Einheiten!$B$4:$B$63,MATCH($B193,Einheiten!$A$4:$A$63,0)))),"")</f>
        <v/>
      </c>
      <c r="B193" s="49" t="n">
        <v>8</v>
      </c>
      <c r="C193" s="67" t="str">
        <f aca="false">IFERROR(IF($D193="","",INDEX(Übungen!$B$4:$B$19,MATCH($D193,Übungen!$A$4:$A$19,0))),"")</f>
        <v>Beine vorne</v>
      </c>
      <c r="D193" s="51" t="s">
        <v>280</v>
      </c>
      <c r="E193" s="61" t="s">
        <v>282</v>
      </c>
      <c r="F193" s="50" t="n">
        <v>176</v>
      </c>
      <c r="G193" s="62" t="n">
        <v>6</v>
      </c>
      <c r="H193" s="50"/>
      <c r="I193" s="44" t="n">
        <f aca="false">IF(AND(ISNUMBER($F193),ISNUMBER($G193),$E193&lt;&gt;"R"),$F193*$G193,"")</f>
        <v>1056</v>
      </c>
      <c r="J193" s="46" t="n">
        <f aca="false">IF(AND($E193="A",ISNUMBER($F193),ISNUMBER($G193)),$F193*(1+$G193/30),"")</f>
        <v>211.2</v>
      </c>
      <c r="K193" s="51"/>
      <c r="L193" s="51"/>
    </row>
    <row r="194" customFormat="false" ht="15.75" hidden="false" customHeight="true" outlineLevel="0" collapsed="false">
      <c r="A194" s="66" t="str">
        <f aca="false">IFERROR(IF($B194="","",IF(INDEX(Einheiten!$B$4:$B$63,MATCH($B194,Einheiten!$A$4:$A$63,0))=0,"",INDEX(Einheiten!$B$4:$B$63,MATCH($B194,Einheiten!$A$4:$A$63,0)))),"")</f>
        <v/>
      </c>
      <c r="B194" s="49" t="n">
        <v>8</v>
      </c>
      <c r="C194" s="67" t="str">
        <f aca="false">IFERROR(IF($D194="","",INDEX(Übungen!$B$4:$B$19,MATCH($D194,Übungen!$A$4:$A$19,0))),"")</f>
        <v>Beine vorne</v>
      </c>
      <c r="D194" s="51" t="s">
        <v>280</v>
      </c>
      <c r="E194" s="61" t="s">
        <v>282</v>
      </c>
      <c r="F194" s="50" t="n">
        <v>166.5</v>
      </c>
      <c r="G194" s="62" t="n">
        <v>7</v>
      </c>
      <c r="H194" s="50"/>
      <c r="I194" s="44" t="n">
        <f aca="false">IF(AND(ISNUMBER($F194),ISNUMBER($G194),$E194&lt;&gt;"R"),$F194*$G194,"")</f>
        <v>1165.5</v>
      </c>
      <c r="J194" s="46" t="n">
        <f aca="false">IF(AND($E194="A",ISNUMBER($F194),ISNUMBER($G194)),$F194*(1+$G194/30),"")</f>
        <v>205.35</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IFERROR(IF($D195="","",INDEX(Übungen!$B$4:$B$19,MATCH($D195,Übungen!$A$4:$A$19,0))),"")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IFERROR(IF($D196="","",INDEX(Übungen!$B$4:$B$19,MATCH($D196,Übungen!$A$4:$A$19,0))),"")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IFERROR(IF($D197="","",INDEX(Übungen!$B$4:$B$19,MATCH($D197,Übungen!$A$4:$A$19,0))),"")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IFERROR(IF($D198="","",INDEX(Übungen!$B$4:$B$19,MATCH($D198,Übungen!$A$4:$A$19,0))),"")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IFERROR(IF($D199="","",INDEX(Übungen!$B$4:$B$19,MATCH($D199,Übungen!$A$4:$A$19,0))),"")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IFERROR(IF($D200="","",INDEX(Übungen!$B$4:$B$19,MATCH($D200,Übungen!$A$4:$A$19,0))),"")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IFERROR(IF($D201="","",INDEX(Übungen!$B$4:$B$19,MATCH($D201,Übungen!$A$4:$A$19,0))),"")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IFERROR(IF($D202="","",INDEX(Übungen!$B$4:$B$19,MATCH($D202,Übungen!$A$4:$A$19,0))),"")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IFERROR(IF($D203="","",INDEX(Übungen!$B$4:$B$19,MATCH($D203,Übungen!$A$4:$A$19,0))),"")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IFERROR(IF($D204="","",INDEX(Übungen!$B$4:$B$19,MATCH($D204,Übungen!$A$4:$A$19,0))),"")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IFERROR(IF($D205="","",INDEX(Übungen!$B$4:$B$19,MATCH($D205,Übungen!$A$4:$A$19,0))),"")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IFERROR(IF($D206="","",INDEX(Übungen!$B$4:$B$19,MATCH($D206,Übungen!$A$4:$A$19,0))),"")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IFERROR(IF($D207="","",INDEX(Übungen!$B$4:$B$19,MATCH($D207,Übungen!$A$4:$A$19,0))),"")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IFERROR(IF($D208="","",INDEX(Übungen!$B$4:$B$19,MATCH($D208,Übungen!$A$4:$A$19,0))),"")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IFERROR(IF($D209="","",INDEX(Übungen!$B$4:$B$19,MATCH($D209,Übungen!$A$4:$A$19,0))),"")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IFERROR(IF($D210="","",INDEX(Übungen!$B$4:$B$19,MATCH($D210,Übungen!$A$4:$A$19,0))),"")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IFERROR(IF($D211="","",INDEX(Übungen!$B$4:$B$19,MATCH($D211,Übungen!$A$4:$A$19,0))),"")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IFERROR(IF($D212="","",INDEX(Übungen!$B$4:$B$19,MATCH($D212,Übungen!$A$4:$A$19,0))),"")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IFERROR(IF($D213="","",INDEX(Übungen!$B$4:$B$19,MATCH($D213,Übungen!$A$4:$A$19,0))),"")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IFERROR(IF($D214="","",INDEX(Übungen!$B$4:$B$19,MATCH($D214,Übungen!$A$4:$A$19,0))),"")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IFERROR(IF($D215="","",INDEX(Übungen!$B$4:$B$19,MATCH($D215,Übungen!$A$4:$A$19,0))),"")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IFERROR(IF($D216="","",INDEX(Übungen!$B$4:$B$19,MATCH($D216,Übungen!$A$4:$A$19,0))),"")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IFERROR(IF($D217="","",INDEX(Übungen!$B$4:$B$19,MATCH($D217,Übungen!$A$4:$A$19,0))),"")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IFERROR(IF($D218="","",INDEX(Übungen!$B$4:$B$19,MATCH($D218,Übungen!$A$4:$A$19,0))),"")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IFERROR(IF($D219="","",INDEX(Übungen!$B$4:$B$19,MATCH($D219,Übungen!$A$4:$A$19,0))),"")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IFERROR(IF($D220="","",INDEX(Übungen!$B$4:$B$19,MATCH($D220,Übungen!$A$4:$A$19,0))),"")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IFERROR(IF($D221="","",INDEX(Übungen!$B$4:$B$19,MATCH($D221,Übungen!$A$4:$A$19,0))),"")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IFERROR(IF($D222="","",INDEX(Übungen!$B$4:$B$19,MATCH($D222,Übungen!$A$4:$A$19,0))),"")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IFERROR(IF($D223="","",INDEX(Übungen!$B$4:$B$19,MATCH($D223,Übungen!$A$4:$A$19,0))),"")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IFERROR(IF($D224="","",INDEX(Übungen!$B$4:$B$19,MATCH($D224,Übungen!$A$4:$A$19,0))),"")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IFERROR(IF($D225="","",INDEX(Übungen!$B$4:$B$19,MATCH($D225,Übungen!$A$4:$A$19,0))),"")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IFERROR(IF($D226="","",INDEX(Übungen!$B$4:$B$19,MATCH($D226,Übungen!$A$4:$A$19,0))),"")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IFERROR(IF($D227="","",INDEX(Übungen!$B$4:$B$19,MATCH($D227,Übungen!$A$4:$A$19,0))),"")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IFERROR(IF($D228="","",INDEX(Übungen!$B$4:$B$19,MATCH($D228,Übungen!$A$4:$A$19,0))),"")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IFERROR(IF($D229="","",INDEX(Übungen!$B$4:$B$19,MATCH($D229,Übungen!$A$4:$A$19,0))),"")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IFERROR(IF($D230="","",INDEX(Übungen!$B$4:$B$19,MATCH($D230,Übungen!$A$4:$A$19,0))),"")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IFERROR(IF($D231="","",INDEX(Übungen!$B$4:$B$19,MATCH($D231,Übungen!$A$4:$A$19,0))),"")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IFERROR(IF($D232="","",INDEX(Übungen!$B$4:$B$19,MATCH($D232,Übungen!$A$4:$A$19,0))),"")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IFERROR(IF($D233="","",INDEX(Übungen!$B$4:$B$19,MATCH($D233,Übungen!$A$4:$A$19,0))),"")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IFERROR(IF($D234="","",INDEX(Übungen!$B$4:$B$19,MATCH($D234,Übungen!$A$4:$A$19,0))),"")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IFERROR(IF($D235="","",INDEX(Übungen!$B$4:$B$19,MATCH($D235,Übungen!$A$4:$A$19,0))),"")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IFERROR(IF($D236="","",INDEX(Übungen!$B$4:$B$19,MATCH($D236,Übungen!$A$4:$A$19,0))),"")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IFERROR(IF($D237="","",INDEX(Übungen!$B$4:$B$19,MATCH($D237,Übungen!$A$4:$A$19,0))),"")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IFERROR(IF($D238="","",INDEX(Übungen!$B$4:$B$19,MATCH($D238,Übungen!$A$4:$A$19,0))),"")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IFERROR(IF($D239="","",INDEX(Übungen!$B$4:$B$19,MATCH($D239,Übungen!$A$4:$A$19,0))),"")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IFERROR(IF($D240="","",INDEX(Übungen!$B$4:$B$19,MATCH($D240,Übungen!$A$4:$A$19,0))),"")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IFERROR(IF($D241="","",INDEX(Übungen!$B$4:$B$19,MATCH($D241,Übungen!$A$4:$A$19,0))),"")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IFERROR(IF($D242="","",INDEX(Übungen!$B$4:$B$19,MATCH($D242,Übungen!$A$4:$A$19,0))),"")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IFERROR(IF($D243="","",INDEX(Übungen!$B$4:$B$19,MATCH($D243,Übungen!$A$4:$A$19,0))),"")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IFERROR(IF($D244="","",INDEX(Übungen!$B$4:$B$19,MATCH($D244,Übungen!$A$4:$A$19,0))),"")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IFERROR(IF($D245="","",INDEX(Übungen!$B$4:$B$19,MATCH($D245,Übungen!$A$4:$A$19,0))),"")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IFERROR(IF($D246="","",INDEX(Übungen!$B$4:$B$19,MATCH($D246,Übungen!$A$4:$A$19,0))),"")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IFERROR(IF($D247="","",INDEX(Übungen!$B$4:$B$19,MATCH($D247,Übungen!$A$4:$A$19,0))),"")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IFERROR(IF($D248="","",INDEX(Übungen!$B$4:$B$19,MATCH($D248,Übungen!$A$4:$A$19,0))),"")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IFERROR(IF($D249="","",INDEX(Übungen!$B$4:$B$19,MATCH($D249,Übungen!$A$4:$A$19,0))),"")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IFERROR(IF($D250="","",INDEX(Übungen!$B$4:$B$19,MATCH($D250,Übungen!$A$4:$A$19,0))),"")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IFERROR(IF($D251="","",INDEX(Übungen!$B$4:$B$19,MATCH($D251,Übungen!$A$4:$A$19,0))),"")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IFERROR(IF($D252="","",INDEX(Übungen!$B$4:$B$19,MATCH($D252,Übungen!$A$4:$A$19,0))),"")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IFERROR(IF($D253="","",INDEX(Übungen!$B$4:$B$19,MATCH($D253,Übungen!$A$4:$A$19,0))),"")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IFERROR(IF($D254="","",INDEX(Übungen!$B$4:$B$19,MATCH($D254,Übungen!$A$4:$A$19,0))),"")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IFERROR(IF($D255="","",INDEX(Übungen!$B$4:$B$19,MATCH($D255,Übungen!$A$4:$A$19,0))),"")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IFERROR(IF($D256="","",INDEX(Übungen!$B$4:$B$19,MATCH($D256,Übungen!$A$4:$A$19,0))),"")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IFERROR(IF($D257="","",INDEX(Übungen!$B$4:$B$19,MATCH($D257,Übungen!$A$4:$A$19,0))),"")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IFERROR(IF($D258="","",INDEX(Übungen!$B$4:$B$19,MATCH($D258,Übungen!$A$4:$A$19,0))),"")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IFERROR(IF($D259="","",INDEX(Übungen!$B$4:$B$19,MATCH($D259,Übungen!$A$4:$A$19,0))),"")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IFERROR(IF($D260="","",INDEX(Übungen!$B$4:$B$19,MATCH($D260,Übungen!$A$4:$A$19,0))),"")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IFERROR(IF($D261="","",INDEX(Übungen!$B$4:$B$19,MATCH($D261,Übungen!$A$4:$A$19,0))),"")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IFERROR(IF($D262="","",INDEX(Übungen!$B$4:$B$19,MATCH($D262,Übungen!$A$4:$A$19,0))),"")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IFERROR(IF($D263="","",INDEX(Übungen!$B$4:$B$19,MATCH($D263,Übungen!$A$4:$A$19,0))),"")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IFERROR(IF($D264="","",INDEX(Übungen!$B$4:$B$19,MATCH($D264,Übungen!$A$4:$A$19,0))),"")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IFERROR(IF($D265="","",INDEX(Übungen!$B$4:$B$19,MATCH($D265,Übungen!$A$4:$A$19,0))),"")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IFERROR(IF($D266="","",INDEX(Übungen!$B$4:$B$19,MATCH($D266,Übungen!$A$4:$A$19,0))),"")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IFERROR(IF($D267="","",INDEX(Übungen!$B$4:$B$19,MATCH($D267,Übungen!$A$4:$A$19,0))),"")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IFERROR(IF($D268="","",INDEX(Übungen!$B$4:$B$19,MATCH($D268,Übungen!$A$4:$A$19,0))),"")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IFERROR(IF($D269="","",INDEX(Übungen!$B$4:$B$19,MATCH($D269,Übungen!$A$4:$A$19,0))),"")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IFERROR(IF($D270="","",INDEX(Übungen!$B$4:$B$19,MATCH($D270,Übungen!$A$4:$A$19,0))),"")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IFERROR(IF($D271="","",INDEX(Übungen!$B$4:$B$19,MATCH($D271,Übungen!$A$4:$A$19,0))),"")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IFERROR(IF($D272="","",INDEX(Übungen!$B$4:$B$19,MATCH($D272,Übungen!$A$4:$A$19,0))),"")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IFERROR(IF($D273="","",INDEX(Übungen!$B$4:$B$19,MATCH($D273,Übungen!$A$4:$A$19,0))),"")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IFERROR(IF($D274="","",INDEX(Übungen!$B$4:$B$19,MATCH($D274,Übungen!$A$4:$A$19,0))),"")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IFERROR(IF($D275="","",INDEX(Übungen!$B$4:$B$19,MATCH($D275,Übungen!$A$4:$A$19,0))),"")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IFERROR(IF($D276="","",INDEX(Übungen!$B$4:$B$19,MATCH($D276,Übungen!$A$4:$A$19,0))),"")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IFERROR(IF($D277="","",INDEX(Übungen!$B$4:$B$19,MATCH($D277,Übungen!$A$4:$A$19,0))),"")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IFERROR(IF($D278="","",INDEX(Übungen!$B$4:$B$19,MATCH($D278,Übungen!$A$4:$A$19,0))),"")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IFERROR(IF($D279="","",INDEX(Übungen!$B$4:$B$19,MATCH($D279,Übungen!$A$4:$A$19,0))),"")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IFERROR(IF($D280="","",INDEX(Übungen!$B$4:$B$19,MATCH($D280,Übungen!$A$4:$A$19,0))),"")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IFERROR(IF($D281="","",INDEX(Übungen!$B$4:$B$19,MATCH($D281,Übungen!$A$4:$A$19,0))),"")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IFERROR(IF($D282="","",INDEX(Übungen!$B$4:$B$19,MATCH($D282,Übungen!$A$4:$A$19,0))),"")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IFERROR(IF($D283="","",INDEX(Übungen!$B$4:$B$19,MATCH($D283,Übungen!$A$4:$A$19,0))),"")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IFERROR(IF($D284="","",INDEX(Übungen!$B$4:$B$19,MATCH($D284,Übungen!$A$4:$A$19,0))),"")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IFERROR(IF($D285="","",INDEX(Übungen!$B$4:$B$19,MATCH($D285,Übungen!$A$4:$A$19,0))),"")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IFERROR(IF($D286="","",INDEX(Übungen!$B$4:$B$19,MATCH($D286,Übungen!$A$4:$A$19,0))),"")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IFERROR(IF($D287="","",INDEX(Übungen!$B$4:$B$19,MATCH($D287,Übungen!$A$4:$A$19,0))),"")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IFERROR(IF($D288="","",INDEX(Übungen!$B$4:$B$19,MATCH($D288,Übungen!$A$4:$A$19,0))),"")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IFERROR(IF($D289="","",INDEX(Übungen!$B$4:$B$19,MATCH($D289,Übungen!$A$4:$A$19,0))),"")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IFERROR(IF($D290="","",INDEX(Übungen!$B$4:$B$19,MATCH($D290,Übungen!$A$4:$A$19,0))),"")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IFERROR(IF($D291="","",INDEX(Übungen!$B$4:$B$19,MATCH($D291,Übungen!$A$4:$A$19,0))),"")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IFERROR(IF($D292="","",INDEX(Übungen!$B$4:$B$19,MATCH($D292,Übungen!$A$4:$A$19,0))),"")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IFERROR(IF($D293="","",INDEX(Übungen!$B$4:$B$19,MATCH($D293,Übungen!$A$4:$A$19,0))),"")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IFERROR(IF($D294="","",INDEX(Übungen!$B$4:$B$19,MATCH($D294,Übungen!$A$4:$A$19,0))),"")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IFERROR(IF($D295="","",INDEX(Übungen!$B$4:$B$19,MATCH($D295,Übungen!$A$4:$A$19,0))),"")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IFERROR(IF($D296="","",INDEX(Übungen!$B$4:$B$19,MATCH($D296,Übungen!$A$4:$A$19,0))),"")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IFERROR(IF($D297="","",INDEX(Übungen!$B$4:$B$19,MATCH($D297,Übungen!$A$4:$A$19,0))),"")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IFERROR(IF($D298="","",INDEX(Übungen!$B$4:$B$19,MATCH($D298,Übungen!$A$4:$A$19,0))),"")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IFERROR(IF($D299="","",INDEX(Übungen!$B$4:$B$19,MATCH($D299,Übungen!$A$4:$A$19,0))),"")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IFERROR(IF($D300="","",INDEX(Übungen!$B$4:$B$19,MATCH($D300,Übungen!$A$4:$A$19,0))),"")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IFERROR(IF($D301="","",INDEX(Übungen!$B$4:$B$19,MATCH($D301,Übungen!$A$4:$A$19,0))),"")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IFERROR(IF($D302="","",INDEX(Übungen!$B$4:$B$19,MATCH($D302,Übungen!$A$4:$A$19,0))),"")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IFERROR(IF($D303="","",INDEX(Übungen!$B$4:$B$19,MATCH($D303,Übungen!$A$4:$A$19,0))),"")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IFERROR(IF($D304="","",INDEX(Übungen!$B$4:$B$19,MATCH($D304,Übungen!$A$4:$A$19,0))),"")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IFERROR(IF($D305="","",INDEX(Übungen!$B$4:$B$19,MATCH($D305,Übungen!$A$4:$A$19,0))),"")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IFERROR(IF($D306="","",INDEX(Übungen!$B$4:$B$19,MATCH($D306,Übungen!$A$4:$A$19,0))),"")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IFERROR(IF($D307="","",INDEX(Übungen!$B$4:$B$19,MATCH($D307,Übungen!$A$4:$A$19,0))),"")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IFERROR(IF($D308="","",INDEX(Übungen!$B$4:$B$19,MATCH($D308,Übungen!$A$4:$A$19,0))),"")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IFERROR(IF($D309="","",INDEX(Übungen!$B$4:$B$19,MATCH($D309,Übungen!$A$4:$A$19,0))),"")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IFERROR(IF($D310="","",INDEX(Übungen!$B$4:$B$19,MATCH($D310,Übungen!$A$4:$A$19,0))),"")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IFERROR(IF($D311="","",INDEX(Übungen!$B$4:$B$19,MATCH($D311,Übungen!$A$4:$A$19,0))),"")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IFERROR(IF($D312="","",INDEX(Übungen!$B$4:$B$19,MATCH($D312,Übungen!$A$4:$A$19,0))),"")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IFERROR(IF($D313="","",INDEX(Übungen!$B$4:$B$19,MATCH($D313,Übungen!$A$4:$A$19,0))),"")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IFERROR(IF($D314="","",INDEX(Übungen!$B$4:$B$19,MATCH($D314,Übungen!$A$4:$A$19,0))),"")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IFERROR(IF($D315="","",INDEX(Übungen!$B$4:$B$19,MATCH($D315,Übungen!$A$4:$A$19,0))),"")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IFERROR(IF($D316="","",INDEX(Übungen!$B$4:$B$19,MATCH($D316,Übungen!$A$4:$A$19,0))),"")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IFERROR(IF($D317="","",INDEX(Übungen!$B$4:$B$19,MATCH($D317,Übungen!$A$4:$A$19,0))),"")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IFERROR(IF($D318="","",INDEX(Übungen!$B$4:$B$19,MATCH($D318,Übungen!$A$4:$A$19,0))),"")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IFERROR(IF($D319="","",INDEX(Übungen!$B$4:$B$19,MATCH($D319,Übungen!$A$4:$A$19,0))),"")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IFERROR(IF($D320="","",INDEX(Übungen!$B$4:$B$19,MATCH($D320,Übungen!$A$4:$A$19,0))),"")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IFERROR(IF($D321="","",INDEX(Übungen!$B$4:$B$19,MATCH($D321,Übungen!$A$4:$A$19,0))),"")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IFERROR(IF($D322="","",INDEX(Übungen!$B$4:$B$19,MATCH($D322,Übungen!$A$4:$A$19,0))),"")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IFERROR(IF($D323="","",INDEX(Übungen!$B$4:$B$19,MATCH($D323,Übungen!$A$4:$A$19,0))),"")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IFERROR(IF($D324="","",INDEX(Übungen!$B$4:$B$19,MATCH($D324,Übungen!$A$4:$A$19,0))),"")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IFERROR(IF($D325="","",INDEX(Übungen!$B$4:$B$19,MATCH($D325,Übungen!$A$4:$A$19,0))),"")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IFERROR(IF($D326="","",INDEX(Übungen!$B$4:$B$19,MATCH($D326,Übungen!$A$4:$A$19,0))),"")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IFERROR(IF($D327="","",INDEX(Übungen!$B$4:$B$19,MATCH($D327,Übungen!$A$4:$A$19,0))),"")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IFERROR(IF($D328="","",INDEX(Übungen!$B$4:$B$19,MATCH($D328,Übungen!$A$4:$A$19,0))),"")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IFERROR(IF($D329="","",INDEX(Übungen!$B$4:$B$19,MATCH($D329,Übungen!$A$4:$A$19,0))),"")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IFERROR(IF($D330="","",INDEX(Übungen!$B$4:$B$19,MATCH($D330,Übungen!$A$4:$A$19,0))),"")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IFERROR(IF($D331="","",INDEX(Übungen!$B$4:$B$19,MATCH($D331,Übungen!$A$4:$A$19,0))),"")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IFERROR(IF($D332="","",INDEX(Übungen!$B$4:$B$19,MATCH($D332,Übungen!$A$4:$A$19,0))),"")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IFERROR(IF($D333="","",INDEX(Übungen!$B$4:$B$19,MATCH($D333,Übungen!$A$4:$A$19,0))),"")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IFERROR(IF($D334="","",INDEX(Übungen!$B$4:$B$19,MATCH($D334,Übungen!$A$4:$A$19,0))),"")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IFERROR(IF($D335="","",INDEX(Übungen!$B$4:$B$19,MATCH($D335,Übungen!$A$4:$A$19,0))),"")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IFERROR(IF($D336="","",INDEX(Übungen!$B$4:$B$19,MATCH($D336,Übungen!$A$4:$A$19,0))),"")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IFERROR(IF($D337="","",INDEX(Übungen!$B$4:$B$19,MATCH($D337,Übungen!$A$4:$A$19,0))),"")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IFERROR(IF($D338="","",INDEX(Übungen!$B$4:$B$19,MATCH($D338,Übungen!$A$4:$A$19,0))),"")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IFERROR(IF($D339="","",INDEX(Übungen!$B$4:$B$19,MATCH($D339,Übungen!$A$4:$A$19,0))),"")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IFERROR(IF($D340="","",INDEX(Übungen!$B$4:$B$19,MATCH($D340,Übungen!$A$4:$A$19,0))),"")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IFERROR(IF($D341="","",INDEX(Übungen!$B$4:$B$19,MATCH($D341,Übungen!$A$4:$A$19,0))),"")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IFERROR(IF($D342="","",INDEX(Übungen!$B$4:$B$19,MATCH($D342,Übungen!$A$4:$A$19,0))),"")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IFERROR(IF($D343="","",INDEX(Übungen!$B$4:$B$19,MATCH($D343,Übungen!$A$4:$A$19,0))),"")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IFERROR(IF($D344="","",INDEX(Übungen!$B$4:$B$19,MATCH($D344,Übungen!$A$4:$A$19,0))),"")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IFERROR(IF($D345="","",INDEX(Übungen!$B$4:$B$19,MATCH($D345,Übungen!$A$4:$A$19,0))),"")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IFERROR(IF($D346="","",INDEX(Übungen!$B$4:$B$19,MATCH($D346,Übungen!$A$4:$A$19,0))),"")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IFERROR(IF($D347="","",INDEX(Übungen!$B$4:$B$19,MATCH($D347,Übungen!$A$4:$A$19,0))),"")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IFERROR(IF($D348="","",INDEX(Übungen!$B$4:$B$19,MATCH($D348,Übungen!$A$4:$A$19,0))),"")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IFERROR(IF($D349="","",INDEX(Übungen!$B$4:$B$19,MATCH($D349,Übungen!$A$4:$A$19,0))),"")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IFERROR(IF($D350="","",INDEX(Übungen!$B$4:$B$19,MATCH($D350,Übungen!$A$4:$A$19,0))),"")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IFERROR(IF($D351="","",INDEX(Übungen!$B$4:$B$19,MATCH($D351,Übungen!$A$4:$A$19,0))),"")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IFERROR(IF($D352="","",INDEX(Übungen!$B$4:$B$19,MATCH($D352,Übungen!$A$4:$A$19,0))),"")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IFERROR(IF($D353="","",INDEX(Übungen!$B$4:$B$19,MATCH($D353,Übungen!$A$4:$A$19,0))),"")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IFERROR(IF($D354="","",INDEX(Übungen!$B$4:$B$19,MATCH($D354,Übungen!$A$4:$A$19,0))),"")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IFERROR(IF($D355="","",INDEX(Übungen!$B$4:$B$19,MATCH($D355,Übungen!$A$4:$A$19,0))),"")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IFERROR(IF($D356="","",INDEX(Übungen!$B$4:$B$19,MATCH($D356,Übungen!$A$4:$A$19,0))),"")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IFERROR(IF($D357="","",INDEX(Übungen!$B$4:$B$19,MATCH($D357,Übungen!$A$4:$A$19,0))),"")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IFERROR(IF($D358="","",INDEX(Übungen!$B$4:$B$19,MATCH($D358,Übungen!$A$4:$A$19,0))),"")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IFERROR(IF($D359="","",INDEX(Übungen!$B$4:$B$19,MATCH($D359,Übungen!$A$4:$A$19,0))),"")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IFERROR(IF($D360="","",INDEX(Übungen!$B$4:$B$19,MATCH($D360,Übungen!$A$4:$A$19,0))),"")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IFERROR(IF($D361="","",INDEX(Übungen!$B$4:$B$19,MATCH($D361,Übungen!$A$4:$A$19,0))),"")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IFERROR(IF($D362="","",INDEX(Übungen!$B$4:$B$19,MATCH($D362,Übungen!$A$4:$A$19,0))),"")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IFERROR(IF($D363="","",INDEX(Übungen!$B$4:$B$19,MATCH($D363,Übungen!$A$4:$A$19,0))),"")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IFERROR(IF($D364="","",INDEX(Übungen!$B$4:$B$19,MATCH($D364,Übungen!$A$4:$A$19,0))),"")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IFERROR(IF($D365="","",INDEX(Übungen!$B$4:$B$19,MATCH($D365,Übungen!$A$4:$A$19,0))),"")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IFERROR(IF($D366="","",INDEX(Übungen!$B$4:$B$19,MATCH($D366,Übungen!$A$4:$A$19,0))),"")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IFERROR(IF($D367="","",INDEX(Übungen!$B$4:$B$19,MATCH($D367,Übungen!$A$4:$A$19,0))),"")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IFERROR(IF($D368="","",INDEX(Übungen!$B$4:$B$19,MATCH($D368,Übungen!$A$4:$A$19,0))),"")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IFERROR(IF($D369="","",INDEX(Übungen!$B$4:$B$19,MATCH($D369,Übungen!$A$4:$A$19,0))),"")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IFERROR(IF($D370="","",INDEX(Übungen!$B$4:$B$19,MATCH($D370,Übungen!$A$4:$A$19,0))),"")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IFERROR(IF($D371="","",INDEX(Übungen!$B$4:$B$19,MATCH($D371,Übungen!$A$4:$A$19,0))),"")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IFERROR(IF($D372="","",INDEX(Übungen!$B$4:$B$19,MATCH($D372,Übungen!$A$4:$A$19,0))),"")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IFERROR(IF($D373="","",INDEX(Übungen!$B$4:$B$19,MATCH($D373,Übungen!$A$4:$A$19,0))),"")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IFERROR(IF($D374="","",INDEX(Übungen!$B$4:$B$19,MATCH($D374,Übungen!$A$4:$A$19,0))),"")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IFERROR(IF($D375="","",INDEX(Übungen!$B$4:$B$19,MATCH($D375,Übungen!$A$4:$A$19,0))),"")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IFERROR(IF($D376="","",INDEX(Übungen!$B$4:$B$19,MATCH($D376,Übungen!$A$4:$A$19,0))),"")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IFERROR(IF($D377="","",INDEX(Übungen!$B$4:$B$19,MATCH($D377,Übungen!$A$4:$A$19,0))),"")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IFERROR(IF($D378="","",INDEX(Übungen!$B$4:$B$19,MATCH($D378,Übungen!$A$4:$A$19,0))),"")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IFERROR(IF($D379="","",INDEX(Übungen!$B$4:$B$19,MATCH($D379,Übungen!$A$4:$A$19,0))),"")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IFERROR(IF($D380="","",INDEX(Übungen!$B$4:$B$19,MATCH($D380,Übungen!$A$4:$A$19,0))),"")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IFERROR(IF($D381="","",INDEX(Übungen!$B$4:$B$19,MATCH($D381,Übungen!$A$4:$A$19,0))),"")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IFERROR(IF($D382="","",INDEX(Übungen!$B$4:$B$19,MATCH($D382,Übungen!$A$4:$A$19,0))),"")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IFERROR(IF($D383="","",INDEX(Übungen!$B$4:$B$19,MATCH($D383,Übungen!$A$4:$A$19,0))),"")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IFERROR(IF($D384="","",INDEX(Übungen!$B$4:$B$19,MATCH($D384,Übungen!$A$4:$A$19,0))),"")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IFERROR(IF($D385="","",INDEX(Übungen!$B$4:$B$19,MATCH($D385,Übungen!$A$4:$A$19,0))),"")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IFERROR(IF($D386="","",INDEX(Übungen!$B$4:$B$19,MATCH($D386,Übungen!$A$4:$A$19,0))),"")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IFERROR(IF($D387="","",INDEX(Übungen!$B$4:$B$19,MATCH($D387,Übungen!$A$4:$A$19,0))),"")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IFERROR(IF($D388="","",INDEX(Übungen!$B$4:$B$19,MATCH($D388,Übungen!$A$4:$A$19,0))),"")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IFERROR(IF($D389="","",INDEX(Übungen!$B$4:$B$19,MATCH($D389,Übungen!$A$4:$A$19,0))),"")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IFERROR(IF($D390="","",INDEX(Übungen!$B$4:$B$19,MATCH($D390,Übungen!$A$4:$A$19,0))),"")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IFERROR(IF($D391="","",INDEX(Übungen!$B$4:$B$19,MATCH($D391,Übungen!$A$4:$A$19,0))),"")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IFERROR(IF($D392="","",INDEX(Übungen!$B$4:$B$19,MATCH($D392,Übungen!$A$4:$A$19,0))),"")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IFERROR(IF($D393="","",INDEX(Übungen!$B$4:$B$19,MATCH($D393,Übungen!$A$4:$A$19,0))),"")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IFERROR(IF($D394="","",INDEX(Übungen!$B$4:$B$19,MATCH($D394,Übungen!$A$4:$A$19,0))),"")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IFERROR(IF($D395="","",INDEX(Übungen!$B$4:$B$19,MATCH($D395,Übungen!$A$4:$A$19,0))),"")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IFERROR(IF($D396="","",INDEX(Übungen!$B$4:$B$19,MATCH($D396,Übungen!$A$4:$A$19,0))),"")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IFERROR(IF($D397="","",INDEX(Übungen!$B$4:$B$19,MATCH($D397,Übungen!$A$4:$A$19,0))),"")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IFERROR(IF($D398="","",INDEX(Übungen!$B$4:$B$19,MATCH($D398,Übungen!$A$4:$A$19,0))),"")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IFERROR(IF($D399="","",INDEX(Übungen!$B$4:$B$19,MATCH($D399,Übungen!$A$4:$A$19,0))),"")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IFERROR(IF($D400="","",INDEX(Übungen!$B$4:$B$19,MATCH($D400,Übungen!$A$4:$A$19,0))),"")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IFERROR(IF($D401="","",INDEX(Übungen!$B$4:$B$19,MATCH($D401,Übungen!$A$4:$A$19,0))),"")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IFERROR(IF($D402="","",INDEX(Übungen!$B$4:$B$19,MATCH($D402,Übungen!$A$4:$A$19,0))),"")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IFERROR(IF($D403="","",INDEX(Übungen!$B$4:$B$19,MATCH($D403,Übungen!$A$4:$A$19,0))),"")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IFERROR(IF($D404="","",INDEX(Übungen!$B$4:$B$19,MATCH($D404,Übungen!$A$4:$A$19,0))),"")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IFERROR(IF($D405="","",INDEX(Übungen!$B$4:$B$19,MATCH($D405,Übungen!$A$4:$A$19,0))),"")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IFERROR(IF($D406="","",INDEX(Übungen!$B$4:$B$19,MATCH($D406,Übungen!$A$4:$A$19,0))),"")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IFERROR(IF($D407="","",INDEX(Übungen!$B$4:$B$19,MATCH($D407,Übungen!$A$4:$A$19,0))),"")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IFERROR(IF($D408="","",INDEX(Übungen!$B$4:$B$19,MATCH($D408,Übungen!$A$4:$A$19,0))),"")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IFERROR(IF($D409="","",INDEX(Übungen!$B$4:$B$19,MATCH($D409,Übungen!$A$4:$A$19,0))),"")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IFERROR(IF($D410="","",INDEX(Übungen!$B$4:$B$19,MATCH($D410,Übungen!$A$4:$A$19,0))),"")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IFERROR(IF($D411="","",INDEX(Übungen!$B$4:$B$19,MATCH($D411,Übungen!$A$4:$A$19,0))),"")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IFERROR(IF($D412="","",INDEX(Übungen!$B$4:$B$19,MATCH($D412,Übungen!$A$4:$A$19,0))),"")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IFERROR(IF($D413="","",INDEX(Übungen!$B$4:$B$19,MATCH($D413,Übungen!$A$4:$A$19,0))),"")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IFERROR(IF($D414="","",INDEX(Übungen!$B$4:$B$19,MATCH($D414,Übungen!$A$4:$A$19,0))),"")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IFERROR(IF($D415="","",INDEX(Übungen!$B$4:$B$19,MATCH($D415,Übungen!$A$4:$A$19,0))),"")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IFERROR(IF($D416="","",INDEX(Übungen!$B$4:$B$19,MATCH($D416,Übungen!$A$4:$A$19,0))),"")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IFERROR(IF($D417="","",INDEX(Übungen!$B$4:$B$19,MATCH($D417,Übungen!$A$4:$A$19,0))),"")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IFERROR(IF($D418="","",INDEX(Übungen!$B$4:$B$19,MATCH($D418,Übungen!$A$4:$A$19,0))),"")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IFERROR(IF($D419="","",INDEX(Übungen!$B$4:$B$19,MATCH($D419,Übungen!$A$4:$A$19,0))),"")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IFERROR(IF($D420="","",INDEX(Übungen!$B$4:$B$19,MATCH($D420,Übungen!$A$4:$A$19,0))),"")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IFERROR(IF($D421="","",INDEX(Übungen!$B$4:$B$19,MATCH($D421,Übungen!$A$4:$A$19,0))),"")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IFERROR(IF($D422="","",INDEX(Übungen!$B$4:$B$19,MATCH($D422,Übungen!$A$4:$A$19,0))),"")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IFERROR(IF($D423="","",INDEX(Übungen!$B$4:$B$19,MATCH($D423,Übungen!$A$4:$A$19,0))),"")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IFERROR(IF($D424="","",INDEX(Übungen!$B$4:$B$19,MATCH($D424,Übungen!$A$4:$A$19,0))),"")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IFERROR(IF($D425="","",INDEX(Übungen!$B$4:$B$19,MATCH($D425,Übungen!$A$4:$A$19,0))),"")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IFERROR(IF($D426="","",INDEX(Übungen!$B$4:$B$19,MATCH($D426,Übungen!$A$4:$A$19,0))),"")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IFERROR(IF($D427="","",INDEX(Übungen!$B$4:$B$19,MATCH($D427,Übungen!$A$4:$A$19,0))),"")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IFERROR(IF($D428="","",INDEX(Übungen!$B$4:$B$19,MATCH($D428,Übungen!$A$4:$A$19,0))),"")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IFERROR(IF($D429="","",INDEX(Übungen!$B$4:$B$19,MATCH($D429,Übungen!$A$4:$A$19,0))),"")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IFERROR(IF($D430="","",INDEX(Übungen!$B$4:$B$19,MATCH($D430,Übungen!$A$4:$A$19,0))),"")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IFERROR(IF($D431="","",INDEX(Übungen!$B$4:$B$19,MATCH($D431,Übungen!$A$4:$A$19,0))),"")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IFERROR(IF($D432="","",INDEX(Übungen!$B$4:$B$19,MATCH($D432,Übungen!$A$4:$A$19,0))),"")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IFERROR(IF($D433="","",INDEX(Übungen!$B$4:$B$19,MATCH($D433,Übungen!$A$4:$A$19,0))),"")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IFERROR(IF($D434="","",INDEX(Übungen!$B$4:$B$19,MATCH($D434,Übungen!$A$4:$A$19,0))),"")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IFERROR(IF($D435="","",INDEX(Übungen!$B$4:$B$19,MATCH($D435,Übungen!$A$4:$A$19,0))),"")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IFERROR(IF($D436="","",INDEX(Übungen!$B$4:$B$19,MATCH($D436,Übungen!$A$4:$A$19,0))),"")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IFERROR(IF($D437="","",INDEX(Übungen!$B$4:$B$19,MATCH($D437,Übungen!$A$4:$A$19,0))),"")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IFERROR(IF($D438="","",INDEX(Übungen!$B$4:$B$19,MATCH($D438,Übungen!$A$4:$A$19,0))),"")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IFERROR(IF($D439="","",INDEX(Übungen!$B$4:$B$19,MATCH($D439,Übungen!$A$4:$A$19,0))),"")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IFERROR(IF($D440="","",INDEX(Übungen!$B$4:$B$19,MATCH($D440,Übungen!$A$4:$A$19,0))),"")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IFERROR(IF($D441="","",INDEX(Übungen!$B$4:$B$19,MATCH($D441,Übungen!$A$4:$A$19,0))),"")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IFERROR(IF($D442="","",INDEX(Übungen!$B$4:$B$19,MATCH($D442,Übungen!$A$4:$A$19,0))),"")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IFERROR(IF($D443="","",INDEX(Übungen!$B$4:$B$19,MATCH($D443,Übungen!$A$4:$A$19,0))),"")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IFERROR(IF($D444="","",INDEX(Übungen!$B$4:$B$19,MATCH($D444,Übungen!$A$4:$A$19,0))),"")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IFERROR(IF($D445="","",INDEX(Übungen!$B$4:$B$19,MATCH($D445,Übungen!$A$4:$A$19,0))),"")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IFERROR(IF($D446="","",INDEX(Übungen!$B$4:$B$19,MATCH($D446,Übungen!$A$4:$A$19,0))),"")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IFERROR(IF($D447="","",INDEX(Übungen!$B$4:$B$19,MATCH($D447,Übungen!$A$4:$A$19,0))),"")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IFERROR(IF($D448="","",INDEX(Übungen!$B$4:$B$19,MATCH($D448,Übungen!$A$4:$A$19,0))),"")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IFERROR(IF($D449="","",INDEX(Übungen!$B$4:$B$19,MATCH($D449,Übungen!$A$4:$A$19,0))),"")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IFERROR(IF($D450="","",INDEX(Übungen!$B$4:$B$19,MATCH($D450,Übungen!$A$4:$A$19,0))),"")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IFERROR(IF($D451="","",INDEX(Übungen!$B$4:$B$19,MATCH($D451,Übungen!$A$4:$A$19,0))),"")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IFERROR(IF($D452="","",INDEX(Übungen!$B$4:$B$19,MATCH($D452,Übungen!$A$4:$A$19,0))),"")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IFERROR(IF($D453="","",INDEX(Übungen!$B$4:$B$19,MATCH($D453,Übungen!$A$4:$A$19,0))),"")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IFERROR(IF($D454="","",INDEX(Übungen!$B$4:$B$19,MATCH($D454,Übungen!$A$4:$A$19,0))),"")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IFERROR(IF($D455="","",INDEX(Übungen!$B$4:$B$19,MATCH($D455,Übungen!$A$4:$A$19,0))),"")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IFERROR(IF($D456="","",INDEX(Übungen!$B$4:$B$19,MATCH($D456,Übungen!$A$4:$A$19,0))),"")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IFERROR(IF($D457="","",INDEX(Übungen!$B$4:$B$19,MATCH($D457,Übungen!$A$4:$A$19,0))),"")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IFERROR(IF($D458="","",INDEX(Übungen!$B$4:$B$19,MATCH($D458,Übungen!$A$4:$A$19,0))),"")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IFERROR(IF($D459="","",INDEX(Übungen!$B$4:$B$19,MATCH($D459,Übungen!$A$4:$A$19,0))),"")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IFERROR(IF($D460="","",INDEX(Übungen!$B$4:$B$19,MATCH($D460,Übungen!$A$4:$A$19,0))),"")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IFERROR(IF($D461="","",INDEX(Übungen!$B$4:$B$19,MATCH($D461,Übungen!$A$4:$A$19,0))),"")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IFERROR(IF($D462="","",INDEX(Übungen!$B$4:$B$19,MATCH($D462,Übungen!$A$4:$A$19,0))),"")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IFERROR(IF($D463="","",INDEX(Übungen!$B$4:$B$19,MATCH($D463,Übungen!$A$4:$A$19,0))),"")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IFERROR(IF($D464="","",INDEX(Übungen!$B$4:$B$19,MATCH($D464,Übungen!$A$4:$A$19,0))),"")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IFERROR(IF($D465="","",INDEX(Übungen!$B$4:$B$19,MATCH($D465,Übungen!$A$4:$A$19,0))),"")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IFERROR(IF($D466="","",INDEX(Übungen!$B$4:$B$19,MATCH($D466,Übungen!$A$4:$A$19,0))),"")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IFERROR(IF($D467="","",INDEX(Übungen!$B$4:$B$19,MATCH($D467,Übungen!$A$4:$A$19,0))),"")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IFERROR(IF($D468="","",INDEX(Übungen!$B$4:$B$19,MATCH($D468,Übungen!$A$4:$A$19,0))),"")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IFERROR(IF($D469="","",INDEX(Übungen!$B$4:$B$19,MATCH($D469,Übungen!$A$4:$A$19,0))),"")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IFERROR(IF($D470="","",INDEX(Übungen!$B$4:$B$19,MATCH($D470,Übungen!$A$4:$A$19,0))),"")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IFERROR(IF($D471="","",INDEX(Übungen!$B$4:$B$19,MATCH($D471,Übungen!$A$4:$A$19,0))),"")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IFERROR(IF($D472="","",INDEX(Übungen!$B$4:$B$19,MATCH($D472,Übungen!$A$4:$A$19,0))),"")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IFERROR(IF($D473="","",INDEX(Übungen!$B$4:$B$19,MATCH($D473,Übungen!$A$4:$A$19,0))),"")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IFERROR(IF($D474="","",INDEX(Übungen!$B$4:$B$19,MATCH($D474,Übungen!$A$4:$A$19,0))),"")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IFERROR(IF($D475="","",INDEX(Übungen!$B$4:$B$19,MATCH($D475,Übungen!$A$4:$A$19,0))),"")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IFERROR(IF($D476="","",INDEX(Übungen!$B$4:$B$19,MATCH($D476,Übungen!$A$4:$A$19,0))),"")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IFERROR(IF($D477="","",INDEX(Übungen!$B$4:$B$19,MATCH($D477,Übungen!$A$4:$A$19,0))),"")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IFERROR(IF($D478="","",INDEX(Übungen!$B$4:$B$19,MATCH($D478,Übungen!$A$4:$A$19,0))),"")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IFERROR(IF($D479="","",INDEX(Übungen!$B$4:$B$19,MATCH($D479,Übungen!$A$4:$A$19,0))),"")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IFERROR(IF($D480="","",INDEX(Übungen!$B$4:$B$19,MATCH($D480,Übungen!$A$4:$A$19,0))),"")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IFERROR(IF($D481="","",INDEX(Übungen!$B$4:$B$19,MATCH($D481,Übungen!$A$4:$A$19,0))),"")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IFERROR(IF($D482="","",INDEX(Übungen!$B$4:$B$19,MATCH($D482,Übungen!$A$4:$A$19,0))),"")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IFERROR(IF($D483="","",INDEX(Übungen!$B$4:$B$19,MATCH($D483,Übungen!$A$4:$A$19,0))),"")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IFERROR(IF($D484="","",INDEX(Übungen!$B$4:$B$19,MATCH($D484,Übungen!$A$4:$A$19,0))),"")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IFERROR(IF($D485="","",INDEX(Übungen!$B$4:$B$19,MATCH($D485,Übungen!$A$4:$A$19,0))),"")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IFERROR(IF($D486="","",INDEX(Übungen!$B$4:$B$19,MATCH($D486,Übungen!$A$4:$A$19,0))),"")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IFERROR(IF($D487="","",INDEX(Übungen!$B$4:$B$19,MATCH($D487,Übungen!$A$4:$A$19,0))),"")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IFERROR(IF($D488="","",INDEX(Übungen!$B$4:$B$19,MATCH($D488,Übungen!$A$4:$A$19,0))),"")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IFERROR(IF($D489="","",INDEX(Übungen!$B$4:$B$19,MATCH($D489,Übungen!$A$4:$A$19,0))),"")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IFERROR(IF($D490="","",INDEX(Übungen!$B$4:$B$19,MATCH($D490,Übungen!$A$4:$A$19,0))),"")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IFERROR(IF($D491="","",INDEX(Übungen!$B$4:$B$19,MATCH($D491,Übungen!$A$4:$A$19,0))),"")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IFERROR(IF($D492="","",INDEX(Übungen!$B$4:$B$19,MATCH($D492,Übungen!$A$4:$A$19,0))),"")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IFERROR(IF($D493="","",INDEX(Übungen!$B$4:$B$19,MATCH($D493,Übungen!$A$4:$A$19,0))),"")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IFERROR(IF($D494="","",INDEX(Übungen!$B$4:$B$19,MATCH($D494,Übungen!$A$4:$A$19,0))),"")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IFERROR(IF($D495="","",INDEX(Übungen!$B$4:$B$19,MATCH($D495,Übungen!$A$4:$A$19,0))),"")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IFERROR(IF($D496="","",INDEX(Übungen!$B$4:$B$19,MATCH($D496,Übungen!$A$4:$A$19,0))),"")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IFERROR(IF($D497="","",INDEX(Übungen!$B$4:$B$19,MATCH($D497,Übungen!$A$4:$A$19,0))),"")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IFERROR(IF($D498="","",INDEX(Übungen!$B$4:$B$19,MATCH($D498,Übungen!$A$4:$A$19,0))),"")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IFERROR(IF($D499="","",INDEX(Übungen!$B$4:$B$19,MATCH($D499,Übungen!$A$4:$A$19,0))),"")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IFERROR(IF($D500="","",INDEX(Übungen!$B$4:$B$19,MATCH($D500,Übungen!$A$4:$A$19,0))),"")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IFERROR(IF($D501="","",INDEX(Übungen!$B$4:$B$19,MATCH($D501,Übungen!$A$4:$A$19,0))),"")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IFERROR(IF($D502="","",INDEX(Übungen!$B$4:$B$19,MATCH($D502,Übungen!$A$4:$A$19,0))),"")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IFERROR(IF($D503="","",INDEX(Übungen!$B$4:$B$19,MATCH($D503,Übungen!$A$4:$A$19,0))),"")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IFERROR(IF($D504="","",INDEX(Übungen!$B$4:$B$19,MATCH($D504,Übungen!$A$4:$A$19,0))),"")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IFERROR(IF($D505="","",INDEX(Übungen!$B$4:$B$19,MATCH($D505,Übungen!$A$4:$A$19,0))),"")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IFERROR(IF($D506="","",INDEX(Übungen!$B$4:$B$19,MATCH($D506,Übungen!$A$4:$A$19,0))),"")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IFERROR(IF($D507="","",INDEX(Übungen!$B$4:$B$19,MATCH($D507,Übungen!$A$4:$A$19,0))),"")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IFERROR(IF($D508="","",INDEX(Übungen!$B$4:$B$19,MATCH($D508,Übungen!$A$4:$A$19,0))),"")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IFERROR(IF($D509="","",INDEX(Übungen!$B$4:$B$19,MATCH($D509,Übungen!$A$4:$A$19,0))),"")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IFERROR(IF($D510="","",INDEX(Übungen!$B$4:$B$19,MATCH($D510,Übungen!$A$4:$A$19,0))),"")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IFERROR(IF($D511="","",INDEX(Übungen!$B$4:$B$19,MATCH($D511,Übungen!$A$4:$A$19,0))),"")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IFERROR(IF($D512="","",INDEX(Übungen!$B$4:$B$19,MATCH($D512,Übungen!$A$4:$A$19,0))),"")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IFERROR(IF($D513="","",INDEX(Übungen!$B$4:$B$19,MATCH($D513,Übungen!$A$4:$A$19,0))),"")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IFERROR(IF($D514="","",INDEX(Übungen!$B$4:$B$19,MATCH($D514,Übungen!$A$4:$A$19,0))),"")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IFERROR(IF($D515="","",INDEX(Übungen!$B$4:$B$19,MATCH($D515,Übungen!$A$4:$A$19,0))),"")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IFERROR(IF($D516="","",INDEX(Übungen!$B$4:$B$19,MATCH($D516,Übungen!$A$4:$A$19,0))),"")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IFERROR(IF($D517="","",INDEX(Übungen!$B$4:$B$19,MATCH($D517,Übungen!$A$4:$A$19,0))),"")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IFERROR(IF($D518="","",INDEX(Übungen!$B$4:$B$19,MATCH($D518,Übungen!$A$4:$A$19,0))),"")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IFERROR(IF($D519="","",INDEX(Übungen!$B$4:$B$19,MATCH($D519,Übungen!$A$4:$A$19,0))),"")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IFERROR(IF($D520="","",INDEX(Übungen!$B$4:$B$19,MATCH($D520,Übungen!$A$4:$A$19,0))),"")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IFERROR(IF($D521="","",INDEX(Übungen!$B$4:$B$19,MATCH($D521,Übungen!$A$4:$A$19,0))),"")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IFERROR(IF($D522="","",INDEX(Übungen!$B$4:$B$19,MATCH($D522,Übungen!$A$4:$A$19,0))),"")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IFERROR(IF($D523="","",INDEX(Übungen!$B$4:$B$19,MATCH($D523,Übungen!$A$4:$A$19,0))),"")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IFERROR(IF($D524="","",INDEX(Übungen!$B$4:$B$19,MATCH($D524,Übungen!$A$4:$A$19,0))),"")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IFERROR(IF($D525="","",INDEX(Übungen!$B$4:$B$19,MATCH($D525,Übungen!$A$4:$A$19,0))),"")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IFERROR(IF($D526="","",INDEX(Übungen!$B$4:$B$19,MATCH($D526,Übungen!$A$4:$A$19,0))),"")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IFERROR(IF($D527="","",INDEX(Übungen!$B$4:$B$19,MATCH($D527,Übungen!$A$4:$A$19,0))),"")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IFERROR(IF($D528="","",INDEX(Übungen!$B$4:$B$19,MATCH($D528,Übungen!$A$4:$A$19,0))),"")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IFERROR(IF($D529="","",INDEX(Übungen!$B$4:$B$19,MATCH($D529,Übungen!$A$4:$A$19,0))),"")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IFERROR(IF($D530="","",INDEX(Übungen!$B$4:$B$19,MATCH($D530,Übungen!$A$4:$A$19,0))),"")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IFERROR(IF($D531="","",INDEX(Übungen!$B$4:$B$19,MATCH($D531,Übungen!$A$4:$A$19,0))),"")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IFERROR(IF($D532="","",INDEX(Übungen!$B$4:$B$19,MATCH($D532,Übungen!$A$4:$A$19,0))),"")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IFERROR(IF($D533="","",INDEX(Übungen!$B$4:$B$19,MATCH($D533,Übungen!$A$4:$A$19,0))),"")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IFERROR(IF($D534="","",INDEX(Übungen!$B$4:$B$19,MATCH($D534,Übungen!$A$4:$A$19,0))),"")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IFERROR(IF($D535="","",INDEX(Übungen!$B$4:$B$19,MATCH($D535,Übungen!$A$4:$A$19,0))),"")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IFERROR(IF($D536="","",INDEX(Übungen!$B$4:$B$19,MATCH($D536,Übungen!$A$4:$A$19,0))),"")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IFERROR(IF($D537="","",INDEX(Übungen!$B$4:$B$19,MATCH($D537,Übungen!$A$4:$A$19,0))),"")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IFERROR(IF($D538="","",INDEX(Übungen!$B$4:$B$19,MATCH($D538,Übungen!$A$4:$A$19,0))),"")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IFERROR(IF($D539="","",INDEX(Übungen!$B$4:$B$19,MATCH($D539,Übungen!$A$4:$A$19,0))),"")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IFERROR(IF($D540="","",INDEX(Übungen!$B$4:$B$19,MATCH($D540,Übungen!$A$4:$A$19,0))),"")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IFERROR(IF($D541="","",INDEX(Übungen!$B$4:$B$19,MATCH($D541,Übungen!$A$4:$A$19,0))),"")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IFERROR(IF($D542="","",INDEX(Übungen!$B$4:$B$19,MATCH($D542,Übungen!$A$4:$A$19,0))),"")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IFERROR(IF($D543="","",INDEX(Übungen!$B$4:$B$19,MATCH($D543,Übungen!$A$4:$A$19,0))),"")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IFERROR(IF($D544="","",INDEX(Übungen!$B$4:$B$19,MATCH($D544,Übungen!$A$4:$A$19,0))),"")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IFERROR(IF($D545="","",INDEX(Übungen!$B$4:$B$19,MATCH($D545,Übungen!$A$4:$A$19,0))),"")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IFERROR(IF($D546="","",INDEX(Übungen!$B$4:$B$19,MATCH($D546,Übungen!$A$4:$A$19,0))),"")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IFERROR(IF($D547="","",INDEX(Übungen!$B$4:$B$19,MATCH($D547,Übungen!$A$4:$A$19,0))),"")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IFERROR(IF($D548="","",INDEX(Übungen!$B$4:$B$19,MATCH($D548,Übungen!$A$4:$A$19,0))),"")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IFERROR(IF($D549="","",INDEX(Übungen!$B$4:$B$19,MATCH($D549,Übungen!$A$4:$A$19,0))),"")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IFERROR(IF($D550="","",INDEX(Übungen!$B$4:$B$19,MATCH($D550,Übungen!$A$4:$A$19,0))),"")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IFERROR(IF($D551="","",INDEX(Übungen!$B$4:$B$19,MATCH($D551,Übungen!$A$4:$A$19,0))),"")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IFERROR(IF($D552="","",INDEX(Übungen!$B$4:$B$19,MATCH($D552,Übungen!$A$4:$A$19,0))),"")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IFERROR(IF($D553="","",INDEX(Übungen!$B$4:$B$19,MATCH($D553,Übungen!$A$4:$A$19,0))),"")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IFERROR(IF($D554="","",INDEX(Übungen!$B$4:$B$19,MATCH($D554,Übungen!$A$4:$A$19,0))),"")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IFERROR(IF($D555="","",INDEX(Übungen!$B$4:$B$19,MATCH($D555,Übungen!$A$4:$A$19,0))),"")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IFERROR(IF($D556="","",INDEX(Übungen!$B$4:$B$19,MATCH($D556,Übungen!$A$4:$A$19,0))),"")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IFERROR(IF($D557="","",INDEX(Übungen!$B$4:$B$19,MATCH($D557,Übungen!$A$4:$A$19,0))),"")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IFERROR(IF($D558="","",INDEX(Übungen!$B$4:$B$19,MATCH($D558,Übungen!$A$4:$A$19,0))),"")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IFERROR(IF($D559="","",INDEX(Übungen!$B$4:$B$19,MATCH($D559,Übungen!$A$4:$A$19,0))),"")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IFERROR(IF($D560="","",INDEX(Übungen!$B$4:$B$19,MATCH($D560,Übungen!$A$4:$A$19,0))),"")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IFERROR(IF($D561="","",INDEX(Übungen!$B$4:$B$19,MATCH($D561,Übungen!$A$4:$A$19,0))),"")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IFERROR(IF($D562="","",INDEX(Übungen!$B$4:$B$19,MATCH($D562,Übungen!$A$4:$A$19,0))),"")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IFERROR(IF($D563="","",INDEX(Übungen!$B$4:$B$19,MATCH($D563,Übungen!$A$4:$A$19,0))),"")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IFERROR(IF($D564="","",INDEX(Übungen!$B$4:$B$19,MATCH($D564,Übungen!$A$4:$A$19,0))),"")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IFERROR(IF($D565="","",INDEX(Übungen!$B$4:$B$19,MATCH($D565,Übungen!$A$4:$A$19,0))),"")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IFERROR(IF($D566="","",INDEX(Übungen!$B$4:$B$19,MATCH($D566,Übungen!$A$4:$A$19,0))),"")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IFERROR(IF($D567="","",INDEX(Übungen!$B$4:$B$19,MATCH($D567,Übungen!$A$4:$A$19,0))),"")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IFERROR(IF($D568="","",INDEX(Übungen!$B$4:$B$19,MATCH($D568,Übungen!$A$4:$A$19,0))),"")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IFERROR(IF($D569="","",INDEX(Übungen!$B$4:$B$19,MATCH($D569,Übungen!$A$4:$A$19,0))),"")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IFERROR(IF($D570="","",INDEX(Übungen!$B$4:$B$19,MATCH($D570,Übungen!$A$4:$A$19,0))),"")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IFERROR(IF($D571="","",INDEX(Übungen!$B$4:$B$19,MATCH($D571,Übungen!$A$4:$A$19,0))),"")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IFERROR(IF($D572="","",INDEX(Übungen!$B$4:$B$19,MATCH($D572,Übungen!$A$4:$A$19,0))),"")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IFERROR(IF($D573="","",INDEX(Übungen!$B$4:$B$19,MATCH($D573,Übungen!$A$4:$A$19,0))),"")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IFERROR(IF($D574="","",INDEX(Übungen!$B$4:$B$19,MATCH($D574,Übungen!$A$4:$A$19,0))),"")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IFERROR(IF($D575="","",INDEX(Übungen!$B$4:$B$19,MATCH($D575,Übungen!$A$4:$A$19,0))),"")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IFERROR(IF($D576="","",INDEX(Übungen!$B$4:$B$19,MATCH($D576,Übungen!$A$4:$A$19,0))),"")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IFERROR(IF($D577="","",INDEX(Übungen!$B$4:$B$19,MATCH($D577,Übungen!$A$4:$A$19,0))),"")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IFERROR(IF($D578="","",INDEX(Übungen!$B$4:$B$19,MATCH($D578,Übungen!$A$4:$A$19,0))),"")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IFERROR(IF($D579="","",INDEX(Übungen!$B$4:$B$19,MATCH($D579,Übungen!$A$4:$A$19,0))),"")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IFERROR(IF($D580="","",INDEX(Übungen!$B$4:$B$19,MATCH($D580,Übungen!$A$4:$A$19,0))),"")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IFERROR(IF($D581="","",INDEX(Übungen!$B$4:$B$19,MATCH($D581,Übungen!$A$4:$A$19,0))),"")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IFERROR(IF($D582="","",INDEX(Übungen!$B$4:$B$19,MATCH($D582,Übungen!$A$4:$A$19,0))),"")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IFERROR(IF($D583="","",INDEX(Übungen!$B$4:$B$19,MATCH($D583,Übungen!$A$4:$A$19,0))),"")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IFERROR(IF($D584="","",INDEX(Übungen!$B$4:$B$19,MATCH($D584,Übungen!$A$4:$A$19,0))),"")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IFERROR(IF($D585="","",INDEX(Übungen!$B$4:$B$19,MATCH($D585,Übungen!$A$4:$A$19,0))),"")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IFERROR(IF($D586="","",INDEX(Übungen!$B$4:$B$19,MATCH($D586,Übungen!$A$4:$A$19,0))),"")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IFERROR(IF($D587="","",INDEX(Übungen!$B$4:$B$19,MATCH($D587,Übungen!$A$4:$A$19,0))),"")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IFERROR(IF($D588="","",INDEX(Übungen!$B$4:$B$19,MATCH($D588,Übungen!$A$4:$A$19,0))),"")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IFERROR(IF($D589="","",INDEX(Übungen!$B$4:$B$19,MATCH($D589,Übungen!$A$4:$A$19,0))),"")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IFERROR(IF($D590="","",INDEX(Übungen!$B$4:$B$19,MATCH($D590,Übungen!$A$4:$A$19,0))),"")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IFERROR(IF($D591="","",INDEX(Übungen!$B$4:$B$19,MATCH($D591,Übungen!$A$4:$A$19,0))),"")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IFERROR(IF($D592="","",INDEX(Übungen!$B$4:$B$19,MATCH($D592,Übungen!$A$4:$A$19,0))),"")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IFERROR(IF($D593="","",INDEX(Übungen!$B$4:$B$19,MATCH($D593,Übungen!$A$4:$A$19,0))),"")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IFERROR(IF($D594="","",INDEX(Übungen!$B$4:$B$19,MATCH($D594,Übungen!$A$4:$A$19,0))),"")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IFERROR(IF($D595="","",INDEX(Übungen!$B$4:$B$19,MATCH($D595,Übungen!$A$4:$A$19,0))),"")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IFERROR(IF($D596="","",INDEX(Übungen!$B$4:$B$19,MATCH($D596,Übungen!$A$4:$A$19,0))),"")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IFERROR(IF($D597="","",INDEX(Übungen!$B$4:$B$19,MATCH($D597,Übungen!$A$4:$A$19,0))),"")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IFERROR(IF($D598="","",INDEX(Übungen!$B$4:$B$19,MATCH($D598,Übungen!$A$4:$A$19,0))),"")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IFERROR(IF($D599="","",INDEX(Übungen!$B$4:$B$19,MATCH($D599,Übungen!$A$4:$A$19,0))),"")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IFERROR(IF($D600="","",INDEX(Übungen!$B$4:$B$19,MATCH($D600,Übungen!$A$4:$A$19,0))),"")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IFERROR(IF($D601="","",INDEX(Übungen!$B$4:$B$19,MATCH($D601,Übungen!$A$4:$A$19,0))),"")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IFERROR(IF($D602="","",INDEX(Übungen!$B$4:$B$19,MATCH($D602,Übungen!$A$4:$A$19,0))),"")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IFERROR(IF($D603="","",INDEX(Übungen!$B$4:$B$19,MATCH($D603,Übungen!$A$4:$A$19,0))),"")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IFERROR(IF($D604="","",INDEX(Übungen!$B$4:$B$19,MATCH($D604,Übungen!$A$4:$A$19,0))),"")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IFERROR(IF($D605="","",INDEX(Übungen!$B$4:$B$19,MATCH($D605,Übungen!$A$4:$A$19,0))),"")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IFERROR(IF($D606="","",INDEX(Übungen!$B$4:$B$19,MATCH($D606,Übungen!$A$4:$A$19,0))),"")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IFERROR(IF($D607="","",INDEX(Übungen!$B$4:$B$19,MATCH($D607,Übungen!$A$4:$A$19,0))),"")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IFERROR(IF($D608="","",INDEX(Übungen!$B$4:$B$19,MATCH($D608,Übungen!$A$4:$A$19,0))),"")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IFERROR(IF($D609="","",INDEX(Übungen!$B$4:$B$19,MATCH($D609,Übungen!$A$4:$A$19,0))),"")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IFERROR(IF($D610="","",INDEX(Übungen!$B$4:$B$19,MATCH($D610,Übungen!$A$4:$A$19,0))),"")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IFERROR(IF($D611="","",INDEX(Übungen!$B$4:$B$19,MATCH($D611,Übungen!$A$4:$A$19,0))),"")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IFERROR(IF($D612="","",INDEX(Übungen!$B$4:$B$19,MATCH($D612,Übungen!$A$4:$A$19,0))),"")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IFERROR(IF($D613="","",INDEX(Übungen!$B$4:$B$19,MATCH($D613,Übungen!$A$4:$A$19,0))),"")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IFERROR(IF($D614="","",INDEX(Übungen!$B$4:$B$19,MATCH($D614,Übungen!$A$4:$A$19,0))),"")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IFERROR(IF($D615="","",INDEX(Übungen!$B$4:$B$19,MATCH($D615,Übungen!$A$4:$A$19,0))),"")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IFERROR(IF($D616="","",INDEX(Übungen!$B$4:$B$19,MATCH($D616,Übungen!$A$4:$A$19,0))),"")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IFERROR(IF($D617="","",INDEX(Übungen!$B$4:$B$19,MATCH($D617,Übungen!$A$4:$A$19,0))),"")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IFERROR(IF($D618="","",INDEX(Übungen!$B$4:$B$19,MATCH($D618,Übungen!$A$4:$A$19,0))),"")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IFERROR(IF($D619="","",INDEX(Übungen!$B$4:$B$19,MATCH($D619,Übungen!$A$4:$A$19,0))),"")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IFERROR(IF($D620="","",INDEX(Übungen!$B$4:$B$19,MATCH($D620,Übungen!$A$4:$A$19,0))),"")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IFERROR(IF($D621="","",INDEX(Übungen!$B$4:$B$19,MATCH($D621,Übungen!$A$4:$A$19,0))),"")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IFERROR(IF($D622="","",INDEX(Übungen!$B$4:$B$19,MATCH($D622,Übungen!$A$4:$A$19,0))),"")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IFERROR(IF($D623="","",INDEX(Übungen!$B$4:$B$19,MATCH($D623,Übungen!$A$4:$A$19,0))),"")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IFERROR(IF($D624="","",INDEX(Übungen!$B$4:$B$19,MATCH($D624,Übungen!$A$4:$A$19,0))),"")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IFERROR(IF($D625="","",INDEX(Übungen!$B$4:$B$19,MATCH($D625,Übungen!$A$4:$A$19,0))),"")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IFERROR(IF($D626="","",INDEX(Übungen!$B$4:$B$19,MATCH($D626,Übungen!$A$4:$A$19,0))),"")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IFERROR(IF($D627="","",INDEX(Übungen!$B$4:$B$19,MATCH($D627,Übungen!$A$4:$A$19,0))),"")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IFERROR(IF($D628="","",INDEX(Übungen!$B$4:$B$19,MATCH($D628,Übungen!$A$4:$A$19,0))),"")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IFERROR(IF($D629="","",INDEX(Übungen!$B$4:$B$19,MATCH($D629,Übungen!$A$4:$A$19,0))),"")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IFERROR(IF($D630="","",INDEX(Übungen!$B$4:$B$19,MATCH($D630,Übungen!$A$4:$A$19,0))),"")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IFERROR(IF($D631="","",INDEX(Übungen!$B$4:$B$19,MATCH($D631,Übungen!$A$4:$A$19,0))),"")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IFERROR(IF($D632="","",INDEX(Übungen!$B$4:$B$19,MATCH($D632,Übungen!$A$4:$A$19,0))),"")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IFERROR(IF($D633="","",INDEX(Übungen!$B$4:$B$19,MATCH($D633,Übungen!$A$4:$A$19,0))),"")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IFERROR(IF($D634="","",INDEX(Übungen!$B$4:$B$19,MATCH($D634,Übungen!$A$4:$A$19,0))),"")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IFERROR(IF($D635="","",INDEX(Übungen!$B$4:$B$19,MATCH($D635,Übungen!$A$4:$A$19,0))),"")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IFERROR(IF($D636="","",INDEX(Übungen!$B$4:$B$19,MATCH($D636,Übungen!$A$4:$A$19,0))),"")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IFERROR(IF($D637="","",INDEX(Übungen!$B$4:$B$19,MATCH($D637,Übungen!$A$4:$A$19,0))),"")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IFERROR(IF($D638="","",INDEX(Übungen!$B$4:$B$19,MATCH($D638,Übungen!$A$4:$A$19,0))),"")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IFERROR(IF($D639="","",INDEX(Übungen!$B$4:$B$19,MATCH($D639,Übungen!$A$4:$A$19,0))),"")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IFERROR(IF($D640="","",INDEX(Übungen!$B$4:$B$19,MATCH($D640,Übungen!$A$4:$A$19,0))),"")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IFERROR(IF($D641="","",INDEX(Übungen!$B$4:$B$19,MATCH($D641,Übungen!$A$4:$A$19,0))),"")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IFERROR(IF($D642="","",INDEX(Übungen!$B$4:$B$19,MATCH($D642,Übungen!$A$4:$A$19,0))),"")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IFERROR(IF($D643="","",INDEX(Übungen!$B$4:$B$19,MATCH($D643,Übungen!$A$4:$A$19,0))),"")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IFERROR(IF($D644="","",INDEX(Übungen!$B$4:$B$19,MATCH($D644,Übungen!$A$4:$A$19,0))),"")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IFERROR(IF($D645="","",INDEX(Übungen!$B$4:$B$19,MATCH($D645,Übungen!$A$4:$A$19,0))),"")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IFERROR(IF($D646="","",INDEX(Übungen!$B$4:$B$19,MATCH($D646,Übungen!$A$4:$A$19,0))),"")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IFERROR(IF($D647="","",INDEX(Übungen!$B$4:$B$19,MATCH($D647,Übungen!$A$4:$A$19,0))),"")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IFERROR(IF($D648="","",INDEX(Übungen!$B$4:$B$19,MATCH($D648,Übungen!$A$4:$A$19,0))),"")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IFERROR(IF($D649="","",INDEX(Übungen!$B$4:$B$19,MATCH($D649,Übungen!$A$4:$A$19,0))),"")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IFERROR(IF($D650="","",INDEX(Übungen!$B$4:$B$19,MATCH($D650,Übungen!$A$4:$A$19,0))),"")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IFERROR(IF($D651="","",INDEX(Übungen!$B$4:$B$19,MATCH($D651,Übungen!$A$4:$A$19,0))),"")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IFERROR(IF($D652="","",INDEX(Übungen!$B$4:$B$19,MATCH($D652,Übungen!$A$4:$A$19,0))),"")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IFERROR(IF($D653="","",INDEX(Übungen!$B$4:$B$19,MATCH($D653,Übungen!$A$4:$A$19,0))),"")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IFERROR(IF($D654="","",INDEX(Übungen!$B$4:$B$19,MATCH($D654,Übungen!$A$4:$A$19,0))),"")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IFERROR(IF($D655="","",INDEX(Übungen!$B$4:$B$19,MATCH($D655,Übungen!$A$4:$A$19,0))),"")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IFERROR(IF($D656="","",INDEX(Übungen!$B$4:$B$19,MATCH($D656,Übungen!$A$4:$A$19,0))),"")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IFERROR(IF($D657="","",INDEX(Übungen!$B$4:$B$19,MATCH($D657,Übungen!$A$4:$A$19,0))),"")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IFERROR(IF($D658="","",INDEX(Übungen!$B$4:$B$19,MATCH($D658,Übungen!$A$4:$A$19,0))),"")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IFERROR(IF($D659="","",INDEX(Übungen!$B$4:$B$19,MATCH($D659,Übungen!$A$4:$A$19,0))),"")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IFERROR(IF($D660="","",INDEX(Übungen!$B$4:$B$19,MATCH($D660,Übungen!$A$4:$A$19,0))),"")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IFERROR(IF($D661="","",INDEX(Übungen!$B$4:$B$19,MATCH($D661,Übungen!$A$4:$A$19,0))),"")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IFERROR(IF($D662="","",INDEX(Übungen!$B$4:$B$19,MATCH($D662,Übungen!$A$4:$A$19,0))),"")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IFERROR(IF($D663="","",INDEX(Übungen!$B$4:$B$19,MATCH($D663,Übungen!$A$4:$A$19,0))),"")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IFERROR(IF($D664="","",INDEX(Übungen!$B$4:$B$19,MATCH($D664,Übungen!$A$4:$A$19,0))),"")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IFERROR(IF($D665="","",INDEX(Übungen!$B$4:$B$19,MATCH($D665,Übungen!$A$4:$A$19,0))),"")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IFERROR(IF($D666="","",INDEX(Übungen!$B$4:$B$19,MATCH($D666,Übungen!$A$4:$A$19,0))),"")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IFERROR(IF($D667="","",INDEX(Übungen!$B$4:$B$19,MATCH($D667,Übungen!$A$4:$A$19,0))),"")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IFERROR(IF($D668="","",INDEX(Übungen!$B$4:$B$19,MATCH($D668,Übungen!$A$4:$A$19,0))),"")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IFERROR(IF($D669="","",INDEX(Übungen!$B$4:$B$19,MATCH($D669,Übungen!$A$4:$A$19,0))),"")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IFERROR(IF($D670="","",INDEX(Übungen!$B$4:$B$19,MATCH($D670,Übungen!$A$4:$A$19,0))),"")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IFERROR(IF($D671="","",INDEX(Übungen!$B$4:$B$19,MATCH($D671,Übungen!$A$4:$A$19,0))),"")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IFERROR(IF($D672="","",INDEX(Übungen!$B$4:$B$19,MATCH($D672,Übungen!$A$4:$A$19,0))),"")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IFERROR(IF($D673="","",INDEX(Übungen!$B$4:$B$19,MATCH($D673,Übungen!$A$4:$A$19,0))),"")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IFERROR(IF($D674="","",INDEX(Übungen!$B$4:$B$19,MATCH($D674,Übungen!$A$4:$A$19,0))),"")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IFERROR(IF($D675="","",INDEX(Übungen!$B$4:$B$19,MATCH($D675,Übungen!$A$4:$A$19,0))),"")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IFERROR(IF($D676="","",INDEX(Übungen!$B$4:$B$19,MATCH($D676,Übungen!$A$4:$A$19,0))),"")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IFERROR(IF($D677="","",INDEX(Übungen!$B$4:$B$19,MATCH($D677,Übungen!$A$4:$A$19,0))),"")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IFERROR(IF($D678="","",INDEX(Übungen!$B$4:$B$19,MATCH($D678,Übungen!$A$4:$A$19,0))),"")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IFERROR(IF($D679="","",INDEX(Übungen!$B$4:$B$19,MATCH($D679,Übungen!$A$4:$A$19,0))),"")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IFERROR(IF($D680="","",INDEX(Übungen!$B$4:$B$19,MATCH($D680,Übungen!$A$4:$A$19,0))),"")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IFERROR(IF($D681="","",INDEX(Übungen!$B$4:$B$19,MATCH($D681,Übungen!$A$4:$A$19,0))),"")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IFERROR(IF($D682="","",INDEX(Übungen!$B$4:$B$19,MATCH($D682,Übungen!$A$4:$A$19,0))),"")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IFERROR(IF($D683="","",INDEX(Übungen!$B$4:$B$19,MATCH($D683,Übungen!$A$4:$A$19,0))),"")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IFERROR(IF($D684="","",INDEX(Übungen!$B$4:$B$19,MATCH($D684,Übungen!$A$4:$A$19,0))),"")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IFERROR(IF($D685="","",INDEX(Übungen!$B$4:$B$19,MATCH($D685,Übungen!$A$4:$A$19,0))),"")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IFERROR(IF($D686="","",INDEX(Übungen!$B$4:$B$19,MATCH($D686,Übungen!$A$4:$A$19,0))),"")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IFERROR(IF($D687="","",INDEX(Übungen!$B$4:$B$19,MATCH($D687,Übungen!$A$4:$A$19,0))),"")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IFERROR(IF($D688="","",INDEX(Übungen!$B$4:$B$19,MATCH($D688,Übungen!$A$4:$A$19,0))),"")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IFERROR(IF($D689="","",INDEX(Übungen!$B$4:$B$19,MATCH($D689,Übungen!$A$4:$A$19,0))),"")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IFERROR(IF($D690="","",INDEX(Übungen!$B$4:$B$19,MATCH($D690,Übungen!$A$4:$A$19,0))),"")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IFERROR(IF($D691="","",INDEX(Übungen!$B$4:$B$19,MATCH($D691,Übungen!$A$4:$A$19,0))),"")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IFERROR(IF($D692="","",INDEX(Übungen!$B$4:$B$19,MATCH($D692,Übungen!$A$4:$A$19,0))),"")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IFERROR(IF($D693="","",INDEX(Übungen!$B$4:$B$19,MATCH($D693,Übungen!$A$4:$A$19,0))),"")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IFERROR(IF($D694="","",INDEX(Übungen!$B$4:$B$19,MATCH($D694,Übungen!$A$4:$A$19,0))),"")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IFERROR(IF($D695="","",INDEX(Übungen!$B$4:$B$19,MATCH($D695,Übungen!$A$4:$A$19,0))),"")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IFERROR(IF($D696="","",INDEX(Übungen!$B$4:$B$19,MATCH($D696,Übungen!$A$4:$A$19,0))),"")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IFERROR(IF($D697="","",INDEX(Übungen!$B$4:$B$19,MATCH($D697,Übungen!$A$4:$A$19,0))),"")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IFERROR(IF($D698="","",INDEX(Übungen!$B$4:$B$19,MATCH($D698,Übungen!$A$4:$A$19,0))),"")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IFERROR(IF($D699="","",INDEX(Übungen!$B$4:$B$19,MATCH($D699,Übungen!$A$4:$A$19,0))),"")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IFERROR(IF($D700="","",INDEX(Übungen!$B$4:$B$19,MATCH($D700,Übungen!$A$4:$A$19,0))),"")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IFERROR(IF($D701="","",INDEX(Übungen!$B$4:$B$19,MATCH($D701,Übungen!$A$4:$A$19,0))),"")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IFERROR(IF($D702="","",INDEX(Übungen!$B$4:$B$19,MATCH($D702,Übungen!$A$4:$A$19,0))),"")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IFERROR(IF($D703="","",INDEX(Übungen!$B$4:$B$19,MATCH($D703,Übungen!$A$4:$A$19,0))),"")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IFERROR(IF($D704="","",INDEX(Übungen!$B$4:$B$19,MATCH($D704,Übungen!$A$4:$A$19,0))),"")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IFERROR(IF($D705="","",INDEX(Übungen!$B$4:$B$19,MATCH($D705,Übungen!$A$4:$A$19,0))),"")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IFERROR(IF($D706="","",INDEX(Übungen!$B$4:$B$19,MATCH($D706,Übungen!$A$4:$A$19,0))),"")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IFERROR(IF($D707="","",INDEX(Übungen!$B$4:$B$19,MATCH($D707,Übungen!$A$4:$A$19,0))),"")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IFERROR(IF($D708="","",INDEX(Übungen!$B$4:$B$19,MATCH($D708,Übungen!$A$4:$A$19,0))),"")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IFERROR(IF($D709="","",INDEX(Übungen!$B$4:$B$19,MATCH($D709,Übungen!$A$4:$A$19,0))),"")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IFERROR(IF($D710="","",INDEX(Übungen!$B$4:$B$19,MATCH($D710,Übungen!$A$4:$A$19,0))),"")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IFERROR(IF($D711="","",INDEX(Übungen!$B$4:$B$19,MATCH($D711,Übungen!$A$4:$A$19,0))),"")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IFERROR(IF($D712="","",INDEX(Übungen!$B$4:$B$19,MATCH($D712,Übungen!$A$4:$A$19,0))),"")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IFERROR(IF($D713="","",INDEX(Übungen!$B$4:$B$19,MATCH($D713,Übungen!$A$4:$A$19,0))),"")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IFERROR(IF($D714="","",INDEX(Übungen!$B$4:$B$19,MATCH($D714,Übungen!$A$4:$A$19,0))),"")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IFERROR(IF($D715="","",INDEX(Übungen!$B$4:$B$19,MATCH($D715,Übungen!$A$4:$A$19,0))),"")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IFERROR(IF($D716="","",INDEX(Übungen!$B$4:$B$19,MATCH($D716,Übungen!$A$4:$A$19,0))),"")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IFERROR(IF($D717="","",INDEX(Übungen!$B$4:$B$19,MATCH($D717,Übungen!$A$4:$A$19,0))),"")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IFERROR(IF($D718="","",INDEX(Übungen!$B$4:$B$19,MATCH($D718,Übungen!$A$4:$A$19,0))),"")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IFERROR(IF($D719="","",INDEX(Übungen!$B$4:$B$19,MATCH($D719,Übungen!$A$4:$A$19,0))),"")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IFERROR(IF($D720="","",INDEX(Übungen!$B$4:$B$19,MATCH($D720,Übungen!$A$4:$A$19,0))),"")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IFERROR(IF($D721="","",INDEX(Übungen!$B$4:$B$19,MATCH($D721,Übungen!$A$4:$A$19,0))),"")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IFERROR(IF($D722="","",INDEX(Übungen!$B$4:$B$19,MATCH($D722,Übungen!$A$4:$A$19,0))),"")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IFERROR(IF($D723="","",INDEX(Übungen!$B$4:$B$19,MATCH($D723,Übungen!$A$4:$A$19,0))),"")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IFERROR(IF($D724="","",INDEX(Übungen!$B$4:$B$19,MATCH($D724,Übungen!$A$4:$A$19,0))),"")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IFERROR(IF($D725="","",INDEX(Übungen!$B$4:$B$19,MATCH($D725,Übungen!$A$4:$A$19,0))),"")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IFERROR(IF($D726="","",INDEX(Übungen!$B$4:$B$19,MATCH($D726,Übungen!$A$4:$A$19,0))),"")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IFERROR(IF($D727="","",INDEX(Übungen!$B$4:$B$19,MATCH($D727,Übungen!$A$4:$A$19,0))),"")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IFERROR(IF($D728="","",INDEX(Übungen!$B$4:$B$19,MATCH($D728,Übungen!$A$4:$A$19,0))),"")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IFERROR(IF($D729="","",INDEX(Übungen!$B$4:$B$19,MATCH($D729,Übungen!$A$4:$A$19,0))),"")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IFERROR(IF($D730="","",INDEX(Übungen!$B$4:$B$19,MATCH($D730,Übungen!$A$4:$A$19,0))),"")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IFERROR(IF($D731="","",INDEX(Übungen!$B$4:$B$19,MATCH($D731,Übungen!$A$4:$A$19,0))),"")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IFERROR(IF($D732="","",INDEX(Übungen!$B$4:$B$19,MATCH($D732,Übungen!$A$4:$A$19,0))),"")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IFERROR(IF($D733="","",INDEX(Übungen!$B$4:$B$19,MATCH($D733,Übungen!$A$4:$A$19,0))),"")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IFERROR(IF($D734="","",INDEX(Übungen!$B$4:$B$19,MATCH($D734,Übungen!$A$4:$A$19,0))),"")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IFERROR(IF($D735="","",INDEX(Übungen!$B$4:$B$19,MATCH($D735,Übungen!$A$4:$A$19,0))),"")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IFERROR(IF($D736="","",INDEX(Übungen!$B$4:$B$19,MATCH($D736,Übungen!$A$4:$A$19,0))),"")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IFERROR(IF($D737="","",INDEX(Übungen!$B$4:$B$19,MATCH($D737,Übungen!$A$4:$A$19,0))),"")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IFERROR(IF($D738="","",INDEX(Übungen!$B$4:$B$19,MATCH($D738,Übungen!$A$4:$A$19,0))),"")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IFERROR(IF($D739="","",INDEX(Übungen!$B$4:$B$19,MATCH($D739,Übungen!$A$4:$A$19,0))),"")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IFERROR(IF($D740="","",INDEX(Übungen!$B$4:$B$19,MATCH($D740,Übungen!$A$4:$A$19,0))),"")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IFERROR(IF($D741="","",INDEX(Übungen!$B$4:$B$19,MATCH($D741,Übungen!$A$4:$A$19,0))),"")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IFERROR(IF($D742="","",INDEX(Übungen!$B$4:$B$19,MATCH($D742,Übungen!$A$4:$A$19,0))),"")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IFERROR(IF($D743="","",INDEX(Übungen!$B$4:$B$19,MATCH($D743,Übungen!$A$4:$A$19,0))),"")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IFERROR(IF($D744="","",INDEX(Übungen!$B$4:$B$19,MATCH($D744,Übungen!$A$4:$A$19,0))),"")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IFERROR(IF($D745="","",INDEX(Übungen!$B$4:$B$19,MATCH($D745,Übungen!$A$4:$A$19,0))),"")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IFERROR(IF($D746="","",INDEX(Übungen!$B$4:$B$19,MATCH($D746,Übungen!$A$4:$A$19,0))),"")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IFERROR(IF($D747="","",INDEX(Übungen!$B$4:$B$19,MATCH($D747,Übungen!$A$4:$A$19,0))),"")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IFERROR(IF($D748="","",INDEX(Übungen!$B$4:$B$19,MATCH($D748,Übungen!$A$4:$A$19,0))),"")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IFERROR(IF($D749="","",INDEX(Übungen!$B$4:$B$19,MATCH($D749,Übungen!$A$4:$A$19,0))),"")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IFERROR(IF($D750="","",INDEX(Übungen!$B$4:$B$19,MATCH($D750,Übungen!$A$4:$A$19,0))),"")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IFERROR(IF($D751="","",INDEX(Übungen!$B$4:$B$19,MATCH($D751,Übungen!$A$4:$A$19,0))),"")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IFERROR(IF($D752="","",INDEX(Übungen!$B$4:$B$19,MATCH($D752,Übungen!$A$4:$A$19,0))),"")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IFERROR(IF($D753="","",INDEX(Übungen!$B$4:$B$19,MATCH($D753,Übungen!$A$4:$A$19,0))),"")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IFERROR(IF($D754="","",INDEX(Übungen!$B$4:$B$19,MATCH($D754,Übungen!$A$4:$A$19,0))),"")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IFERROR(IF($D755="","",INDEX(Übungen!$B$4:$B$19,MATCH($D755,Übungen!$A$4:$A$19,0))),"")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IFERROR(IF($D756="","",INDEX(Übungen!$B$4:$B$19,MATCH($D756,Übungen!$A$4:$A$19,0))),"")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IFERROR(IF($D757="","",INDEX(Übungen!$B$4:$B$19,MATCH($D757,Übungen!$A$4:$A$19,0))),"")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IFERROR(IF($D758="","",INDEX(Übungen!$B$4:$B$19,MATCH($D758,Übungen!$A$4:$A$19,0))),"")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IFERROR(IF($D759="","",INDEX(Übungen!$B$4:$B$19,MATCH($D759,Übungen!$A$4:$A$19,0))),"")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IFERROR(IF($D760="","",INDEX(Übungen!$B$4:$B$19,MATCH($D760,Übungen!$A$4:$A$19,0))),"")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IFERROR(IF($D761="","",INDEX(Übungen!$B$4:$B$19,MATCH($D761,Übungen!$A$4:$A$19,0))),"")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IFERROR(IF($D762="","",INDEX(Übungen!$B$4:$B$19,MATCH($D762,Übungen!$A$4:$A$19,0))),"")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IFERROR(IF($D763="","",INDEX(Übungen!$B$4:$B$19,MATCH($D763,Übungen!$A$4:$A$19,0))),"")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IFERROR(IF($D764="","",INDEX(Übungen!$B$4:$B$19,MATCH($D764,Übungen!$A$4:$A$19,0))),"")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IFERROR(IF($D765="","",INDEX(Übungen!$B$4:$B$19,MATCH($D765,Übungen!$A$4:$A$19,0))),"")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IFERROR(IF($D766="","",INDEX(Übungen!$B$4:$B$19,MATCH($D766,Übungen!$A$4:$A$19,0))),"")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IFERROR(IF($D767="","",INDEX(Übungen!$B$4:$B$19,MATCH($D767,Übungen!$A$4:$A$19,0))),"")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IFERROR(IF($D768="","",INDEX(Übungen!$B$4:$B$19,MATCH($D768,Übungen!$A$4:$A$19,0))),"")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IFERROR(IF($D769="","",INDEX(Übungen!$B$4:$B$19,MATCH($D769,Übungen!$A$4:$A$19,0))),"")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IFERROR(IF($D770="","",INDEX(Übungen!$B$4:$B$19,MATCH($D770,Übungen!$A$4:$A$19,0))),"")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IFERROR(IF($D771="","",INDEX(Übungen!$B$4:$B$19,MATCH($D771,Übungen!$A$4:$A$19,0))),"")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IFERROR(IF($D772="","",INDEX(Übungen!$B$4:$B$19,MATCH($D772,Übungen!$A$4:$A$19,0))),"")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IFERROR(IF($D773="","",INDEX(Übungen!$B$4:$B$19,MATCH($D773,Übungen!$A$4:$A$19,0))),"")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IFERROR(IF($D774="","",INDEX(Übungen!$B$4:$B$19,MATCH($D774,Übungen!$A$4:$A$19,0))),"")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IFERROR(IF($D775="","",INDEX(Übungen!$B$4:$B$19,MATCH($D775,Übungen!$A$4:$A$19,0))),"")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IFERROR(IF($D776="","",INDEX(Übungen!$B$4:$B$19,MATCH($D776,Übungen!$A$4:$A$19,0))),"")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IFERROR(IF($D777="","",INDEX(Übungen!$B$4:$B$19,MATCH($D777,Übungen!$A$4:$A$19,0))),"")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IFERROR(IF($D778="","",INDEX(Übungen!$B$4:$B$19,MATCH($D778,Übungen!$A$4:$A$19,0))),"")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IFERROR(IF($D779="","",INDEX(Übungen!$B$4:$B$19,MATCH($D779,Übungen!$A$4:$A$19,0))),"")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IFERROR(IF($D780="","",INDEX(Übungen!$B$4:$B$19,MATCH($D780,Übungen!$A$4:$A$19,0))),"")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IFERROR(IF($D781="","",INDEX(Übungen!$B$4:$B$19,MATCH($D781,Übungen!$A$4:$A$19,0))),"")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IFERROR(IF($D782="","",INDEX(Übungen!$B$4:$B$19,MATCH($D782,Übungen!$A$4:$A$19,0))),"")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IFERROR(IF($D783="","",INDEX(Übungen!$B$4:$B$19,MATCH($D783,Übungen!$A$4:$A$19,0))),"")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IFERROR(IF($D784="","",INDEX(Übungen!$B$4:$B$19,MATCH($D784,Übungen!$A$4:$A$19,0))),"")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IFERROR(IF($D785="","",INDEX(Übungen!$B$4:$B$19,MATCH($D785,Übungen!$A$4:$A$19,0))),"")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IFERROR(IF($D786="","",INDEX(Übungen!$B$4:$B$19,MATCH($D786,Übungen!$A$4:$A$19,0))),"")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IFERROR(IF($D787="","",INDEX(Übungen!$B$4:$B$19,MATCH($D787,Übungen!$A$4:$A$19,0))),"")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IFERROR(IF($D788="","",INDEX(Übungen!$B$4:$B$19,MATCH($D788,Übungen!$A$4:$A$19,0))),"")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IFERROR(IF($D789="","",INDEX(Übungen!$B$4:$B$19,MATCH($D789,Übungen!$A$4:$A$19,0))),"")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IFERROR(IF($D790="","",INDEX(Übungen!$B$4:$B$19,MATCH($D790,Übungen!$A$4:$A$19,0))),"")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IFERROR(IF($D791="","",INDEX(Übungen!$B$4:$B$19,MATCH($D791,Übungen!$A$4:$A$19,0))),"")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IFERROR(IF($D792="","",INDEX(Übungen!$B$4:$B$19,MATCH($D792,Übungen!$A$4:$A$19,0))),"")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IFERROR(IF($D793="","",INDEX(Übungen!$B$4:$B$19,MATCH($D793,Übungen!$A$4:$A$19,0))),"")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IFERROR(IF($D794="","",INDEX(Übungen!$B$4:$B$19,MATCH($D794,Übungen!$A$4:$A$19,0))),"")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IFERROR(IF($D795="","",INDEX(Übungen!$B$4:$B$19,MATCH($D795,Übungen!$A$4:$A$19,0))),"")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IFERROR(IF($D796="","",INDEX(Übungen!$B$4:$B$19,MATCH($D796,Übungen!$A$4:$A$19,0))),"")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IFERROR(IF($D797="","",INDEX(Übungen!$B$4:$B$19,MATCH($D797,Übungen!$A$4:$A$19,0))),"")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IFERROR(IF($D798="","",INDEX(Übungen!$B$4:$B$19,MATCH($D798,Übungen!$A$4:$A$19,0))),"")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IFERROR(IF($D799="","",INDEX(Übungen!$B$4:$B$19,MATCH($D799,Übungen!$A$4:$A$19,0))),"")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IFERROR(IF($D800="","",INDEX(Übungen!$B$4:$B$19,MATCH($D800,Übungen!$A$4:$A$19,0))),"")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IFERROR(IF($D801="","",INDEX(Übungen!$B$4:$B$19,MATCH($D801,Übungen!$A$4:$A$19,0))),"")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IFERROR(IF($D802="","",INDEX(Übungen!$B$4:$B$19,MATCH($D802,Übungen!$A$4:$A$19,0))),"")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IFERROR(IF($D803="","",INDEX(Übungen!$B$4:$B$19,MATCH($D803,Übungen!$A$4:$A$19,0))),"")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IFERROR(IF($D804="","",INDEX(Übungen!$B$4:$B$19,MATCH($D804,Übungen!$A$4:$A$19,0))),"")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IFERROR(IF($D805="","",INDEX(Übungen!$B$4:$B$19,MATCH($D805,Übungen!$A$4:$A$19,0))),"")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IFERROR(IF($D806="","",INDEX(Übungen!$B$4:$B$19,MATCH($D806,Übungen!$A$4:$A$19,0))),"")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IFERROR(IF($D807="","",INDEX(Übungen!$B$4:$B$19,MATCH($D807,Übungen!$A$4:$A$19,0))),"")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IFERROR(IF($D808="","",INDEX(Übungen!$B$4:$B$19,MATCH($D808,Übungen!$A$4:$A$19,0))),"")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IFERROR(IF($D809="","",INDEX(Übungen!$B$4:$B$19,MATCH($D809,Übungen!$A$4:$A$19,0))),"")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IFERROR(IF($D810="","",INDEX(Übungen!$B$4:$B$19,MATCH($D810,Übungen!$A$4:$A$19,0))),"")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IFERROR(IF($D811="","",INDEX(Übungen!$B$4:$B$19,MATCH($D811,Übungen!$A$4:$A$19,0))),"")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IFERROR(IF($D812="","",INDEX(Übungen!$B$4:$B$19,MATCH($D812,Übungen!$A$4:$A$19,0))),"")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IFERROR(IF($D813="","",INDEX(Übungen!$B$4:$B$19,MATCH($D813,Übungen!$A$4:$A$19,0))),"")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IFERROR(IF($D814="","",INDEX(Übungen!$B$4:$B$19,MATCH($D814,Übungen!$A$4:$A$19,0))),"")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IFERROR(IF($D815="","",INDEX(Übungen!$B$4:$B$19,MATCH($D815,Übungen!$A$4:$A$19,0))),"")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IFERROR(IF($D816="","",INDEX(Übungen!$B$4:$B$19,MATCH($D816,Übungen!$A$4:$A$19,0))),"")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IFERROR(IF($D817="","",INDEX(Übungen!$B$4:$B$19,MATCH($D817,Übungen!$A$4:$A$19,0))),"")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IFERROR(IF($D818="","",INDEX(Übungen!$B$4:$B$19,MATCH($D818,Übungen!$A$4:$A$19,0))),"")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IFERROR(IF($D819="","",INDEX(Übungen!$B$4:$B$19,MATCH($D819,Übungen!$A$4:$A$19,0))),"")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IFERROR(IF($D820="","",INDEX(Übungen!$B$4:$B$19,MATCH($D820,Übungen!$A$4:$A$19,0))),"")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IFERROR(IF($D821="","",INDEX(Übungen!$B$4:$B$19,MATCH($D821,Übungen!$A$4:$A$19,0))),"")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IFERROR(IF($D822="","",INDEX(Übungen!$B$4:$B$19,MATCH($D822,Übungen!$A$4:$A$19,0))),"")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IFERROR(IF($D823="","",INDEX(Übungen!$B$4:$B$19,MATCH($D823,Übungen!$A$4:$A$19,0))),"")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IFERROR(IF($D824="","",INDEX(Übungen!$B$4:$B$19,MATCH($D824,Übungen!$A$4:$A$19,0))),"")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IFERROR(IF($D825="","",INDEX(Übungen!$B$4:$B$19,MATCH($D825,Übungen!$A$4:$A$19,0))),"")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IFERROR(IF($D826="","",INDEX(Übungen!$B$4:$B$19,MATCH($D826,Übungen!$A$4:$A$19,0))),"")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IFERROR(IF($D827="","",INDEX(Übungen!$B$4:$B$19,MATCH($D827,Übungen!$A$4:$A$19,0))),"")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IFERROR(IF($D828="","",INDEX(Übungen!$B$4:$B$19,MATCH($D828,Übungen!$A$4:$A$19,0))),"")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IFERROR(IF($D829="","",INDEX(Übungen!$B$4:$B$19,MATCH($D829,Übungen!$A$4:$A$19,0))),"")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IFERROR(IF($D830="","",INDEX(Übungen!$B$4:$B$19,MATCH($D830,Übungen!$A$4:$A$19,0))),"")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IFERROR(IF($D831="","",INDEX(Übungen!$B$4:$B$19,MATCH($D831,Übungen!$A$4:$A$19,0))),"")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IFERROR(IF($D832="","",INDEX(Übungen!$B$4:$B$19,MATCH($D832,Übungen!$A$4:$A$19,0))),"")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IFERROR(IF($D833="","",INDEX(Übungen!$B$4:$B$19,MATCH($D833,Übungen!$A$4:$A$19,0))),"")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IFERROR(IF($D834="","",INDEX(Übungen!$B$4:$B$19,MATCH($D834,Übungen!$A$4:$A$19,0))),"")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IFERROR(IF($D835="","",INDEX(Übungen!$B$4:$B$19,MATCH($D835,Übungen!$A$4:$A$19,0))),"")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IFERROR(IF($D836="","",INDEX(Übungen!$B$4:$B$19,MATCH($D836,Übungen!$A$4:$A$19,0))),"")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IFERROR(IF($D837="","",INDEX(Übungen!$B$4:$B$19,MATCH($D837,Übungen!$A$4:$A$19,0))),"")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IFERROR(IF($D838="","",INDEX(Übungen!$B$4:$B$19,MATCH($D838,Übungen!$A$4:$A$19,0))),"")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IFERROR(IF($D839="","",INDEX(Übungen!$B$4:$B$19,MATCH($D839,Übungen!$A$4:$A$19,0))),"")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IFERROR(IF($D840="","",INDEX(Übungen!$B$4:$B$19,MATCH($D840,Übungen!$A$4:$A$19,0))),"")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IFERROR(IF($D841="","",INDEX(Übungen!$B$4:$B$19,MATCH($D841,Übungen!$A$4:$A$19,0))),"")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IFERROR(IF($D842="","",INDEX(Übungen!$B$4:$B$19,MATCH($D842,Übungen!$A$4:$A$19,0))),"")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IFERROR(IF($D843="","",INDEX(Übungen!$B$4:$B$19,MATCH($D843,Übungen!$A$4:$A$19,0))),"")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IFERROR(IF($D844="","",INDEX(Übungen!$B$4:$B$19,MATCH($D844,Übungen!$A$4:$A$19,0))),"")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IFERROR(IF($D845="","",INDEX(Übungen!$B$4:$B$19,MATCH($D845,Übungen!$A$4:$A$19,0))),"")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IFERROR(IF($D846="","",INDEX(Übungen!$B$4:$B$19,MATCH($D846,Übungen!$A$4:$A$19,0))),"")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IFERROR(IF($D847="","",INDEX(Übungen!$B$4:$B$19,MATCH($D847,Übungen!$A$4:$A$19,0))),"")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IFERROR(IF($D848="","",INDEX(Übungen!$B$4:$B$19,MATCH($D848,Übungen!$A$4:$A$19,0))),"")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IFERROR(IF($D849="","",INDEX(Übungen!$B$4:$B$19,MATCH($D849,Übungen!$A$4:$A$19,0))),"")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IFERROR(IF($D850="","",INDEX(Übungen!$B$4:$B$19,MATCH($D850,Übungen!$A$4:$A$19,0))),"")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IFERROR(IF($D851="","",INDEX(Übungen!$B$4:$B$19,MATCH($D851,Übungen!$A$4:$A$19,0))),"")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IFERROR(IF($D852="","",INDEX(Übungen!$B$4:$B$19,MATCH($D852,Übungen!$A$4:$A$19,0))),"")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IFERROR(IF($D853="","",INDEX(Übungen!$B$4:$B$19,MATCH($D853,Übungen!$A$4:$A$19,0))),"")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IFERROR(IF($D854="","",INDEX(Übungen!$B$4:$B$19,MATCH($D854,Übungen!$A$4:$A$19,0))),"")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IFERROR(IF($D855="","",INDEX(Übungen!$B$4:$B$19,MATCH($D855,Übungen!$A$4:$A$19,0))),"")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IFERROR(IF($D856="","",INDEX(Übungen!$B$4:$B$19,MATCH($D856,Übungen!$A$4:$A$19,0))),"")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IFERROR(IF($D857="","",INDEX(Übungen!$B$4:$B$19,MATCH($D857,Übungen!$A$4:$A$19,0))),"")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IFERROR(IF($D858="","",INDEX(Übungen!$B$4:$B$19,MATCH($D858,Übungen!$A$4:$A$19,0))),"")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IFERROR(IF($D859="","",INDEX(Übungen!$B$4:$B$19,MATCH($D859,Übungen!$A$4:$A$19,0))),"")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IFERROR(IF($D860="","",INDEX(Übungen!$B$4:$B$19,MATCH($D860,Übungen!$A$4:$A$19,0))),"")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IFERROR(IF($D861="","",INDEX(Übungen!$B$4:$B$19,MATCH($D861,Übungen!$A$4:$A$19,0))),"")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IFERROR(IF($D862="","",INDEX(Übungen!$B$4:$B$19,MATCH($D862,Übungen!$A$4:$A$19,0))),"")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IFERROR(IF($D863="","",INDEX(Übungen!$B$4:$B$19,MATCH($D863,Übungen!$A$4:$A$19,0))),"")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IFERROR(IF($D864="","",INDEX(Übungen!$B$4:$B$19,MATCH($D864,Übungen!$A$4:$A$19,0))),"")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IFERROR(IF($D865="","",INDEX(Übungen!$B$4:$B$19,MATCH($D865,Übungen!$A$4:$A$19,0))),"")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IFERROR(IF($D866="","",INDEX(Übungen!$B$4:$B$19,MATCH($D866,Übungen!$A$4:$A$19,0))),"")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IFERROR(IF($D867="","",INDEX(Übungen!$B$4:$B$19,MATCH($D867,Übungen!$A$4:$A$19,0))),"")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IFERROR(IF($D868="","",INDEX(Übungen!$B$4:$B$19,MATCH($D868,Übungen!$A$4:$A$19,0))),"")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IFERROR(IF($D869="","",INDEX(Übungen!$B$4:$B$19,MATCH($D869,Übungen!$A$4:$A$19,0))),"")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IFERROR(IF($D870="","",INDEX(Übungen!$B$4:$B$19,MATCH($D870,Übungen!$A$4:$A$19,0))),"")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IFERROR(IF($D871="","",INDEX(Übungen!$B$4:$B$19,MATCH($D871,Übungen!$A$4:$A$19,0))),"")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IFERROR(IF($D872="","",INDEX(Übungen!$B$4:$B$19,MATCH($D872,Übungen!$A$4:$A$19,0))),"")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IFERROR(IF($D873="","",INDEX(Übungen!$B$4:$B$19,MATCH($D873,Übungen!$A$4:$A$19,0))),"")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IFERROR(IF($D874="","",INDEX(Übungen!$B$4:$B$19,MATCH($D874,Übungen!$A$4:$A$19,0))),"")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IFERROR(IF($D875="","",INDEX(Übungen!$B$4:$B$19,MATCH($D875,Übungen!$A$4:$A$19,0))),"")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IFERROR(IF($D876="","",INDEX(Übungen!$B$4:$B$19,MATCH($D876,Übungen!$A$4:$A$19,0))),"")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IFERROR(IF($D877="","",INDEX(Übungen!$B$4:$B$19,MATCH($D877,Übungen!$A$4:$A$19,0))),"")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IFERROR(IF($D878="","",INDEX(Übungen!$B$4:$B$19,MATCH($D878,Übungen!$A$4:$A$19,0))),"")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IFERROR(IF($D879="","",INDEX(Übungen!$B$4:$B$19,MATCH($D879,Übungen!$A$4:$A$19,0))),"")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IFERROR(IF($D880="","",INDEX(Übungen!$B$4:$B$19,MATCH($D880,Übungen!$A$4:$A$19,0))),"")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IFERROR(IF($D881="","",INDEX(Übungen!$B$4:$B$19,MATCH($D881,Übungen!$A$4:$A$19,0))),"")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IFERROR(IF($D882="","",INDEX(Übungen!$B$4:$B$19,MATCH($D882,Übungen!$A$4:$A$19,0))),"")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IFERROR(IF($D883="","",INDEX(Übungen!$B$4:$B$19,MATCH($D883,Übungen!$A$4:$A$19,0))),"")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IFERROR(IF($D884="","",INDEX(Übungen!$B$4:$B$19,MATCH($D884,Übungen!$A$4:$A$19,0))),"")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IFERROR(IF($D885="","",INDEX(Übungen!$B$4:$B$19,MATCH($D885,Übungen!$A$4:$A$19,0))),"")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IFERROR(IF($D886="","",INDEX(Übungen!$B$4:$B$19,MATCH($D886,Übungen!$A$4:$A$19,0))),"")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IFERROR(IF($D887="","",INDEX(Übungen!$B$4:$B$19,MATCH($D887,Übungen!$A$4:$A$19,0))),"")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IFERROR(IF($D888="","",INDEX(Übungen!$B$4:$B$19,MATCH($D888,Übungen!$A$4:$A$19,0))),"")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IFERROR(IF($D889="","",INDEX(Übungen!$B$4:$B$19,MATCH($D889,Übungen!$A$4:$A$19,0))),"")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IFERROR(IF($D890="","",INDEX(Übungen!$B$4:$B$19,MATCH($D890,Übungen!$A$4:$A$19,0))),"")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IFERROR(IF($D891="","",INDEX(Übungen!$B$4:$B$19,MATCH($D891,Übungen!$A$4:$A$19,0))),"")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IFERROR(IF($D892="","",INDEX(Übungen!$B$4:$B$19,MATCH($D892,Übungen!$A$4:$A$19,0))),"")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IFERROR(IF($D893="","",INDEX(Übungen!$B$4:$B$19,MATCH($D893,Übungen!$A$4:$A$19,0))),"")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IFERROR(IF($D894="","",INDEX(Übungen!$B$4:$B$19,MATCH($D894,Übungen!$A$4:$A$19,0))),"")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IFERROR(IF($D895="","",INDEX(Übungen!$B$4:$B$19,MATCH($D895,Übungen!$A$4:$A$19,0))),"")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IFERROR(IF($D896="","",INDEX(Übungen!$B$4:$B$19,MATCH($D896,Übungen!$A$4:$A$19,0))),"")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IFERROR(IF($D897="","",INDEX(Übungen!$B$4:$B$19,MATCH($D897,Übungen!$A$4:$A$19,0))),"")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IFERROR(IF($D898="","",INDEX(Übungen!$B$4:$B$19,MATCH($D898,Übungen!$A$4:$A$19,0))),"")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IFERROR(IF($D899="","",INDEX(Übungen!$B$4:$B$19,MATCH($D899,Übungen!$A$4:$A$19,0))),"")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IFERROR(IF($D900="","",INDEX(Übungen!$B$4:$B$19,MATCH($D900,Übungen!$A$4:$A$19,0))),"")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IFERROR(IF($D901="","",INDEX(Übungen!$B$4:$B$19,MATCH($D901,Übungen!$A$4:$A$19,0))),"")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IFERROR(IF($D902="","",INDEX(Übungen!$B$4:$B$19,MATCH($D902,Übungen!$A$4:$A$19,0))),"")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IFERROR(IF($D903="","",INDEX(Übungen!$B$4:$B$19,MATCH($D903,Übungen!$A$4:$A$19,0))),"")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IFERROR(IF($D904="","",INDEX(Übungen!$B$4:$B$19,MATCH($D904,Übungen!$A$4:$A$19,0))),"")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IFERROR(IF($D905="","",INDEX(Übungen!$B$4:$B$19,MATCH($D905,Übungen!$A$4:$A$19,0))),"")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IFERROR(IF($D906="","",INDEX(Übungen!$B$4:$B$19,MATCH($D906,Übungen!$A$4:$A$19,0))),"")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IFERROR(IF($D907="","",INDEX(Übungen!$B$4:$B$19,MATCH($D907,Übungen!$A$4:$A$19,0))),"")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IFERROR(IF($D908="","",INDEX(Übungen!$B$4:$B$19,MATCH($D908,Übungen!$A$4:$A$19,0))),"")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IFERROR(IF($D909="","",INDEX(Übungen!$B$4:$B$19,MATCH($D909,Übungen!$A$4:$A$19,0))),"")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IFERROR(IF($D910="","",INDEX(Übungen!$B$4:$B$19,MATCH($D910,Übungen!$A$4:$A$19,0))),"")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IFERROR(IF($D911="","",INDEX(Übungen!$B$4:$B$19,MATCH($D911,Übungen!$A$4:$A$19,0))),"")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IFERROR(IF($D912="","",INDEX(Übungen!$B$4:$B$19,MATCH($D912,Übungen!$A$4:$A$19,0))),"")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IFERROR(IF($D913="","",INDEX(Übungen!$B$4:$B$19,MATCH($D913,Übungen!$A$4:$A$19,0))),"")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IFERROR(IF($D914="","",INDEX(Übungen!$B$4:$B$19,MATCH($D914,Übungen!$A$4:$A$19,0))),"")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IFERROR(IF($D915="","",INDEX(Übungen!$B$4:$B$19,MATCH($D915,Übungen!$A$4:$A$19,0))),"")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IFERROR(IF($D916="","",INDEX(Übungen!$B$4:$B$19,MATCH($D916,Übungen!$A$4:$A$19,0))),"")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IFERROR(IF($D917="","",INDEX(Übungen!$B$4:$B$19,MATCH($D917,Übungen!$A$4:$A$19,0))),"")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IFERROR(IF($D918="","",INDEX(Übungen!$B$4:$B$19,MATCH($D918,Übungen!$A$4:$A$19,0))),"")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IFERROR(IF($D919="","",INDEX(Übungen!$B$4:$B$19,MATCH($D919,Übungen!$A$4:$A$19,0))),"")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IFERROR(IF($D920="","",INDEX(Übungen!$B$4:$B$19,MATCH($D920,Übungen!$A$4:$A$19,0))),"")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IFERROR(IF($D921="","",INDEX(Übungen!$B$4:$B$19,MATCH($D921,Übungen!$A$4:$A$19,0))),"")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IFERROR(IF($D922="","",INDEX(Übungen!$B$4:$B$19,MATCH($D922,Übungen!$A$4:$A$19,0))),"")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IFERROR(IF($D923="","",INDEX(Übungen!$B$4:$B$19,MATCH($D923,Übungen!$A$4:$A$19,0))),"")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IFERROR(IF($D924="","",INDEX(Übungen!$B$4:$B$19,MATCH($D924,Übungen!$A$4:$A$19,0))),"")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IFERROR(IF($D925="","",INDEX(Übungen!$B$4:$B$19,MATCH($D925,Übungen!$A$4:$A$19,0))),"")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IFERROR(IF($D926="","",INDEX(Übungen!$B$4:$B$19,MATCH($D926,Übungen!$A$4:$A$19,0))),"")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IFERROR(IF($D927="","",INDEX(Übungen!$B$4:$B$19,MATCH($D927,Übungen!$A$4:$A$19,0))),"")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IFERROR(IF($D928="","",INDEX(Übungen!$B$4:$B$19,MATCH($D928,Übungen!$A$4:$A$19,0))),"")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IFERROR(IF($D929="","",INDEX(Übungen!$B$4:$B$19,MATCH($D929,Übungen!$A$4:$A$19,0))),"")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IFERROR(IF($D930="","",INDEX(Übungen!$B$4:$B$19,MATCH($D930,Übungen!$A$4:$A$19,0))),"")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IFERROR(IF($D931="","",INDEX(Übungen!$B$4:$B$19,MATCH($D931,Übungen!$A$4:$A$19,0))),"")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IFERROR(IF($D932="","",INDEX(Übungen!$B$4:$B$19,MATCH($D932,Übungen!$A$4:$A$19,0))),"")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IFERROR(IF($D933="","",INDEX(Übungen!$B$4:$B$19,MATCH($D933,Übungen!$A$4:$A$19,0))),"")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IFERROR(IF($D934="","",INDEX(Übungen!$B$4:$B$19,MATCH($D934,Übungen!$A$4:$A$19,0))),"")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IFERROR(IF($D935="","",INDEX(Übungen!$B$4:$B$19,MATCH($D935,Übungen!$A$4:$A$19,0))),"")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IFERROR(IF($D936="","",INDEX(Übungen!$B$4:$B$19,MATCH($D936,Übungen!$A$4:$A$19,0))),"")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IFERROR(IF($D937="","",INDEX(Übungen!$B$4:$B$19,MATCH($D937,Übungen!$A$4:$A$19,0))),"")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IFERROR(IF($D938="","",INDEX(Übungen!$B$4:$B$19,MATCH($D938,Übungen!$A$4:$A$19,0))),"")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IFERROR(IF($D939="","",INDEX(Übungen!$B$4:$B$19,MATCH($D939,Übungen!$A$4:$A$19,0))),"")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IFERROR(IF($D940="","",INDEX(Übungen!$B$4:$B$19,MATCH($D940,Übungen!$A$4:$A$19,0))),"")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IFERROR(IF($D941="","",INDEX(Übungen!$B$4:$B$19,MATCH($D941,Übungen!$A$4:$A$19,0))),"")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IFERROR(IF($D942="","",INDEX(Übungen!$B$4:$B$19,MATCH($D942,Übungen!$A$4:$A$19,0))),"")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IFERROR(IF($D943="","",INDEX(Übungen!$B$4:$B$19,MATCH($D943,Übungen!$A$4:$A$19,0))),"")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IFERROR(IF($D944="","",INDEX(Übungen!$B$4:$B$19,MATCH($D944,Übungen!$A$4:$A$19,0))),"")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IFERROR(IF($D945="","",INDEX(Übungen!$B$4:$B$19,MATCH($D945,Übungen!$A$4:$A$19,0))),"")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IFERROR(IF($D946="","",INDEX(Übungen!$B$4:$B$19,MATCH($D946,Übungen!$A$4:$A$19,0))),"")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IFERROR(IF($D947="","",INDEX(Übungen!$B$4:$B$19,MATCH($D947,Übungen!$A$4:$A$19,0))),"")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IFERROR(IF($D948="","",INDEX(Übungen!$B$4:$B$19,MATCH($D948,Übungen!$A$4:$A$19,0))),"")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IFERROR(IF($D949="","",INDEX(Übungen!$B$4:$B$19,MATCH($D949,Übungen!$A$4:$A$19,0))),"")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IFERROR(IF($D950="","",INDEX(Übungen!$B$4:$B$19,MATCH($D950,Übungen!$A$4:$A$19,0))),"")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IFERROR(IF($D951="","",INDEX(Übungen!$B$4:$B$19,MATCH($D951,Übungen!$A$4:$A$19,0))),"")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IFERROR(IF($D952="","",INDEX(Übungen!$B$4:$B$19,MATCH($D952,Übungen!$A$4:$A$19,0))),"")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IFERROR(IF($D953="","",INDEX(Übungen!$B$4:$B$19,MATCH($D953,Übungen!$A$4:$A$19,0))),"")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IFERROR(IF($D954="","",INDEX(Übungen!$B$4:$B$19,MATCH($D954,Übungen!$A$4:$A$19,0))),"")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IFERROR(IF($D955="","",INDEX(Übungen!$B$4:$B$19,MATCH($D955,Übungen!$A$4:$A$19,0))),"")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IFERROR(IF($D956="","",INDEX(Übungen!$B$4:$B$19,MATCH($D956,Übungen!$A$4:$A$19,0))),"")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IFERROR(IF($D957="","",INDEX(Übungen!$B$4:$B$19,MATCH($D957,Übungen!$A$4:$A$19,0))),"")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IFERROR(IF($D958="","",INDEX(Übungen!$B$4:$B$19,MATCH($D958,Übungen!$A$4:$A$19,0))),"")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IFERROR(IF($D959="","",INDEX(Übungen!$B$4:$B$19,MATCH($D959,Übungen!$A$4:$A$19,0))),"")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IFERROR(IF($D960="","",INDEX(Übungen!$B$4:$B$19,MATCH($D960,Übungen!$A$4:$A$19,0))),"")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IFERROR(IF($D961="","",INDEX(Übungen!$B$4:$B$19,MATCH($D961,Übungen!$A$4:$A$19,0))),"")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IFERROR(IF($D962="","",INDEX(Übungen!$B$4:$B$19,MATCH($D962,Übungen!$A$4:$A$19,0))),"")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IFERROR(IF($D963="","",INDEX(Übungen!$B$4:$B$19,MATCH($D963,Übungen!$A$4:$A$19,0))),"")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IFERROR(IF($D964="","",INDEX(Übungen!$B$4:$B$19,MATCH($D964,Übungen!$A$4:$A$19,0))),"")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IFERROR(IF($D965="","",INDEX(Übungen!$B$4:$B$19,MATCH($D965,Übungen!$A$4:$A$19,0))),"")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IFERROR(IF($D966="","",INDEX(Übungen!$B$4:$B$19,MATCH($D966,Übungen!$A$4:$A$19,0))),"")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IFERROR(IF($D967="","",INDEX(Übungen!$B$4:$B$19,MATCH($D967,Übungen!$A$4:$A$19,0))),"")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IFERROR(IF($D968="","",INDEX(Übungen!$B$4:$B$19,MATCH($D968,Übungen!$A$4:$A$19,0))),"")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IFERROR(IF($D969="","",INDEX(Übungen!$B$4:$B$19,MATCH($D969,Übungen!$A$4:$A$19,0))),"")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IFERROR(IF($D970="","",INDEX(Übungen!$B$4:$B$19,MATCH($D970,Übungen!$A$4:$A$19,0))),"")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IFERROR(IF($D971="","",INDEX(Übungen!$B$4:$B$19,MATCH($D971,Übungen!$A$4:$A$19,0))),"")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IFERROR(IF($D972="","",INDEX(Übungen!$B$4:$B$19,MATCH($D972,Übungen!$A$4:$A$19,0))),"")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IFERROR(IF($D973="","",INDEX(Übungen!$B$4:$B$19,MATCH($D973,Übungen!$A$4:$A$19,0))),"")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IFERROR(IF($D974="","",INDEX(Übungen!$B$4:$B$19,MATCH($D974,Übungen!$A$4:$A$19,0))),"")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IFERROR(IF($D975="","",INDEX(Übungen!$B$4:$B$19,MATCH($D975,Übungen!$A$4:$A$19,0))),"")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IFERROR(IF($D976="","",INDEX(Übungen!$B$4:$B$19,MATCH($D976,Übungen!$A$4:$A$19,0))),"")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IFERROR(IF($D977="","",INDEX(Übungen!$B$4:$B$19,MATCH($D977,Übungen!$A$4:$A$19,0))),"")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IFERROR(IF($D978="","",INDEX(Übungen!$B$4:$B$19,MATCH($D978,Übungen!$A$4:$A$19,0))),"")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IFERROR(IF($D979="","",INDEX(Übungen!$B$4:$B$19,MATCH($D979,Übungen!$A$4:$A$19,0))),"")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IFERROR(IF($D980="","",INDEX(Übungen!$B$4:$B$19,MATCH($D980,Übungen!$A$4:$A$19,0))),"")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IFERROR(IF($D981="","",INDEX(Übungen!$B$4:$B$19,MATCH($D981,Übungen!$A$4:$A$19,0))),"")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IFERROR(IF($D982="","",INDEX(Übungen!$B$4:$B$19,MATCH($D982,Übungen!$A$4:$A$19,0))),"")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IFERROR(IF($D983="","",INDEX(Übungen!$B$4:$B$19,MATCH($D983,Übungen!$A$4:$A$19,0))),"")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IFERROR(IF($D984="","",INDEX(Übungen!$B$4:$B$19,MATCH($D984,Übungen!$A$4:$A$19,0))),"")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IFERROR(IF($D985="","",INDEX(Übungen!$B$4:$B$19,MATCH($D985,Übungen!$A$4:$A$19,0))),"")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IFERROR(IF($D986="","",INDEX(Übungen!$B$4:$B$19,MATCH($D986,Übungen!$A$4:$A$19,0))),"")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IFERROR(IF($D987="","",INDEX(Übungen!$B$4:$B$19,MATCH($D987,Übungen!$A$4:$A$19,0))),"")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IFERROR(IF($D988="","",INDEX(Übungen!$B$4:$B$19,MATCH($D988,Übungen!$A$4:$A$19,0))),"")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IFERROR(IF($D989="","",INDEX(Übungen!$B$4:$B$19,MATCH($D989,Übungen!$A$4:$A$19,0))),"")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IFERROR(IF($D990="","",INDEX(Übungen!$B$4:$B$19,MATCH($D990,Übungen!$A$4:$A$19,0))),"")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IFERROR(IF($D991="","",INDEX(Übungen!$B$4:$B$19,MATCH($D991,Übungen!$A$4:$A$19,0))),"")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IFERROR(IF($D992="","",INDEX(Übungen!$B$4:$B$19,MATCH($D992,Übungen!$A$4:$A$19,0))),"")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IFERROR(IF($D993="","",INDEX(Übungen!$B$4:$B$19,MATCH($D993,Übungen!$A$4:$A$19,0))),"")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IFERROR(IF($D994="","",INDEX(Übungen!$B$4:$B$19,MATCH($D994,Übungen!$A$4:$A$19,0))),"")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IFERROR(IF($D995="","",INDEX(Übungen!$B$4:$B$19,MATCH($D995,Übungen!$A$4:$A$19,0))),"")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IFERROR(IF($D996="","",INDEX(Übungen!$B$4:$B$19,MATCH($D996,Übungen!$A$4:$A$19,0))),"")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IFERROR(IF($D997="","",INDEX(Übungen!$B$4:$B$19,MATCH($D997,Übungen!$A$4:$A$19,0))),"")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IFERROR(IF($D998="","",INDEX(Übungen!$B$4:$B$19,MATCH($D998,Übungen!$A$4:$A$19,0))),"")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IFERROR(IF($D999="","",INDEX(Übungen!$B$4:$B$19,MATCH($D999,Übungen!$A$4:$A$19,0))),"")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IFERROR(IF($D1000="","",INDEX(Übungen!$B$4:$B$19,MATCH($D1000,Übungen!$A$4:$A$19,0))),"")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IFERROR(IF($D1001="","",INDEX(Übungen!$B$4:$B$19,MATCH($D1001,Übungen!$A$4:$A$19,0))),"")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IFERROR(IF($D1002="","",INDEX(Übungen!$B$4:$B$19,MATCH($D1002,Übungen!$A$4:$A$19,0))),"")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IFERROR(IF($D1003="","",INDEX(Übungen!$B$4:$B$19,MATCH($D1003,Übungen!$A$4:$A$19,0))),"")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IFERROR(IF($D1004="","",INDEX(Übungen!$B$4:$B$19,MATCH($D1004,Übungen!$A$4:$A$19,0))),"")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IFERROR(IF($D1005="","",INDEX(Übungen!$B$4:$B$19,MATCH($D1005,Übungen!$A$4:$A$19,0))),"")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IFERROR(IF($D1006="","",INDEX(Übungen!$B$4:$B$19,MATCH($D1006,Übungen!$A$4:$A$19,0))),"")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IFERROR(IF($D1007="","",INDEX(Übungen!$B$4:$B$19,MATCH($D1007,Übungen!$A$4:$A$19,0))),"")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IFERROR(IF($D1008="","",INDEX(Übungen!$B$4:$B$19,MATCH($D1008,Übungen!$A$4:$A$19,0))),"")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IFERROR(IF($D1009="","",INDEX(Übungen!$B$4:$B$19,MATCH($D1009,Übungen!$A$4:$A$19,0))),"")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IFERROR(IF($D1010="","",INDEX(Übungen!$B$4:$B$19,MATCH($D1010,Übungen!$A$4:$A$19,0))),"")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IFERROR(IF($D1011="","",INDEX(Übungen!$B$4:$B$19,MATCH($D1011,Übungen!$A$4:$A$19,0))),"")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IFERROR(IF($D1012="","",INDEX(Übungen!$B$4:$B$19,MATCH($D1012,Übungen!$A$4:$A$19,0))),"")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IFERROR(IF($D1013="","",INDEX(Übungen!$B$4:$B$19,MATCH($D1013,Übungen!$A$4:$A$19,0))),"")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IFERROR(IF($D1014="","",INDEX(Übungen!$B$4:$B$19,MATCH($D1014,Übungen!$A$4:$A$19,0))),"")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IFERROR(IF($D1015="","",INDEX(Übungen!$B$4:$B$19,MATCH($D1015,Übungen!$A$4:$A$19,0))),"")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IFERROR(IF($D1016="","",INDEX(Übungen!$B$4:$B$19,MATCH($D1016,Übungen!$A$4:$A$19,0))),"")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IFERROR(IF($D1017="","",INDEX(Übungen!$B$4:$B$19,MATCH($D1017,Übungen!$A$4:$A$19,0))),"")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IFERROR(IF($D1018="","",INDEX(Übungen!$B$4:$B$19,MATCH($D1018,Übungen!$A$4:$A$19,0))),"")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IFERROR(IF($D1019="","",INDEX(Übungen!$B$4:$B$19,MATCH($D1019,Übungen!$A$4:$A$19,0))),"")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IFERROR(IF($D1020="","",INDEX(Übungen!$B$4:$B$19,MATCH($D1020,Übungen!$A$4:$A$19,0))),"")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IFERROR(IF($D1021="","",INDEX(Übungen!$B$4:$B$19,MATCH($D1021,Übungen!$A$4:$A$19,0))),"")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IFERROR(IF($D1022="","",INDEX(Übungen!$B$4:$B$19,MATCH($D1022,Übungen!$A$4:$A$19,0))),"")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IFERROR(IF($D1023="","",INDEX(Übungen!$B$4:$B$19,MATCH($D1023,Übungen!$A$4:$A$19,0))),"")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IFERROR(IF($D1024="","",INDEX(Übungen!$B$4:$B$19,MATCH($D1024,Übungen!$A$4:$A$19,0))),"")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IFERROR(IF($D1025="","",INDEX(Übungen!$B$4:$B$19,MATCH($D1025,Übungen!$A$4:$A$19,0))),"")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IFERROR(IF($D1026="","",INDEX(Übungen!$B$4:$B$19,MATCH($D1026,Übungen!$A$4:$A$19,0))),"")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IFERROR(IF($D1027="","",INDEX(Übungen!$B$4:$B$19,MATCH($D1027,Übungen!$A$4:$A$19,0))),"")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IFERROR(IF($D1028="","",INDEX(Übungen!$B$4:$B$19,MATCH($D1028,Übungen!$A$4:$A$19,0))),"")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IFERROR(IF($D1029="","",INDEX(Übungen!$B$4:$B$19,MATCH($D1029,Übungen!$A$4:$A$19,0))),"")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IFERROR(IF($D1030="","",INDEX(Übungen!$B$4:$B$19,MATCH($D1030,Übungen!$A$4:$A$19,0))),"")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IFERROR(IF($D1031="","",INDEX(Übungen!$B$4:$B$19,MATCH($D1031,Übungen!$A$4:$A$19,0))),"")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IFERROR(IF($D1032="","",INDEX(Übungen!$B$4:$B$19,MATCH($D1032,Übungen!$A$4:$A$19,0))),"")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IFERROR(IF($D1033="","",INDEX(Übungen!$B$4:$B$19,MATCH($D1033,Übungen!$A$4:$A$19,0))),"")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IFERROR(IF($D1034="","",INDEX(Übungen!$B$4:$B$19,MATCH($D1034,Übungen!$A$4:$A$19,0))),"")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IFERROR(IF($D1035="","",INDEX(Übungen!$B$4:$B$19,MATCH($D1035,Übungen!$A$4:$A$19,0))),"")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IFERROR(IF($D1036="","",INDEX(Übungen!$B$4:$B$19,MATCH($D1036,Übungen!$A$4:$A$19,0))),"")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IFERROR(IF($D1037="","",INDEX(Übungen!$B$4:$B$19,MATCH($D1037,Übungen!$A$4:$A$19,0))),"")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IFERROR(IF($D1038="","",INDEX(Übungen!$B$4:$B$19,MATCH($D1038,Übungen!$A$4:$A$19,0))),"")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IFERROR(IF($D1039="","",INDEX(Übungen!$B$4:$B$19,MATCH($D1039,Übungen!$A$4:$A$19,0))),"")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IFERROR(IF($D1040="","",INDEX(Übungen!$B$4:$B$19,MATCH($D1040,Übungen!$A$4:$A$19,0))),"")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IFERROR(IF($D1041="","",INDEX(Übungen!$B$4:$B$19,MATCH($D1041,Übungen!$A$4:$A$19,0))),"")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IFERROR(IF($D1042="","",INDEX(Übungen!$B$4:$B$19,MATCH($D1042,Übungen!$A$4:$A$19,0))),"")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IFERROR(IF($D1043="","",INDEX(Übungen!$B$4:$B$19,MATCH($D1043,Übungen!$A$4:$A$19,0))),"")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IFERROR(IF($D1044="","",INDEX(Übungen!$B$4:$B$19,MATCH($D1044,Übungen!$A$4:$A$19,0))),"")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IFERROR(IF($D1045="","",INDEX(Übungen!$B$4:$B$19,MATCH($D1045,Übungen!$A$4:$A$19,0))),"")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IFERROR(IF($D1046="","",INDEX(Übungen!$B$4:$B$19,MATCH($D1046,Übungen!$A$4:$A$19,0))),"")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IFERROR(IF($D1047="","",INDEX(Übungen!$B$4:$B$19,MATCH($D1047,Übungen!$A$4:$A$19,0))),"")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IFERROR(IF($D1048="","",INDEX(Übungen!$B$4:$B$19,MATCH($D1048,Übungen!$A$4:$A$19,0))),"")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IFERROR(IF($D1049="","",INDEX(Übungen!$B$4:$B$19,MATCH($D1049,Übungen!$A$4:$A$19,0))),"")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IFERROR(IF($D1050="","",INDEX(Übungen!$B$4:$B$19,MATCH($D1050,Übungen!$A$4:$A$19,0))),"")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IFERROR(IF($D1051="","",INDEX(Übungen!$B$4:$B$19,MATCH($D1051,Übungen!$A$4:$A$19,0))),"")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IFERROR(IF($D1052="","",INDEX(Übungen!$B$4:$B$19,MATCH($D1052,Übungen!$A$4:$A$19,0))),"")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IFERROR(IF($D1053="","",INDEX(Übungen!$B$4:$B$19,MATCH($D1053,Übungen!$A$4:$A$19,0))),"")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IFERROR(IF($D1054="","",INDEX(Übungen!$B$4:$B$19,MATCH($D1054,Übungen!$A$4:$A$19,0))),"")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IFERROR(IF($D1055="","",INDEX(Übungen!$B$4:$B$19,MATCH($D1055,Übungen!$A$4:$A$19,0))),"")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IFERROR(IF($D1056="","",INDEX(Übungen!$B$4:$B$19,MATCH($D1056,Übungen!$A$4:$A$19,0))),"")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IFERROR(IF($D1057="","",INDEX(Übungen!$B$4:$B$19,MATCH($D1057,Übungen!$A$4:$A$19,0))),"")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IFERROR(IF($D1058="","",INDEX(Übungen!$B$4:$B$19,MATCH($D1058,Übungen!$A$4:$A$19,0))),"")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IFERROR(IF($D1059="","",INDEX(Übungen!$B$4:$B$19,MATCH($D1059,Übungen!$A$4:$A$19,0))),"")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IFERROR(IF($D1060="","",INDEX(Übungen!$B$4:$B$19,MATCH($D1060,Übungen!$A$4:$A$19,0))),"")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IFERROR(IF($D1061="","",INDEX(Übungen!$B$4:$B$19,MATCH($D1061,Übungen!$A$4:$A$19,0))),"")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IFERROR(IF($D1062="","",INDEX(Übungen!$B$4:$B$19,MATCH($D1062,Übungen!$A$4:$A$19,0))),"")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IFERROR(IF($D1063="","",INDEX(Übungen!$B$4:$B$19,MATCH($D1063,Übungen!$A$4:$A$19,0))),"")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IFERROR(IF($D1064="","",INDEX(Übungen!$B$4:$B$19,MATCH($D1064,Übungen!$A$4:$A$19,0))),"")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IFERROR(IF($D1065="","",INDEX(Übungen!$B$4:$B$19,MATCH($D1065,Übungen!$A$4:$A$19,0))),"")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IFERROR(IF($D1066="","",INDEX(Übungen!$B$4:$B$19,MATCH($D1066,Übungen!$A$4:$A$19,0))),"")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IFERROR(IF($D1067="","",INDEX(Übungen!$B$4:$B$19,MATCH($D1067,Übungen!$A$4:$A$19,0))),"")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IFERROR(IF($D1068="","",INDEX(Übungen!$B$4:$B$19,MATCH($D1068,Übungen!$A$4:$A$19,0))),"")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IFERROR(IF($D1069="","",INDEX(Übungen!$B$4:$B$19,MATCH($D1069,Übungen!$A$4:$A$19,0))),"")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IFERROR(IF($D1070="","",INDEX(Übungen!$B$4:$B$19,MATCH($D1070,Übungen!$A$4:$A$19,0))),"")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IFERROR(IF($D1071="","",INDEX(Übungen!$B$4:$B$19,MATCH($D1071,Übungen!$A$4:$A$19,0))),"")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IFERROR(IF($D1072="","",INDEX(Übungen!$B$4:$B$19,MATCH($D1072,Übungen!$A$4:$A$19,0))),"")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IFERROR(IF($D1073="","",INDEX(Übungen!$B$4:$B$19,MATCH($D1073,Übungen!$A$4:$A$19,0))),"")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IFERROR(IF($D1074="","",INDEX(Übungen!$B$4:$B$19,MATCH($D1074,Übungen!$A$4:$A$19,0))),"")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IFERROR(IF($D1075="","",INDEX(Übungen!$B$4:$B$19,MATCH($D1075,Übungen!$A$4:$A$19,0))),"")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IFERROR(IF($D1076="","",INDEX(Übungen!$B$4:$B$19,MATCH($D1076,Übungen!$A$4:$A$19,0))),"")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IFERROR(IF($D1077="","",INDEX(Übungen!$B$4:$B$19,MATCH($D1077,Übungen!$A$4:$A$19,0))),"")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IFERROR(IF($D1078="","",INDEX(Übungen!$B$4:$B$19,MATCH($D1078,Übungen!$A$4:$A$19,0))),"")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IFERROR(IF($D1079="","",INDEX(Übungen!$B$4:$B$19,MATCH($D1079,Übungen!$A$4:$A$19,0))),"")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IFERROR(IF($D1080="","",INDEX(Übungen!$B$4:$B$19,MATCH($D1080,Übungen!$A$4:$A$19,0))),"")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IFERROR(IF($D1081="","",INDEX(Übungen!$B$4:$B$19,MATCH($D1081,Übungen!$A$4:$A$19,0))),"")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IFERROR(IF($D1082="","",INDEX(Übungen!$B$4:$B$19,MATCH($D1082,Übungen!$A$4:$A$19,0))),"")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IFERROR(IF($D1083="","",INDEX(Übungen!$B$4:$B$19,MATCH($D1083,Übungen!$A$4:$A$19,0))),"")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IFERROR(IF($D1084="","",INDEX(Übungen!$B$4:$B$19,MATCH($D1084,Übungen!$A$4:$A$19,0))),"")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IFERROR(IF($D1085="","",INDEX(Übungen!$B$4:$B$19,MATCH($D1085,Übungen!$A$4:$A$19,0))),"")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IFERROR(IF($D1086="","",INDEX(Übungen!$B$4:$B$19,MATCH($D1086,Übungen!$A$4:$A$19,0))),"")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IFERROR(IF($D1087="","",INDEX(Übungen!$B$4:$B$19,MATCH($D1087,Übungen!$A$4:$A$19,0))),"")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IFERROR(IF($D1088="","",INDEX(Übungen!$B$4:$B$19,MATCH($D1088,Übungen!$A$4:$A$19,0))),"")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IFERROR(IF($D1089="","",INDEX(Übungen!$B$4:$B$19,MATCH($D1089,Übungen!$A$4:$A$19,0))),"")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IFERROR(IF($D1090="","",INDEX(Übungen!$B$4:$B$19,MATCH($D1090,Übungen!$A$4:$A$19,0))),"")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IFERROR(IF($D1091="","",INDEX(Übungen!$B$4:$B$19,MATCH($D1091,Übungen!$A$4:$A$19,0))),"")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IFERROR(IF($D1092="","",INDEX(Übungen!$B$4:$B$19,MATCH($D1092,Übungen!$A$4:$A$19,0))),"")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IFERROR(IF($D1093="","",INDEX(Übungen!$B$4:$B$19,MATCH($D1093,Übungen!$A$4:$A$19,0))),"")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IFERROR(IF($D1094="","",INDEX(Übungen!$B$4:$B$19,MATCH($D1094,Übungen!$A$4:$A$19,0))),"")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IFERROR(IF($D1095="","",INDEX(Übungen!$B$4:$B$19,MATCH($D1095,Übungen!$A$4:$A$19,0))),"")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IFERROR(IF($D1096="","",INDEX(Übungen!$B$4:$B$19,MATCH($D1096,Übungen!$A$4:$A$19,0))),"")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IFERROR(IF($D1097="","",INDEX(Übungen!$B$4:$B$19,MATCH($D1097,Übungen!$A$4:$A$19,0))),"")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IFERROR(IF($D1098="","",INDEX(Übungen!$B$4:$B$19,MATCH($D1098,Übungen!$A$4:$A$19,0))),"")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IFERROR(IF($D1099="","",INDEX(Übungen!$B$4:$B$19,MATCH($D1099,Übungen!$A$4:$A$19,0))),"")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IFERROR(IF($D1100="","",INDEX(Übungen!$B$4:$B$19,MATCH($D1100,Übungen!$A$4:$A$19,0))),"")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IFERROR(IF($D1101="","",INDEX(Übungen!$B$4:$B$19,MATCH($D1101,Übungen!$A$4:$A$19,0))),"")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IFERROR(IF($D1102="","",INDEX(Übungen!$B$4:$B$19,MATCH($D1102,Übungen!$A$4:$A$19,0))),"")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IFERROR(IF($D1103="","",INDEX(Übungen!$B$4:$B$19,MATCH($D1103,Übungen!$A$4:$A$19,0))),"")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IFERROR(IF($D1104="","",INDEX(Übungen!$B$4:$B$19,MATCH($D1104,Übungen!$A$4:$A$19,0))),"")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IFERROR(IF($D1105="","",INDEX(Übungen!$B$4:$B$19,MATCH($D1105,Übungen!$A$4:$A$19,0))),"")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IFERROR(IF($D1106="","",INDEX(Übungen!$B$4:$B$19,MATCH($D1106,Übungen!$A$4:$A$19,0))),"")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IFERROR(IF($D1107="","",INDEX(Übungen!$B$4:$B$19,MATCH($D1107,Übungen!$A$4:$A$19,0))),"")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IFERROR(IF($D1108="","",INDEX(Übungen!$B$4:$B$19,MATCH($D1108,Übungen!$A$4:$A$19,0))),"")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IFERROR(IF($D1109="","",INDEX(Übungen!$B$4:$B$19,MATCH($D1109,Übungen!$A$4:$A$19,0))),"")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IFERROR(IF($D1110="","",INDEX(Übungen!$B$4:$B$19,MATCH($D1110,Übungen!$A$4:$A$19,0))),"")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IFERROR(IF($D1111="","",INDEX(Übungen!$B$4:$B$19,MATCH($D1111,Übungen!$A$4:$A$19,0))),"")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IFERROR(IF($D1112="","",INDEX(Übungen!$B$4:$B$19,MATCH($D1112,Übungen!$A$4:$A$19,0))),"")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IFERROR(IF($D1113="","",INDEX(Übungen!$B$4:$B$19,MATCH($D1113,Übungen!$A$4:$A$19,0))),"")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IFERROR(IF($D1114="","",INDEX(Übungen!$B$4:$B$19,MATCH($D1114,Übungen!$A$4:$A$19,0))),"")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IFERROR(IF($D1115="","",INDEX(Übungen!$B$4:$B$19,MATCH($D1115,Übungen!$A$4:$A$19,0))),"")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IFERROR(IF($D1116="","",INDEX(Übungen!$B$4:$B$19,MATCH($D1116,Übungen!$A$4:$A$19,0))),"")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IFERROR(IF($D1117="","",INDEX(Übungen!$B$4:$B$19,MATCH($D1117,Übungen!$A$4:$A$19,0))),"")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IFERROR(IF($D1118="","",INDEX(Übungen!$B$4:$B$19,MATCH($D1118,Übungen!$A$4:$A$19,0))),"")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IFERROR(IF($D1119="","",INDEX(Übungen!$B$4:$B$19,MATCH($D1119,Übungen!$A$4:$A$19,0))),"")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IFERROR(IF($D1120="","",INDEX(Übungen!$B$4:$B$19,MATCH($D1120,Übungen!$A$4:$A$19,0))),"")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IFERROR(IF($D1121="","",INDEX(Übungen!$B$4:$B$19,MATCH($D1121,Übungen!$A$4:$A$19,0))),"")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IFERROR(IF($D1122="","",INDEX(Übungen!$B$4:$B$19,MATCH($D1122,Übungen!$A$4:$A$19,0))),"")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IFERROR(IF($D1123="","",INDEX(Übungen!$B$4:$B$19,MATCH($D1123,Übungen!$A$4:$A$19,0))),"")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IFERROR(IF($D1124="","",INDEX(Übungen!$B$4:$B$19,MATCH($D1124,Übungen!$A$4:$A$19,0))),"")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IFERROR(IF($D1125="","",INDEX(Übungen!$B$4:$B$19,MATCH($D1125,Übungen!$A$4:$A$19,0))),"")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IFERROR(IF($D1126="","",INDEX(Übungen!$B$4:$B$19,MATCH($D1126,Übungen!$A$4:$A$19,0))),"")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IFERROR(IF($D1127="","",INDEX(Übungen!$B$4:$B$19,MATCH($D1127,Übungen!$A$4:$A$19,0))),"")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IFERROR(IF($D1128="","",INDEX(Übungen!$B$4:$B$19,MATCH($D1128,Übungen!$A$4:$A$19,0))),"")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IFERROR(IF($D1129="","",INDEX(Übungen!$B$4:$B$19,MATCH($D1129,Übungen!$A$4:$A$19,0))),"")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IFERROR(IF($D1130="","",INDEX(Übungen!$B$4:$B$19,MATCH($D1130,Übungen!$A$4:$A$19,0))),"")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IFERROR(IF($D1131="","",INDEX(Übungen!$B$4:$B$19,MATCH($D1131,Übungen!$A$4:$A$19,0))),"")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IFERROR(IF($D1132="","",INDEX(Übungen!$B$4:$B$19,MATCH($D1132,Übungen!$A$4:$A$19,0))),"")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IFERROR(IF($D1133="","",INDEX(Übungen!$B$4:$B$19,MATCH($D1133,Übungen!$A$4:$A$19,0))),"")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IFERROR(IF($D1134="","",INDEX(Übungen!$B$4:$B$19,MATCH($D1134,Übungen!$A$4:$A$19,0))),"")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IFERROR(IF($D1135="","",INDEX(Übungen!$B$4:$B$19,MATCH($D1135,Übungen!$A$4:$A$19,0))),"")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IFERROR(IF($D1136="","",INDEX(Übungen!$B$4:$B$19,MATCH($D1136,Übungen!$A$4:$A$19,0))),"")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IFERROR(IF($D1137="","",INDEX(Übungen!$B$4:$B$19,MATCH($D1137,Übungen!$A$4:$A$19,0))),"")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IFERROR(IF($D1138="","",INDEX(Übungen!$B$4:$B$19,MATCH($D1138,Übungen!$A$4:$A$19,0))),"")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IFERROR(IF($D1139="","",INDEX(Übungen!$B$4:$B$19,MATCH($D1139,Übungen!$A$4:$A$19,0))),"")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IFERROR(IF($D1140="","",INDEX(Übungen!$B$4:$B$19,MATCH($D1140,Übungen!$A$4:$A$19,0))),"")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IFERROR(IF($D1141="","",INDEX(Übungen!$B$4:$B$19,MATCH($D1141,Übungen!$A$4:$A$19,0))),"")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IFERROR(IF($D1142="","",INDEX(Übungen!$B$4:$B$19,MATCH($D1142,Übungen!$A$4:$A$19,0))),"")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IFERROR(IF($D1143="","",INDEX(Übungen!$B$4:$B$19,MATCH($D1143,Übungen!$A$4:$A$19,0))),"")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IFERROR(IF($D1144="","",INDEX(Übungen!$B$4:$B$19,MATCH($D1144,Übungen!$A$4:$A$19,0))),"")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IFERROR(IF($D1145="","",INDEX(Übungen!$B$4:$B$19,MATCH($D1145,Übungen!$A$4:$A$19,0))),"")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IFERROR(IF($D1146="","",INDEX(Übungen!$B$4:$B$19,MATCH($D1146,Übungen!$A$4:$A$19,0))),"")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IFERROR(IF($D1147="","",INDEX(Übungen!$B$4:$B$19,MATCH($D1147,Übungen!$A$4:$A$19,0))),"")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IFERROR(IF($D1148="","",INDEX(Übungen!$B$4:$B$19,MATCH($D1148,Übungen!$A$4:$A$19,0))),"")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IFERROR(IF($D1149="","",INDEX(Übungen!$B$4:$B$19,MATCH($D1149,Übungen!$A$4:$A$19,0))),"")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IFERROR(IF($D1150="","",INDEX(Übungen!$B$4:$B$19,MATCH($D1150,Übungen!$A$4:$A$19,0))),"")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IFERROR(IF($D1151="","",INDEX(Übungen!$B$4:$B$19,MATCH($D1151,Übungen!$A$4:$A$19,0))),"")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IFERROR(IF($D1152="","",INDEX(Übungen!$B$4:$B$19,MATCH($D1152,Übungen!$A$4:$A$19,0))),"")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IFERROR(IF($D1153="","",INDEX(Übungen!$B$4:$B$19,MATCH($D1153,Übungen!$A$4:$A$19,0))),"")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IFERROR(IF($D1154="","",INDEX(Übungen!$B$4:$B$19,MATCH($D1154,Übungen!$A$4:$A$19,0))),"")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IFERROR(IF($D1155="","",INDEX(Übungen!$B$4:$B$19,MATCH($D1155,Übungen!$A$4:$A$19,0))),"")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IFERROR(IF($D1156="","",INDEX(Übungen!$B$4:$B$19,MATCH($D1156,Übungen!$A$4:$A$19,0))),"")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IFERROR(IF($D1157="","",INDEX(Übungen!$B$4:$B$19,MATCH($D1157,Übungen!$A$4:$A$19,0))),"")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IFERROR(IF($D1158="","",INDEX(Übungen!$B$4:$B$19,MATCH($D1158,Übungen!$A$4:$A$19,0))),"")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IFERROR(IF($D1159="","",INDEX(Übungen!$B$4:$B$19,MATCH($D1159,Übungen!$A$4:$A$19,0))),"")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IFERROR(IF($D1160="","",INDEX(Übungen!$B$4:$B$19,MATCH($D1160,Übungen!$A$4:$A$19,0))),"")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IFERROR(IF($D1161="","",INDEX(Übungen!$B$4:$B$19,MATCH($D1161,Übungen!$A$4:$A$19,0))),"")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IFERROR(IF($D1162="","",INDEX(Übungen!$B$4:$B$19,MATCH($D1162,Übungen!$A$4:$A$19,0))),"")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IFERROR(IF($D1163="","",INDEX(Übungen!$B$4:$B$19,MATCH($D1163,Übungen!$A$4:$A$19,0))),"")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IFERROR(IF($D1164="","",INDEX(Übungen!$B$4:$B$19,MATCH($D1164,Übungen!$A$4:$A$19,0))),"")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IFERROR(IF($D1165="","",INDEX(Übungen!$B$4:$B$19,MATCH($D1165,Übungen!$A$4:$A$19,0))),"")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IFERROR(IF($D1166="","",INDEX(Übungen!$B$4:$B$19,MATCH($D1166,Übungen!$A$4:$A$19,0))),"")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IFERROR(IF($D1167="","",INDEX(Übungen!$B$4:$B$19,MATCH($D1167,Übungen!$A$4:$A$19,0))),"")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IFERROR(IF($D1168="","",INDEX(Übungen!$B$4:$B$19,MATCH($D1168,Übungen!$A$4:$A$19,0))),"")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IFERROR(IF($D1169="","",INDEX(Übungen!$B$4:$B$19,MATCH($D1169,Übungen!$A$4:$A$19,0))),"")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IFERROR(IF($D1170="","",INDEX(Übungen!$B$4:$B$19,MATCH($D1170,Übungen!$A$4:$A$19,0))),"")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IFERROR(IF($D1171="","",INDEX(Übungen!$B$4:$B$19,MATCH($D1171,Übungen!$A$4:$A$19,0))),"")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IFERROR(IF($D1172="","",INDEX(Übungen!$B$4:$B$19,MATCH($D1172,Übungen!$A$4:$A$19,0))),"")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IFERROR(IF($D1173="","",INDEX(Übungen!$B$4:$B$19,MATCH($D1173,Übungen!$A$4:$A$19,0))),"")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IFERROR(IF($D1174="","",INDEX(Übungen!$B$4:$B$19,MATCH($D1174,Übungen!$A$4:$A$19,0))),"")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IFERROR(IF($D1175="","",INDEX(Übungen!$B$4:$B$19,MATCH($D1175,Übungen!$A$4:$A$19,0))),"")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IFERROR(IF($D1176="","",INDEX(Übungen!$B$4:$B$19,MATCH($D1176,Übungen!$A$4:$A$19,0))),"")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IFERROR(IF($D1177="","",INDEX(Übungen!$B$4:$B$19,MATCH($D1177,Übungen!$A$4:$A$19,0))),"")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IFERROR(IF($D1178="","",INDEX(Übungen!$B$4:$B$19,MATCH($D1178,Übungen!$A$4:$A$19,0))),"")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IFERROR(IF($D1179="","",INDEX(Übungen!$B$4:$B$19,MATCH($D1179,Übungen!$A$4:$A$19,0))),"")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IFERROR(IF($D1180="","",INDEX(Übungen!$B$4:$B$19,MATCH($D1180,Übungen!$A$4:$A$19,0))),"")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IFERROR(IF($D1181="","",INDEX(Übungen!$B$4:$B$19,MATCH($D1181,Übungen!$A$4:$A$19,0))),"")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IFERROR(IF($D1182="","",INDEX(Übungen!$B$4:$B$19,MATCH($D1182,Übungen!$A$4:$A$19,0))),"")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IFERROR(IF($D1183="","",INDEX(Übungen!$B$4:$B$19,MATCH($D1183,Übungen!$A$4:$A$19,0))),"")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IFERROR(IF($D1184="","",INDEX(Übungen!$B$4:$B$19,MATCH($D1184,Übungen!$A$4:$A$19,0))),"")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IFERROR(IF($D1185="","",INDEX(Übungen!$B$4:$B$19,MATCH($D1185,Übungen!$A$4:$A$19,0))),"")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IFERROR(IF($D1186="","",INDEX(Übungen!$B$4:$B$19,MATCH($D1186,Übungen!$A$4:$A$19,0))),"")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IFERROR(IF($D1187="","",INDEX(Übungen!$B$4:$B$19,MATCH($D1187,Übungen!$A$4:$A$19,0))),"")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IFERROR(IF($D1188="","",INDEX(Übungen!$B$4:$B$19,MATCH($D1188,Übungen!$A$4:$A$19,0))),"")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IFERROR(IF($D1189="","",INDEX(Übungen!$B$4:$B$19,MATCH($D1189,Übungen!$A$4:$A$19,0))),"")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IFERROR(IF($D1190="","",INDEX(Übungen!$B$4:$B$19,MATCH($D1190,Übungen!$A$4:$A$19,0))),"")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IFERROR(IF($D1191="","",INDEX(Übungen!$B$4:$B$19,MATCH($D1191,Übungen!$A$4:$A$19,0))),"")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IFERROR(IF($D1192="","",INDEX(Übungen!$B$4:$B$19,MATCH($D1192,Übungen!$A$4:$A$19,0))),"")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IFERROR(IF($D1193="","",INDEX(Übungen!$B$4:$B$19,MATCH($D1193,Übungen!$A$4:$A$19,0))),"")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IFERROR(IF($D1194="","",INDEX(Übungen!$B$4:$B$19,MATCH($D1194,Übungen!$A$4:$A$19,0))),"")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IFERROR(IF($D1195="","",INDEX(Übungen!$B$4:$B$19,MATCH($D1195,Übungen!$A$4:$A$19,0))),"")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IFERROR(IF($D1196="","",INDEX(Übungen!$B$4:$B$19,MATCH($D1196,Übungen!$A$4:$A$19,0))),"")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IFERROR(IF($D1197="","",INDEX(Übungen!$B$4:$B$19,MATCH($D1197,Übungen!$A$4:$A$19,0))),"")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IFERROR(IF($D1198="","",INDEX(Übungen!$B$4:$B$19,MATCH($D1198,Übungen!$A$4:$A$19,0))),"")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IFERROR(IF($D1199="","",INDEX(Übungen!$B$4:$B$19,MATCH($D1199,Übungen!$A$4:$A$19,0))),"")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IFERROR(IF($D1200="","",INDEX(Übungen!$B$4:$B$19,MATCH($D1200,Übungen!$A$4:$A$19,0))),"")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IFERROR(IF($D1201="","",INDEX(Übungen!$B$4:$B$19,MATCH($D1201,Übungen!$A$4:$A$19,0))),"")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IFERROR(IF($D1202="","",INDEX(Übungen!$B$4:$B$19,MATCH($D1202,Übungen!$A$4:$A$19,0))),"")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IFERROR(IF($D1203="","",INDEX(Übungen!$B$4:$B$19,MATCH($D1203,Übungen!$A$4:$A$19,0))),"")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317</v>
      </c>
      <c r="B1" s="1"/>
      <c r="C1" s="1"/>
      <c r="D1" s="1"/>
      <c r="E1" s="1"/>
      <c r="F1" s="1"/>
      <c r="G1" s="1"/>
      <c r="H1" s="1"/>
      <c r="I1" s="1"/>
      <c r="J1" s="1"/>
      <c r="K1" s="1"/>
      <c r="L1" s="1"/>
      <c r="M1" s="1"/>
      <c r="N1" s="1"/>
      <c r="O1" s="1"/>
      <c r="P1" s="1"/>
      <c r="Q1" s="1"/>
      <c r="R1" s="1"/>
    </row>
    <row r="2" customFormat="false" ht="15" hidden="false" customHeight="true" outlineLevel="0" collapsed="false">
      <c r="A2" s="2" t="s">
        <v>318</v>
      </c>
      <c r="B2" s="2"/>
      <c r="C2" s="2"/>
      <c r="D2" s="2"/>
      <c r="E2" s="2"/>
      <c r="F2" s="2"/>
      <c r="G2" s="2"/>
      <c r="H2" s="2"/>
      <c r="I2" s="2"/>
      <c r="J2" s="2"/>
      <c r="K2" s="2"/>
      <c r="L2" s="2"/>
      <c r="M2" s="2"/>
      <c r="N2" s="2"/>
      <c r="O2" s="2"/>
      <c r="P2" s="2"/>
      <c r="Q2" s="2"/>
      <c r="R2" s="2"/>
    </row>
    <row r="3" customFormat="false" ht="18" hidden="false" customHeight="true" outlineLevel="0" collapsed="false">
      <c r="A3" s="21" t="s">
        <v>319</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320</v>
      </c>
      <c r="B4" s="3"/>
      <c r="C4" s="3"/>
      <c r="D4" s="3"/>
      <c r="E4" s="3"/>
      <c r="F4" s="3"/>
      <c r="G4" s="3"/>
      <c r="H4" s="3"/>
      <c r="I4" s="3"/>
      <c r="J4" s="3"/>
      <c r="K4" s="3"/>
      <c r="L4" s="3"/>
      <c r="M4" s="3"/>
      <c r="N4" s="3"/>
      <c r="O4" s="3"/>
      <c r="P4" s="3"/>
      <c r="Q4" s="3"/>
      <c r="R4" s="3"/>
    </row>
    <row r="5" customFormat="false" ht="21.75" hidden="false" customHeight="true" outlineLevel="0" collapsed="false">
      <c r="A5" s="25" t="s">
        <v>97</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321</v>
      </c>
    </row>
    <row r="6" customFormat="false" ht="16.5" hidden="false" customHeight="true" outlineLevel="0" collapsed="false">
      <c r="A6" s="26" t="str">
        <f aca="false">IF(Übungen!$A4="","",Übungen!$A4)</f>
        <v>Beinpresse eng</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n">
        <f aca="false">IF($A6="","",IF(SUMIFS(Log!$I$4:$I$1203,Log!$D$4:$D$1203,$A6,Log!$B$4:$B$1203,I$5,Log!$E$4:$E$1203,"A")=0,"",SUMIFS(Log!$I$4:$I$1203,Log!$D$4:$D$1203,$A6,Log!$B$4:$B$1203,I$5,Log!$E$4:$E$1203,"A")))</f>
        <v>7752</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20876</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n">
        <f aca="false">IF($A7="","",IF(SUMIFS(Log!$I$4:$I$1203,Log!$D$4:$D$1203,$A7,Log!$B$4:$B$1203,I$5,Log!$E$4:$E$1203,"A")=0,"",SUMIFS(Log!$I$4:$I$1203,Log!$D$4:$D$1203,$A7,Log!$B$4:$B$1203,I$5,Log!$E$4:$E$1203,"A")))</f>
        <v>2035</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13595</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n">
        <f aca="false">IF($A8="","",IF(SUMIFS(Log!$I$4:$I$1203,Log!$D$4:$D$1203,$A8,Log!$B$4:$B$1203,I$5,Log!$E$4:$E$1203,"A")=0,"",SUMIFS(Log!$I$4:$I$1203,Log!$D$4:$D$1203,$A8,Log!$B$4:$B$1203,I$5,Log!$E$4:$E$1203,"A")))</f>
        <v>1920</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11025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n">
        <f aca="false">IF($A9="","",IF(SUMIFS(Log!$I$4:$I$1203,Log!$D$4:$D$1203,$A9,Log!$B$4:$B$1203,I$5,Log!$E$4:$E$1203,"A")=0,"",SUMIFS(Log!$I$4:$I$1203,Log!$D$4:$D$1203,$A9,Log!$B$4:$B$1203,I$5,Log!$E$4:$E$1203,"A")))</f>
        <v>3146.5</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30398</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n">
        <f aca="false">IF($A10="","",IF(SUMIFS(Log!$I$4:$I$1203,Log!$D$4:$D$1203,$A10,Log!$B$4:$B$1203,H$5,Log!$E$4:$E$1203,"A")=0,"",SUMIFS(Log!$I$4:$I$1203,Log!$D$4:$D$1203,$A10,Log!$B$4:$B$1203,H$5,Log!$E$4:$E$1203,"A")))</f>
        <v>2810</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6550</v>
      </c>
    </row>
    <row r="11" customFormat="false" ht="16.5" hidden="false" customHeight="true" outlineLevel="0" collapsed="false">
      <c r="A11" s="32" t="str">
        <f aca="false">IF(Übungen!$A9="","",Übungen!$A9)</f>
        <v>Beinpresse breit</v>
      </c>
      <c r="B11" s="73" t="str">
        <f aca="false">IF($A11="","",IF(SUMIFS(Log!$I$4:$I$1203,Log!$D$4:$D$1203,$A11,Log!$B$4:$B$1203,B$5,Log!$E$4:$E$1203,"A")=0,"",SUMIFS(Log!$I$4:$I$1203,Log!$D$4:$D$1203,$A11,Log!$B$4:$B$1203,B$5,Log!$E$4:$E$1203,"A")))</f>
        <v/>
      </c>
      <c r="C11" s="73" t="str">
        <f aca="false">IF($A11="","",IF(SUMIFS(Log!$I$4:$I$1203,Log!$D$4:$D$1203,$A11,Log!$B$4:$B$1203,C$5,Log!$E$4:$E$1203,"A")=0,"",SUMIFS(Log!$I$4:$I$1203,Log!$D$4:$D$1203,$A11,Log!$B$4:$B$1203,C$5,Log!$E$4:$E$1203,"A")))</f>
        <v/>
      </c>
      <c r="D11" s="73" t="str">
        <f aca="false">IF($A11="","",IF(SUMIFS(Log!$I$4:$I$1203,Log!$D$4:$D$1203,$A11,Log!$B$4:$B$1203,D$5,Log!$E$4:$E$1203,"A")=0,"",SUMIFS(Log!$I$4:$I$1203,Log!$D$4:$D$1203,$A11,Log!$B$4:$B$1203,D$5,Log!$E$4:$E$1203,"A")))</f>
        <v/>
      </c>
      <c r="E11" s="73" t="str">
        <f aca="false">IF($A11="","",IF(SUMIFS(Log!$I$4:$I$1203,Log!$D$4:$D$1203,$A11,Log!$B$4:$B$1203,E$5,Log!$E$4:$E$1203,"A")=0,"",SUMIFS(Log!$I$4:$I$1203,Log!$D$4:$D$1203,$A11,Log!$B$4:$B$1203,E$5,Log!$E$4:$E$1203,"A")))</f>
        <v/>
      </c>
      <c r="F11" s="73" t="str">
        <f aca="false">IF($A11="","",IF(SUMIFS(Log!$I$4:$I$1203,Log!$D$4:$D$1203,$A11,Log!$B$4:$B$1203,F$5,Log!$E$4:$E$1203,"A")=0,"",SUMIFS(Log!$I$4:$I$1203,Log!$D$4:$D$1203,$A11,Log!$B$4:$B$1203,F$5,Log!$E$4:$E$1203,"A")))</f>
        <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str">
        <f aca="false">IF($A11="","",IF(SUMIFS(Log!$I$4:$I$1203,Log!$D$4:$D$1203,$A11,Log!$E$4:$E$1203,"A")=0,"",SUMIFS(Log!$I$4:$I$1203,Log!$D$4:$D$1203,$A11,Log!$E$4:$E$1203,"A")))</f>
        <v/>
      </c>
    </row>
    <row r="12" customFormat="false" ht="16.5" hidden="false" customHeight="true" outlineLevel="0" collapsed="false">
      <c r="A12" s="26" t="str">
        <f aca="false">IF(Übungen!$A10="","",Übungen!$A10)</f>
        <v>Hip Thrust</v>
      </c>
      <c r="B12" s="71" t="n">
        <f aca="false">IF($A12="","",IF(SUMIFS(Log!$I$4:$I$1203,Log!$D$4:$D$1203,$A12,Log!$B$4:$B$1203,B$5,Log!$E$4:$E$1203,"A")=0,"",SUMIFS(Log!$I$4:$I$1203,Log!$D$4:$D$1203,$A12,Log!$B$4:$B$1203,B$5,Log!$E$4:$E$1203,"A")))</f>
        <v>4560</v>
      </c>
      <c r="C12" s="71" t="n">
        <f aca="false">IF($A12="","",IF(SUMIFS(Log!$I$4:$I$1203,Log!$D$4:$D$1203,$A12,Log!$B$4:$B$1203,C$5,Log!$E$4:$E$1203,"A")=0,"",SUMIFS(Log!$I$4:$I$1203,Log!$D$4:$D$1203,$A12,Log!$B$4:$B$1203,C$5,Log!$E$4:$E$1203,"A")))</f>
        <v>4080</v>
      </c>
      <c r="D12" s="71" t="n">
        <f aca="false">IF($A12="","",IF(SUMIFS(Log!$I$4:$I$1203,Log!$D$4:$D$1203,$A12,Log!$B$4:$B$1203,D$5,Log!$E$4:$E$1203,"A")=0,"",SUMIFS(Log!$I$4:$I$1203,Log!$D$4:$D$1203,$A12,Log!$B$4:$B$1203,D$5,Log!$E$4:$E$1203,"A")))</f>
        <v>4940</v>
      </c>
      <c r="E12" s="71" t="n">
        <f aca="false">IF($A12="","",IF(SUMIFS(Log!$I$4:$I$1203,Log!$D$4:$D$1203,$A12,Log!$B$4:$B$1203,E$5,Log!$E$4:$E$1203,"A")=0,"",SUMIFS(Log!$I$4:$I$1203,Log!$D$4:$D$1203,$A12,Log!$B$4:$B$1203,E$5,Log!$E$4:$E$1203,"A")))</f>
        <v>6480</v>
      </c>
      <c r="F12" s="71" t="n">
        <f aca="false">IF($A12="","",IF(SUMIFS(Log!$I$4:$I$1203,Log!$D$4:$D$1203,$A12,Log!$B$4:$B$1203,F$5,Log!$E$4:$E$1203,"A")=0,"",SUMIFS(Log!$I$4:$I$1203,Log!$D$4:$D$1203,$A12,Log!$B$4:$B$1203,F$5,Log!$E$4:$E$1203,"A")))</f>
        <v>5020</v>
      </c>
      <c r="G12" s="71" t="str">
        <f aca="false">IF($A12="","",IF(SUMIFS(Log!$I$4:$I$1203,Log!$D$4:$D$1203,$A12,Log!$B$4:$B$1203,G$5,Log!$E$4:$E$1203,"A")=0,"",SUMIFS(Log!$I$4:$I$1203,Log!$D$4:$D$1203,$A12,Log!$B$4:$B$1203,G$5,Log!$E$4:$E$1203,"A")))</f>
        <v/>
      </c>
      <c r="H12" s="71" t="n">
        <f aca="false">IF($A12="","",IF(SUMIFS(Log!$I$4:$I$1203,Log!$D$4:$D$1203,$A12,Log!$B$4:$B$1203,H$5,Log!$E$4:$E$1203,"A")=0,"",SUMIFS(Log!$I$4:$I$1203,Log!$D$4:$D$1203,$A12,Log!$B$4:$B$1203,H$5,Log!$E$4:$E$1203,"A")))</f>
        <v>6880</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31960</v>
      </c>
    </row>
    <row r="13" customFormat="false" ht="16.5" hidden="false" customHeight="true" outlineLevel="0" collapsed="false">
      <c r="A13" s="32" t="str">
        <f aca="false">IF(Übungen!$A11="","",Übungen!$A11)</f>
        <v>Hip &amp; Glute</v>
      </c>
      <c r="B13" s="73" t="str">
        <f aca="false">IF($A13="","",IF(SUMIFS(Log!$I$4:$I$1203,Log!$D$4:$D$1203,$A13,Log!$B$4:$B$1203,B$5,Log!$E$4:$E$1203,"A")=0,"",SUMIFS(Log!$I$4:$I$1203,Log!$D$4:$D$1203,$A13,Log!$B$4:$B$1203,B$5,Log!$E$4:$E$1203,"A")))</f>
        <v/>
      </c>
      <c r="C13" s="73" t="str">
        <f aca="false">IF($A13="","",IF(SUMIFS(Log!$I$4:$I$1203,Log!$D$4:$D$1203,$A13,Log!$B$4:$B$1203,C$5,Log!$E$4:$E$1203,"A")=0,"",SUMIFS(Log!$I$4:$I$1203,Log!$D$4:$D$1203,$A13,Log!$B$4:$B$1203,C$5,Log!$E$4:$E$1203,"A")))</f>
        <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str">
        <f aca="false">IF($A13="","",IF(SUMIFS(Log!$I$4:$I$1203,Log!$D$4:$D$1203,$A13,Log!$B$4:$B$1203,F$5,Log!$E$4:$E$1203,"A")=0,"",SUMIFS(Log!$I$4:$I$1203,Log!$D$4:$D$1203,$A13,Log!$B$4:$B$1203,F$5,Log!$E$4:$E$1203,"A")))</f>
        <v/>
      </c>
      <c r="G13" s="73" t="str">
        <f aca="false">IF($A13="","",IF(SUMIFS(Log!$I$4:$I$1203,Log!$D$4:$D$1203,$A13,Log!$B$4:$B$1203,G$5,Log!$E$4:$E$1203,"A")=0,"",SUMIFS(Log!$I$4:$I$1203,Log!$D$4:$D$1203,$A13,Log!$B$4:$B$1203,G$5,Log!$E$4:$E$1203,"A")))</f>
        <v/>
      </c>
      <c r="H13" s="73" t="n">
        <f aca="false">IF($A13="","",IF(SUMIFS(Log!$I$4:$I$1203,Log!$D$4:$D$1203,$A13,Log!$B$4:$B$1203,H$5,Log!$E$4:$E$1203,"A")=0,"",SUMIFS(Log!$I$4:$I$1203,Log!$D$4:$D$1203,$A13,Log!$B$4:$B$1203,H$5,Log!$E$4:$E$1203,"A")))</f>
        <v>3732</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3732</v>
      </c>
    </row>
    <row r="14" customFormat="false" ht="16.5" hidden="false" customHeight="true" outlineLevel="0" collapsed="false">
      <c r="A14" s="26" t="str">
        <f aca="false">IF(Übungen!$A12="","",Übungen!$A12)</f>
        <v>Beinbeuger</v>
      </c>
      <c r="B14" s="71" t="n">
        <f aca="false">IF($A14="","",IF(SUMIFS(Log!$I$4:$I$1203,Log!$D$4:$D$1203,$A14,Log!$B$4:$B$1203,B$5,Log!$E$4:$E$1203,"A")=0,"",SUMIFS(Log!$I$4:$I$1203,Log!$D$4:$D$1203,$A14,Log!$B$4:$B$1203,B$5,Log!$E$4:$E$1203,"A")))</f>
        <v>1130</v>
      </c>
      <c r="C14" s="71" t="n">
        <f aca="false">IF($A14="","",IF(SUMIFS(Log!$I$4:$I$1203,Log!$D$4:$D$1203,$A14,Log!$B$4:$B$1203,C$5,Log!$E$4:$E$1203,"A")=0,"",SUMIFS(Log!$I$4:$I$1203,Log!$D$4:$D$1203,$A14,Log!$B$4:$B$1203,C$5,Log!$E$4:$E$1203,"A")))</f>
        <v>1150</v>
      </c>
      <c r="D14" s="71" t="n">
        <f aca="false">IF($A14="","",IF(SUMIFS(Log!$I$4:$I$1203,Log!$D$4:$D$1203,$A14,Log!$B$4:$B$1203,D$5,Log!$E$4:$E$1203,"A")=0,"",SUMIFS(Log!$I$4:$I$1203,Log!$D$4:$D$1203,$A14,Log!$B$4:$B$1203,D$5,Log!$E$4:$E$1203,"A")))</f>
        <v>1275</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1080</v>
      </c>
      <c r="G14" s="71" t="str">
        <f aca="false">IF($A14="","",IF(SUMIFS(Log!$I$4:$I$1203,Log!$D$4:$D$1203,$A14,Log!$B$4:$B$1203,G$5,Log!$E$4:$E$1203,"A")=0,"",SUMIFS(Log!$I$4:$I$1203,Log!$D$4:$D$1203,$A14,Log!$B$4:$B$1203,G$5,Log!$E$4:$E$1203,"A")))</f>
        <v/>
      </c>
      <c r="H14" s="71" t="n">
        <f aca="false">IF($A14="","",IF(SUMIFS(Log!$I$4:$I$1203,Log!$D$4:$D$1203,$A14,Log!$B$4:$B$1203,H$5,Log!$E$4:$E$1203,"A")=0,"",SUMIFS(Log!$I$4:$I$1203,Log!$D$4:$D$1203,$A14,Log!$B$4:$B$1203,H$5,Log!$E$4:$E$1203,"A")))</f>
        <v>1025</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5660</v>
      </c>
    </row>
    <row r="15" customFormat="false" ht="16.5" hidden="false" customHeight="true" outlineLevel="0" collapsed="false">
      <c r="A15" s="32" t="str">
        <f aca="false">IF(Übungen!$A13="","",Übungen!$A13)</f>
        <v>Seitliche Kickbacks</v>
      </c>
      <c r="B15" s="73" t="n">
        <f aca="false">IF($A15="","",IF(SUMIFS(Log!$I$4:$I$1203,Log!$D$4:$D$1203,$A15,Log!$B$4:$B$1203,B$5,Log!$E$4:$E$1203,"A")=0,"",SUMIFS(Log!$I$4:$I$1203,Log!$D$4:$D$1203,$A15,Log!$B$4:$B$1203,B$5,Log!$E$4:$E$1203,"A")))</f>
        <v>1078</v>
      </c>
      <c r="C15" s="73" t="n">
        <f aca="false">IF($A15="","",IF(SUMIFS(Log!$I$4:$I$1203,Log!$D$4:$D$1203,$A15,Log!$B$4:$B$1203,C$5,Log!$E$4:$E$1203,"A")=0,"",SUMIFS(Log!$I$4:$I$1203,Log!$D$4:$D$1203,$A15,Log!$B$4:$B$1203,C$5,Log!$E$4:$E$1203,"A")))</f>
        <v>975</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n">
        <f aca="false">IF($A15="","",IF(SUMIFS(Log!$I$4:$I$1203,Log!$D$4:$D$1203,$A15,Log!$B$4:$B$1203,F$5,Log!$E$4:$E$1203,"A")=0,"",SUMIFS(Log!$I$4:$I$1203,Log!$D$4:$D$1203,$A15,Log!$B$4:$B$1203,F$5,Log!$E$4:$E$1203,"A")))</f>
        <v>720</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n">
        <f aca="false">IF($A15="","",IF(SUMIFS(Log!$I$4:$I$1203,Log!$D$4:$D$1203,$A15,Log!$E$4:$E$1203,"A")=0,"",SUMIFS(Log!$I$4:$I$1203,Log!$D$4:$D$1203,$A15,Log!$E$4:$E$1203,"A")))</f>
        <v>2773</v>
      </c>
    </row>
    <row r="16" customFormat="false" ht="16.5" hidden="false" customHeight="true" outlineLevel="0" collapsed="false">
      <c r="A16" s="26" t="str">
        <f aca="false">IF(Übungen!$A14="","",Übungen!$A14)</f>
        <v>Waden</v>
      </c>
      <c r="B16" s="71" t="n">
        <f aca="false">IF($A16="","",IF(SUMIFS(Log!$I$4:$I$1203,Log!$D$4:$D$1203,$A16,Log!$B$4:$B$1203,B$5,Log!$E$4:$E$1203,"A")=0,"",SUMIFS(Log!$I$4:$I$1203,Log!$D$4:$D$1203,$A16,Log!$B$4:$B$1203,B$5,Log!$E$4:$E$1203,"A")))</f>
        <v>3465</v>
      </c>
      <c r="C16" s="71" t="n">
        <f aca="false">IF($A16="","",IF(SUMIFS(Log!$I$4:$I$1203,Log!$D$4:$D$1203,$A16,Log!$B$4:$B$1203,C$5,Log!$E$4:$E$1203,"A")=0,"",SUMIFS(Log!$I$4:$I$1203,Log!$D$4:$D$1203,$A16,Log!$B$4:$B$1203,C$5,Log!$E$4:$E$1203,"A")))</f>
        <v>3480</v>
      </c>
      <c r="D16" s="71" t="str">
        <f aca="false">IF($A16="","",IF(SUMIFS(Log!$I$4:$I$1203,Log!$D$4:$D$1203,$A16,Log!$B$4:$B$1203,D$5,Log!$E$4:$E$1203,"A")=0,"",SUMIFS(Log!$I$4:$I$1203,Log!$D$4:$D$1203,$A16,Log!$B$4:$B$1203,D$5,Log!$E$4:$E$1203,"A")))</f>
        <v/>
      </c>
      <c r="E16" s="71" t="str">
        <f aca="false">IF($A16="","",IF(SUMIFS(Log!$I$4:$I$1203,Log!$D$4:$D$1203,$A16,Log!$B$4:$B$1203,E$5,Log!$E$4:$E$1203,"A")=0,"",SUMIFS(Log!$I$4:$I$1203,Log!$D$4:$D$1203,$A16,Log!$B$4:$B$1203,E$5,Log!$E$4:$E$1203,"A")))</f>
        <v/>
      </c>
      <c r="F16" s="71" t="n">
        <f aca="false">IF($A16="","",IF(SUMIFS(Log!$I$4:$I$1203,Log!$D$4:$D$1203,$A16,Log!$B$4:$B$1203,F$5,Log!$E$4:$E$1203,"A")=0,"",SUMIFS(Log!$I$4:$I$1203,Log!$D$4:$D$1203,$A16,Log!$B$4:$B$1203,F$5,Log!$E$4:$E$1203,"A")))</f>
        <v>3105</v>
      </c>
      <c r="G16" s="71" t="str">
        <f aca="false">IF($A16="","",IF(SUMIFS(Log!$I$4:$I$1203,Log!$D$4:$D$1203,$A16,Log!$B$4:$B$1203,G$5,Log!$E$4:$E$1203,"A")=0,"",SUMIFS(Log!$I$4:$I$1203,Log!$D$4:$D$1203,$A16,Log!$B$4:$B$1203,G$5,Log!$E$4:$E$1203,"A")))</f>
        <v/>
      </c>
      <c r="H16" s="71" t="n">
        <f aca="false">IF($A16="","",IF(SUMIFS(Log!$I$4:$I$1203,Log!$D$4:$D$1203,$A16,Log!$B$4:$B$1203,H$5,Log!$E$4:$E$1203,"A")=0,"",SUMIFS(Log!$I$4:$I$1203,Log!$D$4:$D$1203,$A16,Log!$B$4:$B$1203,H$5,Log!$E$4:$E$1203,"A")))</f>
        <v>3720</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13770</v>
      </c>
    </row>
    <row r="17" customFormat="false" ht="16.5" hidden="false" customHeight="true" outlineLevel="0" collapsed="false">
      <c r="A17" s="32" t="str">
        <f aca="false">IF(Übungen!$A15="","",Übungen!$A15)</f>
        <v>Lunges</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Kickback</v>
      </c>
      <c r="B18" s="71" t="n">
        <f aca="false">IF($A18="","",IF(SUMIFS(Log!$I$4:$I$1203,Log!$D$4:$D$1203,$A18,Log!$B$4:$B$1203,B$5,Log!$E$4:$E$1203,"A")=0,"",SUMIFS(Log!$I$4:$I$1203,Log!$D$4:$D$1203,$A18,Log!$B$4:$B$1203,B$5,Log!$E$4:$E$1203,"A")))</f>
        <v>1974</v>
      </c>
      <c r="C18" s="71" t="n">
        <f aca="false">IF($A18="","",IF(SUMIFS(Log!$I$4:$I$1203,Log!$D$4:$D$1203,$A18,Log!$B$4:$B$1203,C$5,Log!$E$4:$E$1203,"A")=0,"",SUMIFS(Log!$I$4:$I$1203,Log!$D$4:$D$1203,$A18,Log!$B$4:$B$1203,C$5,Log!$E$4:$E$1203,"A")))</f>
        <v>1274</v>
      </c>
      <c r="D18" s="71" t="n">
        <f aca="false">IF($A18="","",IF(SUMIFS(Log!$I$4:$I$1203,Log!$D$4:$D$1203,$A18,Log!$B$4:$B$1203,D$5,Log!$E$4:$E$1203,"A")=0,"",SUMIFS(Log!$I$4:$I$1203,Log!$D$4:$D$1203,$A18,Log!$B$4:$B$1203,D$5,Log!$E$4:$E$1203,"A")))</f>
        <v>2086</v>
      </c>
      <c r="E18" s="71" t="n">
        <f aca="false">IF($A18="","",IF(SUMIFS(Log!$I$4:$I$1203,Log!$D$4:$D$1203,$A18,Log!$B$4:$B$1203,E$5,Log!$E$4:$E$1203,"A")=0,"",SUMIFS(Log!$I$4:$I$1203,Log!$D$4:$D$1203,$A18,Log!$B$4:$B$1203,E$5,Log!$E$4:$E$1203,"A")))</f>
        <v>1785</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n">
        <f aca="false">IF($A18="","",IF(SUMIFS(Log!$I$4:$I$1203,Log!$D$4:$D$1203,$A18,Log!$E$4:$E$1203,"A")=0,"",SUMIFS(Log!$I$4:$I$1203,Log!$D$4:$D$1203,$A18,Log!$E$4:$E$1203,"A")))</f>
        <v>7119</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0" customFormat="false" ht="16.5" hidden="false" customHeight="true" outlineLevel="0" collapsed="false">
      <c r="A20" s="26" t="str">
        <f aca="false">IF(Übungen!$A18="","",Übungen!$A18)</f>
        <v/>
      </c>
      <c r="B20" s="71" t="str">
        <f aca="false">IF($A20="","",IF(SUMIFS(Log!$I$4:$I$1203,Log!$D$4:$D$1203,$A20,Log!$B$4:$B$1203,B$5,Log!$E$4:$E$1203,"A")=0,"",SUMIFS(Log!$I$4:$I$1203,Log!$D$4:$D$1203,$A20,Log!$B$4:$B$1203,B$5,Log!$E$4:$E$1203,"A")))</f>
        <v/>
      </c>
      <c r="C20" s="71" t="str">
        <f aca="false">IF($A20="","",IF(SUMIFS(Log!$I$4:$I$1203,Log!$D$4:$D$1203,$A20,Log!$B$4:$B$1203,C$5,Log!$E$4:$E$1203,"A")=0,"",SUMIFS(Log!$I$4:$I$1203,Log!$D$4:$D$1203,$A20,Log!$B$4:$B$1203,C$5,Log!$E$4:$E$1203,"A")))</f>
        <v/>
      </c>
      <c r="D20" s="71" t="str">
        <f aca="false">IF($A20="","",IF(SUMIFS(Log!$I$4:$I$1203,Log!$D$4:$D$1203,$A20,Log!$B$4:$B$1203,D$5,Log!$E$4:$E$1203,"A")=0,"",SUMIFS(Log!$I$4:$I$1203,Log!$D$4:$D$1203,$A20,Log!$B$4:$B$1203,D$5,Log!$E$4:$E$1203,"A")))</f>
        <v/>
      </c>
      <c r="E20" s="71" t="str">
        <f aca="false">IF($A20="","",IF(SUMIFS(Log!$I$4:$I$1203,Log!$D$4:$D$1203,$A20,Log!$B$4:$B$1203,E$5,Log!$E$4:$E$1203,"A")=0,"",SUMIFS(Log!$I$4:$I$1203,Log!$D$4:$D$1203,$A20,Log!$B$4:$B$1203,E$5,Log!$E$4:$E$1203,"A")))</f>
        <v/>
      </c>
      <c r="F20" s="71" t="str">
        <f aca="false">IF($A20="","",IF(SUMIFS(Log!$I$4:$I$1203,Log!$D$4:$D$1203,$A20,Log!$B$4:$B$1203,F$5,Log!$E$4:$E$1203,"A")=0,"",SUMIFS(Log!$I$4:$I$1203,Log!$D$4:$D$1203,$A20,Log!$B$4:$B$1203,F$5,Log!$E$4:$E$1203,"A")))</f>
        <v/>
      </c>
      <c r="G20" s="71" t="str">
        <f aca="false">IF($A20="","",IF(SUMIFS(Log!$I$4:$I$1203,Log!$D$4:$D$1203,$A20,Log!$B$4:$B$1203,G$5,Log!$E$4:$E$1203,"A")=0,"",SUMIFS(Log!$I$4:$I$1203,Log!$D$4:$D$1203,$A20,Log!$B$4:$B$1203,G$5,Log!$E$4:$E$1203,"A")))</f>
        <v/>
      </c>
      <c r="H20" s="71" t="str">
        <f aca="false">IF($A20="","",IF(SUMIFS(Log!$I$4:$I$1203,Log!$D$4:$D$1203,$A20,Log!$B$4:$B$1203,H$5,Log!$E$4:$E$1203,"A")=0,"",SUMIFS(Log!$I$4:$I$1203,Log!$D$4:$D$1203,$A20,Log!$B$4:$B$1203,H$5,Log!$E$4:$E$1203,"A")))</f>
        <v/>
      </c>
      <c r="I20" s="71" t="str">
        <f aca="false">IF($A20="","",IF(SUMIFS(Log!$I$4:$I$1203,Log!$D$4:$D$1203,$A20,Log!$B$4:$B$1203,I$5,Log!$E$4:$E$1203,"A")=0,"",SUMIFS(Log!$I$4:$I$1203,Log!$D$4:$D$1203,$A20,Log!$B$4:$B$1203,I$5,Log!$E$4:$E$1203,"A")))</f>
        <v/>
      </c>
      <c r="J20" s="71" t="str">
        <f aca="false">IF($A20="","",IF(SUMIFS(Log!$I$4:$I$1203,Log!$D$4:$D$1203,$A20,Log!$B$4:$B$1203,J$5,Log!$E$4:$E$1203,"A")=0,"",SUMIFS(Log!$I$4:$I$1203,Log!$D$4:$D$1203,$A20,Log!$B$4:$B$1203,J$5,Log!$E$4:$E$1203,"A")))</f>
        <v/>
      </c>
      <c r="K20" s="71" t="str">
        <f aca="false">IF($A20="","",IF(SUMIFS(Log!$I$4:$I$1203,Log!$D$4:$D$1203,$A20,Log!$B$4:$B$1203,K$5,Log!$E$4:$E$1203,"A")=0,"",SUMIFS(Log!$I$4:$I$1203,Log!$D$4:$D$1203,$A20,Log!$B$4:$B$1203,K$5,Log!$E$4:$E$1203,"A")))</f>
        <v/>
      </c>
      <c r="L20" s="71" t="str">
        <f aca="false">IF($A20="","",IF(SUMIFS(Log!$I$4:$I$1203,Log!$D$4:$D$1203,$A20,Log!$B$4:$B$1203,L$5,Log!$E$4:$E$1203,"A")=0,"",SUMIFS(Log!$I$4:$I$1203,Log!$D$4:$D$1203,$A20,Log!$B$4:$B$1203,L$5,Log!$E$4:$E$1203,"A")))</f>
        <v/>
      </c>
      <c r="M20" s="71" t="str">
        <f aca="false">IF($A20="","",IF(SUMIFS(Log!$I$4:$I$1203,Log!$D$4:$D$1203,$A20,Log!$B$4:$B$1203,M$5,Log!$E$4:$E$1203,"A")=0,"",SUMIFS(Log!$I$4:$I$1203,Log!$D$4:$D$1203,$A20,Log!$B$4:$B$1203,M$5,Log!$E$4:$E$1203,"A")))</f>
        <v/>
      </c>
      <c r="N20" s="71" t="str">
        <f aca="false">IF($A20="","",IF(SUMIFS(Log!$I$4:$I$1203,Log!$D$4:$D$1203,$A20,Log!$B$4:$B$1203,N$5,Log!$E$4:$E$1203,"A")=0,"",SUMIFS(Log!$I$4:$I$1203,Log!$D$4:$D$1203,$A20,Log!$B$4:$B$1203,N$5,Log!$E$4:$E$1203,"A")))</f>
        <v/>
      </c>
      <c r="O20" s="71" t="str">
        <f aca="false">IF($A20="","",IF(SUMIFS(Log!$I$4:$I$1203,Log!$D$4:$D$1203,$A20,Log!$B$4:$B$1203,O$5,Log!$E$4:$E$1203,"A")=0,"",SUMIFS(Log!$I$4:$I$1203,Log!$D$4:$D$1203,$A20,Log!$B$4:$B$1203,O$5,Log!$E$4:$E$1203,"A")))</f>
        <v/>
      </c>
      <c r="P20" s="71" t="str">
        <f aca="false">IF($A20="","",IF(SUMIFS(Log!$I$4:$I$1203,Log!$D$4:$D$1203,$A20,Log!$B$4:$B$1203,P$5,Log!$E$4:$E$1203,"A")=0,"",SUMIFS(Log!$I$4:$I$1203,Log!$D$4:$D$1203,$A20,Log!$B$4:$B$1203,P$5,Log!$E$4:$E$1203,"A")))</f>
        <v/>
      </c>
      <c r="Q20" s="71" t="str">
        <f aca="false">IF($A20="","",IF(SUMIFS(Log!$I$4:$I$1203,Log!$D$4:$D$1203,$A20,Log!$B$4:$B$1203,Q$5,Log!$E$4:$E$1203,"A")=0,"",SUMIFS(Log!$I$4:$I$1203,Log!$D$4:$D$1203,$A20,Log!$B$4:$B$1203,Q$5,Log!$E$4:$E$1203,"A")))</f>
        <v/>
      </c>
      <c r="R20" s="72" t="str">
        <f aca="false">IF($A20="","",IF(SUMIFS(Log!$I$4:$I$1203,Log!$D$4:$D$1203,$A20,Log!$E$4:$E$1203,"A")=0,"",SUMIFS(Log!$I$4:$I$1203,Log!$D$4:$D$1203,$A20,Log!$E$4:$E$1203,"A")))</f>
        <v/>
      </c>
    </row>
    <row r="21" customFormat="false" ht="16.5" hidden="false" customHeight="true" outlineLevel="0" collapsed="false">
      <c r="A21" s="32" t="str">
        <f aca="false">IF(Übungen!$A19="","",Übungen!$A19)</f>
        <v/>
      </c>
      <c r="B21" s="73" t="str">
        <f aca="false">IF($A21="","",IF(SUMIFS(Log!$I$4:$I$1203,Log!$D$4:$D$1203,$A21,Log!$B$4:$B$1203,B$5,Log!$E$4:$E$1203,"A")=0,"",SUMIFS(Log!$I$4:$I$1203,Log!$D$4:$D$1203,$A21,Log!$B$4:$B$1203,B$5,Log!$E$4:$E$1203,"A")))</f>
        <v/>
      </c>
      <c r="C21" s="73" t="str">
        <f aca="false">IF($A21="","",IF(SUMIFS(Log!$I$4:$I$1203,Log!$D$4:$D$1203,$A21,Log!$B$4:$B$1203,C$5,Log!$E$4:$E$1203,"A")=0,"",SUMIFS(Log!$I$4:$I$1203,Log!$D$4:$D$1203,$A21,Log!$B$4:$B$1203,C$5,Log!$E$4:$E$1203,"A")))</f>
        <v/>
      </c>
      <c r="D21" s="73" t="str">
        <f aca="false">IF($A21="","",IF(SUMIFS(Log!$I$4:$I$1203,Log!$D$4:$D$1203,$A21,Log!$B$4:$B$1203,D$5,Log!$E$4:$E$1203,"A")=0,"",SUMIFS(Log!$I$4:$I$1203,Log!$D$4:$D$1203,$A21,Log!$B$4:$B$1203,D$5,Log!$E$4:$E$1203,"A")))</f>
        <v/>
      </c>
      <c r="E21" s="73" t="str">
        <f aca="false">IF($A21="","",IF(SUMIFS(Log!$I$4:$I$1203,Log!$D$4:$D$1203,$A21,Log!$B$4:$B$1203,E$5,Log!$E$4:$E$1203,"A")=0,"",SUMIFS(Log!$I$4:$I$1203,Log!$D$4:$D$1203,$A21,Log!$B$4:$B$1203,E$5,Log!$E$4:$E$1203,"A")))</f>
        <v/>
      </c>
      <c r="F21" s="73" t="str">
        <f aca="false">IF($A21="","",IF(SUMIFS(Log!$I$4:$I$1203,Log!$D$4:$D$1203,$A21,Log!$B$4:$B$1203,F$5,Log!$E$4:$E$1203,"A")=0,"",SUMIFS(Log!$I$4:$I$1203,Log!$D$4:$D$1203,$A21,Log!$B$4:$B$1203,F$5,Log!$E$4:$E$1203,"A")))</f>
        <v/>
      </c>
      <c r="G21" s="73" t="str">
        <f aca="false">IF($A21="","",IF(SUMIFS(Log!$I$4:$I$1203,Log!$D$4:$D$1203,$A21,Log!$B$4:$B$1203,G$5,Log!$E$4:$E$1203,"A")=0,"",SUMIFS(Log!$I$4:$I$1203,Log!$D$4:$D$1203,$A21,Log!$B$4:$B$1203,G$5,Log!$E$4:$E$1203,"A")))</f>
        <v/>
      </c>
      <c r="H21" s="73" t="str">
        <f aca="false">IF($A21="","",IF(SUMIFS(Log!$I$4:$I$1203,Log!$D$4:$D$1203,$A21,Log!$B$4:$B$1203,H$5,Log!$E$4:$E$1203,"A")=0,"",SUMIFS(Log!$I$4:$I$1203,Log!$D$4:$D$1203,$A21,Log!$B$4:$B$1203,H$5,Log!$E$4:$E$1203,"A")))</f>
        <v/>
      </c>
      <c r="I21" s="73" t="str">
        <f aca="false">IF($A21="","",IF(SUMIFS(Log!$I$4:$I$1203,Log!$D$4:$D$1203,$A21,Log!$B$4:$B$1203,I$5,Log!$E$4:$E$1203,"A")=0,"",SUMIFS(Log!$I$4:$I$1203,Log!$D$4:$D$1203,$A21,Log!$B$4:$B$1203,I$5,Log!$E$4:$E$1203,"A")))</f>
        <v/>
      </c>
      <c r="J21" s="73" t="str">
        <f aca="false">IF($A21="","",IF(SUMIFS(Log!$I$4:$I$1203,Log!$D$4:$D$1203,$A21,Log!$B$4:$B$1203,J$5,Log!$E$4:$E$1203,"A")=0,"",SUMIFS(Log!$I$4:$I$1203,Log!$D$4:$D$1203,$A21,Log!$B$4:$B$1203,J$5,Log!$E$4:$E$1203,"A")))</f>
        <v/>
      </c>
      <c r="K21" s="73" t="str">
        <f aca="false">IF($A21="","",IF(SUMIFS(Log!$I$4:$I$1203,Log!$D$4:$D$1203,$A21,Log!$B$4:$B$1203,K$5,Log!$E$4:$E$1203,"A")=0,"",SUMIFS(Log!$I$4:$I$1203,Log!$D$4:$D$1203,$A21,Log!$B$4:$B$1203,K$5,Log!$E$4:$E$1203,"A")))</f>
        <v/>
      </c>
      <c r="L21" s="73" t="str">
        <f aca="false">IF($A21="","",IF(SUMIFS(Log!$I$4:$I$1203,Log!$D$4:$D$1203,$A21,Log!$B$4:$B$1203,L$5,Log!$E$4:$E$1203,"A")=0,"",SUMIFS(Log!$I$4:$I$1203,Log!$D$4:$D$1203,$A21,Log!$B$4:$B$1203,L$5,Log!$E$4:$E$1203,"A")))</f>
        <v/>
      </c>
      <c r="M21" s="73" t="str">
        <f aca="false">IF($A21="","",IF(SUMIFS(Log!$I$4:$I$1203,Log!$D$4:$D$1203,$A21,Log!$B$4:$B$1203,M$5,Log!$E$4:$E$1203,"A")=0,"",SUMIFS(Log!$I$4:$I$1203,Log!$D$4:$D$1203,$A21,Log!$B$4:$B$1203,M$5,Log!$E$4:$E$1203,"A")))</f>
        <v/>
      </c>
      <c r="N21" s="73" t="str">
        <f aca="false">IF($A21="","",IF(SUMIFS(Log!$I$4:$I$1203,Log!$D$4:$D$1203,$A21,Log!$B$4:$B$1203,N$5,Log!$E$4:$E$1203,"A")=0,"",SUMIFS(Log!$I$4:$I$1203,Log!$D$4:$D$1203,$A21,Log!$B$4:$B$1203,N$5,Log!$E$4:$E$1203,"A")))</f>
        <v/>
      </c>
      <c r="O21" s="73" t="str">
        <f aca="false">IF($A21="","",IF(SUMIFS(Log!$I$4:$I$1203,Log!$D$4:$D$1203,$A21,Log!$B$4:$B$1203,O$5,Log!$E$4:$E$1203,"A")=0,"",SUMIFS(Log!$I$4:$I$1203,Log!$D$4:$D$1203,$A21,Log!$B$4:$B$1203,O$5,Log!$E$4:$E$1203,"A")))</f>
        <v/>
      </c>
      <c r="P21" s="73" t="str">
        <f aca="false">IF($A21="","",IF(SUMIFS(Log!$I$4:$I$1203,Log!$D$4:$D$1203,$A21,Log!$B$4:$B$1203,P$5,Log!$E$4:$E$1203,"A")=0,"",SUMIFS(Log!$I$4:$I$1203,Log!$D$4:$D$1203,$A21,Log!$B$4:$B$1203,P$5,Log!$E$4:$E$1203,"A")))</f>
        <v/>
      </c>
      <c r="Q21" s="73" t="str">
        <f aca="false">IF($A21="","",IF(SUMIFS(Log!$I$4:$I$1203,Log!$D$4:$D$1203,$A21,Log!$B$4:$B$1203,Q$5,Log!$E$4:$E$1203,"A")=0,"",SUMIFS(Log!$I$4:$I$1203,Log!$D$4:$D$1203,$A21,Log!$B$4:$B$1203,Q$5,Log!$E$4:$E$1203,"A")))</f>
        <v/>
      </c>
      <c r="R21" s="72" t="str">
        <f aca="false">IF($A21="","",IF(SUMIFS(Log!$I$4:$I$1203,Log!$D$4:$D$1203,$A21,Log!$E$4:$E$1203,"A")=0,"",SUMIFS(Log!$I$4:$I$1203,Log!$D$4:$D$1203,$A21,Log!$E$4:$E$1203,"A")))</f>
        <v/>
      </c>
    </row>
    <row r="24" customFormat="false" ht="19.5" hidden="false" customHeight="true" outlineLevel="0" collapsed="false">
      <c r="A24" s="3" t="s">
        <v>322</v>
      </c>
      <c r="B24" s="3"/>
      <c r="C24" s="3"/>
      <c r="D24" s="3"/>
      <c r="E24" s="3"/>
      <c r="F24" s="3"/>
      <c r="G24" s="3"/>
      <c r="H24" s="3"/>
      <c r="I24" s="3"/>
      <c r="J24" s="3"/>
      <c r="K24" s="3"/>
      <c r="L24" s="3"/>
      <c r="M24" s="3"/>
      <c r="N24" s="3"/>
      <c r="O24" s="3"/>
      <c r="P24" s="3"/>
      <c r="Q24" s="3"/>
      <c r="R24" s="3"/>
    </row>
    <row r="25" customFormat="false" ht="21.75" hidden="false" customHeight="true" outlineLevel="0" collapsed="false">
      <c r="A25" s="25" t="s">
        <v>97</v>
      </c>
      <c r="B25" s="70" t="n">
        <f aca="false">$B$3</f>
        <v>1</v>
      </c>
      <c r="C25" s="70" t="n">
        <f aca="false">B25+1</f>
        <v>2</v>
      </c>
      <c r="D25" s="70" t="n">
        <f aca="false">C25+1</f>
        <v>3</v>
      </c>
      <c r="E25" s="70" t="n">
        <f aca="false">D25+1</f>
        <v>4</v>
      </c>
      <c r="F25" s="70" t="n">
        <f aca="false">E25+1</f>
        <v>5</v>
      </c>
      <c r="G25" s="70" t="n">
        <f aca="false">F25+1</f>
        <v>6</v>
      </c>
      <c r="H25" s="70" t="n">
        <f aca="false">G25+1</f>
        <v>7</v>
      </c>
      <c r="I25" s="70" t="n">
        <f aca="false">H25+1</f>
        <v>8</v>
      </c>
      <c r="J25" s="70" t="n">
        <f aca="false">I25+1</f>
        <v>9</v>
      </c>
      <c r="K25" s="70" t="n">
        <f aca="false">J25+1</f>
        <v>10</v>
      </c>
      <c r="L25" s="70" t="n">
        <f aca="false">K25+1</f>
        <v>11</v>
      </c>
      <c r="M25" s="70" t="n">
        <f aca="false">L25+1</f>
        <v>12</v>
      </c>
      <c r="N25" s="70" t="n">
        <f aca="false">M25+1</f>
        <v>13</v>
      </c>
      <c r="O25" s="70" t="n">
        <f aca="false">N25+1</f>
        <v>14</v>
      </c>
      <c r="P25" s="70" t="n">
        <f aca="false">O25+1</f>
        <v>15</v>
      </c>
      <c r="Q25" s="70" t="n">
        <f aca="false">P25+1</f>
        <v>16</v>
      </c>
      <c r="R25" s="25" t="s">
        <v>323</v>
      </c>
    </row>
    <row r="26" customFormat="false" ht="16.5" hidden="false" customHeight="true" outlineLevel="0" collapsed="false">
      <c r="A26" s="26" t="str">
        <f aca="false">IF(Übungen!$A4="","",Übungen!$A4)</f>
        <v>Beinpresse eng</v>
      </c>
      <c r="B26" s="74" t="str">
        <f aca="false">IF($A26="","",IF(SUMPRODUCT(MAX((Log!$D$4:$D$1203=$A26)*(Log!$B$4:$B$1203=B$25)*(Log!$E$4:$E$1203="A")*(Log!$F$4:$F$1203&lt;&gt;"")*Log!$F$4:$F$1203))=0,"",SUMPRODUCT(MAX((Log!$D$4:$D$1203=$A26)*(Log!$B$4:$B$1203=B$25)*(Log!$E$4:$E$1203="A")*(Log!$F$4:$F$1203&lt;&gt;"")*Log!$F$4:$F$1203))))</f>
        <v/>
      </c>
      <c r="C26" s="74" t="str">
        <f aca="false">IF($A26="","",IF(SUMPRODUCT(MAX((Log!$D$4:$D$1203=$A26)*(Log!$B$4:$B$1203=C$25)*(Log!$E$4:$E$1203="A")*(Log!$F$4:$F$1203&lt;&gt;"")*Log!$F$4:$F$1203))=0,"",SUMPRODUCT(MAX((Log!$D$4:$D$1203=$A26)*(Log!$B$4:$B$1203=C$25)*(Log!$E$4:$E$1203="A")*(Log!$F$4:$F$1203&lt;&gt;"")*Log!$F$4:$F$1203))))</f>
        <v/>
      </c>
      <c r="D26" s="74" t="str">
        <f aca="false">IF($A26="","",IF(SUMPRODUCT(MAX((Log!$D$4:$D$1203=$A26)*(Log!$B$4:$B$1203=D$25)*(Log!$E$4:$E$1203="A")*(Log!$F$4:$F$1203&lt;&gt;"")*Log!$F$4:$F$1203))=0,"",SUMPRODUCT(MAX((Log!$D$4:$D$1203=$A26)*(Log!$B$4:$B$1203=D$25)*(Log!$E$4:$E$1203="A")*(Log!$F$4:$F$1203&lt;&gt;"")*Log!$F$4:$F$1203))))</f>
        <v/>
      </c>
      <c r="E26" s="74" t="str">
        <f aca="false">IF($A26="","",IF(SUMPRODUCT(MAX((Log!$D$4:$D$1203=$A26)*(Log!$B$4:$B$1203=E$25)*(Log!$E$4:$E$1203="A")*(Log!$F$4:$F$1203&lt;&gt;"")*Log!$F$4:$F$1203))=0,"",SUMPRODUCT(MAX((Log!$D$4:$D$1203=$A26)*(Log!$B$4:$B$1203=E$25)*(Log!$E$4:$E$1203="A")*(Log!$F$4:$F$1203&lt;&gt;"")*Log!$F$4:$F$1203))))</f>
        <v/>
      </c>
      <c r="F26" s="74" t="n">
        <f aca="false">IF($A26="","",IF(SUMPRODUCT(MAX((Log!$D$4:$D$1203=$A26)*(Log!$B$4:$B$1203=F$25)*(Log!$E$4:$E$1203="A")*(Log!$F$4:$F$1203&lt;&gt;"")*Log!$F$4:$F$1203))=0,"",SUMPRODUCT(MAX((Log!$D$4:$D$1203=$A26)*(Log!$B$4:$B$1203=F$25)*(Log!$E$4:$E$1203="A")*(Log!$F$4:$F$1203&lt;&gt;"")*Log!$F$4:$F$1203))))</f>
        <v>273</v>
      </c>
      <c r="G26" s="74" t="n">
        <f aca="false">IF($A26="","",IF(SUMPRODUCT(MAX((Log!$D$4:$D$1203=$A26)*(Log!$B$4:$B$1203=G$25)*(Log!$E$4:$E$1203="A")*(Log!$F$4:$F$1203&lt;&gt;"")*Log!$F$4:$F$1203))=0,"",SUMPRODUCT(MAX((Log!$D$4:$D$1203=$A26)*(Log!$B$4:$B$1203=G$25)*(Log!$E$4:$E$1203="A")*(Log!$F$4:$F$1203&lt;&gt;"")*Log!$F$4:$F$1203))))</f>
        <v>303</v>
      </c>
      <c r="H26" s="74" t="str">
        <f aca="false">IF($A26="","",IF(SUMPRODUCT(MAX((Log!$D$4:$D$1203=$A26)*(Log!$B$4:$B$1203=H$25)*(Log!$E$4:$E$1203="A")*(Log!$F$4:$F$1203&lt;&gt;"")*Log!$F$4:$F$1203))=0,"",SUMPRODUCT(MAX((Log!$D$4:$D$1203=$A26)*(Log!$B$4:$B$1203=H$25)*(Log!$E$4:$E$1203="A")*(Log!$F$4:$F$1203&lt;&gt;"")*Log!$F$4:$F$1203))))</f>
        <v/>
      </c>
      <c r="I26" s="74" t="n">
        <f aca="false">IF($A26="","",IF(SUMPRODUCT(MAX((Log!$D$4:$D$1203=$A26)*(Log!$B$4:$B$1203=I$25)*(Log!$E$4:$E$1203="A")*(Log!$F$4:$F$1203&lt;&gt;"")*Log!$F$4:$F$1203))=0,"",SUMPRODUCT(MAX((Log!$D$4:$D$1203=$A26)*(Log!$B$4:$B$1203=I$25)*(Log!$E$4:$E$1203="A")*(Log!$F$4:$F$1203&lt;&gt;"")*Log!$F$4:$F$1203))))</f>
        <v>333</v>
      </c>
      <c r="J26" s="74" t="str">
        <f aca="false">IF($A26="","",IF(SUMPRODUCT(MAX((Log!$D$4:$D$1203=$A26)*(Log!$B$4:$B$1203=J$25)*(Log!$E$4:$E$1203="A")*(Log!$F$4:$F$1203&lt;&gt;"")*Log!$F$4:$F$1203))=0,"",SUMPRODUCT(MAX((Log!$D$4:$D$1203=$A26)*(Log!$B$4:$B$1203=J$25)*(Log!$E$4:$E$1203="A")*(Log!$F$4:$F$1203&lt;&gt;"")*Log!$F$4:$F$1203))))</f>
        <v/>
      </c>
      <c r="K26" s="74" t="str">
        <f aca="false">IF($A26="","",IF(SUMPRODUCT(MAX((Log!$D$4:$D$1203=$A26)*(Log!$B$4:$B$1203=K$25)*(Log!$E$4:$E$1203="A")*(Log!$F$4:$F$1203&lt;&gt;"")*Log!$F$4:$F$1203))=0,"",SUMPRODUCT(MAX((Log!$D$4:$D$1203=$A26)*(Log!$B$4:$B$1203=K$25)*(Log!$E$4:$E$1203="A")*(Log!$F$4:$F$1203&lt;&gt;"")*Log!$F$4:$F$1203))))</f>
        <v/>
      </c>
      <c r="L26" s="74" t="str">
        <f aca="false">IF($A26="","",IF(SUMPRODUCT(MAX((Log!$D$4:$D$1203=$A26)*(Log!$B$4:$B$1203=L$25)*(Log!$E$4:$E$1203="A")*(Log!$F$4:$F$1203&lt;&gt;"")*Log!$F$4:$F$1203))=0,"",SUMPRODUCT(MAX((Log!$D$4:$D$1203=$A26)*(Log!$B$4:$B$1203=L$25)*(Log!$E$4:$E$1203="A")*(Log!$F$4:$F$1203&lt;&gt;"")*Log!$F$4:$F$1203))))</f>
        <v/>
      </c>
      <c r="M26" s="74" t="str">
        <f aca="false">IF($A26="","",IF(SUMPRODUCT(MAX((Log!$D$4:$D$1203=$A26)*(Log!$B$4:$B$1203=M$25)*(Log!$E$4:$E$1203="A")*(Log!$F$4:$F$1203&lt;&gt;"")*Log!$F$4:$F$1203))=0,"",SUMPRODUCT(MAX((Log!$D$4:$D$1203=$A26)*(Log!$B$4:$B$1203=M$25)*(Log!$E$4:$E$1203="A")*(Log!$F$4:$F$1203&lt;&gt;"")*Log!$F$4:$F$1203))))</f>
        <v/>
      </c>
      <c r="N26" s="74" t="str">
        <f aca="false">IF($A26="","",IF(SUMPRODUCT(MAX((Log!$D$4:$D$1203=$A26)*(Log!$B$4:$B$1203=N$25)*(Log!$E$4:$E$1203="A")*(Log!$F$4:$F$1203&lt;&gt;"")*Log!$F$4:$F$1203))=0,"",SUMPRODUCT(MAX((Log!$D$4:$D$1203=$A26)*(Log!$B$4:$B$1203=N$25)*(Log!$E$4:$E$1203="A")*(Log!$F$4:$F$1203&lt;&gt;"")*Log!$F$4:$F$1203))))</f>
        <v/>
      </c>
      <c r="O26" s="74" t="str">
        <f aca="false">IF($A26="","",IF(SUMPRODUCT(MAX((Log!$D$4:$D$1203=$A26)*(Log!$B$4:$B$1203=O$25)*(Log!$E$4:$E$1203="A")*(Log!$F$4:$F$1203&lt;&gt;"")*Log!$F$4:$F$1203))=0,"",SUMPRODUCT(MAX((Log!$D$4:$D$1203=$A26)*(Log!$B$4:$B$1203=O$25)*(Log!$E$4:$E$1203="A")*(Log!$F$4:$F$1203&lt;&gt;"")*Log!$F$4:$F$1203))))</f>
        <v/>
      </c>
      <c r="P26" s="74" t="str">
        <f aca="false">IF($A26="","",IF(SUMPRODUCT(MAX((Log!$D$4:$D$1203=$A26)*(Log!$B$4:$B$1203=P$25)*(Log!$E$4:$E$1203="A")*(Log!$F$4:$F$1203&lt;&gt;"")*Log!$F$4:$F$1203))=0,"",SUMPRODUCT(MAX((Log!$D$4:$D$1203=$A26)*(Log!$B$4:$B$1203=P$25)*(Log!$E$4:$E$1203="A")*(Log!$F$4:$F$1203&lt;&gt;"")*Log!$F$4:$F$1203))))</f>
        <v/>
      </c>
      <c r="Q26" s="74" t="str">
        <f aca="false">IF($A26="","",IF(SUMPRODUCT(MAX((Log!$D$4:$D$1203=$A26)*(Log!$B$4:$B$1203=Q$25)*(Log!$E$4:$E$1203="A")*(Log!$F$4:$F$1203&lt;&gt;"")*Log!$F$4:$F$1203))=0,"",SUMPRODUCT(MAX((Log!$D$4:$D$1203=$A26)*(Log!$B$4:$B$1203=Q$25)*(Log!$E$4:$E$1203="A")*(Log!$F$4:$F$1203&lt;&gt;"")*Log!$F$4:$F$1203))))</f>
        <v/>
      </c>
      <c r="R26" s="75" t="n">
        <f aca="false">IF($A26="","",IF(SUMPRODUCT(MAX((Log!$D$4:$D$1203=$A26)*(Log!$E$4:$E$1203="A")*(Log!$F$4:$F$1203&lt;&gt;"")*Log!$F$4:$F$1203))=0,"",SUMPRODUCT(MAX((Log!$D$4:$D$1203=$A26)*(Log!$E$4:$E$1203="A")*(Log!$F$4:$F$1203&lt;&gt;"")*Log!$F$4:$F$1203))))</f>
        <v>333</v>
      </c>
    </row>
    <row r="27" customFormat="false" ht="16.5" hidden="false" customHeight="true" outlineLevel="0" collapsed="false">
      <c r="A27" s="32" t="str">
        <f aca="false">IF(Übungen!$A5="","",Übungen!$A5)</f>
        <v>Split Squat</v>
      </c>
      <c r="B27" s="76" t="n">
        <f aca="false">IF($A27="","",IF(SUMPRODUCT(MAX((Log!$D$4:$D$1203=$A27)*(Log!$B$4:$B$1203=B$25)*(Log!$E$4:$E$1203="A")*(Log!$F$4:$F$1203&lt;&gt;"")*Log!$F$4:$F$1203))=0,"",SUMPRODUCT(MAX((Log!$D$4:$D$1203=$A27)*(Log!$B$4:$B$1203=B$25)*(Log!$E$4:$E$1203="A")*(Log!$F$4:$F$1203&lt;&gt;"")*Log!$F$4:$F$1203))))</f>
        <v>100</v>
      </c>
      <c r="C27" s="76" t="n">
        <f aca="false">IF($A27="","",IF(SUMPRODUCT(MAX((Log!$D$4:$D$1203=$A27)*(Log!$B$4:$B$1203=C$25)*(Log!$E$4:$E$1203="A")*(Log!$F$4:$F$1203&lt;&gt;"")*Log!$F$4:$F$1203))=0,"",SUMPRODUCT(MAX((Log!$D$4:$D$1203=$A27)*(Log!$B$4:$B$1203=C$25)*(Log!$E$4:$E$1203="A")*(Log!$F$4:$F$1203&lt;&gt;"")*Log!$F$4:$F$1203))))</f>
        <v>105</v>
      </c>
      <c r="D27" s="76" t="n">
        <f aca="false">IF($A27="","",IF(SUMPRODUCT(MAX((Log!$D$4:$D$1203=$A27)*(Log!$B$4:$B$1203=D$25)*(Log!$E$4:$E$1203="A")*(Log!$F$4:$F$1203&lt;&gt;"")*Log!$F$4:$F$1203))=0,"",SUMPRODUCT(MAX((Log!$D$4:$D$1203=$A27)*(Log!$B$4:$B$1203=D$25)*(Log!$E$4:$E$1203="A")*(Log!$F$4:$F$1203&lt;&gt;"")*Log!$F$4:$F$1203))))</f>
        <v>100</v>
      </c>
      <c r="E27" s="76" t="n">
        <f aca="false">IF($A27="","",IF(SUMPRODUCT(MAX((Log!$D$4:$D$1203=$A27)*(Log!$B$4:$B$1203=E$25)*(Log!$E$4:$E$1203="A")*(Log!$F$4:$F$1203&lt;&gt;"")*Log!$F$4:$F$1203))=0,"",SUMPRODUCT(MAX((Log!$D$4:$D$1203=$A27)*(Log!$B$4:$B$1203=E$25)*(Log!$E$4:$E$1203="A")*(Log!$F$4:$F$1203&lt;&gt;"")*Log!$F$4:$F$1203))))</f>
        <v>80</v>
      </c>
      <c r="F27" s="76" t="n">
        <f aca="false">IF($A27="","",IF(SUMPRODUCT(MAX((Log!$D$4:$D$1203=$A27)*(Log!$B$4:$B$1203=F$25)*(Log!$E$4:$E$1203="A")*(Log!$F$4:$F$1203&lt;&gt;"")*Log!$F$4:$F$1203))=0,"",SUMPRODUCT(MAX((Log!$D$4:$D$1203=$A27)*(Log!$B$4:$B$1203=F$25)*(Log!$E$4:$E$1203="A")*(Log!$F$4:$F$1203&lt;&gt;"")*Log!$F$4:$F$1203))))</f>
        <v>100</v>
      </c>
      <c r="G27" s="76" t="n">
        <f aca="false">IF($A27="","",IF(SUMPRODUCT(MAX((Log!$D$4:$D$1203=$A27)*(Log!$B$4:$B$1203=G$25)*(Log!$E$4:$E$1203="A")*(Log!$F$4:$F$1203&lt;&gt;"")*Log!$F$4:$F$1203))=0,"",SUMPRODUCT(MAX((Log!$D$4:$D$1203=$A27)*(Log!$B$4:$B$1203=G$25)*(Log!$E$4:$E$1203="A")*(Log!$F$4:$F$1203&lt;&gt;"")*Log!$F$4:$F$1203))))</f>
        <v>100</v>
      </c>
      <c r="H27" s="76" t="str">
        <f aca="false">IF($A27="","",IF(SUMPRODUCT(MAX((Log!$D$4:$D$1203=$A27)*(Log!$B$4:$B$1203=H$25)*(Log!$E$4:$E$1203="A")*(Log!$F$4:$F$1203&lt;&gt;"")*Log!$F$4:$F$1203))=0,"",SUMPRODUCT(MAX((Log!$D$4:$D$1203=$A27)*(Log!$B$4:$B$1203=H$25)*(Log!$E$4:$E$1203="A")*(Log!$F$4:$F$1203&lt;&gt;"")*Log!$F$4:$F$1203))))</f>
        <v/>
      </c>
      <c r="I27" s="76" t="n">
        <f aca="false">IF($A27="","",IF(SUMPRODUCT(MAX((Log!$D$4:$D$1203=$A27)*(Log!$B$4:$B$1203=I$25)*(Log!$E$4:$E$1203="A")*(Log!$F$4:$F$1203&lt;&gt;"")*Log!$F$4:$F$1203))=0,"",SUMPRODUCT(MAX((Log!$D$4:$D$1203=$A27)*(Log!$B$4:$B$1203=I$25)*(Log!$E$4:$E$1203="A")*(Log!$F$4:$F$1203&lt;&gt;"")*Log!$F$4:$F$1203))))</f>
        <v>115</v>
      </c>
      <c r="J27" s="76" t="str">
        <f aca="false">IF($A27="","",IF(SUMPRODUCT(MAX((Log!$D$4:$D$1203=$A27)*(Log!$B$4:$B$1203=J$25)*(Log!$E$4:$E$1203="A")*(Log!$F$4:$F$1203&lt;&gt;"")*Log!$F$4:$F$1203))=0,"",SUMPRODUCT(MAX((Log!$D$4:$D$1203=$A27)*(Log!$B$4:$B$1203=J$25)*(Log!$E$4:$E$1203="A")*(Log!$F$4:$F$1203&lt;&gt;"")*Log!$F$4:$F$1203))))</f>
        <v/>
      </c>
      <c r="K27" s="76" t="str">
        <f aca="false">IF($A27="","",IF(SUMPRODUCT(MAX((Log!$D$4:$D$1203=$A27)*(Log!$B$4:$B$1203=K$25)*(Log!$E$4:$E$1203="A")*(Log!$F$4:$F$1203&lt;&gt;"")*Log!$F$4:$F$1203))=0,"",SUMPRODUCT(MAX((Log!$D$4:$D$1203=$A27)*(Log!$B$4:$B$1203=K$25)*(Log!$E$4:$E$1203="A")*(Log!$F$4:$F$1203&lt;&gt;"")*Log!$F$4:$F$1203))))</f>
        <v/>
      </c>
      <c r="L27" s="76" t="str">
        <f aca="false">IF($A27="","",IF(SUMPRODUCT(MAX((Log!$D$4:$D$1203=$A27)*(Log!$B$4:$B$1203=L$25)*(Log!$E$4:$E$1203="A")*(Log!$F$4:$F$1203&lt;&gt;"")*Log!$F$4:$F$1203))=0,"",SUMPRODUCT(MAX((Log!$D$4:$D$1203=$A27)*(Log!$B$4:$B$1203=L$25)*(Log!$E$4:$E$1203="A")*(Log!$F$4:$F$1203&lt;&gt;"")*Log!$F$4:$F$1203))))</f>
        <v/>
      </c>
      <c r="M27" s="76" t="str">
        <f aca="false">IF($A27="","",IF(SUMPRODUCT(MAX((Log!$D$4:$D$1203=$A27)*(Log!$B$4:$B$1203=M$25)*(Log!$E$4:$E$1203="A")*(Log!$F$4:$F$1203&lt;&gt;"")*Log!$F$4:$F$1203))=0,"",SUMPRODUCT(MAX((Log!$D$4:$D$1203=$A27)*(Log!$B$4:$B$1203=M$25)*(Log!$E$4:$E$1203="A")*(Log!$F$4:$F$1203&lt;&gt;"")*Log!$F$4:$F$1203))))</f>
        <v/>
      </c>
      <c r="N27" s="76" t="str">
        <f aca="false">IF($A27="","",IF(SUMPRODUCT(MAX((Log!$D$4:$D$1203=$A27)*(Log!$B$4:$B$1203=N$25)*(Log!$E$4:$E$1203="A")*(Log!$F$4:$F$1203&lt;&gt;"")*Log!$F$4:$F$1203))=0,"",SUMPRODUCT(MAX((Log!$D$4:$D$1203=$A27)*(Log!$B$4:$B$1203=N$25)*(Log!$E$4:$E$1203="A")*(Log!$F$4:$F$1203&lt;&gt;"")*Log!$F$4:$F$1203))))</f>
        <v/>
      </c>
      <c r="O27" s="76" t="str">
        <f aca="false">IF($A27="","",IF(SUMPRODUCT(MAX((Log!$D$4:$D$1203=$A27)*(Log!$B$4:$B$1203=O$25)*(Log!$E$4:$E$1203="A")*(Log!$F$4:$F$1203&lt;&gt;"")*Log!$F$4:$F$1203))=0,"",SUMPRODUCT(MAX((Log!$D$4:$D$1203=$A27)*(Log!$B$4:$B$1203=O$25)*(Log!$E$4:$E$1203="A")*(Log!$F$4:$F$1203&lt;&gt;"")*Log!$F$4:$F$1203))))</f>
        <v/>
      </c>
      <c r="P27" s="76" t="str">
        <f aca="false">IF($A27="","",IF(SUMPRODUCT(MAX((Log!$D$4:$D$1203=$A27)*(Log!$B$4:$B$1203=P$25)*(Log!$E$4:$E$1203="A")*(Log!$F$4:$F$1203&lt;&gt;"")*Log!$F$4:$F$1203))=0,"",SUMPRODUCT(MAX((Log!$D$4:$D$1203=$A27)*(Log!$B$4:$B$1203=P$25)*(Log!$E$4:$E$1203="A")*(Log!$F$4:$F$1203&lt;&gt;"")*Log!$F$4:$F$1203))))</f>
        <v/>
      </c>
      <c r="Q27" s="76" t="str">
        <f aca="false">IF($A27="","",IF(SUMPRODUCT(MAX((Log!$D$4:$D$1203=$A27)*(Log!$B$4:$B$1203=Q$25)*(Log!$E$4:$E$1203="A")*(Log!$F$4:$F$1203&lt;&gt;"")*Log!$F$4:$F$1203))=0,"",SUMPRODUCT(MAX((Log!$D$4:$D$1203=$A27)*(Log!$B$4:$B$1203=Q$25)*(Log!$E$4:$E$1203="A")*(Log!$F$4:$F$1203&lt;&gt;"")*Log!$F$4:$F$1203))))</f>
        <v/>
      </c>
      <c r="R27" s="75" t="n">
        <f aca="false">IF($A27="","",IF(SUMPRODUCT(MAX((Log!$D$4:$D$1203=$A27)*(Log!$E$4:$E$1203="A")*(Log!$F$4:$F$1203&lt;&gt;"")*Log!$F$4:$F$1203))=0,"",SUMPRODUCT(MAX((Log!$D$4:$D$1203=$A27)*(Log!$E$4:$E$1203="A")*(Log!$F$4:$F$1203&lt;&gt;"")*Log!$F$4:$F$1203))))</f>
        <v>115</v>
      </c>
    </row>
    <row r="28" customFormat="false" ht="16.5" hidden="false" customHeight="true" outlineLevel="0" collapsed="false">
      <c r="A28" s="26" t="str">
        <f aca="false">IF(Übungen!$A6="","",Übungen!$A6)</f>
        <v>Beinstrecker</v>
      </c>
      <c r="B28" s="74" t="n">
        <f aca="false">IF($A28="","",IF(SUMPRODUCT(MAX((Log!$D$4:$D$1203=$A28)*(Log!$B$4:$B$1203=B$25)*(Log!$E$4:$E$1203="A")*(Log!$F$4:$F$1203&lt;&gt;"")*Log!$F$4:$F$1203))=0,"",SUMPRODUCT(MAX((Log!$D$4:$D$1203=$A28)*(Log!$B$4:$B$1203=B$25)*(Log!$E$4:$E$1203="A")*(Log!$F$4:$F$1203&lt;&gt;"")*Log!$F$4:$F$1203))))</f>
        <v>75</v>
      </c>
      <c r="C28" s="74" t="n">
        <f aca="false">IF($A28="","",IF(SUMPRODUCT(MAX((Log!$D$4:$D$1203=$A28)*(Log!$B$4:$B$1203=C$25)*(Log!$E$4:$E$1203="A")*(Log!$F$4:$F$1203&lt;&gt;"")*Log!$F$4:$F$1203))=0,"",SUMPRODUCT(MAX((Log!$D$4:$D$1203=$A28)*(Log!$B$4:$B$1203=C$25)*(Log!$E$4:$E$1203="A")*(Log!$F$4:$F$1203&lt;&gt;"")*Log!$F$4:$F$1203))))</f>
        <v>80</v>
      </c>
      <c r="D28" s="74" t="n">
        <f aca="false">IF($A28="","",IF(SUMPRODUCT(MAX((Log!$D$4:$D$1203=$A28)*(Log!$B$4:$B$1203=D$25)*(Log!$E$4:$E$1203="A")*(Log!$F$4:$F$1203&lt;&gt;"")*Log!$F$4:$F$1203))=0,"",SUMPRODUCT(MAX((Log!$D$4:$D$1203=$A28)*(Log!$B$4:$B$1203=D$25)*(Log!$E$4:$E$1203="A")*(Log!$F$4:$F$1203&lt;&gt;"")*Log!$F$4:$F$1203))))</f>
        <v>85</v>
      </c>
      <c r="E28" s="74" t="n">
        <f aca="false">IF($A28="","",IF(SUMPRODUCT(MAX((Log!$D$4:$D$1203=$A28)*(Log!$B$4:$B$1203=E$25)*(Log!$E$4:$E$1203="A")*(Log!$F$4:$F$1203&lt;&gt;"")*Log!$F$4:$F$1203))=0,"",SUMPRODUCT(MAX((Log!$D$4:$D$1203=$A28)*(Log!$B$4:$B$1203=E$25)*(Log!$E$4:$E$1203="A")*(Log!$F$4:$F$1203&lt;&gt;"")*Log!$F$4:$F$1203))))</f>
        <v>80</v>
      </c>
      <c r="F28" s="74" t="n">
        <f aca="false">IF($A28="","",IF(SUMPRODUCT(MAX((Log!$D$4:$D$1203=$A28)*(Log!$B$4:$B$1203=F$25)*(Log!$E$4:$E$1203="A")*(Log!$F$4:$F$1203&lt;&gt;"")*Log!$F$4:$F$1203))=0,"",SUMPRODUCT(MAX((Log!$D$4:$D$1203=$A28)*(Log!$B$4:$B$1203=F$25)*(Log!$E$4:$E$1203="A")*(Log!$F$4:$F$1203&lt;&gt;"")*Log!$F$4:$F$1203))))</f>
        <v>80</v>
      </c>
      <c r="G28" s="74" t="n">
        <f aca="false">IF($A28="","",IF(SUMPRODUCT(MAX((Log!$D$4:$D$1203=$A28)*(Log!$B$4:$B$1203=G$25)*(Log!$E$4:$E$1203="A")*(Log!$F$4:$F$1203&lt;&gt;"")*Log!$F$4:$F$1203))=0,"",SUMPRODUCT(MAX((Log!$D$4:$D$1203=$A28)*(Log!$B$4:$B$1203=G$25)*(Log!$E$4:$E$1203="A")*(Log!$F$4:$F$1203&lt;&gt;"")*Log!$F$4:$F$1203))))</f>
        <v>95</v>
      </c>
      <c r="H28" s="74" t="str">
        <f aca="false">IF($A28="","",IF(SUMPRODUCT(MAX((Log!$D$4:$D$1203=$A28)*(Log!$B$4:$B$1203=H$25)*(Log!$E$4:$E$1203="A")*(Log!$F$4:$F$1203&lt;&gt;"")*Log!$F$4:$F$1203))=0,"",SUMPRODUCT(MAX((Log!$D$4:$D$1203=$A28)*(Log!$B$4:$B$1203=H$25)*(Log!$E$4:$E$1203="A")*(Log!$F$4:$F$1203&lt;&gt;"")*Log!$F$4:$F$1203))))</f>
        <v/>
      </c>
      <c r="I28" s="74" t="n">
        <f aca="false">IF($A28="","",IF(SUMPRODUCT(MAX((Log!$D$4:$D$1203=$A28)*(Log!$B$4:$B$1203=I$25)*(Log!$E$4:$E$1203="A")*(Log!$F$4:$F$1203&lt;&gt;"")*Log!$F$4:$F$1203))=0,"",SUMPRODUCT(MAX((Log!$D$4:$D$1203=$A28)*(Log!$B$4:$B$1203=I$25)*(Log!$E$4:$E$1203="A")*(Log!$F$4:$F$1203&lt;&gt;"")*Log!$F$4:$F$1203))))</f>
        <v>80</v>
      </c>
      <c r="J28" s="74" t="str">
        <f aca="false">IF($A28="","",IF(SUMPRODUCT(MAX((Log!$D$4:$D$1203=$A28)*(Log!$B$4:$B$1203=J$25)*(Log!$E$4:$E$1203="A")*(Log!$F$4:$F$1203&lt;&gt;"")*Log!$F$4:$F$1203))=0,"",SUMPRODUCT(MAX((Log!$D$4:$D$1203=$A28)*(Log!$B$4:$B$1203=J$25)*(Log!$E$4:$E$1203="A")*(Log!$F$4:$F$1203&lt;&gt;"")*Log!$F$4:$F$1203))))</f>
        <v/>
      </c>
      <c r="K28" s="74" t="str">
        <f aca="false">IF($A28="","",IF(SUMPRODUCT(MAX((Log!$D$4:$D$1203=$A28)*(Log!$B$4:$B$1203=K$25)*(Log!$E$4:$E$1203="A")*(Log!$F$4:$F$1203&lt;&gt;"")*Log!$F$4:$F$1203))=0,"",SUMPRODUCT(MAX((Log!$D$4:$D$1203=$A28)*(Log!$B$4:$B$1203=K$25)*(Log!$E$4:$E$1203="A")*(Log!$F$4:$F$1203&lt;&gt;"")*Log!$F$4:$F$1203))))</f>
        <v/>
      </c>
      <c r="L28" s="74" t="str">
        <f aca="false">IF($A28="","",IF(SUMPRODUCT(MAX((Log!$D$4:$D$1203=$A28)*(Log!$B$4:$B$1203=L$25)*(Log!$E$4:$E$1203="A")*(Log!$F$4:$F$1203&lt;&gt;"")*Log!$F$4:$F$1203))=0,"",SUMPRODUCT(MAX((Log!$D$4:$D$1203=$A28)*(Log!$B$4:$B$1203=L$25)*(Log!$E$4:$E$1203="A")*(Log!$F$4:$F$1203&lt;&gt;"")*Log!$F$4:$F$1203))))</f>
        <v/>
      </c>
      <c r="M28" s="74" t="str">
        <f aca="false">IF($A28="","",IF(SUMPRODUCT(MAX((Log!$D$4:$D$1203=$A28)*(Log!$B$4:$B$1203=M$25)*(Log!$E$4:$E$1203="A")*(Log!$F$4:$F$1203&lt;&gt;"")*Log!$F$4:$F$1203))=0,"",SUMPRODUCT(MAX((Log!$D$4:$D$1203=$A28)*(Log!$B$4:$B$1203=M$25)*(Log!$E$4:$E$1203="A")*(Log!$F$4:$F$1203&lt;&gt;"")*Log!$F$4:$F$1203))))</f>
        <v/>
      </c>
      <c r="N28" s="74" t="str">
        <f aca="false">IF($A28="","",IF(SUMPRODUCT(MAX((Log!$D$4:$D$1203=$A28)*(Log!$B$4:$B$1203=N$25)*(Log!$E$4:$E$1203="A")*(Log!$F$4:$F$1203&lt;&gt;"")*Log!$F$4:$F$1203))=0,"",SUMPRODUCT(MAX((Log!$D$4:$D$1203=$A28)*(Log!$B$4:$B$1203=N$25)*(Log!$E$4:$E$1203="A")*(Log!$F$4:$F$1203&lt;&gt;"")*Log!$F$4:$F$1203))))</f>
        <v/>
      </c>
      <c r="O28" s="74" t="str">
        <f aca="false">IF($A28="","",IF(SUMPRODUCT(MAX((Log!$D$4:$D$1203=$A28)*(Log!$B$4:$B$1203=O$25)*(Log!$E$4:$E$1203="A")*(Log!$F$4:$F$1203&lt;&gt;"")*Log!$F$4:$F$1203))=0,"",SUMPRODUCT(MAX((Log!$D$4:$D$1203=$A28)*(Log!$B$4:$B$1203=O$25)*(Log!$E$4:$E$1203="A")*(Log!$F$4:$F$1203&lt;&gt;"")*Log!$F$4:$F$1203))))</f>
        <v/>
      </c>
      <c r="P28" s="74" t="str">
        <f aca="false">IF($A28="","",IF(SUMPRODUCT(MAX((Log!$D$4:$D$1203=$A28)*(Log!$B$4:$B$1203=P$25)*(Log!$E$4:$E$1203="A")*(Log!$F$4:$F$1203&lt;&gt;"")*Log!$F$4:$F$1203))=0,"",SUMPRODUCT(MAX((Log!$D$4:$D$1203=$A28)*(Log!$B$4:$B$1203=P$25)*(Log!$E$4:$E$1203="A")*(Log!$F$4:$F$1203&lt;&gt;"")*Log!$F$4:$F$1203))))</f>
        <v/>
      </c>
      <c r="Q28" s="74" t="str">
        <f aca="false">IF($A28="","",IF(SUMPRODUCT(MAX((Log!$D$4:$D$1203=$A28)*(Log!$B$4:$B$1203=Q$25)*(Log!$E$4:$E$1203="A")*(Log!$F$4:$F$1203&lt;&gt;"")*Log!$F$4:$F$1203))=0,"",SUMPRODUCT(MAX((Log!$D$4:$D$1203=$A28)*(Log!$B$4:$B$1203=Q$25)*(Log!$E$4:$E$1203="A")*(Log!$F$4:$F$1203&lt;&gt;"")*Log!$F$4:$F$1203))))</f>
        <v/>
      </c>
      <c r="R28" s="75" t="n">
        <f aca="false">IF($A28="","",IF(SUMPRODUCT(MAX((Log!$D$4:$D$1203=$A28)*(Log!$E$4:$E$1203="A")*(Log!$F$4:$F$1203&lt;&gt;"")*Log!$F$4:$F$1203))=0,"",SUMPRODUCT(MAX((Log!$D$4:$D$1203=$A28)*(Log!$E$4:$E$1203="A")*(Log!$F$4:$F$1203&lt;&gt;"")*Log!$F$4:$F$1203))))</f>
        <v>95</v>
      </c>
    </row>
    <row r="29" customFormat="false" ht="16.5" hidden="false" customHeight="true" outlineLevel="0" collapsed="false">
      <c r="A29" s="32" t="str">
        <f aca="false">IF(Übungen!$A7="","",Übungen!$A7)</f>
        <v>Adduktion</v>
      </c>
      <c r="B29" s="76" t="n">
        <f aca="false">IF($A29="","",IF(SUMPRODUCT(MAX((Log!$D$4:$D$1203=$A29)*(Log!$B$4:$B$1203=B$25)*(Log!$E$4:$E$1203="A")*(Log!$F$4:$F$1203&lt;&gt;"")*Log!$F$4:$F$1203))=0,"",SUMPRODUCT(MAX((Log!$D$4:$D$1203=$A29)*(Log!$B$4:$B$1203=B$25)*(Log!$E$4:$E$1203="A")*(Log!$F$4:$F$1203&lt;&gt;"")*Log!$F$4:$F$1203))))</f>
        <v>152.5</v>
      </c>
      <c r="C29" s="76" t="n">
        <f aca="false">IF($A29="","",IF(SUMPRODUCT(MAX((Log!$D$4:$D$1203=$A29)*(Log!$B$4:$B$1203=C$25)*(Log!$E$4:$E$1203="A")*(Log!$F$4:$F$1203&lt;&gt;"")*Log!$F$4:$F$1203))=0,"",SUMPRODUCT(MAX((Log!$D$4:$D$1203=$A29)*(Log!$B$4:$B$1203=C$25)*(Log!$E$4:$E$1203="A")*(Log!$F$4:$F$1203&lt;&gt;"")*Log!$F$4:$F$1203))))</f>
        <v>152.5</v>
      </c>
      <c r="D29" s="76" t="n">
        <f aca="false">IF($A29="","",IF(SUMPRODUCT(MAX((Log!$D$4:$D$1203=$A29)*(Log!$B$4:$B$1203=D$25)*(Log!$E$4:$E$1203="A")*(Log!$F$4:$F$1203&lt;&gt;"")*Log!$F$4:$F$1203))=0,"",SUMPRODUCT(MAX((Log!$D$4:$D$1203=$A29)*(Log!$B$4:$B$1203=D$25)*(Log!$E$4:$E$1203="A")*(Log!$F$4:$F$1203&lt;&gt;"")*Log!$F$4:$F$1203))))</f>
        <v>152.5</v>
      </c>
      <c r="E29" s="76" t="n">
        <f aca="false">IF($A29="","",IF(SUMPRODUCT(MAX((Log!$D$4:$D$1203=$A29)*(Log!$B$4:$B$1203=E$25)*(Log!$E$4:$E$1203="A")*(Log!$F$4:$F$1203&lt;&gt;"")*Log!$F$4:$F$1203))=0,"",SUMPRODUCT(MAX((Log!$D$4:$D$1203=$A29)*(Log!$B$4:$B$1203=E$25)*(Log!$E$4:$E$1203="A")*(Log!$F$4:$F$1203&lt;&gt;"")*Log!$F$4:$F$1203))))</f>
        <v>152.5</v>
      </c>
      <c r="F29" s="76" t="n">
        <f aca="false">IF($A29="","",IF(SUMPRODUCT(MAX((Log!$D$4:$D$1203=$A29)*(Log!$B$4:$B$1203=F$25)*(Log!$E$4:$E$1203="A")*(Log!$F$4:$F$1203&lt;&gt;"")*Log!$F$4:$F$1203))=0,"",SUMPRODUCT(MAX((Log!$D$4:$D$1203=$A29)*(Log!$B$4:$B$1203=F$25)*(Log!$E$4:$E$1203="A")*(Log!$F$4:$F$1203&lt;&gt;"")*Log!$F$4:$F$1203))))</f>
        <v>162.5</v>
      </c>
      <c r="G29" s="76" t="n">
        <f aca="false">IF($A29="","",IF(SUMPRODUCT(MAX((Log!$D$4:$D$1203=$A29)*(Log!$B$4:$B$1203=G$25)*(Log!$E$4:$E$1203="A")*(Log!$F$4:$F$1203&lt;&gt;"")*Log!$F$4:$F$1203))=0,"",SUMPRODUCT(MAX((Log!$D$4:$D$1203=$A29)*(Log!$B$4:$B$1203=G$25)*(Log!$E$4:$E$1203="A")*(Log!$F$4:$F$1203&lt;&gt;"")*Log!$F$4:$F$1203))))</f>
        <v>180</v>
      </c>
      <c r="H29" s="76" t="str">
        <f aca="false">IF($A29="","",IF(SUMPRODUCT(MAX((Log!$D$4:$D$1203=$A29)*(Log!$B$4:$B$1203=H$25)*(Log!$E$4:$E$1203="A")*(Log!$F$4:$F$1203&lt;&gt;"")*Log!$F$4:$F$1203))=0,"",SUMPRODUCT(MAX((Log!$D$4:$D$1203=$A29)*(Log!$B$4:$B$1203=H$25)*(Log!$E$4:$E$1203="A")*(Log!$F$4:$F$1203&lt;&gt;"")*Log!$F$4:$F$1203))))</f>
        <v/>
      </c>
      <c r="I29" s="76" t="n">
        <f aca="false">IF($A29="","",IF(SUMPRODUCT(MAX((Log!$D$4:$D$1203=$A29)*(Log!$B$4:$B$1203=I$25)*(Log!$E$4:$E$1203="A")*(Log!$F$4:$F$1203&lt;&gt;"")*Log!$F$4:$F$1203))=0,"",SUMPRODUCT(MAX((Log!$D$4:$D$1203=$A29)*(Log!$B$4:$B$1203=I$25)*(Log!$E$4:$E$1203="A")*(Log!$F$4:$F$1203&lt;&gt;"")*Log!$F$4:$F$1203))))</f>
        <v>185</v>
      </c>
      <c r="J29" s="76" t="str">
        <f aca="false">IF($A29="","",IF(SUMPRODUCT(MAX((Log!$D$4:$D$1203=$A29)*(Log!$B$4:$B$1203=J$25)*(Log!$E$4:$E$1203="A")*(Log!$F$4:$F$1203&lt;&gt;"")*Log!$F$4:$F$1203))=0,"",SUMPRODUCT(MAX((Log!$D$4:$D$1203=$A29)*(Log!$B$4:$B$1203=J$25)*(Log!$E$4:$E$1203="A")*(Log!$F$4:$F$1203&lt;&gt;"")*Log!$F$4:$F$1203))))</f>
        <v/>
      </c>
      <c r="K29" s="76" t="str">
        <f aca="false">IF($A29="","",IF(SUMPRODUCT(MAX((Log!$D$4:$D$1203=$A29)*(Log!$B$4:$B$1203=K$25)*(Log!$E$4:$E$1203="A")*(Log!$F$4:$F$1203&lt;&gt;"")*Log!$F$4:$F$1203))=0,"",SUMPRODUCT(MAX((Log!$D$4:$D$1203=$A29)*(Log!$B$4:$B$1203=K$25)*(Log!$E$4:$E$1203="A")*(Log!$F$4:$F$1203&lt;&gt;"")*Log!$F$4:$F$1203))))</f>
        <v/>
      </c>
      <c r="L29" s="76" t="str">
        <f aca="false">IF($A29="","",IF(SUMPRODUCT(MAX((Log!$D$4:$D$1203=$A29)*(Log!$B$4:$B$1203=L$25)*(Log!$E$4:$E$1203="A")*(Log!$F$4:$F$1203&lt;&gt;"")*Log!$F$4:$F$1203))=0,"",SUMPRODUCT(MAX((Log!$D$4:$D$1203=$A29)*(Log!$B$4:$B$1203=L$25)*(Log!$E$4:$E$1203="A")*(Log!$F$4:$F$1203&lt;&gt;"")*Log!$F$4:$F$1203))))</f>
        <v/>
      </c>
      <c r="M29" s="76" t="str">
        <f aca="false">IF($A29="","",IF(SUMPRODUCT(MAX((Log!$D$4:$D$1203=$A29)*(Log!$B$4:$B$1203=M$25)*(Log!$E$4:$E$1203="A")*(Log!$F$4:$F$1203&lt;&gt;"")*Log!$F$4:$F$1203))=0,"",SUMPRODUCT(MAX((Log!$D$4:$D$1203=$A29)*(Log!$B$4:$B$1203=M$25)*(Log!$E$4:$E$1203="A")*(Log!$F$4:$F$1203&lt;&gt;"")*Log!$F$4:$F$1203))))</f>
        <v/>
      </c>
      <c r="N29" s="76" t="str">
        <f aca="false">IF($A29="","",IF(SUMPRODUCT(MAX((Log!$D$4:$D$1203=$A29)*(Log!$B$4:$B$1203=N$25)*(Log!$E$4:$E$1203="A")*(Log!$F$4:$F$1203&lt;&gt;"")*Log!$F$4:$F$1203))=0,"",SUMPRODUCT(MAX((Log!$D$4:$D$1203=$A29)*(Log!$B$4:$B$1203=N$25)*(Log!$E$4:$E$1203="A")*(Log!$F$4:$F$1203&lt;&gt;"")*Log!$F$4:$F$1203))))</f>
        <v/>
      </c>
      <c r="O29" s="76" t="str">
        <f aca="false">IF($A29="","",IF(SUMPRODUCT(MAX((Log!$D$4:$D$1203=$A29)*(Log!$B$4:$B$1203=O$25)*(Log!$E$4:$E$1203="A")*(Log!$F$4:$F$1203&lt;&gt;"")*Log!$F$4:$F$1203))=0,"",SUMPRODUCT(MAX((Log!$D$4:$D$1203=$A29)*(Log!$B$4:$B$1203=O$25)*(Log!$E$4:$E$1203="A")*(Log!$F$4:$F$1203&lt;&gt;"")*Log!$F$4:$F$1203))))</f>
        <v/>
      </c>
      <c r="P29" s="76" t="str">
        <f aca="false">IF($A29="","",IF(SUMPRODUCT(MAX((Log!$D$4:$D$1203=$A29)*(Log!$B$4:$B$1203=P$25)*(Log!$E$4:$E$1203="A")*(Log!$F$4:$F$1203&lt;&gt;"")*Log!$F$4:$F$1203))=0,"",SUMPRODUCT(MAX((Log!$D$4:$D$1203=$A29)*(Log!$B$4:$B$1203=P$25)*(Log!$E$4:$E$1203="A")*(Log!$F$4:$F$1203&lt;&gt;"")*Log!$F$4:$F$1203))))</f>
        <v/>
      </c>
      <c r="Q29" s="76" t="str">
        <f aca="false">IF($A29="","",IF(SUMPRODUCT(MAX((Log!$D$4:$D$1203=$A29)*(Log!$B$4:$B$1203=Q$25)*(Log!$E$4:$E$1203="A")*(Log!$F$4:$F$1203&lt;&gt;"")*Log!$F$4:$F$1203))=0,"",SUMPRODUCT(MAX((Log!$D$4:$D$1203=$A29)*(Log!$B$4:$B$1203=Q$25)*(Log!$E$4:$E$1203="A")*(Log!$F$4:$F$1203&lt;&gt;"")*Log!$F$4:$F$1203))))</f>
        <v/>
      </c>
      <c r="R29" s="75" t="n">
        <f aca="false">IF($A29="","",IF(SUMPRODUCT(MAX((Log!$D$4:$D$1203=$A29)*(Log!$E$4:$E$1203="A")*(Log!$F$4:$F$1203&lt;&gt;"")*Log!$F$4:$F$1203))=0,"",SUMPRODUCT(MAX((Log!$D$4:$D$1203=$A29)*(Log!$E$4:$E$1203="A")*(Log!$F$4:$F$1203&lt;&gt;"")*Log!$F$4:$F$1203))))</f>
        <v>185</v>
      </c>
    </row>
    <row r="30" customFormat="false" ht="16.5" hidden="false" customHeight="true" outlineLevel="0" collapsed="false">
      <c r="A30" s="26" t="str">
        <f aca="false">IF(Übungen!$A8="","",Übungen!$A8)</f>
        <v>Rumänisches Kreuzheben</v>
      </c>
      <c r="B30" s="74" t="str">
        <f aca="false">IF($A30="","",IF(SUMPRODUCT(MAX((Log!$D$4:$D$1203=$A30)*(Log!$B$4:$B$1203=B$25)*(Log!$E$4:$E$1203="A")*(Log!$F$4:$F$1203&lt;&gt;"")*Log!$F$4:$F$1203))=0,"",SUMPRODUCT(MAX((Log!$D$4:$D$1203=$A30)*(Log!$B$4:$B$1203=B$25)*(Log!$E$4:$E$1203="A")*(Log!$F$4:$F$1203&lt;&gt;"")*Log!$F$4:$F$1203))))</f>
        <v/>
      </c>
      <c r="C30" s="74" t="str">
        <f aca="false">IF($A30="","",IF(SUMPRODUCT(MAX((Log!$D$4:$D$1203=$A30)*(Log!$B$4:$B$1203=C$25)*(Log!$E$4:$E$1203="A")*(Log!$F$4:$F$1203&lt;&gt;"")*Log!$F$4:$F$1203))=0,"",SUMPRODUCT(MAX((Log!$D$4:$D$1203=$A30)*(Log!$B$4:$B$1203=C$25)*(Log!$E$4:$E$1203="A")*(Log!$F$4:$F$1203&lt;&gt;"")*Log!$F$4:$F$1203))))</f>
        <v/>
      </c>
      <c r="D30" s="74" t="str">
        <f aca="false">IF($A30="","",IF(SUMPRODUCT(MAX((Log!$D$4:$D$1203=$A30)*(Log!$B$4:$B$1203=D$25)*(Log!$E$4:$E$1203="A")*(Log!$F$4:$F$1203&lt;&gt;"")*Log!$F$4:$F$1203))=0,"",SUMPRODUCT(MAX((Log!$D$4:$D$1203=$A30)*(Log!$B$4:$B$1203=D$25)*(Log!$E$4:$E$1203="A")*(Log!$F$4:$F$1203&lt;&gt;"")*Log!$F$4:$F$1203))))</f>
        <v/>
      </c>
      <c r="E30" s="74" t="str">
        <f aca="false">IF($A30="","",IF(SUMPRODUCT(MAX((Log!$D$4:$D$1203=$A30)*(Log!$B$4:$B$1203=E$25)*(Log!$E$4:$E$1203="A")*(Log!$F$4:$F$1203&lt;&gt;"")*Log!$F$4:$F$1203))=0,"",SUMPRODUCT(MAX((Log!$D$4:$D$1203=$A30)*(Log!$B$4:$B$1203=E$25)*(Log!$E$4:$E$1203="A")*(Log!$F$4:$F$1203&lt;&gt;"")*Log!$F$4:$F$1203))))</f>
        <v/>
      </c>
      <c r="F30" s="74" t="n">
        <f aca="false">IF($A30="","",IF(SUMPRODUCT(MAX((Log!$D$4:$D$1203=$A30)*(Log!$B$4:$B$1203=F$25)*(Log!$E$4:$E$1203="A")*(Log!$F$4:$F$1203&lt;&gt;"")*Log!$F$4:$F$1203))=0,"",SUMPRODUCT(MAX((Log!$D$4:$D$1203=$A30)*(Log!$B$4:$B$1203=F$25)*(Log!$E$4:$E$1203="A")*(Log!$F$4:$F$1203&lt;&gt;"")*Log!$F$4:$F$1203))))</f>
        <v>110</v>
      </c>
      <c r="G30" s="74" t="str">
        <f aca="false">IF($A30="","",IF(SUMPRODUCT(MAX((Log!$D$4:$D$1203=$A30)*(Log!$B$4:$B$1203=G$25)*(Log!$E$4:$E$1203="A")*(Log!$F$4:$F$1203&lt;&gt;"")*Log!$F$4:$F$1203))=0,"",SUMPRODUCT(MAX((Log!$D$4:$D$1203=$A30)*(Log!$B$4:$B$1203=G$25)*(Log!$E$4:$E$1203="A")*(Log!$F$4:$F$1203&lt;&gt;"")*Log!$F$4:$F$1203))))</f>
        <v/>
      </c>
      <c r="H30" s="74" t="n">
        <f aca="false">IF($A30="","",IF(SUMPRODUCT(MAX((Log!$D$4:$D$1203=$A30)*(Log!$B$4:$B$1203=H$25)*(Log!$E$4:$E$1203="A")*(Log!$F$4:$F$1203&lt;&gt;"")*Log!$F$4:$F$1203))=0,"",SUMPRODUCT(MAX((Log!$D$4:$D$1203=$A30)*(Log!$B$4:$B$1203=H$25)*(Log!$E$4:$E$1203="A")*(Log!$F$4:$F$1203&lt;&gt;"")*Log!$F$4:$F$1203))))</f>
        <v>135</v>
      </c>
      <c r="I30" s="74" t="str">
        <f aca="false">IF($A30="","",IF(SUMPRODUCT(MAX((Log!$D$4:$D$1203=$A30)*(Log!$B$4:$B$1203=I$25)*(Log!$E$4:$E$1203="A")*(Log!$F$4:$F$1203&lt;&gt;"")*Log!$F$4:$F$1203))=0,"",SUMPRODUCT(MAX((Log!$D$4:$D$1203=$A30)*(Log!$B$4:$B$1203=I$25)*(Log!$E$4:$E$1203="A")*(Log!$F$4:$F$1203&lt;&gt;"")*Log!$F$4:$F$1203))))</f>
        <v/>
      </c>
      <c r="J30" s="74" t="str">
        <f aca="false">IF($A30="","",IF(SUMPRODUCT(MAX((Log!$D$4:$D$1203=$A30)*(Log!$B$4:$B$1203=J$25)*(Log!$E$4:$E$1203="A")*(Log!$F$4:$F$1203&lt;&gt;"")*Log!$F$4:$F$1203))=0,"",SUMPRODUCT(MAX((Log!$D$4:$D$1203=$A30)*(Log!$B$4:$B$1203=J$25)*(Log!$E$4:$E$1203="A")*(Log!$F$4:$F$1203&lt;&gt;"")*Log!$F$4:$F$1203))))</f>
        <v/>
      </c>
      <c r="K30" s="74" t="str">
        <f aca="false">IF($A30="","",IF(SUMPRODUCT(MAX((Log!$D$4:$D$1203=$A30)*(Log!$B$4:$B$1203=K$25)*(Log!$E$4:$E$1203="A")*(Log!$F$4:$F$1203&lt;&gt;"")*Log!$F$4:$F$1203))=0,"",SUMPRODUCT(MAX((Log!$D$4:$D$1203=$A30)*(Log!$B$4:$B$1203=K$25)*(Log!$E$4:$E$1203="A")*(Log!$F$4:$F$1203&lt;&gt;"")*Log!$F$4:$F$1203))))</f>
        <v/>
      </c>
      <c r="L30" s="74" t="str">
        <f aca="false">IF($A30="","",IF(SUMPRODUCT(MAX((Log!$D$4:$D$1203=$A30)*(Log!$B$4:$B$1203=L$25)*(Log!$E$4:$E$1203="A")*(Log!$F$4:$F$1203&lt;&gt;"")*Log!$F$4:$F$1203))=0,"",SUMPRODUCT(MAX((Log!$D$4:$D$1203=$A30)*(Log!$B$4:$B$1203=L$25)*(Log!$E$4:$E$1203="A")*(Log!$F$4:$F$1203&lt;&gt;"")*Log!$F$4:$F$1203))))</f>
        <v/>
      </c>
      <c r="M30" s="74" t="str">
        <f aca="false">IF($A30="","",IF(SUMPRODUCT(MAX((Log!$D$4:$D$1203=$A30)*(Log!$B$4:$B$1203=M$25)*(Log!$E$4:$E$1203="A")*(Log!$F$4:$F$1203&lt;&gt;"")*Log!$F$4:$F$1203))=0,"",SUMPRODUCT(MAX((Log!$D$4:$D$1203=$A30)*(Log!$B$4:$B$1203=M$25)*(Log!$E$4:$E$1203="A")*(Log!$F$4:$F$1203&lt;&gt;"")*Log!$F$4:$F$1203))))</f>
        <v/>
      </c>
      <c r="N30" s="74" t="str">
        <f aca="false">IF($A30="","",IF(SUMPRODUCT(MAX((Log!$D$4:$D$1203=$A30)*(Log!$B$4:$B$1203=N$25)*(Log!$E$4:$E$1203="A")*(Log!$F$4:$F$1203&lt;&gt;"")*Log!$F$4:$F$1203))=0,"",SUMPRODUCT(MAX((Log!$D$4:$D$1203=$A30)*(Log!$B$4:$B$1203=N$25)*(Log!$E$4:$E$1203="A")*(Log!$F$4:$F$1203&lt;&gt;"")*Log!$F$4:$F$1203))))</f>
        <v/>
      </c>
      <c r="O30" s="74" t="str">
        <f aca="false">IF($A30="","",IF(SUMPRODUCT(MAX((Log!$D$4:$D$1203=$A30)*(Log!$B$4:$B$1203=O$25)*(Log!$E$4:$E$1203="A")*(Log!$F$4:$F$1203&lt;&gt;"")*Log!$F$4:$F$1203))=0,"",SUMPRODUCT(MAX((Log!$D$4:$D$1203=$A30)*(Log!$B$4:$B$1203=O$25)*(Log!$E$4:$E$1203="A")*(Log!$F$4:$F$1203&lt;&gt;"")*Log!$F$4:$F$1203))))</f>
        <v/>
      </c>
      <c r="P30" s="74" t="str">
        <f aca="false">IF($A30="","",IF(SUMPRODUCT(MAX((Log!$D$4:$D$1203=$A30)*(Log!$B$4:$B$1203=P$25)*(Log!$E$4:$E$1203="A")*(Log!$F$4:$F$1203&lt;&gt;"")*Log!$F$4:$F$1203))=0,"",SUMPRODUCT(MAX((Log!$D$4:$D$1203=$A30)*(Log!$B$4:$B$1203=P$25)*(Log!$E$4:$E$1203="A")*(Log!$F$4:$F$1203&lt;&gt;"")*Log!$F$4:$F$1203))))</f>
        <v/>
      </c>
      <c r="Q30" s="74" t="str">
        <f aca="false">IF($A30="","",IF(SUMPRODUCT(MAX((Log!$D$4:$D$1203=$A30)*(Log!$B$4:$B$1203=Q$25)*(Log!$E$4:$E$1203="A")*(Log!$F$4:$F$1203&lt;&gt;"")*Log!$F$4:$F$1203))=0,"",SUMPRODUCT(MAX((Log!$D$4:$D$1203=$A30)*(Log!$B$4:$B$1203=Q$25)*(Log!$E$4:$E$1203="A")*(Log!$F$4:$F$1203&lt;&gt;"")*Log!$F$4:$F$1203))))</f>
        <v/>
      </c>
      <c r="R30" s="75" t="n">
        <f aca="false">IF($A30="","",IF(SUMPRODUCT(MAX((Log!$D$4:$D$1203=$A30)*(Log!$E$4:$E$1203="A")*(Log!$F$4:$F$1203&lt;&gt;"")*Log!$F$4:$F$1203))=0,"",SUMPRODUCT(MAX((Log!$D$4:$D$1203=$A30)*(Log!$E$4:$E$1203="A")*(Log!$F$4:$F$1203&lt;&gt;"")*Log!$F$4:$F$1203))))</f>
        <v>135</v>
      </c>
    </row>
    <row r="31" customFormat="false" ht="16.5" hidden="false" customHeight="true" outlineLevel="0" collapsed="false">
      <c r="A31" s="32" t="str">
        <f aca="false">IF(Übungen!$A9="","",Übungen!$A9)</f>
        <v>Beinpresse breit</v>
      </c>
      <c r="B31" s="76" t="str">
        <f aca="false">IF($A31="","",IF(SUMPRODUCT(MAX((Log!$D$4:$D$1203=$A31)*(Log!$B$4:$B$1203=B$25)*(Log!$E$4:$E$1203="A")*(Log!$F$4:$F$1203&lt;&gt;"")*Log!$F$4:$F$1203))=0,"",SUMPRODUCT(MAX((Log!$D$4:$D$1203=$A31)*(Log!$B$4:$B$1203=B$25)*(Log!$E$4:$E$1203="A")*(Log!$F$4:$F$1203&lt;&gt;"")*Log!$F$4:$F$1203))))</f>
        <v/>
      </c>
      <c r="C31" s="76" t="str">
        <f aca="false">IF($A31="","",IF(SUMPRODUCT(MAX((Log!$D$4:$D$1203=$A31)*(Log!$B$4:$B$1203=C$25)*(Log!$E$4:$E$1203="A")*(Log!$F$4:$F$1203&lt;&gt;"")*Log!$F$4:$F$1203))=0,"",SUMPRODUCT(MAX((Log!$D$4:$D$1203=$A31)*(Log!$B$4:$B$1203=C$25)*(Log!$E$4:$E$1203="A")*(Log!$F$4:$F$1203&lt;&gt;"")*Log!$F$4:$F$1203))))</f>
        <v/>
      </c>
      <c r="D31" s="76" t="str">
        <f aca="false">IF($A31="","",IF(SUMPRODUCT(MAX((Log!$D$4:$D$1203=$A31)*(Log!$B$4:$B$1203=D$25)*(Log!$E$4:$E$1203="A")*(Log!$F$4:$F$1203&lt;&gt;"")*Log!$F$4:$F$1203))=0,"",SUMPRODUCT(MAX((Log!$D$4:$D$1203=$A31)*(Log!$B$4:$B$1203=D$25)*(Log!$E$4:$E$1203="A")*(Log!$F$4:$F$1203&lt;&gt;"")*Log!$F$4:$F$1203))))</f>
        <v/>
      </c>
      <c r="E31" s="76" t="str">
        <f aca="false">IF($A31="","",IF(SUMPRODUCT(MAX((Log!$D$4:$D$1203=$A31)*(Log!$B$4:$B$1203=E$25)*(Log!$E$4:$E$1203="A")*(Log!$F$4:$F$1203&lt;&gt;"")*Log!$F$4:$F$1203))=0,"",SUMPRODUCT(MAX((Log!$D$4:$D$1203=$A31)*(Log!$B$4:$B$1203=E$25)*(Log!$E$4:$E$1203="A")*(Log!$F$4:$F$1203&lt;&gt;"")*Log!$F$4:$F$1203))))</f>
        <v/>
      </c>
      <c r="F31" s="76" t="str">
        <f aca="false">IF($A31="","",IF(SUMPRODUCT(MAX((Log!$D$4:$D$1203=$A31)*(Log!$B$4:$B$1203=F$25)*(Log!$E$4:$E$1203="A")*(Log!$F$4:$F$1203&lt;&gt;"")*Log!$F$4:$F$1203))=0,"",SUMPRODUCT(MAX((Log!$D$4:$D$1203=$A31)*(Log!$B$4:$B$1203=F$25)*(Log!$E$4:$E$1203="A")*(Log!$F$4:$F$1203&lt;&gt;"")*Log!$F$4:$F$1203))))</f>
        <v/>
      </c>
      <c r="G31" s="76" t="str">
        <f aca="false">IF($A31="","",IF(SUMPRODUCT(MAX((Log!$D$4:$D$1203=$A31)*(Log!$B$4:$B$1203=G$25)*(Log!$E$4:$E$1203="A")*(Log!$F$4:$F$1203&lt;&gt;"")*Log!$F$4:$F$1203))=0,"",SUMPRODUCT(MAX((Log!$D$4:$D$1203=$A31)*(Log!$B$4:$B$1203=G$25)*(Log!$E$4:$E$1203="A")*(Log!$F$4:$F$1203&lt;&gt;"")*Log!$F$4:$F$1203))))</f>
        <v/>
      </c>
      <c r="H31" s="76" t="str">
        <f aca="false">IF($A31="","",IF(SUMPRODUCT(MAX((Log!$D$4:$D$1203=$A31)*(Log!$B$4:$B$1203=H$25)*(Log!$E$4:$E$1203="A")*(Log!$F$4:$F$1203&lt;&gt;"")*Log!$F$4:$F$1203))=0,"",SUMPRODUCT(MAX((Log!$D$4:$D$1203=$A31)*(Log!$B$4:$B$1203=H$25)*(Log!$E$4:$E$1203="A")*(Log!$F$4:$F$1203&lt;&gt;"")*Log!$F$4:$F$1203))))</f>
        <v/>
      </c>
      <c r="I31" s="76" t="str">
        <f aca="false">IF($A31="","",IF(SUMPRODUCT(MAX((Log!$D$4:$D$1203=$A31)*(Log!$B$4:$B$1203=I$25)*(Log!$E$4:$E$1203="A")*(Log!$F$4:$F$1203&lt;&gt;"")*Log!$F$4:$F$1203))=0,"",SUMPRODUCT(MAX((Log!$D$4:$D$1203=$A31)*(Log!$B$4:$B$1203=I$25)*(Log!$E$4:$E$1203="A")*(Log!$F$4:$F$1203&lt;&gt;"")*Log!$F$4:$F$1203))))</f>
        <v/>
      </c>
      <c r="J31" s="76" t="str">
        <f aca="false">IF($A31="","",IF(SUMPRODUCT(MAX((Log!$D$4:$D$1203=$A31)*(Log!$B$4:$B$1203=J$25)*(Log!$E$4:$E$1203="A")*(Log!$F$4:$F$1203&lt;&gt;"")*Log!$F$4:$F$1203))=0,"",SUMPRODUCT(MAX((Log!$D$4:$D$1203=$A31)*(Log!$B$4:$B$1203=J$25)*(Log!$E$4:$E$1203="A")*(Log!$F$4:$F$1203&lt;&gt;"")*Log!$F$4:$F$1203))))</f>
        <v/>
      </c>
      <c r="K31" s="76" t="str">
        <f aca="false">IF($A31="","",IF(SUMPRODUCT(MAX((Log!$D$4:$D$1203=$A31)*(Log!$B$4:$B$1203=K$25)*(Log!$E$4:$E$1203="A")*(Log!$F$4:$F$1203&lt;&gt;"")*Log!$F$4:$F$1203))=0,"",SUMPRODUCT(MAX((Log!$D$4:$D$1203=$A31)*(Log!$B$4:$B$1203=K$25)*(Log!$E$4:$E$1203="A")*(Log!$F$4:$F$1203&lt;&gt;"")*Log!$F$4:$F$1203))))</f>
        <v/>
      </c>
      <c r="L31" s="76" t="str">
        <f aca="false">IF($A31="","",IF(SUMPRODUCT(MAX((Log!$D$4:$D$1203=$A31)*(Log!$B$4:$B$1203=L$25)*(Log!$E$4:$E$1203="A")*(Log!$F$4:$F$1203&lt;&gt;"")*Log!$F$4:$F$1203))=0,"",SUMPRODUCT(MAX((Log!$D$4:$D$1203=$A31)*(Log!$B$4:$B$1203=L$25)*(Log!$E$4:$E$1203="A")*(Log!$F$4:$F$1203&lt;&gt;"")*Log!$F$4:$F$1203))))</f>
        <v/>
      </c>
      <c r="M31" s="76" t="str">
        <f aca="false">IF($A31="","",IF(SUMPRODUCT(MAX((Log!$D$4:$D$1203=$A31)*(Log!$B$4:$B$1203=M$25)*(Log!$E$4:$E$1203="A")*(Log!$F$4:$F$1203&lt;&gt;"")*Log!$F$4:$F$1203))=0,"",SUMPRODUCT(MAX((Log!$D$4:$D$1203=$A31)*(Log!$B$4:$B$1203=M$25)*(Log!$E$4:$E$1203="A")*(Log!$F$4:$F$1203&lt;&gt;"")*Log!$F$4:$F$1203))))</f>
        <v/>
      </c>
      <c r="N31" s="76" t="str">
        <f aca="false">IF($A31="","",IF(SUMPRODUCT(MAX((Log!$D$4:$D$1203=$A31)*(Log!$B$4:$B$1203=N$25)*(Log!$E$4:$E$1203="A")*(Log!$F$4:$F$1203&lt;&gt;"")*Log!$F$4:$F$1203))=0,"",SUMPRODUCT(MAX((Log!$D$4:$D$1203=$A31)*(Log!$B$4:$B$1203=N$25)*(Log!$E$4:$E$1203="A")*(Log!$F$4:$F$1203&lt;&gt;"")*Log!$F$4:$F$1203))))</f>
        <v/>
      </c>
      <c r="O31" s="76" t="str">
        <f aca="false">IF($A31="","",IF(SUMPRODUCT(MAX((Log!$D$4:$D$1203=$A31)*(Log!$B$4:$B$1203=O$25)*(Log!$E$4:$E$1203="A")*(Log!$F$4:$F$1203&lt;&gt;"")*Log!$F$4:$F$1203))=0,"",SUMPRODUCT(MAX((Log!$D$4:$D$1203=$A31)*(Log!$B$4:$B$1203=O$25)*(Log!$E$4:$E$1203="A")*(Log!$F$4:$F$1203&lt;&gt;"")*Log!$F$4:$F$1203))))</f>
        <v/>
      </c>
      <c r="P31" s="76" t="str">
        <f aca="false">IF($A31="","",IF(SUMPRODUCT(MAX((Log!$D$4:$D$1203=$A31)*(Log!$B$4:$B$1203=P$25)*(Log!$E$4:$E$1203="A")*(Log!$F$4:$F$1203&lt;&gt;"")*Log!$F$4:$F$1203))=0,"",SUMPRODUCT(MAX((Log!$D$4:$D$1203=$A31)*(Log!$B$4:$B$1203=P$25)*(Log!$E$4:$E$1203="A")*(Log!$F$4:$F$1203&lt;&gt;"")*Log!$F$4:$F$1203))))</f>
        <v/>
      </c>
      <c r="Q31" s="76" t="str">
        <f aca="false">IF($A31="","",IF(SUMPRODUCT(MAX((Log!$D$4:$D$1203=$A31)*(Log!$B$4:$B$1203=Q$25)*(Log!$E$4:$E$1203="A")*(Log!$F$4:$F$1203&lt;&gt;"")*Log!$F$4:$F$1203))=0,"",SUMPRODUCT(MAX((Log!$D$4:$D$1203=$A31)*(Log!$B$4:$B$1203=Q$25)*(Log!$E$4:$E$1203="A")*(Log!$F$4:$F$1203&lt;&gt;"")*Log!$F$4:$F$1203))))</f>
        <v/>
      </c>
      <c r="R31" s="75" t="str">
        <f aca="false">IF($A31="","",IF(SUMPRODUCT(MAX((Log!$D$4:$D$1203=$A31)*(Log!$E$4:$E$1203="A")*(Log!$F$4:$F$1203&lt;&gt;"")*Log!$F$4:$F$1203))=0,"",SUMPRODUCT(MAX((Log!$D$4:$D$1203=$A31)*(Log!$E$4:$E$1203="A")*(Log!$F$4:$F$1203&lt;&gt;"")*Log!$F$4:$F$1203))))</f>
        <v/>
      </c>
    </row>
    <row r="32" customFormat="false" ht="16.5" hidden="false" customHeight="true" outlineLevel="0" collapsed="false">
      <c r="A32" s="26" t="str">
        <f aca="false">IF(Übungen!$A10="","",Übungen!$A10)</f>
        <v>Hip Thrust</v>
      </c>
      <c r="B32" s="74" t="n">
        <f aca="false">IF($A32="","",IF(SUMPRODUCT(MAX((Log!$D$4:$D$1203=$A32)*(Log!$B$4:$B$1203=B$25)*(Log!$E$4:$E$1203="A")*(Log!$F$4:$F$1203&lt;&gt;"")*Log!$F$4:$F$1203))=0,"",SUMPRODUCT(MAX((Log!$D$4:$D$1203=$A32)*(Log!$B$4:$B$1203=B$25)*(Log!$E$4:$E$1203="A")*(Log!$F$4:$F$1203&lt;&gt;"")*Log!$F$4:$F$1203))))</f>
        <v>240</v>
      </c>
      <c r="C32" s="74" t="n">
        <f aca="false">IF($A32="","",IF(SUMPRODUCT(MAX((Log!$D$4:$D$1203=$A32)*(Log!$B$4:$B$1203=C$25)*(Log!$E$4:$E$1203="A")*(Log!$F$4:$F$1203&lt;&gt;"")*Log!$F$4:$F$1203))=0,"",SUMPRODUCT(MAX((Log!$D$4:$D$1203=$A32)*(Log!$B$4:$B$1203=C$25)*(Log!$E$4:$E$1203="A")*(Log!$F$4:$F$1203&lt;&gt;"")*Log!$F$4:$F$1203))))</f>
        <v>280</v>
      </c>
      <c r="D32" s="74" t="n">
        <f aca="false">IF($A32="","",IF(SUMPRODUCT(MAX((Log!$D$4:$D$1203=$A32)*(Log!$B$4:$B$1203=D$25)*(Log!$E$4:$E$1203="A")*(Log!$F$4:$F$1203&lt;&gt;"")*Log!$F$4:$F$1203))=0,"",SUMPRODUCT(MAX((Log!$D$4:$D$1203=$A32)*(Log!$B$4:$B$1203=D$25)*(Log!$E$4:$E$1203="A")*(Log!$F$4:$F$1203&lt;&gt;"")*Log!$F$4:$F$1203))))</f>
        <v>280</v>
      </c>
      <c r="E32" s="74" t="n">
        <f aca="false">IF($A32="","",IF(SUMPRODUCT(MAX((Log!$D$4:$D$1203=$A32)*(Log!$B$4:$B$1203=E$25)*(Log!$E$4:$E$1203="A")*(Log!$F$4:$F$1203&lt;&gt;"")*Log!$F$4:$F$1203))=0,"",SUMPRODUCT(MAX((Log!$D$4:$D$1203=$A32)*(Log!$B$4:$B$1203=E$25)*(Log!$E$4:$E$1203="A")*(Log!$F$4:$F$1203&lt;&gt;"")*Log!$F$4:$F$1203))))</f>
        <v>270</v>
      </c>
      <c r="F32" s="74" t="n">
        <f aca="false">IF($A32="","",IF(SUMPRODUCT(MAX((Log!$D$4:$D$1203=$A32)*(Log!$B$4:$B$1203=F$25)*(Log!$E$4:$E$1203="A")*(Log!$F$4:$F$1203&lt;&gt;"")*Log!$F$4:$F$1203))=0,"",SUMPRODUCT(MAX((Log!$D$4:$D$1203=$A32)*(Log!$B$4:$B$1203=F$25)*(Log!$E$4:$E$1203="A")*(Log!$F$4:$F$1203&lt;&gt;"")*Log!$F$4:$F$1203))))</f>
        <v>190</v>
      </c>
      <c r="G32" s="74" t="str">
        <f aca="false">IF($A32="","",IF(SUMPRODUCT(MAX((Log!$D$4:$D$1203=$A32)*(Log!$B$4:$B$1203=G$25)*(Log!$E$4:$E$1203="A")*(Log!$F$4:$F$1203&lt;&gt;"")*Log!$F$4:$F$1203))=0,"",SUMPRODUCT(MAX((Log!$D$4:$D$1203=$A32)*(Log!$B$4:$B$1203=G$25)*(Log!$E$4:$E$1203="A")*(Log!$F$4:$F$1203&lt;&gt;"")*Log!$F$4:$F$1203))))</f>
        <v/>
      </c>
      <c r="H32" s="74" t="n">
        <f aca="false">IF($A32="","",IF(SUMPRODUCT(MAX((Log!$D$4:$D$1203=$A32)*(Log!$B$4:$B$1203=H$25)*(Log!$E$4:$E$1203="A")*(Log!$F$4:$F$1203&lt;&gt;"")*Log!$F$4:$F$1203))=0,"",SUMPRODUCT(MAX((Log!$D$4:$D$1203=$A32)*(Log!$B$4:$B$1203=H$25)*(Log!$E$4:$E$1203="A")*(Log!$F$4:$F$1203&lt;&gt;"")*Log!$F$4:$F$1203))))</f>
        <v>290</v>
      </c>
      <c r="I32" s="74" t="str">
        <f aca="false">IF($A32="","",IF(SUMPRODUCT(MAX((Log!$D$4:$D$1203=$A32)*(Log!$B$4:$B$1203=I$25)*(Log!$E$4:$E$1203="A")*(Log!$F$4:$F$1203&lt;&gt;"")*Log!$F$4:$F$1203))=0,"",SUMPRODUCT(MAX((Log!$D$4:$D$1203=$A32)*(Log!$B$4:$B$1203=I$25)*(Log!$E$4:$E$1203="A")*(Log!$F$4:$F$1203&lt;&gt;"")*Log!$F$4:$F$1203))))</f>
        <v/>
      </c>
      <c r="J32" s="74" t="str">
        <f aca="false">IF($A32="","",IF(SUMPRODUCT(MAX((Log!$D$4:$D$1203=$A32)*(Log!$B$4:$B$1203=J$25)*(Log!$E$4:$E$1203="A")*(Log!$F$4:$F$1203&lt;&gt;"")*Log!$F$4:$F$1203))=0,"",SUMPRODUCT(MAX((Log!$D$4:$D$1203=$A32)*(Log!$B$4:$B$1203=J$25)*(Log!$E$4:$E$1203="A")*(Log!$F$4:$F$1203&lt;&gt;"")*Log!$F$4:$F$1203))))</f>
        <v/>
      </c>
      <c r="K32" s="74" t="str">
        <f aca="false">IF($A32="","",IF(SUMPRODUCT(MAX((Log!$D$4:$D$1203=$A32)*(Log!$B$4:$B$1203=K$25)*(Log!$E$4:$E$1203="A")*(Log!$F$4:$F$1203&lt;&gt;"")*Log!$F$4:$F$1203))=0,"",SUMPRODUCT(MAX((Log!$D$4:$D$1203=$A32)*(Log!$B$4:$B$1203=K$25)*(Log!$E$4:$E$1203="A")*(Log!$F$4:$F$1203&lt;&gt;"")*Log!$F$4:$F$1203))))</f>
        <v/>
      </c>
      <c r="L32" s="74" t="str">
        <f aca="false">IF($A32="","",IF(SUMPRODUCT(MAX((Log!$D$4:$D$1203=$A32)*(Log!$B$4:$B$1203=L$25)*(Log!$E$4:$E$1203="A")*(Log!$F$4:$F$1203&lt;&gt;"")*Log!$F$4:$F$1203))=0,"",SUMPRODUCT(MAX((Log!$D$4:$D$1203=$A32)*(Log!$B$4:$B$1203=L$25)*(Log!$E$4:$E$1203="A")*(Log!$F$4:$F$1203&lt;&gt;"")*Log!$F$4:$F$1203))))</f>
        <v/>
      </c>
      <c r="M32" s="74" t="str">
        <f aca="false">IF($A32="","",IF(SUMPRODUCT(MAX((Log!$D$4:$D$1203=$A32)*(Log!$B$4:$B$1203=M$25)*(Log!$E$4:$E$1203="A")*(Log!$F$4:$F$1203&lt;&gt;"")*Log!$F$4:$F$1203))=0,"",SUMPRODUCT(MAX((Log!$D$4:$D$1203=$A32)*(Log!$B$4:$B$1203=M$25)*(Log!$E$4:$E$1203="A")*(Log!$F$4:$F$1203&lt;&gt;"")*Log!$F$4:$F$1203))))</f>
        <v/>
      </c>
      <c r="N32" s="74" t="str">
        <f aca="false">IF($A32="","",IF(SUMPRODUCT(MAX((Log!$D$4:$D$1203=$A32)*(Log!$B$4:$B$1203=N$25)*(Log!$E$4:$E$1203="A")*(Log!$F$4:$F$1203&lt;&gt;"")*Log!$F$4:$F$1203))=0,"",SUMPRODUCT(MAX((Log!$D$4:$D$1203=$A32)*(Log!$B$4:$B$1203=N$25)*(Log!$E$4:$E$1203="A")*(Log!$F$4:$F$1203&lt;&gt;"")*Log!$F$4:$F$1203))))</f>
        <v/>
      </c>
      <c r="O32" s="74" t="str">
        <f aca="false">IF($A32="","",IF(SUMPRODUCT(MAX((Log!$D$4:$D$1203=$A32)*(Log!$B$4:$B$1203=O$25)*(Log!$E$4:$E$1203="A")*(Log!$F$4:$F$1203&lt;&gt;"")*Log!$F$4:$F$1203))=0,"",SUMPRODUCT(MAX((Log!$D$4:$D$1203=$A32)*(Log!$B$4:$B$1203=O$25)*(Log!$E$4:$E$1203="A")*(Log!$F$4:$F$1203&lt;&gt;"")*Log!$F$4:$F$1203))))</f>
        <v/>
      </c>
      <c r="P32" s="74" t="str">
        <f aca="false">IF($A32="","",IF(SUMPRODUCT(MAX((Log!$D$4:$D$1203=$A32)*(Log!$B$4:$B$1203=P$25)*(Log!$E$4:$E$1203="A")*(Log!$F$4:$F$1203&lt;&gt;"")*Log!$F$4:$F$1203))=0,"",SUMPRODUCT(MAX((Log!$D$4:$D$1203=$A32)*(Log!$B$4:$B$1203=P$25)*(Log!$E$4:$E$1203="A")*(Log!$F$4:$F$1203&lt;&gt;"")*Log!$F$4:$F$1203))))</f>
        <v/>
      </c>
      <c r="Q32" s="74" t="str">
        <f aca="false">IF($A32="","",IF(SUMPRODUCT(MAX((Log!$D$4:$D$1203=$A32)*(Log!$B$4:$B$1203=Q$25)*(Log!$E$4:$E$1203="A")*(Log!$F$4:$F$1203&lt;&gt;"")*Log!$F$4:$F$1203))=0,"",SUMPRODUCT(MAX((Log!$D$4:$D$1203=$A32)*(Log!$B$4:$B$1203=Q$25)*(Log!$E$4:$E$1203="A")*(Log!$F$4:$F$1203&lt;&gt;"")*Log!$F$4:$F$1203))))</f>
        <v/>
      </c>
      <c r="R32" s="75" t="n">
        <f aca="false">IF($A32="","",IF(SUMPRODUCT(MAX((Log!$D$4:$D$1203=$A32)*(Log!$E$4:$E$1203="A")*(Log!$F$4:$F$1203&lt;&gt;"")*Log!$F$4:$F$1203))=0,"",SUMPRODUCT(MAX((Log!$D$4:$D$1203=$A32)*(Log!$E$4:$E$1203="A")*(Log!$F$4:$F$1203&lt;&gt;"")*Log!$F$4:$F$1203))))</f>
        <v>290</v>
      </c>
    </row>
    <row r="33" customFormat="false" ht="16.5" hidden="false" customHeight="true" outlineLevel="0" collapsed="false">
      <c r="A33" s="32" t="str">
        <f aca="false">IF(Übungen!$A11="","",Übungen!$A11)</f>
        <v>Hip &amp; Glute</v>
      </c>
      <c r="B33" s="76" t="str">
        <f aca="false">IF($A33="","",IF(SUMPRODUCT(MAX((Log!$D$4:$D$1203=$A33)*(Log!$B$4:$B$1203=B$25)*(Log!$E$4:$E$1203="A")*(Log!$F$4:$F$1203&lt;&gt;"")*Log!$F$4:$F$1203))=0,"",SUMPRODUCT(MAX((Log!$D$4:$D$1203=$A33)*(Log!$B$4:$B$1203=B$25)*(Log!$E$4:$E$1203="A")*(Log!$F$4:$F$1203&lt;&gt;"")*Log!$F$4:$F$1203))))</f>
        <v/>
      </c>
      <c r="C33" s="76" t="str">
        <f aca="false">IF($A33="","",IF(SUMPRODUCT(MAX((Log!$D$4:$D$1203=$A33)*(Log!$B$4:$B$1203=C$25)*(Log!$E$4:$E$1203="A")*(Log!$F$4:$F$1203&lt;&gt;"")*Log!$F$4:$F$1203))=0,"",SUMPRODUCT(MAX((Log!$D$4:$D$1203=$A33)*(Log!$B$4:$B$1203=C$25)*(Log!$E$4:$E$1203="A")*(Log!$F$4:$F$1203&lt;&gt;"")*Log!$F$4:$F$1203))))</f>
        <v/>
      </c>
      <c r="D33" s="76" t="str">
        <f aca="false">IF($A33="","",IF(SUMPRODUCT(MAX((Log!$D$4:$D$1203=$A33)*(Log!$B$4:$B$1203=D$25)*(Log!$E$4:$E$1203="A")*(Log!$F$4:$F$1203&lt;&gt;"")*Log!$F$4:$F$1203))=0,"",SUMPRODUCT(MAX((Log!$D$4:$D$1203=$A33)*(Log!$B$4:$B$1203=D$25)*(Log!$E$4:$E$1203="A")*(Log!$F$4:$F$1203&lt;&gt;"")*Log!$F$4:$F$1203))))</f>
        <v/>
      </c>
      <c r="E33" s="76" t="str">
        <f aca="false">IF($A33="","",IF(SUMPRODUCT(MAX((Log!$D$4:$D$1203=$A33)*(Log!$B$4:$B$1203=E$25)*(Log!$E$4:$E$1203="A")*(Log!$F$4:$F$1203&lt;&gt;"")*Log!$F$4:$F$1203))=0,"",SUMPRODUCT(MAX((Log!$D$4:$D$1203=$A33)*(Log!$B$4:$B$1203=E$25)*(Log!$E$4:$E$1203="A")*(Log!$F$4:$F$1203&lt;&gt;"")*Log!$F$4:$F$1203))))</f>
        <v/>
      </c>
      <c r="F33" s="76" t="str">
        <f aca="false">IF($A33="","",IF(SUMPRODUCT(MAX((Log!$D$4:$D$1203=$A33)*(Log!$B$4:$B$1203=F$25)*(Log!$E$4:$E$1203="A")*(Log!$F$4:$F$1203&lt;&gt;"")*Log!$F$4:$F$1203))=0,"",SUMPRODUCT(MAX((Log!$D$4:$D$1203=$A33)*(Log!$B$4:$B$1203=F$25)*(Log!$E$4:$E$1203="A")*(Log!$F$4:$F$1203&lt;&gt;"")*Log!$F$4:$F$1203))))</f>
        <v/>
      </c>
      <c r="G33" s="76" t="str">
        <f aca="false">IF($A33="","",IF(SUMPRODUCT(MAX((Log!$D$4:$D$1203=$A33)*(Log!$B$4:$B$1203=G$25)*(Log!$E$4:$E$1203="A")*(Log!$F$4:$F$1203&lt;&gt;"")*Log!$F$4:$F$1203))=0,"",SUMPRODUCT(MAX((Log!$D$4:$D$1203=$A33)*(Log!$B$4:$B$1203=G$25)*(Log!$E$4:$E$1203="A")*(Log!$F$4:$F$1203&lt;&gt;"")*Log!$F$4:$F$1203))))</f>
        <v/>
      </c>
      <c r="H33" s="76" t="n">
        <f aca="false">IF($A33="","",IF(SUMPRODUCT(MAX((Log!$D$4:$D$1203=$A33)*(Log!$B$4:$B$1203=H$25)*(Log!$E$4:$E$1203="A")*(Log!$F$4:$F$1203&lt;&gt;"")*Log!$F$4:$F$1203))=0,"",SUMPRODUCT(MAX((Log!$D$4:$D$1203=$A33)*(Log!$B$4:$B$1203=H$25)*(Log!$E$4:$E$1203="A")*(Log!$F$4:$F$1203&lt;&gt;"")*Log!$F$4:$F$1203))))</f>
        <v>141</v>
      </c>
      <c r="I33" s="76" t="str">
        <f aca="false">IF($A33="","",IF(SUMPRODUCT(MAX((Log!$D$4:$D$1203=$A33)*(Log!$B$4:$B$1203=I$25)*(Log!$E$4:$E$1203="A")*(Log!$F$4:$F$1203&lt;&gt;"")*Log!$F$4:$F$1203))=0,"",SUMPRODUCT(MAX((Log!$D$4:$D$1203=$A33)*(Log!$B$4:$B$1203=I$25)*(Log!$E$4:$E$1203="A")*(Log!$F$4:$F$1203&lt;&gt;"")*Log!$F$4:$F$1203))))</f>
        <v/>
      </c>
      <c r="J33" s="76" t="str">
        <f aca="false">IF($A33="","",IF(SUMPRODUCT(MAX((Log!$D$4:$D$1203=$A33)*(Log!$B$4:$B$1203=J$25)*(Log!$E$4:$E$1203="A")*(Log!$F$4:$F$1203&lt;&gt;"")*Log!$F$4:$F$1203))=0,"",SUMPRODUCT(MAX((Log!$D$4:$D$1203=$A33)*(Log!$B$4:$B$1203=J$25)*(Log!$E$4:$E$1203="A")*(Log!$F$4:$F$1203&lt;&gt;"")*Log!$F$4:$F$1203))))</f>
        <v/>
      </c>
      <c r="K33" s="76" t="str">
        <f aca="false">IF($A33="","",IF(SUMPRODUCT(MAX((Log!$D$4:$D$1203=$A33)*(Log!$B$4:$B$1203=K$25)*(Log!$E$4:$E$1203="A")*(Log!$F$4:$F$1203&lt;&gt;"")*Log!$F$4:$F$1203))=0,"",SUMPRODUCT(MAX((Log!$D$4:$D$1203=$A33)*(Log!$B$4:$B$1203=K$25)*(Log!$E$4:$E$1203="A")*(Log!$F$4:$F$1203&lt;&gt;"")*Log!$F$4:$F$1203))))</f>
        <v/>
      </c>
      <c r="L33" s="76" t="str">
        <f aca="false">IF($A33="","",IF(SUMPRODUCT(MAX((Log!$D$4:$D$1203=$A33)*(Log!$B$4:$B$1203=L$25)*(Log!$E$4:$E$1203="A")*(Log!$F$4:$F$1203&lt;&gt;"")*Log!$F$4:$F$1203))=0,"",SUMPRODUCT(MAX((Log!$D$4:$D$1203=$A33)*(Log!$B$4:$B$1203=L$25)*(Log!$E$4:$E$1203="A")*(Log!$F$4:$F$1203&lt;&gt;"")*Log!$F$4:$F$1203))))</f>
        <v/>
      </c>
      <c r="M33" s="76" t="str">
        <f aca="false">IF($A33="","",IF(SUMPRODUCT(MAX((Log!$D$4:$D$1203=$A33)*(Log!$B$4:$B$1203=M$25)*(Log!$E$4:$E$1203="A")*(Log!$F$4:$F$1203&lt;&gt;"")*Log!$F$4:$F$1203))=0,"",SUMPRODUCT(MAX((Log!$D$4:$D$1203=$A33)*(Log!$B$4:$B$1203=M$25)*(Log!$E$4:$E$1203="A")*(Log!$F$4:$F$1203&lt;&gt;"")*Log!$F$4:$F$1203))))</f>
        <v/>
      </c>
      <c r="N33" s="76" t="str">
        <f aca="false">IF($A33="","",IF(SUMPRODUCT(MAX((Log!$D$4:$D$1203=$A33)*(Log!$B$4:$B$1203=N$25)*(Log!$E$4:$E$1203="A")*(Log!$F$4:$F$1203&lt;&gt;"")*Log!$F$4:$F$1203))=0,"",SUMPRODUCT(MAX((Log!$D$4:$D$1203=$A33)*(Log!$B$4:$B$1203=N$25)*(Log!$E$4:$E$1203="A")*(Log!$F$4:$F$1203&lt;&gt;"")*Log!$F$4:$F$1203))))</f>
        <v/>
      </c>
      <c r="O33" s="76" t="str">
        <f aca="false">IF($A33="","",IF(SUMPRODUCT(MAX((Log!$D$4:$D$1203=$A33)*(Log!$B$4:$B$1203=O$25)*(Log!$E$4:$E$1203="A")*(Log!$F$4:$F$1203&lt;&gt;"")*Log!$F$4:$F$1203))=0,"",SUMPRODUCT(MAX((Log!$D$4:$D$1203=$A33)*(Log!$B$4:$B$1203=O$25)*(Log!$E$4:$E$1203="A")*(Log!$F$4:$F$1203&lt;&gt;"")*Log!$F$4:$F$1203))))</f>
        <v/>
      </c>
      <c r="P33" s="76" t="str">
        <f aca="false">IF($A33="","",IF(SUMPRODUCT(MAX((Log!$D$4:$D$1203=$A33)*(Log!$B$4:$B$1203=P$25)*(Log!$E$4:$E$1203="A")*(Log!$F$4:$F$1203&lt;&gt;"")*Log!$F$4:$F$1203))=0,"",SUMPRODUCT(MAX((Log!$D$4:$D$1203=$A33)*(Log!$B$4:$B$1203=P$25)*(Log!$E$4:$E$1203="A")*(Log!$F$4:$F$1203&lt;&gt;"")*Log!$F$4:$F$1203))))</f>
        <v/>
      </c>
      <c r="Q33" s="76" t="str">
        <f aca="false">IF($A33="","",IF(SUMPRODUCT(MAX((Log!$D$4:$D$1203=$A33)*(Log!$B$4:$B$1203=Q$25)*(Log!$E$4:$E$1203="A")*(Log!$F$4:$F$1203&lt;&gt;"")*Log!$F$4:$F$1203))=0,"",SUMPRODUCT(MAX((Log!$D$4:$D$1203=$A33)*(Log!$B$4:$B$1203=Q$25)*(Log!$E$4:$E$1203="A")*(Log!$F$4:$F$1203&lt;&gt;"")*Log!$F$4:$F$1203))))</f>
        <v/>
      </c>
      <c r="R33" s="75" t="n">
        <f aca="false">IF($A33="","",IF(SUMPRODUCT(MAX((Log!$D$4:$D$1203=$A33)*(Log!$E$4:$E$1203="A")*(Log!$F$4:$F$1203&lt;&gt;"")*Log!$F$4:$F$1203))=0,"",SUMPRODUCT(MAX((Log!$D$4:$D$1203=$A33)*(Log!$E$4:$E$1203="A")*(Log!$F$4:$F$1203&lt;&gt;"")*Log!$F$4:$F$1203))))</f>
        <v>141</v>
      </c>
    </row>
    <row r="34" customFormat="false" ht="16.5" hidden="false" customHeight="true" outlineLevel="0" collapsed="false">
      <c r="A34" s="26" t="str">
        <f aca="false">IF(Übungen!$A12="","",Übungen!$A12)</f>
        <v>Beinbeuger</v>
      </c>
      <c r="B34" s="74" t="n">
        <f aca="false">IF($A34="","",IF(SUMPRODUCT(MAX((Log!$D$4:$D$1203=$A34)*(Log!$B$4:$B$1203=B$25)*(Log!$E$4:$E$1203="A")*(Log!$F$4:$F$1203&lt;&gt;"")*Log!$F$4:$F$1203))=0,"",SUMPRODUCT(MAX((Log!$D$4:$D$1203=$A34)*(Log!$B$4:$B$1203=B$25)*(Log!$E$4:$E$1203="A")*(Log!$F$4:$F$1203&lt;&gt;"")*Log!$F$4:$F$1203))))</f>
        <v>50</v>
      </c>
      <c r="C34" s="74" t="n">
        <f aca="false">IF($A34="","",IF(SUMPRODUCT(MAX((Log!$D$4:$D$1203=$A34)*(Log!$B$4:$B$1203=C$25)*(Log!$E$4:$E$1203="A")*(Log!$F$4:$F$1203&lt;&gt;"")*Log!$F$4:$F$1203))=0,"",SUMPRODUCT(MAX((Log!$D$4:$D$1203=$A34)*(Log!$B$4:$B$1203=C$25)*(Log!$E$4:$E$1203="A")*(Log!$F$4:$F$1203&lt;&gt;"")*Log!$F$4:$F$1203))))</f>
        <v>55</v>
      </c>
      <c r="D34" s="74" t="n">
        <f aca="false">IF($A34="","",IF(SUMPRODUCT(MAX((Log!$D$4:$D$1203=$A34)*(Log!$B$4:$B$1203=D$25)*(Log!$E$4:$E$1203="A")*(Log!$F$4:$F$1203&lt;&gt;"")*Log!$F$4:$F$1203))=0,"",SUMPRODUCT(MAX((Log!$D$4:$D$1203=$A34)*(Log!$B$4:$B$1203=D$25)*(Log!$E$4:$E$1203="A")*(Log!$F$4:$F$1203&lt;&gt;"")*Log!$F$4:$F$1203))))</f>
        <v>45</v>
      </c>
      <c r="E34" s="74" t="str">
        <f aca="false">IF($A34="","",IF(SUMPRODUCT(MAX((Log!$D$4:$D$1203=$A34)*(Log!$B$4:$B$1203=E$25)*(Log!$E$4:$E$1203="A")*(Log!$F$4:$F$1203&lt;&gt;"")*Log!$F$4:$F$1203))=0,"",SUMPRODUCT(MAX((Log!$D$4:$D$1203=$A34)*(Log!$B$4:$B$1203=E$25)*(Log!$E$4:$E$1203="A")*(Log!$F$4:$F$1203&lt;&gt;"")*Log!$F$4:$F$1203))))</f>
        <v/>
      </c>
      <c r="F34" s="74" t="n">
        <f aca="false">IF($A34="","",IF(SUMPRODUCT(MAX((Log!$D$4:$D$1203=$A34)*(Log!$B$4:$B$1203=F$25)*(Log!$E$4:$E$1203="A")*(Log!$F$4:$F$1203&lt;&gt;"")*Log!$F$4:$F$1203))=0,"",SUMPRODUCT(MAX((Log!$D$4:$D$1203=$A34)*(Log!$B$4:$B$1203=F$25)*(Log!$E$4:$E$1203="A")*(Log!$F$4:$F$1203&lt;&gt;"")*Log!$F$4:$F$1203))))</f>
        <v>45</v>
      </c>
      <c r="G34" s="74" t="str">
        <f aca="false">IF($A34="","",IF(SUMPRODUCT(MAX((Log!$D$4:$D$1203=$A34)*(Log!$B$4:$B$1203=G$25)*(Log!$E$4:$E$1203="A")*(Log!$F$4:$F$1203&lt;&gt;"")*Log!$F$4:$F$1203))=0,"",SUMPRODUCT(MAX((Log!$D$4:$D$1203=$A34)*(Log!$B$4:$B$1203=G$25)*(Log!$E$4:$E$1203="A")*(Log!$F$4:$F$1203&lt;&gt;"")*Log!$F$4:$F$1203))))</f>
        <v/>
      </c>
      <c r="H34" s="74" t="n">
        <f aca="false">IF($A34="","",IF(SUMPRODUCT(MAX((Log!$D$4:$D$1203=$A34)*(Log!$B$4:$B$1203=H$25)*(Log!$E$4:$E$1203="A")*(Log!$F$4:$F$1203&lt;&gt;"")*Log!$F$4:$F$1203))=0,"",SUMPRODUCT(MAX((Log!$D$4:$D$1203=$A34)*(Log!$B$4:$B$1203=H$25)*(Log!$E$4:$E$1203="A")*(Log!$F$4:$F$1203&lt;&gt;"")*Log!$F$4:$F$1203))))</f>
        <v>52.5</v>
      </c>
      <c r="I34" s="74" t="str">
        <f aca="false">IF($A34="","",IF(SUMPRODUCT(MAX((Log!$D$4:$D$1203=$A34)*(Log!$B$4:$B$1203=I$25)*(Log!$E$4:$E$1203="A")*(Log!$F$4:$F$1203&lt;&gt;"")*Log!$F$4:$F$1203))=0,"",SUMPRODUCT(MAX((Log!$D$4:$D$1203=$A34)*(Log!$B$4:$B$1203=I$25)*(Log!$E$4:$E$1203="A")*(Log!$F$4:$F$1203&lt;&gt;"")*Log!$F$4:$F$1203))))</f>
        <v/>
      </c>
      <c r="J34" s="74" t="str">
        <f aca="false">IF($A34="","",IF(SUMPRODUCT(MAX((Log!$D$4:$D$1203=$A34)*(Log!$B$4:$B$1203=J$25)*(Log!$E$4:$E$1203="A")*(Log!$F$4:$F$1203&lt;&gt;"")*Log!$F$4:$F$1203))=0,"",SUMPRODUCT(MAX((Log!$D$4:$D$1203=$A34)*(Log!$B$4:$B$1203=J$25)*(Log!$E$4:$E$1203="A")*(Log!$F$4:$F$1203&lt;&gt;"")*Log!$F$4:$F$1203))))</f>
        <v/>
      </c>
      <c r="K34" s="74" t="str">
        <f aca="false">IF($A34="","",IF(SUMPRODUCT(MAX((Log!$D$4:$D$1203=$A34)*(Log!$B$4:$B$1203=K$25)*(Log!$E$4:$E$1203="A")*(Log!$F$4:$F$1203&lt;&gt;"")*Log!$F$4:$F$1203))=0,"",SUMPRODUCT(MAX((Log!$D$4:$D$1203=$A34)*(Log!$B$4:$B$1203=K$25)*(Log!$E$4:$E$1203="A")*(Log!$F$4:$F$1203&lt;&gt;"")*Log!$F$4:$F$1203))))</f>
        <v/>
      </c>
      <c r="L34" s="74" t="str">
        <f aca="false">IF($A34="","",IF(SUMPRODUCT(MAX((Log!$D$4:$D$1203=$A34)*(Log!$B$4:$B$1203=L$25)*(Log!$E$4:$E$1203="A")*(Log!$F$4:$F$1203&lt;&gt;"")*Log!$F$4:$F$1203))=0,"",SUMPRODUCT(MAX((Log!$D$4:$D$1203=$A34)*(Log!$B$4:$B$1203=L$25)*(Log!$E$4:$E$1203="A")*(Log!$F$4:$F$1203&lt;&gt;"")*Log!$F$4:$F$1203))))</f>
        <v/>
      </c>
      <c r="M34" s="74" t="str">
        <f aca="false">IF($A34="","",IF(SUMPRODUCT(MAX((Log!$D$4:$D$1203=$A34)*(Log!$B$4:$B$1203=M$25)*(Log!$E$4:$E$1203="A")*(Log!$F$4:$F$1203&lt;&gt;"")*Log!$F$4:$F$1203))=0,"",SUMPRODUCT(MAX((Log!$D$4:$D$1203=$A34)*(Log!$B$4:$B$1203=M$25)*(Log!$E$4:$E$1203="A")*(Log!$F$4:$F$1203&lt;&gt;"")*Log!$F$4:$F$1203))))</f>
        <v/>
      </c>
      <c r="N34" s="74" t="str">
        <f aca="false">IF($A34="","",IF(SUMPRODUCT(MAX((Log!$D$4:$D$1203=$A34)*(Log!$B$4:$B$1203=N$25)*(Log!$E$4:$E$1203="A")*(Log!$F$4:$F$1203&lt;&gt;"")*Log!$F$4:$F$1203))=0,"",SUMPRODUCT(MAX((Log!$D$4:$D$1203=$A34)*(Log!$B$4:$B$1203=N$25)*(Log!$E$4:$E$1203="A")*(Log!$F$4:$F$1203&lt;&gt;"")*Log!$F$4:$F$1203))))</f>
        <v/>
      </c>
      <c r="O34" s="74" t="str">
        <f aca="false">IF($A34="","",IF(SUMPRODUCT(MAX((Log!$D$4:$D$1203=$A34)*(Log!$B$4:$B$1203=O$25)*(Log!$E$4:$E$1203="A")*(Log!$F$4:$F$1203&lt;&gt;"")*Log!$F$4:$F$1203))=0,"",SUMPRODUCT(MAX((Log!$D$4:$D$1203=$A34)*(Log!$B$4:$B$1203=O$25)*(Log!$E$4:$E$1203="A")*(Log!$F$4:$F$1203&lt;&gt;"")*Log!$F$4:$F$1203))))</f>
        <v/>
      </c>
      <c r="P34" s="74" t="str">
        <f aca="false">IF($A34="","",IF(SUMPRODUCT(MAX((Log!$D$4:$D$1203=$A34)*(Log!$B$4:$B$1203=P$25)*(Log!$E$4:$E$1203="A")*(Log!$F$4:$F$1203&lt;&gt;"")*Log!$F$4:$F$1203))=0,"",SUMPRODUCT(MAX((Log!$D$4:$D$1203=$A34)*(Log!$B$4:$B$1203=P$25)*(Log!$E$4:$E$1203="A")*(Log!$F$4:$F$1203&lt;&gt;"")*Log!$F$4:$F$1203))))</f>
        <v/>
      </c>
      <c r="Q34" s="74" t="str">
        <f aca="false">IF($A34="","",IF(SUMPRODUCT(MAX((Log!$D$4:$D$1203=$A34)*(Log!$B$4:$B$1203=Q$25)*(Log!$E$4:$E$1203="A")*(Log!$F$4:$F$1203&lt;&gt;"")*Log!$F$4:$F$1203))=0,"",SUMPRODUCT(MAX((Log!$D$4:$D$1203=$A34)*(Log!$B$4:$B$1203=Q$25)*(Log!$E$4:$E$1203="A")*(Log!$F$4:$F$1203&lt;&gt;"")*Log!$F$4:$F$1203))))</f>
        <v/>
      </c>
      <c r="R34" s="75" t="n">
        <f aca="false">IF($A34="","",IF(SUMPRODUCT(MAX((Log!$D$4:$D$1203=$A34)*(Log!$E$4:$E$1203="A")*(Log!$F$4:$F$1203&lt;&gt;"")*Log!$F$4:$F$1203))=0,"",SUMPRODUCT(MAX((Log!$D$4:$D$1203=$A34)*(Log!$E$4:$E$1203="A")*(Log!$F$4:$F$1203&lt;&gt;"")*Log!$F$4:$F$1203))))</f>
        <v>55</v>
      </c>
    </row>
    <row r="35" customFormat="false" ht="16.5" hidden="false" customHeight="true" outlineLevel="0" collapsed="false">
      <c r="A35" s="32" t="str">
        <f aca="false">IF(Übungen!$A13="","",Übungen!$A13)</f>
        <v>Seitliche Kickbacks</v>
      </c>
      <c r="B35" s="76" t="n">
        <f aca="false">IF($A35="","",IF(SUMPRODUCT(MAX((Log!$D$4:$D$1203=$A35)*(Log!$B$4:$B$1203=B$25)*(Log!$E$4:$E$1203="A")*(Log!$F$4:$F$1203&lt;&gt;"")*Log!$F$4:$F$1203))=0,"",SUMPRODUCT(MAX((Log!$D$4:$D$1203=$A35)*(Log!$B$4:$B$1203=B$25)*(Log!$E$4:$E$1203="A")*(Log!$F$4:$F$1203&lt;&gt;"")*Log!$F$4:$F$1203))))</f>
        <v>49</v>
      </c>
      <c r="C35" s="76" t="n">
        <f aca="false">IF($A35="","",IF(SUMPRODUCT(MAX((Log!$D$4:$D$1203=$A35)*(Log!$B$4:$B$1203=C$25)*(Log!$E$4:$E$1203="A")*(Log!$F$4:$F$1203&lt;&gt;"")*Log!$F$4:$F$1203))=0,"",SUMPRODUCT(MAX((Log!$D$4:$D$1203=$A35)*(Log!$B$4:$B$1203=C$25)*(Log!$E$4:$E$1203="A")*(Log!$F$4:$F$1203&lt;&gt;"")*Log!$F$4:$F$1203))))</f>
        <v>35</v>
      </c>
      <c r="D35" s="76" t="str">
        <f aca="false">IF($A35="","",IF(SUMPRODUCT(MAX((Log!$D$4:$D$1203=$A35)*(Log!$B$4:$B$1203=D$25)*(Log!$E$4:$E$1203="A")*(Log!$F$4:$F$1203&lt;&gt;"")*Log!$F$4:$F$1203))=0,"",SUMPRODUCT(MAX((Log!$D$4:$D$1203=$A35)*(Log!$B$4:$B$1203=D$25)*(Log!$E$4:$E$1203="A")*(Log!$F$4:$F$1203&lt;&gt;"")*Log!$F$4:$F$1203))))</f>
        <v/>
      </c>
      <c r="E35" s="76" t="str">
        <f aca="false">IF($A35="","",IF(SUMPRODUCT(MAX((Log!$D$4:$D$1203=$A35)*(Log!$B$4:$B$1203=E$25)*(Log!$E$4:$E$1203="A")*(Log!$F$4:$F$1203&lt;&gt;"")*Log!$F$4:$F$1203))=0,"",SUMPRODUCT(MAX((Log!$D$4:$D$1203=$A35)*(Log!$B$4:$B$1203=E$25)*(Log!$E$4:$E$1203="A")*(Log!$F$4:$F$1203&lt;&gt;"")*Log!$F$4:$F$1203))))</f>
        <v/>
      </c>
      <c r="F35" s="76" t="n">
        <f aca="false">IF($A35="","",IF(SUMPRODUCT(MAX((Log!$D$4:$D$1203=$A35)*(Log!$B$4:$B$1203=F$25)*(Log!$E$4:$E$1203="A")*(Log!$F$4:$F$1203&lt;&gt;"")*Log!$F$4:$F$1203))=0,"",SUMPRODUCT(MAX((Log!$D$4:$D$1203=$A35)*(Log!$B$4:$B$1203=F$25)*(Log!$E$4:$E$1203="A")*(Log!$F$4:$F$1203&lt;&gt;"")*Log!$F$4:$F$1203))))</f>
        <v>36</v>
      </c>
      <c r="G35" s="76" t="str">
        <f aca="false">IF($A35="","",IF(SUMPRODUCT(MAX((Log!$D$4:$D$1203=$A35)*(Log!$B$4:$B$1203=G$25)*(Log!$E$4:$E$1203="A")*(Log!$F$4:$F$1203&lt;&gt;"")*Log!$F$4:$F$1203))=0,"",SUMPRODUCT(MAX((Log!$D$4:$D$1203=$A35)*(Log!$B$4:$B$1203=G$25)*(Log!$E$4:$E$1203="A")*(Log!$F$4:$F$1203&lt;&gt;"")*Log!$F$4:$F$1203))))</f>
        <v/>
      </c>
      <c r="H35" s="76" t="str">
        <f aca="false">IF($A35="","",IF(SUMPRODUCT(MAX((Log!$D$4:$D$1203=$A35)*(Log!$B$4:$B$1203=H$25)*(Log!$E$4:$E$1203="A")*(Log!$F$4:$F$1203&lt;&gt;"")*Log!$F$4:$F$1203))=0,"",SUMPRODUCT(MAX((Log!$D$4:$D$1203=$A35)*(Log!$B$4:$B$1203=H$25)*(Log!$E$4:$E$1203="A")*(Log!$F$4:$F$1203&lt;&gt;"")*Log!$F$4:$F$1203))))</f>
        <v/>
      </c>
      <c r="I35" s="76" t="str">
        <f aca="false">IF($A35="","",IF(SUMPRODUCT(MAX((Log!$D$4:$D$1203=$A35)*(Log!$B$4:$B$1203=I$25)*(Log!$E$4:$E$1203="A")*(Log!$F$4:$F$1203&lt;&gt;"")*Log!$F$4:$F$1203))=0,"",SUMPRODUCT(MAX((Log!$D$4:$D$1203=$A35)*(Log!$B$4:$B$1203=I$25)*(Log!$E$4:$E$1203="A")*(Log!$F$4:$F$1203&lt;&gt;"")*Log!$F$4:$F$1203))))</f>
        <v/>
      </c>
      <c r="J35" s="76" t="str">
        <f aca="false">IF($A35="","",IF(SUMPRODUCT(MAX((Log!$D$4:$D$1203=$A35)*(Log!$B$4:$B$1203=J$25)*(Log!$E$4:$E$1203="A")*(Log!$F$4:$F$1203&lt;&gt;"")*Log!$F$4:$F$1203))=0,"",SUMPRODUCT(MAX((Log!$D$4:$D$1203=$A35)*(Log!$B$4:$B$1203=J$25)*(Log!$E$4:$E$1203="A")*(Log!$F$4:$F$1203&lt;&gt;"")*Log!$F$4:$F$1203))))</f>
        <v/>
      </c>
      <c r="K35" s="76" t="str">
        <f aca="false">IF($A35="","",IF(SUMPRODUCT(MAX((Log!$D$4:$D$1203=$A35)*(Log!$B$4:$B$1203=K$25)*(Log!$E$4:$E$1203="A")*(Log!$F$4:$F$1203&lt;&gt;"")*Log!$F$4:$F$1203))=0,"",SUMPRODUCT(MAX((Log!$D$4:$D$1203=$A35)*(Log!$B$4:$B$1203=K$25)*(Log!$E$4:$E$1203="A")*(Log!$F$4:$F$1203&lt;&gt;"")*Log!$F$4:$F$1203))))</f>
        <v/>
      </c>
      <c r="L35" s="76" t="str">
        <f aca="false">IF($A35="","",IF(SUMPRODUCT(MAX((Log!$D$4:$D$1203=$A35)*(Log!$B$4:$B$1203=L$25)*(Log!$E$4:$E$1203="A")*(Log!$F$4:$F$1203&lt;&gt;"")*Log!$F$4:$F$1203))=0,"",SUMPRODUCT(MAX((Log!$D$4:$D$1203=$A35)*(Log!$B$4:$B$1203=L$25)*(Log!$E$4:$E$1203="A")*(Log!$F$4:$F$1203&lt;&gt;"")*Log!$F$4:$F$1203))))</f>
        <v/>
      </c>
      <c r="M35" s="76" t="str">
        <f aca="false">IF($A35="","",IF(SUMPRODUCT(MAX((Log!$D$4:$D$1203=$A35)*(Log!$B$4:$B$1203=M$25)*(Log!$E$4:$E$1203="A")*(Log!$F$4:$F$1203&lt;&gt;"")*Log!$F$4:$F$1203))=0,"",SUMPRODUCT(MAX((Log!$D$4:$D$1203=$A35)*(Log!$B$4:$B$1203=M$25)*(Log!$E$4:$E$1203="A")*(Log!$F$4:$F$1203&lt;&gt;"")*Log!$F$4:$F$1203))))</f>
        <v/>
      </c>
      <c r="N35" s="76" t="str">
        <f aca="false">IF($A35="","",IF(SUMPRODUCT(MAX((Log!$D$4:$D$1203=$A35)*(Log!$B$4:$B$1203=N$25)*(Log!$E$4:$E$1203="A")*(Log!$F$4:$F$1203&lt;&gt;"")*Log!$F$4:$F$1203))=0,"",SUMPRODUCT(MAX((Log!$D$4:$D$1203=$A35)*(Log!$B$4:$B$1203=N$25)*(Log!$E$4:$E$1203="A")*(Log!$F$4:$F$1203&lt;&gt;"")*Log!$F$4:$F$1203))))</f>
        <v/>
      </c>
      <c r="O35" s="76" t="str">
        <f aca="false">IF($A35="","",IF(SUMPRODUCT(MAX((Log!$D$4:$D$1203=$A35)*(Log!$B$4:$B$1203=O$25)*(Log!$E$4:$E$1203="A")*(Log!$F$4:$F$1203&lt;&gt;"")*Log!$F$4:$F$1203))=0,"",SUMPRODUCT(MAX((Log!$D$4:$D$1203=$A35)*(Log!$B$4:$B$1203=O$25)*(Log!$E$4:$E$1203="A")*(Log!$F$4:$F$1203&lt;&gt;"")*Log!$F$4:$F$1203))))</f>
        <v/>
      </c>
      <c r="P35" s="76" t="str">
        <f aca="false">IF($A35="","",IF(SUMPRODUCT(MAX((Log!$D$4:$D$1203=$A35)*(Log!$B$4:$B$1203=P$25)*(Log!$E$4:$E$1203="A")*(Log!$F$4:$F$1203&lt;&gt;"")*Log!$F$4:$F$1203))=0,"",SUMPRODUCT(MAX((Log!$D$4:$D$1203=$A35)*(Log!$B$4:$B$1203=P$25)*(Log!$E$4:$E$1203="A")*(Log!$F$4:$F$1203&lt;&gt;"")*Log!$F$4:$F$1203))))</f>
        <v/>
      </c>
      <c r="Q35" s="76" t="str">
        <f aca="false">IF($A35="","",IF(SUMPRODUCT(MAX((Log!$D$4:$D$1203=$A35)*(Log!$B$4:$B$1203=Q$25)*(Log!$E$4:$E$1203="A")*(Log!$F$4:$F$1203&lt;&gt;"")*Log!$F$4:$F$1203))=0,"",SUMPRODUCT(MAX((Log!$D$4:$D$1203=$A35)*(Log!$B$4:$B$1203=Q$25)*(Log!$E$4:$E$1203="A")*(Log!$F$4:$F$1203&lt;&gt;"")*Log!$F$4:$F$1203))))</f>
        <v/>
      </c>
      <c r="R35" s="75" t="n">
        <f aca="false">IF($A35="","",IF(SUMPRODUCT(MAX((Log!$D$4:$D$1203=$A35)*(Log!$E$4:$E$1203="A")*(Log!$F$4:$F$1203&lt;&gt;"")*Log!$F$4:$F$1203))=0,"",SUMPRODUCT(MAX((Log!$D$4:$D$1203=$A35)*(Log!$E$4:$E$1203="A")*(Log!$F$4:$F$1203&lt;&gt;"")*Log!$F$4:$F$1203))))</f>
        <v>49</v>
      </c>
    </row>
    <row r="36" customFormat="false" ht="16.5" hidden="false" customHeight="true" outlineLevel="0" collapsed="false">
      <c r="A36" s="26" t="str">
        <f aca="false">IF(Übungen!$A14="","",Übungen!$A14)</f>
        <v>Waden</v>
      </c>
      <c r="B36" s="74" t="n">
        <f aca="false">IF($A36="","",IF(SUMPRODUCT(MAX((Log!$D$4:$D$1203=$A36)*(Log!$B$4:$B$1203=B$25)*(Log!$E$4:$E$1203="A")*(Log!$F$4:$F$1203&lt;&gt;"")*Log!$F$4:$F$1203))=0,"",SUMPRODUCT(MAX((Log!$D$4:$D$1203=$A36)*(Log!$B$4:$B$1203=B$25)*(Log!$E$4:$E$1203="A")*(Log!$F$4:$F$1203&lt;&gt;"")*Log!$F$4:$F$1203))))</f>
        <v>145</v>
      </c>
      <c r="C36" s="74" t="n">
        <f aca="false">IF($A36="","",IF(SUMPRODUCT(MAX((Log!$D$4:$D$1203=$A36)*(Log!$B$4:$B$1203=C$25)*(Log!$E$4:$E$1203="A")*(Log!$F$4:$F$1203&lt;&gt;"")*Log!$F$4:$F$1203))=0,"",SUMPRODUCT(MAX((Log!$D$4:$D$1203=$A36)*(Log!$B$4:$B$1203=C$25)*(Log!$E$4:$E$1203="A")*(Log!$F$4:$F$1203&lt;&gt;"")*Log!$F$4:$F$1203))))</f>
        <v>150</v>
      </c>
      <c r="D36" s="74" t="str">
        <f aca="false">IF($A36="","",IF(SUMPRODUCT(MAX((Log!$D$4:$D$1203=$A36)*(Log!$B$4:$B$1203=D$25)*(Log!$E$4:$E$1203="A")*(Log!$F$4:$F$1203&lt;&gt;"")*Log!$F$4:$F$1203))=0,"",SUMPRODUCT(MAX((Log!$D$4:$D$1203=$A36)*(Log!$B$4:$B$1203=D$25)*(Log!$E$4:$E$1203="A")*(Log!$F$4:$F$1203&lt;&gt;"")*Log!$F$4:$F$1203))))</f>
        <v/>
      </c>
      <c r="E36" s="74" t="str">
        <f aca="false">IF($A36="","",IF(SUMPRODUCT(MAX((Log!$D$4:$D$1203=$A36)*(Log!$B$4:$B$1203=E$25)*(Log!$E$4:$E$1203="A")*(Log!$F$4:$F$1203&lt;&gt;"")*Log!$F$4:$F$1203))=0,"",SUMPRODUCT(MAX((Log!$D$4:$D$1203=$A36)*(Log!$B$4:$B$1203=E$25)*(Log!$E$4:$E$1203="A")*(Log!$F$4:$F$1203&lt;&gt;"")*Log!$F$4:$F$1203))))</f>
        <v/>
      </c>
      <c r="F36" s="74" t="n">
        <f aca="false">IF($A36="","",IF(SUMPRODUCT(MAX((Log!$D$4:$D$1203=$A36)*(Log!$B$4:$B$1203=F$25)*(Log!$E$4:$E$1203="A")*(Log!$F$4:$F$1203&lt;&gt;"")*Log!$F$4:$F$1203))=0,"",SUMPRODUCT(MAX((Log!$D$4:$D$1203=$A36)*(Log!$B$4:$B$1203=F$25)*(Log!$E$4:$E$1203="A")*(Log!$F$4:$F$1203&lt;&gt;"")*Log!$F$4:$F$1203))))</f>
        <v>135</v>
      </c>
      <c r="G36" s="74" t="str">
        <f aca="false">IF($A36="","",IF(SUMPRODUCT(MAX((Log!$D$4:$D$1203=$A36)*(Log!$B$4:$B$1203=G$25)*(Log!$E$4:$E$1203="A")*(Log!$F$4:$F$1203&lt;&gt;"")*Log!$F$4:$F$1203))=0,"",SUMPRODUCT(MAX((Log!$D$4:$D$1203=$A36)*(Log!$B$4:$B$1203=G$25)*(Log!$E$4:$E$1203="A")*(Log!$F$4:$F$1203&lt;&gt;"")*Log!$F$4:$F$1203))))</f>
        <v/>
      </c>
      <c r="H36" s="74" t="n">
        <f aca="false">IF($A36="","",IF(SUMPRODUCT(MAX((Log!$D$4:$D$1203=$A36)*(Log!$B$4:$B$1203=H$25)*(Log!$E$4:$E$1203="A")*(Log!$F$4:$F$1203&lt;&gt;"")*Log!$F$4:$F$1203))=0,"",SUMPRODUCT(MAX((Log!$D$4:$D$1203=$A36)*(Log!$B$4:$B$1203=H$25)*(Log!$E$4:$E$1203="A")*(Log!$F$4:$F$1203&lt;&gt;"")*Log!$F$4:$F$1203))))</f>
        <v>160</v>
      </c>
      <c r="I36" s="74" t="str">
        <f aca="false">IF($A36="","",IF(SUMPRODUCT(MAX((Log!$D$4:$D$1203=$A36)*(Log!$B$4:$B$1203=I$25)*(Log!$E$4:$E$1203="A")*(Log!$F$4:$F$1203&lt;&gt;"")*Log!$F$4:$F$1203))=0,"",SUMPRODUCT(MAX((Log!$D$4:$D$1203=$A36)*(Log!$B$4:$B$1203=I$25)*(Log!$E$4:$E$1203="A")*(Log!$F$4:$F$1203&lt;&gt;"")*Log!$F$4:$F$1203))))</f>
        <v/>
      </c>
      <c r="J36" s="74" t="str">
        <f aca="false">IF($A36="","",IF(SUMPRODUCT(MAX((Log!$D$4:$D$1203=$A36)*(Log!$B$4:$B$1203=J$25)*(Log!$E$4:$E$1203="A")*(Log!$F$4:$F$1203&lt;&gt;"")*Log!$F$4:$F$1203))=0,"",SUMPRODUCT(MAX((Log!$D$4:$D$1203=$A36)*(Log!$B$4:$B$1203=J$25)*(Log!$E$4:$E$1203="A")*(Log!$F$4:$F$1203&lt;&gt;"")*Log!$F$4:$F$1203))))</f>
        <v/>
      </c>
      <c r="K36" s="74" t="str">
        <f aca="false">IF($A36="","",IF(SUMPRODUCT(MAX((Log!$D$4:$D$1203=$A36)*(Log!$B$4:$B$1203=K$25)*(Log!$E$4:$E$1203="A")*(Log!$F$4:$F$1203&lt;&gt;"")*Log!$F$4:$F$1203))=0,"",SUMPRODUCT(MAX((Log!$D$4:$D$1203=$A36)*(Log!$B$4:$B$1203=K$25)*(Log!$E$4:$E$1203="A")*(Log!$F$4:$F$1203&lt;&gt;"")*Log!$F$4:$F$1203))))</f>
        <v/>
      </c>
      <c r="L36" s="74" t="str">
        <f aca="false">IF($A36="","",IF(SUMPRODUCT(MAX((Log!$D$4:$D$1203=$A36)*(Log!$B$4:$B$1203=L$25)*(Log!$E$4:$E$1203="A")*(Log!$F$4:$F$1203&lt;&gt;"")*Log!$F$4:$F$1203))=0,"",SUMPRODUCT(MAX((Log!$D$4:$D$1203=$A36)*(Log!$B$4:$B$1203=L$25)*(Log!$E$4:$E$1203="A")*(Log!$F$4:$F$1203&lt;&gt;"")*Log!$F$4:$F$1203))))</f>
        <v/>
      </c>
      <c r="M36" s="74" t="str">
        <f aca="false">IF($A36="","",IF(SUMPRODUCT(MAX((Log!$D$4:$D$1203=$A36)*(Log!$B$4:$B$1203=M$25)*(Log!$E$4:$E$1203="A")*(Log!$F$4:$F$1203&lt;&gt;"")*Log!$F$4:$F$1203))=0,"",SUMPRODUCT(MAX((Log!$D$4:$D$1203=$A36)*(Log!$B$4:$B$1203=M$25)*(Log!$E$4:$E$1203="A")*(Log!$F$4:$F$1203&lt;&gt;"")*Log!$F$4:$F$1203))))</f>
        <v/>
      </c>
      <c r="N36" s="74" t="str">
        <f aca="false">IF($A36="","",IF(SUMPRODUCT(MAX((Log!$D$4:$D$1203=$A36)*(Log!$B$4:$B$1203=N$25)*(Log!$E$4:$E$1203="A")*(Log!$F$4:$F$1203&lt;&gt;"")*Log!$F$4:$F$1203))=0,"",SUMPRODUCT(MAX((Log!$D$4:$D$1203=$A36)*(Log!$B$4:$B$1203=N$25)*(Log!$E$4:$E$1203="A")*(Log!$F$4:$F$1203&lt;&gt;"")*Log!$F$4:$F$1203))))</f>
        <v/>
      </c>
      <c r="O36" s="74" t="str">
        <f aca="false">IF($A36="","",IF(SUMPRODUCT(MAX((Log!$D$4:$D$1203=$A36)*(Log!$B$4:$B$1203=O$25)*(Log!$E$4:$E$1203="A")*(Log!$F$4:$F$1203&lt;&gt;"")*Log!$F$4:$F$1203))=0,"",SUMPRODUCT(MAX((Log!$D$4:$D$1203=$A36)*(Log!$B$4:$B$1203=O$25)*(Log!$E$4:$E$1203="A")*(Log!$F$4:$F$1203&lt;&gt;"")*Log!$F$4:$F$1203))))</f>
        <v/>
      </c>
      <c r="P36" s="74" t="str">
        <f aca="false">IF($A36="","",IF(SUMPRODUCT(MAX((Log!$D$4:$D$1203=$A36)*(Log!$B$4:$B$1203=P$25)*(Log!$E$4:$E$1203="A")*(Log!$F$4:$F$1203&lt;&gt;"")*Log!$F$4:$F$1203))=0,"",SUMPRODUCT(MAX((Log!$D$4:$D$1203=$A36)*(Log!$B$4:$B$1203=P$25)*(Log!$E$4:$E$1203="A")*(Log!$F$4:$F$1203&lt;&gt;"")*Log!$F$4:$F$1203))))</f>
        <v/>
      </c>
      <c r="Q36" s="74" t="str">
        <f aca="false">IF($A36="","",IF(SUMPRODUCT(MAX((Log!$D$4:$D$1203=$A36)*(Log!$B$4:$B$1203=Q$25)*(Log!$E$4:$E$1203="A")*(Log!$F$4:$F$1203&lt;&gt;"")*Log!$F$4:$F$1203))=0,"",SUMPRODUCT(MAX((Log!$D$4:$D$1203=$A36)*(Log!$B$4:$B$1203=Q$25)*(Log!$E$4:$E$1203="A")*(Log!$F$4:$F$1203&lt;&gt;"")*Log!$F$4:$F$1203))))</f>
        <v/>
      </c>
      <c r="R36" s="75" t="n">
        <f aca="false">IF($A36="","",IF(SUMPRODUCT(MAX((Log!$D$4:$D$1203=$A36)*(Log!$E$4:$E$1203="A")*(Log!$F$4:$F$1203&lt;&gt;"")*Log!$F$4:$F$1203))=0,"",SUMPRODUCT(MAX((Log!$D$4:$D$1203=$A36)*(Log!$E$4:$E$1203="A")*(Log!$F$4:$F$1203&lt;&gt;"")*Log!$F$4:$F$1203))))</f>
        <v>160</v>
      </c>
    </row>
    <row r="37" customFormat="false" ht="16.5" hidden="false" customHeight="true" outlineLevel="0" collapsed="false">
      <c r="A37" s="32" t="str">
        <f aca="false">IF(Übungen!$A15="","",Übungen!$A15)</f>
        <v>Lunges</v>
      </c>
      <c r="B37" s="76" t="n">
        <f aca="false">IF($A37="","",IF(SUMPRODUCT(MAX((Log!$D$4:$D$1203=$A37)*(Log!$B$4:$B$1203=B$25)*(Log!$E$4:$E$1203="A")*(Log!$F$4:$F$1203&lt;&gt;"")*Log!$F$4:$F$1203))=0,"",SUMPRODUCT(MAX((Log!$D$4:$D$1203=$A37)*(Log!$B$4:$B$1203=B$25)*(Log!$E$4:$E$1203="A")*(Log!$F$4:$F$1203&lt;&gt;"")*Log!$F$4:$F$1203))))</f>
        <v>10</v>
      </c>
      <c r="C37" s="76" t="n">
        <f aca="false">IF($A37="","",IF(SUMPRODUCT(MAX((Log!$D$4:$D$1203=$A37)*(Log!$B$4:$B$1203=C$25)*(Log!$E$4:$E$1203="A")*(Log!$F$4:$F$1203&lt;&gt;"")*Log!$F$4:$F$1203))=0,"",SUMPRODUCT(MAX((Log!$D$4:$D$1203=$A37)*(Log!$B$4:$B$1203=C$25)*(Log!$E$4:$E$1203="A")*(Log!$F$4:$F$1203&lt;&gt;"")*Log!$F$4:$F$1203))))</f>
        <v>16</v>
      </c>
      <c r="D37" s="76" t="n">
        <f aca="false">IF($A37="","",IF(SUMPRODUCT(MAX((Log!$D$4:$D$1203=$A37)*(Log!$B$4:$B$1203=D$25)*(Log!$E$4:$E$1203="A")*(Log!$F$4:$F$1203&lt;&gt;"")*Log!$F$4:$F$1203))=0,"",SUMPRODUCT(MAX((Log!$D$4:$D$1203=$A37)*(Log!$B$4:$B$1203=D$25)*(Log!$E$4:$E$1203="A")*(Log!$F$4:$F$1203&lt;&gt;"")*Log!$F$4:$F$1203))))</f>
        <v>18</v>
      </c>
      <c r="E37" s="76" t="str">
        <f aca="false">IF($A37="","",IF(SUMPRODUCT(MAX((Log!$D$4:$D$1203=$A37)*(Log!$B$4:$B$1203=E$25)*(Log!$E$4:$E$1203="A")*(Log!$F$4:$F$1203&lt;&gt;"")*Log!$F$4:$F$1203))=0,"",SUMPRODUCT(MAX((Log!$D$4:$D$1203=$A37)*(Log!$B$4:$B$1203=E$25)*(Log!$E$4:$E$1203="A")*(Log!$F$4:$F$1203&lt;&gt;"")*Log!$F$4:$F$1203))))</f>
        <v/>
      </c>
      <c r="F37" s="76" t="str">
        <f aca="false">IF($A37="","",IF(SUMPRODUCT(MAX((Log!$D$4:$D$1203=$A37)*(Log!$B$4:$B$1203=F$25)*(Log!$E$4:$E$1203="A")*(Log!$F$4:$F$1203&lt;&gt;"")*Log!$F$4:$F$1203))=0,"",SUMPRODUCT(MAX((Log!$D$4:$D$1203=$A37)*(Log!$B$4:$B$1203=F$25)*(Log!$E$4:$E$1203="A")*(Log!$F$4:$F$1203&lt;&gt;"")*Log!$F$4:$F$1203))))</f>
        <v/>
      </c>
      <c r="G37" s="76" t="str">
        <f aca="false">IF($A37="","",IF(SUMPRODUCT(MAX((Log!$D$4:$D$1203=$A37)*(Log!$B$4:$B$1203=G$25)*(Log!$E$4:$E$1203="A")*(Log!$F$4:$F$1203&lt;&gt;"")*Log!$F$4:$F$1203))=0,"",SUMPRODUCT(MAX((Log!$D$4:$D$1203=$A37)*(Log!$B$4:$B$1203=G$25)*(Log!$E$4:$E$1203="A")*(Log!$F$4:$F$1203&lt;&gt;"")*Log!$F$4:$F$1203))))</f>
        <v/>
      </c>
      <c r="H37" s="76" t="str">
        <f aca="false">IF($A37="","",IF(SUMPRODUCT(MAX((Log!$D$4:$D$1203=$A37)*(Log!$B$4:$B$1203=H$25)*(Log!$E$4:$E$1203="A")*(Log!$F$4:$F$1203&lt;&gt;"")*Log!$F$4:$F$1203))=0,"",SUMPRODUCT(MAX((Log!$D$4:$D$1203=$A37)*(Log!$B$4:$B$1203=H$25)*(Log!$E$4:$E$1203="A")*(Log!$F$4:$F$1203&lt;&gt;"")*Log!$F$4:$F$1203))))</f>
        <v/>
      </c>
      <c r="I37" s="76" t="str">
        <f aca="false">IF($A37="","",IF(SUMPRODUCT(MAX((Log!$D$4:$D$1203=$A37)*(Log!$B$4:$B$1203=I$25)*(Log!$E$4:$E$1203="A")*(Log!$F$4:$F$1203&lt;&gt;"")*Log!$F$4:$F$1203))=0,"",SUMPRODUCT(MAX((Log!$D$4:$D$1203=$A37)*(Log!$B$4:$B$1203=I$25)*(Log!$E$4:$E$1203="A")*(Log!$F$4:$F$1203&lt;&gt;"")*Log!$F$4:$F$1203))))</f>
        <v/>
      </c>
      <c r="J37" s="76" t="str">
        <f aca="false">IF($A37="","",IF(SUMPRODUCT(MAX((Log!$D$4:$D$1203=$A37)*(Log!$B$4:$B$1203=J$25)*(Log!$E$4:$E$1203="A")*(Log!$F$4:$F$1203&lt;&gt;"")*Log!$F$4:$F$1203))=0,"",SUMPRODUCT(MAX((Log!$D$4:$D$1203=$A37)*(Log!$B$4:$B$1203=J$25)*(Log!$E$4:$E$1203="A")*(Log!$F$4:$F$1203&lt;&gt;"")*Log!$F$4:$F$1203))))</f>
        <v/>
      </c>
      <c r="K37" s="76" t="str">
        <f aca="false">IF($A37="","",IF(SUMPRODUCT(MAX((Log!$D$4:$D$1203=$A37)*(Log!$B$4:$B$1203=K$25)*(Log!$E$4:$E$1203="A")*(Log!$F$4:$F$1203&lt;&gt;"")*Log!$F$4:$F$1203))=0,"",SUMPRODUCT(MAX((Log!$D$4:$D$1203=$A37)*(Log!$B$4:$B$1203=K$25)*(Log!$E$4:$E$1203="A")*(Log!$F$4:$F$1203&lt;&gt;"")*Log!$F$4:$F$1203))))</f>
        <v/>
      </c>
      <c r="L37" s="76" t="str">
        <f aca="false">IF($A37="","",IF(SUMPRODUCT(MAX((Log!$D$4:$D$1203=$A37)*(Log!$B$4:$B$1203=L$25)*(Log!$E$4:$E$1203="A")*(Log!$F$4:$F$1203&lt;&gt;"")*Log!$F$4:$F$1203))=0,"",SUMPRODUCT(MAX((Log!$D$4:$D$1203=$A37)*(Log!$B$4:$B$1203=L$25)*(Log!$E$4:$E$1203="A")*(Log!$F$4:$F$1203&lt;&gt;"")*Log!$F$4:$F$1203))))</f>
        <v/>
      </c>
      <c r="M37" s="76" t="str">
        <f aca="false">IF($A37="","",IF(SUMPRODUCT(MAX((Log!$D$4:$D$1203=$A37)*(Log!$B$4:$B$1203=M$25)*(Log!$E$4:$E$1203="A")*(Log!$F$4:$F$1203&lt;&gt;"")*Log!$F$4:$F$1203))=0,"",SUMPRODUCT(MAX((Log!$D$4:$D$1203=$A37)*(Log!$B$4:$B$1203=M$25)*(Log!$E$4:$E$1203="A")*(Log!$F$4:$F$1203&lt;&gt;"")*Log!$F$4:$F$1203))))</f>
        <v/>
      </c>
      <c r="N37" s="76" t="str">
        <f aca="false">IF($A37="","",IF(SUMPRODUCT(MAX((Log!$D$4:$D$1203=$A37)*(Log!$B$4:$B$1203=N$25)*(Log!$E$4:$E$1203="A")*(Log!$F$4:$F$1203&lt;&gt;"")*Log!$F$4:$F$1203))=0,"",SUMPRODUCT(MAX((Log!$D$4:$D$1203=$A37)*(Log!$B$4:$B$1203=N$25)*(Log!$E$4:$E$1203="A")*(Log!$F$4:$F$1203&lt;&gt;"")*Log!$F$4:$F$1203))))</f>
        <v/>
      </c>
      <c r="O37" s="76" t="str">
        <f aca="false">IF($A37="","",IF(SUMPRODUCT(MAX((Log!$D$4:$D$1203=$A37)*(Log!$B$4:$B$1203=O$25)*(Log!$E$4:$E$1203="A")*(Log!$F$4:$F$1203&lt;&gt;"")*Log!$F$4:$F$1203))=0,"",SUMPRODUCT(MAX((Log!$D$4:$D$1203=$A37)*(Log!$B$4:$B$1203=O$25)*(Log!$E$4:$E$1203="A")*(Log!$F$4:$F$1203&lt;&gt;"")*Log!$F$4:$F$1203))))</f>
        <v/>
      </c>
      <c r="P37" s="76" t="str">
        <f aca="false">IF($A37="","",IF(SUMPRODUCT(MAX((Log!$D$4:$D$1203=$A37)*(Log!$B$4:$B$1203=P$25)*(Log!$E$4:$E$1203="A")*(Log!$F$4:$F$1203&lt;&gt;"")*Log!$F$4:$F$1203))=0,"",SUMPRODUCT(MAX((Log!$D$4:$D$1203=$A37)*(Log!$B$4:$B$1203=P$25)*(Log!$E$4:$E$1203="A")*(Log!$F$4:$F$1203&lt;&gt;"")*Log!$F$4:$F$1203))))</f>
        <v/>
      </c>
      <c r="Q37" s="76" t="str">
        <f aca="false">IF($A37="","",IF(SUMPRODUCT(MAX((Log!$D$4:$D$1203=$A37)*(Log!$B$4:$B$1203=Q$25)*(Log!$E$4:$E$1203="A")*(Log!$F$4:$F$1203&lt;&gt;"")*Log!$F$4:$F$1203))=0,"",SUMPRODUCT(MAX((Log!$D$4:$D$1203=$A37)*(Log!$B$4:$B$1203=Q$25)*(Log!$E$4:$E$1203="A")*(Log!$F$4:$F$1203&lt;&gt;"")*Log!$F$4:$F$1203))))</f>
        <v/>
      </c>
      <c r="R37" s="75" t="n">
        <f aca="false">IF($A37="","",IF(SUMPRODUCT(MAX((Log!$D$4:$D$1203=$A37)*(Log!$E$4:$E$1203="A")*(Log!$F$4:$F$1203&lt;&gt;"")*Log!$F$4:$F$1203))=0,"",SUMPRODUCT(MAX((Log!$D$4:$D$1203=$A37)*(Log!$E$4:$E$1203="A")*(Log!$F$4:$F$1203&lt;&gt;"")*Log!$F$4:$F$1203))))</f>
        <v>18</v>
      </c>
    </row>
    <row r="38" customFormat="false" ht="16.5" hidden="false" customHeight="true" outlineLevel="0" collapsed="false">
      <c r="A38" s="26" t="str">
        <f aca="false">IF(Übungen!$A16="","",Übungen!$A16)</f>
        <v>Kickback</v>
      </c>
      <c r="B38" s="74" t="n">
        <f aca="false">IF($A38="","",IF(SUMPRODUCT(MAX((Log!$D$4:$D$1203=$A38)*(Log!$B$4:$B$1203=B$25)*(Log!$E$4:$E$1203="A")*(Log!$F$4:$F$1203&lt;&gt;"")*Log!$F$4:$F$1203))=0,"",SUMPRODUCT(MAX((Log!$D$4:$D$1203=$A38)*(Log!$B$4:$B$1203=B$25)*(Log!$E$4:$E$1203="A")*(Log!$F$4:$F$1203&lt;&gt;"")*Log!$F$4:$F$1203))))</f>
        <v>77</v>
      </c>
      <c r="C38" s="74" t="n">
        <f aca="false">IF($A38="","",IF(SUMPRODUCT(MAX((Log!$D$4:$D$1203=$A38)*(Log!$B$4:$B$1203=C$25)*(Log!$E$4:$E$1203="A")*(Log!$F$4:$F$1203&lt;&gt;"")*Log!$F$4:$F$1203))=0,"",SUMPRODUCT(MAX((Log!$D$4:$D$1203=$A38)*(Log!$B$4:$B$1203=C$25)*(Log!$E$4:$E$1203="A")*(Log!$F$4:$F$1203&lt;&gt;"")*Log!$F$4:$F$1203))))</f>
        <v>84</v>
      </c>
      <c r="D38" s="74" t="n">
        <f aca="false">IF($A38="","",IF(SUMPRODUCT(MAX((Log!$D$4:$D$1203=$A38)*(Log!$B$4:$B$1203=D$25)*(Log!$E$4:$E$1203="A")*(Log!$F$4:$F$1203&lt;&gt;"")*Log!$F$4:$F$1203))=0,"",SUMPRODUCT(MAX((Log!$D$4:$D$1203=$A38)*(Log!$B$4:$B$1203=D$25)*(Log!$E$4:$E$1203="A")*(Log!$F$4:$F$1203&lt;&gt;"")*Log!$F$4:$F$1203))))</f>
        <v>84</v>
      </c>
      <c r="E38" s="74" t="n">
        <f aca="false">IF($A38="","",IF(SUMPRODUCT(MAX((Log!$D$4:$D$1203=$A38)*(Log!$B$4:$B$1203=E$25)*(Log!$E$4:$E$1203="A")*(Log!$F$4:$F$1203&lt;&gt;"")*Log!$F$4:$F$1203))=0,"",SUMPRODUCT(MAX((Log!$D$4:$D$1203=$A38)*(Log!$B$4:$B$1203=E$25)*(Log!$E$4:$E$1203="A")*(Log!$F$4:$F$1203&lt;&gt;"")*Log!$F$4:$F$1203))))</f>
        <v>63</v>
      </c>
      <c r="F38" s="74" t="str">
        <f aca="false">IF($A38="","",IF(SUMPRODUCT(MAX((Log!$D$4:$D$1203=$A38)*(Log!$B$4:$B$1203=F$25)*(Log!$E$4:$E$1203="A")*(Log!$F$4:$F$1203&lt;&gt;"")*Log!$F$4:$F$1203))=0,"",SUMPRODUCT(MAX((Log!$D$4:$D$1203=$A38)*(Log!$B$4:$B$1203=F$25)*(Log!$E$4:$E$1203="A")*(Log!$F$4:$F$1203&lt;&gt;"")*Log!$F$4:$F$1203))))</f>
        <v/>
      </c>
      <c r="G38" s="74" t="str">
        <f aca="false">IF($A38="","",IF(SUMPRODUCT(MAX((Log!$D$4:$D$1203=$A38)*(Log!$B$4:$B$1203=G$25)*(Log!$E$4:$E$1203="A")*(Log!$F$4:$F$1203&lt;&gt;"")*Log!$F$4:$F$1203))=0,"",SUMPRODUCT(MAX((Log!$D$4:$D$1203=$A38)*(Log!$B$4:$B$1203=G$25)*(Log!$E$4:$E$1203="A")*(Log!$F$4:$F$1203&lt;&gt;"")*Log!$F$4:$F$1203))))</f>
        <v/>
      </c>
      <c r="H38" s="74" t="str">
        <f aca="false">IF($A38="","",IF(SUMPRODUCT(MAX((Log!$D$4:$D$1203=$A38)*(Log!$B$4:$B$1203=H$25)*(Log!$E$4:$E$1203="A")*(Log!$F$4:$F$1203&lt;&gt;"")*Log!$F$4:$F$1203))=0,"",SUMPRODUCT(MAX((Log!$D$4:$D$1203=$A38)*(Log!$B$4:$B$1203=H$25)*(Log!$E$4:$E$1203="A")*(Log!$F$4:$F$1203&lt;&gt;"")*Log!$F$4:$F$1203))))</f>
        <v/>
      </c>
      <c r="I38" s="74" t="str">
        <f aca="false">IF($A38="","",IF(SUMPRODUCT(MAX((Log!$D$4:$D$1203=$A38)*(Log!$B$4:$B$1203=I$25)*(Log!$E$4:$E$1203="A")*(Log!$F$4:$F$1203&lt;&gt;"")*Log!$F$4:$F$1203))=0,"",SUMPRODUCT(MAX((Log!$D$4:$D$1203=$A38)*(Log!$B$4:$B$1203=I$25)*(Log!$E$4:$E$1203="A")*(Log!$F$4:$F$1203&lt;&gt;"")*Log!$F$4:$F$1203))))</f>
        <v/>
      </c>
      <c r="J38" s="74" t="str">
        <f aca="false">IF($A38="","",IF(SUMPRODUCT(MAX((Log!$D$4:$D$1203=$A38)*(Log!$B$4:$B$1203=J$25)*(Log!$E$4:$E$1203="A")*(Log!$F$4:$F$1203&lt;&gt;"")*Log!$F$4:$F$1203))=0,"",SUMPRODUCT(MAX((Log!$D$4:$D$1203=$A38)*(Log!$B$4:$B$1203=J$25)*(Log!$E$4:$E$1203="A")*(Log!$F$4:$F$1203&lt;&gt;"")*Log!$F$4:$F$1203))))</f>
        <v/>
      </c>
      <c r="K38" s="74" t="str">
        <f aca="false">IF($A38="","",IF(SUMPRODUCT(MAX((Log!$D$4:$D$1203=$A38)*(Log!$B$4:$B$1203=K$25)*(Log!$E$4:$E$1203="A")*(Log!$F$4:$F$1203&lt;&gt;"")*Log!$F$4:$F$1203))=0,"",SUMPRODUCT(MAX((Log!$D$4:$D$1203=$A38)*(Log!$B$4:$B$1203=K$25)*(Log!$E$4:$E$1203="A")*(Log!$F$4:$F$1203&lt;&gt;"")*Log!$F$4:$F$1203))))</f>
        <v/>
      </c>
      <c r="L38" s="74" t="str">
        <f aca="false">IF($A38="","",IF(SUMPRODUCT(MAX((Log!$D$4:$D$1203=$A38)*(Log!$B$4:$B$1203=L$25)*(Log!$E$4:$E$1203="A")*(Log!$F$4:$F$1203&lt;&gt;"")*Log!$F$4:$F$1203))=0,"",SUMPRODUCT(MAX((Log!$D$4:$D$1203=$A38)*(Log!$B$4:$B$1203=L$25)*(Log!$E$4:$E$1203="A")*(Log!$F$4:$F$1203&lt;&gt;"")*Log!$F$4:$F$1203))))</f>
        <v/>
      </c>
      <c r="M38" s="74" t="str">
        <f aca="false">IF($A38="","",IF(SUMPRODUCT(MAX((Log!$D$4:$D$1203=$A38)*(Log!$B$4:$B$1203=M$25)*(Log!$E$4:$E$1203="A")*(Log!$F$4:$F$1203&lt;&gt;"")*Log!$F$4:$F$1203))=0,"",SUMPRODUCT(MAX((Log!$D$4:$D$1203=$A38)*(Log!$B$4:$B$1203=M$25)*(Log!$E$4:$E$1203="A")*(Log!$F$4:$F$1203&lt;&gt;"")*Log!$F$4:$F$1203))))</f>
        <v/>
      </c>
      <c r="N38" s="74" t="str">
        <f aca="false">IF($A38="","",IF(SUMPRODUCT(MAX((Log!$D$4:$D$1203=$A38)*(Log!$B$4:$B$1203=N$25)*(Log!$E$4:$E$1203="A")*(Log!$F$4:$F$1203&lt;&gt;"")*Log!$F$4:$F$1203))=0,"",SUMPRODUCT(MAX((Log!$D$4:$D$1203=$A38)*(Log!$B$4:$B$1203=N$25)*(Log!$E$4:$E$1203="A")*(Log!$F$4:$F$1203&lt;&gt;"")*Log!$F$4:$F$1203))))</f>
        <v/>
      </c>
      <c r="O38" s="74" t="str">
        <f aca="false">IF($A38="","",IF(SUMPRODUCT(MAX((Log!$D$4:$D$1203=$A38)*(Log!$B$4:$B$1203=O$25)*(Log!$E$4:$E$1203="A")*(Log!$F$4:$F$1203&lt;&gt;"")*Log!$F$4:$F$1203))=0,"",SUMPRODUCT(MAX((Log!$D$4:$D$1203=$A38)*(Log!$B$4:$B$1203=O$25)*(Log!$E$4:$E$1203="A")*(Log!$F$4:$F$1203&lt;&gt;"")*Log!$F$4:$F$1203))))</f>
        <v/>
      </c>
      <c r="P38" s="74" t="str">
        <f aca="false">IF($A38="","",IF(SUMPRODUCT(MAX((Log!$D$4:$D$1203=$A38)*(Log!$B$4:$B$1203=P$25)*(Log!$E$4:$E$1203="A")*(Log!$F$4:$F$1203&lt;&gt;"")*Log!$F$4:$F$1203))=0,"",SUMPRODUCT(MAX((Log!$D$4:$D$1203=$A38)*(Log!$B$4:$B$1203=P$25)*(Log!$E$4:$E$1203="A")*(Log!$F$4:$F$1203&lt;&gt;"")*Log!$F$4:$F$1203))))</f>
        <v/>
      </c>
      <c r="Q38" s="74" t="str">
        <f aca="false">IF($A38="","",IF(SUMPRODUCT(MAX((Log!$D$4:$D$1203=$A38)*(Log!$B$4:$B$1203=Q$25)*(Log!$E$4:$E$1203="A")*(Log!$F$4:$F$1203&lt;&gt;"")*Log!$F$4:$F$1203))=0,"",SUMPRODUCT(MAX((Log!$D$4:$D$1203=$A38)*(Log!$B$4:$B$1203=Q$25)*(Log!$E$4:$E$1203="A")*(Log!$F$4:$F$1203&lt;&gt;"")*Log!$F$4:$F$1203))))</f>
        <v/>
      </c>
      <c r="R38" s="75" t="n">
        <f aca="false">IF($A38="","",IF(SUMPRODUCT(MAX((Log!$D$4:$D$1203=$A38)*(Log!$E$4:$E$1203="A")*(Log!$F$4:$F$1203&lt;&gt;"")*Log!$F$4:$F$1203))=0,"",SUMPRODUCT(MAX((Log!$D$4:$D$1203=$A38)*(Log!$E$4:$E$1203="A")*(Log!$F$4:$F$1203&lt;&gt;"")*Log!$F$4:$F$1203))))</f>
        <v>84</v>
      </c>
    </row>
    <row r="39" customFormat="false" ht="16.5" hidden="false" customHeight="true" outlineLevel="0" collapsed="false">
      <c r="A39" s="32" t="str">
        <f aca="false">IF(Übungen!$A17="","",Übungen!$A17)</f>
        <v/>
      </c>
      <c r="B39" s="76" t="str">
        <f aca="false">IF($A39="","",IF(SUMPRODUCT(MAX((Log!$D$4:$D$1203=$A39)*(Log!$B$4:$B$1203=B$25)*(Log!$E$4:$E$1203="A")*(Log!$F$4:$F$1203&lt;&gt;"")*Log!$F$4:$F$1203))=0,"",SUMPRODUCT(MAX((Log!$D$4:$D$1203=$A39)*(Log!$B$4:$B$1203=B$25)*(Log!$E$4:$E$1203="A")*(Log!$F$4:$F$1203&lt;&gt;"")*Log!$F$4:$F$1203))))</f>
        <v/>
      </c>
      <c r="C39" s="76" t="str">
        <f aca="false">IF($A39="","",IF(SUMPRODUCT(MAX((Log!$D$4:$D$1203=$A39)*(Log!$B$4:$B$1203=C$25)*(Log!$E$4:$E$1203="A")*(Log!$F$4:$F$1203&lt;&gt;"")*Log!$F$4:$F$1203))=0,"",SUMPRODUCT(MAX((Log!$D$4:$D$1203=$A39)*(Log!$B$4:$B$1203=C$25)*(Log!$E$4:$E$1203="A")*(Log!$F$4:$F$1203&lt;&gt;"")*Log!$F$4:$F$1203))))</f>
        <v/>
      </c>
      <c r="D39" s="76" t="str">
        <f aca="false">IF($A39="","",IF(SUMPRODUCT(MAX((Log!$D$4:$D$1203=$A39)*(Log!$B$4:$B$1203=D$25)*(Log!$E$4:$E$1203="A")*(Log!$F$4:$F$1203&lt;&gt;"")*Log!$F$4:$F$1203))=0,"",SUMPRODUCT(MAX((Log!$D$4:$D$1203=$A39)*(Log!$B$4:$B$1203=D$25)*(Log!$E$4:$E$1203="A")*(Log!$F$4:$F$1203&lt;&gt;"")*Log!$F$4:$F$1203))))</f>
        <v/>
      </c>
      <c r="E39" s="76" t="str">
        <f aca="false">IF($A39="","",IF(SUMPRODUCT(MAX((Log!$D$4:$D$1203=$A39)*(Log!$B$4:$B$1203=E$25)*(Log!$E$4:$E$1203="A")*(Log!$F$4:$F$1203&lt;&gt;"")*Log!$F$4:$F$1203))=0,"",SUMPRODUCT(MAX((Log!$D$4:$D$1203=$A39)*(Log!$B$4:$B$1203=E$25)*(Log!$E$4:$E$1203="A")*(Log!$F$4:$F$1203&lt;&gt;"")*Log!$F$4:$F$1203))))</f>
        <v/>
      </c>
      <c r="F39" s="76" t="str">
        <f aca="false">IF($A39="","",IF(SUMPRODUCT(MAX((Log!$D$4:$D$1203=$A39)*(Log!$B$4:$B$1203=F$25)*(Log!$E$4:$E$1203="A")*(Log!$F$4:$F$1203&lt;&gt;"")*Log!$F$4:$F$1203))=0,"",SUMPRODUCT(MAX((Log!$D$4:$D$1203=$A39)*(Log!$B$4:$B$1203=F$25)*(Log!$E$4:$E$1203="A")*(Log!$F$4:$F$1203&lt;&gt;"")*Log!$F$4:$F$1203))))</f>
        <v/>
      </c>
      <c r="G39" s="76" t="str">
        <f aca="false">IF($A39="","",IF(SUMPRODUCT(MAX((Log!$D$4:$D$1203=$A39)*(Log!$B$4:$B$1203=G$25)*(Log!$E$4:$E$1203="A")*(Log!$F$4:$F$1203&lt;&gt;"")*Log!$F$4:$F$1203))=0,"",SUMPRODUCT(MAX((Log!$D$4:$D$1203=$A39)*(Log!$B$4:$B$1203=G$25)*(Log!$E$4:$E$1203="A")*(Log!$F$4:$F$1203&lt;&gt;"")*Log!$F$4:$F$1203))))</f>
        <v/>
      </c>
      <c r="H39" s="76" t="str">
        <f aca="false">IF($A39="","",IF(SUMPRODUCT(MAX((Log!$D$4:$D$1203=$A39)*(Log!$B$4:$B$1203=H$25)*(Log!$E$4:$E$1203="A")*(Log!$F$4:$F$1203&lt;&gt;"")*Log!$F$4:$F$1203))=0,"",SUMPRODUCT(MAX((Log!$D$4:$D$1203=$A39)*(Log!$B$4:$B$1203=H$25)*(Log!$E$4:$E$1203="A")*(Log!$F$4:$F$1203&lt;&gt;"")*Log!$F$4:$F$1203))))</f>
        <v/>
      </c>
      <c r="I39" s="76" t="str">
        <f aca="false">IF($A39="","",IF(SUMPRODUCT(MAX((Log!$D$4:$D$1203=$A39)*(Log!$B$4:$B$1203=I$25)*(Log!$E$4:$E$1203="A")*(Log!$F$4:$F$1203&lt;&gt;"")*Log!$F$4:$F$1203))=0,"",SUMPRODUCT(MAX((Log!$D$4:$D$1203=$A39)*(Log!$B$4:$B$1203=I$25)*(Log!$E$4:$E$1203="A")*(Log!$F$4:$F$1203&lt;&gt;"")*Log!$F$4:$F$1203))))</f>
        <v/>
      </c>
      <c r="J39" s="76" t="str">
        <f aca="false">IF($A39="","",IF(SUMPRODUCT(MAX((Log!$D$4:$D$1203=$A39)*(Log!$B$4:$B$1203=J$25)*(Log!$E$4:$E$1203="A")*(Log!$F$4:$F$1203&lt;&gt;"")*Log!$F$4:$F$1203))=0,"",SUMPRODUCT(MAX((Log!$D$4:$D$1203=$A39)*(Log!$B$4:$B$1203=J$25)*(Log!$E$4:$E$1203="A")*(Log!$F$4:$F$1203&lt;&gt;"")*Log!$F$4:$F$1203))))</f>
        <v/>
      </c>
      <c r="K39" s="76" t="str">
        <f aca="false">IF($A39="","",IF(SUMPRODUCT(MAX((Log!$D$4:$D$1203=$A39)*(Log!$B$4:$B$1203=K$25)*(Log!$E$4:$E$1203="A")*(Log!$F$4:$F$1203&lt;&gt;"")*Log!$F$4:$F$1203))=0,"",SUMPRODUCT(MAX((Log!$D$4:$D$1203=$A39)*(Log!$B$4:$B$1203=K$25)*(Log!$E$4:$E$1203="A")*(Log!$F$4:$F$1203&lt;&gt;"")*Log!$F$4:$F$1203))))</f>
        <v/>
      </c>
      <c r="L39" s="76" t="str">
        <f aca="false">IF($A39="","",IF(SUMPRODUCT(MAX((Log!$D$4:$D$1203=$A39)*(Log!$B$4:$B$1203=L$25)*(Log!$E$4:$E$1203="A")*(Log!$F$4:$F$1203&lt;&gt;"")*Log!$F$4:$F$1203))=0,"",SUMPRODUCT(MAX((Log!$D$4:$D$1203=$A39)*(Log!$B$4:$B$1203=L$25)*(Log!$E$4:$E$1203="A")*(Log!$F$4:$F$1203&lt;&gt;"")*Log!$F$4:$F$1203))))</f>
        <v/>
      </c>
      <c r="M39" s="76" t="str">
        <f aca="false">IF($A39="","",IF(SUMPRODUCT(MAX((Log!$D$4:$D$1203=$A39)*(Log!$B$4:$B$1203=M$25)*(Log!$E$4:$E$1203="A")*(Log!$F$4:$F$1203&lt;&gt;"")*Log!$F$4:$F$1203))=0,"",SUMPRODUCT(MAX((Log!$D$4:$D$1203=$A39)*(Log!$B$4:$B$1203=M$25)*(Log!$E$4:$E$1203="A")*(Log!$F$4:$F$1203&lt;&gt;"")*Log!$F$4:$F$1203))))</f>
        <v/>
      </c>
      <c r="N39" s="76" t="str">
        <f aca="false">IF($A39="","",IF(SUMPRODUCT(MAX((Log!$D$4:$D$1203=$A39)*(Log!$B$4:$B$1203=N$25)*(Log!$E$4:$E$1203="A")*(Log!$F$4:$F$1203&lt;&gt;"")*Log!$F$4:$F$1203))=0,"",SUMPRODUCT(MAX((Log!$D$4:$D$1203=$A39)*(Log!$B$4:$B$1203=N$25)*(Log!$E$4:$E$1203="A")*(Log!$F$4:$F$1203&lt;&gt;"")*Log!$F$4:$F$1203))))</f>
        <v/>
      </c>
      <c r="O39" s="76" t="str">
        <f aca="false">IF($A39="","",IF(SUMPRODUCT(MAX((Log!$D$4:$D$1203=$A39)*(Log!$B$4:$B$1203=O$25)*(Log!$E$4:$E$1203="A")*(Log!$F$4:$F$1203&lt;&gt;"")*Log!$F$4:$F$1203))=0,"",SUMPRODUCT(MAX((Log!$D$4:$D$1203=$A39)*(Log!$B$4:$B$1203=O$25)*(Log!$E$4:$E$1203="A")*(Log!$F$4:$F$1203&lt;&gt;"")*Log!$F$4:$F$1203))))</f>
        <v/>
      </c>
      <c r="P39" s="76" t="str">
        <f aca="false">IF($A39="","",IF(SUMPRODUCT(MAX((Log!$D$4:$D$1203=$A39)*(Log!$B$4:$B$1203=P$25)*(Log!$E$4:$E$1203="A")*(Log!$F$4:$F$1203&lt;&gt;"")*Log!$F$4:$F$1203))=0,"",SUMPRODUCT(MAX((Log!$D$4:$D$1203=$A39)*(Log!$B$4:$B$1203=P$25)*(Log!$E$4:$E$1203="A")*(Log!$F$4:$F$1203&lt;&gt;"")*Log!$F$4:$F$1203))))</f>
        <v/>
      </c>
      <c r="Q39" s="76" t="str">
        <f aca="false">IF($A39="","",IF(SUMPRODUCT(MAX((Log!$D$4:$D$1203=$A39)*(Log!$B$4:$B$1203=Q$25)*(Log!$E$4:$E$1203="A")*(Log!$F$4:$F$1203&lt;&gt;"")*Log!$F$4:$F$1203))=0,"",SUMPRODUCT(MAX((Log!$D$4:$D$1203=$A39)*(Log!$B$4:$B$1203=Q$25)*(Log!$E$4:$E$1203="A")*(Log!$F$4:$F$1203&lt;&gt;"")*Log!$F$4:$F$1203))))</f>
        <v/>
      </c>
      <c r="R39" s="75" t="str">
        <f aca="false">IF($A39="","",IF(SUMPRODUCT(MAX((Log!$D$4:$D$1203=$A39)*(Log!$E$4:$E$1203="A")*(Log!$F$4:$F$1203&lt;&gt;"")*Log!$F$4:$F$1203))=0,"",SUMPRODUCT(MAX((Log!$D$4:$D$1203=$A39)*(Log!$E$4:$E$1203="A")*(Log!$F$4:$F$1203&lt;&gt;"")*Log!$F$4:$F$1203))))</f>
        <v/>
      </c>
    </row>
    <row r="40" customFormat="false" ht="16.5" hidden="false" customHeight="true" outlineLevel="0" collapsed="false">
      <c r="A40" s="26" t="str">
        <f aca="false">IF(Übungen!$A18="","",Übungen!$A18)</f>
        <v/>
      </c>
      <c r="B40" s="74" t="str">
        <f aca="false">IF($A40="","",IF(SUMPRODUCT(MAX((Log!$D$4:$D$1203=$A40)*(Log!$B$4:$B$1203=B$25)*(Log!$E$4:$E$1203="A")*(Log!$F$4:$F$1203&lt;&gt;"")*Log!$F$4:$F$1203))=0,"",SUMPRODUCT(MAX((Log!$D$4:$D$1203=$A40)*(Log!$B$4:$B$1203=B$25)*(Log!$E$4:$E$1203="A")*(Log!$F$4:$F$1203&lt;&gt;"")*Log!$F$4:$F$1203))))</f>
        <v/>
      </c>
      <c r="C40" s="74" t="str">
        <f aca="false">IF($A40="","",IF(SUMPRODUCT(MAX((Log!$D$4:$D$1203=$A40)*(Log!$B$4:$B$1203=C$25)*(Log!$E$4:$E$1203="A")*(Log!$F$4:$F$1203&lt;&gt;"")*Log!$F$4:$F$1203))=0,"",SUMPRODUCT(MAX((Log!$D$4:$D$1203=$A40)*(Log!$B$4:$B$1203=C$25)*(Log!$E$4:$E$1203="A")*(Log!$F$4:$F$1203&lt;&gt;"")*Log!$F$4:$F$1203))))</f>
        <v/>
      </c>
      <c r="D40" s="74" t="str">
        <f aca="false">IF($A40="","",IF(SUMPRODUCT(MAX((Log!$D$4:$D$1203=$A40)*(Log!$B$4:$B$1203=D$25)*(Log!$E$4:$E$1203="A")*(Log!$F$4:$F$1203&lt;&gt;"")*Log!$F$4:$F$1203))=0,"",SUMPRODUCT(MAX((Log!$D$4:$D$1203=$A40)*(Log!$B$4:$B$1203=D$25)*(Log!$E$4:$E$1203="A")*(Log!$F$4:$F$1203&lt;&gt;"")*Log!$F$4:$F$1203))))</f>
        <v/>
      </c>
      <c r="E40" s="74" t="str">
        <f aca="false">IF($A40="","",IF(SUMPRODUCT(MAX((Log!$D$4:$D$1203=$A40)*(Log!$B$4:$B$1203=E$25)*(Log!$E$4:$E$1203="A")*(Log!$F$4:$F$1203&lt;&gt;"")*Log!$F$4:$F$1203))=0,"",SUMPRODUCT(MAX((Log!$D$4:$D$1203=$A40)*(Log!$B$4:$B$1203=E$25)*(Log!$E$4:$E$1203="A")*(Log!$F$4:$F$1203&lt;&gt;"")*Log!$F$4:$F$1203))))</f>
        <v/>
      </c>
      <c r="F40" s="74" t="str">
        <f aca="false">IF($A40="","",IF(SUMPRODUCT(MAX((Log!$D$4:$D$1203=$A40)*(Log!$B$4:$B$1203=F$25)*(Log!$E$4:$E$1203="A")*(Log!$F$4:$F$1203&lt;&gt;"")*Log!$F$4:$F$1203))=0,"",SUMPRODUCT(MAX((Log!$D$4:$D$1203=$A40)*(Log!$B$4:$B$1203=F$25)*(Log!$E$4:$E$1203="A")*(Log!$F$4:$F$1203&lt;&gt;"")*Log!$F$4:$F$1203))))</f>
        <v/>
      </c>
      <c r="G40" s="74" t="str">
        <f aca="false">IF($A40="","",IF(SUMPRODUCT(MAX((Log!$D$4:$D$1203=$A40)*(Log!$B$4:$B$1203=G$25)*(Log!$E$4:$E$1203="A")*(Log!$F$4:$F$1203&lt;&gt;"")*Log!$F$4:$F$1203))=0,"",SUMPRODUCT(MAX((Log!$D$4:$D$1203=$A40)*(Log!$B$4:$B$1203=G$25)*(Log!$E$4:$E$1203="A")*(Log!$F$4:$F$1203&lt;&gt;"")*Log!$F$4:$F$1203))))</f>
        <v/>
      </c>
      <c r="H40" s="74" t="str">
        <f aca="false">IF($A40="","",IF(SUMPRODUCT(MAX((Log!$D$4:$D$1203=$A40)*(Log!$B$4:$B$1203=H$25)*(Log!$E$4:$E$1203="A")*(Log!$F$4:$F$1203&lt;&gt;"")*Log!$F$4:$F$1203))=0,"",SUMPRODUCT(MAX((Log!$D$4:$D$1203=$A40)*(Log!$B$4:$B$1203=H$25)*(Log!$E$4:$E$1203="A")*(Log!$F$4:$F$1203&lt;&gt;"")*Log!$F$4:$F$1203))))</f>
        <v/>
      </c>
      <c r="I40" s="74" t="str">
        <f aca="false">IF($A40="","",IF(SUMPRODUCT(MAX((Log!$D$4:$D$1203=$A40)*(Log!$B$4:$B$1203=I$25)*(Log!$E$4:$E$1203="A")*(Log!$F$4:$F$1203&lt;&gt;"")*Log!$F$4:$F$1203))=0,"",SUMPRODUCT(MAX((Log!$D$4:$D$1203=$A40)*(Log!$B$4:$B$1203=I$25)*(Log!$E$4:$E$1203="A")*(Log!$F$4:$F$1203&lt;&gt;"")*Log!$F$4:$F$1203))))</f>
        <v/>
      </c>
      <c r="J40" s="74" t="str">
        <f aca="false">IF($A40="","",IF(SUMPRODUCT(MAX((Log!$D$4:$D$1203=$A40)*(Log!$B$4:$B$1203=J$25)*(Log!$E$4:$E$1203="A")*(Log!$F$4:$F$1203&lt;&gt;"")*Log!$F$4:$F$1203))=0,"",SUMPRODUCT(MAX((Log!$D$4:$D$1203=$A40)*(Log!$B$4:$B$1203=J$25)*(Log!$E$4:$E$1203="A")*(Log!$F$4:$F$1203&lt;&gt;"")*Log!$F$4:$F$1203))))</f>
        <v/>
      </c>
      <c r="K40" s="74" t="str">
        <f aca="false">IF($A40="","",IF(SUMPRODUCT(MAX((Log!$D$4:$D$1203=$A40)*(Log!$B$4:$B$1203=K$25)*(Log!$E$4:$E$1203="A")*(Log!$F$4:$F$1203&lt;&gt;"")*Log!$F$4:$F$1203))=0,"",SUMPRODUCT(MAX((Log!$D$4:$D$1203=$A40)*(Log!$B$4:$B$1203=K$25)*(Log!$E$4:$E$1203="A")*(Log!$F$4:$F$1203&lt;&gt;"")*Log!$F$4:$F$1203))))</f>
        <v/>
      </c>
      <c r="L40" s="74" t="str">
        <f aca="false">IF($A40="","",IF(SUMPRODUCT(MAX((Log!$D$4:$D$1203=$A40)*(Log!$B$4:$B$1203=L$25)*(Log!$E$4:$E$1203="A")*(Log!$F$4:$F$1203&lt;&gt;"")*Log!$F$4:$F$1203))=0,"",SUMPRODUCT(MAX((Log!$D$4:$D$1203=$A40)*(Log!$B$4:$B$1203=L$25)*(Log!$E$4:$E$1203="A")*(Log!$F$4:$F$1203&lt;&gt;"")*Log!$F$4:$F$1203))))</f>
        <v/>
      </c>
      <c r="M40" s="74" t="str">
        <f aca="false">IF($A40="","",IF(SUMPRODUCT(MAX((Log!$D$4:$D$1203=$A40)*(Log!$B$4:$B$1203=M$25)*(Log!$E$4:$E$1203="A")*(Log!$F$4:$F$1203&lt;&gt;"")*Log!$F$4:$F$1203))=0,"",SUMPRODUCT(MAX((Log!$D$4:$D$1203=$A40)*(Log!$B$4:$B$1203=M$25)*(Log!$E$4:$E$1203="A")*(Log!$F$4:$F$1203&lt;&gt;"")*Log!$F$4:$F$1203))))</f>
        <v/>
      </c>
      <c r="N40" s="74" t="str">
        <f aca="false">IF($A40="","",IF(SUMPRODUCT(MAX((Log!$D$4:$D$1203=$A40)*(Log!$B$4:$B$1203=N$25)*(Log!$E$4:$E$1203="A")*(Log!$F$4:$F$1203&lt;&gt;"")*Log!$F$4:$F$1203))=0,"",SUMPRODUCT(MAX((Log!$D$4:$D$1203=$A40)*(Log!$B$4:$B$1203=N$25)*(Log!$E$4:$E$1203="A")*(Log!$F$4:$F$1203&lt;&gt;"")*Log!$F$4:$F$1203))))</f>
        <v/>
      </c>
      <c r="O40" s="74" t="str">
        <f aca="false">IF($A40="","",IF(SUMPRODUCT(MAX((Log!$D$4:$D$1203=$A40)*(Log!$B$4:$B$1203=O$25)*(Log!$E$4:$E$1203="A")*(Log!$F$4:$F$1203&lt;&gt;"")*Log!$F$4:$F$1203))=0,"",SUMPRODUCT(MAX((Log!$D$4:$D$1203=$A40)*(Log!$B$4:$B$1203=O$25)*(Log!$E$4:$E$1203="A")*(Log!$F$4:$F$1203&lt;&gt;"")*Log!$F$4:$F$1203))))</f>
        <v/>
      </c>
      <c r="P40" s="74" t="str">
        <f aca="false">IF($A40="","",IF(SUMPRODUCT(MAX((Log!$D$4:$D$1203=$A40)*(Log!$B$4:$B$1203=P$25)*(Log!$E$4:$E$1203="A")*(Log!$F$4:$F$1203&lt;&gt;"")*Log!$F$4:$F$1203))=0,"",SUMPRODUCT(MAX((Log!$D$4:$D$1203=$A40)*(Log!$B$4:$B$1203=P$25)*(Log!$E$4:$E$1203="A")*(Log!$F$4:$F$1203&lt;&gt;"")*Log!$F$4:$F$1203))))</f>
        <v/>
      </c>
      <c r="Q40" s="74" t="str">
        <f aca="false">IF($A40="","",IF(SUMPRODUCT(MAX((Log!$D$4:$D$1203=$A40)*(Log!$B$4:$B$1203=Q$25)*(Log!$E$4:$E$1203="A")*(Log!$F$4:$F$1203&lt;&gt;"")*Log!$F$4:$F$1203))=0,"",SUMPRODUCT(MAX((Log!$D$4:$D$1203=$A40)*(Log!$B$4:$B$1203=Q$25)*(Log!$E$4:$E$1203="A")*(Log!$F$4:$F$1203&lt;&gt;"")*Log!$F$4:$F$1203))))</f>
        <v/>
      </c>
      <c r="R40" s="75" t="str">
        <f aca="false">IF($A40="","",IF(SUMPRODUCT(MAX((Log!$D$4:$D$1203=$A40)*(Log!$E$4:$E$1203="A")*(Log!$F$4:$F$1203&lt;&gt;"")*Log!$F$4:$F$1203))=0,"",SUMPRODUCT(MAX((Log!$D$4:$D$1203=$A40)*(Log!$E$4:$E$1203="A")*(Log!$F$4:$F$1203&lt;&gt;"")*Log!$F$4:$F$1203))))</f>
        <v/>
      </c>
    </row>
    <row r="41" customFormat="false" ht="16.5" hidden="false" customHeight="true" outlineLevel="0" collapsed="false">
      <c r="A41" s="32" t="str">
        <f aca="false">IF(Übungen!$A19="","",Übungen!$A19)</f>
        <v/>
      </c>
      <c r="B41" s="76" t="str">
        <f aca="false">IF($A41="","",IF(SUMPRODUCT(MAX((Log!$D$4:$D$1203=$A41)*(Log!$B$4:$B$1203=B$25)*(Log!$E$4:$E$1203="A")*(Log!$F$4:$F$1203&lt;&gt;"")*Log!$F$4:$F$1203))=0,"",SUMPRODUCT(MAX((Log!$D$4:$D$1203=$A41)*(Log!$B$4:$B$1203=B$25)*(Log!$E$4:$E$1203="A")*(Log!$F$4:$F$1203&lt;&gt;"")*Log!$F$4:$F$1203))))</f>
        <v/>
      </c>
      <c r="C41" s="76" t="str">
        <f aca="false">IF($A41="","",IF(SUMPRODUCT(MAX((Log!$D$4:$D$1203=$A41)*(Log!$B$4:$B$1203=C$25)*(Log!$E$4:$E$1203="A")*(Log!$F$4:$F$1203&lt;&gt;"")*Log!$F$4:$F$1203))=0,"",SUMPRODUCT(MAX((Log!$D$4:$D$1203=$A41)*(Log!$B$4:$B$1203=C$25)*(Log!$E$4:$E$1203="A")*(Log!$F$4:$F$1203&lt;&gt;"")*Log!$F$4:$F$1203))))</f>
        <v/>
      </c>
      <c r="D41" s="76" t="str">
        <f aca="false">IF($A41="","",IF(SUMPRODUCT(MAX((Log!$D$4:$D$1203=$A41)*(Log!$B$4:$B$1203=D$25)*(Log!$E$4:$E$1203="A")*(Log!$F$4:$F$1203&lt;&gt;"")*Log!$F$4:$F$1203))=0,"",SUMPRODUCT(MAX((Log!$D$4:$D$1203=$A41)*(Log!$B$4:$B$1203=D$25)*(Log!$E$4:$E$1203="A")*(Log!$F$4:$F$1203&lt;&gt;"")*Log!$F$4:$F$1203))))</f>
        <v/>
      </c>
      <c r="E41" s="76" t="str">
        <f aca="false">IF($A41="","",IF(SUMPRODUCT(MAX((Log!$D$4:$D$1203=$A41)*(Log!$B$4:$B$1203=E$25)*(Log!$E$4:$E$1203="A")*(Log!$F$4:$F$1203&lt;&gt;"")*Log!$F$4:$F$1203))=0,"",SUMPRODUCT(MAX((Log!$D$4:$D$1203=$A41)*(Log!$B$4:$B$1203=E$25)*(Log!$E$4:$E$1203="A")*(Log!$F$4:$F$1203&lt;&gt;"")*Log!$F$4:$F$1203))))</f>
        <v/>
      </c>
      <c r="F41" s="76" t="str">
        <f aca="false">IF($A41="","",IF(SUMPRODUCT(MAX((Log!$D$4:$D$1203=$A41)*(Log!$B$4:$B$1203=F$25)*(Log!$E$4:$E$1203="A")*(Log!$F$4:$F$1203&lt;&gt;"")*Log!$F$4:$F$1203))=0,"",SUMPRODUCT(MAX((Log!$D$4:$D$1203=$A41)*(Log!$B$4:$B$1203=F$25)*(Log!$E$4:$E$1203="A")*(Log!$F$4:$F$1203&lt;&gt;"")*Log!$F$4:$F$1203))))</f>
        <v/>
      </c>
      <c r="G41" s="76" t="str">
        <f aca="false">IF($A41="","",IF(SUMPRODUCT(MAX((Log!$D$4:$D$1203=$A41)*(Log!$B$4:$B$1203=G$25)*(Log!$E$4:$E$1203="A")*(Log!$F$4:$F$1203&lt;&gt;"")*Log!$F$4:$F$1203))=0,"",SUMPRODUCT(MAX((Log!$D$4:$D$1203=$A41)*(Log!$B$4:$B$1203=G$25)*(Log!$E$4:$E$1203="A")*(Log!$F$4:$F$1203&lt;&gt;"")*Log!$F$4:$F$1203))))</f>
        <v/>
      </c>
      <c r="H41" s="76" t="str">
        <f aca="false">IF($A41="","",IF(SUMPRODUCT(MAX((Log!$D$4:$D$1203=$A41)*(Log!$B$4:$B$1203=H$25)*(Log!$E$4:$E$1203="A")*(Log!$F$4:$F$1203&lt;&gt;"")*Log!$F$4:$F$1203))=0,"",SUMPRODUCT(MAX((Log!$D$4:$D$1203=$A41)*(Log!$B$4:$B$1203=H$25)*(Log!$E$4:$E$1203="A")*(Log!$F$4:$F$1203&lt;&gt;"")*Log!$F$4:$F$1203))))</f>
        <v/>
      </c>
      <c r="I41" s="76" t="str">
        <f aca="false">IF($A41="","",IF(SUMPRODUCT(MAX((Log!$D$4:$D$1203=$A41)*(Log!$B$4:$B$1203=I$25)*(Log!$E$4:$E$1203="A")*(Log!$F$4:$F$1203&lt;&gt;"")*Log!$F$4:$F$1203))=0,"",SUMPRODUCT(MAX((Log!$D$4:$D$1203=$A41)*(Log!$B$4:$B$1203=I$25)*(Log!$E$4:$E$1203="A")*(Log!$F$4:$F$1203&lt;&gt;"")*Log!$F$4:$F$1203))))</f>
        <v/>
      </c>
      <c r="J41" s="76" t="str">
        <f aca="false">IF($A41="","",IF(SUMPRODUCT(MAX((Log!$D$4:$D$1203=$A41)*(Log!$B$4:$B$1203=J$25)*(Log!$E$4:$E$1203="A")*(Log!$F$4:$F$1203&lt;&gt;"")*Log!$F$4:$F$1203))=0,"",SUMPRODUCT(MAX((Log!$D$4:$D$1203=$A41)*(Log!$B$4:$B$1203=J$25)*(Log!$E$4:$E$1203="A")*(Log!$F$4:$F$1203&lt;&gt;"")*Log!$F$4:$F$1203))))</f>
        <v/>
      </c>
      <c r="K41" s="76" t="str">
        <f aca="false">IF($A41="","",IF(SUMPRODUCT(MAX((Log!$D$4:$D$1203=$A41)*(Log!$B$4:$B$1203=K$25)*(Log!$E$4:$E$1203="A")*(Log!$F$4:$F$1203&lt;&gt;"")*Log!$F$4:$F$1203))=0,"",SUMPRODUCT(MAX((Log!$D$4:$D$1203=$A41)*(Log!$B$4:$B$1203=K$25)*(Log!$E$4:$E$1203="A")*(Log!$F$4:$F$1203&lt;&gt;"")*Log!$F$4:$F$1203))))</f>
        <v/>
      </c>
      <c r="L41" s="76" t="str">
        <f aca="false">IF($A41="","",IF(SUMPRODUCT(MAX((Log!$D$4:$D$1203=$A41)*(Log!$B$4:$B$1203=L$25)*(Log!$E$4:$E$1203="A")*(Log!$F$4:$F$1203&lt;&gt;"")*Log!$F$4:$F$1203))=0,"",SUMPRODUCT(MAX((Log!$D$4:$D$1203=$A41)*(Log!$B$4:$B$1203=L$25)*(Log!$E$4:$E$1203="A")*(Log!$F$4:$F$1203&lt;&gt;"")*Log!$F$4:$F$1203))))</f>
        <v/>
      </c>
      <c r="M41" s="76" t="str">
        <f aca="false">IF($A41="","",IF(SUMPRODUCT(MAX((Log!$D$4:$D$1203=$A41)*(Log!$B$4:$B$1203=M$25)*(Log!$E$4:$E$1203="A")*(Log!$F$4:$F$1203&lt;&gt;"")*Log!$F$4:$F$1203))=0,"",SUMPRODUCT(MAX((Log!$D$4:$D$1203=$A41)*(Log!$B$4:$B$1203=M$25)*(Log!$E$4:$E$1203="A")*(Log!$F$4:$F$1203&lt;&gt;"")*Log!$F$4:$F$1203))))</f>
        <v/>
      </c>
      <c r="N41" s="76" t="str">
        <f aca="false">IF($A41="","",IF(SUMPRODUCT(MAX((Log!$D$4:$D$1203=$A41)*(Log!$B$4:$B$1203=N$25)*(Log!$E$4:$E$1203="A")*(Log!$F$4:$F$1203&lt;&gt;"")*Log!$F$4:$F$1203))=0,"",SUMPRODUCT(MAX((Log!$D$4:$D$1203=$A41)*(Log!$B$4:$B$1203=N$25)*(Log!$E$4:$E$1203="A")*(Log!$F$4:$F$1203&lt;&gt;"")*Log!$F$4:$F$1203))))</f>
        <v/>
      </c>
      <c r="O41" s="76" t="str">
        <f aca="false">IF($A41="","",IF(SUMPRODUCT(MAX((Log!$D$4:$D$1203=$A41)*(Log!$B$4:$B$1203=O$25)*(Log!$E$4:$E$1203="A")*(Log!$F$4:$F$1203&lt;&gt;"")*Log!$F$4:$F$1203))=0,"",SUMPRODUCT(MAX((Log!$D$4:$D$1203=$A41)*(Log!$B$4:$B$1203=O$25)*(Log!$E$4:$E$1203="A")*(Log!$F$4:$F$1203&lt;&gt;"")*Log!$F$4:$F$1203))))</f>
        <v/>
      </c>
      <c r="P41" s="76" t="str">
        <f aca="false">IF($A41="","",IF(SUMPRODUCT(MAX((Log!$D$4:$D$1203=$A41)*(Log!$B$4:$B$1203=P$25)*(Log!$E$4:$E$1203="A")*(Log!$F$4:$F$1203&lt;&gt;"")*Log!$F$4:$F$1203))=0,"",SUMPRODUCT(MAX((Log!$D$4:$D$1203=$A41)*(Log!$B$4:$B$1203=P$25)*(Log!$E$4:$E$1203="A")*(Log!$F$4:$F$1203&lt;&gt;"")*Log!$F$4:$F$1203))))</f>
        <v/>
      </c>
      <c r="Q41" s="76" t="str">
        <f aca="false">IF($A41="","",IF(SUMPRODUCT(MAX((Log!$D$4:$D$1203=$A41)*(Log!$B$4:$B$1203=Q$25)*(Log!$E$4:$E$1203="A")*(Log!$F$4:$F$1203&lt;&gt;"")*Log!$F$4:$F$1203))=0,"",SUMPRODUCT(MAX((Log!$D$4:$D$1203=$A41)*(Log!$B$4:$B$1203=Q$25)*(Log!$E$4:$E$1203="A")*(Log!$F$4:$F$1203&lt;&gt;"")*Log!$F$4:$F$1203))))</f>
        <v/>
      </c>
      <c r="R41" s="75" t="str">
        <f aca="false">IF($A41="","",IF(SUMPRODUCT(MAX((Log!$D$4:$D$1203=$A41)*(Log!$E$4:$E$1203="A")*(Log!$F$4:$F$1203&lt;&gt;"")*Log!$F$4:$F$1203))=0,"",SUMPRODUCT(MAX((Log!$D$4:$D$1203=$A41)*(Log!$E$4:$E$1203="A")*(Log!$F$4:$F$1203&lt;&gt;"")*Log!$F$4:$F$1203))))</f>
        <v/>
      </c>
    </row>
    <row r="44" customFormat="false" ht="19.5" hidden="false" customHeight="true" outlineLevel="0" collapsed="false">
      <c r="A44" s="3" t="s">
        <v>324</v>
      </c>
      <c r="B44" s="3"/>
      <c r="C44" s="3"/>
      <c r="D44" s="3"/>
      <c r="E44" s="3"/>
      <c r="F44" s="3"/>
      <c r="G44" s="3"/>
      <c r="H44" s="3"/>
      <c r="I44" s="3"/>
      <c r="J44" s="3"/>
      <c r="K44" s="3"/>
      <c r="L44" s="3"/>
      <c r="M44" s="3"/>
      <c r="N44" s="3"/>
      <c r="O44" s="3"/>
      <c r="P44" s="3"/>
      <c r="Q44" s="3"/>
      <c r="R44" s="3"/>
    </row>
    <row r="45" customFormat="false" ht="21.75" hidden="false" customHeight="true" outlineLevel="0" collapsed="false">
      <c r="A45" s="25" t="s">
        <v>97</v>
      </c>
      <c r="B45" s="70" t="n">
        <f aca="false">$B$3</f>
        <v>1</v>
      </c>
      <c r="C45" s="70" t="n">
        <f aca="false">B45+1</f>
        <v>2</v>
      </c>
      <c r="D45" s="70" t="n">
        <f aca="false">C45+1</f>
        <v>3</v>
      </c>
      <c r="E45" s="70" t="n">
        <f aca="false">D45+1</f>
        <v>4</v>
      </c>
      <c r="F45" s="70" t="n">
        <f aca="false">E45+1</f>
        <v>5</v>
      </c>
      <c r="G45" s="70" t="n">
        <f aca="false">F45+1</f>
        <v>6</v>
      </c>
      <c r="H45" s="70" t="n">
        <f aca="false">G45+1</f>
        <v>7</v>
      </c>
      <c r="I45" s="70" t="n">
        <f aca="false">H45+1</f>
        <v>8</v>
      </c>
      <c r="J45" s="70" t="n">
        <f aca="false">I45+1</f>
        <v>9</v>
      </c>
      <c r="K45" s="70" t="n">
        <f aca="false">J45+1</f>
        <v>10</v>
      </c>
      <c r="L45" s="70" t="n">
        <f aca="false">K45+1</f>
        <v>11</v>
      </c>
      <c r="M45" s="70" t="n">
        <f aca="false">L45+1</f>
        <v>12</v>
      </c>
      <c r="N45" s="70" t="n">
        <f aca="false">M45+1</f>
        <v>13</v>
      </c>
      <c r="O45" s="70" t="n">
        <f aca="false">N45+1</f>
        <v>14</v>
      </c>
      <c r="P45" s="70" t="n">
        <f aca="false">O45+1</f>
        <v>15</v>
      </c>
      <c r="Q45" s="70" t="n">
        <f aca="false">P45+1</f>
        <v>16</v>
      </c>
      <c r="R45" s="25" t="s">
        <v>323</v>
      </c>
    </row>
    <row r="46" customFormat="false" ht="16.5" hidden="false" customHeight="true" outlineLevel="0" collapsed="false">
      <c r="A46" s="26" t="str">
        <f aca="false">IF(Übungen!$A4="","",Übungen!$A4)</f>
        <v>Beinpresse eng</v>
      </c>
      <c r="B46" s="74" t="str">
        <f aca="false">IF($A46="","",IF(SUMPRODUCT(MAX((Log!$D$4:$D$1203=$A46)*(Log!$B$4:$B$1203=B$45)*(Log!$E$4:$E$1203="A")*(Log!$F$4:$F$1203&lt;&gt;"")*(Log!$G$4:$G$1203&lt;&gt;"")*Log!$F$4:$F$1203*(1+Log!$G$4:$G$1203/30)))=0,"",SUMPRODUCT(MAX((Log!$D$4:$D$1203=$A46)*(Log!$B$4:$B$1203=B$45)*(Log!$E$4:$E$1203="A")*(Log!$F$4:$F$1203&lt;&gt;"")*(Log!$G$4:$G$1203&lt;&gt;"")*Log!$F$4:$F$1203*(1+Log!$G$4:$G$1203/30)))))</f>
        <v/>
      </c>
      <c r="C46" s="74" t="str">
        <f aca="false">IF($A46="","",IF(SUMPRODUCT(MAX((Log!$D$4:$D$1203=$A46)*(Log!$B$4:$B$1203=C$45)*(Log!$E$4:$E$1203="A")*(Log!$F$4:$F$1203&lt;&gt;"")*(Log!$G$4:$G$1203&lt;&gt;"")*Log!$F$4:$F$1203*(1+Log!$G$4:$G$1203/30)))=0,"",SUMPRODUCT(MAX((Log!$D$4:$D$1203=$A46)*(Log!$B$4:$B$1203=C$45)*(Log!$E$4:$E$1203="A")*(Log!$F$4:$F$1203&lt;&gt;"")*(Log!$G$4:$G$1203&lt;&gt;"")*Log!$F$4:$F$1203*(1+Log!$G$4:$G$1203/30)))))</f>
        <v/>
      </c>
      <c r="D46" s="74" t="str">
        <f aca="false">IF($A46="","",IF(SUMPRODUCT(MAX((Log!$D$4:$D$1203=$A46)*(Log!$B$4:$B$1203=D$45)*(Log!$E$4:$E$1203="A")*(Log!$F$4:$F$1203&lt;&gt;"")*(Log!$G$4:$G$1203&lt;&gt;"")*Log!$F$4:$F$1203*(1+Log!$G$4:$G$1203/30)))=0,"",SUMPRODUCT(MAX((Log!$D$4:$D$1203=$A46)*(Log!$B$4:$B$1203=D$45)*(Log!$E$4:$E$1203="A")*(Log!$F$4:$F$1203&lt;&gt;"")*(Log!$G$4:$G$1203&lt;&gt;"")*Log!$F$4:$F$1203*(1+Log!$G$4:$G$1203/30)))))</f>
        <v/>
      </c>
      <c r="E46" s="74" t="str">
        <f aca="false">IF($A46="","",IF(SUMPRODUCT(MAX((Log!$D$4:$D$1203=$A46)*(Log!$B$4:$B$1203=E$45)*(Log!$E$4:$E$1203="A")*(Log!$F$4:$F$1203&lt;&gt;"")*(Log!$G$4:$G$1203&lt;&gt;"")*Log!$F$4:$F$1203*(1+Log!$G$4:$G$1203/30)))=0,"",SUMPRODUCT(MAX((Log!$D$4:$D$1203=$A46)*(Log!$B$4:$B$1203=E$45)*(Log!$E$4:$E$1203="A")*(Log!$F$4:$F$1203&lt;&gt;"")*(Log!$G$4:$G$1203&lt;&gt;"")*Log!$F$4:$F$1203*(1+Log!$G$4:$G$1203/30)))))</f>
        <v/>
      </c>
      <c r="F46" s="74" t="n">
        <f aca="false">IF($A46="","",IF(SUMPRODUCT(MAX((Log!$D$4:$D$1203=$A46)*(Log!$B$4:$B$1203=F$45)*(Log!$E$4:$E$1203="A")*(Log!$F$4:$F$1203&lt;&gt;"")*(Log!$G$4:$G$1203&lt;&gt;"")*Log!$F$4:$F$1203*(1+Log!$G$4:$G$1203/30)))=0,"",SUMPRODUCT(MAX((Log!$D$4:$D$1203=$A46)*(Log!$B$4:$B$1203=F$45)*(Log!$E$4:$E$1203="A")*(Log!$F$4:$F$1203&lt;&gt;"")*(Log!$G$4:$G$1203&lt;&gt;"")*Log!$F$4:$F$1203*(1+Log!$G$4:$G$1203/30)))))</f>
        <v>364</v>
      </c>
      <c r="G46" s="74" t="n">
        <f aca="false">IF($A46="","",IF(SUMPRODUCT(MAX((Log!$D$4:$D$1203=$A46)*(Log!$B$4:$B$1203=G$45)*(Log!$E$4:$E$1203="A")*(Log!$F$4:$F$1203&lt;&gt;"")*(Log!$G$4:$G$1203&lt;&gt;"")*Log!$F$4:$F$1203*(1+Log!$G$4:$G$1203/30)))=0,"",SUMPRODUCT(MAX((Log!$D$4:$D$1203=$A46)*(Log!$B$4:$B$1203=G$45)*(Log!$E$4:$E$1203="A")*(Log!$F$4:$F$1203&lt;&gt;"")*(Log!$G$4:$G$1203&lt;&gt;"")*Log!$F$4:$F$1203*(1+Log!$G$4:$G$1203/30)))))</f>
        <v>382.2</v>
      </c>
      <c r="H46" s="74" t="str">
        <f aca="false">IF($A46="","",IF(SUMPRODUCT(MAX((Log!$D$4:$D$1203=$A46)*(Log!$B$4:$B$1203=H$45)*(Log!$E$4:$E$1203="A")*(Log!$F$4:$F$1203&lt;&gt;"")*(Log!$G$4:$G$1203&lt;&gt;"")*Log!$F$4:$F$1203*(1+Log!$G$4:$G$1203/30)))=0,"",SUMPRODUCT(MAX((Log!$D$4:$D$1203=$A46)*(Log!$B$4:$B$1203=H$45)*(Log!$E$4:$E$1203="A")*(Log!$F$4:$F$1203&lt;&gt;"")*(Log!$G$4:$G$1203&lt;&gt;"")*Log!$F$4:$F$1203*(1+Log!$G$4:$G$1203/30)))))</f>
        <v/>
      </c>
      <c r="I46" s="74" t="n">
        <f aca="false">IF($A46="","",IF(SUMPRODUCT(MAX((Log!$D$4:$D$1203=$A46)*(Log!$B$4:$B$1203=I$45)*(Log!$E$4:$E$1203="A")*(Log!$F$4:$F$1203&lt;&gt;"")*(Log!$G$4:$G$1203&lt;&gt;"")*Log!$F$4:$F$1203*(1+Log!$G$4:$G$1203/30)))=0,"",SUMPRODUCT(MAX((Log!$D$4:$D$1203=$A46)*(Log!$B$4:$B$1203=I$45)*(Log!$E$4:$E$1203="A")*(Log!$F$4:$F$1203&lt;&gt;"")*(Log!$G$4:$G$1203&lt;&gt;"")*Log!$F$4:$F$1203*(1+Log!$G$4:$G$1203/30)))))</f>
        <v>421.8</v>
      </c>
      <c r="J46" s="74" t="str">
        <f aca="false">IF($A46="","",IF(SUMPRODUCT(MAX((Log!$D$4:$D$1203=$A46)*(Log!$B$4:$B$1203=J$45)*(Log!$E$4:$E$1203="A")*(Log!$F$4:$F$1203&lt;&gt;"")*(Log!$G$4:$G$1203&lt;&gt;"")*Log!$F$4:$F$1203*(1+Log!$G$4:$G$1203/30)))=0,"",SUMPRODUCT(MAX((Log!$D$4:$D$1203=$A46)*(Log!$B$4:$B$1203=J$45)*(Log!$E$4:$E$1203="A")*(Log!$F$4:$F$1203&lt;&gt;"")*(Log!$G$4:$G$1203&lt;&gt;"")*Log!$F$4:$F$1203*(1+Log!$G$4:$G$1203/30)))))</f>
        <v/>
      </c>
      <c r="K46" s="74" t="str">
        <f aca="false">IF($A46="","",IF(SUMPRODUCT(MAX((Log!$D$4:$D$1203=$A46)*(Log!$B$4:$B$1203=K$45)*(Log!$E$4:$E$1203="A")*(Log!$F$4:$F$1203&lt;&gt;"")*(Log!$G$4:$G$1203&lt;&gt;"")*Log!$F$4:$F$1203*(1+Log!$G$4:$G$1203/30)))=0,"",SUMPRODUCT(MAX((Log!$D$4:$D$1203=$A46)*(Log!$B$4:$B$1203=K$45)*(Log!$E$4:$E$1203="A")*(Log!$F$4:$F$1203&lt;&gt;"")*(Log!$G$4:$G$1203&lt;&gt;"")*Log!$F$4:$F$1203*(1+Log!$G$4:$G$1203/30)))))</f>
        <v/>
      </c>
      <c r="L46" s="74" t="str">
        <f aca="false">IF($A46="","",IF(SUMPRODUCT(MAX((Log!$D$4:$D$1203=$A46)*(Log!$B$4:$B$1203=L$45)*(Log!$E$4:$E$1203="A")*(Log!$F$4:$F$1203&lt;&gt;"")*(Log!$G$4:$G$1203&lt;&gt;"")*Log!$F$4:$F$1203*(1+Log!$G$4:$G$1203/30)))=0,"",SUMPRODUCT(MAX((Log!$D$4:$D$1203=$A46)*(Log!$B$4:$B$1203=L$45)*(Log!$E$4:$E$1203="A")*(Log!$F$4:$F$1203&lt;&gt;"")*(Log!$G$4:$G$1203&lt;&gt;"")*Log!$F$4:$F$1203*(1+Log!$G$4:$G$1203/30)))))</f>
        <v/>
      </c>
      <c r="M46" s="74" t="str">
        <f aca="false">IF($A46="","",IF(SUMPRODUCT(MAX((Log!$D$4:$D$1203=$A46)*(Log!$B$4:$B$1203=M$45)*(Log!$E$4:$E$1203="A")*(Log!$F$4:$F$1203&lt;&gt;"")*(Log!$G$4:$G$1203&lt;&gt;"")*Log!$F$4:$F$1203*(1+Log!$G$4:$G$1203/30)))=0,"",SUMPRODUCT(MAX((Log!$D$4:$D$1203=$A46)*(Log!$B$4:$B$1203=M$45)*(Log!$E$4:$E$1203="A")*(Log!$F$4:$F$1203&lt;&gt;"")*(Log!$G$4:$G$1203&lt;&gt;"")*Log!$F$4:$F$1203*(1+Log!$G$4:$G$1203/30)))))</f>
        <v/>
      </c>
      <c r="N46" s="74" t="str">
        <f aca="false">IF($A46="","",IF(SUMPRODUCT(MAX((Log!$D$4:$D$1203=$A46)*(Log!$B$4:$B$1203=N$45)*(Log!$E$4:$E$1203="A")*(Log!$F$4:$F$1203&lt;&gt;"")*(Log!$G$4:$G$1203&lt;&gt;"")*Log!$F$4:$F$1203*(1+Log!$G$4:$G$1203/30)))=0,"",SUMPRODUCT(MAX((Log!$D$4:$D$1203=$A46)*(Log!$B$4:$B$1203=N$45)*(Log!$E$4:$E$1203="A")*(Log!$F$4:$F$1203&lt;&gt;"")*(Log!$G$4:$G$1203&lt;&gt;"")*Log!$F$4:$F$1203*(1+Log!$G$4:$G$1203/30)))))</f>
        <v/>
      </c>
      <c r="O46" s="74" t="str">
        <f aca="false">IF($A46="","",IF(SUMPRODUCT(MAX((Log!$D$4:$D$1203=$A46)*(Log!$B$4:$B$1203=O$45)*(Log!$E$4:$E$1203="A")*(Log!$F$4:$F$1203&lt;&gt;"")*(Log!$G$4:$G$1203&lt;&gt;"")*Log!$F$4:$F$1203*(1+Log!$G$4:$G$1203/30)))=0,"",SUMPRODUCT(MAX((Log!$D$4:$D$1203=$A46)*(Log!$B$4:$B$1203=O$45)*(Log!$E$4:$E$1203="A")*(Log!$F$4:$F$1203&lt;&gt;"")*(Log!$G$4:$G$1203&lt;&gt;"")*Log!$F$4:$F$1203*(1+Log!$G$4:$G$1203/30)))))</f>
        <v/>
      </c>
      <c r="P46" s="74" t="str">
        <f aca="false">IF($A46="","",IF(SUMPRODUCT(MAX((Log!$D$4:$D$1203=$A46)*(Log!$B$4:$B$1203=P$45)*(Log!$E$4:$E$1203="A")*(Log!$F$4:$F$1203&lt;&gt;"")*(Log!$G$4:$G$1203&lt;&gt;"")*Log!$F$4:$F$1203*(1+Log!$G$4:$G$1203/30)))=0,"",SUMPRODUCT(MAX((Log!$D$4:$D$1203=$A46)*(Log!$B$4:$B$1203=P$45)*(Log!$E$4:$E$1203="A")*(Log!$F$4:$F$1203&lt;&gt;"")*(Log!$G$4:$G$1203&lt;&gt;"")*Log!$F$4:$F$1203*(1+Log!$G$4:$G$1203/30)))))</f>
        <v/>
      </c>
      <c r="Q46" s="74" t="str">
        <f aca="false">IF($A46="","",IF(SUMPRODUCT(MAX((Log!$D$4:$D$1203=$A46)*(Log!$B$4:$B$1203=Q$45)*(Log!$E$4:$E$1203="A")*(Log!$F$4:$F$1203&lt;&gt;"")*(Log!$G$4:$G$1203&lt;&gt;"")*Log!$F$4:$F$1203*(1+Log!$G$4:$G$1203/30)))=0,"",SUMPRODUCT(MAX((Log!$D$4:$D$1203=$A46)*(Log!$B$4:$B$1203=Q$45)*(Log!$E$4:$E$1203="A")*(Log!$F$4:$F$1203&lt;&gt;"")*(Log!$G$4:$G$1203&lt;&gt;"")*Log!$F$4:$F$1203*(1+Log!$G$4:$G$1203/30)))))</f>
        <v/>
      </c>
      <c r="R46" s="75"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32" t="str">
        <f aca="false">IF(Übungen!$A5="","",Übungen!$A5)</f>
        <v>Split Squat</v>
      </c>
      <c r="B47" s="76" t="n">
        <f aca="false">IF($A47="","",IF(SUMPRODUCT(MAX((Log!$D$4:$D$1203=$A47)*(Log!$B$4:$B$1203=B$45)*(Log!$E$4:$E$1203="A")*(Log!$F$4:$F$1203&lt;&gt;"")*(Log!$G$4:$G$1203&lt;&gt;"")*Log!$F$4:$F$1203*(1+Log!$G$4:$G$1203/30)))=0,"",SUMPRODUCT(MAX((Log!$D$4:$D$1203=$A47)*(Log!$B$4:$B$1203=B$45)*(Log!$E$4:$E$1203="A")*(Log!$F$4:$F$1203&lt;&gt;"")*(Log!$G$4:$G$1203&lt;&gt;"")*Log!$F$4:$F$1203*(1+Log!$G$4:$G$1203/30)))))</f>
        <v>116.666666666667</v>
      </c>
      <c r="C47" s="76" t="n">
        <f aca="false">IF($A47="","",IF(SUMPRODUCT(MAX((Log!$D$4:$D$1203=$A47)*(Log!$B$4:$B$1203=C$45)*(Log!$E$4:$E$1203="A")*(Log!$F$4:$F$1203&lt;&gt;"")*(Log!$G$4:$G$1203&lt;&gt;"")*Log!$F$4:$F$1203*(1+Log!$G$4:$G$1203/30)))=0,"",SUMPRODUCT(MAX((Log!$D$4:$D$1203=$A47)*(Log!$B$4:$B$1203=C$45)*(Log!$E$4:$E$1203="A")*(Log!$F$4:$F$1203&lt;&gt;"")*(Log!$G$4:$G$1203&lt;&gt;"")*Log!$F$4:$F$1203*(1+Log!$G$4:$G$1203/30)))))</f>
        <v>119</v>
      </c>
      <c r="D47" s="76" t="n">
        <f aca="false">IF($A47="","",IF(SUMPRODUCT(MAX((Log!$D$4:$D$1203=$A47)*(Log!$B$4:$B$1203=D$45)*(Log!$E$4:$E$1203="A")*(Log!$F$4:$F$1203&lt;&gt;"")*(Log!$G$4:$G$1203&lt;&gt;"")*Log!$F$4:$F$1203*(1+Log!$G$4:$G$1203/30)))=0,"",SUMPRODUCT(MAX((Log!$D$4:$D$1203=$A47)*(Log!$B$4:$B$1203=D$45)*(Log!$E$4:$E$1203="A")*(Log!$F$4:$F$1203&lt;&gt;"")*(Log!$G$4:$G$1203&lt;&gt;"")*Log!$F$4:$F$1203*(1+Log!$G$4:$G$1203/30)))))</f>
        <v>123.5</v>
      </c>
      <c r="E47" s="76" t="n">
        <f aca="false">IF($A47="","",IF(SUMPRODUCT(MAX((Log!$D$4:$D$1203=$A47)*(Log!$B$4:$B$1203=E$45)*(Log!$E$4:$E$1203="A")*(Log!$F$4:$F$1203&lt;&gt;"")*(Log!$G$4:$G$1203&lt;&gt;"")*Log!$F$4:$F$1203*(1+Log!$G$4:$G$1203/30)))=0,"",SUMPRODUCT(MAX((Log!$D$4:$D$1203=$A47)*(Log!$B$4:$B$1203=E$45)*(Log!$E$4:$E$1203="A")*(Log!$F$4:$F$1203&lt;&gt;"")*(Log!$G$4:$G$1203&lt;&gt;"")*Log!$F$4:$F$1203*(1+Log!$G$4:$G$1203/30)))))</f>
        <v>101.333333333333</v>
      </c>
      <c r="F47" s="76" t="n">
        <f aca="false">IF($A47="","",IF(SUMPRODUCT(MAX((Log!$D$4:$D$1203=$A47)*(Log!$B$4:$B$1203=F$45)*(Log!$E$4:$E$1203="A")*(Log!$F$4:$F$1203&lt;&gt;"")*(Log!$G$4:$G$1203&lt;&gt;"")*Log!$F$4:$F$1203*(1+Log!$G$4:$G$1203/30)))=0,"",SUMPRODUCT(MAX((Log!$D$4:$D$1203=$A47)*(Log!$B$4:$B$1203=F$45)*(Log!$E$4:$E$1203="A")*(Log!$F$4:$F$1203&lt;&gt;"")*(Log!$G$4:$G$1203&lt;&gt;"")*Log!$F$4:$F$1203*(1+Log!$G$4:$G$1203/30)))))</f>
        <v>126.666666666667</v>
      </c>
      <c r="G47" s="76" t="n">
        <f aca="false">IF($A47="","",IF(SUMPRODUCT(MAX((Log!$D$4:$D$1203=$A47)*(Log!$B$4:$B$1203=G$45)*(Log!$E$4:$E$1203="A")*(Log!$F$4:$F$1203&lt;&gt;"")*(Log!$G$4:$G$1203&lt;&gt;"")*Log!$F$4:$F$1203*(1+Log!$G$4:$G$1203/30)))=0,"",SUMPRODUCT(MAX((Log!$D$4:$D$1203=$A47)*(Log!$B$4:$B$1203=G$45)*(Log!$E$4:$E$1203="A")*(Log!$F$4:$F$1203&lt;&gt;"")*(Log!$G$4:$G$1203&lt;&gt;"")*Log!$F$4:$F$1203*(1+Log!$G$4:$G$1203/30)))))</f>
        <v>133.333333333333</v>
      </c>
      <c r="H47" s="76" t="str">
        <f aca="false">IF($A47="","",IF(SUMPRODUCT(MAX((Log!$D$4:$D$1203=$A47)*(Log!$B$4:$B$1203=H$45)*(Log!$E$4:$E$1203="A")*(Log!$F$4:$F$1203&lt;&gt;"")*(Log!$G$4:$G$1203&lt;&gt;"")*Log!$F$4:$F$1203*(1+Log!$G$4:$G$1203/30)))=0,"",SUMPRODUCT(MAX((Log!$D$4:$D$1203=$A47)*(Log!$B$4:$B$1203=H$45)*(Log!$E$4:$E$1203="A")*(Log!$F$4:$F$1203&lt;&gt;"")*(Log!$G$4:$G$1203&lt;&gt;"")*Log!$F$4:$F$1203*(1+Log!$G$4:$G$1203/30)))))</f>
        <v/>
      </c>
      <c r="I47" s="76" t="n">
        <f aca="false">IF($A47="","",IF(SUMPRODUCT(MAX((Log!$D$4:$D$1203=$A47)*(Log!$B$4:$B$1203=I$45)*(Log!$E$4:$E$1203="A")*(Log!$F$4:$F$1203&lt;&gt;"")*(Log!$G$4:$G$1203&lt;&gt;"")*Log!$F$4:$F$1203*(1+Log!$G$4:$G$1203/30)))=0,"",SUMPRODUCT(MAX((Log!$D$4:$D$1203=$A47)*(Log!$B$4:$B$1203=I$45)*(Log!$E$4:$E$1203="A")*(Log!$F$4:$F$1203&lt;&gt;"")*(Log!$G$4:$G$1203&lt;&gt;"")*Log!$F$4:$F$1203*(1+Log!$G$4:$G$1203/30)))))</f>
        <v>138</v>
      </c>
      <c r="J47" s="76" t="str">
        <f aca="false">IF($A47="","",IF(SUMPRODUCT(MAX((Log!$D$4:$D$1203=$A47)*(Log!$B$4:$B$1203=J$45)*(Log!$E$4:$E$1203="A")*(Log!$F$4:$F$1203&lt;&gt;"")*(Log!$G$4:$G$1203&lt;&gt;"")*Log!$F$4:$F$1203*(1+Log!$G$4:$G$1203/30)))=0,"",SUMPRODUCT(MAX((Log!$D$4:$D$1203=$A47)*(Log!$B$4:$B$1203=J$45)*(Log!$E$4:$E$1203="A")*(Log!$F$4:$F$1203&lt;&gt;"")*(Log!$G$4:$G$1203&lt;&gt;"")*Log!$F$4:$F$1203*(1+Log!$G$4:$G$1203/30)))))</f>
        <v/>
      </c>
      <c r="K47" s="76" t="str">
        <f aca="false">IF($A47="","",IF(SUMPRODUCT(MAX((Log!$D$4:$D$1203=$A47)*(Log!$B$4:$B$1203=K$45)*(Log!$E$4:$E$1203="A")*(Log!$F$4:$F$1203&lt;&gt;"")*(Log!$G$4:$G$1203&lt;&gt;"")*Log!$F$4:$F$1203*(1+Log!$G$4:$G$1203/30)))=0,"",SUMPRODUCT(MAX((Log!$D$4:$D$1203=$A47)*(Log!$B$4:$B$1203=K$45)*(Log!$E$4:$E$1203="A")*(Log!$F$4:$F$1203&lt;&gt;"")*(Log!$G$4:$G$1203&lt;&gt;"")*Log!$F$4:$F$1203*(1+Log!$G$4:$G$1203/30)))))</f>
        <v/>
      </c>
      <c r="L47" s="76" t="str">
        <f aca="false">IF($A47="","",IF(SUMPRODUCT(MAX((Log!$D$4:$D$1203=$A47)*(Log!$B$4:$B$1203=L$45)*(Log!$E$4:$E$1203="A")*(Log!$F$4:$F$1203&lt;&gt;"")*(Log!$G$4:$G$1203&lt;&gt;"")*Log!$F$4:$F$1203*(1+Log!$G$4:$G$1203/30)))=0,"",SUMPRODUCT(MAX((Log!$D$4:$D$1203=$A47)*(Log!$B$4:$B$1203=L$45)*(Log!$E$4:$E$1203="A")*(Log!$F$4:$F$1203&lt;&gt;"")*(Log!$G$4:$G$1203&lt;&gt;"")*Log!$F$4:$F$1203*(1+Log!$G$4:$G$1203/30)))))</f>
        <v/>
      </c>
      <c r="M47" s="76" t="str">
        <f aca="false">IF($A47="","",IF(SUMPRODUCT(MAX((Log!$D$4:$D$1203=$A47)*(Log!$B$4:$B$1203=M$45)*(Log!$E$4:$E$1203="A")*(Log!$F$4:$F$1203&lt;&gt;"")*(Log!$G$4:$G$1203&lt;&gt;"")*Log!$F$4:$F$1203*(1+Log!$G$4:$G$1203/30)))=0,"",SUMPRODUCT(MAX((Log!$D$4:$D$1203=$A47)*(Log!$B$4:$B$1203=M$45)*(Log!$E$4:$E$1203="A")*(Log!$F$4:$F$1203&lt;&gt;"")*(Log!$G$4:$G$1203&lt;&gt;"")*Log!$F$4:$F$1203*(1+Log!$G$4:$G$1203/30)))))</f>
        <v/>
      </c>
      <c r="N47" s="76" t="str">
        <f aca="false">IF($A47="","",IF(SUMPRODUCT(MAX((Log!$D$4:$D$1203=$A47)*(Log!$B$4:$B$1203=N$45)*(Log!$E$4:$E$1203="A")*(Log!$F$4:$F$1203&lt;&gt;"")*(Log!$G$4:$G$1203&lt;&gt;"")*Log!$F$4:$F$1203*(1+Log!$G$4:$G$1203/30)))=0,"",SUMPRODUCT(MAX((Log!$D$4:$D$1203=$A47)*(Log!$B$4:$B$1203=N$45)*(Log!$E$4:$E$1203="A")*(Log!$F$4:$F$1203&lt;&gt;"")*(Log!$G$4:$G$1203&lt;&gt;"")*Log!$F$4:$F$1203*(1+Log!$G$4:$G$1203/30)))))</f>
        <v/>
      </c>
      <c r="O47" s="76" t="str">
        <f aca="false">IF($A47="","",IF(SUMPRODUCT(MAX((Log!$D$4:$D$1203=$A47)*(Log!$B$4:$B$1203=O$45)*(Log!$E$4:$E$1203="A")*(Log!$F$4:$F$1203&lt;&gt;"")*(Log!$G$4:$G$1203&lt;&gt;"")*Log!$F$4:$F$1203*(1+Log!$G$4:$G$1203/30)))=0,"",SUMPRODUCT(MAX((Log!$D$4:$D$1203=$A47)*(Log!$B$4:$B$1203=O$45)*(Log!$E$4:$E$1203="A")*(Log!$F$4:$F$1203&lt;&gt;"")*(Log!$G$4:$G$1203&lt;&gt;"")*Log!$F$4:$F$1203*(1+Log!$G$4:$G$1203/30)))))</f>
        <v/>
      </c>
      <c r="P47" s="76" t="str">
        <f aca="false">IF($A47="","",IF(SUMPRODUCT(MAX((Log!$D$4:$D$1203=$A47)*(Log!$B$4:$B$1203=P$45)*(Log!$E$4:$E$1203="A")*(Log!$F$4:$F$1203&lt;&gt;"")*(Log!$G$4:$G$1203&lt;&gt;"")*Log!$F$4:$F$1203*(1+Log!$G$4:$G$1203/30)))=0,"",SUMPRODUCT(MAX((Log!$D$4:$D$1203=$A47)*(Log!$B$4:$B$1203=P$45)*(Log!$E$4:$E$1203="A")*(Log!$F$4:$F$1203&lt;&gt;"")*(Log!$G$4:$G$1203&lt;&gt;"")*Log!$F$4:$F$1203*(1+Log!$G$4:$G$1203/30)))))</f>
        <v/>
      </c>
      <c r="Q47" s="76" t="str">
        <f aca="false">IF($A47="","",IF(SUMPRODUCT(MAX((Log!$D$4:$D$1203=$A47)*(Log!$B$4:$B$1203=Q$45)*(Log!$E$4:$E$1203="A")*(Log!$F$4:$F$1203&lt;&gt;"")*(Log!$G$4:$G$1203&lt;&gt;"")*Log!$F$4:$F$1203*(1+Log!$G$4:$G$1203/30)))=0,"",SUMPRODUCT(MAX((Log!$D$4:$D$1203=$A47)*(Log!$B$4:$B$1203=Q$45)*(Log!$E$4:$E$1203="A")*(Log!$F$4:$F$1203&lt;&gt;"")*(Log!$G$4:$G$1203&lt;&gt;"")*Log!$F$4:$F$1203*(1+Log!$G$4:$G$1203/30)))))</f>
        <v/>
      </c>
      <c r="R47" s="75"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26" t="str">
        <f aca="false">IF(Übungen!$A6="","",Übungen!$A6)</f>
        <v>Beinstrecker</v>
      </c>
      <c r="B48" s="74" t="n">
        <f aca="false">IF($A48="","",IF(SUMPRODUCT(MAX((Log!$D$4:$D$1203=$A48)*(Log!$B$4:$B$1203=B$45)*(Log!$E$4:$E$1203="A")*(Log!$F$4:$F$1203&lt;&gt;"")*(Log!$G$4:$G$1203&lt;&gt;"")*Log!$F$4:$F$1203*(1+Log!$G$4:$G$1203/30)))=0,"",SUMPRODUCT(MAX((Log!$D$4:$D$1203=$A48)*(Log!$B$4:$B$1203=B$45)*(Log!$E$4:$E$1203="A")*(Log!$F$4:$F$1203&lt;&gt;"")*(Log!$G$4:$G$1203&lt;&gt;"")*Log!$F$4:$F$1203*(1+Log!$G$4:$G$1203/30)))))</f>
        <v>100</v>
      </c>
      <c r="C48" s="74" t="n">
        <f aca="false">IF($A48="","",IF(SUMPRODUCT(MAX((Log!$D$4:$D$1203=$A48)*(Log!$B$4:$B$1203=C$45)*(Log!$E$4:$E$1203="A")*(Log!$F$4:$F$1203&lt;&gt;"")*(Log!$G$4:$G$1203&lt;&gt;"")*Log!$F$4:$F$1203*(1+Log!$G$4:$G$1203/30)))=0,"",SUMPRODUCT(MAX((Log!$D$4:$D$1203=$A48)*(Log!$B$4:$B$1203=C$45)*(Log!$E$4:$E$1203="A")*(Log!$F$4:$F$1203&lt;&gt;"")*(Log!$G$4:$G$1203&lt;&gt;"")*Log!$F$4:$F$1203*(1+Log!$G$4:$G$1203/30)))))</f>
        <v>104</v>
      </c>
      <c r="D48" s="74" t="n">
        <f aca="false">IF($A48="","",IF(SUMPRODUCT(MAX((Log!$D$4:$D$1203=$A48)*(Log!$B$4:$B$1203=D$45)*(Log!$E$4:$E$1203="A")*(Log!$F$4:$F$1203&lt;&gt;"")*(Log!$G$4:$G$1203&lt;&gt;"")*Log!$F$4:$F$1203*(1+Log!$G$4:$G$1203/30)))=0,"",SUMPRODUCT(MAX((Log!$D$4:$D$1203=$A48)*(Log!$B$4:$B$1203=D$45)*(Log!$E$4:$E$1203="A")*(Log!$F$4:$F$1203&lt;&gt;"")*(Log!$G$4:$G$1203&lt;&gt;"")*Log!$F$4:$F$1203*(1+Log!$G$4:$G$1203/30)))))</f>
        <v>107.666666666667</v>
      </c>
      <c r="E48" s="74" t="n">
        <f aca="false">IF($A48="","",IF(SUMPRODUCT(MAX((Log!$D$4:$D$1203=$A48)*(Log!$B$4:$B$1203=E$45)*(Log!$E$4:$E$1203="A")*(Log!$F$4:$F$1203&lt;&gt;"")*(Log!$G$4:$G$1203&lt;&gt;"")*Log!$F$4:$F$1203*(1+Log!$G$4:$G$1203/30)))=0,"",SUMPRODUCT(MAX((Log!$D$4:$D$1203=$A48)*(Log!$B$4:$B$1203=E$45)*(Log!$E$4:$E$1203="A")*(Log!$F$4:$F$1203&lt;&gt;"")*(Log!$G$4:$G$1203&lt;&gt;"")*Log!$F$4:$F$1203*(1+Log!$G$4:$G$1203/30)))))</f>
        <v>112</v>
      </c>
      <c r="F48" s="74" t="n">
        <f aca="false">IF($A48="","",IF(SUMPRODUCT(MAX((Log!$D$4:$D$1203=$A48)*(Log!$B$4:$B$1203=F$45)*(Log!$E$4:$E$1203="A")*(Log!$F$4:$F$1203&lt;&gt;"")*(Log!$G$4:$G$1203&lt;&gt;"")*Log!$F$4:$F$1203*(1+Log!$G$4:$G$1203/30)))=0,"",SUMPRODUCT(MAX((Log!$D$4:$D$1203=$A48)*(Log!$B$4:$B$1203=F$45)*(Log!$E$4:$E$1203="A")*(Log!$F$4:$F$1203&lt;&gt;"")*(Log!$G$4:$G$1203&lt;&gt;"")*Log!$F$4:$F$1203*(1+Log!$G$4:$G$1203/30)))))</f>
        <v>106.666666666667</v>
      </c>
      <c r="G48" s="74" t="n">
        <f aca="false">IF($A48="","",IF(SUMPRODUCT(MAX((Log!$D$4:$D$1203=$A48)*(Log!$B$4:$B$1203=G$45)*(Log!$E$4:$E$1203="A")*(Log!$F$4:$F$1203&lt;&gt;"")*(Log!$G$4:$G$1203&lt;&gt;"")*Log!$F$4:$F$1203*(1+Log!$G$4:$G$1203/30)))=0,"",SUMPRODUCT(MAX((Log!$D$4:$D$1203=$A48)*(Log!$B$4:$B$1203=G$45)*(Log!$E$4:$E$1203="A")*(Log!$F$4:$F$1203&lt;&gt;"")*(Log!$G$4:$G$1203&lt;&gt;"")*Log!$F$4:$F$1203*(1+Log!$G$4:$G$1203/30)))))</f>
        <v>114</v>
      </c>
      <c r="H48" s="74" t="str">
        <f aca="false">IF($A48="","",IF(SUMPRODUCT(MAX((Log!$D$4:$D$1203=$A48)*(Log!$B$4:$B$1203=H$45)*(Log!$E$4:$E$1203="A")*(Log!$F$4:$F$1203&lt;&gt;"")*(Log!$G$4:$G$1203&lt;&gt;"")*Log!$F$4:$F$1203*(1+Log!$G$4:$G$1203/30)))=0,"",SUMPRODUCT(MAX((Log!$D$4:$D$1203=$A48)*(Log!$B$4:$B$1203=H$45)*(Log!$E$4:$E$1203="A")*(Log!$F$4:$F$1203&lt;&gt;"")*(Log!$G$4:$G$1203&lt;&gt;"")*Log!$F$4:$F$1203*(1+Log!$G$4:$G$1203/30)))))</f>
        <v/>
      </c>
      <c r="I48" s="74" t="n">
        <f aca="false">IF($A48="","",IF(SUMPRODUCT(MAX((Log!$D$4:$D$1203=$A48)*(Log!$B$4:$B$1203=I$45)*(Log!$E$4:$E$1203="A")*(Log!$F$4:$F$1203&lt;&gt;"")*(Log!$G$4:$G$1203&lt;&gt;"")*Log!$F$4:$F$1203*(1+Log!$G$4:$G$1203/30)))=0,"",SUMPRODUCT(MAX((Log!$D$4:$D$1203=$A48)*(Log!$B$4:$B$1203=I$45)*(Log!$E$4:$E$1203="A")*(Log!$F$4:$F$1203&lt;&gt;"")*(Log!$G$4:$G$1203&lt;&gt;"")*Log!$F$4:$F$1203*(1+Log!$G$4:$G$1203/30)))))</f>
        <v>101.333333333333</v>
      </c>
      <c r="J48" s="74" t="str">
        <f aca="false">IF($A48="","",IF(SUMPRODUCT(MAX((Log!$D$4:$D$1203=$A48)*(Log!$B$4:$B$1203=J$45)*(Log!$E$4:$E$1203="A")*(Log!$F$4:$F$1203&lt;&gt;"")*(Log!$G$4:$G$1203&lt;&gt;"")*Log!$F$4:$F$1203*(1+Log!$G$4:$G$1203/30)))=0,"",SUMPRODUCT(MAX((Log!$D$4:$D$1203=$A48)*(Log!$B$4:$B$1203=J$45)*(Log!$E$4:$E$1203="A")*(Log!$F$4:$F$1203&lt;&gt;"")*(Log!$G$4:$G$1203&lt;&gt;"")*Log!$F$4:$F$1203*(1+Log!$G$4:$G$1203/30)))))</f>
        <v/>
      </c>
      <c r="K48" s="74" t="str">
        <f aca="false">IF($A48="","",IF(SUMPRODUCT(MAX((Log!$D$4:$D$1203=$A48)*(Log!$B$4:$B$1203=K$45)*(Log!$E$4:$E$1203="A")*(Log!$F$4:$F$1203&lt;&gt;"")*(Log!$G$4:$G$1203&lt;&gt;"")*Log!$F$4:$F$1203*(1+Log!$G$4:$G$1203/30)))=0,"",SUMPRODUCT(MAX((Log!$D$4:$D$1203=$A48)*(Log!$B$4:$B$1203=K$45)*(Log!$E$4:$E$1203="A")*(Log!$F$4:$F$1203&lt;&gt;"")*(Log!$G$4:$G$1203&lt;&gt;"")*Log!$F$4:$F$1203*(1+Log!$G$4:$G$1203/30)))))</f>
        <v/>
      </c>
      <c r="L48" s="74" t="str">
        <f aca="false">IF($A48="","",IF(SUMPRODUCT(MAX((Log!$D$4:$D$1203=$A48)*(Log!$B$4:$B$1203=L$45)*(Log!$E$4:$E$1203="A")*(Log!$F$4:$F$1203&lt;&gt;"")*(Log!$G$4:$G$1203&lt;&gt;"")*Log!$F$4:$F$1203*(1+Log!$G$4:$G$1203/30)))=0,"",SUMPRODUCT(MAX((Log!$D$4:$D$1203=$A48)*(Log!$B$4:$B$1203=L$45)*(Log!$E$4:$E$1203="A")*(Log!$F$4:$F$1203&lt;&gt;"")*(Log!$G$4:$G$1203&lt;&gt;"")*Log!$F$4:$F$1203*(1+Log!$G$4:$G$1203/30)))))</f>
        <v/>
      </c>
      <c r="M48" s="74" t="str">
        <f aca="false">IF($A48="","",IF(SUMPRODUCT(MAX((Log!$D$4:$D$1203=$A48)*(Log!$B$4:$B$1203=M$45)*(Log!$E$4:$E$1203="A")*(Log!$F$4:$F$1203&lt;&gt;"")*(Log!$G$4:$G$1203&lt;&gt;"")*Log!$F$4:$F$1203*(1+Log!$G$4:$G$1203/30)))=0,"",SUMPRODUCT(MAX((Log!$D$4:$D$1203=$A48)*(Log!$B$4:$B$1203=M$45)*(Log!$E$4:$E$1203="A")*(Log!$F$4:$F$1203&lt;&gt;"")*(Log!$G$4:$G$1203&lt;&gt;"")*Log!$F$4:$F$1203*(1+Log!$G$4:$G$1203/30)))))</f>
        <v/>
      </c>
      <c r="N48" s="74" t="str">
        <f aca="false">IF($A48="","",IF(SUMPRODUCT(MAX((Log!$D$4:$D$1203=$A48)*(Log!$B$4:$B$1203=N$45)*(Log!$E$4:$E$1203="A")*(Log!$F$4:$F$1203&lt;&gt;"")*(Log!$G$4:$G$1203&lt;&gt;"")*Log!$F$4:$F$1203*(1+Log!$G$4:$G$1203/30)))=0,"",SUMPRODUCT(MAX((Log!$D$4:$D$1203=$A48)*(Log!$B$4:$B$1203=N$45)*(Log!$E$4:$E$1203="A")*(Log!$F$4:$F$1203&lt;&gt;"")*(Log!$G$4:$G$1203&lt;&gt;"")*Log!$F$4:$F$1203*(1+Log!$G$4:$G$1203/30)))))</f>
        <v/>
      </c>
      <c r="O48" s="74" t="str">
        <f aca="false">IF($A48="","",IF(SUMPRODUCT(MAX((Log!$D$4:$D$1203=$A48)*(Log!$B$4:$B$1203=O$45)*(Log!$E$4:$E$1203="A")*(Log!$F$4:$F$1203&lt;&gt;"")*(Log!$G$4:$G$1203&lt;&gt;"")*Log!$F$4:$F$1203*(1+Log!$G$4:$G$1203/30)))=0,"",SUMPRODUCT(MAX((Log!$D$4:$D$1203=$A48)*(Log!$B$4:$B$1203=O$45)*(Log!$E$4:$E$1203="A")*(Log!$F$4:$F$1203&lt;&gt;"")*(Log!$G$4:$G$1203&lt;&gt;"")*Log!$F$4:$F$1203*(1+Log!$G$4:$G$1203/30)))))</f>
        <v/>
      </c>
      <c r="P48" s="74" t="str">
        <f aca="false">IF($A48="","",IF(SUMPRODUCT(MAX((Log!$D$4:$D$1203=$A48)*(Log!$B$4:$B$1203=P$45)*(Log!$E$4:$E$1203="A")*(Log!$F$4:$F$1203&lt;&gt;"")*(Log!$G$4:$G$1203&lt;&gt;"")*Log!$F$4:$F$1203*(1+Log!$G$4:$G$1203/30)))=0,"",SUMPRODUCT(MAX((Log!$D$4:$D$1203=$A48)*(Log!$B$4:$B$1203=P$45)*(Log!$E$4:$E$1203="A")*(Log!$F$4:$F$1203&lt;&gt;"")*(Log!$G$4:$G$1203&lt;&gt;"")*Log!$F$4:$F$1203*(1+Log!$G$4:$G$1203/30)))))</f>
        <v/>
      </c>
      <c r="Q48" s="74" t="str">
        <f aca="false">IF($A48="","",IF(SUMPRODUCT(MAX((Log!$D$4:$D$1203=$A48)*(Log!$B$4:$B$1203=Q$45)*(Log!$E$4:$E$1203="A")*(Log!$F$4:$F$1203&lt;&gt;"")*(Log!$G$4:$G$1203&lt;&gt;"")*Log!$F$4:$F$1203*(1+Log!$G$4:$G$1203/30)))=0,"",SUMPRODUCT(MAX((Log!$D$4:$D$1203=$A48)*(Log!$B$4:$B$1203=Q$45)*(Log!$E$4:$E$1203="A")*(Log!$F$4:$F$1203&lt;&gt;"")*(Log!$G$4:$G$1203&lt;&gt;"")*Log!$F$4:$F$1203*(1+Log!$G$4:$G$1203/30)))))</f>
        <v/>
      </c>
      <c r="R48" s="75"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2" t="str">
        <f aca="false">IF(Übungen!$A7="","",Übungen!$A7)</f>
        <v>Adduktion</v>
      </c>
      <c r="B49" s="76" t="n">
        <f aca="false">IF($A49="","",IF(SUMPRODUCT(MAX((Log!$D$4:$D$1203=$A49)*(Log!$B$4:$B$1203=B$45)*(Log!$E$4:$E$1203="A")*(Log!$F$4:$F$1203&lt;&gt;"")*(Log!$G$4:$G$1203&lt;&gt;"")*Log!$F$4:$F$1203*(1+Log!$G$4:$G$1203/30)))=0,"",SUMPRODUCT(MAX((Log!$D$4:$D$1203=$A49)*(Log!$B$4:$B$1203=B$45)*(Log!$E$4:$E$1203="A")*(Log!$F$4:$F$1203&lt;&gt;"")*(Log!$G$4:$G$1203&lt;&gt;"")*Log!$F$4:$F$1203*(1+Log!$G$4:$G$1203/30)))))</f>
        <v>238.916666666667</v>
      </c>
      <c r="C49" s="76" t="n">
        <f aca="false">IF($A49="","",IF(SUMPRODUCT(MAX((Log!$D$4:$D$1203=$A49)*(Log!$B$4:$B$1203=C$45)*(Log!$E$4:$E$1203="A")*(Log!$F$4:$F$1203&lt;&gt;"")*(Log!$G$4:$G$1203&lt;&gt;"")*Log!$F$4:$F$1203*(1+Log!$G$4:$G$1203/30)))=0,"",SUMPRODUCT(MAX((Log!$D$4:$D$1203=$A49)*(Log!$B$4:$B$1203=C$45)*(Log!$E$4:$E$1203="A")*(Log!$F$4:$F$1203&lt;&gt;"")*(Log!$G$4:$G$1203&lt;&gt;"")*Log!$F$4:$F$1203*(1+Log!$G$4:$G$1203/30)))))</f>
        <v>254.166666666667</v>
      </c>
      <c r="D49" s="76" t="n">
        <f aca="false">IF($A49="","",IF(SUMPRODUCT(MAX((Log!$D$4:$D$1203=$A49)*(Log!$B$4:$B$1203=D$45)*(Log!$E$4:$E$1203="A")*(Log!$F$4:$F$1203&lt;&gt;"")*(Log!$G$4:$G$1203&lt;&gt;"")*Log!$F$4:$F$1203*(1+Log!$G$4:$G$1203/30)))=0,"",SUMPRODUCT(MAX((Log!$D$4:$D$1203=$A49)*(Log!$B$4:$B$1203=D$45)*(Log!$E$4:$E$1203="A")*(Log!$F$4:$F$1203&lt;&gt;"")*(Log!$G$4:$G$1203&lt;&gt;"")*Log!$F$4:$F$1203*(1+Log!$G$4:$G$1203/30)))))</f>
        <v>264.333333333333</v>
      </c>
      <c r="E49" s="76" t="n">
        <f aca="false">IF($A49="","",IF(SUMPRODUCT(MAX((Log!$D$4:$D$1203=$A49)*(Log!$B$4:$B$1203=E$45)*(Log!$E$4:$E$1203="A")*(Log!$F$4:$F$1203&lt;&gt;"")*(Log!$G$4:$G$1203&lt;&gt;"")*Log!$F$4:$F$1203*(1+Log!$G$4:$G$1203/30)))=0,"",SUMPRODUCT(MAX((Log!$D$4:$D$1203=$A49)*(Log!$B$4:$B$1203=E$45)*(Log!$E$4:$E$1203="A")*(Log!$F$4:$F$1203&lt;&gt;"")*(Log!$G$4:$G$1203&lt;&gt;"")*Log!$F$4:$F$1203*(1+Log!$G$4:$G$1203/30)))))</f>
        <v>279.583333333333</v>
      </c>
      <c r="F49" s="76" t="n">
        <f aca="false">IF($A49="","",IF(SUMPRODUCT(MAX((Log!$D$4:$D$1203=$A49)*(Log!$B$4:$B$1203=F$45)*(Log!$E$4:$E$1203="A")*(Log!$F$4:$F$1203&lt;&gt;"")*(Log!$G$4:$G$1203&lt;&gt;"")*Log!$F$4:$F$1203*(1+Log!$G$4:$G$1203/30)))=0,"",SUMPRODUCT(MAX((Log!$D$4:$D$1203=$A49)*(Log!$B$4:$B$1203=F$45)*(Log!$E$4:$E$1203="A")*(Log!$F$4:$F$1203&lt;&gt;"")*(Log!$G$4:$G$1203&lt;&gt;"")*Log!$F$4:$F$1203*(1+Log!$G$4:$G$1203/30)))))</f>
        <v>249.166666666667</v>
      </c>
      <c r="G49" s="76" t="n">
        <f aca="false">IF($A49="","",IF(SUMPRODUCT(MAX((Log!$D$4:$D$1203=$A49)*(Log!$B$4:$B$1203=G$45)*(Log!$E$4:$E$1203="A")*(Log!$F$4:$F$1203&lt;&gt;"")*(Log!$G$4:$G$1203&lt;&gt;"")*Log!$F$4:$F$1203*(1+Log!$G$4:$G$1203/30)))=0,"",SUMPRODUCT(MAX((Log!$D$4:$D$1203=$A49)*(Log!$B$4:$B$1203=G$45)*(Log!$E$4:$E$1203="A")*(Log!$F$4:$F$1203&lt;&gt;"")*(Log!$G$4:$G$1203&lt;&gt;"")*Log!$F$4:$F$1203*(1+Log!$G$4:$G$1203/30)))))</f>
        <v>228</v>
      </c>
      <c r="H49" s="76" t="str">
        <f aca="false">IF($A49="","",IF(SUMPRODUCT(MAX((Log!$D$4:$D$1203=$A49)*(Log!$B$4:$B$1203=H$45)*(Log!$E$4:$E$1203="A")*(Log!$F$4:$F$1203&lt;&gt;"")*(Log!$G$4:$G$1203&lt;&gt;"")*Log!$F$4:$F$1203*(1+Log!$G$4:$G$1203/30)))=0,"",SUMPRODUCT(MAX((Log!$D$4:$D$1203=$A49)*(Log!$B$4:$B$1203=H$45)*(Log!$E$4:$E$1203="A")*(Log!$F$4:$F$1203&lt;&gt;"")*(Log!$G$4:$G$1203&lt;&gt;"")*Log!$F$4:$F$1203*(1+Log!$G$4:$G$1203/30)))))</f>
        <v/>
      </c>
      <c r="I49" s="76" t="n">
        <f aca="false">IF($A49="","",IF(SUMPRODUCT(MAX((Log!$D$4:$D$1203=$A49)*(Log!$B$4:$B$1203=I$45)*(Log!$E$4:$E$1203="A")*(Log!$F$4:$F$1203&lt;&gt;"")*(Log!$G$4:$G$1203&lt;&gt;"")*Log!$F$4:$F$1203*(1+Log!$G$4:$G$1203/30)))=0,"",SUMPRODUCT(MAX((Log!$D$4:$D$1203=$A49)*(Log!$B$4:$B$1203=I$45)*(Log!$E$4:$E$1203="A")*(Log!$F$4:$F$1203&lt;&gt;"")*(Log!$G$4:$G$1203&lt;&gt;"")*Log!$F$4:$F$1203*(1+Log!$G$4:$G$1203/30)))))</f>
        <v>215.833333333333</v>
      </c>
      <c r="J49" s="76" t="str">
        <f aca="false">IF($A49="","",IF(SUMPRODUCT(MAX((Log!$D$4:$D$1203=$A49)*(Log!$B$4:$B$1203=J$45)*(Log!$E$4:$E$1203="A")*(Log!$F$4:$F$1203&lt;&gt;"")*(Log!$G$4:$G$1203&lt;&gt;"")*Log!$F$4:$F$1203*(1+Log!$G$4:$G$1203/30)))=0,"",SUMPRODUCT(MAX((Log!$D$4:$D$1203=$A49)*(Log!$B$4:$B$1203=J$45)*(Log!$E$4:$E$1203="A")*(Log!$F$4:$F$1203&lt;&gt;"")*(Log!$G$4:$G$1203&lt;&gt;"")*Log!$F$4:$F$1203*(1+Log!$G$4:$G$1203/30)))))</f>
        <v/>
      </c>
      <c r="K49" s="76" t="str">
        <f aca="false">IF($A49="","",IF(SUMPRODUCT(MAX((Log!$D$4:$D$1203=$A49)*(Log!$B$4:$B$1203=K$45)*(Log!$E$4:$E$1203="A")*(Log!$F$4:$F$1203&lt;&gt;"")*(Log!$G$4:$G$1203&lt;&gt;"")*Log!$F$4:$F$1203*(1+Log!$G$4:$G$1203/30)))=0,"",SUMPRODUCT(MAX((Log!$D$4:$D$1203=$A49)*(Log!$B$4:$B$1203=K$45)*(Log!$E$4:$E$1203="A")*(Log!$F$4:$F$1203&lt;&gt;"")*(Log!$G$4:$G$1203&lt;&gt;"")*Log!$F$4:$F$1203*(1+Log!$G$4:$G$1203/30)))))</f>
        <v/>
      </c>
      <c r="L49" s="76" t="str">
        <f aca="false">IF($A49="","",IF(SUMPRODUCT(MAX((Log!$D$4:$D$1203=$A49)*(Log!$B$4:$B$1203=L$45)*(Log!$E$4:$E$1203="A")*(Log!$F$4:$F$1203&lt;&gt;"")*(Log!$G$4:$G$1203&lt;&gt;"")*Log!$F$4:$F$1203*(1+Log!$G$4:$G$1203/30)))=0,"",SUMPRODUCT(MAX((Log!$D$4:$D$1203=$A49)*(Log!$B$4:$B$1203=L$45)*(Log!$E$4:$E$1203="A")*(Log!$F$4:$F$1203&lt;&gt;"")*(Log!$G$4:$G$1203&lt;&gt;"")*Log!$F$4:$F$1203*(1+Log!$G$4:$G$1203/30)))))</f>
        <v/>
      </c>
      <c r="M49" s="76" t="str">
        <f aca="false">IF($A49="","",IF(SUMPRODUCT(MAX((Log!$D$4:$D$1203=$A49)*(Log!$B$4:$B$1203=M$45)*(Log!$E$4:$E$1203="A")*(Log!$F$4:$F$1203&lt;&gt;"")*(Log!$G$4:$G$1203&lt;&gt;"")*Log!$F$4:$F$1203*(1+Log!$G$4:$G$1203/30)))=0,"",SUMPRODUCT(MAX((Log!$D$4:$D$1203=$A49)*(Log!$B$4:$B$1203=M$45)*(Log!$E$4:$E$1203="A")*(Log!$F$4:$F$1203&lt;&gt;"")*(Log!$G$4:$G$1203&lt;&gt;"")*Log!$F$4:$F$1203*(1+Log!$G$4:$G$1203/30)))))</f>
        <v/>
      </c>
      <c r="N49" s="76" t="str">
        <f aca="false">IF($A49="","",IF(SUMPRODUCT(MAX((Log!$D$4:$D$1203=$A49)*(Log!$B$4:$B$1203=N$45)*(Log!$E$4:$E$1203="A")*(Log!$F$4:$F$1203&lt;&gt;"")*(Log!$G$4:$G$1203&lt;&gt;"")*Log!$F$4:$F$1203*(1+Log!$G$4:$G$1203/30)))=0,"",SUMPRODUCT(MAX((Log!$D$4:$D$1203=$A49)*(Log!$B$4:$B$1203=N$45)*(Log!$E$4:$E$1203="A")*(Log!$F$4:$F$1203&lt;&gt;"")*(Log!$G$4:$G$1203&lt;&gt;"")*Log!$F$4:$F$1203*(1+Log!$G$4:$G$1203/30)))))</f>
        <v/>
      </c>
      <c r="O49" s="76" t="str">
        <f aca="false">IF($A49="","",IF(SUMPRODUCT(MAX((Log!$D$4:$D$1203=$A49)*(Log!$B$4:$B$1203=O$45)*(Log!$E$4:$E$1203="A")*(Log!$F$4:$F$1203&lt;&gt;"")*(Log!$G$4:$G$1203&lt;&gt;"")*Log!$F$4:$F$1203*(1+Log!$G$4:$G$1203/30)))=0,"",SUMPRODUCT(MAX((Log!$D$4:$D$1203=$A49)*(Log!$B$4:$B$1203=O$45)*(Log!$E$4:$E$1203="A")*(Log!$F$4:$F$1203&lt;&gt;"")*(Log!$G$4:$G$1203&lt;&gt;"")*Log!$F$4:$F$1203*(1+Log!$G$4:$G$1203/30)))))</f>
        <v/>
      </c>
      <c r="P49" s="76" t="str">
        <f aca="false">IF($A49="","",IF(SUMPRODUCT(MAX((Log!$D$4:$D$1203=$A49)*(Log!$B$4:$B$1203=P$45)*(Log!$E$4:$E$1203="A")*(Log!$F$4:$F$1203&lt;&gt;"")*(Log!$G$4:$G$1203&lt;&gt;"")*Log!$F$4:$F$1203*(1+Log!$G$4:$G$1203/30)))=0,"",SUMPRODUCT(MAX((Log!$D$4:$D$1203=$A49)*(Log!$B$4:$B$1203=P$45)*(Log!$E$4:$E$1203="A")*(Log!$F$4:$F$1203&lt;&gt;"")*(Log!$G$4:$G$1203&lt;&gt;"")*Log!$F$4:$F$1203*(1+Log!$G$4:$G$1203/30)))))</f>
        <v/>
      </c>
      <c r="Q49" s="76" t="str">
        <f aca="false">IF($A49="","",IF(SUMPRODUCT(MAX((Log!$D$4:$D$1203=$A49)*(Log!$B$4:$B$1203=Q$45)*(Log!$E$4:$E$1203="A")*(Log!$F$4:$F$1203&lt;&gt;"")*(Log!$G$4:$G$1203&lt;&gt;"")*Log!$F$4:$F$1203*(1+Log!$G$4:$G$1203/30)))=0,"",SUMPRODUCT(MAX((Log!$D$4:$D$1203=$A49)*(Log!$B$4:$B$1203=Q$45)*(Log!$E$4:$E$1203="A")*(Log!$F$4:$F$1203&lt;&gt;"")*(Log!$G$4:$G$1203&lt;&gt;"")*Log!$F$4:$F$1203*(1+Log!$G$4:$G$1203/30)))))</f>
        <v/>
      </c>
      <c r="R49" s="75"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26" t="str">
        <f aca="false">IF(Übungen!$A8="","",Übungen!$A8)</f>
        <v>Rumänisches Kreuzheben</v>
      </c>
      <c r="B50" s="74" t="str">
        <f aca="false">IF($A50="","",IF(SUMPRODUCT(MAX((Log!$D$4:$D$1203=$A50)*(Log!$B$4:$B$1203=B$45)*(Log!$E$4:$E$1203="A")*(Log!$F$4:$F$1203&lt;&gt;"")*(Log!$G$4:$G$1203&lt;&gt;"")*Log!$F$4:$F$1203*(1+Log!$G$4:$G$1203/30)))=0,"",SUMPRODUCT(MAX((Log!$D$4:$D$1203=$A50)*(Log!$B$4:$B$1203=B$45)*(Log!$E$4:$E$1203="A")*(Log!$F$4:$F$1203&lt;&gt;"")*(Log!$G$4:$G$1203&lt;&gt;"")*Log!$F$4:$F$1203*(1+Log!$G$4:$G$1203/30)))))</f>
        <v/>
      </c>
      <c r="C50" s="74" t="str">
        <f aca="false">IF($A50="","",IF(SUMPRODUCT(MAX((Log!$D$4:$D$1203=$A50)*(Log!$B$4:$B$1203=C$45)*(Log!$E$4:$E$1203="A")*(Log!$F$4:$F$1203&lt;&gt;"")*(Log!$G$4:$G$1203&lt;&gt;"")*Log!$F$4:$F$1203*(1+Log!$G$4:$G$1203/30)))=0,"",SUMPRODUCT(MAX((Log!$D$4:$D$1203=$A50)*(Log!$B$4:$B$1203=C$45)*(Log!$E$4:$E$1203="A")*(Log!$F$4:$F$1203&lt;&gt;"")*(Log!$G$4:$G$1203&lt;&gt;"")*Log!$F$4:$F$1203*(1+Log!$G$4:$G$1203/30)))))</f>
        <v/>
      </c>
      <c r="D50" s="74" t="str">
        <f aca="false">IF($A50="","",IF(SUMPRODUCT(MAX((Log!$D$4:$D$1203=$A50)*(Log!$B$4:$B$1203=D$45)*(Log!$E$4:$E$1203="A")*(Log!$F$4:$F$1203&lt;&gt;"")*(Log!$G$4:$G$1203&lt;&gt;"")*Log!$F$4:$F$1203*(1+Log!$G$4:$G$1203/30)))=0,"",SUMPRODUCT(MAX((Log!$D$4:$D$1203=$A50)*(Log!$B$4:$B$1203=D$45)*(Log!$E$4:$E$1203="A")*(Log!$F$4:$F$1203&lt;&gt;"")*(Log!$G$4:$G$1203&lt;&gt;"")*Log!$F$4:$F$1203*(1+Log!$G$4:$G$1203/30)))))</f>
        <v/>
      </c>
      <c r="E50" s="74" t="str">
        <f aca="false">IF($A50="","",IF(SUMPRODUCT(MAX((Log!$D$4:$D$1203=$A50)*(Log!$B$4:$B$1203=E$45)*(Log!$E$4:$E$1203="A")*(Log!$F$4:$F$1203&lt;&gt;"")*(Log!$G$4:$G$1203&lt;&gt;"")*Log!$F$4:$F$1203*(1+Log!$G$4:$G$1203/30)))=0,"",SUMPRODUCT(MAX((Log!$D$4:$D$1203=$A50)*(Log!$B$4:$B$1203=E$45)*(Log!$E$4:$E$1203="A")*(Log!$F$4:$F$1203&lt;&gt;"")*(Log!$G$4:$G$1203&lt;&gt;"")*Log!$F$4:$F$1203*(1+Log!$G$4:$G$1203/30)))))</f>
        <v/>
      </c>
      <c r="F50" s="74" t="n">
        <f aca="false">IF($A50="","",IF(SUMPRODUCT(MAX((Log!$D$4:$D$1203=$A50)*(Log!$B$4:$B$1203=F$45)*(Log!$E$4:$E$1203="A")*(Log!$F$4:$F$1203&lt;&gt;"")*(Log!$G$4:$G$1203&lt;&gt;"")*Log!$F$4:$F$1203*(1+Log!$G$4:$G$1203/30)))=0,"",SUMPRODUCT(MAX((Log!$D$4:$D$1203=$A50)*(Log!$B$4:$B$1203=F$45)*(Log!$E$4:$E$1203="A")*(Log!$F$4:$F$1203&lt;&gt;"")*(Log!$G$4:$G$1203&lt;&gt;"")*Log!$F$4:$F$1203*(1+Log!$G$4:$G$1203/30)))))</f>
        <v>154</v>
      </c>
      <c r="G50" s="74" t="str">
        <f aca="false">IF($A50="","",IF(SUMPRODUCT(MAX((Log!$D$4:$D$1203=$A50)*(Log!$B$4:$B$1203=G$45)*(Log!$E$4:$E$1203="A")*(Log!$F$4:$F$1203&lt;&gt;"")*(Log!$G$4:$G$1203&lt;&gt;"")*Log!$F$4:$F$1203*(1+Log!$G$4:$G$1203/30)))=0,"",SUMPRODUCT(MAX((Log!$D$4:$D$1203=$A50)*(Log!$B$4:$B$1203=G$45)*(Log!$E$4:$E$1203="A")*(Log!$F$4:$F$1203&lt;&gt;"")*(Log!$G$4:$G$1203&lt;&gt;"")*Log!$F$4:$F$1203*(1+Log!$G$4:$G$1203/30)))))</f>
        <v/>
      </c>
      <c r="H50" s="74" t="n">
        <f aca="false">IF($A50="","",IF(SUMPRODUCT(MAX((Log!$D$4:$D$1203=$A50)*(Log!$B$4:$B$1203=H$45)*(Log!$E$4:$E$1203="A")*(Log!$F$4:$F$1203&lt;&gt;"")*(Log!$G$4:$G$1203&lt;&gt;"")*Log!$F$4:$F$1203*(1+Log!$G$4:$G$1203/30)))=0,"",SUMPRODUCT(MAX((Log!$D$4:$D$1203=$A50)*(Log!$B$4:$B$1203=H$45)*(Log!$E$4:$E$1203="A")*(Log!$F$4:$F$1203&lt;&gt;"")*(Log!$G$4:$G$1203&lt;&gt;"")*Log!$F$4:$F$1203*(1+Log!$G$4:$G$1203/30)))))</f>
        <v>164.666666666667</v>
      </c>
      <c r="I50" s="74" t="str">
        <f aca="false">IF($A50="","",IF(SUMPRODUCT(MAX((Log!$D$4:$D$1203=$A50)*(Log!$B$4:$B$1203=I$45)*(Log!$E$4:$E$1203="A")*(Log!$F$4:$F$1203&lt;&gt;"")*(Log!$G$4:$G$1203&lt;&gt;"")*Log!$F$4:$F$1203*(1+Log!$G$4:$G$1203/30)))=0,"",SUMPRODUCT(MAX((Log!$D$4:$D$1203=$A50)*(Log!$B$4:$B$1203=I$45)*(Log!$E$4:$E$1203="A")*(Log!$F$4:$F$1203&lt;&gt;"")*(Log!$G$4:$G$1203&lt;&gt;"")*Log!$F$4:$F$1203*(1+Log!$G$4:$G$1203/30)))))</f>
        <v/>
      </c>
      <c r="J50" s="74" t="str">
        <f aca="false">IF($A50="","",IF(SUMPRODUCT(MAX((Log!$D$4:$D$1203=$A50)*(Log!$B$4:$B$1203=J$45)*(Log!$E$4:$E$1203="A")*(Log!$F$4:$F$1203&lt;&gt;"")*(Log!$G$4:$G$1203&lt;&gt;"")*Log!$F$4:$F$1203*(1+Log!$G$4:$G$1203/30)))=0,"",SUMPRODUCT(MAX((Log!$D$4:$D$1203=$A50)*(Log!$B$4:$B$1203=J$45)*(Log!$E$4:$E$1203="A")*(Log!$F$4:$F$1203&lt;&gt;"")*(Log!$G$4:$G$1203&lt;&gt;"")*Log!$F$4:$F$1203*(1+Log!$G$4:$G$1203/30)))))</f>
        <v/>
      </c>
      <c r="K50" s="74" t="str">
        <f aca="false">IF($A50="","",IF(SUMPRODUCT(MAX((Log!$D$4:$D$1203=$A50)*(Log!$B$4:$B$1203=K$45)*(Log!$E$4:$E$1203="A")*(Log!$F$4:$F$1203&lt;&gt;"")*(Log!$G$4:$G$1203&lt;&gt;"")*Log!$F$4:$F$1203*(1+Log!$G$4:$G$1203/30)))=0,"",SUMPRODUCT(MAX((Log!$D$4:$D$1203=$A50)*(Log!$B$4:$B$1203=K$45)*(Log!$E$4:$E$1203="A")*(Log!$F$4:$F$1203&lt;&gt;"")*(Log!$G$4:$G$1203&lt;&gt;"")*Log!$F$4:$F$1203*(1+Log!$G$4:$G$1203/30)))))</f>
        <v/>
      </c>
      <c r="L50" s="74" t="str">
        <f aca="false">IF($A50="","",IF(SUMPRODUCT(MAX((Log!$D$4:$D$1203=$A50)*(Log!$B$4:$B$1203=L$45)*(Log!$E$4:$E$1203="A")*(Log!$F$4:$F$1203&lt;&gt;"")*(Log!$G$4:$G$1203&lt;&gt;"")*Log!$F$4:$F$1203*(1+Log!$G$4:$G$1203/30)))=0,"",SUMPRODUCT(MAX((Log!$D$4:$D$1203=$A50)*(Log!$B$4:$B$1203=L$45)*(Log!$E$4:$E$1203="A")*(Log!$F$4:$F$1203&lt;&gt;"")*(Log!$G$4:$G$1203&lt;&gt;"")*Log!$F$4:$F$1203*(1+Log!$G$4:$G$1203/30)))))</f>
        <v/>
      </c>
      <c r="M50" s="74" t="str">
        <f aca="false">IF($A50="","",IF(SUMPRODUCT(MAX((Log!$D$4:$D$1203=$A50)*(Log!$B$4:$B$1203=M$45)*(Log!$E$4:$E$1203="A")*(Log!$F$4:$F$1203&lt;&gt;"")*(Log!$G$4:$G$1203&lt;&gt;"")*Log!$F$4:$F$1203*(1+Log!$G$4:$G$1203/30)))=0,"",SUMPRODUCT(MAX((Log!$D$4:$D$1203=$A50)*(Log!$B$4:$B$1203=M$45)*(Log!$E$4:$E$1203="A")*(Log!$F$4:$F$1203&lt;&gt;"")*(Log!$G$4:$G$1203&lt;&gt;"")*Log!$F$4:$F$1203*(1+Log!$G$4:$G$1203/30)))))</f>
        <v/>
      </c>
      <c r="N50" s="74" t="str">
        <f aca="false">IF($A50="","",IF(SUMPRODUCT(MAX((Log!$D$4:$D$1203=$A50)*(Log!$B$4:$B$1203=N$45)*(Log!$E$4:$E$1203="A")*(Log!$F$4:$F$1203&lt;&gt;"")*(Log!$G$4:$G$1203&lt;&gt;"")*Log!$F$4:$F$1203*(1+Log!$G$4:$G$1203/30)))=0,"",SUMPRODUCT(MAX((Log!$D$4:$D$1203=$A50)*(Log!$B$4:$B$1203=N$45)*(Log!$E$4:$E$1203="A")*(Log!$F$4:$F$1203&lt;&gt;"")*(Log!$G$4:$G$1203&lt;&gt;"")*Log!$F$4:$F$1203*(1+Log!$G$4:$G$1203/30)))))</f>
        <v/>
      </c>
      <c r="O50" s="74" t="str">
        <f aca="false">IF($A50="","",IF(SUMPRODUCT(MAX((Log!$D$4:$D$1203=$A50)*(Log!$B$4:$B$1203=O$45)*(Log!$E$4:$E$1203="A")*(Log!$F$4:$F$1203&lt;&gt;"")*(Log!$G$4:$G$1203&lt;&gt;"")*Log!$F$4:$F$1203*(1+Log!$G$4:$G$1203/30)))=0,"",SUMPRODUCT(MAX((Log!$D$4:$D$1203=$A50)*(Log!$B$4:$B$1203=O$45)*(Log!$E$4:$E$1203="A")*(Log!$F$4:$F$1203&lt;&gt;"")*(Log!$G$4:$G$1203&lt;&gt;"")*Log!$F$4:$F$1203*(1+Log!$G$4:$G$1203/30)))))</f>
        <v/>
      </c>
      <c r="P50" s="74" t="str">
        <f aca="false">IF($A50="","",IF(SUMPRODUCT(MAX((Log!$D$4:$D$1203=$A50)*(Log!$B$4:$B$1203=P$45)*(Log!$E$4:$E$1203="A")*(Log!$F$4:$F$1203&lt;&gt;"")*(Log!$G$4:$G$1203&lt;&gt;"")*Log!$F$4:$F$1203*(1+Log!$G$4:$G$1203/30)))=0,"",SUMPRODUCT(MAX((Log!$D$4:$D$1203=$A50)*(Log!$B$4:$B$1203=P$45)*(Log!$E$4:$E$1203="A")*(Log!$F$4:$F$1203&lt;&gt;"")*(Log!$G$4:$G$1203&lt;&gt;"")*Log!$F$4:$F$1203*(1+Log!$G$4:$G$1203/30)))))</f>
        <v/>
      </c>
      <c r="Q50" s="74" t="str">
        <f aca="false">IF($A50="","",IF(SUMPRODUCT(MAX((Log!$D$4:$D$1203=$A50)*(Log!$B$4:$B$1203=Q$45)*(Log!$E$4:$E$1203="A")*(Log!$F$4:$F$1203&lt;&gt;"")*(Log!$G$4:$G$1203&lt;&gt;"")*Log!$F$4:$F$1203*(1+Log!$G$4:$G$1203/30)))=0,"",SUMPRODUCT(MAX((Log!$D$4:$D$1203=$A50)*(Log!$B$4:$B$1203=Q$45)*(Log!$E$4:$E$1203="A")*(Log!$F$4:$F$1203&lt;&gt;"")*(Log!$G$4:$G$1203&lt;&gt;"")*Log!$F$4:$F$1203*(1+Log!$G$4:$G$1203/30)))))</f>
        <v/>
      </c>
      <c r="R50" s="75"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2" t="str">
        <f aca="false">IF(Übungen!$A9="","",Übungen!$A9)</f>
        <v>Beinpresse breit</v>
      </c>
      <c r="B51" s="76" t="str">
        <f aca="false">IF($A51="","",IF(SUMPRODUCT(MAX((Log!$D$4:$D$1203=$A51)*(Log!$B$4:$B$1203=B$45)*(Log!$E$4:$E$1203="A")*(Log!$F$4:$F$1203&lt;&gt;"")*(Log!$G$4:$G$1203&lt;&gt;"")*Log!$F$4:$F$1203*(1+Log!$G$4:$G$1203/30)))=0,"",SUMPRODUCT(MAX((Log!$D$4:$D$1203=$A51)*(Log!$B$4:$B$1203=B$45)*(Log!$E$4:$E$1203="A")*(Log!$F$4:$F$1203&lt;&gt;"")*(Log!$G$4:$G$1203&lt;&gt;"")*Log!$F$4:$F$1203*(1+Log!$G$4:$G$1203/30)))))</f>
        <v/>
      </c>
      <c r="C51" s="76" t="str">
        <f aca="false">IF($A51="","",IF(SUMPRODUCT(MAX((Log!$D$4:$D$1203=$A51)*(Log!$B$4:$B$1203=C$45)*(Log!$E$4:$E$1203="A")*(Log!$F$4:$F$1203&lt;&gt;"")*(Log!$G$4:$G$1203&lt;&gt;"")*Log!$F$4:$F$1203*(1+Log!$G$4:$G$1203/30)))=0,"",SUMPRODUCT(MAX((Log!$D$4:$D$1203=$A51)*(Log!$B$4:$B$1203=C$45)*(Log!$E$4:$E$1203="A")*(Log!$F$4:$F$1203&lt;&gt;"")*(Log!$G$4:$G$1203&lt;&gt;"")*Log!$F$4:$F$1203*(1+Log!$G$4:$G$1203/30)))))</f>
        <v/>
      </c>
      <c r="D51" s="76" t="str">
        <f aca="false">IF($A51="","",IF(SUMPRODUCT(MAX((Log!$D$4:$D$1203=$A51)*(Log!$B$4:$B$1203=D$45)*(Log!$E$4:$E$1203="A")*(Log!$F$4:$F$1203&lt;&gt;"")*(Log!$G$4:$G$1203&lt;&gt;"")*Log!$F$4:$F$1203*(1+Log!$G$4:$G$1203/30)))=0,"",SUMPRODUCT(MAX((Log!$D$4:$D$1203=$A51)*(Log!$B$4:$B$1203=D$45)*(Log!$E$4:$E$1203="A")*(Log!$F$4:$F$1203&lt;&gt;"")*(Log!$G$4:$G$1203&lt;&gt;"")*Log!$F$4:$F$1203*(1+Log!$G$4:$G$1203/30)))))</f>
        <v/>
      </c>
      <c r="E51" s="76" t="str">
        <f aca="false">IF($A51="","",IF(SUMPRODUCT(MAX((Log!$D$4:$D$1203=$A51)*(Log!$B$4:$B$1203=E$45)*(Log!$E$4:$E$1203="A")*(Log!$F$4:$F$1203&lt;&gt;"")*(Log!$G$4:$G$1203&lt;&gt;"")*Log!$F$4:$F$1203*(1+Log!$G$4:$G$1203/30)))=0,"",SUMPRODUCT(MAX((Log!$D$4:$D$1203=$A51)*(Log!$B$4:$B$1203=E$45)*(Log!$E$4:$E$1203="A")*(Log!$F$4:$F$1203&lt;&gt;"")*(Log!$G$4:$G$1203&lt;&gt;"")*Log!$F$4:$F$1203*(1+Log!$G$4:$G$1203/30)))))</f>
        <v/>
      </c>
      <c r="F51" s="76" t="str">
        <f aca="false">IF($A51="","",IF(SUMPRODUCT(MAX((Log!$D$4:$D$1203=$A51)*(Log!$B$4:$B$1203=F$45)*(Log!$E$4:$E$1203="A")*(Log!$F$4:$F$1203&lt;&gt;"")*(Log!$G$4:$G$1203&lt;&gt;"")*Log!$F$4:$F$1203*(1+Log!$G$4:$G$1203/30)))=0,"",SUMPRODUCT(MAX((Log!$D$4:$D$1203=$A51)*(Log!$B$4:$B$1203=F$45)*(Log!$E$4:$E$1203="A")*(Log!$F$4:$F$1203&lt;&gt;"")*(Log!$G$4:$G$1203&lt;&gt;"")*Log!$F$4:$F$1203*(1+Log!$G$4:$G$1203/30)))))</f>
        <v/>
      </c>
      <c r="G51" s="76" t="str">
        <f aca="false">IF($A51="","",IF(SUMPRODUCT(MAX((Log!$D$4:$D$1203=$A51)*(Log!$B$4:$B$1203=G$45)*(Log!$E$4:$E$1203="A")*(Log!$F$4:$F$1203&lt;&gt;"")*(Log!$G$4:$G$1203&lt;&gt;"")*Log!$F$4:$F$1203*(1+Log!$G$4:$G$1203/30)))=0,"",SUMPRODUCT(MAX((Log!$D$4:$D$1203=$A51)*(Log!$B$4:$B$1203=G$45)*(Log!$E$4:$E$1203="A")*(Log!$F$4:$F$1203&lt;&gt;"")*(Log!$G$4:$G$1203&lt;&gt;"")*Log!$F$4:$F$1203*(1+Log!$G$4:$G$1203/30)))))</f>
        <v/>
      </c>
      <c r="H51" s="76" t="str">
        <f aca="false">IF($A51="","",IF(SUMPRODUCT(MAX((Log!$D$4:$D$1203=$A51)*(Log!$B$4:$B$1203=H$45)*(Log!$E$4:$E$1203="A")*(Log!$F$4:$F$1203&lt;&gt;"")*(Log!$G$4:$G$1203&lt;&gt;"")*Log!$F$4:$F$1203*(1+Log!$G$4:$G$1203/30)))=0,"",SUMPRODUCT(MAX((Log!$D$4:$D$1203=$A51)*(Log!$B$4:$B$1203=H$45)*(Log!$E$4:$E$1203="A")*(Log!$F$4:$F$1203&lt;&gt;"")*(Log!$G$4:$G$1203&lt;&gt;"")*Log!$F$4:$F$1203*(1+Log!$G$4:$G$1203/30)))))</f>
        <v/>
      </c>
      <c r="I51" s="76" t="str">
        <f aca="false">IF($A51="","",IF(SUMPRODUCT(MAX((Log!$D$4:$D$1203=$A51)*(Log!$B$4:$B$1203=I$45)*(Log!$E$4:$E$1203="A")*(Log!$F$4:$F$1203&lt;&gt;"")*(Log!$G$4:$G$1203&lt;&gt;"")*Log!$F$4:$F$1203*(1+Log!$G$4:$G$1203/30)))=0,"",SUMPRODUCT(MAX((Log!$D$4:$D$1203=$A51)*(Log!$B$4:$B$1203=I$45)*(Log!$E$4:$E$1203="A")*(Log!$F$4:$F$1203&lt;&gt;"")*(Log!$G$4:$G$1203&lt;&gt;"")*Log!$F$4:$F$1203*(1+Log!$G$4:$G$1203/30)))))</f>
        <v/>
      </c>
      <c r="J51" s="76" t="str">
        <f aca="false">IF($A51="","",IF(SUMPRODUCT(MAX((Log!$D$4:$D$1203=$A51)*(Log!$B$4:$B$1203=J$45)*(Log!$E$4:$E$1203="A")*(Log!$F$4:$F$1203&lt;&gt;"")*(Log!$G$4:$G$1203&lt;&gt;"")*Log!$F$4:$F$1203*(1+Log!$G$4:$G$1203/30)))=0,"",SUMPRODUCT(MAX((Log!$D$4:$D$1203=$A51)*(Log!$B$4:$B$1203=J$45)*(Log!$E$4:$E$1203="A")*(Log!$F$4:$F$1203&lt;&gt;"")*(Log!$G$4:$G$1203&lt;&gt;"")*Log!$F$4:$F$1203*(1+Log!$G$4:$G$1203/30)))))</f>
        <v/>
      </c>
      <c r="K51" s="76" t="str">
        <f aca="false">IF($A51="","",IF(SUMPRODUCT(MAX((Log!$D$4:$D$1203=$A51)*(Log!$B$4:$B$1203=K$45)*(Log!$E$4:$E$1203="A")*(Log!$F$4:$F$1203&lt;&gt;"")*(Log!$G$4:$G$1203&lt;&gt;"")*Log!$F$4:$F$1203*(1+Log!$G$4:$G$1203/30)))=0,"",SUMPRODUCT(MAX((Log!$D$4:$D$1203=$A51)*(Log!$B$4:$B$1203=K$45)*(Log!$E$4:$E$1203="A")*(Log!$F$4:$F$1203&lt;&gt;"")*(Log!$G$4:$G$1203&lt;&gt;"")*Log!$F$4:$F$1203*(1+Log!$G$4:$G$1203/30)))))</f>
        <v/>
      </c>
      <c r="L51" s="76" t="str">
        <f aca="false">IF($A51="","",IF(SUMPRODUCT(MAX((Log!$D$4:$D$1203=$A51)*(Log!$B$4:$B$1203=L$45)*(Log!$E$4:$E$1203="A")*(Log!$F$4:$F$1203&lt;&gt;"")*(Log!$G$4:$G$1203&lt;&gt;"")*Log!$F$4:$F$1203*(1+Log!$G$4:$G$1203/30)))=0,"",SUMPRODUCT(MAX((Log!$D$4:$D$1203=$A51)*(Log!$B$4:$B$1203=L$45)*(Log!$E$4:$E$1203="A")*(Log!$F$4:$F$1203&lt;&gt;"")*(Log!$G$4:$G$1203&lt;&gt;"")*Log!$F$4:$F$1203*(1+Log!$G$4:$G$1203/30)))))</f>
        <v/>
      </c>
      <c r="M51" s="76" t="str">
        <f aca="false">IF($A51="","",IF(SUMPRODUCT(MAX((Log!$D$4:$D$1203=$A51)*(Log!$B$4:$B$1203=M$45)*(Log!$E$4:$E$1203="A")*(Log!$F$4:$F$1203&lt;&gt;"")*(Log!$G$4:$G$1203&lt;&gt;"")*Log!$F$4:$F$1203*(1+Log!$G$4:$G$1203/30)))=0,"",SUMPRODUCT(MAX((Log!$D$4:$D$1203=$A51)*(Log!$B$4:$B$1203=M$45)*(Log!$E$4:$E$1203="A")*(Log!$F$4:$F$1203&lt;&gt;"")*(Log!$G$4:$G$1203&lt;&gt;"")*Log!$F$4:$F$1203*(1+Log!$G$4:$G$1203/30)))))</f>
        <v/>
      </c>
      <c r="N51" s="76" t="str">
        <f aca="false">IF($A51="","",IF(SUMPRODUCT(MAX((Log!$D$4:$D$1203=$A51)*(Log!$B$4:$B$1203=N$45)*(Log!$E$4:$E$1203="A")*(Log!$F$4:$F$1203&lt;&gt;"")*(Log!$G$4:$G$1203&lt;&gt;"")*Log!$F$4:$F$1203*(1+Log!$G$4:$G$1203/30)))=0,"",SUMPRODUCT(MAX((Log!$D$4:$D$1203=$A51)*(Log!$B$4:$B$1203=N$45)*(Log!$E$4:$E$1203="A")*(Log!$F$4:$F$1203&lt;&gt;"")*(Log!$G$4:$G$1203&lt;&gt;"")*Log!$F$4:$F$1203*(1+Log!$G$4:$G$1203/30)))))</f>
        <v/>
      </c>
      <c r="O51" s="76" t="str">
        <f aca="false">IF($A51="","",IF(SUMPRODUCT(MAX((Log!$D$4:$D$1203=$A51)*(Log!$B$4:$B$1203=O$45)*(Log!$E$4:$E$1203="A")*(Log!$F$4:$F$1203&lt;&gt;"")*(Log!$G$4:$G$1203&lt;&gt;"")*Log!$F$4:$F$1203*(1+Log!$G$4:$G$1203/30)))=0,"",SUMPRODUCT(MAX((Log!$D$4:$D$1203=$A51)*(Log!$B$4:$B$1203=O$45)*(Log!$E$4:$E$1203="A")*(Log!$F$4:$F$1203&lt;&gt;"")*(Log!$G$4:$G$1203&lt;&gt;"")*Log!$F$4:$F$1203*(1+Log!$G$4:$G$1203/30)))))</f>
        <v/>
      </c>
      <c r="P51" s="76" t="str">
        <f aca="false">IF($A51="","",IF(SUMPRODUCT(MAX((Log!$D$4:$D$1203=$A51)*(Log!$B$4:$B$1203=P$45)*(Log!$E$4:$E$1203="A")*(Log!$F$4:$F$1203&lt;&gt;"")*(Log!$G$4:$G$1203&lt;&gt;"")*Log!$F$4:$F$1203*(1+Log!$G$4:$G$1203/30)))=0,"",SUMPRODUCT(MAX((Log!$D$4:$D$1203=$A51)*(Log!$B$4:$B$1203=P$45)*(Log!$E$4:$E$1203="A")*(Log!$F$4:$F$1203&lt;&gt;"")*(Log!$G$4:$G$1203&lt;&gt;"")*Log!$F$4:$F$1203*(1+Log!$G$4:$G$1203/30)))))</f>
        <v/>
      </c>
      <c r="Q51" s="76" t="str">
        <f aca="false">IF($A51="","",IF(SUMPRODUCT(MAX((Log!$D$4:$D$1203=$A51)*(Log!$B$4:$B$1203=Q$45)*(Log!$E$4:$E$1203="A")*(Log!$F$4:$F$1203&lt;&gt;"")*(Log!$G$4:$G$1203&lt;&gt;"")*Log!$F$4:$F$1203*(1+Log!$G$4:$G$1203/30)))=0,"",SUMPRODUCT(MAX((Log!$D$4:$D$1203=$A51)*(Log!$B$4:$B$1203=Q$45)*(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IF(Übungen!$A10="","",Übungen!$A10)</f>
        <v>Hip Thrust</v>
      </c>
      <c r="B52" s="74" t="n">
        <f aca="false">IF($A52="","",IF(SUMPRODUCT(MAX((Log!$D$4:$D$1203=$A52)*(Log!$B$4:$B$1203=B$45)*(Log!$E$4:$E$1203="A")*(Log!$F$4:$F$1203&lt;&gt;"")*(Log!$G$4:$G$1203&lt;&gt;"")*Log!$F$4:$F$1203*(1+Log!$G$4:$G$1203/30)))=0,"",SUMPRODUCT(MAX((Log!$D$4:$D$1203=$A52)*(Log!$B$4:$B$1203=B$45)*(Log!$E$4:$E$1203="A")*(Log!$F$4:$F$1203&lt;&gt;"")*(Log!$G$4:$G$1203&lt;&gt;"")*Log!$F$4:$F$1203*(1+Log!$G$4:$G$1203/30)))))</f>
        <v>308</v>
      </c>
      <c r="C52" s="74" t="n">
        <f aca="false">IF($A52="","",IF(SUMPRODUCT(MAX((Log!$D$4:$D$1203=$A52)*(Log!$B$4:$B$1203=C$45)*(Log!$E$4:$E$1203="A")*(Log!$F$4:$F$1203&lt;&gt;"")*(Log!$G$4:$G$1203&lt;&gt;"")*Log!$F$4:$F$1203*(1+Log!$G$4:$G$1203/30)))=0,"",SUMPRODUCT(MAX((Log!$D$4:$D$1203=$A52)*(Log!$B$4:$B$1203=C$45)*(Log!$E$4:$E$1203="A")*(Log!$F$4:$F$1203&lt;&gt;"")*(Log!$G$4:$G$1203&lt;&gt;"")*Log!$F$4:$F$1203*(1+Log!$G$4:$G$1203/30)))))</f>
        <v>336</v>
      </c>
      <c r="D52" s="74" t="n">
        <f aca="false">IF($A52="","",IF(SUMPRODUCT(MAX((Log!$D$4:$D$1203=$A52)*(Log!$B$4:$B$1203=D$45)*(Log!$E$4:$E$1203="A")*(Log!$F$4:$F$1203&lt;&gt;"")*(Log!$G$4:$G$1203&lt;&gt;"")*Log!$F$4:$F$1203*(1+Log!$G$4:$G$1203/30)))=0,"",SUMPRODUCT(MAX((Log!$D$4:$D$1203=$A52)*(Log!$B$4:$B$1203=D$45)*(Log!$E$4:$E$1203="A")*(Log!$F$4:$F$1203&lt;&gt;"")*(Log!$G$4:$G$1203&lt;&gt;"")*Log!$F$4:$F$1203*(1+Log!$G$4:$G$1203/30)))))</f>
        <v>360</v>
      </c>
      <c r="E52" s="74" t="n">
        <f aca="false">IF($A52="","",IF(SUMPRODUCT(MAX((Log!$D$4:$D$1203=$A52)*(Log!$B$4:$B$1203=E$45)*(Log!$E$4:$E$1203="A")*(Log!$F$4:$F$1203&lt;&gt;"")*(Log!$G$4:$G$1203&lt;&gt;"")*Log!$F$4:$F$1203*(1+Log!$G$4:$G$1203/30)))=0,"",SUMPRODUCT(MAX((Log!$D$4:$D$1203=$A52)*(Log!$B$4:$B$1203=E$45)*(Log!$E$4:$E$1203="A")*(Log!$F$4:$F$1203&lt;&gt;"")*(Log!$G$4:$G$1203&lt;&gt;"")*Log!$F$4:$F$1203*(1+Log!$G$4:$G$1203/30)))))</f>
        <v>342</v>
      </c>
      <c r="F52" s="74" t="n">
        <f aca="false">IF($A52="","",IF(SUMPRODUCT(MAX((Log!$D$4:$D$1203=$A52)*(Log!$B$4:$B$1203=F$45)*(Log!$E$4:$E$1203="A")*(Log!$F$4:$F$1203&lt;&gt;"")*(Log!$G$4:$G$1203&lt;&gt;"")*Log!$F$4:$F$1203*(1+Log!$G$4:$G$1203/30)))=0,"",SUMPRODUCT(MAX((Log!$D$4:$D$1203=$A52)*(Log!$B$4:$B$1203=F$45)*(Log!$E$4:$E$1203="A")*(Log!$F$4:$F$1203&lt;&gt;"")*(Log!$G$4:$G$1203&lt;&gt;"")*Log!$F$4:$F$1203*(1+Log!$G$4:$G$1203/30)))))</f>
        <v>240.666666666667</v>
      </c>
      <c r="G52" s="74" t="str">
        <f aca="false">IF($A52="","",IF(SUMPRODUCT(MAX((Log!$D$4:$D$1203=$A52)*(Log!$B$4:$B$1203=G$45)*(Log!$E$4:$E$1203="A")*(Log!$F$4:$F$1203&lt;&gt;"")*(Log!$G$4:$G$1203&lt;&gt;"")*Log!$F$4:$F$1203*(1+Log!$G$4:$G$1203/30)))=0,"",SUMPRODUCT(MAX((Log!$D$4:$D$1203=$A52)*(Log!$B$4:$B$1203=G$45)*(Log!$E$4:$E$1203="A")*(Log!$F$4:$F$1203&lt;&gt;"")*(Log!$G$4:$G$1203&lt;&gt;"")*Log!$F$4:$F$1203*(1+Log!$G$4:$G$1203/30)))))</f>
        <v/>
      </c>
      <c r="H52" s="74" t="n">
        <f aca="false">IF($A52="","",IF(SUMPRODUCT(MAX((Log!$D$4:$D$1203=$A52)*(Log!$B$4:$B$1203=H$45)*(Log!$E$4:$E$1203="A")*(Log!$F$4:$F$1203&lt;&gt;"")*(Log!$G$4:$G$1203&lt;&gt;"")*Log!$F$4:$F$1203*(1+Log!$G$4:$G$1203/30)))=0,"",SUMPRODUCT(MAX((Log!$D$4:$D$1203=$A52)*(Log!$B$4:$B$1203=H$45)*(Log!$E$4:$E$1203="A")*(Log!$F$4:$F$1203&lt;&gt;"")*(Log!$G$4:$G$1203&lt;&gt;"")*Log!$F$4:$F$1203*(1+Log!$G$4:$G$1203/30)))))</f>
        <v>367.333333333333</v>
      </c>
      <c r="I52" s="74" t="str">
        <f aca="false">IF($A52="","",IF(SUMPRODUCT(MAX((Log!$D$4:$D$1203=$A52)*(Log!$B$4:$B$1203=I$45)*(Log!$E$4:$E$1203="A")*(Log!$F$4:$F$1203&lt;&gt;"")*(Log!$G$4:$G$1203&lt;&gt;"")*Log!$F$4:$F$1203*(1+Log!$G$4:$G$1203/30)))=0,"",SUMPRODUCT(MAX((Log!$D$4:$D$1203=$A52)*(Log!$B$4:$B$1203=I$45)*(Log!$E$4:$E$1203="A")*(Log!$F$4:$F$1203&lt;&gt;"")*(Log!$G$4:$G$1203&lt;&gt;"")*Log!$F$4:$F$1203*(1+Log!$G$4:$G$1203/30)))))</f>
        <v/>
      </c>
      <c r="J52" s="74" t="str">
        <f aca="false">IF($A52="","",IF(SUMPRODUCT(MAX((Log!$D$4:$D$1203=$A52)*(Log!$B$4:$B$1203=J$45)*(Log!$E$4:$E$1203="A")*(Log!$F$4:$F$1203&lt;&gt;"")*(Log!$G$4:$G$1203&lt;&gt;"")*Log!$F$4:$F$1203*(1+Log!$G$4:$G$1203/30)))=0,"",SUMPRODUCT(MAX((Log!$D$4:$D$1203=$A52)*(Log!$B$4:$B$1203=J$45)*(Log!$E$4:$E$1203="A")*(Log!$F$4:$F$1203&lt;&gt;"")*(Log!$G$4:$G$1203&lt;&gt;"")*Log!$F$4:$F$1203*(1+Log!$G$4:$G$1203/30)))))</f>
        <v/>
      </c>
      <c r="K52" s="74" t="str">
        <f aca="false">IF($A52="","",IF(SUMPRODUCT(MAX((Log!$D$4:$D$1203=$A52)*(Log!$B$4:$B$1203=K$45)*(Log!$E$4:$E$1203="A")*(Log!$F$4:$F$1203&lt;&gt;"")*(Log!$G$4:$G$1203&lt;&gt;"")*Log!$F$4:$F$1203*(1+Log!$G$4:$G$1203/30)))=0,"",SUMPRODUCT(MAX((Log!$D$4:$D$1203=$A52)*(Log!$B$4:$B$1203=K$45)*(Log!$E$4:$E$1203="A")*(Log!$F$4:$F$1203&lt;&gt;"")*(Log!$G$4:$G$1203&lt;&gt;"")*Log!$F$4:$F$1203*(1+Log!$G$4:$G$1203/30)))))</f>
        <v/>
      </c>
      <c r="L52" s="74" t="str">
        <f aca="false">IF($A52="","",IF(SUMPRODUCT(MAX((Log!$D$4:$D$1203=$A52)*(Log!$B$4:$B$1203=L$45)*(Log!$E$4:$E$1203="A")*(Log!$F$4:$F$1203&lt;&gt;"")*(Log!$G$4:$G$1203&lt;&gt;"")*Log!$F$4:$F$1203*(1+Log!$G$4:$G$1203/30)))=0,"",SUMPRODUCT(MAX((Log!$D$4:$D$1203=$A52)*(Log!$B$4:$B$1203=L$45)*(Log!$E$4:$E$1203="A")*(Log!$F$4:$F$1203&lt;&gt;"")*(Log!$G$4:$G$1203&lt;&gt;"")*Log!$F$4:$F$1203*(1+Log!$G$4:$G$1203/30)))))</f>
        <v/>
      </c>
      <c r="M52" s="74" t="str">
        <f aca="false">IF($A52="","",IF(SUMPRODUCT(MAX((Log!$D$4:$D$1203=$A52)*(Log!$B$4:$B$1203=M$45)*(Log!$E$4:$E$1203="A")*(Log!$F$4:$F$1203&lt;&gt;"")*(Log!$G$4:$G$1203&lt;&gt;"")*Log!$F$4:$F$1203*(1+Log!$G$4:$G$1203/30)))=0,"",SUMPRODUCT(MAX((Log!$D$4:$D$1203=$A52)*(Log!$B$4:$B$1203=M$45)*(Log!$E$4:$E$1203="A")*(Log!$F$4:$F$1203&lt;&gt;"")*(Log!$G$4:$G$1203&lt;&gt;"")*Log!$F$4:$F$1203*(1+Log!$G$4:$G$1203/30)))))</f>
        <v/>
      </c>
      <c r="N52" s="74" t="str">
        <f aca="false">IF($A52="","",IF(SUMPRODUCT(MAX((Log!$D$4:$D$1203=$A52)*(Log!$B$4:$B$1203=N$45)*(Log!$E$4:$E$1203="A")*(Log!$F$4:$F$1203&lt;&gt;"")*(Log!$G$4:$G$1203&lt;&gt;"")*Log!$F$4:$F$1203*(1+Log!$G$4:$G$1203/30)))=0,"",SUMPRODUCT(MAX((Log!$D$4:$D$1203=$A52)*(Log!$B$4:$B$1203=N$45)*(Log!$E$4:$E$1203="A")*(Log!$F$4:$F$1203&lt;&gt;"")*(Log!$G$4:$G$1203&lt;&gt;"")*Log!$F$4:$F$1203*(1+Log!$G$4:$G$1203/30)))))</f>
        <v/>
      </c>
      <c r="O52" s="74" t="str">
        <f aca="false">IF($A52="","",IF(SUMPRODUCT(MAX((Log!$D$4:$D$1203=$A52)*(Log!$B$4:$B$1203=O$45)*(Log!$E$4:$E$1203="A")*(Log!$F$4:$F$1203&lt;&gt;"")*(Log!$G$4:$G$1203&lt;&gt;"")*Log!$F$4:$F$1203*(1+Log!$G$4:$G$1203/30)))=0,"",SUMPRODUCT(MAX((Log!$D$4:$D$1203=$A52)*(Log!$B$4:$B$1203=O$45)*(Log!$E$4:$E$1203="A")*(Log!$F$4:$F$1203&lt;&gt;"")*(Log!$G$4:$G$1203&lt;&gt;"")*Log!$F$4:$F$1203*(1+Log!$G$4:$G$1203/30)))))</f>
        <v/>
      </c>
      <c r="P52" s="74" t="str">
        <f aca="false">IF($A52="","",IF(SUMPRODUCT(MAX((Log!$D$4:$D$1203=$A52)*(Log!$B$4:$B$1203=P$45)*(Log!$E$4:$E$1203="A")*(Log!$F$4:$F$1203&lt;&gt;"")*(Log!$G$4:$G$1203&lt;&gt;"")*Log!$F$4:$F$1203*(1+Log!$G$4:$G$1203/30)))=0,"",SUMPRODUCT(MAX((Log!$D$4:$D$1203=$A52)*(Log!$B$4:$B$1203=P$45)*(Log!$E$4:$E$1203="A")*(Log!$F$4:$F$1203&lt;&gt;"")*(Log!$G$4:$G$1203&lt;&gt;"")*Log!$F$4:$F$1203*(1+Log!$G$4:$G$1203/30)))))</f>
        <v/>
      </c>
      <c r="Q52" s="74" t="str">
        <f aca="false">IF($A52="","",IF(SUMPRODUCT(MAX((Log!$D$4:$D$1203=$A52)*(Log!$B$4:$B$1203=Q$45)*(Log!$E$4:$E$1203="A")*(Log!$F$4:$F$1203&lt;&gt;"")*(Log!$G$4:$G$1203&lt;&gt;"")*Log!$F$4:$F$1203*(1+Log!$G$4:$G$1203/30)))=0,"",SUMPRODUCT(MAX((Log!$D$4:$D$1203=$A52)*(Log!$B$4:$B$1203=Q$45)*(Log!$E$4:$E$1203="A")*(Log!$F$4:$F$1203&lt;&gt;"")*(Log!$G$4:$G$1203&lt;&gt;"")*Log!$F$4:$F$1203*(1+Log!$G$4:$G$1203/30)))))</f>
        <v/>
      </c>
      <c r="R52" s="75"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2" t="str">
        <f aca="false">IF(Übungen!$A11="","",Übungen!$A11)</f>
        <v>Hip &amp; Glute</v>
      </c>
      <c r="B53" s="76" t="str">
        <f aca="false">IF($A53="","",IF(SUMPRODUCT(MAX((Log!$D$4:$D$1203=$A53)*(Log!$B$4:$B$1203=B$45)*(Log!$E$4:$E$1203="A")*(Log!$F$4:$F$1203&lt;&gt;"")*(Log!$G$4:$G$1203&lt;&gt;"")*Log!$F$4:$F$1203*(1+Log!$G$4:$G$1203/30)))=0,"",SUMPRODUCT(MAX((Log!$D$4:$D$1203=$A53)*(Log!$B$4:$B$1203=B$45)*(Log!$E$4:$E$1203="A")*(Log!$F$4:$F$1203&lt;&gt;"")*(Log!$G$4:$G$1203&lt;&gt;"")*Log!$F$4:$F$1203*(1+Log!$G$4:$G$1203/30)))))</f>
        <v/>
      </c>
      <c r="C53" s="76" t="str">
        <f aca="false">IF($A53="","",IF(SUMPRODUCT(MAX((Log!$D$4:$D$1203=$A53)*(Log!$B$4:$B$1203=C$45)*(Log!$E$4:$E$1203="A")*(Log!$F$4:$F$1203&lt;&gt;"")*(Log!$G$4:$G$1203&lt;&gt;"")*Log!$F$4:$F$1203*(1+Log!$G$4:$G$1203/30)))=0,"",SUMPRODUCT(MAX((Log!$D$4:$D$1203=$A53)*(Log!$B$4:$B$1203=C$45)*(Log!$E$4:$E$1203="A")*(Log!$F$4:$F$1203&lt;&gt;"")*(Log!$G$4:$G$1203&lt;&gt;"")*Log!$F$4:$F$1203*(1+Log!$G$4:$G$1203/30)))))</f>
        <v/>
      </c>
      <c r="D53" s="76" t="str">
        <f aca="false">IF($A53="","",IF(SUMPRODUCT(MAX((Log!$D$4:$D$1203=$A53)*(Log!$B$4:$B$1203=D$45)*(Log!$E$4:$E$1203="A")*(Log!$F$4:$F$1203&lt;&gt;"")*(Log!$G$4:$G$1203&lt;&gt;"")*Log!$F$4:$F$1203*(1+Log!$G$4:$G$1203/30)))=0,"",SUMPRODUCT(MAX((Log!$D$4:$D$1203=$A53)*(Log!$B$4:$B$1203=D$45)*(Log!$E$4:$E$1203="A")*(Log!$F$4:$F$1203&lt;&gt;"")*(Log!$G$4:$G$1203&lt;&gt;"")*Log!$F$4:$F$1203*(1+Log!$G$4:$G$1203/30)))))</f>
        <v/>
      </c>
      <c r="E53" s="76" t="str">
        <f aca="false">IF($A53="","",IF(SUMPRODUCT(MAX((Log!$D$4:$D$1203=$A53)*(Log!$B$4:$B$1203=E$45)*(Log!$E$4:$E$1203="A")*(Log!$F$4:$F$1203&lt;&gt;"")*(Log!$G$4:$G$1203&lt;&gt;"")*Log!$F$4:$F$1203*(1+Log!$G$4:$G$1203/30)))=0,"",SUMPRODUCT(MAX((Log!$D$4:$D$1203=$A53)*(Log!$B$4:$B$1203=E$45)*(Log!$E$4:$E$1203="A")*(Log!$F$4:$F$1203&lt;&gt;"")*(Log!$G$4:$G$1203&lt;&gt;"")*Log!$F$4:$F$1203*(1+Log!$G$4:$G$1203/30)))))</f>
        <v/>
      </c>
      <c r="F53" s="76" t="str">
        <f aca="false">IF($A53="","",IF(SUMPRODUCT(MAX((Log!$D$4:$D$1203=$A53)*(Log!$B$4:$B$1203=F$45)*(Log!$E$4:$E$1203="A")*(Log!$F$4:$F$1203&lt;&gt;"")*(Log!$G$4:$G$1203&lt;&gt;"")*Log!$F$4:$F$1203*(1+Log!$G$4:$G$1203/30)))=0,"",SUMPRODUCT(MAX((Log!$D$4:$D$1203=$A53)*(Log!$B$4:$B$1203=F$45)*(Log!$E$4:$E$1203="A")*(Log!$F$4:$F$1203&lt;&gt;"")*(Log!$G$4:$G$1203&lt;&gt;"")*Log!$F$4:$F$1203*(1+Log!$G$4:$G$1203/30)))))</f>
        <v/>
      </c>
      <c r="G53" s="76" t="str">
        <f aca="false">IF($A53="","",IF(SUMPRODUCT(MAX((Log!$D$4:$D$1203=$A53)*(Log!$B$4:$B$1203=G$45)*(Log!$E$4:$E$1203="A")*(Log!$F$4:$F$1203&lt;&gt;"")*(Log!$G$4:$G$1203&lt;&gt;"")*Log!$F$4:$F$1203*(1+Log!$G$4:$G$1203/30)))=0,"",SUMPRODUCT(MAX((Log!$D$4:$D$1203=$A53)*(Log!$B$4:$B$1203=G$45)*(Log!$E$4:$E$1203="A")*(Log!$F$4:$F$1203&lt;&gt;"")*(Log!$G$4:$G$1203&lt;&gt;"")*Log!$F$4:$F$1203*(1+Log!$G$4:$G$1203/30)))))</f>
        <v/>
      </c>
      <c r="H53" s="76" t="n">
        <f aca="false">IF($A53="","",IF(SUMPRODUCT(MAX((Log!$D$4:$D$1203=$A53)*(Log!$B$4:$B$1203=H$45)*(Log!$E$4:$E$1203="A")*(Log!$F$4:$F$1203&lt;&gt;"")*(Log!$G$4:$G$1203&lt;&gt;"")*Log!$F$4:$F$1203*(1+Log!$G$4:$G$1203/30)))=0,"",SUMPRODUCT(MAX((Log!$D$4:$D$1203=$A53)*(Log!$B$4:$B$1203=H$45)*(Log!$E$4:$E$1203="A")*(Log!$F$4:$F$1203&lt;&gt;"")*(Log!$G$4:$G$1203&lt;&gt;"")*Log!$F$4:$F$1203*(1+Log!$G$4:$G$1203/30)))))</f>
        <v>204</v>
      </c>
      <c r="I53" s="76" t="str">
        <f aca="false">IF($A53="","",IF(SUMPRODUCT(MAX((Log!$D$4:$D$1203=$A53)*(Log!$B$4:$B$1203=I$45)*(Log!$E$4:$E$1203="A")*(Log!$F$4:$F$1203&lt;&gt;"")*(Log!$G$4:$G$1203&lt;&gt;"")*Log!$F$4:$F$1203*(1+Log!$G$4:$G$1203/30)))=0,"",SUMPRODUCT(MAX((Log!$D$4:$D$1203=$A53)*(Log!$B$4:$B$1203=I$45)*(Log!$E$4:$E$1203="A")*(Log!$F$4:$F$1203&lt;&gt;"")*(Log!$G$4:$G$1203&lt;&gt;"")*Log!$F$4:$F$1203*(1+Log!$G$4:$G$1203/30)))))</f>
        <v/>
      </c>
      <c r="J53" s="76" t="str">
        <f aca="false">IF($A53="","",IF(SUMPRODUCT(MAX((Log!$D$4:$D$1203=$A53)*(Log!$B$4:$B$1203=J$45)*(Log!$E$4:$E$1203="A")*(Log!$F$4:$F$1203&lt;&gt;"")*(Log!$G$4:$G$1203&lt;&gt;"")*Log!$F$4:$F$1203*(1+Log!$G$4:$G$1203/30)))=0,"",SUMPRODUCT(MAX((Log!$D$4:$D$1203=$A53)*(Log!$B$4:$B$1203=J$45)*(Log!$E$4:$E$1203="A")*(Log!$F$4:$F$1203&lt;&gt;"")*(Log!$G$4:$G$1203&lt;&gt;"")*Log!$F$4:$F$1203*(1+Log!$G$4:$G$1203/30)))))</f>
        <v/>
      </c>
      <c r="K53" s="76" t="str">
        <f aca="false">IF($A53="","",IF(SUMPRODUCT(MAX((Log!$D$4:$D$1203=$A53)*(Log!$B$4:$B$1203=K$45)*(Log!$E$4:$E$1203="A")*(Log!$F$4:$F$1203&lt;&gt;"")*(Log!$G$4:$G$1203&lt;&gt;"")*Log!$F$4:$F$1203*(1+Log!$G$4:$G$1203/30)))=0,"",SUMPRODUCT(MAX((Log!$D$4:$D$1203=$A53)*(Log!$B$4:$B$1203=K$45)*(Log!$E$4:$E$1203="A")*(Log!$F$4:$F$1203&lt;&gt;"")*(Log!$G$4:$G$1203&lt;&gt;"")*Log!$F$4:$F$1203*(1+Log!$G$4:$G$1203/30)))))</f>
        <v/>
      </c>
      <c r="L53" s="76" t="str">
        <f aca="false">IF($A53="","",IF(SUMPRODUCT(MAX((Log!$D$4:$D$1203=$A53)*(Log!$B$4:$B$1203=L$45)*(Log!$E$4:$E$1203="A")*(Log!$F$4:$F$1203&lt;&gt;"")*(Log!$G$4:$G$1203&lt;&gt;"")*Log!$F$4:$F$1203*(1+Log!$G$4:$G$1203/30)))=0,"",SUMPRODUCT(MAX((Log!$D$4:$D$1203=$A53)*(Log!$B$4:$B$1203=L$45)*(Log!$E$4:$E$1203="A")*(Log!$F$4:$F$1203&lt;&gt;"")*(Log!$G$4:$G$1203&lt;&gt;"")*Log!$F$4:$F$1203*(1+Log!$G$4:$G$1203/30)))))</f>
        <v/>
      </c>
      <c r="M53" s="76" t="str">
        <f aca="false">IF($A53="","",IF(SUMPRODUCT(MAX((Log!$D$4:$D$1203=$A53)*(Log!$B$4:$B$1203=M$45)*(Log!$E$4:$E$1203="A")*(Log!$F$4:$F$1203&lt;&gt;"")*(Log!$G$4:$G$1203&lt;&gt;"")*Log!$F$4:$F$1203*(1+Log!$G$4:$G$1203/30)))=0,"",SUMPRODUCT(MAX((Log!$D$4:$D$1203=$A53)*(Log!$B$4:$B$1203=M$45)*(Log!$E$4:$E$1203="A")*(Log!$F$4:$F$1203&lt;&gt;"")*(Log!$G$4:$G$1203&lt;&gt;"")*Log!$F$4:$F$1203*(1+Log!$G$4:$G$1203/30)))))</f>
        <v/>
      </c>
      <c r="N53" s="76" t="str">
        <f aca="false">IF($A53="","",IF(SUMPRODUCT(MAX((Log!$D$4:$D$1203=$A53)*(Log!$B$4:$B$1203=N$45)*(Log!$E$4:$E$1203="A")*(Log!$F$4:$F$1203&lt;&gt;"")*(Log!$G$4:$G$1203&lt;&gt;"")*Log!$F$4:$F$1203*(1+Log!$G$4:$G$1203/30)))=0,"",SUMPRODUCT(MAX((Log!$D$4:$D$1203=$A53)*(Log!$B$4:$B$1203=N$45)*(Log!$E$4:$E$1203="A")*(Log!$F$4:$F$1203&lt;&gt;"")*(Log!$G$4:$G$1203&lt;&gt;"")*Log!$F$4:$F$1203*(1+Log!$G$4:$G$1203/30)))))</f>
        <v/>
      </c>
      <c r="O53" s="76" t="str">
        <f aca="false">IF($A53="","",IF(SUMPRODUCT(MAX((Log!$D$4:$D$1203=$A53)*(Log!$B$4:$B$1203=O$45)*(Log!$E$4:$E$1203="A")*(Log!$F$4:$F$1203&lt;&gt;"")*(Log!$G$4:$G$1203&lt;&gt;"")*Log!$F$4:$F$1203*(1+Log!$G$4:$G$1203/30)))=0,"",SUMPRODUCT(MAX((Log!$D$4:$D$1203=$A53)*(Log!$B$4:$B$1203=O$45)*(Log!$E$4:$E$1203="A")*(Log!$F$4:$F$1203&lt;&gt;"")*(Log!$G$4:$G$1203&lt;&gt;"")*Log!$F$4:$F$1203*(1+Log!$G$4:$G$1203/30)))))</f>
        <v/>
      </c>
      <c r="P53" s="76" t="str">
        <f aca="false">IF($A53="","",IF(SUMPRODUCT(MAX((Log!$D$4:$D$1203=$A53)*(Log!$B$4:$B$1203=P$45)*(Log!$E$4:$E$1203="A")*(Log!$F$4:$F$1203&lt;&gt;"")*(Log!$G$4:$G$1203&lt;&gt;"")*Log!$F$4:$F$1203*(1+Log!$G$4:$G$1203/30)))=0,"",SUMPRODUCT(MAX((Log!$D$4:$D$1203=$A53)*(Log!$B$4:$B$1203=P$45)*(Log!$E$4:$E$1203="A")*(Log!$F$4:$F$1203&lt;&gt;"")*(Log!$G$4:$G$1203&lt;&gt;"")*Log!$F$4:$F$1203*(1+Log!$G$4:$G$1203/30)))))</f>
        <v/>
      </c>
      <c r="Q53" s="76" t="str">
        <f aca="false">IF($A53="","",IF(SUMPRODUCT(MAX((Log!$D$4:$D$1203=$A53)*(Log!$B$4:$B$1203=Q$45)*(Log!$E$4:$E$1203="A")*(Log!$F$4:$F$1203&lt;&gt;"")*(Log!$G$4:$G$1203&lt;&gt;"")*Log!$F$4:$F$1203*(1+Log!$G$4:$G$1203/30)))=0,"",SUMPRODUCT(MAX((Log!$D$4:$D$1203=$A53)*(Log!$B$4:$B$1203=Q$45)*(Log!$E$4:$E$1203="A")*(Log!$F$4:$F$1203&lt;&gt;"")*(Log!$G$4:$G$1203&lt;&gt;"")*Log!$F$4:$F$1203*(1+Log!$G$4:$G$1203/30)))))</f>
        <v/>
      </c>
      <c r="R53" s="75"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26" t="str">
        <f aca="false">IF(Übungen!$A12="","",Übungen!$A12)</f>
        <v>Beinbeuger</v>
      </c>
      <c r="B54" s="74" t="n">
        <f aca="false">IF($A54="","",IF(SUMPRODUCT(MAX((Log!$D$4:$D$1203=$A54)*(Log!$B$4:$B$1203=B$45)*(Log!$E$4:$E$1203="A")*(Log!$F$4:$F$1203&lt;&gt;"")*(Log!$G$4:$G$1203&lt;&gt;"")*Log!$F$4:$F$1203*(1+Log!$G$4:$G$1203/30)))=0,"",SUMPRODUCT(MAX((Log!$D$4:$D$1203=$A54)*(Log!$B$4:$B$1203=B$45)*(Log!$E$4:$E$1203="A")*(Log!$F$4:$F$1203&lt;&gt;"")*(Log!$G$4:$G$1203&lt;&gt;"")*Log!$F$4:$F$1203*(1+Log!$G$4:$G$1203/30)))))</f>
        <v>66.6666666666667</v>
      </c>
      <c r="C54" s="74" t="n">
        <f aca="false">IF($A54="","",IF(SUMPRODUCT(MAX((Log!$D$4:$D$1203=$A54)*(Log!$B$4:$B$1203=C$45)*(Log!$E$4:$E$1203="A")*(Log!$F$4:$F$1203&lt;&gt;"")*(Log!$G$4:$G$1203&lt;&gt;"")*Log!$F$4:$F$1203*(1+Log!$G$4:$G$1203/30)))=0,"",SUMPRODUCT(MAX((Log!$D$4:$D$1203=$A54)*(Log!$B$4:$B$1203=C$45)*(Log!$E$4:$E$1203="A")*(Log!$F$4:$F$1203&lt;&gt;"")*(Log!$G$4:$G$1203&lt;&gt;"")*Log!$F$4:$F$1203*(1+Log!$G$4:$G$1203/30)))))</f>
        <v>73.3333333333333</v>
      </c>
      <c r="D54" s="74" t="n">
        <f aca="false">IF($A54="","",IF(SUMPRODUCT(MAX((Log!$D$4:$D$1203=$A54)*(Log!$B$4:$B$1203=D$45)*(Log!$E$4:$E$1203="A")*(Log!$F$4:$F$1203&lt;&gt;"")*(Log!$G$4:$G$1203&lt;&gt;"")*Log!$F$4:$F$1203*(1+Log!$G$4:$G$1203/30)))=0,"",SUMPRODUCT(MAX((Log!$D$4:$D$1203=$A54)*(Log!$B$4:$B$1203=D$45)*(Log!$E$4:$E$1203="A")*(Log!$F$4:$F$1203&lt;&gt;"")*(Log!$G$4:$G$1203&lt;&gt;"")*Log!$F$4:$F$1203*(1+Log!$G$4:$G$1203/30)))))</f>
        <v>67.5</v>
      </c>
      <c r="E54" s="74" t="str">
        <f aca="false">IF($A54="","",IF(SUMPRODUCT(MAX((Log!$D$4:$D$1203=$A54)*(Log!$B$4:$B$1203=E$45)*(Log!$E$4:$E$1203="A")*(Log!$F$4:$F$1203&lt;&gt;"")*(Log!$G$4:$G$1203&lt;&gt;"")*Log!$F$4:$F$1203*(1+Log!$G$4:$G$1203/30)))=0,"",SUMPRODUCT(MAX((Log!$D$4:$D$1203=$A54)*(Log!$B$4:$B$1203=E$45)*(Log!$E$4:$E$1203="A")*(Log!$F$4:$F$1203&lt;&gt;"")*(Log!$G$4:$G$1203&lt;&gt;"")*Log!$F$4:$F$1203*(1+Log!$G$4:$G$1203/30)))))</f>
        <v/>
      </c>
      <c r="F54" s="74" t="n">
        <f aca="false">IF($A54="","",IF(SUMPRODUCT(MAX((Log!$D$4:$D$1203=$A54)*(Log!$B$4:$B$1203=F$45)*(Log!$E$4:$E$1203="A")*(Log!$F$4:$F$1203&lt;&gt;"")*(Log!$G$4:$G$1203&lt;&gt;"")*Log!$F$4:$F$1203*(1+Log!$G$4:$G$1203/30)))=0,"",SUMPRODUCT(MAX((Log!$D$4:$D$1203=$A54)*(Log!$B$4:$B$1203=F$45)*(Log!$E$4:$E$1203="A")*(Log!$F$4:$F$1203&lt;&gt;"")*(Log!$G$4:$G$1203&lt;&gt;"")*Log!$F$4:$F$1203*(1+Log!$G$4:$G$1203/30)))))</f>
        <v>63</v>
      </c>
      <c r="G54" s="74" t="str">
        <f aca="false">IF($A54="","",IF(SUMPRODUCT(MAX((Log!$D$4:$D$1203=$A54)*(Log!$B$4:$B$1203=G$45)*(Log!$E$4:$E$1203="A")*(Log!$F$4:$F$1203&lt;&gt;"")*(Log!$G$4:$G$1203&lt;&gt;"")*Log!$F$4:$F$1203*(1+Log!$G$4:$G$1203/30)))=0,"",SUMPRODUCT(MAX((Log!$D$4:$D$1203=$A54)*(Log!$B$4:$B$1203=G$45)*(Log!$E$4:$E$1203="A")*(Log!$F$4:$F$1203&lt;&gt;"")*(Log!$G$4:$G$1203&lt;&gt;"")*Log!$F$4:$F$1203*(1+Log!$G$4:$G$1203/30)))))</f>
        <v/>
      </c>
      <c r="H54" s="74" t="n">
        <f aca="false">IF($A54="","",IF(SUMPRODUCT(MAX((Log!$D$4:$D$1203=$A54)*(Log!$B$4:$B$1203=H$45)*(Log!$E$4:$E$1203="A")*(Log!$F$4:$F$1203&lt;&gt;"")*(Log!$G$4:$G$1203&lt;&gt;"")*Log!$F$4:$F$1203*(1+Log!$G$4:$G$1203/30)))=0,"",SUMPRODUCT(MAX((Log!$D$4:$D$1203=$A54)*(Log!$B$4:$B$1203=H$45)*(Log!$E$4:$E$1203="A")*(Log!$F$4:$F$1203&lt;&gt;"")*(Log!$G$4:$G$1203&lt;&gt;"")*Log!$F$4:$F$1203*(1+Log!$G$4:$G$1203/30)))))</f>
        <v>70</v>
      </c>
      <c r="I54" s="74" t="str">
        <f aca="false">IF($A54="","",IF(SUMPRODUCT(MAX((Log!$D$4:$D$1203=$A54)*(Log!$B$4:$B$1203=I$45)*(Log!$E$4:$E$1203="A")*(Log!$F$4:$F$1203&lt;&gt;"")*(Log!$G$4:$G$1203&lt;&gt;"")*Log!$F$4:$F$1203*(1+Log!$G$4:$G$1203/30)))=0,"",SUMPRODUCT(MAX((Log!$D$4:$D$1203=$A54)*(Log!$B$4:$B$1203=I$45)*(Log!$E$4:$E$1203="A")*(Log!$F$4:$F$1203&lt;&gt;"")*(Log!$G$4:$G$1203&lt;&gt;"")*Log!$F$4:$F$1203*(1+Log!$G$4:$G$1203/30)))))</f>
        <v/>
      </c>
      <c r="J54" s="74" t="str">
        <f aca="false">IF($A54="","",IF(SUMPRODUCT(MAX((Log!$D$4:$D$1203=$A54)*(Log!$B$4:$B$1203=J$45)*(Log!$E$4:$E$1203="A")*(Log!$F$4:$F$1203&lt;&gt;"")*(Log!$G$4:$G$1203&lt;&gt;"")*Log!$F$4:$F$1203*(1+Log!$G$4:$G$1203/30)))=0,"",SUMPRODUCT(MAX((Log!$D$4:$D$1203=$A54)*(Log!$B$4:$B$1203=J$45)*(Log!$E$4:$E$1203="A")*(Log!$F$4:$F$1203&lt;&gt;"")*(Log!$G$4:$G$1203&lt;&gt;"")*Log!$F$4:$F$1203*(1+Log!$G$4:$G$1203/30)))))</f>
        <v/>
      </c>
      <c r="K54" s="74" t="str">
        <f aca="false">IF($A54="","",IF(SUMPRODUCT(MAX((Log!$D$4:$D$1203=$A54)*(Log!$B$4:$B$1203=K$45)*(Log!$E$4:$E$1203="A")*(Log!$F$4:$F$1203&lt;&gt;"")*(Log!$G$4:$G$1203&lt;&gt;"")*Log!$F$4:$F$1203*(1+Log!$G$4:$G$1203/30)))=0,"",SUMPRODUCT(MAX((Log!$D$4:$D$1203=$A54)*(Log!$B$4:$B$1203=K$45)*(Log!$E$4:$E$1203="A")*(Log!$F$4:$F$1203&lt;&gt;"")*(Log!$G$4:$G$1203&lt;&gt;"")*Log!$F$4:$F$1203*(1+Log!$G$4:$G$1203/30)))))</f>
        <v/>
      </c>
      <c r="L54" s="74" t="str">
        <f aca="false">IF($A54="","",IF(SUMPRODUCT(MAX((Log!$D$4:$D$1203=$A54)*(Log!$B$4:$B$1203=L$45)*(Log!$E$4:$E$1203="A")*(Log!$F$4:$F$1203&lt;&gt;"")*(Log!$G$4:$G$1203&lt;&gt;"")*Log!$F$4:$F$1203*(1+Log!$G$4:$G$1203/30)))=0,"",SUMPRODUCT(MAX((Log!$D$4:$D$1203=$A54)*(Log!$B$4:$B$1203=L$45)*(Log!$E$4:$E$1203="A")*(Log!$F$4:$F$1203&lt;&gt;"")*(Log!$G$4:$G$1203&lt;&gt;"")*Log!$F$4:$F$1203*(1+Log!$G$4:$G$1203/30)))))</f>
        <v/>
      </c>
      <c r="M54" s="74" t="str">
        <f aca="false">IF($A54="","",IF(SUMPRODUCT(MAX((Log!$D$4:$D$1203=$A54)*(Log!$B$4:$B$1203=M$45)*(Log!$E$4:$E$1203="A")*(Log!$F$4:$F$1203&lt;&gt;"")*(Log!$G$4:$G$1203&lt;&gt;"")*Log!$F$4:$F$1203*(1+Log!$G$4:$G$1203/30)))=0,"",SUMPRODUCT(MAX((Log!$D$4:$D$1203=$A54)*(Log!$B$4:$B$1203=M$45)*(Log!$E$4:$E$1203="A")*(Log!$F$4:$F$1203&lt;&gt;"")*(Log!$G$4:$G$1203&lt;&gt;"")*Log!$F$4:$F$1203*(1+Log!$G$4:$G$1203/30)))))</f>
        <v/>
      </c>
      <c r="N54" s="74" t="str">
        <f aca="false">IF($A54="","",IF(SUMPRODUCT(MAX((Log!$D$4:$D$1203=$A54)*(Log!$B$4:$B$1203=N$45)*(Log!$E$4:$E$1203="A")*(Log!$F$4:$F$1203&lt;&gt;"")*(Log!$G$4:$G$1203&lt;&gt;"")*Log!$F$4:$F$1203*(1+Log!$G$4:$G$1203/30)))=0,"",SUMPRODUCT(MAX((Log!$D$4:$D$1203=$A54)*(Log!$B$4:$B$1203=N$45)*(Log!$E$4:$E$1203="A")*(Log!$F$4:$F$1203&lt;&gt;"")*(Log!$G$4:$G$1203&lt;&gt;"")*Log!$F$4:$F$1203*(1+Log!$G$4:$G$1203/30)))))</f>
        <v/>
      </c>
      <c r="O54" s="74" t="str">
        <f aca="false">IF($A54="","",IF(SUMPRODUCT(MAX((Log!$D$4:$D$1203=$A54)*(Log!$B$4:$B$1203=O$45)*(Log!$E$4:$E$1203="A")*(Log!$F$4:$F$1203&lt;&gt;"")*(Log!$G$4:$G$1203&lt;&gt;"")*Log!$F$4:$F$1203*(1+Log!$G$4:$G$1203/30)))=0,"",SUMPRODUCT(MAX((Log!$D$4:$D$1203=$A54)*(Log!$B$4:$B$1203=O$45)*(Log!$E$4:$E$1203="A")*(Log!$F$4:$F$1203&lt;&gt;"")*(Log!$G$4:$G$1203&lt;&gt;"")*Log!$F$4:$F$1203*(1+Log!$G$4:$G$1203/30)))))</f>
        <v/>
      </c>
      <c r="P54" s="74" t="str">
        <f aca="false">IF($A54="","",IF(SUMPRODUCT(MAX((Log!$D$4:$D$1203=$A54)*(Log!$B$4:$B$1203=P$45)*(Log!$E$4:$E$1203="A")*(Log!$F$4:$F$1203&lt;&gt;"")*(Log!$G$4:$G$1203&lt;&gt;"")*Log!$F$4:$F$1203*(1+Log!$G$4:$G$1203/30)))=0,"",SUMPRODUCT(MAX((Log!$D$4:$D$1203=$A54)*(Log!$B$4:$B$1203=P$45)*(Log!$E$4:$E$1203="A")*(Log!$F$4:$F$1203&lt;&gt;"")*(Log!$G$4:$G$1203&lt;&gt;"")*Log!$F$4:$F$1203*(1+Log!$G$4:$G$1203/30)))))</f>
        <v/>
      </c>
      <c r="Q54" s="74" t="str">
        <f aca="false">IF($A54="","",IF(SUMPRODUCT(MAX((Log!$D$4:$D$1203=$A54)*(Log!$B$4:$B$1203=Q$45)*(Log!$E$4:$E$1203="A")*(Log!$F$4:$F$1203&lt;&gt;"")*(Log!$G$4:$G$1203&lt;&gt;"")*Log!$F$4:$F$1203*(1+Log!$G$4:$G$1203/30)))=0,"",SUMPRODUCT(MAX((Log!$D$4:$D$1203=$A54)*(Log!$B$4:$B$1203=Q$45)*(Log!$E$4:$E$1203="A")*(Log!$F$4:$F$1203&lt;&gt;"")*(Log!$G$4:$G$1203&lt;&gt;"")*Log!$F$4:$F$1203*(1+Log!$G$4:$G$1203/30)))))</f>
        <v/>
      </c>
      <c r="R54" s="75"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2" t="str">
        <f aca="false">IF(Übungen!$A13="","",Übungen!$A13)</f>
        <v>Seitliche Kickbacks</v>
      </c>
      <c r="B55" s="76" t="n">
        <f aca="false">IF($A55="","",IF(SUMPRODUCT(MAX((Log!$D$4:$D$1203=$A55)*(Log!$B$4:$B$1203=B$45)*(Log!$E$4:$E$1203="A")*(Log!$F$4:$F$1203&lt;&gt;"")*(Log!$G$4:$G$1203&lt;&gt;"")*Log!$F$4:$F$1203*(1+Log!$G$4:$G$1203/30)))=0,"",SUMPRODUCT(MAX((Log!$D$4:$D$1203=$A55)*(Log!$B$4:$B$1203=B$45)*(Log!$E$4:$E$1203="A")*(Log!$F$4:$F$1203&lt;&gt;"")*(Log!$G$4:$G$1203&lt;&gt;"")*Log!$F$4:$F$1203*(1+Log!$G$4:$G$1203/30)))))</f>
        <v>68.6</v>
      </c>
      <c r="C55" s="76" t="n">
        <f aca="false">IF($A55="","",IF(SUMPRODUCT(MAX((Log!$D$4:$D$1203=$A55)*(Log!$B$4:$B$1203=C$45)*(Log!$E$4:$E$1203="A")*(Log!$F$4:$F$1203&lt;&gt;"")*(Log!$G$4:$G$1203&lt;&gt;"")*Log!$F$4:$F$1203*(1+Log!$G$4:$G$1203/30)))=0,"",SUMPRODUCT(MAX((Log!$D$4:$D$1203=$A55)*(Log!$B$4:$B$1203=C$45)*(Log!$E$4:$E$1203="A")*(Log!$F$4:$F$1203&lt;&gt;"")*(Log!$G$4:$G$1203&lt;&gt;"")*Log!$F$4:$F$1203*(1+Log!$G$4:$G$1203/30)))))</f>
        <v>52.5</v>
      </c>
      <c r="D55" s="76" t="str">
        <f aca="false">IF($A55="","",IF(SUMPRODUCT(MAX((Log!$D$4:$D$1203=$A55)*(Log!$B$4:$B$1203=D$45)*(Log!$E$4:$E$1203="A")*(Log!$F$4:$F$1203&lt;&gt;"")*(Log!$G$4:$G$1203&lt;&gt;"")*Log!$F$4:$F$1203*(1+Log!$G$4:$G$1203/30)))=0,"",SUMPRODUCT(MAX((Log!$D$4:$D$1203=$A55)*(Log!$B$4:$B$1203=D$45)*(Log!$E$4:$E$1203="A")*(Log!$F$4:$F$1203&lt;&gt;"")*(Log!$G$4:$G$1203&lt;&gt;"")*Log!$F$4:$F$1203*(1+Log!$G$4:$G$1203/30)))))</f>
        <v/>
      </c>
      <c r="E55" s="76" t="str">
        <f aca="false">IF($A55="","",IF(SUMPRODUCT(MAX((Log!$D$4:$D$1203=$A55)*(Log!$B$4:$B$1203=E$45)*(Log!$E$4:$E$1203="A")*(Log!$F$4:$F$1203&lt;&gt;"")*(Log!$G$4:$G$1203&lt;&gt;"")*Log!$F$4:$F$1203*(1+Log!$G$4:$G$1203/30)))=0,"",SUMPRODUCT(MAX((Log!$D$4:$D$1203=$A55)*(Log!$B$4:$B$1203=E$45)*(Log!$E$4:$E$1203="A")*(Log!$F$4:$F$1203&lt;&gt;"")*(Log!$G$4:$G$1203&lt;&gt;"")*Log!$F$4:$F$1203*(1+Log!$G$4:$G$1203/30)))))</f>
        <v/>
      </c>
      <c r="F55" s="76" t="n">
        <f aca="false">IF($A55="","",IF(SUMPRODUCT(MAX((Log!$D$4:$D$1203=$A55)*(Log!$B$4:$B$1203=F$45)*(Log!$E$4:$E$1203="A")*(Log!$F$4:$F$1203&lt;&gt;"")*(Log!$G$4:$G$1203&lt;&gt;"")*Log!$F$4:$F$1203*(1+Log!$G$4:$G$1203/30)))=0,"",SUMPRODUCT(MAX((Log!$D$4:$D$1203=$A55)*(Log!$B$4:$B$1203=F$45)*(Log!$E$4:$E$1203="A")*(Log!$F$4:$F$1203&lt;&gt;"")*(Log!$G$4:$G$1203&lt;&gt;"")*Log!$F$4:$F$1203*(1+Log!$G$4:$G$1203/30)))))</f>
        <v>48</v>
      </c>
      <c r="G55" s="76" t="str">
        <f aca="false">IF($A55="","",IF(SUMPRODUCT(MAX((Log!$D$4:$D$1203=$A55)*(Log!$B$4:$B$1203=G$45)*(Log!$E$4:$E$1203="A")*(Log!$F$4:$F$1203&lt;&gt;"")*(Log!$G$4:$G$1203&lt;&gt;"")*Log!$F$4:$F$1203*(1+Log!$G$4:$G$1203/30)))=0,"",SUMPRODUCT(MAX((Log!$D$4:$D$1203=$A55)*(Log!$B$4:$B$1203=G$45)*(Log!$E$4:$E$1203="A")*(Log!$F$4:$F$1203&lt;&gt;"")*(Log!$G$4:$G$1203&lt;&gt;"")*Log!$F$4:$F$1203*(1+Log!$G$4:$G$1203/30)))))</f>
        <v/>
      </c>
      <c r="H55" s="76" t="str">
        <f aca="false">IF($A55="","",IF(SUMPRODUCT(MAX((Log!$D$4:$D$1203=$A55)*(Log!$B$4:$B$1203=H$45)*(Log!$E$4:$E$1203="A")*(Log!$F$4:$F$1203&lt;&gt;"")*(Log!$G$4:$G$1203&lt;&gt;"")*Log!$F$4:$F$1203*(1+Log!$G$4:$G$1203/30)))=0,"",SUMPRODUCT(MAX((Log!$D$4:$D$1203=$A55)*(Log!$B$4:$B$1203=H$45)*(Log!$E$4:$E$1203="A")*(Log!$F$4:$F$1203&lt;&gt;"")*(Log!$G$4:$G$1203&lt;&gt;"")*Log!$F$4:$F$1203*(1+Log!$G$4:$G$1203/30)))))</f>
        <v/>
      </c>
      <c r="I55" s="76" t="str">
        <f aca="false">IF($A55="","",IF(SUMPRODUCT(MAX((Log!$D$4:$D$1203=$A55)*(Log!$B$4:$B$1203=I$45)*(Log!$E$4:$E$1203="A")*(Log!$F$4:$F$1203&lt;&gt;"")*(Log!$G$4:$G$1203&lt;&gt;"")*Log!$F$4:$F$1203*(1+Log!$G$4:$G$1203/30)))=0,"",SUMPRODUCT(MAX((Log!$D$4:$D$1203=$A55)*(Log!$B$4:$B$1203=I$45)*(Log!$E$4:$E$1203="A")*(Log!$F$4:$F$1203&lt;&gt;"")*(Log!$G$4:$G$1203&lt;&gt;"")*Log!$F$4:$F$1203*(1+Log!$G$4:$G$1203/30)))))</f>
        <v/>
      </c>
      <c r="J55" s="76" t="str">
        <f aca="false">IF($A55="","",IF(SUMPRODUCT(MAX((Log!$D$4:$D$1203=$A55)*(Log!$B$4:$B$1203=J$45)*(Log!$E$4:$E$1203="A")*(Log!$F$4:$F$1203&lt;&gt;"")*(Log!$G$4:$G$1203&lt;&gt;"")*Log!$F$4:$F$1203*(1+Log!$G$4:$G$1203/30)))=0,"",SUMPRODUCT(MAX((Log!$D$4:$D$1203=$A55)*(Log!$B$4:$B$1203=J$45)*(Log!$E$4:$E$1203="A")*(Log!$F$4:$F$1203&lt;&gt;"")*(Log!$G$4:$G$1203&lt;&gt;"")*Log!$F$4:$F$1203*(1+Log!$G$4:$G$1203/30)))))</f>
        <v/>
      </c>
      <c r="K55" s="76" t="str">
        <f aca="false">IF($A55="","",IF(SUMPRODUCT(MAX((Log!$D$4:$D$1203=$A55)*(Log!$B$4:$B$1203=K$45)*(Log!$E$4:$E$1203="A")*(Log!$F$4:$F$1203&lt;&gt;"")*(Log!$G$4:$G$1203&lt;&gt;"")*Log!$F$4:$F$1203*(1+Log!$G$4:$G$1203/30)))=0,"",SUMPRODUCT(MAX((Log!$D$4:$D$1203=$A55)*(Log!$B$4:$B$1203=K$45)*(Log!$E$4:$E$1203="A")*(Log!$F$4:$F$1203&lt;&gt;"")*(Log!$G$4:$G$1203&lt;&gt;"")*Log!$F$4:$F$1203*(1+Log!$G$4:$G$1203/30)))))</f>
        <v/>
      </c>
      <c r="L55" s="76" t="str">
        <f aca="false">IF($A55="","",IF(SUMPRODUCT(MAX((Log!$D$4:$D$1203=$A55)*(Log!$B$4:$B$1203=L$45)*(Log!$E$4:$E$1203="A")*(Log!$F$4:$F$1203&lt;&gt;"")*(Log!$G$4:$G$1203&lt;&gt;"")*Log!$F$4:$F$1203*(1+Log!$G$4:$G$1203/30)))=0,"",SUMPRODUCT(MAX((Log!$D$4:$D$1203=$A55)*(Log!$B$4:$B$1203=L$45)*(Log!$E$4:$E$1203="A")*(Log!$F$4:$F$1203&lt;&gt;"")*(Log!$G$4:$G$1203&lt;&gt;"")*Log!$F$4:$F$1203*(1+Log!$G$4:$G$1203/30)))))</f>
        <v/>
      </c>
      <c r="M55" s="76" t="str">
        <f aca="false">IF($A55="","",IF(SUMPRODUCT(MAX((Log!$D$4:$D$1203=$A55)*(Log!$B$4:$B$1203=M$45)*(Log!$E$4:$E$1203="A")*(Log!$F$4:$F$1203&lt;&gt;"")*(Log!$G$4:$G$1203&lt;&gt;"")*Log!$F$4:$F$1203*(1+Log!$G$4:$G$1203/30)))=0,"",SUMPRODUCT(MAX((Log!$D$4:$D$1203=$A55)*(Log!$B$4:$B$1203=M$45)*(Log!$E$4:$E$1203="A")*(Log!$F$4:$F$1203&lt;&gt;"")*(Log!$G$4:$G$1203&lt;&gt;"")*Log!$F$4:$F$1203*(1+Log!$G$4:$G$1203/30)))))</f>
        <v/>
      </c>
      <c r="N55" s="76" t="str">
        <f aca="false">IF($A55="","",IF(SUMPRODUCT(MAX((Log!$D$4:$D$1203=$A55)*(Log!$B$4:$B$1203=N$45)*(Log!$E$4:$E$1203="A")*(Log!$F$4:$F$1203&lt;&gt;"")*(Log!$G$4:$G$1203&lt;&gt;"")*Log!$F$4:$F$1203*(1+Log!$G$4:$G$1203/30)))=0,"",SUMPRODUCT(MAX((Log!$D$4:$D$1203=$A55)*(Log!$B$4:$B$1203=N$45)*(Log!$E$4:$E$1203="A")*(Log!$F$4:$F$1203&lt;&gt;"")*(Log!$G$4:$G$1203&lt;&gt;"")*Log!$F$4:$F$1203*(1+Log!$G$4:$G$1203/30)))))</f>
        <v/>
      </c>
      <c r="O55" s="76" t="str">
        <f aca="false">IF($A55="","",IF(SUMPRODUCT(MAX((Log!$D$4:$D$1203=$A55)*(Log!$B$4:$B$1203=O$45)*(Log!$E$4:$E$1203="A")*(Log!$F$4:$F$1203&lt;&gt;"")*(Log!$G$4:$G$1203&lt;&gt;"")*Log!$F$4:$F$1203*(1+Log!$G$4:$G$1203/30)))=0,"",SUMPRODUCT(MAX((Log!$D$4:$D$1203=$A55)*(Log!$B$4:$B$1203=O$45)*(Log!$E$4:$E$1203="A")*(Log!$F$4:$F$1203&lt;&gt;"")*(Log!$G$4:$G$1203&lt;&gt;"")*Log!$F$4:$F$1203*(1+Log!$G$4:$G$1203/30)))))</f>
        <v/>
      </c>
      <c r="P55" s="76" t="str">
        <f aca="false">IF($A55="","",IF(SUMPRODUCT(MAX((Log!$D$4:$D$1203=$A55)*(Log!$B$4:$B$1203=P$45)*(Log!$E$4:$E$1203="A")*(Log!$F$4:$F$1203&lt;&gt;"")*(Log!$G$4:$G$1203&lt;&gt;"")*Log!$F$4:$F$1203*(1+Log!$G$4:$G$1203/30)))=0,"",SUMPRODUCT(MAX((Log!$D$4:$D$1203=$A55)*(Log!$B$4:$B$1203=P$45)*(Log!$E$4:$E$1203="A")*(Log!$F$4:$F$1203&lt;&gt;"")*(Log!$G$4:$G$1203&lt;&gt;"")*Log!$F$4:$F$1203*(1+Log!$G$4:$G$1203/30)))))</f>
        <v/>
      </c>
      <c r="Q55" s="76" t="str">
        <f aca="false">IF($A55="","",IF(SUMPRODUCT(MAX((Log!$D$4:$D$1203=$A55)*(Log!$B$4:$B$1203=Q$45)*(Log!$E$4:$E$1203="A")*(Log!$F$4:$F$1203&lt;&gt;"")*(Log!$G$4:$G$1203&lt;&gt;"")*Log!$F$4:$F$1203*(1+Log!$G$4:$G$1203/30)))=0,"",SUMPRODUCT(MAX((Log!$D$4:$D$1203=$A55)*(Log!$B$4:$B$1203=Q$45)*(Log!$E$4:$E$1203="A")*(Log!$F$4:$F$1203&lt;&gt;"")*(Log!$G$4:$G$1203&lt;&gt;"")*Log!$F$4:$F$1203*(1+Log!$G$4:$G$1203/30)))))</f>
        <v/>
      </c>
      <c r="R55" s="75"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26" t="str">
        <f aca="false">IF(Übungen!$A14="","",Übungen!$A14)</f>
        <v>Waden</v>
      </c>
      <c r="B56" s="74" t="n">
        <f aca="false">IF($A56="","",IF(SUMPRODUCT(MAX((Log!$D$4:$D$1203=$A56)*(Log!$B$4:$B$1203=B$45)*(Log!$E$4:$E$1203="A")*(Log!$F$4:$F$1203&lt;&gt;"")*(Log!$G$4:$G$1203&lt;&gt;"")*Log!$F$4:$F$1203*(1+Log!$G$4:$G$1203/30)))=0,"",SUMPRODUCT(MAX((Log!$D$4:$D$1203=$A56)*(Log!$B$4:$B$1203=B$45)*(Log!$E$4:$E$1203="A")*(Log!$F$4:$F$1203&lt;&gt;"")*(Log!$G$4:$G$1203&lt;&gt;"")*Log!$F$4:$F$1203*(1+Log!$G$4:$G$1203/30)))))</f>
        <v>203</v>
      </c>
      <c r="C56" s="74" t="n">
        <f aca="false">IF($A56="","",IF(SUMPRODUCT(MAX((Log!$D$4:$D$1203=$A56)*(Log!$B$4:$B$1203=C$45)*(Log!$E$4:$E$1203="A")*(Log!$F$4:$F$1203&lt;&gt;"")*(Log!$G$4:$G$1203&lt;&gt;"")*Log!$F$4:$F$1203*(1+Log!$G$4:$G$1203/30)))=0,"",SUMPRODUCT(MAX((Log!$D$4:$D$1203=$A56)*(Log!$B$4:$B$1203=C$45)*(Log!$E$4:$E$1203="A")*(Log!$F$4:$F$1203&lt;&gt;"")*(Log!$G$4:$G$1203&lt;&gt;"")*Log!$F$4:$F$1203*(1+Log!$G$4:$G$1203/30)))))</f>
        <v>210</v>
      </c>
      <c r="D56" s="74" t="str">
        <f aca="false">IF($A56="","",IF(SUMPRODUCT(MAX((Log!$D$4:$D$1203=$A56)*(Log!$B$4:$B$1203=D$45)*(Log!$E$4:$E$1203="A")*(Log!$F$4:$F$1203&lt;&gt;"")*(Log!$G$4:$G$1203&lt;&gt;"")*Log!$F$4:$F$1203*(1+Log!$G$4:$G$1203/30)))=0,"",SUMPRODUCT(MAX((Log!$D$4:$D$1203=$A56)*(Log!$B$4:$B$1203=D$45)*(Log!$E$4:$E$1203="A")*(Log!$F$4:$F$1203&lt;&gt;"")*(Log!$G$4:$G$1203&lt;&gt;"")*Log!$F$4:$F$1203*(1+Log!$G$4:$G$1203/30)))))</f>
        <v/>
      </c>
      <c r="E56" s="74" t="str">
        <f aca="false">IF($A56="","",IF(SUMPRODUCT(MAX((Log!$D$4:$D$1203=$A56)*(Log!$B$4:$B$1203=E$45)*(Log!$E$4:$E$1203="A")*(Log!$F$4:$F$1203&lt;&gt;"")*(Log!$G$4:$G$1203&lt;&gt;"")*Log!$F$4:$F$1203*(1+Log!$G$4:$G$1203/30)))=0,"",SUMPRODUCT(MAX((Log!$D$4:$D$1203=$A56)*(Log!$B$4:$B$1203=E$45)*(Log!$E$4:$E$1203="A")*(Log!$F$4:$F$1203&lt;&gt;"")*(Log!$G$4:$G$1203&lt;&gt;"")*Log!$F$4:$F$1203*(1+Log!$G$4:$G$1203/30)))))</f>
        <v/>
      </c>
      <c r="F56" s="74" t="n">
        <f aca="false">IF($A56="","",IF(SUMPRODUCT(MAX((Log!$D$4:$D$1203=$A56)*(Log!$B$4:$B$1203=F$45)*(Log!$E$4:$E$1203="A")*(Log!$F$4:$F$1203&lt;&gt;"")*(Log!$G$4:$G$1203&lt;&gt;"")*Log!$F$4:$F$1203*(1+Log!$G$4:$G$1203/30)))=0,"",SUMPRODUCT(MAX((Log!$D$4:$D$1203=$A56)*(Log!$B$4:$B$1203=F$45)*(Log!$E$4:$E$1203="A")*(Log!$F$4:$F$1203&lt;&gt;"")*(Log!$G$4:$G$1203&lt;&gt;"")*Log!$F$4:$F$1203*(1+Log!$G$4:$G$1203/30)))))</f>
        <v>189</v>
      </c>
      <c r="G56" s="74" t="str">
        <f aca="false">IF($A56="","",IF(SUMPRODUCT(MAX((Log!$D$4:$D$1203=$A56)*(Log!$B$4:$B$1203=G$45)*(Log!$E$4:$E$1203="A")*(Log!$F$4:$F$1203&lt;&gt;"")*(Log!$G$4:$G$1203&lt;&gt;"")*Log!$F$4:$F$1203*(1+Log!$G$4:$G$1203/30)))=0,"",SUMPRODUCT(MAX((Log!$D$4:$D$1203=$A56)*(Log!$B$4:$B$1203=G$45)*(Log!$E$4:$E$1203="A")*(Log!$F$4:$F$1203&lt;&gt;"")*(Log!$G$4:$G$1203&lt;&gt;"")*Log!$F$4:$F$1203*(1+Log!$G$4:$G$1203/30)))))</f>
        <v/>
      </c>
      <c r="H56" s="74" t="n">
        <f aca="false">IF($A56="","",IF(SUMPRODUCT(MAX((Log!$D$4:$D$1203=$A56)*(Log!$B$4:$B$1203=H$45)*(Log!$E$4:$E$1203="A")*(Log!$F$4:$F$1203&lt;&gt;"")*(Log!$G$4:$G$1203&lt;&gt;"")*Log!$F$4:$F$1203*(1+Log!$G$4:$G$1203/30)))=0,"",SUMPRODUCT(MAX((Log!$D$4:$D$1203=$A56)*(Log!$B$4:$B$1203=H$45)*(Log!$E$4:$E$1203="A")*(Log!$F$4:$F$1203&lt;&gt;"")*(Log!$G$4:$G$1203&lt;&gt;"")*Log!$F$4:$F$1203*(1+Log!$G$4:$G$1203/30)))))</f>
        <v>224</v>
      </c>
      <c r="I56" s="74" t="str">
        <f aca="false">IF($A56="","",IF(SUMPRODUCT(MAX((Log!$D$4:$D$1203=$A56)*(Log!$B$4:$B$1203=I$45)*(Log!$E$4:$E$1203="A")*(Log!$F$4:$F$1203&lt;&gt;"")*(Log!$G$4:$G$1203&lt;&gt;"")*Log!$F$4:$F$1203*(1+Log!$G$4:$G$1203/30)))=0,"",SUMPRODUCT(MAX((Log!$D$4:$D$1203=$A56)*(Log!$B$4:$B$1203=I$45)*(Log!$E$4:$E$1203="A")*(Log!$F$4:$F$1203&lt;&gt;"")*(Log!$G$4:$G$1203&lt;&gt;"")*Log!$F$4:$F$1203*(1+Log!$G$4:$G$1203/30)))))</f>
        <v/>
      </c>
      <c r="J56" s="74" t="str">
        <f aca="false">IF($A56="","",IF(SUMPRODUCT(MAX((Log!$D$4:$D$1203=$A56)*(Log!$B$4:$B$1203=J$45)*(Log!$E$4:$E$1203="A")*(Log!$F$4:$F$1203&lt;&gt;"")*(Log!$G$4:$G$1203&lt;&gt;"")*Log!$F$4:$F$1203*(1+Log!$G$4:$G$1203/30)))=0,"",SUMPRODUCT(MAX((Log!$D$4:$D$1203=$A56)*(Log!$B$4:$B$1203=J$45)*(Log!$E$4:$E$1203="A")*(Log!$F$4:$F$1203&lt;&gt;"")*(Log!$G$4:$G$1203&lt;&gt;"")*Log!$F$4:$F$1203*(1+Log!$G$4:$G$1203/30)))))</f>
        <v/>
      </c>
      <c r="K56" s="74" t="str">
        <f aca="false">IF($A56="","",IF(SUMPRODUCT(MAX((Log!$D$4:$D$1203=$A56)*(Log!$B$4:$B$1203=K$45)*(Log!$E$4:$E$1203="A")*(Log!$F$4:$F$1203&lt;&gt;"")*(Log!$G$4:$G$1203&lt;&gt;"")*Log!$F$4:$F$1203*(1+Log!$G$4:$G$1203/30)))=0,"",SUMPRODUCT(MAX((Log!$D$4:$D$1203=$A56)*(Log!$B$4:$B$1203=K$45)*(Log!$E$4:$E$1203="A")*(Log!$F$4:$F$1203&lt;&gt;"")*(Log!$G$4:$G$1203&lt;&gt;"")*Log!$F$4:$F$1203*(1+Log!$G$4:$G$1203/30)))))</f>
        <v/>
      </c>
      <c r="L56" s="74" t="str">
        <f aca="false">IF($A56="","",IF(SUMPRODUCT(MAX((Log!$D$4:$D$1203=$A56)*(Log!$B$4:$B$1203=L$45)*(Log!$E$4:$E$1203="A")*(Log!$F$4:$F$1203&lt;&gt;"")*(Log!$G$4:$G$1203&lt;&gt;"")*Log!$F$4:$F$1203*(1+Log!$G$4:$G$1203/30)))=0,"",SUMPRODUCT(MAX((Log!$D$4:$D$1203=$A56)*(Log!$B$4:$B$1203=L$45)*(Log!$E$4:$E$1203="A")*(Log!$F$4:$F$1203&lt;&gt;"")*(Log!$G$4:$G$1203&lt;&gt;"")*Log!$F$4:$F$1203*(1+Log!$G$4:$G$1203/30)))))</f>
        <v/>
      </c>
      <c r="M56" s="74" t="str">
        <f aca="false">IF($A56="","",IF(SUMPRODUCT(MAX((Log!$D$4:$D$1203=$A56)*(Log!$B$4:$B$1203=M$45)*(Log!$E$4:$E$1203="A")*(Log!$F$4:$F$1203&lt;&gt;"")*(Log!$G$4:$G$1203&lt;&gt;"")*Log!$F$4:$F$1203*(1+Log!$G$4:$G$1203/30)))=0,"",SUMPRODUCT(MAX((Log!$D$4:$D$1203=$A56)*(Log!$B$4:$B$1203=M$45)*(Log!$E$4:$E$1203="A")*(Log!$F$4:$F$1203&lt;&gt;"")*(Log!$G$4:$G$1203&lt;&gt;"")*Log!$F$4:$F$1203*(1+Log!$G$4:$G$1203/30)))))</f>
        <v/>
      </c>
      <c r="N56" s="74" t="str">
        <f aca="false">IF($A56="","",IF(SUMPRODUCT(MAX((Log!$D$4:$D$1203=$A56)*(Log!$B$4:$B$1203=N$45)*(Log!$E$4:$E$1203="A")*(Log!$F$4:$F$1203&lt;&gt;"")*(Log!$G$4:$G$1203&lt;&gt;"")*Log!$F$4:$F$1203*(1+Log!$G$4:$G$1203/30)))=0,"",SUMPRODUCT(MAX((Log!$D$4:$D$1203=$A56)*(Log!$B$4:$B$1203=N$45)*(Log!$E$4:$E$1203="A")*(Log!$F$4:$F$1203&lt;&gt;"")*(Log!$G$4:$G$1203&lt;&gt;"")*Log!$F$4:$F$1203*(1+Log!$G$4:$G$1203/30)))))</f>
        <v/>
      </c>
      <c r="O56" s="74" t="str">
        <f aca="false">IF($A56="","",IF(SUMPRODUCT(MAX((Log!$D$4:$D$1203=$A56)*(Log!$B$4:$B$1203=O$45)*(Log!$E$4:$E$1203="A")*(Log!$F$4:$F$1203&lt;&gt;"")*(Log!$G$4:$G$1203&lt;&gt;"")*Log!$F$4:$F$1203*(1+Log!$G$4:$G$1203/30)))=0,"",SUMPRODUCT(MAX((Log!$D$4:$D$1203=$A56)*(Log!$B$4:$B$1203=O$45)*(Log!$E$4:$E$1203="A")*(Log!$F$4:$F$1203&lt;&gt;"")*(Log!$G$4:$G$1203&lt;&gt;"")*Log!$F$4:$F$1203*(1+Log!$G$4:$G$1203/30)))))</f>
        <v/>
      </c>
      <c r="P56" s="74" t="str">
        <f aca="false">IF($A56="","",IF(SUMPRODUCT(MAX((Log!$D$4:$D$1203=$A56)*(Log!$B$4:$B$1203=P$45)*(Log!$E$4:$E$1203="A")*(Log!$F$4:$F$1203&lt;&gt;"")*(Log!$G$4:$G$1203&lt;&gt;"")*Log!$F$4:$F$1203*(1+Log!$G$4:$G$1203/30)))=0,"",SUMPRODUCT(MAX((Log!$D$4:$D$1203=$A56)*(Log!$B$4:$B$1203=P$45)*(Log!$E$4:$E$1203="A")*(Log!$F$4:$F$1203&lt;&gt;"")*(Log!$G$4:$G$1203&lt;&gt;"")*Log!$F$4:$F$1203*(1+Log!$G$4:$G$1203/30)))))</f>
        <v/>
      </c>
      <c r="Q56" s="74" t="str">
        <f aca="false">IF($A56="","",IF(SUMPRODUCT(MAX((Log!$D$4:$D$1203=$A56)*(Log!$B$4:$B$1203=Q$45)*(Log!$E$4:$E$1203="A")*(Log!$F$4:$F$1203&lt;&gt;"")*(Log!$G$4:$G$1203&lt;&gt;"")*Log!$F$4:$F$1203*(1+Log!$G$4:$G$1203/30)))=0,"",SUMPRODUCT(MAX((Log!$D$4:$D$1203=$A56)*(Log!$B$4:$B$1203=Q$45)*(Log!$E$4:$E$1203="A")*(Log!$F$4:$F$1203&lt;&gt;"")*(Log!$G$4:$G$1203&lt;&gt;"")*Log!$F$4:$F$1203*(1+Log!$G$4:$G$1203/30)))))</f>
        <v/>
      </c>
      <c r="R56" s="75"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2" t="str">
        <f aca="false">IF(Übungen!$A15="","",Übungen!$A15)</f>
        <v>Lunges</v>
      </c>
      <c r="B57" s="76" t="str">
        <f aca="false">IF($A57="","",IF(SUMPRODUCT(MAX((Log!$D$4:$D$1203=$A57)*(Log!$B$4:$B$1203=B$45)*(Log!$E$4:$E$1203="A")*(Log!$F$4:$F$1203&lt;&gt;"")*(Log!$G$4:$G$1203&lt;&gt;"")*Log!$F$4:$F$1203*(1+Log!$G$4:$G$1203/30)))=0,"",SUMPRODUCT(MAX((Log!$D$4:$D$1203=$A57)*(Log!$B$4:$B$1203=B$45)*(Log!$E$4:$E$1203="A")*(Log!$F$4:$F$1203&lt;&gt;"")*(Log!$G$4:$G$1203&lt;&gt;"")*Log!$F$4:$F$1203*(1+Log!$G$4:$G$1203/30)))))</f>
        <v/>
      </c>
      <c r="C57" s="76" t="str">
        <f aca="false">IF($A57="","",IF(SUMPRODUCT(MAX((Log!$D$4:$D$1203=$A57)*(Log!$B$4:$B$1203=C$45)*(Log!$E$4:$E$1203="A")*(Log!$F$4:$F$1203&lt;&gt;"")*(Log!$G$4:$G$1203&lt;&gt;"")*Log!$F$4:$F$1203*(1+Log!$G$4:$G$1203/30)))=0,"",SUMPRODUCT(MAX((Log!$D$4:$D$1203=$A57)*(Log!$B$4:$B$1203=C$45)*(Log!$E$4:$E$1203="A")*(Log!$F$4:$F$1203&lt;&gt;"")*(Log!$G$4:$G$1203&lt;&gt;"")*Log!$F$4:$F$1203*(1+Log!$G$4:$G$1203/30)))))</f>
        <v/>
      </c>
      <c r="D57" s="76" t="str">
        <f aca="false">IF($A57="","",IF(SUMPRODUCT(MAX((Log!$D$4:$D$1203=$A57)*(Log!$B$4:$B$1203=D$45)*(Log!$E$4:$E$1203="A")*(Log!$F$4:$F$1203&lt;&gt;"")*(Log!$G$4:$G$1203&lt;&gt;"")*Log!$F$4:$F$1203*(1+Log!$G$4:$G$1203/30)))=0,"",SUMPRODUCT(MAX((Log!$D$4:$D$1203=$A57)*(Log!$B$4:$B$1203=D$45)*(Log!$E$4:$E$1203="A")*(Log!$F$4:$F$1203&lt;&gt;"")*(Log!$G$4:$G$1203&lt;&gt;"")*Log!$F$4:$F$1203*(1+Log!$G$4:$G$1203/30)))))</f>
        <v/>
      </c>
      <c r="E57" s="76" t="str">
        <f aca="false">IF($A57="","",IF(SUMPRODUCT(MAX((Log!$D$4:$D$1203=$A57)*(Log!$B$4:$B$1203=E$45)*(Log!$E$4:$E$1203="A")*(Log!$F$4:$F$1203&lt;&gt;"")*(Log!$G$4:$G$1203&lt;&gt;"")*Log!$F$4:$F$1203*(1+Log!$G$4:$G$1203/30)))=0,"",SUMPRODUCT(MAX((Log!$D$4:$D$1203=$A57)*(Log!$B$4:$B$1203=E$45)*(Log!$E$4:$E$1203="A")*(Log!$F$4:$F$1203&lt;&gt;"")*(Log!$G$4:$G$1203&lt;&gt;"")*Log!$F$4:$F$1203*(1+Log!$G$4:$G$1203/30)))))</f>
        <v/>
      </c>
      <c r="F57" s="76" t="str">
        <f aca="false">IF($A57="","",IF(SUMPRODUCT(MAX((Log!$D$4:$D$1203=$A57)*(Log!$B$4:$B$1203=F$45)*(Log!$E$4:$E$1203="A")*(Log!$F$4:$F$1203&lt;&gt;"")*(Log!$G$4:$G$1203&lt;&gt;"")*Log!$F$4:$F$1203*(1+Log!$G$4:$G$1203/30)))=0,"",SUMPRODUCT(MAX((Log!$D$4:$D$1203=$A57)*(Log!$B$4:$B$1203=F$45)*(Log!$E$4:$E$1203="A")*(Log!$F$4:$F$1203&lt;&gt;"")*(Log!$G$4:$G$1203&lt;&gt;"")*Log!$F$4:$F$1203*(1+Log!$G$4:$G$1203/30)))))</f>
        <v/>
      </c>
      <c r="G57" s="76" t="str">
        <f aca="false">IF($A57="","",IF(SUMPRODUCT(MAX((Log!$D$4:$D$1203=$A57)*(Log!$B$4:$B$1203=G$45)*(Log!$E$4:$E$1203="A")*(Log!$F$4:$F$1203&lt;&gt;"")*(Log!$G$4:$G$1203&lt;&gt;"")*Log!$F$4:$F$1203*(1+Log!$G$4:$G$1203/30)))=0,"",SUMPRODUCT(MAX((Log!$D$4:$D$1203=$A57)*(Log!$B$4:$B$1203=G$45)*(Log!$E$4:$E$1203="A")*(Log!$F$4:$F$1203&lt;&gt;"")*(Log!$G$4:$G$1203&lt;&gt;"")*Log!$F$4:$F$1203*(1+Log!$G$4:$G$1203/30)))))</f>
        <v/>
      </c>
      <c r="H57" s="76" t="str">
        <f aca="false">IF($A57="","",IF(SUMPRODUCT(MAX((Log!$D$4:$D$1203=$A57)*(Log!$B$4:$B$1203=H$45)*(Log!$E$4:$E$1203="A")*(Log!$F$4:$F$1203&lt;&gt;"")*(Log!$G$4:$G$1203&lt;&gt;"")*Log!$F$4:$F$1203*(1+Log!$G$4:$G$1203/30)))=0,"",SUMPRODUCT(MAX((Log!$D$4:$D$1203=$A57)*(Log!$B$4:$B$1203=H$45)*(Log!$E$4:$E$1203="A")*(Log!$F$4:$F$1203&lt;&gt;"")*(Log!$G$4:$G$1203&lt;&gt;"")*Log!$F$4:$F$1203*(1+Log!$G$4:$G$1203/30)))))</f>
        <v/>
      </c>
      <c r="I57" s="76" t="str">
        <f aca="false">IF($A57="","",IF(SUMPRODUCT(MAX((Log!$D$4:$D$1203=$A57)*(Log!$B$4:$B$1203=I$45)*(Log!$E$4:$E$1203="A")*(Log!$F$4:$F$1203&lt;&gt;"")*(Log!$G$4:$G$1203&lt;&gt;"")*Log!$F$4:$F$1203*(1+Log!$G$4:$G$1203/30)))=0,"",SUMPRODUCT(MAX((Log!$D$4:$D$1203=$A57)*(Log!$B$4:$B$1203=I$45)*(Log!$E$4:$E$1203="A")*(Log!$F$4:$F$1203&lt;&gt;"")*(Log!$G$4:$G$1203&lt;&gt;"")*Log!$F$4:$F$1203*(1+Log!$G$4:$G$1203/30)))))</f>
        <v/>
      </c>
      <c r="J57" s="76" t="str">
        <f aca="false">IF($A57="","",IF(SUMPRODUCT(MAX((Log!$D$4:$D$1203=$A57)*(Log!$B$4:$B$1203=J$45)*(Log!$E$4:$E$1203="A")*(Log!$F$4:$F$1203&lt;&gt;"")*(Log!$G$4:$G$1203&lt;&gt;"")*Log!$F$4:$F$1203*(1+Log!$G$4:$G$1203/30)))=0,"",SUMPRODUCT(MAX((Log!$D$4:$D$1203=$A57)*(Log!$B$4:$B$1203=J$45)*(Log!$E$4:$E$1203="A")*(Log!$F$4:$F$1203&lt;&gt;"")*(Log!$G$4:$G$1203&lt;&gt;"")*Log!$F$4:$F$1203*(1+Log!$G$4:$G$1203/30)))))</f>
        <v/>
      </c>
      <c r="K57" s="76" t="str">
        <f aca="false">IF($A57="","",IF(SUMPRODUCT(MAX((Log!$D$4:$D$1203=$A57)*(Log!$B$4:$B$1203=K$45)*(Log!$E$4:$E$1203="A")*(Log!$F$4:$F$1203&lt;&gt;"")*(Log!$G$4:$G$1203&lt;&gt;"")*Log!$F$4:$F$1203*(1+Log!$G$4:$G$1203/30)))=0,"",SUMPRODUCT(MAX((Log!$D$4:$D$1203=$A57)*(Log!$B$4:$B$1203=K$45)*(Log!$E$4:$E$1203="A")*(Log!$F$4:$F$1203&lt;&gt;"")*(Log!$G$4:$G$1203&lt;&gt;"")*Log!$F$4:$F$1203*(1+Log!$G$4:$G$1203/30)))))</f>
        <v/>
      </c>
      <c r="L57" s="76" t="str">
        <f aca="false">IF($A57="","",IF(SUMPRODUCT(MAX((Log!$D$4:$D$1203=$A57)*(Log!$B$4:$B$1203=L$45)*(Log!$E$4:$E$1203="A")*(Log!$F$4:$F$1203&lt;&gt;"")*(Log!$G$4:$G$1203&lt;&gt;"")*Log!$F$4:$F$1203*(1+Log!$G$4:$G$1203/30)))=0,"",SUMPRODUCT(MAX((Log!$D$4:$D$1203=$A57)*(Log!$B$4:$B$1203=L$45)*(Log!$E$4:$E$1203="A")*(Log!$F$4:$F$1203&lt;&gt;"")*(Log!$G$4:$G$1203&lt;&gt;"")*Log!$F$4:$F$1203*(1+Log!$G$4:$G$1203/30)))))</f>
        <v/>
      </c>
      <c r="M57" s="76" t="str">
        <f aca="false">IF($A57="","",IF(SUMPRODUCT(MAX((Log!$D$4:$D$1203=$A57)*(Log!$B$4:$B$1203=M$45)*(Log!$E$4:$E$1203="A")*(Log!$F$4:$F$1203&lt;&gt;"")*(Log!$G$4:$G$1203&lt;&gt;"")*Log!$F$4:$F$1203*(1+Log!$G$4:$G$1203/30)))=0,"",SUMPRODUCT(MAX((Log!$D$4:$D$1203=$A57)*(Log!$B$4:$B$1203=M$45)*(Log!$E$4:$E$1203="A")*(Log!$F$4:$F$1203&lt;&gt;"")*(Log!$G$4:$G$1203&lt;&gt;"")*Log!$F$4:$F$1203*(1+Log!$G$4:$G$1203/30)))))</f>
        <v/>
      </c>
      <c r="N57" s="76" t="str">
        <f aca="false">IF($A57="","",IF(SUMPRODUCT(MAX((Log!$D$4:$D$1203=$A57)*(Log!$B$4:$B$1203=N$45)*(Log!$E$4:$E$1203="A")*(Log!$F$4:$F$1203&lt;&gt;"")*(Log!$G$4:$G$1203&lt;&gt;"")*Log!$F$4:$F$1203*(1+Log!$G$4:$G$1203/30)))=0,"",SUMPRODUCT(MAX((Log!$D$4:$D$1203=$A57)*(Log!$B$4:$B$1203=N$45)*(Log!$E$4:$E$1203="A")*(Log!$F$4:$F$1203&lt;&gt;"")*(Log!$G$4:$G$1203&lt;&gt;"")*Log!$F$4:$F$1203*(1+Log!$G$4:$G$1203/30)))))</f>
        <v/>
      </c>
      <c r="O57" s="76" t="str">
        <f aca="false">IF($A57="","",IF(SUMPRODUCT(MAX((Log!$D$4:$D$1203=$A57)*(Log!$B$4:$B$1203=O$45)*(Log!$E$4:$E$1203="A")*(Log!$F$4:$F$1203&lt;&gt;"")*(Log!$G$4:$G$1203&lt;&gt;"")*Log!$F$4:$F$1203*(1+Log!$G$4:$G$1203/30)))=0,"",SUMPRODUCT(MAX((Log!$D$4:$D$1203=$A57)*(Log!$B$4:$B$1203=O$45)*(Log!$E$4:$E$1203="A")*(Log!$F$4:$F$1203&lt;&gt;"")*(Log!$G$4:$G$1203&lt;&gt;"")*Log!$F$4:$F$1203*(1+Log!$G$4:$G$1203/30)))))</f>
        <v/>
      </c>
      <c r="P57" s="76" t="str">
        <f aca="false">IF($A57="","",IF(SUMPRODUCT(MAX((Log!$D$4:$D$1203=$A57)*(Log!$B$4:$B$1203=P$45)*(Log!$E$4:$E$1203="A")*(Log!$F$4:$F$1203&lt;&gt;"")*(Log!$G$4:$G$1203&lt;&gt;"")*Log!$F$4:$F$1203*(1+Log!$G$4:$G$1203/30)))=0,"",SUMPRODUCT(MAX((Log!$D$4:$D$1203=$A57)*(Log!$B$4:$B$1203=P$45)*(Log!$E$4:$E$1203="A")*(Log!$F$4:$F$1203&lt;&gt;"")*(Log!$G$4:$G$1203&lt;&gt;"")*Log!$F$4:$F$1203*(1+Log!$G$4:$G$1203/30)))))</f>
        <v/>
      </c>
      <c r="Q57" s="76" t="str">
        <f aca="false">IF($A57="","",IF(SUMPRODUCT(MAX((Log!$D$4:$D$1203=$A57)*(Log!$B$4:$B$1203=Q$45)*(Log!$E$4:$E$1203="A")*(Log!$F$4:$F$1203&lt;&gt;"")*(Log!$G$4:$G$1203&lt;&gt;"")*Log!$F$4:$F$1203*(1+Log!$G$4:$G$1203/30)))=0,"",SUMPRODUCT(MAX((Log!$D$4:$D$1203=$A57)*(Log!$B$4:$B$1203=Q$45)*(Log!$E$4:$E$1203="A")*(Log!$F$4:$F$1203&lt;&gt;"")*(Log!$G$4:$G$1203&lt;&gt;"")*Log!$F$4:$F$1203*(1+Log!$G$4:$G$1203/30)))))</f>
        <v/>
      </c>
      <c r="R57" s="75"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26" t="str">
        <f aca="false">IF(Übungen!$A16="","",Übungen!$A16)</f>
        <v>Kickback</v>
      </c>
      <c r="B58" s="74" t="n">
        <f aca="false">IF($A58="","",IF(SUMPRODUCT(MAX((Log!$D$4:$D$1203=$A58)*(Log!$B$4:$B$1203=B$45)*(Log!$E$4:$E$1203="A")*(Log!$F$4:$F$1203&lt;&gt;"")*(Log!$G$4:$G$1203&lt;&gt;"")*Log!$F$4:$F$1203*(1+Log!$G$4:$G$1203/30)))=0,"",SUMPRODUCT(MAX((Log!$D$4:$D$1203=$A58)*(Log!$B$4:$B$1203=B$45)*(Log!$E$4:$E$1203="A")*(Log!$F$4:$F$1203&lt;&gt;"")*(Log!$G$4:$G$1203&lt;&gt;"")*Log!$F$4:$F$1203*(1+Log!$G$4:$G$1203/30)))))</f>
        <v>107.8</v>
      </c>
      <c r="C58" s="74" t="n">
        <f aca="false">IF($A58="","",IF(SUMPRODUCT(MAX((Log!$D$4:$D$1203=$A58)*(Log!$B$4:$B$1203=C$45)*(Log!$E$4:$E$1203="A")*(Log!$F$4:$F$1203&lt;&gt;"")*(Log!$G$4:$G$1203&lt;&gt;"")*Log!$F$4:$F$1203*(1+Log!$G$4:$G$1203/30)))=0,"",SUMPRODUCT(MAX((Log!$D$4:$D$1203=$A58)*(Log!$B$4:$B$1203=C$45)*(Log!$E$4:$E$1203="A")*(Log!$F$4:$F$1203&lt;&gt;"")*(Log!$G$4:$G$1203&lt;&gt;"")*Log!$F$4:$F$1203*(1+Log!$G$4:$G$1203/30)))))</f>
        <v>102.666666666667</v>
      </c>
      <c r="D58" s="74" t="n">
        <f aca="false">IF($A58="","",IF(SUMPRODUCT(MAX((Log!$D$4:$D$1203=$A58)*(Log!$B$4:$B$1203=D$45)*(Log!$E$4:$E$1203="A")*(Log!$F$4:$F$1203&lt;&gt;"")*(Log!$G$4:$G$1203&lt;&gt;"")*Log!$F$4:$F$1203*(1+Log!$G$4:$G$1203/30)))=0,"",SUMPRODUCT(MAX((Log!$D$4:$D$1203=$A58)*(Log!$B$4:$B$1203=D$45)*(Log!$E$4:$E$1203="A")*(Log!$F$4:$F$1203&lt;&gt;"")*(Log!$G$4:$G$1203&lt;&gt;"")*Log!$F$4:$F$1203*(1+Log!$G$4:$G$1203/30)))))</f>
        <v>117.6</v>
      </c>
      <c r="E58" s="74" t="n">
        <f aca="false">IF($A58="","",IF(SUMPRODUCT(MAX((Log!$D$4:$D$1203=$A58)*(Log!$B$4:$B$1203=E$45)*(Log!$E$4:$E$1203="A")*(Log!$F$4:$F$1203&lt;&gt;"")*(Log!$G$4:$G$1203&lt;&gt;"")*Log!$F$4:$F$1203*(1+Log!$G$4:$G$1203/30)))=0,"",SUMPRODUCT(MAX((Log!$D$4:$D$1203=$A58)*(Log!$B$4:$B$1203=E$45)*(Log!$E$4:$E$1203="A")*(Log!$F$4:$F$1203&lt;&gt;"")*(Log!$G$4:$G$1203&lt;&gt;"")*Log!$F$4:$F$1203*(1+Log!$G$4:$G$1203/30)))))</f>
        <v>94.5</v>
      </c>
      <c r="F58" s="74" t="str">
        <f aca="false">IF($A58="","",IF(SUMPRODUCT(MAX((Log!$D$4:$D$1203=$A58)*(Log!$B$4:$B$1203=F$45)*(Log!$E$4:$E$1203="A")*(Log!$F$4:$F$1203&lt;&gt;"")*(Log!$G$4:$G$1203&lt;&gt;"")*Log!$F$4:$F$1203*(1+Log!$G$4:$G$1203/30)))=0,"",SUMPRODUCT(MAX((Log!$D$4:$D$1203=$A58)*(Log!$B$4:$B$1203=F$45)*(Log!$E$4:$E$1203="A")*(Log!$F$4:$F$1203&lt;&gt;"")*(Log!$G$4:$G$1203&lt;&gt;"")*Log!$F$4:$F$1203*(1+Log!$G$4:$G$1203/30)))))</f>
        <v/>
      </c>
      <c r="G58" s="74" t="str">
        <f aca="false">IF($A58="","",IF(SUMPRODUCT(MAX((Log!$D$4:$D$1203=$A58)*(Log!$B$4:$B$1203=G$45)*(Log!$E$4:$E$1203="A")*(Log!$F$4:$F$1203&lt;&gt;"")*(Log!$G$4:$G$1203&lt;&gt;"")*Log!$F$4:$F$1203*(1+Log!$G$4:$G$1203/30)))=0,"",SUMPRODUCT(MAX((Log!$D$4:$D$1203=$A58)*(Log!$B$4:$B$1203=G$45)*(Log!$E$4:$E$1203="A")*(Log!$F$4:$F$1203&lt;&gt;"")*(Log!$G$4:$G$1203&lt;&gt;"")*Log!$F$4:$F$1203*(1+Log!$G$4:$G$1203/30)))))</f>
        <v/>
      </c>
      <c r="H58" s="74" t="str">
        <f aca="false">IF($A58="","",IF(SUMPRODUCT(MAX((Log!$D$4:$D$1203=$A58)*(Log!$B$4:$B$1203=H$45)*(Log!$E$4:$E$1203="A")*(Log!$F$4:$F$1203&lt;&gt;"")*(Log!$G$4:$G$1203&lt;&gt;"")*Log!$F$4:$F$1203*(1+Log!$G$4:$G$1203/30)))=0,"",SUMPRODUCT(MAX((Log!$D$4:$D$1203=$A58)*(Log!$B$4:$B$1203=H$45)*(Log!$E$4:$E$1203="A")*(Log!$F$4:$F$1203&lt;&gt;"")*(Log!$G$4:$G$1203&lt;&gt;"")*Log!$F$4:$F$1203*(1+Log!$G$4:$G$1203/30)))))</f>
        <v/>
      </c>
      <c r="I58" s="74" t="str">
        <f aca="false">IF($A58="","",IF(SUMPRODUCT(MAX((Log!$D$4:$D$1203=$A58)*(Log!$B$4:$B$1203=I$45)*(Log!$E$4:$E$1203="A")*(Log!$F$4:$F$1203&lt;&gt;"")*(Log!$G$4:$G$1203&lt;&gt;"")*Log!$F$4:$F$1203*(1+Log!$G$4:$G$1203/30)))=0,"",SUMPRODUCT(MAX((Log!$D$4:$D$1203=$A58)*(Log!$B$4:$B$1203=I$45)*(Log!$E$4:$E$1203="A")*(Log!$F$4:$F$1203&lt;&gt;"")*(Log!$G$4:$G$1203&lt;&gt;"")*Log!$F$4:$F$1203*(1+Log!$G$4:$G$1203/30)))))</f>
        <v/>
      </c>
      <c r="J58" s="74" t="str">
        <f aca="false">IF($A58="","",IF(SUMPRODUCT(MAX((Log!$D$4:$D$1203=$A58)*(Log!$B$4:$B$1203=J$45)*(Log!$E$4:$E$1203="A")*(Log!$F$4:$F$1203&lt;&gt;"")*(Log!$G$4:$G$1203&lt;&gt;"")*Log!$F$4:$F$1203*(1+Log!$G$4:$G$1203/30)))=0,"",SUMPRODUCT(MAX((Log!$D$4:$D$1203=$A58)*(Log!$B$4:$B$1203=J$45)*(Log!$E$4:$E$1203="A")*(Log!$F$4:$F$1203&lt;&gt;"")*(Log!$G$4:$G$1203&lt;&gt;"")*Log!$F$4:$F$1203*(1+Log!$G$4:$G$1203/30)))))</f>
        <v/>
      </c>
      <c r="K58" s="74" t="str">
        <f aca="false">IF($A58="","",IF(SUMPRODUCT(MAX((Log!$D$4:$D$1203=$A58)*(Log!$B$4:$B$1203=K$45)*(Log!$E$4:$E$1203="A")*(Log!$F$4:$F$1203&lt;&gt;"")*(Log!$G$4:$G$1203&lt;&gt;"")*Log!$F$4:$F$1203*(1+Log!$G$4:$G$1203/30)))=0,"",SUMPRODUCT(MAX((Log!$D$4:$D$1203=$A58)*(Log!$B$4:$B$1203=K$45)*(Log!$E$4:$E$1203="A")*(Log!$F$4:$F$1203&lt;&gt;"")*(Log!$G$4:$G$1203&lt;&gt;"")*Log!$F$4:$F$1203*(1+Log!$G$4:$G$1203/30)))))</f>
        <v/>
      </c>
      <c r="L58" s="74" t="str">
        <f aca="false">IF($A58="","",IF(SUMPRODUCT(MAX((Log!$D$4:$D$1203=$A58)*(Log!$B$4:$B$1203=L$45)*(Log!$E$4:$E$1203="A")*(Log!$F$4:$F$1203&lt;&gt;"")*(Log!$G$4:$G$1203&lt;&gt;"")*Log!$F$4:$F$1203*(1+Log!$G$4:$G$1203/30)))=0,"",SUMPRODUCT(MAX((Log!$D$4:$D$1203=$A58)*(Log!$B$4:$B$1203=L$45)*(Log!$E$4:$E$1203="A")*(Log!$F$4:$F$1203&lt;&gt;"")*(Log!$G$4:$G$1203&lt;&gt;"")*Log!$F$4:$F$1203*(1+Log!$G$4:$G$1203/30)))))</f>
        <v/>
      </c>
      <c r="M58" s="74" t="str">
        <f aca="false">IF($A58="","",IF(SUMPRODUCT(MAX((Log!$D$4:$D$1203=$A58)*(Log!$B$4:$B$1203=M$45)*(Log!$E$4:$E$1203="A")*(Log!$F$4:$F$1203&lt;&gt;"")*(Log!$G$4:$G$1203&lt;&gt;"")*Log!$F$4:$F$1203*(1+Log!$G$4:$G$1203/30)))=0,"",SUMPRODUCT(MAX((Log!$D$4:$D$1203=$A58)*(Log!$B$4:$B$1203=M$45)*(Log!$E$4:$E$1203="A")*(Log!$F$4:$F$1203&lt;&gt;"")*(Log!$G$4:$G$1203&lt;&gt;"")*Log!$F$4:$F$1203*(1+Log!$G$4:$G$1203/30)))))</f>
        <v/>
      </c>
      <c r="N58" s="74" t="str">
        <f aca="false">IF($A58="","",IF(SUMPRODUCT(MAX((Log!$D$4:$D$1203=$A58)*(Log!$B$4:$B$1203=N$45)*(Log!$E$4:$E$1203="A")*(Log!$F$4:$F$1203&lt;&gt;"")*(Log!$G$4:$G$1203&lt;&gt;"")*Log!$F$4:$F$1203*(1+Log!$G$4:$G$1203/30)))=0,"",SUMPRODUCT(MAX((Log!$D$4:$D$1203=$A58)*(Log!$B$4:$B$1203=N$45)*(Log!$E$4:$E$1203="A")*(Log!$F$4:$F$1203&lt;&gt;"")*(Log!$G$4:$G$1203&lt;&gt;"")*Log!$F$4:$F$1203*(1+Log!$G$4:$G$1203/30)))))</f>
        <v/>
      </c>
      <c r="O58" s="74" t="str">
        <f aca="false">IF($A58="","",IF(SUMPRODUCT(MAX((Log!$D$4:$D$1203=$A58)*(Log!$B$4:$B$1203=O$45)*(Log!$E$4:$E$1203="A")*(Log!$F$4:$F$1203&lt;&gt;"")*(Log!$G$4:$G$1203&lt;&gt;"")*Log!$F$4:$F$1203*(1+Log!$G$4:$G$1203/30)))=0,"",SUMPRODUCT(MAX((Log!$D$4:$D$1203=$A58)*(Log!$B$4:$B$1203=O$45)*(Log!$E$4:$E$1203="A")*(Log!$F$4:$F$1203&lt;&gt;"")*(Log!$G$4:$G$1203&lt;&gt;"")*Log!$F$4:$F$1203*(1+Log!$G$4:$G$1203/30)))))</f>
        <v/>
      </c>
      <c r="P58" s="74" t="str">
        <f aca="false">IF($A58="","",IF(SUMPRODUCT(MAX((Log!$D$4:$D$1203=$A58)*(Log!$B$4:$B$1203=P$45)*(Log!$E$4:$E$1203="A")*(Log!$F$4:$F$1203&lt;&gt;"")*(Log!$G$4:$G$1203&lt;&gt;"")*Log!$F$4:$F$1203*(1+Log!$G$4:$G$1203/30)))=0,"",SUMPRODUCT(MAX((Log!$D$4:$D$1203=$A58)*(Log!$B$4:$B$1203=P$45)*(Log!$E$4:$E$1203="A")*(Log!$F$4:$F$1203&lt;&gt;"")*(Log!$G$4:$G$1203&lt;&gt;"")*Log!$F$4:$F$1203*(1+Log!$G$4:$G$1203/30)))))</f>
        <v/>
      </c>
      <c r="Q58" s="74" t="str">
        <f aca="false">IF($A58="","",IF(SUMPRODUCT(MAX((Log!$D$4:$D$1203=$A58)*(Log!$B$4:$B$1203=Q$45)*(Log!$E$4:$E$1203="A")*(Log!$F$4:$F$1203&lt;&gt;"")*(Log!$G$4:$G$1203&lt;&gt;"")*Log!$F$4:$F$1203*(1+Log!$G$4:$G$1203/30)))=0,"",SUMPRODUCT(MAX((Log!$D$4:$D$1203=$A58)*(Log!$B$4:$B$1203=Q$45)*(Log!$E$4:$E$1203="A")*(Log!$F$4:$F$1203&lt;&gt;"")*(Log!$G$4:$G$1203&lt;&gt;"")*Log!$F$4:$F$1203*(1+Log!$G$4:$G$1203/30)))))</f>
        <v/>
      </c>
      <c r="R58" s="75"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2" t="str">
        <f aca="false">IF(Übungen!$A17="","",Übungen!$A17)</f>
        <v/>
      </c>
      <c r="B59" s="76" t="str">
        <f aca="false">IF($A59="","",IF(SUMPRODUCT(MAX((Log!$D$4:$D$1203=$A59)*(Log!$B$4:$B$1203=B$45)*(Log!$E$4:$E$1203="A")*(Log!$F$4:$F$1203&lt;&gt;"")*(Log!$G$4:$G$1203&lt;&gt;"")*Log!$F$4:$F$1203*(1+Log!$G$4:$G$1203/30)))=0,"",SUMPRODUCT(MAX((Log!$D$4:$D$1203=$A59)*(Log!$B$4:$B$1203=B$45)*(Log!$E$4:$E$1203="A")*(Log!$F$4:$F$1203&lt;&gt;"")*(Log!$G$4:$G$1203&lt;&gt;"")*Log!$F$4:$F$1203*(1+Log!$G$4:$G$1203/30)))))</f>
        <v/>
      </c>
      <c r="C59" s="76" t="str">
        <f aca="false">IF($A59="","",IF(SUMPRODUCT(MAX((Log!$D$4:$D$1203=$A59)*(Log!$B$4:$B$1203=C$45)*(Log!$E$4:$E$1203="A")*(Log!$F$4:$F$1203&lt;&gt;"")*(Log!$G$4:$G$1203&lt;&gt;"")*Log!$F$4:$F$1203*(1+Log!$G$4:$G$1203/30)))=0,"",SUMPRODUCT(MAX((Log!$D$4:$D$1203=$A59)*(Log!$B$4:$B$1203=C$45)*(Log!$E$4:$E$1203="A")*(Log!$F$4:$F$1203&lt;&gt;"")*(Log!$G$4:$G$1203&lt;&gt;"")*Log!$F$4:$F$1203*(1+Log!$G$4:$G$1203/30)))))</f>
        <v/>
      </c>
      <c r="D59" s="76" t="str">
        <f aca="false">IF($A59="","",IF(SUMPRODUCT(MAX((Log!$D$4:$D$1203=$A59)*(Log!$B$4:$B$1203=D$45)*(Log!$E$4:$E$1203="A")*(Log!$F$4:$F$1203&lt;&gt;"")*(Log!$G$4:$G$1203&lt;&gt;"")*Log!$F$4:$F$1203*(1+Log!$G$4:$G$1203/30)))=0,"",SUMPRODUCT(MAX((Log!$D$4:$D$1203=$A59)*(Log!$B$4:$B$1203=D$45)*(Log!$E$4:$E$1203="A")*(Log!$F$4:$F$1203&lt;&gt;"")*(Log!$G$4:$G$1203&lt;&gt;"")*Log!$F$4:$F$1203*(1+Log!$G$4:$G$1203/30)))))</f>
        <v/>
      </c>
      <c r="E59" s="76" t="str">
        <f aca="false">IF($A59="","",IF(SUMPRODUCT(MAX((Log!$D$4:$D$1203=$A59)*(Log!$B$4:$B$1203=E$45)*(Log!$E$4:$E$1203="A")*(Log!$F$4:$F$1203&lt;&gt;"")*(Log!$G$4:$G$1203&lt;&gt;"")*Log!$F$4:$F$1203*(1+Log!$G$4:$G$1203/30)))=0,"",SUMPRODUCT(MAX((Log!$D$4:$D$1203=$A59)*(Log!$B$4:$B$1203=E$45)*(Log!$E$4:$E$1203="A")*(Log!$F$4:$F$1203&lt;&gt;"")*(Log!$G$4:$G$1203&lt;&gt;"")*Log!$F$4:$F$1203*(1+Log!$G$4:$G$1203/30)))))</f>
        <v/>
      </c>
      <c r="F59" s="76" t="str">
        <f aca="false">IF($A59="","",IF(SUMPRODUCT(MAX((Log!$D$4:$D$1203=$A59)*(Log!$B$4:$B$1203=F$45)*(Log!$E$4:$E$1203="A")*(Log!$F$4:$F$1203&lt;&gt;"")*(Log!$G$4:$G$1203&lt;&gt;"")*Log!$F$4:$F$1203*(1+Log!$G$4:$G$1203/30)))=0,"",SUMPRODUCT(MAX((Log!$D$4:$D$1203=$A59)*(Log!$B$4:$B$1203=F$45)*(Log!$E$4:$E$1203="A")*(Log!$F$4:$F$1203&lt;&gt;"")*(Log!$G$4:$G$1203&lt;&gt;"")*Log!$F$4:$F$1203*(1+Log!$G$4:$G$1203/30)))))</f>
        <v/>
      </c>
      <c r="G59" s="76" t="str">
        <f aca="false">IF($A59="","",IF(SUMPRODUCT(MAX((Log!$D$4:$D$1203=$A59)*(Log!$B$4:$B$1203=G$45)*(Log!$E$4:$E$1203="A")*(Log!$F$4:$F$1203&lt;&gt;"")*(Log!$G$4:$G$1203&lt;&gt;"")*Log!$F$4:$F$1203*(1+Log!$G$4:$G$1203/30)))=0,"",SUMPRODUCT(MAX((Log!$D$4:$D$1203=$A59)*(Log!$B$4:$B$1203=G$45)*(Log!$E$4:$E$1203="A")*(Log!$F$4:$F$1203&lt;&gt;"")*(Log!$G$4:$G$1203&lt;&gt;"")*Log!$F$4:$F$1203*(1+Log!$G$4:$G$1203/30)))))</f>
        <v/>
      </c>
      <c r="H59" s="76" t="str">
        <f aca="false">IF($A59="","",IF(SUMPRODUCT(MAX((Log!$D$4:$D$1203=$A59)*(Log!$B$4:$B$1203=H$45)*(Log!$E$4:$E$1203="A")*(Log!$F$4:$F$1203&lt;&gt;"")*(Log!$G$4:$G$1203&lt;&gt;"")*Log!$F$4:$F$1203*(1+Log!$G$4:$G$1203/30)))=0,"",SUMPRODUCT(MAX((Log!$D$4:$D$1203=$A59)*(Log!$B$4:$B$1203=H$45)*(Log!$E$4:$E$1203="A")*(Log!$F$4:$F$1203&lt;&gt;"")*(Log!$G$4:$G$1203&lt;&gt;"")*Log!$F$4:$F$1203*(1+Log!$G$4:$G$1203/30)))))</f>
        <v/>
      </c>
      <c r="I59" s="76" t="str">
        <f aca="false">IF($A59="","",IF(SUMPRODUCT(MAX((Log!$D$4:$D$1203=$A59)*(Log!$B$4:$B$1203=I$45)*(Log!$E$4:$E$1203="A")*(Log!$F$4:$F$1203&lt;&gt;"")*(Log!$G$4:$G$1203&lt;&gt;"")*Log!$F$4:$F$1203*(1+Log!$G$4:$G$1203/30)))=0,"",SUMPRODUCT(MAX((Log!$D$4:$D$1203=$A59)*(Log!$B$4:$B$1203=I$45)*(Log!$E$4:$E$1203="A")*(Log!$F$4:$F$1203&lt;&gt;"")*(Log!$G$4:$G$1203&lt;&gt;"")*Log!$F$4:$F$1203*(1+Log!$G$4:$G$1203/30)))))</f>
        <v/>
      </c>
      <c r="J59" s="76" t="str">
        <f aca="false">IF($A59="","",IF(SUMPRODUCT(MAX((Log!$D$4:$D$1203=$A59)*(Log!$B$4:$B$1203=J$45)*(Log!$E$4:$E$1203="A")*(Log!$F$4:$F$1203&lt;&gt;"")*(Log!$G$4:$G$1203&lt;&gt;"")*Log!$F$4:$F$1203*(1+Log!$G$4:$G$1203/30)))=0,"",SUMPRODUCT(MAX((Log!$D$4:$D$1203=$A59)*(Log!$B$4:$B$1203=J$45)*(Log!$E$4:$E$1203="A")*(Log!$F$4:$F$1203&lt;&gt;"")*(Log!$G$4:$G$1203&lt;&gt;"")*Log!$F$4:$F$1203*(1+Log!$G$4:$G$1203/30)))))</f>
        <v/>
      </c>
      <c r="K59" s="76" t="str">
        <f aca="false">IF($A59="","",IF(SUMPRODUCT(MAX((Log!$D$4:$D$1203=$A59)*(Log!$B$4:$B$1203=K$45)*(Log!$E$4:$E$1203="A")*(Log!$F$4:$F$1203&lt;&gt;"")*(Log!$G$4:$G$1203&lt;&gt;"")*Log!$F$4:$F$1203*(1+Log!$G$4:$G$1203/30)))=0,"",SUMPRODUCT(MAX((Log!$D$4:$D$1203=$A59)*(Log!$B$4:$B$1203=K$45)*(Log!$E$4:$E$1203="A")*(Log!$F$4:$F$1203&lt;&gt;"")*(Log!$G$4:$G$1203&lt;&gt;"")*Log!$F$4:$F$1203*(1+Log!$G$4:$G$1203/30)))))</f>
        <v/>
      </c>
      <c r="L59" s="76" t="str">
        <f aca="false">IF($A59="","",IF(SUMPRODUCT(MAX((Log!$D$4:$D$1203=$A59)*(Log!$B$4:$B$1203=L$45)*(Log!$E$4:$E$1203="A")*(Log!$F$4:$F$1203&lt;&gt;"")*(Log!$G$4:$G$1203&lt;&gt;"")*Log!$F$4:$F$1203*(1+Log!$G$4:$G$1203/30)))=0,"",SUMPRODUCT(MAX((Log!$D$4:$D$1203=$A59)*(Log!$B$4:$B$1203=L$45)*(Log!$E$4:$E$1203="A")*(Log!$F$4:$F$1203&lt;&gt;"")*(Log!$G$4:$G$1203&lt;&gt;"")*Log!$F$4:$F$1203*(1+Log!$G$4:$G$1203/30)))))</f>
        <v/>
      </c>
      <c r="M59" s="76" t="str">
        <f aca="false">IF($A59="","",IF(SUMPRODUCT(MAX((Log!$D$4:$D$1203=$A59)*(Log!$B$4:$B$1203=M$45)*(Log!$E$4:$E$1203="A")*(Log!$F$4:$F$1203&lt;&gt;"")*(Log!$G$4:$G$1203&lt;&gt;"")*Log!$F$4:$F$1203*(1+Log!$G$4:$G$1203/30)))=0,"",SUMPRODUCT(MAX((Log!$D$4:$D$1203=$A59)*(Log!$B$4:$B$1203=M$45)*(Log!$E$4:$E$1203="A")*(Log!$F$4:$F$1203&lt;&gt;"")*(Log!$G$4:$G$1203&lt;&gt;"")*Log!$F$4:$F$1203*(1+Log!$G$4:$G$1203/30)))))</f>
        <v/>
      </c>
      <c r="N59" s="76" t="str">
        <f aca="false">IF($A59="","",IF(SUMPRODUCT(MAX((Log!$D$4:$D$1203=$A59)*(Log!$B$4:$B$1203=N$45)*(Log!$E$4:$E$1203="A")*(Log!$F$4:$F$1203&lt;&gt;"")*(Log!$G$4:$G$1203&lt;&gt;"")*Log!$F$4:$F$1203*(1+Log!$G$4:$G$1203/30)))=0,"",SUMPRODUCT(MAX((Log!$D$4:$D$1203=$A59)*(Log!$B$4:$B$1203=N$45)*(Log!$E$4:$E$1203="A")*(Log!$F$4:$F$1203&lt;&gt;"")*(Log!$G$4:$G$1203&lt;&gt;"")*Log!$F$4:$F$1203*(1+Log!$G$4:$G$1203/30)))))</f>
        <v/>
      </c>
      <c r="O59" s="76" t="str">
        <f aca="false">IF($A59="","",IF(SUMPRODUCT(MAX((Log!$D$4:$D$1203=$A59)*(Log!$B$4:$B$1203=O$45)*(Log!$E$4:$E$1203="A")*(Log!$F$4:$F$1203&lt;&gt;"")*(Log!$G$4:$G$1203&lt;&gt;"")*Log!$F$4:$F$1203*(1+Log!$G$4:$G$1203/30)))=0,"",SUMPRODUCT(MAX((Log!$D$4:$D$1203=$A59)*(Log!$B$4:$B$1203=O$45)*(Log!$E$4:$E$1203="A")*(Log!$F$4:$F$1203&lt;&gt;"")*(Log!$G$4:$G$1203&lt;&gt;"")*Log!$F$4:$F$1203*(1+Log!$G$4:$G$1203/30)))))</f>
        <v/>
      </c>
      <c r="P59" s="76" t="str">
        <f aca="false">IF($A59="","",IF(SUMPRODUCT(MAX((Log!$D$4:$D$1203=$A59)*(Log!$B$4:$B$1203=P$45)*(Log!$E$4:$E$1203="A")*(Log!$F$4:$F$1203&lt;&gt;"")*(Log!$G$4:$G$1203&lt;&gt;"")*Log!$F$4:$F$1203*(1+Log!$G$4:$G$1203/30)))=0,"",SUMPRODUCT(MAX((Log!$D$4:$D$1203=$A59)*(Log!$B$4:$B$1203=P$45)*(Log!$E$4:$E$1203="A")*(Log!$F$4:$F$1203&lt;&gt;"")*(Log!$G$4:$G$1203&lt;&gt;"")*Log!$F$4:$F$1203*(1+Log!$G$4:$G$1203/30)))))</f>
        <v/>
      </c>
      <c r="Q59" s="76" t="str">
        <f aca="false">IF($A59="","",IF(SUMPRODUCT(MAX((Log!$D$4:$D$1203=$A59)*(Log!$B$4:$B$1203=Q$45)*(Log!$E$4:$E$1203="A")*(Log!$F$4:$F$1203&lt;&gt;"")*(Log!$G$4:$G$1203&lt;&gt;"")*Log!$F$4:$F$1203*(1+Log!$G$4:$G$1203/30)))=0,"",SUMPRODUCT(MAX((Log!$D$4:$D$1203=$A59)*(Log!$B$4:$B$1203=Q$45)*(Log!$E$4:$E$1203="A")*(Log!$F$4:$F$1203&lt;&gt;"")*(Log!$G$4:$G$1203&lt;&gt;"")*Log!$F$4:$F$1203*(1+Log!$G$4:$G$1203/30)))))</f>
        <v/>
      </c>
      <c r="R59" s="75"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26" t="str">
        <f aca="false">IF(Übungen!$A18="","",Übungen!$A18)</f>
        <v/>
      </c>
      <c r="B60" s="74" t="str">
        <f aca="false">IF($A60="","",IF(SUMPRODUCT(MAX((Log!$D$4:$D$1203=$A60)*(Log!$B$4:$B$1203=B$45)*(Log!$E$4:$E$1203="A")*(Log!$F$4:$F$1203&lt;&gt;"")*(Log!$G$4:$G$1203&lt;&gt;"")*Log!$F$4:$F$1203*(1+Log!$G$4:$G$1203/30)))=0,"",SUMPRODUCT(MAX((Log!$D$4:$D$1203=$A60)*(Log!$B$4:$B$1203=B$45)*(Log!$E$4:$E$1203="A")*(Log!$F$4:$F$1203&lt;&gt;"")*(Log!$G$4:$G$1203&lt;&gt;"")*Log!$F$4:$F$1203*(1+Log!$G$4:$G$1203/30)))))</f>
        <v/>
      </c>
      <c r="C60" s="74" t="str">
        <f aca="false">IF($A60="","",IF(SUMPRODUCT(MAX((Log!$D$4:$D$1203=$A60)*(Log!$B$4:$B$1203=C$45)*(Log!$E$4:$E$1203="A")*(Log!$F$4:$F$1203&lt;&gt;"")*(Log!$G$4:$G$1203&lt;&gt;"")*Log!$F$4:$F$1203*(1+Log!$G$4:$G$1203/30)))=0,"",SUMPRODUCT(MAX((Log!$D$4:$D$1203=$A60)*(Log!$B$4:$B$1203=C$45)*(Log!$E$4:$E$1203="A")*(Log!$F$4:$F$1203&lt;&gt;"")*(Log!$G$4:$G$1203&lt;&gt;"")*Log!$F$4:$F$1203*(1+Log!$G$4:$G$1203/30)))))</f>
        <v/>
      </c>
      <c r="D60" s="74" t="str">
        <f aca="false">IF($A60="","",IF(SUMPRODUCT(MAX((Log!$D$4:$D$1203=$A60)*(Log!$B$4:$B$1203=D$45)*(Log!$E$4:$E$1203="A")*(Log!$F$4:$F$1203&lt;&gt;"")*(Log!$G$4:$G$1203&lt;&gt;"")*Log!$F$4:$F$1203*(1+Log!$G$4:$G$1203/30)))=0,"",SUMPRODUCT(MAX((Log!$D$4:$D$1203=$A60)*(Log!$B$4:$B$1203=D$45)*(Log!$E$4:$E$1203="A")*(Log!$F$4:$F$1203&lt;&gt;"")*(Log!$G$4:$G$1203&lt;&gt;"")*Log!$F$4:$F$1203*(1+Log!$G$4:$G$1203/30)))))</f>
        <v/>
      </c>
      <c r="E60" s="74" t="str">
        <f aca="false">IF($A60="","",IF(SUMPRODUCT(MAX((Log!$D$4:$D$1203=$A60)*(Log!$B$4:$B$1203=E$45)*(Log!$E$4:$E$1203="A")*(Log!$F$4:$F$1203&lt;&gt;"")*(Log!$G$4:$G$1203&lt;&gt;"")*Log!$F$4:$F$1203*(1+Log!$G$4:$G$1203/30)))=0,"",SUMPRODUCT(MAX((Log!$D$4:$D$1203=$A60)*(Log!$B$4:$B$1203=E$45)*(Log!$E$4:$E$1203="A")*(Log!$F$4:$F$1203&lt;&gt;"")*(Log!$G$4:$G$1203&lt;&gt;"")*Log!$F$4:$F$1203*(1+Log!$G$4:$G$1203/30)))))</f>
        <v/>
      </c>
      <c r="F60" s="74" t="str">
        <f aca="false">IF($A60="","",IF(SUMPRODUCT(MAX((Log!$D$4:$D$1203=$A60)*(Log!$B$4:$B$1203=F$45)*(Log!$E$4:$E$1203="A")*(Log!$F$4:$F$1203&lt;&gt;"")*(Log!$G$4:$G$1203&lt;&gt;"")*Log!$F$4:$F$1203*(1+Log!$G$4:$G$1203/30)))=0,"",SUMPRODUCT(MAX((Log!$D$4:$D$1203=$A60)*(Log!$B$4:$B$1203=F$45)*(Log!$E$4:$E$1203="A")*(Log!$F$4:$F$1203&lt;&gt;"")*(Log!$G$4:$G$1203&lt;&gt;"")*Log!$F$4:$F$1203*(1+Log!$G$4:$G$1203/30)))))</f>
        <v/>
      </c>
      <c r="G60" s="74" t="str">
        <f aca="false">IF($A60="","",IF(SUMPRODUCT(MAX((Log!$D$4:$D$1203=$A60)*(Log!$B$4:$B$1203=G$45)*(Log!$E$4:$E$1203="A")*(Log!$F$4:$F$1203&lt;&gt;"")*(Log!$G$4:$G$1203&lt;&gt;"")*Log!$F$4:$F$1203*(1+Log!$G$4:$G$1203/30)))=0,"",SUMPRODUCT(MAX((Log!$D$4:$D$1203=$A60)*(Log!$B$4:$B$1203=G$45)*(Log!$E$4:$E$1203="A")*(Log!$F$4:$F$1203&lt;&gt;"")*(Log!$G$4:$G$1203&lt;&gt;"")*Log!$F$4:$F$1203*(1+Log!$G$4:$G$1203/30)))))</f>
        <v/>
      </c>
      <c r="H60" s="74" t="str">
        <f aca="false">IF($A60="","",IF(SUMPRODUCT(MAX((Log!$D$4:$D$1203=$A60)*(Log!$B$4:$B$1203=H$45)*(Log!$E$4:$E$1203="A")*(Log!$F$4:$F$1203&lt;&gt;"")*(Log!$G$4:$G$1203&lt;&gt;"")*Log!$F$4:$F$1203*(1+Log!$G$4:$G$1203/30)))=0,"",SUMPRODUCT(MAX((Log!$D$4:$D$1203=$A60)*(Log!$B$4:$B$1203=H$45)*(Log!$E$4:$E$1203="A")*(Log!$F$4:$F$1203&lt;&gt;"")*(Log!$G$4:$G$1203&lt;&gt;"")*Log!$F$4:$F$1203*(1+Log!$G$4:$G$1203/30)))))</f>
        <v/>
      </c>
      <c r="I60" s="74" t="str">
        <f aca="false">IF($A60="","",IF(SUMPRODUCT(MAX((Log!$D$4:$D$1203=$A60)*(Log!$B$4:$B$1203=I$45)*(Log!$E$4:$E$1203="A")*(Log!$F$4:$F$1203&lt;&gt;"")*(Log!$G$4:$G$1203&lt;&gt;"")*Log!$F$4:$F$1203*(1+Log!$G$4:$G$1203/30)))=0,"",SUMPRODUCT(MAX((Log!$D$4:$D$1203=$A60)*(Log!$B$4:$B$1203=I$45)*(Log!$E$4:$E$1203="A")*(Log!$F$4:$F$1203&lt;&gt;"")*(Log!$G$4:$G$1203&lt;&gt;"")*Log!$F$4:$F$1203*(1+Log!$G$4:$G$1203/30)))))</f>
        <v/>
      </c>
      <c r="J60" s="74" t="str">
        <f aca="false">IF($A60="","",IF(SUMPRODUCT(MAX((Log!$D$4:$D$1203=$A60)*(Log!$B$4:$B$1203=J$45)*(Log!$E$4:$E$1203="A")*(Log!$F$4:$F$1203&lt;&gt;"")*(Log!$G$4:$G$1203&lt;&gt;"")*Log!$F$4:$F$1203*(1+Log!$G$4:$G$1203/30)))=0,"",SUMPRODUCT(MAX((Log!$D$4:$D$1203=$A60)*(Log!$B$4:$B$1203=J$45)*(Log!$E$4:$E$1203="A")*(Log!$F$4:$F$1203&lt;&gt;"")*(Log!$G$4:$G$1203&lt;&gt;"")*Log!$F$4:$F$1203*(1+Log!$G$4:$G$1203/30)))))</f>
        <v/>
      </c>
      <c r="K60" s="74" t="str">
        <f aca="false">IF($A60="","",IF(SUMPRODUCT(MAX((Log!$D$4:$D$1203=$A60)*(Log!$B$4:$B$1203=K$45)*(Log!$E$4:$E$1203="A")*(Log!$F$4:$F$1203&lt;&gt;"")*(Log!$G$4:$G$1203&lt;&gt;"")*Log!$F$4:$F$1203*(1+Log!$G$4:$G$1203/30)))=0,"",SUMPRODUCT(MAX((Log!$D$4:$D$1203=$A60)*(Log!$B$4:$B$1203=K$45)*(Log!$E$4:$E$1203="A")*(Log!$F$4:$F$1203&lt;&gt;"")*(Log!$G$4:$G$1203&lt;&gt;"")*Log!$F$4:$F$1203*(1+Log!$G$4:$G$1203/30)))))</f>
        <v/>
      </c>
      <c r="L60" s="74" t="str">
        <f aca="false">IF($A60="","",IF(SUMPRODUCT(MAX((Log!$D$4:$D$1203=$A60)*(Log!$B$4:$B$1203=L$45)*(Log!$E$4:$E$1203="A")*(Log!$F$4:$F$1203&lt;&gt;"")*(Log!$G$4:$G$1203&lt;&gt;"")*Log!$F$4:$F$1203*(1+Log!$G$4:$G$1203/30)))=0,"",SUMPRODUCT(MAX((Log!$D$4:$D$1203=$A60)*(Log!$B$4:$B$1203=L$45)*(Log!$E$4:$E$1203="A")*(Log!$F$4:$F$1203&lt;&gt;"")*(Log!$G$4:$G$1203&lt;&gt;"")*Log!$F$4:$F$1203*(1+Log!$G$4:$G$1203/30)))))</f>
        <v/>
      </c>
      <c r="M60" s="74" t="str">
        <f aca="false">IF($A60="","",IF(SUMPRODUCT(MAX((Log!$D$4:$D$1203=$A60)*(Log!$B$4:$B$1203=M$45)*(Log!$E$4:$E$1203="A")*(Log!$F$4:$F$1203&lt;&gt;"")*(Log!$G$4:$G$1203&lt;&gt;"")*Log!$F$4:$F$1203*(1+Log!$G$4:$G$1203/30)))=0,"",SUMPRODUCT(MAX((Log!$D$4:$D$1203=$A60)*(Log!$B$4:$B$1203=M$45)*(Log!$E$4:$E$1203="A")*(Log!$F$4:$F$1203&lt;&gt;"")*(Log!$G$4:$G$1203&lt;&gt;"")*Log!$F$4:$F$1203*(1+Log!$G$4:$G$1203/30)))))</f>
        <v/>
      </c>
      <c r="N60" s="74" t="str">
        <f aca="false">IF($A60="","",IF(SUMPRODUCT(MAX((Log!$D$4:$D$1203=$A60)*(Log!$B$4:$B$1203=N$45)*(Log!$E$4:$E$1203="A")*(Log!$F$4:$F$1203&lt;&gt;"")*(Log!$G$4:$G$1203&lt;&gt;"")*Log!$F$4:$F$1203*(1+Log!$G$4:$G$1203/30)))=0,"",SUMPRODUCT(MAX((Log!$D$4:$D$1203=$A60)*(Log!$B$4:$B$1203=N$45)*(Log!$E$4:$E$1203="A")*(Log!$F$4:$F$1203&lt;&gt;"")*(Log!$G$4:$G$1203&lt;&gt;"")*Log!$F$4:$F$1203*(1+Log!$G$4:$G$1203/30)))))</f>
        <v/>
      </c>
      <c r="O60" s="74" t="str">
        <f aca="false">IF($A60="","",IF(SUMPRODUCT(MAX((Log!$D$4:$D$1203=$A60)*(Log!$B$4:$B$1203=O$45)*(Log!$E$4:$E$1203="A")*(Log!$F$4:$F$1203&lt;&gt;"")*(Log!$G$4:$G$1203&lt;&gt;"")*Log!$F$4:$F$1203*(1+Log!$G$4:$G$1203/30)))=0,"",SUMPRODUCT(MAX((Log!$D$4:$D$1203=$A60)*(Log!$B$4:$B$1203=O$45)*(Log!$E$4:$E$1203="A")*(Log!$F$4:$F$1203&lt;&gt;"")*(Log!$G$4:$G$1203&lt;&gt;"")*Log!$F$4:$F$1203*(1+Log!$G$4:$G$1203/30)))))</f>
        <v/>
      </c>
      <c r="P60" s="74" t="str">
        <f aca="false">IF($A60="","",IF(SUMPRODUCT(MAX((Log!$D$4:$D$1203=$A60)*(Log!$B$4:$B$1203=P$45)*(Log!$E$4:$E$1203="A")*(Log!$F$4:$F$1203&lt;&gt;"")*(Log!$G$4:$G$1203&lt;&gt;"")*Log!$F$4:$F$1203*(1+Log!$G$4:$G$1203/30)))=0,"",SUMPRODUCT(MAX((Log!$D$4:$D$1203=$A60)*(Log!$B$4:$B$1203=P$45)*(Log!$E$4:$E$1203="A")*(Log!$F$4:$F$1203&lt;&gt;"")*(Log!$G$4:$G$1203&lt;&gt;"")*Log!$F$4:$F$1203*(1+Log!$G$4:$G$1203/30)))))</f>
        <v/>
      </c>
      <c r="Q60" s="74" t="str">
        <f aca="false">IF($A60="","",IF(SUMPRODUCT(MAX((Log!$D$4:$D$1203=$A60)*(Log!$B$4:$B$1203=Q$45)*(Log!$E$4:$E$1203="A")*(Log!$F$4:$F$1203&lt;&gt;"")*(Log!$G$4:$G$1203&lt;&gt;"")*Log!$F$4:$F$1203*(1+Log!$G$4:$G$1203/30)))=0,"",SUMPRODUCT(MAX((Log!$D$4:$D$1203=$A60)*(Log!$B$4:$B$1203=Q$45)*(Log!$E$4:$E$1203="A")*(Log!$F$4:$F$1203&lt;&gt;"")*(Log!$G$4:$G$1203&lt;&gt;"")*Log!$F$4:$F$1203*(1+Log!$G$4:$G$1203/30)))))</f>
        <v/>
      </c>
      <c r="R60" s="75"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2" t="str">
        <f aca="false">IF(Übungen!$A19="","",Übungen!$A19)</f>
        <v/>
      </c>
      <c r="B61" s="76" t="str">
        <f aca="false">IF($A61="","",IF(SUMPRODUCT(MAX((Log!$D$4:$D$1203=$A61)*(Log!$B$4:$B$1203=B$45)*(Log!$E$4:$E$1203="A")*(Log!$F$4:$F$1203&lt;&gt;"")*(Log!$G$4:$G$1203&lt;&gt;"")*Log!$F$4:$F$1203*(1+Log!$G$4:$G$1203/30)))=0,"",SUMPRODUCT(MAX((Log!$D$4:$D$1203=$A61)*(Log!$B$4:$B$1203=B$45)*(Log!$E$4:$E$1203="A")*(Log!$F$4:$F$1203&lt;&gt;"")*(Log!$G$4:$G$1203&lt;&gt;"")*Log!$F$4:$F$1203*(1+Log!$G$4:$G$1203/30)))))</f>
        <v/>
      </c>
      <c r="C61" s="76" t="str">
        <f aca="false">IF($A61="","",IF(SUMPRODUCT(MAX((Log!$D$4:$D$1203=$A61)*(Log!$B$4:$B$1203=C$45)*(Log!$E$4:$E$1203="A")*(Log!$F$4:$F$1203&lt;&gt;"")*(Log!$G$4:$G$1203&lt;&gt;"")*Log!$F$4:$F$1203*(1+Log!$G$4:$G$1203/30)))=0,"",SUMPRODUCT(MAX((Log!$D$4:$D$1203=$A61)*(Log!$B$4:$B$1203=C$45)*(Log!$E$4:$E$1203="A")*(Log!$F$4:$F$1203&lt;&gt;"")*(Log!$G$4:$G$1203&lt;&gt;"")*Log!$F$4:$F$1203*(1+Log!$G$4:$G$1203/30)))))</f>
        <v/>
      </c>
      <c r="D61" s="76" t="str">
        <f aca="false">IF($A61="","",IF(SUMPRODUCT(MAX((Log!$D$4:$D$1203=$A61)*(Log!$B$4:$B$1203=D$45)*(Log!$E$4:$E$1203="A")*(Log!$F$4:$F$1203&lt;&gt;"")*(Log!$G$4:$G$1203&lt;&gt;"")*Log!$F$4:$F$1203*(1+Log!$G$4:$G$1203/30)))=0,"",SUMPRODUCT(MAX((Log!$D$4:$D$1203=$A61)*(Log!$B$4:$B$1203=D$45)*(Log!$E$4:$E$1203="A")*(Log!$F$4:$F$1203&lt;&gt;"")*(Log!$G$4:$G$1203&lt;&gt;"")*Log!$F$4:$F$1203*(1+Log!$G$4:$G$1203/30)))))</f>
        <v/>
      </c>
      <c r="E61" s="76" t="str">
        <f aca="false">IF($A61="","",IF(SUMPRODUCT(MAX((Log!$D$4:$D$1203=$A61)*(Log!$B$4:$B$1203=E$45)*(Log!$E$4:$E$1203="A")*(Log!$F$4:$F$1203&lt;&gt;"")*(Log!$G$4:$G$1203&lt;&gt;"")*Log!$F$4:$F$1203*(1+Log!$G$4:$G$1203/30)))=0,"",SUMPRODUCT(MAX((Log!$D$4:$D$1203=$A61)*(Log!$B$4:$B$1203=E$45)*(Log!$E$4:$E$1203="A")*(Log!$F$4:$F$1203&lt;&gt;"")*(Log!$G$4:$G$1203&lt;&gt;"")*Log!$F$4:$F$1203*(1+Log!$G$4:$G$1203/30)))))</f>
        <v/>
      </c>
      <c r="F61" s="76" t="str">
        <f aca="false">IF($A61="","",IF(SUMPRODUCT(MAX((Log!$D$4:$D$1203=$A61)*(Log!$B$4:$B$1203=F$45)*(Log!$E$4:$E$1203="A")*(Log!$F$4:$F$1203&lt;&gt;"")*(Log!$G$4:$G$1203&lt;&gt;"")*Log!$F$4:$F$1203*(1+Log!$G$4:$G$1203/30)))=0,"",SUMPRODUCT(MAX((Log!$D$4:$D$1203=$A61)*(Log!$B$4:$B$1203=F$45)*(Log!$E$4:$E$1203="A")*(Log!$F$4:$F$1203&lt;&gt;"")*(Log!$G$4:$G$1203&lt;&gt;"")*Log!$F$4:$F$1203*(1+Log!$G$4:$G$1203/30)))))</f>
        <v/>
      </c>
      <c r="G61" s="76" t="str">
        <f aca="false">IF($A61="","",IF(SUMPRODUCT(MAX((Log!$D$4:$D$1203=$A61)*(Log!$B$4:$B$1203=G$45)*(Log!$E$4:$E$1203="A")*(Log!$F$4:$F$1203&lt;&gt;"")*(Log!$G$4:$G$1203&lt;&gt;"")*Log!$F$4:$F$1203*(1+Log!$G$4:$G$1203/30)))=0,"",SUMPRODUCT(MAX((Log!$D$4:$D$1203=$A61)*(Log!$B$4:$B$1203=G$45)*(Log!$E$4:$E$1203="A")*(Log!$F$4:$F$1203&lt;&gt;"")*(Log!$G$4:$G$1203&lt;&gt;"")*Log!$F$4:$F$1203*(1+Log!$G$4:$G$1203/30)))))</f>
        <v/>
      </c>
      <c r="H61" s="76" t="str">
        <f aca="false">IF($A61="","",IF(SUMPRODUCT(MAX((Log!$D$4:$D$1203=$A61)*(Log!$B$4:$B$1203=H$45)*(Log!$E$4:$E$1203="A")*(Log!$F$4:$F$1203&lt;&gt;"")*(Log!$G$4:$G$1203&lt;&gt;"")*Log!$F$4:$F$1203*(1+Log!$G$4:$G$1203/30)))=0,"",SUMPRODUCT(MAX((Log!$D$4:$D$1203=$A61)*(Log!$B$4:$B$1203=H$45)*(Log!$E$4:$E$1203="A")*(Log!$F$4:$F$1203&lt;&gt;"")*(Log!$G$4:$G$1203&lt;&gt;"")*Log!$F$4:$F$1203*(1+Log!$G$4:$G$1203/30)))))</f>
        <v/>
      </c>
      <c r="I61" s="76" t="str">
        <f aca="false">IF($A61="","",IF(SUMPRODUCT(MAX((Log!$D$4:$D$1203=$A61)*(Log!$B$4:$B$1203=I$45)*(Log!$E$4:$E$1203="A")*(Log!$F$4:$F$1203&lt;&gt;"")*(Log!$G$4:$G$1203&lt;&gt;"")*Log!$F$4:$F$1203*(1+Log!$G$4:$G$1203/30)))=0,"",SUMPRODUCT(MAX((Log!$D$4:$D$1203=$A61)*(Log!$B$4:$B$1203=I$45)*(Log!$E$4:$E$1203="A")*(Log!$F$4:$F$1203&lt;&gt;"")*(Log!$G$4:$G$1203&lt;&gt;"")*Log!$F$4:$F$1203*(1+Log!$G$4:$G$1203/30)))))</f>
        <v/>
      </c>
      <c r="J61" s="76" t="str">
        <f aca="false">IF($A61="","",IF(SUMPRODUCT(MAX((Log!$D$4:$D$1203=$A61)*(Log!$B$4:$B$1203=J$45)*(Log!$E$4:$E$1203="A")*(Log!$F$4:$F$1203&lt;&gt;"")*(Log!$G$4:$G$1203&lt;&gt;"")*Log!$F$4:$F$1203*(1+Log!$G$4:$G$1203/30)))=0,"",SUMPRODUCT(MAX((Log!$D$4:$D$1203=$A61)*(Log!$B$4:$B$1203=J$45)*(Log!$E$4:$E$1203="A")*(Log!$F$4:$F$1203&lt;&gt;"")*(Log!$G$4:$G$1203&lt;&gt;"")*Log!$F$4:$F$1203*(1+Log!$G$4:$G$1203/30)))))</f>
        <v/>
      </c>
      <c r="K61" s="76" t="str">
        <f aca="false">IF($A61="","",IF(SUMPRODUCT(MAX((Log!$D$4:$D$1203=$A61)*(Log!$B$4:$B$1203=K$45)*(Log!$E$4:$E$1203="A")*(Log!$F$4:$F$1203&lt;&gt;"")*(Log!$G$4:$G$1203&lt;&gt;"")*Log!$F$4:$F$1203*(1+Log!$G$4:$G$1203/30)))=0,"",SUMPRODUCT(MAX((Log!$D$4:$D$1203=$A61)*(Log!$B$4:$B$1203=K$45)*(Log!$E$4:$E$1203="A")*(Log!$F$4:$F$1203&lt;&gt;"")*(Log!$G$4:$G$1203&lt;&gt;"")*Log!$F$4:$F$1203*(1+Log!$G$4:$G$1203/30)))))</f>
        <v/>
      </c>
      <c r="L61" s="76" t="str">
        <f aca="false">IF($A61="","",IF(SUMPRODUCT(MAX((Log!$D$4:$D$1203=$A61)*(Log!$B$4:$B$1203=L$45)*(Log!$E$4:$E$1203="A")*(Log!$F$4:$F$1203&lt;&gt;"")*(Log!$G$4:$G$1203&lt;&gt;"")*Log!$F$4:$F$1203*(1+Log!$G$4:$G$1203/30)))=0,"",SUMPRODUCT(MAX((Log!$D$4:$D$1203=$A61)*(Log!$B$4:$B$1203=L$45)*(Log!$E$4:$E$1203="A")*(Log!$F$4:$F$1203&lt;&gt;"")*(Log!$G$4:$G$1203&lt;&gt;"")*Log!$F$4:$F$1203*(1+Log!$G$4:$G$1203/30)))))</f>
        <v/>
      </c>
      <c r="M61" s="76" t="str">
        <f aca="false">IF($A61="","",IF(SUMPRODUCT(MAX((Log!$D$4:$D$1203=$A61)*(Log!$B$4:$B$1203=M$45)*(Log!$E$4:$E$1203="A")*(Log!$F$4:$F$1203&lt;&gt;"")*(Log!$G$4:$G$1203&lt;&gt;"")*Log!$F$4:$F$1203*(1+Log!$G$4:$G$1203/30)))=0,"",SUMPRODUCT(MAX((Log!$D$4:$D$1203=$A61)*(Log!$B$4:$B$1203=M$45)*(Log!$E$4:$E$1203="A")*(Log!$F$4:$F$1203&lt;&gt;"")*(Log!$G$4:$G$1203&lt;&gt;"")*Log!$F$4:$F$1203*(1+Log!$G$4:$G$1203/30)))))</f>
        <v/>
      </c>
      <c r="N61" s="76" t="str">
        <f aca="false">IF($A61="","",IF(SUMPRODUCT(MAX((Log!$D$4:$D$1203=$A61)*(Log!$B$4:$B$1203=N$45)*(Log!$E$4:$E$1203="A")*(Log!$F$4:$F$1203&lt;&gt;"")*(Log!$G$4:$G$1203&lt;&gt;"")*Log!$F$4:$F$1203*(1+Log!$G$4:$G$1203/30)))=0,"",SUMPRODUCT(MAX((Log!$D$4:$D$1203=$A61)*(Log!$B$4:$B$1203=N$45)*(Log!$E$4:$E$1203="A")*(Log!$F$4:$F$1203&lt;&gt;"")*(Log!$G$4:$G$1203&lt;&gt;"")*Log!$F$4:$F$1203*(1+Log!$G$4:$G$1203/30)))))</f>
        <v/>
      </c>
      <c r="O61" s="76" t="str">
        <f aca="false">IF($A61="","",IF(SUMPRODUCT(MAX((Log!$D$4:$D$1203=$A61)*(Log!$B$4:$B$1203=O$45)*(Log!$E$4:$E$1203="A")*(Log!$F$4:$F$1203&lt;&gt;"")*(Log!$G$4:$G$1203&lt;&gt;"")*Log!$F$4:$F$1203*(1+Log!$G$4:$G$1203/30)))=0,"",SUMPRODUCT(MAX((Log!$D$4:$D$1203=$A61)*(Log!$B$4:$B$1203=O$45)*(Log!$E$4:$E$1203="A")*(Log!$F$4:$F$1203&lt;&gt;"")*(Log!$G$4:$G$1203&lt;&gt;"")*Log!$F$4:$F$1203*(1+Log!$G$4:$G$1203/30)))))</f>
        <v/>
      </c>
      <c r="P61" s="76" t="str">
        <f aca="false">IF($A61="","",IF(SUMPRODUCT(MAX((Log!$D$4:$D$1203=$A61)*(Log!$B$4:$B$1203=P$45)*(Log!$E$4:$E$1203="A")*(Log!$F$4:$F$1203&lt;&gt;"")*(Log!$G$4:$G$1203&lt;&gt;"")*Log!$F$4:$F$1203*(1+Log!$G$4:$G$1203/30)))=0,"",SUMPRODUCT(MAX((Log!$D$4:$D$1203=$A61)*(Log!$B$4:$B$1203=P$45)*(Log!$E$4:$E$1203="A")*(Log!$F$4:$F$1203&lt;&gt;"")*(Log!$G$4:$G$1203&lt;&gt;"")*Log!$F$4:$F$1203*(1+Log!$G$4:$G$1203/30)))))</f>
        <v/>
      </c>
      <c r="Q61" s="76" t="str">
        <f aca="false">IF($A61="","",IF(SUMPRODUCT(MAX((Log!$D$4:$D$1203=$A61)*(Log!$B$4:$B$1203=Q$45)*(Log!$E$4:$E$1203="A")*(Log!$F$4:$F$1203&lt;&gt;"")*(Log!$G$4:$G$1203&lt;&gt;"")*Log!$F$4:$F$1203*(1+Log!$G$4:$G$1203/30)))=0,"",SUMPRODUCT(MAX((Log!$D$4:$D$1203=$A61)*(Log!$B$4:$B$1203=Q$45)*(Log!$E$4:$E$1203="A")*(Log!$F$4:$F$1203&lt;&gt;"")*(Log!$G$4:$G$1203&lt;&gt;"")*Log!$F$4:$F$1203*(1+Log!$G$4:$G$1203/30)))))</f>
        <v/>
      </c>
      <c r="R61" s="75"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325</v>
      </c>
      <c r="B1" s="1"/>
      <c r="C1" s="1"/>
      <c r="D1" s="1"/>
      <c r="E1" s="1"/>
      <c r="F1" s="1"/>
      <c r="G1" s="1"/>
      <c r="H1" s="1"/>
      <c r="I1" s="1"/>
      <c r="J1" s="1"/>
      <c r="K1" s="1"/>
    </row>
    <row r="2" customFormat="false" ht="15" hidden="false" customHeight="true" outlineLevel="0" collapsed="false">
      <c r="A2" s="2" t="s">
        <v>326</v>
      </c>
      <c r="B2" s="2"/>
      <c r="C2" s="2"/>
      <c r="D2" s="2"/>
      <c r="E2" s="2"/>
      <c r="F2" s="2"/>
      <c r="G2" s="2"/>
      <c r="H2" s="2"/>
      <c r="I2" s="2"/>
      <c r="J2" s="2"/>
      <c r="K2" s="2"/>
    </row>
    <row r="3" customFormat="false" ht="33.75" hidden="false" customHeight="true" outlineLevel="0" collapsed="false">
      <c r="A3" s="25" t="s">
        <v>97</v>
      </c>
      <c r="B3" s="25" t="s">
        <v>327</v>
      </c>
      <c r="C3" s="25" t="s">
        <v>328</v>
      </c>
      <c r="D3" s="25" t="s">
        <v>329</v>
      </c>
      <c r="E3" s="25" t="s">
        <v>330</v>
      </c>
      <c r="F3" s="25" t="s">
        <v>331</v>
      </c>
      <c r="G3" s="25" t="s">
        <v>332</v>
      </c>
      <c r="H3" s="25" t="s">
        <v>333</v>
      </c>
      <c r="I3" s="25" t="s">
        <v>334</v>
      </c>
      <c r="J3" s="25" t="s">
        <v>335</v>
      </c>
      <c r="K3" s="25" t="s">
        <v>336</v>
      </c>
      <c r="L3" s="25" t="s">
        <v>337</v>
      </c>
      <c r="M3" s="25" t="s">
        <v>338</v>
      </c>
    </row>
    <row r="4" customFormat="false" ht="25.5" hidden="false" customHeight="true" outlineLevel="0" collapsed="false">
      <c r="A4" s="26" t="str">
        <f aca="false">IF(Übungen!$A4="","",Übungen!$A4)</f>
        <v>Beinpresse eng</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8</v>
      </c>
      <c r="E4" s="71" t="n">
        <f aca="false">IF($D4="","",SUMIFS(Log!$I$4:$I$1203,Log!$D$4:$D$1203,$A4,Log!$B$4:$B$1203,$D4,Log!$E$4:$E$1203,"A"))</f>
        <v>7752</v>
      </c>
      <c r="F4" s="71" t="n">
        <f aca="false">IF(OR($C4="",$E4=""),"",$E4-$C4)</f>
        <v>1986</v>
      </c>
      <c r="G4" s="77" t="n">
        <f aca="false">IF(OR($C4="",$E4="",$C4=0),"",$E4/$C4-1)</f>
        <v>0.344432882414152</v>
      </c>
      <c r="H4" s="74" t="n">
        <f aca="false">IF($D4="","",IF(SUMPRODUCT(MAX((Log!$D$4:$D$1203=$A4)*(Log!$B$4:$B$1203=$D4)*(Log!$E$4:$E$1203="A")*(Log!$F$4:$F$1203&lt;&gt;"")*Log!$F$4:$F$1203))=0,"",SUMPRODUCT(MAX((Log!$D$4:$D$1203=$A4)*(Log!$B$4:$B$1203=$D4)*(Log!$E$4:$E$1203="A")*(Log!$F$4:$F$1203&lt;&gt;"")*Log!$F$4:$F$1203))))</f>
        <v>333</v>
      </c>
      <c r="I4" s="74" t="n">
        <f aca="false">IF($A4="","",IF(SUMPRODUCT(MAX((Log!$D$4:$D$1203=$A4)*(Log!$E$4:$E$1203="A")*(Log!$F$4:$F$1203&lt;&gt;"")*Log!$F$4:$F$1203))=0,"",SUMPRODUCT(MAX((Log!$D$4:$D$1203=$A4)*(Log!$E$4:$E$1203="A")*(Log!$F$4:$F$1203&lt;&gt;"")*Log!$F$4:$F$1203))))</f>
        <v>333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IFERROR(INDEX(Rekorde!$Q$4:$Q$19,MATCH($A4,Rekorde!$A$4:$A$19,0)),"")</f>
        <v>Gewicht +7 kg (2.1%), Wdh zurück auf 5</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8</v>
      </c>
      <c r="E5" s="73" t="n">
        <f aca="false">IF($D5="","",SUMIFS(Log!$I$4:$I$1203,Log!$D$4:$D$1203,$A5,Log!$B$4:$B$1203,$D5,Log!$E$4:$E$1203,"A"))</f>
        <v>2035</v>
      </c>
      <c r="F5" s="73" t="n">
        <f aca="false">IF(OR($C5="",$E5=""),"",$E5-$C5)</f>
        <v>425</v>
      </c>
      <c r="G5" s="80" t="n">
        <f aca="false">IF(OR($C5="",$E5="",$C5=0),"",$E5/$C5-1)</f>
        <v>0.263975155279503</v>
      </c>
      <c r="H5" s="76" t="n">
        <f aca="false">IF($D5="","",IF(SUMPRODUCT(MAX((Log!$D$4:$D$1203=$A5)*(Log!$B$4:$B$1203=$D5)*(Log!$E$4:$E$1203="A")*(Log!$F$4:$F$1203&lt;&gt;"")*Log!$F$4:$F$1203))=0,"",SUMPRODUCT(MAX((Log!$D$4:$D$1203=$A5)*(Log!$B$4:$B$1203=$D5)*(Log!$E$4:$E$1203="A")*(Log!$F$4:$F$1203&lt;&gt;"")*Log!$F$4:$F$1203))))</f>
        <v>115</v>
      </c>
      <c r="I5" s="76" t="n">
        <f aca="false">IF($A5="","",IF(SUMPRODUCT(MAX((Log!$D$4:$D$1203=$A5)*(Log!$E$4:$E$1203="A")*(Log!$F$4:$F$1203&lt;&gt;"")*Log!$F$4:$F$1203))=0,"",SUMPRODUCT(MAX((Log!$D$4:$D$1203=$A5)*(Log!$E$4:$E$1203="A")*(Log!$F$4:$F$1203&lt;&gt;"")*Log!$F$4:$F$1203))))</f>
        <v>115</v>
      </c>
      <c r="J5" s="76" t="n">
        <f aca="false">IF(OR($H5="",$I5=""),"",$H5-$I5)</f>
        <v>0</v>
      </c>
      <c r="K5" s="81" t="str">
        <f aca="false">IF($G5="","",IF($G5&gt;0.05,"steigend",IF($G5&lt;-0.05,"fallend","stabil")))</f>
        <v>steigend</v>
      </c>
      <c r="L5" s="73" t="n">
        <f aca="false">IF($H5="","",SUMPRODUCT((COUNTIFS(Log!$D$4:$D$1203,$A5,Log!$E$4:$E$1203,"A",Log!$F$4:$F$1203,$H5,Log!$B$4:$B$1203,Einheiten!$A$4:$A$63)&gt;0)*1))</f>
        <v>1</v>
      </c>
      <c r="M5" s="82" t="str">
        <f aca="false">IFERROR(INDEX(Rekorde!$Q$4:$Q$19,MATCH($A5,Rekorde!$A$4:$A$19,0)),"")</f>
        <v>Wdh +1 auf 6 bei gleichem Gewicht</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8</v>
      </c>
      <c r="E6" s="71" t="n">
        <f aca="false">IF($D6="","",SUMIFS(Log!$I$4:$I$1203,Log!$D$4:$D$1203,$A6,Log!$B$4:$B$1203,$D6,Log!$E$4:$E$1203,"A"))</f>
        <v>1920</v>
      </c>
      <c r="F6" s="71" t="n">
        <f aca="false">IF(OR($C6="",$E6=""),"",$E6-$C6)</f>
        <v>715</v>
      </c>
      <c r="G6" s="77" t="n">
        <f aca="false">IF(OR($C6="",$E6="",$C6=0),"",$E6/$C6-1)</f>
        <v>0.593360995850622</v>
      </c>
      <c r="H6" s="74" t="n">
        <f aca="false">IF($D6="","",IF(SUMPRODUCT(MAX((Log!$D$4:$D$1203=$A6)*(Log!$B$4:$B$1203=$D6)*(Log!$E$4:$E$1203="A")*(Log!$F$4:$F$1203&lt;&gt;"")*Log!$F$4:$F$1203))=0,"",SUMPRODUCT(MAX((Log!$D$4:$D$1203=$A6)*(Log!$B$4:$B$1203=$D6)*(Log!$E$4:$E$1203="A")*(Log!$F$4:$F$1203&lt;&gt;"")*Log!$F$4:$F$1203))))</f>
        <v>80</v>
      </c>
      <c r="I6" s="74" t="n">
        <f aca="false">IF($A6="","",IF(SUMPRODUCT(MAX((Log!$D$4:$D$1203=$A6)*(Log!$E$4:$E$1203="A")*(Log!$F$4:$F$1203&lt;&gt;"")*Log!$F$4:$F$1203))=0,"",SUMPRODUCT(MAX((Log!$D$4:$D$1203=$A6)*(Log!$E$4:$E$1203="A")*(Log!$F$4:$F$1203&lt;&gt;"")*Log!$F$4:$F$1203))))</f>
        <v>95</v>
      </c>
      <c r="J6" s="74" t="n">
        <f aca="false">IF(OR($H6="",$I6=""),"",$H6-$I6)</f>
        <v>-15</v>
      </c>
      <c r="K6" s="78" t="str">
        <f aca="false">IF($G6="","",IF($G6&gt;0.05,"steigend",IF($G6&lt;-0.05,"fallend","stabil")))</f>
        <v>steigend</v>
      </c>
      <c r="L6" s="71" t="n">
        <f aca="false">IF($H6="","",SUMPRODUCT((COUNTIFS(Log!$D$4:$D$1203,$A6,Log!$E$4:$E$1203,"A",Log!$F$4:$F$1203,$H6,Log!$B$4:$B$1203,Einheiten!$A$4:$A$63)&gt;0)*1))</f>
        <v>4</v>
      </c>
      <c r="M6" s="79" t="str">
        <f aca="false">IFERROR(INDEX(Rekorde!$Q$4:$Q$19,MATCH($A6,Rekorde!$A$4:$A$19,0)),"")</f>
        <v>Gewicht +5 kg (6.3%), Wdh zurück auf 5</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8</v>
      </c>
      <c r="E7" s="73" t="n">
        <f aca="false">IF($D7="","",SUMIFS(Log!$I$4:$I$1203,Log!$D$4:$D$1203,$A7,Log!$B$4:$B$1203,$D7,Log!$E$4:$E$1203,"A"))</f>
        <v>3146.5</v>
      </c>
      <c r="F7" s="73" t="n">
        <f aca="false">IF(OR($C7="",$E7=""),"",$E7-$C7)</f>
        <v>-971</v>
      </c>
      <c r="G7" s="80" t="n">
        <f aca="false">IF(OR($C7="",$E7="",$C7=0),"",$E7/$C7-1)</f>
        <v>-0.235822707953856</v>
      </c>
      <c r="H7" s="76" t="n">
        <f aca="false">IF($D7="","",IF(SUMPRODUCT(MAX((Log!$D$4:$D$1203=$A7)*(Log!$B$4:$B$1203=$D7)*(Log!$E$4:$E$1203="A")*(Log!$F$4:$F$1203&lt;&gt;"")*Log!$F$4:$F$1203))=0,"",SUMPRODUCT(MAX((Log!$D$4:$D$1203=$A7)*(Log!$B$4:$B$1203=$D7)*(Log!$E$4:$E$1203="A")*(Log!$F$4:$F$1203&lt;&gt;"")*Log!$F$4:$F$1203))))</f>
        <v>185</v>
      </c>
      <c r="I7" s="76" t="n">
        <f aca="false">IF($A7="","",IF(SUMPRODUCT(MAX((Log!$D$4:$D$1203=$A7)*(Log!$E$4:$E$1203="A")*(Log!$F$4:$F$1203&lt;&gt;"")*Log!$F$4:$F$1203))=0,"",SUMPRODUCT(MAX((Log!$D$4:$D$1203=$A7)*(Log!$E$4:$E$1203="A")*(Log!$F$4:$F$1203&lt;&gt;"")*Log!$F$4:$F$1203))))</f>
        <v>185</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IFERROR(INDEX(Rekorde!$Q$4:$Q$19,MATCH($A7,Rekorde!$A$4:$A$19,0)),"")</f>
        <v>Wdh +1 auf 6 bei gleichem Gewicht</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7</v>
      </c>
      <c r="E8" s="71" t="n">
        <f aca="false">IF($D8="","",SUMIFS(Log!$I$4:$I$1203,Log!$D$4:$D$1203,$A8,Log!$B$4:$B$1203,$D8,Log!$E$4:$E$1203,"A"))</f>
        <v>2810</v>
      </c>
      <c r="F8" s="71" t="n">
        <f aca="false">IF(OR($C8="",$E8=""),"",$E8-$C8)</f>
        <v>-930</v>
      </c>
      <c r="G8" s="77" t="n">
        <f aca="false">IF(OR($C8="",$E8="",$C8=0),"",$E8/$C8-1)</f>
        <v>-0.248663101604278</v>
      </c>
      <c r="H8" s="74" t="n">
        <f aca="false">IF($D8="","",IF(SUMPRODUCT(MAX((Log!$D$4:$D$1203=$A8)*(Log!$B$4:$B$1203=$D8)*(Log!$E$4:$E$1203="A")*(Log!$F$4:$F$1203&lt;&gt;"")*Log!$F$4:$F$1203))=0,"",SUMPRODUCT(MAX((Log!$D$4:$D$1203=$A8)*(Log!$B$4:$B$1203=$D8)*(Log!$E$4:$E$1203="A")*(Log!$F$4:$F$1203&lt;&gt;"")*Log!$F$4:$F$1203))))</f>
        <v>135</v>
      </c>
      <c r="I8" s="74" t="n">
        <f aca="false">IF($A8="","",IF(SUMPRODUCT(MAX((Log!$D$4:$D$1203=$A8)*(Log!$E$4:$E$1203="A")*(Log!$F$4:$F$1203&lt;&gt;"")*Log!$F$4:$F$1203))=0,"",SUMPRODUCT(MAX((Log!$D$4:$D$1203=$A8)*(Log!$E$4:$E$1203="A")*(Log!$F$4:$F$1203&lt;&gt;"")*Log!$F$4:$F$1203))))</f>
        <v>135</v>
      </c>
      <c r="J8" s="74" t="n">
        <f aca="false">IF(OR($H8="",$I8=""),"",$H8-$I8)</f>
        <v>0</v>
      </c>
      <c r="K8" s="78" t="str">
        <f aca="false">IF($G8="","",IF($G8&gt;0.05,"steigend",IF($G8&lt;-0.05,"fallend","stabil")))</f>
        <v>fallend</v>
      </c>
      <c r="L8" s="71" t="n">
        <f aca="false">IF($H8="","",SUMPRODUCT((COUNTIFS(Log!$D$4:$D$1203,$A8,Log!$E$4:$E$1203,"A",Log!$F$4:$F$1203,$H8,Log!$B$4:$B$1203,Einheiten!$A$4:$A$63)&gt;0)*1))</f>
        <v>1</v>
      </c>
      <c r="M8" s="79" t="str">
        <f aca="false">IFERROR(INDEX(Rekorde!$Q$4:$Q$19,MATCH($A8,Rekorde!$A$4:$A$19,0)),"")</f>
        <v>Wdh +1 auf 7 bei gleichem Gewicht</v>
      </c>
    </row>
    <row r="9" customFormat="false" ht="25.5" hidden="false" customHeight="true" outlineLevel="0" collapsed="false">
      <c r="A9" s="32" t="str">
        <f aca="false">IF(Übungen!$A9="","",Übungen!$A9)</f>
        <v>Beinpresse breit</v>
      </c>
      <c r="B9" s="73" t="str">
        <f aca="false">IF($A9="","",IF(SUMPRODUCT(MAX((Log!$D$4:$D$1203=$A9)*(Log!$E$4:$E$1203="A")*Log!$B$4:$B$1203))=0,"",SUMPRODUCT(MIN((Log!$D$4:$D$1203=$A9)*(Log!$E$4:$E$1203="A")*Log!$B$4:$B$1203+((Log!$D$4:$D$1203&lt;&gt;$A9)+(Log!$E$4:$E$1203&lt;&gt;"A")&gt;0)*9999))))</f>
        <v/>
      </c>
      <c r="C9" s="73" t="str">
        <f aca="false">IF($B9="","",SUMIFS(Log!$I$4:$I$1203,Log!$D$4:$D$1203,$A9,Log!$B$4:$B$1203,$B9,Log!$E$4:$E$1203,"A"))</f>
        <v/>
      </c>
      <c r="D9" s="73" t="str">
        <f aca="false">IF($A9="","",IF(SUMPRODUCT(MAX((Log!$D$4:$D$1203=$A9)*(Log!$E$4:$E$1203="A")*Log!$B$4:$B$1203))=0,"",SUMPRODUCT(MAX((Log!$D$4:$D$1203=$A9)*(Log!$E$4:$E$1203="A")*Log!$B$4:$B$1203))))</f>
        <v/>
      </c>
      <c r="E9" s="73" t="str">
        <f aca="false">IF($D9="","",SUMIFS(Log!$I$4:$I$1203,Log!$D$4:$D$1203,$A9,Log!$B$4:$B$1203,$D9,Log!$E$4:$E$1203,"A"))</f>
        <v/>
      </c>
      <c r="F9" s="73" t="str">
        <f aca="false">IF(OR($C9="",$E9=""),"",$E9-$C9)</f>
        <v/>
      </c>
      <c r="G9" s="80" t="str">
        <f aca="false">IF(OR($C9="",$E9="",$C9=0),"",$E9/$C9-1)</f>
        <v/>
      </c>
      <c r="H9" s="76" t="str">
        <f aca="false">IF($D9="","",IF(SUMPRODUCT(MAX((Log!$D$4:$D$1203=$A9)*(Log!$B$4:$B$1203=$D9)*(Log!$E$4:$E$1203="A")*(Log!$F$4:$F$1203&lt;&gt;"")*Log!$F$4:$F$1203))=0,"",SUMPRODUCT(MAX((Log!$D$4:$D$1203=$A9)*(Log!$B$4:$B$1203=$D9)*(Log!$E$4:$E$1203="A")*(Log!$F$4:$F$1203&lt;&gt;"")*Log!$F$4:$F$1203))))</f>
        <v/>
      </c>
      <c r="I9" s="76" t="str">
        <f aca="false">IF($A9="","",IF(SUMPRODUCT(MAX((Log!$D$4:$D$1203=$A9)*(Log!$E$4:$E$1203="A")*(Log!$F$4:$F$1203&lt;&gt;"")*Log!$F$4:$F$1203))=0,"",SUMPRODUCT(MAX((Log!$D$4:$D$1203=$A9)*(Log!$E$4:$E$1203="A")*(Log!$F$4:$F$1203&lt;&gt;"")*Log!$F$4:$F$1203))))</f>
        <v/>
      </c>
      <c r="J9" s="76" t="str">
        <f aca="false">IF(OR($H9="",$I9=""),"",$H9-$I9)</f>
        <v/>
      </c>
      <c r="K9" s="81" t="str">
        <f aca="false">IF($G9="","",IF($G9&gt;0.05,"steigend",IF($G9&lt;-0.05,"fallend","stabil")))</f>
        <v/>
      </c>
      <c r="L9" s="73" t="str">
        <f aca="false">IF($H9="","",SUMPRODUCT((COUNTIFS(Log!$D$4:$D$1203,$A9,Log!$E$4:$E$1203,"A",Log!$F$4:$F$1203,$H9,Log!$B$4:$B$1203,Einheiten!$A$4:$A$63)&gt;0)*1))</f>
        <v/>
      </c>
      <c r="M9" s="82" t="str">
        <f aca="false">IFERROR(INDEX(Rekorde!$Q$4:$Q$19,MATCH($A9,Rekorde!$A$4:$A$19,0)),"")</f>
        <v>Einstieg mit Startgewicht</v>
      </c>
    </row>
    <row r="10" customFormat="false" ht="25.5" hidden="false" customHeight="true" outlineLevel="0" collapsed="false">
      <c r="A10" s="26" t="str">
        <f aca="false">IF(Übungen!$A10="","",Übungen!$A10)</f>
        <v>Hip Thrust</v>
      </c>
      <c r="B10" s="71" t="n">
        <f aca="false">IF($A10="","",IF(SUMPRODUCT(MAX((Log!$D$4:$D$1203=$A10)*(Log!$E$4:$E$1203="A")*Log!$B$4:$B$1203))=0,"",SUMPRODUCT(MIN((Log!$D$4:$D$1203=$A10)*(Log!$E$4:$E$1203="A")*Log!$B$4:$B$1203+((Log!$D$4:$D$1203&lt;&gt;$A10)+(Log!$E$4:$E$1203&lt;&gt;"A")&gt;0)*9999))))</f>
        <v>1</v>
      </c>
      <c r="C10" s="71" t="n">
        <f aca="false">IF($B10="","",SUMIFS(Log!$I$4:$I$1203,Log!$D$4:$D$1203,$A10,Log!$B$4:$B$1203,$B10,Log!$E$4:$E$1203,"A"))</f>
        <v>4560</v>
      </c>
      <c r="D10" s="71" t="n">
        <f aca="false">IF($A10="","",IF(SUMPRODUCT(MAX((Log!$D$4:$D$1203=$A10)*(Log!$E$4:$E$1203="A")*Log!$B$4:$B$1203))=0,"",SUMPRODUCT(MAX((Log!$D$4:$D$1203=$A10)*(Log!$E$4:$E$1203="A")*Log!$B$4:$B$1203))))</f>
        <v>7</v>
      </c>
      <c r="E10" s="71" t="n">
        <f aca="false">IF($D10="","",SUMIFS(Log!$I$4:$I$1203,Log!$D$4:$D$1203,$A10,Log!$B$4:$B$1203,$D10,Log!$E$4:$E$1203,"A"))</f>
        <v>6880</v>
      </c>
      <c r="F10" s="71" t="n">
        <f aca="false">IF(OR($C10="",$E10=""),"",$E10-$C10)</f>
        <v>2320</v>
      </c>
      <c r="G10" s="77" t="n">
        <f aca="false">IF(OR($C10="",$E10="",$C10=0),"",$E10/$C10-1)</f>
        <v>0.508771929824561</v>
      </c>
      <c r="H10" s="74" t="n">
        <f aca="false">IF($D10="","",IF(SUMPRODUCT(MAX((Log!$D$4:$D$1203=$A10)*(Log!$B$4:$B$1203=$D10)*(Log!$E$4:$E$1203="A")*(Log!$F$4:$F$1203&lt;&gt;"")*Log!$F$4:$F$1203))=0,"",SUMPRODUCT(MAX((Log!$D$4:$D$1203=$A10)*(Log!$B$4:$B$1203=$D10)*(Log!$E$4:$E$1203="A")*(Log!$F$4:$F$1203&lt;&gt;"")*Log!$F$4:$F$1203))))</f>
        <v>290</v>
      </c>
      <c r="I10" s="74" t="n">
        <f aca="false">IF($A10="","",IF(SUMPRODUCT(MAX((Log!$D$4:$D$1203=$A10)*(Log!$E$4:$E$1203="A")*(Log!$F$4:$F$1203&lt;&gt;"")*Log!$F$4:$F$1203))=0,"",SUMPRODUCT(MAX((Log!$D$4:$D$1203=$A10)*(Log!$E$4:$E$1203="A")*(Log!$F$4:$F$1203&lt;&gt;"")*Log!$F$4:$F$1203))))</f>
        <v>290</v>
      </c>
      <c r="J10" s="74" t="n">
        <f aca="false">IF(OR($H10="",$I10=""),"",$H10-$I10)</f>
        <v>0</v>
      </c>
      <c r="K10" s="78" t="str">
        <f aca="false">IF($G10="","",IF($G10&gt;0.05,"steigend",IF($G10&lt;-0.05,"fallend","stabil")))</f>
        <v>steigend</v>
      </c>
      <c r="L10" s="71" t="n">
        <f aca="false">IF($H10="","",SUMPRODUCT((COUNTIFS(Log!$D$4:$D$1203,$A10,Log!$E$4:$E$1203,"A",Log!$F$4:$F$1203,$H10,Log!$B$4:$B$1203,Einheiten!$A$4:$A$63)&gt;0)*1))</f>
        <v>1</v>
      </c>
      <c r="M10" s="79" t="str">
        <f aca="false">IFERROR(INDEX(Rekorde!$Q$4:$Q$19,MATCH($A10,Rekorde!$A$4:$A$19,0)),"")</f>
        <v>Gewicht +5 kg (1.7%), Wdh zurück auf 5</v>
      </c>
    </row>
    <row r="11" customFormat="false" ht="25.5" hidden="false" customHeight="true" outlineLevel="0" collapsed="false">
      <c r="A11" s="32" t="str">
        <f aca="false">IF(Übungen!$A11="","",Übungen!$A11)</f>
        <v>Hip &amp; Glute</v>
      </c>
      <c r="B11" s="73" t="n">
        <f aca="false">IF($A11="","",IF(SUMPRODUCT(MAX((Log!$D$4:$D$1203=$A11)*(Log!$E$4:$E$1203="A")*Log!$B$4:$B$1203))=0,"",SUMPRODUCT(MIN((Log!$D$4:$D$1203=$A11)*(Log!$E$4:$E$1203="A")*Log!$B$4:$B$1203+((Log!$D$4:$D$1203&lt;&gt;$A11)+(Log!$E$4:$E$1203&lt;&gt;"A")&gt;0)*9999))))</f>
        <v>7</v>
      </c>
      <c r="C11" s="73" t="n">
        <f aca="false">IF($B11="","",SUMIFS(Log!$I$4:$I$1203,Log!$D$4:$D$1203,$A11,Log!$B$4:$B$1203,$B11,Log!$E$4:$E$1203,"A"))</f>
        <v>3732</v>
      </c>
      <c r="D11" s="73" t="n">
        <f aca="false">IF($A11="","",IF(SUMPRODUCT(MAX((Log!$D$4:$D$1203=$A11)*(Log!$E$4:$E$1203="A")*Log!$B$4:$B$1203))=0,"",SUMPRODUCT(MAX((Log!$D$4:$D$1203=$A11)*(Log!$E$4:$E$1203="A")*Log!$B$4:$B$1203))))</f>
        <v>7</v>
      </c>
      <c r="E11" s="73" t="n">
        <f aca="false">IF($D11="","",SUMIFS(Log!$I$4:$I$1203,Log!$D$4:$D$1203,$A11,Log!$B$4:$B$1203,$D11,Log!$E$4:$E$1203,"A"))</f>
        <v>3732</v>
      </c>
      <c r="F11" s="73" t="n">
        <f aca="false">IF(OR($C11="",$E11=""),"",$E11-$C11)</f>
        <v>0</v>
      </c>
      <c r="G11" s="80" t="n">
        <f aca="false">IF(OR($C11="",$E11="",$C11=0),"",$E11/$C11-1)</f>
        <v>0</v>
      </c>
      <c r="H11" s="76" t="n">
        <f aca="false">IF($D11="","",IF(SUMPRODUCT(MAX((Log!$D$4:$D$1203=$A11)*(Log!$B$4:$B$1203=$D11)*(Log!$E$4:$E$1203="A")*(Log!$F$4:$F$1203&lt;&gt;"")*Log!$F$4:$F$1203))=0,"",SUMPRODUCT(MAX((Log!$D$4:$D$1203=$A11)*(Log!$B$4:$B$1203=$D11)*(Log!$E$4:$E$1203="A")*(Log!$F$4:$F$1203&lt;&gt;"")*Log!$F$4:$F$1203))))</f>
        <v>141</v>
      </c>
      <c r="I11" s="76" t="n">
        <f aca="false">IF($A11="","",IF(SUMPRODUCT(MAX((Log!$D$4:$D$1203=$A11)*(Log!$E$4:$E$1203="A")*(Log!$F$4:$F$1203&lt;&gt;"")*Log!$F$4:$F$1203))=0,"",SUMPRODUCT(MAX((Log!$D$4:$D$1203=$A11)*(Log!$E$4:$E$1203="A")*(Log!$F$4:$F$1203&lt;&gt;"")*Log!$F$4:$F$1203))))</f>
        <v>141</v>
      </c>
      <c r="J11" s="76" t="n">
        <f aca="false">IF(OR($H11="",$I11=""),"",$H11-$I11)</f>
        <v>0</v>
      </c>
      <c r="K11" s="81" t="str">
        <f aca="false">IF($G11="","",IF($G11&gt;0.05,"steigend",IF($G11&lt;-0.05,"fallend","stabil")))</f>
        <v>stabil</v>
      </c>
      <c r="L11" s="73" t="n">
        <f aca="false">IF($H11="","",SUMPRODUCT((COUNTIFS(Log!$D$4:$D$1203,$A11,Log!$E$4:$E$1203,"A",Log!$F$4:$F$1203,$H11,Log!$B$4:$B$1203,Einheiten!$A$4:$A$63)&gt;0)*1))</f>
        <v>1</v>
      </c>
      <c r="M11" s="82" t="str">
        <f aca="false">IFERROR(INDEX(Rekorde!$Q$4:$Q$19,MATCH($A11,Rekorde!$A$4:$A$19,0)),"")</f>
        <v>Gewicht +4 kg (2.8%), Wdh zurück auf 5</v>
      </c>
    </row>
    <row r="12" customFormat="false" ht="25.5" hidden="false" customHeight="true" outlineLevel="0" collapsed="false">
      <c r="A12" s="26" t="str">
        <f aca="false">IF(Übungen!$A12="","",Übungen!$A12)</f>
        <v>Beinbeuger</v>
      </c>
      <c r="B12" s="71" t="n">
        <f aca="false">IF($A12="","",IF(SUMPRODUCT(MAX((Log!$D$4:$D$1203=$A12)*(Log!$E$4:$E$1203="A")*Log!$B$4:$B$1203))=0,"",SUMPRODUCT(MIN((Log!$D$4:$D$1203=$A12)*(Log!$E$4:$E$1203="A")*Log!$B$4:$B$1203+((Log!$D$4:$D$1203&lt;&gt;$A12)+(Log!$E$4:$E$1203&lt;&gt;"A")&gt;0)*9999))))</f>
        <v>1</v>
      </c>
      <c r="C12" s="71" t="n">
        <f aca="false">IF($B12="","",SUMIFS(Log!$I$4:$I$1203,Log!$D$4:$D$1203,$A12,Log!$B$4:$B$1203,$B12,Log!$E$4:$E$1203,"A"))</f>
        <v>1130</v>
      </c>
      <c r="D12" s="71" t="n">
        <f aca="false">IF($A12="","",IF(SUMPRODUCT(MAX((Log!$D$4:$D$1203=$A12)*(Log!$E$4:$E$1203="A")*Log!$B$4:$B$1203))=0,"",SUMPRODUCT(MAX((Log!$D$4:$D$1203=$A12)*(Log!$E$4:$E$1203="A")*Log!$B$4:$B$1203))))</f>
        <v>7</v>
      </c>
      <c r="E12" s="71" t="n">
        <f aca="false">IF($D12="","",SUMIFS(Log!$I$4:$I$1203,Log!$D$4:$D$1203,$A12,Log!$B$4:$B$1203,$D12,Log!$E$4:$E$1203,"A"))</f>
        <v>1025</v>
      </c>
      <c r="F12" s="71" t="n">
        <f aca="false">IF(OR($C12="",$E12=""),"",$E12-$C12)</f>
        <v>-105</v>
      </c>
      <c r="G12" s="77" t="n">
        <f aca="false">IF(OR($C12="",$E12="",$C12=0),"",$E12/$C12-1)</f>
        <v>-0.0929203539823009</v>
      </c>
      <c r="H12" s="74" t="n">
        <f aca="false">IF($D12="","",IF(SUMPRODUCT(MAX((Log!$D$4:$D$1203=$A12)*(Log!$B$4:$B$1203=$D12)*(Log!$E$4:$E$1203="A")*(Log!$F$4:$F$1203&lt;&gt;"")*Log!$F$4:$F$1203))=0,"",SUMPRODUCT(MAX((Log!$D$4:$D$1203=$A12)*(Log!$B$4:$B$1203=$D12)*(Log!$E$4:$E$1203="A")*(Log!$F$4:$F$1203&lt;&gt;"")*Log!$F$4:$F$1203))))</f>
        <v>52.5</v>
      </c>
      <c r="I12" s="74" t="n">
        <f aca="false">IF($A12="","",IF(SUMPRODUCT(MAX((Log!$D$4:$D$1203=$A12)*(Log!$E$4:$E$1203="A")*(Log!$F$4:$F$1203&lt;&gt;"")*Log!$F$4:$F$1203))=0,"",SUMPRODUCT(MAX((Log!$D$4:$D$1203=$A12)*(Log!$E$4:$E$1203="A")*(Log!$F$4:$F$1203&lt;&gt;"")*Log!$F$4:$F$1203))))</f>
        <v>55</v>
      </c>
      <c r="J12" s="74" t="n">
        <f aca="false">IF(OR($H12="",$I12=""),"",$H12-$I12)</f>
        <v>-2.5</v>
      </c>
      <c r="K12" s="78" t="str">
        <f aca="false">IF($G12="","",IF($G12&gt;0.05,"steigend",IF($G12&lt;-0.05,"fallend","stabil")))</f>
        <v>fallend</v>
      </c>
      <c r="L12" s="71" t="n">
        <f aca="false">IF($H12="","",SUMPRODUCT((COUNTIFS(Log!$D$4:$D$1203,$A12,Log!$E$4:$E$1203,"A",Log!$F$4:$F$1203,$H12,Log!$B$4:$B$1203,Einheiten!$A$4:$A$63)&gt;0)*1))</f>
        <v>1</v>
      </c>
      <c r="M12" s="79" t="str">
        <f aca="false">IFERROR(INDEX(Rekorde!$Q$4:$Q$19,MATCH($A12,Rekorde!$A$4:$A$19,0)),"")</f>
        <v>Gewicht +2.5 kg (4.8%), Wdh zurück auf 5</v>
      </c>
    </row>
    <row r="13" customFormat="false" ht="25.5" hidden="false" customHeight="true" outlineLevel="0" collapsed="false">
      <c r="A13" s="32" t="str">
        <f aca="false">IF(Übungen!$A13="","",Übungen!$A13)</f>
        <v>Seitliche Kickbacks</v>
      </c>
      <c r="B13" s="73" t="n">
        <f aca="false">IF($A13="","",IF(SUMPRODUCT(MAX((Log!$D$4:$D$1203=$A13)*(Log!$E$4:$E$1203="A")*Log!$B$4:$B$1203))=0,"",SUMPRODUCT(MIN((Log!$D$4:$D$1203=$A13)*(Log!$E$4:$E$1203="A")*Log!$B$4:$B$1203+((Log!$D$4:$D$1203&lt;&gt;$A13)+(Log!$E$4:$E$1203&lt;&gt;"A")&gt;0)*9999))))</f>
        <v>1</v>
      </c>
      <c r="C13" s="73" t="n">
        <f aca="false">IF($B13="","",SUMIFS(Log!$I$4:$I$1203,Log!$D$4:$D$1203,$A13,Log!$B$4:$B$1203,$B13,Log!$E$4:$E$1203,"A"))</f>
        <v>1078</v>
      </c>
      <c r="D13" s="73" t="n">
        <f aca="false">IF($A13="","",IF(SUMPRODUCT(MAX((Log!$D$4:$D$1203=$A13)*(Log!$E$4:$E$1203="A")*Log!$B$4:$B$1203))=0,"",SUMPRODUCT(MAX((Log!$D$4:$D$1203=$A13)*(Log!$E$4:$E$1203="A")*Log!$B$4:$B$1203))))</f>
        <v>5</v>
      </c>
      <c r="E13" s="73" t="n">
        <f aca="false">IF($D13="","",SUMIFS(Log!$I$4:$I$1203,Log!$D$4:$D$1203,$A13,Log!$B$4:$B$1203,$D13,Log!$E$4:$E$1203,"A"))</f>
        <v>720</v>
      </c>
      <c r="F13" s="73" t="n">
        <f aca="false">IF(OR($C13="",$E13=""),"",$E13-$C13)</f>
        <v>-358</v>
      </c>
      <c r="G13" s="80" t="n">
        <f aca="false">IF(OR($C13="",$E13="",$C13=0),"",$E13/$C13-1)</f>
        <v>-0.332096474953618</v>
      </c>
      <c r="H13" s="76" t="n">
        <f aca="false">IF($D13="","",IF(SUMPRODUCT(MAX((Log!$D$4:$D$1203=$A13)*(Log!$B$4:$B$1203=$D13)*(Log!$E$4:$E$1203="A")*(Log!$F$4:$F$1203&lt;&gt;"")*Log!$F$4:$F$1203))=0,"",SUMPRODUCT(MAX((Log!$D$4:$D$1203=$A13)*(Log!$B$4:$B$1203=$D13)*(Log!$E$4:$E$1203="A")*(Log!$F$4:$F$1203&lt;&gt;"")*Log!$F$4:$F$1203))))</f>
        <v>36</v>
      </c>
      <c r="I13" s="76" t="n">
        <f aca="false">IF($A13="","",IF(SUMPRODUCT(MAX((Log!$D$4:$D$1203=$A13)*(Log!$E$4:$E$1203="A")*(Log!$F$4:$F$1203&lt;&gt;"")*Log!$F$4:$F$1203))=0,"",SUMPRODUCT(MAX((Log!$D$4:$D$1203=$A13)*(Log!$E$4:$E$1203="A")*(Log!$F$4:$F$1203&lt;&gt;"")*Log!$F$4:$F$1203))))</f>
        <v>49</v>
      </c>
      <c r="J13" s="76" t="n">
        <f aca="false">IF(OR($H13="",$I13=""),"",$H13-$I13)</f>
        <v>-13</v>
      </c>
      <c r="K13" s="81" t="str">
        <f aca="false">IF($G13="","",IF($G13&gt;0.05,"steigend",IF($G13&lt;-0.05,"fallend","stabil")))</f>
        <v>fallend</v>
      </c>
      <c r="L13" s="73" t="n">
        <f aca="false">IF($H13="","",SUMPRODUCT((COUNTIFS(Log!$D$4:$D$1203,$A13,Log!$E$4:$E$1203,"A",Log!$F$4:$F$1203,$H13,Log!$B$4:$B$1203,Einheiten!$A$4:$A$63)&gt;0)*1))</f>
        <v>1</v>
      </c>
      <c r="M13" s="82" t="str">
        <f aca="false">IFERROR(INDEX(Rekorde!$Q$4:$Q$19,MATCH($A13,Rekorde!$A$4:$A$19,0)),"")</f>
        <v>Gewicht +2 kg (5.6%), Wdh zurück auf 5</v>
      </c>
    </row>
    <row r="14" customFormat="false" ht="25.5" hidden="false" customHeight="true" outlineLevel="0" collapsed="false">
      <c r="A14" s="26" t="str">
        <f aca="false">IF(Übungen!$A14="","",Übungen!$A14)</f>
        <v>Waden</v>
      </c>
      <c r="B14" s="71" t="n">
        <f aca="false">IF($A14="","",IF(SUMPRODUCT(MAX((Log!$D$4:$D$1203=$A14)*(Log!$E$4:$E$1203="A")*Log!$B$4:$B$1203))=0,"",SUMPRODUCT(MIN((Log!$D$4:$D$1203=$A14)*(Log!$E$4:$E$1203="A")*Log!$B$4:$B$1203+((Log!$D$4:$D$1203&lt;&gt;$A14)+(Log!$E$4:$E$1203&lt;&gt;"A")&gt;0)*9999))))</f>
        <v>1</v>
      </c>
      <c r="C14" s="71" t="n">
        <f aca="false">IF($B14="","",SUMIFS(Log!$I$4:$I$1203,Log!$D$4:$D$1203,$A14,Log!$B$4:$B$1203,$B14,Log!$E$4:$E$1203,"A"))</f>
        <v>3465</v>
      </c>
      <c r="D14" s="71" t="n">
        <f aca="false">IF($A14="","",IF(SUMPRODUCT(MAX((Log!$D$4:$D$1203=$A14)*(Log!$E$4:$E$1203="A")*Log!$B$4:$B$1203))=0,"",SUMPRODUCT(MAX((Log!$D$4:$D$1203=$A14)*(Log!$E$4:$E$1203="A")*Log!$B$4:$B$1203))))</f>
        <v>7</v>
      </c>
      <c r="E14" s="71" t="n">
        <f aca="false">IF($D14="","",SUMIFS(Log!$I$4:$I$1203,Log!$D$4:$D$1203,$A14,Log!$B$4:$B$1203,$D14,Log!$E$4:$E$1203,"A"))</f>
        <v>3720</v>
      </c>
      <c r="F14" s="71" t="n">
        <f aca="false">IF(OR($C14="",$E14=""),"",$E14-$C14)</f>
        <v>255</v>
      </c>
      <c r="G14" s="77" t="n">
        <f aca="false">IF(OR($C14="",$E14="",$C14=0),"",$E14/$C14-1)</f>
        <v>0.0735930735930737</v>
      </c>
      <c r="H14" s="74" t="n">
        <f aca="false">IF($D14="","",IF(SUMPRODUCT(MAX((Log!$D$4:$D$1203=$A14)*(Log!$B$4:$B$1203=$D14)*(Log!$E$4:$E$1203="A")*(Log!$F$4:$F$1203&lt;&gt;"")*Log!$F$4:$F$1203))=0,"",SUMPRODUCT(MAX((Log!$D$4:$D$1203=$A14)*(Log!$B$4:$B$1203=$D14)*(Log!$E$4:$E$1203="A")*(Log!$F$4:$F$1203&lt;&gt;"")*Log!$F$4:$F$1203))))</f>
        <v>160</v>
      </c>
      <c r="I14" s="74" t="n">
        <f aca="false">IF($A14="","",IF(SUMPRODUCT(MAX((Log!$D$4:$D$1203=$A14)*(Log!$E$4:$E$1203="A")*(Log!$F$4:$F$1203&lt;&gt;"")*Log!$F$4:$F$1203))=0,"",SUMPRODUCT(MAX((Log!$D$4:$D$1203=$A14)*(Log!$E$4:$E$1203="A")*(Log!$F$4:$F$1203&lt;&gt;"")*Log!$F$4:$F$1203))))</f>
        <v>160</v>
      </c>
      <c r="J14" s="74" t="n">
        <f aca="false">IF(OR($H14="",$I14=""),"",$H14-$I14)</f>
        <v>0</v>
      </c>
      <c r="K14" s="78" t="str">
        <f aca="false">IF($G14="","",IF($G14&gt;0.05,"steigend",IF($G14&lt;-0.05,"fallend","stabil")))</f>
        <v>steigend</v>
      </c>
      <c r="L14" s="71" t="n">
        <f aca="false">IF($H14="","",SUMPRODUCT((COUNTIFS(Log!$D$4:$D$1203,$A14,Log!$E$4:$E$1203,"A",Log!$F$4:$F$1203,$H14,Log!$B$4:$B$1203,Einheiten!$A$4:$A$63)&gt;0)*1))</f>
        <v>1</v>
      </c>
      <c r="M14" s="79" t="str">
        <f aca="false">IFERROR(INDEX(Rekorde!$Q$4:$Q$19,MATCH($A14,Rekorde!$A$4:$A$19,0)),"")</f>
        <v>Gewicht +5 kg (3.1%), Wdh zurück auf 5</v>
      </c>
    </row>
    <row r="15" customFormat="false" ht="25.5" hidden="false" customHeight="true" outlineLevel="0" collapsed="false">
      <c r="A15" s="32" t="str">
        <f aca="false">IF(Übungen!$A15="","",Übungen!$A15)</f>
        <v>Lunges</v>
      </c>
      <c r="B15" s="73" t="n">
        <f aca="false">IF($A15="","",IF(SUMPRODUCT(MAX((Log!$D$4:$D$1203=$A15)*(Log!$E$4:$E$1203="A")*Log!$B$4:$B$1203))=0,"",SUMPRODUCT(MIN((Log!$D$4:$D$1203=$A15)*(Log!$E$4:$E$1203="A")*Log!$B$4:$B$1203+((Log!$D$4:$D$1203&lt;&gt;$A15)+(Log!$E$4:$E$1203&lt;&gt;"A")&gt;0)*9999))))</f>
        <v>1</v>
      </c>
      <c r="C15" s="73" t="n">
        <f aca="false">IF($B15="","",SUMIFS(Log!$I$4:$I$1203,Log!$D$4:$D$1203,$A15,Log!$B$4:$B$1203,$B15,Log!$E$4:$E$1203,"A"))</f>
        <v>0</v>
      </c>
      <c r="D15" s="73" t="n">
        <f aca="false">IF($A15="","",IF(SUMPRODUCT(MAX((Log!$D$4:$D$1203=$A15)*(Log!$E$4:$E$1203="A")*Log!$B$4:$B$1203))=0,"",SUMPRODUCT(MAX((Log!$D$4:$D$1203=$A15)*(Log!$E$4:$E$1203="A")*Log!$B$4:$B$1203))))</f>
        <v>3</v>
      </c>
      <c r="E15" s="73" t="n">
        <f aca="false">IF($D15="","",SUMIFS(Log!$I$4:$I$1203,Log!$D$4:$D$1203,$A15,Log!$B$4:$B$1203,$D15,Log!$E$4:$E$1203,"A"))</f>
        <v>0</v>
      </c>
      <c r="F15" s="73" t="n">
        <f aca="false">IF(OR($C15="",$E15=""),"",$E15-$C15)</f>
        <v>0</v>
      </c>
      <c r="G15" s="80" t="str">
        <f aca="false">IF(OR($C15="",$E15="",$C15=0),"",$E15/$C15-1)</f>
        <v/>
      </c>
      <c r="H15" s="76" t="n">
        <f aca="false">IF($D15="","",IF(SUMPRODUCT(MAX((Log!$D$4:$D$1203=$A15)*(Log!$B$4:$B$1203=$D15)*(Log!$E$4:$E$1203="A")*(Log!$F$4:$F$1203&lt;&gt;"")*Log!$F$4:$F$1203))=0,"",SUMPRODUCT(MAX((Log!$D$4:$D$1203=$A15)*(Log!$B$4:$B$1203=$D15)*(Log!$E$4:$E$1203="A")*(Log!$F$4:$F$1203&lt;&gt;"")*Log!$F$4:$F$1203))))</f>
        <v>18</v>
      </c>
      <c r="I15" s="76" t="n">
        <f aca="false">IF($A15="","",IF(SUMPRODUCT(MAX((Log!$D$4:$D$1203=$A15)*(Log!$E$4:$E$1203="A")*(Log!$F$4:$F$1203&lt;&gt;"")*Log!$F$4:$F$1203))=0,"",SUMPRODUCT(MAX((Log!$D$4:$D$1203=$A15)*(Log!$E$4:$E$1203="A")*(Log!$F$4:$F$1203&lt;&gt;"")*Log!$F$4:$F$1203))))</f>
        <v>18</v>
      </c>
      <c r="J15" s="76" t="n">
        <f aca="false">IF(OR($H15="",$I15=""),"",$H15-$I15)</f>
        <v>0</v>
      </c>
      <c r="K15" s="81" t="str">
        <f aca="false">IF($G15="","",IF($G15&gt;0.05,"steigend",IF($G15&lt;-0.05,"fallend","stabil")))</f>
        <v/>
      </c>
      <c r="L15" s="73" t="n">
        <f aca="false">IF($H15="","",SUMPRODUCT((COUNTIFS(Log!$D$4:$D$1203,$A15,Log!$E$4:$E$1203,"A",Log!$F$4:$F$1203,$H15,Log!$B$4:$B$1203,Einheiten!$A$4:$A$63)&gt;0)*1))</f>
        <v>1</v>
      </c>
      <c r="M15" s="82" t="str">
        <f aca="false">IFERROR(INDEX(Rekorde!$Q$4:$Q$19,MATCH($A15,Rekorde!$A$4:$A$19,0)),"")</f>
        <v>Gewicht halten, erst 5 Wdh sauber schaffen</v>
      </c>
    </row>
    <row r="16" customFormat="false" ht="25.5" hidden="false" customHeight="true" outlineLevel="0" collapsed="false">
      <c r="A16" s="26" t="str">
        <f aca="false">IF(Übungen!$A16="","",Übungen!$A16)</f>
        <v>Kickback</v>
      </c>
      <c r="B16" s="71" t="n">
        <f aca="false">IF($A16="","",IF(SUMPRODUCT(MAX((Log!$D$4:$D$1203=$A16)*(Log!$E$4:$E$1203="A")*Log!$B$4:$B$1203))=0,"",SUMPRODUCT(MIN((Log!$D$4:$D$1203=$A16)*(Log!$E$4:$E$1203="A")*Log!$B$4:$B$1203+((Log!$D$4:$D$1203&lt;&gt;$A16)+(Log!$E$4:$E$1203&lt;&gt;"A")&gt;0)*9999))))</f>
        <v>1</v>
      </c>
      <c r="C16" s="71" t="n">
        <f aca="false">IF($B16="","",SUMIFS(Log!$I$4:$I$1203,Log!$D$4:$D$1203,$A16,Log!$B$4:$B$1203,$B16,Log!$E$4:$E$1203,"A"))</f>
        <v>1974</v>
      </c>
      <c r="D16" s="71" t="n">
        <f aca="false">IF($A16="","",IF(SUMPRODUCT(MAX((Log!$D$4:$D$1203=$A16)*(Log!$E$4:$E$1203="A")*Log!$B$4:$B$1203))=0,"",SUMPRODUCT(MAX((Log!$D$4:$D$1203=$A16)*(Log!$E$4:$E$1203="A")*Log!$B$4:$B$1203))))</f>
        <v>4</v>
      </c>
      <c r="E16" s="71" t="n">
        <f aca="false">IF($D16="","",SUMIFS(Log!$I$4:$I$1203,Log!$D$4:$D$1203,$A16,Log!$B$4:$B$1203,$D16,Log!$E$4:$E$1203,"A"))</f>
        <v>1785</v>
      </c>
      <c r="F16" s="71" t="n">
        <f aca="false">IF(OR($C16="",$E16=""),"",$E16-$C16)</f>
        <v>-189</v>
      </c>
      <c r="G16" s="77" t="n">
        <f aca="false">IF(OR($C16="",$E16="",$C16=0),"",$E16/$C16-1)</f>
        <v>-0.0957446808510638</v>
      </c>
      <c r="H16" s="74" t="n">
        <f aca="false">IF($D16="","",IF(SUMPRODUCT(MAX((Log!$D$4:$D$1203=$A16)*(Log!$B$4:$B$1203=$D16)*(Log!$E$4:$E$1203="A")*(Log!$F$4:$F$1203&lt;&gt;"")*Log!$F$4:$F$1203))=0,"",SUMPRODUCT(MAX((Log!$D$4:$D$1203=$A16)*(Log!$B$4:$B$1203=$D16)*(Log!$E$4:$E$1203="A")*(Log!$F$4:$F$1203&lt;&gt;"")*Log!$F$4:$F$1203))))</f>
        <v>63</v>
      </c>
      <c r="I16" s="74" t="n">
        <f aca="false">IF($A16="","",IF(SUMPRODUCT(MAX((Log!$D$4:$D$1203=$A16)*(Log!$E$4:$E$1203="A")*(Log!$F$4:$F$1203&lt;&gt;"")*Log!$F$4:$F$1203))=0,"",SUMPRODUCT(MAX((Log!$D$4:$D$1203=$A16)*(Log!$E$4:$E$1203="A")*(Log!$F$4:$F$1203&lt;&gt;"")*Log!$F$4:$F$1203))))</f>
        <v>84</v>
      </c>
      <c r="J16" s="74" t="n">
        <f aca="false">IF(OR($H16="",$I16=""),"",$H16-$I16)</f>
        <v>-21</v>
      </c>
      <c r="K16" s="78" t="str">
        <f aca="false">IF($G16="","",IF($G16&gt;0.05,"steigend",IF($G16&lt;-0.05,"fallend","stabil")))</f>
        <v>fallend</v>
      </c>
      <c r="L16" s="71" t="n">
        <f aca="false">IF($H16="","",SUMPRODUCT((COUNTIFS(Log!$D$4:$D$1203,$A16,Log!$E$4:$E$1203,"A",Log!$F$4:$F$1203,$H16,Log!$B$4:$B$1203,Einheiten!$A$4:$A$63)&gt;0)*1))</f>
        <v>1</v>
      </c>
      <c r="M16" s="79" t="str">
        <f aca="false">IFERROR(INDEX(Rekorde!$Q$4:$Q$19,MATCH($A16,Rekorde!$A$4:$A$19,0)),"")</f>
        <v>Gewicht +0.5 kg (0.8%), Wdh zurück auf 5</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IFERROR(INDEX(Rekorde!$Q$4:$Q$19,MATCH($A17,Rekorde!$A$4:$A$19,0)),"")</f>
        <v/>
      </c>
    </row>
    <row r="18" customFormat="false" ht="25.5" hidden="false" customHeight="true" outlineLevel="0" collapsed="false">
      <c r="A18" s="26" t="str">
        <f aca="false">IF(Übungen!$A18="","",Übungen!$A18)</f>
        <v/>
      </c>
      <c r="B18" s="71" t="str">
        <f aca="false">IF($A18="","",IF(SUMPRODUCT(MAX((Log!$D$4:$D$1203=$A18)*(Log!$E$4:$E$1203="A")*Log!$B$4:$B$1203))=0,"",SUMPRODUCT(MIN((Log!$D$4:$D$1203=$A18)*(Log!$E$4:$E$1203="A")*Log!$B$4:$B$1203+((Log!$D$4:$D$1203&lt;&gt;$A18)+(Log!$E$4:$E$1203&lt;&gt;"A")&gt;0)*9999))))</f>
        <v/>
      </c>
      <c r="C18" s="71" t="str">
        <f aca="false">IF($B18="","",SUMIFS(Log!$I$4:$I$1203,Log!$D$4:$D$1203,$A18,Log!$B$4:$B$1203,$B18,Log!$E$4:$E$1203,"A"))</f>
        <v/>
      </c>
      <c r="D18" s="71" t="str">
        <f aca="false">IF($A18="","",IF(SUMPRODUCT(MAX((Log!$D$4:$D$1203=$A18)*(Log!$E$4:$E$1203="A")*Log!$B$4:$B$1203))=0,"",SUMPRODUCT(MAX((Log!$D$4:$D$1203=$A18)*(Log!$E$4:$E$1203="A")*Log!$B$4:$B$1203))))</f>
        <v/>
      </c>
      <c r="E18" s="71" t="str">
        <f aca="false">IF($D18="","",SUMIFS(Log!$I$4:$I$1203,Log!$D$4:$D$1203,$A18,Log!$B$4:$B$1203,$D18,Log!$E$4:$E$1203,"A"))</f>
        <v/>
      </c>
      <c r="F18" s="71" t="str">
        <f aca="false">IF(OR($C18="",$E18=""),"",$E18-$C18)</f>
        <v/>
      </c>
      <c r="G18" s="77" t="str">
        <f aca="false">IF(OR($C18="",$E18="",$C18=0),"",$E18/$C18-1)</f>
        <v/>
      </c>
      <c r="H18" s="74" t="str">
        <f aca="false">IF($D18="","",IF(SUMPRODUCT(MAX((Log!$D$4:$D$1203=$A18)*(Log!$B$4:$B$1203=$D18)*(Log!$E$4:$E$1203="A")*(Log!$F$4:$F$1203&lt;&gt;"")*Log!$F$4:$F$1203))=0,"",SUMPRODUCT(MAX((Log!$D$4:$D$1203=$A18)*(Log!$B$4:$B$1203=$D18)*(Log!$E$4:$E$1203="A")*(Log!$F$4:$F$1203&lt;&gt;"")*Log!$F$4:$F$1203))))</f>
        <v/>
      </c>
      <c r="I18" s="74" t="str">
        <f aca="false">IF($A18="","",IF(SUMPRODUCT(MAX((Log!$D$4:$D$1203=$A18)*(Log!$E$4:$E$1203="A")*(Log!$F$4:$F$1203&lt;&gt;"")*Log!$F$4:$F$1203))=0,"",SUMPRODUCT(MAX((Log!$D$4:$D$1203=$A18)*(Log!$E$4:$E$1203="A")*(Log!$F$4:$F$1203&lt;&gt;"")*Log!$F$4:$F$1203))))</f>
        <v/>
      </c>
      <c r="J18" s="74" t="str">
        <f aca="false">IF(OR($H18="",$I18=""),"",$H18-$I18)</f>
        <v/>
      </c>
      <c r="K18" s="78" t="str">
        <f aca="false">IF($G18="","",IF($G18&gt;0.05,"steigend",IF($G18&lt;-0.05,"fallend","stabil")))</f>
        <v/>
      </c>
      <c r="L18" s="71" t="str">
        <f aca="false">IF($H18="","",SUMPRODUCT((COUNTIFS(Log!$D$4:$D$1203,$A18,Log!$E$4:$E$1203,"A",Log!$F$4:$F$1203,$H18,Log!$B$4:$B$1203,Einheiten!$A$4:$A$63)&gt;0)*1))</f>
        <v/>
      </c>
      <c r="M18" s="79" t="str">
        <f aca="false">IFERROR(INDEX(Rekorde!$Q$4:$Q$19,MATCH($A18,Rekorde!$A$4:$A$19,0)),"")</f>
        <v/>
      </c>
    </row>
    <row r="19" customFormat="false" ht="25.5" hidden="false" customHeight="true" outlineLevel="0" collapsed="false">
      <c r="A19" s="32" t="str">
        <f aca="false">IF(Übungen!$A19="","",Übungen!$A19)</f>
        <v/>
      </c>
      <c r="B19" s="73" t="str">
        <f aca="false">IF($A19="","",IF(SUMPRODUCT(MAX((Log!$D$4:$D$1203=$A19)*(Log!$E$4:$E$1203="A")*Log!$B$4:$B$1203))=0,"",SUMPRODUCT(MIN((Log!$D$4:$D$1203=$A19)*(Log!$E$4:$E$1203="A")*Log!$B$4:$B$1203+((Log!$D$4:$D$1203&lt;&gt;$A19)+(Log!$E$4:$E$1203&lt;&gt;"A")&gt;0)*9999))))</f>
        <v/>
      </c>
      <c r="C19" s="73" t="str">
        <f aca="false">IF($B19="","",SUMIFS(Log!$I$4:$I$1203,Log!$D$4:$D$1203,$A19,Log!$B$4:$B$1203,$B19,Log!$E$4:$E$1203,"A"))</f>
        <v/>
      </c>
      <c r="D19" s="73" t="str">
        <f aca="false">IF($A19="","",IF(SUMPRODUCT(MAX((Log!$D$4:$D$1203=$A19)*(Log!$E$4:$E$1203="A")*Log!$B$4:$B$1203))=0,"",SUMPRODUCT(MAX((Log!$D$4:$D$1203=$A19)*(Log!$E$4:$E$1203="A")*Log!$B$4:$B$1203))))</f>
        <v/>
      </c>
      <c r="E19" s="73" t="str">
        <f aca="false">IF($D19="","",SUMIFS(Log!$I$4:$I$1203,Log!$D$4:$D$1203,$A19,Log!$B$4:$B$1203,$D19,Log!$E$4:$E$1203,"A"))</f>
        <v/>
      </c>
      <c r="F19" s="73" t="str">
        <f aca="false">IF(OR($C19="",$E19=""),"",$E19-$C19)</f>
        <v/>
      </c>
      <c r="G19" s="80" t="str">
        <f aca="false">IF(OR($C19="",$E19="",$C19=0),"",$E19/$C19-1)</f>
        <v/>
      </c>
      <c r="H19" s="76" t="str">
        <f aca="false">IF($D19="","",IF(SUMPRODUCT(MAX((Log!$D$4:$D$1203=$A19)*(Log!$B$4:$B$1203=$D19)*(Log!$E$4:$E$1203="A")*(Log!$F$4:$F$1203&lt;&gt;"")*Log!$F$4:$F$1203))=0,"",SUMPRODUCT(MAX((Log!$D$4:$D$1203=$A19)*(Log!$B$4:$B$1203=$D19)*(Log!$E$4:$E$1203="A")*(Log!$F$4:$F$1203&lt;&gt;"")*Log!$F$4:$F$1203))))</f>
        <v/>
      </c>
      <c r="I19" s="76" t="str">
        <f aca="false">IF($A19="","",IF(SUMPRODUCT(MAX((Log!$D$4:$D$1203=$A19)*(Log!$E$4:$E$1203="A")*(Log!$F$4:$F$1203&lt;&gt;"")*Log!$F$4:$F$1203))=0,"",SUMPRODUCT(MAX((Log!$D$4:$D$1203=$A19)*(Log!$E$4:$E$1203="A")*(Log!$F$4:$F$1203&lt;&gt;"")*Log!$F$4:$F$1203))))</f>
        <v/>
      </c>
      <c r="J19" s="76" t="str">
        <f aca="false">IF(OR($H19="",$I19=""),"",$H19-$I19)</f>
        <v/>
      </c>
      <c r="K19" s="81" t="str">
        <f aca="false">IF($G19="","",IF($G19&gt;0.05,"steigend",IF($G19&lt;-0.05,"fallend","stabil")))</f>
        <v/>
      </c>
      <c r="L19" s="73" t="str">
        <f aca="false">IF($H19="","",SUMPRODUCT((COUNTIFS(Log!$D$4:$D$1203,$A19,Log!$E$4:$E$1203,"A",Log!$F$4:$F$1203,$H19,Log!$B$4:$B$1203,Einheiten!$A$4:$A$63)&gt;0)*1))</f>
        <v/>
      </c>
      <c r="M19" s="82" t="str">
        <f aca="false">IFERROR(INDEX(Rekorde!$Q$4:$Q$19,MATCH($A19,Rekorde!$A$4:$A$19,0)),"")</f>
        <v/>
      </c>
    </row>
    <row r="21" customFormat="false" ht="25.5" hidden="false" customHeight="true" outlineLevel="0" collapsed="false">
      <c r="A21" s="35" t="s">
        <v>339</v>
      </c>
      <c r="B21" s="35"/>
      <c r="C21" s="35"/>
      <c r="D21" s="35"/>
      <c r="E21" s="35"/>
      <c r="F21" s="35"/>
      <c r="G21" s="35"/>
      <c r="H21" s="35"/>
      <c r="I21" s="35"/>
      <c r="J21" s="35"/>
      <c r="K21" s="35"/>
      <c r="L21" s="35"/>
      <c r="M21" s="35"/>
    </row>
  </sheetData>
  <mergeCells count="3">
    <mergeCell ref="A1:K1"/>
    <mergeCell ref="A2:K2"/>
    <mergeCell ref="A21:M21"/>
  </mergeCells>
  <conditionalFormatting sqref="F4:G19">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9">
    <cfRule type="expression" priority="6" aboveAverage="0" equalAverage="0" bottom="0" percent="0" rank="0" text="" dxfId="14">
      <formula>AND($L4&lt;&gt;"",$L4&gt;=4)</formula>
    </cfRule>
  </conditionalFormatting>
  <conditionalFormatting sqref="A4:M19">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340</v>
      </c>
      <c r="B1" s="1"/>
      <c r="C1" s="1"/>
      <c r="D1" s="1"/>
      <c r="E1" s="1"/>
      <c r="F1" s="1"/>
      <c r="G1" s="1"/>
      <c r="H1" s="1"/>
      <c r="I1" s="1"/>
      <c r="J1" s="1"/>
      <c r="K1" s="1"/>
      <c r="L1" s="1"/>
      <c r="M1" s="1"/>
      <c r="N1" s="1"/>
    </row>
    <row r="2" customFormat="false" ht="15" hidden="false" customHeight="true" outlineLevel="0" collapsed="false">
      <c r="A2" s="2" t="s">
        <v>341</v>
      </c>
      <c r="B2" s="2"/>
      <c r="C2" s="2"/>
      <c r="D2" s="2"/>
      <c r="E2" s="2"/>
      <c r="F2" s="2"/>
      <c r="G2" s="2"/>
      <c r="H2" s="2"/>
      <c r="I2" s="2"/>
      <c r="J2" s="2"/>
      <c r="K2" s="2"/>
      <c r="L2" s="2"/>
      <c r="M2" s="2"/>
      <c r="N2" s="2"/>
    </row>
    <row r="3" customFormat="false" ht="33.75" hidden="false" customHeight="true" outlineLevel="0" collapsed="false">
      <c r="A3" s="25" t="s">
        <v>97</v>
      </c>
      <c r="B3" s="25" t="s">
        <v>273</v>
      </c>
      <c r="C3" s="25" t="s">
        <v>342</v>
      </c>
      <c r="D3" s="25" t="s">
        <v>266</v>
      </c>
      <c r="E3" s="25" t="s">
        <v>343</v>
      </c>
      <c r="F3" s="25" t="s">
        <v>344</v>
      </c>
      <c r="G3" s="25" t="s">
        <v>345</v>
      </c>
      <c r="H3" s="25" t="s">
        <v>346</v>
      </c>
      <c r="I3" s="25" t="s">
        <v>345</v>
      </c>
      <c r="J3" s="25" t="s">
        <v>347</v>
      </c>
      <c r="K3" s="25" t="s">
        <v>329</v>
      </c>
      <c r="L3" s="25" t="s">
        <v>333</v>
      </c>
      <c r="M3" s="25" t="s">
        <v>348</v>
      </c>
      <c r="N3" s="25" t="s">
        <v>349</v>
      </c>
      <c r="O3" s="25" t="s">
        <v>350</v>
      </c>
      <c r="P3" s="25" t="s">
        <v>351</v>
      </c>
      <c r="Q3" s="25" t="s">
        <v>338</v>
      </c>
    </row>
    <row r="4" customFormat="false" ht="18" hidden="false" customHeight="true" outlineLevel="0" collapsed="false">
      <c r="A4" s="26" t="str">
        <f aca="false">IF(Übungen!$A4="","",Übungen!$A4)</f>
        <v>Beinpresse eng</v>
      </c>
      <c r="B4" s="83" t="str">
        <f aca="false">IF(Übungen!$B4="","",Übungen!$B4)</f>
        <v>Beine vorne</v>
      </c>
      <c r="C4" s="71" t="n">
        <f aca="false">IF($D4="","",SUMPRODUCT((COUNTIFS(Log!$D$4:$D$1203,$A4,Log!$E$4:$E$1203,"A",Log!$B$4:$B$1203,Einheiten!$A$4:$A$63)&gt;0)*1))</f>
        <v>3</v>
      </c>
      <c r="D4" s="71" t="n">
        <f aca="false">IF($A4="","",IF(COUNTIFS(Log!$D$4:$D$1203,$A4,Log!$E$4:$E$1203,"A")=0,"",COUNTIFS(Log!$D$4:$D$1203,$A4,Log!$E$4:$E$1203,"A")))</f>
        <v>8</v>
      </c>
      <c r="E4" s="71" t="n">
        <f aca="false">IF($D4="","",SUMIFS(Log!$I$4:$I$1203,Log!$D$4:$D$1203,$A4,Log!$E$4:$E$1203,"A"))</f>
        <v>20876</v>
      </c>
      <c r="F4" s="84" t="n">
        <f aca="false">IF($D4="","",IF(SUMPRODUCT(MAX((Log!$D$4:$D$1203=$A4)*(Log!$E$4:$E$1203="A")*(Log!$F$4:$F$1203&lt;&gt;"")*Log!$F$4:$F$1203))=0,"",SUMPRODUCT(MAX((Log!$D$4:$D$1203=$A4)*(Log!$E$4:$E$1203="A")*(Log!$F$4:$F$1203&lt;&gt;"")*Log!$F$4:$F$1203))))</f>
        <v>333</v>
      </c>
      <c r="G4" s="71" t="n">
        <f aca="false">IF($F4="","",SUMPRODUCT(MAX((Log!$D$4:$D$1203=$A4)*(Log!$E$4:$E$1203="A")*(Log!$F$4:$F$1203=$F4)*Log!$B$4:$B$1203)))</f>
        <v>8</v>
      </c>
      <c r="H4" s="84" t="n">
        <f aca="false">IF($D4="","",IF(SUMPRODUCT(MAX((Log!$D$4:$D$1203=$A4)*(Log!$E$4:$E$1203="A")*(Log!$F$4:$F$1203&lt;&gt;"")*(Log!$G$4:$G$1203&lt;&gt;"")*Log!$F$4:$F$1203*(1+Log!$G$4:$G$1203/30)))=0,"",SUMPRODUCT(MAX((Log!$D$4:$D$1203=$A4)*(Log!$E$4:$E$1203="A")*(Log!$F$4:$F$1203&lt;&gt;"")*(Log!$G$4:$G$1203&lt;&gt;"")*Log!$F$4:$F$1203*(1+Log!$G$4:$G$1203/30)))))</f>
        <v>421.8</v>
      </c>
      <c r="I4" s="71" t="n">
        <f aca="false">IF($H4="","",SUMPRODUCT(MAX((Log!$D$4:$D$1203=$A4)*(Log!$E$4:$E$1203="A")*(Log!$F$4:$F$1203&lt;&gt;"")*(Log!$G$4:$G$1203&lt;&gt;"")*(ROUND(Log!$F$4:$F$1203*(1+Log!$G$4:$G$1203/30),6)=ROUND($H4,6))*Log!$B$4:$B$1203)))</f>
        <v>8</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8</v>
      </c>
      <c r="L4" s="74" t="n">
        <f aca="false">IF($K4="","",IF(SUMPRODUCT(MAX((Log!$D$4:$D$1203=$A4)*(Log!$B$4:$B$1203=$K4)*(Log!$E$4:$E$1203="A")*(Log!$F$4:$F$1203&lt;&gt;"")*Log!$F$4:$F$1203))=0,"",SUMPRODUCT(MAX((Log!$D$4:$D$1203=$A4)*(Log!$B$4:$B$1203=$K4)*(Log!$E$4:$E$1203="A")*(Log!$F$4:$F$1203&lt;&gt;"")*Log!$F$4:$F$1203))))</f>
        <v>333</v>
      </c>
      <c r="M4" s="71" t="n">
        <f aca="false">IF($L4="","",IF(SUMPRODUCT(MAX((Log!$D$4:$D$1203=$A4)*(Log!$B$4:$B$1203=$K4)*(Log!$E$4:$E$1203="A")*(Log!$F$4:$F$1203=$L4)*Log!$G$4:$G$1203))=0,"",SUMPRODUCT(MAX((Log!$D$4:$D$1203=$A4)*(Log!$B$4:$B$1203=$K4)*(Log!$E$4:$E$1203="A")*(Log!$F$4:$F$1203=$L4)*Log!$G$4:$G$1203))))</f>
        <v>8</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5"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86" t="n">
        <f aca="false">IF(Übungen!$D4="","",IF($O4="","",IF($L4="",Übungen!$D4,IF(AND($N4&lt;&gt;"",Übungen!$E4&lt;&gt;"",$N4&gt;=Übungen!$E4),Übungen!$D4,IF(OR($N4="",$N4&lt;Übungen!$D4),Übungen!$D4,MIN(Übungen!$E4,$N4+1))))))</f>
        <v>5</v>
      </c>
      <c r="Q4" s="79"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7</v>
      </c>
      <c r="D5" s="73" t="n">
        <f aca="false">IF($A5="","",IF(COUNTIFS(Log!$D$4:$D$1203,$A5,Log!$E$4:$E$1203,"A")=0,"",COUNTIFS(Log!$D$4:$D$1203,$A5,Log!$E$4:$E$1203,"A")))</f>
        <v>20</v>
      </c>
      <c r="E5" s="73" t="n">
        <f aca="false">IF($D5="","",SUMIFS(Log!$I$4:$I$1203,Log!$D$4:$D$1203,$A5,Log!$E$4:$E$1203,"A"))</f>
        <v>13595</v>
      </c>
      <c r="F5" s="87" t="n">
        <f aca="false">IF($D5="","",IF(SUMPRODUCT(MAX((Log!$D$4:$D$1203=$A5)*(Log!$E$4:$E$1203="A")*(Log!$F$4:$F$1203&lt;&gt;"")*Log!$F$4:$F$1203))=0,"",SUMPRODUCT(MAX((Log!$D$4:$D$1203=$A5)*(Log!$E$4:$E$1203="A")*(Log!$F$4:$F$1203&lt;&gt;"")*Log!$F$4:$F$1203))))</f>
        <v>115</v>
      </c>
      <c r="G5" s="73" t="n">
        <f aca="false">IF($F5="","",SUMPRODUCT(MAX((Log!$D$4:$D$1203=$A5)*(Log!$E$4:$E$1203="A")*(Log!$F$4:$F$1203=$F5)*Log!$B$4:$B$1203)))</f>
        <v>8</v>
      </c>
      <c r="H5" s="87" t="n">
        <f aca="false">IF($D5="","",IF(SUMPRODUCT(MAX((Log!$D$4:$D$1203=$A5)*(Log!$E$4:$E$1203="A")*(Log!$F$4:$F$1203&lt;&gt;"")*(Log!$G$4:$G$1203&lt;&gt;"")*Log!$F$4:$F$1203*(1+Log!$G$4:$G$1203/30)))=0,"",SUMPRODUCT(MAX((Log!$D$4:$D$1203=$A5)*(Log!$E$4:$E$1203="A")*(Log!$F$4:$F$1203&lt;&gt;"")*(Log!$G$4:$G$1203&lt;&gt;"")*Log!$F$4:$F$1203*(1+Log!$G$4:$G$1203/30)))))</f>
        <v>138</v>
      </c>
      <c r="I5" s="73" t="n">
        <f aca="false">IF($H5="","",SUMPRODUCT(MAX((Log!$D$4:$D$1203=$A5)*(Log!$E$4:$E$1203="A")*(Log!$F$4:$F$1203&lt;&gt;"")*(Log!$G$4:$G$1203&lt;&gt;"")*(ROUND(Log!$F$4:$F$1203*(1+Log!$G$4:$G$1203/30),6)=ROUND($H5,6))*Log!$B$4:$B$1203)))</f>
        <v>8</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8</v>
      </c>
      <c r="L5" s="76" t="n">
        <f aca="false">IF($K5="","",IF(SUMPRODUCT(MAX((Log!$D$4:$D$1203=$A5)*(Log!$B$4:$B$1203=$K5)*(Log!$E$4:$E$1203="A")*(Log!$F$4:$F$1203&lt;&gt;"")*Log!$F$4:$F$1203))=0,"",SUMPRODUCT(MAX((Log!$D$4:$D$1203=$A5)*(Log!$B$4:$B$1203=$K5)*(Log!$E$4:$E$1203="A")*(Log!$F$4:$F$1203&lt;&gt;"")*Log!$F$4:$F$1203))))</f>
        <v>115</v>
      </c>
      <c r="M5" s="73" t="n">
        <f aca="false">IF($L5="","",IF(SUMPRODUCT(MAX((Log!$D$4:$D$1203=$A5)*(Log!$B$4:$B$1203=$K5)*(Log!$E$4:$E$1203="A")*(Log!$F$4:$F$1203=$L5)*Log!$G$4:$G$1203))=0,"",SUMPRODUCT(MAX((Log!$D$4:$D$1203=$A5)*(Log!$B$4:$B$1203=$K5)*(Log!$E$4:$E$1203="A")*(Log!$F$4:$F$1203=$L5)*Log!$G$4:$G$1203))))</f>
        <v>6</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88"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89" t="n">
        <f aca="false">IF(Übungen!$D5="","",IF($O5="","",IF($L5="",Übungen!$D5,IF(AND($N5&lt;&gt;"",Übungen!$E5&lt;&gt;"",$N5&gt;=Übungen!$E5),Übungen!$D5,IF(OR($N5="",$N5&lt;Übungen!$D5),Übungen!$D5,MIN(Übungen!$E5,$N5+1))))))</f>
        <v>6</v>
      </c>
      <c r="Q5" s="82"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7</v>
      </c>
      <c r="D6" s="71" t="n">
        <f aca="false">IF($A6="","",IF(COUNTIFS(Log!$D$4:$D$1203,$A6,Log!$E$4:$E$1203,"A")=0,"",COUNTIFS(Log!$D$4:$D$1203,$A6,Log!$E$4:$E$1203,"A")))</f>
        <v>16</v>
      </c>
      <c r="E6" s="71" t="n">
        <f aca="false">IF($D6="","",SUMIFS(Log!$I$4:$I$1203,Log!$D$4:$D$1203,$A6,Log!$E$4:$E$1203,"A"))</f>
        <v>11025</v>
      </c>
      <c r="F6" s="84" t="n">
        <f aca="false">IF($D6="","",IF(SUMPRODUCT(MAX((Log!$D$4:$D$1203=$A6)*(Log!$E$4:$E$1203="A")*(Log!$F$4:$F$1203&lt;&gt;"")*Log!$F$4:$F$1203))=0,"",SUMPRODUCT(MAX((Log!$D$4:$D$1203=$A6)*(Log!$E$4:$E$1203="A")*(Log!$F$4:$F$1203&lt;&gt;"")*Log!$F$4:$F$1203))))</f>
        <v>95</v>
      </c>
      <c r="G6" s="71" t="n">
        <f aca="false">IF($F6="","",SUMPRODUCT(MAX((Log!$D$4:$D$1203=$A6)*(Log!$E$4:$E$1203="A")*(Log!$F$4:$F$1203=$F6)*Log!$B$4:$B$1203)))</f>
        <v>6</v>
      </c>
      <c r="H6" s="84"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8</v>
      </c>
      <c r="L6" s="74" t="n">
        <f aca="false">IF($K6="","",IF(SUMPRODUCT(MAX((Log!$D$4:$D$1203=$A6)*(Log!$B$4:$B$1203=$K6)*(Log!$E$4:$E$1203="A")*(Log!$F$4:$F$1203&lt;&gt;"")*Log!$F$4:$F$1203))=0,"",SUMPRODUCT(MAX((Log!$D$4:$D$1203=$A6)*(Log!$B$4:$B$1203=$K6)*(Log!$E$4:$E$1203="A")*(Log!$F$4:$F$1203&lt;&gt;"")*Log!$F$4:$F$1203))))</f>
        <v>80</v>
      </c>
      <c r="M6" s="71" t="n">
        <f aca="false">IF($L6="","",IF(SUMPRODUCT(MAX((Log!$D$4:$D$1203=$A6)*(Log!$B$4:$B$1203=$K6)*(Log!$E$4:$E$1203="A")*(Log!$F$4:$F$1203=$L6)*Log!$G$4:$G$1203))=0,"",SUMPRODUCT(MAX((Log!$D$4:$D$1203=$A6)*(Log!$B$4:$B$1203=$K6)*(Log!$E$4:$E$1203="A")*(Log!$F$4:$F$1203=$L6)*Log!$G$4:$G$1203))))</f>
        <v>8</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5"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86" t="n">
        <f aca="false">IF(Übungen!$D6="","",IF($O6="","",IF($L6="",Übungen!$D6,IF(AND($N6&lt;&gt;"",Übungen!$E6&lt;&gt;"",$N6&gt;=Übungen!$E6),Übungen!$D6,IF(OR($N6="",$N6&lt;Übungen!$D6),Übungen!$D6,MIN(Übungen!$E6,$N6+1))))))</f>
        <v>5</v>
      </c>
      <c r="Q6" s="79"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7</v>
      </c>
      <c r="D7" s="73" t="n">
        <f aca="false">IF($A7="","",IF(COUNTIFS(Log!$D$4:$D$1203,$A7,Log!$E$4:$E$1203,"A")=0,"",COUNTIFS(Log!$D$4:$D$1203,$A7,Log!$E$4:$E$1203,"A")))</f>
        <v>15</v>
      </c>
      <c r="E7" s="73" t="n">
        <f aca="false">IF($D7="","",SUMIFS(Log!$I$4:$I$1203,Log!$D$4:$D$1203,$A7,Log!$E$4:$E$1203,"A"))</f>
        <v>30398</v>
      </c>
      <c r="F7" s="87" t="n">
        <f aca="false">IF($D7="","",IF(SUMPRODUCT(MAX((Log!$D$4:$D$1203=$A7)*(Log!$E$4:$E$1203="A")*(Log!$F$4:$F$1203&lt;&gt;"")*Log!$F$4:$F$1203))=0,"",SUMPRODUCT(MAX((Log!$D$4:$D$1203=$A7)*(Log!$E$4:$E$1203="A")*(Log!$F$4:$F$1203&lt;&gt;"")*Log!$F$4:$F$1203))))</f>
        <v>185</v>
      </c>
      <c r="G7" s="73" t="n">
        <f aca="false">IF($F7="","",SUMPRODUCT(MAX((Log!$D$4:$D$1203=$A7)*(Log!$E$4:$E$1203="A")*(Log!$F$4:$F$1203=$F7)*Log!$B$4:$B$1203)))</f>
        <v>8</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8</v>
      </c>
      <c r="L7" s="76" t="n">
        <f aca="false">IF($K7="","",IF(SUMPRODUCT(MAX((Log!$D$4:$D$1203=$A7)*(Log!$B$4:$B$1203=$K7)*(Log!$E$4:$E$1203="A")*(Log!$F$4:$F$1203&lt;&gt;"")*Log!$F$4:$F$1203))=0,"",SUMPRODUCT(MAX((Log!$D$4:$D$1203=$A7)*(Log!$B$4:$B$1203=$K7)*(Log!$E$4:$E$1203="A")*(Log!$F$4:$F$1203&lt;&gt;"")*Log!$F$4:$F$1203))))</f>
        <v>185</v>
      </c>
      <c r="M7" s="73" t="n">
        <f aca="false">IF($L7="","",IF(SUMPRODUCT(MAX((Log!$D$4:$D$1203=$A7)*(Log!$B$4:$B$1203=$K7)*(Log!$E$4:$E$1203="A")*(Log!$F$4:$F$1203=$L7)*Log!$G$4:$G$1203))=0,"",SUMPRODUCT(MAX((Log!$D$4:$D$1203=$A7)*(Log!$B$4:$B$1203=$K7)*(Log!$E$4:$E$1203="A")*(Log!$F$4:$F$1203=$L7)*Log!$G$4:$G$1203))))</f>
        <v>5</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88"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89" t="n">
        <f aca="false">IF(Übungen!$D7="","",IF($O7="","",IF($L7="",Übungen!$D7,IF(AND($N7&lt;&gt;"",Übungen!$E7&lt;&gt;"",$N7&gt;=Übungen!$E7),Übungen!$D7,IF(OR($N7="",$N7&lt;Übungen!$D7),Übungen!$D7,MIN(Übungen!$E7,$N7+1))))))</f>
        <v>6</v>
      </c>
      <c r="Q7" s="82"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2</v>
      </c>
      <c r="D8" s="71" t="n">
        <f aca="false">IF($A8="","",IF(COUNTIFS(Log!$D$4:$D$1203,$A8,Log!$E$4:$E$1203,"A")=0,"",COUNTIFS(Log!$D$4:$D$1203,$A8,Log!$E$4:$E$1203,"A")))</f>
        <v>6</v>
      </c>
      <c r="E8" s="71" t="n">
        <f aca="false">IF($D8="","",SUMIFS(Log!$I$4:$I$1203,Log!$D$4:$D$1203,$A8,Log!$E$4:$E$1203,"A"))</f>
        <v>6550</v>
      </c>
      <c r="F8" s="84" t="n">
        <f aca="false">IF($D8="","",IF(SUMPRODUCT(MAX((Log!$D$4:$D$1203=$A8)*(Log!$E$4:$E$1203="A")*(Log!$F$4:$F$1203&lt;&gt;"")*Log!$F$4:$F$1203))=0,"",SUMPRODUCT(MAX((Log!$D$4:$D$1203=$A8)*(Log!$E$4:$E$1203="A")*(Log!$F$4:$F$1203&lt;&gt;"")*Log!$F$4:$F$1203))))</f>
        <v>135</v>
      </c>
      <c r="G8" s="71" t="n">
        <f aca="false">IF($F8="","",SUMPRODUCT(MAX((Log!$D$4:$D$1203=$A8)*(Log!$E$4:$E$1203="A")*(Log!$F$4:$F$1203=$F8)*Log!$B$4:$B$1203)))</f>
        <v>7</v>
      </c>
      <c r="H8" s="84" t="n">
        <f aca="false">IF($D8="","",IF(SUMPRODUCT(MAX((Log!$D$4:$D$1203=$A8)*(Log!$E$4:$E$1203="A")*(Log!$F$4:$F$1203&lt;&gt;"")*(Log!$G$4:$G$1203&lt;&gt;"")*Log!$F$4:$F$1203*(1+Log!$G$4:$G$1203/30)))=0,"",SUMPRODUCT(MAX((Log!$D$4:$D$1203=$A8)*(Log!$E$4:$E$1203="A")*(Log!$F$4:$F$1203&lt;&gt;"")*(Log!$G$4:$G$1203&lt;&gt;"")*Log!$F$4:$F$1203*(1+Log!$G$4:$G$1203/30)))))</f>
        <v>164.666666666667</v>
      </c>
      <c r="I8" s="71" t="n">
        <f aca="false">IF($H8="","",SUMPRODUCT(MAX((Log!$D$4:$D$1203=$A8)*(Log!$E$4:$E$1203="A")*(Log!$F$4:$F$1203&lt;&gt;"")*(Log!$G$4:$G$1203&lt;&gt;"")*(ROUND(Log!$F$4:$F$1203*(1+Log!$G$4:$G$1203/30),6)=ROUND($H8,6))*Log!$B$4:$B$1203)))</f>
        <v>7</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7</v>
      </c>
      <c r="L8" s="74" t="n">
        <f aca="false">IF($K8="","",IF(SUMPRODUCT(MAX((Log!$D$4:$D$1203=$A8)*(Log!$B$4:$B$1203=$K8)*(Log!$E$4:$E$1203="A")*(Log!$F$4:$F$1203&lt;&gt;"")*Log!$F$4:$F$1203))=0,"",SUMPRODUCT(MAX((Log!$D$4:$D$1203=$A8)*(Log!$B$4:$B$1203=$K8)*(Log!$E$4:$E$1203="A")*(Log!$F$4:$F$1203&lt;&gt;"")*Log!$F$4:$F$1203))))</f>
        <v>135</v>
      </c>
      <c r="M8" s="71" t="n">
        <f aca="false">IF($L8="","",IF(SUMPRODUCT(MAX((Log!$D$4:$D$1203=$A8)*(Log!$B$4:$B$1203=$K8)*(Log!$E$4:$E$1203="A")*(Log!$F$4:$F$1203=$L8)*Log!$G$4:$G$1203))=0,"",SUMPRODUCT(MAX((Log!$D$4:$D$1203=$A8)*(Log!$B$4:$B$1203=$K8)*(Log!$E$4:$E$1203="A")*(Log!$F$4:$F$1203=$L8)*Log!$G$4:$G$1203))))</f>
        <v>6</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5"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86" t="n">
        <f aca="false">IF(Übungen!$D8="","",IF($O8="","",IF($L8="",Übungen!$D8,IF(AND($N8&lt;&gt;"",Übungen!$E8&lt;&gt;"",$N8&gt;=Übungen!$E8),Übungen!$D8,IF(OR($N8="",$N8&lt;Übungen!$D8),Übungen!$D8,MIN(Übungen!$E8,$N8+1))))))</f>
        <v>7</v>
      </c>
      <c r="Q8" s="79"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2" t="str">
        <f aca="false">IF(Übungen!$A9="","",Übungen!$A9)</f>
        <v>Beinpresse breit</v>
      </c>
      <c r="B9" s="4" t="str">
        <f aca="false">IF(Übungen!$B9="","",Übungen!$B9)</f>
        <v>Beine hinten</v>
      </c>
      <c r="C9" s="73" t="str">
        <f aca="false">IF($D9="","",SUMPRODUCT((COUNTIFS(Log!$D$4:$D$1203,$A9,Log!$E$4:$E$1203,"A",Log!$B$4:$B$1203,Einheiten!$A$4:$A$63)&gt;0)*1))</f>
        <v/>
      </c>
      <c r="D9" s="73" t="str">
        <f aca="false">IF($A9="","",IF(COUNTIFS(Log!$D$4:$D$1203,$A9,Log!$E$4:$E$1203,"A")=0,"",COUNTIFS(Log!$D$4:$D$1203,$A9,Log!$E$4:$E$1203,"A")))</f>
        <v/>
      </c>
      <c r="E9" s="73" t="str">
        <f aca="false">IF($D9="","",SUMIFS(Log!$I$4:$I$1203,Log!$D$4:$D$1203,$A9,Log!$E$4:$E$1203,"A"))</f>
        <v/>
      </c>
      <c r="F9" s="87" t="str">
        <f aca="false">IF($D9="","",IF(SUMPRODUCT(MAX((Log!$D$4:$D$1203=$A9)*(Log!$E$4:$E$1203="A")*(Log!$F$4:$F$1203&lt;&gt;"")*Log!$F$4:$F$1203))=0,"",SUMPRODUCT(MAX((Log!$D$4:$D$1203=$A9)*(Log!$E$4:$E$1203="A")*(Log!$F$4:$F$1203&lt;&gt;"")*Log!$F$4:$F$1203))))</f>
        <v/>
      </c>
      <c r="G9" s="73" t="str">
        <f aca="false">IF($F9="","",SUMPRODUCT(MAX((Log!$D$4:$D$1203=$A9)*(Log!$E$4:$E$1203="A")*(Log!$F$4:$F$1203=$F9)*Log!$B$4:$B$1203)))</f>
        <v/>
      </c>
      <c r="H9" s="87" t="str">
        <f aca="false">IF($D9="","",IF(SUMPRODUCT(MAX((Log!$D$4:$D$1203=$A9)*(Log!$E$4:$E$1203="A")*(Log!$F$4:$F$1203&lt;&gt;"")*(Log!$G$4:$G$1203&lt;&gt;"")*Log!$F$4:$F$1203*(1+Log!$G$4:$G$1203/30)))=0,"",SUMPRODUCT(MAX((Log!$D$4:$D$1203=$A9)*(Log!$E$4:$E$1203="A")*(Log!$F$4:$F$1203&lt;&gt;"")*(Log!$G$4:$G$1203&lt;&gt;"")*Log!$F$4:$F$1203*(1+Log!$G$4:$G$1203/30)))))</f>
        <v/>
      </c>
      <c r="I9" s="73" t="str">
        <f aca="false">IF($H9="","",SUMPRODUCT(MAX((Log!$D$4:$D$1203=$A9)*(Log!$E$4:$E$1203="A")*(Log!$F$4:$F$1203&lt;&gt;"")*(Log!$G$4:$G$1203&lt;&gt;"")*(ROUND(Log!$F$4:$F$1203*(1+Log!$G$4:$G$1203/30),6)=ROUND($H9,6))*Log!$B$4:$B$1203)))</f>
        <v/>
      </c>
      <c r="J9" s="73" t="str">
        <f aca="false">IF($D9="","",IF(SUMPRODUCT(MAX((Log!$D$4:$D$1203=$A9)*(Log!$E$4:$E$1203="A")*(Log!$F$4:$F$1203&lt;&gt;"")*(Log!$G$4:$G$1203&lt;&gt;"")*Log!$F$4:$F$1203*Log!$G$4:$G$1203))=0,"",SUMPRODUCT(MAX((Log!$D$4:$D$1203=$A9)*(Log!$E$4:$E$1203="A")*(Log!$F$4:$F$1203&lt;&gt;"")*(Log!$G$4:$G$1203&lt;&gt;"")*Log!$F$4:$F$1203*Log!$G$4:$G$1203))))</f>
        <v/>
      </c>
      <c r="K9" s="73" t="str">
        <f aca="false">IF($D9="","",IF(SUMPRODUCT(MAX((Log!$D$4:$D$1203=$A9)*(Log!$E$4:$E$1203="A")*Log!$B$4:$B$1203))=0,"",SUMPRODUCT(MAX((Log!$D$4:$D$1203=$A9)*(Log!$E$4:$E$1203="A")*Log!$B$4:$B$1203))))</f>
        <v/>
      </c>
      <c r="L9" s="76" t="str">
        <f aca="false">IF($K9="","",IF(SUMPRODUCT(MAX((Log!$D$4:$D$1203=$A9)*(Log!$B$4:$B$1203=$K9)*(Log!$E$4:$E$1203="A")*(Log!$F$4:$F$1203&lt;&gt;"")*Log!$F$4:$F$1203))=0,"",SUMPRODUCT(MAX((Log!$D$4:$D$1203=$A9)*(Log!$B$4:$B$1203=$K9)*(Log!$E$4:$E$1203="A")*(Log!$F$4:$F$1203&lt;&gt;"")*Log!$F$4:$F$1203))))</f>
        <v/>
      </c>
      <c r="M9" s="73" t="str">
        <f aca="false">IF($L9="","",IF(SUMPRODUCT(MAX((Log!$D$4:$D$1203=$A9)*(Log!$B$4:$B$1203=$K9)*(Log!$E$4:$E$1203="A")*(Log!$F$4:$F$1203=$L9)*Log!$G$4:$G$1203))=0,"",SUMPRODUCT(MAX((Log!$D$4:$D$1203=$A9)*(Log!$B$4:$B$1203=$K9)*(Log!$E$4:$E$1203="A")*(Log!$F$4:$F$1203=$L9)*Log!$G$4:$G$1203))))</f>
        <v/>
      </c>
      <c r="N9" s="73"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8"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89"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26" t="str">
        <f aca="false">IF(Übungen!$A10="","",Übungen!$A10)</f>
        <v>Hip Thrust</v>
      </c>
      <c r="B10" s="83" t="str">
        <f aca="false">IF(Übungen!$B10="","",Übungen!$B10)</f>
        <v>Beine hinten</v>
      </c>
      <c r="C10" s="71" t="n">
        <f aca="false">IF($D10="","",SUMPRODUCT((COUNTIFS(Log!$D$4:$D$1203,$A10,Log!$E$4:$E$1203,"A",Log!$B$4:$B$1203,Einheiten!$A$4:$A$63)&gt;0)*1))</f>
        <v>6</v>
      </c>
      <c r="D10" s="71" t="n">
        <f aca="false">IF($A10="","",IF(COUNTIFS(Log!$D$4:$D$1203,$A10,Log!$E$4:$E$1203,"A")=0,"",COUNTIFS(Log!$D$4:$D$1203,$A10,Log!$E$4:$E$1203,"A")))</f>
        <v>15</v>
      </c>
      <c r="E10" s="71" t="n">
        <f aca="false">IF($D10="","",SUMIFS(Log!$I$4:$I$1203,Log!$D$4:$D$1203,$A10,Log!$E$4:$E$1203,"A"))</f>
        <v>31960</v>
      </c>
      <c r="F10" s="84" t="n">
        <f aca="false">IF($D10="","",IF(SUMPRODUCT(MAX((Log!$D$4:$D$1203=$A10)*(Log!$E$4:$E$1203="A")*(Log!$F$4:$F$1203&lt;&gt;"")*Log!$F$4:$F$1203))=0,"",SUMPRODUCT(MAX((Log!$D$4:$D$1203=$A10)*(Log!$E$4:$E$1203="A")*(Log!$F$4:$F$1203&lt;&gt;"")*Log!$F$4:$F$1203))))</f>
        <v>290</v>
      </c>
      <c r="G10" s="71" t="n">
        <f aca="false">IF($F10="","",SUMPRODUCT(MAX((Log!$D$4:$D$1203=$A10)*(Log!$E$4:$E$1203="A")*(Log!$F$4:$F$1203=$F10)*Log!$B$4:$B$1203)))</f>
        <v>7</v>
      </c>
      <c r="H10" s="84" t="n">
        <f aca="false">IF($D10="","",IF(SUMPRODUCT(MAX((Log!$D$4:$D$1203=$A10)*(Log!$E$4:$E$1203="A")*(Log!$F$4:$F$1203&lt;&gt;"")*(Log!$G$4:$G$1203&lt;&gt;"")*Log!$F$4:$F$1203*(1+Log!$G$4:$G$1203/30)))=0,"",SUMPRODUCT(MAX((Log!$D$4:$D$1203=$A10)*(Log!$E$4:$E$1203="A")*(Log!$F$4:$F$1203&lt;&gt;"")*(Log!$G$4:$G$1203&lt;&gt;"")*Log!$F$4:$F$1203*(1+Log!$G$4:$G$1203/30)))))</f>
        <v>367.333333333333</v>
      </c>
      <c r="I10" s="71" t="n">
        <f aca="false">IF($H10="","",SUMPRODUCT(MAX((Log!$D$4:$D$1203=$A10)*(Log!$E$4:$E$1203="A")*(Log!$F$4:$F$1203&lt;&gt;"")*(Log!$G$4:$G$1203&lt;&gt;"")*(ROUND(Log!$F$4:$F$1203*(1+Log!$G$4:$G$1203/30),6)=ROUND($H10,6))*Log!$B$4:$B$1203)))</f>
        <v>7</v>
      </c>
      <c r="J10" s="71" t="n">
        <f aca="false">IF($D10="","",IF(SUMPRODUCT(MAX((Log!$D$4:$D$1203=$A10)*(Log!$E$4:$E$1203="A")*(Log!$F$4:$F$1203&lt;&gt;"")*(Log!$G$4:$G$1203&lt;&gt;"")*Log!$F$4:$F$1203*Log!$G$4:$G$1203))=0,"",SUMPRODUCT(MAX((Log!$D$4:$D$1203=$A10)*(Log!$E$4:$E$1203="A")*(Log!$F$4:$F$1203&lt;&gt;"")*(Log!$G$4:$G$1203&lt;&gt;"")*Log!$F$4:$F$1203*Log!$G$4:$G$1203))))</f>
        <v>2700</v>
      </c>
      <c r="K10" s="71" t="n">
        <f aca="false">IF($D10="","",IF(SUMPRODUCT(MAX((Log!$D$4:$D$1203=$A10)*(Log!$E$4:$E$1203="A")*Log!$B$4:$B$1203))=0,"",SUMPRODUCT(MAX((Log!$D$4:$D$1203=$A10)*(Log!$E$4:$E$1203="A")*Log!$B$4:$B$1203))))</f>
        <v>7</v>
      </c>
      <c r="L10" s="74" t="n">
        <f aca="false">IF($K10="","",IF(SUMPRODUCT(MAX((Log!$D$4:$D$1203=$A10)*(Log!$B$4:$B$1203=$K10)*(Log!$E$4:$E$1203="A")*(Log!$F$4:$F$1203&lt;&gt;"")*Log!$F$4:$F$1203))=0,"",SUMPRODUCT(MAX((Log!$D$4:$D$1203=$A10)*(Log!$B$4:$B$1203=$K10)*(Log!$E$4:$E$1203="A")*(Log!$F$4:$F$1203&lt;&gt;"")*Log!$F$4:$F$1203))))</f>
        <v>290</v>
      </c>
      <c r="M10" s="71" t="n">
        <f aca="false">IF($L10="","",IF(SUMPRODUCT(MAX((Log!$D$4:$D$1203=$A10)*(Log!$B$4:$B$1203=$K10)*(Log!$E$4:$E$1203="A")*(Log!$F$4:$F$1203=$L10)*Log!$G$4:$G$1203))=0,"",SUMPRODUCT(MAX((Log!$D$4:$D$1203=$A10)*(Log!$B$4:$B$1203=$K10)*(Log!$E$4:$E$1203="A")*(Log!$F$4:$F$1203=$L10)*Log!$G$4:$G$1203))))</f>
        <v>8</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5"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86"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32" t="str">
        <f aca="false">IF(Übungen!$A11="","",Übungen!$A11)</f>
        <v>Hip &amp; Glute</v>
      </c>
      <c r="B11" s="4" t="str">
        <f aca="false">IF(Übungen!$B11="","",Übungen!$B11)</f>
        <v>Beine hinten</v>
      </c>
      <c r="C11" s="73" t="n">
        <f aca="false">IF($D11="","",SUMPRODUCT((COUNTIFS(Log!$D$4:$D$1203,$A11,Log!$E$4:$E$1203,"A",Log!$B$4:$B$1203,Einheiten!$A$4:$A$63)&gt;0)*1))</f>
        <v>1</v>
      </c>
      <c r="D11" s="73" t="n">
        <f aca="false">IF($A11="","",IF(COUNTIFS(Log!$D$4:$D$1203,$A11,Log!$E$4:$E$1203,"A")=0,"",COUNTIFS(Log!$D$4:$D$1203,$A11,Log!$E$4:$E$1203,"A")))</f>
        <v>2</v>
      </c>
      <c r="E11" s="73" t="n">
        <f aca="false">IF($D11="","",SUMIFS(Log!$I$4:$I$1203,Log!$D$4:$D$1203,$A11,Log!$E$4:$E$1203,"A"))</f>
        <v>3732</v>
      </c>
      <c r="F11" s="87" t="n">
        <f aca="false">IF($D11="","",IF(SUMPRODUCT(MAX((Log!$D$4:$D$1203=$A11)*(Log!$E$4:$E$1203="A")*(Log!$F$4:$F$1203&lt;&gt;"")*Log!$F$4:$F$1203))=0,"",SUMPRODUCT(MAX((Log!$D$4:$D$1203=$A11)*(Log!$E$4:$E$1203="A")*(Log!$F$4:$F$1203&lt;&gt;"")*Log!$F$4:$F$1203))))</f>
        <v>141</v>
      </c>
      <c r="G11" s="73" t="n">
        <f aca="false">IF($F11="","",SUMPRODUCT(MAX((Log!$D$4:$D$1203=$A11)*(Log!$E$4:$E$1203="A")*(Log!$F$4:$F$1203=$F11)*Log!$B$4:$B$1203)))</f>
        <v>7</v>
      </c>
      <c r="H11" s="87" t="n">
        <f aca="false">IF($D11="","",IF(SUMPRODUCT(MAX((Log!$D$4:$D$1203=$A11)*(Log!$E$4:$E$1203="A")*(Log!$F$4:$F$1203&lt;&gt;"")*(Log!$G$4:$G$1203&lt;&gt;"")*Log!$F$4:$F$1203*(1+Log!$G$4:$G$1203/30)))=0,"",SUMPRODUCT(MAX((Log!$D$4:$D$1203=$A11)*(Log!$E$4:$E$1203="A")*(Log!$F$4:$F$1203&lt;&gt;"")*(Log!$G$4:$G$1203&lt;&gt;"")*Log!$F$4:$F$1203*(1+Log!$G$4:$G$1203/30)))))</f>
        <v>204</v>
      </c>
      <c r="I11" s="73" t="n">
        <f aca="false">IF($H11="","",SUMPRODUCT(MAX((Log!$D$4:$D$1203=$A11)*(Log!$E$4:$E$1203="A")*(Log!$F$4:$F$1203&lt;&gt;"")*(Log!$G$4:$G$1203&lt;&gt;"")*(ROUND(Log!$F$4:$F$1203*(1+Log!$G$4:$G$1203/30),6)=ROUND($H11,6))*Log!$B$4:$B$1203)))</f>
        <v>7</v>
      </c>
      <c r="J11" s="73" t="n">
        <f aca="false">IF($D11="","",IF(SUMPRODUCT(MAX((Log!$D$4:$D$1203=$A11)*(Log!$E$4:$E$1203="A")*(Log!$F$4:$F$1203&lt;&gt;"")*(Log!$G$4:$G$1203&lt;&gt;"")*Log!$F$4:$F$1203*Log!$G$4:$G$1203))=0,"",SUMPRODUCT(MAX((Log!$D$4:$D$1203=$A11)*(Log!$E$4:$E$1203="A")*(Log!$F$4:$F$1203&lt;&gt;"")*(Log!$G$4:$G$1203&lt;&gt;"")*Log!$F$4:$F$1203*Log!$G$4:$G$1203))))</f>
        <v>2040</v>
      </c>
      <c r="K11" s="73" t="n">
        <f aca="false">IF($D11="","",IF(SUMPRODUCT(MAX((Log!$D$4:$D$1203=$A11)*(Log!$E$4:$E$1203="A")*Log!$B$4:$B$1203))=0,"",SUMPRODUCT(MAX((Log!$D$4:$D$1203=$A11)*(Log!$E$4:$E$1203="A")*Log!$B$4:$B$1203))))</f>
        <v>7</v>
      </c>
      <c r="L11" s="76" t="n">
        <f aca="false">IF($K11="","",IF(SUMPRODUCT(MAX((Log!$D$4:$D$1203=$A11)*(Log!$B$4:$B$1203=$K11)*(Log!$E$4:$E$1203="A")*(Log!$F$4:$F$1203&lt;&gt;"")*Log!$F$4:$F$1203))=0,"",SUMPRODUCT(MAX((Log!$D$4:$D$1203=$A11)*(Log!$B$4:$B$1203=$K11)*(Log!$E$4:$E$1203="A")*(Log!$F$4:$F$1203&lt;&gt;"")*Log!$F$4:$F$1203))))</f>
        <v>141</v>
      </c>
      <c r="M11" s="73" t="n">
        <f aca="false">IF($L11="","",IF(SUMPRODUCT(MAX((Log!$D$4:$D$1203=$A11)*(Log!$B$4:$B$1203=$K11)*(Log!$E$4:$E$1203="A")*(Log!$F$4:$F$1203=$L11)*Log!$G$4:$G$1203))=0,"",SUMPRODUCT(MAX((Log!$D$4:$D$1203=$A11)*(Log!$B$4:$B$1203=$K11)*(Log!$E$4:$E$1203="A")*(Log!$F$4:$F$1203=$L11)*Log!$G$4:$G$1203))))</f>
        <v>12</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8"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145</v>
      </c>
      <c r="P11" s="89"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(2.8%), Wdh zurück auf 5</v>
      </c>
    </row>
    <row r="12" customFormat="false" ht="18" hidden="false" customHeight="true" outlineLevel="0" collapsed="false">
      <c r="A12" s="26" t="str">
        <f aca="false">IF(Übungen!$A12="","",Übungen!$A12)</f>
        <v>Beinbeuger</v>
      </c>
      <c r="B12" s="83" t="str">
        <f aca="false">IF(Übungen!$B12="","",Übungen!$B12)</f>
        <v>Beine hinten</v>
      </c>
      <c r="C12" s="71" t="n">
        <f aca="false">IF($D12="","",SUMPRODUCT((COUNTIFS(Log!$D$4:$D$1203,$A12,Log!$E$4:$E$1203,"A",Log!$B$4:$B$1203,Einheiten!$A$4:$A$63)&gt;0)*1))</f>
        <v>5</v>
      </c>
      <c r="D12" s="71" t="n">
        <f aca="false">IF($A12="","",IF(COUNTIFS(Log!$D$4:$D$1203,$A12,Log!$E$4:$E$1203,"A")=0,"",COUNTIFS(Log!$D$4:$D$1203,$A12,Log!$E$4:$E$1203,"A")))</f>
        <v>10</v>
      </c>
      <c r="E12" s="71" t="n">
        <f aca="false">IF($D12="","",SUMIFS(Log!$I$4:$I$1203,Log!$D$4:$D$1203,$A12,Log!$E$4:$E$1203,"A"))</f>
        <v>5660</v>
      </c>
      <c r="F12" s="84" t="n">
        <f aca="false">IF($D12="","",IF(SUMPRODUCT(MAX((Log!$D$4:$D$1203=$A12)*(Log!$E$4:$E$1203="A")*(Log!$F$4:$F$1203&lt;&gt;"")*Log!$F$4:$F$1203))=0,"",SUMPRODUCT(MAX((Log!$D$4:$D$1203=$A12)*(Log!$E$4:$E$1203="A")*(Log!$F$4:$F$1203&lt;&gt;"")*Log!$F$4:$F$1203))))</f>
        <v>55</v>
      </c>
      <c r="G12" s="71" t="n">
        <f aca="false">IF($F12="","",SUMPRODUCT(MAX((Log!$D$4:$D$1203=$A12)*(Log!$E$4:$E$1203="A")*(Log!$F$4:$F$1203=$F12)*Log!$B$4:$B$1203)))</f>
        <v>2</v>
      </c>
      <c r="H12" s="84" t="n">
        <f aca="false">IF($D12="","",IF(SUMPRODUCT(MAX((Log!$D$4:$D$1203=$A12)*(Log!$E$4:$E$1203="A")*(Log!$F$4:$F$1203&lt;&gt;"")*(Log!$G$4:$G$1203&lt;&gt;"")*Log!$F$4:$F$1203*(1+Log!$G$4:$G$1203/30)))=0,"",SUMPRODUCT(MAX((Log!$D$4:$D$1203=$A12)*(Log!$E$4:$E$1203="A")*(Log!$F$4:$F$1203&lt;&gt;"")*(Log!$G$4:$G$1203&lt;&gt;"")*Log!$F$4:$F$1203*(1+Log!$G$4:$G$1203/30)))))</f>
        <v>73.3333333333333</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675</v>
      </c>
      <c r="K12" s="71" t="n">
        <f aca="false">IF($D12="","",IF(SUMPRODUCT(MAX((Log!$D$4:$D$1203=$A12)*(Log!$E$4:$E$1203="A")*Log!$B$4:$B$1203))=0,"",SUMPRODUCT(MAX((Log!$D$4:$D$1203=$A12)*(Log!$E$4:$E$1203="A")*Log!$B$4:$B$1203))))</f>
        <v>7</v>
      </c>
      <c r="L12" s="74" t="n">
        <f aca="false">IF($K12="","",IF(SUMPRODUCT(MAX((Log!$D$4:$D$1203=$A12)*(Log!$B$4:$B$1203=$K12)*(Log!$E$4:$E$1203="A")*(Log!$F$4:$F$1203&lt;&gt;"")*Log!$F$4:$F$1203))=0,"",SUMPRODUCT(MAX((Log!$D$4:$D$1203=$A12)*(Log!$B$4:$B$1203=$K12)*(Log!$E$4:$E$1203="A")*(Log!$F$4:$F$1203&lt;&gt;"")*Log!$F$4:$F$1203))))</f>
        <v>52.5</v>
      </c>
      <c r="M12" s="71" t="n">
        <f aca="false">IF($L12="","",IF(SUMPRODUCT(MAX((Log!$D$4:$D$1203=$A12)*(Log!$B$4:$B$1203=$K12)*(Log!$E$4:$E$1203="A")*(Log!$F$4:$F$1203=$L12)*Log!$G$4:$G$1203))=0,"",SUMPRODUCT(MAX((Log!$D$4:$D$1203=$A12)*(Log!$B$4:$B$1203=$K12)*(Log!$E$4:$E$1203="A")*(Log!$F$4:$F$1203=$L12)*Log!$G$4:$G$1203))))</f>
        <v>10</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5"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55</v>
      </c>
      <c r="P12" s="86"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(4.8%), Wdh zurück auf 5</v>
      </c>
    </row>
    <row r="13" customFormat="false" ht="18" hidden="false" customHeight="true" outlineLevel="0" collapsed="false">
      <c r="A13" s="32" t="str">
        <f aca="false">IF(Übungen!$A13="","",Übungen!$A13)</f>
        <v>Seitliche Kickbacks</v>
      </c>
      <c r="B13" s="4" t="str">
        <f aca="false">IF(Übungen!$B13="","",Übungen!$B13)</f>
        <v>Beine hinten</v>
      </c>
      <c r="C13" s="73" t="n">
        <f aca="false">IF($D13="","",SUMPRODUCT((COUNTIFS(Log!$D$4:$D$1203,$A13,Log!$E$4:$E$1203,"A",Log!$B$4:$B$1203,Einheiten!$A$4:$A$63)&gt;0)*1))</f>
        <v>3</v>
      </c>
      <c r="D13" s="73" t="n">
        <f aca="false">IF($A13="","",IF(COUNTIFS(Log!$D$4:$D$1203,$A13,Log!$E$4:$E$1203,"A")=0,"",COUNTIFS(Log!$D$4:$D$1203,$A13,Log!$E$4:$E$1203,"A")))</f>
        <v>6</v>
      </c>
      <c r="E13" s="73" t="n">
        <f aca="false">IF($D13="","",SUMIFS(Log!$I$4:$I$1203,Log!$D$4:$D$1203,$A13,Log!$E$4:$E$1203,"A"))</f>
        <v>2773</v>
      </c>
      <c r="F13" s="87" t="n">
        <f aca="false">IF($D13="","",IF(SUMPRODUCT(MAX((Log!$D$4:$D$1203=$A13)*(Log!$E$4:$E$1203="A")*(Log!$F$4:$F$1203&lt;&gt;"")*Log!$F$4:$F$1203))=0,"",SUMPRODUCT(MAX((Log!$D$4:$D$1203=$A13)*(Log!$E$4:$E$1203="A")*(Log!$F$4:$F$1203&lt;&gt;"")*Log!$F$4:$F$1203))))</f>
        <v>49</v>
      </c>
      <c r="G13" s="73" t="n">
        <f aca="false">IF($F13="","",SUMPRODUCT(MAX((Log!$D$4:$D$1203=$A13)*(Log!$E$4:$E$1203="A")*(Log!$F$4:$F$1203=$F13)*Log!$B$4:$B$1203)))</f>
        <v>1</v>
      </c>
      <c r="H13" s="87" t="n">
        <f aca="false">IF($D13="","",IF(SUMPRODUCT(MAX((Log!$D$4:$D$1203=$A13)*(Log!$E$4:$E$1203="A")*(Log!$F$4:$F$1203&lt;&gt;"")*(Log!$G$4:$G$1203&lt;&gt;"")*Log!$F$4:$F$1203*(1+Log!$G$4:$G$1203/30)))=0,"",SUMPRODUCT(MAX((Log!$D$4:$D$1203=$A13)*(Log!$E$4:$E$1203="A")*(Log!$F$4:$F$1203&lt;&gt;"")*(Log!$G$4:$G$1203&lt;&gt;"")*Log!$F$4:$F$1203*(1+Log!$G$4:$G$1203/30)))))</f>
        <v>68.6</v>
      </c>
      <c r="I13" s="73" t="n">
        <f aca="false">IF($H13="","",SUMPRODUCT(MAX((Log!$D$4:$D$1203=$A13)*(Log!$E$4:$E$1203="A")*(Log!$F$4:$F$1203&lt;&gt;"")*(Log!$G$4:$G$1203&lt;&gt;"")*(ROUND(Log!$F$4:$F$1203*(1+Log!$G$4:$G$1203/30),6)=ROUND($H13,6))*Log!$B$4:$B$1203)))</f>
        <v>1</v>
      </c>
      <c r="J13" s="73" t="n">
        <f aca="false">IF($D13="","",IF(SUMPRODUCT(MAX((Log!$D$4:$D$1203=$A13)*(Log!$E$4:$E$1203="A")*(Log!$F$4:$F$1203&lt;&gt;"")*(Log!$G$4:$G$1203&lt;&gt;"")*Log!$F$4:$F$1203*Log!$G$4:$G$1203))=0,"",SUMPRODUCT(MAX((Log!$D$4:$D$1203=$A13)*(Log!$E$4:$E$1203="A")*(Log!$F$4:$F$1203&lt;&gt;"")*(Log!$G$4:$G$1203&lt;&gt;"")*Log!$F$4:$F$1203*Log!$G$4:$G$1203))))</f>
        <v>588</v>
      </c>
      <c r="K13" s="73" t="n">
        <f aca="false">IF($D13="","",IF(SUMPRODUCT(MAX((Log!$D$4:$D$1203=$A13)*(Log!$E$4:$E$1203="A")*Log!$B$4:$B$1203))=0,"",SUMPRODUCT(MAX((Log!$D$4:$D$1203=$A13)*(Log!$E$4:$E$1203="A")*Log!$B$4:$B$1203))))</f>
        <v>5</v>
      </c>
      <c r="L13" s="76" t="n">
        <f aca="false">IF($K13="","",IF(SUMPRODUCT(MAX((Log!$D$4:$D$1203=$A13)*(Log!$B$4:$B$1203=$K13)*(Log!$E$4:$E$1203="A")*(Log!$F$4:$F$1203&lt;&gt;"")*Log!$F$4:$F$1203))=0,"",SUMPRODUCT(MAX((Log!$D$4:$D$1203=$A13)*(Log!$B$4:$B$1203=$K13)*(Log!$E$4:$E$1203="A")*(Log!$F$4:$F$1203&lt;&gt;"")*Log!$F$4:$F$1203))))</f>
        <v>36</v>
      </c>
      <c r="M13" s="73" t="n">
        <f aca="false">IF($L13="","",IF(SUMPRODUCT(MAX((Log!$D$4:$D$1203=$A13)*(Log!$B$4:$B$1203=$K13)*(Log!$E$4:$E$1203="A")*(Log!$F$4:$F$1203=$L13)*Log!$G$4:$G$1203))=0,"",SUMPRODUCT(MAX((Log!$D$4:$D$1203=$A13)*(Log!$B$4:$B$1203=$K13)*(Log!$E$4:$E$1203="A")*(Log!$F$4:$F$1203=$L13)*Log!$G$4:$G$1203))))</f>
        <v>10</v>
      </c>
      <c r="N13" s="73"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8"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89"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26" t="str">
        <f aca="false">IF(Übungen!$A14="","",Übungen!$A14)</f>
        <v>Waden</v>
      </c>
      <c r="B14" s="83"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13770</v>
      </c>
      <c r="F14" s="84" t="n">
        <f aca="false">IF($D14="","",IF(SUMPRODUCT(MAX((Log!$D$4:$D$1203=$A14)*(Log!$E$4:$E$1203="A")*(Log!$F$4:$F$1203&lt;&gt;"")*Log!$F$4:$F$1203))=0,"",SUMPRODUCT(MAX((Log!$D$4:$D$1203=$A14)*(Log!$E$4:$E$1203="A")*(Log!$F$4:$F$1203&lt;&gt;"")*Log!$F$4:$F$1203))))</f>
        <v>160</v>
      </c>
      <c r="G14" s="71" t="n">
        <f aca="false">IF($F14="","",SUMPRODUCT(MAX((Log!$D$4:$D$1203=$A14)*(Log!$E$4:$E$1203="A")*(Log!$F$4:$F$1203=$F14)*Log!$B$4:$B$1203)))</f>
        <v>7</v>
      </c>
      <c r="H14" s="84" t="n">
        <f aca="false">IF($D14="","",IF(SUMPRODUCT(MAX((Log!$D$4:$D$1203=$A14)*(Log!$E$4:$E$1203="A")*(Log!$F$4:$F$1203&lt;&gt;"")*(Log!$G$4:$G$1203&lt;&gt;"")*Log!$F$4:$F$1203*(1+Log!$G$4:$G$1203/30)))=0,"",SUMPRODUCT(MAX((Log!$D$4:$D$1203=$A14)*(Log!$E$4:$E$1203="A")*(Log!$F$4:$F$1203&lt;&gt;"")*(Log!$G$4:$G$1203&lt;&gt;"")*Log!$F$4:$F$1203*(1+Log!$G$4:$G$1203/30)))))</f>
        <v>224</v>
      </c>
      <c r="I14" s="71" t="n">
        <f aca="false">IF($H14="","",SUMPRODUCT(MAX((Log!$D$4:$D$1203=$A14)*(Log!$E$4:$E$1203="A")*(Log!$F$4:$F$1203&lt;&gt;"")*(Log!$G$4:$G$1203&lt;&gt;"")*(ROUND(Log!$F$4:$F$1203*(1+Log!$G$4:$G$1203/30),6)=ROUND($H14,6))*Log!$B$4:$B$1203)))</f>
        <v>7</v>
      </c>
      <c r="J14" s="71" t="n">
        <f aca="false">IF($D14="","",IF(SUMPRODUCT(MAX((Log!$D$4:$D$1203=$A14)*(Log!$E$4:$E$1203="A")*(Log!$F$4:$F$1203&lt;&gt;"")*(Log!$G$4:$G$1203&lt;&gt;"")*Log!$F$4:$F$1203*Log!$G$4:$G$1203))=0,"",SUMPRODUCT(MAX((Log!$D$4:$D$1203=$A14)*(Log!$E$4:$E$1203="A")*(Log!$F$4:$F$1203&lt;&gt;"")*(Log!$G$4:$G$1203&lt;&gt;"")*Log!$F$4:$F$1203*Log!$G$4:$G$1203))))</f>
        <v>1920</v>
      </c>
      <c r="K14" s="71" t="n">
        <f aca="false">IF($D14="","",IF(SUMPRODUCT(MAX((Log!$D$4:$D$1203=$A14)*(Log!$E$4:$E$1203="A")*Log!$B$4:$B$1203))=0,"",SUMPRODUCT(MAX((Log!$D$4:$D$1203=$A14)*(Log!$E$4:$E$1203="A")*Log!$B$4:$B$1203))))</f>
        <v>7</v>
      </c>
      <c r="L14" s="74" t="n">
        <f aca="false">IF($K14="","",IF(SUMPRODUCT(MAX((Log!$D$4:$D$1203=$A14)*(Log!$B$4:$B$1203=$K14)*(Log!$E$4:$E$1203="A")*(Log!$F$4:$F$1203&lt;&gt;"")*Log!$F$4:$F$1203))=0,"",SUMPRODUCT(MAX((Log!$D$4:$D$1203=$A14)*(Log!$B$4:$B$1203=$K14)*(Log!$E$4:$E$1203="A")*(Log!$F$4:$F$1203&lt;&gt;"")*Log!$F$4:$F$1203))))</f>
        <v>160</v>
      </c>
      <c r="M14" s="71" t="n">
        <f aca="false">IF($L14="","",IF(SUMPRODUCT(MAX((Log!$D$4:$D$1203=$A14)*(Log!$B$4:$B$1203=$K14)*(Log!$E$4:$E$1203="A")*(Log!$F$4:$F$1203=$L14)*Log!$G$4:$G$1203))=0,"",SUMPRODUCT(MAX((Log!$D$4:$D$1203=$A14)*(Log!$B$4:$B$1203=$K14)*(Log!$E$4:$E$1203="A")*(Log!$F$4:$F$1203=$L14)*Log!$G$4:$G$1203))))</f>
        <v>12</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5"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165</v>
      </c>
      <c r="P14" s="86"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(3.1%), Wdh zurück auf 5</v>
      </c>
    </row>
    <row r="15" customFormat="false" ht="18" hidden="false" customHeight="true" outlineLevel="0" collapsed="false">
      <c r="A15" s="32" t="str">
        <f aca="false">IF(Übungen!$A15="","",Übungen!$A15)</f>
        <v>Lunges</v>
      </c>
      <c r="B15" s="4" t="str">
        <f aca="false">IF(Übungen!$B15="","",Übungen!$B15)</f>
        <v>Beine vorne</v>
      </c>
      <c r="C15" s="73" t="n">
        <f aca="false">IF($D15="","",SUMPRODUCT((COUNTIFS(Log!$D$4:$D$1203,$A15,Log!$E$4:$E$1203,"A",Log!$B$4:$B$1203,Einheiten!$A$4:$A$63)&gt;0)*1))</f>
        <v>3</v>
      </c>
      <c r="D15" s="73" t="n">
        <f aca="false">IF($A15="","",IF(COUNTIFS(Log!$D$4:$D$1203,$A15,Log!$E$4:$E$1203,"A")=0,"",COUNTIFS(Log!$D$4:$D$1203,$A15,Log!$E$4:$E$1203,"A")))</f>
        <v>3</v>
      </c>
      <c r="E15" s="73" t="n">
        <f aca="false">IF($D15="","",SUMIFS(Log!$I$4:$I$1203,Log!$D$4:$D$1203,$A15,Log!$E$4:$E$1203,"A"))</f>
        <v>0</v>
      </c>
      <c r="F15" s="87" t="n">
        <f aca="false">IF($D15="","",IF(SUMPRODUCT(MAX((Log!$D$4:$D$1203=$A15)*(Log!$E$4:$E$1203="A")*(Log!$F$4:$F$1203&lt;&gt;"")*Log!$F$4:$F$1203))=0,"",SUMPRODUCT(MAX((Log!$D$4:$D$1203=$A15)*(Log!$E$4:$E$1203="A")*(Log!$F$4:$F$1203&lt;&gt;"")*Log!$F$4:$F$1203))))</f>
        <v>18</v>
      </c>
      <c r="G15" s="73" t="n">
        <f aca="false">IF($F15="","",SUMPRODUCT(MAX((Log!$D$4:$D$1203=$A15)*(Log!$E$4:$E$1203="A")*(Log!$F$4:$F$1203=$F15)*Log!$B$4:$B$1203)))</f>
        <v>3</v>
      </c>
      <c r="H15" s="87"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n">
        <f aca="false">IF($D15="","",IF(SUMPRODUCT(MAX((Log!$D$4:$D$1203=$A15)*(Log!$E$4:$E$1203="A")*Log!$B$4:$B$1203))=0,"",SUMPRODUCT(MAX((Log!$D$4:$D$1203=$A15)*(Log!$E$4:$E$1203="A")*Log!$B$4:$B$1203))))</f>
        <v>3</v>
      </c>
      <c r="L15" s="76" t="n">
        <f aca="false">IF($K15="","",IF(SUMPRODUCT(MAX((Log!$D$4:$D$1203=$A15)*(Log!$B$4:$B$1203=$K15)*(Log!$E$4:$E$1203="A")*(Log!$F$4:$F$1203&lt;&gt;"")*Log!$F$4:$F$1203))=0,"",SUMPRODUCT(MAX((Log!$D$4:$D$1203=$A15)*(Log!$B$4:$B$1203=$K15)*(Log!$E$4:$E$1203="A")*(Log!$F$4:$F$1203&lt;&gt;"")*Log!$F$4:$F$1203))))</f>
        <v>18</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8"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89" t="n">
        <f aca="false">IF(Übungen!$D15="","",IF($O15="","",IF($L15="",Übungen!$D15,IF(AND($N15&lt;&gt;"",Übungen!$E15&lt;&gt;"",$N15&gt;=Übungen!$E15),Übungen!$D15,IF(OR($N15="",$N15&lt;Übungen!$D15),Übungen!$D15,MIN(Übungen!$E15,$N15+1))))))</f>
        <v>5</v>
      </c>
      <c r="Q15" s="82"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26" t="str">
        <f aca="false">IF(Übungen!$A16="","",Übungen!$A16)</f>
        <v>Kickback</v>
      </c>
      <c r="B16" s="83" t="str">
        <f aca="false">IF(Übungen!$B16="","",Übungen!$B16)</f>
        <v>Beine hinten</v>
      </c>
      <c r="C16" s="71" t="n">
        <f aca="false">IF($D16="","",SUMPRODUCT((COUNTIFS(Log!$D$4:$D$1203,$A16,Log!$E$4:$E$1203,"A",Log!$B$4:$B$1203,Einheiten!$A$4:$A$63)&gt;0)*1))</f>
        <v>4</v>
      </c>
      <c r="D16" s="71" t="n">
        <f aca="false">IF($A16="","",IF(COUNTIFS(Log!$D$4:$D$1203,$A16,Log!$E$4:$E$1203,"A")=0,"",COUNTIFS(Log!$D$4:$D$1203,$A16,Log!$E$4:$E$1203,"A")))</f>
        <v>8</v>
      </c>
      <c r="E16" s="71" t="n">
        <f aca="false">IF($D16="","",SUMIFS(Log!$I$4:$I$1203,Log!$D$4:$D$1203,$A16,Log!$E$4:$E$1203,"A"))</f>
        <v>7119</v>
      </c>
      <c r="F16" s="84" t="n">
        <f aca="false">IF($D16="","",IF(SUMPRODUCT(MAX((Log!$D$4:$D$1203=$A16)*(Log!$E$4:$E$1203="A")*(Log!$F$4:$F$1203&lt;&gt;"")*Log!$F$4:$F$1203))=0,"",SUMPRODUCT(MAX((Log!$D$4:$D$1203=$A16)*(Log!$E$4:$E$1203="A")*(Log!$F$4:$F$1203&lt;&gt;"")*Log!$F$4:$F$1203))))</f>
        <v>84</v>
      </c>
      <c r="G16" s="71" t="n">
        <f aca="false">IF($F16="","",SUMPRODUCT(MAX((Log!$D$4:$D$1203=$A16)*(Log!$E$4:$E$1203="A")*(Log!$F$4:$F$1203=$F16)*Log!$B$4:$B$1203)))</f>
        <v>3</v>
      </c>
      <c r="H16" s="84" t="n">
        <f aca="false">IF($D16="","",IF(SUMPRODUCT(MAX((Log!$D$4:$D$1203=$A16)*(Log!$E$4:$E$1203="A")*(Log!$F$4:$F$1203&lt;&gt;"")*(Log!$G$4:$G$1203&lt;&gt;"")*Log!$F$4:$F$1203*(1+Log!$G$4:$G$1203/30)))=0,"",SUMPRODUCT(MAX((Log!$D$4:$D$1203=$A16)*(Log!$E$4:$E$1203="A")*(Log!$F$4:$F$1203&lt;&gt;"")*(Log!$G$4:$G$1203&lt;&gt;"")*Log!$F$4:$F$1203*(1+Log!$G$4:$G$1203/30)))))</f>
        <v>117.6</v>
      </c>
      <c r="I16" s="71" t="n">
        <f aca="false">IF($H16="","",SUMPRODUCT(MAX((Log!$D$4:$D$1203=$A16)*(Log!$E$4:$E$1203="A")*(Log!$F$4:$F$1203&lt;&gt;"")*(Log!$G$4:$G$1203&lt;&gt;"")*(ROUND(Log!$F$4:$F$1203*(1+Log!$G$4:$G$1203/30),6)=ROUND($H16,6))*Log!$B$4:$B$1203)))</f>
        <v>3</v>
      </c>
      <c r="J16" s="71" t="n">
        <f aca="false">IF($D16="","",IF(SUMPRODUCT(MAX((Log!$D$4:$D$1203=$A16)*(Log!$E$4:$E$1203="A")*(Log!$F$4:$F$1203&lt;&gt;"")*(Log!$G$4:$G$1203&lt;&gt;"")*Log!$F$4:$F$1203*Log!$G$4:$G$1203))=0,"",SUMPRODUCT(MAX((Log!$D$4:$D$1203=$A16)*(Log!$E$4:$E$1203="A")*(Log!$F$4:$F$1203&lt;&gt;"")*(Log!$G$4:$G$1203&lt;&gt;"")*Log!$F$4:$F$1203*Log!$G$4:$G$1203))))</f>
        <v>1078</v>
      </c>
      <c r="K16" s="71" t="n">
        <f aca="false">IF($D16="","",IF(SUMPRODUCT(MAX((Log!$D$4:$D$1203=$A16)*(Log!$E$4:$E$1203="A")*Log!$B$4:$B$1203))=0,"",SUMPRODUCT(MAX((Log!$D$4:$D$1203=$A16)*(Log!$E$4:$E$1203="A")*Log!$B$4:$B$1203))))</f>
        <v>4</v>
      </c>
      <c r="L16" s="74" t="n">
        <f aca="false">IF($K16="","",IF(SUMPRODUCT(MAX((Log!$D$4:$D$1203=$A16)*(Log!$B$4:$B$1203=$K16)*(Log!$E$4:$E$1203="A")*(Log!$F$4:$F$1203&lt;&gt;"")*Log!$F$4:$F$1203))=0,"",SUMPRODUCT(MAX((Log!$D$4:$D$1203=$A16)*(Log!$B$4:$B$1203=$K16)*(Log!$E$4:$E$1203="A")*(Log!$F$4:$F$1203&lt;&gt;"")*Log!$F$4:$F$1203))))</f>
        <v>63</v>
      </c>
      <c r="M16" s="71" t="n">
        <f aca="false">IF($L16="","",IF(SUMPRODUCT(MAX((Log!$D$4:$D$1203=$A16)*(Log!$B$4:$B$1203=$K16)*(Log!$E$4:$E$1203="A")*(Log!$F$4:$F$1203=$L16)*Log!$G$4:$G$1203))=0,"",SUMPRODUCT(MAX((Log!$D$4:$D$1203=$A16)*(Log!$B$4:$B$1203=$K16)*(Log!$E$4:$E$1203="A")*(Log!$F$4:$F$1203=$L16)*Log!$G$4:$G$1203))))</f>
        <v>15</v>
      </c>
      <c r="N16" s="71"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5"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86" t="n">
        <f aca="false">IF(Übungen!$D16="","",IF($O16="","",IF($L16="",Übungen!$D16,IF(AND($N16&lt;&gt;"",Übungen!$E16&lt;&gt;"",$N16&gt;=Übungen!$E16),Übungen!$D16,IF(OR($N16="",$N16&lt;Übungen!$D16),Übungen!$D16,MIN(Übungen!$E16,$N16+1))))))</f>
        <v>5</v>
      </c>
      <c r="Q16" s="79"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26" t="str">
        <f aca="false">IF(Übungen!$A18="","",Übungen!$A18)</f>
        <v/>
      </c>
      <c r="B18" s="83" t="str">
        <f aca="false">IF(Übungen!$B18="","",Übungen!$B18)</f>
        <v/>
      </c>
      <c r="C18" s="71" t="str">
        <f aca="false">IF($D18="","",SUMPRODUCT((COUNTIFS(Log!$D$4:$D$1203,$A18,Log!$E$4:$E$1203,"A",Log!$B$4:$B$1203,Einheiten!$A$4:$A$63)&gt;0)*1))</f>
        <v/>
      </c>
      <c r="D18" s="71" t="str">
        <f aca="false">IF($A18="","",IF(COUNTIFS(Log!$D$4:$D$1203,$A18,Log!$E$4:$E$1203,"A")=0,"",COUNTIFS(Log!$D$4:$D$1203,$A18,Log!$E$4:$E$1203,"A")))</f>
        <v/>
      </c>
      <c r="E18" s="71" t="str">
        <f aca="false">IF($D18="","",SUMIFS(Log!$I$4:$I$1203,Log!$D$4:$D$1203,$A18,Log!$E$4:$E$1203,"A"))</f>
        <v/>
      </c>
      <c r="F18" s="84" t="str">
        <f aca="false">IF($D18="","",IF(SUMPRODUCT(MAX((Log!$D$4:$D$1203=$A18)*(Log!$E$4:$E$1203="A")*(Log!$F$4:$F$1203&lt;&gt;"")*Log!$F$4:$F$1203))=0,"",SUMPRODUCT(MAX((Log!$D$4:$D$1203=$A18)*(Log!$E$4:$E$1203="A")*(Log!$F$4:$F$1203&lt;&gt;"")*Log!$F$4:$F$1203))))</f>
        <v/>
      </c>
      <c r="G18" s="71" t="str">
        <f aca="false">IF($F18="","",SUMPRODUCT(MAX((Log!$D$4:$D$1203=$A18)*(Log!$E$4:$E$1203="A")*(Log!$F$4:$F$1203=$F18)*Log!$B$4:$B$1203)))</f>
        <v/>
      </c>
      <c r="H18" s="84" t="str">
        <f aca="false">IF($D18="","",IF(SUMPRODUCT(MAX((Log!$D$4:$D$1203=$A18)*(Log!$E$4:$E$1203="A")*(Log!$F$4:$F$1203&lt;&gt;"")*(Log!$G$4:$G$1203&lt;&gt;"")*Log!$F$4:$F$1203*(1+Log!$G$4:$G$1203/30)))=0,"",SUMPRODUCT(MAX((Log!$D$4:$D$1203=$A18)*(Log!$E$4:$E$1203="A")*(Log!$F$4:$F$1203&lt;&gt;"")*(Log!$G$4:$G$1203&lt;&gt;"")*Log!$F$4:$F$1203*(1+Log!$G$4:$G$1203/30)))))</f>
        <v/>
      </c>
      <c r="I18" s="71" t="str">
        <f aca="false">IF($H18="","",SUMPRODUCT(MAX((Log!$D$4:$D$1203=$A18)*(Log!$E$4:$E$1203="A")*(Log!$F$4:$F$1203&lt;&gt;"")*(Log!$G$4:$G$1203&lt;&gt;"")*(ROUND(Log!$F$4:$F$1203*(1+Log!$G$4:$G$1203/30),6)=ROUND($H18,6))*Log!$B$4:$B$1203)))</f>
        <v/>
      </c>
      <c r="J18" s="71" t="str">
        <f aca="false">IF($D18="","",IF(SUMPRODUCT(MAX((Log!$D$4:$D$1203=$A18)*(Log!$E$4:$E$1203="A")*(Log!$F$4:$F$1203&lt;&gt;"")*(Log!$G$4:$G$1203&lt;&gt;"")*Log!$F$4:$F$1203*Log!$G$4:$G$1203))=0,"",SUMPRODUCT(MAX((Log!$D$4:$D$1203=$A18)*(Log!$E$4:$E$1203="A")*(Log!$F$4:$F$1203&lt;&gt;"")*(Log!$G$4:$G$1203&lt;&gt;"")*Log!$F$4:$F$1203*Log!$G$4:$G$1203))))</f>
        <v/>
      </c>
      <c r="K18" s="71" t="str">
        <f aca="false">IF($D18="","",IF(SUMPRODUCT(MAX((Log!$D$4:$D$1203=$A18)*(Log!$E$4:$E$1203="A")*Log!$B$4:$B$1203))=0,"",SUMPRODUCT(MAX((Log!$D$4:$D$1203=$A18)*(Log!$E$4:$E$1203="A")*Log!$B$4:$B$1203))))</f>
        <v/>
      </c>
      <c r="L18" s="74" t="str">
        <f aca="false">IF($K18="","",IF(SUMPRODUCT(MAX((Log!$D$4:$D$1203=$A18)*(Log!$B$4:$B$1203=$K18)*(Log!$E$4:$E$1203="A")*(Log!$F$4:$F$1203&lt;&gt;"")*Log!$F$4:$F$1203))=0,"",SUMPRODUCT(MAX((Log!$D$4:$D$1203=$A18)*(Log!$B$4:$B$1203=$K18)*(Log!$E$4:$E$1203="A")*(Log!$F$4:$F$1203&lt;&gt;"")*Log!$F$4:$F$1203))))</f>
        <v/>
      </c>
      <c r="M18" s="71" t="str">
        <f aca="false">IF($L18="","",IF(SUMPRODUCT(MAX((Log!$D$4:$D$1203=$A18)*(Log!$B$4:$B$1203=$K18)*(Log!$E$4:$E$1203="A")*(Log!$F$4:$F$1203=$L18)*Log!$G$4:$G$1203))=0,"",SUMPRODUCT(MAX((Log!$D$4:$D$1203=$A18)*(Log!$B$4:$B$1203=$K18)*(Log!$E$4:$E$1203="A")*(Log!$F$4:$F$1203=$L18)*Log!$G$4:$G$1203))))</f>
        <v/>
      </c>
      <c r="N18" s="71"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5"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86" t="str">
        <f aca="false">IF(Übungen!$D18="","",IF($O18="","",IF($L18="",Übungen!$D18,IF(AND($N18&lt;&gt;"",Übungen!$E18&lt;&gt;"",$N18&gt;=Übungen!$E18),Übungen!$D18,IF(OR($N18="",$N18&lt;Übungen!$D18),Übungen!$D18,MIN(Übungen!$E18,$N18+1))))))</f>
        <v/>
      </c>
      <c r="Q18" s="79"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2" t="str">
        <f aca="false">IF(Übungen!$A19="","",Übungen!$A19)</f>
        <v/>
      </c>
      <c r="B19" s="4" t="str">
        <f aca="false">IF(Übungen!$B19="","",Übungen!$B19)</f>
        <v/>
      </c>
      <c r="C19" s="73" t="str">
        <f aca="false">IF($D19="","",SUMPRODUCT((COUNTIFS(Log!$D$4:$D$1203,$A19,Log!$E$4:$E$1203,"A",Log!$B$4:$B$1203,Einheiten!$A$4:$A$63)&gt;0)*1))</f>
        <v/>
      </c>
      <c r="D19" s="73" t="str">
        <f aca="false">IF($A19="","",IF(COUNTIFS(Log!$D$4:$D$1203,$A19,Log!$E$4:$E$1203,"A")=0,"",COUNTIFS(Log!$D$4:$D$1203,$A19,Log!$E$4:$E$1203,"A")))</f>
        <v/>
      </c>
      <c r="E19" s="73" t="str">
        <f aca="false">IF($D19="","",SUMIFS(Log!$I$4:$I$1203,Log!$D$4:$D$1203,$A19,Log!$E$4:$E$1203,"A"))</f>
        <v/>
      </c>
      <c r="F19" s="87" t="str">
        <f aca="false">IF($D19="","",IF(SUMPRODUCT(MAX((Log!$D$4:$D$1203=$A19)*(Log!$E$4:$E$1203="A")*(Log!$F$4:$F$1203&lt;&gt;"")*Log!$F$4:$F$1203))=0,"",SUMPRODUCT(MAX((Log!$D$4:$D$1203=$A19)*(Log!$E$4:$E$1203="A")*(Log!$F$4:$F$1203&lt;&gt;"")*Log!$F$4:$F$1203))))</f>
        <v/>
      </c>
      <c r="G19" s="73" t="str">
        <f aca="false">IF($F19="","",SUMPRODUCT(MAX((Log!$D$4:$D$1203=$A19)*(Log!$E$4:$E$1203="A")*(Log!$F$4:$F$1203=$F19)*Log!$B$4:$B$1203)))</f>
        <v/>
      </c>
      <c r="H19" s="87" t="str">
        <f aca="false">IF($D19="","",IF(SUMPRODUCT(MAX((Log!$D$4:$D$1203=$A19)*(Log!$E$4:$E$1203="A")*(Log!$F$4:$F$1203&lt;&gt;"")*(Log!$G$4:$G$1203&lt;&gt;"")*Log!$F$4:$F$1203*(1+Log!$G$4:$G$1203/30)))=0,"",SUMPRODUCT(MAX((Log!$D$4:$D$1203=$A19)*(Log!$E$4:$E$1203="A")*(Log!$F$4:$F$1203&lt;&gt;"")*(Log!$G$4:$G$1203&lt;&gt;"")*Log!$F$4:$F$1203*(1+Log!$G$4:$G$1203/30)))))</f>
        <v/>
      </c>
      <c r="I19" s="73" t="str">
        <f aca="false">IF($H19="","",SUMPRODUCT(MAX((Log!$D$4:$D$1203=$A19)*(Log!$E$4:$E$1203="A")*(Log!$F$4:$F$1203&lt;&gt;"")*(Log!$G$4:$G$1203&lt;&gt;"")*(ROUND(Log!$F$4:$F$1203*(1+Log!$G$4:$G$1203/30),6)=ROUND($H19,6))*Log!$B$4:$B$1203)))</f>
        <v/>
      </c>
      <c r="J19" s="73" t="str">
        <f aca="false">IF($D19="","",IF(SUMPRODUCT(MAX((Log!$D$4:$D$1203=$A19)*(Log!$E$4:$E$1203="A")*(Log!$F$4:$F$1203&lt;&gt;"")*(Log!$G$4:$G$1203&lt;&gt;"")*Log!$F$4:$F$1203*Log!$G$4:$G$1203))=0,"",SUMPRODUCT(MAX((Log!$D$4:$D$1203=$A19)*(Log!$E$4:$E$1203="A")*(Log!$F$4:$F$1203&lt;&gt;"")*(Log!$G$4:$G$1203&lt;&gt;"")*Log!$F$4:$F$1203*Log!$G$4:$G$1203))))</f>
        <v/>
      </c>
      <c r="K19" s="73" t="str">
        <f aca="false">IF($D19="","",IF(SUMPRODUCT(MAX((Log!$D$4:$D$1203=$A19)*(Log!$E$4:$E$1203="A")*Log!$B$4:$B$1203))=0,"",SUMPRODUCT(MAX((Log!$D$4:$D$1203=$A19)*(Log!$E$4:$E$1203="A")*Log!$B$4:$B$1203))))</f>
        <v/>
      </c>
      <c r="L19" s="76" t="str">
        <f aca="false">IF($K19="","",IF(SUMPRODUCT(MAX((Log!$D$4:$D$1203=$A19)*(Log!$B$4:$B$1203=$K19)*(Log!$E$4:$E$1203="A")*(Log!$F$4:$F$1203&lt;&gt;"")*Log!$F$4:$F$1203))=0,"",SUMPRODUCT(MAX((Log!$D$4:$D$1203=$A19)*(Log!$B$4:$B$1203=$K19)*(Log!$E$4:$E$1203="A")*(Log!$F$4:$F$1203&lt;&gt;"")*Log!$F$4:$F$1203))))</f>
        <v/>
      </c>
      <c r="M19" s="73" t="str">
        <f aca="false">IF($L19="","",IF(SUMPRODUCT(MAX((Log!$D$4:$D$1203=$A19)*(Log!$B$4:$B$1203=$K19)*(Log!$E$4:$E$1203="A")*(Log!$F$4:$F$1203=$L19)*Log!$G$4:$G$1203))=0,"",SUMPRODUCT(MAX((Log!$D$4:$D$1203=$A19)*(Log!$B$4:$B$1203=$K19)*(Log!$E$4:$E$1203="A")*(Log!$F$4:$F$1203=$L19)*Log!$G$4:$G$1203))))</f>
        <v/>
      </c>
      <c r="N19" s="73"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8"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89" t="str">
        <f aca="false">IF(Übungen!$D19="","",IF($O19="","",IF($L19="",Übungen!$D19,IF(AND($N19&lt;&gt;"",Übungen!$E19&lt;&gt;"",$N19&gt;=Übungen!$E19),Übungen!$D19,IF(OR($N19="",$N19&lt;Übungen!$D19),Übungen!$D19,MIN(Übungen!$E19,$N19+1))))))</f>
        <v/>
      </c>
      <c r="Q19" s="82"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35" t="s">
        <v>352</v>
      </c>
      <c r="B21" s="35"/>
      <c r="C21" s="35"/>
      <c r="D21" s="35"/>
      <c r="E21" s="35"/>
      <c r="F21" s="35"/>
      <c r="G21" s="35"/>
      <c r="H21" s="35"/>
      <c r="I21" s="35"/>
      <c r="J21" s="35"/>
      <c r="K21" s="35"/>
      <c r="L21" s="35"/>
      <c r="M21" s="35"/>
      <c r="N21" s="35"/>
      <c r="O21" s="35"/>
      <c r="P21" s="35"/>
      <c r="Q21" s="35"/>
    </row>
  </sheetData>
  <mergeCells count="3">
    <mergeCell ref="A1:N1"/>
    <mergeCell ref="A2:N2"/>
    <mergeCell ref="A21:Q21"/>
  </mergeCells>
  <conditionalFormatting sqref="A4:Q19">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353</v>
      </c>
      <c r="B1" s="1"/>
      <c r="C1" s="1"/>
      <c r="D1" s="1"/>
      <c r="E1" s="1"/>
      <c r="F1" s="1"/>
      <c r="G1" s="1"/>
      <c r="H1" s="1"/>
      <c r="I1" s="1"/>
    </row>
    <row r="2" customFormat="false" ht="12" hidden="false" customHeight="true" outlineLevel="0" collapsed="false">
      <c r="A2" s="90" t="s">
        <v>69</v>
      </c>
      <c r="B2" s="90"/>
      <c r="C2" s="91" t="s">
        <v>354</v>
      </c>
      <c r="D2" s="91" t="s">
        <v>355</v>
      </c>
      <c r="E2" s="90" t="s">
        <v>356</v>
      </c>
      <c r="F2" s="90"/>
      <c r="G2" s="90" t="s">
        <v>357</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 eng</v>
      </c>
      <c r="B5" s="93"/>
      <c r="C5" s="93"/>
      <c r="D5" s="93"/>
      <c r="E5" s="93"/>
      <c r="F5" s="93"/>
      <c r="G5" s="93"/>
      <c r="H5" s="93"/>
      <c r="I5" s="93"/>
    </row>
    <row r="6" customFormat="false" ht="13.5" hidden="false" customHeight="true" outlineLevel="0" collapsed="false">
      <c r="A6"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7" s="95"/>
      <c r="C7" s="95"/>
      <c r="D7" s="95"/>
      <c r="E7" s="95"/>
      <c r="F7" s="95"/>
      <c r="G7" s="95"/>
      <c r="H7" s="95"/>
      <c r="I7" s="95"/>
    </row>
    <row r="8" customFormat="false" ht="18" hidden="false" customHeight="true" outlineLevel="0" collapsed="false">
      <c r="A8" s="96" t="s">
        <v>358</v>
      </c>
      <c r="B8" s="96" t="s">
        <v>359</v>
      </c>
      <c r="C8" s="96" t="s">
        <v>360</v>
      </c>
      <c r="D8" s="96" t="s">
        <v>361</v>
      </c>
      <c r="E8" s="96" t="s">
        <v>362</v>
      </c>
      <c r="F8" s="96" t="s">
        <v>276</v>
      </c>
      <c r="G8" s="96" t="s">
        <v>46</v>
      </c>
      <c r="H8" s="96" t="s">
        <v>363</v>
      </c>
      <c r="I8" s="96" t="s">
        <v>178</v>
      </c>
    </row>
    <row r="9" customFormat="false" ht="18" hidden="false" customHeight="true" outlineLevel="0" collapsed="false">
      <c r="A9" s="97" t="n">
        <v>1</v>
      </c>
      <c r="B9" s="98" t="s">
        <v>364</v>
      </c>
      <c r="C9" s="99" t="n">
        <f aca="false">IF(FALSE(),"",IF(IFERROR(INDEX(Rekorde!$O$4:$O$19,MATCH(Übungen!$A$4,Rekorde!$A$4:$A$19,0)),"")="","",ROUND(IFERROR(INDEX(Rekorde!$O$4:$O$19,MATCH(Übungen!$A$4,Rekorde!$A$4:$A$19,0)),"")*0.4*2,0)/2))</f>
        <v>136</v>
      </c>
      <c r="D9" s="100"/>
      <c r="E9" s="101"/>
      <c r="F9" s="101"/>
      <c r="G9" s="101"/>
      <c r="H9" s="101"/>
      <c r="I9" s="101"/>
    </row>
    <row r="10" customFormat="false" ht="18" hidden="false" customHeight="true" outlineLevel="0" collapsed="false">
      <c r="A10" s="97" t="n">
        <v>2</v>
      </c>
      <c r="B10" s="98" t="s">
        <v>365</v>
      </c>
      <c r="C10" s="99" t="n">
        <f aca="false">IF(FALSE(),"",IF(IFERROR(INDEX(Rekorde!$O$4:$O$19,MATCH(Übungen!$A$4,Rekorde!$A$4:$A$19,0)),"")="","",ROUND(IFERROR(INDEX(Rekorde!$O$4:$O$19,MATCH(Übungen!$A$4,Rekorde!$A$4:$A$19,0)),"")*0.7*2,0)/2))</f>
        <v>238</v>
      </c>
      <c r="D10" s="100"/>
      <c r="E10" s="101"/>
      <c r="F10" s="101"/>
      <c r="G10" s="101"/>
      <c r="H10" s="101"/>
      <c r="I10" s="101"/>
    </row>
    <row r="11" customFormat="false" ht="18" hidden="false" customHeight="true" outlineLevel="0" collapsed="false">
      <c r="A11" s="97" t="n">
        <v>3</v>
      </c>
      <c r="B11" s="102" t="s">
        <v>366</v>
      </c>
      <c r="C11" s="103" t="n">
        <f aca="false">IF(FALSE(),"",IF(IFERROR(INDEX(Rekorde!$O$4:$O$19,MATCH(Übungen!$A$4,Rekorde!$A$4:$A$19,0)),"")="","",ROUND(IFERROR(INDEX(Rekorde!$O$4:$O$19,MATCH(Übungen!$A$4,Rekorde!$A$4:$A$19,0)),"")*1*2,0)/2))</f>
        <v>340</v>
      </c>
      <c r="D11" s="104" t="n">
        <f aca="false">IF(FALSE(),"",IF(IFERROR(INDEX(Rekorde!$P$4:$P$19,MATCH(Übungen!$A$4,Rekorde!$A$4:$A$19,0)),"")="","",MIN(Übungen!$E$4,IFERROR(INDEX(Rekorde!$P$4:$P$19,MATCH(Übungen!$A$4,Rekorde!$A$4:$A$19,0)),"")+0)))</f>
        <v>5</v>
      </c>
      <c r="E11" s="101"/>
      <c r="F11" s="101"/>
      <c r="G11" s="101"/>
      <c r="H11" s="101"/>
      <c r="I11" s="101"/>
    </row>
    <row r="12" customFormat="false" ht="18" hidden="false" customHeight="true" outlineLevel="0" collapsed="false">
      <c r="A12" s="97" t="n">
        <v>4</v>
      </c>
      <c r="B12" s="102" t="s">
        <v>367</v>
      </c>
      <c r="C12" s="99" t="n">
        <f aca="false">IF(FALSE(),"",IF(IFERROR(INDEX(Rekorde!$O$4:$O$19,MATCH(Übungen!$A$4,Rekorde!$A$4:$A$19,0)),"")="","",ROUND(IFERROR(INDEX(Rekorde!$O$4:$O$19,MATCH(Übungen!$A$4,Rekorde!$A$4:$A$19,0)),"")*0.95*2,0)/2))</f>
        <v>323</v>
      </c>
      <c r="D12" s="104" t="n">
        <f aca="false">IF(FALSE(),"",IF(IFERROR(INDEX(Rekorde!$P$4:$P$19,MATCH(Übungen!$A$4,Rekorde!$A$4:$A$19,0)),"")="","",MIN(Übungen!$E$4,IFERROR(INDEX(Rekorde!$P$4:$P$19,MATCH(Übungen!$A$4,Rekorde!$A$4:$A$19,0)),"")+1)))</f>
        <v>6</v>
      </c>
      <c r="E12" s="101"/>
      <c r="F12" s="101"/>
      <c r="G12" s="101"/>
      <c r="H12" s="101"/>
      <c r="I12" s="101"/>
    </row>
    <row r="13" customFormat="false" ht="18" hidden="false" customHeight="true" outlineLevel="0" collapsed="false">
      <c r="A13" s="97" t="n">
        <v>5</v>
      </c>
      <c r="B13" s="102" t="s">
        <v>368</v>
      </c>
      <c r="C13" s="99" t="n">
        <f aca="false">IF(FALSE(),"",IF(IFERROR(INDEX(Rekorde!$O$4:$O$19,MATCH(Übungen!$A$4,Rekorde!$A$4:$A$19,0)),"")="","",ROUND(IFERROR(INDEX(Rekorde!$O$4:$O$19,MATCH(Übungen!$A$4,Rekorde!$A$4:$A$19,0)),"")*0.9*2,0)/2))</f>
        <v>306</v>
      </c>
      <c r="D13" s="104" t="n">
        <f aca="false">IF(FALSE(),"",IF(IFERROR(INDEX(Rekorde!$P$4:$P$19,MATCH(Übungen!$A$4,Rekorde!$A$4:$A$19,0)),"")="","",MIN(Übungen!$E$4,IFERROR(INDEX(Rekorde!$P$4:$P$19,MATCH(Übungen!$A$4,Rekorde!$A$4:$A$19,0)),"")+2)))</f>
        <v>7</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17" s="95"/>
      <c r="C17" s="95"/>
      <c r="D17" s="95"/>
      <c r="E17" s="95"/>
      <c r="F17" s="95"/>
      <c r="G17" s="95"/>
      <c r="H17" s="95"/>
      <c r="I17" s="95"/>
    </row>
    <row r="18" customFormat="false" ht="18" hidden="false" customHeight="true" outlineLevel="0" collapsed="false">
      <c r="A18" s="96" t="s">
        <v>358</v>
      </c>
      <c r="B18" s="96" t="s">
        <v>359</v>
      </c>
      <c r="C18" s="96" t="s">
        <v>360</v>
      </c>
      <c r="D18" s="96" t="s">
        <v>361</v>
      </c>
      <c r="E18" s="96" t="s">
        <v>362</v>
      </c>
      <c r="F18" s="96" t="s">
        <v>276</v>
      </c>
      <c r="G18" s="96" t="s">
        <v>46</v>
      </c>
      <c r="H18" s="96" t="s">
        <v>363</v>
      </c>
      <c r="I18" s="96" t="s">
        <v>178</v>
      </c>
    </row>
    <row r="19" customFormat="false" ht="18" hidden="false" customHeight="true" outlineLevel="0" collapsed="false">
      <c r="A19" s="97" t="n">
        <v>1</v>
      </c>
      <c r="B19" s="98" t="s">
        <v>364</v>
      </c>
      <c r="C19" s="99" t="n">
        <f aca="false">IF(FALSE(),"",IF(IFERROR(INDEX(Rekorde!$O$4:$O$19,MATCH(Übungen!$A$5,Rekorde!$A$4:$A$19,0)),"")="","",ROUND(IFERROR(INDEX(Rekorde!$O$4:$O$19,MATCH(Übungen!$A$5,Rekorde!$A$4:$A$19,0)),"")*0.4*2,0)/2))</f>
        <v>46</v>
      </c>
      <c r="D19" s="100"/>
      <c r="E19" s="101"/>
      <c r="F19" s="101"/>
      <c r="G19" s="101"/>
      <c r="H19" s="101"/>
      <c r="I19" s="101"/>
    </row>
    <row r="20" customFormat="false" ht="18" hidden="false" customHeight="true" outlineLevel="0" collapsed="false">
      <c r="A20" s="97" t="n">
        <v>2</v>
      </c>
      <c r="B20" s="98" t="s">
        <v>365</v>
      </c>
      <c r="C20" s="99" t="n">
        <f aca="false">IF(FALSE(),"",IF(IFERROR(INDEX(Rekorde!$O$4:$O$19,MATCH(Übungen!$A$5,Rekorde!$A$4:$A$19,0)),"")="","",ROUND(IFERROR(INDEX(Rekorde!$O$4:$O$19,MATCH(Übungen!$A$5,Rekorde!$A$4:$A$19,0)),"")*0.7*2,0)/2))</f>
        <v>80.5</v>
      </c>
      <c r="D20" s="100"/>
      <c r="E20" s="101"/>
      <c r="F20" s="101"/>
      <c r="G20" s="101"/>
      <c r="H20" s="101"/>
      <c r="I20" s="101"/>
    </row>
    <row r="21" customFormat="false" ht="18" hidden="false" customHeight="true" outlineLevel="0" collapsed="false">
      <c r="A21" s="97" t="n">
        <v>3</v>
      </c>
      <c r="B21" s="102" t="s">
        <v>366</v>
      </c>
      <c r="C21" s="103" t="n">
        <f aca="false">IF(FALSE(),"",IF(IFERROR(INDEX(Rekorde!$O$4:$O$19,MATCH(Übungen!$A$5,Rekorde!$A$4:$A$19,0)),"")="","",ROUND(IFERROR(INDEX(Rekorde!$O$4:$O$19,MATCH(Übungen!$A$5,Rekorde!$A$4:$A$19,0)),"")*1*2,0)/2))</f>
        <v>115</v>
      </c>
      <c r="D21" s="104" t="n">
        <f aca="false">IF(FALSE(),"",IF(IFERROR(INDEX(Rekorde!$P$4:$P$19,MATCH(Übungen!$A$5,Rekorde!$A$4:$A$19,0)),"")="","",MIN(Übungen!$E$5,IFERROR(INDEX(Rekorde!$P$4:$P$19,MATCH(Übungen!$A$5,Rekorde!$A$4:$A$19,0)),"")+0)))</f>
        <v>6</v>
      </c>
      <c r="E21" s="101"/>
      <c r="F21" s="101"/>
      <c r="G21" s="101"/>
      <c r="H21" s="101"/>
      <c r="I21" s="101"/>
    </row>
    <row r="22" customFormat="false" ht="18" hidden="false" customHeight="true" outlineLevel="0" collapsed="false">
      <c r="A22" s="97" t="n">
        <v>4</v>
      </c>
      <c r="B22" s="102" t="s">
        <v>367</v>
      </c>
      <c r="C22" s="99" t="n">
        <f aca="false">IF(FALSE(),"",IF(IFERROR(INDEX(Rekorde!$O$4:$O$19,MATCH(Übungen!$A$5,Rekorde!$A$4:$A$19,0)),"")="","",ROUND(IFERROR(INDEX(Rekorde!$O$4:$O$19,MATCH(Übungen!$A$5,Rekorde!$A$4:$A$19,0)),"")*0.95*2,0)/2))</f>
        <v>109.5</v>
      </c>
      <c r="D22" s="104" t="n">
        <f aca="false">IF(FALSE(),"",IF(IFERROR(INDEX(Rekorde!$P$4:$P$19,MATCH(Übungen!$A$5,Rekorde!$A$4:$A$19,0)),"")="","",MIN(Übungen!$E$5,IFERROR(INDEX(Rekorde!$P$4:$P$19,MATCH(Übungen!$A$5,Rekorde!$A$4:$A$19,0)),"")+1)))</f>
        <v>7</v>
      </c>
      <c r="E22" s="101"/>
      <c r="F22" s="101"/>
      <c r="G22" s="101"/>
      <c r="H22" s="101"/>
      <c r="I22" s="101"/>
    </row>
    <row r="23" customFormat="false" ht="18" hidden="false" customHeight="true" outlineLevel="0" collapsed="false">
      <c r="A23" s="97" t="n">
        <v>5</v>
      </c>
      <c r="B23" s="102" t="s">
        <v>368</v>
      </c>
      <c r="C23" s="99" t="n">
        <f aca="false">IF(FALSE(),"",IF(IFERROR(INDEX(Rekorde!$O$4:$O$19,MATCH(Übungen!$A$5,Rekorde!$A$4:$A$19,0)),"")="","",ROUND(IFERROR(INDEX(Rekorde!$O$4:$O$19,MATCH(Übungen!$A$5,Rekorde!$A$4:$A$19,0)),"")*0.9*2,0)/2))</f>
        <v>103.5</v>
      </c>
      <c r="D23" s="104" t="n">
        <f aca="false">IF(FALSE(),"",IF(IFERROR(INDEX(Rekorde!$P$4:$P$19,MATCH(Übungen!$A$5,Rekorde!$A$4:$A$19,0)),"")="","",MIN(Übungen!$E$5,IFERROR(INDEX(Rekorde!$P$4:$P$19,MATCH(Übungen!$A$5,Rekorde!$A$4:$A$19,0)),"")+2)))</f>
        <v>8</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27" s="95"/>
      <c r="C27" s="95"/>
      <c r="D27" s="95"/>
      <c r="E27" s="95"/>
      <c r="F27" s="95"/>
      <c r="G27" s="95"/>
      <c r="H27" s="95"/>
      <c r="I27" s="95"/>
    </row>
    <row r="28" customFormat="false" ht="18" hidden="false" customHeight="true" outlineLevel="0" collapsed="false">
      <c r="A28" s="96" t="s">
        <v>358</v>
      </c>
      <c r="B28" s="96" t="s">
        <v>359</v>
      </c>
      <c r="C28" s="96" t="s">
        <v>360</v>
      </c>
      <c r="D28" s="96" t="s">
        <v>361</v>
      </c>
      <c r="E28" s="96" t="s">
        <v>362</v>
      </c>
      <c r="F28" s="96" t="s">
        <v>276</v>
      </c>
      <c r="G28" s="96" t="s">
        <v>46</v>
      </c>
      <c r="H28" s="96" t="s">
        <v>363</v>
      </c>
      <c r="I28" s="96" t="s">
        <v>178</v>
      </c>
    </row>
    <row r="29" customFormat="false" ht="18" hidden="false" customHeight="true" outlineLevel="0" collapsed="false">
      <c r="A29" s="97" t="n">
        <v>1</v>
      </c>
      <c r="B29" s="98" t="s">
        <v>364</v>
      </c>
      <c r="C29" s="99" t="n">
        <f aca="false">IF(FALSE(),"",IF(IFERROR(INDEX(Rekorde!$O$4:$O$19,MATCH(Übungen!$A$6,Rekorde!$A$4:$A$19,0)),"")="","",ROUND(IFERROR(INDEX(Rekorde!$O$4:$O$19,MATCH(Übungen!$A$6,Rekorde!$A$4:$A$19,0)),"")*0.4*2,0)/2))</f>
        <v>34</v>
      </c>
      <c r="D29" s="100"/>
      <c r="E29" s="101"/>
      <c r="F29" s="101"/>
      <c r="G29" s="101"/>
      <c r="H29" s="101"/>
      <c r="I29" s="101"/>
    </row>
    <row r="30" customFormat="false" ht="18" hidden="false" customHeight="true" outlineLevel="0" collapsed="false">
      <c r="A30" s="97" t="n">
        <v>2</v>
      </c>
      <c r="B30" s="98" t="s">
        <v>365</v>
      </c>
      <c r="C30" s="99" t="n">
        <f aca="false">IF(FALSE(),"",IF(IFERROR(INDEX(Rekorde!$O$4:$O$19,MATCH(Übungen!$A$6,Rekorde!$A$4:$A$19,0)),"")="","",ROUND(IFERROR(INDEX(Rekorde!$O$4:$O$19,MATCH(Übungen!$A$6,Rekorde!$A$4:$A$19,0)),"")*0.7*2,0)/2))</f>
        <v>59.5</v>
      </c>
      <c r="D30" s="100"/>
      <c r="E30" s="101"/>
      <c r="F30" s="101"/>
      <c r="G30" s="101"/>
      <c r="H30" s="101"/>
      <c r="I30" s="101"/>
    </row>
    <row r="31" customFormat="false" ht="18" hidden="false" customHeight="true" outlineLevel="0" collapsed="false">
      <c r="A31" s="97" t="n">
        <v>3</v>
      </c>
      <c r="B31" s="102" t="s">
        <v>366</v>
      </c>
      <c r="C31" s="103" t="n">
        <f aca="false">IF(FALSE(),"",IF(IFERROR(INDEX(Rekorde!$O$4:$O$19,MATCH(Übungen!$A$6,Rekorde!$A$4:$A$19,0)),"")="","",ROUND(IFERROR(INDEX(Rekorde!$O$4:$O$19,MATCH(Übungen!$A$6,Rekorde!$A$4:$A$19,0)),"")*1*2,0)/2))</f>
        <v>85</v>
      </c>
      <c r="D31" s="104" t="n">
        <f aca="false">IF(FALSE(),"",IF(IFERROR(INDEX(Rekorde!$P$4:$P$19,MATCH(Übungen!$A$6,Rekorde!$A$4:$A$19,0)),"")="","",MIN(Übungen!$E$6,IFERROR(INDEX(Rekorde!$P$4:$P$19,MATCH(Übungen!$A$6,Rekorde!$A$4:$A$19,0)),"")+0)))</f>
        <v>5</v>
      </c>
      <c r="E31" s="101"/>
      <c r="F31" s="101"/>
      <c r="G31" s="101"/>
      <c r="H31" s="101"/>
      <c r="I31" s="101"/>
    </row>
    <row r="32" customFormat="false" ht="18" hidden="false" customHeight="true" outlineLevel="0" collapsed="false">
      <c r="A32" s="97" t="n">
        <v>4</v>
      </c>
      <c r="B32" s="102" t="s">
        <v>367</v>
      </c>
      <c r="C32" s="99" t="n">
        <f aca="false">IF(FALSE(),"",IF(IFERROR(INDEX(Rekorde!$O$4:$O$19,MATCH(Übungen!$A$6,Rekorde!$A$4:$A$19,0)),"")="","",ROUND(IFERROR(INDEX(Rekorde!$O$4:$O$19,MATCH(Übungen!$A$6,Rekorde!$A$4:$A$19,0)),"")*0.95*2,0)/2))</f>
        <v>81</v>
      </c>
      <c r="D32" s="104" t="n">
        <f aca="false">IF(FALSE(),"",IF(IFERROR(INDEX(Rekorde!$P$4:$P$19,MATCH(Übungen!$A$6,Rekorde!$A$4:$A$19,0)),"")="","",MIN(Übungen!$E$6,IFERROR(INDEX(Rekorde!$P$4:$P$19,MATCH(Übungen!$A$6,Rekorde!$A$4:$A$19,0)),"")+1)))</f>
        <v>6</v>
      </c>
      <c r="E32" s="101"/>
      <c r="F32" s="101"/>
      <c r="G32" s="101"/>
      <c r="H32" s="101"/>
      <c r="I32" s="101"/>
    </row>
    <row r="33" customFormat="false" ht="18" hidden="false" customHeight="true" outlineLevel="0" collapsed="false">
      <c r="A33" s="97" t="n">
        <v>5</v>
      </c>
      <c r="B33" s="102" t="s">
        <v>368</v>
      </c>
      <c r="C33" s="99" t="n">
        <f aca="false">IF(FALSE(),"",IF(IFERROR(INDEX(Rekorde!$O$4:$O$19,MATCH(Übungen!$A$6,Rekorde!$A$4:$A$19,0)),"")="","",ROUND(IFERROR(INDEX(Rekorde!$O$4:$O$19,MATCH(Übungen!$A$6,Rekorde!$A$4:$A$19,0)),"")*0.9*2,0)/2))</f>
        <v>76.5</v>
      </c>
      <c r="D33" s="104" t="n">
        <f aca="false">IF(FALSE(),"",IF(IFERROR(INDEX(Rekorde!$P$4:$P$19,MATCH(Übungen!$A$6,Rekorde!$A$4:$A$19,0)),"")="","",MIN(Übungen!$E$6,IFERROR(INDEX(Rekorde!$P$4:$P$19,MATCH(Übungen!$A$6,Rekorde!$A$4:$A$19,0)),"")+2)))</f>
        <v>7</v>
      </c>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37" s="95"/>
      <c r="C37" s="95"/>
      <c r="D37" s="95"/>
      <c r="E37" s="95"/>
      <c r="F37" s="95"/>
      <c r="G37" s="95"/>
      <c r="H37" s="95"/>
      <c r="I37" s="95"/>
    </row>
    <row r="38" customFormat="false" ht="18" hidden="false" customHeight="true" outlineLevel="0" collapsed="false">
      <c r="A38" s="96" t="s">
        <v>358</v>
      </c>
      <c r="B38" s="96" t="s">
        <v>359</v>
      </c>
      <c r="C38" s="96" t="s">
        <v>360</v>
      </c>
      <c r="D38" s="96" t="s">
        <v>361</v>
      </c>
      <c r="E38" s="96" t="s">
        <v>362</v>
      </c>
      <c r="F38" s="96" t="s">
        <v>276</v>
      </c>
      <c r="G38" s="96" t="s">
        <v>46</v>
      </c>
      <c r="H38" s="96" t="s">
        <v>363</v>
      </c>
      <c r="I38" s="96" t="s">
        <v>178</v>
      </c>
    </row>
    <row r="39" customFormat="false" ht="18" hidden="false" customHeight="true" outlineLevel="0" collapsed="false">
      <c r="A39" s="97" t="n">
        <v>1</v>
      </c>
      <c r="B39" s="98" t="s">
        <v>364</v>
      </c>
      <c r="C39" s="99" t="n">
        <f aca="false">IF(FALSE(),"",IF(IFERROR(INDEX(Rekorde!$O$4:$O$19,MATCH(Übungen!$A$7,Rekorde!$A$4:$A$19,0)),"")="","",ROUND(IFERROR(INDEX(Rekorde!$O$4:$O$19,MATCH(Übungen!$A$7,Rekorde!$A$4:$A$19,0)),"")*0.4*2,0)/2))</f>
        <v>74</v>
      </c>
      <c r="D39" s="100"/>
      <c r="E39" s="101"/>
      <c r="F39" s="101"/>
      <c r="G39" s="101"/>
      <c r="H39" s="101"/>
      <c r="I39" s="101"/>
    </row>
    <row r="40" customFormat="false" ht="18" hidden="false" customHeight="true" outlineLevel="0" collapsed="false">
      <c r="A40" s="97" t="n">
        <v>2</v>
      </c>
      <c r="B40" s="98" t="s">
        <v>365</v>
      </c>
      <c r="C40" s="99" t="n">
        <f aca="false">IF(FALSE(),"",IF(IFERROR(INDEX(Rekorde!$O$4:$O$19,MATCH(Übungen!$A$7,Rekorde!$A$4:$A$19,0)),"")="","",ROUND(IFERROR(INDEX(Rekorde!$O$4:$O$19,MATCH(Übungen!$A$7,Rekorde!$A$4:$A$19,0)),"")*0.7*2,0)/2))</f>
        <v>129.5</v>
      </c>
      <c r="D40" s="100"/>
      <c r="E40" s="101"/>
      <c r="F40" s="101"/>
      <c r="G40" s="101"/>
      <c r="H40" s="101"/>
      <c r="I40" s="101"/>
    </row>
    <row r="41" customFormat="false" ht="18" hidden="false" customHeight="true" outlineLevel="0" collapsed="false">
      <c r="A41" s="97" t="n">
        <v>3</v>
      </c>
      <c r="B41" s="102" t="s">
        <v>366</v>
      </c>
      <c r="C41" s="103" t="n">
        <f aca="false">IF(FALSE(),"",IF(IFERROR(INDEX(Rekorde!$O$4:$O$19,MATCH(Übungen!$A$7,Rekorde!$A$4:$A$19,0)),"")="","",ROUND(IFERROR(INDEX(Rekorde!$O$4:$O$19,MATCH(Übungen!$A$7,Rekorde!$A$4:$A$19,0)),"")*1*2,0)/2))</f>
        <v>185</v>
      </c>
      <c r="D41" s="104" t="n">
        <f aca="false">IF(FALSE(),"",IF(IFERROR(INDEX(Rekorde!$P$4:$P$19,MATCH(Übungen!$A$7,Rekorde!$A$4:$A$19,0)),"")="","",MIN(Übungen!$E$7,IFERROR(INDEX(Rekorde!$P$4:$P$19,MATCH(Übungen!$A$7,Rekorde!$A$4:$A$19,0)),"")+0)))</f>
        <v>6</v>
      </c>
      <c r="E41" s="101"/>
      <c r="F41" s="101"/>
      <c r="G41" s="101"/>
      <c r="H41" s="101"/>
      <c r="I41" s="101"/>
    </row>
    <row r="42" customFormat="false" ht="18" hidden="false" customHeight="true" outlineLevel="0" collapsed="false">
      <c r="A42" s="97" t="n">
        <v>4</v>
      </c>
      <c r="B42" s="102" t="s">
        <v>367</v>
      </c>
      <c r="C42" s="99" t="n">
        <f aca="false">IF(FALSE(),"",IF(IFERROR(INDEX(Rekorde!$O$4:$O$19,MATCH(Übungen!$A$7,Rekorde!$A$4:$A$19,0)),"")="","",ROUND(IFERROR(INDEX(Rekorde!$O$4:$O$19,MATCH(Übungen!$A$7,Rekorde!$A$4:$A$19,0)),"")*0.95*2,0)/2))</f>
        <v>176</v>
      </c>
      <c r="D42" s="104" t="n">
        <f aca="false">IF(FALSE(),"",IF(IFERROR(INDEX(Rekorde!$P$4:$P$19,MATCH(Übungen!$A$7,Rekorde!$A$4:$A$19,0)),"")="","",MIN(Übungen!$E$7,IFERROR(INDEX(Rekorde!$P$4:$P$19,MATCH(Übungen!$A$7,Rekorde!$A$4:$A$19,0)),"")+1)))</f>
        <v>7</v>
      </c>
      <c r="E42" s="101"/>
      <c r="F42" s="101"/>
      <c r="G42" s="101"/>
      <c r="H42" s="101"/>
      <c r="I42" s="101"/>
    </row>
    <row r="43" customFormat="false" ht="18" hidden="false" customHeight="true" outlineLevel="0" collapsed="false">
      <c r="A43" s="97" t="n">
        <v>5</v>
      </c>
      <c r="B43" s="102" t="s">
        <v>368</v>
      </c>
      <c r="C43" s="99" t="n">
        <f aca="false">IF(FALSE(),"",IF(IFERROR(INDEX(Rekorde!$O$4:$O$19,MATCH(Übungen!$A$7,Rekorde!$A$4:$A$19,0)),"")="","",ROUND(IFERROR(INDEX(Rekorde!$O$4:$O$19,MATCH(Übungen!$A$7,Rekorde!$A$4:$A$19,0)),"")*0.9*2,0)/2))</f>
        <v>166.5</v>
      </c>
      <c r="D43" s="104" t="n">
        <f aca="false">IF(FALSE(),"",IF(IFERROR(INDEX(Rekorde!$P$4:$P$19,MATCH(Übungen!$A$7,Rekorde!$A$4:$A$19,0)),"")="","",MIN(Übungen!$E$7,IFERROR(INDEX(Rekorde!$P$4:$P$19,MATCH(Übungen!$A$7,Rekorde!$A$4:$A$19,0)),"")+2)))</f>
        <v>8</v>
      </c>
      <c r="E43" s="101"/>
      <c r="F43" s="101"/>
      <c r="G43" s="101"/>
      <c r="H43" s="101"/>
      <c r="I43" s="101"/>
    </row>
    <row r="45" customFormat="false" ht="15.75" hidden="false" customHeight="true" outlineLevel="0" collapsed="false">
      <c r="A45" s="3" t="s">
        <v>369</v>
      </c>
      <c r="B45" s="3"/>
      <c r="C45" s="3"/>
      <c r="D45" s="3"/>
      <c r="E45" s="3"/>
      <c r="F45" s="3"/>
      <c r="G45" s="3"/>
      <c r="H45" s="3"/>
      <c r="I45" s="3"/>
    </row>
    <row r="46" customFormat="false" ht="18" hidden="false" customHeight="true" outlineLevel="0" collapsed="false">
      <c r="A46" s="105"/>
      <c r="B46" s="105"/>
      <c r="C46" s="105"/>
      <c r="D46" s="105"/>
      <c r="E46" s="105"/>
      <c r="F46" s="105"/>
      <c r="G46" s="105"/>
      <c r="H46" s="105"/>
      <c r="I46" s="105"/>
    </row>
    <row r="47" customFormat="false" ht="18" hidden="false" customHeight="true" outlineLevel="0" collapsed="false">
      <c r="A47" s="105"/>
      <c r="B47" s="105"/>
      <c r="C47" s="105"/>
      <c r="D47" s="105"/>
      <c r="E47" s="105"/>
      <c r="F47" s="105"/>
      <c r="G47" s="105"/>
      <c r="H47" s="105"/>
      <c r="I47" s="105"/>
    </row>
    <row r="49" customFormat="false" ht="27.75" hidden="false" customHeight="true" outlineLevel="0" collapsed="false">
      <c r="A49" s="1" t="s">
        <v>370</v>
      </c>
      <c r="B49" s="1"/>
      <c r="C49" s="1"/>
      <c r="D49" s="1"/>
      <c r="E49" s="1"/>
      <c r="F49" s="1"/>
      <c r="G49" s="1"/>
      <c r="H49" s="1"/>
      <c r="I49" s="1"/>
    </row>
    <row r="50" customFormat="false" ht="12" hidden="false" customHeight="true" outlineLevel="0" collapsed="false">
      <c r="A50" s="90" t="s">
        <v>69</v>
      </c>
      <c r="B50" s="90"/>
      <c r="C50" s="91" t="s">
        <v>354</v>
      </c>
      <c r="D50" s="91" t="s">
        <v>355</v>
      </c>
      <c r="E50" s="90" t="s">
        <v>356</v>
      </c>
      <c r="F50" s="90"/>
      <c r="G50" s="90" t="s">
        <v>357</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55" s="95"/>
      <c r="C55" s="95"/>
      <c r="D55" s="95"/>
      <c r="E55" s="95"/>
      <c r="F55" s="95"/>
      <c r="G55" s="95"/>
      <c r="H55" s="95"/>
      <c r="I55" s="95"/>
    </row>
    <row r="56" customFormat="false" ht="18" hidden="false" customHeight="true" outlineLevel="0" collapsed="false">
      <c r="A56" s="96" t="s">
        <v>358</v>
      </c>
      <c r="B56" s="96" t="s">
        <v>359</v>
      </c>
      <c r="C56" s="96" t="s">
        <v>360</v>
      </c>
      <c r="D56" s="96" t="s">
        <v>361</v>
      </c>
      <c r="E56" s="96" t="s">
        <v>362</v>
      </c>
      <c r="F56" s="96" t="s">
        <v>276</v>
      </c>
      <c r="G56" s="96" t="s">
        <v>46</v>
      </c>
      <c r="H56" s="96" t="s">
        <v>363</v>
      </c>
      <c r="I56" s="96" t="s">
        <v>178</v>
      </c>
    </row>
    <row r="57" customFormat="false" ht="18" hidden="false" customHeight="true" outlineLevel="0" collapsed="false">
      <c r="A57" s="97" t="n">
        <v>1</v>
      </c>
      <c r="B57" s="98" t="s">
        <v>364</v>
      </c>
      <c r="C57" s="99" t="n">
        <f aca="false">IF(FALSE(),"",IF(IFERROR(INDEX(Rekorde!$O$4:$O$19,MATCH(Übungen!$A$8,Rekorde!$A$4:$A$19,0)),"")="","",ROUND(IFERROR(INDEX(Rekorde!$O$4:$O$19,MATCH(Übungen!$A$8,Rekorde!$A$4:$A$19,0)),"")*0.4*2,0)/2))</f>
        <v>54</v>
      </c>
      <c r="D57" s="100"/>
      <c r="E57" s="101"/>
      <c r="F57" s="101"/>
      <c r="G57" s="101"/>
      <c r="H57" s="101"/>
      <c r="I57" s="101"/>
    </row>
    <row r="58" customFormat="false" ht="18" hidden="false" customHeight="true" outlineLevel="0" collapsed="false">
      <c r="A58" s="97" t="n">
        <v>2</v>
      </c>
      <c r="B58" s="98" t="s">
        <v>365</v>
      </c>
      <c r="C58" s="99" t="n">
        <f aca="false">IF(FALSE(),"",IF(IFERROR(INDEX(Rekorde!$O$4:$O$19,MATCH(Übungen!$A$8,Rekorde!$A$4:$A$19,0)),"")="","",ROUND(IFERROR(INDEX(Rekorde!$O$4:$O$19,MATCH(Übungen!$A$8,Rekorde!$A$4:$A$19,0)),"")*0.7*2,0)/2))</f>
        <v>94.5</v>
      </c>
      <c r="D58" s="100"/>
      <c r="E58" s="101"/>
      <c r="F58" s="101"/>
      <c r="G58" s="101"/>
      <c r="H58" s="101"/>
      <c r="I58" s="101"/>
    </row>
    <row r="59" customFormat="false" ht="18" hidden="false" customHeight="true" outlineLevel="0" collapsed="false">
      <c r="A59" s="97" t="n">
        <v>3</v>
      </c>
      <c r="B59" s="102" t="s">
        <v>366</v>
      </c>
      <c r="C59" s="103" t="n">
        <f aca="false">IF(FALSE(),"",IF(IFERROR(INDEX(Rekorde!$O$4:$O$19,MATCH(Übungen!$A$8,Rekorde!$A$4:$A$19,0)),"")="","",ROUND(IFERROR(INDEX(Rekorde!$O$4:$O$19,MATCH(Übungen!$A$8,Rekorde!$A$4:$A$19,0)),"")*1*2,0)/2))</f>
        <v>135</v>
      </c>
      <c r="D59" s="104" t="n">
        <f aca="false">IF(FALSE(),"",IF(IFERROR(INDEX(Rekorde!$P$4:$P$19,MATCH(Übungen!$A$8,Rekorde!$A$4:$A$19,0)),"")="","",MIN(Übungen!$E$8,IFERROR(INDEX(Rekorde!$P$4:$P$19,MATCH(Übungen!$A$8,Rekorde!$A$4:$A$19,0)),"")+0)))</f>
        <v>7</v>
      </c>
      <c r="E59" s="101"/>
      <c r="F59" s="101"/>
      <c r="G59" s="101"/>
      <c r="H59" s="101"/>
      <c r="I59" s="101"/>
    </row>
    <row r="60" customFormat="false" ht="18" hidden="false" customHeight="true" outlineLevel="0" collapsed="false">
      <c r="A60" s="97" t="n">
        <v>4</v>
      </c>
      <c r="B60" s="102" t="s">
        <v>367</v>
      </c>
      <c r="C60" s="99" t="n">
        <f aca="false">IF(FALSE(),"",IF(IFERROR(INDEX(Rekorde!$O$4:$O$19,MATCH(Übungen!$A$8,Rekorde!$A$4:$A$19,0)),"")="","",ROUND(IFERROR(INDEX(Rekorde!$O$4:$O$19,MATCH(Übungen!$A$8,Rekorde!$A$4:$A$19,0)),"")*0.95*2,0)/2))</f>
        <v>128.5</v>
      </c>
      <c r="D60" s="104" t="n">
        <f aca="false">IF(FALSE(),"",IF(IFERROR(INDEX(Rekorde!$P$4:$P$19,MATCH(Übungen!$A$8,Rekorde!$A$4:$A$19,0)),"")="","",MIN(Übungen!$E$8,IFERROR(INDEX(Rekorde!$P$4:$P$19,MATCH(Übungen!$A$8,Rekorde!$A$4:$A$19,0)),"")+1)))</f>
        <v>8</v>
      </c>
      <c r="E60" s="101"/>
      <c r="F60" s="101"/>
      <c r="G60" s="101"/>
      <c r="H60" s="101"/>
      <c r="I60" s="101"/>
    </row>
    <row r="61" customFormat="false" ht="18" hidden="false" customHeight="true" outlineLevel="0" collapsed="false">
      <c r="A61" s="97" t="n">
        <v>5</v>
      </c>
      <c r="B61" s="102" t="s">
        <v>368</v>
      </c>
      <c r="C61" s="99" t="n">
        <f aca="false">IF(FALSE(),"",IF(IFERROR(INDEX(Rekorde!$O$4:$O$19,MATCH(Übungen!$A$8,Rekorde!$A$4:$A$19,0)),"")="","",ROUND(IFERROR(INDEX(Rekorde!$O$4:$O$19,MATCH(Übungen!$A$8,Rekorde!$A$4:$A$19,0)),"")*0.9*2,0)/2))</f>
        <v>121.5</v>
      </c>
      <c r="D61" s="104" t="n">
        <f aca="false">IF(FALSE(),"",IF(IFERROR(INDEX(Rekorde!$P$4:$P$19,MATCH(Übungen!$A$8,Rekorde!$A$4:$A$19,0)),"")="","",MIN(Übungen!$E$8,IFERROR(INDEX(Rekorde!$P$4:$P$19,MATCH(Übungen!$A$8,Rekorde!$A$4:$A$19,0)),"")+2)))</f>
        <v>8</v>
      </c>
      <c r="E61" s="101"/>
      <c r="F61" s="101"/>
      <c r="G61" s="101"/>
      <c r="H61" s="101"/>
      <c r="I61" s="101"/>
    </row>
    <row r="63" customFormat="false" ht="18.75" hidden="false" customHeight="true" outlineLevel="0" collapsed="false">
      <c r="A63" s="93" t="str">
        <f aca="false">Übungen!$A$9</f>
        <v>Beinpresse breit</v>
      </c>
      <c r="B63" s="93"/>
      <c r="C63" s="93"/>
      <c r="D63" s="93"/>
      <c r="E63" s="93"/>
      <c r="F63" s="93"/>
      <c r="G63" s="93"/>
      <c r="H63" s="93"/>
      <c r="I63" s="93"/>
    </row>
    <row r="64" customFormat="false" ht="13.5" hidden="false" customHeight="true" outlineLevel="0" collapsed="false">
      <c r="A64"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65" s="95"/>
      <c r="C65" s="95"/>
      <c r="D65" s="95"/>
      <c r="E65" s="95"/>
      <c r="F65" s="95"/>
      <c r="G65" s="95"/>
      <c r="H65" s="95"/>
      <c r="I65" s="95"/>
    </row>
    <row r="66" customFormat="false" ht="18" hidden="false" customHeight="true" outlineLevel="0" collapsed="false">
      <c r="A66" s="96" t="s">
        <v>358</v>
      </c>
      <c r="B66" s="96" t="s">
        <v>359</v>
      </c>
      <c r="C66" s="96" t="s">
        <v>360</v>
      </c>
      <c r="D66" s="96" t="s">
        <v>361</v>
      </c>
      <c r="E66" s="96" t="s">
        <v>362</v>
      </c>
      <c r="F66" s="96" t="s">
        <v>276</v>
      </c>
      <c r="G66" s="96" t="s">
        <v>46</v>
      </c>
      <c r="H66" s="96" t="s">
        <v>363</v>
      </c>
      <c r="I66" s="96" t="s">
        <v>178</v>
      </c>
    </row>
    <row r="67" customFormat="false" ht="18" hidden="false" customHeight="true" outlineLevel="0" collapsed="false">
      <c r="A67" s="97" t="n">
        <v>1</v>
      </c>
      <c r="B67" s="98" t="s">
        <v>364</v>
      </c>
      <c r="C67" s="99" t="n">
        <f aca="false">IF(FALSE(),"",IF(IFERROR(INDEX(Rekorde!$O$4:$O$19,MATCH(Übungen!$A$9,Rekorde!$A$4:$A$19,0)),"")="","",ROUND(IFERROR(INDEX(Rekorde!$O$4:$O$19,MATCH(Übungen!$A$9,Rekorde!$A$4:$A$19,0)),"")*0.4*2,0)/2))</f>
        <v>104</v>
      </c>
      <c r="D67" s="100"/>
      <c r="E67" s="101"/>
      <c r="F67" s="101"/>
      <c r="G67" s="101"/>
      <c r="H67" s="101"/>
      <c r="I67" s="101"/>
    </row>
    <row r="68" customFormat="false" ht="18" hidden="false" customHeight="true" outlineLevel="0" collapsed="false">
      <c r="A68" s="97" t="n">
        <v>2</v>
      </c>
      <c r="B68" s="98" t="s">
        <v>365</v>
      </c>
      <c r="C68" s="99" t="n">
        <f aca="false">IF(FALSE(),"",IF(IFERROR(INDEX(Rekorde!$O$4:$O$19,MATCH(Übungen!$A$9,Rekorde!$A$4:$A$19,0)),"")="","",ROUND(IFERROR(INDEX(Rekorde!$O$4:$O$19,MATCH(Übungen!$A$9,Rekorde!$A$4:$A$19,0)),"")*0.7*2,0)/2))</f>
        <v>182</v>
      </c>
      <c r="D68" s="100"/>
      <c r="E68" s="101"/>
      <c r="F68" s="101"/>
      <c r="G68" s="101"/>
      <c r="H68" s="101"/>
      <c r="I68" s="101"/>
    </row>
    <row r="69" customFormat="false" ht="18" hidden="false" customHeight="true" outlineLevel="0" collapsed="false">
      <c r="A69" s="97" t="n">
        <v>3</v>
      </c>
      <c r="B69" s="102" t="s">
        <v>366</v>
      </c>
      <c r="C69" s="103" t="n">
        <f aca="false">IF(FALSE(),"",IF(IFERROR(INDEX(Rekorde!$O$4:$O$19,MATCH(Übungen!$A$9,Rekorde!$A$4:$A$19,0)),"")="","",ROUND(IFERROR(INDEX(Rekorde!$O$4:$O$19,MATCH(Übungen!$A$9,Rekorde!$A$4:$A$19,0)),"")*1*2,0)/2))</f>
        <v>260</v>
      </c>
      <c r="D69" s="104" t="n">
        <f aca="false">IF(FALSE(),"",IF(IFERROR(INDEX(Rekorde!$P$4:$P$19,MATCH(Übungen!$A$9,Rekorde!$A$4:$A$19,0)),"")="","",MIN(Übungen!$E$9,IFERROR(INDEX(Rekorde!$P$4:$P$19,MATCH(Übungen!$A$9,Rekorde!$A$4:$A$19,0)),"")+0)))</f>
        <v>5</v>
      </c>
      <c r="E69" s="101"/>
      <c r="F69" s="101"/>
      <c r="G69" s="101"/>
      <c r="H69" s="101"/>
      <c r="I69" s="101"/>
    </row>
    <row r="70" customFormat="false" ht="18" hidden="false" customHeight="true" outlineLevel="0" collapsed="false">
      <c r="A70" s="97" t="n">
        <v>4</v>
      </c>
      <c r="B70" s="102" t="s">
        <v>367</v>
      </c>
      <c r="C70" s="99" t="n">
        <f aca="false">IF(FALSE(),"",IF(IFERROR(INDEX(Rekorde!$O$4:$O$19,MATCH(Übungen!$A$9,Rekorde!$A$4:$A$19,0)),"")="","",ROUND(IFERROR(INDEX(Rekorde!$O$4:$O$19,MATCH(Übungen!$A$9,Rekorde!$A$4:$A$19,0)),"")*0.95*2,0)/2))</f>
        <v>247</v>
      </c>
      <c r="D70" s="104" t="n">
        <f aca="false">IF(FALSE(),"",IF(IFERROR(INDEX(Rekorde!$P$4:$P$19,MATCH(Übungen!$A$9,Rekorde!$A$4:$A$19,0)),"")="","",MIN(Übungen!$E$9,IFERROR(INDEX(Rekorde!$P$4:$P$19,MATCH(Übungen!$A$9,Rekorde!$A$4:$A$19,0)),"")+1)))</f>
        <v>6</v>
      </c>
      <c r="E70" s="101"/>
      <c r="F70" s="101"/>
      <c r="G70" s="101"/>
      <c r="H70" s="101"/>
      <c r="I70" s="101"/>
    </row>
    <row r="71" customFormat="false" ht="18" hidden="false" customHeight="true" outlineLevel="0" collapsed="false">
      <c r="A71" s="97" t="n">
        <v>5</v>
      </c>
      <c r="B71" s="102" t="s">
        <v>368</v>
      </c>
      <c r="C71" s="99" t="n">
        <f aca="false">IF(FALSE(),"",IF(IFERROR(INDEX(Rekorde!$O$4:$O$19,MATCH(Übungen!$A$9,Rekorde!$A$4:$A$19,0)),"")="","",ROUND(IFERROR(INDEX(Rekorde!$O$4:$O$19,MATCH(Übungen!$A$9,Rekorde!$A$4:$A$19,0)),"")*0.9*2,0)/2))</f>
        <v>234</v>
      </c>
      <c r="D71" s="104" t="n">
        <f aca="false">IF(FALSE(),"",IF(IFERROR(INDEX(Rekorde!$P$4:$P$19,MATCH(Übungen!$A$9,Rekorde!$A$4:$A$19,0)),"")="","",MIN(Übungen!$E$9,IFERROR(INDEX(Rekorde!$P$4:$P$19,MATCH(Übungen!$A$9,Rekorde!$A$4:$A$19,0)),"")+2)))</f>
        <v>7</v>
      </c>
      <c r="E71" s="101"/>
      <c r="F71" s="101"/>
      <c r="G71" s="101"/>
      <c r="H71" s="101"/>
      <c r="I71" s="101"/>
    </row>
    <row r="73" customFormat="false" ht="18.75" hidden="false" customHeight="true" outlineLevel="0" collapsed="false">
      <c r="A73" s="93" t="str">
        <f aca="false">Übungen!$A$10</f>
        <v>Hip Thrust</v>
      </c>
      <c r="B73" s="93"/>
      <c r="C73" s="93"/>
      <c r="D73" s="93"/>
      <c r="E73" s="93"/>
      <c r="F73" s="93"/>
      <c r="G73" s="93"/>
      <c r="H73" s="93"/>
      <c r="I73" s="93"/>
    </row>
    <row r="74" customFormat="false" ht="13.5" hidden="false" customHeight="true" outlineLevel="0" collapsed="false">
      <c r="A74"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75" s="95"/>
      <c r="C75" s="95"/>
      <c r="D75" s="95"/>
      <c r="E75" s="95"/>
      <c r="F75" s="95"/>
      <c r="G75" s="95"/>
      <c r="H75" s="95"/>
      <c r="I75" s="95"/>
    </row>
    <row r="76" customFormat="false" ht="18" hidden="false" customHeight="true" outlineLevel="0" collapsed="false">
      <c r="A76" s="96" t="s">
        <v>358</v>
      </c>
      <c r="B76" s="96" t="s">
        <v>359</v>
      </c>
      <c r="C76" s="96" t="s">
        <v>360</v>
      </c>
      <c r="D76" s="96" t="s">
        <v>361</v>
      </c>
      <c r="E76" s="96" t="s">
        <v>362</v>
      </c>
      <c r="F76" s="96" t="s">
        <v>276</v>
      </c>
      <c r="G76" s="96" t="s">
        <v>46</v>
      </c>
      <c r="H76" s="96" t="s">
        <v>363</v>
      </c>
      <c r="I76" s="96" t="s">
        <v>178</v>
      </c>
    </row>
    <row r="77" customFormat="false" ht="18" hidden="false" customHeight="true" outlineLevel="0" collapsed="false">
      <c r="A77" s="97" t="n">
        <v>1</v>
      </c>
      <c r="B77" s="98" t="s">
        <v>364</v>
      </c>
      <c r="C77" s="99" t="n">
        <f aca="false">IF(FALSE(),"",IF(IFERROR(INDEX(Rekorde!$O$4:$O$19,MATCH(Übungen!$A$10,Rekorde!$A$4:$A$19,0)),"")="","",ROUND(IFERROR(INDEX(Rekorde!$O$4:$O$19,MATCH(Übungen!$A$10,Rekorde!$A$4:$A$19,0)),"")*0.4*2,0)/2))</f>
        <v>118</v>
      </c>
      <c r="D77" s="100"/>
      <c r="E77" s="101"/>
      <c r="F77" s="101"/>
      <c r="G77" s="101"/>
      <c r="H77" s="101"/>
      <c r="I77" s="101"/>
    </row>
    <row r="78" customFormat="false" ht="18" hidden="false" customHeight="true" outlineLevel="0" collapsed="false">
      <c r="A78" s="97" t="n">
        <v>2</v>
      </c>
      <c r="B78" s="98" t="s">
        <v>365</v>
      </c>
      <c r="C78" s="99" t="n">
        <f aca="false">IF(FALSE(),"",IF(IFERROR(INDEX(Rekorde!$O$4:$O$19,MATCH(Übungen!$A$10,Rekorde!$A$4:$A$19,0)),"")="","",ROUND(IFERROR(INDEX(Rekorde!$O$4:$O$19,MATCH(Übungen!$A$10,Rekorde!$A$4:$A$19,0)),"")*0.7*2,0)/2))</f>
        <v>206.5</v>
      </c>
      <c r="D78" s="100"/>
      <c r="E78" s="101"/>
      <c r="F78" s="101"/>
      <c r="G78" s="101"/>
      <c r="H78" s="101"/>
      <c r="I78" s="101"/>
    </row>
    <row r="79" customFormat="false" ht="18" hidden="false" customHeight="true" outlineLevel="0" collapsed="false">
      <c r="A79" s="97" t="n">
        <v>3</v>
      </c>
      <c r="B79" s="102" t="s">
        <v>366</v>
      </c>
      <c r="C79" s="103" t="n">
        <f aca="false">IF(FALSE(),"",IF(IFERROR(INDEX(Rekorde!$O$4:$O$19,MATCH(Übungen!$A$10,Rekorde!$A$4:$A$19,0)),"")="","",ROUND(IFERROR(INDEX(Rekorde!$O$4:$O$19,MATCH(Übungen!$A$10,Rekorde!$A$4:$A$19,0)),"")*1*2,0)/2))</f>
        <v>295</v>
      </c>
      <c r="D79" s="104" t="n">
        <f aca="false">IF(FALSE(),"",IF(IFERROR(INDEX(Rekorde!$P$4:$P$19,MATCH(Übungen!$A$10,Rekorde!$A$4:$A$19,0)),"")="","",MIN(Übungen!$E$10,IFERROR(INDEX(Rekorde!$P$4:$P$19,MATCH(Übungen!$A$10,Rekorde!$A$4:$A$19,0)),"")+0)))</f>
        <v>5</v>
      </c>
      <c r="E79" s="101"/>
      <c r="F79" s="101"/>
      <c r="G79" s="101"/>
      <c r="H79" s="101"/>
      <c r="I79" s="101"/>
    </row>
    <row r="80" customFormat="false" ht="18" hidden="false" customHeight="true" outlineLevel="0" collapsed="false">
      <c r="A80" s="97" t="n">
        <v>4</v>
      </c>
      <c r="B80" s="102" t="s">
        <v>367</v>
      </c>
      <c r="C80" s="99" t="n">
        <f aca="false">IF(FALSE(),"",IF(IFERROR(INDEX(Rekorde!$O$4:$O$19,MATCH(Übungen!$A$10,Rekorde!$A$4:$A$19,0)),"")="","",ROUND(IFERROR(INDEX(Rekorde!$O$4:$O$19,MATCH(Übungen!$A$10,Rekorde!$A$4:$A$19,0)),"")*0.95*2,0)/2))</f>
        <v>280.5</v>
      </c>
      <c r="D80" s="104" t="n">
        <f aca="false">IF(FALSE(),"",IF(IFERROR(INDEX(Rekorde!$P$4:$P$19,MATCH(Übungen!$A$10,Rekorde!$A$4:$A$19,0)),"")="","",MIN(Übungen!$E$10,IFERROR(INDEX(Rekorde!$P$4:$P$19,MATCH(Übungen!$A$10,Rekorde!$A$4:$A$19,0)),"")+1)))</f>
        <v>6</v>
      </c>
      <c r="E80" s="101"/>
      <c r="F80" s="101"/>
      <c r="G80" s="101"/>
      <c r="H80" s="101"/>
      <c r="I80" s="101"/>
    </row>
    <row r="81" customFormat="false" ht="18" hidden="false" customHeight="true" outlineLevel="0" collapsed="false">
      <c r="A81" s="97" t="n">
        <v>5</v>
      </c>
      <c r="B81" s="102" t="s">
        <v>368</v>
      </c>
      <c r="C81" s="99" t="n">
        <f aca="false">IF(FALSE(),"",IF(IFERROR(INDEX(Rekorde!$O$4:$O$19,MATCH(Übungen!$A$10,Rekorde!$A$4:$A$19,0)),"")="","",ROUND(IFERROR(INDEX(Rekorde!$O$4:$O$19,MATCH(Übungen!$A$10,Rekorde!$A$4:$A$19,0)),"")*0.9*2,0)/2))</f>
        <v>265.5</v>
      </c>
      <c r="D81" s="104" t="n">
        <f aca="false">IF(FALSE(),"",IF(IFERROR(INDEX(Rekorde!$P$4:$P$19,MATCH(Übungen!$A$10,Rekorde!$A$4:$A$19,0)),"")="","",MIN(Übungen!$E$10,IFERROR(INDEX(Rekorde!$P$4:$P$19,MATCH(Übungen!$A$10,Rekorde!$A$4:$A$19,0)),"")+2)))</f>
        <v>7</v>
      </c>
      <c r="E81" s="101"/>
      <c r="F81" s="101"/>
      <c r="G81" s="101"/>
      <c r="H81" s="101"/>
      <c r="I81" s="101"/>
    </row>
    <row r="83" customFormat="false" ht="18.75" hidden="false" customHeight="true" outlineLevel="0" collapsed="false">
      <c r="A83" s="93" t="str">
        <f aca="false">Übungen!$A$11</f>
        <v>Hip &amp; Glute</v>
      </c>
      <c r="B83" s="93"/>
      <c r="C83" s="93"/>
      <c r="D83" s="93"/>
      <c r="E83" s="93"/>
      <c r="F83" s="93"/>
      <c r="G83" s="93"/>
      <c r="H83" s="93"/>
      <c r="I83" s="93"/>
    </row>
    <row r="84" customFormat="false" ht="13.5" hidden="false" customHeight="true" outlineLevel="0" collapsed="false">
      <c r="A84"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85" s="95"/>
      <c r="C85" s="95"/>
      <c r="D85" s="95"/>
      <c r="E85" s="95"/>
      <c r="F85" s="95"/>
      <c r="G85" s="95"/>
      <c r="H85" s="95"/>
      <c r="I85" s="95"/>
    </row>
    <row r="86" customFormat="false" ht="18" hidden="false" customHeight="true" outlineLevel="0" collapsed="false">
      <c r="A86" s="96" t="s">
        <v>358</v>
      </c>
      <c r="B86" s="96" t="s">
        <v>359</v>
      </c>
      <c r="C86" s="96" t="s">
        <v>360</v>
      </c>
      <c r="D86" s="96" t="s">
        <v>361</v>
      </c>
      <c r="E86" s="96" t="s">
        <v>362</v>
      </c>
      <c r="F86" s="96" t="s">
        <v>276</v>
      </c>
      <c r="G86" s="96" t="s">
        <v>46</v>
      </c>
      <c r="H86" s="96" t="s">
        <v>363</v>
      </c>
      <c r="I86" s="96" t="s">
        <v>178</v>
      </c>
    </row>
    <row r="87" customFormat="false" ht="18" hidden="false" customHeight="true" outlineLevel="0" collapsed="false">
      <c r="A87" s="97" t="n">
        <v>1</v>
      </c>
      <c r="B87" s="98" t="s">
        <v>364</v>
      </c>
      <c r="C87" s="99" t="n">
        <f aca="false">IF(FALSE(),"",IF(IFERROR(INDEX(Rekorde!$O$4:$O$19,MATCH(Übungen!$A$11,Rekorde!$A$4:$A$19,0)),"")="","",ROUND(IFERROR(INDEX(Rekorde!$O$4:$O$19,MATCH(Übungen!$A$11,Rekorde!$A$4:$A$19,0)),"")*0.4*2,0)/2))</f>
        <v>58</v>
      </c>
      <c r="D87" s="100"/>
      <c r="E87" s="101"/>
      <c r="F87" s="101"/>
      <c r="G87" s="101"/>
      <c r="H87" s="101"/>
      <c r="I87" s="101"/>
    </row>
    <row r="88" customFormat="false" ht="18" hidden="false" customHeight="true" outlineLevel="0" collapsed="false">
      <c r="A88" s="97" t="n">
        <v>2</v>
      </c>
      <c r="B88" s="98" t="s">
        <v>365</v>
      </c>
      <c r="C88" s="99" t="n">
        <f aca="false">IF(FALSE(),"",IF(IFERROR(INDEX(Rekorde!$O$4:$O$19,MATCH(Übungen!$A$11,Rekorde!$A$4:$A$19,0)),"")="","",ROUND(IFERROR(INDEX(Rekorde!$O$4:$O$19,MATCH(Übungen!$A$11,Rekorde!$A$4:$A$19,0)),"")*0.7*2,0)/2))</f>
        <v>101.5</v>
      </c>
      <c r="D88" s="100"/>
      <c r="E88" s="101"/>
      <c r="F88" s="101"/>
      <c r="G88" s="101"/>
      <c r="H88" s="101"/>
      <c r="I88" s="101"/>
    </row>
    <row r="89" customFormat="false" ht="18" hidden="false" customHeight="true" outlineLevel="0" collapsed="false">
      <c r="A89" s="97" t="n">
        <v>3</v>
      </c>
      <c r="B89" s="102" t="s">
        <v>366</v>
      </c>
      <c r="C89" s="103" t="n">
        <f aca="false">IF(FALSE(),"",IF(IFERROR(INDEX(Rekorde!$O$4:$O$19,MATCH(Übungen!$A$11,Rekorde!$A$4:$A$19,0)),"")="","",ROUND(IFERROR(INDEX(Rekorde!$O$4:$O$19,MATCH(Übungen!$A$11,Rekorde!$A$4:$A$19,0)),"")*1*2,0)/2))</f>
        <v>145</v>
      </c>
      <c r="D89" s="104" t="n">
        <f aca="false">IF(FALSE(),"",IF(IFERROR(INDEX(Rekorde!$P$4:$P$19,MATCH(Übungen!$A$11,Rekorde!$A$4:$A$19,0)),"")="","",MIN(Übungen!$E$11,IFERROR(INDEX(Rekorde!$P$4:$P$19,MATCH(Übungen!$A$11,Rekorde!$A$4:$A$19,0)),"")+0)))</f>
        <v>5</v>
      </c>
      <c r="E89" s="101"/>
      <c r="F89" s="101"/>
      <c r="G89" s="101"/>
      <c r="H89" s="101"/>
      <c r="I89" s="101"/>
    </row>
    <row r="90" customFormat="false" ht="18" hidden="false" customHeight="true" outlineLevel="0" collapsed="false">
      <c r="A90" s="97" t="n">
        <v>4</v>
      </c>
      <c r="B90" s="102" t="s">
        <v>367</v>
      </c>
      <c r="C90" s="99" t="n">
        <f aca="false">IF(FALSE(),"",IF(IFERROR(INDEX(Rekorde!$O$4:$O$19,MATCH(Übungen!$A$11,Rekorde!$A$4:$A$19,0)),"")="","",ROUND(IFERROR(INDEX(Rekorde!$O$4:$O$19,MATCH(Übungen!$A$11,Rekorde!$A$4:$A$19,0)),"")*0.95*2,0)/2))</f>
        <v>138</v>
      </c>
      <c r="D90" s="104" t="n">
        <f aca="false">IF(FALSE(),"",IF(IFERROR(INDEX(Rekorde!$P$4:$P$19,MATCH(Übungen!$A$11,Rekorde!$A$4:$A$19,0)),"")="","",MIN(Übungen!$E$11,IFERROR(INDEX(Rekorde!$P$4:$P$19,MATCH(Übungen!$A$11,Rekorde!$A$4:$A$19,0)),"")+1)))</f>
        <v>6</v>
      </c>
      <c r="E90" s="101"/>
      <c r="F90" s="101"/>
      <c r="G90" s="101"/>
      <c r="H90" s="101"/>
      <c r="I90" s="101"/>
    </row>
    <row r="91" customFormat="false" ht="18" hidden="false" customHeight="true" outlineLevel="0" collapsed="false">
      <c r="A91" s="97" t="n">
        <v>5</v>
      </c>
      <c r="B91" s="102" t="s">
        <v>368</v>
      </c>
      <c r="C91" s="99" t="n">
        <f aca="false">IF(FALSE(),"",IF(IFERROR(INDEX(Rekorde!$O$4:$O$19,MATCH(Übungen!$A$11,Rekorde!$A$4:$A$19,0)),"")="","",ROUND(IFERROR(INDEX(Rekorde!$O$4:$O$19,MATCH(Übungen!$A$11,Rekorde!$A$4:$A$19,0)),"")*0.9*2,0)/2))</f>
        <v>130.5</v>
      </c>
      <c r="D91" s="104" t="n">
        <f aca="false">IF(FALSE(),"",IF(IFERROR(INDEX(Rekorde!$P$4:$P$19,MATCH(Übungen!$A$11,Rekorde!$A$4:$A$19,0)),"")="","",MIN(Übungen!$E$11,IFERROR(INDEX(Rekorde!$P$4:$P$19,MATCH(Übungen!$A$11,Rekorde!$A$4:$A$19,0)),"")+2)))</f>
        <v>7</v>
      </c>
      <c r="E91" s="101"/>
      <c r="F91" s="101"/>
      <c r="G91" s="101"/>
      <c r="H91" s="101"/>
      <c r="I91" s="101"/>
    </row>
    <row r="93" customFormat="false" ht="18.75" hidden="false" customHeight="true" outlineLevel="0" collapsed="false">
      <c r="A93" s="93" t="str">
        <f aca="false">Übungen!$A$12</f>
        <v>Beinbeuger</v>
      </c>
      <c r="B93" s="93"/>
      <c r="C93" s="93"/>
      <c r="D93" s="93"/>
      <c r="E93" s="93"/>
      <c r="F93" s="93"/>
      <c r="G93" s="93"/>
      <c r="H93" s="93"/>
      <c r="I93" s="93"/>
    </row>
    <row r="94" customFormat="false" ht="13.5" hidden="false" customHeight="true" outlineLevel="0" collapsed="false">
      <c r="A94"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95" s="95"/>
      <c r="C95" s="95"/>
      <c r="D95" s="95"/>
      <c r="E95" s="95"/>
      <c r="F95" s="95"/>
      <c r="G95" s="95"/>
      <c r="H95" s="95"/>
      <c r="I95" s="95"/>
    </row>
    <row r="96" customFormat="false" ht="18" hidden="false" customHeight="true" outlineLevel="0" collapsed="false">
      <c r="A96" s="96" t="s">
        <v>358</v>
      </c>
      <c r="B96" s="96" t="s">
        <v>359</v>
      </c>
      <c r="C96" s="96" t="s">
        <v>360</v>
      </c>
      <c r="D96" s="96" t="s">
        <v>361</v>
      </c>
      <c r="E96" s="96" t="s">
        <v>362</v>
      </c>
      <c r="F96" s="96" t="s">
        <v>276</v>
      </c>
      <c r="G96" s="96" t="s">
        <v>46</v>
      </c>
      <c r="H96" s="96" t="s">
        <v>363</v>
      </c>
      <c r="I96" s="96" t="s">
        <v>178</v>
      </c>
    </row>
    <row r="97" customFormat="false" ht="18" hidden="false" customHeight="true" outlineLevel="0" collapsed="false">
      <c r="A97" s="97" t="n">
        <v>1</v>
      </c>
      <c r="B97" s="98" t="s">
        <v>364</v>
      </c>
      <c r="C97" s="99" t="n">
        <f aca="false">IF(FALSE(),"",IF(IFERROR(INDEX(Rekorde!$O$4:$O$19,MATCH(Übungen!$A$12,Rekorde!$A$4:$A$19,0)),"")="","",ROUND(IFERROR(INDEX(Rekorde!$O$4:$O$19,MATCH(Übungen!$A$12,Rekorde!$A$4:$A$19,0)),"")*0.4*2,0)/2))</f>
        <v>22</v>
      </c>
      <c r="D97" s="100"/>
      <c r="E97" s="101"/>
      <c r="F97" s="101"/>
      <c r="G97" s="101"/>
      <c r="H97" s="101"/>
      <c r="I97" s="101"/>
    </row>
    <row r="98" customFormat="false" ht="18" hidden="false" customHeight="true" outlineLevel="0" collapsed="false">
      <c r="A98" s="97" t="n">
        <v>2</v>
      </c>
      <c r="B98" s="98" t="s">
        <v>365</v>
      </c>
      <c r="C98" s="99" t="n">
        <f aca="false">IF(FALSE(),"",IF(IFERROR(INDEX(Rekorde!$O$4:$O$19,MATCH(Übungen!$A$12,Rekorde!$A$4:$A$19,0)),"")="","",ROUND(IFERROR(INDEX(Rekorde!$O$4:$O$19,MATCH(Übungen!$A$12,Rekorde!$A$4:$A$19,0)),"")*0.7*2,0)/2))</f>
        <v>38.5</v>
      </c>
      <c r="D98" s="100"/>
      <c r="E98" s="101"/>
      <c r="F98" s="101"/>
      <c r="G98" s="101"/>
      <c r="H98" s="101"/>
      <c r="I98" s="101"/>
    </row>
    <row r="99" customFormat="false" ht="18" hidden="false" customHeight="true" outlineLevel="0" collapsed="false">
      <c r="A99" s="97" t="n">
        <v>3</v>
      </c>
      <c r="B99" s="102" t="s">
        <v>366</v>
      </c>
      <c r="C99" s="103" t="n">
        <f aca="false">IF(FALSE(),"",IF(IFERROR(INDEX(Rekorde!$O$4:$O$19,MATCH(Übungen!$A$12,Rekorde!$A$4:$A$19,0)),"")="","",ROUND(IFERROR(INDEX(Rekorde!$O$4:$O$19,MATCH(Übungen!$A$12,Rekorde!$A$4:$A$19,0)),"")*1*2,0)/2))</f>
        <v>55</v>
      </c>
      <c r="D99" s="104" t="n">
        <f aca="false">IF(FALSE(),"",IF(IFERROR(INDEX(Rekorde!$P$4:$P$19,MATCH(Übungen!$A$12,Rekorde!$A$4:$A$19,0)),"")="","",MIN(Übungen!$E$12,IFERROR(INDEX(Rekorde!$P$4:$P$19,MATCH(Übungen!$A$12,Rekorde!$A$4:$A$19,0)),"")+0)))</f>
        <v>5</v>
      </c>
      <c r="E99" s="101"/>
      <c r="F99" s="101"/>
      <c r="G99" s="101"/>
      <c r="H99" s="101"/>
      <c r="I99" s="101"/>
    </row>
    <row r="100" customFormat="false" ht="18" hidden="false" customHeight="true" outlineLevel="0" collapsed="false">
      <c r="A100" s="97" t="n">
        <v>4</v>
      </c>
      <c r="B100" s="102" t="s">
        <v>367</v>
      </c>
      <c r="C100" s="99" t="n">
        <f aca="false">IF(FALSE(),"",IF(IFERROR(INDEX(Rekorde!$O$4:$O$19,MATCH(Übungen!$A$12,Rekorde!$A$4:$A$19,0)),"")="","",ROUND(IFERROR(INDEX(Rekorde!$O$4:$O$19,MATCH(Übungen!$A$12,Rekorde!$A$4:$A$19,0)),"")*0.95*2,0)/2))</f>
        <v>52.5</v>
      </c>
      <c r="D100" s="104" t="n">
        <f aca="false">IF(FALSE(),"",IF(IFERROR(INDEX(Rekorde!$P$4:$P$19,MATCH(Übungen!$A$12,Rekorde!$A$4:$A$19,0)),"")="","",MIN(Übungen!$E$12,IFERROR(INDEX(Rekorde!$P$4:$P$19,MATCH(Übungen!$A$12,Rekorde!$A$4:$A$19,0)),"")+1)))</f>
        <v>6</v>
      </c>
      <c r="E100" s="101"/>
      <c r="F100" s="101"/>
      <c r="G100" s="101"/>
      <c r="H100" s="101"/>
      <c r="I100" s="101"/>
    </row>
    <row r="101" customFormat="false" ht="18" hidden="false" customHeight="true" outlineLevel="0" collapsed="false">
      <c r="A101" s="97" t="n">
        <v>5</v>
      </c>
      <c r="B101" s="102" t="s">
        <v>368</v>
      </c>
      <c r="C101" s="99" t="n">
        <f aca="false">IF(FALSE(),"",IF(IFERROR(INDEX(Rekorde!$O$4:$O$19,MATCH(Übungen!$A$12,Rekorde!$A$4:$A$19,0)),"")="","",ROUND(IFERROR(INDEX(Rekorde!$O$4:$O$19,MATCH(Übungen!$A$12,Rekorde!$A$4:$A$19,0)),"")*0.9*2,0)/2))</f>
        <v>49.5</v>
      </c>
      <c r="D101" s="104" t="n">
        <f aca="false">IF(FALSE(),"",IF(IFERROR(INDEX(Rekorde!$P$4:$P$19,MATCH(Übungen!$A$12,Rekorde!$A$4:$A$19,0)),"")="","",MIN(Übungen!$E$12,IFERROR(INDEX(Rekorde!$P$4:$P$19,MATCH(Übungen!$A$12,Rekorde!$A$4:$A$19,0)),"")+2)))</f>
        <v>7</v>
      </c>
      <c r="E101" s="101"/>
      <c r="F101" s="101"/>
      <c r="G101" s="101"/>
      <c r="H101" s="101"/>
      <c r="I101" s="101"/>
    </row>
    <row r="103" customFormat="false" ht="18.75" hidden="false" customHeight="true" outlineLevel="0" collapsed="false">
      <c r="A103" s="93" t="str">
        <f aca="false">Übungen!$A$13</f>
        <v>Seitliche Kickbacks</v>
      </c>
      <c r="B103" s="93"/>
      <c r="C103" s="93"/>
      <c r="D103" s="93"/>
      <c r="E103" s="93"/>
      <c r="F103" s="93"/>
      <c r="G103" s="93"/>
      <c r="H103" s="93"/>
      <c r="I103" s="93"/>
    </row>
    <row r="104" customFormat="false" ht="13.5" hidden="false" customHeight="true" outlineLevel="0" collapsed="false">
      <c r="A104"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104" s="94"/>
      <c r="C104" s="94"/>
      <c r="D104" s="94"/>
      <c r="E104" s="94"/>
      <c r="F104" s="94"/>
      <c r="G104" s="94"/>
      <c r="H104" s="94"/>
      <c r="I104" s="94"/>
    </row>
    <row r="105" customFormat="false" ht="13.5" hidden="false" customHeight="true" outlineLevel="0" collapsed="false">
      <c r="A105"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105" s="95"/>
      <c r="C105" s="95"/>
      <c r="D105" s="95"/>
      <c r="E105" s="95"/>
      <c r="F105" s="95"/>
      <c r="G105" s="95"/>
      <c r="H105" s="95"/>
      <c r="I105" s="95"/>
    </row>
    <row r="106" customFormat="false" ht="18" hidden="false" customHeight="true" outlineLevel="0" collapsed="false">
      <c r="A106" s="96" t="s">
        <v>358</v>
      </c>
      <c r="B106" s="96" t="s">
        <v>359</v>
      </c>
      <c r="C106" s="96" t="s">
        <v>360</v>
      </c>
      <c r="D106" s="96" t="s">
        <v>361</v>
      </c>
      <c r="E106" s="96" t="s">
        <v>362</v>
      </c>
      <c r="F106" s="96" t="s">
        <v>276</v>
      </c>
      <c r="G106" s="96" t="s">
        <v>46</v>
      </c>
      <c r="H106" s="96" t="s">
        <v>363</v>
      </c>
      <c r="I106" s="96" t="s">
        <v>178</v>
      </c>
    </row>
    <row r="107" customFormat="false" ht="18" hidden="false" customHeight="true" outlineLevel="0" collapsed="false">
      <c r="A107" s="97" t="n">
        <v>1</v>
      </c>
      <c r="B107" s="98" t="s">
        <v>364</v>
      </c>
      <c r="C107" s="99" t="n">
        <f aca="false">IF(FALSE(),"",IF(IFERROR(INDEX(Rekorde!$O$4:$O$19,MATCH(Übungen!$A$13,Rekorde!$A$4:$A$19,0)),"")="","",ROUND(IFERROR(INDEX(Rekorde!$O$4:$O$19,MATCH(Übungen!$A$13,Rekorde!$A$4:$A$19,0)),"")*0.4*2,0)/2))</f>
        <v>15</v>
      </c>
      <c r="D107" s="100"/>
      <c r="E107" s="101"/>
      <c r="F107" s="101"/>
      <c r="G107" s="101"/>
      <c r="H107" s="101"/>
      <c r="I107" s="101"/>
    </row>
    <row r="108" customFormat="false" ht="18" hidden="false" customHeight="true" outlineLevel="0" collapsed="false">
      <c r="A108" s="97" t="n">
        <v>2</v>
      </c>
      <c r="B108" s="98" t="s">
        <v>365</v>
      </c>
      <c r="C108" s="99" t="n">
        <f aca="false">IF(FALSE(),"",IF(IFERROR(INDEX(Rekorde!$O$4:$O$19,MATCH(Übungen!$A$13,Rekorde!$A$4:$A$19,0)),"")="","",ROUND(IFERROR(INDEX(Rekorde!$O$4:$O$19,MATCH(Übungen!$A$13,Rekorde!$A$4:$A$19,0)),"")*0.7*2,0)/2))</f>
        <v>26.5</v>
      </c>
      <c r="D108" s="100"/>
      <c r="E108" s="101"/>
      <c r="F108" s="101"/>
      <c r="G108" s="101"/>
      <c r="H108" s="101"/>
      <c r="I108" s="101"/>
    </row>
    <row r="109" customFormat="false" ht="18" hidden="false" customHeight="true" outlineLevel="0" collapsed="false">
      <c r="A109" s="97" t="n">
        <v>3</v>
      </c>
      <c r="B109" s="102" t="s">
        <v>366</v>
      </c>
      <c r="C109" s="103" t="n">
        <f aca="false">IF(FALSE(),"",IF(IFERROR(INDEX(Rekorde!$O$4:$O$19,MATCH(Übungen!$A$13,Rekorde!$A$4:$A$19,0)),"")="","",ROUND(IFERROR(INDEX(Rekorde!$O$4:$O$19,MATCH(Übungen!$A$13,Rekorde!$A$4:$A$19,0)),"")*1*2,0)/2))</f>
        <v>38</v>
      </c>
      <c r="D109" s="104" t="n">
        <f aca="false">IF(FALSE(),"",IF(IFERROR(INDEX(Rekorde!$P$4:$P$19,MATCH(Übungen!$A$13,Rekorde!$A$4:$A$19,0)),"")="","",MIN(Übungen!$E$13,IFERROR(INDEX(Rekorde!$P$4:$P$19,MATCH(Übungen!$A$13,Rekorde!$A$4:$A$19,0)),"")+0)))</f>
        <v>5</v>
      </c>
      <c r="E109" s="101"/>
      <c r="F109" s="101"/>
      <c r="G109" s="101"/>
      <c r="H109" s="101"/>
      <c r="I109" s="101"/>
    </row>
    <row r="110" customFormat="false" ht="18" hidden="false" customHeight="true" outlineLevel="0" collapsed="false">
      <c r="A110" s="97" t="n">
        <v>4</v>
      </c>
      <c r="B110" s="102" t="s">
        <v>367</v>
      </c>
      <c r="C110" s="99" t="n">
        <f aca="false">IF(FALSE(),"",IF(IFERROR(INDEX(Rekorde!$O$4:$O$19,MATCH(Übungen!$A$13,Rekorde!$A$4:$A$19,0)),"")="","",ROUND(IFERROR(INDEX(Rekorde!$O$4:$O$19,MATCH(Übungen!$A$13,Rekorde!$A$4:$A$19,0)),"")*0.95*2,0)/2))</f>
        <v>36</v>
      </c>
      <c r="D110" s="104" t="n">
        <f aca="false">IF(FALSE(),"",IF(IFERROR(INDEX(Rekorde!$P$4:$P$19,MATCH(Übungen!$A$13,Rekorde!$A$4:$A$19,0)),"")="","",MIN(Übungen!$E$13,IFERROR(INDEX(Rekorde!$P$4:$P$19,MATCH(Übungen!$A$13,Rekorde!$A$4:$A$19,0)),"")+1)))</f>
        <v>6</v>
      </c>
      <c r="E110" s="101"/>
      <c r="F110" s="101"/>
      <c r="G110" s="101"/>
      <c r="H110" s="101"/>
      <c r="I110" s="101"/>
    </row>
    <row r="111" customFormat="false" ht="18" hidden="false" customHeight="true" outlineLevel="0" collapsed="false">
      <c r="A111" s="97" t="n">
        <v>5</v>
      </c>
      <c r="B111" s="102" t="s">
        <v>368</v>
      </c>
      <c r="C111" s="99" t="n">
        <f aca="false">IF(FALSE(),"",IF(IFERROR(INDEX(Rekorde!$O$4:$O$19,MATCH(Übungen!$A$13,Rekorde!$A$4:$A$19,0)),"")="","",ROUND(IFERROR(INDEX(Rekorde!$O$4:$O$19,MATCH(Übungen!$A$13,Rekorde!$A$4:$A$19,0)),"")*0.9*2,0)/2))</f>
        <v>34</v>
      </c>
      <c r="D111" s="104" t="n">
        <f aca="false">IF(FALSE(),"",IF(IFERROR(INDEX(Rekorde!$P$4:$P$19,MATCH(Übungen!$A$13,Rekorde!$A$4:$A$19,0)),"")="","",MIN(Übungen!$E$13,IFERROR(INDEX(Rekorde!$P$4:$P$19,MATCH(Übungen!$A$13,Rekorde!$A$4:$A$19,0)),"")+2)))</f>
        <v>7</v>
      </c>
      <c r="E111" s="101"/>
      <c r="F111" s="101"/>
      <c r="G111" s="101"/>
      <c r="H111" s="101"/>
      <c r="I111" s="101"/>
    </row>
    <row r="113" customFormat="false" ht="18.75" hidden="false" customHeight="true" outlineLevel="0" collapsed="false">
      <c r="A113" s="93" t="str">
        <f aca="false">Übungen!$A$14</f>
        <v>Waden</v>
      </c>
      <c r="B113" s="93"/>
      <c r="C113" s="93"/>
      <c r="D113" s="93"/>
      <c r="E113" s="93"/>
      <c r="F113" s="93"/>
      <c r="G113" s="93"/>
      <c r="H113" s="93"/>
      <c r="I113" s="93"/>
    </row>
    <row r="114" customFormat="false" ht="13.5" hidden="false" customHeight="true" outlineLevel="0" collapsed="false">
      <c r="A114"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114" s="94"/>
      <c r="C114" s="94"/>
      <c r="D114" s="94"/>
      <c r="E114" s="94"/>
      <c r="F114" s="94"/>
      <c r="G114" s="94"/>
      <c r="H114" s="94"/>
      <c r="I114" s="94"/>
    </row>
    <row r="115" customFormat="false" ht="13.5" hidden="false" customHeight="true" outlineLevel="0" collapsed="false">
      <c r="A115"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115" s="95"/>
      <c r="C115" s="95"/>
      <c r="D115" s="95"/>
      <c r="E115" s="95"/>
      <c r="F115" s="95"/>
      <c r="G115" s="95"/>
      <c r="H115" s="95"/>
      <c r="I115" s="95"/>
    </row>
    <row r="116" customFormat="false" ht="18" hidden="false" customHeight="true" outlineLevel="0" collapsed="false">
      <c r="A116" s="96" t="s">
        <v>358</v>
      </c>
      <c r="B116" s="96" t="s">
        <v>359</v>
      </c>
      <c r="C116" s="96" t="s">
        <v>360</v>
      </c>
      <c r="D116" s="96" t="s">
        <v>361</v>
      </c>
      <c r="E116" s="96" t="s">
        <v>362</v>
      </c>
      <c r="F116" s="96" t="s">
        <v>276</v>
      </c>
      <c r="G116" s="96" t="s">
        <v>46</v>
      </c>
      <c r="H116" s="96" t="s">
        <v>363</v>
      </c>
      <c r="I116" s="96" t="s">
        <v>178</v>
      </c>
    </row>
    <row r="117" customFormat="false" ht="18" hidden="false" customHeight="true" outlineLevel="0" collapsed="false">
      <c r="A117" s="97" t="n">
        <v>1</v>
      </c>
      <c r="B117" s="98" t="s">
        <v>364</v>
      </c>
      <c r="C117" s="99" t="n">
        <f aca="false">IF(FALSE(),"",IF(IFERROR(INDEX(Rekorde!$O$4:$O$19,MATCH(Übungen!$A$14,Rekorde!$A$4:$A$19,0)),"")="","",ROUND(IFERROR(INDEX(Rekorde!$O$4:$O$19,MATCH(Übungen!$A$14,Rekorde!$A$4:$A$19,0)),"")*0.4*2,0)/2))</f>
        <v>66</v>
      </c>
      <c r="D117" s="100"/>
      <c r="E117" s="101"/>
      <c r="F117" s="101"/>
      <c r="G117" s="101"/>
      <c r="H117" s="101"/>
      <c r="I117" s="101"/>
    </row>
    <row r="118" customFormat="false" ht="18" hidden="false" customHeight="true" outlineLevel="0" collapsed="false">
      <c r="A118" s="97" t="n">
        <v>2</v>
      </c>
      <c r="B118" s="98" t="s">
        <v>365</v>
      </c>
      <c r="C118" s="99" t="n">
        <f aca="false">IF(FALSE(),"",IF(IFERROR(INDEX(Rekorde!$O$4:$O$19,MATCH(Übungen!$A$14,Rekorde!$A$4:$A$19,0)),"")="","",ROUND(IFERROR(INDEX(Rekorde!$O$4:$O$19,MATCH(Übungen!$A$14,Rekorde!$A$4:$A$19,0)),"")*0.7*2,0)/2))</f>
        <v>115.5</v>
      </c>
      <c r="D118" s="100"/>
      <c r="E118" s="101"/>
      <c r="F118" s="101"/>
      <c r="G118" s="101"/>
      <c r="H118" s="101"/>
      <c r="I118" s="101"/>
    </row>
    <row r="119" customFormat="false" ht="18" hidden="false" customHeight="true" outlineLevel="0" collapsed="false">
      <c r="A119" s="97" t="n">
        <v>3</v>
      </c>
      <c r="B119" s="102" t="s">
        <v>366</v>
      </c>
      <c r="C119" s="103" t="n">
        <f aca="false">IF(FALSE(),"",IF(IFERROR(INDEX(Rekorde!$O$4:$O$19,MATCH(Übungen!$A$14,Rekorde!$A$4:$A$19,0)),"")="","",ROUND(IFERROR(INDEX(Rekorde!$O$4:$O$19,MATCH(Übungen!$A$14,Rekorde!$A$4:$A$19,0)),"")*1*2,0)/2))</f>
        <v>165</v>
      </c>
      <c r="D119" s="104" t="n">
        <f aca="false">IF(FALSE(),"",IF(IFERROR(INDEX(Rekorde!$P$4:$P$19,MATCH(Übungen!$A$14,Rekorde!$A$4:$A$19,0)),"")="","",MIN(Übungen!$E$14,IFERROR(INDEX(Rekorde!$P$4:$P$19,MATCH(Übungen!$A$14,Rekorde!$A$4:$A$19,0)),"")+0)))</f>
        <v>5</v>
      </c>
      <c r="E119" s="101"/>
      <c r="F119" s="101"/>
      <c r="G119" s="101"/>
      <c r="H119" s="101"/>
      <c r="I119" s="101"/>
    </row>
    <row r="120" customFormat="false" ht="18" hidden="false" customHeight="true" outlineLevel="0" collapsed="false">
      <c r="A120" s="97" t="n">
        <v>4</v>
      </c>
      <c r="B120" s="102" t="s">
        <v>367</v>
      </c>
      <c r="C120" s="99" t="n">
        <f aca="false">IF(FALSE(),"",IF(IFERROR(INDEX(Rekorde!$O$4:$O$19,MATCH(Übungen!$A$14,Rekorde!$A$4:$A$19,0)),"")="","",ROUND(IFERROR(INDEX(Rekorde!$O$4:$O$19,MATCH(Übungen!$A$14,Rekorde!$A$4:$A$19,0)),"")*0.95*2,0)/2))</f>
        <v>157</v>
      </c>
      <c r="D120" s="104" t="n">
        <f aca="false">IF(FALSE(),"",IF(IFERROR(INDEX(Rekorde!$P$4:$P$19,MATCH(Übungen!$A$14,Rekorde!$A$4:$A$19,0)),"")="","",MIN(Übungen!$E$14,IFERROR(INDEX(Rekorde!$P$4:$P$19,MATCH(Übungen!$A$14,Rekorde!$A$4:$A$19,0)),"")+1)))</f>
        <v>6</v>
      </c>
      <c r="E120" s="101"/>
      <c r="F120" s="101"/>
      <c r="G120" s="101"/>
      <c r="H120" s="101"/>
      <c r="I120" s="101"/>
    </row>
    <row r="121" customFormat="false" ht="18" hidden="false" customHeight="true" outlineLevel="0" collapsed="false">
      <c r="A121" s="97" t="n">
        <v>5</v>
      </c>
      <c r="B121" s="102" t="s">
        <v>368</v>
      </c>
      <c r="C121" s="99" t="n">
        <f aca="false">IF(FALSE(),"",IF(IFERROR(INDEX(Rekorde!$O$4:$O$19,MATCH(Übungen!$A$14,Rekorde!$A$4:$A$19,0)),"")="","",ROUND(IFERROR(INDEX(Rekorde!$O$4:$O$19,MATCH(Übungen!$A$14,Rekorde!$A$4:$A$19,0)),"")*0.9*2,0)/2))</f>
        <v>148.5</v>
      </c>
      <c r="D121" s="104" t="n">
        <f aca="false">IF(FALSE(),"",IF(IFERROR(INDEX(Rekorde!$P$4:$P$19,MATCH(Übungen!$A$14,Rekorde!$A$4:$A$19,0)),"")="","",MIN(Übungen!$E$14,IFERROR(INDEX(Rekorde!$P$4:$P$19,MATCH(Übungen!$A$14,Rekorde!$A$4:$A$19,0)),"")+2)))</f>
        <v>7</v>
      </c>
      <c r="E121" s="101"/>
      <c r="F121" s="101"/>
      <c r="G121" s="101"/>
      <c r="H121" s="101"/>
      <c r="I121" s="101"/>
    </row>
    <row r="123" customFormat="false" ht="15.75" hidden="false" customHeight="true" outlineLevel="0" collapsed="false">
      <c r="A123" s="3" t="s">
        <v>369</v>
      </c>
      <c r="B123" s="3"/>
      <c r="C123" s="3"/>
      <c r="D123" s="3"/>
      <c r="E123" s="3"/>
      <c r="F123" s="3"/>
      <c r="G123" s="3"/>
      <c r="H123" s="3"/>
      <c r="I123" s="3"/>
    </row>
    <row r="124" customFormat="false" ht="18" hidden="false" customHeight="true" outlineLevel="0" collapsed="false">
      <c r="A124" s="105"/>
      <c r="B124" s="105"/>
      <c r="C124" s="105"/>
      <c r="D124" s="105"/>
      <c r="E124" s="105"/>
      <c r="F124" s="105"/>
      <c r="G124" s="105"/>
      <c r="H124" s="105"/>
      <c r="I124" s="105"/>
    </row>
    <row r="125" customFormat="false" ht="18" hidden="false" customHeight="true" outlineLevel="0" collapsed="false">
      <c r="A125" s="105"/>
      <c r="B125" s="105"/>
      <c r="C125" s="105"/>
      <c r="D125" s="105"/>
      <c r="E125" s="105"/>
      <c r="F125" s="105"/>
      <c r="G125" s="105"/>
      <c r="H125" s="105"/>
      <c r="I125" s="105"/>
    </row>
    <row r="127" customFormat="false" ht="27.75" hidden="false" customHeight="true" outlineLevel="0" collapsed="false">
      <c r="A127" s="1" t="s">
        <v>371</v>
      </c>
      <c r="B127" s="1"/>
      <c r="C127" s="1"/>
      <c r="D127" s="1"/>
      <c r="E127" s="1"/>
      <c r="F127" s="1"/>
      <c r="G127" s="1"/>
      <c r="H127" s="1"/>
      <c r="I127" s="1"/>
    </row>
    <row r="128" customFormat="false" ht="12" hidden="false" customHeight="true" outlineLevel="0" collapsed="false">
      <c r="A128" s="90" t="s">
        <v>69</v>
      </c>
      <c r="B128" s="90"/>
      <c r="C128" s="91" t="s">
        <v>354</v>
      </c>
      <c r="D128" s="91" t="s">
        <v>355</v>
      </c>
      <c r="E128" s="90" t="s">
        <v>356</v>
      </c>
      <c r="F128" s="90"/>
      <c r="G128" s="90" t="s">
        <v>357</v>
      </c>
      <c r="H128" s="90"/>
    </row>
    <row r="129" customFormat="false" ht="18" hidden="false" customHeight="true" outlineLevel="0" collapsed="false">
      <c r="A129" s="92"/>
      <c r="B129" s="92"/>
      <c r="C129" s="92"/>
      <c r="D129" s="92"/>
      <c r="E129" s="92"/>
      <c r="F129" s="92"/>
      <c r="G129" s="92"/>
      <c r="H129" s="92"/>
    </row>
    <row r="131" customFormat="false" ht="18.75" hidden="false" customHeight="true" outlineLevel="0" collapsed="false">
      <c r="A131" s="93" t="str">
        <f aca="false">Übungen!$A$4</f>
        <v>Beinpresse eng</v>
      </c>
      <c r="B131" s="93"/>
      <c r="C131" s="93"/>
      <c r="D131" s="93"/>
      <c r="E131" s="93"/>
      <c r="F131" s="93"/>
      <c r="G131" s="93"/>
      <c r="H131" s="93"/>
      <c r="I131" s="93"/>
    </row>
    <row r="132" customFormat="false" ht="13.5" hidden="false" customHeight="true" outlineLevel="0" collapsed="false">
      <c r="A132"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132" s="94"/>
      <c r="C132" s="94"/>
      <c r="D132" s="94"/>
      <c r="E132" s="94"/>
      <c r="F132" s="94"/>
      <c r="G132" s="94"/>
      <c r="H132" s="94"/>
      <c r="I132" s="94"/>
    </row>
    <row r="133" customFormat="false" ht="13.5" hidden="false" customHeight="true" outlineLevel="0" collapsed="false">
      <c r="A133"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133" s="95"/>
      <c r="C133" s="95"/>
      <c r="D133" s="95"/>
      <c r="E133" s="95"/>
      <c r="F133" s="95"/>
      <c r="G133" s="95"/>
      <c r="H133" s="95"/>
      <c r="I133" s="95"/>
    </row>
    <row r="134" customFormat="false" ht="18" hidden="false" customHeight="true" outlineLevel="0" collapsed="false">
      <c r="A134" s="96" t="s">
        <v>358</v>
      </c>
      <c r="B134" s="96" t="s">
        <v>359</v>
      </c>
      <c r="C134" s="96" t="s">
        <v>360</v>
      </c>
      <c r="D134" s="96" t="s">
        <v>361</v>
      </c>
      <c r="E134" s="96" t="s">
        <v>362</v>
      </c>
      <c r="F134" s="96" t="s">
        <v>276</v>
      </c>
      <c r="G134" s="96" t="s">
        <v>46</v>
      </c>
      <c r="H134" s="96" t="s">
        <v>363</v>
      </c>
      <c r="I134" s="96" t="s">
        <v>178</v>
      </c>
    </row>
    <row r="135" customFormat="false" ht="18" hidden="false" customHeight="true" outlineLevel="0" collapsed="false">
      <c r="A135" s="97" t="n">
        <v>1</v>
      </c>
      <c r="B135" s="98" t="s">
        <v>364</v>
      </c>
      <c r="C135" s="99" t="n">
        <f aca="false">IF(FALSE(),"",IF(IFERROR(INDEX(Rekorde!$O$4:$O$19,MATCH(Übungen!$A$4,Rekorde!$A$4:$A$19,0)),"")="","",ROUND(IFERROR(INDEX(Rekorde!$O$4:$O$19,MATCH(Übungen!$A$4,Rekorde!$A$4:$A$19,0)),"")*0.4*2,0)/2))</f>
        <v>136</v>
      </c>
      <c r="D135" s="100"/>
      <c r="E135" s="101"/>
      <c r="F135" s="101"/>
      <c r="G135" s="101"/>
      <c r="H135" s="101"/>
      <c r="I135" s="101"/>
    </row>
    <row r="136" customFormat="false" ht="18" hidden="false" customHeight="true" outlineLevel="0" collapsed="false">
      <c r="A136" s="97" t="n">
        <v>2</v>
      </c>
      <c r="B136" s="98" t="s">
        <v>365</v>
      </c>
      <c r="C136" s="99" t="n">
        <f aca="false">IF(FALSE(),"",IF(IFERROR(INDEX(Rekorde!$O$4:$O$19,MATCH(Übungen!$A$4,Rekorde!$A$4:$A$19,0)),"")="","",ROUND(IFERROR(INDEX(Rekorde!$O$4:$O$19,MATCH(Übungen!$A$4,Rekorde!$A$4:$A$19,0)),"")*0.7*2,0)/2))</f>
        <v>238</v>
      </c>
      <c r="D136" s="100"/>
      <c r="E136" s="101"/>
      <c r="F136" s="101"/>
      <c r="G136" s="101"/>
      <c r="H136" s="101"/>
      <c r="I136" s="101"/>
    </row>
    <row r="137" customFormat="false" ht="18" hidden="false" customHeight="true" outlineLevel="0" collapsed="false">
      <c r="A137" s="97" t="n">
        <v>3</v>
      </c>
      <c r="B137" s="102" t="s">
        <v>366</v>
      </c>
      <c r="C137" s="103" t="n">
        <f aca="false">IF(FALSE(),"",IF(IFERROR(INDEX(Rekorde!$O$4:$O$19,MATCH(Übungen!$A$4,Rekorde!$A$4:$A$19,0)),"")="","",ROUND(IFERROR(INDEX(Rekorde!$O$4:$O$19,MATCH(Übungen!$A$4,Rekorde!$A$4:$A$19,0)),"")*1*2,0)/2))</f>
        <v>340</v>
      </c>
      <c r="D137" s="104" t="n">
        <f aca="false">IF(FALSE(),"",IF(IFERROR(INDEX(Rekorde!$P$4:$P$19,MATCH(Übungen!$A$4,Rekorde!$A$4:$A$19,0)),"")="","",MIN(Übungen!$E$4,IFERROR(INDEX(Rekorde!$P$4:$P$19,MATCH(Übungen!$A$4,Rekorde!$A$4:$A$19,0)),"")+0)))</f>
        <v>5</v>
      </c>
      <c r="E137" s="101"/>
      <c r="F137" s="101"/>
      <c r="G137" s="101"/>
      <c r="H137" s="101"/>
      <c r="I137" s="101"/>
    </row>
    <row r="138" customFormat="false" ht="18" hidden="false" customHeight="true" outlineLevel="0" collapsed="false">
      <c r="A138" s="97" t="n">
        <v>4</v>
      </c>
      <c r="B138" s="102" t="s">
        <v>367</v>
      </c>
      <c r="C138" s="99" t="n">
        <f aca="false">IF(FALSE(),"",IF(IFERROR(INDEX(Rekorde!$O$4:$O$19,MATCH(Übungen!$A$4,Rekorde!$A$4:$A$19,0)),"")="","",ROUND(IFERROR(INDEX(Rekorde!$O$4:$O$19,MATCH(Übungen!$A$4,Rekorde!$A$4:$A$19,0)),"")*0.95*2,0)/2))</f>
        <v>323</v>
      </c>
      <c r="D138" s="104" t="n">
        <f aca="false">IF(FALSE(),"",IF(IFERROR(INDEX(Rekorde!$P$4:$P$19,MATCH(Übungen!$A$4,Rekorde!$A$4:$A$19,0)),"")="","",MIN(Übungen!$E$4,IFERROR(INDEX(Rekorde!$P$4:$P$19,MATCH(Übungen!$A$4,Rekorde!$A$4:$A$19,0)),"")+1)))</f>
        <v>6</v>
      </c>
      <c r="E138" s="101"/>
      <c r="F138" s="101"/>
      <c r="G138" s="101"/>
      <c r="H138" s="101"/>
      <c r="I138" s="101"/>
    </row>
    <row r="139" customFormat="false" ht="18" hidden="false" customHeight="true" outlineLevel="0" collapsed="false">
      <c r="A139" s="97" t="n">
        <v>5</v>
      </c>
      <c r="B139" s="102" t="s">
        <v>368</v>
      </c>
      <c r="C139" s="99" t="n">
        <f aca="false">IF(FALSE(),"",IF(IFERROR(INDEX(Rekorde!$O$4:$O$19,MATCH(Übungen!$A$4,Rekorde!$A$4:$A$19,0)),"")="","",ROUND(IFERROR(INDEX(Rekorde!$O$4:$O$19,MATCH(Übungen!$A$4,Rekorde!$A$4:$A$19,0)),"")*0.9*2,0)/2))</f>
        <v>306</v>
      </c>
      <c r="D139" s="104" t="n">
        <f aca="false">IF(FALSE(),"",IF(IFERROR(INDEX(Rekorde!$P$4:$P$19,MATCH(Übungen!$A$4,Rekorde!$A$4:$A$19,0)),"")="","",MIN(Übungen!$E$4,IFERROR(INDEX(Rekorde!$P$4:$P$19,MATCH(Übungen!$A$4,Rekorde!$A$4:$A$19,0)),"")+2)))</f>
        <v>7</v>
      </c>
      <c r="E139" s="101"/>
      <c r="F139" s="101"/>
      <c r="G139" s="101"/>
      <c r="H139" s="101"/>
      <c r="I139" s="101"/>
    </row>
    <row r="141" customFormat="false" ht="18.75" hidden="false" customHeight="true" outlineLevel="0" collapsed="false">
      <c r="A141" s="93" t="str">
        <f aca="false">Übungen!$A$5</f>
        <v>Split Squat</v>
      </c>
      <c r="B141" s="93"/>
      <c r="C141" s="93"/>
      <c r="D141" s="93"/>
      <c r="E141" s="93"/>
      <c r="F141" s="93"/>
      <c r="G141" s="93"/>
      <c r="H141" s="93"/>
      <c r="I141" s="93"/>
    </row>
    <row r="142" customFormat="false" ht="13.5" hidden="false" customHeight="true" outlineLevel="0" collapsed="false">
      <c r="A142"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42" s="94"/>
      <c r="C142" s="94"/>
      <c r="D142" s="94"/>
      <c r="E142" s="94"/>
      <c r="F142" s="94"/>
      <c r="G142" s="94"/>
      <c r="H142" s="94"/>
      <c r="I142" s="94"/>
    </row>
    <row r="143" customFormat="false" ht="13.5" hidden="false" customHeight="true" outlineLevel="0" collapsed="false">
      <c r="A143"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143" s="95"/>
      <c r="C143" s="95"/>
      <c r="D143" s="95"/>
      <c r="E143" s="95"/>
      <c r="F143" s="95"/>
      <c r="G143" s="95"/>
      <c r="H143" s="95"/>
      <c r="I143" s="95"/>
    </row>
    <row r="144" customFormat="false" ht="18" hidden="false" customHeight="true" outlineLevel="0" collapsed="false">
      <c r="A144" s="96" t="s">
        <v>358</v>
      </c>
      <c r="B144" s="96" t="s">
        <v>359</v>
      </c>
      <c r="C144" s="96" t="s">
        <v>360</v>
      </c>
      <c r="D144" s="96" t="s">
        <v>361</v>
      </c>
      <c r="E144" s="96" t="s">
        <v>362</v>
      </c>
      <c r="F144" s="96" t="s">
        <v>276</v>
      </c>
      <c r="G144" s="96" t="s">
        <v>46</v>
      </c>
      <c r="H144" s="96" t="s">
        <v>363</v>
      </c>
      <c r="I144" s="96" t="s">
        <v>178</v>
      </c>
    </row>
    <row r="145" customFormat="false" ht="18" hidden="false" customHeight="true" outlineLevel="0" collapsed="false">
      <c r="A145" s="97" t="n">
        <v>1</v>
      </c>
      <c r="B145" s="98" t="s">
        <v>364</v>
      </c>
      <c r="C145" s="99" t="n">
        <f aca="false">IF(FALSE(),"",IF(IFERROR(INDEX(Rekorde!$O$4:$O$19,MATCH(Übungen!$A$5,Rekorde!$A$4:$A$19,0)),"")="","",ROUND(IFERROR(INDEX(Rekorde!$O$4:$O$19,MATCH(Übungen!$A$5,Rekorde!$A$4:$A$19,0)),"")*0.4*2,0)/2))</f>
        <v>46</v>
      </c>
      <c r="D145" s="100"/>
      <c r="E145" s="101"/>
      <c r="F145" s="101"/>
      <c r="G145" s="101"/>
      <c r="H145" s="101"/>
      <c r="I145" s="101"/>
    </row>
    <row r="146" customFormat="false" ht="18" hidden="false" customHeight="true" outlineLevel="0" collapsed="false">
      <c r="A146" s="97" t="n">
        <v>2</v>
      </c>
      <c r="B146" s="98" t="s">
        <v>365</v>
      </c>
      <c r="C146" s="99" t="n">
        <f aca="false">IF(FALSE(),"",IF(IFERROR(INDEX(Rekorde!$O$4:$O$19,MATCH(Übungen!$A$5,Rekorde!$A$4:$A$19,0)),"")="","",ROUND(IFERROR(INDEX(Rekorde!$O$4:$O$19,MATCH(Übungen!$A$5,Rekorde!$A$4:$A$19,0)),"")*0.7*2,0)/2))</f>
        <v>80.5</v>
      </c>
      <c r="D146" s="100"/>
      <c r="E146" s="101"/>
      <c r="F146" s="101"/>
      <c r="G146" s="101"/>
      <c r="H146" s="101"/>
      <c r="I146" s="101"/>
    </row>
    <row r="147" customFormat="false" ht="18" hidden="false" customHeight="true" outlineLevel="0" collapsed="false">
      <c r="A147" s="97" t="n">
        <v>3</v>
      </c>
      <c r="B147" s="102" t="s">
        <v>366</v>
      </c>
      <c r="C147" s="103" t="n">
        <f aca="false">IF(FALSE(),"",IF(IFERROR(INDEX(Rekorde!$O$4:$O$19,MATCH(Übungen!$A$5,Rekorde!$A$4:$A$19,0)),"")="","",ROUND(IFERROR(INDEX(Rekorde!$O$4:$O$19,MATCH(Übungen!$A$5,Rekorde!$A$4:$A$19,0)),"")*1*2,0)/2))</f>
        <v>115</v>
      </c>
      <c r="D147" s="104" t="n">
        <f aca="false">IF(FALSE(),"",IF(IFERROR(INDEX(Rekorde!$P$4:$P$19,MATCH(Übungen!$A$5,Rekorde!$A$4:$A$19,0)),"")="","",MIN(Übungen!$E$5,IFERROR(INDEX(Rekorde!$P$4:$P$19,MATCH(Übungen!$A$5,Rekorde!$A$4:$A$19,0)),"")+0)))</f>
        <v>6</v>
      </c>
      <c r="E147" s="101"/>
      <c r="F147" s="101"/>
      <c r="G147" s="101"/>
      <c r="H147" s="101"/>
      <c r="I147" s="101"/>
    </row>
    <row r="148" customFormat="false" ht="18" hidden="false" customHeight="true" outlineLevel="0" collapsed="false">
      <c r="A148" s="97" t="n">
        <v>4</v>
      </c>
      <c r="B148" s="102" t="s">
        <v>367</v>
      </c>
      <c r="C148" s="99" t="n">
        <f aca="false">IF(FALSE(),"",IF(IFERROR(INDEX(Rekorde!$O$4:$O$19,MATCH(Übungen!$A$5,Rekorde!$A$4:$A$19,0)),"")="","",ROUND(IFERROR(INDEX(Rekorde!$O$4:$O$19,MATCH(Übungen!$A$5,Rekorde!$A$4:$A$19,0)),"")*0.95*2,0)/2))</f>
        <v>109.5</v>
      </c>
      <c r="D148" s="104" t="n">
        <f aca="false">IF(FALSE(),"",IF(IFERROR(INDEX(Rekorde!$P$4:$P$19,MATCH(Übungen!$A$5,Rekorde!$A$4:$A$19,0)),"")="","",MIN(Übungen!$E$5,IFERROR(INDEX(Rekorde!$P$4:$P$19,MATCH(Übungen!$A$5,Rekorde!$A$4:$A$19,0)),"")+1)))</f>
        <v>7</v>
      </c>
      <c r="E148" s="101"/>
      <c r="F148" s="101"/>
      <c r="G148" s="101"/>
      <c r="H148" s="101"/>
      <c r="I148" s="101"/>
    </row>
    <row r="149" customFormat="false" ht="18" hidden="false" customHeight="true" outlineLevel="0" collapsed="false">
      <c r="A149" s="97" t="n">
        <v>5</v>
      </c>
      <c r="B149" s="102" t="s">
        <v>368</v>
      </c>
      <c r="C149" s="99" t="n">
        <f aca="false">IF(FALSE(),"",IF(IFERROR(INDEX(Rekorde!$O$4:$O$19,MATCH(Übungen!$A$5,Rekorde!$A$4:$A$19,0)),"")="","",ROUND(IFERROR(INDEX(Rekorde!$O$4:$O$19,MATCH(Übungen!$A$5,Rekorde!$A$4:$A$19,0)),"")*0.9*2,0)/2))</f>
        <v>103.5</v>
      </c>
      <c r="D149" s="104" t="n">
        <f aca="false">IF(FALSE(),"",IF(IFERROR(INDEX(Rekorde!$P$4:$P$19,MATCH(Übungen!$A$5,Rekorde!$A$4:$A$19,0)),"")="","",MIN(Übungen!$E$5,IFERROR(INDEX(Rekorde!$P$4:$P$19,MATCH(Übungen!$A$5,Rekorde!$A$4:$A$19,0)),"")+2)))</f>
        <v>8</v>
      </c>
      <c r="E149" s="101"/>
      <c r="F149" s="101"/>
      <c r="G149" s="101"/>
      <c r="H149" s="101"/>
      <c r="I149" s="101"/>
    </row>
    <row r="151" customFormat="false" ht="18.75" hidden="false" customHeight="true" outlineLevel="0" collapsed="false">
      <c r="A151" s="93" t="str">
        <f aca="false">Übungen!$A$6</f>
        <v>Beinstrecker</v>
      </c>
      <c r="B151" s="93"/>
      <c r="C151" s="93"/>
      <c r="D151" s="93"/>
      <c r="E151" s="93"/>
      <c r="F151" s="93"/>
      <c r="G151" s="93"/>
      <c r="H151" s="93"/>
      <c r="I151" s="93"/>
    </row>
    <row r="152" customFormat="false" ht="13.5" hidden="false" customHeight="true" outlineLevel="0" collapsed="false">
      <c r="A152"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4"/>
      <c r="C152" s="94"/>
      <c r="D152" s="94"/>
      <c r="E152" s="94"/>
      <c r="F152" s="94"/>
      <c r="G152" s="94"/>
      <c r="H152" s="94"/>
      <c r="I152" s="94"/>
    </row>
    <row r="153" customFormat="false" ht="13.5" hidden="false" customHeight="true" outlineLevel="0" collapsed="false">
      <c r="A153"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153" s="95"/>
      <c r="C153" s="95"/>
      <c r="D153" s="95"/>
      <c r="E153" s="95"/>
      <c r="F153" s="95"/>
      <c r="G153" s="95"/>
      <c r="H153" s="95"/>
      <c r="I153" s="95"/>
    </row>
    <row r="154" customFormat="false" ht="18" hidden="false" customHeight="true" outlineLevel="0" collapsed="false">
      <c r="A154" s="96" t="s">
        <v>358</v>
      </c>
      <c r="B154" s="96" t="s">
        <v>359</v>
      </c>
      <c r="C154" s="96" t="s">
        <v>360</v>
      </c>
      <c r="D154" s="96" t="s">
        <v>361</v>
      </c>
      <c r="E154" s="96" t="s">
        <v>362</v>
      </c>
      <c r="F154" s="96" t="s">
        <v>276</v>
      </c>
      <c r="G154" s="96" t="s">
        <v>46</v>
      </c>
      <c r="H154" s="96" t="s">
        <v>363</v>
      </c>
      <c r="I154" s="96" t="s">
        <v>178</v>
      </c>
    </row>
    <row r="155" customFormat="false" ht="18" hidden="false" customHeight="true" outlineLevel="0" collapsed="false">
      <c r="A155" s="97" t="n">
        <v>1</v>
      </c>
      <c r="B155" s="98" t="s">
        <v>364</v>
      </c>
      <c r="C155" s="99" t="n">
        <f aca="false">IF(FALSE(),"",IF(IFERROR(INDEX(Rekorde!$O$4:$O$19,MATCH(Übungen!$A$6,Rekorde!$A$4:$A$19,0)),"")="","",ROUND(IFERROR(INDEX(Rekorde!$O$4:$O$19,MATCH(Übungen!$A$6,Rekorde!$A$4:$A$19,0)),"")*0.4*2,0)/2))</f>
        <v>34</v>
      </c>
      <c r="D155" s="100"/>
      <c r="E155" s="101"/>
      <c r="F155" s="101"/>
      <c r="G155" s="101"/>
      <c r="H155" s="101"/>
      <c r="I155" s="101"/>
    </row>
    <row r="156" customFormat="false" ht="18" hidden="false" customHeight="true" outlineLevel="0" collapsed="false">
      <c r="A156" s="97" t="n">
        <v>2</v>
      </c>
      <c r="B156" s="98" t="s">
        <v>365</v>
      </c>
      <c r="C156" s="99" t="n">
        <f aca="false">IF(FALSE(),"",IF(IFERROR(INDEX(Rekorde!$O$4:$O$19,MATCH(Übungen!$A$6,Rekorde!$A$4:$A$19,0)),"")="","",ROUND(IFERROR(INDEX(Rekorde!$O$4:$O$19,MATCH(Übungen!$A$6,Rekorde!$A$4:$A$19,0)),"")*0.7*2,0)/2))</f>
        <v>59.5</v>
      </c>
      <c r="D156" s="100"/>
      <c r="E156" s="101"/>
      <c r="F156" s="101"/>
      <c r="G156" s="101"/>
      <c r="H156" s="101"/>
      <c r="I156" s="101"/>
    </row>
    <row r="157" customFormat="false" ht="18" hidden="false" customHeight="true" outlineLevel="0" collapsed="false">
      <c r="A157" s="97" t="n">
        <v>3</v>
      </c>
      <c r="B157" s="102" t="s">
        <v>366</v>
      </c>
      <c r="C157" s="103" t="n">
        <f aca="false">IF(FALSE(),"",IF(IFERROR(INDEX(Rekorde!$O$4:$O$19,MATCH(Übungen!$A$6,Rekorde!$A$4:$A$19,0)),"")="","",ROUND(IFERROR(INDEX(Rekorde!$O$4:$O$19,MATCH(Übungen!$A$6,Rekorde!$A$4:$A$19,0)),"")*1*2,0)/2))</f>
        <v>85</v>
      </c>
      <c r="D157" s="104" t="n">
        <f aca="false">IF(FALSE(),"",IF(IFERROR(INDEX(Rekorde!$P$4:$P$19,MATCH(Übungen!$A$6,Rekorde!$A$4:$A$19,0)),"")="","",MIN(Übungen!$E$6,IFERROR(INDEX(Rekorde!$P$4:$P$19,MATCH(Übungen!$A$6,Rekorde!$A$4:$A$19,0)),"")+0)))</f>
        <v>5</v>
      </c>
      <c r="E157" s="101"/>
      <c r="F157" s="101"/>
      <c r="G157" s="101"/>
      <c r="H157" s="101"/>
      <c r="I157" s="101"/>
    </row>
    <row r="158" customFormat="false" ht="18" hidden="false" customHeight="true" outlineLevel="0" collapsed="false">
      <c r="A158" s="97" t="n">
        <v>4</v>
      </c>
      <c r="B158" s="102" t="s">
        <v>367</v>
      </c>
      <c r="C158" s="99" t="n">
        <f aca="false">IF(FALSE(),"",IF(IFERROR(INDEX(Rekorde!$O$4:$O$19,MATCH(Übungen!$A$6,Rekorde!$A$4:$A$19,0)),"")="","",ROUND(IFERROR(INDEX(Rekorde!$O$4:$O$19,MATCH(Übungen!$A$6,Rekorde!$A$4:$A$19,0)),"")*0.95*2,0)/2))</f>
        <v>81</v>
      </c>
      <c r="D158" s="104" t="n">
        <f aca="false">IF(FALSE(),"",IF(IFERROR(INDEX(Rekorde!$P$4:$P$19,MATCH(Übungen!$A$6,Rekorde!$A$4:$A$19,0)),"")="","",MIN(Übungen!$E$6,IFERROR(INDEX(Rekorde!$P$4:$P$19,MATCH(Übungen!$A$6,Rekorde!$A$4:$A$19,0)),"")+1)))</f>
        <v>6</v>
      </c>
      <c r="E158" s="101"/>
      <c r="F158" s="101"/>
      <c r="G158" s="101"/>
      <c r="H158" s="101"/>
      <c r="I158" s="101"/>
    </row>
    <row r="159" customFormat="false" ht="18" hidden="false" customHeight="true" outlineLevel="0" collapsed="false">
      <c r="A159" s="97" t="n">
        <v>5</v>
      </c>
      <c r="B159" s="102" t="s">
        <v>368</v>
      </c>
      <c r="C159" s="99" t="n">
        <f aca="false">IF(FALSE(),"",IF(IFERROR(INDEX(Rekorde!$O$4:$O$19,MATCH(Übungen!$A$6,Rekorde!$A$4:$A$19,0)),"")="","",ROUND(IFERROR(INDEX(Rekorde!$O$4:$O$19,MATCH(Übungen!$A$6,Rekorde!$A$4:$A$19,0)),"")*0.9*2,0)/2))</f>
        <v>76.5</v>
      </c>
      <c r="D159" s="104" t="n">
        <f aca="false">IF(FALSE(),"",IF(IFERROR(INDEX(Rekorde!$P$4:$P$19,MATCH(Übungen!$A$6,Rekorde!$A$4:$A$19,0)),"")="","",MIN(Übungen!$E$6,IFERROR(INDEX(Rekorde!$P$4:$P$19,MATCH(Übungen!$A$6,Rekorde!$A$4:$A$19,0)),"")+2)))</f>
        <v>7</v>
      </c>
      <c r="E159" s="101"/>
      <c r="F159" s="101"/>
      <c r="G159" s="101"/>
      <c r="H159" s="101"/>
      <c r="I159" s="101"/>
    </row>
    <row r="161" customFormat="false" ht="18.75" hidden="false" customHeight="true" outlineLevel="0" collapsed="false">
      <c r="A161" s="93" t="str">
        <f aca="false">Übungen!$A$7</f>
        <v>Adduktion</v>
      </c>
      <c r="B161" s="93"/>
      <c r="C161" s="93"/>
      <c r="D161" s="93"/>
      <c r="E161" s="93"/>
      <c r="F161" s="93"/>
      <c r="G161" s="93"/>
      <c r="H161" s="93"/>
      <c r="I161" s="93"/>
    </row>
    <row r="162" customFormat="false" ht="13.5" hidden="false" customHeight="true" outlineLevel="0" collapsed="false">
      <c r="A162"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4"/>
      <c r="C162" s="94"/>
      <c r="D162" s="94"/>
      <c r="E162" s="94"/>
      <c r="F162" s="94"/>
      <c r="G162" s="94"/>
      <c r="H162" s="94"/>
      <c r="I162" s="94"/>
    </row>
    <row r="163" customFormat="false" ht="13.5" hidden="false" customHeight="true" outlineLevel="0" collapsed="false">
      <c r="A163"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163" s="95"/>
      <c r="C163" s="95"/>
      <c r="D163" s="95"/>
      <c r="E163" s="95"/>
      <c r="F163" s="95"/>
      <c r="G163" s="95"/>
      <c r="H163" s="95"/>
      <c r="I163" s="95"/>
    </row>
    <row r="164" customFormat="false" ht="18" hidden="false" customHeight="true" outlineLevel="0" collapsed="false">
      <c r="A164" s="96" t="s">
        <v>358</v>
      </c>
      <c r="B164" s="96" t="s">
        <v>359</v>
      </c>
      <c r="C164" s="96" t="s">
        <v>360</v>
      </c>
      <c r="D164" s="96" t="s">
        <v>361</v>
      </c>
      <c r="E164" s="96" t="s">
        <v>362</v>
      </c>
      <c r="F164" s="96" t="s">
        <v>276</v>
      </c>
      <c r="G164" s="96" t="s">
        <v>46</v>
      </c>
      <c r="H164" s="96" t="s">
        <v>363</v>
      </c>
      <c r="I164" s="96" t="s">
        <v>178</v>
      </c>
    </row>
    <row r="165" customFormat="false" ht="18" hidden="false" customHeight="true" outlineLevel="0" collapsed="false">
      <c r="A165" s="97" t="n">
        <v>1</v>
      </c>
      <c r="B165" s="98" t="s">
        <v>364</v>
      </c>
      <c r="C165" s="99" t="n">
        <f aca="false">IF(FALSE(),"",IF(IFERROR(INDEX(Rekorde!$O$4:$O$19,MATCH(Übungen!$A$7,Rekorde!$A$4:$A$19,0)),"")="","",ROUND(IFERROR(INDEX(Rekorde!$O$4:$O$19,MATCH(Übungen!$A$7,Rekorde!$A$4:$A$19,0)),"")*0.4*2,0)/2))</f>
        <v>74</v>
      </c>
      <c r="D165" s="100"/>
      <c r="E165" s="101"/>
      <c r="F165" s="101"/>
      <c r="G165" s="101"/>
      <c r="H165" s="101"/>
      <c r="I165" s="101"/>
    </row>
    <row r="166" customFormat="false" ht="18" hidden="false" customHeight="true" outlineLevel="0" collapsed="false">
      <c r="A166" s="97" t="n">
        <v>2</v>
      </c>
      <c r="B166" s="98" t="s">
        <v>365</v>
      </c>
      <c r="C166" s="99" t="n">
        <f aca="false">IF(FALSE(),"",IF(IFERROR(INDEX(Rekorde!$O$4:$O$19,MATCH(Übungen!$A$7,Rekorde!$A$4:$A$19,0)),"")="","",ROUND(IFERROR(INDEX(Rekorde!$O$4:$O$19,MATCH(Übungen!$A$7,Rekorde!$A$4:$A$19,0)),"")*0.7*2,0)/2))</f>
        <v>129.5</v>
      </c>
      <c r="D166" s="100"/>
      <c r="E166" s="101"/>
      <c r="F166" s="101"/>
      <c r="G166" s="101"/>
      <c r="H166" s="101"/>
      <c r="I166" s="101"/>
    </row>
    <row r="167" customFormat="false" ht="18" hidden="false" customHeight="true" outlineLevel="0" collapsed="false">
      <c r="A167" s="97" t="n">
        <v>3</v>
      </c>
      <c r="B167" s="102" t="s">
        <v>366</v>
      </c>
      <c r="C167" s="103" t="n">
        <f aca="false">IF(FALSE(),"",IF(IFERROR(INDEX(Rekorde!$O$4:$O$19,MATCH(Übungen!$A$7,Rekorde!$A$4:$A$19,0)),"")="","",ROUND(IFERROR(INDEX(Rekorde!$O$4:$O$19,MATCH(Übungen!$A$7,Rekorde!$A$4:$A$19,0)),"")*1*2,0)/2))</f>
        <v>185</v>
      </c>
      <c r="D167" s="104" t="n">
        <f aca="false">IF(FALSE(),"",IF(IFERROR(INDEX(Rekorde!$P$4:$P$19,MATCH(Übungen!$A$7,Rekorde!$A$4:$A$19,0)),"")="","",MIN(Übungen!$E$7,IFERROR(INDEX(Rekorde!$P$4:$P$19,MATCH(Übungen!$A$7,Rekorde!$A$4:$A$19,0)),"")+0)))</f>
        <v>6</v>
      </c>
      <c r="E167" s="101"/>
      <c r="F167" s="101"/>
      <c r="G167" s="101"/>
      <c r="H167" s="101"/>
      <c r="I167" s="101"/>
    </row>
    <row r="168" customFormat="false" ht="18" hidden="false" customHeight="true" outlineLevel="0" collapsed="false">
      <c r="A168" s="97" t="n">
        <v>4</v>
      </c>
      <c r="B168" s="102" t="s">
        <v>367</v>
      </c>
      <c r="C168" s="99" t="n">
        <f aca="false">IF(FALSE(),"",IF(IFERROR(INDEX(Rekorde!$O$4:$O$19,MATCH(Übungen!$A$7,Rekorde!$A$4:$A$19,0)),"")="","",ROUND(IFERROR(INDEX(Rekorde!$O$4:$O$19,MATCH(Übungen!$A$7,Rekorde!$A$4:$A$19,0)),"")*0.95*2,0)/2))</f>
        <v>176</v>
      </c>
      <c r="D168" s="104" t="n">
        <f aca="false">IF(FALSE(),"",IF(IFERROR(INDEX(Rekorde!$P$4:$P$19,MATCH(Übungen!$A$7,Rekorde!$A$4:$A$19,0)),"")="","",MIN(Übungen!$E$7,IFERROR(INDEX(Rekorde!$P$4:$P$19,MATCH(Übungen!$A$7,Rekorde!$A$4:$A$19,0)),"")+1)))</f>
        <v>7</v>
      </c>
      <c r="E168" s="101"/>
      <c r="F168" s="101"/>
      <c r="G168" s="101"/>
      <c r="H168" s="101"/>
      <c r="I168" s="101"/>
    </row>
    <row r="169" customFormat="false" ht="18" hidden="false" customHeight="true" outlineLevel="0" collapsed="false">
      <c r="A169" s="97" t="n">
        <v>5</v>
      </c>
      <c r="B169" s="102" t="s">
        <v>368</v>
      </c>
      <c r="C169" s="99" t="n">
        <f aca="false">IF(FALSE(),"",IF(IFERROR(INDEX(Rekorde!$O$4:$O$19,MATCH(Übungen!$A$7,Rekorde!$A$4:$A$19,0)),"")="","",ROUND(IFERROR(INDEX(Rekorde!$O$4:$O$19,MATCH(Übungen!$A$7,Rekorde!$A$4:$A$19,0)),"")*0.9*2,0)/2))</f>
        <v>166.5</v>
      </c>
      <c r="D169" s="104" t="n">
        <f aca="false">IF(FALSE(),"",IF(IFERROR(INDEX(Rekorde!$P$4:$P$19,MATCH(Übungen!$A$7,Rekorde!$A$4:$A$19,0)),"")="","",MIN(Übungen!$E$7,IFERROR(INDEX(Rekorde!$P$4:$P$19,MATCH(Übungen!$A$7,Rekorde!$A$4:$A$19,0)),"")+2)))</f>
        <v>8</v>
      </c>
      <c r="E169" s="101"/>
      <c r="F169" s="101"/>
      <c r="G169" s="101"/>
      <c r="H169" s="101"/>
      <c r="I169" s="101"/>
    </row>
    <row r="171" customFormat="false" ht="15.75" hidden="false" customHeight="true" outlineLevel="0" collapsed="false">
      <c r="A171" s="3" t="s">
        <v>369</v>
      </c>
      <c r="B171" s="3"/>
      <c r="C171" s="3"/>
      <c r="D171" s="3"/>
      <c r="E171" s="3"/>
      <c r="F171" s="3"/>
      <c r="G171" s="3"/>
      <c r="H171" s="3"/>
      <c r="I171" s="3"/>
    </row>
    <row r="172" customFormat="false" ht="18" hidden="false" customHeight="true" outlineLevel="0" collapsed="false">
      <c r="A172" s="105"/>
      <c r="B172" s="105"/>
      <c r="C172" s="105"/>
      <c r="D172" s="105"/>
      <c r="E172" s="105"/>
      <c r="F172" s="105"/>
      <c r="G172" s="105"/>
      <c r="H172" s="105"/>
      <c r="I172" s="105"/>
    </row>
    <row r="173" customFormat="false" ht="18" hidden="false" customHeight="true" outlineLevel="0" collapsed="false">
      <c r="A173" s="105"/>
      <c r="B173" s="105"/>
      <c r="C173" s="105"/>
      <c r="D173" s="105"/>
      <c r="E173" s="105"/>
      <c r="F173" s="105"/>
      <c r="G173" s="105"/>
      <c r="H173" s="105"/>
      <c r="I173" s="105"/>
    </row>
    <row r="175" customFormat="false" ht="27.75" hidden="false" customHeight="true" outlineLevel="0" collapsed="false">
      <c r="A175" s="1" t="s">
        <v>372</v>
      </c>
      <c r="B175" s="1"/>
      <c r="C175" s="1"/>
      <c r="D175" s="1"/>
      <c r="E175" s="1"/>
      <c r="F175" s="1"/>
      <c r="G175" s="1"/>
      <c r="H175" s="1"/>
      <c r="I175" s="1"/>
    </row>
    <row r="176" customFormat="false" ht="12" hidden="false" customHeight="true" outlineLevel="0" collapsed="false">
      <c r="A176" s="90" t="s">
        <v>69</v>
      </c>
      <c r="B176" s="90"/>
      <c r="C176" s="91" t="s">
        <v>354</v>
      </c>
      <c r="D176" s="91" t="s">
        <v>355</v>
      </c>
      <c r="E176" s="90" t="s">
        <v>356</v>
      </c>
      <c r="F176" s="90"/>
      <c r="G176" s="90" t="s">
        <v>357</v>
      </c>
      <c r="H176" s="90"/>
    </row>
    <row r="177" customFormat="false" ht="18" hidden="false" customHeight="true" outlineLevel="0" collapsed="false">
      <c r="A177" s="92"/>
      <c r="B177" s="92"/>
      <c r="C177" s="92"/>
      <c r="D177" s="92"/>
      <c r="E177" s="92"/>
      <c r="F177" s="92"/>
      <c r="G177" s="92"/>
      <c r="H177" s="92"/>
    </row>
    <row r="179" customFormat="false" ht="18.75" hidden="false" customHeight="true" outlineLevel="0" collapsed="false">
      <c r="A179" s="93" t="str">
        <f aca="false">Übungen!$A$8</f>
        <v>Rumänisches Kreuzheben</v>
      </c>
      <c r="B179" s="93"/>
      <c r="C179" s="93"/>
      <c r="D179" s="93"/>
      <c r="E179" s="93"/>
      <c r="F179" s="93"/>
      <c r="G179" s="93"/>
      <c r="H179" s="93"/>
      <c r="I179" s="93"/>
    </row>
    <row r="180" customFormat="false" ht="13.5" hidden="false" customHeight="true" outlineLevel="0" collapsed="false">
      <c r="A180"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180" s="94"/>
      <c r="C180" s="94"/>
      <c r="D180" s="94"/>
      <c r="E180" s="94"/>
      <c r="F180" s="94"/>
      <c r="G180" s="94"/>
      <c r="H180" s="94"/>
      <c r="I180" s="94"/>
    </row>
    <row r="181" customFormat="false" ht="13.5" hidden="false" customHeight="true" outlineLevel="0" collapsed="false">
      <c r="A181"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181" s="95"/>
      <c r="C181" s="95"/>
      <c r="D181" s="95"/>
      <c r="E181" s="95"/>
      <c r="F181" s="95"/>
      <c r="G181" s="95"/>
      <c r="H181" s="95"/>
      <c r="I181" s="95"/>
    </row>
    <row r="182" customFormat="false" ht="18" hidden="false" customHeight="true" outlineLevel="0" collapsed="false">
      <c r="A182" s="96" t="s">
        <v>358</v>
      </c>
      <c r="B182" s="96" t="s">
        <v>359</v>
      </c>
      <c r="C182" s="96" t="s">
        <v>360</v>
      </c>
      <c r="D182" s="96" t="s">
        <v>361</v>
      </c>
      <c r="E182" s="96" t="s">
        <v>362</v>
      </c>
      <c r="F182" s="96" t="s">
        <v>276</v>
      </c>
      <c r="G182" s="96" t="s">
        <v>46</v>
      </c>
      <c r="H182" s="96" t="s">
        <v>363</v>
      </c>
      <c r="I182" s="96" t="s">
        <v>178</v>
      </c>
    </row>
    <row r="183" customFormat="false" ht="18" hidden="false" customHeight="true" outlineLevel="0" collapsed="false">
      <c r="A183" s="97" t="n">
        <v>1</v>
      </c>
      <c r="B183" s="98" t="s">
        <v>364</v>
      </c>
      <c r="C183" s="99" t="n">
        <f aca="false">IF(FALSE(),"",IF(IFERROR(INDEX(Rekorde!$O$4:$O$19,MATCH(Übungen!$A$8,Rekorde!$A$4:$A$19,0)),"")="","",ROUND(IFERROR(INDEX(Rekorde!$O$4:$O$19,MATCH(Übungen!$A$8,Rekorde!$A$4:$A$19,0)),"")*0.4*2,0)/2))</f>
        <v>54</v>
      </c>
      <c r="D183" s="100"/>
      <c r="E183" s="101"/>
      <c r="F183" s="101"/>
      <c r="G183" s="101"/>
      <c r="H183" s="101"/>
      <c r="I183" s="101"/>
    </row>
    <row r="184" customFormat="false" ht="18" hidden="false" customHeight="true" outlineLevel="0" collapsed="false">
      <c r="A184" s="97" t="n">
        <v>2</v>
      </c>
      <c r="B184" s="98" t="s">
        <v>365</v>
      </c>
      <c r="C184" s="99" t="n">
        <f aca="false">IF(FALSE(),"",IF(IFERROR(INDEX(Rekorde!$O$4:$O$19,MATCH(Übungen!$A$8,Rekorde!$A$4:$A$19,0)),"")="","",ROUND(IFERROR(INDEX(Rekorde!$O$4:$O$19,MATCH(Übungen!$A$8,Rekorde!$A$4:$A$19,0)),"")*0.7*2,0)/2))</f>
        <v>94.5</v>
      </c>
      <c r="D184" s="100"/>
      <c r="E184" s="101"/>
      <c r="F184" s="101"/>
      <c r="G184" s="101"/>
      <c r="H184" s="101"/>
      <c r="I184" s="101"/>
    </row>
    <row r="185" customFormat="false" ht="18" hidden="false" customHeight="true" outlineLevel="0" collapsed="false">
      <c r="A185" s="97" t="n">
        <v>3</v>
      </c>
      <c r="B185" s="102" t="s">
        <v>366</v>
      </c>
      <c r="C185" s="103" t="n">
        <f aca="false">IF(FALSE(),"",IF(IFERROR(INDEX(Rekorde!$O$4:$O$19,MATCH(Übungen!$A$8,Rekorde!$A$4:$A$19,0)),"")="","",ROUND(IFERROR(INDEX(Rekorde!$O$4:$O$19,MATCH(Übungen!$A$8,Rekorde!$A$4:$A$19,0)),"")*1*2,0)/2))</f>
        <v>135</v>
      </c>
      <c r="D185" s="104" t="n">
        <f aca="false">IF(FALSE(),"",IF(IFERROR(INDEX(Rekorde!$P$4:$P$19,MATCH(Übungen!$A$8,Rekorde!$A$4:$A$19,0)),"")="","",MIN(Übungen!$E$8,IFERROR(INDEX(Rekorde!$P$4:$P$19,MATCH(Übungen!$A$8,Rekorde!$A$4:$A$19,0)),"")+0)))</f>
        <v>7</v>
      </c>
      <c r="E185" s="101"/>
      <c r="F185" s="101"/>
      <c r="G185" s="101"/>
      <c r="H185" s="101"/>
      <c r="I185" s="101"/>
    </row>
    <row r="186" customFormat="false" ht="18" hidden="false" customHeight="true" outlineLevel="0" collapsed="false">
      <c r="A186" s="97" t="n">
        <v>4</v>
      </c>
      <c r="B186" s="102" t="s">
        <v>367</v>
      </c>
      <c r="C186" s="99" t="n">
        <f aca="false">IF(FALSE(),"",IF(IFERROR(INDEX(Rekorde!$O$4:$O$19,MATCH(Übungen!$A$8,Rekorde!$A$4:$A$19,0)),"")="","",ROUND(IFERROR(INDEX(Rekorde!$O$4:$O$19,MATCH(Übungen!$A$8,Rekorde!$A$4:$A$19,0)),"")*0.95*2,0)/2))</f>
        <v>128.5</v>
      </c>
      <c r="D186" s="104" t="n">
        <f aca="false">IF(FALSE(),"",IF(IFERROR(INDEX(Rekorde!$P$4:$P$19,MATCH(Übungen!$A$8,Rekorde!$A$4:$A$19,0)),"")="","",MIN(Übungen!$E$8,IFERROR(INDEX(Rekorde!$P$4:$P$19,MATCH(Übungen!$A$8,Rekorde!$A$4:$A$19,0)),"")+1)))</f>
        <v>8</v>
      </c>
      <c r="E186" s="101"/>
      <c r="F186" s="101"/>
      <c r="G186" s="101"/>
      <c r="H186" s="101"/>
      <c r="I186" s="101"/>
    </row>
    <row r="187" customFormat="false" ht="18" hidden="false" customHeight="true" outlineLevel="0" collapsed="false">
      <c r="A187" s="97" t="n">
        <v>5</v>
      </c>
      <c r="B187" s="102" t="s">
        <v>368</v>
      </c>
      <c r="C187" s="99" t="n">
        <f aca="false">IF(FALSE(),"",IF(IFERROR(INDEX(Rekorde!$O$4:$O$19,MATCH(Übungen!$A$8,Rekorde!$A$4:$A$19,0)),"")="","",ROUND(IFERROR(INDEX(Rekorde!$O$4:$O$19,MATCH(Übungen!$A$8,Rekorde!$A$4:$A$19,0)),"")*0.9*2,0)/2))</f>
        <v>121.5</v>
      </c>
      <c r="D187" s="104" t="n">
        <f aca="false">IF(FALSE(),"",IF(IFERROR(INDEX(Rekorde!$P$4:$P$19,MATCH(Übungen!$A$8,Rekorde!$A$4:$A$19,0)),"")="","",MIN(Übungen!$E$8,IFERROR(INDEX(Rekorde!$P$4:$P$19,MATCH(Übungen!$A$8,Rekorde!$A$4:$A$19,0)),"")+2)))</f>
        <v>8</v>
      </c>
      <c r="E187" s="101"/>
      <c r="F187" s="101"/>
      <c r="G187" s="101"/>
      <c r="H187" s="101"/>
      <c r="I187" s="101"/>
    </row>
    <row r="189" customFormat="false" ht="18.75" hidden="false" customHeight="true" outlineLevel="0" collapsed="false">
      <c r="A189" s="93" t="str">
        <f aca="false">Übungen!$A$9</f>
        <v>Beinpresse breit</v>
      </c>
      <c r="B189" s="93"/>
      <c r="C189" s="93"/>
      <c r="D189" s="93"/>
      <c r="E189" s="93"/>
      <c r="F189" s="93"/>
      <c r="G189" s="93"/>
      <c r="H189" s="93"/>
      <c r="I189" s="93"/>
    </row>
    <row r="190" customFormat="false" ht="13.5" hidden="false" customHeight="true" outlineLevel="0" collapsed="false">
      <c r="A190"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190" s="94"/>
      <c r="C190" s="94"/>
      <c r="D190" s="94"/>
      <c r="E190" s="94"/>
      <c r="F190" s="94"/>
      <c r="G190" s="94"/>
      <c r="H190" s="94"/>
      <c r="I190" s="94"/>
    </row>
    <row r="191" customFormat="false" ht="13.5" hidden="false" customHeight="true" outlineLevel="0" collapsed="false">
      <c r="A191"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191" s="95"/>
      <c r="C191" s="95"/>
      <c r="D191" s="95"/>
      <c r="E191" s="95"/>
      <c r="F191" s="95"/>
      <c r="G191" s="95"/>
      <c r="H191" s="95"/>
      <c r="I191" s="95"/>
    </row>
    <row r="192" customFormat="false" ht="18" hidden="false" customHeight="true" outlineLevel="0" collapsed="false">
      <c r="A192" s="96" t="s">
        <v>358</v>
      </c>
      <c r="B192" s="96" t="s">
        <v>359</v>
      </c>
      <c r="C192" s="96" t="s">
        <v>360</v>
      </c>
      <c r="D192" s="96" t="s">
        <v>361</v>
      </c>
      <c r="E192" s="96" t="s">
        <v>362</v>
      </c>
      <c r="F192" s="96" t="s">
        <v>276</v>
      </c>
      <c r="G192" s="96" t="s">
        <v>46</v>
      </c>
      <c r="H192" s="96" t="s">
        <v>363</v>
      </c>
      <c r="I192" s="96" t="s">
        <v>178</v>
      </c>
    </row>
    <row r="193" customFormat="false" ht="18" hidden="false" customHeight="true" outlineLevel="0" collapsed="false">
      <c r="A193" s="97" t="n">
        <v>1</v>
      </c>
      <c r="B193" s="98" t="s">
        <v>364</v>
      </c>
      <c r="C193" s="99" t="n">
        <f aca="false">IF(FALSE(),"",IF(IFERROR(INDEX(Rekorde!$O$4:$O$19,MATCH(Übungen!$A$9,Rekorde!$A$4:$A$19,0)),"")="","",ROUND(IFERROR(INDEX(Rekorde!$O$4:$O$19,MATCH(Übungen!$A$9,Rekorde!$A$4:$A$19,0)),"")*0.4*2,0)/2))</f>
        <v>104</v>
      </c>
      <c r="D193" s="100"/>
      <c r="E193" s="101"/>
      <c r="F193" s="101"/>
      <c r="G193" s="101"/>
      <c r="H193" s="101"/>
      <c r="I193" s="101"/>
    </row>
    <row r="194" customFormat="false" ht="18" hidden="false" customHeight="true" outlineLevel="0" collapsed="false">
      <c r="A194" s="97" t="n">
        <v>2</v>
      </c>
      <c r="B194" s="98" t="s">
        <v>365</v>
      </c>
      <c r="C194" s="99" t="n">
        <f aca="false">IF(FALSE(),"",IF(IFERROR(INDEX(Rekorde!$O$4:$O$19,MATCH(Übungen!$A$9,Rekorde!$A$4:$A$19,0)),"")="","",ROUND(IFERROR(INDEX(Rekorde!$O$4:$O$19,MATCH(Übungen!$A$9,Rekorde!$A$4:$A$19,0)),"")*0.7*2,0)/2))</f>
        <v>182</v>
      </c>
      <c r="D194" s="100"/>
      <c r="E194" s="101"/>
      <c r="F194" s="101"/>
      <c r="G194" s="101"/>
      <c r="H194" s="101"/>
      <c r="I194" s="101"/>
    </row>
    <row r="195" customFormat="false" ht="18" hidden="false" customHeight="true" outlineLevel="0" collapsed="false">
      <c r="A195" s="97" t="n">
        <v>3</v>
      </c>
      <c r="B195" s="102" t="s">
        <v>366</v>
      </c>
      <c r="C195" s="103" t="n">
        <f aca="false">IF(FALSE(),"",IF(IFERROR(INDEX(Rekorde!$O$4:$O$19,MATCH(Übungen!$A$9,Rekorde!$A$4:$A$19,0)),"")="","",ROUND(IFERROR(INDEX(Rekorde!$O$4:$O$19,MATCH(Übungen!$A$9,Rekorde!$A$4:$A$19,0)),"")*1*2,0)/2))</f>
        <v>260</v>
      </c>
      <c r="D195" s="104" t="n">
        <f aca="false">IF(FALSE(),"",IF(IFERROR(INDEX(Rekorde!$P$4:$P$19,MATCH(Übungen!$A$9,Rekorde!$A$4:$A$19,0)),"")="","",MIN(Übungen!$E$9,IFERROR(INDEX(Rekorde!$P$4:$P$19,MATCH(Übungen!$A$9,Rekorde!$A$4:$A$19,0)),"")+0)))</f>
        <v>5</v>
      </c>
      <c r="E195" s="101"/>
      <c r="F195" s="101"/>
      <c r="G195" s="101"/>
      <c r="H195" s="101"/>
      <c r="I195" s="101"/>
    </row>
    <row r="196" customFormat="false" ht="18" hidden="false" customHeight="true" outlineLevel="0" collapsed="false">
      <c r="A196" s="97" t="n">
        <v>4</v>
      </c>
      <c r="B196" s="102" t="s">
        <v>367</v>
      </c>
      <c r="C196" s="99" t="n">
        <f aca="false">IF(FALSE(),"",IF(IFERROR(INDEX(Rekorde!$O$4:$O$19,MATCH(Übungen!$A$9,Rekorde!$A$4:$A$19,0)),"")="","",ROUND(IFERROR(INDEX(Rekorde!$O$4:$O$19,MATCH(Übungen!$A$9,Rekorde!$A$4:$A$19,0)),"")*0.95*2,0)/2))</f>
        <v>247</v>
      </c>
      <c r="D196" s="104" t="n">
        <f aca="false">IF(FALSE(),"",IF(IFERROR(INDEX(Rekorde!$P$4:$P$19,MATCH(Übungen!$A$9,Rekorde!$A$4:$A$19,0)),"")="","",MIN(Übungen!$E$9,IFERROR(INDEX(Rekorde!$P$4:$P$19,MATCH(Übungen!$A$9,Rekorde!$A$4:$A$19,0)),"")+1)))</f>
        <v>6</v>
      </c>
      <c r="E196" s="101"/>
      <c r="F196" s="101"/>
      <c r="G196" s="101"/>
      <c r="H196" s="101"/>
      <c r="I196" s="101"/>
    </row>
    <row r="197" customFormat="false" ht="18" hidden="false" customHeight="true" outlineLevel="0" collapsed="false">
      <c r="A197" s="97" t="n">
        <v>5</v>
      </c>
      <c r="B197" s="102" t="s">
        <v>368</v>
      </c>
      <c r="C197" s="99" t="n">
        <f aca="false">IF(FALSE(),"",IF(IFERROR(INDEX(Rekorde!$O$4:$O$19,MATCH(Übungen!$A$9,Rekorde!$A$4:$A$19,0)),"")="","",ROUND(IFERROR(INDEX(Rekorde!$O$4:$O$19,MATCH(Übungen!$A$9,Rekorde!$A$4:$A$19,0)),"")*0.9*2,0)/2))</f>
        <v>234</v>
      </c>
      <c r="D197" s="104" t="n">
        <f aca="false">IF(FALSE(),"",IF(IFERROR(INDEX(Rekorde!$P$4:$P$19,MATCH(Übungen!$A$9,Rekorde!$A$4:$A$19,0)),"")="","",MIN(Übungen!$E$9,IFERROR(INDEX(Rekorde!$P$4:$P$19,MATCH(Übungen!$A$9,Rekorde!$A$4:$A$19,0)),"")+2)))</f>
        <v>7</v>
      </c>
      <c r="E197" s="101"/>
      <c r="F197" s="101"/>
      <c r="G197" s="101"/>
      <c r="H197" s="101"/>
      <c r="I197" s="101"/>
    </row>
    <row r="199" customFormat="false" ht="18.75" hidden="false" customHeight="true" outlineLevel="0" collapsed="false">
      <c r="A199" s="93" t="str">
        <f aca="false">Übungen!$A$10</f>
        <v>Hip Thrust</v>
      </c>
      <c r="B199" s="93"/>
      <c r="C199" s="93"/>
      <c r="D199" s="93"/>
      <c r="E199" s="93"/>
      <c r="F199" s="93"/>
      <c r="G199" s="93"/>
      <c r="H199" s="93"/>
      <c r="I199" s="93"/>
    </row>
    <row r="200" customFormat="false" ht="13.5" hidden="false" customHeight="true" outlineLevel="0" collapsed="false">
      <c r="A200"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200" s="94"/>
      <c r="C200" s="94"/>
      <c r="D200" s="94"/>
      <c r="E200" s="94"/>
      <c r="F200" s="94"/>
      <c r="G200" s="94"/>
      <c r="H200" s="94"/>
      <c r="I200" s="94"/>
    </row>
    <row r="201" customFormat="false" ht="13.5" hidden="false" customHeight="true" outlineLevel="0" collapsed="false">
      <c r="A201"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201" s="95"/>
      <c r="C201" s="95"/>
      <c r="D201" s="95"/>
      <c r="E201" s="95"/>
      <c r="F201" s="95"/>
      <c r="G201" s="95"/>
      <c r="H201" s="95"/>
      <c r="I201" s="95"/>
    </row>
    <row r="202" customFormat="false" ht="18" hidden="false" customHeight="true" outlineLevel="0" collapsed="false">
      <c r="A202" s="96" t="s">
        <v>358</v>
      </c>
      <c r="B202" s="96" t="s">
        <v>359</v>
      </c>
      <c r="C202" s="96" t="s">
        <v>360</v>
      </c>
      <c r="D202" s="96" t="s">
        <v>361</v>
      </c>
      <c r="E202" s="96" t="s">
        <v>362</v>
      </c>
      <c r="F202" s="96" t="s">
        <v>276</v>
      </c>
      <c r="G202" s="96" t="s">
        <v>46</v>
      </c>
      <c r="H202" s="96" t="s">
        <v>363</v>
      </c>
      <c r="I202" s="96" t="s">
        <v>178</v>
      </c>
    </row>
    <row r="203" customFormat="false" ht="18" hidden="false" customHeight="true" outlineLevel="0" collapsed="false">
      <c r="A203" s="97" t="n">
        <v>1</v>
      </c>
      <c r="B203" s="98" t="s">
        <v>364</v>
      </c>
      <c r="C203" s="99" t="n">
        <f aca="false">IF(FALSE(),"",IF(IFERROR(INDEX(Rekorde!$O$4:$O$19,MATCH(Übungen!$A$10,Rekorde!$A$4:$A$19,0)),"")="","",ROUND(IFERROR(INDEX(Rekorde!$O$4:$O$19,MATCH(Übungen!$A$10,Rekorde!$A$4:$A$19,0)),"")*0.4*2,0)/2))</f>
        <v>118</v>
      </c>
      <c r="D203" s="100"/>
      <c r="E203" s="101"/>
      <c r="F203" s="101"/>
      <c r="G203" s="101"/>
      <c r="H203" s="101"/>
      <c r="I203" s="101"/>
    </row>
    <row r="204" customFormat="false" ht="18" hidden="false" customHeight="true" outlineLevel="0" collapsed="false">
      <c r="A204" s="97" t="n">
        <v>2</v>
      </c>
      <c r="B204" s="98" t="s">
        <v>365</v>
      </c>
      <c r="C204" s="99" t="n">
        <f aca="false">IF(FALSE(),"",IF(IFERROR(INDEX(Rekorde!$O$4:$O$19,MATCH(Übungen!$A$10,Rekorde!$A$4:$A$19,0)),"")="","",ROUND(IFERROR(INDEX(Rekorde!$O$4:$O$19,MATCH(Übungen!$A$10,Rekorde!$A$4:$A$19,0)),"")*0.7*2,0)/2))</f>
        <v>206.5</v>
      </c>
      <c r="D204" s="100"/>
      <c r="E204" s="101"/>
      <c r="F204" s="101"/>
      <c r="G204" s="101"/>
      <c r="H204" s="101"/>
      <c r="I204" s="101"/>
    </row>
    <row r="205" customFormat="false" ht="18" hidden="false" customHeight="true" outlineLevel="0" collapsed="false">
      <c r="A205" s="97" t="n">
        <v>3</v>
      </c>
      <c r="B205" s="102" t="s">
        <v>366</v>
      </c>
      <c r="C205" s="103" t="n">
        <f aca="false">IF(FALSE(),"",IF(IFERROR(INDEX(Rekorde!$O$4:$O$19,MATCH(Übungen!$A$10,Rekorde!$A$4:$A$19,0)),"")="","",ROUND(IFERROR(INDEX(Rekorde!$O$4:$O$19,MATCH(Übungen!$A$10,Rekorde!$A$4:$A$19,0)),"")*1*2,0)/2))</f>
        <v>295</v>
      </c>
      <c r="D205" s="104" t="n">
        <f aca="false">IF(FALSE(),"",IF(IFERROR(INDEX(Rekorde!$P$4:$P$19,MATCH(Übungen!$A$10,Rekorde!$A$4:$A$19,0)),"")="","",MIN(Übungen!$E$10,IFERROR(INDEX(Rekorde!$P$4:$P$19,MATCH(Übungen!$A$10,Rekorde!$A$4:$A$19,0)),"")+0)))</f>
        <v>5</v>
      </c>
      <c r="E205" s="101"/>
      <c r="F205" s="101"/>
      <c r="G205" s="101"/>
      <c r="H205" s="101"/>
      <c r="I205" s="101"/>
    </row>
    <row r="206" customFormat="false" ht="18" hidden="false" customHeight="true" outlineLevel="0" collapsed="false">
      <c r="A206" s="97" t="n">
        <v>4</v>
      </c>
      <c r="B206" s="102" t="s">
        <v>367</v>
      </c>
      <c r="C206" s="99" t="n">
        <f aca="false">IF(FALSE(),"",IF(IFERROR(INDEX(Rekorde!$O$4:$O$19,MATCH(Übungen!$A$10,Rekorde!$A$4:$A$19,0)),"")="","",ROUND(IFERROR(INDEX(Rekorde!$O$4:$O$19,MATCH(Übungen!$A$10,Rekorde!$A$4:$A$19,0)),"")*0.95*2,0)/2))</f>
        <v>280.5</v>
      </c>
      <c r="D206" s="104" t="n">
        <f aca="false">IF(FALSE(),"",IF(IFERROR(INDEX(Rekorde!$P$4:$P$19,MATCH(Übungen!$A$10,Rekorde!$A$4:$A$19,0)),"")="","",MIN(Übungen!$E$10,IFERROR(INDEX(Rekorde!$P$4:$P$19,MATCH(Übungen!$A$10,Rekorde!$A$4:$A$19,0)),"")+1)))</f>
        <v>6</v>
      </c>
      <c r="E206" s="101"/>
      <c r="F206" s="101"/>
      <c r="G206" s="101"/>
      <c r="H206" s="101"/>
      <c r="I206" s="101"/>
    </row>
    <row r="207" customFormat="false" ht="18" hidden="false" customHeight="true" outlineLevel="0" collapsed="false">
      <c r="A207" s="97" t="n">
        <v>5</v>
      </c>
      <c r="B207" s="102" t="s">
        <v>368</v>
      </c>
      <c r="C207" s="99" t="n">
        <f aca="false">IF(FALSE(),"",IF(IFERROR(INDEX(Rekorde!$O$4:$O$19,MATCH(Übungen!$A$10,Rekorde!$A$4:$A$19,0)),"")="","",ROUND(IFERROR(INDEX(Rekorde!$O$4:$O$19,MATCH(Übungen!$A$10,Rekorde!$A$4:$A$19,0)),"")*0.9*2,0)/2))</f>
        <v>265.5</v>
      </c>
      <c r="D207" s="104" t="n">
        <f aca="false">IF(FALSE(),"",IF(IFERROR(INDEX(Rekorde!$P$4:$P$19,MATCH(Übungen!$A$10,Rekorde!$A$4:$A$19,0)),"")="","",MIN(Übungen!$E$10,IFERROR(INDEX(Rekorde!$P$4:$P$19,MATCH(Übungen!$A$10,Rekorde!$A$4:$A$19,0)),"")+2)))</f>
        <v>7</v>
      </c>
      <c r="E207" s="101"/>
      <c r="F207" s="101"/>
      <c r="G207" s="101"/>
      <c r="H207" s="101"/>
      <c r="I207" s="101"/>
    </row>
    <row r="209" customFormat="false" ht="18.75" hidden="false" customHeight="true" outlineLevel="0" collapsed="false">
      <c r="A209" s="93" t="str">
        <f aca="false">Übungen!$A$11</f>
        <v>Hip &amp; Glute</v>
      </c>
      <c r="B209" s="93"/>
      <c r="C209" s="93"/>
      <c r="D209" s="93"/>
      <c r="E209" s="93"/>
      <c r="F209" s="93"/>
      <c r="G209" s="93"/>
      <c r="H209" s="93"/>
      <c r="I209" s="93"/>
    </row>
    <row r="210" customFormat="false" ht="13.5" hidden="false" customHeight="true" outlineLevel="0" collapsed="false">
      <c r="A210"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210" s="94"/>
      <c r="C210" s="94"/>
      <c r="D210" s="94"/>
      <c r="E210" s="94"/>
      <c r="F210" s="94"/>
      <c r="G210" s="94"/>
      <c r="H210" s="94"/>
      <c r="I210" s="94"/>
    </row>
    <row r="211" customFormat="false" ht="13.5" hidden="false" customHeight="true" outlineLevel="0" collapsed="false">
      <c r="A211"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211" s="95"/>
      <c r="C211" s="95"/>
      <c r="D211" s="95"/>
      <c r="E211" s="95"/>
      <c r="F211" s="95"/>
      <c r="G211" s="95"/>
      <c r="H211" s="95"/>
      <c r="I211" s="95"/>
    </row>
    <row r="212" customFormat="false" ht="18" hidden="false" customHeight="true" outlineLevel="0" collapsed="false">
      <c r="A212" s="96" t="s">
        <v>358</v>
      </c>
      <c r="B212" s="96" t="s">
        <v>359</v>
      </c>
      <c r="C212" s="96" t="s">
        <v>360</v>
      </c>
      <c r="D212" s="96" t="s">
        <v>361</v>
      </c>
      <c r="E212" s="96" t="s">
        <v>362</v>
      </c>
      <c r="F212" s="96" t="s">
        <v>276</v>
      </c>
      <c r="G212" s="96" t="s">
        <v>46</v>
      </c>
      <c r="H212" s="96" t="s">
        <v>363</v>
      </c>
      <c r="I212" s="96" t="s">
        <v>178</v>
      </c>
    </row>
    <row r="213" customFormat="false" ht="18" hidden="false" customHeight="true" outlineLevel="0" collapsed="false">
      <c r="A213" s="97" t="n">
        <v>1</v>
      </c>
      <c r="B213" s="98" t="s">
        <v>364</v>
      </c>
      <c r="C213" s="99" t="n">
        <f aca="false">IF(FALSE(),"",IF(IFERROR(INDEX(Rekorde!$O$4:$O$19,MATCH(Übungen!$A$11,Rekorde!$A$4:$A$19,0)),"")="","",ROUND(IFERROR(INDEX(Rekorde!$O$4:$O$19,MATCH(Übungen!$A$11,Rekorde!$A$4:$A$19,0)),"")*0.4*2,0)/2))</f>
        <v>58</v>
      </c>
      <c r="D213" s="100"/>
      <c r="E213" s="101"/>
      <c r="F213" s="101"/>
      <c r="G213" s="101"/>
      <c r="H213" s="101"/>
      <c r="I213" s="101"/>
    </row>
    <row r="214" customFormat="false" ht="18" hidden="false" customHeight="true" outlineLevel="0" collapsed="false">
      <c r="A214" s="97" t="n">
        <v>2</v>
      </c>
      <c r="B214" s="98" t="s">
        <v>365</v>
      </c>
      <c r="C214" s="99" t="n">
        <f aca="false">IF(FALSE(),"",IF(IFERROR(INDEX(Rekorde!$O$4:$O$19,MATCH(Übungen!$A$11,Rekorde!$A$4:$A$19,0)),"")="","",ROUND(IFERROR(INDEX(Rekorde!$O$4:$O$19,MATCH(Übungen!$A$11,Rekorde!$A$4:$A$19,0)),"")*0.7*2,0)/2))</f>
        <v>101.5</v>
      </c>
      <c r="D214" s="100"/>
      <c r="E214" s="101"/>
      <c r="F214" s="101"/>
      <c r="G214" s="101"/>
      <c r="H214" s="101"/>
      <c r="I214" s="101"/>
    </row>
    <row r="215" customFormat="false" ht="18" hidden="false" customHeight="true" outlineLevel="0" collapsed="false">
      <c r="A215" s="97" t="n">
        <v>3</v>
      </c>
      <c r="B215" s="102" t="s">
        <v>366</v>
      </c>
      <c r="C215" s="103" t="n">
        <f aca="false">IF(FALSE(),"",IF(IFERROR(INDEX(Rekorde!$O$4:$O$19,MATCH(Übungen!$A$11,Rekorde!$A$4:$A$19,0)),"")="","",ROUND(IFERROR(INDEX(Rekorde!$O$4:$O$19,MATCH(Übungen!$A$11,Rekorde!$A$4:$A$19,0)),"")*1*2,0)/2))</f>
        <v>145</v>
      </c>
      <c r="D215" s="104" t="n">
        <f aca="false">IF(FALSE(),"",IF(IFERROR(INDEX(Rekorde!$P$4:$P$19,MATCH(Übungen!$A$11,Rekorde!$A$4:$A$19,0)),"")="","",MIN(Übungen!$E$11,IFERROR(INDEX(Rekorde!$P$4:$P$19,MATCH(Übungen!$A$11,Rekorde!$A$4:$A$19,0)),"")+0)))</f>
        <v>5</v>
      </c>
      <c r="E215" s="101"/>
      <c r="F215" s="101"/>
      <c r="G215" s="101"/>
      <c r="H215" s="101"/>
      <c r="I215" s="101"/>
    </row>
    <row r="216" customFormat="false" ht="18" hidden="false" customHeight="true" outlineLevel="0" collapsed="false">
      <c r="A216" s="97" t="n">
        <v>4</v>
      </c>
      <c r="B216" s="102" t="s">
        <v>367</v>
      </c>
      <c r="C216" s="99" t="n">
        <f aca="false">IF(FALSE(),"",IF(IFERROR(INDEX(Rekorde!$O$4:$O$19,MATCH(Übungen!$A$11,Rekorde!$A$4:$A$19,0)),"")="","",ROUND(IFERROR(INDEX(Rekorde!$O$4:$O$19,MATCH(Übungen!$A$11,Rekorde!$A$4:$A$19,0)),"")*0.95*2,0)/2))</f>
        <v>138</v>
      </c>
      <c r="D216" s="104" t="n">
        <f aca="false">IF(FALSE(),"",IF(IFERROR(INDEX(Rekorde!$P$4:$P$19,MATCH(Übungen!$A$11,Rekorde!$A$4:$A$19,0)),"")="","",MIN(Übungen!$E$11,IFERROR(INDEX(Rekorde!$P$4:$P$19,MATCH(Übungen!$A$11,Rekorde!$A$4:$A$19,0)),"")+1)))</f>
        <v>6</v>
      </c>
      <c r="E216" s="101"/>
      <c r="F216" s="101"/>
      <c r="G216" s="101"/>
      <c r="H216" s="101"/>
      <c r="I216" s="101"/>
    </row>
    <row r="217" customFormat="false" ht="18" hidden="false" customHeight="true" outlineLevel="0" collapsed="false">
      <c r="A217" s="97" t="n">
        <v>5</v>
      </c>
      <c r="B217" s="102" t="s">
        <v>368</v>
      </c>
      <c r="C217" s="99" t="n">
        <f aca="false">IF(FALSE(),"",IF(IFERROR(INDEX(Rekorde!$O$4:$O$19,MATCH(Übungen!$A$11,Rekorde!$A$4:$A$19,0)),"")="","",ROUND(IFERROR(INDEX(Rekorde!$O$4:$O$19,MATCH(Übungen!$A$11,Rekorde!$A$4:$A$19,0)),"")*0.9*2,0)/2))</f>
        <v>130.5</v>
      </c>
      <c r="D217" s="104" t="n">
        <f aca="false">IF(FALSE(),"",IF(IFERROR(INDEX(Rekorde!$P$4:$P$19,MATCH(Übungen!$A$11,Rekorde!$A$4:$A$19,0)),"")="","",MIN(Übungen!$E$11,IFERROR(INDEX(Rekorde!$P$4:$P$19,MATCH(Übungen!$A$11,Rekorde!$A$4:$A$19,0)),"")+2)))</f>
        <v>7</v>
      </c>
      <c r="E217" s="101"/>
      <c r="F217" s="101"/>
      <c r="G217" s="101"/>
      <c r="H217" s="101"/>
      <c r="I217" s="101"/>
    </row>
    <row r="219" customFormat="false" ht="18.75" hidden="false" customHeight="true" outlineLevel="0" collapsed="false">
      <c r="A219" s="93" t="str">
        <f aca="false">Übungen!$A$12</f>
        <v>Beinbeuger</v>
      </c>
      <c r="B219" s="93"/>
      <c r="C219" s="93"/>
      <c r="D219" s="93"/>
      <c r="E219" s="93"/>
      <c r="F219" s="93"/>
      <c r="G219" s="93"/>
      <c r="H219" s="93"/>
      <c r="I219" s="93"/>
    </row>
    <row r="220" customFormat="false" ht="13.5" hidden="false" customHeight="true" outlineLevel="0" collapsed="false">
      <c r="A220"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220" s="94"/>
      <c r="C220" s="94"/>
      <c r="D220" s="94"/>
      <c r="E220" s="94"/>
      <c r="F220" s="94"/>
      <c r="G220" s="94"/>
      <c r="H220" s="94"/>
      <c r="I220" s="94"/>
    </row>
    <row r="221" customFormat="false" ht="13.5" hidden="false" customHeight="true" outlineLevel="0" collapsed="false">
      <c r="A221"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221" s="95"/>
      <c r="C221" s="95"/>
      <c r="D221" s="95"/>
      <c r="E221" s="95"/>
      <c r="F221" s="95"/>
      <c r="G221" s="95"/>
      <c r="H221" s="95"/>
      <c r="I221" s="95"/>
    </row>
    <row r="222" customFormat="false" ht="18" hidden="false" customHeight="true" outlineLevel="0" collapsed="false">
      <c r="A222" s="96" t="s">
        <v>358</v>
      </c>
      <c r="B222" s="96" t="s">
        <v>359</v>
      </c>
      <c r="C222" s="96" t="s">
        <v>360</v>
      </c>
      <c r="D222" s="96" t="s">
        <v>361</v>
      </c>
      <c r="E222" s="96" t="s">
        <v>362</v>
      </c>
      <c r="F222" s="96" t="s">
        <v>276</v>
      </c>
      <c r="G222" s="96" t="s">
        <v>46</v>
      </c>
      <c r="H222" s="96" t="s">
        <v>363</v>
      </c>
      <c r="I222" s="96" t="s">
        <v>178</v>
      </c>
    </row>
    <row r="223" customFormat="false" ht="18" hidden="false" customHeight="true" outlineLevel="0" collapsed="false">
      <c r="A223" s="97" t="n">
        <v>1</v>
      </c>
      <c r="B223" s="98" t="s">
        <v>364</v>
      </c>
      <c r="C223" s="99" t="n">
        <f aca="false">IF(FALSE(),"",IF(IFERROR(INDEX(Rekorde!$O$4:$O$19,MATCH(Übungen!$A$12,Rekorde!$A$4:$A$19,0)),"")="","",ROUND(IFERROR(INDEX(Rekorde!$O$4:$O$19,MATCH(Übungen!$A$12,Rekorde!$A$4:$A$19,0)),"")*0.4*2,0)/2))</f>
        <v>22</v>
      </c>
      <c r="D223" s="100"/>
      <c r="E223" s="101"/>
      <c r="F223" s="101"/>
      <c r="G223" s="101"/>
      <c r="H223" s="101"/>
      <c r="I223" s="101"/>
    </row>
    <row r="224" customFormat="false" ht="18" hidden="false" customHeight="true" outlineLevel="0" collapsed="false">
      <c r="A224" s="97" t="n">
        <v>2</v>
      </c>
      <c r="B224" s="98" t="s">
        <v>365</v>
      </c>
      <c r="C224" s="99" t="n">
        <f aca="false">IF(FALSE(),"",IF(IFERROR(INDEX(Rekorde!$O$4:$O$19,MATCH(Übungen!$A$12,Rekorde!$A$4:$A$19,0)),"")="","",ROUND(IFERROR(INDEX(Rekorde!$O$4:$O$19,MATCH(Übungen!$A$12,Rekorde!$A$4:$A$19,0)),"")*0.7*2,0)/2))</f>
        <v>38.5</v>
      </c>
      <c r="D224" s="100"/>
      <c r="E224" s="101"/>
      <c r="F224" s="101"/>
      <c r="G224" s="101"/>
      <c r="H224" s="101"/>
      <c r="I224" s="101"/>
    </row>
    <row r="225" customFormat="false" ht="18" hidden="false" customHeight="true" outlineLevel="0" collapsed="false">
      <c r="A225" s="97" t="n">
        <v>3</v>
      </c>
      <c r="B225" s="102" t="s">
        <v>366</v>
      </c>
      <c r="C225" s="103" t="n">
        <f aca="false">IF(FALSE(),"",IF(IFERROR(INDEX(Rekorde!$O$4:$O$19,MATCH(Übungen!$A$12,Rekorde!$A$4:$A$19,0)),"")="","",ROUND(IFERROR(INDEX(Rekorde!$O$4:$O$19,MATCH(Übungen!$A$12,Rekorde!$A$4:$A$19,0)),"")*1*2,0)/2))</f>
        <v>55</v>
      </c>
      <c r="D225" s="104" t="n">
        <f aca="false">IF(FALSE(),"",IF(IFERROR(INDEX(Rekorde!$P$4:$P$19,MATCH(Übungen!$A$12,Rekorde!$A$4:$A$19,0)),"")="","",MIN(Übungen!$E$12,IFERROR(INDEX(Rekorde!$P$4:$P$19,MATCH(Übungen!$A$12,Rekorde!$A$4:$A$19,0)),"")+0)))</f>
        <v>5</v>
      </c>
      <c r="E225" s="101"/>
      <c r="F225" s="101"/>
      <c r="G225" s="101"/>
      <c r="H225" s="101"/>
      <c r="I225" s="101"/>
    </row>
    <row r="226" customFormat="false" ht="18" hidden="false" customHeight="true" outlineLevel="0" collapsed="false">
      <c r="A226" s="97" t="n">
        <v>4</v>
      </c>
      <c r="B226" s="102" t="s">
        <v>367</v>
      </c>
      <c r="C226" s="99" t="n">
        <f aca="false">IF(FALSE(),"",IF(IFERROR(INDEX(Rekorde!$O$4:$O$19,MATCH(Übungen!$A$12,Rekorde!$A$4:$A$19,0)),"")="","",ROUND(IFERROR(INDEX(Rekorde!$O$4:$O$19,MATCH(Übungen!$A$12,Rekorde!$A$4:$A$19,0)),"")*0.95*2,0)/2))</f>
        <v>52.5</v>
      </c>
      <c r="D226" s="104" t="n">
        <f aca="false">IF(FALSE(),"",IF(IFERROR(INDEX(Rekorde!$P$4:$P$19,MATCH(Übungen!$A$12,Rekorde!$A$4:$A$19,0)),"")="","",MIN(Übungen!$E$12,IFERROR(INDEX(Rekorde!$P$4:$P$19,MATCH(Übungen!$A$12,Rekorde!$A$4:$A$19,0)),"")+1)))</f>
        <v>6</v>
      </c>
      <c r="E226" s="101"/>
      <c r="F226" s="101"/>
      <c r="G226" s="101"/>
      <c r="H226" s="101"/>
      <c r="I226" s="101"/>
    </row>
    <row r="227" customFormat="false" ht="18" hidden="false" customHeight="true" outlineLevel="0" collapsed="false">
      <c r="A227" s="97" t="n">
        <v>5</v>
      </c>
      <c r="B227" s="102" t="s">
        <v>368</v>
      </c>
      <c r="C227" s="99" t="n">
        <f aca="false">IF(FALSE(),"",IF(IFERROR(INDEX(Rekorde!$O$4:$O$19,MATCH(Übungen!$A$12,Rekorde!$A$4:$A$19,0)),"")="","",ROUND(IFERROR(INDEX(Rekorde!$O$4:$O$19,MATCH(Übungen!$A$12,Rekorde!$A$4:$A$19,0)),"")*0.9*2,0)/2))</f>
        <v>49.5</v>
      </c>
      <c r="D227" s="104" t="n">
        <f aca="false">IF(FALSE(),"",IF(IFERROR(INDEX(Rekorde!$P$4:$P$19,MATCH(Übungen!$A$12,Rekorde!$A$4:$A$19,0)),"")="","",MIN(Übungen!$E$12,IFERROR(INDEX(Rekorde!$P$4:$P$19,MATCH(Übungen!$A$12,Rekorde!$A$4:$A$19,0)),"")+2)))</f>
        <v>7</v>
      </c>
      <c r="E227" s="101"/>
      <c r="F227" s="101"/>
      <c r="G227" s="101"/>
      <c r="H227" s="101"/>
      <c r="I227" s="101"/>
    </row>
    <row r="229" customFormat="false" ht="18.75" hidden="false" customHeight="true" outlineLevel="0" collapsed="false">
      <c r="A229" s="93" t="str">
        <f aca="false">Übungen!$A$13</f>
        <v>Seitliche Kickbacks</v>
      </c>
      <c r="B229" s="93"/>
      <c r="C229" s="93"/>
      <c r="D229" s="93"/>
      <c r="E229" s="93"/>
      <c r="F229" s="93"/>
      <c r="G229" s="93"/>
      <c r="H229" s="93"/>
      <c r="I229" s="93"/>
    </row>
    <row r="230" customFormat="false" ht="13.5" hidden="false" customHeight="true" outlineLevel="0" collapsed="false">
      <c r="A230"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230" s="94"/>
      <c r="C230" s="94"/>
      <c r="D230" s="94"/>
      <c r="E230" s="94"/>
      <c r="F230" s="94"/>
      <c r="G230" s="94"/>
      <c r="H230" s="94"/>
      <c r="I230" s="94"/>
    </row>
    <row r="231" customFormat="false" ht="13.5" hidden="false" customHeight="true" outlineLevel="0" collapsed="false">
      <c r="A231"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231" s="95"/>
      <c r="C231" s="95"/>
      <c r="D231" s="95"/>
      <c r="E231" s="95"/>
      <c r="F231" s="95"/>
      <c r="G231" s="95"/>
      <c r="H231" s="95"/>
      <c r="I231" s="95"/>
    </row>
    <row r="232" customFormat="false" ht="18" hidden="false" customHeight="true" outlineLevel="0" collapsed="false">
      <c r="A232" s="96" t="s">
        <v>358</v>
      </c>
      <c r="B232" s="96" t="s">
        <v>359</v>
      </c>
      <c r="C232" s="96" t="s">
        <v>360</v>
      </c>
      <c r="D232" s="96" t="s">
        <v>361</v>
      </c>
      <c r="E232" s="96" t="s">
        <v>362</v>
      </c>
      <c r="F232" s="96" t="s">
        <v>276</v>
      </c>
      <c r="G232" s="96" t="s">
        <v>46</v>
      </c>
      <c r="H232" s="96" t="s">
        <v>363</v>
      </c>
      <c r="I232" s="96" t="s">
        <v>178</v>
      </c>
    </row>
    <row r="233" customFormat="false" ht="18" hidden="false" customHeight="true" outlineLevel="0" collapsed="false">
      <c r="A233" s="97" t="n">
        <v>1</v>
      </c>
      <c r="B233" s="98" t="s">
        <v>364</v>
      </c>
      <c r="C233" s="99" t="n">
        <f aca="false">IF(FALSE(),"",IF(IFERROR(INDEX(Rekorde!$O$4:$O$19,MATCH(Übungen!$A$13,Rekorde!$A$4:$A$19,0)),"")="","",ROUND(IFERROR(INDEX(Rekorde!$O$4:$O$19,MATCH(Übungen!$A$13,Rekorde!$A$4:$A$19,0)),"")*0.4*2,0)/2))</f>
        <v>15</v>
      </c>
      <c r="D233" s="100"/>
      <c r="E233" s="101"/>
      <c r="F233" s="101"/>
      <c r="G233" s="101"/>
      <c r="H233" s="101"/>
      <c r="I233" s="101"/>
    </row>
    <row r="234" customFormat="false" ht="18" hidden="false" customHeight="true" outlineLevel="0" collapsed="false">
      <c r="A234" s="97" t="n">
        <v>2</v>
      </c>
      <c r="B234" s="98" t="s">
        <v>365</v>
      </c>
      <c r="C234" s="99" t="n">
        <f aca="false">IF(FALSE(),"",IF(IFERROR(INDEX(Rekorde!$O$4:$O$19,MATCH(Übungen!$A$13,Rekorde!$A$4:$A$19,0)),"")="","",ROUND(IFERROR(INDEX(Rekorde!$O$4:$O$19,MATCH(Übungen!$A$13,Rekorde!$A$4:$A$19,0)),"")*0.7*2,0)/2))</f>
        <v>26.5</v>
      </c>
      <c r="D234" s="100"/>
      <c r="E234" s="101"/>
      <c r="F234" s="101"/>
      <c r="G234" s="101"/>
      <c r="H234" s="101"/>
      <c r="I234" s="101"/>
    </row>
    <row r="235" customFormat="false" ht="18" hidden="false" customHeight="true" outlineLevel="0" collapsed="false">
      <c r="A235" s="97" t="n">
        <v>3</v>
      </c>
      <c r="B235" s="102" t="s">
        <v>366</v>
      </c>
      <c r="C235" s="103" t="n">
        <f aca="false">IF(FALSE(),"",IF(IFERROR(INDEX(Rekorde!$O$4:$O$19,MATCH(Übungen!$A$13,Rekorde!$A$4:$A$19,0)),"")="","",ROUND(IFERROR(INDEX(Rekorde!$O$4:$O$19,MATCH(Übungen!$A$13,Rekorde!$A$4:$A$19,0)),"")*1*2,0)/2))</f>
        <v>38</v>
      </c>
      <c r="D235" s="104" t="n">
        <f aca="false">IF(FALSE(),"",IF(IFERROR(INDEX(Rekorde!$P$4:$P$19,MATCH(Übungen!$A$13,Rekorde!$A$4:$A$19,0)),"")="","",MIN(Übungen!$E$13,IFERROR(INDEX(Rekorde!$P$4:$P$19,MATCH(Übungen!$A$13,Rekorde!$A$4:$A$19,0)),"")+0)))</f>
        <v>5</v>
      </c>
      <c r="E235" s="101"/>
      <c r="F235" s="101"/>
      <c r="G235" s="101"/>
      <c r="H235" s="101"/>
      <c r="I235" s="101"/>
    </row>
    <row r="236" customFormat="false" ht="18" hidden="false" customHeight="true" outlineLevel="0" collapsed="false">
      <c r="A236" s="97" t="n">
        <v>4</v>
      </c>
      <c r="B236" s="102" t="s">
        <v>367</v>
      </c>
      <c r="C236" s="99" t="n">
        <f aca="false">IF(FALSE(),"",IF(IFERROR(INDEX(Rekorde!$O$4:$O$19,MATCH(Übungen!$A$13,Rekorde!$A$4:$A$19,0)),"")="","",ROUND(IFERROR(INDEX(Rekorde!$O$4:$O$19,MATCH(Übungen!$A$13,Rekorde!$A$4:$A$19,0)),"")*0.95*2,0)/2))</f>
        <v>36</v>
      </c>
      <c r="D236" s="104" t="n">
        <f aca="false">IF(FALSE(),"",IF(IFERROR(INDEX(Rekorde!$P$4:$P$19,MATCH(Übungen!$A$13,Rekorde!$A$4:$A$19,0)),"")="","",MIN(Übungen!$E$13,IFERROR(INDEX(Rekorde!$P$4:$P$19,MATCH(Übungen!$A$13,Rekorde!$A$4:$A$19,0)),"")+1)))</f>
        <v>6</v>
      </c>
      <c r="E236" s="101"/>
      <c r="F236" s="101"/>
      <c r="G236" s="101"/>
      <c r="H236" s="101"/>
      <c r="I236" s="101"/>
    </row>
    <row r="237" customFormat="false" ht="18" hidden="false" customHeight="true" outlineLevel="0" collapsed="false">
      <c r="A237" s="97" t="n">
        <v>5</v>
      </c>
      <c r="B237" s="102" t="s">
        <v>368</v>
      </c>
      <c r="C237" s="99" t="n">
        <f aca="false">IF(FALSE(),"",IF(IFERROR(INDEX(Rekorde!$O$4:$O$19,MATCH(Übungen!$A$13,Rekorde!$A$4:$A$19,0)),"")="","",ROUND(IFERROR(INDEX(Rekorde!$O$4:$O$19,MATCH(Übungen!$A$13,Rekorde!$A$4:$A$19,0)),"")*0.9*2,0)/2))</f>
        <v>34</v>
      </c>
      <c r="D237" s="104" t="n">
        <f aca="false">IF(FALSE(),"",IF(IFERROR(INDEX(Rekorde!$P$4:$P$19,MATCH(Übungen!$A$13,Rekorde!$A$4:$A$19,0)),"")="","",MIN(Übungen!$E$13,IFERROR(INDEX(Rekorde!$P$4:$P$19,MATCH(Übungen!$A$13,Rekorde!$A$4:$A$19,0)),"")+2)))</f>
        <v>7</v>
      </c>
      <c r="E237" s="101"/>
      <c r="F237" s="101"/>
      <c r="G237" s="101"/>
      <c r="H237" s="101"/>
      <c r="I237" s="101"/>
    </row>
    <row r="239" customFormat="false" ht="18.75" hidden="false" customHeight="true" outlineLevel="0" collapsed="false">
      <c r="A239" s="93" t="str">
        <f aca="false">Übungen!$A$14</f>
        <v>Waden</v>
      </c>
      <c r="B239" s="93"/>
      <c r="C239" s="93"/>
      <c r="D239" s="93"/>
      <c r="E239" s="93"/>
      <c r="F239" s="93"/>
      <c r="G239" s="93"/>
      <c r="H239" s="93"/>
      <c r="I239" s="93"/>
    </row>
    <row r="240" customFormat="false" ht="13.5" hidden="false" customHeight="true" outlineLevel="0" collapsed="false">
      <c r="A240"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240" s="94"/>
      <c r="C240" s="94"/>
      <c r="D240" s="94"/>
      <c r="E240" s="94"/>
      <c r="F240" s="94"/>
      <c r="G240" s="94"/>
      <c r="H240" s="94"/>
      <c r="I240" s="94"/>
    </row>
    <row r="241" customFormat="false" ht="13.5" hidden="false" customHeight="true" outlineLevel="0" collapsed="false">
      <c r="A241"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241" s="95"/>
      <c r="C241" s="95"/>
      <c r="D241" s="95"/>
      <c r="E241" s="95"/>
      <c r="F241" s="95"/>
      <c r="G241" s="95"/>
      <c r="H241" s="95"/>
      <c r="I241" s="95"/>
    </row>
    <row r="242" customFormat="false" ht="18" hidden="false" customHeight="true" outlineLevel="0" collapsed="false">
      <c r="A242" s="96" t="s">
        <v>358</v>
      </c>
      <c r="B242" s="96" t="s">
        <v>359</v>
      </c>
      <c r="C242" s="96" t="s">
        <v>360</v>
      </c>
      <c r="D242" s="96" t="s">
        <v>361</v>
      </c>
      <c r="E242" s="96" t="s">
        <v>362</v>
      </c>
      <c r="F242" s="96" t="s">
        <v>276</v>
      </c>
      <c r="G242" s="96" t="s">
        <v>46</v>
      </c>
      <c r="H242" s="96" t="s">
        <v>363</v>
      </c>
      <c r="I242" s="96" t="s">
        <v>178</v>
      </c>
    </row>
    <row r="243" customFormat="false" ht="18" hidden="false" customHeight="true" outlineLevel="0" collapsed="false">
      <c r="A243" s="97" t="n">
        <v>1</v>
      </c>
      <c r="B243" s="98" t="s">
        <v>364</v>
      </c>
      <c r="C243" s="99" t="n">
        <f aca="false">IF(FALSE(),"",IF(IFERROR(INDEX(Rekorde!$O$4:$O$19,MATCH(Übungen!$A$14,Rekorde!$A$4:$A$19,0)),"")="","",ROUND(IFERROR(INDEX(Rekorde!$O$4:$O$19,MATCH(Übungen!$A$14,Rekorde!$A$4:$A$19,0)),"")*0.4*2,0)/2))</f>
        <v>66</v>
      </c>
      <c r="D243" s="100"/>
      <c r="E243" s="101"/>
      <c r="F243" s="101"/>
      <c r="G243" s="101"/>
      <c r="H243" s="101"/>
      <c r="I243" s="101"/>
    </row>
    <row r="244" customFormat="false" ht="18" hidden="false" customHeight="true" outlineLevel="0" collapsed="false">
      <c r="A244" s="97" t="n">
        <v>2</v>
      </c>
      <c r="B244" s="98" t="s">
        <v>365</v>
      </c>
      <c r="C244" s="99" t="n">
        <f aca="false">IF(FALSE(),"",IF(IFERROR(INDEX(Rekorde!$O$4:$O$19,MATCH(Übungen!$A$14,Rekorde!$A$4:$A$19,0)),"")="","",ROUND(IFERROR(INDEX(Rekorde!$O$4:$O$19,MATCH(Übungen!$A$14,Rekorde!$A$4:$A$19,0)),"")*0.7*2,0)/2))</f>
        <v>115.5</v>
      </c>
      <c r="D244" s="100"/>
      <c r="E244" s="101"/>
      <c r="F244" s="101"/>
      <c r="G244" s="101"/>
      <c r="H244" s="101"/>
      <c r="I244" s="101"/>
    </row>
    <row r="245" customFormat="false" ht="18" hidden="false" customHeight="true" outlineLevel="0" collapsed="false">
      <c r="A245" s="97" t="n">
        <v>3</v>
      </c>
      <c r="B245" s="102" t="s">
        <v>366</v>
      </c>
      <c r="C245" s="103" t="n">
        <f aca="false">IF(FALSE(),"",IF(IFERROR(INDEX(Rekorde!$O$4:$O$19,MATCH(Übungen!$A$14,Rekorde!$A$4:$A$19,0)),"")="","",ROUND(IFERROR(INDEX(Rekorde!$O$4:$O$19,MATCH(Übungen!$A$14,Rekorde!$A$4:$A$19,0)),"")*1*2,0)/2))</f>
        <v>165</v>
      </c>
      <c r="D245" s="104" t="n">
        <f aca="false">IF(FALSE(),"",IF(IFERROR(INDEX(Rekorde!$P$4:$P$19,MATCH(Übungen!$A$14,Rekorde!$A$4:$A$19,0)),"")="","",MIN(Übungen!$E$14,IFERROR(INDEX(Rekorde!$P$4:$P$19,MATCH(Übungen!$A$14,Rekorde!$A$4:$A$19,0)),"")+0)))</f>
        <v>5</v>
      </c>
      <c r="E245" s="101"/>
      <c r="F245" s="101"/>
      <c r="G245" s="101"/>
      <c r="H245" s="101"/>
      <c r="I245" s="101"/>
    </row>
    <row r="246" customFormat="false" ht="18" hidden="false" customHeight="true" outlineLevel="0" collapsed="false">
      <c r="A246" s="97" t="n">
        <v>4</v>
      </c>
      <c r="B246" s="102" t="s">
        <v>367</v>
      </c>
      <c r="C246" s="99" t="n">
        <f aca="false">IF(FALSE(),"",IF(IFERROR(INDEX(Rekorde!$O$4:$O$19,MATCH(Übungen!$A$14,Rekorde!$A$4:$A$19,0)),"")="","",ROUND(IFERROR(INDEX(Rekorde!$O$4:$O$19,MATCH(Übungen!$A$14,Rekorde!$A$4:$A$19,0)),"")*0.95*2,0)/2))</f>
        <v>157</v>
      </c>
      <c r="D246" s="104" t="n">
        <f aca="false">IF(FALSE(),"",IF(IFERROR(INDEX(Rekorde!$P$4:$P$19,MATCH(Übungen!$A$14,Rekorde!$A$4:$A$19,0)),"")="","",MIN(Übungen!$E$14,IFERROR(INDEX(Rekorde!$P$4:$P$19,MATCH(Übungen!$A$14,Rekorde!$A$4:$A$19,0)),"")+1)))</f>
        <v>6</v>
      </c>
      <c r="E246" s="101"/>
      <c r="F246" s="101"/>
      <c r="G246" s="101"/>
      <c r="H246" s="101"/>
      <c r="I246" s="101"/>
    </row>
    <row r="247" customFormat="false" ht="18" hidden="false" customHeight="true" outlineLevel="0" collapsed="false">
      <c r="A247" s="97" t="n">
        <v>5</v>
      </c>
      <c r="B247" s="102" t="s">
        <v>368</v>
      </c>
      <c r="C247" s="99" t="n">
        <f aca="false">IF(FALSE(),"",IF(IFERROR(INDEX(Rekorde!$O$4:$O$19,MATCH(Übungen!$A$14,Rekorde!$A$4:$A$19,0)),"")="","",ROUND(IFERROR(INDEX(Rekorde!$O$4:$O$19,MATCH(Übungen!$A$14,Rekorde!$A$4:$A$19,0)),"")*0.9*2,0)/2))</f>
        <v>148.5</v>
      </c>
      <c r="D247" s="104" t="n">
        <f aca="false">IF(FALSE(),"",IF(IFERROR(INDEX(Rekorde!$P$4:$P$19,MATCH(Übungen!$A$14,Rekorde!$A$4:$A$19,0)),"")="","",MIN(Übungen!$E$14,IFERROR(INDEX(Rekorde!$P$4:$P$19,MATCH(Übungen!$A$14,Rekorde!$A$4:$A$19,0)),"")+2)))</f>
        <v>7</v>
      </c>
      <c r="E247" s="101"/>
      <c r="F247" s="101"/>
      <c r="G247" s="101"/>
      <c r="H247" s="101"/>
      <c r="I247" s="101"/>
    </row>
    <row r="249" customFormat="false" ht="15.75" hidden="false" customHeight="true" outlineLevel="0" collapsed="false">
      <c r="A249" s="3" t="s">
        <v>369</v>
      </c>
      <c r="B249" s="3"/>
      <c r="C249" s="3"/>
      <c r="D249" s="3"/>
      <c r="E249" s="3"/>
      <c r="F249" s="3"/>
      <c r="G249" s="3"/>
      <c r="H249" s="3"/>
      <c r="I249" s="3"/>
    </row>
    <row r="250" customFormat="false" ht="18" hidden="false" customHeight="true" outlineLevel="0" collapsed="false">
      <c r="A250" s="105"/>
      <c r="B250" s="105"/>
      <c r="C250" s="105"/>
      <c r="D250" s="105"/>
      <c r="E250" s="105"/>
      <c r="F250" s="105"/>
      <c r="G250" s="105"/>
      <c r="H250" s="105"/>
      <c r="I250" s="105"/>
    </row>
    <row r="251" customFormat="false" ht="18" hidden="false" customHeight="true" outlineLevel="0" collapsed="false">
      <c r="A251" s="105"/>
      <c r="B251" s="105"/>
      <c r="C251" s="105"/>
      <c r="D251" s="105"/>
      <c r="E251" s="105"/>
      <c r="F251" s="105"/>
      <c r="G251" s="105"/>
      <c r="H251" s="105"/>
      <c r="I251" s="105"/>
    </row>
    <row r="253" customFormat="false" ht="27.75" hidden="false" customHeight="true" outlineLevel="0" collapsed="false">
      <c r="A253" s="1" t="s">
        <v>373</v>
      </c>
      <c r="B253" s="1"/>
      <c r="C253" s="1"/>
      <c r="D253" s="1"/>
      <c r="E253" s="1"/>
      <c r="F253" s="1"/>
      <c r="G253" s="1"/>
      <c r="H253" s="1"/>
      <c r="I253" s="1"/>
    </row>
    <row r="254" customFormat="false" ht="12" hidden="false" customHeight="true" outlineLevel="0" collapsed="false">
      <c r="A254" s="90" t="s">
        <v>69</v>
      </c>
      <c r="B254" s="90"/>
      <c r="C254" s="91" t="s">
        <v>354</v>
      </c>
      <c r="D254" s="91" t="s">
        <v>355</v>
      </c>
      <c r="E254" s="90" t="s">
        <v>356</v>
      </c>
      <c r="F254" s="90"/>
      <c r="G254" s="90" t="s">
        <v>357</v>
      </c>
      <c r="H254" s="90"/>
    </row>
    <row r="255" customFormat="false" ht="18" hidden="false" customHeight="true" outlineLevel="0" collapsed="false">
      <c r="A255" s="92"/>
      <c r="B255" s="92"/>
      <c r="C255" s="92"/>
      <c r="D255" s="92"/>
      <c r="E255" s="92"/>
      <c r="F255" s="92"/>
      <c r="G255" s="92"/>
      <c r="H255" s="92"/>
    </row>
    <row r="257" customFormat="false" ht="18.75" hidden="false" customHeight="true" outlineLevel="0" collapsed="false">
      <c r="A257" s="93" t="str">
        <f aca="false">Übungen!$A$4</f>
        <v>Beinpresse eng</v>
      </c>
      <c r="B257" s="93"/>
      <c r="C257" s="93"/>
      <c r="D257" s="93"/>
      <c r="E257" s="93"/>
      <c r="F257" s="93"/>
      <c r="G257" s="93"/>
      <c r="H257" s="93"/>
      <c r="I257" s="93"/>
    </row>
    <row r="258" customFormat="false" ht="13.5" hidden="false" customHeight="true" outlineLevel="0" collapsed="false">
      <c r="A258"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258" s="94"/>
      <c r="C258" s="94"/>
      <c r="D258" s="94"/>
      <c r="E258" s="94"/>
      <c r="F258" s="94"/>
      <c r="G258" s="94"/>
      <c r="H258" s="94"/>
      <c r="I258" s="94"/>
    </row>
    <row r="259" customFormat="false" ht="13.5" hidden="false" customHeight="true" outlineLevel="0" collapsed="false">
      <c r="A259"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259" s="95"/>
      <c r="C259" s="95"/>
      <c r="D259" s="95"/>
      <c r="E259" s="95"/>
      <c r="F259" s="95"/>
      <c r="G259" s="95"/>
      <c r="H259" s="95"/>
      <c r="I259" s="95"/>
    </row>
    <row r="260" customFormat="false" ht="18" hidden="false" customHeight="true" outlineLevel="0" collapsed="false">
      <c r="A260" s="96" t="s">
        <v>358</v>
      </c>
      <c r="B260" s="96" t="s">
        <v>359</v>
      </c>
      <c r="C260" s="96" t="s">
        <v>360</v>
      </c>
      <c r="D260" s="96" t="s">
        <v>361</v>
      </c>
      <c r="E260" s="96" t="s">
        <v>362</v>
      </c>
      <c r="F260" s="96" t="s">
        <v>276</v>
      </c>
      <c r="G260" s="96" t="s">
        <v>46</v>
      </c>
      <c r="H260" s="96" t="s">
        <v>363</v>
      </c>
      <c r="I260" s="96" t="s">
        <v>178</v>
      </c>
    </row>
    <row r="261" customFormat="false" ht="18" hidden="false" customHeight="true" outlineLevel="0" collapsed="false">
      <c r="A261" s="97" t="n">
        <v>1</v>
      </c>
      <c r="B261" s="98" t="s">
        <v>364</v>
      </c>
      <c r="C261" s="99" t="n">
        <f aca="false">IF(FALSE(),"",IF(IFERROR(INDEX(Rekorde!$O$4:$O$19,MATCH(Übungen!$A$4,Rekorde!$A$4:$A$19,0)),"")="","",ROUND(IFERROR(INDEX(Rekorde!$O$4:$O$19,MATCH(Übungen!$A$4,Rekorde!$A$4:$A$19,0)),"")*0.4*2,0)/2))</f>
        <v>136</v>
      </c>
      <c r="D261" s="100"/>
      <c r="E261" s="101"/>
      <c r="F261" s="101"/>
      <c r="G261" s="101"/>
      <c r="H261" s="101"/>
      <c r="I261" s="101"/>
    </row>
    <row r="262" customFormat="false" ht="18" hidden="false" customHeight="true" outlineLevel="0" collapsed="false">
      <c r="A262" s="97" t="n">
        <v>2</v>
      </c>
      <c r="B262" s="98" t="s">
        <v>365</v>
      </c>
      <c r="C262" s="99" t="n">
        <f aca="false">IF(FALSE(),"",IF(IFERROR(INDEX(Rekorde!$O$4:$O$19,MATCH(Übungen!$A$4,Rekorde!$A$4:$A$19,0)),"")="","",ROUND(IFERROR(INDEX(Rekorde!$O$4:$O$19,MATCH(Übungen!$A$4,Rekorde!$A$4:$A$19,0)),"")*0.7*2,0)/2))</f>
        <v>238</v>
      </c>
      <c r="D262" s="100"/>
      <c r="E262" s="101"/>
      <c r="F262" s="101"/>
      <c r="G262" s="101"/>
      <c r="H262" s="101"/>
      <c r="I262" s="101"/>
    </row>
    <row r="263" customFormat="false" ht="18" hidden="false" customHeight="true" outlineLevel="0" collapsed="false">
      <c r="A263" s="97" t="n">
        <v>3</v>
      </c>
      <c r="B263" s="102" t="s">
        <v>366</v>
      </c>
      <c r="C263" s="103" t="n">
        <f aca="false">IF(FALSE(),"",IF(IFERROR(INDEX(Rekorde!$O$4:$O$19,MATCH(Übungen!$A$4,Rekorde!$A$4:$A$19,0)),"")="","",ROUND(IFERROR(INDEX(Rekorde!$O$4:$O$19,MATCH(Übungen!$A$4,Rekorde!$A$4:$A$19,0)),"")*1*2,0)/2))</f>
        <v>340</v>
      </c>
      <c r="D263" s="104" t="n">
        <f aca="false">IF(FALSE(),"",IF(IFERROR(INDEX(Rekorde!$P$4:$P$19,MATCH(Übungen!$A$4,Rekorde!$A$4:$A$19,0)),"")="","",MIN(Übungen!$E$4,IFERROR(INDEX(Rekorde!$P$4:$P$19,MATCH(Übungen!$A$4,Rekorde!$A$4:$A$19,0)),"")+0)))</f>
        <v>5</v>
      </c>
      <c r="E263" s="101"/>
      <c r="F263" s="101"/>
      <c r="G263" s="101"/>
      <c r="H263" s="101"/>
      <c r="I263" s="101"/>
    </row>
    <row r="264" customFormat="false" ht="18" hidden="false" customHeight="true" outlineLevel="0" collapsed="false">
      <c r="A264" s="97" t="n">
        <v>4</v>
      </c>
      <c r="B264" s="102" t="s">
        <v>367</v>
      </c>
      <c r="C264" s="99" t="n">
        <f aca="false">IF(FALSE(),"",IF(IFERROR(INDEX(Rekorde!$O$4:$O$19,MATCH(Übungen!$A$4,Rekorde!$A$4:$A$19,0)),"")="","",ROUND(IFERROR(INDEX(Rekorde!$O$4:$O$19,MATCH(Übungen!$A$4,Rekorde!$A$4:$A$19,0)),"")*0.95*2,0)/2))</f>
        <v>323</v>
      </c>
      <c r="D264" s="104" t="n">
        <f aca="false">IF(FALSE(),"",IF(IFERROR(INDEX(Rekorde!$P$4:$P$19,MATCH(Übungen!$A$4,Rekorde!$A$4:$A$19,0)),"")="","",MIN(Übungen!$E$4,IFERROR(INDEX(Rekorde!$P$4:$P$19,MATCH(Übungen!$A$4,Rekorde!$A$4:$A$19,0)),"")+1)))</f>
        <v>6</v>
      </c>
      <c r="E264" s="101"/>
      <c r="F264" s="101"/>
      <c r="G264" s="101"/>
      <c r="H264" s="101"/>
      <c r="I264" s="101"/>
    </row>
    <row r="265" customFormat="false" ht="18" hidden="false" customHeight="true" outlineLevel="0" collapsed="false">
      <c r="A265" s="97" t="n">
        <v>5</v>
      </c>
      <c r="B265" s="102" t="s">
        <v>368</v>
      </c>
      <c r="C265" s="99" t="n">
        <f aca="false">IF(FALSE(),"",IF(IFERROR(INDEX(Rekorde!$O$4:$O$19,MATCH(Übungen!$A$4,Rekorde!$A$4:$A$19,0)),"")="","",ROUND(IFERROR(INDEX(Rekorde!$O$4:$O$19,MATCH(Übungen!$A$4,Rekorde!$A$4:$A$19,0)),"")*0.9*2,0)/2))</f>
        <v>306</v>
      </c>
      <c r="D265" s="104" t="n">
        <f aca="false">IF(FALSE(),"",IF(IFERROR(INDEX(Rekorde!$P$4:$P$19,MATCH(Übungen!$A$4,Rekorde!$A$4:$A$19,0)),"")="","",MIN(Übungen!$E$4,IFERROR(INDEX(Rekorde!$P$4:$P$19,MATCH(Übungen!$A$4,Rekorde!$A$4:$A$19,0)),"")+2)))</f>
        <v>7</v>
      </c>
      <c r="E265" s="101"/>
      <c r="F265" s="101"/>
      <c r="G265" s="101"/>
      <c r="H265" s="101"/>
      <c r="I265" s="101"/>
    </row>
    <row r="267" customFormat="false" ht="18.75" hidden="false" customHeight="true" outlineLevel="0" collapsed="false">
      <c r="A267" s="93" t="str">
        <f aca="false">Übungen!$A$5</f>
        <v>Split Squat</v>
      </c>
      <c r="B267" s="93"/>
      <c r="C267" s="93"/>
      <c r="D267" s="93"/>
      <c r="E267" s="93"/>
      <c r="F267" s="93"/>
      <c r="G267" s="93"/>
      <c r="H267" s="93"/>
      <c r="I267" s="93"/>
    </row>
    <row r="268" customFormat="false" ht="13.5" hidden="false" customHeight="true" outlineLevel="0" collapsed="false">
      <c r="A268"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268" s="94"/>
      <c r="C268" s="94"/>
      <c r="D268" s="94"/>
      <c r="E268" s="94"/>
      <c r="F268" s="94"/>
      <c r="G268" s="94"/>
      <c r="H268" s="94"/>
      <c r="I268" s="94"/>
    </row>
    <row r="269" customFormat="false" ht="13.5" hidden="false" customHeight="true" outlineLevel="0" collapsed="false">
      <c r="A269"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269" s="95"/>
      <c r="C269" s="95"/>
      <c r="D269" s="95"/>
      <c r="E269" s="95"/>
      <c r="F269" s="95"/>
      <c r="G269" s="95"/>
      <c r="H269" s="95"/>
      <c r="I269" s="95"/>
    </row>
    <row r="270" customFormat="false" ht="18" hidden="false" customHeight="true" outlineLevel="0" collapsed="false">
      <c r="A270" s="96" t="s">
        <v>358</v>
      </c>
      <c r="B270" s="96" t="s">
        <v>359</v>
      </c>
      <c r="C270" s="96" t="s">
        <v>360</v>
      </c>
      <c r="D270" s="96" t="s">
        <v>361</v>
      </c>
      <c r="E270" s="96" t="s">
        <v>362</v>
      </c>
      <c r="F270" s="96" t="s">
        <v>276</v>
      </c>
      <c r="G270" s="96" t="s">
        <v>46</v>
      </c>
      <c r="H270" s="96" t="s">
        <v>363</v>
      </c>
      <c r="I270" s="96" t="s">
        <v>178</v>
      </c>
    </row>
    <row r="271" customFormat="false" ht="18" hidden="false" customHeight="true" outlineLevel="0" collapsed="false">
      <c r="A271" s="97" t="n">
        <v>1</v>
      </c>
      <c r="B271" s="98" t="s">
        <v>364</v>
      </c>
      <c r="C271" s="99" t="n">
        <f aca="false">IF(FALSE(),"",IF(IFERROR(INDEX(Rekorde!$O$4:$O$19,MATCH(Übungen!$A$5,Rekorde!$A$4:$A$19,0)),"")="","",ROUND(IFERROR(INDEX(Rekorde!$O$4:$O$19,MATCH(Übungen!$A$5,Rekorde!$A$4:$A$19,0)),"")*0.4*2,0)/2))</f>
        <v>46</v>
      </c>
      <c r="D271" s="100"/>
      <c r="E271" s="101"/>
      <c r="F271" s="101"/>
      <c r="G271" s="101"/>
      <c r="H271" s="101"/>
      <c r="I271" s="101"/>
    </row>
    <row r="272" customFormat="false" ht="18" hidden="false" customHeight="true" outlineLevel="0" collapsed="false">
      <c r="A272" s="97" t="n">
        <v>2</v>
      </c>
      <c r="B272" s="98" t="s">
        <v>365</v>
      </c>
      <c r="C272" s="99" t="n">
        <f aca="false">IF(FALSE(),"",IF(IFERROR(INDEX(Rekorde!$O$4:$O$19,MATCH(Übungen!$A$5,Rekorde!$A$4:$A$19,0)),"")="","",ROUND(IFERROR(INDEX(Rekorde!$O$4:$O$19,MATCH(Übungen!$A$5,Rekorde!$A$4:$A$19,0)),"")*0.7*2,0)/2))</f>
        <v>80.5</v>
      </c>
      <c r="D272" s="100"/>
      <c r="E272" s="101"/>
      <c r="F272" s="101"/>
      <c r="G272" s="101"/>
      <c r="H272" s="101"/>
      <c r="I272" s="101"/>
    </row>
    <row r="273" customFormat="false" ht="18" hidden="false" customHeight="true" outlineLevel="0" collapsed="false">
      <c r="A273" s="97" t="n">
        <v>3</v>
      </c>
      <c r="B273" s="102" t="s">
        <v>366</v>
      </c>
      <c r="C273" s="103" t="n">
        <f aca="false">IF(FALSE(),"",IF(IFERROR(INDEX(Rekorde!$O$4:$O$19,MATCH(Übungen!$A$5,Rekorde!$A$4:$A$19,0)),"")="","",ROUND(IFERROR(INDEX(Rekorde!$O$4:$O$19,MATCH(Übungen!$A$5,Rekorde!$A$4:$A$19,0)),"")*1*2,0)/2))</f>
        <v>115</v>
      </c>
      <c r="D273" s="104" t="n">
        <f aca="false">IF(FALSE(),"",IF(IFERROR(INDEX(Rekorde!$P$4:$P$19,MATCH(Übungen!$A$5,Rekorde!$A$4:$A$19,0)),"")="","",MIN(Übungen!$E$5,IFERROR(INDEX(Rekorde!$P$4:$P$19,MATCH(Übungen!$A$5,Rekorde!$A$4:$A$19,0)),"")+0)))</f>
        <v>6</v>
      </c>
      <c r="E273" s="101"/>
      <c r="F273" s="101"/>
      <c r="G273" s="101"/>
      <c r="H273" s="101"/>
      <c r="I273" s="101"/>
    </row>
    <row r="274" customFormat="false" ht="18" hidden="false" customHeight="true" outlineLevel="0" collapsed="false">
      <c r="A274" s="97" t="n">
        <v>4</v>
      </c>
      <c r="B274" s="102" t="s">
        <v>367</v>
      </c>
      <c r="C274" s="99" t="n">
        <f aca="false">IF(FALSE(),"",IF(IFERROR(INDEX(Rekorde!$O$4:$O$19,MATCH(Übungen!$A$5,Rekorde!$A$4:$A$19,0)),"")="","",ROUND(IFERROR(INDEX(Rekorde!$O$4:$O$19,MATCH(Übungen!$A$5,Rekorde!$A$4:$A$19,0)),"")*0.95*2,0)/2))</f>
        <v>109.5</v>
      </c>
      <c r="D274" s="104" t="n">
        <f aca="false">IF(FALSE(),"",IF(IFERROR(INDEX(Rekorde!$P$4:$P$19,MATCH(Übungen!$A$5,Rekorde!$A$4:$A$19,0)),"")="","",MIN(Übungen!$E$5,IFERROR(INDEX(Rekorde!$P$4:$P$19,MATCH(Übungen!$A$5,Rekorde!$A$4:$A$19,0)),"")+1)))</f>
        <v>7</v>
      </c>
      <c r="E274" s="101"/>
      <c r="F274" s="101"/>
      <c r="G274" s="101"/>
      <c r="H274" s="101"/>
      <c r="I274" s="101"/>
    </row>
    <row r="275" customFormat="false" ht="18" hidden="false" customHeight="true" outlineLevel="0" collapsed="false">
      <c r="A275" s="97" t="n">
        <v>5</v>
      </c>
      <c r="B275" s="102" t="s">
        <v>368</v>
      </c>
      <c r="C275" s="99" t="n">
        <f aca="false">IF(FALSE(),"",IF(IFERROR(INDEX(Rekorde!$O$4:$O$19,MATCH(Übungen!$A$5,Rekorde!$A$4:$A$19,0)),"")="","",ROUND(IFERROR(INDEX(Rekorde!$O$4:$O$19,MATCH(Übungen!$A$5,Rekorde!$A$4:$A$19,0)),"")*0.9*2,0)/2))</f>
        <v>103.5</v>
      </c>
      <c r="D275" s="104" t="n">
        <f aca="false">IF(FALSE(),"",IF(IFERROR(INDEX(Rekorde!$P$4:$P$19,MATCH(Übungen!$A$5,Rekorde!$A$4:$A$19,0)),"")="","",MIN(Übungen!$E$5,IFERROR(INDEX(Rekorde!$P$4:$P$19,MATCH(Übungen!$A$5,Rekorde!$A$4:$A$19,0)),"")+2)))</f>
        <v>8</v>
      </c>
      <c r="E275" s="101"/>
      <c r="F275" s="101"/>
      <c r="G275" s="101"/>
      <c r="H275" s="101"/>
      <c r="I275" s="101"/>
    </row>
    <row r="277" customFormat="false" ht="18.75" hidden="false" customHeight="true" outlineLevel="0" collapsed="false">
      <c r="A277" s="93" t="str">
        <f aca="false">Übungen!$A$6</f>
        <v>Beinstrecker</v>
      </c>
      <c r="B277" s="93"/>
      <c r="C277" s="93"/>
      <c r="D277" s="93"/>
      <c r="E277" s="93"/>
      <c r="F277" s="93"/>
      <c r="G277" s="93"/>
      <c r="H277" s="93"/>
      <c r="I277" s="93"/>
    </row>
    <row r="278" customFormat="false" ht="13.5" hidden="false" customHeight="true" outlineLevel="0" collapsed="false">
      <c r="A278"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4"/>
      <c r="C278" s="94"/>
      <c r="D278" s="94"/>
      <c r="E278" s="94"/>
      <c r="F278" s="94"/>
      <c r="G278" s="94"/>
      <c r="H278" s="94"/>
      <c r="I278" s="94"/>
    </row>
    <row r="279" customFormat="false" ht="13.5" hidden="false" customHeight="true" outlineLevel="0" collapsed="false">
      <c r="A279"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279" s="95"/>
      <c r="C279" s="95"/>
      <c r="D279" s="95"/>
      <c r="E279" s="95"/>
      <c r="F279" s="95"/>
      <c r="G279" s="95"/>
      <c r="H279" s="95"/>
      <c r="I279" s="95"/>
    </row>
    <row r="280" customFormat="false" ht="18" hidden="false" customHeight="true" outlineLevel="0" collapsed="false">
      <c r="A280" s="96" t="s">
        <v>358</v>
      </c>
      <c r="B280" s="96" t="s">
        <v>359</v>
      </c>
      <c r="C280" s="96" t="s">
        <v>360</v>
      </c>
      <c r="D280" s="96" t="s">
        <v>361</v>
      </c>
      <c r="E280" s="96" t="s">
        <v>362</v>
      </c>
      <c r="F280" s="96" t="s">
        <v>276</v>
      </c>
      <c r="G280" s="96" t="s">
        <v>46</v>
      </c>
      <c r="H280" s="96" t="s">
        <v>363</v>
      </c>
      <c r="I280" s="96" t="s">
        <v>178</v>
      </c>
    </row>
    <row r="281" customFormat="false" ht="18" hidden="false" customHeight="true" outlineLevel="0" collapsed="false">
      <c r="A281" s="97" t="n">
        <v>1</v>
      </c>
      <c r="B281" s="98" t="s">
        <v>364</v>
      </c>
      <c r="C281" s="99" t="n">
        <f aca="false">IF(FALSE(),"",IF(IFERROR(INDEX(Rekorde!$O$4:$O$19,MATCH(Übungen!$A$6,Rekorde!$A$4:$A$19,0)),"")="","",ROUND(IFERROR(INDEX(Rekorde!$O$4:$O$19,MATCH(Übungen!$A$6,Rekorde!$A$4:$A$19,0)),"")*0.4*2,0)/2))</f>
        <v>34</v>
      </c>
      <c r="D281" s="100"/>
      <c r="E281" s="101"/>
      <c r="F281" s="101"/>
      <c r="G281" s="101"/>
      <c r="H281" s="101"/>
      <c r="I281" s="101"/>
    </row>
    <row r="282" customFormat="false" ht="18" hidden="false" customHeight="true" outlineLevel="0" collapsed="false">
      <c r="A282" s="97" t="n">
        <v>2</v>
      </c>
      <c r="B282" s="98" t="s">
        <v>365</v>
      </c>
      <c r="C282" s="99" t="n">
        <f aca="false">IF(FALSE(),"",IF(IFERROR(INDEX(Rekorde!$O$4:$O$19,MATCH(Übungen!$A$6,Rekorde!$A$4:$A$19,0)),"")="","",ROUND(IFERROR(INDEX(Rekorde!$O$4:$O$19,MATCH(Übungen!$A$6,Rekorde!$A$4:$A$19,0)),"")*0.7*2,0)/2))</f>
        <v>59.5</v>
      </c>
      <c r="D282" s="100"/>
      <c r="E282" s="101"/>
      <c r="F282" s="101"/>
      <c r="G282" s="101"/>
      <c r="H282" s="101"/>
      <c r="I282" s="101"/>
    </row>
    <row r="283" customFormat="false" ht="18" hidden="false" customHeight="true" outlineLevel="0" collapsed="false">
      <c r="A283" s="97" t="n">
        <v>3</v>
      </c>
      <c r="B283" s="102" t="s">
        <v>366</v>
      </c>
      <c r="C283" s="103" t="n">
        <f aca="false">IF(FALSE(),"",IF(IFERROR(INDEX(Rekorde!$O$4:$O$19,MATCH(Übungen!$A$6,Rekorde!$A$4:$A$19,0)),"")="","",ROUND(IFERROR(INDEX(Rekorde!$O$4:$O$19,MATCH(Übungen!$A$6,Rekorde!$A$4:$A$19,0)),"")*1*2,0)/2))</f>
        <v>85</v>
      </c>
      <c r="D283" s="104" t="n">
        <f aca="false">IF(FALSE(),"",IF(IFERROR(INDEX(Rekorde!$P$4:$P$19,MATCH(Übungen!$A$6,Rekorde!$A$4:$A$19,0)),"")="","",MIN(Übungen!$E$6,IFERROR(INDEX(Rekorde!$P$4:$P$19,MATCH(Übungen!$A$6,Rekorde!$A$4:$A$19,0)),"")+0)))</f>
        <v>5</v>
      </c>
      <c r="E283" s="101"/>
      <c r="F283" s="101"/>
      <c r="G283" s="101"/>
      <c r="H283" s="101"/>
      <c r="I283" s="101"/>
    </row>
    <row r="284" customFormat="false" ht="18" hidden="false" customHeight="true" outlineLevel="0" collapsed="false">
      <c r="A284" s="97" t="n">
        <v>4</v>
      </c>
      <c r="B284" s="102" t="s">
        <v>367</v>
      </c>
      <c r="C284" s="99" t="n">
        <f aca="false">IF(FALSE(),"",IF(IFERROR(INDEX(Rekorde!$O$4:$O$19,MATCH(Übungen!$A$6,Rekorde!$A$4:$A$19,0)),"")="","",ROUND(IFERROR(INDEX(Rekorde!$O$4:$O$19,MATCH(Übungen!$A$6,Rekorde!$A$4:$A$19,0)),"")*0.95*2,0)/2))</f>
        <v>81</v>
      </c>
      <c r="D284" s="104" t="n">
        <f aca="false">IF(FALSE(),"",IF(IFERROR(INDEX(Rekorde!$P$4:$P$19,MATCH(Übungen!$A$6,Rekorde!$A$4:$A$19,0)),"")="","",MIN(Übungen!$E$6,IFERROR(INDEX(Rekorde!$P$4:$P$19,MATCH(Übungen!$A$6,Rekorde!$A$4:$A$19,0)),"")+1)))</f>
        <v>6</v>
      </c>
      <c r="E284" s="101"/>
      <c r="F284" s="101"/>
      <c r="G284" s="101"/>
      <c r="H284" s="101"/>
      <c r="I284" s="101"/>
    </row>
    <row r="285" customFormat="false" ht="18" hidden="false" customHeight="true" outlineLevel="0" collapsed="false">
      <c r="A285" s="97" t="n">
        <v>5</v>
      </c>
      <c r="B285" s="102" t="s">
        <v>368</v>
      </c>
      <c r="C285" s="99" t="n">
        <f aca="false">IF(FALSE(),"",IF(IFERROR(INDEX(Rekorde!$O$4:$O$19,MATCH(Übungen!$A$6,Rekorde!$A$4:$A$19,0)),"")="","",ROUND(IFERROR(INDEX(Rekorde!$O$4:$O$19,MATCH(Übungen!$A$6,Rekorde!$A$4:$A$19,0)),"")*0.9*2,0)/2))</f>
        <v>76.5</v>
      </c>
      <c r="D285" s="104" t="n">
        <f aca="false">IF(FALSE(),"",IF(IFERROR(INDEX(Rekorde!$P$4:$P$19,MATCH(Übungen!$A$6,Rekorde!$A$4:$A$19,0)),"")="","",MIN(Übungen!$E$6,IFERROR(INDEX(Rekorde!$P$4:$P$19,MATCH(Übungen!$A$6,Rekorde!$A$4:$A$19,0)),"")+2)))</f>
        <v>7</v>
      </c>
      <c r="E285" s="101"/>
      <c r="F285" s="101"/>
      <c r="G285" s="101"/>
      <c r="H285" s="101"/>
      <c r="I285" s="101"/>
    </row>
    <row r="287" customFormat="false" ht="18.75" hidden="false" customHeight="true" outlineLevel="0" collapsed="false">
      <c r="A287" s="93" t="str">
        <f aca="false">Übungen!$A$7</f>
        <v>Adduktion</v>
      </c>
      <c r="B287" s="93"/>
      <c r="C287" s="93"/>
      <c r="D287" s="93"/>
      <c r="E287" s="93"/>
      <c r="F287" s="93"/>
      <c r="G287" s="93"/>
      <c r="H287" s="93"/>
      <c r="I287" s="93"/>
    </row>
    <row r="288" customFormat="false" ht="13.5" hidden="false" customHeight="true" outlineLevel="0" collapsed="false">
      <c r="A288"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4"/>
      <c r="C288" s="94"/>
      <c r="D288" s="94"/>
      <c r="E288" s="94"/>
      <c r="F288" s="94"/>
      <c r="G288" s="94"/>
      <c r="H288" s="94"/>
      <c r="I288" s="94"/>
    </row>
    <row r="289" customFormat="false" ht="13.5" hidden="false" customHeight="true" outlineLevel="0" collapsed="false">
      <c r="A289"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289" s="95"/>
      <c r="C289" s="95"/>
      <c r="D289" s="95"/>
      <c r="E289" s="95"/>
      <c r="F289" s="95"/>
      <c r="G289" s="95"/>
      <c r="H289" s="95"/>
      <c r="I289" s="95"/>
    </row>
    <row r="290" customFormat="false" ht="18" hidden="false" customHeight="true" outlineLevel="0" collapsed="false">
      <c r="A290" s="96" t="s">
        <v>358</v>
      </c>
      <c r="B290" s="96" t="s">
        <v>359</v>
      </c>
      <c r="C290" s="96" t="s">
        <v>360</v>
      </c>
      <c r="D290" s="96" t="s">
        <v>361</v>
      </c>
      <c r="E290" s="96" t="s">
        <v>362</v>
      </c>
      <c r="F290" s="96" t="s">
        <v>276</v>
      </c>
      <c r="G290" s="96" t="s">
        <v>46</v>
      </c>
      <c r="H290" s="96" t="s">
        <v>363</v>
      </c>
      <c r="I290" s="96" t="s">
        <v>178</v>
      </c>
    </row>
    <row r="291" customFormat="false" ht="18" hidden="false" customHeight="true" outlineLevel="0" collapsed="false">
      <c r="A291" s="97" t="n">
        <v>1</v>
      </c>
      <c r="B291" s="98" t="s">
        <v>364</v>
      </c>
      <c r="C291" s="99" t="n">
        <f aca="false">IF(FALSE(),"",IF(IFERROR(INDEX(Rekorde!$O$4:$O$19,MATCH(Übungen!$A$7,Rekorde!$A$4:$A$19,0)),"")="","",ROUND(IFERROR(INDEX(Rekorde!$O$4:$O$19,MATCH(Übungen!$A$7,Rekorde!$A$4:$A$19,0)),"")*0.4*2,0)/2))</f>
        <v>74</v>
      </c>
      <c r="D291" s="100"/>
      <c r="E291" s="101"/>
      <c r="F291" s="101"/>
      <c r="G291" s="101"/>
      <c r="H291" s="101"/>
      <c r="I291" s="101"/>
    </row>
    <row r="292" customFormat="false" ht="18" hidden="false" customHeight="true" outlineLevel="0" collapsed="false">
      <c r="A292" s="97" t="n">
        <v>2</v>
      </c>
      <c r="B292" s="98" t="s">
        <v>365</v>
      </c>
      <c r="C292" s="99" t="n">
        <f aca="false">IF(FALSE(),"",IF(IFERROR(INDEX(Rekorde!$O$4:$O$19,MATCH(Übungen!$A$7,Rekorde!$A$4:$A$19,0)),"")="","",ROUND(IFERROR(INDEX(Rekorde!$O$4:$O$19,MATCH(Übungen!$A$7,Rekorde!$A$4:$A$19,0)),"")*0.7*2,0)/2))</f>
        <v>129.5</v>
      </c>
      <c r="D292" s="100"/>
      <c r="E292" s="101"/>
      <c r="F292" s="101"/>
      <c r="G292" s="101"/>
      <c r="H292" s="101"/>
      <c r="I292" s="101"/>
    </row>
    <row r="293" customFormat="false" ht="18" hidden="false" customHeight="true" outlineLevel="0" collapsed="false">
      <c r="A293" s="97" t="n">
        <v>3</v>
      </c>
      <c r="B293" s="102" t="s">
        <v>366</v>
      </c>
      <c r="C293" s="103" t="n">
        <f aca="false">IF(FALSE(),"",IF(IFERROR(INDEX(Rekorde!$O$4:$O$19,MATCH(Übungen!$A$7,Rekorde!$A$4:$A$19,0)),"")="","",ROUND(IFERROR(INDEX(Rekorde!$O$4:$O$19,MATCH(Übungen!$A$7,Rekorde!$A$4:$A$19,0)),"")*1*2,0)/2))</f>
        <v>185</v>
      </c>
      <c r="D293" s="104" t="n">
        <f aca="false">IF(FALSE(),"",IF(IFERROR(INDEX(Rekorde!$P$4:$P$19,MATCH(Übungen!$A$7,Rekorde!$A$4:$A$19,0)),"")="","",MIN(Übungen!$E$7,IFERROR(INDEX(Rekorde!$P$4:$P$19,MATCH(Übungen!$A$7,Rekorde!$A$4:$A$19,0)),"")+0)))</f>
        <v>6</v>
      </c>
      <c r="E293" s="101"/>
      <c r="F293" s="101"/>
      <c r="G293" s="101"/>
      <c r="H293" s="101"/>
      <c r="I293" s="101"/>
    </row>
    <row r="294" customFormat="false" ht="18" hidden="false" customHeight="true" outlineLevel="0" collapsed="false">
      <c r="A294" s="97" t="n">
        <v>4</v>
      </c>
      <c r="B294" s="102" t="s">
        <v>367</v>
      </c>
      <c r="C294" s="99" t="n">
        <f aca="false">IF(FALSE(),"",IF(IFERROR(INDEX(Rekorde!$O$4:$O$19,MATCH(Übungen!$A$7,Rekorde!$A$4:$A$19,0)),"")="","",ROUND(IFERROR(INDEX(Rekorde!$O$4:$O$19,MATCH(Übungen!$A$7,Rekorde!$A$4:$A$19,0)),"")*0.95*2,0)/2))</f>
        <v>176</v>
      </c>
      <c r="D294" s="104" t="n">
        <f aca="false">IF(FALSE(),"",IF(IFERROR(INDEX(Rekorde!$P$4:$P$19,MATCH(Übungen!$A$7,Rekorde!$A$4:$A$19,0)),"")="","",MIN(Übungen!$E$7,IFERROR(INDEX(Rekorde!$P$4:$P$19,MATCH(Übungen!$A$7,Rekorde!$A$4:$A$19,0)),"")+1)))</f>
        <v>7</v>
      </c>
      <c r="E294" s="101"/>
      <c r="F294" s="101"/>
      <c r="G294" s="101"/>
      <c r="H294" s="101"/>
      <c r="I294" s="101"/>
    </row>
    <row r="295" customFormat="false" ht="18" hidden="false" customHeight="true" outlineLevel="0" collapsed="false">
      <c r="A295" s="97" t="n">
        <v>5</v>
      </c>
      <c r="B295" s="102" t="s">
        <v>368</v>
      </c>
      <c r="C295" s="99" t="n">
        <f aca="false">IF(FALSE(),"",IF(IFERROR(INDEX(Rekorde!$O$4:$O$19,MATCH(Übungen!$A$7,Rekorde!$A$4:$A$19,0)),"")="","",ROUND(IFERROR(INDEX(Rekorde!$O$4:$O$19,MATCH(Übungen!$A$7,Rekorde!$A$4:$A$19,0)),"")*0.9*2,0)/2))</f>
        <v>166.5</v>
      </c>
      <c r="D295" s="104" t="n">
        <f aca="false">IF(FALSE(),"",IF(IFERROR(INDEX(Rekorde!$P$4:$P$19,MATCH(Übungen!$A$7,Rekorde!$A$4:$A$19,0)),"")="","",MIN(Übungen!$E$7,IFERROR(INDEX(Rekorde!$P$4:$P$19,MATCH(Übungen!$A$7,Rekorde!$A$4:$A$19,0)),"")+2)))</f>
        <v>8</v>
      </c>
      <c r="E295" s="101"/>
      <c r="F295" s="101"/>
      <c r="G295" s="101"/>
      <c r="H295" s="101"/>
      <c r="I295" s="101"/>
    </row>
    <row r="297" customFormat="false" ht="15.75" hidden="false" customHeight="true" outlineLevel="0" collapsed="false">
      <c r="A297" s="3" t="s">
        <v>369</v>
      </c>
      <c r="B297" s="3"/>
      <c r="C297" s="3"/>
      <c r="D297" s="3"/>
      <c r="E297" s="3"/>
      <c r="F297" s="3"/>
      <c r="G297" s="3"/>
      <c r="H297" s="3"/>
      <c r="I297" s="3"/>
    </row>
    <row r="298" customFormat="false" ht="18" hidden="false" customHeight="true" outlineLevel="0" collapsed="false">
      <c r="A298" s="105"/>
      <c r="B298" s="105"/>
      <c r="C298" s="105"/>
      <c r="D298" s="105"/>
      <c r="E298" s="105"/>
      <c r="F298" s="105"/>
      <c r="G298" s="105"/>
      <c r="H298" s="105"/>
      <c r="I298" s="105"/>
    </row>
    <row r="299" customFormat="false" ht="18" hidden="false" customHeight="true" outlineLevel="0" collapsed="false">
      <c r="A299" s="105"/>
      <c r="B299" s="105"/>
      <c r="C299" s="105"/>
      <c r="D299" s="105"/>
      <c r="E299" s="105"/>
      <c r="F299" s="105"/>
      <c r="G299" s="105"/>
      <c r="H299" s="105"/>
      <c r="I299" s="105"/>
    </row>
    <row r="301" customFormat="false" ht="27.75" hidden="false" customHeight="true" outlineLevel="0" collapsed="false">
      <c r="A301" s="1" t="s">
        <v>374</v>
      </c>
      <c r="B301" s="1"/>
      <c r="C301" s="1"/>
      <c r="D301" s="1"/>
      <c r="E301" s="1"/>
      <c r="F301" s="1"/>
      <c r="G301" s="1"/>
      <c r="H301" s="1"/>
      <c r="I301" s="1"/>
    </row>
    <row r="302" customFormat="false" ht="12" hidden="false" customHeight="true" outlineLevel="0" collapsed="false">
      <c r="A302" s="90" t="s">
        <v>69</v>
      </c>
      <c r="B302" s="90"/>
      <c r="C302" s="91" t="s">
        <v>354</v>
      </c>
      <c r="D302" s="91" t="s">
        <v>355</v>
      </c>
      <c r="E302" s="90" t="s">
        <v>356</v>
      </c>
      <c r="F302" s="90"/>
      <c r="G302" s="90" t="s">
        <v>357</v>
      </c>
      <c r="H302" s="90"/>
    </row>
    <row r="303" customFormat="false" ht="18" hidden="false" customHeight="true" outlineLevel="0" collapsed="false">
      <c r="A303" s="92"/>
      <c r="B303" s="92"/>
      <c r="C303" s="92"/>
      <c r="D303" s="92"/>
      <c r="E303" s="92"/>
      <c r="F303" s="92"/>
      <c r="G303" s="92"/>
      <c r="H303" s="92"/>
    </row>
    <row r="305" customFormat="false" ht="18.75" hidden="false" customHeight="true" outlineLevel="0" collapsed="false">
      <c r="A305" s="93" t="str">
        <f aca="false">Übungen!$A$8</f>
        <v>Rumänisches Kreuzheben</v>
      </c>
      <c r="B305" s="93"/>
      <c r="C305" s="93"/>
      <c r="D305" s="93"/>
      <c r="E305" s="93"/>
      <c r="F305" s="93"/>
      <c r="G305" s="93"/>
      <c r="H305" s="93"/>
      <c r="I305" s="93"/>
    </row>
    <row r="306" customFormat="false" ht="13.5" hidden="false" customHeight="true" outlineLevel="0" collapsed="false">
      <c r="A306"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306" s="94"/>
      <c r="C306" s="94"/>
      <c r="D306" s="94"/>
      <c r="E306" s="94"/>
      <c r="F306" s="94"/>
      <c r="G306" s="94"/>
      <c r="H306" s="94"/>
      <c r="I306" s="94"/>
    </row>
    <row r="307" customFormat="false" ht="13.5" hidden="false" customHeight="true" outlineLevel="0" collapsed="false">
      <c r="A307"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307" s="95"/>
      <c r="C307" s="95"/>
      <c r="D307" s="95"/>
      <c r="E307" s="95"/>
      <c r="F307" s="95"/>
      <c r="G307" s="95"/>
      <c r="H307" s="95"/>
      <c r="I307" s="95"/>
    </row>
    <row r="308" customFormat="false" ht="18" hidden="false" customHeight="true" outlineLevel="0" collapsed="false">
      <c r="A308" s="96" t="s">
        <v>358</v>
      </c>
      <c r="B308" s="96" t="s">
        <v>359</v>
      </c>
      <c r="C308" s="96" t="s">
        <v>360</v>
      </c>
      <c r="D308" s="96" t="s">
        <v>361</v>
      </c>
      <c r="E308" s="96" t="s">
        <v>362</v>
      </c>
      <c r="F308" s="96" t="s">
        <v>276</v>
      </c>
      <c r="G308" s="96" t="s">
        <v>46</v>
      </c>
      <c r="H308" s="96" t="s">
        <v>363</v>
      </c>
      <c r="I308" s="96" t="s">
        <v>178</v>
      </c>
    </row>
    <row r="309" customFormat="false" ht="18" hidden="false" customHeight="true" outlineLevel="0" collapsed="false">
      <c r="A309" s="97" t="n">
        <v>1</v>
      </c>
      <c r="B309" s="98" t="s">
        <v>364</v>
      </c>
      <c r="C309" s="99" t="n">
        <f aca="false">IF(FALSE(),"",IF(IFERROR(INDEX(Rekorde!$O$4:$O$19,MATCH(Übungen!$A$8,Rekorde!$A$4:$A$19,0)),"")="","",ROUND(IFERROR(INDEX(Rekorde!$O$4:$O$19,MATCH(Übungen!$A$8,Rekorde!$A$4:$A$19,0)),"")*0.4*2,0)/2))</f>
        <v>54</v>
      </c>
      <c r="D309" s="100"/>
      <c r="E309" s="101"/>
      <c r="F309" s="101"/>
      <c r="G309" s="101"/>
      <c r="H309" s="101"/>
      <c r="I309" s="101"/>
    </row>
    <row r="310" customFormat="false" ht="18" hidden="false" customHeight="true" outlineLevel="0" collapsed="false">
      <c r="A310" s="97" t="n">
        <v>2</v>
      </c>
      <c r="B310" s="98" t="s">
        <v>365</v>
      </c>
      <c r="C310" s="99" t="n">
        <f aca="false">IF(FALSE(),"",IF(IFERROR(INDEX(Rekorde!$O$4:$O$19,MATCH(Übungen!$A$8,Rekorde!$A$4:$A$19,0)),"")="","",ROUND(IFERROR(INDEX(Rekorde!$O$4:$O$19,MATCH(Übungen!$A$8,Rekorde!$A$4:$A$19,0)),"")*0.7*2,0)/2))</f>
        <v>94.5</v>
      </c>
      <c r="D310" s="100"/>
      <c r="E310" s="101"/>
      <c r="F310" s="101"/>
      <c r="G310" s="101"/>
      <c r="H310" s="101"/>
      <c r="I310" s="101"/>
    </row>
    <row r="311" customFormat="false" ht="18" hidden="false" customHeight="true" outlineLevel="0" collapsed="false">
      <c r="A311" s="97" t="n">
        <v>3</v>
      </c>
      <c r="B311" s="102" t="s">
        <v>366</v>
      </c>
      <c r="C311" s="103" t="n">
        <f aca="false">IF(FALSE(),"",IF(IFERROR(INDEX(Rekorde!$O$4:$O$19,MATCH(Übungen!$A$8,Rekorde!$A$4:$A$19,0)),"")="","",ROUND(IFERROR(INDEX(Rekorde!$O$4:$O$19,MATCH(Übungen!$A$8,Rekorde!$A$4:$A$19,0)),"")*1*2,0)/2))</f>
        <v>135</v>
      </c>
      <c r="D311" s="104" t="n">
        <f aca="false">IF(FALSE(),"",IF(IFERROR(INDEX(Rekorde!$P$4:$P$19,MATCH(Übungen!$A$8,Rekorde!$A$4:$A$19,0)),"")="","",MIN(Übungen!$E$8,IFERROR(INDEX(Rekorde!$P$4:$P$19,MATCH(Übungen!$A$8,Rekorde!$A$4:$A$19,0)),"")+0)))</f>
        <v>7</v>
      </c>
      <c r="E311" s="101"/>
      <c r="F311" s="101"/>
      <c r="G311" s="101"/>
      <c r="H311" s="101"/>
      <c r="I311" s="101"/>
    </row>
    <row r="312" customFormat="false" ht="18" hidden="false" customHeight="true" outlineLevel="0" collapsed="false">
      <c r="A312" s="97" t="n">
        <v>4</v>
      </c>
      <c r="B312" s="102" t="s">
        <v>367</v>
      </c>
      <c r="C312" s="99" t="n">
        <f aca="false">IF(FALSE(),"",IF(IFERROR(INDEX(Rekorde!$O$4:$O$19,MATCH(Übungen!$A$8,Rekorde!$A$4:$A$19,0)),"")="","",ROUND(IFERROR(INDEX(Rekorde!$O$4:$O$19,MATCH(Übungen!$A$8,Rekorde!$A$4:$A$19,0)),"")*0.95*2,0)/2))</f>
        <v>128.5</v>
      </c>
      <c r="D312" s="104" t="n">
        <f aca="false">IF(FALSE(),"",IF(IFERROR(INDEX(Rekorde!$P$4:$P$19,MATCH(Übungen!$A$8,Rekorde!$A$4:$A$19,0)),"")="","",MIN(Übungen!$E$8,IFERROR(INDEX(Rekorde!$P$4:$P$19,MATCH(Übungen!$A$8,Rekorde!$A$4:$A$19,0)),"")+1)))</f>
        <v>8</v>
      </c>
      <c r="E312" s="101"/>
      <c r="F312" s="101"/>
      <c r="G312" s="101"/>
      <c r="H312" s="101"/>
      <c r="I312" s="101"/>
    </row>
    <row r="313" customFormat="false" ht="18" hidden="false" customHeight="true" outlineLevel="0" collapsed="false">
      <c r="A313" s="97" t="n">
        <v>5</v>
      </c>
      <c r="B313" s="102" t="s">
        <v>368</v>
      </c>
      <c r="C313" s="99" t="n">
        <f aca="false">IF(FALSE(),"",IF(IFERROR(INDEX(Rekorde!$O$4:$O$19,MATCH(Übungen!$A$8,Rekorde!$A$4:$A$19,0)),"")="","",ROUND(IFERROR(INDEX(Rekorde!$O$4:$O$19,MATCH(Übungen!$A$8,Rekorde!$A$4:$A$19,0)),"")*0.9*2,0)/2))</f>
        <v>121.5</v>
      </c>
      <c r="D313" s="104" t="n">
        <f aca="false">IF(FALSE(),"",IF(IFERROR(INDEX(Rekorde!$P$4:$P$19,MATCH(Übungen!$A$8,Rekorde!$A$4:$A$19,0)),"")="","",MIN(Übungen!$E$8,IFERROR(INDEX(Rekorde!$P$4:$P$19,MATCH(Übungen!$A$8,Rekorde!$A$4:$A$19,0)),"")+2)))</f>
        <v>8</v>
      </c>
      <c r="E313" s="101"/>
      <c r="F313" s="101"/>
      <c r="G313" s="101"/>
      <c r="H313" s="101"/>
      <c r="I313" s="101"/>
    </row>
    <row r="315" customFormat="false" ht="18.75" hidden="false" customHeight="true" outlineLevel="0" collapsed="false">
      <c r="A315" s="93" t="str">
        <f aca="false">Übungen!$A$9</f>
        <v>Beinpresse breit</v>
      </c>
      <c r="B315" s="93"/>
      <c r="C315" s="93"/>
      <c r="D315" s="93"/>
      <c r="E315" s="93"/>
      <c r="F315" s="93"/>
      <c r="G315" s="93"/>
      <c r="H315" s="93"/>
      <c r="I315" s="93"/>
    </row>
    <row r="316" customFormat="false" ht="13.5" hidden="false" customHeight="true" outlineLevel="0" collapsed="false">
      <c r="A316"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316" s="94"/>
      <c r="C316" s="94"/>
      <c r="D316" s="94"/>
      <c r="E316" s="94"/>
      <c r="F316" s="94"/>
      <c r="G316" s="94"/>
      <c r="H316" s="94"/>
      <c r="I316" s="94"/>
    </row>
    <row r="317" customFormat="false" ht="13.5" hidden="false" customHeight="true" outlineLevel="0" collapsed="false">
      <c r="A317"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317" s="95"/>
      <c r="C317" s="95"/>
      <c r="D317" s="95"/>
      <c r="E317" s="95"/>
      <c r="F317" s="95"/>
      <c r="G317" s="95"/>
      <c r="H317" s="95"/>
      <c r="I317" s="95"/>
    </row>
    <row r="318" customFormat="false" ht="18" hidden="false" customHeight="true" outlineLevel="0" collapsed="false">
      <c r="A318" s="96" t="s">
        <v>358</v>
      </c>
      <c r="B318" s="96" t="s">
        <v>359</v>
      </c>
      <c r="C318" s="96" t="s">
        <v>360</v>
      </c>
      <c r="D318" s="96" t="s">
        <v>361</v>
      </c>
      <c r="E318" s="96" t="s">
        <v>362</v>
      </c>
      <c r="F318" s="96" t="s">
        <v>276</v>
      </c>
      <c r="G318" s="96" t="s">
        <v>46</v>
      </c>
      <c r="H318" s="96" t="s">
        <v>363</v>
      </c>
      <c r="I318" s="96" t="s">
        <v>178</v>
      </c>
    </row>
    <row r="319" customFormat="false" ht="18" hidden="false" customHeight="true" outlineLevel="0" collapsed="false">
      <c r="A319" s="97" t="n">
        <v>1</v>
      </c>
      <c r="B319" s="98" t="s">
        <v>364</v>
      </c>
      <c r="C319" s="99" t="n">
        <f aca="false">IF(FALSE(),"",IF(IFERROR(INDEX(Rekorde!$O$4:$O$19,MATCH(Übungen!$A$9,Rekorde!$A$4:$A$19,0)),"")="","",ROUND(IFERROR(INDEX(Rekorde!$O$4:$O$19,MATCH(Übungen!$A$9,Rekorde!$A$4:$A$19,0)),"")*0.4*2,0)/2))</f>
        <v>104</v>
      </c>
      <c r="D319" s="100"/>
      <c r="E319" s="101"/>
      <c r="F319" s="101"/>
      <c r="G319" s="101"/>
      <c r="H319" s="101"/>
      <c r="I319" s="101"/>
    </row>
    <row r="320" customFormat="false" ht="18" hidden="false" customHeight="true" outlineLevel="0" collapsed="false">
      <c r="A320" s="97" t="n">
        <v>2</v>
      </c>
      <c r="B320" s="98" t="s">
        <v>365</v>
      </c>
      <c r="C320" s="99" t="n">
        <f aca="false">IF(FALSE(),"",IF(IFERROR(INDEX(Rekorde!$O$4:$O$19,MATCH(Übungen!$A$9,Rekorde!$A$4:$A$19,0)),"")="","",ROUND(IFERROR(INDEX(Rekorde!$O$4:$O$19,MATCH(Übungen!$A$9,Rekorde!$A$4:$A$19,0)),"")*0.7*2,0)/2))</f>
        <v>182</v>
      </c>
      <c r="D320" s="100"/>
      <c r="E320" s="101"/>
      <c r="F320" s="101"/>
      <c r="G320" s="101"/>
      <c r="H320" s="101"/>
      <c r="I320" s="101"/>
    </row>
    <row r="321" customFormat="false" ht="18" hidden="false" customHeight="true" outlineLevel="0" collapsed="false">
      <c r="A321" s="97" t="n">
        <v>3</v>
      </c>
      <c r="B321" s="102" t="s">
        <v>366</v>
      </c>
      <c r="C321" s="103" t="n">
        <f aca="false">IF(FALSE(),"",IF(IFERROR(INDEX(Rekorde!$O$4:$O$19,MATCH(Übungen!$A$9,Rekorde!$A$4:$A$19,0)),"")="","",ROUND(IFERROR(INDEX(Rekorde!$O$4:$O$19,MATCH(Übungen!$A$9,Rekorde!$A$4:$A$19,0)),"")*1*2,0)/2))</f>
        <v>260</v>
      </c>
      <c r="D321" s="104" t="n">
        <f aca="false">IF(FALSE(),"",IF(IFERROR(INDEX(Rekorde!$P$4:$P$19,MATCH(Übungen!$A$9,Rekorde!$A$4:$A$19,0)),"")="","",MIN(Übungen!$E$9,IFERROR(INDEX(Rekorde!$P$4:$P$19,MATCH(Übungen!$A$9,Rekorde!$A$4:$A$19,0)),"")+0)))</f>
        <v>5</v>
      </c>
      <c r="E321" s="101"/>
      <c r="F321" s="101"/>
      <c r="G321" s="101"/>
      <c r="H321" s="101"/>
      <c r="I321" s="101"/>
    </row>
    <row r="322" customFormat="false" ht="18" hidden="false" customHeight="true" outlineLevel="0" collapsed="false">
      <c r="A322" s="97" t="n">
        <v>4</v>
      </c>
      <c r="B322" s="102" t="s">
        <v>367</v>
      </c>
      <c r="C322" s="99" t="n">
        <f aca="false">IF(FALSE(),"",IF(IFERROR(INDEX(Rekorde!$O$4:$O$19,MATCH(Übungen!$A$9,Rekorde!$A$4:$A$19,0)),"")="","",ROUND(IFERROR(INDEX(Rekorde!$O$4:$O$19,MATCH(Übungen!$A$9,Rekorde!$A$4:$A$19,0)),"")*0.95*2,0)/2))</f>
        <v>247</v>
      </c>
      <c r="D322" s="104" t="n">
        <f aca="false">IF(FALSE(),"",IF(IFERROR(INDEX(Rekorde!$P$4:$P$19,MATCH(Übungen!$A$9,Rekorde!$A$4:$A$19,0)),"")="","",MIN(Übungen!$E$9,IFERROR(INDEX(Rekorde!$P$4:$P$19,MATCH(Übungen!$A$9,Rekorde!$A$4:$A$19,0)),"")+1)))</f>
        <v>6</v>
      </c>
      <c r="E322" s="101"/>
      <c r="F322" s="101"/>
      <c r="G322" s="101"/>
      <c r="H322" s="101"/>
      <c r="I322" s="101"/>
    </row>
    <row r="323" customFormat="false" ht="18" hidden="false" customHeight="true" outlineLevel="0" collapsed="false">
      <c r="A323" s="97" t="n">
        <v>5</v>
      </c>
      <c r="B323" s="102" t="s">
        <v>368</v>
      </c>
      <c r="C323" s="99" t="n">
        <f aca="false">IF(FALSE(),"",IF(IFERROR(INDEX(Rekorde!$O$4:$O$19,MATCH(Übungen!$A$9,Rekorde!$A$4:$A$19,0)),"")="","",ROUND(IFERROR(INDEX(Rekorde!$O$4:$O$19,MATCH(Übungen!$A$9,Rekorde!$A$4:$A$19,0)),"")*0.9*2,0)/2))</f>
        <v>234</v>
      </c>
      <c r="D323" s="104" t="n">
        <f aca="false">IF(FALSE(),"",IF(IFERROR(INDEX(Rekorde!$P$4:$P$19,MATCH(Übungen!$A$9,Rekorde!$A$4:$A$19,0)),"")="","",MIN(Übungen!$E$9,IFERROR(INDEX(Rekorde!$P$4:$P$19,MATCH(Übungen!$A$9,Rekorde!$A$4:$A$19,0)),"")+2)))</f>
        <v>7</v>
      </c>
      <c r="E323" s="101"/>
      <c r="F323" s="101"/>
      <c r="G323" s="101"/>
      <c r="H323" s="101"/>
      <c r="I323" s="101"/>
    </row>
    <row r="325" customFormat="false" ht="18.75" hidden="false" customHeight="true" outlineLevel="0" collapsed="false">
      <c r="A325" s="93" t="str">
        <f aca="false">Übungen!$A$10</f>
        <v>Hip Thrust</v>
      </c>
      <c r="B325" s="93"/>
      <c r="C325" s="93"/>
      <c r="D325" s="93"/>
      <c r="E325" s="93"/>
      <c r="F325" s="93"/>
      <c r="G325" s="93"/>
      <c r="H325" s="93"/>
      <c r="I325" s="93"/>
    </row>
    <row r="326" customFormat="false" ht="13.5" hidden="false" customHeight="true" outlineLevel="0" collapsed="false">
      <c r="A326"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326" s="94"/>
      <c r="C326" s="94"/>
      <c r="D326" s="94"/>
      <c r="E326" s="94"/>
      <c r="F326" s="94"/>
      <c r="G326" s="94"/>
      <c r="H326" s="94"/>
      <c r="I326" s="94"/>
    </row>
    <row r="327" customFormat="false" ht="13.5" hidden="false" customHeight="true" outlineLevel="0" collapsed="false">
      <c r="A327"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327" s="95"/>
      <c r="C327" s="95"/>
      <c r="D327" s="95"/>
      <c r="E327" s="95"/>
      <c r="F327" s="95"/>
      <c r="G327" s="95"/>
      <c r="H327" s="95"/>
      <c r="I327" s="95"/>
    </row>
    <row r="328" customFormat="false" ht="18" hidden="false" customHeight="true" outlineLevel="0" collapsed="false">
      <c r="A328" s="96" t="s">
        <v>358</v>
      </c>
      <c r="B328" s="96" t="s">
        <v>359</v>
      </c>
      <c r="C328" s="96" t="s">
        <v>360</v>
      </c>
      <c r="D328" s="96" t="s">
        <v>361</v>
      </c>
      <c r="E328" s="96" t="s">
        <v>362</v>
      </c>
      <c r="F328" s="96" t="s">
        <v>276</v>
      </c>
      <c r="G328" s="96" t="s">
        <v>46</v>
      </c>
      <c r="H328" s="96" t="s">
        <v>363</v>
      </c>
      <c r="I328" s="96" t="s">
        <v>178</v>
      </c>
    </row>
    <row r="329" customFormat="false" ht="18" hidden="false" customHeight="true" outlineLevel="0" collapsed="false">
      <c r="A329" s="97" t="n">
        <v>1</v>
      </c>
      <c r="B329" s="98" t="s">
        <v>364</v>
      </c>
      <c r="C329" s="99" t="n">
        <f aca="false">IF(FALSE(),"",IF(IFERROR(INDEX(Rekorde!$O$4:$O$19,MATCH(Übungen!$A$10,Rekorde!$A$4:$A$19,0)),"")="","",ROUND(IFERROR(INDEX(Rekorde!$O$4:$O$19,MATCH(Übungen!$A$10,Rekorde!$A$4:$A$19,0)),"")*0.4*2,0)/2))</f>
        <v>118</v>
      </c>
      <c r="D329" s="100"/>
      <c r="E329" s="101"/>
      <c r="F329" s="101"/>
      <c r="G329" s="101"/>
      <c r="H329" s="101"/>
      <c r="I329" s="101"/>
    </row>
    <row r="330" customFormat="false" ht="18" hidden="false" customHeight="true" outlineLevel="0" collapsed="false">
      <c r="A330" s="97" t="n">
        <v>2</v>
      </c>
      <c r="B330" s="98" t="s">
        <v>365</v>
      </c>
      <c r="C330" s="99" t="n">
        <f aca="false">IF(FALSE(),"",IF(IFERROR(INDEX(Rekorde!$O$4:$O$19,MATCH(Übungen!$A$10,Rekorde!$A$4:$A$19,0)),"")="","",ROUND(IFERROR(INDEX(Rekorde!$O$4:$O$19,MATCH(Übungen!$A$10,Rekorde!$A$4:$A$19,0)),"")*0.7*2,0)/2))</f>
        <v>206.5</v>
      </c>
      <c r="D330" s="100"/>
      <c r="E330" s="101"/>
      <c r="F330" s="101"/>
      <c r="G330" s="101"/>
      <c r="H330" s="101"/>
      <c r="I330" s="101"/>
    </row>
    <row r="331" customFormat="false" ht="18" hidden="false" customHeight="true" outlineLevel="0" collapsed="false">
      <c r="A331" s="97" t="n">
        <v>3</v>
      </c>
      <c r="B331" s="102" t="s">
        <v>366</v>
      </c>
      <c r="C331" s="103" t="n">
        <f aca="false">IF(FALSE(),"",IF(IFERROR(INDEX(Rekorde!$O$4:$O$19,MATCH(Übungen!$A$10,Rekorde!$A$4:$A$19,0)),"")="","",ROUND(IFERROR(INDEX(Rekorde!$O$4:$O$19,MATCH(Übungen!$A$10,Rekorde!$A$4:$A$19,0)),"")*1*2,0)/2))</f>
        <v>295</v>
      </c>
      <c r="D331" s="104" t="n">
        <f aca="false">IF(FALSE(),"",IF(IFERROR(INDEX(Rekorde!$P$4:$P$19,MATCH(Übungen!$A$10,Rekorde!$A$4:$A$19,0)),"")="","",MIN(Übungen!$E$10,IFERROR(INDEX(Rekorde!$P$4:$P$19,MATCH(Übungen!$A$10,Rekorde!$A$4:$A$19,0)),"")+0)))</f>
        <v>5</v>
      </c>
      <c r="E331" s="101"/>
      <c r="F331" s="101"/>
      <c r="G331" s="101"/>
      <c r="H331" s="101"/>
      <c r="I331" s="101"/>
    </row>
    <row r="332" customFormat="false" ht="18" hidden="false" customHeight="true" outlineLevel="0" collapsed="false">
      <c r="A332" s="97" t="n">
        <v>4</v>
      </c>
      <c r="B332" s="102" t="s">
        <v>367</v>
      </c>
      <c r="C332" s="99" t="n">
        <f aca="false">IF(FALSE(),"",IF(IFERROR(INDEX(Rekorde!$O$4:$O$19,MATCH(Übungen!$A$10,Rekorde!$A$4:$A$19,0)),"")="","",ROUND(IFERROR(INDEX(Rekorde!$O$4:$O$19,MATCH(Übungen!$A$10,Rekorde!$A$4:$A$19,0)),"")*0.95*2,0)/2))</f>
        <v>280.5</v>
      </c>
      <c r="D332" s="104" t="n">
        <f aca="false">IF(FALSE(),"",IF(IFERROR(INDEX(Rekorde!$P$4:$P$19,MATCH(Übungen!$A$10,Rekorde!$A$4:$A$19,0)),"")="","",MIN(Übungen!$E$10,IFERROR(INDEX(Rekorde!$P$4:$P$19,MATCH(Übungen!$A$10,Rekorde!$A$4:$A$19,0)),"")+1)))</f>
        <v>6</v>
      </c>
      <c r="E332" s="101"/>
      <c r="F332" s="101"/>
      <c r="G332" s="101"/>
      <c r="H332" s="101"/>
      <c r="I332" s="101"/>
    </row>
    <row r="333" customFormat="false" ht="18" hidden="false" customHeight="true" outlineLevel="0" collapsed="false">
      <c r="A333" s="97" t="n">
        <v>5</v>
      </c>
      <c r="B333" s="102" t="s">
        <v>368</v>
      </c>
      <c r="C333" s="99" t="n">
        <f aca="false">IF(FALSE(),"",IF(IFERROR(INDEX(Rekorde!$O$4:$O$19,MATCH(Übungen!$A$10,Rekorde!$A$4:$A$19,0)),"")="","",ROUND(IFERROR(INDEX(Rekorde!$O$4:$O$19,MATCH(Übungen!$A$10,Rekorde!$A$4:$A$19,0)),"")*0.9*2,0)/2))</f>
        <v>265.5</v>
      </c>
      <c r="D333" s="104" t="n">
        <f aca="false">IF(FALSE(),"",IF(IFERROR(INDEX(Rekorde!$P$4:$P$19,MATCH(Übungen!$A$10,Rekorde!$A$4:$A$19,0)),"")="","",MIN(Übungen!$E$10,IFERROR(INDEX(Rekorde!$P$4:$P$19,MATCH(Übungen!$A$10,Rekorde!$A$4:$A$19,0)),"")+2)))</f>
        <v>7</v>
      </c>
      <c r="E333" s="101"/>
      <c r="F333" s="101"/>
      <c r="G333" s="101"/>
      <c r="H333" s="101"/>
      <c r="I333" s="101"/>
    </row>
    <row r="335" customFormat="false" ht="18.75" hidden="false" customHeight="true" outlineLevel="0" collapsed="false">
      <c r="A335" s="93" t="str">
        <f aca="false">Übungen!$A$11</f>
        <v>Hip &amp; Glute</v>
      </c>
      <c r="B335" s="93"/>
      <c r="C335" s="93"/>
      <c r="D335" s="93"/>
      <c r="E335" s="93"/>
      <c r="F335" s="93"/>
      <c r="G335" s="93"/>
      <c r="H335" s="93"/>
      <c r="I335" s="93"/>
    </row>
    <row r="336" customFormat="false" ht="13.5" hidden="false" customHeight="true" outlineLevel="0" collapsed="false">
      <c r="A336"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336" s="94"/>
      <c r="C336" s="94"/>
      <c r="D336" s="94"/>
      <c r="E336" s="94"/>
      <c r="F336" s="94"/>
      <c r="G336" s="94"/>
      <c r="H336" s="94"/>
      <c r="I336" s="94"/>
    </row>
    <row r="337" customFormat="false" ht="13.5" hidden="false" customHeight="true" outlineLevel="0" collapsed="false">
      <c r="A337"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337" s="95"/>
      <c r="C337" s="95"/>
      <c r="D337" s="95"/>
      <c r="E337" s="95"/>
      <c r="F337" s="95"/>
      <c r="G337" s="95"/>
      <c r="H337" s="95"/>
      <c r="I337" s="95"/>
    </row>
    <row r="338" customFormat="false" ht="18" hidden="false" customHeight="true" outlineLevel="0" collapsed="false">
      <c r="A338" s="96" t="s">
        <v>358</v>
      </c>
      <c r="B338" s="96" t="s">
        <v>359</v>
      </c>
      <c r="C338" s="96" t="s">
        <v>360</v>
      </c>
      <c r="D338" s="96" t="s">
        <v>361</v>
      </c>
      <c r="E338" s="96" t="s">
        <v>362</v>
      </c>
      <c r="F338" s="96" t="s">
        <v>276</v>
      </c>
      <c r="G338" s="96" t="s">
        <v>46</v>
      </c>
      <c r="H338" s="96" t="s">
        <v>363</v>
      </c>
      <c r="I338" s="96" t="s">
        <v>178</v>
      </c>
    </row>
    <row r="339" customFormat="false" ht="18" hidden="false" customHeight="true" outlineLevel="0" collapsed="false">
      <c r="A339" s="97" t="n">
        <v>1</v>
      </c>
      <c r="B339" s="98" t="s">
        <v>364</v>
      </c>
      <c r="C339" s="99" t="n">
        <f aca="false">IF(FALSE(),"",IF(IFERROR(INDEX(Rekorde!$O$4:$O$19,MATCH(Übungen!$A$11,Rekorde!$A$4:$A$19,0)),"")="","",ROUND(IFERROR(INDEX(Rekorde!$O$4:$O$19,MATCH(Übungen!$A$11,Rekorde!$A$4:$A$19,0)),"")*0.4*2,0)/2))</f>
        <v>58</v>
      </c>
      <c r="D339" s="100"/>
      <c r="E339" s="101"/>
      <c r="F339" s="101"/>
      <c r="G339" s="101"/>
      <c r="H339" s="101"/>
      <c r="I339" s="101"/>
    </row>
    <row r="340" customFormat="false" ht="18" hidden="false" customHeight="true" outlineLevel="0" collapsed="false">
      <c r="A340" s="97" t="n">
        <v>2</v>
      </c>
      <c r="B340" s="98" t="s">
        <v>365</v>
      </c>
      <c r="C340" s="99" t="n">
        <f aca="false">IF(FALSE(),"",IF(IFERROR(INDEX(Rekorde!$O$4:$O$19,MATCH(Übungen!$A$11,Rekorde!$A$4:$A$19,0)),"")="","",ROUND(IFERROR(INDEX(Rekorde!$O$4:$O$19,MATCH(Übungen!$A$11,Rekorde!$A$4:$A$19,0)),"")*0.7*2,0)/2))</f>
        <v>101.5</v>
      </c>
      <c r="D340" s="100"/>
      <c r="E340" s="101"/>
      <c r="F340" s="101"/>
      <c r="G340" s="101"/>
      <c r="H340" s="101"/>
      <c r="I340" s="101"/>
    </row>
    <row r="341" customFormat="false" ht="18" hidden="false" customHeight="true" outlineLevel="0" collapsed="false">
      <c r="A341" s="97" t="n">
        <v>3</v>
      </c>
      <c r="B341" s="102" t="s">
        <v>366</v>
      </c>
      <c r="C341" s="103" t="n">
        <f aca="false">IF(FALSE(),"",IF(IFERROR(INDEX(Rekorde!$O$4:$O$19,MATCH(Übungen!$A$11,Rekorde!$A$4:$A$19,0)),"")="","",ROUND(IFERROR(INDEX(Rekorde!$O$4:$O$19,MATCH(Übungen!$A$11,Rekorde!$A$4:$A$19,0)),"")*1*2,0)/2))</f>
        <v>145</v>
      </c>
      <c r="D341" s="104" t="n">
        <f aca="false">IF(FALSE(),"",IF(IFERROR(INDEX(Rekorde!$P$4:$P$19,MATCH(Übungen!$A$11,Rekorde!$A$4:$A$19,0)),"")="","",MIN(Übungen!$E$11,IFERROR(INDEX(Rekorde!$P$4:$P$19,MATCH(Übungen!$A$11,Rekorde!$A$4:$A$19,0)),"")+0)))</f>
        <v>5</v>
      </c>
      <c r="E341" s="101"/>
      <c r="F341" s="101"/>
      <c r="G341" s="101"/>
      <c r="H341" s="101"/>
      <c r="I341" s="101"/>
    </row>
    <row r="342" customFormat="false" ht="18" hidden="false" customHeight="true" outlineLevel="0" collapsed="false">
      <c r="A342" s="97" t="n">
        <v>4</v>
      </c>
      <c r="B342" s="102" t="s">
        <v>367</v>
      </c>
      <c r="C342" s="99" t="n">
        <f aca="false">IF(FALSE(),"",IF(IFERROR(INDEX(Rekorde!$O$4:$O$19,MATCH(Übungen!$A$11,Rekorde!$A$4:$A$19,0)),"")="","",ROUND(IFERROR(INDEX(Rekorde!$O$4:$O$19,MATCH(Übungen!$A$11,Rekorde!$A$4:$A$19,0)),"")*0.95*2,0)/2))</f>
        <v>138</v>
      </c>
      <c r="D342" s="104" t="n">
        <f aca="false">IF(FALSE(),"",IF(IFERROR(INDEX(Rekorde!$P$4:$P$19,MATCH(Übungen!$A$11,Rekorde!$A$4:$A$19,0)),"")="","",MIN(Übungen!$E$11,IFERROR(INDEX(Rekorde!$P$4:$P$19,MATCH(Übungen!$A$11,Rekorde!$A$4:$A$19,0)),"")+1)))</f>
        <v>6</v>
      </c>
      <c r="E342" s="101"/>
      <c r="F342" s="101"/>
      <c r="G342" s="101"/>
      <c r="H342" s="101"/>
      <c r="I342" s="101"/>
    </row>
    <row r="343" customFormat="false" ht="18" hidden="false" customHeight="true" outlineLevel="0" collapsed="false">
      <c r="A343" s="97" t="n">
        <v>5</v>
      </c>
      <c r="B343" s="102" t="s">
        <v>368</v>
      </c>
      <c r="C343" s="99" t="n">
        <f aca="false">IF(FALSE(),"",IF(IFERROR(INDEX(Rekorde!$O$4:$O$19,MATCH(Übungen!$A$11,Rekorde!$A$4:$A$19,0)),"")="","",ROUND(IFERROR(INDEX(Rekorde!$O$4:$O$19,MATCH(Übungen!$A$11,Rekorde!$A$4:$A$19,0)),"")*0.9*2,0)/2))</f>
        <v>130.5</v>
      </c>
      <c r="D343" s="104" t="n">
        <f aca="false">IF(FALSE(),"",IF(IFERROR(INDEX(Rekorde!$P$4:$P$19,MATCH(Übungen!$A$11,Rekorde!$A$4:$A$19,0)),"")="","",MIN(Übungen!$E$11,IFERROR(INDEX(Rekorde!$P$4:$P$19,MATCH(Übungen!$A$11,Rekorde!$A$4:$A$19,0)),"")+2)))</f>
        <v>7</v>
      </c>
      <c r="E343" s="101"/>
      <c r="F343" s="101"/>
      <c r="G343" s="101"/>
      <c r="H343" s="101"/>
      <c r="I343" s="101"/>
    </row>
    <row r="345" customFormat="false" ht="18.75" hidden="false" customHeight="true" outlineLevel="0" collapsed="false">
      <c r="A345" s="93" t="str">
        <f aca="false">Übungen!$A$12</f>
        <v>Beinbeuger</v>
      </c>
      <c r="B345" s="93"/>
      <c r="C345" s="93"/>
      <c r="D345" s="93"/>
      <c r="E345" s="93"/>
      <c r="F345" s="93"/>
      <c r="G345" s="93"/>
      <c r="H345" s="93"/>
      <c r="I345" s="93"/>
    </row>
    <row r="346" customFormat="false" ht="13.5" hidden="false" customHeight="true" outlineLevel="0" collapsed="false">
      <c r="A346"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346" s="94"/>
      <c r="C346" s="94"/>
      <c r="D346" s="94"/>
      <c r="E346" s="94"/>
      <c r="F346" s="94"/>
      <c r="G346" s="94"/>
      <c r="H346" s="94"/>
      <c r="I346" s="94"/>
    </row>
    <row r="347" customFormat="false" ht="13.5" hidden="false" customHeight="true" outlineLevel="0" collapsed="false">
      <c r="A347"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347" s="95"/>
      <c r="C347" s="95"/>
      <c r="D347" s="95"/>
      <c r="E347" s="95"/>
      <c r="F347" s="95"/>
      <c r="G347" s="95"/>
      <c r="H347" s="95"/>
      <c r="I347" s="95"/>
    </row>
    <row r="348" customFormat="false" ht="18" hidden="false" customHeight="true" outlineLevel="0" collapsed="false">
      <c r="A348" s="96" t="s">
        <v>358</v>
      </c>
      <c r="B348" s="96" t="s">
        <v>359</v>
      </c>
      <c r="C348" s="96" t="s">
        <v>360</v>
      </c>
      <c r="D348" s="96" t="s">
        <v>361</v>
      </c>
      <c r="E348" s="96" t="s">
        <v>362</v>
      </c>
      <c r="F348" s="96" t="s">
        <v>276</v>
      </c>
      <c r="G348" s="96" t="s">
        <v>46</v>
      </c>
      <c r="H348" s="96" t="s">
        <v>363</v>
      </c>
      <c r="I348" s="96" t="s">
        <v>178</v>
      </c>
    </row>
    <row r="349" customFormat="false" ht="18" hidden="false" customHeight="true" outlineLevel="0" collapsed="false">
      <c r="A349" s="97" t="n">
        <v>1</v>
      </c>
      <c r="B349" s="98" t="s">
        <v>364</v>
      </c>
      <c r="C349" s="99" t="n">
        <f aca="false">IF(FALSE(),"",IF(IFERROR(INDEX(Rekorde!$O$4:$O$19,MATCH(Übungen!$A$12,Rekorde!$A$4:$A$19,0)),"")="","",ROUND(IFERROR(INDEX(Rekorde!$O$4:$O$19,MATCH(Übungen!$A$12,Rekorde!$A$4:$A$19,0)),"")*0.4*2,0)/2))</f>
        <v>22</v>
      </c>
      <c r="D349" s="100"/>
      <c r="E349" s="101"/>
      <c r="F349" s="101"/>
      <c r="G349" s="101"/>
      <c r="H349" s="101"/>
      <c r="I349" s="101"/>
    </row>
    <row r="350" customFormat="false" ht="18" hidden="false" customHeight="true" outlineLevel="0" collapsed="false">
      <c r="A350" s="97" t="n">
        <v>2</v>
      </c>
      <c r="B350" s="98" t="s">
        <v>365</v>
      </c>
      <c r="C350" s="99" t="n">
        <f aca="false">IF(FALSE(),"",IF(IFERROR(INDEX(Rekorde!$O$4:$O$19,MATCH(Übungen!$A$12,Rekorde!$A$4:$A$19,0)),"")="","",ROUND(IFERROR(INDEX(Rekorde!$O$4:$O$19,MATCH(Übungen!$A$12,Rekorde!$A$4:$A$19,0)),"")*0.7*2,0)/2))</f>
        <v>38.5</v>
      </c>
      <c r="D350" s="100"/>
      <c r="E350" s="101"/>
      <c r="F350" s="101"/>
      <c r="G350" s="101"/>
      <c r="H350" s="101"/>
      <c r="I350" s="101"/>
    </row>
    <row r="351" customFormat="false" ht="18" hidden="false" customHeight="true" outlineLevel="0" collapsed="false">
      <c r="A351" s="97" t="n">
        <v>3</v>
      </c>
      <c r="B351" s="102" t="s">
        <v>366</v>
      </c>
      <c r="C351" s="103" t="n">
        <f aca="false">IF(FALSE(),"",IF(IFERROR(INDEX(Rekorde!$O$4:$O$19,MATCH(Übungen!$A$12,Rekorde!$A$4:$A$19,0)),"")="","",ROUND(IFERROR(INDEX(Rekorde!$O$4:$O$19,MATCH(Übungen!$A$12,Rekorde!$A$4:$A$19,0)),"")*1*2,0)/2))</f>
        <v>55</v>
      </c>
      <c r="D351" s="104" t="n">
        <f aca="false">IF(FALSE(),"",IF(IFERROR(INDEX(Rekorde!$P$4:$P$19,MATCH(Übungen!$A$12,Rekorde!$A$4:$A$19,0)),"")="","",MIN(Übungen!$E$12,IFERROR(INDEX(Rekorde!$P$4:$P$19,MATCH(Übungen!$A$12,Rekorde!$A$4:$A$19,0)),"")+0)))</f>
        <v>5</v>
      </c>
      <c r="E351" s="101"/>
      <c r="F351" s="101"/>
      <c r="G351" s="101"/>
      <c r="H351" s="101"/>
      <c r="I351" s="101"/>
    </row>
    <row r="352" customFormat="false" ht="18" hidden="false" customHeight="true" outlineLevel="0" collapsed="false">
      <c r="A352" s="97" t="n">
        <v>4</v>
      </c>
      <c r="B352" s="102" t="s">
        <v>367</v>
      </c>
      <c r="C352" s="99" t="n">
        <f aca="false">IF(FALSE(),"",IF(IFERROR(INDEX(Rekorde!$O$4:$O$19,MATCH(Übungen!$A$12,Rekorde!$A$4:$A$19,0)),"")="","",ROUND(IFERROR(INDEX(Rekorde!$O$4:$O$19,MATCH(Übungen!$A$12,Rekorde!$A$4:$A$19,0)),"")*0.95*2,0)/2))</f>
        <v>52.5</v>
      </c>
      <c r="D352" s="104" t="n">
        <f aca="false">IF(FALSE(),"",IF(IFERROR(INDEX(Rekorde!$P$4:$P$19,MATCH(Übungen!$A$12,Rekorde!$A$4:$A$19,0)),"")="","",MIN(Übungen!$E$12,IFERROR(INDEX(Rekorde!$P$4:$P$19,MATCH(Übungen!$A$12,Rekorde!$A$4:$A$19,0)),"")+1)))</f>
        <v>6</v>
      </c>
      <c r="E352" s="101"/>
      <c r="F352" s="101"/>
      <c r="G352" s="101"/>
      <c r="H352" s="101"/>
      <c r="I352" s="101"/>
    </row>
    <row r="353" customFormat="false" ht="18" hidden="false" customHeight="true" outlineLevel="0" collapsed="false">
      <c r="A353" s="97" t="n">
        <v>5</v>
      </c>
      <c r="B353" s="102" t="s">
        <v>368</v>
      </c>
      <c r="C353" s="99" t="n">
        <f aca="false">IF(FALSE(),"",IF(IFERROR(INDEX(Rekorde!$O$4:$O$19,MATCH(Übungen!$A$12,Rekorde!$A$4:$A$19,0)),"")="","",ROUND(IFERROR(INDEX(Rekorde!$O$4:$O$19,MATCH(Übungen!$A$12,Rekorde!$A$4:$A$19,0)),"")*0.9*2,0)/2))</f>
        <v>49.5</v>
      </c>
      <c r="D353" s="104" t="n">
        <f aca="false">IF(FALSE(),"",IF(IFERROR(INDEX(Rekorde!$P$4:$P$19,MATCH(Übungen!$A$12,Rekorde!$A$4:$A$19,0)),"")="","",MIN(Übungen!$E$12,IFERROR(INDEX(Rekorde!$P$4:$P$19,MATCH(Übungen!$A$12,Rekorde!$A$4:$A$19,0)),"")+2)))</f>
        <v>7</v>
      </c>
      <c r="E353" s="101"/>
      <c r="F353" s="101"/>
      <c r="G353" s="101"/>
      <c r="H353" s="101"/>
      <c r="I353" s="101"/>
    </row>
    <row r="355" customFormat="false" ht="18.75" hidden="false" customHeight="true" outlineLevel="0" collapsed="false">
      <c r="A355" s="93" t="str">
        <f aca="false">Übungen!$A$13</f>
        <v>Seitliche Kickbacks</v>
      </c>
      <c r="B355" s="93"/>
      <c r="C355" s="93"/>
      <c r="D355" s="93"/>
      <c r="E355" s="93"/>
      <c r="F355" s="93"/>
      <c r="G355" s="93"/>
      <c r="H355" s="93"/>
      <c r="I355" s="93"/>
    </row>
    <row r="356" customFormat="false" ht="13.5" hidden="false" customHeight="true" outlineLevel="0" collapsed="false">
      <c r="A356"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356" s="94"/>
      <c r="C356" s="94"/>
      <c r="D356" s="94"/>
      <c r="E356" s="94"/>
      <c r="F356" s="94"/>
      <c r="G356" s="94"/>
      <c r="H356" s="94"/>
      <c r="I356" s="94"/>
    </row>
    <row r="357" customFormat="false" ht="13.5" hidden="false" customHeight="true" outlineLevel="0" collapsed="false">
      <c r="A357"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357" s="95"/>
      <c r="C357" s="95"/>
      <c r="D357" s="95"/>
      <c r="E357" s="95"/>
      <c r="F357" s="95"/>
      <c r="G357" s="95"/>
      <c r="H357" s="95"/>
      <c r="I357" s="95"/>
    </row>
    <row r="358" customFormat="false" ht="18" hidden="false" customHeight="true" outlineLevel="0" collapsed="false">
      <c r="A358" s="96" t="s">
        <v>358</v>
      </c>
      <c r="B358" s="96" t="s">
        <v>359</v>
      </c>
      <c r="C358" s="96" t="s">
        <v>360</v>
      </c>
      <c r="D358" s="96" t="s">
        <v>361</v>
      </c>
      <c r="E358" s="96" t="s">
        <v>362</v>
      </c>
      <c r="F358" s="96" t="s">
        <v>276</v>
      </c>
      <c r="G358" s="96" t="s">
        <v>46</v>
      </c>
      <c r="H358" s="96" t="s">
        <v>363</v>
      </c>
      <c r="I358" s="96" t="s">
        <v>178</v>
      </c>
    </row>
    <row r="359" customFormat="false" ht="18" hidden="false" customHeight="true" outlineLevel="0" collapsed="false">
      <c r="A359" s="97" t="n">
        <v>1</v>
      </c>
      <c r="B359" s="98" t="s">
        <v>364</v>
      </c>
      <c r="C359" s="99" t="n">
        <f aca="false">IF(FALSE(),"",IF(IFERROR(INDEX(Rekorde!$O$4:$O$19,MATCH(Übungen!$A$13,Rekorde!$A$4:$A$19,0)),"")="","",ROUND(IFERROR(INDEX(Rekorde!$O$4:$O$19,MATCH(Übungen!$A$13,Rekorde!$A$4:$A$19,0)),"")*0.4*2,0)/2))</f>
        <v>15</v>
      </c>
      <c r="D359" s="100"/>
      <c r="E359" s="101"/>
      <c r="F359" s="101"/>
      <c r="G359" s="101"/>
      <c r="H359" s="101"/>
      <c r="I359" s="101"/>
    </row>
    <row r="360" customFormat="false" ht="18" hidden="false" customHeight="true" outlineLevel="0" collapsed="false">
      <c r="A360" s="97" t="n">
        <v>2</v>
      </c>
      <c r="B360" s="98" t="s">
        <v>365</v>
      </c>
      <c r="C360" s="99" t="n">
        <f aca="false">IF(FALSE(),"",IF(IFERROR(INDEX(Rekorde!$O$4:$O$19,MATCH(Übungen!$A$13,Rekorde!$A$4:$A$19,0)),"")="","",ROUND(IFERROR(INDEX(Rekorde!$O$4:$O$19,MATCH(Übungen!$A$13,Rekorde!$A$4:$A$19,0)),"")*0.7*2,0)/2))</f>
        <v>26.5</v>
      </c>
      <c r="D360" s="100"/>
      <c r="E360" s="101"/>
      <c r="F360" s="101"/>
      <c r="G360" s="101"/>
      <c r="H360" s="101"/>
      <c r="I360" s="101"/>
    </row>
    <row r="361" customFormat="false" ht="18" hidden="false" customHeight="true" outlineLevel="0" collapsed="false">
      <c r="A361" s="97" t="n">
        <v>3</v>
      </c>
      <c r="B361" s="102" t="s">
        <v>366</v>
      </c>
      <c r="C361" s="103" t="n">
        <f aca="false">IF(FALSE(),"",IF(IFERROR(INDEX(Rekorde!$O$4:$O$19,MATCH(Übungen!$A$13,Rekorde!$A$4:$A$19,0)),"")="","",ROUND(IFERROR(INDEX(Rekorde!$O$4:$O$19,MATCH(Übungen!$A$13,Rekorde!$A$4:$A$19,0)),"")*1*2,0)/2))</f>
        <v>38</v>
      </c>
      <c r="D361" s="104" t="n">
        <f aca="false">IF(FALSE(),"",IF(IFERROR(INDEX(Rekorde!$P$4:$P$19,MATCH(Übungen!$A$13,Rekorde!$A$4:$A$19,0)),"")="","",MIN(Übungen!$E$13,IFERROR(INDEX(Rekorde!$P$4:$P$19,MATCH(Übungen!$A$13,Rekorde!$A$4:$A$19,0)),"")+0)))</f>
        <v>5</v>
      </c>
      <c r="E361" s="101"/>
      <c r="F361" s="101"/>
      <c r="G361" s="101"/>
      <c r="H361" s="101"/>
      <c r="I361" s="101"/>
    </row>
    <row r="362" customFormat="false" ht="18" hidden="false" customHeight="true" outlineLevel="0" collapsed="false">
      <c r="A362" s="97" t="n">
        <v>4</v>
      </c>
      <c r="B362" s="102" t="s">
        <v>367</v>
      </c>
      <c r="C362" s="99" t="n">
        <f aca="false">IF(FALSE(),"",IF(IFERROR(INDEX(Rekorde!$O$4:$O$19,MATCH(Übungen!$A$13,Rekorde!$A$4:$A$19,0)),"")="","",ROUND(IFERROR(INDEX(Rekorde!$O$4:$O$19,MATCH(Übungen!$A$13,Rekorde!$A$4:$A$19,0)),"")*0.95*2,0)/2))</f>
        <v>36</v>
      </c>
      <c r="D362" s="104" t="n">
        <f aca="false">IF(FALSE(),"",IF(IFERROR(INDEX(Rekorde!$P$4:$P$19,MATCH(Übungen!$A$13,Rekorde!$A$4:$A$19,0)),"")="","",MIN(Übungen!$E$13,IFERROR(INDEX(Rekorde!$P$4:$P$19,MATCH(Übungen!$A$13,Rekorde!$A$4:$A$19,0)),"")+1)))</f>
        <v>6</v>
      </c>
      <c r="E362" s="101"/>
      <c r="F362" s="101"/>
      <c r="G362" s="101"/>
      <c r="H362" s="101"/>
      <c r="I362" s="101"/>
    </row>
    <row r="363" customFormat="false" ht="18" hidden="false" customHeight="true" outlineLevel="0" collapsed="false">
      <c r="A363" s="97" t="n">
        <v>5</v>
      </c>
      <c r="B363" s="102" t="s">
        <v>368</v>
      </c>
      <c r="C363" s="99" t="n">
        <f aca="false">IF(FALSE(),"",IF(IFERROR(INDEX(Rekorde!$O$4:$O$19,MATCH(Übungen!$A$13,Rekorde!$A$4:$A$19,0)),"")="","",ROUND(IFERROR(INDEX(Rekorde!$O$4:$O$19,MATCH(Übungen!$A$13,Rekorde!$A$4:$A$19,0)),"")*0.9*2,0)/2))</f>
        <v>34</v>
      </c>
      <c r="D363" s="104" t="n">
        <f aca="false">IF(FALSE(),"",IF(IFERROR(INDEX(Rekorde!$P$4:$P$19,MATCH(Übungen!$A$13,Rekorde!$A$4:$A$19,0)),"")="","",MIN(Übungen!$E$13,IFERROR(INDEX(Rekorde!$P$4:$P$19,MATCH(Übungen!$A$13,Rekorde!$A$4:$A$19,0)),"")+2)))</f>
        <v>7</v>
      </c>
      <c r="E363" s="101"/>
      <c r="F363" s="101"/>
      <c r="G363" s="101"/>
      <c r="H363" s="101"/>
      <c r="I363" s="101"/>
    </row>
    <row r="365" customFormat="false" ht="18.75" hidden="false" customHeight="true" outlineLevel="0" collapsed="false">
      <c r="A365" s="93" t="str">
        <f aca="false">Übungen!$A$14</f>
        <v>Waden</v>
      </c>
      <c r="B365" s="93"/>
      <c r="C365" s="93"/>
      <c r="D365" s="93"/>
      <c r="E365" s="93"/>
      <c r="F365" s="93"/>
      <c r="G365" s="93"/>
      <c r="H365" s="93"/>
      <c r="I365" s="93"/>
    </row>
    <row r="366" customFormat="false" ht="13.5" hidden="false" customHeight="true" outlineLevel="0" collapsed="false">
      <c r="A366"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366" s="94"/>
      <c r="C366" s="94"/>
      <c r="D366" s="94"/>
      <c r="E366" s="94"/>
      <c r="F366" s="94"/>
      <c r="G366" s="94"/>
      <c r="H366" s="94"/>
      <c r="I366" s="94"/>
    </row>
    <row r="367" customFormat="false" ht="13.5" hidden="false" customHeight="true" outlineLevel="0" collapsed="false">
      <c r="A367"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367" s="95"/>
      <c r="C367" s="95"/>
      <c r="D367" s="95"/>
      <c r="E367" s="95"/>
      <c r="F367" s="95"/>
      <c r="G367" s="95"/>
      <c r="H367" s="95"/>
      <c r="I367" s="95"/>
    </row>
    <row r="368" customFormat="false" ht="18" hidden="false" customHeight="true" outlineLevel="0" collapsed="false">
      <c r="A368" s="96" t="s">
        <v>358</v>
      </c>
      <c r="B368" s="96" t="s">
        <v>359</v>
      </c>
      <c r="C368" s="96" t="s">
        <v>360</v>
      </c>
      <c r="D368" s="96" t="s">
        <v>361</v>
      </c>
      <c r="E368" s="96" t="s">
        <v>362</v>
      </c>
      <c r="F368" s="96" t="s">
        <v>276</v>
      </c>
      <c r="G368" s="96" t="s">
        <v>46</v>
      </c>
      <c r="H368" s="96" t="s">
        <v>363</v>
      </c>
      <c r="I368" s="96" t="s">
        <v>178</v>
      </c>
    </row>
    <row r="369" customFormat="false" ht="18" hidden="false" customHeight="true" outlineLevel="0" collapsed="false">
      <c r="A369" s="97" t="n">
        <v>1</v>
      </c>
      <c r="B369" s="98" t="s">
        <v>364</v>
      </c>
      <c r="C369" s="99" t="n">
        <f aca="false">IF(FALSE(),"",IF(IFERROR(INDEX(Rekorde!$O$4:$O$19,MATCH(Übungen!$A$14,Rekorde!$A$4:$A$19,0)),"")="","",ROUND(IFERROR(INDEX(Rekorde!$O$4:$O$19,MATCH(Übungen!$A$14,Rekorde!$A$4:$A$19,0)),"")*0.4*2,0)/2))</f>
        <v>66</v>
      </c>
      <c r="D369" s="100"/>
      <c r="E369" s="101"/>
      <c r="F369" s="101"/>
      <c r="G369" s="101"/>
      <c r="H369" s="101"/>
      <c r="I369" s="101"/>
    </row>
    <row r="370" customFormat="false" ht="18" hidden="false" customHeight="true" outlineLevel="0" collapsed="false">
      <c r="A370" s="97" t="n">
        <v>2</v>
      </c>
      <c r="B370" s="98" t="s">
        <v>365</v>
      </c>
      <c r="C370" s="99" t="n">
        <f aca="false">IF(FALSE(),"",IF(IFERROR(INDEX(Rekorde!$O$4:$O$19,MATCH(Übungen!$A$14,Rekorde!$A$4:$A$19,0)),"")="","",ROUND(IFERROR(INDEX(Rekorde!$O$4:$O$19,MATCH(Übungen!$A$14,Rekorde!$A$4:$A$19,0)),"")*0.7*2,0)/2))</f>
        <v>115.5</v>
      </c>
      <c r="D370" s="100"/>
      <c r="E370" s="101"/>
      <c r="F370" s="101"/>
      <c r="G370" s="101"/>
      <c r="H370" s="101"/>
      <c r="I370" s="101"/>
    </row>
    <row r="371" customFormat="false" ht="18" hidden="false" customHeight="true" outlineLevel="0" collapsed="false">
      <c r="A371" s="97" t="n">
        <v>3</v>
      </c>
      <c r="B371" s="102" t="s">
        <v>366</v>
      </c>
      <c r="C371" s="103" t="n">
        <f aca="false">IF(FALSE(),"",IF(IFERROR(INDEX(Rekorde!$O$4:$O$19,MATCH(Übungen!$A$14,Rekorde!$A$4:$A$19,0)),"")="","",ROUND(IFERROR(INDEX(Rekorde!$O$4:$O$19,MATCH(Übungen!$A$14,Rekorde!$A$4:$A$19,0)),"")*1*2,0)/2))</f>
        <v>165</v>
      </c>
      <c r="D371" s="104" t="n">
        <f aca="false">IF(FALSE(),"",IF(IFERROR(INDEX(Rekorde!$P$4:$P$19,MATCH(Übungen!$A$14,Rekorde!$A$4:$A$19,0)),"")="","",MIN(Übungen!$E$14,IFERROR(INDEX(Rekorde!$P$4:$P$19,MATCH(Übungen!$A$14,Rekorde!$A$4:$A$19,0)),"")+0)))</f>
        <v>5</v>
      </c>
      <c r="E371" s="101"/>
      <c r="F371" s="101"/>
      <c r="G371" s="101"/>
      <c r="H371" s="101"/>
      <c r="I371" s="101"/>
    </row>
    <row r="372" customFormat="false" ht="18" hidden="false" customHeight="true" outlineLevel="0" collapsed="false">
      <c r="A372" s="97" t="n">
        <v>4</v>
      </c>
      <c r="B372" s="102" t="s">
        <v>367</v>
      </c>
      <c r="C372" s="99" t="n">
        <f aca="false">IF(FALSE(),"",IF(IFERROR(INDEX(Rekorde!$O$4:$O$19,MATCH(Übungen!$A$14,Rekorde!$A$4:$A$19,0)),"")="","",ROUND(IFERROR(INDEX(Rekorde!$O$4:$O$19,MATCH(Übungen!$A$14,Rekorde!$A$4:$A$19,0)),"")*0.95*2,0)/2))</f>
        <v>157</v>
      </c>
      <c r="D372" s="104" t="n">
        <f aca="false">IF(FALSE(),"",IF(IFERROR(INDEX(Rekorde!$P$4:$P$19,MATCH(Übungen!$A$14,Rekorde!$A$4:$A$19,0)),"")="","",MIN(Übungen!$E$14,IFERROR(INDEX(Rekorde!$P$4:$P$19,MATCH(Übungen!$A$14,Rekorde!$A$4:$A$19,0)),"")+1)))</f>
        <v>6</v>
      </c>
      <c r="E372" s="101"/>
      <c r="F372" s="101"/>
      <c r="G372" s="101"/>
      <c r="H372" s="101"/>
      <c r="I372" s="101"/>
    </row>
    <row r="373" customFormat="false" ht="18" hidden="false" customHeight="true" outlineLevel="0" collapsed="false">
      <c r="A373" s="97" t="n">
        <v>5</v>
      </c>
      <c r="B373" s="102" t="s">
        <v>368</v>
      </c>
      <c r="C373" s="99" t="n">
        <f aca="false">IF(FALSE(),"",IF(IFERROR(INDEX(Rekorde!$O$4:$O$19,MATCH(Übungen!$A$14,Rekorde!$A$4:$A$19,0)),"")="","",ROUND(IFERROR(INDEX(Rekorde!$O$4:$O$19,MATCH(Übungen!$A$14,Rekorde!$A$4:$A$19,0)),"")*0.9*2,0)/2))</f>
        <v>148.5</v>
      </c>
      <c r="D373" s="104" t="n">
        <f aca="false">IF(FALSE(),"",IF(IFERROR(INDEX(Rekorde!$P$4:$P$19,MATCH(Übungen!$A$14,Rekorde!$A$4:$A$19,0)),"")="","",MIN(Übungen!$E$14,IFERROR(INDEX(Rekorde!$P$4:$P$19,MATCH(Übungen!$A$14,Rekorde!$A$4:$A$19,0)),"")+2)))</f>
        <v>7</v>
      </c>
      <c r="E373" s="101"/>
      <c r="F373" s="101"/>
      <c r="G373" s="101"/>
      <c r="H373" s="101"/>
      <c r="I373" s="101"/>
    </row>
    <row r="375" customFormat="false" ht="15.75" hidden="false" customHeight="true" outlineLevel="0" collapsed="false">
      <c r="A375" s="3" t="s">
        <v>369</v>
      </c>
      <c r="B375" s="3"/>
      <c r="C375" s="3"/>
      <c r="D375" s="3"/>
      <c r="E375" s="3"/>
      <c r="F375" s="3"/>
      <c r="G375" s="3"/>
      <c r="H375" s="3"/>
      <c r="I375" s="3"/>
    </row>
    <row r="376" customFormat="false" ht="18" hidden="false" customHeight="true" outlineLevel="0" collapsed="false">
      <c r="A376" s="105"/>
      <c r="B376" s="105"/>
      <c r="C376" s="105"/>
      <c r="D376" s="105"/>
      <c r="E376" s="105"/>
      <c r="F376" s="105"/>
      <c r="G376" s="105"/>
      <c r="H376" s="105"/>
      <c r="I376" s="105"/>
    </row>
    <row r="377" customFormat="false" ht="18" hidden="false" customHeight="true" outlineLevel="0" collapsed="false">
      <c r="A377" s="105"/>
      <c r="B377" s="105"/>
      <c r="C377" s="105"/>
      <c r="D377" s="105"/>
      <c r="E377" s="105"/>
      <c r="F377" s="105"/>
      <c r="G377" s="105"/>
      <c r="H377" s="105"/>
      <c r="I377" s="105"/>
    </row>
    <row r="379" customFormat="false" ht="27.75" hidden="false" customHeight="true" outlineLevel="0" collapsed="false">
      <c r="A379" s="1" t="s">
        <v>375</v>
      </c>
      <c r="B379" s="1"/>
      <c r="C379" s="1"/>
      <c r="D379" s="1"/>
      <c r="E379" s="1"/>
      <c r="F379" s="1"/>
      <c r="G379" s="1"/>
      <c r="H379" s="1"/>
      <c r="I379" s="1"/>
    </row>
    <row r="380" customFormat="false" ht="12" hidden="false" customHeight="true" outlineLevel="0" collapsed="false">
      <c r="A380" s="90" t="s">
        <v>69</v>
      </c>
      <c r="B380" s="90"/>
      <c r="C380" s="91" t="s">
        <v>354</v>
      </c>
      <c r="D380" s="91" t="s">
        <v>355</v>
      </c>
      <c r="E380" s="90" t="s">
        <v>356</v>
      </c>
      <c r="F380" s="90"/>
      <c r="G380" s="90" t="s">
        <v>357</v>
      </c>
      <c r="H380" s="90"/>
    </row>
    <row r="381" customFormat="false" ht="18" hidden="false" customHeight="true" outlineLevel="0" collapsed="false">
      <c r="A381" s="92"/>
      <c r="B381" s="92"/>
      <c r="C381" s="92"/>
      <c r="D381" s="92"/>
      <c r="E381" s="92"/>
      <c r="F381" s="92"/>
      <c r="G381" s="92"/>
      <c r="H381" s="92"/>
    </row>
    <row r="383" customFormat="false" ht="18.75" hidden="false" customHeight="true" outlineLevel="0" collapsed="false">
      <c r="A383" s="93" t="str">
        <f aca="false">Übungen!$A$4</f>
        <v>Beinpresse eng</v>
      </c>
      <c r="B383" s="93"/>
      <c r="C383" s="93"/>
      <c r="D383" s="93"/>
      <c r="E383" s="93"/>
      <c r="F383" s="93"/>
      <c r="G383" s="93"/>
      <c r="H383" s="93"/>
      <c r="I383" s="93"/>
    </row>
    <row r="384" customFormat="false" ht="13.5" hidden="false" customHeight="true" outlineLevel="0" collapsed="false">
      <c r="A384"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384" s="94"/>
      <c r="C384" s="94"/>
      <c r="D384" s="94"/>
      <c r="E384" s="94"/>
      <c r="F384" s="94"/>
      <c r="G384" s="94"/>
      <c r="H384" s="94"/>
      <c r="I384" s="94"/>
    </row>
    <row r="385" customFormat="false" ht="13.5" hidden="false" customHeight="true" outlineLevel="0" collapsed="false">
      <c r="A385"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385" s="95"/>
      <c r="C385" s="95"/>
      <c r="D385" s="95"/>
      <c r="E385" s="95"/>
      <c r="F385" s="95"/>
      <c r="G385" s="95"/>
      <c r="H385" s="95"/>
      <c r="I385" s="95"/>
    </row>
    <row r="386" customFormat="false" ht="18" hidden="false" customHeight="true" outlineLevel="0" collapsed="false">
      <c r="A386" s="96" t="s">
        <v>358</v>
      </c>
      <c r="B386" s="96" t="s">
        <v>359</v>
      </c>
      <c r="C386" s="96" t="s">
        <v>360</v>
      </c>
      <c r="D386" s="96" t="s">
        <v>361</v>
      </c>
      <c r="E386" s="96" t="s">
        <v>362</v>
      </c>
      <c r="F386" s="96" t="s">
        <v>276</v>
      </c>
      <c r="G386" s="96" t="s">
        <v>46</v>
      </c>
      <c r="H386" s="96" t="s">
        <v>363</v>
      </c>
      <c r="I386" s="96" t="s">
        <v>178</v>
      </c>
    </row>
    <row r="387" customFormat="false" ht="18" hidden="false" customHeight="true" outlineLevel="0" collapsed="false">
      <c r="A387" s="97" t="n">
        <v>1</v>
      </c>
      <c r="B387" s="98" t="s">
        <v>364</v>
      </c>
      <c r="C387" s="99" t="n">
        <f aca="false">IF(FALSE(),"",IF(IFERROR(INDEX(Rekorde!$O$4:$O$19,MATCH(Übungen!$A$4,Rekorde!$A$4:$A$19,0)),"")="","",ROUND(IFERROR(INDEX(Rekorde!$O$4:$O$19,MATCH(Übungen!$A$4,Rekorde!$A$4:$A$19,0)),"")*0.4*2,0)/2))</f>
        <v>136</v>
      </c>
      <c r="D387" s="100"/>
      <c r="E387" s="101"/>
      <c r="F387" s="101"/>
      <c r="G387" s="101"/>
      <c r="H387" s="101"/>
      <c r="I387" s="101"/>
    </row>
    <row r="388" customFormat="false" ht="18" hidden="false" customHeight="true" outlineLevel="0" collapsed="false">
      <c r="A388" s="97" t="n">
        <v>2</v>
      </c>
      <c r="B388" s="98" t="s">
        <v>365</v>
      </c>
      <c r="C388" s="99" t="n">
        <f aca="false">IF(FALSE(),"",IF(IFERROR(INDEX(Rekorde!$O$4:$O$19,MATCH(Übungen!$A$4,Rekorde!$A$4:$A$19,0)),"")="","",ROUND(IFERROR(INDEX(Rekorde!$O$4:$O$19,MATCH(Übungen!$A$4,Rekorde!$A$4:$A$19,0)),"")*0.7*2,0)/2))</f>
        <v>238</v>
      </c>
      <c r="D388" s="100"/>
      <c r="E388" s="101"/>
      <c r="F388" s="101"/>
      <c r="G388" s="101"/>
      <c r="H388" s="101"/>
      <c r="I388" s="101"/>
    </row>
    <row r="389" customFormat="false" ht="18" hidden="false" customHeight="true" outlineLevel="0" collapsed="false">
      <c r="A389" s="97" t="n">
        <v>3</v>
      </c>
      <c r="B389" s="102" t="s">
        <v>366</v>
      </c>
      <c r="C389" s="103" t="n">
        <f aca="false">IF(FALSE(),"",IF(IFERROR(INDEX(Rekorde!$O$4:$O$19,MATCH(Übungen!$A$4,Rekorde!$A$4:$A$19,0)),"")="","",ROUND(IFERROR(INDEX(Rekorde!$O$4:$O$19,MATCH(Übungen!$A$4,Rekorde!$A$4:$A$19,0)),"")*1*2,0)/2))</f>
        <v>340</v>
      </c>
      <c r="D389" s="104" t="n">
        <f aca="false">IF(FALSE(),"",IF(IFERROR(INDEX(Rekorde!$P$4:$P$19,MATCH(Übungen!$A$4,Rekorde!$A$4:$A$19,0)),"")="","",MIN(Übungen!$E$4,IFERROR(INDEX(Rekorde!$P$4:$P$19,MATCH(Übungen!$A$4,Rekorde!$A$4:$A$19,0)),"")+0)))</f>
        <v>5</v>
      </c>
      <c r="E389" s="101"/>
      <c r="F389" s="101"/>
      <c r="G389" s="101"/>
      <c r="H389" s="101"/>
      <c r="I389" s="101"/>
    </row>
    <row r="390" customFormat="false" ht="18" hidden="false" customHeight="true" outlineLevel="0" collapsed="false">
      <c r="A390" s="97" t="n">
        <v>4</v>
      </c>
      <c r="B390" s="102" t="s">
        <v>367</v>
      </c>
      <c r="C390" s="99" t="n">
        <f aca="false">IF(FALSE(),"",IF(IFERROR(INDEX(Rekorde!$O$4:$O$19,MATCH(Übungen!$A$4,Rekorde!$A$4:$A$19,0)),"")="","",ROUND(IFERROR(INDEX(Rekorde!$O$4:$O$19,MATCH(Übungen!$A$4,Rekorde!$A$4:$A$19,0)),"")*0.95*2,0)/2))</f>
        <v>323</v>
      </c>
      <c r="D390" s="104" t="n">
        <f aca="false">IF(FALSE(),"",IF(IFERROR(INDEX(Rekorde!$P$4:$P$19,MATCH(Übungen!$A$4,Rekorde!$A$4:$A$19,0)),"")="","",MIN(Übungen!$E$4,IFERROR(INDEX(Rekorde!$P$4:$P$19,MATCH(Übungen!$A$4,Rekorde!$A$4:$A$19,0)),"")+1)))</f>
        <v>6</v>
      </c>
      <c r="E390" s="101"/>
      <c r="F390" s="101"/>
      <c r="G390" s="101"/>
      <c r="H390" s="101"/>
      <c r="I390" s="101"/>
    </row>
    <row r="391" customFormat="false" ht="18" hidden="false" customHeight="true" outlineLevel="0" collapsed="false">
      <c r="A391" s="97" t="n">
        <v>5</v>
      </c>
      <c r="B391" s="102" t="s">
        <v>368</v>
      </c>
      <c r="C391" s="99" t="n">
        <f aca="false">IF(FALSE(),"",IF(IFERROR(INDEX(Rekorde!$O$4:$O$19,MATCH(Übungen!$A$4,Rekorde!$A$4:$A$19,0)),"")="","",ROUND(IFERROR(INDEX(Rekorde!$O$4:$O$19,MATCH(Übungen!$A$4,Rekorde!$A$4:$A$19,0)),"")*0.9*2,0)/2))</f>
        <v>306</v>
      </c>
      <c r="D391" s="104" t="n">
        <f aca="false">IF(FALSE(),"",IF(IFERROR(INDEX(Rekorde!$P$4:$P$19,MATCH(Übungen!$A$4,Rekorde!$A$4:$A$19,0)),"")="","",MIN(Übungen!$E$4,IFERROR(INDEX(Rekorde!$P$4:$P$19,MATCH(Übungen!$A$4,Rekorde!$A$4:$A$19,0)),"")+2)))</f>
        <v>7</v>
      </c>
      <c r="E391" s="101"/>
      <c r="F391" s="101"/>
      <c r="G391" s="101"/>
      <c r="H391" s="101"/>
      <c r="I391" s="101"/>
    </row>
    <row r="393" customFormat="false" ht="18.75" hidden="false" customHeight="true" outlineLevel="0" collapsed="false">
      <c r="A393" s="93" t="str">
        <f aca="false">Übungen!$A$5</f>
        <v>Split Squat</v>
      </c>
      <c r="B393" s="93"/>
      <c r="C393" s="93"/>
      <c r="D393" s="93"/>
      <c r="E393" s="93"/>
      <c r="F393" s="93"/>
      <c r="G393" s="93"/>
      <c r="H393" s="93"/>
      <c r="I393" s="93"/>
    </row>
    <row r="394" customFormat="false" ht="13.5" hidden="false" customHeight="true" outlineLevel="0" collapsed="false">
      <c r="A394"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394" s="94"/>
      <c r="C394" s="94"/>
      <c r="D394" s="94"/>
      <c r="E394" s="94"/>
      <c r="F394" s="94"/>
      <c r="G394" s="94"/>
      <c r="H394" s="94"/>
      <c r="I394" s="94"/>
    </row>
    <row r="395" customFormat="false" ht="13.5" hidden="false" customHeight="true" outlineLevel="0" collapsed="false">
      <c r="A395"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395" s="95"/>
      <c r="C395" s="95"/>
      <c r="D395" s="95"/>
      <c r="E395" s="95"/>
      <c r="F395" s="95"/>
      <c r="G395" s="95"/>
      <c r="H395" s="95"/>
      <c r="I395" s="95"/>
    </row>
    <row r="396" customFormat="false" ht="18" hidden="false" customHeight="true" outlineLevel="0" collapsed="false">
      <c r="A396" s="96" t="s">
        <v>358</v>
      </c>
      <c r="B396" s="96" t="s">
        <v>359</v>
      </c>
      <c r="C396" s="96" t="s">
        <v>360</v>
      </c>
      <c r="D396" s="96" t="s">
        <v>361</v>
      </c>
      <c r="E396" s="96" t="s">
        <v>362</v>
      </c>
      <c r="F396" s="96" t="s">
        <v>276</v>
      </c>
      <c r="G396" s="96" t="s">
        <v>46</v>
      </c>
      <c r="H396" s="96" t="s">
        <v>363</v>
      </c>
      <c r="I396" s="96" t="s">
        <v>178</v>
      </c>
    </row>
    <row r="397" customFormat="false" ht="18" hidden="false" customHeight="true" outlineLevel="0" collapsed="false">
      <c r="A397" s="97" t="n">
        <v>1</v>
      </c>
      <c r="B397" s="98" t="s">
        <v>364</v>
      </c>
      <c r="C397" s="99" t="n">
        <f aca="false">IF(FALSE(),"",IF(IFERROR(INDEX(Rekorde!$O$4:$O$19,MATCH(Übungen!$A$5,Rekorde!$A$4:$A$19,0)),"")="","",ROUND(IFERROR(INDEX(Rekorde!$O$4:$O$19,MATCH(Übungen!$A$5,Rekorde!$A$4:$A$19,0)),"")*0.4*2,0)/2))</f>
        <v>46</v>
      </c>
      <c r="D397" s="100"/>
      <c r="E397" s="101"/>
      <c r="F397" s="101"/>
      <c r="G397" s="101"/>
      <c r="H397" s="101"/>
      <c r="I397" s="101"/>
    </row>
    <row r="398" customFormat="false" ht="18" hidden="false" customHeight="true" outlineLevel="0" collapsed="false">
      <c r="A398" s="97" t="n">
        <v>2</v>
      </c>
      <c r="B398" s="98" t="s">
        <v>365</v>
      </c>
      <c r="C398" s="99" t="n">
        <f aca="false">IF(FALSE(),"",IF(IFERROR(INDEX(Rekorde!$O$4:$O$19,MATCH(Übungen!$A$5,Rekorde!$A$4:$A$19,0)),"")="","",ROUND(IFERROR(INDEX(Rekorde!$O$4:$O$19,MATCH(Übungen!$A$5,Rekorde!$A$4:$A$19,0)),"")*0.7*2,0)/2))</f>
        <v>80.5</v>
      </c>
      <c r="D398" s="100"/>
      <c r="E398" s="101"/>
      <c r="F398" s="101"/>
      <c r="G398" s="101"/>
      <c r="H398" s="101"/>
      <c r="I398" s="101"/>
    </row>
    <row r="399" customFormat="false" ht="18" hidden="false" customHeight="true" outlineLevel="0" collapsed="false">
      <c r="A399" s="97" t="n">
        <v>3</v>
      </c>
      <c r="B399" s="102" t="s">
        <v>366</v>
      </c>
      <c r="C399" s="103" t="n">
        <f aca="false">IF(FALSE(),"",IF(IFERROR(INDEX(Rekorde!$O$4:$O$19,MATCH(Übungen!$A$5,Rekorde!$A$4:$A$19,0)),"")="","",ROUND(IFERROR(INDEX(Rekorde!$O$4:$O$19,MATCH(Übungen!$A$5,Rekorde!$A$4:$A$19,0)),"")*1*2,0)/2))</f>
        <v>115</v>
      </c>
      <c r="D399" s="104" t="n">
        <f aca="false">IF(FALSE(),"",IF(IFERROR(INDEX(Rekorde!$P$4:$P$19,MATCH(Übungen!$A$5,Rekorde!$A$4:$A$19,0)),"")="","",MIN(Übungen!$E$5,IFERROR(INDEX(Rekorde!$P$4:$P$19,MATCH(Übungen!$A$5,Rekorde!$A$4:$A$19,0)),"")+0)))</f>
        <v>6</v>
      </c>
      <c r="E399" s="101"/>
      <c r="F399" s="101"/>
      <c r="G399" s="101"/>
      <c r="H399" s="101"/>
      <c r="I399" s="101"/>
    </row>
    <row r="400" customFormat="false" ht="18" hidden="false" customHeight="true" outlineLevel="0" collapsed="false">
      <c r="A400" s="97" t="n">
        <v>4</v>
      </c>
      <c r="B400" s="102" t="s">
        <v>367</v>
      </c>
      <c r="C400" s="99" t="n">
        <f aca="false">IF(FALSE(),"",IF(IFERROR(INDEX(Rekorde!$O$4:$O$19,MATCH(Übungen!$A$5,Rekorde!$A$4:$A$19,0)),"")="","",ROUND(IFERROR(INDEX(Rekorde!$O$4:$O$19,MATCH(Übungen!$A$5,Rekorde!$A$4:$A$19,0)),"")*0.95*2,0)/2))</f>
        <v>109.5</v>
      </c>
      <c r="D400" s="104" t="n">
        <f aca="false">IF(FALSE(),"",IF(IFERROR(INDEX(Rekorde!$P$4:$P$19,MATCH(Übungen!$A$5,Rekorde!$A$4:$A$19,0)),"")="","",MIN(Übungen!$E$5,IFERROR(INDEX(Rekorde!$P$4:$P$19,MATCH(Übungen!$A$5,Rekorde!$A$4:$A$19,0)),"")+1)))</f>
        <v>7</v>
      </c>
      <c r="E400" s="101"/>
      <c r="F400" s="101"/>
      <c r="G400" s="101"/>
      <c r="H400" s="101"/>
      <c r="I400" s="101"/>
    </row>
    <row r="401" customFormat="false" ht="18" hidden="false" customHeight="true" outlineLevel="0" collapsed="false">
      <c r="A401" s="97" t="n">
        <v>5</v>
      </c>
      <c r="B401" s="102" t="s">
        <v>368</v>
      </c>
      <c r="C401" s="99" t="n">
        <f aca="false">IF(FALSE(),"",IF(IFERROR(INDEX(Rekorde!$O$4:$O$19,MATCH(Übungen!$A$5,Rekorde!$A$4:$A$19,0)),"")="","",ROUND(IFERROR(INDEX(Rekorde!$O$4:$O$19,MATCH(Übungen!$A$5,Rekorde!$A$4:$A$19,0)),"")*0.9*2,0)/2))</f>
        <v>103.5</v>
      </c>
      <c r="D401" s="104" t="n">
        <f aca="false">IF(FALSE(),"",IF(IFERROR(INDEX(Rekorde!$P$4:$P$19,MATCH(Übungen!$A$5,Rekorde!$A$4:$A$19,0)),"")="","",MIN(Übungen!$E$5,IFERROR(INDEX(Rekorde!$P$4:$P$19,MATCH(Übungen!$A$5,Rekorde!$A$4:$A$19,0)),"")+2)))</f>
        <v>8</v>
      </c>
      <c r="E401" s="101"/>
      <c r="F401" s="101"/>
      <c r="G401" s="101"/>
      <c r="H401" s="101"/>
      <c r="I401" s="101"/>
    </row>
    <row r="403" customFormat="false" ht="18.75" hidden="false" customHeight="true" outlineLevel="0" collapsed="false">
      <c r="A403" s="93" t="str">
        <f aca="false">Übungen!$A$6</f>
        <v>Beinstrecker</v>
      </c>
      <c r="B403" s="93"/>
      <c r="C403" s="93"/>
      <c r="D403" s="93"/>
      <c r="E403" s="93"/>
      <c r="F403" s="93"/>
      <c r="G403" s="93"/>
      <c r="H403" s="93"/>
      <c r="I403" s="93"/>
    </row>
    <row r="404" customFormat="false" ht="13.5" hidden="false" customHeight="true" outlineLevel="0" collapsed="false">
      <c r="A404"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4"/>
      <c r="C404" s="94"/>
      <c r="D404" s="94"/>
      <c r="E404" s="94"/>
      <c r="F404" s="94"/>
      <c r="G404" s="94"/>
      <c r="H404" s="94"/>
      <c r="I404" s="94"/>
    </row>
    <row r="405" customFormat="false" ht="13.5" hidden="false" customHeight="true" outlineLevel="0" collapsed="false">
      <c r="A405"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405" s="95"/>
      <c r="C405" s="95"/>
      <c r="D405" s="95"/>
      <c r="E405" s="95"/>
      <c r="F405" s="95"/>
      <c r="G405" s="95"/>
      <c r="H405" s="95"/>
      <c r="I405" s="95"/>
    </row>
    <row r="406" customFormat="false" ht="18" hidden="false" customHeight="true" outlineLevel="0" collapsed="false">
      <c r="A406" s="96" t="s">
        <v>358</v>
      </c>
      <c r="B406" s="96" t="s">
        <v>359</v>
      </c>
      <c r="C406" s="96" t="s">
        <v>360</v>
      </c>
      <c r="D406" s="96" t="s">
        <v>361</v>
      </c>
      <c r="E406" s="96" t="s">
        <v>362</v>
      </c>
      <c r="F406" s="96" t="s">
        <v>276</v>
      </c>
      <c r="G406" s="96" t="s">
        <v>46</v>
      </c>
      <c r="H406" s="96" t="s">
        <v>363</v>
      </c>
      <c r="I406" s="96" t="s">
        <v>178</v>
      </c>
    </row>
    <row r="407" customFormat="false" ht="18" hidden="false" customHeight="true" outlineLevel="0" collapsed="false">
      <c r="A407" s="97" t="n">
        <v>1</v>
      </c>
      <c r="B407" s="98" t="s">
        <v>364</v>
      </c>
      <c r="C407" s="99" t="n">
        <f aca="false">IF(FALSE(),"",IF(IFERROR(INDEX(Rekorde!$O$4:$O$19,MATCH(Übungen!$A$6,Rekorde!$A$4:$A$19,0)),"")="","",ROUND(IFERROR(INDEX(Rekorde!$O$4:$O$19,MATCH(Übungen!$A$6,Rekorde!$A$4:$A$19,0)),"")*0.4*2,0)/2))</f>
        <v>34</v>
      </c>
      <c r="D407" s="100"/>
      <c r="E407" s="101"/>
      <c r="F407" s="101"/>
      <c r="G407" s="101"/>
      <c r="H407" s="101"/>
      <c r="I407" s="101"/>
    </row>
    <row r="408" customFormat="false" ht="18" hidden="false" customHeight="true" outlineLevel="0" collapsed="false">
      <c r="A408" s="97" t="n">
        <v>2</v>
      </c>
      <c r="B408" s="98" t="s">
        <v>365</v>
      </c>
      <c r="C408" s="99" t="n">
        <f aca="false">IF(FALSE(),"",IF(IFERROR(INDEX(Rekorde!$O$4:$O$19,MATCH(Übungen!$A$6,Rekorde!$A$4:$A$19,0)),"")="","",ROUND(IFERROR(INDEX(Rekorde!$O$4:$O$19,MATCH(Übungen!$A$6,Rekorde!$A$4:$A$19,0)),"")*0.7*2,0)/2))</f>
        <v>59.5</v>
      </c>
      <c r="D408" s="100"/>
      <c r="E408" s="101"/>
      <c r="F408" s="101"/>
      <c r="G408" s="101"/>
      <c r="H408" s="101"/>
      <c r="I408" s="101"/>
    </row>
    <row r="409" customFormat="false" ht="18" hidden="false" customHeight="true" outlineLevel="0" collapsed="false">
      <c r="A409" s="97" t="n">
        <v>3</v>
      </c>
      <c r="B409" s="102" t="s">
        <v>366</v>
      </c>
      <c r="C409" s="103" t="n">
        <f aca="false">IF(FALSE(),"",IF(IFERROR(INDEX(Rekorde!$O$4:$O$19,MATCH(Übungen!$A$6,Rekorde!$A$4:$A$19,0)),"")="","",ROUND(IFERROR(INDEX(Rekorde!$O$4:$O$19,MATCH(Übungen!$A$6,Rekorde!$A$4:$A$19,0)),"")*1*2,0)/2))</f>
        <v>85</v>
      </c>
      <c r="D409" s="104" t="n">
        <f aca="false">IF(FALSE(),"",IF(IFERROR(INDEX(Rekorde!$P$4:$P$19,MATCH(Übungen!$A$6,Rekorde!$A$4:$A$19,0)),"")="","",MIN(Übungen!$E$6,IFERROR(INDEX(Rekorde!$P$4:$P$19,MATCH(Übungen!$A$6,Rekorde!$A$4:$A$19,0)),"")+0)))</f>
        <v>5</v>
      </c>
      <c r="E409" s="101"/>
      <c r="F409" s="101"/>
      <c r="G409" s="101"/>
      <c r="H409" s="101"/>
      <c r="I409" s="101"/>
    </row>
    <row r="410" customFormat="false" ht="18" hidden="false" customHeight="true" outlineLevel="0" collapsed="false">
      <c r="A410" s="97" t="n">
        <v>4</v>
      </c>
      <c r="B410" s="102" t="s">
        <v>367</v>
      </c>
      <c r="C410" s="99" t="n">
        <f aca="false">IF(FALSE(),"",IF(IFERROR(INDEX(Rekorde!$O$4:$O$19,MATCH(Übungen!$A$6,Rekorde!$A$4:$A$19,0)),"")="","",ROUND(IFERROR(INDEX(Rekorde!$O$4:$O$19,MATCH(Übungen!$A$6,Rekorde!$A$4:$A$19,0)),"")*0.95*2,0)/2))</f>
        <v>81</v>
      </c>
      <c r="D410" s="104" t="n">
        <f aca="false">IF(FALSE(),"",IF(IFERROR(INDEX(Rekorde!$P$4:$P$19,MATCH(Übungen!$A$6,Rekorde!$A$4:$A$19,0)),"")="","",MIN(Übungen!$E$6,IFERROR(INDEX(Rekorde!$P$4:$P$19,MATCH(Übungen!$A$6,Rekorde!$A$4:$A$19,0)),"")+1)))</f>
        <v>6</v>
      </c>
      <c r="E410" s="101"/>
      <c r="F410" s="101"/>
      <c r="G410" s="101"/>
      <c r="H410" s="101"/>
      <c r="I410" s="101"/>
    </row>
    <row r="411" customFormat="false" ht="18" hidden="false" customHeight="true" outlineLevel="0" collapsed="false">
      <c r="A411" s="97" t="n">
        <v>5</v>
      </c>
      <c r="B411" s="102" t="s">
        <v>368</v>
      </c>
      <c r="C411" s="99" t="n">
        <f aca="false">IF(FALSE(),"",IF(IFERROR(INDEX(Rekorde!$O$4:$O$19,MATCH(Übungen!$A$6,Rekorde!$A$4:$A$19,0)),"")="","",ROUND(IFERROR(INDEX(Rekorde!$O$4:$O$19,MATCH(Übungen!$A$6,Rekorde!$A$4:$A$19,0)),"")*0.9*2,0)/2))</f>
        <v>76.5</v>
      </c>
      <c r="D411" s="104" t="n">
        <f aca="false">IF(FALSE(),"",IF(IFERROR(INDEX(Rekorde!$P$4:$P$19,MATCH(Übungen!$A$6,Rekorde!$A$4:$A$19,0)),"")="","",MIN(Übungen!$E$6,IFERROR(INDEX(Rekorde!$P$4:$P$19,MATCH(Übungen!$A$6,Rekorde!$A$4:$A$19,0)),"")+2)))</f>
        <v>7</v>
      </c>
      <c r="E411" s="101"/>
      <c r="F411" s="101"/>
      <c r="G411" s="101"/>
      <c r="H411" s="101"/>
      <c r="I411" s="101"/>
    </row>
    <row r="413" customFormat="false" ht="18.75" hidden="false" customHeight="true" outlineLevel="0" collapsed="false">
      <c r="A413" s="93" t="str">
        <f aca="false">Übungen!$A$7</f>
        <v>Adduktion</v>
      </c>
      <c r="B413" s="93"/>
      <c r="C413" s="93"/>
      <c r="D413" s="93"/>
      <c r="E413" s="93"/>
      <c r="F413" s="93"/>
      <c r="G413" s="93"/>
      <c r="H413" s="93"/>
      <c r="I413" s="93"/>
    </row>
    <row r="414" customFormat="false" ht="13.5" hidden="false" customHeight="true" outlineLevel="0" collapsed="false">
      <c r="A414"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4"/>
      <c r="C414" s="94"/>
      <c r="D414" s="94"/>
      <c r="E414" s="94"/>
      <c r="F414" s="94"/>
      <c r="G414" s="94"/>
      <c r="H414" s="94"/>
      <c r="I414" s="94"/>
    </row>
    <row r="415" customFormat="false" ht="13.5" hidden="false" customHeight="true" outlineLevel="0" collapsed="false">
      <c r="A415"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415" s="95"/>
      <c r="C415" s="95"/>
      <c r="D415" s="95"/>
      <c r="E415" s="95"/>
      <c r="F415" s="95"/>
      <c r="G415" s="95"/>
      <c r="H415" s="95"/>
      <c r="I415" s="95"/>
    </row>
    <row r="416" customFormat="false" ht="18" hidden="false" customHeight="true" outlineLevel="0" collapsed="false">
      <c r="A416" s="96" t="s">
        <v>358</v>
      </c>
      <c r="B416" s="96" t="s">
        <v>359</v>
      </c>
      <c r="C416" s="96" t="s">
        <v>360</v>
      </c>
      <c r="D416" s="96" t="s">
        <v>361</v>
      </c>
      <c r="E416" s="96" t="s">
        <v>362</v>
      </c>
      <c r="F416" s="96" t="s">
        <v>276</v>
      </c>
      <c r="G416" s="96" t="s">
        <v>46</v>
      </c>
      <c r="H416" s="96" t="s">
        <v>363</v>
      </c>
      <c r="I416" s="96" t="s">
        <v>178</v>
      </c>
    </row>
    <row r="417" customFormat="false" ht="18" hidden="false" customHeight="true" outlineLevel="0" collapsed="false">
      <c r="A417" s="97" t="n">
        <v>1</v>
      </c>
      <c r="B417" s="98" t="s">
        <v>364</v>
      </c>
      <c r="C417" s="99" t="n">
        <f aca="false">IF(FALSE(),"",IF(IFERROR(INDEX(Rekorde!$O$4:$O$19,MATCH(Übungen!$A$7,Rekorde!$A$4:$A$19,0)),"")="","",ROUND(IFERROR(INDEX(Rekorde!$O$4:$O$19,MATCH(Übungen!$A$7,Rekorde!$A$4:$A$19,0)),"")*0.4*2,0)/2))</f>
        <v>74</v>
      </c>
      <c r="D417" s="100"/>
      <c r="E417" s="101"/>
      <c r="F417" s="101"/>
      <c r="G417" s="101"/>
      <c r="H417" s="101"/>
      <c r="I417" s="101"/>
    </row>
    <row r="418" customFormat="false" ht="18" hidden="false" customHeight="true" outlineLevel="0" collapsed="false">
      <c r="A418" s="97" t="n">
        <v>2</v>
      </c>
      <c r="B418" s="98" t="s">
        <v>365</v>
      </c>
      <c r="C418" s="99" t="n">
        <f aca="false">IF(FALSE(),"",IF(IFERROR(INDEX(Rekorde!$O$4:$O$19,MATCH(Übungen!$A$7,Rekorde!$A$4:$A$19,0)),"")="","",ROUND(IFERROR(INDEX(Rekorde!$O$4:$O$19,MATCH(Übungen!$A$7,Rekorde!$A$4:$A$19,0)),"")*0.7*2,0)/2))</f>
        <v>129.5</v>
      </c>
      <c r="D418" s="100"/>
      <c r="E418" s="101"/>
      <c r="F418" s="101"/>
      <c r="G418" s="101"/>
      <c r="H418" s="101"/>
      <c r="I418" s="101"/>
    </row>
    <row r="419" customFormat="false" ht="18" hidden="false" customHeight="true" outlineLevel="0" collapsed="false">
      <c r="A419" s="97" t="n">
        <v>3</v>
      </c>
      <c r="B419" s="102" t="s">
        <v>366</v>
      </c>
      <c r="C419" s="103" t="n">
        <f aca="false">IF(FALSE(),"",IF(IFERROR(INDEX(Rekorde!$O$4:$O$19,MATCH(Übungen!$A$7,Rekorde!$A$4:$A$19,0)),"")="","",ROUND(IFERROR(INDEX(Rekorde!$O$4:$O$19,MATCH(Übungen!$A$7,Rekorde!$A$4:$A$19,0)),"")*1*2,0)/2))</f>
        <v>185</v>
      </c>
      <c r="D419" s="104" t="n">
        <f aca="false">IF(FALSE(),"",IF(IFERROR(INDEX(Rekorde!$P$4:$P$19,MATCH(Übungen!$A$7,Rekorde!$A$4:$A$19,0)),"")="","",MIN(Übungen!$E$7,IFERROR(INDEX(Rekorde!$P$4:$P$19,MATCH(Übungen!$A$7,Rekorde!$A$4:$A$19,0)),"")+0)))</f>
        <v>6</v>
      </c>
      <c r="E419" s="101"/>
      <c r="F419" s="101"/>
      <c r="G419" s="101"/>
      <c r="H419" s="101"/>
      <c r="I419" s="101"/>
    </row>
    <row r="420" customFormat="false" ht="18" hidden="false" customHeight="true" outlineLevel="0" collapsed="false">
      <c r="A420" s="97" t="n">
        <v>4</v>
      </c>
      <c r="B420" s="102" t="s">
        <v>367</v>
      </c>
      <c r="C420" s="99" t="n">
        <f aca="false">IF(FALSE(),"",IF(IFERROR(INDEX(Rekorde!$O$4:$O$19,MATCH(Übungen!$A$7,Rekorde!$A$4:$A$19,0)),"")="","",ROUND(IFERROR(INDEX(Rekorde!$O$4:$O$19,MATCH(Übungen!$A$7,Rekorde!$A$4:$A$19,0)),"")*0.95*2,0)/2))</f>
        <v>176</v>
      </c>
      <c r="D420" s="104" t="n">
        <f aca="false">IF(FALSE(),"",IF(IFERROR(INDEX(Rekorde!$P$4:$P$19,MATCH(Übungen!$A$7,Rekorde!$A$4:$A$19,0)),"")="","",MIN(Übungen!$E$7,IFERROR(INDEX(Rekorde!$P$4:$P$19,MATCH(Übungen!$A$7,Rekorde!$A$4:$A$19,0)),"")+1)))</f>
        <v>7</v>
      </c>
      <c r="E420" s="101"/>
      <c r="F420" s="101"/>
      <c r="G420" s="101"/>
      <c r="H420" s="101"/>
      <c r="I420" s="101"/>
    </row>
    <row r="421" customFormat="false" ht="18" hidden="false" customHeight="true" outlineLevel="0" collapsed="false">
      <c r="A421" s="97" t="n">
        <v>5</v>
      </c>
      <c r="B421" s="102" t="s">
        <v>368</v>
      </c>
      <c r="C421" s="99" t="n">
        <f aca="false">IF(FALSE(),"",IF(IFERROR(INDEX(Rekorde!$O$4:$O$19,MATCH(Übungen!$A$7,Rekorde!$A$4:$A$19,0)),"")="","",ROUND(IFERROR(INDEX(Rekorde!$O$4:$O$19,MATCH(Übungen!$A$7,Rekorde!$A$4:$A$19,0)),"")*0.9*2,0)/2))</f>
        <v>166.5</v>
      </c>
      <c r="D421" s="104" t="n">
        <f aca="false">IF(FALSE(),"",IF(IFERROR(INDEX(Rekorde!$P$4:$P$19,MATCH(Übungen!$A$7,Rekorde!$A$4:$A$19,0)),"")="","",MIN(Übungen!$E$7,IFERROR(INDEX(Rekorde!$P$4:$P$19,MATCH(Übungen!$A$7,Rekorde!$A$4:$A$19,0)),"")+2)))</f>
        <v>8</v>
      </c>
      <c r="E421" s="101"/>
      <c r="F421" s="101"/>
      <c r="G421" s="101"/>
      <c r="H421" s="101"/>
      <c r="I421" s="101"/>
    </row>
    <row r="423" customFormat="false" ht="15.75" hidden="false" customHeight="true" outlineLevel="0" collapsed="false">
      <c r="A423" s="3" t="s">
        <v>369</v>
      </c>
      <c r="B423" s="3"/>
      <c r="C423" s="3"/>
      <c r="D423" s="3"/>
      <c r="E423" s="3"/>
      <c r="F423" s="3"/>
      <c r="G423" s="3"/>
      <c r="H423" s="3"/>
      <c r="I423" s="3"/>
    </row>
    <row r="424" customFormat="false" ht="18" hidden="false" customHeight="true" outlineLevel="0" collapsed="false">
      <c r="A424" s="105"/>
      <c r="B424" s="105"/>
      <c r="C424" s="105"/>
      <c r="D424" s="105"/>
      <c r="E424" s="105"/>
      <c r="F424" s="105"/>
      <c r="G424" s="105"/>
      <c r="H424" s="105"/>
      <c r="I424" s="105"/>
    </row>
    <row r="425" customFormat="false" ht="18" hidden="false" customHeight="true" outlineLevel="0" collapsed="false">
      <c r="A425" s="105"/>
      <c r="B425" s="105"/>
      <c r="C425" s="105"/>
      <c r="D425" s="105"/>
      <c r="E425" s="105"/>
      <c r="F425" s="105"/>
      <c r="G425" s="105"/>
      <c r="H425" s="105"/>
      <c r="I425" s="105"/>
    </row>
    <row r="427" customFormat="false" ht="27.75" hidden="false" customHeight="true" outlineLevel="0" collapsed="false">
      <c r="A427" s="1" t="s">
        <v>376</v>
      </c>
      <c r="B427" s="1"/>
      <c r="C427" s="1"/>
      <c r="D427" s="1"/>
      <c r="E427" s="1"/>
      <c r="F427" s="1"/>
      <c r="G427" s="1"/>
      <c r="H427" s="1"/>
      <c r="I427" s="1"/>
    </row>
    <row r="428" customFormat="false" ht="12" hidden="false" customHeight="true" outlineLevel="0" collapsed="false">
      <c r="A428" s="90" t="s">
        <v>69</v>
      </c>
      <c r="B428" s="90"/>
      <c r="C428" s="91" t="s">
        <v>354</v>
      </c>
      <c r="D428" s="91" t="s">
        <v>355</v>
      </c>
      <c r="E428" s="90" t="s">
        <v>356</v>
      </c>
      <c r="F428" s="90"/>
      <c r="G428" s="90" t="s">
        <v>357</v>
      </c>
      <c r="H428" s="90"/>
    </row>
    <row r="429" customFormat="false" ht="18" hidden="false" customHeight="true" outlineLevel="0" collapsed="false">
      <c r="A429" s="92"/>
      <c r="B429" s="92"/>
      <c r="C429" s="92"/>
      <c r="D429" s="92"/>
      <c r="E429" s="92"/>
      <c r="F429" s="92"/>
      <c r="G429" s="92"/>
      <c r="H429" s="92"/>
    </row>
    <row r="431" customFormat="false" ht="18.75" hidden="false" customHeight="true" outlineLevel="0" collapsed="false">
      <c r="A431" s="93" t="str">
        <f aca="false">Übungen!$A$8</f>
        <v>Rumänisches Kreuzheben</v>
      </c>
      <c r="B431" s="93"/>
      <c r="C431" s="93"/>
      <c r="D431" s="93"/>
      <c r="E431" s="93"/>
      <c r="F431" s="93"/>
      <c r="G431" s="93"/>
      <c r="H431" s="93"/>
      <c r="I431" s="93"/>
    </row>
    <row r="432" customFormat="false" ht="13.5" hidden="false" customHeight="true" outlineLevel="0" collapsed="false">
      <c r="A432"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432" s="94"/>
      <c r="C432" s="94"/>
      <c r="D432" s="94"/>
      <c r="E432" s="94"/>
      <c r="F432" s="94"/>
      <c r="G432" s="94"/>
      <c r="H432" s="94"/>
      <c r="I432" s="94"/>
    </row>
    <row r="433" customFormat="false" ht="13.5" hidden="false" customHeight="true" outlineLevel="0" collapsed="false">
      <c r="A433"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433" s="95"/>
      <c r="C433" s="95"/>
      <c r="D433" s="95"/>
      <c r="E433" s="95"/>
      <c r="F433" s="95"/>
      <c r="G433" s="95"/>
      <c r="H433" s="95"/>
      <c r="I433" s="95"/>
    </row>
    <row r="434" customFormat="false" ht="18" hidden="false" customHeight="true" outlineLevel="0" collapsed="false">
      <c r="A434" s="96" t="s">
        <v>358</v>
      </c>
      <c r="B434" s="96" t="s">
        <v>359</v>
      </c>
      <c r="C434" s="96" t="s">
        <v>360</v>
      </c>
      <c r="D434" s="96" t="s">
        <v>361</v>
      </c>
      <c r="E434" s="96" t="s">
        <v>362</v>
      </c>
      <c r="F434" s="96" t="s">
        <v>276</v>
      </c>
      <c r="G434" s="96" t="s">
        <v>46</v>
      </c>
      <c r="H434" s="96" t="s">
        <v>363</v>
      </c>
      <c r="I434" s="96" t="s">
        <v>178</v>
      </c>
    </row>
    <row r="435" customFormat="false" ht="18" hidden="false" customHeight="true" outlineLevel="0" collapsed="false">
      <c r="A435" s="97" t="n">
        <v>1</v>
      </c>
      <c r="B435" s="98" t="s">
        <v>364</v>
      </c>
      <c r="C435" s="99" t="n">
        <f aca="false">IF(FALSE(),"",IF(IFERROR(INDEX(Rekorde!$O$4:$O$19,MATCH(Übungen!$A$8,Rekorde!$A$4:$A$19,0)),"")="","",ROUND(IFERROR(INDEX(Rekorde!$O$4:$O$19,MATCH(Übungen!$A$8,Rekorde!$A$4:$A$19,0)),"")*0.4*2,0)/2))</f>
        <v>54</v>
      </c>
      <c r="D435" s="100"/>
      <c r="E435" s="101"/>
      <c r="F435" s="101"/>
      <c r="G435" s="101"/>
      <c r="H435" s="101"/>
      <c r="I435" s="101"/>
    </row>
    <row r="436" customFormat="false" ht="18" hidden="false" customHeight="true" outlineLevel="0" collapsed="false">
      <c r="A436" s="97" t="n">
        <v>2</v>
      </c>
      <c r="B436" s="98" t="s">
        <v>365</v>
      </c>
      <c r="C436" s="99" t="n">
        <f aca="false">IF(FALSE(),"",IF(IFERROR(INDEX(Rekorde!$O$4:$O$19,MATCH(Übungen!$A$8,Rekorde!$A$4:$A$19,0)),"")="","",ROUND(IFERROR(INDEX(Rekorde!$O$4:$O$19,MATCH(Übungen!$A$8,Rekorde!$A$4:$A$19,0)),"")*0.7*2,0)/2))</f>
        <v>94.5</v>
      </c>
      <c r="D436" s="100"/>
      <c r="E436" s="101"/>
      <c r="F436" s="101"/>
      <c r="G436" s="101"/>
      <c r="H436" s="101"/>
      <c r="I436" s="101"/>
    </row>
    <row r="437" customFormat="false" ht="18" hidden="false" customHeight="true" outlineLevel="0" collapsed="false">
      <c r="A437" s="97" t="n">
        <v>3</v>
      </c>
      <c r="B437" s="102" t="s">
        <v>366</v>
      </c>
      <c r="C437" s="103" t="n">
        <f aca="false">IF(FALSE(),"",IF(IFERROR(INDEX(Rekorde!$O$4:$O$19,MATCH(Übungen!$A$8,Rekorde!$A$4:$A$19,0)),"")="","",ROUND(IFERROR(INDEX(Rekorde!$O$4:$O$19,MATCH(Übungen!$A$8,Rekorde!$A$4:$A$19,0)),"")*1*2,0)/2))</f>
        <v>135</v>
      </c>
      <c r="D437" s="104" t="n">
        <f aca="false">IF(FALSE(),"",IF(IFERROR(INDEX(Rekorde!$P$4:$P$19,MATCH(Übungen!$A$8,Rekorde!$A$4:$A$19,0)),"")="","",MIN(Übungen!$E$8,IFERROR(INDEX(Rekorde!$P$4:$P$19,MATCH(Übungen!$A$8,Rekorde!$A$4:$A$19,0)),"")+0)))</f>
        <v>7</v>
      </c>
      <c r="E437" s="101"/>
      <c r="F437" s="101"/>
      <c r="G437" s="101"/>
      <c r="H437" s="101"/>
      <c r="I437" s="101"/>
    </row>
    <row r="438" customFormat="false" ht="18" hidden="false" customHeight="true" outlineLevel="0" collapsed="false">
      <c r="A438" s="97" t="n">
        <v>4</v>
      </c>
      <c r="B438" s="102" t="s">
        <v>367</v>
      </c>
      <c r="C438" s="99" t="n">
        <f aca="false">IF(FALSE(),"",IF(IFERROR(INDEX(Rekorde!$O$4:$O$19,MATCH(Übungen!$A$8,Rekorde!$A$4:$A$19,0)),"")="","",ROUND(IFERROR(INDEX(Rekorde!$O$4:$O$19,MATCH(Übungen!$A$8,Rekorde!$A$4:$A$19,0)),"")*0.95*2,0)/2))</f>
        <v>128.5</v>
      </c>
      <c r="D438" s="104" t="n">
        <f aca="false">IF(FALSE(),"",IF(IFERROR(INDEX(Rekorde!$P$4:$P$19,MATCH(Übungen!$A$8,Rekorde!$A$4:$A$19,0)),"")="","",MIN(Übungen!$E$8,IFERROR(INDEX(Rekorde!$P$4:$P$19,MATCH(Übungen!$A$8,Rekorde!$A$4:$A$19,0)),"")+1)))</f>
        <v>8</v>
      </c>
      <c r="E438" s="101"/>
      <c r="F438" s="101"/>
      <c r="G438" s="101"/>
      <c r="H438" s="101"/>
      <c r="I438" s="101"/>
    </row>
    <row r="439" customFormat="false" ht="18" hidden="false" customHeight="true" outlineLevel="0" collapsed="false">
      <c r="A439" s="97" t="n">
        <v>5</v>
      </c>
      <c r="B439" s="102" t="s">
        <v>368</v>
      </c>
      <c r="C439" s="99" t="n">
        <f aca="false">IF(FALSE(),"",IF(IFERROR(INDEX(Rekorde!$O$4:$O$19,MATCH(Übungen!$A$8,Rekorde!$A$4:$A$19,0)),"")="","",ROUND(IFERROR(INDEX(Rekorde!$O$4:$O$19,MATCH(Übungen!$A$8,Rekorde!$A$4:$A$19,0)),"")*0.9*2,0)/2))</f>
        <v>121.5</v>
      </c>
      <c r="D439" s="104" t="n">
        <f aca="false">IF(FALSE(),"",IF(IFERROR(INDEX(Rekorde!$P$4:$P$19,MATCH(Übungen!$A$8,Rekorde!$A$4:$A$19,0)),"")="","",MIN(Übungen!$E$8,IFERROR(INDEX(Rekorde!$P$4:$P$19,MATCH(Übungen!$A$8,Rekorde!$A$4:$A$19,0)),"")+2)))</f>
        <v>8</v>
      </c>
      <c r="E439" s="101"/>
      <c r="F439" s="101"/>
      <c r="G439" s="101"/>
      <c r="H439" s="101"/>
      <c r="I439" s="101"/>
    </row>
    <row r="441" customFormat="false" ht="18.75" hidden="false" customHeight="true" outlineLevel="0" collapsed="false">
      <c r="A441" s="93" t="str">
        <f aca="false">Übungen!$A$9</f>
        <v>Beinpresse breit</v>
      </c>
      <c r="B441" s="93"/>
      <c r="C441" s="93"/>
      <c r="D441" s="93"/>
      <c r="E441" s="93"/>
      <c r="F441" s="93"/>
      <c r="G441" s="93"/>
      <c r="H441" s="93"/>
      <c r="I441" s="93"/>
    </row>
    <row r="442" customFormat="false" ht="13.5" hidden="false" customHeight="true" outlineLevel="0" collapsed="false">
      <c r="A442"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442" s="94"/>
      <c r="C442" s="94"/>
      <c r="D442" s="94"/>
      <c r="E442" s="94"/>
      <c r="F442" s="94"/>
      <c r="G442" s="94"/>
      <c r="H442" s="94"/>
      <c r="I442" s="94"/>
    </row>
    <row r="443" customFormat="false" ht="13.5" hidden="false" customHeight="true" outlineLevel="0" collapsed="false">
      <c r="A443"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443" s="95"/>
      <c r="C443" s="95"/>
      <c r="D443" s="95"/>
      <c r="E443" s="95"/>
      <c r="F443" s="95"/>
      <c r="G443" s="95"/>
      <c r="H443" s="95"/>
      <c r="I443" s="95"/>
    </row>
    <row r="444" customFormat="false" ht="18" hidden="false" customHeight="true" outlineLevel="0" collapsed="false">
      <c r="A444" s="96" t="s">
        <v>358</v>
      </c>
      <c r="B444" s="96" t="s">
        <v>359</v>
      </c>
      <c r="C444" s="96" t="s">
        <v>360</v>
      </c>
      <c r="D444" s="96" t="s">
        <v>361</v>
      </c>
      <c r="E444" s="96" t="s">
        <v>362</v>
      </c>
      <c r="F444" s="96" t="s">
        <v>276</v>
      </c>
      <c r="G444" s="96" t="s">
        <v>46</v>
      </c>
      <c r="H444" s="96" t="s">
        <v>363</v>
      </c>
      <c r="I444" s="96" t="s">
        <v>178</v>
      </c>
    </row>
    <row r="445" customFormat="false" ht="18" hidden="false" customHeight="true" outlineLevel="0" collapsed="false">
      <c r="A445" s="97" t="n">
        <v>1</v>
      </c>
      <c r="B445" s="98" t="s">
        <v>364</v>
      </c>
      <c r="C445" s="99" t="n">
        <f aca="false">IF(FALSE(),"",IF(IFERROR(INDEX(Rekorde!$O$4:$O$19,MATCH(Übungen!$A$9,Rekorde!$A$4:$A$19,0)),"")="","",ROUND(IFERROR(INDEX(Rekorde!$O$4:$O$19,MATCH(Übungen!$A$9,Rekorde!$A$4:$A$19,0)),"")*0.4*2,0)/2))</f>
        <v>104</v>
      </c>
      <c r="D445" s="100"/>
      <c r="E445" s="101"/>
      <c r="F445" s="101"/>
      <c r="G445" s="101"/>
      <c r="H445" s="101"/>
      <c r="I445" s="101"/>
    </row>
    <row r="446" customFormat="false" ht="18" hidden="false" customHeight="true" outlineLevel="0" collapsed="false">
      <c r="A446" s="97" t="n">
        <v>2</v>
      </c>
      <c r="B446" s="98" t="s">
        <v>365</v>
      </c>
      <c r="C446" s="99" t="n">
        <f aca="false">IF(FALSE(),"",IF(IFERROR(INDEX(Rekorde!$O$4:$O$19,MATCH(Übungen!$A$9,Rekorde!$A$4:$A$19,0)),"")="","",ROUND(IFERROR(INDEX(Rekorde!$O$4:$O$19,MATCH(Übungen!$A$9,Rekorde!$A$4:$A$19,0)),"")*0.7*2,0)/2))</f>
        <v>182</v>
      </c>
      <c r="D446" s="100"/>
      <c r="E446" s="101"/>
      <c r="F446" s="101"/>
      <c r="G446" s="101"/>
      <c r="H446" s="101"/>
      <c r="I446" s="101"/>
    </row>
    <row r="447" customFormat="false" ht="18" hidden="false" customHeight="true" outlineLevel="0" collapsed="false">
      <c r="A447" s="97" t="n">
        <v>3</v>
      </c>
      <c r="B447" s="102" t="s">
        <v>366</v>
      </c>
      <c r="C447" s="103" t="n">
        <f aca="false">IF(FALSE(),"",IF(IFERROR(INDEX(Rekorde!$O$4:$O$19,MATCH(Übungen!$A$9,Rekorde!$A$4:$A$19,0)),"")="","",ROUND(IFERROR(INDEX(Rekorde!$O$4:$O$19,MATCH(Übungen!$A$9,Rekorde!$A$4:$A$19,0)),"")*1*2,0)/2))</f>
        <v>260</v>
      </c>
      <c r="D447" s="104" t="n">
        <f aca="false">IF(FALSE(),"",IF(IFERROR(INDEX(Rekorde!$P$4:$P$19,MATCH(Übungen!$A$9,Rekorde!$A$4:$A$19,0)),"")="","",MIN(Übungen!$E$9,IFERROR(INDEX(Rekorde!$P$4:$P$19,MATCH(Übungen!$A$9,Rekorde!$A$4:$A$19,0)),"")+0)))</f>
        <v>5</v>
      </c>
      <c r="E447" s="101"/>
      <c r="F447" s="101"/>
      <c r="G447" s="101"/>
      <c r="H447" s="101"/>
      <c r="I447" s="101"/>
    </row>
    <row r="448" customFormat="false" ht="18" hidden="false" customHeight="true" outlineLevel="0" collapsed="false">
      <c r="A448" s="97" t="n">
        <v>4</v>
      </c>
      <c r="B448" s="102" t="s">
        <v>367</v>
      </c>
      <c r="C448" s="99" t="n">
        <f aca="false">IF(FALSE(),"",IF(IFERROR(INDEX(Rekorde!$O$4:$O$19,MATCH(Übungen!$A$9,Rekorde!$A$4:$A$19,0)),"")="","",ROUND(IFERROR(INDEX(Rekorde!$O$4:$O$19,MATCH(Übungen!$A$9,Rekorde!$A$4:$A$19,0)),"")*0.95*2,0)/2))</f>
        <v>247</v>
      </c>
      <c r="D448" s="104" t="n">
        <f aca="false">IF(FALSE(),"",IF(IFERROR(INDEX(Rekorde!$P$4:$P$19,MATCH(Übungen!$A$9,Rekorde!$A$4:$A$19,0)),"")="","",MIN(Übungen!$E$9,IFERROR(INDEX(Rekorde!$P$4:$P$19,MATCH(Übungen!$A$9,Rekorde!$A$4:$A$19,0)),"")+1)))</f>
        <v>6</v>
      </c>
      <c r="E448" s="101"/>
      <c r="F448" s="101"/>
      <c r="G448" s="101"/>
      <c r="H448" s="101"/>
      <c r="I448" s="101"/>
    </row>
    <row r="449" customFormat="false" ht="18" hidden="false" customHeight="true" outlineLevel="0" collapsed="false">
      <c r="A449" s="97" t="n">
        <v>5</v>
      </c>
      <c r="B449" s="102" t="s">
        <v>368</v>
      </c>
      <c r="C449" s="99" t="n">
        <f aca="false">IF(FALSE(),"",IF(IFERROR(INDEX(Rekorde!$O$4:$O$19,MATCH(Übungen!$A$9,Rekorde!$A$4:$A$19,0)),"")="","",ROUND(IFERROR(INDEX(Rekorde!$O$4:$O$19,MATCH(Übungen!$A$9,Rekorde!$A$4:$A$19,0)),"")*0.9*2,0)/2))</f>
        <v>234</v>
      </c>
      <c r="D449" s="104" t="n">
        <f aca="false">IF(FALSE(),"",IF(IFERROR(INDEX(Rekorde!$P$4:$P$19,MATCH(Übungen!$A$9,Rekorde!$A$4:$A$19,0)),"")="","",MIN(Übungen!$E$9,IFERROR(INDEX(Rekorde!$P$4:$P$19,MATCH(Übungen!$A$9,Rekorde!$A$4:$A$19,0)),"")+2)))</f>
        <v>7</v>
      </c>
      <c r="E449" s="101"/>
      <c r="F449" s="101"/>
      <c r="G449" s="101"/>
      <c r="H449" s="101"/>
      <c r="I449" s="101"/>
    </row>
    <row r="451" customFormat="false" ht="18.75" hidden="false" customHeight="true" outlineLevel="0" collapsed="false">
      <c r="A451" s="93" t="str">
        <f aca="false">Übungen!$A$10</f>
        <v>Hip Thrust</v>
      </c>
      <c r="B451" s="93"/>
      <c r="C451" s="93"/>
      <c r="D451" s="93"/>
      <c r="E451" s="93"/>
      <c r="F451" s="93"/>
      <c r="G451" s="93"/>
      <c r="H451" s="93"/>
      <c r="I451" s="93"/>
    </row>
    <row r="452" customFormat="false" ht="13.5" hidden="false" customHeight="true" outlineLevel="0" collapsed="false">
      <c r="A452"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452" s="94"/>
      <c r="C452" s="94"/>
      <c r="D452" s="94"/>
      <c r="E452" s="94"/>
      <c r="F452" s="94"/>
      <c r="G452" s="94"/>
      <c r="H452" s="94"/>
      <c r="I452" s="94"/>
    </row>
    <row r="453" customFormat="false" ht="13.5" hidden="false" customHeight="true" outlineLevel="0" collapsed="false">
      <c r="A453"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453" s="95"/>
      <c r="C453" s="95"/>
      <c r="D453" s="95"/>
      <c r="E453" s="95"/>
      <c r="F453" s="95"/>
      <c r="G453" s="95"/>
      <c r="H453" s="95"/>
      <c r="I453" s="95"/>
    </row>
    <row r="454" customFormat="false" ht="18" hidden="false" customHeight="true" outlineLevel="0" collapsed="false">
      <c r="A454" s="96" t="s">
        <v>358</v>
      </c>
      <c r="B454" s="96" t="s">
        <v>359</v>
      </c>
      <c r="C454" s="96" t="s">
        <v>360</v>
      </c>
      <c r="D454" s="96" t="s">
        <v>361</v>
      </c>
      <c r="E454" s="96" t="s">
        <v>362</v>
      </c>
      <c r="F454" s="96" t="s">
        <v>276</v>
      </c>
      <c r="G454" s="96" t="s">
        <v>46</v>
      </c>
      <c r="H454" s="96" t="s">
        <v>363</v>
      </c>
      <c r="I454" s="96" t="s">
        <v>178</v>
      </c>
    </row>
    <row r="455" customFormat="false" ht="18" hidden="false" customHeight="true" outlineLevel="0" collapsed="false">
      <c r="A455" s="97" t="n">
        <v>1</v>
      </c>
      <c r="B455" s="98" t="s">
        <v>364</v>
      </c>
      <c r="C455" s="99" t="n">
        <f aca="false">IF(FALSE(),"",IF(IFERROR(INDEX(Rekorde!$O$4:$O$19,MATCH(Übungen!$A$10,Rekorde!$A$4:$A$19,0)),"")="","",ROUND(IFERROR(INDEX(Rekorde!$O$4:$O$19,MATCH(Übungen!$A$10,Rekorde!$A$4:$A$19,0)),"")*0.4*2,0)/2))</f>
        <v>118</v>
      </c>
      <c r="D455" s="100"/>
      <c r="E455" s="101"/>
      <c r="F455" s="101"/>
      <c r="G455" s="101"/>
      <c r="H455" s="101"/>
      <c r="I455" s="101"/>
    </row>
    <row r="456" customFormat="false" ht="18" hidden="false" customHeight="true" outlineLevel="0" collapsed="false">
      <c r="A456" s="97" t="n">
        <v>2</v>
      </c>
      <c r="B456" s="98" t="s">
        <v>365</v>
      </c>
      <c r="C456" s="99" t="n">
        <f aca="false">IF(FALSE(),"",IF(IFERROR(INDEX(Rekorde!$O$4:$O$19,MATCH(Übungen!$A$10,Rekorde!$A$4:$A$19,0)),"")="","",ROUND(IFERROR(INDEX(Rekorde!$O$4:$O$19,MATCH(Übungen!$A$10,Rekorde!$A$4:$A$19,0)),"")*0.7*2,0)/2))</f>
        <v>206.5</v>
      </c>
      <c r="D456" s="100"/>
      <c r="E456" s="101"/>
      <c r="F456" s="101"/>
      <c r="G456" s="101"/>
      <c r="H456" s="101"/>
      <c r="I456" s="101"/>
    </row>
    <row r="457" customFormat="false" ht="18" hidden="false" customHeight="true" outlineLevel="0" collapsed="false">
      <c r="A457" s="97" t="n">
        <v>3</v>
      </c>
      <c r="B457" s="102" t="s">
        <v>366</v>
      </c>
      <c r="C457" s="103" t="n">
        <f aca="false">IF(FALSE(),"",IF(IFERROR(INDEX(Rekorde!$O$4:$O$19,MATCH(Übungen!$A$10,Rekorde!$A$4:$A$19,0)),"")="","",ROUND(IFERROR(INDEX(Rekorde!$O$4:$O$19,MATCH(Übungen!$A$10,Rekorde!$A$4:$A$19,0)),"")*1*2,0)/2))</f>
        <v>295</v>
      </c>
      <c r="D457" s="104" t="n">
        <f aca="false">IF(FALSE(),"",IF(IFERROR(INDEX(Rekorde!$P$4:$P$19,MATCH(Übungen!$A$10,Rekorde!$A$4:$A$19,0)),"")="","",MIN(Übungen!$E$10,IFERROR(INDEX(Rekorde!$P$4:$P$19,MATCH(Übungen!$A$10,Rekorde!$A$4:$A$19,0)),"")+0)))</f>
        <v>5</v>
      </c>
      <c r="E457" s="101"/>
      <c r="F457" s="101"/>
      <c r="G457" s="101"/>
      <c r="H457" s="101"/>
      <c r="I457" s="101"/>
    </row>
    <row r="458" customFormat="false" ht="18" hidden="false" customHeight="true" outlineLevel="0" collapsed="false">
      <c r="A458" s="97" t="n">
        <v>4</v>
      </c>
      <c r="B458" s="102" t="s">
        <v>367</v>
      </c>
      <c r="C458" s="99" t="n">
        <f aca="false">IF(FALSE(),"",IF(IFERROR(INDEX(Rekorde!$O$4:$O$19,MATCH(Übungen!$A$10,Rekorde!$A$4:$A$19,0)),"")="","",ROUND(IFERROR(INDEX(Rekorde!$O$4:$O$19,MATCH(Übungen!$A$10,Rekorde!$A$4:$A$19,0)),"")*0.95*2,0)/2))</f>
        <v>280.5</v>
      </c>
      <c r="D458" s="104" t="n">
        <f aca="false">IF(FALSE(),"",IF(IFERROR(INDEX(Rekorde!$P$4:$P$19,MATCH(Übungen!$A$10,Rekorde!$A$4:$A$19,0)),"")="","",MIN(Übungen!$E$10,IFERROR(INDEX(Rekorde!$P$4:$P$19,MATCH(Übungen!$A$10,Rekorde!$A$4:$A$19,0)),"")+1)))</f>
        <v>6</v>
      </c>
      <c r="E458" s="101"/>
      <c r="F458" s="101"/>
      <c r="G458" s="101"/>
      <c r="H458" s="101"/>
      <c r="I458" s="101"/>
    </row>
    <row r="459" customFormat="false" ht="18" hidden="false" customHeight="true" outlineLevel="0" collapsed="false">
      <c r="A459" s="97" t="n">
        <v>5</v>
      </c>
      <c r="B459" s="102" t="s">
        <v>368</v>
      </c>
      <c r="C459" s="99" t="n">
        <f aca="false">IF(FALSE(),"",IF(IFERROR(INDEX(Rekorde!$O$4:$O$19,MATCH(Übungen!$A$10,Rekorde!$A$4:$A$19,0)),"")="","",ROUND(IFERROR(INDEX(Rekorde!$O$4:$O$19,MATCH(Übungen!$A$10,Rekorde!$A$4:$A$19,0)),"")*0.9*2,0)/2))</f>
        <v>265.5</v>
      </c>
      <c r="D459" s="104" t="n">
        <f aca="false">IF(FALSE(),"",IF(IFERROR(INDEX(Rekorde!$P$4:$P$19,MATCH(Übungen!$A$10,Rekorde!$A$4:$A$19,0)),"")="","",MIN(Übungen!$E$10,IFERROR(INDEX(Rekorde!$P$4:$P$19,MATCH(Übungen!$A$10,Rekorde!$A$4:$A$19,0)),"")+2)))</f>
        <v>7</v>
      </c>
      <c r="E459" s="101"/>
      <c r="F459" s="101"/>
      <c r="G459" s="101"/>
      <c r="H459" s="101"/>
      <c r="I459" s="101"/>
    </row>
    <row r="461" customFormat="false" ht="18.75" hidden="false" customHeight="true" outlineLevel="0" collapsed="false">
      <c r="A461" s="93" t="str">
        <f aca="false">Übungen!$A$11</f>
        <v>Hip &amp; Glute</v>
      </c>
      <c r="B461" s="93"/>
      <c r="C461" s="93"/>
      <c r="D461" s="93"/>
      <c r="E461" s="93"/>
      <c r="F461" s="93"/>
      <c r="G461" s="93"/>
      <c r="H461" s="93"/>
      <c r="I461" s="93"/>
    </row>
    <row r="462" customFormat="false" ht="13.5" hidden="false" customHeight="true" outlineLevel="0" collapsed="false">
      <c r="A462"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462" s="94"/>
      <c r="C462" s="94"/>
      <c r="D462" s="94"/>
      <c r="E462" s="94"/>
      <c r="F462" s="94"/>
      <c r="G462" s="94"/>
      <c r="H462" s="94"/>
      <c r="I462" s="94"/>
    </row>
    <row r="463" customFormat="false" ht="13.5" hidden="false" customHeight="true" outlineLevel="0" collapsed="false">
      <c r="A463"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463" s="95"/>
      <c r="C463" s="95"/>
      <c r="D463" s="95"/>
      <c r="E463" s="95"/>
      <c r="F463" s="95"/>
      <c r="G463" s="95"/>
      <c r="H463" s="95"/>
      <c r="I463" s="95"/>
    </row>
    <row r="464" customFormat="false" ht="18" hidden="false" customHeight="true" outlineLevel="0" collapsed="false">
      <c r="A464" s="96" t="s">
        <v>358</v>
      </c>
      <c r="B464" s="96" t="s">
        <v>359</v>
      </c>
      <c r="C464" s="96" t="s">
        <v>360</v>
      </c>
      <c r="D464" s="96" t="s">
        <v>361</v>
      </c>
      <c r="E464" s="96" t="s">
        <v>362</v>
      </c>
      <c r="F464" s="96" t="s">
        <v>276</v>
      </c>
      <c r="G464" s="96" t="s">
        <v>46</v>
      </c>
      <c r="H464" s="96" t="s">
        <v>363</v>
      </c>
      <c r="I464" s="96" t="s">
        <v>178</v>
      </c>
    </row>
    <row r="465" customFormat="false" ht="18" hidden="false" customHeight="true" outlineLevel="0" collapsed="false">
      <c r="A465" s="97" t="n">
        <v>1</v>
      </c>
      <c r="B465" s="98" t="s">
        <v>364</v>
      </c>
      <c r="C465" s="99" t="n">
        <f aca="false">IF(FALSE(),"",IF(IFERROR(INDEX(Rekorde!$O$4:$O$19,MATCH(Übungen!$A$11,Rekorde!$A$4:$A$19,0)),"")="","",ROUND(IFERROR(INDEX(Rekorde!$O$4:$O$19,MATCH(Übungen!$A$11,Rekorde!$A$4:$A$19,0)),"")*0.4*2,0)/2))</f>
        <v>58</v>
      </c>
      <c r="D465" s="100"/>
      <c r="E465" s="101"/>
      <c r="F465" s="101"/>
      <c r="G465" s="101"/>
      <c r="H465" s="101"/>
      <c r="I465" s="101"/>
    </row>
    <row r="466" customFormat="false" ht="18" hidden="false" customHeight="true" outlineLevel="0" collapsed="false">
      <c r="A466" s="97" t="n">
        <v>2</v>
      </c>
      <c r="B466" s="98" t="s">
        <v>365</v>
      </c>
      <c r="C466" s="99" t="n">
        <f aca="false">IF(FALSE(),"",IF(IFERROR(INDEX(Rekorde!$O$4:$O$19,MATCH(Übungen!$A$11,Rekorde!$A$4:$A$19,0)),"")="","",ROUND(IFERROR(INDEX(Rekorde!$O$4:$O$19,MATCH(Übungen!$A$11,Rekorde!$A$4:$A$19,0)),"")*0.7*2,0)/2))</f>
        <v>101.5</v>
      </c>
      <c r="D466" s="100"/>
      <c r="E466" s="101"/>
      <c r="F466" s="101"/>
      <c r="G466" s="101"/>
      <c r="H466" s="101"/>
      <c r="I466" s="101"/>
    </row>
    <row r="467" customFormat="false" ht="18" hidden="false" customHeight="true" outlineLevel="0" collapsed="false">
      <c r="A467" s="97" t="n">
        <v>3</v>
      </c>
      <c r="B467" s="102" t="s">
        <v>366</v>
      </c>
      <c r="C467" s="103" t="n">
        <f aca="false">IF(FALSE(),"",IF(IFERROR(INDEX(Rekorde!$O$4:$O$19,MATCH(Übungen!$A$11,Rekorde!$A$4:$A$19,0)),"")="","",ROUND(IFERROR(INDEX(Rekorde!$O$4:$O$19,MATCH(Übungen!$A$11,Rekorde!$A$4:$A$19,0)),"")*1*2,0)/2))</f>
        <v>145</v>
      </c>
      <c r="D467" s="104" t="n">
        <f aca="false">IF(FALSE(),"",IF(IFERROR(INDEX(Rekorde!$P$4:$P$19,MATCH(Übungen!$A$11,Rekorde!$A$4:$A$19,0)),"")="","",MIN(Übungen!$E$11,IFERROR(INDEX(Rekorde!$P$4:$P$19,MATCH(Übungen!$A$11,Rekorde!$A$4:$A$19,0)),"")+0)))</f>
        <v>5</v>
      </c>
      <c r="E467" s="101"/>
      <c r="F467" s="101"/>
      <c r="G467" s="101"/>
      <c r="H467" s="101"/>
      <c r="I467" s="101"/>
    </row>
    <row r="468" customFormat="false" ht="18" hidden="false" customHeight="true" outlineLevel="0" collapsed="false">
      <c r="A468" s="97" t="n">
        <v>4</v>
      </c>
      <c r="B468" s="102" t="s">
        <v>367</v>
      </c>
      <c r="C468" s="99" t="n">
        <f aca="false">IF(FALSE(),"",IF(IFERROR(INDEX(Rekorde!$O$4:$O$19,MATCH(Übungen!$A$11,Rekorde!$A$4:$A$19,0)),"")="","",ROUND(IFERROR(INDEX(Rekorde!$O$4:$O$19,MATCH(Übungen!$A$11,Rekorde!$A$4:$A$19,0)),"")*0.95*2,0)/2))</f>
        <v>138</v>
      </c>
      <c r="D468" s="104" t="n">
        <f aca="false">IF(FALSE(),"",IF(IFERROR(INDEX(Rekorde!$P$4:$P$19,MATCH(Übungen!$A$11,Rekorde!$A$4:$A$19,0)),"")="","",MIN(Übungen!$E$11,IFERROR(INDEX(Rekorde!$P$4:$P$19,MATCH(Übungen!$A$11,Rekorde!$A$4:$A$19,0)),"")+1)))</f>
        <v>6</v>
      </c>
      <c r="E468" s="101"/>
      <c r="F468" s="101"/>
      <c r="G468" s="101"/>
      <c r="H468" s="101"/>
      <c r="I468" s="101"/>
    </row>
    <row r="469" customFormat="false" ht="18" hidden="false" customHeight="true" outlineLevel="0" collapsed="false">
      <c r="A469" s="97" t="n">
        <v>5</v>
      </c>
      <c r="B469" s="102" t="s">
        <v>368</v>
      </c>
      <c r="C469" s="99" t="n">
        <f aca="false">IF(FALSE(),"",IF(IFERROR(INDEX(Rekorde!$O$4:$O$19,MATCH(Übungen!$A$11,Rekorde!$A$4:$A$19,0)),"")="","",ROUND(IFERROR(INDEX(Rekorde!$O$4:$O$19,MATCH(Übungen!$A$11,Rekorde!$A$4:$A$19,0)),"")*0.9*2,0)/2))</f>
        <v>130.5</v>
      </c>
      <c r="D469" s="104" t="n">
        <f aca="false">IF(FALSE(),"",IF(IFERROR(INDEX(Rekorde!$P$4:$P$19,MATCH(Übungen!$A$11,Rekorde!$A$4:$A$19,0)),"")="","",MIN(Übungen!$E$11,IFERROR(INDEX(Rekorde!$P$4:$P$19,MATCH(Übungen!$A$11,Rekorde!$A$4:$A$19,0)),"")+2)))</f>
        <v>7</v>
      </c>
      <c r="E469" s="101"/>
      <c r="F469" s="101"/>
      <c r="G469" s="101"/>
      <c r="H469" s="101"/>
      <c r="I469" s="101"/>
    </row>
    <row r="471" customFormat="false" ht="18.75" hidden="false" customHeight="true" outlineLevel="0" collapsed="false">
      <c r="A471" s="93" t="str">
        <f aca="false">Übungen!$A$12</f>
        <v>Beinbeuger</v>
      </c>
      <c r="B471" s="93"/>
      <c r="C471" s="93"/>
      <c r="D471" s="93"/>
      <c r="E471" s="93"/>
      <c r="F471" s="93"/>
      <c r="G471" s="93"/>
      <c r="H471" s="93"/>
      <c r="I471" s="93"/>
    </row>
    <row r="472" customFormat="false" ht="13.5" hidden="false" customHeight="true" outlineLevel="0" collapsed="false">
      <c r="A472"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472" s="94"/>
      <c r="C472" s="94"/>
      <c r="D472" s="94"/>
      <c r="E472" s="94"/>
      <c r="F472" s="94"/>
      <c r="G472" s="94"/>
      <c r="H472" s="94"/>
      <c r="I472" s="94"/>
    </row>
    <row r="473" customFormat="false" ht="13.5" hidden="false" customHeight="true" outlineLevel="0" collapsed="false">
      <c r="A473"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473" s="95"/>
      <c r="C473" s="95"/>
      <c r="D473" s="95"/>
      <c r="E473" s="95"/>
      <c r="F473" s="95"/>
      <c r="G473" s="95"/>
      <c r="H473" s="95"/>
      <c r="I473" s="95"/>
    </row>
    <row r="474" customFormat="false" ht="18" hidden="false" customHeight="true" outlineLevel="0" collapsed="false">
      <c r="A474" s="96" t="s">
        <v>358</v>
      </c>
      <c r="B474" s="96" t="s">
        <v>359</v>
      </c>
      <c r="C474" s="96" t="s">
        <v>360</v>
      </c>
      <c r="D474" s="96" t="s">
        <v>361</v>
      </c>
      <c r="E474" s="96" t="s">
        <v>362</v>
      </c>
      <c r="F474" s="96" t="s">
        <v>276</v>
      </c>
      <c r="G474" s="96" t="s">
        <v>46</v>
      </c>
      <c r="H474" s="96" t="s">
        <v>363</v>
      </c>
      <c r="I474" s="96" t="s">
        <v>178</v>
      </c>
    </row>
    <row r="475" customFormat="false" ht="18" hidden="false" customHeight="true" outlineLevel="0" collapsed="false">
      <c r="A475" s="97" t="n">
        <v>1</v>
      </c>
      <c r="B475" s="98" t="s">
        <v>364</v>
      </c>
      <c r="C475" s="99" t="n">
        <f aca="false">IF(FALSE(),"",IF(IFERROR(INDEX(Rekorde!$O$4:$O$19,MATCH(Übungen!$A$12,Rekorde!$A$4:$A$19,0)),"")="","",ROUND(IFERROR(INDEX(Rekorde!$O$4:$O$19,MATCH(Übungen!$A$12,Rekorde!$A$4:$A$19,0)),"")*0.4*2,0)/2))</f>
        <v>22</v>
      </c>
      <c r="D475" s="100"/>
      <c r="E475" s="101"/>
      <c r="F475" s="101"/>
      <c r="G475" s="101"/>
      <c r="H475" s="101"/>
      <c r="I475" s="101"/>
    </row>
    <row r="476" customFormat="false" ht="18" hidden="false" customHeight="true" outlineLevel="0" collapsed="false">
      <c r="A476" s="97" t="n">
        <v>2</v>
      </c>
      <c r="B476" s="98" t="s">
        <v>365</v>
      </c>
      <c r="C476" s="99" t="n">
        <f aca="false">IF(FALSE(),"",IF(IFERROR(INDEX(Rekorde!$O$4:$O$19,MATCH(Übungen!$A$12,Rekorde!$A$4:$A$19,0)),"")="","",ROUND(IFERROR(INDEX(Rekorde!$O$4:$O$19,MATCH(Übungen!$A$12,Rekorde!$A$4:$A$19,0)),"")*0.7*2,0)/2))</f>
        <v>38.5</v>
      </c>
      <c r="D476" s="100"/>
      <c r="E476" s="101"/>
      <c r="F476" s="101"/>
      <c r="G476" s="101"/>
      <c r="H476" s="101"/>
      <c r="I476" s="101"/>
    </row>
    <row r="477" customFormat="false" ht="18" hidden="false" customHeight="true" outlineLevel="0" collapsed="false">
      <c r="A477" s="97" t="n">
        <v>3</v>
      </c>
      <c r="B477" s="102" t="s">
        <v>366</v>
      </c>
      <c r="C477" s="103" t="n">
        <f aca="false">IF(FALSE(),"",IF(IFERROR(INDEX(Rekorde!$O$4:$O$19,MATCH(Übungen!$A$12,Rekorde!$A$4:$A$19,0)),"")="","",ROUND(IFERROR(INDEX(Rekorde!$O$4:$O$19,MATCH(Übungen!$A$12,Rekorde!$A$4:$A$19,0)),"")*1*2,0)/2))</f>
        <v>55</v>
      </c>
      <c r="D477" s="104" t="n">
        <f aca="false">IF(FALSE(),"",IF(IFERROR(INDEX(Rekorde!$P$4:$P$19,MATCH(Übungen!$A$12,Rekorde!$A$4:$A$19,0)),"")="","",MIN(Übungen!$E$12,IFERROR(INDEX(Rekorde!$P$4:$P$19,MATCH(Übungen!$A$12,Rekorde!$A$4:$A$19,0)),"")+0)))</f>
        <v>5</v>
      </c>
      <c r="E477" s="101"/>
      <c r="F477" s="101"/>
      <c r="G477" s="101"/>
      <c r="H477" s="101"/>
      <c r="I477" s="101"/>
    </row>
    <row r="478" customFormat="false" ht="18" hidden="false" customHeight="true" outlineLevel="0" collapsed="false">
      <c r="A478" s="97" t="n">
        <v>4</v>
      </c>
      <c r="B478" s="102" t="s">
        <v>367</v>
      </c>
      <c r="C478" s="99" t="n">
        <f aca="false">IF(FALSE(),"",IF(IFERROR(INDEX(Rekorde!$O$4:$O$19,MATCH(Übungen!$A$12,Rekorde!$A$4:$A$19,0)),"")="","",ROUND(IFERROR(INDEX(Rekorde!$O$4:$O$19,MATCH(Übungen!$A$12,Rekorde!$A$4:$A$19,0)),"")*0.95*2,0)/2))</f>
        <v>52.5</v>
      </c>
      <c r="D478" s="104" t="n">
        <f aca="false">IF(FALSE(),"",IF(IFERROR(INDEX(Rekorde!$P$4:$P$19,MATCH(Übungen!$A$12,Rekorde!$A$4:$A$19,0)),"")="","",MIN(Übungen!$E$12,IFERROR(INDEX(Rekorde!$P$4:$P$19,MATCH(Übungen!$A$12,Rekorde!$A$4:$A$19,0)),"")+1)))</f>
        <v>6</v>
      </c>
      <c r="E478" s="101"/>
      <c r="F478" s="101"/>
      <c r="G478" s="101"/>
      <c r="H478" s="101"/>
      <c r="I478" s="101"/>
    </row>
    <row r="479" customFormat="false" ht="18" hidden="false" customHeight="true" outlineLevel="0" collapsed="false">
      <c r="A479" s="97" t="n">
        <v>5</v>
      </c>
      <c r="B479" s="102" t="s">
        <v>368</v>
      </c>
      <c r="C479" s="99" t="n">
        <f aca="false">IF(FALSE(),"",IF(IFERROR(INDEX(Rekorde!$O$4:$O$19,MATCH(Übungen!$A$12,Rekorde!$A$4:$A$19,0)),"")="","",ROUND(IFERROR(INDEX(Rekorde!$O$4:$O$19,MATCH(Übungen!$A$12,Rekorde!$A$4:$A$19,0)),"")*0.9*2,0)/2))</f>
        <v>49.5</v>
      </c>
      <c r="D479" s="104" t="n">
        <f aca="false">IF(FALSE(),"",IF(IFERROR(INDEX(Rekorde!$P$4:$P$19,MATCH(Übungen!$A$12,Rekorde!$A$4:$A$19,0)),"")="","",MIN(Übungen!$E$12,IFERROR(INDEX(Rekorde!$P$4:$P$19,MATCH(Übungen!$A$12,Rekorde!$A$4:$A$19,0)),"")+2)))</f>
        <v>7</v>
      </c>
      <c r="E479" s="101"/>
      <c r="F479" s="101"/>
      <c r="G479" s="101"/>
      <c r="H479" s="101"/>
      <c r="I479" s="101"/>
    </row>
    <row r="481" customFormat="false" ht="18.75" hidden="false" customHeight="true" outlineLevel="0" collapsed="false">
      <c r="A481" s="93" t="str">
        <f aca="false">Übungen!$A$13</f>
        <v>Seitliche Kickbacks</v>
      </c>
      <c r="B481" s="93"/>
      <c r="C481" s="93"/>
      <c r="D481" s="93"/>
      <c r="E481" s="93"/>
      <c r="F481" s="93"/>
      <c r="G481" s="93"/>
      <c r="H481" s="93"/>
      <c r="I481" s="93"/>
    </row>
    <row r="482" customFormat="false" ht="13.5" hidden="false" customHeight="true" outlineLevel="0" collapsed="false">
      <c r="A482"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482" s="94"/>
      <c r="C482" s="94"/>
      <c r="D482" s="94"/>
      <c r="E482" s="94"/>
      <c r="F482" s="94"/>
      <c r="G482" s="94"/>
      <c r="H482" s="94"/>
      <c r="I482" s="94"/>
    </row>
    <row r="483" customFormat="false" ht="13.5" hidden="false" customHeight="true" outlineLevel="0" collapsed="false">
      <c r="A483"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483" s="95"/>
      <c r="C483" s="95"/>
      <c r="D483" s="95"/>
      <c r="E483" s="95"/>
      <c r="F483" s="95"/>
      <c r="G483" s="95"/>
      <c r="H483" s="95"/>
      <c r="I483" s="95"/>
    </row>
    <row r="484" customFormat="false" ht="18" hidden="false" customHeight="true" outlineLevel="0" collapsed="false">
      <c r="A484" s="96" t="s">
        <v>358</v>
      </c>
      <c r="B484" s="96" t="s">
        <v>359</v>
      </c>
      <c r="C484" s="96" t="s">
        <v>360</v>
      </c>
      <c r="D484" s="96" t="s">
        <v>361</v>
      </c>
      <c r="E484" s="96" t="s">
        <v>362</v>
      </c>
      <c r="F484" s="96" t="s">
        <v>276</v>
      </c>
      <c r="G484" s="96" t="s">
        <v>46</v>
      </c>
      <c r="H484" s="96" t="s">
        <v>363</v>
      </c>
      <c r="I484" s="96" t="s">
        <v>178</v>
      </c>
    </row>
    <row r="485" customFormat="false" ht="18" hidden="false" customHeight="true" outlineLevel="0" collapsed="false">
      <c r="A485" s="97" t="n">
        <v>1</v>
      </c>
      <c r="B485" s="98" t="s">
        <v>364</v>
      </c>
      <c r="C485" s="99" t="n">
        <f aca="false">IF(FALSE(),"",IF(IFERROR(INDEX(Rekorde!$O$4:$O$19,MATCH(Übungen!$A$13,Rekorde!$A$4:$A$19,0)),"")="","",ROUND(IFERROR(INDEX(Rekorde!$O$4:$O$19,MATCH(Übungen!$A$13,Rekorde!$A$4:$A$19,0)),"")*0.4*2,0)/2))</f>
        <v>15</v>
      </c>
      <c r="D485" s="100"/>
      <c r="E485" s="101"/>
      <c r="F485" s="101"/>
      <c r="G485" s="101"/>
      <c r="H485" s="101"/>
      <c r="I485" s="101"/>
    </row>
    <row r="486" customFormat="false" ht="18" hidden="false" customHeight="true" outlineLevel="0" collapsed="false">
      <c r="A486" s="97" t="n">
        <v>2</v>
      </c>
      <c r="B486" s="98" t="s">
        <v>365</v>
      </c>
      <c r="C486" s="99" t="n">
        <f aca="false">IF(FALSE(),"",IF(IFERROR(INDEX(Rekorde!$O$4:$O$19,MATCH(Übungen!$A$13,Rekorde!$A$4:$A$19,0)),"")="","",ROUND(IFERROR(INDEX(Rekorde!$O$4:$O$19,MATCH(Übungen!$A$13,Rekorde!$A$4:$A$19,0)),"")*0.7*2,0)/2))</f>
        <v>26.5</v>
      </c>
      <c r="D486" s="100"/>
      <c r="E486" s="101"/>
      <c r="F486" s="101"/>
      <c r="G486" s="101"/>
      <c r="H486" s="101"/>
      <c r="I486" s="101"/>
    </row>
    <row r="487" customFormat="false" ht="18" hidden="false" customHeight="true" outlineLevel="0" collapsed="false">
      <c r="A487" s="97" t="n">
        <v>3</v>
      </c>
      <c r="B487" s="102" t="s">
        <v>366</v>
      </c>
      <c r="C487" s="103" t="n">
        <f aca="false">IF(FALSE(),"",IF(IFERROR(INDEX(Rekorde!$O$4:$O$19,MATCH(Übungen!$A$13,Rekorde!$A$4:$A$19,0)),"")="","",ROUND(IFERROR(INDEX(Rekorde!$O$4:$O$19,MATCH(Übungen!$A$13,Rekorde!$A$4:$A$19,0)),"")*1*2,0)/2))</f>
        <v>38</v>
      </c>
      <c r="D487" s="104" t="n">
        <f aca="false">IF(FALSE(),"",IF(IFERROR(INDEX(Rekorde!$P$4:$P$19,MATCH(Übungen!$A$13,Rekorde!$A$4:$A$19,0)),"")="","",MIN(Übungen!$E$13,IFERROR(INDEX(Rekorde!$P$4:$P$19,MATCH(Übungen!$A$13,Rekorde!$A$4:$A$19,0)),"")+0)))</f>
        <v>5</v>
      </c>
      <c r="E487" s="101"/>
      <c r="F487" s="101"/>
      <c r="G487" s="101"/>
      <c r="H487" s="101"/>
      <c r="I487" s="101"/>
    </row>
    <row r="488" customFormat="false" ht="18" hidden="false" customHeight="true" outlineLevel="0" collapsed="false">
      <c r="A488" s="97" t="n">
        <v>4</v>
      </c>
      <c r="B488" s="102" t="s">
        <v>367</v>
      </c>
      <c r="C488" s="99" t="n">
        <f aca="false">IF(FALSE(),"",IF(IFERROR(INDEX(Rekorde!$O$4:$O$19,MATCH(Übungen!$A$13,Rekorde!$A$4:$A$19,0)),"")="","",ROUND(IFERROR(INDEX(Rekorde!$O$4:$O$19,MATCH(Übungen!$A$13,Rekorde!$A$4:$A$19,0)),"")*0.95*2,0)/2))</f>
        <v>36</v>
      </c>
      <c r="D488" s="104" t="n">
        <f aca="false">IF(FALSE(),"",IF(IFERROR(INDEX(Rekorde!$P$4:$P$19,MATCH(Übungen!$A$13,Rekorde!$A$4:$A$19,0)),"")="","",MIN(Übungen!$E$13,IFERROR(INDEX(Rekorde!$P$4:$P$19,MATCH(Übungen!$A$13,Rekorde!$A$4:$A$19,0)),"")+1)))</f>
        <v>6</v>
      </c>
      <c r="E488" s="101"/>
      <c r="F488" s="101"/>
      <c r="G488" s="101"/>
      <c r="H488" s="101"/>
      <c r="I488" s="101"/>
    </row>
    <row r="489" customFormat="false" ht="18" hidden="false" customHeight="true" outlineLevel="0" collapsed="false">
      <c r="A489" s="97" t="n">
        <v>5</v>
      </c>
      <c r="B489" s="102" t="s">
        <v>368</v>
      </c>
      <c r="C489" s="99" t="n">
        <f aca="false">IF(FALSE(),"",IF(IFERROR(INDEX(Rekorde!$O$4:$O$19,MATCH(Übungen!$A$13,Rekorde!$A$4:$A$19,0)),"")="","",ROUND(IFERROR(INDEX(Rekorde!$O$4:$O$19,MATCH(Übungen!$A$13,Rekorde!$A$4:$A$19,0)),"")*0.9*2,0)/2))</f>
        <v>34</v>
      </c>
      <c r="D489" s="104" t="n">
        <f aca="false">IF(FALSE(),"",IF(IFERROR(INDEX(Rekorde!$P$4:$P$19,MATCH(Übungen!$A$13,Rekorde!$A$4:$A$19,0)),"")="","",MIN(Übungen!$E$13,IFERROR(INDEX(Rekorde!$P$4:$P$19,MATCH(Übungen!$A$13,Rekorde!$A$4:$A$19,0)),"")+2)))</f>
        <v>7</v>
      </c>
      <c r="E489" s="101"/>
      <c r="F489" s="101"/>
      <c r="G489" s="101"/>
      <c r="H489" s="101"/>
      <c r="I489" s="101"/>
    </row>
    <row r="491" customFormat="false" ht="18.75" hidden="false" customHeight="true" outlineLevel="0" collapsed="false">
      <c r="A491" s="93" t="str">
        <f aca="false">Übungen!$A$14</f>
        <v>Waden</v>
      </c>
      <c r="B491" s="93"/>
      <c r="C491" s="93"/>
      <c r="D491" s="93"/>
      <c r="E491" s="93"/>
      <c r="F491" s="93"/>
      <c r="G491" s="93"/>
      <c r="H491" s="93"/>
      <c r="I491" s="93"/>
    </row>
    <row r="492" customFormat="false" ht="13.5" hidden="false" customHeight="true" outlineLevel="0" collapsed="false">
      <c r="A492"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492" s="94"/>
      <c r="C492" s="94"/>
      <c r="D492" s="94"/>
      <c r="E492" s="94"/>
      <c r="F492" s="94"/>
      <c r="G492" s="94"/>
      <c r="H492" s="94"/>
      <c r="I492" s="94"/>
    </row>
    <row r="493" customFormat="false" ht="13.5" hidden="false" customHeight="true" outlineLevel="0" collapsed="false">
      <c r="A493"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493" s="95"/>
      <c r="C493" s="95"/>
      <c r="D493" s="95"/>
      <c r="E493" s="95"/>
      <c r="F493" s="95"/>
      <c r="G493" s="95"/>
      <c r="H493" s="95"/>
      <c r="I493" s="95"/>
    </row>
    <row r="494" customFormat="false" ht="18" hidden="false" customHeight="true" outlineLevel="0" collapsed="false">
      <c r="A494" s="96" t="s">
        <v>358</v>
      </c>
      <c r="B494" s="96" t="s">
        <v>359</v>
      </c>
      <c r="C494" s="96" t="s">
        <v>360</v>
      </c>
      <c r="D494" s="96" t="s">
        <v>361</v>
      </c>
      <c r="E494" s="96" t="s">
        <v>362</v>
      </c>
      <c r="F494" s="96" t="s">
        <v>276</v>
      </c>
      <c r="G494" s="96" t="s">
        <v>46</v>
      </c>
      <c r="H494" s="96" t="s">
        <v>363</v>
      </c>
      <c r="I494" s="96" t="s">
        <v>178</v>
      </c>
    </row>
    <row r="495" customFormat="false" ht="18" hidden="false" customHeight="true" outlineLevel="0" collapsed="false">
      <c r="A495" s="97" t="n">
        <v>1</v>
      </c>
      <c r="B495" s="98" t="s">
        <v>364</v>
      </c>
      <c r="C495" s="99" t="n">
        <f aca="false">IF(FALSE(),"",IF(IFERROR(INDEX(Rekorde!$O$4:$O$19,MATCH(Übungen!$A$14,Rekorde!$A$4:$A$19,0)),"")="","",ROUND(IFERROR(INDEX(Rekorde!$O$4:$O$19,MATCH(Übungen!$A$14,Rekorde!$A$4:$A$19,0)),"")*0.4*2,0)/2))</f>
        <v>66</v>
      </c>
      <c r="D495" s="100"/>
      <c r="E495" s="101"/>
      <c r="F495" s="101"/>
      <c r="G495" s="101"/>
      <c r="H495" s="101"/>
      <c r="I495" s="101"/>
    </row>
    <row r="496" customFormat="false" ht="18" hidden="false" customHeight="true" outlineLevel="0" collapsed="false">
      <c r="A496" s="97" t="n">
        <v>2</v>
      </c>
      <c r="B496" s="98" t="s">
        <v>365</v>
      </c>
      <c r="C496" s="99" t="n">
        <f aca="false">IF(FALSE(),"",IF(IFERROR(INDEX(Rekorde!$O$4:$O$19,MATCH(Übungen!$A$14,Rekorde!$A$4:$A$19,0)),"")="","",ROUND(IFERROR(INDEX(Rekorde!$O$4:$O$19,MATCH(Übungen!$A$14,Rekorde!$A$4:$A$19,0)),"")*0.7*2,0)/2))</f>
        <v>115.5</v>
      </c>
      <c r="D496" s="100"/>
      <c r="E496" s="101"/>
      <c r="F496" s="101"/>
      <c r="G496" s="101"/>
      <c r="H496" s="101"/>
      <c r="I496" s="101"/>
    </row>
    <row r="497" customFormat="false" ht="18" hidden="false" customHeight="true" outlineLevel="0" collapsed="false">
      <c r="A497" s="97" t="n">
        <v>3</v>
      </c>
      <c r="B497" s="102" t="s">
        <v>366</v>
      </c>
      <c r="C497" s="103" t="n">
        <f aca="false">IF(FALSE(),"",IF(IFERROR(INDEX(Rekorde!$O$4:$O$19,MATCH(Übungen!$A$14,Rekorde!$A$4:$A$19,0)),"")="","",ROUND(IFERROR(INDEX(Rekorde!$O$4:$O$19,MATCH(Übungen!$A$14,Rekorde!$A$4:$A$19,0)),"")*1*2,0)/2))</f>
        <v>165</v>
      </c>
      <c r="D497" s="104" t="n">
        <f aca="false">IF(FALSE(),"",IF(IFERROR(INDEX(Rekorde!$P$4:$P$19,MATCH(Übungen!$A$14,Rekorde!$A$4:$A$19,0)),"")="","",MIN(Übungen!$E$14,IFERROR(INDEX(Rekorde!$P$4:$P$19,MATCH(Übungen!$A$14,Rekorde!$A$4:$A$19,0)),"")+0)))</f>
        <v>5</v>
      </c>
      <c r="E497" s="101"/>
      <c r="F497" s="101"/>
      <c r="G497" s="101"/>
      <c r="H497" s="101"/>
      <c r="I497" s="101"/>
    </row>
    <row r="498" customFormat="false" ht="18" hidden="false" customHeight="true" outlineLevel="0" collapsed="false">
      <c r="A498" s="97" t="n">
        <v>4</v>
      </c>
      <c r="B498" s="102" t="s">
        <v>367</v>
      </c>
      <c r="C498" s="99" t="n">
        <f aca="false">IF(FALSE(),"",IF(IFERROR(INDEX(Rekorde!$O$4:$O$19,MATCH(Übungen!$A$14,Rekorde!$A$4:$A$19,0)),"")="","",ROUND(IFERROR(INDEX(Rekorde!$O$4:$O$19,MATCH(Übungen!$A$14,Rekorde!$A$4:$A$19,0)),"")*0.95*2,0)/2))</f>
        <v>157</v>
      </c>
      <c r="D498" s="104" t="n">
        <f aca="false">IF(FALSE(),"",IF(IFERROR(INDEX(Rekorde!$P$4:$P$19,MATCH(Übungen!$A$14,Rekorde!$A$4:$A$19,0)),"")="","",MIN(Übungen!$E$14,IFERROR(INDEX(Rekorde!$P$4:$P$19,MATCH(Übungen!$A$14,Rekorde!$A$4:$A$19,0)),"")+1)))</f>
        <v>6</v>
      </c>
      <c r="E498" s="101"/>
      <c r="F498" s="101"/>
      <c r="G498" s="101"/>
      <c r="H498" s="101"/>
      <c r="I498" s="101"/>
    </row>
    <row r="499" customFormat="false" ht="18" hidden="false" customHeight="true" outlineLevel="0" collapsed="false">
      <c r="A499" s="97" t="n">
        <v>5</v>
      </c>
      <c r="B499" s="102" t="s">
        <v>368</v>
      </c>
      <c r="C499" s="99" t="n">
        <f aca="false">IF(FALSE(),"",IF(IFERROR(INDEX(Rekorde!$O$4:$O$19,MATCH(Übungen!$A$14,Rekorde!$A$4:$A$19,0)),"")="","",ROUND(IFERROR(INDEX(Rekorde!$O$4:$O$19,MATCH(Übungen!$A$14,Rekorde!$A$4:$A$19,0)),"")*0.9*2,0)/2))</f>
        <v>148.5</v>
      </c>
      <c r="D499" s="104" t="n">
        <f aca="false">IF(FALSE(),"",IF(IFERROR(INDEX(Rekorde!$P$4:$P$19,MATCH(Übungen!$A$14,Rekorde!$A$4:$A$19,0)),"")="","",MIN(Übungen!$E$14,IFERROR(INDEX(Rekorde!$P$4:$P$19,MATCH(Übungen!$A$14,Rekorde!$A$4:$A$19,0)),"")+2)))</f>
        <v>7</v>
      </c>
      <c r="E499" s="101"/>
      <c r="F499" s="101"/>
      <c r="G499" s="101"/>
      <c r="H499" s="101"/>
      <c r="I499" s="101"/>
    </row>
    <row r="501" customFormat="false" ht="15.75" hidden="false" customHeight="true" outlineLevel="0" collapsed="false">
      <c r="A501" s="3" t="s">
        <v>369</v>
      </c>
      <c r="B501" s="3"/>
      <c r="C501" s="3"/>
      <c r="D501" s="3"/>
      <c r="E501" s="3"/>
      <c r="F501" s="3"/>
      <c r="G501" s="3"/>
      <c r="H501" s="3"/>
      <c r="I501" s="3"/>
    </row>
    <row r="502" customFormat="false" ht="18" hidden="false" customHeight="true" outlineLevel="0" collapsed="false">
      <c r="A502" s="105"/>
      <c r="B502" s="105"/>
      <c r="C502" s="105"/>
      <c r="D502" s="105"/>
      <c r="E502" s="105"/>
      <c r="F502" s="105"/>
      <c r="G502" s="105"/>
      <c r="H502" s="105"/>
      <c r="I502" s="105"/>
    </row>
    <row r="503" customFormat="false" ht="18" hidden="false" customHeight="true" outlineLevel="0" collapsed="false">
      <c r="A503" s="105"/>
      <c r="B503" s="105"/>
      <c r="C503" s="105"/>
      <c r="D503" s="105"/>
      <c r="E503" s="105"/>
      <c r="F503" s="105"/>
      <c r="G503" s="105"/>
      <c r="H503" s="105"/>
      <c r="I503" s="105"/>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&amp;K808080Aufwärmen: 1. Satz 40 %, 2. Satz 70 %  ·  Arbeitssätze: schwer 100 % (Top-Satz), mittel 95 %, leicht 90 %&amp;R&amp;8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377</v>
      </c>
      <c r="B1" s="1"/>
      <c r="C1" s="1"/>
      <c r="D1" s="1"/>
      <c r="E1" s="1"/>
      <c r="F1" s="1"/>
      <c r="G1" s="1"/>
      <c r="H1" s="1"/>
      <c r="I1" s="1"/>
      <c r="J1" s="1"/>
      <c r="K1" s="1"/>
      <c r="L1" s="1"/>
      <c r="M1" s="1"/>
    </row>
    <row r="2" customFormat="false" ht="15" hidden="false" customHeight="true" outlineLevel="0" collapsed="false">
      <c r="A2" s="2" t="s">
        <v>378</v>
      </c>
      <c r="B2" s="2"/>
      <c r="C2" s="2"/>
      <c r="D2" s="2"/>
      <c r="E2" s="2"/>
      <c r="F2" s="2"/>
      <c r="G2" s="2"/>
      <c r="H2" s="2"/>
      <c r="I2" s="2"/>
      <c r="J2" s="2"/>
      <c r="K2" s="2"/>
      <c r="L2" s="2"/>
      <c r="M2" s="2"/>
    </row>
    <row r="3" customFormat="false" ht="31.5" hidden="false" customHeight="true" outlineLevel="0" collapsed="false">
      <c r="A3" s="25" t="s">
        <v>97</v>
      </c>
      <c r="B3" s="25" t="s">
        <v>273</v>
      </c>
      <c r="C3" s="25" t="s">
        <v>379</v>
      </c>
      <c r="D3" s="25" t="s">
        <v>380</v>
      </c>
      <c r="E3" s="25" t="s">
        <v>381</v>
      </c>
      <c r="F3" s="25" t="s">
        <v>382</v>
      </c>
      <c r="G3" s="25" t="s">
        <v>383</v>
      </c>
      <c r="H3" s="25" t="s">
        <v>384</v>
      </c>
      <c r="I3" s="25" t="s">
        <v>385</v>
      </c>
      <c r="J3" s="25" t="s">
        <v>386</v>
      </c>
      <c r="K3" s="25" t="s">
        <v>387</v>
      </c>
      <c r="L3" s="25" t="s">
        <v>388</v>
      </c>
      <c r="M3" s="25" t="s">
        <v>178</v>
      </c>
      <c r="N3" s="25" t="s">
        <v>389</v>
      </c>
      <c r="O3" s="25" t="s">
        <v>390</v>
      </c>
    </row>
    <row r="4" customFormat="false" ht="57.75" hidden="false" customHeight="true" outlineLevel="0" collapsed="false">
      <c r="A4" s="51" t="s">
        <v>312</v>
      </c>
      <c r="B4" s="51" t="s">
        <v>391</v>
      </c>
      <c r="C4" s="51" t="s">
        <v>392</v>
      </c>
      <c r="D4" s="49" t="n">
        <v>5</v>
      </c>
      <c r="E4" s="49" t="n">
        <v>8</v>
      </c>
      <c r="F4" s="49" t="n">
        <v>3</v>
      </c>
      <c r="G4" s="49" t="s">
        <v>393</v>
      </c>
      <c r="H4" s="50"/>
      <c r="I4" s="50"/>
      <c r="J4" s="50" t="n">
        <v>5</v>
      </c>
      <c r="K4" s="49" t="s">
        <v>394</v>
      </c>
      <c r="L4" s="49" t="n">
        <v>2</v>
      </c>
      <c r="M4" s="106" t="s">
        <v>395</v>
      </c>
      <c r="N4" s="106" t="s">
        <v>396</v>
      </c>
      <c r="O4" s="106" t="s">
        <v>397</v>
      </c>
    </row>
    <row r="5" customFormat="false" ht="57.75" hidden="false" customHeight="true" outlineLevel="0" collapsed="false">
      <c r="A5" s="51" t="s">
        <v>296</v>
      </c>
      <c r="B5" s="51" t="s">
        <v>391</v>
      </c>
      <c r="C5" s="51" t="s">
        <v>398</v>
      </c>
      <c r="D5" s="49" t="n">
        <v>5</v>
      </c>
      <c r="E5" s="49" t="n">
        <v>8</v>
      </c>
      <c r="F5" s="49" t="n">
        <v>3</v>
      </c>
      <c r="G5" s="49" t="s">
        <v>399</v>
      </c>
      <c r="H5" s="50"/>
      <c r="I5" s="50"/>
      <c r="J5" s="50" t="n">
        <v>2.5</v>
      </c>
      <c r="K5" s="49" t="s">
        <v>394</v>
      </c>
      <c r="L5" s="49" t="n">
        <v>8</v>
      </c>
      <c r="M5" s="106" t="s">
        <v>400</v>
      </c>
      <c r="N5" s="106" t="s">
        <v>401</v>
      </c>
      <c r="O5" s="106" t="s">
        <v>402</v>
      </c>
    </row>
    <row r="6" customFormat="false" ht="57.75" hidden="false" customHeight="true" outlineLevel="0" collapsed="false">
      <c r="A6" s="51" t="s">
        <v>289</v>
      </c>
      <c r="B6" s="51" t="s">
        <v>391</v>
      </c>
      <c r="C6" s="51" t="s">
        <v>403</v>
      </c>
      <c r="D6" s="49" t="n">
        <v>5</v>
      </c>
      <c r="E6" s="49" t="n">
        <v>8</v>
      </c>
      <c r="F6" s="49" t="n">
        <v>3</v>
      </c>
      <c r="G6" s="49" t="s">
        <v>404</v>
      </c>
      <c r="H6" s="50"/>
      <c r="I6" s="50"/>
      <c r="J6" s="50" t="n">
        <v>5</v>
      </c>
      <c r="K6" s="49" t="s">
        <v>394</v>
      </c>
      <c r="L6" s="49" t="n">
        <v>1</v>
      </c>
      <c r="M6" s="106" t="s">
        <v>405</v>
      </c>
      <c r="N6" s="106" t="s">
        <v>406</v>
      </c>
      <c r="O6" s="106" t="s">
        <v>407</v>
      </c>
    </row>
    <row r="7" customFormat="false" ht="57.75" hidden="false" customHeight="true" outlineLevel="0" collapsed="false">
      <c r="A7" s="51" t="s">
        <v>280</v>
      </c>
      <c r="B7" s="51" t="s">
        <v>391</v>
      </c>
      <c r="C7" s="51" t="s">
        <v>403</v>
      </c>
      <c r="D7" s="49" t="n">
        <v>5</v>
      </c>
      <c r="E7" s="49" t="n">
        <v>8</v>
      </c>
      <c r="F7" s="49" t="n">
        <v>3</v>
      </c>
      <c r="G7" s="49" t="s">
        <v>404</v>
      </c>
      <c r="H7" s="50"/>
      <c r="I7" s="50"/>
      <c r="J7" s="50" t="n">
        <v>2.5</v>
      </c>
      <c r="K7" s="49" t="s">
        <v>394</v>
      </c>
      <c r="L7" s="49" t="n">
        <v>1</v>
      </c>
      <c r="M7" s="106" t="s">
        <v>408</v>
      </c>
      <c r="N7" s="106" t="s">
        <v>406</v>
      </c>
      <c r="O7" s="106" t="s">
        <v>409</v>
      </c>
    </row>
    <row r="8" customFormat="false" ht="57.75" hidden="false" customHeight="true" outlineLevel="0" collapsed="false">
      <c r="A8" s="51" t="s">
        <v>309</v>
      </c>
      <c r="B8" s="51" t="s">
        <v>410</v>
      </c>
      <c r="C8" s="51" t="s">
        <v>310</v>
      </c>
      <c r="D8" s="49" t="n">
        <v>5</v>
      </c>
      <c r="E8" s="49" t="n">
        <v>8</v>
      </c>
      <c r="F8" s="49" t="n">
        <v>3</v>
      </c>
      <c r="G8" s="49" t="s">
        <v>399</v>
      </c>
      <c r="H8" s="50"/>
      <c r="I8" s="50"/>
      <c r="J8" s="50" t="n">
        <v>2.5</v>
      </c>
      <c r="K8" s="49" t="s">
        <v>394</v>
      </c>
      <c r="L8" s="49" t="n">
        <v>12</v>
      </c>
      <c r="M8" s="106" t="s">
        <v>411</v>
      </c>
      <c r="N8" s="106" t="s">
        <v>412</v>
      </c>
      <c r="O8" s="106" t="s">
        <v>413</v>
      </c>
    </row>
    <row r="9" customFormat="false" ht="57.75" hidden="false" customHeight="true" outlineLevel="0" collapsed="false">
      <c r="A9" s="51" t="s">
        <v>414</v>
      </c>
      <c r="B9" s="51" t="s">
        <v>410</v>
      </c>
      <c r="C9" s="51" t="s">
        <v>415</v>
      </c>
      <c r="D9" s="49" t="n">
        <v>5</v>
      </c>
      <c r="E9" s="49" t="n">
        <v>8</v>
      </c>
      <c r="F9" s="49" t="n">
        <v>3</v>
      </c>
      <c r="G9" s="49" t="s">
        <v>393</v>
      </c>
      <c r="H9" s="50" t="n">
        <v>260</v>
      </c>
      <c r="I9" s="50"/>
      <c r="J9" s="50" t="n">
        <v>5</v>
      </c>
      <c r="K9" s="49" t="s">
        <v>394</v>
      </c>
      <c r="L9" s="49" t="n">
        <v>2</v>
      </c>
      <c r="M9" s="106" t="s">
        <v>416</v>
      </c>
      <c r="N9" s="106" t="s">
        <v>417</v>
      </c>
      <c r="O9" s="106" t="s">
        <v>418</v>
      </c>
    </row>
    <row r="10" customFormat="false" ht="57.75" hidden="false" customHeight="true" outlineLevel="0" collapsed="false">
      <c r="A10" s="51" t="s">
        <v>304</v>
      </c>
      <c r="B10" s="51" t="s">
        <v>410</v>
      </c>
      <c r="C10" s="51" t="s">
        <v>310</v>
      </c>
      <c r="D10" s="49" t="n">
        <v>5</v>
      </c>
      <c r="E10" s="49" t="n">
        <v>8</v>
      </c>
      <c r="F10" s="49" t="n">
        <v>3</v>
      </c>
      <c r="G10" s="49" t="s">
        <v>393</v>
      </c>
      <c r="H10" s="50"/>
      <c r="I10" s="50"/>
      <c r="J10" s="50" t="n">
        <v>5</v>
      </c>
      <c r="K10" s="49" t="s">
        <v>394</v>
      </c>
      <c r="L10" s="49" t="n">
        <v>4</v>
      </c>
      <c r="M10" s="106" t="s">
        <v>419</v>
      </c>
      <c r="N10" s="106" t="s">
        <v>420</v>
      </c>
      <c r="O10" s="106" t="s">
        <v>421</v>
      </c>
    </row>
    <row r="11" customFormat="false" ht="57.75" hidden="false" customHeight="true" outlineLevel="0" collapsed="false">
      <c r="A11" s="51" t="s">
        <v>315</v>
      </c>
      <c r="B11" s="51" t="s">
        <v>410</v>
      </c>
      <c r="C11" s="51" t="s">
        <v>403</v>
      </c>
      <c r="D11" s="49" t="n">
        <v>5</v>
      </c>
      <c r="E11" s="49" t="n">
        <v>8</v>
      </c>
      <c r="F11" s="49" t="n">
        <v>3</v>
      </c>
      <c r="G11" s="49" t="s">
        <v>393</v>
      </c>
      <c r="H11" s="50"/>
      <c r="I11" s="50"/>
      <c r="J11" s="50" t="n">
        <v>5</v>
      </c>
      <c r="K11" s="49" t="s">
        <v>394</v>
      </c>
      <c r="L11" s="49" t="n">
        <v>2</v>
      </c>
      <c r="M11" s="106" t="s">
        <v>422</v>
      </c>
      <c r="N11" s="106" t="s">
        <v>417</v>
      </c>
      <c r="O11" s="106" t="s">
        <v>423</v>
      </c>
    </row>
    <row r="12" customFormat="false" ht="57.75" hidden="false" customHeight="true" outlineLevel="0" collapsed="false">
      <c r="A12" s="51" t="s">
        <v>300</v>
      </c>
      <c r="B12" s="51" t="s">
        <v>410</v>
      </c>
      <c r="C12" s="51" t="s">
        <v>424</v>
      </c>
      <c r="D12" s="49" t="n">
        <v>5</v>
      </c>
      <c r="E12" s="49" t="n">
        <v>8</v>
      </c>
      <c r="F12" s="49" t="n">
        <v>3</v>
      </c>
      <c r="G12" s="49" t="s">
        <v>404</v>
      </c>
      <c r="H12" s="50"/>
      <c r="I12" s="50"/>
      <c r="J12" s="50" t="n">
        <v>2.5</v>
      </c>
      <c r="K12" s="49" t="s">
        <v>394</v>
      </c>
      <c r="L12" s="49" t="n">
        <v>1</v>
      </c>
      <c r="M12" s="106" t="s">
        <v>425</v>
      </c>
      <c r="N12" s="106" t="s">
        <v>406</v>
      </c>
      <c r="O12" s="106" t="s">
        <v>426</v>
      </c>
    </row>
    <row r="13" customFormat="false" ht="57.75" hidden="false" customHeight="true" outlineLevel="0" collapsed="false">
      <c r="A13" s="51" t="s">
        <v>299</v>
      </c>
      <c r="B13" s="51" t="s">
        <v>410</v>
      </c>
      <c r="C13" s="51" t="s">
        <v>427</v>
      </c>
      <c r="D13" s="49" t="n">
        <v>5</v>
      </c>
      <c r="E13" s="49" t="n">
        <v>8</v>
      </c>
      <c r="F13" s="49" t="n">
        <v>3</v>
      </c>
      <c r="G13" s="49" t="s">
        <v>404</v>
      </c>
      <c r="H13" s="50"/>
      <c r="I13" s="50"/>
      <c r="J13" s="50" t="n">
        <v>2</v>
      </c>
      <c r="K13" s="49" t="s">
        <v>394</v>
      </c>
      <c r="L13" s="49" t="n">
        <v>2</v>
      </c>
      <c r="M13" s="106" t="s">
        <v>428</v>
      </c>
      <c r="N13" s="106" t="s">
        <v>429</v>
      </c>
      <c r="O13" s="106" t="s">
        <v>430</v>
      </c>
    </row>
    <row r="14" customFormat="false" ht="57.75" hidden="false" customHeight="true" outlineLevel="0" collapsed="false">
      <c r="A14" s="51" t="s">
        <v>308</v>
      </c>
      <c r="B14" s="51" t="s">
        <v>410</v>
      </c>
      <c r="C14" s="51" t="s">
        <v>403</v>
      </c>
      <c r="D14" s="49" t="n">
        <v>5</v>
      </c>
      <c r="E14" s="49" t="n">
        <v>8</v>
      </c>
      <c r="F14" s="49" t="n">
        <v>3</v>
      </c>
      <c r="G14" s="49" t="s">
        <v>404</v>
      </c>
      <c r="H14" s="50"/>
      <c r="I14" s="50"/>
      <c r="J14" s="50" t="n">
        <v>5</v>
      </c>
      <c r="K14" s="49" t="s">
        <v>394</v>
      </c>
      <c r="L14" s="49" t="n">
        <v>2</v>
      </c>
      <c r="M14" s="106" t="s">
        <v>431</v>
      </c>
      <c r="N14" s="106" t="s">
        <v>432</v>
      </c>
      <c r="O14" s="106" t="s">
        <v>433</v>
      </c>
    </row>
    <row r="15" customFormat="false" ht="57.75" hidden="false" customHeight="true" outlineLevel="0" collapsed="false">
      <c r="A15" s="107" t="s">
        <v>67</v>
      </c>
      <c r="B15" s="107" t="s">
        <v>391</v>
      </c>
      <c r="C15" s="107" t="s">
        <v>434</v>
      </c>
      <c r="D15" s="108" t="n">
        <v>5</v>
      </c>
      <c r="E15" s="108" t="n">
        <v>8</v>
      </c>
      <c r="F15" s="108"/>
      <c r="G15" s="108"/>
      <c r="H15" s="109"/>
      <c r="I15" s="109"/>
      <c r="J15" s="109"/>
      <c r="K15" s="108" t="s">
        <v>435</v>
      </c>
      <c r="L15" s="108"/>
      <c r="M15" s="110" t="s">
        <v>436</v>
      </c>
      <c r="N15" s="110" t="s">
        <v>437</v>
      </c>
      <c r="O15" s="110" t="s">
        <v>438</v>
      </c>
    </row>
    <row r="16" customFormat="false" ht="57.75" hidden="false" customHeight="true" outlineLevel="0" collapsed="false">
      <c r="A16" s="107" t="s">
        <v>298</v>
      </c>
      <c r="B16" s="107" t="s">
        <v>410</v>
      </c>
      <c r="C16" s="107" t="s">
        <v>439</v>
      </c>
      <c r="D16" s="108" t="n">
        <v>5</v>
      </c>
      <c r="E16" s="108" t="n">
        <v>8</v>
      </c>
      <c r="F16" s="108"/>
      <c r="G16" s="108"/>
      <c r="H16" s="109"/>
      <c r="I16" s="109"/>
      <c r="J16" s="109"/>
      <c r="K16" s="108" t="s">
        <v>435</v>
      </c>
      <c r="L16" s="108"/>
      <c r="M16" s="110" t="s">
        <v>440</v>
      </c>
      <c r="N16" s="110" t="s">
        <v>437</v>
      </c>
      <c r="O16" s="110" t="s">
        <v>438</v>
      </c>
    </row>
    <row r="17" customFormat="false" ht="18" hidden="false" customHeight="true" outlineLevel="0" collapsed="false">
      <c r="A17" s="51"/>
      <c r="B17" s="51"/>
      <c r="C17" s="51"/>
      <c r="D17" s="49"/>
      <c r="E17" s="49"/>
      <c r="F17" s="49"/>
      <c r="G17" s="49"/>
      <c r="H17" s="50"/>
      <c r="I17" s="50"/>
      <c r="J17" s="50"/>
      <c r="K17" s="49"/>
      <c r="L17" s="49"/>
      <c r="M17" s="106"/>
      <c r="N17" s="106"/>
      <c r="O17" s="106"/>
    </row>
    <row r="18" customFormat="false" ht="18" hidden="false" customHeight="true" outlineLevel="0" collapsed="false">
      <c r="A18" s="51"/>
      <c r="B18" s="51"/>
      <c r="C18" s="51"/>
      <c r="D18" s="49"/>
      <c r="E18" s="49"/>
      <c r="F18" s="49"/>
      <c r="G18" s="49"/>
      <c r="H18" s="50"/>
      <c r="I18" s="50"/>
      <c r="J18" s="50"/>
      <c r="K18" s="49"/>
      <c r="L18" s="49"/>
      <c r="M18" s="106"/>
      <c r="N18" s="106"/>
      <c r="O18" s="106"/>
    </row>
    <row r="19" customFormat="false" ht="18" hidden="false" customHeight="true" outlineLevel="0" collapsed="false">
      <c r="A19" s="51"/>
      <c r="B19" s="51"/>
      <c r="C19" s="51"/>
      <c r="D19" s="49"/>
      <c r="E19" s="49"/>
      <c r="F19" s="49"/>
      <c r="G19" s="49"/>
      <c r="H19" s="50"/>
      <c r="I19" s="50"/>
      <c r="J19" s="50"/>
      <c r="K19" s="49"/>
      <c r="L19" s="49"/>
      <c r="M19" s="106"/>
      <c r="N19" s="106"/>
      <c r="O19" s="106"/>
    </row>
    <row r="21" customFormat="false" ht="39.75" hidden="false" customHeight="true" outlineLevel="0" collapsed="false">
      <c r="A21" s="35" t="s">
        <v>441</v>
      </c>
      <c r="B21" s="35"/>
      <c r="C21" s="35"/>
      <c r="D21" s="35"/>
      <c r="E21" s="35"/>
      <c r="F21" s="35"/>
      <c r="G21" s="35"/>
      <c r="H21" s="35"/>
      <c r="I21" s="35"/>
      <c r="J21" s="35"/>
      <c r="K21" s="35"/>
      <c r="L21" s="35"/>
      <c r="M21" s="35"/>
      <c r="N21" s="35"/>
      <c r="O21" s="35"/>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2026-08-19T02:55:16Z</dcterms:created>
  <dc:creator>openpyxl</dc:creator>
  <dc:description/>
  <dc:language>en-US</dc:language>
  <cp:lastModifiedBy/>
  <dcterms:modified xsi:type="dcterms:W3CDTF">2026-08-19T02:55:38Z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