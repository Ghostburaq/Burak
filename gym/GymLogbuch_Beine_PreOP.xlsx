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comments10.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sheetId="1" state="visible" r:id="rId3"/>
    <sheet name="Wochenplan" sheetId="2" state="visible" r:id="rId4"/>
    <sheet name="Dashboard" sheetId="3" state="visible" r:id="rId5"/>
    <sheet name="OP-Countdown" sheetId="4" state="visible" r:id="rId6"/>
    <sheet name="Vorbereitung" sheetId="5" state="visible" r:id="rId7"/>
    <sheet name="Baseline Schulter" sheetId="6" state="visible" r:id="rId8"/>
    <sheet name="Reha-Fahrplan" sheetId="7" state="visible" r:id="rId9"/>
    <sheet name="Reha-Plan Beine" sheetId="8" state="visible" r:id="rId10"/>
    <sheet name="Einheiten" sheetId="9" state="visible" r:id="rId11"/>
    <sheet name="Log" sheetId="10" state="visible" r:id="rId12"/>
    <sheet name="Auswertung" sheetId="11" state="visible" r:id="rId13"/>
    <sheet name="Progression" sheetId="12" state="visible" r:id="rId14"/>
    <sheet name="Rekorde" sheetId="13" state="visible" r:id="rId15"/>
    <sheet name="Trainingsblatt" sheetId="14" state="visible" r:id="rId16"/>
    <sheet name="Übungen" sheetId="15" state="visible" r:id="rId17"/>
  </sheets>
  <definedNames>
    <definedName function="false" hidden="false" localSheetId="10" name="_xlnm.Print_Area" vbProcedure="false">Auswertung!$A$1:$R$74</definedName>
    <definedName function="false" hidden="false" localSheetId="10" name="_xlnm.Print_Titles" vbProcedure="false">Auswertung!$1:$3</definedName>
    <definedName function="false" hidden="false" localSheetId="5" name="_xlnm.Print_Area" vbProcedure="false">'Baseline Schulter'!$A$1:$J$39</definedName>
    <definedName function="false" hidden="false" localSheetId="5" name="_xlnm.Print_Titles" vbProcedure="false">'Baseline Schulter'!$1:$2</definedName>
    <definedName function="false" hidden="false" localSheetId="2" name="_xlnm.Print_Area" vbProcedure="false">Dashboard!$A$1:$J$53</definedName>
    <definedName function="false" hidden="false" localSheetId="8" name="_xlnm.Print_Area" vbProcedure="false">Einheiten!$A$1:$L$66</definedName>
    <definedName function="false" hidden="false" localSheetId="8" name="_xlnm.Print_Titles" vbProcedure="false">Einheiten!$1:$3</definedName>
    <definedName function="false" hidden="false" localSheetId="9" name="_xlnm.Print_Area" vbProcedure="false">Log!$A$1:$L$403</definedName>
    <definedName function="false" hidden="false" localSheetId="9" name="_xlnm.Print_Titles" vbProcedure="false">Log!$1:$3</definedName>
    <definedName function="false" hidden="true" localSheetId="9" name="_xlnm._FilterDatabase" vbProcedure="false">Log!$A$3:$L$1203</definedName>
    <definedName function="false" hidden="false" localSheetId="3" name="_xlnm.Print_Area" vbProcedure="false">'OP-Countdown'!$A$1:$G$37</definedName>
    <definedName function="false" hidden="false" localSheetId="3" name="_xlnm.Print_Titles" vbProcedure="false">'OP-Countdown'!$1:$2</definedName>
    <definedName function="false" hidden="false" localSheetId="11" name="_xlnm.Print_Area" vbProcedure="false">Progression!$A$1:$N$25</definedName>
    <definedName function="false" hidden="false" localSheetId="11" name="_xlnm.Print_Titles" vbProcedure="false">Progression!$1:$3</definedName>
    <definedName function="false" hidden="false" localSheetId="6" name="_xlnm.Print_Area" vbProcedure="false">'Reha-Fahrplan'!$A$1:$G$44</definedName>
    <definedName function="false" hidden="false" localSheetId="6" name="_xlnm.Print_Titles" vbProcedure="false">'Reha-Fahrplan'!$1:$2</definedName>
    <definedName function="false" hidden="false" localSheetId="7" name="_xlnm.Print_Area" vbProcedure="false">'Reha-Plan Beine'!$A$1:$F$56</definedName>
    <definedName function="false" hidden="false" localSheetId="7" name="_xlnm.Print_Titles" vbProcedure="false">'Reha-Plan Beine'!$1:$2</definedName>
    <definedName function="false" hidden="false" localSheetId="12" name="_xlnm.Print_Area" vbProcedure="false">Rekorde!$A$1:$Q$25</definedName>
    <definedName function="false" hidden="false" localSheetId="12" name="_xlnm.Print_Titles" vbProcedure="false">Rekorde!$1:$3</definedName>
    <definedName function="false" hidden="false" localSheetId="0" name="_xlnm.Print_Area" vbProcedure="false">Start!$B$1:$E$55</definedName>
    <definedName function="false" hidden="false" localSheetId="0" name="_xlnm.Print_Titles" vbProcedure="false">Start!$1:$2</definedName>
    <definedName function="false" hidden="false" localSheetId="13" name="_xlnm.Print_Area" vbProcedure="false">Trainingsblatt!$A$1:$I$735</definedName>
    <definedName function="false" hidden="false" localSheetId="14" name="_xlnm.Print_Area" vbProcedure="false">Übungen!$A$1:$N$25</definedName>
    <definedName function="false" hidden="false" localSheetId="14" name="_xlnm.Print_Titles" vbProcedure="false">Übungen!$1:$3</definedName>
    <definedName function="false" hidden="false" localSheetId="4" name="_xlnm.Print_Area" vbProcedure="false">Vorbereitung!$B$1:$E$48</definedName>
    <definedName function="false" hidden="false" localSheetId="4" name="_xlnm.Print_Titles" vbProcedure="false">Vorbereitung!$1:$3</definedName>
    <definedName function="false" hidden="false" localSheetId="1" name="_xlnm.Print_Area" vbProcedure="false">Wochenplan!$B$1:$E$32</definedName>
    <definedName function="false" hidden="false" localSheetId="1" name="_xlnm.Print_Titles" vbProcedure="false">Wochenplan!$1:$2</definedName>
  </definedNames>
  <calcPr iterateCount="100" refMode="A1" iterate="false" iterateDelta="0.0001"/>
  <extLst>
    <ext xmlns:loext="http://schemas.libreoffice.org/" uri="{7626C862-2A13-11E5-B345-FEFF819CDC9F}">
      <loext:extCalcPr stringRefSyntax="ExcelA1"/>
    </ext>
  </extLst>
</workbook>
</file>

<file path=xl/comments10.xml><?xml version="1.0" encoding="utf-8"?>
<comments xmlns="http://schemas.openxmlformats.org/spreadsheetml/2006/main" xmlns:xdr="http://schemas.openxmlformats.org/drawingml/2006/spreadsheetDrawing">
  <authors>
    <author>Unknown Author</author>
  </authors>
  <commentList>
    <comment ref="L19" authorId="0">
      <text>
        <r>
          <rPr>
            <sz val="10"/>
            <rFont val="Arial"/>
            <family val="2"/>
          </rPr>
          <t xml:space="preserve">Original 152.2 kg. Überall sonst steht 152.5 kg, daher als Tippfehler gewertet.</t>
        </r>
      </text>
    </comment>
  </commentList>
</comments>
</file>

<file path=xl/sharedStrings.xml><?xml version="1.0" encoding="utf-8"?>
<sst xmlns="http://schemas.openxmlformats.org/spreadsheetml/2006/main" count="2543" uniqueCount="645">
  <si>
    <t xml:space="preserve">GYM LOGBUCH  |  BEINTRAINING  ·  FASSUNG VOR DER OP</t>
  </si>
  <si>
    <t xml:space="preserve">Gilt bis zur Operation am 30.09.2026. Danach auf die Reha-Fassung wechseln.</t>
  </si>
  <si>
    <t xml:space="preserve">Kurzübersicht</t>
  </si>
  <si>
    <t xml:space="preserve">Einheiten erfasst</t>
  </si>
  <si>
    <t xml:space="preserve">Sätze gesamt</t>
  </si>
  <si>
    <t xml:space="preserve">Gesamtvolumen (t)</t>
  </si>
  <si>
    <t xml:space="preserve">Schwerster Arbeitssatz (kg)</t>
  </si>
  <si>
    <t xml:space="preserve">Diese Fassung gilt bis zur Operation am 30.09.2026. Am OP-Tag auf die Reha-Fassung wechseln und die Zeilen aus 'Log' und 'Einheiten' hinüberkopieren - der Aufbau ist identisch, Auswertung und Rekorde rechnen dort sofort weiter. Die Blätter hier sind Planungshilfe, keine ärztliche Anweisung: was du vor der OP trainieren darfst, sagen Operateur und Physiotherapie.</t>
  </si>
  <si>
    <t xml:space="preserve">So arbeitest du damit</t>
  </si>
  <si>
    <t xml:space="preserve">Blatt 'Einheiten'</t>
  </si>
  <si>
    <t xml:space="preserve">Zuerst hier die Einheit anlegen: Nummer, Datum, Körpergewicht, Dauer, Schlaf, Gefühl. Das Datum zieht sich automatisch ins Log, du trägst es nur einmal ein.</t>
  </si>
  <si>
    <t xml:space="preserve">Blatt 'Log'</t>
  </si>
  <si>
    <t xml:space="preserve">Eine Zeile pro Satz. Nur die gelben Spalten ausfüllen: Einheit, Übung, Satztyp, Gewicht, Wdh, optional RPE und Notiz. Block, Volumen und e1RM rechnen sich selbst.</t>
  </si>
  <si>
    <t xml:space="preserve">Blatt 'Trainingsblatt'</t>
  </si>
  <si>
    <t xml:space="preserve">Ausdrucken und mitnehmen. Zeigt je Übung, was du zuletzt gemacht hast, dazu Zielvorschlag, Aufwärm-Rampe und leere Felder zum Eintragen mit Stift. Hinter jeder Übung steht, wie lange sie nach der OP ausfällt. Ein Ausdruck liefert vier Blätter je Block, also rund vier Trainingswochen am Stück - für spontane Zusatzübungen sind die Notizzeilen am Seitenende da.</t>
  </si>
  <si>
    <t xml:space="preserve">Blatt 'Auswertung'</t>
  </si>
  <si>
    <t xml:space="preserve">Volumen, Top-Gewicht und bester e1RM je Übung und Einheit. Drei Tabellen, jede auf einer eigenen Druckseite. Zeigt 16 Einheiten nebeneinander; mit der Zahl in B3 blätterst du weiter, die Gesamtspalte rechnet immer über alles.</t>
  </si>
  <si>
    <t xml:space="preserve">Blatt 'Progression'</t>
  </si>
  <si>
    <t xml:space="preserve">Erste gegen letzte Einheit: Veränderung in kg und Prozent, Abstand zum eigenen Bestwert, Trendbewertung.</t>
  </si>
  <si>
    <t xml:space="preserve">Blatt 'Rekorde'</t>
  </si>
  <si>
    <t xml:space="preserve">Bestwerte je Übung über alle Einheiten, inklusive der Einheit, in der der Rekord gefallen ist.</t>
  </si>
  <si>
    <t xml:space="preserve">Blatt 'Wochenplan'</t>
  </si>
  <si>
    <t xml:space="preserve">Wochenraster mit zwei Beineinheiten und den Regeln zur Regeneration: 72 Stunden Abstand, Satzpausen, Schlaf, was bei ausbleibendem Fortschritt zuerst zu prüfen ist. Dazu der Wiedereinstieg nach der Trainingspause: welche Übung diese Woche pausiert und welche mit welchem Prozentsatz zurückkommt.</t>
  </si>
  <si>
    <t xml:space="preserve">Blatt 'Dashboard'</t>
  </si>
  <si>
    <t xml:space="preserve">Kennzahlen und vier Diagramme auf einer Seite. Gut zum Aufhängen.</t>
  </si>
  <si>
    <t xml:space="preserve">Blatt 'Reha-Plan Beine'</t>
  </si>
  <si>
    <t xml:space="preserve">Der eigentliche Trainingsplan nach der OP. Je Phase steht dort, welche Übung läuft, mit wie vielen Sätzen und Wiederholungen und mit welchem konkreten Gewicht - gerechnet als Prozentsatz des letzten Arbeitsgewichts vor der OP und auf die Laststufe des Geräts abgerundet. Dieses Blatt ersetzt in der Reha das Trainingsblatt; ab Phase 4 wird wieder das Trainingsblatt genutzt.</t>
  </si>
  <si>
    <t xml:space="preserve">Blatt 'OP-Countdown'</t>
  </si>
  <si>
    <t xml:space="preserve">Tage und Wochen bis zum Termin, und vor allem: welche Übung nach der OP wie lange ausfällt und welcher Ersatz einspringt. Die Ersatzgeräte jetzt einarbeiten und das Arbeitsgewicht dort eintragen - dann steht der Startwert nach der OP schon fest.</t>
  </si>
  <si>
    <t xml:space="preserve">Blatt 'Vorbereitung'</t>
  </si>
  <si>
    <t xml:space="preserve">Checkliste bis zum OP-Tag: Fragen an Operateur und Physiotherapie, Organisation, Gym-Logistik. Die Antworten gehören in die Notizspalte, dann hast du sie später schwarz auf weiss.</t>
  </si>
  <si>
    <t xml:space="preserve">Blatt 'Baseline Schulter'</t>
  </si>
  <si>
    <t xml:space="preserve">Ausgangswerte beider Schultern vor der OP: Beweglichkeit in Grad, Schmerz, Curl-Testgewicht. Diese Zahlen sind nach der OP nicht mehr nachholbar, und der Reha-Fahrplan misst mehrere Meilensteine am Vergleich zur Gegenseite.</t>
  </si>
  <si>
    <t xml:space="preserve">Blatt 'Übungen'</t>
  </si>
  <si>
    <t xml:space="preserve">Stammdaten und Planvorgaben: Ziel-Wdh, Ziel-Sätze, Ziel-RPE und Startgewicht je Übung. Neue Übung hier ergänzen - sie erscheint automatisch in den Dropdowns und in allen Auswertungen. 'Aktiv' kennt drei Zustände: 'ja' läuft normal, 'pause' setzt eine Übung vorübergehend aus (sie bleibt in der Historie, das Trainingsblatt zeigt statt der Gewichte einen roten Pausenvermerk), 'nein' archiviert sie ganz. Die Spalte 'Anpassung %' drosselt das Zielgewicht einer Übung, ohne die Rechnung zu verfälschen: 100 ist normal, 80 heisst 80 Prozent des berechneten Ziels - gedacht für den Wiedereinstieg nach Pause oder Verletzung. Wichtig: die Anpassung wieder auf 100 setzen, sobald die Übung einmal auf dem reduzierten Gewicht gelaufen ist. Sonst rechnet der Plan die Prozente auf ein schon reduziertes Ergebnis, und das Zielgewicht sinkt Einheit für Einheit weiter statt zu steigen.</t>
  </si>
  <si>
    <t xml:space="preserve">Legende</t>
  </si>
  <si>
    <t xml:space="preserve">Gelbe Zellen</t>
  </si>
  <si>
    <t xml:space="preserve">Deine Eingabe. Nur hier tippen.</t>
  </si>
  <si>
    <t xml:space="preserve">Weisse / graue Zellen</t>
  </si>
  <si>
    <t xml:space="preserve">Formeln. Nicht überschreiben.</t>
  </si>
  <si>
    <t xml:space="preserve">Satztyp W</t>
  </si>
  <si>
    <t xml:space="preserve">Warmup. Zählt nicht ins Arbeitsvolumen.</t>
  </si>
  <si>
    <t xml:space="preserve">Satztyp A</t>
  </si>
  <si>
    <t xml:space="preserve">Arbeitssatz. Basis für Volumen, Top-Gewicht und e1RM.</t>
  </si>
  <si>
    <t xml:space="preserve">Satztyp R</t>
  </si>
  <si>
    <t xml:space="preserve">Reduktions- bzw. Dropsatz. Kette in der Spalte 'Drop-Kette' notieren, z.B. 110 / 72.5 / 35. Zählt nicht ins Arbeitsvolumen, weil die Wdh je Stufe fehlen.</t>
  </si>
  <si>
    <t xml:space="preserve">Volumen</t>
  </si>
  <si>
    <t xml:space="preserve">Gewicht × Wdh je Satz. Der ehrlichste Fortschrittswert an Maschinen.</t>
  </si>
  <si>
    <t xml:space="preserve">e1RM (Epley)</t>
  </si>
  <si>
    <t xml:space="preserve">Gewicht × (1 + Wdh / 30). An Maschinen kein echtes 1RM, aber ein sauberer Vergleich zwischen Einheiten mit unterschiedlichen Wiederholungszahlen.</t>
  </si>
  <si>
    <t xml:space="preserve">RPE</t>
  </si>
  <si>
    <t xml:space="preserve">Anstrengung 6 bis 10. 10 = keine Wiederholung mehr möglich. Optional, aber sehr hilfreich für die Steuerung. Die Zielwerte je Übung stehen im Blatt 'Übungen'.</t>
  </si>
  <si>
    <t xml:space="preserve">Zielbereich 5 bis 6 Wdh</t>
  </si>
  <si>
    <t xml:space="preserve">Alle Übungen laufen im selben Bereich: 5 bis 6 Wiederholungen je Arbeitssatz. Kraftlastig, dafür brauchen die Sätze längere Pausen - drei bis vier Minuten bei den schweren Übungen.</t>
  </si>
  <si>
    <t xml:space="preserve">Drei Sätze, absteigend</t>
  </si>
  <si>
    <t xml:space="preserve">Immer genau drei Arbeitssätze, keine Reduktionssätze mehr. Satz 1 ist der schwere Top-Satz und bestimmt allein die Progression. Satz 2 läuft mit 95 Prozent, Satz 3 mit 90 Prozent davon - beide dürfen eine beziehungsweise zwei Wiederholungen mehr, aber nie über 6. Auf dem Trainingsblatt steht je Satz das eigene Gewicht: Warmup 1 mit 40 und Warmup 2 mit 70 Prozent, dann Arbeitssatz 1 mit 100, Arbeitssatz 2 mit 95 und Arbeitssatz 3 mit 90 Prozent. Alle drei Arbeitssätze bleiben im Bereich 5 bis 6 Wiederholungen.</t>
  </si>
  <si>
    <t xml:space="preserve">Doppelte Progression</t>
  </si>
  <si>
    <t xml:space="preserve">So wird gesteigert, und zwar nach jedem Training neu: Solange der schwächste Arbeitssatz unter 6 Wdh liegt, bleibt das Gewicht stehen und es kommt eine Wiederholung dazu. Schaffen alle Sätze 6, kommt Gewicht drauf und die Wiederholungen fangen bei 5 wieder an. Bezug ist immer der schwächste Satz, nicht der beste. Sobald du die Einheit ins Log tippst, steht der nächste Schritt da.</t>
  </si>
  <si>
    <t xml:space="preserve">Wie viel Gewicht dazukommt</t>
  </si>
  <si>
    <t xml:space="preserve">Ein Prozent auf das letzte Top-Gewicht, aufgerundet auf die nächste Laststufe des Geräts. Das ist bewusst klein gehalten und über Monate tragfähig. An Maschinen mit groben Steckgewichten ist eine Stufe mehr als ein Prozent - der tatsächliche Zuwachs steht deshalb in Prozent neben dem Vorschlag. Wird ein Sprung zu gross, im Blatt 'Übungen' eine kleinere Laststufe eintragen.</t>
  </si>
  <si>
    <t xml:space="preserve">RM-Korrektur</t>
  </si>
  <si>
    <t xml:space="preserve">Ein Prozent gilt nur, solange die Last stimmt. Lief der letzte Top-Satz zwei oder mehr Wiederholungen über der Obergrenze, war nicht der Schritt zu klein, sondern das Gewicht zu niedrig - und ein Prozent holt das nie auf. Dann rechnet der Plan aus genau diesem Satz den geschätzten Einer-Maximalwert nach Epley, leitet daraus die Last für die Obergrenze ab und springt direkt dorthin. Auf dem Trainingsblatt steht dann 'RM-Korrektur nach 8 Wdh' statt des normalen Schritts. Die Schätzung kommt aus dem eigenen Satz, also korrigiert sie sich über zwei bis drei Einheiten selbst ein - sie ersetzt keinen echten Maximalversuch.</t>
  </si>
  <si>
    <t xml:space="preserve">Archiv</t>
  </si>
  <si>
    <t xml:space="preserve">Übung im Blatt 'Übungen' auf Aktiv = nein setzen. Sie verschwindet aus dem Trainingsblatt, bleibt in Log, Auswertung, Progression und Rekorden aber sichtbar - dort grau und kursiv.</t>
  </si>
  <si>
    <t xml:space="preserve">Offene Punkte aus der Originalquelle</t>
  </si>
  <si>
    <t xml:space="preserve">Kickback, Warmups</t>
  </si>
  <si>
    <t xml:space="preserve">Im Original stehen zwei Gewichte statt Gewicht plus Wdh (z.B. 35 kg / 49 kg). Als zwei Warmup-Sätze ohne Wdh erfasst.</t>
  </si>
  <si>
    <t xml:space="preserve">Adduktion, Einheit 4</t>
  </si>
  <si>
    <t xml:space="preserve">Original 152.2 kg, überall sonst 152.5 kg. Als Tippfehler auf 152.5 korrigiert und im Log vermerkt. War es ein anderes Gerät, die beiden Zeilen im Log anpassen.</t>
  </si>
  <si>
    <t xml:space="preserve">Beinstrecker, Einheit 2</t>
  </si>
  <si>
    <t xml:space="preserve">Zeile 'W 10 kg 20 kg 5-6 Wdh' als zwei Warmups ohne Wdh erfasst.</t>
  </si>
  <si>
    <t xml:space="preserve">Hip Thrust, R-Sätze</t>
  </si>
  <si>
    <t xml:space="preserve">'-25 kg je Seite' ohne Absolutgewicht. Beim nächsten Mal das Gesamtgewicht eintragen, sonst ist der Satz nicht vergleichbar.</t>
  </si>
  <si>
    <t xml:space="preserve">Lunges</t>
  </si>
  <si>
    <t xml:space="preserve">Nur Gewichte, keine Wdh und keine Satzstruktur. Als je ein Arbeitssatz in Einheit 1 bis 3 erfasst - deshalb bleibt das Volumen dort leer. Übung ist inzwischen archiviert.</t>
  </si>
  <si>
    <t xml:space="preserve">Datum</t>
  </si>
  <si>
    <t xml:space="preserve">In der Quelle nicht enthalten. Im Blatt 'Einheiten' nachtragen, falls du die Termine noch weisst.</t>
  </si>
  <si>
    <t xml:space="preserve">Beinpresse neu im Plan</t>
  </si>
  <si>
    <t xml:space="preserve">Ersetzt die Hackenschmidt-Kniebeuge. Sie war bisher als Ersatzübung für deren Sperrzeit hinterlegt, war also vor Woche 6 nutzbar - daraus ist die Freigabe ab Woche 2 abgeleitet. Diese Woche mit Operateur oder Physiotherapie bestätigen, sie steht im Blatt 'Übungen' und lässt sich dort ändern.</t>
  </si>
  <si>
    <t xml:space="preserve">Adduktion, Obergrenze</t>
  </si>
  <si>
    <t xml:space="preserve">Die frühere Annahme, 152.5 kg sei das Stackende, ist überholt - in Einheit 5 lagen 162.5 kg an. 'Max (kg)' ist deshalb leer. Falls die Maschine doch eine Obergrenze hat, im Blatt 'Übungen' eintragen.</t>
  </si>
  <si>
    <t xml:space="preserve">Absteigende Sätze</t>
  </si>
  <si>
    <t xml:space="preserve">Bei Split Squat, Beinstrecker und Hip Thrust wurden die Arbeitssätze in Einheit 5 absteigend beziehungsweise aufsteigend gefahren. Die doppelte Progression rechnet auf dem schwersten Satz und dessen Wiederholungen - bei Rampen ist das die oberste Stufe.</t>
  </si>
  <si>
    <t xml:space="preserve">Startgewichte fehlen</t>
  </si>
  <si>
    <t xml:space="preserve">Beinpresse und Rumänisches Kreuzheben sind neu im Plan und haben keine Historie. Trag im Blatt 'Übungen' unter 'Start (kg)' ein Einstiegsgewicht ein, dann füllt sich die Plan-Spalte des Trainingsblatts. Aus den bisherigen Daten lässt sich dafür kein seriöser Wert ableiten - das entscheidest du im ersten Satz.</t>
  </si>
  <si>
    <t xml:space="preserve">Alle Kennzahlen sind Formeln. Sobald du im Log Zeilen ergänzt, aktualisieren sich Auswertung, Progression, Rekorde und Dashboard von selbst.   ·   Vorbereitet sind 1200 Sätze im Log, 60 Einheiten und 240 Tage Reha-Log - das reicht für rund ein Jahr Training.</t>
  </si>
  <si>
    <t xml:space="preserve">WOCHENPLAN  |  VOR DER OP</t>
  </si>
  <si>
    <t xml:space="preserve">Zwei Beineinheiten je Woche, dazwischen mindestens 72 Stunden. Regeneration ist Teil des Plans, nicht die Pause davon.</t>
  </si>
  <si>
    <t xml:space="preserve">Wochenraster</t>
  </si>
  <si>
    <t xml:space="preserve">Tag</t>
  </si>
  <si>
    <t xml:space="preserve">Einheit</t>
  </si>
  <si>
    <t xml:space="preserve">Inhalt</t>
  </si>
  <si>
    <t xml:space="preserve">Warum</t>
  </si>
  <si>
    <t xml:space="preserve">Montag</t>
  </si>
  <si>
    <t xml:space="preserve">Beine vorne</t>
  </si>
  <si>
    <t xml:space="preserve">Beinpresse eng · Split Squat · Beinstrecker · Adduktion</t>
  </si>
  <si>
    <t xml:space="preserve">Frischer Wochenstart für die schwerste Einheit.</t>
  </si>
  <si>
    <t xml:space="preserve">Dienstag</t>
  </si>
  <si>
    <t xml:space="preserve">frei</t>
  </si>
  <si>
    <t xml:space="preserve">Gehen, lockeres Radfahren, Mobilität</t>
  </si>
  <si>
    <t xml:space="preserve">Durchblutung fördert die Erholung, ohne neuen Reiz zu setzen.</t>
  </si>
  <si>
    <t xml:space="preserve">Mittwoch</t>
  </si>
  <si>
    <t xml:space="preserve">Oberkörper oder Ruhetag</t>
  </si>
  <si>
    <t xml:space="preserve">Beine bleiben unbelastet.</t>
  </si>
  <si>
    <t xml:space="preserve">Donnerstag</t>
  </si>
  <si>
    <t xml:space="preserve">Beine hinten</t>
  </si>
  <si>
    <t xml:space="preserve">Reverse V-Squat · RDL Kurzhantel · Beinpresse breit · Hip Thrust · Hip &amp; Glute · Beinbeuger · Seitl. Kickbacks · Waden</t>
  </si>
  <si>
    <t xml:space="preserve">72 Stunden nach Montag - die Vorderseite ist wieder erholt.</t>
  </si>
  <si>
    <t xml:space="preserve">Freitag</t>
  </si>
  <si>
    <t xml:space="preserve">Erholung.</t>
  </si>
  <si>
    <t xml:space="preserve">Samstag</t>
  </si>
  <si>
    <t xml:space="preserve">Gehen, Mobilität</t>
  </si>
  <si>
    <t xml:space="preserve">Lockere Bewegung, keine Beinlast.</t>
  </si>
  <si>
    <t xml:space="preserve">Sonntag</t>
  </si>
  <si>
    <t xml:space="preserve">Ruhetag</t>
  </si>
  <si>
    <t xml:space="preserve">Vollständige Pause vor dem nächsten Montag.</t>
  </si>
  <si>
    <t xml:space="preserve">Wiedereinstieg nach der Pause (Adduktoren links)</t>
  </si>
  <si>
    <t xml:space="preserve">Die Rückkehrwoche nach der Zerrung in der linken Oberschenkelinnenseite ist durch: Einheit 11 (Beine hinten) und Einheit 12 (Beine vorne) sind gelaufen, beide ohne gemeldete Beschwerden. Neun Übungen stehen deshalb wieder auf Anpassung 100 Prozent und drei Arbeitssätzen. Nur die zwei Übungen, die den verletzten Muskel direkt treffen, kommen gedrosselt zurück - Stand unten. Nach zwei beschwerdefreien Einheiten auch dort im Blatt 'Übungen' die Anpassung auf 100 und die Ziel-Sätze auf 3 setzen.</t>
  </si>
  <si>
    <t xml:space="preserve">Stufe</t>
  </si>
  <si>
    <t xml:space="preserve">Übungen</t>
  </si>
  <si>
    <t xml:space="preserve">Vorgabe</t>
  </si>
  <si>
    <t xml:space="preserve">Begründung</t>
  </si>
  <si>
    <t xml:space="preserve">erledigt</t>
  </si>
  <si>
    <t xml:space="preserve">Adduktion (Maschine)</t>
  </si>
  <si>
    <t xml:space="preserve">3 Sätze, Anpassung 100 %</t>
  </si>
  <si>
    <t xml:space="preserve">In Einheit 17 mit 165 x 6 schmerzfrei gelaufen, das war die erste Einheit seit der Zerrung. Drosselung damit aufgehoben. Wichtig: die Anpassung muss weg, sobald eine Übung einmal auf dem reduzierten Gewicht gelaufen ist - sonst rechnet der Plan die Prozente auf ein schon reduziertes Ergebnis und die Last sinkt weiter.</t>
  </si>
  <si>
    <t xml:space="preserve">Eichung</t>
  </si>
  <si>
    <t xml:space="preserve">Beinpresse breiter Stand</t>
  </si>
  <si>
    <t xml:space="preserve">3 Sätze, Start 220 kg</t>
  </si>
  <si>
    <t xml:space="preserve">Drosselung aufgehoben, aber bis heute nie ausgeführt. Das Startgewicht bleibt eine Schätzung und steht vorsichtig bei 220 kg statt 260 - die erste Einheit ist eine Eichung.</t>
  </si>
  <si>
    <t xml:space="preserve">100 %</t>
  </si>
  <si>
    <t xml:space="preserve">alle übrigen zehn Übungen</t>
  </si>
  <si>
    <t xml:space="preserve">3 Sätze, volle Progression</t>
  </si>
  <si>
    <t xml:space="preserve">Einheit 11, 12 und 13 nach der Pause ohne Beschwerden gelaufen. Die Drosselung hat ihren Zweck erfüllt und würde ab jetzt nur noch Fortschritt kosten.</t>
  </si>
  <si>
    <t xml:space="preserve">Abbruch</t>
  </si>
  <si>
    <t xml:space="preserve">alle Übungen</t>
  </si>
  <si>
    <t xml:space="preserve">bei Ziehen sofort beenden</t>
  </si>
  <si>
    <t xml:space="preserve">Ein Ziehen in der Leiste ist kein Muskelkater. Die Einheit endet, die Übung wird notiert, und es geht zur Ärztin oder zur Physiotherapie - nicht ins nächste Gewicht.</t>
  </si>
  <si>
    <t xml:space="preserve">Regeneration - die Regeln</t>
  </si>
  <si>
    <t xml:space="preserve">72 Stunden zwischen zwei Beineinheiten</t>
  </si>
  <si>
    <t xml:space="preserve">Muskelprotein-Synthese läuft nach einer schweren Einheit rund zwei bis drei Tage. Wer früher wieder schwer belastet, sammelt Ermüdung statt Anpassung. Zwei Einheiten je Woche reichen bei drei Arbeitssätzen im Bereich 5 bis 6 vollkommen aus.</t>
  </si>
  <si>
    <t xml:space="preserve">Satzpausen: 3 bis 4 Minuten schwer, 2 Minuten Isolation</t>
  </si>
  <si>
    <t xml:space="preserve">Im Bereich 5 bis 6 Wiederholungen ist die Last hoch. Zu kurze Pausen kosten Wiederholungen im nächsten Satz und verfälschen damit die Progression - der schwächste Satz ist die Rechengrundlage.</t>
  </si>
  <si>
    <t xml:space="preserve">Schlaf 7 bis 9 Stunden</t>
  </si>
  <si>
    <t xml:space="preserve">Der grösste Wachstumshormon-Puls liegt im ersten Tiefschlafzyklus. Zwei kurze Nächte hintereinander sieht man in den Wiederholungen.</t>
  </si>
  <si>
    <t xml:space="preserve">Protein über den Tag verteilt</t>
  </si>
  <si>
    <t xml:space="preserve">2.0 bis 2.5 g je kg Körpergewicht, auf vier bis fünf Mahlzeiten. Derselbe Wert, den der Reha-Fahrplan für die Sehnenheilung nennt.</t>
  </si>
  <si>
    <t xml:space="preserve">Muskelkater beim Aufwärmen</t>
  </si>
  <si>
    <t xml:space="preserve">Ist der Muskelkater der letzten Einheit beim zweiten Warmup noch deutlich spürbar, die Einheit mit zwei statt drei Arbeitssätzen fahren. Das Gewicht bleibt, das Volumen sinkt.</t>
  </si>
  <si>
    <t xml:space="preserve">Zwei Einheiten ohne Fortschritt</t>
  </si>
  <si>
    <t xml:space="preserve">Steht eine Übung zwei Einheiten auf demselben Gewicht und derselben Wiederholungszahl, ist meist die Erholung das Problem, nicht der Reiz. Erst Schlaf und Essen prüfen, dann das Programm.</t>
  </si>
  <si>
    <t xml:space="preserve">Drittes Trainingsblatt 'Auswärts Bülach': eigene Übungen für das zweite Gym. Die Maschinen dort haben andere Hebel, deshalb laufen sie mit eigener Historie und eigener Progression - sonst würden 200 kg am fremden Hip Thrust die 285 kg vom eigenen Gerät überschreiben. Ersetzt eine Auswärts-Einheit einen der beiden Tage oben, bleibt der 72-Stunden-Abstand trotzdem stehen.</t>
  </si>
  <si>
    <t xml:space="preserve">Zwei Beineinheiten an aufeinanderfolgenden Tagen sind möglich, aber nicht ideal: Kniebeuge-Muster und Hüftstreckung überschneiden sich stärker, als die Blocknamen vermuten lassen. Wenn es terminlich nicht anders geht, die zweite Einheit mit zwei statt drei Arbeitssätzen fahren.</t>
  </si>
  <si>
    <t xml:space="preserve">DASHBOARD  |  BEINTRAINING AUF EINEN BLICK</t>
  </si>
  <si>
    <t xml:space="preserve">Alle Werte rechnen sich aus dem Log.</t>
  </si>
  <si>
    <t xml:space="preserve">Einheiten</t>
  </si>
  <si>
    <t xml:space="preserve">Arbeitssätze</t>
  </si>
  <si>
    <t xml:space="preserve">Arbeitsvolumen (t)</t>
  </si>
  <si>
    <t xml:space="preserve">Volumen je Einheit (kg)</t>
  </si>
  <si>
    <t xml:space="preserve">Schwerster Satz (kg)</t>
  </si>
  <si>
    <t xml:space="preserve">Bester e1RM (kg)</t>
  </si>
  <si>
    <t xml:space="preserve">Übungen im Plan</t>
  </si>
  <si>
    <t xml:space="preserve">Verlauf und Vergleich</t>
  </si>
  <si>
    <t xml:space="preserve">Noch nicht trainierte Einheiten und Übungen erscheinen in den Diagrammen ohne Balken.</t>
  </si>
  <si>
    <t xml:space="preserve">OP-COUNTDOWN  |  WAS BIS ZUM OP-TAG ZU TUN IST</t>
  </si>
  <si>
    <t xml:space="preserve">Diese Fassung gilt bis zur Operation. Danach die Reha-Fassung des Logbuchs verwenden und Log und Einheiten übernehmen.</t>
  </si>
  <si>
    <t xml:space="preserve">Tage bis OP</t>
  </si>
  <si>
    <t xml:space="preserve">Wochen bis OP</t>
  </si>
  <si>
    <t xml:space="preserve">OP-Datum</t>
  </si>
  <si>
    <t xml:space="preserve">Was nach der OP wegfällt - und was du dafür jetzt einüben solltest</t>
  </si>
  <si>
    <t xml:space="preserve">Übung</t>
  </si>
  <si>
    <t xml:space="preserve">gesperrt bis
Woche nach OP</t>
  </si>
  <si>
    <t xml:space="preserve">Sperrdauer
(Wochen)</t>
  </si>
  <si>
    <t xml:space="preserve">frei ab etwa</t>
  </si>
  <si>
    <t xml:space="preserve">Ersatz, der in der Sperrzeit einspringt</t>
  </si>
  <si>
    <t xml:space="preserve">schon getestet?</t>
  </si>
  <si>
    <t xml:space="preserve">Eingewöhntes Arbeitsgewicht / Notiz</t>
  </si>
  <si>
    <t xml:space="preserve">Lesehilfe: Die Sperrdauer kommt aus der Spalte 'Reha frei ab Woche' im Blatt 'Übungen'. Rot markiert sind die Übungen, die einen Monat oder länger ausfallen - genau Übungen, die einen Monat oder länger ausfallen - genau für die lohnt es sich, den Ersatz jetzt einzuarbeiten, statt ihn nach der OP zum ersten Mal auszuprobieren. Trag rechts das Gewicht ein, mit dem der Ersatz sauber läuft, dann steht der Startwert nach der OP schon fest.</t>
  </si>
  <si>
    <t xml:space="preserve">Zeitfenster bis zum OP-Tag</t>
  </si>
  <si>
    <t xml:space="preserve">bis 4 Wochen vorher</t>
  </si>
  <si>
    <t xml:space="preserve">Normalbetrieb. Regulär trainieren und sauber protokollieren - je vollständiger die Historie, desto belastbarer sind die Zielwerte, auf die du nach der Pause zurückkommst.</t>
  </si>
  <si>
    <t xml:space="preserve">4 bis 1 Woche vorher</t>
  </si>
  <si>
    <t xml:space="preserve">Ersatzübungen einarbeiten: die Geräte, die nach der OP einspringen müssen, einmal mit Arbeitsgewicht durchspielen und den Wert oben eintragen. Baseline-Werte im Blatt 'Baseline Schulter' erfassen, beide Seiten.</t>
  </si>
  <si>
    <t xml:space="preserve">letzte Woche</t>
  </si>
  <si>
    <t xml:space="preserve">Organisation abschliessen (Blatt 'Vorbereitung'), Baseline-Messung wiederholen, damit zwei Messpunkte vorliegen. Wie stark du das Training zurückfährst, besprichst du mit Operateur und Physiotherapie.</t>
  </si>
  <si>
    <t xml:space="preserve">OP-Tag</t>
  </si>
  <si>
    <t xml:space="preserve">Auf die Reha-Fassung des Logbuchs umsteigen. Zeilen aus 'Log' und 'Einheiten' einfach hinüberkopieren - der Aufbau ist identisch, Auswertung und Rekorde rechnen dort sofort weiter.</t>
  </si>
  <si>
    <t xml:space="preserve">Die Zeitfenster sind Planungshilfe für Training und Organisation, keine medizinische Vorgabe. Was du in den Tagen vor der OP trainieren darfst und was nicht, sagen Operateur und Physiotherapie.</t>
  </si>
  <si>
    <t xml:space="preserve">VORBEREITUNG  |  CHECKLISTE BIS ZUM OP-TAG</t>
  </si>
  <si>
    <t xml:space="preserve">Abhaken, was erledigt ist. Die Punkte unter 'Fragen an Operateur und Physiotherapie' sind Fragen, keine Antworten - die Antworten gehören in die Notizspalte.</t>
  </si>
  <si>
    <t xml:space="preserve">Fragen an Operateur und Physiotherapie</t>
  </si>
  <si>
    <t xml:space="preserve">Aufgabe</t>
  </si>
  <si>
    <t xml:space="preserve">bis wann</t>
  </si>
  <si>
    <t xml:space="preserve">Antwort / Notiz</t>
  </si>
  <si>
    <t xml:space="preserve">Das schriftliche Nachbehandlungsschema mitgeben lassen - alle Wochenangaben im Logbuch sind bis dahin nur abgeleitet.</t>
  </si>
  <si>
    <t xml:space="preserve">Wie gross ist die Subscapularis-Läsion, und wie wird genäht? Davon hängt ab, wie streng die ersten 6 Wochen laufen.</t>
  </si>
  <si>
    <t xml:space="preserve">Wie lange Gilchrist, Tag und Nacht? Ab wann abbauen?</t>
  </si>
  <si>
    <t xml:space="preserve">Bis zu welchem Winkel darf passiv bewegt werden - Flexion, Abduktion, und vor allem Aussenrotation?</t>
  </si>
  <si>
    <t xml:space="preserve">Ab wann aktive Innenrotation ohne Widerstand, ab wann gegen Widerstand?</t>
  </si>
  <si>
    <t xml:space="preserve">Ab wann Ellenbogenbeugung und Supination gegen Widerstand? (Tenodese-Protokoll, läuft parallel zum Naht-Protokoll.)</t>
  </si>
  <si>
    <t xml:space="preserve">Ab wann ist Beintraining im Sitzen wieder erlaubt? Im Logbuch steht Tag 10 bis 14 als abgeleiteter Wert.</t>
  </si>
  <si>
    <t xml:space="preserve">Ab wann ist die Beinpresse erlaubt? Im Logbuch steht Woche 6 als abgeleiteter Wert, nicht als ärztliche Freigabe.</t>
  </si>
  <si>
    <t xml:space="preserve">Ab wann darf eine Langhantel wieder gehalten werden? Davon hängen Hip Thrust und Rumänisches Kreuzheben ab.</t>
  </si>
  <si>
    <t xml:space="preserve">Ab wann darf der Arm wieder Hebelast tragen, und wie viel?</t>
  </si>
  <si>
    <t xml:space="preserve">Wann ist der erste Physiotermin, und ist die Verordnung da?</t>
  </si>
  <si>
    <t xml:space="preserve">Welche Schmerzmedikation, und wie lange? (Der Fahrplan vermerkt, dass dauerhaft hochdosierte NSAR die Heilung bremsen - Rückfrage lohnt.)</t>
  </si>
  <si>
    <t xml:space="preserve">Autofahren ab wann? Rechte Schulter heisst Schalten, Lenken und Gurt.</t>
  </si>
  <si>
    <t xml:space="preserve">Organisation</t>
  </si>
  <si>
    <t xml:space="preserve">OP-Termin, Anreise und Begleitung für den Heimweg geklärt</t>
  </si>
  <si>
    <t xml:space="preserve">Arbeitsausfall angemeldet, Krankschreibung besprochen</t>
  </si>
  <si>
    <t xml:space="preserve">Schlinge, Kühlpackungen und Verbandsmaterial zu Hause</t>
  </si>
  <si>
    <t xml:space="preserve">Kleidung zum Knöpfen bereitgelegt - über den Kopf ziehen fällt weg. Weite Ärmel rechts, damit der Arm nicht verdreht werden muss</t>
  </si>
  <si>
    <t xml:space="preserve">Alltag rechts durchgespielt: Haare, BH, Gürtel, Gesässtasche, Anschnallen. Was nur hinter dem Rücken geht, fällt wochenlang aus - jetzt Alternativen festlegen</t>
  </si>
  <si>
    <t xml:space="preserve">Hilfe für die erste Woche organisiert, nicht nur für den OP-Tag</t>
  </si>
  <si>
    <t xml:space="preserve">Schlafplatz halbsitzend vorbereitet, Kissen besorgt</t>
  </si>
  <si>
    <t xml:space="preserve">Einkäufe und Haushalt für die erste Woche vorbereitet</t>
  </si>
  <si>
    <t xml:space="preserve">Wichtige Telefonnummern notiert: Klinik, Operateur, Physio</t>
  </si>
  <si>
    <t xml:space="preserve">Training und Gym</t>
  </si>
  <si>
    <t xml:space="preserve">Ersatzübungen im Blatt 'OP-Countdown' durchgespielt und Arbeitsgewichte eingetragen</t>
  </si>
  <si>
    <t xml:space="preserve">Baseline Schulter gemessen, beide Seiten, mindestens zwei Messpunkte - inklusive Innenrotationskraft, die misst der Fahrplan in Phase 4 und 5</t>
  </si>
  <si>
    <t xml:space="preserve">Letzte schwere Beineinheit spätestens 2 bis 3 Tage vor der OP, danach nur noch Gehen</t>
  </si>
  <si>
    <t xml:space="preserve">Gym-Mitgliedschaft: Pausierung geklärt, falls längere Unterbrechung</t>
  </si>
  <si>
    <t xml:space="preserve">Trainingsblätter der Reha-Fassung einmal ausgedruckt und bereitgelegt</t>
  </si>
  <si>
    <t xml:space="preserve">Fotos der Ausgangssituation gemacht, falls du den Verlauf auch optisch festhalten willst</t>
  </si>
  <si>
    <t xml:space="preserve">Aus dem Reha-Fahrplan vorziehen</t>
  </si>
  <si>
    <t xml:space="preserve">Proteinversorgung geplant - der Fahrplan nennt 2.0 bis 2.5 g pro kg täglich als heilungsfördernd</t>
  </si>
  <si>
    <t xml:space="preserve">Schlafroutine eingerichtet, solange das Schlafen noch bequem ist</t>
  </si>
  <si>
    <t xml:space="preserve">Nikotin: der Fahrplan führt es als starke Bremse für die Sehnen-Knochen-Heilung</t>
  </si>
  <si>
    <t xml:space="preserve">Vitamin-D-Status abklären lassen, falls länger nicht geprüft</t>
  </si>
  <si>
    <t xml:space="preserve">Noch offen</t>
  </si>
  <si>
    <t xml:space="preserve">von 32 Aufgaben</t>
  </si>
  <si>
    <t xml:space="preserve">BASELINE SCHULTER  |  AUSGANGSWERTE VOR DER OP</t>
  </si>
  <si>
    <t xml:space="preserve">Beide Seiten messen, mindestens an zwei Terminen. Diese Werte sind nach der OP nicht mehr nachholbar - der Reha-Fahrplan misst mehrere Meilensteine am Vergleich zur Gegenseite.</t>
  </si>
  <si>
    <t xml:space="preserve">Vergleich operierte Seite gegen Gegenseite</t>
  </si>
  <si>
    <t xml:space="preserve">Messwert</t>
  </si>
  <si>
    <t xml:space="preserve">operierte Seite</t>
  </si>
  <si>
    <t xml:space="preserve">Gegenseite</t>
  </si>
  <si>
    <t xml:space="preserve">Anteil</t>
  </si>
  <si>
    <t xml:space="preserve">Flexion (Grad)</t>
  </si>
  <si>
    <t xml:space="preserve">Der Reha-Fahrplan misst Phase 4 an etwa 70 bis 80 Prozent und Phase 5 an mindestens 90 Prozent der Gegenseite - und zwar für Innenrotation UND Ellenbogenbeugung. Beides hier vorher messen, sonst sind die Prozentwerte später nicht überprüfbar. Innenrotation im Sitzen am Kabel mit angelegtem Ellenbogen testen, Curl am immer gleichen Gerät. Gleiche Wiederholungszahl, gleiche Tageszeit.</t>
  </si>
  <si>
    <t xml:space="preserve">Abduktion (Grad)</t>
  </si>
  <si>
    <t xml:space="preserve">Aussenrotation (Grad)</t>
  </si>
  <si>
    <t xml:space="preserve">Curl-Testgewicht (kg)</t>
  </si>
  <si>
    <t xml:space="preserve">Hinweise zur Messung</t>
  </si>
  <si>
    <t xml:space="preserve">·  Immer dieselbe Position, dieselbe Tageszeit und dieselbe Messmethode - sonst vergleichst du später Rauschen statt Fortschritt.</t>
  </si>
  <si>
    <t xml:space="preserve">·  Beide Seiten an jedem Messtermin, sonst fehlt der Bezugswert.</t>
  </si>
  <si>
    <t xml:space="preserve">·  Mindestens zwei Termine vor der OP, damit ein Ausreisser auffällt.</t>
  </si>
  <si>
    <t xml:space="preserve">·  Curl-Testgewicht: das Gewicht, mit dem eine feste Wiederholungszahl sauber gelingt - nicht das Maximum.</t>
  </si>
  <si>
    <t xml:space="preserve">Seite</t>
  </si>
  <si>
    <t xml:space="preserve">Schmerz
Ruhe 0-10</t>
  </si>
  <si>
    <t xml:space="preserve">Schmerz
Belastung 0-10</t>
  </si>
  <si>
    <t xml:space="preserve">Flexion
Grad</t>
  </si>
  <si>
    <t xml:space="preserve">Abduktion
Grad</t>
  </si>
  <si>
    <t xml:space="preserve">Aussen-
rotation Grad</t>
  </si>
  <si>
    <t xml:space="preserve">Curl-Testgewicht
(kg)</t>
  </si>
  <si>
    <t xml:space="preserve">Wdh
dazu</t>
  </si>
  <si>
    <t xml:space="preserve">Notiz</t>
  </si>
  <si>
    <t xml:space="preserve">REHA-FAHRPLAN  |  SUBSCAPULARIS-NAHT MIT BIZEPSTENODESE, RECHTS</t>
  </si>
  <si>
    <t xml:space="preserve">Konservative Richtwerte für die Naht einer Subscapularis-Sehne mit gleichzeitiger Bizepstenodese. Deutlich strenger und länger als bei einer isolierten Tenodese, weil eine genähte Sehne am Knochen einheilen muss. Das schriftliche Nachbehandlungsschema des Operateurs hat in jedem einzelnen Punkt Vorrang vor dieser Tabelle.</t>
  </si>
  <si>
    <t xml:space="preserve">Der geplante Eingriff</t>
  </si>
  <si>
    <t xml:space="preserve">Eingriff</t>
  </si>
  <si>
    <t xml:space="preserve">Arthroskopie mit Sehnennaht und Bizepstenodese</t>
  </si>
  <si>
    <t xml:space="preserve">Diagnose</t>
  </si>
  <si>
    <t xml:space="preserve">Läsion am Oberrand des Subscapularis mit Bizepssehnen-Instabilität</t>
  </si>
  <si>
    <t xml:space="preserve">rechts</t>
  </si>
  <si>
    <t xml:space="preserve">Termin</t>
  </si>
  <si>
    <t xml:space="preserve">30.09.2026</t>
  </si>
  <si>
    <t xml:space="preserve">Ruhigstellung</t>
  </si>
  <si>
    <t xml:space="preserve">Gilchrist-Bandage</t>
  </si>
  <si>
    <t xml:space="preserve">Dringlichkeit laut Aufklärung</t>
  </si>
  <si>
    <t xml:space="preserve">keine - Termin frei wählbar</t>
  </si>
  <si>
    <t xml:space="preserve">Verbesserungswahrscheinlichkeit laut Aufklärung</t>
  </si>
  <si>
    <t xml:space="preserve">gut</t>
  </si>
  <si>
    <t xml:space="preserve">Quelle: Operationsaufklärung. Die Freigabewochen in diesem Blatt und im Blatt 'Übungen' sind daraus abgeleitet und konservativ gesetzt - sie sind KEINE ärztliche Vorgabe. Sobald das schriftliche Nachbehandlungsschema des Operateurs vorliegt, gilt ausschliesslich dieses; Abweichungen im Blatt 'Übungen' in der Spalte 'Reha frei ab Woche' eintragen.</t>
  </si>
  <si>
    <t xml:space="preserve">Grundregeln über die gesamte Zeit</t>
  </si>
  <si>
    <t xml:space="preserve">Warum dieser Plan strenger ist als der alte</t>
  </si>
  <si>
    <t xml:space="preserve">Der Subscapularis gehört zur Rotatorenmanschette. Bei einer isolierten Bizepstenodese ist nur eine Sehne umgesetzt, hier wird zusätzlich eine gerissene Sehne an den Knochen genäht. Sehne heilt am Knochen langsam und ist in den ersten Wochen schwächer als die Naht selbst. Alle Freigaben liegen deshalb rund doppelt so spät wie im vorherigen Plan.</t>
  </si>
  <si>
    <t xml:space="preserve">Die vier Verbote</t>
  </si>
  <si>
    <t xml:space="preserve">Keine aktive Innenrotation gegen Widerstand - das ist die Arbeit des genähten Muskels. Keine passive Aussenrotation über die Freigabegrenze - das zieht die Naht auseinander. Keine aktive Ellenbogenbeugung und keine Supination gegen Widerstand - das belastet die Tenodese. Kein Stützen, Hängen oder Ziehen über den rechten Arm.</t>
  </si>
  <si>
    <t xml:space="preserve">Hand hinter den Rücken ist tabu</t>
  </si>
  <si>
    <t xml:space="preserve">Die Bewegung kombiniert maximale Innenrotation mit Streckung und ist die klassische Position, in der eine frische Subscapularis-Naht versagt. Gilt für Alltag genauso wie fürs Gym: BH schliessen, Gürtel, Gesässtasche, Rückwärtsgreifen beim Aufsetzen an der Maschine.</t>
  </si>
  <si>
    <t xml:space="preserve">Gilchrist konsequent tragen</t>
  </si>
  <si>
    <t xml:space="preserve">Nach Vorgabe des Operateurs, üblicherweise 4 bis 6 Wochen Tag und Nacht. Abgelegt wird sie nur für die freigegebenen Übungen und für die Körperpflege, und dabei hängt der Arm entspannt am Körper.</t>
  </si>
  <si>
    <t xml:space="preserve">Die gefährliche Phase</t>
  </si>
  <si>
    <t xml:space="preserve">Woche 3 bis 8. Der Schmerz ist weg, die Schlinge fällt, und die Sehnen-Knochen-Heilung ist zugleich am schwächsten. Die meisten Re-Rupturen passieren hier, nicht in den ersten Tagen.</t>
  </si>
  <si>
    <t xml:space="preserve">Schmerz als Grenze</t>
  </si>
  <si>
    <t xml:space="preserve">Bewegung bis zum Schmerz, nie darüber hinaus. Schmerz, der nach der Einheit länger als 2 Stunden anhält, heisst: zu viel gemacht.</t>
  </si>
  <si>
    <t xml:space="preserve">Wenn zwei Vorgaben sich widersprechen</t>
  </si>
  <si>
    <t xml:space="preserve">Immer die strengere nehmen. Das Naht-Protokoll ist bei Bewegung und Innenrotation führend, das Tenodese-Protokoll bei Ellenbogenbeugung und Supination. Beide laufen parallel, keines hebt das andere auf.</t>
  </si>
  <si>
    <t xml:space="preserve">Rechte Seite heisst Alltag mitplanen</t>
  </si>
  <si>
    <t xml:space="preserve">Anziehen, Haare, Autofahren, Einkaufstasche, Tür aufhalten. Was mit der rechten Hand nur unter Zug oder Verdrehung geht, wird in den ersten Wochen von jemand anderem gemacht oder anders gelöst. Das vorher besprechen, nicht am ersten Tag improvisieren.</t>
  </si>
  <si>
    <t xml:space="preserve">Phasenplan</t>
  </si>
  <si>
    <t xml:space="preserve">Phase</t>
  </si>
  <si>
    <t xml:space="preserve">Woche
nach OP</t>
  </si>
  <si>
    <t xml:space="preserve">Ziel der Phase</t>
  </si>
  <si>
    <t xml:space="preserve">Schulter: erlaubt</t>
  </si>
  <si>
    <t xml:space="preserve">Schulter: verboten</t>
  </si>
  <si>
    <t xml:space="preserve">Beintraining</t>
  </si>
  <si>
    <t xml:space="preserve">Meilenstein zum Weitergehen</t>
  </si>
  <si>
    <t xml:space="preserve">Phase 1
Schutz</t>
  </si>
  <si>
    <t xml:space="preserve">0 - 6</t>
  </si>
  <si>
    <t xml:space="preserve">Die Naht ungestört einheilen lassen. Wunde zu, Schmerz und Schwellung runter, Gelenk nicht einsteifen lassen.</t>
  </si>
  <si>
    <t xml:space="preserve">Gilchrist Tag und Nacht nach Vorgabe. Passive Bewegung nur im freigegebenen Bereich, typischerweise Flexion bis etwa 90 Grad, Abduktion bis etwa 60 Grad, Aussenrotation nur bis zur Neutralstellung 0 Grad. Pendelübungen. Hand, Handgelenk, Ellenbogen und Nacken aktiv bewegen. Eis mehrmals täglich.</t>
  </si>
  <si>
    <t xml:space="preserve">Jede aktive Innenrotation. Jede Aussenrotation über 0 Grad. Aktive Ellenbogenbeugung und Supination gegen Widerstand. Hand hinter den Rücken. Heben, Tragen, Stützen, Abstossen aus dem Bett über den rechten Arm.</t>
  </si>
  <si>
    <t xml:space="preserve">Ab Freigabe der Wunde, frühestens Tag 10 bis 14: Beinstrecker, Adduktion, Beinbeuger sitzend, Waden sitzend. Alles im Sitzen, Arm bleibt in der Schlinge, Ein- und Aussteigen nur über die linke Seite. Gehen ab Tag 1.</t>
  </si>
  <si>
    <t xml:space="preserve">Wunde trocken und reizlos. Ruheschmerz unter 3 von 10. Passive Flexion etwa 90 Grad, Aussenrotation bis 0 Grad schmerzfrei. Ärztliche Freigabe zum Ablegen der Schlinge.</t>
  </si>
  <si>
    <t xml:space="preserve">Phase 2
Beweglichkeit</t>
  </si>
  <si>
    <t xml:space="preserve">6 - 12</t>
  </si>
  <si>
    <t xml:space="preserve">Schlinge abtrainieren, Beweglichkeit vollständig zurückholen, Schulterblatt ansteuern.</t>
  </si>
  <si>
    <t xml:space="preserve">Schlinge weg. Aktiv-assistive Bewegung zu aktiver Bewegung ohne Widerstand. Aussenrotation schrittweise über 0 Grad hinaus freigeben. Schulterblatt-Ansteuerung. Ab Woche 8 bis 10 sanfte submaximale Isometrie für die Innenrotation, etwa 20 bis 30 Prozent, kurz halten.</t>
  </si>
  <si>
    <t xml:space="preserve">Weiterhin keine Innenrotation gegen nennenswerten Widerstand. Keine Beugung und keine Supination gegen Widerstand. Hebelast maximal 1 kg. Kein Zug, kein Hängen, keine Stütz-Position. Hand hinter den Rücken weiterhin nicht.</t>
  </si>
  <si>
    <t xml:space="preserve">Zusätzlich ab Woche 6: Beinpresse enger und breiter Stand, Hip &amp; Glute Maschine, seitliche Kickbacks im Sitzen, Waden stehend ohne Schulterpolster. Fahrrad ohne Belastung über den Lenker ab Woche 3.</t>
  </si>
  <si>
    <t xml:space="preserve">Aktive Flexion mindestens 140 Grad, Abduktion 130 Grad, Aussenrotation 45 Grad. Bauchpress-Test und Lift-off-Test ohne Widerstand schmerzfrei möglich.</t>
  </si>
  <si>
    <t xml:space="preserve">Phase 3
erste Last</t>
  </si>
  <si>
    <t xml:space="preserve">12 - 16</t>
  </si>
  <si>
    <t xml:space="preserve">Innenrotation und Bizeps erstmals wieder unter Last bringen.</t>
  </si>
  <si>
    <t xml:space="preserve">Ab Woche 12 leichte Innenrotation gegen Widerstand, Start mit Band in der kleinsten Stufe. Ab Woche 12 leichte Ellenbogenbeugung und Supination gegen Widerstand, Start bei 1 bis 2 kg, Steigerung in 0.5 kg-Schritten. Progressive Manschetten- und Schulterblattarbeit. Leichte geschlossene Kette.</t>
  </si>
  <si>
    <t xml:space="preserve">Kein Bankdrücken mit Langhantel, keine Dips, keine Klimmzüge, kein schweres Rudern. Keine explosiven oder ruckartigen Bewegungen. Keine maximale Dehnung in Aussenrotation oder am Bizeps.</t>
  </si>
  <si>
    <t xml:space="preserve">Ab Woche 12: Hip Thrust mit Stange mit vor der Brust gekreuzten Armen, Reverse V-Squat mit lockerem Griff, Split Squat in der Multipresse ohne Zusatzhantel. Beintraining sonst wieder vollständig.</t>
  </si>
  <si>
    <t xml:space="preserve">Beweglichkeit seitengleich. Innenrotationskraft etwa 50 Prozent der Gegenseite, schmerzfrei. Beugung gegen Widerstand schmerzfrei.</t>
  </si>
  <si>
    <t xml:space="preserve">Phase 4
Aufbau</t>
  </si>
  <si>
    <t xml:space="preserve">Monat 4 - 6</t>
  </si>
  <si>
    <t xml:space="preserve">Kraft für Innenrotation, Beugung und Druckmuster zurückholen.</t>
  </si>
  <si>
    <t xml:space="preserve">Innenrotation progressiv mit Band und Kabel. Bizeps-Curls progressiv, Start leicht und hohe Wiederholungen. Drücken zuerst an der Maschine, dann Kurzhantel. Latzug im neutralen Griff. Rudern gestützt.</t>
  </si>
  <si>
    <t xml:space="preserve">Weiterhin keine Maximallast. Kein schweres Langhantel-Bankdrücken. Keine Klimmzüge mit Zusatzgewicht. Kein Reissen der Last aus der Dehnung.</t>
  </si>
  <si>
    <t xml:space="preserve">Ab Monat 4: Rumänisches Kreuzheben mit Langhantel leicht wieder aufnehmen, Technik vor Last. Split Squat mit Kurzhantel ab Monat 4.</t>
  </si>
  <si>
    <t xml:space="preserve">Innenrotations- und Beugekraft etwa 70 bis 80 Prozent der Gegenseite. Kein Schmerz im Sulcus und vorne am Gelenk unter Belastung.</t>
  </si>
  <si>
    <t xml:space="preserve">Phase 5
Rückkehr</t>
  </si>
  <si>
    <t xml:space="preserve">Monat 6 - 9</t>
  </si>
  <si>
    <t xml:space="preserve">Zurück zur vollen Trainingslast, seitengleiche Kraft.</t>
  </si>
  <si>
    <t xml:space="preserve">Progressiver Aufbau aller Muster. Langhantel-Bankdrücken, schweres Rudern und Klimmzüge frühestens ab Monat 6 bis 7. Maximallast nach ärztlicher Freigabe.</t>
  </si>
  <si>
    <t xml:space="preserve">Nichts pauschal verboten, aber jede neue Belastung mit reduzierter Last einführen und über 2 bis 3 Wochen steigern.</t>
  </si>
  <si>
    <t xml:space="preserve">Beintraining vollständig ohne Einschränkung, alle Übungen wie im Normalmodus.</t>
  </si>
  <si>
    <t xml:space="preserve">Innenrotations- und Beugekraft mindestens 90 Prozent der Gegenseite. Volle Beweglichkeit. Schmerzfrei über 4 Wochen.</t>
  </si>
  <si>
    <t xml:space="preserve">SOFORT ZUM ARZT</t>
  </si>
  <si>
    <t xml:space="preserve">Plötzlicher Kraftverlust bei der Innenrotation: die Hand lässt sich nicht mehr gegen den Bauch drücken, oder sie rutscht beim Versuch weg. Plötzlicher stechender Schmerz mit hörbarem Knall in Schulter oder Oberarm. Sichtbare Verformung des Bizepsbauchs nach unten (Popeye). Plötzlicher Kraftverlust bei der Ellenbogenbeugung. Rötung, Überwärmung, Wundsekret oder Fieber. Zunehmender statt abnehmender Schmerz über mehrere Tage. Taubheit oder Kribbeln in Hand oder Fingern. Ein Ereignis, bei dem der Arm ruckartig nach hinten gerissen wurde - auch ohne sofortigen Schmerz melden.</t>
  </si>
  <si>
    <t xml:space="preserve">WAS DIE HEILUNG MESSBAR BREMST ODER FÖRDERT</t>
  </si>
  <si>
    <t xml:space="preserve">Energieverfügbarkeit</t>
  </si>
  <si>
    <t xml:space="preserve">bremst stark</t>
  </si>
  <si>
    <t xml:space="preserve">Kollagensynthese und Wundheilung brauchen Energie. Bei sehr niedrigem Körperfett und Defizit heilt Sehne und Knochen langsamer. In der Heilungsphase Erhaltungskalorien oder leichter Überschuss, kein Defizit.</t>
  </si>
  <si>
    <t xml:space="preserve">Protein</t>
  </si>
  <si>
    <t xml:space="preserve">fördert</t>
  </si>
  <si>
    <t xml:space="preserve">2.0 bis 2.5 g pro kg Körpergewicht täglich, gleichmässig auf 4 bis 5 Mahlzeiten. Kollagen entsteht nicht aus dem Nichts.</t>
  </si>
  <si>
    <t xml:space="preserve">Vitamin C und Vitamin D</t>
  </si>
  <si>
    <t xml:space="preserve">Vitamin C ist Kofaktor der Kollagen-Hydroxylierung. Vitamin D für die knöcherne Einheilung, Zielwert im oberen Normbereich. Beides über Blutbild prüfen, nicht raten.</t>
  </si>
  <si>
    <t xml:space="preserve">Schlaf</t>
  </si>
  <si>
    <t xml:space="preserve">fördert stark</t>
  </si>
  <si>
    <t xml:space="preserve">Der grösste Wachstumshormon-Puls des Tages liegt im ersten Tiefschlafzyklus. 7 bis 9 Stunden sind in der Heilungsphase keine Empfehlung, sondern Teil der Behandlung. Mit Gilchrist schläft es sich schlecht - halb sitzend mit Kissen unter dem Ellenbogen hilft.</t>
  </si>
  <si>
    <t xml:space="preserve">NSAR wie Ibuprofen und Diclofenac</t>
  </si>
  <si>
    <t xml:space="preserve">bremst</t>
  </si>
  <si>
    <t xml:space="preserve">Dauerhaft hochdosiert hemmen sie genau die Entzündungsphase, die für die Sehnen-Knochen-Heilung nötig ist. Kurzfristig zur Schmerzkontrolle nach Rücksprache, nicht als Wochenprogramm.</t>
  </si>
  <si>
    <t xml:space="preserve">Nikotin</t>
  </si>
  <si>
    <t xml:space="preserve">Verschlechtert Durchblutung und Sehnen-Knochen-Heilung deutlich. Bei einer genähten Manschettensehne ist das der grösste einzelne vermeidbare Risikofaktor für eine Re-Ruptur.</t>
  </si>
  <si>
    <t xml:space="preserve">Hochdosierte Androgene</t>
  </si>
  <si>
    <t xml:space="preserve">Risiko</t>
  </si>
  <si>
    <t xml:space="preserve">Erhöhen Sehnensteifigkeit und senken Elastizität, Kollagen-Crosslinks werden ungünstig verändert. Sehnenrupturen unter Anwendung sind dokumentiert. Gehört vollständig und ungeschönt zum Operateur, weil es die Nachbehandlung verändert.</t>
  </si>
  <si>
    <t xml:space="preserve">Diese Seite ist eine Gedächtnisstütze, keine ärztliche Anweisung. Bei jedem Widerspruch zum Nachbehandlungsschema des Operateurs oder zur Ansage der Physiotherapie gilt deren Vorgabe.</t>
  </si>
  <si>
    <t xml:space="preserve">REHA-PLAN BEINE  |  GEWICHTE FÜR JEDE PHASE</t>
  </si>
  <si>
    <t xml:space="preserve">Startgewichte als Prozentsatz des letzten Arbeitsgewichts vor der OP, automatisch auf die Laststufe des Geräts abgerundet. Dieses Blatt ersetzt in der Reha das Trainingsblatt.</t>
  </si>
  <si>
    <t xml:space="preserve">Die Wochenangaben sind konservativ abgeleitet und NICHT ärztlich bestätigt. Das schriftliche Nachbehandlungsschema des Operateurs hat Vorrang - weicht es ab, die Wochen im Blatt 'Übungen' anpassen, dann stimmt auch die Ampel im Blatt 'Reha-Modus'.</t>
  </si>
  <si>
    <t xml:space="preserve">Wo wir heute stehen</t>
  </si>
  <si>
    <t xml:space="preserve">Tage nach OP</t>
  </si>
  <si>
    <t xml:space="preserve">Woche nach OP</t>
  </si>
  <si>
    <t xml:space="preserve">Phase 1  ·  Woche 2 bis 6  ·  alles im Sitzen, Arm in der Schlinge</t>
  </si>
  <si>
    <t xml:space="preserve">Frühester Start Tag 10 bis 14 und erst nach Freigabe der Wunde. Zwei Einheiten je Woche. Ziel ist Erhalt, nicht Aufbau - die Last ist bewusst niedrig, weil der Kreislauf und der Schlaf in diesen Wochen nicht mitspielen. Ein- und Aussteigen immer über die linke Seite.</t>
  </si>
  <si>
    <t xml:space="preserve">Gerät / Ausführung</t>
  </si>
  <si>
    <t xml:space="preserve">Sätze × Wdh</t>
  </si>
  <si>
    <t xml:space="preserve">Start (kg)</t>
  </si>
  <si>
    <t xml:space="preserve">Hinweis</t>
  </si>
  <si>
    <t xml:space="preserve">Beinstrecker</t>
  </si>
  <si>
    <t xml:space="preserve">Maschine sitzend, Hände im Schoss</t>
  </si>
  <si>
    <t xml:space="preserve">2 × 12-15</t>
  </si>
  <si>
    <t xml:space="preserve">60 %</t>
  </si>
  <si>
    <t xml:space="preserve">Erste Einheit bewusst eine Stufe darunter.</t>
  </si>
  <si>
    <t xml:space="preserve">Beinbeuger</t>
  </si>
  <si>
    <t xml:space="preserve">Maschine sitzend, Griffe loslassen</t>
  </si>
  <si>
    <t xml:space="preserve">Das Polster hält das Bein, nicht die Hand.</t>
  </si>
  <si>
    <t xml:space="preserve">Adduktion</t>
  </si>
  <si>
    <t xml:space="preserve">Maschine, Arm in der Schlinge</t>
  </si>
  <si>
    <t xml:space="preserve">Links war im September die Zerrung - hier besonders langsam einsteigen.</t>
  </si>
  <si>
    <t xml:space="preserve">Waden</t>
  </si>
  <si>
    <t xml:space="preserve">Maschine sitzend</t>
  </si>
  <si>
    <t xml:space="preserve">2 × 15</t>
  </si>
  <si>
    <t xml:space="preserve">Nur die sitzende Variante, kein Schulterpolster.</t>
  </si>
  <si>
    <t xml:space="preserve">Phase 2  ·  Woche 6 bis 12  ·  Schlinge weg, Beinpresse zurück</t>
  </si>
  <si>
    <t xml:space="preserve">Erst nach ärztlicher Freigabe zum Ablegen der Schlinge. Jetzt sind zwei volle Beineinheiten je Woche möglich, weiter mit 72 Stunden Abstand. Bauchpresse dosieren: bei RPE 8 stoppen, nicht bei 9.</t>
  </si>
  <si>
    <t xml:space="preserve">Beinpresse eng</t>
  </si>
  <si>
    <t xml:space="preserve">tiefe Fussposition, Hände seitlich ablegen</t>
  </si>
  <si>
    <t xml:space="preserve">3 × 10-12</t>
  </si>
  <si>
    <t xml:space="preserve">55 %</t>
  </si>
  <si>
    <t xml:space="preserve">Neu in dieser Phase. Nicht an den Griffen ziehen.</t>
  </si>
  <si>
    <t xml:space="preserve">Beinpresse breit</t>
  </si>
  <si>
    <t xml:space="preserve">breiter Stand, Füsse hoch</t>
  </si>
  <si>
    <t xml:space="preserve">Neu in dieser Phase. Zieht die Adduktoren in die Dehnung - links vorsichtig.</t>
  </si>
  <si>
    <t xml:space="preserve">Hip &amp; Glute</t>
  </si>
  <si>
    <t xml:space="preserve">Maschine, Arme vor der Brust gekreuzt</t>
  </si>
  <si>
    <t xml:space="preserve">Neu in dieser Phase. Ersetzt den Hip Thrust mit der Stange.</t>
  </si>
  <si>
    <t xml:space="preserve">Seitliche Kickbacks</t>
  </si>
  <si>
    <t xml:space="preserve">Kabel, nur links abstützen</t>
  </si>
  <si>
    <t xml:space="preserve">Neu in dieser Phase.</t>
  </si>
  <si>
    <t xml:space="preserve">wie Phase 1</t>
  </si>
  <si>
    <t xml:space="preserve">75 %</t>
  </si>
  <si>
    <t xml:space="preserve">läuft weiter</t>
  </si>
  <si>
    <t xml:space="preserve">jetzt auch stehend ohne Schulterpolster</t>
  </si>
  <si>
    <t xml:space="preserve">3 × 12-15</t>
  </si>
  <si>
    <t xml:space="preserve">Phase 3  ·  Woche 12 bis 16  ·  freie Gewichte kommen zurück</t>
  </si>
  <si>
    <t xml:space="preserve">Ab hier darf der Arm wieder halten und stützen. Die drei neuen Übungen starten bewusst bei der Hälfte: die Bewegung ist seit drei Monaten weg, nicht nur die Kraft.</t>
  </si>
  <si>
    <t xml:space="preserve">Reverse V-Squat</t>
  </si>
  <si>
    <t xml:space="preserve">Maschine, lockerer Griff</t>
  </si>
  <si>
    <t xml:space="preserve">3 × 8-10</t>
  </si>
  <si>
    <t xml:space="preserve">50 %</t>
  </si>
  <si>
    <t xml:space="preserve">Neu in dieser Phase. Polster auf Schulter und Nacken - erste Einheit nur Technik.</t>
  </si>
  <si>
    <t xml:space="preserve">Hip Thrust</t>
  </si>
  <si>
    <t xml:space="preserve">Langhantel, Stange auflegen lassen</t>
  </si>
  <si>
    <t xml:space="preserve">Neu in dieser Phase. Arme vor der Brust kreuzen.</t>
  </si>
  <si>
    <t xml:space="preserve">Split Squat</t>
  </si>
  <si>
    <t xml:space="preserve">Multipresse ohne Zusatzhantel</t>
  </si>
  <si>
    <t xml:space="preserve">Neu in dieser Phase. Kurzhanteln erst ab Monat 4.</t>
  </si>
  <si>
    <t xml:space="preserve">wie Phase 2</t>
  </si>
  <si>
    <t xml:space="preserve">85 %</t>
  </si>
  <si>
    <t xml:space="preserve">95 %</t>
  </si>
  <si>
    <t xml:space="preserve">sitzend oder stehend</t>
  </si>
  <si>
    <t xml:space="preserve">Phase 4  ·  ab Monat 4  ·  zurück zum normalen Plan</t>
  </si>
  <si>
    <t xml:space="preserve">Die letzte Übung kommt zurück, und der Zielbereich geht wieder auf 5 bis 6 Wiederholungen. Ab hier gilt wieder das Blatt 'Trainingsblatt' mit der normalen Progression - dieses Blatt wird nicht mehr gebraucht.</t>
  </si>
  <si>
    <t xml:space="preserve">Rumänisches Kreuzheben KH</t>
  </si>
  <si>
    <t xml:space="preserve">Kurzhantel, Gewicht je Hantel</t>
  </si>
  <si>
    <t xml:space="preserve">Letzte Übung zurück im Plan. Technik vor Last, volle Last frühestens Monat 6.</t>
  </si>
  <si>
    <t xml:space="preserve">Wie in der Reha gesteigert wird</t>
  </si>
  <si>
    <t xml:space="preserve">Erst Wiederholungen, dann Gewicht</t>
  </si>
  <si>
    <t xml:space="preserve">Dieselbe doppelte Progression wie sonst, nur mit anderem Bereich. Schaffen alle Sätze die obere Zahl, kommt eine Laststufe drauf und die Wiederholungen fangen bei der unteren Zahl wieder an.</t>
  </si>
  <si>
    <t xml:space="preserve">Nicht jede Einheit steigern</t>
  </si>
  <si>
    <t xml:space="preserve">In Phase 1 und 2 zählt, dass die Einheit stattfindet. Bleibt eine Übung zwei Einheiten gleich, ist das kein Rückschritt - der Körper baut gerade eine Sehne an einen Knochen.</t>
  </si>
  <si>
    <t xml:space="preserve">Wenn die Schulter meldet, ist Schluss</t>
  </si>
  <si>
    <t xml:space="preserve">Ziehen vorne im Gelenk, Ziehen im Sulcus, oder das Gefühl, dass die Hand wegrutscht: Einheit beenden, notieren, zur Physiotherapie. Das ist kein Muskelkater.</t>
  </si>
  <si>
    <t xml:space="preserve">Zurück zum Trainingsblatt</t>
  </si>
  <si>
    <t xml:space="preserve">Ab Phase 4 wird dieses Blatt nicht mehr gebraucht. Dann im Blatt 'Übungen' alle Zeilen auf 'Aktiv = ja' und 'Anpassung 100' stellen und wieder mit dem Trainingsblatt arbeiten - die Progression rechnet aus den Reha-Einheiten nahtlos weiter, weil alles im Log steht.</t>
  </si>
  <si>
    <t xml:space="preserve">EINHEITEN  |  KOPFDATEN JE TRAINING</t>
  </si>
  <si>
    <t xml:space="preserve">Gelb ausfüllen. Das Datum wandert automatisch ins Log; Sätze, Volumen und Tonnage rechnen sich aus dem Log.</t>
  </si>
  <si>
    <t xml:space="preserve">Fokus</t>
  </si>
  <si>
    <t xml:space="preserve">Körper-
gewicht (kg)</t>
  </si>
  <si>
    <t xml:space="preserve">Dauer
(min)</t>
  </si>
  <si>
    <t xml:space="preserve">Schlaf
(h)</t>
  </si>
  <si>
    <t xml:space="preserve">Gefühl
1-5</t>
  </si>
  <si>
    <t xml:space="preserve">Arbeits-
sätze</t>
  </si>
  <si>
    <t xml:space="preserve">Arbeits-
volumen (kg)</t>
  </si>
  <si>
    <t xml:space="preserve">Tonnage
gesamt (kg)</t>
  </si>
  <si>
    <t xml:space="preserve">Tage seit
letzter Einheit</t>
  </si>
  <si>
    <t xml:space="preserve">Summe</t>
  </si>
  <si>
    <t xml:space="preserve">Ohne Datum funktioniert alles weiter, aber nur mit Datum rechnet die Spalte 'Tage seit letzter Einheit'. Unter zwei Tagen wird sie gelb - zwischen zwei Beineinheiten sollten 72 Stunden liegen, siehe Blatt 'Wochenplan'.</t>
  </si>
  <si>
    <t xml:space="preserve">TRAININGSLOG  |  EIN SATZ PRO ZEILE</t>
  </si>
  <si>
    <t xml:space="preserve">Gelbe Spalten ausfüllen. Datum, Block, Volumen und e1RM rechnen automatisch.</t>
  </si>
  <si>
    <t xml:space="preserve">Block</t>
  </si>
  <si>
    <t xml:space="preserve">Satz</t>
  </si>
  <si>
    <t xml:space="preserve">Gewicht
(kg)</t>
  </si>
  <si>
    <t xml:space="preserve">Wdh</t>
  </si>
  <si>
    <t xml:space="preserve">Volumen
(kg)</t>
  </si>
  <si>
    <t xml:space="preserve">e1RM
(kg)</t>
  </si>
  <si>
    <t xml:space="preserve">Drop-Kette</t>
  </si>
  <si>
    <t xml:space="preserve">W</t>
  </si>
  <si>
    <t xml:space="preserve">A</t>
  </si>
  <si>
    <t xml:space="preserve">R</t>
  </si>
  <si>
    <t xml:space="preserve">110 / 72.5</t>
  </si>
  <si>
    <t xml:space="preserve">110 / 72.5 / 35</t>
  </si>
  <si>
    <t xml:space="preserve">110 / 72.5 / 35 / 20</t>
  </si>
  <si>
    <t xml:space="preserve">Original 152.2, als Tippfehler gewertet</t>
  </si>
  <si>
    <t xml:space="preserve">125 / 110 / 95 / 80</t>
  </si>
  <si>
    <t xml:space="preserve">55 / 45 / 30 / 15</t>
  </si>
  <si>
    <t xml:space="preserve">Original 10-5 Wdh, Zuordnung unklar</t>
  </si>
  <si>
    <t xml:space="preserve">Original: W 10kg 20kg 5-6wdh, Zuordnung unklar</t>
  </si>
  <si>
    <t xml:space="preserve">60 / 45 / 30 / 15 / 15</t>
  </si>
  <si>
    <t xml:space="preserve">65 / 55 / 45 / 35 / 25 / 15</t>
  </si>
  <si>
    <t xml:space="preserve">70 / 60 / 45 / 30 / 15</t>
  </si>
  <si>
    <t xml:space="preserve">Wdh fehlt im Original</t>
  </si>
  <si>
    <t xml:space="preserve">Kickback</t>
  </si>
  <si>
    <t xml:space="preserve">30 / 20 / 10</t>
  </si>
  <si>
    <t xml:space="preserve">40 / 35 / 30</t>
  </si>
  <si>
    <t xml:space="preserve">30 / 25 / 20</t>
  </si>
  <si>
    <t xml:space="preserve">Gesamtgewicht inkl. Stange</t>
  </si>
  <si>
    <t xml:space="preserve">-25 kg je Seite</t>
  </si>
  <si>
    <t xml:space="preserve">Absolutgewicht im Original nicht notiert</t>
  </si>
  <si>
    <t xml:space="preserve">Rumänisches Kreuzheben</t>
  </si>
  <si>
    <t xml:space="preserve">Langhantel</t>
  </si>
  <si>
    <t xml:space="preserve">absteigend</t>
  </si>
  <si>
    <t xml:space="preserve">50 / 25</t>
  </si>
  <si>
    <t xml:space="preserve">Wdh nicht notiert</t>
  </si>
  <si>
    <t xml:space="preserve">erste Einheit</t>
  </si>
  <si>
    <t xml:space="preserve">nur ein Arbeitssatz</t>
  </si>
  <si>
    <t xml:space="preserve">Zwei leichte Rampensaetze vor den drei schweren</t>
  </si>
  <si>
    <t xml:space="preserve">leerer Schlitten, 50 kg Eigengewicht</t>
  </si>
  <si>
    <t xml:space="preserve">Stack 138 plus Zusatzscheiben 25 und 5, nur ein Arbeitssatz</t>
  </si>
  <si>
    <t xml:space="preserve">deutlich leichter als Einheit 9 mit 57.5 kg - anderes Geraet?</t>
  </si>
  <si>
    <t xml:space="preserve">Gewicht je Hantel</t>
  </si>
  <si>
    <t xml:space="preserve">Hip Thrust Bülach</t>
  </si>
  <si>
    <t xml:space="preserve">Squat Maschine Bülach</t>
  </si>
  <si>
    <t xml:space="preserve">Beinbeuger Bülach</t>
  </si>
  <si>
    <t xml:space="preserve">liegend</t>
  </si>
  <si>
    <t xml:space="preserve">sitzend, zweites Aufwaermen</t>
  </si>
  <si>
    <t xml:space="preserve">sitzend</t>
  </si>
  <si>
    <t xml:space="preserve">Reduktionssatz direkt im Anschluss</t>
  </si>
  <si>
    <t xml:space="preserve">neuer Bestwert, vorher 115 kg</t>
  </si>
  <si>
    <t xml:space="preserve">erste Einheit nach der Adduktoren-Zerrung, schmerzfrei</t>
  </si>
  <si>
    <t xml:space="preserve">AUSWERTUNG  |  JE ÜBUNG UND EINHEIT</t>
  </si>
  <si>
    <t xml:space="preserve">Nur Arbeitssätze (A). Leere Zelle = Übung in dieser Einheit nicht trainiert. Drei Tabellen, je eine Druckseite.</t>
  </si>
  <si>
    <t xml:space="preserve">Ab Einheit</t>
  </si>
  <si>
    <t xml:space="preserve">1  Arbeitsvolumen (kg)  ·  Gewicht × Wdh, nur Arbeitssätze</t>
  </si>
  <si>
    <t xml:space="preserve">Gesamt</t>
  </si>
  <si>
    <t xml:space="preserve">2  Top-Gewicht (kg)  ·  schwerster Arbeitssatz der Einheit</t>
  </si>
  <si>
    <t xml:space="preserve">Bestwert</t>
  </si>
  <si>
    <t xml:space="preserve">3  Bester e1RM (kg)  ·  Epley: Gewicht × (1 + Wdh / 30)</t>
  </si>
  <si>
    <t xml:space="preserve">PROGRESSION  |  ERSTE GEGEN LETZTE EINHEIT</t>
  </si>
  <si>
    <t xml:space="preserve">Richtung und Grösse der Veränderung je Übung sowie der Abstand zum eigenen Bestwert.</t>
  </si>
  <si>
    <t xml:space="preserve">Erste
Einheit</t>
  </si>
  <si>
    <t xml:space="preserve">Volumen
erste (kg)</t>
  </si>
  <si>
    <t xml:space="preserve">Letzte
Einheit</t>
  </si>
  <si>
    <t xml:space="preserve">Volumen
letzte (kg)</t>
  </si>
  <si>
    <t xml:space="preserve">Veränderung
(kg)</t>
  </si>
  <si>
    <t xml:space="preserve">Veränderung
(%)</t>
  </si>
  <si>
    <t xml:space="preserve">Top-Gewicht
zuletzt (kg)</t>
  </si>
  <si>
    <t xml:space="preserve">Bestes Top-
Gewicht (kg)</t>
  </si>
  <si>
    <t xml:space="preserve">Abstand zum
Bestwert (kg)</t>
  </si>
  <si>
    <t xml:space="preserve">Trend</t>
  </si>
  <si>
    <t xml:space="preserve">Einheiten auf
diesem Gewicht</t>
  </si>
  <si>
    <t xml:space="preserve">Nächster Schritt</t>
  </si>
  <si>
    <t xml:space="preserve">Ziel in 12
Einheiten (kg)</t>
  </si>
  <si>
    <t xml:space="preserve">Lesehilfe: Volumen schwankt mit der Wiederholungszahl. Fallendes Volumen bei steigendem Top-Gewicht ist kein Rückschritt, sondern eine Verschiebung Richtung Kraft. Schwelle für steigend / fallend: 5 Prozent.   ·   'Einheiten auf diesem Gewicht' zählt, wie lange die aktuelle Last schon steht - ab vier Einheiten gelb, dann lohnt ein Blick auf Ausführung, Erholung oder eine Variante.   ·   Gelbe Felder bei 'Top-Gewicht zuletzt' heissen: mehr als zehn Prozent unter dem eigenen Bestwert.   ·   'Ziel in 12 Einheiten' rechnet ein Prozent je Einheit hoch, rund drei Monate bei einer Einheit je Block und Woche.</t>
  </si>
  <si>
    <t xml:space="preserve">REKORDE  |  BESTWERTE JE ÜBUNG</t>
  </si>
  <si>
    <t xml:space="preserve">Über alle erfassten Einheiten, nur Arbeitssätze (A).</t>
  </si>
  <si>
    <t xml:space="preserve">Ein-
heiten</t>
  </si>
  <si>
    <t xml:space="preserve">Gesamt-
volumen (kg)</t>
  </si>
  <si>
    <t xml:space="preserve">Top-Gewicht
(kg)</t>
  </si>
  <si>
    <t xml:space="preserve">in
Einheit</t>
  </si>
  <si>
    <t xml:space="preserve">Bester e1RM
(kg)</t>
  </si>
  <si>
    <t xml:space="preserve">Bestes Satz-
volumen (kg)</t>
  </si>
  <si>
    <t xml:space="preserve">beste Wdh
dazu</t>
  </si>
  <si>
    <t xml:space="preserve">schwächster
Satz (Wdh)</t>
  </si>
  <si>
    <t xml:space="preserve">Nächstes
Ziel (kg)</t>
  </si>
  <si>
    <t xml:space="preserve">Ziel-Wdh
nächste Einheit</t>
  </si>
  <si>
    <t xml:space="preserve">Doppelte Progression: Solange der schwächste Arbeitssatz unter dem oberen Ende des Zielbereichs liegt, bleibt das Gewicht stehen und es kommt eine Wiederholung dazu. Sitzen alle Sätze oben im Bereich, geht eine Laststufe drauf und die Wiederholungen fangen unten wieder an. Begrenzt durch 'Max (kg)'; ohne Historie greift das Startgewicht. Alles rechnet aus dem Log - jede neue Zeile aktualisiert den Vorschlag sofort.   ·   Graue, kursive Zeilen sind archivierte Übungen.</t>
  </si>
  <si>
    <t xml:space="preserve">TRAININGSBLATT  |  BEINE VORNE        Blatt 1 von 4</t>
  </si>
  <si>
    <t xml:space="preserve">Einheit Nr.</t>
  </si>
  <si>
    <t xml:space="preserve">Körpergewicht</t>
  </si>
  <si>
    <t xml:space="preserve">Start / Ende</t>
  </si>
  <si>
    <t xml:space="preserve">Schlaf (h)</t>
  </si>
  <si>
    <t xml:space="preserve">#</t>
  </si>
  <si>
    <t xml:space="preserve">Typ</t>
  </si>
  <si>
    <t xml:space="preserve">Plan (kg)</t>
  </si>
  <si>
    <t xml:space="preserve">Ziel
Wdh</t>
  </si>
  <si>
    <t xml:space="preserve">Gewicht (kg)</t>
  </si>
  <si>
    <t xml:space="preserve">OK</t>
  </si>
  <si>
    <t xml:space="preserve">Warmup 1</t>
  </si>
  <si>
    <t xml:space="preserve">Warmup 2</t>
  </si>
  <si>
    <t xml:space="preserve">Arbeitssatz 1</t>
  </si>
  <si>
    <t xml:space="preserve">Arbeitssatz 2</t>
  </si>
  <si>
    <t xml:space="preserve">Arbeitssatz 3</t>
  </si>
  <si>
    <t xml:space="preserve">Notizen zur Einheit</t>
  </si>
  <si>
    <t xml:space="preserve">TRAININGSBLATT  |  BEINE HINTEN        Blatt 1 von 4</t>
  </si>
  <si>
    <t xml:space="preserve">TRAININGSBLATT  |  AUSWÄRTS BÜLACH        Blatt 1 von 4</t>
  </si>
  <si>
    <t xml:space="preserve">TRAININGSBLATT  |  BEINE VORNE        Blatt 2 von 4</t>
  </si>
  <si>
    <t xml:space="preserve">TRAININGSBLATT  |  BEINE HINTEN        Blatt 2 von 4</t>
  </si>
  <si>
    <t xml:space="preserve">TRAININGSBLATT  |  AUSWÄRTS BÜLACH        Blatt 2 von 4</t>
  </si>
  <si>
    <t xml:space="preserve">TRAININGSBLATT  |  BEINE VORNE        Blatt 3 von 4</t>
  </si>
  <si>
    <t xml:space="preserve">TRAININGSBLATT  |  BEINE HINTEN        Blatt 3 von 4</t>
  </si>
  <si>
    <t xml:space="preserve">TRAININGSBLATT  |  AUSWÄRTS BÜLACH        Blatt 3 von 4</t>
  </si>
  <si>
    <t xml:space="preserve">TRAININGSBLATT  |  BEINE VORNE        Blatt 4 von 4</t>
  </si>
  <si>
    <t xml:space="preserve">TRAININGSBLATT  |  BEINE HINTEN        Blatt 4 von 4</t>
  </si>
  <si>
    <t xml:space="preserve">TRAININGSBLATT  |  AUSWÄRTS BÜLACH        Blatt 4 von 4</t>
  </si>
  <si>
    <t xml:space="preserve">ÜBUNGEN  |  STAMMDATEN, PLANVORGABEN UND REHA-FREIGABEN</t>
  </si>
  <si>
    <t xml:space="preserve">Die eine Stelle, an der alles hängt. Neue Übung hier ergänzen - Dropdowns, Trainingsblatt, Reha-Modus und Auswertungen ziehen automatisch nach. Aktiv = nein heisst Archiv: raus aus der Planung, Historie bleibt in Log und Auswertung erhalten.</t>
  </si>
  <si>
    <t xml:space="preserve">Gerät / Variante</t>
  </si>
  <si>
    <t xml:space="preserve">Wdh
von</t>
  </si>
  <si>
    <t xml:space="preserve">Wdh
bis</t>
  </si>
  <si>
    <t xml:space="preserve">Ziel-
Sätze</t>
  </si>
  <si>
    <t xml:space="preserve">Ziel-
RPE</t>
  </si>
  <si>
    <t xml:space="preserve">Start
(kg)</t>
  </si>
  <si>
    <t xml:space="preserve">Max
(kg)</t>
  </si>
  <si>
    <t xml:space="preserve">Schritt
(kg)</t>
  </si>
  <si>
    <t xml:space="preserve">Aktiv</t>
  </si>
  <si>
    <t xml:space="preserve">Reha frei
ab Woche</t>
  </si>
  <si>
    <t xml:space="preserve">Ersatz in der Sperrzeit</t>
  </si>
  <si>
    <t xml:space="preserve">Reha-Hinweis</t>
  </si>
  <si>
    <t xml:space="preserve">Beinpresse, enger Stand, tiefe Fussposition</t>
  </si>
  <si>
    <t xml:space="preserve">8-9</t>
  </si>
  <si>
    <t xml:space="preserve">ja</t>
  </si>
  <si>
    <t xml:space="preserve">Ersetzt Hackenschmidt-Kniebeuge und Lunges. Schwere Grundübung zuerst. Hände seitlich ablegen statt an den Griffen ziehen - dann bleibt die Schulter aussen vor.</t>
  </si>
  <si>
    <t xml:space="preserve">Beinstrecker und Beinbeuger sitzend, beide ab Woche 2 frei</t>
  </si>
  <si>
    <t xml:space="preserve">Erst nach Ablegen der Schlinge. Ein- und Aussteigen über die linke Seite, Hände im Schoss ablegen statt an den Griffen zu ziehen. Tiefe Fussposition. Woche mit Operateur bestätigen.</t>
  </si>
  <si>
    <t xml:space="preserve">Multipresse / Hantel</t>
  </si>
  <si>
    <t xml:space="preserve">8</t>
  </si>
  <si>
    <t xml:space="preserve">Wdh-Bereich von 5-8 auf 8-10 je Bein. Limiter soll der Muskel sein, nicht die Stabilität.</t>
  </si>
  <si>
    <t xml:space="preserve">Beinpresse einbeinig ab Woche 6, Multipresse ohne Zusatzlast ab Woche 12</t>
  </si>
  <si>
    <t xml:space="preserve">Kurzhanteln hängen am Arm und ziehen an Naht und Tenodese zugleich. Kurzhantel-Variante frühestens ab Monat 4. Bis dahin Multipresse oder Gewichtsweste.</t>
  </si>
  <si>
    <t xml:space="preserve">Maschine</t>
  </si>
  <si>
    <t xml:space="preserve">9</t>
  </si>
  <si>
    <t xml:space="preserve">Dritter Arbeitssatz läuft als Reduktionssatz aus.</t>
  </si>
  <si>
    <t xml:space="preserve">keiner, ab Freigabe der Wunde nutzbar</t>
  </si>
  <si>
    <t xml:space="preserve">Sitzend, Arm bleibt in der Schlinge im Schoss. Nicht an den Griffen ziehen. Frühester sinnvoller Start Tag 10 bis 14.</t>
  </si>
  <si>
    <t xml:space="preserve">Drosselung in Einheit 17 aufgehoben: die erste Einheit nach der Adduktoren-Zerrung lief mit 165 x 6 schmerzfrei und genau auf der Vorgabe, deshalb zurück auf 100 Prozent und drei Sätze. Die Drosselung musste weg, sobald die Übung einmal auf dem reduzierten Gewicht gelaufen ist - sonst rechnet der Plan 90 Prozent auf ein schon reduziertes Ergebnis und das Gewicht sinkt Einheit für Einheit weiter. Deckel entfernt: in Einheit 5 lagen 162.5 kg an, die frühere Annahme 152.5 kg als Stackende stimmt also nicht. Falls doch eine Obergrenze existiert, hier unter 'Max (kg)' eintragen.</t>
  </si>
  <si>
    <t xml:space="preserve">Sitzend, Arm bleibt in der Schlinge, Rumpf ruhig. Achtung: die Adduktoren-Zerrung links ist erst seit September verheilt - hier mit reduzierter Last wieder einsteigen.</t>
  </si>
  <si>
    <t xml:space="preserve">Maschine, Scheiben, Eigengewicht 50 kg</t>
  </si>
  <si>
    <t xml:space="preserve">Neu ab Einheit 13, steht als schwere Grundübung am Anfang der Rückseite. Alle Gewichte inklusive der 50 kg Eigengewicht des Schlittens notieren, sonst stimmt die Progression nicht. Kleinste sinnvolle Steigerung sind 1.25 kg je Seite, also 5 kg gesamt - deshalb steht 'Schritt (kg)' auf 5.</t>
  </si>
  <si>
    <t xml:space="preserve">Beinpresse enger Stand ab Woche 6</t>
  </si>
  <si>
    <t xml:space="preserve">Die Polster liegen auf Schulter und Nacken, die Last geht direkt über den Schultergürtel. Ab Woche 12 mit lockerem Griff, nicht ziehen. Woche mit Operateur bestätigen.</t>
  </si>
  <si>
    <t xml:space="preserve">pause</t>
  </si>
  <si>
    <t xml:space="preserve">Ab Einheit 14 durch die Kurzhantel-Variante ersetzt, deshalb pausiert statt archiviert - die Historie mit bis zu 135 kg bleibt in allen Auswertungen sichtbar und die Übung ist mit einem Klick wieder da. Schliesst die Lücke Hüftstreckung bei gestrecktem Knie.</t>
  </si>
  <si>
    <t xml:space="preserve">Beinbeuger sitzend, Rückenstrecker mit vor der Brust gekreuzten Armen, Kabel-RDL mit Hüftgurt</t>
  </si>
  <si>
    <t xml:space="preserve">Griffbelastung plus Dauerzug am hängenden Arm - die ungünstigste Kombination für Naht und Tenodese. Ab Monat 4 leicht beginnen, volle Last frühestens Monat 6.</t>
  </si>
  <si>
    <t xml:space="preserve">Neu ab Einheit 14, ersetzt die Langhantel-Variante. WICHTIG: eingetragen wird das Gewicht JE HANTEL, nicht die Summe beider - sonst stimmt die Progression nicht. Schritt 2 kg entspricht der nächsten Hantel im Ständer. Die Zahlen sind mit der Langhantel-Historie nicht vergleichbar, deshalb eine eigene Übung.</t>
  </si>
  <si>
    <t xml:space="preserve">Wie die Langhantel-Variante, eher noch ungünstiger: die Hantel hängt direkt am Arm und zieht durchgehend an Naht und Tenodese. Ab Monat 4 leicht beginnen.</t>
  </si>
  <si>
    <t xml:space="preserve">Beinpresse, breiter Stand, Füsse hoch</t>
  </si>
  <si>
    <t xml:space="preserve">Bisher nie ausgeführt: in Einheit 11 bis 13 jedes Mal ausgelassen, davor wegen der Adduktoren-Zerrung pausiert. Das Startgewicht ist deshalb weiter eine Schätzung und steht bewusst auf 220 kg statt der ursprünglich abgeleiteten 260 kg - die erste Einheit ist eine Eichung, danach rechnet die Progression aus echten Werten weiter. Breiter Stand mit höherer Fussposition holt Adduktoren und Gesäss stärker rein; wenn dort noch etwas zieht, lieber eine Woche später anfangen. Bleibt sie dauerhaft aus dem Plan, im Feld 'Aktiv' auf 'nein' setzen.</t>
  </si>
  <si>
    <t xml:space="preserve">Wie die enge Variante ab Woche 6. Zusätzlich beachten: breiter Stand zieht die Adduktoren in die Dehnung, deshalb links vorsichtig einsteigen.</t>
  </si>
  <si>
    <t xml:space="preserve">Gesamtgewicht inkl. Stange notieren, auch bei Reduktionssätzen.</t>
  </si>
  <si>
    <t xml:space="preserve">Hip &amp; Glute Maschine ab Woche 6</t>
  </si>
  <si>
    <t xml:space="preserve">Die Stange muss aufgelegt und abgenommen werden - genau das geht mit einer frischen Naht nicht. Ab Woche 12 nur mit zweiter Person und vor der Brust gekreuzten Armen.</t>
  </si>
  <si>
    <t xml:space="preserve">Neu ab Einheit 7, ergänzt den Hip Thrust mit der Langhantel. Reha-Freigabe ab Woche 2 abgeleitet aus der Hip-Thrust-Maschine im Fahrplan - mit Operateur oder Physiotherapie bestätigen.</t>
  </si>
  <si>
    <t xml:space="preserve">Beinbeuger sitzend, ab Woche 2 frei</t>
  </si>
  <si>
    <t xml:space="preserve">Arme vor der Brust kreuzen, nicht am Gerät abstützen. Vorher wäre die Ein- und Ausstiegsbewegung das Problem, nicht die Übung selbst.</t>
  </si>
  <si>
    <t xml:space="preserve">Maschine, sitzend</t>
  </si>
  <si>
    <t xml:space="preserve">Sitzend statt liegend: Hüfte gebeugt, Ischiokrurale vorgedehnt, mehr Reiz pro Satz. Dritter Satz als Reduktionssatz.</t>
  </si>
  <si>
    <t xml:space="preserve">Sitzend. Griffe loslassen, das Polster hält das Bein.</t>
  </si>
  <si>
    <t xml:space="preserve">Kabel</t>
  </si>
  <si>
    <t xml:space="preserve">Gluteus medius, relevant für die Silhouette von vorne.</t>
  </si>
  <si>
    <t xml:space="preserve">Abduktion an der Maschine im Sitzen</t>
  </si>
  <si>
    <t xml:space="preserve">Nur mit der linken Seite abstützen. Kein Zug über den rechten Arm, auch nicht zum Ausbalancieren.</t>
  </si>
  <si>
    <t xml:space="preserve">In jede Beineinheit, bisher nur in jeder zweiten.</t>
  </si>
  <si>
    <t xml:space="preserve">Wadenmaschine sitzend</t>
  </si>
  <si>
    <t xml:space="preserve">Sitzend ab Woche 2. Stehende Variante ohne Schulterpolster ab Woche 6, mit Schulterpolster oder in der Multipresse erst ab Woche 12.</t>
  </si>
  <si>
    <t xml:space="preserve">Auswärts Bülach</t>
  </si>
  <si>
    <t xml:space="preserve">Maschine, Bach-Bülach</t>
  </si>
  <si>
    <t xml:space="preserve">Neu ab Einheit 15. Schritt 10 kg nach den Sprüngen 40 / 80 / 120 der ersten Einheit - falls das Gerät feiner geht, hier anpassen.</t>
  </si>
  <si>
    <t xml:space="preserve">Wie der Reverse V-Squat: Last über Schulter und Nacken. Woche mit Operateur bestätigen.</t>
  </si>
  <si>
    <t xml:space="preserve">Bach-Bülach</t>
  </si>
  <si>
    <t xml:space="preserve">Neu ab Einheit 15. Nicht mit dem Hip Thrust zu Hause vergleichen: dort lagen 285 kg an, hier 200 kg bei mehr Wiederholungen. Reha-Freigabe Woche 12 angesetzt wie für die Langhantel-Variante - ist es eine Maschine mit Polster, geht Woche 6, dann hier ändern.</t>
  </si>
  <si>
    <t xml:space="preserve">Angesetzt wie die Langhantel-Variante. Ist es eine Maschine mit Hüftpolster ohne Hantelhandhabung, geht Woche 6 - dann im Blatt Übungen ändern.</t>
  </si>
  <si>
    <t xml:space="preserve">Maschine liegend und sitzend, Bach-Bülach</t>
  </si>
  <si>
    <t xml:space="preserve">Neu ab Einheit 15, liegend und sitzend kombiniert. Die Stufen 27 / 36 / 50 / 54 / 59 passen zu einem Stack in 4.5 kg-Schritten, also einem Gerät mit Pfund-Gewichten - daher Schritt 4.5.</t>
  </si>
  <si>
    <t xml:space="preserve">Liegend und sitzend beide unkritisch, solange die Griffe nur locker aufliegen. Bei der liegenden Variante das Aufstehen über die linke Seite.</t>
  </si>
  <si>
    <t xml:space="preserve">Kurzhantel</t>
  </si>
  <si>
    <t xml:space="preserve">nein</t>
  </si>
  <si>
    <t xml:space="preserve">Archiv. Redundant zum Split Squat, Historie bleibt in den Auswertungen sichtbar.</t>
  </si>
  <si>
    <t xml:space="preserve">archiviert</t>
  </si>
  <si>
    <t xml:space="preserve">Nicht im Plan.</t>
  </si>
  <si>
    <t xml:space="preserve">Maschine / Kabel</t>
  </si>
  <si>
    <t xml:space="preserve">Archiv. Von Hip Thrust und RDL abgedeckt, Historie bleibt erhalten.</t>
  </si>
  <si>
    <t xml:space="preserve">Reihenfolge hier = Reihenfolge in allen Auswertungen und auf dem Trainingsblatt.   ·   'Start (kg)' braucht nur eine Übung ohne Historie: solange keine Arbeitssätze im Log stehen, speist dieser Wert die Plan-Spalte des Trainingsblatts. Sobald die erste Einheit erfasst ist, rechnet das Logbuch aus den echten Werten weiter.   ·   'Max (kg)' begrenzt den Zielvorschlag nach oben, etwa am Ende des Steckgewichts - darüber steigerst du über Tempo, Pausen und Wiederholungen statt über Last.   ·   Archivierte Übungen erscheinen grau und tauchen im Trainingsblatt nicht mehr auf.   ·   'Reha frei ab Woche' steuert die Ampel im Blatt 'Reha-Modus' und den Sperrvermerk auf dem Trainingsblatt.   ·   'Wdh von / bis' ist der Zielbereich der doppelten Progression, 'Schritt (kg)' die kleinste sinnvolle Laststufe an diesem Gerät. Beides steuert den Vorschlag für die nächste Einheit.   ·   'Anpassung %' skaliert das Zielgewicht, etwa 90 nach einer Trainingspause oder 70 für eine Übung, die eine Verletzung streift. 100 = normal.   ·   'Aktiv = pause' setzt eine Übung vorübergehend aus: sie steht mit rotem Vermerk auf dem Trainingsblatt, ohne Gewichte.</t>
  </si>
</sst>
</file>

<file path=xl/styles.xml><?xml version="1.0" encoding="utf-8"?>
<styleSheet xmlns="http://schemas.openxmlformats.org/spreadsheetml/2006/main">
  <numFmts count="8">
    <numFmt numFmtId="164" formatCode="General"/>
    <numFmt numFmtId="165" formatCode="#,##0;\-#,##0;\–"/>
    <numFmt numFmtId="166" formatCode="#,##0.0;\-#,##0.0;\–"/>
    <numFmt numFmtId="167" formatCode="dd\.mm\.yyyy"/>
    <numFmt numFmtId="168" formatCode="General"/>
    <numFmt numFmtId="169" formatCode="0.0%"/>
    <numFmt numFmtId="170" formatCode="0"/>
    <numFmt numFmtId="171" formatCode="\+0.0%;\-0.0%;\–"/>
  </numFmts>
  <fonts count="37">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sz val="9"/>
      <color rgb="FFFFFFFF"/>
      <name val="Arial"/>
      <family val="0"/>
      <charset val="1"/>
    </font>
    <font>
      <b val="true"/>
      <sz val="11"/>
      <color rgb="FFFFFFFF"/>
      <name val="Arial"/>
      <family val="0"/>
      <charset val="1"/>
    </font>
    <font>
      <sz val="10"/>
      <name val="Arial"/>
      <family val="0"/>
      <charset val="1"/>
    </font>
    <font>
      <b val="true"/>
      <sz val="11"/>
      <color rgb="FF1F3A5F"/>
      <name val="Arial"/>
      <family val="0"/>
      <charset val="1"/>
    </font>
    <font>
      <b val="true"/>
      <sz val="10"/>
      <color rgb="FFB45309"/>
      <name val="Arial"/>
      <family val="0"/>
      <charset val="1"/>
    </font>
    <font>
      <b val="true"/>
      <sz val="10"/>
      <name val="Arial"/>
      <family val="0"/>
      <charset val="1"/>
    </font>
    <font>
      <sz val="8.5"/>
      <color rgb="FF4A5568"/>
      <name val="Arial"/>
      <family val="0"/>
      <charset val="1"/>
    </font>
    <font>
      <b val="true"/>
      <sz val="10"/>
      <color rgb="FF1F3A5F"/>
      <name val="Arial"/>
      <family val="0"/>
      <charset val="1"/>
    </font>
    <font>
      <b val="true"/>
      <sz val="10"/>
      <color rgb="FF8A94A0"/>
      <name val="Arial"/>
      <family val="0"/>
      <charset val="1"/>
    </font>
    <font>
      <b val="true"/>
      <sz val="10"/>
      <color rgb="FFB91C1C"/>
      <name val="Arial"/>
      <family val="0"/>
      <charset val="1"/>
    </font>
    <font>
      <b val="true"/>
      <sz val="9"/>
      <color rgb="FFB45309"/>
      <name val="Arial"/>
      <family val="0"/>
      <charset val="1"/>
    </font>
    <font>
      <b val="true"/>
      <sz val="9"/>
      <color rgb="FFFFFFFF"/>
      <name val="Arial"/>
      <family val="0"/>
      <charset val="1"/>
    </font>
    <font>
      <b val="true"/>
      <sz val="18"/>
      <color rgb="FF1F3A5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2"/>
      <color rgb="FF1F3A5F"/>
      <name val="Arial"/>
      <family val="0"/>
      <charset val="1"/>
    </font>
    <font>
      <b val="true"/>
      <sz val="14"/>
      <color rgb="FFB45309"/>
      <name val="Arial"/>
      <family val="0"/>
      <charset val="1"/>
    </font>
    <font>
      <b val="true"/>
      <sz val="8.5"/>
      <color rgb="FF1F3A5F"/>
      <name val="Arial"/>
      <family val="0"/>
      <charset val="1"/>
    </font>
    <font>
      <b val="true"/>
      <sz val="12"/>
      <color rgb="FFB45309"/>
      <name val="Arial"/>
      <family val="0"/>
      <charset val="1"/>
    </font>
    <font>
      <b val="true"/>
      <sz val="9"/>
      <color rgb="FFB91C1C"/>
      <name val="Arial"/>
      <family val="0"/>
      <charset val="1"/>
    </font>
    <font>
      <b val="true"/>
      <sz val="9"/>
      <color rgb="FF15803D"/>
      <name val="Arial"/>
      <family val="0"/>
      <charset val="1"/>
    </font>
    <font>
      <b val="true"/>
      <sz val="12"/>
      <color rgb="FFFFFFFF"/>
      <name val="Arial"/>
      <family val="0"/>
      <charset val="1"/>
    </font>
    <font>
      <b val="true"/>
      <sz val="12"/>
      <color rgb="FF15803D"/>
      <name val="Arial"/>
      <family val="0"/>
      <charset val="1"/>
    </font>
    <font>
      <sz val="10"/>
      <name val="Arial"/>
      <family val="2"/>
    </font>
    <font>
      <sz val="9"/>
      <color rgb="FF1F3A5F"/>
      <name val="Arial"/>
      <family val="0"/>
      <charset val="1"/>
    </font>
    <font>
      <b val="true"/>
      <sz val="10"/>
      <color rgb="FF15803D"/>
      <name val="Arial"/>
      <family val="0"/>
      <charset val="1"/>
    </font>
    <font>
      <b val="true"/>
      <sz val="11"/>
      <color rgb="FF15803D"/>
      <name val="Arial"/>
      <family val="0"/>
      <charset val="1"/>
    </font>
    <font>
      <b val="true"/>
      <sz val="9"/>
      <color rgb="FF1F3A5F"/>
      <name val="Arial"/>
      <family val="0"/>
      <charset val="1"/>
    </font>
    <font>
      <sz val="9"/>
      <color rgb="FF4A5568"/>
      <name val="Arial"/>
      <family val="0"/>
      <charset val="1"/>
    </font>
    <font>
      <sz val="10"/>
      <color rgb="FF4A5568"/>
      <name val="Arial"/>
      <family val="0"/>
      <charset val="1"/>
    </font>
    <font>
      <i val="true"/>
      <sz val="10"/>
      <color rgb="FF8A94A0"/>
      <name val="Arial"/>
      <family val="0"/>
      <charset val="1"/>
    </font>
  </fonts>
  <fills count="13">
    <fill>
      <patternFill patternType="none"/>
    </fill>
    <fill>
      <patternFill patternType="gray125"/>
    </fill>
    <fill>
      <patternFill patternType="solid">
        <fgColor rgb="FF142A44"/>
        <bgColor rgb="FF1F3A5F"/>
      </patternFill>
    </fill>
    <fill>
      <patternFill patternType="solid">
        <fgColor rgb="FF3D6288"/>
        <bgColor rgb="FF4A5568"/>
      </patternFill>
    </fill>
    <fill>
      <patternFill patternType="solid">
        <fgColor rgb="FFF7F9FC"/>
        <bgColor rgb="FFF9F9F9"/>
      </patternFill>
    </fill>
    <fill>
      <patternFill patternType="solid">
        <fgColor rgb="FFFEF6E7"/>
        <bgColor rgb="FFFFF6D5"/>
      </patternFill>
    </fill>
    <fill>
      <patternFill patternType="solid">
        <fgColor rgb="FFFFF6D5"/>
        <bgColor rgb="FFFEF6E7"/>
      </patternFill>
    </fill>
    <fill>
      <patternFill patternType="solid">
        <fgColor rgb="FF1F3A5F"/>
        <bgColor rgb="FF142A44"/>
      </patternFill>
    </fill>
    <fill>
      <patternFill patternType="solid">
        <fgColor rgb="FFE7F2EA"/>
        <bgColor rgb="FFEDF1F6"/>
      </patternFill>
    </fill>
    <fill>
      <patternFill patternType="solid">
        <fgColor rgb="FFEDF1F6"/>
        <bgColor rgb="FFF0EBF6"/>
      </patternFill>
    </fill>
    <fill>
      <patternFill patternType="solid">
        <fgColor rgb="FFFDECEC"/>
        <bgColor rgb="FFFDEAEA"/>
      </patternFill>
    </fill>
    <fill>
      <patternFill patternType="solid">
        <fgColor rgb="FFFDEAEA"/>
        <bgColor rgb="FFFDECEC"/>
      </patternFill>
    </fill>
    <fill>
      <patternFill patternType="solid">
        <fgColor rgb="FFFFFFFF"/>
        <bgColor rgb="FFF9F9F9"/>
      </patternFill>
    </fill>
  </fills>
  <borders count="8">
    <border diagonalUp="false" diagonalDown="false">
      <left/>
      <right/>
      <top/>
      <bottom/>
      <diagonal/>
    </border>
    <border diagonalUp="false" diagonalDown="false">
      <left style="thin">
        <color rgb="FFAEBACA"/>
      </left>
      <right style="thin">
        <color rgb="FFAEBACA"/>
      </right>
      <top style="thin">
        <color rgb="FFAEBACA"/>
      </top>
      <bottom style="thin">
        <color rgb="FFAEBACA"/>
      </bottom>
      <diagonal/>
    </border>
    <border diagonalUp="false" diagonalDown="false">
      <left style="thin">
        <color rgb="FFAEBACA"/>
      </left>
      <right/>
      <top style="thin">
        <color rgb="FFAEBACA"/>
      </top>
      <bottom style="thin">
        <color rgb="FFAEBACA"/>
      </bottom>
      <diagonal/>
    </border>
    <border diagonalUp="false" diagonalDown="false">
      <left/>
      <right/>
      <top style="thin">
        <color rgb="FFAEBACA"/>
      </top>
      <bottom style="thin">
        <color rgb="FFAEBACA"/>
      </bottom>
      <diagonal/>
    </border>
    <border diagonalUp="false" diagonalDown="false">
      <left/>
      <right style="thin">
        <color rgb="FFAEBACA"/>
      </right>
      <top style="thin">
        <color rgb="FFAEBACA"/>
      </top>
      <bottom style="thin">
        <color rgb="FFAEBACA"/>
      </bottom>
      <diagonal/>
    </border>
    <border diagonalUp="false" diagonalDown="false">
      <left/>
      <right/>
      <top style="medium">
        <color rgb="FF1F3A5F"/>
      </top>
      <bottom/>
      <diagonal/>
    </border>
    <border diagonalUp="false" diagonalDown="false">
      <left/>
      <right/>
      <top/>
      <bottom style="medium">
        <color rgb="FF1F3A5F"/>
      </bottom>
      <diagonal/>
    </border>
    <border diagonalUp="false" diagonalDown="false">
      <left/>
      <right/>
      <top/>
      <bottom style="thin">
        <color rgb="FFAEBAC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8" fillId="4" borderId="1" xfId="0" applyFont="true" applyBorder="true" applyAlignment="true" applyProtection="false">
      <alignment horizontal="left" vertical="center" textRotation="0" wrapText="false" indent="0" shrinkToFit="false"/>
      <protection locked="true" hidden="false"/>
    </xf>
    <xf numFmtId="166" fontId="8" fillId="4" borderId="1" xfId="0" applyFont="true" applyBorder="true" applyAlignment="true" applyProtection="false">
      <alignment horizontal="left" vertical="center" textRotation="0" wrapText="false" indent="0" shrinkToFit="false"/>
      <protection locked="true" hidden="false"/>
    </xf>
    <xf numFmtId="164" fontId="9" fillId="5"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left" vertical="top" textRotation="0" wrapText="false" indent="0" shrinkToFit="false"/>
      <protection locked="true" hidden="false"/>
    </xf>
    <xf numFmtId="164" fontId="9" fillId="0" borderId="1" xfId="0" applyFont="true" applyBorder="true" applyAlignment="true" applyProtection="false">
      <alignment horizontal="left" vertical="top"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1" shrinkToFit="false"/>
      <protection locked="true" hidden="false"/>
    </xf>
    <xf numFmtId="164" fontId="12" fillId="8"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14" fillId="0"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left" vertical="top" textRotation="0" wrapText="true" indent="0" shrinkToFit="false"/>
      <protection locked="true" hidden="false"/>
    </xf>
    <xf numFmtId="164" fontId="16" fillId="7" borderId="1" xfId="0" applyFont="true" applyBorder="true" applyAlignment="true" applyProtection="false">
      <alignment horizontal="left" vertical="center" textRotation="0" wrapText="false" indent="1"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6" fontId="17" fillId="4" borderId="1"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left" vertical="center" textRotation="0" wrapText="false" indent="1"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0" fillId="3" borderId="4"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right" vertical="center" textRotation="0" wrapText="false" indent="0" shrinkToFit="false"/>
      <protection locked="true" hidden="false"/>
    </xf>
    <xf numFmtId="167" fontId="21" fillId="6" borderId="1" xfId="0" applyFont="true" applyBorder="true" applyAlignment="true" applyProtection="false">
      <alignment horizontal="center" vertical="center" textRotation="0" wrapText="false" indent="0" shrinkToFit="false"/>
      <protection locked="true" hidden="false"/>
    </xf>
    <xf numFmtId="165" fontId="22" fillId="4" borderId="1" xfId="0" applyFont="true" applyBorder="true" applyAlignment="true" applyProtection="false">
      <alignment horizontal="center" vertical="center" textRotation="0" wrapText="false" indent="0" shrinkToFit="false"/>
      <protection locked="true" hidden="false"/>
    </xf>
    <xf numFmtId="164" fontId="10" fillId="4" borderId="0"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left" vertical="center" textRotation="0" wrapText="false" indent="0" shrinkToFit="false"/>
      <protection locked="true" hidden="false"/>
    </xf>
    <xf numFmtId="168" fontId="7" fillId="9" borderId="1" xfId="0" applyFont="true" applyBorder="true" applyAlignment="true" applyProtection="false">
      <alignment horizontal="center" vertical="center" textRotation="0" wrapText="false" indent="0" shrinkToFit="false"/>
      <protection locked="true" hidden="false"/>
    </xf>
    <xf numFmtId="167" fontId="7" fillId="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left" vertical="top" textRotation="0" wrapText="true" indent="0" shrinkToFit="false"/>
      <protection locked="true" hidden="false"/>
    </xf>
    <xf numFmtId="164" fontId="0" fillId="6" borderId="1" xfId="0" applyFont="fals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left"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23" fillId="4" borderId="1" xfId="0" applyFont="true" applyBorder="true" applyAlignment="true" applyProtection="false">
      <alignment horizontal="center" vertical="center" textRotation="0" wrapText="false" indent="0" shrinkToFit="false"/>
      <protection locked="true" hidden="false"/>
    </xf>
    <xf numFmtId="167" fontId="0" fillId="6" borderId="1" xfId="0" applyFont="false" applyBorder="true" applyAlignment="true" applyProtection="false">
      <alignment horizontal="center" vertical="center" textRotation="0" wrapText="false" indent="0" shrinkToFit="false"/>
      <protection locked="true" hidden="false"/>
    </xf>
    <xf numFmtId="164" fontId="0" fillId="6" borderId="1" xfId="0" applyFont="false" applyBorder="true" applyAlignment="true" applyProtection="false">
      <alignment horizontal="left" vertical="top" textRotation="0" wrapText="true" indent="0" shrinkToFit="false"/>
      <protection locked="true" hidden="false"/>
    </xf>
    <xf numFmtId="165" fontId="24" fillId="4"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5" fontId="7" fillId="4" borderId="1" xfId="0" applyFont="true" applyBorder="true" applyAlignment="true" applyProtection="false">
      <alignment horizontal="center" vertical="center" textRotation="0" wrapText="false" indent="0" shrinkToFit="false"/>
      <protection locked="true" hidden="false"/>
    </xf>
    <xf numFmtId="169" fontId="7" fillId="4"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7"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false" indent="0" shrinkToFit="false"/>
      <protection locked="true" hidden="false"/>
    </xf>
    <xf numFmtId="166" fontId="7" fillId="6"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top" textRotation="0" wrapText="true" indent="0" shrinkToFit="false"/>
      <protection locked="true" hidden="false"/>
    </xf>
    <xf numFmtId="164" fontId="25" fillId="10" borderId="1" xfId="0" applyFont="true" applyBorder="true" applyAlignment="true" applyProtection="false">
      <alignment horizontal="left" vertical="top"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xf numFmtId="164" fontId="7" fillId="9"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14" fillId="11" borderId="1" xfId="0" applyFont="true" applyBorder="true" applyAlignment="true" applyProtection="false">
      <alignment horizontal="left" vertical="top"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26" fillId="0"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true" applyAlignment="true" applyProtection="false">
      <alignment horizontal="left" vertical="top" textRotation="0" wrapText="true" indent="0" shrinkToFit="false"/>
      <protection locked="true" hidden="false"/>
    </xf>
    <xf numFmtId="167" fontId="21" fillId="4" borderId="1" xfId="0" applyFont="true" applyBorder="true" applyAlignment="true" applyProtection="false">
      <alignment horizontal="center" vertical="center" textRotation="0" wrapText="false" indent="0" shrinkToFit="false"/>
      <protection locked="true" hidden="false"/>
    </xf>
    <xf numFmtId="164" fontId="27" fillId="3" borderId="1" xfId="0" applyFont="true" applyBorder="true" applyAlignment="true" applyProtection="false">
      <alignment horizontal="left" vertical="center" textRotation="0" wrapText="false" indent="1" shrinkToFit="false"/>
      <protection locked="true" hidden="false"/>
    </xf>
    <xf numFmtId="165" fontId="21"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6" fontId="28" fillId="4"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center" vertical="center" textRotation="0" wrapText="false" indent="0" shrinkToFit="false"/>
      <protection locked="true" hidden="false"/>
    </xf>
    <xf numFmtId="165" fontId="7" fillId="6" borderId="1" xfId="0" applyFont="true" applyBorder="true" applyAlignment="true" applyProtection="false">
      <alignment horizontal="center" vertical="center" textRotation="0" wrapText="false" indent="0" shrinkToFit="false"/>
      <protection locked="true" hidden="false"/>
    </xf>
    <xf numFmtId="164" fontId="10" fillId="9" borderId="5" xfId="0" applyFont="true" applyBorder="true" applyAlignment="true" applyProtection="false">
      <alignment horizontal="center" vertical="center" textRotation="0" wrapText="false" indent="0" shrinkToFit="false"/>
      <protection locked="true" hidden="false"/>
    </xf>
    <xf numFmtId="164" fontId="0" fillId="9" borderId="5" xfId="0" applyFont="false" applyBorder="true" applyAlignment="false" applyProtection="false">
      <alignment horizontal="general" vertical="bottom" textRotation="0" wrapText="false" indent="0" shrinkToFit="false"/>
      <protection locked="true" hidden="false"/>
    </xf>
    <xf numFmtId="165" fontId="10" fillId="9" borderId="5" xfId="0" applyFont="true" applyBorder="true" applyAlignment="true" applyProtection="false">
      <alignment horizontal="center" vertical="center" textRotation="0" wrapText="false" indent="0" shrinkToFit="false"/>
      <protection locked="true" hidden="false"/>
    </xf>
    <xf numFmtId="167"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70" fontId="8" fillId="6" borderId="1" xfId="0" applyFont="true" applyBorder="true" applyAlignment="true" applyProtection="false">
      <alignment horizontal="center" vertical="center" textRotation="0" wrapText="false" indent="0" shrinkToFit="false"/>
      <protection locked="true" hidden="false"/>
    </xf>
    <xf numFmtId="164" fontId="11" fillId="4" borderId="0" xfId="0" applyFont="true" applyBorder="true" applyAlignment="true" applyProtection="false">
      <alignment horizontal="left" vertical="center" textRotation="0" wrapText="false" indent="1" shrinkToFit="false"/>
      <protection locked="true" hidden="false"/>
    </xf>
    <xf numFmtId="170" fontId="6" fillId="7" borderId="1" xfId="0" applyFont="true" applyBorder="true" applyAlignment="true" applyProtection="false">
      <alignment horizontal="center" vertical="center" textRotation="0" wrapText="true" indent="0" shrinkToFit="false"/>
      <protection locked="true" hidden="false"/>
    </xf>
    <xf numFmtId="165" fontId="7" fillId="9" borderId="1" xfId="0" applyFont="true" applyBorder="true" applyAlignment="true" applyProtection="false">
      <alignment horizontal="center" vertical="center" textRotation="0" wrapText="false" indent="0" shrinkToFit="false"/>
      <protection locked="true" hidden="false"/>
    </xf>
    <xf numFmtId="165" fontId="10" fillId="4"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9" borderId="1" xfId="0" applyFont="true" applyBorder="true" applyAlignment="true" applyProtection="false">
      <alignment horizontal="center" vertical="center" textRotation="0" wrapText="false" indent="0" shrinkToFit="false"/>
      <protection locked="true" hidden="false"/>
    </xf>
    <xf numFmtId="166" fontId="10" fillId="4" borderId="1" xfId="0" applyFont="true" applyBorder="tru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71" fontId="7" fillId="9"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center" vertical="center" textRotation="0" wrapText="false" indent="0" shrinkToFit="false"/>
      <protection locked="true" hidden="false"/>
    </xf>
    <xf numFmtId="164" fontId="30" fillId="9" borderId="1" xfId="0" applyFont="true" applyBorder="true" applyAlignment="true" applyProtection="false">
      <alignment horizontal="left" vertical="top" textRotation="0" wrapText="true" indent="0" shrinkToFit="false"/>
      <protection locked="true" hidden="false"/>
    </xf>
    <xf numFmtId="166" fontId="31" fillId="9" borderId="1" xfId="0" applyFont="true" applyBorder="true" applyAlignment="true" applyProtection="false">
      <alignment horizontal="center" vertical="center" textRotation="0" wrapText="false" indent="0" shrinkToFit="false"/>
      <protection locked="true" hidden="false"/>
    </xf>
    <xf numFmtId="171"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30" fillId="0" borderId="1" xfId="0" applyFont="true" applyBorder="true" applyAlignment="true" applyProtection="false">
      <alignment horizontal="left" vertical="top" textRotation="0" wrapText="true" indent="0" shrinkToFit="false"/>
      <protection locked="true" hidden="false"/>
    </xf>
    <xf numFmtId="166" fontId="31" fillId="0" borderId="1" xfId="0" applyFont="true" applyBorder="true" applyAlignment="true" applyProtection="false">
      <alignment horizontal="center" vertical="center" textRotation="0" wrapText="false" indent="0" shrinkToFit="false"/>
      <protection locked="true" hidden="false"/>
    </xf>
    <xf numFmtId="164" fontId="7" fillId="9" borderId="1" xfId="0" applyFont="true" applyBorder="true" applyAlignment="true" applyProtection="false">
      <alignment horizontal="left" vertical="center" textRotation="0" wrapText="false" indent="0" shrinkToFit="false"/>
      <protection locked="true" hidden="false"/>
    </xf>
    <xf numFmtId="166" fontId="9" fillId="9" borderId="1" xfId="0" applyFont="true" applyBorder="true" applyAlignment="true" applyProtection="false">
      <alignment horizontal="center" vertical="center" textRotation="0" wrapText="false" indent="0" shrinkToFit="false"/>
      <protection locked="true" hidden="false"/>
    </xf>
    <xf numFmtId="166" fontId="32" fillId="9" borderId="1" xfId="0" applyFont="true" applyBorder="true" applyAlignment="true" applyProtection="false">
      <alignment horizontal="center" vertical="center" textRotation="0" wrapText="false" indent="0" shrinkToFit="false"/>
      <protection locked="true" hidden="false"/>
    </xf>
    <xf numFmtId="165" fontId="32" fillId="9" borderId="1" xfId="0" applyFont="true" applyBorder="true" applyAlignment="true" applyProtection="false">
      <alignment horizontal="center" vertical="center" textRotation="0" wrapText="false" indent="0" shrinkToFit="false"/>
      <protection locked="true" hidden="false"/>
    </xf>
    <xf numFmtId="166" fontId="9" fillId="0" borderId="1" xfId="0" applyFont="true" applyBorder="true" applyAlignment="true" applyProtection="false">
      <alignment horizontal="center" vertical="center" textRotation="0" wrapText="false" indent="0" shrinkToFit="false"/>
      <protection locked="true" hidden="false"/>
    </xf>
    <xf numFmtId="166" fontId="32" fillId="0" borderId="1" xfId="0" applyFont="true" applyBorder="true" applyAlignment="true" applyProtection="false">
      <alignment horizontal="center" vertical="center" textRotation="0" wrapText="false" indent="0" shrinkToFit="false"/>
      <protection locked="true" hidden="false"/>
    </xf>
    <xf numFmtId="165" fontId="32"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6" fillId="7" borderId="1" xfId="0" applyFont="true" applyBorder="true" applyAlignment="true" applyProtection="false">
      <alignment horizontal="left" vertical="center" textRotation="0" wrapText="false" indent="1" shrinkToFit="false"/>
      <protection locked="true" hidden="false"/>
    </xf>
    <xf numFmtId="164" fontId="33" fillId="9" borderId="1" xfId="0" applyFont="true" applyBorder="true" applyAlignment="true" applyProtection="false">
      <alignment horizontal="left" vertical="center" textRotation="0" wrapText="false" indent="1" shrinkToFit="false"/>
      <protection locked="true" hidden="false"/>
    </xf>
    <xf numFmtId="164" fontId="34" fillId="0" borderId="1" xfId="0" applyFont="true" applyBorder="true" applyAlignment="true" applyProtection="false">
      <alignment horizontal="left" vertical="center" textRotation="0" wrapText="false" indent="1" shrinkToFit="false"/>
      <protection locked="true" hidden="false"/>
    </xf>
    <xf numFmtId="164" fontId="23" fillId="4" borderId="1" xfId="0" applyFont="true" applyBorder="true" applyAlignment="true" applyProtection="false">
      <alignment horizontal="center" vertical="center" textRotation="0" wrapText="true" indent="0" shrinkToFit="false"/>
      <protection locked="true" hidden="false"/>
    </xf>
    <xf numFmtId="166" fontId="35"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center" vertical="center" textRotation="0" wrapText="false" indent="0" shrinkToFit="false"/>
      <protection locked="true" hidden="false"/>
    </xf>
    <xf numFmtId="165" fontId="31" fillId="0" borderId="1" xfId="0" applyFont="true" applyBorder="true" applyAlignment="true" applyProtection="false">
      <alignment horizontal="center" vertical="center"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left" vertical="top" textRotation="0" wrapText="true" indent="0" shrinkToFit="false"/>
      <protection locked="true" hidden="false"/>
    </xf>
    <xf numFmtId="164" fontId="36" fillId="6" borderId="1" xfId="0" applyFont="true" applyBorder="true" applyAlignment="true" applyProtection="false">
      <alignment horizontal="left" vertical="center" textRotation="0" wrapText="false" indent="0" shrinkToFit="false"/>
      <protection locked="true" hidden="false"/>
    </xf>
    <xf numFmtId="164" fontId="36" fillId="6" borderId="1" xfId="0" applyFont="true" applyBorder="true" applyAlignment="true" applyProtection="false">
      <alignment horizontal="center" vertical="center" textRotation="0" wrapText="false" indent="0" shrinkToFit="false"/>
      <protection locked="true" hidden="false"/>
    </xf>
    <xf numFmtId="166" fontId="36" fillId="6" borderId="1" xfId="0" applyFont="true" applyBorder="true" applyAlignment="true" applyProtection="false">
      <alignment horizontal="center" vertical="center" textRotation="0" wrapText="false" indent="0" shrinkToFit="false"/>
      <protection locked="true" hidden="false"/>
    </xf>
    <xf numFmtId="165" fontId="36" fillId="6" borderId="1" xfId="0" applyFont="true" applyBorder="true" applyAlignment="true" applyProtection="false">
      <alignment horizontal="center" vertical="center" textRotation="0" wrapText="false" indent="0" shrinkToFit="false"/>
      <protection locked="true" hidden="false"/>
    </xf>
    <xf numFmtId="164" fontId="36" fillId="6"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7">
    <dxf>
      <fill>
        <patternFill>
          <bgColor rgb="FFFDEAEA"/>
        </patternFill>
      </fill>
    </dxf>
    <dxf>
      <font>
        <name val="Arial"/>
        <charset val="1"/>
        <family val="0"/>
        <b val="1"/>
        <color rgb="FF15803D"/>
        <sz val="10"/>
      </font>
    </dxf>
    <dxf>
      <font>
        <name val="Arial"/>
        <charset val="1"/>
        <family val="0"/>
        <i val="1"/>
        <color rgb="FF8A94A0"/>
        <sz val="10"/>
      </font>
    </dxf>
    <dxf>
      <fill>
        <patternFill>
          <bgColor rgb="FFEDF1F6"/>
        </patternFill>
      </fill>
    </dxf>
    <dxf>
      <font>
        <name val="Arial"/>
        <charset val="1"/>
        <family val="0"/>
        <b val="1"/>
        <color rgb="FFB45309"/>
        <sz val="10"/>
      </font>
      <fill>
        <patternFill>
          <bgColor rgb="FFFCE8C0"/>
        </patternFill>
      </fill>
    </dxf>
    <dxf>
      <fill>
        <patternFill patternType="solid">
          <fgColor rgb="FF1F3A5F"/>
          <bgColor rgb="FF000000"/>
        </patternFill>
      </fill>
    </dxf>
    <dxf>
      <fill>
        <patternFill patternType="solid">
          <fgColor rgb="FFE7F2EA"/>
          <bgColor rgb="FF000000"/>
        </patternFill>
      </fill>
    </dxf>
    <dxf>
      <fill>
        <patternFill patternType="solid">
          <fgColor rgb="FFF0EBF6"/>
          <bgColor rgb="FF000000"/>
        </patternFill>
      </fill>
    </dxf>
    <dxf>
      <fill>
        <patternFill patternType="solid">
          <fgColor rgb="FFF7F9FC"/>
          <bgColor rgb="FF000000"/>
        </patternFill>
      </fill>
    </dxf>
    <dxf>
      <fill>
        <patternFill patternType="solid">
          <fgColor rgb="FFFFFFFF"/>
          <bgColor rgb="FF000000"/>
        </patternFill>
      </fill>
    </dxf>
    <dxf>
      <fill>
        <patternFill patternType="solid">
          <bgColor rgb="FF000000"/>
        </patternFill>
      </fill>
    </dxf>
    <dxf>
      <fill>
        <patternFill patternType="solid">
          <fgColor rgb="FFFFF6D5"/>
          <bgColor rgb="FF000000"/>
        </patternFill>
      </fill>
    </dxf>
    <dxf>
      <fill>
        <patternFill>
          <bgColor rgb="FFE7F2EA"/>
        </patternFill>
      </fill>
    </dxf>
    <dxf>
      <fill>
        <patternFill>
          <bgColor rgb="FFF0EBF6"/>
        </patternFill>
      </fill>
    </dxf>
    <dxf>
      <font>
        <name val="Arial"/>
        <charset val="1"/>
        <family val="0"/>
        <b val="1"/>
        <color rgb="FFB91C1C"/>
        <sz val="10"/>
      </font>
    </dxf>
    <dxf>
      <font>
        <name val="Arial"/>
        <charset val="1"/>
        <family val="0"/>
        <b val="1"/>
        <color rgb="FFB45309"/>
        <sz val="9"/>
      </font>
      <fill>
        <patternFill>
          <bgColor rgb="FFFEF6E7"/>
        </patternFill>
      </fill>
    </dxf>
    <dxf>
      <font>
        <name val="Arial"/>
        <charset val="1"/>
        <family val="0"/>
        <b val="1"/>
        <color rgb="FFB91C1C"/>
        <sz val="9"/>
      </font>
      <fill>
        <patternFill>
          <bgColor rgb="FFFDEAEA"/>
        </patternFill>
      </fill>
    </dxf>
  </dxfs>
  <colors>
    <indexedColors>
      <rgbColor rgb="FF000000"/>
      <rgbColor rgb="FFFFFFFF"/>
      <rgbColor rgb="FFFF0000"/>
      <rgbColor rgb="FF00FF00"/>
      <rgbColor rgb="FF0000FF"/>
      <rgbColor rgb="FFF9F9F9"/>
      <rgbColor rgb="FFFF00FF"/>
      <rgbColor rgb="FF00FFFF"/>
      <rgbColor rgb="FF800000"/>
      <rgbColor rgb="FF15803D"/>
      <rgbColor rgb="FF000080"/>
      <rgbColor rgb="FF808000"/>
      <rgbColor rgb="FF800080"/>
      <rgbColor rgb="FF008080"/>
      <rgbColor rgb="FFAEBACA"/>
      <rgbColor rgb="FF878787"/>
      <rgbColor rgb="FF9999FF"/>
      <rgbColor rgb="FFC0504D"/>
      <rgbColor rgb="FFFFF6D5"/>
      <rgbColor rgb="FFE7F2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F1F6"/>
      <rgbColor rgb="FFF0EBF6"/>
      <rgbColor rgb="FFFCE8C0"/>
      <rgbColor rgb="FFFDECEC"/>
      <rgbColor rgb="FFFEF6E7"/>
      <rgbColor rgb="FFF7F9FC"/>
      <rgbColor rgb="FFFDEAEA"/>
      <rgbColor rgb="FF4F81BD"/>
      <rgbColor rgb="FF33CCCC"/>
      <rgbColor rgb="FF99CC00"/>
      <rgbColor rgb="FFFFCC00"/>
      <rgbColor rgb="FFFF9900"/>
      <rgbColor rgb="FFFF6600"/>
      <rgbColor rgb="FF3D6288"/>
      <rgbColor rgb="FF8A94A0"/>
      <rgbColor rgb="FF142A44"/>
      <rgbColor rgb="FF339966"/>
      <rgbColor rgb="FF003300"/>
      <rgbColor rgb="FF333300"/>
      <rgbColor rgb="FFB91C1C"/>
      <rgbColor rgb="FFB45309"/>
      <rgbColor rgb="FF4A5568"/>
      <rgbColor rgb="FF1F3A5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Arbeitsvolumen je Einheit (kg)</a:t>
            </a:r>
          </a:p>
        </c:rich>
      </c:tx>
      <c:overlay val="0"/>
      <c:spPr>
        <a:noFill/>
        <a:ln w="0">
          <a:noFill/>
        </a:ln>
      </c:spPr>
    </c:title>
    <c:autoTitleDeleted val="0"/>
    <c:plotArea>
      <c:barChart>
        <c:barDir val="col"/>
        <c:grouping val="clustered"/>
        <c:varyColors val="0"/>
        <c:ser>
          <c:idx val="0"/>
          <c:order val="0"/>
          <c:tx>
            <c:strRef>
              <c:f>Einheiten!I3</c:f>
              <c:strCache>
                <c:ptCount val="1"/>
                <c:pt idx="0">
                  <c:v>Arbeits-
volumen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Einheiten!$A$4:$A$63</c:f>
              <c:strCache>
                <c:ptCount val="6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strCache>
            </c:strRef>
          </c:cat>
          <c:val>
            <c:numRef>
              <c:f>Einheiten!$I$4:$I$63</c:f>
              <c:numCache>
                <c:formatCode>#,##0;\-#,##0;\–</c:formatCode>
                <c:ptCount val="60"/>
                <c:pt idx="0">
                  <c:v>19139.5</c:v>
                </c:pt>
                <c:pt idx="1">
                  <c:v>19654</c:v>
                </c:pt>
                <c:pt idx="2">
                  <c:v>17343.5</c:v>
                </c:pt>
                <c:pt idx="3">
                  <c:v>18367.5</c:v>
                </c:pt>
                <c:pt idx="4">
                  <c:v>25361</c:v>
                </c:pt>
                <c:pt idx="5">
                  <c:v>14572</c:v>
                </c:pt>
                <c:pt idx="6">
                  <c:v>18167</c:v>
                </c:pt>
                <c:pt idx="7">
                  <c:v>14853.5</c:v>
                </c:pt>
                <c:pt idx="8">
                  <c:v>10515</c:v>
                </c:pt>
                <c:pt idx="9">
                  <c:v>12680</c:v>
                </c:pt>
                <c:pt idx="10">
                  <c:v>15102</c:v>
                </c:pt>
                <c:pt idx="11">
                  <c:v>9070</c:v>
                </c:pt>
                <c:pt idx="12">
                  <c:v>14513.5</c:v>
                </c:pt>
                <c:pt idx="13">
                  <c:v>15055</c:v>
                </c:pt>
                <c:pt idx="14">
                  <c:v>9054</c:v>
                </c:pt>
                <c:pt idx="15">
                  <c:v>7255</c:v>
                </c:pt>
                <c:pt idx="16">
                  <c:v>10637</c:v>
                </c:pt>
              </c:numCache>
            </c:numRef>
          </c:val>
        </c:ser>
        <c:gapWidth val="60"/>
        <c:overlap val="0"/>
        <c:axId val="30542005"/>
        <c:axId val="21570704"/>
      </c:barChart>
      <c:catAx>
        <c:axId val="3054200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Einheit</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1570704"/>
        <c:crosses val="autoZero"/>
        <c:auto val="1"/>
        <c:lblAlgn val="ctr"/>
        <c:lblOffset val="100"/>
        <c:noMultiLvlLbl val="0"/>
      </c:catAx>
      <c:valAx>
        <c:axId val="21570704"/>
        <c:scaling>
          <c:orientation val="minMax"/>
          <c:min val="0"/>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054200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Top-Gewicht: zuletzt vs. Bestwert (kg)</a:t>
            </a:r>
          </a:p>
        </c:rich>
      </c:tx>
      <c:overlay val="0"/>
      <c:spPr>
        <a:noFill/>
        <a:ln w="0">
          <a:noFill/>
        </a:ln>
      </c:spPr>
    </c:title>
    <c:autoTitleDeleted val="0"/>
    <c:plotArea>
      <c:barChart>
        <c:barDir val="bar"/>
        <c:grouping val="clustered"/>
        <c:varyColors val="0"/>
        <c:ser>
          <c:idx val="0"/>
          <c:order val="0"/>
          <c:tx>
            <c:strRef>
              <c:f>Rekorde!L3</c:f>
              <c:strCache>
                <c:ptCount val="1"/>
                <c:pt idx="0">
                  <c:v>Top-Gewicht
zuletzt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Rekorde!$A$4:$A$21</c:f>
              <c:strCache>
                <c:ptCount val="18"/>
                <c:pt idx="0">
                  <c:v>Beinpresse eng</c:v>
                </c:pt>
                <c:pt idx="1">
                  <c:v>Split Squat</c:v>
                </c:pt>
                <c:pt idx="2">
                  <c:v>Beinstrecker</c:v>
                </c:pt>
                <c:pt idx="3">
                  <c:v>Adduktion</c:v>
                </c:pt>
                <c:pt idx="4">
                  <c:v>Reverse V-Squat</c:v>
                </c:pt>
                <c:pt idx="5">
                  <c:v>Rumänisches Kreuzheben</c:v>
                </c:pt>
                <c:pt idx="6">
                  <c:v>Rumänisches Kreuzheben KH</c:v>
                </c:pt>
                <c:pt idx="7">
                  <c:v>Beinpresse breit</c:v>
                </c:pt>
                <c:pt idx="8">
                  <c:v>Hip Thrust</c:v>
                </c:pt>
                <c:pt idx="9">
                  <c:v>Hip &amp; Glute</c:v>
                </c:pt>
                <c:pt idx="10">
                  <c:v>Beinbeuger</c:v>
                </c:pt>
                <c:pt idx="11">
                  <c:v>Seitliche Kickbacks</c:v>
                </c:pt>
                <c:pt idx="12">
                  <c:v>Waden</c:v>
                </c:pt>
                <c:pt idx="13">
                  <c:v>Squat Maschine Bülach</c:v>
                </c:pt>
                <c:pt idx="14">
                  <c:v>Hip Thrust Bülach</c:v>
                </c:pt>
                <c:pt idx="15">
                  <c:v>Beinbeuger Bülach</c:v>
                </c:pt>
                <c:pt idx="16">
                  <c:v>Lunges</c:v>
                </c:pt>
                <c:pt idx="17">
                  <c:v>Kickback</c:v>
                </c:pt>
              </c:strCache>
            </c:strRef>
          </c:cat>
          <c:val>
            <c:numRef>
              <c:f>Rekorde!$L$4:$L$21</c:f>
              <c:numCache>
                <c:formatCode>#,##0.0;\-#,##0.0;\–</c:formatCode>
                <c:ptCount val="18"/>
                <c:pt idx="0">
                  <c:v>300</c:v>
                </c:pt>
                <c:pt idx="1">
                  <c:v>120</c:v>
                </c:pt>
                <c:pt idx="2">
                  <c:v>95</c:v>
                </c:pt>
                <c:pt idx="3">
                  <c:v>165</c:v>
                </c:pt>
                <c:pt idx="4">
                  <c:v>215</c:v>
                </c:pt>
                <c:pt idx="5">
                  <c:v>115</c:v>
                </c:pt>
                <c:pt idx="6">
                  <c:v>34</c:v>
                </c:pt>
                <c:pt idx="8">
                  <c:v>285</c:v>
                </c:pt>
                <c:pt idx="9">
                  <c:v>170</c:v>
                </c:pt>
                <c:pt idx="10">
                  <c:v>45</c:v>
                </c:pt>
                <c:pt idx="11">
                  <c:v>36</c:v>
                </c:pt>
                <c:pt idx="12">
                  <c:v>190</c:v>
                </c:pt>
                <c:pt idx="13">
                  <c:v>120</c:v>
                </c:pt>
                <c:pt idx="14">
                  <c:v>200</c:v>
                </c:pt>
                <c:pt idx="15">
                  <c:v>59</c:v>
                </c:pt>
                <c:pt idx="16">
                  <c:v>18</c:v>
                </c:pt>
                <c:pt idx="17">
                  <c:v>63</c:v>
                </c:pt>
              </c:numCache>
            </c:numRef>
          </c:val>
        </c:ser>
        <c:ser>
          <c:idx val="1"/>
          <c:order val="1"/>
          <c:tx>
            <c:strRef>
              <c:f>Rekorde!F3</c:f>
              <c:strCache>
                <c:ptCount val="1"/>
                <c:pt idx="0">
                  <c:v>Top-Gewicht
(kg)</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Rekorde!$A$4:$A$21</c:f>
              <c:strCache>
                <c:ptCount val="18"/>
                <c:pt idx="0">
                  <c:v>Beinpresse eng</c:v>
                </c:pt>
                <c:pt idx="1">
                  <c:v>Split Squat</c:v>
                </c:pt>
                <c:pt idx="2">
                  <c:v>Beinstrecker</c:v>
                </c:pt>
                <c:pt idx="3">
                  <c:v>Adduktion</c:v>
                </c:pt>
                <c:pt idx="4">
                  <c:v>Reverse V-Squat</c:v>
                </c:pt>
                <c:pt idx="5">
                  <c:v>Rumänisches Kreuzheben</c:v>
                </c:pt>
                <c:pt idx="6">
                  <c:v>Rumänisches Kreuzheben KH</c:v>
                </c:pt>
                <c:pt idx="7">
                  <c:v>Beinpresse breit</c:v>
                </c:pt>
                <c:pt idx="8">
                  <c:v>Hip Thrust</c:v>
                </c:pt>
                <c:pt idx="9">
                  <c:v>Hip &amp; Glute</c:v>
                </c:pt>
                <c:pt idx="10">
                  <c:v>Beinbeuger</c:v>
                </c:pt>
                <c:pt idx="11">
                  <c:v>Seitliche Kickbacks</c:v>
                </c:pt>
                <c:pt idx="12">
                  <c:v>Waden</c:v>
                </c:pt>
                <c:pt idx="13">
                  <c:v>Squat Maschine Bülach</c:v>
                </c:pt>
                <c:pt idx="14">
                  <c:v>Hip Thrust Bülach</c:v>
                </c:pt>
                <c:pt idx="15">
                  <c:v>Beinbeuger Bülach</c:v>
                </c:pt>
                <c:pt idx="16">
                  <c:v>Lunges</c:v>
                </c:pt>
                <c:pt idx="17">
                  <c:v>Kickback</c:v>
                </c:pt>
              </c:strCache>
            </c:strRef>
          </c:cat>
          <c:val>
            <c:numRef>
              <c:f>Rekorde!$F$4:$F$21</c:f>
              <c:numCache>
                <c:formatCode>#,##0.0;\-#,##0.0;\–</c:formatCode>
                <c:ptCount val="18"/>
                <c:pt idx="0">
                  <c:v>333</c:v>
                </c:pt>
                <c:pt idx="1">
                  <c:v>120</c:v>
                </c:pt>
                <c:pt idx="2">
                  <c:v>95</c:v>
                </c:pt>
                <c:pt idx="3">
                  <c:v>185</c:v>
                </c:pt>
                <c:pt idx="4">
                  <c:v>215</c:v>
                </c:pt>
                <c:pt idx="5">
                  <c:v>135</c:v>
                </c:pt>
                <c:pt idx="6">
                  <c:v>34</c:v>
                </c:pt>
                <c:pt idx="8">
                  <c:v>290</c:v>
                </c:pt>
                <c:pt idx="9">
                  <c:v>176</c:v>
                </c:pt>
                <c:pt idx="10">
                  <c:v>57.5</c:v>
                </c:pt>
                <c:pt idx="11">
                  <c:v>49</c:v>
                </c:pt>
                <c:pt idx="12">
                  <c:v>190</c:v>
                </c:pt>
                <c:pt idx="13">
                  <c:v>120</c:v>
                </c:pt>
                <c:pt idx="14">
                  <c:v>200</c:v>
                </c:pt>
                <c:pt idx="15">
                  <c:v>59</c:v>
                </c:pt>
                <c:pt idx="16">
                  <c:v>18</c:v>
                </c:pt>
                <c:pt idx="17">
                  <c:v>84</c:v>
                </c:pt>
              </c:numCache>
            </c:numRef>
          </c:val>
        </c:ser>
        <c:gapWidth val="60"/>
        <c:overlap val="0"/>
        <c:axId val="53384262"/>
        <c:axId val="90267081"/>
      </c:barChart>
      <c:catAx>
        <c:axId val="533842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267081"/>
        <c:crosses val="autoZero"/>
        <c:auto val="1"/>
        <c:lblAlgn val="ctr"/>
        <c:lblOffset val="100"/>
        <c:noMultiLvlLbl val="0"/>
      </c:catAx>
      <c:valAx>
        <c:axId val="90267081"/>
        <c:scaling>
          <c:orientation val="minMax"/>
          <c:min val="0"/>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384262"/>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Gesamtvolumen je Übung (kg)</a:t>
            </a:r>
          </a:p>
        </c:rich>
      </c:tx>
      <c:overlay val="0"/>
      <c:spPr>
        <a:noFill/>
        <a:ln w="0">
          <a:noFill/>
        </a:ln>
      </c:spPr>
    </c:title>
    <c:autoTitleDeleted val="0"/>
    <c:plotArea>
      <c:barChart>
        <c:barDir val="bar"/>
        <c:grouping val="clustered"/>
        <c:varyColors val="0"/>
        <c:ser>
          <c:idx val="0"/>
          <c:order val="0"/>
          <c:tx>
            <c:strRef>
              <c:f>Rekorde!E3</c:f>
              <c:strCache>
                <c:ptCount val="1"/>
                <c:pt idx="0">
                  <c:v>Gesamt-
volumen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Rekorde!$A$4:$A$21</c:f>
              <c:strCache>
                <c:ptCount val="18"/>
                <c:pt idx="0">
                  <c:v>Beinpresse eng</c:v>
                </c:pt>
                <c:pt idx="1">
                  <c:v>Split Squat</c:v>
                </c:pt>
                <c:pt idx="2">
                  <c:v>Beinstrecker</c:v>
                </c:pt>
                <c:pt idx="3">
                  <c:v>Adduktion</c:v>
                </c:pt>
                <c:pt idx="4">
                  <c:v>Reverse V-Squat</c:v>
                </c:pt>
                <c:pt idx="5">
                  <c:v>Rumänisches Kreuzheben</c:v>
                </c:pt>
                <c:pt idx="6">
                  <c:v>Rumänisches Kreuzheben KH</c:v>
                </c:pt>
                <c:pt idx="7">
                  <c:v>Beinpresse breit</c:v>
                </c:pt>
                <c:pt idx="8">
                  <c:v>Hip Thrust</c:v>
                </c:pt>
                <c:pt idx="9">
                  <c:v>Hip &amp; Glute</c:v>
                </c:pt>
                <c:pt idx="10">
                  <c:v>Beinbeuger</c:v>
                </c:pt>
                <c:pt idx="11">
                  <c:v>Seitliche Kickbacks</c:v>
                </c:pt>
                <c:pt idx="12">
                  <c:v>Waden</c:v>
                </c:pt>
                <c:pt idx="13">
                  <c:v>Squat Maschine Bülach</c:v>
                </c:pt>
                <c:pt idx="14">
                  <c:v>Hip Thrust Bülach</c:v>
                </c:pt>
                <c:pt idx="15">
                  <c:v>Beinbeuger Bülach</c:v>
                </c:pt>
                <c:pt idx="16">
                  <c:v>Lunges</c:v>
                </c:pt>
                <c:pt idx="17">
                  <c:v>Kickback</c:v>
                </c:pt>
              </c:strCache>
            </c:strRef>
          </c:cat>
          <c:val>
            <c:numRef>
              <c:f>Rekorde!$E$4:$E$21</c:f>
              <c:numCache>
                <c:formatCode>#,##0;\-#,##0;\–</c:formatCode>
                <c:ptCount val="18"/>
                <c:pt idx="0">
                  <c:v>45176</c:v>
                </c:pt>
                <c:pt idx="1">
                  <c:v>20460</c:v>
                </c:pt>
                <c:pt idx="2">
                  <c:v>17570</c:v>
                </c:pt>
                <c:pt idx="3">
                  <c:v>32330</c:v>
                </c:pt>
                <c:pt idx="4">
                  <c:v>7683</c:v>
                </c:pt>
                <c:pt idx="5">
                  <c:v>10755</c:v>
                </c:pt>
                <c:pt idx="6">
                  <c:v>480</c:v>
                </c:pt>
                <c:pt idx="8">
                  <c:v>48370</c:v>
                </c:pt>
                <c:pt idx="9">
                  <c:v>18037</c:v>
                </c:pt>
                <c:pt idx="10">
                  <c:v>8013.5</c:v>
                </c:pt>
                <c:pt idx="11">
                  <c:v>2773</c:v>
                </c:pt>
                <c:pt idx="12">
                  <c:v>23519</c:v>
                </c:pt>
                <c:pt idx="13">
                  <c:v>2200</c:v>
                </c:pt>
                <c:pt idx="14">
                  <c:v>6000</c:v>
                </c:pt>
                <c:pt idx="15">
                  <c:v>854</c:v>
                </c:pt>
                <c:pt idx="16">
                  <c:v>0</c:v>
                </c:pt>
                <c:pt idx="17">
                  <c:v>7119</c:v>
                </c:pt>
              </c:numCache>
            </c:numRef>
          </c:val>
        </c:ser>
        <c:gapWidth val="60"/>
        <c:overlap val="0"/>
        <c:axId val="10559668"/>
        <c:axId val="89773433"/>
      </c:barChart>
      <c:catAx>
        <c:axId val="105596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773433"/>
        <c:crosses val="autoZero"/>
        <c:auto val="1"/>
        <c:lblAlgn val="ctr"/>
        <c:lblOffset val="100"/>
        <c:noMultiLvlLbl val="0"/>
      </c:catAx>
      <c:valAx>
        <c:axId val="89773433"/>
        <c:scaling>
          <c:orientation val="minMax"/>
          <c:min val="0"/>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5596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Bester e1RM je Übung (kg)</a:t>
            </a:r>
          </a:p>
        </c:rich>
      </c:tx>
      <c:overlay val="0"/>
      <c:spPr>
        <a:noFill/>
        <a:ln w="0">
          <a:noFill/>
        </a:ln>
      </c:spPr>
    </c:title>
    <c:autoTitleDeleted val="0"/>
    <c:plotArea>
      <c:barChart>
        <c:barDir val="bar"/>
        <c:grouping val="clustered"/>
        <c:varyColors val="0"/>
        <c:ser>
          <c:idx val="0"/>
          <c:order val="0"/>
          <c:tx>
            <c:strRef>
              <c:f>Rekorde!H3</c:f>
              <c:strCache>
                <c:ptCount val="1"/>
                <c:pt idx="0">
                  <c:v>Bester e1RM
(kg)</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Rekorde!$A$4:$A$21</c:f>
              <c:strCache>
                <c:ptCount val="18"/>
                <c:pt idx="0">
                  <c:v>Beinpresse eng</c:v>
                </c:pt>
                <c:pt idx="1">
                  <c:v>Split Squat</c:v>
                </c:pt>
                <c:pt idx="2">
                  <c:v>Beinstrecker</c:v>
                </c:pt>
                <c:pt idx="3">
                  <c:v>Adduktion</c:v>
                </c:pt>
                <c:pt idx="4">
                  <c:v>Reverse V-Squat</c:v>
                </c:pt>
                <c:pt idx="5">
                  <c:v>Rumänisches Kreuzheben</c:v>
                </c:pt>
                <c:pt idx="6">
                  <c:v>Rumänisches Kreuzheben KH</c:v>
                </c:pt>
                <c:pt idx="7">
                  <c:v>Beinpresse breit</c:v>
                </c:pt>
                <c:pt idx="8">
                  <c:v>Hip Thrust</c:v>
                </c:pt>
                <c:pt idx="9">
                  <c:v>Hip &amp; Glute</c:v>
                </c:pt>
                <c:pt idx="10">
                  <c:v>Beinbeuger</c:v>
                </c:pt>
                <c:pt idx="11">
                  <c:v>Seitliche Kickbacks</c:v>
                </c:pt>
                <c:pt idx="12">
                  <c:v>Waden</c:v>
                </c:pt>
                <c:pt idx="13">
                  <c:v>Squat Maschine Bülach</c:v>
                </c:pt>
                <c:pt idx="14">
                  <c:v>Hip Thrust Bülach</c:v>
                </c:pt>
                <c:pt idx="15">
                  <c:v>Beinbeuger Bülach</c:v>
                </c:pt>
                <c:pt idx="16">
                  <c:v>Lunges</c:v>
                </c:pt>
                <c:pt idx="17">
                  <c:v>Kickback</c:v>
                </c:pt>
              </c:strCache>
            </c:strRef>
          </c:cat>
          <c:val>
            <c:numRef>
              <c:f>Rekorde!$H$4:$H$21</c:f>
              <c:numCache>
                <c:formatCode>#,##0.0;\-#,##0.0;\–</c:formatCode>
                <c:ptCount val="18"/>
                <c:pt idx="0">
                  <c:v>440</c:v>
                </c:pt>
                <c:pt idx="1">
                  <c:v>144</c:v>
                </c:pt>
                <c:pt idx="2">
                  <c:v>114</c:v>
                </c:pt>
                <c:pt idx="3">
                  <c:v>279.583333333333</c:v>
                </c:pt>
                <c:pt idx="4">
                  <c:v>252</c:v>
                </c:pt>
                <c:pt idx="5">
                  <c:v>166.5</c:v>
                </c:pt>
                <c:pt idx="6">
                  <c:v>39.6666666666667</c:v>
                </c:pt>
                <c:pt idx="8">
                  <c:v>367.333333333333</c:v>
                </c:pt>
                <c:pt idx="9">
                  <c:v>234.666666666667</c:v>
                </c:pt>
                <c:pt idx="10">
                  <c:v>73.3333333333333</c:v>
                </c:pt>
                <c:pt idx="11">
                  <c:v>68.6</c:v>
                </c:pt>
                <c:pt idx="12">
                  <c:v>224</c:v>
                </c:pt>
                <c:pt idx="13">
                  <c:v>156</c:v>
                </c:pt>
                <c:pt idx="14">
                  <c:v>266.666666666667</c:v>
                </c:pt>
                <c:pt idx="15">
                  <c:v>70.8</c:v>
                </c:pt>
                <c:pt idx="17">
                  <c:v>117.6</c:v>
                </c:pt>
              </c:numCache>
            </c:numRef>
          </c:val>
        </c:ser>
        <c:gapWidth val="60"/>
        <c:overlap val="0"/>
        <c:axId val="57553396"/>
        <c:axId val="41186653"/>
      </c:barChart>
      <c:catAx>
        <c:axId val="5755339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186653"/>
        <c:crosses val="autoZero"/>
        <c:auto val="1"/>
        <c:lblAlgn val="ctr"/>
        <c:lblOffset val="100"/>
        <c:noMultiLvlLbl val="0"/>
      </c:catAx>
      <c:valAx>
        <c:axId val="41186653"/>
        <c:scaling>
          <c:orientation val="minMax"/>
          <c:min val="0"/>
        </c:scaling>
        <c:delete val="0"/>
        <c:axPos val="l"/>
        <c:majorGridlines>
          <c:spPr>
            <a:ln w="9360">
              <a:solidFill>
                <a:srgbClr val="878787"/>
              </a:solidFill>
              <a:round/>
            </a:ln>
          </c:spPr>
        </c:majorGridlines>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55339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13</xdr:row>
      <xdr:rowOff>0</xdr:rowOff>
    </xdr:from>
    <xdr:to>
      <xdr:col>4</xdr:col>
      <xdr:colOff>327240</xdr:colOff>
      <xdr:row>29</xdr:row>
      <xdr:rowOff>145080</xdr:rowOff>
    </xdr:to>
    <xdr:graphicFrame>
      <xdr:nvGraphicFramePr>
        <xdr:cNvPr id="0" name="Chart 1"/>
        <xdr:cNvGraphicFramePr/>
      </xdr:nvGraphicFramePr>
      <xdr:xfrm>
        <a:off x="177840" y="3324240"/>
        <a:ext cx="3527640" cy="3383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13</xdr:row>
      <xdr:rowOff>0</xdr:rowOff>
    </xdr:from>
    <xdr:to>
      <xdr:col>8</xdr:col>
      <xdr:colOff>327240</xdr:colOff>
      <xdr:row>29</xdr:row>
      <xdr:rowOff>145080</xdr:rowOff>
    </xdr:to>
    <xdr:graphicFrame>
      <xdr:nvGraphicFramePr>
        <xdr:cNvPr id="1" name="Chart 2"/>
        <xdr:cNvGraphicFramePr/>
      </xdr:nvGraphicFramePr>
      <xdr:xfrm>
        <a:off x="5245200" y="3324240"/>
        <a:ext cx="3527640" cy="3383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32</xdr:row>
      <xdr:rowOff>0</xdr:rowOff>
    </xdr:from>
    <xdr:to>
      <xdr:col>4</xdr:col>
      <xdr:colOff>327240</xdr:colOff>
      <xdr:row>49</xdr:row>
      <xdr:rowOff>145080</xdr:rowOff>
    </xdr:to>
    <xdr:graphicFrame>
      <xdr:nvGraphicFramePr>
        <xdr:cNvPr id="2" name="Chart 3"/>
        <xdr:cNvGraphicFramePr/>
      </xdr:nvGraphicFramePr>
      <xdr:xfrm>
        <a:off x="177840" y="7134120"/>
        <a:ext cx="3527640" cy="3383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32</xdr:row>
      <xdr:rowOff>0</xdr:rowOff>
    </xdr:from>
    <xdr:to>
      <xdr:col>8</xdr:col>
      <xdr:colOff>327240</xdr:colOff>
      <xdr:row>49</xdr:row>
      <xdr:rowOff>145080</xdr:rowOff>
    </xdr:to>
    <xdr:graphicFrame>
      <xdr:nvGraphicFramePr>
        <xdr:cNvPr id="3" name="Chart 4"/>
        <xdr:cNvGraphicFramePr/>
      </xdr:nvGraphicFramePr>
      <xdr:xfrm>
        <a:off x="5245200" y="7134120"/>
        <a:ext cx="3527640" cy="3383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5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3" min="3" style="0" width="30"/>
    <col collapsed="false" customWidth="true" hidden="false" outlineLevel="0" max="5" min="4" style="0" width="22"/>
    <col collapsed="false" customWidth="true" hidden="false" outlineLevel="0" max="6" min="6" style="0" width="2"/>
  </cols>
  <sheetData>
    <row r="1" customFormat="false" ht="30" hidden="false" customHeight="true" outlineLevel="0" collapsed="false">
      <c r="B1" s="1" t="s">
        <v>0</v>
      </c>
      <c r="C1" s="1"/>
      <c r="D1" s="1"/>
      <c r="E1" s="1"/>
    </row>
    <row r="2" customFormat="false" ht="15" hidden="false" customHeight="true" outlineLevel="0" collapsed="false">
      <c r="B2" s="2" t="s">
        <v>1</v>
      </c>
      <c r="C2" s="2"/>
      <c r="D2" s="2"/>
      <c r="E2" s="2"/>
    </row>
    <row r="4" customFormat="false" ht="19.5" hidden="false" customHeight="true" outlineLevel="0" collapsed="false">
      <c r="B4" s="3" t="s">
        <v>2</v>
      </c>
      <c r="C4" s="3"/>
      <c r="D4" s="3"/>
      <c r="E4" s="3"/>
    </row>
    <row r="5" customFormat="false" ht="15" hidden="false" customHeight="false" outlineLevel="0" collapsed="false">
      <c r="B5" s="4" t="s">
        <v>3</v>
      </c>
      <c r="C5" s="5" t="n">
        <f aca="false">COUNT(Einheiten!$I$4:$I$63)</f>
        <v>17</v>
      </c>
      <c r="D5" s="5"/>
      <c r="E5" s="5"/>
    </row>
    <row r="6" customFormat="false" ht="15" hidden="false" customHeight="false" outlineLevel="0" collapsed="false">
      <c r="B6" s="4" t="s">
        <v>4</v>
      </c>
      <c r="C6" s="5" t="n">
        <f aca="false">COUNTA(Log!$E$4:$E$1203)</f>
        <v>360</v>
      </c>
      <c r="D6" s="5"/>
      <c r="E6" s="5"/>
    </row>
    <row r="7" customFormat="false" ht="15" hidden="false" customHeight="false" outlineLevel="0" collapsed="false">
      <c r="B7" s="4" t="s">
        <v>5</v>
      </c>
      <c r="C7" s="6" t="n">
        <f aca="false">IFERROR(SUM(Log!$I$4:$I$1203)/1000,0)</f>
        <v>271.227</v>
      </c>
      <c r="D7" s="6"/>
      <c r="E7" s="6"/>
    </row>
    <row r="8" customFormat="false" ht="15" hidden="false" customHeight="false" outlineLevel="0" collapsed="false">
      <c r="B8" s="4" t="s">
        <v>6</v>
      </c>
      <c r="C8" s="6" t="n">
        <f aca="false">SUMPRODUCT(MAX((Log!$E$4:$E$1203="A")*(Log!$F$4:$F$1203&lt;&gt;"")*Log!$F$4:$F$1203))</f>
        <v>333</v>
      </c>
      <c r="D8" s="6"/>
      <c r="E8" s="6"/>
    </row>
    <row r="10" customFormat="false" ht="54.75" hidden="false" customHeight="true" outlineLevel="0" collapsed="false">
      <c r="B10" s="7" t="s">
        <v>7</v>
      </c>
      <c r="C10" s="7"/>
      <c r="D10" s="7"/>
      <c r="E10" s="7"/>
    </row>
    <row r="12" customFormat="false" ht="19.5" hidden="false" customHeight="true" outlineLevel="0" collapsed="false">
      <c r="B12" s="3" t="s">
        <v>8</v>
      </c>
      <c r="C12" s="3"/>
      <c r="D12" s="3"/>
      <c r="E12" s="3"/>
    </row>
    <row r="13" customFormat="false" ht="30" hidden="false" customHeight="true" outlineLevel="0" collapsed="false">
      <c r="B13" s="8" t="s">
        <v>9</v>
      </c>
      <c r="C13" s="9" t="s">
        <v>10</v>
      </c>
      <c r="D13" s="9"/>
      <c r="E13" s="9"/>
    </row>
    <row r="14" customFormat="false" ht="30" hidden="false" customHeight="true" outlineLevel="0" collapsed="false">
      <c r="B14" s="8" t="s">
        <v>11</v>
      </c>
      <c r="C14" s="9" t="s">
        <v>12</v>
      </c>
      <c r="D14" s="9"/>
      <c r="E14" s="9"/>
    </row>
    <row r="15" customFormat="false" ht="54.75" hidden="false" customHeight="true" outlineLevel="0" collapsed="false">
      <c r="B15" s="8" t="s">
        <v>13</v>
      </c>
      <c r="C15" s="9" t="s">
        <v>14</v>
      </c>
      <c r="D15" s="9"/>
      <c r="E15" s="9"/>
    </row>
    <row r="16" customFormat="false" ht="42" hidden="false" customHeight="true" outlineLevel="0" collapsed="false">
      <c r="B16" s="8" t="s">
        <v>15</v>
      </c>
      <c r="C16" s="9" t="s">
        <v>16</v>
      </c>
      <c r="D16" s="9"/>
      <c r="E16" s="9"/>
    </row>
    <row r="17" customFormat="false" ht="30" hidden="false" customHeight="true" outlineLevel="0" collapsed="false">
      <c r="B17" s="8" t="s">
        <v>17</v>
      </c>
      <c r="C17" s="9" t="s">
        <v>18</v>
      </c>
      <c r="D17" s="9"/>
      <c r="E17" s="9"/>
    </row>
    <row r="18" customFormat="false" ht="30" hidden="false" customHeight="true" outlineLevel="0" collapsed="false">
      <c r="B18" s="8" t="s">
        <v>19</v>
      </c>
      <c r="C18" s="9" t="s">
        <v>20</v>
      </c>
      <c r="D18" s="9"/>
      <c r="E18" s="9"/>
    </row>
    <row r="19" customFormat="false" ht="54.75" hidden="false" customHeight="true" outlineLevel="0" collapsed="false">
      <c r="B19" s="8" t="s">
        <v>21</v>
      </c>
      <c r="C19" s="9" t="s">
        <v>22</v>
      </c>
      <c r="D19" s="9"/>
      <c r="E19" s="9"/>
    </row>
    <row r="20" customFormat="false" ht="17.25" hidden="false" customHeight="true" outlineLevel="0" collapsed="false">
      <c r="B20" s="8" t="s">
        <v>23</v>
      </c>
      <c r="C20" s="9" t="s">
        <v>24</v>
      </c>
      <c r="D20" s="9"/>
      <c r="E20" s="9"/>
    </row>
    <row r="21" customFormat="false" ht="67.5" hidden="false" customHeight="true" outlineLevel="0" collapsed="false">
      <c r="B21" s="8" t="s">
        <v>25</v>
      </c>
      <c r="C21" s="9" t="s">
        <v>26</v>
      </c>
      <c r="D21" s="9"/>
      <c r="E21" s="9"/>
    </row>
    <row r="22" customFormat="false" ht="42" hidden="false" customHeight="true" outlineLevel="0" collapsed="false">
      <c r="B22" s="8" t="s">
        <v>27</v>
      </c>
      <c r="C22" s="9" t="s">
        <v>28</v>
      </c>
      <c r="D22" s="9"/>
      <c r="E22" s="9"/>
    </row>
    <row r="23" customFormat="false" ht="30" hidden="false" customHeight="true" outlineLevel="0" collapsed="false">
      <c r="B23" s="8" t="s">
        <v>29</v>
      </c>
      <c r="C23" s="9" t="s">
        <v>30</v>
      </c>
      <c r="D23" s="9"/>
      <c r="E23" s="9"/>
    </row>
    <row r="24" customFormat="false" ht="42" hidden="false" customHeight="true" outlineLevel="0" collapsed="false">
      <c r="B24" s="8" t="s">
        <v>31</v>
      </c>
      <c r="C24" s="9" t="s">
        <v>32</v>
      </c>
      <c r="D24" s="9"/>
      <c r="E24" s="9"/>
    </row>
    <row r="25" customFormat="false" ht="129.75" hidden="false" customHeight="true" outlineLevel="0" collapsed="false">
      <c r="B25" s="8" t="s">
        <v>33</v>
      </c>
      <c r="C25" s="9" t="s">
        <v>34</v>
      </c>
      <c r="D25" s="9"/>
      <c r="E25" s="9"/>
    </row>
    <row r="27" customFormat="false" ht="19.5" hidden="false" customHeight="true" outlineLevel="0" collapsed="false">
      <c r="B27" s="3" t="s">
        <v>35</v>
      </c>
      <c r="C27" s="3"/>
      <c r="D27" s="3"/>
      <c r="E27" s="3"/>
    </row>
    <row r="28" customFormat="false" ht="17.25" hidden="false" customHeight="true" outlineLevel="0" collapsed="false">
      <c r="B28" s="10" t="s">
        <v>36</v>
      </c>
      <c r="C28" s="9" t="s">
        <v>37</v>
      </c>
      <c r="D28" s="9"/>
      <c r="E28" s="9"/>
    </row>
    <row r="29" customFormat="false" ht="17.25" hidden="false" customHeight="true" outlineLevel="0" collapsed="false">
      <c r="B29" s="8" t="s">
        <v>38</v>
      </c>
      <c r="C29" s="9" t="s">
        <v>39</v>
      </c>
      <c r="D29" s="9"/>
      <c r="E29" s="9"/>
    </row>
    <row r="30" customFormat="false" ht="17.25" hidden="false" customHeight="true" outlineLevel="0" collapsed="false">
      <c r="B30" s="8" t="s">
        <v>40</v>
      </c>
      <c r="C30" s="9" t="s">
        <v>41</v>
      </c>
      <c r="D30" s="9"/>
      <c r="E30" s="9"/>
    </row>
    <row r="31" customFormat="false" ht="17.25" hidden="false" customHeight="true" outlineLevel="0" collapsed="false">
      <c r="B31" s="8" t="s">
        <v>42</v>
      </c>
      <c r="C31" s="9" t="s">
        <v>43</v>
      </c>
      <c r="D31" s="9"/>
      <c r="E31" s="9"/>
    </row>
    <row r="32" customFormat="false" ht="30" hidden="false" customHeight="true" outlineLevel="0" collapsed="false">
      <c r="B32" s="8" t="s">
        <v>44</v>
      </c>
      <c r="C32" s="9" t="s">
        <v>45</v>
      </c>
      <c r="D32" s="9"/>
      <c r="E32" s="9"/>
    </row>
    <row r="33" customFormat="false" ht="17.25" hidden="false" customHeight="true" outlineLevel="0" collapsed="false">
      <c r="B33" s="8" t="s">
        <v>46</v>
      </c>
      <c r="C33" s="9" t="s">
        <v>47</v>
      </c>
      <c r="D33" s="9"/>
      <c r="E33" s="9"/>
    </row>
    <row r="34" customFormat="false" ht="30" hidden="false" customHeight="true" outlineLevel="0" collapsed="false">
      <c r="B34" s="8" t="s">
        <v>48</v>
      </c>
      <c r="C34" s="9" t="s">
        <v>49</v>
      </c>
      <c r="D34" s="9"/>
      <c r="E34" s="9"/>
    </row>
    <row r="35" customFormat="false" ht="30" hidden="false" customHeight="true" outlineLevel="0" collapsed="false">
      <c r="B35" s="8" t="s">
        <v>50</v>
      </c>
      <c r="C35" s="9" t="s">
        <v>51</v>
      </c>
      <c r="D35" s="9"/>
      <c r="E35" s="9"/>
    </row>
    <row r="36" customFormat="false" ht="30" hidden="false" customHeight="true" outlineLevel="0" collapsed="false">
      <c r="B36" s="8" t="s">
        <v>52</v>
      </c>
      <c r="C36" s="9" t="s">
        <v>53</v>
      </c>
      <c r="D36" s="9"/>
      <c r="E36" s="9"/>
    </row>
    <row r="37" customFormat="false" ht="79.5" hidden="false" customHeight="true" outlineLevel="0" collapsed="false">
      <c r="B37" s="8" t="s">
        <v>54</v>
      </c>
      <c r="C37" s="9" t="s">
        <v>55</v>
      </c>
      <c r="D37" s="9"/>
      <c r="E37" s="9"/>
    </row>
    <row r="38" customFormat="false" ht="67.5" hidden="false" customHeight="true" outlineLevel="0" collapsed="false">
      <c r="B38" s="8" t="s">
        <v>56</v>
      </c>
      <c r="C38" s="9" t="s">
        <v>57</v>
      </c>
      <c r="D38" s="9"/>
      <c r="E38" s="9"/>
    </row>
    <row r="39" customFormat="false" ht="67.5" hidden="false" customHeight="true" outlineLevel="0" collapsed="false">
      <c r="B39" s="8" t="s">
        <v>58</v>
      </c>
      <c r="C39" s="9" t="s">
        <v>59</v>
      </c>
      <c r="D39" s="9"/>
      <c r="E39" s="9"/>
    </row>
    <row r="40" customFormat="false" ht="92.25" hidden="false" customHeight="true" outlineLevel="0" collapsed="false">
      <c r="B40" s="8" t="s">
        <v>60</v>
      </c>
      <c r="C40" s="9" t="s">
        <v>61</v>
      </c>
      <c r="D40" s="9"/>
      <c r="E40" s="9"/>
    </row>
    <row r="41" customFormat="false" ht="30" hidden="false" customHeight="true" outlineLevel="0" collapsed="false">
      <c r="B41" s="8" t="s">
        <v>62</v>
      </c>
      <c r="C41" s="9" t="s">
        <v>63</v>
      </c>
      <c r="D41" s="9"/>
      <c r="E41" s="9"/>
    </row>
    <row r="43" customFormat="false" ht="19.5" hidden="false" customHeight="true" outlineLevel="0" collapsed="false">
      <c r="B43" s="3" t="s">
        <v>64</v>
      </c>
      <c r="C43" s="3"/>
      <c r="D43" s="3"/>
      <c r="E43" s="3"/>
    </row>
    <row r="44" customFormat="false" ht="30" hidden="false" customHeight="true" outlineLevel="0" collapsed="false">
      <c r="B44" s="11" t="s">
        <v>65</v>
      </c>
      <c r="C44" s="9" t="s">
        <v>66</v>
      </c>
      <c r="D44" s="9"/>
      <c r="E44" s="9"/>
    </row>
    <row r="45" customFormat="false" ht="30" hidden="false" customHeight="true" outlineLevel="0" collapsed="false">
      <c r="B45" s="11" t="s">
        <v>67</v>
      </c>
      <c r="C45" s="9" t="s">
        <v>68</v>
      </c>
      <c r="D45" s="9"/>
      <c r="E45" s="9"/>
    </row>
    <row r="46" customFormat="false" ht="17.25" hidden="false" customHeight="true" outlineLevel="0" collapsed="false">
      <c r="B46" s="11" t="s">
        <v>69</v>
      </c>
      <c r="C46" s="9" t="s">
        <v>70</v>
      </c>
      <c r="D46" s="9"/>
      <c r="E46" s="9"/>
    </row>
    <row r="47" customFormat="false" ht="30" hidden="false" customHeight="true" outlineLevel="0" collapsed="false">
      <c r="B47" s="11" t="s">
        <v>71</v>
      </c>
      <c r="C47" s="9" t="s">
        <v>72</v>
      </c>
      <c r="D47" s="9"/>
      <c r="E47" s="9"/>
    </row>
    <row r="48" customFormat="false" ht="30" hidden="false" customHeight="true" outlineLevel="0" collapsed="false">
      <c r="B48" s="11" t="s">
        <v>73</v>
      </c>
      <c r="C48" s="9" t="s">
        <v>74</v>
      </c>
      <c r="D48" s="9"/>
      <c r="E48" s="9"/>
    </row>
    <row r="49" customFormat="false" ht="30" hidden="false" customHeight="true" outlineLevel="0" collapsed="false">
      <c r="B49" s="11" t="s">
        <v>75</v>
      </c>
      <c r="C49" s="9" t="s">
        <v>76</v>
      </c>
      <c r="D49" s="9"/>
      <c r="E49" s="9"/>
    </row>
    <row r="50" customFormat="false" ht="54.75" hidden="false" customHeight="true" outlineLevel="0" collapsed="false">
      <c r="B50" s="11" t="s">
        <v>77</v>
      </c>
      <c r="C50" s="9" t="s">
        <v>78</v>
      </c>
      <c r="D50" s="9"/>
      <c r="E50" s="9"/>
    </row>
    <row r="51" customFormat="false" ht="42" hidden="false" customHeight="true" outlineLevel="0" collapsed="false">
      <c r="B51" s="11" t="s">
        <v>79</v>
      </c>
      <c r="C51" s="9" t="s">
        <v>80</v>
      </c>
      <c r="D51" s="9"/>
      <c r="E51" s="9"/>
    </row>
    <row r="52" customFormat="false" ht="42" hidden="false" customHeight="true" outlineLevel="0" collapsed="false">
      <c r="B52" s="11" t="s">
        <v>81</v>
      </c>
      <c r="C52" s="9" t="s">
        <v>82</v>
      </c>
      <c r="D52" s="9"/>
      <c r="E52" s="9"/>
    </row>
    <row r="53" customFormat="false" ht="54.75" hidden="false" customHeight="true" outlineLevel="0" collapsed="false">
      <c r="B53" s="11" t="s">
        <v>83</v>
      </c>
      <c r="C53" s="9" t="s">
        <v>84</v>
      </c>
      <c r="D53" s="9"/>
      <c r="E53" s="9"/>
    </row>
    <row r="55" customFormat="false" ht="15" hidden="false" customHeight="false" outlineLevel="0" collapsed="false">
      <c r="B55" s="12" t="s">
        <v>85</v>
      </c>
      <c r="C55" s="12"/>
      <c r="D55" s="12"/>
      <c r="E55" s="12"/>
    </row>
  </sheetData>
  <mergeCells count="49">
    <mergeCell ref="B1:E1"/>
    <mergeCell ref="B2:E2"/>
    <mergeCell ref="B4:E4"/>
    <mergeCell ref="C5:E5"/>
    <mergeCell ref="C6:E6"/>
    <mergeCell ref="C7:E7"/>
    <mergeCell ref="C8:E8"/>
    <mergeCell ref="B10:E10"/>
    <mergeCell ref="B12:E12"/>
    <mergeCell ref="C13:E13"/>
    <mergeCell ref="C14:E14"/>
    <mergeCell ref="C15:E15"/>
    <mergeCell ref="C16:E16"/>
    <mergeCell ref="C17:E17"/>
    <mergeCell ref="C18:E18"/>
    <mergeCell ref="C19:E19"/>
    <mergeCell ref="C20:E20"/>
    <mergeCell ref="C21:E21"/>
    <mergeCell ref="C22:E22"/>
    <mergeCell ref="C23:E23"/>
    <mergeCell ref="C24:E24"/>
    <mergeCell ref="C25:E25"/>
    <mergeCell ref="B27:E27"/>
    <mergeCell ref="C28:E28"/>
    <mergeCell ref="C29:E29"/>
    <mergeCell ref="C30:E30"/>
    <mergeCell ref="C31:E31"/>
    <mergeCell ref="C32:E32"/>
    <mergeCell ref="C33:E33"/>
    <mergeCell ref="C34:E34"/>
    <mergeCell ref="C35:E35"/>
    <mergeCell ref="C36:E36"/>
    <mergeCell ref="C37:E37"/>
    <mergeCell ref="C38:E38"/>
    <mergeCell ref="C39:E39"/>
    <mergeCell ref="C40:E40"/>
    <mergeCell ref="C41:E41"/>
    <mergeCell ref="B43:E43"/>
    <mergeCell ref="C44:E44"/>
    <mergeCell ref="C45:E45"/>
    <mergeCell ref="C46:E46"/>
    <mergeCell ref="C47:E47"/>
    <mergeCell ref="C48:E48"/>
    <mergeCell ref="C49:E49"/>
    <mergeCell ref="C50:E50"/>
    <mergeCell ref="C51:E51"/>
    <mergeCell ref="C52:E52"/>
    <mergeCell ref="C53:E53"/>
    <mergeCell ref="B55:E55"/>
  </mergeCells>
  <printOptions headings="false" gridLines="false" gridLinesSet="true" horizontalCentered="true" verticalCentered="false"/>
  <pageMargins left="0.5" right="0.4" top="0.7" bottom="0.6"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&amp;K808080Start</oddHeader>
    <oddFooter>&amp;L&amp;8 &amp;K808080Quelle: Löwin_Training_260727.pdf&amp;R&amp;8 &amp;K808080Seite &amp;P von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4"/>
    <col collapsed="false" customWidth="true" hidden="false" outlineLevel="0" max="3" min="3" style="0" width="26"/>
    <col collapsed="false" customWidth="true" hidden="false" outlineLevel="0" max="5" min="4" style="0" width="40"/>
  </cols>
  <sheetData>
    <row r="1" customFormat="false" ht="30" hidden="false" customHeight="true" outlineLevel="0" collapsed="false">
      <c r="B1" s="1" t="s">
        <v>86</v>
      </c>
      <c r="C1" s="1"/>
      <c r="D1" s="1"/>
      <c r="E1" s="1"/>
    </row>
    <row r="2" customFormat="false" ht="15" hidden="false" customHeight="true" outlineLevel="0" collapsed="false">
      <c r="B2" s="2" t="s">
        <v>87</v>
      </c>
      <c r="C2" s="2"/>
      <c r="D2" s="2"/>
      <c r="E2" s="2"/>
    </row>
    <row r="4" customFormat="false" ht="19.5" hidden="false" customHeight="true" outlineLevel="0" collapsed="false">
      <c r="B4" s="3" t="s">
        <v>88</v>
      </c>
      <c r="C4" s="3"/>
      <c r="D4" s="3"/>
      <c r="E4" s="3"/>
    </row>
    <row r="5" customFormat="false" ht="19.5" hidden="false" customHeight="true" outlineLevel="0" collapsed="false">
      <c r="B5" s="13" t="s">
        <v>89</v>
      </c>
      <c r="C5" s="13" t="s">
        <v>90</v>
      </c>
      <c r="D5" s="13" t="s">
        <v>91</v>
      </c>
      <c r="E5" s="13" t="s">
        <v>92</v>
      </c>
    </row>
    <row r="6" customFormat="false" ht="30" hidden="false" customHeight="true" outlineLevel="0" collapsed="false">
      <c r="B6" s="14" t="s">
        <v>93</v>
      </c>
      <c r="C6" s="15" t="s">
        <v>94</v>
      </c>
      <c r="D6" s="9" t="s">
        <v>95</v>
      </c>
      <c r="E6" s="9" t="s">
        <v>96</v>
      </c>
    </row>
    <row r="7" customFormat="false" ht="17.25" hidden="false" customHeight="true" outlineLevel="0" collapsed="false">
      <c r="B7" s="14" t="s">
        <v>97</v>
      </c>
      <c r="C7" s="16" t="s">
        <v>98</v>
      </c>
      <c r="D7" s="9" t="s">
        <v>99</v>
      </c>
      <c r="E7" s="9" t="s">
        <v>100</v>
      </c>
    </row>
    <row r="8" customFormat="false" ht="17.25" hidden="false" customHeight="true" outlineLevel="0" collapsed="false">
      <c r="B8" s="14" t="s">
        <v>101</v>
      </c>
      <c r="C8" s="16" t="s">
        <v>98</v>
      </c>
      <c r="D8" s="9" t="s">
        <v>102</v>
      </c>
      <c r="E8" s="9" t="s">
        <v>103</v>
      </c>
    </row>
    <row r="9" customFormat="false" ht="42" hidden="false" customHeight="true" outlineLevel="0" collapsed="false">
      <c r="B9" s="14" t="s">
        <v>104</v>
      </c>
      <c r="C9" s="15" t="s">
        <v>105</v>
      </c>
      <c r="D9" s="9" t="s">
        <v>106</v>
      </c>
      <c r="E9" s="9" t="s">
        <v>107</v>
      </c>
    </row>
    <row r="10" customFormat="false" ht="17.25" hidden="false" customHeight="true" outlineLevel="0" collapsed="false">
      <c r="B10" s="14" t="s">
        <v>108</v>
      </c>
      <c r="C10" s="16" t="s">
        <v>98</v>
      </c>
      <c r="D10" s="9" t="s">
        <v>102</v>
      </c>
      <c r="E10" s="9" t="s">
        <v>109</v>
      </c>
    </row>
    <row r="11" customFormat="false" ht="17.25" hidden="false" customHeight="true" outlineLevel="0" collapsed="false">
      <c r="B11" s="14" t="s">
        <v>110</v>
      </c>
      <c r="C11" s="16" t="s">
        <v>98</v>
      </c>
      <c r="D11" s="9" t="s">
        <v>111</v>
      </c>
      <c r="E11" s="9" t="s">
        <v>112</v>
      </c>
    </row>
    <row r="12" customFormat="false" ht="17.25" hidden="false" customHeight="true" outlineLevel="0" collapsed="false">
      <c r="B12" s="14" t="s">
        <v>113</v>
      </c>
      <c r="C12" s="16" t="s">
        <v>98</v>
      </c>
      <c r="D12" s="9" t="s">
        <v>114</v>
      </c>
      <c r="E12" s="9" t="s">
        <v>115</v>
      </c>
    </row>
    <row r="14" customFormat="false" ht="19.5" hidden="false" customHeight="true" outlineLevel="0" collapsed="false">
      <c r="B14" s="3" t="s">
        <v>116</v>
      </c>
      <c r="C14" s="3"/>
      <c r="D14" s="3"/>
      <c r="E14" s="3"/>
    </row>
    <row r="15" customFormat="false" ht="67.5" hidden="false" customHeight="true" outlineLevel="0" collapsed="false">
      <c r="B15" s="17" t="s">
        <v>117</v>
      </c>
      <c r="C15" s="17"/>
      <c r="D15" s="17"/>
      <c r="E15" s="17"/>
    </row>
    <row r="16" customFormat="false" ht="19.5" hidden="false" customHeight="true" outlineLevel="0" collapsed="false">
      <c r="B16" s="13" t="s">
        <v>118</v>
      </c>
      <c r="C16" s="13" t="s">
        <v>119</v>
      </c>
      <c r="D16" s="13" t="s">
        <v>120</v>
      </c>
      <c r="E16" s="13" t="s">
        <v>121</v>
      </c>
    </row>
    <row r="17" customFormat="false" ht="105" hidden="false" customHeight="true" outlineLevel="0" collapsed="false">
      <c r="B17" s="18" t="s">
        <v>122</v>
      </c>
      <c r="C17" s="9" t="s">
        <v>123</v>
      </c>
      <c r="D17" s="19" t="s">
        <v>124</v>
      </c>
      <c r="E17" s="9" t="s">
        <v>125</v>
      </c>
    </row>
    <row r="18" customFormat="false" ht="54.75" hidden="false" customHeight="true" outlineLevel="0" collapsed="false">
      <c r="B18" s="18" t="s">
        <v>126</v>
      </c>
      <c r="C18" s="9" t="s">
        <v>127</v>
      </c>
      <c r="D18" s="19" t="s">
        <v>128</v>
      </c>
      <c r="E18" s="9" t="s">
        <v>129</v>
      </c>
    </row>
    <row r="19" customFormat="false" ht="54.75" hidden="false" customHeight="true" outlineLevel="0" collapsed="false">
      <c r="B19" s="18" t="s">
        <v>130</v>
      </c>
      <c r="C19" s="9" t="s">
        <v>131</v>
      </c>
      <c r="D19" s="19" t="s">
        <v>132</v>
      </c>
      <c r="E19" s="9" t="s">
        <v>133</v>
      </c>
    </row>
    <row r="20" customFormat="false" ht="54.75" hidden="false" customHeight="true" outlineLevel="0" collapsed="false">
      <c r="B20" s="20" t="s">
        <v>134</v>
      </c>
      <c r="C20" s="9" t="s">
        <v>135</v>
      </c>
      <c r="D20" s="19" t="s">
        <v>136</v>
      </c>
      <c r="E20" s="9" t="s">
        <v>137</v>
      </c>
    </row>
    <row r="22" customFormat="false" ht="19.5" hidden="false" customHeight="true" outlineLevel="0" collapsed="false">
      <c r="B22" s="3" t="s">
        <v>138</v>
      </c>
      <c r="C22" s="3"/>
      <c r="D22" s="3"/>
      <c r="E22" s="3"/>
    </row>
    <row r="23" customFormat="false" ht="42" hidden="false" customHeight="true" outlineLevel="0" collapsed="false">
      <c r="B23" s="19" t="s">
        <v>139</v>
      </c>
      <c r="C23" s="9" t="s">
        <v>140</v>
      </c>
      <c r="D23" s="9"/>
      <c r="E23" s="9"/>
    </row>
    <row r="24" customFormat="false" ht="54.75" hidden="false" customHeight="true" outlineLevel="0" collapsed="false">
      <c r="B24" s="19" t="s">
        <v>141</v>
      </c>
      <c r="C24" s="9" t="s">
        <v>142</v>
      </c>
      <c r="D24" s="9"/>
      <c r="E24" s="9"/>
    </row>
    <row r="25" customFormat="false" ht="30" hidden="false" customHeight="true" outlineLevel="0" collapsed="false">
      <c r="B25" s="19" t="s">
        <v>143</v>
      </c>
      <c r="C25" s="9" t="s">
        <v>144</v>
      </c>
      <c r="D25" s="9"/>
      <c r="E25" s="9"/>
    </row>
    <row r="26" customFormat="false" ht="30" hidden="false" customHeight="true" outlineLevel="0" collapsed="false">
      <c r="B26" s="19" t="s">
        <v>145</v>
      </c>
      <c r="C26" s="9" t="s">
        <v>146</v>
      </c>
      <c r="D26" s="9"/>
      <c r="E26" s="9"/>
    </row>
    <row r="27" customFormat="false" ht="30" hidden="false" customHeight="true" outlineLevel="0" collapsed="false">
      <c r="B27" s="19" t="s">
        <v>147</v>
      </c>
      <c r="C27" s="9" t="s">
        <v>148</v>
      </c>
      <c r="D27" s="9"/>
      <c r="E27" s="9"/>
    </row>
    <row r="28" customFormat="false" ht="42" hidden="false" customHeight="true" outlineLevel="0" collapsed="false">
      <c r="B28" s="19" t="s">
        <v>149</v>
      </c>
      <c r="C28" s="9" t="s">
        <v>150</v>
      </c>
      <c r="D28" s="9"/>
      <c r="E28" s="9"/>
    </row>
    <row r="30" customFormat="false" ht="54.75" hidden="false" customHeight="true" outlineLevel="0" collapsed="false">
      <c r="B30" s="9" t="s">
        <v>151</v>
      </c>
      <c r="C30" s="9"/>
      <c r="D30" s="9"/>
      <c r="E30" s="9"/>
    </row>
    <row r="32" customFormat="false" ht="33.75" hidden="false" customHeight="true" outlineLevel="0" collapsed="false">
      <c r="B32" s="21" t="s">
        <v>152</v>
      </c>
      <c r="C32" s="21"/>
      <c r="D32" s="21"/>
      <c r="E32" s="21"/>
    </row>
  </sheetData>
  <mergeCells count="14">
    <mergeCell ref="B1:E1"/>
    <mergeCell ref="B2:E2"/>
    <mergeCell ref="B4:E4"/>
    <mergeCell ref="B14:E14"/>
    <mergeCell ref="B15:E15"/>
    <mergeCell ref="B22:E22"/>
    <mergeCell ref="C23:E23"/>
    <mergeCell ref="C24:E24"/>
    <mergeCell ref="C25:E25"/>
    <mergeCell ref="C26:E26"/>
    <mergeCell ref="C27:E27"/>
    <mergeCell ref="C28:E28"/>
    <mergeCell ref="B30:E30"/>
    <mergeCell ref="B32:E32"/>
  </mergeCells>
  <printOptions headings="false" gridLines="false" gridLinesSet="true" horizontalCentered="true" verticalCentered="false"/>
  <pageMargins left="0.5" right="0.4" top="0.7" bottom="0.6"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&amp;K808080Wochenplan</oddHeader>
    <oddFooter>&amp;L&amp;8 &amp;K808080Quelle: Löwin_Training_260727.pdf&amp;R&amp;8 &amp;K808080Seite &amp;P von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1"/>
    <col collapsed="false" customWidth="true" hidden="false" outlineLevel="0" max="3" min="3" style="0" width="13"/>
    <col collapsed="false" customWidth="true" hidden="false" outlineLevel="0" max="4" min="4" style="0" width="2"/>
    <col collapsed="false" customWidth="true" hidden="false" outlineLevel="0" max="5" min="5" style="0" width="21"/>
    <col collapsed="false" customWidth="true" hidden="false" outlineLevel="0" max="6" min="6" style="0" width="13"/>
    <col collapsed="false" customWidth="true" hidden="false" outlineLevel="0" max="7" min="7" style="0" width="2"/>
    <col collapsed="false" customWidth="true" hidden="false" outlineLevel="0" max="8" min="8" style="0" width="21"/>
    <col collapsed="false" customWidth="true" hidden="false" outlineLevel="0" max="9" min="9" style="0" width="13"/>
    <col collapsed="false" customWidth="true" hidden="false" outlineLevel="0" max="10" min="10" style="0" width="5"/>
  </cols>
  <sheetData>
    <row r="1" customFormat="false" ht="30" hidden="false" customHeight="true" outlineLevel="0" collapsed="false">
      <c r="A1" s="1" t="s">
        <v>153</v>
      </c>
      <c r="B1" s="1"/>
      <c r="C1" s="1"/>
      <c r="D1" s="1"/>
      <c r="E1" s="1"/>
      <c r="F1" s="1"/>
      <c r="G1" s="1"/>
      <c r="H1" s="1"/>
      <c r="I1" s="1"/>
      <c r="J1" s="1"/>
    </row>
    <row r="2" customFormat="false" ht="15" hidden="false" customHeight="true" outlineLevel="0" collapsed="false">
      <c r="A2" s="2" t="s">
        <v>154</v>
      </c>
      <c r="B2" s="2"/>
      <c r="C2" s="2"/>
      <c r="D2" s="2"/>
      <c r="E2" s="2"/>
      <c r="F2" s="2"/>
      <c r="G2" s="2"/>
      <c r="H2" s="2"/>
      <c r="I2" s="2"/>
      <c r="J2" s="2"/>
    </row>
    <row r="4" customFormat="false" ht="15.75" hidden="false" customHeight="true" outlineLevel="0" collapsed="false">
      <c r="B4" s="22" t="s">
        <v>155</v>
      </c>
      <c r="C4" s="22"/>
      <c r="E4" s="22" t="s">
        <v>4</v>
      </c>
      <c r="F4" s="22"/>
      <c r="H4" s="22" t="s">
        <v>156</v>
      </c>
      <c r="I4" s="22"/>
    </row>
    <row r="5" customFormat="false" ht="30" hidden="false" customHeight="true" outlineLevel="0" collapsed="false">
      <c r="B5" s="23" t="n">
        <f aca="false">COUNT(Einheiten!$I$4:$I$63)</f>
        <v>17</v>
      </c>
      <c r="C5" s="23"/>
      <c r="E5" s="23" t="n">
        <f aca="false">COUNTA(Log!$E$4:$E$1203)</f>
        <v>360</v>
      </c>
      <c r="F5" s="23"/>
      <c r="H5" s="23" t="n">
        <f aca="false">COUNTIF(Log!$E$4:$E$1203,"A")</f>
        <v>214</v>
      </c>
      <c r="I5" s="23"/>
    </row>
    <row r="7" customFormat="false" ht="15.75" hidden="false" customHeight="true" outlineLevel="0" collapsed="false">
      <c r="B7" s="22" t="s">
        <v>5</v>
      </c>
      <c r="C7" s="22"/>
      <c r="E7" s="22" t="s">
        <v>157</v>
      </c>
      <c r="F7" s="22"/>
      <c r="H7" s="22" t="s">
        <v>158</v>
      </c>
      <c r="I7" s="22"/>
    </row>
    <row r="8" customFormat="false" ht="30" hidden="false" customHeight="true" outlineLevel="0" collapsed="false">
      <c r="B8" s="24" t="n">
        <f aca="false">SUM(Log!$I$4:$I$1203)/1000</f>
        <v>271.227</v>
      </c>
      <c r="C8" s="24"/>
      <c r="E8" s="24" t="n">
        <f aca="false">SUMIF(Log!$E$4:$E$1203,"A",Log!$I$4:$I$1203)/1000</f>
        <v>251.3395</v>
      </c>
      <c r="F8" s="24"/>
      <c r="H8" s="23" t="n">
        <f aca="false">IFERROR(SUMIF(Log!$E$4:$E$1203,"A",Log!$I$4:$I$1203)/COUNT(Einheiten!$I$4:$I$63),"")</f>
        <v>14784.6764705882</v>
      </c>
      <c r="I8" s="23"/>
    </row>
    <row r="10" customFormat="false" ht="15.75" hidden="false" customHeight="true" outlineLevel="0" collapsed="false">
      <c r="B10" s="22" t="s">
        <v>159</v>
      </c>
      <c r="C10" s="22"/>
      <c r="E10" s="22" t="s">
        <v>160</v>
      </c>
      <c r="F10" s="22"/>
      <c r="H10" s="22" t="s">
        <v>161</v>
      </c>
      <c r="I10" s="22"/>
    </row>
    <row r="11" customFormat="false" ht="30" hidden="false" customHeight="true" outlineLevel="0" collapsed="false">
      <c r="B11" s="24" t="n">
        <f aca="false">SUMPRODUCT(MAX((Log!$E$4:$E$1203="A")*(Log!$F$4:$F$1203&lt;&gt;"")*Log!$F$4:$F$1203))</f>
        <v>333</v>
      </c>
      <c r="C11" s="24"/>
      <c r="E11" s="24" t="n">
        <f aca="false">MAX(Rekorde!$H$4:$H$23)</f>
        <v>440</v>
      </c>
      <c r="F11" s="24"/>
      <c r="H11" s="23" t="n">
        <f aca="false">COUNTIF(Übungen!$L$4:$L$23,"ja")</f>
        <v>15</v>
      </c>
      <c r="I11" s="23"/>
    </row>
    <row r="13" customFormat="false" ht="19.5" hidden="false" customHeight="true" outlineLevel="0" collapsed="false">
      <c r="B13" s="25" t="s">
        <v>162</v>
      </c>
      <c r="C13" s="25"/>
      <c r="D13" s="25"/>
      <c r="E13" s="26"/>
      <c r="F13" s="26"/>
      <c r="G13" s="26"/>
      <c r="H13" s="26"/>
      <c r="I13" s="26"/>
      <c r="J13" s="27"/>
    </row>
    <row r="14" customFormat="false" ht="30" hidden="false" customHeight="true" outlineLevel="0" collapsed="false">
      <c r="B14" s="23" t="n">
        <f aca="false">'OP-Countdown'!$C$4</f>
        <v>-8</v>
      </c>
      <c r="C14" s="23"/>
      <c r="E14" s="23" t="n">
        <f aca="false">'OP-Countdown'!$D$4</f>
        <v>-2</v>
      </c>
      <c r="F14" s="23"/>
      <c r="H14" s="23" t="n">
        <f aca="false">SUMPRODUCT(('OP-Countdown'!$C$8:$C$27&lt;&gt;"")*(N('OP-Countdown'!$C$8:$C$27&gt;0))*('OP-Countdown'!$F$8:$F$27&lt;&gt;"ja"))</f>
        <v>16</v>
      </c>
      <c r="I14" s="23"/>
    </row>
    <row r="53" customFormat="false" ht="15" hidden="false" customHeight="false" outlineLevel="0" collapsed="false">
      <c r="B53" s="28" t="s">
        <v>163</v>
      </c>
    </row>
  </sheetData>
  <mergeCells count="26">
    <mergeCell ref="A1:J1"/>
    <mergeCell ref="A2:J2"/>
    <mergeCell ref="B4:C4"/>
    <mergeCell ref="E4:F4"/>
    <mergeCell ref="H4:I4"/>
    <mergeCell ref="B5:C5"/>
    <mergeCell ref="E5:F5"/>
    <mergeCell ref="H5:I5"/>
    <mergeCell ref="B7:C7"/>
    <mergeCell ref="E7:F7"/>
    <mergeCell ref="H7:I7"/>
    <mergeCell ref="B8:C8"/>
    <mergeCell ref="E8:F8"/>
    <mergeCell ref="H8:I8"/>
    <mergeCell ref="B10:C10"/>
    <mergeCell ref="E10:F10"/>
    <mergeCell ref="H10:I10"/>
    <mergeCell ref="B11:C11"/>
    <mergeCell ref="E11:F11"/>
    <mergeCell ref="H11:I11"/>
    <mergeCell ref="B13:C13"/>
    <mergeCell ref="E13:F13"/>
    <mergeCell ref="H13:I13"/>
    <mergeCell ref="B14:C14"/>
    <mergeCell ref="E14:F14"/>
    <mergeCell ref="H14:I14"/>
  </mergeCells>
  <printOptions headings="false" gridLines="false" gridLinesSet="true" horizontalCentered="true" verticalCentered="false"/>
  <pageMargins left="0.5" right="0.4" top="0.7" bottom="0.6"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&amp;K808080Dashboard</oddHeader>
    <oddFooter>&amp;L&amp;8 &amp;K808080Quelle: Löwin_Training_260727.pdf&amp;R&amp;8 &amp;K808080Seite &amp;P von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4" min="2" style="0" width="13"/>
    <col collapsed="false" customWidth="true" hidden="false" outlineLevel="0" max="5" min="5" style="0" width="40"/>
    <col collapsed="false" customWidth="true" hidden="false" outlineLevel="0" max="6" min="6" style="0" width="14"/>
    <col collapsed="false" customWidth="true" hidden="false" outlineLevel="0" max="7" min="7" style="0" width="30"/>
  </cols>
  <sheetData>
    <row r="1" customFormat="false" ht="30" hidden="false" customHeight="true" outlineLevel="0" collapsed="false">
      <c r="A1" s="1" t="s">
        <v>164</v>
      </c>
      <c r="B1" s="1"/>
      <c r="C1" s="1"/>
      <c r="D1" s="1"/>
      <c r="E1" s="1"/>
      <c r="F1" s="1"/>
      <c r="G1" s="1"/>
    </row>
    <row r="2" customFormat="false" ht="15" hidden="false" customHeight="true" outlineLevel="0" collapsed="false">
      <c r="A2" s="2" t="s">
        <v>165</v>
      </c>
      <c r="B2" s="2"/>
      <c r="C2" s="2"/>
      <c r="D2" s="2"/>
      <c r="E2" s="2"/>
      <c r="F2" s="2"/>
      <c r="G2" s="2"/>
    </row>
    <row r="3" customFormat="false" ht="15" hidden="false" customHeight="false" outlineLevel="0" collapsed="false">
      <c r="C3" s="29" t="s">
        <v>166</v>
      </c>
      <c r="D3" s="29" t="s">
        <v>167</v>
      </c>
    </row>
    <row r="4" customFormat="false" ht="30" hidden="false" customHeight="true" outlineLevel="0" collapsed="false">
      <c r="A4" s="30" t="s">
        <v>168</v>
      </c>
      <c r="B4" s="31" t="n">
        <v>46295</v>
      </c>
      <c r="C4" s="32" t="n">
        <f aca="true">IF($B$4="","",$B$4-TODAY())</f>
        <v>-8</v>
      </c>
      <c r="D4" s="32" t="n">
        <f aca="true">IF($B$4="","",ROUNDUP(($B$4-TODAY())/7,0))</f>
        <v>-2</v>
      </c>
      <c r="E4" s="33" t="str">
        <f aca="true">IF($B$4="","",IF(TODAY()&gt;$B$4,"OP-Termin liegt zurück - ab jetzt die Reha-Fassung des Logbuchs verwenden.",IF($B$4-TODAY()&lt;=7,"Letzte Woche: Organisation abschliessen, Baseline messen, letzte schwere Einheit 2 bis 3 Tage vor der OP.",IF($B$4-TODAY()&lt;=14,"Zwei Wochen: Baseline jetzt messen, Checkliste abarbeiten, Reha-Fassung ausdrucken.",IF($B$4-TODAY()&lt;=28,"Letzte vier Wochen: Ersatzübungen einarbeiten und Baseline-Werte erfassen.","Normalbetrieb: regulär weitertrainieren, Werte sauber protokollieren.")))))</f>
        <v>OP-Termin liegt zurück - ab jetzt die Reha-Fassung des Logbuchs verwenden.</v>
      </c>
      <c r="F4" s="33"/>
      <c r="G4" s="33"/>
    </row>
    <row r="6" customFormat="false" ht="19.5" hidden="false" customHeight="true" outlineLevel="0" collapsed="false">
      <c r="A6" s="3" t="s">
        <v>169</v>
      </c>
      <c r="B6" s="3"/>
      <c r="C6" s="3"/>
      <c r="D6" s="3"/>
      <c r="E6" s="3"/>
      <c r="F6" s="3"/>
      <c r="G6" s="3"/>
    </row>
    <row r="7" customFormat="false" ht="30" hidden="false" customHeight="true" outlineLevel="0" collapsed="false">
      <c r="A7" s="13" t="s">
        <v>170</v>
      </c>
      <c r="B7" s="13" t="s">
        <v>171</v>
      </c>
      <c r="C7" s="13" t="s">
        <v>172</v>
      </c>
      <c r="D7" s="13" t="s">
        <v>173</v>
      </c>
      <c r="E7" s="13" t="s">
        <v>174</v>
      </c>
      <c r="F7" s="13" t="s">
        <v>175</v>
      </c>
      <c r="G7" s="13" t="s">
        <v>176</v>
      </c>
    </row>
    <row r="8" customFormat="false" ht="27.75" hidden="false" customHeight="true" outlineLevel="0" collapsed="false">
      <c r="A8" s="34" t="str">
        <f aca="false">IF(OR(Übungen!$A4="",Übungen!$L4="nein"),"",Übungen!$A4)</f>
        <v>Beinpresse eng</v>
      </c>
      <c r="B8" s="35" t="n">
        <f aca="false">IF(OR(Übungen!$A4="",Übungen!$L4="nein"),"",Übungen!$M4)</f>
        <v>6</v>
      </c>
      <c r="C8" s="35" t="n">
        <f aca="false">IF($B8="","",MAX(0,$B8-1))</f>
        <v>5</v>
      </c>
      <c r="D8" s="36" t="n">
        <f aca="false">IF(OR($B8="",$B$4=""),"",$B$4+($B8-1)*7)</f>
        <v>46330</v>
      </c>
      <c r="E8" s="37" t="str">
        <f aca="false">IF($A8="","",IF($C8&lt;=0,"kein Ausfall, läuft durch",Übungen!$O4))</f>
        <v>Beinstrecker und Beinbeuger sitzend, beide ab Woche 2 frei</v>
      </c>
      <c r="F8" s="38"/>
      <c r="G8" s="39"/>
    </row>
    <row r="9" customFormat="false" ht="27.75" hidden="false" customHeight="true" outlineLevel="0" collapsed="false">
      <c r="A9" s="40" t="str">
        <f aca="false">IF(OR(Übungen!$A5="",Übungen!$L5="nein"),"",Übungen!$A5)</f>
        <v>Split Squat</v>
      </c>
      <c r="B9" s="41" t="n">
        <f aca="false">IF(OR(Übungen!$A5="",Übungen!$L5="nein"),"",Übungen!$M5)</f>
        <v>12</v>
      </c>
      <c r="C9" s="41" t="n">
        <f aca="false">IF($B9="","",MAX(0,$B9-1))</f>
        <v>11</v>
      </c>
      <c r="D9" s="42" t="n">
        <f aca="false">IF(OR($B9="",$B$4=""),"",$B$4+($B9-1)*7)</f>
        <v>46372</v>
      </c>
      <c r="E9" s="9" t="str">
        <f aca="false">IF($A9="","",IF($C9&lt;=0,"kein Ausfall, läuft durch",Übungen!$O5))</f>
        <v>Beinpresse einbeinig ab Woche 6, Multipresse ohne Zusatzlast ab Woche 12</v>
      </c>
      <c r="F9" s="38"/>
      <c r="G9" s="39"/>
    </row>
    <row r="10" customFormat="false" ht="27.75" hidden="false" customHeight="true" outlineLevel="0" collapsed="false">
      <c r="A10" s="34" t="str">
        <f aca="false">IF(OR(Übungen!$A6="",Übungen!$L6="nein"),"",Übungen!$A6)</f>
        <v>Beinstrecker</v>
      </c>
      <c r="B10" s="35" t="n">
        <f aca="false">IF(OR(Übungen!$A6="",Übungen!$L6="nein"),"",Übungen!$M6)</f>
        <v>2</v>
      </c>
      <c r="C10" s="35" t="n">
        <f aca="false">IF($B10="","",MAX(0,$B10-1))</f>
        <v>1</v>
      </c>
      <c r="D10" s="36" t="n">
        <f aca="false">IF(OR($B10="",$B$4=""),"",$B$4+($B10-1)*7)</f>
        <v>46302</v>
      </c>
      <c r="E10" s="37" t="str">
        <f aca="false">IF($A10="","",IF($C10&lt;=0,"kein Ausfall, läuft durch",Übungen!$O6))</f>
        <v>keiner, ab Freigabe der Wunde nutzbar</v>
      </c>
      <c r="F10" s="38"/>
      <c r="G10" s="39"/>
    </row>
    <row r="11" customFormat="false" ht="27.75" hidden="false" customHeight="true" outlineLevel="0" collapsed="false">
      <c r="A11" s="40" t="str">
        <f aca="false">IF(OR(Übungen!$A7="",Übungen!$L7="nein"),"",Übungen!$A7)</f>
        <v>Adduktion</v>
      </c>
      <c r="B11" s="41" t="n">
        <f aca="false">IF(OR(Übungen!$A7="",Übungen!$L7="nein"),"",Übungen!$M7)</f>
        <v>2</v>
      </c>
      <c r="C11" s="41" t="n">
        <f aca="false">IF($B11="","",MAX(0,$B11-1))</f>
        <v>1</v>
      </c>
      <c r="D11" s="42" t="n">
        <f aca="false">IF(OR($B11="",$B$4=""),"",$B$4+($B11-1)*7)</f>
        <v>46302</v>
      </c>
      <c r="E11" s="9" t="str">
        <f aca="false">IF($A11="","",IF($C11&lt;=0,"kein Ausfall, läuft durch",Übungen!$O7))</f>
        <v>keiner, ab Freigabe der Wunde nutzbar</v>
      </c>
      <c r="F11" s="38"/>
      <c r="G11" s="39"/>
    </row>
    <row r="12" customFormat="false" ht="27.75" hidden="false" customHeight="true" outlineLevel="0" collapsed="false">
      <c r="A12" s="34" t="str">
        <f aca="false">IF(OR(Übungen!$A8="",Übungen!$L8="nein"),"",Übungen!$A8)</f>
        <v>Reverse V-Squat</v>
      </c>
      <c r="B12" s="35" t="n">
        <f aca="false">IF(OR(Übungen!$A8="",Übungen!$L8="nein"),"",Übungen!$M8)</f>
        <v>12</v>
      </c>
      <c r="C12" s="35" t="n">
        <f aca="false">IF($B12="","",MAX(0,$B12-1))</f>
        <v>11</v>
      </c>
      <c r="D12" s="36" t="n">
        <f aca="false">IF(OR($B12="",$B$4=""),"",$B$4+($B12-1)*7)</f>
        <v>46372</v>
      </c>
      <c r="E12" s="37" t="str">
        <f aca="false">IF($A12="","",IF($C12&lt;=0,"kein Ausfall, läuft durch",Übungen!$O8))</f>
        <v>Beinpresse enger Stand ab Woche 6</v>
      </c>
      <c r="F12" s="38"/>
      <c r="G12" s="39"/>
    </row>
    <row r="13" customFormat="false" ht="27.75" hidden="false" customHeight="true" outlineLevel="0" collapsed="false">
      <c r="A13" s="40" t="str">
        <f aca="false">IF(OR(Übungen!$A9="",Übungen!$L9="nein"),"",Übungen!$A9)</f>
        <v>Rumänisches Kreuzheben</v>
      </c>
      <c r="B13" s="41" t="n">
        <f aca="false">IF(OR(Übungen!$A9="",Übungen!$L9="nein"),"",Übungen!$M9)</f>
        <v>16</v>
      </c>
      <c r="C13" s="41" t="n">
        <f aca="false">IF($B13="","",MAX(0,$B13-1))</f>
        <v>15</v>
      </c>
      <c r="D13" s="42" t="n">
        <f aca="false">IF(OR($B13="",$B$4=""),"",$B$4+($B13-1)*7)</f>
        <v>46400</v>
      </c>
      <c r="E13" s="9" t="str">
        <f aca="false">IF($A13="","",IF($C13&lt;=0,"kein Ausfall, läuft durch",Übungen!$O9))</f>
        <v>Beinbeuger sitzend, Rückenstrecker mit vor der Brust gekreuzten Armen, Kabel-RDL mit Hüftgurt</v>
      </c>
      <c r="F13" s="38"/>
      <c r="G13" s="39"/>
    </row>
    <row r="14" customFormat="false" ht="27.75" hidden="false" customHeight="true" outlineLevel="0" collapsed="false">
      <c r="A14" s="34" t="str">
        <f aca="false">IF(OR(Übungen!$A10="",Übungen!$L10="nein"),"",Übungen!$A10)</f>
        <v>Rumänisches Kreuzheben KH</v>
      </c>
      <c r="B14" s="35" t="n">
        <f aca="false">IF(OR(Übungen!$A10="",Übungen!$L10="nein"),"",Übungen!$M10)</f>
        <v>16</v>
      </c>
      <c r="C14" s="35" t="n">
        <f aca="false">IF($B14="","",MAX(0,$B14-1))</f>
        <v>15</v>
      </c>
      <c r="D14" s="36" t="n">
        <f aca="false">IF(OR($B14="",$B$4=""),"",$B$4+($B14-1)*7)</f>
        <v>46400</v>
      </c>
      <c r="E14" s="37" t="str">
        <f aca="false">IF($A14="","",IF($C14&lt;=0,"kein Ausfall, läuft durch",Übungen!$O10))</f>
        <v>Beinbeuger sitzend, Rückenstrecker mit vor der Brust gekreuzten Armen, Kabel-RDL mit Hüftgurt</v>
      </c>
      <c r="F14" s="38"/>
      <c r="G14" s="39"/>
    </row>
    <row r="15" customFormat="false" ht="27.75" hidden="false" customHeight="true" outlineLevel="0" collapsed="false">
      <c r="A15" s="40" t="str">
        <f aca="false">IF(OR(Übungen!$A11="",Übungen!$L11="nein"),"",Übungen!$A11)</f>
        <v>Beinpresse breit</v>
      </c>
      <c r="B15" s="41" t="n">
        <f aca="false">IF(OR(Übungen!$A11="",Übungen!$L11="nein"),"",Übungen!$M11)</f>
        <v>6</v>
      </c>
      <c r="C15" s="41" t="n">
        <f aca="false">IF($B15="","",MAX(0,$B15-1))</f>
        <v>5</v>
      </c>
      <c r="D15" s="42" t="n">
        <f aca="false">IF(OR($B15="",$B$4=""),"",$B$4+($B15-1)*7)</f>
        <v>46330</v>
      </c>
      <c r="E15" s="9" t="str">
        <f aca="false">IF($A15="","",IF($C15&lt;=0,"kein Ausfall, läuft durch",Übungen!$O11))</f>
        <v>Beinstrecker und Beinbeuger sitzend, beide ab Woche 2 frei</v>
      </c>
      <c r="F15" s="38"/>
      <c r="G15" s="39"/>
    </row>
    <row r="16" customFormat="false" ht="27.75" hidden="false" customHeight="true" outlineLevel="0" collapsed="false">
      <c r="A16" s="34" t="str">
        <f aca="false">IF(OR(Übungen!$A12="",Übungen!$L12="nein"),"",Übungen!$A12)</f>
        <v>Hip Thrust</v>
      </c>
      <c r="B16" s="35" t="n">
        <f aca="false">IF(OR(Übungen!$A12="",Übungen!$L12="nein"),"",Übungen!$M12)</f>
        <v>12</v>
      </c>
      <c r="C16" s="35" t="n">
        <f aca="false">IF($B16="","",MAX(0,$B16-1))</f>
        <v>11</v>
      </c>
      <c r="D16" s="36" t="n">
        <f aca="false">IF(OR($B16="",$B$4=""),"",$B$4+($B16-1)*7)</f>
        <v>46372</v>
      </c>
      <c r="E16" s="37" t="str">
        <f aca="false">IF($A16="","",IF($C16&lt;=0,"kein Ausfall, läuft durch",Übungen!$O12))</f>
        <v>Hip &amp; Glute Maschine ab Woche 6</v>
      </c>
      <c r="F16" s="38"/>
      <c r="G16" s="39"/>
    </row>
    <row r="17" customFormat="false" ht="27.75" hidden="false" customHeight="true" outlineLevel="0" collapsed="false">
      <c r="A17" s="40" t="str">
        <f aca="false">IF(OR(Übungen!$A13="",Übungen!$L13="nein"),"",Übungen!$A13)</f>
        <v>Hip &amp; Glute</v>
      </c>
      <c r="B17" s="41" t="n">
        <f aca="false">IF(OR(Übungen!$A13="",Übungen!$L13="nein"),"",Übungen!$M13)</f>
        <v>6</v>
      </c>
      <c r="C17" s="41" t="n">
        <f aca="false">IF($B17="","",MAX(0,$B17-1))</f>
        <v>5</v>
      </c>
      <c r="D17" s="42" t="n">
        <f aca="false">IF(OR($B17="",$B$4=""),"",$B$4+($B17-1)*7)</f>
        <v>46330</v>
      </c>
      <c r="E17" s="9" t="str">
        <f aca="false">IF($A17="","",IF($C17&lt;=0,"kein Ausfall, läuft durch",Übungen!$O13))</f>
        <v>Beinbeuger sitzend, ab Woche 2 frei</v>
      </c>
      <c r="F17" s="38"/>
      <c r="G17" s="39"/>
    </row>
    <row r="18" customFormat="false" ht="27.75" hidden="false" customHeight="true" outlineLevel="0" collapsed="false">
      <c r="A18" s="34" t="str">
        <f aca="false">IF(OR(Übungen!$A14="",Übungen!$L14="nein"),"",Übungen!$A14)</f>
        <v>Beinbeuger</v>
      </c>
      <c r="B18" s="35" t="n">
        <f aca="false">IF(OR(Übungen!$A14="",Übungen!$L14="nein"),"",Übungen!$M14)</f>
        <v>2</v>
      </c>
      <c r="C18" s="35" t="n">
        <f aca="false">IF($B18="","",MAX(0,$B18-1))</f>
        <v>1</v>
      </c>
      <c r="D18" s="36" t="n">
        <f aca="false">IF(OR($B18="",$B$4=""),"",$B$4+($B18-1)*7)</f>
        <v>46302</v>
      </c>
      <c r="E18" s="37" t="str">
        <f aca="false">IF($A18="","",IF($C18&lt;=0,"kein Ausfall, läuft durch",Übungen!$O14))</f>
        <v>keiner, ab Freigabe der Wunde nutzbar</v>
      </c>
      <c r="F18" s="38"/>
      <c r="G18" s="39"/>
    </row>
    <row r="19" customFormat="false" ht="27.75" hidden="false" customHeight="true" outlineLevel="0" collapsed="false">
      <c r="A19" s="40" t="str">
        <f aca="false">IF(OR(Übungen!$A15="",Übungen!$L15="nein"),"",Übungen!$A15)</f>
        <v>Seitliche Kickbacks</v>
      </c>
      <c r="B19" s="41" t="n">
        <f aca="false">IF(OR(Übungen!$A15="",Übungen!$L15="nein"),"",Übungen!$M15)</f>
        <v>6</v>
      </c>
      <c r="C19" s="41" t="n">
        <f aca="false">IF($B19="","",MAX(0,$B19-1))</f>
        <v>5</v>
      </c>
      <c r="D19" s="42" t="n">
        <f aca="false">IF(OR($B19="",$B$4=""),"",$B$4+($B19-1)*7)</f>
        <v>46330</v>
      </c>
      <c r="E19" s="9" t="str">
        <f aca="false">IF($A19="","",IF($C19&lt;=0,"kein Ausfall, läuft durch",Übungen!$O15))</f>
        <v>Abduktion an der Maschine im Sitzen</v>
      </c>
      <c r="F19" s="38"/>
      <c r="G19" s="39"/>
    </row>
    <row r="20" customFormat="false" ht="27.75" hidden="false" customHeight="true" outlineLevel="0" collapsed="false">
      <c r="A20" s="34" t="str">
        <f aca="false">IF(OR(Übungen!$A16="",Übungen!$L16="nein"),"",Übungen!$A16)</f>
        <v>Waden</v>
      </c>
      <c r="B20" s="35" t="n">
        <f aca="false">IF(OR(Übungen!$A16="",Übungen!$L16="nein"),"",Übungen!$M16)</f>
        <v>2</v>
      </c>
      <c r="C20" s="35" t="n">
        <f aca="false">IF($B20="","",MAX(0,$B20-1))</f>
        <v>1</v>
      </c>
      <c r="D20" s="36" t="n">
        <f aca="false">IF(OR($B20="",$B$4=""),"",$B$4+($B20-1)*7)</f>
        <v>46302</v>
      </c>
      <c r="E20" s="37" t="str">
        <f aca="false">IF($A20="","",IF($C20&lt;=0,"kein Ausfall, läuft durch",Übungen!$O16))</f>
        <v>Wadenmaschine sitzend</v>
      </c>
      <c r="F20" s="38"/>
      <c r="G20" s="39"/>
    </row>
    <row r="21" customFormat="false" ht="27.75" hidden="false" customHeight="true" outlineLevel="0" collapsed="false">
      <c r="A21" s="40" t="str">
        <f aca="false">IF(OR(Übungen!$A17="",Übungen!$L17="nein"),"",Übungen!$A17)</f>
        <v>Squat Maschine Bülach</v>
      </c>
      <c r="B21" s="41" t="n">
        <f aca="false">IF(OR(Übungen!$A17="",Übungen!$L17="nein"),"",Übungen!$M17)</f>
        <v>12</v>
      </c>
      <c r="C21" s="41" t="n">
        <f aca="false">IF($B21="","",MAX(0,$B21-1))</f>
        <v>11</v>
      </c>
      <c r="D21" s="42" t="n">
        <f aca="false">IF(OR($B21="",$B$4=""),"",$B$4+($B21-1)*7)</f>
        <v>46372</v>
      </c>
      <c r="E21" s="9" t="str">
        <f aca="false">IF($A21="","",IF($C21&lt;=0,"kein Ausfall, läuft durch",Übungen!$O17))</f>
        <v>Beinpresse enger Stand ab Woche 6</v>
      </c>
      <c r="F21" s="38"/>
      <c r="G21" s="39"/>
    </row>
    <row r="22" customFormat="false" ht="27.75" hidden="false" customHeight="true" outlineLevel="0" collapsed="false">
      <c r="A22" s="34" t="str">
        <f aca="false">IF(OR(Übungen!$A18="",Übungen!$L18="nein"),"",Übungen!$A18)</f>
        <v>Hip Thrust Bülach</v>
      </c>
      <c r="B22" s="35" t="n">
        <f aca="false">IF(OR(Übungen!$A18="",Übungen!$L18="nein"),"",Übungen!$M18)</f>
        <v>12</v>
      </c>
      <c r="C22" s="35" t="n">
        <f aca="false">IF($B22="","",MAX(0,$B22-1))</f>
        <v>11</v>
      </c>
      <c r="D22" s="36" t="n">
        <f aca="false">IF(OR($B22="",$B$4=""),"",$B$4+($B22-1)*7)</f>
        <v>46372</v>
      </c>
      <c r="E22" s="37" t="str">
        <f aca="false">IF($A22="","",IF($C22&lt;=0,"kein Ausfall, läuft durch",Übungen!$O18))</f>
        <v>Hip &amp; Glute Maschine ab Woche 6</v>
      </c>
      <c r="F22" s="38"/>
      <c r="G22" s="39"/>
    </row>
    <row r="23" customFormat="false" ht="27.75" hidden="false" customHeight="true" outlineLevel="0" collapsed="false">
      <c r="A23" s="40" t="str">
        <f aca="false">IF(OR(Übungen!$A19="",Übungen!$L19="nein"),"",Übungen!$A19)</f>
        <v>Beinbeuger Bülach</v>
      </c>
      <c r="B23" s="41" t="n">
        <f aca="false">IF(OR(Übungen!$A19="",Übungen!$L19="nein"),"",Übungen!$M19)</f>
        <v>2</v>
      </c>
      <c r="C23" s="41" t="n">
        <f aca="false">IF($B23="","",MAX(0,$B23-1))</f>
        <v>1</v>
      </c>
      <c r="D23" s="42" t="n">
        <f aca="false">IF(OR($B23="",$B$4=""),"",$B$4+($B23-1)*7)</f>
        <v>46302</v>
      </c>
      <c r="E23" s="9" t="str">
        <f aca="false">IF($A23="","",IF($C23&lt;=0,"kein Ausfall, läuft durch",Übungen!$O19))</f>
        <v>keiner, ab Freigabe der Wunde nutzbar</v>
      </c>
      <c r="F23" s="38"/>
      <c r="G23" s="39"/>
    </row>
    <row r="24" customFormat="false" ht="27.75" hidden="false" customHeight="true" outlineLevel="0" collapsed="false">
      <c r="A24" s="34" t="str">
        <f aca="false">IF(OR(Übungen!$A20="",Übungen!$L20="nein"),"",Übungen!$A20)</f>
        <v/>
      </c>
      <c r="B24" s="35" t="str">
        <f aca="false">IF(OR(Übungen!$A20="",Übungen!$L20="nein"),"",Übungen!$M20)</f>
        <v/>
      </c>
      <c r="C24" s="35" t="str">
        <f aca="false">IF($B24="","",MAX(0,$B24-1))</f>
        <v/>
      </c>
      <c r="D24" s="36" t="str">
        <f aca="false">IF(OR($B24="",$B$4=""),"",$B$4+($B24-1)*7)</f>
        <v/>
      </c>
      <c r="E24" s="37" t="str">
        <f aca="false">IF($A24="","",IF($C24&lt;=0,"kein Ausfall, läuft durch",Übungen!$O20))</f>
        <v/>
      </c>
      <c r="F24" s="38"/>
      <c r="G24" s="39"/>
    </row>
    <row r="25" customFormat="false" ht="27.75" hidden="false" customHeight="true" outlineLevel="0" collapsed="false">
      <c r="A25" s="40" t="str">
        <f aca="false">IF(OR(Übungen!$A21="",Übungen!$L21="nein"),"",Übungen!$A21)</f>
        <v/>
      </c>
      <c r="B25" s="41" t="str">
        <f aca="false">IF(OR(Übungen!$A21="",Übungen!$L21="nein"),"",Übungen!$M21)</f>
        <v/>
      </c>
      <c r="C25" s="41" t="str">
        <f aca="false">IF($B25="","",MAX(0,$B25-1))</f>
        <v/>
      </c>
      <c r="D25" s="42" t="str">
        <f aca="false">IF(OR($B25="",$B$4=""),"",$B$4+($B25-1)*7)</f>
        <v/>
      </c>
      <c r="E25" s="9" t="str">
        <f aca="false">IF($A25="","",IF($C25&lt;=0,"kein Ausfall, läuft durch",Übungen!$O21))</f>
        <v/>
      </c>
      <c r="F25" s="38"/>
      <c r="G25" s="39"/>
    </row>
    <row r="26" customFormat="false" ht="27.75" hidden="false" customHeight="true" outlineLevel="0" collapsed="false">
      <c r="A26" s="34" t="str">
        <f aca="false">IF(OR(Übungen!$A22="",Übungen!$L22="nein"),"",Übungen!$A22)</f>
        <v/>
      </c>
      <c r="B26" s="35" t="str">
        <f aca="false">IF(OR(Übungen!$A22="",Übungen!$L22="nein"),"",Übungen!$M22)</f>
        <v/>
      </c>
      <c r="C26" s="35" t="str">
        <f aca="false">IF($B26="","",MAX(0,$B26-1))</f>
        <v/>
      </c>
      <c r="D26" s="36" t="str">
        <f aca="false">IF(OR($B26="",$B$4=""),"",$B$4+($B26-1)*7)</f>
        <v/>
      </c>
      <c r="E26" s="37" t="str">
        <f aca="false">IF($A26="","",IF($C26&lt;=0,"kein Ausfall, läuft durch",Übungen!$O22))</f>
        <v/>
      </c>
      <c r="F26" s="38"/>
      <c r="G26" s="39"/>
    </row>
    <row r="27" customFormat="false" ht="27.75" hidden="false" customHeight="true" outlineLevel="0" collapsed="false">
      <c r="A27" s="40" t="str">
        <f aca="false">IF(OR(Übungen!$A23="",Übungen!$L23="nein"),"",Übungen!$A23)</f>
        <v/>
      </c>
      <c r="B27" s="41" t="str">
        <f aca="false">IF(OR(Übungen!$A23="",Übungen!$L23="nein"),"",Übungen!$M23)</f>
        <v/>
      </c>
      <c r="C27" s="41" t="str">
        <f aca="false">IF($B27="","",MAX(0,$B27-1))</f>
        <v/>
      </c>
      <c r="D27" s="42" t="str">
        <f aca="false">IF(OR($B27="",$B$4=""),"",$B$4+($B27-1)*7)</f>
        <v/>
      </c>
      <c r="E27" s="9" t="str">
        <f aca="false">IF($A27="","",IF($C27&lt;=0,"kein Ausfall, läuft durch",Übungen!$O23))</f>
        <v/>
      </c>
      <c r="F27" s="38"/>
      <c r="G27" s="39"/>
    </row>
    <row r="29" customFormat="false" ht="39.75" hidden="false" customHeight="true" outlineLevel="0" collapsed="false">
      <c r="A29" s="43" t="s">
        <v>177</v>
      </c>
      <c r="B29" s="43"/>
      <c r="C29" s="43"/>
      <c r="D29" s="43"/>
      <c r="E29" s="43"/>
      <c r="F29" s="43"/>
      <c r="G29" s="43"/>
    </row>
    <row r="31" customFormat="false" ht="19.5" hidden="false" customHeight="true" outlineLevel="0" collapsed="false">
      <c r="A31" s="3" t="s">
        <v>178</v>
      </c>
      <c r="B31" s="3"/>
      <c r="C31" s="3"/>
      <c r="D31" s="3"/>
      <c r="E31" s="3"/>
      <c r="F31" s="3"/>
      <c r="G31" s="3"/>
    </row>
    <row r="32" customFormat="false" ht="30" hidden="false" customHeight="true" outlineLevel="0" collapsed="false">
      <c r="A32" s="19" t="s">
        <v>179</v>
      </c>
      <c r="B32" s="9" t="s">
        <v>180</v>
      </c>
      <c r="C32" s="9"/>
      <c r="D32" s="9"/>
      <c r="E32" s="9"/>
      <c r="F32" s="9"/>
      <c r="G32" s="9"/>
    </row>
    <row r="33" customFormat="false" ht="30" hidden="false" customHeight="true" outlineLevel="0" collapsed="false">
      <c r="A33" s="19" t="s">
        <v>181</v>
      </c>
      <c r="B33" s="9" t="s">
        <v>182</v>
      </c>
      <c r="C33" s="9"/>
      <c r="D33" s="9"/>
      <c r="E33" s="9"/>
      <c r="F33" s="9"/>
      <c r="G33" s="9"/>
    </row>
    <row r="34" customFormat="false" ht="30" hidden="false" customHeight="true" outlineLevel="0" collapsed="false">
      <c r="A34" s="19" t="s">
        <v>183</v>
      </c>
      <c r="B34" s="9" t="s">
        <v>184</v>
      </c>
      <c r="C34" s="9"/>
      <c r="D34" s="9"/>
      <c r="E34" s="9"/>
      <c r="F34" s="9"/>
      <c r="G34" s="9"/>
    </row>
    <row r="35" customFormat="false" ht="30" hidden="false" customHeight="true" outlineLevel="0" collapsed="false">
      <c r="A35" s="19" t="s">
        <v>185</v>
      </c>
      <c r="B35" s="9" t="s">
        <v>186</v>
      </c>
      <c r="C35" s="9"/>
      <c r="D35" s="9"/>
      <c r="E35" s="9"/>
      <c r="F35" s="9"/>
      <c r="G35" s="9"/>
    </row>
    <row r="37" customFormat="false" ht="30" hidden="false" customHeight="true" outlineLevel="0" collapsed="false">
      <c r="A37" s="21" t="s">
        <v>187</v>
      </c>
      <c r="B37" s="21"/>
      <c r="C37" s="21"/>
      <c r="D37" s="21"/>
      <c r="E37" s="21"/>
      <c r="F37" s="21"/>
      <c r="G37" s="21"/>
    </row>
  </sheetData>
  <mergeCells count="11">
    <mergeCell ref="A1:G1"/>
    <mergeCell ref="A2:G2"/>
    <mergeCell ref="E4:G4"/>
    <mergeCell ref="A6:G6"/>
    <mergeCell ref="A29:G29"/>
    <mergeCell ref="A31:G31"/>
    <mergeCell ref="B32:G32"/>
    <mergeCell ref="B33:G33"/>
    <mergeCell ref="B34:G34"/>
    <mergeCell ref="B35:G35"/>
    <mergeCell ref="A37:G37"/>
  </mergeCells>
  <conditionalFormatting sqref="A8:G27">
    <cfRule type="expression" priority="2" aboveAverage="0" equalAverage="0" bottom="0" percent="0" rank="0" text="" dxfId="0">
      <formula>AND($C8&lt;&gt;"",$C8&gt;=4)</formula>
    </cfRule>
  </conditionalFormatting>
  <conditionalFormatting sqref="F8:F27">
    <cfRule type="expression" priority="3" aboveAverage="0" equalAverage="0" bottom="0" percent="0" rank="0" text="" dxfId="1">
      <formula>$F8="ja"</formula>
    </cfRule>
  </conditionalFormatting>
  <dataValidations count="1">
    <dataValidation allowBlank="true" errorStyle="stop" operator="between" showDropDown="false" showErrorMessage="false" showInputMessage="false" sqref="F8:F27" type="list">
      <formula1>"ja,teilweise,nein"</formula1>
      <formula2>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&amp;K808080OP-Countdown</oddHeader>
    <oddFooter>&amp;L&amp;8 &amp;K808080Quelle: Löwin_Training_260727.pdf&amp;R&amp;8 &amp;K808080Seite &amp;P von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E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3"/>
    <col collapsed="false" customWidth="true" hidden="false" outlineLevel="0" max="4" min="4" style="0" width="12"/>
    <col collapsed="false" customWidth="true" hidden="false" outlineLevel="0" max="5" min="5" style="0" width="40"/>
  </cols>
  <sheetData>
    <row r="1" customFormat="false" ht="30" hidden="false" customHeight="true" outlineLevel="0" collapsed="false">
      <c r="B1" s="1" t="s">
        <v>188</v>
      </c>
      <c r="C1" s="1"/>
      <c r="D1" s="1"/>
      <c r="E1" s="1"/>
    </row>
    <row r="2" customFormat="false" ht="15" hidden="false" customHeight="true" outlineLevel="0" collapsed="false">
      <c r="B2" s="2" t="s">
        <v>189</v>
      </c>
      <c r="C2" s="2"/>
      <c r="D2" s="2"/>
      <c r="E2" s="2"/>
    </row>
    <row r="4" customFormat="false" ht="19.5" hidden="false" customHeight="true" outlineLevel="0" collapsed="false">
      <c r="B4" s="3" t="s">
        <v>190</v>
      </c>
      <c r="C4" s="3"/>
      <c r="D4" s="3"/>
      <c r="E4" s="3"/>
    </row>
    <row r="5" customFormat="false" ht="13.5" hidden="false" customHeight="true" outlineLevel="0" collapsed="false">
      <c r="B5" s="44" t="s">
        <v>191</v>
      </c>
      <c r="C5" s="44" t="s">
        <v>122</v>
      </c>
      <c r="D5" s="44" t="s">
        <v>192</v>
      </c>
      <c r="E5" s="44" t="s">
        <v>193</v>
      </c>
    </row>
    <row r="6" customFormat="false" ht="30" hidden="false" customHeight="true" outlineLevel="0" collapsed="false">
      <c r="B6" s="9" t="s">
        <v>194</v>
      </c>
      <c r="C6" s="38"/>
      <c r="D6" s="45"/>
      <c r="E6" s="46"/>
    </row>
    <row r="7" customFormat="false" ht="30" hidden="false" customHeight="true" outlineLevel="0" collapsed="false">
      <c r="B7" s="9" t="s">
        <v>195</v>
      </c>
      <c r="C7" s="38"/>
      <c r="D7" s="45"/>
      <c r="E7" s="46"/>
    </row>
    <row r="8" customFormat="false" ht="19.5" hidden="false" customHeight="true" outlineLevel="0" collapsed="false">
      <c r="B8" s="9" t="s">
        <v>196</v>
      </c>
      <c r="C8" s="38"/>
      <c r="D8" s="45"/>
      <c r="E8" s="46"/>
    </row>
    <row r="9" customFormat="false" ht="30" hidden="false" customHeight="true" outlineLevel="0" collapsed="false">
      <c r="B9" s="9" t="s">
        <v>197</v>
      </c>
      <c r="C9" s="38"/>
      <c r="D9" s="45"/>
      <c r="E9" s="46"/>
    </row>
    <row r="10" customFormat="false" ht="30" hidden="false" customHeight="true" outlineLevel="0" collapsed="false">
      <c r="B10" s="9" t="s">
        <v>198</v>
      </c>
      <c r="C10" s="38"/>
      <c r="D10" s="45"/>
      <c r="E10" s="46"/>
    </row>
    <row r="11" customFormat="false" ht="30" hidden="false" customHeight="true" outlineLevel="0" collapsed="false">
      <c r="B11" s="9" t="s">
        <v>199</v>
      </c>
      <c r="C11" s="38"/>
      <c r="D11" s="45"/>
      <c r="E11" s="46"/>
    </row>
    <row r="12" customFormat="false" ht="30" hidden="false" customHeight="true" outlineLevel="0" collapsed="false">
      <c r="B12" s="9" t="s">
        <v>200</v>
      </c>
      <c r="C12" s="38"/>
      <c r="D12" s="45"/>
      <c r="E12" s="46"/>
    </row>
    <row r="13" customFormat="false" ht="30" hidden="false" customHeight="true" outlineLevel="0" collapsed="false">
      <c r="B13" s="9" t="s">
        <v>201</v>
      </c>
      <c r="C13" s="38"/>
      <c r="D13" s="45"/>
      <c r="E13" s="46"/>
    </row>
    <row r="14" customFormat="false" ht="30" hidden="false" customHeight="true" outlineLevel="0" collapsed="false">
      <c r="B14" s="9" t="s">
        <v>202</v>
      </c>
      <c r="C14" s="38"/>
      <c r="D14" s="45"/>
      <c r="E14" s="46"/>
    </row>
    <row r="15" customFormat="false" ht="19.5" hidden="false" customHeight="true" outlineLevel="0" collapsed="false">
      <c r="B15" s="9" t="s">
        <v>203</v>
      </c>
      <c r="C15" s="38"/>
      <c r="D15" s="45"/>
      <c r="E15" s="46"/>
    </row>
    <row r="16" customFormat="false" ht="19.5" hidden="false" customHeight="true" outlineLevel="0" collapsed="false">
      <c r="B16" s="9" t="s">
        <v>204</v>
      </c>
      <c r="C16" s="38"/>
      <c r="D16" s="45"/>
      <c r="E16" s="46"/>
    </row>
    <row r="17" customFormat="false" ht="42" hidden="false" customHeight="true" outlineLevel="0" collapsed="false">
      <c r="B17" s="9" t="s">
        <v>205</v>
      </c>
      <c r="C17" s="38"/>
      <c r="D17" s="45"/>
      <c r="E17" s="46"/>
    </row>
    <row r="18" customFormat="false" ht="30" hidden="false" customHeight="true" outlineLevel="0" collapsed="false">
      <c r="B18" s="9" t="s">
        <v>206</v>
      </c>
      <c r="C18" s="38"/>
      <c r="D18" s="45"/>
      <c r="E18" s="46"/>
    </row>
    <row r="20" customFormat="false" ht="19.5" hidden="false" customHeight="true" outlineLevel="0" collapsed="false">
      <c r="B20" s="3" t="s">
        <v>207</v>
      </c>
      <c r="C20" s="3"/>
      <c r="D20" s="3"/>
      <c r="E20" s="3"/>
    </row>
    <row r="21" customFormat="false" ht="13.5" hidden="false" customHeight="true" outlineLevel="0" collapsed="false">
      <c r="B21" s="44" t="s">
        <v>191</v>
      </c>
      <c r="C21" s="44" t="s">
        <v>122</v>
      </c>
      <c r="D21" s="44" t="s">
        <v>192</v>
      </c>
      <c r="E21" s="44" t="s">
        <v>193</v>
      </c>
    </row>
    <row r="22" customFormat="false" ht="19.5" hidden="false" customHeight="true" outlineLevel="0" collapsed="false">
      <c r="B22" s="9" t="s">
        <v>208</v>
      </c>
      <c r="C22" s="38"/>
      <c r="D22" s="45"/>
      <c r="E22" s="46"/>
    </row>
    <row r="23" customFormat="false" ht="19.5" hidden="false" customHeight="true" outlineLevel="0" collapsed="false">
      <c r="B23" s="9" t="s">
        <v>209</v>
      </c>
      <c r="C23" s="38"/>
      <c r="D23" s="45"/>
      <c r="E23" s="46"/>
    </row>
    <row r="24" customFormat="false" ht="19.5" hidden="false" customHeight="true" outlineLevel="0" collapsed="false">
      <c r="B24" s="9" t="s">
        <v>210</v>
      </c>
      <c r="C24" s="38"/>
      <c r="D24" s="45"/>
      <c r="E24" s="46"/>
    </row>
    <row r="25" customFormat="false" ht="42" hidden="false" customHeight="true" outlineLevel="0" collapsed="false">
      <c r="B25" s="9" t="s">
        <v>211</v>
      </c>
      <c r="C25" s="38"/>
      <c r="D25" s="45"/>
      <c r="E25" s="46"/>
    </row>
    <row r="26" customFormat="false" ht="42" hidden="false" customHeight="true" outlineLevel="0" collapsed="false">
      <c r="B26" s="9" t="s">
        <v>212</v>
      </c>
      <c r="C26" s="38"/>
      <c r="D26" s="45"/>
      <c r="E26" s="46"/>
    </row>
    <row r="27" customFormat="false" ht="30" hidden="false" customHeight="true" outlineLevel="0" collapsed="false">
      <c r="B27" s="9" t="s">
        <v>213</v>
      </c>
      <c r="C27" s="38"/>
      <c r="D27" s="45"/>
      <c r="E27" s="46"/>
    </row>
    <row r="28" customFormat="false" ht="19.5" hidden="false" customHeight="true" outlineLevel="0" collapsed="false">
      <c r="B28" s="9" t="s">
        <v>214</v>
      </c>
      <c r="C28" s="38"/>
      <c r="D28" s="45"/>
      <c r="E28" s="46"/>
    </row>
    <row r="29" customFormat="false" ht="19.5" hidden="false" customHeight="true" outlineLevel="0" collapsed="false">
      <c r="B29" s="9" t="s">
        <v>215</v>
      </c>
      <c r="C29" s="38"/>
      <c r="D29" s="45"/>
      <c r="E29" s="46"/>
    </row>
    <row r="30" customFormat="false" ht="19.5" hidden="false" customHeight="true" outlineLevel="0" collapsed="false">
      <c r="B30" s="9" t="s">
        <v>216</v>
      </c>
      <c r="C30" s="38"/>
      <c r="D30" s="45"/>
      <c r="E30" s="46"/>
    </row>
    <row r="32" customFormat="false" ht="19.5" hidden="false" customHeight="true" outlineLevel="0" collapsed="false">
      <c r="B32" s="3" t="s">
        <v>217</v>
      </c>
      <c r="C32" s="3"/>
      <c r="D32" s="3"/>
      <c r="E32" s="3"/>
    </row>
    <row r="33" customFormat="false" ht="13.5" hidden="false" customHeight="true" outlineLevel="0" collapsed="false">
      <c r="B33" s="44" t="s">
        <v>191</v>
      </c>
      <c r="C33" s="44" t="s">
        <v>122</v>
      </c>
      <c r="D33" s="44" t="s">
        <v>192</v>
      </c>
      <c r="E33" s="44" t="s">
        <v>193</v>
      </c>
    </row>
    <row r="34" customFormat="false" ht="30" hidden="false" customHeight="true" outlineLevel="0" collapsed="false">
      <c r="B34" s="9" t="s">
        <v>218</v>
      </c>
      <c r="C34" s="38"/>
      <c r="D34" s="45"/>
      <c r="E34" s="46"/>
    </row>
    <row r="35" customFormat="false" ht="42" hidden="false" customHeight="true" outlineLevel="0" collapsed="false">
      <c r="B35" s="9" t="s">
        <v>219</v>
      </c>
      <c r="C35" s="38"/>
      <c r="D35" s="45"/>
      <c r="E35" s="46"/>
    </row>
    <row r="36" customFormat="false" ht="30" hidden="false" customHeight="true" outlineLevel="0" collapsed="false">
      <c r="B36" s="9" t="s">
        <v>220</v>
      </c>
      <c r="C36" s="38"/>
      <c r="D36" s="45"/>
      <c r="E36" s="46"/>
    </row>
    <row r="37" customFormat="false" ht="30" hidden="false" customHeight="true" outlineLevel="0" collapsed="false">
      <c r="B37" s="9" t="s">
        <v>221</v>
      </c>
      <c r="C37" s="38"/>
      <c r="D37" s="45"/>
      <c r="E37" s="46"/>
    </row>
    <row r="38" customFormat="false" ht="30" hidden="false" customHeight="true" outlineLevel="0" collapsed="false">
      <c r="B38" s="9" t="s">
        <v>222</v>
      </c>
      <c r="C38" s="38"/>
      <c r="D38" s="45"/>
      <c r="E38" s="46"/>
    </row>
    <row r="39" customFormat="false" ht="30" hidden="false" customHeight="true" outlineLevel="0" collapsed="false">
      <c r="B39" s="9" t="s">
        <v>223</v>
      </c>
      <c r="C39" s="38"/>
      <c r="D39" s="45"/>
      <c r="E39" s="46"/>
    </row>
    <row r="41" customFormat="false" ht="19.5" hidden="false" customHeight="true" outlineLevel="0" collapsed="false">
      <c r="B41" s="3" t="s">
        <v>224</v>
      </c>
      <c r="C41" s="3"/>
      <c r="D41" s="3"/>
      <c r="E41" s="3"/>
    </row>
    <row r="42" customFormat="false" ht="13.5" hidden="false" customHeight="true" outlineLevel="0" collapsed="false">
      <c r="B42" s="44" t="s">
        <v>191</v>
      </c>
      <c r="C42" s="44" t="s">
        <v>122</v>
      </c>
      <c r="D42" s="44" t="s">
        <v>192</v>
      </c>
      <c r="E42" s="44" t="s">
        <v>193</v>
      </c>
    </row>
    <row r="43" customFormat="false" ht="30" hidden="false" customHeight="true" outlineLevel="0" collapsed="false">
      <c r="B43" s="9" t="s">
        <v>225</v>
      </c>
      <c r="C43" s="38"/>
      <c r="D43" s="45"/>
      <c r="E43" s="46"/>
    </row>
    <row r="44" customFormat="false" ht="30" hidden="false" customHeight="true" outlineLevel="0" collapsed="false">
      <c r="B44" s="9" t="s">
        <v>226</v>
      </c>
      <c r="C44" s="38"/>
      <c r="D44" s="45"/>
      <c r="E44" s="46"/>
    </row>
    <row r="45" customFormat="false" ht="30" hidden="false" customHeight="true" outlineLevel="0" collapsed="false">
      <c r="B45" s="9" t="s">
        <v>227</v>
      </c>
      <c r="C45" s="38"/>
      <c r="D45" s="45"/>
      <c r="E45" s="46"/>
    </row>
    <row r="46" customFormat="false" ht="19.5" hidden="false" customHeight="true" outlineLevel="0" collapsed="false">
      <c r="B46" s="9" t="s">
        <v>228</v>
      </c>
      <c r="C46" s="38"/>
      <c r="D46" s="45"/>
      <c r="E46" s="46"/>
    </row>
    <row r="48" customFormat="false" ht="15" hidden="false" customHeight="false" outlineLevel="0" collapsed="false">
      <c r="B48" s="30" t="s">
        <v>229</v>
      </c>
      <c r="C48" s="47" t="n">
        <f aca="false">32-(COUNTIF($C$6:$C$18,"ja")+COUNTIF($C$22:$C$30,"ja")+COUNTIF($C$34:$C$39,"ja")+COUNTIF($C$43:$C$46,"ja"))</f>
        <v>32</v>
      </c>
      <c r="D48" s="48" t="s">
        <v>230</v>
      </c>
    </row>
  </sheetData>
  <mergeCells count="6">
    <mergeCell ref="B1:E1"/>
    <mergeCell ref="B2:E2"/>
    <mergeCell ref="B4:E4"/>
    <mergeCell ref="B20:E20"/>
    <mergeCell ref="B32:E32"/>
    <mergeCell ref="B41:E41"/>
  </mergeCells>
  <conditionalFormatting sqref="B6:E18">
    <cfRule type="expression" priority="2" aboveAverage="0" equalAverage="0" bottom="0" percent="0" rank="0" text="" dxfId="2">
      <formula>$C6="ja"</formula>
    </cfRule>
  </conditionalFormatting>
  <conditionalFormatting sqref="B22:E30">
    <cfRule type="expression" priority="3" aboveAverage="0" equalAverage="0" bottom="0" percent="0" rank="0" text="" dxfId="2">
      <formula>$C22="ja"</formula>
    </cfRule>
  </conditionalFormatting>
  <conditionalFormatting sqref="B34:E39">
    <cfRule type="expression" priority="4" aboveAverage="0" equalAverage="0" bottom="0" percent="0" rank="0" text="" dxfId="2">
      <formula>$C34="ja"</formula>
    </cfRule>
  </conditionalFormatting>
  <conditionalFormatting sqref="B43:E46">
    <cfRule type="expression" priority="5" aboveAverage="0" equalAverage="0" bottom="0" percent="0" rank="0" text="" dxfId="2">
      <formula>$C43="ja"</formula>
    </cfRule>
  </conditionalFormatting>
  <dataValidations count="4">
    <dataValidation allowBlank="true" errorStyle="stop" operator="between" showDropDown="false" showErrorMessage="false" showInputMessage="false" sqref="C6:C18" type="list">
      <formula1>"ja,offen,entfällt"</formula1>
      <formula2>0</formula2>
    </dataValidation>
    <dataValidation allowBlank="true" errorStyle="stop" operator="between" showDropDown="false" showErrorMessage="false" showInputMessage="false" sqref="C22:C30" type="list">
      <formula1>"ja,offen,entfällt"</formula1>
      <formula2>0</formula2>
    </dataValidation>
    <dataValidation allowBlank="true" errorStyle="stop" operator="between" showDropDown="false" showErrorMessage="false" showInputMessage="false" sqref="C34:C39" type="list">
      <formula1>"ja,offen,entfällt"</formula1>
      <formula2>0</formula2>
    </dataValidation>
    <dataValidation allowBlank="true" errorStyle="stop" operator="between" showDropDown="false" showErrorMessage="false" showInputMessage="false" sqref="C43:C46" type="list">
      <formula1>"ja,offen,entfällt"</formula1>
      <formula2>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&amp;K808080Vorbereitung</oddHeader>
    <oddFooter>&amp;L&amp;8 &amp;K808080Quelle: Löwin_Training_260727.pdf&amp;R&amp;8 &amp;K808080Seite &amp;P von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4" min="3" style="0" width="13"/>
    <col collapsed="false" customWidth="true" hidden="false" outlineLevel="0" max="6" min="5" style="0" width="11"/>
    <col collapsed="false" customWidth="true" hidden="false" outlineLevel="0" max="7" min="7" style="0" width="12"/>
    <col collapsed="false" customWidth="true" hidden="false" outlineLevel="0" max="8" min="8" style="0" width="13"/>
    <col collapsed="false" customWidth="true" hidden="false" outlineLevel="0" max="9" min="9" style="0" width="8"/>
    <col collapsed="false" customWidth="true" hidden="false" outlineLevel="0" max="10" min="10" style="0" width="32"/>
  </cols>
  <sheetData>
    <row r="1" customFormat="false" ht="30" hidden="false" customHeight="true" outlineLevel="0" collapsed="false">
      <c r="A1" s="1" t="s">
        <v>231</v>
      </c>
      <c r="B1" s="1"/>
      <c r="C1" s="1"/>
      <c r="D1" s="1"/>
      <c r="E1" s="1"/>
      <c r="F1" s="1"/>
      <c r="G1" s="1"/>
      <c r="H1" s="1"/>
      <c r="I1" s="1"/>
      <c r="J1" s="1"/>
    </row>
    <row r="2" customFormat="false" ht="15" hidden="false" customHeight="true" outlineLevel="0" collapsed="false">
      <c r="A2" s="2" t="s">
        <v>232</v>
      </c>
      <c r="B2" s="2"/>
      <c r="C2" s="2"/>
      <c r="D2" s="2"/>
      <c r="E2" s="2"/>
      <c r="F2" s="2"/>
      <c r="G2" s="2"/>
      <c r="H2" s="2"/>
      <c r="I2" s="2"/>
      <c r="J2" s="2"/>
    </row>
    <row r="3" customFormat="false" ht="19.5" hidden="false" customHeight="true" outlineLevel="0" collapsed="false">
      <c r="A3" s="3" t="s">
        <v>233</v>
      </c>
      <c r="B3" s="3"/>
      <c r="C3" s="3"/>
      <c r="D3" s="3"/>
      <c r="E3" s="3"/>
      <c r="F3" s="3"/>
      <c r="G3" s="3"/>
      <c r="H3" s="3"/>
      <c r="I3" s="3"/>
      <c r="J3" s="3"/>
    </row>
    <row r="4" customFormat="false" ht="18" hidden="false" customHeight="true" outlineLevel="0" collapsed="false">
      <c r="A4" s="13" t="s">
        <v>234</v>
      </c>
      <c r="B4" s="13"/>
      <c r="C4" s="13" t="s">
        <v>235</v>
      </c>
      <c r="D4" s="13" t="s">
        <v>236</v>
      </c>
      <c r="E4" s="13" t="s">
        <v>237</v>
      </c>
    </row>
    <row r="5" customFormat="false" ht="18" hidden="false" customHeight="true" outlineLevel="0" collapsed="false">
      <c r="A5" s="14" t="s">
        <v>238</v>
      </c>
      <c r="B5" s="14"/>
      <c r="C5" s="49" t="str">
        <f aca="false">IF(SUMPRODUCT(MAX(($B$16:$B$39="operiert")*($E$16:$E$39&lt;&gt;"")*$E$16:$E$39))=0,"",SUMPRODUCT(MAX(($B$16:$B$39="operiert")*($E$16:$E$39&lt;&gt;"")*$E$16:$E$39)))</f>
        <v/>
      </c>
      <c r="D5" s="49" t="str">
        <f aca="false">IF(SUMPRODUCT(MAX(($B$16:$B$39="gesund")*($E$16:$E$39&lt;&gt;"")*$E$16:$E$39))=0,"",SUMPRODUCT(MAX(($B$16:$B$39="gesund")*($E$16:$E$39&lt;&gt;"")*$E$16:$E$39)))</f>
        <v/>
      </c>
      <c r="E5" s="50" t="str">
        <f aca="false">IF(OR($C5="",$D5="",$D5=0),"",$C5/$D5)</f>
        <v/>
      </c>
      <c r="F5" s="37" t="s">
        <v>239</v>
      </c>
      <c r="G5" s="37"/>
      <c r="H5" s="37"/>
      <c r="I5" s="37"/>
      <c r="J5" s="37"/>
    </row>
    <row r="6" customFormat="false" ht="18" hidden="false" customHeight="true" outlineLevel="0" collapsed="false">
      <c r="A6" s="14" t="s">
        <v>240</v>
      </c>
      <c r="B6" s="14"/>
      <c r="C6" s="49" t="str">
        <f aca="false">IF(SUMPRODUCT(MAX(($B$16:$B$39="operiert")*($F$16:$F$39&lt;&gt;"")*$F$16:$F$39))=0,"",SUMPRODUCT(MAX(($B$16:$B$39="operiert")*($F$16:$F$39&lt;&gt;"")*$F$16:$F$39)))</f>
        <v/>
      </c>
      <c r="D6" s="49" t="str">
        <f aca="false">IF(SUMPRODUCT(MAX(($B$16:$B$39="gesund")*($F$16:$F$39&lt;&gt;"")*$F$16:$F$39))=0,"",SUMPRODUCT(MAX(($B$16:$B$39="gesund")*($F$16:$F$39&lt;&gt;"")*$F$16:$F$39)))</f>
        <v/>
      </c>
      <c r="E6" s="50" t="str">
        <f aca="false">IF(OR($C6="",$D6="",$D6=0),"",$C6/$D6)</f>
        <v/>
      </c>
      <c r="F6" s="37"/>
      <c r="G6" s="37"/>
      <c r="H6" s="37"/>
      <c r="I6" s="37"/>
      <c r="J6" s="37"/>
    </row>
    <row r="7" customFormat="false" ht="18" hidden="false" customHeight="true" outlineLevel="0" collapsed="false">
      <c r="A7" s="14" t="s">
        <v>241</v>
      </c>
      <c r="B7" s="14"/>
      <c r="C7" s="49" t="str">
        <f aca="false">IF(SUMPRODUCT(MAX(($B$16:$B$39="operiert")*($G$16:$G$39&lt;&gt;"")*$G$16:$G$39))=0,"",SUMPRODUCT(MAX(($B$16:$B$39="operiert")*($G$16:$G$39&lt;&gt;"")*$G$16:$G$39)))</f>
        <v/>
      </c>
      <c r="D7" s="49" t="str">
        <f aca="false">IF(SUMPRODUCT(MAX(($B$16:$B$39="gesund")*($G$16:$G$39&lt;&gt;"")*$G$16:$G$39))=0,"",SUMPRODUCT(MAX(($B$16:$B$39="gesund")*($G$16:$G$39&lt;&gt;"")*$G$16:$G$39)))</f>
        <v/>
      </c>
      <c r="E7" s="50" t="str">
        <f aca="false">IF(OR($C7="",$D7="",$D7=0),"",$C7/$D7)</f>
        <v/>
      </c>
      <c r="F7" s="37"/>
      <c r="G7" s="37"/>
      <c r="H7" s="37"/>
      <c r="I7" s="37"/>
      <c r="J7" s="37"/>
    </row>
    <row r="8" customFormat="false" ht="18" hidden="false" customHeight="true" outlineLevel="0" collapsed="false">
      <c r="A8" s="14" t="s">
        <v>242</v>
      </c>
      <c r="B8" s="14"/>
      <c r="C8" s="51" t="str">
        <f aca="false">IF(SUMPRODUCT(MAX(($B$16:$B$39="operiert")*($H$16:$H$39&lt;&gt;"")*$H$16:$H$39))=0,"",SUMPRODUCT(MAX(($B$16:$B$39="operiert")*($H$16:$H$39&lt;&gt;"")*$H$16:$H$39)))</f>
        <v/>
      </c>
      <c r="D8" s="51" t="str">
        <f aca="false">IF(SUMPRODUCT(MAX(($B$16:$B$39="gesund")*($H$16:$H$39&lt;&gt;"")*$H$16:$H$39))=0,"",SUMPRODUCT(MAX(($B$16:$B$39="gesund")*($H$16:$H$39&lt;&gt;"")*$H$16:$H$39)))</f>
        <v/>
      </c>
      <c r="E8" s="50" t="str">
        <f aca="false">IF(OR($C8="",$D8="",$D8=0),"",$C8/$D8)</f>
        <v/>
      </c>
      <c r="F8" s="37"/>
      <c r="G8" s="37"/>
      <c r="H8" s="37"/>
      <c r="I8" s="37"/>
      <c r="J8" s="37"/>
    </row>
    <row r="10" customFormat="false" ht="19.5" hidden="false" customHeight="true" outlineLevel="0" collapsed="false">
      <c r="A10" s="3" t="s">
        <v>243</v>
      </c>
      <c r="B10" s="3"/>
      <c r="C10" s="3"/>
      <c r="D10" s="3"/>
      <c r="E10" s="3"/>
      <c r="F10" s="3"/>
      <c r="G10" s="3"/>
      <c r="H10" s="3"/>
      <c r="I10" s="3"/>
      <c r="J10" s="3"/>
    </row>
    <row r="11" customFormat="false" ht="17.25" hidden="false" customHeight="true" outlineLevel="0" collapsed="false">
      <c r="A11" s="52" t="s">
        <v>244</v>
      </c>
      <c r="B11" s="52"/>
      <c r="C11" s="52"/>
      <c r="D11" s="52"/>
      <c r="E11" s="52"/>
      <c r="F11" s="52"/>
      <c r="G11" s="52"/>
      <c r="H11" s="52"/>
      <c r="I11" s="52"/>
      <c r="J11" s="52"/>
    </row>
    <row r="12" customFormat="false" ht="17.25" hidden="false" customHeight="true" outlineLevel="0" collapsed="false">
      <c r="A12" s="52" t="s">
        <v>245</v>
      </c>
      <c r="B12" s="52"/>
      <c r="C12" s="52"/>
      <c r="D12" s="52"/>
      <c r="E12" s="52"/>
      <c r="F12" s="52"/>
      <c r="G12" s="52"/>
      <c r="H12" s="52"/>
      <c r="I12" s="52"/>
      <c r="J12" s="52"/>
    </row>
    <row r="13" customFormat="false" ht="17.25" hidden="false" customHeight="true" outlineLevel="0" collapsed="false">
      <c r="A13" s="52" t="s">
        <v>246</v>
      </c>
      <c r="B13" s="52"/>
      <c r="C13" s="52"/>
      <c r="D13" s="52"/>
      <c r="E13" s="52"/>
      <c r="F13" s="52"/>
      <c r="G13" s="52"/>
      <c r="H13" s="52"/>
      <c r="I13" s="52"/>
      <c r="J13" s="52"/>
    </row>
    <row r="14" customFormat="false" ht="17.25" hidden="false" customHeight="true" outlineLevel="0" collapsed="false">
      <c r="A14" s="52" t="s">
        <v>247</v>
      </c>
      <c r="B14" s="52"/>
      <c r="C14" s="52"/>
      <c r="D14" s="52"/>
      <c r="E14" s="52"/>
      <c r="F14" s="52"/>
      <c r="G14" s="52"/>
      <c r="H14" s="52"/>
      <c r="I14" s="52"/>
      <c r="J14" s="52"/>
    </row>
    <row r="15" customFormat="false" ht="31.5" hidden="false" customHeight="true" outlineLevel="0" collapsed="false">
      <c r="A15" s="13" t="s">
        <v>75</v>
      </c>
      <c r="B15" s="13" t="s">
        <v>248</v>
      </c>
      <c r="C15" s="13" t="s">
        <v>249</v>
      </c>
      <c r="D15" s="13" t="s">
        <v>250</v>
      </c>
      <c r="E15" s="13" t="s">
        <v>251</v>
      </c>
      <c r="F15" s="13" t="s">
        <v>252</v>
      </c>
      <c r="G15" s="13" t="s">
        <v>253</v>
      </c>
      <c r="H15" s="13" t="s">
        <v>254</v>
      </c>
      <c r="I15" s="13" t="s">
        <v>255</v>
      </c>
      <c r="J15" s="13" t="s">
        <v>256</v>
      </c>
    </row>
    <row r="16" customFormat="false" ht="16.5" hidden="false" customHeight="true" outlineLevel="0" collapsed="false">
      <c r="A16" s="53"/>
      <c r="B16" s="54"/>
      <c r="C16" s="55"/>
      <c r="D16" s="55"/>
      <c r="E16" s="55"/>
      <c r="F16" s="55"/>
      <c r="G16" s="55"/>
      <c r="H16" s="55"/>
      <c r="I16" s="55"/>
      <c r="J16" s="56"/>
    </row>
    <row r="17" customFormat="false" ht="16.5" hidden="false" customHeight="true" outlineLevel="0" collapsed="false">
      <c r="A17" s="53"/>
      <c r="B17" s="54"/>
      <c r="C17" s="55"/>
      <c r="D17" s="55"/>
      <c r="E17" s="55"/>
      <c r="F17" s="55"/>
      <c r="G17" s="55"/>
      <c r="H17" s="55"/>
      <c r="I17" s="55"/>
      <c r="J17" s="56"/>
    </row>
    <row r="18" customFormat="false" ht="16.5" hidden="false" customHeight="true" outlineLevel="0" collapsed="false">
      <c r="A18" s="53"/>
      <c r="B18" s="54"/>
      <c r="C18" s="55"/>
      <c r="D18" s="55"/>
      <c r="E18" s="55"/>
      <c r="F18" s="55"/>
      <c r="G18" s="55"/>
      <c r="H18" s="55"/>
      <c r="I18" s="55"/>
      <c r="J18" s="56"/>
    </row>
    <row r="19" customFormat="false" ht="16.5" hidden="false" customHeight="true" outlineLevel="0" collapsed="false">
      <c r="A19" s="53"/>
      <c r="B19" s="54"/>
      <c r="C19" s="55"/>
      <c r="D19" s="55"/>
      <c r="E19" s="55"/>
      <c r="F19" s="55"/>
      <c r="G19" s="55"/>
      <c r="H19" s="55"/>
      <c r="I19" s="55"/>
      <c r="J19" s="56"/>
    </row>
    <row r="20" customFormat="false" ht="16.5" hidden="false" customHeight="true" outlineLevel="0" collapsed="false">
      <c r="A20" s="53"/>
      <c r="B20" s="54"/>
      <c r="C20" s="55"/>
      <c r="D20" s="55"/>
      <c r="E20" s="55"/>
      <c r="F20" s="55"/>
      <c r="G20" s="55"/>
      <c r="H20" s="55"/>
      <c r="I20" s="55"/>
      <c r="J20" s="56"/>
    </row>
    <row r="21" customFormat="false" ht="16.5" hidden="false" customHeight="true" outlineLevel="0" collapsed="false">
      <c r="A21" s="53"/>
      <c r="B21" s="54"/>
      <c r="C21" s="55"/>
      <c r="D21" s="55"/>
      <c r="E21" s="55"/>
      <c r="F21" s="55"/>
      <c r="G21" s="55"/>
      <c r="H21" s="55"/>
      <c r="I21" s="55"/>
      <c r="J21" s="56"/>
    </row>
    <row r="22" customFormat="false" ht="16.5" hidden="false" customHeight="true" outlineLevel="0" collapsed="false">
      <c r="A22" s="53"/>
      <c r="B22" s="54"/>
      <c r="C22" s="55"/>
      <c r="D22" s="55"/>
      <c r="E22" s="55"/>
      <c r="F22" s="55"/>
      <c r="G22" s="55"/>
      <c r="H22" s="55"/>
      <c r="I22" s="55"/>
      <c r="J22" s="56"/>
    </row>
    <row r="23" customFormat="false" ht="16.5" hidden="false" customHeight="true" outlineLevel="0" collapsed="false">
      <c r="A23" s="53"/>
      <c r="B23" s="54"/>
      <c r="C23" s="55"/>
      <c r="D23" s="55"/>
      <c r="E23" s="55"/>
      <c r="F23" s="55"/>
      <c r="G23" s="55"/>
      <c r="H23" s="55"/>
      <c r="I23" s="55"/>
      <c r="J23" s="56"/>
    </row>
    <row r="24" customFormat="false" ht="16.5" hidden="false" customHeight="true" outlineLevel="0" collapsed="false">
      <c r="A24" s="53"/>
      <c r="B24" s="54"/>
      <c r="C24" s="55"/>
      <c r="D24" s="55"/>
      <c r="E24" s="55"/>
      <c r="F24" s="55"/>
      <c r="G24" s="55"/>
      <c r="H24" s="55"/>
      <c r="I24" s="55"/>
      <c r="J24" s="56"/>
    </row>
    <row r="25" customFormat="false" ht="16.5" hidden="false" customHeight="true" outlineLevel="0" collapsed="false">
      <c r="A25" s="53"/>
      <c r="B25" s="54"/>
      <c r="C25" s="55"/>
      <c r="D25" s="55"/>
      <c r="E25" s="55"/>
      <c r="F25" s="55"/>
      <c r="G25" s="55"/>
      <c r="H25" s="55"/>
      <c r="I25" s="55"/>
      <c r="J25" s="56"/>
    </row>
    <row r="26" customFormat="false" ht="16.5" hidden="false" customHeight="true" outlineLevel="0" collapsed="false">
      <c r="A26" s="53"/>
      <c r="B26" s="54"/>
      <c r="C26" s="55"/>
      <c r="D26" s="55"/>
      <c r="E26" s="55"/>
      <c r="F26" s="55"/>
      <c r="G26" s="55"/>
      <c r="H26" s="55"/>
      <c r="I26" s="55"/>
      <c r="J26" s="56"/>
    </row>
    <row r="27" customFormat="false" ht="16.5" hidden="false" customHeight="true" outlineLevel="0" collapsed="false">
      <c r="A27" s="53"/>
      <c r="B27" s="54"/>
      <c r="C27" s="55"/>
      <c r="D27" s="55"/>
      <c r="E27" s="55"/>
      <c r="F27" s="55"/>
      <c r="G27" s="55"/>
      <c r="H27" s="55"/>
      <c r="I27" s="55"/>
      <c r="J27" s="56"/>
    </row>
    <row r="28" customFormat="false" ht="16.5" hidden="false" customHeight="true" outlineLevel="0" collapsed="false">
      <c r="A28" s="53"/>
      <c r="B28" s="54"/>
      <c r="C28" s="55"/>
      <c r="D28" s="55"/>
      <c r="E28" s="55"/>
      <c r="F28" s="55"/>
      <c r="G28" s="55"/>
      <c r="H28" s="55"/>
      <c r="I28" s="55"/>
      <c r="J28" s="56"/>
    </row>
    <row r="29" customFormat="false" ht="16.5" hidden="false" customHeight="true" outlineLevel="0" collapsed="false">
      <c r="A29" s="53"/>
      <c r="B29" s="54"/>
      <c r="C29" s="55"/>
      <c r="D29" s="55"/>
      <c r="E29" s="55"/>
      <c r="F29" s="55"/>
      <c r="G29" s="55"/>
      <c r="H29" s="55"/>
      <c r="I29" s="55"/>
      <c r="J29" s="56"/>
    </row>
    <row r="30" customFormat="false" ht="16.5" hidden="false" customHeight="true" outlineLevel="0" collapsed="false">
      <c r="A30" s="53"/>
      <c r="B30" s="54"/>
      <c r="C30" s="55"/>
      <c r="D30" s="55"/>
      <c r="E30" s="55"/>
      <c r="F30" s="55"/>
      <c r="G30" s="55"/>
      <c r="H30" s="55"/>
      <c r="I30" s="55"/>
      <c r="J30" s="56"/>
    </row>
    <row r="31" customFormat="false" ht="16.5" hidden="false" customHeight="true" outlineLevel="0" collapsed="false">
      <c r="A31" s="53"/>
      <c r="B31" s="54"/>
      <c r="C31" s="55"/>
      <c r="D31" s="55"/>
      <c r="E31" s="55"/>
      <c r="F31" s="55"/>
      <c r="G31" s="55"/>
      <c r="H31" s="55"/>
      <c r="I31" s="55"/>
      <c r="J31" s="56"/>
    </row>
    <row r="32" customFormat="false" ht="16.5" hidden="false" customHeight="true" outlineLevel="0" collapsed="false">
      <c r="A32" s="53"/>
      <c r="B32" s="54"/>
      <c r="C32" s="55"/>
      <c r="D32" s="55"/>
      <c r="E32" s="55"/>
      <c r="F32" s="55"/>
      <c r="G32" s="55"/>
      <c r="H32" s="55"/>
      <c r="I32" s="55"/>
      <c r="J32" s="56"/>
    </row>
    <row r="33" customFormat="false" ht="16.5" hidden="false" customHeight="true" outlineLevel="0" collapsed="false">
      <c r="A33" s="53"/>
      <c r="B33" s="54"/>
      <c r="C33" s="55"/>
      <c r="D33" s="55"/>
      <c r="E33" s="55"/>
      <c r="F33" s="55"/>
      <c r="G33" s="55"/>
      <c r="H33" s="55"/>
      <c r="I33" s="55"/>
      <c r="J33" s="56"/>
    </row>
    <row r="34" customFormat="false" ht="16.5" hidden="false" customHeight="true" outlineLevel="0" collapsed="false">
      <c r="A34" s="53"/>
      <c r="B34" s="54"/>
      <c r="C34" s="55"/>
      <c r="D34" s="55"/>
      <c r="E34" s="55"/>
      <c r="F34" s="55"/>
      <c r="G34" s="55"/>
      <c r="H34" s="55"/>
      <c r="I34" s="55"/>
      <c r="J34" s="56"/>
    </row>
    <row r="35" customFormat="false" ht="16.5" hidden="false" customHeight="true" outlineLevel="0" collapsed="false">
      <c r="A35" s="53"/>
      <c r="B35" s="54"/>
      <c r="C35" s="55"/>
      <c r="D35" s="55"/>
      <c r="E35" s="55"/>
      <c r="F35" s="55"/>
      <c r="G35" s="55"/>
      <c r="H35" s="55"/>
      <c r="I35" s="55"/>
      <c r="J35" s="56"/>
    </row>
    <row r="36" customFormat="false" ht="16.5" hidden="false" customHeight="true" outlineLevel="0" collapsed="false">
      <c r="A36" s="53"/>
      <c r="B36" s="54"/>
      <c r="C36" s="55"/>
      <c r="D36" s="55"/>
      <c r="E36" s="55"/>
      <c r="F36" s="55"/>
      <c r="G36" s="55"/>
      <c r="H36" s="55"/>
      <c r="I36" s="55"/>
      <c r="J36" s="56"/>
    </row>
    <row r="37" customFormat="false" ht="16.5" hidden="false" customHeight="true" outlineLevel="0" collapsed="false">
      <c r="A37" s="53"/>
      <c r="B37" s="54"/>
      <c r="C37" s="55"/>
      <c r="D37" s="55"/>
      <c r="E37" s="55"/>
      <c r="F37" s="55"/>
      <c r="G37" s="55"/>
      <c r="H37" s="55"/>
      <c r="I37" s="55"/>
      <c r="J37" s="56"/>
    </row>
    <row r="38" customFormat="false" ht="16.5" hidden="false" customHeight="true" outlineLevel="0" collapsed="false">
      <c r="A38" s="53"/>
      <c r="B38" s="54"/>
      <c r="C38" s="55"/>
      <c r="D38" s="55"/>
      <c r="E38" s="55"/>
      <c r="F38" s="55"/>
      <c r="G38" s="55"/>
      <c r="H38" s="55"/>
      <c r="I38" s="55"/>
      <c r="J38" s="56"/>
    </row>
    <row r="39" customFormat="false" ht="16.5" hidden="false" customHeight="true" outlineLevel="0" collapsed="false">
      <c r="A39" s="53"/>
      <c r="B39" s="54"/>
      <c r="C39" s="55"/>
      <c r="D39" s="55"/>
      <c r="E39" s="55"/>
      <c r="F39" s="55"/>
      <c r="G39" s="55"/>
      <c r="H39" s="55"/>
      <c r="I39" s="55"/>
      <c r="J39" s="56"/>
    </row>
  </sheetData>
  <mergeCells count="14">
    <mergeCell ref="A1:J1"/>
    <mergeCell ref="A2:J2"/>
    <mergeCell ref="A3:J3"/>
    <mergeCell ref="A4:B4"/>
    <mergeCell ref="A5:B5"/>
    <mergeCell ref="F5:J8"/>
    <mergeCell ref="A6:B6"/>
    <mergeCell ref="A7:B7"/>
    <mergeCell ref="A8:B8"/>
    <mergeCell ref="A10:J10"/>
    <mergeCell ref="A11:J11"/>
    <mergeCell ref="A12:J12"/>
    <mergeCell ref="A13:J13"/>
    <mergeCell ref="A14:J14"/>
  </mergeCells>
  <conditionalFormatting sqref="A16:J39">
    <cfRule type="expression" priority="2" aboveAverage="0" equalAverage="0" bottom="0" percent="0" rank="0" text="" dxfId="3">
      <formula>$B16="gesund"</formula>
    </cfRule>
  </conditionalFormatting>
  <dataValidations count="1">
    <dataValidation allowBlank="true" errorStyle="stop" operator="between" showDropDown="false" showErrorMessage="false" showInputMessage="false" sqref="B16:B39" type="list">
      <formula1>"operiert,gesund"</formula1>
      <formula2>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&amp;K808080Baseline Schulter</oddHeader>
    <oddFooter>&amp;L&amp;8 &amp;K808080Quelle: Löwin_Training_260727.pdf&amp;R&amp;8 &amp;K808080Seite &amp;P von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1"/>
    <col collapsed="false" customWidth="true" hidden="false" outlineLevel="0" max="3" min="3" style="0" width="30"/>
    <col collapsed="false" customWidth="true" hidden="false" outlineLevel="0" max="4" min="4" style="0" width="38"/>
    <col collapsed="false" customWidth="true" hidden="false" outlineLevel="0" max="5" min="5" style="0" width="34"/>
    <col collapsed="false" customWidth="true" hidden="false" outlineLevel="0" max="6" min="6" style="0" width="38"/>
    <col collapsed="false" customWidth="true" hidden="false" outlineLevel="0" max="7" min="7" style="0" width="32"/>
  </cols>
  <sheetData>
    <row r="1" customFormat="false" ht="30" hidden="false" customHeight="true" outlineLevel="0" collapsed="false">
      <c r="A1" s="1" t="s">
        <v>257</v>
      </c>
      <c r="B1" s="1"/>
      <c r="C1" s="1"/>
      <c r="D1" s="1"/>
      <c r="E1" s="1"/>
      <c r="F1" s="1"/>
      <c r="G1" s="1"/>
    </row>
    <row r="2" customFormat="false" ht="25.5" hidden="false" customHeight="true" outlineLevel="0" collapsed="false">
      <c r="A2" s="57" t="s">
        <v>258</v>
      </c>
      <c r="B2" s="57"/>
      <c r="C2" s="57"/>
      <c r="D2" s="57"/>
      <c r="E2" s="57"/>
      <c r="F2" s="57"/>
      <c r="G2" s="57"/>
    </row>
    <row r="4" customFormat="false" ht="19.5" hidden="false" customHeight="true" outlineLevel="0" collapsed="false">
      <c r="A4" s="3" t="s">
        <v>259</v>
      </c>
      <c r="B4" s="3"/>
      <c r="C4" s="3"/>
      <c r="D4" s="3"/>
      <c r="E4" s="3"/>
      <c r="F4" s="3"/>
      <c r="G4" s="3"/>
    </row>
    <row r="5" customFormat="false" ht="18" hidden="false" customHeight="true" outlineLevel="0" collapsed="false">
      <c r="A5" s="19" t="s">
        <v>260</v>
      </c>
      <c r="B5" s="9" t="s">
        <v>261</v>
      </c>
      <c r="C5" s="9"/>
      <c r="D5" s="9"/>
      <c r="E5" s="9"/>
      <c r="F5" s="9"/>
      <c r="G5" s="9"/>
    </row>
    <row r="6" customFormat="false" ht="18" hidden="false" customHeight="true" outlineLevel="0" collapsed="false">
      <c r="A6" s="19" t="s">
        <v>262</v>
      </c>
      <c r="B6" s="9" t="s">
        <v>263</v>
      </c>
      <c r="C6" s="9"/>
      <c r="D6" s="9"/>
      <c r="E6" s="9"/>
      <c r="F6" s="9"/>
      <c r="G6" s="9"/>
    </row>
    <row r="7" customFormat="false" ht="18" hidden="false" customHeight="true" outlineLevel="0" collapsed="false">
      <c r="A7" s="19" t="s">
        <v>248</v>
      </c>
      <c r="B7" s="9" t="s">
        <v>264</v>
      </c>
      <c r="C7" s="9"/>
      <c r="D7" s="9"/>
      <c r="E7" s="9"/>
      <c r="F7" s="9"/>
      <c r="G7" s="9"/>
    </row>
    <row r="8" customFormat="false" ht="18" hidden="false" customHeight="true" outlineLevel="0" collapsed="false">
      <c r="A8" s="19" t="s">
        <v>265</v>
      </c>
      <c r="B8" s="9" t="s">
        <v>266</v>
      </c>
      <c r="C8" s="9"/>
      <c r="D8" s="9"/>
      <c r="E8" s="9"/>
      <c r="F8" s="9"/>
      <c r="G8" s="9"/>
    </row>
    <row r="9" customFormat="false" ht="18" hidden="false" customHeight="true" outlineLevel="0" collapsed="false">
      <c r="A9" s="19" t="s">
        <v>267</v>
      </c>
      <c r="B9" s="9" t="s">
        <v>268</v>
      </c>
      <c r="C9" s="9"/>
      <c r="D9" s="9"/>
      <c r="E9" s="9"/>
      <c r="F9" s="9"/>
      <c r="G9" s="9"/>
    </row>
    <row r="10" customFormat="false" ht="18" hidden="false" customHeight="true" outlineLevel="0" collapsed="false">
      <c r="A10" s="19" t="s">
        <v>269</v>
      </c>
      <c r="B10" s="9" t="s">
        <v>270</v>
      </c>
      <c r="C10" s="9"/>
      <c r="D10" s="9"/>
      <c r="E10" s="9"/>
      <c r="F10" s="9"/>
      <c r="G10" s="9"/>
    </row>
    <row r="11" customFormat="false" ht="18" hidden="false" customHeight="true" outlineLevel="0" collapsed="false">
      <c r="A11" s="19" t="s">
        <v>271</v>
      </c>
      <c r="B11" s="9" t="s">
        <v>272</v>
      </c>
      <c r="C11" s="9"/>
      <c r="D11" s="9"/>
      <c r="E11" s="9"/>
      <c r="F11" s="9"/>
      <c r="G11" s="9"/>
    </row>
    <row r="12" customFormat="false" ht="30" hidden="false" customHeight="true" outlineLevel="0" collapsed="false">
      <c r="A12" s="58" t="s">
        <v>273</v>
      </c>
      <c r="B12" s="58"/>
      <c r="C12" s="58"/>
      <c r="D12" s="58"/>
      <c r="E12" s="58"/>
      <c r="F12" s="58"/>
      <c r="G12" s="58"/>
    </row>
    <row r="14" customFormat="false" ht="19.5" hidden="false" customHeight="true" outlineLevel="0" collapsed="false">
      <c r="A14" s="3" t="s">
        <v>274</v>
      </c>
      <c r="B14" s="3"/>
      <c r="C14" s="3"/>
      <c r="D14" s="3"/>
      <c r="E14" s="3"/>
      <c r="F14" s="3"/>
      <c r="G14" s="3"/>
    </row>
    <row r="15" customFormat="false" ht="42" hidden="false" customHeight="true" outlineLevel="0" collapsed="false">
      <c r="A15" s="19" t="s">
        <v>275</v>
      </c>
      <c r="B15" s="9" t="s">
        <v>276</v>
      </c>
      <c r="C15" s="9"/>
      <c r="D15" s="9"/>
      <c r="E15" s="9"/>
      <c r="F15" s="9"/>
      <c r="G15" s="9"/>
    </row>
    <row r="16" customFormat="false" ht="42" hidden="false" customHeight="true" outlineLevel="0" collapsed="false">
      <c r="A16" s="19" t="s">
        <v>277</v>
      </c>
      <c r="B16" s="9" t="s">
        <v>278</v>
      </c>
      <c r="C16" s="9"/>
      <c r="D16" s="9"/>
      <c r="E16" s="9"/>
      <c r="F16" s="9"/>
      <c r="G16" s="9"/>
    </row>
    <row r="17" customFormat="false" ht="30" hidden="false" customHeight="true" outlineLevel="0" collapsed="false">
      <c r="A17" s="19" t="s">
        <v>279</v>
      </c>
      <c r="B17" s="9" t="s">
        <v>280</v>
      </c>
      <c r="C17" s="9"/>
      <c r="D17" s="9"/>
      <c r="E17" s="9"/>
      <c r="F17" s="9"/>
      <c r="G17" s="9"/>
    </row>
    <row r="18" customFormat="false" ht="30" hidden="false" customHeight="true" outlineLevel="0" collapsed="false">
      <c r="A18" s="19" t="s">
        <v>281</v>
      </c>
      <c r="B18" s="9" t="s">
        <v>282</v>
      </c>
      <c r="C18" s="9"/>
      <c r="D18" s="9"/>
      <c r="E18" s="9"/>
      <c r="F18" s="9"/>
      <c r="G18" s="9"/>
    </row>
    <row r="19" customFormat="false" ht="30" hidden="false" customHeight="true" outlineLevel="0" collapsed="false">
      <c r="A19" s="19" t="s">
        <v>283</v>
      </c>
      <c r="B19" s="9" t="s">
        <v>284</v>
      </c>
      <c r="C19" s="9"/>
      <c r="D19" s="9"/>
      <c r="E19" s="9"/>
      <c r="F19" s="9"/>
      <c r="G19" s="9"/>
    </row>
    <row r="20" customFormat="false" ht="17.25" hidden="false" customHeight="true" outlineLevel="0" collapsed="false">
      <c r="A20" s="19" t="s">
        <v>285</v>
      </c>
      <c r="B20" s="9" t="s">
        <v>286</v>
      </c>
      <c r="C20" s="9"/>
      <c r="D20" s="9"/>
      <c r="E20" s="9"/>
      <c r="F20" s="9"/>
      <c r="G20" s="9"/>
    </row>
    <row r="21" customFormat="false" ht="30" hidden="false" customHeight="true" outlineLevel="0" collapsed="false">
      <c r="A21" s="19" t="s">
        <v>287</v>
      </c>
      <c r="B21" s="9" t="s">
        <v>288</v>
      </c>
      <c r="C21" s="9"/>
      <c r="D21" s="9"/>
      <c r="E21" s="9"/>
      <c r="F21" s="9"/>
      <c r="G21" s="9"/>
    </row>
    <row r="22" customFormat="false" ht="30" hidden="false" customHeight="true" outlineLevel="0" collapsed="false">
      <c r="A22" s="19" t="s">
        <v>289</v>
      </c>
      <c r="B22" s="9" t="s">
        <v>290</v>
      </c>
      <c r="C22" s="9"/>
      <c r="D22" s="9"/>
      <c r="E22" s="9"/>
      <c r="F22" s="9"/>
      <c r="G22" s="9"/>
    </row>
    <row r="24" customFormat="false" ht="19.5" hidden="false" customHeight="true" outlineLevel="0" collapsed="false">
      <c r="A24" s="3" t="s">
        <v>291</v>
      </c>
      <c r="B24" s="3"/>
      <c r="C24" s="3"/>
      <c r="D24" s="3"/>
      <c r="E24" s="3"/>
      <c r="F24" s="3"/>
      <c r="G24" s="3"/>
    </row>
    <row r="25" customFormat="false" ht="30" hidden="false" customHeight="true" outlineLevel="0" collapsed="false">
      <c r="A25" s="13" t="s">
        <v>292</v>
      </c>
      <c r="B25" s="13" t="s">
        <v>293</v>
      </c>
      <c r="C25" s="13" t="s">
        <v>294</v>
      </c>
      <c r="D25" s="13" t="s">
        <v>295</v>
      </c>
      <c r="E25" s="13" t="s">
        <v>296</v>
      </c>
      <c r="F25" s="13" t="s">
        <v>297</v>
      </c>
      <c r="G25" s="13" t="s">
        <v>298</v>
      </c>
    </row>
    <row r="26" customFormat="false" ht="105" hidden="false" customHeight="true" outlineLevel="0" collapsed="false">
      <c r="A26" s="59" t="s">
        <v>299</v>
      </c>
      <c r="B26" s="60" t="s">
        <v>300</v>
      </c>
      <c r="C26" s="37" t="s">
        <v>301</v>
      </c>
      <c r="D26" s="37" t="s">
        <v>302</v>
      </c>
      <c r="E26" s="37" t="s">
        <v>303</v>
      </c>
      <c r="F26" s="37" t="s">
        <v>304</v>
      </c>
      <c r="G26" s="37" t="s">
        <v>305</v>
      </c>
    </row>
    <row r="27" customFormat="false" ht="92.25" hidden="false" customHeight="true" outlineLevel="0" collapsed="false">
      <c r="A27" s="61" t="s">
        <v>306</v>
      </c>
      <c r="B27" s="62" t="s">
        <v>307</v>
      </c>
      <c r="C27" s="9" t="s">
        <v>308</v>
      </c>
      <c r="D27" s="9" t="s">
        <v>309</v>
      </c>
      <c r="E27" s="9" t="s">
        <v>310</v>
      </c>
      <c r="F27" s="9" t="s">
        <v>311</v>
      </c>
      <c r="G27" s="9" t="s">
        <v>312</v>
      </c>
    </row>
    <row r="28" customFormat="false" ht="92.25" hidden="false" customHeight="true" outlineLevel="0" collapsed="false">
      <c r="A28" s="59" t="s">
        <v>313</v>
      </c>
      <c r="B28" s="60" t="s">
        <v>314</v>
      </c>
      <c r="C28" s="37" t="s">
        <v>315</v>
      </c>
      <c r="D28" s="37" t="s">
        <v>316</v>
      </c>
      <c r="E28" s="37" t="s">
        <v>317</v>
      </c>
      <c r="F28" s="37" t="s">
        <v>318</v>
      </c>
      <c r="G28" s="37" t="s">
        <v>319</v>
      </c>
    </row>
    <row r="29" customFormat="false" ht="67.5" hidden="false" customHeight="true" outlineLevel="0" collapsed="false">
      <c r="A29" s="61" t="s">
        <v>320</v>
      </c>
      <c r="B29" s="62" t="s">
        <v>321</v>
      </c>
      <c r="C29" s="9" t="s">
        <v>322</v>
      </c>
      <c r="D29" s="9" t="s">
        <v>323</v>
      </c>
      <c r="E29" s="9" t="s">
        <v>324</v>
      </c>
      <c r="F29" s="9" t="s">
        <v>325</v>
      </c>
      <c r="G29" s="9" t="s">
        <v>326</v>
      </c>
    </row>
    <row r="30" customFormat="false" ht="54.75" hidden="false" customHeight="true" outlineLevel="0" collapsed="false">
      <c r="A30" s="59" t="s">
        <v>327</v>
      </c>
      <c r="B30" s="60" t="s">
        <v>328</v>
      </c>
      <c r="C30" s="37" t="s">
        <v>329</v>
      </c>
      <c r="D30" s="37" t="s">
        <v>330</v>
      </c>
      <c r="E30" s="37" t="s">
        <v>331</v>
      </c>
      <c r="F30" s="37" t="s">
        <v>332</v>
      </c>
      <c r="G30" s="37" t="s">
        <v>333</v>
      </c>
    </row>
    <row r="32" customFormat="false" ht="19.5" hidden="false" customHeight="true" outlineLevel="0" collapsed="false">
      <c r="A32" s="3" t="s">
        <v>334</v>
      </c>
      <c r="B32" s="3"/>
      <c r="C32" s="3"/>
      <c r="D32" s="3"/>
      <c r="E32" s="3"/>
      <c r="F32" s="3"/>
      <c r="G32" s="3"/>
    </row>
    <row r="33" customFormat="false" ht="54.75" hidden="false" customHeight="true" outlineLevel="0" collapsed="false">
      <c r="A33" s="63" t="s">
        <v>335</v>
      </c>
      <c r="B33" s="63"/>
      <c r="C33" s="63"/>
      <c r="D33" s="63"/>
      <c r="E33" s="63"/>
      <c r="F33" s="63"/>
      <c r="G33" s="63"/>
    </row>
    <row r="35" customFormat="false" ht="19.5" hidden="false" customHeight="true" outlineLevel="0" collapsed="false">
      <c r="A35" s="3" t="s">
        <v>336</v>
      </c>
      <c r="B35" s="3"/>
      <c r="C35" s="3"/>
      <c r="D35" s="3"/>
      <c r="E35" s="3"/>
      <c r="F35" s="3"/>
      <c r="G35" s="3"/>
    </row>
    <row r="36" customFormat="false" ht="30" hidden="false" customHeight="true" outlineLevel="0" collapsed="false">
      <c r="A36" s="19" t="s">
        <v>337</v>
      </c>
      <c r="B36" s="64" t="s">
        <v>338</v>
      </c>
      <c r="C36" s="9" t="s">
        <v>339</v>
      </c>
      <c r="D36" s="9"/>
      <c r="E36" s="9"/>
      <c r="F36" s="9"/>
      <c r="G36" s="9"/>
    </row>
    <row r="37" customFormat="false" ht="17.25" hidden="false" customHeight="true" outlineLevel="0" collapsed="false">
      <c r="A37" s="19" t="s">
        <v>340</v>
      </c>
      <c r="B37" s="65" t="s">
        <v>341</v>
      </c>
      <c r="C37" s="9" t="s">
        <v>342</v>
      </c>
      <c r="D37" s="9"/>
      <c r="E37" s="9"/>
      <c r="F37" s="9"/>
      <c r="G37" s="9"/>
    </row>
    <row r="38" customFormat="false" ht="30" hidden="false" customHeight="true" outlineLevel="0" collapsed="false">
      <c r="A38" s="19" t="s">
        <v>343</v>
      </c>
      <c r="B38" s="65" t="s">
        <v>341</v>
      </c>
      <c r="C38" s="9" t="s">
        <v>344</v>
      </c>
      <c r="D38" s="9"/>
      <c r="E38" s="9"/>
      <c r="F38" s="9"/>
      <c r="G38" s="9"/>
    </row>
    <row r="39" customFormat="false" ht="30" hidden="false" customHeight="true" outlineLevel="0" collapsed="false">
      <c r="A39" s="19" t="s">
        <v>345</v>
      </c>
      <c r="B39" s="65" t="s">
        <v>346</v>
      </c>
      <c r="C39" s="9" t="s">
        <v>347</v>
      </c>
      <c r="D39" s="9"/>
      <c r="E39" s="9"/>
      <c r="F39" s="9"/>
      <c r="G39" s="9"/>
    </row>
    <row r="40" customFormat="false" ht="30" hidden="false" customHeight="true" outlineLevel="0" collapsed="false">
      <c r="A40" s="19" t="s">
        <v>348</v>
      </c>
      <c r="B40" s="64" t="s">
        <v>349</v>
      </c>
      <c r="C40" s="9" t="s">
        <v>350</v>
      </c>
      <c r="D40" s="9"/>
      <c r="E40" s="9"/>
      <c r="F40" s="9"/>
      <c r="G40" s="9"/>
    </row>
    <row r="41" customFormat="false" ht="30" hidden="false" customHeight="true" outlineLevel="0" collapsed="false">
      <c r="A41" s="19" t="s">
        <v>351</v>
      </c>
      <c r="B41" s="64" t="s">
        <v>338</v>
      </c>
      <c r="C41" s="9" t="s">
        <v>352</v>
      </c>
      <c r="D41" s="9"/>
      <c r="E41" s="9"/>
      <c r="F41" s="9"/>
      <c r="G41" s="9"/>
    </row>
    <row r="42" customFormat="false" ht="30" hidden="false" customHeight="true" outlineLevel="0" collapsed="false">
      <c r="A42" s="19" t="s">
        <v>353</v>
      </c>
      <c r="B42" s="64" t="s">
        <v>354</v>
      </c>
      <c r="C42" s="9" t="s">
        <v>355</v>
      </c>
      <c r="D42" s="9"/>
      <c r="E42" s="9"/>
      <c r="F42" s="9"/>
      <c r="G42" s="9"/>
    </row>
    <row r="44" customFormat="false" ht="25.5" hidden="false" customHeight="true" outlineLevel="0" collapsed="false">
      <c r="A44" s="66" t="s">
        <v>356</v>
      </c>
      <c r="B44" s="66"/>
      <c r="C44" s="66"/>
      <c r="D44" s="66"/>
      <c r="E44" s="66"/>
      <c r="F44" s="66"/>
      <c r="G44" s="66"/>
    </row>
  </sheetData>
  <mergeCells count="32">
    <mergeCell ref="A1:G1"/>
    <mergeCell ref="A2:G2"/>
    <mergeCell ref="A4:G4"/>
    <mergeCell ref="B5:G5"/>
    <mergeCell ref="B6:G6"/>
    <mergeCell ref="B7:G7"/>
    <mergeCell ref="B8:G8"/>
    <mergeCell ref="B9:G9"/>
    <mergeCell ref="B10:G10"/>
    <mergeCell ref="B11:G11"/>
    <mergeCell ref="A12:G12"/>
    <mergeCell ref="A14:G14"/>
    <mergeCell ref="B15:G15"/>
    <mergeCell ref="B16:G16"/>
    <mergeCell ref="B17:G17"/>
    <mergeCell ref="B18:G18"/>
    <mergeCell ref="B19:G19"/>
    <mergeCell ref="B20:G20"/>
    <mergeCell ref="B21:G21"/>
    <mergeCell ref="B22:G22"/>
    <mergeCell ref="A24:G24"/>
    <mergeCell ref="A32:G32"/>
    <mergeCell ref="A33:G33"/>
    <mergeCell ref="A35:G35"/>
    <mergeCell ref="C36:G36"/>
    <mergeCell ref="C37:G37"/>
    <mergeCell ref="C38:G38"/>
    <mergeCell ref="C39:G39"/>
    <mergeCell ref="C40:G40"/>
    <mergeCell ref="C41:G41"/>
    <mergeCell ref="C42:G42"/>
    <mergeCell ref="A44:G44"/>
  </mergeCell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&amp;K808080Reha-Fahrplan</oddHeader>
    <oddFooter>&amp;L&amp;8 &amp;K808080Quelle: Löwin_Training_260727.pdf&amp;R&amp;8 &amp;K808080Seite &amp;P von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4" min="3" style="0" width="12"/>
    <col collapsed="false" customWidth="true" hidden="false" outlineLevel="0" max="5" min="5" style="0" width="9"/>
    <col collapsed="false" customWidth="true" hidden="false" outlineLevel="0" max="6" min="6" style="0" width="30"/>
    <col collapsed="false" customWidth="true" hidden="false" outlineLevel="0" max="7" min="7" style="0" width="4"/>
  </cols>
  <sheetData>
    <row r="1" customFormat="false" ht="30" hidden="false" customHeight="true" outlineLevel="0" collapsed="false">
      <c r="A1" s="1" t="s">
        <v>357</v>
      </c>
      <c r="B1" s="1"/>
      <c r="C1" s="1"/>
      <c r="D1" s="1"/>
      <c r="E1" s="1"/>
      <c r="F1" s="1"/>
    </row>
    <row r="2" customFormat="false" ht="15" hidden="false" customHeight="true" outlineLevel="0" collapsed="false">
      <c r="A2" s="2" t="s">
        <v>358</v>
      </c>
      <c r="B2" s="2"/>
      <c r="C2" s="2"/>
      <c r="D2" s="2"/>
      <c r="E2" s="2"/>
      <c r="F2" s="2"/>
    </row>
    <row r="4" customFormat="false" ht="27.75" hidden="false" customHeight="true" outlineLevel="0" collapsed="false">
      <c r="A4" s="58" t="s">
        <v>359</v>
      </c>
      <c r="B4" s="58"/>
      <c r="C4" s="58"/>
      <c r="D4" s="58"/>
      <c r="E4" s="58"/>
      <c r="F4" s="58"/>
    </row>
    <row r="6" customFormat="false" ht="19.5" hidden="false" customHeight="true" outlineLevel="0" collapsed="false">
      <c r="A6" s="3" t="s">
        <v>360</v>
      </c>
      <c r="B6" s="3"/>
      <c r="C6" s="3"/>
      <c r="D6" s="3"/>
      <c r="E6" s="3"/>
      <c r="F6" s="3"/>
    </row>
    <row r="7" customFormat="false" ht="15" hidden="false" customHeight="false" outlineLevel="0" collapsed="false">
      <c r="A7" s="40" t="s">
        <v>168</v>
      </c>
      <c r="B7" s="67" t="n">
        <f aca="false">DATE(2026,9,30)</f>
        <v>46295</v>
      </c>
      <c r="C7" s="68" t="str">
        <f aca="true">"Aktive Phase: "&amp;IF(MAX(1,ROUNDDOWN((TODAY()-DATE(2026,9,30))/7,0)+1)&lt;=6,"1 - Schutz",IF(MAX(1,ROUNDDOWN((TODAY()-DATE(2026,9,30))/7,0)+1)&lt;=12,"2 - Beweglichkeit",IF(MAX(1,ROUNDDOWN((TODAY()-DATE(2026,9,30))/7,0)+1)&lt;=16,"3 - erste Last","4 - zurück zum normalen Plan")))</f>
        <v>Aktive Phase: 1 - Schutz</v>
      </c>
      <c r="D7" s="68"/>
      <c r="E7" s="68"/>
      <c r="F7" s="68"/>
    </row>
    <row r="8" customFormat="false" ht="25.5" hidden="false" customHeight="true" outlineLevel="0" collapsed="false">
      <c r="A8" s="40" t="s">
        <v>361</v>
      </c>
      <c r="B8" s="69" t="n">
        <f aca="true">(TODAY()-DATE(2026,9,30))</f>
        <v>8</v>
      </c>
      <c r="C8" s="9" t="str">
        <f aca="true">IF((TODAY()-DATE(2026,9,30))&lt;8,"Noch kein Beintraining. Gehen ab Tag 1, Gilchrist durchgehend, Wunde heilen lassen.",IF((TODAY()-DATE(2026,9,30))&lt;10,"Erste Einheit steht an, sobald die Wunde freigegeben ist - dann Phase 1.",IF(MAX(1,ROUNDDOWN((TODAY()-DATE(2026,9,30))/7,0)+1)&lt;=6,"Phase 1 läuft: zwei Einheiten je Woche, die vier sitzenden Maschinen unten.",IF(MAX(1,ROUNDDOWN((TODAY()-DATE(2026,9,30))/7,0)+1)&lt;=12,"Phase 2: Beinpresse und Hip &amp; Glute sind dazugekommen.",IF(MAX(1,ROUNDDOWN((TODAY()-DATE(2026,9,30))/7,0)+1)&lt;=16,"Phase 3: freie Gewichte sind zurück.","Phase 4: ab jetzt wieder mit dem Blatt 'Trainingsblatt' arbeiten.")))))</f>
        <v>Erste Einheit steht an, sobald die Wunde freigegeben ist - dann Phase 1.</v>
      </c>
      <c r="D8" s="9"/>
      <c r="E8" s="9"/>
      <c r="F8" s="9"/>
    </row>
    <row r="9" customFormat="false" ht="25.5" hidden="false" customHeight="true" outlineLevel="0" collapsed="false">
      <c r="A9" s="40" t="s">
        <v>362</v>
      </c>
      <c r="B9" s="69" t="n">
        <f aca="true">MAX(1,ROUNDDOWN((TODAY()-DATE(2026,9,30))/7,0)+1)</f>
        <v>2</v>
      </c>
      <c r="C9" s="9" t="str">
        <f aca="true">"Nächster Schritt: "&amp;IF(MAX(1,ROUNDDOWN((TODAY()-DATE(2026,9,30))/7,0)+1)&lt;=6,"ab Woche 7 kommen Beinpresse eng und breit, Hip &amp; Glute und seitliche Kickbacks dazu - erst nach ärztlicher Freigabe zum Ablegen der Schlinge.",IF(MAX(1,ROUNDDOWN((TODAY()-DATE(2026,9,30))/7,0)+1)&lt;=12,"ab Woche 13 kommen Reverse V-Squat, Hip Thrust und Split Squat zurück.",IF(MAX(1,ROUNDDOWN((TODAY()-DATE(2026,9,30))/7,0)+1)&lt;=16,"ab Monat 4 kommt das Rumänische Kreuzheben zurück, danach wieder Zielbereich 5-6.","keiner mehr - der Reha-Teil ist durch.")))</f>
        <v>Nächster Schritt: ab Woche 7 kommen Beinpresse eng und breit, Hip &amp; Glute und seitliche Kickbacks dazu - erst nach ärztlicher Freigabe zum Ablegen der Schlinge.</v>
      </c>
      <c r="D9" s="9"/>
      <c r="E9" s="9"/>
      <c r="F9" s="9"/>
    </row>
    <row r="11" customFormat="false" ht="19.5" hidden="false" customHeight="true" outlineLevel="0" collapsed="false">
      <c r="A11" s="3" t="s">
        <v>363</v>
      </c>
      <c r="B11" s="3"/>
      <c r="C11" s="3"/>
      <c r="D11" s="3"/>
      <c r="E11" s="3"/>
      <c r="F11" s="3"/>
    </row>
    <row r="12" customFormat="false" ht="42" hidden="false" customHeight="true" outlineLevel="0" collapsed="false">
      <c r="A12" s="37" t="s">
        <v>364</v>
      </c>
      <c r="B12" s="37"/>
      <c r="C12" s="37"/>
      <c r="D12" s="37"/>
      <c r="E12" s="37"/>
      <c r="F12" s="37"/>
    </row>
    <row r="13" customFormat="false" ht="18" hidden="false" customHeight="true" outlineLevel="0" collapsed="false">
      <c r="A13" s="13" t="s">
        <v>170</v>
      </c>
      <c r="B13" s="13" t="s">
        <v>365</v>
      </c>
      <c r="C13" s="13" t="s">
        <v>366</v>
      </c>
      <c r="D13" s="13" t="s">
        <v>367</v>
      </c>
      <c r="E13" s="13" t="s">
        <v>237</v>
      </c>
      <c r="F13" s="13" t="s">
        <v>368</v>
      </c>
    </row>
    <row r="14" customFormat="false" ht="30" hidden="false" customHeight="true" outlineLevel="0" collapsed="false">
      <c r="A14" s="19" t="s">
        <v>369</v>
      </c>
      <c r="B14" s="9" t="s">
        <v>370</v>
      </c>
      <c r="C14" s="70" t="s">
        <v>371</v>
      </c>
      <c r="D14" s="71" t="n">
        <f aca="false">IF(IF(Rekorde!$L$6="",Übungen!$H$6,Rekorde!$L$6)="","offen",IF(Übungen!$J$6="",ROUND(IF(Rekorde!$L$6="",Übungen!$H$6,Rekorde!$L$6)*60/100*2,0)/2,FLOOR(IF(Rekorde!$L$6="",Übungen!$H$6,Rekorde!$L$6)*60/100/Übungen!$J$6,1)*Übungen!$J$6))</f>
        <v>55</v>
      </c>
      <c r="E14" s="72" t="s">
        <v>372</v>
      </c>
      <c r="F14" s="9" t="s">
        <v>373</v>
      </c>
    </row>
    <row r="15" customFormat="false" ht="30" hidden="false" customHeight="true" outlineLevel="0" collapsed="false">
      <c r="A15" s="19" t="s">
        <v>374</v>
      </c>
      <c r="B15" s="9" t="s">
        <v>375</v>
      </c>
      <c r="C15" s="70" t="s">
        <v>371</v>
      </c>
      <c r="D15" s="71" t="n">
        <f aca="false">IF(IF(Rekorde!$L$14="",Übungen!$H$14,Rekorde!$L$14)="","offen",IF(Übungen!$J$14="",ROUND(IF(Rekorde!$L$14="",Übungen!$H$14,Rekorde!$L$14)*60/100*2,0)/2,FLOOR(IF(Rekorde!$L$14="",Übungen!$H$14,Rekorde!$L$14)*60/100/Übungen!$J$14,1)*Übungen!$J$14))</f>
        <v>25</v>
      </c>
      <c r="E15" s="72" t="s">
        <v>372</v>
      </c>
      <c r="F15" s="9" t="s">
        <v>376</v>
      </c>
    </row>
    <row r="16" customFormat="false" ht="42" hidden="false" customHeight="true" outlineLevel="0" collapsed="false">
      <c r="A16" s="19" t="s">
        <v>377</v>
      </c>
      <c r="B16" s="9" t="s">
        <v>378</v>
      </c>
      <c r="C16" s="70" t="s">
        <v>371</v>
      </c>
      <c r="D16" s="71" t="n">
        <f aca="false">IF(IF(Rekorde!$L$7="",Übungen!$H$7,Rekorde!$L$7)="","offen",IF(Übungen!$J$7="",ROUND(IF(Rekorde!$L$7="",Übungen!$H$7,Rekorde!$L$7)*60/100*2,0)/2,FLOOR(IF(Rekorde!$L$7="",Übungen!$H$7,Rekorde!$L$7)*60/100/Übungen!$J$7,1)*Übungen!$J$7))</f>
        <v>97.5</v>
      </c>
      <c r="E16" s="72" t="s">
        <v>372</v>
      </c>
      <c r="F16" s="9" t="s">
        <v>379</v>
      </c>
    </row>
    <row r="17" customFormat="false" ht="30" hidden="false" customHeight="true" outlineLevel="0" collapsed="false">
      <c r="A17" s="19" t="s">
        <v>380</v>
      </c>
      <c r="B17" s="9" t="s">
        <v>381</v>
      </c>
      <c r="C17" s="70" t="s">
        <v>382</v>
      </c>
      <c r="D17" s="71" t="n">
        <f aca="false">IF(IF(Rekorde!$L$16="",Übungen!$H$16,Rekorde!$L$16)="","offen",IF(Übungen!$J$16="",ROUND(IF(Rekorde!$L$16="",Übungen!$H$16,Rekorde!$L$16)*60/100*2,0)/2,FLOOR(IF(Rekorde!$L$16="",Übungen!$H$16,Rekorde!$L$16)*60/100/Übungen!$J$16,1)*Übungen!$J$16))</f>
        <v>110</v>
      </c>
      <c r="E17" s="72" t="s">
        <v>372</v>
      </c>
      <c r="F17" s="9" t="s">
        <v>383</v>
      </c>
    </row>
    <row r="19" customFormat="false" ht="19.5" hidden="false" customHeight="true" outlineLevel="0" collapsed="false">
      <c r="A19" s="3" t="s">
        <v>384</v>
      </c>
      <c r="B19" s="3"/>
      <c r="C19" s="3"/>
      <c r="D19" s="3"/>
      <c r="E19" s="3"/>
      <c r="F19" s="3"/>
    </row>
    <row r="20" customFormat="false" ht="30" hidden="false" customHeight="true" outlineLevel="0" collapsed="false">
      <c r="A20" s="37" t="s">
        <v>385</v>
      </c>
      <c r="B20" s="37"/>
      <c r="C20" s="37"/>
      <c r="D20" s="37"/>
      <c r="E20" s="37"/>
      <c r="F20" s="37"/>
    </row>
    <row r="21" customFormat="false" ht="18" hidden="false" customHeight="true" outlineLevel="0" collapsed="false">
      <c r="A21" s="13" t="s">
        <v>170</v>
      </c>
      <c r="B21" s="13" t="s">
        <v>365</v>
      </c>
      <c r="C21" s="13" t="s">
        <v>366</v>
      </c>
      <c r="D21" s="13" t="s">
        <v>367</v>
      </c>
      <c r="E21" s="13" t="s">
        <v>237</v>
      </c>
      <c r="F21" s="13" t="s">
        <v>368</v>
      </c>
    </row>
    <row r="22" customFormat="false" ht="30" hidden="false" customHeight="true" outlineLevel="0" collapsed="false">
      <c r="A22" s="19" t="s">
        <v>386</v>
      </c>
      <c r="B22" s="9" t="s">
        <v>387</v>
      </c>
      <c r="C22" s="70" t="s">
        <v>388</v>
      </c>
      <c r="D22" s="71" t="n">
        <f aca="false">IF(IF(Rekorde!$L$4="",Übungen!$H$4,Rekorde!$L$4)="","offen",IF(Übungen!$J$4="",ROUND(IF(Rekorde!$L$4="",Übungen!$H$4,Rekorde!$L$4)*55/100*2,0)/2,FLOOR(IF(Rekorde!$L$4="",Übungen!$H$4,Rekorde!$L$4)*55/100/Übungen!$J$4,1)*Übungen!$J$4))</f>
        <v>165</v>
      </c>
      <c r="E22" s="72" t="s">
        <v>389</v>
      </c>
      <c r="F22" s="9" t="s">
        <v>390</v>
      </c>
    </row>
    <row r="23" customFormat="false" ht="42" hidden="false" customHeight="true" outlineLevel="0" collapsed="false">
      <c r="A23" s="19" t="s">
        <v>391</v>
      </c>
      <c r="B23" s="9" t="s">
        <v>392</v>
      </c>
      <c r="C23" s="70" t="s">
        <v>388</v>
      </c>
      <c r="D23" s="71" t="n">
        <f aca="false">IF(IF(Rekorde!$L$11="",Übungen!$H$11,Rekorde!$L$11)="","offen",IF(Übungen!$J$11="",ROUND(IF(Rekorde!$L$11="",Übungen!$H$11,Rekorde!$L$11)*55/100*2,0)/2,FLOOR(IF(Rekorde!$L$11="",Übungen!$H$11,Rekorde!$L$11)*55/100/Übungen!$J$11,1)*Übungen!$J$11))</f>
        <v>120</v>
      </c>
      <c r="E23" s="72" t="s">
        <v>389</v>
      </c>
      <c r="F23" s="9" t="s">
        <v>393</v>
      </c>
    </row>
    <row r="24" customFormat="false" ht="30" hidden="false" customHeight="true" outlineLevel="0" collapsed="false">
      <c r="A24" s="19" t="s">
        <v>394</v>
      </c>
      <c r="B24" s="9" t="s">
        <v>395</v>
      </c>
      <c r="C24" s="70" t="s">
        <v>388</v>
      </c>
      <c r="D24" s="71" t="n">
        <f aca="false">IF(IF(Rekorde!$L$13="",Übungen!$H$13,Rekorde!$L$13)="","offen",IF(Übungen!$J$13="",ROUND(IF(Rekorde!$L$13="",Übungen!$H$13,Rekorde!$L$13)*55/100*2,0)/2,FLOOR(IF(Rekorde!$L$13="",Übungen!$H$13,Rekorde!$L$13)*55/100/Übungen!$J$13,1)*Übungen!$J$13))</f>
        <v>90</v>
      </c>
      <c r="E24" s="72" t="s">
        <v>389</v>
      </c>
      <c r="F24" s="9" t="s">
        <v>396</v>
      </c>
    </row>
    <row r="25" customFormat="false" ht="17.25" hidden="false" customHeight="true" outlineLevel="0" collapsed="false">
      <c r="A25" s="19" t="s">
        <v>397</v>
      </c>
      <c r="B25" s="9" t="s">
        <v>398</v>
      </c>
      <c r="C25" s="70" t="s">
        <v>371</v>
      </c>
      <c r="D25" s="71" t="n">
        <f aca="false">IF(IF(Rekorde!$L$15="",Übungen!$H$15,Rekorde!$L$15)="","offen",IF(Übungen!$J$15="",ROUND(IF(Rekorde!$L$15="",Übungen!$H$15,Rekorde!$L$15)*55/100*2,0)/2,FLOOR(IF(Rekorde!$L$15="",Übungen!$H$15,Rekorde!$L$15)*55/100/Übungen!$J$15,1)*Übungen!$J$15))</f>
        <v>18</v>
      </c>
      <c r="E25" s="72" t="s">
        <v>389</v>
      </c>
      <c r="F25" s="9" t="s">
        <v>399</v>
      </c>
    </row>
    <row r="26" customFormat="false" ht="17.25" hidden="false" customHeight="true" outlineLevel="0" collapsed="false">
      <c r="A26" s="19" t="s">
        <v>369</v>
      </c>
      <c r="B26" s="9" t="s">
        <v>400</v>
      </c>
      <c r="C26" s="70" t="s">
        <v>388</v>
      </c>
      <c r="D26" s="71" t="n">
        <f aca="false">IF(IF(Rekorde!$L$6="",Übungen!$H$6,Rekorde!$L$6)="","offen",IF(Übungen!$J$6="",ROUND(IF(Rekorde!$L$6="",Übungen!$H$6,Rekorde!$L$6)*75/100*2,0)/2,FLOOR(IF(Rekorde!$L$6="",Übungen!$H$6,Rekorde!$L$6)*75/100/Übungen!$J$6,1)*Übungen!$J$6))</f>
        <v>70</v>
      </c>
      <c r="E26" s="72" t="s">
        <v>401</v>
      </c>
      <c r="F26" s="9" t="s">
        <v>402</v>
      </c>
    </row>
    <row r="27" customFormat="false" ht="17.25" hidden="false" customHeight="true" outlineLevel="0" collapsed="false">
      <c r="A27" s="19" t="s">
        <v>374</v>
      </c>
      <c r="B27" s="9" t="s">
        <v>400</v>
      </c>
      <c r="C27" s="70" t="s">
        <v>388</v>
      </c>
      <c r="D27" s="71" t="n">
        <f aca="false">IF(IF(Rekorde!$L$14="",Übungen!$H$14,Rekorde!$L$14)="","offen",IF(Übungen!$J$14="",ROUND(IF(Rekorde!$L$14="",Übungen!$H$14,Rekorde!$L$14)*75/100*2,0)/2,FLOOR(IF(Rekorde!$L$14="",Übungen!$H$14,Rekorde!$L$14)*75/100/Übungen!$J$14,1)*Übungen!$J$14))</f>
        <v>32.5</v>
      </c>
      <c r="E27" s="72" t="s">
        <v>401</v>
      </c>
      <c r="F27" s="9" t="s">
        <v>402</v>
      </c>
    </row>
    <row r="28" customFormat="false" ht="17.25" hidden="false" customHeight="true" outlineLevel="0" collapsed="false">
      <c r="A28" s="19" t="s">
        <v>377</v>
      </c>
      <c r="B28" s="9" t="s">
        <v>400</v>
      </c>
      <c r="C28" s="70" t="s">
        <v>388</v>
      </c>
      <c r="D28" s="71" t="n">
        <f aca="false">IF(IF(Rekorde!$L$7="",Übungen!$H$7,Rekorde!$L$7)="","offen",IF(Übungen!$J$7="",ROUND(IF(Rekorde!$L$7="",Übungen!$H$7,Rekorde!$L$7)*75/100*2,0)/2,FLOOR(IF(Rekorde!$L$7="",Übungen!$H$7,Rekorde!$L$7)*75/100/Übungen!$J$7,1)*Übungen!$J$7))</f>
        <v>122.5</v>
      </c>
      <c r="E28" s="72" t="s">
        <v>401</v>
      </c>
      <c r="F28" s="9" t="s">
        <v>402</v>
      </c>
    </row>
    <row r="29" customFormat="false" ht="30" hidden="false" customHeight="true" outlineLevel="0" collapsed="false">
      <c r="A29" s="19" t="s">
        <v>380</v>
      </c>
      <c r="B29" s="9" t="s">
        <v>403</v>
      </c>
      <c r="C29" s="70" t="s">
        <v>404</v>
      </c>
      <c r="D29" s="71" t="n">
        <f aca="false">IF(IF(Rekorde!$L$16="",Übungen!$H$16,Rekorde!$L$16)="","offen",IF(Übungen!$J$16="",ROUND(IF(Rekorde!$L$16="",Übungen!$H$16,Rekorde!$L$16)*75/100*2,0)/2,FLOOR(IF(Rekorde!$L$16="",Übungen!$H$16,Rekorde!$L$16)*75/100/Übungen!$J$16,1)*Übungen!$J$16))</f>
        <v>140</v>
      </c>
      <c r="E29" s="72" t="s">
        <v>401</v>
      </c>
      <c r="F29" s="9" t="s">
        <v>402</v>
      </c>
    </row>
    <row r="31" customFormat="false" ht="19.5" hidden="false" customHeight="true" outlineLevel="0" collapsed="false">
      <c r="A31" s="3" t="s">
        <v>405</v>
      </c>
      <c r="B31" s="3"/>
      <c r="C31" s="3"/>
      <c r="D31" s="3"/>
      <c r="E31" s="3"/>
      <c r="F31" s="3"/>
    </row>
    <row r="32" customFormat="false" ht="30" hidden="false" customHeight="true" outlineLevel="0" collapsed="false">
      <c r="A32" s="37" t="s">
        <v>406</v>
      </c>
      <c r="B32" s="37"/>
      <c r="C32" s="37"/>
      <c r="D32" s="37"/>
      <c r="E32" s="37"/>
      <c r="F32" s="37"/>
    </row>
    <row r="33" customFormat="false" ht="18" hidden="false" customHeight="true" outlineLevel="0" collapsed="false">
      <c r="A33" s="13" t="s">
        <v>170</v>
      </c>
      <c r="B33" s="13" t="s">
        <v>365</v>
      </c>
      <c r="C33" s="13" t="s">
        <v>366</v>
      </c>
      <c r="D33" s="13" t="s">
        <v>367</v>
      </c>
      <c r="E33" s="13" t="s">
        <v>237</v>
      </c>
      <c r="F33" s="13" t="s">
        <v>368</v>
      </c>
    </row>
    <row r="34" customFormat="false" ht="42" hidden="false" customHeight="true" outlineLevel="0" collapsed="false">
      <c r="A34" s="19" t="s">
        <v>407</v>
      </c>
      <c r="B34" s="9" t="s">
        <v>408</v>
      </c>
      <c r="C34" s="70" t="s">
        <v>409</v>
      </c>
      <c r="D34" s="71" t="n">
        <f aca="false">IF(IF(Rekorde!$L$8="",Übungen!$H$8,Rekorde!$L$8)="","offen",IF(Übungen!$J$8="",ROUND(IF(Rekorde!$L$8="",Übungen!$H$8,Rekorde!$L$8)*50/100*2,0)/2,FLOOR(IF(Rekorde!$L$8="",Übungen!$H$8,Rekorde!$L$8)*50/100/Übungen!$J$8,1)*Übungen!$J$8))</f>
        <v>105</v>
      </c>
      <c r="E34" s="72" t="s">
        <v>410</v>
      </c>
      <c r="F34" s="9" t="s">
        <v>411</v>
      </c>
    </row>
    <row r="35" customFormat="false" ht="30" hidden="false" customHeight="true" outlineLevel="0" collapsed="false">
      <c r="A35" s="19" t="s">
        <v>412</v>
      </c>
      <c r="B35" s="9" t="s">
        <v>413</v>
      </c>
      <c r="C35" s="70" t="s">
        <v>409</v>
      </c>
      <c r="D35" s="71" t="n">
        <f aca="false">IF(IF(Rekorde!$L$12="",Übungen!$H$12,Rekorde!$L$12)="","offen",IF(Übungen!$J$12="",ROUND(IF(Rekorde!$L$12="",Übungen!$H$12,Rekorde!$L$12)*50/100*2,0)/2,FLOOR(IF(Rekorde!$L$12="",Übungen!$H$12,Rekorde!$L$12)*50/100/Übungen!$J$12,1)*Übungen!$J$12))</f>
        <v>140</v>
      </c>
      <c r="E35" s="72" t="s">
        <v>410</v>
      </c>
      <c r="F35" s="9" t="s">
        <v>414</v>
      </c>
    </row>
    <row r="36" customFormat="false" ht="30" hidden="false" customHeight="true" outlineLevel="0" collapsed="false">
      <c r="A36" s="19" t="s">
        <v>415</v>
      </c>
      <c r="B36" s="9" t="s">
        <v>416</v>
      </c>
      <c r="C36" s="70" t="s">
        <v>409</v>
      </c>
      <c r="D36" s="71" t="n">
        <f aca="false">IF(IF(Rekorde!$L$5="",Übungen!$H$5,Rekorde!$L$5)="","offen",IF(Übungen!$J$5="",ROUND(IF(Rekorde!$L$5="",Übungen!$H$5,Rekorde!$L$5)*50/100*2,0)/2,FLOOR(IF(Rekorde!$L$5="",Übungen!$H$5,Rekorde!$L$5)*50/100/Übungen!$J$5,1)*Übungen!$J$5))</f>
        <v>60</v>
      </c>
      <c r="E36" s="72" t="s">
        <v>410</v>
      </c>
      <c r="F36" s="9" t="s">
        <v>417</v>
      </c>
    </row>
    <row r="37" customFormat="false" ht="17.25" hidden="false" customHeight="true" outlineLevel="0" collapsed="false">
      <c r="A37" s="19" t="s">
        <v>386</v>
      </c>
      <c r="B37" s="9" t="s">
        <v>418</v>
      </c>
      <c r="C37" s="70" t="s">
        <v>409</v>
      </c>
      <c r="D37" s="71" t="n">
        <f aca="false">IF(IF(Rekorde!$L$4="",Übungen!$H$4,Rekorde!$L$4)="","offen",IF(Übungen!$J$4="",ROUND(IF(Rekorde!$L$4="",Übungen!$H$4,Rekorde!$L$4)*85/100*2,0)/2,FLOOR(IF(Rekorde!$L$4="",Übungen!$H$4,Rekorde!$L$4)*85/100/Übungen!$J$4,1)*Übungen!$J$4))</f>
        <v>255</v>
      </c>
      <c r="E37" s="72" t="s">
        <v>419</v>
      </c>
      <c r="F37" s="9" t="s">
        <v>402</v>
      </c>
    </row>
    <row r="38" customFormat="false" ht="17.25" hidden="false" customHeight="true" outlineLevel="0" collapsed="false">
      <c r="A38" s="19" t="s">
        <v>391</v>
      </c>
      <c r="B38" s="9" t="s">
        <v>418</v>
      </c>
      <c r="C38" s="70" t="s">
        <v>409</v>
      </c>
      <c r="D38" s="71" t="n">
        <f aca="false">IF(IF(Rekorde!$L$11="",Übungen!$H$11,Rekorde!$L$11)="","offen",IF(Übungen!$J$11="",ROUND(IF(Rekorde!$L$11="",Übungen!$H$11,Rekorde!$L$11)*85/100*2,0)/2,FLOOR(IF(Rekorde!$L$11="",Übungen!$H$11,Rekorde!$L$11)*85/100/Übungen!$J$11,1)*Übungen!$J$11))</f>
        <v>185</v>
      </c>
      <c r="E38" s="72" t="s">
        <v>419</v>
      </c>
      <c r="F38" s="9" t="s">
        <v>402</v>
      </c>
    </row>
    <row r="39" customFormat="false" ht="17.25" hidden="false" customHeight="true" outlineLevel="0" collapsed="false">
      <c r="A39" s="19" t="s">
        <v>394</v>
      </c>
      <c r="B39" s="9" t="s">
        <v>418</v>
      </c>
      <c r="C39" s="70" t="s">
        <v>409</v>
      </c>
      <c r="D39" s="71" t="n">
        <f aca="false">IF(IF(Rekorde!$L$13="",Übungen!$H$13,Rekorde!$L$13)="","offen",IF(Übungen!$J$13="",ROUND(IF(Rekorde!$L$13="",Übungen!$H$13,Rekorde!$L$13)*85/100*2,0)/2,FLOOR(IF(Rekorde!$L$13="",Übungen!$H$13,Rekorde!$L$13)*85/100/Übungen!$J$13,1)*Übungen!$J$13))</f>
        <v>140</v>
      </c>
      <c r="E39" s="72" t="s">
        <v>419</v>
      </c>
      <c r="F39" s="9" t="s">
        <v>402</v>
      </c>
    </row>
    <row r="40" customFormat="false" ht="17.25" hidden="false" customHeight="true" outlineLevel="0" collapsed="false">
      <c r="A40" s="19" t="s">
        <v>397</v>
      </c>
      <c r="B40" s="9" t="s">
        <v>418</v>
      </c>
      <c r="C40" s="70" t="s">
        <v>388</v>
      </c>
      <c r="D40" s="71" t="n">
        <f aca="false">IF(IF(Rekorde!$L$15="",Übungen!$H$15,Rekorde!$L$15)="","offen",IF(Übungen!$J$15="",ROUND(IF(Rekorde!$L$15="",Übungen!$H$15,Rekorde!$L$15)*85/100*2,0)/2,FLOOR(IF(Rekorde!$L$15="",Übungen!$H$15,Rekorde!$L$15)*85/100/Übungen!$J$15,1)*Übungen!$J$15))</f>
        <v>30</v>
      </c>
      <c r="E40" s="72" t="s">
        <v>419</v>
      </c>
      <c r="F40" s="9" t="s">
        <v>402</v>
      </c>
    </row>
    <row r="41" customFormat="false" ht="17.25" hidden="false" customHeight="true" outlineLevel="0" collapsed="false">
      <c r="A41" s="19" t="s">
        <v>369</v>
      </c>
      <c r="B41" s="9" t="s">
        <v>400</v>
      </c>
      <c r="C41" s="70" t="s">
        <v>409</v>
      </c>
      <c r="D41" s="71" t="n">
        <f aca="false">IF(IF(Rekorde!$L$6="",Übungen!$H$6,Rekorde!$L$6)="","offen",IF(Übungen!$J$6="",ROUND(IF(Rekorde!$L$6="",Übungen!$H$6,Rekorde!$L$6)*95/100*2,0)/2,FLOOR(IF(Rekorde!$L$6="",Übungen!$H$6,Rekorde!$L$6)*95/100/Übungen!$J$6,1)*Übungen!$J$6))</f>
        <v>90</v>
      </c>
      <c r="E41" s="72" t="s">
        <v>420</v>
      </c>
      <c r="F41" s="9" t="s">
        <v>402</v>
      </c>
    </row>
    <row r="42" customFormat="false" ht="17.25" hidden="false" customHeight="true" outlineLevel="0" collapsed="false">
      <c r="A42" s="19" t="s">
        <v>374</v>
      </c>
      <c r="B42" s="9" t="s">
        <v>400</v>
      </c>
      <c r="C42" s="70" t="s">
        <v>409</v>
      </c>
      <c r="D42" s="71" t="n">
        <f aca="false">IF(IF(Rekorde!$L$14="",Übungen!$H$14,Rekorde!$L$14)="","offen",IF(Übungen!$J$14="",ROUND(IF(Rekorde!$L$14="",Übungen!$H$14,Rekorde!$L$14)*95/100*2,0)/2,FLOOR(IF(Rekorde!$L$14="",Übungen!$H$14,Rekorde!$L$14)*95/100/Übungen!$J$14,1)*Übungen!$J$14))</f>
        <v>42.5</v>
      </c>
      <c r="E42" s="72" t="s">
        <v>420</v>
      </c>
      <c r="F42" s="9" t="s">
        <v>402</v>
      </c>
    </row>
    <row r="43" customFormat="false" ht="17.25" hidden="false" customHeight="true" outlineLevel="0" collapsed="false">
      <c r="A43" s="19" t="s">
        <v>377</v>
      </c>
      <c r="B43" s="9" t="s">
        <v>400</v>
      </c>
      <c r="C43" s="70" t="s">
        <v>409</v>
      </c>
      <c r="D43" s="71" t="n">
        <f aca="false">IF(IF(Rekorde!$L$7="",Übungen!$H$7,Rekorde!$L$7)="","offen",IF(Übungen!$J$7="",ROUND(IF(Rekorde!$L$7="",Übungen!$H$7,Rekorde!$L$7)*95/100*2,0)/2,FLOOR(IF(Rekorde!$L$7="",Übungen!$H$7,Rekorde!$L$7)*95/100/Übungen!$J$7,1)*Übungen!$J$7))</f>
        <v>155</v>
      </c>
      <c r="E43" s="72" t="s">
        <v>420</v>
      </c>
      <c r="F43" s="9" t="s">
        <v>402</v>
      </c>
    </row>
    <row r="44" customFormat="false" ht="17.25" hidden="false" customHeight="true" outlineLevel="0" collapsed="false">
      <c r="A44" s="19" t="s">
        <v>380</v>
      </c>
      <c r="B44" s="9" t="s">
        <v>421</v>
      </c>
      <c r="C44" s="70" t="s">
        <v>388</v>
      </c>
      <c r="D44" s="71" t="n">
        <f aca="false">IF(IF(Rekorde!$L$16="",Übungen!$H$16,Rekorde!$L$16)="","offen",IF(Übungen!$J$16="",ROUND(IF(Rekorde!$L$16="",Übungen!$H$16,Rekorde!$L$16)*95/100*2,0)/2,FLOOR(IF(Rekorde!$L$16="",Übungen!$H$16,Rekorde!$L$16)*95/100/Übungen!$J$16,1)*Übungen!$J$16))</f>
        <v>180</v>
      </c>
      <c r="E44" s="72" t="s">
        <v>420</v>
      </c>
      <c r="F44" s="9" t="s">
        <v>402</v>
      </c>
    </row>
    <row r="46" customFormat="false" ht="19.5" hidden="false" customHeight="true" outlineLevel="0" collapsed="false">
      <c r="A46" s="3" t="s">
        <v>422</v>
      </c>
      <c r="B46" s="3"/>
      <c r="C46" s="3"/>
      <c r="D46" s="3"/>
      <c r="E46" s="3"/>
      <c r="F46" s="3"/>
    </row>
    <row r="47" customFormat="false" ht="30" hidden="false" customHeight="true" outlineLevel="0" collapsed="false">
      <c r="A47" s="37" t="s">
        <v>423</v>
      </c>
      <c r="B47" s="37"/>
      <c r="C47" s="37"/>
      <c r="D47" s="37"/>
      <c r="E47" s="37"/>
      <c r="F47" s="37"/>
    </row>
    <row r="48" customFormat="false" ht="18" hidden="false" customHeight="true" outlineLevel="0" collapsed="false">
      <c r="A48" s="13" t="s">
        <v>170</v>
      </c>
      <c r="B48" s="13" t="s">
        <v>365</v>
      </c>
      <c r="C48" s="13" t="s">
        <v>366</v>
      </c>
      <c r="D48" s="13" t="s">
        <v>367</v>
      </c>
      <c r="E48" s="13" t="s">
        <v>237</v>
      </c>
      <c r="F48" s="13" t="s">
        <v>368</v>
      </c>
    </row>
    <row r="49" customFormat="false" ht="42" hidden="false" customHeight="true" outlineLevel="0" collapsed="false">
      <c r="A49" s="19" t="s">
        <v>424</v>
      </c>
      <c r="B49" s="9" t="s">
        <v>425</v>
      </c>
      <c r="C49" s="70" t="s">
        <v>409</v>
      </c>
      <c r="D49" s="71" t="n">
        <f aca="false">IF(IF(Rekorde!$L$10="",Übungen!$H$10,Rekorde!$L$10)="","offen",IF(Übungen!$J$10="",ROUND(IF(Rekorde!$L$10="",Übungen!$H$10,Rekorde!$L$10)*50/100*2,0)/2,FLOOR(IF(Rekorde!$L$10="",Übungen!$H$10,Rekorde!$L$10)*50/100/Übungen!$J$10,1)*Übungen!$J$10))</f>
        <v>16</v>
      </c>
      <c r="E49" s="72" t="s">
        <v>410</v>
      </c>
      <c r="F49" s="9" t="s">
        <v>426</v>
      </c>
    </row>
    <row r="51" customFormat="false" ht="19.5" hidden="false" customHeight="true" outlineLevel="0" collapsed="false">
      <c r="A51" s="3" t="s">
        <v>427</v>
      </c>
      <c r="B51" s="3"/>
      <c r="C51" s="3"/>
      <c r="D51" s="3"/>
      <c r="E51" s="3"/>
      <c r="F51" s="3"/>
    </row>
    <row r="52" customFormat="false" ht="30" hidden="false" customHeight="true" outlineLevel="0" collapsed="false">
      <c r="A52" s="19" t="s">
        <v>428</v>
      </c>
      <c r="B52" s="9" t="s">
        <v>429</v>
      </c>
      <c r="C52" s="9"/>
      <c r="D52" s="9"/>
      <c r="E52" s="9"/>
      <c r="F52" s="9"/>
    </row>
    <row r="53" customFormat="false" ht="30" hidden="false" customHeight="true" outlineLevel="0" collapsed="false">
      <c r="A53" s="19" t="s">
        <v>430</v>
      </c>
      <c r="B53" s="9" t="s">
        <v>431</v>
      </c>
      <c r="C53" s="9"/>
      <c r="D53" s="9"/>
      <c r="E53" s="9"/>
      <c r="F53" s="9"/>
    </row>
    <row r="54" customFormat="false" ht="30" hidden="false" customHeight="true" outlineLevel="0" collapsed="false">
      <c r="A54" s="19" t="s">
        <v>432</v>
      </c>
      <c r="B54" s="9" t="s">
        <v>433</v>
      </c>
      <c r="C54" s="9"/>
      <c r="D54" s="9"/>
      <c r="E54" s="9"/>
      <c r="F54" s="9"/>
    </row>
    <row r="55" customFormat="false" ht="42" hidden="false" customHeight="true" outlineLevel="0" collapsed="false">
      <c r="A55" s="19" t="s">
        <v>434</v>
      </c>
      <c r="B55" s="9" t="s">
        <v>435</v>
      </c>
      <c r="C55" s="9"/>
      <c r="D55" s="9"/>
      <c r="E55" s="9"/>
      <c r="F55" s="9"/>
    </row>
  </sheetData>
  <mergeCells count="20">
    <mergeCell ref="A1:F1"/>
    <mergeCell ref="A2:F2"/>
    <mergeCell ref="A4:F4"/>
    <mergeCell ref="A6:F6"/>
    <mergeCell ref="C7:F7"/>
    <mergeCell ref="C8:F8"/>
    <mergeCell ref="C9:F9"/>
    <mergeCell ref="A11:F11"/>
    <mergeCell ref="A12:F12"/>
    <mergeCell ref="A19:F19"/>
    <mergeCell ref="A20:F20"/>
    <mergeCell ref="A31:F31"/>
    <mergeCell ref="A32:F32"/>
    <mergeCell ref="A46:F46"/>
    <mergeCell ref="A47:F47"/>
    <mergeCell ref="A51:F51"/>
    <mergeCell ref="B52:F52"/>
    <mergeCell ref="B53:F53"/>
    <mergeCell ref="B54:F54"/>
    <mergeCell ref="B55:F55"/>
  </mergeCell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&amp;K808080Reha-Plan Beine</oddHeader>
    <oddFooter>&amp;L&amp;8 &amp;K808080Quelle: Löwin_Training_260727.pdf&amp;R&amp;8 &amp;K808080Seite &amp;P von &amp;N</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7"/>
    <col collapsed="false" customWidth="true" hidden="false" outlineLevel="0" max="4" min="4" style="0" width="12"/>
    <col collapsed="false" customWidth="true" hidden="false" outlineLevel="0" max="7" min="5" style="0" width="9"/>
    <col collapsed="false" customWidth="true" hidden="false" outlineLevel="0" max="8" min="8" style="0" width="10"/>
    <col collapsed="false" customWidth="true" hidden="false" outlineLevel="0" max="9" min="9" style="0" width="14"/>
    <col collapsed="false" customWidth="true" hidden="false" outlineLevel="0" max="10" min="10" style="0" width="13"/>
    <col collapsed="false" customWidth="true" hidden="false" outlineLevel="0" max="11" min="11" style="0" width="11"/>
    <col collapsed="false" customWidth="true" hidden="false" outlineLevel="0" max="12" min="12" style="0" width="32"/>
  </cols>
  <sheetData>
    <row r="1" customFormat="false" ht="30" hidden="false" customHeight="true" outlineLevel="0" collapsed="false">
      <c r="A1" s="1" t="s">
        <v>436</v>
      </c>
      <c r="B1" s="1"/>
      <c r="C1" s="1"/>
      <c r="D1" s="1"/>
      <c r="E1" s="1"/>
      <c r="F1" s="1"/>
      <c r="G1" s="1"/>
      <c r="H1" s="1"/>
      <c r="I1" s="1"/>
      <c r="J1" s="1"/>
      <c r="K1" s="1"/>
      <c r="L1" s="1"/>
    </row>
    <row r="2" customFormat="false" ht="15" hidden="false" customHeight="true" outlineLevel="0" collapsed="false">
      <c r="A2" s="2" t="s">
        <v>437</v>
      </c>
      <c r="B2" s="2"/>
      <c r="C2" s="2"/>
      <c r="D2" s="2"/>
      <c r="E2" s="2"/>
      <c r="F2" s="2"/>
      <c r="G2" s="2"/>
      <c r="H2" s="2"/>
      <c r="I2" s="2"/>
      <c r="J2" s="2"/>
      <c r="K2" s="2"/>
      <c r="L2" s="2"/>
    </row>
    <row r="3" customFormat="false" ht="31.5" hidden="false" customHeight="true" outlineLevel="0" collapsed="false">
      <c r="A3" s="13" t="s">
        <v>90</v>
      </c>
      <c r="B3" s="13" t="s">
        <v>75</v>
      </c>
      <c r="C3" s="13" t="s">
        <v>438</v>
      </c>
      <c r="D3" s="13" t="s">
        <v>439</v>
      </c>
      <c r="E3" s="13" t="s">
        <v>440</v>
      </c>
      <c r="F3" s="13" t="s">
        <v>441</v>
      </c>
      <c r="G3" s="13" t="s">
        <v>442</v>
      </c>
      <c r="H3" s="13" t="s">
        <v>443</v>
      </c>
      <c r="I3" s="13" t="s">
        <v>444</v>
      </c>
      <c r="J3" s="13" t="s">
        <v>445</v>
      </c>
      <c r="K3" s="13" t="s">
        <v>446</v>
      </c>
      <c r="L3" s="13" t="s">
        <v>256</v>
      </c>
    </row>
    <row r="4" customFormat="false" ht="18" hidden="false" customHeight="true" outlineLevel="0" collapsed="false">
      <c r="A4" s="73" t="n">
        <v>1</v>
      </c>
      <c r="B4" s="53"/>
      <c r="C4" s="56"/>
      <c r="D4" s="55"/>
      <c r="E4" s="74"/>
      <c r="F4" s="55"/>
      <c r="G4" s="74"/>
      <c r="H4" s="49" t="n">
        <f aca="false">IF(COUNTIFS(Log!$B$4:$B$1203,$A4,Log!$E$4:$E$1203,"A")=0,"",COUNTIFS(Log!$B$4:$B$1203,$A4,Log!$E$4:$E$1203,"A"))</f>
        <v>18</v>
      </c>
      <c r="I4" s="49" t="n">
        <f aca="false">IF($H4="","",SUMIFS(Log!$I$4:$I$1203,Log!$B$4:$B$1203,$A4,Log!$E$4:$E$1203,"A"))</f>
        <v>19139.5</v>
      </c>
      <c r="J4" s="49" t="n">
        <f aca="false">IF($H4="","",SUMIFS(Log!$I$4:$I$1203,Log!$B$4:$B$1203,$A4))</f>
        <v>23617</v>
      </c>
      <c r="L4" s="54"/>
    </row>
    <row r="5" customFormat="false" ht="18" hidden="false" customHeight="true" outlineLevel="0" collapsed="false">
      <c r="A5" s="73" t="n">
        <v>2</v>
      </c>
      <c r="B5" s="53"/>
      <c r="C5" s="56"/>
      <c r="D5" s="55"/>
      <c r="E5" s="74"/>
      <c r="F5" s="55"/>
      <c r="G5" s="74"/>
      <c r="H5" s="49" t="n">
        <f aca="false">IF(COUNTIFS(Log!$B$4:$B$1203,$A5,Log!$E$4:$E$1203,"A")=0,"",COUNTIFS(Log!$B$4:$B$1203,$A5,Log!$E$4:$E$1203,"A"))</f>
        <v>18</v>
      </c>
      <c r="I5" s="49" t="n">
        <f aca="false">IF($H5="","",SUMIFS(Log!$I$4:$I$1203,Log!$B$4:$B$1203,$A5,Log!$E$4:$E$1203,"A"))</f>
        <v>19654</v>
      </c>
      <c r="J5" s="49" t="n">
        <f aca="false">IF($H5="","",SUMIFS(Log!$I$4:$I$1203,Log!$B$4:$B$1203,$A5))</f>
        <v>23569</v>
      </c>
      <c r="L5" s="54"/>
    </row>
    <row r="6" customFormat="false" ht="18" hidden="false" customHeight="true" outlineLevel="0" collapsed="false">
      <c r="A6" s="73" t="n">
        <v>3</v>
      </c>
      <c r="B6" s="53"/>
      <c r="C6" s="56"/>
      <c r="D6" s="55"/>
      <c r="E6" s="74"/>
      <c r="F6" s="55"/>
      <c r="G6" s="74"/>
      <c r="H6" s="49" t="n">
        <f aca="false">IF(COUNTIFS(Log!$B$4:$B$1203,$A6,Log!$E$4:$E$1203,"A")=0,"",COUNTIFS(Log!$B$4:$B$1203,$A6,Log!$E$4:$E$1203,"A"))</f>
        <v>14</v>
      </c>
      <c r="I6" s="49" t="n">
        <f aca="false">IF($H6="","",SUMIFS(Log!$I$4:$I$1203,Log!$B$4:$B$1203,$A6,Log!$E$4:$E$1203,"A"))</f>
        <v>17343.5</v>
      </c>
      <c r="J6" s="49" t="n">
        <f aca="false">IF($H6="","",SUMIFS(Log!$I$4:$I$1203,Log!$B$4:$B$1203,$A6))</f>
        <v>20558.5</v>
      </c>
      <c r="L6" s="54"/>
    </row>
    <row r="7" customFormat="false" ht="18" hidden="false" customHeight="true" outlineLevel="0" collapsed="false">
      <c r="A7" s="73" t="n">
        <v>4</v>
      </c>
      <c r="B7" s="53"/>
      <c r="C7" s="56"/>
      <c r="D7" s="55"/>
      <c r="E7" s="74"/>
      <c r="F7" s="55"/>
      <c r="G7" s="74"/>
      <c r="H7" s="49" t="n">
        <f aca="false">IF(COUNTIFS(Log!$B$4:$B$1203,$A7,Log!$E$4:$E$1203,"A")=0,"",COUNTIFS(Log!$B$4:$B$1203,$A7,Log!$E$4:$E$1203,"A"))</f>
        <v>12</v>
      </c>
      <c r="I7" s="49" t="n">
        <f aca="false">IF($H7="","",SUMIFS(Log!$I$4:$I$1203,Log!$B$4:$B$1203,$A7,Log!$E$4:$E$1203,"A"))</f>
        <v>18367.5</v>
      </c>
      <c r="J7" s="49" t="n">
        <f aca="false">IF($H7="","",SUMIFS(Log!$I$4:$I$1203,Log!$B$4:$B$1203,$A7))</f>
        <v>21427.5</v>
      </c>
      <c r="L7" s="54"/>
    </row>
    <row r="8" customFormat="false" ht="18" hidden="false" customHeight="true" outlineLevel="0" collapsed="false">
      <c r="A8" s="73" t="n">
        <v>5</v>
      </c>
      <c r="B8" s="53"/>
      <c r="C8" s="56"/>
      <c r="D8" s="55"/>
      <c r="E8" s="74"/>
      <c r="F8" s="55"/>
      <c r="G8" s="74"/>
      <c r="H8" s="49" t="n">
        <f aca="false">IF(COUNTIFS(Log!$B$4:$B$1203,$A8,Log!$E$4:$E$1203,"A")=0,"",COUNTIFS(Log!$B$4:$B$1203,$A8,Log!$E$4:$E$1203,"A"))</f>
        <v>20</v>
      </c>
      <c r="I8" s="49" t="n">
        <f aca="false">IF($H8="","",SUMIFS(Log!$I$4:$I$1203,Log!$B$4:$B$1203,$A8,Log!$E$4:$E$1203,"A"))</f>
        <v>25361</v>
      </c>
      <c r="J8" s="49" t="n">
        <f aca="false">IF($H8="","",SUMIFS(Log!$I$4:$I$1203,Log!$B$4:$B$1203,$A8))</f>
        <v>30581</v>
      </c>
      <c r="L8" s="54"/>
    </row>
    <row r="9" customFormat="false" ht="18" hidden="false" customHeight="true" outlineLevel="0" collapsed="false">
      <c r="A9" s="73" t="n">
        <v>6</v>
      </c>
      <c r="B9" s="53"/>
      <c r="C9" s="56"/>
      <c r="D9" s="55"/>
      <c r="E9" s="74"/>
      <c r="F9" s="55"/>
      <c r="G9" s="74"/>
      <c r="H9" s="49" t="n">
        <f aca="false">IF(COUNTIFS(Log!$B$4:$B$1203,$A9,Log!$E$4:$E$1203,"A")=0,"",COUNTIFS(Log!$B$4:$B$1203,$A9,Log!$E$4:$E$1203,"A"))</f>
        <v>11</v>
      </c>
      <c r="I9" s="49" t="n">
        <f aca="false">IF($H9="","",SUMIFS(Log!$I$4:$I$1203,Log!$B$4:$B$1203,$A9,Log!$E$4:$E$1203,"A"))</f>
        <v>14572</v>
      </c>
      <c r="J9" s="49" t="n">
        <f aca="false">IF($H9="","",SUMIFS(Log!$I$4:$I$1203,Log!$B$4:$B$1203,$A9))</f>
        <v>14572</v>
      </c>
      <c r="L9" s="54"/>
    </row>
    <row r="10" customFormat="false" ht="18" hidden="false" customHeight="true" outlineLevel="0" collapsed="false">
      <c r="A10" s="73" t="n">
        <v>7</v>
      </c>
      <c r="B10" s="53"/>
      <c r="C10" s="56"/>
      <c r="D10" s="55"/>
      <c r="E10" s="74"/>
      <c r="F10" s="55"/>
      <c r="G10" s="74"/>
      <c r="H10" s="49" t="n">
        <f aca="false">IF(COUNTIFS(Log!$B$4:$B$1203,$A10,Log!$E$4:$E$1203,"A")=0,"",COUNTIFS(Log!$B$4:$B$1203,$A10,Log!$E$4:$E$1203,"A"))</f>
        <v>12</v>
      </c>
      <c r="I10" s="49" t="n">
        <f aca="false">IF($H10="","",SUMIFS(Log!$I$4:$I$1203,Log!$B$4:$B$1203,$A10,Log!$E$4:$E$1203,"A"))</f>
        <v>18167</v>
      </c>
      <c r="J10" s="49" t="n">
        <f aca="false">IF($H10="","",SUMIFS(Log!$I$4:$I$1203,Log!$B$4:$B$1203,$A10))</f>
        <v>18167</v>
      </c>
      <c r="L10" s="54"/>
    </row>
    <row r="11" customFormat="false" ht="18" hidden="false" customHeight="true" outlineLevel="0" collapsed="false">
      <c r="A11" s="73" t="n">
        <v>8</v>
      </c>
      <c r="B11" s="53"/>
      <c r="C11" s="56"/>
      <c r="D11" s="55"/>
      <c r="E11" s="74"/>
      <c r="F11" s="55"/>
      <c r="G11" s="74"/>
      <c r="H11" s="49" t="n">
        <f aca="false">IF(COUNTIFS(Log!$B$4:$B$1203,$A11,Log!$E$4:$E$1203,"A")=0,"",COUNTIFS(Log!$B$4:$B$1203,$A11,Log!$E$4:$E$1203,"A"))</f>
        <v>12</v>
      </c>
      <c r="I11" s="49" t="n">
        <f aca="false">IF($H11="","",SUMIFS(Log!$I$4:$I$1203,Log!$B$4:$B$1203,$A11,Log!$E$4:$E$1203,"A"))</f>
        <v>14853.5</v>
      </c>
      <c r="J11" s="49" t="n">
        <f aca="false">IF($H11="","",SUMIFS(Log!$I$4:$I$1203,Log!$B$4:$B$1203,$A11))</f>
        <v>14853.5</v>
      </c>
      <c r="L11" s="54"/>
    </row>
    <row r="12" customFormat="false" ht="18" hidden="false" customHeight="true" outlineLevel="0" collapsed="false">
      <c r="A12" s="73" t="n">
        <v>9</v>
      </c>
      <c r="B12" s="53"/>
      <c r="C12" s="56"/>
      <c r="D12" s="55"/>
      <c r="E12" s="74"/>
      <c r="F12" s="55"/>
      <c r="G12" s="74"/>
      <c r="H12" s="49" t="n">
        <f aca="false">IF(COUNTIFS(Log!$B$4:$B$1203,$A12,Log!$E$4:$E$1203,"A")=0,"",COUNTIFS(Log!$B$4:$B$1203,$A12,Log!$E$4:$E$1203,"A"))</f>
        <v>10</v>
      </c>
      <c r="I12" s="49" t="n">
        <f aca="false">IF($H12="","",SUMIFS(Log!$I$4:$I$1203,Log!$B$4:$B$1203,$A12,Log!$E$4:$E$1203,"A"))</f>
        <v>10515</v>
      </c>
      <c r="J12" s="49" t="n">
        <f aca="false">IF($H12="","",SUMIFS(Log!$I$4:$I$1203,Log!$B$4:$B$1203,$A12))</f>
        <v>10515</v>
      </c>
      <c r="L12" s="54"/>
    </row>
    <row r="13" customFormat="false" ht="18" hidden="false" customHeight="true" outlineLevel="0" collapsed="false">
      <c r="A13" s="73" t="n">
        <v>10</v>
      </c>
      <c r="B13" s="53"/>
      <c r="C13" s="56"/>
      <c r="D13" s="55"/>
      <c r="E13" s="74"/>
      <c r="F13" s="55"/>
      <c r="G13" s="74"/>
      <c r="H13" s="49" t="n">
        <f aca="false">IF(COUNTIFS(Log!$B$4:$B$1203,$A13,Log!$E$4:$E$1203,"A")=0,"",COUNTIFS(Log!$B$4:$B$1203,$A13,Log!$E$4:$E$1203,"A"))</f>
        <v>9</v>
      </c>
      <c r="I13" s="49" t="n">
        <f aca="false">IF($H13="","",SUMIFS(Log!$I$4:$I$1203,Log!$B$4:$B$1203,$A13,Log!$E$4:$E$1203,"A"))</f>
        <v>12680</v>
      </c>
      <c r="J13" s="49" t="n">
        <f aca="false">IF($H13="","",SUMIFS(Log!$I$4:$I$1203,Log!$B$4:$B$1203,$A13))</f>
        <v>12680</v>
      </c>
      <c r="L13" s="54"/>
    </row>
    <row r="14" customFormat="false" ht="18" hidden="false" customHeight="true" outlineLevel="0" collapsed="false">
      <c r="A14" s="73" t="n">
        <v>11</v>
      </c>
      <c r="B14" s="53"/>
      <c r="C14" s="56"/>
      <c r="D14" s="55"/>
      <c r="E14" s="74"/>
      <c r="F14" s="55"/>
      <c r="G14" s="74"/>
      <c r="H14" s="49" t="n">
        <f aca="false">IF(COUNTIFS(Log!$B$4:$B$1203,$A14,Log!$E$4:$E$1203,"A")=0,"",COUNTIFS(Log!$B$4:$B$1203,$A14,Log!$E$4:$E$1203,"A"))</f>
        <v>12</v>
      </c>
      <c r="I14" s="49" t="n">
        <f aca="false">IF($H14="","",SUMIFS(Log!$I$4:$I$1203,Log!$B$4:$B$1203,$A14,Log!$E$4:$E$1203,"A"))</f>
        <v>15102</v>
      </c>
      <c r="J14" s="49" t="n">
        <f aca="false">IF($H14="","",SUMIFS(Log!$I$4:$I$1203,Log!$B$4:$B$1203,$A14))</f>
        <v>15102</v>
      </c>
      <c r="L14" s="54"/>
    </row>
    <row r="15" customFormat="false" ht="18" hidden="false" customHeight="true" outlineLevel="0" collapsed="false">
      <c r="A15" s="73" t="n">
        <v>12</v>
      </c>
      <c r="B15" s="53"/>
      <c r="C15" s="56"/>
      <c r="D15" s="55"/>
      <c r="E15" s="74"/>
      <c r="F15" s="55"/>
      <c r="G15" s="74"/>
      <c r="H15" s="49" t="n">
        <f aca="false">IF(COUNTIFS(Log!$B$4:$B$1203,$A15,Log!$E$4:$E$1203,"A")=0,"",COUNTIFS(Log!$B$4:$B$1203,$A15,Log!$E$4:$E$1203,"A"))</f>
        <v>9</v>
      </c>
      <c r="I15" s="49" t="n">
        <f aca="false">IF($H15="","",SUMIFS(Log!$I$4:$I$1203,Log!$B$4:$B$1203,$A15,Log!$E$4:$E$1203,"A"))</f>
        <v>9070</v>
      </c>
      <c r="J15" s="49" t="n">
        <f aca="false">IF($H15="","",SUMIFS(Log!$I$4:$I$1203,Log!$B$4:$B$1203,$A15))</f>
        <v>9070</v>
      </c>
      <c r="L15" s="54"/>
    </row>
    <row r="16" customFormat="false" ht="18" hidden="false" customHeight="true" outlineLevel="0" collapsed="false">
      <c r="A16" s="73" t="n">
        <v>13</v>
      </c>
      <c r="B16" s="53"/>
      <c r="C16" s="56"/>
      <c r="D16" s="55"/>
      <c r="E16" s="74"/>
      <c r="F16" s="55"/>
      <c r="G16" s="74"/>
      <c r="H16" s="49" t="n">
        <f aca="false">IF(COUNTIFS(Log!$B$4:$B$1203,$A16,Log!$E$4:$E$1203,"A")=0,"",COUNTIFS(Log!$B$4:$B$1203,$A16,Log!$E$4:$E$1203,"A"))</f>
        <v>11</v>
      </c>
      <c r="I16" s="49" t="n">
        <f aca="false">IF($H16="","",SUMIFS(Log!$I$4:$I$1203,Log!$B$4:$B$1203,$A16,Log!$E$4:$E$1203,"A"))</f>
        <v>14513.5</v>
      </c>
      <c r="J16" s="49" t="n">
        <f aca="false">IF($H16="","",SUMIFS(Log!$I$4:$I$1203,Log!$B$4:$B$1203,$A16))</f>
        <v>14513.5</v>
      </c>
      <c r="L16" s="54"/>
    </row>
    <row r="17" customFormat="false" ht="18" hidden="false" customHeight="true" outlineLevel="0" collapsed="false">
      <c r="A17" s="73" t="n">
        <v>14</v>
      </c>
      <c r="B17" s="53"/>
      <c r="C17" s="56"/>
      <c r="D17" s="55"/>
      <c r="E17" s="74"/>
      <c r="F17" s="55"/>
      <c r="G17" s="74"/>
      <c r="H17" s="49" t="n">
        <f aca="false">IF(COUNTIFS(Log!$B$4:$B$1203,$A17,Log!$E$4:$E$1203,"A")=0,"",COUNTIFS(Log!$B$4:$B$1203,$A17,Log!$E$4:$E$1203,"A"))</f>
        <v>18</v>
      </c>
      <c r="I17" s="49" t="n">
        <f aca="false">IF($H17="","",SUMIFS(Log!$I$4:$I$1203,Log!$B$4:$B$1203,$A17,Log!$E$4:$E$1203,"A"))</f>
        <v>15055</v>
      </c>
      <c r="J17" s="49" t="n">
        <f aca="false">IF($H17="","",SUMIFS(Log!$I$4:$I$1203,Log!$B$4:$B$1203,$A17))</f>
        <v>15055</v>
      </c>
      <c r="L17" s="54"/>
    </row>
    <row r="18" customFormat="false" ht="18" hidden="false" customHeight="true" outlineLevel="0" collapsed="false">
      <c r="A18" s="73" t="n">
        <v>15</v>
      </c>
      <c r="B18" s="53"/>
      <c r="C18" s="56"/>
      <c r="D18" s="55"/>
      <c r="E18" s="74"/>
      <c r="F18" s="55"/>
      <c r="G18" s="74"/>
      <c r="H18" s="49" t="n">
        <f aca="false">IF(COUNTIFS(Log!$B$4:$B$1203,$A18,Log!$E$4:$E$1203,"A")=0,"",COUNTIFS(Log!$B$4:$B$1203,$A18,Log!$E$4:$E$1203,"A"))</f>
        <v>8</v>
      </c>
      <c r="I18" s="49" t="n">
        <f aca="false">IF($H18="","",SUMIFS(Log!$I$4:$I$1203,Log!$B$4:$B$1203,$A18,Log!$E$4:$E$1203,"A"))</f>
        <v>9054</v>
      </c>
      <c r="J18" s="49" t="n">
        <f aca="false">IF($H18="","",SUMIFS(Log!$I$4:$I$1203,Log!$B$4:$B$1203,$A18))</f>
        <v>9054</v>
      </c>
      <c r="L18" s="54"/>
    </row>
    <row r="19" customFormat="false" ht="18" hidden="false" customHeight="true" outlineLevel="0" collapsed="false">
      <c r="A19" s="73" t="n">
        <v>16</v>
      </c>
      <c r="B19" s="53"/>
      <c r="C19" s="56"/>
      <c r="D19" s="55"/>
      <c r="E19" s="74"/>
      <c r="F19" s="55"/>
      <c r="G19" s="74"/>
      <c r="H19" s="49" t="n">
        <f aca="false">IF(COUNTIFS(Log!$B$4:$B$1203,$A19,Log!$E$4:$E$1203,"A")=0,"",COUNTIFS(Log!$B$4:$B$1203,$A19,Log!$E$4:$E$1203,"A"))</f>
        <v>9</v>
      </c>
      <c r="I19" s="49" t="n">
        <f aca="false">IF($H19="","",SUMIFS(Log!$I$4:$I$1203,Log!$B$4:$B$1203,$A19,Log!$E$4:$E$1203,"A"))</f>
        <v>7255</v>
      </c>
      <c r="J19" s="49" t="n">
        <f aca="false">IF($H19="","",SUMIFS(Log!$I$4:$I$1203,Log!$B$4:$B$1203,$A19))</f>
        <v>7255</v>
      </c>
      <c r="L19" s="54"/>
    </row>
    <row r="20" customFormat="false" ht="18" hidden="false" customHeight="true" outlineLevel="0" collapsed="false">
      <c r="A20" s="73" t="n">
        <v>17</v>
      </c>
      <c r="B20" s="53"/>
      <c r="C20" s="56"/>
      <c r="D20" s="55"/>
      <c r="E20" s="74"/>
      <c r="F20" s="55"/>
      <c r="G20" s="74"/>
      <c r="H20" s="49" t="n">
        <f aca="false">IF(COUNTIFS(Log!$B$4:$B$1203,$A20,Log!$E$4:$E$1203,"A")=0,"",COUNTIFS(Log!$B$4:$B$1203,$A20,Log!$E$4:$E$1203,"A"))</f>
        <v>11</v>
      </c>
      <c r="I20" s="49" t="n">
        <f aca="false">IF($H20="","",SUMIFS(Log!$I$4:$I$1203,Log!$B$4:$B$1203,$A20,Log!$E$4:$E$1203,"A"))</f>
        <v>10637</v>
      </c>
      <c r="J20" s="49" t="n">
        <f aca="false">IF($H20="","",SUMIFS(Log!$I$4:$I$1203,Log!$B$4:$B$1203,$A20))</f>
        <v>10637</v>
      </c>
      <c r="L20" s="54"/>
    </row>
    <row r="21" customFormat="false" ht="18" hidden="false" customHeight="true" outlineLevel="0" collapsed="false">
      <c r="A21" s="73" t="n">
        <v>18</v>
      </c>
      <c r="B21" s="53"/>
      <c r="C21" s="56"/>
      <c r="D21" s="55"/>
      <c r="E21" s="74"/>
      <c r="F21" s="55"/>
      <c r="G21" s="74"/>
      <c r="H21" s="49" t="str">
        <f aca="false">IF(COUNTIFS(Log!$B$4:$B$1203,$A21,Log!$E$4:$E$1203,"A")=0,"",COUNTIFS(Log!$B$4:$B$1203,$A21,Log!$E$4:$E$1203,"A"))</f>
        <v/>
      </c>
      <c r="I21" s="49" t="str">
        <f aca="false">IF($H21="","",SUMIFS(Log!$I$4:$I$1203,Log!$B$4:$B$1203,$A21,Log!$E$4:$E$1203,"A"))</f>
        <v/>
      </c>
      <c r="J21" s="49" t="str">
        <f aca="false">IF($H21="","",SUMIFS(Log!$I$4:$I$1203,Log!$B$4:$B$1203,$A21))</f>
        <v/>
      </c>
      <c r="L21" s="54"/>
    </row>
    <row r="22" customFormat="false" ht="18" hidden="false" customHeight="true" outlineLevel="0" collapsed="false">
      <c r="A22" s="73" t="n">
        <v>19</v>
      </c>
      <c r="B22" s="53"/>
      <c r="C22" s="56"/>
      <c r="D22" s="55"/>
      <c r="E22" s="74"/>
      <c r="F22" s="55"/>
      <c r="G22" s="74"/>
      <c r="H22" s="49" t="str">
        <f aca="false">IF(COUNTIFS(Log!$B$4:$B$1203,$A22,Log!$E$4:$E$1203,"A")=0,"",COUNTIFS(Log!$B$4:$B$1203,$A22,Log!$E$4:$E$1203,"A"))</f>
        <v/>
      </c>
      <c r="I22" s="49" t="str">
        <f aca="false">IF($H22="","",SUMIFS(Log!$I$4:$I$1203,Log!$B$4:$B$1203,$A22,Log!$E$4:$E$1203,"A"))</f>
        <v/>
      </c>
      <c r="J22" s="49" t="str">
        <f aca="false">IF($H22="","",SUMIFS(Log!$I$4:$I$1203,Log!$B$4:$B$1203,$A22))</f>
        <v/>
      </c>
      <c r="L22" s="54"/>
    </row>
    <row r="23" customFormat="false" ht="18" hidden="false" customHeight="true" outlineLevel="0" collapsed="false">
      <c r="A23" s="73" t="n">
        <v>20</v>
      </c>
      <c r="B23" s="53"/>
      <c r="C23" s="56"/>
      <c r="D23" s="55"/>
      <c r="E23" s="74"/>
      <c r="F23" s="55"/>
      <c r="G23" s="74"/>
      <c r="H23" s="49" t="str">
        <f aca="false">IF(COUNTIFS(Log!$B$4:$B$1203,$A23,Log!$E$4:$E$1203,"A")=0,"",COUNTIFS(Log!$B$4:$B$1203,$A23,Log!$E$4:$E$1203,"A"))</f>
        <v/>
      </c>
      <c r="I23" s="49" t="str">
        <f aca="false">IF($H23="","",SUMIFS(Log!$I$4:$I$1203,Log!$B$4:$B$1203,$A23,Log!$E$4:$E$1203,"A"))</f>
        <v/>
      </c>
      <c r="J23" s="49" t="str">
        <f aca="false">IF($H23="","",SUMIFS(Log!$I$4:$I$1203,Log!$B$4:$B$1203,$A23))</f>
        <v/>
      </c>
      <c r="L23" s="54"/>
    </row>
    <row r="24" customFormat="false" ht="18" hidden="false" customHeight="true" outlineLevel="0" collapsed="false">
      <c r="A24" s="73" t="n">
        <v>21</v>
      </c>
      <c r="B24" s="53"/>
      <c r="C24" s="56"/>
      <c r="D24" s="55"/>
      <c r="E24" s="74"/>
      <c r="F24" s="55"/>
      <c r="G24" s="74"/>
      <c r="H24" s="49" t="str">
        <f aca="false">IF(COUNTIFS(Log!$B$4:$B$1203,$A24,Log!$E$4:$E$1203,"A")=0,"",COUNTIFS(Log!$B$4:$B$1203,$A24,Log!$E$4:$E$1203,"A"))</f>
        <v/>
      </c>
      <c r="I24" s="49" t="str">
        <f aca="false">IF($H24="","",SUMIFS(Log!$I$4:$I$1203,Log!$B$4:$B$1203,$A24,Log!$E$4:$E$1203,"A"))</f>
        <v/>
      </c>
      <c r="J24" s="49" t="str">
        <f aca="false">IF($H24="","",SUMIFS(Log!$I$4:$I$1203,Log!$B$4:$B$1203,$A24))</f>
        <v/>
      </c>
      <c r="L24" s="54"/>
    </row>
    <row r="25" customFormat="false" ht="18" hidden="false" customHeight="true" outlineLevel="0" collapsed="false">
      <c r="A25" s="73" t="n">
        <v>22</v>
      </c>
      <c r="B25" s="53"/>
      <c r="C25" s="56"/>
      <c r="D25" s="55"/>
      <c r="E25" s="74"/>
      <c r="F25" s="55"/>
      <c r="G25" s="74"/>
      <c r="H25" s="49" t="str">
        <f aca="false">IF(COUNTIFS(Log!$B$4:$B$1203,$A25,Log!$E$4:$E$1203,"A")=0,"",COUNTIFS(Log!$B$4:$B$1203,$A25,Log!$E$4:$E$1203,"A"))</f>
        <v/>
      </c>
      <c r="I25" s="49" t="str">
        <f aca="false">IF($H25="","",SUMIFS(Log!$I$4:$I$1203,Log!$B$4:$B$1203,$A25,Log!$E$4:$E$1203,"A"))</f>
        <v/>
      </c>
      <c r="J25" s="49" t="str">
        <f aca="false">IF($H25="","",SUMIFS(Log!$I$4:$I$1203,Log!$B$4:$B$1203,$A25))</f>
        <v/>
      </c>
      <c r="L25" s="54"/>
    </row>
    <row r="26" customFormat="false" ht="18" hidden="false" customHeight="true" outlineLevel="0" collapsed="false">
      <c r="A26" s="73" t="n">
        <v>23</v>
      </c>
      <c r="B26" s="53"/>
      <c r="C26" s="56"/>
      <c r="D26" s="55"/>
      <c r="E26" s="74"/>
      <c r="F26" s="55"/>
      <c r="G26" s="74"/>
      <c r="H26" s="49" t="str">
        <f aca="false">IF(COUNTIFS(Log!$B$4:$B$1203,$A26,Log!$E$4:$E$1203,"A")=0,"",COUNTIFS(Log!$B$4:$B$1203,$A26,Log!$E$4:$E$1203,"A"))</f>
        <v/>
      </c>
      <c r="I26" s="49" t="str">
        <f aca="false">IF($H26="","",SUMIFS(Log!$I$4:$I$1203,Log!$B$4:$B$1203,$A26,Log!$E$4:$E$1203,"A"))</f>
        <v/>
      </c>
      <c r="J26" s="49" t="str">
        <f aca="false">IF($H26="","",SUMIFS(Log!$I$4:$I$1203,Log!$B$4:$B$1203,$A26))</f>
        <v/>
      </c>
      <c r="L26" s="54"/>
    </row>
    <row r="27" customFormat="false" ht="18" hidden="false" customHeight="true" outlineLevel="0" collapsed="false">
      <c r="A27" s="73" t="n">
        <v>24</v>
      </c>
      <c r="B27" s="53"/>
      <c r="C27" s="56"/>
      <c r="D27" s="55"/>
      <c r="E27" s="74"/>
      <c r="F27" s="55"/>
      <c r="G27" s="74"/>
      <c r="H27" s="49" t="str">
        <f aca="false">IF(COUNTIFS(Log!$B$4:$B$1203,$A27,Log!$E$4:$E$1203,"A")=0,"",COUNTIFS(Log!$B$4:$B$1203,$A27,Log!$E$4:$E$1203,"A"))</f>
        <v/>
      </c>
      <c r="I27" s="49" t="str">
        <f aca="false">IF($H27="","",SUMIFS(Log!$I$4:$I$1203,Log!$B$4:$B$1203,$A27,Log!$E$4:$E$1203,"A"))</f>
        <v/>
      </c>
      <c r="J27" s="49" t="str">
        <f aca="false">IF($H27="","",SUMIFS(Log!$I$4:$I$1203,Log!$B$4:$B$1203,$A27))</f>
        <v/>
      </c>
      <c r="L27" s="54"/>
    </row>
    <row r="28" customFormat="false" ht="18" hidden="false" customHeight="true" outlineLevel="0" collapsed="false">
      <c r="A28" s="73" t="n">
        <v>25</v>
      </c>
      <c r="B28" s="53"/>
      <c r="C28" s="56"/>
      <c r="D28" s="55"/>
      <c r="E28" s="74"/>
      <c r="F28" s="55"/>
      <c r="G28" s="74"/>
      <c r="H28" s="49" t="str">
        <f aca="false">IF(COUNTIFS(Log!$B$4:$B$1203,$A28,Log!$E$4:$E$1203,"A")=0,"",COUNTIFS(Log!$B$4:$B$1203,$A28,Log!$E$4:$E$1203,"A"))</f>
        <v/>
      </c>
      <c r="I28" s="49" t="str">
        <f aca="false">IF($H28="","",SUMIFS(Log!$I$4:$I$1203,Log!$B$4:$B$1203,$A28,Log!$E$4:$E$1203,"A"))</f>
        <v/>
      </c>
      <c r="J28" s="49" t="str">
        <f aca="false">IF($H28="","",SUMIFS(Log!$I$4:$I$1203,Log!$B$4:$B$1203,$A28))</f>
        <v/>
      </c>
      <c r="L28" s="54"/>
    </row>
    <row r="29" customFormat="false" ht="18" hidden="false" customHeight="true" outlineLevel="0" collapsed="false">
      <c r="A29" s="73" t="n">
        <v>26</v>
      </c>
      <c r="B29" s="53"/>
      <c r="C29" s="56"/>
      <c r="D29" s="55"/>
      <c r="E29" s="74"/>
      <c r="F29" s="55"/>
      <c r="G29" s="74"/>
      <c r="H29" s="49" t="str">
        <f aca="false">IF(COUNTIFS(Log!$B$4:$B$1203,$A29,Log!$E$4:$E$1203,"A")=0,"",COUNTIFS(Log!$B$4:$B$1203,$A29,Log!$E$4:$E$1203,"A"))</f>
        <v/>
      </c>
      <c r="I29" s="49" t="str">
        <f aca="false">IF($H29="","",SUMIFS(Log!$I$4:$I$1203,Log!$B$4:$B$1203,$A29,Log!$E$4:$E$1203,"A"))</f>
        <v/>
      </c>
      <c r="J29" s="49" t="str">
        <f aca="false">IF($H29="","",SUMIFS(Log!$I$4:$I$1203,Log!$B$4:$B$1203,$A29))</f>
        <v/>
      </c>
      <c r="L29" s="54"/>
    </row>
    <row r="30" customFormat="false" ht="18" hidden="false" customHeight="true" outlineLevel="0" collapsed="false">
      <c r="A30" s="73" t="n">
        <v>27</v>
      </c>
      <c r="B30" s="53"/>
      <c r="C30" s="56"/>
      <c r="D30" s="55"/>
      <c r="E30" s="74"/>
      <c r="F30" s="55"/>
      <c r="G30" s="74"/>
      <c r="H30" s="49" t="str">
        <f aca="false">IF(COUNTIFS(Log!$B$4:$B$1203,$A30,Log!$E$4:$E$1203,"A")=0,"",COUNTIFS(Log!$B$4:$B$1203,$A30,Log!$E$4:$E$1203,"A"))</f>
        <v/>
      </c>
      <c r="I30" s="49" t="str">
        <f aca="false">IF($H30="","",SUMIFS(Log!$I$4:$I$1203,Log!$B$4:$B$1203,$A30,Log!$E$4:$E$1203,"A"))</f>
        <v/>
      </c>
      <c r="J30" s="49" t="str">
        <f aca="false">IF($H30="","",SUMIFS(Log!$I$4:$I$1203,Log!$B$4:$B$1203,$A30))</f>
        <v/>
      </c>
      <c r="L30" s="54"/>
    </row>
    <row r="31" customFormat="false" ht="18" hidden="false" customHeight="true" outlineLevel="0" collapsed="false">
      <c r="A31" s="73" t="n">
        <v>28</v>
      </c>
      <c r="B31" s="53"/>
      <c r="C31" s="56"/>
      <c r="D31" s="55"/>
      <c r="E31" s="74"/>
      <c r="F31" s="55"/>
      <c r="G31" s="74"/>
      <c r="H31" s="49" t="str">
        <f aca="false">IF(COUNTIFS(Log!$B$4:$B$1203,$A31,Log!$E$4:$E$1203,"A")=0,"",COUNTIFS(Log!$B$4:$B$1203,$A31,Log!$E$4:$E$1203,"A"))</f>
        <v/>
      </c>
      <c r="I31" s="49" t="str">
        <f aca="false">IF($H31="","",SUMIFS(Log!$I$4:$I$1203,Log!$B$4:$B$1203,$A31,Log!$E$4:$E$1203,"A"))</f>
        <v/>
      </c>
      <c r="J31" s="49" t="str">
        <f aca="false">IF($H31="","",SUMIFS(Log!$I$4:$I$1203,Log!$B$4:$B$1203,$A31))</f>
        <v/>
      </c>
      <c r="L31" s="54"/>
    </row>
    <row r="32" customFormat="false" ht="18" hidden="false" customHeight="true" outlineLevel="0" collapsed="false">
      <c r="A32" s="73" t="n">
        <v>29</v>
      </c>
      <c r="B32" s="53"/>
      <c r="C32" s="56"/>
      <c r="D32" s="55"/>
      <c r="E32" s="74"/>
      <c r="F32" s="55"/>
      <c r="G32" s="74"/>
      <c r="H32" s="49" t="str">
        <f aca="false">IF(COUNTIFS(Log!$B$4:$B$1203,$A32,Log!$E$4:$E$1203,"A")=0,"",COUNTIFS(Log!$B$4:$B$1203,$A32,Log!$E$4:$E$1203,"A"))</f>
        <v/>
      </c>
      <c r="I32" s="49" t="str">
        <f aca="false">IF($H32="","",SUMIFS(Log!$I$4:$I$1203,Log!$B$4:$B$1203,$A32,Log!$E$4:$E$1203,"A"))</f>
        <v/>
      </c>
      <c r="J32" s="49" t="str">
        <f aca="false">IF($H32="","",SUMIFS(Log!$I$4:$I$1203,Log!$B$4:$B$1203,$A32))</f>
        <v/>
      </c>
      <c r="L32" s="54"/>
    </row>
    <row r="33" customFormat="false" ht="18" hidden="false" customHeight="true" outlineLevel="0" collapsed="false">
      <c r="A33" s="73" t="n">
        <v>30</v>
      </c>
      <c r="B33" s="53"/>
      <c r="C33" s="56"/>
      <c r="D33" s="55"/>
      <c r="E33" s="74"/>
      <c r="F33" s="55"/>
      <c r="G33" s="74"/>
      <c r="H33" s="49" t="str">
        <f aca="false">IF(COUNTIFS(Log!$B$4:$B$1203,$A33,Log!$E$4:$E$1203,"A")=0,"",COUNTIFS(Log!$B$4:$B$1203,$A33,Log!$E$4:$E$1203,"A"))</f>
        <v/>
      </c>
      <c r="I33" s="49" t="str">
        <f aca="false">IF($H33="","",SUMIFS(Log!$I$4:$I$1203,Log!$B$4:$B$1203,$A33,Log!$E$4:$E$1203,"A"))</f>
        <v/>
      </c>
      <c r="J33" s="49" t="str">
        <f aca="false">IF($H33="","",SUMIFS(Log!$I$4:$I$1203,Log!$B$4:$B$1203,$A33))</f>
        <v/>
      </c>
      <c r="L33" s="54"/>
    </row>
    <row r="34" customFormat="false" ht="18" hidden="false" customHeight="true" outlineLevel="0" collapsed="false">
      <c r="A34" s="73" t="n">
        <v>31</v>
      </c>
      <c r="B34" s="53"/>
      <c r="C34" s="56"/>
      <c r="D34" s="55"/>
      <c r="E34" s="74"/>
      <c r="F34" s="55"/>
      <c r="G34" s="74"/>
      <c r="H34" s="49" t="str">
        <f aca="false">IF(COUNTIFS(Log!$B$4:$B$1203,$A34,Log!$E$4:$E$1203,"A")=0,"",COUNTIFS(Log!$B$4:$B$1203,$A34,Log!$E$4:$E$1203,"A"))</f>
        <v/>
      </c>
      <c r="I34" s="49" t="str">
        <f aca="false">IF($H34="","",SUMIFS(Log!$I$4:$I$1203,Log!$B$4:$B$1203,$A34,Log!$E$4:$E$1203,"A"))</f>
        <v/>
      </c>
      <c r="J34" s="49" t="str">
        <f aca="false">IF($H34="","",SUMIFS(Log!$I$4:$I$1203,Log!$B$4:$B$1203,$A34))</f>
        <v/>
      </c>
      <c r="L34" s="54"/>
    </row>
    <row r="35" customFormat="false" ht="18" hidden="false" customHeight="true" outlineLevel="0" collapsed="false">
      <c r="A35" s="73" t="n">
        <v>32</v>
      </c>
      <c r="B35" s="53"/>
      <c r="C35" s="56"/>
      <c r="D35" s="55"/>
      <c r="E35" s="74"/>
      <c r="F35" s="55"/>
      <c r="G35" s="74"/>
      <c r="H35" s="49" t="str">
        <f aca="false">IF(COUNTIFS(Log!$B$4:$B$1203,$A35,Log!$E$4:$E$1203,"A")=0,"",COUNTIFS(Log!$B$4:$B$1203,$A35,Log!$E$4:$E$1203,"A"))</f>
        <v/>
      </c>
      <c r="I35" s="49" t="str">
        <f aca="false">IF($H35="","",SUMIFS(Log!$I$4:$I$1203,Log!$B$4:$B$1203,$A35,Log!$E$4:$E$1203,"A"))</f>
        <v/>
      </c>
      <c r="J35" s="49" t="str">
        <f aca="false">IF($H35="","",SUMIFS(Log!$I$4:$I$1203,Log!$B$4:$B$1203,$A35))</f>
        <v/>
      </c>
      <c r="L35" s="54"/>
    </row>
    <row r="36" customFormat="false" ht="18" hidden="false" customHeight="true" outlineLevel="0" collapsed="false">
      <c r="A36" s="73" t="n">
        <v>33</v>
      </c>
      <c r="B36" s="53"/>
      <c r="C36" s="56"/>
      <c r="D36" s="55"/>
      <c r="E36" s="74"/>
      <c r="F36" s="55"/>
      <c r="G36" s="74"/>
      <c r="H36" s="49" t="str">
        <f aca="false">IF(COUNTIFS(Log!$B$4:$B$1203,$A36,Log!$E$4:$E$1203,"A")=0,"",COUNTIFS(Log!$B$4:$B$1203,$A36,Log!$E$4:$E$1203,"A"))</f>
        <v/>
      </c>
      <c r="I36" s="49" t="str">
        <f aca="false">IF($H36="","",SUMIFS(Log!$I$4:$I$1203,Log!$B$4:$B$1203,$A36,Log!$E$4:$E$1203,"A"))</f>
        <v/>
      </c>
      <c r="J36" s="49" t="str">
        <f aca="false">IF($H36="","",SUMIFS(Log!$I$4:$I$1203,Log!$B$4:$B$1203,$A36))</f>
        <v/>
      </c>
      <c r="L36" s="54"/>
    </row>
    <row r="37" customFormat="false" ht="18" hidden="false" customHeight="true" outlineLevel="0" collapsed="false">
      <c r="A37" s="73" t="n">
        <v>34</v>
      </c>
      <c r="B37" s="53"/>
      <c r="C37" s="56"/>
      <c r="D37" s="55"/>
      <c r="E37" s="74"/>
      <c r="F37" s="55"/>
      <c r="G37" s="74"/>
      <c r="H37" s="49" t="str">
        <f aca="false">IF(COUNTIFS(Log!$B$4:$B$1203,$A37,Log!$E$4:$E$1203,"A")=0,"",COUNTIFS(Log!$B$4:$B$1203,$A37,Log!$E$4:$E$1203,"A"))</f>
        <v/>
      </c>
      <c r="I37" s="49" t="str">
        <f aca="false">IF($H37="","",SUMIFS(Log!$I$4:$I$1203,Log!$B$4:$B$1203,$A37,Log!$E$4:$E$1203,"A"))</f>
        <v/>
      </c>
      <c r="J37" s="49" t="str">
        <f aca="false">IF($H37="","",SUMIFS(Log!$I$4:$I$1203,Log!$B$4:$B$1203,$A37))</f>
        <v/>
      </c>
      <c r="L37" s="54"/>
    </row>
    <row r="38" customFormat="false" ht="18" hidden="false" customHeight="true" outlineLevel="0" collapsed="false">
      <c r="A38" s="73" t="n">
        <v>35</v>
      </c>
      <c r="B38" s="53"/>
      <c r="C38" s="56"/>
      <c r="D38" s="55"/>
      <c r="E38" s="74"/>
      <c r="F38" s="55"/>
      <c r="G38" s="74"/>
      <c r="H38" s="49" t="str">
        <f aca="false">IF(COUNTIFS(Log!$B$4:$B$1203,$A38,Log!$E$4:$E$1203,"A")=0,"",COUNTIFS(Log!$B$4:$B$1203,$A38,Log!$E$4:$E$1203,"A"))</f>
        <v/>
      </c>
      <c r="I38" s="49" t="str">
        <f aca="false">IF($H38="","",SUMIFS(Log!$I$4:$I$1203,Log!$B$4:$B$1203,$A38,Log!$E$4:$E$1203,"A"))</f>
        <v/>
      </c>
      <c r="J38" s="49" t="str">
        <f aca="false">IF($H38="","",SUMIFS(Log!$I$4:$I$1203,Log!$B$4:$B$1203,$A38))</f>
        <v/>
      </c>
      <c r="L38" s="54"/>
    </row>
    <row r="39" customFormat="false" ht="18" hidden="false" customHeight="true" outlineLevel="0" collapsed="false">
      <c r="A39" s="73" t="n">
        <v>36</v>
      </c>
      <c r="B39" s="53"/>
      <c r="C39" s="56"/>
      <c r="D39" s="55"/>
      <c r="E39" s="74"/>
      <c r="F39" s="55"/>
      <c r="G39" s="74"/>
      <c r="H39" s="49" t="str">
        <f aca="false">IF(COUNTIFS(Log!$B$4:$B$1203,$A39,Log!$E$4:$E$1203,"A")=0,"",COUNTIFS(Log!$B$4:$B$1203,$A39,Log!$E$4:$E$1203,"A"))</f>
        <v/>
      </c>
      <c r="I39" s="49" t="str">
        <f aca="false">IF($H39="","",SUMIFS(Log!$I$4:$I$1203,Log!$B$4:$B$1203,$A39,Log!$E$4:$E$1203,"A"))</f>
        <v/>
      </c>
      <c r="J39" s="49" t="str">
        <f aca="false">IF($H39="","",SUMIFS(Log!$I$4:$I$1203,Log!$B$4:$B$1203,$A39))</f>
        <v/>
      </c>
      <c r="L39" s="54"/>
    </row>
    <row r="40" customFormat="false" ht="18" hidden="false" customHeight="true" outlineLevel="0" collapsed="false">
      <c r="A40" s="73" t="n">
        <v>37</v>
      </c>
      <c r="B40" s="53"/>
      <c r="C40" s="56"/>
      <c r="D40" s="55"/>
      <c r="E40" s="74"/>
      <c r="F40" s="55"/>
      <c r="G40" s="74"/>
      <c r="H40" s="49" t="str">
        <f aca="false">IF(COUNTIFS(Log!$B$4:$B$1203,$A40,Log!$E$4:$E$1203,"A")=0,"",COUNTIFS(Log!$B$4:$B$1203,$A40,Log!$E$4:$E$1203,"A"))</f>
        <v/>
      </c>
      <c r="I40" s="49" t="str">
        <f aca="false">IF($H40="","",SUMIFS(Log!$I$4:$I$1203,Log!$B$4:$B$1203,$A40,Log!$E$4:$E$1203,"A"))</f>
        <v/>
      </c>
      <c r="J40" s="49" t="str">
        <f aca="false">IF($H40="","",SUMIFS(Log!$I$4:$I$1203,Log!$B$4:$B$1203,$A40))</f>
        <v/>
      </c>
      <c r="L40" s="54"/>
    </row>
    <row r="41" customFormat="false" ht="18" hidden="false" customHeight="true" outlineLevel="0" collapsed="false">
      <c r="A41" s="73" t="n">
        <v>38</v>
      </c>
      <c r="B41" s="53"/>
      <c r="C41" s="56"/>
      <c r="D41" s="55"/>
      <c r="E41" s="74"/>
      <c r="F41" s="55"/>
      <c r="G41" s="74"/>
      <c r="H41" s="49" t="str">
        <f aca="false">IF(COUNTIFS(Log!$B$4:$B$1203,$A41,Log!$E$4:$E$1203,"A")=0,"",COUNTIFS(Log!$B$4:$B$1203,$A41,Log!$E$4:$E$1203,"A"))</f>
        <v/>
      </c>
      <c r="I41" s="49" t="str">
        <f aca="false">IF($H41="","",SUMIFS(Log!$I$4:$I$1203,Log!$B$4:$B$1203,$A41,Log!$E$4:$E$1203,"A"))</f>
        <v/>
      </c>
      <c r="J41" s="49" t="str">
        <f aca="false">IF($H41="","",SUMIFS(Log!$I$4:$I$1203,Log!$B$4:$B$1203,$A41))</f>
        <v/>
      </c>
      <c r="L41" s="54"/>
    </row>
    <row r="42" customFormat="false" ht="18" hidden="false" customHeight="true" outlineLevel="0" collapsed="false">
      <c r="A42" s="73" t="n">
        <v>39</v>
      </c>
      <c r="B42" s="53"/>
      <c r="C42" s="56"/>
      <c r="D42" s="55"/>
      <c r="E42" s="74"/>
      <c r="F42" s="55"/>
      <c r="G42" s="74"/>
      <c r="H42" s="49" t="str">
        <f aca="false">IF(COUNTIFS(Log!$B$4:$B$1203,$A42,Log!$E$4:$E$1203,"A")=0,"",COUNTIFS(Log!$B$4:$B$1203,$A42,Log!$E$4:$E$1203,"A"))</f>
        <v/>
      </c>
      <c r="I42" s="49" t="str">
        <f aca="false">IF($H42="","",SUMIFS(Log!$I$4:$I$1203,Log!$B$4:$B$1203,$A42,Log!$E$4:$E$1203,"A"))</f>
        <v/>
      </c>
      <c r="J42" s="49" t="str">
        <f aca="false">IF($H42="","",SUMIFS(Log!$I$4:$I$1203,Log!$B$4:$B$1203,$A42))</f>
        <v/>
      </c>
      <c r="L42" s="54"/>
    </row>
    <row r="43" customFormat="false" ht="18" hidden="false" customHeight="true" outlineLevel="0" collapsed="false">
      <c r="A43" s="73" t="n">
        <v>40</v>
      </c>
      <c r="B43" s="53"/>
      <c r="C43" s="56"/>
      <c r="D43" s="55"/>
      <c r="E43" s="74"/>
      <c r="F43" s="55"/>
      <c r="G43" s="74"/>
      <c r="H43" s="49" t="str">
        <f aca="false">IF(COUNTIFS(Log!$B$4:$B$1203,$A43,Log!$E$4:$E$1203,"A")=0,"",COUNTIFS(Log!$B$4:$B$1203,$A43,Log!$E$4:$E$1203,"A"))</f>
        <v/>
      </c>
      <c r="I43" s="49" t="str">
        <f aca="false">IF($H43="","",SUMIFS(Log!$I$4:$I$1203,Log!$B$4:$B$1203,$A43,Log!$E$4:$E$1203,"A"))</f>
        <v/>
      </c>
      <c r="J43" s="49" t="str">
        <f aca="false">IF($H43="","",SUMIFS(Log!$I$4:$I$1203,Log!$B$4:$B$1203,$A43))</f>
        <v/>
      </c>
      <c r="L43" s="54"/>
    </row>
    <row r="44" customFormat="false" ht="18" hidden="false" customHeight="true" outlineLevel="0" collapsed="false">
      <c r="A44" s="73" t="n">
        <v>41</v>
      </c>
      <c r="B44" s="53"/>
      <c r="C44" s="56"/>
      <c r="D44" s="55"/>
      <c r="E44" s="74"/>
      <c r="F44" s="55"/>
      <c r="G44" s="74"/>
      <c r="H44" s="49" t="str">
        <f aca="false">IF(COUNTIFS(Log!$B$4:$B$1203,$A44,Log!$E$4:$E$1203,"A")=0,"",COUNTIFS(Log!$B$4:$B$1203,$A44,Log!$E$4:$E$1203,"A"))</f>
        <v/>
      </c>
      <c r="I44" s="49" t="str">
        <f aca="false">IF($H44="","",SUMIFS(Log!$I$4:$I$1203,Log!$B$4:$B$1203,$A44,Log!$E$4:$E$1203,"A"))</f>
        <v/>
      </c>
      <c r="J44" s="49" t="str">
        <f aca="false">IF($H44="","",SUMIFS(Log!$I$4:$I$1203,Log!$B$4:$B$1203,$A44))</f>
        <v/>
      </c>
      <c r="L44" s="54"/>
    </row>
    <row r="45" customFormat="false" ht="18" hidden="false" customHeight="true" outlineLevel="0" collapsed="false">
      <c r="A45" s="73" t="n">
        <v>42</v>
      </c>
      <c r="B45" s="53"/>
      <c r="C45" s="56"/>
      <c r="D45" s="55"/>
      <c r="E45" s="74"/>
      <c r="F45" s="55"/>
      <c r="G45" s="74"/>
      <c r="H45" s="49" t="str">
        <f aca="false">IF(COUNTIFS(Log!$B$4:$B$1203,$A45,Log!$E$4:$E$1203,"A")=0,"",COUNTIFS(Log!$B$4:$B$1203,$A45,Log!$E$4:$E$1203,"A"))</f>
        <v/>
      </c>
      <c r="I45" s="49" t="str">
        <f aca="false">IF($H45="","",SUMIFS(Log!$I$4:$I$1203,Log!$B$4:$B$1203,$A45,Log!$E$4:$E$1203,"A"))</f>
        <v/>
      </c>
      <c r="J45" s="49" t="str">
        <f aca="false">IF($H45="","",SUMIFS(Log!$I$4:$I$1203,Log!$B$4:$B$1203,$A45))</f>
        <v/>
      </c>
      <c r="L45" s="54"/>
    </row>
    <row r="46" customFormat="false" ht="18" hidden="false" customHeight="true" outlineLevel="0" collapsed="false">
      <c r="A46" s="73" t="n">
        <v>43</v>
      </c>
      <c r="B46" s="53"/>
      <c r="C46" s="56"/>
      <c r="D46" s="55"/>
      <c r="E46" s="74"/>
      <c r="F46" s="55"/>
      <c r="G46" s="74"/>
      <c r="H46" s="49" t="str">
        <f aca="false">IF(COUNTIFS(Log!$B$4:$B$1203,$A46,Log!$E$4:$E$1203,"A")=0,"",COUNTIFS(Log!$B$4:$B$1203,$A46,Log!$E$4:$E$1203,"A"))</f>
        <v/>
      </c>
      <c r="I46" s="49" t="str">
        <f aca="false">IF($H46="","",SUMIFS(Log!$I$4:$I$1203,Log!$B$4:$B$1203,$A46,Log!$E$4:$E$1203,"A"))</f>
        <v/>
      </c>
      <c r="J46" s="49" t="str">
        <f aca="false">IF($H46="","",SUMIFS(Log!$I$4:$I$1203,Log!$B$4:$B$1203,$A46))</f>
        <v/>
      </c>
      <c r="L46" s="54"/>
    </row>
    <row r="47" customFormat="false" ht="18" hidden="false" customHeight="true" outlineLevel="0" collapsed="false">
      <c r="A47" s="73" t="n">
        <v>44</v>
      </c>
      <c r="B47" s="53"/>
      <c r="C47" s="56"/>
      <c r="D47" s="55"/>
      <c r="E47" s="74"/>
      <c r="F47" s="55"/>
      <c r="G47" s="74"/>
      <c r="H47" s="49" t="str">
        <f aca="false">IF(COUNTIFS(Log!$B$4:$B$1203,$A47,Log!$E$4:$E$1203,"A")=0,"",COUNTIFS(Log!$B$4:$B$1203,$A47,Log!$E$4:$E$1203,"A"))</f>
        <v/>
      </c>
      <c r="I47" s="49" t="str">
        <f aca="false">IF($H47="","",SUMIFS(Log!$I$4:$I$1203,Log!$B$4:$B$1203,$A47,Log!$E$4:$E$1203,"A"))</f>
        <v/>
      </c>
      <c r="J47" s="49" t="str">
        <f aca="false">IF($H47="","",SUMIFS(Log!$I$4:$I$1203,Log!$B$4:$B$1203,$A47))</f>
        <v/>
      </c>
      <c r="L47" s="54"/>
    </row>
    <row r="48" customFormat="false" ht="18" hidden="false" customHeight="true" outlineLevel="0" collapsed="false">
      <c r="A48" s="73" t="n">
        <v>45</v>
      </c>
      <c r="B48" s="53"/>
      <c r="C48" s="56"/>
      <c r="D48" s="55"/>
      <c r="E48" s="74"/>
      <c r="F48" s="55"/>
      <c r="G48" s="74"/>
      <c r="H48" s="49" t="str">
        <f aca="false">IF(COUNTIFS(Log!$B$4:$B$1203,$A48,Log!$E$4:$E$1203,"A")=0,"",COUNTIFS(Log!$B$4:$B$1203,$A48,Log!$E$4:$E$1203,"A"))</f>
        <v/>
      </c>
      <c r="I48" s="49" t="str">
        <f aca="false">IF($H48="","",SUMIFS(Log!$I$4:$I$1203,Log!$B$4:$B$1203,$A48,Log!$E$4:$E$1203,"A"))</f>
        <v/>
      </c>
      <c r="J48" s="49" t="str">
        <f aca="false">IF($H48="","",SUMIFS(Log!$I$4:$I$1203,Log!$B$4:$B$1203,$A48))</f>
        <v/>
      </c>
      <c r="L48" s="54"/>
    </row>
    <row r="49" customFormat="false" ht="18" hidden="false" customHeight="true" outlineLevel="0" collapsed="false">
      <c r="A49" s="73" t="n">
        <v>46</v>
      </c>
      <c r="B49" s="53"/>
      <c r="C49" s="56"/>
      <c r="D49" s="55"/>
      <c r="E49" s="74"/>
      <c r="F49" s="55"/>
      <c r="G49" s="74"/>
      <c r="H49" s="49" t="str">
        <f aca="false">IF(COUNTIFS(Log!$B$4:$B$1203,$A49,Log!$E$4:$E$1203,"A")=0,"",COUNTIFS(Log!$B$4:$B$1203,$A49,Log!$E$4:$E$1203,"A"))</f>
        <v/>
      </c>
      <c r="I49" s="49" t="str">
        <f aca="false">IF($H49="","",SUMIFS(Log!$I$4:$I$1203,Log!$B$4:$B$1203,$A49,Log!$E$4:$E$1203,"A"))</f>
        <v/>
      </c>
      <c r="J49" s="49" t="str">
        <f aca="false">IF($H49="","",SUMIFS(Log!$I$4:$I$1203,Log!$B$4:$B$1203,$A49))</f>
        <v/>
      </c>
      <c r="L49" s="54"/>
    </row>
    <row r="50" customFormat="false" ht="18" hidden="false" customHeight="true" outlineLevel="0" collapsed="false">
      <c r="A50" s="73" t="n">
        <v>47</v>
      </c>
      <c r="B50" s="53"/>
      <c r="C50" s="56"/>
      <c r="D50" s="55"/>
      <c r="E50" s="74"/>
      <c r="F50" s="55"/>
      <c r="G50" s="74"/>
      <c r="H50" s="49" t="str">
        <f aca="false">IF(COUNTIFS(Log!$B$4:$B$1203,$A50,Log!$E$4:$E$1203,"A")=0,"",COUNTIFS(Log!$B$4:$B$1203,$A50,Log!$E$4:$E$1203,"A"))</f>
        <v/>
      </c>
      <c r="I50" s="49" t="str">
        <f aca="false">IF($H50="","",SUMIFS(Log!$I$4:$I$1203,Log!$B$4:$B$1203,$A50,Log!$E$4:$E$1203,"A"))</f>
        <v/>
      </c>
      <c r="J50" s="49" t="str">
        <f aca="false">IF($H50="","",SUMIFS(Log!$I$4:$I$1203,Log!$B$4:$B$1203,$A50))</f>
        <v/>
      </c>
      <c r="L50" s="54"/>
    </row>
    <row r="51" customFormat="false" ht="18" hidden="false" customHeight="true" outlineLevel="0" collapsed="false">
      <c r="A51" s="73" t="n">
        <v>48</v>
      </c>
      <c r="B51" s="53"/>
      <c r="C51" s="56"/>
      <c r="D51" s="55"/>
      <c r="E51" s="74"/>
      <c r="F51" s="55"/>
      <c r="G51" s="74"/>
      <c r="H51" s="49" t="str">
        <f aca="false">IF(COUNTIFS(Log!$B$4:$B$1203,$A51,Log!$E$4:$E$1203,"A")=0,"",COUNTIFS(Log!$B$4:$B$1203,$A51,Log!$E$4:$E$1203,"A"))</f>
        <v/>
      </c>
      <c r="I51" s="49" t="str">
        <f aca="false">IF($H51="","",SUMIFS(Log!$I$4:$I$1203,Log!$B$4:$B$1203,$A51,Log!$E$4:$E$1203,"A"))</f>
        <v/>
      </c>
      <c r="J51" s="49" t="str">
        <f aca="false">IF($H51="","",SUMIFS(Log!$I$4:$I$1203,Log!$B$4:$B$1203,$A51))</f>
        <v/>
      </c>
      <c r="L51" s="54"/>
    </row>
    <row r="52" customFormat="false" ht="18" hidden="false" customHeight="true" outlineLevel="0" collapsed="false">
      <c r="A52" s="73" t="n">
        <v>49</v>
      </c>
      <c r="B52" s="53"/>
      <c r="C52" s="56"/>
      <c r="D52" s="55"/>
      <c r="E52" s="74"/>
      <c r="F52" s="55"/>
      <c r="G52" s="74"/>
      <c r="H52" s="49" t="str">
        <f aca="false">IF(COUNTIFS(Log!$B$4:$B$1203,$A52,Log!$E$4:$E$1203,"A")=0,"",COUNTIFS(Log!$B$4:$B$1203,$A52,Log!$E$4:$E$1203,"A"))</f>
        <v/>
      </c>
      <c r="I52" s="49" t="str">
        <f aca="false">IF($H52="","",SUMIFS(Log!$I$4:$I$1203,Log!$B$4:$B$1203,$A52,Log!$E$4:$E$1203,"A"))</f>
        <v/>
      </c>
      <c r="J52" s="49" t="str">
        <f aca="false">IF($H52="","",SUMIFS(Log!$I$4:$I$1203,Log!$B$4:$B$1203,$A52))</f>
        <v/>
      </c>
      <c r="L52" s="54"/>
    </row>
    <row r="53" customFormat="false" ht="18" hidden="false" customHeight="true" outlineLevel="0" collapsed="false">
      <c r="A53" s="73" t="n">
        <v>50</v>
      </c>
      <c r="B53" s="53"/>
      <c r="C53" s="56"/>
      <c r="D53" s="55"/>
      <c r="E53" s="74"/>
      <c r="F53" s="55"/>
      <c r="G53" s="74"/>
      <c r="H53" s="49" t="str">
        <f aca="false">IF(COUNTIFS(Log!$B$4:$B$1203,$A53,Log!$E$4:$E$1203,"A")=0,"",COUNTIFS(Log!$B$4:$B$1203,$A53,Log!$E$4:$E$1203,"A"))</f>
        <v/>
      </c>
      <c r="I53" s="49" t="str">
        <f aca="false">IF($H53="","",SUMIFS(Log!$I$4:$I$1203,Log!$B$4:$B$1203,$A53,Log!$E$4:$E$1203,"A"))</f>
        <v/>
      </c>
      <c r="J53" s="49" t="str">
        <f aca="false">IF($H53="","",SUMIFS(Log!$I$4:$I$1203,Log!$B$4:$B$1203,$A53))</f>
        <v/>
      </c>
      <c r="L53" s="54"/>
    </row>
    <row r="54" customFormat="false" ht="18" hidden="false" customHeight="true" outlineLevel="0" collapsed="false">
      <c r="A54" s="73" t="n">
        <v>51</v>
      </c>
      <c r="B54" s="53"/>
      <c r="C54" s="56"/>
      <c r="D54" s="55"/>
      <c r="E54" s="74"/>
      <c r="F54" s="55"/>
      <c r="G54" s="74"/>
      <c r="H54" s="49" t="str">
        <f aca="false">IF(COUNTIFS(Log!$B$4:$B$1203,$A54,Log!$E$4:$E$1203,"A")=0,"",COUNTIFS(Log!$B$4:$B$1203,$A54,Log!$E$4:$E$1203,"A"))</f>
        <v/>
      </c>
      <c r="I54" s="49" t="str">
        <f aca="false">IF($H54="","",SUMIFS(Log!$I$4:$I$1203,Log!$B$4:$B$1203,$A54,Log!$E$4:$E$1203,"A"))</f>
        <v/>
      </c>
      <c r="J54" s="49" t="str">
        <f aca="false">IF($H54="","",SUMIFS(Log!$I$4:$I$1203,Log!$B$4:$B$1203,$A54))</f>
        <v/>
      </c>
      <c r="L54" s="54"/>
    </row>
    <row r="55" customFormat="false" ht="18" hidden="false" customHeight="true" outlineLevel="0" collapsed="false">
      <c r="A55" s="73" t="n">
        <v>52</v>
      </c>
      <c r="B55" s="53"/>
      <c r="C55" s="56"/>
      <c r="D55" s="55"/>
      <c r="E55" s="74"/>
      <c r="F55" s="55"/>
      <c r="G55" s="74"/>
      <c r="H55" s="49" t="str">
        <f aca="false">IF(COUNTIFS(Log!$B$4:$B$1203,$A55,Log!$E$4:$E$1203,"A")=0,"",COUNTIFS(Log!$B$4:$B$1203,$A55,Log!$E$4:$E$1203,"A"))</f>
        <v/>
      </c>
      <c r="I55" s="49" t="str">
        <f aca="false">IF($H55="","",SUMIFS(Log!$I$4:$I$1203,Log!$B$4:$B$1203,$A55,Log!$E$4:$E$1203,"A"))</f>
        <v/>
      </c>
      <c r="J55" s="49" t="str">
        <f aca="false">IF($H55="","",SUMIFS(Log!$I$4:$I$1203,Log!$B$4:$B$1203,$A55))</f>
        <v/>
      </c>
      <c r="L55" s="54"/>
    </row>
    <row r="56" customFormat="false" ht="18" hidden="false" customHeight="true" outlineLevel="0" collapsed="false">
      <c r="A56" s="73" t="n">
        <v>53</v>
      </c>
      <c r="B56" s="53"/>
      <c r="C56" s="56"/>
      <c r="D56" s="55"/>
      <c r="E56" s="74"/>
      <c r="F56" s="55"/>
      <c r="G56" s="74"/>
      <c r="H56" s="49" t="str">
        <f aca="false">IF(COUNTIFS(Log!$B$4:$B$1203,$A56,Log!$E$4:$E$1203,"A")=0,"",COUNTIFS(Log!$B$4:$B$1203,$A56,Log!$E$4:$E$1203,"A"))</f>
        <v/>
      </c>
      <c r="I56" s="49" t="str">
        <f aca="false">IF($H56="","",SUMIFS(Log!$I$4:$I$1203,Log!$B$4:$B$1203,$A56,Log!$E$4:$E$1203,"A"))</f>
        <v/>
      </c>
      <c r="J56" s="49" t="str">
        <f aca="false">IF($H56="","",SUMIFS(Log!$I$4:$I$1203,Log!$B$4:$B$1203,$A56))</f>
        <v/>
      </c>
      <c r="L56" s="54"/>
    </row>
    <row r="57" customFormat="false" ht="18" hidden="false" customHeight="true" outlineLevel="0" collapsed="false">
      <c r="A57" s="73" t="n">
        <v>54</v>
      </c>
      <c r="B57" s="53"/>
      <c r="C57" s="56"/>
      <c r="D57" s="55"/>
      <c r="E57" s="74"/>
      <c r="F57" s="55"/>
      <c r="G57" s="74"/>
      <c r="H57" s="49" t="str">
        <f aca="false">IF(COUNTIFS(Log!$B$4:$B$1203,$A57,Log!$E$4:$E$1203,"A")=0,"",COUNTIFS(Log!$B$4:$B$1203,$A57,Log!$E$4:$E$1203,"A"))</f>
        <v/>
      </c>
      <c r="I57" s="49" t="str">
        <f aca="false">IF($H57="","",SUMIFS(Log!$I$4:$I$1203,Log!$B$4:$B$1203,$A57,Log!$E$4:$E$1203,"A"))</f>
        <v/>
      </c>
      <c r="J57" s="49" t="str">
        <f aca="false">IF($H57="","",SUMIFS(Log!$I$4:$I$1203,Log!$B$4:$B$1203,$A57))</f>
        <v/>
      </c>
      <c r="L57" s="54"/>
    </row>
    <row r="58" customFormat="false" ht="18" hidden="false" customHeight="true" outlineLevel="0" collapsed="false">
      <c r="A58" s="73" t="n">
        <v>55</v>
      </c>
      <c r="B58" s="53"/>
      <c r="C58" s="56"/>
      <c r="D58" s="55"/>
      <c r="E58" s="74"/>
      <c r="F58" s="55"/>
      <c r="G58" s="74"/>
      <c r="H58" s="49" t="str">
        <f aca="false">IF(COUNTIFS(Log!$B$4:$B$1203,$A58,Log!$E$4:$E$1203,"A")=0,"",COUNTIFS(Log!$B$4:$B$1203,$A58,Log!$E$4:$E$1203,"A"))</f>
        <v/>
      </c>
      <c r="I58" s="49" t="str">
        <f aca="false">IF($H58="","",SUMIFS(Log!$I$4:$I$1203,Log!$B$4:$B$1203,$A58,Log!$E$4:$E$1203,"A"))</f>
        <v/>
      </c>
      <c r="J58" s="49" t="str">
        <f aca="false">IF($H58="","",SUMIFS(Log!$I$4:$I$1203,Log!$B$4:$B$1203,$A58))</f>
        <v/>
      </c>
      <c r="L58" s="54"/>
    </row>
    <row r="59" customFormat="false" ht="18" hidden="false" customHeight="true" outlineLevel="0" collapsed="false">
      <c r="A59" s="73" t="n">
        <v>56</v>
      </c>
      <c r="B59" s="53"/>
      <c r="C59" s="56"/>
      <c r="D59" s="55"/>
      <c r="E59" s="74"/>
      <c r="F59" s="55"/>
      <c r="G59" s="74"/>
      <c r="H59" s="49" t="str">
        <f aca="false">IF(COUNTIFS(Log!$B$4:$B$1203,$A59,Log!$E$4:$E$1203,"A")=0,"",COUNTIFS(Log!$B$4:$B$1203,$A59,Log!$E$4:$E$1203,"A"))</f>
        <v/>
      </c>
      <c r="I59" s="49" t="str">
        <f aca="false">IF($H59="","",SUMIFS(Log!$I$4:$I$1203,Log!$B$4:$B$1203,$A59,Log!$E$4:$E$1203,"A"))</f>
        <v/>
      </c>
      <c r="J59" s="49" t="str">
        <f aca="false">IF($H59="","",SUMIFS(Log!$I$4:$I$1203,Log!$B$4:$B$1203,$A59))</f>
        <v/>
      </c>
      <c r="L59" s="54"/>
    </row>
    <row r="60" customFormat="false" ht="18" hidden="false" customHeight="true" outlineLevel="0" collapsed="false">
      <c r="A60" s="73" t="n">
        <v>57</v>
      </c>
      <c r="B60" s="53"/>
      <c r="C60" s="56"/>
      <c r="D60" s="55"/>
      <c r="E60" s="74"/>
      <c r="F60" s="55"/>
      <c r="G60" s="74"/>
      <c r="H60" s="49" t="str">
        <f aca="false">IF(COUNTIFS(Log!$B$4:$B$1203,$A60,Log!$E$4:$E$1203,"A")=0,"",COUNTIFS(Log!$B$4:$B$1203,$A60,Log!$E$4:$E$1203,"A"))</f>
        <v/>
      </c>
      <c r="I60" s="49" t="str">
        <f aca="false">IF($H60="","",SUMIFS(Log!$I$4:$I$1203,Log!$B$4:$B$1203,$A60,Log!$E$4:$E$1203,"A"))</f>
        <v/>
      </c>
      <c r="J60" s="49" t="str">
        <f aca="false">IF($H60="","",SUMIFS(Log!$I$4:$I$1203,Log!$B$4:$B$1203,$A60))</f>
        <v/>
      </c>
      <c r="L60" s="54"/>
    </row>
    <row r="61" customFormat="false" ht="18" hidden="false" customHeight="true" outlineLevel="0" collapsed="false">
      <c r="A61" s="73" t="n">
        <v>58</v>
      </c>
      <c r="B61" s="53"/>
      <c r="C61" s="56"/>
      <c r="D61" s="55"/>
      <c r="E61" s="74"/>
      <c r="F61" s="55"/>
      <c r="G61" s="74"/>
      <c r="H61" s="49" t="str">
        <f aca="false">IF(COUNTIFS(Log!$B$4:$B$1203,$A61,Log!$E$4:$E$1203,"A")=0,"",COUNTIFS(Log!$B$4:$B$1203,$A61,Log!$E$4:$E$1203,"A"))</f>
        <v/>
      </c>
      <c r="I61" s="49" t="str">
        <f aca="false">IF($H61="","",SUMIFS(Log!$I$4:$I$1203,Log!$B$4:$B$1203,$A61,Log!$E$4:$E$1203,"A"))</f>
        <v/>
      </c>
      <c r="J61" s="49" t="str">
        <f aca="false">IF($H61="","",SUMIFS(Log!$I$4:$I$1203,Log!$B$4:$B$1203,$A61))</f>
        <v/>
      </c>
      <c r="L61" s="54"/>
    </row>
    <row r="62" customFormat="false" ht="18" hidden="false" customHeight="true" outlineLevel="0" collapsed="false">
      <c r="A62" s="73" t="n">
        <v>59</v>
      </c>
      <c r="B62" s="53"/>
      <c r="C62" s="56"/>
      <c r="D62" s="55"/>
      <c r="E62" s="74"/>
      <c r="F62" s="55"/>
      <c r="G62" s="74"/>
      <c r="H62" s="49" t="str">
        <f aca="false">IF(COUNTIFS(Log!$B$4:$B$1203,$A62,Log!$E$4:$E$1203,"A")=0,"",COUNTIFS(Log!$B$4:$B$1203,$A62,Log!$E$4:$E$1203,"A"))</f>
        <v/>
      </c>
      <c r="I62" s="49" t="str">
        <f aca="false">IF($H62="","",SUMIFS(Log!$I$4:$I$1203,Log!$B$4:$B$1203,$A62,Log!$E$4:$E$1203,"A"))</f>
        <v/>
      </c>
      <c r="J62" s="49" t="str">
        <f aca="false">IF($H62="","",SUMIFS(Log!$I$4:$I$1203,Log!$B$4:$B$1203,$A62))</f>
        <v/>
      </c>
      <c r="L62" s="54"/>
    </row>
    <row r="63" customFormat="false" ht="18" hidden="false" customHeight="true" outlineLevel="0" collapsed="false">
      <c r="A63" s="73" t="n">
        <v>60</v>
      </c>
      <c r="B63" s="53"/>
      <c r="C63" s="56"/>
      <c r="D63" s="55"/>
      <c r="E63" s="74"/>
      <c r="F63" s="55"/>
      <c r="G63" s="74"/>
      <c r="H63" s="49" t="str">
        <f aca="false">IF(COUNTIFS(Log!$B$4:$B$1203,$A63,Log!$E$4:$E$1203,"A")=0,"",COUNTIFS(Log!$B$4:$B$1203,$A63,Log!$E$4:$E$1203,"A"))</f>
        <v/>
      </c>
      <c r="I63" s="49" t="str">
        <f aca="false">IF($H63="","",SUMIFS(Log!$I$4:$I$1203,Log!$B$4:$B$1203,$A63,Log!$E$4:$E$1203,"A"))</f>
        <v/>
      </c>
      <c r="J63" s="49" t="str">
        <f aca="false">IF($H63="","",SUMIFS(Log!$I$4:$I$1203,Log!$B$4:$B$1203,$A63))</f>
        <v/>
      </c>
      <c r="L63" s="54"/>
    </row>
    <row r="64" customFormat="false" ht="15" hidden="false" customHeight="false" outlineLevel="0" collapsed="false">
      <c r="A64" s="75" t="s">
        <v>447</v>
      </c>
      <c r="B64" s="76"/>
      <c r="C64" s="76"/>
      <c r="D64" s="76"/>
      <c r="E64" s="76"/>
      <c r="F64" s="76"/>
      <c r="G64" s="76"/>
      <c r="H64" s="77" t="n">
        <f aca="false">SUM(H4:H63)</f>
        <v>214</v>
      </c>
      <c r="I64" s="77" t="n">
        <f aca="false">SUM(I4:I63)</f>
        <v>251339.5</v>
      </c>
      <c r="J64" s="77" t="n">
        <f aca="false">SUM(J4:J63)</f>
        <v>271227</v>
      </c>
      <c r="K64" s="76"/>
      <c r="L64" s="76"/>
    </row>
    <row r="66" customFormat="false" ht="15" hidden="false" customHeight="false" outlineLevel="0" collapsed="false">
      <c r="A66" s="28" t="s">
        <v>448</v>
      </c>
    </row>
  </sheetData>
  <mergeCells count="2">
    <mergeCell ref="A1:L1"/>
    <mergeCell ref="A2:L2"/>
  </mergeCells>
  <conditionalFormatting sqref="K4:K63">
    <cfRule type="expression" priority="2" aboveAverage="0" equalAverage="0" bottom="0" percent="0" rank="0" text="" dxfId="4">
      <formula>AND($K4&lt;&gt;"",$K4&lt;2)</formula>
    </cfRule>
  </conditionalFormatting>
  <dataValidations count="1">
    <dataValidation allowBlank="true" errorStyle="stop" operator="between" showDropDown="false" showErrorMessage="false" showInputMessage="false" sqref="C4:C63" type="list">
      <formula1>"Beine vorne,Beine hinten,Auswärts Bülach,Beine komplett"</formula1>
      <formula2>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&amp;K808080Einheiten</oddHeader>
    <oddFooter>&amp;L&amp;8 &amp;K808080Quelle: Löwin_Training_260727.pdf&amp;R&amp;8 &amp;K808080Seite &amp;P von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2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9"/>
    <col collapsed="false" customWidth="true" hidden="false" outlineLevel="0" max="3" min="3" style="0" width="14"/>
    <col collapsed="false" customWidth="true" hidden="false" outlineLevel="0" max="4" min="4" style="0" width="22"/>
    <col collapsed="false" customWidth="true" hidden="false" outlineLevel="0" max="5" min="5" style="0" width="7"/>
    <col collapsed="false" customWidth="true" hidden="false" outlineLevel="0" max="6" min="6" style="0" width="10"/>
    <col collapsed="false" customWidth="true" hidden="false" outlineLevel="0" max="8" min="7" style="0" width="7"/>
    <col collapsed="false" customWidth="true" hidden="false" outlineLevel="0" max="9" min="9" style="0" width="11"/>
    <col collapsed="false" customWidth="true" hidden="false" outlineLevel="0" max="10" min="10" style="0" width="10"/>
    <col collapsed="false" customWidth="true" hidden="false" outlineLevel="0" max="11" min="11" style="0" width="24"/>
    <col collapsed="false" customWidth="true" hidden="false" outlineLevel="0" max="12" min="12" style="0" width="34"/>
  </cols>
  <sheetData>
    <row r="1" customFormat="false" ht="30" hidden="false" customHeight="true" outlineLevel="0" collapsed="false">
      <c r="A1" s="1" t="s">
        <v>449</v>
      </c>
      <c r="B1" s="1"/>
      <c r="C1" s="1"/>
      <c r="D1" s="1"/>
      <c r="E1" s="1"/>
      <c r="F1" s="1"/>
      <c r="G1" s="1"/>
      <c r="H1" s="1"/>
      <c r="I1" s="1"/>
      <c r="J1" s="1"/>
      <c r="K1" s="1"/>
      <c r="L1" s="1"/>
    </row>
    <row r="2" customFormat="false" ht="15" hidden="false" customHeight="true" outlineLevel="0" collapsed="false">
      <c r="A2" s="2" t="s">
        <v>450</v>
      </c>
      <c r="B2" s="2"/>
      <c r="C2" s="2"/>
      <c r="D2" s="2"/>
      <c r="E2" s="2"/>
      <c r="F2" s="2"/>
      <c r="G2" s="2"/>
      <c r="H2" s="2"/>
      <c r="I2" s="2"/>
      <c r="J2" s="2"/>
      <c r="K2" s="2"/>
      <c r="L2" s="2"/>
    </row>
    <row r="3" customFormat="false" ht="31.5" hidden="false" customHeight="true" outlineLevel="0" collapsed="false">
      <c r="A3" s="13" t="s">
        <v>75</v>
      </c>
      <c r="B3" s="13" t="s">
        <v>90</v>
      </c>
      <c r="C3" s="13" t="s">
        <v>451</v>
      </c>
      <c r="D3" s="13" t="s">
        <v>170</v>
      </c>
      <c r="E3" s="13" t="s">
        <v>452</v>
      </c>
      <c r="F3" s="13" t="s">
        <v>453</v>
      </c>
      <c r="G3" s="13" t="s">
        <v>454</v>
      </c>
      <c r="H3" s="13" t="s">
        <v>50</v>
      </c>
      <c r="I3" s="13" t="s">
        <v>455</v>
      </c>
      <c r="J3" s="13" t="s">
        <v>456</v>
      </c>
      <c r="K3" s="13" t="s">
        <v>457</v>
      </c>
      <c r="L3" s="13" t="s">
        <v>256</v>
      </c>
    </row>
    <row r="4" customFormat="false" ht="15.75" hidden="false" customHeight="true" outlineLevel="0" collapsed="false">
      <c r="A4" s="78" t="str">
        <f aca="false">IFERROR(IF($B4="","",IF(INDEX(Einheiten!$B$4:$B$63,MATCH($B4,Einheiten!$A$4:$A$63,0))=0,"",INDEX(Einheiten!$B$4:$B$63,MATCH($B4,Einheiten!$A$4:$A$63,0)))),"")</f>
        <v/>
      </c>
      <c r="B4" s="54" t="n">
        <v>1</v>
      </c>
      <c r="C4" s="79" t="str">
        <f aca="false">IFERROR(IF($D4="","",INDEX(Übungen!$B$4:$B$23,MATCH($D4,Übungen!$A$4:$A$23,0))),"")</f>
        <v>Beine vorne</v>
      </c>
      <c r="D4" s="56" t="s">
        <v>377</v>
      </c>
      <c r="E4" s="73" t="s">
        <v>458</v>
      </c>
      <c r="F4" s="55" t="n">
        <v>77.5</v>
      </c>
      <c r="G4" s="74" t="n">
        <v>17</v>
      </c>
      <c r="H4" s="55"/>
      <c r="I4" s="49" t="n">
        <f aca="false">IF(AND(ISNUMBER($F4),ISNUMBER($G4),$E4&lt;&gt;"R"),$F4*$G4,"")</f>
        <v>1317.5</v>
      </c>
      <c r="J4" s="51" t="str">
        <f aca="false">IF(AND($E4="A",ISNUMBER($F4),ISNUMBER($G4)),$F4*(1+$G4/30),"")</f>
        <v/>
      </c>
      <c r="K4" s="56"/>
      <c r="L4" s="56"/>
    </row>
    <row r="5" customFormat="false" ht="15.75" hidden="false" customHeight="true" outlineLevel="0" collapsed="false">
      <c r="A5" s="78" t="str">
        <f aca="false">IFERROR(IF($B5="","",IF(INDEX(Einheiten!$B$4:$B$63,MATCH($B5,Einheiten!$A$4:$A$63,0))=0,"",INDEX(Einheiten!$B$4:$B$63,MATCH($B5,Einheiten!$A$4:$A$63,0)))),"")</f>
        <v/>
      </c>
      <c r="B5" s="54" t="n">
        <v>1</v>
      </c>
      <c r="C5" s="79" t="str">
        <f aca="false">IFERROR(IF($D5="","",INDEX(Übungen!$B$4:$B$23,MATCH($D5,Übungen!$A$4:$A$23,0))),"")</f>
        <v>Beine vorne</v>
      </c>
      <c r="D5" s="56" t="s">
        <v>377</v>
      </c>
      <c r="E5" s="73" t="s">
        <v>459</v>
      </c>
      <c r="F5" s="55" t="n">
        <v>152.5</v>
      </c>
      <c r="G5" s="74" t="n">
        <v>17</v>
      </c>
      <c r="H5" s="55"/>
      <c r="I5" s="49" t="n">
        <f aca="false">IF(AND(ISNUMBER($F5),ISNUMBER($G5),$E5&lt;&gt;"R"),$F5*$G5,"")</f>
        <v>2592.5</v>
      </c>
      <c r="J5" s="51" t="n">
        <f aca="false">IF(AND($E5="A",ISNUMBER($F5),ISNUMBER($G5)),$F5*(1+$G5/30),"")</f>
        <v>238.916666666667</v>
      </c>
      <c r="K5" s="56"/>
      <c r="L5" s="56"/>
    </row>
    <row r="6" customFormat="false" ht="15.75" hidden="false" customHeight="true" outlineLevel="0" collapsed="false">
      <c r="A6" s="78" t="str">
        <f aca="false">IFERROR(IF($B6="","",IF(INDEX(Einheiten!$B$4:$B$63,MATCH($B6,Einheiten!$A$4:$A$63,0))=0,"",INDEX(Einheiten!$B$4:$B$63,MATCH($B6,Einheiten!$A$4:$A$63,0)))),"")</f>
        <v/>
      </c>
      <c r="B6" s="54" t="n">
        <v>1</v>
      </c>
      <c r="C6" s="79" t="str">
        <f aca="false">IFERROR(IF($D6="","",INDEX(Übungen!$B$4:$B$23,MATCH($D6,Übungen!$A$4:$A$23,0))),"")</f>
        <v>Beine vorne</v>
      </c>
      <c r="D6" s="56" t="s">
        <v>377</v>
      </c>
      <c r="E6" s="73" t="s">
        <v>459</v>
      </c>
      <c r="F6" s="55" t="n">
        <v>152.5</v>
      </c>
      <c r="G6" s="74" t="n">
        <v>10</v>
      </c>
      <c r="H6" s="55"/>
      <c r="I6" s="49" t="n">
        <f aca="false">IF(AND(ISNUMBER($F6),ISNUMBER($G6),$E6&lt;&gt;"R"),$F6*$G6,"")</f>
        <v>1525</v>
      </c>
      <c r="J6" s="51" t="n">
        <f aca="false">IF(AND($E6="A",ISNUMBER($F6),ISNUMBER($G6)),$F6*(1+$G6/30),"")</f>
        <v>203.333333333333</v>
      </c>
      <c r="K6" s="56"/>
      <c r="L6" s="56"/>
    </row>
    <row r="7" customFormat="false" ht="15.75" hidden="false" customHeight="true" outlineLevel="0" collapsed="false">
      <c r="A7" s="78" t="str">
        <f aca="false">IFERROR(IF($B7="","",IF(INDEX(Einheiten!$B$4:$B$63,MATCH($B7,Einheiten!$A$4:$A$63,0))=0,"",INDEX(Einheiten!$B$4:$B$63,MATCH($B7,Einheiten!$A$4:$A$63,0)))),"")</f>
        <v/>
      </c>
      <c r="B7" s="54" t="n">
        <v>1</v>
      </c>
      <c r="C7" s="79" t="str">
        <f aca="false">IFERROR(IF($D7="","",INDEX(Übungen!$B$4:$B$23,MATCH($D7,Übungen!$A$4:$A$23,0))),"")</f>
        <v>Beine vorne</v>
      </c>
      <c r="D7" s="56" t="s">
        <v>377</v>
      </c>
      <c r="E7" s="73" t="s">
        <v>460</v>
      </c>
      <c r="F7" s="55" t="n">
        <v>110</v>
      </c>
      <c r="G7" s="74" t="n">
        <v>10</v>
      </c>
      <c r="H7" s="55"/>
      <c r="I7" s="49" t="str">
        <f aca="false">IF(AND(ISNUMBER($F7),ISNUMBER($G7),$E7&lt;&gt;"R"),$F7*$G7,"")</f>
        <v/>
      </c>
      <c r="J7" s="51" t="str">
        <f aca="false">IF(AND($E7="A",ISNUMBER($F7),ISNUMBER($G7)),$F7*(1+$G7/30),"")</f>
        <v/>
      </c>
      <c r="K7" s="56" t="s">
        <v>461</v>
      </c>
      <c r="L7" s="56"/>
    </row>
    <row r="8" customFormat="false" ht="15.75" hidden="false" customHeight="true" outlineLevel="0" collapsed="false">
      <c r="A8" s="78" t="str">
        <f aca="false">IFERROR(IF($B8="","",IF(INDEX(Einheiten!$B$4:$B$63,MATCH($B8,Einheiten!$A$4:$A$63,0))=0,"",INDEX(Einheiten!$B$4:$B$63,MATCH($B8,Einheiten!$A$4:$A$63,0)))),"")</f>
        <v/>
      </c>
      <c r="B8" s="54" t="n">
        <v>2</v>
      </c>
      <c r="C8" s="79" t="str">
        <f aca="false">IFERROR(IF($D8="","",INDEX(Übungen!$B$4:$B$23,MATCH($D8,Übungen!$A$4:$A$23,0))),"")</f>
        <v>Beine vorne</v>
      </c>
      <c r="D8" s="56" t="s">
        <v>377</v>
      </c>
      <c r="E8" s="73" t="s">
        <v>458</v>
      </c>
      <c r="F8" s="55" t="n">
        <v>85</v>
      </c>
      <c r="G8" s="74" t="n">
        <v>10</v>
      </c>
      <c r="H8" s="55"/>
      <c r="I8" s="49" t="n">
        <f aca="false">IF(AND(ISNUMBER($F8),ISNUMBER($G8),$E8&lt;&gt;"R"),$F8*$G8,"")</f>
        <v>850</v>
      </c>
      <c r="J8" s="51" t="str">
        <f aca="false">IF(AND($E8="A",ISNUMBER($F8),ISNUMBER($G8)),$F8*(1+$G8/30),"")</f>
        <v/>
      </c>
      <c r="K8" s="56"/>
      <c r="L8" s="56"/>
    </row>
    <row r="9" customFormat="false" ht="15.75" hidden="false" customHeight="true" outlineLevel="0" collapsed="false">
      <c r="A9" s="78" t="str">
        <f aca="false">IFERROR(IF($B9="","",IF(INDEX(Einheiten!$B$4:$B$63,MATCH($B9,Einheiten!$A$4:$A$63,0))=0,"",INDEX(Einheiten!$B$4:$B$63,MATCH($B9,Einheiten!$A$4:$A$63,0)))),"")</f>
        <v/>
      </c>
      <c r="B9" s="54" t="n">
        <v>2</v>
      </c>
      <c r="C9" s="79" t="str">
        <f aca="false">IFERROR(IF($D9="","",INDEX(Übungen!$B$4:$B$23,MATCH($D9,Übungen!$A$4:$A$23,0))),"")</f>
        <v>Beine vorne</v>
      </c>
      <c r="D9" s="56" t="s">
        <v>377</v>
      </c>
      <c r="E9" s="73" t="s">
        <v>459</v>
      </c>
      <c r="F9" s="55" t="n">
        <v>152.5</v>
      </c>
      <c r="G9" s="74" t="n">
        <v>20</v>
      </c>
      <c r="H9" s="55"/>
      <c r="I9" s="49" t="n">
        <f aca="false">IF(AND(ISNUMBER($F9),ISNUMBER($G9),$E9&lt;&gt;"R"),$F9*$G9,"")</f>
        <v>3050</v>
      </c>
      <c r="J9" s="51" t="n">
        <f aca="false">IF(AND($E9="A",ISNUMBER($F9),ISNUMBER($G9)),$F9*(1+$G9/30),"")</f>
        <v>254.166666666667</v>
      </c>
      <c r="K9" s="56"/>
      <c r="L9" s="56"/>
    </row>
    <row r="10" customFormat="false" ht="15.75" hidden="false" customHeight="true" outlineLevel="0" collapsed="false">
      <c r="A10" s="78" t="str">
        <f aca="false">IFERROR(IF($B10="","",IF(INDEX(Einheiten!$B$4:$B$63,MATCH($B10,Einheiten!$A$4:$A$63,0))=0,"",INDEX(Einheiten!$B$4:$B$63,MATCH($B10,Einheiten!$A$4:$A$63,0)))),"")</f>
        <v/>
      </c>
      <c r="B10" s="54" t="n">
        <v>2</v>
      </c>
      <c r="C10" s="79" t="str">
        <f aca="false">IFERROR(IF($D10="","",INDEX(Übungen!$B$4:$B$23,MATCH($D10,Übungen!$A$4:$A$23,0))),"")</f>
        <v>Beine vorne</v>
      </c>
      <c r="D10" s="56" t="s">
        <v>377</v>
      </c>
      <c r="E10" s="73" t="s">
        <v>459</v>
      </c>
      <c r="F10" s="55" t="n">
        <v>152.5</v>
      </c>
      <c r="G10" s="74" t="n">
        <v>16</v>
      </c>
      <c r="H10" s="55"/>
      <c r="I10" s="49" t="n">
        <f aca="false">IF(AND(ISNUMBER($F10),ISNUMBER($G10),$E10&lt;&gt;"R"),$F10*$G10,"")</f>
        <v>2440</v>
      </c>
      <c r="J10" s="51" t="n">
        <f aca="false">IF(AND($E10="A",ISNUMBER($F10),ISNUMBER($G10)),$F10*(1+$G10/30),"")</f>
        <v>233.833333333333</v>
      </c>
      <c r="K10" s="56"/>
      <c r="L10" s="56"/>
    </row>
    <row r="11" customFormat="false" ht="15.75" hidden="false" customHeight="true" outlineLevel="0" collapsed="false">
      <c r="A11" s="78" t="str">
        <f aca="false">IFERROR(IF($B11="","",IF(INDEX(Einheiten!$B$4:$B$63,MATCH($B11,Einheiten!$A$4:$A$63,0))=0,"",INDEX(Einheiten!$B$4:$B$63,MATCH($B11,Einheiten!$A$4:$A$63,0)))),"")</f>
        <v/>
      </c>
      <c r="B11" s="54" t="n">
        <v>2</v>
      </c>
      <c r="C11" s="79" t="str">
        <f aca="false">IFERROR(IF($D11="","",INDEX(Übungen!$B$4:$B$23,MATCH($D11,Übungen!$A$4:$A$23,0))),"")</f>
        <v>Beine vorne</v>
      </c>
      <c r="D11" s="56" t="s">
        <v>377</v>
      </c>
      <c r="E11" s="73" t="s">
        <v>460</v>
      </c>
      <c r="F11" s="55" t="n">
        <v>110</v>
      </c>
      <c r="G11" s="74" t="n">
        <v>10</v>
      </c>
      <c r="H11" s="55"/>
      <c r="I11" s="49" t="str">
        <f aca="false">IF(AND(ISNUMBER($F11),ISNUMBER($G11),$E11&lt;&gt;"R"),$F11*$G11,"")</f>
        <v/>
      </c>
      <c r="J11" s="51" t="str">
        <f aca="false">IF(AND($E11="A",ISNUMBER($F11),ISNUMBER($G11)),$F11*(1+$G11/30),"")</f>
        <v/>
      </c>
      <c r="K11" s="56" t="s">
        <v>462</v>
      </c>
      <c r="L11" s="56"/>
    </row>
    <row r="12" customFormat="false" ht="15.75" hidden="false" customHeight="true" outlineLevel="0" collapsed="false">
      <c r="A12" s="78" t="str">
        <f aca="false">IFERROR(IF($B12="","",IF(INDEX(Einheiten!$B$4:$B$63,MATCH($B12,Einheiten!$A$4:$A$63,0))=0,"",INDEX(Einheiten!$B$4:$B$63,MATCH($B12,Einheiten!$A$4:$A$63,0)))),"")</f>
        <v/>
      </c>
      <c r="B12" s="54" t="n">
        <v>3</v>
      </c>
      <c r="C12" s="79" t="str">
        <f aca="false">IFERROR(IF($D12="","",INDEX(Übungen!$B$4:$B$23,MATCH($D12,Übungen!$A$4:$A$23,0))),"")</f>
        <v>Beine vorne</v>
      </c>
      <c r="D12" s="56" t="s">
        <v>377</v>
      </c>
      <c r="E12" s="73" t="s">
        <v>458</v>
      </c>
      <c r="F12" s="55" t="n">
        <v>65</v>
      </c>
      <c r="G12" s="74" t="n">
        <v>10</v>
      </c>
      <c r="H12" s="55"/>
      <c r="I12" s="49" t="n">
        <f aca="false">IF(AND(ISNUMBER($F12),ISNUMBER($G12),$E12&lt;&gt;"R"),$F12*$G12,"")</f>
        <v>650</v>
      </c>
      <c r="J12" s="51" t="str">
        <f aca="false">IF(AND($E12="A",ISNUMBER($F12),ISNUMBER($G12)),$F12*(1+$G12/30),"")</f>
        <v/>
      </c>
      <c r="K12" s="56"/>
      <c r="L12" s="56"/>
    </row>
    <row r="13" customFormat="false" ht="15.75" hidden="false" customHeight="true" outlineLevel="0" collapsed="false">
      <c r="A13" s="78" t="str">
        <f aca="false">IFERROR(IF($B13="","",IF(INDEX(Einheiten!$B$4:$B$63,MATCH($B13,Einheiten!$A$4:$A$63,0))=0,"",INDEX(Einheiten!$B$4:$B$63,MATCH($B13,Einheiten!$A$4:$A$63,0)))),"")</f>
        <v/>
      </c>
      <c r="B13" s="54" t="n">
        <v>3</v>
      </c>
      <c r="C13" s="79" t="str">
        <f aca="false">IFERROR(IF($D13="","",INDEX(Übungen!$B$4:$B$23,MATCH($D13,Übungen!$A$4:$A$23,0))),"")</f>
        <v>Beine vorne</v>
      </c>
      <c r="D13" s="56" t="s">
        <v>377</v>
      </c>
      <c r="E13" s="73" t="s">
        <v>458</v>
      </c>
      <c r="F13" s="55" t="n">
        <v>80</v>
      </c>
      <c r="G13" s="74" t="n">
        <v>6</v>
      </c>
      <c r="H13" s="55"/>
      <c r="I13" s="49" t="n">
        <f aca="false">IF(AND(ISNUMBER($F13),ISNUMBER($G13),$E13&lt;&gt;"R"),$F13*$G13,"")</f>
        <v>480</v>
      </c>
      <c r="J13" s="51" t="str">
        <f aca="false">IF(AND($E13="A",ISNUMBER($F13),ISNUMBER($G13)),$F13*(1+$G13/30),"")</f>
        <v/>
      </c>
      <c r="K13" s="56"/>
      <c r="L13" s="56"/>
    </row>
    <row r="14" customFormat="false" ht="15.75" hidden="false" customHeight="true" outlineLevel="0" collapsed="false">
      <c r="A14" s="78" t="str">
        <f aca="false">IFERROR(IF($B14="","",IF(INDEX(Einheiten!$B$4:$B$63,MATCH($B14,Einheiten!$A$4:$A$63,0))=0,"",INDEX(Einheiten!$B$4:$B$63,MATCH($B14,Einheiten!$A$4:$A$63,0)))),"")</f>
        <v/>
      </c>
      <c r="B14" s="54" t="n">
        <v>3</v>
      </c>
      <c r="C14" s="79" t="str">
        <f aca="false">IFERROR(IF($D14="","",INDEX(Übungen!$B$4:$B$23,MATCH($D14,Übungen!$A$4:$A$23,0))),"")</f>
        <v>Beine vorne</v>
      </c>
      <c r="D14" s="56" t="s">
        <v>377</v>
      </c>
      <c r="E14" s="73" t="s">
        <v>459</v>
      </c>
      <c r="F14" s="55" t="n">
        <v>152.5</v>
      </c>
      <c r="G14" s="74" t="n">
        <v>22</v>
      </c>
      <c r="H14" s="55"/>
      <c r="I14" s="49" t="n">
        <f aca="false">IF(AND(ISNUMBER($F14),ISNUMBER($G14),$E14&lt;&gt;"R"),$F14*$G14,"")</f>
        <v>3355</v>
      </c>
      <c r="J14" s="51" t="n">
        <f aca="false">IF(AND($E14="A",ISNUMBER($F14),ISNUMBER($G14)),$F14*(1+$G14/30),"")</f>
        <v>264.333333333333</v>
      </c>
      <c r="K14" s="56"/>
      <c r="L14" s="56"/>
    </row>
    <row r="15" customFormat="false" ht="15.75" hidden="false" customHeight="true" outlineLevel="0" collapsed="false">
      <c r="A15" s="78" t="str">
        <f aca="false">IFERROR(IF($B15="","",IF(INDEX(Einheiten!$B$4:$B$63,MATCH($B15,Einheiten!$A$4:$A$63,0))=0,"",INDEX(Einheiten!$B$4:$B$63,MATCH($B15,Einheiten!$A$4:$A$63,0)))),"")</f>
        <v/>
      </c>
      <c r="B15" s="54" t="n">
        <v>3</v>
      </c>
      <c r="C15" s="79" t="str">
        <f aca="false">IFERROR(IF($D15="","",INDEX(Übungen!$B$4:$B$23,MATCH($D15,Übungen!$A$4:$A$23,0))),"")</f>
        <v>Beine vorne</v>
      </c>
      <c r="D15" s="56" t="s">
        <v>377</v>
      </c>
      <c r="E15" s="73" t="s">
        <v>459</v>
      </c>
      <c r="F15" s="55" t="n">
        <v>152.5</v>
      </c>
      <c r="G15" s="74" t="n">
        <v>13</v>
      </c>
      <c r="H15" s="55"/>
      <c r="I15" s="49" t="n">
        <f aca="false">IF(AND(ISNUMBER($F15),ISNUMBER($G15),$E15&lt;&gt;"R"),$F15*$G15,"")</f>
        <v>1982.5</v>
      </c>
      <c r="J15" s="51" t="n">
        <f aca="false">IF(AND($E15="A",ISNUMBER($F15),ISNUMBER($G15)),$F15*(1+$G15/30),"")</f>
        <v>218.583333333333</v>
      </c>
      <c r="K15" s="56"/>
      <c r="L15" s="56"/>
    </row>
    <row r="16" customFormat="false" ht="15.75" hidden="false" customHeight="true" outlineLevel="0" collapsed="false">
      <c r="A16" s="78" t="str">
        <f aca="false">IFERROR(IF($B16="","",IF(INDEX(Einheiten!$B$4:$B$63,MATCH($B16,Einheiten!$A$4:$A$63,0))=0,"",INDEX(Einheiten!$B$4:$B$63,MATCH($B16,Einheiten!$A$4:$A$63,0)))),"")</f>
        <v/>
      </c>
      <c r="B16" s="54" t="n">
        <v>3</v>
      </c>
      <c r="C16" s="79" t="str">
        <f aca="false">IFERROR(IF($D16="","",INDEX(Übungen!$B$4:$B$23,MATCH($D16,Übungen!$A$4:$A$23,0))),"")</f>
        <v>Beine vorne</v>
      </c>
      <c r="D16" s="56" t="s">
        <v>377</v>
      </c>
      <c r="E16" s="73" t="s">
        <v>460</v>
      </c>
      <c r="F16" s="55" t="n">
        <v>110</v>
      </c>
      <c r="G16" s="74" t="n">
        <v>10</v>
      </c>
      <c r="H16" s="55"/>
      <c r="I16" s="49" t="str">
        <f aca="false">IF(AND(ISNUMBER($F16),ISNUMBER($G16),$E16&lt;&gt;"R"),$F16*$G16,"")</f>
        <v/>
      </c>
      <c r="J16" s="51" t="str">
        <f aca="false">IF(AND($E16="A",ISNUMBER($F16),ISNUMBER($G16)),$F16*(1+$G16/30),"")</f>
        <v/>
      </c>
      <c r="K16" s="56" t="s">
        <v>463</v>
      </c>
      <c r="L16" s="56"/>
    </row>
    <row r="17" customFormat="false" ht="15.75" hidden="false" customHeight="true" outlineLevel="0" collapsed="false">
      <c r="A17" s="78" t="str">
        <f aca="false">IFERROR(IF($B17="","",IF(INDEX(Einheiten!$B$4:$B$63,MATCH($B17,Einheiten!$A$4:$A$63,0))=0,"",INDEX(Einheiten!$B$4:$B$63,MATCH($B17,Einheiten!$A$4:$A$63,0)))),"")</f>
        <v/>
      </c>
      <c r="B17" s="54" t="n">
        <v>4</v>
      </c>
      <c r="C17" s="79" t="str">
        <f aca="false">IFERROR(IF($D17="","",INDEX(Übungen!$B$4:$B$23,MATCH($D17,Übungen!$A$4:$A$23,0))),"")</f>
        <v>Beine vorne</v>
      </c>
      <c r="D17" s="56" t="s">
        <v>377</v>
      </c>
      <c r="E17" s="73" t="s">
        <v>458</v>
      </c>
      <c r="F17" s="55" t="n">
        <v>50</v>
      </c>
      <c r="G17" s="74" t="n">
        <v>10</v>
      </c>
      <c r="H17" s="55"/>
      <c r="I17" s="49" t="n">
        <f aca="false">IF(AND(ISNUMBER($F17),ISNUMBER($G17),$E17&lt;&gt;"R"),$F17*$G17,"")</f>
        <v>500</v>
      </c>
      <c r="J17" s="51" t="str">
        <f aca="false">IF(AND($E17="A",ISNUMBER($F17),ISNUMBER($G17)),$F17*(1+$G17/30),"")</f>
        <v/>
      </c>
      <c r="K17" s="56"/>
      <c r="L17" s="56"/>
    </row>
    <row r="18" customFormat="false" ht="15.75" hidden="false" customHeight="true" outlineLevel="0" collapsed="false">
      <c r="A18" s="78" t="str">
        <f aca="false">IFERROR(IF($B18="","",IF(INDEX(Einheiten!$B$4:$B$63,MATCH($B18,Einheiten!$A$4:$A$63,0))=0,"",INDEX(Einheiten!$B$4:$B$63,MATCH($B18,Einheiten!$A$4:$A$63,0)))),"")</f>
        <v/>
      </c>
      <c r="B18" s="54" t="n">
        <v>4</v>
      </c>
      <c r="C18" s="79" t="str">
        <f aca="false">IFERROR(IF($D18="","",INDEX(Übungen!$B$4:$B$23,MATCH($D18,Übungen!$A$4:$A$23,0))),"")</f>
        <v>Beine vorne</v>
      </c>
      <c r="D18" s="56" t="s">
        <v>377</v>
      </c>
      <c r="E18" s="73" t="s">
        <v>458</v>
      </c>
      <c r="F18" s="55" t="n">
        <v>70</v>
      </c>
      <c r="G18" s="74" t="n">
        <v>10</v>
      </c>
      <c r="H18" s="55"/>
      <c r="I18" s="49" t="n">
        <f aca="false">IF(AND(ISNUMBER($F18),ISNUMBER($G18),$E18&lt;&gt;"R"),$F18*$G18,"")</f>
        <v>700</v>
      </c>
      <c r="J18" s="51" t="str">
        <f aca="false">IF(AND($E18="A",ISNUMBER($F18),ISNUMBER($G18)),$F18*(1+$G18/30),"")</f>
        <v/>
      </c>
      <c r="K18" s="56"/>
      <c r="L18" s="56"/>
    </row>
    <row r="19" customFormat="false" ht="15.75" hidden="false" customHeight="true" outlineLevel="0" collapsed="false">
      <c r="A19" s="78" t="str">
        <f aca="false">IFERROR(IF($B19="","",IF(INDEX(Einheiten!$B$4:$B$63,MATCH($B19,Einheiten!$A$4:$A$63,0))=0,"",INDEX(Einheiten!$B$4:$B$63,MATCH($B19,Einheiten!$A$4:$A$63,0)))),"")</f>
        <v/>
      </c>
      <c r="B19" s="54" t="n">
        <v>4</v>
      </c>
      <c r="C19" s="79" t="str">
        <f aca="false">IFERROR(IF($D19="","",INDEX(Übungen!$B$4:$B$23,MATCH($D19,Übungen!$A$4:$A$23,0))),"")</f>
        <v>Beine vorne</v>
      </c>
      <c r="D19" s="56" t="s">
        <v>377</v>
      </c>
      <c r="E19" s="73" t="s">
        <v>459</v>
      </c>
      <c r="F19" s="55" t="n">
        <v>152.5</v>
      </c>
      <c r="G19" s="74" t="n">
        <v>25</v>
      </c>
      <c r="H19" s="55"/>
      <c r="I19" s="49" t="n">
        <f aca="false">IF(AND(ISNUMBER($F19),ISNUMBER($G19),$E19&lt;&gt;"R"),$F19*$G19,"")</f>
        <v>3812.5</v>
      </c>
      <c r="J19" s="51" t="n">
        <f aca="false">IF(AND($E19="A",ISNUMBER($F19),ISNUMBER($G19)),$F19*(1+$G19/30),"")</f>
        <v>279.583333333333</v>
      </c>
      <c r="K19" s="56"/>
      <c r="L19" s="56" t="s">
        <v>464</v>
      </c>
    </row>
    <row r="20" customFormat="false" ht="15.75" hidden="false" customHeight="true" outlineLevel="0" collapsed="false">
      <c r="A20" s="78" t="str">
        <f aca="false">IFERROR(IF($B20="","",IF(INDEX(Einheiten!$B$4:$B$63,MATCH($B20,Einheiten!$A$4:$A$63,0))=0,"",INDEX(Einheiten!$B$4:$B$63,MATCH($B20,Einheiten!$A$4:$A$63,0)))),"")</f>
        <v/>
      </c>
      <c r="B20" s="54" t="n">
        <v>4</v>
      </c>
      <c r="C20" s="79" t="str">
        <f aca="false">IFERROR(IF($D20="","",INDEX(Übungen!$B$4:$B$23,MATCH($D20,Übungen!$A$4:$A$23,0))),"")</f>
        <v>Beine vorne</v>
      </c>
      <c r="D20" s="56" t="s">
        <v>377</v>
      </c>
      <c r="E20" s="73" t="s">
        <v>459</v>
      </c>
      <c r="F20" s="55" t="n">
        <v>152.5</v>
      </c>
      <c r="G20" s="74" t="n">
        <v>20</v>
      </c>
      <c r="H20" s="55"/>
      <c r="I20" s="49" t="n">
        <f aca="false">IF(AND(ISNUMBER($F20),ISNUMBER($G20),$E20&lt;&gt;"R"),$F20*$G20,"")</f>
        <v>3050</v>
      </c>
      <c r="J20" s="51" t="n">
        <f aca="false">IF(AND($E20="A",ISNUMBER($F20),ISNUMBER($G20)),$F20*(1+$G20/30),"")</f>
        <v>254.166666666667</v>
      </c>
      <c r="K20" s="56"/>
      <c r="L20" s="56" t="s">
        <v>464</v>
      </c>
    </row>
    <row r="21" customFormat="false" ht="15.75" hidden="false" customHeight="true" outlineLevel="0" collapsed="false">
      <c r="A21" s="78" t="str">
        <f aca="false">IFERROR(IF($B21="","",IF(INDEX(Einheiten!$B$4:$B$63,MATCH($B21,Einheiten!$A$4:$A$63,0))=0,"",INDEX(Einheiten!$B$4:$B$63,MATCH($B21,Einheiten!$A$4:$A$63,0)))),"")</f>
        <v/>
      </c>
      <c r="B21" s="54" t="n">
        <v>4</v>
      </c>
      <c r="C21" s="79" t="str">
        <f aca="false">IFERROR(IF($D21="","",INDEX(Übungen!$B$4:$B$23,MATCH($D21,Übungen!$A$4:$A$23,0))),"")</f>
        <v>Beine vorne</v>
      </c>
      <c r="D21" s="56" t="s">
        <v>377</v>
      </c>
      <c r="E21" s="73" t="s">
        <v>460</v>
      </c>
      <c r="F21" s="55" t="n">
        <v>125</v>
      </c>
      <c r="G21" s="74" t="n">
        <v>6</v>
      </c>
      <c r="H21" s="55"/>
      <c r="I21" s="49" t="str">
        <f aca="false">IF(AND(ISNUMBER($F21),ISNUMBER($G21),$E21&lt;&gt;"R"),$F21*$G21,"")</f>
        <v/>
      </c>
      <c r="J21" s="51" t="str">
        <f aca="false">IF(AND($E21="A",ISNUMBER($F21),ISNUMBER($G21)),$F21*(1+$G21/30),"")</f>
        <v/>
      </c>
      <c r="K21" s="56" t="s">
        <v>465</v>
      </c>
      <c r="L21" s="56"/>
    </row>
    <row r="22" customFormat="false" ht="15.75" hidden="false" customHeight="true" outlineLevel="0" collapsed="false">
      <c r="A22" s="78" t="str">
        <f aca="false">IFERROR(IF($B22="","",IF(INDEX(Einheiten!$B$4:$B$63,MATCH($B22,Einheiten!$A$4:$A$63,0))=0,"",INDEX(Einheiten!$B$4:$B$63,MATCH($B22,Einheiten!$A$4:$A$63,0)))),"")</f>
        <v/>
      </c>
      <c r="B22" s="54" t="n">
        <v>1</v>
      </c>
      <c r="C22" s="79" t="str">
        <f aca="false">IFERROR(IF($D22="","",INDEX(Übungen!$B$4:$B$23,MATCH($D22,Übungen!$A$4:$A$23,0))),"")</f>
        <v>Beine vorne</v>
      </c>
      <c r="D22" s="56" t="s">
        <v>369</v>
      </c>
      <c r="E22" s="73" t="s">
        <v>458</v>
      </c>
      <c r="F22" s="55" t="n">
        <v>15</v>
      </c>
      <c r="G22" s="74" t="n">
        <v>10</v>
      </c>
      <c r="H22" s="55"/>
      <c r="I22" s="49" t="n">
        <f aca="false">IF(AND(ISNUMBER($F22),ISNUMBER($G22),$E22&lt;&gt;"R"),$F22*$G22,"")</f>
        <v>150</v>
      </c>
      <c r="J22" s="51" t="str">
        <f aca="false">IF(AND($E22="A",ISNUMBER($F22),ISNUMBER($G22)),$F22*(1+$G22/30),"")</f>
        <v/>
      </c>
      <c r="K22" s="56"/>
      <c r="L22" s="56"/>
    </row>
    <row r="23" customFormat="false" ht="15.75" hidden="false" customHeight="true" outlineLevel="0" collapsed="false">
      <c r="A23" s="78" t="str">
        <f aca="false">IFERROR(IF($B23="","",IF(INDEX(Einheiten!$B$4:$B$63,MATCH($B23,Einheiten!$A$4:$A$63,0))=0,"",INDEX(Einheiten!$B$4:$B$63,MATCH($B23,Einheiten!$A$4:$A$63,0)))),"")</f>
        <v/>
      </c>
      <c r="B23" s="54" t="n">
        <v>1</v>
      </c>
      <c r="C23" s="79" t="str">
        <f aca="false">IFERROR(IF($D23="","",INDEX(Übungen!$B$4:$B$23,MATCH($D23,Übungen!$A$4:$A$23,0))),"")</f>
        <v>Beine vorne</v>
      </c>
      <c r="D23" s="56" t="s">
        <v>369</v>
      </c>
      <c r="E23" s="73" t="s">
        <v>458</v>
      </c>
      <c r="F23" s="55" t="n">
        <v>30</v>
      </c>
      <c r="G23" s="74" t="n">
        <v>4</v>
      </c>
      <c r="H23" s="55"/>
      <c r="I23" s="49" t="n">
        <f aca="false">IF(AND(ISNUMBER($F23),ISNUMBER($G23),$E23&lt;&gt;"R"),$F23*$G23,"")</f>
        <v>120</v>
      </c>
      <c r="J23" s="51" t="str">
        <f aca="false">IF(AND($E23="A",ISNUMBER($F23),ISNUMBER($G23)),$F23*(1+$G23/30),"")</f>
        <v/>
      </c>
      <c r="K23" s="56"/>
      <c r="L23" s="56"/>
    </row>
    <row r="24" customFormat="false" ht="15.75" hidden="false" customHeight="true" outlineLevel="0" collapsed="false">
      <c r="A24" s="78" t="str">
        <f aca="false">IFERROR(IF($B24="","",IF(INDEX(Einheiten!$B$4:$B$63,MATCH($B24,Einheiten!$A$4:$A$63,0))=0,"",INDEX(Einheiten!$B$4:$B$63,MATCH($B24,Einheiten!$A$4:$A$63,0)))),"")</f>
        <v/>
      </c>
      <c r="B24" s="54" t="n">
        <v>1</v>
      </c>
      <c r="C24" s="79" t="str">
        <f aca="false">IFERROR(IF($D24="","",INDEX(Übungen!$B$4:$B$23,MATCH($D24,Übungen!$A$4:$A$23,0))),"")</f>
        <v>Beine vorne</v>
      </c>
      <c r="D24" s="56" t="s">
        <v>369</v>
      </c>
      <c r="E24" s="73" t="s">
        <v>459</v>
      </c>
      <c r="F24" s="55" t="n">
        <v>65</v>
      </c>
      <c r="G24" s="74" t="n">
        <v>7</v>
      </c>
      <c r="H24" s="55"/>
      <c r="I24" s="49" t="n">
        <f aca="false">IF(AND(ISNUMBER($F24),ISNUMBER($G24),$E24&lt;&gt;"R"),$F24*$G24,"")</f>
        <v>455</v>
      </c>
      <c r="J24" s="51" t="n">
        <f aca="false">IF(AND($E24="A",ISNUMBER($F24),ISNUMBER($G24)),$F24*(1+$G24/30),"")</f>
        <v>80.1666666666667</v>
      </c>
      <c r="K24" s="56"/>
      <c r="L24" s="56"/>
    </row>
    <row r="25" customFormat="false" ht="15.75" hidden="false" customHeight="true" outlineLevel="0" collapsed="false">
      <c r="A25" s="78" t="str">
        <f aca="false">IFERROR(IF($B25="","",IF(INDEX(Einheiten!$B$4:$B$63,MATCH($B25,Einheiten!$A$4:$A$63,0))=0,"",INDEX(Einheiten!$B$4:$B$63,MATCH($B25,Einheiten!$A$4:$A$63,0)))),"")</f>
        <v/>
      </c>
      <c r="B25" s="54" t="n">
        <v>1</v>
      </c>
      <c r="C25" s="79" t="str">
        <f aca="false">IFERROR(IF($D25="","",INDEX(Übungen!$B$4:$B$23,MATCH($D25,Übungen!$A$4:$A$23,0))),"")</f>
        <v>Beine vorne</v>
      </c>
      <c r="D25" s="56" t="s">
        <v>369</v>
      </c>
      <c r="E25" s="73" t="s">
        <v>459</v>
      </c>
      <c r="F25" s="55" t="n">
        <v>75</v>
      </c>
      <c r="G25" s="74" t="n">
        <v>10</v>
      </c>
      <c r="H25" s="55"/>
      <c r="I25" s="49" t="n">
        <f aca="false">IF(AND(ISNUMBER($F25),ISNUMBER($G25),$E25&lt;&gt;"R"),$F25*$G25,"")</f>
        <v>750</v>
      </c>
      <c r="J25" s="51" t="n">
        <f aca="false">IF(AND($E25="A",ISNUMBER($F25),ISNUMBER($G25)),$F25*(1+$G25/30),"")</f>
        <v>100</v>
      </c>
      <c r="K25" s="56"/>
      <c r="L25" s="56"/>
    </row>
    <row r="26" customFormat="false" ht="15.75" hidden="false" customHeight="true" outlineLevel="0" collapsed="false">
      <c r="A26" s="78" t="str">
        <f aca="false">IFERROR(IF($B26="","",IF(INDEX(Einheiten!$B$4:$B$63,MATCH($B26,Einheiten!$A$4:$A$63,0))=0,"",INDEX(Einheiten!$B$4:$B$63,MATCH($B26,Einheiten!$A$4:$A$63,0)))),"")</f>
        <v/>
      </c>
      <c r="B26" s="54" t="n">
        <v>1</v>
      </c>
      <c r="C26" s="79" t="str">
        <f aca="false">IFERROR(IF($D26="","",INDEX(Übungen!$B$4:$B$23,MATCH($D26,Übungen!$A$4:$A$23,0))),"")</f>
        <v>Beine vorne</v>
      </c>
      <c r="D26" s="56" t="s">
        <v>369</v>
      </c>
      <c r="E26" s="73" t="s">
        <v>460</v>
      </c>
      <c r="F26" s="55" t="n">
        <v>55</v>
      </c>
      <c r="G26" s="74"/>
      <c r="H26" s="55"/>
      <c r="I26" s="49" t="str">
        <f aca="false">IF(AND(ISNUMBER($F26),ISNUMBER($G26),$E26&lt;&gt;"R"),$F26*$G26,"")</f>
        <v/>
      </c>
      <c r="J26" s="51" t="str">
        <f aca="false">IF(AND($E26="A",ISNUMBER($F26),ISNUMBER($G26)),$F26*(1+$G26/30),"")</f>
        <v/>
      </c>
      <c r="K26" s="56" t="s">
        <v>466</v>
      </c>
      <c r="L26" s="56" t="s">
        <v>467</v>
      </c>
    </row>
    <row r="27" customFormat="false" ht="15.75" hidden="false" customHeight="true" outlineLevel="0" collapsed="false">
      <c r="A27" s="78" t="str">
        <f aca="false">IFERROR(IF($B27="","",IF(INDEX(Einheiten!$B$4:$B$63,MATCH($B27,Einheiten!$A$4:$A$63,0))=0,"",INDEX(Einheiten!$B$4:$B$63,MATCH($B27,Einheiten!$A$4:$A$63,0)))),"")</f>
        <v/>
      </c>
      <c r="B27" s="54" t="n">
        <v>2</v>
      </c>
      <c r="C27" s="79" t="str">
        <f aca="false">IFERROR(IF($D27="","",INDEX(Übungen!$B$4:$B$23,MATCH($D27,Übungen!$A$4:$A$23,0))),"")</f>
        <v>Beine vorne</v>
      </c>
      <c r="D27" s="56" t="s">
        <v>369</v>
      </c>
      <c r="E27" s="73" t="s">
        <v>458</v>
      </c>
      <c r="F27" s="55" t="n">
        <v>10</v>
      </c>
      <c r="G27" s="74"/>
      <c r="H27" s="55"/>
      <c r="I27" s="49" t="str">
        <f aca="false">IF(AND(ISNUMBER($F27),ISNUMBER($G27),$E27&lt;&gt;"R"),$F27*$G27,"")</f>
        <v/>
      </c>
      <c r="J27" s="51" t="str">
        <f aca="false">IF(AND($E27="A",ISNUMBER($F27),ISNUMBER($G27)),$F27*(1+$G27/30),"")</f>
        <v/>
      </c>
      <c r="K27" s="56"/>
      <c r="L27" s="56" t="s">
        <v>468</v>
      </c>
    </row>
    <row r="28" customFormat="false" ht="15.75" hidden="false" customHeight="true" outlineLevel="0" collapsed="false">
      <c r="A28" s="78" t="str">
        <f aca="false">IFERROR(IF($B28="","",IF(INDEX(Einheiten!$B$4:$B$63,MATCH($B28,Einheiten!$A$4:$A$63,0))=0,"",INDEX(Einheiten!$B$4:$B$63,MATCH($B28,Einheiten!$A$4:$A$63,0)))),"")</f>
        <v/>
      </c>
      <c r="B28" s="54" t="n">
        <v>2</v>
      </c>
      <c r="C28" s="79" t="str">
        <f aca="false">IFERROR(IF($D28="","",INDEX(Übungen!$B$4:$B$23,MATCH($D28,Übungen!$A$4:$A$23,0))),"")</f>
        <v>Beine vorne</v>
      </c>
      <c r="D28" s="56" t="s">
        <v>369</v>
      </c>
      <c r="E28" s="73" t="s">
        <v>458</v>
      </c>
      <c r="F28" s="55" t="n">
        <v>20</v>
      </c>
      <c r="G28" s="74"/>
      <c r="H28" s="55"/>
      <c r="I28" s="49" t="str">
        <f aca="false">IF(AND(ISNUMBER($F28),ISNUMBER($G28),$E28&lt;&gt;"R"),$F28*$G28,"")</f>
        <v/>
      </c>
      <c r="J28" s="51" t="str">
        <f aca="false">IF(AND($E28="A",ISNUMBER($F28),ISNUMBER($G28)),$F28*(1+$G28/30),"")</f>
        <v/>
      </c>
      <c r="K28" s="56"/>
      <c r="L28" s="56" t="s">
        <v>468</v>
      </c>
    </row>
    <row r="29" customFormat="false" ht="15.75" hidden="false" customHeight="true" outlineLevel="0" collapsed="false">
      <c r="A29" s="78" t="str">
        <f aca="false">IFERROR(IF($B29="","",IF(INDEX(Einheiten!$B$4:$B$63,MATCH($B29,Einheiten!$A$4:$A$63,0))=0,"",INDEX(Einheiten!$B$4:$B$63,MATCH($B29,Einheiten!$A$4:$A$63,0)))),"")</f>
        <v/>
      </c>
      <c r="B29" s="54" t="n">
        <v>2</v>
      </c>
      <c r="C29" s="79" t="str">
        <f aca="false">IFERROR(IF($D29="","",INDEX(Übungen!$B$4:$B$23,MATCH($D29,Übungen!$A$4:$A$23,0))),"")</f>
        <v>Beine vorne</v>
      </c>
      <c r="D29" s="56" t="s">
        <v>369</v>
      </c>
      <c r="E29" s="73" t="s">
        <v>459</v>
      </c>
      <c r="F29" s="55" t="n">
        <v>70</v>
      </c>
      <c r="G29" s="74" t="n">
        <v>13</v>
      </c>
      <c r="H29" s="55"/>
      <c r="I29" s="49" t="n">
        <f aca="false">IF(AND(ISNUMBER($F29),ISNUMBER($G29),$E29&lt;&gt;"R"),$F29*$G29,"")</f>
        <v>910</v>
      </c>
      <c r="J29" s="51" t="n">
        <f aca="false">IF(AND($E29="A",ISNUMBER($F29),ISNUMBER($G29)),$F29*(1+$G29/30),"")</f>
        <v>100.333333333333</v>
      </c>
      <c r="K29" s="56"/>
      <c r="L29" s="56"/>
    </row>
    <row r="30" customFormat="false" ht="15.75" hidden="false" customHeight="true" outlineLevel="0" collapsed="false">
      <c r="A30" s="78" t="str">
        <f aca="false">IFERROR(IF($B30="","",IF(INDEX(Einheiten!$B$4:$B$63,MATCH($B30,Einheiten!$A$4:$A$63,0))=0,"",INDEX(Einheiten!$B$4:$B$63,MATCH($B30,Einheiten!$A$4:$A$63,0)))),"")</f>
        <v/>
      </c>
      <c r="B30" s="54" t="n">
        <v>2</v>
      </c>
      <c r="C30" s="79" t="str">
        <f aca="false">IFERROR(IF($D30="","",INDEX(Übungen!$B$4:$B$23,MATCH($D30,Übungen!$A$4:$A$23,0))),"")</f>
        <v>Beine vorne</v>
      </c>
      <c r="D30" s="56" t="s">
        <v>369</v>
      </c>
      <c r="E30" s="73" t="s">
        <v>459</v>
      </c>
      <c r="F30" s="55" t="n">
        <v>80</v>
      </c>
      <c r="G30" s="74" t="n">
        <v>9</v>
      </c>
      <c r="H30" s="55"/>
      <c r="I30" s="49" t="n">
        <f aca="false">IF(AND(ISNUMBER($F30),ISNUMBER($G30),$E30&lt;&gt;"R"),$F30*$G30,"")</f>
        <v>720</v>
      </c>
      <c r="J30" s="51" t="n">
        <f aca="false">IF(AND($E30="A",ISNUMBER($F30),ISNUMBER($G30)),$F30*(1+$G30/30),"")</f>
        <v>104</v>
      </c>
      <c r="K30" s="56"/>
      <c r="L30" s="56"/>
    </row>
    <row r="31" customFormat="false" ht="15.75" hidden="false" customHeight="true" outlineLevel="0" collapsed="false">
      <c r="A31" s="78" t="str">
        <f aca="false">IFERROR(IF($B31="","",IF(INDEX(Einheiten!$B$4:$B$63,MATCH($B31,Einheiten!$A$4:$A$63,0))=0,"",INDEX(Einheiten!$B$4:$B$63,MATCH($B31,Einheiten!$A$4:$A$63,0)))),"")</f>
        <v/>
      </c>
      <c r="B31" s="54" t="n">
        <v>2</v>
      </c>
      <c r="C31" s="79" t="str">
        <f aca="false">IFERROR(IF($D31="","",INDEX(Übungen!$B$4:$B$23,MATCH($D31,Übungen!$A$4:$A$23,0))),"")</f>
        <v>Beine vorne</v>
      </c>
      <c r="D31" s="56" t="s">
        <v>369</v>
      </c>
      <c r="E31" s="73" t="s">
        <v>460</v>
      </c>
      <c r="F31" s="55" t="n">
        <v>60</v>
      </c>
      <c r="G31" s="74" t="n">
        <v>10</v>
      </c>
      <c r="H31" s="55"/>
      <c r="I31" s="49" t="str">
        <f aca="false">IF(AND(ISNUMBER($F31),ISNUMBER($G31),$E31&lt;&gt;"R"),$F31*$G31,"")</f>
        <v/>
      </c>
      <c r="J31" s="51" t="str">
        <f aca="false">IF(AND($E31="A",ISNUMBER($F31),ISNUMBER($G31)),$F31*(1+$G31/30),"")</f>
        <v/>
      </c>
      <c r="K31" s="56" t="s">
        <v>469</v>
      </c>
      <c r="L31" s="56"/>
    </row>
    <row r="32" customFormat="false" ht="15.75" hidden="false" customHeight="true" outlineLevel="0" collapsed="false">
      <c r="A32" s="78" t="str">
        <f aca="false">IFERROR(IF($B32="","",IF(INDEX(Einheiten!$B$4:$B$63,MATCH($B32,Einheiten!$A$4:$A$63,0))=0,"",INDEX(Einheiten!$B$4:$B$63,MATCH($B32,Einheiten!$A$4:$A$63,0)))),"")</f>
        <v/>
      </c>
      <c r="B32" s="54" t="n">
        <v>3</v>
      </c>
      <c r="C32" s="79" t="str">
        <f aca="false">IFERROR(IF($D32="","",INDEX(Übungen!$B$4:$B$23,MATCH($D32,Übungen!$A$4:$A$23,0))),"")</f>
        <v>Beine vorne</v>
      </c>
      <c r="D32" s="56" t="s">
        <v>369</v>
      </c>
      <c r="E32" s="73" t="s">
        <v>458</v>
      </c>
      <c r="F32" s="55" t="n">
        <v>15</v>
      </c>
      <c r="G32" s="74" t="n">
        <v>6</v>
      </c>
      <c r="H32" s="55"/>
      <c r="I32" s="49" t="n">
        <f aca="false">IF(AND(ISNUMBER($F32),ISNUMBER($G32),$E32&lt;&gt;"R"),$F32*$G32,"")</f>
        <v>90</v>
      </c>
      <c r="J32" s="51" t="str">
        <f aca="false">IF(AND($E32="A",ISNUMBER($F32),ISNUMBER($G32)),$F32*(1+$G32/30),"")</f>
        <v/>
      </c>
      <c r="K32" s="56"/>
      <c r="L32" s="56"/>
    </row>
    <row r="33" customFormat="false" ht="15.75" hidden="false" customHeight="true" outlineLevel="0" collapsed="false">
      <c r="A33" s="78" t="str">
        <f aca="false">IFERROR(IF($B33="","",IF(INDEX(Einheiten!$B$4:$B$63,MATCH($B33,Einheiten!$A$4:$A$63,0))=0,"",INDEX(Einheiten!$B$4:$B$63,MATCH($B33,Einheiten!$A$4:$A$63,0)))),"")</f>
        <v/>
      </c>
      <c r="B33" s="54" t="n">
        <v>3</v>
      </c>
      <c r="C33" s="79" t="str">
        <f aca="false">IFERROR(IF($D33="","",INDEX(Übungen!$B$4:$B$23,MATCH($D33,Übungen!$A$4:$A$23,0))),"")</f>
        <v>Beine vorne</v>
      </c>
      <c r="D33" s="56" t="s">
        <v>369</v>
      </c>
      <c r="E33" s="73" t="s">
        <v>458</v>
      </c>
      <c r="F33" s="55" t="n">
        <v>25</v>
      </c>
      <c r="G33" s="74" t="n">
        <v>5</v>
      </c>
      <c r="H33" s="55"/>
      <c r="I33" s="49" t="n">
        <f aca="false">IF(AND(ISNUMBER($F33),ISNUMBER($G33),$E33&lt;&gt;"R"),$F33*$G33,"")</f>
        <v>125</v>
      </c>
      <c r="J33" s="51" t="str">
        <f aca="false">IF(AND($E33="A",ISNUMBER($F33),ISNUMBER($G33)),$F33*(1+$G33/30),"")</f>
        <v/>
      </c>
      <c r="K33" s="56"/>
      <c r="L33" s="56"/>
    </row>
    <row r="34" customFormat="false" ht="15.75" hidden="false" customHeight="true" outlineLevel="0" collapsed="false">
      <c r="A34" s="78" t="str">
        <f aca="false">IFERROR(IF($B34="","",IF(INDEX(Einheiten!$B$4:$B$63,MATCH($B34,Einheiten!$A$4:$A$63,0))=0,"",INDEX(Einheiten!$B$4:$B$63,MATCH($B34,Einheiten!$A$4:$A$63,0)))),"")</f>
        <v/>
      </c>
      <c r="B34" s="54" t="n">
        <v>3</v>
      </c>
      <c r="C34" s="79" t="str">
        <f aca="false">IFERROR(IF($D34="","",INDEX(Übungen!$B$4:$B$23,MATCH($D34,Übungen!$A$4:$A$23,0))),"")</f>
        <v>Beine vorne</v>
      </c>
      <c r="D34" s="56" t="s">
        <v>369</v>
      </c>
      <c r="E34" s="73" t="s">
        <v>459</v>
      </c>
      <c r="F34" s="55" t="n">
        <v>85</v>
      </c>
      <c r="G34" s="74" t="n">
        <v>8</v>
      </c>
      <c r="H34" s="55"/>
      <c r="I34" s="49" t="n">
        <f aca="false">IF(AND(ISNUMBER($F34),ISNUMBER($G34),$E34&lt;&gt;"R"),$F34*$G34,"")</f>
        <v>680</v>
      </c>
      <c r="J34" s="51" t="n">
        <f aca="false">IF(AND($E34="A",ISNUMBER($F34),ISNUMBER($G34)),$F34*(1+$G34/30),"")</f>
        <v>107.666666666667</v>
      </c>
      <c r="K34" s="56"/>
      <c r="L34" s="56"/>
    </row>
    <row r="35" customFormat="false" ht="15.75" hidden="false" customHeight="true" outlineLevel="0" collapsed="false">
      <c r="A35" s="78" t="str">
        <f aca="false">IFERROR(IF($B35="","",IF(INDEX(Einheiten!$B$4:$B$63,MATCH($B35,Einheiten!$A$4:$A$63,0))=0,"",INDEX(Einheiten!$B$4:$B$63,MATCH($B35,Einheiten!$A$4:$A$63,0)))),"")</f>
        <v/>
      </c>
      <c r="B35" s="54" t="n">
        <v>3</v>
      </c>
      <c r="C35" s="79" t="str">
        <f aca="false">IFERROR(IF($D35="","",INDEX(Übungen!$B$4:$B$23,MATCH($D35,Übungen!$A$4:$A$23,0))),"")</f>
        <v>Beine vorne</v>
      </c>
      <c r="D35" s="56" t="s">
        <v>369</v>
      </c>
      <c r="E35" s="73" t="s">
        <v>459</v>
      </c>
      <c r="F35" s="55" t="n">
        <v>75</v>
      </c>
      <c r="G35" s="74" t="n">
        <v>10</v>
      </c>
      <c r="H35" s="55"/>
      <c r="I35" s="49" t="n">
        <f aca="false">IF(AND(ISNUMBER($F35),ISNUMBER($G35),$E35&lt;&gt;"R"),$F35*$G35,"")</f>
        <v>750</v>
      </c>
      <c r="J35" s="51" t="n">
        <f aca="false">IF(AND($E35="A",ISNUMBER($F35),ISNUMBER($G35)),$F35*(1+$G35/30),"")</f>
        <v>100</v>
      </c>
      <c r="K35" s="56"/>
      <c r="L35" s="56"/>
    </row>
    <row r="36" customFormat="false" ht="15.75" hidden="false" customHeight="true" outlineLevel="0" collapsed="false">
      <c r="A36" s="78" t="str">
        <f aca="false">IFERROR(IF($B36="","",IF(INDEX(Einheiten!$B$4:$B$63,MATCH($B36,Einheiten!$A$4:$A$63,0))=0,"",INDEX(Einheiten!$B$4:$B$63,MATCH($B36,Einheiten!$A$4:$A$63,0)))),"")</f>
        <v/>
      </c>
      <c r="B36" s="54" t="n">
        <v>3</v>
      </c>
      <c r="C36" s="79" t="str">
        <f aca="false">IFERROR(IF($D36="","",INDEX(Übungen!$B$4:$B$23,MATCH($D36,Übungen!$A$4:$A$23,0))),"")</f>
        <v>Beine vorne</v>
      </c>
      <c r="D36" s="56" t="s">
        <v>369</v>
      </c>
      <c r="E36" s="73" t="s">
        <v>460</v>
      </c>
      <c r="F36" s="55" t="n">
        <v>65</v>
      </c>
      <c r="G36" s="74" t="n">
        <v>10</v>
      </c>
      <c r="H36" s="55"/>
      <c r="I36" s="49" t="str">
        <f aca="false">IF(AND(ISNUMBER($F36),ISNUMBER($G36),$E36&lt;&gt;"R"),$F36*$G36,"")</f>
        <v/>
      </c>
      <c r="J36" s="51" t="str">
        <f aca="false">IF(AND($E36="A",ISNUMBER($F36),ISNUMBER($G36)),$F36*(1+$G36/30),"")</f>
        <v/>
      </c>
      <c r="K36" s="56" t="s">
        <v>470</v>
      </c>
      <c r="L36" s="56"/>
    </row>
    <row r="37" customFormat="false" ht="15.75" hidden="false" customHeight="true" outlineLevel="0" collapsed="false">
      <c r="A37" s="78" t="str">
        <f aca="false">IFERROR(IF($B37="","",IF(INDEX(Einheiten!$B$4:$B$63,MATCH($B37,Einheiten!$A$4:$A$63,0))=0,"",INDEX(Einheiten!$B$4:$B$63,MATCH($B37,Einheiten!$A$4:$A$63,0)))),"")</f>
        <v/>
      </c>
      <c r="B37" s="54" t="n">
        <v>4</v>
      </c>
      <c r="C37" s="79" t="str">
        <f aca="false">IFERROR(IF($D37="","",INDEX(Übungen!$B$4:$B$23,MATCH($D37,Übungen!$A$4:$A$23,0))),"")</f>
        <v>Beine vorne</v>
      </c>
      <c r="D37" s="56" t="s">
        <v>369</v>
      </c>
      <c r="E37" s="73" t="s">
        <v>458</v>
      </c>
      <c r="F37" s="55" t="n">
        <v>15</v>
      </c>
      <c r="G37" s="74" t="n">
        <v>10</v>
      </c>
      <c r="H37" s="55"/>
      <c r="I37" s="49" t="n">
        <f aca="false">IF(AND(ISNUMBER($F37),ISNUMBER($G37),$E37&lt;&gt;"R"),$F37*$G37,"")</f>
        <v>150</v>
      </c>
      <c r="J37" s="51" t="str">
        <f aca="false">IF(AND($E37="A",ISNUMBER($F37),ISNUMBER($G37)),$F37*(1+$G37/30),"")</f>
        <v/>
      </c>
      <c r="K37" s="56"/>
      <c r="L37" s="56"/>
    </row>
    <row r="38" customFormat="false" ht="15.75" hidden="false" customHeight="true" outlineLevel="0" collapsed="false">
      <c r="A38" s="78" t="str">
        <f aca="false">IFERROR(IF($B38="","",IF(INDEX(Einheiten!$B$4:$B$63,MATCH($B38,Einheiten!$A$4:$A$63,0))=0,"",INDEX(Einheiten!$B$4:$B$63,MATCH($B38,Einheiten!$A$4:$A$63,0)))),"")</f>
        <v/>
      </c>
      <c r="B38" s="54" t="n">
        <v>4</v>
      </c>
      <c r="C38" s="79" t="str">
        <f aca="false">IFERROR(IF($D38="","",INDEX(Übungen!$B$4:$B$23,MATCH($D38,Übungen!$A$4:$A$23,0))),"")</f>
        <v>Beine vorne</v>
      </c>
      <c r="D38" s="56" t="s">
        <v>369</v>
      </c>
      <c r="E38" s="73" t="s">
        <v>458</v>
      </c>
      <c r="F38" s="55" t="n">
        <v>30</v>
      </c>
      <c r="G38" s="74" t="n">
        <v>5</v>
      </c>
      <c r="H38" s="55"/>
      <c r="I38" s="49" t="n">
        <f aca="false">IF(AND(ISNUMBER($F38),ISNUMBER($G38),$E38&lt;&gt;"R"),$F38*$G38,"")</f>
        <v>150</v>
      </c>
      <c r="J38" s="51" t="str">
        <f aca="false">IF(AND($E38="A",ISNUMBER($F38),ISNUMBER($G38)),$F38*(1+$G38/30),"")</f>
        <v/>
      </c>
      <c r="K38" s="56"/>
      <c r="L38" s="56"/>
    </row>
    <row r="39" customFormat="false" ht="15.75" hidden="false" customHeight="true" outlineLevel="0" collapsed="false">
      <c r="A39" s="78" t="str">
        <f aca="false">IFERROR(IF($B39="","",IF(INDEX(Einheiten!$B$4:$B$63,MATCH($B39,Einheiten!$A$4:$A$63,0))=0,"",INDEX(Einheiten!$B$4:$B$63,MATCH($B39,Einheiten!$A$4:$A$63,0)))),"")</f>
        <v/>
      </c>
      <c r="B39" s="54" t="n">
        <v>4</v>
      </c>
      <c r="C39" s="79" t="str">
        <f aca="false">IFERROR(IF($D39="","",INDEX(Übungen!$B$4:$B$23,MATCH($D39,Übungen!$A$4:$A$23,0))),"")</f>
        <v>Beine vorne</v>
      </c>
      <c r="D39" s="56" t="s">
        <v>369</v>
      </c>
      <c r="E39" s="73" t="s">
        <v>459</v>
      </c>
      <c r="F39" s="55" t="n">
        <v>80</v>
      </c>
      <c r="G39" s="74" t="n">
        <v>12</v>
      </c>
      <c r="H39" s="55"/>
      <c r="I39" s="49" t="n">
        <f aca="false">IF(AND(ISNUMBER($F39),ISNUMBER($G39),$E39&lt;&gt;"R"),$F39*$G39,"")</f>
        <v>960</v>
      </c>
      <c r="J39" s="51" t="n">
        <f aca="false">IF(AND($E39="A",ISNUMBER($F39),ISNUMBER($G39)),$F39*(1+$G39/30),"")</f>
        <v>112</v>
      </c>
      <c r="K39" s="56"/>
      <c r="L39" s="56"/>
    </row>
    <row r="40" customFormat="false" ht="15.75" hidden="false" customHeight="true" outlineLevel="0" collapsed="false">
      <c r="A40" s="78" t="str">
        <f aca="false">IFERROR(IF($B40="","",IF(INDEX(Einheiten!$B$4:$B$63,MATCH($B40,Einheiten!$A$4:$A$63,0))=0,"",INDEX(Einheiten!$B$4:$B$63,MATCH($B40,Einheiten!$A$4:$A$63,0)))),"")</f>
        <v/>
      </c>
      <c r="B40" s="54" t="n">
        <v>4</v>
      </c>
      <c r="C40" s="79" t="str">
        <f aca="false">IFERROR(IF($D40="","",INDEX(Übungen!$B$4:$B$23,MATCH($D40,Übungen!$A$4:$A$23,0))),"")</f>
        <v>Beine vorne</v>
      </c>
      <c r="D40" s="56" t="s">
        <v>369</v>
      </c>
      <c r="E40" s="73" t="s">
        <v>459</v>
      </c>
      <c r="F40" s="55" t="n">
        <v>80</v>
      </c>
      <c r="G40" s="74" t="n">
        <v>8</v>
      </c>
      <c r="H40" s="55"/>
      <c r="I40" s="49" t="n">
        <f aca="false">IF(AND(ISNUMBER($F40),ISNUMBER($G40),$E40&lt;&gt;"R"),$F40*$G40,"")</f>
        <v>640</v>
      </c>
      <c r="J40" s="51" t="n">
        <f aca="false">IF(AND($E40="A",ISNUMBER($F40),ISNUMBER($G40)),$F40*(1+$G40/30),"")</f>
        <v>101.333333333333</v>
      </c>
      <c r="K40" s="56"/>
      <c r="L40" s="56"/>
    </row>
    <row r="41" customFormat="false" ht="15.75" hidden="false" customHeight="true" outlineLevel="0" collapsed="false">
      <c r="A41" s="78" t="str">
        <f aca="false">IFERROR(IF($B41="","",IF(INDEX(Einheiten!$B$4:$B$63,MATCH($B41,Einheiten!$A$4:$A$63,0))=0,"",INDEX(Einheiten!$B$4:$B$63,MATCH($B41,Einheiten!$A$4:$A$63,0)))),"")</f>
        <v/>
      </c>
      <c r="B41" s="54" t="n">
        <v>4</v>
      </c>
      <c r="C41" s="79" t="str">
        <f aca="false">IFERROR(IF($D41="","",INDEX(Übungen!$B$4:$B$23,MATCH($D41,Übungen!$A$4:$A$23,0))),"")</f>
        <v>Beine vorne</v>
      </c>
      <c r="D41" s="56" t="s">
        <v>369</v>
      </c>
      <c r="E41" s="73" t="s">
        <v>460</v>
      </c>
      <c r="F41" s="55" t="n">
        <v>70</v>
      </c>
      <c r="G41" s="74" t="n">
        <v>6</v>
      </c>
      <c r="H41" s="55"/>
      <c r="I41" s="49" t="str">
        <f aca="false">IF(AND(ISNUMBER($F41),ISNUMBER($G41),$E41&lt;&gt;"R"),$F41*$G41,"")</f>
        <v/>
      </c>
      <c r="J41" s="51" t="str">
        <f aca="false">IF(AND($E41="A",ISNUMBER($F41),ISNUMBER($G41)),$F41*(1+$G41/30),"")</f>
        <v/>
      </c>
      <c r="K41" s="56" t="s">
        <v>471</v>
      </c>
      <c r="L41" s="56"/>
    </row>
    <row r="42" customFormat="false" ht="15.75" hidden="false" customHeight="true" outlineLevel="0" collapsed="false">
      <c r="A42" s="78" t="str">
        <f aca="false">IFERROR(IF($B42="","",IF(INDEX(Einheiten!$B$4:$B$63,MATCH($B42,Einheiten!$A$4:$A$63,0))=0,"",INDEX(Einheiten!$B$4:$B$63,MATCH($B42,Einheiten!$A$4:$A$63,0)))),"")</f>
        <v/>
      </c>
      <c r="B42" s="54" t="n">
        <v>1</v>
      </c>
      <c r="C42" s="79" t="str">
        <f aca="false">IFERROR(IF($D42="","",INDEX(Übungen!$B$4:$B$23,MATCH($D42,Übungen!$A$4:$A$23,0))),"")</f>
        <v>Beine vorne</v>
      </c>
      <c r="D42" s="56" t="s">
        <v>415</v>
      </c>
      <c r="E42" s="73" t="s">
        <v>458</v>
      </c>
      <c r="F42" s="55" t="n">
        <v>20</v>
      </c>
      <c r="G42" s="74" t="n">
        <v>5</v>
      </c>
      <c r="H42" s="55"/>
      <c r="I42" s="49" t="n">
        <f aca="false">IF(AND(ISNUMBER($F42),ISNUMBER($G42),$E42&lt;&gt;"R"),$F42*$G42,"")</f>
        <v>100</v>
      </c>
      <c r="J42" s="51" t="str">
        <f aca="false">IF(AND($E42="A",ISNUMBER($F42),ISNUMBER($G42)),$F42*(1+$G42/30),"")</f>
        <v/>
      </c>
      <c r="K42" s="56"/>
      <c r="L42" s="56"/>
    </row>
    <row r="43" customFormat="false" ht="15.75" hidden="false" customHeight="true" outlineLevel="0" collapsed="false">
      <c r="A43" s="78" t="str">
        <f aca="false">IFERROR(IF($B43="","",IF(INDEX(Einheiten!$B$4:$B$63,MATCH($B43,Einheiten!$A$4:$A$63,0))=0,"",INDEX(Einheiten!$B$4:$B$63,MATCH($B43,Einheiten!$A$4:$A$63,0)))),"")</f>
        <v/>
      </c>
      <c r="B43" s="54" t="n">
        <v>1</v>
      </c>
      <c r="C43" s="79" t="str">
        <f aca="false">IFERROR(IF($D43="","",INDEX(Übungen!$B$4:$B$23,MATCH($D43,Übungen!$A$4:$A$23,0))),"")</f>
        <v>Beine vorne</v>
      </c>
      <c r="D43" s="56" t="s">
        <v>415</v>
      </c>
      <c r="E43" s="73" t="s">
        <v>458</v>
      </c>
      <c r="F43" s="55" t="n">
        <v>40</v>
      </c>
      <c r="G43" s="74" t="n">
        <v>5</v>
      </c>
      <c r="H43" s="55"/>
      <c r="I43" s="49" t="n">
        <f aca="false">IF(AND(ISNUMBER($F43),ISNUMBER($G43),$E43&lt;&gt;"R"),$F43*$G43,"")</f>
        <v>200</v>
      </c>
      <c r="J43" s="51" t="str">
        <f aca="false">IF(AND($E43="A",ISNUMBER($F43),ISNUMBER($G43)),$F43*(1+$G43/30),"")</f>
        <v/>
      </c>
      <c r="K43" s="56"/>
      <c r="L43" s="56"/>
    </row>
    <row r="44" customFormat="false" ht="15.75" hidden="false" customHeight="true" outlineLevel="0" collapsed="false">
      <c r="A44" s="78" t="str">
        <f aca="false">IFERROR(IF($B44="","",IF(INDEX(Einheiten!$B$4:$B$63,MATCH($B44,Einheiten!$A$4:$A$63,0))=0,"",INDEX(Einheiten!$B$4:$B$63,MATCH($B44,Einheiten!$A$4:$A$63,0)))),"")</f>
        <v/>
      </c>
      <c r="B44" s="54" t="n">
        <v>1</v>
      </c>
      <c r="C44" s="79" t="str">
        <f aca="false">IFERROR(IF($D44="","",INDEX(Übungen!$B$4:$B$23,MATCH($D44,Übungen!$A$4:$A$23,0))),"")</f>
        <v>Beine vorne</v>
      </c>
      <c r="D44" s="56" t="s">
        <v>415</v>
      </c>
      <c r="E44" s="73" t="s">
        <v>459</v>
      </c>
      <c r="F44" s="55" t="n">
        <v>80</v>
      </c>
      <c r="G44" s="74" t="n">
        <v>6</v>
      </c>
      <c r="H44" s="55"/>
      <c r="I44" s="49" t="n">
        <f aca="false">IF(AND(ISNUMBER($F44),ISNUMBER($G44),$E44&lt;&gt;"R"),$F44*$G44,"")</f>
        <v>480</v>
      </c>
      <c r="J44" s="51" t="n">
        <f aca="false">IF(AND($E44="A",ISNUMBER($F44),ISNUMBER($G44)),$F44*(1+$G44/30),"")</f>
        <v>96</v>
      </c>
      <c r="K44" s="56"/>
      <c r="L44" s="56"/>
    </row>
    <row r="45" customFormat="false" ht="15.75" hidden="false" customHeight="true" outlineLevel="0" collapsed="false">
      <c r="A45" s="78" t="str">
        <f aca="false">IFERROR(IF($B45="","",IF(INDEX(Einheiten!$B$4:$B$63,MATCH($B45,Einheiten!$A$4:$A$63,0))=0,"",INDEX(Einheiten!$B$4:$B$63,MATCH($B45,Einheiten!$A$4:$A$63,0)))),"")</f>
        <v/>
      </c>
      <c r="B45" s="54" t="n">
        <v>1</v>
      </c>
      <c r="C45" s="79" t="str">
        <f aca="false">IFERROR(IF($D45="","",INDEX(Übungen!$B$4:$B$23,MATCH($D45,Übungen!$A$4:$A$23,0))),"")</f>
        <v>Beine vorne</v>
      </c>
      <c r="D45" s="56" t="s">
        <v>415</v>
      </c>
      <c r="E45" s="73" t="s">
        <v>459</v>
      </c>
      <c r="F45" s="55" t="n">
        <v>90</v>
      </c>
      <c r="G45" s="74" t="n">
        <v>7</v>
      </c>
      <c r="H45" s="55"/>
      <c r="I45" s="49" t="n">
        <f aca="false">IF(AND(ISNUMBER($F45),ISNUMBER($G45),$E45&lt;&gt;"R"),$F45*$G45,"")</f>
        <v>630</v>
      </c>
      <c r="J45" s="51" t="n">
        <f aca="false">IF(AND($E45="A",ISNUMBER($F45),ISNUMBER($G45)),$F45*(1+$G45/30),"")</f>
        <v>111</v>
      </c>
      <c r="K45" s="56"/>
      <c r="L45" s="56"/>
    </row>
    <row r="46" customFormat="false" ht="15.75" hidden="false" customHeight="true" outlineLevel="0" collapsed="false">
      <c r="A46" s="78" t="str">
        <f aca="false">IFERROR(IF($B46="","",IF(INDEX(Einheiten!$B$4:$B$63,MATCH($B46,Einheiten!$A$4:$A$63,0))=0,"",INDEX(Einheiten!$B$4:$B$63,MATCH($B46,Einheiten!$A$4:$A$63,0)))),"")</f>
        <v/>
      </c>
      <c r="B46" s="54" t="n">
        <v>1</v>
      </c>
      <c r="C46" s="79" t="str">
        <f aca="false">IFERROR(IF($D46="","",INDEX(Übungen!$B$4:$B$23,MATCH($D46,Übungen!$A$4:$A$23,0))),"")</f>
        <v>Beine vorne</v>
      </c>
      <c r="D46" s="56" t="s">
        <v>415</v>
      </c>
      <c r="E46" s="73" t="s">
        <v>459</v>
      </c>
      <c r="F46" s="55" t="n">
        <v>100</v>
      </c>
      <c r="G46" s="74" t="n">
        <v>5</v>
      </c>
      <c r="H46" s="55"/>
      <c r="I46" s="49" t="n">
        <f aca="false">IF(AND(ISNUMBER($F46),ISNUMBER($G46),$E46&lt;&gt;"R"),$F46*$G46,"")</f>
        <v>500</v>
      </c>
      <c r="J46" s="51" t="n">
        <f aca="false">IF(AND($E46="A",ISNUMBER($F46),ISNUMBER($G46)),$F46*(1+$G46/30),"")</f>
        <v>116.666666666667</v>
      </c>
      <c r="K46" s="56"/>
      <c r="L46" s="56"/>
    </row>
    <row r="47" customFormat="false" ht="15.75" hidden="false" customHeight="true" outlineLevel="0" collapsed="false">
      <c r="A47" s="78" t="str">
        <f aca="false">IFERROR(IF($B47="","",IF(INDEX(Einheiten!$B$4:$B$63,MATCH($B47,Einheiten!$A$4:$A$63,0))=0,"",INDEX(Einheiten!$B$4:$B$63,MATCH($B47,Einheiten!$A$4:$A$63,0)))),"")</f>
        <v/>
      </c>
      <c r="B47" s="54" t="n">
        <v>2</v>
      </c>
      <c r="C47" s="79" t="str">
        <f aca="false">IFERROR(IF($D47="","",INDEX(Übungen!$B$4:$B$23,MATCH($D47,Übungen!$A$4:$A$23,0))),"")</f>
        <v>Beine vorne</v>
      </c>
      <c r="D47" s="56" t="s">
        <v>415</v>
      </c>
      <c r="E47" s="73" t="s">
        <v>458</v>
      </c>
      <c r="F47" s="55" t="n">
        <v>30</v>
      </c>
      <c r="G47" s="74" t="n">
        <v>5</v>
      </c>
      <c r="H47" s="55"/>
      <c r="I47" s="49" t="n">
        <f aca="false">IF(AND(ISNUMBER($F47),ISNUMBER($G47),$E47&lt;&gt;"R"),$F47*$G47,"")</f>
        <v>150</v>
      </c>
      <c r="J47" s="51" t="str">
        <f aca="false">IF(AND($E47="A",ISNUMBER($F47),ISNUMBER($G47)),$F47*(1+$G47/30),"")</f>
        <v/>
      </c>
      <c r="K47" s="56"/>
      <c r="L47" s="56"/>
    </row>
    <row r="48" customFormat="false" ht="15.75" hidden="false" customHeight="true" outlineLevel="0" collapsed="false">
      <c r="A48" s="78" t="str">
        <f aca="false">IFERROR(IF($B48="","",IF(INDEX(Einheiten!$B$4:$B$63,MATCH($B48,Einheiten!$A$4:$A$63,0))=0,"",INDEX(Einheiten!$B$4:$B$63,MATCH($B48,Einheiten!$A$4:$A$63,0)))),"")</f>
        <v/>
      </c>
      <c r="B48" s="54" t="n">
        <v>2</v>
      </c>
      <c r="C48" s="79" t="str">
        <f aca="false">IFERROR(IF($D48="","",INDEX(Übungen!$B$4:$B$23,MATCH($D48,Übungen!$A$4:$A$23,0))),"")</f>
        <v>Beine vorne</v>
      </c>
      <c r="D48" s="56" t="s">
        <v>415</v>
      </c>
      <c r="E48" s="73" t="s">
        <v>458</v>
      </c>
      <c r="F48" s="55" t="n">
        <v>50</v>
      </c>
      <c r="G48" s="74" t="n">
        <v>3</v>
      </c>
      <c r="H48" s="55"/>
      <c r="I48" s="49" t="n">
        <f aca="false">IF(AND(ISNUMBER($F48),ISNUMBER($G48),$E48&lt;&gt;"R"),$F48*$G48,"")</f>
        <v>150</v>
      </c>
      <c r="J48" s="51" t="str">
        <f aca="false">IF(AND($E48="A",ISNUMBER($F48),ISNUMBER($G48)),$F48*(1+$G48/30),"")</f>
        <v/>
      </c>
      <c r="K48" s="56"/>
      <c r="L48" s="56"/>
    </row>
    <row r="49" customFormat="false" ht="15.75" hidden="false" customHeight="true" outlineLevel="0" collapsed="false">
      <c r="A49" s="78" t="str">
        <f aca="false">IFERROR(IF($B49="","",IF(INDEX(Einheiten!$B$4:$B$63,MATCH($B49,Einheiten!$A$4:$A$63,0))=0,"",INDEX(Einheiten!$B$4:$B$63,MATCH($B49,Einheiten!$A$4:$A$63,0)))),"")</f>
        <v/>
      </c>
      <c r="B49" s="54" t="n">
        <v>2</v>
      </c>
      <c r="C49" s="79" t="str">
        <f aca="false">IFERROR(IF($D49="","",INDEX(Übungen!$B$4:$B$23,MATCH($D49,Übungen!$A$4:$A$23,0))),"")</f>
        <v>Beine vorne</v>
      </c>
      <c r="D49" s="56" t="s">
        <v>415</v>
      </c>
      <c r="E49" s="73" t="s">
        <v>459</v>
      </c>
      <c r="F49" s="55" t="n">
        <v>85</v>
      </c>
      <c r="G49" s="74" t="n">
        <v>8</v>
      </c>
      <c r="H49" s="55"/>
      <c r="I49" s="49" t="n">
        <f aca="false">IF(AND(ISNUMBER($F49),ISNUMBER($G49),$E49&lt;&gt;"R"),$F49*$G49,"")</f>
        <v>680</v>
      </c>
      <c r="J49" s="51" t="n">
        <f aca="false">IF(AND($E49="A",ISNUMBER($F49),ISNUMBER($G49)),$F49*(1+$G49/30),"")</f>
        <v>107.666666666667</v>
      </c>
      <c r="K49" s="56"/>
      <c r="L49" s="56"/>
    </row>
    <row r="50" customFormat="false" ht="15.75" hidden="false" customHeight="true" outlineLevel="0" collapsed="false">
      <c r="A50" s="78" t="str">
        <f aca="false">IFERROR(IF($B50="","",IF(INDEX(Einheiten!$B$4:$B$63,MATCH($B50,Einheiten!$A$4:$A$63,0))=0,"",INDEX(Einheiten!$B$4:$B$63,MATCH($B50,Einheiten!$A$4:$A$63,0)))),"")</f>
        <v/>
      </c>
      <c r="B50" s="54" t="n">
        <v>2</v>
      </c>
      <c r="C50" s="79" t="str">
        <f aca="false">IFERROR(IF($D50="","",INDEX(Übungen!$B$4:$B$23,MATCH($D50,Übungen!$A$4:$A$23,0))),"")</f>
        <v>Beine vorne</v>
      </c>
      <c r="D50" s="56" t="s">
        <v>415</v>
      </c>
      <c r="E50" s="73" t="s">
        <v>459</v>
      </c>
      <c r="F50" s="55" t="n">
        <v>95</v>
      </c>
      <c r="G50" s="74" t="n">
        <v>5</v>
      </c>
      <c r="H50" s="55"/>
      <c r="I50" s="49" t="n">
        <f aca="false">IF(AND(ISNUMBER($F50),ISNUMBER($G50),$E50&lt;&gt;"R"),$F50*$G50,"")</f>
        <v>475</v>
      </c>
      <c r="J50" s="51" t="n">
        <f aca="false">IF(AND($E50="A",ISNUMBER($F50),ISNUMBER($G50)),$F50*(1+$G50/30),"")</f>
        <v>110.833333333333</v>
      </c>
      <c r="K50" s="56"/>
      <c r="L50" s="56"/>
    </row>
    <row r="51" customFormat="false" ht="15.75" hidden="false" customHeight="true" outlineLevel="0" collapsed="false">
      <c r="A51" s="78" t="str">
        <f aca="false">IFERROR(IF($B51="","",IF(INDEX(Einheiten!$B$4:$B$63,MATCH($B51,Einheiten!$A$4:$A$63,0))=0,"",INDEX(Einheiten!$B$4:$B$63,MATCH($B51,Einheiten!$A$4:$A$63,0)))),"")</f>
        <v/>
      </c>
      <c r="B51" s="54" t="n">
        <v>2</v>
      </c>
      <c r="C51" s="79" t="str">
        <f aca="false">IFERROR(IF($D51="","",INDEX(Übungen!$B$4:$B$23,MATCH($D51,Übungen!$A$4:$A$23,0))),"")</f>
        <v>Beine vorne</v>
      </c>
      <c r="D51" s="56" t="s">
        <v>415</v>
      </c>
      <c r="E51" s="73" t="s">
        <v>459</v>
      </c>
      <c r="F51" s="55" t="n">
        <v>105</v>
      </c>
      <c r="G51" s="74" t="n">
        <v>4</v>
      </c>
      <c r="H51" s="55"/>
      <c r="I51" s="49" t="n">
        <f aca="false">IF(AND(ISNUMBER($F51),ISNUMBER($G51),$E51&lt;&gt;"R"),$F51*$G51,"")</f>
        <v>420</v>
      </c>
      <c r="J51" s="51" t="n">
        <f aca="false">IF(AND($E51="A",ISNUMBER($F51),ISNUMBER($G51)),$F51*(1+$G51/30),"")</f>
        <v>119</v>
      </c>
      <c r="K51" s="56"/>
      <c r="L51" s="56"/>
    </row>
    <row r="52" customFormat="false" ht="15.75" hidden="false" customHeight="true" outlineLevel="0" collapsed="false">
      <c r="A52" s="78" t="str">
        <f aca="false">IFERROR(IF($B52="","",IF(INDEX(Einheiten!$B$4:$B$63,MATCH($B52,Einheiten!$A$4:$A$63,0))=0,"",INDEX(Einheiten!$B$4:$B$63,MATCH($B52,Einheiten!$A$4:$A$63,0)))),"")</f>
        <v/>
      </c>
      <c r="B52" s="54" t="n">
        <v>3</v>
      </c>
      <c r="C52" s="79" t="str">
        <f aca="false">IFERROR(IF($D52="","",INDEX(Übungen!$B$4:$B$23,MATCH($D52,Übungen!$A$4:$A$23,0))),"")</f>
        <v>Beine vorne</v>
      </c>
      <c r="D52" s="56" t="s">
        <v>415</v>
      </c>
      <c r="E52" s="73" t="s">
        <v>458</v>
      </c>
      <c r="F52" s="55" t="n">
        <v>40</v>
      </c>
      <c r="G52" s="74" t="n">
        <v>5</v>
      </c>
      <c r="H52" s="55"/>
      <c r="I52" s="49" t="n">
        <f aca="false">IF(AND(ISNUMBER($F52),ISNUMBER($G52),$E52&lt;&gt;"R"),$F52*$G52,"")</f>
        <v>200</v>
      </c>
      <c r="J52" s="51" t="str">
        <f aca="false">IF(AND($E52="A",ISNUMBER($F52),ISNUMBER($G52)),$F52*(1+$G52/30),"")</f>
        <v/>
      </c>
      <c r="K52" s="56"/>
      <c r="L52" s="56"/>
    </row>
    <row r="53" customFormat="false" ht="15.75" hidden="false" customHeight="true" outlineLevel="0" collapsed="false">
      <c r="A53" s="78" t="str">
        <f aca="false">IFERROR(IF($B53="","",IF(INDEX(Einheiten!$B$4:$B$63,MATCH($B53,Einheiten!$A$4:$A$63,0))=0,"",INDEX(Einheiten!$B$4:$B$63,MATCH($B53,Einheiten!$A$4:$A$63,0)))),"")</f>
        <v/>
      </c>
      <c r="B53" s="54" t="n">
        <v>3</v>
      </c>
      <c r="C53" s="79" t="str">
        <f aca="false">IFERROR(IF($D53="","",INDEX(Übungen!$B$4:$B$23,MATCH($D53,Übungen!$A$4:$A$23,0))),"")</f>
        <v>Beine vorne</v>
      </c>
      <c r="D53" s="56" t="s">
        <v>415</v>
      </c>
      <c r="E53" s="73" t="s">
        <v>458</v>
      </c>
      <c r="F53" s="55" t="n">
        <v>60</v>
      </c>
      <c r="G53" s="74" t="n">
        <v>3</v>
      </c>
      <c r="H53" s="55"/>
      <c r="I53" s="49" t="n">
        <f aca="false">IF(AND(ISNUMBER($F53),ISNUMBER($G53),$E53&lt;&gt;"R"),$F53*$G53,"")</f>
        <v>180</v>
      </c>
      <c r="J53" s="51" t="str">
        <f aca="false">IF(AND($E53="A",ISNUMBER($F53),ISNUMBER($G53)),$F53*(1+$G53/30),"")</f>
        <v/>
      </c>
      <c r="K53" s="56"/>
      <c r="L53" s="56"/>
    </row>
    <row r="54" customFormat="false" ht="15.75" hidden="false" customHeight="true" outlineLevel="0" collapsed="false">
      <c r="A54" s="78" t="str">
        <f aca="false">IFERROR(IF($B54="","",IF(INDEX(Einheiten!$B$4:$B$63,MATCH($B54,Einheiten!$A$4:$A$63,0))=0,"",INDEX(Einheiten!$B$4:$B$63,MATCH($B54,Einheiten!$A$4:$A$63,0)))),"")</f>
        <v/>
      </c>
      <c r="B54" s="54" t="n">
        <v>3</v>
      </c>
      <c r="C54" s="79" t="str">
        <f aca="false">IFERROR(IF($D54="","",INDEX(Übungen!$B$4:$B$23,MATCH($D54,Übungen!$A$4:$A$23,0))),"")</f>
        <v>Beine vorne</v>
      </c>
      <c r="D54" s="56" t="s">
        <v>415</v>
      </c>
      <c r="E54" s="73" t="s">
        <v>459</v>
      </c>
      <c r="F54" s="55" t="n">
        <v>100</v>
      </c>
      <c r="G54" s="74" t="n">
        <v>7</v>
      </c>
      <c r="H54" s="55"/>
      <c r="I54" s="49" t="n">
        <f aca="false">IF(AND(ISNUMBER($F54),ISNUMBER($G54),$E54&lt;&gt;"R"),$F54*$G54,"")</f>
        <v>700</v>
      </c>
      <c r="J54" s="51" t="n">
        <f aca="false">IF(AND($E54="A",ISNUMBER($F54),ISNUMBER($G54)),$F54*(1+$G54/30),"")</f>
        <v>123.333333333333</v>
      </c>
      <c r="K54" s="56"/>
      <c r="L54" s="56"/>
    </row>
    <row r="55" customFormat="false" ht="15.75" hidden="false" customHeight="true" outlineLevel="0" collapsed="false">
      <c r="A55" s="78" t="str">
        <f aca="false">IFERROR(IF($B55="","",IF(INDEX(Einheiten!$B$4:$B$63,MATCH($B55,Einheiten!$A$4:$A$63,0))=0,"",INDEX(Einheiten!$B$4:$B$63,MATCH($B55,Einheiten!$A$4:$A$63,0)))),"")</f>
        <v/>
      </c>
      <c r="B55" s="54" t="n">
        <v>3</v>
      </c>
      <c r="C55" s="79" t="str">
        <f aca="false">IFERROR(IF($D55="","",INDEX(Übungen!$B$4:$B$23,MATCH($D55,Übungen!$A$4:$A$23,0))),"")</f>
        <v>Beine vorne</v>
      </c>
      <c r="D55" s="56" t="s">
        <v>415</v>
      </c>
      <c r="E55" s="73" t="s">
        <v>459</v>
      </c>
      <c r="F55" s="55" t="n">
        <v>95</v>
      </c>
      <c r="G55" s="74" t="n">
        <v>9</v>
      </c>
      <c r="H55" s="55"/>
      <c r="I55" s="49" t="n">
        <f aca="false">IF(AND(ISNUMBER($F55),ISNUMBER($G55),$E55&lt;&gt;"R"),$F55*$G55,"")</f>
        <v>855</v>
      </c>
      <c r="J55" s="51" t="n">
        <f aca="false">IF(AND($E55="A",ISNUMBER($F55),ISNUMBER($G55)),$F55*(1+$G55/30),"")</f>
        <v>123.5</v>
      </c>
      <c r="K55" s="56"/>
      <c r="L55" s="56"/>
    </row>
    <row r="56" customFormat="false" ht="15.75" hidden="false" customHeight="true" outlineLevel="0" collapsed="false">
      <c r="A56" s="78" t="str">
        <f aca="false">IFERROR(IF($B56="","",IF(INDEX(Einheiten!$B$4:$B$63,MATCH($B56,Einheiten!$A$4:$A$63,0))=0,"",INDEX(Einheiten!$B$4:$B$63,MATCH($B56,Einheiten!$A$4:$A$63,0)))),"")</f>
        <v/>
      </c>
      <c r="B56" s="54" t="n">
        <v>3</v>
      </c>
      <c r="C56" s="79" t="str">
        <f aca="false">IFERROR(IF($D56="","",INDEX(Übungen!$B$4:$B$23,MATCH($D56,Übungen!$A$4:$A$23,0))),"")</f>
        <v>Beine vorne</v>
      </c>
      <c r="D56" s="56" t="s">
        <v>415</v>
      </c>
      <c r="E56" s="73" t="s">
        <v>459</v>
      </c>
      <c r="F56" s="55" t="n">
        <v>90</v>
      </c>
      <c r="G56" s="74" t="n">
        <v>8</v>
      </c>
      <c r="H56" s="55"/>
      <c r="I56" s="49" t="n">
        <f aca="false">IF(AND(ISNUMBER($F56),ISNUMBER($G56),$E56&lt;&gt;"R"),$F56*$G56,"")</f>
        <v>720</v>
      </c>
      <c r="J56" s="51" t="n">
        <f aca="false">IF(AND($E56="A",ISNUMBER($F56),ISNUMBER($G56)),$F56*(1+$G56/30),"")</f>
        <v>114</v>
      </c>
      <c r="K56" s="56"/>
      <c r="L56" s="56"/>
    </row>
    <row r="57" customFormat="false" ht="15.75" hidden="false" customHeight="true" outlineLevel="0" collapsed="false">
      <c r="A57" s="78" t="str">
        <f aca="false">IFERROR(IF($B57="","",IF(INDEX(Einheiten!$B$4:$B$63,MATCH($B57,Einheiten!$A$4:$A$63,0))=0,"",INDEX(Einheiten!$B$4:$B$63,MATCH($B57,Einheiten!$A$4:$A$63,0)))),"")</f>
        <v/>
      </c>
      <c r="B57" s="54" t="n">
        <v>4</v>
      </c>
      <c r="C57" s="79" t="str">
        <f aca="false">IFERROR(IF($D57="","",INDEX(Übungen!$B$4:$B$23,MATCH($D57,Übungen!$A$4:$A$23,0))),"")</f>
        <v>Beine vorne</v>
      </c>
      <c r="D57" s="56" t="s">
        <v>415</v>
      </c>
      <c r="E57" s="73" t="s">
        <v>458</v>
      </c>
      <c r="F57" s="55" t="n">
        <v>40</v>
      </c>
      <c r="G57" s="74" t="n">
        <v>6</v>
      </c>
      <c r="H57" s="55"/>
      <c r="I57" s="49" t="n">
        <f aca="false">IF(AND(ISNUMBER($F57),ISNUMBER($G57),$E57&lt;&gt;"R"),$F57*$G57,"")</f>
        <v>240</v>
      </c>
      <c r="J57" s="51" t="str">
        <f aca="false">IF(AND($E57="A",ISNUMBER($F57),ISNUMBER($G57)),$F57*(1+$G57/30),"")</f>
        <v/>
      </c>
      <c r="K57" s="56"/>
      <c r="L57" s="56"/>
    </row>
    <row r="58" customFormat="false" ht="15.75" hidden="false" customHeight="true" outlineLevel="0" collapsed="false">
      <c r="A58" s="78" t="str">
        <f aca="false">IFERROR(IF($B58="","",IF(INDEX(Einheiten!$B$4:$B$63,MATCH($B58,Einheiten!$A$4:$A$63,0))=0,"",INDEX(Einheiten!$B$4:$B$63,MATCH($B58,Einheiten!$A$4:$A$63,0)))),"")</f>
        <v/>
      </c>
      <c r="B58" s="54" t="n">
        <v>4</v>
      </c>
      <c r="C58" s="79" t="str">
        <f aca="false">IFERROR(IF($D58="","",INDEX(Übungen!$B$4:$B$23,MATCH($D58,Übungen!$A$4:$A$23,0))),"")</f>
        <v>Beine vorne</v>
      </c>
      <c r="D58" s="56" t="s">
        <v>415</v>
      </c>
      <c r="E58" s="73" t="s">
        <v>458</v>
      </c>
      <c r="F58" s="55" t="n">
        <v>70</v>
      </c>
      <c r="G58" s="74" t="n">
        <v>3</v>
      </c>
      <c r="H58" s="55"/>
      <c r="I58" s="49" t="n">
        <f aca="false">IF(AND(ISNUMBER($F58),ISNUMBER($G58),$E58&lt;&gt;"R"),$F58*$G58,"")</f>
        <v>210</v>
      </c>
      <c r="J58" s="51" t="str">
        <f aca="false">IF(AND($E58="A",ISNUMBER($F58),ISNUMBER($G58)),$F58*(1+$G58/30),"")</f>
        <v/>
      </c>
      <c r="K58" s="56"/>
      <c r="L58" s="56"/>
    </row>
    <row r="59" customFormat="false" ht="15.75" hidden="false" customHeight="true" outlineLevel="0" collapsed="false">
      <c r="A59" s="78" t="str">
        <f aca="false">IFERROR(IF($B59="","",IF(INDEX(Einheiten!$B$4:$B$63,MATCH($B59,Einheiten!$A$4:$A$63,0))=0,"",INDEX(Einheiten!$B$4:$B$63,MATCH($B59,Einheiten!$A$4:$A$63,0)))),"")</f>
        <v/>
      </c>
      <c r="B59" s="54" t="n">
        <v>4</v>
      </c>
      <c r="C59" s="79" t="str">
        <f aca="false">IFERROR(IF($D59="","",INDEX(Übungen!$B$4:$B$23,MATCH($D59,Übungen!$A$4:$A$23,0))),"")</f>
        <v>Beine vorne</v>
      </c>
      <c r="D59" s="56" t="s">
        <v>415</v>
      </c>
      <c r="E59" s="73" t="s">
        <v>459</v>
      </c>
      <c r="F59" s="55" t="n">
        <v>80</v>
      </c>
      <c r="G59" s="74" t="n">
        <v>8</v>
      </c>
      <c r="H59" s="55"/>
      <c r="I59" s="49" t="n">
        <f aca="false">IF(AND(ISNUMBER($F59),ISNUMBER($G59),$E59&lt;&gt;"R"),$F59*$G59,"")</f>
        <v>640</v>
      </c>
      <c r="J59" s="51" t="n">
        <f aca="false">IF(AND($E59="A",ISNUMBER($F59),ISNUMBER($G59)),$F59*(1+$G59/30),"")</f>
        <v>101.333333333333</v>
      </c>
      <c r="K59" s="56"/>
      <c r="L59" s="56"/>
    </row>
    <row r="60" customFormat="false" ht="15.75" hidden="false" customHeight="true" outlineLevel="0" collapsed="false">
      <c r="A60" s="78" t="str">
        <f aca="false">IFERROR(IF($B60="","",IF(INDEX(Einheiten!$B$4:$B$63,MATCH($B60,Einheiten!$A$4:$A$63,0))=0,"",INDEX(Einheiten!$B$4:$B$63,MATCH($B60,Einheiten!$A$4:$A$63,0)))),"")</f>
        <v/>
      </c>
      <c r="B60" s="54" t="n">
        <v>4</v>
      </c>
      <c r="C60" s="79" t="str">
        <f aca="false">IFERROR(IF($D60="","",INDEX(Übungen!$B$4:$B$23,MATCH($D60,Übungen!$A$4:$A$23,0))),"")</f>
        <v>Beine vorne</v>
      </c>
      <c r="D60" s="56" t="s">
        <v>415</v>
      </c>
      <c r="E60" s="73" t="s">
        <v>459</v>
      </c>
      <c r="F60" s="55" t="n">
        <v>60</v>
      </c>
      <c r="G60" s="74" t="n">
        <v>10</v>
      </c>
      <c r="H60" s="55"/>
      <c r="I60" s="49" t="n">
        <f aca="false">IF(AND(ISNUMBER($F60),ISNUMBER($G60),$E60&lt;&gt;"R"),$F60*$G60,"")</f>
        <v>600</v>
      </c>
      <c r="J60" s="51" t="n">
        <f aca="false">IF(AND($E60="A",ISNUMBER($F60),ISNUMBER($G60)),$F60*(1+$G60/30),"")</f>
        <v>80</v>
      </c>
      <c r="K60" s="56"/>
      <c r="L60" s="56"/>
    </row>
    <row r="61" customFormat="false" ht="15.75" hidden="false" customHeight="true" outlineLevel="0" collapsed="false">
      <c r="A61" s="78" t="str">
        <f aca="false">IFERROR(IF($B61="","",IF(INDEX(Einheiten!$B$4:$B$63,MATCH($B61,Einheiten!$A$4:$A$63,0))=0,"",INDEX(Einheiten!$B$4:$B$63,MATCH($B61,Einheiten!$A$4:$A$63,0)))),"")</f>
        <v/>
      </c>
      <c r="B61" s="54" t="n">
        <v>4</v>
      </c>
      <c r="C61" s="79" t="str">
        <f aca="false">IFERROR(IF($D61="","",INDEX(Übungen!$B$4:$B$23,MATCH($D61,Übungen!$A$4:$A$23,0))),"")</f>
        <v>Beine vorne</v>
      </c>
      <c r="D61" s="56" t="s">
        <v>415</v>
      </c>
      <c r="E61" s="73" t="s">
        <v>459</v>
      </c>
      <c r="F61" s="55" t="n">
        <v>50</v>
      </c>
      <c r="G61" s="74" t="n">
        <v>8</v>
      </c>
      <c r="H61" s="55"/>
      <c r="I61" s="49" t="n">
        <f aca="false">IF(AND(ISNUMBER($F61),ISNUMBER($G61),$E61&lt;&gt;"R"),$F61*$G61,"")</f>
        <v>400</v>
      </c>
      <c r="J61" s="51" t="n">
        <f aca="false">IF(AND($E61="A",ISNUMBER($F61),ISNUMBER($G61)),$F61*(1+$G61/30),"")</f>
        <v>63.3333333333333</v>
      </c>
      <c r="K61" s="56"/>
      <c r="L61" s="56"/>
    </row>
    <row r="62" customFormat="false" ht="15.75" hidden="false" customHeight="true" outlineLevel="0" collapsed="false">
      <c r="A62" s="78" t="str">
        <f aca="false">IFERROR(IF($B62="","",IF(INDEX(Einheiten!$B$4:$B$63,MATCH($B62,Einheiten!$A$4:$A$63,0))=0,"",INDEX(Einheiten!$B$4:$B$63,MATCH($B62,Einheiten!$A$4:$A$63,0)))),"")</f>
        <v/>
      </c>
      <c r="B62" s="54" t="n">
        <v>1</v>
      </c>
      <c r="C62" s="79" t="str">
        <f aca="false">IFERROR(IF($D62="","",INDEX(Übungen!$B$4:$B$23,MATCH($D62,Übungen!$A$4:$A$23,0))),"")</f>
        <v>Beine vorne</v>
      </c>
      <c r="D62" s="56" t="s">
        <v>73</v>
      </c>
      <c r="E62" s="73" t="s">
        <v>459</v>
      </c>
      <c r="F62" s="55" t="n">
        <v>10</v>
      </c>
      <c r="G62" s="74"/>
      <c r="H62" s="55"/>
      <c r="I62" s="49" t="str">
        <f aca="false">IF(AND(ISNUMBER($F62),ISNUMBER($G62),$E62&lt;&gt;"R"),$F62*$G62,"")</f>
        <v/>
      </c>
      <c r="J62" s="51" t="str">
        <f aca="false">IF(AND($E62="A",ISNUMBER($F62),ISNUMBER($G62)),$F62*(1+$G62/30),"")</f>
        <v/>
      </c>
      <c r="K62" s="56"/>
      <c r="L62" s="56" t="s">
        <v>472</v>
      </c>
    </row>
    <row r="63" customFormat="false" ht="15.75" hidden="false" customHeight="true" outlineLevel="0" collapsed="false">
      <c r="A63" s="78" t="str">
        <f aca="false">IFERROR(IF($B63="","",IF(INDEX(Einheiten!$B$4:$B$63,MATCH($B63,Einheiten!$A$4:$A$63,0))=0,"",INDEX(Einheiten!$B$4:$B$63,MATCH($B63,Einheiten!$A$4:$A$63,0)))),"")</f>
        <v/>
      </c>
      <c r="B63" s="54" t="n">
        <v>2</v>
      </c>
      <c r="C63" s="79" t="str">
        <f aca="false">IFERROR(IF($D63="","",INDEX(Übungen!$B$4:$B$23,MATCH($D63,Übungen!$A$4:$A$23,0))),"")</f>
        <v>Beine vorne</v>
      </c>
      <c r="D63" s="56" t="s">
        <v>73</v>
      </c>
      <c r="E63" s="73" t="s">
        <v>459</v>
      </c>
      <c r="F63" s="55" t="n">
        <v>16</v>
      </c>
      <c r="G63" s="74"/>
      <c r="H63" s="55"/>
      <c r="I63" s="49" t="str">
        <f aca="false">IF(AND(ISNUMBER($F63),ISNUMBER($G63),$E63&lt;&gt;"R"),$F63*$G63,"")</f>
        <v/>
      </c>
      <c r="J63" s="51" t="str">
        <f aca="false">IF(AND($E63="A",ISNUMBER($F63),ISNUMBER($G63)),$F63*(1+$G63/30),"")</f>
        <v/>
      </c>
      <c r="K63" s="56"/>
      <c r="L63" s="56" t="s">
        <v>472</v>
      </c>
    </row>
    <row r="64" customFormat="false" ht="15.75" hidden="false" customHeight="true" outlineLevel="0" collapsed="false">
      <c r="A64" s="78" t="str">
        <f aca="false">IFERROR(IF($B64="","",IF(INDEX(Einheiten!$B$4:$B$63,MATCH($B64,Einheiten!$A$4:$A$63,0))=0,"",INDEX(Einheiten!$B$4:$B$63,MATCH($B64,Einheiten!$A$4:$A$63,0)))),"")</f>
        <v/>
      </c>
      <c r="B64" s="54" t="n">
        <v>3</v>
      </c>
      <c r="C64" s="79" t="str">
        <f aca="false">IFERROR(IF($D64="","",INDEX(Übungen!$B$4:$B$23,MATCH($D64,Übungen!$A$4:$A$23,0))),"")</f>
        <v>Beine vorne</v>
      </c>
      <c r="D64" s="56" t="s">
        <v>73</v>
      </c>
      <c r="E64" s="73" t="s">
        <v>459</v>
      </c>
      <c r="F64" s="55" t="n">
        <v>18</v>
      </c>
      <c r="G64" s="74"/>
      <c r="H64" s="55"/>
      <c r="I64" s="49" t="str">
        <f aca="false">IF(AND(ISNUMBER($F64),ISNUMBER($G64),$E64&lt;&gt;"R"),$F64*$G64,"")</f>
        <v/>
      </c>
      <c r="J64" s="51" t="str">
        <f aca="false">IF(AND($E64="A",ISNUMBER($F64),ISNUMBER($G64)),$F64*(1+$G64/30),"")</f>
        <v/>
      </c>
      <c r="K64" s="56"/>
      <c r="L64" s="56" t="s">
        <v>472</v>
      </c>
    </row>
    <row r="65" customFormat="false" ht="15.75" hidden="false" customHeight="true" outlineLevel="0" collapsed="false">
      <c r="A65" s="78" t="str">
        <f aca="false">IFERROR(IF($B65="","",IF(INDEX(Einheiten!$B$4:$B$63,MATCH($B65,Einheiten!$A$4:$A$63,0))=0,"",INDEX(Einheiten!$B$4:$B$63,MATCH($B65,Einheiten!$A$4:$A$63,0)))),"")</f>
        <v/>
      </c>
      <c r="B65" s="54" t="n">
        <v>1</v>
      </c>
      <c r="C65" s="79" t="str">
        <f aca="false">IFERROR(IF($D65="","",INDEX(Übungen!$B$4:$B$23,MATCH($D65,Übungen!$A$4:$A$23,0))),"")</f>
        <v>Beine hinten</v>
      </c>
      <c r="D65" s="56" t="s">
        <v>473</v>
      </c>
      <c r="E65" s="73" t="s">
        <v>458</v>
      </c>
      <c r="F65" s="55" t="n">
        <v>35</v>
      </c>
      <c r="G65" s="74"/>
      <c r="H65" s="55"/>
      <c r="I65" s="49" t="str">
        <f aca="false">IF(AND(ISNUMBER($F65),ISNUMBER($G65),$E65&lt;&gt;"R"),$F65*$G65,"")</f>
        <v/>
      </c>
      <c r="J65" s="51" t="str">
        <f aca="false">IF(AND($E65="A",ISNUMBER($F65),ISNUMBER($G65)),$F65*(1+$G65/30),"")</f>
        <v/>
      </c>
      <c r="K65" s="56"/>
      <c r="L65" s="56" t="s">
        <v>472</v>
      </c>
    </row>
    <row r="66" customFormat="false" ht="15.75" hidden="false" customHeight="true" outlineLevel="0" collapsed="false">
      <c r="A66" s="78" t="str">
        <f aca="false">IFERROR(IF($B66="","",IF(INDEX(Einheiten!$B$4:$B$63,MATCH($B66,Einheiten!$A$4:$A$63,0))=0,"",INDEX(Einheiten!$B$4:$B$63,MATCH($B66,Einheiten!$A$4:$A$63,0)))),"")</f>
        <v/>
      </c>
      <c r="B66" s="54" t="n">
        <v>1</v>
      </c>
      <c r="C66" s="79" t="str">
        <f aca="false">IFERROR(IF($D66="","",INDEX(Übungen!$B$4:$B$23,MATCH($D66,Übungen!$A$4:$A$23,0))),"")</f>
        <v>Beine hinten</v>
      </c>
      <c r="D66" s="56" t="s">
        <v>473</v>
      </c>
      <c r="E66" s="73" t="s">
        <v>458</v>
      </c>
      <c r="F66" s="55" t="n">
        <v>49</v>
      </c>
      <c r="G66" s="74"/>
      <c r="H66" s="55"/>
      <c r="I66" s="49" t="str">
        <f aca="false">IF(AND(ISNUMBER($F66),ISNUMBER($G66),$E66&lt;&gt;"R"),$F66*$G66,"")</f>
        <v/>
      </c>
      <c r="J66" s="51" t="str">
        <f aca="false">IF(AND($E66="A",ISNUMBER($F66),ISNUMBER($G66)),$F66*(1+$G66/30),"")</f>
        <v/>
      </c>
      <c r="K66" s="56"/>
      <c r="L66" s="56" t="s">
        <v>472</v>
      </c>
    </row>
    <row r="67" customFormat="false" ht="15.75" hidden="false" customHeight="true" outlineLevel="0" collapsed="false">
      <c r="A67" s="78" t="str">
        <f aca="false">IFERROR(IF($B67="","",IF(INDEX(Einheiten!$B$4:$B$63,MATCH($B67,Einheiten!$A$4:$A$63,0))=0,"",INDEX(Einheiten!$B$4:$B$63,MATCH($B67,Einheiten!$A$4:$A$63,0)))),"")</f>
        <v/>
      </c>
      <c r="B67" s="54" t="n">
        <v>1</v>
      </c>
      <c r="C67" s="79" t="str">
        <f aca="false">IFERROR(IF($D67="","",INDEX(Übungen!$B$4:$B$23,MATCH($D67,Übungen!$A$4:$A$23,0))),"")</f>
        <v>Beine hinten</v>
      </c>
      <c r="D67" s="56" t="s">
        <v>473</v>
      </c>
      <c r="E67" s="73" t="s">
        <v>459</v>
      </c>
      <c r="F67" s="55" t="n">
        <v>70</v>
      </c>
      <c r="G67" s="74" t="n">
        <v>15</v>
      </c>
      <c r="H67" s="55"/>
      <c r="I67" s="49" t="n">
        <f aca="false">IF(AND(ISNUMBER($F67),ISNUMBER($G67),$E67&lt;&gt;"R"),$F67*$G67,"")</f>
        <v>1050</v>
      </c>
      <c r="J67" s="51" t="n">
        <f aca="false">IF(AND($E67="A",ISNUMBER($F67),ISNUMBER($G67)),$F67*(1+$G67/30),"")</f>
        <v>105</v>
      </c>
      <c r="K67" s="56"/>
      <c r="L67" s="56"/>
    </row>
    <row r="68" customFormat="false" ht="15.75" hidden="false" customHeight="true" outlineLevel="0" collapsed="false">
      <c r="A68" s="78" t="str">
        <f aca="false">IFERROR(IF($B68="","",IF(INDEX(Einheiten!$B$4:$B$63,MATCH($B68,Einheiten!$A$4:$A$63,0))=0,"",INDEX(Einheiten!$B$4:$B$63,MATCH($B68,Einheiten!$A$4:$A$63,0)))),"")</f>
        <v/>
      </c>
      <c r="B68" s="54" t="n">
        <v>1</v>
      </c>
      <c r="C68" s="79" t="str">
        <f aca="false">IFERROR(IF($D68="","",INDEX(Übungen!$B$4:$B$23,MATCH($D68,Übungen!$A$4:$A$23,0))),"")</f>
        <v>Beine hinten</v>
      </c>
      <c r="D68" s="56" t="s">
        <v>473</v>
      </c>
      <c r="E68" s="73" t="s">
        <v>459</v>
      </c>
      <c r="F68" s="55" t="n">
        <v>77</v>
      </c>
      <c r="G68" s="74" t="n">
        <v>12</v>
      </c>
      <c r="H68" s="55"/>
      <c r="I68" s="49" t="n">
        <f aca="false">IF(AND(ISNUMBER($F68),ISNUMBER($G68),$E68&lt;&gt;"R"),$F68*$G68,"")</f>
        <v>924</v>
      </c>
      <c r="J68" s="51" t="n">
        <f aca="false">IF(AND($E68="A",ISNUMBER($F68),ISNUMBER($G68)),$F68*(1+$G68/30),"")</f>
        <v>107.8</v>
      </c>
      <c r="K68" s="56"/>
      <c r="L68" s="56"/>
    </row>
    <row r="69" customFormat="false" ht="15.75" hidden="false" customHeight="true" outlineLevel="0" collapsed="false">
      <c r="A69" s="78" t="str">
        <f aca="false">IFERROR(IF($B69="","",IF(INDEX(Einheiten!$B$4:$B$63,MATCH($B69,Einheiten!$A$4:$A$63,0))=0,"",INDEX(Einheiten!$B$4:$B$63,MATCH($B69,Einheiten!$A$4:$A$63,0)))),"")</f>
        <v/>
      </c>
      <c r="B69" s="54" t="n">
        <v>2</v>
      </c>
      <c r="C69" s="79" t="str">
        <f aca="false">IFERROR(IF($D69="","",INDEX(Übungen!$B$4:$B$23,MATCH($D69,Übungen!$A$4:$A$23,0))),"")</f>
        <v>Beine hinten</v>
      </c>
      <c r="D69" s="56" t="s">
        <v>473</v>
      </c>
      <c r="E69" s="73" t="s">
        <v>458</v>
      </c>
      <c r="F69" s="55" t="n">
        <v>30</v>
      </c>
      <c r="G69" s="74"/>
      <c r="H69" s="55"/>
      <c r="I69" s="49" t="str">
        <f aca="false">IF(AND(ISNUMBER($F69),ISNUMBER($G69),$E69&lt;&gt;"R"),$F69*$G69,"")</f>
        <v/>
      </c>
      <c r="J69" s="51" t="str">
        <f aca="false">IF(AND($E69="A",ISNUMBER($F69),ISNUMBER($G69)),$F69*(1+$G69/30),"")</f>
        <v/>
      </c>
      <c r="K69" s="56"/>
      <c r="L69" s="56" t="s">
        <v>472</v>
      </c>
    </row>
    <row r="70" customFormat="false" ht="15.75" hidden="false" customHeight="true" outlineLevel="0" collapsed="false">
      <c r="A70" s="78" t="str">
        <f aca="false">IFERROR(IF($B70="","",IF(INDEX(Einheiten!$B$4:$B$63,MATCH($B70,Einheiten!$A$4:$A$63,0))=0,"",INDEX(Einheiten!$B$4:$B$63,MATCH($B70,Einheiten!$A$4:$A$63,0)))),"")</f>
        <v/>
      </c>
      <c r="B70" s="54" t="n">
        <v>2</v>
      </c>
      <c r="C70" s="79" t="str">
        <f aca="false">IFERROR(IF($D70="","",INDEX(Übungen!$B$4:$B$23,MATCH($D70,Übungen!$A$4:$A$23,0))),"")</f>
        <v>Beine hinten</v>
      </c>
      <c r="D70" s="56" t="s">
        <v>473</v>
      </c>
      <c r="E70" s="73" t="s">
        <v>458</v>
      </c>
      <c r="F70" s="55" t="n">
        <v>42</v>
      </c>
      <c r="G70" s="74"/>
      <c r="H70" s="55"/>
      <c r="I70" s="49" t="str">
        <f aca="false">IF(AND(ISNUMBER($F70),ISNUMBER($G70),$E70&lt;&gt;"R"),$F70*$G70,"")</f>
        <v/>
      </c>
      <c r="J70" s="51" t="str">
        <f aca="false">IF(AND($E70="A",ISNUMBER($F70),ISNUMBER($G70)),$F70*(1+$G70/30),"")</f>
        <v/>
      </c>
      <c r="K70" s="56"/>
      <c r="L70" s="56" t="s">
        <v>472</v>
      </c>
    </row>
    <row r="71" customFormat="false" ht="15.75" hidden="false" customHeight="true" outlineLevel="0" collapsed="false">
      <c r="A71" s="78" t="str">
        <f aca="false">IFERROR(IF($B71="","",IF(INDEX(Einheiten!$B$4:$B$63,MATCH($B71,Einheiten!$A$4:$A$63,0))=0,"",INDEX(Einheiten!$B$4:$B$63,MATCH($B71,Einheiten!$A$4:$A$63,0)))),"")</f>
        <v/>
      </c>
      <c r="B71" s="54" t="n">
        <v>2</v>
      </c>
      <c r="C71" s="79" t="str">
        <f aca="false">IFERROR(IF($D71="","",INDEX(Übungen!$B$4:$B$23,MATCH($D71,Übungen!$A$4:$A$23,0))),"")</f>
        <v>Beine hinten</v>
      </c>
      <c r="D71" s="56" t="s">
        <v>473</v>
      </c>
      <c r="E71" s="73" t="s">
        <v>459</v>
      </c>
      <c r="F71" s="55" t="n">
        <v>77</v>
      </c>
      <c r="G71" s="74" t="n">
        <v>10</v>
      </c>
      <c r="H71" s="55"/>
      <c r="I71" s="49" t="n">
        <f aca="false">IF(AND(ISNUMBER($F71),ISNUMBER($G71),$E71&lt;&gt;"R"),$F71*$G71,"")</f>
        <v>770</v>
      </c>
      <c r="J71" s="51" t="n">
        <f aca="false">IF(AND($E71="A",ISNUMBER($F71),ISNUMBER($G71)),$F71*(1+$G71/30),"")</f>
        <v>102.666666666667</v>
      </c>
      <c r="K71" s="56"/>
      <c r="L71" s="56"/>
    </row>
    <row r="72" customFormat="false" ht="15.75" hidden="false" customHeight="true" outlineLevel="0" collapsed="false">
      <c r="A72" s="78" t="str">
        <f aca="false">IFERROR(IF($B72="","",IF(INDEX(Einheiten!$B$4:$B$63,MATCH($B72,Einheiten!$A$4:$A$63,0))=0,"",INDEX(Einheiten!$B$4:$B$63,MATCH($B72,Einheiten!$A$4:$A$63,0)))),"")</f>
        <v/>
      </c>
      <c r="B72" s="54" t="n">
        <v>2</v>
      </c>
      <c r="C72" s="79" t="str">
        <f aca="false">IFERROR(IF($D72="","",INDEX(Übungen!$B$4:$B$23,MATCH($D72,Übungen!$A$4:$A$23,0))),"")</f>
        <v>Beine hinten</v>
      </c>
      <c r="D72" s="56" t="s">
        <v>473</v>
      </c>
      <c r="E72" s="73" t="s">
        <v>459</v>
      </c>
      <c r="F72" s="55" t="n">
        <v>84</v>
      </c>
      <c r="G72" s="74" t="n">
        <v>6</v>
      </c>
      <c r="H72" s="55"/>
      <c r="I72" s="49" t="n">
        <f aca="false">IF(AND(ISNUMBER($F72),ISNUMBER($G72),$E72&lt;&gt;"R"),$F72*$G72,"")</f>
        <v>504</v>
      </c>
      <c r="J72" s="51" t="n">
        <f aca="false">IF(AND($E72="A",ISNUMBER($F72),ISNUMBER($G72)),$F72*(1+$G72/30),"")</f>
        <v>100.8</v>
      </c>
      <c r="K72" s="56"/>
      <c r="L72" s="56"/>
    </row>
    <row r="73" customFormat="false" ht="15.75" hidden="false" customHeight="true" outlineLevel="0" collapsed="false">
      <c r="A73" s="78" t="str">
        <f aca="false">IFERROR(IF($B73="","",IF(INDEX(Einheiten!$B$4:$B$63,MATCH($B73,Einheiten!$A$4:$A$63,0))=0,"",INDEX(Einheiten!$B$4:$B$63,MATCH($B73,Einheiten!$A$4:$A$63,0)))),"")</f>
        <v/>
      </c>
      <c r="B73" s="54" t="n">
        <v>3</v>
      </c>
      <c r="C73" s="79" t="str">
        <f aca="false">IFERROR(IF($D73="","",INDEX(Übungen!$B$4:$B$23,MATCH($D73,Übungen!$A$4:$A$23,0))),"")</f>
        <v>Beine hinten</v>
      </c>
      <c r="D73" s="56" t="s">
        <v>473</v>
      </c>
      <c r="E73" s="73" t="s">
        <v>458</v>
      </c>
      <c r="F73" s="55" t="n">
        <v>20</v>
      </c>
      <c r="G73" s="74"/>
      <c r="H73" s="55"/>
      <c r="I73" s="49" t="str">
        <f aca="false">IF(AND(ISNUMBER($F73),ISNUMBER($G73),$E73&lt;&gt;"R"),$F73*$G73,"")</f>
        <v/>
      </c>
      <c r="J73" s="51" t="str">
        <f aca="false">IF(AND($E73="A",ISNUMBER($F73),ISNUMBER($G73)),$F73*(1+$G73/30),"")</f>
        <v/>
      </c>
      <c r="K73" s="56"/>
      <c r="L73" s="56" t="s">
        <v>472</v>
      </c>
    </row>
    <row r="74" customFormat="false" ht="15.75" hidden="false" customHeight="true" outlineLevel="0" collapsed="false">
      <c r="A74" s="78" t="str">
        <f aca="false">IFERROR(IF($B74="","",IF(INDEX(Einheiten!$B$4:$B$63,MATCH($B74,Einheiten!$A$4:$A$63,0))=0,"",INDEX(Einheiten!$B$4:$B$63,MATCH($B74,Einheiten!$A$4:$A$63,0)))),"")</f>
        <v/>
      </c>
      <c r="B74" s="54" t="n">
        <v>3</v>
      </c>
      <c r="C74" s="79" t="str">
        <f aca="false">IFERROR(IF($D74="","",INDEX(Übungen!$B$4:$B$23,MATCH($D74,Übungen!$A$4:$A$23,0))),"")</f>
        <v>Beine hinten</v>
      </c>
      <c r="D74" s="56" t="s">
        <v>473</v>
      </c>
      <c r="E74" s="73" t="s">
        <v>458</v>
      </c>
      <c r="F74" s="55" t="n">
        <v>30</v>
      </c>
      <c r="G74" s="74"/>
      <c r="H74" s="55"/>
      <c r="I74" s="49" t="str">
        <f aca="false">IF(AND(ISNUMBER($F74),ISNUMBER($G74),$E74&lt;&gt;"R"),$F74*$G74,"")</f>
        <v/>
      </c>
      <c r="J74" s="51" t="str">
        <f aca="false">IF(AND($E74="A",ISNUMBER($F74),ISNUMBER($G74)),$F74*(1+$G74/30),"")</f>
        <v/>
      </c>
      <c r="K74" s="56"/>
      <c r="L74" s="56" t="s">
        <v>472</v>
      </c>
    </row>
    <row r="75" customFormat="false" ht="15.75" hidden="false" customHeight="true" outlineLevel="0" collapsed="false">
      <c r="A75" s="78" t="str">
        <f aca="false">IFERROR(IF($B75="","",IF(INDEX(Einheiten!$B$4:$B$63,MATCH($B75,Einheiten!$A$4:$A$63,0))=0,"",INDEX(Einheiten!$B$4:$B$63,MATCH($B75,Einheiten!$A$4:$A$63,0)))),"")</f>
        <v/>
      </c>
      <c r="B75" s="54" t="n">
        <v>3</v>
      </c>
      <c r="C75" s="79" t="str">
        <f aca="false">IFERROR(IF($D75="","",INDEX(Übungen!$B$4:$B$23,MATCH($D75,Übungen!$A$4:$A$23,0))),"")</f>
        <v>Beine hinten</v>
      </c>
      <c r="D75" s="56" t="s">
        <v>473</v>
      </c>
      <c r="E75" s="73" t="s">
        <v>459</v>
      </c>
      <c r="F75" s="55" t="n">
        <v>77</v>
      </c>
      <c r="G75" s="74" t="n">
        <v>14</v>
      </c>
      <c r="H75" s="55"/>
      <c r="I75" s="49" t="n">
        <f aca="false">IF(AND(ISNUMBER($F75),ISNUMBER($G75),$E75&lt;&gt;"R"),$F75*$G75,"")</f>
        <v>1078</v>
      </c>
      <c r="J75" s="51" t="n">
        <f aca="false">IF(AND($E75="A",ISNUMBER($F75),ISNUMBER($G75)),$F75*(1+$G75/30),"")</f>
        <v>112.933333333333</v>
      </c>
      <c r="K75" s="56"/>
      <c r="L75" s="56"/>
    </row>
    <row r="76" customFormat="false" ht="15.75" hidden="false" customHeight="true" outlineLevel="0" collapsed="false">
      <c r="A76" s="78" t="str">
        <f aca="false">IFERROR(IF($B76="","",IF(INDEX(Einheiten!$B$4:$B$63,MATCH($B76,Einheiten!$A$4:$A$63,0))=0,"",INDEX(Einheiten!$B$4:$B$63,MATCH($B76,Einheiten!$A$4:$A$63,0)))),"")</f>
        <v/>
      </c>
      <c r="B76" s="54" t="n">
        <v>3</v>
      </c>
      <c r="C76" s="79" t="str">
        <f aca="false">IFERROR(IF($D76="","",INDEX(Übungen!$B$4:$B$23,MATCH($D76,Übungen!$A$4:$A$23,0))),"")</f>
        <v>Beine hinten</v>
      </c>
      <c r="D76" s="56" t="s">
        <v>473</v>
      </c>
      <c r="E76" s="73" t="s">
        <v>459</v>
      </c>
      <c r="F76" s="55" t="n">
        <v>84</v>
      </c>
      <c r="G76" s="74" t="n">
        <v>12</v>
      </c>
      <c r="H76" s="55"/>
      <c r="I76" s="49" t="n">
        <f aca="false">IF(AND(ISNUMBER($F76),ISNUMBER($G76),$E76&lt;&gt;"R"),$F76*$G76,"")</f>
        <v>1008</v>
      </c>
      <c r="J76" s="51" t="n">
        <f aca="false">IF(AND($E76="A",ISNUMBER($F76),ISNUMBER($G76)),$F76*(1+$G76/30),"")</f>
        <v>117.6</v>
      </c>
      <c r="K76" s="56"/>
      <c r="L76" s="56"/>
    </row>
    <row r="77" customFormat="false" ht="15.75" hidden="false" customHeight="true" outlineLevel="0" collapsed="false">
      <c r="A77" s="78" t="str">
        <f aca="false">IFERROR(IF($B77="","",IF(INDEX(Einheiten!$B$4:$B$63,MATCH($B77,Einheiten!$A$4:$A$63,0))=0,"",INDEX(Einheiten!$B$4:$B$63,MATCH($B77,Einheiten!$A$4:$A$63,0)))),"")</f>
        <v/>
      </c>
      <c r="B77" s="54" t="n">
        <v>4</v>
      </c>
      <c r="C77" s="79" t="str">
        <f aca="false">IFERROR(IF($D77="","",INDEX(Übungen!$B$4:$B$23,MATCH($D77,Übungen!$A$4:$A$23,0))),"")</f>
        <v>Beine hinten</v>
      </c>
      <c r="D77" s="56" t="s">
        <v>473</v>
      </c>
      <c r="E77" s="73" t="s">
        <v>458</v>
      </c>
      <c r="F77" s="55" t="n">
        <v>25</v>
      </c>
      <c r="G77" s="74"/>
      <c r="H77" s="55"/>
      <c r="I77" s="49" t="str">
        <f aca="false">IF(AND(ISNUMBER($F77),ISNUMBER($G77),$E77&lt;&gt;"R"),$F77*$G77,"")</f>
        <v/>
      </c>
      <c r="J77" s="51" t="str">
        <f aca="false">IF(AND($E77="A",ISNUMBER($F77),ISNUMBER($G77)),$F77*(1+$G77/30),"")</f>
        <v/>
      </c>
      <c r="K77" s="56"/>
      <c r="L77" s="56" t="s">
        <v>472</v>
      </c>
    </row>
    <row r="78" customFormat="false" ht="15.75" hidden="false" customHeight="true" outlineLevel="0" collapsed="false">
      <c r="A78" s="78" t="str">
        <f aca="false">IFERROR(IF($B78="","",IF(INDEX(Einheiten!$B$4:$B$63,MATCH($B78,Einheiten!$A$4:$A$63,0))=0,"",INDEX(Einheiten!$B$4:$B$63,MATCH($B78,Einheiten!$A$4:$A$63,0)))),"")</f>
        <v/>
      </c>
      <c r="B78" s="54" t="n">
        <v>4</v>
      </c>
      <c r="C78" s="79" t="str">
        <f aca="false">IFERROR(IF($D78="","",INDEX(Übungen!$B$4:$B$23,MATCH($D78,Übungen!$A$4:$A$23,0))),"")</f>
        <v>Beine hinten</v>
      </c>
      <c r="D78" s="56" t="s">
        <v>473</v>
      </c>
      <c r="E78" s="73" t="s">
        <v>458</v>
      </c>
      <c r="F78" s="55" t="n">
        <v>35</v>
      </c>
      <c r="G78" s="74"/>
      <c r="H78" s="55"/>
      <c r="I78" s="49" t="str">
        <f aca="false">IF(AND(ISNUMBER($F78),ISNUMBER($G78),$E78&lt;&gt;"R"),$F78*$G78,"")</f>
        <v/>
      </c>
      <c r="J78" s="51" t="str">
        <f aca="false">IF(AND($E78="A",ISNUMBER($F78),ISNUMBER($G78)),$F78*(1+$G78/30),"")</f>
        <v/>
      </c>
      <c r="K78" s="56"/>
      <c r="L78" s="56" t="s">
        <v>472</v>
      </c>
    </row>
    <row r="79" customFormat="false" ht="15.75" hidden="false" customHeight="true" outlineLevel="0" collapsed="false">
      <c r="A79" s="78" t="str">
        <f aca="false">IFERROR(IF($B79="","",IF(INDEX(Einheiten!$B$4:$B$63,MATCH($B79,Einheiten!$A$4:$A$63,0))=0,"",INDEX(Einheiten!$B$4:$B$63,MATCH($B79,Einheiten!$A$4:$A$63,0)))),"")</f>
        <v/>
      </c>
      <c r="B79" s="54" t="n">
        <v>4</v>
      </c>
      <c r="C79" s="79" t="str">
        <f aca="false">IFERROR(IF($D79="","",INDEX(Übungen!$B$4:$B$23,MATCH($D79,Übungen!$A$4:$A$23,0))),"")</f>
        <v>Beine hinten</v>
      </c>
      <c r="D79" s="56" t="s">
        <v>473</v>
      </c>
      <c r="E79" s="73" t="s">
        <v>459</v>
      </c>
      <c r="F79" s="55" t="n">
        <v>63</v>
      </c>
      <c r="G79" s="74" t="n">
        <v>15</v>
      </c>
      <c r="H79" s="55"/>
      <c r="I79" s="49" t="n">
        <f aca="false">IF(AND(ISNUMBER($F79),ISNUMBER($G79),$E79&lt;&gt;"R"),$F79*$G79,"")</f>
        <v>945</v>
      </c>
      <c r="J79" s="51" t="n">
        <f aca="false">IF(AND($E79="A",ISNUMBER($F79),ISNUMBER($G79)),$F79*(1+$G79/30),"")</f>
        <v>94.5</v>
      </c>
      <c r="K79" s="56"/>
      <c r="L79" s="56"/>
    </row>
    <row r="80" customFormat="false" ht="15.75" hidden="false" customHeight="true" outlineLevel="0" collapsed="false">
      <c r="A80" s="78" t="str">
        <f aca="false">IFERROR(IF($B80="","",IF(INDEX(Einheiten!$B$4:$B$63,MATCH($B80,Einheiten!$A$4:$A$63,0))=0,"",INDEX(Einheiten!$B$4:$B$63,MATCH($B80,Einheiten!$A$4:$A$63,0)))),"")</f>
        <v/>
      </c>
      <c r="B80" s="54" t="n">
        <v>4</v>
      </c>
      <c r="C80" s="79" t="str">
        <f aca="false">IFERROR(IF($D80="","",INDEX(Übungen!$B$4:$B$23,MATCH($D80,Übungen!$A$4:$A$23,0))),"")</f>
        <v>Beine hinten</v>
      </c>
      <c r="D80" s="56" t="s">
        <v>473</v>
      </c>
      <c r="E80" s="73" t="s">
        <v>459</v>
      </c>
      <c r="F80" s="55" t="n">
        <v>56</v>
      </c>
      <c r="G80" s="74" t="n">
        <v>15</v>
      </c>
      <c r="H80" s="55"/>
      <c r="I80" s="49" t="n">
        <f aca="false">IF(AND(ISNUMBER($F80),ISNUMBER($G80),$E80&lt;&gt;"R"),$F80*$G80,"")</f>
        <v>840</v>
      </c>
      <c r="J80" s="51" t="n">
        <f aca="false">IF(AND($E80="A",ISNUMBER($F80),ISNUMBER($G80)),$F80*(1+$G80/30),"")</f>
        <v>84</v>
      </c>
      <c r="K80" s="56"/>
      <c r="L80" s="56"/>
    </row>
    <row r="81" customFormat="false" ht="15.75" hidden="false" customHeight="true" outlineLevel="0" collapsed="false">
      <c r="A81" s="78" t="str">
        <f aca="false">IFERROR(IF($B81="","",IF(INDEX(Einheiten!$B$4:$B$63,MATCH($B81,Einheiten!$A$4:$A$63,0))=0,"",INDEX(Einheiten!$B$4:$B$63,MATCH($B81,Einheiten!$A$4:$A$63,0)))),"")</f>
        <v/>
      </c>
      <c r="B81" s="54" t="n">
        <v>1</v>
      </c>
      <c r="C81" s="79" t="str">
        <f aca="false">IFERROR(IF($D81="","",INDEX(Übungen!$B$4:$B$23,MATCH($D81,Übungen!$A$4:$A$23,0))),"")</f>
        <v>Beine hinten</v>
      </c>
      <c r="D81" s="56" t="s">
        <v>397</v>
      </c>
      <c r="E81" s="73" t="s">
        <v>458</v>
      </c>
      <c r="F81" s="55" t="n">
        <v>15</v>
      </c>
      <c r="G81" s="74" t="n">
        <v>8</v>
      </c>
      <c r="H81" s="55"/>
      <c r="I81" s="49" t="n">
        <f aca="false">IF(AND(ISNUMBER($F81),ISNUMBER($G81),$E81&lt;&gt;"R"),$F81*$G81,"")</f>
        <v>120</v>
      </c>
      <c r="J81" s="51" t="str">
        <f aca="false">IF(AND($E81="A",ISNUMBER($F81),ISNUMBER($G81)),$F81*(1+$G81/30),"")</f>
        <v/>
      </c>
      <c r="K81" s="56"/>
      <c r="L81" s="56"/>
    </row>
    <row r="82" customFormat="false" ht="15.75" hidden="false" customHeight="true" outlineLevel="0" collapsed="false">
      <c r="A82" s="78" t="str">
        <f aca="false">IFERROR(IF($B82="","",IF(INDEX(Einheiten!$B$4:$B$63,MATCH($B82,Einheiten!$A$4:$A$63,0))=0,"",INDEX(Einheiten!$B$4:$B$63,MATCH($B82,Einheiten!$A$4:$A$63,0)))),"")</f>
        <v/>
      </c>
      <c r="B82" s="54" t="n">
        <v>1</v>
      </c>
      <c r="C82" s="79" t="str">
        <f aca="false">IFERROR(IF($D82="","",INDEX(Übungen!$B$4:$B$23,MATCH($D82,Übungen!$A$4:$A$23,0))),"")</f>
        <v>Beine hinten</v>
      </c>
      <c r="D82" s="56" t="s">
        <v>397</v>
      </c>
      <c r="E82" s="73" t="s">
        <v>459</v>
      </c>
      <c r="F82" s="55" t="n">
        <v>49</v>
      </c>
      <c r="G82" s="74" t="n">
        <v>12</v>
      </c>
      <c r="H82" s="55"/>
      <c r="I82" s="49" t="n">
        <f aca="false">IF(AND(ISNUMBER($F82),ISNUMBER($G82),$E82&lt;&gt;"R"),$F82*$G82,"")</f>
        <v>588</v>
      </c>
      <c r="J82" s="51" t="n">
        <f aca="false">IF(AND($E82="A",ISNUMBER($F82),ISNUMBER($G82)),$F82*(1+$G82/30),"")</f>
        <v>68.6</v>
      </c>
      <c r="K82" s="56"/>
      <c r="L82" s="56"/>
    </row>
    <row r="83" customFormat="false" ht="15.75" hidden="false" customHeight="true" outlineLevel="0" collapsed="false">
      <c r="A83" s="78" t="str">
        <f aca="false">IFERROR(IF($B83="","",IF(INDEX(Einheiten!$B$4:$B$63,MATCH($B83,Einheiten!$A$4:$A$63,0))=0,"",INDEX(Einheiten!$B$4:$B$63,MATCH($B83,Einheiten!$A$4:$A$63,0)))),"")</f>
        <v/>
      </c>
      <c r="B83" s="54" t="n">
        <v>1</v>
      </c>
      <c r="C83" s="79" t="str">
        <f aca="false">IFERROR(IF($D83="","",INDEX(Übungen!$B$4:$B$23,MATCH($D83,Übungen!$A$4:$A$23,0))),"")</f>
        <v>Beine hinten</v>
      </c>
      <c r="D83" s="56" t="s">
        <v>397</v>
      </c>
      <c r="E83" s="73" t="s">
        <v>459</v>
      </c>
      <c r="F83" s="55" t="n">
        <v>35</v>
      </c>
      <c r="G83" s="74" t="n">
        <v>14</v>
      </c>
      <c r="H83" s="55"/>
      <c r="I83" s="49" t="n">
        <f aca="false">IF(AND(ISNUMBER($F83),ISNUMBER($G83),$E83&lt;&gt;"R"),$F83*$G83,"")</f>
        <v>490</v>
      </c>
      <c r="J83" s="51" t="n">
        <f aca="false">IF(AND($E83="A",ISNUMBER($F83),ISNUMBER($G83)),$F83*(1+$G83/30),"")</f>
        <v>51.3333333333333</v>
      </c>
      <c r="K83" s="56"/>
      <c r="L83" s="56"/>
    </row>
    <row r="84" customFormat="false" ht="15.75" hidden="false" customHeight="true" outlineLevel="0" collapsed="false">
      <c r="A84" s="78" t="str">
        <f aca="false">IFERROR(IF($B84="","",IF(INDEX(Einheiten!$B$4:$B$63,MATCH($B84,Einheiten!$A$4:$A$63,0))=0,"",INDEX(Einheiten!$B$4:$B$63,MATCH($B84,Einheiten!$A$4:$A$63,0)))),"")</f>
        <v/>
      </c>
      <c r="B84" s="54" t="n">
        <v>2</v>
      </c>
      <c r="C84" s="79" t="str">
        <f aca="false">IFERROR(IF($D84="","",INDEX(Übungen!$B$4:$B$23,MATCH($D84,Übungen!$A$4:$A$23,0))),"")</f>
        <v>Beine hinten</v>
      </c>
      <c r="D84" s="56" t="s">
        <v>397</v>
      </c>
      <c r="E84" s="73" t="s">
        <v>458</v>
      </c>
      <c r="F84" s="55" t="n">
        <v>25</v>
      </c>
      <c r="G84" s="74" t="n">
        <v>5</v>
      </c>
      <c r="H84" s="55"/>
      <c r="I84" s="49" t="n">
        <f aca="false">IF(AND(ISNUMBER($F84),ISNUMBER($G84),$E84&lt;&gt;"R"),$F84*$G84,"")</f>
        <v>125</v>
      </c>
      <c r="J84" s="51" t="str">
        <f aca="false">IF(AND($E84="A",ISNUMBER($F84),ISNUMBER($G84)),$F84*(1+$G84/30),"")</f>
        <v/>
      </c>
      <c r="K84" s="56"/>
      <c r="L84" s="56"/>
    </row>
    <row r="85" customFormat="false" ht="15.75" hidden="false" customHeight="true" outlineLevel="0" collapsed="false">
      <c r="A85" s="78" t="str">
        <f aca="false">IFERROR(IF($B85="","",IF(INDEX(Einheiten!$B$4:$B$63,MATCH($B85,Einheiten!$A$4:$A$63,0))=0,"",INDEX(Einheiten!$B$4:$B$63,MATCH($B85,Einheiten!$A$4:$A$63,0)))),"")</f>
        <v/>
      </c>
      <c r="B85" s="54" t="n">
        <v>2</v>
      </c>
      <c r="C85" s="79" t="str">
        <f aca="false">IFERROR(IF($D85="","",INDEX(Übungen!$B$4:$B$23,MATCH($D85,Übungen!$A$4:$A$23,0))),"")</f>
        <v>Beine hinten</v>
      </c>
      <c r="D85" s="56" t="s">
        <v>397</v>
      </c>
      <c r="E85" s="73" t="s">
        <v>459</v>
      </c>
      <c r="F85" s="55" t="n">
        <v>35</v>
      </c>
      <c r="G85" s="74" t="n">
        <v>15</v>
      </c>
      <c r="H85" s="55"/>
      <c r="I85" s="49" t="n">
        <f aca="false">IF(AND(ISNUMBER($F85),ISNUMBER($G85),$E85&lt;&gt;"R"),$F85*$G85,"")</f>
        <v>525</v>
      </c>
      <c r="J85" s="51" t="n">
        <f aca="false">IF(AND($E85="A",ISNUMBER($F85),ISNUMBER($G85)),$F85*(1+$G85/30),"")</f>
        <v>52.5</v>
      </c>
      <c r="K85" s="56"/>
      <c r="L85" s="56"/>
    </row>
    <row r="86" customFormat="false" ht="15.75" hidden="false" customHeight="true" outlineLevel="0" collapsed="false">
      <c r="A86" s="78" t="str">
        <f aca="false">IFERROR(IF($B86="","",IF(INDEX(Einheiten!$B$4:$B$63,MATCH($B86,Einheiten!$A$4:$A$63,0))=0,"",INDEX(Einheiten!$B$4:$B$63,MATCH($B86,Einheiten!$A$4:$A$63,0)))),"")</f>
        <v/>
      </c>
      <c r="B86" s="54" t="n">
        <v>2</v>
      </c>
      <c r="C86" s="79" t="str">
        <f aca="false">IFERROR(IF($D86="","",INDEX(Übungen!$B$4:$B$23,MATCH($D86,Übungen!$A$4:$A$23,0))),"")</f>
        <v>Beine hinten</v>
      </c>
      <c r="D86" s="56" t="s">
        <v>397</v>
      </c>
      <c r="E86" s="73" t="s">
        <v>459</v>
      </c>
      <c r="F86" s="55" t="n">
        <v>30</v>
      </c>
      <c r="G86" s="74" t="n">
        <v>15</v>
      </c>
      <c r="H86" s="55"/>
      <c r="I86" s="49" t="n">
        <f aca="false">IF(AND(ISNUMBER($F86),ISNUMBER($G86),$E86&lt;&gt;"R"),$F86*$G86,"")</f>
        <v>450</v>
      </c>
      <c r="J86" s="51" t="n">
        <f aca="false">IF(AND($E86="A",ISNUMBER($F86),ISNUMBER($G86)),$F86*(1+$G86/30),"")</f>
        <v>45</v>
      </c>
      <c r="K86" s="56"/>
      <c r="L86" s="56"/>
    </row>
    <row r="87" customFormat="false" ht="15.75" hidden="false" customHeight="true" outlineLevel="0" collapsed="false">
      <c r="A87" s="78" t="str">
        <f aca="false">IFERROR(IF($B87="","",IF(INDEX(Einheiten!$B$4:$B$63,MATCH($B87,Einheiten!$A$4:$A$63,0))=0,"",INDEX(Einheiten!$B$4:$B$63,MATCH($B87,Einheiten!$A$4:$A$63,0)))),"")</f>
        <v/>
      </c>
      <c r="B87" s="54" t="n">
        <v>1</v>
      </c>
      <c r="C87" s="79" t="str">
        <f aca="false">IFERROR(IF($D87="","",INDEX(Übungen!$B$4:$B$23,MATCH($D87,Übungen!$A$4:$A$23,0))),"")</f>
        <v>Beine hinten</v>
      </c>
      <c r="D87" s="56" t="s">
        <v>374</v>
      </c>
      <c r="E87" s="73" t="s">
        <v>458</v>
      </c>
      <c r="F87" s="55" t="n">
        <v>25</v>
      </c>
      <c r="G87" s="74" t="n">
        <v>10</v>
      </c>
      <c r="H87" s="55"/>
      <c r="I87" s="49" t="n">
        <f aca="false">IF(AND(ISNUMBER($F87),ISNUMBER($G87),$E87&lt;&gt;"R"),$F87*$G87,"")</f>
        <v>250</v>
      </c>
      <c r="J87" s="51" t="str">
        <f aca="false">IF(AND($E87="A",ISNUMBER($F87),ISNUMBER($G87)),$F87*(1+$G87/30),"")</f>
        <v/>
      </c>
      <c r="K87" s="56"/>
      <c r="L87" s="56"/>
    </row>
    <row r="88" customFormat="false" ht="15.75" hidden="false" customHeight="true" outlineLevel="0" collapsed="false">
      <c r="A88" s="78" t="str">
        <f aca="false">IFERROR(IF($B88="","",IF(INDEX(Einheiten!$B$4:$B$63,MATCH($B88,Einheiten!$A$4:$A$63,0))=0,"",INDEX(Einheiten!$B$4:$B$63,MATCH($B88,Einheiten!$A$4:$A$63,0)))),"")</f>
        <v/>
      </c>
      <c r="B88" s="54" t="n">
        <v>1</v>
      </c>
      <c r="C88" s="79" t="str">
        <f aca="false">IFERROR(IF($D88="","",INDEX(Übungen!$B$4:$B$23,MATCH($D88,Übungen!$A$4:$A$23,0))),"")</f>
        <v>Beine hinten</v>
      </c>
      <c r="D88" s="56" t="s">
        <v>374</v>
      </c>
      <c r="E88" s="73" t="s">
        <v>459</v>
      </c>
      <c r="F88" s="55" t="n">
        <v>45</v>
      </c>
      <c r="G88" s="74" t="n">
        <v>14</v>
      </c>
      <c r="H88" s="55"/>
      <c r="I88" s="49" t="n">
        <f aca="false">IF(AND(ISNUMBER($F88),ISNUMBER($G88),$E88&lt;&gt;"R"),$F88*$G88,"")</f>
        <v>630</v>
      </c>
      <c r="J88" s="51" t="n">
        <f aca="false">IF(AND($E88="A",ISNUMBER($F88),ISNUMBER($G88)),$F88*(1+$G88/30),"")</f>
        <v>66</v>
      </c>
      <c r="K88" s="56"/>
      <c r="L88" s="56"/>
    </row>
    <row r="89" customFormat="false" ht="15.75" hidden="false" customHeight="true" outlineLevel="0" collapsed="false">
      <c r="A89" s="78" t="str">
        <f aca="false">IFERROR(IF($B89="","",IF(INDEX(Einheiten!$B$4:$B$63,MATCH($B89,Einheiten!$A$4:$A$63,0))=0,"",INDEX(Einheiten!$B$4:$B$63,MATCH($B89,Einheiten!$A$4:$A$63,0)))),"")</f>
        <v/>
      </c>
      <c r="B89" s="54" t="n">
        <v>1</v>
      </c>
      <c r="C89" s="79" t="str">
        <f aca="false">IFERROR(IF($D89="","",INDEX(Übungen!$B$4:$B$23,MATCH($D89,Übungen!$A$4:$A$23,0))),"")</f>
        <v>Beine hinten</v>
      </c>
      <c r="D89" s="56" t="s">
        <v>374</v>
      </c>
      <c r="E89" s="73" t="s">
        <v>459</v>
      </c>
      <c r="F89" s="55" t="n">
        <v>50</v>
      </c>
      <c r="G89" s="74" t="n">
        <v>10</v>
      </c>
      <c r="H89" s="55"/>
      <c r="I89" s="49" t="n">
        <f aca="false">IF(AND(ISNUMBER($F89),ISNUMBER($G89),$E89&lt;&gt;"R"),$F89*$G89,"")</f>
        <v>500</v>
      </c>
      <c r="J89" s="51" t="n">
        <f aca="false">IF(AND($E89="A",ISNUMBER($F89),ISNUMBER($G89)),$F89*(1+$G89/30),"")</f>
        <v>66.6666666666667</v>
      </c>
      <c r="K89" s="56"/>
      <c r="L89" s="56"/>
    </row>
    <row r="90" customFormat="false" ht="15.75" hidden="false" customHeight="true" outlineLevel="0" collapsed="false">
      <c r="A90" s="78" t="str">
        <f aca="false">IFERROR(IF($B90="","",IF(INDEX(Einheiten!$B$4:$B$63,MATCH($B90,Einheiten!$A$4:$A$63,0))=0,"",INDEX(Einheiten!$B$4:$B$63,MATCH($B90,Einheiten!$A$4:$A$63,0)))),"")</f>
        <v/>
      </c>
      <c r="B90" s="54" t="n">
        <v>1</v>
      </c>
      <c r="C90" s="79" t="str">
        <f aca="false">IFERROR(IF($D90="","",INDEX(Übungen!$B$4:$B$23,MATCH($D90,Übungen!$A$4:$A$23,0))),"")</f>
        <v>Beine hinten</v>
      </c>
      <c r="D90" s="56" t="s">
        <v>374</v>
      </c>
      <c r="E90" s="73" t="s">
        <v>460</v>
      </c>
      <c r="F90" s="55" t="n">
        <v>30</v>
      </c>
      <c r="G90" s="74" t="n">
        <v>10</v>
      </c>
      <c r="H90" s="55"/>
      <c r="I90" s="49" t="str">
        <f aca="false">IF(AND(ISNUMBER($F90),ISNUMBER($G90),$E90&lt;&gt;"R"),$F90*$G90,"")</f>
        <v/>
      </c>
      <c r="J90" s="51" t="str">
        <f aca="false">IF(AND($E90="A",ISNUMBER($F90),ISNUMBER($G90)),$F90*(1+$G90/30),"")</f>
        <v/>
      </c>
      <c r="K90" s="56" t="s">
        <v>474</v>
      </c>
      <c r="L90" s="56"/>
    </row>
    <row r="91" customFormat="false" ht="15.75" hidden="false" customHeight="true" outlineLevel="0" collapsed="false">
      <c r="A91" s="78" t="str">
        <f aca="false">IFERROR(IF($B91="","",IF(INDEX(Einheiten!$B$4:$B$63,MATCH($B91,Einheiten!$A$4:$A$63,0))=0,"",INDEX(Einheiten!$B$4:$B$63,MATCH($B91,Einheiten!$A$4:$A$63,0)))),"")</f>
        <v/>
      </c>
      <c r="B91" s="54" t="n">
        <v>2</v>
      </c>
      <c r="C91" s="79" t="str">
        <f aca="false">IFERROR(IF($D91="","",INDEX(Übungen!$B$4:$B$23,MATCH($D91,Übungen!$A$4:$A$23,0))),"")</f>
        <v>Beine hinten</v>
      </c>
      <c r="D91" s="56" t="s">
        <v>374</v>
      </c>
      <c r="E91" s="73" t="s">
        <v>458</v>
      </c>
      <c r="F91" s="55" t="n">
        <v>30</v>
      </c>
      <c r="G91" s="74" t="n">
        <v>10</v>
      </c>
      <c r="H91" s="55"/>
      <c r="I91" s="49" t="n">
        <f aca="false">IF(AND(ISNUMBER($F91),ISNUMBER($G91),$E91&lt;&gt;"R"),$F91*$G91,"")</f>
        <v>300</v>
      </c>
      <c r="J91" s="51" t="str">
        <f aca="false">IF(AND($E91="A",ISNUMBER($F91),ISNUMBER($G91)),$F91*(1+$G91/30),"")</f>
        <v/>
      </c>
      <c r="K91" s="56"/>
      <c r="L91" s="56"/>
    </row>
    <row r="92" customFormat="false" ht="15.75" hidden="false" customHeight="true" outlineLevel="0" collapsed="false">
      <c r="A92" s="78" t="str">
        <f aca="false">IFERROR(IF($B92="","",IF(INDEX(Einheiten!$B$4:$B$63,MATCH($B92,Einheiten!$A$4:$A$63,0))=0,"",INDEX(Einheiten!$B$4:$B$63,MATCH($B92,Einheiten!$A$4:$A$63,0)))),"")</f>
        <v/>
      </c>
      <c r="B92" s="54" t="n">
        <v>2</v>
      </c>
      <c r="C92" s="79" t="str">
        <f aca="false">IFERROR(IF($D92="","",INDEX(Übungen!$B$4:$B$23,MATCH($D92,Übungen!$A$4:$A$23,0))),"")</f>
        <v>Beine hinten</v>
      </c>
      <c r="D92" s="56" t="s">
        <v>374</v>
      </c>
      <c r="E92" s="73" t="s">
        <v>459</v>
      </c>
      <c r="F92" s="55" t="n">
        <v>50</v>
      </c>
      <c r="G92" s="74" t="n">
        <v>12</v>
      </c>
      <c r="H92" s="55"/>
      <c r="I92" s="49" t="n">
        <f aca="false">IF(AND(ISNUMBER($F92),ISNUMBER($G92),$E92&lt;&gt;"R"),$F92*$G92,"")</f>
        <v>600</v>
      </c>
      <c r="J92" s="51" t="n">
        <f aca="false">IF(AND($E92="A",ISNUMBER($F92),ISNUMBER($G92)),$F92*(1+$G92/30),"")</f>
        <v>70</v>
      </c>
      <c r="K92" s="56"/>
      <c r="L92" s="56"/>
    </row>
    <row r="93" customFormat="false" ht="15.75" hidden="false" customHeight="true" outlineLevel="0" collapsed="false">
      <c r="A93" s="78" t="str">
        <f aca="false">IFERROR(IF($B93="","",IF(INDEX(Einheiten!$B$4:$B$63,MATCH($B93,Einheiten!$A$4:$A$63,0))=0,"",INDEX(Einheiten!$B$4:$B$63,MATCH($B93,Einheiten!$A$4:$A$63,0)))),"")</f>
        <v/>
      </c>
      <c r="B93" s="54" t="n">
        <v>2</v>
      </c>
      <c r="C93" s="79" t="str">
        <f aca="false">IFERROR(IF($D93="","",INDEX(Übungen!$B$4:$B$23,MATCH($D93,Übungen!$A$4:$A$23,0))),"")</f>
        <v>Beine hinten</v>
      </c>
      <c r="D93" s="56" t="s">
        <v>374</v>
      </c>
      <c r="E93" s="73" t="s">
        <v>459</v>
      </c>
      <c r="F93" s="55" t="n">
        <v>55</v>
      </c>
      <c r="G93" s="74" t="n">
        <v>10</v>
      </c>
      <c r="H93" s="55"/>
      <c r="I93" s="49" t="n">
        <f aca="false">IF(AND(ISNUMBER($F93),ISNUMBER($G93),$E93&lt;&gt;"R"),$F93*$G93,"")</f>
        <v>550</v>
      </c>
      <c r="J93" s="51" t="n">
        <f aca="false">IF(AND($E93="A",ISNUMBER($F93),ISNUMBER($G93)),$F93*(1+$G93/30),"")</f>
        <v>73.3333333333333</v>
      </c>
      <c r="K93" s="56"/>
      <c r="L93" s="56"/>
    </row>
    <row r="94" customFormat="false" ht="15.75" hidden="false" customHeight="true" outlineLevel="0" collapsed="false">
      <c r="A94" s="78" t="str">
        <f aca="false">IFERROR(IF($B94="","",IF(INDEX(Einheiten!$B$4:$B$63,MATCH($B94,Einheiten!$A$4:$A$63,0))=0,"",INDEX(Einheiten!$B$4:$B$63,MATCH($B94,Einheiten!$A$4:$A$63,0)))),"")</f>
        <v/>
      </c>
      <c r="B94" s="54" t="n">
        <v>2</v>
      </c>
      <c r="C94" s="79" t="str">
        <f aca="false">IFERROR(IF($D94="","",INDEX(Übungen!$B$4:$B$23,MATCH($D94,Übungen!$A$4:$A$23,0))),"")</f>
        <v>Beine hinten</v>
      </c>
      <c r="D94" s="56" t="s">
        <v>374</v>
      </c>
      <c r="E94" s="73" t="s">
        <v>460</v>
      </c>
      <c r="F94" s="55" t="n">
        <v>40</v>
      </c>
      <c r="G94" s="74" t="n">
        <v>8</v>
      </c>
      <c r="H94" s="55"/>
      <c r="I94" s="49" t="str">
        <f aca="false">IF(AND(ISNUMBER($F94),ISNUMBER($G94),$E94&lt;&gt;"R"),$F94*$G94,"")</f>
        <v/>
      </c>
      <c r="J94" s="51" t="str">
        <f aca="false">IF(AND($E94="A",ISNUMBER($F94),ISNUMBER($G94)),$F94*(1+$G94/30),"")</f>
        <v/>
      </c>
      <c r="K94" s="56" t="s">
        <v>475</v>
      </c>
      <c r="L94" s="56"/>
    </row>
    <row r="95" customFormat="false" ht="15.75" hidden="false" customHeight="true" outlineLevel="0" collapsed="false">
      <c r="A95" s="78" t="str">
        <f aca="false">IFERROR(IF($B95="","",IF(INDEX(Einheiten!$B$4:$B$63,MATCH($B95,Einheiten!$A$4:$A$63,0))=0,"",INDEX(Einheiten!$B$4:$B$63,MATCH($B95,Einheiten!$A$4:$A$63,0)))),"")</f>
        <v/>
      </c>
      <c r="B95" s="54" t="n">
        <v>3</v>
      </c>
      <c r="C95" s="79" t="str">
        <f aca="false">IFERROR(IF($D95="","",INDEX(Übungen!$B$4:$B$23,MATCH($D95,Übungen!$A$4:$A$23,0))),"")</f>
        <v>Beine hinten</v>
      </c>
      <c r="D95" s="56" t="s">
        <v>374</v>
      </c>
      <c r="E95" s="73" t="s">
        <v>458</v>
      </c>
      <c r="F95" s="55" t="n">
        <v>35</v>
      </c>
      <c r="G95" s="74" t="n">
        <v>6</v>
      </c>
      <c r="H95" s="55"/>
      <c r="I95" s="49" t="n">
        <f aca="false">IF(AND(ISNUMBER($F95),ISNUMBER($G95),$E95&lt;&gt;"R"),$F95*$G95,"")</f>
        <v>210</v>
      </c>
      <c r="J95" s="51" t="str">
        <f aca="false">IF(AND($E95="A",ISNUMBER($F95),ISNUMBER($G95)),$F95*(1+$G95/30),"")</f>
        <v/>
      </c>
      <c r="K95" s="56"/>
      <c r="L95" s="56"/>
    </row>
    <row r="96" customFormat="false" ht="15.75" hidden="false" customHeight="true" outlineLevel="0" collapsed="false">
      <c r="A96" s="78" t="str">
        <f aca="false">IFERROR(IF($B96="","",IF(INDEX(Einheiten!$B$4:$B$63,MATCH($B96,Einheiten!$A$4:$A$63,0))=0,"",INDEX(Einheiten!$B$4:$B$63,MATCH($B96,Einheiten!$A$4:$A$63,0)))),"")</f>
        <v/>
      </c>
      <c r="B96" s="54" t="n">
        <v>3</v>
      </c>
      <c r="C96" s="79" t="str">
        <f aca="false">IFERROR(IF($D96="","",INDEX(Übungen!$B$4:$B$23,MATCH($D96,Übungen!$A$4:$A$23,0))),"")</f>
        <v>Beine hinten</v>
      </c>
      <c r="D96" s="56" t="s">
        <v>374</v>
      </c>
      <c r="E96" s="73" t="s">
        <v>459</v>
      </c>
      <c r="F96" s="55" t="n">
        <v>45</v>
      </c>
      <c r="G96" s="74" t="n">
        <v>15</v>
      </c>
      <c r="H96" s="55"/>
      <c r="I96" s="49" t="n">
        <f aca="false">IF(AND(ISNUMBER($F96),ISNUMBER($G96),$E96&lt;&gt;"R"),$F96*$G96,"")</f>
        <v>675</v>
      </c>
      <c r="J96" s="51" t="n">
        <f aca="false">IF(AND($E96="A",ISNUMBER($F96),ISNUMBER($G96)),$F96*(1+$G96/30),"")</f>
        <v>67.5</v>
      </c>
      <c r="K96" s="56"/>
      <c r="L96" s="56"/>
    </row>
    <row r="97" customFormat="false" ht="15.75" hidden="false" customHeight="true" outlineLevel="0" collapsed="false">
      <c r="A97" s="78" t="str">
        <f aca="false">IFERROR(IF($B97="","",IF(INDEX(Einheiten!$B$4:$B$63,MATCH($B97,Einheiten!$A$4:$A$63,0))=0,"",INDEX(Einheiten!$B$4:$B$63,MATCH($B97,Einheiten!$A$4:$A$63,0)))),"")</f>
        <v/>
      </c>
      <c r="B97" s="54" t="n">
        <v>3</v>
      </c>
      <c r="C97" s="79" t="str">
        <f aca="false">IFERROR(IF($D97="","",INDEX(Übungen!$B$4:$B$23,MATCH($D97,Übungen!$A$4:$A$23,0))),"")</f>
        <v>Beine hinten</v>
      </c>
      <c r="D97" s="56" t="s">
        <v>374</v>
      </c>
      <c r="E97" s="73" t="s">
        <v>459</v>
      </c>
      <c r="F97" s="55" t="n">
        <v>40</v>
      </c>
      <c r="G97" s="74" t="n">
        <v>15</v>
      </c>
      <c r="H97" s="55"/>
      <c r="I97" s="49" t="n">
        <f aca="false">IF(AND(ISNUMBER($F97),ISNUMBER($G97),$E97&lt;&gt;"R"),$F97*$G97,"")</f>
        <v>600</v>
      </c>
      <c r="J97" s="51" t="n">
        <f aca="false">IF(AND($E97="A",ISNUMBER($F97),ISNUMBER($G97)),$F97*(1+$G97/30),"")</f>
        <v>60</v>
      </c>
      <c r="K97" s="56"/>
      <c r="L97" s="56"/>
    </row>
    <row r="98" customFormat="false" ht="15.75" hidden="false" customHeight="true" outlineLevel="0" collapsed="false">
      <c r="A98" s="78" t="str">
        <f aca="false">IFERROR(IF($B98="","",IF(INDEX(Einheiten!$B$4:$B$63,MATCH($B98,Einheiten!$A$4:$A$63,0))=0,"",INDEX(Einheiten!$B$4:$B$63,MATCH($B98,Einheiten!$A$4:$A$63,0)))),"")</f>
        <v/>
      </c>
      <c r="B98" s="54" t="n">
        <v>3</v>
      </c>
      <c r="C98" s="79" t="str">
        <f aca="false">IFERROR(IF($D98="","",INDEX(Übungen!$B$4:$B$23,MATCH($D98,Übungen!$A$4:$A$23,0))),"")</f>
        <v>Beine hinten</v>
      </c>
      <c r="D98" s="56" t="s">
        <v>374</v>
      </c>
      <c r="E98" s="73" t="s">
        <v>460</v>
      </c>
      <c r="F98" s="55" t="n">
        <v>30</v>
      </c>
      <c r="G98" s="74" t="n">
        <v>6</v>
      </c>
      <c r="H98" s="55"/>
      <c r="I98" s="49" t="str">
        <f aca="false">IF(AND(ISNUMBER($F98),ISNUMBER($G98),$E98&lt;&gt;"R"),$F98*$G98,"")</f>
        <v/>
      </c>
      <c r="J98" s="51" t="str">
        <f aca="false">IF(AND($E98="A",ISNUMBER($F98),ISNUMBER($G98)),$F98*(1+$G98/30),"")</f>
        <v/>
      </c>
      <c r="K98" s="56" t="s">
        <v>476</v>
      </c>
      <c r="L98" s="56"/>
    </row>
    <row r="99" customFormat="false" ht="15.75" hidden="false" customHeight="true" outlineLevel="0" collapsed="false">
      <c r="A99" s="78" t="str">
        <f aca="false">IFERROR(IF($B99="","",IF(INDEX(Einheiten!$B$4:$B$63,MATCH($B99,Einheiten!$A$4:$A$63,0))=0,"",INDEX(Einheiten!$B$4:$B$63,MATCH($B99,Einheiten!$A$4:$A$63,0)))),"")</f>
        <v/>
      </c>
      <c r="B99" s="54" t="n">
        <v>1</v>
      </c>
      <c r="C99" s="79" t="str">
        <f aca="false">IFERROR(IF($D99="","",INDEX(Übungen!$B$4:$B$23,MATCH($D99,Übungen!$A$4:$A$23,0))),"")</f>
        <v>Beine hinten</v>
      </c>
      <c r="D99" s="56" t="s">
        <v>412</v>
      </c>
      <c r="E99" s="73" t="s">
        <v>458</v>
      </c>
      <c r="F99" s="55" t="n">
        <v>170</v>
      </c>
      <c r="G99" s="74" t="n">
        <v>10</v>
      </c>
      <c r="H99" s="55"/>
      <c r="I99" s="49" t="n">
        <f aca="false">IF(AND(ISNUMBER($F99),ISNUMBER($G99),$E99&lt;&gt;"R"),$F99*$G99,"")</f>
        <v>1700</v>
      </c>
      <c r="J99" s="51" t="str">
        <f aca="false">IF(AND($E99="A",ISNUMBER($F99),ISNUMBER($G99)),$F99*(1+$G99/30),"")</f>
        <v/>
      </c>
      <c r="K99" s="56"/>
      <c r="L99" s="56" t="s">
        <v>477</v>
      </c>
    </row>
    <row r="100" customFormat="false" ht="15.75" hidden="false" customHeight="true" outlineLevel="0" collapsed="false">
      <c r="A100" s="78" t="str">
        <f aca="false">IFERROR(IF($B100="","",IF(INDEX(Einheiten!$B$4:$B$63,MATCH($B100,Einheiten!$A$4:$A$63,0))=0,"",INDEX(Einheiten!$B$4:$B$63,MATCH($B100,Einheiten!$A$4:$A$63,0)))),"")</f>
        <v/>
      </c>
      <c r="B100" s="54" t="n">
        <v>1</v>
      </c>
      <c r="C100" s="79" t="str">
        <f aca="false">IFERROR(IF($D100="","",INDEX(Übungen!$B$4:$B$23,MATCH($D100,Übungen!$A$4:$A$23,0))),"")</f>
        <v>Beine hinten</v>
      </c>
      <c r="D100" s="56" t="s">
        <v>412</v>
      </c>
      <c r="E100" s="73" t="s">
        <v>459</v>
      </c>
      <c r="F100" s="55" t="n">
        <v>220</v>
      </c>
      <c r="G100" s="74" t="n">
        <v>12</v>
      </c>
      <c r="H100" s="55"/>
      <c r="I100" s="49" t="n">
        <f aca="false">IF(AND(ISNUMBER($F100),ISNUMBER($G100),$E100&lt;&gt;"R"),$F100*$G100,"")</f>
        <v>2640</v>
      </c>
      <c r="J100" s="51" t="n">
        <f aca="false">IF(AND($E100="A",ISNUMBER($F100),ISNUMBER($G100)),$F100*(1+$G100/30),"")</f>
        <v>308</v>
      </c>
      <c r="K100" s="56"/>
      <c r="L100" s="56"/>
    </row>
    <row r="101" customFormat="false" ht="15.75" hidden="false" customHeight="true" outlineLevel="0" collapsed="false">
      <c r="A101" s="78" t="str">
        <f aca="false">IFERROR(IF($B101="","",IF(INDEX(Einheiten!$B$4:$B$63,MATCH($B101,Einheiten!$A$4:$A$63,0))=0,"",INDEX(Einheiten!$B$4:$B$63,MATCH($B101,Einheiten!$A$4:$A$63,0)))),"")</f>
        <v/>
      </c>
      <c r="B101" s="54" t="n">
        <v>1</v>
      </c>
      <c r="C101" s="79" t="str">
        <f aca="false">IFERROR(IF($D101="","",INDEX(Übungen!$B$4:$B$23,MATCH($D101,Übungen!$A$4:$A$23,0))),"")</f>
        <v>Beine hinten</v>
      </c>
      <c r="D101" s="56" t="s">
        <v>412</v>
      </c>
      <c r="E101" s="73" t="s">
        <v>459</v>
      </c>
      <c r="F101" s="55" t="n">
        <v>240</v>
      </c>
      <c r="G101" s="74" t="n">
        <v>8</v>
      </c>
      <c r="H101" s="55"/>
      <c r="I101" s="49" t="n">
        <f aca="false">IF(AND(ISNUMBER($F101),ISNUMBER($G101),$E101&lt;&gt;"R"),$F101*$G101,"")</f>
        <v>1920</v>
      </c>
      <c r="J101" s="51" t="n">
        <f aca="false">IF(AND($E101="A",ISNUMBER($F101),ISNUMBER($G101)),$F101*(1+$G101/30),"")</f>
        <v>304</v>
      </c>
      <c r="K101" s="56"/>
      <c r="L101" s="56"/>
    </row>
    <row r="102" customFormat="false" ht="15.75" hidden="false" customHeight="true" outlineLevel="0" collapsed="false">
      <c r="A102" s="78" t="str">
        <f aca="false">IFERROR(IF($B102="","",IF(INDEX(Einheiten!$B$4:$B$63,MATCH($B102,Einheiten!$A$4:$A$63,0))=0,"",INDEX(Einheiten!$B$4:$B$63,MATCH($B102,Einheiten!$A$4:$A$63,0)))),"")</f>
        <v/>
      </c>
      <c r="B102" s="54" t="n">
        <v>1</v>
      </c>
      <c r="C102" s="79" t="str">
        <f aca="false">IFERROR(IF($D102="","",INDEX(Übungen!$B$4:$B$23,MATCH($D102,Übungen!$A$4:$A$23,0))),"")</f>
        <v>Beine hinten</v>
      </c>
      <c r="D102" s="56" t="s">
        <v>412</v>
      </c>
      <c r="E102" s="73" t="s">
        <v>460</v>
      </c>
      <c r="F102" s="55"/>
      <c r="G102" s="74" t="n">
        <v>6</v>
      </c>
      <c r="H102" s="55"/>
      <c r="I102" s="49" t="str">
        <f aca="false">IF(AND(ISNUMBER($F102),ISNUMBER($G102),$E102&lt;&gt;"R"),$F102*$G102,"")</f>
        <v/>
      </c>
      <c r="J102" s="51" t="str">
        <f aca="false">IF(AND($E102="A",ISNUMBER($F102),ISNUMBER($G102)),$F102*(1+$G102/30),"")</f>
        <v/>
      </c>
      <c r="K102" s="56" t="s">
        <v>478</v>
      </c>
      <c r="L102" s="56" t="s">
        <v>479</v>
      </c>
    </row>
    <row r="103" customFormat="false" ht="15.75" hidden="false" customHeight="true" outlineLevel="0" collapsed="false">
      <c r="A103" s="78" t="str">
        <f aca="false">IFERROR(IF($B103="","",IF(INDEX(Einheiten!$B$4:$B$63,MATCH($B103,Einheiten!$A$4:$A$63,0))=0,"",INDEX(Einheiten!$B$4:$B$63,MATCH($B103,Einheiten!$A$4:$A$63,0)))),"")</f>
        <v/>
      </c>
      <c r="B103" s="54" t="n">
        <v>2</v>
      </c>
      <c r="C103" s="79" t="str">
        <f aca="false">IFERROR(IF($D103="","",INDEX(Übungen!$B$4:$B$23,MATCH($D103,Übungen!$A$4:$A$23,0))),"")</f>
        <v>Beine hinten</v>
      </c>
      <c r="D103" s="56" t="s">
        <v>412</v>
      </c>
      <c r="E103" s="73" t="s">
        <v>458</v>
      </c>
      <c r="F103" s="55" t="n">
        <v>180</v>
      </c>
      <c r="G103" s="74" t="n">
        <v>10</v>
      </c>
      <c r="H103" s="55"/>
      <c r="I103" s="49" t="n">
        <f aca="false">IF(AND(ISNUMBER($F103),ISNUMBER($G103),$E103&lt;&gt;"R"),$F103*$G103,"")</f>
        <v>1800</v>
      </c>
      <c r="J103" s="51" t="str">
        <f aca="false">IF(AND($E103="A",ISNUMBER($F103),ISNUMBER($G103)),$F103*(1+$G103/30),"")</f>
        <v/>
      </c>
      <c r="K103" s="56"/>
      <c r="L103" s="56"/>
    </row>
    <row r="104" customFormat="false" ht="15.75" hidden="false" customHeight="true" outlineLevel="0" collapsed="false">
      <c r="A104" s="78" t="str">
        <f aca="false">IFERROR(IF($B104="","",IF(INDEX(Einheiten!$B$4:$B$63,MATCH($B104,Einheiten!$A$4:$A$63,0))=0,"",INDEX(Einheiten!$B$4:$B$63,MATCH($B104,Einheiten!$A$4:$A$63,0)))),"")</f>
        <v/>
      </c>
      <c r="B104" s="54" t="n">
        <v>2</v>
      </c>
      <c r="C104" s="79" t="str">
        <f aca="false">IFERROR(IF($D104="","",INDEX(Übungen!$B$4:$B$23,MATCH($D104,Übungen!$A$4:$A$23,0))),"")</f>
        <v>Beine hinten</v>
      </c>
      <c r="D104" s="56" t="s">
        <v>412</v>
      </c>
      <c r="E104" s="73" t="s">
        <v>459</v>
      </c>
      <c r="F104" s="55" t="n">
        <v>240</v>
      </c>
      <c r="G104" s="74" t="n">
        <v>10</v>
      </c>
      <c r="H104" s="55"/>
      <c r="I104" s="49" t="n">
        <f aca="false">IF(AND(ISNUMBER($F104),ISNUMBER($G104),$E104&lt;&gt;"R"),$F104*$G104,"")</f>
        <v>2400</v>
      </c>
      <c r="J104" s="51" t="n">
        <f aca="false">IF(AND($E104="A",ISNUMBER($F104),ISNUMBER($G104)),$F104*(1+$G104/30),"")</f>
        <v>320</v>
      </c>
      <c r="K104" s="56"/>
      <c r="L104" s="56"/>
    </row>
    <row r="105" customFormat="false" ht="15.75" hidden="false" customHeight="true" outlineLevel="0" collapsed="false">
      <c r="A105" s="78" t="str">
        <f aca="false">IFERROR(IF($B105="","",IF(INDEX(Einheiten!$B$4:$B$63,MATCH($B105,Einheiten!$A$4:$A$63,0))=0,"",INDEX(Einheiten!$B$4:$B$63,MATCH($B105,Einheiten!$A$4:$A$63,0)))),"")</f>
        <v/>
      </c>
      <c r="B105" s="54" t="n">
        <v>2</v>
      </c>
      <c r="C105" s="79" t="str">
        <f aca="false">IFERROR(IF($D105="","",INDEX(Übungen!$B$4:$B$23,MATCH($D105,Übungen!$A$4:$A$23,0))),"")</f>
        <v>Beine hinten</v>
      </c>
      <c r="D105" s="56" t="s">
        <v>412</v>
      </c>
      <c r="E105" s="73" t="s">
        <v>459</v>
      </c>
      <c r="F105" s="55" t="n">
        <v>280</v>
      </c>
      <c r="G105" s="74" t="n">
        <v>6</v>
      </c>
      <c r="H105" s="55"/>
      <c r="I105" s="49" t="n">
        <f aca="false">IF(AND(ISNUMBER($F105),ISNUMBER($G105),$E105&lt;&gt;"R"),$F105*$G105,"")</f>
        <v>1680</v>
      </c>
      <c r="J105" s="51" t="n">
        <f aca="false">IF(AND($E105="A",ISNUMBER($F105),ISNUMBER($G105)),$F105*(1+$G105/30),"")</f>
        <v>336</v>
      </c>
      <c r="K105" s="56"/>
      <c r="L105" s="56"/>
    </row>
    <row r="106" customFormat="false" ht="15.75" hidden="false" customHeight="true" outlineLevel="0" collapsed="false">
      <c r="A106" s="78" t="str">
        <f aca="false">IFERROR(IF($B106="","",IF(INDEX(Einheiten!$B$4:$B$63,MATCH($B106,Einheiten!$A$4:$A$63,0))=0,"",INDEX(Einheiten!$B$4:$B$63,MATCH($B106,Einheiten!$A$4:$A$63,0)))),"")</f>
        <v/>
      </c>
      <c r="B106" s="54" t="n">
        <v>2</v>
      </c>
      <c r="C106" s="79" t="str">
        <f aca="false">IFERROR(IF($D106="","",INDEX(Übungen!$B$4:$B$23,MATCH($D106,Übungen!$A$4:$A$23,0))),"")</f>
        <v>Beine hinten</v>
      </c>
      <c r="D106" s="56" t="s">
        <v>412</v>
      </c>
      <c r="E106" s="73" t="s">
        <v>460</v>
      </c>
      <c r="F106" s="55"/>
      <c r="G106" s="74" t="n">
        <v>6</v>
      </c>
      <c r="H106" s="55"/>
      <c r="I106" s="49" t="str">
        <f aca="false">IF(AND(ISNUMBER($F106),ISNUMBER($G106),$E106&lt;&gt;"R"),$F106*$G106,"")</f>
        <v/>
      </c>
      <c r="J106" s="51" t="str">
        <f aca="false">IF(AND($E106="A",ISNUMBER($F106),ISNUMBER($G106)),$F106*(1+$G106/30),"")</f>
        <v/>
      </c>
      <c r="K106" s="56" t="s">
        <v>478</v>
      </c>
      <c r="L106" s="56" t="s">
        <v>479</v>
      </c>
    </row>
    <row r="107" customFormat="false" ht="15.75" hidden="false" customHeight="true" outlineLevel="0" collapsed="false">
      <c r="A107" s="78" t="str">
        <f aca="false">IFERROR(IF($B107="","",IF(INDEX(Einheiten!$B$4:$B$63,MATCH($B107,Einheiten!$A$4:$A$63,0))=0,"",INDEX(Einheiten!$B$4:$B$63,MATCH($B107,Einheiten!$A$4:$A$63,0)))),"")</f>
        <v/>
      </c>
      <c r="B107" s="54" t="n">
        <v>3</v>
      </c>
      <c r="C107" s="79" t="str">
        <f aca="false">IFERROR(IF($D107="","",INDEX(Übungen!$B$4:$B$23,MATCH($D107,Übungen!$A$4:$A$23,0))),"")</f>
        <v>Beine hinten</v>
      </c>
      <c r="D107" s="56" t="s">
        <v>412</v>
      </c>
      <c r="E107" s="73" t="s">
        <v>458</v>
      </c>
      <c r="F107" s="55" t="n">
        <v>120</v>
      </c>
      <c r="G107" s="74" t="n">
        <v>5</v>
      </c>
      <c r="H107" s="55"/>
      <c r="I107" s="49" t="n">
        <f aca="false">IF(AND(ISNUMBER($F107),ISNUMBER($G107),$E107&lt;&gt;"R"),$F107*$G107,"")</f>
        <v>600</v>
      </c>
      <c r="J107" s="51" t="str">
        <f aca="false">IF(AND($E107="A",ISNUMBER($F107),ISNUMBER($G107)),$F107*(1+$G107/30),"")</f>
        <v/>
      </c>
      <c r="K107" s="56"/>
      <c r="L107" s="56"/>
    </row>
    <row r="108" customFormat="false" ht="15.75" hidden="false" customHeight="true" outlineLevel="0" collapsed="false">
      <c r="A108" s="78" t="str">
        <f aca="false">IFERROR(IF($B108="","",IF(INDEX(Einheiten!$B$4:$B$63,MATCH($B108,Einheiten!$A$4:$A$63,0))=0,"",INDEX(Einheiten!$B$4:$B$63,MATCH($B108,Einheiten!$A$4:$A$63,0)))),"")</f>
        <v/>
      </c>
      <c r="B108" s="54" t="n">
        <v>3</v>
      </c>
      <c r="C108" s="79" t="str">
        <f aca="false">IFERROR(IF($D108="","",INDEX(Übungen!$B$4:$B$23,MATCH($D108,Übungen!$A$4:$A$23,0))),"")</f>
        <v>Beine hinten</v>
      </c>
      <c r="D108" s="56" t="s">
        <v>412</v>
      </c>
      <c r="E108" s="73" t="s">
        <v>458</v>
      </c>
      <c r="F108" s="55" t="n">
        <v>170</v>
      </c>
      <c r="G108" s="74" t="n">
        <v>4</v>
      </c>
      <c r="H108" s="55"/>
      <c r="I108" s="49" t="n">
        <f aca="false">IF(AND(ISNUMBER($F108),ISNUMBER($G108),$E108&lt;&gt;"R"),$F108*$G108,"")</f>
        <v>680</v>
      </c>
      <c r="J108" s="51" t="str">
        <f aca="false">IF(AND($E108="A",ISNUMBER($F108),ISNUMBER($G108)),$F108*(1+$G108/30),"")</f>
        <v/>
      </c>
      <c r="K108" s="56"/>
      <c r="L108" s="56"/>
    </row>
    <row r="109" customFormat="false" ht="15.75" hidden="false" customHeight="true" outlineLevel="0" collapsed="false">
      <c r="A109" s="78" t="str">
        <f aca="false">IFERROR(IF($B109="","",IF(INDEX(Einheiten!$B$4:$B$63,MATCH($B109,Einheiten!$A$4:$A$63,0))=0,"",INDEX(Einheiten!$B$4:$B$63,MATCH($B109,Einheiten!$A$4:$A$63,0)))),"")</f>
        <v/>
      </c>
      <c r="B109" s="54" t="n">
        <v>3</v>
      </c>
      <c r="C109" s="79" t="str">
        <f aca="false">IFERROR(IF($D109="","",INDEX(Übungen!$B$4:$B$23,MATCH($D109,Übungen!$A$4:$A$23,0))),"")</f>
        <v>Beine hinten</v>
      </c>
      <c r="D109" s="56" t="s">
        <v>412</v>
      </c>
      <c r="E109" s="73" t="s">
        <v>459</v>
      </c>
      <c r="F109" s="55" t="n">
        <v>280</v>
      </c>
      <c r="G109" s="74" t="n">
        <v>8</v>
      </c>
      <c r="H109" s="55"/>
      <c r="I109" s="49" t="n">
        <f aca="false">IF(AND(ISNUMBER($F109),ISNUMBER($G109),$E109&lt;&gt;"R"),$F109*$G109,"")</f>
        <v>2240</v>
      </c>
      <c r="J109" s="51" t="n">
        <f aca="false">IF(AND($E109="A",ISNUMBER($F109),ISNUMBER($G109)),$F109*(1+$G109/30),"")</f>
        <v>354.666666666667</v>
      </c>
      <c r="K109" s="56"/>
      <c r="L109" s="56"/>
    </row>
    <row r="110" customFormat="false" ht="15.75" hidden="false" customHeight="true" outlineLevel="0" collapsed="false">
      <c r="A110" s="78" t="str">
        <f aca="false">IFERROR(IF($B110="","",IF(INDEX(Einheiten!$B$4:$B$63,MATCH($B110,Einheiten!$A$4:$A$63,0))=0,"",INDEX(Einheiten!$B$4:$B$63,MATCH($B110,Einheiten!$A$4:$A$63,0)))),"")</f>
        <v/>
      </c>
      <c r="B110" s="54" t="n">
        <v>3</v>
      </c>
      <c r="C110" s="79" t="str">
        <f aca="false">IFERROR(IF($D110="","",INDEX(Übungen!$B$4:$B$23,MATCH($D110,Übungen!$A$4:$A$23,0))),"")</f>
        <v>Beine hinten</v>
      </c>
      <c r="D110" s="56" t="s">
        <v>412</v>
      </c>
      <c r="E110" s="73" t="s">
        <v>459</v>
      </c>
      <c r="F110" s="55" t="n">
        <v>270</v>
      </c>
      <c r="G110" s="74" t="n">
        <v>10</v>
      </c>
      <c r="H110" s="55"/>
      <c r="I110" s="49" t="n">
        <f aca="false">IF(AND(ISNUMBER($F110),ISNUMBER($G110),$E110&lt;&gt;"R"),$F110*$G110,"")</f>
        <v>2700</v>
      </c>
      <c r="J110" s="51" t="n">
        <f aca="false">IF(AND($E110="A",ISNUMBER($F110),ISNUMBER($G110)),$F110*(1+$G110/30),"")</f>
        <v>360</v>
      </c>
      <c r="K110" s="56"/>
      <c r="L110" s="56"/>
    </row>
    <row r="111" customFormat="false" ht="15.75" hidden="false" customHeight="true" outlineLevel="0" collapsed="false">
      <c r="A111" s="78" t="str">
        <f aca="false">IFERROR(IF($B111="","",IF(INDEX(Einheiten!$B$4:$B$63,MATCH($B111,Einheiten!$A$4:$A$63,0))=0,"",INDEX(Einheiten!$B$4:$B$63,MATCH($B111,Einheiten!$A$4:$A$63,0)))),"")</f>
        <v/>
      </c>
      <c r="B111" s="54" t="n">
        <v>3</v>
      </c>
      <c r="C111" s="79" t="str">
        <f aca="false">IFERROR(IF($D111="","",INDEX(Übungen!$B$4:$B$23,MATCH($D111,Übungen!$A$4:$A$23,0))),"")</f>
        <v>Beine hinten</v>
      </c>
      <c r="D111" s="56" t="s">
        <v>412</v>
      </c>
      <c r="E111" s="73" t="s">
        <v>460</v>
      </c>
      <c r="F111" s="55"/>
      <c r="G111" s="74" t="n">
        <v>6</v>
      </c>
      <c r="H111" s="55"/>
      <c r="I111" s="49" t="str">
        <f aca="false">IF(AND(ISNUMBER($F111),ISNUMBER($G111),$E111&lt;&gt;"R"),$F111*$G111,"")</f>
        <v/>
      </c>
      <c r="J111" s="51" t="str">
        <f aca="false">IF(AND($E111="A",ISNUMBER($F111),ISNUMBER($G111)),$F111*(1+$G111/30),"")</f>
        <v/>
      </c>
      <c r="K111" s="56" t="s">
        <v>478</v>
      </c>
      <c r="L111" s="56" t="s">
        <v>479</v>
      </c>
    </row>
    <row r="112" customFormat="false" ht="15.75" hidden="false" customHeight="true" outlineLevel="0" collapsed="false">
      <c r="A112" s="78" t="str">
        <f aca="false">IFERROR(IF($B112="","",IF(INDEX(Einheiten!$B$4:$B$63,MATCH($B112,Einheiten!$A$4:$A$63,0))=0,"",INDEX(Einheiten!$B$4:$B$63,MATCH($B112,Einheiten!$A$4:$A$63,0)))),"")</f>
        <v/>
      </c>
      <c r="B112" s="54" t="n">
        <v>4</v>
      </c>
      <c r="C112" s="79" t="str">
        <f aca="false">IFERROR(IF($D112="","",INDEX(Übungen!$B$4:$B$23,MATCH($D112,Übungen!$A$4:$A$23,0))),"")</f>
        <v>Beine hinten</v>
      </c>
      <c r="D112" s="56" t="s">
        <v>412</v>
      </c>
      <c r="E112" s="73" t="s">
        <v>458</v>
      </c>
      <c r="F112" s="55" t="n">
        <v>120</v>
      </c>
      <c r="G112" s="74" t="n">
        <v>5</v>
      </c>
      <c r="H112" s="55"/>
      <c r="I112" s="49" t="n">
        <f aca="false">IF(AND(ISNUMBER($F112),ISNUMBER($G112),$E112&lt;&gt;"R"),$F112*$G112,"")</f>
        <v>600</v>
      </c>
      <c r="J112" s="51" t="str">
        <f aca="false">IF(AND($E112="A",ISNUMBER($F112),ISNUMBER($G112)),$F112*(1+$G112/30),"")</f>
        <v/>
      </c>
      <c r="K112" s="56"/>
      <c r="L112" s="56"/>
    </row>
    <row r="113" customFormat="false" ht="15.75" hidden="false" customHeight="true" outlineLevel="0" collapsed="false">
      <c r="A113" s="78" t="str">
        <f aca="false">IFERROR(IF($B113="","",IF(INDEX(Einheiten!$B$4:$B$63,MATCH($B113,Einheiten!$A$4:$A$63,0))=0,"",INDEX(Einheiten!$B$4:$B$63,MATCH($B113,Einheiten!$A$4:$A$63,0)))),"")</f>
        <v/>
      </c>
      <c r="B113" s="54" t="n">
        <v>4</v>
      </c>
      <c r="C113" s="79" t="str">
        <f aca="false">IFERROR(IF($D113="","",INDEX(Übungen!$B$4:$B$23,MATCH($D113,Übungen!$A$4:$A$23,0))),"")</f>
        <v>Beine hinten</v>
      </c>
      <c r="D113" s="56" t="s">
        <v>412</v>
      </c>
      <c r="E113" s="73" t="s">
        <v>458</v>
      </c>
      <c r="F113" s="55" t="n">
        <v>170</v>
      </c>
      <c r="G113" s="74" t="n">
        <v>3</v>
      </c>
      <c r="H113" s="55"/>
      <c r="I113" s="49" t="n">
        <f aca="false">IF(AND(ISNUMBER($F113),ISNUMBER($G113),$E113&lt;&gt;"R"),$F113*$G113,"")</f>
        <v>510</v>
      </c>
      <c r="J113" s="51" t="str">
        <f aca="false">IF(AND($E113="A",ISNUMBER($F113),ISNUMBER($G113)),$F113*(1+$G113/30),"")</f>
        <v/>
      </c>
      <c r="K113" s="56"/>
      <c r="L113" s="56"/>
    </row>
    <row r="114" customFormat="false" ht="15.75" hidden="false" customHeight="true" outlineLevel="0" collapsed="false">
      <c r="A114" s="78" t="str">
        <f aca="false">IFERROR(IF($B114="","",IF(INDEX(Einheiten!$B$4:$B$63,MATCH($B114,Einheiten!$A$4:$A$63,0))=0,"",INDEX(Einheiten!$B$4:$B$63,MATCH($B114,Einheiten!$A$4:$A$63,0)))),"")</f>
        <v/>
      </c>
      <c r="B114" s="54" t="n">
        <v>4</v>
      </c>
      <c r="C114" s="79" t="str">
        <f aca="false">IFERROR(IF($D114="","",INDEX(Übungen!$B$4:$B$23,MATCH($D114,Übungen!$A$4:$A$23,0))),"")</f>
        <v>Beine hinten</v>
      </c>
      <c r="D114" s="56" t="s">
        <v>412</v>
      </c>
      <c r="E114" s="73" t="s">
        <v>459</v>
      </c>
      <c r="F114" s="55" t="n">
        <v>270</v>
      </c>
      <c r="G114" s="74" t="n">
        <v>8</v>
      </c>
      <c r="H114" s="55"/>
      <c r="I114" s="49" t="n">
        <f aca="false">IF(AND(ISNUMBER($F114),ISNUMBER($G114),$E114&lt;&gt;"R"),$F114*$G114,"")</f>
        <v>2160</v>
      </c>
      <c r="J114" s="51" t="n">
        <f aca="false">IF(AND($E114="A",ISNUMBER($F114),ISNUMBER($G114)),$F114*(1+$G114/30),"")</f>
        <v>342</v>
      </c>
      <c r="K114" s="56"/>
      <c r="L114" s="56"/>
    </row>
    <row r="115" customFormat="false" ht="15.75" hidden="false" customHeight="true" outlineLevel="0" collapsed="false">
      <c r="A115" s="78" t="str">
        <f aca="false">IFERROR(IF($B115="","",IF(INDEX(Einheiten!$B$4:$B$63,MATCH($B115,Einheiten!$A$4:$A$63,0))=0,"",INDEX(Einheiten!$B$4:$B$63,MATCH($B115,Einheiten!$A$4:$A$63,0)))),"")</f>
        <v/>
      </c>
      <c r="B115" s="54" t="n">
        <v>4</v>
      </c>
      <c r="C115" s="79" t="str">
        <f aca="false">IFERROR(IF($D115="","",INDEX(Übungen!$B$4:$B$23,MATCH($D115,Übungen!$A$4:$A$23,0))),"")</f>
        <v>Beine hinten</v>
      </c>
      <c r="D115" s="56" t="s">
        <v>412</v>
      </c>
      <c r="E115" s="73" t="s">
        <v>459</v>
      </c>
      <c r="F115" s="55" t="n">
        <v>270</v>
      </c>
      <c r="G115" s="74" t="n">
        <v>8</v>
      </c>
      <c r="H115" s="55"/>
      <c r="I115" s="49" t="n">
        <f aca="false">IF(AND(ISNUMBER($F115),ISNUMBER($G115),$E115&lt;&gt;"R"),$F115*$G115,"")</f>
        <v>2160</v>
      </c>
      <c r="J115" s="51" t="n">
        <f aca="false">IF(AND($E115="A",ISNUMBER($F115),ISNUMBER($G115)),$F115*(1+$G115/30),"")</f>
        <v>342</v>
      </c>
      <c r="K115" s="56"/>
      <c r="L115" s="56"/>
    </row>
    <row r="116" customFormat="false" ht="15.75" hidden="false" customHeight="true" outlineLevel="0" collapsed="false">
      <c r="A116" s="78" t="str">
        <f aca="false">IFERROR(IF($B116="","",IF(INDEX(Einheiten!$B$4:$B$63,MATCH($B116,Einheiten!$A$4:$A$63,0))=0,"",INDEX(Einheiten!$B$4:$B$63,MATCH($B116,Einheiten!$A$4:$A$63,0)))),"")</f>
        <v/>
      </c>
      <c r="B116" s="54" t="n">
        <v>4</v>
      </c>
      <c r="C116" s="79" t="str">
        <f aca="false">IFERROR(IF($D116="","",INDEX(Übungen!$B$4:$B$23,MATCH($D116,Übungen!$A$4:$A$23,0))),"")</f>
        <v>Beine hinten</v>
      </c>
      <c r="D116" s="56" t="s">
        <v>412</v>
      </c>
      <c r="E116" s="73" t="s">
        <v>459</v>
      </c>
      <c r="F116" s="55" t="n">
        <v>270</v>
      </c>
      <c r="G116" s="74" t="n">
        <v>8</v>
      </c>
      <c r="H116" s="55"/>
      <c r="I116" s="49" t="n">
        <f aca="false">IF(AND(ISNUMBER($F116),ISNUMBER($G116),$E116&lt;&gt;"R"),$F116*$G116,"")</f>
        <v>2160</v>
      </c>
      <c r="J116" s="51" t="n">
        <f aca="false">IF(AND($E116="A",ISNUMBER($F116),ISNUMBER($G116)),$F116*(1+$G116/30),"")</f>
        <v>342</v>
      </c>
      <c r="K116" s="56"/>
      <c r="L116" s="56"/>
    </row>
    <row r="117" customFormat="false" ht="15.75" hidden="false" customHeight="true" outlineLevel="0" collapsed="false">
      <c r="A117" s="78" t="str">
        <f aca="false">IFERROR(IF($B117="","",IF(INDEX(Einheiten!$B$4:$B$63,MATCH($B117,Einheiten!$A$4:$A$63,0))=0,"",INDEX(Einheiten!$B$4:$B$63,MATCH($B117,Einheiten!$A$4:$A$63,0)))),"")</f>
        <v/>
      </c>
      <c r="B117" s="54" t="n">
        <v>1</v>
      </c>
      <c r="C117" s="79" t="str">
        <f aca="false">IFERROR(IF($D117="","",INDEX(Übungen!$B$4:$B$23,MATCH($D117,Übungen!$A$4:$A$23,0))),"")</f>
        <v>Beine hinten</v>
      </c>
      <c r="D117" s="56" t="s">
        <v>380</v>
      </c>
      <c r="E117" s="73" t="s">
        <v>458</v>
      </c>
      <c r="F117" s="55" t="n">
        <v>65</v>
      </c>
      <c r="G117" s="74" t="n">
        <v>8</v>
      </c>
      <c r="H117" s="55"/>
      <c r="I117" s="49" t="n">
        <f aca="false">IF(AND(ISNUMBER($F117),ISNUMBER($G117),$E117&lt;&gt;"R"),$F117*$G117,"")</f>
        <v>520</v>
      </c>
      <c r="J117" s="51" t="str">
        <f aca="false">IF(AND($E117="A",ISNUMBER($F117),ISNUMBER($G117)),$F117*(1+$G117/30),"")</f>
        <v/>
      </c>
      <c r="K117" s="56"/>
      <c r="L117" s="56"/>
    </row>
    <row r="118" customFormat="false" ht="15.75" hidden="false" customHeight="true" outlineLevel="0" collapsed="false">
      <c r="A118" s="78" t="str">
        <f aca="false">IFERROR(IF($B118="","",IF(INDEX(Einheiten!$B$4:$B$63,MATCH($B118,Einheiten!$A$4:$A$63,0))=0,"",INDEX(Einheiten!$B$4:$B$63,MATCH($B118,Einheiten!$A$4:$A$63,0)))),"")</f>
        <v/>
      </c>
      <c r="B118" s="54" t="n">
        <v>1</v>
      </c>
      <c r="C118" s="79" t="str">
        <f aca="false">IFERROR(IF($D118="","",INDEX(Übungen!$B$4:$B$23,MATCH($D118,Übungen!$A$4:$A$23,0))),"")</f>
        <v>Beine hinten</v>
      </c>
      <c r="D118" s="56" t="s">
        <v>380</v>
      </c>
      <c r="E118" s="73" t="s">
        <v>459</v>
      </c>
      <c r="F118" s="55" t="n">
        <v>145</v>
      </c>
      <c r="G118" s="74" t="n">
        <v>12</v>
      </c>
      <c r="H118" s="55"/>
      <c r="I118" s="49" t="n">
        <f aca="false">IF(AND(ISNUMBER($F118),ISNUMBER($G118),$E118&lt;&gt;"R"),$F118*$G118,"")</f>
        <v>1740</v>
      </c>
      <c r="J118" s="51" t="n">
        <f aca="false">IF(AND($E118="A",ISNUMBER($F118),ISNUMBER($G118)),$F118*(1+$G118/30),"")</f>
        <v>203</v>
      </c>
      <c r="K118" s="56"/>
      <c r="L118" s="56"/>
    </row>
    <row r="119" customFormat="false" ht="15.75" hidden="false" customHeight="true" outlineLevel="0" collapsed="false">
      <c r="A119" s="78" t="str">
        <f aca="false">IFERROR(IF($B119="","",IF(INDEX(Einheiten!$B$4:$B$63,MATCH($B119,Einheiten!$A$4:$A$63,0))=0,"",INDEX(Einheiten!$B$4:$B$63,MATCH($B119,Einheiten!$A$4:$A$63,0)))),"")</f>
        <v/>
      </c>
      <c r="B119" s="54" t="n">
        <v>1</v>
      </c>
      <c r="C119" s="79" t="str">
        <f aca="false">IFERROR(IF($D119="","",INDEX(Übungen!$B$4:$B$23,MATCH($D119,Übungen!$A$4:$A$23,0))),"")</f>
        <v>Beine hinten</v>
      </c>
      <c r="D119" s="56" t="s">
        <v>380</v>
      </c>
      <c r="E119" s="73" t="s">
        <v>459</v>
      </c>
      <c r="F119" s="55" t="n">
        <v>115</v>
      </c>
      <c r="G119" s="74" t="n">
        <v>15</v>
      </c>
      <c r="H119" s="55"/>
      <c r="I119" s="49" t="n">
        <f aca="false">IF(AND(ISNUMBER($F119),ISNUMBER($G119),$E119&lt;&gt;"R"),$F119*$G119,"")</f>
        <v>1725</v>
      </c>
      <c r="J119" s="51" t="n">
        <f aca="false">IF(AND($E119="A",ISNUMBER($F119),ISNUMBER($G119)),$F119*(1+$G119/30),"")</f>
        <v>172.5</v>
      </c>
      <c r="K119" s="56"/>
      <c r="L119" s="56"/>
    </row>
    <row r="120" customFormat="false" ht="15.75" hidden="false" customHeight="true" outlineLevel="0" collapsed="false">
      <c r="A120" s="78" t="str">
        <f aca="false">IFERROR(IF($B120="","",IF(INDEX(Einheiten!$B$4:$B$63,MATCH($B120,Einheiten!$A$4:$A$63,0))=0,"",INDEX(Einheiten!$B$4:$B$63,MATCH($B120,Einheiten!$A$4:$A$63,0)))),"")</f>
        <v/>
      </c>
      <c r="B120" s="54" t="n">
        <v>2</v>
      </c>
      <c r="C120" s="79" t="str">
        <f aca="false">IFERROR(IF($D120="","",INDEX(Übungen!$B$4:$B$23,MATCH($D120,Übungen!$A$4:$A$23,0))),"")</f>
        <v>Beine hinten</v>
      </c>
      <c r="D120" s="56" t="s">
        <v>380</v>
      </c>
      <c r="E120" s="73" t="s">
        <v>458</v>
      </c>
      <c r="F120" s="55" t="n">
        <v>67.5</v>
      </c>
      <c r="G120" s="74" t="n">
        <v>8</v>
      </c>
      <c r="H120" s="55"/>
      <c r="I120" s="49" t="n">
        <f aca="false">IF(AND(ISNUMBER($F120),ISNUMBER($G120),$E120&lt;&gt;"R"),$F120*$G120,"")</f>
        <v>540</v>
      </c>
      <c r="J120" s="51" t="str">
        <f aca="false">IF(AND($E120="A",ISNUMBER($F120),ISNUMBER($G120)),$F120*(1+$G120/30),"")</f>
        <v/>
      </c>
      <c r="K120" s="56"/>
      <c r="L120" s="56"/>
    </row>
    <row r="121" customFormat="false" ht="15.75" hidden="false" customHeight="true" outlineLevel="0" collapsed="false">
      <c r="A121" s="78" t="str">
        <f aca="false">IFERROR(IF($B121="","",IF(INDEX(Einheiten!$B$4:$B$63,MATCH($B121,Einheiten!$A$4:$A$63,0))=0,"",INDEX(Einheiten!$B$4:$B$63,MATCH($B121,Einheiten!$A$4:$A$63,0)))),"")</f>
        <v/>
      </c>
      <c r="B121" s="54" t="n">
        <v>2</v>
      </c>
      <c r="C121" s="79" t="str">
        <f aca="false">IFERROR(IF($D121="","",INDEX(Übungen!$B$4:$B$23,MATCH($D121,Übungen!$A$4:$A$23,0))),"")</f>
        <v>Beine hinten</v>
      </c>
      <c r="D121" s="56" t="s">
        <v>380</v>
      </c>
      <c r="E121" s="73" t="s">
        <v>459</v>
      </c>
      <c r="F121" s="55" t="n">
        <v>150</v>
      </c>
      <c r="G121" s="74" t="n">
        <v>12</v>
      </c>
      <c r="H121" s="55"/>
      <c r="I121" s="49" t="n">
        <f aca="false">IF(AND(ISNUMBER($F121),ISNUMBER($G121),$E121&lt;&gt;"R"),$F121*$G121,"")</f>
        <v>1800</v>
      </c>
      <c r="J121" s="51" t="n">
        <f aca="false">IF(AND($E121="A",ISNUMBER($F121),ISNUMBER($G121)),$F121*(1+$G121/30),"")</f>
        <v>210</v>
      </c>
      <c r="K121" s="56"/>
      <c r="L121" s="56"/>
    </row>
    <row r="122" customFormat="false" ht="15.75" hidden="false" customHeight="true" outlineLevel="0" collapsed="false">
      <c r="A122" s="78" t="str">
        <f aca="false">IFERROR(IF($B122="","",IF(INDEX(Einheiten!$B$4:$B$63,MATCH($B122,Einheiten!$A$4:$A$63,0))=0,"",INDEX(Einheiten!$B$4:$B$63,MATCH($B122,Einheiten!$A$4:$A$63,0)))),"")</f>
        <v/>
      </c>
      <c r="B122" s="54" t="n">
        <v>2</v>
      </c>
      <c r="C122" s="79" t="str">
        <f aca="false">IFERROR(IF($D122="","",INDEX(Übungen!$B$4:$B$23,MATCH($D122,Übungen!$A$4:$A$23,0))),"")</f>
        <v>Beine hinten</v>
      </c>
      <c r="D122" s="56" t="s">
        <v>380</v>
      </c>
      <c r="E122" s="73" t="s">
        <v>459</v>
      </c>
      <c r="F122" s="55" t="n">
        <v>140</v>
      </c>
      <c r="G122" s="74" t="n">
        <v>12</v>
      </c>
      <c r="H122" s="55"/>
      <c r="I122" s="49" t="n">
        <f aca="false">IF(AND(ISNUMBER($F122),ISNUMBER($G122),$E122&lt;&gt;"R"),$F122*$G122,"")</f>
        <v>1680</v>
      </c>
      <c r="J122" s="51" t="n">
        <f aca="false">IF(AND($E122="A",ISNUMBER($F122),ISNUMBER($G122)),$F122*(1+$G122/30),"")</f>
        <v>196</v>
      </c>
      <c r="K122" s="56"/>
      <c r="L122" s="56"/>
    </row>
    <row r="123" customFormat="false" ht="15.75" hidden="false" customHeight="true" outlineLevel="0" collapsed="false">
      <c r="A123" s="78" t="str">
        <f aca="false">IFERROR(IF($B123="","",IF(INDEX(Einheiten!$B$4:$B$63,MATCH($B123,Einheiten!$A$4:$A$63,0))=0,"",INDEX(Einheiten!$B$4:$B$63,MATCH($B123,Einheiten!$A$4:$A$63,0)))),"")</f>
        <v/>
      </c>
      <c r="B123" s="54" t="n">
        <v>5</v>
      </c>
      <c r="C123" s="79" t="str">
        <f aca="false">IFERROR(IF($D123="","",INDEX(Übungen!$B$4:$B$23,MATCH($D123,Übungen!$A$4:$A$23,0))),"")</f>
        <v>Beine hinten</v>
      </c>
      <c r="D123" s="56" t="s">
        <v>480</v>
      </c>
      <c r="E123" s="73" t="s">
        <v>458</v>
      </c>
      <c r="F123" s="55" t="n">
        <v>40</v>
      </c>
      <c r="G123" s="74" t="n">
        <v>10</v>
      </c>
      <c r="H123" s="55"/>
      <c r="I123" s="49" t="n">
        <f aca="false">IF(AND(ISNUMBER($F123),ISNUMBER($G123),$E123&lt;&gt;"R"),$F123*$G123,"")</f>
        <v>400</v>
      </c>
      <c r="J123" s="51" t="str">
        <f aca="false">IF(AND($E123="A",ISNUMBER($F123),ISNUMBER($G123)),$F123*(1+$G123/30),"")</f>
        <v/>
      </c>
      <c r="K123" s="56"/>
      <c r="L123" s="56"/>
    </row>
    <row r="124" customFormat="false" ht="15.75" hidden="false" customHeight="true" outlineLevel="0" collapsed="false">
      <c r="A124" s="78" t="str">
        <f aca="false">IFERROR(IF($B124="","",IF(INDEX(Einheiten!$B$4:$B$63,MATCH($B124,Einheiten!$A$4:$A$63,0))=0,"",INDEX(Einheiten!$B$4:$B$63,MATCH($B124,Einheiten!$A$4:$A$63,0)))),"")</f>
        <v/>
      </c>
      <c r="B124" s="54" t="n">
        <v>5</v>
      </c>
      <c r="C124" s="79" t="str">
        <f aca="false">IFERROR(IF($D124="","",INDEX(Übungen!$B$4:$B$23,MATCH($D124,Übungen!$A$4:$A$23,0))),"")</f>
        <v>Beine hinten</v>
      </c>
      <c r="D124" s="56" t="s">
        <v>480</v>
      </c>
      <c r="E124" s="73" t="s">
        <v>458</v>
      </c>
      <c r="F124" s="55" t="n">
        <v>80</v>
      </c>
      <c r="G124" s="74" t="n">
        <v>4</v>
      </c>
      <c r="H124" s="55"/>
      <c r="I124" s="49" t="n">
        <f aca="false">IF(AND(ISNUMBER($F124),ISNUMBER($G124),$E124&lt;&gt;"R"),$F124*$G124,"")</f>
        <v>320</v>
      </c>
      <c r="J124" s="51" t="str">
        <f aca="false">IF(AND($E124="A",ISNUMBER($F124),ISNUMBER($G124)),$F124*(1+$G124/30),"")</f>
        <v/>
      </c>
      <c r="K124" s="56"/>
      <c r="L124" s="56"/>
    </row>
    <row r="125" customFormat="false" ht="15.75" hidden="false" customHeight="true" outlineLevel="0" collapsed="false">
      <c r="A125" s="78" t="str">
        <f aca="false">IFERROR(IF($B125="","",IF(INDEX(Einheiten!$B$4:$B$63,MATCH($B125,Einheiten!$A$4:$A$63,0))=0,"",INDEX(Einheiten!$B$4:$B$63,MATCH($B125,Einheiten!$A$4:$A$63,0)))),"")</f>
        <v/>
      </c>
      <c r="B125" s="54" t="n">
        <v>5</v>
      </c>
      <c r="C125" s="79" t="str">
        <f aca="false">IFERROR(IF($D125="","",INDEX(Übungen!$B$4:$B$23,MATCH($D125,Übungen!$A$4:$A$23,0))),"")</f>
        <v>Beine hinten</v>
      </c>
      <c r="D125" s="56" t="s">
        <v>480</v>
      </c>
      <c r="E125" s="73" t="s">
        <v>459</v>
      </c>
      <c r="F125" s="55" t="n">
        <v>110</v>
      </c>
      <c r="G125" s="74" t="n">
        <v>12</v>
      </c>
      <c r="H125" s="55"/>
      <c r="I125" s="49" t="n">
        <f aca="false">IF(AND(ISNUMBER($F125),ISNUMBER($G125),$E125&lt;&gt;"R"),$F125*$G125,"")</f>
        <v>1320</v>
      </c>
      <c r="J125" s="51" t="n">
        <f aca="false">IF(AND($E125="A",ISNUMBER($F125),ISNUMBER($G125)),$F125*(1+$G125/30),"")</f>
        <v>154</v>
      </c>
      <c r="K125" s="56"/>
      <c r="L125" s="56"/>
    </row>
    <row r="126" customFormat="false" ht="15.75" hidden="false" customHeight="true" outlineLevel="0" collapsed="false">
      <c r="A126" s="78" t="str">
        <f aca="false">IFERROR(IF($B126="","",IF(INDEX(Einheiten!$B$4:$B$63,MATCH($B126,Einheiten!$A$4:$A$63,0))=0,"",INDEX(Einheiten!$B$4:$B$63,MATCH($B126,Einheiten!$A$4:$A$63,0)))),"")</f>
        <v/>
      </c>
      <c r="B126" s="54" t="n">
        <v>5</v>
      </c>
      <c r="C126" s="79" t="str">
        <f aca="false">IFERROR(IF($D126="","",INDEX(Übungen!$B$4:$B$23,MATCH($D126,Übungen!$A$4:$A$23,0))),"")</f>
        <v>Beine hinten</v>
      </c>
      <c r="D126" s="56" t="s">
        <v>480</v>
      </c>
      <c r="E126" s="73" t="s">
        <v>459</v>
      </c>
      <c r="F126" s="55" t="n">
        <v>110</v>
      </c>
      <c r="G126" s="74" t="n">
        <v>12</v>
      </c>
      <c r="H126" s="55"/>
      <c r="I126" s="49" t="n">
        <f aca="false">IF(AND(ISNUMBER($F126),ISNUMBER($G126),$E126&lt;&gt;"R"),$F126*$G126,"")</f>
        <v>1320</v>
      </c>
      <c r="J126" s="51" t="n">
        <f aca="false">IF(AND($E126="A",ISNUMBER($F126),ISNUMBER($G126)),$F126*(1+$G126/30),"")</f>
        <v>154</v>
      </c>
      <c r="K126" s="56"/>
      <c r="L126" s="56"/>
    </row>
    <row r="127" customFormat="false" ht="15.75" hidden="false" customHeight="true" outlineLevel="0" collapsed="false">
      <c r="A127" s="78" t="str">
        <f aca="false">IFERROR(IF($B127="","",IF(INDEX(Einheiten!$B$4:$B$63,MATCH($B127,Einheiten!$A$4:$A$63,0))=0,"",INDEX(Einheiten!$B$4:$B$63,MATCH($B127,Einheiten!$A$4:$A$63,0)))),"")</f>
        <v/>
      </c>
      <c r="B127" s="54" t="n">
        <v>5</v>
      </c>
      <c r="C127" s="79" t="str">
        <f aca="false">IFERROR(IF($D127="","",INDEX(Übungen!$B$4:$B$23,MATCH($D127,Übungen!$A$4:$A$23,0))),"")</f>
        <v>Beine hinten</v>
      </c>
      <c r="D127" s="56" t="s">
        <v>480</v>
      </c>
      <c r="E127" s="73" t="s">
        <v>459</v>
      </c>
      <c r="F127" s="55" t="n">
        <v>110</v>
      </c>
      <c r="G127" s="74" t="n">
        <v>10</v>
      </c>
      <c r="H127" s="55"/>
      <c r="I127" s="49" t="n">
        <f aca="false">IF(AND(ISNUMBER($F127),ISNUMBER($G127),$E127&lt;&gt;"R"),$F127*$G127,"")</f>
        <v>1100</v>
      </c>
      <c r="J127" s="51" t="n">
        <f aca="false">IF(AND($E127="A",ISNUMBER($F127),ISNUMBER($G127)),$F127*(1+$G127/30),"")</f>
        <v>146.666666666667</v>
      </c>
      <c r="K127" s="56"/>
      <c r="L127" s="56"/>
    </row>
    <row r="128" customFormat="false" ht="15.75" hidden="false" customHeight="true" outlineLevel="0" collapsed="false">
      <c r="A128" s="78" t="str">
        <f aca="false">IFERROR(IF($B128="","",IF(INDEX(Einheiten!$B$4:$B$63,MATCH($B128,Einheiten!$A$4:$A$63,0))=0,"",INDEX(Einheiten!$B$4:$B$63,MATCH($B128,Einheiten!$A$4:$A$63,0)))),"")</f>
        <v/>
      </c>
      <c r="B128" s="54" t="n">
        <v>5</v>
      </c>
      <c r="C128" s="79" t="str">
        <f aca="false">IFERROR(IF($D128="","",INDEX(Übungen!$B$4:$B$23,MATCH($D128,Übungen!$A$4:$A$23,0))),"")</f>
        <v>Beine hinten</v>
      </c>
      <c r="D128" s="56" t="s">
        <v>412</v>
      </c>
      <c r="E128" s="73" t="s">
        <v>458</v>
      </c>
      <c r="F128" s="55" t="n">
        <v>125</v>
      </c>
      <c r="G128" s="74" t="n">
        <v>8</v>
      </c>
      <c r="H128" s="55"/>
      <c r="I128" s="49" t="n">
        <f aca="false">IF(AND(ISNUMBER($F128),ISNUMBER($G128),$E128&lt;&gt;"R"),$F128*$G128,"")</f>
        <v>1000</v>
      </c>
      <c r="J128" s="51" t="str">
        <f aca="false">IF(AND($E128="A",ISNUMBER($F128),ISNUMBER($G128)),$F128*(1+$G128/30),"")</f>
        <v/>
      </c>
      <c r="K128" s="56"/>
      <c r="L128" s="56" t="s">
        <v>481</v>
      </c>
    </row>
    <row r="129" customFormat="false" ht="15.75" hidden="false" customHeight="true" outlineLevel="0" collapsed="false">
      <c r="A129" s="78" t="str">
        <f aca="false">IFERROR(IF($B129="","",IF(INDEX(Einheiten!$B$4:$B$63,MATCH($B129,Einheiten!$A$4:$A$63,0))=0,"",INDEX(Einheiten!$B$4:$B$63,MATCH($B129,Einheiten!$A$4:$A$63,0)))),"")</f>
        <v/>
      </c>
      <c r="B129" s="54" t="n">
        <v>5</v>
      </c>
      <c r="C129" s="79" t="str">
        <f aca="false">IFERROR(IF($D129="","",INDEX(Übungen!$B$4:$B$23,MATCH($D129,Übungen!$A$4:$A$23,0))),"")</f>
        <v>Beine hinten</v>
      </c>
      <c r="D129" s="56" t="s">
        <v>412</v>
      </c>
      <c r="E129" s="73" t="s">
        <v>459</v>
      </c>
      <c r="F129" s="55" t="n">
        <v>150</v>
      </c>
      <c r="G129" s="74" t="n">
        <v>12</v>
      </c>
      <c r="H129" s="55"/>
      <c r="I129" s="49" t="n">
        <f aca="false">IF(AND(ISNUMBER($F129),ISNUMBER($G129),$E129&lt;&gt;"R"),$F129*$G129,"")</f>
        <v>1800</v>
      </c>
      <c r="J129" s="51" t="n">
        <f aca="false">IF(AND($E129="A",ISNUMBER($F129),ISNUMBER($G129)),$F129*(1+$G129/30),"")</f>
        <v>210</v>
      </c>
      <c r="K129" s="56"/>
      <c r="L129" s="56"/>
    </row>
    <row r="130" customFormat="false" ht="15.75" hidden="false" customHeight="true" outlineLevel="0" collapsed="false">
      <c r="A130" s="78" t="str">
        <f aca="false">IFERROR(IF($B130="","",IF(INDEX(Einheiten!$B$4:$B$63,MATCH($B130,Einheiten!$A$4:$A$63,0))=0,"",INDEX(Einheiten!$B$4:$B$63,MATCH($B130,Einheiten!$A$4:$A$63,0)))),"")</f>
        <v/>
      </c>
      <c r="B130" s="54" t="n">
        <v>5</v>
      </c>
      <c r="C130" s="79" t="str">
        <f aca="false">IFERROR(IF($D130="","",INDEX(Übungen!$B$4:$B$23,MATCH($D130,Übungen!$A$4:$A$23,0))),"")</f>
        <v>Beine hinten</v>
      </c>
      <c r="D130" s="56" t="s">
        <v>412</v>
      </c>
      <c r="E130" s="73" t="s">
        <v>459</v>
      </c>
      <c r="F130" s="55" t="n">
        <v>170</v>
      </c>
      <c r="G130" s="74" t="n">
        <v>10</v>
      </c>
      <c r="H130" s="55"/>
      <c r="I130" s="49" t="n">
        <f aca="false">IF(AND(ISNUMBER($F130),ISNUMBER($G130),$E130&lt;&gt;"R"),$F130*$G130,"")</f>
        <v>1700</v>
      </c>
      <c r="J130" s="51" t="n">
        <f aca="false">IF(AND($E130="A",ISNUMBER($F130),ISNUMBER($G130)),$F130*(1+$G130/30),"")</f>
        <v>226.666666666667</v>
      </c>
      <c r="K130" s="56"/>
      <c r="L130" s="56"/>
    </row>
    <row r="131" customFormat="false" ht="15.75" hidden="false" customHeight="true" outlineLevel="0" collapsed="false">
      <c r="A131" s="78" t="str">
        <f aca="false">IFERROR(IF($B131="","",IF(INDEX(Einheiten!$B$4:$B$63,MATCH($B131,Einheiten!$A$4:$A$63,0))=0,"",INDEX(Einheiten!$B$4:$B$63,MATCH($B131,Einheiten!$A$4:$A$63,0)))),"")</f>
        <v/>
      </c>
      <c r="B131" s="54" t="n">
        <v>5</v>
      </c>
      <c r="C131" s="79" t="str">
        <f aca="false">IFERROR(IF($D131="","",INDEX(Übungen!$B$4:$B$23,MATCH($D131,Übungen!$A$4:$A$23,0))),"")</f>
        <v>Beine hinten</v>
      </c>
      <c r="D131" s="56" t="s">
        <v>412</v>
      </c>
      <c r="E131" s="73" t="s">
        <v>459</v>
      </c>
      <c r="F131" s="55" t="n">
        <v>190</v>
      </c>
      <c r="G131" s="74" t="n">
        <v>8</v>
      </c>
      <c r="H131" s="55"/>
      <c r="I131" s="49" t="n">
        <f aca="false">IF(AND(ISNUMBER($F131),ISNUMBER($G131),$E131&lt;&gt;"R"),$F131*$G131,"")</f>
        <v>1520</v>
      </c>
      <c r="J131" s="51" t="n">
        <f aca="false">IF(AND($E131="A",ISNUMBER($F131),ISNUMBER($G131)),$F131*(1+$G131/30),"")</f>
        <v>240.666666666667</v>
      </c>
      <c r="K131" s="56"/>
      <c r="L131" s="56"/>
    </row>
    <row r="132" customFormat="false" ht="15.75" hidden="false" customHeight="true" outlineLevel="0" collapsed="false">
      <c r="A132" s="78" t="str">
        <f aca="false">IFERROR(IF($B132="","",IF(INDEX(Einheiten!$B$4:$B$63,MATCH($B132,Einheiten!$A$4:$A$63,0))=0,"",INDEX(Einheiten!$B$4:$B$63,MATCH($B132,Einheiten!$A$4:$A$63,0)))),"")</f>
        <v/>
      </c>
      <c r="B132" s="54" t="n">
        <v>5</v>
      </c>
      <c r="C132" s="79" t="str">
        <f aca="false">IFERROR(IF($D132="","",INDEX(Übungen!$B$4:$B$23,MATCH($D132,Übungen!$A$4:$A$23,0))),"")</f>
        <v>Beine hinten</v>
      </c>
      <c r="D132" s="56" t="s">
        <v>374</v>
      </c>
      <c r="E132" s="73" t="s">
        <v>458</v>
      </c>
      <c r="F132" s="55" t="n">
        <v>20.5</v>
      </c>
      <c r="G132" s="74" t="n">
        <v>10</v>
      </c>
      <c r="H132" s="55"/>
      <c r="I132" s="49" t="n">
        <f aca="false">IF(AND(ISNUMBER($F132),ISNUMBER($G132),$E132&lt;&gt;"R"),$F132*$G132,"")</f>
        <v>205</v>
      </c>
      <c r="J132" s="51" t="str">
        <f aca="false">IF(AND($E132="A",ISNUMBER($F132),ISNUMBER($G132)),$F132*(1+$G132/30),"")</f>
        <v/>
      </c>
      <c r="K132" s="56"/>
      <c r="L132" s="56"/>
    </row>
    <row r="133" customFormat="false" ht="15.75" hidden="false" customHeight="true" outlineLevel="0" collapsed="false">
      <c r="A133" s="78" t="str">
        <f aca="false">IFERROR(IF($B133="","",IF(INDEX(Einheiten!$B$4:$B$63,MATCH($B133,Einheiten!$A$4:$A$63,0))=0,"",INDEX(Einheiten!$B$4:$B$63,MATCH($B133,Einheiten!$A$4:$A$63,0)))),"")</f>
        <v/>
      </c>
      <c r="B133" s="54" t="n">
        <v>5</v>
      </c>
      <c r="C133" s="79" t="str">
        <f aca="false">IFERROR(IF($D133="","",INDEX(Übungen!$B$4:$B$23,MATCH($D133,Übungen!$A$4:$A$23,0))),"")</f>
        <v>Beine hinten</v>
      </c>
      <c r="D133" s="56" t="s">
        <v>374</v>
      </c>
      <c r="E133" s="73" t="s">
        <v>458</v>
      </c>
      <c r="F133" s="55" t="n">
        <v>32</v>
      </c>
      <c r="G133" s="74" t="n">
        <v>4</v>
      </c>
      <c r="H133" s="55"/>
      <c r="I133" s="49" t="n">
        <f aca="false">IF(AND(ISNUMBER($F133),ISNUMBER($G133),$E133&lt;&gt;"R"),$F133*$G133,"")</f>
        <v>128</v>
      </c>
      <c r="J133" s="51" t="str">
        <f aca="false">IF(AND($E133="A",ISNUMBER($F133),ISNUMBER($G133)),$F133*(1+$G133/30),"")</f>
        <v/>
      </c>
      <c r="K133" s="56"/>
      <c r="L133" s="56"/>
    </row>
    <row r="134" customFormat="false" ht="15.75" hidden="false" customHeight="true" outlineLevel="0" collapsed="false">
      <c r="A134" s="78" t="str">
        <f aca="false">IFERROR(IF($B134="","",IF(INDEX(Einheiten!$B$4:$B$63,MATCH($B134,Einheiten!$A$4:$A$63,0))=0,"",INDEX(Einheiten!$B$4:$B$63,MATCH($B134,Einheiten!$A$4:$A$63,0)))),"")</f>
        <v/>
      </c>
      <c r="B134" s="54" t="n">
        <v>5</v>
      </c>
      <c r="C134" s="79" t="str">
        <f aca="false">IFERROR(IF($D134="","",INDEX(Übungen!$B$4:$B$23,MATCH($D134,Übungen!$A$4:$A$23,0))),"")</f>
        <v>Beine hinten</v>
      </c>
      <c r="D134" s="56" t="s">
        <v>374</v>
      </c>
      <c r="E134" s="73" t="s">
        <v>459</v>
      </c>
      <c r="F134" s="55" t="n">
        <v>45</v>
      </c>
      <c r="G134" s="74" t="n">
        <v>12</v>
      </c>
      <c r="H134" s="55"/>
      <c r="I134" s="49" t="n">
        <f aca="false">IF(AND(ISNUMBER($F134),ISNUMBER($G134),$E134&lt;&gt;"R"),$F134*$G134,"")</f>
        <v>540</v>
      </c>
      <c r="J134" s="51" t="n">
        <f aca="false">IF(AND($E134="A",ISNUMBER($F134),ISNUMBER($G134)),$F134*(1+$G134/30),"")</f>
        <v>63</v>
      </c>
      <c r="K134" s="56"/>
      <c r="L134" s="56"/>
    </row>
    <row r="135" customFormat="false" ht="15.75" hidden="false" customHeight="true" outlineLevel="0" collapsed="false">
      <c r="A135" s="78" t="str">
        <f aca="false">IFERROR(IF($B135="","",IF(INDEX(Einheiten!$B$4:$B$63,MATCH($B135,Einheiten!$A$4:$A$63,0))=0,"",INDEX(Einheiten!$B$4:$B$63,MATCH($B135,Einheiten!$A$4:$A$63,0)))),"")</f>
        <v/>
      </c>
      <c r="B135" s="54" t="n">
        <v>5</v>
      </c>
      <c r="C135" s="79" t="str">
        <f aca="false">IFERROR(IF($D135="","",INDEX(Übungen!$B$4:$B$23,MATCH($D135,Übungen!$A$4:$A$23,0))),"")</f>
        <v>Beine hinten</v>
      </c>
      <c r="D135" s="56" t="s">
        <v>374</v>
      </c>
      <c r="E135" s="73" t="s">
        <v>459</v>
      </c>
      <c r="F135" s="55" t="n">
        <v>45</v>
      </c>
      <c r="G135" s="74" t="n">
        <v>12</v>
      </c>
      <c r="H135" s="55"/>
      <c r="I135" s="49" t="n">
        <f aca="false">IF(AND(ISNUMBER($F135),ISNUMBER($G135),$E135&lt;&gt;"R"),$F135*$G135,"")</f>
        <v>540</v>
      </c>
      <c r="J135" s="51" t="n">
        <f aca="false">IF(AND($E135="A",ISNUMBER($F135),ISNUMBER($G135)),$F135*(1+$G135/30),"")</f>
        <v>63</v>
      </c>
      <c r="K135" s="56"/>
      <c r="L135" s="56"/>
    </row>
    <row r="136" customFormat="false" ht="15.75" hidden="false" customHeight="true" outlineLevel="0" collapsed="false">
      <c r="A136" s="78" t="str">
        <f aca="false">IFERROR(IF($B136="","",IF(INDEX(Einheiten!$B$4:$B$63,MATCH($B136,Einheiten!$A$4:$A$63,0))=0,"",INDEX(Einheiten!$B$4:$B$63,MATCH($B136,Einheiten!$A$4:$A$63,0)))),"")</f>
        <v/>
      </c>
      <c r="B136" s="54" t="n">
        <v>5</v>
      </c>
      <c r="C136" s="79" t="str">
        <f aca="false">IFERROR(IF($D136="","",INDEX(Übungen!$B$4:$B$23,MATCH($D136,Übungen!$A$4:$A$23,0))),"")</f>
        <v>Beine hinten</v>
      </c>
      <c r="D136" s="56" t="s">
        <v>374</v>
      </c>
      <c r="E136" s="73" t="s">
        <v>460</v>
      </c>
      <c r="F136" s="55" t="n">
        <v>30</v>
      </c>
      <c r="G136" s="74" t="n">
        <v>6</v>
      </c>
      <c r="H136" s="55"/>
      <c r="I136" s="49" t="str">
        <f aca="false">IF(AND(ISNUMBER($F136),ISNUMBER($G136),$E136&lt;&gt;"R"),$F136*$G136,"")</f>
        <v/>
      </c>
      <c r="J136" s="51" t="str">
        <f aca="false">IF(AND($E136="A",ISNUMBER($F136),ISNUMBER($G136)),$F136*(1+$G136/30),"")</f>
        <v/>
      </c>
      <c r="K136" s="56" t="s">
        <v>476</v>
      </c>
      <c r="L136" s="56"/>
    </row>
    <row r="137" customFormat="false" ht="15.75" hidden="false" customHeight="true" outlineLevel="0" collapsed="false">
      <c r="A137" s="78" t="str">
        <f aca="false">IFERROR(IF($B137="","",IF(INDEX(Einheiten!$B$4:$B$63,MATCH($B137,Einheiten!$A$4:$A$63,0))=0,"",INDEX(Einheiten!$B$4:$B$63,MATCH($B137,Einheiten!$A$4:$A$63,0)))),"")</f>
        <v/>
      </c>
      <c r="B137" s="54" t="n">
        <v>5</v>
      </c>
      <c r="C137" s="79" t="str">
        <f aca="false">IFERROR(IF($D137="","",INDEX(Übungen!$B$4:$B$23,MATCH($D137,Übungen!$A$4:$A$23,0))),"")</f>
        <v>Beine hinten</v>
      </c>
      <c r="D137" s="56" t="s">
        <v>397</v>
      </c>
      <c r="E137" s="73" t="s">
        <v>458</v>
      </c>
      <c r="F137" s="55" t="n">
        <v>16</v>
      </c>
      <c r="G137" s="74" t="n">
        <v>5</v>
      </c>
      <c r="H137" s="55"/>
      <c r="I137" s="49" t="n">
        <f aca="false">IF(AND(ISNUMBER($F137),ISNUMBER($G137),$E137&lt;&gt;"R"),$F137*$G137,"")</f>
        <v>80</v>
      </c>
      <c r="J137" s="51" t="str">
        <f aca="false">IF(AND($E137="A",ISNUMBER($F137),ISNUMBER($G137)),$F137*(1+$G137/30),"")</f>
        <v/>
      </c>
      <c r="K137" s="56"/>
      <c r="L137" s="56"/>
    </row>
    <row r="138" customFormat="false" ht="15.75" hidden="false" customHeight="true" outlineLevel="0" collapsed="false">
      <c r="A138" s="78" t="str">
        <f aca="false">IFERROR(IF($B138="","",IF(INDEX(Einheiten!$B$4:$B$63,MATCH($B138,Einheiten!$A$4:$A$63,0))=0,"",INDEX(Einheiten!$B$4:$B$63,MATCH($B138,Einheiten!$A$4:$A$63,0)))),"")</f>
        <v/>
      </c>
      <c r="B138" s="54" t="n">
        <v>5</v>
      </c>
      <c r="C138" s="79" t="str">
        <f aca="false">IFERROR(IF($D138="","",INDEX(Übungen!$B$4:$B$23,MATCH($D138,Übungen!$A$4:$A$23,0))),"")</f>
        <v>Beine hinten</v>
      </c>
      <c r="D138" s="56" t="s">
        <v>397</v>
      </c>
      <c r="E138" s="73" t="s">
        <v>459</v>
      </c>
      <c r="F138" s="55" t="n">
        <v>36</v>
      </c>
      <c r="G138" s="74" t="n">
        <v>10</v>
      </c>
      <c r="H138" s="55"/>
      <c r="I138" s="49" t="n">
        <f aca="false">IF(AND(ISNUMBER($F138),ISNUMBER($G138),$E138&lt;&gt;"R"),$F138*$G138,"")</f>
        <v>360</v>
      </c>
      <c r="J138" s="51" t="n">
        <f aca="false">IF(AND($E138="A",ISNUMBER($F138),ISNUMBER($G138)),$F138*(1+$G138/30),"")</f>
        <v>48</v>
      </c>
      <c r="K138" s="56"/>
      <c r="L138" s="56"/>
    </row>
    <row r="139" customFormat="false" ht="15.75" hidden="false" customHeight="true" outlineLevel="0" collapsed="false">
      <c r="A139" s="78" t="str">
        <f aca="false">IFERROR(IF($B139="","",IF(INDEX(Einheiten!$B$4:$B$63,MATCH($B139,Einheiten!$A$4:$A$63,0))=0,"",INDEX(Einheiten!$B$4:$B$63,MATCH($B139,Einheiten!$A$4:$A$63,0)))),"")</f>
        <v/>
      </c>
      <c r="B139" s="54" t="n">
        <v>5</v>
      </c>
      <c r="C139" s="79" t="str">
        <f aca="false">IFERROR(IF($D139="","",INDEX(Übungen!$B$4:$B$23,MATCH($D139,Übungen!$A$4:$A$23,0))),"")</f>
        <v>Beine hinten</v>
      </c>
      <c r="D139" s="56" t="s">
        <v>397</v>
      </c>
      <c r="E139" s="73" t="s">
        <v>459</v>
      </c>
      <c r="F139" s="55" t="n">
        <v>36</v>
      </c>
      <c r="G139" s="74" t="n">
        <v>10</v>
      </c>
      <c r="H139" s="55"/>
      <c r="I139" s="49" t="n">
        <f aca="false">IF(AND(ISNUMBER($F139),ISNUMBER($G139),$E139&lt;&gt;"R"),$F139*$G139,"")</f>
        <v>360</v>
      </c>
      <c r="J139" s="51" t="n">
        <f aca="false">IF(AND($E139="A",ISNUMBER($F139),ISNUMBER($G139)),$F139*(1+$G139/30),"")</f>
        <v>48</v>
      </c>
      <c r="K139" s="56"/>
      <c r="L139" s="56"/>
    </row>
    <row r="140" customFormat="false" ht="15.75" hidden="false" customHeight="true" outlineLevel="0" collapsed="false">
      <c r="A140" s="78" t="str">
        <f aca="false">IFERROR(IF($B140="","",IF(INDEX(Einheiten!$B$4:$B$63,MATCH($B140,Einheiten!$A$4:$A$63,0))=0,"",INDEX(Einheiten!$B$4:$B$63,MATCH($B140,Einheiten!$A$4:$A$63,0)))),"")</f>
        <v/>
      </c>
      <c r="B140" s="54" t="n">
        <v>5</v>
      </c>
      <c r="C140" s="79" t="str">
        <f aca="false">IFERROR(IF($D140="","",INDEX(Übungen!$B$4:$B$23,MATCH($D140,Übungen!$A$4:$A$23,0))),"")</f>
        <v>Beine hinten</v>
      </c>
      <c r="D140" s="56" t="s">
        <v>380</v>
      </c>
      <c r="E140" s="73" t="s">
        <v>458</v>
      </c>
      <c r="F140" s="55" t="n">
        <v>70</v>
      </c>
      <c r="G140" s="74" t="n">
        <v>5</v>
      </c>
      <c r="H140" s="55"/>
      <c r="I140" s="49" t="n">
        <f aca="false">IF(AND(ISNUMBER($F140),ISNUMBER($G140),$E140&lt;&gt;"R"),$F140*$G140,"")</f>
        <v>350</v>
      </c>
      <c r="J140" s="51" t="str">
        <f aca="false">IF(AND($E140="A",ISNUMBER($F140),ISNUMBER($G140)),$F140*(1+$G140/30),"")</f>
        <v/>
      </c>
      <c r="K140" s="56"/>
      <c r="L140" s="56"/>
    </row>
    <row r="141" customFormat="false" ht="15.75" hidden="false" customHeight="true" outlineLevel="0" collapsed="false">
      <c r="A141" s="78" t="str">
        <f aca="false">IFERROR(IF($B141="","",IF(INDEX(Einheiten!$B$4:$B$63,MATCH($B141,Einheiten!$A$4:$A$63,0))=0,"",INDEX(Einheiten!$B$4:$B$63,MATCH($B141,Einheiten!$A$4:$A$63,0)))),"")</f>
        <v/>
      </c>
      <c r="B141" s="54" t="n">
        <v>5</v>
      </c>
      <c r="C141" s="79" t="str">
        <f aca="false">IFERROR(IF($D141="","",INDEX(Übungen!$B$4:$B$23,MATCH($D141,Übungen!$A$4:$A$23,0))),"")</f>
        <v>Beine hinten</v>
      </c>
      <c r="D141" s="56" t="s">
        <v>380</v>
      </c>
      <c r="E141" s="73" t="s">
        <v>458</v>
      </c>
      <c r="F141" s="55" t="n">
        <v>108</v>
      </c>
      <c r="G141" s="74" t="n">
        <v>3</v>
      </c>
      <c r="H141" s="55"/>
      <c r="I141" s="49" t="n">
        <f aca="false">IF(AND(ISNUMBER($F141),ISNUMBER($G141),$E141&lt;&gt;"R"),$F141*$G141,"")</f>
        <v>324</v>
      </c>
      <c r="J141" s="51" t="str">
        <f aca="false">IF(AND($E141="A",ISNUMBER($F141),ISNUMBER($G141)),$F141*(1+$G141/30),"")</f>
        <v/>
      </c>
      <c r="K141" s="56"/>
      <c r="L141" s="56"/>
    </row>
    <row r="142" customFormat="false" ht="15.75" hidden="false" customHeight="true" outlineLevel="0" collapsed="false">
      <c r="A142" s="78" t="str">
        <f aca="false">IFERROR(IF($B142="","",IF(INDEX(Einheiten!$B$4:$B$63,MATCH($B142,Einheiten!$A$4:$A$63,0))=0,"",INDEX(Einheiten!$B$4:$B$63,MATCH($B142,Einheiten!$A$4:$A$63,0)))),"")</f>
        <v/>
      </c>
      <c r="B142" s="54" t="n">
        <v>5</v>
      </c>
      <c r="C142" s="79" t="str">
        <f aca="false">IFERROR(IF($D142="","",INDEX(Übungen!$B$4:$B$23,MATCH($D142,Übungen!$A$4:$A$23,0))),"")</f>
        <v>Beine hinten</v>
      </c>
      <c r="D142" s="56" t="s">
        <v>380</v>
      </c>
      <c r="E142" s="73" t="s">
        <v>459</v>
      </c>
      <c r="F142" s="55" t="n">
        <v>135</v>
      </c>
      <c r="G142" s="74" t="n">
        <v>11</v>
      </c>
      <c r="H142" s="55"/>
      <c r="I142" s="49" t="n">
        <f aca="false">IF(AND(ISNUMBER($F142),ISNUMBER($G142),$E142&lt;&gt;"R"),$F142*$G142,"")</f>
        <v>1485</v>
      </c>
      <c r="J142" s="51" t="n">
        <f aca="false">IF(AND($E142="A",ISNUMBER($F142),ISNUMBER($G142)),$F142*(1+$G142/30),"")</f>
        <v>184.5</v>
      </c>
      <c r="K142" s="56"/>
      <c r="L142" s="56"/>
    </row>
    <row r="143" customFormat="false" ht="15.75" hidden="false" customHeight="true" outlineLevel="0" collapsed="false">
      <c r="A143" s="78" t="str">
        <f aca="false">IFERROR(IF($B143="","",IF(INDEX(Einheiten!$B$4:$B$63,MATCH($B143,Einheiten!$A$4:$A$63,0))=0,"",INDEX(Einheiten!$B$4:$B$63,MATCH($B143,Einheiten!$A$4:$A$63,0)))),"")</f>
        <v/>
      </c>
      <c r="B143" s="54" t="n">
        <v>5</v>
      </c>
      <c r="C143" s="79" t="str">
        <f aca="false">IFERROR(IF($D143="","",INDEX(Übungen!$B$4:$B$23,MATCH($D143,Übungen!$A$4:$A$23,0))),"")</f>
        <v>Beine hinten</v>
      </c>
      <c r="D143" s="56" t="s">
        <v>380</v>
      </c>
      <c r="E143" s="73" t="s">
        <v>459</v>
      </c>
      <c r="F143" s="55" t="n">
        <v>135</v>
      </c>
      <c r="G143" s="74" t="n">
        <v>12</v>
      </c>
      <c r="H143" s="55"/>
      <c r="I143" s="49" t="n">
        <f aca="false">IF(AND(ISNUMBER($F143),ISNUMBER($G143),$E143&lt;&gt;"R"),$F143*$G143,"")</f>
        <v>1620</v>
      </c>
      <c r="J143" s="51" t="n">
        <f aca="false">IF(AND($E143="A",ISNUMBER($F143),ISNUMBER($G143)),$F143*(1+$G143/30),"")</f>
        <v>189</v>
      </c>
      <c r="K143" s="56"/>
      <c r="L143" s="56"/>
    </row>
    <row r="144" customFormat="false" ht="15.75" hidden="false" customHeight="true" outlineLevel="0" collapsed="false">
      <c r="A144" s="78" t="str">
        <f aca="false">IFERROR(IF($B144="","",IF(INDEX(Einheiten!$B$4:$B$63,MATCH($B144,Einheiten!$A$4:$A$63,0))=0,"",INDEX(Einheiten!$B$4:$B$63,MATCH($B144,Einheiten!$A$4:$A$63,0)))),"")</f>
        <v/>
      </c>
      <c r="B144" s="54" t="n">
        <v>5</v>
      </c>
      <c r="C144" s="79" t="str">
        <f aca="false">IFERROR(IF($D144="","",INDEX(Übungen!$B$4:$B$23,MATCH($D144,Übungen!$A$4:$A$23,0))),"")</f>
        <v>Beine vorne</v>
      </c>
      <c r="D144" s="56" t="s">
        <v>415</v>
      </c>
      <c r="E144" s="73" t="s">
        <v>458</v>
      </c>
      <c r="F144" s="55" t="n">
        <v>40</v>
      </c>
      <c r="G144" s="74" t="n">
        <v>4</v>
      </c>
      <c r="H144" s="55"/>
      <c r="I144" s="49" t="n">
        <f aca="false">IF(AND(ISNUMBER($F144),ISNUMBER($G144),$E144&lt;&gt;"R"),$F144*$G144,"")</f>
        <v>160</v>
      </c>
      <c r="J144" s="51" t="str">
        <f aca="false">IF(AND($E144="A",ISNUMBER($F144),ISNUMBER($G144)),$F144*(1+$G144/30),"")</f>
        <v/>
      </c>
      <c r="K144" s="56"/>
      <c r="L144" s="56"/>
    </row>
    <row r="145" customFormat="false" ht="15.75" hidden="false" customHeight="true" outlineLevel="0" collapsed="false">
      <c r="A145" s="78" t="str">
        <f aca="false">IFERROR(IF($B145="","",IF(INDEX(Einheiten!$B$4:$B$63,MATCH($B145,Einheiten!$A$4:$A$63,0))=0,"",INDEX(Einheiten!$B$4:$B$63,MATCH($B145,Einheiten!$A$4:$A$63,0)))),"")</f>
        <v/>
      </c>
      <c r="B145" s="54" t="n">
        <v>5</v>
      </c>
      <c r="C145" s="79" t="str">
        <f aca="false">IFERROR(IF($D145="","",INDEX(Übungen!$B$4:$B$23,MATCH($D145,Übungen!$A$4:$A$23,0))),"")</f>
        <v>Beine vorne</v>
      </c>
      <c r="D145" s="56" t="s">
        <v>415</v>
      </c>
      <c r="E145" s="73" t="s">
        <v>458</v>
      </c>
      <c r="F145" s="55" t="n">
        <v>60</v>
      </c>
      <c r="G145" s="74" t="n">
        <v>3</v>
      </c>
      <c r="H145" s="55"/>
      <c r="I145" s="49" t="n">
        <f aca="false">IF(AND(ISNUMBER($F145),ISNUMBER($G145),$E145&lt;&gt;"R"),$F145*$G145,"")</f>
        <v>180</v>
      </c>
      <c r="J145" s="51" t="str">
        <f aca="false">IF(AND($E145="A",ISNUMBER($F145),ISNUMBER($G145)),$F145*(1+$G145/30),"")</f>
        <v/>
      </c>
      <c r="K145" s="56"/>
      <c r="L145" s="56"/>
    </row>
    <row r="146" customFormat="false" ht="15.75" hidden="false" customHeight="true" outlineLevel="0" collapsed="false">
      <c r="A146" s="78" t="str">
        <f aca="false">IFERROR(IF($B146="","",IF(INDEX(Einheiten!$B$4:$B$63,MATCH($B146,Einheiten!$A$4:$A$63,0))=0,"",INDEX(Einheiten!$B$4:$B$63,MATCH($B146,Einheiten!$A$4:$A$63,0)))),"")</f>
        <v/>
      </c>
      <c r="B146" s="54" t="n">
        <v>5</v>
      </c>
      <c r="C146" s="79" t="str">
        <f aca="false">IFERROR(IF($D146="","",INDEX(Übungen!$B$4:$B$23,MATCH($D146,Übungen!$A$4:$A$23,0))),"")</f>
        <v>Beine vorne</v>
      </c>
      <c r="D146" s="56" t="s">
        <v>415</v>
      </c>
      <c r="E146" s="73" t="s">
        <v>459</v>
      </c>
      <c r="F146" s="55" t="n">
        <v>100</v>
      </c>
      <c r="G146" s="74" t="n">
        <v>8</v>
      </c>
      <c r="H146" s="55"/>
      <c r="I146" s="49" t="n">
        <f aca="false">IF(AND(ISNUMBER($F146),ISNUMBER($G146),$E146&lt;&gt;"R"),$F146*$G146,"")</f>
        <v>800</v>
      </c>
      <c r="J146" s="51" t="n">
        <f aca="false">IF(AND($E146="A",ISNUMBER($F146),ISNUMBER($G146)),$F146*(1+$G146/30),"")</f>
        <v>126.666666666667</v>
      </c>
      <c r="K146" s="56"/>
      <c r="L146" s="56"/>
    </row>
    <row r="147" customFormat="false" ht="15.75" hidden="false" customHeight="true" outlineLevel="0" collapsed="false">
      <c r="A147" s="78" t="str">
        <f aca="false">IFERROR(IF($B147="","",IF(INDEX(Einheiten!$B$4:$B$63,MATCH($B147,Einheiten!$A$4:$A$63,0))=0,"",INDEX(Einheiten!$B$4:$B$63,MATCH($B147,Einheiten!$A$4:$A$63,0)))),"")</f>
        <v/>
      </c>
      <c r="B147" s="54" t="n">
        <v>5</v>
      </c>
      <c r="C147" s="79" t="str">
        <f aca="false">IFERROR(IF($D147="","",INDEX(Übungen!$B$4:$B$23,MATCH($D147,Übungen!$A$4:$A$23,0))),"")</f>
        <v>Beine vorne</v>
      </c>
      <c r="D147" s="56" t="s">
        <v>415</v>
      </c>
      <c r="E147" s="73" t="s">
        <v>459</v>
      </c>
      <c r="F147" s="55" t="n">
        <v>80</v>
      </c>
      <c r="G147" s="74" t="n">
        <v>12</v>
      </c>
      <c r="H147" s="55"/>
      <c r="I147" s="49" t="n">
        <f aca="false">IF(AND(ISNUMBER($F147),ISNUMBER($G147),$E147&lt;&gt;"R"),$F147*$G147,"")</f>
        <v>960</v>
      </c>
      <c r="J147" s="51" t="n">
        <f aca="false">IF(AND($E147="A",ISNUMBER($F147),ISNUMBER($G147)),$F147*(1+$G147/30),"")</f>
        <v>112</v>
      </c>
      <c r="K147" s="56"/>
      <c r="L147" s="56" t="s">
        <v>482</v>
      </c>
    </row>
    <row r="148" customFormat="false" ht="15.75" hidden="false" customHeight="true" outlineLevel="0" collapsed="false">
      <c r="A148" s="78" t="str">
        <f aca="false">IFERROR(IF($B148="","",IF(INDEX(Einheiten!$B$4:$B$63,MATCH($B148,Einheiten!$A$4:$A$63,0))=0,"",INDEX(Einheiten!$B$4:$B$63,MATCH($B148,Einheiten!$A$4:$A$63,0)))),"")</f>
        <v/>
      </c>
      <c r="B148" s="54" t="n">
        <v>5</v>
      </c>
      <c r="C148" s="79" t="str">
        <f aca="false">IFERROR(IF($D148="","",INDEX(Übungen!$B$4:$B$23,MATCH($D148,Übungen!$A$4:$A$23,0))),"")</f>
        <v>Beine vorne</v>
      </c>
      <c r="D148" s="56" t="s">
        <v>386</v>
      </c>
      <c r="E148" s="73" t="s">
        <v>458</v>
      </c>
      <c r="F148" s="55" t="n">
        <v>103</v>
      </c>
      <c r="G148" s="74" t="n">
        <v>6</v>
      </c>
      <c r="H148" s="55"/>
      <c r="I148" s="49" t="n">
        <f aca="false">IF(AND(ISNUMBER($F148),ISNUMBER($G148),$E148&lt;&gt;"R"),$F148*$G148,"")</f>
        <v>618</v>
      </c>
      <c r="J148" s="51" t="str">
        <f aca="false">IF(AND($E148="A",ISNUMBER($F148),ISNUMBER($G148)),$F148*(1+$G148/30),"")</f>
        <v/>
      </c>
      <c r="K148" s="56"/>
      <c r="L148" s="56"/>
    </row>
    <row r="149" customFormat="false" ht="15.75" hidden="false" customHeight="true" outlineLevel="0" collapsed="false">
      <c r="A149" s="78" t="str">
        <f aca="false">IFERROR(IF($B149="","",IF(INDEX(Einheiten!$B$4:$B$63,MATCH($B149,Einheiten!$A$4:$A$63,0))=0,"",INDEX(Einheiten!$B$4:$B$63,MATCH($B149,Einheiten!$A$4:$A$63,0)))),"")</f>
        <v/>
      </c>
      <c r="B149" s="54" t="n">
        <v>5</v>
      </c>
      <c r="C149" s="79" t="str">
        <f aca="false">IFERROR(IF($D149="","",INDEX(Übungen!$B$4:$B$23,MATCH($D149,Übungen!$A$4:$A$23,0))),"")</f>
        <v>Beine vorne</v>
      </c>
      <c r="D149" s="56" t="s">
        <v>386</v>
      </c>
      <c r="E149" s="73" t="s">
        <v>458</v>
      </c>
      <c r="F149" s="55" t="n">
        <v>153</v>
      </c>
      <c r="G149" s="74" t="n">
        <v>5</v>
      </c>
      <c r="H149" s="55"/>
      <c r="I149" s="49" t="n">
        <f aca="false">IF(AND(ISNUMBER($F149),ISNUMBER($G149),$E149&lt;&gt;"R"),$F149*$G149,"")</f>
        <v>765</v>
      </c>
      <c r="J149" s="51" t="str">
        <f aca="false">IF(AND($E149="A",ISNUMBER($F149),ISNUMBER($G149)),$F149*(1+$G149/30),"")</f>
        <v/>
      </c>
      <c r="K149" s="56"/>
      <c r="L149" s="56"/>
    </row>
    <row r="150" customFormat="false" ht="15.75" hidden="false" customHeight="true" outlineLevel="0" collapsed="false">
      <c r="A150" s="78" t="str">
        <f aca="false">IFERROR(IF($B150="","",IF(INDEX(Einheiten!$B$4:$B$63,MATCH($B150,Einheiten!$A$4:$A$63,0))=0,"",INDEX(Einheiten!$B$4:$B$63,MATCH($B150,Einheiten!$A$4:$A$63,0)))),"")</f>
        <v/>
      </c>
      <c r="B150" s="54" t="n">
        <v>5</v>
      </c>
      <c r="C150" s="79" t="str">
        <f aca="false">IFERROR(IF($D150="","",INDEX(Übungen!$B$4:$B$23,MATCH($D150,Übungen!$A$4:$A$23,0))),"")</f>
        <v>Beine vorne</v>
      </c>
      <c r="D150" s="56" t="s">
        <v>386</v>
      </c>
      <c r="E150" s="73" t="s">
        <v>459</v>
      </c>
      <c r="F150" s="55" t="n">
        <v>253</v>
      </c>
      <c r="G150" s="74" t="n">
        <v>12</v>
      </c>
      <c r="H150" s="55"/>
      <c r="I150" s="49" t="n">
        <f aca="false">IF(AND(ISNUMBER($F150),ISNUMBER($G150),$E150&lt;&gt;"R"),$F150*$G150,"")</f>
        <v>3036</v>
      </c>
      <c r="J150" s="51" t="n">
        <f aca="false">IF(AND($E150="A",ISNUMBER($F150),ISNUMBER($G150)),$F150*(1+$G150/30),"")</f>
        <v>354.2</v>
      </c>
      <c r="K150" s="56"/>
      <c r="L150" s="56"/>
    </row>
    <row r="151" customFormat="false" ht="15.75" hidden="false" customHeight="true" outlineLevel="0" collapsed="false">
      <c r="A151" s="78" t="str">
        <f aca="false">IFERROR(IF($B151="","",IF(INDEX(Einheiten!$B$4:$B$63,MATCH($B151,Einheiten!$A$4:$A$63,0))=0,"",INDEX(Einheiten!$B$4:$B$63,MATCH($B151,Einheiten!$A$4:$A$63,0)))),"")</f>
        <v/>
      </c>
      <c r="B151" s="54" t="n">
        <v>5</v>
      </c>
      <c r="C151" s="79" t="str">
        <f aca="false">IFERROR(IF($D151="","",INDEX(Übungen!$B$4:$B$23,MATCH($D151,Übungen!$A$4:$A$23,0))),"")</f>
        <v>Beine vorne</v>
      </c>
      <c r="D151" s="56" t="s">
        <v>386</v>
      </c>
      <c r="E151" s="73" t="s">
        <v>459</v>
      </c>
      <c r="F151" s="55" t="n">
        <v>273</v>
      </c>
      <c r="G151" s="74" t="n">
        <v>10</v>
      </c>
      <c r="H151" s="55"/>
      <c r="I151" s="49" t="n">
        <f aca="false">IF(AND(ISNUMBER($F151),ISNUMBER($G151),$E151&lt;&gt;"R"),$F151*$G151,"")</f>
        <v>2730</v>
      </c>
      <c r="J151" s="51" t="n">
        <f aca="false">IF(AND($E151="A",ISNUMBER($F151),ISNUMBER($G151)),$F151*(1+$G151/30),"")</f>
        <v>364</v>
      </c>
      <c r="K151" s="56"/>
      <c r="L151" s="56"/>
    </row>
    <row r="152" customFormat="false" ht="15.75" hidden="false" customHeight="true" outlineLevel="0" collapsed="false">
      <c r="A152" s="78" t="str">
        <f aca="false">IFERROR(IF($B152="","",IF(INDEX(Einheiten!$B$4:$B$63,MATCH($B152,Einheiten!$A$4:$A$63,0))=0,"",INDEX(Einheiten!$B$4:$B$63,MATCH($B152,Einheiten!$A$4:$A$63,0)))),"")</f>
        <v/>
      </c>
      <c r="B152" s="54" t="n">
        <v>5</v>
      </c>
      <c r="C152" s="79" t="str">
        <f aca="false">IFERROR(IF($D152="","",INDEX(Übungen!$B$4:$B$23,MATCH($D152,Übungen!$A$4:$A$23,0))),"")</f>
        <v>Beine vorne</v>
      </c>
      <c r="D152" s="56" t="s">
        <v>369</v>
      </c>
      <c r="E152" s="73" t="s">
        <v>458</v>
      </c>
      <c r="F152" s="55" t="n">
        <v>35</v>
      </c>
      <c r="G152" s="74" t="n">
        <v>5</v>
      </c>
      <c r="H152" s="55"/>
      <c r="I152" s="49" t="n">
        <f aca="false">IF(AND(ISNUMBER($F152),ISNUMBER($G152),$E152&lt;&gt;"R"),$F152*$G152,"")</f>
        <v>175</v>
      </c>
      <c r="J152" s="51" t="str">
        <f aca="false">IF(AND($E152="A",ISNUMBER($F152),ISNUMBER($G152)),$F152*(1+$G152/30),"")</f>
        <v/>
      </c>
      <c r="K152" s="56"/>
      <c r="L152" s="56"/>
    </row>
    <row r="153" customFormat="false" ht="15.75" hidden="false" customHeight="true" outlineLevel="0" collapsed="false">
      <c r="A153" s="78" t="str">
        <f aca="false">IFERROR(IF($B153="","",IF(INDEX(Einheiten!$B$4:$B$63,MATCH($B153,Einheiten!$A$4:$A$63,0))=0,"",INDEX(Einheiten!$B$4:$B$63,MATCH($B153,Einheiten!$A$4:$A$63,0)))),"")</f>
        <v/>
      </c>
      <c r="B153" s="54" t="n">
        <v>5</v>
      </c>
      <c r="C153" s="79" t="str">
        <f aca="false">IFERROR(IF($D153="","",INDEX(Übungen!$B$4:$B$23,MATCH($D153,Übungen!$A$4:$A$23,0))),"")</f>
        <v>Beine vorne</v>
      </c>
      <c r="D153" s="56" t="s">
        <v>369</v>
      </c>
      <c r="E153" s="73" t="s">
        <v>458</v>
      </c>
      <c r="F153" s="55" t="n">
        <v>55</v>
      </c>
      <c r="G153" s="74" t="n">
        <v>3</v>
      </c>
      <c r="H153" s="55"/>
      <c r="I153" s="49" t="n">
        <f aca="false">IF(AND(ISNUMBER($F153),ISNUMBER($G153),$E153&lt;&gt;"R"),$F153*$G153,"")</f>
        <v>165</v>
      </c>
      <c r="J153" s="51" t="str">
        <f aca="false">IF(AND($E153="A",ISNUMBER($F153),ISNUMBER($G153)),$F153*(1+$G153/30),"")</f>
        <v/>
      </c>
      <c r="K153" s="56"/>
      <c r="L153" s="56"/>
    </row>
    <row r="154" customFormat="false" ht="15.75" hidden="false" customHeight="true" outlineLevel="0" collapsed="false">
      <c r="A154" s="78" t="str">
        <f aca="false">IFERROR(IF($B154="","",IF(INDEX(Einheiten!$B$4:$B$63,MATCH($B154,Einheiten!$A$4:$A$63,0))=0,"",INDEX(Einheiten!$B$4:$B$63,MATCH($B154,Einheiten!$A$4:$A$63,0)))),"")</f>
        <v/>
      </c>
      <c r="B154" s="54" t="n">
        <v>5</v>
      </c>
      <c r="C154" s="79" t="str">
        <f aca="false">IFERROR(IF($D154="","",INDEX(Übungen!$B$4:$B$23,MATCH($D154,Übungen!$A$4:$A$23,0))),"")</f>
        <v>Beine vorne</v>
      </c>
      <c r="D154" s="56" t="s">
        <v>369</v>
      </c>
      <c r="E154" s="73" t="s">
        <v>459</v>
      </c>
      <c r="F154" s="55" t="n">
        <v>80</v>
      </c>
      <c r="G154" s="74" t="n">
        <v>10</v>
      </c>
      <c r="H154" s="55"/>
      <c r="I154" s="49" t="n">
        <f aca="false">IF(AND(ISNUMBER($F154),ISNUMBER($G154),$E154&lt;&gt;"R"),$F154*$G154,"")</f>
        <v>800</v>
      </c>
      <c r="J154" s="51" t="n">
        <f aca="false">IF(AND($E154="A",ISNUMBER($F154),ISNUMBER($G154)),$F154*(1+$G154/30),"")</f>
        <v>106.666666666667</v>
      </c>
      <c r="K154" s="56"/>
      <c r="L154" s="56"/>
    </row>
    <row r="155" customFormat="false" ht="15.75" hidden="false" customHeight="true" outlineLevel="0" collapsed="false">
      <c r="A155" s="78" t="str">
        <f aca="false">IFERROR(IF($B155="","",IF(INDEX(Einheiten!$B$4:$B$63,MATCH($B155,Einheiten!$A$4:$A$63,0))=0,"",INDEX(Einheiten!$B$4:$B$63,MATCH($B155,Einheiten!$A$4:$A$63,0)))),"")</f>
        <v/>
      </c>
      <c r="B155" s="54" t="n">
        <v>5</v>
      </c>
      <c r="C155" s="79" t="str">
        <f aca="false">IFERROR(IF($D155="","",INDEX(Übungen!$B$4:$B$23,MATCH($D155,Übungen!$A$4:$A$23,0))),"")</f>
        <v>Beine vorne</v>
      </c>
      <c r="D155" s="56" t="s">
        <v>369</v>
      </c>
      <c r="E155" s="73" t="s">
        <v>459</v>
      </c>
      <c r="F155" s="55" t="n">
        <v>70</v>
      </c>
      <c r="G155" s="74" t="n">
        <v>11</v>
      </c>
      <c r="H155" s="55"/>
      <c r="I155" s="49" t="n">
        <f aca="false">IF(AND(ISNUMBER($F155),ISNUMBER($G155),$E155&lt;&gt;"R"),$F155*$G155,"")</f>
        <v>770</v>
      </c>
      <c r="J155" s="51" t="n">
        <f aca="false">IF(AND($E155="A",ISNUMBER($F155),ISNUMBER($G155)),$F155*(1+$G155/30),"")</f>
        <v>95.6666666666667</v>
      </c>
      <c r="K155" s="56"/>
      <c r="L155" s="56" t="s">
        <v>482</v>
      </c>
    </row>
    <row r="156" customFormat="false" ht="15.75" hidden="false" customHeight="true" outlineLevel="0" collapsed="false">
      <c r="A156" s="78" t="str">
        <f aca="false">IFERROR(IF($B156="","",IF(INDEX(Einheiten!$B$4:$B$63,MATCH($B156,Einheiten!$A$4:$A$63,0))=0,"",INDEX(Einheiten!$B$4:$B$63,MATCH($B156,Einheiten!$A$4:$A$63,0)))),"")</f>
        <v/>
      </c>
      <c r="B156" s="54" t="n">
        <v>5</v>
      </c>
      <c r="C156" s="79" t="str">
        <f aca="false">IFERROR(IF($D156="","",INDEX(Übungen!$B$4:$B$23,MATCH($D156,Übungen!$A$4:$A$23,0))),"")</f>
        <v>Beine vorne</v>
      </c>
      <c r="D156" s="56" t="s">
        <v>369</v>
      </c>
      <c r="E156" s="73" t="s">
        <v>460</v>
      </c>
      <c r="F156" s="55" t="n">
        <v>50</v>
      </c>
      <c r="G156" s="74"/>
      <c r="H156" s="55"/>
      <c r="I156" s="49" t="str">
        <f aca="false">IF(AND(ISNUMBER($F156),ISNUMBER($G156),$E156&lt;&gt;"R"),$F156*$G156,"")</f>
        <v/>
      </c>
      <c r="J156" s="51" t="str">
        <f aca="false">IF(AND($E156="A",ISNUMBER($F156),ISNUMBER($G156)),$F156*(1+$G156/30),"")</f>
        <v/>
      </c>
      <c r="K156" s="56" t="s">
        <v>483</v>
      </c>
      <c r="L156" s="56" t="s">
        <v>484</v>
      </c>
    </row>
    <row r="157" customFormat="false" ht="15.75" hidden="false" customHeight="true" outlineLevel="0" collapsed="false">
      <c r="A157" s="78" t="str">
        <f aca="false">IFERROR(IF($B157="","",IF(INDEX(Einheiten!$B$4:$B$63,MATCH($B157,Einheiten!$A$4:$A$63,0))=0,"",INDEX(Einheiten!$B$4:$B$63,MATCH($B157,Einheiten!$A$4:$A$63,0)))),"")</f>
        <v/>
      </c>
      <c r="B157" s="54" t="n">
        <v>5</v>
      </c>
      <c r="C157" s="79" t="str">
        <f aca="false">IFERROR(IF($D157="","",INDEX(Übungen!$B$4:$B$23,MATCH($D157,Übungen!$A$4:$A$23,0))),"")</f>
        <v>Beine vorne</v>
      </c>
      <c r="D157" s="56" t="s">
        <v>377</v>
      </c>
      <c r="E157" s="73" t="s">
        <v>458</v>
      </c>
      <c r="F157" s="55" t="n">
        <v>70</v>
      </c>
      <c r="G157" s="74" t="n">
        <v>5</v>
      </c>
      <c r="H157" s="55"/>
      <c r="I157" s="49" t="n">
        <f aca="false">IF(AND(ISNUMBER($F157),ISNUMBER($G157),$E157&lt;&gt;"R"),$F157*$G157,"")</f>
        <v>350</v>
      </c>
      <c r="J157" s="51" t="str">
        <f aca="false">IF(AND($E157="A",ISNUMBER($F157),ISNUMBER($G157)),$F157*(1+$G157/30),"")</f>
        <v/>
      </c>
      <c r="K157" s="56"/>
      <c r="L157" s="56"/>
    </row>
    <row r="158" customFormat="false" ht="15.75" hidden="false" customHeight="true" outlineLevel="0" collapsed="false">
      <c r="A158" s="78" t="str">
        <f aca="false">IFERROR(IF($B158="","",IF(INDEX(Einheiten!$B$4:$B$63,MATCH($B158,Einheiten!$A$4:$A$63,0))=0,"",INDEX(Einheiten!$B$4:$B$63,MATCH($B158,Einheiten!$A$4:$A$63,0)))),"")</f>
        <v/>
      </c>
      <c r="B158" s="54" t="n">
        <v>5</v>
      </c>
      <c r="C158" s="79" t="str">
        <f aca="false">IFERROR(IF($D158="","",INDEX(Übungen!$B$4:$B$23,MATCH($D158,Übungen!$A$4:$A$23,0))),"")</f>
        <v>Beine vorne</v>
      </c>
      <c r="D158" s="56" t="s">
        <v>377</v>
      </c>
      <c r="E158" s="73" t="s">
        <v>459</v>
      </c>
      <c r="F158" s="55" t="n">
        <v>162.5</v>
      </c>
      <c r="G158" s="74" t="n">
        <v>16</v>
      </c>
      <c r="H158" s="55"/>
      <c r="I158" s="49" t="n">
        <f aca="false">IF(AND(ISNUMBER($F158),ISNUMBER($G158),$E158&lt;&gt;"R"),$F158*$G158,"")</f>
        <v>2600</v>
      </c>
      <c r="J158" s="51" t="n">
        <f aca="false">IF(AND($E158="A",ISNUMBER($F158),ISNUMBER($G158)),$F158*(1+$G158/30),"")</f>
        <v>249.166666666667</v>
      </c>
      <c r="K158" s="56"/>
      <c r="L158" s="56"/>
    </row>
    <row r="159" customFormat="false" ht="15.75" hidden="false" customHeight="true" outlineLevel="0" collapsed="false">
      <c r="A159" s="78" t="str">
        <f aca="false">IFERROR(IF($B159="","",IF(INDEX(Einheiten!$B$4:$B$63,MATCH($B159,Einheiten!$A$4:$A$63,0))=0,"",INDEX(Einheiten!$B$4:$B$63,MATCH($B159,Einheiten!$A$4:$A$63,0)))),"")</f>
        <v/>
      </c>
      <c r="B159" s="54" t="n">
        <v>5</v>
      </c>
      <c r="C159" s="79" t="str">
        <f aca="false">IFERROR(IF($D159="","",INDEX(Übungen!$B$4:$B$23,MATCH($D159,Übungen!$A$4:$A$23,0))),"")</f>
        <v>Beine vorne</v>
      </c>
      <c r="D159" s="56" t="s">
        <v>377</v>
      </c>
      <c r="E159" s="73" t="s">
        <v>459</v>
      </c>
      <c r="F159" s="55" t="n">
        <v>162.5</v>
      </c>
      <c r="G159" s="74"/>
      <c r="H159" s="55"/>
      <c r="I159" s="49" t="str">
        <f aca="false">IF(AND(ISNUMBER($F159),ISNUMBER($G159),$E159&lt;&gt;"R"),$F159*$G159,"")</f>
        <v/>
      </c>
      <c r="J159" s="51" t="str">
        <f aca="false">IF(AND($E159="A",ISNUMBER($F159),ISNUMBER($G159)),$F159*(1+$G159/30),"")</f>
        <v/>
      </c>
      <c r="K159" s="56"/>
      <c r="L159" s="56" t="s">
        <v>484</v>
      </c>
    </row>
    <row r="160" customFormat="false" ht="15.75" hidden="false" customHeight="true" outlineLevel="0" collapsed="false">
      <c r="A160" s="78" t="str">
        <f aca="false">IFERROR(IF($B160="","",IF(INDEX(Einheiten!$B$4:$B$63,MATCH($B160,Einheiten!$A$4:$A$63,0))=0,"",INDEX(Einheiten!$B$4:$B$63,MATCH($B160,Einheiten!$A$4:$A$63,0)))),"")</f>
        <v/>
      </c>
      <c r="B160" s="54" t="n">
        <v>6</v>
      </c>
      <c r="C160" s="79" t="str">
        <f aca="false">IFERROR(IF($D160="","",INDEX(Übungen!$B$4:$B$23,MATCH($D160,Übungen!$A$4:$A$23,0))),"")</f>
        <v>Beine vorne</v>
      </c>
      <c r="D160" s="56" t="s">
        <v>415</v>
      </c>
      <c r="E160" s="73" t="s">
        <v>459</v>
      </c>
      <c r="F160" s="55" t="n">
        <v>100</v>
      </c>
      <c r="G160" s="74" t="n">
        <v>10</v>
      </c>
      <c r="H160" s="55"/>
      <c r="I160" s="49" t="n">
        <f aca="false">IF(AND(ISNUMBER($F160),ISNUMBER($G160),$E160&lt;&gt;"R"),$F160*$G160,"")</f>
        <v>1000</v>
      </c>
      <c r="J160" s="51" t="n">
        <f aca="false">IF(AND($E160="A",ISNUMBER($F160),ISNUMBER($G160)),$F160*(1+$G160/30),"")</f>
        <v>133.333333333333</v>
      </c>
      <c r="K160" s="56"/>
      <c r="L160" s="56"/>
    </row>
    <row r="161" customFormat="false" ht="15.75" hidden="false" customHeight="true" outlineLevel="0" collapsed="false">
      <c r="A161" s="78" t="str">
        <f aca="false">IFERROR(IF($B161="","",IF(INDEX(Einheiten!$B$4:$B$63,MATCH($B161,Einheiten!$A$4:$A$63,0))=0,"",INDEX(Einheiten!$B$4:$B$63,MATCH($B161,Einheiten!$A$4:$A$63,0)))),"")</f>
        <v/>
      </c>
      <c r="B161" s="54" t="n">
        <v>6</v>
      </c>
      <c r="C161" s="79" t="str">
        <f aca="false">IFERROR(IF($D161="","",INDEX(Übungen!$B$4:$B$23,MATCH($D161,Übungen!$A$4:$A$23,0))),"")</f>
        <v>Beine vorne</v>
      </c>
      <c r="D161" s="56" t="s">
        <v>415</v>
      </c>
      <c r="E161" s="73" t="s">
        <v>459</v>
      </c>
      <c r="F161" s="55" t="n">
        <v>100</v>
      </c>
      <c r="G161" s="74" t="n">
        <v>9</v>
      </c>
      <c r="H161" s="55"/>
      <c r="I161" s="49" t="n">
        <f aca="false">IF(AND(ISNUMBER($F161),ISNUMBER($G161),$E161&lt;&gt;"R"),$F161*$G161,"")</f>
        <v>900</v>
      </c>
      <c r="J161" s="51" t="n">
        <f aca="false">IF(AND($E161="A",ISNUMBER($F161),ISNUMBER($G161)),$F161*(1+$G161/30),"")</f>
        <v>130</v>
      </c>
      <c r="K161" s="56"/>
      <c r="L161" s="56"/>
    </row>
    <row r="162" customFormat="false" ht="15.75" hidden="false" customHeight="true" outlineLevel="0" collapsed="false">
      <c r="A162" s="78" t="str">
        <f aca="false">IFERROR(IF($B162="","",IF(INDEX(Einheiten!$B$4:$B$63,MATCH($B162,Einheiten!$A$4:$A$63,0))=0,"",INDEX(Einheiten!$B$4:$B$63,MATCH($B162,Einheiten!$A$4:$A$63,0)))),"")</f>
        <v/>
      </c>
      <c r="B162" s="54" t="n">
        <v>6</v>
      </c>
      <c r="C162" s="79" t="str">
        <f aca="false">IFERROR(IF($D162="","",INDEX(Übungen!$B$4:$B$23,MATCH($D162,Übungen!$A$4:$A$23,0))),"")</f>
        <v>Beine vorne</v>
      </c>
      <c r="D162" s="56" t="s">
        <v>415</v>
      </c>
      <c r="E162" s="73" t="s">
        <v>459</v>
      </c>
      <c r="F162" s="55" t="n">
        <v>100</v>
      </c>
      <c r="G162" s="74" t="n">
        <v>8</v>
      </c>
      <c r="H162" s="55"/>
      <c r="I162" s="49" t="n">
        <f aca="false">IF(AND(ISNUMBER($F162),ISNUMBER($G162),$E162&lt;&gt;"R"),$F162*$G162,"")</f>
        <v>800</v>
      </c>
      <c r="J162" s="51" t="n">
        <f aca="false">IF(AND($E162="A",ISNUMBER($F162),ISNUMBER($G162)),$F162*(1+$G162/30),"")</f>
        <v>126.666666666667</v>
      </c>
      <c r="K162" s="56"/>
      <c r="L162" s="56"/>
    </row>
    <row r="163" customFormat="false" ht="15.75" hidden="false" customHeight="true" outlineLevel="0" collapsed="false">
      <c r="A163" s="78" t="str">
        <f aca="false">IFERROR(IF($B163="","",IF(INDEX(Einheiten!$B$4:$B$63,MATCH($B163,Einheiten!$A$4:$A$63,0))=0,"",INDEX(Einheiten!$B$4:$B$63,MATCH($B163,Einheiten!$A$4:$A$63,0)))),"")</f>
        <v/>
      </c>
      <c r="B163" s="54" t="n">
        <v>6</v>
      </c>
      <c r="C163" s="79" t="str">
        <f aca="false">IFERROR(IF($D163="","",INDEX(Übungen!$B$4:$B$23,MATCH($D163,Übungen!$A$4:$A$23,0))),"")</f>
        <v>Beine vorne</v>
      </c>
      <c r="D163" s="56" t="s">
        <v>386</v>
      </c>
      <c r="E163" s="73" t="s">
        <v>459</v>
      </c>
      <c r="F163" s="55" t="n">
        <v>273</v>
      </c>
      <c r="G163" s="74" t="n">
        <v>12</v>
      </c>
      <c r="H163" s="55"/>
      <c r="I163" s="49" t="n">
        <f aca="false">IF(AND(ISNUMBER($F163),ISNUMBER($G163),$E163&lt;&gt;"R"),$F163*$G163,"")</f>
        <v>3276</v>
      </c>
      <c r="J163" s="51" t="n">
        <f aca="false">IF(AND($E163="A",ISNUMBER($F163),ISNUMBER($G163)),$F163*(1+$G163/30),"")</f>
        <v>382.2</v>
      </c>
      <c r="K163" s="56"/>
      <c r="L163" s="56"/>
    </row>
    <row r="164" customFormat="false" ht="15.75" hidden="false" customHeight="true" outlineLevel="0" collapsed="false">
      <c r="A164" s="78" t="str">
        <f aca="false">IFERROR(IF($B164="","",IF(INDEX(Einheiten!$B$4:$B$63,MATCH($B164,Einheiten!$A$4:$A$63,0))=0,"",INDEX(Einheiten!$B$4:$B$63,MATCH($B164,Einheiten!$A$4:$A$63,0)))),"")</f>
        <v/>
      </c>
      <c r="B164" s="54" t="n">
        <v>6</v>
      </c>
      <c r="C164" s="79" t="str">
        <f aca="false">IFERROR(IF($D164="","",INDEX(Übungen!$B$4:$B$23,MATCH($D164,Übungen!$A$4:$A$23,0))),"")</f>
        <v>Beine vorne</v>
      </c>
      <c r="D164" s="56" t="s">
        <v>386</v>
      </c>
      <c r="E164" s="73" t="s">
        <v>459</v>
      </c>
      <c r="F164" s="55" t="n">
        <v>283</v>
      </c>
      <c r="G164" s="74" t="n">
        <v>8</v>
      </c>
      <c r="H164" s="55"/>
      <c r="I164" s="49" t="n">
        <f aca="false">IF(AND(ISNUMBER($F164),ISNUMBER($G164),$E164&lt;&gt;"R"),$F164*$G164,"")</f>
        <v>2264</v>
      </c>
      <c r="J164" s="51" t="n">
        <f aca="false">IF(AND($E164="A",ISNUMBER($F164),ISNUMBER($G164)),$F164*(1+$G164/30),"")</f>
        <v>358.466666666667</v>
      </c>
      <c r="K164" s="56"/>
      <c r="L164" s="56"/>
    </row>
    <row r="165" customFormat="false" ht="15.75" hidden="false" customHeight="true" outlineLevel="0" collapsed="false">
      <c r="A165" s="78" t="str">
        <f aca="false">IFERROR(IF($B165="","",IF(INDEX(Einheiten!$B$4:$B$63,MATCH($B165,Einheiten!$A$4:$A$63,0))=0,"",INDEX(Einheiten!$B$4:$B$63,MATCH($B165,Einheiten!$A$4:$A$63,0)))),"")</f>
        <v/>
      </c>
      <c r="B165" s="54" t="n">
        <v>6</v>
      </c>
      <c r="C165" s="79" t="str">
        <f aca="false">IFERROR(IF($D165="","",INDEX(Übungen!$B$4:$B$23,MATCH($D165,Übungen!$A$4:$A$23,0))),"")</f>
        <v>Beine vorne</v>
      </c>
      <c r="D165" s="56" t="s">
        <v>386</v>
      </c>
      <c r="E165" s="73" t="s">
        <v>459</v>
      </c>
      <c r="F165" s="55" t="n">
        <v>303</v>
      </c>
      <c r="G165" s="74" t="n">
        <v>6</v>
      </c>
      <c r="H165" s="55"/>
      <c r="I165" s="49" t="n">
        <f aca="false">IF(AND(ISNUMBER($F165),ISNUMBER($G165),$E165&lt;&gt;"R"),$F165*$G165,"")</f>
        <v>1818</v>
      </c>
      <c r="J165" s="51" t="n">
        <f aca="false">IF(AND($E165="A",ISNUMBER($F165),ISNUMBER($G165)),$F165*(1+$G165/30),"")</f>
        <v>363.6</v>
      </c>
      <c r="K165" s="56"/>
      <c r="L165" s="56"/>
    </row>
    <row r="166" customFormat="false" ht="15.75" hidden="false" customHeight="true" outlineLevel="0" collapsed="false">
      <c r="A166" s="78" t="str">
        <f aca="false">IFERROR(IF($B166="","",IF(INDEX(Einheiten!$B$4:$B$63,MATCH($B166,Einheiten!$A$4:$A$63,0))=0,"",INDEX(Einheiten!$B$4:$B$63,MATCH($B166,Einheiten!$A$4:$A$63,0)))),"")</f>
        <v/>
      </c>
      <c r="B166" s="54" t="n">
        <v>6</v>
      </c>
      <c r="C166" s="79" t="str">
        <f aca="false">IFERROR(IF($D166="","",INDEX(Übungen!$B$4:$B$23,MATCH($D166,Übungen!$A$4:$A$23,0))),"")</f>
        <v>Beine vorne</v>
      </c>
      <c r="D166" s="56" t="s">
        <v>369</v>
      </c>
      <c r="E166" s="73" t="s">
        <v>459</v>
      </c>
      <c r="F166" s="55" t="n">
        <v>90</v>
      </c>
      <c r="G166" s="74" t="n">
        <v>8</v>
      </c>
      <c r="H166" s="55"/>
      <c r="I166" s="49" t="n">
        <f aca="false">IF(AND(ISNUMBER($F166),ISNUMBER($G166),$E166&lt;&gt;"R"),$F166*$G166,"")</f>
        <v>720</v>
      </c>
      <c r="J166" s="51" t="n">
        <f aca="false">IF(AND($E166="A",ISNUMBER($F166),ISNUMBER($G166)),$F166*(1+$G166/30),"")</f>
        <v>114</v>
      </c>
      <c r="K166" s="56"/>
      <c r="L166" s="56"/>
    </row>
    <row r="167" customFormat="false" ht="15.75" hidden="false" customHeight="true" outlineLevel="0" collapsed="false">
      <c r="A167" s="78" t="str">
        <f aca="false">IFERROR(IF($B167="","",IF(INDEX(Einheiten!$B$4:$B$63,MATCH($B167,Einheiten!$A$4:$A$63,0))=0,"",INDEX(Einheiten!$B$4:$B$63,MATCH($B167,Einheiten!$A$4:$A$63,0)))),"")</f>
        <v/>
      </c>
      <c r="B167" s="54" t="n">
        <v>6</v>
      </c>
      <c r="C167" s="79" t="str">
        <f aca="false">IFERROR(IF($D167="","",INDEX(Übungen!$B$4:$B$23,MATCH($D167,Übungen!$A$4:$A$23,0))),"")</f>
        <v>Beine vorne</v>
      </c>
      <c r="D167" s="56" t="s">
        <v>369</v>
      </c>
      <c r="E167" s="73" t="s">
        <v>459</v>
      </c>
      <c r="F167" s="55" t="n">
        <v>95</v>
      </c>
      <c r="G167" s="74" t="n">
        <v>5</v>
      </c>
      <c r="H167" s="55"/>
      <c r="I167" s="49" t="n">
        <f aca="false">IF(AND(ISNUMBER($F167),ISNUMBER($G167),$E167&lt;&gt;"R"),$F167*$G167,"")</f>
        <v>475</v>
      </c>
      <c r="J167" s="51" t="n">
        <f aca="false">IF(AND($E167="A",ISNUMBER($F167),ISNUMBER($G167)),$F167*(1+$G167/30),"")</f>
        <v>110.833333333333</v>
      </c>
      <c r="K167" s="56"/>
      <c r="L167" s="56"/>
    </row>
    <row r="168" customFormat="false" ht="15.75" hidden="false" customHeight="true" outlineLevel="0" collapsed="false">
      <c r="A168" s="78" t="str">
        <f aca="false">IFERROR(IF($B168="","",IF(INDEX(Einheiten!$B$4:$B$63,MATCH($B168,Einheiten!$A$4:$A$63,0))=0,"",INDEX(Einheiten!$B$4:$B$63,MATCH($B168,Einheiten!$A$4:$A$63,0)))),"")</f>
        <v/>
      </c>
      <c r="B168" s="54" t="n">
        <v>6</v>
      </c>
      <c r="C168" s="79" t="str">
        <f aca="false">IFERROR(IF($D168="","",INDEX(Übungen!$B$4:$B$23,MATCH($D168,Übungen!$A$4:$A$23,0))),"")</f>
        <v>Beine vorne</v>
      </c>
      <c r="D168" s="56" t="s">
        <v>369</v>
      </c>
      <c r="E168" s="73" t="s">
        <v>459</v>
      </c>
      <c r="F168" s="55" t="n">
        <v>95</v>
      </c>
      <c r="G168" s="74" t="n">
        <v>5</v>
      </c>
      <c r="H168" s="55"/>
      <c r="I168" s="49" t="n">
        <f aca="false">IF(AND(ISNUMBER($F168),ISNUMBER($G168),$E168&lt;&gt;"R"),$F168*$G168,"")</f>
        <v>475</v>
      </c>
      <c r="J168" s="51" t="n">
        <f aca="false">IF(AND($E168="A",ISNUMBER($F168),ISNUMBER($G168)),$F168*(1+$G168/30),"")</f>
        <v>110.833333333333</v>
      </c>
      <c r="K168" s="56"/>
      <c r="L168" s="56"/>
    </row>
    <row r="169" customFormat="false" ht="15.75" hidden="false" customHeight="true" outlineLevel="0" collapsed="false">
      <c r="A169" s="78" t="str">
        <f aca="false">IFERROR(IF($B169="","",IF(INDEX(Einheiten!$B$4:$B$63,MATCH($B169,Einheiten!$A$4:$A$63,0))=0,"",INDEX(Einheiten!$B$4:$B$63,MATCH($B169,Einheiten!$A$4:$A$63,0)))),"")</f>
        <v/>
      </c>
      <c r="B169" s="54" t="n">
        <v>6</v>
      </c>
      <c r="C169" s="79" t="str">
        <f aca="false">IFERROR(IF($D169="","",INDEX(Übungen!$B$4:$B$23,MATCH($D169,Übungen!$A$4:$A$23,0))),"")</f>
        <v>Beine vorne</v>
      </c>
      <c r="D169" s="56" t="s">
        <v>377</v>
      </c>
      <c r="E169" s="73" t="s">
        <v>459</v>
      </c>
      <c r="F169" s="55" t="n">
        <v>175.5</v>
      </c>
      <c r="G169" s="74" t="n">
        <v>8</v>
      </c>
      <c r="H169" s="55"/>
      <c r="I169" s="49" t="n">
        <f aca="false">IF(AND(ISNUMBER($F169),ISNUMBER($G169),$E169&lt;&gt;"R"),$F169*$G169,"")</f>
        <v>1404</v>
      </c>
      <c r="J169" s="51" t="n">
        <f aca="false">IF(AND($E169="A",ISNUMBER($F169),ISNUMBER($G169)),$F169*(1+$G169/30),"")</f>
        <v>222.3</v>
      </c>
      <c r="K169" s="56"/>
      <c r="L169" s="56"/>
    </row>
    <row r="170" customFormat="false" ht="15.75" hidden="false" customHeight="true" outlineLevel="0" collapsed="false">
      <c r="A170" s="78" t="str">
        <f aca="false">IFERROR(IF($B170="","",IF(INDEX(Einheiten!$B$4:$B$63,MATCH($B170,Einheiten!$A$4:$A$63,0))=0,"",INDEX(Einheiten!$B$4:$B$63,MATCH($B170,Einheiten!$A$4:$A$63,0)))),"")</f>
        <v/>
      </c>
      <c r="B170" s="54" t="n">
        <v>6</v>
      </c>
      <c r="C170" s="79" t="str">
        <f aca="false">IFERROR(IF($D170="","",INDEX(Übungen!$B$4:$B$23,MATCH($D170,Übungen!$A$4:$A$23,0))),"")</f>
        <v>Beine vorne</v>
      </c>
      <c r="D170" s="56" t="s">
        <v>377</v>
      </c>
      <c r="E170" s="73" t="s">
        <v>459</v>
      </c>
      <c r="F170" s="55" t="n">
        <v>180</v>
      </c>
      <c r="G170" s="74" t="n">
        <v>8</v>
      </c>
      <c r="H170" s="55"/>
      <c r="I170" s="49" t="n">
        <f aca="false">IF(AND(ISNUMBER($F170),ISNUMBER($G170),$E170&lt;&gt;"R"),$F170*$G170,"")</f>
        <v>1440</v>
      </c>
      <c r="J170" s="51" t="n">
        <f aca="false">IF(AND($E170="A",ISNUMBER($F170),ISNUMBER($G170)),$F170*(1+$G170/30),"")</f>
        <v>228</v>
      </c>
      <c r="K170" s="56"/>
      <c r="L170" s="56"/>
    </row>
    <row r="171" customFormat="false" ht="15.75" hidden="false" customHeight="true" outlineLevel="0" collapsed="false">
      <c r="A171" s="78" t="str">
        <f aca="false">IFERROR(IF($B171="","",IF(INDEX(Einheiten!$B$4:$B$63,MATCH($B171,Einheiten!$A$4:$A$63,0))=0,"",INDEX(Einheiten!$B$4:$B$63,MATCH($B171,Einheiten!$A$4:$A$63,0)))),"")</f>
        <v/>
      </c>
      <c r="B171" s="54" t="n">
        <v>7</v>
      </c>
      <c r="C171" s="79" t="str">
        <f aca="false">IFERROR(IF($D171="","",INDEX(Übungen!$B$4:$B$23,MATCH($D171,Übungen!$A$4:$A$23,0))),"")</f>
        <v>Beine hinten</v>
      </c>
      <c r="D171" s="56" t="s">
        <v>480</v>
      </c>
      <c r="E171" s="73" t="s">
        <v>459</v>
      </c>
      <c r="F171" s="55" t="n">
        <v>120</v>
      </c>
      <c r="G171" s="74" t="n">
        <v>8</v>
      </c>
      <c r="H171" s="55"/>
      <c r="I171" s="49" t="n">
        <f aca="false">IF(AND(ISNUMBER($F171),ISNUMBER($G171),$E171&lt;&gt;"R"),$F171*$G171,"")</f>
        <v>960</v>
      </c>
      <c r="J171" s="51" t="n">
        <f aca="false">IF(AND($E171="A",ISNUMBER($F171),ISNUMBER($G171)),$F171*(1+$G171/30),"")</f>
        <v>152</v>
      </c>
      <c r="K171" s="56"/>
      <c r="L171" s="56"/>
    </row>
    <row r="172" customFormat="false" ht="15.75" hidden="false" customHeight="true" outlineLevel="0" collapsed="false">
      <c r="A172" s="78" t="str">
        <f aca="false">IFERROR(IF($B172="","",IF(INDEX(Einheiten!$B$4:$B$63,MATCH($B172,Einheiten!$A$4:$A$63,0))=0,"",INDEX(Einheiten!$B$4:$B$63,MATCH($B172,Einheiten!$A$4:$A$63,0)))),"")</f>
        <v/>
      </c>
      <c r="B172" s="54" t="n">
        <v>7</v>
      </c>
      <c r="C172" s="79" t="str">
        <f aca="false">IFERROR(IF($D172="","",INDEX(Übungen!$B$4:$B$23,MATCH($D172,Übungen!$A$4:$A$23,0))),"")</f>
        <v>Beine hinten</v>
      </c>
      <c r="D172" s="56" t="s">
        <v>480</v>
      </c>
      <c r="E172" s="73" t="s">
        <v>459</v>
      </c>
      <c r="F172" s="55" t="n">
        <v>130</v>
      </c>
      <c r="G172" s="74" t="n">
        <v>8</v>
      </c>
      <c r="H172" s="55"/>
      <c r="I172" s="49" t="n">
        <f aca="false">IF(AND(ISNUMBER($F172),ISNUMBER($G172),$E172&lt;&gt;"R"),$F172*$G172,"")</f>
        <v>1040</v>
      </c>
      <c r="J172" s="51" t="n">
        <f aca="false">IF(AND($E172="A",ISNUMBER($F172),ISNUMBER($G172)),$F172*(1+$G172/30),"")</f>
        <v>164.666666666667</v>
      </c>
      <c r="K172" s="56"/>
      <c r="L172" s="56"/>
    </row>
    <row r="173" customFormat="false" ht="15.75" hidden="false" customHeight="true" outlineLevel="0" collapsed="false">
      <c r="A173" s="78" t="str">
        <f aca="false">IFERROR(IF($B173="","",IF(INDEX(Einheiten!$B$4:$B$63,MATCH($B173,Einheiten!$A$4:$A$63,0))=0,"",INDEX(Einheiten!$B$4:$B$63,MATCH($B173,Einheiten!$A$4:$A$63,0)))),"")</f>
        <v/>
      </c>
      <c r="B173" s="54" t="n">
        <v>7</v>
      </c>
      <c r="C173" s="79" t="str">
        <f aca="false">IFERROR(IF($D173="","",INDEX(Übungen!$B$4:$B$23,MATCH($D173,Übungen!$A$4:$A$23,0))),"")</f>
        <v>Beine hinten</v>
      </c>
      <c r="D173" s="56" t="s">
        <v>480</v>
      </c>
      <c r="E173" s="73" t="s">
        <v>459</v>
      </c>
      <c r="F173" s="55" t="n">
        <v>135</v>
      </c>
      <c r="G173" s="74" t="n">
        <v>6</v>
      </c>
      <c r="H173" s="55"/>
      <c r="I173" s="49" t="n">
        <f aca="false">IF(AND(ISNUMBER($F173),ISNUMBER($G173),$E173&lt;&gt;"R"),$F173*$G173,"")</f>
        <v>810</v>
      </c>
      <c r="J173" s="51" t="n">
        <f aca="false">IF(AND($E173="A",ISNUMBER($F173),ISNUMBER($G173)),$F173*(1+$G173/30),"")</f>
        <v>162</v>
      </c>
      <c r="K173" s="56"/>
      <c r="L173" s="56"/>
    </row>
    <row r="174" customFormat="false" ht="15.75" hidden="false" customHeight="true" outlineLevel="0" collapsed="false">
      <c r="A174" s="78" t="str">
        <f aca="false">IFERROR(IF($B174="","",IF(INDEX(Einheiten!$B$4:$B$63,MATCH($B174,Einheiten!$A$4:$A$63,0))=0,"",INDEX(Einheiten!$B$4:$B$63,MATCH($B174,Einheiten!$A$4:$A$63,0)))),"")</f>
        <v/>
      </c>
      <c r="B174" s="54" t="n">
        <v>7</v>
      </c>
      <c r="C174" s="79" t="str">
        <f aca="false">IFERROR(IF($D174="","",INDEX(Übungen!$B$4:$B$23,MATCH($D174,Übungen!$A$4:$A$23,0))),"")</f>
        <v>Beine hinten</v>
      </c>
      <c r="D174" s="56" t="s">
        <v>412</v>
      </c>
      <c r="E174" s="73" t="s">
        <v>459</v>
      </c>
      <c r="F174" s="55" t="n">
        <v>280</v>
      </c>
      <c r="G174" s="74" t="n">
        <v>8</v>
      </c>
      <c r="H174" s="55"/>
      <c r="I174" s="49" t="n">
        <f aca="false">IF(AND(ISNUMBER($F174),ISNUMBER($G174),$E174&lt;&gt;"R"),$F174*$G174,"")</f>
        <v>2240</v>
      </c>
      <c r="J174" s="51" t="n">
        <f aca="false">IF(AND($E174="A",ISNUMBER($F174),ISNUMBER($G174)),$F174*(1+$G174/30),"")</f>
        <v>354.666666666667</v>
      </c>
      <c r="K174" s="56"/>
      <c r="L174" s="56"/>
    </row>
    <row r="175" customFormat="false" ht="15.75" hidden="false" customHeight="true" outlineLevel="0" collapsed="false">
      <c r="A175" s="78" t="str">
        <f aca="false">IFERROR(IF($B175="","",IF(INDEX(Einheiten!$B$4:$B$63,MATCH($B175,Einheiten!$A$4:$A$63,0))=0,"",INDEX(Einheiten!$B$4:$B$63,MATCH($B175,Einheiten!$A$4:$A$63,0)))),"")</f>
        <v/>
      </c>
      <c r="B175" s="54" t="n">
        <v>7</v>
      </c>
      <c r="C175" s="79" t="str">
        <f aca="false">IFERROR(IF($D175="","",INDEX(Übungen!$B$4:$B$23,MATCH($D175,Übungen!$A$4:$A$23,0))),"")</f>
        <v>Beine hinten</v>
      </c>
      <c r="D175" s="56" t="s">
        <v>412</v>
      </c>
      <c r="E175" s="73" t="s">
        <v>459</v>
      </c>
      <c r="F175" s="55" t="n">
        <v>290</v>
      </c>
      <c r="G175" s="74" t="n">
        <v>8</v>
      </c>
      <c r="H175" s="55"/>
      <c r="I175" s="49" t="n">
        <f aca="false">IF(AND(ISNUMBER($F175),ISNUMBER($G175),$E175&lt;&gt;"R"),$F175*$G175,"")</f>
        <v>2320</v>
      </c>
      <c r="J175" s="51" t="n">
        <f aca="false">IF(AND($E175="A",ISNUMBER($F175),ISNUMBER($G175)),$F175*(1+$G175/30),"")</f>
        <v>367.333333333333</v>
      </c>
      <c r="K175" s="56"/>
      <c r="L175" s="56"/>
    </row>
    <row r="176" customFormat="false" ht="15.75" hidden="false" customHeight="true" outlineLevel="0" collapsed="false">
      <c r="A176" s="78" t="str">
        <f aca="false">IFERROR(IF($B176="","",IF(INDEX(Einheiten!$B$4:$B$63,MATCH($B176,Einheiten!$A$4:$A$63,0))=0,"",INDEX(Einheiten!$B$4:$B$63,MATCH($B176,Einheiten!$A$4:$A$63,0)))),"")</f>
        <v/>
      </c>
      <c r="B176" s="54" t="n">
        <v>7</v>
      </c>
      <c r="C176" s="79" t="str">
        <f aca="false">IFERROR(IF($D176="","",INDEX(Übungen!$B$4:$B$23,MATCH($D176,Übungen!$A$4:$A$23,0))),"")</f>
        <v>Beine hinten</v>
      </c>
      <c r="D176" s="56" t="s">
        <v>412</v>
      </c>
      <c r="E176" s="73" t="s">
        <v>459</v>
      </c>
      <c r="F176" s="55" t="n">
        <v>290</v>
      </c>
      <c r="G176" s="74" t="n">
        <v>8</v>
      </c>
      <c r="H176" s="55"/>
      <c r="I176" s="49" t="n">
        <f aca="false">IF(AND(ISNUMBER($F176),ISNUMBER($G176),$E176&lt;&gt;"R"),$F176*$G176,"")</f>
        <v>2320</v>
      </c>
      <c r="J176" s="51" t="n">
        <f aca="false">IF(AND($E176="A",ISNUMBER($F176),ISNUMBER($G176)),$F176*(1+$G176/30),"")</f>
        <v>367.333333333333</v>
      </c>
      <c r="K176" s="56"/>
      <c r="L176" s="56"/>
    </row>
    <row r="177" customFormat="false" ht="15.75" hidden="false" customHeight="true" outlineLevel="0" collapsed="false">
      <c r="A177" s="78" t="str">
        <f aca="false">IFERROR(IF($B177="","",IF(INDEX(Einheiten!$B$4:$B$63,MATCH($B177,Einheiten!$A$4:$A$63,0))=0,"",INDEX(Einheiten!$B$4:$B$63,MATCH($B177,Einheiten!$A$4:$A$63,0)))),"")</f>
        <v/>
      </c>
      <c r="B177" s="54" t="n">
        <v>7</v>
      </c>
      <c r="C177" s="79" t="str">
        <f aca="false">IFERROR(IF($D177="","",INDEX(Übungen!$B$4:$B$23,MATCH($D177,Übungen!$A$4:$A$23,0))),"")</f>
        <v>Beine hinten</v>
      </c>
      <c r="D177" s="56" t="s">
        <v>374</v>
      </c>
      <c r="E177" s="73" t="s">
        <v>459</v>
      </c>
      <c r="F177" s="55" t="n">
        <v>50</v>
      </c>
      <c r="G177" s="74" t="n">
        <v>10</v>
      </c>
      <c r="H177" s="55"/>
      <c r="I177" s="49" t="n">
        <f aca="false">IF(AND(ISNUMBER($F177),ISNUMBER($G177),$E177&lt;&gt;"R"),$F177*$G177,"")</f>
        <v>500</v>
      </c>
      <c r="J177" s="51" t="n">
        <f aca="false">IF(AND($E177="A",ISNUMBER($F177),ISNUMBER($G177)),$F177*(1+$G177/30),"")</f>
        <v>66.6666666666667</v>
      </c>
      <c r="K177" s="56"/>
      <c r="L177" s="56"/>
    </row>
    <row r="178" customFormat="false" ht="15.75" hidden="false" customHeight="true" outlineLevel="0" collapsed="false">
      <c r="A178" s="78" t="str">
        <f aca="false">IFERROR(IF($B178="","",IF(INDEX(Einheiten!$B$4:$B$63,MATCH($B178,Einheiten!$A$4:$A$63,0))=0,"",INDEX(Einheiten!$B$4:$B$63,MATCH($B178,Einheiten!$A$4:$A$63,0)))),"")</f>
        <v/>
      </c>
      <c r="B178" s="54" t="n">
        <v>7</v>
      </c>
      <c r="C178" s="79" t="str">
        <f aca="false">IFERROR(IF($D178="","",INDEX(Übungen!$B$4:$B$23,MATCH($D178,Übungen!$A$4:$A$23,0))),"")</f>
        <v>Beine hinten</v>
      </c>
      <c r="D178" s="56" t="s">
        <v>374</v>
      </c>
      <c r="E178" s="73" t="s">
        <v>459</v>
      </c>
      <c r="F178" s="55" t="n">
        <v>52.5</v>
      </c>
      <c r="G178" s="74" t="n">
        <v>10</v>
      </c>
      <c r="H178" s="55"/>
      <c r="I178" s="49" t="n">
        <f aca="false">IF(AND(ISNUMBER($F178),ISNUMBER($G178),$E178&lt;&gt;"R"),$F178*$G178,"")</f>
        <v>525</v>
      </c>
      <c r="J178" s="51" t="n">
        <f aca="false">IF(AND($E178="A",ISNUMBER($F178),ISNUMBER($G178)),$F178*(1+$G178/30),"")</f>
        <v>70</v>
      </c>
      <c r="K178" s="56"/>
      <c r="L178" s="56"/>
    </row>
    <row r="179" customFormat="false" ht="15.75" hidden="false" customHeight="true" outlineLevel="0" collapsed="false">
      <c r="A179" s="78" t="str">
        <f aca="false">IFERROR(IF($B179="","",IF(INDEX(Einheiten!$B$4:$B$63,MATCH($B179,Einheiten!$A$4:$A$63,0))=0,"",INDEX(Einheiten!$B$4:$B$63,MATCH($B179,Einheiten!$A$4:$A$63,0)))),"")</f>
        <v/>
      </c>
      <c r="B179" s="54" t="n">
        <v>7</v>
      </c>
      <c r="C179" s="79" t="str">
        <f aca="false">IFERROR(IF($D179="","",INDEX(Übungen!$B$4:$B$23,MATCH($D179,Übungen!$A$4:$A$23,0))),"")</f>
        <v>Beine hinten</v>
      </c>
      <c r="D179" s="56" t="s">
        <v>394</v>
      </c>
      <c r="E179" s="73" t="s">
        <v>459</v>
      </c>
      <c r="F179" s="55" t="n">
        <v>136</v>
      </c>
      <c r="G179" s="74" t="n">
        <v>15</v>
      </c>
      <c r="H179" s="55"/>
      <c r="I179" s="49" t="n">
        <f aca="false">IF(AND(ISNUMBER($F179),ISNUMBER($G179),$E179&lt;&gt;"R"),$F179*$G179,"")</f>
        <v>2040</v>
      </c>
      <c r="J179" s="51" t="n">
        <f aca="false">IF(AND($E179="A",ISNUMBER($F179),ISNUMBER($G179)),$F179*(1+$G179/30),"")</f>
        <v>204</v>
      </c>
      <c r="K179" s="56"/>
      <c r="L179" s="56" t="s">
        <v>485</v>
      </c>
    </row>
    <row r="180" customFormat="false" ht="15.75" hidden="false" customHeight="true" outlineLevel="0" collapsed="false">
      <c r="A180" s="78" t="str">
        <f aca="false">IFERROR(IF($B180="","",IF(INDEX(Einheiten!$B$4:$B$63,MATCH($B180,Einheiten!$A$4:$A$63,0))=0,"",INDEX(Einheiten!$B$4:$B$63,MATCH($B180,Einheiten!$A$4:$A$63,0)))),"")</f>
        <v/>
      </c>
      <c r="B180" s="54" t="n">
        <v>7</v>
      </c>
      <c r="C180" s="79" t="str">
        <f aca="false">IFERROR(IF($D180="","",INDEX(Übungen!$B$4:$B$23,MATCH($D180,Übungen!$A$4:$A$23,0))),"")</f>
        <v>Beine hinten</v>
      </c>
      <c r="D180" s="56" t="s">
        <v>394</v>
      </c>
      <c r="E180" s="73" t="s">
        <v>459</v>
      </c>
      <c r="F180" s="55" t="n">
        <v>141</v>
      </c>
      <c r="G180" s="74" t="n">
        <v>12</v>
      </c>
      <c r="H180" s="55"/>
      <c r="I180" s="49" t="n">
        <f aca="false">IF(AND(ISNUMBER($F180),ISNUMBER($G180),$E180&lt;&gt;"R"),$F180*$G180,"")</f>
        <v>1692</v>
      </c>
      <c r="J180" s="51" t="n">
        <f aca="false">IF(AND($E180="A",ISNUMBER($F180),ISNUMBER($G180)),$F180*(1+$G180/30),"")</f>
        <v>197.4</v>
      </c>
      <c r="K180" s="56"/>
      <c r="L180" s="56"/>
    </row>
    <row r="181" customFormat="false" ht="15.75" hidden="false" customHeight="true" outlineLevel="0" collapsed="false">
      <c r="A181" s="78" t="str">
        <f aca="false">IFERROR(IF($B181="","",IF(INDEX(Einheiten!$B$4:$B$63,MATCH($B181,Einheiten!$A$4:$A$63,0))=0,"",INDEX(Einheiten!$B$4:$B$63,MATCH($B181,Einheiten!$A$4:$A$63,0)))),"")</f>
        <v/>
      </c>
      <c r="B181" s="54" t="n">
        <v>7</v>
      </c>
      <c r="C181" s="79" t="str">
        <f aca="false">IFERROR(IF($D181="","",INDEX(Übungen!$B$4:$B$23,MATCH($D181,Übungen!$A$4:$A$23,0))),"")</f>
        <v>Beine hinten</v>
      </c>
      <c r="D181" s="56" t="s">
        <v>380</v>
      </c>
      <c r="E181" s="73" t="s">
        <v>459</v>
      </c>
      <c r="F181" s="55" t="n">
        <v>150</v>
      </c>
      <c r="G181" s="74" t="n">
        <v>12</v>
      </c>
      <c r="H181" s="55"/>
      <c r="I181" s="49" t="n">
        <f aca="false">IF(AND(ISNUMBER($F181),ISNUMBER($G181),$E181&lt;&gt;"R"),$F181*$G181,"")</f>
        <v>1800</v>
      </c>
      <c r="J181" s="51" t="n">
        <f aca="false">IF(AND($E181="A",ISNUMBER($F181),ISNUMBER($G181)),$F181*(1+$G181/30),"")</f>
        <v>210</v>
      </c>
      <c r="K181" s="56"/>
      <c r="L181" s="56"/>
    </row>
    <row r="182" customFormat="false" ht="15.75" hidden="false" customHeight="true" outlineLevel="0" collapsed="false">
      <c r="A182" s="78" t="str">
        <f aca="false">IFERROR(IF($B182="","",IF(INDEX(Einheiten!$B$4:$B$63,MATCH($B182,Einheiten!$A$4:$A$63,0))=0,"",INDEX(Einheiten!$B$4:$B$63,MATCH($B182,Einheiten!$A$4:$A$63,0)))),"")</f>
        <v/>
      </c>
      <c r="B182" s="54" t="n">
        <v>7</v>
      </c>
      <c r="C182" s="79" t="str">
        <f aca="false">IFERROR(IF($D182="","",INDEX(Übungen!$B$4:$B$23,MATCH($D182,Übungen!$A$4:$A$23,0))),"")</f>
        <v>Beine hinten</v>
      </c>
      <c r="D182" s="56" t="s">
        <v>380</v>
      </c>
      <c r="E182" s="73" t="s">
        <v>459</v>
      </c>
      <c r="F182" s="55" t="n">
        <v>160</v>
      </c>
      <c r="G182" s="74" t="n">
        <v>12</v>
      </c>
      <c r="H182" s="55"/>
      <c r="I182" s="49" t="n">
        <f aca="false">IF(AND(ISNUMBER($F182),ISNUMBER($G182),$E182&lt;&gt;"R"),$F182*$G182,"")</f>
        <v>1920</v>
      </c>
      <c r="J182" s="51" t="n">
        <f aca="false">IF(AND($E182="A",ISNUMBER($F182),ISNUMBER($G182)),$F182*(1+$G182/30),"")</f>
        <v>224</v>
      </c>
      <c r="K182" s="56"/>
      <c r="L182" s="56"/>
    </row>
    <row r="183" customFormat="false" ht="15.75" hidden="false" customHeight="true" outlineLevel="0" collapsed="false">
      <c r="A183" s="78" t="str">
        <f aca="false">IFERROR(IF($B183="","",IF(INDEX(Einheiten!$B$4:$B$63,MATCH($B183,Einheiten!$A$4:$A$63,0))=0,"",INDEX(Einheiten!$B$4:$B$63,MATCH($B183,Einheiten!$A$4:$A$63,0)))),"")</f>
        <v/>
      </c>
      <c r="B183" s="54" t="n">
        <v>8</v>
      </c>
      <c r="C183" s="79" t="str">
        <f aca="false">IFERROR(IF($D183="","",INDEX(Übungen!$B$4:$B$23,MATCH($D183,Übungen!$A$4:$A$23,0))),"")</f>
        <v>Beine vorne</v>
      </c>
      <c r="D183" s="56" t="s">
        <v>415</v>
      </c>
      <c r="E183" s="73" t="s">
        <v>459</v>
      </c>
      <c r="F183" s="55" t="n">
        <v>110</v>
      </c>
      <c r="G183" s="74" t="n">
        <v>7</v>
      </c>
      <c r="H183" s="55"/>
      <c r="I183" s="49" t="n">
        <f aca="false">IF(AND(ISNUMBER($F183),ISNUMBER($G183),$E183&lt;&gt;"R"),$F183*$G183,"")</f>
        <v>770</v>
      </c>
      <c r="J183" s="51" t="n">
        <f aca="false">IF(AND($E183="A",ISNUMBER($F183),ISNUMBER($G183)),$F183*(1+$G183/30),"")</f>
        <v>135.666666666667</v>
      </c>
      <c r="K183" s="56"/>
      <c r="L183" s="56"/>
    </row>
    <row r="184" customFormat="false" ht="15.75" hidden="false" customHeight="true" outlineLevel="0" collapsed="false">
      <c r="A184" s="78" t="str">
        <f aca="false">IFERROR(IF($B184="","",IF(INDEX(Einheiten!$B$4:$B$63,MATCH($B184,Einheiten!$A$4:$A$63,0))=0,"",INDEX(Einheiten!$B$4:$B$63,MATCH($B184,Einheiten!$A$4:$A$63,0)))),"")</f>
        <v/>
      </c>
      <c r="B184" s="54" t="n">
        <v>8</v>
      </c>
      <c r="C184" s="79" t="str">
        <f aca="false">IFERROR(IF($D184="","",INDEX(Übungen!$B$4:$B$23,MATCH($D184,Übungen!$A$4:$A$23,0))),"")</f>
        <v>Beine vorne</v>
      </c>
      <c r="D184" s="56" t="s">
        <v>415</v>
      </c>
      <c r="E184" s="73" t="s">
        <v>459</v>
      </c>
      <c r="F184" s="55" t="n">
        <v>115</v>
      </c>
      <c r="G184" s="74" t="n">
        <v>6</v>
      </c>
      <c r="H184" s="55"/>
      <c r="I184" s="49" t="n">
        <f aca="false">IF(AND(ISNUMBER($F184),ISNUMBER($G184),$E184&lt;&gt;"R"),$F184*$G184,"")</f>
        <v>690</v>
      </c>
      <c r="J184" s="51" t="n">
        <f aca="false">IF(AND($E184="A",ISNUMBER($F184),ISNUMBER($G184)),$F184*(1+$G184/30),"")</f>
        <v>138</v>
      </c>
      <c r="K184" s="56"/>
      <c r="L184" s="56"/>
    </row>
    <row r="185" customFormat="false" ht="15.75" hidden="false" customHeight="true" outlineLevel="0" collapsed="false">
      <c r="A185" s="78" t="str">
        <f aca="false">IFERROR(IF($B185="","",IF(INDEX(Einheiten!$B$4:$B$63,MATCH($B185,Einheiten!$A$4:$A$63,0))=0,"",INDEX(Einheiten!$B$4:$B$63,MATCH($B185,Einheiten!$A$4:$A$63,0)))),"")</f>
        <v/>
      </c>
      <c r="B185" s="54" t="n">
        <v>8</v>
      </c>
      <c r="C185" s="79" t="str">
        <f aca="false">IFERROR(IF($D185="","",INDEX(Übungen!$B$4:$B$23,MATCH($D185,Übungen!$A$4:$A$23,0))),"")</f>
        <v>Beine vorne</v>
      </c>
      <c r="D185" s="56" t="s">
        <v>415</v>
      </c>
      <c r="E185" s="73" t="s">
        <v>459</v>
      </c>
      <c r="F185" s="55" t="n">
        <v>115</v>
      </c>
      <c r="G185" s="74" t="n">
        <v>5</v>
      </c>
      <c r="H185" s="55"/>
      <c r="I185" s="49" t="n">
        <f aca="false">IF(AND(ISNUMBER($F185),ISNUMBER($G185),$E185&lt;&gt;"R"),$F185*$G185,"")</f>
        <v>575</v>
      </c>
      <c r="J185" s="51" t="n">
        <f aca="false">IF(AND($E185="A",ISNUMBER($F185),ISNUMBER($G185)),$F185*(1+$G185/30),"")</f>
        <v>134.166666666667</v>
      </c>
      <c r="K185" s="56"/>
      <c r="L185" s="56"/>
    </row>
    <row r="186" customFormat="false" ht="15.75" hidden="false" customHeight="true" outlineLevel="0" collapsed="false">
      <c r="A186" s="78" t="str">
        <f aca="false">IFERROR(IF($B186="","",IF(INDEX(Einheiten!$B$4:$B$63,MATCH($B186,Einheiten!$A$4:$A$63,0))=0,"",INDEX(Einheiten!$B$4:$B$63,MATCH($B186,Einheiten!$A$4:$A$63,0)))),"")</f>
        <v/>
      </c>
      <c r="B186" s="54" t="n">
        <v>8</v>
      </c>
      <c r="C186" s="79" t="str">
        <f aca="false">IFERROR(IF($D186="","",INDEX(Übungen!$B$4:$B$23,MATCH($D186,Übungen!$A$4:$A$23,0))),"")</f>
        <v>Beine vorne</v>
      </c>
      <c r="D186" s="56" t="s">
        <v>386</v>
      </c>
      <c r="E186" s="73" t="s">
        <v>459</v>
      </c>
      <c r="F186" s="55" t="n">
        <v>333</v>
      </c>
      <c r="G186" s="74" t="n">
        <v>8</v>
      </c>
      <c r="H186" s="55"/>
      <c r="I186" s="49" t="n">
        <f aca="false">IF(AND(ISNUMBER($F186),ISNUMBER($G186),$E186&lt;&gt;"R"),$F186*$G186,"")</f>
        <v>2664</v>
      </c>
      <c r="J186" s="51" t="n">
        <f aca="false">IF(AND($E186="A",ISNUMBER($F186),ISNUMBER($G186)),$F186*(1+$G186/30),"")</f>
        <v>421.8</v>
      </c>
      <c r="K186" s="56"/>
      <c r="L186" s="56"/>
    </row>
    <row r="187" customFormat="false" ht="15.75" hidden="false" customHeight="true" outlineLevel="0" collapsed="false">
      <c r="A187" s="78" t="str">
        <f aca="false">IFERROR(IF($B187="","",IF(INDEX(Einheiten!$B$4:$B$63,MATCH($B187,Einheiten!$A$4:$A$63,0))=0,"",INDEX(Einheiten!$B$4:$B$63,MATCH($B187,Einheiten!$A$4:$A$63,0)))),"")</f>
        <v/>
      </c>
      <c r="B187" s="54" t="n">
        <v>8</v>
      </c>
      <c r="C187" s="79" t="str">
        <f aca="false">IFERROR(IF($D187="","",INDEX(Übungen!$B$4:$B$23,MATCH($D187,Übungen!$A$4:$A$23,0))),"")</f>
        <v>Beine vorne</v>
      </c>
      <c r="D187" s="56" t="s">
        <v>386</v>
      </c>
      <c r="E187" s="73" t="s">
        <v>459</v>
      </c>
      <c r="F187" s="55" t="n">
        <v>333</v>
      </c>
      <c r="G187" s="74" t="n">
        <v>8</v>
      </c>
      <c r="H187" s="55"/>
      <c r="I187" s="49" t="n">
        <f aca="false">IF(AND(ISNUMBER($F187),ISNUMBER($G187),$E187&lt;&gt;"R"),$F187*$G187,"")</f>
        <v>2664</v>
      </c>
      <c r="J187" s="51" t="n">
        <f aca="false">IF(AND($E187="A",ISNUMBER($F187),ISNUMBER($G187)),$F187*(1+$G187/30),"")</f>
        <v>421.8</v>
      </c>
      <c r="K187" s="56"/>
      <c r="L187" s="56"/>
    </row>
    <row r="188" customFormat="false" ht="15.75" hidden="false" customHeight="true" outlineLevel="0" collapsed="false">
      <c r="A188" s="78" t="str">
        <f aca="false">IFERROR(IF($B188="","",IF(INDEX(Einheiten!$B$4:$B$63,MATCH($B188,Einheiten!$A$4:$A$63,0))=0,"",INDEX(Einheiten!$B$4:$B$63,MATCH($B188,Einheiten!$A$4:$A$63,0)))),"")</f>
        <v/>
      </c>
      <c r="B188" s="54" t="n">
        <v>8</v>
      </c>
      <c r="C188" s="79" t="str">
        <f aca="false">IFERROR(IF($D188="","",INDEX(Übungen!$B$4:$B$23,MATCH($D188,Übungen!$A$4:$A$23,0))),"")</f>
        <v>Beine vorne</v>
      </c>
      <c r="D188" s="56" t="s">
        <v>386</v>
      </c>
      <c r="E188" s="73" t="s">
        <v>459</v>
      </c>
      <c r="F188" s="55" t="n">
        <v>303</v>
      </c>
      <c r="G188" s="74" t="n">
        <v>8</v>
      </c>
      <c r="H188" s="55"/>
      <c r="I188" s="49" t="n">
        <f aca="false">IF(AND(ISNUMBER($F188),ISNUMBER($G188),$E188&lt;&gt;"R"),$F188*$G188,"")</f>
        <v>2424</v>
      </c>
      <c r="J188" s="51" t="n">
        <f aca="false">IF(AND($E188="A",ISNUMBER($F188),ISNUMBER($G188)),$F188*(1+$G188/30),"")</f>
        <v>383.8</v>
      </c>
      <c r="K188" s="56"/>
      <c r="L188" s="56"/>
    </row>
    <row r="189" customFormat="false" ht="15.75" hidden="false" customHeight="true" outlineLevel="0" collapsed="false">
      <c r="A189" s="78" t="str">
        <f aca="false">IFERROR(IF($B189="","",IF(INDEX(Einheiten!$B$4:$B$63,MATCH($B189,Einheiten!$A$4:$A$63,0))=0,"",INDEX(Einheiten!$B$4:$B$63,MATCH($B189,Einheiten!$A$4:$A$63,0)))),"")</f>
        <v/>
      </c>
      <c r="B189" s="54" t="n">
        <v>8</v>
      </c>
      <c r="C189" s="79" t="str">
        <f aca="false">IFERROR(IF($D189="","",INDEX(Übungen!$B$4:$B$23,MATCH($D189,Übungen!$A$4:$A$23,0))),"")</f>
        <v>Beine vorne</v>
      </c>
      <c r="D189" s="56" t="s">
        <v>369</v>
      </c>
      <c r="E189" s="73" t="s">
        <v>459</v>
      </c>
      <c r="F189" s="55" t="n">
        <v>80</v>
      </c>
      <c r="G189" s="74" t="n">
        <v>8</v>
      </c>
      <c r="H189" s="55"/>
      <c r="I189" s="49" t="n">
        <f aca="false">IF(AND(ISNUMBER($F189),ISNUMBER($G189),$E189&lt;&gt;"R"),$F189*$G189,"")</f>
        <v>640</v>
      </c>
      <c r="J189" s="51" t="n">
        <f aca="false">IF(AND($E189="A",ISNUMBER($F189),ISNUMBER($G189)),$F189*(1+$G189/30),"")</f>
        <v>101.333333333333</v>
      </c>
      <c r="K189" s="56"/>
      <c r="L189" s="56"/>
    </row>
    <row r="190" customFormat="false" ht="15.75" hidden="false" customHeight="true" outlineLevel="0" collapsed="false">
      <c r="A190" s="78" t="str">
        <f aca="false">IFERROR(IF($B190="","",IF(INDEX(Einheiten!$B$4:$B$63,MATCH($B190,Einheiten!$A$4:$A$63,0))=0,"",INDEX(Einheiten!$B$4:$B$63,MATCH($B190,Einheiten!$A$4:$A$63,0)))),"")</f>
        <v/>
      </c>
      <c r="B190" s="54" t="n">
        <v>8</v>
      </c>
      <c r="C190" s="79" t="str">
        <f aca="false">IFERROR(IF($D190="","",INDEX(Übungen!$B$4:$B$23,MATCH($D190,Übungen!$A$4:$A$23,0))),"")</f>
        <v>Beine vorne</v>
      </c>
      <c r="D190" s="56" t="s">
        <v>369</v>
      </c>
      <c r="E190" s="73" t="s">
        <v>459</v>
      </c>
      <c r="F190" s="55" t="n">
        <v>80</v>
      </c>
      <c r="G190" s="74" t="n">
        <v>8</v>
      </c>
      <c r="H190" s="55"/>
      <c r="I190" s="49" t="n">
        <f aca="false">IF(AND(ISNUMBER($F190),ISNUMBER($G190),$E190&lt;&gt;"R"),$F190*$G190,"")</f>
        <v>640</v>
      </c>
      <c r="J190" s="51" t="n">
        <f aca="false">IF(AND($E190="A",ISNUMBER($F190),ISNUMBER($G190)),$F190*(1+$G190/30),"")</f>
        <v>101.333333333333</v>
      </c>
      <c r="K190" s="56"/>
      <c r="L190" s="56"/>
    </row>
    <row r="191" customFormat="false" ht="15.75" hidden="false" customHeight="true" outlineLevel="0" collapsed="false">
      <c r="A191" s="78" t="str">
        <f aca="false">IFERROR(IF($B191="","",IF(INDEX(Einheiten!$B$4:$B$63,MATCH($B191,Einheiten!$A$4:$A$63,0))=0,"",INDEX(Einheiten!$B$4:$B$63,MATCH($B191,Einheiten!$A$4:$A$63,0)))),"")</f>
        <v/>
      </c>
      <c r="B191" s="54" t="n">
        <v>8</v>
      </c>
      <c r="C191" s="79" t="str">
        <f aca="false">IFERROR(IF($D191="","",INDEX(Übungen!$B$4:$B$23,MATCH($D191,Übungen!$A$4:$A$23,0))),"")</f>
        <v>Beine vorne</v>
      </c>
      <c r="D191" s="56" t="s">
        <v>369</v>
      </c>
      <c r="E191" s="73" t="s">
        <v>459</v>
      </c>
      <c r="F191" s="55" t="n">
        <v>80</v>
      </c>
      <c r="G191" s="74" t="n">
        <v>8</v>
      </c>
      <c r="H191" s="55"/>
      <c r="I191" s="49" t="n">
        <f aca="false">IF(AND(ISNUMBER($F191),ISNUMBER($G191),$E191&lt;&gt;"R"),$F191*$G191,"")</f>
        <v>640</v>
      </c>
      <c r="J191" s="51" t="n">
        <f aca="false">IF(AND($E191="A",ISNUMBER($F191),ISNUMBER($G191)),$F191*(1+$G191/30),"")</f>
        <v>101.333333333333</v>
      </c>
      <c r="K191" s="56"/>
      <c r="L191" s="56"/>
    </row>
    <row r="192" customFormat="false" ht="15.75" hidden="false" customHeight="true" outlineLevel="0" collapsed="false">
      <c r="A192" s="78" t="str">
        <f aca="false">IFERROR(IF($B192="","",IF(INDEX(Einheiten!$B$4:$B$63,MATCH($B192,Einheiten!$A$4:$A$63,0))=0,"",INDEX(Einheiten!$B$4:$B$63,MATCH($B192,Einheiten!$A$4:$A$63,0)))),"")</f>
        <v/>
      </c>
      <c r="B192" s="54" t="n">
        <v>8</v>
      </c>
      <c r="C192" s="79" t="str">
        <f aca="false">IFERROR(IF($D192="","",INDEX(Übungen!$B$4:$B$23,MATCH($D192,Übungen!$A$4:$A$23,0))),"")</f>
        <v>Beine vorne</v>
      </c>
      <c r="D192" s="56" t="s">
        <v>377</v>
      </c>
      <c r="E192" s="73" t="s">
        <v>459</v>
      </c>
      <c r="F192" s="55" t="n">
        <v>185</v>
      </c>
      <c r="G192" s="74" t="n">
        <v>5</v>
      </c>
      <c r="H192" s="55"/>
      <c r="I192" s="49" t="n">
        <f aca="false">IF(AND(ISNUMBER($F192),ISNUMBER($G192),$E192&lt;&gt;"R"),$F192*$G192,"")</f>
        <v>925</v>
      </c>
      <c r="J192" s="51" t="n">
        <f aca="false">IF(AND($E192="A",ISNUMBER($F192),ISNUMBER($G192)),$F192*(1+$G192/30),"")</f>
        <v>215.833333333333</v>
      </c>
      <c r="K192" s="56"/>
      <c r="L192" s="56"/>
    </row>
    <row r="193" customFormat="false" ht="15.75" hidden="false" customHeight="true" outlineLevel="0" collapsed="false">
      <c r="A193" s="78" t="str">
        <f aca="false">IFERROR(IF($B193="","",IF(INDEX(Einheiten!$B$4:$B$63,MATCH($B193,Einheiten!$A$4:$A$63,0))=0,"",INDEX(Einheiten!$B$4:$B$63,MATCH($B193,Einheiten!$A$4:$A$63,0)))),"")</f>
        <v/>
      </c>
      <c r="B193" s="54" t="n">
        <v>8</v>
      </c>
      <c r="C193" s="79" t="str">
        <f aca="false">IFERROR(IF($D193="","",INDEX(Übungen!$B$4:$B$23,MATCH($D193,Übungen!$A$4:$A$23,0))),"")</f>
        <v>Beine vorne</v>
      </c>
      <c r="D193" s="56" t="s">
        <v>377</v>
      </c>
      <c r="E193" s="73" t="s">
        <v>459</v>
      </c>
      <c r="F193" s="55" t="n">
        <v>176</v>
      </c>
      <c r="G193" s="74" t="n">
        <v>6</v>
      </c>
      <c r="H193" s="55"/>
      <c r="I193" s="49" t="n">
        <f aca="false">IF(AND(ISNUMBER($F193),ISNUMBER($G193),$E193&lt;&gt;"R"),$F193*$G193,"")</f>
        <v>1056</v>
      </c>
      <c r="J193" s="51" t="n">
        <f aca="false">IF(AND($E193="A",ISNUMBER($F193),ISNUMBER($G193)),$F193*(1+$G193/30),"")</f>
        <v>211.2</v>
      </c>
      <c r="K193" s="56"/>
      <c r="L193" s="56"/>
    </row>
    <row r="194" customFormat="false" ht="15.75" hidden="false" customHeight="true" outlineLevel="0" collapsed="false">
      <c r="A194" s="78" t="str">
        <f aca="false">IFERROR(IF($B194="","",IF(INDEX(Einheiten!$B$4:$B$63,MATCH($B194,Einheiten!$A$4:$A$63,0))=0,"",INDEX(Einheiten!$B$4:$B$63,MATCH($B194,Einheiten!$A$4:$A$63,0)))),"")</f>
        <v/>
      </c>
      <c r="B194" s="54" t="n">
        <v>8</v>
      </c>
      <c r="C194" s="79" t="str">
        <f aca="false">IFERROR(IF($D194="","",INDEX(Übungen!$B$4:$B$23,MATCH($D194,Übungen!$A$4:$A$23,0))),"")</f>
        <v>Beine vorne</v>
      </c>
      <c r="D194" s="56" t="s">
        <v>377</v>
      </c>
      <c r="E194" s="73" t="s">
        <v>459</v>
      </c>
      <c r="F194" s="55" t="n">
        <v>166.5</v>
      </c>
      <c r="G194" s="74" t="n">
        <v>7</v>
      </c>
      <c r="H194" s="55"/>
      <c r="I194" s="49" t="n">
        <f aca="false">IF(AND(ISNUMBER($F194),ISNUMBER($G194),$E194&lt;&gt;"R"),$F194*$G194,"")</f>
        <v>1165.5</v>
      </c>
      <c r="J194" s="51" t="n">
        <f aca="false">IF(AND($E194="A",ISNUMBER($F194),ISNUMBER($G194)),$F194*(1+$G194/30),"")</f>
        <v>205.35</v>
      </c>
      <c r="K194" s="56"/>
      <c r="L194" s="56"/>
    </row>
    <row r="195" customFormat="false" ht="15.75" hidden="false" customHeight="true" outlineLevel="0" collapsed="false">
      <c r="A195" s="78" t="str">
        <f aca="false">IFERROR(IF($B195="","",IF(INDEX(Einheiten!$B$4:$B$63,MATCH($B195,Einheiten!$A$4:$A$63,0))=0,"",INDEX(Einheiten!$B$4:$B$63,MATCH($B195,Einheiten!$A$4:$A$63,0)))),"")</f>
        <v/>
      </c>
      <c r="B195" s="54" t="n">
        <v>9</v>
      </c>
      <c r="C195" s="79" t="str">
        <f aca="false">IFERROR(IF($D195="","",INDEX(Übungen!$B$4:$B$23,MATCH($D195,Übungen!$A$4:$A$23,0))),"")</f>
        <v>Beine hinten</v>
      </c>
      <c r="D195" s="56" t="s">
        <v>480</v>
      </c>
      <c r="E195" s="73" t="s">
        <v>458</v>
      </c>
      <c r="F195" s="55" t="n">
        <v>60</v>
      </c>
      <c r="G195" s="74"/>
      <c r="H195" s="55"/>
      <c r="I195" s="49" t="str">
        <f aca="false">IF(AND(ISNUMBER($F195),ISNUMBER($G195),$E195&lt;&gt;"R"),$F195*$G195,"")</f>
        <v/>
      </c>
      <c r="J195" s="51" t="str">
        <f aca="false">IF(AND($E195="A",ISNUMBER($F195),ISNUMBER($G195)),$F195*(1+$G195/30),"")</f>
        <v/>
      </c>
      <c r="K195" s="56"/>
      <c r="L195" s="56"/>
    </row>
    <row r="196" customFormat="false" ht="15.75" hidden="false" customHeight="true" outlineLevel="0" collapsed="false">
      <c r="A196" s="78" t="str">
        <f aca="false">IFERROR(IF($B196="","",IF(INDEX(Einheiten!$B$4:$B$63,MATCH($B196,Einheiten!$A$4:$A$63,0))=0,"",INDEX(Einheiten!$B$4:$B$63,MATCH($B196,Einheiten!$A$4:$A$63,0)))),"")</f>
        <v/>
      </c>
      <c r="B196" s="54" t="n">
        <v>9</v>
      </c>
      <c r="C196" s="79" t="str">
        <f aca="false">IFERROR(IF($D196="","",INDEX(Übungen!$B$4:$B$23,MATCH($D196,Übungen!$A$4:$A$23,0))),"")</f>
        <v>Beine hinten</v>
      </c>
      <c r="D196" s="56" t="s">
        <v>480</v>
      </c>
      <c r="E196" s="73" t="s">
        <v>458</v>
      </c>
      <c r="F196" s="55" t="n">
        <v>90</v>
      </c>
      <c r="G196" s="74"/>
      <c r="H196" s="55"/>
      <c r="I196" s="49" t="str">
        <f aca="false">IF(AND(ISNUMBER($F196),ISNUMBER($G196),$E196&lt;&gt;"R"),$F196*$G196,"")</f>
        <v/>
      </c>
      <c r="J196" s="51" t="str">
        <f aca="false">IF(AND($E196="A",ISNUMBER($F196),ISNUMBER($G196)),$F196*(1+$G196/30),"")</f>
        <v/>
      </c>
      <c r="K196" s="56"/>
      <c r="L196" s="56"/>
    </row>
    <row r="197" customFormat="false" ht="15.75" hidden="false" customHeight="true" outlineLevel="0" collapsed="false">
      <c r="A197" s="78" t="str">
        <f aca="false">IFERROR(IF($B197="","",IF(INDEX(Einheiten!$B$4:$B$63,MATCH($B197,Einheiten!$A$4:$A$63,0))=0,"",INDEX(Einheiten!$B$4:$B$63,MATCH($B197,Einheiten!$A$4:$A$63,0)))),"")</f>
        <v/>
      </c>
      <c r="B197" s="54" t="n">
        <v>9</v>
      </c>
      <c r="C197" s="79" t="str">
        <f aca="false">IFERROR(IF($D197="","",INDEX(Übungen!$B$4:$B$23,MATCH($D197,Übungen!$A$4:$A$23,0))),"")</f>
        <v>Beine hinten</v>
      </c>
      <c r="D197" s="56" t="s">
        <v>480</v>
      </c>
      <c r="E197" s="73" t="s">
        <v>459</v>
      </c>
      <c r="F197" s="55" t="n">
        <v>130</v>
      </c>
      <c r="G197" s="74" t="n">
        <v>7</v>
      </c>
      <c r="H197" s="55"/>
      <c r="I197" s="49" t="n">
        <f aca="false">IF(AND(ISNUMBER($F197),ISNUMBER($G197),$E197&lt;&gt;"R"),$F197*$G197,"")</f>
        <v>910</v>
      </c>
      <c r="J197" s="51" t="n">
        <f aca="false">IF(AND($E197="A",ISNUMBER($F197),ISNUMBER($G197)),$F197*(1+$G197/30),"")</f>
        <v>160.333333333333</v>
      </c>
      <c r="K197" s="56"/>
      <c r="L197" s="56"/>
    </row>
    <row r="198" customFormat="false" ht="15.75" hidden="false" customHeight="true" outlineLevel="0" collapsed="false">
      <c r="A198" s="78" t="str">
        <f aca="false">IFERROR(IF($B198="","",IF(INDEX(Einheiten!$B$4:$B$63,MATCH($B198,Einheiten!$A$4:$A$63,0))=0,"",INDEX(Einheiten!$B$4:$B$63,MATCH($B198,Einheiten!$A$4:$A$63,0)))),"")</f>
        <v/>
      </c>
      <c r="B198" s="54" t="n">
        <v>9</v>
      </c>
      <c r="C198" s="79" t="str">
        <f aca="false">IFERROR(IF($D198="","",INDEX(Übungen!$B$4:$B$23,MATCH($D198,Übungen!$A$4:$A$23,0))),"")</f>
        <v>Beine hinten</v>
      </c>
      <c r="D198" s="56" t="s">
        <v>480</v>
      </c>
      <c r="E198" s="73" t="s">
        <v>459</v>
      </c>
      <c r="F198" s="55" t="n">
        <v>135</v>
      </c>
      <c r="G198" s="74" t="n">
        <v>7</v>
      </c>
      <c r="H198" s="55"/>
      <c r="I198" s="49" t="n">
        <f aca="false">IF(AND(ISNUMBER($F198),ISNUMBER($G198),$E198&lt;&gt;"R"),$F198*$G198,"")</f>
        <v>945</v>
      </c>
      <c r="J198" s="51" t="n">
        <f aca="false">IF(AND($E198="A",ISNUMBER($F198),ISNUMBER($G198)),$F198*(1+$G198/30),"")</f>
        <v>166.5</v>
      </c>
      <c r="K198" s="56"/>
      <c r="L198" s="56"/>
    </row>
    <row r="199" customFormat="false" ht="15.75" hidden="false" customHeight="true" outlineLevel="0" collapsed="false">
      <c r="A199" s="78" t="str">
        <f aca="false">IFERROR(IF($B199="","",IF(INDEX(Einheiten!$B$4:$B$63,MATCH($B199,Einheiten!$A$4:$A$63,0))=0,"",INDEX(Einheiten!$B$4:$B$63,MATCH($B199,Einheiten!$A$4:$A$63,0)))),"")</f>
        <v/>
      </c>
      <c r="B199" s="54" t="n">
        <v>9</v>
      </c>
      <c r="C199" s="79" t="str">
        <f aca="false">IFERROR(IF($D199="","",INDEX(Übungen!$B$4:$B$23,MATCH($D199,Übungen!$A$4:$A$23,0))),"")</f>
        <v>Beine hinten</v>
      </c>
      <c r="D199" s="56" t="s">
        <v>480</v>
      </c>
      <c r="E199" s="73" t="s">
        <v>459</v>
      </c>
      <c r="F199" s="55" t="n">
        <v>135</v>
      </c>
      <c r="G199" s="74" t="n">
        <v>6</v>
      </c>
      <c r="H199" s="55"/>
      <c r="I199" s="49" t="n">
        <f aca="false">IF(AND(ISNUMBER($F199),ISNUMBER($G199),$E199&lt;&gt;"R"),$F199*$G199,"")</f>
        <v>810</v>
      </c>
      <c r="J199" s="51" t="n">
        <f aca="false">IF(AND($E199="A",ISNUMBER($F199),ISNUMBER($G199)),$F199*(1+$G199/30),"")</f>
        <v>162</v>
      </c>
      <c r="K199" s="56"/>
      <c r="L199" s="56"/>
    </row>
    <row r="200" customFormat="false" ht="15.75" hidden="false" customHeight="true" outlineLevel="0" collapsed="false">
      <c r="A200" s="78" t="str">
        <f aca="false">IFERROR(IF($B200="","",IF(INDEX(Einheiten!$B$4:$B$63,MATCH($B200,Einheiten!$A$4:$A$63,0))=0,"",INDEX(Einheiten!$B$4:$B$63,MATCH($B200,Einheiten!$A$4:$A$63,0)))),"")</f>
        <v/>
      </c>
      <c r="B200" s="54" t="n">
        <v>9</v>
      </c>
      <c r="C200" s="79" t="str">
        <f aca="false">IFERROR(IF($D200="","",INDEX(Übungen!$B$4:$B$23,MATCH($D200,Übungen!$A$4:$A$23,0))),"")</f>
        <v>Beine hinten</v>
      </c>
      <c r="D200" s="56" t="s">
        <v>394</v>
      </c>
      <c r="E200" s="73" t="s">
        <v>458</v>
      </c>
      <c r="F200" s="55" t="n">
        <v>75</v>
      </c>
      <c r="G200" s="74"/>
      <c r="H200" s="55"/>
      <c r="I200" s="49" t="str">
        <f aca="false">IF(AND(ISNUMBER($F200),ISNUMBER($G200),$E200&lt;&gt;"R"),$F200*$G200,"")</f>
        <v/>
      </c>
      <c r="J200" s="51" t="str">
        <f aca="false">IF(AND($E200="A",ISNUMBER($F200),ISNUMBER($G200)),$F200*(1+$G200/30),"")</f>
        <v/>
      </c>
      <c r="K200" s="56"/>
      <c r="L200" s="56"/>
    </row>
    <row r="201" customFormat="false" ht="15.75" hidden="false" customHeight="true" outlineLevel="0" collapsed="false">
      <c r="A201" s="78" t="str">
        <f aca="false">IFERROR(IF($B201="","",IF(INDEX(Einheiten!$B$4:$B$63,MATCH($B201,Einheiten!$A$4:$A$63,0))=0,"",INDEX(Einheiten!$B$4:$B$63,MATCH($B201,Einheiten!$A$4:$A$63,0)))),"")</f>
        <v/>
      </c>
      <c r="B201" s="54" t="n">
        <v>9</v>
      </c>
      <c r="C201" s="79" t="str">
        <f aca="false">IFERROR(IF($D201="","",INDEX(Übungen!$B$4:$B$23,MATCH($D201,Übungen!$A$4:$A$23,0))),"")</f>
        <v>Beine hinten</v>
      </c>
      <c r="D201" s="56" t="s">
        <v>394</v>
      </c>
      <c r="E201" s="73" t="s">
        <v>458</v>
      </c>
      <c r="F201" s="55" t="n">
        <v>103</v>
      </c>
      <c r="G201" s="74"/>
      <c r="H201" s="55"/>
      <c r="I201" s="49" t="str">
        <f aca="false">IF(AND(ISNUMBER($F201),ISNUMBER($G201),$E201&lt;&gt;"R"),$F201*$G201,"")</f>
        <v/>
      </c>
      <c r="J201" s="51" t="str">
        <f aca="false">IF(AND($E201="A",ISNUMBER($F201),ISNUMBER($G201)),$F201*(1+$G201/30),"")</f>
        <v/>
      </c>
      <c r="K201" s="56"/>
      <c r="L201" s="56"/>
    </row>
    <row r="202" customFormat="false" ht="15.75" hidden="false" customHeight="true" outlineLevel="0" collapsed="false">
      <c r="A202" s="78" t="str">
        <f aca="false">IFERROR(IF($B202="","",IF(INDEX(Einheiten!$B$4:$B$63,MATCH($B202,Einheiten!$A$4:$A$63,0))=0,"",INDEX(Einheiten!$B$4:$B$63,MATCH($B202,Einheiten!$A$4:$A$63,0)))),"")</f>
        <v/>
      </c>
      <c r="B202" s="54" t="n">
        <v>9</v>
      </c>
      <c r="C202" s="79" t="str">
        <f aca="false">IFERROR(IF($D202="","",INDEX(Übungen!$B$4:$B$23,MATCH($D202,Übungen!$A$4:$A$23,0))),"")</f>
        <v>Beine hinten</v>
      </c>
      <c r="D202" s="56" t="s">
        <v>394</v>
      </c>
      <c r="E202" s="73" t="s">
        <v>459</v>
      </c>
      <c r="F202" s="55" t="n">
        <v>145</v>
      </c>
      <c r="G202" s="74" t="n">
        <v>10</v>
      </c>
      <c r="H202" s="55"/>
      <c r="I202" s="49" t="n">
        <f aca="false">IF(AND(ISNUMBER($F202),ISNUMBER($G202),$E202&lt;&gt;"R"),$F202*$G202,"")</f>
        <v>1450</v>
      </c>
      <c r="J202" s="51" t="n">
        <f aca="false">IF(AND($E202="A",ISNUMBER($F202),ISNUMBER($G202)),$F202*(1+$G202/30),"")</f>
        <v>193.333333333333</v>
      </c>
      <c r="K202" s="56"/>
      <c r="L202" s="56"/>
    </row>
    <row r="203" customFormat="false" ht="15.75" hidden="false" customHeight="true" outlineLevel="0" collapsed="false">
      <c r="A203" s="78" t="str">
        <f aca="false">IFERROR(IF($B203="","",IF(INDEX(Einheiten!$B$4:$B$63,MATCH($B203,Einheiten!$A$4:$A$63,0))=0,"",INDEX(Einheiten!$B$4:$B$63,MATCH($B203,Einheiten!$A$4:$A$63,0)))),"")</f>
        <v/>
      </c>
      <c r="B203" s="54" t="n">
        <v>9</v>
      </c>
      <c r="C203" s="79" t="str">
        <f aca="false">IFERROR(IF($D203="","",INDEX(Übungen!$B$4:$B$23,MATCH($D203,Übungen!$A$4:$A$23,0))),"")</f>
        <v>Beine hinten</v>
      </c>
      <c r="D203" s="56" t="s">
        <v>394</v>
      </c>
      <c r="E203" s="73" t="s">
        <v>459</v>
      </c>
      <c r="F203" s="55" t="n">
        <v>165</v>
      </c>
      <c r="G203" s="74" t="n">
        <v>12</v>
      </c>
      <c r="H203" s="55"/>
      <c r="I203" s="49" t="n">
        <f aca="false">IF(AND(ISNUMBER($F203),ISNUMBER($G203),$E203&lt;&gt;"R"),$F203*$G203,"")</f>
        <v>1980</v>
      </c>
      <c r="J203" s="51" t="n">
        <f aca="false">IF(AND($E203="A",ISNUMBER($F203),ISNUMBER($G203)),$F203*(1+$G203/30),"")</f>
        <v>231</v>
      </c>
      <c r="K203" s="56"/>
      <c r="L203" s="56"/>
    </row>
    <row r="204" customFormat="false" ht="15.75" hidden="false" customHeight="true" outlineLevel="0" collapsed="false">
      <c r="A204" s="78" t="str">
        <f aca="false">IFERROR(IF($B204="","",IF(INDEX(Einheiten!$B$4:$B$63,MATCH($B204,Einheiten!$A$4:$A$63,0))=0,"",INDEX(Einheiten!$B$4:$B$63,MATCH($B204,Einheiten!$A$4:$A$63,0)))),"")</f>
        <v/>
      </c>
      <c r="B204" s="54" t="n">
        <v>9</v>
      </c>
      <c r="C204" s="79" t="str">
        <f aca="false">IFERROR(IF($D204="","",INDEX(Übungen!$B$4:$B$23,MATCH($D204,Übungen!$A$4:$A$23,0))),"")</f>
        <v>Beine hinten</v>
      </c>
      <c r="D204" s="56" t="s">
        <v>394</v>
      </c>
      <c r="E204" s="73" t="s">
        <v>459</v>
      </c>
      <c r="F204" s="55" t="n">
        <v>176</v>
      </c>
      <c r="G204" s="74" t="n">
        <v>10</v>
      </c>
      <c r="H204" s="55"/>
      <c r="I204" s="49" t="n">
        <f aca="false">IF(AND(ISNUMBER($F204),ISNUMBER($G204),$E204&lt;&gt;"R"),$F204*$G204,"")</f>
        <v>1760</v>
      </c>
      <c r="J204" s="51" t="n">
        <f aca="false">IF(AND($E204="A",ISNUMBER($F204),ISNUMBER($G204)),$F204*(1+$G204/30),"")</f>
        <v>234.666666666667</v>
      </c>
      <c r="K204" s="56"/>
      <c r="L204" s="56"/>
    </row>
    <row r="205" customFormat="false" ht="15.75" hidden="false" customHeight="true" outlineLevel="0" collapsed="false">
      <c r="A205" s="78" t="str">
        <f aca="false">IFERROR(IF($B205="","",IF(INDEX(Einheiten!$B$4:$B$63,MATCH($B205,Einheiten!$A$4:$A$63,0))=0,"",INDEX(Einheiten!$B$4:$B$63,MATCH($B205,Einheiten!$A$4:$A$63,0)))),"")</f>
        <v/>
      </c>
      <c r="B205" s="54" t="n">
        <v>9</v>
      </c>
      <c r="C205" s="79" t="str">
        <f aca="false">IFERROR(IF($D205="","",INDEX(Übungen!$B$4:$B$23,MATCH($D205,Übungen!$A$4:$A$23,0))),"")</f>
        <v>Beine hinten</v>
      </c>
      <c r="D205" s="56" t="s">
        <v>374</v>
      </c>
      <c r="E205" s="73" t="s">
        <v>458</v>
      </c>
      <c r="F205" s="55" t="n">
        <v>23</v>
      </c>
      <c r="G205" s="74"/>
      <c r="H205" s="55"/>
      <c r="I205" s="49" t="str">
        <f aca="false">IF(AND(ISNUMBER($F205),ISNUMBER($G205),$E205&lt;&gt;"R"),$F205*$G205,"")</f>
        <v/>
      </c>
      <c r="J205" s="51" t="str">
        <f aca="false">IF(AND($E205="A",ISNUMBER($F205),ISNUMBER($G205)),$F205*(1+$G205/30),"")</f>
        <v/>
      </c>
      <c r="K205" s="56"/>
      <c r="L205" s="56"/>
    </row>
    <row r="206" customFormat="false" ht="15.75" hidden="false" customHeight="true" outlineLevel="0" collapsed="false">
      <c r="A206" s="78" t="str">
        <f aca="false">IFERROR(IF($B206="","",IF(INDEX(Einheiten!$B$4:$B$63,MATCH($B206,Einheiten!$A$4:$A$63,0))=0,"",INDEX(Einheiten!$B$4:$B$63,MATCH($B206,Einheiten!$A$4:$A$63,0)))),"")</f>
        <v/>
      </c>
      <c r="B206" s="54" t="n">
        <v>9</v>
      </c>
      <c r="C206" s="79" t="str">
        <f aca="false">IFERROR(IF($D206="","",INDEX(Übungen!$B$4:$B$23,MATCH($D206,Übungen!$A$4:$A$23,0))),"")</f>
        <v>Beine hinten</v>
      </c>
      <c r="D206" s="56" t="s">
        <v>374</v>
      </c>
      <c r="E206" s="73" t="s">
        <v>458</v>
      </c>
      <c r="F206" s="55" t="n">
        <v>40</v>
      </c>
      <c r="G206" s="74"/>
      <c r="H206" s="55"/>
      <c r="I206" s="49" t="str">
        <f aca="false">IF(AND(ISNUMBER($F206),ISNUMBER($G206),$E206&lt;&gt;"R"),$F206*$G206,"")</f>
        <v/>
      </c>
      <c r="J206" s="51" t="str">
        <f aca="false">IF(AND($E206="A",ISNUMBER($F206),ISNUMBER($G206)),$F206*(1+$G206/30),"")</f>
        <v/>
      </c>
      <c r="K206" s="56"/>
      <c r="L206" s="56"/>
    </row>
    <row r="207" customFormat="false" ht="15.75" hidden="false" customHeight="true" outlineLevel="0" collapsed="false">
      <c r="A207" s="78" t="str">
        <f aca="false">IFERROR(IF($B207="","",IF(INDEX(Einheiten!$B$4:$B$63,MATCH($B207,Einheiten!$A$4:$A$63,0))=0,"",INDEX(Einheiten!$B$4:$B$63,MATCH($B207,Einheiten!$A$4:$A$63,0)))),"")</f>
        <v/>
      </c>
      <c r="B207" s="54" t="n">
        <v>9</v>
      </c>
      <c r="C207" s="79" t="str">
        <f aca="false">IFERROR(IF($D207="","",INDEX(Übungen!$B$4:$B$23,MATCH($D207,Übungen!$A$4:$A$23,0))),"")</f>
        <v>Beine hinten</v>
      </c>
      <c r="D207" s="56" t="s">
        <v>374</v>
      </c>
      <c r="E207" s="73" t="s">
        <v>459</v>
      </c>
      <c r="F207" s="55" t="n">
        <v>57.5</v>
      </c>
      <c r="G207" s="74" t="n">
        <v>6</v>
      </c>
      <c r="H207" s="55"/>
      <c r="I207" s="49" t="n">
        <f aca="false">IF(AND(ISNUMBER($F207),ISNUMBER($G207),$E207&lt;&gt;"R"),$F207*$G207,"")</f>
        <v>345</v>
      </c>
      <c r="J207" s="51" t="n">
        <f aca="false">IF(AND($E207="A",ISNUMBER($F207),ISNUMBER($G207)),$F207*(1+$G207/30),"")</f>
        <v>69</v>
      </c>
      <c r="K207" s="56"/>
      <c r="L207" s="56"/>
    </row>
    <row r="208" customFormat="false" ht="15.75" hidden="false" customHeight="true" outlineLevel="0" collapsed="false">
      <c r="A208" s="78" t="str">
        <f aca="false">IFERROR(IF($B208="","",IF(INDEX(Einheiten!$B$4:$B$63,MATCH($B208,Einheiten!$A$4:$A$63,0))=0,"",INDEX(Einheiten!$B$4:$B$63,MATCH($B208,Einheiten!$A$4:$A$63,0)))),"")</f>
        <v/>
      </c>
      <c r="B208" s="54" t="n">
        <v>9</v>
      </c>
      <c r="C208" s="79" t="str">
        <f aca="false">IFERROR(IF($D208="","",INDEX(Übungen!$B$4:$B$23,MATCH($D208,Übungen!$A$4:$A$23,0))),"")</f>
        <v>Beine hinten</v>
      </c>
      <c r="D208" s="56" t="s">
        <v>374</v>
      </c>
      <c r="E208" s="73" t="s">
        <v>459</v>
      </c>
      <c r="F208" s="55" t="n">
        <v>52.5</v>
      </c>
      <c r="G208" s="74" t="n">
        <v>6</v>
      </c>
      <c r="H208" s="55"/>
      <c r="I208" s="49" t="n">
        <f aca="false">IF(AND(ISNUMBER($F208),ISNUMBER($G208),$E208&lt;&gt;"R"),$F208*$G208,"")</f>
        <v>315</v>
      </c>
      <c r="J208" s="51" t="n">
        <f aca="false">IF(AND($E208="A",ISNUMBER($F208),ISNUMBER($G208)),$F208*(1+$G208/30),"")</f>
        <v>63</v>
      </c>
      <c r="K208" s="56"/>
      <c r="L208" s="56"/>
    </row>
    <row r="209" customFormat="false" ht="15.75" hidden="false" customHeight="true" outlineLevel="0" collapsed="false">
      <c r="A209" s="78" t="str">
        <f aca="false">IFERROR(IF($B209="","",IF(INDEX(Einheiten!$B$4:$B$63,MATCH($B209,Einheiten!$A$4:$A$63,0))=0,"",INDEX(Einheiten!$B$4:$B$63,MATCH($B209,Einheiten!$A$4:$A$63,0)))),"")</f>
        <v/>
      </c>
      <c r="B209" s="54" t="n">
        <v>9</v>
      </c>
      <c r="C209" s="79" t="str">
        <f aca="false">IFERROR(IF($D209="","",INDEX(Übungen!$B$4:$B$23,MATCH($D209,Übungen!$A$4:$A$23,0))),"")</f>
        <v>Beine hinten</v>
      </c>
      <c r="D209" s="56" t="s">
        <v>374</v>
      </c>
      <c r="E209" s="73" t="s">
        <v>459</v>
      </c>
      <c r="F209" s="55" t="n">
        <v>50</v>
      </c>
      <c r="G209" s="74" t="n">
        <v>7</v>
      </c>
      <c r="H209" s="55"/>
      <c r="I209" s="49" t="n">
        <f aca="false">IF(AND(ISNUMBER($F209),ISNUMBER($G209),$E209&lt;&gt;"R"),$F209*$G209,"")</f>
        <v>350</v>
      </c>
      <c r="J209" s="51" t="n">
        <f aca="false">IF(AND($E209="A",ISNUMBER($F209),ISNUMBER($G209)),$F209*(1+$G209/30),"")</f>
        <v>61.6666666666667</v>
      </c>
      <c r="K209" s="56"/>
      <c r="L209" s="56"/>
    </row>
    <row r="210" customFormat="false" ht="15.75" hidden="false" customHeight="true" outlineLevel="0" collapsed="false">
      <c r="A210" s="78" t="str">
        <f aca="false">IFERROR(IF($B210="","",IF(INDEX(Einheiten!$B$4:$B$63,MATCH($B210,Einheiten!$A$4:$A$63,0))=0,"",INDEX(Einheiten!$B$4:$B$63,MATCH($B210,Einheiten!$A$4:$A$63,0)))),"")</f>
        <v/>
      </c>
      <c r="B210" s="54" t="n">
        <v>9</v>
      </c>
      <c r="C210" s="79" t="str">
        <f aca="false">IFERROR(IF($D210="","",INDEX(Übungen!$B$4:$B$23,MATCH($D210,Übungen!$A$4:$A$23,0))),"")</f>
        <v>Beine hinten</v>
      </c>
      <c r="D210" s="56" t="s">
        <v>380</v>
      </c>
      <c r="E210" s="73" t="s">
        <v>458</v>
      </c>
      <c r="F210" s="55" t="n">
        <v>80</v>
      </c>
      <c r="G210" s="74"/>
      <c r="H210" s="55"/>
      <c r="I210" s="49" t="str">
        <f aca="false">IF(AND(ISNUMBER($F210),ISNUMBER($G210),$E210&lt;&gt;"R"),$F210*$G210,"")</f>
        <v/>
      </c>
      <c r="J210" s="51" t="str">
        <f aca="false">IF(AND($E210="A",ISNUMBER($F210),ISNUMBER($G210)),$F210*(1+$G210/30),"")</f>
        <v/>
      </c>
      <c r="K210" s="56"/>
      <c r="L210" s="56"/>
    </row>
    <row r="211" customFormat="false" ht="15.75" hidden="false" customHeight="true" outlineLevel="0" collapsed="false">
      <c r="A211" s="78" t="str">
        <f aca="false">IFERROR(IF($B211="","",IF(INDEX(Einheiten!$B$4:$B$63,MATCH($B211,Einheiten!$A$4:$A$63,0))=0,"",INDEX(Einheiten!$B$4:$B$63,MATCH($B211,Einheiten!$A$4:$A$63,0)))),"")</f>
        <v/>
      </c>
      <c r="B211" s="54" t="n">
        <v>9</v>
      </c>
      <c r="C211" s="79" t="str">
        <f aca="false">IFERROR(IF($D211="","",INDEX(Übungen!$B$4:$B$23,MATCH($D211,Übungen!$A$4:$A$23,0))),"")</f>
        <v>Beine hinten</v>
      </c>
      <c r="D211" s="56" t="s">
        <v>380</v>
      </c>
      <c r="E211" s="73" t="s">
        <v>458</v>
      </c>
      <c r="F211" s="55" t="n">
        <v>120</v>
      </c>
      <c r="G211" s="74"/>
      <c r="H211" s="55"/>
      <c r="I211" s="49" t="str">
        <f aca="false">IF(AND(ISNUMBER($F211),ISNUMBER($G211),$E211&lt;&gt;"R"),$F211*$G211,"")</f>
        <v/>
      </c>
      <c r="J211" s="51" t="str">
        <f aca="false">IF(AND($E211="A",ISNUMBER($F211),ISNUMBER($G211)),$F211*(1+$G211/30),"")</f>
        <v/>
      </c>
      <c r="K211" s="56"/>
      <c r="L211" s="56"/>
    </row>
    <row r="212" customFormat="false" ht="15.75" hidden="false" customHeight="true" outlineLevel="0" collapsed="false">
      <c r="A212" s="78" t="str">
        <f aca="false">IFERROR(IF($B212="","",IF(INDEX(Einheiten!$B$4:$B$63,MATCH($B212,Einheiten!$A$4:$A$63,0))=0,"",INDEX(Einheiten!$B$4:$B$63,MATCH($B212,Einheiten!$A$4:$A$63,0)))),"")</f>
        <v/>
      </c>
      <c r="B212" s="54" t="n">
        <v>9</v>
      </c>
      <c r="C212" s="79" t="str">
        <f aca="false">IFERROR(IF($D212="","",INDEX(Übungen!$B$4:$B$23,MATCH($D212,Übungen!$A$4:$A$23,0))),"")</f>
        <v>Beine hinten</v>
      </c>
      <c r="D212" s="56" t="s">
        <v>380</v>
      </c>
      <c r="E212" s="73" t="s">
        <v>459</v>
      </c>
      <c r="F212" s="55" t="n">
        <v>165</v>
      </c>
      <c r="G212" s="74" t="n">
        <v>10</v>
      </c>
      <c r="H212" s="55"/>
      <c r="I212" s="49" t="n">
        <f aca="false">IF(AND(ISNUMBER($F212),ISNUMBER($G212),$E212&lt;&gt;"R"),$F212*$G212,"")</f>
        <v>1650</v>
      </c>
      <c r="J212" s="51" t="n">
        <f aca="false">IF(AND($E212="A",ISNUMBER($F212),ISNUMBER($G212)),$F212*(1+$G212/30),"")</f>
        <v>220</v>
      </c>
      <c r="K212" s="56"/>
      <c r="L212" s="56" t="s">
        <v>486</v>
      </c>
    </row>
    <row r="213" customFormat="false" ht="15.75" hidden="false" customHeight="true" outlineLevel="0" collapsed="false">
      <c r="A213" s="78" t="str">
        <f aca="false">IFERROR(IF($B213="","",IF(INDEX(Einheiten!$B$4:$B$63,MATCH($B213,Einheiten!$A$4:$A$63,0))=0,"",INDEX(Einheiten!$B$4:$B$63,MATCH($B213,Einheiten!$A$4:$A$63,0)))),"")</f>
        <v/>
      </c>
      <c r="B213" s="54" t="n">
        <v>10</v>
      </c>
      <c r="C213" s="79" t="str">
        <f aca="false">IFERROR(IF($D213="","",INDEX(Übungen!$B$4:$B$23,MATCH($D213,Übungen!$A$4:$A$23,0))),"")</f>
        <v>Beine vorne</v>
      </c>
      <c r="D213" s="56" t="s">
        <v>415</v>
      </c>
      <c r="E213" s="73" t="s">
        <v>458</v>
      </c>
      <c r="F213" s="55" t="n">
        <v>46</v>
      </c>
      <c r="G213" s="74"/>
      <c r="H213" s="55"/>
      <c r="I213" s="49" t="str">
        <f aca="false">IF(AND(ISNUMBER($F213),ISNUMBER($G213),$E213&lt;&gt;"R"),$F213*$G213,"")</f>
        <v/>
      </c>
      <c r="J213" s="51" t="str">
        <f aca="false">IF(AND($E213="A",ISNUMBER($F213),ISNUMBER($G213)),$F213*(1+$G213/30),"")</f>
        <v/>
      </c>
      <c r="K213" s="56"/>
      <c r="L213" s="56"/>
    </row>
    <row r="214" customFormat="false" ht="15.75" hidden="false" customHeight="true" outlineLevel="0" collapsed="false">
      <c r="A214" s="78" t="str">
        <f aca="false">IFERROR(IF($B214="","",IF(INDEX(Einheiten!$B$4:$B$63,MATCH($B214,Einheiten!$A$4:$A$63,0))=0,"",INDEX(Einheiten!$B$4:$B$63,MATCH($B214,Einheiten!$A$4:$A$63,0)))),"")</f>
        <v/>
      </c>
      <c r="B214" s="54" t="n">
        <v>10</v>
      </c>
      <c r="C214" s="79" t="str">
        <f aca="false">IFERROR(IF($D214="","",INDEX(Übungen!$B$4:$B$23,MATCH($D214,Übungen!$A$4:$A$23,0))),"")</f>
        <v>Beine vorne</v>
      </c>
      <c r="D214" s="56" t="s">
        <v>415</v>
      </c>
      <c r="E214" s="73" t="s">
        <v>458</v>
      </c>
      <c r="F214" s="55" t="n">
        <v>80.5</v>
      </c>
      <c r="G214" s="74"/>
      <c r="H214" s="55"/>
      <c r="I214" s="49" t="str">
        <f aca="false">IF(AND(ISNUMBER($F214),ISNUMBER($G214),$E214&lt;&gt;"R"),$F214*$G214,"")</f>
        <v/>
      </c>
      <c r="J214" s="51" t="str">
        <f aca="false">IF(AND($E214="A",ISNUMBER($F214),ISNUMBER($G214)),$F214*(1+$G214/30),"")</f>
        <v/>
      </c>
      <c r="K214" s="56"/>
      <c r="L214" s="56"/>
    </row>
    <row r="215" customFormat="false" ht="15.75" hidden="false" customHeight="true" outlineLevel="0" collapsed="false">
      <c r="A215" s="78" t="str">
        <f aca="false">IFERROR(IF($B215="","",IF(INDEX(Einheiten!$B$4:$B$63,MATCH($B215,Einheiten!$A$4:$A$63,0))=0,"",INDEX(Einheiten!$B$4:$B$63,MATCH($B215,Einheiten!$A$4:$A$63,0)))),"")</f>
        <v/>
      </c>
      <c r="B215" s="54" t="n">
        <v>10</v>
      </c>
      <c r="C215" s="79" t="str">
        <f aca="false">IFERROR(IF($D215="","",INDEX(Übungen!$B$4:$B$23,MATCH($D215,Übungen!$A$4:$A$23,0))),"")</f>
        <v>Beine vorne</v>
      </c>
      <c r="D215" s="56" t="s">
        <v>415</v>
      </c>
      <c r="E215" s="73" t="s">
        <v>459</v>
      </c>
      <c r="F215" s="55" t="n">
        <v>115</v>
      </c>
      <c r="G215" s="74" t="n">
        <v>5</v>
      </c>
      <c r="H215" s="55"/>
      <c r="I215" s="49" t="n">
        <f aca="false">IF(AND(ISNUMBER($F215),ISNUMBER($G215),$E215&lt;&gt;"R"),$F215*$G215,"")</f>
        <v>575</v>
      </c>
      <c r="J215" s="51" t="n">
        <f aca="false">IF(AND($E215="A",ISNUMBER($F215),ISNUMBER($G215)),$F215*(1+$G215/30),"")</f>
        <v>134.166666666667</v>
      </c>
      <c r="K215" s="56"/>
      <c r="L215" s="56"/>
    </row>
    <row r="216" customFormat="false" ht="15.75" hidden="false" customHeight="true" outlineLevel="0" collapsed="false">
      <c r="A216" s="78" t="str">
        <f aca="false">IFERROR(IF($B216="","",IF(INDEX(Einheiten!$B$4:$B$63,MATCH($B216,Einheiten!$A$4:$A$63,0))=0,"",INDEX(Einheiten!$B$4:$B$63,MATCH($B216,Einheiten!$A$4:$A$63,0)))),"")</f>
        <v/>
      </c>
      <c r="B216" s="54" t="n">
        <v>10</v>
      </c>
      <c r="C216" s="79" t="str">
        <f aca="false">IFERROR(IF($D216="","",INDEX(Übungen!$B$4:$B$23,MATCH($D216,Übungen!$A$4:$A$23,0))),"")</f>
        <v>Beine vorne</v>
      </c>
      <c r="D216" s="56" t="s">
        <v>415</v>
      </c>
      <c r="E216" s="73" t="s">
        <v>459</v>
      </c>
      <c r="F216" s="55" t="n">
        <v>110</v>
      </c>
      <c r="G216" s="74" t="n">
        <v>6</v>
      </c>
      <c r="H216" s="55"/>
      <c r="I216" s="49" t="n">
        <f aca="false">IF(AND(ISNUMBER($F216),ISNUMBER($G216),$E216&lt;&gt;"R"),$F216*$G216,"")</f>
        <v>660</v>
      </c>
      <c r="J216" s="51" t="n">
        <f aca="false">IF(AND($E216="A",ISNUMBER($F216),ISNUMBER($G216)),$F216*(1+$G216/30),"")</f>
        <v>132</v>
      </c>
      <c r="K216" s="56"/>
      <c r="L216" s="56"/>
    </row>
    <row r="217" customFormat="false" ht="15.75" hidden="false" customHeight="true" outlineLevel="0" collapsed="false">
      <c r="A217" s="78" t="str">
        <f aca="false">IFERROR(IF($B217="","",IF(INDEX(Einheiten!$B$4:$B$63,MATCH($B217,Einheiten!$A$4:$A$63,0))=0,"",INDEX(Einheiten!$B$4:$B$63,MATCH($B217,Einheiten!$A$4:$A$63,0)))),"")</f>
        <v/>
      </c>
      <c r="B217" s="54" t="n">
        <v>10</v>
      </c>
      <c r="C217" s="79" t="str">
        <f aca="false">IFERROR(IF($D217="","",INDEX(Übungen!$B$4:$B$23,MATCH($D217,Übungen!$A$4:$A$23,0))),"")</f>
        <v>Beine vorne</v>
      </c>
      <c r="D217" s="56" t="s">
        <v>415</v>
      </c>
      <c r="E217" s="73" t="s">
        <v>459</v>
      </c>
      <c r="F217" s="55" t="n">
        <v>105</v>
      </c>
      <c r="G217" s="74" t="n">
        <v>6</v>
      </c>
      <c r="H217" s="55"/>
      <c r="I217" s="49" t="n">
        <f aca="false">IF(AND(ISNUMBER($F217),ISNUMBER($G217),$E217&lt;&gt;"R"),$F217*$G217,"")</f>
        <v>630</v>
      </c>
      <c r="J217" s="51" t="n">
        <f aca="false">IF(AND($E217="A",ISNUMBER($F217),ISNUMBER($G217)),$F217*(1+$G217/30),"")</f>
        <v>126</v>
      </c>
      <c r="K217" s="56"/>
      <c r="L217" s="56"/>
    </row>
    <row r="218" customFormat="false" ht="15.75" hidden="false" customHeight="true" outlineLevel="0" collapsed="false">
      <c r="A218" s="78" t="str">
        <f aca="false">IFERROR(IF($B218="","",IF(INDEX(Einheiten!$B$4:$B$63,MATCH($B218,Einheiten!$A$4:$A$63,0))=0,"",INDEX(Einheiten!$B$4:$B$63,MATCH($B218,Einheiten!$A$4:$A$63,0)))),"")</f>
        <v/>
      </c>
      <c r="B218" s="54" t="n">
        <v>10</v>
      </c>
      <c r="C218" s="79" t="str">
        <f aca="false">IFERROR(IF($D218="","",INDEX(Übungen!$B$4:$B$23,MATCH($D218,Übungen!$A$4:$A$23,0))),"")</f>
        <v>Beine vorne</v>
      </c>
      <c r="D218" s="56" t="s">
        <v>386</v>
      </c>
      <c r="E218" s="73" t="s">
        <v>458</v>
      </c>
      <c r="F218" s="55" t="n">
        <v>136</v>
      </c>
      <c r="G218" s="74"/>
      <c r="H218" s="55"/>
      <c r="I218" s="49" t="str">
        <f aca="false">IF(AND(ISNUMBER($F218),ISNUMBER($G218),$E218&lt;&gt;"R"),$F218*$G218,"")</f>
        <v/>
      </c>
      <c r="J218" s="51" t="str">
        <f aca="false">IF(AND($E218="A",ISNUMBER($F218),ISNUMBER($G218)),$F218*(1+$G218/30),"")</f>
        <v/>
      </c>
      <c r="K218" s="56"/>
      <c r="L218" s="56"/>
    </row>
    <row r="219" customFormat="false" ht="15.75" hidden="false" customHeight="true" outlineLevel="0" collapsed="false">
      <c r="A219" s="78" t="str">
        <f aca="false">IFERROR(IF($B219="","",IF(INDEX(Einheiten!$B$4:$B$63,MATCH($B219,Einheiten!$A$4:$A$63,0))=0,"",INDEX(Einheiten!$B$4:$B$63,MATCH($B219,Einheiten!$A$4:$A$63,0)))),"")</f>
        <v/>
      </c>
      <c r="B219" s="54" t="n">
        <v>10</v>
      </c>
      <c r="C219" s="79" t="str">
        <f aca="false">IFERROR(IF($D219="","",INDEX(Übungen!$B$4:$B$23,MATCH($D219,Übungen!$A$4:$A$23,0))),"")</f>
        <v>Beine vorne</v>
      </c>
      <c r="D219" s="56" t="s">
        <v>386</v>
      </c>
      <c r="E219" s="73" t="s">
        <v>458</v>
      </c>
      <c r="F219" s="55" t="n">
        <v>203</v>
      </c>
      <c r="G219" s="74"/>
      <c r="H219" s="55"/>
      <c r="I219" s="49" t="str">
        <f aca="false">IF(AND(ISNUMBER($F219),ISNUMBER($G219),$E219&lt;&gt;"R"),$F219*$G219,"")</f>
        <v/>
      </c>
      <c r="J219" s="51" t="str">
        <f aca="false">IF(AND($E219="A",ISNUMBER($F219),ISNUMBER($G219)),$F219*(1+$G219/30),"")</f>
        <v/>
      </c>
      <c r="K219" s="56"/>
      <c r="L219" s="56"/>
    </row>
    <row r="220" customFormat="false" ht="15.75" hidden="false" customHeight="true" outlineLevel="0" collapsed="false">
      <c r="A220" s="78" t="str">
        <f aca="false">IFERROR(IF($B220="","",IF(INDEX(Einheiten!$B$4:$B$63,MATCH($B220,Einheiten!$A$4:$A$63,0))=0,"",INDEX(Einheiten!$B$4:$B$63,MATCH($B220,Einheiten!$A$4:$A$63,0)))),"")</f>
        <v/>
      </c>
      <c r="B220" s="54" t="n">
        <v>10</v>
      </c>
      <c r="C220" s="79" t="str">
        <f aca="false">IFERROR(IF($D220="","",INDEX(Übungen!$B$4:$B$23,MATCH($D220,Übungen!$A$4:$A$23,0))),"")</f>
        <v>Beine vorne</v>
      </c>
      <c r="D220" s="56" t="s">
        <v>386</v>
      </c>
      <c r="E220" s="73" t="s">
        <v>459</v>
      </c>
      <c r="F220" s="55" t="n">
        <v>300</v>
      </c>
      <c r="G220" s="74" t="n">
        <v>8</v>
      </c>
      <c r="H220" s="55"/>
      <c r="I220" s="49" t="n">
        <f aca="false">IF(AND(ISNUMBER($F220),ISNUMBER($G220),$E220&lt;&gt;"R"),$F220*$G220,"")</f>
        <v>2400</v>
      </c>
      <c r="J220" s="51" t="n">
        <f aca="false">IF(AND($E220="A",ISNUMBER($F220),ISNUMBER($G220)),$F220*(1+$G220/30),"")</f>
        <v>380</v>
      </c>
      <c r="K220" s="56"/>
      <c r="L220" s="56"/>
    </row>
    <row r="221" customFormat="false" ht="15.75" hidden="false" customHeight="true" outlineLevel="0" collapsed="false">
      <c r="A221" s="78" t="str">
        <f aca="false">IFERROR(IF($B221="","",IF(INDEX(Einheiten!$B$4:$B$63,MATCH($B221,Einheiten!$A$4:$A$63,0))=0,"",INDEX(Einheiten!$B$4:$B$63,MATCH($B221,Einheiten!$A$4:$A$63,0)))),"")</f>
        <v/>
      </c>
      <c r="B221" s="54" t="n">
        <v>10</v>
      </c>
      <c r="C221" s="79" t="str">
        <f aca="false">IFERROR(IF($D221="","",INDEX(Übungen!$B$4:$B$23,MATCH($D221,Übungen!$A$4:$A$23,0))),"")</f>
        <v>Beine vorne</v>
      </c>
      <c r="D221" s="56" t="s">
        <v>386</v>
      </c>
      <c r="E221" s="73" t="s">
        <v>459</v>
      </c>
      <c r="F221" s="55" t="n">
        <v>310</v>
      </c>
      <c r="G221" s="74" t="n">
        <v>10</v>
      </c>
      <c r="H221" s="55"/>
      <c r="I221" s="49" t="n">
        <f aca="false">IF(AND(ISNUMBER($F221),ISNUMBER($G221),$E221&lt;&gt;"R"),$F221*$G221,"")</f>
        <v>3100</v>
      </c>
      <c r="J221" s="51" t="n">
        <f aca="false">IF(AND($E221="A",ISNUMBER($F221),ISNUMBER($G221)),$F221*(1+$G221/30),"")</f>
        <v>413.333333333333</v>
      </c>
      <c r="K221" s="56"/>
      <c r="L221" s="56"/>
    </row>
    <row r="222" customFormat="false" ht="15.75" hidden="false" customHeight="true" outlineLevel="0" collapsed="false">
      <c r="A222" s="78" t="str">
        <f aca="false">IFERROR(IF($B222="","",IF(INDEX(Einheiten!$B$4:$B$63,MATCH($B222,Einheiten!$A$4:$A$63,0))=0,"",INDEX(Einheiten!$B$4:$B$63,MATCH($B222,Einheiten!$A$4:$A$63,0)))),"")</f>
        <v/>
      </c>
      <c r="B222" s="54" t="n">
        <v>10</v>
      </c>
      <c r="C222" s="79" t="str">
        <f aca="false">IFERROR(IF($D222="","",INDEX(Übungen!$B$4:$B$23,MATCH($D222,Übungen!$A$4:$A$23,0))),"")</f>
        <v>Beine vorne</v>
      </c>
      <c r="D222" s="56" t="s">
        <v>386</v>
      </c>
      <c r="E222" s="73" t="s">
        <v>459</v>
      </c>
      <c r="F222" s="55" t="n">
        <v>330</v>
      </c>
      <c r="G222" s="74" t="n">
        <v>10</v>
      </c>
      <c r="H222" s="55"/>
      <c r="I222" s="49" t="n">
        <f aca="false">IF(AND(ISNUMBER($F222),ISNUMBER($G222),$E222&lt;&gt;"R"),$F222*$G222,"")</f>
        <v>3300</v>
      </c>
      <c r="J222" s="51" t="n">
        <f aca="false">IF(AND($E222="A",ISNUMBER($F222),ISNUMBER($G222)),$F222*(1+$G222/30),"")</f>
        <v>440</v>
      </c>
      <c r="K222" s="56"/>
      <c r="L222" s="56"/>
    </row>
    <row r="223" customFormat="false" ht="15.75" hidden="false" customHeight="true" outlineLevel="0" collapsed="false">
      <c r="A223" s="78" t="str">
        <f aca="false">IFERROR(IF($B223="","",IF(INDEX(Einheiten!$B$4:$B$63,MATCH($B223,Einheiten!$A$4:$A$63,0))=0,"",INDEX(Einheiten!$B$4:$B$63,MATCH($B223,Einheiten!$A$4:$A$63,0)))),"")</f>
        <v/>
      </c>
      <c r="B223" s="54" t="n">
        <v>10</v>
      </c>
      <c r="C223" s="79" t="str">
        <f aca="false">IFERROR(IF($D223="","",INDEX(Übungen!$B$4:$B$23,MATCH($D223,Übungen!$A$4:$A$23,0))),"")</f>
        <v>Beine vorne</v>
      </c>
      <c r="D223" s="56" t="s">
        <v>369</v>
      </c>
      <c r="E223" s="73" t="s">
        <v>458</v>
      </c>
      <c r="F223" s="55" t="n">
        <v>30</v>
      </c>
      <c r="G223" s="74"/>
      <c r="H223" s="55"/>
      <c r="I223" s="49" t="str">
        <f aca="false">IF(AND(ISNUMBER($F223),ISNUMBER($G223),$E223&lt;&gt;"R"),$F223*$G223,"")</f>
        <v/>
      </c>
      <c r="J223" s="51" t="str">
        <f aca="false">IF(AND($E223="A",ISNUMBER($F223),ISNUMBER($G223)),$F223*(1+$G223/30),"")</f>
        <v/>
      </c>
      <c r="K223" s="56"/>
      <c r="L223" s="56"/>
    </row>
    <row r="224" customFormat="false" ht="15.75" hidden="false" customHeight="true" outlineLevel="0" collapsed="false">
      <c r="A224" s="78" t="str">
        <f aca="false">IFERROR(IF($B224="","",IF(INDEX(Einheiten!$B$4:$B$63,MATCH($B224,Einheiten!$A$4:$A$63,0))=0,"",INDEX(Einheiten!$B$4:$B$63,MATCH($B224,Einheiten!$A$4:$A$63,0)))),"")</f>
        <v/>
      </c>
      <c r="B224" s="54" t="n">
        <v>10</v>
      </c>
      <c r="C224" s="79" t="str">
        <f aca="false">IFERROR(IF($D224="","",INDEX(Übungen!$B$4:$B$23,MATCH($D224,Übungen!$A$4:$A$23,0))),"")</f>
        <v>Beine vorne</v>
      </c>
      <c r="D224" s="56" t="s">
        <v>369</v>
      </c>
      <c r="E224" s="73" t="s">
        <v>458</v>
      </c>
      <c r="F224" s="55" t="n">
        <v>60</v>
      </c>
      <c r="G224" s="74"/>
      <c r="H224" s="55"/>
      <c r="I224" s="49" t="str">
        <f aca="false">IF(AND(ISNUMBER($F224),ISNUMBER($G224),$E224&lt;&gt;"R"),$F224*$G224,"")</f>
        <v/>
      </c>
      <c r="J224" s="51" t="str">
        <f aca="false">IF(AND($E224="A",ISNUMBER($F224),ISNUMBER($G224)),$F224*(1+$G224/30),"")</f>
        <v/>
      </c>
      <c r="K224" s="56"/>
      <c r="L224" s="56"/>
    </row>
    <row r="225" customFormat="false" ht="15.75" hidden="false" customHeight="true" outlineLevel="0" collapsed="false">
      <c r="A225" s="78" t="str">
        <f aca="false">IFERROR(IF($B225="","",IF(INDEX(Einheiten!$B$4:$B$63,MATCH($B225,Einheiten!$A$4:$A$63,0))=0,"",INDEX(Einheiten!$B$4:$B$63,MATCH($B225,Einheiten!$A$4:$A$63,0)))),"")</f>
        <v/>
      </c>
      <c r="B225" s="54" t="n">
        <v>10</v>
      </c>
      <c r="C225" s="79" t="str">
        <f aca="false">IFERROR(IF($D225="","",INDEX(Übungen!$B$4:$B$23,MATCH($D225,Übungen!$A$4:$A$23,0))),"")</f>
        <v>Beine vorne</v>
      </c>
      <c r="D225" s="56" t="s">
        <v>369</v>
      </c>
      <c r="E225" s="73" t="s">
        <v>459</v>
      </c>
      <c r="F225" s="55" t="n">
        <v>80</v>
      </c>
      <c r="G225" s="74" t="n">
        <v>11</v>
      </c>
      <c r="H225" s="55"/>
      <c r="I225" s="49" t="n">
        <f aca="false">IF(AND(ISNUMBER($F225),ISNUMBER($G225),$E225&lt;&gt;"R"),$F225*$G225,"")</f>
        <v>880</v>
      </c>
      <c r="J225" s="51" t="n">
        <f aca="false">IF(AND($E225="A",ISNUMBER($F225),ISNUMBER($G225)),$F225*(1+$G225/30),"")</f>
        <v>109.333333333333</v>
      </c>
      <c r="K225" s="56"/>
      <c r="L225" s="56"/>
    </row>
    <row r="226" customFormat="false" ht="15.75" hidden="false" customHeight="true" outlineLevel="0" collapsed="false">
      <c r="A226" s="78" t="str">
        <f aca="false">IFERROR(IF($B226="","",IF(INDEX(Einheiten!$B$4:$B$63,MATCH($B226,Einheiten!$A$4:$A$63,0))=0,"",INDEX(Einheiten!$B$4:$B$63,MATCH($B226,Einheiten!$A$4:$A$63,0)))),"")</f>
        <v/>
      </c>
      <c r="B226" s="54" t="n">
        <v>10</v>
      </c>
      <c r="C226" s="79" t="str">
        <f aca="false">IFERROR(IF($D226="","",INDEX(Übungen!$B$4:$B$23,MATCH($D226,Übungen!$A$4:$A$23,0))),"")</f>
        <v>Beine vorne</v>
      </c>
      <c r="D226" s="56" t="s">
        <v>369</v>
      </c>
      <c r="E226" s="73" t="s">
        <v>459</v>
      </c>
      <c r="F226" s="55" t="n">
        <v>85</v>
      </c>
      <c r="G226" s="74" t="n">
        <v>7</v>
      </c>
      <c r="H226" s="55"/>
      <c r="I226" s="49" t="n">
        <f aca="false">IF(AND(ISNUMBER($F226),ISNUMBER($G226),$E226&lt;&gt;"R"),$F226*$G226,"")</f>
        <v>595</v>
      </c>
      <c r="J226" s="51" t="n">
        <f aca="false">IF(AND($E226="A",ISNUMBER($F226),ISNUMBER($G226)),$F226*(1+$G226/30),"")</f>
        <v>104.833333333333</v>
      </c>
      <c r="K226" s="56"/>
      <c r="L226" s="56"/>
    </row>
    <row r="227" customFormat="false" ht="15.75" hidden="false" customHeight="true" outlineLevel="0" collapsed="false">
      <c r="A227" s="78" t="str">
        <f aca="false">IFERROR(IF($B227="","",IF(INDEX(Einheiten!$B$4:$B$63,MATCH($B227,Einheiten!$A$4:$A$63,0))=0,"",INDEX(Einheiten!$B$4:$B$63,MATCH($B227,Einheiten!$A$4:$A$63,0)))),"")</f>
        <v/>
      </c>
      <c r="B227" s="54" t="n">
        <v>10</v>
      </c>
      <c r="C227" s="79" t="str">
        <f aca="false">IFERROR(IF($D227="","",INDEX(Übungen!$B$4:$B$23,MATCH($D227,Übungen!$A$4:$A$23,0))),"")</f>
        <v>Beine vorne</v>
      </c>
      <c r="D227" s="56" t="s">
        <v>369</v>
      </c>
      <c r="E227" s="73" t="s">
        <v>459</v>
      </c>
      <c r="F227" s="55" t="n">
        <v>90</v>
      </c>
      <c r="G227" s="74" t="n">
        <v>6</v>
      </c>
      <c r="H227" s="55"/>
      <c r="I227" s="49" t="n">
        <f aca="false">IF(AND(ISNUMBER($F227),ISNUMBER($G227),$E227&lt;&gt;"R"),$F227*$G227,"")</f>
        <v>540</v>
      </c>
      <c r="J227" s="51" t="n">
        <f aca="false">IF(AND($E227="A",ISNUMBER($F227),ISNUMBER($G227)),$F227*(1+$G227/30),"")</f>
        <v>108</v>
      </c>
      <c r="K227" s="56"/>
      <c r="L227" s="56"/>
    </row>
    <row r="228" customFormat="false" ht="15.75" hidden="false" customHeight="true" outlineLevel="0" collapsed="false">
      <c r="A228" s="78" t="str">
        <f aca="false">IFERROR(IF($B228="","",IF(INDEX(Einheiten!$B$4:$B$63,MATCH($B228,Einheiten!$A$4:$A$63,0))=0,"",INDEX(Einheiten!$B$4:$B$63,MATCH($B228,Einheiten!$A$4:$A$63,0)))),"")</f>
        <v/>
      </c>
      <c r="B228" s="54" t="n">
        <v>11</v>
      </c>
      <c r="C228" s="79" t="str">
        <f aca="false">IFERROR(IF($D228="","",INDEX(Übungen!$B$4:$B$23,MATCH($D228,Übungen!$A$4:$A$23,0))),"")</f>
        <v>Beine hinten</v>
      </c>
      <c r="D228" s="56" t="s">
        <v>480</v>
      </c>
      <c r="E228" s="73" t="s">
        <v>458</v>
      </c>
      <c r="F228" s="55" t="n">
        <v>40</v>
      </c>
      <c r="G228" s="74"/>
      <c r="H228" s="55"/>
      <c r="I228" s="49" t="str">
        <f aca="false">IF(AND(ISNUMBER($F228),ISNUMBER($G228),$E228&lt;&gt;"R"),$F228*$G228,"")</f>
        <v/>
      </c>
      <c r="J228" s="51" t="str">
        <f aca="false">IF(AND($E228="A",ISNUMBER($F228),ISNUMBER($G228)),$F228*(1+$G228/30),"")</f>
        <v/>
      </c>
      <c r="K228" s="56"/>
      <c r="L228" s="56"/>
    </row>
    <row r="229" customFormat="false" ht="15.75" hidden="false" customHeight="true" outlineLevel="0" collapsed="false">
      <c r="A229" s="78" t="str">
        <f aca="false">IFERROR(IF($B229="","",IF(INDEX(Einheiten!$B$4:$B$63,MATCH($B229,Einheiten!$A$4:$A$63,0))=0,"",INDEX(Einheiten!$B$4:$B$63,MATCH($B229,Einheiten!$A$4:$A$63,0)))),"")</f>
        <v/>
      </c>
      <c r="B229" s="54" t="n">
        <v>11</v>
      </c>
      <c r="C229" s="79" t="str">
        <f aca="false">IFERROR(IF($D229="","",INDEX(Übungen!$B$4:$B$23,MATCH($D229,Übungen!$A$4:$A$23,0))),"")</f>
        <v>Beine hinten</v>
      </c>
      <c r="D229" s="56" t="s">
        <v>480</v>
      </c>
      <c r="E229" s="73" t="s">
        <v>458</v>
      </c>
      <c r="F229" s="55" t="n">
        <v>70</v>
      </c>
      <c r="G229" s="74"/>
      <c r="H229" s="55"/>
      <c r="I229" s="49" t="str">
        <f aca="false">IF(AND(ISNUMBER($F229),ISNUMBER($G229),$E229&lt;&gt;"R"),$F229*$G229,"")</f>
        <v/>
      </c>
      <c r="J229" s="51" t="str">
        <f aca="false">IF(AND($E229="A",ISNUMBER($F229),ISNUMBER($G229)),$F229*(1+$G229/30),"")</f>
        <v/>
      </c>
      <c r="K229" s="56"/>
      <c r="L229" s="56"/>
    </row>
    <row r="230" customFormat="false" ht="15.75" hidden="false" customHeight="true" outlineLevel="0" collapsed="false">
      <c r="A230" s="78" t="str">
        <f aca="false">IFERROR(IF($B230="","",IF(INDEX(Einheiten!$B$4:$B$63,MATCH($B230,Einheiten!$A$4:$A$63,0))=0,"",INDEX(Einheiten!$B$4:$B$63,MATCH($B230,Einheiten!$A$4:$A$63,0)))),"")</f>
        <v/>
      </c>
      <c r="B230" s="54" t="n">
        <v>11</v>
      </c>
      <c r="C230" s="79" t="str">
        <f aca="false">IFERROR(IF($D230="","",INDEX(Übungen!$B$4:$B$23,MATCH($D230,Übungen!$A$4:$A$23,0))),"")</f>
        <v>Beine hinten</v>
      </c>
      <c r="D230" s="56" t="s">
        <v>480</v>
      </c>
      <c r="E230" s="73" t="s">
        <v>459</v>
      </c>
      <c r="F230" s="55" t="n">
        <v>105</v>
      </c>
      <c r="G230" s="74" t="n">
        <v>7</v>
      </c>
      <c r="H230" s="55"/>
      <c r="I230" s="49" t="n">
        <f aca="false">IF(AND(ISNUMBER($F230),ISNUMBER($G230),$E230&lt;&gt;"R"),$F230*$G230,"")</f>
        <v>735</v>
      </c>
      <c r="J230" s="51" t="n">
        <f aca="false">IF(AND($E230="A",ISNUMBER($F230),ISNUMBER($G230)),$F230*(1+$G230/30),"")</f>
        <v>129.5</v>
      </c>
      <c r="K230" s="56"/>
      <c r="L230" s="56"/>
    </row>
    <row r="231" customFormat="false" ht="15.75" hidden="false" customHeight="true" outlineLevel="0" collapsed="false">
      <c r="A231" s="78" t="str">
        <f aca="false">IFERROR(IF($B231="","",IF(INDEX(Einheiten!$B$4:$B$63,MATCH($B231,Einheiten!$A$4:$A$63,0))=0,"",INDEX(Einheiten!$B$4:$B$63,MATCH($B231,Einheiten!$A$4:$A$63,0)))),"")</f>
        <v/>
      </c>
      <c r="B231" s="54" t="n">
        <v>11</v>
      </c>
      <c r="C231" s="79" t="str">
        <f aca="false">IFERROR(IF($D231="","",INDEX(Übungen!$B$4:$B$23,MATCH($D231,Übungen!$A$4:$A$23,0))),"")</f>
        <v>Beine hinten</v>
      </c>
      <c r="D231" s="56" t="s">
        <v>480</v>
      </c>
      <c r="E231" s="73" t="s">
        <v>459</v>
      </c>
      <c r="F231" s="55" t="n">
        <v>115</v>
      </c>
      <c r="G231" s="74" t="n">
        <v>7</v>
      </c>
      <c r="H231" s="55"/>
      <c r="I231" s="49" t="n">
        <f aca="false">IF(AND(ISNUMBER($F231),ISNUMBER($G231),$E231&lt;&gt;"R"),$F231*$G231,"")</f>
        <v>805</v>
      </c>
      <c r="J231" s="51" t="n">
        <f aca="false">IF(AND($E231="A",ISNUMBER($F231),ISNUMBER($G231)),$F231*(1+$G231/30),"")</f>
        <v>141.833333333333</v>
      </c>
      <c r="K231" s="56"/>
      <c r="L231" s="56"/>
    </row>
    <row r="232" customFormat="false" ht="15.75" hidden="false" customHeight="true" outlineLevel="0" collapsed="false">
      <c r="A232" s="78" t="str">
        <f aca="false">IFERROR(IF($B232="","",IF(INDEX(Einheiten!$B$4:$B$63,MATCH($B232,Einheiten!$A$4:$A$63,0))=0,"",INDEX(Einheiten!$B$4:$B$63,MATCH($B232,Einheiten!$A$4:$A$63,0)))),"")</f>
        <v/>
      </c>
      <c r="B232" s="54" t="n">
        <v>11</v>
      </c>
      <c r="C232" s="79" t="str">
        <f aca="false">IFERROR(IF($D232="","",INDEX(Übungen!$B$4:$B$23,MATCH($D232,Übungen!$A$4:$A$23,0))),"")</f>
        <v>Beine hinten</v>
      </c>
      <c r="D232" s="56" t="s">
        <v>412</v>
      </c>
      <c r="E232" s="73" t="s">
        <v>458</v>
      </c>
      <c r="F232" s="55" t="n">
        <v>100</v>
      </c>
      <c r="G232" s="74"/>
      <c r="H232" s="55"/>
      <c r="I232" s="49" t="str">
        <f aca="false">IF(AND(ISNUMBER($F232),ISNUMBER($G232),$E232&lt;&gt;"R"),$F232*$G232,"")</f>
        <v/>
      </c>
      <c r="J232" s="51" t="str">
        <f aca="false">IF(AND($E232="A",ISNUMBER($F232),ISNUMBER($G232)),$F232*(1+$G232/30),"")</f>
        <v/>
      </c>
      <c r="K232" s="56"/>
      <c r="L232" s="56"/>
    </row>
    <row r="233" customFormat="false" ht="15.75" hidden="false" customHeight="true" outlineLevel="0" collapsed="false">
      <c r="A233" s="78" t="str">
        <f aca="false">IFERROR(IF($B233="","",IF(INDEX(Einheiten!$B$4:$B$63,MATCH($B233,Einheiten!$A$4:$A$63,0))=0,"",INDEX(Einheiten!$B$4:$B$63,MATCH($B233,Einheiten!$A$4:$A$63,0)))),"")</f>
        <v/>
      </c>
      <c r="B233" s="54" t="n">
        <v>11</v>
      </c>
      <c r="C233" s="79" t="str">
        <f aca="false">IFERROR(IF($D233="","",INDEX(Übungen!$B$4:$B$23,MATCH($D233,Übungen!$A$4:$A$23,0))),"")</f>
        <v>Beine hinten</v>
      </c>
      <c r="D233" s="56" t="s">
        <v>412</v>
      </c>
      <c r="E233" s="73" t="s">
        <v>458</v>
      </c>
      <c r="F233" s="55" t="n">
        <v>150</v>
      </c>
      <c r="G233" s="74"/>
      <c r="H233" s="55"/>
      <c r="I233" s="49" t="str">
        <f aca="false">IF(AND(ISNUMBER($F233),ISNUMBER($G233),$E233&lt;&gt;"R"),$F233*$G233,"")</f>
        <v/>
      </c>
      <c r="J233" s="51" t="str">
        <f aca="false">IF(AND($E233="A",ISNUMBER($F233),ISNUMBER($G233)),$F233*(1+$G233/30),"")</f>
        <v/>
      </c>
      <c r="K233" s="56"/>
      <c r="L233" s="56"/>
    </row>
    <row r="234" customFormat="false" ht="15.75" hidden="false" customHeight="true" outlineLevel="0" collapsed="false">
      <c r="A234" s="78" t="str">
        <f aca="false">IFERROR(IF($B234="","",IF(INDEX(Einheiten!$B$4:$B$63,MATCH($B234,Einheiten!$A$4:$A$63,0))=0,"",INDEX(Einheiten!$B$4:$B$63,MATCH($B234,Einheiten!$A$4:$A$63,0)))),"")</f>
        <v/>
      </c>
      <c r="B234" s="54" t="n">
        <v>11</v>
      </c>
      <c r="C234" s="79" t="str">
        <f aca="false">IFERROR(IF($D234="","",INDEX(Übungen!$B$4:$B$23,MATCH($D234,Übungen!$A$4:$A$23,0))),"")</f>
        <v>Beine hinten</v>
      </c>
      <c r="D234" s="56" t="s">
        <v>412</v>
      </c>
      <c r="E234" s="73" t="s">
        <v>459</v>
      </c>
      <c r="F234" s="55" t="n">
        <v>210</v>
      </c>
      <c r="G234" s="74" t="n">
        <v>8</v>
      </c>
      <c r="H234" s="55"/>
      <c r="I234" s="49" t="n">
        <f aca="false">IF(AND(ISNUMBER($F234),ISNUMBER($G234),$E234&lt;&gt;"R"),$F234*$G234,"")</f>
        <v>1680</v>
      </c>
      <c r="J234" s="51" t="n">
        <f aca="false">IF(AND($E234="A",ISNUMBER($F234),ISNUMBER($G234)),$F234*(1+$G234/30),"")</f>
        <v>266</v>
      </c>
      <c r="K234" s="56"/>
      <c r="L234" s="56"/>
    </row>
    <row r="235" customFormat="false" ht="15.75" hidden="false" customHeight="true" outlineLevel="0" collapsed="false">
      <c r="A235" s="78" t="str">
        <f aca="false">IFERROR(IF($B235="","",IF(INDEX(Einheiten!$B$4:$B$63,MATCH($B235,Einheiten!$A$4:$A$63,0))=0,"",INDEX(Einheiten!$B$4:$B$63,MATCH($B235,Einheiten!$A$4:$A$63,0)))),"")</f>
        <v/>
      </c>
      <c r="B235" s="54" t="n">
        <v>11</v>
      </c>
      <c r="C235" s="79" t="str">
        <f aca="false">IFERROR(IF($D235="","",INDEX(Übungen!$B$4:$B$23,MATCH($D235,Übungen!$A$4:$A$23,0))),"")</f>
        <v>Beine hinten</v>
      </c>
      <c r="D235" s="56" t="s">
        <v>412</v>
      </c>
      <c r="E235" s="73" t="s">
        <v>459</v>
      </c>
      <c r="F235" s="55" t="n">
        <v>230</v>
      </c>
      <c r="G235" s="74" t="n">
        <v>10</v>
      </c>
      <c r="H235" s="55"/>
      <c r="I235" s="49" t="n">
        <f aca="false">IF(AND(ISNUMBER($F235),ISNUMBER($G235),$E235&lt;&gt;"R"),$F235*$G235,"")</f>
        <v>2300</v>
      </c>
      <c r="J235" s="51" t="n">
        <f aca="false">IF(AND($E235="A",ISNUMBER($F235),ISNUMBER($G235)),$F235*(1+$G235/30),"")</f>
        <v>306.666666666667</v>
      </c>
      <c r="K235" s="56"/>
      <c r="L235" s="56"/>
    </row>
    <row r="236" customFormat="false" ht="15.75" hidden="false" customHeight="true" outlineLevel="0" collapsed="false">
      <c r="A236" s="78" t="str">
        <f aca="false">IFERROR(IF($B236="","",IF(INDEX(Einheiten!$B$4:$B$63,MATCH($B236,Einheiten!$A$4:$A$63,0))=0,"",INDEX(Einheiten!$B$4:$B$63,MATCH($B236,Einheiten!$A$4:$A$63,0)))),"")</f>
        <v/>
      </c>
      <c r="B236" s="54" t="n">
        <v>11</v>
      </c>
      <c r="C236" s="79" t="str">
        <f aca="false">IFERROR(IF($D236="","",INDEX(Übungen!$B$4:$B$23,MATCH($D236,Übungen!$A$4:$A$23,0))),"")</f>
        <v>Beine hinten</v>
      </c>
      <c r="D236" s="56" t="s">
        <v>412</v>
      </c>
      <c r="E236" s="73" t="s">
        <v>459</v>
      </c>
      <c r="F236" s="55" t="n">
        <v>250</v>
      </c>
      <c r="G236" s="74" t="n">
        <v>6</v>
      </c>
      <c r="H236" s="55"/>
      <c r="I236" s="49" t="n">
        <f aca="false">IF(AND(ISNUMBER($F236),ISNUMBER($G236),$E236&lt;&gt;"R"),$F236*$G236,"")</f>
        <v>1500</v>
      </c>
      <c r="J236" s="51" t="n">
        <f aca="false">IF(AND($E236="A",ISNUMBER($F236),ISNUMBER($G236)),$F236*(1+$G236/30),"")</f>
        <v>300</v>
      </c>
      <c r="K236" s="56"/>
      <c r="L236" s="56"/>
    </row>
    <row r="237" customFormat="false" ht="15.75" hidden="false" customHeight="true" outlineLevel="0" collapsed="false">
      <c r="A237" s="78" t="str">
        <f aca="false">IFERROR(IF($B237="","",IF(INDEX(Einheiten!$B$4:$B$63,MATCH($B237,Einheiten!$A$4:$A$63,0))=0,"",INDEX(Einheiten!$B$4:$B$63,MATCH($B237,Einheiten!$A$4:$A$63,0)))),"")</f>
        <v/>
      </c>
      <c r="B237" s="54" t="n">
        <v>11</v>
      </c>
      <c r="C237" s="79" t="str">
        <f aca="false">IFERROR(IF($D237="","",INDEX(Übungen!$B$4:$B$23,MATCH($D237,Übungen!$A$4:$A$23,0))),"")</f>
        <v>Beine hinten</v>
      </c>
      <c r="D237" s="56" t="s">
        <v>394</v>
      </c>
      <c r="E237" s="73" t="s">
        <v>458</v>
      </c>
      <c r="F237" s="55" t="n">
        <v>56</v>
      </c>
      <c r="G237" s="74"/>
      <c r="H237" s="55"/>
      <c r="I237" s="49" t="str">
        <f aca="false">IF(AND(ISNUMBER($F237),ISNUMBER($G237),$E237&lt;&gt;"R"),$F237*$G237,"")</f>
        <v/>
      </c>
      <c r="J237" s="51" t="str">
        <f aca="false">IF(AND($E237="A",ISNUMBER($F237),ISNUMBER($G237)),$F237*(1+$G237/30),"")</f>
        <v/>
      </c>
      <c r="K237" s="56"/>
      <c r="L237" s="56"/>
    </row>
    <row r="238" customFormat="false" ht="15.75" hidden="false" customHeight="true" outlineLevel="0" collapsed="false">
      <c r="A238" s="78" t="str">
        <f aca="false">IFERROR(IF($B238="","",IF(INDEX(Einheiten!$B$4:$B$63,MATCH($B238,Einheiten!$A$4:$A$63,0))=0,"",INDEX(Einheiten!$B$4:$B$63,MATCH($B238,Einheiten!$A$4:$A$63,0)))),"")</f>
        <v/>
      </c>
      <c r="B238" s="54" t="n">
        <v>11</v>
      </c>
      <c r="C238" s="79" t="str">
        <f aca="false">IFERROR(IF($D238="","",INDEX(Übungen!$B$4:$B$23,MATCH($D238,Übungen!$A$4:$A$23,0))),"")</f>
        <v>Beine hinten</v>
      </c>
      <c r="D238" s="56" t="s">
        <v>394</v>
      </c>
      <c r="E238" s="73" t="s">
        <v>458</v>
      </c>
      <c r="F238" s="55" t="n">
        <v>98</v>
      </c>
      <c r="G238" s="74"/>
      <c r="H238" s="55"/>
      <c r="I238" s="49" t="str">
        <f aca="false">IF(AND(ISNUMBER($F238),ISNUMBER($G238),$E238&lt;&gt;"R"),$F238*$G238,"")</f>
        <v/>
      </c>
      <c r="J238" s="51" t="str">
        <f aca="false">IF(AND($E238="A",ISNUMBER($F238),ISNUMBER($G238)),$F238*(1+$G238/30),"")</f>
        <v/>
      </c>
      <c r="K238" s="56"/>
      <c r="L238" s="56"/>
    </row>
    <row r="239" customFormat="false" ht="15.75" hidden="false" customHeight="true" outlineLevel="0" collapsed="false">
      <c r="A239" s="78" t="str">
        <f aca="false">IFERROR(IF($B239="","",IF(INDEX(Einheiten!$B$4:$B$63,MATCH($B239,Einheiten!$A$4:$A$63,0))=0,"",INDEX(Einheiten!$B$4:$B$63,MATCH($B239,Einheiten!$A$4:$A$63,0)))),"")</f>
        <v/>
      </c>
      <c r="B239" s="54" t="n">
        <v>11</v>
      </c>
      <c r="C239" s="79" t="str">
        <f aca="false">IFERROR(IF($D239="","",INDEX(Übungen!$B$4:$B$23,MATCH($D239,Übungen!$A$4:$A$23,0))),"")</f>
        <v>Beine hinten</v>
      </c>
      <c r="D239" s="56" t="s">
        <v>394</v>
      </c>
      <c r="E239" s="73" t="s">
        <v>459</v>
      </c>
      <c r="F239" s="55" t="n">
        <v>120</v>
      </c>
      <c r="G239" s="74" t="n">
        <v>6</v>
      </c>
      <c r="H239" s="55"/>
      <c r="I239" s="49" t="n">
        <f aca="false">IF(AND(ISNUMBER($F239),ISNUMBER($G239),$E239&lt;&gt;"R"),$F239*$G239,"")</f>
        <v>720</v>
      </c>
      <c r="J239" s="51" t="n">
        <f aca="false">IF(AND($E239="A",ISNUMBER($F239),ISNUMBER($G239)),$F239*(1+$G239/30),"")</f>
        <v>144</v>
      </c>
      <c r="K239" s="56"/>
      <c r="L239" s="56" t="s">
        <v>487</v>
      </c>
    </row>
    <row r="240" customFormat="false" ht="15.75" hidden="false" customHeight="true" outlineLevel="0" collapsed="false">
      <c r="A240" s="78" t="str">
        <f aca="false">IFERROR(IF($B240="","",IF(INDEX(Einheiten!$B$4:$B$63,MATCH($B240,Einheiten!$A$4:$A$63,0))=0,"",INDEX(Einheiten!$B$4:$B$63,MATCH($B240,Einheiten!$A$4:$A$63,0)))),"")</f>
        <v/>
      </c>
      <c r="B240" s="54" t="n">
        <v>11</v>
      </c>
      <c r="C240" s="79" t="str">
        <f aca="false">IFERROR(IF($D240="","",INDEX(Übungen!$B$4:$B$23,MATCH($D240,Übungen!$A$4:$A$23,0))),"")</f>
        <v>Beine hinten</v>
      </c>
      <c r="D240" s="56" t="s">
        <v>394</v>
      </c>
      <c r="E240" s="73" t="s">
        <v>459</v>
      </c>
      <c r="F240" s="55" t="n">
        <v>110</v>
      </c>
      <c r="G240" s="74" t="n">
        <v>6</v>
      </c>
      <c r="H240" s="55"/>
      <c r="I240" s="49" t="n">
        <f aca="false">IF(AND(ISNUMBER($F240),ISNUMBER($G240),$E240&lt;&gt;"R"),$F240*$G240,"")</f>
        <v>660</v>
      </c>
      <c r="J240" s="51" t="n">
        <f aca="false">IF(AND($E240="A",ISNUMBER($F240),ISNUMBER($G240)),$F240*(1+$G240/30),"")</f>
        <v>132</v>
      </c>
      <c r="K240" s="56"/>
      <c r="L240" s="56"/>
    </row>
    <row r="241" customFormat="false" ht="15.75" hidden="false" customHeight="true" outlineLevel="0" collapsed="false">
      <c r="A241" s="78" t="str">
        <f aca="false">IFERROR(IF($B241="","",IF(INDEX(Einheiten!$B$4:$B$63,MATCH($B241,Einheiten!$A$4:$A$63,0))=0,"",INDEX(Einheiten!$B$4:$B$63,MATCH($B241,Einheiten!$A$4:$A$63,0)))),"")</f>
        <v/>
      </c>
      <c r="B241" s="54" t="n">
        <v>11</v>
      </c>
      <c r="C241" s="79" t="str">
        <f aca="false">IFERROR(IF($D241="","",INDEX(Übungen!$B$4:$B$23,MATCH($D241,Übungen!$A$4:$A$23,0))),"")</f>
        <v>Beine hinten</v>
      </c>
      <c r="D241" s="56" t="s">
        <v>394</v>
      </c>
      <c r="E241" s="73" t="s">
        <v>459</v>
      </c>
      <c r="F241" s="55" t="n">
        <v>148</v>
      </c>
      <c r="G241" s="74" t="n">
        <v>10</v>
      </c>
      <c r="H241" s="55"/>
      <c r="I241" s="49" t="n">
        <f aca="false">IF(AND(ISNUMBER($F241),ISNUMBER($G241),$E241&lt;&gt;"R"),$F241*$G241,"")</f>
        <v>1480</v>
      </c>
      <c r="J241" s="51" t="n">
        <f aca="false">IF(AND($E241="A",ISNUMBER($F241),ISNUMBER($G241)),$F241*(1+$G241/30),"")</f>
        <v>197.333333333333</v>
      </c>
      <c r="K241" s="56"/>
      <c r="L241" s="56"/>
    </row>
    <row r="242" customFormat="false" ht="15.75" hidden="false" customHeight="true" outlineLevel="0" collapsed="false">
      <c r="A242" s="78" t="str">
        <f aca="false">IFERROR(IF($B242="","",IF(INDEX(Einheiten!$B$4:$B$63,MATCH($B242,Einheiten!$A$4:$A$63,0))=0,"",INDEX(Einheiten!$B$4:$B$63,MATCH($B242,Einheiten!$A$4:$A$63,0)))),"")</f>
        <v/>
      </c>
      <c r="B242" s="54" t="n">
        <v>11</v>
      </c>
      <c r="C242" s="79" t="str">
        <f aca="false">IFERROR(IF($D242="","",INDEX(Übungen!$B$4:$B$23,MATCH($D242,Übungen!$A$4:$A$23,0))),"")</f>
        <v>Beine hinten</v>
      </c>
      <c r="D242" s="56" t="s">
        <v>394</v>
      </c>
      <c r="E242" s="73" t="s">
        <v>459</v>
      </c>
      <c r="F242" s="55" t="n">
        <v>163</v>
      </c>
      <c r="G242" s="74" t="n">
        <v>8</v>
      </c>
      <c r="H242" s="55"/>
      <c r="I242" s="49" t="n">
        <f aca="false">IF(AND(ISNUMBER($F242),ISNUMBER($G242),$E242&lt;&gt;"R"),$F242*$G242,"")</f>
        <v>1304</v>
      </c>
      <c r="J242" s="51" t="n">
        <f aca="false">IF(AND($E242="A",ISNUMBER($F242),ISNUMBER($G242)),$F242*(1+$G242/30),"")</f>
        <v>206.466666666667</v>
      </c>
      <c r="K242" s="56"/>
      <c r="L242" s="56"/>
    </row>
    <row r="243" customFormat="false" ht="15.75" hidden="false" customHeight="true" outlineLevel="0" collapsed="false">
      <c r="A243" s="78" t="str">
        <f aca="false">IFERROR(IF($B243="","",IF(INDEX(Einheiten!$B$4:$B$63,MATCH($B243,Einheiten!$A$4:$A$63,0))=0,"",INDEX(Einheiten!$B$4:$B$63,MATCH($B243,Einheiten!$A$4:$A$63,0)))),"")</f>
        <v/>
      </c>
      <c r="B243" s="54" t="n">
        <v>11</v>
      </c>
      <c r="C243" s="79" t="str">
        <f aca="false">IFERROR(IF($D243="","",INDEX(Übungen!$B$4:$B$23,MATCH($D243,Übungen!$A$4:$A$23,0))),"")</f>
        <v>Beine hinten</v>
      </c>
      <c r="D243" s="56" t="s">
        <v>394</v>
      </c>
      <c r="E243" s="73" t="s">
        <v>459</v>
      </c>
      <c r="F243" s="55" t="n">
        <v>173</v>
      </c>
      <c r="G243" s="74" t="n">
        <v>6</v>
      </c>
      <c r="H243" s="55"/>
      <c r="I243" s="49" t="n">
        <f aca="false">IF(AND(ISNUMBER($F243),ISNUMBER($G243),$E243&lt;&gt;"R"),$F243*$G243,"")</f>
        <v>1038</v>
      </c>
      <c r="J243" s="51" t="n">
        <f aca="false">IF(AND($E243="A",ISNUMBER($F243),ISNUMBER($G243)),$F243*(1+$G243/30),"")</f>
        <v>207.6</v>
      </c>
      <c r="K243" s="56"/>
      <c r="L243" s="56"/>
    </row>
    <row r="244" customFormat="false" ht="15.75" hidden="false" customHeight="true" outlineLevel="0" collapsed="false">
      <c r="A244" s="78" t="str">
        <f aca="false">IFERROR(IF($B244="","",IF(INDEX(Einheiten!$B$4:$B$63,MATCH($B244,Einheiten!$A$4:$A$63,0))=0,"",INDEX(Einheiten!$B$4:$B$63,MATCH($B244,Einheiten!$A$4:$A$63,0)))),"")</f>
        <v/>
      </c>
      <c r="B244" s="54" t="n">
        <v>11</v>
      </c>
      <c r="C244" s="79" t="str">
        <f aca="false">IFERROR(IF($D244="","",INDEX(Übungen!$B$4:$B$23,MATCH($D244,Übungen!$A$4:$A$23,0))),"")</f>
        <v>Beine hinten</v>
      </c>
      <c r="D244" s="56" t="s">
        <v>380</v>
      </c>
      <c r="E244" s="73" t="s">
        <v>458</v>
      </c>
      <c r="F244" s="55" t="n">
        <v>55</v>
      </c>
      <c r="G244" s="74"/>
      <c r="H244" s="55"/>
      <c r="I244" s="49" t="str">
        <f aca="false">IF(AND(ISNUMBER($F244),ISNUMBER($G244),$E244&lt;&gt;"R"),$F244*$G244,"")</f>
        <v/>
      </c>
      <c r="J244" s="51" t="str">
        <f aca="false">IF(AND($E244="A",ISNUMBER($F244),ISNUMBER($G244)),$F244*(1+$G244/30),"")</f>
        <v/>
      </c>
      <c r="K244" s="56"/>
      <c r="L244" s="56"/>
    </row>
    <row r="245" customFormat="false" ht="15.75" hidden="false" customHeight="true" outlineLevel="0" collapsed="false">
      <c r="A245" s="78" t="str">
        <f aca="false">IFERROR(IF($B245="","",IF(INDEX(Einheiten!$B$4:$B$63,MATCH($B245,Einheiten!$A$4:$A$63,0))=0,"",INDEX(Einheiten!$B$4:$B$63,MATCH($B245,Einheiten!$A$4:$A$63,0)))),"")</f>
        <v/>
      </c>
      <c r="B245" s="54" t="n">
        <v>11</v>
      </c>
      <c r="C245" s="79" t="str">
        <f aca="false">IFERROR(IF($D245="","",INDEX(Übungen!$B$4:$B$23,MATCH($D245,Übungen!$A$4:$A$23,0))),"")</f>
        <v>Beine hinten</v>
      </c>
      <c r="D245" s="56" t="s">
        <v>380</v>
      </c>
      <c r="E245" s="73" t="s">
        <v>458</v>
      </c>
      <c r="F245" s="55" t="n">
        <v>105</v>
      </c>
      <c r="G245" s="74"/>
      <c r="H245" s="55"/>
      <c r="I245" s="49" t="str">
        <f aca="false">IF(AND(ISNUMBER($F245),ISNUMBER($G245),$E245&lt;&gt;"R"),$F245*$G245,"")</f>
        <v/>
      </c>
      <c r="J245" s="51" t="str">
        <f aca="false">IF(AND($E245="A",ISNUMBER($F245),ISNUMBER($G245)),$F245*(1+$G245/30),"")</f>
        <v/>
      </c>
      <c r="K245" s="56"/>
      <c r="L245" s="56"/>
    </row>
    <row r="246" customFormat="false" ht="15.75" hidden="false" customHeight="true" outlineLevel="0" collapsed="false">
      <c r="A246" s="78" t="str">
        <f aca="false">IFERROR(IF($B246="","",IF(INDEX(Einheiten!$B$4:$B$63,MATCH($B246,Einheiten!$A$4:$A$63,0))=0,"",INDEX(Einheiten!$B$4:$B$63,MATCH($B246,Einheiten!$A$4:$A$63,0)))),"")</f>
        <v/>
      </c>
      <c r="B246" s="54" t="n">
        <v>11</v>
      </c>
      <c r="C246" s="79" t="str">
        <f aca="false">IFERROR(IF($D246="","",INDEX(Übungen!$B$4:$B$23,MATCH($D246,Übungen!$A$4:$A$23,0))),"")</f>
        <v>Beine hinten</v>
      </c>
      <c r="D246" s="56" t="s">
        <v>380</v>
      </c>
      <c r="E246" s="73" t="s">
        <v>459</v>
      </c>
      <c r="F246" s="55" t="n">
        <v>155</v>
      </c>
      <c r="G246" s="74" t="n">
        <v>9</v>
      </c>
      <c r="H246" s="55"/>
      <c r="I246" s="49" t="n">
        <f aca="false">IF(AND(ISNUMBER($F246),ISNUMBER($G246),$E246&lt;&gt;"R"),$F246*$G246,"")</f>
        <v>1395</v>
      </c>
      <c r="J246" s="51" t="n">
        <f aca="false">IF(AND($E246="A",ISNUMBER($F246),ISNUMBER($G246)),$F246*(1+$G246/30),"")</f>
        <v>201.5</v>
      </c>
      <c r="K246" s="56"/>
      <c r="L246" s="56"/>
    </row>
    <row r="247" customFormat="false" ht="15.75" hidden="false" customHeight="true" outlineLevel="0" collapsed="false">
      <c r="A247" s="78" t="str">
        <f aca="false">IFERROR(IF($B247="","",IF(INDEX(Einheiten!$B$4:$B$63,MATCH($B247,Einheiten!$A$4:$A$63,0))=0,"",INDEX(Einheiten!$B$4:$B$63,MATCH($B247,Einheiten!$A$4:$A$63,0)))),"")</f>
        <v/>
      </c>
      <c r="B247" s="54" t="n">
        <v>11</v>
      </c>
      <c r="C247" s="79" t="str">
        <f aca="false">IFERROR(IF($D247="","",INDEX(Übungen!$B$4:$B$23,MATCH($D247,Übungen!$A$4:$A$23,0))),"")</f>
        <v>Beine hinten</v>
      </c>
      <c r="D247" s="56" t="s">
        <v>380</v>
      </c>
      <c r="E247" s="73" t="s">
        <v>459</v>
      </c>
      <c r="F247" s="55" t="n">
        <v>165</v>
      </c>
      <c r="G247" s="74" t="n">
        <v>9</v>
      </c>
      <c r="H247" s="55"/>
      <c r="I247" s="49" t="n">
        <f aca="false">IF(AND(ISNUMBER($F247),ISNUMBER($G247),$E247&lt;&gt;"R"),$F247*$G247,"")</f>
        <v>1485</v>
      </c>
      <c r="J247" s="51" t="n">
        <f aca="false">IF(AND($E247="A",ISNUMBER($F247),ISNUMBER($G247)),$F247*(1+$G247/30),"")</f>
        <v>214.5</v>
      </c>
      <c r="K247" s="56"/>
      <c r="L247" s="56"/>
    </row>
    <row r="248" customFormat="false" ht="15.75" hidden="false" customHeight="true" outlineLevel="0" collapsed="false">
      <c r="A248" s="78" t="str">
        <f aca="false">IFERROR(IF($B248="","",IF(INDEX(Einheiten!$B$4:$B$63,MATCH($B248,Einheiten!$A$4:$A$63,0))=0,"",INDEX(Einheiten!$B$4:$B$63,MATCH($B248,Einheiten!$A$4:$A$63,0)))),"")</f>
        <v/>
      </c>
      <c r="B248" s="54" t="n">
        <v>12</v>
      </c>
      <c r="C248" s="79" t="str">
        <f aca="false">IFERROR(IF($D248="","",INDEX(Übungen!$B$4:$B$23,MATCH($D248,Übungen!$A$4:$A$23,0))),"")</f>
        <v>Beine vorne</v>
      </c>
      <c r="D248" s="56" t="s">
        <v>386</v>
      </c>
      <c r="E248" s="73" t="s">
        <v>458</v>
      </c>
      <c r="F248" s="55" t="n">
        <v>100</v>
      </c>
      <c r="G248" s="74"/>
      <c r="H248" s="55"/>
      <c r="I248" s="49" t="str">
        <f aca="false">IF(AND(ISNUMBER($F248),ISNUMBER($G248),$E248&lt;&gt;"R"),$F248*$G248,"")</f>
        <v/>
      </c>
      <c r="J248" s="51" t="str">
        <f aca="false">IF(AND($E248="A",ISNUMBER($F248),ISNUMBER($G248)),$F248*(1+$G248/30),"")</f>
        <v/>
      </c>
      <c r="K248" s="56"/>
      <c r="L248" s="56"/>
    </row>
    <row r="249" customFormat="false" ht="15.75" hidden="false" customHeight="true" outlineLevel="0" collapsed="false">
      <c r="A249" s="78" t="str">
        <f aca="false">IFERROR(IF($B249="","",IF(INDEX(Einheiten!$B$4:$B$63,MATCH($B249,Einheiten!$A$4:$A$63,0))=0,"",INDEX(Einheiten!$B$4:$B$63,MATCH($B249,Einheiten!$A$4:$A$63,0)))),"")</f>
        <v/>
      </c>
      <c r="B249" s="54" t="n">
        <v>12</v>
      </c>
      <c r="C249" s="79" t="str">
        <f aca="false">IFERROR(IF($D249="","",INDEX(Übungen!$B$4:$B$23,MATCH($D249,Übungen!$A$4:$A$23,0))),"")</f>
        <v>Beine vorne</v>
      </c>
      <c r="D249" s="56" t="s">
        <v>386</v>
      </c>
      <c r="E249" s="73" t="s">
        <v>458</v>
      </c>
      <c r="F249" s="55" t="n">
        <v>150</v>
      </c>
      <c r="G249" s="74"/>
      <c r="H249" s="55"/>
      <c r="I249" s="49" t="str">
        <f aca="false">IF(AND(ISNUMBER($F249),ISNUMBER($G249),$E249&lt;&gt;"R"),$F249*$G249,"")</f>
        <v/>
      </c>
      <c r="J249" s="51" t="str">
        <f aca="false">IF(AND($E249="A",ISNUMBER($F249),ISNUMBER($G249)),$F249*(1+$G249/30),"")</f>
        <v/>
      </c>
      <c r="K249" s="56"/>
      <c r="L249" s="56"/>
    </row>
    <row r="250" customFormat="false" ht="15.75" hidden="false" customHeight="true" outlineLevel="0" collapsed="false">
      <c r="A250" s="78" t="str">
        <f aca="false">IFERROR(IF($B250="","",IF(INDEX(Einheiten!$B$4:$B$63,MATCH($B250,Einheiten!$A$4:$A$63,0))=0,"",INDEX(Einheiten!$B$4:$B$63,MATCH($B250,Einheiten!$A$4:$A$63,0)))),"")</f>
        <v/>
      </c>
      <c r="B250" s="54" t="n">
        <v>12</v>
      </c>
      <c r="C250" s="79" t="str">
        <f aca="false">IFERROR(IF($D250="","",INDEX(Übungen!$B$4:$B$23,MATCH($D250,Übungen!$A$4:$A$23,0))),"")</f>
        <v>Beine vorne</v>
      </c>
      <c r="D250" s="56" t="s">
        <v>386</v>
      </c>
      <c r="E250" s="73" t="s">
        <v>459</v>
      </c>
      <c r="F250" s="55" t="n">
        <v>250</v>
      </c>
      <c r="G250" s="74" t="n">
        <v>8</v>
      </c>
      <c r="H250" s="55"/>
      <c r="I250" s="49" t="n">
        <f aca="false">IF(AND(ISNUMBER($F250),ISNUMBER($G250),$E250&lt;&gt;"R"),$F250*$G250,"")</f>
        <v>2000</v>
      </c>
      <c r="J250" s="51" t="n">
        <f aca="false">IF(AND($E250="A",ISNUMBER($F250),ISNUMBER($G250)),$F250*(1+$G250/30),"")</f>
        <v>316.666666666667</v>
      </c>
      <c r="K250" s="56"/>
      <c r="L250" s="56"/>
    </row>
    <row r="251" customFormat="false" ht="15.75" hidden="false" customHeight="true" outlineLevel="0" collapsed="false">
      <c r="A251" s="78" t="str">
        <f aca="false">IFERROR(IF($B251="","",IF(INDEX(Einheiten!$B$4:$B$63,MATCH($B251,Einheiten!$A$4:$A$63,0))=0,"",INDEX(Einheiten!$B$4:$B$63,MATCH($B251,Einheiten!$A$4:$A$63,0)))),"")</f>
        <v/>
      </c>
      <c r="B251" s="54" t="n">
        <v>12</v>
      </c>
      <c r="C251" s="79" t="str">
        <f aca="false">IFERROR(IF($D251="","",INDEX(Übungen!$B$4:$B$23,MATCH($D251,Übungen!$A$4:$A$23,0))),"")</f>
        <v>Beine vorne</v>
      </c>
      <c r="D251" s="56" t="s">
        <v>386</v>
      </c>
      <c r="E251" s="73" t="s">
        <v>459</v>
      </c>
      <c r="F251" s="55" t="n">
        <v>250</v>
      </c>
      <c r="G251" s="74" t="n">
        <v>8</v>
      </c>
      <c r="H251" s="55"/>
      <c r="I251" s="49" t="n">
        <f aca="false">IF(AND(ISNUMBER($F251),ISNUMBER($G251),$E251&lt;&gt;"R"),$F251*$G251,"")</f>
        <v>2000</v>
      </c>
      <c r="J251" s="51" t="n">
        <f aca="false">IF(AND($E251="A",ISNUMBER($F251),ISNUMBER($G251)),$F251*(1+$G251/30),"")</f>
        <v>316.666666666667</v>
      </c>
      <c r="K251" s="56"/>
      <c r="L251" s="56"/>
    </row>
    <row r="252" customFormat="false" ht="15.75" hidden="false" customHeight="true" outlineLevel="0" collapsed="false">
      <c r="A252" s="78" t="str">
        <f aca="false">IFERROR(IF($B252="","",IF(INDEX(Einheiten!$B$4:$B$63,MATCH($B252,Einheiten!$A$4:$A$63,0))=0,"",INDEX(Einheiten!$B$4:$B$63,MATCH($B252,Einheiten!$A$4:$A$63,0)))),"")</f>
        <v/>
      </c>
      <c r="B252" s="54" t="n">
        <v>12</v>
      </c>
      <c r="C252" s="79" t="str">
        <f aca="false">IFERROR(IF($D252="","",INDEX(Übungen!$B$4:$B$23,MATCH($D252,Übungen!$A$4:$A$23,0))),"")</f>
        <v>Beine vorne</v>
      </c>
      <c r="D252" s="56" t="s">
        <v>386</v>
      </c>
      <c r="E252" s="73" t="s">
        <v>459</v>
      </c>
      <c r="F252" s="55" t="n">
        <v>250</v>
      </c>
      <c r="G252" s="74" t="n">
        <v>8</v>
      </c>
      <c r="H252" s="55"/>
      <c r="I252" s="49" t="n">
        <f aca="false">IF(AND(ISNUMBER($F252),ISNUMBER($G252),$E252&lt;&gt;"R"),$F252*$G252,"")</f>
        <v>2000</v>
      </c>
      <c r="J252" s="51" t="n">
        <f aca="false">IF(AND($E252="A",ISNUMBER($F252),ISNUMBER($G252)),$F252*(1+$G252/30),"")</f>
        <v>316.666666666667</v>
      </c>
      <c r="K252" s="56"/>
      <c r="L252" s="56"/>
    </row>
    <row r="253" customFormat="false" ht="15.75" hidden="false" customHeight="true" outlineLevel="0" collapsed="false">
      <c r="A253" s="78" t="str">
        <f aca="false">IFERROR(IF($B253="","",IF(INDEX(Einheiten!$B$4:$B$63,MATCH($B253,Einheiten!$A$4:$A$63,0))=0,"",INDEX(Einheiten!$B$4:$B$63,MATCH($B253,Einheiten!$A$4:$A$63,0)))),"")</f>
        <v/>
      </c>
      <c r="B253" s="54" t="n">
        <v>12</v>
      </c>
      <c r="C253" s="79" t="str">
        <f aca="false">IFERROR(IF($D253="","",INDEX(Übungen!$B$4:$B$23,MATCH($D253,Übungen!$A$4:$A$23,0))),"")</f>
        <v>Beine vorne</v>
      </c>
      <c r="D253" s="56" t="s">
        <v>415</v>
      </c>
      <c r="E253" s="73" t="s">
        <v>458</v>
      </c>
      <c r="F253" s="55" t="n">
        <v>40</v>
      </c>
      <c r="G253" s="74"/>
      <c r="H253" s="55"/>
      <c r="I253" s="49" t="str">
        <f aca="false">IF(AND(ISNUMBER($F253),ISNUMBER($G253),$E253&lt;&gt;"R"),$F253*$G253,"")</f>
        <v/>
      </c>
      <c r="J253" s="51" t="str">
        <f aca="false">IF(AND($E253="A",ISNUMBER($F253),ISNUMBER($G253)),$F253*(1+$G253/30),"")</f>
        <v/>
      </c>
      <c r="K253" s="56"/>
      <c r="L253" s="56"/>
    </row>
    <row r="254" customFormat="false" ht="15.75" hidden="false" customHeight="true" outlineLevel="0" collapsed="false">
      <c r="A254" s="78" t="str">
        <f aca="false">IFERROR(IF($B254="","",IF(INDEX(Einheiten!$B$4:$B$63,MATCH($B254,Einheiten!$A$4:$A$63,0))=0,"",INDEX(Einheiten!$B$4:$B$63,MATCH($B254,Einheiten!$A$4:$A$63,0)))),"")</f>
        <v/>
      </c>
      <c r="B254" s="54" t="n">
        <v>12</v>
      </c>
      <c r="C254" s="79" t="str">
        <f aca="false">IFERROR(IF($D254="","",INDEX(Übungen!$B$4:$B$23,MATCH($D254,Übungen!$A$4:$A$23,0))),"")</f>
        <v>Beine vorne</v>
      </c>
      <c r="D254" s="56" t="s">
        <v>415</v>
      </c>
      <c r="E254" s="73" t="s">
        <v>458</v>
      </c>
      <c r="F254" s="55" t="n">
        <v>50</v>
      </c>
      <c r="G254" s="74"/>
      <c r="H254" s="55"/>
      <c r="I254" s="49" t="str">
        <f aca="false">IF(AND(ISNUMBER($F254),ISNUMBER($G254),$E254&lt;&gt;"R"),$F254*$G254,"")</f>
        <v/>
      </c>
      <c r="J254" s="51" t="str">
        <f aca="false">IF(AND($E254="A",ISNUMBER($F254),ISNUMBER($G254)),$F254*(1+$G254/30),"")</f>
        <v/>
      </c>
      <c r="K254" s="56"/>
      <c r="L254" s="56"/>
    </row>
    <row r="255" customFormat="false" ht="15.75" hidden="false" customHeight="true" outlineLevel="0" collapsed="false">
      <c r="A255" s="78" t="str">
        <f aca="false">IFERROR(IF($B255="","",IF(INDEX(Einheiten!$B$4:$B$63,MATCH($B255,Einheiten!$A$4:$A$63,0))=0,"",INDEX(Einheiten!$B$4:$B$63,MATCH($B255,Einheiten!$A$4:$A$63,0)))),"")</f>
        <v/>
      </c>
      <c r="B255" s="54" t="n">
        <v>12</v>
      </c>
      <c r="C255" s="79" t="str">
        <f aca="false">IFERROR(IF($D255="","",INDEX(Übungen!$B$4:$B$23,MATCH($D255,Übungen!$A$4:$A$23,0))),"")</f>
        <v>Beine vorne</v>
      </c>
      <c r="D255" s="56" t="s">
        <v>415</v>
      </c>
      <c r="E255" s="73" t="s">
        <v>459</v>
      </c>
      <c r="F255" s="55" t="n">
        <v>80</v>
      </c>
      <c r="G255" s="74" t="n">
        <v>6</v>
      </c>
      <c r="H255" s="55"/>
      <c r="I255" s="49" t="n">
        <f aca="false">IF(AND(ISNUMBER($F255),ISNUMBER($G255),$E255&lt;&gt;"R"),$F255*$G255,"")</f>
        <v>480</v>
      </c>
      <c r="J255" s="51" t="n">
        <f aca="false">IF(AND($E255="A",ISNUMBER($F255),ISNUMBER($G255)),$F255*(1+$G255/30),"")</f>
        <v>96</v>
      </c>
      <c r="K255" s="56"/>
      <c r="L255" s="56"/>
    </row>
    <row r="256" customFormat="false" ht="15.75" hidden="false" customHeight="true" outlineLevel="0" collapsed="false">
      <c r="A256" s="78" t="str">
        <f aca="false">IFERROR(IF($B256="","",IF(INDEX(Einheiten!$B$4:$B$63,MATCH($B256,Einheiten!$A$4:$A$63,0))=0,"",INDEX(Einheiten!$B$4:$B$63,MATCH($B256,Einheiten!$A$4:$A$63,0)))),"")</f>
        <v/>
      </c>
      <c r="B256" s="54" t="n">
        <v>12</v>
      </c>
      <c r="C256" s="79" t="str">
        <f aca="false">IFERROR(IF($D256="","",INDEX(Übungen!$B$4:$B$23,MATCH($D256,Übungen!$A$4:$A$23,0))),"")</f>
        <v>Beine vorne</v>
      </c>
      <c r="D256" s="56" t="s">
        <v>415</v>
      </c>
      <c r="E256" s="73" t="s">
        <v>459</v>
      </c>
      <c r="F256" s="55" t="n">
        <v>70</v>
      </c>
      <c r="G256" s="74" t="n">
        <v>7</v>
      </c>
      <c r="H256" s="55"/>
      <c r="I256" s="49" t="n">
        <f aca="false">IF(AND(ISNUMBER($F256),ISNUMBER($G256),$E256&lt;&gt;"R"),$F256*$G256,"")</f>
        <v>490</v>
      </c>
      <c r="J256" s="51" t="n">
        <f aca="false">IF(AND($E256="A",ISNUMBER($F256),ISNUMBER($G256)),$F256*(1+$G256/30),"")</f>
        <v>86.3333333333333</v>
      </c>
      <c r="K256" s="56"/>
      <c r="L256" s="56"/>
    </row>
    <row r="257" customFormat="false" ht="15.75" hidden="false" customHeight="true" outlineLevel="0" collapsed="false">
      <c r="A257" s="78" t="str">
        <f aca="false">IFERROR(IF($B257="","",IF(INDEX(Einheiten!$B$4:$B$63,MATCH($B257,Einheiten!$A$4:$A$63,0))=0,"",INDEX(Einheiten!$B$4:$B$63,MATCH($B257,Einheiten!$A$4:$A$63,0)))),"")</f>
        <v/>
      </c>
      <c r="B257" s="54" t="n">
        <v>12</v>
      </c>
      <c r="C257" s="79" t="str">
        <f aca="false">IFERROR(IF($D257="","",INDEX(Übungen!$B$4:$B$23,MATCH($D257,Übungen!$A$4:$A$23,0))),"")</f>
        <v>Beine vorne</v>
      </c>
      <c r="D257" s="56" t="s">
        <v>415</v>
      </c>
      <c r="E257" s="73" t="s">
        <v>459</v>
      </c>
      <c r="F257" s="55" t="n">
        <v>50</v>
      </c>
      <c r="G257" s="74" t="n">
        <v>8</v>
      </c>
      <c r="H257" s="55"/>
      <c r="I257" s="49" t="n">
        <f aca="false">IF(AND(ISNUMBER($F257),ISNUMBER($G257),$E257&lt;&gt;"R"),$F257*$G257,"")</f>
        <v>400</v>
      </c>
      <c r="J257" s="51" t="n">
        <f aca="false">IF(AND($E257="A",ISNUMBER($F257),ISNUMBER($G257)),$F257*(1+$G257/30),"")</f>
        <v>63.3333333333333</v>
      </c>
      <c r="K257" s="56"/>
      <c r="L257" s="56"/>
    </row>
    <row r="258" customFormat="false" ht="15.75" hidden="false" customHeight="true" outlineLevel="0" collapsed="false">
      <c r="A258" s="78" t="str">
        <f aca="false">IFERROR(IF($B258="","",IF(INDEX(Einheiten!$B$4:$B$63,MATCH($B258,Einheiten!$A$4:$A$63,0))=0,"",INDEX(Einheiten!$B$4:$B$63,MATCH($B258,Einheiten!$A$4:$A$63,0)))),"")</f>
        <v/>
      </c>
      <c r="B258" s="54" t="n">
        <v>12</v>
      </c>
      <c r="C258" s="79" t="str">
        <f aca="false">IFERROR(IF($D258="","",INDEX(Übungen!$B$4:$B$23,MATCH($D258,Übungen!$A$4:$A$23,0))),"")</f>
        <v>Beine vorne</v>
      </c>
      <c r="D258" s="56" t="s">
        <v>369</v>
      </c>
      <c r="E258" s="73" t="s">
        <v>458</v>
      </c>
      <c r="F258" s="55" t="n">
        <v>25</v>
      </c>
      <c r="G258" s="74"/>
      <c r="H258" s="55"/>
      <c r="I258" s="49" t="str">
        <f aca="false">IF(AND(ISNUMBER($F258),ISNUMBER($G258),$E258&lt;&gt;"R"),$F258*$G258,"")</f>
        <v/>
      </c>
      <c r="J258" s="51" t="str">
        <f aca="false">IF(AND($E258="A",ISNUMBER($F258),ISNUMBER($G258)),$F258*(1+$G258/30),"")</f>
        <v/>
      </c>
      <c r="K258" s="56"/>
      <c r="L258" s="56"/>
    </row>
    <row r="259" customFormat="false" ht="15.75" hidden="false" customHeight="true" outlineLevel="0" collapsed="false">
      <c r="A259" s="78" t="str">
        <f aca="false">IFERROR(IF($B259="","",IF(INDEX(Einheiten!$B$4:$B$63,MATCH($B259,Einheiten!$A$4:$A$63,0))=0,"",INDEX(Einheiten!$B$4:$B$63,MATCH($B259,Einheiten!$A$4:$A$63,0)))),"")</f>
        <v/>
      </c>
      <c r="B259" s="54" t="n">
        <v>12</v>
      </c>
      <c r="C259" s="79" t="str">
        <f aca="false">IFERROR(IF($D259="","",INDEX(Übungen!$B$4:$B$23,MATCH($D259,Übungen!$A$4:$A$23,0))),"")</f>
        <v>Beine vorne</v>
      </c>
      <c r="D259" s="56" t="s">
        <v>369</v>
      </c>
      <c r="E259" s="73" t="s">
        <v>458</v>
      </c>
      <c r="F259" s="55" t="n">
        <v>40</v>
      </c>
      <c r="G259" s="74"/>
      <c r="H259" s="55"/>
      <c r="I259" s="49" t="str">
        <f aca="false">IF(AND(ISNUMBER($F259),ISNUMBER($G259),$E259&lt;&gt;"R"),$F259*$G259,"")</f>
        <v/>
      </c>
      <c r="J259" s="51" t="str">
        <f aca="false">IF(AND($E259="A",ISNUMBER($F259),ISNUMBER($G259)),$F259*(1+$G259/30),"")</f>
        <v/>
      </c>
      <c r="K259" s="56"/>
      <c r="L259" s="56"/>
    </row>
    <row r="260" customFormat="false" ht="15.75" hidden="false" customHeight="true" outlineLevel="0" collapsed="false">
      <c r="A260" s="78" t="str">
        <f aca="false">IFERROR(IF($B260="","",IF(INDEX(Einheiten!$B$4:$B$63,MATCH($B260,Einheiten!$A$4:$A$63,0))=0,"",INDEX(Einheiten!$B$4:$B$63,MATCH($B260,Einheiten!$A$4:$A$63,0)))),"")</f>
        <v/>
      </c>
      <c r="B260" s="54" t="n">
        <v>12</v>
      </c>
      <c r="C260" s="79" t="str">
        <f aca="false">IFERROR(IF($D260="","",INDEX(Übungen!$B$4:$B$23,MATCH($D260,Übungen!$A$4:$A$23,0))),"")</f>
        <v>Beine vorne</v>
      </c>
      <c r="D260" s="56" t="s">
        <v>369</v>
      </c>
      <c r="E260" s="73" t="s">
        <v>459</v>
      </c>
      <c r="F260" s="55" t="n">
        <v>65</v>
      </c>
      <c r="G260" s="74" t="n">
        <v>8</v>
      </c>
      <c r="H260" s="55"/>
      <c r="I260" s="49" t="n">
        <f aca="false">IF(AND(ISNUMBER($F260),ISNUMBER($G260),$E260&lt;&gt;"R"),$F260*$G260,"")</f>
        <v>520</v>
      </c>
      <c r="J260" s="51" t="n">
        <f aca="false">IF(AND($E260="A",ISNUMBER($F260),ISNUMBER($G260)),$F260*(1+$G260/30),"")</f>
        <v>82.3333333333333</v>
      </c>
      <c r="K260" s="56"/>
      <c r="L260" s="56"/>
    </row>
    <row r="261" customFormat="false" ht="15.75" hidden="false" customHeight="true" outlineLevel="0" collapsed="false">
      <c r="A261" s="78" t="str">
        <f aca="false">IFERROR(IF($B261="","",IF(INDEX(Einheiten!$B$4:$B$63,MATCH($B261,Einheiten!$A$4:$A$63,0))=0,"",INDEX(Einheiten!$B$4:$B$63,MATCH($B261,Einheiten!$A$4:$A$63,0)))),"")</f>
        <v/>
      </c>
      <c r="B261" s="54" t="n">
        <v>12</v>
      </c>
      <c r="C261" s="79" t="str">
        <f aca="false">IFERROR(IF($D261="","",INDEX(Übungen!$B$4:$B$23,MATCH($D261,Übungen!$A$4:$A$23,0))),"")</f>
        <v>Beine vorne</v>
      </c>
      <c r="D261" s="56" t="s">
        <v>369</v>
      </c>
      <c r="E261" s="73" t="s">
        <v>459</v>
      </c>
      <c r="F261" s="55" t="n">
        <v>70</v>
      </c>
      <c r="G261" s="74" t="n">
        <v>8</v>
      </c>
      <c r="H261" s="55"/>
      <c r="I261" s="49" t="n">
        <f aca="false">IF(AND(ISNUMBER($F261),ISNUMBER($G261),$E261&lt;&gt;"R"),$F261*$G261,"")</f>
        <v>560</v>
      </c>
      <c r="J261" s="51" t="n">
        <f aca="false">IF(AND($E261="A",ISNUMBER($F261),ISNUMBER($G261)),$F261*(1+$G261/30),"")</f>
        <v>88.6666666666667</v>
      </c>
      <c r="K261" s="56"/>
      <c r="L261" s="56"/>
    </row>
    <row r="262" customFormat="false" ht="15.75" hidden="false" customHeight="true" outlineLevel="0" collapsed="false">
      <c r="A262" s="78" t="str">
        <f aca="false">IFERROR(IF($B262="","",IF(INDEX(Einheiten!$B$4:$B$63,MATCH($B262,Einheiten!$A$4:$A$63,0))=0,"",INDEX(Einheiten!$B$4:$B$63,MATCH($B262,Einheiten!$A$4:$A$63,0)))),"")</f>
        <v/>
      </c>
      <c r="B262" s="54" t="n">
        <v>12</v>
      </c>
      <c r="C262" s="79" t="str">
        <f aca="false">IFERROR(IF($D262="","",INDEX(Übungen!$B$4:$B$23,MATCH($D262,Übungen!$A$4:$A$23,0))),"")</f>
        <v>Beine vorne</v>
      </c>
      <c r="D262" s="56" t="s">
        <v>369</v>
      </c>
      <c r="E262" s="73" t="s">
        <v>459</v>
      </c>
      <c r="F262" s="55" t="n">
        <v>77.5</v>
      </c>
      <c r="G262" s="74" t="n">
        <v>8</v>
      </c>
      <c r="H262" s="55"/>
      <c r="I262" s="49" t="n">
        <f aca="false">IF(AND(ISNUMBER($F262),ISNUMBER($G262),$E262&lt;&gt;"R"),$F262*$G262,"")</f>
        <v>620</v>
      </c>
      <c r="J262" s="51" t="n">
        <f aca="false">IF(AND($E262="A",ISNUMBER($F262),ISNUMBER($G262)),$F262*(1+$G262/30),"")</f>
        <v>98.1666666666667</v>
      </c>
      <c r="K262" s="56"/>
      <c r="L262" s="56"/>
    </row>
    <row r="263" customFormat="false" ht="15.75" hidden="false" customHeight="true" outlineLevel="0" collapsed="false">
      <c r="A263" s="78" t="str">
        <f aca="false">IFERROR(IF($B263="","",IF(INDEX(Einheiten!$B$4:$B$63,MATCH($B263,Einheiten!$A$4:$A$63,0))=0,"",INDEX(Einheiten!$B$4:$B$63,MATCH($B263,Einheiten!$A$4:$A$63,0)))),"")</f>
        <v/>
      </c>
      <c r="B263" s="54" t="n">
        <v>13</v>
      </c>
      <c r="C263" s="79" t="str">
        <f aca="false">IFERROR(IF($D263="","",INDEX(Übungen!$B$4:$B$23,MATCH($D263,Übungen!$A$4:$A$23,0))),"")</f>
        <v>Beine hinten</v>
      </c>
      <c r="D263" s="56" t="s">
        <v>407</v>
      </c>
      <c r="E263" s="73" t="s">
        <v>458</v>
      </c>
      <c r="F263" s="55" t="n">
        <v>50</v>
      </c>
      <c r="G263" s="74"/>
      <c r="H263" s="55"/>
      <c r="I263" s="49" t="str">
        <f aca="false">IF(AND(ISNUMBER($F263),ISNUMBER($G263),$E263&lt;&gt;"R"),$F263*$G263,"")</f>
        <v/>
      </c>
      <c r="J263" s="51" t="str">
        <f aca="false">IF(AND($E263="A",ISNUMBER($F263),ISNUMBER($G263)),$F263*(1+$G263/30),"")</f>
        <v/>
      </c>
      <c r="K263" s="56"/>
      <c r="L263" s="56" t="s">
        <v>488</v>
      </c>
    </row>
    <row r="264" customFormat="false" ht="15.75" hidden="false" customHeight="true" outlineLevel="0" collapsed="false">
      <c r="A264" s="78" t="str">
        <f aca="false">IFERROR(IF($B264="","",IF(INDEX(Einheiten!$B$4:$B$63,MATCH($B264,Einheiten!$A$4:$A$63,0))=0,"",INDEX(Einheiten!$B$4:$B$63,MATCH($B264,Einheiten!$A$4:$A$63,0)))),"")</f>
        <v/>
      </c>
      <c r="B264" s="54" t="n">
        <v>13</v>
      </c>
      <c r="C264" s="79" t="str">
        <f aca="false">IFERROR(IF($D264="","",INDEX(Übungen!$B$4:$B$23,MATCH($D264,Übungen!$A$4:$A$23,0))),"")</f>
        <v>Beine hinten</v>
      </c>
      <c r="D264" s="56" t="s">
        <v>407</v>
      </c>
      <c r="E264" s="73" t="s">
        <v>458</v>
      </c>
      <c r="F264" s="55" t="n">
        <v>100</v>
      </c>
      <c r="G264" s="74"/>
      <c r="H264" s="55"/>
      <c r="I264" s="49" t="str">
        <f aca="false">IF(AND(ISNUMBER($F264),ISNUMBER($G264),$E264&lt;&gt;"R"),$F264*$G264,"")</f>
        <v/>
      </c>
      <c r="J264" s="51" t="str">
        <f aca="false">IF(AND($E264="A",ISNUMBER($F264),ISNUMBER($G264)),$F264*(1+$G264/30),"")</f>
        <v/>
      </c>
      <c r="K264" s="56"/>
      <c r="L264" s="56"/>
    </row>
    <row r="265" customFormat="false" ht="15.75" hidden="false" customHeight="true" outlineLevel="0" collapsed="false">
      <c r="A265" s="78" t="str">
        <f aca="false">IFERROR(IF($B265="","",IF(INDEX(Einheiten!$B$4:$B$63,MATCH($B265,Einheiten!$A$4:$A$63,0))=0,"",INDEX(Einheiten!$B$4:$B$63,MATCH($B265,Einheiten!$A$4:$A$63,0)))),"")</f>
        <v/>
      </c>
      <c r="B265" s="54" t="n">
        <v>13</v>
      </c>
      <c r="C265" s="79" t="str">
        <f aca="false">IFERROR(IF($D265="","",INDEX(Übungen!$B$4:$B$23,MATCH($D265,Übungen!$A$4:$A$23,0))),"")</f>
        <v>Beine hinten</v>
      </c>
      <c r="D265" s="56" t="s">
        <v>407</v>
      </c>
      <c r="E265" s="73" t="s">
        <v>459</v>
      </c>
      <c r="F265" s="55" t="n">
        <v>180</v>
      </c>
      <c r="G265" s="74" t="n">
        <v>8</v>
      </c>
      <c r="H265" s="55"/>
      <c r="I265" s="49" t="n">
        <f aca="false">IF(AND(ISNUMBER($F265),ISNUMBER($G265),$E265&lt;&gt;"R"),$F265*$G265,"")</f>
        <v>1440</v>
      </c>
      <c r="J265" s="51" t="n">
        <f aca="false">IF(AND($E265="A",ISNUMBER($F265),ISNUMBER($G265)),$F265*(1+$G265/30),"")</f>
        <v>228</v>
      </c>
      <c r="K265" s="56"/>
      <c r="L265" s="56"/>
    </row>
    <row r="266" customFormat="false" ht="15.75" hidden="false" customHeight="true" outlineLevel="0" collapsed="false">
      <c r="A266" s="78" t="str">
        <f aca="false">IFERROR(IF($B266="","",IF(INDEX(Einheiten!$B$4:$B$63,MATCH($B266,Einheiten!$A$4:$A$63,0))=0,"",INDEX(Einheiten!$B$4:$B$63,MATCH($B266,Einheiten!$A$4:$A$63,0)))),"")</f>
        <v/>
      </c>
      <c r="B266" s="54" t="n">
        <v>13</v>
      </c>
      <c r="C266" s="79" t="str">
        <f aca="false">IFERROR(IF($D266="","",INDEX(Übungen!$B$4:$B$23,MATCH($D266,Übungen!$A$4:$A$23,0))),"")</f>
        <v>Beine hinten</v>
      </c>
      <c r="D266" s="56" t="s">
        <v>407</v>
      </c>
      <c r="E266" s="73" t="s">
        <v>459</v>
      </c>
      <c r="F266" s="55" t="n">
        <v>190</v>
      </c>
      <c r="G266" s="74" t="n">
        <v>8</v>
      </c>
      <c r="H266" s="55"/>
      <c r="I266" s="49" t="n">
        <f aca="false">IF(AND(ISNUMBER($F266),ISNUMBER($G266),$E266&lt;&gt;"R"),$F266*$G266,"")</f>
        <v>1520</v>
      </c>
      <c r="J266" s="51" t="n">
        <f aca="false">IF(AND($E266="A",ISNUMBER($F266),ISNUMBER($G266)),$F266*(1+$G266/30),"")</f>
        <v>240.666666666667</v>
      </c>
      <c r="K266" s="56"/>
      <c r="L266" s="56"/>
    </row>
    <row r="267" customFormat="false" ht="15.75" hidden="false" customHeight="true" outlineLevel="0" collapsed="false">
      <c r="A267" s="78" t="str">
        <f aca="false">IFERROR(IF($B267="","",IF(INDEX(Einheiten!$B$4:$B$63,MATCH($B267,Einheiten!$A$4:$A$63,0))=0,"",INDEX(Einheiten!$B$4:$B$63,MATCH($B267,Einheiten!$A$4:$A$63,0)))),"")</f>
        <v/>
      </c>
      <c r="B267" s="54" t="n">
        <v>13</v>
      </c>
      <c r="C267" s="79" t="str">
        <f aca="false">IFERROR(IF($D267="","",INDEX(Übungen!$B$4:$B$23,MATCH($D267,Übungen!$A$4:$A$23,0))),"")</f>
        <v>Beine hinten</v>
      </c>
      <c r="D267" s="56" t="s">
        <v>407</v>
      </c>
      <c r="E267" s="73" t="s">
        <v>459</v>
      </c>
      <c r="F267" s="55" t="n">
        <v>210</v>
      </c>
      <c r="G267" s="74" t="n">
        <v>6</v>
      </c>
      <c r="H267" s="55"/>
      <c r="I267" s="49" t="n">
        <f aca="false">IF(AND(ISNUMBER($F267),ISNUMBER($G267),$E267&lt;&gt;"R"),$F267*$G267,"")</f>
        <v>1260</v>
      </c>
      <c r="J267" s="51" t="n">
        <f aca="false">IF(AND($E267="A",ISNUMBER($F267),ISNUMBER($G267)),$F267*(1+$G267/30),"")</f>
        <v>252</v>
      </c>
      <c r="K267" s="56"/>
      <c r="L267" s="56"/>
    </row>
    <row r="268" customFormat="false" ht="15.75" hidden="false" customHeight="true" outlineLevel="0" collapsed="false">
      <c r="A268" s="78" t="str">
        <f aca="false">IFERROR(IF($B268="","",IF(INDEX(Einheiten!$B$4:$B$63,MATCH($B268,Einheiten!$A$4:$A$63,0))=0,"",INDEX(Einheiten!$B$4:$B$63,MATCH($B268,Einheiten!$A$4:$A$63,0)))),"")</f>
        <v/>
      </c>
      <c r="B268" s="54" t="n">
        <v>13</v>
      </c>
      <c r="C268" s="79" t="str">
        <f aca="false">IFERROR(IF($D268="","",INDEX(Übungen!$B$4:$B$23,MATCH($D268,Übungen!$A$4:$A$23,0))),"")</f>
        <v>Beine hinten</v>
      </c>
      <c r="D268" s="56" t="s">
        <v>412</v>
      </c>
      <c r="E268" s="73" t="s">
        <v>458</v>
      </c>
      <c r="F268" s="55" t="n">
        <v>100</v>
      </c>
      <c r="G268" s="74"/>
      <c r="H268" s="55"/>
      <c r="I268" s="49" t="str">
        <f aca="false">IF(AND(ISNUMBER($F268),ISNUMBER($G268),$E268&lt;&gt;"R"),$F268*$G268,"")</f>
        <v/>
      </c>
      <c r="J268" s="51" t="str">
        <f aca="false">IF(AND($E268="A",ISNUMBER($F268),ISNUMBER($G268)),$F268*(1+$G268/30),"")</f>
        <v/>
      </c>
      <c r="K268" s="56"/>
      <c r="L268" s="56"/>
    </row>
    <row r="269" customFormat="false" ht="15.75" hidden="false" customHeight="true" outlineLevel="0" collapsed="false">
      <c r="A269" s="78" t="str">
        <f aca="false">IFERROR(IF($B269="","",IF(INDEX(Einheiten!$B$4:$B$63,MATCH($B269,Einheiten!$A$4:$A$63,0))=0,"",INDEX(Einheiten!$B$4:$B$63,MATCH($B269,Einheiten!$A$4:$A$63,0)))),"")</f>
        <v/>
      </c>
      <c r="B269" s="54" t="n">
        <v>13</v>
      </c>
      <c r="C269" s="79" t="str">
        <f aca="false">IFERROR(IF($D269="","",INDEX(Übungen!$B$4:$B$23,MATCH($D269,Übungen!$A$4:$A$23,0))),"")</f>
        <v>Beine hinten</v>
      </c>
      <c r="D269" s="56" t="s">
        <v>412</v>
      </c>
      <c r="E269" s="73" t="s">
        <v>458</v>
      </c>
      <c r="F269" s="55" t="n">
        <v>170</v>
      </c>
      <c r="G269" s="74"/>
      <c r="H269" s="55"/>
      <c r="I269" s="49" t="str">
        <f aca="false">IF(AND(ISNUMBER($F269),ISNUMBER($G269),$E269&lt;&gt;"R"),$F269*$G269,"")</f>
        <v/>
      </c>
      <c r="J269" s="51" t="str">
        <f aca="false">IF(AND($E269="A",ISNUMBER($F269),ISNUMBER($G269)),$F269*(1+$G269/30),"")</f>
        <v/>
      </c>
      <c r="K269" s="56"/>
      <c r="L269" s="56"/>
    </row>
    <row r="270" customFormat="false" ht="15.75" hidden="false" customHeight="true" outlineLevel="0" collapsed="false">
      <c r="A270" s="78" t="str">
        <f aca="false">IFERROR(IF($B270="","",IF(INDEX(Einheiten!$B$4:$B$63,MATCH($B270,Einheiten!$A$4:$A$63,0))=0,"",INDEX(Einheiten!$B$4:$B$63,MATCH($B270,Einheiten!$A$4:$A$63,0)))),"")</f>
        <v/>
      </c>
      <c r="B270" s="54" t="n">
        <v>13</v>
      </c>
      <c r="C270" s="79" t="str">
        <f aca="false">IFERROR(IF($D270="","",INDEX(Übungen!$B$4:$B$23,MATCH($D270,Übungen!$A$4:$A$23,0))),"")</f>
        <v>Beine hinten</v>
      </c>
      <c r="D270" s="56" t="s">
        <v>412</v>
      </c>
      <c r="E270" s="73" t="s">
        <v>459</v>
      </c>
      <c r="F270" s="55" t="n">
        <v>250</v>
      </c>
      <c r="G270" s="74" t="n">
        <v>10</v>
      </c>
      <c r="H270" s="55"/>
      <c r="I270" s="49" t="n">
        <f aca="false">IF(AND(ISNUMBER($F270),ISNUMBER($G270),$E270&lt;&gt;"R"),$F270*$G270,"")</f>
        <v>2500</v>
      </c>
      <c r="J270" s="51" t="n">
        <f aca="false">IF(AND($E270="A",ISNUMBER($F270),ISNUMBER($G270)),$F270*(1+$G270/30),"")</f>
        <v>333.333333333333</v>
      </c>
      <c r="K270" s="56"/>
      <c r="L270" s="56"/>
    </row>
    <row r="271" customFormat="false" ht="15.75" hidden="false" customHeight="true" outlineLevel="0" collapsed="false">
      <c r="A271" s="78" t="str">
        <f aca="false">IFERROR(IF($B271="","",IF(INDEX(Einheiten!$B$4:$B$63,MATCH($B271,Einheiten!$A$4:$A$63,0))=0,"",INDEX(Einheiten!$B$4:$B$63,MATCH($B271,Einheiten!$A$4:$A$63,0)))),"")</f>
        <v/>
      </c>
      <c r="B271" s="54" t="n">
        <v>13</v>
      </c>
      <c r="C271" s="79" t="str">
        <f aca="false">IFERROR(IF($D271="","",INDEX(Übungen!$B$4:$B$23,MATCH($D271,Übungen!$A$4:$A$23,0))),"")</f>
        <v>Beine hinten</v>
      </c>
      <c r="D271" s="56" t="s">
        <v>412</v>
      </c>
      <c r="E271" s="73" t="s">
        <v>459</v>
      </c>
      <c r="F271" s="55" t="n">
        <v>270</v>
      </c>
      <c r="G271" s="74" t="n">
        <v>8</v>
      </c>
      <c r="H271" s="55"/>
      <c r="I271" s="49" t="n">
        <f aca="false">IF(AND(ISNUMBER($F271),ISNUMBER($G271),$E271&lt;&gt;"R"),$F271*$G271,"")</f>
        <v>2160</v>
      </c>
      <c r="J271" s="51" t="n">
        <f aca="false">IF(AND($E271="A",ISNUMBER($F271),ISNUMBER($G271)),$F271*(1+$G271/30),"")</f>
        <v>342</v>
      </c>
      <c r="K271" s="56"/>
      <c r="L271" s="56"/>
    </row>
    <row r="272" customFormat="false" ht="15.75" hidden="false" customHeight="true" outlineLevel="0" collapsed="false">
      <c r="A272" s="78" t="str">
        <f aca="false">IFERROR(IF($B272="","",IF(INDEX(Einheiten!$B$4:$B$63,MATCH($B272,Einheiten!$A$4:$A$63,0))=0,"",INDEX(Einheiten!$B$4:$B$63,MATCH($B272,Einheiten!$A$4:$A$63,0)))),"")</f>
        <v/>
      </c>
      <c r="B272" s="54" t="n">
        <v>13</v>
      </c>
      <c r="C272" s="79" t="str">
        <f aca="false">IFERROR(IF($D272="","",INDEX(Übungen!$B$4:$B$23,MATCH($D272,Übungen!$A$4:$A$23,0))),"")</f>
        <v>Beine hinten</v>
      </c>
      <c r="D272" s="56" t="s">
        <v>412</v>
      </c>
      <c r="E272" s="73" t="s">
        <v>459</v>
      </c>
      <c r="F272" s="55" t="n">
        <v>280</v>
      </c>
      <c r="G272" s="74" t="n">
        <v>6</v>
      </c>
      <c r="H272" s="55"/>
      <c r="I272" s="49" t="n">
        <f aca="false">IF(AND(ISNUMBER($F272),ISNUMBER($G272),$E272&lt;&gt;"R"),$F272*$G272,"")</f>
        <v>1680</v>
      </c>
      <c r="J272" s="51" t="n">
        <f aca="false">IF(AND($E272="A",ISNUMBER($F272),ISNUMBER($G272)),$F272*(1+$G272/30),"")</f>
        <v>336</v>
      </c>
      <c r="K272" s="56"/>
      <c r="L272" s="56"/>
    </row>
    <row r="273" customFormat="false" ht="15.75" hidden="false" customHeight="true" outlineLevel="0" collapsed="false">
      <c r="A273" s="78" t="str">
        <f aca="false">IFERROR(IF($B273="","",IF(INDEX(Einheiten!$B$4:$B$63,MATCH($B273,Einheiten!$A$4:$A$63,0))=0,"",INDEX(Einheiten!$B$4:$B$63,MATCH($B273,Einheiten!$A$4:$A$63,0)))),"")</f>
        <v/>
      </c>
      <c r="B273" s="54" t="n">
        <v>13</v>
      </c>
      <c r="C273" s="79" t="str">
        <f aca="false">IFERROR(IF($D273="","",INDEX(Übungen!$B$4:$B$23,MATCH($D273,Übungen!$A$4:$A$23,0))),"")</f>
        <v>Beine hinten</v>
      </c>
      <c r="D273" s="56" t="s">
        <v>394</v>
      </c>
      <c r="E273" s="73" t="s">
        <v>458</v>
      </c>
      <c r="F273" s="55" t="n">
        <v>70</v>
      </c>
      <c r="G273" s="74"/>
      <c r="H273" s="55"/>
      <c r="I273" s="49" t="str">
        <f aca="false">IF(AND(ISNUMBER($F273),ISNUMBER($G273),$E273&lt;&gt;"R"),$F273*$G273,"")</f>
        <v/>
      </c>
      <c r="J273" s="51" t="str">
        <f aca="false">IF(AND($E273="A",ISNUMBER($F273),ISNUMBER($G273)),$F273*(1+$G273/30),"")</f>
        <v/>
      </c>
      <c r="K273" s="56"/>
      <c r="L273" s="56"/>
    </row>
    <row r="274" customFormat="false" ht="15.75" hidden="false" customHeight="true" outlineLevel="0" collapsed="false">
      <c r="A274" s="78" t="str">
        <f aca="false">IFERROR(IF($B274="","",IF(INDEX(Einheiten!$B$4:$B$63,MATCH($B274,Einheiten!$A$4:$A$63,0))=0,"",INDEX(Einheiten!$B$4:$B$63,MATCH($B274,Einheiten!$A$4:$A$63,0)))),"")</f>
        <v/>
      </c>
      <c r="B274" s="54" t="n">
        <v>13</v>
      </c>
      <c r="C274" s="79" t="str">
        <f aca="false">IFERROR(IF($D274="","",INDEX(Übungen!$B$4:$B$23,MATCH($D274,Übungen!$A$4:$A$23,0))),"")</f>
        <v>Beine hinten</v>
      </c>
      <c r="D274" s="56" t="s">
        <v>394</v>
      </c>
      <c r="E274" s="73" t="s">
        <v>458</v>
      </c>
      <c r="F274" s="55" t="n">
        <v>103</v>
      </c>
      <c r="G274" s="74"/>
      <c r="H274" s="55"/>
      <c r="I274" s="49" t="str">
        <f aca="false">IF(AND(ISNUMBER($F274),ISNUMBER($G274),$E274&lt;&gt;"R"),$F274*$G274,"")</f>
        <v/>
      </c>
      <c r="J274" s="51" t="str">
        <f aca="false">IF(AND($E274="A",ISNUMBER($F274),ISNUMBER($G274)),$F274*(1+$G274/30),"")</f>
        <v/>
      </c>
      <c r="K274" s="56"/>
      <c r="L274" s="56"/>
    </row>
    <row r="275" customFormat="false" ht="15.75" hidden="false" customHeight="true" outlineLevel="0" collapsed="false">
      <c r="A275" s="78" t="str">
        <f aca="false">IFERROR(IF($B275="","",IF(INDEX(Einheiten!$B$4:$B$63,MATCH($B275,Einheiten!$A$4:$A$63,0))=0,"",INDEX(Einheiten!$B$4:$B$63,MATCH($B275,Einheiten!$A$4:$A$63,0)))),"")</f>
        <v/>
      </c>
      <c r="B275" s="54" t="n">
        <v>13</v>
      </c>
      <c r="C275" s="79" t="str">
        <f aca="false">IFERROR(IF($D275="","",INDEX(Übungen!$B$4:$B$23,MATCH($D275,Übungen!$A$4:$A$23,0))),"")</f>
        <v>Beine hinten</v>
      </c>
      <c r="D275" s="56" t="s">
        <v>394</v>
      </c>
      <c r="E275" s="73" t="s">
        <v>459</v>
      </c>
      <c r="F275" s="55" t="n">
        <v>168</v>
      </c>
      <c r="G275" s="74" t="n">
        <v>7</v>
      </c>
      <c r="H275" s="55"/>
      <c r="I275" s="49" t="n">
        <f aca="false">IF(AND(ISNUMBER($F275),ISNUMBER($G275),$E275&lt;&gt;"R"),$F275*$G275,"")</f>
        <v>1176</v>
      </c>
      <c r="J275" s="51" t="n">
        <f aca="false">IF(AND($E275="A",ISNUMBER($F275),ISNUMBER($G275)),$F275*(1+$G275/30),"")</f>
        <v>207.2</v>
      </c>
      <c r="K275" s="56"/>
      <c r="L275" s="56" t="s">
        <v>489</v>
      </c>
    </row>
    <row r="276" customFormat="false" ht="15.75" hidden="false" customHeight="true" outlineLevel="0" collapsed="false">
      <c r="A276" s="78" t="str">
        <f aca="false">IFERROR(IF($B276="","",IF(INDEX(Einheiten!$B$4:$B$63,MATCH($B276,Einheiten!$A$4:$A$63,0))=0,"",INDEX(Einheiten!$B$4:$B$63,MATCH($B276,Einheiten!$A$4:$A$63,0)))),"")</f>
        <v/>
      </c>
      <c r="B276" s="54" t="n">
        <v>13</v>
      </c>
      <c r="C276" s="79" t="str">
        <f aca="false">IFERROR(IF($D276="","",INDEX(Übungen!$B$4:$B$23,MATCH($D276,Übungen!$A$4:$A$23,0))),"")</f>
        <v>Beine hinten</v>
      </c>
      <c r="D276" s="56" t="s">
        <v>374</v>
      </c>
      <c r="E276" s="73" t="s">
        <v>458</v>
      </c>
      <c r="F276" s="55" t="n">
        <v>25</v>
      </c>
      <c r="G276" s="74"/>
      <c r="H276" s="55"/>
      <c r="I276" s="49" t="str">
        <f aca="false">IF(AND(ISNUMBER($F276),ISNUMBER($G276),$E276&lt;&gt;"R"),$F276*$G276,"")</f>
        <v/>
      </c>
      <c r="J276" s="51" t="str">
        <f aca="false">IF(AND($E276="A",ISNUMBER($F276),ISNUMBER($G276)),$F276*(1+$G276/30),"")</f>
        <v/>
      </c>
      <c r="K276" s="56"/>
      <c r="L276" s="56"/>
    </row>
    <row r="277" customFormat="false" ht="15.75" hidden="false" customHeight="true" outlineLevel="0" collapsed="false">
      <c r="A277" s="78" t="str">
        <f aca="false">IFERROR(IF($B277="","",IF(INDEX(Einheiten!$B$4:$B$63,MATCH($B277,Einheiten!$A$4:$A$63,0))=0,"",INDEX(Einheiten!$B$4:$B$63,MATCH($B277,Einheiten!$A$4:$A$63,0)))),"")</f>
        <v/>
      </c>
      <c r="B277" s="54" t="n">
        <v>13</v>
      </c>
      <c r="C277" s="79" t="str">
        <f aca="false">IFERROR(IF($D277="","",INDEX(Übungen!$B$4:$B$23,MATCH($D277,Übungen!$A$4:$A$23,0))),"")</f>
        <v>Beine hinten</v>
      </c>
      <c r="D277" s="56" t="s">
        <v>374</v>
      </c>
      <c r="E277" s="73" t="s">
        <v>458</v>
      </c>
      <c r="F277" s="55" t="n">
        <v>30</v>
      </c>
      <c r="G277" s="74"/>
      <c r="H277" s="55"/>
      <c r="I277" s="49" t="str">
        <f aca="false">IF(AND(ISNUMBER($F277),ISNUMBER($G277),$E277&lt;&gt;"R"),$F277*$G277,"")</f>
        <v/>
      </c>
      <c r="J277" s="51" t="str">
        <f aca="false">IF(AND($E277="A",ISNUMBER($F277),ISNUMBER($G277)),$F277*(1+$G277/30),"")</f>
        <v/>
      </c>
      <c r="K277" s="56"/>
      <c r="L277" s="56"/>
    </row>
    <row r="278" customFormat="false" ht="15.75" hidden="false" customHeight="true" outlineLevel="0" collapsed="false">
      <c r="A278" s="78" t="str">
        <f aca="false">IFERROR(IF($B278="","",IF(INDEX(Einheiten!$B$4:$B$63,MATCH($B278,Einheiten!$A$4:$A$63,0))=0,"",INDEX(Einheiten!$B$4:$B$63,MATCH($B278,Einheiten!$A$4:$A$63,0)))),"")</f>
        <v/>
      </c>
      <c r="B278" s="54" t="n">
        <v>13</v>
      </c>
      <c r="C278" s="79" t="str">
        <f aca="false">IFERROR(IF($D278="","",INDEX(Übungen!$B$4:$B$23,MATCH($D278,Übungen!$A$4:$A$23,0))),"")</f>
        <v>Beine hinten</v>
      </c>
      <c r="D278" s="56" t="s">
        <v>374</v>
      </c>
      <c r="E278" s="73" t="s">
        <v>459</v>
      </c>
      <c r="F278" s="55" t="n">
        <v>40</v>
      </c>
      <c r="G278" s="74" t="n">
        <v>8</v>
      </c>
      <c r="H278" s="55"/>
      <c r="I278" s="49" t="n">
        <f aca="false">IF(AND(ISNUMBER($F278),ISNUMBER($G278),$E278&lt;&gt;"R"),$F278*$G278,"")</f>
        <v>320</v>
      </c>
      <c r="J278" s="51" t="n">
        <f aca="false">IF(AND($E278="A",ISNUMBER($F278),ISNUMBER($G278)),$F278*(1+$G278/30),"")</f>
        <v>50.6666666666667</v>
      </c>
      <c r="K278" s="56"/>
      <c r="L278" s="56" t="s">
        <v>490</v>
      </c>
    </row>
    <row r="279" customFormat="false" ht="15.75" hidden="false" customHeight="true" outlineLevel="0" collapsed="false">
      <c r="A279" s="78" t="str">
        <f aca="false">IFERROR(IF($B279="","",IF(INDEX(Einheiten!$B$4:$B$63,MATCH($B279,Einheiten!$A$4:$A$63,0))=0,"",INDEX(Einheiten!$B$4:$B$63,MATCH($B279,Einheiten!$A$4:$A$63,0)))),"")</f>
        <v/>
      </c>
      <c r="B279" s="54" t="n">
        <v>13</v>
      </c>
      <c r="C279" s="79" t="str">
        <f aca="false">IFERROR(IF($D279="","",INDEX(Übungen!$B$4:$B$23,MATCH($D279,Übungen!$A$4:$A$23,0))),"")</f>
        <v>Beine hinten</v>
      </c>
      <c r="D279" s="56" t="s">
        <v>374</v>
      </c>
      <c r="E279" s="73" t="s">
        <v>459</v>
      </c>
      <c r="F279" s="55" t="n">
        <v>42.5</v>
      </c>
      <c r="G279" s="74" t="n">
        <v>7</v>
      </c>
      <c r="H279" s="55"/>
      <c r="I279" s="49" t="n">
        <f aca="false">IF(AND(ISNUMBER($F279),ISNUMBER($G279),$E279&lt;&gt;"R"),$F279*$G279,"")</f>
        <v>297.5</v>
      </c>
      <c r="J279" s="51" t="n">
        <f aca="false">IF(AND($E279="A",ISNUMBER($F279),ISNUMBER($G279)),$F279*(1+$G279/30),"")</f>
        <v>52.4166666666667</v>
      </c>
      <c r="K279" s="56"/>
      <c r="L279" s="56"/>
    </row>
    <row r="280" customFormat="false" ht="15.75" hidden="false" customHeight="true" outlineLevel="0" collapsed="false">
      <c r="A280" s="78" t="str">
        <f aca="false">IFERROR(IF($B280="","",IF(INDEX(Einheiten!$B$4:$B$63,MATCH($B280,Einheiten!$A$4:$A$63,0))=0,"",INDEX(Einheiten!$B$4:$B$63,MATCH($B280,Einheiten!$A$4:$A$63,0)))),"")</f>
        <v/>
      </c>
      <c r="B280" s="54" t="n">
        <v>13</v>
      </c>
      <c r="C280" s="79" t="str">
        <f aca="false">IFERROR(IF($D280="","",INDEX(Übungen!$B$4:$B$23,MATCH($D280,Übungen!$A$4:$A$23,0))),"")</f>
        <v>Beine hinten</v>
      </c>
      <c r="D280" s="56" t="s">
        <v>380</v>
      </c>
      <c r="E280" s="73" t="s">
        <v>458</v>
      </c>
      <c r="F280" s="55" t="n">
        <v>70</v>
      </c>
      <c r="G280" s="74"/>
      <c r="H280" s="55"/>
      <c r="I280" s="49" t="str">
        <f aca="false">IF(AND(ISNUMBER($F280),ISNUMBER($G280),$E280&lt;&gt;"R"),$F280*$G280,"")</f>
        <v/>
      </c>
      <c r="J280" s="51" t="str">
        <f aca="false">IF(AND($E280="A",ISNUMBER($F280),ISNUMBER($G280)),$F280*(1+$G280/30),"")</f>
        <v/>
      </c>
      <c r="K280" s="56"/>
      <c r="L280" s="56"/>
    </row>
    <row r="281" customFormat="false" ht="15.75" hidden="false" customHeight="true" outlineLevel="0" collapsed="false">
      <c r="A281" s="78" t="str">
        <f aca="false">IFERROR(IF($B281="","",IF(INDEX(Einheiten!$B$4:$B$63,MATCH($B281,Einheiten!$A$4:$A$63,0))=0,"",INDEX(Einheiten!$B$4:$B$63,MATCH($B281,Einheiten!$A$4:$A$63,0)))),"")</f>
        <v/>
      </c>
      <c r="B281" s="54" t="n">
        <v>13</v>
      </c>
      <c r="C281" s="79" t="str">
        <f aca="false">IFERROR(IF($D281="","",INDEX(Übungen!$B$4:$B$23,MATCH($D281,Übungen!$A$4:$A$23,0))),"")</f>
        <v>Beine hinten</v>
      </c>
      <c r="D281" s="56" t="s">
        <v>380</v>
      </c>
      <c r="E281" s="73" t="s">
        <v>458</v>
      </c>
      <c r="F281" s="55" t="n">
        <v>122.5</v>
      </c>
      <c r="G281" s="74"/>
      <c r="H281" s="55"/>
      <c r="I281" s="49" t="str">
        <f aca="false">IF(AND(ISNUMBER($F281),ISNUMBER($G281),$E281&lt;&gt;"R"),$F281*$G281,"")</f>
        <v/>
      </c>
      <c r="J281" s="51" t="str">
        <f aca="false">IF(AND($E281="A",ISNUMBER($F281),ISNUMBER($G281)),$F281*(1+$G281/30),"")</f>
        <v/>
      </c>
      <c r="K281" s="56"/>
      <c r="L281" s="56"/>
    </row>
    <row r="282" customFormat="false" ht="15.75" hidden="false" customHeight="true" outlineLevel="0" collapsed="false">
      <c r="A282" s="78" t="str">
        <f aca="false">IFERROR(IF($B282="","",IF(INDEX(Einheiten!$B$4:$B$63,MATCH($B282,Einheiten!$A$4:$A$63,0))=0,"",INDEX(Einheiten!$B$4:$B$63,MATCH($B282,Einheiten!$A$4:$A$63,0)))),"")</f>
        <v/>
      </c>
      <c r="B282" s="54" t="n">
        <v>13</v>
      </c>
      <c r="C282" s="79" t="str">
        <f aca="false">IFERROR(IF($D282="","",INDEX(Übungen!$B$4:$B$23,MATCH($D282,Übungen!$A$4:$A$23,0))),"")</f>
        <v>Beine hinten</v>
      </c>
      <c r="D282" s="56" t="s">
        <v>380</v>
      </c>
      <c r="E282" s="73" t="s">
        <v>459</v>
      </c>
      <c r="F282" s="55" t="n">
        <v>175</v>
      </c>
      <c r="G282" s="74" t="n">
        <v>6</v>
      </c>
      <c r="H282" s="55"/>
      <c r="I282" s="49" t="n">
        <f aca="false">IF(AND(ISNUMBER($F282),ISNUMBER($G282),$E282&lt;&gt;"R"),$F282*$G282,"")</f>
        <v>1050</v>
      </c>
      <c r="J282" s="51" t="n">
        <f aca="false">IF(AND($E282="A",ISNUMBER($F282),ISNUMBER($G282)),$F282*(1+$G282/30),"")</f>
        <v>210</v>
      </c>
      <c r="K282" s="56"/>
      <c r="L282" s="56"/>
    </row>
    <row r="283" customFormat="false" ht="15.75" hidden="false" customHeight="true" outlineLevel="0" collapsed="false">
      <c r="A283" s="78" t="str">
        <f aca="false">IFERROR(IF($B283="","",IF(INDEX(Einheiten!$B$4:$B$63,MATCH($B283,Einheiten!$A$4:$A$63,0))=0,"",INDEX(Einheiten!$B$4:$B$63,MATCH($B283,Einheiten!$A$4:$A$63,0)))),"")</f>
        <v/>
      </c>
      <c r="B283" s="54" t="n">
        <v>13</v>
      </c>
      <c r="C283" s="79" t="str">
        <f aca="false">IFERROR(IF($D283="","",INDEX(Übungen!$B$4:$B$23,MATCH($D283,Übungen!$A$4:$A$23,0))),"")</f>
        <v>Beine hinten</v>
      </c>
      <c r="D283" s="56" t="s">
        <v>380</v>
      </c>
      <c r="E283" s="73" t="s">
        <v>459</v>
      </c>
      <c r="F283" s="55" t="n">
        <v>185</v>
      </c>
      <c r="G283" s="74" t="n">
        <v>6</v>
      </c>
      <c r="H283" s="55"/>
      <c r="I283" s="49" t="n">
        <f aca="false">IF(AND(ISNUMBER($F283),ISNUMBER($G283),$E283&lt;&gt;"R"),$F283*$G283,"")</f>
        <v>1110</v>
      </c>
      <c r="J283" s="51" t="n">
        <f aca="false">IF(AND($E283="A",ISNUMBER($F283),ISNUMBER($G283)),$F283*(1+$G283/30),"")</f>
        <v>222</v>
      </c>
      <c r="K283" s="56"/>
      <c r="L283" s="56"/>
    </row>
    <row r="284" customFormat="false" ht="15.75" hidden="false" customHeight="true" outlineLevel="0" collapsed="false">
      <c r="A284" s="78" t="str">
        <f aca="false">IFERROR(IF($B284="","",IF(INDEX(Einheiten!$B$4:$B$63,MATCH($B284,Einheiten!$A$4:$A$63,0))=0,"",INDEX(Einheiten!$B$4:$B$63,MATCH($B284,Einheiten!$A$4:$A$63,0)))),"")</f>
        <v/>
      </c>
      <c r="B284" s="54" t="n">
        <v>14</v>
      </c>
      <c r="C284" s="79" t="str">
        <f aca="false">IFERROR(IF($D284="","",INDEX(Übungen!$B$4:$B$23,MATCH($D284,Übungen!$A$4:$A$23,0))),"")</f>
        <v>Beine hinten</v>
      </c>
      <c r="D284" s="56" t="s">
        <v>407</v>
      </c>
      <c r="E284" s="73" t="s">
        <v>458</v>
      </c>
      <c r="F284" s="55" t="n">
        <v>86</v>
      </c>
      <c r="G284" s="74"/>
      <c r="H284" s="55"/>
      <c r="I284" s="49" t="str">
        <f aca="false">IF(AND(ISNUMBER($F284),ISNUMBER($G284),$E284&lt;&gt;"R"),$F284*$G284,"")</f>
        <v/>
      </c>
      <c r="J284" s="51" t="str">
        <f aca="false">IF(AND($E284="A",ISNUMBER($F284),ISNUMBER($G284)),$F284*(1+$G284/30),"")</f>
        <v/>
      </c>
      <c r="K284" s="56"/>
      <c r="L284" s="56"/>
    </row>
    <row r="285" customFormat="false" ht="15.75" hidden="false" customHeight="true" outlineLevel="0" collapsed="false">
      <c r="A285" s="78" t="str">
        <f aca="false">IFERROR(IF($B285="","",IF(INDEX(Einheiten!$B$4:$B$63,MATCH($B285,Einheiten!$A$4:$A$63,0))=0,"",INDEX(Einheiten!$B$4:$B$63,MATCH($B285,Einheiten!$A$4:$A$63,0)))),"")</f>
        <v/>
      </c>
      <c r="B285" s="54" t="n">
        <v>14</v>
      </c>
      <c r="C285" s="79" t="str">
        <f aca="false">IFERROR(IF($D285="","",INDEX(Übungen!$B$4:$B$23,MATCH($D285,Übungen!$A$4:$A$23,0))),"")</f>
        <v>Beine hinten</v>
      </c>
      <c r="D285" s="56" t="s">
        <v>407</v>
      </c>
      <c r="E285" s="73" t="s">
        <v>458</v>
      </c>
      <c r="F285" s="55" t="n">
        <v>150.5</v>
      </c>
      <c r="G285" s="74"/>
      <c r="H285" s="55"/>
      <c r="I285" s="49" t="str">
        <f aca="false">IF(AND(ISNUMBER($F285),ISNUMBER($G285),$E285&lt;&gt;"R"),$F285*$G285,"")</f>
        <v/>
      </c>
      <c r="J285" s="51" t="str">
        <f aca="false">IF(AND($E285="A",ISNUMBER($F285),ISNUMBER($G285)),$F285*(1+$G285/30),"")</f>
        <v/>
      </c>
      <c r="K285" s="56"/>
      <c r="L285" s="56"/>
    </row>
    <row r="286" customFormat="false" ht="15.75" hidden="false" customHeight="true" outlineLevel="0" collapsed="false">
      <c r="A286" s="78" t="str">
        <f aca="false">IFERROR(IF($B286="","",IF(INDEX(Einheiten!$B$4:$B$63,MATCH($B286,Einheiten!$A$4:$A$63,0))=0,"",INDEX(Einheiten!$B$4:$B$63,MATCH($B286,Einheiten!$A$4:$A$63,0)))),"")</f>
        <v/>
      </c>
      <c r="B286" s="54" t="n">
        <v>14</v>
      </c>
      <c r="C286" s="79" t="str">
        <f aca="false">IFERROR(IF($D286="","",INDEX(Übungen!$B$4:$B$23,MATCH($D286,Übungen!$A$4:$A$23,0))),"")</f>
        <v>Beine hinten</v>
      </c>
      <c r="D286" s="56" t="s">
        <v>407</v>
      </c>
      <c r="E286" s="73" t="s">
        <v>459</v>
      </c>
      <c r="F286" s="55" t="n">
        <v>215</v>
      </c>
      <c r="G286" s="74" t="n">
        <v>5</v>
      </c>
      <c r="H286" s="55"/>
      <c r="I286" s="49" t="n">
        <f aca="false">IF(AND(ISNUMBER($F286),ISNUMBER($G286),$E286&lt;&gt;"R"),$F286*$G286,"")</f>
        <v>1075</v>
      </c>
      <c r="J286" s="51" t="n">
        <f aca="false">IF(AND($E286="A",ISNUMBER($F286),ISNUMBER($G286)),$F286*(1+$G286/30),"")</f>
        <v>250.833333333333</v>
      </c>
      <c r="K286" s="56"/>
      <c r="L286" s="56"/>
    </row>
    <row r="287" customFormat="false" ht="15.75" hidden="false" customHeight="true" outlineLevel="0" collapsed="false">
      <c r="A287" s="78" t="str">
        <f aca="false">IFERROR(IF($B287="","",IF(INDEX(Einheiten!$B$4:$B$63,MATCH($B287,Einheiten!$A$4:$A$63,0))=0,"",INDEX(Einheiten!$B$4:$B$63,MATCH($B287,Einheiten!$A$4:$A$63,0)))),"")</f>
        <v/>
      </c>
      <c r="B287" s="54" t="n">
        <v>14</v>
      </c>
      <c r="C287" s="79" t="str">
        <f aca="false">IFERROR(IF($D287="","",INDEX(Übungen!$B$4:$B$23,MATCH($D287,Übungen!$A$4:$A$23,0))),"")</f>
        <v>Beine hinten</v>
      </c>
      <c r="D287" s="56" t="s">
        <v>407</v>
      </c>
      <c r="E287" s="73" t="s">
        <v>459</v>
      </c>
      <c r="F287" s="55" t="n">
        <v>204.5</v>
      </c>
      <c r="G287" s="74" t="n">
        <v>6</v>
      </c>
      <c r="H287" s="55"/>
      <c r="I287" s="49" t="n">
        <f aca="false">IF(AND(ISNUMBER($F287),ISNUMBER($G287),$E287&lt;&gt;"R"),$F287*$G287,"")</f>
        <v>1227</v>
      </c>
      <c r="J287" s="51" t="n">
        <f aca="false">IF(AND($E287="A",ISNUMBER($F287),ISNUMBER($G287)),$F287*(1+$G287/30),"")</f>
        <v>245.4</v>
      </c>
      <c r="K287" s="56"/>
      <c r="L287" s="56"/>
    </row>
    <row r="288" customFormat="false" ht="15.75" hidden="false" customHeight="true" outlineLevel="0" collapsed="false">
      <c r="A288" s="78" t="str">
        <f aca="false">IFERROR(IF($B288="","",IF(INDEX(Einheiten!$B$4:$B$63,MATCH($B288,Einheiten!$A$4:$A$63,0))=0,"",INDEX(Einheiten!$B$4:$B$63,MATCH($B288,Einheiten!$A$4:$A$63,0)))),"")</f>
        <v/>
      </c>
      <c r="B288" s="54" t="n">
        <v>14</v>
      </c>
      <c r="C288" s="79" t="str">
        <f aca="false">IFERROR(IF($D288="","",INDEX(Übungen!$B$4:$B$23,MATCH($D288,Übungen!$A$4:$A$23,0))),"")</f>
        <v>Beine hinten</v>
      </c>
      <c r="D288" s="56" t="s">
        <v>407</v>
      </c>
      <c r="E288" s="73" t="s">
        <v>459</v>
      </c>
      <c r="F288" s="55" t="n">
        <v>193.5</v>
      </c>
      <c r="G288" s="74" t="n">
        <v>6</v>
      </c>
      <c r="H288" s="55"/>
      <c r="I288" s="49" t="n">
        <f aca="false">IF(AND(ISNUMBER($F288),ISNUMBER($G288),$E288&lt;&gt;"R"),$F288*$G288,"")</f>
        <v>1161</v>
      </c>
      <c r="J288" s="51" t="n">
        <f aca="false">IF(AND($E288="A",ISNUMBER($F288),ISNUMBER($G288)),$F288*(1+$G288/30),"")</f>
        <v>232.2</v>
      </c>
      <c r="K288" s="56"/>
      <c r="L288" s="56"/>
    </row>
    <row r="289" customFormat="false" ht="15.75" hidden="false" customHeight="true" outlineLevel="0" collapsed="false">
      <c r="A289" s="78" t="str">
        <f aca="false">IFERROR(IF($B289="","",IF(INDEX(Einheiten!$B$4:$B$63,MATCH($B289,Einheiten!$A$4:$A$63,0))=0,"",INDEX(Einheiten!$B$4:$B$63,MATCH($B289,Einheiten!$A$4:$A$63,0)))),"")</f>
        <v/>
      </c>
      <c r="B289" s="54" t="n">
        <v>14</v>
      </c>
      <c r="C289" s="79" t="str">
        <f aca="false">IFERROR(IF($D289="","",INDEX(Übungen!$B$4:$B$23,MATCH($D289,Übungen!$A$4:$A$23,0))),"")</f>
        <v>Beine hinten</v>
      </c>
      <c r="D289" s="56" t="s">
        <v>424</v>
      </c>
      <c r="E289" s="73" t="s">
        <v>458</v>
      </c>
      <c r="F289" s="55" t="n">
        <v>20</v>
      </c>
      <c r="G289" s="74"/>
      <c r="H289" s="55"/>
      <c r="I289" s="49" t="str">
        <f aca="false">IF(AND(ISNUMBER($F289),ISNUMBER($G289),$E289&lt;&gt;"R"),$F289*$G289,"")</f>
        <v/>
      </c>
      <c r="J289" s="51" t="str">
        <f aca="false">IF(AND($E289="A",ISNUMBER($F289),ISNUMBER($G289)),$F289*(1+$G289/30),"")</f>
        <v/>
      </c>
      <c r="K289" s="56"/>
      <c r="L289" s="56" t="s">
        <v>491</v>
      </c>
    </row>
    <row r="290" customFormat="false" ht="15.75" hidden="false" customHeight="true" outlineLevel="0" collapsed="false">
      <c r="A290" s="78" t="str">
        <f aca="false">IFERROR(IF($B290="","",IF(INDEX(Einheiten!$B$4:$B$63,MATCH($B290,Einheiten!$A$4:$A$63,0))=0,"",INDEX(Einheiten!$B$4:$B$63,MATCH($B290,Einheiten!$A$4:$A$63,0)))),"")</f>
        <v/>
      </c>
      <c r="B290" s="54" t="n">
        <v>14</v>
      </c>
      <c r="C290" s="79" t="str">
        <f aca="false">IFERROR(IF($D290="","",INDEX(Übungen!$B$4:$B$23,MATCH($D290,Übungen!$A$4:$A$23,0))),"")</f>
        <v>Beine hinten</v>
      </c>
      <c r="D290" s="56" t="s">
        <v>424</v>
      </c>
      <c r="E290" s="73" t="s">
        <v>458</v>
      </c>
      <c r="F290" s="55" t="n">
        <v>24</v>
      </c>
      <c r="G290" s="74"/>
      <c r="H290" s="55"/>
      <c r="I290" s="49" t="str">
        <f aca="false">IF(AND(ISNUMBER($F290),ISNUMBER($G290),$E290&lt;&gt;"R"),$F290*$G290,"")</f>
        <v/>
      </c>
      <c r="J290" s="51" t="str">
        <f aca="false">IF(AND($E290="A",ISNUMBER($F290),ISNUMBER($G290)),$F290*(1+$G290/30),"")</f>
        <v/>
      </c>
      <c r="K290" s="56"/>
      <c r="L290" s="56"/>
    </row>
    <row r="291" customFormat="false" ht="15.75" hidden="false" customHeight="true" outlineLevel="0" collapsed="false">
      <c r="A291" s="78" t="str">
        <f aca="false">IFERROR(IF($B291="","",IF(INDEX(Einheiten!$B$4:$B$63,MATCH($B291,Einheiten!$A$4:$A$63,0))=0,"",INDEX(Einheiten!$B$4:$B$63,MATCH($B291,Einheiten!$A$4:$A$63,0)))),"")</f>
        <v/>
      </c>
      <c r="B291" s="54" t="n">
        <v>14</v>
      </c>
      <c r="C291" s="79" t="str">
        <f aca="false">IFERROR(IF($D291="","",INDEX(Übungen!$B$4:$B$23,MATCH($D291,Übungen!$A$4:$A$23,0))),"")</f>
        <v>Beine hinten</v>
      </c>
      <c r="D291" s="56" t="s">
        <v>424</v>
      </c>
      <c r="E291" s="73" t="s">
        <v>459</v>
      </c>
      <c r="F291" s="55" t="n">
        <v>30</v>
      </c>
      <c r="G291" s="74" t="n">
        <v>5</v>
      </c>
      <c r="H291" s="55"/>
      <c r="I291" s="49" t="n">
        <f aca="false">IF(AND(ISNUMBER($F291),ISNUMBER($G291),$E291&lt;&gt;"R"),$F291*$G291,"")</f>
        <v>150</v>
      </c>
      <c r="J291" s="51" t="n">
        <f aca="false">IF(AND($E291="A",ISNUMBER($F291),ISNUMBER($G291)),$F291*(1+$G291/30),"")</f>
        <v>35</v>
      </c>
      <c r="K291" s="56"/>
      <c r="L291" s="56"/>
    </row>
    <row r="292" customFormat="false" ht="15.75" hidden="false" customHeight="true" outlineLevel="0" collapsed="false">
      <c r="A292" s="78" t="str">
        <f aca="false">IFERROR(IF($B292="","",IF(INDEX(Einheiten!$B$4:$B$63,MATCH($B292,Einheiten!$A$4:$A$63,0))=0,"",INDEX(Einheiten!$B$4:$B$63,MATCH($B292,Einheiten!$A$4:$A$63,0)))),"")</f>
        <v/>
      </c>
      <c r="B292" s="54" t="n">
        <v>14</v>
      </c>
      <c r="C292" s="79" t="str">
        <f aca="false">IFERROR(IF($D292="","",INDEX(Übungen!$B$4:$B$23,MATCH($D292,Übungen!$A$4:$A$23,0))),"")</f>
        <v>Beine hinten</v>
      </c>
      <c r="D292" s="56" t="s">
        <v>424</v>
      </c>
      <c r="E292" s="73" t="s">
        <v>459</v>
      </c>
      <c r="F292" s="55" t="n">
        <v>32</v>
      </c>
      <c r="G292" s="74" t="n">
        <v>5</v>
      </c>
      <c r="H292" s="55"/>
      <c r="I292" s="49" t="n">
        <f aca="false">IF(AND(ISNUMBER($F292),ISNUMBER($G292),$E292&lt;&gt;"R"),$F292*$G292,"")</f>
        <v>160</v>
      </c>
      <c r="J292" s="51" t="n">
        <f aca="false">IF(AND($E292="A",ISNUMBER($F292),ISNUMBER($G292)),$F292*(1+$G292/30),"")</f>
        <v>37.3333333333333</v>
      </c>
      <c r="K292" s="56"/>
      <c r="L292" s="56"/>
    </row>
    <row r="293" customFormat="false" ht="15.75" hidden="false" customHeight="true" outlineLevel="0" collapsed="false">
      <c r="A293" s="78" t="str">
        <f aca="false">IFERROR(IF($B293="","",IF(INDEX(Einheiten!$B$4:$B$63,MATCH($B293,Einheiten!$A$4:$A$63,0))=0,"",INDEX(Einheiten!$B$4:$B$63,MATCH($B293,Einheiten!$A$4:$A$63,0)))),"")</f>
        <v/>
      </c>
      <c r="B293" s="54" t="n">
        <v>14</v>
      </c>
      <c r="C293" s="79" t="str">
        <f aca="false">IFERROR(IF($D293="","",INDEX(Übungen!$B$4:$B$23,MATCH($D293,Übungen!$A$4:$A$23,0))),"")</f>
        <v>Beine hinten</v>
      </c>
      <c r="D293" s="56" t="s">
        <v>424</v>
      </c>
      <c r="E293" s="73" t="s">
        <v>459</v>
      </c>
      <c r="F293" s="55" t="n">
        <v>34</v>
      </c>
      <c r="G293" s="74" t="n">
        <v>5</v>
      </c>
      <c r="H293" s="55"/>
      <c r="I293" s="49" t="n">
        <f aca="false">IF(AND(ISNUMBER($F293),ISNUMBER($G293),$E293&lt;&gt;"R"),$F293*$G293,"")</f>
        <v>170</v>
      </c>
      <c r="J293" s="51" t="n">
        <f aca="false">IF(AND($E293="A",ISNUMBER($F293),ISNUMBER($G293)),$F293*(1+$G293/30),"")</f>
        <v>39.6666666666667</v>
      </c>
      <c r="K293" s="56"/>
      <c r="L293" s="56"/>
    </row>
    <row r="294" customFormat="false" ht="15.75" hidden="false" customHeight="true" outlineLevel="0" collapsed="false">
      <c r="A294" s="78" t="str">
        <f aca="false">IFERROR(IF($B294="","",IF(INDEX(Einheiten!$B$4:$B$63,MATCH($B294,Einheiten!$A$4:$A$63,0))=0,"",INDEX(Einheiten!$B$4:$B$63,MATCH($B294,Einheiten!$A$4:$A$63,0)))),"")</f>
        <v/>
      </c>
      <c r="B294" s="54" t="n">
        <v>14</v>
      </c>
      <c r="C294" s="79" t="str">
        <f aca="false">IFERROR(IF($D294="","",INDEX(Übungen!$B$4:$B$23,MATCH($D294,Übungen!$A$4:$A$23,0))),"")</f>
        <v>Beine hinten</v>
      </c>
      <c r="D294" s="56" t="s">
        <v>412</v>
      </c>
      <c r="E294" s="73" t="s">
        <v>458</v>
      </c>
      <c r="F294" s="55" t="n">
        <v>114</v>
      </c>
      <c r="G294" s="74"/>
      <c r="H294" s="55"/>
      <c r="I294" s="49" t="str">
        <f aca="false">IF(AND(ISNUMBER($F294),ISNUMBER($G294),$E294&lt;&gt;"R"),$F294*$G294,"")</f>
        <v/>
      </c>
      <c r="J294" s="51" t="str">
        <f aca="false">IF(AND($E294="A",ISNUMBER($F294),ISNUMBER($G294)),$F294*(1+$G294/30),"")</f>
        <v/>
      </c>
      <c r="K294" s="56"/>
      <c r="L294" s="56"/>
    </row>
    <row r="295" customFormat="false" ht="15.75" hidden="false" customHeight="true" outlineLevel="0" collapsed="false">
      <c r="A295" s="78" t="str">
        <f aca="false">IFERROR(IF($B295="","",IF(INDEX(Einheiten!$B$4:$B$63,MATCH($B295,Einheiten!$A$4:$A$63,0))=0,"",INDEX(Einheiten!$B$4:$B$63,MATCH($B295,Einheiten!$A$4:$A$63,0)))),"")</f>
        <v/>
      </c>
      <c r="B295" s="54" t="n">
        <v>14</v>
      </c>
      <c r="C295" s="79" t="str">
        <f aca="false">IFERROR(IF($D295="","",INDEX(Übungen!$B$4:$B$23,MATCH($D295,Übungen!$A$4:$A$23,0))),"")</f>
        <v>Beine hinten</v>
      </c>
      <c r="D295" s="56" t="s">
        <v>412</v>
      </c>
      <c r="E295" s="73" t="s">
        <v>458</v>
      </c>
      <c r="F295" s="55" t="n">
        <v>199.5</v>
      </c>
      <c r="G295" s="74"/>
      <c r="H295" s="55"/>
      <c r="I295" s="49" t="str">
        <f aca="false">IF(AND(ISNUMBER($F295),ISNUMBER($G295),$E295&lt;&gt;"R"),$F295*$G295,"")</f>
        <v/>
      </c>
      <c r="J295" s="51" t="str">
        <f aca="false">IF(AND($E295="A",ISNUMBER($F295),ISNUMBER($G295)),$F295*(1+$G295/30),"")</f>
        <v/>
      </c>
      <c r="K295" s="56"/>
      <c r="L295" s="56"/>
    </row>
    <row r="296" customFormat="false" ht="15.75" hidden="false" customHeight="true" outlineLevel="0" collapsed="false">
      <c r="A296" s="78" t="str">
        <f aca="false">IFERROR(IF($B296="","",IF(INDEX(Einheiten!$B$4:$B$63,MATCH($B296,Einheiten!$A$4:$A$63,0))=0,"",INDEX(Einheiten!$B$4:$B$63,MATCH($B296,Einheiten!$A$4:$A$63,0)))),"")</f>
        <v/>
      </c>
      <c r="B296" s="54" t="n">
        <v>14</v>
      </c>
      <c r="C296" s="79" t="str">
        <f aca="false">IFERROR(IF($D296="","",INDEX(Übungen!$B$4:$B$23,MATCH($D296,Übungen!$A$4:$A$23,0))),"")</f>
        <v>Beine hinten</v>
      </c>
      <c r="D296" s="56" t="s">
        <v>412</v>
      </c>
      <c r="E296" s="73" t="s">
        <v>459</v>
      </c>
      <c r="F296" s="55" t="n">
        <v>285</v>
      </c>
      <c r="G296" s="74" t="n">
        <v>5</v>
      </c>
      <c r="H296" s="55"/>
      <c r="I296" s="49" t="n">
        <f aca="false">IF(AND(ISNUMBER($F296),ISNUMBER($G296),$E296&lt;&gt;"R"),$F296*$G296,"")</f>
        <v>1425</v>
      </c>
      <c r="J296" s="51" t="n">
        <f aca="false">IF(AND($E296="A",ISNUMBER($F296),ISNUMBER($G296)),$F296*(1+$G296/30),"")</f>
        <v>332.5</v>
      </c>
      <c r="K296" s="56"/>
      <c r="L296" s="56"/>
    </row>
    <row r="297" customFormat="false" ht="15.75" hidden="false" customHeight="true" outlineLevel="0" collapsed="false">
      <c r="A297" s="78" t="str">
        <f aca="false">IFERROR(IF($B297="","",IF(INDEX(Einheiten!$B$4:$B$63,MATCH($B297,Einheiten!$A$4:$A$63,0))=0,"",INDEX(Einheiten!$B$4:$B$63,MATCH($B297,Einheiten!$A$4:$A$63,0)))),"")</f>
        <v/>
      </c>
      <c r="B297" s="54" t="n">
        <v>14</v>
      </c>
      <c r="C297" s="79" t="str">
        <f aca="false">IFERROR(IF($D297="","",INDEX(Übungen!$B$4:$B$23,MATCH($D297,Übungen!$A$4:$A$23,0))),"")</f>
        <v>Beine hinten</v>
      </c>
      <c r="D297" s="56" t="s">
        <v>412</v>
      </c>
      <c r="E297" s="73" t="s">
        <v>459</v>
      </c>
      <c r="F297" s="55" t="n">
        <v>271</v>
      </c>
      <c r="G297" s="74" t="n">
        <v>6</v>
      </c>
      <c r="H297" s="55"/>
      <c r="I297" s="49" t="n">
        <f aca="false">IF(AND(ISNUMBER($F297),ISNUMBER($G297),$E297&lt;&gt;"R"),$F297*$G297,"")</f>
        <v>1626</v>
      </c>
      <c r="J297" s="51" t="n">
        <f aca="false">IF(AND($E297="A",ISNUMBER($F297),ISNUMBER($G297)),$F297*(1+$G297/30),"")</f>
        <v>325.2</v>
      </c>
      <c r="K297" s="56"/>
      <c r="L297" s="56"/>
    </row>
    <row r="298" customFormat="false" ht="15.75" hidden="false" customHeight="true" outlineLevel="0" collapsed="false">
      <c r="A298" s="78" t="str">
        <f aca="false">IFERROR(IF($B298="","",IF(INDEX(Einheiten!$B$4:$B$63,MATCH($B298,Einheiten!$A$4:$A$63,0))=0,"",INDEX(Einheiten!$B$4:$B$63,MATCH($B298,Einheiten!$A$4:$A$63,0)))),"")</f>
        <v/>
      </c>
      <c r="B298" s="54" t="n">
        <v>14</v>
      </c>
      <c r="C298" s="79" t="str">
        <f aca="false">IFERROR(IF($D298="","",INDEX(Übungen!$B$4:$B$23,MATCH($D298,Übungen!$A$4:$A$23,0))),"")</f>
        <v>Beine hinten</v>
      </c>
      <c r="D298" s="56" t="s">
        <v>412</v>
      </c>
      <c r="E298" s="73" t="s">
        <v>459</v>
      </c>
      <c r="F298" s="55" t="n">
        <v>256.5</v>
      </c>
      <c r="G298" s="74" t="n">
        <v>6</v>
      </c>
      <c r="H298" s="55"/>
      <c r="I298" s="49" t="n">
        <f aca="false">IF(AND(ISNUMBER($F298),ISNUMBER($G298),$E298&lt;&gt;"R"),$F298*$G298,"")</f>
        <v>1539</v>
      </c>
      <c r="J298" s="51" t="n">
        <f aca="false">IF(AND($E298="A",ISNUMBER($F298),ISNUMBER($G298)),$F298*(1+$G298/30),"")</f>
        <v>307.8</v>
      </c>
      <c r="K298" s="56"/>
      <c r="L298" s="56"/>
    </row>
    <row r="299" customFormat="false" ht="15.75" hidden="false" customHeight="true" outlineLevel="0" collapsed="false">
      <c r="A299" s="78" t="str">
        <f aca="false">IFERROR(IF($B299="","",IF(INDEX(Einheiten!$B$4:$B$63,MATCH($B299,Einheiten!$A$4:$A$63,0))=0,"",INDEX(Einheiten!$B$4:$B$63,MATCH($B299,Einheiten!$A$4:$A$63,0)))),"")</f>
        <v/>
      </c>
      <c r="B299" s="54" t="n">
        <v>14</v>
      </c>
      <c r="C299" s="79" t="str">
        <f aca="false">IFERROR(IF($D299="","",INDEX(Übungen!$B$4:$B$23,MATCH($D299,Übungen!$A$4:$A$23,0))),"")</f>
        <v>Beine hinten</v>
      </c>
      <c r="D299" s="56" t="s">
        <v>394</v>
      </c>
      <c r="E299" s="73" t="s">
        <v>458</v>
      </c>
      <c r="F299" s="55" t="n">
        <v>68</v>
      </c>
      <c r="G299" s="74"/>
      <c r="H299" s="55"/>
      <c r="I299" s="49" t="str">
        <f aca="false">IF(AND(ISNUMBER($F299),ISNUMBER($G299),$E299&lt;&gt;"R"),$F299*$G299,"")</f>
        <v/>
      </c>
      <c r="J299" s="51" t="str">
        <f aca="false">IF(AND($E299="A",ISNUMBER($F299),ISNUMBER($G299)),$F299*(1+$G299/30),"")</f>
        <v/>
      </c>
      <c r="K299" s="56"/>
      <c r="L299" s="56"/>
    </row>
    <row r="300" customFormat="false" ht="15.75" hidden="false" customHeight="true" outlineLevel="0" collapsed="false">
      <c r="A300" s="78" t="str">
        <f aca="false">IFERROR(IF($B300="","",IF(INDEX(Einheiten!$B$4:$B$63,MATCH($B300,Einheiten!$A$4:$A$63,0))=0,"",INDEX(Einheiten!$B$4:$B$63,MATCH($B300,Einheiten!$A$4:$A$63,0)))),"")</f>
        <v/>
      </c>
      <c r="B300" s="54" t="n">
        <v>14</v>
      </c>
      <c r="C300" s="79" t="str">
        <f aca="false">IFERROR(IF($D300="","",INDEX(Übungen!$B$4:$B$23,MATCH($D300,Übungen!$A$4:$A$23,0))),"")</f>
        <v>Beine hinten</v>
      </c>
      <c r="D300" s="56" t="s">
        <v>394</v>
      </c>
      <c r="E300" s="73" t="s">
        <v>458</v>
      </c>
      <c r="F300" s="55" t="n">
        <v>119</v>
      </c>
      <c r="G300" s="74"/>
      <c r="H300" s="55"/>
      <c r="I300" s="49" t="str">
        <f aca="false">IF(AND(ISNUMBER($F300),ISNUMBER($G300),$E300&lt;&gt;"R"),$F300*$G300,"")</f>
        <v/>
      </c>
      <c r="J300" s="51" t="str">
        <f aca="false">IF(AND($E300="A",ISNUMBER($F300),ISNUMBER($G300)),$F300*(1+$G300/30),"")</f>
        <v/>
      </c>
      <c r="K300" s="56"/>
      <c r="L300" s="56"/>
    </row>
    <row r="301" customFormat="false" ht="15.75" hidden="false" customHeight="true" outlineLevel="0" collapsed="false">
      <c r="A301" s="78" t="str">
        <f aca="false">IFERROR(IF($B301="","",IF(INDEX(Einheiten!$B$4:$B$63,MATCH($B301,Einheiten!$A$4:$A$63,0))=0,"",INDEX(Einheiten!$B$4:$B$63,MATCH($B301,Einheiten!$A$4:$A$63,0)))),"")</f>
        <v/>
      </c>
      <c r="B301" s="54" t="n">
        <v>14</v>
      </c>
      <c r="C301" s="79" t="str">
        <f aca="false">IFERROR(IF($D301="","",INDEX(Übungen!$B$4:$B$23,MATCH($D301,Übungen!$A$4:$A$23,0))),"")</f>
        <v>Beine hinten</v>
      </c>
      <c r="D301" s="56" t="s">
        <v>394</v>
      </c>
      <c r="E301" s="73" t="s">
        <v>459</v>
      </c>
      <c r="F301" s="55" t="n">
        <v>170</v>
      </c>
      <c r="G301" s="74" t="n">
        <v>5</v>
      </c>
      <c r="H301" s="55"/>
      <c r="I301" s="49" t="n">
        <f aca="false">IF(AND(ISNUMBER($F301),ISNUMBER($G301),$E301&lt;&gt;"R"),$F301*$G301,"")</f>
        <v>850</v>
      </c>
      <c r="J301" s="51" t="n">
        <f aca="false">IF(AND($E301="A",ISNUMBER($F301),ISNUMBER($G301)),$F301*(1+$G301/30),"")</f>
        <v>198.333333333333</v>
      </c>
      <c r="K301" s="56"/>
      <c r="L301" s="56"/>
    </row>
    <row r="302" customFormat="false" ht="15.75" hidden="false" customHeight="true" outlineLevel="0" collapsed="false">
      <c r="A302" s="78" t="str">
        <f aca="false">IFERROR(IF($B302="","",IF(INDEX(Einheiten!$B$4:$B$63,MATCH($B302,Einheiten!$A$4:$A$63,0))=0,"",INDEX(Einheiten!$B$4:$B$63,MATCH($B302,Einheiten!$A$4:$A$63,0)))),"")</f>
        <v/>
      </c>
      <c r="B302" s="54" t="n">
        <v>14</v>
      </c>
      <c r="C302" s="79" t="str">
        <f aca="false">IFERROR(IF($D302="","",INDEX(Übungen!$B$4:$B$23,MATCH($D302,Übungen!$A$4:$A$23,0))),"")</f>
        <v>Beine hinten</v>
      </c>
      <c r="D302" s="56" t="s">
        <v>394</v>
      </c>
      <c r="E302" s="73" t="s">
        <v>459</v>
      </c>
      <c r="F302" s="55" t="n">
        <v>161.5</v>
      </c>
      <c r="G302" s="74" t="n">
        <v>6</v>
      </c>
      <c r="H302" s="55"/>
      <c r="I302" s="49" t="n">
        <f aca="false">IF(AND(ISNUMBER($F302),ISNUMBER($G302),$E302&lt;&gt;"R"),$F302*$G302,"")</f>
        <v>969</v>
      </c>
      <c r="J302" s="51" t="n">
        <f aca="false">IF(AND($E302="A",ISNUMBER($F302),ISNUMBER($G302)),$F302*(1+$G302/30),"")</f>
        <v>193.8</v>
      </c>
      <c r="K302" s="56"/>
      <c r="L302" s="56"/>
    </row>
    <row r="303" customFormat="false" ht="15.75" hidden="false" customHeight="true" outlineLevel="0" collapsed="false">
      <c r="A303" s="78" t="str">
        <f aca="false">IFERROR(IF($B303="","",IF(INDEX(Einheiten!$B$4:$B$63,MATCH($B303,Einheiten!$A$4:$A$63,0))=0,"",INDEX(Einheiten!$B$4:$B$63,MATCH($B303,Einheiten!$A$4:$A$63,0)))),"")</f>
        <v/>
      </c>
      <c r="B303" s="54" t="n">
        <v>14</v>
      </c>
      <c r="C303" s="79" t="str">
        <f aca="false">IFERROR(IF($D303="","",INDEX(Übungen!$B$4:$B$23,MATCH($D303,Übungen!$A$4:$A$23,0))),"")</f>
        <v>Beine hinten</v>
      </c>
      <c r="D303" s="56" t="s">
        <v>394</v>
      </c>
      <c r="E303" s="73" t="s">
        <v>459</v>
      </c>
      <c r="F303" s="55" t="n">
        <v>153</v>
      </c>
      <c r="G303" s="74" t="n">
        <v>6</v>
      </c>
      <c r="H303" s="55"/>
      <c r="I303" s="49" t="n">
        <f aca="false">IF(AND(ISNUMBER($F303),ISNUMBER($G303),$E303&lt;&gt;"R"),$F303*$G303,"")</f>
        <v>918</v>
      </c>
      <c r="J303" s="51" t="n">
        <f aca="false">IF(AND($E303="A",ISNUMBER($F303),ISNUMBER($G303)),$F303*(1+$G303/30),"")</f>
        <v>183.6</v>
      </c>
      <c r="K303" s="56"/>
      <c r="L303" s="56"/>
    </row>
    <row r="304" customFormat="false" ht="15.75" hidden="false" customHeight="true" outlineLevel="0" collapsed="false">
      <c r="A304" s="78" t="str">
        <f aca="false">IFERROR(IF($B304="","",IF(INDEX(Einheiten!$B$4:$B$63,MATCH($B304,Einheiten!$A$4:$A$63,0))=0,"",INDEX(Einheiten!$B$4:$B$63,MATCH($B304,Einheiten!$A$4:$A$63,0)))),"")</f>
        <v/>
      </c>
      <c r="B304" s="54" t="n">
        <v>14</v>
      </c>
      <c r="C304" s="79" t="str">
        <f aca="false">IFERROR(IF($D304="","",INDEX(Übungen!$B$4:$B$23,MATCH($D304,Übungen!$A$4:$A$23,0))),"")</f>
        <v>Beine hinten</v>
      </c>
      <c r="D304" s="56" t="s">
        <v>374</v>
      </c>
      <c r="E304" s="73" t="s">
        <v>458</v>
      </c>
      <c r="F304" s="55" t="n">
        <v>18</v>
      </c>
      <c r="G304" s="74"/>
      <c r="H304" s="55"/>
      <c r="I304" s="49" t="str">
        <f aca="false">IF(AND(ISNUMBER($F304),ISNUMBER($G304),$E304&lt;&gt;"R"),$F304*$G304,"")</f>
        <v/>
      </c>
      <c r="J304" s="51" t="str">
        <f aca="false">IF(AND($E304="A",ISNUMBER($F304),ISNUMBER($G304)),$F304*(1+$G304/30),"")</f>
        <v/>
      </c>
      <c r="K304" s="56"/>
      <c r="L304" s="56"/>
    </row>
    <row r="305" customFormat="false" ht="15.75" hidden="false" customHeight="true" outlineLevel="0" collapsed="false">
      <c r="A305" s="78" t="str">
        <f aca="false">IFERROR(IF($B305="","",IF(INDEX(Einheiten!$B$4:$B$63,MATCH($B305,Einheiten!$A$4:$A$63,0))=0,"",INDEX(Einheiten!$B$4:$B$63,MATCH($B305,Einheiten!$A$4:$A$63,0)))),"")</f>
        <v/>
      </c>
      <c r="B305" s="54" t="n">
        <v>14</v>
      </c>
      <c r="C305" s="79" t="str">
        <f aca="false">IFERROR(IF($D305="","",INDEX(Übungen!$B$4:$B$23,MATCH($D305,Übungen!$A$4:$A$23,0))),"")</f>
        <v>Beine hinten</v>
      </c>
      <c r="D305" s="56" t="s">
        <v>374</v>
      </c>
      <c r="E305" s="73" t="s">
        <v>458</v>
      </c>
      <c r="F305" s="55" t="n">
        <v>31.5</v>
      </c>
      <c r="G305" s="74"/>
      <c r="H305" s="55"/>
      <c r="I305" s="49" t="str">
        <f aca="false">IF(AND(ISNUMBER($F305),ISNUMBER($G305),$E305&lt;&gt;"R"),$F305*$G305,"")</f>
        <v/>
      </c>
      <c r="J305" s="51" t="str">
        <f aca="false">IF(AND($E305="A",ISNUMBER($F305),ISNUMBER($G305)),$F305*(1+$G305/30),"")</f>
        <v/>
      </c>
      <c r="K305" s="56"/>
      <c r="L305" s="56"/>
    </row>
    <row r="306" customFormat="false" ht="15.75" hidden="false" customHeight="true" outlineLevel="0" collapsed="false">
      <c r="A306" s="78" t="str">
        <f aca="false">IFERROR(IF($B306="","",IF(INDEX(Einheiten!$B$4:$B$63,MATCH($B306,Einheiten!$A$4:$A$63,0))=0,"",INDEX(Einheiten!$B$4:$B$63,MATCH($B306,Einheiten!$A$4:$A$63,0)))),"")</f>
        <v/>
      </c>
      <c r="B306" s="54" t="n">
        <v>14</v>
      </c>
      <c r="C306" s="79" t="str">
        <f aca="false">IFERROR(IF($D306="","",INDEX(Übungen!$B$4:$B$23,MATCH($D306,Übungen!$A$4:$A$23,0))),"")</f>
        <v>Beine hinten</v>
      </c>
      <c r="D306" s="56" t="s">
        <v>374</v>
      </c>
      <c r="E306" s="73" t="s">
        <v>459</v>
      </c>
      <c r="F306" s="55" t="n">
        <v>45</v>
      </c>
      <c r="G306" s="74" t="n">
        <v>5</v>
      </c>
      <c r="H306" s="55"/>
      <c r="I306" s="49" t="n">
        <f aca="false">IF(AND(ISNUMBER($F306),ISNUMBER($G306),$E306&lt;&gt;"R"),$F306*$G306,"")</f>
        <v>225</v>
      </c>
      <c r="J306" s="51" t="n">
        <f aca="false">IF(AND($E306="A",ISNUMBER($F306),ISNUMBER($G306)),$F306*(1+$G306/30),"")</f>
        <v>52.5</v>
      </c>
      <c r="K306" s="56"/>
      <c r="L306" s="56"/>
    </row>
    <row r="307" customFormat="false" ht="15.75" hidden="false" customHeight="true" outlineLevel="0" collapsed="false">
      <c r="A307" s="78" t="str">
        <f aca="false">IFERROR(IF($B307="","",IF(INDEX(Einheiten!$B$4:$B$63,MATCH($B307,Einheiten!$A$4:$A$63,0))=0,"",INDEX(Einheiten!$B$4:$B$63,MATCH($B307,Einheiten!$A$4:$A$63,0)))),"")</f>
        <v/>
      </c>
      <c r="B307" s="54" t="n">
        <v>14</v>
      </c>
      <c r="C307" s="79" t="str">
        <f aca="false">IFERROR(IF($D307="","",INDEX(Übungen!$B$4:$B$23,MATCH($D307,Übungen!$A$4:$A$23,0))),"")</f>
        <v>Beine hinten</v>
      </c>
      <c r="D307" s="56" t="s">
        <v>374</v>
      </c>
      <c r="E307" s="73" t="s">
        <v>459</v>
      </c>
      <c r="F307" s="55" t="n">
        <v>43</v>
      </c>
      <c r="G307" s="74" t="n">
        <v>6</v>
      </c>
      <c r="H307" s="55"/>
      <c r="I307" s="49" t="n">
        <f aca="false">IF(AND(ISNUMBER($F307),ISNUMBER($G307),$E307&lt;&gt;"R"),$F307*$G307,"")</f>
        <v>258</v>
      </c>
      <c r="J307" s="51" t="n">
        <f aca="false">IF(AND($E307="A",ISNUMBER($F307),ISNUMBER($G307)),$F307*(1+$G307/30),"")</f>
        <v>51.6</v>
      </c>
      <c r="K307" s="56"/>
      <c r="L307" s="56"/>
    </row>
    <row r="308" customFormat="false" ht="15.75" hidden="false" customHeight="true" outlineLevel="0" collapsed="false">
      <c r="A308" s="78" t="str">
        <f aca="false">IFERROR(IF($B308="","",IF(INDEX(Einheiten!$B$4:$B$63,MATCH($B308,Einheiten!$A$4:$A$63,0))=0,"",INDEX(Einheiten!$B$4:$B$63,MATCH($B308,Einheiten!$A$4:$A$63,0)))),"")</f>
        <v/>
      </c>
      <c r="B308" s="54" t="n">
        <v>14</v>
      </c>
      <c r="C308" s="79" t="str">
        <f aca="false">IFERROR(IF($D308="","",INDEX(Übungen!$B$4:$B$23,MATCH($D308,Übungen!$A$4:$A$23,0))),"")</f>
        <v>Beine hinten</v>
      </c>
      <c r="D308" s="56" t="s">
        <v>374</v>
      </c>
      <c r="E308" s="73" t="s">
        <v>459</v>
      </c>
      <c r="F308" s="55" t="n">
        <v>40.5</v>
      </c>
      <c r="G308" s="74" t="n">
        <v>6</v>
      </c>
      <c r="H308" s="55"/>
      <c r="I308" s="49" t="n">
        <f aca="false">IF(AND(ISNUMBER($F308),ISNUMBER($G308),$E308&lt;&gt;"R"),$F308*$G308,"")</f>
        <v>243</v>
      </c>
      <c r="J308" s="51" t="n">
        <f aca="false">IF(AND($E308="A",ISNUMBER($F308),ISNUMBER($G308)),$F308*(1+$G308/30),"")</f>
        <v>48.6</v>
      </c>
      <c r="K308" s="56"/>
      <c r="L308" s="56"/>
    </row>
    <row r="309" customFormat="false" ht="15.75" hidden="false" customHeight="true" outlineLevel="0" collapsed="false">
      <c r="A309" s="78" t="str">
        <f aca="false">IFERROR(IF($B309="","",IF(INDEX(Einheiten!$B$4:$B$63,MATCH($B309,Einheiten!$A$4:$A$63,0))=0,"",INDEX(Einheiten!$B$4:$B$63,MATCH($B309,Einheiten!$A$4:$A$63,0)))),"")</f>
        <v/>
      </c>
      <c r="B309" s="54" t="n">
        <v>14</v>
      </c>
      <c r="C309" s="79" t="str">
        <f aca="false">IFERROR(IF($D309="","",INDEX(Übungen!$B$4:$B$23,MATCH($D309,Übungen!$A$4:$A$23,0))),"")</f>
        <v>Beine hinten</v>
      </c>
      <c r="D309" s="56" t="s">
        <v>380</v>
      </c>
      <c r="E309" s="73" t="s">
        <v>458</v>
      </c>
      <c r="F309" s="55" t="n">
        <v>76</v>
      </c>
      <c r="G309" s="74"/>
      <c r="H309" s="55"/>
      <c r="I309" s="49" t="str">
        <f aca="false">IF(AND(ISNUMBER($F309),ISNUMBER($G309),$E309&lt;&gt;"R"),$F309*$G309,"")</f>
        <v/>
      </c>
      <c r="J309" s="51" t="str">
        <f aca="false">IF(AND($E309="A",ISNUMBER($F309),ISNUMBER($G309)),$F309*(1+$G309/30),"")</f>
        <v/>
      </c>
      <c r="K309" s="56"/>
      <c r="L309" s="56"/>
    </row>
    <row r="310" customFormat="false" ht="15.75" hidden="false" customHeight="true" outlineLevel="0" collapsed="false">
      <c r="A310" s="78" t="str">
        <f aca="false">IFERROR(IF($B310="","",IF(INDEX(Einheiten!$B$4:$B$63,MATCH($B310,Einheiten!$A$4:$A$63,0))=0,"",INDEX(Einheiten!$B$4:$B$63,MATCH($B310,Einheiten!$A$4:$A$63,0)))),"")</f>
        <v/>
      </c>
      <c r="B310" s="54" t="n">
        <v>14</v>
      </c>
      <c r="C310" s="79" t="str">
        <f aca="false">IFERROR(IF($D310="","",INDEX(Übungen!$B$4:$B$23,MATCH($D310,Übungen!$A$4:$A$23,0))),"")</f>
        <v>Beine hinten</v>
      </c>
      <c r="D310" s="56" t="s">
        <v>380</v>
      </c>
      <c r="E310" s="73" t="s">
        <v>458</v>
      </c>
      <c r="F310" s="55" t="n">
        <v>133</v>
      </c>
      <c r="G310" s="74"/>
      <c r="H310" s="55"/>
      <c r="I310" s="49" t="str">
        <f aca="false">IF(AND(ISNUMBER($F310),ISNUMBER($G310),$E310&lt;&gt;"R"),$F310*$G310,"")</f>
        <v/>
      </c>
      <c r="J310" s="51" t="str">
        <f aca="false">IF(AND($E310="A",ISNUMBER($F310),ISNUMBER($G310)),$F310*(1+$G310/30),"")</f>
        <v/>
      </c>
      <c r="K310" s="56"/>
      <c r="L310" s="56"/>
    </row>
    <row r="311" customFormat="false" ht="15.75" hidden="false" customHeight="true" outlineLevel="0" collapsed="false">
      <c r="A311" s="78" t="str">
        <f aca="false">IFERROR(IF($B311="","",IF(INDEX(Einheiten!$B$4:$B$63,MATCH($B311,Einheiten!$A$4:$A$63,0))=0,"",INDEX(Einheiten!$B$4:$B$63,MATCH($B311,Einheiten!$A$4:$A$63,0)))),"")</f>
        <v/>
      </c>
      <c r="B311" s="54" t="n">
        <v>14</v>
      </c>
      <c r="C311" s="79" t="str">
        <f aca="false">IFERROR(IF($D311="","",INDEX(Übungen!$B$4:$B$23,MATCH($D311,Übungen!$A$4:$A$23,0))),"")</f>
        <v>Beine hinten</v>
      </c>
      <c r="D311" s="56" t="s">
        <v>380</v>
      </c>
      <c r="E311" s="73" t="s">
        <v>459</v>
      </c>
      <c r="F311" s="55" t="n">
        <v>190</v>
      </c>
      <c r="G311" s="74" t="n">
        <v>5</v>
      </c>
      <c r="H311" s="55"/>
      <c r="I311" s="49" t="n">
        <f aca="false">IF(AND(ISNUMBER($F311),ISNUMBER($G311),$E311&lt;&gt;"R"),$F311*$G311,"")</f>
        <v>950</v>
      </c>
      <c r="J311" s="51" t="n">
        <f aca="false">IF(AND($E311="A",ISNUMBER($F311),ISNUMBER($G311)),$F311*(1+$G311/30),"")</f>
        <v>221.666666666667</v>
      </c>
      <c r="K311" s="56"/>
      <c r="L311" s="56"/>
    </row>
    <row r="312" customFormat="false" ht="15.75" hidden="false" customHeight="true" outlineLevel="0" collapsed="false">
      <c r="A312" s="78" t="str">
        <f aca="false">IFERROR(IF($B312="","",IF(INDEX(Einheiten!$B$4:$B$63,MATCH($B312,Einheiten!$A$4:$A$63,0))=0,"",INDEX(Einheiten!$B$4:$B$63,MATCH($B312,Einheiten!$A$4:$A$63,0)))),"")</f>
        <v/>
      </c>
      <c r="B312" s="54" t="n">
        <v>14</v>
      </c>
      <c r="C312" s="79" t="str">
        <f aca="false">IFERROR(IF($D312="","",INDEX(Übungen!$B$4:$B$23,MATCH($D312,Übungen!$A$4:$A$23,0))),"")</f>
        <v>Beine hinten</v>
      </c>
      <c r="D312" s="56" t="s">
        <v>380</v>
      </c>
      <c r="E312" s="73" t="s">
        <v>459</v>
      </c>
      <c r="F312" s="55" t="n">
        <v>180.5</v>
      </c>
      <c r="G312" s="74" t="n">
        <v>6</v>
      </c>
      <c r="H312" s="55"/>
      <c r="I312" s="49" t="n">
        <f aca="false">IF(AND(ISNUMBER($F312),ISNUMBER($G312),$E312&lt;&gt;"R"),$F312*$G312,"")</f>
        <v>1083</v>
      </c>
      <c r="J312" s="51" t="n">
        <f aca="false">IF(AND($E312="A",ISNUMBER($F312),ISNUMBER($G312)),$F312*(1+$G312/30),"")</f>
        <v>216.6</v>
      </c>
      <c r="K312" s="56"/>
      <c r="L312" s="56"/>
    </row>
    <row r="313" customFormat="false" ht="15.75" hidden="false" customHeight="true" outlineLevel="0" collapsed="false">
      <c r="A313" s="78" t="str">
        <f aca="false">IFERROR(IF($B313="","",IF(INDEX(Einheiten!$B$4:$B$63,MATCH($B313,Einheiten!$A$4:$A$63,0))=0,"",INDEX(Einheiten!$B$4:$B$63,MATCH($B313,Einheiten!$A$4:$A$63,0)))),"")</f>
        <v/>
      </c>
      <c r="B313" s="54" t="n">
        <v>14</v>
      </c>
      <c r="C313" s="79" t="str">
        <f aca="false">IFERROR(IF($D313="","",INDEX(Übungen!$B$4:$B$23,MATCH($D313,Übungen!$A$4:$A$23,0))),"")</f>
        <v>Beine hinten</v>
      </c>
      <c r="D313" s="56" t="s">
        <v>380</v>
      </c>
      <c r="E313" s="73" t="s">
        <v>459</v>
      </c>
      <c r="F313" s="55" t="n">
        <v>171</v>
      </c>
      <c r="G313" s="74" t="n">
        <v>6</v>
      </c>
      <c r="H313" s="55"/>
      <c r="I313" s="49" t="n">
        <f aca="false">IF(AND(ISNUMBER($F313),ISNUMBER($G313),$E313&lt;&gt;"R"),$F313*$G313,"")</f>
        <v>1026</v>
      </c>
      <c r="J313" s="51" t="n">
        <f aca="false">IF(AND($E313="A",ISNUMBER($F313),ISNUMBER($G313)),$F313*(1+$G313/30),"")</f>
        <v>205.2</v>
      </c>
      <c r="K313" s="56"/>
      <c r="L313" s="56"/>
    </row>
    <row r="314" customFormat="false" ht="15.75" hidden="false" customHeight="true" outlineLevel="0" collapsed="false">
      <c r="A314" s="78" t="str">
        <f aca="false">IFERROR(IF($B314="","",IF(INDEX(Einheiten!$B$4:$B$63,MATCH($B314,Einheiten!$A$4:$A$63,0))=0,"",INDEX(Einheiten!$B$4:$B$63,MATCH($B314,Einheiten!$A$4:$A$63,0)))),"")</f>
        <v/>
      </c>
      <c r="B314" s="54" t="n">
        <v>15</v>
      </c>
      <c r="C314" s="79" t="str">
        <f aca="false">IFERROR(IF($D314="","",INDEX(Übungen!$B$4:$B$23,MATCH($D314,Übungen!$A$4:$A$23,0))),"")</f>
        <v>Auswärts Bülach</v>
      </c>
      <c r="D314" s="56" t="s">
        <v>492</v>
      </c>
      <c r="E314" s="73" t="s">
        <v>458</v>
      </c>
      <c r="F314" s="55" t="n">
        <v>20</v>
      </c>
      <c r="G314" s="74"/>
      <c r="H314" s="55"/>
      <c r="I314" s="49" t="str">
        <f aca="false">IF(AND(ISNUMBER($F314),ISNUMBER($G314),$E314&lt;&gt;"R"),$F314*$G314,"")</f>
        <v/>
      </c>
      <c r="J314" s="51" t="str">
        <f aca="false">IF(AND($E314="A",ISNUMBER($F314),ISNUMBER($G314)),$F314*(1+$G314/30),"")</f>
        <v/>
      </c>
      <c r="K314" s="56"/>
      <c r="L314" s="56"/>
    </row>
    <row r="315" customFormat="false" ht="15.75" hidden="false" customHeight="true" outlineLevel="0" collapsed="false">
      <c r="A315" s="78" t="str">
        <f aca="false">IFERROR(IF($B315="","",IF(INDEX(Einheiten!$B$4:$B$63,MATCH($B315,Einheiten!$A$4:$A$63,0))=0,"",INDEX(Einheiten!$B$4:$B$63,MATCH($B315,Einheiten!$A$4:$A$63,0)))),"")</f>
        <v/>
      </c>
      <c r="B315" s="54" t="n">
        <v>15</v>
      </c>
      <c r="C315" s="79" t="str">
        <f aca="false">IFERROR(IF($D315="","",INDEX(Übungen!$B$4:$B$23,MATCH($D315,Übungen!$A$4:$A$23,0))),"")</f>
        <v>Auswärts Bülach</v>
      </c>
      <c r="D315" s="56" t="s">
        <v>492</v>
      </c>
      <c r="E315" s="73" t="s">
        <v>458</v>
      </c>
      <c r="F315" s="55" t="n">
        <v>60</v>
      </c>
      <c r="G315" s="74"/>
      <c r="H315" s="55"/>
      <c r="I315" s="49" t="str">
        <f aca="false">IF(AND(ISNUMBER($F315),ISNUMBER($G315),$E315&lt;&gt;"R"),$F315*$G315,"")</f>
        <v/>
      </c>
      <c r="J315" s="51" t="str">
        <f aca="false">IF(AND($E315="A",ISNUMBER($F315),ISNUMBER($G315)),$F315*(1+$G315/30),"")</f>
        <v/>
      </c>
      <c r="K315" s="56"/>
      <c r="L315" s="56"/>
    </row>
    <row r="316" customFormat="false" ht="15.75" hidden="false" customHeight="true" outlineLevel="0" collapsed="false">
      <c r="A316" s="78" t="str">
        <f aca="false">IFERROR(IF($B316="","",IF(INDEX(Einheiten!$B$4:$B$63,MATCH($B316,Einheiten!$A$4:$A$63,0))=0,"",INDEX(Einheiten!$B$4:$B$63,MATCH($B316,Einheiten!$A$4:$A$63,0)))),"")</f>
        <v/>
      </c>
      <c r="B316" s="54" t="n">
        <v>15</v>
      </c>
      <c r="C316" s="79" t="str">
        <f aca="false">IFERROR(IF($D316="","",INDEX(Übungen!$B$4:$B$23,MATCH($D316,Übungen!$A$4:$A$23,0))),"")</f>
        <v>Auswärts Bülach</v>
      </c>
      <c r="D316" s="56" t="s">
        <v>492</v>
      </c>
      <c r="E316" s="73" t="s">
        <v>459</v>
      </c>
      <c r="F316" s="55" t="n">
        <v>200</v>
      </c>
      <c r="G316" s="74" t="n">
        <v>10</v>
      </c>
      <c r="H316" s="55"/>
      <c r="I316" s="49" t="n">
        <f aca="false">IF(AND(ISNUMBER($F316),ISNUMBER($G316),$E316&lt;&gt;"R"),$F316*$G316,"")</f>
        <v>2000</v>
      </c>
      <c r="J316" s="51" t="n">
        <f aca="false">IF(AND($E316="A",ISNUMBER($F316),ISNUMBER($G316)),$F316*(1+$G316/30),"")</f>
        <v>266.666666666667</v>
      </c>
      <c r="K316" s="56"/>
      <c r="L316" s="56"/>
    </row>
    <row r="317" customFormat="false" ht="15.75" hidden="false" customHeight="true" outlineLevel="0" collapsed="false">
      <c r="A317" s="78" t="str">
        <f aca="false">IFERROR(IF($B317="","",IF(INDEX(Einheiten!$B$4:$B$63,MATCH($B317,Einheiten!$A$4:$A$63,0))=0,"",INDEX(Einheiten!$B$4:$B$63,MATCH($B317,Einheiten!$A$4:$A$63,0)))),"")</f>
        <v/>
      </c>
      <c r="B317" s="54" t="n">
        <v>15</v>
      </c>
      <c r="C317" s="79" t="str">
        <f aca="false">IFERROR(IF($D317="","",INDEX(Übungen!$B$4:$B$23,MATCH($D317,Übungen!$A$4:$A$23,0))),"")</f>
        <v>Auswärts Bülach</v>
      </c>
      <c r="D317" s="56" t="s">
        <v>492</v>
      </c>
      <c r="E317" s="73" t="s">
        <v>459</v>
      </c>
      <c r="F317" s="55" t="n">
        <v>200</v>
      </c>
      <c r="G317" s="74" t="n">
        <v>10</v>
      </c>
      <c r="H317" s="55"/>
      <c r="I317" s="49" t="n">
        <f aca="false">IF(AND(ISNUMBER($F317),ISNUMBER($G317),$E317&lt;&gt;"R"),$F317*$G317,"")</f>
        <v>2000</v>
      </c>
      <c r="J317" s="51" t="n">
        <f aca="false">IF(AND($E317="A",ISNUMBER($F317),ISNUMBER($G317)),$F317*(1+$G317/30),"")</f>
        <v>266.666666666667</v>
      </c>
      <c r="K317" s="56"/>
      <c r="L317" s="56"/>
    </row>
    <row r="318" customFormat="false" ht="15.75" hidden="false" customHeight="true" outlineLevel="0" collapsed="false">
      <c r="A318" s="78" t="str">
        <f aca="false">IFERROR(IF($B318="","",IF(INDEX(Einheiten!$B$4:$B$63,MATCH($B318,Einheiten!$A$4:$A$63,0))=0,"",INDEX(Einheiten!$B$4:$B$63,MATCH($B318,Einheiten!$A$4:$A$63,0)))),"")</f>
        <v/>
      </c>
      <c r="B318" s="54" t="n">
        <v>15</v>
      </c>
      <c r="C318" s="79" t="str">
        <f aca="false">IFERROR(IF($D318="","",INDEX(Übungen!$B$4:$B$23,MATCH($D318,Übungen!$A$4:$A$23,0))),"")</f>
        <v>Auswärts Bülach</v>
      </c>
      <c r="D318" s="56" t="s">
        <v>492</v>
      </c>
      <c r="E318" s="73" t="s">
        <v>459</v>
      </c>
      <c r="F318" s="55" t="n">
        <v>200</v>
      </c>
      <c r="G318" s="74" t="n">
        <v>10</v>
      </c>
      <c r="H318" s="55"/>
      <c r="I318" s="49" t="n">
        <f aca="false">IF(AND(ISNUMBER($F318),ISNUMBER($G318),$E318&lt;&gt;"R"),$F318*$G318,"")</f>
        <v>2000</v>
      </c>
      <c r="J318" s="51" t="n">
        <f aca="false">IF(AND($E318="A",ISNUMBER($F318),ISNUMBER($G318)),$F318*(1+$G318/30),"")</f>
        <v>266.666666666667</v>
      </c>
      <c r="K318" s="56"/>
      <c r="L318" s="56"/>
    </row>
    <row r="319" customFormat="false" ht="15.75" hidden="false" customHeight="true" outlineLevel="0" collapsed="false">
      <c r="A319" s="78" t="str">
        <f aca="false">IFERROR(IF($B319="","",IF(INDEX(Einheiten!$B$4:$B$63,MATCH($B319,Einheiten!$A$4:$A$63,0))=0,"",INDEX(Einheiten!$B$4:$B$63,MATCH($B319,Einheiten!$A$4:$A$63,0)))),"")</f>
        <v/>
      </c>
      <c r="B319" s="54" t="n">
        <v>15</v>
      </c>
      <c r="C319" s="79" t="str">
        <f aca="false">IFERROR(IF($D319="","",INDEX(Übungen!$B$4:$B$23,MATCH($D319,Übungen!$A$4:$A$23,0))),"")</f>
        <v>Auswärts Bülach</v>
      </c>
      <c r="D319" s="56" t="s">
        <v>493</v>
      </c>
      <c r="E319" s="73" t="s">
        <v>458</v>
      </c>
      <c r="F319" s="55" t="n">
        <v>20</v>
      </c>
      <c r="G319" s="74"/>
      <c r="H319" s="55"/>
      <c r="I319" s="49" t="str">
        <f aca="false">IF(AND(ISNUMBER($F319),ISNUMBER($G319),$E319&lt;&gt;"R"),$F319*$G319,"")</f>
        <v/>
      </c>
      <c r="J319" s="51" t="str">
        <f aca="false">IF(AND($E319="A",ISNUMBER($F319),ISNUMBER($G319)),$F319*(1+$G319/30),"")</f>
        <v/>
      </c>
      <c r="K319" s="56"/>
      <c r="L319" s="56"/>
    </row>
    <row r="320" customFormat="false" ht="15.75" hidden="false" customHeight="true" outlineLevel="0" collapsed="false">
      <c r="A320" s="78" t="str">
        <f aca="false">IFERROR(IF($B320="","",IF(INDEX(Einheiten!$B$4:$B$63,MATCH($B320,Einheiten!$A$4:$A$63,0))=0,"",INDEX(Einheiten!$B$4:$B$63,MATCH($B320,Einheiten!$A$4:$A$63,0)))),"")</f>
        <v/>
      </c>
      <c r="B320" s="54" t="n">
        <v>15</v>
      </c>
      <c r="C320" s="79" t="str">
        <f aca="false">IFERROR(IF($D320="","",INDEX(Übungen!$B$4:$B$23,MATCH($D320,Übungen!$A$4:$A$23,0))),"")</f>
        <v>Auswärts Bülach</v>
      </c>
      <c r="D320" s="56" t="s">
        <v>493</v>
      </c>
      <c r="E320" s="73" t="s">
        <v>459</v>
      </c>
      <c r="F320" s="55" t="n">
        <v>40</v>
      </c>
      <c r="G320" s="74" t="n">
        <v>10</v>
      </c>
      <c r="H320" s="55"/>
      <c r="I320" s="49" t="n">
        <f aca="false">IF(AND(ISNUMBER($F320),ISNUMBER($G320),$E320&lt;&gt;"R"),$F320*$G320,"")</f>
        <v>400</v>
      </c>
      <c r="J320" s="51" t="n">
        <f aca="false">IF(AND($E320="A",ISNUMBER($F320),ISNUMBER($G320)),$F320*(1+$G320/30),"")</f>
        <v>53.3333333333333</v>
      </c>
      <c r="K320" s="56"/>
      <c r="L320" s="56"/>
    </row>
    <row r="321" customFormat="false" ht="15.75" hidden="false" customHeight="true" outlineLevel="0" collapsed="false">
      <c r="A321" s="78" t="str">
        <f aca="false">IFERROR(IF($B321="","",IF(INDEX(Einheiten!$B$4:$B$63,MATCH($B321,Einheiten!$A$4:$A$63,0))=0,"",INDEX(Einheiten!$B$4:$B$63,MATCH($B321,Einheiten!$A$4:$A$63,0)))),"")</f>
        <v/>
      </c>
      <c r="B321" s="54" t="n">
        <v>15</v>
      </c>
      <c r="C321" s="79" t="str">
        <f aca="false">IFERROR(IF($D321="","",INDEX(Übungen!$B$4:$B$23,MATCH($D321,Übungen!$A$4:$A$23,0))),"")</f>
        <v>Auswärts Bülach</v>
      </c>
      <c r="D321" s="56" t="s">
        <v>493</v>
      </c>
      <c r="E321" s="73" t="s">
        <v>459</v>
      </c>
      <c r="F321" s="55" t="n">
        <v>80</v>
      </c>
      <c r="G321" s="74" t="n">
        <v>9</v>
      </c>
      <c r="H321" s="55"/>
      <c r="I321" s="49" t="n">
        <f aca="false">IF(AND(ISNUMBER($F321),ISNUMBER($G321),$E321&lt;&gt;"R"),$F321*$G321,"")</f>
        <v>720</v>
      </c>
      <c r="J321" s="51" t="n">
        <f aca="false">IF(AND($E321="A",ISNUMBER($F321),ISNUMBER($G321)),$F321*(1+$G321/30),"")</f>
        <v>104</v>
      </c>
      <c r="K321" s="56"/>
      <c r="L321" s="56"/>
    </row>
    <row r="322" customFormat="false" ht="15.75" hidden="false" customHeight="true" outlineLevel="0" collapsed="false">
      <c r="A322" s="78" t="str">
        <f aca="false">IFERROR(IF($B322="","",IF(INDEX(Einheiten!$B$4:$B$63,MATCH($B322,Einheiten!$A$4:$A$63,0))=0,"",INDEX(Einheiten!$B$4:$B$63,MATCH($B322,Einheiten!$A$4:$A$63,0)))),"")</f>
        <v/>
      </c>
      <c r="B322" s="54" t="n">
        <v>15</v>
      </c>
      <c r="C322" s="79" t="str">
        <f aca="false">IFERROR(IF($D322="","",INDEX(Übungen!$B$4:$B$23,MATCH($D322,Übungen!$A$4:$A$23,0))),"")</f>
        <v>Auswärts Bülach</v>
      </c>
      <c r="D322" s="56" t="s">
        <v>493</v>
      </c>
      <c r="E322" s="73" t="s">
        <v>459</v>
      </c>
      <c r="F322" s="55" t="n">
        <v>120</v>
      </c>
      <c r="G322" s="74" t="n">
        <v>9</v>
      </c>
      <c r="H322" s="55"/>
      <c r="I322" s="49" t="n">
        <f aca="false">IF(AND(ISNUMBER($F322),ISNUMBER($G322),$E322&lt;&gt;"R"),$F322*$G322,"")</f>
        <v>1080</v>
      </c>
      <c r="J322" s="51" t="n">
        <f aca="false">IF(AND($E322="A",ISNUMBER($F322),ISNUMBER($G322)),$F322*(1+$G322/30),"")</f>
        <v>156</v>
      </c>
      <c r="K322" s="56"/>
      <c r="L322" s="56"/>
    </row>
    <row r="323" customFormat="false" ht="15.75" hidden="false" customHeight="true" outlineLevel="0" collapsed="false">
      <c r="A323" s="78" t="str">
        <f aca="false">IFERROR(IF($B323="","",IF(INDEX(Einheiten!$B$4:$B$63,MATCH($B323,Einheiten!$A$4:$A$63,0))=0,"",INDEX(Einheiten!$B$4:$B$63,MATCH($B323,Einheiten!$A$4:$A$63,0)))),"")</f>
        <v/>
      </c>
      <c r="B323" s="54" t="n">
        <v>15</v>
      </c>
      <c r="C323" s="79" t="str">
        <f aca="false">IFERROR(IF($D323="","",INDEX(Übungen!$B$4:$B$23,MATCH($D323,Übungen!$A$4:$A$23,0))),"")</f>
        <v>Auswärts Bülach</v>
      </c>
      <c r="D323" s="56" t="s">
        <v>494</v>
      </c>
      <c r="E323" s="73" t="s">
        <v>458</v>
      </c>
      <c r="F323" s="55" t="n">
        <v>27</v>
      </c>
      <c r="G323" s="74"/>
      <c r="H323" s="55"/>
      <c r="I323" s="49" t="str">
        <f aca="false">IF(AND(ISNUMBER($F323),ISNUMBER($G323),$E323&lt;&gt;"R"),$F323*$G323,"")</f>
        <v/>
      </c>
      <c r="J323" s="51" t="str">
        <f aca="false">IF(AND($E323="A",ISNUMBER($F323),ISNUMBER($G323)),$F323*(1+$G323/30),"")</f>
        <v/>
      </c>
      <c r="K323" s="56"/>
      <c r="L323" s="56" t="s">
        <v>495</v>
      </c>
    </row>
    <row r="324" customFormat="false" ht="15.75" hidden="false" customHeight="true" outlineLevel="0" collapsed="false">
      <c r="A324" s="78" t="str">
        <f aca="false">IFERROR(IF($B324="","",IF(INDEX(Einheiten!$B$4:$B$63,MATCH($B324,Einheiten!$A$4:$A$63,0))=0,"",INDEX(Einheiten!$B$4:$B$63,MATCH($B324,Einheiten!$A$4:$A$63,0)))),"")</f>
        <v/>
      </c>
      <c r="B324" s="54" t="n">
        <v>15</v>
      </c>
      <c r="C324" s="79" t="str">
        <f aca="false">IFERROR(IF($D324="","",INDEX(Übungen!$B$4:$B$23,MATCH($D324,Übungen!$A$4:$A$23,0))),"")</f>
        <v>Auswärts Bülach</v>
      </c>
      <c r="D324" s="56" t="s">
        <v>494</v>
      </c>
      <c r="E324" s="73" t="s">
        <v>458</v>
      </c>
      <c r="F324" s="55" t="n">
        <v>36</v>
      </c>
      <c r="G324" s="74"/>
      <c r="H324" s="55"/>
      <c r="I324" s="49" t="str">
        <f aca="false">IF(AND(ISNUMBER($F324),ISNUMBER($G324),$E324&lt;&gt;"R"),$F324*$G324,"")</f>
        <v/>
      </c>
      <c r="J324" s="51" t="str">
        <f aca="false">IF(AND($E324="A",ISNUMBER($F324),ISNUMBER($G324)),$F324*(1+$G324/30),"")</f>
        <v/>
      </c>
      <c r="K324" s="56"/>
      <c r="L324" s="56"/>
    </row>
    <row r="325" customFormat="false" ht="15.75" hidden="false" customHeight="true" outlineLevel="0" collapsed="false">
      <c r="A325" s="78" t="str">
        <f aca="false">IFERROR(IF($B325="","",IF(INDEX(Einheiten!$B$4:$B$63,MATCH($B325,Einheiten!$A$4:$A$63,0))=0,"",INDEX(Einheiten!$B$4:$B$63,MATCH($B325,Einheiten!$A$4:$A$63,0)))),"")</f>
        <v/>
      </c>
      <c r="B325" s="54" t="n">
        <v>15</v>
      </c>
      <c r="C325" s="79" t="str">
        <f aca="false">IFERROR(IF($D325="","",INDEX(Übungen!$B$4:$B$23,MATCH($D325,Übungen!$A$4:$A$23,0))),"")</f>
        <v>Auswärts Bülach</v>
      </c>
      <c r="D325" s="56" t="s">
        <v>494</v>
      </c>
      <c r="E325" s="73" t="s">
        <v>459</v>
      </c>
      <c r="F325" s="55" t="n">
        <v>50</v>
      </c>
      <c r="G325" s="74" t="n">
        <v>10</v>
      </c>
      <c r="H325" s="55"/>
      <c r="I325" s="49" t="n">
        <f aca="false">IF(AND(ISNUMBER($F325),ISNUMBER($G325),$E325&lt;&gt;"R"),$F325*$G325,"")</f>
        <v>500</v>
      </c>
      <c r="J325" s="51" t="n">
        <f aca="false">IF(AND($E325="A",ISNUMBER($F325),ISNUMBER($G325)),$F325*(1+$G325/30),"")</f>
        <v>66.6666666666667</v>
      </c>
      <c r="K325" s="56"/>
      <c r="L325" s="56" t="s">
        <v>495</v>
      </c>
    </row>
    <row r="326" customFormat="false" ht="15.75" hidden="false" customHeight="true" outlineLevel="0" collapsed="false">
      <c r="A326" s="78" t="str">
        <f aca="false">IFERROR(IF($B326="","",IF(INDEX(Einheiten!$B$4:$B$63,MATCH($B326,Einheiten!$A$4:$A$63,0))=0,"",INDEX(Einheiten!$B$4:$B$63,MATCH($B326,Einheiten!$A$4:$A$63,0)))),"")</f>
        <v/>
      </c>
      <c r="B326" s="54" t="n">
        <v>15</v>
      </c>
      <c r="C326" s="79" t="str">
        <f aca="false">IFERROR(IF($D326="","",INDEX(Übungen!$B$4:$B$23,MATCH($D326,Übungen!$A$4:$A$23,0))),"")</f>
        <v>Auswärts Bülach</v>
      </c>
      <c r="D326" s="56" t="s">
        <v>494</v>
      </c>
      <c r="E326" s="73" t="s">
        <v>458</v>
      </c>
      <c r="F326" s="55" t="n">
        <v>27</v>
      </c>
      <c r="G326" s="74"/>
      <c r="H326" s="55"/>
      <c r="I326" s="49" t="str">
        <f aca="false">IF(AND(ISNUMBER($F326),ISNUMBER($G326),$E326&lt;&gt;"R"),$F326*$G326,"")</f>
        <v/>
      </c>
      <c r="J326" s="51" t="str">
        <f aca="false">IF(AND($E326="A",ISNUMBER($F326),ISNUMBER($G326)),$F326*(1+$G326/30),"")</f>
        <v/>
      </c>
      <c r="K326" s="56"/>
      <c r="L326" s="56" t="s">
        <v>496</v>
      </c>
    </row>
    <row r="327" customFormat="false" ht="15.75" hidden="false" customHeight="true" outlineLevel="0" collapsed="false">
      <c r="A327" s="78" t="str">
        <f aca="false">IFERROR(IF($B327="","",IF(INDEX(Einheiten!$B$4:$B$63,MATCH($B327,Einheiten!$A$4:$A$63,0))=0,"",INDEX(Einheiten!$B$4:$B$63,MATCH($B327,Einheiten!$A$4:$A$63,0)))),"")</f>
        <v/>
      </c>
      <c r="B327" s="54" t="n">
        <v>15</v>
      </c>
      <c r="C327" s="79" t="str">
        <f aca="false">IFERROR(IF($D327="","",INDEX(Übungen!$B$4:$B$23,MATCH($D327,Übungen!$A$4:$A$23,0))),"")</f>
        <v>Auswärts Bülach</v>
      </c>
      <c r="D327" s="56" t="s">
        <v>494</v>
      </c>
      <c r="E327" s="73" t="s">
        <v>458</v>
      </c>
      <c r="F327" s="55" t="n">
        <v>36</v>
      </c>
      <c r="G327" s="74"/>
      <c r="H327" s="55"/>
      <c r="I327" s="49" t="str">
        <f aca="false">IF(AND(ISNUMBER($F327),ISNUMBER($G327),$E327&lt;&gt;"R"),$F327*$G327,"")</f>
        <v/>
      </c>
      <c r="J327" s="51" t="str">
        <f aca="false">IF(AND($E327="A",ISNUMBER($F327),ISNUMBER($G327)),$F327*(1+$G327/30),"")</f>
        <v/>
      </c>
      <c r="K327" s="56"/>
      <c r="L327" s="56"/>
    </row>
    <row r="328" customFormat="false" ht="15.75" hidden="false" customHeight="true" outlineLevel="0" collapsed="false">
      <c r="A328" s="78" t="str">
        <f aca="false">IFERROR(IF($B328="","",IF(INDEX(Einheiten!$B$4:$B$63,MATCH($B328,Einheiten!$A$4:$A$63,0))=0,"",INDEX(Einheiten!$B$4:$B$63,MATCH($B328,Einheiten!$A$4:$A$63,0)))),"")</f>
        <v/>
      </c>
      <c r="B328" s="54" t="n">
        <v>15</v>
      </c>
      <c r="C328" s="79" t="str">
        <f aca="false">IFERROR(IF($D328="","",INDEX(Übungen!$B$4:$B$23,MATCH($D328,Übungen!$A$4:$A$23,0))),"")</f>
        <v>Auswärts Bülach</v>
      </c>
      <c r="D328" s="56" t="s">
        <v>494</v>
      </c>
      <c r="E328" s="73" t="s">
        <v>459</v>
      </c>
      <c r="F328" s="55" t="n">
        <v>59</v>
      </c>
      <c r="G328" s="74" t="n">
        <v>6</v>
      </c>
      <c r="H328" s="55"/>
      <c r="I328" s="49" t="n">
        <f aca="false">IF(AND(ISNUMBER($F328),ISNUMBER($G328),$E328&lt;&gt;"R"),$F328*$G328,"")</f>
        <v>354</v>
      </c>
      <c r="J328" s="51" t="n">
        <f aca="false">IF(AND($E328="A",ISNUMBER($F328),ISNUMBER($G328)),$F328*(1+$G328/30),"")</f>
        <v>70.8</v>
      </c>
      <c r="K328" s="56"/>
      <c r="L328" s="56" t="s">
        <v>497</v>
      </c>
    </row>
    <row r="329" customFormat="false" ht="15.75" hidden="false" customHeight="true" outlineLevel="0" collapsed="false">
      <c r="A329" s="78" t="str">
        <f aca="false">IFERROR(IF($B329="","",IF(INDEX(Einheiten!$B$4:$B$63,MATCH($B329,Einheiten!$A$4:$A$63,0))=0,"",INDEX(Einheiten!$B$4:$B$63,MATCH($B329,Einheiten!$A$4:$A$63,0)))),"")</f>
        <v/>
      </c>
      <c r="B329" s="54" t="n">
        <v>15</v>
      </c>
      <c r="C329" s="79" t="str">
        <f aca="false">IFERROR(IF($D329="","",INDEX(Übungen!$B$4:$B$23,MATCH($D329,Übungen!$A$4:$A$23,0))),"")</f>
        <v>Auswärts Bülach</v>
      </c>
      <c r="D329" s="56" t="s">
        <v>494</v>
      </c>
      <c r="E329" s="73" t="s">
        <v>460</v>
      </c>
      <c r="F329" s="55" t="n">
        <v>54</v>
      </c>
      <c r="G329" s="74" t="n">
        <v>4</v>
      </c>
      <c r="H329" s="55"/>
      <c r="I329" s="49" t="str">
        <f aca="false">IF(AND(ISNUMBER($F329),ISNUMBER($G329),$E329&lt;&gt;"R"),$F329*$G329,"")</f>
        <v/>
      </c>
      <c r="J329" s="51" t="str">
        <f aca="false">IF(AND($E329="A",ISNUMBER($F329),ISNUMBER($G329)),$F329*(1+$G329/30),"")</f>
        <v/>
      </c>
      <c r="K329" s="56"/>
      <c r="L329" s="56" t="s">
        <v>498</v>
      </c>
    </row>
    <row r="330" customFormat="false" ht="15.75" hidden="false" customHeight="true" outlineLevel="0" collapsed="false">
      <c r="A330" s="78" t="str">
        <f aca="false">IFERROR(IF($B330="","",IF(INDEX(Einheiten!$B$4:$B$63,MATCH($B330,Einheiten!$A$4:$A$63,0))=0,"",INDEX(Einheiten!$B$4:$B$63,MATCH($B330,Einheiten!$A$4:$A$63,0)))),"")</f>
        <v/>
      </c>
      <c r="B330" s="54" t="n">
        <v>16</v>
      </c>
      <c r="C330" s="79" t="str">
        <f aca="false">IFERROR(IF($D330="","",INDEX(Übungen!$B$4:$B$23,MATCH($D330,Übungen!$A$4:$A$23,0))),"")</f>
        <v>Beine vorne</v>
      </c>
      <c r="D330" s="56" t="s">
        <v>386</v>
      </c>
      <c r="E330" s="73" t="s">
        <v>458</v>
      </c>
      <c r="F330" s="55" t="n">
        <v>105</v>
      </c>
      <c r="G330" s="74"/>
      <c r="H330" s="55"/>
      <c r="I330" s="49" t="str">
        <f aca="false">IF(AND(ISNUMBER($F330),ISNUMBER($G330),$E330&lt;&gt;"R"),$F330*$G330,"")</f>
        <v/>
      </c>
      <c r="J330" s="51" t="str">
        <f aca="false">IF(AND($E330="A",ISNUMBER($F330),ISNUMBER($G330)),$F330*(1+$G330/30),"")</f>
        <v/>
      </c>
      <c r="K330" s="56"/>
      <c r="L330" s="56"/>
    </row>
    <row r="331" customFormat="false" ht="15.75" hidden="false" customHeight="true" outlineLevel="0" collapsed="false">
      <c r="A331" s="78" t="str">
        <f aca="false">IFERROR(IF($B331="","",IF(INDEX(Einheiten!$B$4:$B$63,MATCH($B331,Einheiten!$A$4:$A$63,0))=0,"",INDEX(Einheiten!$B$4:$B$63,MATCH($B331,Einheiten!$A$4:$A$63,0)))),"")</f>
        <v/>
      </c>
      <c r="B331" s="54" t="n">
        <v>16</v>
      </c>
      <c r="C331" s="79" t="str">
        <f aca="false">IFERROR(IF($D331="","",INDEX(Übungen!$B$4:$B$23,MATCH($D331,Übungen!$A$4:$A$23,0))),"")</f>
        <v>Beine vorne</v>
      </c>
      <c r="D331" s="56" t="s">
        <v>386</v>
      </c>
      <c r="E331" s="73" t="s">
        <v>458</v>
      </c>
      <c r="F331" s="55" t="n">
        <v>150</v>
      </c>
      <c r="G331" s="74"/>
      <c r="H331" s="55"/>
      <c r="I331" s="49" t="str">
        <f aca="false">IF(AND(ISNUMBER($F331),ISNUMBER($G331),$E331&lt;&gt;"R"),$F331*$G331,"")</f>
        <v/>
      </c>
      <c r="J331" s="51" t="str">
        <f aca="false">IF(AND($E331="A",ISNUMBER($F331),ISNUMBER($G331)),$F331*(1+$G331/30),"")</f>
        <v/>
      </c>
      <c r="K331" s="56"/>
      <c r="L331" s="56"/>
    </row>
    <row r="332" customFormat="false" ht="15.75" hidden="false" customHeight="true" outlineLevel="0" collapsed="false">
      <c r="A332" s="78" t="str">
        <f aca="false">IFERROR(IF($B332="","",IF(INDEX(Einheiten!$B$4:$B$63,MATCH($B332,Einheiten!$A$4:$A$63,0))=0,"",INDEX(Einheiten!$B$4:$B$63,MATCH($B332,Einheiten!$A$4:$A$63,0)))),"")</f>
        <v/>
      </c>
      <c r="B332" s="54" t="n">
        <v>16</v>
      </c>
      <c r="C332" s="79" t="str">
        <f aca="false">IFERROR(IF($D332="","",INDEX(Übungen!$B$4:$B$23,MATCH($D332,Übungen!$A$4:$A$23,0))),"")</f>
        <v>Beine vorne</v>
      </c>
      <c r="D332" s="56" t="s">
        <v>386</v>
      </c>
      <c r="E332" s="73" t="s">
        <v>459</v>
      </c>
      <c r="F332" s="55" t="n">
        <v>250</v>
      </c>
      <c r="G332" s="74" t="n">
        <v>5</v>
      </c>
      <c r="H332" s="55"/>
      <c r="I332" s="49" t="n">
        <f aca="false">IF(AND(ISNUMBER($F332),ISNUMBER($G332),$E332&lt;&gt;"R"),$F332*$G332,"")</f>
        <v>1250</v>
      </c>
      <c r="J332" s="51" t="n">
        <f aca="false">IF(AND($E332="A",ISNUMBER($F332),ISNUMBER($G332)),$F332*(1+$G332/30),"")</f>
        <v>291.666666666667</v>
      </c>
      <c r="K332" s="56"/>
      <c r="L332" s="56"/>
    </row>
    <row r="333" customFormat="false" ht="15.75" hidden="false" customHeight="true" outlineLevel="0" collapsed="false">
      <c r="A333" s="78" t="str">
        <f aca="false">IFERROR(IF($B333="","",IF(INDEX(Einheiten!$B$4:$B$63,MATCH($B333,Einheiten!$A$4:$A$63,0))=0,"",INDEX(Einheiten!$B$4:$B$63,MATCH($B333,Einheiten!$A$4:$A$63,0)))),"")</f>
        <v/>
      </c>
      <c r="B333" s="54" t="n">
        <v>16</v>
      </c>
      <c r="C333" s="79" t="str">
        <f aca="false">IFERROR(IF($D333="","",INDEX(Übungen!$B$4:$B$23,MATCH($D333,Übungen!$A$4:$A$23,0))),"")</f>
        <v>Beine vorne</v>
      </c>
      <c r="D333" s="56" t="s">
        <v>386</v>
      </c>
      <c r="E333" s="73" t="s">
        <v>459</v>
      </c>
      <c r="F333" s="55" t="n">
        <v>270</v>
      </c>
      <c r="G333" s="74" t="n">
        <v>5</v>
      </c>
      <c r="H333" s="55"/>
      <c r="I333" s="49" t="n">
        <f aca="false">IF(AND(ISNUMBER($F333),ISNUMBER($G333),$E333&lt;&gt;"R"),$F333*$G333,"")</f>
        <v>1350</v>
      </c>
      <c r="J333" s="51" t="n">
        <f aca="false">IF(AND($E333="A",ISNUMBER($F333),ISNUMBER($G333)),$F333*(1+$G333/30),"")</f>
        <v>315</v>
      </c>
      <c r="K333" s="56"/>
      <c r="L333" s="56"/>
    </row>
    <row r="334" customFormat="false" ht="15.75" hidden="false" customHeight="true" outlineLevel="0" collapsed="false">
      <c r="A334" s="78" t="str">
        <f aca="false">IFERROR(IF($B334="","",IF(INDEX(Einheiten!$B$4:$B$63,MATCH($B334,Einheiten!$A$4:$A$63,0))=0,"",INDEX(Einheiten!$B$4:$B$63,MATCH($B334,Einheiten!$A$4:$A$63,0)))),"")</f>
        <v/>
      </c>
      <c r="B334" s="54" t="n">
        <v>16</v>
      </c>
      <c r="C334" s="79" t="str">
        <f aca="false">IFERROR(IF($D334="","",INDEX(Übungen!$B$4:$B$23,MATCH($D334,Übungen!$A$4:$A$23,0))),"")</f>
        <v>Beine vorne</v>
      </c>
      <c r="D334" s="56" t="s">
        <v>386</v>
      </c>
      <c r="E334" s="73" t="s">
        <v>459</v>
      </c>
      <c r="F334" s="55" t="n">
        <v>300</v>
      </c>
      <c r="G334" s="74" t="n">
        <v>5</v>
      </c>
      <c r="H334" s="55"/>
      <c r="I334" s="49" t="n">
        <f aca="false">IF(AND(ISNUMBER($F334),ISNUMBER($G334),$E334&lt;&gt;"R"),$F334*$G334,"")</f>
        <v>1500</v>
      </c>
      <c r="J334" s="51" t="n">
        <f aca="false">IF(AND($E334="A",ISNUMBER($F334),ISNUMBER($G334)),$F334*(1+$G334/30),"")</f>
        <v>350</v>
      </c>
      <c r="K334" s="56"/>
      <c r="L334" s="56"/>
    </row>
    <row r="335" customFormat="false" ht="15.75" hidden="false" customHeight="true" outlineLevel="0" collapsed="false">
      <c r="A335" s="78" t="str">
        <f aca="false">IFERROR(IF($B335="","",IF(INDEX(Einheiten!$B$4:$B$63,MATCH($B335,Einheiten!$A$4:$A$63,0))=0,"",INDEX(Einheiten!$B$4:$B$63,MATCH($B335,Einheiten!$A$4:$A$63,0)))),"")</f>
        <v/>
      </c>
      <c r="B335" s="54" t="n">
        <v>16</v>
      </c>
      <c r="C335" s="79" t="str">
        <f aca="false">IFERROR(IF($D335="","",INDEX(Übungen!$B$4:$B$23,MATCH($D335,Übungen!$A$4:$A$23,0))),"")</f>
        <v>Beine vorne</v>
      </c>
      <c r="D335" s="56" t="s">
        <v>415</v>
      </c>
      <c r="E335" s="73" t="s">
        <v>458</v>
      </c>
      <c r="F335" s="55" t="n">
        <v>40</v>
      </c>
      <c r="G335" s="74"/>
      <c r="H335" s="55"/>
      <c r="I335" s="49" t="str">
        <f aca="false">IF(AND(ISNUMBER($F335),ISNUMBER($G335),$E335&lt;&gt;"R"),$F335*$G335,"")</f>
        <v/>
      </c>
      <c r="J335" s="51" t="str">
        <f aca="false">IF(AND($E335="A",ISNUMBER($F335),ISNUMBER($G335)),$F335*(1+$G335/30),"")</f>
        <v/>
      </c>
      <c r="K335" s="56"/>
      <c r="L335" s="56"/>
    </row>
    <row r="336" customFormat="false" ht="15.75" hidden="false" customHeight="true" outlineLevel="0" collapsed="false">
      <c r="A336" s="78" t="str">
        <f aca="false">IFERROR(IF($B336="","",IF(INDEX(Einheiten!$B$4:$B$63,MATCH($B336,Einheiten!$A$4:$A$63,0))=0,"",INDEX(Einheiten!$B$4:$B$63,MATCH($B336,Einheiten!$A$4:$A$63,0)))),"")</f>
        <v/>
      </c>
      <c r="B336" s="54" t="n">
        <v>16</v>
      </c>
      <c r="C336" s="79" t="str">
        <f aca="false">IFERROR(IF($D336="","",INDEX(Übungen!$B$4:$B$23,MATCH($D336,Übungen!$A$4:$A$23,0))),"")</f>
        <v>Beine vorne</v>
      </c>
      <c r="D336" s="56" t="s">
        <v>415</v>
      </c>
      <c r="E336" s="73" t="s">
        <v>458</v>
      </c>
      <c r="F336" s="55" t="n">
        <v>60</v>
      </c>
      <c r="G336" s="74"/>
      <c r="H336" s="55"/>
      <c r="I336" s="49" t="str">
        <f aca="false">IF(AND(ISNUMBER($F336),ISNUMBER($G336),$E336&lt;&gt;"R"),$F336*$G336,"")</f>
        <v/>
      </c>
      <c r="J336" s="51" t="str">
        <f aca="false">IF(AND($E336="A",ISNUMBER($F336),ISNUMBER($G336)),$F336*(1+$G336/30),"")</f>
        <v/>
      </c>
      <c r="K336" s="56"/>
      <c r="L336" s="56"/>
    </row>
    <row r="337" customFormat="false" ht="15.75" hidden="false" customHeight="true" outlineLevel="0" collapsed="false">
      <c r="A337" s="78" t="str">
        <f aca="false">IFERROR(IF($B337="","",IF(INDEX(Einheiten!$B$4:$B$63,MATCH($B337,Einheiten!$A$4:$A$63,0))=0,"",INDEX(Einheiten!$B$4:$B$63,MATCH($B337,Einheiten!$A$4:$A$63,0)))),"")</f>
        <v/>
      </c>
      <c r="B337" s="54" t="n">
        <v>16</v>
      </c>
      <c r="C337" s="79" t="str">
        <f aca="false">IFERROR(IF($D337="","",INDEX(Übungen!$B$4:$B$23,MATCH($D337,Übungen!$A$4:$A$23,0))),"")</f>
        <v>Beine vorne</v>
      </c>
      <c r="D337" s="56" t="s">
        <v>415</v>
      </c>
      <c r="E337" s="73" t="s">
        <v>459</v>
      </c>
      <c r="F337" s="55" t="n">
        <v>95</v>
      </c>
      <c r="G337" s="74" t="n">
        <v>8</v>
      </c>
      <c r="H337" s="55"/>
      <c r="I337" s="49" t="n">
        <f aca="false">IF(AND(ISNUMBER($F337),ISNUMBER($G337),$E337&lt;&gt;"R"),$F337*$G337,"")</f>
        <v>760</v>
      </c>
      <c r="J337" s="51" t="n">
        <f aca="false">IF(AND($E337="A",ISNUMBER($F337),ISNUMBER($G337)),$F337*(1+$G337/30),"")</f>
        <v>120.333333333333</v>
      </c>
      <c r="K337" s="56"/>
      <c r="L337" s="56"/>
    </row>
    <row r="338" customFormat="false" ht="15.75" hidden="false" customHeight="true" outlineLevel="0" collapsed="false">
      <c r="A338" s="78" t="str">
        <f aca="false">IFERROR(IF($B338="","",IF(INDEX(Einheiten!$B$4:$B$63,MATCH($B338,Einheiten!$A$4:$A$63,0))=0,"",INDEX(Einheiten!$B$4:$B$63,MATCH($B338,Einheiten!$A$4:$A$63,0)))),"")</f>
        <v/>
      </c>
      <c r="B338" s="54" t="n">
        <v>16</v>
      </c>
      <c r="C338" s="79" t="str">
        <f aca="false">IFERROR(IF($D338="","",INDEX(Übungen!$B$4:$B$23,MATCH($D338,Übungen!$A$4:$A$23,0))),"")</f>
        <v>Beine vorne</v>
      </c>
      <c r="D338" s="56" t="s">
        <v>415</v>
      </c>
      <c r="E338" s="73" t="s">
        <v>459</v>
      </c>
      <c r="F338" s="55" t="n">
        <v>100</v>
      </c>
      <c r="G338" s="74" t="n">
        <v>5</v>
      </c>
      <c r="H338" s="55"/>
      <c r="I338" s="49" t="n">
        <f aca="false">IF(AND(ISNUMBER($F338),ISNUMBER($G338),$E338&lt;&gt;"R"),$F338*$G338,"")</f>
        <v>500</v>
      </c>
      <c r="J338" s="51" t="n">
        <f aca="false">IF(AND($E338="A",ISNUMBER($F338),ISNUMBER($G338)),$F338*(1+$G338/30),"")</f>
        <v>116.666666666667</v>
      </c>
      <c r="K338" s="56"/>
      <c r="L338" s="56"/>
    </row>
    <row r="339" customFormat="false" ht="15.75" hidden="false" customHeight="true" outlineLevel="0" collapsed="false">
      <c r="A339" s="78" t="str">
        <f aca="false">IFERROR(IF($B339="","",IF(INDEX(Einheiten!$B$4:$B$63,MATCH($B339,Einheiten!$A$4:$A$63,0))=0,"",INDEX(Einheiten!$B$4:$B$63,MATCH($B339,Einheiten!$A$4:$A$63,0)))),"")</f>
        <v/>
      </c>
      <c r="B339" s="54" t="n">
        <v>16</v>
      </c>
      <c r="C339" s="79" t="str">
        <f aca="false">IFERROR(IF($D339="","",INDEX(Übungen!$B$4:$B$23,MATCH($D339,Übungen!$A$4:$A$23,0))),"")</f>
        <v>Beine vorne</v>
      </c>
      <c r="D339" s="56" t="s">
        <v>415</v>
      </c>
      <c r="E339" s="73" t="s">
        <v>459</v>
      </c>
      <c r="F339" s="55" t="n">
        <v>100</v>
      </c>
      <c r="G339" s="74" t="n">
        <v>5</v>
      </c>
      <c r="H339" s="55"/>
      <c r="I339" s="49" t="n">
        <f aca="false">IF(AND(ISNUMBER($F339),ISNUMBER($G339),$E339&lt;&gt;"R"),$F339*$G339,"")</f>
        <v>500</v>
      </c>
      <c r="J339" s="51" t="n">
        <f aca="false">IF(AND($E339="A",ISNUMBER($F339),ISNUMBER($G339)),$F339*(1+$G339/30),"")</f>
        <v>116.666666666667</v>
      </c>
      <c r="K339" s="56"/>
      <c r="L339" s="56"/>
    </row>
    <row r="340" customFormat="false" ht="15.75" hidden="false" customHeight="true" outlineLevel="0" collapsed="false">
      <c r="A340" s="78" t="str">
        <f aca="false">IFERROR(IF($B340="","",IF(INDEX(Einheiten!$B$4:$B$63,MATCH($B340,Einheiten!$A$4:$A$63,0))=0,"",INDEX(Einheiten!$B$4:$B$63,MATCH($B340,Einheiten!$A$4:$A$63,0)))),"")</f>
        <v/>
      </c>
      <c r="B340" s="54" t="n">
        <v>16</v>
      </c>
      <c r="C340" s="79" t="str">
        <f aca="false">IFERROR(IF($D340="","",INDEX(Übungen!$B$4:$B$23,MATCH($D340,Übungen!$A$4:$A$23,0))),"")</f>
        <v>Beine vorne</v>
      </c>
      <c r="D340" s="56" t="s">
        <v>369</v>
      </c>
      <c r="E340" s="73" t="s">
        <v>458</v>
      </c>
      <c r="F340" s="55" t="n">
        <v>15</v>
      </c>
      <c r="G340" s="74"/>
      <c r="H340" s="55"/>
      <c r="I340" s="49" t="str">
        <f aca="false">IF(AND(ISNUMBER($F340),ISNUMBER($G340),$E340&lt;&gt;"R"),$F340*$G340,"")</f>
        <v/>
      </c>
      <c r="J340" s="51" t="str">
        <f aca="false">IF(AND($E340="A",ISNUMBER($F340),ISNUMBER($G340)),$F340*(1+$G340/30),"")</f>
        <v/>
      </c>
      <c r="K340" s="56"/>
      <c r="L340" s="56"/>
    </row>
    <row r="341" customFormat="false" ht="15.75" hidden="false" customHeight="true" outlineLevel="0" collapsed="false">
      <c r="A341" s="78" t="str">
        <f aca="false">IFERROR(IF($B341="","",IF(INDEX(Einheiten!$B$4:$B$63,MATCH($B341,Einheiten!$A$4:$A$63,0))=0,"",INDEX(Einheiten!$B$4:$B$63,MATCH($B341,Einheiten!$A$4:$A$63,0)))),"")</f>
        <v/>
      </c>
      <c r="B341" s="54" t="n">
        <v>16</v>
      </c>
      <c r="C341" s="79" t="str">
        <f aca="false">IFERROR(IF($D341="","",INDEX(Übungen!$B$4:$B$23,MATCH($D341,Übungen!$A$4:$A$23,0))),"")</f>
        <v>Beine vorne</v>
      </c>
      <c r="D341" s="56" t="s">
        <v>369</v>
      </c>
      <c r="E341" s="73" t="s">
        <v>458</v>
      </c>
      <c r="F341" s="55" t="n">
        <v>40</v>
      </c>
      <c r="G341" s="74"/>
      <c r="H341" s="55"/>
      <c r="I341" s="49" t="str">
        <f aca="false">IF(AND(ISNUMBER($F341),ISNUMBER($G341),$E341&lt;&gt;"R"),$F341*$G341,"")</f>
        <v/>
      </c>
      <c r="J341" s="51" t="str">
        <f aca="false">IF(AND($E341="A",ISNUMBER($F341),ISNUMBER($G341)),$F341*(1+$G341/30),"")</f>
        <v/>
      </c>
      <c r="K341" s="56"/>
      <c r="L341" s="56"/>
    </row>
    <row r="342" customFormat="false" ht="15.75" hidden="false" customHeight="true" outlineLevel="0" collapsed="false">
      <c r="A342" s="78" t="str">
        <f aca="false">IFERROR(IF($B342="","",IF(INDEX(Einheiten!$B$4:$B$63,MATCH($B342,Einheiten!$A$4:$A$63,0))=0,"",INDEX(Einheiten!$B$4:$B$63,MATCH($B342,Einheiten!$A$4:$A$63,0)))),"")</f>
        <v/>
      </c>
      <c r="B342" s="54" t="n">
        <v>16</v>
      </c>
      <c r="C342" s="79" t="str">
        <f aca="false">IFERROR(IF($D342="","",INDEX(Übungen!$B$4:$B$23,MATCH($D342,Übungen!$A$4:$A$23,0))),"")</f>
        <v>Beine vorne</v>
      </c>
      <c r="D342" s="56" t="s">
        <v>369</v>
      </c>
      <c r="E342" s="73" t="s">
        <v>459</v>
      </c>
      <c r="F342" s="55" t="n">
        <v>60</v>
      </c>
      <c r="G342" s="74" t="n">
        <v>9</v>
      </c>
      <c r="H342" s="55"/>
      <c r="I342" s="49" t="n">
        <f aca="false">IF(AND(ISNUMBER($F342),ISNUMBER($G342),$E342&lt;&gt;"R"),$F342*$G342,"")</f>
        <v>540</v>
      </c>
      <c r="J342" s="51" t="n">
        <f aca="false">IF(AND($E342="A",ISNUMBER($F342),ISNUMBER($G342)),$F342*(1+$G342/30),"")</f>
        <v>78</v>
      </c>
      <c r="K342" s="56"/>
      <c r="L342" s="56"/>
    </row>
    <row r="343" customFormat="false" ht="15.75" hidden="false" customHeight="true" outlineLevel="0" collapsed="false">
      <c r="A343" s="78" t="str">
        <f aca="false">IFERROR(IF($B343="","",IF(INDEX(Einheiten!$B$4:$B$63,MATCH($B343,Einheiten!$A$4:$A$63,0))=0,"",INDEX(Einheiten!$B$4:$B$63,MATCH($B343,Einheiten!$A$4:$A$63,0)))),"")</f>
        <v/>
      </c>
      <c r="B343" s="54" t="n">
        <v>16</v>
      </c>
      <c r="C343" s="79" t="str">
        <f aca="false">IFERROR(IF($D343="","",INDEX(Übungen!$B$4:$B$23,MATCH($D343,Übungen!$A$4:$A$23,0))),"")</f>
        <v>Beine vorne</v>
      </c>
      <c r="D343" s="56" t="s">
        <v>369</v>
      </c>
      <c r="E343" s="73" t="s">
        <v>459</v>
      </c>
      <c r="F343" s="55" t="n">
        <v>75</v>
      </c>
      <c r="G343" s="74" t="n">
        <v>5</v>
      </c>
      <c r="H343" s="55"/>
      <c r="I343" s="49" t="n">
        <f aca="false">IF(AND(ISNUMBER($F343),ISNUMBER($G343),$E343&lt;&gt;"R"),$F343*$G343,"")</f>
        <v>375</v>
      </c>
      <c r="J343" s="51" t="n">
        <f aca="false">IF(AND($E343="A",ISNUMBER($F343),ISNUMBER($G343)),$F343*(1+$G343/30),"")</f>
        <v>87.5</v>
      </c>
      <c r="K343" s="56"/>
      <c r="L343" s="56"/>
    </row>
    <row r="344" customFormat="false" ht="15.75" hidden="false" customHeight="true" outlineLevel="0" collapsed="false">
      <c r="A344" s="78" t="str">
        <f aca="false">IFERROR(IF($B344="","",IF(INDEX(Einheiten!$B$4:$B$63,MATCH($B344,Einheiten!$A$4:$A$63,0))=0,"",INDEX(Einheiten!$B$4:$B$63,MATCH($B344,Einheiten!$A$4:$A$63,0)))),"")</f>
        <v/>
      </c>
      <c r="B344" s="54" t="n">
        <v>16</v>
      </c>
      <c r="C344" s="79" t="str">
        <f aca="false">IFERROR(IF($D344="","",INDEX(Übungen!$B$4:$B$23,MATCH($D344,Übungen!$A$4:$A$23,0))),"")</f>
        <v>Beine vorne</v>
      </c>
      <c r="D344" s="56" t="s">
        <v>369</v>
      </c>
      <c r="E344" s="73" t="s">
        <v>459</v>
      </c>
      <c r="F344" s="55" t="n">
        <v>80</v>
      </c>
      <c r="G344" s="74" t="n">
        <v>6</v>
      </c>
      <c r="H344" s="55"/>
      <c r="I344" s="49" t="n">
        <f aca="false">IF(AND(ISNUMBER($F344),ISNUMBER($G344),$E344&lt;&gt;"R"),$F344*$G344,"")</f>
        <v>480</v>
      </c>
      <c r="J344" s="51" t="n">
        <f aca="false">IF(AND($E344="A",ISNUMBER($F344),ISNUMBER($G344)),$F344*(1+$G344/30),"")</f>
        <v>96</v>
      </c>
      <c r="K344" s="56"/>
      <c r="L344" s="56"/>
    </row>
    <row r="345" customFormat="false" ht="15.75" hidden="false" customHeight="true" outlineLevel="0" collapsed="false">
      <c r="A345" s="78" t="str">
        <f aca="false">IFERROR(IF($B345="","",IF(INDEX(Einheiten!$B$4:$B$63,MATCH($B345,Einheiten!$A$4:$A$63,0))=0,"",INDEX(Einheiten!$B$4:$B$63,MATCH($B345,Einheiten!$A$4:$A$63,0)))),"")</f>
        <v/>
      </c>
      <c r="B345" s="54" t="n">
        <v>17</v>
      </c>
      <c r="C345" s="79" t="str">
        <f aca="false">IFERROR(IF($D345="","",INDEX(Übungen!$B$4:$B$23,MATCH($D345,Übungen!$A$4:$A$23,0))),"")</f>
        <v>Beine vorne</v>
      </c>
      <c r="D345" s="56" t="s">
        <v>386</v>
      </c>
      <c r="E345" s="73" t="s">
        <v>458</v>
      </c>
      <c r="F345" s="55" t="n">
        <v>120</v>
      </c>
      <c r="G345" s="74"/>
      <c r="H345" s="55"/>
      <c r="I345" s="49" t="str">
        <f aca="false">IF(AND(ISNUMBER($F345),ISNUMBER($G345),$E345&lt;&gt;"R"),$F345*$G345,"")</f>
        <v/>
      </c>
      <c r="J345" s="51" t="str">
        <f aca="false">IF(AND($E345="A",ISNUMBER($F345),ISNUMBER($G345)),$F345*(1+$G345/30),"")</f>
        <v/>
      </c>
      <c r="K345" s="56"/>
      <c r="L345" s="56"/>
    </row>
    <row r="346" customFormat="false" ht="15.75" hidden="false" customHeight="true" outlineLevel="0" collapsed="false">
      <c r="A346" s="78" t="str">
        <f aca="false">IFERROR(IF($B346="","",IF(INDEX(Einheiten!$B$4:$B$63,MATCH($B346,Einheiten!$A$4:$A$63,0))=0,"",INDEX(Einheiten!$B$4:$B$63,MATCH($B346,Einheiten!$A$4:$A$63,0)))),"")</f>
        <v/>
      </c>
      <c r="B346" s="54" t="n">
        <v>17</v>
      </c>
      <c r="C346" s="79" t="str">
        <f aca="false">IFERROR(IF($D346="","",INDEX(Übungen!$B$4:$B$23,MATCH($D346,Übungen!$A$4:$A$23,0))),"")</f>
        <v>Beine vorne</v>
      </c>
      <c r="D346" s="56" t="s">
        <v>386</v>
      </c>
      <c r="E346" s="73" t="s">
        <v>458</v>
      </c>
      <c r="F346" s="55" t="n">
        <v>210</v>
      </c>
      <c r="G346" s="74"/>
      <c r="H346" s="55"/>
      <c r="I346" s="49" t="str">
        <f aca="false">IF(AND(ISNUMBER($F346),ISNUMBER($G346),$E346&lt;&gt;"R"),$F346*$G346,"")</f>
        <v/>
      </c>
      <c r="J346" s="51" t="str">
        <f aca="false">IF(AND($E346="A",ISNUMBER($F346),ISNUMBER($G346)),$F346*(1+$G346/30),"")</f>
        <v/>
      </c>
      <c r="K346" s="56"/>
      <c r="L346" s="56"/>
    </row>
    <row r="347" customFormat="false" ht="15.75" hidden="false" customHeight="true" outlineLevel="0" collapsed="false">
      <c r="A347" s="78" t="str">
        <f aca="false">IFERROR(IF($B347="","",IF(INDEX(Einheiten!$B$4:$B$63,MATCH($B347,Einheiten!$A$4:$A$63,0))=0,"",INDEX(Einheiten!$B$4:$B$63,MATCH($B347,Einheiten!$A$4:$A$63,0)))),"")</f>
        <v/>
      </c>
      <c r="B347" s="54" t="n">
        <v>17</v>
      </c>
      <c r="C347" s="79" t="str">
        <f aca="false">IFERROR(IF($D347="","",INDEX(Übungen!$B$4:$B$23,MATCH($D347,Übungen!$A$4:$A$23,0))),"")</f>
        <v>Beine vorne</v>
      </c>
      <c r="D347" s="56" t="s">
        <v>386</v>
      </c>
      <c r="E347" s="73" t="s">
        <v>459</v>
      </c>
      <c r="F347" s="55" t="n">
        <v>300</v>
      </c>
      <c r="G347" s="74" t="n">
        <v>6</v>
      </c>
      <c r="H347" s="55"/>
      <c r="I347" s="49" t="n">
        <f aca="false">IF(AND(ISNUMBER($F347),ISNUMBER($G347),$E347&lt;&gt;"R"),$F347*$G347,"")</f>
        <v>1800</v>
      </c>
      <c r="J347" s="51" t="n">
        <f aca="false">IF(AND($E347="A",ISNUMBER($F347),ISNUMBER($G347)),$F347*(1+$G347/30),"")</f>
        <v>360</v>
      </c>
      <c r="K347" s="56"/>
      <c r="L347" s="56"/>
    </row>
    <row r="348" customFormat="false" ht="15.75" hidden="false" customHeight="true" outlineLevel="0" collapsed="false">
      <c r="A348" s="78" t="str">
        <f aca="false">IFERROR(IF($B348="","",IF(INDEX(Einheiten!$B$4:$B$63,MATCH($B348,Einheiten!$A$4:$A$63,0))=0,"",INDEX(Einheiten!$B$4:$B$63,MATCH($B348,Einheiten!$A$4:$A$63,0)))),"")</f>
        <v/>
      </c>
      <c r="B348" s="54" t="n">
        <v>17</v>
      </c>
      <c r="C348" s="79" t="str">
        <f aca="false">IFERROR(IF($D348="","",INDEX(Übungen!$B$4:$B$23,MATCH($D348,Übungen!$A$4:$A$23,0))),"")</f>
        <v>Beine vorne</v>
      </c>
      <c r="D348" s="56" t="s">
        <v>386</v>
      </c>
      <c r="E348" s="73" t="s">
        <v>459</v>
      </c>
      <c r="F348" s="55" t="n">
        <v>300</v>
      </c>
      <c r="G348" s="74" t="n">
        <v>6</v>
      </c>
      <c r="H348" s="55"/>
      <c r="I348" s="49" t="n">
        <f aca="false">IF(AND(ISNUMBER($F348),ISNUMBER($G348),$E348&lt;&gt;"R"),$F348*$G348,"")</f>
        <v>1800</v>
      </c>
      <c r="J348" s="51" t="n">
        <f aca="false">IF(AND($E348="A",ISNUMBER($F348),ISNUMBER($G348)),$F348*(1+$G348/30),"")</f>
        <v>360</v>
      </c>
      <c r="K348" s="56"/>
      <c r="L348" s="56"/>
    </row>
    <row r="349" customFormat="false" ht="15.75" hidden="false" customHeight="true" outlineLevel="0" collapsed="false">
      <c r="A349" s="78" t="str">
        <f aca="false">IFERROR(IF($B349="","",IF(INDEX(Einheiten!$B$4:$B$63,MATCH($B349,Einheiten!$A$4:$A$63,0))=0,"",INDEX(Einheiten!$B$4:$B$63,MATCH($B349,Einheiten!$A$4:$A$63,0)))),"")</f>
        <v/>
      </c>
      <c r="B349" s="54" t="n">
        <v>17</v>
      </c>
      <c r="C349" s="79" t="str">
        <f aca="false">IFERROR(IF($D349="","",INDEX(Übungen!$B$4:$B$23,MATCH($D349,Übungen!$A$4:$A$23,0))),"")</f>
        <v>Beine vorne</v>
      </c>
      <c r="D349" s="56" t="s">
        <v>386</v>
      </c>
      <c r="E349" s="73" t="s">
        <v>459</v>
      </c>
      <c r="F349" s="55" t="n">
        <v>300</v>
      </c>
      <c r="G349" s="74" t="n">
        <v>6</v>
      </c>
      <c r="H349" s="55"/>
      <c r="I349" s="49" t="n">
        <f aca="false">IF(AND(ISNUMBER($F349),ISNUMBER($G349),$E349&lt;&gt;"R"),$F349*$G349,"")</f>
        <v>1800</v>
      </c>
      <c r="J349" s="51" t="n">
        <f aca="false">IF(AND($E349="A",ISNUMBER($F349),ISNUMBER($G349)),$F349*(1+$G349/30),"")</f>
        <v>360</v>
      </c>
      <c r="K349" s="56"/>
      <c r="L349" s="56"/>
    </row>
    <row r="350" customFormat="false" ht="15.75" hidden="false" customHeight="true" outlineLevel="0" collapsed="false">
      <c r="A350" s="78" t="str">
        <f aca="false">IFERROR(IF($B350="","",IF(INDEX(Einheiten!$B$4:$B$63,MATCH($B350,Einheiten!$A$4:$A$63,0))=0,"",INDEX(Einheiten!$B$4:$B$63,MATCH($B350,Einheiten!$A$4:$A$63,0)))),"")</f>
        <v/>
      </c>
      <c r="B350" s="54" t="n">
        <v>17</v>
      </c>
      <c r="C350" s="79" t="str">
        <f aca="false">IFERROR(IF($D350="","",INDEX(Übungen!$B$4:$B$23,MATCH($D350,Übungen!$A$4:$A$23,0))),"")</f>
        <v>Beine vorne</v>
      </c>
      <c r="D350" s="56" t="s">
        <v>415</v>
      </c>
      <c r="E350" s="73" t="s">
        <v>458</v>
      </c>
      <c r="F350" s="55" t="n">
        <v>40</v>
      </c>
      <c r="G350" s="74"/>
      <c r="H350" s="55"/>
      <c r="I350" s="49" t="str">
        <f aca="false">IF(AND(ISNUMBER($F350),ISNUMBER($G350),$E350&lt;&gt;"R"),$F350*$G350,"")</f>
        <v/>
      </c>
      <c r="J350" s="51" t="str">
        <f aca="false">IF(AND($E350="A",ISNUMBER($F350),ISNUMBER($G350)),$F350*(1+$G350/30),"")</f>
        <v/>
      </c>
      <c r="K350" s="56"/>
      <c r="L350" s="56"/>
    </row>
    <row r="351" customFormat="false" ht="15.75" hidden="false" customHeight="true" outlineLevel="0" collapsed="false">
      <c r="A351" s="78" t="str">
        <f aca="false">IFERROR(IF($B351="","",IF(INDEX(Einheiten!$B$4:$B$63,MATCH($B351,Einheiten!$A$4:$A$63,0))=0,"",INDEX(Einheiten!$B$4:$B$63,MATCH($B351,Einheiten!$A$4:$A$63,0)))),"")</f>
        <v/>
      </c>
      <c r="B351" s="54" t="n">
        <v>17</v>
      </c>
      <c r="C351" s="79" t="str">
        <f aca="false">IFERROR(IF($D351="","",INDEX(Übungen!$B$4:$B$23,MATCH($D351,Übungen!$A$4:$A$23,0))),"")</f>
        <v>Beine vorne</v>
      </c>
      <c r="D351" s="56" t="s">
        <v>415</v>
      </c>
      <c r="E351" s="73" t="s">
        <v>458</v>
      </c>
      <c r="F351" s="55" t="n">
        <v>70</v>
      </c>
      <c r="G351" s="74"/>
      <c r="H351" s="55"/>
      <c r="I351" s="49" t="str">
        <f aca="false">IF(AND(ISNUMBER($F351),ISNUMBER($G351),$E351&lt;&gt;"R"),$F351*$G351,"")</f>
        <v/>
      </c>
      <c r="J351" s="51" t="str">
        <f aca="false">IF(AND($E351="A",ISNUMBER($F351),ISNUMBER($G351)),$F351*(1+$G351/30),"")</f>
        <v/>
      </c>
      <c r="K351" s="56"/>
      <c r="L351" s="56"/>
    </row>
    <row r="352" customFormat="false" ht="15.75" hidden="false" customHeight="true" outlineLevel="0" collapsed="false">
      <c r="A352" s="78" t="str">
        <f aca="false">IFERROR(IF($B352="","",IF(INDEX(Einheiten!$B$4:$B$63,MATCH($B352,Einheiten!$A$4:$A$63,0))=0,"",INDEX(Einheiten!$B$4:$B$63,MATCH($B352,Einheiten!$A$4:$A$63,0)))),"")</f>
        <v/>
      </c>
      <c r="B352" s="54" t="n">
        <v>17</v>
      </c>
      <c r="C352" s="79" t="str">
        <f aca="false">IFERROR(IF($D352="","",INDEX(Übungen!$B$4:$B$23,MATCH($D352,Übungen!$A$4:$A$23,0))),"")</f>
        <v>Beine vorne</v>
      </c>
      <c r="D352" s="56" t="s">
        <v>415</v>
      </c>
      <c r="E352" s="73" t="s">
        <v>459</v>
      </c>
      <c r="F352" s="55" t="n">
        <v>100</v>
      </c>
      <c r="G352" s="74" t="n">
        <v>6</v>
      </c>
      <c r="H352" s="55"/>
      <c r="I352" s="49" t="n">
        <f aca="false">IF(AND(ISNUMBER($F352),ISNUMBER($G352),$E352&lt;&gt;"R"),$F352*$G352,"")</f>
        <v>600</v>
      </c>
      <c r="J352" s="51" t="n">
        <f aca="false">IF(AND($E352="A",ISNUMBER($F352),ISNUMBER($G352)),$F352*(1+$G352/30),"")</f>
        <v>120</v>
      </c>
      <c r="K352" s="56"/>
      <c r="L352" s="56"/>
    </row>
    <row r="353" customFormat="false" ht="15.75" hidden="false" customHeight="true" outlineLevel="0" collapsed="false">
      <c r="A353" s="78" t="str">
        <f aca="false">IFERROR(IF($B353="","",IF(INDEX(Einheiten!$B$4:$B$63,MATCH($B353,Einheiten!$A$4:$A$63,0))=0,"",INDEX(Einheiten!$B$4:$B$63,MATCH($B353,Einheiten!$A$4:$A$63,0)))),"")</f>
        <v/>
      </c>
      <c r="B353" s="54" t="n">
        <v>17</v>
      </c>
      <c r="C353" s="79" t="str">
        <f aca="false">IFERROR(IF($D353="","",INDEX(Übungen!$B$4:$B$23,MATCH($D353,Übungen!$A$4:$A$23,0))),"")</f>
        <v>Beine vorne</v>
      </c>
      <c r="D353" s="56" t="s">
        <v>415</v>
      </c>
      <c r="E353" s="73" t="s">
        <v>459</v>
      </c>
      <c r="F353" s="55" t="n">
        <v>110</v>
      </c>
      <c r="G353" s="74" t="n">
        <v>5</v>
      </c>
      <c r="H353" s="55"/>
      <c r="I353" s="49" t="n">
        <f aca="false">IF(AND(ISNUMBER($F353),ISNUMBER($G353),$E353&lt;&gt;"R"),$F353*$G353,"")</f>
        <v>550</v>
      </c>
      <c r="J353" s="51" t="n">
        <f aca="false">IF(AND($E353="A",ISNUMBER($F353),ISNUMBER($G353)),$F353*(1+$G353/30),"")</f>
        <v>128.333333333333</v>
      </c>
      <c r="K353" s="56"/>
      <c r="L353" s="56"/>
    </row>
    <row r="354" customFormat="false" ht="15.75" hidden="false" customHeight="true" outlineLevel="0" collapsed="false">
      <c r="A354" s="78" t="str">
        <f aca="false">IFERROR(IF($B354="","",IF(INDEX(Einheiten!$B$4:$B$63,MATCH($B354,Einheiten!$A$4:$A$63,0))=0,"",INDEX(Einheiten!$B$4:$B$63,MATCH($B354,Einheiten!$A$4:$A$63,0)))),"")</f>
        <v/>
      </c>
      <c r="B354" s="54" t="n">
        <v>17</v>
      </c>
      <c r="C354" s="79" t="str">
        <f aca="false">IFERROR(IF($D354="","",INDEX(Übungen!$B$4:$B$23,MATCH($D354,Übungen!$A$4:$A$23,0))),"")</f>
        <v>Beine vorne</v>
      </c>
      <c r="D354" s="56" t="s">
        <v>415</v>
      </c>
      <c r="E354" s="73" t="s">
        <v>459</v>
      </c>
      <c r="F354" s="55" t="n">
        <v>120</v>
      </c>
      <c r="G354" s="74" t="n">
        <v>6</v>
      </c>
      <c r="H354" s="55"/>
      <c r="I354" s="49" t="n">
        <f aca="false">IF(AND(ISNUMBER($F354),ISNUMBER($G354),$E354&lt;&gt;"R"),$F354*$G354,"")</f>
        <v>720</v>
      </c>
      <c r="J354" s="51" t="n">
        <f aca="false">IF(AND($E354="A",ISNUMBER($F354),ISNUMBER($G354)),$F354*(1+$G354/30),"")</f>
        <v>144</v>
      </c>
      <c r="K354" s="56"/>
      <c r="L354" s="56" t="s">
        <v>499</v>
      </c>
    </row>
    <row r="355" customFormat="false" ht="15.75" hidden="false" customHeight="true" outlineLevel="0" collapsed="false">
      <c r="A355" s="78" t="str">
        <f aca="false">IFERROR(IF($B355="","",IF(INDEX(Einheiten!$B$4:$B$63,MATCH($B355,Einheiten!$A$4:$A$63,0))=0,"",INDEX(Einheiten!$B$4:$B$63,MATCH($B355,Einheiten!$A$4:$A$63,0)))),"")</f>
        <v/>
      </c>
      <c r="B355" s="54" t="n">
        <v>17</v>
      </c>
      <c r="C355" s="79" t="str">
        <f aca="false">IFERROR(IF($D355="","",INDEX(Übungen!$B$4:$B$23,MATCH($D355,Übungen!$A$4:$A$23,0))),"")</f>
        <v>Beine vorne</v>
      </c>
      <c r="D355" s="56" t="s">
        <v>369</v>
      </c>
      <c r="E355" s="73" t="s">
        <v>458</v>
      </c>
      <c r="F355" s="55" t="n">
        <v>34</v>
      </c>
      <c r="G355" s="74"/>
      <c r="H355" s="55"/>
      <c r="I355" s="49" t="str">
        <f aca="false">IF(AND(ISNUMBER($F355),ISNUMBER($G355),$E355&lt;&gt;"R"),$F355*$G355,"")</f>
        <v/>
      </c>
      <c r="J355" s="51" t="str">
        <f aca="false">IF(AND($E355="A",ISNUMBER($F355),ISNUMBER($G355)),$F355*(1+$G355/30),"")</f>
        <v/>
      </c>
      <c r="K355" s="56"/>
      <c r="L355" s="56"/>
    </row>
    <row r="356" customFormat="false" ht="15.75" hidden="false" customHeight="true" outlineLevel="0" collapsed="false">
      <c r="A356" s="78" t="str">
        <f aca="false">IFERROR(IF($B356="","",IF(INDEX(Einheiten!$B$4:$B$63,MATCH($B356,Einheiten!$A$4:$A$63,0))=0,"",INDEX(Einheiten!$B$4:$B$63,MATCH($B356,Einheiten!$A$4:$A$63,0)))),"")</f>
        <v/>
      </c>
      <c r="B356" s="54" t="n">
        <v>17</v>
      </c>
      <c r="C356" s="79" t="str">
        <f aca="false">IFERROR(IF($D356="","",INDEX(Übungen!$B$4:$B$23,MATCH($D356,Übungen!$A$4:$A$23,0))),"")</f>
        <v>Beine vorne</v>
      </c>
      <c r="D356" s="56" t="s">
        <v>369</v>
      </c>
      <c r="E356" s="73" t="s">
        <v>458</v>
      </c>
      <c r="F356" s="55" t="n">
        <v>59.5</v>
      </c>
      <c r="G356" s="74"/>
      <c r="H356" s="55"/>
      <c r="I356" s="49" t="str">
        <f aca="false">IF(AND(ISNUMBER($F356),ISNUMBER($G356),$E356&lt;&gt;"R"),$F356*$G356,"")</f>
        <v/>
      </c>
      <c r="J356" s="51" t="str">
        <f aca="false">IF(AND($E356="A",ISNUMBER($F356),ISNUMBER($G356)),$F356*(1+$G356/30),"")</f>
        <v/>
      </c>
      <c r="K356" s="56"/>
      <c r="L356" s="56"/>
    </row>
    <row r="357" customFormat="false" ht="15.75" hidden="false" customHeight="true" outlineLevel="0" collapsed="false">
      <c r="A357" s="78" t="str">
        <f aca="false">IFERROR(IF($B357="","",IF(INDEX(Einheiten!$B$4:$B$63,MATCH($B357,Einheiten!$A$4:$A$63,0))=0,"",INDEX(Einheiten!$B$4:$B$63,MATCH($B357,Einheiten!$A$4:$A$63,0)))),"")</f>
        <v/>
      </c>
      <c r="B357" s="54" t="n">
        <v>17</v>
      </c>
      <c r="C357" s="79" t="str">
        <f aca="false">IFERROR(IF($D357="","",INDEX(Übungen!$B$4:$B$23,MATCH($D357,Übungen!$A$4:$A$23,0))),"")</f>
        <v>Beine vorne</v>
      </c>
      <c r="D357" s="56" t="s">
        <v>369</v>
      </c>
      <c r="E357" s="73" t="s">
        <v>459</v>
      </c>
      <c r="F357" s="55" t="n">
        <v>85</v>
      </c>
      <c r="G357" s="74" t="n">
        <v>6</v>
      </c>
      <c r="H357" s="55"/>
      <c r="I357" s="49" t="n">
        <f aca="false">IF(AND(ISNUMBER($F357),ISNUMBER($G357),$E357&lt;&gt;"R"),$F357*$G357,"")</f>
        <v>510</v>
      </c>
      <c r="J357" s="51" t="n">
        <f aca="false">IF(AND($E357="A",ISNUMBER($F357),ISNUMBER($G357)),$F357*(1+$G357/30),"")</f>
        <v>102</v>
      </c>
      <c r="K357" s="56"/>
      <c r="L357" s="56"/>
    </row>
    <row r="358" customFormat="false" ht="15.75" hidden="false" customHeight="true" outlineLevel="0" collapsed="false">
      <c r="A358" s="78" t="str">
        <f aca="false">IFERROR(IF($B358="","",IF(INDEX(Einheiten!$B$4:$B$63,MATCH($B358,Einheiten!$A$4:$A$63,0))=0,"",INDEX(Einheiten!$B$4:$B$63,MATCH($B358,Einheiten!$A$4:$A$63,0)))),"")</f>
        <v/>
      </c>
      <c r="B358" s="54" t="n">
        <v>17</v>
      </c>
      <c r="C358" s="79" t="str">
        <f aca="false">IFERROR(IF($D358="","",INDEX(Übungen!$B$4:$B$23,MATCH($D358,Übungen!$A$4:$A$23,0))),"")</f>
        <v>Beine vorne</v>
      </c>
      <c r="D358" s="56" t="s">
        <v>369</v>
      </c>
      <c r="E358" s="73" t="s">
        <v>459</v>
      </c>
      <c r="F358" s="55" t="n">
        <v>90</v>
      </c>
      <c r="G358" s="74" t="n">
        <v>5</v>
      </c>
      <c r="H358" s="55"/>
      <c r="I358" s="49" t="n">
        <f aca="false">IF(AND(ISNUMBER($F358),ISNUMBER($G358),$E358&lt;&gt;"R"),$F358*$G358,"")</f>
        <v>450</v>
      </c>
      <c r="J358" s="51" t="n">
        <f aca="false">IF(AND($E358="A",ISNUMBER($F358),ISNUMBER($G358)),$F358*(1+$G358/30),"")</f>
        <v>105</v>
      </c>
      <c r="K358" s="56"/>
      <c r="L358" s="56"/>
    </row>
    <row r="359" customFormat="false" ht="15.75" hidden="false" customHeight="true" outlineLevel="0" collapsed="false">
      <c r="A359" s="78" t="str">
        <f aca="false">IFERROR(IF($B359="","",IF(INDEX(Einheiten!$B$4:$B$63,MATCH($B359,Einheiten!$A$4:$A$63,0))=0,"",INDEX(Einheiten!$B$4:$B$63,MATCH($B359,Einheiten!$A$4:$A$63,0)))),"")</f>
        <v/>
      </c>
      <c r="B359" s="54" t="n">
        <v>17</v>
      </c>
      <c r="C359" s="79" t="str">
        <f aca="false">IFERROR(IF($D359="","",INDEX(Übungen!$B$4:$B$23,MATCH($D359,Übungen!$A$4:$A$23,0))),"")</f>
        <v>Beine vorne</v>
      </c>
      <c r="D359" s="56" t="s">
        <v>369</v>
      </c>
      <c r="E359" s="73" t="s">
        <v>459</v>
      </c>
      <c r="F359" s="55" t="n">
        <v>95</v>
      </c>
      <c r="G359" s="74" t="n">
        <v>5</v>
      </c>
      <c r="H359" s="55"/>
      <c r="I359" s="49" t="n">
        <f aca="false">IF(AND(ISNUMBER($F359),ISNUMBER($G359),$E359&lt;&gt;"R"),$F359*$G359,"")</f>
        <v>475</v>
      </c>
      <c r="J359" s="51" t="n">
        <f aca="false">IF(AND($E359="A",ISNUMBER($F359),ISNUMBER($G359)),$F359*(1+$G359/30),"")</f>
        <v>110.833333333333</v>
      </c>
      <c r="K359" s="56"/>
      <c r="L359" s="56"/>
    </row>
    <row r="360" customFormat="false" ht="15.75" hidden="false" customHeight="true" outlineLevel="0" collapsed="false">
      <c r="A360" s="78" t="str">
        <f aca="false">IFERROR(IF($B360="","",IF(INDEX(Einheiten!$B$4:$B$63,MATCH($B360,Einheiten!$A$4:$A$63,0))=0,"",INDEX(Einheiten!$B$4:$B$63,MATCH($B360,Einheiten!$A$4:$A$63,0)))),"")</f>
        <v/>
      </c>
      <c r="B360" s="54" t="n">
        <v>17</v>
      </c>
      <c r="C360" s="79" t="str">
        <f aca="false">IFERROR(IF($D360="","",INDEX(Übungen!$B$4:$B$23,MATCH($D360,Übungen!$A$4:$A$23,0))),"")</f>
        <v>Beine vorne</v>
      </c>
      <c r="D360" s="56" t="s">
        <v>377</v>
      </c>
      <c r="E360" s="73" t="s">
        <v>458</v>
      </c>
      <c r="F360" s="55" t="n">
        <v>66</v>
      </c>
      <c r="G360" s="74"/>
      <c r="H360" s="55"/>
      <c r="I360" s="49" t="str">
        <f aca="false">IF(AND(ISNUMBER($F360),ISNUMBER($G360),$E360&lt;&gt;"R"),$F360*$G360,"")</f>
        <v/>
      </c>
      <c r="J360" s="51" t="str">
        <f aca="false">IF(AND($E360="A",ISNUMBER($F360),ISNUMBER($G360)),$F360*(1+$G360/30),"")</f>
        <v/>
      </c>
      <c r="K360" s="56"/>
      <c r="L360" s="56"/>
    </row>
    <row r="361" customFormat="false" ht="15.75" hidden="false" customHeight="true" outlineLevel="0" collapsed="false">
      <c r="A361" s="78" t="str">
        <f aca="false">IFERROR(IF($B361="","",IF(INDEX(Einheiten!$B$4:$B$63,MATCH($B361,Einheiten!$A$4:$A$63,0))=0,"",INDEX(Einheiten!$B$4:$B$63,MATCH($B361,Einheiten!$A$4:$A$63,0)))),"")</f>
        <v/>
      </c>
      <c r="B361" s="54" t="n">
        <v>17</v>
      </c>
      <c r="C361" s="79" t="str">
        <f aca="false">IFERROR(IF($D361="","",INDEX(Übungen!$B$4:$B$23,MATCH($D361,Übungen!$A$4:$A$23,0))),"")</f>
        <v>Beine vorne</v>
      </c>
      <c r="D361" s="56" t="s">
        <v>377</v>
      </c>
      <c r="E361" s="73" t="s">
        <v>458</v>
      </c>
      <c r="F361" s="55" t="n">
        <v>115.5</v>
      </c>
      <c r="G361" s="74"/>
      <c r="H361" s="55"/>
      <c r="I361" s="49" t="str">
        <f aca="false">IF(AND(ISNUMBER($F361),ISNUMBER($G361),$E361&lt;&gt;"R"),$F361*$G361,"")</f>
        <v/>
      </c>
      <c r="J361" s="51" t="str">
        <f aca="false">IF(AND($E361="A",ISNUMBER($F361),ISNUMBER($G361)),$F361*(1+$G361/30),"")</f>
        <v/>
      </c>
      <c r="K361" s="56"/>
      <c r="L361" s="56"/>
    </row>
    <row r="362" customFormat="false" ht="15.75" hidden="false" customHeight="true" outlineLevel="0" collapsed="false">
      <c r="A362" s="78" t="str">
        <f aca="false">IFERROR(IF($B362="","",IF(INDEX(Einheiten!$B$4:$B$63,MATCH($B362,Einheiten!$A$4:$A$63,0))=0,"",INDEX(Einheiten!$B$4:$B$63,MATCH($B362,Einheiten!$A$4:$A$63,0)))),"")</f>
        <v/>
      </c>
      <c r="B362" s="54" t="n">
        <v>17</v>
      </c>
      <c r="C362" s="79" t="str">
        <f aca="false">IFERROR(IF($D362="","",INDEX(Übungen!$B$4:$B$23,MATCH($D362,Übungen!$A$4:$A$23,0))),"")</f>
        <v>Beine vorne</v>
      </c>
      <c r="D362" s="56" t="s">
        <v>377</v>
      </c>
      <c r="E362" s="73" t="s">
        <v>459</v>
      </c>
      <c r="F362" s="55" t="n">
        <v>165</v>
      </c>
      <c r="G362" s="74" t="n">
        <v>6</v>
      </c>
      <c r="H362" s="55"/>
      <c r="I362" s="49" t="n">
        <f aca="false">IF(AND(ISNUMBER($F362),ISNUMBER($G362),$E362&lt;&gt;"R"),$F362*$G362,"")</f>
        <v>990</v>
      </c>
      <c r="J362" s="51" t="n">
        <f aca="false">IF(AND($E362="A",ISNUMBER($F362),ISNUMBER($G362)),$F362*(1+$G362/30),"")</f>
        <v>198</v>
      </c>
      <c r="K362" s="56"/>
      <c r="L362" s="56" t="s">
        <v>500</v>
      </c>
    </row>
    <row r="363" customFormat="false" ht="15.75" hidden="false" customHeight="true" outlineLevel="0" collapsed="false">
      <c r="A363" s="78" t="str">
        <f aca="false">IFERROR(IF($B363="","",IF(INDEX(Einheiten!$B$4:$B$63,MATCH($B363,Einheiten!$A$4:$A$63,0))=0,"",INDEX(Einheiten!$B$4:$B$63,MATCH($B363,Einheiten!$A$4:$A$63,0)))),"")</f>
        <v/>
      </c>
      <c r="B363" s="54" t="n">
        <v>17</v>
      </c>
      <c r="C363" s="79" t="str">
        <f aca="false">IFERROR(IF($D363="","",INDEX(Übungen!$B$4:$B$23,MATCH($D363,Übungen!$A$4:$A$23,0))),"")</f>
        <v>Beine vorne</v>
      </c>
      <c r="D363" s="56" t="s">
        <v>377</v>
      </c>
      <c r="E363" s="73" t="s">
        <v>459</v>
      </c>
      <c r="F363" s="55" t="n">
        <v>157</v>
      </c>
      <c r="G363" s="74" t="n">
        <v>6</v>
      </c>
      <c r="H363" s="55"/>
      <c r="I363" s="49" t="n">
        <f aca="false">IF(AND(ISNUMBER($F363),ISNUMBER($G363),$E363&lt;&gt;"R"),$F363*$G363,"")</f>
        <v>942</v>
      </c>
      <c r="J363" s="51" t="n">
        <f aca="false">IF(AND($E363="A",ISNUMBER($F363),ISNUMBER($G363)),$F363*(1+$G363/30),"")</f>
        <v>188.4</v>
      </c>
      <c r="K363" s="56"/>
      <c r="L363" s="56"/>
    </row>
    <row r="364" customFormat="false" ht="15.75" hidden="false" customHeight="true" outlineLevel="0" collapsed="false">
      <c r="A364" s="78" t="str">
        <f aca="false">IFERROR(IF($B364="","",IF(INDEX(Einheiten!$B$4:$B$63,MATCH($B364,Einheiten!$A$4:$A$63,0))=0,"",INDEX(Einheiten!$B$4:$B$63,MATCH($B364,Einheiten!$A$4:$A$63,0)))),"")</f>
        <v/>
      </c>
      <c r="B364" s="54"/>
      <c r="C364" s="79" t="str">
        <f aca="false">IFERROR(IF($D364="","",INDEX(Übungen!$B$4:$B$23,MATCH($D364,Übungen!$A$4:$A$23,0))),"")</f>
        <v/>
      </c>
      <c r="D364" s="56"/>
      <c r="E364" s="73"/>
      <c r="F364" s="55"/>
      <c r="G364" s="74"/>
      <c r="H364" s="55"/>
      <c r="I364" s="49" t="str">
        <f aca="false">IF(AND(ISNUMBER($F364),ISNUMBER($G364),$E364&lt;&gt;"R"),$F364*$G364,"")</f>
        <v/>
      </c>
      <c r="J364" s="51" t="str">
        <f aca="false">IF(AND($E364="A",ISNUMBER($F364),ISNUMBER($G364)),$F364*(1+$G364/30),"")</f>
        <v/>
      </c>
      <c r="K364" s="56"/>
      <c r="L364" s="56"/>
    </row>
    <row r="365" customFormat="false" ht="15.75" hidden="false" customHeight="true" outlineLevel="0" collapsed="false">
      <c r="A365" s="78" t="str">
        <f aca="false">IFERROR(IF($B365="","",IF(INDEX(Einheiten!$B$4:$B$63,MATCH($B365,Einheiten!$A$4:$A$63,0))=0,"",INDEX(Einheiten!$B$4:$B$63,MATCH($B365,Einheiten!$A$4:$A$63,0)))),"")</f>
        <v/>
      </c>
      <c r="B365" s="54"/>
      <c r="C365" s="79" t="str">
        <f aca="false">IFERROR(IF($D365="","",INDEX(Übungen!$B$4:$B$23,MATCH($D365,Übungen!$A$4:$A$23,0))),"")</f>
        <v/>
      </c>
      <c r="D365" s="56"/>
      <c r="E365" s="73"/>
      <c r="F365" s="55"/>
      <c r="G365" s="74"/>
      <c r="H365" s="55"/>
      <c r="I365" s="49" t="str">
        <f aca="false">IF(AND(ISNUMBER($F365),ISNUMBER($G365),$E365&lt;&gt;"R"),$F365*$G365,"")</f>
        <v/>
      </c>
      <c r="J365" s="51" t="str">
        <f aca="false">IF(AND($E365="A",ISNUMBER($F365),ISNUMBER($G365)),$F365*(1+$G365/30),"")</f>
        <v/>
      </c>
      <c r="K365" s="56"/>
      <c r="L365" s="56"/>
    </row>
    <row r="366" customFormat="false" ht="15.75" hidden="false" customHeight="true" outlineLevel="0" collapsed="false">
      <c r="A366" s="78" t="str">
        <f aca="false">IFERROR(IF($B366="","",IF(INDEX(Einheiten!$B$4:$B$63,MATCH($B366,Einheiten!$A$4:$A$63,0))=0,"",INDEX(Einheiten!$B$4:$B$63,MATCH($B366,Einheiten!$A$4:$A$63,0)))),"")</f>
        <v/>
      </c>
      <c r="B366" s="54"/>
      <c r="C366" s="79" t="str">
        <f aca="false">IFERROR(IF($D366="","",INDEX(Übungen!$B$4:$B$23,MATCH($D366,Übungen!$A$4:$A$23,0))),"")</f>
        <v/>
      </c>
      <c r="D366" s="56"/>
      <c r="E366" s="73"/>
      <c r="F366" s="55"/>
      <c r="G366" s="74"/>
      <c r="H366" s="55"/>
      <c r="I366" s="49" t="str">
        <f aca="false">IF(AND(ISNUMBER($F366),ISNUMBER($G366),$E366&lt;&gt;"R"),$F366*$G366,"")</f>
        <v/>
      </c>
      <c r="J366" s="51" t="str">
        <f aca="false">IF(AND($E366="A",ISNUMBER($F366),ISNUMBER($G366)),$F366*(1+$G366/30),"")</f>
        <v/>
      </c>
      <c r="K366" s="56"/>
      <c r="L366" s="56"/>
    </row>
    <row r="367" customFormat="false" ht="15.75" hidden="false" customHeight="true" outlineLevel="0" collapsed="false">
      <c r="A367" s="78" t="str">
        <f aca="false">IFERROR(IF($B367="","",IF(INDEX(Einheiten!$B$4:$B$63,MATCH($B367,Einheiten!$A$4:$A$63,0))=0,"",INDEX(Einheiten!$B$4:$B$63,MATCH($B367,Einheiten!$A$4:$A$63,0)))),"")</f>
        <v/>
      </c>
      <c r="B367" s="54"/>
      <c r="C367" s="79" t="str">
        <f aca="false">IFERROR(IF($D367="","",INDEX(Übungen!$B$4:$B$23,MATCH($D367,Übungen!$A$4:$A$23,0))),"")</f>
        <v/>
      </c>
      <c r="D367" s="56"/>
      <c r="E367" s="73"/>
      <c r="F367" s="55"/>
      <c r="G367" s="74"/>
      <c r="H367" s="55"/>
      <c r="I367" s="49" t="str">
        <f aca="false">IF(AND(ISNUMBER($F367),ISNUMBER($G367),$E367&lt;&gt;"R"),$F367*$G367,"")</f>
        <v/>
      </c>
      <c r="J367" s="51" t="str">
        <f aca="false">IF(AND($E367="A",ISNUMBER($F367),ISNUMBER($G367)),$F367*(1+$G367/30),"")</f>
        <v/>
      </c>
      <c r="K367" s="56"/>
      <c r="L367" s="56"/>
    </row>
    <row r="368" customFormat="false" ht="15.75" hidden="false" customHeight="true" outlineLevel="0" collapsed="false">
      <c r="A368" s="78" t="str">
        <f aca="false">IFERROR(IF($B368="","",IF(INDEX(Einheiten!$B$4:$B$63,MATCH($B368,Einheiten!$A$4:$A$63,0))=0,"",INDEX(Einheiten!$B$4:$B$63,MATCH($B368,Einheiten!$A$4:$A$63,0)))),"")</f>
        <v/>
      </c>
      <c r="B368" s="54"/>
      <c r="C368" s="79" t="str">
        <f aca="false">IFERROR(IF($D368="","",INDEX(Übungen!$B$4:$B$23,MATCH($D368,Übungen!$A$4:$A$23,0))),"")</f>
        <v/>
      </c>
      <c r="D368" s="56"/>
      <c r="E368" s="73"/>
      <c r="F368" s="55"/>
      <c r="G368" s="74"/>
      <c r="H368" s="55"/>
      <c r="I368" s="49" t="str">
        <f aca="false">IF(AND(ISNUMBER($F368),ISNUMBER($G368),$E368&lt;&gt;"R"),$F368*$G368,"")</f>
        <v/>
      </c>
      <c r="J368" s="51" t="str">
        <f aca="false">IF(AND($E368="A",ISNUMBER($F368),ISNUMBER($G368)),$F368*(1+$G368/30),"")</f>
        <v/>
      </c>
      <c r="K368" s="56"/>
      <c r="L368" s="56"/>
    </row>
    <row r="369" customFormat="false" ht="15.75" hidden="false" customHeight="true" outlineLevel="0" collapsed="false">
      <c r="A369" s="78" t="str">
        <f aca="false">IFERROR(IF($B369="","",IF(INDEX(Einheiten!$B$4:$B$63,MATCH($B369,Einheiten!$A$4:$A$63,0))=0,"",INDEX(Einheiten!$B$4:$B$63,MATCH($B369,Einheiten!$A$4:$A$63,0)))),"")</f>
        <v/>
      </c>
      <c r="B369" s="54"/>
      <c r="C369" s="79" t="str">
        <f aca="false">IFERROR(IF($D369="","",INDEX(Übungen!$B$4:$B$23,MATCH($D369,Übungen!$A$4:$A$23,0))),"")</f>
        <v/>
      </c>
      <c r="D369" s="56"/>
      <c r="E369" s="73"/>
      <c r="F369" s="55"/>
      <c r="G369" s="74"/>
      <c r="H369" s="55"/>
      <c r="I369" s="49" t="str">
        <f aca="false">IF(AND(ISNUMBER($F369),ISNUMBER($G369),$E369&lt;&gt;"R"),$F369*$G369,"")</f>
        <v/>
      </c>
      <c r="J369" s="51" t="str">
        <f aca="false">IF(AND($E369="A",ISNUMBER($F369),ISNUMBER($G369)),$F369*(1+$G369/30),"")</f>
        <v/>
      </c>
      <c r="K369" s="56"/>
      <c r="L369" s="56"/>
    </row>
    <row r="370" customFormat="false" ht="15.75" hidden="false" customHeight="true" outlineLevel="0" collapsed="false">
      <c r="A370" s="78" t="str">
        <f aca="false">IFERROR(IF($B370="","",IF(INDEX(Einheiten!$B$4:$B$63,MATCH($B370,Einheiten!$A$4:$A$63,0))=0,"",INDEX(Einheiten!$B$4:$B$63,MATCH($B370,Einheiten!$A$4:$A$63,0)))),"")</f>
        <v/>
      </c>
      <c r="B370" s="54"/>
      <c r="C370" s="79" t="str">
        <f aca="false">IFERROR(IF($D370="","",INDEX(Übungen!$B$4:$B$23,MATCH($D370,Übungen!$A$4:$A$23,0))),"")</f>
        <v/>
      </c>
      <c r="D370" s="56"/>
      <c r="E370" s="73"/>
      <c r="F370" s="55"/>
      <c r="G370" s="74"/>
      <c r="H370" s="55"/>
      <c r="I370" s="49" t="str">
        <f aca="false">IF(AND(ISNUMBER($F370),ISNUMBER($G370),$E370&lt;&gt;"R"),$F370*$G370,"")</f>
        <v/>
      </c>
      <c r="J370" s="51" t="str">
        <f aca="false">IF(AND($E370="A",ISNUMBER($F370),ISNUMBER($G370)),$F370*(1+$G370/30),"")</f>
        <v/>
      </c>
      <c r="K370" s="56"/>
      <c r="L370" s="56"/>
    </row>
    <row r="371" customFormat="false" ht="15.75" hidden="false" customHeight="true" outlineLevel="0" collapsed="false">
      <c r="A371" s="78" t="str">
        <f aca="false">IFERROR(IF($B371="","",IF(INDEX(Einheiten!$B$4:$B$63,MATCH($B371,Einheiten!$A$4:$A$63,0))=0,"",INDEX(Einheiten!$B$4:$B$63,MATCH($B371,Einheiten!$A$4:$A$63,0)))),"")</f>
        <v/>
      </c>
      <c r="B371" s="54"/>
      <c r="C371" s="79" t="str">
        <f aca="false">IFERROR(IF($D371="","",INDEX(Übungen!$B$4:$B$23,MATCH($D371,Übungen!$A$4:$A$23,0))),"")</f>
        <v/>
      </c>
      <c r="D371" s="56"/>
      <c r="E371" s="73"/>
      <c r="F371" s="55"/>
      <c r="G371" s="74"/>
      <c r="H371" s="55"/>
      <c r="I371" s="49" t="str">
        <f aca="false">IF(AND(ISNUMBER($F371),ISNUMBER($G371),$E371&lt;&gt;"R"),$F371*$G371,"")</f>
        <v/>
      </c>
      <c r="J371" s="51" t="str">
        <f aca="false">IF(AND($E371="A",ISNUMBER($F371),ISNUMBER($G371)),$F371*(1+$G371/30),"")</f>
        <v/>
      </c>
      <c r="K371" s="56"/>
      <c r="L371" s="56"/>
    </row>
    <row r="372" customFormat="false" ht="15.75" hidden="false" customHeight="true" outlineLevel="0" collapsed="false">
      <c r="A372" s="78" t="str">
        <f aca="false">IFERROR(IF($B372="","",IF(INDEX(Einheiten!$B$4:$B$63,MATCH($B372,Einheiten!$A$4:$A$63,0))=0,"",INDEX(Einheiten!$B$4:$B$63,MATCH($B372,Einheiten!$A$4:$A$63,0)))),"")</f>
        <v/>
      </c>
      <c r="B372" s="54"/>
      <c r="C372" s="79" t="str">
        <f aca="false">IFERROR(IF($D372="","",INDEX(Übungen!$B$4:$B$23,MATCH($D372,Übungen!$A$4:$A$23,0))),"")</f>
        <v/>
      </c>
      <c r="D372" s="56"/>
      <c r="E372" s="73"/>
      <c r="F372" s="55"/>
      <c r="G372" s="74"/>
      <c r="H372" s="55"/>
      <c r="I372" s="49" t="str">
        <f aca="false">IF(AND(ISNUMBER($F372),ISNUMBER($G372),$E372&lt;&gt;"R"),$F372*$G372,"")</f>
        <v/>
      </c>
      <c r="J372" s="51" t="str">
        <f aca="false">IF(AND($E372="A",ISNUMBER($F372),ISNUMBER($G372)),$F372*(1+$G372/30),"")</f>
        <v/>
      </c>
      <c r="K372" s="56"/>
      <c r="L372" s="56"/>
    </row>
    <row r="373" customFormat="false" ht="15.75" hidden="false" customHeight="true" outlineLevel="0" collapsed="false">
      <c r="A373" s="78" t="str">
        <f aca="false">IFERROR(IF($B373="","",IF(INDEX(Einheiten!$B$4:$B$63,MATCH($B373,Einheiten!$A$4:$A$63,0))=0,"",INDEX(Einheiten!$B$4:$B$63,MATCH($B373,Einheiten!$A$4:$A$63,0)))),"")</f>
        <v/>
      </c>
      <c r="B373" s="54"/>
      <c r="C373" s="79" t="str">
        <f aca="false">IFERROR(IF($D373="","",INDEX(Übungen!$B$4:$B$23,MATCH($D373,Übungen!$A$4:$A$23,0))),"")</f>
        <v/>
      </c>
      <c r="D373" s="56"/>
      <c r="E373" s="73"/>
      <c r="F373" s="55"/>
      <c r="G373" s="74"/>
      <c r="H373" s="55"/>
      <c r="I373" s="49" t="str">
        <f aca="false">IF(AND(ISNUMBER($F373),ISNUMBER($G373),$E373&lt;&gt;"R"),$F373*$G373,"")</f>
        <v/>
      </c>
      <c r="J373" s="51" t="str">
        <f aca="false">IF(AND($E373="A",ISNUMBER($F373),ISNUMBER($G373)),$F373*(1+$G373/30),"")</f>
        <v/>
      </c>
      <c r="K373" s="56"/>
      <c r="L373" s="56"/>
    </row>
    <row r="374" customFormat="false" ht="15.75" hidden="false" customHeight="true" outlineLevel="0" collapsed="false">
      <c r="A374" s="78" t="str">
        <f aca="false">IFERROR(IF($B374="","",IF(INDEX(Einheiten!$B$4:$B$63,MATCH($B374,Einheiten!$A$4:$A$63,0))=0,"",INDEX(Einheiten!$B$4:$B$63,MATCH($B374,Einheiten!$A$4:$A$63,0)))),"")</f>
        <v/>
      </c>
      <c r="B374" s="54"/>
      <c r="C374" s="79" t="str">
        <f aca="false">IFERROR(IF($D374="","",INDEX(Übungen!$B$4:$B$23,MATCH($D374,Übungen!$A$4:$A$23,0))),"")</f>
        <v/>
      </c>
      <c r="D374" s="56"/>
      <c r="E374" s="73"/>
      <c r="F374" s="55"/>
      <c r="G374" s="74"/>
      <c r="H374" s="55"/>
      <c r="I374" s="49" t="str">
        <f aca="false">IF(AND(ISNUMBER($F374),ISNUMBER($G374),$E374&lt;&gt;"R"),$F374*$G374,"")</f>
        <v/>
      </c>
      <c r="J374" s="51" t="str">
        <f aca="false">IF(AND($E374="A",ISNUMBER($F374),ISNUMBER($G374)),$F374*(1+$G374/30),"")</f>
        <v/>
      </c>
      <c r="K374" s="56"/>
      <c r="L374" s="56"/>
    </row>
    <row r="375" customFormat="false" ht="15.75" hidden="false" customHeight="true" outlineLevel="0" collapsed="false">
      <c r="A375" s="78" t="str">
        <f aca="false">IFERROR(IF($B375="","",IF(INDEX(Einheiten!$B$4:$B$63,MATCH($B375,Einheiten!$A$4:$A$63,0))=0,"",INDEX(Einheiten!$B$4:$B$63,MATCH($B375,Einheiten!$A$4:$A$63,0)))),"")</f>
        <v/>
      </c>
      <c r="B375" s="54"/>
      <c r="C375" s="79" t="str">
        <f aca="false">IFERROR(IF($D375="","",INDEX(Übungen!$B$4:$B$23,MATCH($D375,Übungen!$A$4:$A$23,0))),"")</f>
        <v/>
      </c>
      <c r="D375" s="56"/>
      <c r="E375" s="73"/>
      <c r="F375" s="55"/>
      <c r="G375" s="74"/>
      <c r="H375" s="55"/>
      <c r="I375" s="49" t="str">
        <f aca="false">IF(AND(ISNUMBER($F375),ISNUMBER($G375),$E375&lt;&gt;"R"),$F375*$G375,"")</f>
        <v/>
      </c>
      <c r="J375" s="51" t="str">
        <f aca="false">IF(AND($E375="A",ISNUMBER($F375),ISNUMBER($G375)),$F375*(1+$G375/30),"")</f>
        <v/>
      </c>
      <c r="K375" s="56"/>
      <c r="L375" s="56"/>
    </row>
    <row r="376" customFormat="false" ht="15.75" hidden="false" customHeight="true" outlineLevel="0" collapsed="false">
      <c r="A376" s="78" t="str">
        <f aca="false">IFERROR(IF($B376="","",IF(INDEX(Einheiten!$B$4:$B$63,MATCH($B376,Einheiten!$A$4:$A$63,0))=0,"",INDEX(Einheiten!$B$4:$B$63,MATCH($B376,Einheiten!$A$4:$A$63,0)))),"")</f>
        <v/>
      </c>
      <c r="B376" s="54"/>
      <c r="C376" s="79" t="str">
        <f aca="false">IFERROR(IF($D376="","",INDEX(Übungen!$B$4:$B$23,MATCH($D376,Übungen!$A$4:$A$23,0))),"")</f>
        <v/>
      </c>
      <c r="D376" s="56"/>
      <c r="E376" s="73"/>
      <c r="F376" s="55"/>
      <c r="G376" s="74"/>
      <c r="H376" s="55"/>
      <c r="I376" s="49" t="str">
        <f aca="false">IF(AND(ISNUMBER($F376),ISNUMBER($G376),$E376&lt;&gt;"R"),$F376*$G376,"")</f>
        <v/>
      </c>
      <c r="J376" s="51" t="str">
        <f aca="false">IF(AND($E376="A",ISNUMBER($F376),ISNUMBER($G376)),$F376*(1+$G376/30),"")</f>
        <v/>
      </c>
      <c r="K376" s="56"/>
      <c r="L376" s="56"/>
    </row>
    <row r="377" customFormat="false" ht="15.75" hidden="false" customHeight="true" outlineLevel="0" collapsed="false">
      <c r="A377" s="78" t="str">
        <f aca="false">IFERROR(IF($B377="","",IF(INDEX(Einheiten!$B$4:$B$63,MATCH($B377,Einheiten!$A$4:$A$63,0))=0,"",INDEX(Einheiten!$B$4:$B$63,MATCH($B377,Einheiten!$A$4:$A$63,0)))),"")</f>
        <v/>
      </c>
      <c r="B377" s="54"/>
      <c r="C377" s="79" t="str">
        <f aca="false">IFERROR(IF($D377="","",INDEX(Übungen!$B$4:$B$23,MATCH($D377,Übungen!$A$4:$A$23,0))),"")</f>
        <v/>
      </c>
      <c r="D377" s="56"/>
      <c r="E377" s="73"/>
      <c r="F377" s="55"/>
      <c r="G377" s="74"/>
      <c r="H377" s="55"/>
      <c r="I377" s="49" t="str">
        <f aca="false">IF(AND(ISNUMBER($F377),ISNUMBER($G377),$E377&lt;&gt;"R"),$F377*$G377,"")</f>
        <v/>
      </c>
      <c r="J377" s="51" t="str">
        <f aca="false">IF(AND($E377="A",ISNUMBER($F377),ISNUMBER($G377)),$F377*(1+$G377/30),"")</f>
        <v/>
      </c>
      <c r="K377" s="56"/>
      <c r="L377" s="56"/>
    </row>
    <row r="378" customFormat="false" ht="15.75" hidden="false" customHeight="true" outlineLevel="0" collapsed="false">
      <c r="A378" s="78" t="str">
        <f aca="false">IFERROR(IF($B378="","",IF(INDEX(Einheiten!$B$4:$B$63,MATCH($B378,Einheiten!$A$4:$A$63,0))=0,"",INDEX(Einheiten!$B$4:$B$63,MATCH($B378,Einheiten!$A$4:$A$63,0)))),"")</f>
        <v/>
      </c>
      <c r="B378" s="54"/>
      <c r="C378" s="79" t="str">
        <f aca="false">IFERROR(IF($D378="","",INDEX(Übungen!$B$4:$B$23,MATCH($D378,Übungen!$A$4:$A$23,0))),"")</f>
        <v/>
      </c>
      <c r="D378" s="56"/>
      <c r="E378" s="73"/>
      <c r="F378" s="55"/>
      <c r="G378" s="74"/>
      <c r="H378" s="55"/>
      <c r="I378" s="49" t="str">
        <f aca="false">IF(AND(ISNUMBER($F378),ISNUMBER($G378),$E378&lt;&gt;"R"),$F378*$G378,"")</f>
        <v/>
      </c>
      <c r="J378" s="51" t="str">
        <f aca="false">IF(AND($E378="A",ISNUMBER($F378),ISNUMBER($G378)),$F378*(1+$G378/30),"")</f>
        <v/>
      </c>
      <c r="K378" s="56"/>
      <c r="L378" s="56"/>
    </row>
    <row r="379" customFormat="false" ht="15.75" hidden="false" customHeight="true" outlineLevel="0" collapsed="false">
      <c r="A379" s="78" t="str">
        <f aca="false">IFERROR(IF($B379="","",IF(INDEX(Einheiten!$B$4:$B$63,MATCH($B379,Einheiten!$A$4:$A$63,0))=0,"",INDEX(Einheiten!$B$4:$B$63,MATCH($B379,Einheiten!$A$4:$A$63,0)))),"")</f>
        <v/>
      </c>
      <c r="B379" s="54"/>
      <c r="C379" s="79" t="str">
        <f aca="false">IFERROR(IF($D379="","",INDEX(Übungen!$B$4:$B$23,MATCH($D379,Übungen!$A$4:$A$23,0))),"")</f>
        <v/>
      </c>
      <c r="D379" s="56"/>
      <c r="E379" s="73"/>
      <c r="F379" s="55"/>
      <c r="G379" s="74"/>
      <c r="H379" s="55"/>
      <c r="I379" s="49" t="str">
        <f aca="false">IF(AND(ISNUMBER($F379),ISNUMBER($G379),$E379&lt;&gt;"R"),$F379*$G379,"")</f>
        <v/>
      </c>
      <c r="J379" s="51" t="str">
        <f aca="false">IF(AND($E379="A",ISNUMBER($F379),ISNUMBER($G379)),$F379*(1+$G379/30),"")</f>
        <v/>
      </c>
      <c r="K379" s="56"/>
      <c r="L379" s="56"/>
    </row>
    <row r="380" customFormat="false" ht="15.75" hidden="false" customHeight="true" outlineLevel="0" collapsed="false">
      <c r="A380" s="78" t="str">
        <f aca="false">IFERROR(IF($B380="","",IF(INDEX(Einheiten!$B$4:$B$63,MATCH($B380,Einheiten!$A$4:$A$63,0))=0,"",INDEX(Einheiten!$B$4:$B$63,MATCH($B380,Einheiten!$A$4:$A$63,0)))),"")</f>
        <v/>
      </c>
      <c r="B380" s="54"/>
      <c r="C380" s="79" t="str">
        <f aca="false">IFERROR(IF($D380="","",INDEX(Übungen!$B$4:$B$23,MATCH($D380,Übungen!$A$4:$A$23,0))),"")</f>
        <v/>
      </c>
      <c r="D380" s="56"/>
      <c r="E380" s="73"/>
      <c r="F380" s="55"/>
      <c r="G380" s="74"/>
      <c r="H380" s="55"/>
      <c r="I380" s="49" t="str">
        <f aca="false">IF(AND(ISNUMBER($F380),ISNUMBER($G380),$E380&lt;&gt;"R"),$F380*$G380,"")</f>
        <v/>
      </c>
      <c r="J380" s="51" t="str">
        <f aca="false">IF(AND($E380="A",ISNUMBER($F380),ISNUMBER($G380)),$F380*(1+$G380/30),"")</f>
        <v/>
      </c>
      <c r="K380" s="56"/>
      <c r="L380" s="56"/>
    </row>
    <row r="381" customFormat="false" ht="15.75" hidden="false" customHeight="true" outlineLevel="0" collapsed="false">
      <c r="A381" s="78" t="str">
        <f aca="false">IFERROR(IF($B381="","",IF(INDEX(Einheiten!$B$4:$B$63,MATCH($B381,Einheiten!$A$4:$A$63,0))=0,"",INDEX(Einheiten!$B$4:$B$63,MATCH($B381,Einheiten!$A$4:$A$63,0)))),"")</f>
        <v/>
      </c>
      <c r="B381" s="54"/>
      <c r="C381" s="79" t="str">
        <f aca="false">IFERROR(IF($D381="","",INDEX(Übungen!$B$4:$B$23,MATCH($D381,Übungen!$A$4:$A$23,0))),"")</f>
        <v/>
      </c>
      <c r="D381" s="56"/>
      <c r="E381" s="73"/>
      <c r="F381" s="55"/>
      <c r="G381" s="74"/>
      <c r="H381" s="55"/>
      <c r="I381" s="49" t="str">
        <f aca="false">IF(AND(ISNUMBER($F381),ISNUMBER($G381),$E381&lt;&gt;"R"),$F381*$G381,"")</f>
        <v/>
      </c>
      <c r="J381" s="51" t="str">
        <f aca="false">IF(AND($E381="A",ISNUMBER($F381),ISNUMBER($G381)),$F381*(1+$G381/30),"")</f>
        <v/>
      </c>
      <c r="K381" s="56"/>
      <c r="L381" s="56"/>
    </row>
    <row r="382" customFormat="false" ht="15.75" hidden="false" customHeight="true" outlineLevel="0" collapsed="false">
      <c r="A382" s="78" t="str">
        <f aca="false">IFERROR(IF($B382="","",IF(INDEX(Einheiten!$B$4:$B$63,MATCH($B382,Einheiten!$A$4:$A$63,0))=0,"",INDEX(Einheiten!$B$4:$B$63,MATCH($B382,Einheiten!$A$4:$A$63,0)))),"")</f>
        <v/>
      </c>
      <c r="B382" s="54"/>
      <c r="C382" s="79" t="str">
        <f aca="false">IFERROR(IF($D382="","",INDEX(Übungen!$B$4:$B$23,MATCH($D382,Übungen!$A$4:$A$23,0))),"")</f>
        <v/>
      </c>
      <c r="D382" s="56"/>
      <c r="E382" s="73"/>
      <c r="F382" s="55"/>
      <c r="G382" s="74"/>
      <c r="H382" s="55"/>
      <c r="I382" s="49" t="str">
        <f aca="false">IF(AND(ISNUMBER($F382),ISNUMBER($G382),$E382&lt;&gt;"R"),$F382*$G382,"")</f>
        <v/>
      </c>
      <c r="J382" s="51" t="str">
        <f aca="false">IF(AND($E382="A",ISNUMBER($F382),ISNUMBER($G382)),$F382*(1+$G382/30),"")</f>
        <v/>
      </c>
      <c r="K382" s="56"/>
      <c r="L382" s="56"/>
    </row>
    <row r="383" customFormat="false" ht="15.75" hidden="false" customHeight="true" outlineLevel="0" collapsed="false">
      <c r="A383" s="78" t="str">
        <f aca="false">IFERROR(IF($B383="","",IF(INDEX(Einheiten!$B$4:$B$63,MATCH($B383,Einheiten!$A$4:$A$63,0))=0,"",INDEX(Einheiten!$B$4:$B$63,MATCH($B383,Einheiten!$A$4:$A$63,0)))),"")</f>
        <v/>
      </c>
      <c r="B383" s="54"/>
      <c r="C383" s="79" t="str">
        <f aca="false">IFERROR(IF($D383="","",INDEX(Übungen!$B$4:$B$23,MATCH($D383,Übungen!$A$4:$A$23,0))),"")</f>
        <v/>
      </c>
      <c r="D383" s="56"/>
      <c r="E383" s="73"/>
      <c r="F383" s="55"/>
      <c r="G383" s="74"/>
      <c r="H383" s="55"/>
      <c r="I383" s="49" t="str">
        <f aca="false">IF(AND(ISNUMBER($F383),ISNUMBER($G383),$E383&lt;&gt;"R"),$F383*$G383,"")</f>
        <v/>
      </c>
      <c r="J383" s="51" t="str">
        <f aca="false">IF(AND($E383="A",ISNUMBER($F383),ISNUMBER($G383)),$F383*(1+$G383/30),"")</f>
        <v/>
      </c>
      <c r="K383" s="56"/>
      <c r="L383" s="56"/>
    </row>
    <row r="384" customFormat="false" ht="15.75" hidden="false" customHeight="true" outlineLevel="0" collapsed="false">
      <c r="A384" s="78" t="str">
        <f aca="false">IFERROR(IF($B384="","",IF(INDEX(Einheiten!$B$4:$B$63,MATCH($B384,Einheiten!$A$4:$A$63,0))=0,"",INDEX(Einheiten!$B$4:$B$63,MATCH($B384,Einheiten!$A$4:$A$63,0)))),"")</f>
        <v/>
      </c>
      <c r="B384" s="54"/>
      <c r="C384" s="79" t="str">
        <f aca="false">IFERROR(IF($D384="","",INDEX(Übungen!$B$4:$B$23,MATCH($D384,Übungen!$A$4:$A$23,0))),"")</f>
        <v/>
      </c>
      <c r="D384" s="56"/>
      <c r="E384" s="73"/>
      <c r="F384" s="55"/>
      <c r="G384" s="74"/>
      <c r="H384" s="55"/>
      <c r="I384" s="49" t="str">
        <f aca="false">IF(AND(ISNUMBER($F384),ISNUMBER($G384),$E384&lt;&gt;"R"),$F384*$G384,"")</f>
        <v/>
      </c>
      <c r="J384" s="51" t="str">
        <f aca="false">IF(AND($E384="A",ISNUMBER($F384),ISNUMBER($G384)),$F384*(1+$G384/30),"")</f>
        <v/>
      </c>
      <c r="K384" s="56"/>
      <c r="L384" s="56"/>
    </row>
    <row r="385" customFormat="false" ht="15.75" hidden="false" customHeight="true" outlineLevel="0" collapsed="false">
      <c r="A385" s="78" t="str">
        <f aca="false">IFERROR(IF($B385="","",IF(INDEX(Einheiten!$B$4:$B$63,MATCH($B385,Einheiten!$A$4:$A$63,0))=0,"",INDEX(Einheiten!$B$4:$B$63,MATCH($B385,Einheiten!$A$4:$A$63,0)))),"")</f>
        <v/>
      </c>
      <c r="B385" s="54"/>
      <c r="C385" s="79" t="str">
        <f aca="false">IFERROR(IF($D385="","",INDEX(Übungen!$B$4:$B$23,MATCH($D385,Übungen!$A$4:$A$23,0))),"")</f>
        <v/>
      </c>
      <c r="D385" s="56"/>
      <c r="E385" s="73"/>
      <c r="F385" s="55"/>
      <c r="G385" s="74"/>
      <c r="H385" s="55"/>
      <c r="I385" s="49" t="str">
        <f aca="false">IF(AND(ISNUMBER($F385),ISNUMBER($G385),$E385&lt;&gt;"R"),$F385*$G385,"")</f>
        <v/>
      </c>
      <c r="J385" s="51" t="str">
        <f aca="false">IF(AND($E385="A",ISNUMBER($F385),ISNUMBER($G385)),$F385*(1+$G385/30),"")</f>
        <v/>
      </c>
      <c r="K385" s="56"/>
      <c r="L385" s="56"/>
    </row>
    <row r="386" customFormat="false" ht="15.75" hidden="false" customHeight="true" outlineLevel="0" collapsed="false">
      <c r="A386" s="78" t="str">
        <f aca="false">IFERROR(IF($B386="","",IF(INDEX(Einheiten!$B$4:$B$63,MATCH($B386,Einheiten!$A$4:$A$63,0))=0,"",INDEX(Einheiten!$B$4:$B$63,MATCH($B386,Einheiten!$A$4:$A$63,0)))),"")</f>
        <v/>
      </c>
      <c r="B386" s="54"/>
      <c r="C386" s="79" t="str">
        <f aca="false">IFERROR(IF($D386="","",INDEX(Übungen!$B$4:$B$23,MATCH($D386,Übungen!$A$4:$A$23,0))),"")</f>
        <v/>
      </c>
      <c r="D386" s="56"/>
      <c r="E386" s="73"/>
      <c r="F386" s="55"/>
      <c r="G386" s="74"/>
      <c r="H386" s="55"/>
      <c r="I386" s="49" t="str">
        <f aca="false">IF(AND(ISNUMBER($F386),ISNUMBER($G386),$E386&lt;&gt;"R"),$F386*$G386,"")</f>
        <v/>
      </c>
      <c r="J386" s="51" t="str">
        <f aca="false">IF(AND($E386="A",ISNUMBER($F386),ISNUMBER($G386)),$F386*(1+$G386/30),"")</f>
        <v/>
      </c>
      <c r="K386" s="56"/>
      <c r="L386" s="56"/>
    </row>
    <row r="387" customFormat="false" ht="15.75" hidden="false" customHeight="true" outlineLevel="0" collapsed="false">
      <c r="A387" s="78" t="str">
        <f aca="false">IFERROR(IF($B387="","",IF(INDEX(Einheiten!$B$4:$B$63,MATCH($B387,Einheiten!$A$4:$A$63,0))=0,"",INDEX(Einheiten!$B$4:$B$63,MATCH($B387,Einheiten!$A$4:$A$63,0)))),"")</f>
        <v/>
      </c>
      <c r="B387" s="54"/>
      <c r="C387" s="79" t="str">
        <f aca="false">IFERROR(IF($D387="","",INDEX(Übungen!$B$4:$B$23,MATCH($D387,Übungen!$A$4:$A$23,0))),"")</f>
        <v/>
      </c>
      <c r="D387" s="56"/>
      <c r="E387" s="73"/>
      <c r="F387" s="55"/>
      <c r="G387" s="74"/>
      <c r="H387" s="55"/>
      <c r="I387" s="49" t="str">
        <f aca="false">IF(AND(ISNUMBER($F387),ISNUMBER($G387),$E387&lt;&gt;"R"),$F387*$G387,"")</f>
        <v/>
      </c>
      <c r="J387" s="51" t="str">
        <f aca="false">IF(AND($E387="A",ISNUMBER($F387),ISNUMBER($G387)),$F387*(1+$G387/30),"")</f>
        <v/>
      </c>
      <c r="K387" s="56"/>
      <c r="L387" s="56"/>
    </row>
    <row r="388" customFormat="false" ht="15.75" hidden="false" customHeight="true" outlineLevel="0" collapsed="false">
      <c r="A388" s="78" t="str">
        <f aca="false">IFERROR(IF($B388="","",IF(INDEX(Einheiten!$B$4:$B$63,MATCH($B388,Einheiten!$A$4:$A$63,0))=0,"",INDEX(Einheiten!$B$4:$B$63,MATCH($B388,Einheiten!$A$4:$A$63,0)))),"")</f>
        <v/>
      </c>
      <c r="B388" s="54"/>
      <c r="C388" s="79" t="str">
        <f aca="false">IFERROR(IF($D388="","",INDEX(Übungen!$B$4:$B$23,MATCH($D388,Übungen!$A$4:$A$23,0))),"")</f>
        <v/>
      </c>
      <c r="D388" s="56"/>
      <c r="E388" s="73"/>
      <c r="F388" s="55"/>
      <c r="G388" s="74"/>
      <c r="H388" s="55"/>
      <c r="I388" s="49" t="str">
        <f aca="false">IF(AND(ISNUMBER($F388),ISNUMBER($G388),$E388&lt;&gt;"R"),$F388*$G388,"")</f>
        <v/>
      </c>
      <c r="J388" s="51" t="str">
        <f aca="false">IF(AND($E388="A",ISNUMBER($F388),ISNUMBER($G388)),$F388*(1+$G388/30),"")</f>
        <v/>
      </c>
      <c r="K388" s="56"/>
      <c r="L388" s="56"/>
    </row>
    <row r="389" customFormat="false" ht="15.75" hidden="false" customHeight="true" outlineLevel="0" collapsed="false">
      <c r="A389" s="78" t="str">
        <f aca="false">IFERROR(IF($B389="","",IF(INDEX(Einheiten!$B$4:$B$63,MATCH($B389,Einheiten!$A$4:$A$63,0))=0,"",INDEX(Einheiten!$B$4:$B$63,MATCH($B389,Einheiten!$A$4:$A$63,0)))),"")</f>
        <v/>
      </c>
      <c r="B389" s="54"/>
      <c r="C389" s="79" t="str">
        <f aca="false">IFERROR(IF($D389="","",INDEX(Übungen!$B$4:$B$23,MATCH($D389,Übungen!$A$4:$A$23,0))),"")</f>
        <v/>
      </c>
      <c r="D389" s="56"/>
      <c r="E389" s="73"/>
      <c r="F389" s="55"/>
      <c r="G389" s="74"/>
      <c r="H389" s="55"/>
      <c r="I389" s="49" t="str">
        <f aca="false">IF(AND(ISNUMBER($F389),ISNUMBER($G389),$E389&lt;&gt;"R"),$F389*$G389,"")</f>
        <v/>
      </c>
      <c r="J389" s="51" t="str">
        <f aca="false">IF(AND($E389="A",ISNUMBER($F389),ISNUMBER($G389)),$F389*(1+$G389/30),"")</f>
        <v/>
      </c>
      <c r="K389" s="56"/>
      <c r="L389" s="56"/>
    </row>
    <row r="390" customFormat="false" ht="15.75" hidden="false" customHeight="true" outlineLevel="0" collapsed="false">
      <c r="A390" s="78" t="str">
        <f aca="false">IFERROR(IF($B390="","",IF(INDEX(Einheiten!$B$4:$B$63,MATCH($B390,Einheiten!$A$4:$A$63,0))=0,"",INDEX(Einheiten!$B$4:$B$63,MATCH($B390,Einheiten!$A$4:$A$63,0)))),"")</f>
        <v/>
      </c>
      <c r="B390" s="54"/>
      <c r="C390" s="79" t="str">
        <f aca="false">IFERROR(IF($D390="","",INDEX(Übungen!$B$4:$B$23,MATCH($D390,Übungen!$A$4:$A$23,0))),"")</f>
        <v/>
      </c>
      <c r="D390" s="56"/>
      <c r="E390" s="73"/>
      <c r="F390" s="55"/>
      <c r="G390" s="74"/>
      <c r="H390" s="55"/>
      <c r="I390" s="49" t="str">
        <f aca="false">IF(AND(ISNUMBER($F390),ISNUMBER($G390),$E390&lt;&gt;"R"),$F390*$G390,"")</f>
        <v/>
      </c>
      <c r="J390" s="51" t="str">
        <f aca="false">IF(AND($E390="A",ISNUMBER($F390),ISNUMBER($G390)),$F390*(1+$G390/30),"")</f>
        <v/>
      </c>
      <c r="K390" s="56"/>
      <c r="L390" s="56"/>
    </row>
    <row r="391" customFormat="false" ht="15.75" hidden="false" customHeight="true" outlineLevel="0" collapsed="false">
      <c r="A391" s="78" t="str">
        <f aca="false">IFERROR(IF($B391="","",IF(INDEX(Einheiten!$B$4:$B$63,MATCH($B391,Einheiten!$A$4:$A$63,0))=0,"",INDEX(Einheiten!$B$4:$B$63,MATCH($B391,Einheiten!$A$4:$A$63,0)))),"")</f>
        <v/>
      </c>
      <c r="B391" s="54"/>
      <c r="C391" s="79" t="str">
        <f aca="false">IFERROR(IF($D391="","",INDEX(Übungen!$B$4:$B$23,MATCH($D391,Übungen!$A$4:$A$23,0))),"")</f>
        <v/>
      </c>
      <c r="D391" s="56"/>
      <c r="E391" s="73"/>
      <c r="F391" s="55"/>
      <c r="G391" s="74"/>
      <c r="H391" s="55"/>
      <c r="I391" s="49" t="str">
        <f aca="false">IF(AND(ISNUMBER($F391),ISNUMBER($G391),$E391&lt;&gt;"R"),$F391*$G391,"")</f>
        <v/>
      </c>
      <c r="J391" s="51" t="str">
        <f aca="false">IF(AND($E391="A",ISNUMBER($F391),ISNUMBER($G391)),$F391*(1+$G391/30),"")</f>
        <v/>
      </c>
      <c r="K391" s="56"/>
      <c r="L391" s="56"/>
    </row>
    <row r="392" customFormat="false" ht="15.75" hidden="false" customHeight="true" outlineLevel="0" collapsed="false">
      <c r="A392" s="78" t="str">
        <f aca="false">IFERROR(IF($B392="","",IF(INDEX(Einheiten!$B$4:$B$63,MATCH($B392,Einheiten!$A$4:$A$63,0))=0,"",INDEX(Einheiten!$B$4:$B$63,MATCH($B392,Einheiten!$A$4:$A$63,0)))),"")</f>
        <v/>
      </c>
      <c r="B392" s="54"/>
      <c r="C392" s="79" t="str">
        <f aca="false">IFERROR(IF($D392="","",INDEX(Übungen!$B$4:$B$23,MATCH($D392,Übungen!$A$4:$A$23,0))),"")</f>
        <v/>
      </c>
      <c r="D392" s="56"/>
      <c r="E392" s="73"/>
      <c r="F392" s="55"/>
      <c r="G392" s="74"/>
      <c r="H392" s="55"/>
      <c r="I392" s="49" t="str">
        <f aca="false">IF(AND(ISNUMBER($F392),ISNUMBER($G392),$E392&lt;&gt;"R"),$F392*$G392,"")</f>
        <v/>
      </c>
      <c r="J392" s="51" t="str">
        <f aca="false">IF(AND($E392="A",ISNUMBER($F392),ISNUMBER($G392)),$F392*(1+$G392/30),"")</f>
        <v/>
      </c>
      <c r="K392" s="56"/>
      <c r="L392" s="56"/>
    </row>
    <row r="393" customFormat="false" ht="15.75" hidden="false" customHeight="true" outlineLevel="0" collapsed="false">
      <c r="A393" s="78" t="str">
        <f aca="false">IFERROR(IF($B393="","",IF(INDEX(Einheiten!$B$4:$B$63,MATCH($B393,Einheiten!$A$4:$A$63,0))=0,"",INDEX(Einheiten!$B$4:$B$63,MATCH($B393,Einheiten!$A$4:$A$63,0)))),"")</f>
        <v/>
      </c>
      <c r="B393" s="54"/>
      <c r="C393" s="79" t="str">
        <f aca="false">IFERROR(IF($D393="","",INDEX(Übungen!$B$4:$B$23,MATCH($D393,Übungen!$A$4:$A$23,0))),"")</f>
        <v/>
      </c>
      <c r="D393" s="56"/>
      <c r="E393" s="73"/>
      <c r="F393" s="55"/>
      <c r="G393" s="74"/>
      <c r="H393" s="55"/>
      <c r="I393" s="49" t="str">
        <f aca="false">IF(AND(ISNUMBER($F393),ISNUMBER($G393),$E393&lt;&gt;"R"),$F393*$G393,"")</f>
        <v/>
      </c>
      <c r="J393" s="51" t="str">
        <f aca="false">IF(AND($E393="A",ISNUMBER($F393),ISNUMBER($G393)),$F393*(1+$G393/30),"")</f>
        <v/>
      </c>
      <c r="K393" s="56"/>
      <c r="L393" s="56"/>
    </row>
    <row r="394" customFormat="false" ht="15.75" hidden="false" customHeight="true" outlineLevel="0" collapsed="false">
      <c r="A394" s="78" t="str">
        <f aca="false">IFERROR(IF($B394="","",IF(INDEX(Einheiten!$B$4:$B$63,MATCH($B394,Einheiten!$A$4:$A$63,0))=0,"",INDEX(Einheiten!$B$4:$B$63,MATCH($B394,Einheiten!$A$4:$A$63,0)))),"")</f>
        <v/>
      </c>
      <c r="B394" s="54"/>
      <c r="C394" s="79" t="str">
        <f aca="false">IFERROR(IF($D394="","",INDEX(Übungen!$B$4:$B$23,MATCH($D394,Übungen!$A$4:$A$23,0))),"")</f>
        <v/>
      </c>
      <c r="D394" s="56"/>
      <c r="E394" s="73"/>
      <c r="F394" s="55"/>
      <c r="G394" s="74"/>
      <c r="H394" s="55"/>
      <c r="I394" s="49" t="str">
        <f aca="false">IF(AND(ISNUMBER($F394),ISNUMBER($G394),$E394&lt;&gt;"R"),$F394*$G394,"")</f>
        <v/>
      </c>
      <c r="J394" s="51" t="str">
        <f aca="false">IF(AND($E394="A",ISNUMBER($F394),ISNUMBER($G394)),$F394*(1+$G394/30),"")</f>
        <v/>
      </c>
      <c r="K394" s="56"/>
      <c r="L394" s="56"/>
    </row>
    <row r="395" customFormat="false" ht="15.75" hidden="false" customHeight="true" outlineLevel="0" collapsed="false">
      <c r="A395" s="78" t="str">
        <f aca="false">IFERROR(IF($B395="","",IF(INDEX(Einheiten!$B$4:$B$63,MATCH($B395,Einheiten!$A$4:$A$63,0))=0,"",INDEX(Einheiten!$B$4:$B$63,MATCH($B395,Einheiten!$A$4:$A$63,0)))),"")</f>
        <v/>
      </c>
      <c r="B395" s="54"/>
      <c r="C395" s="79" t="str">
        <f aca="false">IFERROR(IF($D395="","",INDEX(Übungen!$B$4:$B$23,MATCH($D395,Übungen!$A$4:$A$23,0))),"")</f>
        <v/>
      </c>
      <c r="D395" s="56"/>
      <c r="E395" s="73"/>
      <c r="F395" s="55"/>
      <c r="G395" s="74"/>
      <c r="H395" s="55"/>
      <c r="I395" s="49" t="str">
        <f aca="false">IF(AND(ISNUMBER($F395),ISNUMBER($G395),$E395&lt;&gt;"R"),$F395*$G395,"")</f>
        <v/>
      </c>
      <c r="J395" s="51" t="str">
        <f aca="false">IF(AND($E395="A",ISNUMBER($F395),ISNUMBER($G395)),$F395*(1+$G395/30),"")</f>
        <v/>
      </c>
      <c r="K395" s="56"/>
      <c r="L395" s="56"/>
    </row>
    <row r="396" customFormat="false" ht="15.75" hidden="false" customHeight="true" outlineLevel="0" collapsed="false">
      <c r="A396" s="78" t="str">
        <f aca="false">IFERROR(IF($B396="","",IF(INDEX(Einheiten!$B$4:$B$63,MATCH($B396,Einheiten!$A$4:$A$63,0))=0,"",INDEX(Einheiten!$B$4:$B$63,MATCH($B396,Einheiten!$A$4:$A$63,0)))),"")</f>
        <v/>
      </c>
      <c r="B396" s="54"/>
      <c r="C396" s="79" t="str">
        <f aca="false">IFERROR(IF($D396="","",INDEX(Übungen!$B$4:$B$23,MATCH($D396,Übungen!$A$4:$A$23,0))),"")</f>
        <v/>
      </c>
      <c r="D396" s="56"/>
      <c r="E396" s="73"/>
      <c r="F396" s="55"/>
      <c r="G396" s="74"/>
      <c r="H396" s="55"/>
      <c r="I396" s="49" t="str">
        <f aca="false">IF(AND(ISNUMBER($F396),ISNUMBER($G396),$E396&lt;&gt;"R"),$F396*$G396,"")</f>
        <v/>
      </c>
      <c r="J396" s="51" t="str">
        <f aca="false">IF(AND($E396="A",ISNUMBER($F396),ISNUMBER($G396)),$F396*(1+$G396/30),"")</f>
        <v/>
      </c>
      <c r="K396" s="56"/>
      <c r="L396" s="56"/>
    </row>
    <row r="397" customFormat="false" ht="15.75" hidden="false" customHeight="true" outlineLevel="0" collapsed="false">
      <c r="A397" s="78" t="str">
        <f aca="false">IFERROR(IF($B397="","",IF(INDEX(Einheiten!$B$4:$B$63,MATCH($B397,Einheiten!$A$4:$A$63,0))=0,"",INDEX(Einheiten!$B$4:$B$63,MATCH($B397,Einheiten!$A$4:$A$63,0)))),"")</f>
        <v/>
      </c>
      <c r="B397" s="54"/>
      <c r="C397" s="79" t="str">
        <f aca="false">IFERROR(IF($D397="","",INDEX(Übungen!$B$4:$B$23,MATCH($D397,Übungen!$A$4:$A$23,0))),"")</f>
        <v/>
      </c>
      <c r="D397" s="56"/>
      <c r="E397" s="73"/>
      <c r="F397" s="55"/>
      <c r="G397" s="74"/>
      <c r="H397" s="55"/>
      <c r="I397" s="49" t="str">
        <f aca="false">IF(AND(ISNUMBER($F397),ISNUMBER($G397),$E397&lt;&gt;"R"),$F397*$G397,"")</f>
        <v/>
      </c>
      <c r="J397" s="51" t="str">
        <f aca="false">IF(AND($E397="A",ISNUMBER($F397),ISNUMBER($G397)),$F397*(1+$G397/30),"")</f>
        <v/>
      </c>
      <c r="K397" s="56"/>
      <c r="L397" s="56"/>
    </row>
    <row r="398" customFormat="false" ht="15.75" hidden="false" customHeight="true" outlineLevel="0" collapsed="false">
      <c r="A398" s="78" t="str">
        <f aca="false">IFERROR(IF($B398="","",IF(INDEX(Einheiten!$B$4:$B$63,MATCH($B398,Einheiten!$A$4:$A$63,0))=0,"",INDEX(Einheiten!$B$4:$B$63,MATCH($B398,Einheiten!$A$4:$A$63,0)))),"")</f>
        <v/>
      </c>
      <c r="B398" s="54"/>
      <c r="C398" s="79" t="str">
        <f aca="false">IFERROR(IF($D398="","",INDEX(Übungen!$B$4:$B$23,MATCH($D398,Übungen!$A$4:$A$23,0))),"")</f>
        <v/>
      </c>
      <c r="D398" s="56"/>
      <c r="E398" s="73"/>
      <c r="F398" s="55"/>
      <c r="G398" s="74"/>
      <c r="H398" s="55"/>
      <c r="I398" s="49" t="str">
        <f aca="false">IF(AND(ISNUMBER($F398),ISNUMBER($G398),$E398&lt;&gt;"R"),$F398*$G398,"")</f>
        <v/>
      </c>
      <c r="J398" s="51" t="str">
        <f aca="false">IF(AND($E398="A",ISNUMBER($F398),ISNUMBER($G398)),$F398*(1+$G398/30),"")</f>
        <v/>
      </c>
      <c r="K398" s="56"/>
      <c r="L398" s="56"/>
    </row>
    <row r="399" customFormat="false" ht="15.75" hidden="false" customHeight="true" outlineLevel="0" collapsed="false">
      <c r="A399" s="78" t="str">
        <f aca="false">IFERROR(IF($B399="","",IF(INDEX(Einheiten!$B$4:$B$63,MATCH($B399,Einheiten!$A$4:$A$63,0))=0,"",INDEX(Einheiten!$B$4:$B$63,MATCH($B399,Einheiten!$A$4:$A$63,0)))),"")</f>
        <v/>
      </c>
      <c r="B399" s="54"/>
      <c r="C399" s="79" t="str">
        <f aca="false">IFERROR(IF($D399="","",INDEX(Übungen!$B$4:$B$23,MATCH($D399,Übungen!$A$4:$A$23,0))),"")</f>
        <v/>
      </c>
      <c r="D399" s="56"/>
      <c r="E399" s="73"/>
      <c r="F399" s="55"/>
      <c r="G399" s="74"/>
      <c r="H399" s="55"/>
      <c r="I399" s="49" t="str">
        <f aca="false">IF(AND(ISNUMBER($F399),ISNUMBER($G399),$E399&lt;&gt;"R"),$F399*$G399,"")</f>
        <v/>
      </c>
      <c r="J399" s="51" t="str">
        <f aca="false">IF(AND($E399="A",ISNUMBER($F399),ISNUMBER($G399)),$F399*(1+$G399/30),"")</f>
        <v/>
      </c>
      <c r="K399" s="56"/>
      <c r="L399" s="56"/>
    </row>
    <row r="400" customFormat="false" ht="15.75" hidden="false" customHeight="true" outlineLevel="0" collapsed="false">
      <c r="A400" s="78" t="str">
        <f aca="false">IFERROR(IF($B400="","",IF(INDEX(Einheiten!$B$4:$B$63,MATCH($B400,Einheiten!$A$4:$A$63,0))=0,"",INDEX(Einheiten!$B$4:$B$63,MATCH($B400,Einheiten!$A$4:$A$63,0)))),"")</f>
        <v/>
      </c>
      <c r="B400" s="54"/>
      <c r="C400" s="79" t="str">
        <f aca="false">IFERROR(IF($D400="","",INDEX(Übungen!$B$4:$B$23,MATCH($D400,Übungen!$A$4:$A$23,0))),"")</f>
        <v/>
      </c>
      <c r="D400" s="56"/>
      <c r="E400" s="73"/>
      <c r="F400" s="55"/>
      <c r="G400" s="74"/>
      <c r="H400" s="55"/>
      <c r="I400" s="49" t="str">
        <f aca="false">IF(AND(ISNUMBER($F400),ISNUMBER($G400),$E400&lt;&gt;"R"),$F400*$G400,"")</f>
        <v/>
      </c>
      <c r="J400" s="51" t="str">
        <f aca="false">IF(AND($E400="A",ISNUMBER($F400),ISNUMBER($G400)),$F400*(1+$G400/30),"")</f>
        <v/>
      </c>
      <c r="K400" s="56"/>
      <c r="L400" s="56"/>
    </row>
    <row r="401" customFormat="false" ht="15.75" hidden="false" customHeight="true" outlineLevel="0" collapsed="false">
      <c r="A401" s="78" t="str">
        <f aca="false">IFERROR(IF($B401="","",IF(INDEX(Einheiten!$B$4:$B$63,MATCH($B401,Einheiten!$A$4:$A$63,0))=0,"",INDEX(Einheiten!$B$4:$B$63,MATCH($B401,Einheiten!$A$4:$A$63,0)))),"")</f>
        <v/>
      </c>
      <c r="B401" s="54"/>
      <c r="C401" s="79" t="str">
        <f aca="false">IFERROR(IF($D401="","",INDEX(Übungen!$B$4:$B$23,MATCH($D401,Übungen!$A$4:$A$23,0))),"")</f>
        <v/>
      </c>
      <c r="D401" s="56"/>
      <c r="E401" s="73"/>
      <c r="F401" s="55"/>
      <c r="G401" s="74"/>
      <c r="H401" s="55"/>
      <c r="I401" s="49" t="str">
        <f aca="false">IF(AND(ISNUMBER($F401),ISNUMBER($G401),$E401&lt;&gt;"R"),$F401*$G401,"")</f>
        <v/>
      </c>
      <c r="J401" s="51" t="str">
        <f aca="false">IF(AND($E401="A",ISNUMBER($F401),ISNUMBER($G401)),$F401*(1+$G401/30),"")</f>
        <v/>
      </c>
      <c r="K401" s="56"/>
      <c r="L401" s="56"/>
    </row>
    <row r="402" customFormat="false" ht="15.75" hidden="false" customHeight="true" outlineLevel="0" collapsed="false">
      <c r="A402" s="78" t="str">
        <f aca="false">IFERROR(IF($B402="","",IF(INDEX(Einheiten!$B$4:$B$63,MATCH($B402,Einheiten!$A$4:$A$63,0))=0,"",INDEX(Einheiten!$B$4:$B$63,MATCH($B402,Einheiten!$A$4:$A$63,0)))),"")</f>
        <v/>
      </c>
      <c r="B402" s="54"/>
      <c r="C402" s="79" t="str">
        <f aca="false">IFERROR(IF($D402="","",INDEX(Übungen!$B$4:$B$23,MATCH($D402,Übungen!$A$4:$A$23,0))),"")</f>
        <v/>
      </c>
      <c r="D402" s="56"/>
      <c r="E402" s="73"/>
      <c r="F402" s="55"/>
      <c r="G402" s="74"/>
      <c r="H402" s="55"/>
      <c r="I402" s="49" t="str">
        <f aca="false">IF(AND(ISNUMBER($F402),ISNUMBER($G402),$E402&lt;&gt;"R"),$F402*$G402,"")</f>
        <v/>
      </c>
      <c r="J402" s="51" t="str">
        <f aca="false">IF(AND($E402="A",ISNUMBER($F402),ISNUMBER($G402)),$F402*(1+$G402/30),"")</f>
        <v/>
      </c>
      <c r="K402" s="56"/>
      <c r="L402" s="56"/>
    </row>
    <row r="403" customFormat="false" ht="15.75" hidden="false" customHeight="true" outlineLevel="0" collapsed="false">
      <c r="A403" s="78" t="str">
        <f aca="false">IFERROR(IF($B403="","",IF(INDEX(Einheiten!$B$4:$B$63,MATCH($B403,Einheiten!$A$4:$A$63,0))=0,"",INDEX(Einheiten!$B$4:$B$63,MATCH($B403,Einheiten!$A$4:$A$63,0)))),"")</f>
        <v/>
      </c>
      <c r="B403" s="54"/>
      <c r="C403" s="79" t="str">
        <f aca="false">IFERROR(IF($D403="","",INDEX(Übungen!$B$4:$B$23,MATCH($D403,Übungen!$A$4:$A$23,0))),"")</f>
        <v/>
      </c>
      <c r="D403" s="56"/>
      <c r="E403" s="73"/>
      <c r="F403" s="55"/>
      <c r="G403" s="74"/>
      <c r="H403" s="55"/>
      <c r="I403" s="49" t="str">
        <f aca="false">IF(AND(ISNUMBER($F403),ISNUMBER($G403),$E403&lt;&gt;"R"),$F403*$G403,"")</f>
        <v/>
      </c>
      <c r="J403" s="51" t="str">
        <f aca="false">IF(AND($E403="A",ISNUMBER($F403),ISNUMBER($G403)),$F403*(1+$G403/30),"")</f>
        <v/>
      </c>
      <c r="K403" s="56"/>
      <c r="L403" s="56"/>
    </row>
    <row r="404" customFormat="false" ht="15.75" hidden="false" customHeight="true" outlineLevel="0" collapsed="false">
      <c r="A404" s="78" t="str">
        <f aca="false">IFERROR(IF($B404="","",IF(INDEX(Einheiten!$B$4:$B$63,MATCH($B404,Einheiten!$A$4:$A$63,0))=0,"",INDEX(Einheiten!$B$4:$B$63,MATCH($B404,Einheiten!$A$4:$A$63,0)))),"")</f>
        <v/>
      </c>
      <c r="B404" s="54"/>
      <c r="C404" s="79" t="str">
        <f aca="false">IFERROR(IF($D404="","",INDEX(Übungen!$B$4:$B$23,MATCH($D404,Übungen!$A$4:$A$23,0))),"")</f>
        <v/>
      </c>
      <c r="D404" s="56"/>
      <c r="E404" s="73"/>
      <c r="F404" s="55"/>
      <c r="G404" s="74"/>
      <c r="H404" s="55"/>
      <c r="I404" s="49" t="str">
        <f aca="false">IF(AND(ISNUMBER($F404),ISNUMBER($G404),$E404&lt;&gt;"R"),$F404*$G404,"")</f>
        <v/>
      </c>
      <c r="J404" s="51" t="str">
        <f aca="false">IF(AND($E404="A",ISNUMBER($F404),ISNUMBER($G404)),$F404*(1+$G404/30),"")</f>
        <v/>
      </c>
      <c r="K404" s="56"/>
      <c r="L404" s="56"/>
    </row>
    <row r="405" customFormat="false" ht="15.75" hidden="false" customHeight="true" outlineLevel="0" collapsed="false">
      <c r="A405" s="78" t="str">
        <f aca="false">IFERROR(IF($B405="","",IF(INDEX(Einheiten!$B$4:$B$63,MATCH($B405,Einheiten!$A$4:$A$63,0))=0,"",INDEX(Einheiten!$B$4:$B$63,MATCH($B405,Einheiten!$A$4:$A$63,0)))),"")</f>
        <v/>
      </c>
      <c r="B405" s="54"/>
      <c r="C405" s="79" t="str">
        <f aca="false">IFERROR(IF($D405="","",INDEX(Übungen!$B$4:$B$23,MATCH($D405,Übungen!$A$4:$A$23,0))),"")</f>
        <v/>
      </c>
      <c r="D405" s="56"/>
      <c r="E405" s="73"/>
      <c r="F405" s="55"/>
      <c r="G405" s="74"/>
      <c r="H405" s="55"/>
      <c r="I405" s="49" t="str">
        <f aca="false">IF(AND(ISNUMBER($F405),ISNUMBER($G405),$E405&lt;&gt;"R"),$F405*$G405,"")</f>
        <v/>
      </c>
      <c r="J405" s="51" t="str">
        <f aca="false">IF(AND($E405="A",ISNUMBER($F405),ISNUMBER($G405)),$F405*(1+$G405/30),"")</f>
        <v/>
      </c>
      <c r="K405" s="56"/>
      <c r="L405" s="56"/>
    </row>
    <row r="406" customFormat="false" ht="15.75" hidden="false" customHeight="true" outlineLevel="0" collapsed="false">
      <c r="A406" s="78" t="str">
        <f aca="false">IFERROR(IF($B406="","",IF(INDEX(Einheiten!$B$4:$B$63,MATCH($B406,Einheiten!$A$4:$A$63,0))=0,"",INDEX(Einheiten!$B$4:$B$63,MATCH($B406,Einheiten!$A$4:$A$63,0)))),"")</f>
        <v/>
      </c>
      <c r="B406" s="54"/>
      <c r="C406" s="79" t="str">
        <f aca="false">IFERROR(IF($D406="","",INDEX(Übungen!$B$4:$B$23,MATCH($D406,Übungen!$A$4:$A$23,0))),"")</f>
        <v/>
      </c>
      <c r="D406" s="56"/>
      <c r="E406" s="73"/>
      <c r="F406" s="55"/>
      <c r="G406" s="74"/>
      <c r="H406" s="55"/>
      <c r="I406" s="49" t="str">
        <f aca="false">IF(AND(ISNUMBER($F406),ISNUMBER($G406),$E406&lt;&gt;"R"),$F406*$G406,"")</f>
        <v/>
      </c>
      <c r="J406" s="51" t="str">
        <f aca="false">IF(AND($E406="A",ISNUMBER($F406),ISNUMBER($G406)),$F406*(1+$G406/30),"")</f>
        <v/>
      </c>
      <c r="K406" s="56"/>
      <c r="L406" s="56"/>
    </row>
    <row r="407" customFormat="false" ht="15.75" hidden="false" customHeight="true" outlineLevel="0" collapsed="false">
      <c r="A407" s="78" t="str">
        <f aca="false">IFERROR(IF($B407="","",IF(INDEX(Einheiten!$B$4:$B$63,MATCH($B407,Einheiten!$A$4:$A$63,0))=0,"",INDEX(Einheiten!$B$4:$B$63,MATCH($B407,Einheiten!$A$4:$A$63,0)))),"")</f>
        <v/>
      </c>
      <c r="B407" s="54"/>
      <c r="C407" s="79" t="str">
        <f aca="false">IFERROR(IF($D407="","",INDEX(Übungen!$B$4:$B$23,MATCH($D407,Übungen!$A$4:$A$23,0))),"")</f>
        <v/>
      </c>
      <c r="D407" s="56"/>
      <c r="E407" s="73"/>
      <c r="F407" s="55"/>
      <c r="G407" s="74"/>
      <c r="H407" s="55"/>
      <c r="I407" s="49" t="str">
        <f aca="false">IF(AND(ISNUMBER($F407),ISNUMBER($G407),$E407&lt;&gt;"R"),$F407*$G407,"")</f>
        <v/>
      </c>
      <c r="J407" s="51" t="str">
        <f aca="false">IF(AND($E407="A",ISNUMBER($F407),ISNUMBER($G407)),$F407*(1+$G407/30),"")</f>
        <v/>
      </c>
      <c r="K407" s="56"/>
      <c r="L407" s="56"/>
    </row>
    <row r="408" customFormat="false" ht="15.75" hidden="false" customHeight="true" outlineLevel="0" collapsed="false">
      <c r="A408" s="78" t="str">
        <f aca="false">IFERROR(IF($B408="","",IF(INDEX(Einheiten!$B$4:$B$63,MATCH($B408,Einheiten!$A$4:$A$63,0))=0,"",INDEX(Einheiten!$B$4:$B$63,MATCH($B408,Einheiten!$A$4:$A$63,0)))),"")</f>
        <v/>
      </c>
      <c r="B408" s="54"/>
      <c r="C408" s="79" t="str">
        <f aca="false">IFERROR(IF($D408="","",INDEX(Übungen!$B$4:$B$23,MATCH($D408,Übungen!$A$4:$A$23,0))),"")</f>
        <v/>
      </c>
      <c r="D408" s="56"/>
      <c r="E408" s="73"/>
      <c r="F408" s="55"/>
      <c r="G408" s="74"/>
      <c r="H408" s="55"/>
      <c r="I408" s="49" t="str">
        <f aca="false">IF(AND(ISNUMBER($F408),ISNUMBER($G408),$E408&lt;&gt;"R"),$F408*$G408,"")</f>
        <v/>
      </c>
      <c r="J408" s="51" t="str">
        <f aca="false">IF(AND($E408="A",ISNUMBER($F408),ISNUMBER($G408)),$F408*(1+$G408/30),"")</f>
        <v/>
      </c>
      <c r="K408" s="56"/>
      <c r="L408" s="56"/>
    </row>
    <row r="409" customFormat="false" ht="15.75" hidden="false" customHeight="true" outlineLevel="0" collapsed="false">
      <c r="A409" s="78" t="str">
        <f aca="false">IFERROR(IF($B409="","",IF(INDEX(Einheiten!$B$4:$B$63,MATCH($B409,Einheiten!$A$4:$A$63,0))=0,"",INDEX(Einheiten!$B$4:$B$63,MATCH($B409,Einheiten!$A$4:$A$63,0)))),"")</f>
        <v/>
      </c>
      <c r="B409" s="54"/>
      <c r="C409" s="79" t="str">
        <f aca="false">IFERROR(IF($D409="","",INDEX(Übungen!$B$4:$B$23,MATCH($D409,Übungen!$A$4:$A$23,0))),"")</f>
        <v/>
      </c>
      <c r="D409" s="56"/>
      <c r="E409" s="73"/>
      <c r="F409" s="55"/>
      <c r="G409" s="74"/>
      <c r="H409" s="55"/>
      <c r="I409" s="49" t="str">
        <f aca="false">IF(AND(ISNUMBER($F409),ISNUMBER($G409),$E409&lt;&gt;"R"),$F409*$G409,"")</f>
        <v/>
      </c>
      <c r="J409" s="51" t="str">
        <f aca="false">IF(AND($E409="A",ISNUMBER($F409),ISNUMBER($G409)),$F409*(1+$G409/30),"")</f>
        <v/>
      </c>
      <c r="K409" s="56"/>
      <c r="L409" s="56"/>
    </row>
    <row r="410" customFormat="false" ht="15.75" hidden="false" customHeight="true" outlineLevel="0" collapsed="false">
      <c r="A410" s="78" t="str">
        <f aca="false">IFERROR(IF($B410="","",IF(INDEX(Einheiten!$B$4:$B$63,MATCH($B410,Einheiten!$A$4:$A$63,0))=0,"",INDEX(Einheiten!$B$4:$B$63,MATCH($B410,Einheiten!$A$4:$A$63,0)))),"")</f>
        <v/>
      </c>
      <c r="B410" s="54"/>
      <c r="C410" s="79" t="str">
        <f aca="false">IFERROR(IF($D410="","",INDEX(Übungen!$B$4:$B$23,MATCH($D410,Übungen!$A$4:$A$23,0))),"")</f>
        <v/>
      </c>
      <c r="D410" s="56"/>
      <c r="E410" s="73"/>
      <c r="F410" s="55"/>
      <c r="G410" s="74"/>
      <c r="H410" s="55"/>
      <c r="I410" s="49" t="str">
        <f aca="false">IF(AND(ISNUMBER($F410),ISNUMBER($G410),$E410&lt;&gt;"R"),$F410*$G410,"")</f>
        <v/>
      </c>
      <c r="J410" s="51" t="str">
        <f aca="false">IF(AND($E410="A",ISNUMBER($F410),ISNUMBER($G410)),$F410*(1+$G410/30),"")</f>
        <v/>
      </c>
      <c r="K410" s="56"/>
      <c r="L410" s="56"/>
    </row>
    <row r="411" customFormat="false" ht="15.75" hidden="false" customHeight="true" outlineLevel="0" collapsed="false">
      <c r="A411" s="78" t="str">
        <f aca="false">IFERROR(IF($B411="","",IF(INDEX(Einheiten!$B$4:$B$63,MATCH($B411,Einheiten!$A$4:$A$63,0))=0,"",INDEX(Einheiten!$B$4:$B$63,MATCH($B411,Einheiten!$A$4:$A$63,0)))),"")</f>
        <v/>
      </c>
      <c r="B411" s="54"/>
      <c r="C411" s="79" t="str">
        <f aca="false">IFERROR(IF($D411="","",INDEX(Übungen!$B$4:$B$23,MATCH($D411,Übungen!$A$4:$A$23,0))),"")</f>
        <v/>
      </c>
      <c r="D411" s="56"/>
      <c r="E411" s="73"/>
      <c r="F411" s="55"/>
      <c r="G411" s="74"/>
      <c r="H411" s="55"/>
      <c r="I411" s="49" t="str">
        <f aca="false">IF(AND(ISNUMBER($F411),ISNUMBER($G411),$E411&lt;&gt;"R"),$F411*$G411,"")</f>
        <v/>
      </c>
      <c r="J411" s="51" t="str">
        <f aca="false">IF(AND($E411="A",ISNUMBER($F411),ISNUMBER($G411)),$F411*(1+$G411/30),"")</f>
        <v/>
      </c>
      <c r="K411" s="56"/>
      <c r="L411" s="56"/>
    </row>
    <row r="412" customFormat="false" ht="15.75" hidden="false" customHeight="true" outlineLevel="0" collapsed="false">
      <c r="A412" s="78" t="str">
        <f aca="false">IFERROR(IF($B412="","",IF(INDEX(Einheiten!$B$4:$B$63,MATCH($B412,Einheiten!$A$4:$A$63,0))=0,"",INDEX(Einheiten!$B$4:$B$63,MATCH($B412,Einheiten!$A$4:$A$63,0)))),"")</f>
        <v/>
      </c>
      <c r="B412" s="54"/>
      <c r="C412" s="79" t="str">
        <f aca="false">IFERROR(IF($D412="","",INDEX(Übungen!$B$4:$B$23,MATCH($D412,Übungen!$A$4:$A$23,0))),"")</f>
        <v/>
      </c>
      <c r="D412" s="56"/>
      <c r="E412" s="73"/>
      <c r="F412" s="55"/>
      <c r="G412" s="74"/>
      <c r="H412" s="55"/>
      <c r="I412" s="49" t="str">
        <f aca="false">IF(AND(ISNUMBER($F412),ISNUMBER($G412),$E412&lt;&gt;"R"),$F412*$G412,"")</f>
        <v/>
      </c>
      <c r="J412" s="51" t="str">
        <f aca="false">IF(AND($E412="A",ISNUMBER($F412),ISNUMBER($G412)),$F412*(1+$G412/30),"")</f>
        <v/>
      </c>
      <c r="K412" s="56"/>
      <c r="L412" s="56"/>
    </row>
    <row r="413" customFormat="false" ht="15.75" hidden="false" customHeight="true" outlineLevel="0" collapsed="false">
      <c r="A413" s="78" t="str">
        <f aca="false">IFERROR(IF($B413="","",IF(INDEX(Einheiten!$B$4:$B$63,MATCH($B413,Einheiten!$A$4:$A$63,0))=0,"",INDEX(Einheiten!$B$4:$B$63,MATCH($B413,Einheiten!$A$4:$A$63,0)))),"")</f>
        <v/>
      </c>
      <c r="B413" s="54"/>
      <c r="C413" s="79" t="str">
        <f aca="false">IFERROR(IF($D413="","",INDEX(Übungen!$B$4:$B$23,MATCH($D413,Übungen!$A$4:$A$23,0))),"")</f>
        <v/>
      </c>
      <c r="D413" s="56"/>
      <c r="E413" s="73"/>
      <c r="F413" s="55"/>
      <c r="G413" s="74"/>
      <c r="H413" s="55"/>
      <c r="I413" s="49" t="str">
        <f aca="false">IF(AND(ISNUMBER($F413),ISNUMBER($G413),$E413&lt;&gt;"R"),$F413*$G413,"")</f>
        <v/>
      </c>
      <c r="J413" s="51" t="str">
        <f aca="false">IF(AND($E413="A",ISNUMBER($F413),ISNUMBER($G413)),$F413*(1+$G413/30),"")</f>
        <v/>
      </c>
      <c r="K413" s="56"/>
      <c r="L413" s="56"/>
    </row>
    <row r="414" customFormat="false" ht="15.75" hidden="false" customHeight="true" outlineLevel="0" collapsed="false">
      <c r="A414" s="78" t="str">
        <f aca="false">IFERROR(IF($B414="","",IF(INDEX(Einheiten!$B$4:$B$63,MATCH($B414,Einheiten!$A$4:$A$63,0))=0,"",INDEX(Einheiten!$B$4:$B$63,MATCH($B414,Einheiten!$A$4:$A$63,0)))),"")</f>
        <v/>
      </c>
      <c r="B414" s="54"/>
      <c r="C414" s="79" t="str">
        <f aca="false">IFERROR(IF($D414="","",INDEX(Übungen!$B$4:$B$23,MATCH($D414,Übungen!$A$4:$A$23,0))),"")</f>
        <v/>
      </c>
      <c r="D414" s="56"/>
      <c r="E414" s="73"/>
      <c r="F414" s="55"/>
      <c r="G414" s="74"/>
      <c r="H414" s="55"/>
      <c r="I414" s="49" t="str">
        <f aca="false">IF(AND(ISNUMBER($F414),ISNUMBER($G414),$E414&lt;&gt;"R"),$F414*$G414,"")</f>
        <v/>
      </c>
      <c r="J414" s="51" t="str">
        <f aca="false">IF(AND($E414="A",ISNUMBER($F414),ISNUMBER($G414)),$F414*(1+$G414/30),"")</f>
        <v/>
      </c>
      <c r="K414" s="56"/>
      <c r="L414" s="56"/>
    </row>
    <row r="415" customFormat="false" ht="15.75" hidden="false" customHeight="true" outlineLevel="0" collapsed="false">
      <c r="A415" s="78" t="str">
        <f aca="false">IFERROR(IF($B415="","",IF(INDEX(Einheiten!$B$4:$B$63,MATCH($B415,Einheiten!$A$4:$A$63,0))=0,"",INDEX(Einheiten!$B$4:$B$63,MATCH($B415,Einheiten!$A$4:$A$63,0)))),"")</f>
        <v/>
      </c>
      <c r="B415" s="54"/>
      <c r="C415" s="79" t="str">
        <f aca="false">IFERROR(IF($D415="","",INDEX(Übungen!$B$4:$B$23,MATCH($D415,Übungen!$A$4:$A$23,0))),"")</f>
        <v/>
      </c>
      <c r="D415" s="56"/>
      <c r="E415" s="73"/>
      <c r="F415" s="55"/>
      <c r="G415" s="74"/>
      <c r="H415" s="55"/>
      <c r="I415" s="49" t="str">
        <f aca="false">IF(AND(ISNUMBER($F415),ISNUMBER($G415),$E415&lt;&gt;"R"),$F415*$G415,"")</f>
        <v/>
      </c>
      <c r="J415" s="51" t="str">
        <f aca="false">IF(AND($E415="A",ISNUMBER($F415),ISNUMBER($G415)),$F415*(1+$G415/30),"")</f>
        <v/>
      </c>
      <c r="K415" s="56"/>
      <c r="L415" s="56"/>
    </row>
    <row r="416" customFormat="false" ht="15.75" hidden="false" customHeight="true" outlineLevel="0" collapsed="false">
      <c r="A416" s="78" t="str">
        <f aca="false">IFERROR(IF($B416="","",IF(INDEX(Einheiten!$B$4:$B$63,MATCH($B416,Einheiten!$A$4:$A$63,0))=0,"",INDEX(Einheiten!$B$4:$B$63,MATCH($B416,Einheiten!$A$4:$A$63,0)))),"")</f>
        <v/>
      </c>
      <c r="B416" s="54"/>
      <c r="C416" s="79" t="str">
        <f aca="false">IFERROR(IF($D416="","",INDEX(Übungen!$B$4:$B$23,MATCH($D416,Übungen!$A$4:$A$23,0))),"")</f>
        <v/>
      </c>
      <c r="D416" s="56"/>
      <c r="E416" s="73"/>
      <c r="F416" s="55"/>
      <c r="G416" s="74"/>
      <c r="H416" s="55"/>
      <c r="I416" s="49" t="str">
        <f aca="false">IF(AND(ISNUMBER($F416),ISNUMBER($G416),$E416&lt;&gt;"R"),$F416*$G416,"")</f>
        <v/>
      </c>
      <c r="J416" s="51" t="str">
        <f aca="false">IF(AND($E416="A",ISNUMBER($F416),ISNUMBER($G416)),$F416*(1+$G416/30),"")</f>
        <v/>
      </c>
      <c r="K416" s="56"/>
      <c r="L416" s="56"/>
    </row>
    <row r="417" customFormat="false" ht="15.75" hidden="false" customHeight="true" outlineLevel="0" collapsed="false">
      <c r="A417" s="78" t="str">
        <f aca="false">IFERROR(IF($B417="","",IF(INDEX(Einheiten!$B$4:$B$63,MATCH($B417,Einheiten!$A$4:$A$63,0))=0,"",INDEX(Einheiten!$B$4:$B$63,MATCH($B417,Einheiten!$A$4:$A$63,0)))),"")</f>
        <v/>
      </c>
      <c r="B417" s="54"/>
      <c r="C417" s="79" t="str">
        <f aca="false">IFERROR(IF($D417="","",INDEX(Übungen!$B$4:$B$23,MATCH($D417,Übungen!$A$4:$A$23,0))),"")</f>
        <v/>
      </c>
      <c r="D417" s="56"/>
      <c r="E417" s="73"/>
      <c r="F417" s="55"/>
      <c r="G417" s="74"/>
      <c r="H417" s="55"/>
      <c r="I417" s="49" t="str">
        <f aca="false">IF(AND(ISNUMBER($F417),ISNUMBER($G417),$E417&lt;&gt;"R"),$F417*$G417,"")</f>
        <v/>
      </c>
      <c r="J417" s="51" t="str">
        <f aca="false">IF(AND($E417="A",ISNUMBER($F417),ISNUMBER($G417)),$F417*(1+$G417/30),"")</f>
        <v/>
      </c>
      <c r="K417" s="56"/>
      <c r="L417" s="56"/>
    </row>
    <row r="418" customFormat="false" ht="15.75" hidden="false" customHeight="true" outlineLevel="0" collapsed="false">
      <c r="A418" s="78" t="str">
        <f aca="false">IFERROR(IF($B418="","",IF(INDEX(Einheiten!$B$4:$B$63,MATCH($B418,Einheiten!$A$4:$A$63,0))=0,"",INDEX(Einheiten!$B$4:$B$63,MATCH($B418,Einheiten!$A$4:$A$63,0)))),"")</f>
        <v/>
      </c>
      <c r="B418" s="54"/>
      <c r="C418" s="79" t="str">
        <f aca="false">IFERROR(IF($D418="","",INDEX(Übungen!$B$4:$B$23,MATCH($D418,Übungen!$A$4:$A$23,0))),"")</f>
        <v/>
      </c>
      <c r="D418" s="56"/>
      <c r="E418" s="73"/>
      <c r="F418" s="55"/>
      <c r="G418" s="74"/>
      <c r="H418" s="55"/>
      <c r="I418" s="49" t="str">
        <f aca="false">IF(AND(ISNUMBER($F418),ISNUMBER($G418),$E418&lt;&gt;"R"),$F418*$G418,"")</f>
        <v/>
      </c>
      <c r="J418" s="51" t="str">
        <f aca="false">IF(AND($E418="A",ISNUMBER($F418),ISNUMBER($G418)),$F418*(1+$G418/30),"")</f>
        <v/>
      </c>
      <c r="K418" s="56"/>
      <c r="L418" s="56"/>
    </row>
    <row r="419" customFormat="false" ht="15.75" hidden="false" customHeight="true" outlineLevel="0" collapsed="false">
      <c r="A419" s="78" t="str">
        <f aca="false">IFERROR(IF($B419="","",IF(INDEX(Einheiten!$B$4:$B$63,MATCH($B419,Einheiten!$A$4:$A$63,0))=0,"",INDEX(Einheiten!$B$4:$B$63,MATCH($B419,Einheiten!$A$4:$A$63,0)))),"")</f>
        <v/>
      </c>
      <c r="B419" s="54"/>
      <c r="C419" s="79" t="str">
        <f aca="false">IFERROR(IF($D419="","",INDEX(Übungen!$B$4:$B$23,MATCH($D419,Übungen!$A$4:$A$23,0))),"")</f>
        <v/>
      </c>
      <c r="D419" s="56"/>
      <c r="E419" s="73"/>
      <c r="F419" s="55"/>
      <c r="G419" s="74"/>
      <c r="H419" s="55"/>
      <c r="I419" s="49" t="str">
        <f aca="false">IF(AND(ISNUMBER($F419),ISNUMBER($G419),$E419&lt;&gt;"R"),$F419*$G419,"")</f>
        <v/>
      </c>
      <c r="J419" s="51" t="str">
        <f aca="false">IF(AND($E419="A",ISNUMBER($F419),ISNUMBER($G419)),$F419*(1+$G419/30),"")</f>
        <v/>
      </c>
      <c r="K419" s="56"/>
      <c r="L419" s="56"/>
    </row>
    <row r="420" customFormat="false" ht="15.75" hidden="false" customHeight="true" outlineLevel="0" collapsed="false">
      <c r="A420" s="78" t="str">
        <f aca="false">IFERROR(IF($B420="","",IF(INDEX(Einheiten!$B$4:$B$63,MATCH($B420,Einheiten!$A$4:$A$63,0))=0,"",INDEX(Einheiten!$B$4:$B$63,MATCH($B420,Einheiten!$A$4:$A$63,0)))),"")</f>
        <v/>
      </c>
      <c r="B420" s="54"/>
      <c r="C420" s="79" t="str">
        <f aca="false">IFERROR(IF($D420="","",INDEX(Übungen!$B$4:$B$23,MATCH($D420,Übungen!$A$4:$A$23,0))),"")</f>
        <v/>
      </c>
      <c r="D420" s="56"/>
      <c r="E420" s="73"/>
      <c r="F420" s="55"/>
      <c r="G420" s="74"/>
      <c r="H420" s="55"/>
      <c r="I420" s="49" t="str">
        <f aca="false">IF(AND(ISNUMBER($F420),ISNUMBER($G420),$E420&lt;&gt;"R"),$F420*$G420,"")</f>
        <v/>
      </c>
      <c r="J420" s="51" t="str">
        <f aca="false">IF(AND($E420="A",ISNUMBER($F420),ISNUMBER($G420)),$F420*(1+$G420/30),"")</f>
        <v/>
      </c>
      <c r="K420" s="56"/>
      <c r="L420" s="56"/>
    </row>
    <row r="421" customFormat="false" ht="15.75" hidden="false" customHeight="true" outlineLevel="0" collapsed="false">
      <c r="A421" s="78" t="str">
        <f aca="false">IFERROR(IF($B421="","",IF(INDEX(Einheiten!$B$4:$B$63,MATCH($B421,Einheiten!$A$4:$A$63,0))=0,"",INDEX(Einheiten!$B$4:$B$63,MATCH($B421,Einheiten!$A$4:$A$63,0)))),"")</f>
        <v/>
      </c>
      <c r="B421" s="54"/>
      <c r="C421" s="79" t="str">
        <f aca="false">IFERROR(IF($D421="","",INDEX(Übungen!$B$4:$B$23,MATCH($D421,Übungen!$A$4:$A$23,0))),"")</f>
        <v/>
      </c>
      <c r="D421" s="56"/>
      <c r="E421" s="73"/>
      <c r="F421" s="55"/>
      <c r="G421" s="74"/>
      <c r="H421" s="55"/>
      <c r="I421" s="49" t="str">
        <f aca="false">IF(AND(ISNUMBER($F421),ISNUMBER($G421),$E421&lt;&gt;"R"),$F421*$G421,"")</f>
        <v/>
      </c>
      <c r="J421" s="51" t="str">
        <f aca="false">IF(AND($E421="A",ISNUMBER($F421),ISNUMBER($G421)),$F421*(1+$G421/30),"")</f>
        <v/>
      </c>
      <c r="K421" s="56"/>
      <c r="L421" s="56"/>
    </row>
    <row r="422" customFormat="false" ht="15.75" hidden="false" customHeight="true" outlineLevel="0" collapsed="false">
      <c r="A422" s="78" t="str">
        <f aca="false">IFERROR(IF($B422="","",IF(INDEX(Einheiten!$B$4:$B$63,MATCH($B422,Einheiten!$A$4:$A$63,0))=0,"",INDEX(Einheiten!$B$4:$B$63,MATCH($B422,Einheiten!$A$4:$A$63,0)))),"")</f>
        <v/>
      </c>
      <c r="B422" s="54"/>
      <c r="C422" s="79" t="str">
        <f aca="false">IFERROR(IF($D422="","",INDEX(Übungen!$B$4:$B$23,MATCH($D422,Übungen!$A$4:$A$23,0))),"")</f>
        <v/>
      </c>
      <c r="D422" s="56"/>
      <c r="E422" s="73"/>
      <c r="F422" s="55"/>
      <c r="G422" s="74"/>
      <c r="H422" s="55"/>
      <c r="I422" s="49" t="str">
        <f aca="false">IF(AND(ISNUMBER($F422),ISNUMBER($G422),$E422&lt;&gt;"R"),$F422*$G422,"")</f>
        <v/>
      </c>
      <c r="J422" s="51" t="str">
        <f aca="false">IF(AND($E422="A",ISNUMBER($F422),ISNUMBER($G422)),$F422*(1+$G422/30),"")</f>
        <v/>
      </c>
      <c r="K422" s="56"/>
      <c r="L422" s="56"/>
    </row>
    <row r="423" customFormat="false" ht="15.75" hidden="false" customHeight="true" outlineLevel="0" collapsed="false">
      <c r="A423" s="78" t="str">
        <f aca="false">IFERROR(IF($B423="","",IF(INDEX(Einheiten!$B$4:$B$63,MATCH($B423,Einheiten!$A$4:$A$63,0))=0,"",INDEX(Einheiten!$B$4:$B$63,MATCH($B423,Einheiten!$A$4:$A$63,0)))),"")</f>
        <v/>
      </c>
      <c r="B423" s="54"/>
      <c r="C423" s="79" t="str">
        <f aca="false">IFERROR(IF($D423="","",INDEX(Übungen!$B$4:$B$23,MATCH($D423,Übungen!$A$4:$A$23,0))),"")</f>
        <v/>
      </c>
      <c r="D423" s="56"/>
      <c r="E423" s="73"/>
      <c r="F423" s="55"/>
      <c r="G423" s="74"/>
      <c r="H423" s="55"/>
      <c r="I423" s="49" t="str">
        <f aca="false">IF(AND(ISNUMBER($F423),ISNUMBER($G423),$E423&lt;&gt;"R"),$F423*$G423,"")</f>
        <v/>
      </c>
      <c r="J423" s="51" t="str">
        <f aca="false">IF(AND($E423="A",ISNUMBER($F423),ISNUMBER($G423)),$F423*(1+$G423/30),"")</f>
        <v/>
      </c>
      <c r="K423" s="56"/>
      <c r="L423" s="56"/>
    </row>
    <row r="424" customFormat="false" ht="15.75" hidden="false" customHeight="true" outlineLevel="0" collapsed="false">
      <c r="A424" s="78" t="str">
        <f aca="false">IFERROR(IF($B424="","",IF(INDEX(Einheiten!$B$4:$B$63,MATCH($B424,Einheiten!$A$4:$A$63,0))=0,"",INDEX(Einheiten!$B$4:$B$63,MATCH($B424,Einheiten!$A$4:$A$63,0)))),"")</f>
        <v/>
      </c>
      <c r="B424" s="54"/>
      <c r="C424" s="79" t="str">
        <f aca="false">IFERROR(IF($D424="","",INDEX(Übungen!$B$4:$B$23,MATCH($D424,Übungen!$A$4:$A$23,0))),"")</f>
        <v/>
      </c>
      <c r="D424" s="56"/>
      <c r="E424" s="73"/>
      <c r="F424" s="55"/>
      <c r="G424" s="74"/>
      <c r="H424" s="55"/>
      <c r="I424" s="49" t="str">
        <f aca="false">IF(AND(ISNUMBER($F424),ISNUMBER($G424),$E424&lt;&gt;"R"),$F424*$G424,"")</f>
        <v/>
      </c>
      <c r="J424" s="51" t="str">
        <f aca="false">IF(AND($E424="A",ISNUMBER($F424),ISNUMBER($G424)),$F424*(1+$G424/30),"")</f>
        <v/>
      </c>
      <c r="K424" s="56"/>
      <c r="L424" s="56"/>
    </row>
    <row r="425" customFormat="false" ht="15.75" hidden="false" customHeight="true" outlineLevel="0" collapsed="false">
      <c r="A425" s="78" t="str">
        <f aca="false">IFERROR(IF($B425="","",IF(INDEX(Einheiten!$B$4:$B$63,MATCH($B425,Einheiten!$A$4:$A$63,0))=0,"",INDEX(Einheiten!$B$4:$B$63,MATCH($B425,Einheiten!$A$4:$A$63,0)))),"")</f>
        <v/>
      </c>
      <c r="B425" s="54"/>
      <c r="C425" s="79" t="str">
        <f aca="false">IFERROR(IF($D425="","",INDEX(Übungen!$B$4:$B$23,MATCH($D425,Übungen!$A$4:$A$23,0))),"")</f>
        <v/>
      </c>
      <c r="D425" s="56"/>
      <c r="E425" s="73"/>
      <c r="F425" s="55"/>
      <c r="G425" s="74"/>
      <c r="H425" s="55"/>
      <c r="I425" s="49" t="str">
        <f aca="false">IF(AND(ISNUMBER($F425),ISNUMBER($G425),$E425&lt;&gt;"R"),$F425*$G425,"")</f>
        <v/>
      </c>
      <c r="J425" s="51" t="str">
        <f aca="false">IF(AND($E425="A",ISNUMBER($F425),ISNUMBER($G425)),$F425*(1+$G425/30),"")</f>
        <v/>
      </c>
      <c r="K425" s="56"/>
      <c r="L425" s="56"/>
    </row>
    <row r="426" customFormat="false" ht="15.75" hidden="false" customHeight="true" outlineLevel="0" collapsed="false">
      <c r="A426" s="78" t="str">
        <f aca="false">IFERROR(IF($B426="","",IF(INDEX(Einheiten!$B$4:$B$63,MATCH($B426,Einheiten!$A$4:$A$63,0))=0,"",INDEX(Einheiten!$B$4:$B$63,MATCH($B426,Einheiten!$A$4:$A$63,0)))),"")</f>
        <v/>
      </c>
      <c r="B426" s="54"/>
      <c r="C426" s="79" t="str">
        <f aca="false">IFERROR(IF($D426="","",INDEX(Übungen!$B$4:$B$23,MATCH($D426,Übungen!$A$4:$A$23,0))),"")</f>
        <v/>
      </c>
      <c r="D426" s="56"/>
      <c r="E426" s="73"/>
      <c r="F426" s="55"/>
      <c r="G426" s="74"/>
      <c r="H426" s="55"/>
      <c r="I426" s="49" t="str">
        <f aca="false">IF(AND(ISNUMBER($F426),ISNUMBER($G426),$E426&lt;&gt;"R"),$F426*$G426,"")</f>
        <v/>
      </c>
      <c r="J426" s="51" t="str">
        <f aca="false">IF(AND($E426="A",ISNUMBER($F426),ISNUMBER($G426)),$F426*(1+$G426/30),"")</f>
        <v/>
      </c>
      <c r="K426" s="56"/>
      <c r="L426" s="56"/>
    </row>
    <row r="427" customFormat="false" ht="15.75" hidden="false" customHeight="true" outlineLevel="0" collapsed="false">
      <c r="A427" s="78" t="str">
        <f aca="false">IFERROR(IF($B427="","",IF(INDEX(Einheiten!$B$4:$B$63,MATCH($B427,Einheiten!$A$4:$A$63,0))=0,"",INDEX(Einheiten!$B$4:$B$63,MATCH($B427,Einheiten!$A$4:$A$63,0)))),"")</f>
        <v/>
      </c>
      <c r="B427" s="54"/>
      <c r="C427" s="79" t="str">
        <f aca="false">IFERROR(IF($D427="","",INDEX(Übungen!$B$4:$B$23,MATCH($D427,Übungen!$A$4:$A$23,0))),"")</f>
        <v/>
      </c>
      <c r="D427" s="56"/>
      <c r="E427" s="73"/>
      <c r="F427" s="55"/>
      <c r="G427" s="74"/>
      <c r="H427" s="55"/>
      <c r="I427" s="49" t="str">
        <f aca="false">IF(AND(ISNUMBER($F427),ISNUMBER($G427),$E427&lt;&gt;"R"),$F427*$G427,"")</f>
        <v/>
      </c>
      <c r="J427" s="51" t="str">
        <f aca="false">IF(AND($E427="A",ISNUMBER($F427),ISNUMBER($G427)),$F427*(1+$G427/30),"")</f>
        <v/>
      </c>
      <c r="K427" s="56"/>
      <c r="L427" s="56"/>
    </row>
    <row r="428" customFormat="false" ht="15.75" hidden="false" customHeight="true" outlineLevel="0" collapsed="false">
      <c r="A428" s="78" t="str">
        <f aca="false">IFERROR(IF($B428="","",IF(INDEX(Einheiten!$B$4:$B$63,MATCH($B428,Einheiten!$A$4:$A$63,0))=0,"",INDEX(Einheiten!$B$4:$B$63,MATCH($B428,Einheiten!$A$4:$A$63,0)))),"")</f>
        <v/>
      </c>
      <c r="B428" s="54"/>
      <c r="C428" s="79" t="str">
        <f aca="false">IFERROR(IF($D428="","",INDEX(Übungen!$B$4:$B$23,MATCH($D428,Übungen!$A$4:$A$23,0))),"")</f>
        <v/>
      </c>
      <c r="D428" s="56"/>
      <c r="E428" s="73"/>
      <c r="F428" s="55"/>
      <c r="G428" s="74"/>
      <c r="H428" s="55"/>
      <c r="I428" s="49" t="str">
        <f aca="false">IF(AND(ISNUMBER($F428),ISNUMBER($G428),$E428&lt;&gt;"R"),$F428*$G428,"")</f>
        <v/>
      </c>
      <c r="J428" s="51" t="str">
        <f aca="false">IF(AND($E428="A",ISNUMBER($F428),ISNUMBER($G428)),$F428*(1+$G428/30),"")</f>
        <v/>
      </c>
      <c r="K428" s="56"/>
      <c r="L428" s="56"/>
    </row>
    <row r="429" customFormat="false" ht="15.75" hidden="false" customHeight="true" outlineLevel="0" collapsed="false">
      <c r="A429" s="78" t="str">
        <f aca="false">IFERROR(IF($B429="","",IF(INDEX(Einheiten!$B$4:$B$63,MATCH($B429,Einheiten!$A$4:$A$63,0))=0,"",INDEX(Einheiten!$B$4:$B$63,MATCH($B429,Einheiten!$A$4:$A$63,0)))),"")</f>
        <v/>
      </c>
      <c r="B429" s="54"/>
      <c r="C429" s="79" t="str">
        <f aca="false">IFERROR(IF($D429="","",INDEX(Übungen!$B$4:$B$23,MATCH($D429,Übungen!$A$4:$A$23,0))),"")</f>
        <v/>
      </c>
      <c r="D429" s="56"/>
      <c r="E429" s="73"/>
      <c r="F429" s="55"/>
      <c r="G429" s="74"/>
      <c r="H429" s="55"/>
      <c r="I429" s="49" t="str">
        <f aca="false">IF(AND(ISNUMBER($F429),ISNUMBER($G429),$E429&lt;&gt;"R"),$F429*$G429,"")</f>
        <v/>
      </c>
      <c r="J429" s="51" t="str">
        <f aca="false">IF(AND($E429="A",ISNUMBER($F429),ISNUMBER($G429)),$F429*(1+$G429/30),"")</f>
        <v/>
      </c>
      <c r="K429" s="56"/>
      <c r="L429" s="56"/>
    </row>
    <row r="430" customFormat="false" ht="15.75" hidden="false" customHeight="true" outlineLevel="0" collapsed="false">
      <c r="A430" s="78" t="str">
        <f aca="false">IFERROR(IF($B430="","",IF(INDEX(Einheiten!$B$4:$B$63,MATCH($B430,Einheiten!$A$4:$A$63,0))=0,"",INDEX(Einheiten!$B$4:$B$63,MATCH($B430,Einheiten!$A$4:$A$63,0)))),"")</f>
        <v/>
      </c>
      <c r="B430" s="54"/>
      <c r="C430" s="79" t="str">
        <f aca="false">IFERROR(IF($D430="","",INDEX(Übungen!$B$4:$B$23,MATCH($D430,Übungen!$A$4:$A$23,0))),"")</f>
        <v/>
      </c>
      <c r="D430" s="56"/>
      <c r="E430" s="73"/>
      <c r="F430" s="55"/>
      <c r="G430" s="74"/>
      <c r="H430" s="55"/>
      <c r="I430" s="49" t="str">
        <f aca="false">IF(AND(ISNUMBER($F430),ISNUMBER($G430),$E430&lt;&gt;"R"),$F430*$G430,"")</f>
        <v/>
      </c>
      <c r="J430" s="51" t="str">
        <f aca="false">IF(AND($E430="A",ISNUMBER($F430),ISNUMBER($G430)),$F430*(1+$G430/30),"")</f>
        <v/>
      </c>
      <c r="K430" s="56"/>
      <c r="L430" s="56"/>
    </row>
    <row r="431" customFormat="false" ht="15.75" hidden="false" customHeight="true" outlineLevel="0" collapsed="false">
      <c r="A431" s="78" t="str">
        <f aca="false">IFERROR(IF($B431="","",IF(INDEX(Einheiten!$B$4:$B$63,MATCH($B431,Einheiten!$A$4:$A$63,0))=0,"",INDEX(Einheiten!$B$4:$B$63,MATCH($B431,Einheiten!$A$4:$A$63,0)))),"")</f>
        <v/>
      </c>
      <c r="B431" s="54"/>
      <c r="C431" s="79" t="str">
        <f aca="false">IFERROR(IF($D431="","",INDEX(Übungen!$B$4:$B$23,MATCH($D431,Übungen!$A$4:$A$23,0))),"")</f>
        <v/>
      </c>
      <c r="D431" s="56"/>
      <c r="E431" s="73"/>
      <c r="F431" s="55"/>
      <c r="G431" s="74"/>
      <c r="H431" s="55"/>
      <c r="I431" s="49" t="str">
        <f aca="false">IF(AND(ISNUMBER($F431),ISNUMBER($G431),$E431&lt;&gt;"R"),$F431*$G431,"")</f>
        <v/>
      </c>
      <c r="J431" s="51" t="str">
        <f aca="false">IF(AND($E431="A",ISNUMBER($F431),ISNUMBER($G431)),$F431*(1+$G431/30),"")</f>
        <v/>
      </c>
      <c r="K431" s="56"/>
      <c r="L431" s="56"/>
    </row>
    <row r="432" customFormat="false" ht="15.75" hidden="false" customHeight="true" outlineLevel="0" collapsed="false">
      <c r="A432" s="78" t="str">
        <f aca="false">IFERROR(IF($B432="","",IF(INDEX(Einheiten!$B$4:$B$63,MATCH($B432,Einheiten!$A$4:$A$63,0))=0,"",INDEX(Einheiten!$B$4:$B$63,MATCH($B432,Einheiten!$A$4:$A$63,0)))),"")</f>
        <v/>
      </c>
      <c r="B432" s="54"/>
      <c r="C432" s="79" t="str">
        <f aca="false">IFERROR(IF($D432="","",INDEX(Übungen!$B$4:$B$23,MATCH($D432,Übungen!$A$4:$A$23,0))),"")</f>
        <v/>
      </c>
      <c r="D432" s="56"/>
      <c r="E432" s="73"/>
      <c r="F432" s="55"/>
      <c r="G432" s="74"/>
      <c r="H432" s="55"/>
      <c r="I432" s="49" t="str">
        <f aca="false">IF(AND(ISNUMBER($F432),ISNUMBER($G432),$E432&lt;&gt;"R"),$F432*$G432,"")</f>
        <v/>
      </c>
      <c r="J432" s="51" t="str">
        <f aca="false">IF(AND($E432="A",ISNUMBER($F432),ISNUMBER($G432)),$F432*(1+$G432/30),"")</f>
        <v/>
      </c>
      <c r="K432" s="56"/>
      <c r="L432" s="56"/>
    </row>
    <row r="433" customFormat="false" ht="15.75" hidden="false" customHeight="true" outlineLevel="0" collapsed="false">
      <c r="A433" s="78" t="str">
        <f aca="false">IFERROR(IF($B433="","",IF(INDEX(Einheiten!$B$4:$B$63,MATCH($B433,Einheiten!$A$4:$A$63,0))=0,"",INDEX(Einheiten!$B$4:$B$63,MATCH($B433,Einheiten!$A$4:$A$63,0)))),"")</f>
        <v/>
      </c>
      <c r="B433" s="54"/>
      <c r="C433" s="79" t="str">
        <f aca="false">IFERROR(IF($D433="","",INDEX(Übungen!$B$4:$B$23,MATCH($D433,Übungen!$A$4:$A$23,0))),"")</f>
        <v/>
      </c>
      <c r="D433" s="56"/>
      <c r="E433" s="73"/>
      <c r="F433" s="55"/>
      <c r="G433" s="74"/>
      <c r="H433" s="55"/>
      <c r="I433" s="49" t="str">
        <f aca="false">IF(AND(ISNUMBER($F433),ISNUMBER($G433),$E433&lt;&gt;"R"),$F433*$G433,"")</f>
        <v/>
      </c>
      <c r="J433" s="51" t="str">
        <f aca="false">IF(AND($E433="A",ISNUMBER($F433),ISNUMBER($G433)),$F433*(1+$G433/30),"")</f>
        <v/>
      </c>
      <c r="K433" s="56"/>
      <c r="L433" s="56"/>
    </row>
    <row r="434" customFormat="false" ht="15.75" hidden="false" customHeight="true" outlineLevel="0" collapsed="false">
      <c r="A434" s="78" t="str">
        <f aca="false">IFERROR(IF($B434="","",IF(INDEX(Einheiten!$B$4:$B$63,MATCH($B434,Einheiten!$A$4:$A$63,0))=0,"",INDEX(Einheiten!$B$4:$B$63,MATCH($B434,Einheiten!$A$4:$A$63,0)))),"")</f>
        <v/>
      </c>
      <c r="B434" s="54"/>
      <c r="C434" s="79" t="str">
        <f aca="false">IFERROR(IF($D434="","",INDEX(Übungen!$B$4:$B$23,MATCH($D434,Übungen!$A$4:$A$23,0))),"")</f>
        <v/>
      </c>
      <c r="D434" s="56"/>
      <c r="E434" s="73"/>
      <c r="F434" s="55"/>
      <c r="G434" s="74"/>
      <c r="H434" s="55"/>
      <c r="I434" s="49" t="str">
        <f aca="false">IF(AND(ISNUMBER($F434),ISNUMBER($G434),$E434&lt;&gt;"R"),$F434*$G434,"")</f>
        <v/>
      </c>
      <c r="J434" s="51" t="str">
        <f aca="false">IF(AND($E434="A",ISNUMBER($F434),ISNUMBER($G434)),$F434*(1+$G434/30),"")</f>
        <v/>
      </c>
      <c r="K434" s="56"/>
      <c r="L434" s="56"/>
    </row>
    <row r="435" customFormat="false" ht="15.75" hidden="false" customHeight="true" outlineLevel="0" collapsed="false">
      <c r="A435" s="78" t="str">
        <f aca="false">IFERROR(IF($B435="","",IF(INDEX(Einheiten!$B$4:$B$63,MATCH($B435,Einheiten!$A$4:$A$63,0))=0,"",INDEX(Einheiten!$B$4:$B$63,MATCH($B435,Einheiten!$A$4:$A$63,0)))),"")</f>
        <v/>
      </c>
      <c r="B435" s="54"/>
      <c r="C435" s="79" t="str">
        <f aca="false">IFERROR(IF($D435="","",INDEX(Übungen!$B$4:$B$23,MATCH($D435,Übungen!$A$4:$A$23,0))),"")</f>
        <v/>
      </c>
      <c r="D435" s="56"/>
      <c r="E435" s="73"/>
      <c r="F435" s="55"/>
      <c r="G435" s="74"/>
      <c r="H435" s="55"/>
      <c r="I435" s="49" t="str">
        <f aca="false">IF(AND(ISNUMBER($F435),ISNUMBER($G435),$E435&lt;&gt;"R"),$F435*$G435,"")</f>
        <v/>
      </c>
      <c r="J435" s="51" t="str">
        <f aca="false">IF(AND($E435="A",ISNUMBER($F435),ISNUMBER($G435)),$F435*(1+$G435/30),"")</f>
        <v/>
      </c>
      <c r="K435" s="56"/>
      <c r="L435" s="56"/>
    </row>
    <row r="436" customFormat="false" ht="15.75" hidden="false" customHeight="true" outlineLevel="0" collapsed="false">
      <c r="A436" s="78" t="str">
        <f aca="false">IFERROR(IF($B436="","",IF(INDEX(Einheiten!$B$4:$B$63,MATCH($B436,Einheiten!$A$4:$A$63,0))=0,"",INDEX(Einheiten!$B$4:$B$63,MATCH($B436,Einheiten!$A$4:$A$63,0)))),"")</f>
        <v/>
      </c>
      <c r="B436" s="54"/>
      <c r="C436" s="79" t="str">
        <f aca="false">IFERROR(IF($D436="","",INDEX(Übungen!$B$4:$B$23,MATCH($D436,Übungen!$A$4:$A$23,0))),"")</f>
        <v/>
      </c>
      <c r="D436" s="56"/>
      <c r="E436" s="73"/>
      <c r="F436" s="55"/>
      <c r="G436" s="74"/>
      <c r="H436" s="55"/>
      <c r="I436" s="49" t="str">
        <f aca="false">IF(AND(ISNUMBER($F436),ISNUMBER($G436),$E436&lt;&gt;"R"),$F436*$G436,"")</f>
        <v/>
      </c>
      <c r="J436" s="51" t="str">
        <f aca="false">IF(AND($E436="A",ISNUMBER($F436),ISNUMBER($G436)),$F436*(1+$G436/30),"")</f>
        <v/>
      </c>
      <c r="K436" s="56"/>
      <c r="L436" s="56"/>
    </row>
    <row r="437" customFormat="false" ht="15.75" hidden="false" customHeight="true" outlineLevel="0" collapsed="false">
      <c r="A437" s="78" t="str">
        <f aca="false">IFERROR(IF($B437="","",IF(INDEX(Einheiten!$B$4:$B$63,MATCH($B437,Einheiten!$A$4:$A$63,0))=0,"",INDEX(Einheiten!$B$4:$B$63,MATCH($B437,Einheiten!$A$4:$A$63,0)))),"")</f>
        <v/>
      </c>
      <c r="B437" s="54"/>
      <c r="C437" s="79" t="str">
        <f aca="false">IFERROR(IF($D437="","",INDEX(Übungen!$B$4:$B$23,MATCH($D437,Übungen!$A$4:$A$23,0))),"")</f>
        <v/>
      </c>
      <c r="D437" s="56"/>
      <c r="E437" s="73"/>
      <c r="F437" s="55"/>
      <c r="G437" s="74"/>
      <c r="H437" s="55"/>
      <c r="I437" s="49" t="str">
        <f aca="false">IF(AND(ISNUMBER($F437),ISNUMBER($G437),$E437&lt;&gt;"R"),$F437*$G437,"")</f>
        <v/>
      </c>
      <c r="J437" s="51" t="str">
        <f aca="false">IF(AND($E437="A",ISNUMBER($F437),ISNUMBER($G437)),$F437*(1+$G437/30),"")</f>
        <v/>
      </c>
      <c r="K437" s="56"/>
      <c r="L437" s="56"/>
    </row>
    <row r="438" customFormat="false" ht="15.75" hidden="false" customHeight="true" outlineLevel="0" collapsed="false">
      <c r="A438" s="78" t="str">
        <f aca="false">IFERROR(IF($B438="","",IF(INDEX(Einheiten!$B$4:$B$63,MATCH($B438,Einheiten!$A$4:$A$63,0))=0,"",INDEX(Einheiten!$B$4:$B$63,MATCH($B438,Einheiten!$A$4:$A$63,0)))),"")</f>
        <v/>
      </c>
      <c r="B438" s="54"/>
      <c r="C438" s="79" t="str">
        <f aca="false">IFERROR(IF($D438="","",INDEX(Übungen!$B$4:$B$23,MATCH($D438,Übungen!$A$4:$A$23,0))),"")</f>
        <v/>
      </c>
      <c r="D438" s="56"/>
      <c r="E438" s="73"/>
      <c r="F438" s="55"/>
      <c r="G438" s="74"/>
      <c r="H438" s="55"/>
      <c r="I438" s="49" t="str">
        <f aca="false">IF(AND(ISNUMBER($F438),ISNUMBER($G438),$E438&lt;&gt;"R"),$F438*$G438,"")</f>
        <v/>
      </c>
      <c r="J438" s="51" t="str">
        <f aca="false">IF(AND($E438="A",ISNUMBER($F438),ISNUMBER($G438)),$F438*(1+$G438/30),"")</f>
        <v/>
      </c>
      <c r="K438" s="56"/>
      <c r="L438" s="56"/>
    </row>
    <row r="439" customFormat="false" ht="15.75" hidden="false" customHeight="true" outlineLevel="0" collapsed="false">
      <c r="A439" s="78" t="str">
        <f aca="false">IFERROR(IF($B439="","",IF(INDEX(Einheiten!$B$4:$B$63,MATCH($B439,Einheiten!$A$4:$A$63,0))=0,"",INDEX(Einheiten!$B$4:$B$63,MATCH($B439,Einheiten!$A$4:$A$63,0)))),"")</f>
        <v/>
      </c>
      <c r="B439" s="54"/>
      <c r="C439" s="79" t="str">
        <f aca="false">IFERROR(IF($D439="","",INDEX(Übungen!$B$4:$B$23,MATCH($D439,Übungen!$A$4:$A$23,0))),"")</f>
        <v/>
      </c>
      <c r="D439" s="56"/>
      <c r="E439" s="73"/>
      <c r="F439" s="55"/>
      <c r="G439" s="74"/>
      <c r="H439" s="55"/>
      <c r="I439" s="49" t="str">
        <f aca="false">IF(AND(ISNUMBER($F439),ISNUMBER($G439),$E439&lt;&gt;"R"),$F439*$G439,"")</f>
        <v/>
      </c>
      <c r="J439" s="51" t="str">
        <f aca="false">IF(AND($E439="A",ISNUMBER($F439),ISNUMBER($G439)),$F439*(1+$G439/30),"")</f>
        <v/>
      </c>
      <c r="K439" s="56"/>
      <c r="L439" s="56"/>
    </row>
    <row r="440" customFormat="false" ht="15.75" hidden="false" customHeight="true" outlineLevel="0" collapsed="false">
      <c r="A440" s="78" t="str">
        <f aca="false">IFERROR(IF($B440="","",IF(INDEX(Einheiten!$B$4:$B$63,MATCH($B440,Einheiten!$A$4:$A$63,0))=0,"",INDEX(Einheiten!$B$4:$B$63,MATCH($B440,Einheiten!$A$4:$A$63,0)))),"")</f>
        <v/>
      </c>
      <c r="B440" s="54"/>
      <c r="C440" s="79" t="str">
        <f aca="false">IFERROR(IF($D440="","",INDEX(Übungen!$B$4:$B$23,MATCH($D440,Übungen!$A$4:$A$23,0))),"")</f>
        <v/>
      </c>
      <c r="D440" s="56"/>
      <c r="E440" s="73"/>
      <c r="F440" s="55"/>
      <c r="G440" s="74"/>
      <c r="H440" s="55"/>
      <c r="I440" s="49" t="str">
        <f aca="false">IF(AND(ISNUMBER($F440),ISNUMBER($G440),$E440&lt;&gt;"R"),$F440*$G440,"")</f>
        <v/>
      </c>
      <c r="J440" s="51" t="str">
        <f aca="false">IF(AND($E440="A",ISNUMBER($F440),ISNUMBER($G440)),$F440*(1+$G440/30),"")</f>
        <v/>
      </c>
      <c r="K440" s="56"/>
      <c r="L440" s="56"/>
    </row>
    <row r="441" customFormat="false" ht="15.75" hidden="false" customHeight="true" outlineLevel="0" collapsed="false">
      <c r="A441" s="78" t="str">
        <f aca="false">IFERROR(IF($B441="","",IF(INDEX(Einheiten!$B$4:$B$63,MATCH($B441,Einheiten!$A$4:$A$63,0))=0,"",INDEX(Einheiten!$B$4:$B$63,MATCH($B441,Einheiten!$A$4:$A$63,0)))),"")</f>
        <v/>
      </c>
      <c r="B441" s="54"/>
      <c r="C441" s="79" t="str">
        <f aca="false">IFERROR(IF($D441="","",INDEX(Übungen!$B$4:$B$23,MATCH($D441,Übungen!$A$4:$A$23,0))),"")</f>
        <v/>
      </c>
      <c r="D441" s="56"/>
      <c r="E441" s="73"/>
      <c r="F441" s="55"/>
      <c r="G441" s="74"/>
      <c r="H441" s="55"/>
      <c r="I441" s="49" t="str">
        <f aca="false">IF(AND(ISNUMBER($F441),ISNUMBER($G441),$E441&lt;&gt;"R"),$F441*$G441,"")</f>
        <v/>
      </c>
      <c r="J441" s="51" t="str">
        <f aca="false">IF(AND($E441="A",ISNUMBER($F441),ISNUMBER($G441)),$F441*(1+$G441/30),"")</f>
        <v/>
      </c>
      <c r="K441" s="56"/>
      <c r="L441" s="56"/>
    </row>
    <row r="442" customFormat="false" ht="15.75" hidden="false" customHeight="true" outlineLevel="0" collapsed="false">
      <c r="A442" s="78" t="str">
        <f aca="false">IFERROR(IF($B442="","",IF(INDEX(Einheiten!$B$4:$B$63,MATCH($B442,Einheiten!$A$4:$A$63,0))=0,"",INDEX(Einheiten!$B$4:$B$63,MATCH($B442,Einheiten!$A$4:$A$63,0)))),"")</f>
        <v/>
      </c>
      <c r="B442" s="54"/>
      <c r="C442" s="79" t="str">
        <f aca="false">IFERROR(IF($D442="","",INDEX(Übungen!$B$4:$B$23,MATCH($D442,Übungen!$A$4:$A$23,0))),"")</f>
        <v/>
      </c>
      <c r="D442" s="56"/>
      <c r="E442" s="73"/>
      <c r="F442" s="55"/>
      <c r="G442" s="74"/>
      <c r="H442" s="55"/>
      <c r="I442" s="49" t="str">
        <f aca="false">IF(AND(ISNUMBER($F442),ISNUMBER($G442),$E442&lt;&gt;"R"),$F442*$G442,"")</f>
        <v/>
      </c>
      <c r="J442" s="51" t="str">
        <f aca="false">IF(AND($E442="A",ISNUMBER($F442),ISNUMBER($G442)),$F442*(1+$G442/30),"")</f>
        <v/>
      </c>
      <c r="K442" s="56"/>
      <c r="L442" s="56"/>
    </row>
    <row r="443" customFormat="false" ht="15.75" hidden="false" customHeight="true" outlineLevel="0" collapsed="false">
      <c r="A443" s="78" t="str">
        <f aca="false">IFERROR(IF($B443="","",IF(INDEX(Einheiten!$B$4:$B$63,MATCH($B443,Einheiten!$A$4:$A$63,0))=0,"",INDEX(Einheiten!$B$4:$B$63,MATCH($B443,Einheiten!$A$4:$A$63,0)))),"")</f>
        <v/>
      </c>
      <c r="B443" s="54"/>
      <c r="C443" s="79" t="str">
        <f aca="false">IFERROR(IF($D443="","",INDEX(Übungen!$B$4:$B$23,MATCH($D443,Übungen!$A$4:$A$23,0))),"")</f>
        <v/>
      </c>
      <c r="D443" s="56"/>
      <c r="E443" s="73"/>
      <c r="F443" s="55"/>
      <c r="G443" s="74"/>
      <c r="H443" s="55"/>
      <c r="I443" s="49" t="str">
        <f aca="false">IF(AND(ISNUMBER($F443),ISNUMBER($G443),$E443&lt;&gt;"R"),$F443*$G443,"")</f>
        <v/>
      </c>
      <c r="J443" s="51" t="str">
        <f aca="false">IF(AND($E443="A",ISNUMBER($F443),ISNUMBER($G443)),$F443*(1+$G443/30),"")</f>
        <v/>
      </c>
      <c r="K443" s="56"/>
      <c r="L443" s="56"/>
    </row>
    <row r="444" customFormat="false" ht="15.75" hidden="false" customHeight="true" outlineLevel="0" collapsed="false">
      <c r="A444" s="78" t="str">
        <f aca="false">IFERROR(IF($B444="","",IF(INDEX(Einheiten!$B$4:$B$63,MATCH($B444,Einheiten!$A$4:$A$63,0))=0,"",INDEX(Einheiten!$B$4:$B$63,MATCH($B444,Einheiten!$A$4:$A$63,0)))),"")</f>
        <v/>
      </c>
      <c r="B444" s="54"/>
      <c r="C444" s="79" t="str">
        <f aca="false">IFERROR(IF($D444="","",INDEX(Übungen!$B$4:$B$23,MATCH($D444,Übungen!$A$4:$A$23,0))),"")</f>
        <v/>
      </c>
      <c r="D444" s="56"/>
      <c r="E444" s="73"/>
      <c r="F444" s="55"/>
      <c r="G444" s="74"/>
      <c r="H444" s="55"/>
      <c r="I444" s="49" t="str">
        <f aca="false">IF(AND(ISNUMBER($F444),ISNUMBER($G444),$E444&lt;&gt;"R"),$F444*$G444,"")</f>
        <v/>
      </c>
      <c r="J444" s="51" t="str">
        <f aca="false">IF(AND($E444="A",ISNUMBER($F444),ISNUMBER($G444)),$F444*(1+$G444/30),"")</f>
        <v/>
      </c>
      <c r="K444" s="56"/>
      <c r="L444" s="56"/>
    </row>
    <row r="445" customFormat="false" ht="15.75" hidden="false" customHeight="true" outlineLevel="0" collapsed="false">
      <c r="A445" s="78" t="str">
        <f aca="false">IFERROR(IF($B445="","",IF(INDEX(Einheiten!$B$4:$B$63,MATCH($B445,Einheiten!$A$4:$A$63,0))=0,"",INDEX(Einheiten!$B$4:$B$63,MATCH($B445,Einheiten!$A$4:$A$63,0)))),"")</f>
        <v/>
      </c>
      <c r="B445" s="54"/>
      <c r="C445" s="79" t="str">
        <f aca="false">IFERROR(IF($D445="","",INDEX(Übungen!$B$4:$B$23,MATCH($D445,Übungen!$A$4:$A$23,0))),"")</f>
        <v/>
      </c>
      <c r="D445" s="56"/>
      <c r="E445" s="73"/>
      <c r="F445" s="55"/>
      <c r="G445" s="74"/>
      <c r="H445" s="55"/>
      <c r="I445" s="49" t="str">
        <f aca="false">IF(AND(ISNUMBER($F445),ISNUMBER($G445),$E445&lt;&gt;"R"),$F445*$G445,"")</f>
        <v/>
      </c>
      <c r="J445" s="51" t="str">
        <f aca="false">IF(AND($E445="A",ISNUMBER($F445),ISNUMBER($G445)),$F445*(1+$G445/30),"")</f>
        <v/>
      </c>
      <c r="K445" s="56"/>
      <c r="L445" s="56"/>
    </row>
    <row r="446" customFormat="false" ht="15.75" hidden="false" customHeight="true" outlineLevel="0" collapsed="false">
      <c r="A446" s="78" t="str">
        <f aca="false">IFERROR(IF($B446="","",IF(INDEX(Einheiten!$B$4:$B$63,MATCH($B446,Einheiten!$A$4:$A$63,0))=0,"",INDEX(Einheiten!$B$4:$B$63,MATCH($B446,Einheiten!$A$4:$A$63,0)))),"")</f>
        <v/>
      </c>
      <c r="B446" s="54"/>
      <c r="C446" s="79" t="str">
        <f aca="false">IFERROR(IF($D446="","",INDEX(Übungen!$B$4:$B$23,MATCH($D446,Übungen!$A$4:$A$23,0))),"")</f>
        <v/>
      </c>
      <c r="D446" s="56"/>
      <c r="E446" s="73"/>
      <c r="F446" s="55"/>
      <c r="G446" s="74"/>
      <c r="H446" s="55"/>
      <c r="I446" s="49" t="str">
        <f aca="false">IF(AND(ISNUMBER($F446),ISNUMBER($G446),$E446&lt;&gt;"R"),$F446*$G446,"")</f>
        <v/>
      </c>
      <c r="J446" s="51" t="str">
        <f aca="false">IF(AND($E446="A",ISNUMBER($F446),ISNUMBER($G446)),$F446*(1+$G446/30),"")</f>
        <v/>
      </c>
      <c r="K446" s="56"/>
      <c r="L446" s="56"/>
    </row>
    <row r="447" customFormat="false" ht="15.75" hidden="false" customHeight="true" outlineLevel="0" collapsed="false">
      <c r="A447" s="78" t="str">
        <f aca="false">IFERROR(IF($B447="","",IF(INDEX(Einheiten!$B$4:$B$63,MATCH($B447,Einheiten!$A$4:$A$63,0))=0,"",INDEX(Einheiten!$B$4:$B$63,MATCH($B447,Einheiten!$A$4:$A$63,0)))),"")</f>
        <v/>
      </c>
      <c r="B447" s="54"/>
      <c r="C447" s="79" t="str">
        <f aca="false">IFERROR(IF($D447="","",INDEX(Übungen!$B$4:$B$23,MATCH($D447,Übungen!$A$4:$A$23,0))),"")</f>
        <v/>
      </c>
      <c r="D447" s="56"/>
      <c r="E447" s="73"/>
      <c r="F447" s="55"/>
      <c r="G447" s="74"/>
      <c r="H447" s="55"/>
      <c r="I447" s="49" t="str">
        <f aca="false">IF(AND(ISNUMBER($F447),ISNUMBER($G447),$E447&lt;&gt;"R"),$F447*$G447,"")</f>
        <v/>
      </c>
      <c r="J447" s="51" t="str">
        <f aca="false">IF(AND($E447="A",ISNUMBER($F447),ISNUMBER($G447)),$F447*(1+$G447/30),"")</f>
        <v/>
      </c>
      <c r="K447" s="56"/>
      <c r="L447" s="56"/>
    </row>
    <row r="448" customFormat="false" ht="15.75" hidden="false" customHeight="true" outlineLevel="0" collapsed="false">
      <c r="A448" s="78" t="str">
        <f aca="false">IFERROR(IF($B448="","",IF(INDEX(Einheiten!$B$4:$B$63,MATCH($B448,Einheiten!$A$4:$A$63,0))=0,"",INDEX(Einheiten!$B$4:$B$63,MATCH($B448,Einheiten!$A$4:$A$63,0)))),"")</f>
        <v/>
      </c>
      <c r="B448" s="54"/>
      <c r="C448" s="79" t="str">
        <f aca="false">IFERROR(IF($D448="","",INDEX(Übungen!$B$4:$B$23,MATCH($D448,Übungen!$A$4:$A$23,0))),"")</f>
        <v/>
      </c>
      <c r="D448" s="56"/>
      <c r="E448" s="73"/>
      <c r="F448" s="55"/>
      <c r="G448" s="74"/>
      <c r="H448" s="55"/>
      <c r="I448" s="49" t="str">
        <f aca="false">IF(AND(ISNUMBER($F448),ISNUMBER($G448),$E448&lt;&gt;"R"),$F448*$G448,"")</f>
        <v/>
      </c>
      <c r="J448" s="51" t="str">
        <f aca="false">IF(AND($E448="A",ISNUMBER($F448),ISNUMBER($G448)),$F448*(1+$G448/30),"")</f>
        <v/>
      </c>
      <c r="K448" s="56"/>
      <c r="L448" s="56"/>
    </row>
    <row r="449" customFormat="false" ht="15.75" hidden="false" customHeight="true" outlineLevel="0" collapsed="false">
      <c r="A449" s="78" t="str">
        <f aca="false">IFERROR(IF($B449="","",IF(INDEX(Einheiten!$B$4:$B$63,MATCH($B449,Einheiten!$A$4:$A$63,0))=0,"",INDEX(Einheiten!$B$4:$B$63,MATCH($B449,Einheiten!$A$4:$A$63,0)))),"")</f>
        <v/>
      </c>
      <c r="B449" s="54"/>
      <c r="C449" s="79" t="str">
        <f aca="false">IFERROR(IF($D449="","",INDEX(Übungen!$B$4:$B$23,MATCH($D449,Übungen!$A$4:$A$23,0))),"")</f>
        <v/>
      </c>
      <c r="D449" s="56"/>
      <c r="E449" s="73"/>
      <c r="F449" s="55"/>
      <c r="G449" s="74"/>
      <c r="H449" s="55"/>
      <c r="I449" s="49" t="str">
        <f aca="false">IF(AND(ISNUMBER($F449),ISNUMBER($G449),$E449&lt;&gt;"R"),$F449*$G449,"")</f>
        <v/>
      </c>
      <c r="J449" s="51" t="str">
        <f aca="false">IF(AND($E449="A",ISNUMBER($F449),ISNUMBER($G449)),$F449*(1+$G449/30),"")</f>
        <v/>
      </c>
      <c r="K449" s="56"/>
      <c r="L449" s="56"/>
    </row>
    <row r="450" customFormat="false" ht="15.75" hidden="false" customHeight="true" outlineLevel="0" collapsed="false">
      <c r="A450" s="78" t="str">
        <f aca="false">IFERROR(IF($B450="","",IF(INDEX(Einheiten!$B$4:$B$63,MATCH($B450,Einheiten!$A$4:$A$63,0))=0,"",INDEX(Einheiten!$B$4:$B$63,MATCH($B450,Einheiten!$A$4:$A$63,0)))),"")</f>
        <v/>
      </c>
      <c r="B450" s="54"/>
      <c r="C450" s="79" t="str">
        <f aca="false">IFERROR(IF($D450="","",INDEX(Übungen!$B$4:$B$23,MATCH($D450,Übungen!$A$4:$A$23,0))),"")</f>
        <v/>
      </c>
      <c r="D450" s="56"/>
      <c r="E450" s="73"/>
      <c r="F450" s="55"/>
      <c r="G450" s="74"/>
      <c r="H450" s="55"/>
      <c r="I450" s="49" t="str">
        <f aca="false">IF(AND(ISNUMBER($F450),ISNUMBER($G450),$E450&lt;&gt;"R"),$F450*$G450,"")</f>
        <v/>
      </c>
      <c r="J450" s="51" t="str">
        <f aca="false">IF(AND($E450="A",ISNUMBER($F450),ISNUMBER($G450)),$F450*(1+$G450/30),"")</f>
        <v/>
      </c>
      <c r="K450" s="56"/>
      <c r="L450" s="56"/>
    </row>
    <row r="451" customFormat="false" ht="15.75" hidden="false" customHeight="true" outlineLevel="0" collapsed="false">
      <c r="A451" s="78" t="str">
        <f aca="false">IFERROR(IF($B451="","",IF(INDEX(Einheiten!$B$4:$B$63,MATCH($B451,Einheiten!$A$4:$A$63,0))=0,"",INDEX(Einheiten!$B$4:$B$63,MATCH($B451,Einheiten!$A$4:$A$63,0)))),"")</f>
        <v/>
      </c>
      <c r="B451" s="54"/>
      <c r="C451" s="79" t="str">
        <f aca="false">IFERROR(IF($D451="","",INDEX(Übungen!$B$4:$B$23,MATCH($D451,Übungen!$A$4:$A$23,0))),"")</f>
        <v/>
      </c>
      <c r="D451" s="56"/>
      <c r="E451" s="73"/>
      <c r="F451" s="55"/>
      <c r="G451" s="74"/>
      <c r="H451" s="55"/>
      <c r="I451" s="49" t="str">
        <f aca="false">IF(AND(ISNUMBER($F451),ISNUMBER($G451),$E451&lt;&gt;"R"),$F451*$G451,"")</f>
        <v/>
      </c>
      <c r="J451" s="51" t="str">
        <f aca="false">IF(AND($E451="A",ISNUMBER($F451),ISNUMBER($G451)),$F451*(1+$G451/30),"")</f>
        <v/>
      </c>
      <c r="K451" s="56"/>
      <c r="L451" s="56"/>
    </row>
    <row r="452" customFormat="false" ht="15.75" hidden="false" customHeight="true" outlineLevel="0" collapsed="false">
      <c r="A452" s="78" t="str">
        <f aca="false">IFERROR(IF($B452="","",IF(INDEX(Einheiten!$B$4:$B$63,MATCH($B452,Einheiten!$A$4:$A$63,0))=0,"",INDEX(Einheiten!$B$4:$B$63,MATCH($B452,Einheiten!$A$4:$A$63,0)))),"")</f>
        <v/>
      </c>
      <c r="B452" s="54"/>
      <c r="C452" s="79" t="str">
        <f aca="false">IFERROR(IF($D452="","",INDEX(Übungen!$B$4:$B$23,MATCH($D452,Übungen!$A$4:$A$23,0))),"")</f>
        <v/>
      </c>
      <c r="D452" s="56"/>
      <c r="E452" s="73"/>
      <c r="F452" s="55"/>
      <c r="G452" s="74"/>
      <c r="H452" s="55"/>
      <c r="I452" s="49" t="str">
        <f aca="false">IF(AND(ISNUMBER($F452),ISNUMBER($G452),$E452&lt;&gt;"R"),$F452*$G452,"")</f>
        <v/>
      </c>
      <c r="J452" s="51" t="str">
        <f aca="false">IF(AND($E452="A",ISNUMBER($F452),ISNUMBER($G452)),$F452*(1+$G452/30),"")</f>
        <v/>
      </c>
      <c r="K452" s="56"/>
      <c r="L452" s="56"/>
    </row>
    <row r="453" customFormat="false" ht="15.75" hidden="false" customHeight="true" outlineLevel="0" collapsed="false">
      <c r="A453" s="78" t="str">
        <f aca="false">IFERROR(IF($B453="","",IF(INDEX(Einheiten!$B$4:$B$63,MATCH($B453,Einheiten!$A$4:$A$63,0))=0,"",INDEX(Einheiten!$B$4:$B$63,MATCH($B453,Einheiten!$A$4:$A$63,0)))),"")</f>
        <v/>
      </c>
      <c r="B453" s="54"/>
      <c r="C453" s="79" t="str">
        <f aca="false">IFERROR(IF($D453="","",INDEX(Übungen!$B$4:$B$23,MATCH($D453,Übungen!$A$4:$A$23,0))),"")</f>
        <v/>
      </c>
      <c r="D453" s="56"/>
      <c r="E453" s="73"/>
      <c r="F453" s="55"/>
      <c r="G453" s="74"/>
      <c r="H453" s="55"/>
      <c r="I453" s="49" t="str">
        <f aca="false">IF(AND(ISNUMBER($F453),ISNUMBER($G453),$E453&lt;&gt;"R"),$F453*$G453,"")</f>
        <v/>
      </c>
      <c r="J453" s="51" t="str">
        <f aca="false">IF(AND($E453="A",ISNUMBER($F453),ISNUMBER($G453)),$F453*(1+$G453/30),"")</f>
        <v/>
      </c>
      <c r="K453" s="56"/>
      <c r="L453" s="56"/>
    </row>
    <row r="454" customFormat="false" ht="15.75" hidden="false" customHeight="true" outlineLevel="0" collapsed="false">
      <c r="A454" s="78" t="str">
        <f aca="false">IFERROR(IF($B454="","",IF(INDEX(Einheiten!$B$4:$B$63,MATCH($B454,Einheiten!$A$4:$A$63,0))=0,"",INDEX(Einheiten!$B$4:$B$63,MATCH($B454,Einheiten!$A$4:$A$63,0)))),"")</f>
        <v/>
      </c>
      <c r="B454" s="54"/>
      <c r="C454" s="79" t="str">
        <f aca="false">IFERROR(IF($D454="","",INDEX(Übungen!$B$4:$B$23,MATCH($D454,Übungen!$A$4:$A$23,0))),"")</f>
        <v/>
      </c>
      <c r="D454" s="56"/>
      <c r="E454" s="73"/>
      <c r="F454" s="55"/>
      <c r="G454" s="74"/>
      <c r="H454" s="55"/>
      <c r="I454" s="49" t="str">
        <f aca="false">IF(AND(ISNUMBER($F454),ISNUMBER($G454),$E454&lt;&gt;"R"),$F454*$G454,"")</f>
        <v/>
      </c>
      <c r="J454" s="51" t="str">
        <f aca="false">IF(AND($E454="A",ISNUMBER($F454),ISNUMBER($G454)),$F454*(1+$G454/30),"")</f>
        <v/>
      </c>
      <c r="K454" s="56"/>
      <c r="L454" s="56"/>
    </row>
    <row r="455" customFormat="false" ht="15.75" hidden="false" customHeight="true" outlineLevel="0" collapsed="false">
      <c r="A455" s="78" t="str">
        <f aca="false">IFERROR(IF($B455="","",IF(INDEX(Einheiten!$B$4:$B$63,MATCH($B455,Einheiten!$A$4:$A$63,0))=0,"",INDEX(Einheiten!$B$4:$B$63,MATCH($B455,Einheiten!$A$4:$A$63,0)))),"")</f>
        <v/>
      </c>
      <c r="B455" s="54"/>
      <c r="C455" s="79" t="str">
        <f aca="false">IFERROR(IF($D455="","",INDEX(Übungen!$B$4:$B$23,MATCH($D455,Übungen!$A$4:$A$23,0))),"")</f>
        <v/>
      </c>
      <c r="D455" s="56"/>
      <c r="E455" s="73"/>
      <c r="F455" s="55"/>
      <c r="G455" s="74"/>
      <c r="H455" s="55"/>
      <c r="I455" s="49" t="str">
        <f aca="false">IF(AND(ISNUMBER($F455),ISNUMBER($G455),$E455&lt;&gt;"R"),$F455*$G455,"")</f>
        <v/>
      </c>
      <c r="J455" s="51" t="str">
        <f aca="false">IF(AND($E455="A",ISNUMBER($F455),ISNUMBER($G455)),$F455*(1+$G455/30),"")</f>
        <v/>
      </c>
      <c r="K455" s="56"/>
      <c r="L455" s="56"/>
    </row>
    <row r="456" customFormat="false" ht="15.75" hidden="false" customHeight="true" outlineLevel="0" collapsed="false">
      <c r="A456" s="78" t="str">
        <f aca="false">IFERROR(IF($B456="","",IF(INDEX(Einheiten!$B$4:$B$63,MATCH($B456,Einheiten!$A$4:$A$63,0))=0,"",INDEX(Einheiten!$B$4:$B$63,MATCH($B456,Einheiten!$A$4:$A$63,0)))),"")</f>
        <v/>
      </c>
      <c r="B456" s="54"/>
      <c r="C456" s="79" t="str">
        <f aca="false">IFERROR(IF($D456="","",INDEX(Übungen!$B$4:$B$23,MATCH($D456,Übungen!$A$4:$A$23,0))),"")</f>
        <v/>
      </c>
      <c r="D456" s="56"/>
      <c r="E456" s="73"/>
      <c r="F456" s="55"/>
      <c r="G456" s="74"/>
      <c r="H456" s="55"/>
      <c r="I456" s="49" t="str">
        <f aca="false">IF(AND(ISNUMBER($F456),ISNUMBER($G456),$E456&lt;&gt;"R"),$F456*$G456,"")</f>
        <v/>
      </c>
      <c r="J456" s="51" t="str">
        <f aca="false">IF(AND($E456="A",ISNUMBER($F456),ISNUMBER($G456)),$F456*(1+$G456/30),"")</f>
        <v/>
      </c>
      <c r="K456" s="56"/>
      <c r="L456" s="56"/>
    </row>
    <row r="457" customFormat="false" ht="15.75" hidden="false" customHeight="true" outlineLevel="0" collapsed="false">
      <c r="A457" s="78" t="str">
        <f aca="false">IFERROR(IF($B457="","",IF(INDEX(Einheiten!$B$4:$B$63,MATCH($B457,Einheiten!$A$4:$A$63,0))=0,"",INDEX(Einheiten!$B$4:$B$63,MATCH($B457,Einheiten!$A$4:$A$63,0)))),"")</f>
        <v/>
      </c>
      <c r="B457" s="54"/>
      <c r="C457" s="79" t="str">
        <f aca="false">IFERROR(IF($D457="","",INDEX(Übungen!$B$4:$B$23,MATCH($D457,Übungen!$A$4:$A$23,0))),"")</f>
        <v/>
      </c>
      <c r="D457" s="56"/>
      <c r="E457" s="73"/>
      <c r="F457" s="55"/>
      <c r="G457" s="74"/>
      <c r="H457" s="55"/>
      <c r="I457" s="49" t="str">
        <f aca="false">IF(AND(ISNUMBER($F457),ISNUMBER($G457),$E457&lt;&gt;"R"),$F457*$G457,"")</f>
        <v/>
      </c>
      <c r="J457" s="51" t="str">
        <f aca="false">IF(AND($E457="A",ISNUMBER($F457),ISNUMBER($G457)),$F457*(1+$G457/30),"")</f>
        <v/>
      </c>
      <c r="K457" s="56"/>
      <c r="L457" s="56"/>
    </row>
    <row r="458" customFormat="false" ht="15.75" hidden="false" customHeight="true" outlineLevel="0" collapsed="false">
      <c r="A458" s="78" t="str">
        <f aca="false">IFERROR(IF($B458="","",IF(INDEX(Einheiten!$B$4:$B$63,MATCH($B458,Einheiten!$A$4:$A$63,0))=0,"",INDEX(Einheiten!$B$4:$B$63,MATCH($B458,Einheiten!$A$4:$A$63,0)))),"")</f>
        <v/>
      </c>
      <c r="B458" s="54"/>
      <c r="C458" s="79" t="str">
        <f aca="false">IFERROR(IF($D458="","",INDEX(Übungen!$B$4:$B$23,MATCH($D458,Übungen!$A$4:$A$23,0))),"")</f>
        <v/>
      </c>
      <c r="D458" s="56"/>
      <c r="E458" s="73"/>
      <c r="F458" s="55"/>
      <c r="G458" s="74"/>
      <c r="H458" s="55"/>
      <c r="I458" s="49" t="str">
        <f aca="false">IF(AND(ISNUMBER($F458),ISNUMBER($G458),$E458&lt;&gt;"R"),$F458*$G458,"")</f>
        <v/>
      </c>
      <c r="J458" s="51" t="str">
        <f aca="false">IF(AND($E458="A",ISNUMBER($F458),ISNUMBER($G458)),$F458*(1+$G458/30),"")</f>
        <v/>
      </c>
      <c r="K458" s="56"/>
      <c r="L458" s="56"/>
    </row>
    <row r="459" customFormat="false" ht="15.75" hidden="false" customHeight="true" outlineLevel="0" collapsed="false">
      <c r="A459" s="78" t="str">
        <f aca="false">IFERROR(IF($B459="","",IF(INDEX(Einheiten!$B$4:$B$63,MATCH($B459,Einheiten!$A$4:$A$63,0))=0,"",INDEX(Einheiten!$B$4:$B$63,MATCH($B459,Einheiten!$A$4:$A$63,0)))),"")</f>
        <v/>
      </c>
      <c r="B459" s="54"/>
      <c r="C459" s="79" t="str">
        <f aca="false">IFERROR(IF($D459="","",INDEX(Übungen!$B$4:$B$23,MATCH($D459,Übungen!$A$4:$A$23,0))),"")</f>
        <v/>
      </c>
      <c r="D459" s="56"/>
      <c r="E459" s="73"/>
      <c r="F459" s="55"/>
      <c r="G459" s="74"/>
      <c r="H459" s="55"/>
      <c r="I459" s="49" t="str">
        <f aca="false">IF(AND(ISNUMBER($F459),ISNUMBER($G459),$E459&lt;&gt;"R"),$F459*$G459,"")</f>
        <v/>
      </c>
      <c r="J459" s="51" t="str">
        <f aca="false">IF(AND($E459="A",ISNUMBER($F459),ISNUMBER($G459)),$F459*(1+$G459/30),"")</f>
        <v/>
      </c>
      <c r="K459" s="56"/>
      <c r="L459" s="56"/>
    </row>
    <row r="460" customFormat="false" ht="15.75" hidden="false" customHeight="true" outlineLevel="0" collapsed="false">
      <c r="A460" s="78" t="str">
        <f aca="false">IFERROR(IF($B460="","",IF(INDEX(Einheiten!$B$4:$B$63,MATCH($B460,Einheiten!$A$4:$A$63,0))=0,"",INDEX(Einheiten!$B$4:$B$63,MATCH($B460,Einheiten!$A$4:$A$63,0)))),"")</f>
        <v/>
      </c>
      <c r="B460" s="54"/>
      <c r="C460" s="79" t="str">
        <f aca="false">IFERROR(IF($D460="","",INDEX(Übungen!$B$4:$B$23,MATCH($D460,Übungen!$A$4:$A$23,0))),"")</f>
        <v/>
      </c>
      <c r="D460" s="56"/>
      <c r="E460" s="73"/>
      <c r="F460" s="55"/>
      <c r="G460" s="74"/>
      <c r="H460" s="55"/>
      <c r="I460" s="49" t="str">
        <f aca="false">IF(AND(ISNUMBER($F460),ISNUMBER($G460),$E460&lt;&gt;"R"),$F460*$G460,"")</f>
        <v/>
      </c>
      <c r="J460" s="51" t="str">
        <f aca="false">IF(AND($E460="A",ISNUMBER($F460),ISNUMBER($G460)),$F460*(1+$G460/30),"")</f>
        <v/>
      </c>
      <c r="K460" s="56"/>
      <c r="L460" s="56"/>
    </row>
    <row r="461" customFormat="false" ht="15.75" hidden="false" customHeight="true" outlineLevel="0" collapsed="false">
      <c r="A461" s="78" t="str">
        <f aca="false">IFERROR(IF($B461="","",IF(INDEX(Einheiten!$B$4:$B$63,MATCH($B461,Einheiten!$A$4:$A$63,0))=0,"",INDEX(Einheiten!$B$4:$B$63,MATCH($B461,Einheiten!$A$4:$A$63,0)))),"")</f>
        <v/>
      </c>
      <c r="B461" s="54"/>
      <c r="C461" s="79" t="str">
        <f aca="false">IFERROR(IF($D461="","",INDEX(Übungen!$B$4:$B$23,MATCH($D461,Übungen!$A$4:$A$23,0))),"")</f>
        <v/>
      </c>
      <c r="D461" s="56"/>
      <c r="E461" s="73"/>
      <c r="F461" s="55"/>
      <c r="G461" s="74"/>
      <c r="H461" s="55"/>
      <c r="I461" s="49" t="str">
        <f aca="false">IF(AND(ISNUMBER($F461),ISNUMBER($G461),$E461&lt;&gt;"R"),$F461*$G461,"")</f>
        <v/>
      </c>
      <c r="J461" s="51" t="str">
        <f aca="false">IF(AND($E461="A",ISNUMBER($F461),ISNUMBER($G461)),$F461*(1+$G461/30),"")</f>
        <v/>
      </c>
      <c r="K461" s="56"/>
      <c r="L461" s="56"/>
    </row>
    <row r="462" customFormat="false" ht="15.75" hidden="false" customHeight="true" outlineLevel="0" collapsed="false">
      <c r="A462" s="78" t="str">
        <f aca="false">IFERROR(IF($B462="","",IF(INDEX(Einheiten!$B$4:$B$63,MATCH($B462,Einheiten!$A$4:$A$63,0))=0,"",INDEX(Einheiten!$B$4:$B$63,MATCH($B462,Einheiten!$A$4:$A$63,0)))),"")</f>
        <v/>
      </c>
      <c r="B462" s="54"/>
      <c r="C462" s="79" t="str">
        <f aca="false">IFERROR(IF($D462="","",INDEX(Übungen!$B$4:$B$23,MATCH($D462,Übungen!$A$4:$A$23,0))),"")</f>
        <v/>
      </c>
      <c r="D462" s="56"/>
      <c r="E462" s="73"/>
      <c r="F462" s="55"/>
      <c r="G462" s="74"/>
      <c r="H462" s="55"/>
      <c r="I462" s="49" t="str">
        <f aca="false">IF(AND(ISNUMBER($F462),ISNUMBER($G462),$E462&lt;&gt;"R"),$F462*$G462,"")</f>
        <v/>
      </c>
      <c r="J462" s="51" t="str">
        <f aca="false">IF(AND($E462="A",ISNUMBER($F462),ISNUMBER($G462)),$F462*(1+$G462/30),"")</f>
        <v/>
      </c>
      <c r="K462" s="56"/>
      <c r="L462" s="56"/>
    </row>
    <row r="463" customFormat="false" ht="15.75" hidden="false" customHeight="true" outlineLevel="0" collapsed="false">
      <c r="A463" s="78" t="str">
        <f aca="false">IFERROR(IF($B463="","",IF(INDEX(Einheiten!$B$4:$B$63,MATCH($B463,Einheiten!$A$4:$A$63,0))=0,"",INDEX(Einheiten!$B$4:$B$63,MATCH($B463,Einheiten!$A$4:$A$63,0)))),"")</f>
        <v/>
      </c>
      <c r="B463" s="54"/>
      <c r="C463" s="79" t="str">
        <f aca="false">IFERROR(IF($D463="","",INDEX(Übungen!$B$4:$B$23,MATCH($D463,Übungen!$A$4:$A$23,0))),"")</f>
        <v/>
      </c>
      <c r="D463" s="56"/>
      <c r="E463" s="73"/>
      <c r="F463" s="55"/>
      <c r="G463" s="74"/>
      <c r="H463" s="55"/>
      <c r="I463" s="49" t="str">
        <f aca="false">IF(AND(ISNUMBER($F463),ISNUMBER($G463),$E463&lt;&gt;"R"),$F463*$G463,"")</f>
        <v/>
      </c>
      <c r="J463" s="51" t="str">
        <f aca="false">IF(AND($E463="A",ISNUMBER($F463),ISNUMBER($G463)),$F463*(1+$G463/30),"")</f>
        <v/>
      </c>
      <c r="K463" s="56"/>
      <c r="L463" s="56"/>
    </row>
    <row r="464" customFormat="false" ht="15.75" hidden="false" customHeight="true" outlineLevel="0" collapsed="false">
      <c r="A464" s="78" t="str">
        <f aca="false">IFERROR(IF($B464="","",IF(INDEX(Einheiten!$B$4:$B$63,MATCH($B464,Einheiten!$A$4:$A$63,0))=0,"",INDEX(Einheiten!$B$4:$B$63,MATCH($B464,Einheiten!$A$4:$A$63,0)))),"")</f>
        <v/>
      </c>
      <c r="B464" s="54"/>
      <c r="C464" s="79" t="str">
        <f aca="false">IFERROR(IF($D464="","",INDEX(Übungen!$B$4:$B$23,MATCH($D464,Übungen!$A$4:$A$23,0))),"")</f>
        <v/>
      </c>
      <c r="D464" s="56"/>
      <c r="E464" s="73"/>
      <c r="F464" s="55"/>
      <c r="G464" s="74"/>
      <c r="H464" s="55"/>
      <c r="I464" s="49" t="str">
        <f aca="false">IF(AND(ISNUMBER($F464),ISNUMBER($G464),$E464&lt;&gt;"R"),$F464*$G464,"")</f>
        <v/>
      </c>
      <c r="J464" s="51" t="str">
        <f aca="false">IF(AND($E464="A",ISNUMBER($F464),ISNUMBER($G464)),$F464*(1+$G464/30),"")</f>
        <v/>
      </c>
      <c r="K464" s="56"/>
      <c r="L464" s="56"/>
    </row>
    <row r="465" customFormat="false" ht="15.75" hidden="false" customHeight="true" outlineLevel="0" collapsed="false">
      <c r="A465" s="78" t="str">
        <f aca="false">IFERROR(IF($B465="","",IF(INDEX(Einheiten!$B$4:$B$63,MATCH($B465,Einheiten!$A$4:$A$63,0))=0,"",INDEX(Einheiten!$B$4:$B$63,MATCH($B465,Einheiten!$A$4:$A$63,0)))),"")</f>
        <v/>
      </c>
      <c r="B465" s="54"/>
      <c r="C465" s="79" t="str">
        <f aca="false">IFERROR(IF($D465="","",INDEX(Übungen!$B$4:$B$23,MATCH($D465,Übungen!$A$4:$A$23,0))),"")</f>
        <v/>
      </c>
      <c r="D465" s="56"/>
      <c r="E465" s="73"/>
      <c r="F465" s="55"/>
      <c r="G465" s="74"/>
      <c r="H465" s="55"/>
      <c r="I465" s="49" t="str">
        <f aca="false">IF(AND(ISNUMBER($F465),ISNUMBER($G465),$E465&lt;&gt;"R"),$F465*$G465,"")</f>
        <v/>
      </c>
      <c r="J465" s="51" t="str">
        <f aca="false">IF(AND($E465="A",ISNUMBER($F465),ISNUMBER($G465)),$F465*(1+$G465/30),"")</f>
        <v/>
      </c>
      <c r="K465" s="56"/>
      <c r="L465" s="56"/>
    </row>
    <row r="466" customFormat="false" ht="15.75" hidden="false" customHeight="true" outlineLevel="0" collapsed="false">
      <c r="A466" s="78" t="str">
        <f aca="false">IFERROR(IF($B466="","",IF(INDEX(Einheiten!$B$4:$B$63,MATCH($B466,Einheiten!$A$4:$A$63,0))=0,"",INDEX(Einheiten!$B$4:$B$63,MATCH($B466,Einheiten!$A$4:$A$63,0)))),"")</f>
        <v/>
      </c>
      <c r="B466" s="54"/>
      <c r="C466" s="79" t="str">
        <f aca="false">IFERROR(IF($D466="","",INDEX(Übungen!$B$4:$B$23,MATCH($D466,Übungen!$A$4:$A$23,0))),"")</f>
        <v/>
      </c>
      <c r="D466" s="56"/>
      <c r="E466" s="73"/>
      <c r="F466" s="55"/>
      <c r="G466" s="74"/>
      <c r="H466" s="55"/>
      <c r="I466" s="49" t="str">
        <f aca="false">IF(AND(ISNUMBER($F466),ISNUMBER($G466),$E466&lt;&gt;"R"),$F466*$G466,"")</f>
        <v/>
      </c>
      <c r="J466" s="51" t="str">
        <f aca="false">IF(AND($E466="A",ISNUMBER($F466),ISNUMBER($G466)),$F466*(1+$G466/30),"")</f>
        <v/>
      </c>
      <c r="K466" s="56"/>
      <c r="L466" s="56"/>
    </row>
    <row r="467" customFormat="false" ht="15.75" hidden="false" customHeight="true" outlineLevel="0" collapsed="false">
      <c r="A467" s="78" t="str">
        <f aca="false">IFERROR(IF($B467="","",IF(INDEX(Einheiten!$B$4:$B$63,MATCH($B467,Einheiten!$A$4:$A$63,0))=0,"",INDEX(Einheiten!$B$4:$B$63,MATCH($B467,Einheiten!$A$4:$A$63,0)))),"")</f>
        <v/>
      </c>
      <c r="B467" s="54"/>
      <c r="C467" s="79" t="str">
        <f aca="false">IFERROR(IF($D467="","",INDEX(Übungen!$B$4:$B$23,MATCH($D467,Übungen!$A$4:$A$23,0))),"")</f>
        <v/>
      </c>
      <c r="D467" s="56"/>
      <c r="E467" s="73"/>
      <c r="F467" s="55"/>
      <c r="G467" s="74"/>
      <c r="H467" s="55"/>
      <c r="I467" s="49" t="str">
        <f aca="false">IF(AND(ISNUMBER($F467),ISNUMBER($G467),$E467&lt;&gt;"R"),$F467*$G467,"")</f>
        <v/>
      </c>
      <c r="J467" s="51" t="str">
        <f aca="false">IF(AND($E467="A",ISNUMBER($F467),ISNUMBER($G467)),$F467*(1+$G467/30),"")</f>
        <v/>
      </c>
      <c r="K467" s="56"/>
      <c r="L467" s="56"/>
    </row>
    <row r="468" customFormat="false" ht="15.75" hidden="false" customHeight="true" outlineLevel="0" collapsed="false">
      <c r="A468" s="78" t="str">
        <f aca="false">IFERROR(IF($B468="","",IF(INDEX(Einheiten!$B$4:$B$63,MATCH($B468,Einheiten!$A$4:$A$63,0))=0,"",INDEX(Einheiten!$B$4:$B$63,MATCH($B468,Einheiten!$A$4:$A$63,0)))),"")</f>
        <v/>
      </c>
      <c r="B468" s="54"/>
      <c r="C468" s="79" t="str">
        <f aca="false">IFERROR(IF($D468="","",INDEX(Übungen!$B$4:$B$23,MATCH($D468,Übungen!$A$4:$A$23,0))),"")</f>
        <v/>
      </c>
      <c r="D468" s="56"/>
      <c r="E468" s="73"/>
      <c r="F468" s="55"/>
      <c r="G468" s="74"/>
      <c r="H468" s="55"/>
      <c r="I468" s="49" t="str">
        <f aca="false">IF(AND(ISNUMBER($F468),ISNUMBER($G468),$E468&lt;&gt;"R"),$F468*$G468,"")</f>
        <v/>
      </c>
      <c r="J468" s="51" t="str">
        <f aca="false">IF(AND($E468="A",ISNUMBER($F468),ISNUMBER($G468)),$F468*(1+$G468/30),"")</f>
        <v/>
      </c>
      <c r="K468" s="56"/>
      <c r="L468" s="56"/>
    </row>
    <row r="469" customFormat="false" ht="15.75" hidden="false" customHeight="true" outlineLevel="0" collapsed="false">
      <c r="A469" s="78" t="str">
        <f aca="false">IFERROR(IF($B469="","",IF(INDEX(Einheiten!$B$4:$B$63,MATCH($B469,Einheiten!$A$4:$A$63,0))=0,"",INDEX(Einheiten!$B$4:$B$63,MATCH($B469,Einheiten!$A$4:$A$63,0)))),"")</f>
        <v/>
      </c>
      <c r="B469" s="54"/>
      <c r="C469" s="79" t="str">
        <f aca="false">IFERROR(IF($D469="","",INDEX(Übungen!$B$4:$B$23,MATCH($D469,Übungen!$A$4:$A$23,0))),"")</f>
        <v/>
      </c>
      <c r="D469" s="56"/>
      <c r="E469" s="73"/>
      <c r="F469" s="55"/>
      <c r="G469" s="74"/>
      <c r="H469" s="55"/>
      <c r="I469" s="49" t="str">
        <f aca="false">IF(AND(ISNUMBER($F469),ISNUMBER($G469),$E469&lt;&gt;"R"),$F469*$G469,"")</f>
        <v/>
      </c>
      <c r="J469" s="51" t="str">
        <f aca="false">IF(AND($E469="A",ISNUMBER($F469),ISNUMBER($G469)),$F469*(1+$G469/30),"")</f>
        <v/>
      </c>
      <c r="K469" s="56"/>
      <c r="L469" s="56"/>
    </row>
    <row r="470" customFormat="false" ht="15.75" hidden="false" customHeight="true" outlineLevel="0" collapsed="false">
      <c r="A470" s="78" t="str">
        <f aca="false">IFERROR(IF($B470="","",IF(INDEX(Einheiten!$B$4:$B$63,MATCH($B470,Einheiten!$A$4:$A$63,0))=0,"",INDEX(Einheiten!$B$4:$B$63,MATCH($B470,Einheiten!$A$4:$A$63,0)))),"")</f>
        <v/>
      </c>
      <c r="B470" s="54"/>
      <c r="C470" s="79" t="str">
        <f aca="false">IFERROR(IF($D470="","",INDEX(Übungen!$B$4:$B$23,MATCH($D470,Übungen!$A$4:$A$23,0))),"")</f>
        <v/>
      </c>
      <c r="D470" s="56"/>
      <c r="E470" s="73"/>
      <c r="F470" s="55"/>
      <c r="G470" s="74"/>
      <c r="H470" s="55"/>
      <c r="I470" s="49" t="str">
        <f aca="false">IF(AND(ISNUMBER($F470),ISNUMBER($G470),$E470&lt;&gt;"R"),$F470*$G470,"")</f>
        <v/>
      </c>
      <c r="J470" s="51" t="str">
        <f aca="false">IF(AND($E470="A",ISNUMBER($F470),ISNUMBER($G470)),$F470*(1+$G470/30),"")</f>
        <v/>
      </c>
      <c r="K470" s="56"/>
      <c r="L470" s="56"/>
    </row>
    <row r="471" customFormat="false" ht="15.75" hidden="false" customHeight="true" outlineLevel="0" collapsed="false">
      <c r="A471" s="78" t="str">
        <f aca="false">IFERROR(IF($B471="","",IF(INDEX(Einheiten!$B$4:$B$63,MATCH($B471,Einheiten!$A$4:$A$63,0))=0,"",INDEX(Einheiten!$B$4:$B$63,MATCH($B471,Einheiten!$A$4:$A$63,0)))),"")</f>
        <v/>
      </c>
      <c r="B471" s="54"/>
      <c r="C471" s="79" t="str">
        <f aca="false">IFERROR(IF($D471="","",INDEX(Übungen!$B$4:$B$23,MATCH($D471,Übungen!$A$4:$A$23,0))),"")</f>
        <v/>
      </c>
      <c r="D471" s="56"/>
      <c r="E471" s="73"/>
      <c r="F471" s="55"/>
      <c r="G471" s="74"/>
      <c r="H471" s="55"/>
      <c r="I471" s="49" t="str">
        <f aca="false">IF(AND(ISNUMBER($F471),ISNUMBER($G471),$E471&lt;&gt;"R"),$F471*$G471,"")</f>
        <v/>
      </c>
      <c r="J471" s="51" t="str">
        <f aca="false">IF(AND($E471="A",ISNUMBER($F471),ISNUMBER($G471)),$F471*(1+$G471/30),"")</f>
        <v/>
      </c>
      <c r="K471" s="56"/>
      <c r="L471" s="56"/>
    </row>
    <row r="472" customFormat="false" ht="15.75" hidden="false" customHeight="true" outlineLevel="0" collapsed="false">
      <c r="A472" s="78" t="str">
        <f aca="false">IFERROR(IF($B472="","",IF(INDEX(Einheiten!$B$4:$B$63,MATCH($B472,Einheiten!$A$4:$A$63,0))=0,"",INDEX(Einheiten!$B$4:$B$63,MATCH($B472,Einheiten!$A$4:$A$63,0)))),"")</f>
        <v/>
      </c>
      <c r="B472" s="54"/>
      <c r="C472" s="79" t="str">
        <f aca="false">IFERROR(IF($D472="","",INDEX(Übungen!$B$4:$B$23,MATCH($D472,Übungen!$A$4:$A$23,0))),"")</f>
        <v/>
      </c>
      <c r="D472" s="56"/>
      <c r="E472" s="73"/>
      <c r="F472" s="55"/>
      <c r="G472" s="74"/>
      <c r="H472" s="55"/>
      <c r="I472" s="49" t="str">
        <f aca="false">IF(AND(ISNUMBER($F472),ISNUMBER($G472),$E472&lt;&gt;"R"),$F472*$G472,"")</f>
        <v/>
      </c>
      <c r="J472" s="51" t="str">
        <f aca="false">IF(AND($E472="A",ISNUMBER($F472),ISNUMBER($G472)),$F472*(1+$G472/30),"")</f>
        <v/>
      </c>
      <c r="K472" s="56"/>
      <c r="L472" s="56"/>
    </row>
    <row r="473" customFormat="false" ht="15.75" hidden="false" customHeight="true" outlineLevel="0" collapsed="false">
      <c r="A473" s="78" t="str">
        <f aca="false">IFERROR(IF($B473="","",IF(INDEX(Einheiten!$B$4:$B$63,MATCH($B473,Einheiten!$A$4:$A$63,0))=0,"",INDEX(Einheiten!$B$4:$B$63,MATCH($B473,Einheiten!$A$4:$A$63,0)))),"")</f>
        <v/>
      </c>
      <c r="B473" s="54"/>
      <c r="C473" s="79" t="str">
        <f aca="false">IFERROR(IF($D473="","",INDEX(Übungen!$B$4:$B$23,MATCH($D473,Übungen!$A$4:$A$23,0))),"")</f>
        <v/>
      </c>
      <c r="D473" s="56"/>
      <c r="E473" s="73"/>
      <c r="F473" s="55"/>
      <c r="G473" s="74"/>
      <c r="H473" s="55"/>
      <c r="I473" s="49" t="str">
        <f aca="false">IF(AND(ISNUMBER($F473),ISNUMBER($G473),$E473&lt;&gt;"R"),$F473*$G473,"")</f>
        <v/>
      </c>
      <c r="J473" s="51" t="str">
        <f aca="false">IF(AND($E473="A",ISNUMBER($F473),ISNUMBER($G473)),$F473*(1+$G473/30),"")</f>
        <v/>
      </c>
      <c r="K473" s="56"/>
      <c r="L473" s="56"/>
    </row>
    <row r="474" customFormat="false" ht="15.75" hidden="false" customHeight="true" outlineLevel="0" collapsed="false">
      <c r="A474" s="78" t="str">
        <f aca="false">IFERROR(IF($B474="","",IF(INDEX(Einheiten!$B$4:$B$63,MATCH($B474,Einheiten!$A$4:$A$63,0))=0,"",INDEX(Einheiten!$B$4:$B$63,MATCH($B474,Einheiten!$A$4:$A$63,0)))),"")</f>
        <v/>
      </c>
      <c r="B474" s="54"/>
      <c r="C474" s="79" t="str">
        <f aca="false">IFERROR(IF($D474="","",INDEX(Übungen!$B$4:$B$23,MATCH($D474,Übungen!$A$4:$A$23,0))),"")</f>
        <v/>
      </c>
      <c r="D474" s="56"/>
      <c r="E474" s="73"/>
      <c r="F474" s="55"/>
      <c r="G474" s="74"/>
      <c r="H474" s="55"/>
      <c r="I474" s="49" t="str">
        <f aca="false">IF(AND(ISNUMBER($F474),ISNUMBER($G474),$E474&lt;&gt;"R"),$F474*$G474,"")</f>
        <v/>
      </c>
      <c r="J474" s="51" t="str">
        <f aca="false">IF(AND($E474="A",ISNUMBER($F474),ISNUMBER($G474)),$F474*(1+$G474/30),"")</f>
        <v/>
      </c>
      <c r="K474" s="56"/>
      <c r="L474" s="56"/>
    </row>
    <row r="475" customFormat="false" ht="15.75" hidden="false" customHeight="true" outlineLevel="0" collapsed="false">
      <c r="A475" s="78" t="str">
        <f aca="false">IFERROR(IF($B475="","",IF(INDEX(Einheiten!$B$4:$B$63,MATCH($B475,Einheiten!$A$4:$A$63,0))=0,"",INDEX(Einheiten!$B$4:$B$63,MATCH($B475,Einheiten!$A$4:$A$63,0)))),"")</f>
        <v/>
      </c>
      <c r="B475" s="54"/>
      <c r="C475" s="79" t="str">
        <f aca="false">IFERROR(IF($D475="","",INDEX(Übungen!$B$4:$B$23,MATCH($D475,Übungen!$A$4:$A$23,0))),"")</f>
        <v/>
      </c>
      <c r="D475" s="56"/>
      <c r="E475" s="73"/>
      <c r="F475" s="55"/>
      <c r="G475" s="74"/>
      <c r="H475" s="55"/>
      <c r="I475" s="49" t="str">
        <f aca="false">IF(AND(ISNUMBER($F475),ISNUMBER($G475),$E475&lt;&gt;"R"),$F475*$G475,"")</f>
        <v/>
      </c>
      <c r="J475" s="51" t="str">
        <f aca="false">IF(AND($E475="A",ISNUMBER($F475),ISNUMBER($G475)),$F475*(1+$G475/30),"")</f>
        <v/>
      </c>
      <c r="K475" s="56"/>
      <c r="L475" s="56"/>
    </row>
    <row r="476" customFormat="false" ht="15.75" hidden="false" customHeight="true" outlineLevel="0" collapsed="false">
      <c r="A476" s="78" t="str">
        <f aca="false">IFERROR(IF($B476="","",IF(INDEX(Einheiten!$B$4:$B$63,MATCH($B476,Einheiten!$A$4:$A$63,0))=0,"",INDEX(Einheiten!$B$4:$B$63,MATCH($B476,Einheiten!$A$4:$A$63,0)))),"")</f>
        <v/>
      </c>
      <c r="B476" s="54"/>
      <c r="C476" s="79" t="str">
        <f aca="false">IFERROR(IF($D476="","",INDEX(Übungen!$B$4:$B$23,MATCH($D476,Übungen!$A$4:$A$23,0))),"")</f>
        <v/>
      </c>
      <c r="D476" s="56"/>
      <c r="E476" s="73"/>
      <c r="F476" s="55"/>
      <c r="G476" s="74"/>
      <c r="H476" s="55"/>
      <c r="I476" s="49" t="str">
        <f aca="false">IF(AND(ISNUMBER($F476),ISNUMBER($G476),$E476&lt;&gt;"R"),$F476*$G476,"")</f>
        <v/>
      </c>
      <c r="J476" s="51" t="str">
        <f aca="false">IF(AND($E476="A",ISNUMBER($F476),ISNUMBER($G476)),$F476*(1+$G476/30),"")</f>
        <v/>
      </c>
      <c r="K476" s="56"/>
      <c r="L476" s="56"/>
    </row>
    <row r="477" customFormat="false" ht="15.75" hidden="false" customHeight="true" outlineLevel="0" collapsed="false">
      <c r="A477" s="78" t="str">
        <f aca="false">IFERROR(IF($B477="","",IF(INDEX(Einheiten!$B$4:$B$63,MATCH($B477,Einheiten!$A$4:$A$63,0))=0,"",INDEX(Einheiten!$B$4:$B$63,MATCH($B477,Einheiten!$A$4:$A$63,0)))),"")</f>
        <v/>
      </c>
      <c r="B477" s="54"/>
      <c r="C477" s="79" t="str">
        <f aca="false">IFERROR(IF($D477="","",INDEX(Übungen!$B$4:$B$23,MATCH($D477,Übungen!$A$4:$A$23,0))),"")</f>
        <v/>
      </c>
      <c r="D477" s="56"/>
      <c r="E477" s="73"/>
      <c r="F477" s="55"/>
      <c r="G477" s="74"/>
      <c r="H477" s="55"/>
      <c r="I477" s="49" t="str">
        <f aca="false">IF(AND(ISNUMBER($F477),ISNUMBER($G477),$E477&lt;&gt;"R"),$F477*$G477,"")</f>
        <v/>
      </c>
      <c r="J477" s="51" t="str">
        <f aca="false">IF(AND($E477="A",ISNUMBER($F477),ISNUMBER($G477)),$F477*(1+$G477/30),"")</f>
        <v/>
      </c>
      <c r="K477" s="56"/>
      <c r="L477" s="56"/>
    </row>
    <row r="478" customFormat="false" ht="15.75" hidden="false" customHeight="true" outlineLevel="0" collapsed="false">
      <c r="A478" s="78" t="str">
        <f aca="false">IFERROR(IF($B478="","",IF(INDEX(Einheiten!$B$4:$B$63,MATCH($B478,Einheiten!$A$4:$A$63,0))=0,"",INDEX(Einheiten!$B$4:$B$63,MATCH($B478,Einheiten!$A$4:$A$63,0)))),"")</f>
        <v/>
      </c>
      <c r="B478" s="54"/>
      <c r="C478" s="79" t="str">
        <f aca="false">IFERROR(IF($D478="","",INDEX(Übungen!$B$4:$B$23,MATCH($D478,Übungen!$A$4:$A$23,0))),"")</f>
        <v/>
      </c>
      <c r="D478" s="56"/>
      <c r="E478" s="73"/>
      <c r="F478" s="55"/>
      <c r="G478" s="74"/>
      <c r="H478" s="55"/>
      <c r="I478" s="49" t="str">
        <f aca="false">IF(AND(ISNUMBER($F478),ISNUMBER($G478),$E478&lt;&gt;"R"),$F478*$G478,"")</f>
        <v/>
      </c>
      <c r="J478" s="51" t="str">
        <f aca="false">IF(AND($E478="A",ISNUMBER($F478),ISNUMBER($G478)),$F478*(1+$G478/30),"")</f>
        <v/>
      </c>
      <c r="K478" s="56"/>
      <c r="L478" s="56"/>
    </row>
    <row r="479" customFormat="false" ht="15.75" hidden="false" customHeight="true" outlineLevel="0" collapsed="false">
      <c r="A479" s="78" t="str">
        <f aca="false">IFERROR(IF($B479="","",IF(INDEX(Einheiten!$B$4:$B$63,MATCH($B479,Einheiten!$A$4:$A$63,0))=0,"",INDEX(Einheiten!$B$4:$B$63,MATCH($B479,Einheiten!$A$4:$A$63,0)))),"")</f>
        <v/>
      </c>
      <c r="B479" s="54"/>
      <c r="C479" s="79" t="str">
        <f aca="false">IFERROR(IF($D479="","",INDEX(Übungen!$B$4:$B$23,MATCH($D479,Übungen!$A$4:$A$23,0))),"")</f>
        <v/>
      </c>
      <c r="D479" s="56"/>
      <c r="E479" s="73"/>
      <c r="F479" s="55"/>
      <c r="G479" s="74"/>
      <c r="H479" s="55"/>
      <c r="I479" s="49" t="str">
        <f aca="false">IF(AND(ISNUMBER($F479),ISNUMBER($G479),$E479&lt;&gt;"R"),$F479*$G479,"")</f>
        <v/>
      </c>
      <c r="J479" s="51" t="str">
        <f aca="false">IF(AND($E479="A",ISNUMBER($F479),ISNUMBER($G479)),$F479*(1+$G479/30),"")</f>
        <v/>
      </c>
      <c r="K479" s="56"/>
      <c r="L479" s="56"/>
    </row>
    <row r="480" customFormat="false" ht="15.75" hidden="false" customHeight="true" outlineLevel="0" collapsed="false">
      <c r="A480" s="78" t="str">
        <f aca="false">IFERROR(IF($B480="","",IF(INDEX(Einheiten!$B$4:$B$63,MATCH($B480,Einheiten!$A$4:$A$63,0))=0,"",INDEX(Einheiten!$B$4:$B$63,MATCH($B480,Einheiten!$A$4:$A$63,0)))),"")</f>
        <v/>
      </c>
      <c r="B480" s="54"/>
      <c r="C480" s="79" t="str">
        <f aca="false">IFERROR(IF($D480="","",INDEX(Übungen!$B$4:$B$23,MATCH($D480,Übungen!$A$4:$A$23,0))),"")</f>
        <v/>
      </c>
      <c r="D480" s="56"/>
      <c r="E480" s="73"/>
      <c r="F480" s="55"/>
      <c r="G480" s="74"/>
      <c r="H480" s="55"/>
      <c r="I480" s="49" t="str">
        <f aca="false">IF(AND(ISNUMBER($F480),ISNUMBER($G480),$E480&lt;&gt;"R"),$F480*$G480,"")</f>
        <v/>
      </c>
      <c r="J480" s="51" t="str">
        <f aca="false">IF(AND($E480="A",ISNUMBER($F480),ISNUMBER($G480)),$F480*(1+$G480/30),"")</f>
        <v/>
      </c>
      <c r="K480" s="56"/>
      <c r="L480" s="56"/>
    </row>
    <row r="481" customFormat="false" ht="15.75" hidden="false" customHeight="true" outlineLevel="0" collapsed="false">
      <c r="A481" s="78" t="str">
        <f aca="false">IFERROR(IF($B481="","",IF(INDEX(Einheiten!$B$4:$B$63,MATCH($B481,Einheiten!$A$4:$A$63,0))=0,"",INDEX(Einheiten!$B$4:$B$63,MATCH($B481,Einheiten!$A$4:$A$63,0)))),"")</f>
        <v/>
      </c>
      <c r="B481" s="54"/>
      <c r="C481" s="79" t="str">
        <f aca="false">IFERROR(IF($D481="","",INDEX(Übungen!$B$4:$B$23,MATCH($D481,Übungen!$A$4:$A$23,0))),"")</f>
        <v/>
      </c>
      <c r="D481" s="56"/>
      <c r="E481" s="73"/>
      <c r="F481" s="55"/>
      <c r="G481" s="74"/>
      <c r="H481" s="55"/>
      <c r="I481" s="49" t="str">
        <f aca="false">IF(AND(ISNUMBER($F481),ISNUMBER($G481),$E481&lt;&gt;"R"),$F481*$G481,"")</f>
        <v/>
      </c>
      <c r="J481" s="51" t="str">
        <f aca="false">IF(AND($E481="A",ISNUMBER($F481),ISNUMBER($G481)),$F481*(1+$G481/30),"")</f>
        <v/>
      </c>
      <c r="K481" s="56"/>
      <c r="L481" s="56"/>
    </row>
    <row r="482" customFormat="false" ht="15.75" hidden="false" customHeight="true" outlineLevel="0" collapsed="false">
      <c r="A482" s="78" t="str">
        <f aca="false">IFERROR(IF($B482="","",IF(INDEX(Einheiten!$B$4:$B$63,MATCH($B482,Einheiten!$A$4:$A$63,0))=0,"",INDEX(Einheiten!$B$4:$B$63,MATCH($B482,Einheiten!$A$4:$A$63,0)))),"")</f>
        <v/>
      </c>
      <c r="B482" s="54"/>
      <c r="C482" s="79" t="str">
        <f aca="false">IFERROR(IF($D482="","",INDEX(Übungen!$B$4:$B$23,MATCH($D482,Übungen!$A$4:$A$23,0))),"")</f>
        <v/>
      </c>
      <c r="D482" s="56"/>
      <c r="E482" s="73"/>
      <c r="F482" s="55"/>
      <c r="G482" s="74"/>
      <c r="H482" s="55"/>
      <c r="I482" s="49" t="str">
        <f aca="false">IF(AND(ISNUMBER($F482),ISNUMBER($G482),$E482&lt;&gt;"R"),$F482*$G482,"")</f>
        <v/>
      </c>
      <c r="J482" s="51" t="str">
        <f aca="false">IF(AND($E482="A",ISNUMBER($F482),ISNUMBER($G482)),$F482*(1+$G482/30),"")</f>
        <v/>
      </c>
      <c r="K482" s="56"/>
      <c r="L482" s="56"/>
    </row>
    <row r="483" customFormat="false" ht="15.75" hidden="false" customHeight="true" outlineLevel="0" collapsed="false">
      <c r="A483" s="78" t="str">
        <f aca="false">IFERROR(IF($B483="","",IF(INDEX(Einheiten!$B$4:$B$63,MATCH($B483,Einheiten!$A$4:$A$63,0))=0,"",INDEX(Einheiten!$B$4:$B$63,MATCH($B483,Einheiten!$A$4:$A$63,0)))),"")</f>
        <v/>
      </c>
      <c r="B483" s="54"/>
      <c r="C483" s="79" t="str">
        <f aca="false">IFERROR(IF($D483="","",INDEX(Übungen!$B$4:$B$23,MATCH($D483,Übungen!$A$4:$A$23,0))),"")</f>
        <v/>
      </c>
      <c r="D483" s="56"/>
      <c r="E483" s="73"/>
      <c r="F483" s="55"/>
      <c r="G483" s="74"/>
      <c r="H483" s="55"/>
      <c r="I483" s="49" t="str">
        <f aca="false">IF(AND(ISNUMBER($F483),ISNUMBER($G483),$E483&lt;&gt;"R"),$F483*$G483,"")</f>
        <v/>
      </c>
      <c r="J483" s="51" t="str">
        <f aca="false">IF(AND($E483="A",ISNUMBER($F483),ISNUMBER($G483)),$F483*(1+$G483/30),"")</f>
        <v/>
      </c>
      <c r="K483" s="56"/>
      <c r="L483" s="56"/>
    </row>
    <row r="484" customFormat="false" ht="15.75" hidden="false" customHeight="true" outlineLevel="0" collapsed="false">
      <c r="A484" s="78" t="str">
        <f aca="false">IFERROR(IF($B484="","",IF(INDEX(Einheiten!$B$4:$B$63,MATCH($B484,Einheiten!$A$4:$A$63,0))=0,"",INDEX(Einheiten!$B$4:$B$63,MATCH($B484,Einheiten!$A$4:$A$63,0)))),"")</f>
        <v/>
      </c>
      <c r="B484" s="54"/>
      <c r="C484" s="79" t="str">
        <f aca="false">IFERROR(IF($D484="","",INDEX(Übungen!$B$4:$B$23,MATCH($D484,Übungen!$A$4:$A$23,0))),"")</f>
        <v/>
      </c>
      <c r="D484" s="56"/>
      <c r="E484" s="73"/>
      <c r="F484" s="55"/>
      <c r="G484" s="74"/>
      <c r="H484" s="55"/>
      <c r="I484" s="49" t="str">
        <f aca="false">IF(AND(ISNUMBER($F484),ISNUMBER($G484),$E484&lt;&gt;"R"),$F484*$G484,"")</f>
        <v/>
      </c>
      <c r="J484" s="51" t="str">
        <f aca="false">IF(AND($E484="A",ISNUMBER($F484),ISNUMBER($G484)),$F484*(1+$G484/30),"")</f>
        <v/>
      </c>
      <c r="K484" s="56"/>
      <c r="L484" s="56"/>
    </row>
    <row r="485" customFormat="false" ht="15.75" hidden="false" customHeight="true" outlineLevel="0" collapsed="false">
      <c r="A485" s="78" t="str">
        <f aca="false">IFERROR(IF($B485="","",IF(INDEX(Einheiten!$B$4:$B$63,MATCH($B485,Einheiten!$A$4:$A$63,0))=0,"",INDEX(Einheiten!$B$4:$B$63,MATCH($B485,Einheiten!$A$4:$A$63,0)))),"")</f>
        <v/>
      </c>
      <c r="B485" s="54"/>
      <c r="C485" s="79" t="str">
        <f aca="false">IFERROR(IF($D485="","",INDEX(Übungen!$B$4:$B$23,MATCH($D485,Übungen!$A$4:$A$23,0))),"")</f>
        <v/>
      </c>
      <c r="D485" s="56"/>
      <c r="E485" s="73"/>
      <c r="F485" s="55"/>
      <c r="G485" s="74"/>
      <c r="H485" s="55"/>
      <c r="I485" s="49" t="str">
        <f aca="false">IF(AND(ISNUMBER($F485),ISNUMBER($G485),$E485&lt;&gt;"R"),$F485*$G485,"")</f>
        <v/>
      </c>
      <c r="J485" s="51" t="str">
        <f aca="false">IF(AND($E485="A",ISNUMBER($F485),ISNUMBER($G485)),$F485*(1+$G485/30),"")</f>
        <v/>
      </c>
      <c r="K485" s="56"/>
      <c r="L485" s="56"/>
    </row>
    <row r="486" customFormat="false" ht="15.75" hidden="false" customHeight="true" outlineLevel="0" collapsed="false">
      <c r="A486" s="78" t="str">
        <f aca="false">IFERROR(IF($B486="","",IF(INDEX(Einheiten!$B$4:$B$63,MATCH($B486,Einheiten!$A$4:$A$63,0))=0,"",INDEX(Einheiten!$B$4:$B$63,MATCH($B486,Einheiten!$A$4:$A$63,0)))),"")</f>
        <v/>
      </c>
      <c r="B486" s="54"/>
      <c r="C486" s="79" t="str">
        <f aca="false">IFERROR(IF($D486="","",INDEX(Übungen!$B$4:$B$23,MATCH($D486,Übungen!$A$4:$A$23,0))),"")</f>
        <v/>
      </c>
      <c r="D486" s="56"/>
      <c r="E486" s="73"/>
      <c r="F486" s="55"/>
      <c r="G486" s="74"/>
      <c r="H486" s="55"/>
      <c r="I486" s="49" t="str">
        <f aca="false">IF(AND(ISNUMBER($F486),ISNUMBER($G486),$E486&lt;&gt;"R"),$F486*$G486,"")</f>
        <v/>
      </c>
      <c r="J486" s="51" t="str">
        <f aca="false">IF(AND($E486="A",ISNUMBER($F486),ISNUMBER($G486)),$F486*(1+$G486/30),"")</f>
        <v/>
      </c>
      <c r="K486" s="56"/>
      <c r="L486" s="56"/>
    </row>
    <row r="487" customFormat="false" ht="15.75" hidden="false" customHeight="true" outlineLevel="0" collapsed="false">
      <c r="A487" s="78" t="str">
        <f aca="false">IFERROR(IF($B487="","",IF(INDEX(Einheiten!$B$4:$B$63,MATCH($B487,Einheiten!$A$4:$A$63,0))=0,"",INDEX(Einheiten!$B$4:$B$63,MATCH($B487,Einheiten!$A$4:$A$63,0)))),"")</f>
        <v/>
      </c>
      <c r="B487" s="54"/>
      <c r="C487" s="79" t="str">
        <f aca="false">IFERROR(IF($D487="","",INDEX(Übungen!$B$4:$B$23,MATCH($D487,Übungen!$A$4:$A$23,0))),"")</f>
        <v/>
      </c>
      <c r="D487" s="56"/>
      <c r="E487" s="73"/>
      <c r="F487" s="55"/>
      <c r="G487" s="74"/>
      <c r="H487" s="55"/>
      <c r="I487" s="49" t="str">
        <f aca="false">IF(AND(ISNUMBER($F487),ISNUMBER($G487),$E487&lt;&gt;"R"),$F487*$G487,"")</f>
        <v/>
      </c>
      <c r="J487" s="51" t="str">
        <f aca="false">IF(AND($E487="A",ISNUMBER($F487),ISNUMBER($G487)),$F487*(1+$G487/30),"")</f>
        <v/>
      </c>
      <c r="K487" s="56"/>
      <c r="L487" s="56"/>
    </row>
    <row r="488" customFormat="false" ht="15.75" hidden="false" customHeight="true" outlineLevel="0" collapsed="false">
      <c r="A488" s="78" t="str">
        <f aca="false">IFERROR(IF($B488="","",IF(INDEX(Einheiten!$B$4:$B$63,MATCH($B488,Einheiten!$A$4:$A$63,0))=0,"",INDEX(Einheiten!$B$4:$B$63,MATCH($B488,Einheiten!$A$4:$A$63,0)))),"")</f>
        <v/>
      </c>
      <c r="B488" s="54"/>
      <c r="C488" s="79" t="str">
        <f aca="false">IFERROR(IF($D488="","",INDEX(Übungen!$B$4:$B$23,MATCH($D488,Übungen!$A$4:$A$23,0))),"")</f>
        <v/>
      </c>
      <c r="D488" s="56"/>
      <c r="E488" s="73"/>
      <c r="F488" s="55"/>
      <c r="G488" s="74"/>
      <c r="H488" s="55"/>
      <c r="I488" s="49" t="str">
        <f aca="false">IF(AND(ISNUMBER($F488),ISNUMBER($G488),$E488&lt;&gt;"R"),$F488*$G488,"")</f>
        <v/>
      </c>
      <c r="J488" s="51" t="str">
        <f aca="false">IF(AND($E488="A",ISNUMBER($F488),ISNUMBER($G488)),$F488*(1+$G488/30),"")</f>
        <v/>
      </c>
      <c r="K488" s="56"/>
      <c r="L488" s="56"/>
    </row>
    <row r="489" customFormat="false" ht="15.75" hidden="false" customHeight="true" outlineLevel="0" collapsed="false">
      <c r="A489" s="78" t="str">
        <f aca="false">IFERROR(IF($B489="","",IF(INDEX(Einheiten!$B$4:$B$63,MATCH($B489,Einheiten!$A$4:$A$63,0))=0,"",INDEX(Einheiten!$B$4:$B$63,MATCH($B489,Einheiten!$A$4:$A$63,0)))),"")</f>
        <v/>
      </c>
      <c r="B489" s="54"/>
      <c r="C489" s="79" t="str">
        <f aca="false">IFERROR(IF($D489="","",INDEX(Übungen!$B$4:$B$23,MATCH($D489,Übungen!$A$4:$A$23,0))),"")</f>
        <v/>
      </c>
      <c r="D489" s="56"/>
      <c r="E489" s="73"/>
      <c r="F489" s="55"/>
      <c r="G489" s="74"/>
      <c r="H489" s="55"/>
      <c r="I489" s="49" t="str">
        <f aca="false">IF(AND(ISNUMBER($F489),ISNUMBER($G489),$E489&lt;&gt;"R"),$F489*$G489,"")</f>
        <v/>
      </c>
      <c r="J489" s="51" t="str">
        <f aca="false">IF(AND($E489="A",ISNUMBER($F489),ISNUMBER($G489)),$F489*(1+$G489/30),"")</f>
        <v/>
      </c>
      <c r="K489" s="56"/>
      <c r="L489" s="56"/>
    </row>
    <row r="490" customFormat="false" ht="15.75" hidden="false" customHeight="true" outlineLevel="0" collapsed="false">
      <c r="A490" s="78" t="str">
        <f aca="false">IFERROR(IF($B490="","",IF(INDEX(Einheiten!$B$4:$B$63,MATCH($B490,Einheiten!$A$4:$A$63,0))=0,"",INDEX(Einheiten!$B$4:$B$63,MATCH($B490,Einheiten!$A$4:$A$63,0)))),"")</f>
        <v/>
      </c>
      <c r="B490" s="54"/>
      <c r="C490" s="79" t="str">
        <f aca="false">IFERROR(IF($D490="","",INDEX(Übungen!$B$4:$B$23,MATCH($D490,Übungen!$A$4:$A$23,0))),"")</f>
        <v/>
      </c>
      <c r="D490" s="56"/>
      <c r="E490" s="73"/>
      <c r="F490" s="55"/>
      <c r="G490" s="74"/>
      <c r="H490" s="55"/>
      <c r="I490" s="49" t="str">
        <f aca="false">IF(AND(ISNUMBER($F490),ISNUMBER($G490),$E490&lt;&gt;"R"),$F490*$G490,"")</f>
        <v/>
      </c>
      <c r="J490" s="51" t="str">
        <f aca="false">IF(AND($E490="A",ISNUMBER($F490),ISNUMBER($G490)),$F490*(1+$G490/30),"")</f>
        <v/>
      </c>
      <c r="K490" s="56"/>
      <c r="L490" s="56"/>
    </row>
    <row r="491" customFormat="false" ht="15.75" hidden="false" customHeight="true" outlineLevel="0" collapsed="false">
      <c r="A491" s="78" t="str">
        <f aca="false">IFERROR(IF($B491="","",IF(INDEX(Einheiten!$B$4:$B$63,MATCH($B491,Einheiten!$A$4:$A$63,0))=0,"",INDEX(Einheiten!$B$4:$B$63,MATCH($B491,Einheiten!$A$4:$A$63,0)))),"")</f>
        <v/>
      </c>
      <c r="B491" s="54"/>
      <c r="C491" s="79" t="str">
        <f aca="false">IFERROR(IF($D491="","",INDEX(Übungen!$B$4:$B$23,MATCH($D491,Übungen!$A$4:$A$23,0))),"")</f>
        <v/>
      </c>
      <c r="D491" s="56"/>
      <c r="E491" s="73"/>
      <c r="F491" s="55"/>
      <c r="G491" s="74"/>
      <c r="H491" s="55"/>
      <c r="I491" s="49" t="str">
        <f aca="false">IF(AND(ISNUMBER($F491),ISNUMBER($G491),$E491&lt;&gt;"R"),$F491*$G491,"")</f>
        <v/>
      </c>
      <c r="J491" s="51" t="str">
        <f aca="false">IF(AND($E491="A",ISNUMBER($F491),ISNUMBER($G491)),$F491*(1+$G491/30),"")</f>
        <v/>
      </c>
      <c r="K491" s="56"/>
      <c r="L491" s="56"/>
    </row>
    <row r="492" customFormat="false" ht="15.75" hidden="false" customHeight="true" outlineLevel="0" collapsed="false">
      <c r="A492" s="78" t="str">
        <f aca="false">IFERROR(IF($B492="","",IF(INDEX(Einheiten!$B$4:$B$63,MATCH($B492,Einheiten!$A$4:$A$63,0))=0,"",INDEX(Einheiten!$B$4:$B$63,MATCH($B492,Einheiten!$A$4:$A$63,0)))),"")</f>
        <v/>
      </c>
      <c r="B492" s="54"/>
      <c r="C492" s="79" t="str">
        <f aca="false">IFERROR(IF($D492="","",INDEX(Übungen!$B$4:$B$23,MATCH($D492,Übungen!$A$4:$A$23,0))),"")</f>
        <v/>
      </c>
      <c r="D492" s="56"/>
      <c r="E492" s="73"/>
      <c r="F492" s="55"/>
      <c r="G492" s="74"/>
      <c r="H492" s="55"/>
      <c r="I492" s="49" t="str">
        <f aca="false">IF(AND(ISNUMBER($F492),ISNUMBER($G492),$E492&lt;&gt;"R"),$F492*$G492,"")</f>
        <v/>
      </c>
      <c r="J492" s="51" t="str">
        <f aca="false">IF(AND($E492="A",ISNUMBER($F492),ISNUMBER($G492)),$F492*(1+$G492/30),"")</f>
        <v/>
      </c>
      <c r="K492" s="56"/>
      <c r="L492" s="56"/>
    </row>
    <row r="493" customFormat="false" ht="15.75" hidden="false" customHeight="true" outlineLevel="0" collapsed="false">
      <c r="A493" s="78" t="str">
        <f aca="false">IFERROR(IF($B493="","",IF(INDEX(Einheiten!$B$4:$B$63,MATCH($B493,Einheiten!$A$4:$A$63,0))=0,"",INDEX(Einheiten!$B$4:$B$63,MATCH($B493,Einheiten!$A$4:$A$63,0)))),"")</f>
        <v/>
      </c>
      <c r="B493" s="54"/>
      <c r="C493" s="79" t="str">
        <f aca="false">IFERROR(IF($D493="","",INDEX(Übungen!$B$4:$B$23,MATCH($D493,Übungen!$A$4:$A$23,0))),"")</f>
        <v/>
      </c>
      <c r="D493" s="56"/>
      <c r="E493" s="73"/>
      <c r="F493" s="55"/>
      <c r="G493" s="74"/>
      <c r="H493" s="55"/>
      <c r="I493" s="49" t="str">
        <f aca="false">IF(AND(ISNUMBER($F493),ISNUMBER($G493),$E493&lt;&gt;"R"),$F493*$G493,"")</f>
        <v/>
      </c>
      <c r="J493" s="51" t="str">
        <f aca="false">IF(AND($E493="A",ISNUMBER($F493),ISNUMBER($G493)),$F493*(1+$G493/30),"")</f>
        <v/>
      </c>
      <c r="K493" s="56"/>
      <c r="L493" s="56"/>
    </row>
    <row r="494" customFormat="false" ht="15.75" hidden="false" customHeight="true" outlineLevel="0" collapsed="false">
      <c r="A494" s="78" t="str">
        <f aca="false">IFERROR(IF($B494="","",IF(INDEX(Einheiten!$B$4:$B$63,MATCH($B494,Einheiten!$A$4:$A$63,0))=0,"",INDEX(Einheiten!$B$4:$B$63,MATCH($B494,Einheiten!$A$4:$A$63,0)))),"")</f>
        <v/>
      </c>
      <c r="B494" s="54"/>
      <c r="C494" s="79" t="str">
        <f aca="false">IFERROR(IF($D494="","",INDEX(Übungen!$B$4:$B$23,MATCH($D494,Übungen!$A$4:$A$23,0))),"")</f>
        <v/>
      </c>
      <c r="D494" s="56"/>
      <c r="E494" s="73"/>
      <c r="F494" s="55"/>
      <c r="G494" s="74"/>
      <c r="H494" s="55"/>
      <c r="I494" s="49" t="str">
        <f aca="false">IF(AND(ISNUMBER($F494),ISNUMBER($G494),$E494&lt;&gt;"R"),$F494*$G494,"")</f>
        <v/>
      </c>
      <c r="J494" s="51" t="str">
        <f aca="false">IF(AND($E494="A",ISNUMBER($F494),ISNUMBER($G494)),$F494*(1+$G494/30),"")</f>
        <v/>
      </c>
      <c r="K494" s="56"/>
      <c r="L494" s="56"/>
    </row>
    <row r="495" customFormat="false" ht="15.75" hidden="false" customHeight="true" outlineLevel="0" collapsed="false">
      <c r="A495" s="78" t="str">
        <f aca="false">IFERROR(IF($B495="","",IF(INDEX(Einheiten!$B$4:$B$63,MATCH($B495,Einheiten!$A$4:$A$63,0))=0,"",INDEX(Einheiten!$B$4:$B$63,MATCH($B495,Einheiten!$A$4:$A$63,0)))),"")</f>
        <v/>
      </c>
      <c r="B495" s="54"/>
      <c r="C495" s="79" t="str">
        <f aca="false">IFERROR(IF($D495="","",INDEX(Übungen!$B$4:$B$23,MATCH($D495,Übungen!$A$4:$A$23,0))),"")</f>
        <v/>
      </c>
      <c r="D495" s="56"/>
      <c r="E495" s="73"/>
      <c r="F495" s="55"/>
      <c r="G495" s="74"/>
      <c r="H495" s="55"/>
      <c r="I495" s="49" t="str">
        <f aca="false">IF(AND(ISNUMBER($F495),ISNUMBER($G495),$E495&lt;&gt;"R"),$F495*$G495,"")</f>
        <v/>
      </c>
      <c r="J495" s="51" t="str">
        <f aca="false">IF(AND($E495="A",ISNUMBER($F495),ISNUMBER($G495)),$F495*(1+$G495/30),"")</f>
        <v/>
      </c>
      <c r="K495" s="56"/>
      <c r="L495" s="56"/>
    </row>
    <row r="496" customFormat="false" ht="15.75" hidden="false" customHeight="true" outlineLevel="0" collapsed="false">
      <c r="A496" s="78" t="str">
        <f aca="false">IFERROR(IF($B496="","",IF(INDEX(Einheiten!$B$4:$B$63,MATCH($B496,Einheiten!$A$4:$A$63,0))=0,"",INDEX(Einheiten!$B$4:$B$63,MATCH($B496,Einheiten!$A$4:$A$63,0)))),"")</f>
        <v/>
      </c>
      <c r="B496" s="54"/>
      <c r="C496" s="79" t="str">
        <f aca="false">IFERROR(IF($D496="","",INDEX(Übungen!$B$4:$B$23,MATCH($D496,Übungen!$A$4:$A$23,0))),"")</f>
        <v/>
      </c>
      <c r="D496" s="56"/>
      <c r="E496" s="73"/>
      <c r="F496" s="55"/>
      <c r="G496" s="74"/>
      <c r="H496" s="55"/>
      <c r="I496" s="49" t="str">
        <f aca="false">IF(AND(ISNUMBER($F496),ISNUMBER($G496),$E496&lt;&gt;"R"),$F496*$G496,"")</f>
        <v/>
      </c>
      <c r="J496" s="51" t="str">
        <f aca="false">IF(AND($E496="A",ISNUMBER($F496),ISNUMBER($G496)),$F496*(1+$G496/30),"")</f>
        <v/>
      </c>
      <c r="K496" s="56"/>
      <c r="L496" s="56"/>
    </row>
    <row r="497" customFormat="false" ht="15.75" hidden="false" customHeight="true" outlineLevel="0" collapsed="false">
      <c r="A497" s="78" t="str">
        <f aca="false">IFERROR(IF($B497="","",IF(INDEX(Einheiten!$B$4:$B$63,MATCH($B497,Einheiten!$A$4:$A$63,0))=0,"",INDEX(Einheiten!$B$4:$B$63,MATCH($B497,Einheiten!$A$4:$A$63,0)))),"")</f>
        <v/>
      </c>
      <c r="B497" s="54"/>
      <c r="C497" s="79" t="str">
        <f aca="false">IFERROR(IF($D497="","",INDEX(Übungen!$B$4:$B$23,MATCH($D497,Übungen!$A$4:$A$23,0))),"")</f>
        <v/>
      </c>
      <c r="D497" s="56"/>
      <c r="E497" s="73"/>
      <c r="F497" s="55"/>
      <c r="G497" s="74"/>
      <c r="H497" s="55"/>
      <c r="I497" s="49" t="str">
        <f aca="false">IF(AND(ISNUMBER($F497),ISNUMBER($G497),$E497&lt;&gt;"R"),$F497*$G497,"")</f>
        <v/>
      </c>
      <c r="J497" s="51" t="str">
        <f aca="false">IF(AND($E497="A",ISNUMBER($F497),ISNUMBER($G497)),$F497*(1+$G497/30),"")</f>
        <v/>
      </c>
      <c r="K497" s="56"/>
      <c r="L497" s="56"/>
    </row>
    <row r="498" customFormat="false" ht="15.75" hidden="false" customHeight="true" outlineLevel="0" collapsed="false">
      <c r="A498" s="78" t="str">
        <f aca="false">IFERROR(IF($B498="","",IF(INDEX(Einheiten!$B$4:$B$63,MATCH($B498,Einheiten!$A$4:$A$63,0))=0,"",INDEX(Einheiten!$B$4:$B$63,MATCH($B498,Einheiten!$A$4:$A$63,0)))),"")</f>
        <v/>
      </c>
      <c r="B498" s="54"/>
      <c r="C498" s="79" t="str">
        <f aca="false">IFERROR(IF($D498="","",INDEX(Übungen!$B$4:$B$23,MATCH($D498,Übungen!$A$4:$A$23,0))),"")</f>
        <v/>
      </c>
      <c r="D498" s="56"/>
      <c r="E498" s="73"/>
      <c r="F498" s="55"/>
      <c r="G498" s="74"/>
      <c r="H498" s="55"/>
      <c r="I498" s="49" t="str">
        <f aca="false">IF(AND(ISNUMBER($F498),ISNUMBER($G498),$E498&lt;&gt;"R"),$F498*$G498,"")</f>
        <v/>
      </c>
      <c r="J498" s="51" t="str">
        <f aca="false">IF(AND($E498="A",ISNUMBER($F498),ISNUMBER($G498)),$F498*(1+$G498/30),"")</f>
        <v/>
      </c>
      <c r="K498" s="56"/>
      <c r="L498" s="56"/>
    </row>
    <row r="499" customFormat="false" ht="15.75" hidden="false" customHeight="true" outlineLevel="0" collapsed="false">
      <c r="A499" s="78" t="str">
        <f aca="false">IFERROR(IF($B499="","",IF(INDEX(Einheiten!$B$4:$B$63,MATCH($B499,Einheiten!$A$4:$A$63,0))=0,"",INDEX(Einheiten!$B$4:$B$63,MATCH($B499,Einheiten!$A$4:$A$63,0)))),"")</f>
        <v/>
      </c>
      <c r="B499" s="54"/>
      <c r="C499" s="79" t="str">
        <f aca="false">IFERROR(IF($D499="","",INDEX(Übungen!$B$4:$B$23,MATCH($D499,Übungen!$A$4:$A$23,0))),"")</f>
        <v/>
      </c>
      <c r="D499" s="56"/>
      <c r="E499" s="73"/>
      <c r="F499" s="55"/>
      <c r="G499" s="74"/>
      <c r="H499" s="55"/>
      <c r="I499" s="49" t="str">
        <f aca="false">IF(AND(ISNUMBER($F499),ISNUMBER($G499),$E499&lt;&gt;"R"),$F499*$G499,"")</f>
        <v/>
      </c>
      <c r="J499" s="51" t="str">
        <f aca="false">IF(AND($E499="A",ISNUMBER($F499),ISNUMBER($G499)),$F499*(1+$G499/30),"")</f>
        <v/>
      </c>
      <c r="K499" s="56"/>
      <c r="L499" s="56"/>
    </row>
    <row r="500" customFormat="false" ht="15.75" hidden="false" customHeight="true" outlineLevel="0" collapsed="false">
      <c r="A500" s="78" t="str">
        <f aca="false">IFERROR(IF($B500="","",IF(INDEX(Einheiten!$B$4:$B$63,MATCH($B500,Einheiten!$A$4:$A$63,0))=0,"",INDEX(Einheiten!$B$4:$B$63,MATCH($B500,Einheiten!$A$4:$A$63,0)))),"")</f>
        <v/>
      </c>
      <c r="B500" s="54"/>
      <c r="C500" s="79" t="str">
        <f aca="false">IFERROR(IF($D500="","",INDEX(Übungen!$B$4:$B$23,MATCH($D500,Übungen!$A$4:$A$23,0))),"")</f>
        <v/>
      </c>
      <c r="D500" s="56"/>
      <c r="E500" s="73"/>
      <c r="F500" s="55"/>
      <c r="G500" s="74"/>
      <c r="H500" s="55"/>
      <c r="I500" s="49" t="str">
        <f aca="false">IF(AND(ISNUMBER($F500),ISNUMBER($G500),$E500&lt;&gt;"R"),$F500*$G500,"")</f>
        <v/>
      </c>
      <c r="J500" s="51" t="str">
        <f aca="false">IF(AND($E500="A",ISNUMBER($F500),ISNUMBER($G500)),$F500*(1+$G500/30),"")</f>
        <v/>
      </c>
      <c r="K500" s="56"/>
      <c r="L500" s="56"/>
    </row>
    <row r="501" customFormat="false" ht="15.75" hidden="false" customHeight="true" outlineLevel="0" collapsed="false">
      <c r="A501" s="78" t="str">
        <f aca="false">IFERROR(IF($B501="","",IF(INDEX(Einheiten!$B$4:$B$63,MATCH($B501,Einheiten!$A$4:$A$63,0))=0,"",INDEX(Einheiten!$B$4:$B$63,MATCH($B501,Einheiten!$A$4:$A$63,0)))),"")</f>
        <v/>
      </c>
      <c r="B501" s="54"/>
      <c r="C501" s="79" t="str">
        <f aca="false">IFERROR(IF($D501="","",INDEX(Übungen!$B$4:$B$23,MATCH($D501,Übungen!$A$4:$A$23,0))),"")</f>
        <v/>
      </c>
      <c r="D501" s="56"/>
      <c r="E501" s="73"/>
      <c r="F501" s="55"/>
      <c r="G501" s="74"/>
      <c r="H501" s="55"/>
      <c r="I501" s="49" t="str">
        <f aca="false">IF(AND(ISNUMBER($F501),ISNUMBER($G501),$E501&lt;&gt;"R"),$F501*$G501,"")</f>
        <v/>
      </c>
      <c r="J501" s="51" t="str">
        <f aca="false">IF(AND($E501="A",ISNUMBER($F501),ISNUMBER($G501)),$F501*(1+$G501/30),"")</f>
        <v/>
      </c>
      <c r="K501" s="56"/>
      <c r="L501" s="56"/>
    </row>
    <row r="502" customFormat="false" ht="15.75" hidden="false" customHeight="true" outlineLevel="0" collapsed="false">
      <c r="A502" s="78" t="str">
        <f aca="false">IFERROR(IF($B502="","",IF(INDEX(Einheiten!$B$4:$B$63,MATCH($B502,Einheiten!$A$4:$A$63,0))=0,"",INDEX(Einheiten!$B$4:$B$63,MATCH($B502,Einheiten!$A$4:$A$63,0)))),"")</f>
        <v/>
      </c>
      <c r="B502" s="54"/>
      <c r="C502" s="79" t="str">
        <f aca="false">IFERROR(IF($D502="","",INDEX(Übungen!$B$4:$B$23,MATCH($D502,Übungen!$A$4:$A$23,0))),"")</f>
        <v/>
      </c>
      <c r="D502" s="56"/>
      <c r="E502" s="73"/>
      <c r="F502" s="55"/>
      <c r="G502" s="74"/>
      <c r="H502" s="55"/>
      <c r="I502" s="49" t="str">
        <f aca="false">IF(AND(ISNUMBER($F502),ISNUMBER($G502),$E502&lt;&gt;"R"),$F502*$G502,"")</f>
        <v/>
      </c>
      <c r="J502" s="51" t="str">
        <f aca="false">IF(AND($E502="A",ISNUMBER($F502),ISNUMBER($G502)),$F502*(1+$G502/30),"")</f>
        <v/>
      </c>
      <c r="K502" s="56"/>
      <c r="L502" s="56"/>
    </row>
    <row r="503" customFormat="false" ht="15.75" hidden="false" customHeight="true" outlineLevel="0" collapsed="false">
      <c r="A503" s="78" t="str">
        <f aca="false">IFERROR(IF($B503="","",IF(INDEX(Einheiten!$B$4:$B$63,MATCH($B503,Einheiten!$A$4:$A$63,0))=0,"",INDEX(Einheiten!$B$4:$B$63,MATCH($B503,Einheiten!$A$4:$A$63,0)))),"")</f>
        <v/>
      </c>
      <c r="B503" s="54"/>
      <c r="C503" s="79" t="str">
        <f aca="false">IFERROR(IF($D503="","",INDEX(Übungen!$B$4:$B$23,MATCH($D503,Übungen!$A$4:$A$23,0))),"")</f>
        <v/>
      </c>
      <c r="D503" s="56"/>
      <c r="E503" s="73"/>
      <c r="F503" s="55"/>
      <c r="G503" s="74"/>
      <c r="H503" s="55"/>
      <c r="I503" s="49" t="str">
        <f aca="false">IF(AND(ISNUMBER($F503),ISNUMBER($G503),$E503&lt;&gt;"R"),$F503*$G503,"")</f>
        <v/>
      </c>
      <c r="J503" s="51" t="str">
        <f aca="false">IF(AND($E503="A",ISNUMBER($F503),ISNUMBER($G503)),$F503*(1+$G503/30),"")</f>
        <v/>
      </c>
      <c r="K503" s="56"/>
      <c r="L503" s="56"/>
    </row>
    <row r="504" customFormat="false" ht="15.75" hidden="false" customHeight="true" outlineLevel="0" collapsed="false">
      <c r="A504" s="78" t="str">
        <f aca="false">IFERROR(IF($B504="","",IF(INDEX(Einheiten!$B$4:$B$63,MATCH($B504,Einheiten!$A$4:$A$63,0))=0,"",INDEX(Einheiten!$B$4:$B$63,MATCH($B504,Einheiten!$A$4:$A$63,0)))),"")</f>
        <v/>
      </c>
      <c r="B504" s="54"/>
      <c r="C504" s="79" t="str">
        <f aca="false">IFERROR(IF($D504="","",INDEX(Übungen!$B$4:$B$23,MATCH($D504,Übungen!$A$4:$A$23,0))),"")</f>
        <v/>
      </c>
      <c r="D504" s="56"/>
      <c r="E504" s="73"/>
      <c r="F504" s="55"/>
      <c r="G504" s="74"/>
      <c r="H504" s="55"/>
      <c r="I504" s="49" t="str">
        <f aca="false">IF(AND(ISNUMBER($F504),ISNUMBER($G504),$E504&lt;&gt;"R"),$F504*$G504,"")</f>
        <v/>
      </c>
      <c r="J504" s="51" t="str">
        <f aca="false">IF(AND($E504="A",ISNUMBER($F504),ISNUMBER($G504)),$F504*(1+$G504/30),"")</f>
        <v/>
      </c>
      <c r="K504" s="56"/>
      <c r="L504" s="56"/>
    </row>
    <row r="505" customFormat="false" ht="15.75" hidden="false" customHeight="true" outlineLevel="0" collapsed="false">
      <c r="A505" s="78" t="str">
        <f aca="false">IFERROR(IF($B505="","",IF(INDEX(Einheiten!$B$4:$B$63,MATCH($B505,Einheiten!$A$4:$A$63,0))=0,"",INDEX(Einheiten!$B$4:$B$63,MATCH($B505,Einheiten!$A$4:$A$63,0)))),"")</f>
        <v/>
      </c>
      <c r="B505" s="54"/>
      <c r="C505" s="79" t="str">
        <f aca="false">IFERROR(IF($D505="","",INDEX(Übungen!$B$4:$B$23,MATCH($D505,Übungen!$A$4:$A$23,0))),"")</f>
        <v/>
      </c>
      <c r="D505" s="56"/>
      <c r="E505" s="73"/>
      <c r="F505" s="55"/>
      <c r="G505" s="74"/>
      <c r="H505" s="55"/>
      <c r="I505" s="49" t="str">
        <f aca="false">IF(AND(ISNUMBER($F505),ISNUMBER($G505),$E505&lt;&gt;"R"),$F505*$G505,"")</f>
        <v/>
      </c>
      <c r="J505" s="51" t="str">
        <f aca="false">IF(AND($E505="A",ISNUMBER($F505),ISNUMBER($G505)),$F505*(1+$G505/30),"")</f>
        <v/>
      </c>
      <c r="K505" s="56"/>
      <c r="L505" s="56"/>
    </row>
    <row r="506" customFormat="false" ht="15.75" hidden="false" customHeight="true" outlineLevel="0" collapsed="false">
      <c r="A506" s="78" t="str">
        <f aca="false">IFERROR(IF($B506="","",IF(INDEX(Einheiten!$B$4:$B$63,MATCH($B506,Einheiten!$A$4:$A$63,0))=0,"",INDEX(Einheiten!$B$4:$B$63,MATCH($B506,Einheiten!$A$4:$A$63,0)))),"")</f>
        <v/>
      </c>
      <c r="B506" s="54"/>
      <c r="C506" s="79" t="str">
        <f aca="false">IFERROR(IF($D506="","",INDEX(Übungen!$B$4:$B$23,MATCH($D506,Übungen!$A$4:$A$23,0))),"")</f>
        <v/>
      </c>
      <c r="D506" s="56"/>
      <c r="E506" s="73"/>
      <c r="F506" s="55"/>
      <c r="G506" s="74"/>
      <c r="H506" s="55"/>
      <c r="I506" s="49" t="str">
        <f aca="false">IF(AND(ISNUMBER($F506),ISNUMBER($G506),$E506&lt;&gt;"R"),$F506*$G506,"")</f>
        <v/>
      </c>
      <c r="J506" s="51" t="str">
        <f aca="false">IF(AND($E506="A",ISNUMBER($F506),ISNUMBER($G506)),$F506*(1+$G506/30),"")</f>
        <v/>
      </c>
      <c r="K506" s="56"/>
      <c r="L506" s="56"/>
    </row>
    <row r="507" customFormat="false" ht="15.75" hidden="false" customHeight="true" outlineLevel="0" collapsed="false">
      <c r="A507" s="78" t="str">
        <f aca="false">IFERROR(IF($B507="","",IF(INDEX(Einheiten!$B$4:$B$63,MATCH($B507,Einheiten!$A$4:$A$63,0))=0,"",INDEX(Einheiten!$B$4:$B$63,MATCH($B507,Einheiten!$A$4:$A$63,0)))),"")</f>
        <v/>
      </c>
      <c r="B507" s="54"/>
      <c r="C507" s="79" t="str">
        <f aca="false">IFERROR(IF($D507="","",INDEX(Übungen!$B$4:$B$23,MATCH($D507,Übungen!$A$4:$A$23,0))),"")</f>
        <v/>
      </c>
      <c r="D507" s="56"/>
      <c r="E507" s="73"/>
      <c r="F507" s="55"/>
      <c r="G507" s="74"/>
      <c r="H507" s="55"/>
      <c r="I507" s="49" t="str">
        <f aca="false">IF(AND(ISNUMBER($F507),ISNUMBER($G507),$E507&lt;&gt;"R"),$F507*$G507,"")</f>
        <v/>
      </c>
      <c r="J507" s="51" t="str">
        <f aca="false">IF(AND($E507="A",ISNUMBER($F507),ISNUMBER($G507)),$F507*(1+$G507/30),"")</f>
        <v/>
      </c>
      <c r="K507" s="56"/>
      <c r="L507" s="56"/>
    </row>
    <row r="508" customFormat="false" ht="15.75" hidden="false" customHeight="true" outlineLevel="0" collapsed="false">
      <c r="A508" s="78" t="str">
        <f aca="false">IFERROR(IF($B508="","",IF(INDEX(Einheiten!$B$4:$B$63,MATCH($B508,Einheiten!$A$4:$A$63,0))=0,"",INDEX(Einheiten!$B$4:$B$63,MATCH($B508,Einheiten!$A$4:$A$63,0)))),"")</f>
        <v/>
      </c>
      <c r="B508" s="54"/>
      <c r="C508" s="79" t="str">
        <f aca="false">IFERROR(IF($D508="","",INDEX(Übungen!$B$4:$B$23,MATCH($D508,Übungen!$A$4:$A$23,0))),"")</f>
        <v/>
      </c>
      <c r="D508" s="56"/>
      <c r="E508" s="73"/>
      <c r="F508" s="55"/>
      <c r="G508" s="74"/>
      <c r="H508" s="55"/>
      <c r="I508" s="49" t="str">
        <f aca="false">IF(AND(ISNUMBER($F508),ISNUMBER($G508),$E508&lt;&gt;"R"),$F508*$G508,"")</f>
        <v/>
      </c>
      <c r="J508" s="51" t="str">
        <f aca="false">IF(AND($E508="A",ISNUMBER($F508),ISNUMBER($G508)),$F508*(1+$G508/30),"")</f>
        <v/>
      </c>
      <c r="K508" s="56"/>
      <c r="L508" s="56"/>
    </row>
    <row r="509" customFormat="false" ht="15.75" hidden="false" customHeight="true" outlineLevel="0" collapsed="false">
      <c r="A509" s="78" t="str">
        <f aca="false">IFERROR(IF($B509="","",IF(INDEX(Einheiten!$B$4:$B$63,MATCH($B509,Einheiten!$A$4:$A$63,0))=0,"",INDEX(Einheiten!$B$4:$B$63,MATCH($B509,Einheiten!$A$4:$A$63,0)))),"")</f>
        <v/>
      </c>
      <c r="B509" s="54"/>
      <c r="C509" s="79" t="str">
        <f aca="false">IFERROR(IF($D509="","",INDEX(Übungen!$B$4:$B$23,MATCH($D509,Übungen!$A$4:$A$23,0))),"")</f>
        <v/>
      </c>
      <c r="D509" s="56"/>
      <c r="E509" s="73"/>
      <c r="F509" s="55"/>
      <c r="G509" s="74"/>
      <c r="H509" s="55"/>
      <c r="I509" s="49" t="str">
        <f aca="false">IF(AND(ISNUMBER($F509),ISNUMBER($G509),$E509&lt;&gt;"R"),$F509*$G509,"")</f>
        <v/>
      </c>
      <c r="J509" s="51" t="str">
        <f aca="false">IF(AND($E509="A",ISNUMBER($F509),ISNUMBER($G509)),$F509*(1+$G509/30),"")</f>
        <v/>
      </c>
      <c r="K509" s="56"/>
      <c r="L509" s="56"/>
    </row>
    <row r="510" customFormat="false" ht="15.75" hidden="false" customHeight="true" outlineLevel="0" collapsed="false">
      <c r="A510" s="78" t="str">
        <f aca="false">IFERROR(IF($B510="","",IF(INDEX(Einheiten!$B$4:$B$63,MATCH($B510,Einheiten!$A$4:$A$63,0))=0,"",INDEX(Einheiten!$B$4:$B$63,MATCH($B510,Einheiten!$A$4:$A$63,0)))),"")</f>
        <v/>
      </c>
      <c r="B510" s="54"/>
      <c r="C510" s="79" t="str">
        <f aca="false">IFERROR(IF($D510="","",INDEX(Übungen!$B$4:$B$23,MATCH($D510,Übungen!$A$4:$A$23,0))),"")</f>
        <v/>
      </c>
      <c r="D510" s="56"/>
      <c r="E510" s="73"/>
      <c r="F510" s="55"/>
      <c r="G510" s="74"/>
      <c r="H510" s="55"/>
      <c r="I510" s="49" t="str">
        <f aca="false">IF(AND(ISNUMBER($F510),ISNUMBER($G510),$E510&lt;&gt;"R"),$F510*$G510,"")</f>
        <v/>
      </c>
      <c r="J510" s="51" t="str">
        <f aca="false">IF(AND($E510="A",ISNUMBER($F510),ISNUMBER($G510)),$F510*(1+$G510/30),"")</f>
        <v/>
      </c>
      <c r="K510" s="56"/>
      <c r="L510" s="56"/>
    </row>
    <row r="511" customFormat="false" ht="15.75" hidden="false" customHeight="true" outlineLevel="0" collapsed="false">
      <c r="A511" s="78" t="str">
        <f aca="false">IFERROR(IF($B511="","",IF(INDEX(Einheiten!$B$4:$B$63,MATCH($B511,Einheiten!$A$4:$A$63,0))=0,"",INDEX(Einheiten!$B$4:$B$63,MATCH($B511,Einheiten!$A$4:$A$63,0)))),"")</f>
        <v/>
      </c>
      <c r="B511" s="54"/>
      <c r="C511" s="79" t="str">
        <f aca="false">IFERROR(IF($D511="","",INDEX(Übungen!$B$4:$B$23,MATCH($D511,Übungen!$A$4:$A$23,0))),"")</f>
        <v/>
      </c>
      <c r="D511" s="56"/>
      <c r="E511" s="73"/>
      <c r="F511" s="55"/>
      <c r="G511" s="74"/>
      <c r="H511" s="55"/>
      <c r="I511" s="49" t="str">
        <f aca="false">IF(AND(ISNUMBER($F511),ISNUMBER($G511),$E511&lt;&gt;"R"),$F511*$G511,"")</f>
        <v/>
      </c>
      <c r="J511" s="51" t="str">
        <f aca="false">IF(AND($E511="A",ISNUMBER($F511),ISNUMBER($G511)),$F511*(1+$G511/30),"")</f>
        <v/>
      </c>
      <c r="K511" s="56"/>
      <c r="L511" s="56"/>
    </row>
    <row r="512" customFormat="false" ht="15.75" hidden="false" customHeight="true" outlineLevel="0" collapsed="false">
      <c r="A512" s="78" t="str">
        <f aca="false">IFERROR(IF($B512="","",IF(INDEX(Einheiten!$B$4:$B$63,MATCH($B512,Einheiten!$A$4:$A$63,0))=0,"",INDEX(Einheiten!$B$4:$B$63,MATCH($B512,Einheiten!$A$4:$A$63,0)))),"")</f>
        <v/>
      </c>
      <c r="B512" s="54"/>
      <c r="C512" s="79" t="str">
        <f aca="false">IFERROR(IF($D512="","",INDEX(Übungen!$B$4:$B$23,MATCH($D512,Übungen!$A$4:$A$23,0))),"")</f>
        <v/>
      </c>
      <c r="D512" s="56"/>
      <c r="E512" s="73"/>
      <c r="F512" s="55"/>
      <c r="G512" s="74"/>
      <c r="H512" s="55"/>
      <c r="I512" s="49" t="str">
        <f aca="false">IF(AND(ISNUMBER($F512),ISNUMBER($G512),$E512&lt;&gt;"R"),$F512*$G512,"")</f>
        <v/>
      </c>
      <c r="J512" s="51" t="str">
        <f aca="false">IF(AND($E512="A",ISNUMBER($F512),ISNUMBER($G512)),$F512*(1+$G512/30),"")</f>
        <v/>
      </c>
      <c r="K512" s="56"/>
      <c r="L512" s="56"/>
    </row>
    <row r="513" customFormat="false" ht="15.75" hidden="false" customHeight="true" outlineLevel="0" collapsed="false">
      <c r="A513" s="78" t="str">
        <f aca="false">IFERROR(IF($B513="","",IF(INDEX(Einheiten!$B$4:$B$63,MATCH($B513,Einheiten!$A$4:$A$63,0))=0,"",INDEX(Einheiten!$B$4:$B$63,MATCH($B513,Einheiten!$A$4:$A$63,0)))),"")</f>
        <v/>
      </c>
      <c r="B513" s="54"/>
      <c r="C513" s="79" t="str">
        <f aca="false">IFERROR(IF($D513="","",INDEX(Übungen!$B$4:$B$23,MATCH($D513,Übungen!$A$4:$A$23,0))),"")</f>
        <v/>
      </c>
      <c r="D513" s="56"/>
      <c r="E513" s="73"/>
      <c r="F513" s="55"/>
      <c r="G513" s="74"/>
      <c r="H513" s="55"/>
      <c r="I513" s="49" t="str">
        <f aca="false">IF(AND(ISNUMBER($F513),ISNUMBER($G513),$E513&lt;&gt;"R"),$F513*$G513,"")</f>
        <v/>
      </c>
      <c r="J513" s="51" t="str">
        <f aca="false">IF(AND($E513="A",ISNUMBER($F513),ISNUMBER($G513)),$F513*(1+$G513/30),"")</f>
        <v/>
      </c>
      <c r="K513" s="56"/>
      <c r="L513" s="56"/>
    </row>
    <row r="514" customFormat="false" ht="15.75" hidden="false" customHeight="true" outlineLevel="0" collapsed="false">
      <c r="A514" s="78" t="str">
        <f aca="false">IFERROR(IF($B514="","",IF(INDEX(Einheiten!$B$4:$B$63,MATCH($B514,Einheiten!$A$4:$A$63,0))=0,"",INDEX(Einheiten!$B$4:$B$63,MATCH($B514,Einheiten!$A$4:$A$63,0)))),"")</f>
        <v/>
      </c>
      <c r="B514" s="54"/>
      <c r="C514" s="79" t="str">
        <f aca="false">IFERROR(IF($D514="","",INDEX(Übungen!$B$4:$B$23,MATCH($D514,Übungen!$A$4:$A$23,0))),"")</f>
        <v/>
      </c>
      <c r="D514" s="56"/>
      <c r="E514" s="73"/>
      <c r="F514" s="55"/>
      <c r="G514" s="74"/>
      <c r="H514" s="55"/>
      <c r="I514" s="49" t="str">
        <f aca="false">IF(AND(ISNUMBER($F514),ISNUMBER($G514),$E514&lt;&gt;"R"),$F514*$G514,"")</f>
        <v/>
      </c>
      <c r="J514" s="51" t="str">
        <f aca="false">IF(AND($E514="A",ISNUMBER($F514),ISNUMBER($G514)),$F514*(1+$G514/30),"")</f>
        <v/>
      </c>
      <c r="K514" s="56"/>
      <c r="L514" s="56"/>
    </row>
    <row r="515" customFormat="false" ht="15.75" hidden="false" customHeight="true" outlineLevel="0" collapsed="false">
      <c r="A515" s="78" t="str">
        <f aca="false">IFERROR(IF($B515="","",IF(INDEX(Einheiten!$B$4:$B$63,MATCH($B515,Einheiten!$A$4:$A$63,0))=0,"",INDEX(Einheiten!$B$4:$B$63,MATCH($B515,Einheiten!$A$4:$A$63,0)))),"")</f>
        <v/>
      </c>
      <c r="B515" s="54"/>
      <c r="C515" s="79" t="str">
        <f aca="false">IFERROR(IF($D515="","",INDEX(Übungen!$B$4:$B$23,MATCH($D515,Übungen!$A$4:$A$23,0))),"")</f>
        <v/>
      </c>
      <c r="D515" s="56"/>
      <c r="E515" s="73"/>
      <c r="F515" s="55"/>
      <c r="G515" s="74"/>
      <c r="H515" s="55"/>
      <c r="I515" s="49" t="str">
        <f aca="false">IF(AND(ISNUMBER($F515),ISNUMBER($G515),$E515&lt;&gt;"R"),$F515*$G515,"")</f>
        <v/>
      </c>
      <c r="J515" s="51" t="str">
        <f aca="false">IF(AND($E515="A",ISNUMBER($F515),ISNUMBER($G515)),$F515*(1+$G515/30),"")</f>
        <v/>
      </c>
      <c r="K515" s="56"/>
      <c r="L515" s="56"/>
    </row>
    <row r="516" customFormat="false" ht="15.75" hidden="false" customHeight="true" outlineLevel="0" collapsed="false">
      <c r="A516" s="78" t="str">
        <f aca="false">IFERROR(IF($B516="","",IF(INDEX(Einheiten!$B$4:$B$63,MATCH($B516,Einheiten!$A$4:$A$63,0))=0,"",INDEX(Einheiten!$B$4:$B$63,MATCH($B516,Einheiten!$A$4:$A$63,0)))),"")</f>
        <v/>
      </c>
      <c r="B516" s="54"/>
      <c r="C516" s="79" t="str">
        <f aca="false">IFERROR(IF($D516="","",INDEX(Übungen!$B$4:$B$23,MATCH($D516,Übungen!$A$4:$A$23,0))),"")</f>
        <v/>
      </c>
      <c r="D516" s="56"/>
      <c r="E516" s="73"/>
      <c r="F516" s="55"/>
      <c r="G516" s="74"/>
      <c r="H516" s="55"/>
      <c r="I516" s="49" t="str">
        <f aca="false">IF(AND(ISNUMBER($F516),ISNUMBER($G516),$E516&lt;&gt;"R"),$F516*$G516,"")</f>
        <v/>
      </c>
      <c r="J516" s="51" t="str">
        <f aca="false">IF(AND($E516="A",ISNUMBER($F516),ISNUMBER($G516)),$F516*(1+$G516/30),"")</f>
        <v/>
      </c>
      <c r="K516" s="56"/>
      <c r="L516" s="56"/>
    </row>
    <row r="517" customFormat="false" ht="15.75" hidden="false" customHeight="true" outlineLevel="0" collapsed="false">
      <c r="A517" s="78" t="str">
        <f aca="false">IFERROR(IF($B517="","",IF(INDEX(Einheiten!$B$4:$B$63,MATCH($B517,Einheiten!$A$4:$A$63,0))=0,"",INDEX(Einheiten!$B$4:$B$63,MATCH($B517,Einheiten!$A$4:$A$63,0)))),"")</f>
        <v/>
      </c>
      <c r="B517" s="54"/>
      <c r="C517" s="79" t="str">
        <f aca="false">IFERROR(IF($D517="","",INDEX(Übungen!$B$4:$B$23,MATCH($D517,Übungen!$A$4:$A$23,0))),"")</f>
        <v/>
      </c>
      <c r="D517" s="56"/>
      <c r="E517" s="73"/>
      <c r="F517" s="55"/>
      <c r="G517" s="74"/>
      <c r="H517" s="55"/>
      <c r="I517" s="49" t="str">
        <f aca="false">IF(AND(ISNUMBER($F517),ISNUMBER($G517),$E517&lt;&gt;"R"),$F517*$G517,"")</f>
        <v/>
      </c>
      <c r="J517" s="51" t="str">
        <f aca="false">IF(AND($E517="A",ISNUMBER($F517),ISNUMBER($G517)),$F517*(1+$G517/30),"")</f>
        <v/>
      </c>
      <c r="K517" s="56"/>
      <c r="L517" s="56"/>
    </row>
    <row r="518" customFormat="false" ht="15.75" hidden="false" customHeight="true" outlineLevel="0" collapsed="false">
      <c r="A518" s="78" t="str">
        <f aca="false">IFERROR(IF($B518="","",IF(INDEX(Einheiten!$B$4:$B$63,MATCH($B518,Einheiten!$A$4:$A$63,0))=0,"",INDEX(Einheiten!$B$4:$B$63,MATCH($B518,Einheiten!$A$4:$A$63,0)))),"")</f>
        <v/>
      </c>
      <c r="B518" s="54"/>
      <c r="C518" s="79" t="str">
        <f aca="false">IFERROR(IF($D518="","",INDEX(Übungen!$B$4:$B$23,MATCH($D518,Übungen!$A$4:$A$23,0))),"")</f>
        <v/>
      </c>
      <c r="D518" s="56"/>
      <c r="E518" s="73"/>
      <c r="F518" s="55"/>
      <c r="G518" s="74"/>
      <c r="H518" s="55"/>
      <c r="I518" s="49" t="str">
        <f aca="false">IF(AND(ISNUMBER($F518),ISNUMBER($G518),$E518&lt;&gt;"R"),$F518*$G518,"")</f>
        <v/>
      </c>
      <c r="J518" s="51" t="str">
        <f aca="false">IF(AND($E518="A",ISNUMBER($F518),ISNUMBER($G518)),$F518*(1+$G518/30),"")</f>
        <v/>
      </c>
      <c r="K518" s="56"/>
      <c r="L518" s="56"/>
    </row>
    <row r="519" customFormat="false" ht="15.75" hidden="false" customHeight="true" outlineLevel="0" collapsed="false">
      <c r="A519" s="78" t="str">
        <f aca="false">IFERROR(IF($B519="","",IF(INDEX(Einheiten!$B$4:$B$63,MATCH($B519,Einheiten!$A$4:$A$63,0))=0,"",INDEX(Einheiten!$B$4:$B$63,MATCH($B519,Einheiten!$A$4:$A$63,0)))),"")</f>
        <v/>
      </c>
      <c r="B519" s="54"/>
      <c r="C519" s="79" t="str">
        <f aca="false">IFERROR(IF($D519="","",INDEX(Übungen!$B$4:$B$23,MATCH($D519,Übungen!$A$4:$A$23,0))),"")</f>
        <v/>
      </c>
      <c r="D519" s="56"/>
      <c r="E519" s="73"/>
      <c r="F519" s="55"/>
      <c r="G519" s="74"/>
      <c r="H519" s="55"/>
      <c r="I519" s="49" t="str">
        <f aca="false">IF(AND(ISNUMBER($F519),ISNUMBER($G519),$E519&lt;&gt;"R"),$F519*$G519,"")</f>
        <v/>
      </c>
      <c r="J519" s="51" t="str">
        <f aca="false">IF(AND($E519="A",ISNUMBER($F519),ISNUMBER($G519)),$F519*(1+$G519/30),"")</f>
        <v/>
      </c>
      <c r="K519" s="56"/>
      <c r="L519" s="56"/>
    </row>
    <row r="520" customFormat="false" ht="15.75" hidden="false" customHeight="true" outlineLevel="0" collapsed="false">
      <c r="A520" s="78" t="str">
        <f aca="false">IFERROR(IF($B520="","",IF(INDEX(Einheiten!$B$4:$B$63,MATCH($B520,Einheiten!$A$4:$A$63,0))=0,"",INDEX(Einheiten!$B$4:$B$63,MATCH($B520,Einheiten!$A$4:$A$63,0)))),"")</f>
        <v/>
      </c>
      <c r="B520" s="54"/>
      <c r="C520" s="79" t="str">
        <f aca="false">IFERROR(IF($D520="","",INDEX(Übungen!$B$4:$B$23,MATCH($D520,Übungen!$A$4:$A$23,0))),"")</f>
        <v/>
      </c>
      <c r="D520" s="56"/>
      <c r="E520" s="73"/>
      <c r="F520" s="55"/>
      <c r="G520" s="74"/>
      <c r="H520" s="55"/>
      <c r="I520" s="49" t="str">
        <f aca="false">IF(AND(ISNUMBER($F520),ISNUMBER($G520),$E520&lt;&gt;"R"),$F520*$G520,"")</f>
        <v/>
      </c>
      <c r="J520" s="51" t="str">
        <f aca="false">IF(AND($E520="A",ISNUMBER($F520),ISNUMBER($G520)),$F520*(1+$G520/30),"")</f>
        <v/>
      </c>
      <c r="K520" s="56"/>
      <c r="L520" s="56"/>
    </row>
    <row r="521" customFormat="false" ht="15.75" hidden="false" customHeight="true" outlineLevel="0" collapsed="false">
      <c r="A521" s="78" t="str">
        <f aca="false">IFERROR(IF($B521="","",IF(INDEX(Einheiten!$B$4:$B$63,MATCH($B521,Einheiten!$A$4:$A$63,0))=0,"",INDEX(Einheiten!$B$4:$B$63,MATCH($B521,Einheiten!$A$4:$A$63,0)))),"")</f>
        <v/>
      </c>
      <c r="B521" s="54"/>
      <c r="C521" s="79" t="str">
        <f aca="false">IFERROR(IF($D521="","",INDEX(Übungen!$B$4:$B$23,MATCH($D521,Übungen!$A$4:$A$23,0))),"")</f>
        <v/>
      </c>
      <c r="D521" s="56"/>
      <c r="E521" s="73"/>
      <c r="F521" s="55"/>
      <c r="G521" s="74"/>
      <c r="H521" s="55"/>
      <c r="I521" s="49" t="str">
        <f aca="false">IF(AND(ISNUMBER($F521),ISNUMBER($G521),$E521&lt;&gt;"R"),$F521*$G521,"")</f>
        <v/>
      </c>
      <c r="J521" s="51" t="str">
        <f aca="false">IF(AND($E521="A",ISNUMBER($F521),ISNUMBER($G521)),$F521*(1+$G521/30),"")</f>
        <v/>
      </c>
      <c r="K521" s="56"/>
      <c r="L521" s="56"/>
    </row>
    <row r="522" customFormat="false" ht="15.75" hidden="false" customHeight="true" outlineLevel="0" collapsed="false">
      <c r="A522" s="78" t="str">
        <f aca="false">IFERROR(IF($B522="","",IF(INDEX(Einheiten!$B$4:$B$63,MATCH($B522,Einheiten!$A$4:$A$63,0))=0,"",INDEX(Einheiten!$B$4:$B$63,MATCH($B522,Einheiten!$A$4:$A$63,0)))),"")</f>
        <v/>
      </c>
      <c r="B522" s="54"/>
      <c r="C522" s="79" t="str">
        <f aca="false">IFERROR(IF($D522="","",INDEX(Übungen!$B$4:$B$23,MATCH($D522,Übungen!$A$4:$A$23,0))),"")</f>
        <v/>
      </c>
      <c r="D522" s="56"/>
      <c r="E522" s="73"/>
      <c r="F522" s="55"/>
      <c r="G522" s="74"/>
      <c r="H522" s="55"/>
      <c r="I522" s="49" t="str">
        <f aca="false">IF(AND(ISNUMBER($F522),ISNUMBER($G522),$E522&lt;&gt;"R"),$F522*$G522,"")</f>
        <v/>
      </c>
      <c r="J522" s="51" t="str">
        <f aca="false">IF(AND($E522="A",ISNUMBER($F522),ISNUMBER($G522)),$F522*(1+$G522/30),"")</f>
        <v/>
      </c>
      <c r="K522" s="56"/>
      <c r="L522" s="56"/>
    </row>
    <row r="523" customFormat="false" ht="15.75" hidden="false" customHeight="true" outlineLevel="0" collapsed="false">
      <c r="A523" s="78" t="str">
        <f aca="false">IFERROR(IF($B523="","",IF(INDEX(Einheiten!$B$4:$B$63,MATCH($B523,Einheiten!$A$4:$A$63,0))=0,"",INDEX(Einheiten!$B$4:$B$63,MATCH($B523,Einheiten!$A$4:$A$63,0)))),"")</f>
        <v/>
      </c>
      <c r="B523" s="54"/>
      <c r="C523" s="79" t="str">
        <f aca="false">IFERROR(IF($D523="","",INDEX(Übungen!$B$4:$B$23,MATCH($D523,Übungen!$A$4:$A$23,0))),"")</f>
        <v/>
      </c>
      <c r="D523" s="56"/>
      <c r="E523" s="73"/>
      <c r="F523" s="55"/>
      <c r="G523" s="74"/>
      <c r="H523" s="55"/>
      <c r="I523" s="49" t="str">
        <f aca="false">IF(AND(ISNUMBER($F523),ISNUMBER($G523),$E523&lt;&gt;"R"),$F523*$G523,"")</f>
        <v/>
      </c>
      <c r="J523" s="51" t="str">
        <f aca="false">IF(AND($E523="A",ISNUMBER($F523),ISNUMBER($G523)),$F523*(1+$G523/30),"")</f>
        <v/>
      </c>
      <c r="K523" s="56"/>
      <c r="L523" s="56"/>
    </row>
    <row r="524" customFormat="false" ht="15.75" hidden="false" customHeight="true" outlineLevel="0" collapsed="false">
      <c r="A524" s="78" t="str">
        <f aca="false">IFERROR(IF($B524="","",IF(INDEX(Einheiten!$B$4:$B$63,MATCH($B524,Einheiten!$A$4:$A$63,0))=0,"",INDEX(Einheiten!$B$4:$B$63,MATCH($B524,Einheiten!$A$4:$A$63,0)))),"")</f>
        <v/>
      </c>
      <c r="B524" s="54"/>
      <c r="C524" s="79" t="str">
        <f aca="false">IFERROR(IF($D524="","",INDEX(Übungen!$B$4:$B$23,MATCH($D524,Übungen!$A$4:$A$23,0))),"")</f>
        <v/>
      </c>
      <c r="D524" s="56"/>
      <c r="E524" s="73"/>
      <c r="F524" s="55"/>
      <c r="G524" s="74"/>
      <c r="H524" s="55"/>
      <c r="I524" s="49" t="str">
        <f aca="false">IF(AND(ISNUMBER($F524),ISNUMBER($G524),$E524&lt;&gt;"R"),$F524*$G524,"")</f>
        <v/>
      </c>
      <c r="J524" s="51" t="str">
        <f aca="false">IF(AND($E524="A",ISNUMBER($F524),ISNUMBER($G524)),$F524*(1+$G524/30),"")</f>
        <v/>
      </c>
      <c r="K524" s="56"/>
      <c r="L524" s="56"/>
    </row>
    <row r="525" customFormat="false" ht="15.75" hidden="false" customHeight="true" outlineLevel="0" collapsed="false">
      <c r="A525" s="78" t="str">
        <f aca="false">IFERROR(IF($B525="","",IF(INDEX(Einheiten!$B$4:$B$63,MATCH($B525,Einheiten!$A$4:$A$63,0))=0,"",INDEX(Einheiten!$B$4:$B$63,MATCH($B525,Einheiten!$A$4:$A$63,0)))),"")</f>
        <v/>
      </c>
      <c r="B525" s="54"/>
      <c r="C525" s="79" t="str">
        <f aca="false">IFERROR(IF($D525="","",INDEX(Übungen!$B$4:$B$23,MATCH($D525,Übungen!$A$4:$A$23,0))),"")</f>
        <v/>
      </c>
      <c r="D525" s="56"/>
      <c r="E525" s="73"/>
      <c r="F525" s="55"/>
      <c r="G525" s="74"/>
      <c r="H525" s="55"/>
      <c r="I525" s="49" t="str">
        <f aca="false">IF(AND(ISNUMBER($F525),ISNUMBER($G525),$E525&lt;&gt;"R"),$F525*$G525,"")</f>
        <v/>
      </c>
      <c r="J525" s="51" t="str">
        <f aca="false">IF(AND($E525="A",ISNUMBER($F525),ISNUMBER($G525)),$F525*(1+$G525/30),"")</f>
        <v/>
      </c>
      <c r="K525" s="56"/>
      <c r="L525" s="56"/>
    </row>
    <row r="526" customFormat="false" ht="15.75" hidden="false" customHeight="true" outlineLevel="0" collapsed="false">
      <c r="A526" s="78" t="str">
        <f aca="false">IFERROR(IF($B526="","",IF(INDEX(Einheiten!$B$4:$B$63,MATCH($B526,Einheiten!$A$4:$A$63,0))=0,"",INDEX(Einheiten!$B$4:$B$63,MATCH($B526,Einheiten!$A$4:$A$63,0)))),"")</f>
        <v/>
      </c>
      <c r="B526" s="54"/>
      <c r="C526" s="79" t="str">
        <f aca="false">IFERROR(IF($D526="","",INDEX(Übungen!$B$4:$B$23,MATCH($D526,Übungen!$A$4:$A$23,0))),"")</f>
        <v/>
      </c>
      <c r="D526" s="56"/>
      <c r="E526" s="73"/>
      <c r="F526" s="55"/>
      <c r="G526" s="74"/>
      <c r="H526" s="55"/>
      <c r="I526" s="49" t="str">
        <f aca="false">IF(AND(ISNUMBER($F526),ISNUMBER($G526),$E526&lt;&gt;"R"),$F526*$G526,"")</f>
        <v/>
      </c>
      <c r="J526" s="51" t="str">
        <f aca="false">IF(AND($E526="A",ISNUMBER($F526),ISNUMBER($G526)),$F526*(1+$G526/30),"")</f>
        <v/>
      </c>
      <c r="K526" s="56"/>
      <c r="L526" s="56"/>
    </row>
    <row r="527" customFormat="false" ht="15.75" hidden="false" customHeight="true" outlineLevel="0" collapsed="false">
      <c r="A527" s="78" t="str">
        <f aca="false">IFERROR(IF($B527="","",IF(INDEX(Einheiten!$B$4:$B$63,MATCH($B527,Einheiten!$A$4:$A$63,0))=0,"",INDEX(Einheiten!$B$4:$B$63,MATCH($B527,Einheiten!$A$4:$A$63,0)))),"")</f>
        <v/>
      </c>
      <c r="B527" s="54"/>
      <c r="C527" s="79" t="str">
        <f aca="false">IFERROR(IF($D527="","",INDEX(Übungen!$B$4:$B$23,MATCH($D527,Übungen!$A$4:$A$23,0))),"")</f>
        <v/>
      </c>
      <c r="D527" s="56"/>
      <c r="E527" s="73"/>
      <c r="F527" s="55"/>
      <c r="G527" s="74"/>
      <c r="H527" s="55"/>
      <c r="I527" s="49" t="str">
        <f aca="false">IF(AND(ISNUMBER($F527),ISNUMBER($G527),$E527&lt;&gt;"R"),$F527*$G527,"")</f>
        <v/>
      </c>
      <c r="J527" s="51" t="str">
        <f aca="false">IF(AND($E527="A",ISNUMBER($F527),ISNUMBER($G527)),$F527*(1+$G527/30),"")</f>
        <v/>
      </c>
      <c r="K527" s="56"/>
      <c r="L527" s="56"/>
    </row>
    <row r="528" customFormat="false" ht="15.75" hidden="false" customHeight="true" outlineLevel="0" collapsed="false">
      <c r="A528" s="78" t="str">
        <f aca="false">IFERROR(IF($B528="","",IF(INDEX(Einheiten!$B$4:$B$63,MATCH($B528,Einheiten!$A$4:$A$63,0))=0,"",INDEX(Einheiten!$B$4:$B$63,MATCH($B528,Einheiten!$A$4:$A$63,0)))),"")</f>
        <v/>
      </c>
      <c r="B528" s="54"/>
      <c r="C528" s="79" t="str">
        <f aca="false">IFERROR(IF($D528="","",INDEX(Übungen!$B$4:$B$23,MATCH($D528,Übungen!$A$4:$A$23,0))),"")</f>
        <v/>
      </c>
      <c r="D528" s="56"/>
      <c r="E528" s="73"/>
      <c r="F528" s="55"/>
      <c r="G528" s="74"/>
      <c r="H528" s="55"/>
      <c r="I528" s="49" t="str">
        <f aca="false">IF(AND(ISNUMBER($F528),ISNUMBER($G528),$E528&lt;&gt;"R"),$F528*$G528,"")</f>
        <v/>
      </c>
      <c r="J528" s="51" t="str">
        <f aca="false">IF(AND($E528="A",ISNUMBER($F528),ISNUMBER($G528)),$F528*(1+$G528/30),"")</f>
        <v/>
      </c>
      <c r="K528" s="56"/>
      <c r="L528" s="56"/>
    </row>
    <row r="529" customFormat="false" ht="15.75" hidden="false" customHeight="true" outlineLevel="0" collapsed="false">
      <c r="A529" s="78" t="str">
        <f aca="false">IFERROR(IF($B529="","",IF(INDEX(Einheiten!$B$4:$B$63,MATCH($B529,Einheiten!$A$4:$A$63,0))=0,"",INDEX(Einheiten!$B$4:$B$63,MATCH($B529,Einheiten!$A$4:$A$63,0)))),"")</f>
        <v/>
      </c>
      <c r="B529" s="54"/>
      <c r="C529" s="79" t="str">
        <f aca="false">IFERROR(IF($D529="","",INDEX(Übungen!$B$4:$B$23,MATCH($D529,Übungen!$A$4:$A$23,0))),"")</f>
        <v/>
      </c>
      <c r="D529" s="56"/>
      <c r="E529" s="73"/>
      <c r="F529" s="55"/>
      <c r="G529" s="74"/>
      <c r="H529" s="55"/>
      <c r="I529" s="49" t="str">
        <f aca="false">IF(AND(ISNUMBER($F529),ISNUMBER($G529),$E529&lt;&gt;"R"),$F529*$G529,"")</f>
        <v/>
      </c>
      <c r="J529" s="51" t="str">
        <f aca="false">IF(AND($E529="A",ISNUMBER($F529),ISNUMBER($G529)),$F529*(1+$G529/30),"")</f>
        <v/>
      </c>
      <c r="K529" s="56"/>
      <c r="L529" s="56"/>
    </row>
    <row r="530" customFormat="false" ht="15.75" hidden="false" customHeight="true" outlineLevel="0" collapsed="false">
      <c r="A530" s="78" t="str">
        <f aca="false">IFERROR(IF($B530="","",IF(INDEX(Einheiten!$B$4:$B$63,MATCH($B530,Einheiten!$A$4:$A$63,0))=0,"",INDEX(Einheiten!$B$4:$B$63,MATCH($B530,Einheiten!$A$4:$A$63,0)))),"")</f>
        <v/>
      </c>
      <c r="B530" s="54"/>
      <c r="C530" s="79" t="str">
        <f aca="false">IFERROR(IF($D530="","",INDEX(Übungen!$B$4:$B$23,MATCH($D530,Übungen!$A$4:$A$23,0))),"")</f>
        <v/>
      </c>
      <c r="D530" s="56"/>
      <c r="E530" s="73"/>
      <c r="F530" s="55"/>
      <c r="G530" s="74"/>
      <c r="H530" s="55"/>
      <c r="I530" s="49" t="str">
        <f aca="false">IF(AND(ISNUMBER($F530),ISNUMBER($G530),$E530&lt;&gt;"R"),$F530*$G530,"")</f>
        <v/>
      </c>
      <c r="J530" s="51" t="str">
        <f aca="false">IF(AND($E530="A",ISNUMBER($F530),ISNUMBER($G530)),$F530*(1+$G530/30),"")</f>
        <v/>
      </c>
      <c r="K530" s="56"/>
      <c r="L530" s="56"/>
    </row>
    <row r="531" customFormat="false" ht="15.75" hidden="false" customHeight="true" outlineLevel="0" collapsed="false">
      <c r="A531" s="78" t="str">
        <f aca="false">IFERROR(IF($B531="","",IF(INDEX(Einheiten!$B$4:$B$63,MATCH($B531,Einheiten!$A$4:$A$63,0))=0,"",INDEX(Einheiten!$B$4:$B$63,MATCH($B531,Einheiten!$A$4:$A$63,0)))),"")</f>
        <v/>
      </c>
      <c r="B531" s="54"/>
      <c r="C531" s="79" t="str">
        <f aca="false">IFERROR(IF($D531="","",INDEX(Übungen!$B$4:$B$23,MATCH($D531,Übungen!$A$4:$A$23,0))),"")</f>
        <v/>
      </c>
      <c r="D531" s="56"/>
      <c r="E531" s="73"/>
      <c r="F531" s="55"/>
      <c r="G531" s="74"/>
      <c r="H531" s="55"/>
      <c r="I531" s="49" t="str">
        <f aca="false">IF(AND(ISNUMBER($F531),ISNUMBER($G531),$E531&lt;&gt;"R"),$F531*$G531,"")</f>
        <v/>
      </c>
      <c r="J531" s="51" t="str">
        <f aca="false">IF(AND($E531="A",ISNUMBER($F531),ISNUMBER($G531)),$F531*(1+$G531/30),"")</f>
        <v/>
      </c>
      <c r="K531" s="56"/>
      <c r="L531" s="56"/>
    </row>
    <row r="532" customFormat="false" ht="15.75" hidden="false" customHeight="true" outlineLevel="0" collapsed="false">
      <c r="A532" s="78" t="str">
        <f aca="false">IFERROR(IF($B532="","",IF(INDEX(Einheiten!$B$4:$B$63,MATCH($B532,Einheiten!$A$4:$A$63,0))=0,"",INDEX(Einheiten!$B$4:$B$63,MATCH($B532,Einheiten!$A$4:$A$63,0)))),"")</f>
        <v/>
      </c>
      <c r="B532" s="54"/>
      <c r="C532" s="79" t="str">
        <f aca="false">IFERROR(IF($D532="","",INDEX(Übungen!$B$4:$B$23,MATCH($D532,Übungen!$A$4:$A$23,0))),"")</f>
        <v/>
      </c>
      <c r="D532" s="56"/>
      <c r="E532" s="73"/>
      <c r="F532" s="55"/>
      <c r="G532" s="74"/>
      <c r="H532" s="55"/>
      <c r="I532" s="49" t="str">
        <f aca="false">IF(AND(ISNUMBER($F532),ISNUMBER($G532),$E532&lt;&gt;"R"),$F532*$G532,"")</f>
        <v/>
      </c>
      <c r="J532" s="51" t="str">
        <f aca="false">IF(AND($E532="A",ISNUMBER($F532),ISNUMBER($G532)),$F532*(1+$G532/30),"")</f>
        <v/>
      </c>
      <c r="K532" s="56"/>
      <c r="L532" s="56"/>
    </row>
    <row r="533" customFormat="false" ht="15.75" hidden="false" customHeight="true" outlineLevel="0" collapsed="false">
      <c r="A533" s="78" t="str">
        <f aca="false">IFERROR(IF($B533="","",IF(INDEX(Einheiten!$B$4:$B$63,MATCH($B533,Einheiten!$A$4:$A$63,0))=0,"",INDEX(Einheiten!$B$4:$B$63,MATCH($B533,Einheiten!$A$4:$A$63,0)))),"")</f>
        <v/>
      </c>
      <c r="B533" s="54"/>
      <c r="C533" s="79" t="str">
        <f aca="false">IFERROR(IF($D533="","",INDEX(Übungen!$B$4:$B$23,MATCH($D533,Übungen!$A$4:$A$23,0))),"")</f>
        <v/>
      </c>
      <c r="D533" s="56"/>
      <c r="E533" s="73"/>
      <c r="F533" s="55"/>
      <c r="G533" s="74"/>
      <c r="H533" s="55"/>
      <c r="I533" s="49" t="str">
        <f aca="false">IF(AND(ISNUMBER($F533),ISNUMBER($G533),$E533&lt;&gt;"R"),$F533*$G533,"")</f>
        <v/>
      </c>
      <c r="J533" s="51" t="str">
        <f aca="false">IF(AND($E533="A",ISNUMBER($F533),ISNUMBER($G533)),$F533*(1+$G533/30),"")</f>
        <v/>
      </c>
      <c r="K533" s="56"/>
      <c r="L533" s="56"/>
    </row>
    <row r="534" customFormat="false" ht="15.75" hidden="false" customHeight="true" outlineLevel="0" collapsed="false">
      <c r="A534" s="78" t="str">
        <f aca="false">IFERROR(IF($B534="","",IF(INDEX(Einheiten!$B$4:$B$63,MATCH($B534,Einheiten!$A$4:$A$63,0))=0,"",INDEX(Einheiten!$B$4:$B$63,MATCH($B534,Einheiten!$A$4:$A$63,0)))),"")</f>
        <v/>
      </c>
      <c r="B534" s="54"/>
      <c r="C534" s="79" t="str">
        <f aca="false">IFERROR(IF($D534="","",INDEX(Übungen!$B$4:$B$23,MATCH($D534,Übungen!$A$4:$A$23,0))),"")</f>
        <v/>
      </c>
      <c r="D534" s="56"/>
      <c r="E534" s="73"/>
      <c r="F534" s="55"/>
      <c r="G534" s="74"/>
      <c r="H534" s="55"/>
      <c r="I534" s="49" t="str">
        <f aca="false">IF(AND(ISNUMBER($F534),ISNUMBER($G534),$E534&lt;&gt;"R"),$F534*$G534,"")</f>
        <v/>
      </c>
      <c r="J534" s="51" t="str">
        <f aca="false">IF(AND($E534="A",ISNUMBER($F534),ISNUMBER($G534)),$F534*(1+$G534/30),"")</f>
        <v/>
      </c>
      <c r="K534" s="56"/>
      <c r="L534" s="56"/>
    </row>
    <row r="535" customFormat="false" ht="15.75" hidden="false" customHeight="true" outlineLevel="0" collapsed="false">
      <c r="A535" s="78" t="str">
        <f aca="false">IFERROR(IF($B535="","",IF(INDEX(Einheiten!$B$4:$B$63,MATCH($B535,Einheiten!$A$4:$A$63,0))=0,"",INDEX(Einheiten!$B$4:$B$63,MATCH($B535,Einheiten!$A$4:$A$63,0)))),"")</f>
        <v/>
      </c>
      <c r="B535" s="54"/>
      <c r="C535" s="79" t="str">
        <f aca="false">IFERROR(IF($D535="","",INDEX(Übungen!$B$4:$B$23,MATCH($D535,Übungen!$A$4:$A$23,0))),"")</f>
        <v/>
      </c>
      <c r="D535" s="56"/>
      <c r="E535" s="73"/>
      <c r="F535" s="55"/>
      <c r="G535" s="74"/>
      <c r="H535" s="55"/>
      <c r="I535" s="49" t="str">
        <f aca="false">IF(AND(ISNUMBER($F535),ISNUMBER($G535),$E535&lt;&gt;"R"),$F535*$G535,"")</f>
        <v/>
      </c>
      <c r="J535" s="51" t="str">
        <f aca="false">IF(AND($E535="A",ISNUMBER($F535),ISNUMBER($G535)),$F535*(1+$G535/30),"")</f>
        <v/>
      </c>
      <c r="K535" s="56"/>
      <c r="L535" s="56"/>
    </row>
    <row r="536" customFormat="false" ht="15.75" hidden="false" customHeight="true" outlineLevel="0" collapsed="false">
      <c r="A536" s="78" t="str">
        <f aca="false">IFERROR(IF($B536="","",IF(INDEX(Einheiten!$B$4:$B$63,MATCH($B536,Einheiten!$A$4:$A$63,0))=0,"",INDEX(Einheiten!$B$4:$B$63,MATCH($B536,Einheiten!$A$4:$A$63,0)))),"")</f>
        <v/>
      </c>
      <c r="B536" s="54"/>
      <c r="C536" s="79" t="str">
        <f aca="false">IFERROR(IF($D536="","",INDEX(Übungen!$B$4:$B$23,MATCH($D536,Übungen!$A$4:$A$23,0))),"")</f>
        <v/>
      </c>
      <c r="D536" s="56"/>
      <c r="E536" s="73"/>
      <c r="F536" s="55"/>
      <c r="G536" s="74"/>
      <c r="H536" s="55"/>
      <c r="I536" s="49" t="str">
        <f aca="false">IF(AND(ISNUMBER($F536),ISNUMBER($G536),$E536&lt;&gt;"R"),$F536*$G536,"")</f>
        <v/>
      </c>
      <c r="J536" s="51" t="str">
        <f aca="false">IF(AND($E536="A",ISNUMBER($F536),ISNUMBER($G536)),$F536*(1+$G536/30),"")</f>
        <v/>
      </c>
      <c r="K536" s="56"/>
      <c r="L536" s="56"/>
    </row>
    <row r="537" customFormat="false" ht="15.75" hidden="false" customHeight="true" outlineLevel="0" collapsed="false">
      <c r="A537" s="78" t="str">
        <f aca="false">IFERROR(IF($B537="","",IF(INDEX(Einheiten!$B$4:$B$63,MATCH($B537,Einheiten!$A$4:$A$63,0))=0,"",INDEX(Einheiten!$B$4:$B$63,MATCH($B537,Einheiten!$A$4:$A$63,0)))),"")</f>
        <v/>
      </c>
      <c r="B537" s="54"/>
      <c r="C537" s="79" t="str">
        <f aca="false">IFERROR(IF($D537="","",INDEX(Übungen!$B$4:$B$23,MATCH($D537,Übungen!$A$4:$A$23,0))),"")</f>
        <v/>
      </c>
      <c r="D537" s="56"/>
      <c r="E537" s="73"/>
      <c r="F537" s="55"/>
      <c r="G537" s="74"/>
      <c r="H537" s="55"/>
      <c r="I537" s="49" t="str">
        <f aca="false">IF(AND(ISNUMBER($F537),ISNUMBER($G537),$E537&lt;&gt;"R"),$F537*$G537,"")</f>
        <v/>
      </c>
      <c r="J537" s="51" t="str">
        <f aca="false">IF(AND($E537="A",ISNUMBER($F537),ISNUMBER($G537)),$F537*(1+$G537/30),"")</f>
        <v/>
      </c>
      <c r="K537" s="56"/>
      <c r="L537" s="56"/>
    </row>
    <row r="538" customFormat="false" ht="15.75" hidden="false" customHeight="true" outlineLevel="0" collapsed="false">
      <c r="A538" s="78" t="str">
        <f aca="false">IFERROR(IF($B538="","",IF(INDEX(Einheiten!$B$4:$B$63,MATCH($B538,Einheiten!$A$4:$A$63,0))=0,"",INDEX(Einheiten!$B$4:$B$63,MATCH($B538,Einheiten!$A$4:$A$63,0)))),"")</f>
        <v/>
      </c>
      <c r="B538" s="54"/>
      <c r="C538" s="79" t="str">
        <f aca="false">IFERROR(IF($D538="","",INDEX(Übungen!$B$4:$B$23,MATCH($D538,Übungen!$A$4:$A$23,0))),"")</f>
        <v/>
      </c>
      <c r="D538" s="56"/>
      <c r="E538" s="73"/>
      <c r="F538" s="55"/>
      <c r="G538" s="74"/>
      <c r="H538" s="55"/>
      <c r="I538" s="49" t="str">
        <f aca="false">IF(AND(ISNUMBER($F538),ISNUMBER($G538),$E538&lt;&gt;"R"),$F538*$G538,"")</f>
        <v/>
      </c>
      <c r="J538" s="51" t="str">
        <f aca="false">IF(AND($E538="A",ISNUMBER($F538),ISNUMBER($G538)),$F538*(1+$G538/30),"")</f>
        <v/>
      </c>
      <c r="K538" s="56"/>
      <c r="L538" s="56"/>
    </row>
    <row r="539" customFormat="false" ht="15.75" hidden="false" customHeight="true" outlineLevel="0" collapsed="false">
      <c r="A539" s="78" t="str">
        <f aca="false">IFERROR(IF($B539="","",IF(INDEX(Einheiten!$B$4:$B$63,MATCH($B539,Einheiten!$A$4:$A$63,0))=0,"",INDEX(Einheiten!$B$4:$B$63,MATCH($B539,Einheiten!$A$4:$A$63,0)))),"")</f>
        <v/>
      </c>
      <c r="B539" s="54"/>
      <c r="C539" s="79" t="str">
        <f aca="false">IFERROR(IF($D539="","",INDEX(Übungen!$B$4:$B$23,MATCH($D539,Übungen!$A$4:$A$23,0))),"")</f>
        <v/>
      </c>
      <c r="D539" s="56"/>
      <c r="E539" s="73"/>
      <c r="F539" s="55"/>
      <c r="G539" s="74"/>
      <c r="H539" s="55"/>
      <c r="I539" s="49" t="str">
        <f aca="false">IF(AND(ISNUMBER($F539),ISNUMBER($G539),$E539&lt;&gt;"R"),$F539*$G539,"")</f>
        <v/>
      </c>
      <c r="J539" s="51" t="str">
        <f aca="false">IF(AND($E539="A",ISNUMBER($F539),ISNUMBER($G539)),$F539*(1+$G539/30),"")</f>
        <v/>
      </c>
      <c r="K539" s="56"/>
      <c r="L539" s="56"/>
    </row>
    <row r="540" customFormat="false" ht="15.75" hidden="false" customHeight="true" outlineLevel="0" collapsed="false">
      <c r="A540" s="78" t="str">
        <f aca="false">IFERROR(IF($B540="","",IF(INDEX(Einheiten!$B$4:$B$63,MATCH($B540,Einheiten!$A$4:$A$63,0))=0,"",INDEX(Einheiten!$B$4:$B$63,MATCH($B540,Einheiten!$A$4:$A$63,0)))),"")</f>
        <v/>
      </c>
      <c r="B540" s="54"/>
      <c r="C540" s="79" t="str">
        <f aca="false">IFERROR(IF($D540="","",INDEX(Übungen!$B$4:$B$23,MATCH($D540,Übungen!$A$4:$A$23,0))),"")</f>
        <v/>
      </c>
      <c r="D540" s="56"/>
      <c r="E540" s="73"/>
      <c r="F540" s="55"/>
      <c r="G540" s="74"/>
      <c r="H540" s="55"/>
      <c r="I540" s="49" t="str">
        <f aca="false">IF(AND(ISNUMBER($F540),ISNUMBER($G540),$E540&lt;&gt;"R"),$F540*$G540,"")</f>
        <v/>
      </c>
      <c r="J540" s="51" t="str">
        <f aca="false">IF(AND($E540="A",ISNUMBER($F540),ISNUMBER($G540)),$F540*(1+$G540/30),"")</f>
        <v/>
      </c>
      <c r="K540" s="56"/>
      <c r="L540" s="56"/>
    </row>
    <row r="541" customFormat="false" ht="15.75" hidden="false" customHeight="true" outlineLevel="0" collapsed="false">
      <c r="A541" s="78" t="str">
        <f aca="false">IFERROR(IF($B541="","",IF(INDEX(Einheiten!$B$4:$B$63,MATCH($B541,Einheiten!$A$4:$A$63,0))=0,"",INDEX(Einheiten!$B$4:$B$63,MATCH($B541,Einheiten!$A$4:$A$63,0)))),"")</f>
        <v/>
      </c>
      <c r="B541" s="54"/>
      <c r="C541" s="79" t="str">
        <f aca="false">IFERROR(IF($D541="","",INDEX(Übungen!$B$4:$B$23,MATCH($D541,Übungen!$A$4:$A$23,0))),"")</f>
        <v/>
      </c>
      <c r="D541" s="56"/>
      <c r="E541" s="73"/>
      <c r="F541" s="55"/>
      <c r="G541" s="74"/>
      <c r="H541" s="55"/>
      <c r="I541" s="49" t="str">
        <f aca="false">IF(AND(ISNUMBER($F541),ISNUMBER($G541),$E541&lt;&gt;"R"),$F541*$G541,"")</f>
        <v/>
      </c>
      <c r="J541" s="51" t="str">
        <f aca="false">IF(AND($E541="A",ISNUMBER($F541),ISNUMBER($G541)),$F541*(1+$G541/30),"")</f>
        <v/>
      </c>
      <c r="K541" s="56"/>
      <c r="L541" s="56"/>
    </row>
    <row r="542" customFormat="false" ht="15.75" hidden="false" customHeight="true" outlineLevel="0" collapsed="false">
      <c r="A542" s="78" t="str">
        <f aca="false">IFERROR(IF($B542="","",IF(INDEX(Einheiten!$B$4:$B$63,MATCH($B542,Einheiten!$A$4:$A$63,0))=0,"",INDEX(Einheiten!$B$4:$B$63,MATCH($B542,Einheiten!$A$4:$A$63,0)))),"")</f>
        <v/>
      </c>
      <c r="B542" s="54"/>
      <c r="C542" s="79" t="str">
        <f aca="false">IFERROR(IF($D542="","",INDEX(Übungen!$B$4:$B$23,MATCH($D542,Übungen!$A$4:$A$23,0))),"")</f>
        <v/>
      </c>
      <c r="D542" s="56"/>
      <c r="E542" s="73"/>
      <c r="F542" s="55"/>
      <c r="G542" s="74"/>
      <c r="H542" s="55"/>
      <c r="I542" s="49" t="str">
        <f aca="false">IF(AND(ISNUMBER($F542),ISNUMBER($G542),$E542&lt;&gt;"R"),$F542*$G542,"")</f>
        <v/>
      </c>
      <c r="J542" s="51" t="str">
        <f aca="false">IF(AND($E542="A",ISNUMBER($F542),ISNUMBER($G542)),$F542*(1+$G542/30),"")</f>
        <v/>
      </c>
      <c r="K542" s="56"/>
      <c r="L542" s="56"/>
    </row>
    <row r="543" customFormat="false" ht="15.75" hidden="false" customHeight="true" outlineLevel="0" collapsed="false">
      <c r="A543" s="78" t="str">
        <f aca="false">IFERROR(IF($B543="","",IF(INDEX(Einheiten!$B$4:$B$63,MATCH($B543,Einheiten!$A$4:$A$63,0))=0,"",INDEX(Einheiten!$B$4:$B$63,MATCH($B543,Einheiten!$A$4:$A$63,0)))),"")</f>
        <v/>
      </c>
      <c r="B543" s="54"/>
      <c r="C543" s="79" t="str">
        <f aca="false">IFERROR(IF($D543="","",INDEX(Übungen!$B$4:$B$23,MATCH($D543,Übungen!$A$4:$A$23,0))),"")</f>
        <v/>
      </c>
      <c r="D543" s="56"/>
      <c r="E543" s="73"/>
      <c r="F543" s="55"/>
      <c r="G543" s="74"/>
      <c r="H543" s="55"/>
      <c r="I543" s="49" t="str">
        <f aca="false">IF(AND(ISNUMBER($F543),ISNUMBER($G543),$E543&lt;&gt;"R"),$F543*$G543,"")</f>
        <v/>
      </c>
      <c r="J543" s="51" t="str">
        <f aca="false">IF(AND($E543="A",ISNUMBER($F543),ISNUMBER($G543)),$F543*(1+$G543/30),"")</f>
        <v/>
      </c>
      <c r="K543" s="56"/>
      <c r="L543" s="56"/>
    </row>
    <row r="544" customFormat="false" ht="15.75" hidden="false" customHeight="true" outlineLevel="0" collapsed="false">
      <c r="A544" s="78" t="str">
        <f aca="false">IFERROR(IF($B544="","",IF(INDEX(Einheiten!$B$4:$B$63,MATCH($B544,Einheiten!$A$4:$A$63,0))=0,"",INDEX(Einheiten!$B$4:$B$63,MATCH($B544,Einheiten!$A$4:$A$63,0)))),"")</f>
        <v/>
      </c>
      <c r="B544" s="54"/>
      <c r="C544" s="79" t="str">
        <f aca="false">IFERROR(IF($D544="","",INDEX(Übungen!$B$4:$B$23,MATCH($D544,Übungen!$A$4:$A$23,0))),"")</f>
        <v/>
      </c>
      <c r="D544" s="56"/>
      <c r="E544" s="73"/>
      <c r="F544" s="55"/>
      <c r="G544" s="74"/>
      <c r="H544" s="55"/>
      <c r="I544" s="49" t="str">
        <f aca="false">IF(AND(ISNUMBER($F544),ISNUMBER($G544),$E544&lt;&gt;"R"),$F544*$G544,"")</f>
        <v/>
      </c>
      <c r="J544" s="51" t="str">
        <f aca="false">IF(AND($E544="A",ISNUMBER($F544),ISNUMBER($G544)),$F544*(1+$G544/30),"")</f>
        <v/>
      </c>
      <c r="K544" s="56"/>
      <c r="L544" s="56"/>
    </row>
    <row r="545" customFormat="false" ht="15.75" hidden="false" customHeight="true" outlineLevel="0" collapsed="false">
      <c r="A545" s="78" t="str">
        <f aca="false">IFERROR(IF($B545="","",IF(INDEX(Einheiten!$B$4:$B$63,MATCH($B545,Einheiten!$A$4:$A$63,0))=0,"",INDEX(Einheiten!$B$4:$B$63,MATCH($B545,Einheiten!$A$4:$A$63,0)))),"")</f>
        <v/>
      </c>
      <c r="B545" s="54"/>
      <c r="C545" s="79" t="str">
        <f aca="false">IFERROR(IF($D545="","",INDEX(Übungen!$B$4:$B$23,MATCH($D545,Übungen!$A$4:$A$23,0))),"")</f>
        <v/>
      </c>
      <c r="D545" s="56"/>
      <c r="E545" s="73"/>
      <c r="F545" s="55"/>
      <c r="G545" s="74"/>
      <c r="H545" s="55"/>
      <c r="I545" s="49" t="str">
        <f aca="false">IF(AND(ISNUMBER($F545),ISNUMBER($G545),$E545&lt;&gt;"R"),$F545*$G545,"")</f>
        <v/>
      </c>
      <c r="J545" s="51" t="str">
        <f aca="false">IF(AND($E545="A",ISNUMBER($F545),ISNUMBER($G545)),$F545*(1+$G545/30),"")</f>
        <v/>
      </c>
      <c r="K545" s="56"/>
      <c r="L545" s="56"/>
    </row>
    <row r="546" customFormat="false" ht="15.75" hidden="false" customHeight="true" outlineLevel="0" collapsed="false">
      <c r="A546" s="78" t="str">
        <f aca="false">IFERROR(IF($B546="","",IF(INDEX(Einheiten!$B$4:$B$63,MATCH($B546,Einheiten!$A$4:$A$63,0))=0,"",INDEX(Einheiten!$B$4:$B$63,MATCH($B546,Einheiten!$A$4:$A$63,0)))),"")</f>
        <v/>
      </c>
      <c r="B546" s="54"/>
      <c r="C546" s="79" t="str">
        <f aca="false">IFERROR(IF($D546="","",INDEX(Übungen!$B$4:$B$23,MATCH($D546,Übungen!$A$4:$A$23,0))),"")</f>
        <v/>
      </c>
      <c r="D546" s="56"/>
      <c r="E546" s="73"/>
      <c r="F546" s="55"/>
      <c r="G546" s="74"/>
      <c r="H546" s="55"/>
      <c r="I546" s="49" t="str">
        <f aca="false">IF(AND(ISNUMBER($F546),ISNUMBER($G546),$E546&lt;&gt;"R"),$F546*$G546,"")</f>
        <v/>
      </c>
      <c r="J546" s="51" t="str">
        <f aca="false">IF(AND($E546="A",ISNUMBER($F546),ISNUMBER($G546)),$F546*(1+$G546/30),"")</f>
        <v/>
      </c>
      <c r="K546" s="56"/>
      <c r="L546" s="56"/>
    </row>
    <row r="547" customFormat="false" ht="15.75" hidden="false" customHeight="true" outlineLevel="0" collapsed="false">
      <c r="A547" s="78" t="str">
        <f aca="false">IFERROR(IF($B547="","",IF(INDEX(Einheiten!$B$4:$B$63,MATCH($B547,Einheiten!$A$4:$A$63,0))=0,"",INDEX(Einheiten!$B$4:$B$63,MATCH($B547,Einheiten!$A$4:$A$63,0)))),"")</f>
        <v/>
      </c>
      <c r="B547" s="54"/>
      <c r="C547" s="79" t="str">
        <f aca="false">IFERROR(IF($D547="","",INDEX(Übungen!$B$4:$B$23,MATCH($D547,Übungen!$A$4:$A$23,0))),"")</f>
        <v/>
      </c>
      <c r="D547" s="56"/>
      <c r="E547" s="73"/>
      <c r="F547" s="55"/>
      <c r="G547" s="74"/>
      <c r="H547" s="55"/>
      <c r="I547" s="49" t="str">
        <f aca="false">IF(AND(ISNUMBER($F547),ISNUMBER($G547),$E547&lt;&gt;"R"),$F547*$G547,"")</f>
        <v/>
      </c>
      <c r="J547" s="51" t="str">
        <f aca="false">IF(AND($E547="A",ISNUMBER($F547),ISNUMBER($G547)),$F547*(1+$G547/30),"")</f>
        <v/>
      </c>
      <c r="K547" s="56"/>
      <c r="L547" s="56"/>
    </row>
    <row r="548" customFormat="false" ht="15.75" hidden="false" customHeight="true" outlineLevel="0" collapsed="false">
      <c r="A548" s="78" t="str">
        <f aca="false">IFERROR(IF($B548="","",IF(INDEX(Einheiten!$B$4:$B$63,MATCH($B548,Einheiten!$A$4:$A$63,0))=0,"",INDEX(Einheiten!$B$4:$B$63,MATCH($B548,Einheiten!$A$4:$A$63,0)))),"")</f>
        <v/>
      </c>
      <c r="B548" s="54"/>
      <c r="C548" s="79" t="str">
        <f aca="false">IFERROR(IF($D548="","",INDEX(Übungen!$B$4:$B$23,MATCH($D548,Übungen!$A$4:$A$23,0))),"")</f>
        <v/>
      </c>
      <c r="D548" s="56"/>
      <c r="E548" s="73"/>
      <c r="F548" s="55"/>
      <c r="G548" s="74"/>
      <c r="H548" s="55"/>
      <c r="I548" s="49" t="str">
        <f aca="false">IF(AND(ISNUMBER($F548),ISNUMBER($G548),$E548&lt;&gt;"R"),$F548*$G548,"")</f>
        <v/>
      </c>
      <c r="J548" s="51" t="str">
        <f aca="false">IF(AND($E548="A",ISNUMBER($F548),ISNUMBER($G548)),$F548*(1+$G548/30),"")</f>
        <v/>
      </c>
      <c r="K548" s="56"/>
      <c r="L548" s="56"/>
    </row>
    <row r="549" customFormat="false" ht="15.75" hidden="false" customHeight="true" outlineLevel="0" collapsed="false">
      <c r="A549" s="78" t="str">
        <f aca="false">IFERROR(IF($B549="","",IF(INDEX(Einheiten!$B$4:$B$63,MATCH($B549,Einheiten!$A$4:$A$63,0))=0,"",INDEX(Einheiten!$B$4:$B$63,MATCH($B549,Einheiten!$A$4:$A$63,0)))),"")</f>
        <v/>
      </c>
      <c r="B549" s="54"/>
      <c r="C549" s="79" t="str">
        <f aca="false">IFERROR(IF($D549="","",INDEX(Übungen!$B$4:$B$23,MATCH($D549,Übungen!$A$4:$A$23,0))),"")</f>
        <v/>
      </c>
      <c r="D549" s="56"/>
      <c r="E549" s="73"/>
      <c r="F549" s="55"/>
      <c r="G549" s="74"/>
      <c r="H549" s="55"/>
      <c r="I549" s="49" t="str">
        <f aca="false">IF(AND(ISNUMBER($F549),ISNUMBER($G549),$E549&lt;&gt;"R"),$F549*$G549,"")</f>
        <v/>
      </c>
      <c r="J549" s="51" t="str">
        <f aca="false">IF(AND($E549="A",ISNUMBER($F549),ISNUMBER($G549)),$F549*(1+$G549/30),"")</f>
        <v/>
      </c>
      <c r="K549" s="56"/>
      <c r="L549" s="56"/>
    </row>
    <row r="550" customFormat="false" ht="15.75" hidden="false" customHeight="true" outlineLevel="0" collapsed="false">
      <c r="A550" s="78" t="str">
        <f aca="false">IFERROR(IF($B550="","",IF(INDEX(Einheiten!$B$4:$B$63,MATCH($B550,Einheiten!$A$4:$A$63,0))=0,"",INDEX(Einheiten!$B$4:$B$63,MATCH($B550,Einheiten!$A$4:$A$63,0)))),"")</f>
        <v/>
      </c>
      <c r="B550" s="54"/>
      <c r="C550" s="79" t="str">
        <f aca="false">IFERROR(IF($D550="","",INDEX(Übungen!$B$4:$B$23,MATCH($D550,Übungen!$A$4:$A$23,0))),"")</f>
        <v/>
      </c>
      <c r="D550" s="56"/>
      <c r="E550" s="73"/>
      <c r="F550" s="55"/>
      <c r="G550" s="74"/>
      <c r="H550" s="55"/>
      <c r="I550" s="49" t="str">
        <f aca="false">IF(AND(ISNUMBER($F550),ISNUMBER($G550),$E550&lt;&gt;"R"),$F550*$G550,"")</f>
        <v/>
      </c>
      <c r="J550" s="51" t="str">
        <f aca="false">IF(AND($E550="A",ISNUMBER($F550),ISNUMBER($G550)),$F550*(1+$G550/30),"")</f>
        <v/>
      </c>
      <c r="K550" s="56"/>
      <c r="L550" s="56"/>
    </row>
    <row r="551" customFormat="false" ht="15.75" hidden="false" customHeight="true" outlineLevel="0" collapsed="false">
      <c r="A551" s="78" t="str">
        <f aca="false">IFERROR(IF($B551="","",IF(INDEX(Einheiten!$B$4:$B$63,MATCH($B551,Einheiten!$A$4:$A$63,0))=0,"",INDEX(Einheiten!$B$4:$B$63,MATCH($B551,Einheiten!$A$4:$A$63,0)))),"")</f>
        <v/>
      </c>
      <c r="B551" s="54"/>
      <c r="C551" s="79" t="str">
        <f aca="false">IFERROR(IF($D551="","",INDEX(Übungen!$B$4:$B$23,MATCH($D551,Übungen!$A$4:$A$23,0))),"")</f>
        <v/>
      </c>
      <c r="D551" s="56"/>
      <c r="E551" s="73"/>
      <c r="F551" s="55"/>
      <c r="G551" s="74"/>
      <c r="H551" s="55"/>
      <c r="I551" s="49" t="str">
        <f aca="false">IF(AND(ISNUMBER($F551),ISNUMBER($G551),$E551&lt;&gt;"R"),$F551*$G551,"")</f>
        <v/>
      </c>
      <c r="J551" s="51" t="str">
        <f aca="false">IF(AND($E551="A",ISNUMBER($F551),ISNUMBER($G551)),$F551*(1+$G551/30),"")</f>
        <v/>
      </c>
      <c r="K551" s="56"/>
      <c r="L551" s="56"/>
    </row>
    <row r="552" customFormat="false" ht="15.75" hidden="false" customHeight="true" outlineLevel="0" collapsed="false">
      <c r="A552" s="78" t="str">
        <f aca="false">IFERROR(IF($B552="","",IF(INDEX(Einheiten!$B$4:$B$63,MATCH($B552,Einheiten!$A$4:$A$63,0))=0,"",INDEX(Einheiten!$B$4:$B$63,MATCH($B552,Einheiten!$A$4:$A$63,0)))),"")</f>
        <v/>
      </c>
      <c r="B552" s="54"/>
      <c r="C552" s="79" t="str">
        <f aca="false">IFERROR(IF($D552="","",INDEX(Übungen!$B$4:$B$23,MATCH($D552,Übungen!$A$4:$A$23,0))),"")</f>
        <v/>
      </c>
      <c r="D552" s="56"/>
      <c r="E552" s="73"/>
      <c r="F552" s="55"/>
      <c r="G552" s="74"/>
      <c r="H552" s="55"/>
      <c r="I552" s="49" t="str">
        <f aca="false">IF(AND(ISNUMBER($F552),ISNUMBER($G552),$E552&lt;&gt;"R"),$F552*$G552,"")</f>
        <v/>
      </c>
      <c r="J552" s="51" t="str">
        <f aca="false">IF(AND($E552="A",ISNUMBER($F552),ISNUMBER($G552)),$F552*(1+$G552/30),"")</f>
        <v/>
      </c>
      <c r="K552" s="56"/>
      <c r="L552" s="56"/>
    </row>
    <row r="553" customFormat="false" ht="15.75" hidden="false" customHeight="true" outlineLevel="0" collapsed="false">
      <c r="A553" s="78" t="str">
        <f aca="false">IFERROR(IF($B553="","",IF(INDEX(Einheiten!$B$4:$B$63,MATCH($B553,Einheiten!$A$4:$A$63,0))=0,"",INDEX(Einheiten!$B$4:$B$63,MATCH($B553,Einheiten!$A$4:$A$63,0)))),"")</f>
        <v/>
      </c>
      <c r="B553" s="54"/>
      <c r="C553" s="79" t="str">
        <f aca="false">IFERROR(IF($D553="","",INDEX(Übungen!$B$4:$B$23,MATCH($D553,Übungen!$A$4:$A$23,0))),"")</f>
        <v/>
      </c>
      <c r="D553" s="56"/>
      <c r="E553" s="73"/>
      <c r="F553" s="55"/>
      <c r="G553" s="74"/>
      <c r="H553" s="55"/>
      <c r="I553" s="49" t="str">
        <f aca="false">IF(AND(ISNUMBER($F553),ISNUMBER($G553),$E553&lt;&gt;"R"),$F553*$G553,"")</f>
        <v/>
      </c>
      <c r="J553" s="51" t="str">
        <f aca="false">IF(AND($E553="A",ISNUMBER($F553),ISNUMBER($G553)),$F553*(1+$G553/30),"")</f>
        <v/>
      </c>
      <c r="K553" s="56"/>
      <c r="L553" s="56"/>
    </row>
    <row r="554" customFormat="false" ht="15.75" hidden="false" customHeight="true" outlineLevel="0" collapsed="false">
      <c r="A554" s="78" t="str">
        <f aca="false">IFERROR(IF($B554="","",IF(INDEX(Einheiten!$B$4:$B$63,MATCH($B554,Einheiten!$A$4:$A$63,0))=0,"",INDEX(Einheiten!$B$4:$B$63,MATCH($B554,Einheiten!$A$4:$A$63,0)))),"")</f>
        <v/>
      </c>
      <c r="B554" s="54"/>
      <c r="C554" s="79" t="str">
        <f aca="false">IFERROR(IF($D554="","",INDEX(Übungen!$B$4:$B$23,MATCH($D554,Übungen!$A$4:$A$23,0))),"")</f>
        <v/>
      </c>
      <c r="D554" s="56"/>
      <c r="E554" s="73"/>
      <c r="F554" s="55"/>
      <c r="G554" s="74"/>
      <c r="H554" s="55"/>
      <c r="I554" s="49" t="str">
        <f aca="false">IF(AND(ISNUMBER($F554),ISNUMBER($G554),$E554&lt;&gt;"R"),$F554*$G554,"")</f>
        <v/>
      </c>
      <c r="J554" s="51" t="str">
        <f aca="false">IF(AND($E554="A",ISNUMBER($F554),ISNUMBER($G554)),$F554*(1+$G554/30),"")</f>
        <v/>
      </c>
      <c r="K554" s="56"/>
      <c r="L554" s="56"/>
    </row>
    <row r="555" customFormat="false" ht="15.75" hidden="false" customHeight="true" outlineLevel="0" collapsed="false">
      <c r="A555" s="78" t="str">
        <f aca="false">IFERROR(IF($B555="","",IF(INDEX(Einheiten!$B$4:$B$63,MATCH($B555,Einheiten!$A$4:$A$63,0))=0,"",INDEX(Einheiten!$B$4:$B$63,MATCH($B555,Einheiten!$A$4:$A$63,0)))),"")</f>
        <v/>
      </c>
      <c r="B555" s="54"/>
      <c r="C555" s="79" t="str">
        <f aca="false">IFERROR(IF($D555="","",INDEX(Übungen!$B$4:$B$23,MATCH($D555,Übungen!$A$4:$A$23,0))),"")</f>
        <v/>
      </c>
      <c r="D555" s="56"/>
      <c r="E555" s="73"/>
      <c r="F555" s="55"/>
      <c r="G555" s="74"/>
      <c r="H555" s="55"/>
      <c r="I555" s="49" t="str">
        <f aca="false">IF(AND(ISNUMBER($F555),ISNUMBER($G555),$E555&lt;&gt;"R"),$F555*$G555,"")</f>
        <v/>
      </c>
      <c r="J555" s="51" t="str">
        <f aca="false">IF(AND($E555="A",ISNUMBER($F555),ISNUMBER($G555)),$F555*(1+$G555/30),"")</f>
        <v/>
      </c>
      <c r="K555" s="56"/>
      <c r="L555" s="56"/>
    </row>
    <row r="556" customFormat="false" ht="15.75" hidden="false" customHeight="true" outlineLevel="0" collapsed="false">
      <c r="A556" s="78" t="str">
        <f aca="false">IFERROR(IF($B556="","",IF(INDEX(Einheiten!$B$4:$B$63,MATCH($B556,Einheiten!$A$4:$A$63,0))=0,"",INDEX(Einheiten!$B$4:$B$63,MATCH($B556,Einheiten!$A$4:$A$63,0)))),"")</f>
        <v/>
      </c>
      <c r="B556" s="54"/>
      <c r="C556" s="79" t="str">
        <f aca="false">IFERROR(IF($D556="","",INDEX(Übungen!$B$4:$B$23,MATCH($D556,Übungen!$A$4:$A$23,0))),"")</f>
        <v/>
      </c>
      <c r="D556" s="56"/>
      <c r="E556" s="73"/>
      <c r="F556" s="55"/>
      <c r="G556" s="74"/>
      <c r="H556" s="55"/>
      <c r="I556" s="49" t="str">
        <f aca="false">IF(AND(ISNUMBER($F556),ISNUMBER($G556),$E556&lt;&gt;"R"),$F556*$G556,"")</f>
        <v/>
      </c>
      <c r="J556" s="51" t="str">
        <f aca="false">IF(AND($E556="A",ISNUMBER($F556),ISNUMBER($G556)),$F556*(1+$G556/30),"")</f>
        <v/>
      </c>
      <c r="K556" s="56"/>
      <c r="L556" s="56"/>
    </row>
    <row r="557" customFormat="false" ht="15.75" hidden="false" customHeight="true" outlineLevel="0" collapsed="false">
      <c r="A557" s="78" t="str">
        <f aca="false">IFERROR(IF($B557="","",IF(INDEX(Einheiten!$B$4:$B$63,MATCH($B557,Einheiten!$A$4:$A$63,0))=0,"",INDEX(Einheiten!$B$4:$B$63,MATCH($B557,Einheiten!$A$4:$A$63,0)))),"")</f>
        <v/>
      </c>
      <c r="B557" s="54"/>
      <c r="C557" s="79" t="str">
        <f aca="false">IFERROR(IF($D557="","",INDEX(Übungen!$B$4:$B$23,MATCH($D557,Übungen!$A$4:$A$23,0))),"")</f>
        <v/>
      </c>
      <c r="D557" s="56"/>
      <c r="E557" s="73"/>
      <c r="F557" s="55"/>
      <c r="G557" s="74"/>
      <c r="H557" s="55"/>
      <c r="I557" s="49" t="str">
        <f aca="false">IF(AND(ISNUMBER($F557),ISNUMBER($G557),$E557&lt;&gt;"R"),$F557*$G557,"")</f>
        <v/>
      </c>
      <c r="J557" s="51" t="str">
        <f aca="false">IF(AND($E557="A",ISNUMBER($F557),ISNUMBER($G557)),$F557*(1+$G557/30),"")</f>
        <v/>
      </c>
      <c r="K557" s="56"/>
      <c r="L557" s="56"/>
    </row>
    <row r="558" customFormat="false" ht="15.75" hidden="false" customHeight="true" outlineLevel="0" collapsed="false">
      <c r="A558" s="78" t="str">
        <f aca="false">IFERROR(IF($B558="","",IF(INDEX(Einheiten!$B$4:$B$63,MATCH($B558,Einheiten!$A$4:$A$63,0))=0,"",INDEX(Einheiten!$B$4:$B$63,MATCH($B558,Einheiten!$A$4:$A$63,0)))),"")</f>
        <v/>
      </c>
      <c r="B558" s="54"/>
      <c r="C558" s="79" t="str">
        <f aca="false">IFERROR(IF($D558="","",INDEX(Übungen!$B$4:$B$23,MATCH($D558,Übungen!$A$4:$A$23,0))),"")</f>
        <v/>
      </c>
      <c r="D558" s="56"/>
      <c r="E558" s="73"/>
      <c r="F558" s="55"/>
      <c r="G558" s="74"/>
      <c r="H558" s="55"/>
      <c r="I558" s="49" t="str">
        <f aca="false">IF(AND(ISNUMBER($F558),ISNUMBER($G558),$E558&lt;&gt;"R"),$F558*$G558,"")</f>
        <v/>
      </c>
      <c r="J558" s="51" t="str">
        <f aca="false">IF(AND($E558="A",ISNUMBER($F558),ISNUMBER($G558)),$F558*(1+$G558/30),"")</f>
        <v/>
      </c>
      <c r="K558" s="56"/>
      <c r="L558" s="56"/>
    </row>
    <row r="559" customFormat="false" ht="15.75" hidden="false" customHeight="true" outlineLevel="0" collapsed="false">
      <c r="A559" s="78" t="str">
        <f aca="false">IFERROR(IF($B559="","",IF(INDEX(Einheiten!$B$4:$B$63,MATCH($B559,Einheiten!$A$4:$A$63,0))=0,"",INDEX(Einheiten!$B$4:$B$63,MATCH($B559,Einheiten!$A$4:$A$63,0)))),"")</f>
        <v/>
      </c>
      <c r="B559" s="54"/>
      <c r="C559" s="79" t="str">
        <f aca="false">IFERROR(IF($D559="","",INDEX(Übungen!$B$4:$B$23,MATCH($D559,Übungen!$A$4:$A$23,0))),"")</f>
        <v/>
      </c>
      <c r="D559" s="56"/>
      <c r="E559" s="73"/>
      <c r="F559" s="55"/>
      <c r="G559" s="74"/>
      <c r="H559" s="55"/>
      <c r="I559" s="49" t="str">
        <f aca="false">IF(AND(ISNUMBER($F559),ISNUMBER($G559),$E559&lt;&gt;"R"),$F559*$G559,"")</f>
        <v/>
      </c>
      <c r="J559" s="51" t="str">
        <f aca="false">IF(AND($E559="A",ISNUMBER($F559),ISNUMBER($G559)),$F559*(1+$G559/30),"")</f>
        <v/>
      </c>
      <c r="K559" s="56"/>
      <c r="L559" s="56"/>
    </row>
    <row r="560" customFormat="false" ht="15.75" hidden="false" customHeight="true" outlineLevel="0" collapsed="false">
      <c r="A560" s="78" t="str">
        <f aca="false">IFERROR(IF($B560="","",IF(INDEX(Einheiten!$B$4:$B$63,MATCH($B560,Einheiten!$A$4:$A$63,0))=0,"",INDEX(Einheiten!$B$4:$B$63,MATCH($B560,Einheiten!$A$4:$A$63,0)))),"")</f>
        <v/>
      </c>
      <c r="B560" s="54"/>
      <c r="C560" s="79" t="str">
        <f aca="false">IFERROR(IF($D560="","",INDEX(Übungen!$B$4:$B$23,MATCH($D560,Übungen!$A$4:$A$23,0))),"")</f>
        <v/>
      </c>
      <c r="D560" s="56"/>
      <c r="E560" s="73"/>
      <c r="F560" s="55"/>
      <c r="G560" s="74"/>
      <c r="H560" s="55"/>
      <c r="I560" s="49" t="str">
        <f aca="false">IF(AND(ISNUMBER($F560),ISNUMBER($G560),$E560&lt;&gt;"R"),$F560*$G560,"")</f>
        <v/>
      </c>
      <c r="J560" s="51" t="str">
        <f aca="false">IF(AND($E560="A",ISNUMBER($F560),ISNUMBER($G560)),$F560*(1+$G560/30),"")</f>
        <v/>
      </c>
      <c r="K560" s="56"/>
      <c r="L560" s="56"/>
    </row>
    <row r="561" customFormat="false" ht="15.75" hidden="false" customHeight="true" outlineLevel="0" collapsed="false">
      <c r="A561" s="78" t="str">
        <f aca="false">IFERROR(IF($B561="","",IF(INDEX(Einheiten!$B$4:$B$63,MATCH($B561,Einheiten!$A$4:$A$63,0))=0,"",INDEX(Einheiten!$B$4:$B$63,MATCH($B561,Einheiten!$A$4:$A$63,0)))),"")</f>
        <v/>
      </c>
      <c r="B561" s="54"/>
      <c r="C561" s="79" t="str">
        <f aca="false">IFERROR(IF($D561="","",INDEX(Übungen!$B$4:$B$23,MATCH($D561,Übungen!$A$4:$A$23,0))),"")</f>
        <v/>
      </c>
      <c r="D561" s="56"/>
      <c r="E561" s="73"/>
      <c r="F561" s="55"/>
      <c r="G561" s="74"/>
      <c r="H561" s="55"/>
      <c r="I561" s="49" t="str">
        <f aca="false">IF(AND(ISNUMBER($F561),ISNUMBER($G561),$E561&lt;&gt;"R"),$F561*$G561,"")</f>
        <v/>
      </c>
      <c r="J561" s="51" t="str">
        <f aca="false">IF(AND($E561="A",ISNUMBER($F561),ISNUMBER($G561)),$F561*(1+$G561/30),"")</f>
        <v/>
      </c>
      <c r="K561" s="56"/>
      <c r="L561" s="56"/>
    </row>
    <row r="562" customFormat="false" ht="15.75" hidden="false" customHeight="true" outlineLevel="0" collapsed="false">
      <c r="A562" s="78" t="str">
        <f aca="false">IFERROR(IF($B562="","",IF(INDEX(Einheiten!$B$4:$B$63,MATCH($B562,Einheiten!$A$4:$A$63,0))=0,"",INDEX(Einheiten!$B$4:$B$63,MATCH($B562,Einheiten!$A$4:$A$63,0)))),"")</f>
        <v/>
      </c>
      <c r="B562" s="54"/>
      <c r="C562" s="79" t="str">
        <f aca="false">IFERROR(IF($D562="","",INDEX(Übungen!$B$4:$B$23,MATCH($D562,Übungen!$A$4:$A$23,0))),"")</f>
        <v/>
      </c>
      <c r="D562" s="56"/>
      <c r="E562" s="73"/>
      <c r="F562" s="55"/>
      <c r="G562" s="74"/>
      <c r="H562" s="55"/>
      <c r="I562" s="49" t="str">
        <f aca="false">IF(AND(ISNUMBER($F562),ISNUMBER($G562),$E562&lt;&gt;"R"),$F562*$G562,"")</f>
        <v/>
      </c>
      <c r="J562" s="51" t="str">
        <f aca="false">IF(AND($E562="A",ISNUMBER($F562),ISNUMBER($G562)),$F562*(1+$G562/30),"")</f>
        <v/>
      </c>
      <c r="K562" s="56"/>
      <c r="L562" s="56"/>
    </row>
    <row r="563" customFormat="false" ht="15.75" hidden="false" customHeight="true" outlineLevel="0" collapsed="false">
      <c r="A563" s="78" t="str">
        <f aca="false">IFERROR(IF($B563="","",IF(INDEX(Einheiten!$B$4:$B$63,MATCH($B563,Einheiten!$A$4:$A$63,0))=0,"",INDEX(Einheiten!$B$4:$B$63,MATCH($B563,Einheiten!$A$4:$A$63,0)))),"")</f>
        <v/>
      </c>
      <c r="B563" s="54"/>
      <c r="C563" s="79" t="str">
        <f aca="false">IFERROR(IF($D563="","",INDEX(Übungen!$B$4:$B$23,MATCH($D563,Übungen!$A$4:$A$23,0))),"")</f>
        <v/>
      </c>
      <c r="D563" s="56"/>
      <c r="E563" s="73"/>
      <c r="F563" s="55"/>
      <c r="G563" s="74"/>
      <c r="H563" s="55"/>
      <c r="I563" s="49" t="str">
        <f aca="false">IF(AND(ISNUMBER($F563),ISNUMBER($G563),$E563&lt;&gt;"R"),$F563*$G563,"")</f>
        <v/>
      </c>
      <c r="J563" s="51" t="str">
        <f aca="false">IF(AND($E563="A",ISNUMBER($F563),ISNUMBER($G563)),$F563*(1+$G563/30),"")</f>
        <v/>
      </c>
      <c r="K563" s="56"/>
      <c r="L563" s="56"/>
    </row>
    <row r="564" customFormat="false" ht="15.75" hidden="false" customHeight="true" outlineLevel="0" collapsed="false">
      <c r="A564" s="78" t="str">
        <f aca="false">IFERROR(IF($B564="","",IF(INDEX(Einheiten!$B$4:$B$63,MATCH($B564,Einheiten!$A$4:$A$63,0))=0,"",INDEX(Einheiten!$B$4:$B$63,MATCH($B564,Einheiten!$A$4:$A$63,0)))),"")</f>
        <v/>
      </c>
      <c r="B564" s="54"/>
      <c r="C564" s="79" t="str">
        <f aca="false">IFERROR(IF($D564="","",INDEX(Übungen!$B$4:$B$23,MATCH($D564,Übungen!$A$4:$A$23,0))),"")</f>
        <v/>
      </c>
      <c r="D564" s="56"/>
      <c r="E564" s="73"/>
      <c r="F564" s="55"/>
      <c r="G564" s="74"/>
      <c r="H564" s="55"/>
      <c r="I564" s="49" t="str">
        <f aca="false">IF(AND(ISNUMBER($F564),ISNUMBER($G564),$E564&lt;&gt;"R"),$F564*$G564,"")</f>
        <v/>
      </c>
      <c r="J564" s="51" t="str">
        <f aca="false">IF(AND($E564="A",ISNUMBER($F564),ISNUMBER($G564)),$F564*(1+$G564/30),"")</f>
        <v/>
      </c>
      <c r="K564" s="56"/>
      <c r="L564" s="56"/>
    </row>
    <row r="565" customFormat="false" ht="15.75" hidden="false" customHeight="true" outlineLevel="0" collapsed="false">
      <c r="A565" s="78" t="str">
        <f aca="false">IFERROR(IF($B565="","",IF(INDEX(Einheiten!$B$4:$B$63,MATCH($B565,Einheiten!$A$4:$A$63,0))=0,"",INDEX(Einheiten!$B$4:$B$63,MATCH($B565,Einheiten!$A$4:$A$63,0)))),"")</f>
        <v/>
      </c>
      <c r="B565" s="54"/>
      <c r="C565" s="79" t="str">
        <f aca="false">IFERROR(IF($D565="","",INDEX(Übungen!$B$4:$B$23,MATCH($D565,Übungen!$A$4:$A$23,0))),"")</f>
        <v/>
      </c>
      <c r="D565" s="56"/>
      <c r="E565" s="73"/>
      <c r="F565" s="55"/>
      <c r="G565" s="74"/>
      <c r="H565" s="55"/>
      <c r="I565" s="49" t="str">
        <f aca="false">IF(AND(ISNUMBER($F565),ISNUMBER($G565),$E565&lt;&gt;"R"),$F565*$G565,"")</f>
        <v/>
      </c>
      <c r="J565" s="51" t="str">
        <f aca="false">IF(AND($E565="A",ISNUMBER($F565),ISNUMBER($G565)),$F565*(1+$G565/30),"")</f>
        <v/>
      </c>
      <c r="K565" s="56"/>
      <c r="L565" s="56"/>
    </row>
    <row r="566" customFormat="false" ht="15.75" hidden="false" customHeight="true" outlineLevel="0" collapsed="false">
      <c r="A566" s="78" t="str">
        <f aca="false">IFERROR(IF($B566="","",IF(INDEX(Einheiten!$B$4:$B$63,MATCH($B566,Einheiten!$A$4:$A$63,0))=0,"",INDEX(Einheiten!$B$4:$B$63,MATCH($B566,Einheiten!$A$4:$A$63,0)))),"")</f>
        <v/>
      </c>
      <c r="B566" s="54"/>
      <c r="C566" s="79" t="str">
        <f aca="false">IFERROR(IF($D566="","",INDEX(Übungen!$B$4:$B$23,MATCH($D566,Übungen!$A$4:$A$23,0))),"")</f>
        <v/>
      </c>
      <c r="D566" s="56"/>
      <c r="E566" s="73"/>
      <c r="F566" s="55"/>
      <c r="G566" s="74"/>
      <c r="H566" s="55"/>
      <c r="I566" s="49" t="str">
        <f aca="false">IF(AND(ISNUMBER($F566),ISNUMBER($G566),$E566&lt;&gt;"R"),$F566*$G566,"")</f>
        <v/>
      </c>
      <c r="J566" s="51" t="str">
        <f aca="false">IF(AND($E566="A",ISNUMBER($F566),ISNUMBER($G566)),$F566*(1+$G566/30),"")</f>
        <v/>
      </c>
      <c r="K566" s="56"/>
      <c r="L566" s="56"/>
    </row>
    <row r="567" customFormat="false" ht="15.75" hidden="false" customHeight="true" outlineLevel="0" collapsed="false">
      <c r="A567" s="78" t="str">
        <f aca="false">IFERROR(IF($B567="","",IF(INDEX(Einheiten!$B$4:$B$63,MATCH($B567,Einheiten!$A$4:$A$63,0))=0,"",INDEX(Einheiten!$B$4:$B$63,MATCH($B567,Einheiten!$A$4:$A$63,0)))),"")</f>
        <v/>
      </c>
      <c r="B567" s="54"/>
      <c r="C567" s="79" t="str">
        <f aca="false">IFERROR(IF($D567="","",INDEX(Übungen!$B$4:$B$23,MATCH($D567,Übungen!$A$4:$A$23,0))),"")</f>
        <v/>
      </c>
      <c r="D567" s="56"/>
      <c r="E567" s="73"/>
      <c r="F567" s="55"/>
      <c r="G567" s="74"/>
      <c r="H567" s="55"/>
      <c r="I567" s="49" t="str">
        <f aca="false">IF(AND(ISNUMBER($F567),ISNUMBER($G567),$E567&lt;&gt;"R"),$F567*$G567,"")</f>
        <v/>
      </c>
      <c r="J567" s="51" t="str">
        <f aca="false">IF(AND($E567="A",ISNUMBER($F567),ISNUMBER($G567)),$F567*(1+$G567/30),"")</f>
        <v/>
      </c>
      <c r="K567" s="56"/>
      <c r="L567" s="56"/>
    </row>
    <row r="568" customFormat="false" ht="15.75" hidden="false" customHeight="true" outlineLevel="0" collapsed="false">
      <c r="A568" s="78" t="str">
        <f aca="false">IFERROR(IF($B568="","",IF(INDEX(Einheiten!$B$4:$B$63,MATCH($B568,Einheiten!$A$4:$A$63,0))=0,"",INDEX(Einheiten!$B$4:$B$63,MATCH($B568,Einheiten!$A$4:$A$63,0)))),"")</f>
        <v/>
      </c>
      <c r="B568" s="54"/>
      <c r="C568" s="79" t="str">
        <f aca="false">IFERROR(IF($D568="","",INDEX(Übungen!$B$4:$B$23,MATCH($D568,Übungen!$A$4:$A$23,0))),"")</f>
        <v/>
      </c>
      <c r="D568" s="56"/>
      <c r="E568" s="73"/>
      <c r="F568" s="55"/>
      <c r="G568" s="74"/>
      <c r="H568" s="55"/>
      <c r="I568" s="49" t="str">
        <f aca="false">IF(AND(ISNUMBER($F568),ISNUMBER($G568),$E568&lt;&gt;"R"),$F568*$G568,"")</f>
        <v/>
      </c>
      <c r="J568" s="51" t="str">
        <f aca="false">IF(AND($E568="A",ISNUMBER($F568),ISNUMBER($G568)),$F568*(1+$G568/30),"")</f>
        <v/>
      </c>
      <c r="K568" s="56"/>
      <c r="L568" s="56"/>
    </row>
    <row r="569" customFormat="false" ht="15.75" hidden="false" customHeight="true" outlineLevel="0" collapsed="false">
      <c r="A569" s="78" t="str">
        <f aca="false">IFERROR(IF($B569="","",IF(INDEX(Einheiten!$B$4:$B$63,MATCH($B569,Einheiten!$A$4:$A$63,0))=0,"",INDEX(Einheiten!$B$4:$B$63,MATCH($B569,Einheiten!$A$4:$A$63,0)))),"")</f>
        <v/>
      </c>
      <c r="B569" s="54"/>
      <c r="C569" s="79" t="str">
        <f aca="false">IFERROR(IF($D569="","",INDEX(Übungen!$B$4:$B$23,MATCH($D569,Übungen!$A$4:$A$23,0))),"")</f>
        <v/>
      </c>
      <c r="D569" s="56"/>
      <c r="E569" s="73"/>
      <c r="F569" s="55"/>
      <c r="G569" s="74"/>
      <c r="H569" s="55"/>
      <c r="I569" s="49" t="str">
        <f aca="false">IF(AND(ISNUMBER($F569),ISNUMBER($G569),$E569&lt;&gt;"R"),$F569*$G569,"")</f>
        <v/>
      </c>
      <c r="J569" s="51" t="str">
        <f aca="false">IF(AND($E569="A",ISNUMBER($F569),ISNUMBER($G569)),$F569*(1+$G569/30),"")</f>
        <v/>
      </c>
      <c r="K569" s="56"/>
      <c r="L569" s="56"/>
    </row>
    <row r="570" customFormat="false" ht="15.75" hidden="false" customHeight="true" outlineLevel="0" collapsed="false">
      <c r="A570" s="78" t="str">
        <f aca="false">IFERROR(IF($B570="","",IF(INDEX(Einheiten!$B$4:$B$63,MATCH($B570,Einheiten!$A$4:$A$63,0))=0,"",INDEX(Einheiten!$B$4:$B$63,MATCH($B570,Einheiten!$A$4:$A$63,0)))),"")</f>
        <v/>
      </c>
      <c r="B570" s="54"/>
      <c r="C570" s="79" t="str">
        <f aca="false">IFERROR(IF($D570="","",INDEX(Übungen!$B$4:$B$23,MATCH($D570,Übungen!$A$4:$A$23,0))),"")</f>
        <v/>
      </c>
      <c r="D570" s="56"/>
      <c r="E570" s="73"/>
      <c r="F570" s="55"/>
      <c r="G570" s="74"/>
      <c r="H570" s="55"/>
      <c r="I570" s="49" t="str">
        <f aca="false">IF(AND(ISNUMBER($F570),ISNUMBER($G570),$E570&lt;&gt;"R"),$F570*$G570,"")</f>
        <v/>
      </c>
      <c r="J570" s="51" t="str">
        <f aca="false">IF(AND($E570="A",ISNUMBER($F570),ISNUMBER($G570)),$F570*(1+$G570/30),"")</f>
        <v/>
      </c>
      <c r="K570" s="56"/>
      <c r="L570" s="56"/>
    </row>
    <row r="571" customFormat="false" ht="15.75" hidden="false" customHeight="true" outlineLevel="0" collapsed="false">
      <c r="A571" s="78" t="str">
        <f aca="false">IFERROR(IF($B571="","",IF(INDEX(Einheiten!$B$4:$B$63,MATCH($B571,Einheiten!$A$4:$A$63,0))=0,"",INDEX(Einheiten!$B$4:$B$63,MATCH($B571,Einheiten!$A$4:$A$63,0)))),"")</f>
        <v/>
      </c>
      <c r="B571" s="54"/>
      <c r="C571" s="79" t="str">
        <f aca="false">IFERROR(IF($D571="","",INDEX(Übungen!$B$4:$B$23,MATCH($D571,Übungen!$A$4:$A$23,0))),"")</f>
        <v/>
      </c>
      <c r="D571" s="56"/>
      <c r="E571" s="73"/>
      <c r="F571" s="55"/>
      <c r="G571" s="74"/>
      <c r="H571" s="55"/>
      <c r="I571" s="49" t="str">
        <f aca="false">IF(AND(ISNUMBER($F571),ISNUMBER($G571),$E571&lt;&gt;"R"),$F571*$G571,"")</f>
        <v/>
      </c>
      <c r="J571" s="51" t="str">
        <f aca="false">IF(AND($E571="A",ISNUMBER($F571),ISNUMBER($G571)),$F571*(1+$G571/30),"")</f>
        <v/>
      </c>
      <c r="K571" s="56"/>
      <c r="L571" s="56"/>
    </row>
    <row r="572" customFormat="false" ht="15.75" hidden="false" customHeight="true" outlineLevel="0" collapsed="false">
      <c r="A572" s="78" t="str">
        <f aca="false">IFERROR(IF($B572="","",IF(INDEX(Einheiten!$B$4:$B$63,MATCH($B572,Einheiten!$A$4:$A$63,0))=0,"",INDEX(Einheiten!$B$4:$B$63,MATCH($B572,Einheiten!$A$4:$A$63,0)))),"")</f>
        <v/>
      </c>
      <c r="B572" s="54"/>
      <c r="C572" s="79" t="str">
        <f aca="false">IFERROR(IF($D572="","",INDEX(Übungen!$B$4:$B$23,MATCH($D572,Übungen!$A$4:$A$23,0))),"")</f>
        <v/>
      </c>
      <c r="D572" s="56"/>
      <c r="E572" s="73"/>
      <c r="F572" s="55"/>
      <c r="G572" s="74"/>
      <c r="H572" s="55"/>
      <c r="I572" s="49" t="str">
        <f aca="false">IF(AND(ISNUMBER($F572),ISNUMBER($G572),$E572&lt;&gt;"R"),$F572*$G572,"")</f>
        <v/>
      </c>
      <c r="J572" s="51" t="str">
        <f aca="false">IF(AND($E572="A",ISNUMBER($F572),ISNUMBER($G572)),$F572*(1+$G572/30),"")</f>
        <v/>
      </c>
      <c r="K572" s="56"/>
      <c r="L572" s="56"/>
    </row>
    <row r="573" customFormat="false" ht="15.75" hidden="false" customHeight="true" outlineLevel="0" collapsed="false">
      <c r="A573" s="78" t="str">
        <f aca="false">IFERROR(IF($B573="","",IF(INDEX(Einheiten!$B$4:$B$63,MATCH($B573,Einheiten!$A$4:$A$63,0))=0,"",INDEX(Einheiten!$B$4:$B$63,MATCH($B573,Einheiten!$A$4:$A$63,0)))),"")</f>
        <v/>
      </c>
      <c r="B573" s="54"/>
      <c r="C573" s="79" t="str">
        <f aca="false">IFERROR(IF($D573="","",INDEX(Übungen!$B$4:$B$23,MATCH($D573,Übungen!$A$4:$A$23,0))),"")</f>
        <v/>
      </c>
      <c r="D573" s="56"/>
      <c r="E573" s="73"/>
      <c r="F573" s="55"/>
      <c r="G573" s="74"/>
      <c r="H573" s="55"/>
      <c r="I573" s="49" t="str">
        <f aca="false">IF(AND(ISNUMBER($F573),ISNUMBER($G573),$E573&lt;&gt;"R"),$F573*$G573,"")</f>
        <v/>
      </c>
      <c r="J573" s="51" t="str">
        <f aca="false">IF(AND($E573="A",ISNUMBER($F573),ISNUMBER($G573)),$F573*(1+$G573/30),"")</f>
        <v/>
      </c>
      <c r="K573" s="56"/>
      <c r="L573" s="56"/>
    </row>
    <row r="574" customFormat="false" ht="15.75" hidden="false" customHeight="true" outlineLevel="0" collapsed="false">
      <c r="A574" s="78" t="str">
        <f aca="false">IFERROR(IF($B574="","",IF(INDEX(Einheiten!$B$4:$B$63,MATCH($B574,Einheiten!$A$4:$A$63,0))=0,"",INDEX(Einheiten!$B$4:$B$63,MATCH($B574,Einheiten!$A$4:$A$63,0)))),"")</f>
        <v/>
      </c>
      <c r="B574" s="54"/>
      <c r="C574" s="79" t="str">
        <f aca="false">IFERROR(IF($D574="","",INDEX(Übungen!$B$4:$B$23,MATCH($D574,Übungen!$A$4:$A$23,0))),"")</f>
        <v/>
      </c>
      <c r="D574" s="56"/>
      <c r="E574" s="73"/>
      <c r="F574" s="55"/>
      <c r="G574" s="74"/>
      <c r="H574" s="55"/>
      <c r="I574" s="49" t="str">
        <f aca="false">IF(AND(ISNUMBER($F574),ISNUMBER($G574),$E574&lt;&gt;"R"),$F574*$G574,"")</f>
        <v/>
      </c>
      <c r="J574" s="51" t="str">
        <f aca="false">IF(AND($E574="A",ISNUMBER($F574),ISNUMBER($G574)),$F574*(1+$G574/30),"")</f>
        <v/>
      </c>
      <c r="K574" s="56"/>
      <c r="L574" s="56"/>
    </row>
    <row r="575" customFormat="false" ht="15.75" hidden="false" customHeight="true" outlineLevel="0" collapsed="false">
      <c r="A575" s="78" t="str">
        <f aca="false">IFERROR(IF($B575="","",IF(INDEX(Einheiten!$B$4:$B$63,MATCH($B575,Einheiten!$A$4:$A$63,0))=0,"",INDEX(Einheiten!$B$4:$B$63,MATCH($B575,Einheiten!$A$4:$A$63,0)))),"")</f>
        <v/>
      </c>
      <c r="B575" s="54"/>
      <c r="C575" s="79" t="str">
        <f aca="false">IFERROR(IF($D575="","",INDEX(Übungen!$B$4:$B$23,MATCH($D575,Übungen!$A$4:$A$23,0))),"")</f>
        <v/>
      </c>
      <c r="D575" s="56"/>
      <c r="E575" s="73"/>
      <c r="F575" s="55"/>
      <c r="G575" s="74"/>
      <c r="H575" s="55"/>
      <c r="I575" s="49" t="str">
        <f aca="false">IF(AND(ISNUMBER($F575),ISNUMBER($G575),$E575&lt;&gt;"R"),$F575*$G575,"")</f>
        <v/>
      </c>
      <c r="J575" s="51" t="str">
        <f aca="false">IF(AND($E575="A",ISNUMBER($F575),ISNUMBER($G575)),$F575*(1+$G575/30),"")</f>
        <v/>
      </c>
      <c r="K575" s="56"/>
      <c r="L575" s="56"/>
    </row>
    <row r="576" customFormat="false" ht="15.75" hidden="false" customHeight="true" outlineLevel="0" collapsed="false">
      <c r="A576" s="78" t="str">
        <f aca="false">IFERROR(IF($B576="","",IF(INDEX(Einheiten!$B$4:$B$63,MATCH($B576,Einheiten!$A$4:$A$63,0))=0,"",INDEX(Einheiten!$B$4:$B$63,MATCH($B576,Einheiten!$A$4:$A$63,0)))),"")</f>
        <v/>
      </c>
      <c r="B576" s="54"/>
      <c r="C576" s="79" t="str">
        <f aca="false">IFERROR(IF($D576="","",INDEX(Übungen!$B$4:$B$23,MATCH($D576,Übungen!$A$4:$A$23,0))),"")</f>
        <v/>
      </c>
      <c r="D576" s="56"/>
      <c r="E576" s="73"/>
      <c r="F576" s="55"/>
      <c r="G576" s="74"/>
      <c r="H576" s="55"/>
      <c r="I576" s="49" t="str">
        <f aca="false">IF(AND(ISNUMBER($F576),ISNUMBER($G576),$E576&lt;&gt;"R"),$F576*$G576,"")</f>
        <v/>
      </c>
      <c r="J576" s="51" t="str">
        <f aca="false">IF(AND($E576="A",ISNUMBER($F576),ISNUMBER($G576)),$F576*(1+$G576/30),"")</f>
        <v/>
      </c>
      <c r="K576" s="56"/>
      <c r="L576" s="56"/>
    </row>
    <row r="577" customFormat="false" ht="15.75" hidden="false" customHeight="true" outlineLevel="0" collapsed="false">
      <c r="A577" s="78" t="str">
        <f aca="false">IFERROR(IF($B577="","",IF(INDEX(Einheiten!$B$4:$B$63,MATCH($B577,Einheiten!$A$4:$A$63,0))=0,"",INDEX(Einheiten!$B$4:$B$63,MATCH($B577,Einheiten!$A$4:$A$63,0)))),"")</f>
        <v/>
      </c>
      <c r="B577" s="54"/>
      <c r="C577" s="79" t="str">
        <f aca="false">IFERROR(IF($D577="","",INDEX(Übungen!$B$4:$B$23,MATCH($D577,Übungen!$A$4:$A$23,0))),"")</f>
        <v/>
      </c>
      <c r="D577" s="56"/>
      <c r="E577" s="73"/>
      <c r="F577" s="55"/>
      <c r="G577" s="74"/>
      <c r="H577" s="55"/>
      <c r="I577" s="49" t="str">
        <f aca="false">IF(AND(ISNUMBER($F577),ISNUMBER($G577),$E577&lt;&gt;"R"),$F577*$G577,"")</f>
        <v/>
      </c>
      <c r="J577" s="51" t="str">
        <f aca="false">IF(AND($E577="A",ISNUMBER($F577),ISNUMBER($G577)),$F577*(1+$G577/30),"")</f>
        <v/>
      </c>
      <c r="K577" s="56"/>
      <c r="L577" s="56"/>
    </row>
    <row r="578" customFormat="false" ht="15.75" hidden="false" customHeight="true" outlineLevel="0" collapsed="false">
      <c r="A578" s="78" t="str">
        <f aca="false">IFERROR(IF($B578="","",IF(INDEX(Einheiten!$B$4:$B$63,MATCH($B578,Einheiten!$A$4:$A$63,0))=0,"",INDEX(Einheiten!$B$4:$B$63,MATCH($B578,Einheiten!$A$4:$A$63,0)))),"")</f>
        <v/>
      </c>
      <c r="B578" s="54"/>
      <c r="C578" s="79" t="str">
        <f aca="false">IFERROR(IF($D578="","",INDEX(Übungen!$B$4:$B$23,MATCH($D578,Übungen!$A$4:$A$23,0))),"")</f>
        <v/>
      </c>
      <c r="D578" s="56"/>
      <c r="E578" s="73"/>
      <c r="F578" s="55"/>
      <c r="G578" s="74"/>
      <c r="H578" s="55"/>
      <c r="I578" s="49" t="str">
        <f aca="false">IF(AND(ISNUMBER($F578),ISNUMBER($G578),$E578&lt;&gt;"R"),$F578*$G578,"")</f>
        <v/>
      </c>
      <c r="J578" s="51" t="str">
        <f aca="false">IF(AND($E578="A",ISNUMBER($F578),ISNUMBER($G578)),$F578*(1+$G578/30),"")</f>
        <v/>
      </c>
      <c r="K578" s="56"/>
      <c r="L578" s="56"/>
    </row>
    <row r="579" customFormat="false" ht="15.75" hidden="false" customHeight="true" outlineLevel="0" collapsed="false">
      <c r="A579" s="78" t="str">
        <f aca="false">IFERROR(IF($B579="","",IF(INDEX(Einheiten!$B$4:$B$63,MATCH($B579,Einheiten!$A$4:$A$63,0))=0,"",INDEX(Einheiten!$B$4:$B$63,MATCH($B579,Einheiten!$A$4:$A$63,0)))),"")</f>
        <v/>
      </c>
      <c r="B579" s="54"/>
      <c r="C579" s="79" t="str">
        <f aca="false">IFERROR(IF($D579="","",INDEX(Übungen!$B$4:$B$23,MATCH($D579,Übungen!$A$4:$A$23,0))),"")</f>
        <v/>
      </c>
      <c r="D579" s="56"/>
      <c r="E579" s="73"/>
      <c r="F579" s="55"/>
      <c r="G579" s="74"/>
      <c r="H579" s="55"/>
      <c r="I579" s="49" t="str">
        <f aca="false">IF(AND(ISNUMBER($F579),ISNUMBER($G579),$E579&lt;&gt;"R"),$F579*$G579,"")</f>
        <v/>
      </c>
      <c r="J579" s="51" t="str">
        <f aca="false">IF(AND($E579="A",ISNUMBER($F579),ISNUMBER($G579)),$F579*(1+$G579/30),"")</f>
        <v/>
      </c>
      <c r="K579" s="56"/>
      <c r="L579" s="56"/>
    </row>
    <row r="580" customFormat="false" ht="15.75" hidden="false" customHeight="true" outlineLevel="0" collapsed="false">
      <c r="A580" s="78" t="str">
        <f aca="false">IFERROR(IF($B580="","",IF(INDEX(Einheiten!$B$4:$B$63,MATCH($B580,Einheiten!$A$4:$A$63,0))=0,"",INDEX(Einheiten!$B$4:$B$63,MATCH($B580,Einheiten!$A$4:$A$63,0)))),"")</f>
        <v/>
      </c>
      <c r="B580" s="54"/>
      <c r="C580" s="79" t="str">
        <f aca="false">IFERROR(IF($D580="","",INDEX(Übungen!$B$4:$B$23,MATCH($D580,Übungen!$A$4:$A$23,0))),"")</f>
        <v/>
      </c>
      <c r="D580" s="56"/>
      <c r="E580" s="73"/>
      <c r="F580" s="55"/>
      <c r="G580" s="74"/>
      <c r="H580" s="55"/>
      <c r="I580" s="49" t="str">
        <f aca="false">IF(AND(ISNUMBER($F580),ISNUMBER($G580),$E580&lt;&gt;"R"),$F580*$G580,"")</f>
        <v/>
      </c>
      <c r="J580" s="51" t="str">
        <f aca="false">IF(AND($E580="A",ISNUMBER($F580),ISNUMBER($G580)),$F580*(1+$G580/30),"")</f>
        <v/>
      </c>
      <c r="K580" s="56"/>
      <c r="L580" s="56"/>
    </row>
    <row r="581" customFormat="false" ht="15.75" hidden="false" customHeight="true" outlineLevel="0" collapsed="false">
      <c r="A581" s="78" t="str">
        <f aca="false">IFERROR(IF($B581="","",IF(INDEX(Einheiten!$B$4:$B$63,MATCH($B581,Einheiten!$A$4:$A$63,0))=0,"",INDEX(Einheiten!$B$4:$B$63,MATCH($B581,Einheiten!$A$4:$A$63,0)))),"")</f>
        <v/>
      </c>
      <c r="B581" s="54"/>
      <c r="C581" s="79" t="str">
        <f aca="false">IFERROR(IF($D581="","",INDEX(Übungen!$B$4:$B$23,MATCH($D581,Übungen!$A$4:$A$23,0))),"")</f>
        <v/>
      </c>
      <c r="D581" s="56"/>
      <c r="E581" s="73"/>
      <c r="F581" s="55"/>
      <c r="G581" s="74"/>
      <c r="H581" s="55"/>
      <c r="I581" s="49" t="str">
        <f aca="false">IF(AND(ISNUMBER($F581),ISNUMBER($G581),$E581&lt;&gt;"R"),$F581*$G581,"")</f>
        <v/>
      </c>
      <c r="J581" s="51" t="str">
        <f aca="false">IF(AND($E581="A",ISNUMBER($F581),ISNUMBER($G581)),$F581*(1+$G581/30),"")</f>
        <v/>
      </c>
      <c r="K581" s="56"/>
      <c r="L581" s="56"/>
    </row>
    <row r="582" customFormat="false" ht="15.75" hidden="false" customHeight="true" outlineLevel="0" collapsed="false">
      <c r="A582" s="78" t="str">
        <f aca="false">IFERROR(IF($B582="","",IF(INDEX(Einheiten!$B$4:$B$63,MATCH($B582,Einheiten!$A$4:$A$63,0))=0,"",INDEX(Einheiten!$B$4:$B$63,MATCH($B582,Einheiten!$A$4:$A$63,0)))),"")</f>
        <v/>
      </c>
      <c r="B582" s="54"/>
      <c r="C582" s="79" t="str">
        <f aca="false">IFERROR(IF($D582="","",INDEX(Übungen!$B$4:$B$23,MATCH($D582,Übungen!$A$4:$A$23,0))),"")</f>
        <v/>
      </c>
      <c r="D582" s="56"/>
      <c r="E582" s="73"/>
      <c r="F582" s="55"/>
      <c r="G582" s="74"/>
      <c r="H582" s="55"/>
      <c r="I582" s="49" t="str">
        <f aca="false">IF(AND(ISNUMBER($F582),ISNUMBER($G582),$E582&lt;&gt;"R"),$F582*$G582,"")</f>
        <v/>
      </c>
      <c r="J582" s="51" t="str">
        <f aca="false">IF(AND($E582="A",ISNUMBER($F582),ISNUMBER($G582)),$F582*(1+$G582/30),"")</f>
        <v/>
      </c>
      <c r="K582" s="56"/>
      <c r="L582" s="56"/>
    </row>
    <row r="583" customFormat="false" ht="15.75" hidden="false" customHeight="true" outlineLevel="0" collapsed="false">
      <c r="A583" s="78" t="str">
        <f aca="false">IFERROR(IF($B583="","",IF(INDEX(Einheiten!$B$4:$B$63,MATCH($B583,Einheiten!$A$4:$A$63,0))=0,"",INDEX(Einheiten!$B$4:$B$63,MATCH($B583,Einheiten!$A$4:$A$63,0)))),"")</f>
        <v/>
      </c>
      <c r="B583" s="54"/>
      <c r="C583" s="79" t="str">
        <f aca="false">IFERROR(IF($D583="","",INDEX(Übungen!$B$4:$B$23,MATCH($D583,Übungen!$A$4:$A$23,0))),"")</f>
        <v/>
      </c>
      <c r="D583" s="56"/>
      <c r="E583" s="73"/>
      <c r="F583" s="55"/>
      <c r="G583" s="74"/>
      <c r="H583" s="55"/>
      <c r="I583" s="49" t="str">
        <f aca="false">IF(AND(ISNUMBER($F583),ISNUMBER($G583),$E583&lt;&gt;"R"),$F583*$G583,"")</f>
        <v/>
      </c>
      <c r="J583" s="51" t="str">
        <f aca="false">IF(AND($E583="A",ISNUMBER($F583),ISNUMBER($G583)),$F583*(1+$G583/30),"")</f>
        <v/>
      </c>
      <c r="K583" s="56"/>
      <c r="L583" s="56"/>
    </row>
    <row r="584" customFormat="false" ht="15.75" hidden="false" customHeight="true" outlineLevel="0" collapsed="false">
      <c r="A584" s="78" t="str">
        <f aca="false">IFERROR(IF($B584="","",IF(INDEX(Einheiten!$B$4:$B$63,MATCH($B584,Einheiten!$A$4:$A$63,0))=0,"",INDEX(Einheiten!$B$4:$B$63,MATCH($B584,Einheiten!$A$4:$A$63,0)))),"")</f>
        <v/>
      </c>
      <c r="B584" s="54"/>
      <c r="C584" s="79" t="str">
        <f aca="false">IFERROR(IF($D584="","",INDEX(Übungen!$B$4:$B$23,MATCH($D584,Übungen!$A$4:$A$23,0))),"")</f>
        <v/>
      </c>
      <c r="D584" s="56"/>
      <c r="E584" s="73"/>
      <c r="F584" s="55"/>
      <c r="G584" s="74"/>
      <c r="H584" s="55"/>
      <c r="I584" s="49" t="str">
        <f aca="false">IF(AND(ISNUMBER($F584),ISNUMBER($G584),$E584&lt;&gt;"R"),$F584*$G584,"")</f>
        <v/>
      </c>
      <c r="J584" s="51" t="str">
        <f aca="false">IF(AND($E584="A",ISNUMBER($F584),ISNUMBER($G584)),$F584*(1+$G584/30),"")</f>
        <v/>
      </c>
      <c r="K584" s="56"/>
      <c r="L584" s="56"/>
    </row>
    <row r="585" customFormat="false" ht="15.75" hidden="false" customHeight="true" outlineLevel="0" collapsed="false">
      <c r="A585" s="78" t="str">
        <f aca="false">IFERROR(IF($B585="","",IF(INDEX(Einheiten!$B$4:$B$63,MATCH($B585,Einheiten!$A$4:$A$63,0))=0,"",INDEX(Einheiten!$B$4:$B$63,MATCH($B585,Einheiten!$A$4:$A$63,0)))),"")</f>
        <v/>
      </c>
      <c r="B585" s="54"/>
      <c r="C585" s="79" t="str">
        <f aca="false">IFERROR(IF($D585="","",INDEX(Übungen!$B$4:$B$23,MATCH($D585,Übungen!$A$4:$A$23,0))),"")</f>
        <v/>
      </c>
      <c r="D585" s="56"/>
      <c r="E585" s="73"/>
      <c r="F585" s="55"/>
      <c r="G585" s="74"/>
      <c r="H585" s="55"/>
      <c r="I585" s="49" t="str">
        <f aca="false">IF(AND(ISNUMBER($F585),ISNUMBER($G585),$E585&lt;&gt;"R"),$F585*$G585,"")</f>
        <v/>
      </c>
      <c r="J585" s="51" t="str">
        <f aca="false">IF(AND($E585="A",ISNUMBER($F585),ISNUMBER($G585)),$F585*(1+$G585/30),"")</f>
        <v/>
      </c>
      <c r="K585" s="56"/>
      <c r="L585" s="56"/>
    </row>
    <row r="586" customFormat="false" ht="15.75" hidden="false" customHeight="true" outlineLevel="0" collapsed="false">
      <c r="A586" s="78" t="str">
        <f aca="false">IFERROR(IF($B586="","",IF(INDEX(Einheiten!$B$4:$B$63,MATCH($B586,Einheiten!$A$4:$A$63,0))=0,"",INDEX(Einheiten!$B$4:$B$63,MATCH($B586,Einheiten!$A$4:$A$63,0)))),"")</f>
        <v/>
      </c>
      <c r="B586" s="54"/>
      <c r="C586" s="79" t="str">
        <f aca="false">IFERROR(IF($D586="","",INDEX(Übungen!$B$4:$B$23,MATCH($D586,Übungen!$A$4:$A$23,0))),"")</f>
        <v/>
      </c>
      <c r="D586" s="56"/>
      <c r="E586" s="73"/>
      <c r="F586" s="55"/>
      <c r="G586" s="74"/>
      <c r="H586" s="55"/>
      <c r="I586" s="49" t="str">
        <f aca="false">IF(AND(ISNUMBER($F586),ISNUMBER($G586),$E586&lt;&gt;"R"),$F586*$G586,"")</f>
        <v/>
      </c>
      <c r="J586" s="51" t="str">
        <f aca="false">IF(AND($E586="A",ISNUMBER($F586),ISNUMBER($G586)),$F586*(1+$G586/30),"")</f>
        <v/>
      </c>
      <c r="K586" s="56"/>
      <c r="L586" s="56"/>
    </row>
    <row r="587" customFormat="false" ht="15.75" hidden="false" customHeight="true" outlineLevel="0" collapsed="false">
      <c r="A587" s="78" t="str">
        <f aca="false">IFERROR(IF($B587="","",IF(INDEX(Einheiten!$B$4:$B$63,MATCH($B587,Einheiten!$A$4:$A$63,0))=0,"",INDEX(Einheiten!$B$4:$B$63,MATCH($B587,Einheiten!$A$4:$A$63,0)))),"")</f>
        <v/>
      </c>
      <c r="B587" s="54"/>
      <c r="C587" s="79" t="str">
        <f aca="false">IFERROR(IF($D587="","",INDEX(Übungen!$B$4:$B$23,MATCH($D587,Übungen!$A$4:$A$23,0))),"")</f>
        <v/>
      </c>
      <c r="D587" s="56"/>
      <c r="E587" s="73"/>
      <c r="F587" s="55"/>
      <c r="G587" s="74"/>
      <c r="H587" s="55"/>
      <c r="I587" s="49" t="str">
        <f aca="false">IF(AND(ISNUMBER($F587),ISNUMBER($G587),$E587&lt;&gt;"R"),$F587*$G587,"")</f>
        <v/>
      </c>
      <c r="J587" s="51" t="str">
        <f aca="false">IF(AND($E587="A",ISNUMBER($F587),ISNUMBER($G587)),$F587*(1+$G587/30),"")</f>
        <v/>
      </c>
      <c r="K587" s="56"/>
      <c r="L587" s="56"/>
    </row>
    <row r="588" customFormat="false" ht="15.75" hidden="false" customHeight="true" outlineLevel="0" collapsed="false">
      <c r="A588" s="78" t="str">
        <f aca="false">IFERROR(IF($B588="","",IF(INDEX(Einheiten!$B$4:$B$63,MATCH($B588,Einheiten!$A$4:$A$63,0))=0,"",INDEX(Einheiten!$B$4:$B$63,MATCH($B588,Einheiten!$A$4:$A$63,0)))),"")</f>
        <v/>
      </c>
      <c r="B588" s="54"/>
      <c r="C588" s="79" t="str">
        <f aca="false">IFERROR(IF($D588="","",INDEX(Übungen!$B$4:$B$23,MATCH($D588,Übungen!$A$4:$A$23,0))),"")</f>
        <v/>
      </c>
      <c r="D588" s="56"/>
      <c r="E588" s="73"/>
      <c r="F588" s="55"/>
      <c r="G588" s="74"/>
      <c r="H588" s="55"/>
      <c r="I588" s="49" t="str">
        <f aca="false">IF(AND(ISNUMBER($F588),ISNUMBER($G588),$E588&lt;&gt;"R"),$F588*$G588,"")</f>
        <v/>
      </c>
      <c r="J588" s="51" t="str">
        <f aca="false">IF(AND($E588="A",ISNUMBER($F588),ISNUMBER($G588)),$F588*(1+$G588/30),"")</f>
        <v/>
      </c>
      <c r="K588" s="56"/>
      <c r="L588" s="56"/>
    </row>
    <row r="589" customFormat="false" ht="15.75" hidden="false" customHeight="true" outlineLevel="0" collapsed="false">
      <c r="A589" s="78" t="str">
        <f aca="false">IFERROR(IF($B589="","",IF(INDEX(Einheiten!$B$4:$B$63,MATCH($B589,Einheiten!$A$4:$A$63,0))=0,"",INDEX(Einheiten!$B$4:$B$63,MATCH($B589,Einheiten!$A$4:$A$63,0)))),"")</f>
        <v/>
      </c>
      <c r="B589" s="54"/>
      <c r="C589" s="79" t="str">
        <f aca="false">IFERROR(IF($D589="","",INDEX(Übungen!$B$4:$B$23,MATCH($D589,Übungen!$A$4:$A$23,0))),"")</f>
        <v/>
      </c>
      <c r="D589" s="56"/>
      <c r="E589" s="73"/>
      <c r="F589" s="55"/>
      <c r="G589" s="74"/>
      <c r="H589" s="55"/>
      <c r="I589" s="49" t="str">
        <f aca="false">IF(AND(ISNUMBER($F589),ISNUMBER($G589),$E589&lt;&gt;"R"),$F589*$G589,"")</f>
        <v/>
      </c>
      <c r="J589" s="51" t="str">
        <f aca="false">IF(AND($E589="A",ISNUMBER($F589),ISNUMBER($G589)),$F589*(1+$G589/30),"")</f>
        <v/>
      </c>
      <c r="K589" s="56"/>
      <c r="L589" s="56"/>
    </row>
    <row r="590" customFormat="false" ht="15.75" hidden="false" customHeight="true" outlineLevel="0" collapsed="false">
      <c r="A590" s="78" t="str">
        <f aca="false">IFERROR(IF($B590="","",IF(INDEX(Einheiten!$B$4:$B$63,MATCH($B590,Einheiten!$A$4:$A$63,0))=0,"",INDEX(Einheiten!$B$4:$B$63,MATCH($B590,Einheiten!$A$4:$A$63,0)))),"")</f>
        <v/>
      </c>
      <c r="B590" s="54"/>
      <c r="C590" s="79" t="str">
        <f aca="false">IFERROR(IF($D590="","",INDEX(Übungen!$B$4:$B$23,MATCH($D590,Übungen!$A$4:$A$23,0))),"")</f>
        <v/>
      </c>
      <c r="D590" s="56"/>
      <c r="E590" s="73"/>
      <c r="F590" s="55"/>
      <c r="G590" s="74"/>
      <c r="H590" s="55"/>
      <c r="I590" s="49" t="str">
        <f aca="false">IF(AND(ISNUMBER($F590),ISNUMBER($G590),$E590&lt;&gt;"R"),$F590*$G590,"")</f>
        <v/>
      </c>
      <c r="J590" s="51" t="str">
        <f aca="false">IF(AND($E590="A",ISNUMBER($F590),ISNUMBER($G590)),$F590*(1+$G590/30),"")</f>
        <v/>
      </c>
      <c r="K590" s="56"/>
      <c r="L590" s="56"/>
    </row>
    <row r="591" customFormat="false" ht="15.75" hidden="false" customHeight="true" outlineLevel="0" collapsed="false">
      <c r="A591" s="78" t="str">
        <f aca="false">IFERROR(IF($B591="","",IF(INDEX(Einheiten!$B$4:$B$63,MATCH($B591,Einheiten!$A$4:$A$63,0))=0,"",INDEX(Einheiten!$B$4:$B$63,MATCH($B591,Einheiten!$A$4:$A$63,0)))),"")</f>
        <v/>
      </c>
      <c r="B591" s="54"/>
      <c r="C591" s="79" t="str">
        <f aca="false">IFERROR(IF($D591="","",INDEX(Übungen!$B$4:$B$23,MATCH($D591,Übungen!$A$4:$A$23,0))),"")</f>
        <v/>
      </c>
      <c r="D591" s="56"/>
      <c r="E591" s="73"/>
      <c r="F591" s="55"/>
      <c r="G591" s="74"/>
      <c r="H591" s="55"/>
      <c r="I591" s="49" t="str">
        <f aca="false">IF(AND(ISNUMBER($F591),ISNUMBER($G591),$E591&lt;&gt;"R"),$F591*$G591,"")</f>
        <v/>
      </c>
      <c r="J591" s="51" t="str">
        <f aca="false">IF(AND($E591="A",ISNUMBER($F591),ISNUMBER($G591)),$F591*(1+$G591/30),"")</f>
        <v/>
      </c>
      <c r="K591" s="56"/>
      <c r="L591" s="56"/>
    </row>
    <row r="592" customFormat="false" ht="15.75" hidden="false" customHeight="true" outlineLevel="0" collapsed="false">
      <c r="A592" s="78" t="str">
        <f aca="false">IFERROR(IF($B592="","",IF(INDEX(Einheiten!$B$4:$B$63,MATCH($B592,Einheiten!$A$4:$A$63,0))=0,"",INDEX(Einheiten!$B$4:$B$63,MATCH($B592,Einheiten!$A$4:$A$63,0)))),"")</f>
        <v/>
      </c>
      <c r="B592" s="54"/>
      <c r="C592" s="79" t="str">
        <f aca="false">IFERROR(IF($D592="","",INDEX(Übungen!$B$4:$B$23,MATCH($D592,Übungen!$A$4:$A$23,0))),"")</f>
        <v/>
      </c>
      <c r="D592" s="56"/>
      <c r="E592" s="73"/>
      <c r="F592" s="55"/>
      <c r="G592" s="74"/>
      <c r="H592" s="55"/>
      <c r="I592" s="49" t="str">
        <f aca="false">IF(AND(ISNUMBER($F592),ISNUMBER($G592),$E592&lt;&gt;"R"),$F592*$G592,"")</f>
        <v/>
      </c>
      <c r="J592" s="51" t="str">
        <f aca="false">IF(AND($E592="A",ISNUMBER($F592),ISNUMBER($G592)),$F592*(1+$G592/30),"")</f>
        <v/>
      </c>
      <c r="K592" s="56"/>
      <c r="L592" s="56"/>
    </row>
    <row r="593" customFormat="false" ht="15.75" hidden="false" customHeight="true" outlineLevel="0" collapsed="false">
      <c r="A593" s="78" t="str">
        <f aca="false">IFERROR(IF($B593="","",IF(INDEX(Einheiten!$B$4:$B$63,MATCH($B593,Einheiten!$A$4:$A$63,0))=0,"",INDEX(Einheiten!$B$4:$B$63,MATCH($B593,Einheiten!$A$4:$A$63,0)))),"")</f>
        <v/>
      </c>
      <c r="B593" s="54"/>
      <c r="C593" s="79" t="str">
        <f aca="false">IFERROR(IF($D593="","",INDEX(Übungen!$B$4:$B$23,MATCH($D593,Übungen!$A$4:$A$23,0))),"")</f>
        <v/>
      </c>
      <c r="D593" s="56"/>
      <c r="E593" s="73"/>
      <c r="F593" s="55"/>
      <c r="G593" s="74"/>
      <c r="H593" s="55"/>
      <c r="I593" s="49" t="str">
        <f aca="false">IF(AND(ISNUMBER($F593),ISNUMBER($G593),$E593&lt;&gt;"R"),$F593*$G593,"")</f>
        <v/>
      </c>
      <c r="J593" s="51" t="str">
        <f aca="false">IF(AND($E593="A",ISNUMBER($F593),ISNUMBER($G593)),$F593*(1+$G593/30),"")</f>
        <v/>
      </c>
      <c r="K593" s="56"/>
      <c r="L593" s="56"/>
    </row>
    <row r="594" customFormat="false" ht="15.75" hidden="false" customHeight="true" outlineLevel="0" collapsed="false">
      <c r="A594" s="78" t="str">
        <f aca="false">IFERROR(IF($B594="","",IF(INDEX(Einheiten!$B$4:$B$63,MATCH($B594,Einheiten!$A$4:$A$63,0))=0,"",INDEX(Einheiten!$B$4:$B$63,MATCH($B594,Einheiten!$A$4:$A$63,0)))),"")</f>
        <v/>
      </c>
      <c r="B594" s="54"/>
      <c r="C594" s="79" t="str">
        <f aca="false">IFERROR(IF($D594="","",INDEX(Übungen!$B$4:$B$23,MATCH($D594,Übungen!$A$4:$A$23,0))),"")</f>
        <v/>
      </c>
      <c r="D594" s="56"/>
      <c r="E594" s="73"/>
      <c r="F594" s="55"/>
      <c r="G594" s="74"/>
      <c r="H594" s="55"/>
      <c r="I594" s="49" t="str">
        <f aca="false">IF(AND(ISNUMBER($F594),ISNUMBER($G594),$E594&lt;&gt;"R"),$F594*$G594,"")</f>
        <v/>
      </c>
      <c r="J594" s="51" t="str">
        <f aca="false">IF(AND($E594="A",ISNUMBER($F594),ISNUMBER($G594)),$F594*(1+$G594/30),"")</f>
        <v/>
      </c>
      <c r="K594" s="56"/>
      <c r="L594" s="56"/>
    </row>
    <row r="595" customFormat="false" ht="15.75" hidden="false" customHeight="true" outlineLevel="0" collapsed="false">
      <c r="A595" s="78" t="str">
        <f aca="false">IFERROR(IF($B595="","",IF(INDEX(Einheiten!$B$4:$B$63,MATCH($B595,Einheiten!$A$4:$A$63,0))=0,"",INDEX(Einheiten!$B$4:$B$63,MATCH($B595,Einheiten!$A$4:$A$63,0)))),"")</f>
        <v/>
      </c>
      <c r="B595" s="54"/>
      <c r="C595" s="79" t="str">
        <f aca="false">IFERROR(IF($D595="","",INDEX(Übungen!$B$4:$B$23,MATCH($D595,Übungen!$A$4:$A$23,0))),"")</f>
        <v/>
      </c>
      <c r="D595" s="56"/>
      <c r="E595" s="73"/>
      <c r="F595" s="55"/>
      <c r="G595" s="74"/>
      <c r="H595" s="55"/>
      <c r="I595" s="49" t="str">
        <f aca="false">IF(AND(ISNUMBER($F595),ISNUMBER($G595),$E595&lt;&gt;"R"),$F595*$G595,"")</f>
        <v/>
      </c>
      <c r="J595" s="51" t="str">
        <f aca="false">IF(AND($E595="A",ISNUMBER($F595),ISNUMBER($G595)),$F595*(1+$G595/30),"")</f>
        <v/>
      </c>
      <c r="K595" s="56"/>
      <c r="L595" s="56"/>
    </row>
    <row r="596" customFormat="false" ht="15.75" hidden="false" customHeight="true" outlineLevel="0" collapsed="false">
      <c r="A596" s="78" t="str">
        <f aca="false">IFERROR(IF($B596="","",IF(INDEX(Einheiten!$B$4:$B$63,MATCH($B596,Einheiten!$A$4:$A$63,0))=0,"",INDEX(Einheiten!$B$4:$B$63,MATCH($B596,Einheiten!$A$4:$A$63,0)))),"")</f>
        <v/>
      </c>
      <c r="B596" s="54"/>
      <c r="C596" s="79" t="str">
        <f aca="false">IFERROR(IF($D596="","",INDEX(Übungen!$B$4:$B$23,MATCH($D596,Übungen!$A$4:$A$23,0))),"")</f>
        <v/>
      </c>
      <c r="D596" s="56"/>
      <c r="E596" s="73"/>
      <c r="F596" s="55"/>
      <c r="G596" s="74"/>
      <c r="H596" s="55"/>
      <c r="I596" s="49" t="str">
        <f aca="false">IF(AND(ISNUMBER($F596),ISNUMBER($G596),$E596&lt;&gt;"R"),$F596*$G596,"")</f>
        <v/>
      </c>
      <c r="J596" s="51" t="str">
        <f aca="false">IF(AND($E596="A",ISNUMBER($F596),ISNUMBER($G596)),$F596*(1+$G596/30),"")</f>
        <v/>
      </c>
      <c r="K596" s="56"/>
      <c r="L596" s="56"/>
    </row>
    <row r="597" customFormat="false" ht="15.75" hidden="false" customHeight="true" outlineLevel="0" collapsed="false">
      <c r="A597" s="78" t="str">
        <f aca="false">IFERROR(IF($B597="","",IF(INDEX(Einheiten!$B$4:$B$63,MATCH($B597,Einheiten!$A$4:$A$63,0))=0,"",INDEX(Einheiten!$B$4:$B$63,MATCH($B597,Einheiten!$A$4:$A$63,0)))),"")</f>
        <v/>
      </c>
      <c r="B597" s="54"/>
      <c r="C597" s="79" t="str">
        <f aca="false">IFERROR(IF($D597="","",INDEX(Übungen!$B$4:$B$23,MATCH($D597,Übungen!$A$4:$A$23,0))),"")</f>
        <v/>
      </c>
      <c r="D597" s="56"/>
      <c r="E597" s="73"/>
      <c r="F597" s="55"/>
      <c r="G597" s="74"/>
      <c r="H597" s="55"/>
      <c r="I597" s="49" t="str">
        <f aca="false">IF(AND(ISNUMBER($F597),ISNUMBER($G597),$E597&lt;&gt;"R"),$F597*$G597,"")</f>
        <v/>
      </c>
      <c r="J597" s="51" t="str">
        <f aca="false">IF(AND($E597="A",ISNUMBER($F597),ISNUMBER($G597)),$F597*(1+$G597/30),"")</f>
        <v/>
      </c>
      <c r="K597" s="56"/>
      <c r="L597" s="56"/>
    </row>
    <row r="598" customFormat="false" ht="15.75" hidden="false" customHeight="true" outlineLevel="0" collapsed="false">
      <c r="A598" s="78" t="str">
        <f aca="false">IFERROR(IF($B598="","",IF(INDEX(Einheiten!$B$4:$B$63,MATCH($B598,Einheiten!$A$4:$A$63,0))=0,"",INDEX(Einheiten!$B$4:$B$63,MATCH($B598,Einheiten!$A$4:$A$63,0)))),"")</f>
        <v/>
      </c>
      <c r="B598" s="54"/>
      <c r="C598" s="79" t="str">
        <f aca="false">IFERROR(IF($D598="","",INDEX(Übungen!$B$4:$B$23,MATCH($D598,Übungen!$A$4:$A$23,0))),"")</f>
        <v/>
      </c>
      <c r="D598" s="56"/>
      <c r="E598" s="73"/>
      <c r="F598" s="55"/>
      <c r="G598" s="74"/>
      <c r="H598" s="55"/>
      <c r="I598" s="49" t="str">
        <f aca="false">IF(AND(ISNUMBER($F598),ISNUMBER($G598),$E598&lt;&gt;"R"),$F598*$G598,"")</f>
        <v/>
      </c>
      <c r="J598" s="51" t="str">
        <f aca="false">IF(AND($E598="A",ISNUMBER($F598),ISNUMBER($G598)),$F598*(1+$G598/30),"")</f>
        <v/>
      </c>
      <c r="K598" s="56"/>
      <c r="L598" s="56"/>
    </row>
    <row r="599" customFormat="false" ht="15.75" hidden="false" customHeight="true" outlineLevel="0" collapsed="false">
      <c r="A599" s="78" t="str">
        <f aca="false">IFERROR(IF($B599="","",IF(INDEX(Einheiten!$B$4:$B$63,MATCH($B599,Einheiten!$A$4:$A$63,0))=0,"",INDEX(Einheiten!$B$4:$B$63,MATCH($B599,Einheiten!$A$4:$A$63,0)))),"")</f>
        <v/>
      </c>
      <c r="B599" s="54"/>
      <c r="C599" s="79" t="str">
        <f aca="false">IFERROR(IF($D599="","",INDEX(Übungen!$B$4:$B$23,MATCH($D599,Übungen!$A$4:$A$23,0))),"")</f>
        <v/>
      </c>
      <c r="D599" s="56"/>
      <c r="E599" s="73"/>
      <c r="F599" s="55"/>
      <c r="G599" s="74"/>
      <c r="H599" s="55"/>
      <c r="I599" s="49" t="str">
        <f aca="false">IF(AND(ISNUMBER($F599),ISNUMBER($G599),$E599&lt;&gt;"R"),$F599*$G599,"")</f>
        <v/>
      </c>
      <c r="J599" s="51" t="str">
        <f aca="false">IF(AND($E599="A",ISNUMBER($F599),ISNUMBER($G599)),$F599*(1+$G599/30),"")</f>
        <v/>
      </c>
      <c r="K599" s="56"/>
      <c r="L599" s="56"/>
    </row>
    <row r="600" customFormat="false" ht="15.75" hidden="false" customHeight="true" outlineLevel="0" collapsed="false">
      <c r="A600" s="78" t="str">
        <f aca="false">IFERROR(IF($B600="","",IF(INDEX(Einheiten!$B$4:$B$63,MATCH($B600,Einheiten!$A$4:$A$63,0))=0,"",INDEX(Einheiten!$B$4:$B$63,MATCH($B600,Einheiten!$A$4:$A$63,0)))),"")</f>
        <v/>
      </c>
      <c r="B600" s="54"/>
      <c r="C600" s="79" t="str">
        <f aca="false">IFERROR(IF($D600="","",INDEX(Übungen!$B$4:$B$23,MATCH($D600,Übungen!$A$4:$A$23,0))),"")</f>
        <v/>
      </c>
      <c r="D600" s="56"/>
      <c r="E600" s="73"/>
      <c r="F600" s="55"/>
      <c r="G600" s="74"/>
      <c r="H600" s="55"/>
      <c r="I600" s="49" t="str">
        <f aca="false">IF(AND(ISNUMBER($F600),ISNUMBER($G600),$E600&lt;&gt;"R"),$F600*$G600,"")</f>
        <v/>
      </c>
      <c r="J600" s="51" t="str">
        <f aca="false">IF(AND($E600="A",ISNUMBER($F600),ISNUMBER($G600)),$F600*(1+$G600/30),"")</f>
        <v/>
      </c>
      <c r="K600" s="56"/>
      <c r="L600" s="56"/>
    </row>
    <row r="601" customFormat="false" ht="15.75" hidden="false" customHeight="true" outlineLevel="0" collapsed="false">
      <c r="A601" s="78" t="str">
        <f aca="false">IFERROR(IF($B601="","",IF(INDEX(Einheiten!$B$4:$B$63,MATCH($B601,Einheiten!$A$4:$A$63,0))=0,"",INDEX(Einheiten!$B$4:$B$63,MATCH($B601,Einheiten!$A$4:$A$63,0)))),"")</f>
        <v/>
      </c>
      <c r="B601" s="54"/>
      <c r="C601" s="79" t="str">
        <f aca="false">IFERROR(IF($D601="","",INDEX(Übungen!$B$4:$B$23,MATCH($D601,Übungen!$A$4:$A$23,0))),"")</f>
        <v/>
      </c>
      <c r="D601" s="56"/>
      <c r="E601" s="73"/>
      <c r="F601" s="55"/>
      <c r="G601" s="74"/>
      <c r="H601" s="55"/>
      <c r="I601" s="49" t="str">
        <f aca="false">IF(AND(ISNUMBER($F601),ISNUMBER($G601),$E601&lt;&gt;"R"),$F601*$G601,"")</f>
        <v/>
      </c>
      <c r="J601" s="51" t="str">
        <f aca="false">IF(AND($E601="A",ISNUMBER($F601),ISNUMBER($G601)),$F601*(1+$G601/30),"")</f>
        <v/>
      </c>
      <c r="K601" s="56"/>
      <c r="L601" s="56"/>
    </row>
    <row r="602" customFormat="false" ht="15.75" hidden="false" customHeight="true" outlineLevel="0" collapsed="false">
      <c r="A602" s="78" t="str">
        <f aca="false">IFERROR(IF($B602="","",IF(INDEX(Einheiten!$B$4:$B$63,MATCH($B602,Einheiten!$A$4:$A$63,0))=0,"",INDEX(Einheiten!$B$4:$B$63,MATCH($B602,Einheiten!$A$4:$A$63,0)))),"")</f>
        <v/>
      </c>
      <c r="B602" s="54"/>
      <c r="C602" s="79" t="str">
        <f aca="false">IFERROR(IF($D602="","",INDEX(Übungen!$B$4:$B$23,MATCH($D602,Übungen!$A$4:$A$23,0))),"")</f>
        <v/>
      </c>
      <c r="D602" s="56"/>
      <c r="E602" s="73"/>
      <c r="F602" s="55"/>
      <c r="G602" s="74"/>
      <c r="H602" s="55"/>
      <c r="I602" s="49" t="str">
        <f aca="false">IF(AND(ISNUMBER($F602),ISNUMBER($G602),$E602&lt;&gt;"R"),$F602*$G602,"")</f>
        <v/>
      </c>
      <c r="J602" s="51" t="str">
        <f aca="false">IF(AND($E602="A",ISNUMBER($F602),ISNUMBER($G602)),$F602*(1+$G602/30),"")</f>
        <v/>
      </c>
      <c r="K602" s="56"/>
      <c r="L602" s="56"/>
    </row>
    <row r="603" customFormat="false" ht="15.75" hidden="false" customHeight="true" outlineLevel="0" collapsed="false">
      <c r="A603" s="78" t="str">
        <f aca="false">IFERROR(IF($B603="","",IF(INDEX(Einheiten!$B$4:$B$63,MATCH($B603,Einheiten!$A$4:$A$63,0))=0,"",INDEX(Einheiten!$B$4:$B$63,MATCH($B603,Einheiten!$A$4:$A$63,0)))),"")</f>
        <v/>
      </c>
      <c r="B603" s="54"/>
      <c r="C603" s="79" t="str">
        <f aca="false">IFERROR(IF($D603="","",INDEX(Übungen!$B$4:$B$23,MATCH($D603,Übungen!$A$4:$A$23,0))),"")</f>
        <v/>
      </c>
      <c r="D603" s="56"/>
      <c r="E603" s="73"/>
      <c r="F603" s="55"/>
      <c r="G603" s="74"/>
      <c r="H603" s="55"/>
      <c r="I603" s="49" t="str">
        <f aca="false">IF(AND(ISNUMBER($F603),ISNUMBER($G603),$E603&lt;&gt;"R"),$F603*$G603,"")</f>
        <v/>
      </c>
      <c r="J603" s="51" t="str">
        <f aca="false">IF(AND($E603="A",ISNUMBER($F603),ISNUMBER($G603)),$F603*(1+$G603/30),"")</f>
        <v/>
      </c>
      <c r="K603" s="56"/>
      <c r="L603" s="56"/>
    </row>
    <row r="604" customFormat="false" ht="15.75" hidden="false" customHeight="true" outlineLevel="0" collapsed="false">
      <c r="A604" s="78" t="str">
        <f aca="false">IFERROR(IF($B604="","",IF(INDEX(Einheiten!$B$4:$B$63,MATCH($B604,Einheiten!$A$4:$A$63,0))=0,"",INDEX(Einheiten!$B$4:$B$63,MATCH($B604,Einheiten!$A$4:$A$63,0)))),"")</f>
        <v/>
      </c>
      <c r="B604" s="54"/>
      <c r="C604" s="79" t="str">
        <f aca="false">IFERROR(IF($D604="","",INDEX(Übungen!$B$4:$B$23,MATCH($D604,Übungen!$A$4:$A$23,0))),"")</f>
        <v/>
      </c>
      <c r="D604" s="56"/>
      <c r="E604" s="73"/>
      <c r="F604" s="55"/>
      <c r="G604" s="74"/>
      <c r="H604" s="55"/>
      <c r="I604" s="49" t="str">
        <f aca="false">IF(AND(ISNUMBER($F604),ISNUMBER($G604),$E604&lt;&gt;"R"),$F604*$G604,"")</f>
        <v/>
      </c>
      <c r="J604" s="51" t="str">
        <f aca="false">IF(AND($E604="A",ISNUMBER($F604),ISNUMBER($G604)),$F604*(1+$G604/30),"")</f>
        <v/>
      </c>
      <c r="K604" s="56"/>
      <c r="L604" s="56"/>
    </row>
    <row r="605" customFormat="false" ht="15.75" hidden="false" customHeight="true" outlineLevel="0" collapsed="false">
      <c r="A605" s="78" t="str">
        <f aca="false">IFERROR(IF($B605="","",IF(INDEX(Einheiten!$B$4:$B$63,MATCH($B605,Einheiten!$A$4:$A$63,0))=0,"",INDEX(Einheiten!$B$4:$B$63,MATCH($B605,Einheiten!$A$4:$A$63,0)))),"")</f>
        <v/>
      </c>
      <c r="B605" s="54"/>
      <c r="C605" s="79" t="str">
        <f aca="false">IFERROR(IF($D605="","",INDEX(Übungen!$B$4:$B$23,MATCH($D605,Übungen!$A$4:$A$23,0))),"")</f>
        <v/>
      </c>
      <c r="D605" s="56"/>
      <c r="E605" s="73"/>
      <c r="F605" s="55"/>
      <c r="G605" s="74"/>
      <c r="H605" s="55"/>
      <c r="I605" s="49" t="str">
        <f aca="false">IF(AND(ISNUMBER($F605),ISNUMBER($G605),$E605&lt;&gt;"R"),$F605*$G605,"")</f>
        <v/>
      </c>
      <c r="J605" s="51" t="str">
        <f aca="false">IF(AND($E605="A",ISNUMBER($F605),ISNUMBER($G605)),$F605*(1+$G605/30),"")</f>
        <v/>
      </c>
      <c r="K605" s="56"/>
      <c r="L605" s="56"/>
    </row>
    <row r="606" customFormat="false" ht="15.75" hidden="false" customHeight="true" outlineLevel="0" collapsed="false">
      <c r="A606" s="78" t="str">
        <f aca="false">IFERROR(IF($B606="","",IF(INDEX(Einheiten!$B$4:$B$63,MATCH($B606,Einheiten!$A$4:$A$63,0))=0,"",INDEX(Einheiten!$B$4:$B$63,MATCH($B606,Einheiten!$A$4:$A$63,0)))),"")</f>
        <v/>
      </c>
      <c r="B606" s="54"/>
      <c r="C606" s="79" t="str">
        <f aca="false">IFERROR(IF($D606="","",INDEX(Übungen!$B$4:$B$23,MATCH($D606,Übungen!$A$4:$A$23,0))),"")</f>
        <v/>
      </c>
      <c r="D606" s="56"/>
      <c r="E606" s="73"/>
      <c r="F606" s="55"/>
      <c r="G606" s="74"/>
      <c r="H606" s="55"/>
      <c r="I606" s="49" t="str">
        <f aca="false">IF(AND(ISNUMBER($F606),ISNUMBER($G606),$E606&lt;&gt;"R"),$F606*$G606,"")</f>
        <v/>
      </c>
      <c r="J606" s="51" t="str">
        <f aca="false">IF(AND($E606="A",ISNUMBER($F606),ISNUMBER($G606)),$F606*(1+$G606/30),"")</f>
        <v/>
      </c>
      <c r="K606" s="56"/>
      <c r="L606" s="56"/>
    </row>
    <row r="607" customFormat="false" ht="15.75" hidden="false" customHeight="true" outlineLevel="0" collapsed="false">
      <c r="A607" s="78" t="str">
        <f aca="false">IFERROR(IF($B607="","",IF(INDEX(Einheiten!$B$4:$B$63,MATCH($B607,Einheiten!$A$4:$A$63,0))=0,"",INDEX(Einheiten!$B$4:$B$63,MATCH($B607,Einheiten!$A$4:$A$63,0)))),"")</f>
        <v/>
      </c>
      <c r="B607" s="54"/>
      <c r="C607" s="79" t="str">
        <f aca="false">IFERROR(IF($D607="","",INDEX(Übungen!$B$4:$B$23,MATCH($D607,Übungen!$A$4:$A$23,0))),"")</f>
        <v/>
      </c>
      <c r="D607" s="56"/>
      <c r="E607" s="73"/>
      <c r="F607" s="55"/>
      <c r="G607" s="74"/>
      <c r="H607" s="55"/>
      <c r="I607" s="49" t="str">
        <f aca="false">IF(AND(ISNUMBER($F607),ISNUMBER($G607),$E607&lt;&gt;"R"),$F607*$G607,"")</f>
        <v/>
      </c>
      <c r="J607" s="51" t="str">
        <f aca="false">IF(AND($E607="A",ISNUMBER($F607),ISNUMBER($G607)),$F607*(1+$G607/30),"")</f>
        <v/>
      </c>
      <c r="K607" s="56"/>
      <c r="L607" s="56"/>
    </row>
    <row r="608" customFormat="false" ht="15.75" hidden="false" customHeight="true" outlineLevel="0" collapsed="false">
      <c r="A608" s="78" t="str">
        <f aca="false">IFERROR(IF($B608="","",IF(INDEX(Einheiten!$B$4:$B$63,MATCH($B608,Einheiten!$A$4:$A$63,0))=0,"",INDEX(Einheiten!$B$4:$B$63,MATCH($B608,Einheiten!$A$4:$A$63,0)))),"")</f>
        <v/>
      </c>
      <c r="B608" s="54"/>
      <c r="C608" s="79" t="str">
        <f aca="false">IFERROR(IF($D608="","",INDEX(Übungen!$B$4:$B$23,MATCH($D608,Übungen!$A$4:$A$23,0))),"")</f>
        <v/>
      </c>
      <c r="D608" s="56"/>
      <c r="E608" s="73"/>
      <c r="F608" s="55"/>
      <c r="G608" s="74"/>
      <c r="H608" s="55"/>
      <c r="I608" s="49" t="str">
        <f aca="false">IF(AND(ISNUMBER($F608),ISNUMBER($G608),$E608&lt;&gt;"R"),$F608*$G608,"")</f>
        <v/>
      </c>
      <c r="J608" s="51" t="str">
        <f aca="false">IF(AND($E608="A",ISNUMBER($F608),ISNUMBER($G608)),$F608*(1+$G608/30),"")</f>
        <v/>
      </c>
      <c r="K608" s="56"/>
      <c r="L608" s="56"/>
    </row>
    <row r="609" customFormat="false" ht="15.75" hidden="false" customHeight="true" outlineLevel="0" collapsed="false">
      <c r="A609" s="78" t="str">
        <f aca="false">IFERROR(IF($B609="","",IF(INDEX(Einheiten!$B$4:$B$63,MATCH($B609,Einheiten!$A$4:$A$63,0))=0,"",INDEX(Einheiten!$B$4:$B$63,MATCH($B609,Einheiten!$A$4:$A$63,0)))),"")</f>
        <v/>
      </c>
      <c r="B609" s="54"/>
      <c r="C609" s="79" t="str">
        <f aca="false">IFERROR(IF($D609="","",INDEX(Übungen!$B$4:$B$23,MATCH($D609,Übungen!$A$4:$A$23,0))),"")</f>
        <v/>
      </c>
      <c r="D609" s="56"/>
      <c r="E609" s="73"/>
      <c r="F609" s="55"/>
      <c r="G609" s="74"/>
      <c r="H609" s="55"/>
      <c r="I609" s="49" t="str">
        <f aca="false">IF(AND(ISNUMBER($F609),ISNUMBER($G609),$E609&lt;&gt;"R"),$F609*$G609,"")</f>
        <v/>
      </c>
      <c r="J609" s="51" t="str">
        <f aca="false">IF(AND($E609="A",ISNUMBER($F609),ISNUMBER($G609)),$F609*(1+$G609/30),"")</f>
        <v/>
      </c>
      <c r="K609" s="56"/>
      <c r="L609" s="56"/>
    </row>
    <row r="610" customFormat="false" ht="15.75" hidden="false" customHeight="true" outlineLevel="0" collapsed="false">
      <c r="A610" s="78" t="str">
        <f aca="false">IFERROR(IF($B610="","",IF(INDEX(Einheiten!$B$4:$B$63,MATCH($B610,Einheiten!$A$4:$A$63,0))=0,"",INDEX(Einheiten!$B$4:$B$63,MATCH($B610,Einheiten!$A$4:$A$63,0)))),"")</f>
        <v/>
      </c>
      <c r="B610" s="54"/>
      <c r="C610" s="79" t="str">
        <f aca="false">IFERROR(IF($D610="","",INDEX(Übungen!$B$4:$B$23,MATCH($D610,Übungen!$A$4:$A$23,0))),"")</f>
        <v/>
      </c>
      <c r="D610" s="56"/>
      <c r="E610" s="73"/>
      <c r="F610" s="55"/>
      <c r="G610" s="74"/>
      <c r="H610" s="55"/>
      <c r="I610" s="49" t="str">
        <f aca="false">IF(AND(ISNUMBER($F610),ISNUMBER($G610),$E610&lt;&gt;"R"),$F610*$G610,"")</f>
        <v/>
      </c>
      <c r="J610" s="51" t="str">
        <f aca="false">IF(AND($E610="A",ISNUMBER($F610),ISNUMBER($G610)),$F610*(1+$G610/30),"")</f>
        <v/>
      </c>
      <c r="K610" s="56"/>
      <c r="L610" s="56"/>
    </row>
    <row r="611" customFormat="false" ht="15.75" hidden="false" customHeight="true" outlineLevel="0" collapsed="false">
      <c r="A611" s="78" t="str">
        <f aca="false">IFERROR(IF($B611="","",IF(INDEX(Einheiten!$B$4:$B$63,MATCH($B611,Einheiten!$A$4:$A$63,0))=0,"",INDEX(Einheiten!$B$4:$B$63,MATCH($B611,Einheiten!$A$4:$A$63,0)))),"")</f>
        <v/>
      </c>
      <c r="B611" s="54"/>
      <c r="C611" s="79" t="str">
        <f aca="false">IFERROR(IF($D611="","",INDEX(Übungen!$B$4:$B$23,MATCH($D611,Übungen!$A$4:$A$23,0))),"")</f>
        <v/>
      </c>
      <c r="D611" s="56"/>
      <c r="E611" s="73"/>
      <c r="F611" s="55"/>
      <c r="G611" s="74"/>
      <c r="H611" s="55"/>
      <c r="I611" s="49" t="str">
        <f aca="false">IF(AND(ISNUMBER($F611),ISNUMBER($G611),$E611&lt;&gt;"R"),$F611*$G611,"")</f>
        <v/>
      </c>
      <c r="J611" s="51" t="str">
        <f aca="false">IF(AND($E611="A",ISNUMBER($F611),ISNUMBER($G611)),$F611*(1+$G611/30),"")</f>
        <v/>
      </c>
      <c r="K611" s="56"/>
      <c r="L611" s="56"/>
    </row>
    <row r="612" customFormat="false" ht="15.75" hidden="false" customHeight="true" outlineLevel="0" collapsed="false">
      <c r="A612" s="78" t="str">
        <f aca="false">IFERROR(IF($B612="","",IF(INDEX(Einheiten!$B$4:$B$63,MATCH($B612,Einheiten!$A$4:$A$63,0))=0,"",INDEX(Einheiten!$B$4:$B$63,MATCH($B612,Einheiten!$A$4:$A$63,0)))),"")</f>
        <v/>
      </c>
      <c r="B612" s="54"/>
      <c r="C612" s="79" t="str">
        <f aca="false">IFERROR(IF($D612="","",INDEX(Übungen!$B$4:$B$23,MATCH($D612,Übungen!$A$4:$A$23,0))),"")</f>
        <v/>
      </c>
      <c r="D612" s="56"/>
      <c r="E612" s="73"/>
      <c r="F612" s="55"/>
      <c r="G612" s="74"/>
      <c r="H612" s="55"/>
      <c r="I612" s="49" t="str">
        <f aca="false">IF(AND(ISNUMBER($F612),ISNUMBER($G612),$E612&lt;&gt;"R"),$F612*$G612,"")</f>
        <v/>
      </c>
      <c r="J612" s="51" t="str">
        <f aca="false">IF(AND($E612="A",ISNUMBER($F612),ISNUMBER($G612)),$F612*(1+$G612/30),"")</f>
        <v/>
      </c>
      <c r="K612" s="56"/>
      <c r="L612" s="56"/>
    </row>
    <row r="613" customFormat="false" ht="15.75" hidden="false" customHeight="true" outlineLevel="0" collapsed="false">
      <c r="A613" s="78" t="str">
        <f aca="false">IFERROR(IF($B613="","",IF(INDEX(Einheiten!$B$4:$B$63,MATCH($B613,Einheiten!$A$4:$A$63,0))=0,"",INDEX(Einheiten!$B$4:$B$63,MATCH($B613,Einheiten!$A$4:$A$63,0)))),"")</f>
        <v/>
      </c>
      <c r="B613" s="54"/>
      <c r="C613" s="79" t="str">
        <f aca="false">IFERROR(IF($D613="","",INDEX(Übungen!$B$4:$B$23,MATCH($D613,Übungen!$A$4:$A$23,0))),"")</f>
        <v/>
      </c>
      <c r="D613" s="56"/>
      <c r="E613" s="73"/>
      <c r="F613" s="55"/>
      <c r="G613" s="74"/>
      <c r="H613" s="55"/>
      <c r="I613" s="49" t="str">
        <f aca="false">IF(AND(ISNUMBER($F613),ISNUMBER($G613),$E613&lt;&gt;"R"),$F613*$G613,"")</f>
        <v/>
      </c>
      <c r="J613" s="51" t="str">
        <f aca="false">IF(AND($E613="A",ISNUMBER($F613),ISNUMBER($G613)),$F613*(1+$G613/30),"")</f>
        <v/>
      </c>
      <c r="K613" s="56"/>
      <c r="L613" s="56"/>
    </row>
    <row r="614" customFormat="false" ht="15.75" hidden="false" customHeight="true" outlineLevel="0" collapsed="false">
      <c r="A614" s="78" t="str">
        <f aca="false">IFERROR(IF($B614="","",IF(INDEX(Einheiten!$B$4:$B$63,MATCH($B614,Einheiten!$A$4:$A$63,0))=0,"",INDEX(Einheiten!$B$4:$B$63,MATCH($B614,Einheiten!$A$4:$A$63,0)))),"")</f>
        <v/>
      </c>
      <c r="B614" s="54"/>
      <c r="C614" s="79" t="str">
        <f aca="false">IFERROR(IF($D614="","",INDEX(Übungen!$B$4:$B$23,MATCH($D614,Übungen!$A$4:$A$23,0))),"")</f>
        <v/>
      </c>
      <c r="D614" s="56"/>
      <c r="E614" s="73"/>
      <c r="F614" s="55"/>
      <c r="G614" s="74"/>
      <c r="H614" s="55"/>
      <c r="I614" s="49" t="str">
        <f aca="false">IF(AND(ISNUMBER($F614),ISNUMBER($G614),$E614&lt;&gt;"R"),$F614*$G614,"")</f>
        <v/>
      </c>
      <c r="J614" s="51" t="str">
        <f aca="false">IF(AND($E614="A",ISNUMBER($F614),ISNUMBER($G614)),$F614*(1+$G614/30),"")</f>
        <v/>
      </c>
      <c r="K614" s="56"/>
      <c r="L614" s="56"/>
    </row>
    <row r="615" customFormat="false" ht="15.75" hidden="false" customHeight="true" outlineLevel="0" collapsed="false">
      <c r="A615" s="78" t="str">
        <f aca="false">IFERROR(IF($B615="","",IF(INDEX(Einheiten!$B$4:$B$63,MATCH($B615,Einheiten!$A$4:$A$63,0))=0,"",INDEX(Einheiten!$B$4:$B$63,MATCH($B615,Einheiten!$A$4:$A$63,0)))),"")</f>
        <v/>
      </c>
      <c r="B615" s="54"/>
      <c r="C615" s="79" t="str">
        <f aca="false">IFERROR(IF($D615="","",INDEX(Übungen!$B$4:$B$23,MATCH($D615,Übungen!$A$4:$A$23,0))),"")</f>
        <v/>
      </c>
      <c r="D615" s="56"/>
      <c r="E615" s="73"/>
      <c r="F615" s="55"/>
      <c r="G615" s="74"/>
      <c r="H615" s="55"/>
      <c r="I615" s="49" t="str">
        <f aca="false">IF(AND(ISNUMBER($F615),ISNUMBER($G615),$E615&lt;&gt;"R"),$F615*$G615,"")</f>
        <v/>
      </c>
      <c r="J615" s="51" t="str">
        <f aca="false">IF(AND($E615="A",ISNUMBER($F615),ISNUMBER($G615)),$F615*(1+$G615/30),"")</f>
        <v/>
      </c>
      <c r="K615" s="56"/>
      <c r="L615" s="56"/>
    </row>
    <row r="616" customFormat="false" ht="15.75" hidden="false" customHeight="true" outlineLevel="0" collapsed="false">
      <c r="A616" s="78" t="str">
        <f aca="false">IFERROR(IF($B616="","",IF(INDEX(Einheiten!$B$4:$B$63,MATCH($B616,Einheiten!$A$4:$A$63,0))=0,"",INDEX(Einheiten!$B$4:$B$63,MATCH($B616,Einheiten!$A$4:$A$63,0)))),"")</f>
        <v/>
      </c>
      <c r="B616" s="54"/>
      <c r="C616" s="79" t="str">
        <f aca="false">IFERROR(IF($D616="","",INDEX(Übungen!$B$4:$B$23,MATCH($D616,Übungen!$A$4:$A$23,0))),"")</f>
        <v/>
      </c>
      <c r="D616" s="56"/>
      <c r="E616" s="73"/>
      <c r="F616" s="55"/>
      <c r="G616" s="74"/>
      <c r="H616" s="55"/>
      <c r="I616" s="49" t="str">
        <f aca="false">IF(AND(ISNUMBER($F616),ISNUMBER($G616),$E616&lt;&gt;"R"),$F616*$G616,"")</f>
        <v/>
      </c>
      <c r="J616" s="51" t="str">
        <f aca="false">IF(AND($E616="A",ISNUMBER($F616),ISNUMBER($G616)),$F616*(1+$G616/30),"")</f>
        <v/>
      </c>
      <c r="K616" s="56"/>
      <c r="L616" s="56"/>
    </row>
    <row r="617" customFormat="false" ht="15.75" hidden="false" customHeight="true" outlineLevel="0" collapsed="false">
      <c r="A617" s="78" t="str">
        <f aca="false">IFERROR(IF($B617="","",IF(INDEX(Einheiten!$B$4:$B$63,MATCH($B617,Einheiten!$A$4:$A$63,0))=0,"",INDEX(Einheiten!$B$4:$B$63,MATCH($B617,Einheiten!$A$4:$A$63,0)))),"")</f>
        <v/>
      </c>
      <c r="B617" s="54"/>
      <c r="C617" s="79" t="str">
        <f aca="false">IFERROR(IF($D617="","",INDEX(Übungen!$B$4:$B$23,MATCH($D617,Übungen!$A$4:$A$23,0))),"")</f>
        <v/>
      </c>
      <c r="D617" s="56"/>
      <c r="E617" s="73"/>
      <c r="F617" s="55"/>
      <c r="G617" s="74"/>
      <c r="H617" s="55"/>
      <c r="I617" s="49" t="str">
        <f aca="false">IF(AND(ISNUMBER($F617),ISNUMBER($G617),$E617&lt;&gt;"R"),$F617*$G617,"")</f>
        <v/>
      </c>
      <c r="J617" s="51" t="str">
        <f aca="false">IF(AND($E617="A",ISNUMBER($F617),ISNUMBER($G617)),$F617*(1+$G617/30),"")</f>
        <v/>
      </c>
      <c r="K617" s="56"/>
      <c r="L617" s="56"/>
    </row>
    <row r="618" customFormat="false" ht="15.75" hidden="false" customHeight="true" outlineLevel="0" collapsed="false">
      <c r="A618" s="78" t="str">
        <f aca="false">IFERROR(IF($B618="","",IF(INDEX(Einheiten!$B$4:$B$63,MATCH($B618,Einheiten!$A$4:$A$63,0))=0,"",INDEX(Einheiten!$B$4:$B$63,MATCH($B618,Einheiten!$A$4:$A$63,0)))),"")</f>
        <v/>
      </c>
      <c r="B618" s="54"/>
      <c r="C618" s="79" t="str">
        <f aca="false">IFERROR(IF($D618="","",INDEX(Übungen!$B$4:$B$23,MATCH($D618,Übungen!$A$4:$A$23,0))),"")</f>
        <v/>
      </c>
      <c r="D618" s="56"/>
      <c r="E618" s="73"/>
      <c r="F618" s="55"/>
      <c r="G618" s="74"/>
      <c r="H618" s="55"/>
      <c r="I618" s="49" t="str">
        <f aca="false">IF(AND(ISNUMBER($F618),ISNUMBER($G618),$E618&lt;&gt;"R"),$F618*$G618,"")</f>
        <v/>
      </c>
      <c r="J618" s="51" t="str">
        <f aca="false">IF(AND($E618="A",ISNUMBER($F618),ISNUMBER($G618)),$F618*(1+$G618/30),"")</f>
        <v/>
      </c>
      <c r="K618" s="56"/>
      <c r="L618" s="56"/>
    </row>
    <row r="619" customFormat="false" ht="15.75" hidden="false" customHeight="true" outlineLevel="0" collapsed="false">
      <c r="A619" s="78" t="str">
        <f aca="false">IFERROR(IF($B619="","",IF(INDEX(Einheiten!$B$4:$B$63,MATCH($B619,Einheiten!$A$4:$A$63,0))=0,"",INDEX(Einheiten!$B$4:$B$63,MATCH($B619,Einheiten!$A$4:$A$63,0)))),"")</f>
        <v/>
      </c>
      <c r="B619" s="54"/>
      <c r="C619" s="79" t="str">
        <f aca="false">IFERROR(IF($D619="","",INDEX(Übungen!$B$4:$B$23,MATCH($D619,Übungen!$A$4:$A$23,0))),"")</f>
        <v/>
      </c>
      <c r="D619" s="56"/>
      <c r="E619" s="73"/>
      <c r="F619" s="55"/>
      <c r="G619" s="74"/>
      <c r="H619" s="55"/>
      <c r="I619" s="49" t="str">
        <f aca="false">IF(AND(ISNUMBER($F619),ISNUMBER($G619),$E619&lt;&gt;"R"),$F619*$G619,"")</f>
        <v/>
      </c>
      <c r="J619" s="51" t="str">
        <f aca="false">IF(AND($E619="A",ISNUMBER($F619),ISNUMBER($G619)),$F619*(1+$G619/30),"")</f>
        <v/>
      </c>
      <c r="K619" s="56"/>
      <c r="L619" s="56"/>
    </row>
    <row r="620" customFormat="false" ht="15.75" hidden="false" customHeight="true" outlineLevel="0" collapsed="false">
      <c r="A620" s="78" t="str">
        <f aca="false">IFERROR(IF($B620="","",IF(INDEX(Einheiten!$B$4:$B$63,MATCH($B620,Einheiten!$A$4:$A$63,0))=0,"",INDEX(Einheiten!$B$4:$B$63,MATCH($B620,Einheiten!$A$4:$A$63,0)))),"")</f>
        <v/>
      </c>
      <c r="B620" s="54"/>
      <c r="C620" s="79" t="str">
        <f aca="false">IFERROR(IF($D620="","",INDEX(Übungen!$B$4:$B$23,MATCH($D620,Übungen!$A$4:$A$23,0))),"")</f>
        <v/>
      </c>
      <c r="D620" s="56"/>
      <c r="E620" s="73"/>
      <c r="F620" s="55"/>
      <c r="G620" s="74"/>
      <c r="H620" s="55"/>
      <c r="I620" s="49" t="str">
        <f aca="false">IF(AND(ISNUMBER($F620),ISNUMBER($G620),$E620&lt;&gt;"R"),$F620*$G620,"")</f>
        <v/>
      </c>
      <c r="J620" s="51" t="str">
        <f aca="false">IF(AND($E620="A",ISNUMBER($F620),ISNUMBER($G620)),$F620*(1+$G620/30),"")</f>
        <v/>
      </c>
      <c r="K620" s="56"/>
      <c r="L620" s="56"/>
    </row>
    <row r="621" customFormat="false" ht="15.75" hidden="false" customHeight="true" outlineLevel="0" collapsed="false">
      <c r="A621" s="78" t="str">
        <f aca="false">IFERROR(IF($B621="","",IF(INDEX(Einheiten!$B$4:$B$63,MATCH($B621,Einheiten!$A$4:$A$63,0))=0,"",INDEX(Einheiten!$B$4:$B$63,MATCH($B621,Einheiten!$A$4:$A$63,0)))),"")</f>
        <v/>
      </c>
      <c r="B621" s="54"/>
      <c r="C621" s="79" t="str">
        <f aca="false">IFERROR(IF($D621="","",INDEX(Übungen!$B$4:$B$23,MATCH($D621,Übungen!$A$4:$A$23,0))),"")</f>
        <v/>
      </c>
      <c r="D621" s="56"/>
      <c r="E621" s="73"/>
      <c r="F621" s="55"/>
      <c r="G621" s="74"/>
      <c r="H621" s="55"/>
      <c r="I621" s="49" t="str">
        <f aca="false">IF(AND(ISNUMBER($F621),ISNUMBER($G621),$E621&lt;&gt;"R"),$F621*$G621,"")</f>
        <v/>
      </c>
      <c r="J621" s="51" t="str">
        <f aca="false">IF(AND($E621="A",ISNUMBER($F621),ISNUMBER($G621)),$F621*(1+$G621/30),"")</f>
        <v/>
      </c>
      <c r="K621" s="56"/>
      <c r="L621" s="56"/>
    </row>
    <row r="622" customFormat="false" ht="15.75" hidden="false" customHeight="true" outlineLevel="0" collapsed="false">
      <c r="A622" s="78" t="str">
        <f aca="false">IFERROR(IF($B622="","",IF(INDEX(Einheiten!$B$4:$B$63,MATCH($B622,Einheiten!$A$4:$A$63,0))=0,"",INDEX(Einheiten!$B$4:$B$63,MATCH($B622,Einheiten!$A$4:$A$63,0)))),"")</f>
        <v/>
      </c>
      <c r="B622" s="54"/>
      <c r="C622" s="79" t="str">
        <f aca="false">IFERROR(IF($D622="","",INDEX(Übungen!$B$4:$B$23,MATCH($D622,Übungen!$A$4:$A$23,0))),"")</f>
        <v/>
      </c>
      <c r="D622" s="56"/>
      <c r="E622" s="73"/>
      <c r="F622" s="55"/>
      <c r="G622" s="74"/>
      <c r="H622" s="55"/>
      <c r="I622" s="49" t="str">
        <f aca="false">IF(AND(ISNUMBER($F622),ISNUMBER($G622),$E622&lt;&gt;"R"),$F622*$G622,"")</f>
        <v/>
      </c>
      <c r="J622" s="51" t="str">
        <f aca="false">IF(AND($E622="A",ISNUMBER($F622),ISNUMBER($G622)),$F622*(1+$G622/30),"")</f>
        <v/>
      </c>
      <c r="K622" s="56"/>
      <c r="L622" s="56"/>
    </row>
    <row r="623" customFormat="false" ht="15.75" hidden="false" customHeight="true" outlineLevel="0" collapsed="false">
      <c r="A623" s="78" t="str">
        <f aca="false">IFERROR(IF($B623="","",IF(INDEX(Einheiten!$B$4:$B$63,MATCH($B623,Einheiten!$A$4:$A$63,0))=0,"",INDEX(Einheiten!$B$4:$B$63,MATCH($B623,Einheiten!$A$4:$A$63,0)))),"")</f>
        <v/>
      </c>
      <c r="B623" s="54"/>
      <c r="C623" s="79" t="str">
        <f aca="false">IFERROR(IF($D623="","",INDEX(Übungen!$B$4:$B$23,MATCH($D623,Übungen!$A$4:$A$23,0))),"")</f>
        <v/>
      </c>
      <c r="D623" s="56"/>
      <c r="E623" s="73"/>
      <c r="F623" s="55"/>
      <c r="G623" s="74"/>
      <c r="H623" s="55"/>
      <c r="I623" s="49" t="str">
        <f aca="false">IF(AND(ISNUMBER($F623),ISNUMBER($G623),$E623&lt;&gt;"R"),$F623*$G623,"")</f>
        <v/>
      </c>
      <c r="J623" s="51" t="str">
        <f aca="false">IF(AND($E623="A",ISNUMBER($F623),ISNUMBER($G623)),$F623*(1+$G623/30),"")</f>
        <v/>
      </c>
      <c r="K623" s="56"/>
      <c r="L623" s="56"/>
    </row>
    <row r="624" customFormat="false" ht="15.75" hidden="false" customHeight="true" outlineLevel="0" collapsed="false">
      <c r="A624" s="78" t="str">
        <f aca="false">IFERROR(IF($B624="","",IF(INDEX(Einheiten!$B$4:$B$63,MATCH($B624,Einheiten!$A$4:$A$63,0))=0,"",INDEX(Einheiten!$B$4:$B$63,MATCH($B624,Einheiten!$A$4:$A$63,0)))),"")</f>
        <v/>
      </c>
      <c r="B624" s="54"/>
      <c r="C624" s="79" t="str">
        <f aca="false">IFERROR(IF($D624="","",INDEX(Übungen!$B$4:$B$23,MATCH($D624,Übungen!$A$4:$A$23,0))),"")</f>
        <v/>
      </c>
      <c r="D624" s="56"/>
      <c r="E624" s="73"/>
      <c r="F624" s="55"/>
      <c r="G624" s="74"/>
      <c r="H624" s="55"/>
      <c r="I624" s="49" t="str">
        <f aca="false">IF(AND(ISNUMBER($F624),ISNUMBER($G624),$E624&lt;&gt;"R"),$F624*$G624,"")</f>
        <v/>
      </c>
      <c r="J624" s="51" t="str">
        <f aca="false">IF(AND($E624="A",ISNUMBER($F624),ISNUMBER($G624)),$F624*(1+$G624/30),"")</f>
        <v/>
      </c>
      <c r="K624" s="56"/>
      <c r="L624" s="56"/>
    </row>
    <row r="625" customFormat="false" ht="15.75" hidden="false" customHeight="true" outlineLevel="0" collapsed="false">
      <c r="A625" s="78" t="str">
        <f aca="false">IFERROR(IF($B625="","",IF(INDEX(Einheiten!$B$4:$B$63,MATCH($B625,Einheiten!$A$4:$A$63,0))=0,"",INDEX(Einheiten!$B$4:$B$63,MATCH($B625,Einheiten!$A$4:$A$63,0)))),"")</f>
        <v/>
      </c>
      <c r="B625" s="54"/>
      <c r="C625" s="79" t="str">
        <f aca="false">IFERROR(IF($D625="","",INDEX(Übungen!$B$4:$B$23,MATCH($D625,Übungen!$A$4:$A$23,0))),"")</f>
        <v/>
      </c>
      <c r="D625" s="56"/>
      <c r="E625" s="73"/>
      <c r="F625" s="55"/>
      <c r="G625" s="74"/>
      <c r="H625" s="55"/>
      <c r="I625" s="49" t="str">
        <f aca="false">IF(AND(ISNUMBER($F625),ISNUMBER($G625),$E625&lt;&gt;"R"),$F625*$G625,"")</f>
        <v/>
      </c>
      <c r="J625" s="51" t="str">
        <f aca="false">IF(AND($E625="A",ISNUMBER($F625),ISNUMBER($G625)),$F625*(1+$G625/30),"")</f>
        <v/>
      </c>
      <c r="K625" s="56"/>
      <c r="L625" s="56"/>
    </row>
    <row r="626" customFormat="false" ht="15.75" hidden="false" customHeight="true" outlineLevel="0" collapsed="false">
      <c r="A626" s="78" t="str">
        <f aca="false">IFERROR(IF($B626="","",IF(INDEX(Einheiten!$B$4:$B$63,MATCH($B626,Einheiten!$A$4:$A$63,0))=0,"",INDEX(Einheiten!$B$4:$B$63,MATCH($B626,Einheiten!$A$4:$A$63,0)))),"")</f>
        <v/>
      </c>
      <c r="B626" s="54"/>
      <c r="C626" s="79" t="str">
        <f aca="false">IFERROR(IF($D626="","",INDEX(Übungen!$B$4:$B$23,MATCH($D626,Übungen!$A$4:$A$23,0))),"")</f>
        <v/>
      </c>
      <c r="D626" s="56"/>
      <c r="E626" s="73"/>
      <c r="F626" s="55"/>
      <c r="G626" s="74"/>
      <c r="H626" s="55"/>
      <c r="I626" s="49" t="str">
        <f aca="false">IF(AND(ISNUMBER($F626),ISNUMBER($G626),$E626&lt;&gt;"R"),$F626*$G626,"")</f>
        <v/>
      </c>
      <c r="J626" s="51" t="str">
        <f aca="false">IF(AND($E626="A",ISNUMBER($F626),ISNUMBER($G626)),$F626*(1+$G626/30),"")</f>
        <v/>
      </c>
      <c r="K626" s="56"/>
      <c r="L626" s="56"/>
    </row>
    <row r="627" customFormat="false" ht="15.75" hidden="false" customHeight="true" outlineLevel="0" collapsed="false">
      <c r="A627" s="78" t="str">
        <f aca="false">IFERROR(IF($B627="","",IF(INDEX(Einheiten!$B$4:$B$63,MATCH($B627,Einheiten!$A$4:$A$63,0))=0,"",INDEX(Einheiten!$B$4:$B$63,MATCH($B627,Einheiten!$A$4:$A$63,0)))),"")</f>
        <v/>
      </c>
      <c r="B627" s="54"/>
      <c r="C627" s="79" t="str">
        <f aca="false">IFERROR(IF($D627="","",INDEX(Übungen!$B$4:$B$23,MATCH($D627,Übungen!$A$4:$A$23,0))),"")</f>
        <v/>
      </c>
      <c r="D627" s="56"/>
      <c r="E627" s="73"/>
      <c r="F627" s="55"/>
      <c r="G627" s="74"/>
      <c r="H627" s="55"/>
      <c r="I627" s="49" t="str">
        <f aca="false">IF(AND(ISNUMBER($F627),ISNUMBER($G627),$E627&lt;&gt;"R"),$F627*$G627,"")</f>
        <v/>
      </c>
      <c r="J627" s="51" t="str">
        <f aca="false">IF(AND($E627="A",ISNUMBER($F627),ISNUMBER($G627)),$F627*(1+$G627/30),"")</f>
        <v/>
      </c>
      <c r="K627" s="56"/>
      <c r="L627" s="56"/>
    </row>
    <row r="628" customFormat="false" ht="15.75" hidden="false" customHeight="true" outlineLevel="0" collapsed="false">
      <c r="A628" s="78" t="str">
        <f aca="false">IFERROR(IF($B628="","",IF(INDEX(Einheiten!$B$4:$B$63,MATCH($B628,Einheiten!$A$4:$A$63,0))=0,"",INDEX(Einheiten!$B$4:$B$63,MATCH($B628,Einheiten!$A$4:$A$63,0)))),"")</f>
        <v/>
      </c>
      <c r="B628" s="54"/>
      <c r="C628" s="79" t="str">
        <f aca="false">IFERROR(IF($D628="","",INDEX(Übungen!$B$4:$B$23,MATCH($D628,Übungen!$A$4:$A$23,0))),"")</f>
        <v/>
      </c>
      <c r="D628" s="56"/>
      <c r="E628" s="73"/>
      <c r="F628" s="55"/>
      <c r="G628" s="74"/>
      <c r="H628" s="55"/>
      <c r="I628" s="49" t="str">
        <f aca="false">IF(AND(ISNUMBER($F628),ISNUMBER($G628),$E628&lt;&gt;"R"),$F628*$G628,"")</f>
        <v/>
      </c>
      <c r="J628" s="51" t="str">
        <f aca="false">IF(AND($E628="A",ISNUMBER($F628),ISNUMBER($G628)),$F628*(1+$G628/30),"")</f>
        <v/>
      </c>
      <c r="K628" s="56"/>
      <c r="L628" s="56"/>
    </row>
    <row r="629" customFormat="false" ht="15.75" hidden="false" customHeight="true" outlineLevel="0" collapsed="false">
      <c r="A629" s="78" t="str">
        <f aca="false">IFERROR(IF($B629="","",IF(INDEX(Einheiten!$B$4:$B$63,MATCH($B629,Einheiten!$A$4:$A$63,0))=0,"",INDEX(Einheiten!$B$4:$B$63,MATCH($B629,Einheiten!$A$4:$A$63,0)))),"")</f>
        <v/>
      </c>
      <c r="B629" s="54"/>
      <c r="C629" s="79" t="str">
        <f aca="false">IFERROR(IF($D629="","",INDEX(Übungen!$B$4:$B$23,MATCH($D629,Übungen!$A$4:$A$23,0))),"")</f>
        <v/>
      </c>
      <c r="D629" s="56"/>
      <c r="E629" s="73"/>
      <c r="F629" s="55"/>
      <c r="G629" s="74"/>
      <c r="H629" s="55"/>
      <c r="I629" s="49" t="str">
        <f aca="false">IF(AND(ISNUMBER($F629),ISNUMBER($G629),$E629&lt;&gt;"R"),$F629*$G629,"")</f>
        <v/>
      </c>
      <c r="J629" s="51" t="str">
        <f aca="false">IF(AND($E629="A",ISNUMBER($F629),ISNUMBER($G629)),$F629*(1+$G629/30),"")</f>
        <v/>
      </c>
      <c r="K629" s="56"/>
      <c r="L629" s="56"/>
    </row>
    <row r="630" customFormat="false" ht="15.75" hidden="false" customHeight="true" outlineLevel="0" collapsed="false">
      <c r="A630" s="78" t="str">
        <f aca="false">IFERROR(IF($B630="","",IF(INDEX(Einheiten!$B$4:$B$63,MATCH($B630,Einheiten!$A$4:$A$63,0))=0,"",INDEX(Einheiten!$B$4:$B$63,MATCH($B630,Einheiten!$A$4:$A$63,0)))),"")</f>
        <v/>
      </c>
      <c r="B630" s="54"/>
      <c r="C630" s="79" t="str">
        <f aca="false">IFERROR(IF($D630="","",INDEX(Übungen!$B$4:$B$23,MATCH($D630,Übungen!$A$4:$A$23,0))),"")</f>
        <v/>
      </c>
      <c r="D630" s="56"/>
      <c r="E630" s="73"/>
      <c r="F630" s="55"/>
      <c r="G630" s="74"/>
      <c r="H630" s="55"/>
      <c r="I630" s="49" t="str">
        <f aca="false">IF(AND(ISNUMBER($F630),ISNUMBER($G630),$E630&lt;&gt;"R"),$F630*$G630,"")</f>
        <v/>
      </c>
      <c r="J630" s="51" t="str">
        <f aca="false">IF(AND($E630="A",ISNUMBER($F630),ISNUMBER($G630)),$F630*(1+$G630/30),"")</f>
        <v/>
      </c>
      <c r="K630" s="56"/>
      <c r="L630" s="56"/>
    </row>
    <row r="631" customFormat="false" ht="15.75" hidden="false" customHeight="true" outlineLevel="0" collapsed="false">
      <c r="A631" s="78" t="str">
        <f aca="false">IFERROR(IF($B631="","",IF(INDEX(Einheiten!$B$4:$B$63,MATCH($B631,Einheiten!$A$4:$A$63,0))=0,"",INDEX(Einheiten!$B$4:$B$63,MATCH($B631,Einheiten!$A$4:$A$63,0)))),"")</f>
        <v/>
      </c>
      <c r="B631" s="54"/>
      <c r="C631" s="79" t="str">
        <f aca="false">IFERROR(IF($D631="","",INDEX(Übungen!$B$4:$B$23,MATCH($D631,Übungen!$A$4:$A$23,0))),"")</f>
        <v/>
      </c>
      <c r="D631" s="56"/>
      <c r="E631" s="73"/>
      <c r="F631" s="55"/>
      <c r="G631" s="74"/>
      <c r="H631" s="55"/>
      <c r="I631" s="49" t="str">
        <f aca="false">IF(AND(ISNUMBER($F631),ISNUMBER($G631),$E631&lt;&gt;"R"),$F631*$G631,"")</f>
        <v/>
      </c>
      <c r="J631" s="51" t="str">
        <f aca="false">IF(AND($E631="A",ISNUMBER($F631),ISNUMBER($G631)),$F631*(1+$G631/30),"")</f>
        <v/>
      </c>
      <c r="K631" s="56"/>
      <c r="L631" s="56"/>
    </row>
    <row r="632" customFormat="false" ht="15.75" hidden="false" customHeight="true" outlineLevel="0" collapsed="false">
      <c r="A632" s="78" t="str">
        <f aca="false">IFERROR(IF($B632="","",IF(INDEX(Einheiten!$B$4:$B$63,MATCH($B632,Einheiten!$A$4:$A$63,0))=0,"",INDEX(Einheiten!$B$4:$B$63,MATCH($B632,Einheiten!$A$4:$A$63,0)))),"")</f>
        <v/>
      </c>
      <c r="B632" s="54"/>
      <c r="C632" s="79" t="str">
        <f aca="false">IFERROR(IF($D632="","",INDEX(Übungen!$B$4:$B$23,MATCH($D632,Übungen!$A$4:$A$23,0))),"")</f>
        <v/>
      </c>
      <c r="D632" s="56"/>
      <c r="E632" s="73"/>
      <c r="F632" s="55"/>
      <c r="G632" s="74"/>
      <c r="H632" s="55"/>
      <c r="I632" s="49" t="str">
        <f aca="false">IF(AND(ISNUMBER($F632),ISNUMBER($G632),$E632&lt;&gt;"R"),$F632*$G632,"")</f>
        <v/>
      </c>
      <c r="J632" s="51" t="str">
        <f aca="false">IF(AND($E632="A",ISNUMBER($F632),ISNUMBER($G632)),$F632*(1+$G632/30),"")</f>
        <v/>
      </c>
      <c r="K632" s="56"/>
      <c r="L632" s="56"/>
    </row>
    <row r="633" customFormat="false" ht="15.75" hidden="false" customHeight="true" outlineLevel="0" collapsed="false">
      <c r="A633" s="78" t="str">
        <f aca="false">IFERROR(IF($B633="","",IF(INDEX(Einheiten!$B$4:$B$63,MATCH($B633,Einheiten!$A$4:$A$63,0))=0,"",INDEX(Einheiten!$B$4:$B$63,MATCH($B633,Einheiten!$A$4:$A$63,0)))),"")</f>
        <v/>
      </c>
      <c r="B633" s="54"/>
      <c r="C633" s="79" t="str">
        <f aca="false">IFERROR(IF($D633="","",INDEX(Übungen!$B$4:$B$23,MATCH($D633,Übungen!$A$4:$A$23,0))),"")</f>
        <v/>
      </c>
      <c r="D633" s="56"/>
      <c r="E633" s="73"/>
      <c r="F633" s="55"/>
      <c r="G633" s="74"/>
      <c r="H633" s="55"/>
      <c r="I633" s="49" t="str">
        <f aca="false">IF(AND(ISNUMBER($F633),ISNUMBER($G633),$E633&lt;&gt;"R"),$F633*$G633,"")</f>
        <v/>
      </c>
      <c r="J633" s="51" t="str">
        <f aca="false">IF(AND($E633="A",ISNUMBER($F633),ISNUMBER($G633)),$F633*(1+$G633/30),"")</f>
        <v/>
      </c>
      <c r="K633" s="56"/>
      <c r="L633" s="56"/>
    </row>
    <row r="634" customFormat="false" ht="15.75" hidden="false" customHeight="true" outlineLevel="0" collapsed="false">
      <c r="A634" s="78" t="str">
        <f aca="false">IFERROR(IF($B634="","",IF(INDEX(Einheiten!$B$4:$B$63,MATCH($B634,Einheiten!$A$4:$A$63,0))=0,"",INDEX(Einheiten!$B$4:$B$63,MATCH($B634,Einheiten!$A$4:$A$63,0)))),"")</f>
        <v/>
      </c>
      <c r="B634" s="54"/>
      <c r="C634" s="79" t="str">
        <f aca="false">IFERROR(IF($D634="","",INDEX(Übungen!$B$4:$B$23,MATCH($D634,Übungen!$A$4:$A$23,0))),"")</f>
        <v/>
      </c>
      <c r="D634" s="56"/>
      <c r="E634" s="73"/>
      <c r="F634" s="55"/>
      <c r="G634" s="74"/>
      <c r="H634" s="55"/>
      <c r="I634" s="49" t="str">
        <f aca="false">IF(AND(ISNUMBER($F634),ISNUMBER($G634),$E634&lt;&gt;"R"),$F634*$G634,"")</f>
        <v/>
      </c>
      <c r="J634" s="51" t="str">
        <f aca="false">IF(AND($E634="A",ISNUMBER($F634),ISNUMBER($G634)),$F634*(1+$G634/30),"")</f>
        <v/>
      </c>
      <c r="K634" s="56"/>
      <c r="L634" s="56"/>
    </row>
    <row r="635" customFormat="false" ht="15.75" hidden="false" customHeight="true" outlineLevel="0" collapsed="false">
      <c r="A635" s="78" t="str">
        <f aca="false">IFERROR(IF($B635="","",IF(INDEX(Einheiten!$B$4:$B$63,MATCH($B635,Einheiten!$A$4:$A$63,0))=0,"",INDEX(Einheiten!$B$4:$B$63,MATCH($B635,Einheiten!$A$4:$A$63,0)))),"")</f>
        <v/>
      </c>
      <c r="B635" s="54"/>
      <c r="C635" s="79" t="str">
        <f aca="false">IFERROR(IF($D635="","",INDEX(Übungen!$B$4:$B$23,MATCH($D635,Übungen!$A$4:$A$23,0))),"")</f>
        <v/>
      </c>
      <c r="D635" s="56"/>
      <c r="E635" s="73"/>
      <c r="F635" s="55"/>
      <c r="G635" s="74"/>
      <c r="H635" s="55"/>
      <c r="I635" s="49" t="str">
        <f aca="false">IF(AND(ISNUMBER($F635),ISNUMBER($G635),$E635&lt;&gt;"R"),$F635*$G635,"")</f>
        <v/>
      </c>
      <c r="J635" s="51" t="str">
        <f aca="false">IF(AND($E635="A",ISNUMBER($F635),ISNUMBER($G635)),$F635*(1+$G635/30),"")</f>
        <v/>
      </c>
      <c r="K635" s="56"/>
      <c r="L635" s="56"/>
    </row>
    <row r="636" customFormat="false" ht="15.75" hidden="false" customHeight="true" outlineLevel="0" collapsed="false">
      <c r="A636" s="78" t="str">
        <f aca="false">IFERROR(IF($B636="","",IF(INDEX(Einheiten!$B$4:$B$63,MATCH($B636,Einheiten!$A$4:$A$63,0))=0,"",INDEX(Einheiten!$B$4:$B$63,MATCH($B636,Einheiten!$A$4:$A$63,0)))),"")</f>
        <v/>
      </c>
      <c r="B636" s="54"/>
      <c r="C636" s="79" t="str">
        <f aca="false">IFERROR(IF($D636="","",INDEX(Übungen!$B$4:$B$23,MATCH($D636,Übungen!$A$4:$A$23,0))),"")</f>
        <v/>
      </c>
      <c r="D636" s="56"/>
      <c r="E636" s="73"/>
      <c r="F636" s="55"/>
      <c r="G636" s="74"/>
      <c r="H636" s="55"/>
      <c r="I636" s="49" t="str">
        <f aca="false">IF(AND(ISNUMBER($F636),ISNUMBER($G636),$E636&lt;&gt;"R"),$F636*$G636,"")</f>
        <v/>
      </c>
      <c r="J636" s="51" t="str">
        <f aca="false">IF(AND($E636="A",ISNUMBER($F636),ISNUMBER($G636)),$F636*(1+$G636/30),"")</f>
        <v/>
      </c>
      <c r="K636" s="56"/>
      <c r="L636" s="56"/>
    </row>
    <row r="637" customFormat="false" ht="15.75" hidden="false" customHeight="true" outlineLevel="0" collapsed="false">
      <c r="A637" s="78" t="str">
        <f aca="false">IFERROR(IF($B637="","",IF(INDEX(Einheiten!$B$4:$B$63,MATCH($B637,Einheiten!$A$4:$A$63,0))=0,"",INDEX(Einheiten!$B$4:$B$63,MATCH($B637,Einheiten!$A$4:$A$63,0)))),"")</f>
        <v/>
      </c>
      <c r="B637" s="54"/>
      <c r="C637" s="79" t="str">
        <f aca="false">IFERROR(IF($D637="","",INDEX(Übungen!$B$4:$B$23,MATCH($D637,Übungen!$A$4:$A$23,0))),"")</f>
        <v/>
      </c>
      <c r="D637" s="56"/>
      <c r="E637" s="73"/>
      <c r="F637" s="55"/>
      <c r="G637" s="74"/>
      <c r="H637" s="55"/>
      <c r="I637" s="49" t="str">
        <f aca="false">IF(AND(ISNUMBER($F637),ISNUMBER($G637),$E637&lt;&gt;"R"),$F637*$G637,"")</f>
        <v/>
      </c>
      <c r="J637" s="51" t="str">
        <f aca="false">IF(AND($E637="A",ISNUMBER($F637),ISNUMBER($G637)),$F637*(1+$G637/30),"")</f>
        <v/>
      </c>
      <c r="K637" s="56"/>
      <c r="L637" s="56"/>
    </row>
    <row r="638" customFormat="false" ht="15.75" hidden="false" customHeight="true" outlineLevel="0" collapsed="false">
      <c r="A638" s="78" t="str">
        <f aca="false">IFERROR(IF($B638="","",IF(INDEX(Einheiten!$B$4:$B$63,MATCH($B638,Einheiten!$A$4:$A$63,0))=0,"",INDEX(Einheiten!$B$4:$B$63,MATCH($B638,Einheiten!$A$4:$A$63,0)))),"")</f>
        <v/>
      </c>
      <c r="B638" s="54"/>
      <c r="C638" s="79" t="str">
        <f aca="false">IFERROR(IF($D638="","",INDEX(Übungen!$B$4:$B$23,MATCH($D638,Übungen!$A$4:$A$23,0))),"")</f>
        <v/>
      </c>
      <c r="D638" s="56"/>
      <c r="E638" s="73"/>
      <c r="F638" s="55"/>
      <c r="G638" s="74"/>
      <c r="H638" s="55"/>
      <c r="I638" s="49" t="str">
        <f aca="false">IF(AND(ISNUMBER($F638),ISNUMBER($G638),$E638&lt;&gt;"R"),$F638*$G638,"")</f>
        <v/>
      </c>
      <c r="J638" s="51" t="str">
        <f aca="false">IF(AND($E638="A",ISNUMBER($F638),ISNUMBER($G638)),$F638*(1+$G638/30),"")</f>
        <v/>
      </c>
      <c r="K638" s="56"/>
      <c r="L638" s="56"/>
    </row>
    <row r="639" customFormat="false" ht="15.75" hidden="false" customHeight="true" outlineLevel="0" collapsed="false">
      <c r="A639" s="78" t="str">
        <f aca="false">IFERROR(IF($B639="","",IF(INDEX(Einheiten!$B$4:$B$63,MATCH($B639,Einheiten!$A$4:$A$63,0))=0,"",INDEX(Einheiten!$B$4:$B$63,MATCH($B639,Einheiten!$A$4:$A$63,0)))),"")</f>
        <v/>
      </c>
      <c r="B639" s="54"/>
      <c r="C639" s="79" t="str">
        <f aca="false">IFERROR(IF($D639="","",INDEX(Übungen!$B$4:$B$23,MATCH($D639,Übungen!$A$4:$A$23,0))),"")</f>
        <v/>
      </c>
      <c r="D639" s="56"/>
      <c r="E639" s="73"/>
      <c r="F639" s="55"/>
      <c r="G639" s="74"/>
      <c r="H639" s="55"/>
      <c r="I639" s="49" t="str">
        <f aca="false">IF(AND(ISNUMBER($F639),ISNUMBER($G639),$E639&lt;&gt;"R"),$F639*$G639,"")</f>
        <v/>
      </c>
      <c r="J639" s="51" t="str">
        <f aca="false">IF(AND($E639="A",ISNUMBER($F639),ISNUMBER($G639)),$F639*(1+$G639/30),"")</f>
        <v/>
      </c>
      <c r="K639" s="56"/>
      <c r="L639" s="56"/>
    </row>
    <row r="640" customFormat="false" ht="15.75" hidden="false" customHeight="true" outlineLevel="0" collapsed="false">
      <c r="A640" s="78" t="str">
        <f aca="false">IFERROR(IF($B640="","",IF(INDEX(Einheiten!$B$4:$B$63,MATCH($B640,Einheiten!$A$4:$A$63,0))=0,"",INDEX(Einheiten!$B$4:$B$63,MATCH($B640,Einheiten!$A$4:$A$63,0)))),"")</f>
        <v/>
      </c>
      <c r="B640" s="54"/>
      <c r="C640" s="79" t="str">
        <f aca="false">IFERROR(IF($D640="","",INDEX(Übungen!$B$4:$B$23,MATCH($D640,Übungen!$A$4:$A$23,0))),"")</f>
        <v/>
      </c>
      <c r="D640" s="56"/>
      <c r="E640" s="73"/>
      <c r="F640" s="55"/>
      <c r="G640" s="74"/>
      <c r="H640" s="55"/>
      <c r="I640" s="49" t="str">
        <f aca="false">IF(AND(ISNUMBER($F640),ISNUMBER($G640),$E640&lt;&gt;"R"),$F640*$G640,"")</f>
        <v/>
      </c>
      <c r="J640" s="51" t="str">
        <f aca="false">IF(AND($E640="A",ISNUMBER($F640),ISNUMBER($G640)),$F640*(1+$G640/30),"")</f>
        <v/>
      </c>
      <c r="K640" s="56"/>
      <c r="L640" s="56"/>
    </row>
    <row r="641" customFormat="false" ht="15.75" hidden="false" customHeight="true" outlineLevel="0" collapsed="false">
      <c r="A641" s="78" t="str">
        <f aca="false">IFERROR(IF($B641="","",IF(INDEX(Einheiten!$B$4:$B$63,MATCH($B641,Einheiten!$A$4:$A$63,0))=0,"",INDEX(Einheiten!$B$4:$B$63,MATCH($B641,Einheiten!$A$4:$A$63,0)))),"")</f>
        <v/>
      </c>
      <c r="B641" s="54"/>
      <c r="C641" s="79" t="str">
        <f aca="false">IFERROR(IF($D641="","",INDEX(Übungen!$B$4:$B$23,MATCH($D641,Übungen!$A$4:$A$23,0))),"")</f>
        <v/>
      </c>
      <c r="D641" s="56"/>
      <c r="E641" s="73"/>
      <c r="F641" s="55"/>
      <c r="G641" s="74"/>
      <c r="H641" s="55"/>
      <c r="I641" s="49" t="str">
        <f aca="false">IF(AND(ISNUMBER($F641),ISNUMBER($G641),$E641&lt;&gt;"R"),$F641*$G641,"")</f>
        <v/>
      </c>
      <c r="J641" s="51" t="str">
        <f aca="false">IF(AND($E641="A",ISNUMBER($F641),ISNUMBER($G641)),$F641*(1+$G641/30),"")</f>
        <v/>
      </c>
      <c r="K641" s="56"/>
      <c r="L641" s="56"/>
    </row>
    <row r="642" customFormat="false" ht="15.75" hidden="false" customHeight="true" outlineLevel="0" collapsed="false">
      <c r="A642" s="78" t="str">
        <f aca="false">IFERROR(IF($B642="","",IF(INDEX(Einheiten!$B$4:$B$63,MATCH($B642,Einheiten!$A$4:$A$63,0))=0,"",INDEX(Einheiten!$B$4:$B$63,MATCH($B642,Einheiten!$A$4:$A$63,0)))),"")</f>
        <v/>
      </c>
      <c r="B642" s="54"/>
      <c r="C642" s="79" t="str">
        <f aca="false">IFERROR(IF($D642="","",INDEX(Übungen!$B$4:$B$23,MATCH($D642,Übungen!$A$4:$A$23,0))),"")</f>
        <v/>
      </c>
      <c r="D642" s="56"/>
      <c r="E642" s="73"/>
      <c r="F642" s="55"/>
      <c r="G642" s="74"/>
      <c r="H642" s="55"/>
      <c r="I642" s="49" t="str">
        <f aca="false">IF(AND(ISNUMBER($F642),ISNUMBER($G642),$E642&lt;&gt;"R"),$F642*$G642,"")</f>
        <v/>
      </c>
      <c r="J642" s="51" t="str">
        <f aca="false">IF(AND($E642="A",ISNUMBER($F642),ISNUMBER($G642)),$F642*(1+$G642/30),"")</f>
        <v/>
      </c>
      <c r="K642" s="56"/>
      <c r="L642" s="56"/>
    </row>
    <row r="643" customFormat="false" ht="15.75" hidden="false" customHeight="true" outlineLevel="0" collapsed="false">
      <c r="A643" s="78" t="str">
        <f aca="false">IFERROR(IF($B643="","",IF(INDEX(Einheiten!$B$4:$B$63,MATCH($B643,Einheiten!$A$4:$A$63,0))=0,"",INDEX(Einheiten!$B$4:$B$63,MATCH($B643,Einheiten!$A$4:$A$63,0)))),"")</f>
        <v/>
      </c>
      <c r="B643" s="54"/>
      <c r="C643" s="79" t="str">
        <f aca="false">IFERROR(IF($D643="","",INDEX(Übungen!$B$4:$B$23,MATCH($D643,Übungen!$A$4:$A$23,0))),"")</f>
        <v/>
      </c>
      <c r="D643" s="56"/>
      <c r="E643" s="73"/>
      <c r="F643" s="55"/>
      <c r="G643" s="74"/>
      <c r="H643" s="55"/>
      <c r="I643" s="49" t="str">
        <f aca="false">IF(AND(ISNUMBER($F643),ISNUMBER($G643),$E643&lt;&gt;"R"),$F643*$G643,"")</f>
        <v/>
      </c>
      <c r="J643" s="51" t="str">
        <f aca="false">IF(AND($E643="A",ISNUMBER($F643),ISNUMBER($G643)),$F643*(1+$G643/30),"")</f>
        <v/>
      </c>
      <c r="K643" s="56"/>
      <c r="L643" s="56"/>
    </row>
    <row r="644" customFormat="false" ht="15.75" hidden="false" customHeight="true" outlineLevel="0" collapsed="false">
      <c r="A644" s="78" t="str">
        <f aca="false">IFERROR(IF($B644="","",IF(INDEX(Einheiten!$B$4:$B$63,MATCH($B644,Einheiten!$A$4:$A$63,0))=0,"",INDEX(Einheiten!$B$4:$B$63,MATCH($B644,Einheiten!$A$4:$A$63,0)))),"")</f>
        <v/>
      </c>
      <c r="B644" s="54"/>
      <c r="C644" s="79" t="str">
        <f aca="false">IFERROR(IF($D644="","",INDEX(Übungen!$B$4:$B$23,MATCH($D644,Übungen!$A$4:$A$23,0))),"")</f>
        <v/>
      </c>
      <c r="D644" s="56"/>
      <c r="E644" s="73"/>
      <c r="F644" s="55"/>
      <c r="G644" s="74"/>
      <c r="H644" s="55"/>
      <c r="I644" s="49" t="str">
        <f aca="false">IF(AND(ISNUMBER($F644),ISNUMBER($G644),$E644&lt;&gt;"R"),$F644*$G644,"")</f>
        <v/>
      </c>
      <c r="J644" s="51" t="str">
        <f aca="false">IF(AND($E644="A",ISNUMBER($F644),ISNUMBER($G644)),$F644*(1+$G644/30),"")</f>
        <v/>
      </c>
      <c r="K644" s="56"/>
      <c r="L644" s="56"/>
    </row>
    <row r="645" customFormat="false" ht="15.75" hidden="false" customHeight="true" outlineLevel="0" collapsed="false">
      <c r="A645" s="78" t="str">
        <f aca="false">IFERROR(IF($B645="","",IF(INDEX(Einheiten!$B$4:$B$63,MATCH($B645,Einheiten!$A$4:$A$63,0))=0,"",INDEX(Einheiten!$B$4:$B$63,MATCH($B645,Einheiten!$A$4:$A$63,0)))),"")</f>
        <v/>
      </c>
      <c r="B645" s="54"/>
      <c r="C645" s="79" t="str">
        <f aca="false">IFERROR(IF($D645="","",INDEX(Übungen!$B$4:$B$23,MATCH($D645,Übungen!$A$4:$A$23,0))),"")</f>
        <v/>
      </c>
      <c r="D645" s="56"/>
      <c r="E645" s="73"/>
      <c r="F645" s="55"/>
      <c r="G645" s="74"/>
      <c r="H645" s="55"/>
      <c r="I645" s="49" t="str">
        <f aca="false">IF(AND(ISNUMBER($F645),ISNUMBER($G645),$E645&lt;&gt;"R"),$F645*$G645,"")</f>
        <v/>
      </c>
      <c r="J645" s="51" t="str">
        <f aca="false">IF(AND($E645="A",ISNUMBER($F645),ISNUMBER($G645)),$F645*(1+$G645/30),"")</f>
        <v/>
      </c>
      <c r="K645" s="56"/>
      <c r="L645" s="56"/>
    </row>
    <row r="646" customFormat="false" ht="15.75" hidden="false" customHeight="true" outlineLevel="0" collapsed="false">
      <c r="A646" s="78" t="str">
        <f aca="false">IFERROR(IF($B646="","",IF(INDEX(Einheiten!$B$4:$B$63,MATCH($B646,Einheiten!$A$4:$A$63,0))=0,"",INDEX(Einheiten!$B$4:$B$63,MATCH($B646,Einheiten!$A$4:$A$63,0)))),"")</f>
        <v/>
      </c>
      <c r="B646" s="54"/>
      <c r="C646" s="79" t="str">
        <f aca="false">IFERROR(IF($D646="","",INDEX(Übungen!$B$4:$B$23,MATCH($D646,Übungen!$A$4:$A$23,0))),"")</f>
        <v/>
      </c>
      <c r="D646" s="56"/>
      <c r="E646" s="73"/>
      <c r="F646" s="55"/>
      <c r="G646" s="74"/>
      <c r="H646" s="55"/>
      <c r="I646" s="49" t="str">
        <f aca="false">IF(AND(ISNUMBER($F646),ISNUMBER($G646),$E646&lt;&gt;"R"),$F646*$G646,"")</f>
        <v/>
      </c>
      <c r="J646" s="51" t="str">
        <f aca="false">IF(AND($E646="A",ISNUMBER($F646),ISNUMBER($G646)),$F646*(1+$G646/30),"")</f>
        <v/>
      </c>
      <c r="K646" s="56"/>
      <c r="L646" s="56"/>
    </row>
    <row r="647" customFormat="false" ht="15.75" hidden="false" customHeight="true" outlineLevel="0" collapsed="false">
      <c r="A647" s="78" t="str">
        <f aca="false">IFERROR(IF($B647="","",IF(INDEX(Einheiten!$B$4:$B$63,MATCH($B647,Einheiten!$A$4:$A$63,0))=0,"",INDEX(Einheiten!$B$4:$B$63,MATCH($B647,Einheiten!$A$4:$A$63,0)))),"")</f>
        <v/>
      </c>
      <c r="B647" s="54"/>
      <c r="C647" s="79" t="str">
        <f aca="false">IFERROR(IF($D647="","",INDEX(Übungen!$B$4:$B$23,MATCH($D647,Übungen!$A$4:$A$23,0))),"")</f>
        <v/>
      </c>
      <c r="D647" s="56"/>
      <c r="E647" s="73"/>
      <c r="F647" s="55"/>
      <c r="G647" s="74"/>
      <c r="H647" s="55"/>
      <c r="I647" s="49" t="str">
        <f aca="false">IF(AND(ISNUMBER($F647),ISNUMBER($G647),$E647&lt;&gt;"R"),$F647*$G647,"")</f>
        <v/>
      </c>
      <c r="J647" s="51" t="str">
        <f aca="false">IF(AND($E647="A",ISNUMBER($F647),ISNUMBER($G647)),$F647*(1+$G647/30),"")</f>
        <v/>
      </c>
      <c r="K647" s="56"/>
      <c r="L647" s="56"/>
    </row>
    <row r="648" customFormat="false" ht="15.75" hidden="false" customHeight="true" outlineLevel="0" collapsed="false">
      <c r="A648" s="78" t="str">
        <f aca="false">IFERROR(IF($B648="","",IF(INDEX(Einheiten!$B$4:$B$63,MATCH($B648,Einheiten!$A$4:$A$63,0))=0,"",INDEX(Einheiten!$B$4:$B$63,MATCH($B648,Einheiten!$A$4:$A$63,0)))),"")</f>
        <v/>
      </c>
      <c r="B648" s="54"/>
      <c r="C648" s="79" t="str">
        <f aca="false">IFERROR(IF($D648="","",INDEX(Übungen!$B$4:$B$23,MATCH($D648,Übungen!$A$4:$A$23,0))),"")</f>
        <v/>
      </c>
      <c r="D648" s="56"/>
      <c r="E648" s="73"/>
      <c r="F648" s="55"/>
      <c r="G648" s="74"/>
      <c r="H648" s="55"/>
      <c r="I648" s="49" t="str">
        <f aca="false">IF(AND(ISNUMBER($F648),ISNUMBER($G648),$E648&lt;&gt;"R"),$F648*$G648,"")</f>
        <v/>
      </c>
      <c r="J648" s="51" t="str">
        <f aca="false">IF(AND($E648="A",ISNUMBER($F648),ISNUMBER($G648)),$F648*(1+$G648/30),"")</f>
        <v/>
      </c>
      <c r="K648" s="56"/>
      <c r="L648" s="56"/>
    </row>
    <row r="649" customFormat="false" ht="15.75" hidden="false" customHeight="true" outlineLevel="0" collapsed="false">
      <c r="A649" s="78" t="str">
        <f aca="false">IFERROR(IF($B649="","",IF(INDEX(Einheiten!$B$4:$B$63,MATCH($B649,Einheiten!$A$4:$A$63,0))=0,"",INDEX(Einheiten!$B$4:$B$63,MATCH($B649,Einheiten!$A$4:$A$63,0)))),"")</f>
        <v/>
      </c>
      <c r="B649" s="54"/>
      <c r="C649" s="79" t="str">
        <f aca="false">IFERROR(IF($D649="","",INDEX(Übungen!$B$4:$B$23,MATCH($D649,Übungen!$A$4:$A$23,0))),"")</f>
        <v/>
      </c>
      <c r="D649" s="56"/>
      <c r="E649" s="73"/>
      <c r="F649" s="55"/>
      <c r="G649" s="74"/>
      <c r="H649" s="55"/>
      <c r="I649" s="49" t="str">
        <f aca="false">IF(AND(ISNUMBER($F649),ISNUMBER($G649),$E649&lt;&gt;"R"),$F649*$G649,"")</f>
        <v/>
      </c>
      <c r="J649" s="51" t="str">
        <f aca="false">IF(AND($E649="A",ISNUMBER($F649),ISNUMBER($G649)),$F649*(1+$G649/30),"")</f>
        <v/>
      </c>
      <c r="K649" s="56"/>
      <c r="L649" s="56"/>
    </row>
    <row r="650" customFormat="false" ht="15.75" hidden="false" customHeight="true" outlineLevel="0" collapsed="false">
      <c r="A650" s="78" t="str">
        <f aca="false">IFERROR(IF($B650="","",IF(INDEX(Einheiten!$B$4:$B$63,MATCH($B650,Einheiten!$A$4:$A$63,0))=0,"",INDEX(Einheiten!$B$4:$B$63,MATCH($B650,Einheiten!$A$4:$A$63,0)))),"")</f>
        <v/>
      </c>
      <c r="B650" s="54"/>
      <c r="C650" s="79" t="str">
        <f aca="false">IFERROR(IF($D650="","",INDEX(Übungen!$B$4:$B$23,MATCH($D650,Übungen!$A$4:$A$23,0))),"")</f>
        <v/>
      </c>
      <c r="D650" s="56"/>
      <c r="E650" s="73"/>
      <c r="F650" s="55"/>
      <c r="G650" s="74"/>
      <c r="H650" s="55"/>
      <c r="I650" s="49" t="str">
        <f aca="false">IF(AND(ISNUMBER($F650),ISNUMBER($G650),$E650&lt;&gt;"R"),$F650*$G650,"")</f>
        <v/>
      </c>
      <c r="J650" s="51" t="str">
        <f aca="false">IF(AND($E650="A",ISNUMBER($F650),ISNUMBER($G650)),$F650*(1+$G650/30),"")</f>
        <v/>
      </c>
      <c r="K650" s="56"/>
      <c r="L650" s="56"/>
    </row>
    <row r="651" customFormat="false" ht="15.75" hidden="false" customHeight="true" outlineLevel="0" collapsed="false">
      <c r="A651" s="78" t="str">
        <f aca="false">IFERROR(IF($B651="","",IF(INDEX(Einheiten!$B$4:$B$63,MATCH($B651,Einheiten!$A$4:$A$63,0))=0,"",INDEX(Einheiten!$B$4:$B$63,MATCH($B651,Einheiten!$A$4:$A$63,0)))),"")</f>
        <v/>
      </c>
      <c r="B651" s="54"/>
      <c r="C651" s="79" t="str">
        <f aca="false">IFERROR(IF($D651="","",INDEX(Übungen!$B$4:$B$23,MATCH($D651,Übungen!$A$4:$A$23,0))),"")</f>
        <v/>
      </c>
      <c r="D651" s="56"/>
      <c r="E651" s="73"/>
      <c r="F651" s="55"/>
      <c r="G651" s="74"/>
      <c r="H651" s="55"/>
      <c r="I651" s="49" t="str">
        <f aca="false">IF(AND(ISNUMBER($F651),ISNUMBER($G651),$E651&lt;&gt;"R"),$F651*$G651,"")</f>
        <v/>
      </c>
      <c r="J651" s="51" t="str">
        <f aca="false">IF(AND($E651="A",ISNUMBER($F651),ISNUMBER($G651)),$F651*(1+$G651/30),"")</f>
        <v/>
      </c>
      <c r="K651" s="56"/>
      <c r="L651" s="56"/>
    </row>
    <row r="652" customFormat="false" ht="15.75" hidden="false" customHeight="true" outlineLevel="0" collapsed="false">
      <c r="A652" s="78" t="str">
        <f aca="false">IFERROR(IF($B652="","",IF(INDEX(Einheiten!$B$4:$B$63,MATCH($B652,Einheiten!$A$4:$A$63,0))=0,"",INDEX(Einheiten!$B$4:$B$63,MATCH($B652,Einheiten!$A$4:$A$63,0)))),"")</f>
        <v/>
      </c>
      <c r="B652" s="54"/>
      <c r="C652" s="79" t="str">
        <f aca="false">IFERROR(IF($D652="","",INDEX(Übungen!$B$4:$B$23,MATCH($D652,Übungen!$A$4:$A$23,0))),"")</f>
        <v/>
      </c>
      <c r="D652" s="56"/>
      <c r="E652" s="73"/>
      <c r="F652" s="55"/>
      <c r="G652" s="74"/>
      <c r="H652" s="55"/>
      <c r="I652" s="49" t="str">
        <f aca="false">IF(AND(ISNUMBER($F652),ISNUMBER($G652),$E652&lt;&gt;"R"),$F652*$G652,"")</f>
        <v/>
      </c>
      <c r="J652" s="51" t="str">
        <f aca="false">IF(AND($E652="A",ISNUMBER($F652),ISNUMBER($G652)),$F652*(1+$G652/30),"")</f>
        <v/>
      </c>
      <c r="K652" s="56"/>
      <c r="L652" s="56"/>
    </row>
    <row r="653" customFormat="false" ht="15.75" hidden="false" customHeight="true" outlineLevel="0" collapsed="false">
      <c r="A653" s="78" t="str">
        <f aca="false">IFERROR(IF($B653="","",IF(INDEX(Einheiten!$B$4:$B$63,MATCH($B653,Einheiten!$A$4:$A$63,0))=0,"",INDEX(Einheiten!$B$4:$B$63,MATCH($B653,Einheiten!$A$4:$A$63,0)))),"")</f>
        <v/>
      </c>
      <c r="B653" s="54"/>
      <c r="C653" s="79" t="str">
        <f aca="false">IFERROR(IF($D653="","",INDEX(Übungen!$B$4:$B$23,MATCH($D653,Übungen!$A$4:$A$23,0))),"")</f>
        <v/>
      </c>
      <c r="D653" s="56"/>
      <c r="E653" s="73"/>
      <c r="F653" s="55"/>
      <c r="G653" s="74"/>
      <c r="H653" s="55"/>
      <c r="I653" s="49" t="str">
        <f aca="false">IF(AND(ISNUMBER($F653),ISNUMBER($G653),$E653&lt;&gt;"R"),$F653*$G653,"")</f>
        <v/>
      </c>
      <c r="J653" s="51" t="str">
        <f aca="false">IF(AND($E653="A",ISNUMBER($F653),ISNUMBER($G653)),$F653*(1+$G653/30),"")</f>
        <v/>
      </c>
      <c r="K653" s="56"/>
      <c r="L653" s="56"/>
    </row>
    <row r="654" customFormat="false" ht="15.75" hidden="false" customHeight="true" outlineLevel="0" collapsed="false">
      <c r="A654" s="78" t="str">
        <f aca="false">IFERROR(IF($B654="","",IF(INDEX(Einheiten!$B$4:$B$63,MATCH($B654,Einheiten!$A$4:$A$63,0))=0,"",INDEX(Einheiten!$B$4:$B$63,MATCH($B654,Einheiten!$A$4:$A$63,0)))),"")</f>
        <v/>
      </c>
      <c r="B654" s="54"/>
      <c r="C654" s="79" t="str">
        <f aca="false">IFERROR(IF($D654="","",INDEX(Übungen!$B$4:$B$23,MATCH($D654,Übungen!$A$4:$A$23,0))),"")</f>
        <v/>
      </c>
      <c r="D654" s="56"/>
      <c r="E654" s="73"/>
      <c r="F654" s="55"/>
      <c r="G654" s="74"/>
      <c r="H654" s="55"/>
      <c r="I654" s="49" t="str">
        <f aca="false">IF(AND(ISNUMBER($F654),ISNUMBER($G654),$E654&lt;&gt;"R"),$F654*$G654,"")</f>
        <v/>
      </c>
      <c r="J654" s="51" t="str">
        <f aca="false">IF(AND($E654="A",ISNUMBER($F654),ISNUMBER($G654)),$F654*(1+$G654/30),"")</f>
        <v/>
      </c>
      <c r="K654" s="56"/>
      <c r="L654" s="56"/>
    </row>
    <row r="655" customFormat="false" ht="15.75" hidden="false" customHeight="true" outlineLevel="0" collapsed="false">
      <c r="A655" s="78" t="str">
        <f aca="false">IFERROR(IF($B655="","",IF(INDEX(Einheiten!$B$4:$B$63,MATCH($B655,Einheiten!$A$4:$A$63,0))=0,"",INDEX(Einheiten!$B$4:$B$63,MATCH($B655,Einheiten!$A$4:$A$63,0)))),"")</f>
        <v/>
      </c>
      <c r="B655" s="54"/>
      <c r="C655" s="79" t="str">
        <f aca="false">IFERROR(IF($D655="","",INDEX(Übungen!$B$4:$B$23,MATCH($D655,Übungen!$A$4:$A$23,0))),"")</f>
        <v/>
      </c>
      <c r="D655" s="56"/>
      <c r="E655" s="73"/>
      <c r="F655" s="55"/>
      <c r="G655" s="74"/>
      <c r="H655" s="55"/>
      <c r="I655" s="49" t="str">
        <f aca="false">IF(AND(ISNUMBER($F655),ISNUMBER($G655),$E655&lt;&gt;"R"),$F655*$G655,"")</f>
        <v/>
      </c>
      <c r="J655" s="51" t="str">
        <f aca="false">IF(AND($E655="A",ISNUMBER($F655),ISNUMBER($G655)),$F655*(1+$G655/30),"")</f>
        <v/>
      </c>
      <c r="K655" s="56"/>
      <c r="L655" s="56"/>
    </row>
    <row r="656" customFormat="false" ht="15.75" hidden="false" customHeight="true" outlineLevel="0" collapsed="false">
      <c r="A656" s="78" t="str">
        <f aca="false">IFERROR(IF($B656="","",IF(INDEX(Einheiten!$B$4:$B$63,MATCH($B656,Einheiten!$A$4:$A$63,0))=0,"",INDEX(Einheiten!$B$4:$B$63,MATCH($B656,Einheiten!$A$4:$A$63,0)))),"")</f>
        <v/>
      </c>
      <c r="B656" s="54"/>
      <c r="C656" s="79" t="str">
        <f aca="false">IFERROR(IF($D656="","",INDEX(Übungen!$B$4:$B$23,MATCH($D656,Übungen!$A$4:$A$23,0))),"")</f>
        <v/>
      </c>
      <c r="D656" s="56"/>
      <c r="E656" s="73"/>
      <c r="F656" s="55"/>
      <c r="G656" s="74"/>
      <c r="H656" s="55"/>
      <c r="I656" s="49" t="str">
        <f aca="false">IF(AND(ISNUMBER($F656),ISNUMBER($G656),$E656&lt;&gt;"R"),$F656*$G656,"")</f>
        <v/>
      </c>
      <c r="J656" s="51" t="str">
        <f aca="false">IF(AND($E656="A",ISNUMBER($F656),ISNUMBER($G656)),$F656*(1+$G656/30),"")</f>
        <v/>
      </c>
      <c r="K656" s="56"/>
      <c r="L656" s="56"/>
    </row>
    <row r="657" customFormat="false" ht="15.75" hidden="false" customHeight="true" outlineLevel="0" collapsed="false">
      <c r="A657" s="78" t="str">
        <f aca="false">IFERROR(IF($B657="","",IF(INDEX(Einheiten!$B$4:$B$63,MATCH($B657,Einheiten!$A$4:$A$63,0))=0,"",INDEX(Einheiten!$B$4:$B$63,MATCH($B657,Einheiten!$A$4:$A$63,0)))),"")</f>
        <v/>
      </c>
      <c r="B657" s="54"/>
      <c r="C657" s="79" t="str">
        <f aca="false">IFERROR(IF($D657="","",INDEX(Übungen!$B$4:$B$23,MATCH($D657,Übungen!$A$4:$A$23,0))),"")</f>
        <v/>
      </c>
      <c r="D657" s="56"/>
      <c r="E657" s="73"/>
      <c r="F657" s="55"/>
      <c r="G657" s="74"/>
      <c r="H657" s="55"/>
      <c r="I657" s="49" t="str">
        <f aca="false">IF(AND(ISNUMBER($F657),ISNUMBER($G657),$E657&lt;&gt;"R"),$F657*$G657,"")</f>
        <v/>
      </c>
      <c r="J657" s="51" t="str">
        <f aca="false">IF(AND($E657="A",ISNUMBER($F657),ISNUMBER($G657)),$F657*(1+$G657/30),"")</f>
        <v/>
      </c>
      <c r="K657" s="56"/>
      <c r="L657" s="56"/>
    </row>
    <row r="658" customFormat="false" ht="15.75" hidden="false" customHeight="true" outlineLevel="0" collapsed="false">
      <c r="A658" s="78" t="str">
        <f aca="false">IFERROR(IF($B658="","",IF(INDEX(Einheiten!$B$4:$B$63,MATCH($B658,Einheiten!$A$4:$A$63,0))=0,"",INDEX(Einheiten!$B$4:$B$63,MATCH($B658,Einheiten!$A$4:$A$63,0)))),"")</f>
        <v/>
      </c>
      <c r="B658" s="54"/>
      <c r="C658" s="79" t="str">
        <f aca="false">IFERROR(IF($D658="","",INDEX(Übungen!$B$4:$B$23,MATCH($D658,Übungen!$A$4:$A$23,0))),"")</f>
        <v/>
      </c>
      <c r="D658" s="56"/>
      <c r="E658" s="73"/>
      <c r="F658" s="55"/>
      <c r="G658" s="74"/>
      <c r="H658" s="55"/>
      <c r="I658" s="49" t="str">
        <f aca="false">IF(AND(ISNUMBER($F658),ISNUMBER($G658),$E658&lt;&gt;"R"),$F658*$G658,"")</f>
        <v/>
      </c>
      <c r="J658" s="51" t="str">
        <f aca="false">IF(AND($E658="A",ISNUMBER($F658),ISNUMBER($G658)),$F658*(1+$G658/30),"")</f>
        <v/>
      </c>
      <c r="K658" s="56"/>
      <c r="L658" s="56"/>
    </row>
    <row r="659" customFormat="false" ht="15.75" hidden="false" customHeight="true" outlineLevel="0" collapsed="false">
      <c r="A659" s="78" t="str">
        <f aca="false">IFERROR(IF($B659="","",IF(INDEX(Einheiten!$B$4:$B$63,MATCH($B659,Einheiten!$A$4:$A$63,0))=0,"",INDEX(Einheiten!$B$4:$B$63,MATCH($B659,Einheiten!$A$4:$A$63,0)))),"")</f>
        <v/>
      </c>
      <c r="B659" s="54"/>
      <c r="C659" s="79" t="str">
        <f aca="false">IFERROR(IF($D659="","",INDEX(Übungen!$B$4:$B$23,MATCH($D659,Übungen!$A$4:$A$23,0))),"")</f>
        <v/>
      </c>
      <c r="D659" s="56"/>
      <c r="E659" s="73"/>
      <c r="F659" s="55"/>
      <c r="G659" s="74"/>
      <c r="H659" s="55"/>
      <c r="I659" s="49" t="str">
        <f aca="false">IF(AND(ISNUMBER($F659),ISNUMBER($G659),$E659&lt;&gt;"R"),$F659*$G659,"")</f>
        <v/>
      </c>
      <c r="J659" s="51" t="str">
        <f aca="false">IF(AND($E659="A",ISNUMBER($F659),ISNUMBER($G659)),$F659*(1+$G659/30),"")</f>
        <v/>
      </c>
      <c r="K659" s="56"/>
      <c r="L659" s="56"/>
    </row>
    <row r="660" customFormat="false" ht="15.75" hidden="false" customHeight="true" outlineLevel="0" collapsed="false">
      <c r="A660" s="78" t="str">
        <f aca="false">IFERROR(IF($B660="","",IF(INDEX(Einheiten!$B$4:$B$63,MATCH($B660,Einheiten!$A$4:$A$63,0))=0,"",INDEX(Einheiten!$B$4:$B$63,MATCH($B660,Einheiten!$A$4:$A$63,0)))),"")</f>
        <v/>
      </c>
      <c r="B660" s="54"/>
      <c r="C660" s="79" t="str">
        <f aca="false">IFERROR(IF($D660="","",INDEX(Übungen!$B$4:$B$23,MATCH($D660,Übungen!$A$4:$A$23,0))),"")</f>
        <v/>
      </c>
      <c r="D660" s="56"/>
      <c r="E660" s="73"/>
      <c r="F660" s="55"/>
      <c r="G660" s="74"/>
      <c r="H660" s="55"/>
      <c r="I660" s="49" t="str">
        <f aca="false">IF(AND(ISNUMBER($F660),ISNUMBER($G660),$E660&lt;&gt;"R"),$F660*$G660,"")</f>
        <v/>
      </c>
      <c r="J660" s="51" t="str">
        <f aca="false">IF(AND($E660="A",ISNUMBER($F660),ISNUMBER($G660)),$F660*(1+$G660/30),"")</f>
        <v/>
      </c>
      <c r="K660" s="56"/>
      <c r="L660" s="56"/>
    </row>
    <row r="661" customFormat="false" ht="15.75" hidden="false" customHeight="true" outlineLevel="0" collapsed="false">
      <c r="A661" s="78" t="str">
        <f aca="false">IFERROR(IF($B661="","",IF(INDEX(Einheiten!$B$4:$B$63,MATCH($B661,Einheiten!$A$4:$A$63,0))=0,"",INDEX(Einheiten!$B$4:$B$63,MATCH($B661,Einheiten!$A$4:$A$63,0)))),"")</f>
        <v/>
      </c>
      <c r="B661" s="54"/>
      <c r="C661" s="79" t="str">
        <f aca="false">IFERROR(IF($D661="","",INDEX(Übungen!$B$4:$B$23,MATCH($D661,Übungen!$A$4:$A$23,0))),"")</f>
        <v/>
      </c>
      <c r="D661" s="56"/>
      <c r="E661" s="73"/>
      <c r="F661" s="55"/>
      <c r="G661" s="74"/>
      <c r="H661" s="55"/>
      <c r="I661" s="49" t="str">
        <f aca="false">IF(AND(ISNUMBER($F661),ISNUMBER($G661),$E661&lt;&gt;"R"),$F661*$G661,"")</f>
        <v/>
      </c>
      <c r="J661" s="51" t="str">
        <f aca="false">IF(AND($E661="A",ISNUMBER($F661),ISNUMBER($G661)),$F661*(1+$G661/30),"")</f>
        <v/>
      </c>
      <c r="K661" s="56"/>
      <c r="L661" s="56"/>
    </row>
    <row r="662" customFormat="false" ht="15.75" hidden="false" customHeight="true" outlineLevel="0" collapsed="false">
      <c r="A662" s="78" t="str">
        <f aca="false">IFERROR(IF($B662="","",IF(INDEX(Einheiten!$B$4:$B$63,MATCH($B662,Einheiten!$A$4:$A$63,0))=0,"",INDEX(Einheiten!$B$4:$B$63,MATCH($B662,Einheiten!$A$4:$A$63,0)))),"")</f>
        <v/>
      </c>
      <c r="B662" s="54"/>
      <c r="C662" s="79" t="str">
        <f aca="false">IFERROR(IF($D662="","",INDEX(Übungen!$B$4:$B$23,MATCH($D662,Übungen!$A$4:$A$23,0))),"")</f>
        <v/>
      </c>
      <c r="D662" s="56"/>
      <c r="E662" s="73"/>
      <c r="F662" s="55"/>
      <c r="G662" s="74"/>
      <c r="H662" s="55"/>
      <c r="I662" s="49" t="str">
        <f aca="false">IF(AND(ISNUMBER($F662),ISNUMBER($G662),$E662&lt;&gt;"R"),$F662*$G662,"")</f>
        <v/>
      </c>
      <c r="J662" s="51" t="str">
        <f aca="false">IF(AND($E662="A",ISNUMBER($F662),ISNUMBER($G662)),$F662*(1+$G662/30),"")</f>
        <v/>
      </c>
      <c r="K662" s="56"/>
      <c r="L662" s="56"/>
    </row>
    <row r="663" customFormat="false" ht="15.75" hidden="false" customHeight="true" outlineLevel="0" collapsed="false">
      <c r="A663" s="78" t="str">
        <f aca="false">IFERROR(IF($B663="","",IF(INDEX(Einheiten!$B$4:$B$63,MATCH($B663,Einheiten!$A$4:$A$63,0))=0,"",INDEX(Einheiten!$B$4:$B$63,MATCH($B663,Einheiten!$A$4:$A$63,0)))),"")</f>
        <v/>
      </c>
      <c r="B663" s="54"/>
      <c r="C663" s="79" t="str">
        <f aca="false">IFERROR(IF($D663="","",INDEX(Übungen!$B$4:$B$23,MATCH($D663,Übungen!$A$4:$A$23,0))),"")</f>
        <v/>
      </c>
      <c r="D663" s="56"/>
      <c r="E663" s="73"/>
      <c r="F663" s="55"/>
      <c r="G663" s="74"/>
      <c r="H663" s="55"/>
      <c r="I663" s="49" t="str">
        <f aca="false">IF(AND(ISNUMBER($F663),ISNUMBER($G663),$E663&lt;&gt;"R"),$F663*$G663,"")</f>
        <v/>
      </c>
      <c r="J663" s="51" t="str">
        <f aca="false">IF(AND($E663="A",ISNUMBER($F663),ISNUMBER($G663)),$F663*(1+$G663/30),"")</f>
        <v/>
      </c>
      <c r="K663" s="56"/>
      <c r="L663" s="56"/>
    </row>
    <row r="664" customFormat="false" ht="15.75" hidden="false" customHeight="true" outlineLevel="0" collapsed="false">
      <c r="A664" s="78" t="str">
        <f aca="false">IFERROR(IF($B664="","",IF(INDEX(Einheiten!$B$4:$B$63,MATCH($B664,Einheiten!$A$4:$A$63,0))=0,"",INDEX(Einheiten!$B$4:$B$63,MATCH($B664,Einheiten!$A$4:$A$63,0)))),"")</f>
        <v/>
      </c>
      <c r="B664" s="54"/>
      <c r="C664" s="79" t="str">
        <f aca="false">IFERROR(IF($D664="","",INDEX(Übungen!$B$4:$B$23,MATCH($D664,Übungen!$A$4:$A$23,0))),"")</f>
        <v/>
      </c>
      <c r="D664" s="56"/>
      <c r="E664" s="73"/>
      <c r="F664" s="55"/>
      <c r="G664" s="74"/>
      <c r="H664" s="55"/>
      <c r="I664" s="49" t="str">
        <f aca="false">IF(AND(ISNUMBER($F664),ISNUMBER($G664),$E664&lt;&gt;"R"),$F664*$G664,"")</f>
        <v/>
      </c>
      <c r="J664" s="51" t="str">
        <f aca="false">IF(AND($E664="A",ISNUMBER($F664),ISNUMBER($G664)),$F664*(1+$G664/30),"")</f>
        <v/>
      </c>
      <c r="K664" s="56"/>
      <c r="L664" s="56"/>
    </row>
    <row r="665" customFormat="false" ht="15.75" hidden="false" customHeight="true" outlineLevel="0" collapsed="false">
      <c r="A665" s="78" t="str">
        <f aca="false">IFERROR(IF($B665="","",IF(INDEX(Einheiten!$B$4:$B$63,MATCH($B665,Einheiten!$A$4:$A$63,0))=0,"",INDEX(Einheiten!$B$4:$B$63,MATCH($B665,Einheiten!$A$4:$A$63,0)))),"")</f>
        <v/>
      </c>
      <c r="B665" s="54"/>
      <c r="C665" s="79" t="str">
        <f aca="false">IFERROR(IF($D665="","",INDEX(Übungen!$B$4:$B$23,MATCH($D665,Übungen!$A$4:$A$23,0))),"")</f>
        <v/>
      </c>
      <c r="D665" s="56"/>
      <c r="E665" s="73"/>
      <c r="F665" s="55"/>
      <c r="G665" s="74"/>
      <c r="H665" s="55"/>
      <c r="I665" s="49" t="str">
        <f aca="false">IF(AND(ISNUMBER($F665),ISNUMBER($G665),$E665&lt;&gt;"R"),$F665*$G665,"")</f>
        <v/>
      </c>
      <c r="J665" s="51" t="str">
        <f aca="false">IF(AND($E665="A",ISNUMBER($F665),ISNUMBER($G665)),$F665*(1+$G665/30),"")</f>
        <v/>
      </c>
      <c r="K665" s="56"/>
      <c r="L665" s="56"/>
    </row>
    <row r="666" customFormat="false" ht="15.75" hidden="false" customHeight="true" outlineLevel="0" collapsed="false">
      <c r="A666" s="78" t="str">
        <f aca="false">IFERROR(IF($B666="","",IF(INDEX(Einheiten!$B$4:$B$63,MATCH($B666,Einheiten!$A$4:$A$63,0))=0,"",INDEX(Einheiten!$B$4:$B$63,MATCH($B666,Einheiten!$A$4:$A$63,0)))),"")</f>
        <v/>
      </c>
      <c r="B666" s="54"/>
      <c r="C666" s="79" t="str">
        <f aca="false">IFERROR(IF($D666="","",INDEX(Übungen!$B$4:$B$23,MATCH($D666,Übungen!$A$4:$A$23,0))),"")</f>
        <v/>
      </c>
      <c r="D666" s="56"/>
      <c r="E666" s="73"/>
      <c r="F666" s="55"/>
      <c r="G666" s="74"/>
      <c r="H666" s="55"/>
      <c r="I666" s="49" t="str">
        <f aca="false">IF(AND(ISNUMBER($F666),ISNUMBER($G666),$E666&lt;&gt;"R"),$F666*$G666,"")</f>
        <v/>
      </c>
      <c r="J666" s="51" t="str">
        <f aca="false">IF(AND($E666="A",ISNUMBER($F666),ISNUMBER($G666)),$F666*(1+$G666/30),"")</f>
        <v/>
      </c>
      <c r="K666" s="56"/>
      <c r="L666" s="56"/>
    </row>
    <row r="667" customFormat="false" ht="15.75" hidden="false" customHeight="true" outlineLevel="0" collapsed="false">
      <c r="A667" s="78" t="str">
        <f aca="false">IFERROR(IF($B667="","",IF(INDEX(Einheiten!$B$4:$B$63,MATCH($B667,Einheiten!$A$4:$A$63,0))=0,"",INDEX(Einheiten!$B$4:$B$63,MATCH($B667,Einheiten!$A$4:$A$63,0)))),"")</f>
        <v/>
      </c>
      <c r="B667" s="54"/>
      <c r="C667" s="79" t="str">
        <f aca="false">IFERROR(IF($D667="","",INDEX(Übungen!$B$4:$B$23,MATCH($D667,Übungen!$A$4:$A$23,0))),"")</f>
        <v/>
      </c>
      <c r="D667" s="56"/>
      <c r="E667" s="73"/>
      <c r="F667" s="55"/>
      <c r="G667" s="74"/>
      <c r="H667" s="55"/>
      <c r="I667" s="49" t="str">
        <f aca="false">IF(AND(ISNUMBER($F667),ISNUMBER($G667),$E667&lt;&gt;"R"),$F667*$G667,"")</f>
        <v/>
      </c>
      <c r="J667" s="51" t="str">
        <f aca="false">IF(AND($E667="A",ISNUMBER($F667),ISNUMBER($G667)),$F667*(1+$G667/30),"")</f>
        <v/>
      </c>
      <c r="K667" s="56"/>
      <c r="L667" s="56"/>
    </row>
    <row r="668" customFormat="false" ht="15.75" hidden="false" customHeight="true" outlineLevel="0" collapsed="false">
      <c r="A668" s="78" t="str">
        <f aca="false">IFERROR(IF($B668="","",IF(INDEX(Einheiten!$B$4:$B$63,MATCH($B668,Einheiten!$A$4:$A$63,0))=0,"",INDEX(Einheiten!$B$4:$B$63,MATCH($B668,Einheiten!$A$4:$A$63,0)))),"")</f>
        <v/>
      </c>
      <c r="B668" s="54"/>
      <c r="C668" s="79" t="str">
        <f aca="false">IFERROR(IF($D668="","",INDEX(Übungen!$B$4:$B$23,MATCH($D668,Übungen!$A$4:$A$23,0))),"")</f>
        <v/>
      </c>
      <c r="D668" s="56"/>
      <c r="E668" s="73"/>
      <c r="F668" s="55"/>
      <c r="G668" s="74"/>
      <c r="H668" s="55"/>
      <c r="I668" s="49" t="str">
        <f aca="false">IF(AND(ISNUMBER($F668),ISNUMBER($G668),$E668&lt;&gt;"R"),$F668*$G668,"")</f>
        <v/>
      </c>
      <c r="J668" s="51" t="str">
        <f aca="false">IF(AND($E668="A",ISNUMBER($F668),ISNUMBER($G668)),$F668*(1+$G668/30),"")</f>
        <v/>
      </c>
      <c r="K668" s="56"/>
      <c r="L668" s="56"/>
    </row>
    <row r="669" customFormat="false" ht="15.75" hidden="false" customHeight="true" outlineLevel="0" collapsed="false">
      <c r="A669" s="78" t="str">
        <f aca="false">IFERROR(IF($B669="","",IF(INDEX(Einheiten!$B$4:$B$63,MATCH($B669,Einheiten!$A$4:$A$63,0))=0,"",INDEX(Einheiten!$B$4:$B$63,MATCH($B669,Einheiten!$A$4:$A$63,0)))),"")</f>
        <v/>
      </c>
      <c r="B669" s="54"/>
      <c r="C669" s="79" t="str">
        <f aca="false">IFERROR(IF($D669="","",INDEX(Übungen!$B$4:$B$23,MATCH($D669,Übungen!$A$4:$A$23,0))),"")</f>
        <v/>
      </c>
      <c r="D669" s="56"/>
      <c r="E669" s="73"/>
      <c r="F669" s="55"/>
      <c r="G669" s="74"/>
      <c r="H669" s="55"/>
      <c r="I669" s="49" t="str">
        <f aca="false">IF(AND(ISNUMBER($F669),ISNUMBER($G669),$E669&lt;&gt;"R"),$F669*$G669,"")</f>
        <v/>
      </c>
      <c r="J669" s="51" t="str">
        <f aca="false">IF(AND($E669="A",ISNUMBER($F669),ISNUMBER($G669)),$F669*(1+$G669/30),"")</f>
        <v/>
      </c>
      <c r="K669" s="56"/>
      <c r="L669" s="56"/>
    </row>
    <row r="670" customFormat="false" ht="15.75" hidden="false" customHeight="true" outlineLevel="0" collapsed="false">
      <c r="A670" s="78" t="str">
        <f aca="false">IFERROR(IF($B670="","",IF(INDEX(Einheiten!$B$4:$B$63,MATCH($B670,Einheiten!$A$4:$A$63,0))=0,"",INDEX(Einheiten!$B$4:$B$63,MATCH($B670,Einheiten!$A$4:$A$63,0)))),"")</f>
        <v/>
      </c>
      <c r="B670" s="54"/>
      <c r="C670" s="79" t="str">
        <f aca="false">IFERROR(IF($D670="","",INDEX(Übungen!$B$4:$B$23,MATCH($D670,Übungen!$A$4:$A$23,0))),"")</f>
        <v/>
      </c>
      <c r="D670" s="56"/>
      <c r="E670" s="73"/>
      <c r="F670" s="55"/>
      <c r="G670" s="74"/>
      <c r="H670" s="55"/>
      <c r="I670" s="49" t="str">
        <f aca="false">IF(AND(ISNUMBER($F670),ISNUMBER($G670),$E670&lt;&gt;"R"),$F670*$G670,"")</f>
        <v/>
      </c>
      <c r="J670" s="51" t="str">
        <f aca="false">IF(AND($E670="A",ISNUMBER($F670),ISNUMBER($G670)),$F670*(1+$G670/30),"")</f>
        <v/>
      </c>
      <c r="K670" s="56"/>
      <c r="L670" s="56"/>
    </row>
    <row r="671" customFormat="false" ht="15.75" hidden="false" customHeight="true" outlineLevel="0" collapsed="false">
      <c r="A671" s="78" t="str">
        <f aca="false">IFERROR(IF($B671="","",IF(INDEX(Einheiten!$B$4:$B$63,MATCH($B671,Einheiten!$A$4:$A$63,0))=0,"",INDEX(Einheiten!$B$4:$B$63,MATCH($B671,Einheiten!$A$4:$A$63,0)))),"")</f>
        <v/>
      </c>
      <c r="B671" s="54"/>
      <c r="C671" s="79" t="str">
        <f aca="false">IFERROR(IF($D671="","",INDEX(Übungen!$B$4:$B$23,MATCH($D671,Übungen!$A$4:$A$23,0))),"")</f>
        <v/>
      </c>
      <c r="D671" s="56"/>
      <c r="E671" s="73"/>
      <c r="F671" s="55"/>
      <c r="G671" s="74"/>
      <c r="H671" s="55"/>
      <c r="I671" s="49" t="str">
        <f aca="false">IF(AND(ISNUMBER($F671),ISNUMBER($G671),$E671&lt;&gt;"R"),$F671*$G671,"")</f>
        <v/>
      </c>
      <c r="J671" s="51" t="str">
        <f aca="false">IF(AND($E671="A",ISNUMBER($F671),ISNUMBER($G671)),$F671*(1+$G671/30),"")</f>
        <v/>
      </c>
      <c r="K671" s="56"/>
      <c r="L671" s="56"/>
    </row>
    <row r="672" customFormat="false" ht="15.75" hidden="false" customHeight="true" outlineLevel="0" collapsed="false">
      <c r="A672" s="78" t="str">
        <f aca="false">IFERROR(IF($B672="","",IF(INDEX(Einheiten!$B$4:$B$63,MATCH($B672,Einheiten!$A$4:$A$63,0))=0,"",INDEX(Einheiten!$B$4:$B$63,MATCH($B672,Einheiten!$A$4:$A$63,0)))),"")</f>
        <v/>
      </c>
      <c r="B672" s="54"/>
      <c r="C672" s="79" t="str">
        <f aca="false">IFERROR(IF($D672="","",INDEX(Übungen!$B$4:$B$23,MATCH($D672,Übungen!$A$4:$A$23,0))),"")</f>
        <v/>
      </c>
      <c r="D672" s="56"/>
      <c r="E672" s="73"/>
      <c r="F672" s="55"/>
      <c r="G672" s="74"/>
      <c r="H672" s="55"/>
      <c r="I672" s="49" t="str">
        <f aca="false">IF(AND(ISNUMBER($F672),ISNUMBER($G672),$E672&lt;&gt;"R"),$F672*$G672,"")</f>
        <v/>
      </c>
      <c r="J672" s="51" t="str">
        <f aca="false">IF(AND($E672="A",ISNUMBER($F672),ISNUMBER($G672)),$F672*(1+$G672/30),"")</f>
        <v/>
      </c>
      <c r="K672" s="56"/>
      <c r="L672" s="56"/>
    </row>
    <row r="673" customFormat="false" ht="15.75" hidden="false" customHeight="true" outlineLevel="0" collapsed="false">
      <c r="A673" s="78" t="str">
        <f aca="false">IFERROR(IF($B673="","",IF(INDEX(Einheiten!$B$4:$B$63,MATCH($B673,Einheiten!$A$4:$A$63,0))=0,"",INDEX(Einheiten!$B$4:$B$63,MATCH($B673,Einheiten!$A$4:$A$63,0)))),"")</f>
        <v/>
      </c>
      <c r="B673" s="54"/>
      <c r="C673" s="79" t="str">
        <f aca="false">IFERROR(IF($D673="","",INDEX(Übungen!$B$4:$B$23,MATCH($D673,Übungen!$A$4:$A$23,0))),"")</f>
        <v/>
      </c>
      <c r="D673" s="56"/>
      <c r="E673" s="73"/>
      <c r="F673" s="55"/>
      <c r="G673" s="74"/>
      <c r="H673" s="55"/>
      <c r="I673" s="49" t="str">
        <f aca="false">IF(AND(ISNUMBER($F673),ISNUMBER($G673),$E673&lt;&gt;"R"),$F673*$G673,"")</f>
        <v/>
      </c>
      <c r="J673" s="51" t="str">
        <f aca="false">IF(AND($E673="A",ISNUMBER($F673),ISNUMBER($G673)),$F673*(1+$G673/30),"")</f>
        <v/>
      </c>
      <c r="K673" s="56"/>
      <c r="L673" s="56"/>
    </row>
    <row r="674" customFormat="false" ht="15.75" hidden="false" customHeight="true" outlineLevel="0" collapsed="false">
      <c r="A674" s="78" t="str">
        <f aca="false">IFERROR(IF($B674="","",IF(INDEX(Einheiten!$B$4:$B$63,MATCH($B674,Einheiten!$A$4:$A$63,0))=0,"",INDEX(Einheiten!$B$4:$B$63,MATCH($B674,Einheiten!$A$4:$A$63,0)))),"")</f>
        <v/>
      </c>
      <c r="B674" s="54"/>
      <c r="C674" s="79" t="str">
        <f aca="false">IFERROR(IF($D674="","",INDEX(Übungen!$B$4:$B$23,MATCH($D674,Übungen!$A$4:$A$23,0))),"")</f>
        <v/>
      </c>
      <c r="D674" s="56"/>
      <c r="E674" s="73"/>
      <c r="F674" s="55"/>
      <c r="G674" s="74"/>
      <c r="H674" s="55"/>
      <c r="I674" s="49" t="str">
        <f aca="false">IF(AND(ISNUMBER($F674),ISNUMBER($G674),$E674&lt;&gt;"R"),$F674*$G674,"")</f>
        <v/>
      </c>
      <c r="J674" s="51" t="str">
        <f aca="false">IF(AND($E674="A",ISNUMBER($F674),ISNUMBER($G674)),$F674*(1+$G674/30),"")</f>
        <v/>
      </c>
      <c r="K674" s="56"/>
      <c r="L674" s="56"/>
    </row>
    <row r="675" customFormat="false" ht="15.75" hidden="false" customHeight="true" outlineLevel="0" collapsed="false">
      <c r="A675" s="78" t="str">
        <f aca="false">IFERROR(IF($B675="","",IF(INDEX(Einheiten!$B$4:$B$63,MATCH($B675,Einheiten!$A$4:$A$63,0))=0,"",INDEX(Einheiten!$B$4:$B$63,MATCH($B675,Einheiten!$A$4:$A$63,0)))),"")</f>
        <v/>
      </c>
      <c r="B675" s="54"/>
      <c r="C675" s="79" t="str">
        <f aca="false">IFERROR(IF($D675="","",INDEX(Übungen!$B$4:$B$23,MATCH($D675,Übungen!$A$4:$A$23,0))),"")</f>
        <v/>
      </c>
      <c r="D675" s="56"/>
      <c r="E675" s="73"/>
      <c r="F675" s="55"/>
      <c r="G675" s="74"/>
      <c r="H675" s="55"/>
      <c r="I675" s="49" t="str">
        <f aca="false">IF(AND(ISNUMBER($F675),ISNUMBER($G675),$E675&lt;&gt;"R"),$F675*$G675,"")</f>
        <v/>
      </c>
      <c r="J675" s="51" t="str">
        <f aca="false">IF(AND($E675="A",ISNUMBER($F675),ISNUMBER($G675)),$F675*(1+$G675/30),"")</f>
        <v/>
      </c>
      <c r="K675" s="56"/>
      <c r="L675" s="56"/>
    </row>
    <row r="676" customFormat="false" ht="15.75" hidden="false" customHeight="true" outlineLevel="0" collapsed="false">
      <c r="A676" s="78" t="str">
        <f aca="false">IFERROR(IF($B676="","",IF(INDEX(Einheiten!$B$4:$B$63,MATCH($B676,Einheiten!$A$4:$A$63,0))=0,"",INDEX(Einheiten!$B$4:$B$63,MATCH($B676,Einheiten!$A$4:$A$63,0)))),"")</f>
        <v/>
      </c>
      <c r="B676" s="54"/>
      <c r="C676" s="79" t="str">
        <f aca="false">IFERROR(IF($D676="","",INDEX(Übungen!$B$4:$B$23,MATCH($D676,Übungen!$A$4:$A$23,0))),"")</f>
        <v/>
      </c>
      <c r="D676" s="56"/>
      <c r="E676" s="73"/>
      <c r="F676" s="55"/>
      <c r="G676" s="74"/>
      <c r="H676" s="55"/>
      <c r="I676" s="49" t="str">
        <f aca="false">IF(AND(ISNUMBER($F676),ISNUMBER($G676),$E676&lt;&gt;"R"),$F676*$G676,"")</f>
        <v/>
      </c>
      <c r="J676" s="51" t="str">
        <f aca="false">IF(AND($E676="A",ISNUMBER($F676),ISNUMBER($G676)),$F676*(1+$G676/30),"")</f>
        <v/>
      </c>
      <c r="K676" s="56"/>
      <c r="L676" s="56"/>
    </row>
    <row r="677" customFormat="false" ht="15.75" hidden="false" customHeight="true" outlineLevel="0" collapsed="false">
      <c r="A677" s="78" t="str">
        <f aca="false">IFERROR(IF($B677="","",IF(INDEX(Einheiten!$B$4:$B$63,MATCH($B677,Einheiten!$A$4:$A$63,0))=0,"",INDEX(Einheiten!$B$4:$B$63,MATCH($B677,Einheiten!$A$4:$A$63,0)))),"")</f>
        <v/>
      </c>
      <c r="B677" s="54"/>
      <c r="C677" s="79" t="str">
        <f aca="false">IFERROR(IF($D677="","",INDEX(Übungen!$B$4:$B$23,MATCH($D677,Übungen!$A$4:$A$23,0))),"")</f>
        <v/>
      </c>
      <c r="D677" s="56"/>
      <c r="E677" s="73"/>
      <c r="F677" s="55"/>
      <c r="G677" s="74"/>
      <c r="H677" s="55"/>
      <c r="I677" s="49" t="str">
        <f aca="false">IF(AND(ISNUMBER($F677),ISNUMBER($G677),$E677&lt;&gt;"R"),$F677*$G677,"")</f>
        <v/>
      </c>
      <c r="J677" s="51" t="str">
        <f aca="false">IF(AND($E677="A",ISNUMBER($F677),ISNUMBER($G677)),$F677*(1+$G677/30),"")</f>
        <v/>
      </c>
      <c r="K677" s="56"/>
      <c r="L677" s="56"/>
    </row>
    <row r="678" customFormat="false" ht="15.75" hidden="false" customHeight="true" outlineLevel="0" collapsed="false">
      <c r="A678" s="78" t="str">
        <f aca="false">IFERROR(IF($B678="","",IF(INDEX(Einheiten!$B$4:$B$63,MATCH($B678,Einheiten!$A$4:$A$63,0))=0,"",INDEX(Einheiten!$B$4:$B$63,MATCH($B678,Einheiten!$A$4:$A$63,0)))),"")</f>
        <v/>
      </c>
      <c r="B678" s="54"/>
      <c r="C678" s="79" t="str">
        <f aca="false">IFERROR(IF($D678="","",INDEX(Übungen!$B$4:$B$23,MATCH($D678,Übungen!$A$4:$A$23,0))),"")</f>
        <v/>
      </c>
      <c r="D678" s="56"/>
      <c r="E678" s="73"/>
      <c r="F678" s="55"/>
      <c r="G678" s="74"/>
      <c r="H678" s="55"/>
      <c r="I678" s="49" t="str">
        <f aca="false">IF(AND(ISNUMBER($F678),ISNUMBER($G678),$E678&lt;&gt;"R"),$F678*$G678,"")</f>
        <v/>
      </c>
      <c r="J678" s="51" t="str">
        <f aca="false">IF(AND($E678="A",ISNUMBER($F678),ISNUMBER($G678)),$F678*(1+$G678/30),"")</f>
        <v/>
      </c>
      <c r="K678" s="56"/>
      <c r="L678" s="56"/>
    </row>
    <row r="679" customFormat="false" ht="15.75" hidden="false" customHeight="true" outlineLevel="0" collapsed="false">
      <c r="A679" s="78" t="str">
        <f aca="false">IFERROR(IF($B679="","",IF(INDEX(Einheiten!$B$4:$B$63,MATCH($B679,Einheiten!$A$4:$A$63,0))=0,"",INDEX(Einheiten!$B$4:$B$63,MATCH($B679,Einheiten!$A$4:$A$63,0)))),"")</f>
        <v/>
      </c>
      <c r="B679" s="54"/>
      <c r="C679" s="79" t="str">
        <f aca="false">IFERROR(IF($D679="","",INDEX(Übungen!$B$4:$B$23,MATCH($D679,Übungen!$A$4:$A$23,0))),"")</f>
        <v/>
      </c>
      <c r="D679" s="56"/>
      <c r="E679" s="73"/>
      <c r="F679" s="55"/>
      <c r="G679" s="74"/>
      <c r="H679" s="55"/>
      <c r="I679" s="49" t="str">
        <f aca="false">IF(AND(ISNUMBER($F679),ISNUMBER($G679),$E679&lt;&gt;"R"),$F679*$G679,"")</f>
        <v/>
      </c>
      <c r="J679" s="51" t="str">
        <f aca="false">IF(AND($E679="A",ISNUMBER($F679),ISNUMBER($G679)),$F679*(1+$G679/30),"")</f>
        <v/>
      </c>
      <c r="K679" s="56"/>
      <c r="L679" s="56"/>
    </row>
    <row r="680" customFormat="false" ht="15.75" hidden="false" customHeight="true" outlineLevel="0" collapsed="false">
      <c r="A680" s="78" t="str">
        <f aca="false">IFERROR(IF($B680="","",IF(INDEX(Einheiten!$B$4:$B$63,MATCH($B680,Einheiten!$A$4:$A$63,0))=0,"",INDEX(Einheiten!$B$4:$B$63,MATCH($B680,Einheiten!$A$4:$A$63,0)))),"")</f>
        <v/>
      </c>
      <c r="B680" s="54"/>
      <c r="C680" s="79" t="str">
        <f aca="false">IFERROR(IF($D680="","",INDEX(Übungen!$B$4:$B$23,MATCH($D680,Übungen!$A$4:$A$23,0))),"")</f>
        <v/>
      </c>
      <c r="D680" s="56"/>
      <c r="E680" s="73"/>
      <c r="F680" s="55"/>
      <c r="G680" s="74"/>
      <c r="H680" s="55"/>
      <c r="I680" s="49" t="str">
        <f aca="false">IF(AND(ISNUMBER($F680),ISNUMBER($G680),$E680&lt;&gt;"R"),$F680*$G680,"")</f>
        <v/>
      </c>
      <c r="J680" s="51" t="str">
        <f aca="false">IF(AND($E680="A",ISNUMBER($F680),ISNUMBER($G680)),$F680*(1+$G680/30),"")</f>
        <v/>
      </c>
      <c r="K680" s="56"/>
      <c r="L680" s="56"/>
    </row>
    <row r="681" customFormat="false" ht="15.75" hidden="false" customHeight="true" outlineLevel="0" collapsed="false">
      <c r="A681" s="78" t="str">
        <f aca="false">IFERROR(IF($B681="","",IF(INDEX(Einheiten!$B$4:$B$63,MATCH($B681,Einheiten!$A$4:$A$63,0))=0,"",INDEX(Einheiten!$B$4:$B$63,MATCH($B681,Einheiten!$A$4:$A$63,0)))),"")</f>
        <v/>
      </c>
      <c r="B681" s="54"/>
      <c r="C681" s="79" t="str">
        <f aca="false">IFERROR(IF($D681="","",INDEX(Übungen!$B$4:$B$23,MATCH($D681,Übungen!$A$4:$A$23,0))),"")</f>
        <v/>
      </c>
      <c r="D681" s="56"/>
      <c r="E681" s="73"/>
      <c r="F681" s="55"/>
      <c r="G681" s="74"/>
      <c r="H681" s="55"/>
      <c r="I681" s="49" t="str">
        <f aca="false">IF(AND(ISNUMBER($F681),ISNUMBER($G681),$E681&lt;&gt;"R"),$F681*$G681,"")</f>
        <v/>
      </c>
      <c r="J681" s="51" t="str">
        <f aca="false">IF(AND($E681="A",ISNUMBER($F681),ISNUMBER($G681)),$F681*(1+$G681/30),"")</f>
        <v/>
      </c>
      <c r="K681" s="56"/>
      <c r="L681" s="56"/>
    </row>
    <row r="682" customFormat="false" ht="15.75" hidden="false" customHeight="true" outlineLevel="0" collapsed="false">
      <c r="A682" s="78" t="str">
        <f aca="false">IFERROR(IF($B682="","",IF(INDEX(Einheiten!$B$4:$B$63,MATCH($B682,Einheiten!$A$4:$A$63,0))=0,"",INDEX(Einheiten!$B$4:$B$63,MATCH($B682,Einheiten!$A$4:$A$63,0)))),"")</f>
        <v/>
      </c>
      <c r="B682" s="54"/>
      <c r="C682" s="79" t="str">
        <f aca="false">IFERROR(IF($D682="","",INDEX(Übungen!$B$4:$B$23,MATCH($D682,Übungen!$A$4:$A$23,0))),"")</f>
        <v/>
      </c>
      <c r="D682" s="56"/>
      <c r="E682" s="73"/>
      <c r="F682" s="55"/>
      <c r="G682" s="74"/>
      <c r="H682" s="55"/>
      <c r="I682" s="49" t="str">
        <f aca="false">IF(AND(ISNUMBER($F682),ISNUMBER($G682),$E682&lt;&gt;"R"),$F682*$G682,"")</f>
        <v/>
      </c>
      <c r="J682" s="51" t="str">
        <f aca="false">IF(AND($E682="A",ISNUMBER($F682),ISNUMBER($G682)),$F682*(1+$G682/30),"")</f>
        <v/>
      </c>
      <c r="K682" s="56"/>
      <c r="L682" s="56"/>
    </row>
    <row r="683" customFormat="false" ht="15.75" hidden="false" customHeight="true" outlineLevel="0" collapsed="false">
      <c r="A683" s="78" t="str">
        <f aca="false">IFERROR(IF($B683="","",IF(INDEX(Einheiten!$B$4:$B$63,MATCH($B683,Einheiten!$A$4:$A$63,0))=0,"",INDEX(Einheiten!$B$4:$B$63,MATCH($B683,Einheiten!$A$4:$A$63,0)))),"")</f>
        <v/>
      </c>
      <c r="B683" s="54"/>
      <c r="C683" s="79" t="str">
        <f aca="false">IFERROR(IF($D683="","",INDEX(Übungen!$B$4:$B$23,MATCH($D683,Übungen!$A$4:$A$23,0))),"")</f>
        <v/>
      </c>
      <c r="D683" s="56"/>
      <c r="E683" s="73"/>
      <c r="F683" s="55"/>
      <c r="G683" s="74"/>
      <c r="H683" s="55"/>
      <c r="I683" s="49" t="str">
        <f aca="false">IF(AND(ISNUMBER($F683),ISNUMBER($G683),$E683&lt;&gt;"R"),$F683*$G683,"")</f>
        <v/>
      </c>
      <c r="J683" s="51" t="str">
        <f aca="false">IF(AND($E683="A",ISNUMBER($F683),ISNUMBER($G683)),$F683*(1+$G683/30),"")</f>
        <v/>
      </c>
      <c r="K683" s="56"/>
      <c r="L683" s="56"/>
    </row>
    <row r="684" customFormat="false" ht="15.75" hidden="false" customHeight="true" outlineLevel="0" collapsed="false">
      <c r="A684" s="78" t="str">
        <f aca="false">IFERROR(IF($B684="","",IF(INDEX(Einheiten!$B$4:$B$63,MATCH($B684,Einheiten!$A$4:$A$63,0))=0,"",INDEX(Einheiten!$B$4:$B$63,MATCH($B684,Einheiten!$A$4:$A$63,0)))),"")</f>
        <v/>
      </c>
      <c r="B684" s="54"/>
      <c r="C684" s="79" t="str">
        <f aca="false">IFERROR(IF($D684="","",INDEX(Übungen!$B$4:$B$23,MATCH($D684,Übungen!$A$4:$A$23,0))),"")</f>
        <v/>
      </c>
      <c r="D684" s="56"/>
      <c r="E684" s="73"/>
      <c r="F684" s="55"/>
      <c r="G684" s="74"/>
      <c r="H684" s="55"/>
      <c r="I684" s="49" t="str">
        <f aca="false">IF(AND(ISNUMBER($F684),ISNUMBER($G684),$E684&lt;&gt;"R"),$F684*$G684,"")</f>
        <v/>
      </c>
      <c r="J684" s="51" t="str">
        <f aca="false">IF(AND($E684="A",ISNUMBER($F684),ISNUMBER($G684)),$F684*(1+$G684/30),"")</f>
        <v/>
      </c>
      <c r="K684" s="56"/>
      <c r="L684" s="56"/>
    </row>
    <row r="685" customFormat="false" ht="15.75" hidden="false" customHeight="true" outlineLevel="0" collapsed="false">
      <c r="A685" s="78" t="str">
        <f aca="false">IFERROR(IF($B685="","",IF(INDEX(Einheiten!$B$4:$B$63,MATCH($B685,Einheiten!$A$4:$A$63,0))=0,"",INDEX(Einheiten!$B$4:$B$63,MATCH($B685,Einheiten!$A$4:$A$63,0)))),"")</f>
        <v/>
      </c>
      <c r="B685" s="54"/>
      <c r="C685" s="79" t="str">
        <f aca="false">IFERROR(IF($D685="","",INDEX(Übungen!$B$4:$B$23,MATCH($D685,Übungen!$A$4:$A$23,0))),"")</f>
        <v/>
      </c>
      <c r="D685" s="56"/>
      <c r="E685" s="73"/>
      <c r="F685" s="55"/>
      <c r="G685" s="74"/>
      <c r="H685" s="55"/>
      <c r="I685" s="49" t="str">
        <f aca="false">IF(AND(ISNUMBER($F685),ISNUMBER($G685),$E685&lt;&gt;"R"),$F685*$G685,"")</f>
        <v/>
      </c>
      <c r="J685" s="51" t="str">
        <f aca="false">IF(AND($E685="A",ISNUMBER($F685),ISNUMBER($G685)),$F685*(1+$G685/30),"")</f>
        <v/>
      </c>
      <c r="K685" s="56"/>
      <c r="L685" s="56"/>
    </row>
    <row r="686" customFormat="false" ht="15.75" hidden="false" customHeight="true" outlineLevel="0" collapsed="false">
      <c r="A686" s="78" t="str">
        <f aca="false">IFERROR(IF($B686="","",IF(INDEX(Einheiten!$B$4:$B$63,MATCH($B686,Einheiten!$A$4:$A$63,0))=0,"",INDEX(Einheiten!$B$4:$B$63,MATCH($B686,Einheiten!$A$4:$A$63,0)))),"")</f>
        <v/>
      </c>
      <c r="B686" s="54"/>
      <c r="C686" s="79" t="str">
        <f aca="false">IFERROR(IF($D686="","",INDEX(Übungen!$B$4:$B$23,MATCH($D686,Übungen!$A$4:$A$23,0))),"")</f>
        <v/>
      </c>
      <c r="D686" s="56"/>
      <c r="E686" s="73"/>
      <c r="F686" s="55"/>
      <c r="G686" s="74"/>
      <c r="H686" s="55"/>
      <c r="I686" s="49" t="str">
        <f aca="false">IF(AND(ISNUMBER($F686),ISNUMBER($G686),$E686&lt;&gt;"R"),$F686*$G686,"")</f>
        <v/>
      </c>
      <c r="J686" s="51" t="str">
        <f aca="false">IF(AND($E686="A",ISNUMBER($F686),ISNUMBER($G686)),$F686*(1+$G686/30),"")</f>
        <v/>
      </c>
      <c r="K686" s="56"/>
      <c r="L686" s="56"/>
    </row>
    <row r="687" customFormat="false" ht="15.75" hidden="false" customHeight="true" outlineLevel="0" collapsed="false">
      <c r="A687" s="78" t="str">
        <f aca="false">IFERROR(IF($B687="","",IF(INDEX(Einheiten!$B$4:$B$63,MATCH($B687,Einheiten!$A$4:$A$63,0))=0,"",INDEX(Einheiten!$B$4:$B$63,MATCH($B687,Einheiten!$A$4:$A$63,0)))),"")</f>
        <v/>
      </c>
      <c r="B687" s="54"/>
      <c r="C687" s="79" t="str">
        <f aca="false">IFERROR(IF($D687="","",INDEX(Übungen!$B$4:$B$23,MATCH($D687,Übungen!$A$4:$A$23,0))),"")</f>
        <v/>
      </c>
      <c r="D687" s="56"/>
      <c r="E687" s="73"/>
      <c r="F687" s="55"/>
      <c r="G687" s="74"/>
      <c r="H687" s="55"/>
      <c r="I687" s="49" t="str">
        <f aca="false">IF(AND(ISNUMBER($F687),ISNUMBER($G687),$E687&lt;&gt;"R"),$F687*$G687,"")</f>
        <v/>
      </c>
      <c r="J687" s="51" t="str">
        <f aca="false">IF(AND($E687="A",ISNUMBER($F687),ISNUMBER($G687)),$F687*(1+$G687/30),"")</f>
        <v/>
      </c>
      <c r="K687" s="56"/>
      <c r="L687" s="56"/>
    </row>
    <row r="688" customFormat="false" ht="15.75" hidden="false" customHeight="true" outlineLevel="0" collapsed="false">
      <c r="A688" s="78" t="str">
        <f aca="false">IFERROR(IF($B688="","",IF(INDEX(Einheiten!$B$4:$B$63,MATCH($B688,Einheiten!$A$4:$A$63,0))=0,"",INDEX(Einheiten!$B$4:$B$63,MATCH($B688,Einheiten!$A$4:$A$63,0)))),"")</f>
        <v/>
      </c>
      <c r="B688" s="54"/>
      <c r="C688" s="79" t="str">
        <f aca="false">IFERROR(IF($D688="","",INDEX(Übungen!$B$4:$B$23,MATCH($D688,Übungen!$A$4:$A$23,0))),"")</f>
        <v/>
      </c>
      <c r="D688" s="56"/>
      <c r="E688" s="73"/>
      <c r="F688" s="55"/>
      <c r="G688" s="74"/>
      <c r="H688" s="55"/>
      <c r="I688" s="49" t="str">
        <f aca="false">IF(AND(ISNUMBER($F688),ISNUMBER($G688),$E688&lt;&gt;"R"),$F688*$G688,"")</f>
        <v/>
      </c>
      <c r="J688" s="51" t="str">
        <f aca="false">IF(AND($E688="A",ISNUMBER($F688),ISNUMBER($G688)),$F688*(1+$G688/30),"")</f>
        <v/>
      </c>
      <c r="K688" s="56"/>
      <c r="L688" s="56"/>
    </row>
    <row r="689" customFormat="false" ht="15.75" hidden="false" customHeight="true" outlineLevel="0" collapsed="false">
      <c r="A689" s="78" t="str">
        <f aca="false">IFERROR(IF($B689="","",IF(INDEX(Einheiten!$B$4:$B$63,MATCH($B689,Einheiten!$A$4:$A$63,0))=0,"",INDEX(Einheiten!$B$4:$B$63,MATCH($B689,Einheiten!$A$4:$A$63,0)))),"")</f>
        <v/>
      </c>
      <c r="B689" s="54"/>
      <c r="C689" s="79" t="str">
        <f aca="false">IFERROR(IF($D689="","",INDEX(Übungen!$B$4:$B$23,MATCH($D689,Übungen!$A$4:$A$23,0))),"")</f>
        <v/>
      </c>
      <c r="D689" s="56"/>
      <c r="E689" s="73"/>
      <c r="F689" s="55"/>
      <c r="G689" s="74"/>
      <c r="H689" s="55"/>
      <c r="I689" s="49" t="str">
        <f aca="false">IF(AND(ISNUMBER($F689),ISNUMBER($G689),$E689&lt;&gt;"R"),$F689*$G689,"")</f>
        <v/>
      </c>
      <c r="J689" s="51" t="str">
        <f aca="false">IF(AND($E689="A",ISNUMBER($F689),ISNUMBER($G689)),$F689*(1+$G689/30),"")</f>
        <v/>
      </c>
      <c r="K689" s="56"/>
      <c r="L689" s="56"/>
    </row>
    <row r="690" customFormat="false" ht="15.75" hidden="false" customHeight="true" outlineLevel="0" collapsed="false">
      <c r="A690" s="78" t="str">
        <f aca="false">IFERROR(IF($B690="","",IF(INDEX(Einheiten!$B$4:$B$63,MATCH($B690,Einheiten!$A$4:$A$63,0))=0,"",INDEX(Einheiten!$B$4:$B$63,MATCH($B690,Einheiten!$A$4:$A$63,0)))),"")</f>
        <v/>
      </c>
      <c r="B690" s="54"/>
      <c r="C690" s="79" t="str">
        <f aca="false">IFERROR(IF($D690="","",INDEX(Übungen!$B$4:$B$23,MATCH($D690,Übungen!$A$4:$A$23,0))),"")</f>
        <v/>
      </c>
      <c r="D690" s="56"/>
      <c r="E690" s="73"/>
      <c r="F690" s="55"/>
      <c r="G690" s="74"/>
      <c r="H690" s="55"/>
      <c r="I690" s="49" t="str">
        <f aca="false">IF(AND(ISNUMBER($F690),ISNUMBER($G690),$E690&lt;&gt;"R"),$F690*$G690,"")</f>
        <v/>
      </c>
      <c r="J690" s="51" t="str">
        <f aca="false">IF(AND($E690="A",ISNUMBER($F690),ISNUMBER($G690)),$F690*(1+$G690/30),"")</f>
        <v/>
      </c>
      <c r="K690" s="56"/>
      <c r="L690" s="56"/>
    </row>
    <row r="691" customFormat="false" ht="15.75" hidden="false" customHeight="true" outlineLevel="0" collapsed="false">
      <c r="A691" s="78" t="str">
        <f aca="false">IFERROR(IF($B691="","",IF(INDEX(Einheiten!$B$4:$B$63,MATCH($B691,Einheiten!$A$4:$A$63,0))=0,"",INDEX(Einheiten!$B$4:$B$63,MATCH($B691,Einheiten!$A$4:$A$63,0)))),"")</f>
        <v/>
      </c>
      <c r="B691" s="54"/>
      <c r="C691" s="79" t="str">
        <f aca="false">IFERROR(IF($D691="","",INDEX(Übungen!$B$4:$B$23,MATCH($D691,Übungen!$A$4:$A$23,0))),"")</f>
        <v/>
      </c>
      <c r="D691" s="56"/>
      <c r="E691" s="73"/>
      <c r="F691" s="55"/>
      <c r="G691" s="74"/>
      <c r="H691" s="55"/>
      <c r="I691" s="49" t="str">
        <f aca="false">IF(AND(ISNUMBER($F691),ISNUMBER($G691),$E691&lt;&gt;"R"),$F691*$G691,"")</f>
        <v/>
      </c>
      <c r="J691" s="51" t="str">
        <f aca="false">IF(AND($E691="A",ISNUMBER($F691),ISNUMBER($G691)),$F691*(1+$G691/30),"")</f>
        <v/>
      </c>
      <c r="K691" s="56"/>
      <c r="L691" s="56"/>
    </row>
    <row r="692" customFormat="false" ht="15.75" hidden="false" customHeight="true" outlineLevel="0" collapsed="false">
      <c r="A692" s="78" t="str">
        <f aca="false">IFERROR(IF($B692="","",IF(INDEX(Einheiten!$B$4:$B$63,MATCH($B692,Einheiten!$A$4:$A$63,0))=0,"",INDEX(Einheiten!$B$4:$B$63,MATCH($B692,Einheiten!$A$4:$A$63,0)))),"")</f>
        <v/>
      </c>
      <c r="B692" s="54"/>
      <c r="C692" s="79" t="str">
        <f aca="false">IFERROR(IF($D692="","",INDEX(Übungen!$B$4:$B$23,MATCH($D692,Übungen!$A$4:$A$23,0))),"")</f>
        <v/>
      </c>
      <c r="D692" s="56"/>
      <c r="E692" s="73"/>
      <c r="F692" s="55"/>
      <c r="G692" s="74"/>
      <c r="H692" s="55"/>
      <c r="I692" s="49" t="str">
        <f aca="false">IF(AND(ISNUMBER($F692),ISNUMBER($G692),$E692&lt;&gt;"R"),$F692*$G692,"")</f>
        <v/>
      </c>
      <c r="J692" s="51" t="str">
        <f aca="false">IF(AND($E692="A",ISNUMBER($F692),ISNUMBER($G692)),$F692*(1+$G692/30),"")</f>
        <v/>
      </c>
      <c r="K692" s="56"/>
      <c r="L692" s="56"/>
    </row>
    <row r="693" customFormat="false" ht="15.75" hidden="false" customHeight="true" outlineLevel="0" collapsed="false">
      <c r="A693" s="78" t="str">
        <f aca="false">IFERROR(IF($B693="","",IF(INDEX(Einheiten!$B$4:$B$63,MATCH($B693,Einheiten!$A$4:$A$63,0))=0,"",INDEX(Einheiten!$B$4:$B$63,MATCH($B693,Einheiten!$A$4:$A$63,0)))),"")</f>
        <v/>
      </c>
      <c r="B693" s="54"/>
      <c r="C693" s="79" t="str">
        <f aca="false">IFERROR(IF($D693="","",INDEX(Übungen!$B$4:$B$23,MATCH($D693,Übungen!$A$4:$A$23,0))),"")</f>
        <v/>
      </c>
      <c r="D693" s="56"/>
      <c r="E693" s="73"/>
      <c r="F693" s="55"/>
      <c r="G693" s="74"/>
      <c r="H693" s="55"/>
      <c r="I693" s="49" t="str">
        <f aca="false">IF(AND(ISNUMBER($F693),ISNUMBER($G693),$E693&lt;&gt;"R"),$F693*$G693,"")</f>
        <v/>
      </c>
      <c r="J693" s="51" t="str">
        <f aca="false">IF(AND($E693="A",ISNUMBER($F693),ISNUMBER($G693)),$F693*(1+$G693/30),"")</f>
        <v/>
      </c>
      <c r="K693" s="56"/>
      <c r="L693" s="56"/>
    </row>
    <row r="694" customFormat="false" ht="15.75" hidden="false" customHeight="true" outlineLevel="0" collapsed="false">
      <c r="A694" s="78" t="str">
        <f aca="false">IFERROR(IF($B694="","",IF(INDEX(Einheiten!$B$4:$B$63,MATCH($B694,Einheiten!$A$4:$A$63,0))=0,"",INDEX(Einheiten!$B$4:$B$63,MATCH($B694,Einheiten!$A$4:$A$63,0)))),"")</f>
        <v/>
      </c>
      <c r="B694" s="54"/>
      <c r="C694" s="79" t="str">
        <f aca="false">IFERROR(IF($D694="","",INDEX(Übungen!$B$4:$B$23,MATCH($D694,Übungen!$A$4:$A$23,0))),"")</f>
        <v/>
      </c>
      <c r="D694" s="56"/>
      <c r="E694" s="73"/>
      <c r="F694" s="55"/>
      <c r="G694" s="74"/>
      <c r="H694" s="55"/>
      <c r="I694" s="49" t="str">
        <f aca="false">IF(AND(ISNUMBER($F694),ISNUMBER($G694),$E694&lt;&gt;"R"),$F694*$G694,"")</f>
        <v/>
      </c>
      <c r="J694" s="51" t="str">
        <f aca="false">IF(AND($E694="A",ISNUMBER($F694),ISNUMBER($G694)),$F694*(1+$G694/30),"")</f>
        <v/>
      </c>
      <c r="K694" s="56"/>
      <c r="L694" s="56"/>
    </row>
    <row r="695" customFormat="false" ht="15.75" hidden="false" customHeight="true" outlineLevel="0" collapsed="false">
      <c r="A695" s="78" t="str">
        <f aca="false">IFERROR(IF($B695="","",IF(INDEX(Einheiten!$B$4:$B$63,MATCH($B695,Einheiten!$A$4:$A$63,0))=0,"",INDEX(Einheiten!$B$4:$B$63,MATCH($B695,Einheiten!$A$4:$A$63,0)))),"")</f>
        <v/>
      </c>
      <c r="B695" s="54"/>
      <c r="C695" s="79" t="str">
        <f aca="false">IFERROR(IF($D695="","",INDEX(Übungen!$B$4:$B$23,MATCH($D695,Übungen!$A$4:$A$23,0))),"")</f>
        <v/>
      </c>
      <c r="D695" s="56"/>
      <c r="E695" s="73"/>
      <c r="F695" s="55"/>
      <c r="G695" s="74"/>
      <c r="H695" s="55"/>
      <c r="I695" s="49" t="str">
        <f aca="false">IF(AND(ISNUMBER($F695),ISNUMBER($G695),$E695&lt;&gt;"R"),$F695*$G695,"")</f>
        <v/>
      </c>
      <c r="J695" s="51" t="str">
        <f aca="false">IF(AND($E695="A",ISNUMBER($F695),ISNUMBER($G695)),$F695*(1+$G695/30),"")</f>
        <v/>
      </c>
      <c r="K695" s="56"/>
      <c r="L695" s="56"/>
    </row>
    <row r="696" customFormat="false" ht="15.75" hidden="false" customHeight="true" outlineLevel="0" collapsed="false">
      <c r="A696" s="78" t="str">
        <f aca="false">IFERROR(IF($B696="","",IF(INDEX(Einheiten!$B$4:$B$63,MATCH($B696,Einheiten!$A$4:$A$63,0))=0,"",INDEX(Einheiten!$B$4:$B$63,MATCH($B696,Einheiten!$A$4:$A$63,0)))),"")</f>
        <v/>
      </c>
      <c r="B696" s="54"/>
      <c r="C696" s="79" t="str">
        <f aca="false">IFERROR(IF($D696="","",INDEX(Übungen!$B$4:$B$23,MATCH($D696,Übungen!$A$4:$A$23,0))),"")</f>
        <v/>
      </c>
      <c r="D696" s="56"/>
      <c r="E696" s="73"/>
      <c r="F696" s="55"/>
      <c r="G696" s="74"/>
      <c r="H696" s="55"/>
      <c r="I696" s="49" t="str">
        <f aca="false">IF(AND(ISNUMBER($F696),ISNUMBER($G696),$E696&lt;&gt;"R"),$F696*$G696,"")</f>
        <v/>
      </c>
      <c r="J696" s="51" t="str">
        <f aca="false">IF(AND($E696="A",ISNUMBER($F696),ISNUMBER($G696)),$F696*(1+$G696/30),"")</f>
        <v/>
      </c>
      <c r="K696" s="56"/>
      <c r="L696" s="56"/>
    </row>
    <row r="697" customFormat="false" ht="15.75" hidden="false" customHeight="true" outlineLevel="0" collapsed="false">
      <c r="A697" s="78" t="str">
        <f aca="false">IFERROR(IF($B697="","",IF(INDEX(Einheiten!$B$4:$B$63,MATCH($B697,Einheiten!$A$4:$A$63,0))=0,"",INDEX(Einheiten!$B$4:$B$63,MATCH($B697,Einheiten!$A$4:$A$63,0)))),"")</f>
        <v/>
      </c>
      <c r="B697" s="54"/>
      <c r="C697" s="79" t="str">
        <f aca="false">IFERROR(IF($D697="","",INDEX(Übungen!$B$4:$B$23,MATCH($D697,Übungen!$A$4:$A$23,0))),"")</f>
        <v/>
      </c>
      <c r="D697" s="56"/>
      <c r="E697" s="73"/>
      <c r="F697" s="55"/>
      <c r="G697" s="74"/>
      <c r="H697" s="55"/>
      <c r="I697" s="49" t="str">
        <f aca="false">IF(AND(ISNUMBER($F697),ISNUMBER($G697),$E697&lt;&gt;"R"),$F697*$G697,"")</f>
        <v/>
      </c>
      <c r="J697" s="51" t="str">
        <f aca="false">IF(AND($E697="A",ISNUMBER($F697),ISNUMBER($G697)),$F697*(1+$G697/30),"")</f>
        <v/>
      </c>
      <c r="K697" s="56"/>
      <c r="L697" s="56"/>
    </row>
    <row r="698" customFormat="false" ht="15.75" hidden="false" customHeight="true" outlineLevel="0" collapsed="false">
      <c r="A698" s="78" t="str">
        <f aca="false">IFERROR(IF($B698="","",IF(INDEX(Einheiten!$B$4:$B$63,MATCH($B698,Einheiten!$A$4:$A$63,0))=0,"",INDEX(Einheiten!$B$4:$B$63,MATCH($B698,Einheiten!$A$4:$A$63,0)))),"")</f>
        <v/>
      </c>
      <c r="B698" s="54"/>
      <c r="C698" s="79" t="str">
        <f aca="false">IFERROR(IF($D698="","",INDEX(Übungen!$B$4:$B$23,MATCH($D698,Übungen!$A$4:$A$23,0))),"")</f>
        <v/>
      </c>
      <c r="D698" s="56"/>
      <c r="E698" s="73"/>
      <c r="F698" s="55"/>
      <c r="G698" s="74"/>
      <c r="H698" s="55"/>
      <c r="I698" s="49" t="str">
        <f aca="false">IF(AND(ISNUMBER($F698),ISNUMBER($G698),$E698&lt;&gt;"R"),$F698*$G698,"")</f>
        <v/>
      </c>
      <c r="J698" s="51" t="str">
        <f aca="false">IF(AND($E698="A",ISNUMBER($F698),ISNUMBER($G698)),$F698*(1+$G698/30),"")</f>
        <v/>
      </c>
      <c r="K698" s="56"/>
      <c r="L698" s="56"/>
    </row>
    <row r="699" customFormat="false" ht="15.75" hidden="false" customHeight="true" outlineLevel="0" collapsed="false">
      <c r="A699" s="78" t="str">
        <f aca="false">IFERROR(IF($B699="","",IF(INDEX(Einheiten!$B$4:$B$63,MATCH($B699,Einheiten!$A$4:$A$63,0))=0,"",INDEX(Einheiten!$B$4:$B$63,MATCH($B699,Einheiten!$A$4:$A$63,0)))),"")</f>
        <v/>
      </c>
      <c r="B699" s="54"/>
      <c r="C699" s="79" t="str">
        <f aca="false">IFERROR(IF($D699="","",INDEX(Übungen!$B$4:$B$23,MATCH($D699,Übungen!$A$4:$A$23,0))),"")</f>
        <v/>
      </c>
      <c r="D699" s="56"/>
      <c r="E699" s="73"/>
      <c r="F699" s="55"/>
      <c r="G699" s="74"/>
      <c r="H699" s="55"/>
      <c r="I699" s="49" t="str">
        <f aca="false">IF(AND(ISNUMBER($F699),ISNUMBER($G699),$E699&lt;&gt;"R"),$F699*$G699,"")</f>
        <v/>
      </c>
      <c r="J699" s="51" t="str">
        <f aca="false">IF(AND($E699="A",ISNUMBER($F699),ISNUMBER($G699)),$F699*(1+$G699/30),"")</f>
        <v/>
      </c>
      <c r="K699" s="56"/>
      <c r="L699" s="56"/>
    </row>
    <row r="700" customFormat="false" ht="15.75" hidden="false" customHeight="true" outlineLevel="0" collapsed="false">
      <c r="A700" s="78" t="str">
        <f aca="false">IFERROR(IF($B700="","",IF(INDEX(Einheiten!$B$4:$B$63,MATCH($B700,Einheiten!$A$4:$A$63,0))=0,"",INDEX(Einheiten!$B$4:$B$63,MATCH($B700,Einheiten!$A$4:$A$63,0)))),"")</f>
        <v/>
      </c>
      <c r="B700" s="54"/>
      <c r="C700" s="79" t="str">
        <f aca="false">IFERROR(IF($D700="","",INDEX(Übungen!$B$4:$B$23,MATCH($D700,Übungen!$A$4:$A$23,0))),"")</f>
        <v/>
      </c>
      <c r="D700" s="56"/>
      <c r="E700" s="73"/>
      <c r="F700" s="55"/>
      <c r="G700" s="74"/>
      <c r="H700" s="55"/>
      <c r="I700" s="49" t="str">
        <f aca="false">IF(AND(ISNUMBER($F700),ISNUMBER($G700),$E700&lt;&gt;"R"),$F700*$G700,"")</f>
        <v/>
      </c>
      <c r="J700" s="51" t="str">
        <f aca="false">IF(AND($E700="A",ISNUMBER($F700),ISNUMBER($G700)),$F700*(1+$G700/30),"")</f>
        <v/>
      </c>
      <c r="K700" s="56"/>
      <c r="L700" s="56"/>
    </row>
    <row r="701" customFormat="false" ht="15.75" hidden="false" customHeight="true" outlineLevel="0" collapsed="false">
      <c r="A701" s="78" t="str">
        <f aca="false">IFERROR(IF($B701="","",IF(INDEX(Einheiten!$B$4:$B$63,MATCH($B701,Einheiten!$A$4:$A$63,0))=0,"",INDEX(Einheiten!$B$4:$B$63,MATCH($B701,Einheiten!$A$4:$A$63,0)))),"")</f>
        <v/>
      </c>
      <c r="B701" s="54"/>
      <c r="C701" s="79" t="str">
        <f aca="false">IFERROR(IF($D701="","",INDEX(Übungen!$B$4:$B$23,MATCH($D701,Übungen!$A$4:$A$23,0))),"")</f>
        <v/>
      </c>
      <c r="D701" s="56"/>
      <c r="E701" s="73"/>
      <c r="F701" s="55"/>
      <c r="G701" s="74"/>
      <c r="H701" s="55"/>
      <c r="I701" s="49" t="str">
        <f aca="false">IF(AND(ISNUMBER($F701),ISNUMBER($G701),$E701&lt;&gt;"R"),$F701*$G701,"")</f>
        <v/>
      </c>
      <c r="J701" s="51" t="str">
        <f aca="false">IF(AND($E701="A",ISNUMBER($F701),ISNUMBER($G701)),$F701*(1+$G701/30),"")</f>
        <v/>
      </c>
      <c r="K701" s="56"/>
      <c r="L701" s="56"/>
    </row>
    <row r="702" customFormat="false" ht="15.75" hidden="false" customHeight="true" outlineLevel="0" collapsed="false">
      <c r="A702" s="78" t="str">
        <f aca="false">IFERROR(IF($B702="","",IF(INDEX(Einheiten!$B$4:$B$63,MATCH($B702,Einheiten!$A$4:$A$63,0))=0,"",INDEX(Einheiten!$B$4:$B$63,MATCH($B702,Einheiten!$A$4:$A$63,0)))),"")</f>
        <v/>
      </c>
      <c r="B702" s="54"/>
      <c r="C702" s="79" t="str">
        <f aca="false">IFERROR(IF($D702="","",INDEX(Übungen!$B$4:$B$23,MATCH($D702,Übungen!$A$4:$A$23,0))),"")</f>
        <v/>
      </c>
      <c r="D702" s="56"/>
      <c r="E702" s="73"/>
      <c r="F702" s="55"/>
      <c r="G702" s="74"/>
      <c r="H702" s="55"/>
      <c r="I702" s="49" t="str">
        <f aca="false">IF(AND(ISNUMBER($F702),ISNUMBER($G702),$E702&lt;&gt;"R"),$F702*$G702,"")</f>
        <v/>
      </c>
      <c r="J702" s="51" t="str">
        <f aca="false">IF(AND($E702="A",ISNUMBER($F702),ISNUMBER($G702)),$F702*(1+$G702/30),"")</f>
        <v/>
      </c>
      <c r="K702" s="56"/>
      <c r="L702" s="56"/>
    </row>
    <row r="703" customFormat="false" ht="15.75" hidden="false" customHeight="true" outlineLevel="0" collapsed="false">
      <c r="A703" s="78" t="str">
        <f aca="false">IFERROR(IF($B703="","",IF(INDEX(Einheiten!$B$4:$B$63,MATCH($B703,Einheiten!$A$4:$A$63,0))=0,"",INDEX(Einheiten!$B$4:$B$63,MATCH($B703,Einheiten!$A$4:$A$63,0)))),"")</f>
        <v/>
      </c>
      <c r="B703" s="54"/>
      <c r="C703" s="79" t="str">
        <f aca="false">IFERROR(IF($D703="","",INDEX(Übungen!$B$4:$B$23,MATCH($D703,Übungen!$A$4:$A$23,0))),"")</f>
        <v/>
      </c>
      <c r="D703" s="56"/>
      <c r="E703" s="73"/>
      <c r="F703" s="55"/>
      <c r="G703" s="74"/>
      <c r="H703" s="55"/>
      <c r="I703" s="49" t="str">
        <f aca="false">IF(AND(ISNUMBER($F703),ISNUMBER($G703),$E703&lt;&gt;"R"),$F703*$G703,"")</f>
        <v/>
      </c>
      <c r="J703" s="51" t="str">
        <f aca="false">IF(AND($E703="A",ISNUMBER($F703),ISNUMBER($G703)),$F703*(1+$G703/30),"")</f>
        <v/>
      </c>
      <c r="K703" s="56"/>
      <c r="L703" s="56"/>
    </row>
    <row r="704" customFormat="false" ht="15.75" hidden="false" customHeight="true" outlineLevel="0" collapsed="false">
      <c r="A704" s="78" t="str">
        <f aca="false">IFERROR(IF($B704="","",IF(INDEX(Einheiten!$B$4:$B$63,MATCH($B704,Einheiten!$A$4:$A$63,0))=0,"",INDEX(Einheiten!$B$4:$B$63,MATCH($B704,Einheiten!$A$4:$A$63,0)))),"")</f>
        <v/>
      </c>
      <c r="B704" s="54"/>
      <c r="C704" s="79" t="str">
        <f aca="false">IFERROR(IF($D704="","",INDEX(Übungen!$B$4:$B$23,MATCH($D704,Übungen!$A$4:$A$23,0))),"")</f>
        <v/>
      </c>
      <c r="D704" s="56"/>
      <c r="E704" s="73"/>
      <c r="F704" s="55"/>
      <c r="G704" s="74"/>
      <c r="H704" s="55"/>
      <c r="I704" s="49" t="str">
        <f aca="false">IF(AND(ISNUMBER($F704),ISNUMBER($G704),$E704&lt;&gt;"R"),$F704*$G704,"")</f>
        <v/>
      </c>
      <c r="J704" s="51" t="str">
        <f aca="false">IF(AND($E704="A",ISNUMBER($F704),ISNUMBER($G704)),$F704*(1+$G704/30),"")</f>
        <v/>
      </c>
      <c r="K704" s="56"/>
      <c r="L704" s="56"/>
    </row>
    <row r="705" customFormat="false" ht="15.75" hidden="false" customHeight="true" outlineLevel="0" collapsed="false">
      <c r="A705" s="78" t="str">
        <f aca="false">IFERROR(IF($B705="","",IF(INDEX(Einheiten!$B$4:$B$63,MATCH($B705,Einheiten!$A$4:$A$63,0))=0,"",INDEX(Einheiten!$B$4:$B$63,MATCH($B705,Einheiten!$A$4:$A$63,0)))),"")</f>
        <v/>
      </c>
      <c r="B705" s="54"/>
      <c r="C705" s="79" t="str">
        <f aca="false">IFERROR(IF($D705="","",INDEX(Übungen!$B$4:$B$23,MATCH($D705,Übungen!$A$4:$A$23,0))),"")</f>
        <v/>
      </c>
      <c r="D705" s="56"/>
      <c r="E705" s="73"/>
      <c r="F705" s="55"/>
      <c r="G705" s="74"/>
      <c r="H705" s="55"/>
      <c r="I705" s="49" t="str">
        <f aca="false">IF(AND(ISNUMBER($F705),ISNUMBER($G705),$E705&lt;&gt;"R"),$F705*$G705,"")</f>
        <v/>
      </c>
      <c r="J705" s="51" t="str">
        <f aca="false">IF(AND($E705="A",ISNUMBER($F705),ISNUMBER($G705)),$F705*(1+$G705/30),"")</f>
        <v/>
      </c>
      <c r="K705" s="56"/>
      <c r="L705" s="56"/>
    </row>
    <row r="706" customFormat="false" ht="15.75" hidden="false" customHeight="true" outlineLevel="0" collapsed="false">
      <c r="A706" s="78" t="str">
        <f aca="false">IFERROR(IF($B706="","",IF(INDEX(Einheiten!$B$4:$B$63,MATCH($B706,Einheiten!$A$4:$A$63,0))=0,"",INDEX(Einheiten!$B$4:$B$63,MATCH($B706,Einheiten!$A$4:$A$63,0)))),"")</f>
        <v/>
      </c>
      <c r="B706" s="54"/>
      <c r="C706" s="79" t="str">
        <f aca="false">IFERROR(IF($D706="","",INDEX(Übungen!$B$4:$B$23,MATCH($D706,Übungen!$A$4:$A$23,0))),"")</f>
        <v/>
      </c>
      <c r="D706" s="56"/>
      <c r="E706" s="73"/>
      <c r="F706" s="55"/>
      <c r="G706" s="74"/>
      <c r="H706" s="55"/>
      <c r="I706" s="49" t="str">
        <f aca="false">IF(AND(ISNUMBER($F706),ISNUMBER($G706),$E706&lt;&gt;"R"),$F706*$G706,"")</f>
        <v/>
      </c>
      <c r="J706" s="51" t="str">
        <f aca="false">IF(AND($E706="A",ISNUMBER($F706),ISNUMBER($G706)),$F706*(1+$G706/30),"")</f>
        <v/>
      </c>
      <c r="K706" s="56"/>
      <c r="L706" s="56"/>
    </row>
    <row r="707" customFormat="false" ht="15.75" hidden="false" customHeight="true" outlineLevel="0" collapsed="false">
      <c r="A707" s="78" t="str">
        <f aca="false">IFERROR(IF($B707="","",IF(INDEX(Einheiten!$B$4:$B$63,MATCH($B707,Einheiten!$A$4:$A$63,0))=0,"",INDEX(Einheiten!$B$4:$B$63,MATCH($B707,Einheiten!$A$4:$A$63,0)))),"")</f>
        <v/>
      </c>
      <c r="B707" s="54"/>
      <c r="C707" s="79" t="str">
        <f aca="false">IFERROR(IF($D707="","",INDEX(Übungen!$B$4:$B$23,MATCH($D707,Übungen!$A$4:$A$23,0))),"")</f>
        <v/>
      </c>
      <c r="D707" s="56"/>
      <c r="E707" s="73"/>
      <c r="F707" s="55"/>
      <c r="G707" s="74"/>
      <c r="H707" s="55"/>
      <c r="I707" s="49" t="str">
        <f aca="false">IF(AND(ISNUMBER($F707),ISNUMBER($G707),$E707&lt;&gt;"R"),$F707*$G707,"")</f>
        <v/>
      </c>
      <c r="J707" s="51" t="str">
        <f aca="false">IF(AND($E707="A",ISNUMBER($F707),ISNUMBER($G707)),$F707*(1+$G707/30),"")</f>
        <v/>
      </c>
      <c r="K707" s="56"/>
      <c r="L707" s="56"/>
    </row>
    <row r="708" customFormat="false" ht="15.75" hidden="false" customHeight="true" outlineLevel="0" collapsed="false">
      <c r="A708" s="78" t="str">
        <f aca="false">IFERROR(IF($B708="","",IF(INDEX(Einheiten!$B$4:$B$63,MATCH($B708,Einheiten!$A$4:$A$63,0))=0,"",INDEX(Einheiten!$B$4:$B$63,MATCH($B708,Einheiten!$A$4:$A$63,0)))),"")</f>
        <v/>
      </c>
      <c r="B708" s="54"/>
      <c r="C708" s="79" t="str">
        <f aca="false">IFERROR(IF($D708="","",INDEX(Übungen!$B$4:$B$23,MATCH($D708,Übungen!$A$4:$A$23,0))),"")</f>
        <v/>
      </c>
      <c r="D708" s="56"/>
      <c r="E708" s="73"/>
      <c r="F708" s="55"/>
      <c r="G708" s="74"/>
      <c r="H708" s="55"/>
      <c r="I708" s="49" t="str">
        <f aca="false">IF(AND(ISNUMBER($F708),ISNUMBER($G708),$E708&lt;&gt;"R"),$F708*$G708,"")</f>
        <v/>
      </c>
      <c r="J708" s="51" t="str">
        <f aca="false">IF(AND($E708="A",ISNUMBER($F708),ISNUMBER($G708)),$F708*(1+$G708/30),"")</f>
        <v/>
      </c>
      <c r="K708" s="56"/>
      <c r="L708" s="56"/>
    </row>
    <row r="709" customFormat="false" ht="15.75" hidden="false" customHeight="true" outlineLevel="0" collapsed="false">
      <c r="A709" s="78" t="str">
        <f aca="false">IFERROR(IF($B709="","",IF(INDEX(Einheiten!$B$4:$B$63,MATCH($B709,Einheiten!$A$4:$A$63,0))=0,"",INDEX(Einheiten!$B$4:$B$63,MATCH($B709,Einheiten!$A$4:$A$63,0)))),"")</f>
        <v/>
      </c>
      <c r="B709" s="54"/>
      <c r="C709" s="79" t="str">
        <f aca="false">IFERROR(IF($D709="","",INDEX(Übungen!$B$4:$B$23,MATCH($D709,Übungen!$A$4:$A$23,0))),"")</f>
        <v/>
      </c>
      <c r="D709" s="56"/>
      <c r="E709" s="73"/>
      <c r="F709" s="55"/>
      <c r="G709" s="74"/>
      <c r="H709" s="55"/>
      <c r="I709" s="49" t="str">
        <f aca="false">IF(AND(ISNUMBER($F709),ISNUMBER($G709),$E709&lt;&gt;"R"),$F709*$G709,"")</f>
        <v/>
      </c>
      <c r="J709" s="51" t="str">
        <f aca="false">IF(AND($E709="A",ISNUMBER($F709),ISNUMBER($G709)),$F709*(1+$G709/30),"")</f>
        <v/>
      </c>
      <c r="K709" s="56"/>
      <c r="L709" s="56"/>
    </row>
    <row r="710" customFormat="false" ht="15.75" hidden="false" customHeight="true" outlineLevel="0" collapsed="false">
      <c r="A710" s="78" t="str">
        <f aca="false">IFERROR(IF($B710="","",IF(INDEX(Einheiten!$B$4:$B$63,MATCH($B710,Einheiten!$A$4:$A$63,0))=0,"",INDEX(Einheiten!$B$4:$B$63,MATCH($B710,Einheiten!$A$4:$A$63,0)))),"")</f>
        <v/>
      </c>
      <c r="B710" s="54"/>
      <c r="C710" s="79" t="str">
        <f aca="false">IFERROR(IF($D710="","",INDEX(Übungen!$B$4:$B$23,MATCH($D710,Übungen!$A$4:$A$23,0))),"")</f>
        <v/>
      </c>
      <c r="D710" s="56"/>
      <c r="E710" s="73"/>
      <c r="F710" s="55"/>
      <c r="G710" s="74"/>
      <c r="H710" s="55"/>
      <c r="I710" s="49" t="str">
        <f aca="false">IF(AND(ISNUMBER($F710),ISNUMBER($G710),$E710&lt;&gt;"R"),$F710*$G710,"")</f>
        <v/>
      </c>
      <c r="J710" s="51" t="str">
        <f aca="false">IF(AND($E710="A",ISNUMBER($F710),ISNUMBER($G710)),$F710*(1+$G710/30),"")</f>
        <v/>
      </c>
      <c r="K710" s="56"/>
      <c r="L710" s="56"/>
    </row>
    <row r="711" customFormat="false" ht="15.75" hidden="false" customHeight="true" outlineLevel="0" collapsed="false">
      <c r="A711" s="78" t="str">
        <f aca="false">IFERROR(IF($B711="","",IF(INDEX(Einheiten!$B$4:$B$63,MATCH($B711,Einheiten!$A$4:$A$63,0))=0,"",INDEX(Einheiten!$B$4:$B$63,MATCH($B711,Einheiten!$A$4:$A$63,0)))),"")</f>
        <v/>
      </c>
      <c r="B711" s="54"/>
      <c r="C711" s="79" t="str">
        <f aca="false">IFERROR(IF($D711="","",INDEX(Übungen!$B$4:$B$23,MATCH($D711,Übungen!$A$4:$A$23,0))),"")</f>
        <v/>
      </c>
      <c r="D711" s="56"/>
      <c r="E711" s="73"/>
      <c r="F711" s="55"/>
      <c r="G711" s="74"/>
      <c r="H711" s="55"/>
      <c r="I711" s="49" t="str">
        <f aca="false">IF(AND(ISNUMBER($F711),ISNUMBER($G711),$E711&lt;&gt;"R"),$F711*$G711,"")</f>
        <v/>
      </c>
      <c r="J711" s="51" t="str">
        <f aca="false">IF(AND($E711="A",ISNUMBER($F711),ISNUMBER($G711)),$F711*(1+$G711/30),"")</f>
        <v/>
      </c>
      <c r="K711" s="56"/>
      <c r="L711" s="56"/>
    </row>
    <row r="712" customFormat="false" ht="15.75" hidden="false" customHeight="true" outlineLevel="0" collapsed="false">
      <c r="A712" s="78" t="str">
        <f aca="false">IFERROR(IF($B712="","",IF(INDEX(Einheiten!$B$4:$B$63,MATCH($B712,Einheiten!$A$4:$A$63,0))=0,"",INDEX(Einheiten!$B$4:$B$63,MATCH($B712,Einheiten!$A$4:$A$63,0)))),"")</f>
        <v/>
      </c>
      <c r="B712" s="54"/>
      <c r="C712" s="79" t="str">
        <f aca="false">IFERROR(IF($D712="","",INDEX(Übungen!$B$4:$B$23,MATCH($D712,Übungen!$A$4:$A$23,0))),"")</f>
        <v/>
      </c>
      <c r="D712" s="56"/>
      <c r="E712" s="73"/>
      <c r="F712" s="55"/>
      <c r="G712" s="74"/>
      <c r="H712" s="55"/>
      <c r="I712" s="49" t="str">
        <f aca="false">IF(AND(ISNUMBER($F712),ISNUMBER($G712),$E712&lt;&gt;"R"),$F712*$G712,"")</f>
        <v/>
      </c>
      <c r="J712" s="51" t="str">
        <f aca="false">IF(AND($E712="A",ISNUMBER($F712),ISNUMBER($G712)),$F712*(1+$G712/30),"")</f>
        <v/>
      </c>
      <c r="K712" s="56"/>
      <c r="L712" s="56"/>
    </row>
    <row r="713" customFormat="false" ht="15.75" hidden="false" customHeight="true" outlineLevel="0" collapsed="false">
      <c r="A713" s="78" t="str">
        <f aca="false">IFERROR(IF($B713="","",IF(INDEX(Einheiten!$B$4:$B$63,MATCH($B713,Einheiten!$A$4:$A$63,0))=0,"",INDEX(Einheiten!$B$4:$B$63,MATCH($B713,Einheiten!$A$4:$A$63,0)))),"")</f>
        <v/>
      </c>
      <c r="B713" s="54"/>
      <c r="C713" s="79" t="str">
        <f aca="false">IFERROR(IF($D713="","",INDEX(Übungen!$B$4:$B$23,MATCH($D713,Übungen!$A$4:$A$23,0))),"")</f>
        <v/>
      </c>
      <c r="D713" s="56"/>
      <c r="E713" s="73"/>
      <c r="F713" s="55"/>
      <c r="G713" s="74"/>
      <c r="H713" s="55"/>
      <c r="I713" s="49" t="str">
        <f aca="false">IF(AND(ISNUMBER($F713),ISNUMBER($G713),$E713&lt;&gt;"R"),$F713*$G713,"")</f>
        <v/>
      </c>
      <c r="J713" s="51" t="str">
        <f aca="false">IF(AND($E713="A",ISNUMBER($F713),ISNUMBER($G713)),$F713*(1+$G713/30),"")</f>
        <v/>
      </c>
      <c r="K713" s="56"/>
      <c r="L713" s="56"/>
    </row>
    <row r="714" customFormat="false" ht="15.75" hidden="false" customHeight="true" outlineLevel="0" collapsed="false">
      <c r="A714" s="78" t="str">
        <f aca="false">IFERROR(IF($B714="","",IF(INDEX(Einheiten!$B$4:$B$63,MATCH($B714,Einheiten!$A$4:$A$63,0))=0,"",INDEX(Einheiten!$B$4:$B$63,MATCH($B714,Einheiten!$A$4:$A$63,0)))),"")</f>
        <v/>
      </c>
      <c r="B714" s="54"/>
      <c r="C714" s="79" t="str">
        <f aca="false">IFERROR(IF($D714="","",INDEX(Übungen!$B$4:$B$23,MATCH($D714,Übungen!$A$4:$A$23,0))),"")</f>
        <v/>
      </c>
      <c r="D714" s="56"/>
      <c r="E714" s="73"/>
      <c r="F714" s="55"/>
      <c r="G714" s="74"/>
      <c r="H714" s="55"/>
      <c r="I714" s="49" t="str">
        <f aca="false">IF(AND(ISNUMBER($F714),ISNUMBER($G714),$E714&lt;&gt;"R"),$F714*$G714,"")</f>
        <v/>
      </c>
      <c r="J714" s="51" t="str">
        <f aca="false">IF(AND($E714="A",ISNUMBER($F714),ISNUMBER($G714)),$F714*(1+$G714/30),"")</f>
        <v/>
      </c>
      <c r="K714" s="56"/>
      <c r="L714" s="56"/>
    </row>
    <row r="715" customFormat="false" ht="15.75" hidden="false" customHeight="true" outlineLevel="0" collapsed="false">
      <c r="A715" s="78" t="str">
        <f aca="false">IFERROR(IF($B715="","",IF(INDEX(Einheiten!$B$4:$B$63,MATCH($B715,Einheiten!$A$4:$A$63,0))=0,"",INDEX(Einheiten!$B$4:$B$63,MATCH($B715,Einheiten!$A$4:$A$63,0)))),"")</f>
        <v/>
      </c>
      <c r="B715" s="54"/>
      <c r="C715" s="79" t="str">
        <f aca="false">IFERROR(IF($D715="","",INDEX(Übungen!$B$4:$B$23,MATCH($D715,Übungen!$A$4:$A$23,0))),"")</f>
        <v/>
      </c>
      <c r="D715" s="56"/>
      <c r="E715" s="73"/>
      <c r="F715" s="55"/>
      <c r="G715" s="74"/>
      <c r="H715" s="55"/>
      <c r="I715" s="49" t="str">
        <f aca="false">IF(AND(ISNUMBER($F715),ISNUMBER($G715),$E715&lt;&gt;"R"),$F715*$G715,"")</f>
        <v/>
      </c>
      <c r="J715" s="51" t="str">
        <f aca="false">IF(AND($E715="A",ISNUMBER($F715),ISNUMBER($G715)),$F715*(1+$G715/30),"")</f>
        <v/>
      </c>
      <c r="K715" s="56"/>
      <c r="L715" s="56"/>
    </row>
    <row r="716" customFormat="false" ht="15.75" hidden="false" customHeight="true" outlineLevel="0" collapsed="false">
      <c r="A716" s="78" t="str">
        <f aca="false">IFERROR(IF($B716="","",IF(INDEX(Einheiten!$B$4:$B$63,MATCH($B716,Einheiten!$A$4:$A$63,0))=0,"",INDEX(Einheiten!$B$4:$B$63,MATCH($B716,Einheiten!$A$4:$A$63,0)))),"")</f>
        <v/>
      </c>
      <c r="B716" s="54"/>
      <c r="C716" s="79" t="str">
        <f aca="false">IFERROR(IF($D716="","",INDEX(Übungen!$B$4:$B$23,MATCH($D716,Übungen!$A$4:$A$23,0))),"")</f>
        <v/>
      </c>
      <c r="D716" s="56"/>
      <c r="E716" s="73"/>
      <c r="F716" s="55"/>
      <c r="G716" s="74"/>
      <c r="H716" s="55"/>
      <c r="I716" s="49" t="str">
        <f aca="false">IF(AND(ISNUMBER($F716),ISNUMBER($G716),$E716&lt;&gt;"R"),$F716*$G716,"")</f>
        <v/>
      </c>
      <c r="J716" s="51" t="str">
        <f aca="false">IF(AND($E716="A",ISNUMBER($F716),ISNUMBER($G716)),$F716*(1+$G716/30),"")</f>
        <v/>
      </c>
      <c r="K716" s="56"/>
      <c r="L716" s="56"/>
    </row>
    <row r="717" customFormat="false" ht="15.75" hidden="false" customHeight="true" outlineLevel="0" collapsed="false">
      <c r="A717" s="78" t="str">
        <f aca="false">IFERROR(IF($B717="","",IF(INDEX(Einheiten!$B$4:$B$63,MATCH($B717,Einheiten!$A$4:$A$63,0))=0,"",INDEX(Einheiten!$B$4:$B$63,MATCH($B717,Einheiten!$A$4:$A$63,0)))),"")</f>
        <v/>
      </c>
      <c r="B717" s="54"/>
      <c r="C717" s="79" t="str">
        <f aca="false">IFERROR(IF($D717="","",INDEX(Übungen!$B$4:$B$23,MATCH($D717,Übungen!$A$4:$A$23,0))),"")</f>
        <v/>
      </c>
      <c r="D717" s="56"/>
      <c r="E717" s="73"/>
      <c r="F717" s="55"/>
      <c r="G717" s="74"/>
      <c r="H717" s="55"/>
      <c r="I717" s="49" t="str">
        <f aca="false">IF(AND(ISNUMBER($F717),ISNUMBER($G717),$E717&lt;&gt;"R"),$F717*$G717,"")</f>
        <v/>
      </c>
      <c r="J717" s="51" t="str">
        <f aca="false">IF(AND($E717="A",ISNUMBER($F717),ISNUMBER($G717)),$F717*(1+$G717/30),"")</f>
        <v/>
      </c>
      <c r="K717" s="56"/>
      <c r="L717" s="56"/>
    </row>
    <row r="718" customFormat="false" ht="15.75" hidden="false" customHeight="true" outlineLevel="0" collapsed="false">
      <c r="A718" s="78" t="str">
        <f aca="false">IFERROR(IF($B718="","",IF(INDEX(Einheiten!$B$4:$B$63,MATCH($B718,Einheiten!$A$4:$A$63,0))=0,"",INDEX(Einheiten!$B$4:$B$63,MATCH($B718,Einheiten!$A$4:$A$63,0)))),"")</f>
        <v/>
      </c>
      <c r="B718" s="54"/>
      <c r="C718" s="79" t="str">
        <f aca="false">IFERROR(IF($D718="","",INDEX(Übungen!$B$4:$B$23,MATCH($D718,Übungen!$A$4:$A$23,0))),"")</f>
        <v/>
      </c>
      <c r="D718" s="56"/>
      <c r="E718" s="73"/>
      <c r="F718" s="55"/>
      <c r="G718" s="74"/>
      <c r="H718" s="55"/>
      <c r="I718" s="49" t="str">
        <f aca="false">IF(AND(ISNUMBER($F718),ISNUMBER($G718),$E718&lt;&gt;"R"),$F718*$G718,"")</f>
        <v/>
      </c>
      <c r="J718" s="51" t="str">
        <f aca="false">IF(AND($E718="A",ISNUMBER($F718),ISNUMBER($G718)),$F718*(1+$G718/30),"")</f>
        <v/>
      </c>
      <c r="K718" s="56"/>
      <c r="L718" s="56"/>
    </row>
    <row r="719" customFormat="false" ht="15.75" hidden="false" customHeight="true" outlineLevel="0" collapsed="false">
      <c r="A719" s="78" t="str">
        <f aca="false">IFERROR(IF($B719="","",IF(INDEX(Einheiten!$B$4:$B$63,MATCH($B719,Einheiten!$A$4:$A$63,0))=0,"",INDEX(Einheiten!$B$4:$B$63,MATCH($B719,Einheiten!$A$4:$A$63,0)))),"")</f>
        <v/>
      </c>
      <c r="B719" s="54"/>
      <c r="C719" s="79" t="str">
        <f aca="false">IFERROR(IF($D719="","",INDEX(Übungen!$B$4:$B$23,MATCH($D719,Übungen!$A$4:$A$23,0))),"")</f>
        <v/>
      </c>
      <c r="D719" s="56"/>
      <c r="E719" s="73"/>
      <c r="F719" s="55"/>
      <c r="G719" s="74"/>
      <c r="H719" s="55"/>
      <c r="I719" s="49" t="str">
        <f aca="false">IF(AND(ISNUMBER($F719),ISNUMBER($G719),$E719&lt;&gt;"R"),$F719*$G719,"")</f>
        <v/>
      </c>
      <c r="J719" s="51" t="str">
        <f aca="false">IF(AND($E719="A",ISNUMBER($F719),ISNUMBER($G719)),$F719*(1+$G719/30),"")</f>
        <v/>
      </c>
      <c r="K719" s="56"/>
      <c r="L719" s="56"/>
    </row>
    <row r="720" customFormat="false" ht="15.75" hidden="false" customHeight="true" outlineLevel="0" collapsed="false">
      <c r="A720" s="78" t="str">
        <f aca="false">IFERROR(IF($B720="","",IF(INDEX(Einheiten!$B$4:$B$63,MATCH($B720,Einheiten!$A$4:$A$63,0))=0,"",INDEX(Einheiten!$B$4:$B$63,MATCH($B720,Einheiten!$A$4:$A$63,0)))),"")</f>
        <v/>
      </c>
      <c r="B720" s="54"/>
      <c r="C720" s="79" t="str">
        <f aca="false">IFERROR(IF($D720="","",INDEX(Übungen!$B$4:$B$23,MATCH($D720,Übungen!$A$4:$A$23,0))),"")</f>
        <v/>
      </c>
      <c r="D720" s="56"/>
      <c r="E720" s="73"/>
      <c r="F720" s="55"/>
      <c r="G720" s="74"/>
      <c r="H720" s="55"/>
      <c r="I720" s="49" t="str">
        <f aca="false">IF(AND(ISNUMBER($F720),ISNUMBER($G720),$E720&lt;&gt;"R"),$F720*$G720,"")</f>
        <v/>
      </c>
      <c r="J720" s="51" t="str">
        <f aca="false">IF(AND($E720="A",ISNUMBER($F720),ISNUMBER($G720)),$F720*(1+$G720/30),"")</f>
        <v/>
      </c>
      <c r="K720" s="56"/>
      <c r="L720" s="56"/>
    </row>
    <row r="721" customFormat="false" ht="15.75" hidden="false" customHeight="true" outlineLevel="0" collapsed="false">
      <c r="A721" s="78" t="str">
        <f aca="false">IFERROR(IF($B721="","",IF(INDEX(Einheiten!$B$4:$B$63,MATCH($B721,Einheiten!$A$4:$A$63,0))=0,"",INDEX(Einheiten!$B$4:$B$63,MATCH($B721,Einheiten!$A$4:$A$63,0)))),"")</f>
        <v/>
      </c>
      <c r="B721" s="54"/>
      <c r="C721" s="79" t="str">
        <f aca="false">IFERROR(IF($D721="","",INDEX(Übungen!$B$4:$B$23,MATCH($D721,Übungen!$A$4:$A$23,0))),"")</f>
        <v/>
      </c>
      <c r="D721" s="56"/>
      <c r="E721" s="73"/>
      <c r="F721" s="55"/>
      <c r="G721" s="74"/>
      <c r="H721" s="55"/>
      <c r="I721" s="49" t="str">
        <f aca="false">IF(AND(ISNUMBER($F721),ISNUMBER($G721),$E721&lt;&gt;"R"),$F721*$G721,"")</f>
        <v/>
      </c>
      <c r="J721" s="51" t="str">
        <f aca="false">IF(AND($E721="A",ISNUMBER($F721),ISNUMBER($G721)),$F721*(1+$G721/30),"")</f>
        <v/>
      </c>
      <c r="K721" s="56"/>
      <c r="L721" s="56"/>
    </row>
    <row r="722" customFormat="false" ht="15.75" hidden="false" customHeight="true" outlineLevel="0" collapsed="false">
      <c r="A722" s="78" t="str">
        <f aca="false">IFERROR(IF($B722="","",IF(INDEX(Einheiten!$B$4:$B$63,MATCH($B722,Einheiten!$A$4:$A$63,0))=0,"",INDEX(Einheiten!$B$4:$B$63,MATCH($B722,Einheiten!$A$4:$A$63,0)))),"")</f>
        <v/>
      </c>
      <c r="B722" s="54"/>
      <c r="C722" s="79" t="str">
        <f aca="false">IFERROR(IF($D722="","",INDEX(Übungen!$B$4:$B$23,MATCH($D722,Übungen!$A$4:$A$23,0))),"")</f>
        <v/>
      </c>
      <c r="D722" s="56"/>
      <c r="E722" s="73"/>
      <c r="F722" s="55"/>
      <c r="G722" s="74"/>
      <c r="H722" s="55"/>
      <c r="I722" s="49" t="str">
        <f aca="false">IF(AND(ISNUMBER($F722),ISNUMBER($G722),$E722&lt;&gt;"R"),$F722*$G722,"")</f>
        <v/>
      </c>
      <c r="J722" s="51" t="str">
        <f aca="false">IF(AND($E722="A",ISNUMBER($F722),ISNUMBER($G722)),$F722*(1+$G722/30),"")</f>
        <v/>
      </c>
      <c r="K722" s="56"/>
      <c r="L722" s="56"/>
    </row>
    <row r="723" customFormat="false" ht="15.75" hidden="false" customHeight="true" outlineLevel="0" collapsed="false">
      <c r="A723" s="78" t="str">
        <f aca="false">IFERROR(IF($B723="","",IF(INDEX(Einheiten!$B$4:$B$63,MATCH($B723,Einheiten!$A$4:$A$63,0))=0,"",INDEX(Einheiten!$B$4:$B$63,MATCH($B723,Einheiten!$A$4:$A$63,0)))),"")</f>
        <v/>
      </c>
      <c r="B723" s="54"/>
      <c r="C723" s="79" t="str">
        <f aca="false">IFERROR(IF($D723="","",INDEX(Übungen!$B$4:$B$23,MATCH($D723,Übungen!$A$4:$A$23,0))),"")</f>
        <v/>
      </c>
      <c r="D723" s="56"/>
      <c r="E723" s="73"/>
      <c r="F723" s="55"/>
      <c r="G723" s="74"/>
      <c r="H723" s="55"/>
      <c r="I723" s="49" t="str">
        <f aca="false">IF(AND(ISNUMBER($F723),ISNUMBER($G723),$E723&lt;&gt;"R"),$F723*$G723,"")</f>
        <v/>
      </c>
      <c r="J723" s="51" t="str">
        <f aca="false">IF(AND($E723="A",ISNUMBER($F723),ISNUMBER($G723)),$F723*(1+$G723/30),"")</f>
        <v/>
      </c>
      <c r="K723" s="56"/>
      <c r="L723" s="56"/>
    </row>
    <row r="724" customFormat="false" ht="15.75" hidden="false" customHeight="true" outlineLevel="0" collapsed="false">
      <c r="A724" s="78" t="str">
        <f aca="false">IFERROR(IF($B724="","",IF(INDEX(Einheiten!$B$4:$B$63,MATCH($B724,Einheiten!$A$4:$A$63,0))=0,"",INDEX(Einheiten!$B$4:$B$63,MATCH($B724,Einheiten!$A$4:$A$63,0)))),"")</f>
        <v/>
      </c>
      <c r="B724" s="54"/>
      <c r="C724" s="79" t="str">
        <f aca="false">IFERROR(IF($D724="","",INDEX(Übungen!$B$4:$B$23,MATCH($D724,Übungen!$A$4:$A$23,0))),"")</f>
        <v/>
      </c>
      <c r="D724" s="56"/>
      <c r="E724" s="73"/>
      <c r="F724" s="55"/>
      <c r="G724" s="74"/>
      <c r="H724" s="55"/>
      <c r="I724" s="49" t="str">
        <f aca="false">IF(AND(ISNUMBER($F724),ISNUMBER($G724),$E724&lt;&gt;"R"),$F724*$G724,"")</f>
        <v/>
      </c>
      <c r="J724" s="51" t="str">
        <f aca="false">IF(AND($E724="A",ISNUMBER($F724),ISNUMBER($G724)),$F724*(1+$G724/30),"")</f>
        <v/>
      </c>
      <c r="K724" s="56"/>
      <c r="L724" s="56"/>
    </row>
    <row r="725" customFormat="false" ht="15.75" hidden="false" customHeight="true" outlineLevel="0" collapsed="false">
      <c r="A725" s="78" t="str">
        <f aca="false">IFERROR(IF($B725="","",IF(INDEX(Einheiten!$B$4:$B$63,MATCH($B725,Einheiten!$A$4:$A$63,0))=0,"",INDEX(Einheiten!$B$4:$B$63,MATCH($B725,Einheiten!$A$4:$A$63,0)))),"")</f>
        <v/>
      </c>
      <c r="B725" s="54"/>
      <c r="C725" s="79" t="str">
        <f aca="false">IFERROR(IF($D725="","",INDEX(Übungen!$B$4:$B$23,MATCH($D725,Übungen!$A$4:$A$23,0))),"")</f>
        <v/>
      </c>
      <c r="D725" s="56"/>
      <c r="E725" s="73"/>
      <c r="F725" s="55"/>
      <c r="G725" s="74"/>
      <c r="H725" s="55"/>
      <c r="I725" s="49" t="str">
        <f aca="false">IF(AND(ISNUMBER($F725),ISNUMBER($G725),$E725&lt;&gt;"R"),$F725*$G725,"")</f>
        <v/>
      </c>
      <c r="J725" s="51" t="str">
        <f aca="false">IF(AND($E725="A",ISNUMBER($F725),ISNUMBER($G725)),$F725*(1+$G725/30),"")</f>
        <v/>
      </c>
      <c r="K725" s="56"/>
      <c r="L725" s="56"/>
    </row>
    <row r="726" customFormat="false" ht="15.75" hidden="false" customHeight="true" outlineLevel="0" collapsed="false">
      <c r="A726" s="78" t="str">
        <f aca="false">IFERROR(IF($B726="","",IF(INDEX(Einheiten!$B$4:$B$63,MATCH($B726,Einheiten!$A$4:$A$63,0))=0,"",INDEX(Einheiten!$B$4:$B$63,MATCH($B726,Einheiten!$A$4:$A$63,0)))),"")</f>
        <v/>
      </c>
      <c r="B726" s="54"/>
      <c r="C726" s="79" t="str">
        <f aca="false">IFERROR(IF($D726="","",INDEX(Übungen!$B$4:$B$23,MATCH($D726,Übungen!$A$4:$A$23,0))),"")</f>
        <v/>
      </c>
      <c r="D726" s="56"/>
      <c r="E726" s="73"/>
      <c r="F726" s="55"/>
      <c r="G726" s="74"/>
      <c r="H726" s="55"/>
      <c r="I726" s="49" t="str">
        <f aca="false">IF(AND(ISNUMBER($F726),ISNUMBER($G726),$E726&lt;&gt;"R"),$F726*$G726,"")</f>
        <v/>
      </c>
      <c r="J726" s="51" t="str">
        <f aca="false">IF(AND($E726="A",ISNUMBER($F726),ISNUMBER($G726)),$F726*(1+$G726/30),"")</f>
        <v/>
      </c>
      <c r="K726" s="56"/>
      <c r="L726" s="56"/>
    </row>
    <row r="727" customFormat="false" ht="15.75" hidden="false" customHeight="true" outlineLevel="0" collapsed="false">
      <c r="A727" s="78" t="str">
        <f aca="false">IFERROR(IF($B727="","",IF(INDEX(Einheiten!$B$4:$B$63,MATCH($B727,Einheiten!$A$4:$A$63,0))=0,"",INDEX(Einheiten!$B$4:$B$63,MATCH($B727,Einheiten!$A$4:$A$63,0)))),"")</f>
        <v/>
      </c>
      <c r="B727" s="54"/>
      <c r="C727" s="79" t="str">
        <f aca="false">IFERROR(IF($D727="","",INDEX(Übungen!$B$4:$B$23,MATCH($D727,Übungen!$A$4:$A$23,0))),"")</f>
        <v/>
      </c>
      <c r="D727" s="56"/>
      <c r="E727" s="73"/>
      <c r="F727" s="55"/>
      <c r="G727" s="74"/>
      <c r="H727" s="55"/>
      <c r="I727" s="49" t="str">
        <f aca="false">IF(AND(ISNUMBER($F727),ISNUMBER($G727),$E727&lt;&gt;"R"),$F727*$G727,"")</f>
        <v/>
      </c>
      <c r="J727" s="51" t="str">
        <f aca="false">IF(AND($E727="A",ISNUMBER($F727),ISNUMBER($G727)),$F727*(1+$G727/30),"")</f>
        <v/>
      </c>
      <c r="K727" s="56"/>
      <c r="L727" s="56"/>
    </row>
    <row r="728" customFormat="false" ht="15.75" hidden="false" customHeight="true" outlineLevel="0" collapsed="false">
      <c r="A728" s="78" t="str">
        <f aca="false">IFERROR(IF($B728="","",IF(INDEX(Einheiten!$B$4:$B$63,MATCH($B728,Einheiten!$A$4:$A$63,0))=0,"",INDEX(Einheiten!$B$4:$B$63,MATCH($B728,Einheiten!$A$4:$A$63,0)))),"")</f>
        <v/>
      </c>
      <c r="B728" s="54"/>
      <c r="C728" s="79" t="str">
        <f aca="false">IFERROR(IF($D728="","",INDEX(Übungen!$B$4:$B$23,MATCH($D728,Übungen!$A$4:$A$23,0))),"")</f>
        <v/>
      </c>
      <c r="D728" s="56"/>
      <c r="E728" s="73"/>
      <c r="F728" s="55"/>
      <c r="G728" s="74"/>
      <c r="H728" s="55"/>
      <c r="I728" s="49" t="str">
        <f aca="false">IF(AND(ISNUMBER($F728),ISNUMBER($G728),$E728&lt;&gt;"R"),$F728*$G728,"")</f>
        <v/>
      </c>
      <c r="J728" s="51" t="str">
        <f aca="false">IF(AND($E728="A",ISNUMBER($F728),ISNUMBER($G728)),$F728*(1+$G728/30),"")</f>
        <v/>
      </c>
      <c r="K728" s="56"/>
      <c r="L728" s="56"/>
    </row>
    <row r="729" customFormat="false" ht="15.75" hidden="false" customHeight="true" outlineLevel="0" collapsed="false">
      <c r="A729" s="78" t="str">
        <f aca="false">IFERROR(IF($B729="","",IF(INDEX(Einheiten!$B$4:$B$63,MATCH($B729,Einheiten!$A$4:$A$63,0))=0,"",INDEX(Einheiten!$B$4:$B$63,MATCH($B729,Einheiten!$A$4:$A$63,0)))),"")</f>
        <v/>
      </c>
      <c r="B729" s="54"/>
      <c r="C729" s="79" t="str">
        <f aca="false">IFERROR(IF($D729="","",INDEX(Übungen!$B$4:$B$23,MATCH($D729,Übungen!$A$4:$A$23,0))),"")</f>
        <v/>
      </c>
      <c r="D729" s="56"/>
      <c r="E729" s="73"/>
      <c r="F729" s="55"/>
      <c r="G729" s="74"/>
      <c r="H729" s="55"/>
      <c r="I729" s="49" t="str">
        <f aca="false">IF(AND(ISNUMBER($F729),ISNUMBER($G729),$E729&lt;&gt;"R"),$F729*$G729,"")</f>
        <v/>
      </c>
      <c r="J729" s="51" t="str">
        <f aca="false">IF(AND($E729="A",ISNUMBER($F729),ISNUMBER($G729)),$F729*(1+$G729/30),"")</f>
        <v/>
      </c>
      <c r="K729" s="56"/>
      <c r="L729" s="56"/>
    </row>
    <row r="730" customFormat="false" ht="15.75" hidden="false" customHeight="true" outlineLevel="0" collapsed="false">
      <c r="A730" s="78" t="str">
        <f aca="false">IFERROR(IF($B730="","",IF(INDEX(Einheiten!$B$4:$B$63,MATCH($B730,Einheiten!$A$4:$A$63,0))=0,"",INDEX(Einheiten!$B$4:$B$63,MATCH($B730,Einheiten!$A$4:$A$63,0)))),"")</f>
        <v/>
      </c>
      <c r="B730" s="54"/>
      <c r="C730" s="79" t="str">
        <f aca="false">IFERROR(IF($D730="","",INDEX(Übungen!$B$4:$B$23,MATCH($D730,Übungen!$A$4:$A$23,0))),"")</f>
        <v/>
      </c>
      <c r="D730" s="56"/>
      <c r="E730" s="73"/>
      <c r="F730" s="55"/>
      <c r="G730" s="74"/>
      <c r="H730" s="55"/>
      <c r="I730" s="49" t="str">
        <f aca="false">IF(AND(ISNUMBER($F730),ISNUMBER($G730),$E730&lt;&gt;"R"),$F730*$G730,"")</f>
        <v/>
      </c>
      <c r="J730" s="51" t="str">
        <f aca="false">IF(AND($E730="A",ISNUMBER($F730),ISNUMBER($G730)),$F730*(1+$G730/30),"")</f>
        <v/>
      </c>
      <c r="K730" s="56"/>
      <c r="L730" s="56"/>
    </row>
    <row r="731" customFormat="false" ht="15.75" hidden="false" customHeight="true" outlineLevel="0" collapsed="false">
      <c r="A731" s="78" t="str">
        <f aca="false">IFERROR(IF($B731="","",IF(INDEX(Einheiten!$B$4:$B$63,MATCH($B731,Einheiten!$A$4:$A$63,0))=0,"",INDEX(Einheiten!$B$4:$B$63,MATCH($B731,Einheiten!$A$4:$A$63,0)))),"")</f>
        <v/>
      </c>
      <c r="B731" s="54"/>
      <c r="C731" s="79" t="str">
        <f aca="false">IFERROR(IF($D731="","",INDEX(Übungen!$B$4:$B$23,MATCH($D731,Übungen!$A$4:$A$23,0))),"")</f>
        <v/>
      </c>
      <c r="D731" s="56"/>
      <c r="E731" s="73"/>
      <c r="F731" s="55"/>
      <c r="G731" s="74"/>
      <c r="H731" s="55"/>
      <c r="I731" s="49" t="str">
        <f aca="false">IF(AND(ISNUMBER($F731),ISNUMBER($G731),$E731&lt;&gt;"R"),$F731*$G731,"")</f>
        <v/>
      </c>
      <c r="J731" s="51" t="str">
        <f aca="false">IF(AND($E731="A",ISNUMBER($F731),ISNUMBER($G731)),$F731*(1+$G731/30),"")</f>
        <v/>
      </c>
      <c r="K731" s="56"/>
      <c r="L731" s="56"/>
    </row>
    <row r="732" customFormat="false" ht="15.75" hidden="false" customHeight="true" outlineLevel="0" collapsed="false">
      <c r="A732" s="78" t="str">
        <f aca="false">IFERROR(IF($B732="","",IF(INDEX(Einheiten!$B$4:$B$63,MATCH($B732,Einheiten!$A$4:$A$63,0))=0,"",INDEX(Einheiten!$B$4:$B$63,MATCH($B732,Einheiten!$A$4:$A$63,0)))),"")</f>
        <v/>
      </c>
      <c r="B732" s="54"/>
      <c r="C732" s="79" t="str">
        <f aca="false">IFERROR(IF($D732="","",INDEX(Übungen!$B$4:$B$23,MATCH($D732,Übungen!$A$4:$A$23,0))),"")</f>
        <v/>
      </c>
      <c r="D732" s="56"/>
      <c r="E732" s="73"/>
      <c r="F732" s="55"/>
      <c r="G732" s="74"/>
      <c r="H732" s="55"/>
      <c r="I732" s="49" t="str">
        <f aca="false">IF(AND(ISNUMBER($F732),ISNUMBER($G732),$E732&lt;&gt;"R"),$F732*$G732,"")</f>
        <v/>
      </c>
      <c r="J732" s="51" t="str">
        <f aca="false">IF(AND($E732="A",ISNUMBER($F732),ISNUMBER($G732)),$F732*(1+$G732/30),"")</f>
        <v/>
      </c>
      <c r="K732" s="56"/>
      <c r="L732" s="56"/>
    </row>
    <row r="733" customFormat="false" ht="15.75" hidden="false" customHeight="true" outlineLevel="0" collapsed="false">
      <c r="A733" s="78" t="str">
        <f aca="false">IFERROR(IF($B733="","",IF(INDEX(Einheiten!$B$4:$B$63,MATCH($B733,Einheiten!$A$4:$A$63,0))=0,"",INDEX(Einheiten!$B$4:$B$63,MATCH($B733,Einheiten!$A$4:$A$63,0)))),"")</f>
        <v/>
      </c>
      <c r="B733" s="54"/>
      <c r="C733" s="79" t="str">
        <f aca="false">IFERROR(IF($D733="","",INDEX(Übungen!$B$4:$B$23,MATCH($D733,Übungen!$A$4:$A$23,0))),"")</f>
        <v/>
      </c>
      <c r="D733" s="56"/>
      <c r="E733" s="73"/>
      <c r="F733" s="55"/>
      <c r="G733" s="74"/>
      <c r="H733" s="55"/>
      <c r="I733" s="49" t="str">
        <f aca="false">IF(AND(ISNUMBER($F733),ISNUMBER($G733),$E733&lt;&gt;"R"),$F733*$G733,"")</f>
        <v/>
      </c>
      <c r="J733" s="51" t="str">
        <f aca="false">IF(AND($E733="A",ISNUMBER($F733),ISNUMBER($G733)),$F733*(1+$G733/30),"")</f>
        <v/>
      </c>
      <c r="K733" s="56"/>
      <c r="L733" s="56"/>
    </row>
    <row r="734" customFormat="false" ht="15.75" hidden="false" customHeight="true" outlineLevel="0" collapsed="false">
      <c r="A734" s="78" t="str">
        <f aca="false">IFERROR(IF($B734="","",IF(INDEX(Einheiten!$B$4:$B$63,MATCH($B734,Einheiten!$A$4:$A$63,0))=0,"",INDEX(Einheiten!$B$4:$B$63,MATCH($B734,Einheiten!$A$4:$A$63,0)))),"")</f>
        <v/>
      </c>
      <c r="B734" s="54"/>
      <c r="C734" s="79" t="str">
        <f aca="false">IFERROR(IF($D734="","",INDEX(Übungen!$B$4:$B$23,MATCH($D734,Übungen!$A$4:$A$23,0))),"")</f>
        <v/>
      </c>
      <c r="D734" s="56"/>
      <c r="E734" s="73"/>
      <c r="F734" s="55"/>
      <c r="G734" s="74"/>
      <c r="H734" s="55"/>
      <c r="I734" s="49" t="str">
        <f aca="false">IF(AND(ISNUMBER($F734),ISNUMBER($G734),$E734&lt;&gt;"R"),$F734*$G734,"")</f>
        <v/>
      </c>
      <c r="J734" s="51" t="str">
        <f aca="false">IF(AND($E734="A",ISNUMBER($F734),ISNUMBER($G734)),$F734*(1+$G734/30),"")</f>
        <v/>
      </c>
      <c r="K734" s="56"/>
      <c r="L734" s="56"/>
    </row>
    <row r="735" customFormat="false" ht="15.75" hidden="false" customHeight="true" outlineLevel="0" collapsed="false">
      <c r="A735" s="78" t="str">
        <f aca="false">IFERROR(IF($B735="","",IF(INDEX(Einheiten!$B$4:$B$63,MATCH($B735,Einheiten!$A$4:$A$63,0))=0,"",INDEX(Einheiten!$B$4:$B$63,MATCH($B735,Einheiten!$A$4:$A$63,0)))),"")</f>
        <v/>
      </c>
      <c r="B735" s="54"/>
      <c r="C735" s="79" t="str">
        <f aca="false">IFERROR(IF($D735="","",INDEX(Übungen!$B$4:$B$23,MATCH($D735,Übungen!$A$4:$A$23,0))),"")</f>
        <v/>
      </c>
      <c r="D735" s="56"/>
      <c r="E735" s="73"/>
      <c r="F735" s="55"/>
      <c r="G735" s="74"/>
      <c r="H735" s="55"/>
      <c r="I735" s="49" t="str">
        <f aca="false">IF(AND(ISNUMBER($F735),ISNUMBER($G735),$E735&lt;&gt;"R"),$F735*$G735,"")</f>
        <v/>
      </c>
      <c r="J735" s="51" t="str">
        <f aca="false">IF(AND($E735="A",ISNUMBER($F735),ISNUMBER($G735)),$F735*(1+$G735/30),"")</f>
        <v/>
      </c>
      <c r="K735" s="56"/>
      <c r="L735" s="56"/>
    </row>
    <row r="736" customFormat="false" ht="15.75" hidden="false" customHeight="true" outlineLevel="0" collapsed="false">
      <c r="A736" s="78" t="str">
        <f aca="false">IFERROR(IF($B736="","",IF(INDEX(Einheiten!$B$4:$B$63,MATCH($B736,Einheiten!$A$4:$A$63,0))=0,"",INDEX(Einheiten!$B$4:$B$63,MATCH($B736,Einheiten!$A$4:$A$63,0)))),"")</f>
        <v/>
      </c>
      <c r="B736" s="54"/>
      <c r="C736" s="79" t="str">
        <f aca="false">IFERROR(IF($D736="","",INDEX(Übungen!$B$4:$B$23,MATCH($D736,Übungen!$A$4:$A$23,0))),"")</f>
        <v/>
      </c>
      <c r="D736" s="56"/>
      <c r="E736" s="73"/>
      <c r="F736" s="55"/>
      <c r="G736" s="74"/>
      <c r="H736" s="55"/>
      <c r="I736" s="49" t="str">
        <f aca="false">IF(AND(ISNUMBER($F736),ISNUMBER($G736),$E736&lt;&gt;"R"),$F736*$G736,"")</f>
        <v/>
      </c>
      <c r="J736" s="51" t="str">
        <f aca="false">IF(AND($E736="A",ISNUMBER($F736),ISNUMBER($G736)),$F736*(1+$G736/30),"")</f>
        <v/>
      </c>
      <c r="K736" s="56"/>
      <c r="L736" s="56"/>
    </row>
    <row r="737" customFormat="false" ht="15.75" hidden="false" customHeight="true" outlineLevel="0" collapsed="false">
      <c r="A737" s="78" t="str">
        <f aca="false">IFERROR(IF($B737="","",IF(INDEX(Einheiten!$B$4:$B$63,MATCH($B737,Einheiten!$A$4:$A$63,0))=0,"",INDEX(Einheiten!$B$4:$B$63,MATCH($B737,Einheiten!$A$4:$A$63,0)))),"")</f>
        <v/>
      </c>
      <c r="B737" s="54"/>
      <c r="C737" s="79" t="str">
        <f aca="false">IFERROR(IF($D737="","",INDEX(Übungen!$B$4:$B$23,MATCH($D737,Übungen!$A$4:$A$23,0))),"")</f>
        <v/>
      </c>
      <c r="D737" s="56"/>
      <c r="E737" s="73"/>
      <c r="F737" s="55"/>
      <c r="G737" s="74"/>
      <c r="H737" s="55"/>
      <c r="I737" s="49" t="str">
        <f aca="false">IF(AND(ISNUMBER($F737),ISNUMBER($G737),$E737&lt;&gt;"R"),$F737*$G737,"")</f>
        <v/>
      </c>
      <c r="J737" s="51" t="str">
        <f aca="false">IF(AND($E737="A",ISNUMBER($F737),ISNUMBER($G737)),$F737*(1+$G737/30),"")</f>
        <v/>
      </c>
      <c r="K737" s="56"/>
      <c r="L737" s="56"/>
    </row>
    <row r="738" customFormat="false" ht="15.75" hidden="false" customHeight="true" outlineLevel="0" collapsed="false">
      <c r="A738" s="78" t="str">
        <f aca="false">IFERROR(IF($B738="","",IF(INDEX(Einheiten!$B$4:$B$63,MATCH($B738,Einheiten!$A$4:$A$63,0))=0,"",INDEX(Einheiten!$B$4:$B$63,MATCH($B738,Einheiten!$A$4:$A$63,0)))),"")</f>
        <v/>
      </c>
      <c r="B738" s="54"/>
      <c r="C738" s="79" t="str">
        <f aca="false">IFERROR(IF($D738="","",INDEX(Übungen!$B$4:$B$23,MATCH($D738,Übungen!$A$4:$A$23,0))),"")</f>
        <v/>
      </c>
      <c r="D738" s="56"/>
      <c r="E738" s="73"/>
      <c r="F738" s="55"/>
      <c r="G738" s="74"/>
      <c r="H738" s="55"/>
      <c r="I738" s="49" t="str">
        <f aca="false">IF(AND(ISNUMBER($F738),ISNUMBER($G738),$E738&lt;&gt;"R"),$F738*$G738,"")</f>
        <v/>
      </c>
      <c r="J738" s="51" t="str">
        <f aca="false">IF(AND($E738="A",ISNUMBER($F738),ISNUMBER($G738)),$F738*(1+$G738/30),"")</f>
        <v/>
      </c>
      <c r="K738" s="56"/>
      <c r="L738" s="56"/>
    </row>
    <row r="739" customFormat="false" ht="15.75" hidden="false" customHeight="true" outlineLevel="0" collapsed="false">
      <c r="A739" s="78" t="str">
        <f aca="false">IFERROR(IF($B739="","",IF(INDEX(Einheiten!$B$4:$B$63,MATCH($B739,Einheiten!$A$4:$A$63,0))=0,"",INDEX(Einheiten!$B$4:$B$63,MATCH($B739,Einheiten!$A$4:$A$63,0)))),"")</f>
        <v/>
      </c>
      <c r="B739" s="54"/>
      <c r="C739" s="79" t="str">
        <f aca="false">IFERROR(IF($D739="","",INDEX(Übungen!$B$4:$B$23,MATCH($D739,Übungen!$A$4:$A$23,0))),"")</f>
        <v/>
      </c>
      <c r="D739" s="56"/>
      <c r="E739" s="73"/>
      <c r="F739" s="55"/>
      <c r="G739" s="74"/>
      <c r="H739" s="55"/>
      <c r="I739" s="49" t="str">
        <f aca="false">IF(AND(ISNUMBER($F739),ISNUMBER($G739),$E739&lt;&gt;"R"),$F739*$G739,"")</f>
        <v/>
      </c>
      <c r="J739" s="51" t="str">
        <f aca="false">IF(AND($E739="A",ISNUMBER($F739),ISNUMBER($G739)),$F739*(1+$G739/30),"")</f>
        <v/>
      </c>
      <c r="K739" s="56"/>
      <c r="L739" s="56"/>
    </row>
    <row r="740" customFormat="false" ht="15.75" hidden="false" customHeight="true" outlineLevel="0" collapsed="false">
      <c r="A740" s="78" t="str">
        <f aca="false">IFERROR(IF($B740="","",IF(INDEX(Einheiten!$B$4:$B$63,MATCH($B740,Einheiten!$A$4:$A$63,0))=0,"",INDEX(Einheiten!$B$4:$B$63,MATCH($B740,Einheiten!$A$4:$A$63,0)))),"")</f>
        <v/>
      </c>
      <c r="B740" s="54"/>
      <c r="C740" s="79" t="str">
        <f aca="false">IFERROR(IF($D740="","",INDEX(Übungen!$B$4:$B$23,MATCH($D740,Übungen!$A$4:$A$23,0))),"")</f>
        <v/>
      </c>
      <c r="D740" s="56"/>
      <c r="E740" s="73"/>
      <c r="F740" s="55"/>
      <c r="G740" s="74"/>
      <c r="H740" s="55"/>
      <c r="I740" s="49" t="str">
        <f aca="false">IF(AND(ISNUMBER($F740),ISNUMBER($G740),$E740&lt;&gt;"R"),$F740*$G740,"")</f>
        <v/>
      </c>
      <c r="J740" s="51" t="str">
        <f aca="false">IF(AND($E740="A",ISNUMBER($F740),ISNUMBER($G740)),$F740*(1+$G740/30),"")</f>
        <v/>
      </c>
      <c r="K740" s="56"/>
      <c r="L740" s="56"/>
    </row>
    <row r="741" customFormat="false" ht="15.75" hidden="false" customHeight="true" outlineLevel="0" collapsed="false">
      <c r="A741" s="78" t="str">
        <f aca="false">IFERROR(IF($B741="","",IF(INDEX(Einheiten!$B$4:$B$63,MATCH($B741,Einheiten!$A$4:$A$63,0))=0,"",INDEX(Einheiten!$B$4:$B$63,MATCH($B741,Einheiten!$A$4:$A$63,0)))),"")</f>
        <v/>
      </c>
      <c r="B741" s="54"/>
      <c r="C741" s="79" t="str">
        <f aca="false">IFERROR(IF($D741="","",INDEX(Übungen!$B$4:$B$23,MATCH($D741,Übungen!$A$4:$A$23,0))),"")</f>
        <v/>
      </c>
      <c r="D741" s="56"/>
      <c r="E741" s="73"/>
      <c r="F741" s="55"/>
      <c r="G741" s="74"/>
      <c r="H741" s="55"/>
      <c r="I741" s="49" t="str">
        <f aca="false">IF(AND(ISNUMBER($F741),ISNUMBER($G741),$E741&lt;&gt;"R"),$F741*$G741,"")</f>
        <v/>
      </c>
      <c r="J741" s="51" t="str">
        <f aca="false">IF(AND($E741="A",ISNUMBER($F741),ISNUMBER($G741)),$F741*(1+$G741/30),"")</f>
        <v/>
      </c>
      <c r="K741" s="56"/>
      <c r="L741" s="56"/>
    </row>
    <row r="742" customFormat="false" ht="15.75" hidden="false" customHeight="true" outlineLevel="0" collapsed="false">
      <c r="A742" s="78" t="str">
        <f aca="false">IFERROR(IF($B742="","",IF(INDEX(Einheiten!$B$4:$B$63,MATCH($B742,Einheiten!$A$4:$A$63,0))=0,"",INDEX(Einheiten!$B$4:$B$63,MATCH($B742,Einheiten!$A$4:$A$63,0)))),"")</f>
        <v/>
      </c>
      <c r="B742" s="54"/>
      <c r="C742" s="79" t="str">
        <f aca="false">IFERROR(IF($D742="","",INDEX(Übungen!$B$4:$B$23,MATCH($D742,Übungen!$A$4:$A$23,0))),"")</f>
        <v/>
      </c>
      <c r="D742" s="56"/>
      <c r="E742" s="73"/>
      <c r="F742" s="55"/>
      <c r="G742" s="74"/>
      <c r="H742" s="55"/>
      <c r="I742" s="49" t="str">
        <f aca="false">IF(AND(ISNUMBER($F742),ISNUMBER($G742),$E742&lt;&gt;"R"),$F742*$G742,"")</f>
        <v/>
      </c>
      <c r="J742" s="51" t="str">
        <f aca="false">IF(AND($E742="A",ISNUMBER($F742),ISNUMBER($G742)),$F742*(1+$G742/30),"")</f>
        <v/>
      </c>
      <c r="K742" s="56"/>
      <c r="L742" s="56"/>
    </row>
    <row r="743" customFormat="false" ht="15.75" hidden="false" customHeight="true" outlineLevel="0" collapsed="false">
      <c r="A743" s="78" t="str">
        <f aca="false">IFERROR(IF($B743="","",IF(INDEX(Einheiten!$B$4:$B$63,MATCH($B743,Einheiten!$A$4:$A$63,0))=0,"",INDEX(Einheiten!$B$4:$B$63,MATCH($B743,Einheiten!$A$4:$A$63,0)))),"")</f>
        <v/>
      </c>
      <c r="B743" s="54"/>
      <c r="C743" s="79" t="str">
        <f aca="false">IFERROR(IF($D743="","",INDEX(Übungen!$B$4:$B$23,MATCH($D743,Übungen!$A$4:$A$23,0))),"")</f>
        <v/>
      </c>
      <c r="D743" s="56"/>
      <c r="E743" s="73"/>
      <c r="F743" s="55"/>
      <c r="G743" s="74"/>
      <c r="H743" s="55"/>
      <c r="I743" s="49" t="str">
        <f aca="false">IF(AND(ISNUMBER($F743),ISNUMBER($G743),$E743&lt;&gt;"R"),$F743*$G743,"")</f>
        <v/>
      </c>
      <c r="J743" s="51" t="str">
        <f aca="false">IF(AND($E743="A",ISNUMBER($F743),ISNUMBER($G743)),$F743*(1+$G743/30),"")</f>
        <v/>
      </c>
      <c r="K743" s="56"/>
      <c r="L743" s="56"/>
    </row>
    <row r="744" customFormat="false" ht="15.75" hidden="false" customHeight="true" outlineLevel="0" collapsed="false">
      <c r="A744" s="78" t="str">
        <f aca="false">IFERROR(IF($B744="","",IF(INDEX(Einheiten!$B$4:$B$63,MATCH($B744,Einheiten!$A$4:$A$63,0))=0,"",INDEX(Einheiten!$B$4:$B$63,MATCH($B744,Einheiten!$A$4:$A$63,0)))),"")</f>
        <v/>
      </c>
      <c r="B744" s="54"/>
      <c r="C744" s="79" t="str">
        <f aca="false">IFERROR(IF($D744="","",INDEX(Übungen!$B$4:$B$23,MATCH($D744,Übungen!$A$4:$A$23,0))),"")</f>
        <v/>
      </c>
      <c r="D744" s="56"/>
      <c r="E744" s="73"/>
      <c r="F744" s="55"/>
      <c r="G744" s="74"/>
      <c r="H744" s="55"/>
      <c r="I744" s="49" t="str">
        <f aca="false">IF(AND(ISNUMBER($F744),ISNUMBER($G744),$E744&lt;&gt;"R"),$F744*$G744,"")</f>
        <v/>
      </c>
      <c r="J744" s="51" t="str">
        <f aca="false">IF(AND($E744="A",ISNUMBER($F744),ISNUMBER($G744)),$F744*(1+$G744/30),"")</f>
        <v/>
      </c>
      <c r="K744" s="56"/>
      <c r="L744" s="56"/>
    </row>
    <row r="745" customFormat="false" ht="15.75" hidden="false" customHeight="true" outlineLevel="0" collapsed="false">
      <c r="A745" s="78" t="str">
        <f aca="false">IFERROR(IF($B745="","",IF(INDEX(Einheiten!$B$4:$B$63,MATCH($B745,Einheiten!$A$4:$A$63,0))=0,"",INDEX(Einheiten!$B$4:$B$63,MATCH($B745,Einheiten!$A$4:$A$63,0)))),"")</f>
        <v/>
      </c>
      <c r="B745" s="54"/>
      <c r="C745" s="79" t="str">
        <f aca="false">IFERROR(IF($D745="","",INDEX(Übungen!$B$4:$B$23,MATCH($D745,Übungen!$A$4:$A$23,0))),"")</f>
        <v/>
      </c>
      <c r="D745" s="56"/>
      <c r="E745" s="73"/>
      <c r="F745" s="55"/>
      <c r="G745" s="74"/>
      <c r="H745" s="55"/>
      <c r="I745" s="49" t="str">
        <f aca="false">IF(AND(ISNUMBER($F745),ISNUMBER($G745),$E745&lt;&gt;"R"),$F745*$G745,"")</f>
        <v/>
      </c>
      <c r="J745" s="51" t="str">
        <f aca="false">IF(AND($E745="A",ISNUMBER($F745),ISNUMBER($G745)),$F745*(1+$G745/30),"")</f>
        <v/>
      </c>
      <c r="K745" s="56"/>
      <c r="L745" s="56"/>
    </row>
    <row r="746" customFormat="false" ht="15.75" hidden="false" customHeight="true" outlineLevel="0" collapsed="false">
      <c r="A746" s="78" t="str">
        <f aca="false">IFERROR(IF($B746="","",IF(INDEX(Einheiten!$B$4:$B$63,MATCH($B746,Einheiten!$A$4:$A$63,0))=0,"",INDEX(Einheiten!$B$4:$B$63,MATCH($B746,Einheiten!$A$4:$A$63,0)))),"")</f>
        <v/>
      </c>
      <c r="B746" s="54"/>
      <c r="C746" s="79" t="str">
        <f aca="false">IFERROR(IF($D746="","",INDEX(Übungen!$B$4:$B$23,MATCH($D746,Übungen!$A$4:$A$23,0))),"")</f>
        <v/>
      </c>
      <c r="D746" s="56"/>
      <c r="E746" s="73"/>
      <c r="F746" s="55"/>
      <c r="G746" s="74"/>
      <c r="H746" s="55"/>
      <c r="I746" s="49" t="str">
        <f aca="false">IF(AND(ISNUMBER($F746),ISNUMBER($G746),$E746&lt;&gt;"R"),$F746*$G746,"")</f>
        <v/>
      </c>
      <c r="J746" s="51" t="str">
        <f aca="false">IF(AND($E746="A",ISNUMBER($F746),ISNUMBER($G746)),$F746*(1+$G746/30),"")</f>
        <v/>
      </c>
      <c r="K746" s="56"/>
      <c r="L746" s="56"/>
    </row>
    <row r="747" customFormat="false" ht="15.75" hidden="false" customHeight="true" outlineLevel="0" collapsed="false">
      <c r="A747" s="78" t="str">
        <f aca="false">IFERROR(IF($B747="","",IF(INDEX(Einheiten!$B$4:$B$63,MATCH($B747,Einheiten!$A$4:$A$63,0))=0,"",INDEX(Einheiten!$B$4:$B$63,MATCH($B747,Einheiten!$A$4:$A$63,0)))),"")</f>
        <v/>
      </c>
      <c r="B747" s="54"/>
      <c r="C747" s="79" t="str">
        <f aca="false">IFERROR(IF($D747="","",INDEX(Übungen!$B$4:$B$23,MATCH($D747,Übungen!$A$4:$A$23,0))),"")</f>
        <v/>
      </c>
      <c r="D747" s="56"/>
      <c r="E747" s="73"/>
      <c r="F747" s="55"/>
      <c r="G747" s="74"/>
      <c r="H747" s="55"/>
      <c r="I747" s="49" t="str">
        <f aca="false">IF(AND(ISNUMBER($F747),ISNUMBER($G747),$E747&lt;&gt;"R"),$F747*$G747,"")</f>
        <v/>
      </c>
      <c r="J747" s="51" t="str">
        <f aca="false">IF(AND($E747="A",ISNUMBER($F747),ISNUMBER($G747)),$F747*(1+$G747/30),"")</f>
        <v/>
      </c>
      <c r="K747" s="56"/>
      <c r="L747" s="56"/>
    </row>
    <row r="748" customFormat="false" ht="15.75" hidden="false" customHeight="true" outlineLevel="0" collapsed="false">
      <c r="A748" s="78" t="str">
        <f aca="false">IFERROR(IF($B748="","",IF(INDEX(Einheiten!$B$4:$B$63,MATCH($B748,Einheiten!$A$4:$A$63,0))=0,"",INDEX(Einheiten!$B$4:$B$63,MATCH($B748,Einheiten!$A$4:$A$63,0)))),"")</f>
        <v/>
      </c>
      <c r="B748" s="54"/>
      <c r="C748" s="79" t="str">
        <f aca="false">IFERROR(IF($D748="","",INDEX(Übungen!$B$4:$B$23,MATCH($D748,Übungen!$A$4:$A$23,0))),"")</f>
        <v/>
      </c>
      <c r="D748" s="56"/>
      <c r="E748" s="73"/>
      <c r="F748" s="55"/>
      <c r="G748" s="74"/>
      <c r="H748" s="55"/>
      <c r="I748" s="49" t="str">
        <f aca="false">IF(AND(ISNUMBER($F748),ISNUMBER($G748),$E748&lt;&gt;"R"),$F748*$G748,"")</f>
        <v/>
      </c>
      <c r="J748" s="51" t="str">
        <f aca="false">IF(AND($E748="A",ISNUMBER($F748),ISNUMBER($G748)),$F748*(1+$G748/30),"")</f>
        <v/>
      </c>
      <c r="K748" s="56"/>
      <c r="L748" s="56"/>
    </row>
    <row r="749" customFormat="false" ht="15.75" hidden="false" customHeight="true" outlineLevel="0" collapsed="false">
      <c r="A749" s="78" t="str">
        <f aca="false">IFERROR(IF($B749="","",IF(INDEX(Einheiten!$B$4:$B$63,MATCH($B749,Einheiten!$A$4:$A$63,0))=0,"",INDEX(Einheiten!$B$4:$B$63,MATCH($B749,Einheiten!$A$4:$A$63,0)))),"")</f>
        <v/>
      </c>
      <c r="B749" s="54"/>
      <c r="C749" s="79" t="str">
        <f aca="false">IFERROR(IF($D749="","",INDEX(Übungen!$B$4:$B$23,MATCH($D749,Übungen!$A$4:$A$23,0))),"")</f>
        <v/>
      </c>
      <c r="D749" s="56"/>
      <c r="E749" s="73"/>
      <c r="F749" s="55"/>
      <c r="G749" s="74"/>
      <c r="H749" s="55"/>
      <c r="I749" s="49" t="str">
        <f aca="false">IF(AND(ISNUMBER($F749),ISNUMBER($G749),$E749&lt;&gt;"R"),$F749*$G749,"")</f>
        <v/>
      </c>
      <c r="J749" s="51" t="str">
        <f aca="false">IF(AND($E749="A",ISNUMBER($F749),ISNUMBER($G749)),$F749*(1+$G749/30),"")</f>
        <v/>
      </c>
      <c r="K749" s="56"/>
      <c r="L749" s="56"/>
    </row>
    <row r="750" customFormat="false" ht="15.75" hidden="false" customHeight="true" outlineLevel="0" collapsed="false">
      <c r="A750" s="78" t="str">
        <f aca="false">IFERROR(IF($B750="","",IF(INDEX(Einheiten!$B$4:$B$63,MATCH($B750,Einheiten!$A$4:$A$63,0))=0,"",INDEX(Einheiten!$B$4:$B$63,MATCH($B750,Einheiten!$A$4:$A$63,0)))),"")</f>
        <v/>
      </c>
      <c r="B750" s="54"/>
      <c r="C750" s="79" t="str">
        <f aca="false">IFERROR(IF($D750="","",INDEX(Übungen!$B$4:$B$23,MATCH($D750,Übungen!$A$4:$A$23,0))),"")</f>
        <v/>
      </c>
      <c r="D750" s="56"/>
      <c r="E750" s="73"/>
      <c r="F750" s="55"/>
      <c r="G750" s="74"/>
      <c r="H750" s="55"/>
      <c r="I750" s="49" t="str">
        <f aca="false">IF(AND(ISNUMBER($F750),ISNUMBER($G750),$E750&lt;&gt;"R"),$F750*$G750,"")</f>
        <v/>
      </c>
      <c r="J750" s="51" t="str">
        <f aca="false">IF(AND($E750="A",ISNUMBER($F750),ISNUMBER($G750)),$F750*(1+$G750/30),"")</f>
        <v/>
      </c>
      <c r="K750" s="56"/>
      <c r="L750" s="56"/>
    </row>
    <row r="751" customFormat="false" ht="15.75" hidden="false" customHeight="true" outlineLevel="0" collapsed="false">
      <c r="A751" s="78" t="str">
        <f aca="false">IFERROR(IF($B751="","",IF(INDEX(Einheiten!$B$4:$B$63,MATCH($B751,Einheiten!$A$4:$A$63,0))=0,"",INDEX(Einheiten!$B$4:$B$63,MATCH($B751,Einheiten!$A$4:$A$63,0)))),"")</f>
        <v/>
      </c>
      <c r="B751" s="54"/>
      <c r="C751" s="79" t="str">
        <f aca="false">IFERROR(IF($D751="","",INDEX(Übungen!$B$4:$B$23,MATCH($D751,Übungen!$A$4:$A$23,0))),"")</f>
        <v/>
      </c>
      <c r="D751" s="56"/>
      <c r="E751" s="73"/>
      <c r="F751" s="55"/>
      <c r="G751" s="74"/>
      <c r="H751" s="55"/>
      <c r="I751" s="49" t="str">
        <f aca="false">IF(AND(ISNUMBER($F751),ISNUMBER($G751),$E751&lt;&gt;"R"),$F751*$G751,"")</f>
        <v/>
      </c>
      <c r="J751" s="51" t="str">
        <f aca="false">IF(AND($E751="A",ISNUMBER($F751),ISNUMBER($G751)),$F751*(1+$G751/30),"")</f>
        <v/>
      </c>
      <c r="K751" s="56"/>
      <c r="L751" s="56"/>
    </row>
    <row r="752" customFormat="false" ht="15.75" hidden="false" customHeight="true" outlineLevel="0" collapsed="false">
      <c r="A752" s="78" t="str">
        <f aca="false">IFERROR(IF($B752="","",IF(INDEX(Einheiten!$B$4:$B$63,MATCH($B752,Einheiten!$A$4:$A$63,0))=0,"",INDEX(Einheiten!$B$4:$B$63,MATCH($B752,Einheiten!$A$4:$A$63,0)))),"")</f>
        <v/>
      </c>
      <c r="B752" s="54"/>
      <c r="C752" s="79" t="str">
        <f aca="false">IFERROR(IF($D752="","",INDEX(Übungen!$B$4:$B$23,MATCH($D752,Übungen!$A$4:$A$23,0))),"")</f>
        <v/>
      </c>
      <c r="D752" s="56"/>
      <c r="E752" s="73"/>
      <c r="F752" s="55"/>
      <c r="G752" s="74"/>
      <c r="H752" s="55"/>
      <c r="I752" s="49" t="str">
        <f aca="false">IF(AND(ISNUMBER($F752),ISNUMBER($G752),$E752&lt;&gt;"R"),$F752*$G752,"")</f>
        <v/>
      </c>
      <c r="J752" s="51" t="str">
        <f aca="false">IF(AND($E752="A",ISNUMBER($F752),ISNUMBER($G752)),$F752*(1+$G752/30),"")</f>
        <v/>
      </c>
      <c r="K752" s="56"/>
      <c r="L752" s="56"/>
    </row>
    <row r="753" customFormat="false" ht="15.75" hidden="false" customHeight="true" outlineLevel="0" collapsed="false">
      <c r="A753" s="78" t="str">
        <f aca="false">IFERROR(IF($B753="","",IF(INDEX(Einheiten!$B$4:$B$63,MATCH($B753,Einheiten!$A$4:$A$63,0))=0,"",INDEX(Einheiten!$B$4:$B$63,MATCH($B753,Einheiten!$A$4:$A$63,0)))),"")</f>
        <v/>
      </c>
      <c r="B753" s="54"/>
      <c r="C753" s="79" t="str">
        <f aca="false">IFERROR(IF($D753="","",INDEX(Übungen!$B$4:$B$23,MATCH($D753,Übungen!$A$4:$A$23,0))),"")</f>
        <v/>
      </c>
      <c r="D753" s="56"/>
      <c r="E753" s="73"/>
      <c r="F753" s="55"/>
      <c r="G753" s="74"/>
      <c r="H753" s="55"/>
      <c r="I753" s="49" t="str">
        <f aca="false">IF(AND(ISNUMBER($F753),ISNUMBER($G753),$E753&lt;&gt;"R"),$F753*$G753,"")</f>
        <v/>
      </c>
      <c r="J753" s="51" t="str">
        <f aca="false">IF(AND($E753="A",ISNUMBER($F753),ISNUMBER($G753)),$F753*(1+$G753/30),"")</f>
        <v/>
      </c>
      <c r="K753" s="56"/>
      <c r="L753" s="56"/>
    </row>
    <row r="754" customFormat="false" ht="15.75" hidden="false" customHeight="true" outlineLevel="0" collapsed="false">
      <c r="A754" s="78" t="str">
        <f aca="false">IFERROR(IF($B754="","",IF(INDEX(Einheiten!$B$4:$B$63,MATCH($B754,Einheiten!$A$4:$A$63,0))=0,"",INDEX(Einheiten!$B$4:$B$63,MATCH($B754,Einheiten!$A$4:$A$63,0)))),"")</f>
        <v/>
      </c>
      <c r="B754" s="54"/>
      <c r="C754" s="79" t="str">
        <f aca="false">IFERROR(IF($D754="","",INDEX(Übungen!$B$4:$B$23,MATCH($D754,Übungen!$A$4:$A$23,0))),"")</f>
        <v/>
      </c>
      <c r="D754" s="56"/>
      <c r="E754" s="73"/>
      <c r="F754" s="55"/>
      <c r="G754" s="74"/>
      <c r="H754" s="55"/>
      <c r="I754" s="49" t="str">
        <f aca="false">IF(AND(ISNUMBER($F754),ISNUMBER($G754),$E754&lt;&gt;"R"),$F754*$G754,"")</f>
        <v/>
      </c>
      <c r="J754" s="51" t="str">
        <f aca="false">IF(AND($E754="A",ISNUMBER($F754),ISNUMBER($G754)),$F754*(1+$G754/30),"")</f>
        <v/>
      </c>
      <c r="K754" s="56"/>
      <c r="L754" s="56"/>
    </row>
    <row r="755" customFormat="false" ht="15.75" hidden="false" customHeight="true" outlineLevel="0" collapsed="false">
      <c r="A755" s="78" t="str">
        <f aca="false">IFERROR(IF($B755="","",IF(INDEX(Einheiten!$B$4:$B$63,MATCH($B755,Einheiten!$A$4:$A$63,0))=0,"",INDEX(Einheiten!$B$4:$B$63,MATCH($B755,Einheiten!$A$4:$A$63,0)))),"")</f>
        <v/>
      </c>
      <c r="B755" s="54"/>
      <c r="C755" s="79" t="str">
        <f aca="false">IFERROR(IF($D755="","",INDEX(Übungen!$B$4:$B$23,MATCH($D755,Übungen!$A$4:$A$23,0))),"")</f>
        <v/>
      </c>
      <c r="D755" s="56"/>
      <c r="E755" s="73"/>
      <c r="F755" s="55"/>
      <c r="G755" s="74"/>
      <c r="H755" s="55"/>
      <c r="I755" s="49" t="str">
        <f aca="false">IF(AND(ISNUMBER($F755),ISNUMBER($G755),$E755&lt;&gt;"R"),$F755*$G755,"")</f>
        <v/>
      </c>
      <c r="J755" s="51" t="str">
        <f aca="false">IF(AND($E755="A",ISNUMBER($F755),ISNUMBER($G755)),$F755*(1+$G755/30),"")</f>
        <v/>
      </c>
      <c r="K755" s="56"/>
      <c r="L755" s="56"/>
    </row>
    <row r="756" customFormat="false" ht="15.75" hidden="false" customHeight="true" outlineLevel="0" collapsed="false">
      <c r="A756" s="78" t="str">
        <f aca="false">IFERROR(IF($B756="","",IF(INDEX(Einheiten!$B$4:$B$63,MATCH($B756,Einheiten!$A$4:$A$63,0))=0,"",INDEX(Einheiten!$B$4:$B$63,MATCH($B756,Einheiten!$A$4:$A$63,0)))),"")</f>
        <v/>
      </c>
      <c r="B756" s="54"/>
      <c r="C756" s="79" t="str">
        <f aca="false">IFERROR(IF($D756="","",INDEX(Übungen!$B$4:$B$23,MATCH($D756,Übungen!$A$4:$A$23,0))),"")</f>
        <v/>
      </c>
      <c r="D756" s="56"/>
      <c r="E756" s="73"/>
      <c r="F756" s="55"/>
      <c r="G756" s="74"/>
      <c r="H756" s="55"/>
      <c r="I756" s="49" t="str">
        <f aca="false">IF(AND(ISNUMBER($F756),ISNUMBER($G756),$E756&lt;&gt;"R"),$F756*$G756,"")</f>
        <v/>
      </c>
      <c r="J756" s="51" t="str">
        <f aca="false">IF(AND($E756="A",ISNUMBER($F756),ISNUMBER($G756)),$F756*(1+$G756/30),"")</f>
        <v/>
      </c>
      <c r="K756" s="56"/>
      <c r="L756" s="56"/>
    </row>
    <row r="757" customFormat="false" ht="15.75" hidden="false" customHeight="true" outlineLevel="0" collapsed="false">
      <c r="A757" s="78" t="str">
        <f aca="false">IFERROR(IF($B757="","",IF(INDEX(Einheiten!$B$4:$B$63,MATCH($B757,Einheiten!$A$4:$A$63,0))=0,"",INDEX(Einheiten!$B$4:$B$63,MATCH($B757,Einheiten!$A$4:$A$63,0)))),"")</f>
        <v/>
      </c>
      <c r="B757" s="54"/>
      <c r="C757" s="79" t="str">
        <f aca="false">IFERROR(IF($D757="","",INDEX(Übungen!$B$4:$B$23,MATCH($D757,Übungen!$A$4:$A$23,0))),"")</f>
        <v/>
      </c>
      <c r="D757" s="56"/>
      <c r="E757" s="73"/>
      <c r="F757" s="55"/>
      <c r="G757" s="74"/>
      <c r="H757" s="55"/>
      <c r="I757" s="49" t="str">
        <f aca="false">IF(AND(ISNUMBER($F757),ISNUMBER($G757),$E757&lt;&gt;"R"),$F757*$G757,"")</f>
        <v/>
      </c>
      <c r="J757" s="51" t="str">
        <f aca="false">IF(AND($E757="A",ISNUMBER($F757),ISNUMBER($G757)),$F757*(1+$G757/30),"")</f>
        <v/>
      </c>
      <c r="K757" s="56"/>
      <c r="L757" s="56"/>
    </row>
    <row r="758" customFormat="false" ht="15.75" hidden="false" customHeight="true" outlineLevel="0" collapsed="false">
      <c r="A758" s="78" t="str">
        <f aca="false">IFERROR(IF($B758="","",IF(INDEX(Einheiten!$B$4:$B$63,MATCH($B758,Einheiten!$A$4:$A$63,0))=0,"",INDEX(Einheiten!$B$4:$B$63,MATCH($B758,Einheiten!$A$4:$A$63,0)))),"")</f>
        <v/>
      </c>
      <c r="B758" s="54"/>
      <c r="C758" s="79" t="str">
        <f aca="false">IFERROR(IF($D758="","",INDEX(Übungen!$B$4:$B$23,MATCH($D758,Übungen!$A$4:$A$23,0))),"")</f>
        <v/>
      </c>
      <c r="D758" s="56"/>
      <c r="E758" s="73"/>
      <c r="F758" s="55"/>
      <c r="G758" s="74"/>
      <c r="H758" s="55"/>
      <c r="I758" s="49" t="str">
        <f aca="false">IF(AND(ISNUMBER($F758),ISNUMBER($G758),$E758&lt;&gt;"R"),$F758*$G758,"")</f>
        <v/>
      </c>
      <c r="J758" s="51" t="str">
        <f aca="false">IF(AND($E758="A",ISNUMBER($F758),ISNUMBER($G758)),$F758*(1+$G758/30),"")</f>
        <v/>
      </c>
      <c r="K758" s="56"/>
      <c r="L758" s="56"/>
    </row>
    <row r="759" customFormat="false" ht="15.75" hidden="false" customHeight="true" outlineLevel="0" collapsed="false">
      <c r="A759" s="78" t="str">
        <f aca="false">IFERROR(IF($B759="","",IF(INDEX(Einheiten!$B$4:$B$63,MATCH($B759,Einheiten!$A$4:$A$63,0))=0,"",INDEX(Einheiten!$B$4:$B$63,MATCH($B759,Einheiten!$A$4:$A$63,0)))),"")</f>
        <v/>
      </c>
      <c r="B759" s="54"/>
      <c r="C759" s="79" t="str">
        <f aca="false">IFERROR(IF($D759="","",INDEX(Übungen!$B$4:$B$23,MATCH($D759,Übungen!$A$4:$A$23,0))),"")</f>
        <v/>
      </c>
      <c r="D759" s="56"/>
      <c r="E759" s="73"/>
      <c r="F759" s="55"/>
      <c r="G759" s="74"/>
      <c r="H759" s="55"/>
      <c r="I759" s="49" t="str">
        <f aca="false">IF(AND(ISNUMBER($F759),ISNUMBER($G759),$E759&lt;&gt;"R"),$F759*$G759,"")</f>
        <v/>
      </c>
      <c r="J759" s="51" t="str">
        <f aca="false">IF(AND($E759="A",ISNUMBER($F759),ISNUMBER($G759)),$F759*(1+$G759/30),"")</f>
        <v/>
      </c>
      <c r="K759" s="56"/>
      <c r="L759" s="56"/>
    </row>
    <row r="760" customFormat="false" ht="15.75" hidden="false" customHeight="true" outlineLevel="0" collapsed="false">
      <c r="A760" s="78" t="str">
        <f aca="false">IFERROR(IF($B760="","",IF(INDEX(Einheiten!$B$4:$B$63,MATCH($B760,Einheiten!$A$4:$A$63,0))=0,"",INDEX(Einheiten!$B$4:$B$63,MATCH($B760,Einheiten!$A$4:$A$63,0)))),"")</f>
        <v/>
      </c>
      <c r="B760" s="54"/>
      <c r="C760" s="79" t="str">
        <f aca="false">IFERROR(IF($D760="","",INDEX(Übungen!$B$4:$B$23,MATCH($D760,Übungen!$A$4:$A$23,0))),"")</f>
        <v/>
      </c>
      <c r="D760" s="56"/>
      <c r="E760" s="73"/>
      <c r="F760" s="55"/>
      <c r="G760" s="74"/>
      <c r="H760" s="55"/>
      <c r="I760" s="49" t="str">
        <f aca="false">IF(AND(ISNUMBER($F760),ISNUMBER($G760),$E760&lt;&gt;"R"),$F760*$G760,"")</f>
        <v/>
      </c>
      <c r="J760" s="51" t="str">
        <f aca="false">IF(AND($E760="A",ISNUMBER($F760),ISNUMBER($G760)),$F760*(1+$G760/30),"")</f>
        <v/>
      </c>
      <c r="K760" s="56"/>
      <c r="L760" s="56"/>
    </row>
    <row r="761" customFormat="false" ht="15.75" hidden="false" customHeight="true" outlineLevel="0" collapsed="false">
      <c r="A761" s="78" t="str">
        <f aca="false">IFERROR(IF($B761="","",IF(INDEX(Einheiten!$B$4:$B$63,MATCH($B761,Einheiten!$A$4:$A$63,0))=0,"",INDEX(Einheiten!$B$4:$B$63,MATCH($B761,Einheiten!$A$4:$A$63,0)))),"")</f>
        <v/>
      </c>
      <c r="B761" s="54"/>
      <c r="C761" s="79" t="str">
        <f aca="false">IFERROR(IF($D761="","",INDEX(Übungen!$B$4:$B$23,MATCH($D761,Übungen!$A$4:$A$23,0))),"")</f>
        <v/>
      </c>
      <c r="D761" s="56"/>
      <c r="E761" s="73"/>
      <c r="F761" s="55"/>
      <c r="G761" s="74"/>
      <c r="H761" s="55"/>
      <c r="I761" s="49" t="str">
        <f aca="false">IF(AND(ISNUMBER($F761),ISNUMBER($G761),$E761&lt;&gt;"R"),$F761*$G761,"")</f>
        <v/>
      </c>
      <c r="J761" s="51" t="str">
        <f aca="false">IF(AND($E761="A",ISNUMBER($F761),ISNUMBER($G761)),$F761*(1+$G761/30),"")</f>
        <v/>
      </c>
      <c r="K761" s="56"/>
      <c r="L761" s="56"/>
    </row>
    <row r="762" customFormat="false" ht="15.75" hidden="false" customHeight="true" outlineLevel="0" collapsed="false">
      <c r="A762" s="78" t="str">
        <f aca="false">IFERROR(IF($B762="","",IF(INDEX(Einheiten!$B$4:$B$63,MATCH($B762,Einheiten!$A$4:$A$63,0))=0,"",INDEX(Einheiten!$B$4:$B$63,MATCH($B762,Einheiten!$A$4:$A$63,0)))),"")</f>
        <v/>
      </c>
      <c r="B762" s="54"/>
      <c r="C762" s="79" t="str">
        <f aca="false">IFERROR(IF($D762="","",INDEX(Übungen!$B$4:$B$23,MATCH($D762,Übungen!$A$4:$A$23,0))),"")</f>
        <v/>
      </c>
      <c r="D762" s="56"/>
      <c r="E762" s="73"/>
      <c r="F762" s="55"/>
      <c r="G762" s="74"/>
      <c r="H762" s="55"/>
      <c r="I762" s="49" t="str">
        <f aca="false">IF(AND(ISNUMBER($F762),ISNUMBER($G762),$E762&lt;&gt;"R"),$F762*$G762,"")</f>
        <v/>
      </c>
      <c r="J762" s="51" t="str">
        <f aca="false">IF(AND($E762="A",ISNUMBER($F762),ISNUMBER($G762)),$F762*(1+$G762/30),"")</f>
        <v/>
      </c>
      <c r="K762" s="56"/>
      <c r="L762" s="56"/>
    </row>
    <row r="763" customFormat="false" ht="15.75" hidden="false" customHeight="true" outlineLevel="0" collapsed="false">
      <c r="A763" s="78" t="str">
        <f aca="false">IFERROR(IF($B763="","",IF(INDEX(Einheiten!$B$4:$B$63,MATCH($B763,Einheiten!$A$4:$A$63,0))=0,"",INDEX(Einheiten!$B$4:$B$63,MATCH($B763,Einheiten!$A$4:$A$63,0)))),"")</f>
        <v/>
      </c>
      <c r="B763" s="54"/>
      <c r="C763" s="79" t="str">
        <f aca="false">IFERROR(IF($D763="","",INDEX(Übungen!$B$4:$B$23,MATCH($D763,Übungen!$A$4:$A$23,0))),"")</f>
        <v/>
      </c>
      <c r="D763" s="56"/>
      <c r="E763" s="73"/>
      <c r="F763" s="55"/>
      <c r="G763" s="74"/>
      <c r="H763" s="55"/>
      <c r="I763" s="49" t="str">
        <f aca="false">IF(AND(ISNUMBER($F763),ISNUMBER($G763),$E763&lt;&gt;"R"),$F763*$G763,"")</f>
        <v/>
      </c>
      <c r="J763" s="51" t="str">
        <f aca="false">IF(AND($E763="A",ISNUMBER($F763),ISNUMBER($G763)),$F763*(1+$G763/30),"")</f>
        <v/>
      </c>
      <c r="K763" s="56"/>
      <c r="L763" s="56"/>
    </row>
    <row r="764" customFormat="false" ht="15.75" hidden="false" customHeight="true" outlineLevel="0" collapsed="false">
      <c r="A764" s="78" t="str">
        <f aca="false">IFERROR(IF($B764="","",IF(INDEX(Einheiten!$B$4:$B$63,MATCH($B764,Einheiten!$A$4:$A$63,0))=0,"",INDEX(Einheiten!$B$4:$B$63,MATCH($B764,Einheiten!$A$4:$A$63,0)))),"")</f>
        <v/>
      </c>
      <c r="B764" s="54"/>
      <c r="C764" s="79" t="str">
        <f aca="false">IFERROR(IF($D764="","",INDEX(Übungen!$B$4:$B$23,MATCH($D764,Übungen!$A$4:$A$23,0))),"")</f>
        <v/>
      </c>
      <c r="D764" s="56"/>
      <c r="E764" s="73"/>
      <c r="F764" s="55"/>
      <c r="G764" s="74"/>
      <c r="H764" s="55"/>
      <c r="I764" s="49" t="str">
        <f aca="false">IF(AND(ISNUMBER($F764),ISNUMBER($G764),$E764&lt;&gt;"R"),$F764*$G764,"")</f>
        <v/>
      </c>
      <c r="J764" s="51" t="str">
        <f aca="false">IF(AND($E764="A",ISNUMBER($F764),ISNUMBER($G764)),$F764*(1+$G764/30),"")</f>
        <v/>
      </c>
      <c r="K764" s="56"/>
      <c r="L764" s="56"/>
    </row>
    <row r="765" customFormat="false" ht="15.75" hidden="false" customHeight="true" outlineLevel="0" collapsed="false">
      <c r="A765" s="78" t="str">
        <f aca="false">IFERROR(IF($B765="","",IF(INDEX(Einheiten!$B$4:$B$63,MATCH($B765,Einheiten!$A$4:$A$63,0))=0,"",INDEX(Einheiten!$B$4:$B$63,MATCH($B765,Einheiten!$A$4:$A$63,0)))),"")</f>
        <v/>
      </c>
      <c r="B765" s="54"/>
      <c r="C765" s="79" t="str">
        <f aca="false">IFERROR(IF($D765="","",INDEX(Übungen!$B$4:$B$23,MATCH($D765,Übungen!$A$4:$A$23,0))),"")</f>
        <v/>
      </c>
      <c r="D765" s="56"/>
      <c r="E765" s="73"/>
      <c r="F765" s="55"/>
      <c r="G765" s="74"/>
      <c r="H765" s="55"/>
      <c r="I765" s="49" t="str">
        <f aca="false">IF(AND(ISNUMBER($F765),ISNUMBER($G765),$E765&lt;&gt;"R"),$F765*$G765,"")</f>
        <v/>
      </c>
      <c r="J765" s="51" t="str">
        <f aca="false">IF(AND($E765="A",ISNUMBER($F765),ISNUMBER($G765)),$F765*(1+$G765/30),"")</f>
        <v/>
      </c>
      <c r="K765" s="56"/>
      <c r="L765" s="56"/>
    </row>
    <row r="766" customFormat="false" ht="15.75" hidden="false" customHeight="true" outlineLevel="0" collapsed="false">
      <c r="A766" s="78" t="str">
        <f aca="false">IFERROR(IF($B766="","",IF(INDEX(Einheiten!$B$4:$B$63,MATCH($B766,Einheiten!$A$4:$A$63,0))=0,"",INDEX(Einheiten!$B$4:$B$63,MATCH($B766,Einheiten!$A$4:$A$63,0)))),"")</f>
        <v/>
      </c>
      <c r="B766" s="54"/>
      <c r="C766" s="79" t="str">
        <f aca="false">IFERROR(IF($D766="","",INDEX(Übungen!$B$4:$B$23,MATCH($D766,Übungen!$A$4:$A$23,0))),"")</f>
        <v/>
      </c>
      <c r="D766" s="56"/>
      <c r="E766" s="73"/>
      <c r="F766" s="55"/>
      <c r="G766" s="74"/>
      <c r="H766" s="55"/>
      <c r="I766" s="49" t="str">
        <f aca="false">IF(AND(ISNUMBER($F766),ISNUMBER($G766),$E766&lt;&gt;"R"),$F766*$G766,"")</f>
        <v/>
      </c>
      <c r="J766" s="51" t="str">
        <f aca="false">IF(AND($E766="A",ISNUMBER($F766),ISNUMBER($G766)),$F766*(1+$G766/30),"")</f>
        <v/>
      </c>
      <c r="K766" s="56"/>
      <c r="L766" s="56"/>
    </row>
    <row r="767" customFormat="false" ht="15.75" hidden="false" customHeight="true" outlineLevel="0" collapsed="false">
      <c r="A767" s="78" t="str">
        <f aca="false">IFERROR(IF($B767="","",IF(INDEX(Einheiten!$B$4:$B$63,MATCH($B767,Einheiten!$A$4:$A$63,0))=0,"",INDEX(Einheiten!$B$4:$B$63,MATCH($B767,Einheiten!$A$4:$A$63,0)))),"")</f>
        <v/>
      </c>
      <c r="B767" s="54"/>
      <c r="C767" s="79" t="str">
        <f aca="false">IFERROR(IF($D767="","",INDEX(Übungen!$B$4:$B$23,MATCH($D767,Übungen!$A$4:$A$23,0))),"")</f>
        <v/>
      </c>
      <c r="D767" s="56"/>
      <c r="E767" s="73"/>
      <c r="F767" s="55"/>
      <c r="G767" s="74"/>
      <c r="H767" s="55"/>
      <c r="I767" s="49" t="str">
        <f aca="false">IF(AND(ISNUMBER($F767),ISNUMBER($G767),$E767&lt;&gt;"R"),$F767*$G767,"")</f>
        <v/>
      </c>
      <c r="J767" s="51" t="str">
        <f aca="false">IF(AND($E767="A",ISNUMBER($F767),ISNUMBER($G767)),$F767*(1+$G767/30),"")</f>
        <v/>
      </c>
      <c r="K767" s="56"/>
      <c r="L767" s="56"/>
    </row>
    <row r="768" customFormat="false" ht="15.75" hidden="false" customHeight="true" outlineLevel="0" collapsed="false">
      <c r="A768" s="78" t="str">
        <f aca="false">IFERROR(IF($B768="","",IF(INDEX(Einheiten!$B$4:$B$63,MATCH($B768,Einheiten!$A$4:$A$63,0))=0,"",INDEX(Einheiten!$B$4:$B$63,MATCH($B768,Einheiten!$A$4:$A$63,0)))),"")</f>
        <v/>
      </c>
      <c r="B768" s="54"/>
      <c r="C768" s="79" t="str">
        <f aca="false">IFERROR(IF($D768="","",INDEX(Übungen!$B$4:$B$23,MATCH($D768,Übungen!$A$4:$A$23,0))),"")</f>
        <v/>
      </c>
      <c r="D768" s="56"/>
      <c r="E768" s="73"/>
      <c r="F768" s="55"/>
      <c r="G768" s="74"/>
      <c r="H768" s="55"/>
      <c r="I768" s="49" t="str">
        <f aca="false">IF(AND(ISNUMBER($F768),ISNUMBER($G768),$E768&lt;&gt;"R"),$F768*$G768,"")</f>
        <v/>
      </c>
      <c r="J768" s="51" t="str">
        <f aca="false">IF(AND($E768="A",ISNUMBER($F768),ISNUMBER($G768)),$F768*(1+$G768/30),"")</f>
        <v/>
      </c>
      <c r="K768" s="56"/>
      <c r="L768" s="56"/>
    </row>
    <row r="769" customFormat="false" ht="15.75" hidden="false" customHeight="true" outlineLevel="0" collapsed="false">
      <c r="A769" s="78" t="str">
        <f aca="false">IFERROR(IF($B769="","",IF(INDEX(Einheiten!$B$4:$B$63,MATCH($B769,Einheiten!$A$4:$A$63,0))=0,"",INDEX(Einheiten!$B$4:$B$63,MATCH($B769,Einheiten!$A$4:$A$63,0)))),"")</f>
        <v/>
      </c>
      <c r="B769" s="54"/>
      <c r="C769" s="79" t="str">
        <f aca="false">IFERROR(IF($D769="","",INDEX(Übungen!$B$4:$B$23,MATCH($D769,Übungen!$A$4:$A$23,0))),"")</f>
        <v/>
      </c>
      <c r="D769" s="56"/>
      <c r="E769" s="73"/>
      <c r="F769" s="55"/>
      <c r="G769" s="74"/>
      <c r="H769" s="55"/>
      <c r="I769" s="49" t="str">
        <f aca="false">IF(AND(ISNUMBER($F769),ISNUMBER($G769),$E769&lt;&gt;"R"),$F769*$G769,"")</f>
        <v/>
      </c>
      <c r="J769" s="51" t="str">
        <f aca="false">IF(AND($E769="A",ISNUMBER($F769),ISNUMBER($G769)),$F769*(1+$G769/30),"")</f>
        <v/>
      </c>
      <c r="K769" s="56"/>
      <c r="L769" s="56"/>
    </row>
    <row r="770" customFormat="false" ht="15.75" hidden="false" customHeight="true" outlineLevel="0" collapsed="false">
      <c r="A770" s="78" t="str">
        <f aca="false">IFERROR(IF($B770="","",IF(INDEX(Einheiten!$B$4:$B$63,MATCH($B770,Einheiten!$A$4:$A$63,0))=0,"",INDEX(Einheiten!$B$4:$B$63,MATCH($B770,Einheiten!$A$4:$A$63,0)))),"")</f>
        <v/>
      </c>
      <c r="B770" s="54"/>
      <c r="C770" s="79" t="str">
        <f aca="false">IFERROR(IF($D770="","",INDEX(Übungen!$B$4:$B$23,MATCH($D770,Übungen!$A$4:$A$23,0))),"")</f>
        <v/>
      </c>
      <c r="D770" s="56"/>
      <c r="E770" s="73"/>
      <c r="F770" s="55"/>
      <c r="G770" s="74"/>
      <c r="H770" s="55"/>
      <c r="I770" s="49" t="str">
        <f aca="false">IF(AND(ISNUMBER($F770),ISNUMBER($G770),$E770&lt;&gt;"R"),$F770*$G770,"")</f>
        <v/>
      </c>
      <c r="J770" s="51" t="str">
        <f aca="false">IF(AND($E770="A",ISNUMBER($F770),ISNUMBER($G770)),$F770*(1+$G770/30),"")</f>
        <v/>
      </c>
      <c r="K770" s="56"/>
      <c r="L770" s="56"/>
    </row>
    <row r="771" customFormat="false" ht="15.75" hidden="false" customHeight="true" outlineLevel="0" collapsed="false">
      <c r="A771" s="78" t="str">
        <f aca="false">IFERROR(IF($B771="","",IF(INDEX(Einheiten!$B$4:$B$63,MATCH($B771,Einheiten!$A$4:$A$63,0))=0,"",INDEX(Einheiten!$B$4:$B$63,MATCH($B771,Einheiten!$A$4:$A$63,0)))),"")</f>
        <v/>
      </c>
      <c r="B771" s="54"/>
      <c r="C771" s="79" t="str">
        <f aca="false">IFERROR(IF($D771="","",INDEX(Übungen!$B$4:$B$23,MATCH($D771,Übungen!$A$4:$A$23,0))),"")</f>
        <v/>
      </c>
      <c r="D771" s="56"/>
      <c r="E771" s="73"/>
      <c r="F771" s="55"/>
      <c r="G771" s="74"/>
      <c r="H771" s="55"/>
      <c r="I771" s="49" t="str">
        <f aca="false">IF(AND(ISNUMBER($F771),ISNUMBER($G771),$E771&lt;&gt;"R"),$F771*$G771,"")</f>
        <v/>
      </c>
      <c r="J771" s="51" t="str">
        <f aca="false">IF(AND($E771="A",ISNUMBER($F771),ISNUMBER($G771)),$F771*(1+$G771/30),"")</f>
        <v/>
      </c>
      <c r="K771" s="56"/>
      <c r="L771" s="56"/>
    </row>
    <row r="772" customFormat="false" ht="15.75" hidden="false" customHeight="true" outlineLevel="0" collapsed="false">
      <c r="A772" s="78" t="str">
        <f aca="false">IFERROR(IF($B772="","",IF(INDEX(Einheiten!$B$4:$B$63,MATCH($B772,Einheiten!$A$4:$A$63,0))=0,"",INDEX(Einheiten!$B$4:$B$63,MATCH($B772,Einheiten!$A$4:$A$63,0)))),"")</f>
        <v/>
      </c>
      <c r="B772" s="54"/>
      <c r="C772" s="79" t="str">
        <f aca="false">IFERROR(IF($D772="","",INDEX(Übungen!$B$4:$B$23,MATCH($D772,Übungen!$A$4:$A$23,0))),"")</f>
        <v/>
      </c>
      <c r="D772" s="56"/>
      <c r="E772" s="73"/>
      <c r="F772" s="55"/>
      <c r="G772" s="74"/>
      <c r="H772" s="55"/>
      <c r="I772" s="49" t="str">
        <f aca="false">IF(AND(ISNUMBER($F772),ISNUMBER($G772),$E772&lt;&gt;"R"),$F772*$G772,"")</f>
        <v/>
      </c>
      <c r="J772" s="51" t="str">
        <f aca="false">IF(AND($E772="A",ISNUMBER($F772),ISNUMBER($G772)),$F772*(1+$G772/30),"")</f>
        <v/>
      </c>
      <c r="K772" s="56"/>
      <c r="L772" s="56"/>
    </row>
    <row r="773" customFormat="false" ht="15.75" hidden="false" customHeight="true" outlineLevel="0" collapsed="false">
      <c r="A773" s="78" t="str">
        <f aca="false">IFERROR(IF($B773="","",IF(INDEX(Einheiten!$B$4:$B$63,MATCH($B773,Einheiten!$A$4:$A$63,0))=0,"",INDEX(Einheiten!$B$4:$B$63,MATCH($B773,Einheiten!$A$4:$A$63,0)))),"")</f>
        <v/>
      </c>
      <c r="B773" s="54"/>
      <c r="C773" s="79" t="str">
        <f aca="false">IFERROR(IF($D773="","",INDEX(Übungen!$B$4:$B$23,MATCH($D773,Übungen!$A$4:$A$23,0))),"")</f>
        <v/>
      </c>
      <c r="D773" s="56"/>
      <c r="E773" s="73"/>
      <c r="F773" s="55"/>
      <c r="G773" s="74"/>
      <c r="H773" s="55"/>
      <c r="I773" s="49" t="str">
        <f aca="false">IF(AND(ISNUMBER($F773),ISNUMBER($G773),$E773&lt;&gt;"R"),$F773*$G773,"")</f>
        <v/>
      </c>
      <c r="J773" s="51" t="str">
        <f aca="false">IF(AND($E773="A",ISNUMBER($F773),ISNUMBER($G773)),$F773*(1+$G773/30),"")</f>
        <v/>
      </c>
      <c r="K773" s="56"/>
      <c r="L773" s="56"/>
    </row>
    <row r="774" customFormat="false" ht="15.75" hidden="false" customHeight="true" outlineLevel="0" collapsed="false">
      <c r="A774" s="78" t="str">
        <f aca="false">IFERROR(IF($B774="","",IF(INDEX(Einheiten!$B$4:$B$63,MATCH($B774,Einheiten!$A$4:$A$63,0))=0,"",INDEX(Einheiten!$B$4:$B$63,MATCH($B774,Einheiten!$A$4:$A$63,0)))),"")</f>
        <v/>
      </c>
      <c r="B774" s="54"/>
      <c r="C774" s="79" t="str">
        <f aca="false">IFERROR(IF($D774="","",INDEX(Übungen!$B$4:$B$23,MATCH($D774,Übungen!$A$4:$A$23,0))),"")</f>
        <v/>
      </c>
      <c r="D774" s="56"/>
      <c r="E774" s="73"/>
      <c r="F774" s="55"/>
      <c r="G774" s="74"/>
      <c r="H774" s="55"/>
      <c r="I774" s="49" t="str">
        <f aca="false">IF(AND(ISNUMBER($F774),ISNUMBER($G774),$E774&lt;&gt;"R"),$F774*$G774,"")</f>
        <v/>
      </c>
      <c r="J774" s="51" t="str">
        <f aca="false">IF(AND($E774="A",ISNUMBER($F774),ISNUMBER($G774)),$F774*(1+$G774/30),"")</f>
        <v/>
      </c>
      <c r="K774" s="56"/>
      <c r="L774" s="56"/>
    </row>
    <row r="775" customFormat="false" ht="15.75" hidden="false" customHeight="true" outlineLevel="0" collapsed="false">
      <c r="A775" s="78" t="str">
        <f aca="false">IFERROR(IF($B775="","",IF(INDEX(Einheiten!$B$4:$B$63,MATCH($B775,Einheiten!$A$4:$A$63,0))=0,"",INDEX(Einheiten!$B$4:$B$63,MATCH($B775,Einheiten!$A$4:$A$63,0)))),"")</f>
        <v/>
      </c>
      <c r="B775" s="54"/>
      <c r="C775" s="79" t="str">
        <f aca="false">IFERROR(IF($D775="","",INDEX(Übungen!$B$4:$B$23,MATCH($D775,Übungen!$A$4:$A$23,0))),"")</f>
        <v/>
      </c>
      <c r="D775" s="56"/>
      <c r="E775" s="73"/>
      <c r="F775" s="55"/>
      <c r="G775" s="74"/>
      <c r="H775" s="55"/>
      <c r="I775" s="49" t="str">
        <f aca="false">IF(AND(ISNUMBER($F775),ISNUMBER($G775),$E775&lt;&gt;"R"),$F775*$G775,"")</f>
        <v/>
      </c>
      <c r="J775" s="51" t="str">
        <f aca="false">IF(AND($E775="A",ISNUMBER($F775),ISNUMBER($G775)),$F775*(1+$G775/30),"")</f>
        <v/>
      </c>
      <c r="K775" s="56"/>
      <c r="L775" s="56"/>
    </row>
    <row r="776" customFormat="false" ht="15.75" hidden="false" customHeight="true" outlineLevel="0" collapsed="false">
      <c r="A776" s="78" t="str">
        <f aca="false">IFERROR(IF($B776="","",IF(INDEX(Einheiten!$B$4:$B$63,MATCH($B776,Einheiten!$A$4:$A$63,0))=0,"",INDEX(Einheiten!$B$4:$B$63,MATCH($B776,Einheiten!$A$4:$A$63,0)))),"")</f>
        <v/>
      </c>
      <c r="B776" s="54"/>
      <c r="C776" s="79" t="str">
        <f aca="false">IFERROR(IF($D776="","",INDEX(Übungen!$B$4:$B$23,MATCH($D776,Übungen!$A$4:$A$23,0))),"")</f>
        <v/>
      </c>
      <c r="D776" s="56"/>
      <c r="E776" s="73"/>
      <c r="F776" s="55"/>
      <c r="G776" s="74"/>
      <c r="H776" s="55"/>
      <c r="I776" s="49" t="str">
        <f aca="false">IF(AND(ISNUMBER($F776),ISNUMBER($G776),$E776&lt;&gt;"R"),$F776*$G776,"")</f>
        <v/>
      </c>
      <c r="J776" s="51" t="str">
        <f aca="false">IF(AND($E776="A",ISNUMBER($F776),ISNUMBER($G776)),$F776*(1+$G776/30),"")</f>
        <v/>
      </c>
      <c r="K776" s="56"/>
      <c r="L776" s="56"/>
    </row>
    <row r="777" customFormat="false" ht="15.75" hidden="false" customHeight="true" outlineLevel="0" collapsed="false">
      <c r="A777" s="78" t="str">
        <f aca="false">IFERROR(IF($B777="","",IF(INDEX(Einheiten!$B$4:$B$63,MATCH($B777,Einheiten!$A$4:$A$63,0))=0,"",INDEX(Einheiten!$B$4:$B$63,MATCH($B777,Einheiten!$A$4:$A$63,0)))),"")</f>
        <v/>
      </c>
      <c r="B777" s="54"/>
      <c r="C777" s="79" t="str">
        <f aca="false">IFERROR(IF($D777="","",INDEX(Übungen!$B$4:$B$23,MATCH($D777,Übungen!$A$4:$A$23,0))),"")</f>
        <v/>
      </c>
      <c r="D777" s="56"/>
      <c r="E777" s="73"/>
      <c r="F777" s="55"/>
      <c r="G777" s="74"/>
      <c r="H777" s="55"/>
      <c r="I777" s="49" t="str">
        <f aca="false">IF(AND(ISNUMBER($F777),ISNUMBER($G777),$E777&lt;&gt;"R"),$F777*$G777,"")</f>
        <v/>
      </c>
      <c r="J777" s="51" t="str">
        <f aca="false">IF(AND($E777="A",ISNUMBER($F777),ISNUMBER($G777)),$F777*(1+$G777/30),"")</f>
        <v/>
      </c>
      <c r="K777" s="56"/>
      <c r="L777" s="56"/>
    </row>
    <row r="778" customFormat="false" ht="15.75" hidden="false" customHeight="true" outlineLevel="0" collapsed="false">
      <c r="A778" s="78" t="str">
        <f aca="false">IFERROR(IF($B778="","",IF(INDEX(Einheiten!$B$4:$B$63,MATCH($B778,Einheiten!$A$4:$A$63,0))=0,"",INDEX(Einheiten!$B$4:$B$63,MATCH($B778,Einheiten!$A$4:$A$63,0)))),"")</f>
        <v/>
      </c>
      <c r="B778" s="54"/>
      <c r="C778" s="79" t="str">
        <f aca="false">IFERROR(IF($D778="","",INDEX(Übungen!$B$4:$B$23,MATCH($D778,Übungen!$A$4:$A$23,0))),"")</f>
        <v/>
      </c>
      <c r="D778" s="56"/>
      <c r="E778" s="73"/>
      <c r="F778" s="55"/>
      <c r="G778" s="74"/>
      <c r="H778" s="55"/>
      <c r="I778" s="49" t="str">
        <f aca="false">IF(AND(ISNUMBER($F778),ISNUMBER($G778),$E778&lt;&gt;"R"),$F778*$G778,"")</f>
        <v/>
      </c>
      <c r="J778" s="51" t="str">
        <f aca="false">IF(AND($E778="A",ISNUMBER($F778),ISNUMBER($G778)),$F778*(1+$G778/30),"")</f>
        <v/>
      </c>
      <c r="K778" s="56"/>
      <c r="L778" s="56"/>
    </row>
    <row r="779" customFormat="false" ht="15.75" hidden="false" customHeight="true" outlineLevel="0" collapsed="false">
      <c r="A779" s="78" t="str">
        <f aca="false">IFERROR(IF($B779="","",IF(INDEX(Einheiten!$B$4:$B$63,MATCH($B779,Einheiten!$A$4:$A$63,0))=0,"",INDEX(Einheiten!$B$4:$B$63,MATCH($B779,Einheiten!$A$4:$A$63,0)))),"")</f>
        <v/>
      </c>
      <c r="B779" s="54"/>
      <c r="C779" s="79" t="str">
        <f aca="false">IFERROR(IF($D779="","",INDEX(Übungen!$B$4:$B$23,MATCH($D779,Übungen!$A$4:$A$23,0))),"")</f>
        <v/>
      </c>
      <c r="D779" s="56"/>
      <c r="E779" s="73"/>
      <c r="F779" s="55"/>
      <c r="G779" s="74"/>
      <c r="H779" s="55"/>
      <c r="I779" s="49" t="str">
        <f aca="false">IF(AND(ISNUMBER($F779),ISNUMBER($G779),$E779&lt;&gt;"R"),$F779*$G779,"")</f>
        <v/>
      </c>
      <c r="J779" s="51" t="str">
        <f aca="false">IF(AND($E779="A",ISNUMBER($F779),ISNUMBER($G779)),$F779*(1+$G779/30),"")</f>
        <v/>
      </c>
      <c r="K779" s="56"/>
      <c r="L779" s="56"/>
    </row>
    <row r="780" customFormat="false" ht="15.75" hidden="false" customHeight="true" outlineLevel="0" collapsed="false">
      <c r="A780" s="78" t="str">
        <f aca="false">IFERROR(IF($B780="","",IF(INDEX(Einheiten!$B$4:$B$63,MATCH($B780,Einheiten!$A$4:$A$63,0))=0,"",INDEX(Einheiten!$B$4:$B$63,MATCH($B780,Einheiten!$A$4:$A$63,0)))),"")</f>
        <v/>
      </c>
      <c r="B780" s="54"/>
      <c r="C780" s="79" t="str">
        <f aca="false">IFERROR(IF($D780="","",INDEX(Übungen!$B$4:$B$23,MATCH($D780,Übungen!$A$4:$A$23,0))),"")</f>
        <v/>
      </c>
      <c r="D780" s="56"/>
      <c r="E780" s="73"/>
      <c r="F780" s="55"/>
      <c r="G780" s="74"/>
      <c r="H780" s="55"/>
      <c r="I780" s="49" t="str">
        <f aca="false">IF(AND(ISNUMBER($F780),ISNUMBER($G780),$E780&lt;&gt;"R"),$F780*$G780,"")</f>
        <v/>
      </c>
      <c r="J780" s="51" t="str">
        <f aca="false">IF(AND($E780="A",ISNUMBER($F780),ISNUMBER($G780)),$F780*(1+$G780/30),"")</f>
        <v/>
      </c>
      <c r="K780" s="56"/>
      <c r="L780" s="56"/>
    </row>
    <row r="781" customFormat="false" ht="15.75" hidden="false" customHeight="true" outlineLevel="0" collapsed="false">
      <c r="A781" s="78" t="str">
        <f aca="false">IFERROR(IF($B781="","",IF(INDEX(Einheiten!$B$4:$B$63,MATCH($B781,Einheiten!$A$4:$A$63,0))=0,"",INDEX(Einheiten!$B$4:$B$63,MATCH($B781,Einheiten!$A$4:$A$63,0)))),"")</f>
        <v/>
      </c>
      <c r="B781" s="54"/>
      <c r="C781" s="79" t="str">
        <f aca="false">IFERROR(IF($D781="","",INDEX(Übungen!$B$4:$B$23,MATCH($D781,Übungen!$A$4:$A$23,0))),"")</f>
        <v/>
      </c>
      <c r="D781" s="56"/>
      <c r="E781" s="73"/>
      <c r="F781" s="55"/>
      <c r="G781" s="74"/>
      <c r="H781" s="55"/>
      <c r="I781" s="49" t="str">
        <f aca="false">IF(AND(ISNUMBER($F781),ISNUMBER($G781),$E781&lt;&gt;"R"),$F781*$G781,"")</f>
        <v/>
      </c>
      <c r="J781" s="51" t="str">
        <f aca="false">IF(AND($E781="A",ISNUMBER($F781),ISNUMBER($G781)),$F781*(1+$G781/30),"")</f>
        <v/>
      </c>
      <c r="K781" s="56"/>
      <c r="L781" s="56"/>
    </row>
    <row r="782" customFormat="false" ht="15.75" hidden="false" customHeight="true" outlineLevel="0" collapsed="false">
      <c r="A782" s="78" t="str">
        <f aca="false">IFERROR(IF($B782="","",IF(INDEX(Einheiten!$B$4:$B$63,MATCH($B782,Einheiten!$A$4:$A$63,0))=0,"",INDEX(Einheiten!$B$4:$B$63,MATCH($B782,Einheiten!$A$4:$A$63,0)))),"")</f>
        <v/>
      </c>
      <c r="B782" s="54"/>
      <c r="C782" s="79" t="str">
        <f aca="false">IFERROR(IF($D782="","",INDEX(Übungen!$B$4:$B$23,MATCH($D782,Übungen!$A$4:$A$23,0))),"")</f>
        <v/>
      </c>
      <c r="D782" s="56"/>
      <c r="E782" s="73"/>
      <c r="F782" s="55"/>
      <c r="G782" s="74"/>
      <c r="H782" s="55"/>
      <c r="I782" s="49" t="str">
        <f aca="false">IF(AND(ISNUMBER($F782),ISNUMBER($G782),$E782&lt;&gt;"R"),$F782*$G782,"")</f>
        <v/>
      </c>
      <c r="J782" s="51" t="str">
        <f aca="false">IF(AND($E782="A",ISNUMBER($F782),ISNUMBER($G782)),$F782*(1+$G782/30),"")</f>
        <v/>
      </c>
      <c r="K782" s="56"/>
      <c r="L782" s="56"/>
    </row>
    <row r="783" customFormat="false" ht="15.75" hidden="false" customHeight="true" outlineLevel="0" collapsed="false">
      <c r="A783" s="78" t="str">
        <f aca="false">IFERROR(IF($B783="","",IF(INDEX(Einheiten!$B$4:$B$63,MATCH($B783,Einheiten!$A$4:$A$63,0))=0,"",INDEX(Einheiten!$B$4:$B$63,MATCH($B783,Einheiten!$A$4:$A$63,0)))),"")</f>
        <v/>
      </c>
      <c r="B783" s="54"/>
      <c r="C783" s="79" t="str">
        <f aca="false">IFERROR(IF($D783="","",INDEX(Übungen!$B$4:$B$23,MATCH($D783,Übungen!$A$4:$A$23,0))),"")</f>
        <v/>
      </c>
      <c r="D783" s="56"/>
      <c r="E783" s="73"/>
      <c r="F783" s="55"/>
      <c r="G783" s="74"/>
      <c r="H783" s="55"/>
      <c r="I783" s="49" t="str">
        <f aca="false">IF(AND(ISNUMBER($F783),ISNUMBER($G783),$E783&lt;&gt;"R"),$F783*$G783,"")</f>
        <v/>
      </c>
      <c r="J783" s="51" t="str">
        <f aca="false">IF(AND($E783="A",ISNUMBER($F783),ISNUMBER($G783)),$F783*(1+$G783/30),"")</f>
        <v/>
      </c>
      <c r="K783" s="56"/>
      <c r="L783" s="56"/>
    </row>
    <row r="784" customFormat="false" ht="15.75" hidden="false" customHeight="true" outlineLevel="0" collapsed="false">
      <c r="A784" s="78" t="str">
        <f aca="false">IFERROR(IF($B784="","",IF(INDEX(Einheiten!$B$4:$B$63,MATCH($B784,Einheiten!$A$4:$A$63,0))=0,"",INDEX(Einheiten!$B$4:$B$63,MATCH($B784,Einheiten!$A$4:$A$63,0)))),"")</f>
        <v/>
      </c>
      <c r="B784" s="54"/>
      <c r="C784" s="79" t="str">
        <f aca="false">IFERROR(IF($D784="","",INDEX(Übungen!$B$4:$B$23,MATCH($D784,Übungen!$A$4:$A$23,0))),"")</f>
        <v/>
      </c>
      <c r="D784" s="56"/>
      <c r="E784" s="73"/>
      <c r="F784" s="55"/>
      <c r="G784" s="74"/>
      <c r="H784" s="55"/>
      <c r="I784" s="49" t="str">
        <f aca="false">IF(AND(ISNUMBER($F784),ISNUMBER($G784),$E784&lt;&gt;"R"),$F784*$G784,"")</f>
        <v/>
      </c>
      <c r="J784" s="51" t="str">
        <f aca="false">IF(AND($E784="A",ISNUMBER($F784),ISNUMBER($G784)),$F784*(1+$G784/30),"")</f>
        <v/>
      </c>
      <c r="K784" s="56"/>
      <c r="L784" s="56"/>
    </row>
    <row r="785" customFormat="false" ht="15.75" hidden="false" customHeight="true" outlineLevel="0" collapsed="false">
      <c r="A785" s="78" t="str">
        <f aca="false">IFERROR(IF($B785="","",IF(INDEX(Einheiten!$B$4:$B$63,MATCH($B785,Einheiten!$A$4:$A$63,0))=0,"",INDEX(Einheiten!$B$4:$B$63,MATCH($B785,Einheiten!$A$4:$A$63,0)))),"")</f>
        <v/>
      </c>
      <c r="B785" s="54"/>
      <c r="C785" s="79" t="str">
        <f aca="false">IFERROR(IF($D785="","",INDEX(Übungen!$B$4:$B$23,MATCH($D785,Übungen!$A$4:$A$23,0))),"")</f>
        <v/>
      </c>
      <c r="D785" s="56"/>
      <c r="E785" s="73"/>
      <c r="F785" s="55"/>
      <c r="G785" s="74"/>
      <c r="H785" s="55"/>
      <c r="I785" s="49" t="str">
        <f aca="false">IF(AND(ISNUMBER($F785),ISNUMBER($G785),$E785&lt;&gt;"R"),$F785*$G785,"")</f>
        <v/>
      </c>
      <c r="J785" s="51" t="str">
        <f aca="false">IF(AND($E785="A",ISNUMBER($F785),ISNUMBER($G785)),$F785*(1+$G785/30),"")</f>
        <v/>
      </c>
      <c r="K785" s="56"/>
      <c r="L785" s="56"/>
    </row>
    <row r="786" customFormat="false" ht="15.75" hidden="false" customHeight="true" outlineLevel="0" collapsed="false">
      <c r="A786" s="78" t="str">
        <f aca="false">IFERROR(IF($B786="","",IF(INDEX(Einheiten!$B$4:$B$63,MATCH($B786,Einheiten!$A$4:$A$63,0))=0,"",INDEX(Einheiten!$B$4:$B$63,MATCH($B786,Einheiten!$A$4:$A$63,0)))),"")</f>
        <v/>
      </c>
      <c r="B786" s="54"/>
      <c r="C786" s="79" t="str">
        <f aca="false">IFERROR(IF($D786="","",INDEX(Übungen!$B$4:$B$23,MATCH($D786,Übungen!$A$4:$A$23,0))),"")</f>
        <v/>
      </c>
      <c r="D786" s="56"/>
      <c r="E786" s="73"/>
      <c r="F786" s="55"/>
      <c r="G786" s="74"/>
      <c r="H786" s="55"/>
      <c r="I786" s="49" t="str">
        <f aca="false">IF(AND(ISNUMBER($F786),ISNUMBER($G786),$E786&lt;&gt;"R"),$F786*$G786,"")</f>
        <v/>
      </c>
      <c r="J786" s="51" t="str">
        <f aca="false">IF(AND($E786="A",ISNUMBER($F786),ISNUMBER($G786)),$F786*(1+$G786/30),"")</f>
        <v/>
      </c>
      <c r="K786" s="56"/>
      <c r="L786" s="56"/>
    </row>
    <row r="787" customFormat="false" ht="15.75" hidden="false" customHeight="true" outlineLevel="0" collapsed="false">
      <c r="A787" s="78" t="str">
        <f aca="false">IFERROR(IF($B787="","",IF(INDEX(Einheiten!$B$4:$B$63,MATCH($B787,Einheiten!$A$4:$A$63,0))=0,"",INDEX(Einheiten!$B$4:$B$63,MATCH($B787,Einheiten!$A$4:$A$63,0)))),"")</f>
        <v/>
      </c>
      <c r="B787" s="54"/>
      <c r="C787" s="79" t="str">
        <f aca="false">IFERROR(IF($D787="","",INDEX(Übungen!$B$4:$B$23,MATCH($D787,Übungen!$A$4:$A$23,0))),"")</f>
        <v/>
      </c>
      <c r="D787" s="56"/>
      <c r="E787" s="73"/>
      <c r="F787" s="55"/>
      <c r="G787" s="74"/>
      <c r="H787" s="55"/>
      <c r="I787" s="49" t="str">
        <f aca="false">IF(AND(ISNUMBER($F787),ISNUMBER($G787),$E787&lt;&gt;"R"),$F787*$G787,"")</f>
        <v/>
      </c>
      <c r="J787" s="51" t="str">
        <f aca="false">IF(AND($E787="A",ISNUMBER($F787),ISNUMBER($G787)),$F787*(1+$G787/30),"")</f>
        <v/>
      </c>
      <c r="K787" s="56"/>
      <c r="L787" s="56"/>
    </row>
    <row r="788" customFormat="false" ht="15.75" hidden="false" customHeight="true" outlineLevel="0" collapsed="false">
      <c r="A788" s="78" t="str">
        <f aca="false">IFERROR(IF($B788="","",IF(INDEX(Einheiten!$B$4:$B$63,MATCH($B788,Einheiten!$A$4:$A$63,0))=0,"",INDEX(Einheiten!$B$4:$B$63,MATCH($B788,Einheiten!$A$4:$A$63,0)))),"")</f>
        <v/>
      </c>
      <c r="B788" s="54"/>
      <c r="C788" s="79" t="str">
        <f aca="false">IFERROR(IF($D788="","",INDEX(Übungen!$B$4:$B$23,MATCH($D788,Übungen!$A$4:$A$23,0))),"")</f>
        <v/>
      </c>
      <c r="D788" s="56"/>
      <c r="E788" s="73"/>
      <c r="F788" s="55"/>
      <c r="G788" s="74"/>
      <c r="H788" s="55"/>
      <c r="I788" s="49" t="str">
        <f aca="false">IF(AND(ISNUMBER($F788),ISNUMBER($G788),$E788&lt;&gt;"R"),$F788*$G788,"")</f>
        <v/>
      </c>
      <c r="J788" s="51" t="str">
        <f aca="false">IF(AND($E788="A",ISNUMBER($F788),ISNUMBER($G788)),$F788*(1+$G788/30),"")</f>
        <v/>
      </c>
      <c r="K788" s="56"/>
      <c r="L788" s="56"/>
    </row>
    <row r="789" customFormat="false" ht="15.75" hidden="false" customHeight="true" outlineLevel="0" collapsed="false">
      <c r="A789" s="78" t="str">
        <f aca="false">IFERROR(IF($B789="","",IF(INDEX(Einheiten!$B$4:$B$63,MATCH($B789,Einheiten!$A$4:$A$63,0))=0,"",INDEX(Einheiten!$B$4:$B$63,MATCH($B789,Einheiten!$A$4:$A$63,0)))),"")</f>
        <v/>
      </c>
      <c r="B789" s="54"/>
      <c r="C789" s="79" t="str">
        <f aca="false">IFERROR(IF($D789="","",INDEX(Übungen!$B$4:$B$23,MATCH($D789,Übungen!$A$4:$A$23,0))),"")</f>
        <v/>
      </c>
      <c r="D789" s="56"/>
      <c r="E789" s="73"/>
      <c r="F789" s="55"/>
      <c r="G789" s="74"/>
      <c r="H789" s="55"/>
      <c r="I789" s="49" t="str">
        <f aca="false">IF(AND(ISNUMBER($F789),ISNUMBER($G789),$E789&lt;&gt;"R"),$F789*$G789,"")</f>
        <v/>
      </c>
      <c r="J789" s="51" t="str">
        <f aca="false">IF(AND($E789="A",ISNUMBER($F789),ISNUMBER($G789)),$F789*(1+$G789/30),"")</f>
        <v/>
      </c>
      <c r="K789" s="56"/>
      <c r="L789" s="56"/>
    </row>
    <row r="790" customFormat="false" ht="15.75" hidden="false" customHeight="true" outlineLevel="0" collapsed="false">
      <c r="A790" s="78" t="str">
        <f aca="false">IFERROR(IF($B790="","",IF(INDEX(Einheiten!$B$4:$B$63,MATCH($B790,Einheiten!$A$4:$A$63,0))=0,"",INDEX(Einheiten!$B$4:$B$63,MATCH($B790,Einheiten!$A$4:$A$63,0)))),"")</f>
        <v/>
      </c>
      <c r="B790" s="54"/>
      <c r="C790" s="79" t="str">
        <f aca="false">IFERROR(IF($D790="","",INDEX(Übungen!$B$4:$B$23,MATCH($D790,Übungen!$A$4:$A$23,0))),"")</f>
        <v/>
      </c>
      <c r="D790" s="56"/>
      <c r="E790" s="73"/>
      <c r="F790" s="55"/>
      <c r="G790" s="74"/>
      <c r="H790" s="55"/>
      <c r="I790" s="49" t="str">
        <f aca="false">IF(AND(ISNUMBER($F790),ISNUMBER($G790),$E790&lt;&gt;"R"),$F790*$G790,"")</f>
        <v/>
      </c>
      <c r="J790" s="51" t="str">
        <f aca="false">IF(AND($E790="A",ISNUMBER($F790),ISNUMBER($G790)),$F790*(1+$G790/30),"")</f>
        <v/>
      </c>
      <c r="K790" s="56"/>
      <c r="L790" s="56"/>
    </row>
    <row r="791" customFormat="false" ht="15.75" hidden="false" customHeight="true" outlineLevel="0" collapsed="false">
      <c r="A791" s="78" t="str">
        <f aca="false">IFERROR(IF($B791="","",IF(INDEX(Einheiten!$B$4:$B$63,MATCH($B791,Einheiten!$A$4:$A$63,0))=0,"",INDEX(Einheiten!$B$4:$B$63,MATCH($B791,Einheiten!$A$4:$A$63,0)))),"")</f>
        <v/>
      </c>
      <c r="B791" s="54"/>
      <c r="C791" s="79" t="str">
        <f aca="false">IFERROR(IF($D791="","",INDEX(Übungen!$B$4:$B$23,MATCH($D791,Übungen!$A$4:$A$23,0))),"")</f>
        <v/>
      </c>
      <c r="D791" s="56"/>
      <c r="E791" s="73"/>
      <c r="F791" s="55"/>
      <c r="G791" s="74"/>
      <c r="H791" s="55"/>
      <c r="I791" s="49" t="str">
        <f aca="false">IF(AND(ISNUMBER($F791),ISNUMBER($G791),$E791&lt;&gt;"R"),$F791*$G791,"")</f>
        <v/>
      </c>
      <c r="J791" s="51" t="str">
        <f aca="false">IF(AND($E791="A",ISNUMBER($F791),ISNUMBER($G791)),$F791*(1+$G791/30),"")</f>
        <v/>
      </c>
      <c r="K791" s="56"/>
      <c r="L791" s="56"/>
    </row>
    <row r="792" customFormat="false" ht="15.75" hidden="false" customHeight="true" outlineLevel="0" collapsed="false">
      <c r="A792" s="78" t="str">
        <f aca="false">IFERROR(IF($B792="","",IF(INDEX(Einheiten!$B$4:$B$63,MATCH($B792,Einheiten!$A$4:$A$63,0))=0,"",INDEX(Einheiten!$B$4:$B$63,MATCH($B792,Einheiten!$A$4:$A$63,0)))),"")</f>
        <v/>
      </c>
      <c r="B792" s="54"/>
      <c r="C792" s="79" t="str">
        <f aca="false">IFERROR(IF($D792="","",INDEX(Übungen!$B$4:$B$23,MATCH($D792,Übungen!$A$4:$A$23,0))),"")</f>
        <v/>
      </c>
      <c r="D792" s="56"/>
      <c r="E792" s="73"/>
      <c r="F792" s="55"/>
      <c r="G792" s="74"/>
      <c r="H792" s="55"/>
      <c r="I792" s="49" t="str">
        <f aca="false">IF(AND(ISNUMBER($F792),ISNUMBER($G792),$E792&lt;&gt;"R"),$F792*$G792,"")</f>
        <v/>
      </c>
      <c r="J792" s="51" t="str">
        <f aca="false">IF(AND($E792="A",ISNUMBER($F792),ISNUMBER($G792)),$F792*(1+$G792/30),"")</f>
        <v/>
      </c>
      <c r="K792" s="56"/>
      <c r="L792" s="56"/>
    </row>
    <row r="793" customFormat="false" ht="15.75" hidden="false" customHeight="true" outlineLevel="0" collapsed="false">
      <c r="A793" s="78" t="str">
        <f aca="false">IFERROR(IF($B793="","",IF(INDEX(Einheiten!$B$4:$B$63,MATCH($B793,Einheiten!$A$4:$A$63,0))=0,"",INDEX(Einheiten!$B$4:$B$63,MATCH($B793,Einheiten!$A$4:$A$63,0)))),"")</f>
        <v/>
      </c>
      <c r="B793" s="54"/>
      <c r="C793" s="79" t="str">
        <f aca="false">IFERROR(IF($D793="","",INDEX(Übungen!$B$4:$B$23,MATCH($D793,Übungen!$A$4:$A$23,0))),"")</f>
        <v/>
      </c>
      <c r="D793" s="56"/>
      <c r="E793" s="73"/>
      <c r="F793" s="55"/>
      <c r="G793" s="74"/>
      <c r="H793" s="55"/>
      <c r="I793" s="49" t="str">
        <f aca="false">IF(AND(ISNUMBER($F793),ISNUMBER($G793),$E793&lt;&gt;"R"),$F793*$G793,"")</f>
        <v/>
      </c>
      <c r="J793" s="51" t="str">
        <f aca="false">IF(AND($E793="A",ISNUMBER($F793),ISNUMBER($G793)),$F793*(1+$G793/30),"")</f>
        <v/>
      </c>
      <c r="K793" s="56"/>
      <c r="L793" s="56"/>
    </row>
    <row r="794" customFormat="false" ht="15.75" hidden="false" customHeight="true" outlineLevel="0" collapsed="false">
      <c r="A794" s="78" t="str">
        <f aca="false">IFERROR(IF($B794="","",IF(INDEX(Einheiten!$B$4:$B$63,MATCH($B794,Einheiten!$A$4:$A$63,0))=0,"",INDEX(Einheiten!$B$4:$B$63,MATCH($B794,Einheiten!$A$4:$A$63,0)))),"")</f>
        <v/>
      </c>
      <c r="B794" s="54"/>
      <c r="C794" s="79" t="str">
        <f aca="false">IFERROR(IF($D794="","",INDEX(Übungen!$B$4:$B$23,MATCH($D794,Übungen!$A$4:$A$23,0))),"")</f>
        <v/>
      </c>
      <c r="D794" s="56"/>
      <c r="E794" s="73"/>
      <c r="F794" s="55"/>
      <c r="G794" s="74"/>
      <c r="H794" s="55"/>
      <c r="I794" s="49" t="str">
        <f aca="false">IF(AND(ISNUMBER($F794),ISNUMBER($G794),$E794&lt;&gt;"R"),$F794*$G794,"")</f>
        <v/>
      </c>
      <c r="J794" s="51" t="str">
        <f aca="false">IF(AND($E794="A",ISNUMBER($F794),ISNUMBER($G794)),$F794*(1+$G794/30),"")</f>
        <v/>
      </c>
      <c r="K794" s="56"/>
      <c r="L794" s="56"/>
    </row>
    <row r="795" customFormat="false" ht="15.75" hidden="false" customHeight="true" outlineLevel="0" collapsed="false">
      <c r="A795" s="78" t="str">
        <f aca="false">IFERROR(IF($B795="","",IF(INDEX(Einheiten!$B$4:$B$63,MATCH($B795,Einheiten!$A$4:$A$63,0))=0,"",INDEX(Einheiten!$B$4:$B$63,MATCH($B795,Einheiten!$A$4:$A$63,0)))),"")</f>
        <v/>
      </c>
      <c r="B795" s="54"/>
      <c r="C795" s="79" t="str">
        <f aca="false">IFERROR(IF($D795="","",INDEX(Übungen!$B$4:$B$23,MATCH($D795,Übungen!$A$4:$A$23,0))),"")</f>
        <v/>
      </c>
      <c r="D795" s="56"/>
      <c r="E795" s="73"/>
      <c r="F795" s="55"/>
      <c r="G795" s="74"/>
      <c r="H795" s="55"/>
      <c r="I795" s="49" t="str">
        <f aca="false">IF(AND(ISNUMBER($F795),ISNUMBER($G795),$E795&lt;&gt;"R"),$F795*$G795,"")</f>
        <v/>
      </c>
      <c r="J795" s="51" t="str">
        <f aca="false">IF(AND($E795="A",ISNUMBER($F795),ISNUMBER($G795)),$F795*(1+$G795/30),"")</f>
        <v/>
      </c>
      <c r="K795" s="56"/>
      <c r="L795" s="56"/>
    </row>
    <row r="796" customFormat="false" ht="15.75" hidden="false" customHeight="true" outlineLevel="0" collapsed="false">
      <c r="A796" s="78" t="str">
        <f aca="false">IFERROR(IF($B796="","",IF(INDEX(Einheiten!$B$4:$B$63,MATCH($B796,Einheiten!$A$4:$A$63,0))=0,"",INDEX(Einheiten!$B$4:$B$63,MATCH($B796,Einheiten!$A$4:$A$63,0)))),"")</f>
        <v/>
      </c>
      <c r="B796" s="54"/>
      <c r="C796" s="79" t="str">
        <f aca="false">IFERROR(IF($D796="","",INDEX(Übungen!$B$4:$B$23,MATCH($D796,Übungen!$A$4:$A$23,0))),"")</f>
        <v/>
      </c>
      <c r="D796" s="56"/>
      <c r="E796" s="73"/>
      <c r="F796" s="55"/>
      <c r="G796" s="74"/>
      <c r="H796" s="55"/>
      <c r="I796" s="49" t="str">
        <f aca="false">IF(AND(ISNUMBER($F796),ISNUMBER($G796),$E796&lt;&gt;"R"),$F796*$G796,"")</f>
        <v/>
      </c>
      <c r="J796" s="51" t="str">
        <f aca="false">IF(AND($E796="A",ISNUMBER($F796),ISNUMBER($G796)),$F796*(1+$G796/30),"")</f>
        <v/>
      </c>
      <c r="K796" s="56"/>
      <c r="L796" s="56"/>
    </row>
    <row r="797" customFormat="false" ht="15.75" hidden="false" customHeight="true" outlineLevel="0" collapsed="false">
      <c r="A797" s="78" t="str">
        <f aca="false">IFERROR(IF($B797="","",IF(INDEX(Einheiten!$B$4:$B$63,MATCH($B797,Einheiten!$A$4:$A$63,0))=0,"",INDEX(Einheiten!$B$4:$B$63,MATCH($B797,Einheiten!$A$4:$A$63,0)))),"")</f>
        <v/>
      </c>
      <c r="B797" s="54"/>
      <c r="C797" s="79" t="str">
        <f aca="false">IFERROR(IF($D797="","",INDEX(Übungen!$B$4:$B$23,MATCH($D797,Übungen!$A$4:$A$23,0))),"")</f>
        <v/>
      </c>
      <c r="D797" s="56"/>
      <c r="E797" s="73"/>
      <c r="F797" s="55"/>
      <c r="G797" s="74"/>
      <c r="H797" s="55"/>
      <c r="I797" s="49" t="str">
        <f aca="false">IF(AND(ISNUMBER($F797),ISNUMBER($G797),$E797&lt;&gt;"R"),$F797*$G797,"")</f>
        <v/>
      </c>
      <c r="J797" s="51" t="str">
        <f aca="false">IF(AND($E797="A",ISNUMBER($F797),ISNUMBER($G797)),$F797*(1+$G797/30),"")</f>
        <v/>
      </c>
      <c r="K797" s="56"/>
      <c r="L797" s="56"/>
    </row>
    <row r="798" customFormat="false" ht="15.75" hidden="false" customHeight="true" outlineLevel="0" collapsed="false">
      <c r="A798" s="78" t="str">
        <f aca="false">IFERROR(IF($B798="","",IF(INDEX(Einheiten!$B$4:$B$63,MATCH($B798,Einheiten!$A$4:$A$63,0))=0,"",INDEX(Einheiten!$B$4:$B$63,MATCH($B798,Einheiten!$A$4:$A$63,0)))),"")</f>
        <v/>
      </c>
      <c r="B798" s="54"/>
      <c r="C798" s="79" t="str">
        <f aca="false">IFERROR(IF($D798="","",INDEX(Übungen!$B$4:$B$23,MATCH($D798,Übungen!$A$4:$A$23,0))),"")</f>
        <v/>
      </c>
      <c r="D798" s="56"/>
      <c r="E798" s="73"/>
      <c r="F798" s="55"/>
      <c r="G798" s="74"/>
      <c r="H798" s="55"/>
      <c r="I798" s="49" t="str">
        <f aca="false">IF(AND(ISNUMBER($F798),ISNUMBER($G798),$E798&lt;&gt;"R"),$F798*$G798,"")</f>
        <v/>
      </c>
      <c r="J798" s="51" t="str">
        <f aca="false">IF(AND($E798="A",ISNUMBER($F798),ISNUMBER($G798)),$F798*(1+$G798/30),"")</f>
        <v/>
      </c>
      <c r="K798" s="56"/>
      <c r="L798" s="56"/>
    </row>
    <row r="799" customFormat="false" ht="15.75" hidden="false" customHeight="true" outlineLevel="0" collapsed="false">
      <c r="A799" s="78" t="str">
        <f aca="false">IFERROR(IF($B799="","",IF(INDEX(Einheiten!$B$4:$B$63,MATCH($B799,Einheiten!$A$4:$A$63,0))=0,"",INDEX(Einheiten!$B$4:$B$63,MATCH($B799,Einheiten!$A$4:$A$63,0)))),"")</f>
        <v/>
      </c>
      <c r="B799" s="54"/>
      <c r="C799" s="79" t="str">
        <f aca="false">IFERROR(IF($D799="","",INDEX(Übungen!$B$4:$B$23,MATCH($D799,Übungen!$A$4:$A$23,0))),"")</f>
        <v/>
      </c>
      <c r="D799" s="56"/>
      <c r="E799" s="73"/>
      <c r="F799" s="55"/>
      <c r="G799" s="74"/>
      <c r="H799" s="55"/>
      <c r="I799" s="49" t="str">
        <f aca="false">IF(AND(ISNUMBER($F799),ISNUMBER($G799),$E799&lt;&gt;"R"),$F799*$G799,"")</f>
        <v/>
      </c>
      <c r="J799" s="51" t="str">
        <f aca="false">IF(AND($E799="A",ISNUMBER($F799),ISNUMBER($G799)),$F799*(1+$G799/30),"")</f>
        <v/>
      </c>
      <c r="K799" s="56"/>
      <c r="L799" s="56"/>
    </row>
    <row r="800" customFormat="false" ht="15.75" hidden="false" customHeight="true" outlineLevel="0" collapsed="false">
      <c r="A800" s="78" t="str">
        <f aca="false">IFERROR(IF($B800="","",IF(INDEX(Einheiten!$B$4:$B$63,MATCH($B800,Einheiten!$A$4:$A$63,0))=0,"",INDEX(Einheiten!$B$4:$B$63,MATCH($B800,Einheiten!$A$4:$A$63,0)))),"")</f>
        <v/>
      </c>
      <c r="B800" s="54"/>
      <c r="C800" s="79" t="str">
        <f aca="false">IFERROR(IF($D800="","",INDEX(Übungen!$B$4:$B$23,MATCH($D800,Übungen!$A$4:$A$23,0))),"")</f>
        <v/>
      </c>
      <c r="D800" s="56"/>
      <c r="E800" s="73"/>
      <c r="F800" s="55"/>
      <c r="G800" s="74"/>
      <c r="H800" s="55"/>
      <c r="I800" s="49" t="str">
        <f aca="false">IF(AND(ISNUMBER($F800),ISNUMBER($G800),$E800&lt;&gt;"R"),$F800*$G800,"")</f>
        <v/>
      </c>
      <c r="J800" s="51" t="str">
        <f aca="false">IF(AND($E800="A",ISNUMBER($F800),ISNUMBER($G800)),$F800*(1+$G800/30),"")</f>
        <v/>
      </c>
      <c r="K800" s="56"/>
      <c r="L800" s="56"/>
    </row>
    <row r="801" customFormat="false" ht="15.75" hidden="false" customHeight="true" outlineLevel="0" collapsed="false">
      <c r="A801" s="78" t="str">
        <f aca="false">IFERROR(IF($B801="","",IF(INDEX(Einheiten!$B$4:$B$63,MATCH($B801,Einheiten!$A$4:$A$63,0))=0,"",INDEX(Einheiten!$B$4:$B$63,MATCH($B801,Einheiten!$A$4:$A$63,0)))),"")</f>
        <v/>
      </c>
      <c r="B801" s="54"/>
      <c r="C801" s="79" t="str">
        <f aca="false">IFERROR(IF($D801="","",INDEX(Übungen!$B$4:$B$23,MATCH($D801,Übungen!$A$4:$A$23,0))),"")</f>
        <v/>
      </c>
      <c r="D801" s="56"/>
      <c r="E801" s="73"/>
      <c r="F801" s="55"/>
      <c r="G801" s="74"/>
      <c r="H801" s="55"/>
      <c r="I801" s="49" t="str">
        <f aca="false">IF(AND(ISNUMBER($F801),ISNUMBER($G801),$E801&lt;&gt;"R"),$F801*$G801,"")</f>
        <v/>
      </c>
      <c r="J801" s="51" t="str">
        <f aca="false">IF(AND($E801="A",ISNUMBER($F801),ISNUMBER($G801)),$F801*(1+$G801/30),"")</f>
        <v/>
      </c>
      <c r="K801" s="56"/>
      <c r="L801" s="56"/>
    </row>
    <row r="802" customFormat="false" ht="15.75" hidden="false" customHeight="true" outlineLevel="0" collapsed="false">
      <c r="A802" s="78" t="str">
        <f aca="false">IFERROR(IF($B802="","",IF(INDEX(Einheiten!$B$4:$B$63,MATCH($B802,Einheiten!$A$4:$A$63,0))=0,"",INDEX(Einheiten!$B$4:$B$63,MATCH($B802,Einheiten!$A$4:$A$63,0)))),"")</f>
        <v/>
      </c>
      <c r="B802" s="54"/>
      <c r="C802" s="79" t="str">
        <f aca="false">IFERROR(IF($D802="","",INDEX(Übungen!$B$4:$B$23,MATCH($D802,Übungen!$A$4:$A$23,0))),"")</f>
        <v/>
      </c>
      <c r="D802" s="56"/>
      <c r="E802" s="73"/>
      <c r="F802" s="55"/>
      <c r="G802" s="74"/>
      <c r="H802" s="55"/>
      <c r="I802" s="49" t="str">
        <f aca="false">IF(AND(ISNUMBER($F802),ISNUMBER($G802),$E802&lt;&gt;"R"),$F802*$G802,"")</f>
        <v/>
      </c>
      <c r="J802" s="51" t="str">
        <f aca="false">IF(AND($E802="A",ISNUMBER($F802),ISNUMBER($G802)),$F802*(1+$G802/30),"")</f>
        <v/>
      </c>
      <c r="K802" s="56"/>
      <c r="L802" s="56"/>
    </row>
    <row r="803" customFormat="false" ht="15.75" hidden="false" customHeight="true" outlineLevel="0" collapsed="false">
      <c r="A803" s="78" t="str">
        <f aca="false">IFERROR(IF($B803="","",IF(INDEX(Einheiten!$B$4:$B$63,MATCH($B803,Einheiten!$A$4:$A$63,0))=0,"",INDEX(Einheiten!$B$4:$B$63,MATCH($B803,Einheiten!$A$4:$A$63,0)))),"")</f>
        <v/>
      </c>
      <c r="B803" s="54"/>
      <c r="C803" s="79" t="str">
        <f aca="false">IFERROR(IF($D803="","",INDEX(Übungen!$B$4:$B$23,MATCH($D803,Übungen!$A$4:$A$23,0))),"")</f>
        <v/>
      </c>
      <c r="D803" s="56"/>
      <c r="E803" s="73"/>
      <c r="F803" s="55"/>
      <c r="G803" s="74"/>
      <c r="H803" s="55"/>
      <c r="I803" s="49" t="str">
        <f aca="false">IF(AND(ISNUMBER($F803),ISNUMBER($G803),$E803&lt;&gt;"R"),$F803*$G803,"")</f>
        <v/>
      </c>
      <c r="J803" s="51" t="str">
        <f aca="false">IF(AND($E803="A",ISNUMBER($F803),ISNUMBER($G803)),$F803*(1+$G803/30),"")</f>
        <v/>
      </c>
      <c r="K803" s="56"/>
      <c r="L803" s="56"/>
    </row>
    <row r="804" customFormat="false" ht="15.75" hidden="false" customHeight="true" outlineLevel="0" collapsed="false">
      <c r="A804" s="78" t="str">
        <f aca="false">IFERROR(IF($B804="","",IF(INDEX(Einheiten!$B$4:$B$63,MATCH($B804,Einheiten!$A$4:$A$63,0))=0,"",INDEX(Einheiten!$B$4:$B$63,MATCH($B804,Einheiten!$A$4:$A$63,0)))),"")</f>
        <v/>
      </c>
      <c r="B804" s="54"/>
      <c r="C804" s="79" t="str">
        <f aca="false">IFERROR(IF($D804="","",INDEX(Übungen!$B$4:$B$23,MATCH($D804,Übungen!$A$4:$A$23,0))),"")</f>
        <v/>
      </c>
      <c r="D804" s="56"/>
      <c r="E804" s="73"/>
      <c r="F804" s="55"/>
      <c r="G804" s="74"/>
      <c r="H804" s="55"/>
      <c r="I804" s="49" t="str">
        <f aca="false">IF(AND(ISNUMBER($F804),ISNUMBER($G804),$E804&lt;&gt;"R"),$F804*$G804,"")</f>
        <v/>
      </c>
      <c r="J804" s="51" t="str">
        <f aca="false">IF(AND($E804="A",ISNUMBER($F804),ISNUMBER($G804)),$F804*(1+$G804/30),"")</f>
        <v/>
      </c>
      <c r="K804" s="56"/>
      <c r="L804" s="56"/>
    </row>
    <row r="805" customFormat="false" ht="15.75" hidden="false" customHeight="true" outlineLevel="0" collapsed="false">
      <c r="A805" s="78" t="str">
        <f aca="false">IFERROR(IF($B805="","",IF(INDEX(Einheiten!$B$4:$B$63,MATCH($B805,Einheiten!$A$4:$A$63,0))=0,"",INDEX(Einheiten!$B$4:$B$63,MATCH($B805,Einheiten!$A$4:$A$63,0)))),"")</f>
        <v/>
      </c>
      <c r="B805" s="54"/>
      <c r="C805" s="79" t="str">
        <f aca="false">IFERROR(IF($D805="","",INDEX(Übungen!$B$4:$B$23,MATCH($D805,Übungen!$A$4:$A$23,0))),"")</f>
        <v/>
      </c>
      <c r="D805" s="56"/>
      <c r="E805" s="73"/>
      <c r="F805" s="55"/>
      <c r="G805" s="74"/>
      <c r="H805" s="55"/>
      <c r="I805" s="49" t="str">
        <f aca="false">IF(AND(ISNUMBER($F805),ISNUMBER($G805),$E805&lt;&gt;"R"),$F805*$G805,"")</f>
        <v/>
      </c>
      <c r="J805" s="51" t="str">
        <f aca="false">IF(AND($E805="A",ISNUMBER($F805),ISNUMBER($G805)),$F805*(1+$G805/30),"")</f>
        <v/>
      </c>
      <c r="K805" s="56"/>
      <c r="L805" s="56"/>
    </row>
    <row r="806" customFormat="false" ht="15.75" hidden="false" customHeight="true" outlineLevel="0" collapsed="false">
      <c r="A806" s="78" t="str">
        <f aca="false">IFERROR(IF($B806="","",IF(INDEX(Einheiten!$B$4:$B$63,MATCH($B806,Einheiten!$A$4:$A$63,0))=0,"",INDEX(Einheiten!$B$4:$B$63,MATCH($B806,Einheiten!$A$4:$A$63,0)))),"")</f>
        <v/>
      </c>
      <c r="B806" s="54"/>
      <c r="C806" s="79" t="str">
        <f aca="false">IFERROR(IF($D806="","",INDEX(Übungen!$B$4:$B$23,MATCH($D806,Übungen!$A$4:$A$23,0))),"")</f>
        <v/>
      </c>
      <c r="D806" s="56"/>
      <c r="E806" s="73"/>
      <c r="F806" s="55"/>
      <c r="G806" s="74"/>
      <c r="H806" s="55"/>
      <c r="I806" s="49" t="str">
        <f aca="false">IF(AND(ISNUMBER($F806),ISNUMBER($G806),$E806&lt;&gt;"R"),$F806*$G806,"")</f>
        <v/>
      </c>
      <c r="J806" s="51" t="str">
        <f aca="false">IF(AND($E806="A",ISNUMBER($F806),ISNUMBER($G806)),$F806*(1+$G806/30),"")</f>
        <v/>
      </c>
      <c r="K806" s="56"/>
      <c r="L806" s="56"/>
    </row>
    <row r="807" customFormat="false" ht="15.75" hidden="false" customHeight="true" outlineLevel="0" collapsed="false">
      <c r="A807" s="78" t="str">
        <f aca="false">IFERROR(IF($B807="","",IF(INDEX(Einheiten!$B$4:$B$63,MATCH($B807,Einheiten!$A$4:$A$63,0))=0,"",INDEX(Einheiten!$B$4:$B$63,MATCH($B807,Einheiten!$A$4:$A$63,0)))),"")</f>
        <v/>
      </c>
      <c r="B807" s="54"/>
      <c r="C807" s="79" t="str">
        <f aca="false">IFERROR(IF($D807="","",INDEX(Übungen!$B$4:$B$23,MATCH($D807,Übungen!$A$4:$A$23,0))),"")</f>
        <v/>
      </c>
      <c r="D807" s="56"/>
      <c r="E807" s="73"/>
      <c r="F807" s="55"/>
      <c r="G807" s="74"/>
      <c r="H807" s="55"/>
      <c r="I807" s="49" t="str">
        <f aca="false">IF(AND(ISNUMBER($F807),ISNUMBER($G807),$E807&lt;&gt;"R"),$F807*$G807,"")</f>
        <v/>
      </c>
      <c r="J807" s="51" t="str">
        <f aca="false">IF(AND($E807="A",ISNUMBER($F807),ISNUMBER($G807)),$F807*(1+$G807/30),"")</f>
        <v/>
      </c>
      <c r="K807" s="56"/>
      <c r="L807" s="56"/>
    </row>
    <row r="808" customFormat="false" ht="15.75" hidden="false" customHeight="true" outlineLevel="0" collapsed="false">
      <c r="A808" s="78" t="str">
        <f aca="false">IFERROR(IF($B808="","",IF(INDEX(Einheiten!$B$4:$B$63,MATCH($B808,Einheiten!$A$4:$A$63,0))=0,"",INDEX(Einheiten!$B$4:$B$63,MATCH($B808,Einheiten!$A$4:$A$63,0)))),"")</f>
        <v/>
      </c>
      <c r="B808" s="54"/>
      <c r="C808" s="79" t="str">
        <f aca="false">IFERROR(IF($D808="","",INDEX(Übungen!$B$4:$B$23,MATCH($D808,Übungen!$A$4:$A$23,0))),"")</f>
        <v/>
      </c>
      <c r="D808" s="56"/>
      <c r="E808" s="73"/>
      <c r="F808" s="55"/>
      <c r="G808" s="74"/>
      <c r="H808" s="55"/>
      <c r="I808" s="49" t="str">
        <f aca="false">IF(AND(ISNUMBER($F808),ISNUMBER($G808),$E808&lt;&gt;"R"),$F808*$G808,"")</f>
        <v/>
      </c>
      <c r="J808" s="51" t="str">
        <f aca="false">IF(AND($E808="A",ISNUMBER($F808),ISNUMBER($G808)),$F808*(1+$G808/30),"")</f>
        <v/>
      </c>
      <c r="K808" s="56"/>
      <c r="L808" s="56"/>
    </row>
    <row r="809" customFormat="false" ht="15.75" hidden="false" customHeight="true" outlineLevel="0" collapsed="false">
      <c r="A809" s="78" t="str">
        <f aca="false">IFERROR(IF($B809="","",IF(INDEX(Einheiten!$B$4:$B$63,MATCH($B809,Einheiten!$A$4:$A$63,0))=0,"",INDEX(Einheiten!$B$4:$B$63,MATCH($B809,Einheiten!$A$4:$A$63,0)))),"")</f>
        <v/>
      </c>
      <c r="B809" s="54"/>
      <c r="C809" s="79" t="str">
        <f aca="false">IFERROR(IF($D809="","",INDEX(Übungen!$B$4:$B$23,MATCH($D809,Übungen!$A$4:$A$23,0))),"")</f>
        <v/>
      </c>
      <c r="D809" s="56"/>
      <c r="E809" s="73"/>
      <c r="F809" s="55"/>
      <c r="G809" s="74"/>
      <c r="H809" s="55"/>
      <c r="I809" s="49" t="str">
        <f aca="false">IF(AND(ISNUMBER($F809),ISNUMBER($G809),$E809&lt;&gt;"R"),$F809*$G809,"")</f>
        <v/>
      </c>
      <c r="J809" s="51" t="str">
        <f aca="false">IF(AND($E809="A",ISNUMBER($F809),ISNUMBER($G809)),$F809*(1+$G809/30),"")</f>
        <v/>
      </c>
      <c r="K809" s="56"/>
      <c r="L809" s="56"/>
    </row>
    <row r="810" customFormat="false" ht="15.75" hidden="false" customHeight="true" outlineLevel="0" collapsed="false">
      <c r="A810" s="78" t="str">
        <f aca="false">IFERROR(IF($B810="","",IF(INDEX(Einheiten!$B$4:$B$63,MATCH($B810,Einheiten!$A$4:$A$63,0))=0,"",INDEX(Einheiten!$B$4:$B$63,MATCH($B810,Einheiten!$A$4:$A$63,0)))),"")</f>
        <v/>
      </c>
      <c r="B810" s="54"/>
      <c r="C810" s="79" t="str">
        <f aca="false">IFERROR(IF($D810="","",INDEX(Übungen!$B$4:$B$23,MATCH($D810,Übungen!$A$4:$A$23,0))),"")</f>
        <v/>
      </c>
      <c r="D810" s="56"/>
      <c r="E810" s="73"/>
      <c r="F810" s="55"/>
      <c r="G810" s="74"/>
      <c r="H810" s="55"/>
      <c r="I810" s="49" t="str">
        <f aca="false">IF(AND(ISNUMBER($F810),ISNUMBER($G810),$E810&lt;&gt;"R"),$F810*$G810,"")</f>
        <v/>
      </c>
      <c r="J810" s="51" t="str">
        <f aca="false">IF(AND($E810="A",ISNUMBER($F810),ISNUMBER($G810)),$F810*(1+$G810/30),"")</f>
        <v/>
      </c>
      <c r="K810" s="56"/>
      <c r="L810" s="56"/>
    </row>
    <row r="811" customFormat="false" ht="15.75" hidden="false" customHeight="true" outlineLevel="0" collapsed="false">
      <c r="A811" s="78" t="str">
        <f aca="false">IFERROR(IF($B811="","",IF(INDEX(Einheiten!$B$4:$B$63,MATCH($B811,Einheiten!$A$4:$A$63,0))=0,"",INDEX(Einheiten!$B$4:$B$63,MATCH($B811,Einheiten!$A$4:$A$63,0)))),"")</f>
        <v/>
      </c>
      <c r="B811" s="54"/>
      <c r="C811" s="79" t="str">
        <f aca="false">IFERROR(IF($D811="","",INDEX(Übungen!$B$4:$B$23,MATCH($D811,Übungen!$A$4:$A$23,0))),"")</f>
        <v/>
      </c>
      <c r="D811" s="56"/>
      <c r="E811" s="73"/>
      <c r="F811" s="55"/>
      <c r="G811" s="74"/>
      <c r="H811" s="55"/>
      <c r="I811" s="49" t="str">
        <f aca="false">IF(AND(ISNUMBER($F811),ISNUMBER($G811),$E811&lt;&gt;"R"),$F811*$G811,"")</f>
        <v/>
      </c>
      <c r="J811" s="51" t="str">
        <f aca="false">IF(AND($E811="A",ISNUMBER($F811),ISNUMBER($G811)),$F811*(1+$G811/30),"")</f>
        <v/>
      </c>
      <c r="K811" s="56"/>
      <c r="L811" s="56"/>
    </row>
    <row r="812" customFormat="false" ht="15.75" hidden="false" customHeight="true" outlineLevel="0" collapsed="false">
      <c r="A812" s="78" t="str">
        <f aca="false">IFERROR(IF($B812="","",IF(INDEX(Einheiten!$B$4:$B$63,MATCH($B812,Einheiten!$A$4:$A$63,0))=0,"",INDEX(Einheiten!$B$4:$B$63,MATCH($B812,Einheiten!$A$4:$A$63,0)))),"")</f>
        <v/>
      </c>
      <c r="B812" s="54"/>
      <c r="C812" s="79" t="str">
        <f aca="false">IFERROR(IF($D812="","",INDEX(Übungen!$B$4:$B$23,MATCH($D812,Übungen!$A$4:$A$23,0))),"")</f>
        <v/>
      </c>
      <c r="D812" s="56"/>
      <c r="E812" s="73"/>
      <c r="F812" s="55"/>
      <c r="G812" s="74"/>
      <c r="H812" s="55"/>
      <c r="I812" s="49" t="str">
        <f aca="false">IF(AND(ISNUMBER($F812),ISNUMBER($G812),$E812&lt;&gt;"R"),$F812*$G812,"")</f>
        <v/>
      </c>
      <c r="J812" s="51" t="str">
        <f aca="false">IF(AND($E812="A",ISNUMBER($F812),ISNUMBER($G812)),$F812*(1+$G812/30),"")</f>
        <v/>
      </c>
      <c r="K812" s="56"/>
      <c r="L812" s="56"/>
    </row>
    <row r="813" customFormat="false" ht="15.75" hidden="false" customHeight="true" outlineLevel="0" collapsed="false">
      <c r="A813" s="78" t="str">
        <f aca="false">IFERROR(IF($B813="","",IF(INDEX(Einheiten!$B$4:$B$63,MATCH($B813,Einheiten!$A$4:$A$63,0))=0,"",INDEX(Einheiten!$B$4:$B$63,MATCH($B813,Einheiten!$A$4:$A$63,0)))),"")</f>
        <v/>
      </c>
      <c r="B813" s="54"/>
      <c r="C813" s="79" t="str">
        <f aca="false">IFERROR(IF($D813="","",INDEX(Übungen!$B$4:$B$23,MATCH($D813,Übungen!$A$4:$A$23,0))),"")</f>
        <v/>
      </c>
      <c r="D813" s="56"/>
      <c r="E813" s="73"/>
      <c r="F813" s="55"/>
      <c r="G813" s="74"/>
      <c r="H813" s="55"/>
      <c r="I813" s="49" t="str">
        <f aca="false">IF(AND(ISNUMBER($F813),ISNUMBER($G813),$E813&lt;&gt;"R"),$F813*$G813,"")</f>
        <v/>
      </c>
      <c r="J813" s="51" t="str">
        <f aca="false">IF(AND($E813="A",ISNUMBER($F813),ISNUMBER($G813)),$F813*(1+$G813/30),"")</f>
        <v/>
      </c>
      <c r="K813" s="56"/>
      <c r="L813" s="56"/>
    </row>
    <row r="814" customFormat="false" ht="15.75" hidden="false" customHeight="true" outlineLevel="0" collapsed="false">
      <c r="A814" s="78" t="str">
        <f aca="false">IFERROR(IF($B814="","",IF(INDEX(Einheiten!$B$4:$B$63,MATCH($B814,Einheiten!$A$4:$A$63,0))=0,"",INDEX(Einheiten!$B$4:$B$63,MATCH($B814,Einheiten!$A$4:$A$63,0)))),"")</f>
        <v/>
      </c>
      <c r="B814" s="54"/>
      <c r="C814" s="79" t="str">
        <f aca="false">IFERROR(IF($D814="","",INDEX(Übungen!$B$4:$B$23,MATCH($D814,Übungen!$A$4:$A$23,0))),"")</f>
        <v/>
      </c>
      <c r="D814" s="56"/>
      <c r="E814" s="73"/>
      <c r="F814" s="55"/>
      <c r="G814" s="74"/>
      <c r="H814" s="55"/>
      <c r="I814" s="49" t="str">
        <f aca="false">IF(AND(ISNUMBER($F814),ISNUMBER($G814),$E814&lt;&gt;"R"),$F814*$G814,"")</f>
        <v/>
      </c>
      <c r="J814" s="51" t="str">
        <f aca="false">IF(AND($E814="A",ISNUMBER($F814),ISNUMBER($G814)),$F814*(1+$G814/30),"")</f>
        <v/>
      </c>
      <c r="K814" s="56"/>
      <c r="L814" s="56"/>
    </row>
    <row r="815" customFormat="false" ht="15.75" hidden="false" customHeight="true" outlineLevel="0" collapsed="false">
      <c r="A815" s="78" t="str">
        <f aca="false">IFERROR(IF($B815="","",IF(INDEX(Einheiten!$B$4:$B$63,MATCH($B815,Einheiten!$A$4:$A$63,0))=0,"",INDEX(Einheiten!$B$4:$B$63,MATCH($B815,Einheiten!$A$4:$A$63,0)))),"")</f>
        <v/>
      </c>
      <c r="B815" s="54"/>
      <c r="C815" s="79" t="str">
        <f aca="false">IFERROR(IF($D815="","",INDEX(Übungen!$B$4:$B$23,MATCH($D815,Übungen!$A$4:$A$23,0))),"")</f>
        <v/>
      </c>
      <c r="D815" s="56"/>
      <c r="E815" s="73"/>
      <c r="F815" s="55"/>
      <c r="G815" s="74"/>
      <c r="H815" s="55"/>
      <c r="I815" s="49" t="str">
        <f aca="false">IF(AND(ISNUMBER($F815),ISNUMBER($G815),$E815&lt;&gt;"R"),$F815*$G815,"")</f>
        <v/>
      </c>
      <c r="J815" s="51" t="str">
        <f aca="false">IF(AND($E815="A",ISNUMBER($F815),ISNUMBER($G815)),$F815*(1+$G815/30),"")</f>
        <v/>
      </c>
      <c r="K815" s="56"/>
      <c r="L815" s="56"/>
    </row>
    <row r="816" customFormat="false" ht="15.75" hidden="false" customHeight="true" outlineLevel="0" collapsed="false">
      <c r="A816" s="78" t="str">
        <f aca="false">IFERROR(IF($B816="","",IF(INDEX(Einheiten!$B$4:$B$63,MATCH($B816,Einheiten!$A$4:$A$63,0))=0,"",INDEX(Einheiten!$B$4:$B$63,MATCH($B816,Einheiten!$A$4:$A$63,0)))),"")</f>
        <v/>
      </c>
      <c r="B816" s="54"/>
      <c r="C816" s="79" t="str">
        <f aca="false">IFERROR(IF($D816="","",INDEX(Übungen!$B$4:$B$23,MATCH($D816,Übungen!$A$4:$A$23,0))),"")</f>
        <v/>
      </c>
      <c r="D816" s="56"/>
      <c r="E816" s="73"/>
      <c r="F816" s="55"/>
      <c r="G816" s="74"/>
      <c r="H816" s="55"/>
      <c r="I816" s="49" t="str">
        <f aca="false">IF(AND(ISNUMBER($F816),ISNUMBER($G816),$E816&lt;&gt;"R"),$F816*$G816,"")</f>
        <v/>
      </c>
      <c r="J816" s="51" t="str">
        <f aca="false">IF(AND($E816="A",ISNUMBER($F816),ISNUMBER($G816)),$F816*(1+$G816/30),"")</f>
        <v/>
      </c>
      <c r="K816" s="56"/>
      <c r="L816" s="56"/>
    </row>
    <row r="817" customFormat="false" ht="15.75" hidden="false" customHeight="true" outlineLevel="0" collapsed="false">
      <c r="A817" s="78" t="str">
        <f aca="false">IFERROR(IF($B817="","",IF(INDEX(Einheiten!$B$4:$B$63,MATCH($B817,Einheiten!$A$4:$A$63,0))=0,"",INDEX(Einheiten!$B$4:$B$63,MATCH($B817,Einheiten!$A$4:$A$63,0)))),"")</f>
        <v/>
      </c>
      <c r="B817" s="54"/>
      <c r="C817" s="79" t="str">
        <f aca="false">IFERROR(IF($D817="","",INDEX(Übungen!$B$4:$B$23,MATCH($D817,Übungen!$A$4:$A$23,0))),"")</f>
        <v/>
      </c>
      <c r="D817" s="56"/>
      <c r="E817" s="73"/>
      <c r="F817" s="55"/>
      <c r="G817" s="74"/>
      <c r="H817" s="55"/>
      <c r="I817" s="49" t="str">
        <f aca="false">IF(AND(ISNUMBER($F817),ISNUMBER($G817),$E817&lt;&gt;"R"),$F817*$G817,"")</f>
        <v/>
      </c>
      <c r="J817" s="51" t="str">
        <f aca="false">IF(AND($E817="A",ISNUMBER($F817),ISNUMBER($G817)),$F817*(1+$G817/30),"")</f>
        <v/>
      </c>
      <c r="K817" s="56"/>
      <c r="L817" s="56"/>
    </row>
    <row r="818" customFormat="false" ht="15.75" hidden="false" customHeight="true" outlineLevel="0" collapsed="false">
      <c r="A818" s="78" t="str">
        <f aca="false">IFERROR(IF($B818="","",IF(INDEX(Einheiten!$B$4:$B$63,MATCH($B818,Einheiten!$A$4:$A$63,0))=0,"",INDEX(Einheiten!$B$4:$B$63,MATCH($B818,Einheiten!$A$4:$A$63,0)))),"")</f>
        <v/>
      </c>
      <c r="B818" s="54"/>
      <c r="C818" s="79" t="str">
        <f aca="false">IFERROR(IF($D818="","",INDEX(Übungen!$B$4:$B$23,MATCH($D818,Übungen!$A$4:$A$23,0))),"")</f>
        <v/>
      </c>
      <c r="D818" s="56"/>
      <c r="E818" s="73"/>
      <c r="F818" s="55"/>
      <c r="G818" s="74"/>
      <c r="H818" s="55"/>
      <c r="I818" s="49" t="str">
        <f aca="false">IF(AND(ISNUMBER($F818),ISNUMBER($G818),$E818&lt;&gt;"R"),$F818*$G818,"")</f>
        <v/>
      </c>
      <c r="J818" s="51" t="str">
        <f aca="false">IF(AND($E818="A",ISNUMBER($F818),ISNUMBER($G818)),$F818*(1+$G818/30),"")</f>
        <v/>
      </c>
      <c r="K818" s="56"/>
      <c r="L818" s="56"/>
    </row>
    <row r="819" customFormat="false" ht="15.75" hidden="false" customHeight="true" outlineLevel="0" collapsed="false">
      <c r="A819" s="78" t="str">
        <f aca="false">IFERROR(IF($B819="","",IF(INDEX(Einheiten!$B$4:$B$63,MATCH($B819,Einheiten!$A$4:$A$63,0))=0,"",INDEX(Einheiten!$B$4:$B$63,MATCH($B819,Einheiten!$A$4:$A$63,0)))),"")</f>
        <v/>
      </c>
      <c r="B819" s="54"/>
      <c r="C819" s="79" t="str">
        <f aca="false">IFERROR(IF($D819="","",INDEX(Übungen!$B$4:$B$23,MATCH($D819,Übungen!$A$4:$A$23,0))),"")</f>
        <v/>
      </c>
      <c r="D819" s="56"/>
      <c r="E819" s="73"/>
      <c r="F819" s="55"/>
      <c r="G819" s="74"/>
      <c r="H819" s="55"/>
      <c r="I819" s="49" t="str">
        <f aca="false">IF(AND(ISNUMBER($F819),ISNUMBER($G819),$E819&lt;&gt;"R"),$F819*$G819,"")</f>
        <v/>
      </c>
      <c r="J819" s="51" t="str">
        <f aca="false">IF(AND($E819="A",ISNUMBER($F819),ISNUMBER($G819)),$F819*(1+$G819/30),"")</f>
        <v/>
      </c>
      <c r="K819" s="56"/>
      <c r="L819" s="56"/>
    </row>
    <row r="820" customFormat="false" ht="15.75" hidden="false" customHeight="true" outlineLevel="0" collapsed="false">
      <c r="A820" s="78" t="str">
        <f aca="false">IFERROR(IF($B820="","",IF(INDEX(Einheiten!$B$4:$B$63,MATCH($B820,Einheiten!$A$4:$A$63,0))=0,"",INDEX(Einheiten!$B$4:$B$63,MATCH($B820,Einheiten!$A$4:$A$63,0)))),"")</f>
        <v/>
      </c>
      <c r="B820" s="54"/>
      <c r="C820" s="79" t="str">
        <f aca="false">IFERROR(IF($D820="","",INDEX(Übungen!$B$4:$B$23,MATCH($D820,Übungen!$A$4:$A$23,0))),"")</f>
        <v/>
      </c>
      <c r="D820" s="56"/>
      <c r="E820" s="73"/>
      <c r="F820" s="55"/>
      <c r="G820" s="74"/>
      <c r="H820" s="55"/>
      <c r="I820" s="49" t="str">
        <f aca="false">IF(AND(ISNUMBER($F820),ISNUMBER($G820),$E820&lt;&gt;"R"),$F820*$G820,"")</f>
        <v/>
      </c>
      <c r="J820" s="51" t="str">
        <f aca="false">IF(AND($E820="A",ISNUMBER($F820),ISNUMBER($G820)),$F820*(1+$G820/30),"")</f>
        <v/>
      </c>
      <c r="K820" s="56"/>
      <c r="L820" s="56"/>
    </row>
    <row r="821" customFormat="false" ht="15.75" hidden="false" customHeight="true" outlineLevel="0" collapsed="false">
      <c r="A821" s="78" t="str">
        <f aca="false">IFERROR(IF($B821="","",IF(INDEX(Einheiten!$B$4:$B$63,MATCH($B821,Einheiten!$A$4:$A$63,0))=0,"",INDEX(Einheiten!$B$4:$B$63,MATCH($B821,Einheiten!$A$4:$A$63,0)))),"")</f>
        <v/>
      </c>
      <c r="B821" s="54"/>
      <c r="C821" s="79" t="str">
        <f aca="false">IFERROR(IF($D821="","",INDEX(Übungen!$B$4:$B$23,MATCH($D821,Übungen!$A$4:$A$23,0))),"")</f>
        <v/>
      </c>
      <c r="D821" s="56"/>
      <c r="E821" s="73"/>
      <c r="F821" s="55"/>
      <c r="G821" s="74"/>
      <c r="H821" s="55"/>
      <c r="I821" s="49" t="str">
        <f aca="false">IF(AND(ISNUMBER($F821),ISNUMBER($G821),$E821&lt;&gt;"R"),$F821*$G821,"")</f>
        <v/>
      </c>
      <c r="J821" s="51" t="str">
        <f aca="false">IF(AND($E821="A",ISNUMBER($F821),ISNUMBER($G821)),$F821*(1+$G821/30),"")</f>
        <v/>
      </c>
      <c r="K821" s="56"/>
      <c r="L821" s="56"/>
    </row>
    <row r="822" customFormat="false" ht="15.75" hidden="false" customHeight="true" outlineLevel="0" collapsed="false">
      <c r="A822" s="78" t="str">
        <f aca="false">IFERROR(IF($B822="","",IF(INDEX(Einheiten!$B$4:$B$63,MATCH($B822,Einheiten!$A$4:$A$63,0))=0,"",INDEX(Einheiten!$B$4:$B$63,MATCH($B822,Einheiten!$A$4:$A$63,0)))),"")</f>
        <v/>
      </c>
      <c r="B822" s="54"/>
      <c r="C822" s="79" t="str">
        <f aca="false">IFERROR(IF($D822="","",INDEX(Übungen!$B$4:$B$23,MATCH($D822,Übungen!$A$4:$A$23,0))),"")</f>
        <v/>
      </c>
      <c r="D822" s="56"/>
      <c r="E822" s="73"/>
      <c r="F822" s="55"/>
      <c r="G822" s="74"/>
      <c r="H822" s="55"/>
      <c r="I822" s="49" t="str">
        <f aca="false">IF(AND(ISNUMBER($F822),ISNUMBER($G822),$E822&lt;&gt;"R"),$F822*$G822,"")</f>
        <v/>
      </c>
      <c r="J822" s="51" t="str">
        <f aca="false">IF(AND($E822="A",ISNUMBER($F822),ISNUMBER($G822)),$F822*(1+$G822/30),"")</f>
        <v/>
      </c>
      <c r="K822" s="56"/>
      <c r="L822" s="56"/>
    </row>
    <row r="823" customFormat="false" ht="15.75" hidden="false" customHeight="true" outlineLevel="0" collapsed="false">
      <c r="A823" s="78" t="str">
        <f aca="false">IFERROR(IF($B823="","",IF(INDEX(Einheiten!$B$4:$B$63,MATCH($B823,Einheiten!$A$4:$A$63,0))=0,"",INDEX(Einheiten!$B$4:$B$63,MATCH($B823,Einheiten!$A$4:$A$63,0)))),"")</f>
        <v/>
      </c>
      <c r="B823" s="54"/>
      <c r="C823" s="79" t="str">
        <f aca="false">IFERROR(IF($D823="","",INDEX(Übungen!$B$4:$B$23,MATCH($D823,Übungen!$A$4:$A$23,0))),"")</f>
        <v/>
      </c>
      <c r="D823" s="56"/>
      <c r="E823" s="73"/>
      <c r="F823" s="55"/>
      <c r="G823" s="74"/>
      <c r="H823" s="55"/>
      <c r="I823" s="49" t="str">
        <f aca="false">IF(AND(ISNUMBER($F823),ISNUMBER($G823),$E823&lt;&gt;"R"),$F823*$G823,"")</f>
        <v/>
      </c>
      <c r="J823" s="51" t="str">
        <f aca="false">IF(AND($E823="A",ISNUMBER($F823),ISNUMBER($G823)),$F823*(1+$G823/30),"")</f>
        <v/>
      </c>
      <c r="K823" s="56"/>
      <c r="L823" s="56"/>
    </row>
    <row r="824" customFormat="false" ht="15.75" hidden="false" customHeight="true" outlineLevel="0" collapsed="false">
      <c r="A824" s="78" t="str">
        <f aca="false">IFERROR(IF($B824="","",IF(INDEX(Einheiten!$B$4:$B$63,MATCH($B824,Einheiten!$A$4:$A$63,0))=0,"",INDEX(Einheiten!$B$4:$B$63,MATCH($B824,Einheiten!$A$4:$A$63,0)))),"")</f>
        <v/>
      </c>
      <c r="B824" s="54"/>
      <c r="C824" s="79" t="str">
        <f aca="false">IFERROR(IF($D824="","",INDEX(Übungen!$B$4:$B$23,MATCH($D824,Übungen!$A$4:$A$23,0))),"")</f>
        <v/>
      </c>
      <c r="D824" s="56"/>
      <c r="E824" s="73"/>
      <c r="F824" s="55"/>
      <c r="G824" s="74"/>
      <c r="H824" s="55"/>
      <c r="I824" s="49" t="str">
        <f aca="false">IF(AND(ISNUMBER($F824),ISNUMBER($G824),$E824&lt;&gt;"R"),$F824*$G824,"")</f>
        <v/>
      </c>
      <c r="J824" s="51" t="str">
        <f aca="false">IF(AND($E824="A",ISNUMBER($F824),ISNUMBER($G824)),$F824*(1+$G824/30),"")</f>
        <v/>
      </c>
      <c r="K824" s="56"/>
      <c r="L824" s="56"/>
    </row>
    <row r="825" customFormat="false" ht="15.75" hidden="false" customHeight="true" outlineLevel="0" collapsed="false">
      <c r="A825" s="78" t="str">
        <f aca="false">IFERROR(IF($B825="","",IF(INDEX(Einheiten!$B$4:$B$63,MATCH($B825,Einheiten!$A$4:$A$63,0))=0,"",INDEX(Einheiten!$B$4:$B$63,MATCH($B825,Einheiten!$A$4:$A$63,0)))),"")</f>
        <v/>
      </c>
      <c r="B825" s="54"/>
      <c r="C825" s="79" t="str">
        <f aca="false">IFERROR(IF($D825="","",INDEX(Übungen!$B$4:$B$23,MATCH($D825,Übungen!$A$4:$A$23,0))),"")</f>
        <v/>
      </c>
      <c r="D825" s="56"/>
      <c r="E825" s="73"/>
      <c r="F825" s="55"/>
      <c r="G825" s="74"/>
      <c r="H825" s="55"/>
      <c r="I825" s="49" t="str">
        <f aca="false">IF(AND(ISNUMBER($F825),ISNUMBER($G825),$E825&lt;&gt;"R"),$F825*$G825,"")</f>
        <v/>
      </c>
      <c r="J825" s="51" t="str">
        <f aca="false">IF(AND($E825="A",ISNUMBER($F825),ISNUMBER($G825)),$F825*(1+$G825/30),"")</f>
        <v/>
      </c>
      <c r="K825" s="56"/>
      <c r="L825" s="56"/>
    </row>
    <row r="826" customFormat="false" ht="15.75" hidden="false" customHeight="true" outlineLevel="0" collapsed="false">
      <c r="A826" s="78" t="str">
        <f aca="false">IFERROR(IF($B826="","",IF(INDEX(Einheiten!$B$4:$B$63,MATCH($B826,Einheiten!$A$4:$A$63,0))=0,"",INDEX(Einheiten!$B$4:$B$63,MATCH($B826,Einheiten!$A$4:$A$63,0)))),"")</f>
        <v/>
      </c>
      <c r="B826" s="54"/>
      <c r="C826" s="79" t="str">
        <f aca="false">IFERROR(IF($D826="","",INDEX(Übungen!$B$4:$B$23,MATCH($D826,Übungen!$A$4:$A$23,0))),"")</f>
        <v/>
      </c>
      <c r="D826" s="56"/>
      <c r="E826" s="73"/>
      <c r="F826" s="55"/>
      <c r="G826" s="74"/>
      <c r="H826" s="55"/>
      <c r="I826" s="49" t="str">
        <f aca="false">IF(AND(ISNUMBER($F826),ISNUMBER($G826),$E826&lt;&gt;"R"),$F826*$G826,"")</f>
        <v/>
      </c>
      <c r="J826" s="51" t="str">
        <f aca="false">IF(AND($E826="A",ISNUMBER($F826),ISNUMBER($G826)),$F826*(1+$G826/30),"")</f>
        <v/>
      </c>
      <c r="K826" s="56"/>
      <c r="L826" s="56"/>
    </row>
    <row r="827" customFormat="false" ht="15.75" hidden="false" customHeight="true" outlineLevel="0" collapsed="false">
      <c r="A827" s="78" t="str">
        <f aca="false">IFERROR(IF($B827="","",IF(INDEX(Einheiten!$B$4:$B$63,MATCH($B827,Einheiten!$A$4:$A$63,0))=0,"",INDEX(Einheiten!$B$4:$B$63,MATCH($B827,Einheiten!$A$4:$A$63,0)))),"")</f>
        <v/>
      </c>
      <c r="B827" s="54"/>
      <c r="C827" s="79" t="str">
        <f aca="false">IFERROR(IF($D827="","",INDEX(Übungen!$B$4:$B$23,MATCH($D827,Übungen!$A$4:$A$23,0))),"")</f>
        <v/>
      </c>
      <c r="D827" s="56"/>
      <c r="E827" s="73"/>
      <c r="F827" s="55"/>
      <c r="G827" s="74"/>
      <c r="H827" s="55"/>
      <c r="I827" s="49" t="str">
        <f aca="false">IF(AND(ISNUMBER($F827),ISNUMBER($G827),$E827&lt;&gt;"R"),$F827*$G827,"")</f>
        <v/>
      </c>
      <c r="J827" s="51" t="str">
        <f aca="false">IF(AND($E827="A",ISNUMBER($F827),ISNUMBER($G827)),$F827*(1+$G827/30),"")</f>
        <v/>
      </c>
      <c r="K827" s="56"/>
      <c r="L827" s="56"/>
    </row>
    <row r="828" customFormat="false" ht="15.75" hidden="false" customHeight="true" outlineLevel="0" collapsed="false">
      <c r="A828" s="78" t="str">
        <f aca="false">IFERROR(IF($B828="","",IF(INDEX(Einheiten!$B$4:$B$63,MATCH($B828,Einheiten!$A$4:$A$63,0))=0,"",INDEX(Einheiten!$B$4:$B$63,MATCH($B828,Einheiten!$A$4:$A$63,0)))),"")</f>
        <v/>
      </c>
      <c r="B828" s="54"/>
      <c r="C828" s="79" t="str">
        <f aca="false">IFERROR(IF($D828="","",INDEX(Übungen!$B$4:$B$23,MATCH($D828,Übungen!$A$4:$A$23,0))),"")</f>
        <v/>
      </c>
      <c r="D828" s="56"/>
      <c r="E828" s="73"/>
      <c r="F828" s="55"/>
      <c r="G828" s="74"/>
      <c r="H828" s="55"/>
      <c r="I828" s="49" t="str">
        <f aca="false">IF(AND(ISNUMBER($F828),ISNUMBER($G828),$E828&lt;&gt;"R"),$F828*$G828,"")</f>
        <v/>
      </c>
      <c r="J828" s="51" t="str">
        <f aca="false">IF(AND($E828="A",ISNUMBER($F828),ISNUMBER($G828)),$F828*(1+$G828/30),"")</f>
        <v/>
      </c>
      <c r="K828" s="56"/>
      <c r="L828" s="56"/>
    </row>
    <row r="829" customFormat="false" ht="15.75" hidden="false" customHeight="true" outlineLevel="0" collapsed="false">
      <c r="A829" s="78" t="str">
        <f aca="false">IFERROR(IF($B829="","",IF(INDEX(Einheiten!$B$4:$B$63,MATCH($B829,Einheiten!$A$4:$A$63,0))=0,"",INDEX(Einheiten!$B$4:$B$63,MATCH($B829,Einheiten!$A$4:$A$63,0)))),"")</f>
        <v/>
      </c>
      <c r="B829" s="54"/>
      <c r="C829" s="79" t="str">
        <f aca="false">IFERROR(IF($D829="","",INDEX(Übungen!$B$4:$B$23,MATCH($D829,Übungen!$A$4:$A$23,0))),"")</f>
        <v/>
      </c>
      <c r="D829" s="56"/>
      <c r="E829" s="73"/>
      <c r="F829" s="55"/>
      <c r="G829" s="74"/>
      <c r="H829" s="55"/>
      <c r="I829" s="49" t="str">
        <f aca="false">IF(AND(ISNUMBER($F829),ISNUMBER($G829),$E829&lt;&gt;"R"),$F829*$G829,"")</f>
        <v/>
      </c>
      <c r="J829" s="51" t="str">
        <f aca="false">IF(AND($E829="A",ISNUMBER($F829),ISNUMBER($G829)),$F829*(1+$G829/30),"")</f>
        <v/>
      </c>
      <c r="K829" s="56"/>
      <c r="L829" s="56"/>
    </row>
    <row r="830" customFormat="false" ht="15.75" hidden="false" customHeight="true" outlineLevel="0" collapsed="false">
      <c r="A830" s="78" t="str">
        <f aca="false">IFERROR(IF($B830="","",IF(INDEX(Einheiten!$B$4:$B$63,MATCH($B830,Einheiten!$A$4:$A$63,0))=0,"",INDEX(Einheiten!$B$4:$B$63,MATCH($B830,Einheiten!$A$4:$A$63,0)))),"")</f>
        <v/>
      </c>
      <c r="B830" s="54"/>
      <c r="C830" s="79" t="str">
        <f aca="false">IFERROR(IF($D830="","",INDEX(Übungen!$B$4:$B$23,MATCH($D830,Übungen!$A$4:$A$23,0))),"")</f>
        <v/>
      </c>
      <c r="D830" s="56"/>
      <c r="E830" s="73"/>
      <c r="F830" s="55"/>
      <c r="G830" s="74"/>
      <c r="H830" s="55"/>
      <c r="I830" s="49" t="str">
        <f aca="false">IF(AND(ISNUMBER($F830),ISNUMBER($G830),$E830&lt;&gt;"R"),$F830*$G830,"")</f>
        <v/>
      </c>
      <c r="J830" s="51" t="str">
        <f aca="false">IF(AND($E830="A",ISNUMBER($F830),ISNUMBER($G830)),$F830*(1+$G830/30),"")</f>
        <v/>
      </c>
      <c r="K830" s="56"/>
      <c r="L830" s="56"/>
    </row>
    <row r="831" customFormat="false" ht="15.75" hidden="false" customHeight="true" outlineLevel="0" collapsed="false">
      <c r="A831" s="78" t="str">
        <f aca="false">IFERROR(IF($B831="","",IF(INDEX(Einheiten!$B$4:$B$63,MATCH($B831,Einheiten!$A$4:$A$63,0))=0,"",INDEX(Einheiten!$B$4:$B$63,MATCH($B831,Einheiten!$A$4:$A$63,0)))),"")</f>
        <v/>
      </c>
      <c r="B831" s="54"/>
      <c r="C831" s="79" t="str">
        <f aca="false">IFERROR(IF($D831="","",INDEX(Übungen!$B$4:$B$23,MATCH($D831,Übungen!$A$4:$A$23,0))),"")</f>
        <v/>
      </c>
      <c r="D831" s="56"/>
      <c r="E831" s="73"/>
      <c r="F831" s="55"/>
      <c r="G831" s="74"/>
      <c r="H831" s="55"/>
      <c r="I831" s="49" t="str">
        <f aca="false">IF(AND(ISNUMBER($F831),ISNUMBER($G831),$E831&lt;&gt;"R"),$F831*$G831,"")</f>
        <v/>
      </c>
      <c r="J831" s="51" t="str">
        <f aca="false">IF(AND($E831="A",ISNUMBER($F831),ISNUMBER($G831)),$F831*(1+$G831/30),"")</f>
        <v/>
      </c>
      <c r="K831" s="56"/>
      <c r="L831" s="56"/>
    </row>
    <row r="832" customFormat="false" ht="15.75" hidden="false" customHeight="true" outlineLevel="0" collapsed="false">
      <c r="A832" s="78" t="str">
        <f aca="false">IFERROR(IF($B832="","",IF(INDEX(Einheiten!$B$4:$B$63,MATCH($B832,Einheiten!$A$4:$A$63,0))=0,"",INDEX(Einheiten!$B$4:$B$63,MATCH($B832,Einheiten!$A$4:$A$63,0)))),"")</f>
        <v/>
      </c>
      <c r="B832" s="54"/>
      <c r="C832" s="79" t="str">
        <f aca="false">IFERROR(IF($D832="","",INDEX(Übungen!$B$4:$B$23,MATCH($D832,Übungen!$A$4:$A$23,0))),"")</f>
        <v/>
      </c>
      <c r="D832" s="56"/>
      <c r="E832" s="73"/>
      <c r="F832" s="55"/>
      <c r="G832" s="74"/>
      <c r="H832" s="55"/>
      <c r="I832" s="49" t="str">
        <f aca="false">IF(AND(ISNUMBER($F832),ISNUMBER($G832),$E832&lt;&gt;"R"),$F832*$G832,"")</f>
        <v/>
      </c>
      <c r="J832" s="51" t="str">
        <f aca="false">IF(AND($E832="A",ISNUMBER($F832),ISNUMBER($G832)),$F832*(1+$G832/30),"")</f>
        <v/>
      </c>
      <c r="K832" s="56"/>
      <c r="L832" s="56"/>
    </row>
    <row r="833" customFormat="false" ht="15.75" hidden="false" customHeight="true" outlineLevel="0" collapsed="false">
      <c r="A833" s="78" t="str">
        <f aca="false">IFERROR(IF($B833="","",IF(INDEX(Einheiten!$B$4:$B$63,MATCH($B833,Einheiten!$A$4:$A$63,0))=0,"",INDEX(Einheiten!$B$4:$B$63,MATCH($B833,Einheiten!$A$4:$A$63,0)))),"")</f>
        <v/>
      </c>
      <c r="B833" s="54"/>
      <c r="C833" s="79" t="str">
        <f aca="false">IFERROR(IF($D833="","",INDEX(Übungen!$B$4:$B$23,MATCH($D833,Übungen!$A$4:$A$23,0))),"")</f>
        <v/>
      </c>
      <c r="D833" s="56"/>
      <c r="E833" s="73"/>
      <c r="F833" s="55"/>
      <c r="G833" s="74"/>
      <c r="H833" s="55"/>
      <c r="I833" s="49" t="str">
        <f aca="false">IF(AND(ISNUMBER($F833),ISNUMBER($G833),$E833&lt;&gt;"R"),$F833*$G833,"")</f>
        <v/>
      </c>
      <c r="J833" s="51" t="str">
        <f aca="false">IF(AND($E833="A",ISNUMBER($F833),ISNUMBER($G833)),$F833*(1+$G833/30),"")</f>
        <v/>
      </c>
      <c r="K833" s="56"/>
      <c r="L833" s="56"/>
    </row>
    <row r="834" customFormat="false" ht="15.75" hidden="false" customHeight="true" outlineLevel="0" collapsed="false">
      <c r="A834" s="78" t="str">
        <f aca="false">IFERROR(IF($B834="","",IF(INDEX(Einheiten!$B$4:$B$63,MATCH($B834,Einheiten!$A$4:$A$63,0))=0,"",INDEX(Einheiten!$B$4:$B$63,MATCH($B834,Einheiten!$A$4:$A$63,0)))),"")</f>
        <v/>
      </c>
      <c r="B834" s="54"/>
      <c r="C834" s="79" t="str">
        <f aca="false">IFERROR(IF($D834="","",INDEX(Übungen!$B$4:$B$23,MATCH($D834,Übungen!$A$4:$A$23,0))),"")</f>
        <v/>
      </c>
      <c r="D834" s="56"/>
      <c r="E834" s="73"/>
      <c r="F834" s="55"/>
      <c r="G834" s="74"/>
      <c r="H834" s="55"/>
      <c r="I834" s="49" t="str">
        <f aca="false">IF(AND(ISNUMBER($F834),ISNUMBER($G834),$E834&lt;&gt;"R"),$F834*$G834,"")</f>
        <v/>
      </c>
      <c r="J834" s="51" t="str">
        <f aca="false">IF(AND($E834="A",ISNUMBER($F834),ISNUMBER($G834)),$F834*(1+$G834/30),"")</f>
        <v/>
      </c>
      <c r="K834" s="56"/>
      <c r="L834" s="56"/>
    </row>
    <row r="835" customFormat="false" ht="15.75" hidden="false" customHeight="true" outlineLevel="0" collapsed="false">
      <c r="A835" s="78" t="str">
        <f aca="false">IFERROR(IF($B835="","",IF(INDEX(Einheiten!$B$4:$B$63,MATCH($B835,Einheiten!$A$4:$A$63,0))=0,"",INDEX(Einheiten!$B$4:$B$63,MATCH($B835,Einheiten!$A$4:$A$63,0)))),"")</f>
        <v/>
      </c>
      <c r="B835" s="54"/>
      <c r="C835" s="79" t="str">
        <f aca="false">IFERROR(IF($D835="","",INDEX(Übungen!$B$4:$B$23,MATCH($D835,Übungen!$A$4:$A$23,0))),"")</f>
        <v/>
      </c>
      <c r="D835" s="56"/>
      <c r="E835" s="73"/>
      <c r="F835" s="55"/>
      <c r="G835" s="74"/>
      <c r="H835" s="55"/>
      <c r="I835" s="49" t="str">
        <f aca="false">IF(AND(ISNUMBER($F835),ISNUMBER($G835),$E835&lt;&gt;"R"),$F835*$G835,"")</f>
        <v/>
      </c>
      <c r="J835" s="51" t="str">
        <f aca="false">IF(AND($E835="A",ISNUMBER($F835),ISNUMBER($G835)),$F835*(1+$G835/30),"")</f>
        <v/>
      </c>
      <c r="K835" s="56"/>
      <c r="L835" s="56"/>
    </row>
    <row r="836" customFormat="false" ht="15.75" hidden="false" customHeight="true" outlineLevel="0" collapsed="false">
      <c r="A836" s="78" t="str">
        <f aca="false">IFERROR(IF($B836="","",IF(INDEX(Einheiten!$B$4:$B$63,MATCH($B836,Einheiten!$A$4:$A$63,0))=0,"",INDEX(Einheiten!$B$4:$B$63,MATCH($B836,Einheiten!$A$4:$A$63,0)))),"")</f>
        <v/>
      </c>
      <c r="B836" s="54"/>
      <c r="C836" s="79" t="str">
        <f aca="false">IFERROR(IF($D836="","",INDEX(Übungen!$B$4:$B$23,MATCH($D836,Übungen!$A$4:$A$23,0))),"")</f>
        <v/>
      </c>
      <c r="D836" s="56"/>
      <c r="E836" s="73"/>
      <c r="F836" s="55"/>
      <c r="G836" s="74"/>
      <c r="H836" s="55"/>
      <c r="I836" s="49" t="str">
        <f aca="false">IF(AND(ISNUMBER($F836),ISNUMBER($G836),$E836&lt;&gt;"R"),$F836*$G836,"")</f>
        <v/>
      </c>
      <c r="J836" s="51" t="str">
        <f aca="false">IF(AND($E836="A",ISNUMBER($F836),ISNUMBER($G836)),$F836*(1+$G836/30),"")</f>
        <v/>
      </c>
      <c r="K836" s="56"/>
      <c r="L836" s="56"/>
    </row>
    <row r="837" customFormat="false" ht="15.75" hidden="false" customHeight="true" outlineLevel="0" collapsed="false">
      <c r="A837" s="78" t="str">
        <f aca="false">IFERROR(IF($B837="","",IF(INDEX(Einheiten!$B$4:$B$63,MATCH($B837,Einheiten!$A$4:$A$63,0))=0,"",INDEX(Einheiten!$B$4:$B$63,MATCH($B837,Einheiten!$A$4:$A$63,0)))),"")</f>
        <v/>
      </c>
      <c r="B837" s="54"/>
      <c r="C837" s="79" t="str">
        <f aca="false">IFERROR(IF($D837="","",INDEX(Übungen!$B$4:$B$23,MATCH($D837,Übungen!$A$4:$A$23,0))),"")</f>
        <v/>
      </c>
      <c r="D837" s="56"/>
      <c r="E837" s="73"/>
      <c r="F837" s="55"/>
      <c r="G837" s="74"/>
      <c r="H837" s="55"/>
      <c r="I837" s="49" t="str">
        <f aca="false">IF(AND(ISNUMBER($F837),ISNUMBER($G837),$E837&lt;&gt;"R"),$F837*$G837,"")</f>
        <v/>
      </c>
      <c r="J837" s="51" t="str">
        <f aca="false">IF(AND($E837="A",ISNUMBER($F837),ISNUMBER($G837)),$F837*(1+$G837/30),"")</f>
        <v/>
      </c>
      <c r="K837" s="56"/>
      <c r="L837" s="56"/>
    </row>
    <row r="838" customFormat="false" ht="15.75" hidden="false" customHeight="true" outlineLevel="0" collapsed="false">
      <c r="A838" s="78" t="str">
        <f aca="false">IFERROR(IF($B838="","",IF(INDEX(Einheiten!$B$4:$B$63,MATCH($B838,Einheiten!$A$4:$A$63,0))=0,"",INDEX(Einheiten!$B$4:$B$63,MATCH($B838,Einheiten!$A$4:$A$63,0)))),"")</f>
        <v/>
      </c>
      <c r="B838" s="54"/>
      <c r="C838" s="79" t="str">
        <f aca="false">IFERROR(IF($D838="","",INDEX(Übungen!$B$4:$B$23,MATCH($D838,Übungen!$A$4:$A$23,0))),"")</f>
        <v/>
      </c>
      <c r="D838" s="56"/>
      <c r="E838" s="73"/>
      <c r="F838" s="55"/>
      <c r="G838" s="74"/>
      <c r="H838" s="55"/>
      <c r="I838" s="49" t="str">
        <f aca="false">IF(AND(ISNUMBER($F838),ISNUMBER($G838),$E838&lt;&gt;"R"),$F838*$G838,"")</f>
        <v/>
      </c>
      <c r="J838" s="51" t="str">
        <f aca="false">IF(AND($E838="A",ISNUMBER($F838),ISNUMBER($G838)),$F838*(1+$G838/30),"")</f>
        <v/>
      </c>
      <c r="K838" s="56"/>
      <c r="L838" s="56"/>
    </row>
    <row r="839" customFormat="false" ht="15.75" hidden="false" customHeight="true" outlineLevel="0" collapsed="false">
      <c r="A839" s="78" t="str">
        <f aca="false">IFERROR(IF($B839="","",IF(INDEX(Einheiten!$B$4:$B$63,MATCH($B839,Einheiten!$A$4:$A$63,0))=0,"",INDEX(Einheiten!$B$4:$B$63,MATCH($B839,Einheiten!$A$4:$A$63,0)))),"")</f>
        <v/>
      </c>
      <c r="B839" s="54"/>
      <c r="C839" s="79" t="str">
        <f aca="false">IFERROR(IF($D839="","",INDEX(Übungen!$B$4:$B$23,MATCH($D839,Übungen!$A$4:$A$23,0))),"")</f>
        <v/>
      </c>
      <c r="D839" s="56"/>
      <c r="E839" s="73"/>
      <c r="F839" s="55"/>
      <c r="G839" s="74"/>
      <c r="H839" s="55"/>
      <c r="I839" s="49" t="str">
        <f aca="false">IF(AND(ISNUMBER($F839),ISNUMBER($G839),$E839&lt;&gt;"R"),$F839*$G839,"")</f>
        <v/>
      </c>
      <c r="J839" s="51" t="str">
        <f aca="false">IF(AND($E839="A",ISNUMBER($F839),ISNUMBER($G839)),$F839*(1+$G839/30),"")</f>
        <v/>
      </c>
      <c r="K839" s="56"/>
      <c r="L839" s="56"/>
    </row>
    <row r="840" customFormat="false" ht="15.75" hidden="false" customHeight="true" outlineLevel="0" collapsed="false">
      <c r="A840" s="78" t="str">
        <f aca="false">IFERROR(IF($B840="","",IF(INDEX(Einheiten!$B$4:$B$63,MATCH($B840,Einheiten!$A$4:$A$63,0))=0,"",INDEX(Einheiten!$B$4:$B$63,MATCH($B840,Einheiten!$A$4:$A$63,0)))),"")</f>
        <v/>
      </c>
      <c r="B840" s="54"/>
      <c r="C840" s="79" t="str">
        <f aca="false">IFERROR(IF($D840="","",INDEX(Übungen!$B$4:$B$23,MATCH($D840,Übungen!$A$4:$A$23,0))),"")</f>
        <v/>
      </c>
      <c r="D840" s="56"/>
      <c r="E840" s="73"/>
      <c r="F840" s="55"/>
      <c r="G840" s="74"/>
      <c r="H840" s="55"/>
      <c r="I840" s="49" t="str">
        <f aca="false">IF(AND(ISNUMBER($F840),ISNUMBER($G840),$E840&lt;&gt;"R"),$F840*$G840,"")</f>
        <v/>
      </c>
      <c r="J840" s="51" t="str">
        <f aca="false">IF(AND($E840="A",ISNUMBER($F840),ISNUMBER($G840)),$F840*(1+$G840/30),"")</f>
        <v/>
      </c>
      <c r="K840" s="56"/>
      <c r="L840" s="56"/>
    </row>
    <row r="841" customFormat="false" ht="15.75" hidden="false" customHeight="true" outlineLevel="0" collapsed="false">
      <c r="A841" s="78" t="str">
        <f aca="false">IFERROR(IF($B841="","",IF(INDEX(Einheiten!$B$4:$B$63,MATCH($B841,Einheiten!$A$4:$A$63,0))=0,"",INDEX(Einheiten!$B$4:$B$63,MATCH($B841,Einheiten!$A$4:$A$63,0)))),"")</f>
        <v/>
      </c>
      <c r="B841" s="54"/>
      <c r="C841" s="79" t="str">
        <f aca="false">IFERROR(IF($D841="","",INDEX(Übungen!$B$4:$B$23,MATCH($D841,Übungen!$A$4:$A$23,0))),"")</f>
        <v/>
      </c>
      <c r="D841" s="56"/>
      <c r="E841" s="73"/>
      <c r="F841" s="55"/>
      <c r="G841" s="74"/>
      <c r="H841" s="55"/>
      <c r="I841" s="49" t="str">
        <f aca="false">IF(AND(ISNUMBER($F841),ISNUMBER($G841),$E841&lt;&gt;"R"),$F841*$G841,"")</f>
        <v/>
      </c>
      <c r="J841" s="51" t="str">
        <f aca="false">IF(AND($E841="A",ISNUMBER($F841),ISNUMBER($G841)),$F841*(1+$G841/30),"")</f>
        <v/>
      </c>
      <c r="K841" s="56"/>
      <c r="L841" s="56"/>
    </row>
    <row r="842" customFormat="false" ht="15.75" hidden="false" customHeight="true" outlineLevel="0" collapsed="false">
      <c r="A842" s="78" t="str">
        <f aca="false">IFERROR(IF($B842="","",IF(INDEX(Einheiten!$B$4:$B$63,MATCH($B842,Einheiten!$A$4:$A$63,0))=0,"",INDEX(Einheiten!$B$4:$B$63,MATCH($B842,Einheiten!$A$4:$A$63,0)))),"")</f>
        <v/>
      </c>
      <c r="B842" s="54"/>
      <c r="C842" s="79" t="str">
        <f aca="false">IFERROR(IF($D842="","",INDEX(Übungen!$B$4:$B$23,MATCH($D842,Übungen!$A$4:$A$23,0))),"")</f>
        <v/>
      </c>
      <c r="D842" s="56"/>
      <c r="E842" s="73"/>
      <c r="F842" s="55"/>
      <c r="G842" s="74"/>
      <c r="H842" s="55"/>
      <c r="I842" s="49" t="str">
        <f aca="false">IF(AND(ISNUMBER($F842),ISNUMBER($G842),$E842&lt;&gt;"R"),$F842*$G842,"")</f>
        <v/>
      </c>
      <c r="J842" s="51" t="str">
        <f aca="false">IF(AND($E842="A",ISNUMBER($F842),ISNUMBER($G842)),$F842*(1+$G842/30),"")</f>
        <v/>
      </c>
      <c r="K842" s="56"/>
      <c r="L842" s="56"/>
    </row>
    <row r="843" customFormat="false" ht="15.75" hidden="false" customHeight="true" outlineLevel="0" collapsed="false">
      <c r="A843" s="78" t="str">
        <f aca="false">IFERROR(IF($B843="","",IF(INDEX(Einheiten!$B$4:$B$63,MATCH($B843,Einheiten!$A$4:$A$63,0))=0,"",INDEX(Einheiten!$B$4:$B$63,MATCH($B843,Einheiten!$A$4:$A$63,0)))),"")</f>
        <v/>
      </c>
      <c r="B843" s="54"/>
      <c r="C843" s="79" t="str">
        <f aca="false">IFERROR(IF($D843="","",INDEX(Übungen!$B$4:$B$23,MATCH($D843,Übungen!$A$4:$A$23,0))),"")</f>
        <v/>
      </c>
      <c r="D843" s="56"/>
      <c r="E843" s="73"/>
      <c r="F843" s="55"/>
      <c r="G843" s="74"/>
      <c r="H843" s="55"/>
      <c r="I843" s="49" t="str">
        <f aca="false">IF(AND(ISNUMBER($F843),ISNUMBER($G843),$E843&lt;&gt;"R"),$F843*$G843,"")</f>
        <v/>
      </c>
      <c r="J843" s="51" t="str">
        <f aca="false">IF(AND($E843="A",ISNUMBER($F843),ISNUMBER($G843)),$F843*(1+$G843/30),"")</f>
        <v/>
      </c>
      <c r="K843" s="56"/>
      <c r="L843" s="56"/>
    </row>
    <row r="844" customFormat="false" ht="15.75" hidden="false" customHeight="true" outlineLevel="0" collapsed="false">
      <c r="A844" s="78" t="str">
        <f aca="false">IFERROR(IF($B844="","",IF(INDEX(Einheiten!$B$4:$B$63,MATCH($B844,Einheiten!$A$4:$A$63,0))=0,"",INDEX(Einheiten!$B$4:$B$63,MATCH($B844,Einheiten!$A$4:$A$63,0)))),"")</f>
        <v/>
      </c>
      <c r="B844" s="54"/>
      <c r="C844" s="79" t="str">
        <f aca="false">IFERROR(IF($D844="","",INDEX(Übungen!$B$4:$B$23,MATCH($D844,Übungen!$A$4:$A$23,0))),"")</f>
        <v/>
      </c>
      <c r="D844" s="56"/>
      <c r="E844" s="73"/>
      <c r="F844" s="55"/>
      <c r="G844" s="74"/>
      <c r="H844" s="55"/>
      <c r="I844" s="49" t="str">
        <f aca="false">IF(AND(ISNUMBER($F844),ISNUMBER($G844),$E844&lt;&gt;"R"),$F844*$G844,"")</f>
        <v/>
      </c>
      <c r="J844" s="51" t="str">
        <f aca="false">IF(AND($E844="A",ISNUMBER($F844),ISNUMBER($G844)),$F844*(1+$G844/30),"")</f>
        <v/>
      </c>
      <c r="K844" s="56"/>
      <c r="L844" s="56"/>
    </row>
    <row r="845" customFormat="false" ht="15.75" hidden="false" customHeight="true" outlineLevel="0" collapsed="false">
      <c r="A845" s="78" t="str">
        <f aca="false">IFERROR(IF($B845="","",IF(INDEX(Einheiten!$B$4:$B$63,MATCH($B845,Einheiten!$A$4:$A$63,0))=0,"",INDEX(Einheiten!$B$4:$B$63,MATCH($B845,Einheiten!$A$4:$A$63,0)))),"")</f>
        <v/>
      </c>
      <c r="B845" s="54"/>
      <c r="C845" s="79" t="str">
        <f aca="false">IFERROR(IF($D845="","",INDEX(Übungen!$B$4:$B$23,MATCH($D845,Übungen!$A$4:$A$23,0))),"")</f>
        <v/>
      </c>
      <c r="D845" s="56"/>
      <c r="E845" s="73"/>
      <c r="F845" s="55"/>
      <c r="G845" s="74"/>
      <c r="H845" s="55"/>
      <c r="I845" s="49" t="str">
        <f aca="false">IF(AND(ISNUMBER($F845),ISNUMBER($G845),$E845&lt;&gt;"R"),$F845*$G845,"")</f>
        <v/>
      </c>
      <c r="J845" s="51" t="str">
        <f aca="false">IF(AND($E845="A",ISNUMBER($F845),ISNUMBER($G845)),$F845*(1+$G845/30),"")</f>
        <v/>
      </c>
      <c r="K845" s="56"/>
      <c r="L845" s="56"/>
    </row>
    <row r="846" customFormat="false" ht="15.75" hidden="false" customHeight="true" outlineLevel="0" collapsed="false">
      <c r="A846" s="78" t="str">
        <f aca="false">IFERROR(IF($B846="","",IF(INDEX(Einheiten!$B$4:$B$63,MATCH($B846,Einheiten!$A$4:$A$63,0))=0,"",INDEX(Einheiten!$B$4:$B$63,MATCH($B846,Einheiten!$A$4:$A$63,0)))),"")</f>
        <v/>
      </c>
      <c r="B846" s="54"/>
      <c r="C846" s="79" t="str">
        <f aca="false">IFERROR(IF($D846="","",INDEX(Übungen!$B$4:$B$23,MATCH($D846,Übungen!$A$4:$A$23,0))),"")</f>
        <v/>
      </c>
      <c r="D846" s="56"/>
      <c r="E846" s="73"/>
      <c r="F846" s="55"/>
      <c r="G846" s="74"/>
      <c r="H846" s="55"/>
      <c r="I846" s="49" t="str">
        <f aca="false">IF(AND(ISNUMBER($F846),ISNUMBER($G846),$E846&lt;&gt;"R"),$F846*$G846,"")</f>
        <v/>
      </c>
      <c r="J846" s="51" t="str">
        <f aca="false">IF(AND($E846="A",ISNUMBER($F846),ISNUMBER($G846)),$F846*(1+$G846/30),"")</f>
        <v/>
      </c>
      <c r="K846" s="56"/>
      <c r="L846" s="56"/>
    </row>
    <row r="847" customFormat="false" ht="15.75" hidden="false" customHeight="true" outlineLevel="0" collapsed="false">
      <c r="A847" s="78" t="str">
        <f aca="false">IFERROR(IF($B847="","",IF(INDEX(Einheiten!$B$4:$B$63,MATCH($B847,Einheiten!$A$4:$A$63,0))=0,"",INDEX(Einheiten!$B$4:$B$63,MATCH($B847,Einheiten!$A$4:$A$63,0)))),"")</f>
        <v/>
      </c>
      <c r="B847" s="54"/>
      <c r="C847" s="79" t="str">
        <f aca="false">IFERROR(IF($D847="","",INDEX(Übungen!$B$4:$B$23,MATCH($D847,Übungen!$A$4:$A$23,0))),"")</f>
        <v/>
      </c>
      <c r="D847" s="56"/>
      <c r="E847" s="73"/>
      <c r="F847" s="55"/>
      <c r="G847" s="74"/>
      <c r="H847" s="55"/>
      <c r="I847" s="49" t="str">
        <f aca="false">IF(AND(ISNUMBER($F847),ISNUMBER($G847),$E847&lt;&gt;"R"),$F847*$G847,"")</f>
        <v/>
      </c>
      <c r="J847" s="51" t="str">
        <f aca="false">IF(AND($E847="A",ISNUMBER($F847),ISNUMBER($G847)),$F847*(1+$G847/30),"")</f>
        <v/>
      </c>
      <c r="K847" s="56"/>
      <c r="L847" s="56"/>
    </row>
    <row r="848" customFormat="false" ht="15.75" hidden="false" customHeight="true" outlineLevel="0" collapsed="false">
      <c r="A848" s="78" t="str">
        <f aca="false">IFERROR(IF($B848="","",IF(INDEX(Einheiten!$B$4:$B$63,MATCH($B848,Einheiten!$A$4:$A$63,0))=0,"",INDEX(Einheiten!$B$4:$B$63,MATCH($B848,Einheiten!$A$4:$A$63,0)))),"")</f>
        <v/>
      </c>
      <c r="B848" s="54"/>
      <c r="C848" s="79" t="str">
        <f aca="false">IFERROR(IF($D848="","",INDEX(Übungen!$B$4:$B$23,MATCH($D848,Übungen!$A$4:$A$23,0))),"")</f>
        <v/>
      </c>
      <c r="D848" s="56"/>
      <c r="E848" s="73"/>
      <c r="F848" s="55"/>
      <c r="G848" s="74"/>
      <c r="H848" s="55"/>
      <c r="I848" s="49" t="str">
        <f aca="false">IF(AND(ISNUMBER($F848),ISNUMBER($G848),$E848&lt;&gt;"R"),$F848*$G848,"")</f>
        <v/>
      </c>
      <c r="J848" s="51" t="str">
        <f aca="false">IF(AND($E848="A",ISNUMBER($F848),ISNUMBER($G848)),$F848*(1+$G848/30),"")</f>
        <v/>
      </c>
      <c r="K848" s="56"/>
      <c r="L848" s="56"/>
    </row>
    <row r="849" customFormat="false" ht="15.75" hidden="false" customHeight="true" outlineLevel="0" collapsed="false">
      <c r="A849" s="78" t="str">
        <f aca="false">IFERROR(IF($B849="","",IF(INDEX(Einheiten!$B$4:$B$63,MATCH($B849,Einheiten!$A$4:$A$63,0))=0,"",INDEX(Einheiten!$B$4:$B$63,MATCH($B849,Einheiten!$A$4:$A$63,0)))),"")</f>
        <v/>
      </c>
      <c r="B849" s="54"/>
      <c r="C849" s="79" t="str">
        <f aca="false">IFERROR(IF($D849="","",INDEX(Übungen!$B$4:$B$23,MATCH($D849,Übungen!$A$4:$A$23,0))),"")</f>
        <v/>
      </c>
      <c r="D849" s="56"/>
      <c r="E849" s="73"/>
      <c r="F849" s="55"/>
      <c r="G849" s="74"/>
      <c r="H849" s="55"/>
      <c r="I849" s="49" t="str">
        <f aca="false">IF(AND(ISNUMBER($F849),ISNUMBER($G849),$E849&lt;&gt;"R"),$F849*$G849,"")</f>
        <v/>
      </c>
      <c r="J849" s="51" t="str">
        <f aca="false">IF(AND($E849="A",ISNUMBER($F849),ISNUMBER($G849)),$F849*(1+$G849/30),"")</f>
        <v/>
      </c>
      <c r="K849" s="56"/>
      <c r="L849" s="56"/>
    </row>
    <row r="850" customFormat="false" ht="15.75" hidden="false" customHeight="true" outlineLevel="0" collapsed="false">
      <c r="A850" s="78" t="str">
        <f aca="false">IFERROR(IF($B850="","",IF(INDEX(Einheiten!$B$4:$B$63,MATCH($B850,Einheiten!$A$4:$A$63,0))=0,"",INDEX(Einheiten!$B$4:$B$63,MATCH($B850,Einheiten!$A$4:$A$63,0)))),"")</f>
        <v/>
      </c>
      <c r="B850" s="54"/>
      <c r="C850" s="79" t="str">
        <f aca="false">IFERROR(IF($D850="","",INDEX(Übungen!$B$4:$B$23,MATCH($D850,Übungen!$A$4:$A$23,0))),"")</f>
        <v/>
      </c>
      <c r="D850" s="56"/>
      <c r="E850" s="73"/>
      <c r="F850" s="55"/>
      <c r="G850" s="74"/>
      <c r="H850" s="55"/>
      <c r="I850" s="49" t="str">
        <f aca="false">IF(AND(ISNUMBER($F850),ISNUMBER($G850),$E850&lt;&gt;"R"),$F850*$G850,"")</f>
        <v/>
      </c>
      <c r="J850" s="51" t="str">
        <f aca="false">IF(AND($E850="A",ISNUMBER($F850),ISNUMBER($G850)),$F850*(1+$G850/30),"")</f>
        <v/>
      </c>
      <c r="K850" s="56"/>
      <c r="L850" s="56"/>
    </row>
    <row r="851" customFormat="false" ht="15.75" hidden="false" customHeight="true" outlineLevel="0" collapsed="false">
      <c r="A851" s="78" t="str">
        <f aca="false">IFERROR(IF($B851="","",IF(INDEX(Einheiten!$B$4:$B$63,MATCH($B851,Einheiten!$A$4:$A$63,0))=0,"",INDEX(Einheiten!$B$4:$B$63,MATCH($B851,Einheiten!$A$4:$A$63,0)))),"")</f>
        <v/>
      </c>
      <c r="B851" s="54"/>
      <c r="C851" s="79" t="str">
        <f aca="false">IFERROR(IF($D851="","",INDEX(Übungen!$B$4:$B$23,MATCH($D851,Übungen!$A$4:$A$23,0))),"")</f>
        <v/>
      </c>
      <c r="D851" s="56"/>
      <c r="E851" s="73"/>
      <c r="F851" s="55"/>
      <c r="G851" s="74"/>
      <c r="H851" s="55"/>
      <c r="I851" s="49" t="str">
        <f aca="false">IF(AND(ISNUMBER($F851),ISNUMBER($G851),$E851&lt;&gt;"R"),$F851*$G851,"")</f>
        <v/>
      </c>
      <c r="J851" s="51" t="str">
        <f aca="false">IF(AND($E851="A",ISNUMBER($F851),ISNUMBER($G851)),$F851*(1+$G851/30),"")</f>
        <v/>
      </c>
      <c r="K851" s="56"/>
      <c r="L851" s="56"/>
    </row>
    <row r="852" customFormat="false" ht="15.75" hidden="false" customHeight="true" outlineLevel="0" collapsed="false">
      <c r="A852" s="78" t="str">
        <f aca="false">IFERROR(IF($B852="","",IF(INDEX(Einheiten!$B$4:$B$63,MATCH($B852,Einheiten!$A$4:$A$63,0))=0,"",INDEX(Einheiten!$B$4:$B$63,MATCH($B852,Einheiten!$A$4:$A$63,0)))),"")</f>
        <v/>
      </c>
      <c r="B852" s="54"/>
      <c r="C852" s="79" t="str">
        <f aca="false">IFERROR(IF($D852="","",INDEX(Übungen!$B$4:$B$23,MATCH($D852,Übungen!$A$4:$A$23,0))),"")</f>
        <v/>
      </c>
      <c r="D852" s="56"/>
      <c r="E852" s="73"/>
      <c r="F852" s="55"/>
      <c r="G852" s="74"/>
      <c r="H852" s="55"/>
      <c r="I852" s="49" t="str">
        <f aca="false">IF(AND(ISNUMBER($F852),ISNUMBER($G852),$E852&lt;&gt;"R"),$F852*$G852,"")</f>
        <v/>
      </c>
      <c r="J852" s="51" t="str">
        <f aca="false">IF(AND($E852="A",ISNUMBER($F852),ISNUMBER($G852)),$F852*(1+$G852/30),"")</f>
        <v/>
      </c>
      <c r="K852" s="56"/>
      <c r="L852" s="56"/>
    </row>
    <row r="853" customFormat="false" ht="15.75" hidden="false" customHeight="true" outlineLevel="0" collapsed="false">
      <c r="A853" s="78" t="str">
        <f aca="false">IFERROR(IF($B853="","",IF(INDEX(Einheiten!$B$4:$B$63,MATCH($B853,Einheiten!$A$4:$A$63,0))=0,"",INDEX(Einheiten!$B$4:$B$63,MATCH($B853,Einheiten!$A$4:$A$63,0)))),"")</f>
        <v/>
      </c>
      <c r="B853" s="54"/>
      <c r="C853" s="79" t="str">
        <f aca="false">IFERROR(IF($D853="","",INDEX(Übungen!$B$4:$B$23,MATCH($D853,Übungen!$A$4:$A$23,0))),"")</f>
        <v/>
      </c>
      <c r="D853" s="56"/>
      <c r="E853" s="73"/>
      <c r="F853" s="55"/>
      <c r="G853" s="74"/>
      <c r="H853" s="55"/>
      <c r="I853" s="49" t="str">
        <f aca="false">IF(AND(ISNUMBER($F853),ISNUMBER($G853),$E853&lt;&gt;"R"),$F853*$G853,"")</f>
        <v/>
      </c>
      <c r="J853" s="51" t="str">
        <f aca="false">IF(AND($E853="A",ISNUMBER($F853),ISNUMBER($G853)),$F853*(1+$G853/30),"")</f>
        <v/>
      </c>
      <c r="K853" s="56"/>
      <c r="L853" s="56"/>
    </row>
    <row r="854" customFormat="false" ht="15.75" hidden="false" customHeight="true" outlineLevel="0" collapsed="false">
      <c r="A854" s="78" t="str">
        <f aca="false">IFERROR(IF($B854="","",IF(INDEX(Einheiten!$B$4:$B$63,MATCH($B854,Einheiten!$A$4:$A$63,0))=0,"",INDEX(Einheiten!$B$4:$B$63,MATCH($B854,Einheiten!$A$4:$A$63,0)))),"")</f>
        <v/>
      </c>
      <c r="B854" s="54"/>
      <c r="C854" s="79" t="str">
        <f aca="false">IFERROR(IF($D854="","",INDEX(Übungen!$B$4:$B$23,MATCH($D854,Übungen!$A$4:$A$23,0))),"")</f>
        <v/>
      </c>
      <c r="D854" s="56"/>
      <c r="E854" s="73"/>
      <c r="F854" s="55"/>
      <c r="G854" s="74"/>
      <c r="H854" s="55"/>
      <c r="I854" s="49" t="str">
        <f aca="false">IF(AND(ISNUMBER($F854),ISNUMBER($G854),$E854&lt;&gt;"R"),$F854*$G854,"")</f>
        <v/>
      </c>
      <c r="J854" s="51" t="str">
        <f aca="false">IF(AND($E854="A",ISNUMBER($F854),ISNUMBER($G854)),$F854*(1+$G854/30),"")</f>
        <v/>
      </c>
      <c r="K854" s="56"/>
      <c r="L854" s="56"/>
    </row>
    <row r="855" customFormat="false" ht="15.75" hidden="false" customHeight="true" outlineLevel="0" collapsed="false">
      <c r="A855" s="78" t="str">
        <f aca="false">IFERROR(IF($B855="","",IF(INDEX(Einheiten!$B$4:$B$63,MATCH($B855,Einheiten!$A$4:$A$63,0))=0,"",INDEX(Einheiten!$B$4:$B$63,MATCH($B855,Einheiten!$A$4:$A$63,0)))),"")</f>
        <v/>
      </c>
      <c r="B855" s="54"/>
      <c r="C855" s="79" t="str">
        <f aca="false">IFERROR(IF($D855="","",INDEX(Übungen!$B$4:$B$23,MATCH($D855,Übungen!$A$4:$A$23,0))),"")</f>
        <v/>
      </c>
      <c r="D855" s="56"/>
      <c r="E855" s="73"/>
      <c r="F855" s="55"/>
      <c r="G855" s="74"/>
      <c r="H855" s="55"/>
      <c r="I855" s="49" t="str">
        <f aca="false">IF(AND(ISNUMBER($F855),ISNUMBER($G855),$E855&lt;&gt;"R"),$F855*$G855,"")</f>
        <v/>
      </c>
      <c r="J855" s="51" t="str">
        <f aca="false">IF(AND($E855="A",ISNUMBER($F855),ISNUMBER($G855)),$F855*(1+$G855/30),"")</f>
        <v/>
      </c>
      <c r="K855" s="56"/>
      <c r="L855" s="56"/>
    </row>
    <row r="856" customFormat="false" ht="15.75" hidden="false" customHeight="true" outlineLevel="0" collapsed="false">
      <c r="A856" s="78" t="str">
        <f aca="false">IFERROR(IF($B856="","",IF(INDEX(Einheiten!$B$4:$B$63,MATCH($B856,Einheiten!$A$4:$A$63,0))=0,"",INDEX(Einheiten!$B$4:$B$63,MATCH($B856,Einheiten!$A$4:$A$63,0)))),"")</f>
        <v/>
      </c>
      <c r="B856" s="54"/>
      <c r="C856" s="79" t="str">
        <f aca="false">IFERROR(IF($D856="","",INDEX(Übungen!$B$4:$B$23,MATCH($D856,Übungen!$A$4:$A$23,0))),"")</f>
        <v/>
      </c>
      <c r="D856" s="56"/>
      <c r="E856" s="73"/>
      <c r="F856" s="55"/>
      <c r="G856" s="74"/>
      <c r="H856" s="55"/>
      <c r="I856" s="49" t="str">
        <f aca="false">IF(AND(ISNUMBER($F856),ISNUMBER($G856),$E856&lt;&gt;"R"),$F856*$G856,"")</f>
        <v/>
      </c>
      <c r="J856" s="51" t="str">
        <f aca="false">IF(AND($E856="A",ISNUMBER($F856),ISNUMBER($G856)),$F856*(1+$G856/30),"")</f>
        <v/>
      </c>
      <c r="K856" s="56"/>
      <c r="L856" s="56"/>
    </row>
    <row r="857" customFormat="false" ht="15.75" hidden="false" customHeight="true" outlineLevel="0" collapsed="false">
      <c r="A857" s="78" t="str">
        <f aca="false">IFERROR(IF($B857="","",IF(INDEX(Einheiten!$B$4:$B$63,MATCH($B857,Einheiten!$A$4:$A$63,0))=0,"",INDEX(Einheiten!$B$4:$B$63,MATCH($B857,Einheiten!$A$4:$A$63,0)))),"")</f>
        <v/>
      </c>
      <c r="B857" s="54"/>
      <c r="C857" s="79" t="str">
        <f aca="false">IFERROR(IF($D857="","",INDEX(Übungen!$B$4:$B$23,MATCH($D857,Übungen!$A$4:$A$23,0))),"")</f>
        <v/>
      </c>
      <c r="D857" s="56"/>
      <c r="E857" s="73"/>
      <c r="F857" s="55"/>
      <c r="G857" s="74"/>
      <c r="H857" s="55"/>
      <c r="I857" s="49" t="str">
        <f aca="false">IF(AND(ISNUMBER($F857),ISNUMBER($G857),$E857&lt;&gt;"R"),$F857*$G857,"")</f>
        <v/>
      </c>
      <c r="J857" s="51" t="str">
        <f aca="false">IF(AND($E857="A",ISNUMBER($F857),ISNUMBER($G857)),$F857*(1+$G857/30),"")</f>
        <v/>
      </c>
      <c r="K857" s="56"/>
      <c r="L857" s="56"/>
    </row>
    <row r="858" customFormat="false" ht="15.75" hidden="false" customHeight="true" outlineLevel="0" collapsed="false">
      <c r="A858" s="78" t="str">
        <f aca="false">IFERROR(IF($B858="","",IF(INDEX(Einheiten!$B$4:$B$63,MATCH($B858,Einheiten!$A$4:$A$63,0))=0,"",INDEX(Einheiten!$B$4:$B$63,MATCH($B858,Einheiten!$A$4:$A$63,0)))),"")</f>
        <v/>
      </c>
      <c r="B858" s="54"/>
      <c r="C858" s="79" t="str">
        <f aca="false">IFERROR(IF($D858="","",INDEX(Übungen!$B$4:$B$23,MATCH($D858,Übungen!$A$4:$A$23,0))),"")</f>
        <v/>
      </c>
      <c r="D858" s="56"/>
      <c r="E858" s="73"/>
      <c r="F858" s="55"/>
      <c r="G858" s="74"/>
      <c r="H858" s="55"/>
      <c r="I858" s="49" t="str">
        <f aca="false">IF(AND(ISNUMBER($F858),ISNUMBER($G858),$E858&lt;&gt;"R"),$F858*$G858,"")</f>
        <v/>
      </c>
      <c r="J858" s="51" t="str">
        <f aca="false">IF(AND($E858="A",ISNUMBER($F858),ISNUMBER($G858)),$F858*(1+$G858/30),"")</f>
        <v/>
      </c>
      <c r="K858" s="56"/>
      <c r="L858" s="56"/>
    </row>
    <row r="859" customFormat="false" ht="15.75" hidden="false" customHeight="true" outlineLevel="0" collapsed="false">
      <c r="A859" s="78" t="str">
        <f aca="false">IFERROR(IF($B859="","",IF(INDEX(Einheiten!$B$4:$B$63,MATCH($B859,Einheiten!$A$4:$A$63,0))=0,"",INDEX(Einheiten!$B$4:$B$63,MATCH($B859,Einheiten!$A$4:$A$63,0)))),"")</f>
        <v/>
      </c>
      <c r="B859" s="54"/>
      <c r="C859" s="79" t="str">
        <f aca="false">IFERROR(IF($D859="","",INDEX(Übungen!$B$4:$B$23,MATCH($D859,Übungen!$A$4:$A$23,0))),"")</f>
        <v/>
      </c>
      <c r="D859" s="56"/>
      <c r="E859" s="73"/>
      <c r="F859" s="55"/>
      <c r="G859" s="74"/>
      <c r="H859" s="55"/>
      <c r="I859" s="49" t="str">
        <f aca="false">IF(AND(ISNUMBER($F859),ISNUMBER($G859),$E859&lt;&gt;"R"),$F859*$G859,"")</f>
        <v/>
      </c>
      <c r="J859" s="51" t="str">
        <f aca="false">IF(AND($E859="A",ISNUMBER($F859),ISNUMBER($G859)),$F859*(1+$G859/30),"")</f>
        <v/>
      </c>
      <c r="K859" s="56"/>
      <c r="L859" s="56"/>
    </row>
    <row r="860" customFormat="false" ht="15.75" hidden="false" customHeight="true" outlineLevel="0" collapsed="false">
      <c r="A860" s="78" t="str">
        <f aca="false">IFERROR(IF($B860="","",IF(INDEX(Einheiten!$B$4:$B$63,MATCH($B860,Einheiten!$A$4:$A$63,0))=0,"",INDEX(Einheiten!$B$4:$B$63,MATCH($B860,Einheiten!$A$4:$A$63,0)))),"")</f>
        <v/>
      </c>
      <c r="B860" s="54"/>
      <c r="C860" s="79" t="str">
        <f aca="false">IFERROR(IF($D860="","",INDEX(Übungen!$B$4:$B$23,MATCH($D860,Übungen!$A$4:$A$23,0))),"")</f>
        <v/>
      </c>
      <c r="D860" s="56"/>
      <c r="E860" s="73"/>
      <c r="F860" s="55"/>
      <c r="G860" s="74"/>
      <c r="H860" s="55"/>
      <c r="I860" s="49" t="str">
        <f aca="false">IF(AND(ISNUMBER($F860),ISNUMBER($G860),$E860&lt;&gt;"R"),$F860*$G860,"")</f>
        <v/>
      </c>
      <c r="J860" s="51" t="str">
        <f aca="false">IF(AND($E860="A",ISNUMBER($F860),ISNUMBER($G860)),$F860*(1+$G860/30),"")</f>
        <v/>
      </c>
      <c r="K860" s="56"/>
      <c r="L860" s="56"/>
    </row>
    <row r="861" customFormat="false" ht="15.75" hidden="false" customHeight="true" outlineLevel="0" collapsed="false">
      <c r="A861" s="78" t="str">
        <f aca="false">IFERROR(IF($B861="","",IF(INDEX(Einheiten!$B$4:$B$63,MATCH($B861,Einheiten!$A$4:$A$63,0))=0,"",INDEX(Einheiten!$B$4:$B$63,MATCH($B861,Einheiten!$A$4:$A$63,0)))),"")</f>
        <v/>
      </c>
      <c r="B861" s="54"/>
      <c r="C861" s="79" t="str">
        <f aca="false">IFERROR(IF($D861="","",INDEX(Übungen!$B$4:$B$23,MATCH($D861,Übungen!$A$4:$A$23,0))),"")</f>
        <v/>
      </c>
      <c r="D861" s="56"/>
      <c r="E861" s="73"/>
      <c r="F861" s="55"/>
      <c r="G861" s="74"/>
      <c r="H861" s="55"/>
      <c r="I861" s="49" t="str">
        <f aca="false">IF(AND(ISNUMBER($F861),ISNUMBER($G861),$E861&lt;&gt;"R"),$F861*$G861,"")</f>
        <v/>
      </c>
      <c r="J861" s="51" t="str">
        <f aca="false">IF(AND($E861="A",ISNUMBER($F861),ISNUMBER($G861)),$F861*(1+$G861/30),"")</f>
        <v/>
      </c>
      <c r="K861" s="56"/>
      <c r="L861" s="56"/>
    </row>
    <row r="862" customFormat="false" ht="15.75" hidden="false" customHeight="true" outlineLevel="0" collapsed="false">
      <c r="A862" s="78" t="str">
        <f aca="false">IFERROR(IF($B862="","",IF(INDEX(Einheiten!$B$4:$B$63,MATCH($B862,Einheiten!$A$4:$A$63,0))=0,"",INDEX(Einheiten!$B$4:$B$63,MATCH($B862,Einheiten!$A$4:$A$63,0)))),"")</f>
        <v/>
      </c>
      <c r="B862" s="54"/>
      <c r="C862" s="79" t="str">
        <f aca="false">IFERROR(IF($D862="","",INDEX(Übungen!$B$4:$B$23,MATCH($D862,Übungen!$A$4:$A$23,0))),"")</f>
        <v/>
      </c>
      <c r="D862" s="56"/>
      <c r="E862" s="73"/>
      <c r="F862" s="55"/>
      <c r="G862" s="74"/>
      <c r="H862" s="55"/>
      <c r="I862" s="49" t="str">
        <f aca="false">IF(AND(ISNUMBER($F862),ISNUMBER($G862),$E862&lt;&gt;"R"),$F862*$G862,"")</f>
        <v/>
      </c>
      <c r="J862" s="51" t="str">
        <f aca="false">IF(AND($E862="A",ISNUMBER($F862),ISNUMBER($G862)),$F862*(1+$G862/30),"")</f>
        <v/>
      </c>
      <c r="K862" s="56"/>
      <c r="L862" s="56"/>
    </row>
    <row r="863" customFormat="false" ht="15.75" hidden="false" customHeight="true" outlineLevel="0" collapsed="false">
      <c r="A863" s="78" t="str">
        <f aca="false">IFERROR(IF($B863="","",IF(INDEX(Einheiten!$B$4:$B$63,MATCH($B863,Einheiten!$A$4:$A$63,0))=0,"",INDEX(Einheiten!$B$4:$B$63,MATCH($B863,Einheiten!$A$4:$A$63,0)))),"")</f>
        <v/>
      </c>
      <c r="B863" s="54"/>
      <c r="C863" s="79" t="str">
        <f aca="false">IFERROR(IF($D863="","",INDEX(Übungen!$B$4:$B$23,MATCH($D863,Übungen!$A$4:$A$23,0))),"")</f>
        <v/>
      </c>
      <c r="D863" s="56"/>
      <c r="E863" s="73"/>
      <c r="F863" s="55"/>
      <c r="G863" s="74"/>
      <c r="H863" s="55"/>
      <c r="I863" s="49" t="str">
        <f aca="false">IF(AND(ISNUMBER($F863),ISNUMBER($G863),$E863&lt;&gt;"R"),$F863*$G863,"")</f>
        <v/>
      </c>
      <c r="J863" s="51" t="str">
        <f aca="false">IF(AND($E863="A",ISNUMBER($F863),ISNUMBER($G863)),$F863*(1+$G863/30),"")</f>
        <v/>
      </c>
      <c r="K863" s="56"/>
      <c r="L863" s="56"/>
    </row>
    <row r="864" customFormat="false" ht="15.75" hidden="false" customHeight="true" outlineLevel="0" collapsed="false">
      <c r="A864" s="78" t="str">
        <f aca="false">IFERROR(IF($B864="","",IF(INDEX(Einheiten!$B$4:$B$63,MATCH($B864,Einheiten!$A$4:$A$63,0))=0,"",INDEX(Einheiten!$B$4:$B$63,MATCH($B864,Einheiten!$A$4:$A$63,0)))),"")</f>
        <v/>
      </c>
      <c r="B864" s="54"/>
      <c r="C864" s="79" t="str">
        <f aca="false">IFERROR(IF($D864="","",INDEX(Übungen!$B$4:$B$23,MATCH($D864,Übungen!$A$4:$A$23,0))),"")</f>
        <v/>
      </c>
      <c r="D864" s="56"/>
      <c r="E864" s="73"/>
      <c r="F864" s="55"/>
      <c r="G864" s="74"/>
      <c r="H864" s="55"/>
      <c r="I864" s="49" t="str">
        <f aca="false">IF(AND(ISNUMBER($F864),ISNUMBER($G864),$E864&lt;&gt;"R"),$F864*$G864,"")</f>
        <v/>
      </c>
      <c r="J864" s="51" t="str">
        <f aca="false">IF(AND($E864="A",ISNUMBER($F864),ISNUMBER($G864)),$F864*(1+$G864/30),"")</f>
        <v/>
      </c>
      <c r="K864" s="56"/>
      <c r="L864" s="56"/>
    </row>
    <row r="865" customFormat="false" ht="15.75" hidden="false" customHeight="true" outlineLevel="0" collapsed="false">
      <c r="A865" s="78" t="str">
        <f aca="false">IFERROR(IF($B865="","",IF(INDEX(Einheiten!$B$4:$B$63,MATCH($B865,Einheiten!$A$4:$A$63,0))=0,"",INDEX(Einheiten!$B$4:$B$63,MATCH($B865,Einheiten!$A$4:$A$63,0)))),"")</f>
        <v/>
      </c>
      <c r="B865" s="54"/>
      <c r="C865" s="79" t="str">
        <f aca="false">IFERROR(IF($D865="","",INDEX(Übungen!$B$4:$B$23,MATCH($D865,Übungen!$A$4:$A$23,0))),"")</f>
        <v/>
      </c>
      <c r="D865" s="56"/>
      <c r="E865" s="73"/>
      <c r="F865" s="55"/>
      <c r="G865" s="74"/>
      <c r="H865" s="55"/>
      <c r="I865" s="49" t="str">
        <f aca="false">IF(AND(ISNUMBER($F865),ISNUMBER($G865),$E865&lt;&gt;"R"),$F865*$G865,"")</f>
        <v/>
      </c>
      <c r="J865" s="51" t="str">
        <f aca="false">IF(AND($E865="A",ISNUMBER($F865),ISNUMBER($G865)),$F865*(1+$G865/30),"")</f>
        <v/>
      </c>
      <c r="K865" s="56"/>
      <c r="L865" s="56"/>
    </row>
    <row r="866" customFormat="false" ht="15.75" hidden="false" customHeight="true" outlineLevel="0" collapsed="false">
      <c r="A866" s="78" t="str">
        <f aca="false">IFERROR(IF($B866="","",IF(INDEX(Einheiten!$B$4:$B$63,MATCH($B866,Einheiten!$A$4:$A$63,0))=0,"",INDEX(Einheiten!$B$4:$B$63,MATCH($B866,Einheiten!$A$4:$A$63,0)))),"")</f>
        <v/>
      </c>
      <c r="B866" s="54"/>
      <c r="C866" s="79" t="str">
        <f aca="false">IFERROR(IF($D866="","",INDEX(Übungen!$B$4:$B$23,MATCH($D866,Übungen!$A$4:$A$23,0))),"")</f>
        <v/>
      </c>
      <c r="D866" s="56"/>
      <c r="E866" s="73"/>
      <c r="F866" s="55"/>
      <c r="G866" s="74"/>
      <c r="H866" s="55"/>
      <c r="I866" s="49" t="str">
        <f aca="false">IF(AND(ISNUMBER($F866),ISNUMBER($G866),$E866&lt;&gt;"R"),$F866*$G866,"")</f>
        <v/>
      </c>
      <c r="J866" s="51" t="str">
        <f aca="false">IF(AND($E866="A",ISNUMBER($F866),ISNUMBER($G866)),$F866*(1+$G866/30),"")</f>
        <v/>
      </c>
      <c r="K866" s="56"/>
      <c r="L866" s="56"/>
    </row>
    <row r="867" customFormat="false" ht="15.75" hidden="false" customHeight="true" outlineLevel="0" collapsed="false">
      <c r="A867" s="78" t="str">
        <f aca="false">IFERROR(IF($B867="","",IF(INDEX(Einheiten!$B$4:$B$63,MATCH($B867,Einheiten!$A$4:$A$63,0))=0,"",INDEX(Einheiten!$B$4:$B$63,MATCH($B867,Einheiten!$A$4:$A$63,0)))),"")</f>
        <v/>
      </c>
      <c r="B867" s="54"/>
      <c r="C867" s="79" t="str">
        <f aca="false">IFERROR(IF($D867="","",INDEX(Übungen!$B$4:$B$23,MATCH($D867,Übungen!$A$4:$A$23,0))),"")</f>
        <v/>
      </c>
      <c r="D867" s="56"/>
      <c r="E867" s="73"/>
      <c r="F867" s="55"/>
      <c r="G867" s="74"/>
      <c r="H867" s="55"/>
      <c r="I867" s="49" t="str">
        <f aca="false">IF(AND(ISNUMBER($F867),ISNUMBER($G867),$E867&lt;&gt;"R"),$F867*$G867,"")</f>
        <v/>
      </c>
      <c r="J867" s="51" t="str">
        <f aca="false">IF(AND($E867="A",ISNUMBER($F867),ISNUMBER($G867)),$F867*(1+$G867/30),"")</f>
        <v/>
      </c>
      <c r="K867" s="56"/>
      <c r="L867" s="56"/>
    </row>
    <row r="868" customFormat="false" ht="15.75" hidden="false" customHeight="true" outlineLevel="0" collapsed="false">
      <c r="A868" s="78" t="str">
        <f aca="false">IFERROR(IF($B868="","",IF(INDEX(Einheiten!$B$4:$B$63,MATCH($B868,Einheiten!$A$4:$A$63,0))=0,"",INDEX(Einheiten!$B$4:$B$63,MATCH($B868,Einheiten!$A$4:$A$63,0)))),"")</f>
        <v/>
      </c>
      <c r="B868" s="54"/>
      <c r="C868" s="79" t="str">
        <f aca="false">IFERROR(IF($D868="","",INDEX(Übungen!$B$4:$B$23,MATCH($D868,Übungen!$A$4:$A$23,0))),"")</f>
        <v/>
      </c>
      <c r="D868" s="56"/>
      <c r="E868" s="73"/>
      <c r="F868" s="55"/>
      <c r="G868" s="74"/>
      <c r="H868" s="55"/>
      <c r="I868" s="49" t="str">
        <f aca="false">IF(AND(ISNUMBER($F868),ISNUMBER($G868),$E868&lt;&gt;"R"),$F868*$G868,"")</f>
        <v/>
      </c>
      <c r="J868" s="51" t="str">
        <f aca="false">IF(AND($E868="A",ISNUMBER($F868),ISNUMBER($G868)),$F868*(1+$G868/30),"")</f>
        <v/>
      </c>
      <c r="K868" s="56"/>
      <c r="L868" s="56"/>
    </row>
    <row r="869" customFormat="false" ht="15.75" hidden="false" customHeight="true" outlineLevel="0" collapsed="false">
      <c r="A869" s="78" t="str">
        <f aca="false">IFERROR(IF($B869="","",IF(INDEX(Einheiten!$B$4:$B$63,MATCH($B869,Einheiten!$A$4:$A$63,0))=0,"",INDEX(Einheiten!$B$4:$B$63,MATCH($B869,Einheiten!$A$4:$A$63,0)))),"")</f>
        <v/>
      </c>
      <c r="B869" s="54"/>
      <c r="C869" s="79" t="str">
        <f aca="false">IFERROR(IF($D869="","",INDEX(Übungen!$B$4:$B$23,MATCH($D869,Übungen!$A$4:$A$23,0))),"")</f>
        <v/>
      </c>
      <c r="D869" s="56"/>
      <c r="E869" s="73"/>
      <c r="F869" s="55"/>
      <c r="G869" s="74"/>
      <c r="H869" s="55"/>
      <c r="I869" s="49" t="str">
        <f aca="false">IF(AND(ISNUMBER($F869),ISNUMBER($G869),$E869&lt;&gt;"R"),$F869*$G869,"")</f>
        <v/>
      </c>
      <c r="J869" s="51" t="str">
        <f aca="false">IF(AND($E869="A",ISNUMBER($F869),ISNUMBER($G869)),$F869*(1+$G869/30),"")</f>
        <v/>
      </c>
      <c r="K869" s="56"/>
      <c r="L869" s="56"/>
    </row>
    <row r="870" customFormat="false" ht="15.75" hidden="false" customHeight="true" outlineLevel="0" collapsed="false">
      <c r="A870" s="78" t="str">
        <f aca="false">IFERROR(IF($B870="","",IF(INDEX(Einheiten!$B$4:$B$63,MATCH($B870,Einheiten!$A$4:$A$63,0))=0,"",INDEX(Einheiten!$B$4:$B$63,MATCH($B870,Einheiten!$A$4:$A$63,0)))),"")</f>
        <v/>
      </c>
      <c r="B870" s="54"/>
      <c r="C870" s="79" t="str">
        <f aca="false">IFERROR(IF($D870="","",INDEX(Übungen!$B$4:$B$23,MATCH($D870,Übungen!$A$4:$A$23,0))),"")</f>
        <v/>
      </c>
      <c r="D870" s="56"/>
      <c r="E870" s="73"/>
      <c r="F870" s="55"/>
      <c r="G870" s="74"/>
      <c r="H870" s="55"/>
      <c r="I870" s="49" t="str">
        <f aca="false">IF(AND(ISNUMBER($F870),ISNUMBER($G870),$E870&lt;&gt;"R"),$F870*$G870,"")</f>
        <v/>
      </c>
      <c r="J870" s="51" t="str">
        <f aca="false">IF(AND($E870="A",ISNUMBER($F870),ISNUMBER($G870)),$F870*(1+$G870/30),"")</f>
        <v/>
      </c>
      <c r="K870" s="56"/>
      <c r="L870" s="56"/>
    </row>
    <row r="871" customFormat="false" ht="15.75" hidden="false" customHeight="true" outlineLevel="0" collapsed="false">
      <c r="A871" s="78" t="str">
        <f aca="false">IFERROR(IF($B871="","",IF(INDEX(Einheiten!$B$4:$B$63,MATCH($B871,Einheiten!$A$4:$A$63,0))=0,"",INDEX(Einheiten!$B$4:$B$63,MATCH($B871,Einheiten!$A$4:$A$63,0)))),"")</f>
        <v/>
      </c>
      <c r="B871" s="54"/>
      <c r="C871" s="79" t="str">
        <f aca="false">IFERROR(IF($D871="","",INDEX(Übungen!$B$4:$B$23,MATCH($D871,Übungen!$A$4:$A$23,0))),"")</f>
        <v/>
      </c>
      <c r="D871" s="56"/>
      <c r="E871" s="73"/>
      <c r="F871" s="55"/>
      <c r="G871" s="74"/>
      <c r="H871" s="55"/>
      <c r="I871" s="49" t="str">
        <f aca="false">IF(AND(ISNUMBER($F871),ISNUMBER($G871),$E871&lt;&gt;"R"),$F871*$G871,"")</f>
        <v/>
      </c>
      <c r="J871" s="51" t="str">
        <f aca="false">IF(AND($E871="A",ISNUMBER($F871),ISNUMBER($G871)),$F871*(1+$G871/30),"")</f>
        <v/>
      </c>
      <c r="K871" s="56"/>
      <c r="L871" s="56"/>
    </row>
    <row r="872" customFormat="false" ht="15.75" hidden="false" customHeight="true" outlineLevel="0" collapsed="false">
      <c r="A872" s="78" t="str">
        <f aca="false">IFERROR(IF($B872="","",IF(INDEX(Einheiten!$B$4:$B$63,MATCH($B872,Einheiten!$A$4:$A$63,0))=0,"",INDEX(Einheiten!$B$4:$B$63,MATCH($B872,Einheiten!$A$4:$A$63,0)))),"")</f>
        <v/>
      </c>
      <c r="B872" s="54"/>
      <c r="C872" s="79" t="str">
        <f aca="false">IFERROR(IF($D872="","",INDEX(Übungen!$B$4:$B$23,MATCH($D872,Übungen!$A$4:$A$23,0))),"")</f>
        <v/>
      </c>
      <c r="D872" s="56"/>
      <c r="E872" s="73"/>
      <c r="F872" s="55"/>
      <c r="G872" s="74"/>
      <c r="H872" s="55"/>
      <c r="I872" s="49" t="str">
        <f aca="false">IF(AND(ISNUMBER($F872),ISNUMBER($G872),$E872&lt;&gt;"R"),$F872*$G872,"")</f>
        <v/>
      </c>
      <c r="J872" s="51" t="str">
        <f aca="false">IF(AND($E872="A",ISNUMBER($F872),ISNUMBER($G872)),$F872*(1+$G872/30),"")</f>
        <v/>
      </c>
      <c r="K872" s="56"/>
      <c r="L872" s="56"/>
    </row>
    <row r="873" customFormat="false" ht="15.75" hidden="false" customHeight="true" outlineLevel="0" collapsed="false">
      <c r="A873" s="78" t="str">
        <f aca="false">IFERROR(IF($B873="","",IF(INDEX(Einheiten!$B$4:$B$63,MATCH($B873,Einheiten!$A$4:$A$63,0))=0,"",INDEX(Einheiten!$B$4:$B$63,MATCH($B873,Einheiten!$A$4:$A$63,0)))),"")</f>
        <v/>
      </c>
      <c r="B873" s="54"/>
      <c r="C873" s="79" t="str">
        <f aca="false">IFERROR(IF($D873="","",INDEX(Übungen!$B$4:$B$23,MATCH($D873,Übungen!$A$4:$A$23,0))),"")</f>
        <v/>
      </c>
      <c r="D873" s="56"/>
      <c r="E873" s="73"/>
      <c r="F873" s="55"/>
      <c r="G873" s="74"/>
      <c r="H873" s="55"/>
      <c r="I873" s="49" t="str">
        <f aca="false">IF(AND(ISNUMBER($F873),ISNUMBER($G873),$E873&lt;&gt;"R"),$F873*$G873,"")</f>
        <v/>
      </c>
      <c r="J873" s="51" t="str">
        <f aca="false">IF(AND($E873="A",ISNUMBER($F873),ISNUMBER($G873)),$F873*(1+$G873/30),"")</f>
        <v/>
      </c>
      <c r="K873" s="56"/>
      <c r="L873" s="56"/>
    </row>
    <row r="874" customFormat="false" ht="15.75" hidden="false" customHeight="true" outlineLevel="0" collapsed="false">
      <c r="A874" s="78" t="str">
        <f aca="false">IFERROR(IF($B874="","",IF(INDEX(Einheiten!$B$4:$B$63,MATCH($B874,Einheiten!$A$4:$A$63,0))=0,"",INDEX(Einheiten!$B$4:$B$63,MATCH($B874,Einheiten!$A$4:$A$63,0)))),"")</f>
        <v/>
      </c>
      <c r="B874" s="54"/>
      <c r="C874" s="79" t="str">
        <f aca="false">IFERROR(IF($D874="","",INDEX(Übungen!$B$4:$B$23,MATCH($D874,Übungen!$A$4:$A$23,0))),"")</f>
        <v/>
      </c>
      <c r="D874" s="56"/>
      <c r="E874" s="73"/>
      <c r="F874" s="55"/>
      <c r="G874" s="74"/>
      <c r="H874" s="55"/>
      <c r="I874" s="49" t="str">
        <f aca="false">IF(AND(ISNUMBER($F874),ISNUMBER($G874),$E874&lt;&gt;"R"),$F874*$G874,"")</f>
        <v/>
      </c>
      <c r="J874" s="51" t="str">
        <f aca="false">IF(AND($E874="A",ISNUMBER($F874),ISNUMBER($G874)),$F874*(1+$G874/30),"")</f>
        <v/>
      </c>
      <c r="K874" s="56"/>
      <c r="L874" s="56"/>
    </row>
    <row r="875" customFormat="false" ht="15.75" hidden="false" customHeight="true" outlineLevel="0" collapsed="false">
      <c r="A875" s="78" t="str">
        <f aca="false">IFERROR(IF($B875="","",IF(INDEX(Einheiten!$B$4:$B$63,MATCH($B875,Einheiten!$A$4:$A$63,0))=0,"",INDEX(Einheiten!$B$4:$B$63,MATCH($B875,Einheiten!$A$4:$A$63,0)))),"")</f>
        <v/>
      </c>
      <c r="B875" s="54"/>
      <c r="C875" s="79" t="str">
        <f aca="false">IFERROR(IF($D875="","",INDEX(Übungen!$B$4:$B$23,MATCH($D875,Übungen!$A$4:$A$23,0))),"")</f>
        <v/>
      </c>
      <c r="D875" s="56"/>
      <c r="E875" s="73"/>
      <c r="F875" s="55"/>
      <c r="G875" s="74"/>
      <c r="H875" s="55"/>
      <c r="I875" s="49" t="str">
        <f aca="false">IF(AND(ISNUMBER($F875),ISNUMBER($G875),$E875&lt;&gt;"R"),$F875*$G875,"")</f>
        <v/>
      </c>
      <c r="J875" s="51" t="str">
        <f aca="false">IF(AND($E875="A",ISNUMBER($F875),ISNUMBER($G875)),$F875*(1+$G875/30),"")</f>
        <v/>
      </c>
      <c r="K875" s="56"/>
      <c r="L875" s="56"/>
    </row>
    <row r="876" customFormat="false" ht="15.75" hidden="false" customHeight="true" outlineLevel="0" collapsed="false">
      <c r="A876" s="78" t="str">
        <f aca="false">IFERROR(IF($B876="","",IF(INDEX(Einheiten!$B$4:$B$63,MATCH($B876,Einheiten!$A$4:$A$63,0))=0,"",INDEX(Einheiten!$B$4:$B$63,MATCH($B876,Einheiten!$A$4:$A$63,0)))),"")</f>
        <v/>
      </c>
      <c r="B876" s="54"/>
      <c r="C876" s="79" t="str">
        <f aca="false">IFERROR(IF($D876="","",INDEX(Übungen!$B$4:$B$23,MATCH($D876,Übungen!$A$4:$A$23,0))),"")</f>
        <v/>
      </c>
      <c r="D876" s="56"/>
      <c r="E876" s="73"/>
      <c r="F876" s="55"/>
      <c r="G876" s="74"/>
      <c r="H876" s="55"/>
      <c r="I876" s="49" t="str">
        <f aca="false">IF(AND(ISNUMBER($F876),ISNUMBER($G876),$E876&lt;&gt;"R"),$F876*$G876,"")</f>
        <v/>
      </c>
      <c r="J876" s="51" t="str">
        <f aca="false">IF(AND($E876="A",ISNUMBER($F876),ISNUMBER($G876)),$F876*(1+$G876/30),"")</f>
        <v/>
      </c>
      <c r="K876" s="56"/>
      <c r="L876" s="56"/>
    </row>
    <row r="877" customFormat="false" ht="15.75" hidden="false" customHeight="true" outlineLevel="0" collapsed="false">
      <c r="A877" s="78" t="str">
        <f aca="false">IFERROR(IF($B877="","",IF(INDEX(Einheiten!$B$4:$B$63,MATCH($B877,Einheiten!$A$4:$A$63,0))=0,"",INDEX(Einheiten!$B$4:$B$63,MATCH($B877,Einheiten!$A$4:$A$63,0)))),"")</f>
        <v/>
      </c>
      <c r="B877" s="54"/>
      <c r="C877" s="79" t="str">
        <f aca="false">IFERROR(IF($D877="","",INDEX(Übungen!$B$4:$B$23,MATCH($D877,Übungen!$A$4:$A$23,0))),"")</f>
        <v/>
      </c>
      <c r="D877" s="56"/>
      <c r="E877" s="73"/>
      <c r="F877" s="55"/>
      <c r="G877" s="74"/>
      <c r="H877" s="55"/>
      <c r="I877" s="49" t="str">
        <f aca="false">IF(AND(ISNUMBER($F877),ISNUMBER($G877),$E877&lt;&gt;"R"),$F877*$G877,"")</f>
        <v/>
      </c>
      <c r="J877" s="51" t="str">
        <f aca="false">IF(AND($E877="A",ISNUMBER($F877),ISNUMBER($G877)),$F877*(1+$G877/30),"")</f>
        <v/>
      </c>
      <c r="K877" s="56"/>
      <c r="L877" s="56"/>
    </row>
    <row r="878" customFormat="false" ht="15.75" hidden="false" customHeight="true" outlineLevel="0" collapsed="false">
      <c r="A878" s="78" t="str">
        <f aca="false">IFERROR(IF($B878="","",IF(INDEX(Einheiten!$B$4:$B$63,MATCH($B878,Einheiten!$A$4:$A$63,0))=0,"",INDEX(Einheiten!$B$4:$B$63,MATCH($B878,Einheiten!$A$4:$A$63,0)))),"")</f>
        <v/>
      </c>
      <c r="B878" s="54"/>
      <c r="C878" s="79" t="str">
        <f aca="false">IFERROR(IF($D878="","",INDEX(Übungen!$B$4:$B$23,MATCH($D878,Übungen!$A$4:$A$23,0))),"")</f>
        <v/>
      </c>
      <c r="D878" s="56"/>
      <c r="E878" s="73"/>
      <c r="F878" s="55"/>
      <c r="G878" s="74"/>
      <c r="H878" s="55"/>
      <c r="I878" s="49" t="str">
        <f aca="false">IF(AND(ISNUMBER($F878),ISNUMBER($G878),$E878&lt;&gt;"R"),$F878*$G878,"")</f>
        <v/>
      </c>
      <c r="J878" s="51" t="str">
        <f aca="false">IF(AND($E878="A",ISNUMBER($F878),ISNUMBER($G878)),$F878*(1+$G878/30),"")</f>
        <v/>
      </c>
      <c r="K878" s="56"/>
      <c r="L878" s="56"/>
    </row>
    <row r="879" customFormat="false" ht="15.75" hidden="false" customHeight="true" outlineLevel="0" collapsed="false">
      <c r="A879" s="78" t="str">
        <f aca="false">IFERROR(IF($B879="","",IF(INDEX(Einheiten!$B$4:$B$63,MATCH($B879,Einheiten!$A$4:$A$63,0))=0,"",INDEX(Einheiten!$B$4:$B$63,MATCH($B879,Einheiten!$A$4:$A$63,0)))),"")</f>
        <v/>
      </c>
      <c r="B879" s="54"/>
      <c r="C879" s="79" t="str">
        <f aca="false">IFERROR(IF($D879="","",INDEX(Übungen!$B$4:$B$23,MATCH($D879,Übungen!$A$4:$A$23,0))),"")</f>
        <v/>
      </c>
      <c r="D879" s="56"/>
      <c r="E879" s="73"/>
      <c r="F879" s="55"/>
      <c r="G879" s="74"/>
      <c r="H879" s="55"/>
      <c r="I879" s="49" t="str">
        <f aca="false">IF(AND(ISNUMBER($F879),ISNUMBER($G879),$E879&lt;&gt;"R"),$F879*$G879,"")</f>
        <v/>
      </c>
      <c r="J879" s="51" t="str">
        <f aca="false">IF(AND($E879="A",ISNUMBER($F879),ISNUMBER($G879)),$F879*(1+$G879/30),"")</f>
        <v/>
      </c>
      <c r="K879" s="56"/>
      <c r="L879" s="56"/>
    </row>
    <row r="880" customFormat="false" ht="15.75" hidden="false" customHeight="true" outlineLevel="0" collapsed="false">
      <c r="A880" s="78" t="str">
        <f aca="false">IFERROR(IF($B880="","",IF(INDEX(Einheiten!$B$4:$B$63,MATCH($B880,Einheiten!$A$4:$A$63,0))=0,"",INDEX(Einheiten!$B$4:$B$63,MATCH($B880,Einheiten!$A$4:$A$63,0)))),"")</f>
        <v/>
      </c>
      <c r="B880" s="54"/>
      <c r="C880" s="79" t="str">
        <f aca="false">IFERROR(IF($D880="","",INDEX(Übungen!$B$4:$B$23,MATCH($D880,Übungen!$A$4:$A$23,0))),"")</f>
        <v/>
      </c>
      <c r="D880" s="56"/>
      <c r="E880" s="73"/>
      <c r="F880" s="55"/>
      <c r="G880" s="74"/>
      <c r="H880" s="55"/>
      <c r="I880" s="49" t="str">
        <f aca="false">IF(AND(ISNUMBER($F880),ISNUMBER($G880),$E880&lt;&gt;"R"),$F880*$G880,"")</f>
        <v/>
      </c>
      <c r="J880" s="51" t="str">
        <f aca="false">IF(AND($E880="A",ISNUMBER($F880),ISNUMBER($G880)),$F880*(1+$G880/30),"")</f>
        <v/>
      </c>
      <c r="K880" s="56"/>
      <c r="L880" s="56"/>
    </row>
    <row r="881" customFormat="false" ht="15.75" hidden="false" customHeight="true" outlineLevel="0" collapsed="false">
      <c r="A881" s="78" t="str">
        <f aca="false">IFERROR(IF($B881="","",IF(INDEX(Einheiten!$B$4:$B$63,MATCH($B881,Einheiten!$A$4:$A$63,0))=0,"",INDEX(Einheiten!$B$4:$B$63,MATCH($B881,Einheiten!$A$4:$A$63,0)))),"")</f>
        <v/>
      </c>
      <c r="B881" s="54"/>
      <c r="C881" s="79" t="str">
        <f aca="false">IFERROR(IF($D881="","",INDEX(Übungen!$B$4:$B$23,MATCH($D881,Übungen!$A$4:$A$23,0))),"")</f>
        <v/>
      </c>
      <c r="D881" s="56"/>
      <c r="E881" s="73"/>
      <c r="F881" s="55"/>
      <c r="G881" s="74"/>
      <c r="H881" s="55"/>
      <c r="I881" s="49" t="str">
        <f aca="false">IF(AND(ISNUMBER($F881),ISNUMBER($G881),$E881&lt;&gt;"R"),$F881*$G881,"")</f>
        <v/>
      </c>
      <c r="J881" s="51" t="str">
        <f aca="false">IF(AND($E881="A",ISNUMBER($F881),ISNUMBER($G881)),$F881*(1+$G881/30),"")</f>
        <v/>
      </c>
      <c r="K881" s="56"/>
      <c r="L881" s="56"/>
    </row>
    <row r="882" customFormat="false" ht="15.75" hidden="false" customHeight="true" outlineLevel="0" collapsed="false">
      <c r="A882" s="78" t="str">
        <f aca="false">IFERROR(IF($B882="","",IF(INDEX(Einheiten!$B$4:$B$63,MATCH($B882,Einheiten!$A$4:$A$63,0))=0,"",INDEX(Einheiten!$B$4:$B$63,MATCH($B882,Einheiten!$A$4:$A$63,0)))),"")</f>
        <v/>
      </c>
      <c r="B882" s="54"/>
      <c r="C882" s="79" t="str">
        <f aca="false">IFERROR(IF($D882="","",INDEX(Übungen!$B$4:$B$23,MATCH($D882,Übungen!$A$4:$A$23,0))),"")</f>
        <v/>
      </c>
      <c r="D882" s="56"/>
      <c r="E882" s="73"/>
      <c r="F882" s="55"/>
      <c r="G882" s="74"/>
      <c r="H882" s="55"/>
      <c r="I882" s="49" t="str">
        <f aca="false">IF(AND(ISNUMBER($F882),ISNUMBER($G882),$E882&lt;&gt;"R"),$F882*$G882,"")</f>
        <v/>
      </c>
      <c r="J882" s="51" t="str">
        <f aca="false">IF(AND($E882="A",ISNUMBER($F882),ISNUMBER($G882)),$F882*(1+$G882/30),"")</f>
        <v/>
      </c>
      <c r="K882" s="56"/>
      <c r="L882" s="56"/>
    </row>
    <row r="883" customFormat="false" ht="15.75" hidden="false" customHeight="true" outlineLevel="0" collapsed="false">
      <c r="A883" s="78" t="str">
        <f aca="false">IFERROR(IF($B883="","",IF(INDEX(Einheiten!$B$4:$B$63,MATCH($B883,Einheiten!$A$4:$A$63,0))=0,"",INDEX(Einheiten!$B$4:$B$63,MATCH($B883,Einheiten!$A$4:$A$63,0)))),"")</f>
        <v/>
      </c>
      <c r="B883" s="54"/>
      <c r="C883" s="79" t="str">
        <f aca="false">IFERROR(IF($D883="","",INDEX(Übungen!$B$4:$B$23,MATCH($D883,Übungen!$A$4:$A$23,0))),"")</f>
        <v/>
      </c>
      <c r="D883" s="56"/>
      <c r="E883" s="73"/>
      <c r="F883" s="55"/>
      <c r="G883" s="74"/>
      <c r="H883" s="55"/>
      <c r="I883" s="49" t="str">
        <f aca="false">IF(AND(ISNUMBER($F883),ISNUMBER($G883),$E883&lt;&gt;"R"),$F883*$G883,"")</f>
        <v/>
      </c>
      <c r="J883" s="51" t="str">
        <f aca="false">IF(AND($E883="A",ISNUMBER($F883),ISNUMBER($G883)),$F883*(1+$G883/30),"")</f>
        <v/>
      </c>
      <c r="K883" s="56"/>
      <c r="L883" s="56"/>
    </row>
    <row r="884" customFormat="false" ht="15.75" hidden="false" customHeight="true" outlineLevel="0" collapsed="false">
      <c r="A884" s="78" t="str">
        <f aca="false">IFERROR(IF($B884="","",IF(INDEX(Einheiten!$B$4:$B$63,MATCH($B884,Einheiten!$A$4:$A$63,0))=0,"",INDEX(Einheiten!$B$4:$B$63,MATCH($B884,Einheiten!$A$4:$A$63,0)))),"")</f>
        <v/>
      </c>
      <c r="B884" s="54"/>
      <c r="C884" s="79" t="str">
        <f aca="false">IFERROR(IF($D884="","",INDEX(Übungen!$B$4:$B$23,MATCH($D884,Übungen!$A$4:$A$23,0))),"")</f>
        <v/>
      </c>
      <c r="D884" s="56"/>
      <c r="E884" s="73"/>
      <c r="F884" s="55"/>
      <c r="G884" s="74"/>
      <c r="H884" s="55"/>
      <c r="I884" s="49" t="str">
        <f aca="false">IF(AND(ISNUMBER($F884),ISNUMBER($G884),$E884&lt;&gt;"R"),$F884*$G884,"")</f>
        <v/>
      </c>
      <c r="J884" s="51" t="str">
        <f aca="false">IF(AND($E884="A",ISNUMBER($F884),ISNUMBER($G884)),$F884*(1+$G884/30),"")</f>
        <v/>
      </c>
      <c r="K884" s="56"/>
      <c r="L884" s="56"/>
    </row>
    <row r="885" customFormat="false" ht="15.75" hidden="false" customHeight="true" outlineLevel="0" collapsed="false">
      <c r="A885" s="78" t="str">
        <f aca="false">IFERROR(IF($B885="","",IF(INDEX(Einheiten!$B$4:$B$63,MATCH($B885,Einheiten!$A$4:$A$63,0))=0,"",INDEX(Einheiten!$B$4:$B$63,MATCH($B885,Einheiten!$A$4:$A$63,0)))),"")</f>
        <v/>
      </c>
      <c r="B885" s="54"/>
      <c r="C885" s="79" t="str">
        <f aca="false">IFERROR(IF($D885="","",INDEX(Übungen!$B$4:$B$23,MATCH($D885,Übungen!$A$4:$A$23,0))),"")</f>
        <v/>
      </c>
      <c r="D885" s="56"/>
      <c r="E885" s="73"/>
      <c r="F885" s="55"/>
      <c r="G885" s="74"/>
      <c r="H885" s="55"/>
      <c r="I885" s="49" t="str">
        <f aca="false">IF(AND(ISNUMBER($F885),ISNUMBER($G885),$E885&lt;&gt;"R"),$F885*$G885,"")</f>
        <v/>
      </c>
      <c r="J885" s="51" t="str">
        <f aca="false">IF(AND($E885="A",ISNUMBER($F885),ISNUMBER($G885)),$F885*(1+$G885/30),"")</f>
        <v/>
      </c>
      <c r="K885" s="56"/>
      <c r="L885" s="56"/>
    </row>
    <row r="886" customFormat="false" ht="15.75" hidden="false" customHeight="true" outlineLevel="0" collapsed="false">
      <c r="A886" s="78" t="str">
        <f aca="false">IFERROR(IF($B886="","",IF(INDEX(Einheiten!$B$4:$B$63,MATCH($B886,Einheiten!$A$4:$A$63,0))=0,"",INDEX(Einheiten!$B$4:$B$63,MATCH($B886,Einheiten!$A$4:$A$63,0)))),"")</f>
        <v/>
      </c>
      <c r="B886" s="54"/>
      <c r="C886" s="79" t="str">
        <f aca="false">IFERROR(IF($D886="","",INDEX(Übungen!$B$4:$B$23,MATCH($D886,Übungen!$A$4:$A$23,0))),"")</f>
        <v/>
      </c>
      <c r="D886" s="56"/>
      <c r="E886" s="73"/>
      <c r="F886" s="55"/>
      <c r="G886" s="74"/>
      <c r="H886" s="55"/>
      <c r="I886" s="49" t="str">
        <f aca="false">IF(AND(ISNUMBER($F886),ISNUMBER($G886),$E886&lt;&gt;"R"),$F886*$G886,"")</f>
        <v/>
      </c>
      <c r="J886" s="51" t="str">
        <f aca="false">IF(AND($E886="A",ISNUMBER($F886),ISNUMBER($G886)),$F886*(1+$G886/30),"")</f>
        <v/>
      </c>
      <c r="K886" s="56"/>
      <c r="L886" s="56"/>
    </row>
    <row r="887" customFormat="false" ht="15.75" hidden="false" customHeight="true" outlineLevel="0" collapsed="false">
      <c r="A887" s="78" t="str">
        <f aca="false">IFERROR(IF($B887="","",IF(INDEX(Einheiten!$B$4:$B$63,MATCH($B887,Einheiten!$A$4:$A$63,0))=0,"",INDEX(Einheiten!$B$4:$B$63,MATCH($B887,Einheiten!$A$4:$A$63,0)))),"")</f>
        <v/>
      </c>
      <c r="B887" s="54"/>
      <c r="C887" s="79" t="str">
        <f aca="false">IFERROR(IF($D887="","",INDEX(Übungen!$B$4:$B$23,MATCH($D887,Übungen!$A$4:$A$23,0))),"")</f>
        <v/>
      </c>
      <c r="D887" s="56"/>
      <c r="E887" s="73"/>
      <c r="F887" s="55"/>
      <c r="G887" s="74"/>
      <c r="H887" s="55"/>
      <c r="I887" s="49" t="str">
        <f aca="false">IF(AND(ISNUMBER($F887),ISNUMBER($G887),$E887&lt;&gt;"R"),$F887*$G887,"")</f>
        <v/>
      </c>
      <c r="J887" s="51" t="str">
        <f aca="false">IF(AND($E887="A",ISNUMBER($F887),ISNUMBER($G887)),$F887*(1+$G887/30),"")</f>
        <v/>
      </c>
      <c r="K887" s="56"/>
      <c r="L887" s="56"/>
    </row>
    <row r="888" customFormat="false" ht="15.75" hidden="false" customHeight="true" outlineLevel="0" collapsed="false">
      <c r="A888" s="78" t="str">
        <f aca="false">IFERROR(IF($B888="","",IF(INDEX(Einheiten!$B$4:$B$63,MATCH($B888,Einheiten!$A$4:$A$63,0))=0,"",INDEX(Einheiten!$B$4:$B$63,MATCH($B888,Einheiten!$A$4:$A$63,0)))),"")</f>
        <v/>
      </c>
      <c r="B888" s="54"/>
      <c r="C888" s="79" t="str">
        <f aca="false">IFERROR(IF($D888="","",INDEX(Übungen!$B$4:$B$23,MATCH($D888,Übungen!$A$4:$A$23,0))),"")</f>
        <v/>
      </c>
      <c r="D888" s="56"/>
      <c r="E888" s="73"/>
      <c r="F888" s="55"/>
      <c r="G888" s="74"/>
      <c r="H888" s="55"/>
      <c r="I888" s="49" t="str">
        <f aca="false">IF(AND(ISNUMBER($F888),ISNUMBER($G888),$E888&lt;&gt;"R"),$F888*$G888,"")</f>
        <v/>
      </c>
      <c r="J888" s="51" t="str">
        <f aca="false">IF(AND($E888="A",ISNUMBER($F888),ISNUMBER($G888)),$F888*(1+$G888/30),"")</f>
        <v/>
      </c>
      <c r="K888" s="56"/>
      <c r="L888" s="56"/>
    </row>
    <row r="889" customFormat="false" ht="15.75" hidden="false" customHeight="true" outlineLevel="0" collapsed="false">
      <c r="A889" s="78" t="str">
        <f aca="false">IFERROR(IF($B889="","",IF(INDEX(Einheiten!$B$4:$B$63,MATCH($B889,Einheiten!$A$4:$A$63,0))=0,"",INDEX(Einheiten!$B$4:$B$63,MATCH($B889,Einheiten!$A$4:$A$63,0)))),"")</f>
        <v/>
      </c>
      <c r="B889" s="54"/>
      <c r="C889" s="79" t="str">
        <f aca="false">IFERROR(IF($D889="","",INDEX(Übungen!$B$4:$B$23,MATCH($D889,Übungen!$A$4:$A$23,0))),"")</f>
        <v/>
      </c>
      <c r="D889" s="56"/>
      <c r="E889" s="73"/>
      <c r="F889" s="55"/>
      <c r="G889" s="74"/>
      <c r="H889" s="55"/>
      <c r="I889" s="49" t="str">
        <f aca="false">IF(AND(ISNUMBER($F889),ISNUMBER($G889),$E889&lt;&gt;"R"),$F889*$G889,"")</f>
        <v/>
      </c>
      <c r="J889" s="51" t="str">
        <f aca="false">IF(AND($E889="A",ISNUMBER($F889),ISNUMBER($G889)),$F889*(1+$G889/30),"")</f>
        <v/>
      </c>
      <c r="K889" s="56"/>
      <c r="L889" s="56"/>
    </row>
    <row r="890" customFormat="false" ht="15.75" hidden="false" customHeight="true" outlineLevel="0" collapsed="false">
      <c r="A890" s="78" t="str">
        <f aca="false">IFERROR(IF($B890="","",IF(INDEX(Einheiten!$B$4:$B$63,MATCH($B890,Einheiten!$A$4:$A$63,0))=0,"",INDEX(Einheiten!$B$4:$B$63,MATCH($B890,Einheiten!$A$4:$A$63,0)))),"")</f>
        <v/>
      </c>
      <c r="B890" s="54"/>
      <c r="C890" s="79" t="str">
        <f aca="false">IFERROR(IF($D890="","",INDEX(Übungen!$B$4:$B$23,MATCH($D890,Übungen!$A$4:$A$23,0))),"")</f>
        <v/>
      </c>
      <c r="D890" s="56"/>
      <c r="E890" s="73"/>
      <c r="F890" s="55"/>
      <c r="G890" s="74"/>
      <c r="H890" s="55"/>
      <c r="I890" s="49" t="str">
        <f aca="false">IF(AND(ISNUMBER($F890),ISNUMBER($G890),$E890&lt;&gt;"R"),$F890*$G890,"")</f>
        <v/>
      </c>
      <c r="J890" s="51" t="str">
        <f aca="false">IF(AND($E890="A",ISNUMBER($F890),ISNUMBER($G890)),$F890*(1+$G890/30),"")</f>
        <v/>
      </c>
      <c r="K890" s="56"/>
      <c r="L890" s="56"/>
    </row>
    <row r="891" customFormat="false" ht="15.75" hidden="false" customHeight="true" outlineLevel="0" collapsed="false">
      <c r="A891" s="78" t="str">
        <f aca="false">IFERROR(IF($B891="","",IF(INDEX(Einheiten!$B$4:$B$63,MATCH($B891,Einheiten!$A$4:$A$63,0))=0,"",INDEX(Einheiten!$B$4:$B$63,MATCH($B891,Einheiten!$A$4:$A$63,0)))),"")</f>
        <v/>
      </c>
      <c r="B891" s="54"/>
      <c r="C891" s="79" t="str">
        <f aca="false">IFERROR(IF($D891="","",INDEX(Übungen!$B$4:$B$23,MATCH($D891,Übungen!$A$4:$A$23,0))),"")</f>
        <v/>
      </c>
      <c r="D891" s="56"/>
      <c r="E891" s="73"/>
      <c r="F891" s="55"/>
      <c r="G891" s="74"/>
      <c r="H891" s="55"/>
      <c r="I891" s="49" t="str">
        <f aca="false">IF(AND(ISNUMBER($F891),ISNUMBER($G891),$E891&lt;&gt;"R"),$F891*$G891,"")</f>
        <v/>
      </c>
      <c r="J891" s="51" t="str">
        <f aca="false">IF(AND($E891="A",ISNUMBER($F891),ISNUMBER($G891)),$F891*(1+$G891/30),"")</f>
        <v/>
      </c>
      <c r="K891" s="56"/>
      <c r="L891" s="56"/>
    </row>
    <row r="892" customFormat="false" ht="15.75" hidden="false" customHeight="true" outlineLevel="0" collapsed="false">
      <c r="A892" s="78" t="str">
        <f aca="false">IFERROR(IF($B892="","",IF(INDEX(Einheiten!$B$4:$B$63,MATCH($B892,Einheiten!$A$4:$A$63,0))=0,"",INDEX(Einheiten!$B$4:$B$63,MATCH($B892,Einheiten!$A$4:$A$63,0)))),"")</f>
        <v/>
      </c>
      <c r="B892" s="54"/>
      <c r="C892" s="79" t="str">
        <f aca="false">IFERROR(IF($D892="","",INDEX(Übungen!$B$4:$B$23,MATCH($D892,Übungen!$A$4:$A$23,0))),"")</f>
        <v/>
      </c>
      <c r="D892" s="56"/>
      <c r="E892" s="73"/>
      <c r="F892" s="55"/>
      <c r="G892" s="74"/>
      <c r="H892" s="55"/>
      <c r="I892" s="49" t="str">
        <f aca="false">IF(AND(ISNUMBER($F892),ISNUMBER($G892),$E892&lt;&gt;"R"),$F892*$G892,"")</f>
        <v/>
      </c>
      <c r="J892" s="51" t="str">
        <f aca="false">IF(AND($E892="A",ISNUMBER($F892),ISNUMBER($G892)),$F892*(1+$G892/30),"")</f>
        <v/>
      </c>
      <c r="K892" s="56"/>
      <c r="L892" s="56"/>
    </row>
    <row r="893" customFormat="false" ht="15.75" hidden="false" customHeight="true" outlineLevel="0" collapsed="false">
      <c r="A893" s="78" t="str">
        <f aca="false">IFERROR(IF($B893="","",IF(INDEX(Einheiten!$B$4:$B$63,MATCH($B893,Einheiten!$A$4:$A$63,0))=0,"",INDEX(Einheiten!$B$4:$B$63,MATCH($B893,Einheiten!$A$4:$A$63,0)))),"")</f>
        <v/>
      </c>
      <c r="B893" s="54"/>
      <c r="C893" s="79" t="str">
        <f aca="false">IFERROR(IF($D893="","",INDEX(Übungen!$B$4:$B$23,MATCH($D893,Übungen!$A$4:$A$23,0))),"")</f>
        <v/>
      </c>
      <c r="D893" s="56"/>
      <c r="E893" s="73"/>
      <c r="F893" s="55"/>
      <c r="G893" s="74"/>
      <c r="H893" s="55"/>
      <c r="I893" s="49" t="str">
        <f aca="false">IF(AND(ISNUMBER($F893),ISNUMBER($G893),$E893&lt;&gt;"R"),$F893*$G893,"")</f>
        <v/>
      </c>
      <c r="J893" s="51" t="str">
        <f aca="false">IF(AND($E893="A",ISNUMBER($F893),ISNUMBER($G893)),$F893*(1+$G893/30),"")</f>
        <v/>
      </c>
      <c r="K893" s="56"/>
      <c r="L893" s="56"/>
    </row>
    <row r="894" customFormat="false" ht="15.75" hidden="false" customHeight="true" outlineLevel="0" collapsed="false">
      <c r="A894" s="78" t="str">
        <f aca="false">IFERROR(IF($B894="","",IF(INDEX(Einheiten!$B$4:$B$63,MATCH($B894,Einheiten!$A$4:$A$63,0))=0,"",INDEX(Einheiten!$B$4:$B$63,MATCH($B894,Einheiten!$A$4:$A$63,0)))),"")</f>
        <v/>
      </c>
      <c r="B894" s="54"/>
      <c r="C894" s="79" t="str">
        <f aca="false">IFERROR(IF($D894="","",INDEX(Übungen!$B$4:$B$23,MATCH($D894,Übungen!$A$4:$A$23,0))),"")</f>
        <v/>
      </c>
      <c r="D894" s="56"/>
      <c r="E894" s="73"/>
      <c r="F894" s="55"/>
      <c r="G894" s="74"/>
      <c r="H894" s="55"/>
      <c r="I894" s="49" t="str">
        <f aca="false">IF(AND(ISNUMBER($F894),ISNUMBER($G894),$E894&lt;&gt;"R"),$F894*$G894,"")</f>
        <v/>
      </c>
      <c r="J894" s="51" t="str">
        <f aca="false">IF(AND($E894="A",ISNUMBER($F894),ISNUMBER($G894)),$F894*(1+$G894/30),"")</f>
        <v/>
      </c>
      <c r="K894" s="56"/>
      <c r="L894" s="56"/>
    </row>
    <row r="895" customFormat="false" ht="15.75" hidden="false" customHeight="true" outlineLevel="0" collapsed="false">
      <c r="A895" s="78" t="str">
        <f aca="false">IFERROR(IF($B895="","",IF(INDEX(Einheiten!$B$4:$B$63,MATCH($B895,Einheiten!$A$4:$A$63,0))=0,"",INDEX(Einheiten!$B$4:$B$63,MATCH($B895,Einheiten!$A$4:$A$63,0)))),"")</f>
        <v/>
      </c>
      <c r="B895" s="54"/>
      <c r="C895" s="79" t="str">
        <f aca="false">IFERROR(IF($D895="","",INDEX(Übungen!$B$4:$B$23,MATCH($D895,Übungen!$A$4:$A$23,0))),"")</f>
        <v/>
      </c>
      <c r="D895" s="56"/>
      <c r="E895" s="73"/>
      <c r="F895" s="55"/>
      <c r="G895" s="74"/>
      <c r="H895" s="55"/>
      <c r="I895" s="49" t="str">
        <f aca="false">IF(AND(ISNUMBER($F895),ISNUMBER($G895),$E895&lt;&gt;"R"),$F895*$G895,"")</f>
        <v/>
      </c>
      <c r="J895" s="51" t="str">
        <f aca="false">IF(AND($E895="A",ISNUMBER($F895),ISNUMBER($G895)),$F895*(1+$G895/30),"")</f>
        <v/>
      </c>
      <c r="K895" s="56"/>
      <c r="L895" s="56"/>
    </row>
    <row r="896" customFormat="false" ht="15.75" hidden="false" customHeight="true" outlineLevel="0" collapsed="false">
      <c r="A896" s="78" t="str">
        <f aca="false">IFERROR(IF($B896="","",IF(INDEX(Einheiten!$B$4:$B$63,MATCH($B896,Einheiten!$A$4:$A$63,0))=0,"",INDEX(Einheiten!$B$4:$B$63,MATCH($B896,Einheiten!$A$4:$A$63,0)))),"")</f>
        <v/>
      </c>
      <c r="B896" s="54"/>
      <c r="C896" s="79" t="str">
        <f aca="false">IFERROR(IF($D896="","",INDEX(Übungen!$B$4:$B$23,MATCH($D896,Übungen!$A$4:$A$23,0))),"")</f>
        <v/>
      </c>
      <c r="D896" s="56"/>
      <c r="E896" s="73"/>
      <c r="F896" s="55"/>
      <c r="G896" s="74"/>
      <c r="H896" s="55"/>
      <c r="I896" s="49" t="str">
        <f aca="false">IF(AND(ISNUMBER($F896),ISNUMBER($G896),$E896&lt;&gt;"R"),$F896*$G896,"")</f>
        <v/>
      </c>
      <c r="J896" s="51" t="str">
        <f aca="false">IF(AND($E896="A",ISNUMBER($F896),ISNUMBER($G896)),$F896*(1+$G896/30),"")</f>
        <v/>
      </c>
      <c r="K896" s="56"/>
      <c r="L896" s="56"/>
    </row>
    <row r="897" customFormat="false" ht="15.75" hidden="false" customHeight="true" outlineLevel="0" collapsed="false">
      <c r="A897" s="78" t="str">
        <f aca="false">IFERROR(IF($B897="","",IF(INDEX(Einheiten!$B$4:$B$63,MATCH($B897,Einheiten!$A$4:$A$63,0))=0,"",INDEX(Einheiten!$B$4:$B$63,MATCH($B897,Einheiten!$A$4:$A$63,0)))),"")</f>
        <v/>
      </c>
      <c r="B897" s="54"/>
      <c r="C897" s="79" t="str">
        <f aca="false">IFERROR(IF($D897="","",INDEX(Übungen!$B$4:$B$23,MATCH($D897,Übungen!$A$4:$A$23,0))),"")</f>
        <v/>
      </c>
      <c r="D897" s="56"/>
      <c r="E897" s="73"/>
      <c r="F897" s="55"/>
      <c r="G897" s="74"/>
      <c r="H897" s="55"/>
      <c r="I897" s="49" t="str">
        <f aca="false">IF(AND(ISNUMBER($F897),ISNUMBER($G897),$E897&lt;&gt;"R"),$F897*$G897,"")</f>
        <v/>
      </c>
      <c r="J897" s="51" t="str">
        <f aca="false">IF(AND($E897="A",ISNUMBER($F897),ISNUMBER($G897)),$F897*(1+$G897/30),"")</f>
        <v/>
      </c>
      <c r="K897" s="56"/>
      <c r="L897" s="56"/>
    </row>
    <row r="898" customFormat="false" ht="15.75" hidden="false" customHeight="true" outlineLevel="0" collapsed="false">
      <c r="A898" s="78" t="str">
        <f aca="false">IFERROR(IF($B898="","",IF(INDEX(Einheiten!$B$4:$B$63,MATCH($B898,Einheiten!$A$4:$A$63,0))=0,"",INDEX(Einheiten!$B$4:$B$63,MATCH($B898,Einheiten!$A$4:$A$63,0)))),"")</f>
        <v/>
      </c>
      <c r="B898" s="54"/>
      <c r="C898" s="79" t="str">
        <f aca="false">IFERROR(IF($D898="","",INDEX(Übungen!$B$4:$B$23,MATCH($D898,Übungen!$A$4:$A$23,0))),"")</f>
        <v/>
      </c>
      <c r="D898" s="56"/>
      <c r="E898" s="73"/>
      <c r="F898" s="55"/>
      <c r="G898" s="74"/>
      <c r="H898" s="55"/>
      <c r="I898" s="49" t="str">
        <f aca="false">IF(AND(ISNUMBER($F898),ISNUMBER($G898),$E898&lt;&gt;"R"),$F898*$G898,"")</f>
        <v/>
      </c>
      <c r="J898" s="51" t="str">
        <f aca="false">IF(AND($E898="A",ISNUMBER($F898),ISNUMBER($G898)),$F898*(1+$G898/30),"")</f>
        <v/>
      </c>
      <c r="K898" s="56"/>
      <c r="L898" s="56"/>
    </row>
    <row r="899" customFormat="false" ht="15.75" hidden="false" customHeight="true" outlineLevel="0" collapsed="false">
      <c r="A899" s="78" t="str">
        <f aca="false">IFERROR(IF($B899="","",IF(INDEX(Einheiten!$B$4:$B$63,MATCH($B899,Einheiten!$A$4:$A$63,0))=0,"",INDEX(Einheiten!$B$4:$B$63,MATCH($B899,Einheiten!$A$4:$A$63,0)))),"")</f>
        <v/>
      </c>
      <c r="B899" s="54"/>
      <c r="C899" s="79" t="str">
        <f aca="false">IFERROR(IF($D899="","",INDEX(Übungen!$B$4:$B$23,MATCH($D899,Übungen!$A$4:$A$23,0))),"")</f>
        <v/>
      </c>
      <c r="D899" s="56"/>
      <c r="E899" s="73"/>
      <c r="F899" s="55"/>
      <c r="G899" s="74"/>
      <c r="H899" s="55"/>
      <c r="I899" s="49" t="str">
        <f aca="false">IF(AND(ISNUMBER($F899),ISNUMBER($G899),$E899&lt;&gt;"R"),$F899*$G899,"")</f>
        <v/>
      </c>
      <c r="J899" s="51" t="str">
        <f aca="false">IF(AND($E899="A",ISNUMBER($F899),ISNUMBER($G899)),$F899*(1+$G899/30),"")</f>
        <v/>
      </c>
      <c r="K899" s="56"/>
      <c r="L899" s="56"/>
    </row>
    <row r="900" customFormat="false" ht="15.75" hidden="false" customHeight="true" outlineLevel="0" collapsed="false">
      <c r="A900" s="78" t="str">
        <f aca="false">IFERROR(IF($B900="","",IF(INDEX(Einheiten!$B$4:$B$63,MATCH($B900,Einheiten!$A$4:$A$63,0))=0,"",INDEX(Einheiten!$B$4:$B$63,MATCH($B900,Einheiten!$A$4:$A$63,0)))),"")</f>
        <v/>
      </c>
      <c r="B900" s="54"/>
      <c r="C900" s="79" t="str">
        <f aca="false">IFERROR(IF($D900="","",INDEX(Übungen!$B$4:$B$23,MATCH($D900,Übungen!$A$4:$A$23,0))),"")</f>
        <v/>
      </c>
      <c r="D900" s="56"/>
      <c r="E900" s="73"/>
      <c r="F900" s="55"/>
      <c r="G900" s="74"/>
      <c r="H900" s="55"/>
      <c r="I900" s="49" t="str">
        <f aca="false">IF(AND(ISNUMBER($F900),ISNUMBER($G900),$E900&lt;&gt;"R"),$F900*$G900,"")</f>
        <v/>
      </c>
      <c r="J900" s="51" t="str">
        <f aca="false">IF(AND($E900="A",ISNUMBER($F900),ISNUMBER($G900)),$F900*(1+$G900/30),"")</f>
        <v/>
      </c>
      <c r="K900" s="56"/>
      <c r="L900" s="56"/>
    </row>
    <row r="901" customFormat="false" ht="15.75" hidden="false" customHeight="true" outlineLevel="0" collapsed="false">
      <c r="A901" s="78" t="str">
        <f aca="false">IFERROR(IF($B901="","",IF(INDEX(Einheiten!$B$4:$B$63,MATCH($B901,Einheiten!$A$4:$A$63,0))=0,"",INDEX(Einheiten!$B$4:$B$63,MATCH($B901,Einheiten!$A$4:$A$63,0)))),"")</f>
        <v/>
      </c>
      <c r="B901" s="54"/>
      <c r="C901" s="79" t="str">
        <f aca="false">IFERROR(IF($D901="","",INDEX(Übungen!$B$4:$B$23,MATCH($D901,Übungen!$A$4:$A$23,0))),"")</f>
        <v/>
      </c>
      <c r="D901" s="56"/>
      <c r="E901" s="73"/>
      <c r="F901" s="55"/>
      <c r="G901" s="74"/>
      <c r="H901" s="55"/>
      <c r="I901" s="49" t="str">
        <f aca="false">IF(AND(ISNUMBER($F901),ISNUMBER($G901),$E901&lt;&gt;"R"),$F901*$G901,"")</f>
        <v/>
      </c>
      <c r="J901" s="51" t="str">
        <f aca="false">IF(AND($E901="A",ISNUMBER($F901),ISNUMBER($G901)),$F901*(1+$G901/30),"")</f>
        <v/>
      </c>
      <c r="K901" s="56"/>
      <c r="L901" s="56"/>
    </row>
    <row r="902" customFormat="false" ht="15.75" hidden="false" customHeight="true" outlineLevel="0" collapsed="false">
      <c r="A902" s="78" t="str">
        <f aca="false">IFERROR(IF($B902="","",IF(INDEX(Einheiten!$B$4:$B$63,MATCH($B902,Einheiten!$A$4:$A$63,0))=0,"",INDEX(Einheiten!$B$4:$B$63,MATCH($B902,Einheiten!$A$4:$A$63,0)))),"")</f>
        <v/>
      </c>
      <c r="B902" s="54"/>
      <c r="C902" s="79" t="str">
        <f aca="false">IFERROR(IF($D902="","",INDEX(Übungen!$B$4:$B$23,MATCH($D902,Übungen!$A$4:$A$23,0))),"")</f>
        <v/>
      </c>
      <c r="D902" s="56"/>
      <c r="E902" s="73"/>
      <c r="F902" s="55"/>
      <c r="G902" s="74"/>
      <c r="H902" s="55"/>
      <c r="I902" s="49" t="str">
        <f aca="false">IF(AND(ISNUMBER($F902),ISNUMBER($G902),$E902&lt;&gt;"R"),$F902*$G902,"")</f>
        <v/>
      </c>
      <c r="J902" s="51" t="str">
        <f aca="false">IF(AND($E902="A",ISNUMBER($F902),ISNUMBER($G902)),$F902*(1+$G902/30),"")</f>
        <v/>
      </c>
      <c r="K902" s="56"/>
      <c r="L902" s="56"/>
    </row>
    <row r="903" customFormat="false" ht="15.75" hidden="false" customHeight="true" outlineLevel="0" collapsed="false">
      <c r="A903" s="78" t="str">
        <f aca="false">IFERROR(IF($B903="","",IF(INDEX(Einheiten!$B$4:$B$63,MATCH($B903,Einheiten!$A$4:$A$63,0))=0,"",INDEX(Einheiten!$B$4:$B$63,MATCH($B903,Einheiten!$A$4:$A$63,0)))),"")</f>
        <v/>
      </c>
      <c r="B903" s="54"/>
      <c r="C903" s="79" t="str">
        <f aca="false">IFERROR(IF($D903="","",INDEX(Übungen!$B$4:$B$23,MATCH($D903,Übungen!$A$4:$A$23,0))),"")</f>
        <v/>
      </c>
      <c r="D903" s="56"/>
      <c r="E903" s="73"/>
      <c r="F903" s="55"/>
      <c r="G903" s="74"/>
      <c r="H903" s="55"/>
      <c r="I903" s="49" t="str">
        <f aca="false">IF(AND(ISNUMBER($F903),ISNUMBER($G903),$E903&lt;&gt;"R"),$F903*$G903,"")</f>
        <v/>
      </c>
      <c r="J903" s="51" t="str">
        <f aca="false">IF(AND($E903="A",ISNUMBER($F903),ISNUMBER($G903)),$F903*(1+$G903/30),"")</f>
        <v/>
      </c>
      <c r="K903" s="56"/>
      <c r="L903" s="56"/>
    </row>
    <row r="904" customFormat="false" ht="15.75" hidden="false" customHeight="true" outlineLevel="0" collapsed="false">
      <c r="A904" s="78" t="str">
        <f aca="false">IFERROR(IF($B904="","",IF(INDEX(Einheiten!$B$4:$B$63,MATCH($B904,Einheiten!$A$4:$A$63,0))=0,"",INDEX(Einheiten!$B$4:$B$63,MATCH($B904,Einheiten!$A$4:$A$63,0)))),"")</f>
        <v/>
      </c>
      <c r="B904" s="54"/>
      <c r="C904" s="79" t="str">
        <f aca="false">IFERROR(IF($D904="","",INDEX(Übungen!$B$4:$B$23,MATCH($D904,Übungen!$A$4:$A$23,0))),"")</f>
        <v/>
      </c>
      <c r="D904" s="56"/>
      <c r="E904" s="73"/>
      <c r="F904" s="55"/>
      <c r="G904" s="74"/>
      <c r="H904" s="55"/>
      <c r="I904" s="49" t="str">
        <f aca="false">IF(AND(ISNUMBER($F904),ISNUMBER($G904),$E904&lt;&gt;"R"),$F904*$G904,"")</f>
        <v/>
      </c>
      <c r="J904" s="51" t="str">
        <f aca="false">IF(AND($E904="A",ISNUMBER($F904),ISNUMBER($G904)),$F904*(1+$G904/30),"")</f>
        <v/>
      </c>
      <c r="K904" s="56"/>
      <c r="L904" s="56"/>
    </row>
    <row r="905" customFormat="false" ht="15.75" hidden="false" customHeight="true" outlineLevel="0" collapsed="false">
      <c r="A905" s="78" t="str">
        <f aca="false">IFERROR(IF($B905="","",IF(INDEX(Einheiten!$B$4:$B$63,MATCH($B905,Einheiten!$A$4:$A$63,0))=0,"",INDEX(Einheiten!$B$4:$B$63,MATCH($B905,Einheiten!$A$4:$A$63,0)))),"")</f>
        <v/>
      </c>
      <c r="B905" s="54"/>
      <c r="C905" s="79" t="str">
        <f aca="false">IFERROR(IF($D905="","",INDEX(Übungen!$B$4:$B$23,MATCH($D905,Übungen!$A$4:$A$23,0))),"")</f>
        <v/>
      </c>
      <c r="D905" s="56"/>
      <c r="E905" s="73"/>
      <c r="F905" s="55"/>
      <c r="G905" s="74"/>
      <c r="H905" s="55"/>
      <c r="I905" s="49" t="str">
        <f aca="false">IF(AND(ISNUMBER($F905),ISNUMBER($G905),$E905&lt;&gt;"R"),$F905*$G905,"")</f>
        <v/>
      </c>
      <c r="J905" s="51" t="str">
        <f aca="false">IF(AND($E905="A",ISNUMBER($F905),ISNUMBER($G905)),$F905*(1+$G905/30),"")</f>
        <v/>
      </c>
      <c r="K905" s="56"/>
      <c r="L905" s="56"/>
    </row>
    <row r="906" customFormat="false" ht="15.75" hidden="false" customHeight="true" outlineLevel="0" collapsed="false">
      <c r="A906" s="78" t="str">
        <f aca="false">IFERROR(IF($B906="","",IF(INDEX(Einheiten!$B$4:$B$63,MATCH($B906,Einheiten!$A$4:$A$63,0))=0,"",INDEX(Einheiten!$B$4:$B$63,MATCH($B906,Einheiten!$A$4:$A$63,0)))),"")</f>
        <v/>
      </c>
      <c r="B906" s="54"/>
      <c r="C906" s="79" t="str">
        <f aca="false">IFERROR(IF($D906="","",INDEX(Übungen!$B$4:$B$23,MATCH($D906,Übungen!$A$4:$A$23,0))),"")</f>
        <v/>
      </c>
      <c r="D906" s="56"/>
      <c r="E906" s="73"/>
      <c r="F906" s="55"/>
      <c r="G906" s="74"/>
      <c r="H906" s="55"/>
      <c r="I906" s="49" t="str">
        <f aca="false">IF(AND(ISNUMBER($F906),ISNUMBER($G906),$E906&lt;&gt;"R"),$F906*$G906,"")</f>
        <v/>
      </c>
      <c r="J906" s="51" t="str">
        <f aca="false">IF(AND($E906="A",ISNUMBER($F906),ISNUMBER($G906)),$F906*(1+$G906/30),"")</f>
        <v/>
      </c>
      <c r="K906" s="56"/>
      <c r="L906" s="56"/>
    </row>
    <row r="907" customFormat="false" ht="15.75" hidden="false" customHeight="true" outlineLevel="0" collapsed="false">
      <c r="A907" s="78" t="str">
        <f aca="false">IFERROR(IF($B907="","",IF(INDEX(Einheiten!$B$4:$B$63,MATCH($B907,Einheiten!$A$4:$A$63,0))=0,"",INDEX(Einheiten!$B$4:$B$63,MATCH($B907,Einheiten!$A$4:$A$63,0)))),"")</f>
        <v/>
      </c>
      <c r="B907" s="54"/>
      <c r="C907" s="79" t="str">
        <f aca="false">IFERROR(IF($D907="","",INDEX(Übungen!$B$4:$B$23,MATCH($D907,Übungen!$A$4:$A$23,0))),"")</f>
        <v/>
      </c>
      <c r="D907" s="56"/>
      <c r="E907" s="73"/>
      <c r="F907" s="55"/>
      <c r="G907" s="74"/>
      <c r="H907" s="55"/>
      <c r="I907" s="49" t="str">
        <f aca="false">IF(AND(ISNUMBER($F907),ISNUMBER($G907),$E907&lt;&gt;"R"),$F907*$G907,"")</f>
        <v/>
      </c>
      <c r="J907" s="51" t="str">
        <f aca="false">IF(AND($E907="A",ISNUMBER($F907),ISNUMBER($G907)),$F907*(1+$G907/30),"")</f>
        <v/>
      </c>
      <c r="K907" s="56"/>
      <c r="L907" s="56"/>
    </row>
    <row r="908" customFormat="false" ht="15.75" hidden="false" customHeight="true" outlineLevel="0" collapsed="false">
      <c r="A908" s="78" t="str">
        <f aca="false">IFERROR(IF($B908="","",IF(INDEX(Einheiten!$B$4:$B$63,MATCH($B908,Einheiten!$A$4:$A$63,0))=0,"",INDEX(Einheiten!$B$4:$B$63,MATCH($B908,Einheiten!$A$4:$A$63,0)))),"")</f>
        <v/>
      </c>
      <c r="B908" s="54"/>
      <c r="C908" s="79" t="str">
        <f aca="false">IFERROR(IF($D908="","",INDEX(Übungen!$B$4:$B$23,MATCH($D908,Übungen!$A$4:$A$23,0))),"")</f>
        <v/>
      </c>
      <c r="D908" s="56"/>
      <c r="E908" s="73"/>
      <c r="F908" s="55"/>
      <c r="G908" s="74"/>
      <c r="H908" s="55"/>
      <c r="I908" s="49" t="str">
        <f aca="false">IF(AND(ISNUMBER($F908),ISNUMBER($G908),$E908&lt;&gt;"R"),$F908*$G908,"")</f>
        <v/>
      </c>
      <c r="J908" s="51" t="str">
        <f aca="false">IF(AND($E908="A",ISNUMBER($F908),ISNUMBER($G908)),$F908*(1+$G908/30),"")</f>
        <v/>
      </c>
      <c r="K908" s="56"/>
      <c r="L908" s="56"/>
    </row>
    <row r="909" customFormat="false" ht="15.75" hidden="false" customHeight="true" outlineLevel="0" collapsed="false">
      <c r="A909" s="78" t="str">
        <f aca="false">IFERROR(IF($B909="","",IF(INDEX(Einheiten!$B$4:$B$63,MATCH($B909,Einheiten!$A$4:$A$63,0))=0,"",INDEX(Einheiten!$B$4:$B$63,MATCH($B909,Einheiten!$A$4:$A$63,0)))),"")</f>
        <v/>
      </c>
      <c r="B909" s="54"/>
      <c r="C909" s="79" t="str">
        <f aca="false">IFERROR(IF($D909="","",INDEX(Übungen!$B$4:$B$23,MATCH($D909,Übungen!$A$4:$A$23,0))),"")</f>
        <v/>
      </c>
      <c r="D909" s="56"/>
      <c r="E909" s="73"/>
      <c r="F909" s="55"/>
      <c r="G909" s="74"/>
      <c r="H909" s="55"/>
      <c r="I909" s="49" t="str">
        <f aca="false">IF(AND(ISNUMBER($F909),ISNUMBER($G909),$E909&lt;&gt;"R"),$F909*$G909,"")</f>
        <v/>
      </c>
      <c r="J909" s="51" t="str">
        <f aca="false">IF(AND($E909="A",ISNUMBER($F909),ISNUMBER($G909)),$F909*(1+$G909/30),"")</f>
        <v/>
      </c>
      <c r="K909" s="56"/>
      <c r="L909" s="56"/>
    </row>
    <row r="910" customFormat="false" ht="15.75" hidden="false" customHeight="true" outlineLevel="0" collapsed="false">
      <c r="A910" s="78" t="str">
        <f aca="false">IFERROR(IF($B910="","",IF(INDEX(Einheiten!$B$4:$B$63,MATCH($B910,Einheiten!$A$4:$A$63,0))=0,"",INDEX(Einheiten!$B$4:$B$63,MATCH($B910,Einheiten!$A$4:$A$63,0)))),"")</f>
        <v/>
      </c>
      <c r="B910" s="54"/>
      <c r="C910" s="79" t="str">
        <f aca="false">IFERROR(IF($D910="","",INDEX(Übungen!$B$4:$B$23,MATCH($D910,Übungen!$A$4:$A$23,0))),"")</f>
        <v/>
      </c>
      <c r="D910" s="56"/>
      <c r="E910" s="73"/>
      <c r="F910" s="55"/>
      <c r="G910" s="74"/>
      <c r="H910" s="55"/>
      <c r="I910" s="49" t="str">
        <f aca="false">IF(AND(ISNUMBER($F910),ISNUMBER($G910),$E910&lt;&gt;"R"),$F910*$G910,"")</f>
        <v/>
      </c>
      <c r="J910" s="51" t="str">
        <f aca="false">IF(AND($E910="A",ISNUMBER($F910),ISNUMBER($G910)),$F910*(1+$G910/30),"")</f>
        <v/>
      </c>
      <c r="K910" s="56"/>
      <c r="L910" s="56"/>
    </row>
    <row r="911" customFormat="false" ht="15.75" hidden="false" customHeight="true" outlineLevel="0" collapsed="false">
      <c r="A911" s="78" t="str">
        <f aca="false">IFERROR(IF($B911="","",IF(INDEX(Einheiten!$B$4:$B$63,MATCH($B911,Einheiten!$A$4:$A$63,0))=0,"",INDEX(Einheiten!$B$4:$B$63,MATCH($B911,Einheiten!$A$4:$A$63,0)))),"")</f>
        <v/>
      </c>
      <c r="B911" s="54"/>
      <c r="C911" s="79" t="str">
        <f aca="false">IFERROR(IF($D911="","",INDEX(Übungen!$B$4:$B$23,MATCH($D911,Übungen!$A$4:$A$23,0))),"")</f>
        <v/>
      </c>
      <c r="D911" s="56"/>
      <c r="E911" s="73"/>
      <c r="F911" s="55"/>
      <c r="G911" s="74"/>
      <c r="H911" s="55"/>
      <c r="I911" s="49" t="str">
        <f aca="false">IF(AND(ISNUMBER($F911),ISNUMBER($G911),$E911&lt;&gt;"R"),$F911*$G911,"")</f>
        <v/>
      </c>
      <c r="J911" s="51" t="str">
        <f aca="false">IF(AND($E911="A",ISNUMBER($F911),ISNUMBER($G911)),$F911*(1+$G911/30),"")</f>
        <v/>
      </c>
      <c r="K911" s="56"/>
      <c r="L911" s="56"/>
    </row>
    <row r="912" customFormat="false" ht="15.75" hidden="false" customHeight="true" outlineLevel="0" collapsed="false">
      <c r="A912" s="78" t="str">
        <f aca="false">IFERROR(IF($B912="","",IF(INDEX(Einheiten!$B$4:$B$63,MATCH($B912,Einheiten!$A$4:$A$63,0))=0,"",INDEX(Einheiten!$B$4:$B$63,MATCH($B912,Einheiten!$A$4:$A$63,0)))),"")</f>
        <v/>
      </c>
      <c r="B912" s="54"/>
      <c r="C912" s="79" t="str">
        <f aca="false">IFERROR(IF($D912="","",INDEX(Übungen!$B$4:$B$23,MATCH($D912,Übungen!$A$4:$A$23,0))),"")</f>
        <v/>
      </c>
      <c r="D912" s="56"/>
      <c r="E912" s="73"/>
      <c r="F912" s="55"/>
      <c r="G912" s="74"/>
      <c r="H912" s="55"/>
      <c r="I912" s="49" t="str">
        <f aca="false">IF(AND(ISNUMBER($F912),ISNUMBER($G912),$E912&lt;&gt;"R"),$F912*$G912,"")</f>
        <v/>
      </c>
      <c r="J912" s="51" t="str">
        <f aca="false">IF(AND($E912="A",ISNUMBER($F912),ISNUMBER($G912)),$F912*(1+$G912/30),"")</f>
        <v/>
      </c>
      <c r="K912" s="56"/>
      <c r="L912" s="56"/>
    </row>
    <row r="913" customFormat="false" ht="15.75" hidden="false" customHeight="true" outlineLevel="0" collapsed="false">
      <c r="A913" s="78" t="str">
        <f aca="false">IFERROR(IF($B913="","",IF(INDEX(Einheiten!$B$4:$B$63,MATCH($B913,Einheiten!$A$4:$A$63,0))=0,"",INDEX(Einheiten!$B$4:$B$63,MATCH($B913,Einheiten!$A$4:$A$63,0)))),"")</f>
        <v/>
      </c>
      <c r="B913" s="54"/>
      <c r="C913" s="79" t="str">
        <f aca="false">IFERROR(IF($D913="","",INDEX(Übungen!$B$4:$B$23,MATCH($D913,Übungen!$A$4:$A$23,0))),"")</f>
        <v/>
      </c>
      <c r="D913" s="56"/>
      <c r="E913" s="73"/>
      <c r="F913" s="55"/>
      <c r="G913" s="74"/>
      <c r="H913" s="55"/>
      <c r="I913" s="49" t="str">
        <f aca="false">IF(AND(ISNUMBER($F913),ISNUMBER($G913),$E913&lt;&gt;"R"),$F913*$G913,"")</f>
        <v/>
      </c>
      <c r="J913" s="51" t="str">
        <f aca="false">IF(AND($E913="A",ISNUMBER($F913),ISNUMBER($G913)),$F913*(1+$G913/30),"")</f>
        <v/>
      </c>
      <c r="K913" s="56"/>
      <c r="L913" s="56"/>
    </row>
    <row r="914" customFormat="false" ht="15.75" hidden="false" customHeight="true" outlineLevel="0" collapsed="false">
      <c r="A914" s="78" t="str">
        <f aca="false">IFERROR(IF($B914="","",IF(INDEX(Einheiten!$B$4:$B$63,MATCH($B914,Einheiten!$A$4:$A$63,0))=0,"",INDEX(Einheiten!$B$4:$B$63,MATCH($B914,Einheiten!$A$4:$A$63,0)))),"")</f>
        <v/>
      </c>
      <c r="B914" s="54"/>
      <c r="C914" s="79" t="str">
        <f aca="false">IFERROR(IF($D914="","",INDEX(Übungen!$B$4:$B$23,MATCH($D914,Übungen!$A$4:$A$23,0))),"")</f>
        <v/>
      </c>
      <c r="D914" s="56"/>
      <c r="E914" s="73"/>
      <c r="F914" s="55"/>
      <c r="G914" s="74"/>
      <c r="H914" s="55"/>
      <c r="I914" s="49" t="str">
        <f aca="false">IF(AND(ISNUMBER($F914),ISNUMBER($G914),$E914&lt;&gt;"R"),$F914*$G914,"")</f>
        <v/>
      </c>
      <c r="J914" s="51" t="str">
        <f aca="false">IF(AND($E914="A",ISNUMBER($F914),ISNUMBER($G914)),$F914*(1+$G914/30),"")</f>
        <v/>
      </c>
      <c r="K914" s="56"/>
      <c r="L914" s="56"/>
    </row>
    <row r="915" customFormat="false" ht="15.75" hidden="false" customHeight="true" outlineLevel="0" collapsed="false">
      <c r="A915" s="78" t="str">
        <f aca="false">IFERROR(IF($B915="","",IF(INDEX(Einheiten!$B$4:$B$63,MATCH($B915,Einheiten!$A$4:$A$63,0))=0,"",INDEX(Einheiten!$B$4:$B$63,MATCH($B915,Einheiten!$A$4:$A$63,0)))),"")</f>
        <v/>
      </c>
      <c r="B915" s="54"/>
      <c r="C915" s="79" t="str">
        <f aca="false">IFERROR(IF($D915="","",INDEX(Übungen!$B$4:$B$23,MATCH($D915,Übungen!$A$4:$A$23,0))),"")</f>
        <v/>
      </c>
      <c r="D915" s="56"/>
      <c r="E915" s="73"/>
      <c r="F915" s="55"/>
      <c r="G915" s="74"/>
      <c r="H915" s="55"/>
      <c r="I915" s="49" t="str">
        <f aca="false">IF(AND(ISNUMBER($F915),ISNUMBER($G915),$E915&lt;&gt;"R"),$F915*$G915,"")</f>
        <v/>
      </c>
      <c r="J915" s="51" t="str">
        <f aca="false">IF(AND($E915="A",ISNUMBER($F915),ISNUMBER($G915)),$F915*(1+$G915/30),"")</f>
        <v/>
      </c>
      <c r="K915" s="56"/>
      <c r="L915" s="56"/>
    </row>
    <row r="916" customFormat="false" ht="15.75" hidden="false" customHeight="true" outlineLevel="0" collapsed="false">
      <c r="A916" s="78" t="str">
        <f aca="false">IFERROR(IF($B916="","",IF(INDEX(Einheiten!$B$4:$B$63,MATCH($B916,Einheiten!$A$4:$A$63,0))=0,"",INDEX(Einheiten!$B$4:$B$63,MATCH($B916,Einheiten!$A$4:$A$63,0)))),"")</f>
        <v/>
      </c>
      <c r="B916" s="54"/>
      <c r="C916" s="79" t="str">
        <f aca="false">IFERROR(IF($D916="","",INDEX(Übungen!$B$4:$B$23,MATCH($D916,Übungen!$A$4:$A$23,0))),"")</f>
        <v/>
      </c>
      <c r="D916" s="56"/>
      <c r="E916" s="73"/>
      <c r="F916" s="55"/>
      <c r="G916" s="74"/>
      <c r="H916" s="55"/>
      <c r="I916" s="49" t="str">
        <f aca="false">IF(AND(ISNUMBER($F916),ISNUMBER($G916),$E916&lt;&gt;"R"),$F916*$G916,"")</f>
        <v/>
      </c>
      <c r="J916" s="51" t="str">
        <f aca="false">IF(AND($E916="A",ISNUMBER($F916),ISNUMBER($G916)),$F916*(1+$G916/30),"")</f>
        <v/>
      </c>
      <c r="K916" s="56"/>
      <c r="L916" s="56"/>
    </row>
    <row r="917" customFormat="false" ht="15.75" hidden="false" customHeight="true" outlineLevel="0" collapsed="false">
      <c r="A917" s="78" t="str">
        <f aca="false">IFERROR(IF($B917="","",IF(INDEX(Einheiten!$B$4:$B$63,MATCH($B917,Einheiten!$A$4:$A$63,0))=0,"",INDEX(Einheiten!$B$4:$B$63,MATCH($B917,Einheiten!$A$4:$A$63,0)))),"")</f>
        <v/>
      </c>
      <c r="B917" s="54"/>
      <c r="C917" s="79" t="str">
        <f aca="false">IFERROR(IF($D917="","",INDEX(Übungen!$B$4:$B$23,MATCH($D917,Übungen!$A$4:$A$23,0))),"")</f>
        <v/>
      </c>
      <c r="D917" s="56"/>
      <c r="E917" s="73"/>
      <c r="F917" s="55"/>
      <c r="G917" s="74"/>
      <c r="H917" s="55"/>
      <c r="I917" s="49" t="str">
        <f aca="false">IF(AND(ISNUMBER($F917),ISNUMBER($G917),$E917&lt;&gt;"R"),$F917*$G917,"")</f>
        <v/>
      </c>
      <c r="J917" s="51" t="str">
        <f aca="false">IF(AND($E917="A",ISNUMBER($F917),ISNUMBER($G917)),$F917*(1+$G917/30),"")</f>
        <v/>
      </c>
      <c r="K917" s="56"/>
      <c r="L917" s="56"/>
    </row>
    <row r="918" customFormat="false" ht="15.75" hidden="false" customHeight="true" outlineLevel="0" collapsed="false">
      <c r="A918" s="78" t="str">
        <f aca="false">IFERROR(IF($B918="","",IF(INDEX(Einheiten!$B$4:$B$63,MATCH($B918,Einheiten!$A$4:$A$63,0))=0,"",INDEX(Einheiten!$B$4:$B$63,MATCH($B918,Einheiten!$A$4:$A$63,0)))),"")</f>
        <v/>
      </c>
      <c r="B918" s="54"/>
      <c r="C918" s="79" t="str">
        <f aca="false">IFERROR(IF($D918="","",INDEX(Übungen!$B$4:$B$23,MATCH($D918,Übungen!$A$4:$A$23,0))),"")</f>
        <v/>
      </c>
      <c r="D918" s="56"/>
      <c r="E918" s="73"/>
      <c r="F918" s="55"/>
      <c r="G918" s="74"/>
      <c r="H918" s="55"/>
      <c r="I918" s="49" t="str">
        <f aca="false">IF(AND(ISNUMBER($F918),ISNUMBER($G918),$E918&lt;&gt;"R"),$F918*$G918,"")</f>
        <v/>
      </c>
      <c r="J918" s="51" t="str">
        <f aca="false">IF(AND($E918="A",ISNUMBER($F918),ISNUMBER($G918)),$F918*(1+$G918/30),"")</f>
        <v/>
      </c>
      <c r="K918" s="56"/>
      <c r="L918" s="56"/>
    </row>
    <row r="919" customFormat="false" ht="15.75" hidden="false" customHeight="true" outlineLevel="0" collapsed="false">
      <c r="A919" s="78" t="str">
        <f aca="false">IFERROR(IF($B919="","",IF(INDEX(Einheiten!$B$4:$B$63,MATCH($B919,Einheiten!$A$4:$A$63,0))=0,"",INDEX(Einheiten!$B$4:$B$63,MATCH($B919,Einheiten!$A$4:$A$63,0)))),"")</f>
        <v/>
      </c>
      <c r="B919" s="54"/>
      <c r="C919" s="79" t="str">
        <f aca="false">IFERROR(IF($D919="","",INDEX(Übungen!$B$4:$B$23,MATCH($D919,Übungen!$A$4:$A$23,0))),"")</f>
        <v/>
      </c>
      <c r="D919" s="56"/>
      <c r="E919" s="73"/>
      <c r="F919" s="55"/>
      <c r="G919" s="74"/>
      <c r="H919" s="55"/>
      <c r="I919" s="49" t="str">
        <f aca="false">IF(AND(ISNUMBER($F919),ISNUMBER($G919),$E919&lt;&gt;"R"),$F919*$G919,"")</f>
        <v/>
      </c>
      <c r="J919" s="51" t="str">
        <f aca="false">IF(AND($E919="A",ISNUMBER($F919),ISNUMBER($G919)),$F919*(1+$G919/30),"")</f>
        <v/>
      </c>
      <c r="K919" s="56"/>
      <c r="L919" s="56"/>
    </row>
    <row r="920" customFormat="false" ht="15.75" hidden="false" customHeight="true" outlineLevel="0" collapsed="false">
      <c r="A920" s="78" t="str">
        <f aca="false">IFERROR(IF($B920="","",IF(INDEX(Einheiten!$B$4:$B$63,MATCH($B920,Einheiten!$A$4:$A$63,0))=0,"",INDEX(Einheiten!$B$4:$B$63,MATCH($B920,Einheiten!$A$4:$A$63,0)))),"")</f>
        <v/>
      </c>
      <c r="B920" s="54"/>
      <c r="C920" s="79" t="str">
        <f aca="false">IFERROR(IF($D920="","",INDEX(Übungen!$B$4:$B$23,MATCH($D920,Übungen!$A$4:$A$23,0))),"")</f>
        <v/>
      </c>
      <c r="D920" s="56"/>
      <c r="E920" s="73"/>
      <c r="F920" s="55"/>
      <c r="G920" s="74"/>
      <c r="H920" s="55"/>
      <c r="I920" s="49" t="str">
        <f aca="false">IF(AND(ISNUMBER($F920),ISNUMBER($G920),$E920&lt;&gt;"R"),$F920*$G920,"")</f>
        <v/>
      </c>
      <c r="J920" s="51" t="str">
        <f aca="false">IF(AND($E920="A",ISNUMBER($F920),ISNUMBER($G920)),$F920*(1+$G920/30),"")</f>
        <v/>
      </c>
      <c r="K920" s="56"/>
      <c r="L920" s="56"/>
    </row>
    <row r="921" customFormat="false" ht="15.75" hidden="false" customHeight="true" outlineLevel="0" collapsed="false">
      <c r="A921" s="78" t="str">
        <f aca="false">IFERROR(IF($B921="","",IF(INDEX(Einheiten!$B$4:$B$63,MATCH($B921,Einheiten!$A$4:$A$63,0))=0,"",INDEX(Einheiten!$B$4:$B$63,MATCH($B921,Einheiten!$A$4:$A$63,0)))),"")</f>
        <v/>
      </c>
      <c r="B921" s="54"/>
      <c r="C921" s="79" t="str">
        <f aca="false">IFERROR(IF($D921="","",INDEX(Übungen!$B$4:$B$23,MATCH($D921,Übungen!$A$4:$A$23,0))),"")</f>
        <v/>
      </c>
      <c r="D921" s="56"/>
      <c r="E921" s="73"/>
      <c r="F921" s="55"/>
      <c r="G921" s="74"/>
      <c r="H921" s="55"/>
      <c r="I921" s="49" t="str">
        <f aca="false">IF(AND(ISNUMBER($F921),ISNUMBER($G921),$E921&lt;&gt;"R"),$F921*$G921,"")</f>
        <v/>
      </c>
      <c r="J921" s="51" t="str">
        <f aca="false">IF(AND($E921="A",ISNUMBER($F921),ISNUMBER($G921)),$F921*(1+$G921/30),"")</f>
        <v/>
      </c>
      <c r="K921" s="56"/>
      <c r="L921" s="56"/>
    </row>
    <row r="922" customFormat="false" ht="15.75" hidden="false" customHeight="true" outlineLevel="0" collapsed="false">
      <c r="A922" s="78" t="str">
        <f aca="false">IFERROR(IF($B922="","",IF(INDEX(Einheiten!$B$4:$B$63,MATCH($B922,Einheiten!$A$4:$A$63,0))=0,"",INDEX(Einheiten!$B$4:$B$63,MATCH($B922,Einheiten!$A$4:$A$63,0)))),"")</f>
        <v/>
      </c>
      <c r="B922" s="54"/>
      <c r="C922" s="79" t="str">
        <f aca="false">IFERROR(IF($D922="","",INDEX(Übungen!$B$4:$B$23,MATCH($D922,Übungen!$A$4:$A$23,0))),"")</f>
        <v/>
      </c>
      <c r="D922" s="56"/>
      <c r="E922" s="73"/>
      <c r="F922" s="55"/>
      <c r="G922" s="74"/>
      <c r="H922" s="55"/>
      <c r="I922" s="49" t="str">
        <f aca="false">IF(AND(ISNUMBER($F922),ISNUMBER($G922),$E922&lt;&gt;"R"),$F922*$G922,"")</f>
        <v/>
      </c>
      <c r="J922" s="51" t="str">
        <f aca="false">IF(AND($E922="A",ISNUMBER($F922),ISNUMBER($G922)),$F922*(1+$G922/30),"")</f>
        <v/>
      </c>
      <c r="K922" s="56"/>
      <c r="L922" s="56"/>
    </row>
    <row r="923" customFormat="false" ht="15.75" hidden="false" customHeight="true" outlineLevel="0" collapsed="false">
      <c r="A923" s="78" t="str">
        <f aca="false">IFERROR(IF($B923="","",IF(INDEX(Einheiten!$B$4:$B$63,MATCH($B923,Einheiten!$A$4:$A$63,0))=0,"",INDEX(Einheiten!$B$4:$B$63,MATCH($B923,Einheiten!$A$4:$A$63,0)))),"")</f>
        <v/>
      </c>
      <c r="B923" s="54"/>
      <c r="C923" s="79" t="str">
        <f aca="false">IFERROR(IF($D923="","",INDEX(Übungen!$B$4:$B$23,MATCH($D923,Übungen!$A$4:$A$23,0))),"")</f>
        <v/>
      </c>
      <c r="D923" s="56"/>
      <c r="E923" s="73"/>
      <c r="F923" s="55"/>
      <c r="G923" s="74"/>
      <c r="H923" s="55"/>
      <c r="I923" s="49" t="str">
        <f aca="false">IF(AND(ISNUMBER($F923),ISNUMBER($G923),$E923&lt;&gt;"R"),$F923*$G923,"")</f>
        <v/>
      </c>
      <c r="J923" s="51" t="str">
        <f aca="false">IF(AND($E923="A",ISNUMBER($F923),ISNUMBER($G923)),$F923*(1+$G923/30),"")</f>
        <v/>
      </c>
      <c r="K923" s="56"/>
      <c r="L923" s="56"/>
    </row>
    <row r="924" customFormat="false" ht="15.75" hidden="false" customHeight="true" outlineLevel="0" collapsed="false">
      <c r="A924" s="78" t="str">
        <f aca="false">IFERROR(IF($B924="","",IF(INDEX(Einheiten!$B$4:$B$63,MATCH($B924,Einheiten!$A$4:$A$63,0))=0,"",INDEX(Einheiten!$B$4:$B$63,MATCH($B924,Einheiten!$A$4:$A$63,0)))),"")</f>
        <v/>
      </c>
      <c r="B924" s="54"/>
      <c r="C924" s="79" t="str">
        <f aca="false">IFERROR(IF($D924="","",INDEX(Übungen!$B$4:$B$23,MATCH($D924,Übungen!$A$4:$A$23,0))),"")</f>
        <v/>
      </c>
      <c r="D924" s="56"/>
      <c r="E924" s="73"/>
      <c r="F924" s="55"/>
      <c r="G924" s="74"/>
      <c r="H924" s="55"/>
      <c r="I924" s="49" t="str">
        <f aca="false">IF(AND(ISNUMBER($F924),ISNUMBER($G924),$E924&lt;&gt;"R"),$F924*$G924,"")</f>
        <v/>
      </c>
      <c r="J924" s="51" t="str">
        <f aca="false">IF(AND($E924="A",ISNUMBER($F924),ISNUMBER($G924)),$F924*(1+$G924/30),"")</f>
        <v/>
      </c>
      <c r="K924" s="56"/>
      <c r="L924" s="56"/>
    </row>
    <row r="925" customFormat="false" ht="15.75" hidden="false" customHeight="true" outlineLevel="0" collapsed="false">
      <c r="A925" s="78" t="str">
        <f aca="false">IFERROR(IF($B925="","",IF(INDEX(Einheiten!$B$4:$B$63,MATCH($B925,Einheiten!$A$4:$A$63,0))=0,"",INDEX(Einheiten!$B$4:$B$63,MATCH($B925,Einheiten!$A$4:$A$63,0)))),"")</f>
        <v/>
      </c>
      <c r="B925" s="54"/>
      <c r="C925" s="79" t="str">
        <f aca="false">IFERROR(IF($D925="","",INDEX(Übungen!$B$4:$B$23,MATCH($D925,Übungen!$A$4:$A$23,0))),"")</f>
        <v/>
      </c>
      <c r="D925" s="56"/>
      <c r="E925" s="73"/>
      <c r="F925" s="55"/>
      <c r="G925" s="74"/>
      <c r="H925" s="55"/>
      <c r="I925" s="49" t="str">
        <f aca="false">IF(AND(ISNUMBER($F925),ISNUMBER($G925),$E925&lt;&gt;"R"),$F925*$G925,"")</f>
        <v/>
      </c>
      <c r="J925" s="51" t="str">
        <f aca="false">IF(AND($E925="A",ISNUMBER($F925),ISNUMBER($G925)),$F925*(1+$G925/30),"")</f>
        <v/>
      </c>
      <c r="K925" s="56"/>
      <c r="L925" s="56"/>
    </row>
    <row r="926" customFormat="false" ht="15.75" hidden="false" customHeight="true" outlineLevel="0" collapsed="false">
      <c r="A926" s="78" t="str">
        <f aca="false">IFERROR(IF($B926="","",IF(INDEX(Einheiten!$B$4:$B$63,MATCH($B926,Einheiten!$A$4:$A$63,0))=0,"",INDEX(Einheiten!$B$4:$B$63,MATCH($B926,Einheiten!$A$4:$A$63,0)))),"")</f>
        <v/>
      </c>
      <c r="B926" s="54"/>
      <c r="C926" s="79" t="str">
        <f aca="false">IFERROR(IF($D926="","",INDEX(Übungen!$B$4:$B$23,MATCH($D926,Übungen!$A$4:$A$23,0))),"")</f>
        <v/>
      </c>
      <c r="D926" s="56"/>
      <c r="E926" s="73"/>
      <c r="F926" s="55"/>
      <c r="G926" s="74"/>
      <c r="H926" s="55"/>
      <c r="I926" s="49" t="str">
        <f aca="false">IF(AND(ISNUMBER($F926),ISNUMBER($G926),$E926&lt;&gt;"R"),$F926*$G926,"")</f>
        <v/>
      </c>
      <c r="J926" s="51" t="str">
        <f aca="false">IF(AND($E926="A",ISNUMBER($F926),ISNUMBER($G926)),$F926*(1+$G926/30),"")</f>
        <v/>
      </c>
      <c r="K926" s="56"/>
      <c r="L926" s="56"/>
    </row>
    <row r="927" customFormat="false" ht="15.75" hidden="false" customHeight="true" outlineLevel="0" collapsed="false">
      <c r="A927" s="78" t="str">
        <f aca="false">IFERROR(IF($B927="","",IF(INDEX(Einheiten!$B$4:$B$63,MATCH($B927,Einheiten!$A$4:$A$63,0))=0,"",INDEX(Einheiten!$B$4:$B$63,MATCH($B927,Einheiten!$A$4:$A$63,0)))),"")</f>
        <v/>
      </c>
      <c r="B927" s="54"/>
      <c r="C927" s="79" t="str">
        <f aca="false">IFERROR(IF($D927="","",INDEX(Übungen!$B$4:$B$23,MATCH($D927,Übungen!$A$4:$A$23,0))),"")</f>
        <v/>
      </c>
      <c r="D927" s="56"/>
      <c r="E927" s="73"/>
      <c r="F927" s="55"/>
      <c r="G927" s="74"/>
      <c r="H927" s="55"/>
      <c r="I927" s="49" t="str">
        <f aca="false">IF(AND(ISNUMBER($F927),ISNUMBER($G927),$E927&lt;&gt;"R"),$F927*$G927,"")</f>
        <v/>
      </c>
      <c r="J927" s="51" t="str">
        <f aca="false">IF(AND($E927="A",ISNUMBER($F927),ISNUMBER($G927)),$F927*(1+$G927/30),"")</f>
        <v/>
      </c>
      <c r="K927" s="56"/>
      <c r="L927" s="56"/>
    </row>
    <row r="928" customFormat="false" ht="15.75" hidden="false" customHeight="true" outlineLevel="0" collapsed="false">
      <c r="A928" s="78" t="str">
        <f aca="false">IFERROR(IF($B928="","",IF(INDEX(Einheiten!$B$4:$B$63,MATCH($B928,Einheiten!$A$4:$A$63,0))=0,"",INDEX(Einheiten!$B$4:$B$63,MATCH($B928,Einheiten!$A$4:$A$63,0)))),"")</f>
        <v/>
      </c>
      <c r="B928" s="54"/>
      <c r="C928" s="79" t="str">
        <f aca="false">IFERROR(IF($D928="","",INDEX(Übungen!$B$4:$B$23,MATCH($D928,Übungen!$A$4:$A$23,0))),"")</f>
        <v/>
      </c>
      <c r="D928" s="56"/>
      <c r="E928" s="73"/>
      <c r="F928" s="55"/>
      <c r="G928" s="74"/>
      <c r="H928" s="55"/>
      <c r="I928" s="49" t="str">
        <f aca="false">IF(AND(ISNUMBER($F928),ISNUMBER($G928),$E928&lt;&gt;"R"),$F928*$G928,"")</f>
        <v/>
      </c>
      <c r="J928" s="51" t="str">
        <f aca="false">IF(AND($E928="A",ISNUMBER($F928),ISNUMBER($G928)),$F928*(1+$G928/30),"")</f>
        <v/>
      </c>
      <c r="K928" s="56"/>
      <c r="L928" s="56"/>
    </row>
    <row r="929" customFormat="false" ht="15.75" hidden="false" customHeight="true" outlineLevel="0" collapsed="false">
      <c r="A929" s="78" t="str">
        <f aca="false">IFERROR(IF($B929="","",IF(INDEX(Einheiten!$B$4:$B$63,MATCH($B929,Einheiten!$A$4:$A$63,0))=0,"",INDEX(Einheiten!$B$4:$B$63,MATCH($B929,Einheiten!$A$4:$A$63,0)))),"")</f>
        <v/>
      </c>
      <c r="B929" s="54"/>
      <c r="C929" s="79" t="str">
        <f aca="false">IFERROR(IF($D929="","",INDEX(Übungen!$B$4:$B$23,MATCH($D929,Übungen!$A$4:$A$23,0))),"")</f>
        <v/>
      </c>
      <c r="D929" s="56"/>
      <c r="E929" s="73"/>
      <c r="F929" s="55"/>
      <c r="G929" s="74"/>
      <c r="H929" s="55"/>
      <c r="I929" s="49" t="str">
        <f aca="false">IF(AND(ISNUMBER($F929),ISNUMBER($G929),$E929&lt;&gt;"R"),$F929*$G929,"")</f>
        <v/>
      </c>
      <c r="J929" s="51" t="str">
        <f aca="false">IF(AND($E929="A",ISNUMBER($F929),ISNUMBER($G929)),$F929*(1+$G929/30),"")</f>
        <v/>
      </c>
      <c r="K929" s="56"/>
      <c r="L929" s="56"/>
    </row>
    <row r="930" customFormat="false" ht="15.75" hidden="false" customHeight="true" outlineLevel="0" collapsed="false">
      <c r="A930" s="78" t="str">
        <f aca="false">IFERROR(IF($B930="","",IF(INDEX(Einheiten!$B$4:$B$63,MATCH($B930,Einheiten!$A$4:$A$63,0))=0,"",INDEX(Einheiten!$B$4:$B$63,MATCH($B930,Einheiten!$A$4:$A$63,0)))),"")</f>
        <v/>
      </c>
      <c r="B930" s="54"/>
      <c r="C930" s="79" t="str">
        <f aca="false">IFERROR(IF($D930="","",INDEX(Übungen!$B$4:$B$23,MATCH($D930,Übungen!$A$4:$A$23,0))),"")</f>
        <v/>
      </c>
      <c r="D930" s="56"/>
      <c r="E930" s="73"/>
      <c r="F930" s="55"/>
      <c r="G930" s="74"/>
      <c r="H930" s="55"/>
      <c r="I930" s="49" t="str">
        <f aca="false">IF(AND(ISNUMBER($F930),ISNUMBER($G930),$E930&lt;&gt;"R"),$F930*$G930,"")</f>
        <v/>
      </c>
      <c r="J930" s="51" t="str">
        <f aca="false">IF(AND($E930="A",ISNUMBER($F930),ISNUMBER($G930)),$F930*(1+$G930/30),"")</f>
        <v/>
      </c>
      <c r="K930" s="56"/>
      <c r="L930" s="56"/>
    </row>
    <row r="931" customFormat="false" ht="15.75" hidden="false" customHeight="true" outlineLevel="0" collapsed="false">
      <c r="A931" s="78" t="str">
        <f aca="false">IFERROR(IF($B931="","",IF(INDEX(Einheiten!$B$4:$B$63,MATCH($B931,Einheiten!$A$4:$A$63,0))=0,"",INDEX(Einheiten!$B$4:$B$63,MATCH($B931,Einheiten!$A$4:$A$63,0)))),"")</f>
        <v/>
      </c>
      <c r="B931" s="54"/>
      <c r="C931" s="79" t="str">
        <f aca="false">IFERROR(IF($D931="","",INDEX(Übungen!$B$4:$B$23,MATCH($D931,Übungen!$A$4:$A$23,0))),"")</f>
        <v/>
      </c>
      <c r="D931" s="56"/>
      <c r="E931" s="73"/>
      <c r="F931" s="55"/>
      <c r="G931" s="74"/>
      <c r="H931" s="55"/>
      <c r="I931" s="49" t="str">
        <f aca="false">IF(AND(ISNUMBER($F931),ISNUMBER($G931),$E931&lt;&gt;"R"),$F931*$G931,"")</f>
        <v/>
      </c>
      <c r="J931" s="51" t="str">
        <f aca="false">IF(AND($E931="A",ISNUMBER($F931),ISNUMBER($G931)),$F931*(1+$G931/30),"")</f>
        <v/>
      </c>
      <c r="K931" s="56"/>
      <c r="L931" s="56"/>
    </row>
    <row r="932" customFormat="false" ht="15.75" hidden="false" customHeight="true" outlineLevel="0" collapsed="false">
      <c r="A932" s="78" t="str">
        <f aca="false">IFERROR(IF($B932="","",IF(INDEX(Einheiten!$B$4:$B$63,MATCH($B932,Einheiten!$A$4:$A$63,0))=0,"",INDEX(Einheiten!$B$4:$B$63,MATCH($B932,Einheiten!$A$4:$A$63,0)))),"")</f>
        <v/>
      </c>
      <c r="B932" s="54"/>
      <c r="C932" s="79" t="str">
        <f aca="false">IFERROR(IF($D932="","",INDEX(Übungen!$B$4:$B$23,MATCH($D932,Übungen!$A$4:$A$23,0))),"")</f>
        <v/>
      </c>
      <c r="D932" s="56"/>
      <c r="E932" s="73"/>
      <c r="F932" s="55"/>
      <c r="G932" s="74"/>
      <c r="H932" s="55"/>
      <c r="I932" s="49" t="str">
        <f aca="false">IF(AND(ISNUMBER($F932),ISNUMBER($G932),$E932&lt;&gt;"R"),$F932*$G932,"")</f>
        <v/>
      </c>
      <c r="J932" s="51" t="str">
        <f aca="false">IF(AND($E932="A",ISNUMBER($F932),ISNUMBER($G932)),$F932*(1+$G932/30),"")</f>
        <v/>
      </c>
      <c r="K932" s="56"/>
      <c r="L932" s="56"/>
    </row>
    <row r="933" customFormat="false" ht="15.75" hidden="false" customHeight="true" outlineLevel="0" collapsed="false">
      <c r="A933" s="78" t="str">
        <f aca="false">IFERROR(IF($B933="","",IF(INDEX(Einheiten!$B$4:$B$63,MATCH($B933,Einheiten!$A$4:$A$63,0))=0,"",INDEX(Einheiten!$B$4:$B$63,MATCH($B933,Einheiten!$A$4:$A$63,0)))),"")</f>
        <v/>
      </c>
      <c r="B933" s="54"/>
      <c r="C933" s="79" t="str">
        <f aca="false">IFERROR(IF($D933="","",INDEX(Übungen!$B$4:$B$23,MATCH($D933,Übungen!$A$4:$A$23,0))),"")</f>
        <v/>
      </c>
      <c r="D933" s="56"/>
      <c r="E933" s="73"/>
      <c r="F933" s="55"/>
      <c r="G933" s="74"/>
      <c r="H933" s="55"/>
      <c r="I933" s="49" t="str">
        <f aca="false">IF(AND(ISNUMBER($F933),ISNUMBER($G933),$E933&lt;&gt;"R"),$F933*$G933,"")</f>
        <v/>
      </c>
      <c r="J933" s="51" t="str">
        <f aca="false">IF(AND($E933="A",ISNUMBER($F933),ISNUMBER($G933)),$F933*(1+$G933/30),"")</f>
        <v/>
      </c>
      <c r="K933" s="56"/>
      <c r="L933" s="56"/>
    </row>
    <row r="934" customFormat="false" ht="15.75" hidden="false" customHeight="true" outlineLevel="0" collapsed="false">
      <c r="A934" s="78" t="str">
        <f aca="false">IFERROR(IF($B934="","",IF(INDEX(Einheiten!$B$4:$B$63,MATCH($B934,Einheiten!$A$4:$A$63,0))=0,"",INDEX(Einheiten!$B$4:$B$63,MATCH($B934,Einheiten!$A$4:$A$63,0)))),"")</f>
        <v/>
      </c>
      <c r="B934" s="54"/>
      <c r="C934" s="79" t="str">
        <f aca="false">IFERROR(IF($D934="","",INDEX(Übungen!$B$4:$B$23,MATCH($D934,Übungen!$A$4:$A$23,0))),"")</f>
        <v/>
      </c>
      <c r="D934" s="56"/>
      <c r="E934" s="73"/>
      <c r="F934" s="55"/>
      <c r="G934" s="74"/>
      <c r="H934" s="55"/>
      <c r="I934" s="49" t="str">
        <f aca="false">IF(AND(ISNUMBER($F934),ISNUMBER($G934),$E934&lt;&gt;"R"),$F934*$G934,"")</f>
        <v/>
      </c>
      <c r="J934" s="51" t="str">
        <f aca="false">IF(AND($E934="A",ISNUMBER($F934),ISNUMBER($G934)),$F934*(1+$G934/30),"")</f>
        <v/>
      </c>
      <c r="K934" s="56"/>
      <c r="L934" s="56"/>
    </row>
    <row r="935" customFormat="false" ht="15.75" hidden="false" customHeight="true" outlineLevel="0" collapsed="false">
      <c r="A935" s="78" t="str">
        <f aca="false">IFERROR(IF($B935="","",IF(INDEX(Einheiten!$B$4:$B$63,MATCH($B935,Einheiten!$A$4:$A$63,0))=0,"",INDEX(Einheiten!$B$4:$B$63,MATCH($B935,Einheiten!$A$4:$A$63,0)))),"")</f>
        <v/>
      </c>
      <c r="B935" s="54"/>
      <c r="C935" s="79" t="str">
        <f aca="false">IFERROR(IF($D935="","",INDEX(Übungen!$B$4:$B$23,MATCH($D935,Übungen!$A$4:$A$23,0))),"")</f>
        <v/>
      </c>
      <c r="D935" s="56"/>
      <c r="E935" s="73"/>
      <c r="F935" s="55"/>
      <c r="G935" s="74"/>
      <c r="H935" s="55"/>
      <c r="I935" s="49" t="str">
        <f aca="false">IF(AND(ISNUMBER($F935),ISNUMBER($G935),$E935&lt;&gt;"R"),$F935*$G935,"")</f>
        <v/>
      </c>
      <c r="J935" s="51" t="str">
        <f aca="false">IF(AND($E935="A",ISNUMBER($F935),ISNUMBER($G935)),$F935*(1+$G935/30),"")</f>
        <v/>
      </c>
      <c r="K935" s="56"/>
      <c r="L935" s="56"/>
    </row>
    <row r="936" customFormat="false" ht="15.75" hidden="false" customHeight="true" outlineLevel="0" collapsed="false">
      <c r="A936" s="78" t="str">
        <f aca="false">IFERROR(IF($B936="","",IF(INDEX(Einheiten!$B$4:$B$63,MATCH($B936,Einheiten!$A$4:$A$63,0))=0,"",INDEX(Einheiten!$B$4:$B$63,MATCH($B936,Einheiten!$A$4:$A$63,0)))),"")</f>
        <v/>
      </c>
      <c r="B936" s="54"/>
      <c r="C936" s="79" t="str">
        <f aca="false">IFERROR(IF($D936="","",INDEX(Übungen!$B$4:$B$23,MATCH($D936,Übungen!$A$4:$A$23,0))),"")</f>
        <v/>
      </c>
      <c r="D936" s="56"/>
      <c r="E936" s="73"/>
      <c r="F936" s="55"/>
      <c r="G936" s="74"/>
      <c r="H936" s="55"/>
      <c r="I936" s="49" t="str">
        <f aca="false">IF(AND(ISNUMBER($F936),ISNUMBER($G936),$E936&lt;&gt;"R"),$F936*$G936,"")</f>
        <v/>
      </c>
      <c r="J936" s="51" t="str">
        <f aca="false">IF(AND($E936="A",ISNUMBER($F936),ISNUMBER($G936)),$F936*(1+$G936/30),"")</f>
        <v/>
      </c>
      <c r="K936" s="56"/>
      <c r="L936" s="56"/>
    </row>
    <row r="937" customFormat="false" ht="15.75" hidden="false" customHeight="true" outlineLevel="0" collapsed="false">
      <c r="A937" s="78" t="str">
        <f aca="false">IFERROR(IF($B937="","",IF(INDEX(Einheiten!$B$4:$B$63,MATCH($B937,Einheiten!$A$4:$A$63,0))=0,"",INDEX(Einheiten!$B$4:$B$63,MATCH($B937,Einheiten!$A$4:$A$63,0)))),"")</f>
        <v/>
      </c>
      <c r="B937" s="54"/>
      <c r="C937" s="79" t="str">
        <f aca="false">IFERROR(IF($D937="","",INDEX(Übungen!$B$4:$B$23,MATCH($D937,Übungen!$A$4:$A$23,0))),"")</f>
        <v/>
      </c>
      <c r="D937" s="56"/>
      <c r="E937" s="73"/>
      <c r="F937" s="55"/>
      <c r="G937" s="74"/>
      <c r="H937" s="55"/>
      <c r="I937" s="49" t="str">
        <f aca="false">IF(AND(ISNUMBER($F937),ISNUMBER($G937),$E937&lt;&gt;"R"),$F937*$G937,"")</f>
        <v/>
      </c>
      <c r="J937" s="51" t="str">
        <f aca="false">IF(AND($E937="A",ISNUMBER($F937),ISNUMBER($G937)),$F937*(1+$G937/30),"")</f>
        <v/>
      </c>
      <c r="K937" s="56"/>
      <c r="L937" s="56"/>
    </row>
    <row r="938" customFormat="false" ht="15.75" hidden="false" customHeight="true" outlineLevel="0" collapsed="false">
      <c r="A938" s="78" t="str">
        <f aca="false">IFERROR(IF($B938="","",IF(INDEX(Einheiten!$B$4:$B$63,MATCH($B938,Einheiten!$A$4:$A$63,0))=0,"",INDEX(Einheiten!$B$4:$B$63,MATCH($B938,Einheiten!$A$4:$A$63,0)))),"")</f>
        <v/>
      </c>
      <c r="B938" s="54"/>
      <c r="C938" s="79" t="str">
        <f aca="false">IFERROR(IF($D938="","",INDEX(Übungen!$B$4:$B$23,MATCH($D938,Übungen!$A$4:$A$23,0))),"")</f>
        <v/>
      </c>
      <c r="D938" s="56"/>
      <c r="E938" s="73"/>
      <c r="F938" s="55"/>
      <c r="G938" s="74"/>
      <c r="H938" s="55"/>
      <c r="I938" s="49" t="str">
        <f aca="false">IF(AND(ISNUMBER($F938),ISNUMBER($G938),$E938&lt;&gt;"R"),$F938*$G938,"")</f>
        <v/>
      </c>
      <c r="J938" s="51" t="str">
        <f aca="false">IF(AND($E938="A",ISNUMBER($F938),ISNUMBER($G938)),$F938*(1+$G938/30),"")</f>
        <v/>
      </c>
      <c r="K938" s="56"/>
      <c r="L938" s="56"/>
    </row>
    <row r="939" customFormat="false" ht="15.75" hidden="false" customHeight="true" outlineLevel="0" collapsed="false">
      <c r="A939" s="78" t="str">
        <f aca="false">IFERROR(IF($B939="","",IF(INDEX(Einheiten!$B$4:$B$63,MATCH($B939,Einheiten!$A$4:$A$63,0))=0,"",INDEX(Einheiten!$B$4:$B$63,MATCH($B939,Einheiten!$A$4:$A$63,0)))),"")</f>
        <v/>
      </c>
      <c r="B939" s="54"/>
      <c r="C939" s="79" t="str">
        <f aca="false">IFERROR(IF($D939="","",INDEX(Übungen!$B$4:$B$23,MATCH($D939,Übungen!$A$4:$A$23,0))),"")</f>
        <v/>
      </c>
      <c r="D939" s="56"/>
      <c r="E939" s="73"/>
      <c r="F939" s="55"/>
      <c r="G939" s="74"/>
      <c r="H939" s="55"/>
      <c r="I939" s="49" t="str">
        <f aca="false">IF(AND(ISNUMBER($F939),ISNUMBER($G939),$E939&lt;&gt;"R"),$F939*$G939,"")</f>
        <v/>
      </c>
      <c r="J939" s="51" t="str">
        <f aca="false">IF(AND($E939="A",ISNUMBER($F939),ISNUMBER($G939)),$F939*(1+$G939/30),"")</f>
        <v/>
      </c>
      <c r="K939" s="56"/>
      <c r="L939" s="56"/>
    </row>
    <row r="940" customFormat="false" ht="15.75" hidden="false" customHeight="true" outlineLevel="0" collapsed="false">
      <c r="A940" s="78" t="str">
        <f aca="false">IFERROR(IF($B940="","",IF(INDEX(Einheiten!$B$4:$B$63,MATCH($B940,Einheiten!$A$4:$A$63,0))=0,"",INDEX(Einheiten!$B$4:$B$63,MATCH($B940,Einheiten!$A$4:$A$63,0)))),"")</f>
        <v/>
      </c>
      <c r="B940" s="54"/>
      <c r="C940" s="79" t="str">
        <f aca="false">IFERROR(IF($D940="","",INDEX(Übungen!$B$4:$B$23,MATCH($D940,Übungen!$A$4:$A$23,0))),"")</f>
        <v/>
      </c>
      <c r="D940" s="56"/>
      <c r="E940" s="73"/>
      <c r="F940" s="55"/>
      <c r="G940" s="74"/>
      <c r="H940" s="55"/>
      <c r="I940" s="49" t="str">
        <f aca="false">IF(AND(ISNUMBER($F940),ISNUMBER($G940),$E940&lt;&gt;"R"),$F940*$G940,"")</f>
        <v/>
      </c>
      <c r="J940" s="51" t="str">
        <f aca="false">IF(AND($E940="A",ISNUMBER($F940),ISNUMBER($G940)),$F940*(1+$G940/30),"")</f>
        <v/>
      </c>
      <c r="K940" s="56"/>
      <c r="L940" s="56"/>
    </row>
    <row r="941" customFormat="false" ht="15.75" hidden="false" customHeight="true" outlineLevel="0" collapsed="false">
      <c r="A941" s="78" t="str">
        <f aca="false">IFERROR(IF($B941="","",IF(INDEX(Einheiten!$B$4:$B$63,MATCH($B941,Einheiten!$A$4:$A$63,0))=0,"",INDEX(Einheiten!$B$4:$B$63,MATCH($B941,Einheiten!$A$4:$A$63,0)))),"")</f>
        <v/>
      </c>
      <c r="B941" s="54"/>
      <c r="C941" s="79" t="str">
        <f aca="false">IFERROR(IF($D941="","",INDEX(Übungen!$B$4:$B$23,MATCH($D941,Übungen!$A$4:$A$23,0))),"")</f>
        <v/>
      </c>
      <c r="D941" s="56"/>
      <c r="E941" s="73"/>
      <c r="F941" s="55"/>
      <c r="G941" s="74"/>
      <c r="H941" s="55"/>
      <c r="I941" s="49" t="str">
        <f aca="false">IF(AND(ISNUMBER($F941),ISNUMBER($G941),$E941&lt;&gt;"R"),$F941*$G941,"")</f>
        <v/>
      </c>
      <c r="J941" s="51" t="str">
        <f aca="false">IF(AND($E941="A",ISNUMBER($F941),ISNUMBER($G941)),$F941*(1+$G941/30),"")</f>
        <v/>
      </c>
      <c r="K941" s="56"/>
      <c r="L941" s="56"/>
    </row>
    <row r="942" customFormat="false" ht="15.75" hidden="false" customHeight="true" outlineLevel="0" collapsed="false">
      <c r="A942" s="78" t="str">
        <f aca="false">IFERROR(IF($B942="","",IF(INDEX(Einheiten!$B$4:$B$63,MATCH($B942,Einheiten!$A$4:$A$63,0))=0,"",INDEX(Einheiten!$B$4:$B$63,MATCH($B942,Einheiten!$A$4:$A$63,0)))),"")</f>
        <v/>
      </c>
      <c r="B942" s="54"/>
      <c r="C942" s="79" t="str">
        <f aca="false">IFERROR(IF($D942="","",INDEX(Übungen!$B$4:$B$23,MATCH($D942,Übungen!$A$4:$A$23,0))),"")</f>
        <v/>
      </c>
      <c r="D942" s="56"/>
      <c r="E942" s="73"/>
      <c r="F942" s="55"/>
      <c r="G942" s="74"/>
      <c r="H942" s="55"/>
      <c r="I942" s="49" t="str">
        <f aca="false">IF(AND(ISNUMBER($F942),ISNUMBER($G942),$E942&lt;&gt;"R"),$F942*$G942,"")</f>
        <v/>
      </c>
      <c r="J942" s="51" t="str">
        <f aca="false">IF(AND($E942="A",ISNUMBER($F942),ISNUMBER($G942)),$F942*(1+$G942/30),"")</f>
        <v/>
      </c>
      <c r="K942" s="56"/>
      <c r="L942" s="56"/>
    </row>
    <row r="943" customFormat="false" ht="15.75" hidden="false" customHeight="true" outlineLevel="0" collapsed="false">
      <c r="A943" s="78" t="str">
        <f aca="false">IFERROR(IF($B943="","",IF(INDEX(Einheiten!$B$4:$B$63,MATCH($B943,Einheiten!$A$4:$A$63,0))=0,"",INDEX(Einheiten!$B$4:$B$63,MATCH($B943,Einheiten!$A$4:$A$63,0)))),"")</f>
        <v/>
      </c>
      <c r="B943" s="54"/>
      <c r="C943" s="79" t="str">
        <f aca="false">IFERROR(IF($D943="","",INDEX(Übungen!$B$4:$B$23,MATCH($D943,Übungen!$A$4:$A$23,0))),"")</f>
        <v/>
      </c>
      <c r="D943" s="56"/>
      <c r="E943" s="73"/>
      <c r="F943" s="55"/>
      <c r="G943" s="74"/>
      <c r="H943" s="55"/>
      <c r="I943" s="49" t="str">
        <f aca="false">IF(AND(ISNUMBER($F943),ISNUMBER($G943),$E943&lt;&gt;"R"),$F943*$G943,"")</f>
        <v/>
      </c>
      <c r="J943" s="51" t="str">
        <f aca="false">IF(AND($E943="A",ISNUMBER($F943),ISNUMBER($G943)),$F943*(1+$G943/30),"")</f>
        <v/>
      </c>
      <c r="K943" s="56"/>
      <c r="L943" s="56"/>
    </row>
    <row r="944" customFormat="false" ht="15.75" hidden="false" customHeight="true" outlineLevel="0" collapsed="false">
      <c r="A944" s="78" t="str">
        <f aca="false">IFERROR(IF($B944="","",IF(INDEX(Einheiten!$B$4:$B$63,MATCH($B944,Einheiten!$A$4:$A$63,0))=0,"",INDEX(Einheiten!$B$4:$B$63,MATCH($B944,Einheiten!$A$4:$A$63,0)))),"")</f>
        <v/>
      </c>
      <c r="B944" s="54"/>
      <c r="C944" s="79" t="str">
        <f aca="false">IFERROR(IF($D944="","",INDEX(Übungen!$B$4:$B$23,MATCH($D944,Übungen!$A$4:$A$23,0))),"")</f>
        <v/>
      </c>
      <c r="D944" s="56"/>
      <c r="E944" s="73"/>
      <c r="F944" s="55"/>
      <c r="G944" s="74"/>
      <c r="H944" s="55"/>
      <c r="I944" s="49" t="str">
        <f aca="false">IF(AND(ISNUMBER($F944),ISNUMBER($G944),$E944&lt;&gt;"R"),$F944*$G944,"")</f>
        <v/>
      </c>
      <c r="J944" s="51" t="str">
        <f aca="false">IF(AND($E944="A",ISNUMBER($F944),ISNUMBER($G944)),$F944*(1+$G944/30),"")</f>
        <v/>
      </c>
      <c r="K944" s="56"/>
      <c r="L944" s="56"/>
    </row>
    <row r="945" customFormat="false" ht="15.75" hidden="false" customHeight="true" outlineLevel="0" collapsed="false">
      <c r="A945" s="78" t="str">
        <f aca="false">IFERROR(IF($B945="","",IF(INDEX(Einheiten!$B$4:$B$63,MATCH($B945,Einheiten!$A$4:$A$63,0))=0,"",INDEX(Einheiten!$B$4:$B$63,MATCH($B945,Einheiten!$A$4:$A$63,0)))),"")</f>
        <v/>
      </c>
      <c r="B945" s="54"/>
      <c r="C945" s="79" t="str">
        <f aca="false">IFERROR(IF($D945="","",INDEX(Übungen!$B$4:$B$23,MATCH($D945,Übungen!$A$4:$A$23,0))),"")</f>
        <v/>
      </c>
      <c r="D945" s="56"/>
      <c r="E945" s="73"/>
      <c r="F945" s="55"/>
      <c r="G945" s="74"/>
      <c r="H945" s="55"/>
      <c r="I945" s="49" t="str">
        <f aca="false">IF(AND(ISNUMBER($F945),ISNUMBER($G945),$E945&lt;&gt;"R"),$F945*$G945,"")</f>
        <v/>
      </c>
      <c r="J945" s="51" t="str">
        <f aca="false">IF(AND($E945="A",ISNUMBER($F945),ISNUMBER($G945)),$F945*(1+$G945/30),"")</f>
        <v/>
      </c>
      <c r="K945" s="56"/>
      <c r="L945" s="56"/>
    </row>
    <row r="946" customFormat="false" ht="15.75" hidden="false" customHeight="true" outlineLevel="0" collapsed="false">
      <c r="A946" s="78" t="str">
        <f aca="false">IFERROR(IF($B946="","",IF(INDEX(Einheiten!$B$4:$B$63,MATCH($B946,Einheiten!$A$4:$A$63,0))=0,"",INDEX(Einheiten!$B$4:$B$63,MATCH($B946,Einheiten!$A$4:$A$63,0)))),"")</f>
        <v/>
      </c>
      <c r="B946" s="54"/>
      <c r="C946" s="79" t="str">
        <f aca="false">IFERROR(IF($D946="","",INDEX(Übungen!$B$4:$B$23,MATCH($D946,Übungen!$A$4:$A$23,0))),"")</f>
        <v/>
      </c>
      <c r="D946" s="56"/>
      <c r="E946" s="73"/>
      <c r="F946" s="55"/>
      <c r="G946" s="74"/>
      <c r="H946" s="55"/>
      <c r="I946" s="49" t="str">
        <f aca="false">IF(AND(ISNUMBER($F946),ISNUMBER($G946),$E946&lt;&gt;"R"),$F946*$G946,"")</f>
        <v/>
      </c>
      <c r="J946" s="51" t="str">
        <f aca="false">IF(AND($E946="A",ISNUMBER($F946),ISNUMBER($G946)),$F946*(1+$G946/30),"")</f>
        <v/>
      </c>
      <c r="K946" s="56"/>
      <c r="L946" s="56"/>
    </row>
    <row r="947" customFormat="false" ht="15.75" hidden="false" customHeight="true" outlineLevel="0" collapsed="false">
      <c r="A947" s="78" t="str">
        <f aca="false">IFERROR(IF($B947="","",IF(INDEX(Einheiten!$B$4:$B$63,MATCH($B947,Einheiten!$A$4:$A$63,0))=0,"",INDEX(Einheiten!$B$4:$B$63,MATCH($B947,Einheiten!$A$4:$A$63,0)))),"")</f>
        <v/>
      </c>
      <c r="B947" s="54"/>
      <c r="C947" s="79" t="str">
        <f aca="false">IFERROR(IF($D947="","",INDEX(Übungen!$B$4:$B$23,MATCH($D947,Übungen!$A$4:$A$23,0))),"")</f>
        <v/>
      </c>
      <c r="D947" s="56"/>
      <c r="E947" s="73"/>
      <c r="F947" s="55"/>
      <c r="G947" s="74"/>
      <c r="H947" s="55"/>
      <c r="I947" s="49" t="str">
        <f aca="false">IF(AND(ISNUMBER($F947),ISNUMBER($G947),$E947&lt;&gt;"R"),$F947*$G947,"")</f>
        <v/>
      </c>
      <c r="J947" s="51" t="str">
        <f aca="false">IF(AND($E947="A",ISNUMBER($F947),ISNUMBER($G947)),$F947*(1+$G947/30),"")</f>
        <v/>
      </c>
      <c r="K947" s="56"/>
      <c r="L947" s="56"/>
    </row>
    <row r="948" customFormat="false" ht="15.75" hidden="false" customHeight="true" outlineLevel="0" collapsed="false">
      <c r="A948" s="78" t="str">
        <f aca="false">IFERROR(IF($B948="","",IF(INDEX(Einheiten!$B$4:$B$63,MATCH($B948,Einheiten!$A$4:$A$63,0))=0,"",INDEX(Einheiten!$B$4:$B$63,MATCH($B948,Einheiten!$A$4:$A$63,0)))),"")</f>
        <v/>
      </c>
      <c r="B948" s="54"/>
      <c r="C948" s="79" t="str">
        <f aca="false">IFERROR(IF($D948="","",INDEX(Übungen!$B$4:$B$23,MATCH($D948,Übungen!$A$4:$A$23,0))),"")</f>
        <v/>
      </c>
      <c r="D948" s="56"/>
      <c r="E948" s="73"/>
      <c r="F948" s="55"/>
      <c r="G948" s="74"/>
      <c r="H948" s="55"/>
      <c r="I948" s="49" t="str">
        <f aca="false">IF(AND(ISNUMBER($F948),ISNUMBER($G948),$E948&lt;&gt;"R"),$F948*$G948,"")</f>
        <v/>
      </c>
      <c r="J948" s="51" t="str">
        <f aca="false">IF(AND($E948="A",ISNUMBER($F948),ISNUMBER($G948)),$F948*(1+$G948/30),"")</f>
        <v/>
      </c>
      <c r="K948" s="56"/>
      <c r="L948" s="56"/>
    </row>
    <row r="949" customFormat="false" ht="15.75" hidden="false" customHeight="true" outlineLevel="0" collapsed="false">
      <c r="A949" s="78" t="str">
        <f aca="false">IFERROR(IF($B949="","",IF(INDEX(Einheiten!$B$4:$B$63,MATCH($B949,Einheiten!$A$4:$A$63,0))=0,"",INDEX(Einheiten!$B$4:$B$63,MATCH($B949,Einheiten!$A$4:$A$63,0)))),"")</f>
        <v/>
      </c>
      <c r="B949" s="54"/>
      <c r="C949" s="79" t="str">
        <f aca="false">IFERROR(IF($D949="","",INDEX(Übungen!$B$4:$B$23,MATCH($D949,Übungen!$A$4:$A$23,0))),"")</f>
        <v/>
      </c>
      <c r="D949" s="56"/>
      <c r="E949" s="73"/>
      <c r="F949" s="55"/>
      <c r="G949" s="74"/>
      <c r="H949" s="55"/>
      <c r="I949" s="49" t="str">
        <f aca="false">IF(AND(ISNUMBER($F949),ISNUMBER($G949),$E949&lt;&gt;"R"),$F949*$G949,"")</f>
        <v/>
      </c>
      <c r="J949" s="51" t="str">
        <f aca="false">IF(AND($E949="A",ISNUMBER($F949),ISNUMBER($G949)),$F949*(1+$G949/30),"")</f>
        <v/>
      </c>
      <c r="K949" s="56"/>
      <c r="L949" s="56"/>
    </row>
    <row r="950" customFormat="false" ht="15.75" hidden="false" customHeight="true" outlineLevel="0" collapsed="false">
      <c r="A950" s="78" t="str">
        <f aca="false">IFERROR(IF($B950="","",IF(INDEX(Einheiten!$B$4:$B$63,MATCH($B950,Einheiten!$A$4:$A$63,0))=0,"",INDEX(Einheiten!$B$4:$B$63,MATCH($B950,Einheiten!$A$4:$A$63,0)))),"")</f>
        <v/>
      </c>
      <c r="B950" s="54"/>
      <c r="C950" s="79" t="str">
        <f aca="false">IFERROR(IF($D950="","",INDEX(Übungen!$B$4:$B$23,MATCH($D950,Übungen!$A$4:$A$23,0))),"")</f>
        <v/>
      </c>
      <c r="D950" s="56"/>
      <c r="E950" s="73"/>
      <c r="F950" s="55"/>
      <c r="G950" s="74"/>
      <c r="H950" s="55"/>
      <c r="I950" s="49" t="str">
        <f aca="false">IF(AND(ISNUMBER($F950),ISNUMBER($G950),$E950&lt;&gt;"R"),$F950*$G950,"")</f>
        <v/>
      </c>
      <c r="J950" s="51" t="str">
        <f aca="false">IF(AND($E950="A",ISNUMBER($F950),ISNUMBER($G950)),$F950*(1+$G950/30),"")</f>
        <v/>
      </c>
      <c r="K950" s="56"/>
      <c r="L950" s="56"/>
    </row>
    <row r="951" customFormat="false" ht="15.75" hidden="false" customHeight="true" outlineLevel="0" collapsed="false">
      <c r="A951" s="78" t="str">
        <f aca="false">IFERROR(IF($B951="","",IF(INDEX(Einheiten!$B$4:$B$63,MATCH($B951,Einheiten!$A$4:$A$63,0))=0,"",INDEX(Einheiten!$B$4:$B$63,MATCH($B951,Einheiten!$A$4:$A$63,0)))),"")</f>
        <v/>
      </c>
      <c r="B951" s="54"/>
      <c r="C951" s="79" t="str">
        <f aca="false">IFERROR(IF($D951="","",INDEX(Übungen!$B$4:$B$23,MATCH($D951,Übungen!$A$4:$A$23,0))),"")</f>
        <v/>
      </c>
      <c r="D951" s="56"/>
      <c r="E951" s="73"/>
      <c r="F951" s="55"/>
      <c r="G951" s="74"/>
      <c r="H951" s="55"/>
      <c r="I951" s="49" t="str">
        <f aca="false">IF(AND(ISNUMBER($F951),ISNUMBER($G951),$E951&lt;&gt;"R"),$F951*$G951,"")</f>
        <v/>
      </c>
      <c r="J951" s="51" t="str">
        <f aca="false">IF(AND($E951="A",ISNUMBER($F951),ISNUMBER($G951)),$F951*(1+$G951/30),"")</f>
        <v/>
      </c>
      <c r="K951" s="56"/>
      <c r="L951" s="56"/>
    </row>
    <row r="952" customFormat="false" ht="15.75" hidden="false" customHeight="true" outlineLevel="0" collapsed="false">
      <c r="A952" s="78" t="str">
        <f aca="false">IFERROR(IF($B952="","",IF(INDEX(Einheiten!$B$4:$B$63,MATCH($B952,Einheiten!$A$4:$A$63,0))=0,"",INDEX(Einheiten!$B$4:$B$63,MATCH($B952,Einheiten!$A$4:$A$63,0)))),"")</f>
        <v/>
      </c>
      <c r="B952" s="54"/>
      <c r="C952" s="79" t="str">
        <f aca="false">IFERROR(IF($D952="","",INDEX(Übungen!$B$4:$B$23,MATCH($D952,Übungen!$A$4:$A$23,0))),"")</f>
        <v/>
      </c>
      <c r="D952" s="56"/>
      <c r="E952" s="73"/>
      <c r="F952" s="55"/>
      <c r="G952" s="74"/>
      <c r="H952" s="55"/>
      <c r="I952" s="49" t="str">
        <f aca="false">IF(AND(ISNUMBER($F952),ISNUMBER($G952),$E952&lt;&gt;"R"),$F952*$G952,"")</f>
        <v/>
      </c>
      <c r="J952" s="51" t="str">
        <f aca="false">IF(AND($E952="A",ISNUMBER($F952),ISNUMBER($G952)),$F952*(1+$G952/30),"")</f>
        <v/>
      </c>
      <c r="K952" s="56"/>
      <c r="L952" s="56"/>
    </row>
    <row r="953" customFormat="false" ht="15.75" hidden="false" customHeight="true" outlineLevel="0" collapsed="false">
      <c r="A953" s="78" t="str">
        <f aca="false">IFERROR(IF($B953="","",IF(INDEX(Einheiten!$B$4:$B$63,MATCH($B953,Einheiten!$A$4:$A$63,0))=0,"",INDEX(Einheiten!$B$4:$B$63,MATCH($B953,Einheiten!$A$4:$A$63,0)))),"")</f>
        <v/>
      </c>
      <c r="B953" s="54"/>
      <c r="C953" s="79" t="str">
        <f aca="false">IFERROR(IF($D953="","",INDEX(Übungen!$B$4:$B$23,MATCH($D953,Übungen!$A$4:$A$23,0))),"")</f>
        <v/>
      </c>
      <c r="D953" s="56"/>
      <c r="E953" s="73"/>
      <c r="F953" s="55"/>
      <c r="G953" s="74"/>
      <c r="H953" s="55"/>
      <c r="I953" s="49" t="str">
        <f aca="false">IF(AND(ISNUMBER($F953),ISNUMBER($G953),$E953&lt;&gt;"R"),$F953*$G953,"")</f>
        <v/>
      </c>
      <c r="J953" s="51" t="str">
        <f aca="false">IF(AND($E953="A",ISNUMBER($F953),ISNUMBER($G953)),$F953*(1+$G953/30),"")</f>
        <v/>
      </c>
      <c r="K953" s="56"/>
      <c r="L953" s="56"/>
    </row>
    <row r="954" customFormat="false" ht="15.75" hidden="false" customHeight="true" outlineLevel="0" collapsed="false">
      <c r="A954" s="78" t="str">
        <f aca="false">IFERROR(IF($B954="","",IF(INDEX(Einheiten!$B$4:$B$63,MATCH($B954,Einheiten!$A$4:$A$63,0))=0,"",INDEX(Einheiten!$B$4:$B$63,MATCH($B954,Einheiten!$A$4:$A$63,0)))),"")</f>
        <v/>
      </c>
      <c r="B954" s="54"/>
      <c r="C954" s="79" t="str">
        <f aca="false">IFERROR(IF($D954="","",INDEX(Übungen!$B$4:$B$23,MATCH($D954,Übungen!$A$4:$A$23,0))),"")</f>
        <v/>
      </c>
      <c r="D954" s="56"/>
      <c r="E954" s="73"/>
      <c r="F954" s="55"/>
      <c r="G954" s="74"/>
      <c r="H954" s="55"/>
      <c r="I954" s="49" t="str">
        <f aca="false">IF(AND(ISNUMBER($F954),ISNUMBER($G954),$E954&lt;&gt;"R"),$F954*$G954,"")</f>
        <v/>
      </c>
      <c r="J954" s="51" t="str">
        <f aca="false">IF(AND($E954="A",ISNUMBER($F954),ISNUMBER($G954)),$F954*(1+$G954/30),"")</f>
        <v/>
      </c>
      <c r="K954" s="56"/>
      <c r="L954" s="56"/>
    </row>
    <row r="955" customFormat="false" ht="15.75" hidden="false" customHeight="true" outlineLevel="0" collapsed="false">
      <c r="A955" s="78" t="str">
        <f aca="false">IFERROR(IF($B955="","",IF(INDEX(Einheiten!$B$4:$B$63,MATCH($B955,Einheiten!$A$4:$A$63,0))=0,"",INDEX(Einheiten!$B$4:$B$63,MATCH($B955,Einheiten!$A$4:$A$63,0)))),"")</f>
        <v/>
      </c>
      <c r="B955" s="54"/>
      <c r="C955" s="79" t="str">
        <f aca="false">IFERROR(IF($D955="","",INDEX(Übungen!$B$4:$B$23,MATCH($D955,Übungen!$A$4:$A$23,0))),"")</f>
        <v/>
      </c>
      <c r="D955" s="56"/>
      <c r="E955" s="73"/>
      <c r="F955" s="55"/>
      <c r="G955" s="74"/>
      <c r="H955" s="55"/>
      <c r="I955" s="49" t="str">
        <f aca="false">IF(AND(ISNUMBER($F955),ISNUMBER($G955),$E955&lt;&gt;"R"),$F955*$G955,"")</f>
        <v/>
      </c>
      <c r="J955" s="51" t="str">
        <f aca="false">IF(AND($E955="A",ISNUMBER($F955),ISNUMBER($G955)),$F955*(1+$G955/30),"")</f>
        <v/>
      </c>
      <c r="K955" s="56"/>
      <c r="L955" s="56"/>
    </row>
    <row r="956" customFormat="false" ht="15.75" hidden="false" customHeight="true" outlineLevel="0" collapsed="false">
      <c r="A956" s="78" t="str">
        <f aca="false">IFERROR(IF($B956="","",IF(INDEX(Einheiten!$B$4:$B$63,MATCH($B956,Einheiten!$A$4:$A$63,0))=0,"",INDEX(Einheiten!$B$4:$B$63,MATCH($B956,Einheiten!$A$4:$A$63,0)))),"")</f>
        <v/>
      </c>
      <c r="B956" s="54"/>
      <c r="C956" s="79" t="str">
        <f aca="false">IFERROR(IF($D956="","",INDEX(Übungen!$B$4:$B$23,MATCH($D956,Übungen!$A$4:$A$23,0))),"")</f>
        <v/>
      </c>
      <c r="D956" s="56"/>
      <c r="E956" s="73"/>
      <c r="F956" s="55"/>
      <c r="G956" s="74"/>
      <c r="H956" s="55"/>
      <c r="I956" s="49" t="str">
        <f aca="false">IF(AND(ISNUMBER($F956),ISNUMBER($G956),$E956&lt;&gt;"R"),$F956*$G956,"")</f>
        <v/>
      </c>
      <c r="J956" s="51" t="str">
        <f aca="false">IF(AND($E956="A",ISNUMBER($F956),ISNUMBER($G956)),$F956*(1+$G956/30),"")</f>
        <v/>
      </c>
      <c r="K956" s="56"/>
      <c r="L956" s="56"/>
    </row>
    <row r="957" customFormat="false" ht="15.75" hidden="false" customHeight="true" outlineLevel="0" collapsed="false">
      <c r="A957" s="78" t="str">
        <f aca="false">IFERROR(IF($B957="","",IF(INDEX(Einheiten!$B$4:$B$63,MATCH($B957,Einheiten!$A$4:$A$63,0))=0,"",INDEX(Einheiten!$B$4:$B$63,MATCH($B957,Einheiten!$A$4:$A$63,0)))),"")</f>
        <v/>
      </c>
      <c r="B957" s="54"/>
      <c r="C957" s="79" t="str">
        <f aca="false">IFERROR(IF($D957="","",INDEX(Übungen!$B$4:$B$23,MATCH($D957,Übungen!$A$4:$A$23,0))),"")</f>
        <v/>
      </c>
      <c r="D957" s="56"/>
      <c r="E957" s="73"/>
      <c r="F957" s="55"/>
      <c r="G957" s="74"/>
      <c r="H957" s="55"/>
      <c r="I957" s="49" t="str">
        <f aca="false">IF(AND(ISNUMBER($F957),ISNUMBER($G957),$E957&lt;&gt;"R"),$F957*$G957,"")</f>
        <v/>
      </c>
      <c r="J957" s="51" t="str">
        <f aca="false">IF(AND($E957="A",ISNUMBER($F957),ISNUMBER($G957)),$F957*(1+$G957/30),"")</f>
        <v/>
      </c>
      <c r="K957" s="56"/>
      <c r="L957" s="56"/>
    </row>
    <row r="958" customFormat="false" ht="15.75" hidden="false" customHeight="true" outlineLevel="0" collapsed="false">
      <c r="A958" s="78" t="str">
        <f aca="false">IFERROR(IF($B958="","",IF(INDEX(Einheiten!$B$4:$B$63,MATCH($B958,Einheiten!$A$4:$A$63,0))=0,"",INDEX(Einheiten!$B$4:$B$63,MATCH($B958,Einheiten!$A$4:$A$63,0)))),"")</f>
        <v/>
      </c>
      <c r="B958" s="54"/>
      <c r="C958" s="79" t="str">
        <f aca="false">IFERROR(IF($D958="","",INDEX(Übungen!$B$4:$B$23,MATCH($D958,Übungen!$A$4:$A$23,0))),"")</f>
        <v/>
      </c>
      <c r="D958" s="56"/>
      <c r="E958" s="73"/>
      <c r="F958" s="55"/>
      <c r="G958" s="74"/>
      <c r="H958" s="55"/>
      <c r="I958" s="49" t="str">
        <f aca="false">IF(AND(ISNUMBER($F958),ISNUMBER($G958),$E958&lt;&gt;"R"),$F958*$G958,"")</f>
        <v/>
      </c>
      <c r="J958" s="51" t="str">
        <f aca="false">IF(AND($E958="A",ISNUMBER($F958),ISNUMBER($G958)),$F958*(1+$G958/30),"")</f>
        <v/>
      </c>
      <c r="K958" s="56"/>
      <c r="L958" s="56"/>
    </row>
    <row r="959" customFormat="false" ht="15.75" hidden="false" customHeight="true" outlineLevel="0" collapsed="false">
      <c r="A959" s="78" t="str">
        <f aca="false">IFERROR(IF($B959="","",IF(INDEX(Einheiten!$B$4:$B$63,MATCH($B959,Einheiten!$A$4:$A$63,0))=0,"",INDEX(Einheiten!$B$4:$B$63,MATCH($B959,Einheiten!$A$4:$A$63,0)))),"")</f>
        <v/>
      </c>
      <c r="B959" s="54"/>
      <c r="C959" s="79" t="str">
        <f aca="false">IFERROR(IF($D959="","",INDEX(Übungen!$B$4:$B$23,MATCH($D959,Übungen!$A$4:$A$23,0))),"")</f>
        <v/>
      </c>
      <c r="D959" s="56"/>
      <c r="E959" s="73"/>
      <c r="F959" s="55"/>
      <c r="G959" s="74"/>
      <c r="H959" s="55"/>
      <c r="I959" s="49" t="str">
        <f aca="false">IF(AND(ISNUMBER($F959),ISNUMBER($G959),$E959&lt;&gt;"R"),$F959*$G959,"")</f>
        <v/>
      </c>
      <c r="J959" s="51" t="str">
        <f aca="false">IF(AND($E959="A",ISNUMBER($F959),ISNUMBER($G959)),$F959*(1+$G959/30),"")</f>
        <v/>
      </c>
      <c r="K959" s="56"/>
      <c r="L959" s="56"/>
    </row>
    <row r="960" customFormat="false" ht="15.75" hidden="false" customHeight="true" outlineLevel="0" collapsed="false">
      <c r="A960" s="78" t="str">
        <f aca="false">IFERROR(IF($B960="","",IF(INDEX(Einheiten!$B$4:$B$63,MATCH($B960,Einheiten!$A$4:$A$63,0))=0,"",INDEX(Einheiten!$B$4:$B$63,MATCH($B960,Einheiten!$A$4:$A$63,0)))),"")</f>
        <v/>
      </c>
      <c r="B960" s="54"/>
      <c r="C960" s="79" t="str">
        <f aca="false">IFERROR(IF($D960="","",INDEX(Übungen!$B$4:$B$23,MATCH($D960,Übungen!$A$4:$A$23,0))),"")</f>
        <v/>
      </c>
      <c r="D960" s="56"/>
      <c r="E960" s="73"/>
      <c r="F960" s="55"/>
      <c r="G960" s="74"/>
      <c r="H960" s="55"/>
      <c r="I960" s="49" t="str">
        <f aca="false">IF(AND(ISNUMBER($F960),ISNUMBER($G960),$E960&lt;&gt;"R"),$F960*$G960,"")</f>
        <v/>
      </c>
      <c r="J960" s="51" t="str">
        <f aca="false">IF(AND($E960="A",ISNUMBER($F960),ISNUMBER($G960)),$F960*(1+$G960/30),"")</f>
        <v/>
      </c>
      <c r="K960" s="56"/>
      <c r="L960" s="56"/>
    </row>
    <row r="961" customFormat="false" ht="15.75" hidden="false" customHeight="true" outlineLevel="0" collapsed="false">
      <c r="A961" s="78" t="str">
        <f aca="false">IFERROR(IF($B961="","",IF(INDEX(Einheiten!$B$4:$B$63,MATCH($B961,Einheiten!$A$4:$A$63,0))=0,"",INDEX(Einheiten!$B$4:$B$63,MATCH($B961,Einheiten!$A$4:$A$63,0)))),"")</f>
        <v/>
      </c>
      <c r="B961" s="54"/>
      <c r="C961" s="79" t="str">
        <f aca="false">IFERROR(IF($D961="","",INDEX(Übungen!$B$4:$B$23,MATCH($D961,Übungen!$A$4:$A$23,0))),"")</f>
        <v/>
      </c>
      <c r="D961" s="56"/>
      <c r="E961" s="73"/>
      <c r="F961" s="55"/>
      <c r="G961" s="74"/>
      <c r="H961" s="55"/>
      <c r="I961" s="49" t="str">
        <f aca="false">IF(AND(ISNUMBER($F961),ISNUMBER($G961),$E961&lt;&gt;"R"),$F961*$G961,"")</f>
        <v/>
      </c>
      <c r="J961" s="51" t="str">
        <f aca="false">IF(AND($E961="A",ISNUMBER($F961),ISNUMBER($G961)),$F961*(1+$G961/30),"")</f>
        <v/>
      </c>
      <c r="K961" s="56"/>
      <c r="L961" s="56"/>
    </row>
    <row r="962" customFormat="false" ht="15.75" hidden="false" customHeight="true" outlineLevel="0" collapsed="false">
      <c r="A962" s="78" t="str">
        <f aca="false">IFERROR(IF($B962="","",IF(INDEX(Einheiten!$B$4:$B$63,MATCH($B962,Einheiten!$A$4:$A$63,0))=0,"",INDEX(Einheiten!$B$4:$B$63,MATCH($B962,Einheiten!$A$4:$A$63,0)))),"")</f>
        <v/>
      </c>
      <c r="B962" s="54"/>
      <c r="C962" s="79" t="str">
        <f aca="false">IFERROR(IF($D962="","",INDEX(Übungen!$B$4:$B$23,MATCH($D962,Übungen!$A$4:$A$23,0))),"")</f>
        <v/>
      </c>
      <c r="D962" s="56"/>
      <c r="E962" s="73"/>
      <c r="F962" s="55"/>
      <c r="G962" s="74"/>
      <c r="H962" s="55"/>
      <c r="I962" s="49" t="str">
        <f aca="false">IF(AND(ISNUMBER($F962),ISNUMBER($G962),$E962&lt;&gt;"R"),$F962*$G962,"")</f>
        <v/>
      </c>
      <c r="J962" s="51" t="str">
        <f aca="false">IF(AND($E962="A",ISNUMBER($F962),ISNUMBER($G962)),$F962*(1+$G962/30),"")</f>
        <v/>
      </c>
      <c r="K962" s="56"/>
      <c r="L962" s="56"/>
    </row>
    <row r="963" customFormat="false" ht="15.75" hidden="false" customHeight="true" outlineLevel="0" collapsed="false">
      <c r="A963" s="78" t="str">
        <f aca="false">IFERROR(IF($B963="","",IF(INDEX(Einheiten!$B$4:$B$63,MATCH($B963,Einheiten!$A$4:$A$63,0))=0,"",INDEX(Einheiten!$B$4:$B$63,MATCH($B963,Einheiten!$A$4:$A$63,0)))),"")</f>
        <v/>
      </c>
      <c r="B963" s="54"/>
      <c r="C963" s="79" t="str">
        <f aca="false">IFERROR(IF($D963="","",INDEX(Übungen!$B$4:$B$23,MATCH($D963,Übungen!$A$4:$A$23,0))),"")</f>
        <v/>
      </c>
      <c r="D963" s="56"/>
      <c r="E963" s="73"/>
      <c r="F963" s="55"/>
      <c r="G963" s="74"/>
      <c r="H963" s="55"/>
      <c r="I963" s="49" t="str">
        <f aca="false">IF(AND(ISNUMBER($F963),ISNUMBER($G963),$E963&lt;&gt;"R"),$F963*$G963,"")</f>
        <v/>
      </c>
      <c r="J963" s="51" t="str">
        <f aca="false">IF(AND($E963="A",ISNUMBER($F963),ISNUMBER($G963)),$F963*(1+$G963/30),"")</f>
        <v/>
      </c>
      <c r="K963" s="56"/>
      <c r="L963" s="56"/>
    </row>
    <row r="964" customFormat="false" ht="15.75" hidden="false" customHeight="true" outlineLevel="0" collapsed="false">
      <c r="A964" s="78" t="str">
        <f aca="false">IFERROR(IF($B964="","",IF(INDEX(Einheiten!$B$4:$B$63,MATCH($B964,Einheiten!$A$4:$A$63,0))=0,"",INDEX(Einheiten!$B$4:$B$63,MATCH($B964,Einheiten!$A$4:$A$63,0)))),"")</f>
        <v/>
      </c>
      <c r="B964" s="54"/>
      <c r="C964" s="79" t="str">
        <f aca="false">IFERROR(IF($D964="","",INDEX(Übungen!$B$4:$B$23,MATCH($D964,Übungen!$A$4:$A$23,0))),"")</f>
        <v/>
      </c>
      <c r="D964" s="56"/>
      <c r="E964" s="73"/>
      <c r="F964" s="55"/>
      <c r="G964" s="74"/>
      <c r="H964" s="55"/>
      <c r="I964" s="49" t="str">
        <f aca="false">IF(AND(ISNUMBER($F964),ISNUMBER($G964),$E964&lt;&gt;"R"),$F964*$G964,"")</f>
        <v/>
      </c>
      <c r="J964" s="51" t="str">
        <f aca="false">IF(AND($E964="A",ISNUMBER($F964),ISNUMBER($G964)),$F964*(1+$G964/30),"")</f>
        <v/>
      </c>
      <c r="K964" s="56"/>
      <c r="L964" s="56"/>
    </row>
    <row r="965" customFormat="false" ht="15.75" hidden="false" customHeight="true" outlineLevel="0" collapsed="false">
      <c r="A965" s="78" t="str">
        <f aca="false">IFERROR(IF($B965="","",IF(INDEX(Einheiten!$B$4:$B$63,MATCH($B965,Einheiten!$A$4:$A$63,0))=0,"",INDEX(Einheiten!$B$4:$B$63,MATCH($B965,Einheiten!$A$4:$A$63,0)))),"")</f>
        <v/>
      </c>
      <c r="B965" s="54"/>
      <c r="C965" s="79" t="str">
        <f aca="false">IFERROR(IF($D965="","",INDEX(Übungen!$B$4:$B$23,MATCH($D965,Übungen!$A$4:$A$23,0))),"")</f>
        <v/>
      </c>
      <c r="D965" s="56"/>
      <c r="E965" s="73"/>
      <c r="F965" s="55"/>
      <c r="G965" s="74"/>
      <c r="H965" s="55"/>
      <c r="I965" s="49" t="str">
        <f aca="false">IF(AND(ISNUMBER($F965),ISNUMBER($G965),$E965&lt;&gt;"R"),$F965*$G965,"")</f>
        <v/>
      </c>
      <c r="J965" s="51" t="str">
        <f aca="false">IF(AND($E965="A",ISNUMBER($F965),ISNUMBER($G965)),$F965*(1+$G965/30),"")</f>
        <v/>
      </c>
      <c r="K965" s="56"/>
      <c r="L965" s="56"/>
    </row>
    <row r="966" customFormat="false" ht="15.75" hidden="false" customHeight="true" outlineLevel="0" collapsed="false">
      <c r="A966" s="78" t="str">
        <f aca="false">IFERROR(IF($B966="","",IF(INDEX(Einheiten!$B$4:$B$63,MATCH($B966,Einheiten!$A$4:$A$63,0))=0,"",INDEX(Einheiten!$B$4:$B$63,MATCH($B966,Einheiten!$A$4:$A$63,0)))),"")</f>
        <v/>
      </c>
      <c r="B966" s="54"/>
      <c r="C966" s="79" t="str">
        <f aca="false">IFERROR(IF($D966="","",INDEX(Übungen!$B$4:$B$23,MATCH($D966,Übungen!$A$4:$A$23,0))),"")</f>
        <v/>
      </c>
      <c r="D966" s="56"/>
      <c r="E966" s="73"/>
      <c r="F966" s="55"/>
      <c r="G966" s="74"/>
      <c r="H966" s="55"/>
      <c r="I966" s="49" t="str">
        <f aca="false">IF(AND(ISNUMBER($F966),ISNUMBER($G966),$E966&lt;&gt;"R"),$F966*$G966,"")</f>
        <v/>
      </c>
      <c r="J966" s="51" t="str">
        <f aca="false">IF(AND($E966="A",ISNUMBER($F966),ISNUMBER($G966)),$F966*(1+$G966/30),"")</f>
        <v/>
      </c>
      <c r="K966" s="56"/>
      <c r="L966" s="56"/>
    </row>
    <row r="967" customFormat="false" ht="15.75" hidden="false" customHeight="true" outlineLevel="0" collapsed="false">
      <c r="A967" s="78" t="str">
        <f aca="false">IFERROR(IF($B967="","",IF(INDEX(Einheiten!$B$4:$B$63,MATCH($B967,Einheiten!$A$4:$A$63,0))=0,"",INDEX(Einheiten!$B$4:$B$63,MATCH($B967,Einheiten!$A$4:$A$63,0)))),"")</f>
        <v/>
      </c>
      <c r="B967" s="54"/>
      <c r="C967" s="79" t="str">
        <f aca="false">IFERROR(IF($D967="","",INDEX(Übungen!$B$4:$B$23,MATCH($D967,Übungen!$A$4:$A$23,0))),"")</f>
        <v/>
      </c>
      <c r="D967" s="56"/>
      <c r="E967" s="73"/>
      <c r="F967" s="55"/>
      <c r="G967" s="74"/>
      <c r="H967" s="55"/>
      <c r="I967" s="49" t="str">
        <f aca="false">IF(AND(ISNUMBER($F967),ISNUMBER($G967),$E967&lt;&gt;"R"),$F967*$G967,"")</f>
        <v/>
      </c>
      <c r="J967" s="51" t="str">
        <f aca="false">IF(AND($E967="A",ISNUMBER($F967),ISNUMBER($G967)),$F967*(1+$G967/30),"")</f>
        <v/>
      </c>
      <c r="K967" s="56"/>
      <c r="L967" s="56"/>
    </row>
    <row r="968" customFormat="false" ht="15.75" hidden="false" customHeight="true" outlineLevel="0" collapsed="false">
      <c r="A968" s="78" t="str">
        <f aca="false">IFERROR(IF($B968="","",IF(INDEX(Einheiten!$B$4:$B$63,MATCH($B968,Einheiten!$A$4:$A$63,0))=0,"",INDEX(Einheiten!$B$4:$B$63,MATCH($B968,Einheiten!$A$4:$A$63,0)))),"")</f>
        <v/>
      </c>
      <c r="B968" s="54"/>
      <c r="C968" s="79" t="str">
        <f aca="false">IFERROR(IF($D968="","",INDEX(Übungen!$B$4:$B$23,MATCH($D968,Übungen!$A$4:$A$23,0))),"")</f>
        <v/>
      </c>
      <c r="D968" s="56"/>
      <c r="E968" s="73"/>
      <c r="F968" s="55"/>
      <c r="G968" s="74"/>
      <c r="H968" s="55"/>
      <c r="I968" s="49" t="str">
        <f aca="false">IF(AND(ISNUMBER($F968),ISNUMBER($G968),$E968&lt;&gt;"R"),$F968*$G968,"")</f>
        <v/>
      </c>
      <c r="J968" s="51" t="str">
        <f aca="false">IF(AND($E968="A",ISNUMBER($F968),ISNUMBER($G968)),$F968*(1+$G968/30),"")</f>
        <v/>
      </c>
      <c r="K968" s="56"/>
      <c r="L968" s="56"/>
    </row>
    <row r="969" customFormat="false" ht="15.75" hidden="false" customHeight="true" outlineLevel="0" collapsed="false">
      <c r="A969" s="78" t="str">
        <f aca="false">IFERROR(IF($B969="","",IF(INDEX(Einheiten!$B$4:$B$63,MATCH($B969,Einheiten!$A$4:$A$63,0))=0,"",INDEX(Einheiten!$B$4:$B$63,MATCH($B969,Einheiten!$A$4:$A$63,0)))),"")</f>
        <v/>
      </c>
      <c r="B969" s="54"/>
      <c r="C969" s="79" t="str">
        <f aca="false">IFERROR(IF($D969="","",INDEX(Übungen!$B$4:$B$23,MATCH($D969,Übungen!$A$4:$A$23,0))),"")</f>
        <v/>
      </c>
      <c r="D969" s="56"/>
      <c r="E969" s="73"/>
      <c r="F969" s="55"/>
      <c r="G969" s="74"/>
      <c r="H969" s="55"/>
      <c r="I969" s="49" t="str">
        <f aca="false">IF(AND(ISNUMBER($F969),ISNUMBER($G969),$E969&lt;&gt;"R"),$F969*$G969,"")</f>
        <v/>
      </c>
      <c r="J969" s="51" t="str">
        <f aca="false">IF(AND($E969="A",ISNUMBER($F969),ISNUMBER($G969)),$F969*(1+$G969/30),"")</f>
        <v/>
      </c>
      <c r="K969" s="56"/>
      <c r="L969" s="56"/>
    </row>
    <row r="970" customFormat="false" ht="15.75" hidden="false" customHeight="true" outlineLevel="0" collapsed="false">
      <c r="A970" s="78" t="str">
        <f aca="false">IFERROR(IF($B970="","",IF(INDEX(Einheiten!$B$4:$B$63,MATCH($B970,Einheiten!$A$4:$A$63,0))=0,"",INDEX(Einheiten!$B$4:$B$63,MATCH($B970,Einheiten!$A$4:$A$63,0)))),"")</f>
        <v/>
      </c>
      <c r="B970" s="54"/>
      <c r="C970" s="79" t="str">
        <f aca="false">IFERROR(IF($D970="","",INDEX(Übungen!$B$4:$B$23,MATCH($D970,Übungen!$A$4:$A$23,0))),"")</f>
        <v/>
      </c>
      <c r="D970" s="56"/>
      <c r="E970" s="73"/>
      <c r="F970" s="55"/>
      <c r="G970" s="74"/>
      <c r="H970" s="55"/>
      <c r="I970" s="49" t="str">
        <f aca="false">IF(AND(ISNUMBER($F970),ISNUMBER($G970),$E970&lt;&gt;"R"),$F970*$G970,"")</f>
        <v/>
      </c>
      <c r="J970" s="51" t="str">
        <f aca="false">IF(AND($E970="A",ISNUMBER($F970),ISNUMBER($G970)),$F970*(1+$G970/30),"")</f>
        <v/>
      </c>
      <c r="K970" s="56"/>
      <c r="L970" s="56"/>
    </row>
    <row r="971" customFormat="false" ht="15.75" hidden="false" customHeight="true" outlineLevel="0" collapsed="false">
      <c r="A971" s="78" t="str">
        <f aca="false">IFERROR(IF($B971="","",IF(INDEX(Einheiten!$B$4:$B$63,MATCH($B971,Einheiten!$A$4:$A$63,0))=0,"",INDEX(Einheiten!$B$4:$B$63,MATCH($B971,Einheiten!$A$4:$A$63,0)))),"")</f>
        <v/>
      </c>
      <c r="B971" s="54"/>
      <c r="C971" s="79" t="str">
        <f aca="false">IFERROR(IF($D971="","",INDEX(Übungen!$B$4:$B$23,MATCH($D971,Übungen!$A$4:$A$23,0))),"")</f>
        <v/>
      </c>
      <c r="D971" s="56"/>
      <c r="E971" s="73"/>
      <c r="F971" s="55"/>
      <c r="G971" s="74"/>
      <c r="H971" s="55"/>
      <c r="I971" s="49" t="str">
        <f aca="false">IF(AND(ISNUMBER($F971),ISNUMBER($G971),$E971&lt;&gt;"R"),$F971*$G971,"")</f>
        <v/>
      </c>
      <c r="J971" s="51" t="str">
        <f aca="false">IF(AND($E971="A",ISNUMBER($F971),ISNUMBER($G971)),$F971*(1+$G971/30),"")</f>
        <v/>
      </c>
      <c r="K971" s="56"/>
      <c r="L971" s="56"/>
    </row>
    <row r="972" customFormat="false" ht="15.75" hidden="false" customHeight="true" outlineLevel="0" collapsed="false">
      <c r="A972" s="78" t="str">
        <f aca="false">IFERROR(IF($B972="","",IF(INDEX(Einheiten!$B$4:$B$63,MATCH($B972,Einheiten!$A$4:$A$63,0))=0,"",INDEX(Einheiten!$B$4:$B$63,MATCH($B972,Einheiten!$A$4:$A$63,0)))),"")</f>
        <v/>
      </c>
      <c r="B972" s="54"/>
      <c r="C972" s="79" t="str">
        <f aca="false">IFERROR(IF($D972="","",INDEX(Übungen!$B$4:$B$23,MATCH($D972,Übungen!$A$4:$A$23,0))),"")</f>
        <v/>
      </c>
      <c r="D972" s="56"/>
      <c r="E972" s="73"/>
      <c r="F972" s="55"/>
      <c r="G972" s="74"/>
      <c r="H972" s="55"/>
      <c r="I972" s="49" t="str">
        <f aca="false">IF(AND(ISNUMBER($F972),ISNUMBER($G972),$E972&lt;&gt;"R"),$F972*$G972,"")</f>
        <v/>
      </c>
      <c r="J972" s="51" t="str">
        <f aca="false">IF(AND($E972="A",ISNUMBER($F972),ISNUMBER($G972)),$F972*(1+$G972/30),"")</f>
        <v/>
      </c>
      <c r="K972" s="56"/>
      <c r="L972" s="56"/>
    </row>
    <row r="973" customFormat="false" ht="15.75" hidden="false" customHeight="true" outlineLevel="0" collapsed="false">
      <c r="A973" s="78" t="str">
        <f aca="false">IFERROR(IF($B973="","",IF(INDEX(Einheiten!$B$4:$B$63,MATCH($B973,Einheiten!$A$4:$A$63,0))=0,"",INDEX(Einheiten!$B$4:$B$63,MATCH($B973,Einheiten!$A$4:$A$63,0)))),"")</f>
        <v/>
      </c>
      <c r="B973" s="54"/>
      <c r="C973" s="79" t="str">
        <f aca="false">IFERROR(IF($D973="","",INDEX(Übungen!$B$4:$B$23,MATCH($D973,Übungen!$A$4:$A$23,0))),"")</f>
        <v/>
      </c>
      <c r="D973" s="56"/>
      <c r="E973" s="73"/>
      <c r="F973" s="55"/>
      <c r="G973" s="74"/>
      <c r="H973" s="55"/>
      <c r="I973" s="49" t="str">
        <f aca="false">IF(AND(ISNUMBER($F973),ISNUMBER($G973),$E973&lt;&gt;"R"),$F973*$G973,"")</f>
        <v/>
      </c>
      <c r="J973" s="51" t="str">
        <f aca="false">IF(AND($E973="A",ISNUMBER($F973),ISNUMBER($G973)),$F973*(1+$G973/30),"")</f>
        <v/>
      </c>
      <c r="K973" s="56"/>
      <c r="L973" s="56"/>
    </row>
    <row r="974" customFormat="false" ht="15.75" hidden="false" customHeight="true" outlineLevel="0" collapsed="false">
      <c r="A974" s="78" t="str">
        <f aca="false">IFERROR(IF($B974="","",IF(INDEX(Einheiten!$B$4:$B$63,MATCH($B974,Einheiten!$A$4:$A$63,0))=0,"",INDEX(Einheiten!$B$4:$B$63,MATCH($B974,Einheiten!$A$4:$A$63,0)))),"")</f>
        <v/>
      </c>
      <c r="B974" s="54"/>
      <c r="C974" s="79" t="str">
        <f aca="false">IFERROR(IF($D974="","",INDEX(Übungen!$B$4:$B$23,MATCH($D974,Übungen!$A$4:$A$23,0))),"")</f>
        <v/>
      </c>
      <c r="D974" s="56"/>
      <c r="E974" s="73"/>
      <c r="F974" s="55"/>
      <c r="G974" s="74"/>
      <c r="H974" s="55"/>
      <c r="I974" s="49" t="str">
        <f aca="false">IF(AND(ISNUMBER($F974),ISNUMBER($G974),$E974&lt;&gt;"R"),$F974*$G974,"")</f>
        <v/>
      </c>
      <c r="J974" s="51" t="str">
        <f aca="false">IF(AND($E974="A",ISNUMBER($F974),ISNUMBER($G974)),$F974*(1+$G974/30),"")</f>
        <v/>
      </c>
      <c r="K974" s="56"/>
      <c r="L974" s="56"/>
    </row>
    <row r="975" customFormat="false" ht="15.75" hidden="false" customHeight="true" outlineLevel="0" collapsed="false">
      <c r="A975" s="78" t="str">
        <f aca="false">IFERROR(IF($B975="","",IF(INDEX(Einheiten!$B$4:$B$63,MATCH($B975,Einheiten!$A$4:$A$63,0))=0,"",INDEX(Einheiten!$B$4:$B$63,MATCH($B975,Einheiten!$A$4:$A$63,0)))),"")</f>
        <v/>
      </c>
      <c r="B975" s="54"/>
      <c r="C975" s="79" t="str">
        <f aca="false">IFERROR(IF($D975="","",INDEX(Übungen!$B$4:$B$23,MATCH($D975,Übungen!$A$4:$A$23,0))),"")</f>
        <v/>
      </c>
      <c r="D975" s="56"/>
      <c r="E975" s="73"/>
      <c r="F975" s="55"/>
      <c r="G975" s="74"/>
      <c r="H975" s="55"/>
      <c r="I975" s="49" t="str">
        <f aca="false">IF(AND(ISNUMBER($F975),ISNUMBER($G975),$E975&lt;&gt;"R"),$F975*$G975,"")</f>
        <v/>
      </c>
      <c r="J975" s="51" t="str">
        <f aca="false">IF(AND($E975="A",ISNUMBER($F975),ISNUMBER($G975)),$F975*(1+$G975/30),"")</f>
        <v/>
      </c>
      <c r="K975" s="56"/>
      <c r="L975" s="56"/>
    </row>
    <row r="976" customFormat="false" ht="15.75" hidden="false" customHeight="true" outlineLevel="0" collapsed="false">
      <c r="A976" s="78" t="str">
        <f aca="false">IFERROR(IF($B976="","",IF(INDEX(Einheiten!$B$4:$B$63,MATCH($B976,Einheiten!$A$4:$A$63,0))=0,"",INDEX(Einheiten!$B$4:$B$63,MATCH($B976,Einheiten!$A$4:$A$63,0)))),"")</f>
        <v/>
      </c>
      <c r="B976" s="54"/>
      <c r="C976" s="79" t="str">
        <f aca="false">IFERROR(IF($D976="","",INDEX(Übungen!$B$4:$B$23,MATCH($D976,Übungen!$A$4:$A$23,0))),"")</f>
        <v/>
      </c>
      <c r="D976" s="56"/>
      <c r="E976" s="73"/>
      <c r="F976" s="55"/>
      <c r="G976" s="74"/>
      <c r="H976" s="55"/>
      <c r="I976" s="49" t="str">
        <f aca="false">IF(AND(ISNUMBER($F976),ISNUMBER($G976),$E976&lt;&gt;"R"),$F976*$G976,"")</f>
        <v/>
      </c>
      <c r="J976" s="51" t="str">
        <f aca="false">IF(AND($E976="A",ISNUMBER($F976),ISNUMBER($G976)),$F976*(1+$G976/30),"")</f>
        <v/>
      </c>
      <c r="K976" s="56"/>
      <c r="L976" s="56"/>
    </row>
    <row r="977" customFormat="false" ht="15.75" hidden="false" customHeight="true" outlineLevel="0" collapsed="false">
      <c r="A977" s="78" t="str">
        <f aca="false">IFERROR(IF($B977="","",IF(INDEX(Einheiten!$B$4:$B$63,MATCH($B977,Einheiten!$A$4:$A$63,0))=0,"",INDEX(Einheiten!$B$4:$B$63,MATCH($B977,Einheiten!$A$4:$A$63,0)))),"")</f>
        <v/>
      </c>
      <c r="B977" s="54"/>
      <c r="C977" s="79" t="str">
        <f aca="false">IFERROR(IF($D977="","",INDEX(Übungen!$B$4:$B$23,MATCH($D977,Übungen!$A$4:$A$23,0))),"")</f>
        <v/>
      </c>
      <c r="D977" s="56"/>
      <c r="E977" s="73"/>
      <c r="F977" s="55"/>
      <c r="G977" s="74"/>
      <c r="H977" s="55"/>
      <c r="I977" s="49" t="str">
        <f aca="false">IF(AND(ISNUMBER($F977),ISNUMBER($G977),$E977&lt;&gt;"R"),$F977*$G977,"")</f>
        <v/>
      </c>
      <c r="J977" s="51" t="str">
        <f aca="false">IF(AND($E977="A",ISNUMBER($F977),ISNUMBER($G977)),$F977*(1+$G977/30),"")</f>
        <v/>
      </c>
      <c r="K977" s="56"/>
      <c r="L977" s="56"/>
    </row>
    <row r="978" customFormat="false" ht="15.75" hidden="false" customHeight="true" outlineLevel="0" collapsed="false">
      <c r="A978" s="78" t="str">
        <f aca="false">IFERROR(IF($B978="","",IF(INDEX(Einheiten!$B$4:$B$63,MATCH($B978,Einheiten!$A$4:$A$63,0))=0,"",INDEX(Einheiten!$B$4:$B$63,MATCH($B978,Einheiten!$A$4:$A$63,0)))),"")</f>
        <v/>
      </c>
      <c r="B978" s="54"/>
      <c r="C978" s="79" t="str">
        <f aca="false">IFERROR(IF($D978="","",INDEX(Übungen!$B$4:$B$23,MATCH($D978,Übungen!$A$4:$A$23,0))),"")</f>
        <v/>
      </c>
      <c r="D978" s="56"/>
      <c r="E978" s="73"/>
      <c r="F978" s="55"/>
      <c r="G978" s="74"/>
      <c r="H978" s="55"/>
      <c r="I978" s="49" t="str">
        <f aca="false">IF(AND(ISNUMBER($F978),ISNUMBER($G978),$E978&lt;&gt;"R"),$F978*$G978,"")</f>
        <v/>
      </c>
      <c r="J978" s="51" t="str">
        <f aca="false">IF(AND($E978="A",ISNUMBER($F978),ISNUMBER($G978)),$F978*(1+$G978/30),"")</f>
        <v/>
      </c>
      <c r="K978" s="56"/>
      <c r="L978" s="56"/>
    </row>
    <row r="979" customFormat="false" ht="15.75" hidden="false" customHeight="true" outlineLevel="0" collapsed="false">
      <c r="A979" s="78" t="str">
        <f aca="false">IFERROR(IF($B979="","",IF(INDEX(Einheiten!$B$4:$B$63,MATCH($B979,Einheiten!$A$4:$A$63,0))=0,"",INDEX(Einheiten!$B$4:$B$63,MATCH($B979,Einheiten!$A$4:$A$63,0)))),"")</f>
        <v/>
      </c>
      <c r="B979" s="54"/>
      <c r="C979" s="79" t="str">
        <f aca="false">IFERROR(IF($D979="","",INDEX(Übungen!$B$4:$B$23,MATCH($D979,Übungen!$A$4:$A$23,0))),"")</f>
        <v/>
      </c>
      <c r="D979" s="56"/>
      <c r="E979" s="73"/>
      <c r="F979" s="55"/>
      <c r="G979" s="74"/>
      <c r="H979" s="55"/>
      <c r="I979" s="49" t="str">
        <f aca="false">IF(AND(ISNUMBER($F979),ISNUMBER($G979),$E979&lt;&gt;"R"),$F979*$G979,"")</f>
        <v/>
      </c>
      <c r="J979" s="51" t="str">
        <f aca="false">IF(AND($E979="A",ISNUMBER($F979),ISNUMBER($G979)),$F979*(1+$G979/30),"")</f>
        <v/>
      </c>
      <c r="K979" s="56"/>
      <c r="L979" s="56"/>
    </row>
    <row r="980" customFormat="false" ht="15.75" hidden="false" customHeight="true" outlineLevel="0" collapsed="false">
      <c r="A980" s="78" t="str">
        <f aca="false">IFERROR(IF($B980="","",IF(INDEX(Einheiten!$B$4:$B$63,MATCH($B980,Einheiten!$A$4:$A$63,0))=0,"",INDEX(Einheiten!$B$4:$B$63,MATCH($B980,Einheiten!$A$4:$A$63,0)))),"")</f>
        <v/>
      </c>
      <c r="B980" s="54"/>
      <c r="C980" s="79" t="str">
        <f aca="false">IFERROR(IF($D980="","",INDEX(Übungen!$B$4:$B$23,MATCH($D980,Übungen!$A$4:$A$23,0))),"")</f>
        <v/>
      </c>
      <c r="D980" s="56"/>
      <c r="E980" s="73"/>
      <c r="F980" s="55"/>
      <c r="G980" s="74"/>
      <c r="H980" s="55"/>
      <c r="I980" s="49" t="str">
        <f aca="false">IF(AND(ISNUMBER($F980),ISNUMBER($G980),$E980&lt;&gt;"R"),$F980*$G980,"")</f>
        <v/>
      </c>
      <c r="J980" s="51" t="str">
        <f aca="false">IF(AND($E980="A",ISNUMBER($F980),ISNUMBER($G980)),$F980*(1+$G980/30),"")</f>
        <v/>
      </c>
      <c r="K980" s="56"/>
      <c r="L980" s="56"/>
    </row>
    <row r="981" customFormat="false" ht="15.75" hidden="false" customHeight="true" outlineLevel="0" collapsed="false">
      <c r="A981" s="78" t="str">
        <f aca="false">IFERROR(IF($B981="","",IF(INDEX(Einheiten!$B$4:$B$63,MATCH($B981,Einheiten!$A$4:$A$63,0))=0,"",INDEX(Einheiten!$B$4:$B$63,MATCH($B981,Einheiten!$A$4:$A$63,0)))),"")</f>
        <v/>
      </c>
      <c r="B981" s="54"/>
      <c r="C981" s="79" t="str">
        <f aca="false">IFERROR(IF($D981="","",INDEX(Übungen!$B$4:$B$23,MATCH($D981,Übungen!$A$4:$A$23,0))),"")</f>
        <v/>
      </c>
      <c r="D981" s="56"/>
      <c r="E981" s="73"/>
      <c r="F981" s="55"/>
      <c r="G981" s="74"/>
      <c r="H981" s="55"/>
      <c r="I981" s="49" t="str">
        <f aca="false">IF(AND(ISNUMBER($F981),ISNUMBER($G981),$E981&lt;&gt;"R"),$F981*$G981,"")</f>
        <v/>
      </c>
      <c r="J981" s="51" t="str">
        <f aca="false">IF(AND($E981="A",ISNUMBER($F981),ISNUMBER($G981)),$F981*(1+$G981/30),"")</f>
        <v/>
      </c>
      <c r="K981" s="56"/>
      <c r="L981" s="56"/>
    </row>
    <row r="982" customFormat="false" ht="15.75" hidden="false" customHeight="true" outlineLevel="0" collapsed="false">
      <c r="A982" s="78" t="str">
        <f aca="false">IFERROR(IF($B982="","",IF(INDEX(Einheiten!$B$4:$B$63,MATCH($B982,Einheiten!$A$4:$A$63,0))=0,"",INDEX(Einheiten!$B$4:$B$63,MATCH($B982,Einheiten!$A$4:$A$63,0)))),"")</f>
        <v/>
      </c>
      <c r="B982" s="54"/>
      <c r="C982" s="79" t="str">
        <f aca="false">IFERROR(IF($D982="","",INDEX(Übungen!$B$4:$B$23,MATCH($D982,Übungen!$A$4:$A$23,0))),"")</f>
        <v/>
      </c>
      <c r="D982" s="56"/>
      <c r="E982" s="73"/>
      <c r="F982" s="55"/>
      <c r="G982" s="74"/>
      <c r="H982" s="55"/>
      <c r="I982" s="49" t="str">
        <f aca="false">IF(AND(ISNUMBER($F982),ISNUMBER($G982),$E982&lt;&gt;"R"),$F982*$G982,"")</f>
        <v/>
      </c>
      <c r="J982" s="51" t="str">
        <f aca="false">IF(AND($E982="A",ISNUMBER($F982),ISNUMBER($G982)),$F982*(1+$G982/30),"")</f>
        <v/>
      </c>
      <c r="K982" s="56"/>
      <c r="L982" s="56"/>
    </row>
    <row r="983" customFormat="false" ht="15.75" hidden="false" customHeight="true" outlineLevel="0" collapsed="false">
      <c r="A983" s="78" t="str">
        <f aca="false">IFERROR(IF($B983="","",IF(INDEX(Einheiten!$B$4:$B$63,MATCH($B983,Einheiten!$A$4:$A$63,0))=0,"",INDEX(Einheiten!$B$4:$B$63,MATCH($B983,Einheiten!$A$4:$A$63,0)))),"")</f>
        <v/>
      </c>
      <c r="B983" s="54"/>
      <c r="C983" s="79" t="str">
        <f aca="false">IFERROR(IF($D983="","",INDEX(Übungen!$B$4:$B$23,MATCH($D983,Übungen!$A$4:$A$23,0))),"")</f>
        <v/>
      </c>
      <c r="D983" s="56"/>
      <c r="E983" s="73"/>
      <c r="F983" s="55"/>
      <c r="G983" s="74"/>
      <c r="H983" s="55"/>
      <c r="I983" s="49" t="str">
        <f aca="false">IF(AND(ISNUMBER($F983),ISNUMBER($G983),$E983&lt;&gt;"R"),$F983*$G983,"")</f>
        <v/>
      </c>
      <c r="J983" s="51" t="str">
        <f aca="false">IF(AND($E983="A",ISNUMBER($F983),ISNUMBER($G983)),$F983*(1+$G983/30),"")</f>
        <v/>
      </c>
      <c r="K983" s="56"/>
      <c r="L983" s="56"/>
    </row>
    <row r="984" customFormat="false" ht="15.75" hidden="false" customHeight="true" outlineLevel="0" collapsed="false">
      <c r="A984" s="78" t="str">
        <f aca="false">IFERROR(IF($B984="","",IF(INDEX(Einheiten!$B$4:$B$63,MATCH($B984,Einheiten!$A$4:$A$63,0))=0,"",INDEX(Einheiten!$B$4:$B$63,MATCH($B984,Einheiten!$A$4:$A$63,0)))),"")</f>
        <v/>
      </c>
      <c r="B984" s="54"/>
      <c r="C984" s="79" t="str">
        <f aca="false">IFERROR(IF($D984="","",INDEX(Übungen!$B$4:$B$23,MATCH($D984,Übungen!$A$4:$A$23,0))),"")</f>
        <v/>
      </c>
      <c r="D984" s="56"/>
      <c r="E984" s="73"/>
      <c r="F984" s="55"/>
      <c r="G984" s="74"/>
      <c r="H984" s="55"/>
      <c r="I984" s="49" t="str">
        <f aca="false">IF(AND(ISNUMBER($F984),ISNUMBER($G984),$E984&lt;&gt;"R"),$F984*$G984,"")</f>
        <v/>
      </c>
      <c r="J984" s="51" t="str">
        <f aca="false">IF(AND($E984="A",ISNUMBER($F984),ISNUMBER($G984)),$F984*(1+$G984/30),"")</f>
        <v/>
      </c>
      <c r="K984" s="56"/>
      <c r="L984" s="56"/>
    </row>
    <row r="985" customFormat="false" ht="15.75" hidden="false" customHeight="true" outlineLevel="0" collapsed="false">
      <c r="A985" s="78" t="str">
        <f aca="false">IFERROR(IF($B985="","",IF(INDEX(Einheiten!$B$4:$B$63,MATCH($B985,Einheiten!$A$4:$A$63,0))=0,"",INDEX(Einheiten!$B$4:$B$63,MATCH($B985,Einheiten!$A$4:$A$63,0)))),"")</f>
        <v/>
      </c>
      <c r="B985" s="54"/>
      <c r="C985" s="79" t="str">
        <f aca="false">IFERROR(IF($D985="","",INDEX(Übungen!$B$4:$B$23,MATCH($D985,Übungen!$A$4:$A$23,0))),"")</f>
        <v/>
      </c>
      <c r="D985" s="56"/>
      <c r="E985" s="73"/>
      <c r="F985" s="55"/>
      <c r="G985" s="74"/>
      <c r="H985" s="55"/>
      <c r="I985" s="49" t="str">
        <f aca="false">IF(AND(ISNUMBER($F985),ISNUMBER($G985),$E985&lt;&gt;"R"),$F985*$G985,"")</f>
        <v/>
      </c>
      <c r="J985" s="51" t="str">
        <f aca="false">IF(AND($E985="A",ISNUMBER($F985),ISNUMBER($G985)),$F985*(1+$G985/30),"")</f>
        <v/>
      </c>
      <c r="K985" s="56"/>
      <c r="L985" s="56"/>
    </row>
    <row r="986" customFormat="false" ht="15.75" hidden="false" customHeight="true" outlineLevel="0" collapsed="false">
      <c r="A986" s="78" t="str">
        <f aca="false">IFERROR(IF($B986="","",IF(INDEX(Einheiten!$B$4:$B$63,MATCH($B986,Einheiten!$A$4:$A$63,0))=0,"",INDEX(Einheiten!$B$4:$B$63,MATCH($B986,Einheiten!$A$4:$A$63,0)))),"")</f>
        <v/>
      </c>
      <c r="B986" s="54"/>
      <c r="C986" s="79" t="str">
        <f aca="false">IFERROR(IF($D986="","",INDEX(Übungen!$B$4:$B$23,MATCH($D986,Übungen!$A$4:$A$23,0))),"")</f>
        <v/>
      </c>
      <c r="D986" s="56"/>
      <c r="E986" s="73"/>
      <c r="F986" s="55"/>
      <c r="G986" s="74"/>
      <c r="H986" s="55"/>
      <c r="I986" s="49" t="str">
        <f aca="false">IF(AND(ISNUMBER($F986),ISNUMBER($G986),$E986&lt;&gt;"R"),$F986*$G986,"")</f>
        <v/>
      </c>
      <c r="J986" s="51" t="str">
        <f aca="false">IF(AND($E986="A",ISNUMBER($F986),ISNUMBER($G986)),$F986*(1+$G986/30),"")</f>
        <v/>
      </c>
      <c r="K986" s="56"/>
      <c r="L986" s="56"/>
    </row>
    <row r="987" customFormat="false" ht="15.75" hidden="false" customHeight="true" outlineLevel="0" collapsed="false">
      <c r="A987" s="78" t="str">
        <f aca="false">IFERROR(IF($B987="","",IF(INDEX(Einheiten!$B$4:$B$63,MATCH($B987,Einheiten!$A$4:$A$63,0))=0,"",INDEX(Einheiten!$B$4:$B$63,MATCH($B987,Einheiten!$A$4:$A$63,0)))),"")</f>
        <v/>
      </c>
      <c r="B987" s="54"/>
      <c r="C987" s="79" t="str">
        <f aca="false">IFERROR(IF($D987="","",INDEX(Übungen!$B$4:$B$23,MATCH($D987,Übungen!$A$4:$A$23,0))),"")</f>
        <v/>
      </c>
      <c r="D987" s="56"/>
      <c r="E987" s="73"/>
      <c r="F987" s="55"/>
      <c r="G987" s="74"/>
      <c r="H987" s="55"/>
      <c r="I987" s="49" t="str">
        <f aca="false">IF(AND(ISNUMBER($F987),ISNUMBER($G987),$E987&lt;&gt;"R"),$F987*$G987,"")</f>
        <v/>
      </c>
      <c r="J987" s="51" t="str">
        <f aca="false">IF(AND($E987="A",ISNUMBER($F987),ISNUMBER($G987)),$F987*(1+$G987/30),"")</f>
        <v/>
      </c>
      <c r="K987" s="56"/>
      <c r="L987" s="56"/>
    </row>
    <row r="988" customFormat="false" ht="15.75" hidden="false" customHeight="true" outlineLevel="0" collapsed="false">
      <c r="A988" s="78" t="str">
        <f aca="false">IFERROR(IF($B988="","",IF(INDEX(Einheiten!$B$4:$B$63,MATCH($B988,Einheiten!$A$4:$A$63,0))=0,"",INDEX(Einheiten!$B$4:$B$63,MATCH($B988,Einheiten!$A$4:$A$63,0)))),"")</f>
        <v/>
      </c>
      <c r="B988" s="54"/>
      <c r="C988" s="79" t="str">
        <f aca="false">IFERROR(IF($D988="","",INDEX(Übungen!$B$4:$B$23,MATCH($D988,Übungen!$A$4:$A$23,0))),"")</f>
        <v/>
      </c>
      <c r="D988" s="56"/>
      <c r="E988" s="73"/>
      <c r="F988" s="55"/>
      <c r="G988" s="74"/>
      <c r="H988" s="55"/>
      <c r="I988" s="49" t="str">
        <f aca="false">IF(AND(ISNUMBER($F988),ISNUMBER($G988),$E988&lt;&gt;"R"),$F988*$G988,"")</f>
        <v/>
      </c>
      <c r="J988" s="51" t="str">
        <f aca="false">IF(AND($E988="A",ISNUMBER($F988),ISNUMBER($G988)),$F988*(1+$G988/30),"")</f>
        <v/>
      </c>
      <c r="K988" s="56"/>
      <c r="L988" s="56"/>
    </row>
    <row r="989" customFormat="false" ht="15.75" hidden="false" customHeight="true" outlineLevel="0" collapsed="false">
      <c r="A989" s="78" t="str">
        <f aca="false">IFERROR(IF($B989="","",IF(INDEX(Einheiten!$B$4:$B$63,MATCH($B989,Einheiten!$A$4:$A$63,0))=0,"",INDEX(Einheiten!$B$4:$B$63,MATCH($B989,Einheiten!$A$4:$A$63,0)))),"")</f>
        <v/>
      </c>
      <c r="B989" s="54"/>
      <c r="C989" s="79" t="str">
        <f aca="false">IFERROR(IF($D989="","",INDEX(Übungen!$B$4:$B$23,MATCH($D989,Übungen!$A$4:$A$23,0))),"")</f>
        <v/>
      </c>
      <c r="D989" s="56"/>
      <c r="E989" s="73"/>
      <c r="F989" s="55"/>
      <c r="G989" s="74"/>
      <c r="H989" s="55"/>
      <c r="I989" s="49" t="str">
        <f aca="false">IF(AND(ISNUMBER($F989),ISNUMBER($G989),$E989&lt;&gt;"R"),$F989*$G989,"")</f>
        <v/>
      </c>
      <c r="J989" s="51" t="str">
        <f aca="false">IF(AND($E989="A",ISNUMBER($F989),ISNUMBER($G989)),$F989*(1+$G989/30),"")</f>
        <v/>
      </c>
      <c r="K989" s="56"/>
      <c r="L989" s="56"/>
    </row>
    <row r="990" customFormat="false" ht="15.75" hidden="false" customHeight="true" outlineLevel="0" collapsed="false">
      <c r="A990" s="78" t="str">
        <f aca="false">IFERROR(IF($B990="","",IF(INDEX(Einheiten!$B$4:$B$63,MATCH($B990,Einheiten!$A$4:$A$63,0))=0,"",INDEX(Einheiten!$B$4:$B$63,MATCH($B990,Einheiten!$A$4:$A$63,0)))),"")</f>
        <v/>
      </c>
      <c r="B990" s="54"/>
      <c r="C990" s="79" t="str">
        <f aca="false">IFERROR(IF($D990="","",INDEX(Übungen!$B$4:$B$23,MATCH($D990,Übungen!$A$4:$A$23,0))),"")</f>
        <v/>
      </c>
      <c r="D990" s="56"/>
      <c r="E990" s="73"/>
      <c r="F990" s="55"/>
      <c r="G990" s="74"/>
      <c r="H990" s="55"/>
      <c r="I990" s="49" t="str">
        <f aca="false">IF(AND(ISNUMBER($F990),ISNUMBER($G990),$E990&lt;&gt;"R"),$F990*$G990,"")</f>
        <v/>
      </c>
      <c r="J990" s="51" t="str">
        <f aca="false">IF(AND($E990="A",ISNUMBER($F990),ISNUMBER($G990)),$F990*(1+$G990/30),"")</f>
        <v/>
      </c>
      <c r="K990" s="56"/>
      <c r="L990" s="56"/>
    </row>
    <row r="991" customFormat="false" ht="15.75" hidden="false" customHeight="true" outlineLevel="0" collapsed="false">
      <c r="A991" s="78" t="str">
        <f aca="false">IFERROR(IF($B991="","",IF(INDEX(Einheiten!$B$4:$B$63,MATCH($B991,Einheiten!$A$4:$A$63,0))=0,"",INDEX(Einheiten!$B$4:$B$63,MATCH($B991,Einheiten!$A$4:$A$63,0)))),"")</f>
        <v/>
      </c>
      <c r="B991" s="54"/>
      <c r="C991" s="79" t="str">
        <f aca="false">IFERROR(IF($D991="","",INDEX(Übungen!$B$4:$B$23,MATCH($D991,Übungen!$A$4:$A$23,0))),"")</f>
        <v/>
      </c>
      <c r="D991" s="56"/>
      <c r="E991" s="73"/>
      <c r="F991" s="55"/>
      <c r="G991" s="74"/>
      <c r="H991" s="55"/>
      <c r="I991" s="49" t="str">
        <f aca="false">IF(AND(ISNUMBER($F991),ISNUMBER($G991),$E991&lt;&gt;"R"),$F991*$G991,"")</f>
        <v/>
      </c>
      <c r="J991" s="51" t="str">
        <f aca="false">IF(AND($E991="A",ISNUMBER($F991),ISNUMBER($G991)),$F991*(1+$G991/30),"")</f>
        <v/>
      </c>
      <c r="K991" s="56"/>
      <c r="L991" s="56"/>
    </row>
    <row r="992" customFormat="false" ht="15.75" hidden="false" customHeight="true" outlineLevel="0" collapsed="false">
      <c r="A992" s="78" t="str">
        <f aca="false">IFERROR(IF($B992="","",IF(INDEX(Einheiten!$B$4:$B$63,MATCH($B992,Einheiten!$A$4:$A$63,0))=0,"",INDEX(Einheiten!$B$4:$B$63,MATCH($B992,Einheiten!$A$4:$A$63,0)))),"")</f>
        <v/>
      </c>
      <c r="B992" s="54"/>
      <c r="C992" s="79" t="str">
        <f aca="false">IFERROR(IF($D992="","",INDEX(Übungen!$B$4:$B$23,MATCH($D992,Übungen!$A$4:$A$23,0))),"")</f>
        <v/>
      </c>
      <c r="D992" s="56"/>
      <c r="E992" s="73"/>
      <c r="F992" s="55"/>
      <c r="G992" s="74"/>
      <c r="H992" s="55"/>
      <c r="I992" s="49" t="str">
        <f aca="false">IF(AND(ISNUMBER($F992),ISNUMBER($G992),$E992&lt;&gt;"R"),$F992*$G992,"")</f>
        <v/>
      </c>
      <c r="J992" s="51" t="str">
        <f aca="false">IF(AND($E992="A",ISNUMBER($F992),ISNUMBER($G992)),$F992*(1+$G992/30),"")</f>
        <v/>
      </c>
      <c r="K992" s="56"/>
      <c r="L992" s="56"/>
    </row>
    <row r="993" customFormat="false" ht="15.75" hidden="false" customHeight="true" outlineLevel="0" collapsed="false">
      <c r="A993" s="78" t="str">
        <f aca="false">IFERROR(IF($B993="","",IF(INDEX(Einheiten!$B$4:$B$63,MATCH($B993,Einheiten!$A$4:$A$63,0))=0,"",INDEX(Einheiten!$B$4:$B$63,MATCH($B993,Einheiten!$A$4:$A$63,0)))),"")</f>
        <v/>
      </c>
      <c r="B993" s="54"/>
      <c r="C993" s="79" t="str">
        <f aca="false">IFERROR(IF($D993="","",INDEX(Übungen!$B$4:$B$23,MATCH($D993,Übungen!$A$4:$A$23,0))),"")</f>
        <v/>
      </c>
      <c r="D993" s="56"/>
      <c r="E993" s="73"/>
      <c r="F993" s="55"/>
      <c r="G993" s="74"/>
      <c r="H993" s="55"/>
      <c r="I993" s="49" t="str">
        <f aca="false">IF(AND(ISNUMBER($F993),ISNUMBER($G993),$E993&lt;&gt;"R"),$F993*$G993,"")</f>
        <v/>
      </c>
      <c r="J993" s="51" t="str">
        <f aca="false">IF(AND($E993="A",ISNUMBER($F993),ISNUMBER($G993)),$F993*(1+$G993/30),"")</f>
        <v/>
      </c>
      <c r="K993" s="56"/>
      <c r="L993" s="56"/>
    </row>
    <row r="994" customFormat="false" ht="15.75" hidden="false" customHeight="true" outlineLevel="0" collapsed="false">
      <c r="A994" s="78" t="str">
        <f aca="false">IFERROR(IF($B994="","",IF(INDEX(Einheiten!$B$4:$B$63,MATCH($B994,Einheiten!$A$4:$A$63,0))=0,"",INDEX(Einheiten!$B$4:$B$63,MATCH($B994,Einheiten!$A$4:$A$63,0)))),"")</f>
        <v/>
      </c>
      <c r="B994" s="54"/>
      <c r="C994" s="79" t="str">
        <f aca="false">IFERROR(IF($D994="","",INDEX(Übungen!$B$4:$B$23,MATCH($D994,Übungen!$A$4:$A$23,0))),"")</f>
        <v/>
      </c>
      <c r="D994" s="56"/>
      <c r="E994" s="73"/>
      <c r="F994" s="55"/>
      <c r="G994" s="74"/>
      <c r="H994" s="55"/>
      <c r="I994" s="49" t="str">
        <f aca="false">IF(AND(ISNUMBER($F994),ISNUMBER($G994),$E994&lt;&gt;"R"),$F994*$G994,"")</f>
        <v/>
      </c>
      <c r="J994" s="51" t="str">
        <f aca="false">IF(AND($E994="A",ISNUMBER($F994),ISNUMBER($G994)),$F994*(1+$G994/30),"")</f>
        <v/>
      </c>
      <c r="K994" s="56"/>
      <c r="L994" s="56"/>
    </row>
    <row r="995" customFormat="false" ht="15.75" hidden="false" customHeight="true" outlineLevel="0" collapsed="false">
      <c r="A995" s="78" t="str">
        <f aca="false">IFERROR(IF($B995="","",IF(INDEX(Einheiten!$B$4:$B$63,MATCH($B995,Einheiten!$A$4:$A$63,0))=0,"",INDEX(Einheiten!$B$4:$B$63,MATCH($B995,Einheiten!$A$4:$A$63,0)))),"")</f>
        <v/>
      </c>
      <c r="B995" s="54"/>
      <c r="C995" s="79" t="str">
        <f aca="false">IFERROR(IF($D995="","",INDEX(Übungen!$B$4:$B$23,MATCH($D995,Übungen!$A$4:$A$23,0))),"")</f>
        <v/>
      </c>
      <c r="D995" s="56"/>
      <c r="E995" s="73"/>
      <c r="F995" s="55"/>
      <c r="G995" s="74"/>
      <c r="H995" s="55"/>
      <c r="I995" s="49" t="str">
        <f aca="false">IF(AND(ISNUMBER($F995),ISNUMBER($G995),$E995&lt;&gt;"R"),$F995*$G995,"")</f>
        <v/>
      </c>
      <c r="J995" s="51" t="str">
        <f aca="false">IF(AND($E995="A",ISNUMBER($F995),ISNUMBER($G995)),$F995*(1+$G995/30),"")</f>
        <v/>
      </c>
      <c r="K995" s="56"/>
      <c r="L995" s="56"/>
    </row>
    <row r="996" customFormat="false" ht="15.75" hidden="false" customHeight="true" outlineLevel="0" collapsed="false">
      <c r="A996" s="78" t="str">
        <f aca="false">IFERROR(IF($B996="","",IF(INDEX(Einheiten!$B$4:$B$63,MATCH($B996,Einheiten!$A$4:$A$63,0))=0,"",INDEX(Einheiten!$B$4:$B$63,MATCH($B996,Einheiten!$A$4:$A$63,0)))),"")</f>
        <v/>
      </c>
      <c r="B996" s="54"/>
      <c r="C996" s="79" t="str">
        <f aca="false">IFERROR(IF($D996="","",INDEX(Übungen!$B$4:$B$23,MATCH($D996,Übungen!$A$4:$A$23,0))),"")</f>
        <v/>
      </c>
      <c r="D996" s="56"/>
      <c r="E996" s="73"/>
      <c r="F996" s="55"/>
      <c r="G996" s="74"/>
      <c r="H996" s="55"/>
      <c r="I996" s="49" t="str">
        <f aca="false">IF(AND(ISNUMBER($F996),ISNUMBER($G996),$E996&lt;&gt;"R"),$F996*$G996,"")</f>
        <v/>
      </c>
      <c r="J996" s="51" t="str">
        <f aca="false">IF(AND($E996="A",ISNUMBER($F996),ISNUMBER($G996)),$F996*(1+$G996/30),"")</f>
        <v/>
      </c>
      <c r="K996" s="56"/>
      <c r="L996" s="56"/>
    </row>
    <row r="997" customFormat="false" ht="15.75" hidden="false" customHeight="true" outlineLevel="0" collapsed="false">
      <c r="A997" s="78" t="str">
        <f aca="false">IFERROR(IF($B997="","",IF(INDEX(Einheiten!$B$4:$B$63,MATCH($B997,Einheiten!$A$4:$A$63,0))=0,"",INDEX(Einheiten!$B$4:$B$63,MATCH($B997,Einheiten!$A$4:$A$63,0)))),"")</f>
        <v/>
      </c>
      <c r="B997" s="54"/>
      <c r="C997" s="79" t="str">
        <f aca="false">IFERROR(IF($D997="","",INDEX(Übungen!$B$4:$B$23,MATCH($D997,Übungen!$A$4:$A$23,0))),"")</f>
        <v/>
      </c>
      <c r="D997" s="56"/>
      <c r="E997" s="73"/>
      <c r="F997" s="55"/>
      <c r="G997" s="74"/>
      <c r="H997" s="55"/>
      <c r="I997" s="49" t="str">
        <f aca="false">IF(AND(ISNUMBER($F997),ISNUMBER($G997),$E997&lt;&gt;"R"),$F997*$G997,"")</f>
        <v/>
      </c>
      <c r="J997" s="51" t="str">
        <f aca="false">IF(AND($E997="A",ISNUMBER($F997),ISNUMBER($G997)),$F997*(1+$G997/30),"")</f>
        <v/>
      </c>
      <c r="K997" s="56"/>
      <c r="L997" s="56"/>
    </row>
    <row r="998" customFormat="false" ht="15.75" hidden="false" customHeight="true" outlineLevel="0" collapsed="false">
      <c r="A998" s="78" t="str">
        <f aca="false">IFERROR(IF($B998="","",IF(INDEX(Einheiten!$B$4:$B$63,MATCH($B998,Einheiten!$A$4:$A$63,0))=0,"",INDEX(Einheiten!$B$4:$B$63,MATCH($B998,Einheiten!$A$4:$A$63,0)))),"")</f>
        <v/>
      </c>
      <c r="B998" s="54"/>
      <c r="C998" s="79" t="str">
        <f aca="false">IFERROR(IF($D998="","",INDEX(Übungen!$B$4:$B$23,MATCH($D998,Übungen!$A$4:$A$23,0))),"")</f>
        <v/>
      </c>
      <c r="D998" s="56"/>
      <c r="E998" s="73"/>
      <c r="F998" s="55"/>
      <c r="G998" s="74"/>
      <c r="H998" s="55"/>
      <c r="I998" s="49" t="str">
        <f aca="false">IF(AND(ISNUMBER($F998),ISNUMBER($G998),$E998&lt;&gt;"R"),$F998*$G998,"")</f>
        <v/>
      </c>
      <c r="J998" s="51" t="str">
        <f aca="false">IF(AND($E998="A",ISNUMBER($F998),ISNUMBER($G998)),$F998*(1+$G998/30),"")</f>
        <v/>
      </c>
      <c r="K998" s="56"/>
      <c r="L998" s="56"/>
    </row>
    <row r="999" customFormat="false" ht="15.75" hidden="false" customHeight="true" outlineLevel="0" collapsed="false">
      <c r="A999" s="78" t="str">
        <f aca="false">IFERROR(IF($B999="","",IF(INDEX(Einheiten!$B$4:$B$63,MATCH($B999,Einheiten!$A$4:$A$63,0))=0,"",INDEX(Einheiten!$B$4:$B$63,MATCH($B999,Einheiten!$A$4:$A$63,0)))),"")</f>
        <v/>
      </c>
      <c r="B999" s="54"/>
      <c r="C999" s="79" t="str">
        <f aca="false">IFERROR(IF($D999="","",INDEX(Übungen!$B$4:$B$23,MATCH($D999,Übungen!$A$4:$A$23,0))),"")</f>
        <v/>
      </c>
      <c r="D999" s="56"/>
      <c r="E999" s="73"/>
      <c r="F999" s="55"/>
      <c r="G999" s="74"/>
      <c r="H999" s="55"/>
      <c r="I999" s="49" t="str">
        <f aca="false">IF(AND(ISNUMBER($F999),ISNUMBER($G999),$E999&lt;&gt;"R"),$F999*$G999,"")</f>
        <v/>
      </c>
      <c r="J999" s="51" t="str">
        <f aca="false">IF(AND($E999="A",ISNUMBER($F999),ISNUMBER($G999)),$F999*(1+$G999/30),"")</f>
        <v/>
      </c>
      <c r="K999" s="56"/>
      <c r="L999" s="56"/>
    </row>
    <row r="1000" customFormat="false" ht="15.75" hidden="false" customHeight="true" outlineLevel="0" collapsed="false">
      <c r="A1000" s="78" t="str">
        <f aca="false">IFERROR(IF($B1000="","",IF(INDEX(Einheiten!$B$4:$B$63,MATCH($B1000,Einheiten!$A$4:$A$63,0))=0,"",INDEX(Einheiten!$B$4:$B$63,MATCH($B1000,Einheiten!$A$4:$A$63,0)))),"")</f>
        <v/>
      </c>
      <c r="B1000" s="54"/>
      <c r="C1000" s="79" t="str">
        <f aca="false">IFERROR(IF($D1000="","",INDEX(Übungen!$B$4:$B$23,MATCH($D1000,Übungen!$A$4:$A$23,0))),"")</f>
        <v/>
      </c>
      <c r="D1000" s="56"/>
      <c r="E1000" s="73"/>
      <c r="F1000" s="55"/>
      <c r="G1000" s="74"/>
      <c r="H1000" s="55"/>
      <c r="I1000" s="49" t="str">
        <f aca="false">IF(AND(ISNUMBER($F1000),ISNUMBER($G1000),$E1000&lt;&gt;"R"),$F1000*$G1000,"")</f>
        <v/>
      </c>
      <c r="J1000" s="51" t="str">
        <f aca="false">IF(AND($E1000="A",ISNUMBER($F1000),ISNUMBER($G1000)),$F1000*(1+$G1000/30),"")</f>
        <v/>
      </c>
      <c r="K1000" s="56"/>
      <c r="L1000" s="56"/>
    </row>
    <row r="1001" customFormat="false" ht="15.75" hidden="false" customHeight="true" outlineLevel="0" collapsed="false">
      <c r="A1001" s="78" t="str">
        <f aca="false">IFERROR(IF($B1001="","",IF(INDEX(Einheiten!$B$4:$B$63,MATCH($B1001,Einheiten!$A$4:$A$63,0))=0,"",INDEX(Einheiten!$B$4:$B$63,MATCH($B1001,Einheiten!$A$4:$A$63,0)))),"")</f>
        <v/>
      </c>
      <c r="B1001" s="54"/>
      <c r="C1001" s="79" t="str">
        <f aca="false">IFERROR(IF($D1001="","",INDEX(Übungen!$B$4:$B$23,MATCH($D1001,Übungen!$A$4:$A$23,0))),"")</f>
        <v/>
      </c>
      <c r="D1001" s="56"/>
      <c r="E1001" s="73"/>
      <c r="F1001" s="55"/>
      <c r="G1001" s="74"/>
      <c r="H1001" s="55"/>
      <c r="I1001" s="49" t="str">
        <f aca="false">IF(AND(ISNUMBER($F1001),ISNUMBER($G1001),$E1001&lt;&gt;"R"),$F1001*$G1001,"")</f>
        <v/>
      </c>
      <c r="J1001" s="51" t="str">
        <f aca="false">IF(AND($E1001="A",ISNUMBER($F1001),ISNUMBER($G1001)),$F1001*(1+$G1001/30),"")</f>
        <v/>
      </c>
      <c r="K1001" s="56"/>
      <c r="L1001" s="56"/>
    </row>
    <row r="1002" customFormat="false" ht="15.75" hidden="false" customHeight="true" outlineLevel="0" collapsed="false">
      <c r="A1002" s="78" t="str">
        <f aca="false">IFERROR(IF($B1002="","",IF(INDEX(Einheiten!$B$4:$B$63,MATCH($B1002,Einheiten!$A$4:$A$63,0))=0,"",INDEX(Einheiten!$B$4:$B$63,MATCH($B1002,Einheiten!$A$4:$A$63,0)))),"")</f>
        <v/>
      </c>
      <c r="B1002" s="54"/>
      <c r="C1002" s="79" t="str">
        <f aca="false">IFERROR(IF($D1002="","",INDEX(Übungen!$B$4:$B$23,MATCH($D1002,Übungen!$A$4:$A$23,0))),"")</f>
        <v/>
      </c>
      <c r="D1002" s="56"/>
      <c r="E1002" s="73"/>
      <c r="F1002" s="55"/>
      <c r="G1002" s="74"/>
      <c r="H1002" s="55"/>
      <c r="I1002" s="49" t="str">
        <f aca="false">IF(AND(ISNUMBER($F1002),ISNUMBER($G1002),$E1002&lt;&gt;"R"),$F1002*$G1002,"")</f>
        <v/>
      </c>
      <c r="J1002" s="51" t="str">
        <f aca="false">IF(AND($E1002="A",ISNUMBER($F1002),ISNUMBER($G1002)),$F1002*(1+$G1002/30),"")</f>
        <v/>
      </c>
      <c r="K1002" s="56"/>
      <c r="L1002" s="56"/>
    </row>
    <row r="1003" customFormat="false" ht="15.75" hidden="false" customHeight="true" outlineLevel="0" collapsed="false">
      <c r="A1003" s="78" t="str">
        <f aca="false">IFERROR(IF($B1003="","",IF(INDEX(Einheiten!$B$4:$B$63,MATCH($B1003,Einheiten!$A$4:$A$63,0))=0,"",INDEX(Einheiten!$B$4:$B$63,MATCH($B1003,Einheiten!$A$4:$A$63,0)))),"")</f>
        <v/>
      </c>
      <c r="B1003" s="54"/>
      <c r="C1003" s="79" t="str">
        <f aca="false">IFERROR(IF($D1003="","",INDEX(Übungen!$B$4:$B$23,MATCH($D1003,Übungen!$A$4:$A$23,0))),"")</f>
        <v/>
      </c>
      <c r="D1003" s="56"/>
      <c r="E1003" s="73"/>
      <c r="F1003" s="55"/>
      <c r="G1003" s="74"/>
      <c r="H1003" s="55"/>
      <c r="I1003" s="49" t="str">
        <f aca="false">IF(AND(ISNUMBER($F1003),ISNUMBER($G1003),$E1003&lt;&gt;"R"),$F1003*$G1003,"")</f>
        <v/>
      </c>
      <c r="J1003" s="51" t="str">
        <f aca="false">IF(AND($E1003="A",ISNUMBER($F1003),ISNUMBER($G1003)),$F1003*(1+$G1003/30),"")</f>
        <v/>
      </c>
      <c r="K1003" s="56"/>
      <c r="L1003" s="56"/>
    </row>
    <row r="1004" customFormat="false" ht="15.75" hidden="false" customHeight="true" outlineLevel="0" collapsed="false">
      <c r="A1004" s="78" t="str">
        <f aca="false">IFERROR(IF($B1004="","",IF(INDEX(Einheiten!$B$4:$B$63,MATCH($B1004,Einheiten!$A$4:$A$63,0))=0,"",INDEX(Einheiten!$B$4:$B$63,MATCH($B1004,Einheiten!$A$4:$A$63,0)))),"")</f>
        <v/>
      </c>
      <c r="B1004" s="54"/>
      <c r="C1004" s="79" t="str">
        <f aca="false">IFERROR(IF($D1004="","",INDEX(Übungen!$B$4:$B$23,MATCH($D1004,Übungen!$A$4:$A$23,0))),"")</f>
        <v/>
      </c>
      <c r="D1004" s="56"/>
      <c r="E1004" s="73"/>
      <c r="F1004" s="55"/>
      <c r="G1004" s="74"/>
      <c r="H1004" s="55"/>
      <c r="I1004" s="49" t="str">
        <f aca="false">IF(AND(ISNUMBER($F1004),ISNUMBER($G1004),$E1004&lt;&gt;"R"),$F1004*$G1004,"")</f>
        <v/>
      </c>
      <c r="J1004" s="51" t="str">
        <f aca="false">IF(AND($E1004="A",ISNUMBER($F1004),ISNUMBER($G1004)),$F1004*(1+$G1004/30),"")</f>
        <v/>
      </c>
      <c r="K1004" s="56"/>
      <c r="L1004" s="56"/>
    </row>
    <row r="1005" customFormat="false" ht="15.75" hidden="false" customHeight="true" outlineLevel="0" collapsed="false">
      <c r="A1005" s="78" t="str">
        <f aca="false">IFERROR(IF($B1005="","",IF(INDEX(Einheiten!$B$4:$B$63,MATCH($B1005,Einheiten!$A$4:$A$63,0))=0,"",INDEX(Einheiten!$B$4:$B$63,MATCH($B1005,Einheiten!$A$4:$A$63,0)))),"")</f>
        <v/>
      </c>
      <c r="B1005" s="54"/>
      <c r="C1005" s="79" t="str">
        <f aca="false">IFERROR(IF($D1005="","",INDEX(Übungen!$B$4:$B$23,MATCH($D1005,Übungen!$A$4:$A$23,0))),"")</f>
        <v/>
      </c>
      <c r="D1005" s="56"/>
      <c r="E1005" s="73"/>
      <c r="F1005" s="55"/>
      <c r="G1005" s="74"/>
      <c r="H1005" s="55"/>
      <c r="I1005" s="49" t="str">
        <f aca="false">IF(AND(ISNUMBER($F1005),ISNUMBER($G1005),$E1005&lt;&gt;"R"),$F1005*$G1005,"")</f>
        <v/>
      </c>
      <c r="J1005" s="51" t="str">
        <f aca="false">IF(AND($E1005="A",ISNUMBER($F1005),ISNUMBER($G1005)),$F1005*(1+$G1005/30),"")</f>
        <v/>
      </c>
      <c r="K1005" s="56"/>
      <c r="L1005" s="56"/>
    </row>
    <row r="1006" customFormat="false" ht="15.75" hidden="false" customHeight="true" outlineLevel="0" collapsed="false">
      <c r="A1006" s="78" t="str">
        <f aca="false">IFERROR(IF($B1006="","",IF(INDEX(Einheiten!$B$4:$B$63,MATCH($B1006,Einheiten!$A$4:$A$63,0))=0,"",INDEX(Einheiten!$B$4:$B$63,MATCH($B1006,Einheiten!$A$4:$A$63,0)))),"")</f>
        <v/>
      </c>
      <c r="B1006" s="54"/>
      <c r="C1006" s="79" t="str">
        <f aca="false">IFERROR(IF($D1006="","",INDEX(Übungen!$B$4:$B$23,MATCH($D1006,Übungen!$A$4:$A$23,0))),"")</f>
        <v/>
      </c>
      <c r="D1006" s="56"/>
      <c r="E1006" s="73"/>
      <c r="F1006" s="55"/>
      <c r="G1006" s="74"/>
      <c r="H1006" s="55"/>
      <c r="I1006" s="49" t="str">
        <f aca="false">IF(AND(ISNUMBER($F1006),ISNUMBER($G1006),$E1006&lt;&gt;"R"),$F1006*$G1006,"")</f>
        <v/>
      </c>
      <c r="J1006" s="51" t="str">
        <f aca="false">IF(AND($E1006="A",ISNUMBER($F1006),ISNUMBER($G1006)),$F1006*(1+$G1006/30),"")</f>
        <v/>
      </c>
      <c r="K1006" s="56"/>
      <c r="L1006" s="56"/>
    </row>
    <row r="1007" customFormat="false" ht="15.75" hidden="false" customHeight="true" outlineLevel="0" collapsed="false">
      <c r="A1007" s="78" t="str">
        <f aca="false">IFERROR(IF($B1007="","",IF(INDEX(Einheiten!$B$4:$B$63,MATCH($B1007,Einheiten!$A$4:$A$63,0))=0,"",INDEX(Einheiten!$B$4:$B$63,MATCH($B1007,Einheiten!$A$4:$A$63,0)))),"")</f>
        <v/>
      </c>
      <c r="B1007" s="54"/>
      <c r="C1007" s="79" t="str">
        <f aca="false">IFERROR(IF($D1007="","",INDEX(Übungen!$B$4:$B$23,MATCH($D1007,Übungen!$A$4:$A$23,0))),"")</f>
        <v/>
      </c>
      <c r="D1007" s="56"/>
      <c r="E1007" s="73"/>
      <c r="F1007" s="55"/>
      <c r="G1007" s="74"/>
      <c r="H1007" s="55"/>
      <c r="I1007" s="49" t="str">
        <f aca="false">IF(AND(ISNUMBER($F1007),ISNUMBER($G1007),$E1007&lt;&gt;"R"),$F1007*$G1007,"")</f>
        <v/>
      </c>
      <c r="J1007" s="51" t="str">
        <f aca="false">IF(AND($E1007="A",ISNUMBER($F1007),ISNUMBER($G1007)),$F1007*(1+$G1007/30),"")</f>
        <v/>
      </c>
      <c r="K1007" s="56"/>
      <c r="L1007" s="56"/>
    </row>
    <row r="1008" customFormat="false" ht="15.75" hidden="false" customHeight="true" outlineLevel="0" collapsed="false">
      <c r="A1008" s="78" t="str">
        <f aca="false">IFERROR(IF($B1008="","",IF(INDEX(Einheiten!$B$4:$B$63,MATCH($B1008,Einheiten!$A$4:$A$63,0))=0,"",INDEX(Einheiten!$B$4:$B$63,MATCH($B1008,Einheiten!$A$4:$A$63,0)))),"")</f>
        <v/>
      </c>
      <c r="B1008" s="54"/>
      <c r="C1008" s="79" t="str">
        <f aca="false">IFERROR(IF($D1008="","",INDEX(Übungen!$B$4:$B$23,MATCH($D1008,Übungen!$A$4:$A$23,0))),"")</f>
        <v/>
      </c>
      <c r="D1008" s="56"/>
      <c r="E1008" s="73"/>
      <c r="F1008" s="55"/>
      <c r="G1008" s="74"/>
      <c r="H1008" s="55"/>
      <c r="I1008" s="49" t="str">
        <f aca="false">IF(AND(ISNUMBER($F1008),ISNUMBER($G1008),$E1008&lt;&gt;"R"),$F1008*$G1008,"")</f>
        <v/>
      </c>
      <c r="J1008" s="51" t="str">
        <f aca="false">IF(AND($E1008="A",ISNUMBER($F1008),ISNUMBER($G1008)),$F1008*(1+$G1008/30),"")</f>
        <v/>
      </c>
      <c r="K1008" s="56"/>
      <c r="L1008" s="56"/>
    </row>
    <row r="1009" customFormat="false" ht="15.75" hidden="false" customHeight="true" outlineLevel="0" collapsed="false">
      <c r="A1009" s="78" t="str">
        <f aca="false">IFERROR(IF($B1009="","",IF(INDEX(Einheiten!$B$4:$B$63,MATCH($B1009,Einheiten!$A$4:$A$63,0))=0,"",INDEX(Einheiten!$B$4:$B$63,MATCH($B1009,Einheiten!$A$4:$A$63,0)))),"")</f>
        <v/>
      </c>
      <c r="B1009" s="54"/>
      <c r="C1009" s="79" t="str">
        <f aca="false">IFERROR(IF($D1009="","",INDEX(Übungen!$B$4:$B$23,MATCH($D1009,Übungen!$A$4:$A$23,0))),"")</f>
        <v/>
      </c>
      <c r="D1009" s="56"/>
      <c r="E1009" s="73"/>
      <c r="F1009" s="55"/>
      <c r="G1009" s="74"/>
      <c r="H1009" s="55"/>
      <c r="I1009" s="49" t="str">
        <f aca="false">IF(AND(ISNUMBER($F1009),ISNUMBER($G1009),$E1009&lt;&gt;"R"),$F1009*$G1009,"")</f>
        <v/>
      </c>
      <c r="J1009" s="51" t="str">
        <f aca="false">IF(AND($E1009="A",ISNUMBER($F1009),ISNUMBER($G1009)),$F1009*(1+$G1009/30),"")</f>
        <v/>
      </c>
      <c r="K1009" s="56"/>
      <c r="L1009" s="56"/>
    </row>
    <row r="1010" customFormat="false" ht="15.75" hidden="false" customHeight="true" outlineLevel="0" collapsed="false">
      <c r="A1010" s="78" t="str">
        <f aca="false">IFERROR(IF($B1010="","",IF(INDEX(Einheiten!$B$4:$B$63,MATCH($B1010,Einheiten!$A$4:$A$63,0))=0,"",INDEX(Einheiten!$B$4:$B$63,MATCH($B1010,Einheiten!$A$4:$A$63,0)))),"")</f>
        <v/>
      </c>
      <c r="B1010" s="54"/>
      <c r="C1010" s="79" t="str">
        <f aca="false">IFERROR(IF($D1010="","",INDEX(Übungen!$B$4:$B$23,MATCH($D1010,Übungen!$A$4:$A$23,0))),"")</f>
        <v/>
      </c>
      <c r="D1010" s="56"/>
      <c r="E1010" s="73"/>
      <c r="F1010" s="55"/>
      <c r="G1010" s="74"/>
      <c r="H1010" s="55"/>
      <c r="I1010" s="49" t="str">
        <f aca="false">IF(AND(ISNUMBER($F1010),ISNUMBER($G1010),$E1010&lt;&gt;"R"),$F1010*$G1010,"")</f>
        <v/>
      </c>
      <c r="J1010" s="51" t="str">
        <f aca="false">IF(AND($E1010="A",ISNUMBER($F1010),ISNUMBER($G1010)),$F1010*(1+$G1010/30),"")</f>
        <v/>
      </c>
      <c r="K1010" s="56"/>
      <c r="L1010" s="56"/>
    </row>
    <row r="1011" customFormat="false" ht="15.75" hidden="false" customHeight="true" outlineLevel="0" collapsed="false">
      <c r="A1011" s="78" t="str">
        <f aca="false">IFERROR(IF($B1011="","",IF(INDEX(Einheiten!$B$4:$B$63,MATCH($B1011,Einheiten!$A$4:$A$63,0))=0,"",INDEX(Einheiten!$B$4:$B$63,MATCH($B1011,Einheiten!$A$4:$A$63,0)))),"")</f>
        <v/>
      </c>
      <c r="B1011" s="54"/>
      <c r="C1011" s="79" t="str">
        <f aca="false">IFERROR(IF($D1011="","",INDEX(Übungen!$B$4:$B$23,MATCH($D1011,Übungen!$A$4:$A$23,0))),"")</f>
        <v/>
      </c>
      <c r="D1011" s="56"/>
      <c r="E1011" s="73"/>
      <c r="F1011" s="55"/>
      <c r="G1011" s="74"/>
      <c r="H1011" s="55"/>
      <c r="I1011" s="49" t="str">
        <f aca="false">IF(AND(ISNUMBER($F1011),ISNUMBER($G1011),$E1011&lt;&gt;"R"),$F1011*$G1011,"")</f>
        <v/>
      </c>
      <c r="J1011" s="51" t="str">
        <f aca="false">IF(AND($E1011="A",ISNUMBER($F1011),ISNUMBER($G1011)),$F1011*(1+$G1011/30),"")</f>
        <v/>
      </c>
      <c r="K1011" s="56"/>
      <c r="L1011" s="56"/>
    </row>
    <row r="1012" customFormat="false" ht="15.75" hidden="false" customHeight="true" outlineLevel="0" collapsed="false">
      <c r="A1012" s="78" t="str">
        <f aca="false">IFERROR(IF($B1012="","",IF(INDEX(Einheiten!$B$4:$B$63,MATCH($B1012,Einheiten!$A$4:$A$63,0))=0,"",INDEX(Einheiten!$B$4:$B$63,MATCH($B1012,Einheiten!$A$4:$A$63,0)))),"")</f>
        <v/>
      </c>
      <c r="B1012" s="54"/>
      <c r="C1012" s="79" t="str">
        <f aca="false">IFERROR(IF($D1012="","",INDEX(Übungen!$B$4:$B$23,MATCH($D1012,Übungen!$A$4:$A$23,0))),"")</f>
        <v/>
      </c>
      <c r="D1012" s="56"/>
      <c r="E1012" s="73"/>
      <c r="F1012" s="55"/>
      <c r="G1012" s="74"/>
      <c r="H1012" s="55"/>
      <c r="I1012" s="49" t="str">
        <f aca="false">IF(AND(ISNUMBER($F1012),ISNUMBER($G1012),$E1012&lt;&gt;"R"),$F1012*$G1012,"")</f>
        <v/>
      </c>
      <c r="J1012" s="51" t="str">
        <f aca="false">IF(AND($E1012="A",ISNUMBER($F1012),ISNUMBER($G1012)),$F1012*(1+$G1012/30),"")</f>
        <v/>
      </c>
      <c r="K1012" s="56"/>
      <c r="L1012" s="56"/>
    </row>
    <row r="1013" customFormat="false" ht="15.75" hidden="false" customHeight="true" outlineLevel="0" collapsed="false">
      <c r="A1013" s="78" t="str">
        <f aca="false">IFERROR(IF($B1013="","",IF(INDEX(Einheiten!$B$4:$B$63,MATCH($B1013,Einheiten!$A$4:$A$63,0))=0,"",INDEX(Einheiten!$B$4:$B$63,MATCH($B1013,Einheiten!$A$4:$A$63,0)))),"")</f>
        <v/>
      </c>
      <c r="B1013" s="54"/>
      <c r="C1013" s="79" t="str">
        <f aca="false">IFERROR(IF($D1013="","",INDEX(Übungen!$B$4:$B$23,MATCH($D1013,Übungen!$A$4:$A$23,0))),"")</f>
        <v/>
      </c>
      <c r="D1013" s="56"/>
      <c r="E1013" s="73"/>
      <c r="F1013" s="55"/>
      <c r="G1013" s="74"/>
      <c r="H1013" s="55"/>
      <c r="I1013" s="49" t="str">
        <f aca="false">IF(AND(ISNUMBER($F1013),ISNUMBER($G1013),$E1013&lt;&gt;"R"),$F1013*$G1013,"")</f>
        <v/>
      </c>
      <c r="J1013" s="51" t="str">
        <f aca="false">IF(AND($E1013="A",ISNUMBER($F1013),ISNUMBER($G1013)),$F1013*(1+$G1013/30),"")</f>
        <v/>
      </c>
      <c r="K1013" s="56"/>
      <c r="L1013" s="56"/>
    </row>
    <row r="1014" customFormat="false" ht="15.75" hidden="false" customHeight="true" outlineLevel="0" collapsed="false">
      <c r="A1014" s="78" t="str">
        <f aca="false">IFERROR(IF($B1014="","",IF(INDEX(Einheiten!$B$4:$B$63,MATCH($B1014,Einheiten!$A$4:$A$63,0))=0,"",INDEX(Einheiten!$B$4:$B$63,MATCH($B1014,Einheiten!$A$4:$A$63,0)))),"")</f>
        <v/>
      </c>
      <c r="B1014" s="54"/>
      <c r="C1014" s="79" t="str">
        <f aca="false">IFERROR(IF($D1014="","",INDEX(Übungen!$B$4:$B$23,MATCH($D1014,Übungen!$A$4:$A$23,0))),"")</f>
        <v/>
      </c>
      <c r="D1014" s="56"/>
      <c r="E1014" s="73"/>
      <c r="F1014" s="55"/>
      <c r="G1014" s="74"/>
      <c r="H1014" s="55"/>
      <c r="I1014" s="49" t="str">
        <f aca="false">IF(AND(ISNUMBER($F1014),ISNUMBER($G1014),$E1014&lt;&gt;"R"),$F1014*$G1014,"")</f>
        <v/>
      </c>
      <c r="J1014" s="51" t="str">
        <f aca="false">IF(AND($E1014="A",ISNUMBER($F1014),ISNUMBER($G1014)),$F1014*(1+$G1014/30),"")</f>
        <v/>
      </c>
      <c r="K1014" s="56"/>
      <c r="L1014" s="56"/>
    </row>
    <row r="1015" customFormat="false" ht="15.75" hidden="false" customHeight="true" outlineLevel="0" collapsed="false">
      <c r="A1015" s="78" t="str">
        <f aca="false">IFERROR(IF($B1015="","",IF(INDEX(Einheiten!$B$4:$B$63,MATCH($B1015,Einheiten!$A$4:$A$63,0))=0,"",INDEX(Einheiten!$B$4:$B$63,MATCH($B1015,Einheiten!$A$4:$A$63,0)))),"")</f>
        <v/>
      </c>
      <c r="B1015" s="54"/>
      <c r="C1015" s="79" t="str">
        <f aca="false">IFERROR(IF($D1015="","",INDEX(Übungen!$B$4:$B$23,MATCH($D1015,Übungen!$A$4:$A$23,0))),"")</f>
        <v/>
      </c>
      <c r="D1015" s="56"/>
      <c r="E1015" s="73"/>
      <c r="F1015" s="55"/>
      <c r="G1015" s="74"/>
      <c r="H1015" s="55"/>
      <c r="I1015" s="49" t="str">
        <f aca="false">IF(AND(ISNUMBER($F1015),ISNUMBER($G1015),$E1015&lt;&gt;"R"),$F1015*$G1015,"")</f>
        <v/>
      </c>
      <c r="J1015" s="51" t="str">
        <f aca="false">IF(AND($E1015="A",ISNUMBER($F1015),ISNUMBER($G1015)),$F1015*(1+$G1015/30),"")</f>
        <v/>
      </c>
      <c r="K1015" s="56"/>
      <c r="L1015" s="56"/>
    </row>
    <row r="1016" customFormat="false" ht="15.75" hidden="false" customHeight="true" outlineLevel="0" collapsed="false">
      <c r="A1016" s="78" t="str">
        <f aca="false">IFERROR(IF($B1016="","",IF(INDEX(Einheiten!$B$4:$B$63,MATCH($B1016,Einheiten!$A$4:$A$63,0))=0,"",INDEX(Einheiten!$B$4:$B$63,MATCH($B1016,Einheiten!$A$4:$A$63,0)))),"")</f>
        <v/>
      </c>
      <c r="B1016" s="54"/>
      <c r="C1016" s="79" t="str">
        <f aca="false">IFERROR(IF($D1016="","",INDEX(Übungen!$B$4:$B$23,MATCH($D1016,Übungen!$A$4:$A$23,0))),"")</f>
        <v/>
      </c>
      <c r="D1016" s="56"/>
      <c r="E1016" s="73"/>
      <c r="F1016" s="55"/>
      <c r="G1016" s="74"/>
      <c r="H1016" s="55"/>
      <c r="I1016" s="49" t="str">
        <f aca="false">IF(AND(ISNUMBER($F1016),ISNUMBER($G1016),$E1016&lt;&gt;"R"),$F1016*$G1016,"")</f>
        <v/>
      </c>
      <c r="J1016" s="51" t="str">
        <f aca="false">IF(AND($E1016="A",ISNUMBER($F1016),ISNUMBER($G1016)),$F1016*(1+$G1016/30),"")</f>
        <v/>
      </c>
      <c r="K1016" s="56"/>
      <c r="L1016" s="56"/>
    </row>
    <row r="1017" customFormat="false" ht="15.75" hidden="false" customHeight="true" outlineLevel="0" collapsed="false">
      <c r="A1017" s="78" t="str">
        <f aca="false">IFERROR(IF($B1017="","",IF(INDEX(Einheiten!$B$4:$B$63,MATCH($B1017,Einheiten!$A$4:$A$63,0))=0,"",INDEX(Einheiten!$B$4:$B$63,MATCH($B1017,Einheiten!$A$4:$A$63,0)))),"")</f>
        <v/>
      </c>
      <c r="B1017" s="54"/>
      <c r="C1017" s="79" t="str">
        <f aca="false">IFERROR(IF($D1017="","",INDEX(Übungen!$B$4:$B$23,MATCH($D1017,Übungen!$A$4:$A$23,0))),"")</f>
        <v/>
      </c>
      <c r="D1017" s="56"/>
      <c r="E1017" s="73"/>
      <c r="F1017" s="55"/>
      <c r="G1017" s="74"/>
      <c r="H1017" s="55"/>
      <c r="I1017" s="49" t="str">
        <f aca="false">IF(AND(ISNUMBER($F1017),ISNUMBER($G1017),$E1017&lt;&gt;"R"),$F1017*$G1017,"")</f>
        <v/>
      </c>
      <c r="J1017" s="51" t="str">
        <f aca="false">IF(AND($E1017="A",ISNUMBER($F1017),ISNUMBER($G1017)),$F1017*(1+$G1017/30),"")</f>
        <v/>
      </c>
      <c r="K1017" s="56"/>
      <c r="L1017" s="56"/>
    </row>
    <row r="1018" customFormat="false" ht="15.75" hidden="false" customHeight="true" outlineLevel="0" collapsed="false">
      <c r="A1018" s="78" t="str">
        <f aca="false">IFERROR(IF($B1018="","",IF(INDEX(Einheiten!$B$4:$B$63,MATCH($B1018,Einheiten!$A$4:$A$63,0))=0,"",INDEX(Einheiten!$B$4:$B$63,MATCH($B1018,Einheiten!$A$4:$A$63,0)))),"")</f>
        <v/>
      </c>
      <c r="B1018" s="54"/>
      <c r="C1018" s="79" t="str">
        <f aca="false">IFERROR(IF($D1018="","",INDEX(Übungen!$B$4:$B$23,MATCH($D1018,Übungen!$A$4:$A$23,0))),"")</f>
        <v/>
      </c>
      <c r="D1018" s="56"/>
      <c r="E1018" s="73"/>
      <c r="F1018" s="55"/>
      <c r="G1018" s="74"/>
      <c r="H1018" s="55"/>
      <c r="I1018" s="49" t="str">
        <f aca="false">IF(AND(ISNUMBER($F1018),ISNUMBER($G1018),$E1018&lt;&gt;"R"),$F1018*$G1018,"")</f>
        <v/>
      </c>
      <c r="J1018" s="51" t="str">
        <f aca="false">IF(AND($E1018="A",ISNUMBER($F1018),ISNUMBER($G1018)),$F1018*(1+$G1018/30),"")</f>
        <v/>
      </c>
      <c r="K1018" s="56"/>
      <c r="L1018" s="56"/>
    </row>
    <row r="1019" customFormat="false" ht="15.75" hidden="false" customHeight="true" outlineLevel="0" collapsed="false">
      <c r="A1019" s="78" t="str">
        <f aca="false">IFERROR(IF($B1019="","",IF(INDEX(Einheiten!$B$4:$B$63,MATCH($B1019,Einheiten!$A$4:$A$63,0))=0,"",INDEX(Einheiten!$B$4:$B$63,MATCH($B1019,Einheiten!$A$4:$A$63,0)))),"")</f>
        <v/>
      </c>
      <c r="B1019" s="54"/>
      <c r="C1019" s="79" t="str">
        <f aca="false">IFERROR(IF($D1019="","",INDEX(Übungen!$B$4:$B$23,MATCH($D1019,Übungen!$A$4:$A$23,0))),"")</f>
        <v/>
      </c>
      <c r="D1019" s="56"/>
      <c r="E1019" s="73"/>
      <c r="F1019" s="55"/>
      <c r="G1019" s="74"/>
      <c r="H1019" s="55"/>
      <c r="I1019" s="49" t="str">
        <f aca="false">IF(AND(ISNUMBER($F1019),ISNUMBER($G1019),$E1019&lt;&gt;"R"),$F1019*$G1019,"")</f>
        <v/>
      </c>
      <c r="J1019" s="51" t="str">
        <f aca="false">IF(AND($E1019="A",ISNUMBER($F1019),ISNUMBER($G1019)),$F1019*(1+$G1019/30),"")</f>
        <v/>
      </c>
      <c r="K1019" s="56"/>
      <c r="L1019" s="56"/>
    </row>
    <row r="1020" customFormat="false" ht="15.75" hidden="false" customHeight="true" outlineLevel="0" collapsed="false">
      <c r="A1020" s="78" t="str">
        <f aca="false">IFERROR(IF($B1020="","",IF(INDEX(Einheiten!$B$4:$B$63,MATCH($B1020,Einheiten!$A$4:$A$63,0))=0,"",INDEX(Einheiten!$B$4:$B$63,MATCH($B1020,Einheiten!$A$4:$A$63,0)))),"")</f>
        <v/>
      </c>
      <c r="B1020" s="54"/>
      <c r="C1020" s="79" t="str">
        <f aca="false">IFERROR(IF($D1020="","",INDEX(Übungen!$B$4:$B$23,MATCH($D1020,Übungen!$A$4:$A$23,0))),"")</f>
        <v/>
      </c>
      <c r="D1020" s="56"/>
      <c r="E1020" s="73"/>
      <c r="F1020" s="55"/>
      <c r="G1020" s="74"/>
      <c r="H1020" s="55"/>
      <c r="I1020" s="49" t="str">
        <f aca="false">IF(AND(ISNUMBER($F1020),ISNUMBER($G1020),$E1020&lt;&gt;"R"),$F1020*$G1020,"")</f>
        <v/>
      </c>
      <c r="J1020" s="51" t="str">
        <f aca="false">IF(AND($E1020="A",ISNUMBER($F1020),ISNUMBER($G1020)),$F1020*(1+$G1020/30),"")</f>
        <v/>
      </c>
      <c r="K1020" s="56"/>
      <c r="L1020" s="56"/>
    </row>
    <row r="1021" customFormat="false" ht="15.75" hidden="false" customHeight="true" outlineLevel="0" collapsed="false">
      <c r="A1021" s="78" t="str">
        <f aca="false">IFERROR(IF($B1021="","",IF(INDEX(Einheiten!$B$4:$B$63,MATCH($B1021,Einheiten!$A$4:$A$63,0))=0,"",INDEX(Einheiten!$B$4:$B$63,MATCH($B1021,Einheiten!$A$4:$A$63,0)))),"")</f>
        <v/>
      </c>
      <c r="B1021" s="54"/>
      <c r="C1021" s="79" t="str">
        <f aca="false">IFERROR(IF($D1021="","",INDEX(Übungen!$B$4:$B$23,MATCH($D1021,Übungen!$A$4:$A$23,0))),"")</f>
        <v/>
      </c>
      <c r="D1021" s="56"/>
      <c r="E1021" s="73"/>
      <c r="F1021" s="55"/>
      <c r="G1021" s="74"/>
      <c r="H1021" s="55"/>
      <c r="I1021" s="49" t="str">
        <f aca="false">IF(AND(ISNUMBER($F1021),ISNUMBER($G1021),$E1021&lt;&gt;"R"),$F1021*$G1021,"")</f>
        <v/>
      </c>
      <c r="J1021" s="51" t="str">
        <f aca="false">IF(AND($E1021="A",ISNUMBER($F1021),ISNUMBER($G1021)),$F1021*(1+$G1021/30),"")</f>
        <v/>
      </c>
      <c r="K1021" s="56"/>
      <c r="L1021" s="56"/>
    </row>
    <row r="1022" customFormat="false" ht="15.75" hidden="false" customHeight="true" outlineLevel="0" collapsed="false">
      <c r="A1022" s="78" t="str">
        <f aca="false">IFERROR(IF($B1022="","",IF(INDEX(Einheiten!$B$4:$B$63,MATCH($B1022,Einheiten!$A$4:$A$63,0))=0,"",INDEX(Einheiten!$B$4:$B$63,MATCH($B1022,Einheiten!$A$4:$A$63,0)))),"")</f>
        <v/>
      </c>
      <c r="B1022" s="54"/>
      <c r="C1022" s="79" t="str">
        <f aca="false">IFERROR(IF($D1022="","",INDEX(Übungen!$B$4:$B$23,MATCH($D1022,Übungen!$A$4:$A$23,0))),"")</f>
        <v/>
      </c>
      <c r="D1022" s="56"/>
      <c r="E1022" s="73"/>
      <c r="F1022" s="55"/>
      <c r="G1022" s="74"/>
      <c r="H1022" s="55"/>
      <c r="I1022" s="49" t="str">
        <f aca="false">IF(AND(ISNUMBER($F1022),ISNUMBER($G1022),$E1022&lt;&gt;"R"),$F1022*$G1022,"")</f>
        <v/>
      </c>
      <c r="J1022" s="51" t="str">
        <f aca="false">IF(AND($E1022="A",ISNUMBER($F1022),ISNUMBER($G1022)),$F1022*(1+$G1022/30),"")</f>
        <v/>
      </c>
      <c r="K1022" s="56"/>
      <c r="L1022" s="56"/>
    </row>
    <row r="1023" customFormat="false" ht="15.75" hidden="false" customHeight="true" outlineLevel="0" collapsed="false">
      <c r="A1023" s="78" t="str">
        <f aca="false">IFERROR(IF($B1023="","",IF(INDEX(Einheiten!$B$4:$B$63,MATCH($B1023,Einheiten!$A$4:$A$63,0))=0,"",INDEX(Einheiten!$B$4:$B$63,MATCH($B1023,Einheiten!$A$4:$A$63,0)))),"")</f>
        <v/>
      </c>
      <c r="B1023" s="54"/>
      <c r="C1023" s="79" t="str">
        <f aca="false">IFERROR(IF($D1023="","",INDEX(Übungen!$B$4:$B$23,MATCH($D1023,Übungen!$A$4:$A$23,0))),"")</f>
        <v/>
      </c>
      <c r="D1023" s="56"/>
      <c r="E1023" s="73"/>
      <c r="F1023" s="55"/>
      <c r="G1023" s="74"/>
      <c r="H1023" s="55"/>
      <c r="I1023" s="49" t="str">
        <f aca="false">IF(AND(ISNUMBER($F1023),ISNUMBER($G1023),$E1023&lt;&gt;"R"),$F1023*$G1023,"")</f>
        <v/>
      </c>
      <c r="J1023" s="51" t="str">
        <f aca="false">IF(AND($E1023="A",ISNUMBER($F1023),ISNUMBER($G1023)),$F1023*(1+$G1023/30),"")</f>
        <v/>
      </c>
      <c r="K1023" s="56"/>
      <c r="L1023" s="56"/>
    </row>
    <row r="1024" customFormat="false" ht="15.75" hidden="false" customHeight="true" outlineLevel="0" collapsed="false">
      <c r="A1024" s="78" t="str">
        <f aca="false">IFERROR(IF($B1024="","",IF(INDEX(Einheiten!$B$4:$B$63,MATCH($B1024,Einheiten!$A$4:$A$63,0))=0,"",INDEX(Einheiten!$B$4:$B$63,MATCH($B1024,Einheiten!$A$4:$A$63,0)))),"")</f>
        <v/>
      </c>
      <c r="B1024" s="54"/>
      <c r="C1024" s="79" t="str">
        <f aca="false">IFERROR(IF($D1024="","",INDEX(Übungen!$B$4:$B$23,MATCH($D1024,Übungen!$A$4:$A$23,0))),"")</f>
        <v/>
      </c>
      <c r="D1024" s="56"/>
      <c r="E1024" s="73"/>
      <c r="F1024" s="55"/>
      <c r="G1024" s="74"/>
      <c r="H1024" s="55"/>
      <c r="I1024" s="49" t="str">
        <f aca="false">IF(AND(ISNUMBER($F1024),ISNUMBER($G1024),$E1024&lt;&gt;"R"),$F1024*$G1024,"")</f>
        <v/>
      </c>
      <c r="J1024" s="51" t="str">
        <f aca="false">IF(AND($E1024="A",ISNUMBER($F1024),ISNUMBER($G1024)),$F1024*(1+$G1024/30),"")</f>
        <v/>
      </c>
      <c r="K1024" s="56"/>
      <c r="L1024" s="56"/>
    </row>
    <row r="1025" customFormat="false" ht="15.75" hidden="false" customHeight="true" outlineLevel="0" collapsed="false">
      <c r="A1025" s="78" t="str">
        <f aca="false">IFERROR(IF($B1025="","",IF(INDEX(Einheiten!$B$4:$B$63,MATCH($B1025,Einheiten!$A$4:$A$63,0))=0,"",INDEX(Einheiten!$B$4:$B$63,MATCH($B1025,Einheiten!$A$4:$A$63,0)))),"")</f>
        <v/>
      </c>
      <c r="B1025" s="54"/>
      <c r="C1025" s="79" t="str">
        <f aca="false">IFERROR(IF($D1025="","",INDEX(Übungen!$B$4:$B$23,MATCH($D1025,Übungen!$A$4:$A$23,0))),"")</f>
        <v/>
      </c>
      <c r="D1025" s="56"/>
      <c r="E1025" s="73"/>
      <c r="F1025" s="55"/>
      <c r="G1025" s="74"/>
      <c r="H1025" s="55"/>
      <c r="I1025" s="49" t="str">
        <f aca="false">IF(AND(ISNUMBER($F1025),ISNUMBER($G1025),$E1025&lt;&gt;"R"),$F1025*$G1025,"")</f>
        <v/>
      </c>
      <c r="J1025" s="51" t="str">
        <f aca="false">IF(AND($E1025="A",ISNUMBER($F1025),ISNUMBER($G1025)),$F1025*(1+$G1025/30),"")</f>
        <v/>
      </c>
      <c r="K1025" s="56"/>
      <c r="L1025" s="56"/>
    </row>
    <row r="1026" customFormat="false" ht="15.75" hidden="false" customHeight="true" outlineLevel="0" collapsed="false">
      <c r="A1026" s="78" t="str">
        <f aca="false">IFERROR(IF($B1026="","",IF(INDEX(Einheiten!$B$4:$B$63,MATCH($B1026,Einheiten!$A$4:$A$63,0))=0,"",INDEX(Einheiten!$B$4:$B$63,MATCH($B1026,Einheiten!$A$4:$A$63,0)))),"")</f>
        <v/>
      </c>
      <c r="B1026" s="54"/>
      <c r="C1026" s="79" t="str">
        <f aca="false">IFERROR(IF($D1026="","",INDEX(Übungen!$B$4:$B$23,MATCH($D1026,Übungen!$A$4:$A$23,0))),"")</f>
        <v/>
      </c>
      <c r="D1026" s="56"/>
      <c r="E1026" s="73"/>
      <c r="F1026" s="55"/>
      <c r="G1026" s="74"/>
      <c r="H1026" s="55"/>
      <c r="I1026" s="49" t="str">
        <f aca="false">IF(AND(ISNUMBER($F1026),ISNUMBER($G1026),$E1026&lt;&gt;"R"),$F1026*$G1026,"")</f>
        <v/>
      </c>
      <c r="J1026" s="51" t="str">
        <f aca="false">IF(AND($E1026="A",ISNUMBER($F1026),ISNUMBER($G1026)),$F1026*(1+$G1026/30),"")</f>
        <v/>
      </c>
      <c r="K1026" s="56"/>
      <c r="L1026" s="56"/>
    </row>
    <row r="1027" customFormat="false" ht="15.75" hidden="false" customHeight="true" outlineLevel="0" collapsed="false">
      <c r="A1027" s="78" t="str">
        <f aca="false">IFERROR(IF($B1027="","",IF(INDEX(Einheiten!$B$4:$B$63,MATCH($B1027,Einheiten!$A$4:$A$63,0))=0,"",INDEX(Einheiten!$B$4:$B$63,MATCH($B1027,Einheiten!$A$4:$A$63,0)))),"")</f>
        <v/>
      </c>
      <c r="B1027" s="54"/>
      <c r="C1027" s="79" t="str">
        <f aca="false">IFERROR(IF($D1027="","",INDEX(Übungen!$B$4:$B$23,MATCH($D1027,Übungen!$A$4:$A$23,0))),"")</f>
        <v/>
      </c>
      <c r="D1027" s="56"/>
      <c r="E1027" s="73"/>
      <c r="F1027" s="55"/>
      <c r="G1027" s="74"/>
      <c r="H1027" s="55"/>
      <c r="I1027" s="49" t="str">
        <f aca="false">IF(AND(ISNUMBER($F1027),ISNUMBER($G1027),$E1027&lt;&gt;"R"),$F1027*$G1027,"")</f>
        <v/>
      </c>
      <c r="J1027" s="51" t="str">
        <f aca="false">IF(AND($E1027="A",ISNUMBER($F1027),ISNUMBER($G1027)),$F1027*(1+$G1027/30),"")</f>
        <v/>
      </c>
      <c r="K1027" s="56"/>
      <c r="L1027" s="56"/>
    </row>
    <row r="1028" customFormat="false" ht="15.75" hidden="false" customHeight="true" outlineLevel="0" collapsed="false">
      <c r="A1028" s="78" t="str">
        <f aca="false">IFERROR(IF($B1028="","",IF(INDEX(Einheiten!$B$4:$B$63,MATCH($B1028,Einheiten!$A$4:$A$63,0))=0,"",INDEX(Einheiten!$B$4:$B$63,MATCH($B1028,Einheiten!$A$4:$A$63,0)))),"")</f>
        <v/>
      </c>
      <c r="B1028" s="54"/>
      <c r="C1028" s="79" t="str">
        <f aca="false">IFERROR(IF($D1028="","",INDEX(Übungen!$B$4:$B$23,MATCH($D1028,Übungen!$A$4:$A$23,0))),"")</f>
        <v/>
      </c>
      <c r="D1028" s="56"/>
      <c r="E1028" s="73"/>
      <c r="F1028" s="55"/>
      <c r="G1028" s="74"/>
      <c r="H1028" s="55"/>
      <c r="I1028" s="49" t="str">
        <f aca="false">IF(AND(ISNUMBER($F1028),ISNUMBER($G1028),$E1028&lt;&gt;"R"),$F1028*$G1028,"")</f>
        <v/>
      </c>
      <c r="J1028" s="51" t="str">
        <f aca="false">IF(AND($E1028="A",ISNUMBER($F1028),ISNUMBER($G1028)),$F1028*(1+$G1028/30),"")</f>
        <v/>
      </c>
      <c r="K1028" s="56"/>
      <c r="L1028" s="56"/>
    </row>
    <row r="1029" customFormat="false" ht="15.75" hidden="false" customHeight="true" outlineLevel="0" collapsed="false">
      <c r="A1029" s="78" t="str">
        <f aca="false">IFERROR(IF($B1029="","",IF(INDEX(Einheiten!$B$4:$B$63,MATCH($B1029,Einheiten!$A$4:$A$63,0))=0,"",INDEX(Einheiten!$B$4:$B$63,MATCH($B1029,Einheiten!$A$4:$A$63,0)))),"")</f>
        <v/>
      </c>
      <c r="B1029" s="54"/>
      <c r="C1029" s="79" t="str">
        <f aca="false">IFERROR(IF($D1029="","",INDEX(Übungen!$B$4:$B$23,MATCH($D1029,Übungen!$A$4:$A$23,0))),"")</f>
        <v/>
      </c>
      <c r="D1029" s="56"/>
      <c r="E1029" s="73"/>
      <c r="F1029" s="55"/>
      <c r="G1029" s="74"/>
      <c r="H1029" s="55"/>
      <c r="I1029" s="49" t="str">
        <f aca="false">IF(AND(ISNUMBER($F1029),ISNUMBER($G1029),$E1029&lt;&gt;"R"),$F1029*$G1029,"")</f>
        <v/>
      </c>
      <c r="J1029" s="51" t="str">
        <f aca="false">IF(AND($E1029="A",ISNUMBER($F1029),ISNUMBER($G1029)),$F1029*(1+$G1029/30),"")</f>
        <v/>
      </c>
      <c r="K1029" s="56"/>
      <c r="L1029" s="56"/>
    </row>
    <row r="1030" customFormat="false" ht="15.75" hidden="false" customHeight="true" outlineLevel="0" collapsed="false">
      <c r="A1030" s="78" t="str">
        <f aca="false">IFERROR(IF($B1030="","",IF(INDEX(Einheiten!$B$4:$B$63,MATCH($B1030,Einheiten!$A$4:$A$63,0))=0,"",INDEX(Einheiten!$B$4:$B$63,MATCH($B1030,Einheiten!$A$4:$A$63,0)))),"")</f>
        <v/>
      </c>
      <c r="B1030" s="54"/>
      <c r="C1030" s="79" t="str">
        <f aca="false">IFERROR(IF($D1030="","",INDEX(Übungen!$B$4:$B$23,MATCH($D1030,Übungen!$A$4:$A$23,0))),"")</f>
        <v/>
      </c>
      <c r="D1030" s="56"/>
      <c r="E1030" s="73"/>
      <c r="F1030" s="55"/>
      <c r="G1030" s="74"/>
      <c r="H1030" s="55"/>
      <c r="I1030" s="49" t="str">
        <f aca="false">IF(AND(ISNUMBER($F1030),ISNUMBER($G1030),$E1030&lt;&gt;"R"),$F1030*$G1030,"")</f>
        <v/>
      </c>
      <c r="J1030" s="51" t="str">
        <f aca="false">IF(AND($E1030="A",ISNUMBER($F1030),ISNUMBER($G1030)),$F1030*(1+$G1030/30),"")</f>
        <v/>
      </c>
      <c r="K1030" s="56"/>
      <c r="L1030" s="56"/>
    </row>
    <row r="1031" customFormat="false" ht="15.75" hidden="false" customHeight="true" outlineLevel="0" collapsed="false">
      <c r="A1031" s="78" t="str">
        <f aca="false">IFERROR(IF($B1031="","",IF(INDEX(Einheiten!$B$4:$B$63,MATCH($B1031,Einheiten!$A$4:$A$63,0))=0,"",INDEX(Einheiten!$B$4:$B$63,MATCH($B1031,Einheiten!$A$4:$A$63,0)))),"")</f>
        <v/>
      </c>
      <c r="B1031" s="54"/>
      <c r="C1031" s="79" t="str">
        <f aca="false">IFERROR(IF($D1031="","",INDEX(Übungen!$B$4:$B$23,MATCH($D1031,Übungen!$A$4:$A$23,0))),"")</f>
        <v/>
      </c>
      <c r="D1031" s="56"/>
      <c r="E1031" s="73"/>
      <c r="F1031" s="55"/>
      <c r="G1031" s="74"/>
      <c r="H1031" s="55"/>
      <c r="I1031" s="49" t="str">
        <f aca="false">IF(AND(ISNUMBER($F1031),ISNUMBER($G1031),$E1031&lt;&gt;"R"),$F1031*$G1031,"")</f>
        <v/>
      </c>
      <c r="J1031" s="51" t="str">
        <f aca="false">IF(AND($E1031="A",ISNUMBER($F1031),ISNUMBER($G1031)),$F1031*(1+$G1031/30),"")</f>
        <v/>
      </c>
      <c r="K1031" s="56"/>
      <c r="L1031" s="56"/>
    </row>
    <row r="1032" customFormat="false" ht="15.75" hidden="false" customHeight="true" outlineLevel="0" collapsed="false">
      <c r="A1032" s="78" t="str">
        <f aca="false">IFERROR(IF($B1032="","",IF(INDEX(Einheiten!$B$4:$B$63,MATCH($B1032,Einheiten!$A$4:$A$63,0))=0,"",INDEX(Einheiten!$B$4:$B$63,MATCH($B1032,Einheiten!$A$4:$A$63,0)))),"")</f>
        <v/>
      </c>
      <c r="B1032" s="54"/>
      <c r="C1032" s="79" t="str">
        <f aca="false">IFERROR(IF($D1032="","",INDEX(Übungen!$B$4:$B$23,MATCH($D1032,Übungen!$A$4:$A$23,0))),"")</f>
        <v/>
      </c>
      <c r="D1032" s="56"/>
      <c r="E1032" s="73"/>
      <c r="F1032" s="55"/>
      <c r="G1032" s="74"/>
      <c r="H1032" s="55"/>
      <c r="I1032" s="49" t="str">
        <f aca="false">IF(AND(ISNUMBER($F1032),ISNUMBER($G1032),$E1032&lt;&gt;"R"),$F1032*$G1032,"")</f>
        <v/>
      </c>
      <c r="J1032" s="51" t="str">
        <f aca="false">IF(AND($E1032="A",ISNUMBER($F1032),ISNUMBER($G1032)),$F1032*(1+$G1032/30),"")</f>
        <v/>
      </c>
      <c r="K1032" s="56"/>
      <c r="L1032" s="56"/>
    </row>
    <row r="1033" customFormat="false" ht="15.75" hidden="false" customHeight="true" outlineLevel="0" collapsed="false">
      <c r="A1033" s="78" t="str">
        <f aca="false">IFERROR(IF($B1033="","",IF(INDEX(Einheiten!$B$4:$B$63,MATCH($B1033,Einheiten!$A$4:$A$63,0))=0,"",INDEX(Einheiten!$B$4:$B$63,MATCH($B1033,Einheiten!$A$4:$A$63,0)))),"")</f>
        <v/>
      </c>
      <c r="B1033" s="54"/>
      <c r="C1033" s="79" t="str">
        <f aca="false">IFERROR(IF($D1033="","",INDEX(Übungen!$B$4:$B$23,MATCH($D1033,Übungen!$A$4:$A$23,0))),"")</f>
        <v/>
      </c>
      <c r="D1033" s="56"/>
      <c r="E1033" s="73"/>
      <c r="F1033" s="55"/>
      <c r="G1033" s="74"/>
      <c r="H1033" s="55"/>
      <c r="I1033" s="49" t="str">
        <f aca="false">IF(AND(ISNUMBER($F1033),ISNUMBER($G1033),$E1033&lt;&gt;"R"),$F1033*$G1033,"")</f>
        <v/>
      </c>
      <c r="J1033" s="51" t="str">
        <f aca="false">IF(AND($E1033="A",ISNUMBER($F1033),ISNUMBER($G1033)),$F1033*(1+$G1033/30),"")</f>
        <v/>
      </c>
      <c r="K1033" s="56"/>
      <c r="L1033" s="56"/>
    </row>
    <row r="1034" customFormat="false" ht="15.75" hidden="false" customHeight="true" outlineLevel="0" collapsed="false">
      <c r="A1034" s="78" t="str">
        <f aca="false">IFERROR(IF($B1034="","",IF(INDEX(Einheiten!$B$4:$B$63,MATCH($B1034,Einheiten!$A$4:$A$63,0))=0,"",INDEX(Einheiten!$B$4:$B$63,MATCH($B1034,Einheiten!$A$4:$A$63,0)))),"")</f>
        <v/>
      </c>
      <c r="B1034" s="54"/>
      <c r="C1034" s="79" t="str">
        <f aca="false">IFERROR(IF($D1034="","",INDEX(Übungen!$B$4:$B$23,MATCH($D1034,Übungen!$A$4:$A$23,0))),"")</f>
        <v/>
      </c>
      <c r="D1034" s="56"/>
      <c r="E1034" s="73"/>
      <c r="F1034" s="55"/>
      <c r="G1034" s="74"/>
      <c r="H1034" s="55"/>
      <c r="I1034" s="49" t="str">
        <f aca="false">IF(AND(ISNUMBER($F1034),ISNUMBER($G1034),$E1034&lt;&gt;"R"),$F1034*$G1034,"")</f>
        <v/>
      </c>
      <c r="J1034" s="51" t="str">
        <f aca="false">IF(AND($E1034="A",ISNUMBER($F1034),ISNUMBER($G1034)),$F1034*(1+$G1034/30),"")</f>
        <v/>
      </c>
      <c r="K1034" s="56"/>
      <c r="L1034" s="56"/>
    </row>
    <row r="1035" customFormat="false" ht="15.75" hidden="false" customHeight="true" outlineLevel="0" collapsed="false">
      <c r="A1035" s="78" t="str">
        <f aca="false">IFERROR(IF($B1035="","",IF(INDEX(Einheiten!$B$4:$B$63,MATCH($B1035,Einheiten!$A$4:$A$63,0))=0,"",INDEX(Einheiten!$B$4:$B$63,MATCH($B1035,Einheiten!$A$4:$A$63,0)))),"")</f>
        <v/>
      </c>
      <c r="B1035" s="54"/>
      <c r="C1035" s="79" t="str">
        <f aca="false">IFERROR(IF($D1035="","",INDEX(Übungen!$B$4:$B$23,MATCH($D1035,Übungen!$A$4:$A$23,0))),"")</f>
        <v/>
      </c>
      <c r="D1035" s="56"/>
      <c r="E1035" s="73"/>
      <c r="F1035" s="55"/>
      <c r="G1035" s="74"/>
      <c r="H1035" s="55"/>
      <c r="I1035" s="49" t="str">
        <f aca="false">IF(AND(ISNUMBER($F1035),ISNUMBER($G1035),$E1035&lt;&gt;"R"),$F1035*$G1035,"")</f>
        <v/>
      </c>
      <c r="J1035" s="51" t="str">
        <f aca="false">IF(AND($E1035="A",ISNUMBER($F1035),ISNUMBER($G1035)),$F1035*(1+$G1035/30),"")</f>
        <v/>
      </c>
      <c r="K1035" s="56"/>
      <c r="L1035" s="56"/>
    </row>
    <row r="1036" customFormat="false" ht="15.75" hidden="false" customHeight="true" outlineLevel="0" collapsed="false">
      <c r="A1036" s="78" t="str">
        <f aca="false">IFERROR(IF($B1036="","",IF(INDEX(Einheiten!$B$4:$B$63,MATCH($B1036,Einheiten!$A$4:$A$63,0))=0,"",INDEX(Einheiten!$B$4:$B$63,MATCH($B1036,Einheiten!$A$4:$A$63,0)))),"")</f>
        <v/>
      </c>
      <c r="B1036" s="54"/>
      <c r="C1036" s="79" t="str">
        <f aca="false">IFERROR(IF($D1036="","",INDEX(Übungen!$B$4:$B$23,MATCH($D1036,Übungen!$A$4:$A$23,0))),"")</f>
        <v/>
      </c>
      <c r="D1036" s="56"/>
      <c r="E1036" s="73"/>
      <c r="F1036" s="55"/>
      <c r="G1036" s="74"/>
      <c r="H1036" s="55"/>
      <c r="I1036" s="49" t="str">
        <f aca="false">IF(AND(ISNUMBER($F1036),ISNUMBER($G1036),$E1036&lt;&gt;"R"),$F1036*$G1036,"")</f>
        <v/>
      </c>
      <c r="J1036" s="51" t="str">
        <f aca="false">IF(AND($E1036="A",ISNUMBER($F1036),ISNUMBER($G1036)),$F1036*(1+$G1036/30),"")</f>
        <v/>
      </c>
      <c r="K1036" s="56"/>
      <c r="L1036" s="56"/>
    </row>
    <row r="1037" customFormat="false" ht="15.75" hidden="false" customHeight="true" outlineLevel="0" collapsed="false">
      <c r="A1037" s="78" t="str">
        <f aca="false">IFERROR(IF($B1037="","",IF(INDEX(Einheiten!$B$4:$B$63,MATCH($B1037,Einheiten!$A$4:$A$63,0))=0,"",INDEX(Einheiten!$B$4:$B$63,MATCH($B1037,Einheiten!$A$4:$A$63,0)))),"")</f>
        <v/>
      </c>
      <c r="B1037" s="54"/>
      <c r="C1037" s="79" t="str">
        <f aca="false">IFERROR(IF($D1037="","",INDEX(Übungen!$B$4:$B$23,MATCH($D1037,Übungen!$A$4:$A$23,0))),"")</f>
        <v/>
      </c>
      <c r="D1037" s="56"/>
      <c r="E1037" s="73"/>
      <c r="F1037" s="55"/>
      <c r="G1037" s="74"/>
      <c r="H1037" s="55"/>
      <c r="I1037" s="49" t="str">
        <f aca="false">IF(AND(ISNUMBER($F1037),ISNUMBER($G1037),$E1037&lt;&gt;"R"),$F1037*$G1037,"")</f>
        <v/>
      </c>
      <c r="J1037" s="51" t="str">
        <f aca="false">IF(AND($E1037="A",ISNUMBER($F1037),ISNUMBER($G1037)),$F1037*(1+$G1037/30),"")</f>
        <v/>
      </c>
      <c r="K1037" s="56"/>
      <c r="L1037" s="56"/>
    </row>
    <row r="1038" customFormat="false" ht="15.75" hidden="false" customHeight="true" outlineLevel="0" collapsed="false">
      <c r="A1038" s="78" t="str">
        <f aca="false">IFERROR(IF($B1038="","",IF(INDEX(Einheiten!$B$4:$B$63,MATCH($B1038,Einheiten!$A$4:$A$63,0))=0,"",INDEX(Einheiten!$B$4:$B$63,MATCH($B1038,Einheiten!$A$4:$A$63,0)))),"")</f>
        <v/>
      </c>
      <c r="B1038" s="54"/>
      <c r="C1038" s="79" t="str">
        <f aca="false">IFERROR(IF($D1038="","",INDEX(Übungen!$B$4:$B$23,MATCH($D1038,Übungen!$A$4:$A$23,0))),"")</f>
        <v/>
      </c>
      <c r="D1038" s="56"/>
      <c r="E1038" s="73"/>
      <c r="F1038" s="55"/>
      <c r="G1038" s="74"/>
      <c r="H1038" s="55"/>
      <c r="I1038" s="49" t="str">
        <f aca="false">IF(AND(ISNUMBER($F1038),ISNUMBER($G1038),$E1038&lt;&gt;"R"),$F1038*$G1038,"")</f>
        <v/>
      </c>
      <c r="J1038" s="51" t="str">
        <f aca="false">IF(AND($E1038="A",ISNUMBER($F1038),ISNUMBER($G1038)),$F1038*(1+$G1038/30),"")</f>
        <v/>
      </c>
      <c r="K1038" s="56"/>
      <c r="L1038" s="56"/>
    </row>
    <row r="1039" customFormat="false" ht="15.75" hidden="false" customHeight="true" outlineLevel="0" collapsed="false">
      <c r="A1039" s="78" t="str">
        <f aca="false">IFERROR(IF($B1039="","",IF(INDEX(Einheiten!$B$4:$B$63,MATCH($B1039,Einheiten!$A$4:$A$63,0))=0,"",INDEX(Einheiten!$B$4:$B$63,MATCH($B1039,Einheiten!$A$4:$A$63,0)))),"")</f>
        <v/>
      </c>
      <c r="B1039" s="54"/>
      <c r="C1039" s="79" t="str">
        <f aca="false">IFERROR(IF($D1039="","",INDEX(Übungen!$B$4:$B$23,MATCH($D1039,Übungen!$A$4:$A$23,0))),"")</f>
        <v/>
      </c>
      <c r="D1039" s="56"/>
      <c r="E1039" s="73"/>
      <c r="F1039" s="55"/>
      <c r="G1039" s="74"/>
      <c r="H1039" s="55"/>
      <c r="I1039" s="49" t="str">
        <f aca="false">IF(AND(ISNUMBER($F1039),ISNUMBER($G1039),$E1039&lt;&gt;"R"),$F1039*$G1039,"")</f>
        <v/>
      </c>
      <c r="J1039" s="51" t="str">
        <f aca="false">IF(AND($E1039="A",ISNUMBER($F1039),ISNUMBER($G1039)),$F1039*(1+$G1039/30),"")</f>
        <v/>
      </c>
      <c r="K1039" s="56"/>
      <c r="L1039" s="56"/>
    </row>
    <row r="1040" customFormat="false" ht="15.75" hidden="false" customHeight="true" outlineLevel="0" collapsed="false">
      <c r="A1040" s="78" t="str">
        <f aca="false">IFERROR(IF($B1040="","",IF(INDEX(Einheiten!$B$4:$B$63,MATCH($B1040,Einheiten!$A$4:$A$63,0))=0,"",INDEX(Einheiten!$B$4:$B$63,MATCH($B1040,Einheiten!$A$4:$A$63,0)))),"")</f>
        <v/>
      </c>
      <c r="B1040" s="54"/>
      <c r="C1040" s="79" t="str">
        <f aca="false">IFERROR(IF($D1040="","",INDEX(Übungen!$B$4:$B$23,MATCH($D1040,Übungen!$A$4:$A$23,0))),"")</f>
        <v/>
      </c>
      <c r="D1040" s="56"/>
      <c r="E1040" s="73"/>
      <c r="F1040" s="55"/>
      <c r="G1040" s="74"/>
      <c r="H1040" s="55"/>
      <c r="I1040" s="49" t="str">
        <f aca="false">IF(AND(ISNUMBER($F1040),ISNUMBER($G1040),$E1040&lt;&gt;"R"),$F1040*$G1040,"")</f>
        <v/>
      </c>
      <c r="J1040" s="51" t="str">
        <f aca="false">IF(AND($E1040="A",ISNUMBER($F1040),ISNUMBER($G1040)),$F1040*(1+$G1040/30),"")</f>
        <v/>
      </c>
      <c r="K1040" s="56"/>
      <c r="L1040" s="56"/>
    </row>
    <row r="1041" customFormat="false" ht="15.75" hidden="false" customHeight="true" outlineLevel="0" collapsed="false">
      <c r="A1041" s="78" t="str">
        <f aca="false">IFERROR(IF($B1041="","",IF(INDEX(Einheiten!$B$4:$B$63,MATCH($B1041,Einheiten!$A$4:$A$63,0))=0,"",INDEX(Einheiten!$B$4:$B$63,MATCH($B1041,Einheiten!$A$4:$A$63,0)))),"")</f>
        <v/>
      </c>
      <c r="B1041" s="54"/>
      <c r="C1041" s="79" t="str">
        <f aca="false">IFERROR(IF($D1041="","",INDEX(Übungen!$B$4:$B$23,MATCH($D1041,Übungen!$A$4:$A$23,0))),"")</f>
        <v/>
      </c>
      <c r="D1041" s="56"/>
      <c r="E1041" s="73"/>
      <c r="F1041" s="55"/>
      <c r="G1041" s="74"/>
      <c r="H1041" s="55"/>
      <c r="I1041" s="49" t="str">
        <f aca="false">IF(AND(ISNUMBER($F1041),ISNUMBER($G1041),$E1041&lt;&gt;"R"),$F1041*$G1041,"")</f>
        <v/>
      </c>
      <c r="J1041" s="51" t="str">
        <f aca="false">IF(AND($E1041="A",ISNUMBER($F1041),ISNUMBER($G1041)),$F1041*(1+$G1041/30),"")</f>
        <v/>
      </c>
      <c r="K1041" s="56"/>
      <c r="L1041" s="56"/>
    </row>
    <row r="1042" customFormat="false" ht="15.75" hidden="false" customHeight="true" outlineLevel="0" collapsed="false">
      <c r="A1042" s="78" t="str">
        <f aca="false">IFERROR(IF($B1042="","",IF(INDEX(Einheiten!$B$4:$B$63,MATCH($B1042,Einheiten!$A$4:$A$63,0))=0,"",INDEX(Einheiten!$B$4:$B$63,MATCH($B1042,Einheiten!$A$4:$A$63,0)))),"")</f>
        <v/>
      </c>
      <c r="B1042" s="54"/>
      <c r="C1042" s="79" t="str">
        <f aca="false">IFERROR(IF($D1042="","",INDEX(Übungen!$B$4:$B$23,MATCH($D1042,Übungen!$A$4:$A$23,0))),"")</f>
        <v/>
      </c>
      <c r="D1042" s="56"/>
      <c r="E1042" s="73"/>
      <c r="F1042" s="55"/>
      <c r="G1042" s="74"/>
      <c r="H1042" s="55"/>
      <c r="I1042" s="49" t="str">
        <f aca="false">IF(AND(ISNUMBER($F1042),ISNUMBER($G1042),$E1042&lt;&gt;"R"),$F1042*$G1042,"")</f>
        <v/>
      </c>
      <c r="J1042" s="51" t="str">
        <f aca="false">IF(AND($E1042="A",ISNUMBER($F1042),ISNUMBER($G1042)),$F1042*(1+$G1042/30),"")</f>
        <v/>
      </c>
      <c r="K1042" s="56"/>
      <c r="L1042" s="56"/>
    </row>
    <row r="1043" customFormat="false" ht="15.75" hidden="false" customHeight="true" outlineLevel="0" collapsed="false">
      <c r="A1043" s="78" t="str">
        <f aca="false">IFERROR(IF($B1043="","",IF(INDEX(Einheiten!$B$4:$B$63,MATCH($B1043,Einheiten!$A$4:$A$63,0))=0,"",INDEX(Einheiten!$B$4:$B$63,MATCH($B1043,Einheiten!$A$4:$A$63,0)))),"")</f>
        <v/>
      </c>
      <c r="B1043" s="54"/>
      <c r="C1043" s="79" t="str">
        <f aca="false">IFERROR(IF($D1043="","",INDEX(Übungen!$B$4:$B$23,MATCH($D1043,Übungen!$A$4:$A$23,0))),"")</f>
        <v/>
      </c>
      <c r="D1043" s="56"/>
      <c r="E1043" s="73"/>
      <c r="F1043" s="55"/>
      <c r="G1043" s="74"/>
      <c r="H1043" s="55"/>
      <c r="I1043" s="49" t="str">
        <f aca="false">IF(AND(ISNUMBER($F1043),ISNUMBER($G1043),$E1043&lt;&gt;"R"),$F1043*$G1043,"")</f>
        <v/>
      </c>
      <c r="J1043" s="51" t="str">
        <f aca="false">IF(AND($E1043="A",ISNUMBER($F1043),ISNUMBER($G1043)),$F1043*(1+$G1043/30),"")</f>
        <v/>
      </c>
      <c r="K1043" s="56"/>
      <c r="L1043" s="56"/>
    </row>
    <row r="1044" customFormat="false" ht="15.75" hidden="false" customHeight="true" outlineLevel="0" collapsed="false">
      <c r="A1044" s="78" t="str">
        <f aca="false">IFERROR(IF($B1044="","",IF(INDEX(Einheiten!$B$4:$B$63,MATCH($B1044,Einheiten!$A$4:$A$63,0))=0,"",INDEX(Einheiten!$B$4:$B$63,MATCH($B1044,Einheiten!$A$4:$A$63,0)))),"")</f>
        <v/>
      </c>
      <c r="B1044" s="54"/>
      <c r="C1044" s="79" t="str">
        <f aca="false">IFERROR(IF($D1044="","",INDEX(Übungen!$B$4:$B$23,MATCH($D1044,Übungen!$A$4:$A$23,0))),"")</f>
        <v/>
      </c>
      <c r="D1044" s="56"/>
      <c r="E1044" s="73"/>
      <c r="F1044" s="55"/>
      <c r="G1044" s="74"/>
      <c r="H1044" s="55"/>
      <c r="I1044" s="49" t="str">
        <f aca="false">IF(AND(ISNUMBER($F1044),ISNUMBER($G1044),$E1044&lt;&gt;"R"),$F1044*$G1044,"")</f>
        <v/>
      </c>
      <c r="J1044" s="51" t="str">
        <f aca="false">IF(AND($E1044="A",ISNUMBER($F1044),ISNUMBER($G1044)),$F1044*(1+$G1044/30),"")</f>
        <v/>
      </c>
      <c r="K1044" s="56"/>
      <c r="L1044" s="56"/>
    </row>
    <row r="1045" customFormat="false" ht="15.75" hidden="false" customHeight="true" outlineLevel="0" collapsed="false">
      <c r="A1045" s="78" t="str">
        <f aca="false">IFERROR(IF($B1045="","",IF(INDEX(Einheiten!$B$4:$B$63,MATCH($B1045,Einheiten!$A$4:$A$63,0))=0,"",INDEX(Einheiten!$B$4:$B$63,MATCH($B1045,Einheiten!$A$4:$A$63,0)))),"")</f>
        <v/>
      </c>
      <c r="B1045" s="54"/>
      <c r="C1045" s="79" t="str">
        <f aca="false">IFERROR(IF($D1045="","",INDEX(Übungen!$B$4:$B$23,MATCH($D1045,Übungen!$A$4:$A$23,0))),"")</f>
        <v/>
      </c>
      <c r="D1045" s="56"/>
      <c r="E1045" s="73"/>
      <c r="F1045" s="55"/>
      <c r="G1045" s="74"/>
      <c r="H1045" s="55"/>
      <c r="I1045" s="49" t="str">
        <f aca="false">IF(AND(ISNUMBER($F1045),ISNUMBER($G1045),$E1045&lt;&gt;"R"),$F1045*$G1045,"")</f>
        <v/>
      </c>
      <c r="J1045" s="51" t="str">
        <f aca="false">IF(AND($E1045="A",ISNUMBER($F1045),ISNUMBER($G1045)),$F1045*(1+$G1045/30),"")</f>
        <v/>
      </c>
      <c r="K1045" s="56"/>
      <c r="L1045" s="56"/>
    </row>
    <row r="1046" customFormat="false" ht="15.75" hidden="false" customHeight="true" outlineLevel="0" collapsed="false">
      <c r="A1046" s="78" t="str">
        <f aca="false">IFERROR(IF($B1046="","",IF(INDEX(Einheiten!$B$4:$B$63,MATCH($B1046,Einheiten!$A$4:$A$63,0))=0,"",INDEX(Einheiten!$B$4:$B$63,MATCH($B1046,Einheiten!$A$4:$A$63,0)))),"")</f>
        <v/>
      </c>
      <c r="B1046" s="54"/>
      <c r="C1046" s="79" t="str">
        <f aca="false">IFERROR(IF($D1046="","",INDEX(Übungen!$B$4:$B$23,MATCH($D1046,Übungen!$A$4:$A$23,0))),"")</f>
        <v/>
      </c>
      <c r="D1046" s="56"/>
      <c r="E1046" s="73"/>
      <c r="F1046" s="55"/>
      <c r="G1046" s="74"/>
      <c r="H1046" s="55"/>
      <c r="I1046" s="49" t="str">
        <f aca="false">IF(AND(ISNUMBER($F1046),ISNUMBER($G1046),$E1046&lt;&gt;"R"),$F1046*$G1046,"")</f>
        <v/>
      </c>
      <c r="J1046" s="51" t="str">
        <f aca="false">IF(AND($E1046="A",ISNUMBER($F1046),ISNUMBER($G1046)),$F1046*(1+$G1046/30),"")</f>
        <v/>
      </c>
      <c r="K1046" s="56"/>
      <c r="L1046" s="56"/>
    </row>
    <row r="1047" customFormat="false" ht="15.75" hidden="false" customHeight="true" outlineLevel="0" collapsed="false">
      <c r="A1047" s="78" t="str">
        <f aca="false">IFERROR(IF($B1047="","",IF(INDEX(Einheiten!$B$4:$B$63,MATCH($B1047,Einheiten!$A$4:$A$63,0))=0,"",INDEX(Einheiten!$B$4:$B$63,MATCH($B1047,Einheiten!$A$4:$A$63,0)))),"")</f>
        <v/>
      </c>
      <c r="B1047" s="54"/>
      <c r="C1047" s="79" t="str">
        <f aca="false">IFERROR(IF($D1047="","",INDEX(Übungen!$B$4:$B$23,MATCH($D1047,Übungen!$A$4:$A$23,0))),"")</f>
        <v/>
      </c>
      <c r="D1047" s="56"/>
      <c r="E1047" s="73"/>
      <c r="F1047" s="55"/>
      <c r="G1047" s="74"/>
      <c r="H1047" s="55"/>
      <c r="I1047" s="49" t="str">
        <f aca="false">IF(AND(ISNUMBER($F1047),ISNUMBER($G1047),$E1047&lt;&gt;"R"),$F1047*$G1047,"")</f>
        <v/>
      </c>
      <c r="J1047" s="51" t="str">
        <f aca="false">IF(AND($E1047="A",ISNUMBER($F1047),ISNUMBER($G1047)),$F1047*(1+$G1047/30),"")</f>
        <v/>
      </c>
      <c r="K1047" s="56"/>
      <c r="L1047" s="56"/>
    </row>
    <row r="1048" customFormat="false" ht="15.75" hidden="false" customHeight="true" outlineLevel="0" collapsed="false">
      <c r="A1048" s="78" t="str">
        <f aca="false">IFERROR(IF($B1048="","",IF(INDEX(Einheiten!$B$4:$B$63,MATCH($B1048,Einheiten!$A$4:$A$63,0))=0,"",INDEX(Einheiten!$B$4:$B$63,MATCH($B1048,Einheiten!$A$4:$A$63,0)))),"")</f>
        <v/>
      </c>
      <c r="B1048" s="54"/>
      <c r="C1048" s="79" t="str">
        <f aca="false">IFERROR(IF($D1048="","",INDEX(Übungen!$B$4:$B$23,MATCH($D1048,Übungen!$A$4:$A$23,0))),"")</f>
        <v/>
      </c>
      <c r="D1048" s="56"/>
      <c r="E1048" s="73"/>
      <c r="F1048" s="55"/>
      <c r="G1048" s="74"/>
      <c r="H1048" s="55"/>
      <c r="I1048" s="49" t="str">
        <f aca="false">IF(AND(ISNUMBER($F1048),ISNUMBER($G1048),$E1048&lt;&gt;"R"),$F1048*$G1048,"")</f>
        <v/>
      </c>
      <c r="J1048" s="51" t="str">
        <f aca="false">IF(AND($E1048="A",ISNUMBER($F1048),ISNUMBER($G1048)),$F1048*(1+$G1048/30),"")</f>
        <v/>
      </c>
      <c r="K1048" s="56"/>
      <c r="L1048" s="56"/>
    </row>
    <row r="1049" customFormat="false" ht="15.75" hidden="false" customHeight="true" outlineLevel="0" collapsed="false">
      <c r="A1049" s="78" t="str">
        <f aca="false">IFERROR(IF($B1049="","",IF(INDEX(Einheiten!$B$4:$B$63,MATCH($B1049,Einheiten!$A$4:$A$63,0))=0,"",INDEX(Einheiten!$B$4:$B$63,MATCH($B1049,Einheiten!$A$4:$A$63,0)))),"")</f>
        <v/>
      </c>
      <c r="B1049" s="54"/>
      <c r="C1049" s="79" t="str">
        <f aca="false">IFERROR(IF($D1049="","",INDEX(Übungen!$B$4:$B$23,MATCH($D1049,Übungen!$A$4:$A$23,0))),"")</f>
        <v/>
      </c>
      <c r="D1049" s="56"/>
      <c r="E1049" s="73"/>
      <c r="F1049" s="55"/>
      <c r="G1049" s="74"/>
      <c r="H1049" s="55"/>
      <c r="I1049" s="49" t="str">
        <f aca="false">IF(AND(ISNUMBER($F1049),ISNUMBER($G1049),$E1049&lt;&gt;"R"),$F1049*$G1049,"")</f>
        <v/>
      </c>
      <c r="J1049" s="51" t="str">
        <f aca="false">IF(AND($E1049="A",ISNUMBER($F1049),ISNUMBER($G1049)),$F1049*(1+$G1049/30),"")</f>
        <v/>
      </c>
      <c r="K1049" s="56"/>
      <c r="L1049" s="56"/>
    </row>
    <row r="1050" customFormat="false" ht="15.75" hidden="false" customHeight="true" outlineLevel="0" collapsed="false">
      <c r="A1050" s="78" t="str">
        <f aca="false">IFERROR(IF($B1050="","",IF(INDEX(Einheiten!$B$4:$B$63,MATCH($B1050,Einheiten!$A$4:$A$63,0))=0,"",INDEX(Einheiten!$B$4:$B$63,MATCH($B1050,Einheiten!$A$4:$A$63,0)))),"")</f>
        <v/>
      </c>
      <c r="B1050" s="54"/>
      <c r="C1050" s="79" t="str">
        <f aca="false">IFERROR(IF($D1050="","",INDEX(Übungen!$B$4:$B$23,MATCH($D1050,Übungen!$A$4:$A$23,0))),"")</f>
        <v/>
      </c>
      <c r="D1050" s="56"/>
      <c r="E1050" s="73"/>
      <c r="F1050" s="55"/>
      <c r="G1050" s="74"/>
      <c r="H1050" s="55"/>
      <c r="I1050" s="49" t="str">
        <f aca="false">IF(AND(ISNUMBER($F1050),ISNUMBER($G1050),$E1050&lt;&gt;"R"),$F1050*$G1050,"")</f>
        <v/>
      </c>
      <c r="J1050" s="51" t="str">
        <f aca="false">IF(AND($E1050="A",ISNUMBER($F1050),ISNUMBER($G1050)),$F1050*(1+$G1050/30),"")</f>
        <v/>
      </c>
      <c r="K1050" s="56"/>
      <c r="L1050" s="56"/>
    </row>
    <row r="1051" customFormat="false" ht="15.75" hidden="false" customHeight="true" outlineLevel="0" collapsed="false">
      <c r="A1051" s="78" t="str">
        <f aca="false">IFERROR(IF($B1051="","",IF(INDEX(Einheiten!$B$4:$B$63,MATCH($B1051,Einheiten!$A$4:$A$63,0))=0,"",INDEX(Einheiten!$B$4:$B$63,MATCH($B1051,Einheiten!$A$4:$A$63,0)))),"")</f>
        <v/>
      </c>
      <c r="B1051" s="54"/>
      <c r="C1051" s="79" t="str">
        <f aca="false">IFERROR(IF($D1051="","",INDEX(Übungen!$B$4:$B$23,MATCH($D1051,Übungen!$A$4:$A$23,0))),"")</f>
        <v/>
      </c>
      <c r="D1051" s="56"/>
      <c r="E1051" s="73"/>
      <c r="F1051" s="55"/>
      <c r="G1051" s="74"/>
      <c r="H1051" s="55"/>
      <c r="I1051" s="49" t="str">
        <f aca="false">IF(AND(ISNUMBER($F1051),ISNUMBER($G1051),$E1051&lt;&gt;"R"),$F1051*$G1051,"")</f>
        <v/>
      </c>
      <c r="J1051" s="51" t="str">
        <f aca="false">IF(AND($E1051="A",ISNUMBER($F1051),ISNUMBER($G1051)),$F1051*(1+$G1051/30),"")</f>
        <v/>
      </c>
      <c r="K1051" s="56"/>
      <c r="L1051" s="56"/>
    </row>
    <row r="1052" customFormat="false" ht="15.75" hidden="false" customHeight="true" outlineLevel="0" collapsed="false">
      <c r="A1052" s="78" t="str">
        <f aca="false">IFERROR(IF($B1052="","",IF(INDEX(Einheiten!$B$4:$B$63,MATCH($B1052,Einheiten!$A$4:$A$63,0))=0,"",INDEX(Einheiten!$B$4:$B$63,MATCH($B1052,Einheiten!$A$4:$A$63,0)))),"")</f>
        <v/>
      </c>
      <c r="B1052" s="54"/>
      <c r="C1052" s="79" t="str">
        <f aca="false">IFERROR(IF($D1052="","",INDEX(Übungen!$B$4:$B$23,MATCH($D1052,Übungen!$A$4:$A$23,0))),"")</f>
        <v/>
      </c>
      <c r="D1052" s="56"/>
      <c r="E1052" s="73"/>
      <c r="F1052" s="55"/>
      <c r="G1052" s="74"/>
      <c r="H1052" s="55"/>
      <c r="I1052" s="49" t="str">
        <f aca="false">IF(AND(ISNUMBER($F1052),ISNUMBER($G1052),$E1052&lt;&gt;"R"),$F1052*$G1052,"")</f>
        <v/>
      </c>
      <c r="J1052" s="51" t="str">
        <f aca="false">IF(AND($E1052="A",ISNUMBER($F1052),ISNUMBER($G1052)),$F1052*(1+$G1052/30),"")</f>
        <v/>
      </c>
      <c r="K1052" s="56"/>
      <c r="L1052" s="56"/>
    </row>
    <row r="1053" customFormat="false" ht="15.75" hidden="false" customHeight="true" outlineLevel="0" collapsed="false">
      <c r="A1053" s="78" t="str">
        <f aca="false">IFERROR(IF($B1053="","",IF(INDEX(Einheiten!$B$4:$B$63,MATCH($B1053,Einheiten!$A$4:$A$63,0))=0,"",INDEX(Einheiten!$B$4:$B$63,MATCH($B1053,Einheiten!$A$4:$A$63,0)))),"")</f>
        <v/>
      </c>
      <c r="B1053" s="54"/>
      <c r="C1053" s="79" t="str">
        <f aca="false">IFERROR(IF($D1053="","",INDEX(Übungen!$B$4:$B$23,MATCH($D1053,Übungen!$A$4:$A$23,0))),"")</f>
        <v/>
      </c>
      <c r="D1053" s="56"/>
      <c r="E1053" s="73"/>
      <c r="F1053" s="55"/>
      <c r="G1053" s="74"/>
      <c r="H1053" s="55"/>
      <c r="I1053" s="49" t="str">
        <f aca="false">IF(AND(ISNUMBER($F1053),ISNUMBER($G1053),$E1053&lt;&gt;"R"),$F1053*$G1053,"")</f>
        <v/>
      </c>
      <c r="J1053" s="51" t="str">
        <f aca="false">IF(AND($E1053="A",ISNUMBER($F1053),ISNUMBER($G1053)),$F1053*(1+$G1053/30),"")</f>
        <v/>
      </c>
      <c r="K1053" s="56"/>
      <c r="L1053" s="56"/>
    </row>
    <row r="1054" customFormat="false" ht="15.75" hidden="false" customHeight="true" outlineLevel="0" collapsed="false">
      <c r="A1054" s="78" t="str">
        <f aca="false">IFERROR(IF($B1054="","",IF(INDEX(Einheiten!$B$4:$B$63,MATCH($B1054,Einheiten!$A$4:$A$63,0))=0,"",INDEX(Einheiten!$B$4:$B$63,MATCH($B1054,Einheiten!$A$4:$A$63,0)))),"")</f>
        <v/>
      </c>
      <c r="B1054" s="54"/>
      <c r="C1054" s="79" t="str">
        <f aca="false">IFERROR(IF($D1054="","",INDEX(Übungen!$B$4:$B$23,MATCH($D1054,Übungen!$A$4:$A$23,0))),"")</f>
        <v/>
      </c>
      <c r="D1054" s="56"/>
      <c r="E1054" s="73"/>
      <c r="F1054" s="55"/>
      <c r="G1054" s="74"/>
      <c r="H1054" s="55"/>
      <c r="I1054" s="49" t="str">
        <f aca="false">IF(AND(ISNUMBER($F1054),ISNUMBER($G1054),$E1054&lt;&gt;"R"),$F1054*$G1054,"")</f>
        <v/>
      </c>
      <c r="J1054" s="51" t="str">
        <f aca="false">IF(AND($E1054="A",ISNUMBER($F1054),ISNUMBER($G1054)),$F1054*(1+$G1054/30),"")</f>
        <v/>
      </c>
      <c r="K1054" s="56"/>
      <c r="L1054" s="56"/>
    </row>
    <row r="1055" customFormat="false" ht="15.75" hidden="false" customHeight="true" outlineLevel="0" collapsed="false">
      <c r="A1055" s="78" t="str">
        <f aca="false">IFERROR(IF($B1055="","",IF(INDEX(Einheiten!$B$4:$B$63,MATCH($B1055,Einheiten!$A$4:$A$63,0))=0,"",INDEX(Einheiten!$B$4:$B$63,MATCH($B1055,Einheiten!$A$4:$A$63,0)))),"")</f>
        <v/>
      </c>
      <c r="B1055" s="54"/>
      <c r="C1055" s="79" t="str">
        <f aca="false">IFERROR(IF($D1055="","",INDEX(Übungen!$B$4:$B$23,MATCH($D1055,Übungen!$A$4:$A$23,0))),"")</f>
        <v/>
      </c>
      <c r="D1055" s="56"/>
      <c r="E1055" s="73"/>
      <c r="F1055" s="55"/>
      <c r="G1055" s="74"/>
      <c r="H1055" s="55"/>
      <c r="I1055" s="49" t="str">
        <f aca="false">IF(AND(ISNUMBER($F1055),ISNUMBER($G1055),$E1055&lt;&gt;"R"),$F1055*$G1055,"")</f>
        <v/>
      </c>
      <c r="J1055" s="51" t="str">
        <f aca="false">IF(AND($E1055="A",ISNUMBER($F1055),ISNUMBER($G1055)),$F1055*(1+$G1055/30),"")</f>
        <v/>
      </c>
      <c r="K1055" s="56"/>
      <c r="L1055" s="56"/>
    </row>
    <row r="1056" customFormat="false" ht="15.75" hidden="false" customHeight="true" outlineLevel="0" collapsed="false">
      <c r="A1056" s="78" t="str">
        <f aca="false">IFERROR(IF($B1056="","",IF(INDEX(Einheiten!$B$4:$B$63,MATCH($B1056,Einheiten!$A$4:$A$63,0))=0,"",INDEX(Einheiten!$B$4:$B$63,MATCH($B1056,Einheiten!$A$4:$A$63,0)))),"")</f>
        <v/>
      </c>
      <c r="B1056" s="54"/>
      <c r="C1056" s="79" t="str">
        <f aca="false">IFERROR(IF($D1056="","",INDEX(Übungen!$B$4:$B$23,MATCH($D1056,Übungen!$A$4:$A$23,0))),"")</f>
        <v/>
      </c>
      <c r="D1056" s="56"/>
      <c r="E1056" s="73"/>
      <c r="F1056" s="55"/>
      <c r="G1056" s="74"/>
      <c r="H1056" s="55"/>
      <c r="I1056" s="49" t="str">
        <f aca="false">IF(AND(ISNUMBER($F1056),ISNUMBER($G1056),$E1056&lt;&gt;"R"),$F1056*$G1056,"")</f>
        <v/>
      </c>
      <c r="J1056" s="51" t="str">
        <f aca="false">IF(AND($E1056="A",ISNUMBER($F1056),ISNUMBER($G1056)),$F1056*(1+$G1056/30),"")</f>
        <v/>
      </c>
      <c r="K1056" s="56"/>
      <c r="L1056" s="56"/>
    </row>
    <row r="1057" customFormat="false" ht="15.75" hidden="false" customHeight="true" outlineLevel="0" collapsed="false">
      <c r="A1057" s="78" t="str">
        <f aca="false">IFERROR(IF($B1057="","",IF(INDEX(Einheiten!$B$4:$B$63,MATCH($B1057,Einheiten!$A$4:$A$63,0))=0,"",INDEX(Einheiten!$B$4:$B$63,MATCH($B1057,Einheiten!$A$4:$A$63,0)))),"")</f>
        <v/>
      </c>
      <c r="B1057" s="54"/>
      <c r="C1057" s="79" t="str">
        <f aca="false">IFERROR(IF($D1057="","",INDEX(Übungen!$B$4:$B$23,MATCH($D1057,Übungen!$A$4:$A$23,0))),"")</f>
        <v/>
      </c>
      <c r="D1057" s="56"/>
      <c r="E1057" s="73"/>
      <c r="F1057" s="55"/>
      <c r="G1057" s="74"/>
      <c r="H1057" s="55"/>
      <c r="I1057" s="49" t="str">
        <f aca="false">IF(AND(ISNUMBER($F1057),ISNUMBER($G1057),$E1057&lt;&gt;"R"),$F1057*$G1057,"")</f>
        <v/>
      </c>
      <c r="J1057" s="51" t="str">
        <f aca="false">IF(AND($E1057="A",ISNUMBER($F1057),ISNUMBER($G1057)),$F1057*(1+$G1057/30),"")</f>
        <v/>
      </c>
      <c r="K1057" s="56"/>
      <c r="L1057" s="56"/>
    </row>
    <row r="1058" customFormat="false" ht="15.75" hidden="false" customHeight="true" outlineLevel="0" collapsed="false">
      <c r="A1058" s="78" t="str">
        <f aca="false">IFERROR(IF($B1058="","",IF(INDEX(Einheiten!$B$4:$B$63,MATCH($B1058,Einheiten!$A$4:$A$63,0))=0,"",INDEX(Einheiten!$B$4:$B$63,MATCH($B1058,Einheiten!$A$4:$A$63,0)))),"")</f>
        <v/>
      </c>
      <c r="B1058" s="54"/>
      <c r="C1058" s="79" t="str">
        <f aca="false">IFERROR(IF($D1058="","",INDEX(Übungen!$B$4:$B$23,MATCH($D1058,Übungen!$A$4:$A$23,0))),"")</f>
        <v/>
      </c>
      <c r="D1058" s="56"/>
      <c r="E1058" s="73"/>
      <c r="F1058" s="55"/>
      <c r="G1058" s="74"/>
      <c r="H1058" s="55"/>
      <c r="I1058" s="49" t="str">
        <f aca="false">IF(AND(ISNUMBER($F1058),ISNUMBER($G1058),$E1058&lt;&gt;"R"),$F1058*$G1058,"")</f>
        <v/>
      </c>
      <c r="J1058" s="51" t="str">
        <f aca="false">IF(AND($E1058="A",ISNUMBER($F1058),ISNUMBER($G1058)),$F1058*(1+$G1058/30),"")</f>
        <v/>
      </c>
      <c r="K1058" s="56"/>
      <c r="L1058" s="56"/>
    </row>
    <row r="1059" customFormat="false" ht="15.75" hidden="false" customHeight="true" outlineLevel="0" collapsed="false">
      <c r="A1059" s="78" t="str">
        <f aca="false">IFERROR(IF($B1059="","",IF(INDEX(Einheiten!$B$4:$B$63,MATCH($B1059,Einheiten!$A$4:$A$63,0))=0,"",INDEX(Einheiten!$B$4:$B$63,MATCH($B1059,Einheiten!$A$4:$A$63,0)))),"")</f>
        <v/>
      </c>
      <c r="B1059" s="54"/>
      <c r="C1059" s="79" t="str">
        <f aca="false">IFERROR(IF($D1059="","",INDEX(Übungen!$B$4:$B$23,MATCH($D1059,Übungen!$A$4:$A$23,0))),"")</f>
        <v/>
      </c>
      <c r="D1059" s="56"/>
      <c r="E1059" s="73"/>
      <c r="F1059" s="55"/>
      <c r="G1059" s="74"/>
      <c r="H1059" s="55"/>
      <c r="I1059" s="49" t="str">
        <f aca="false">IF(AND(ISNUMBER($F1059),ISNUMBER($G1059),$E1059&lt;&gt;"R"),$F1059*$G1059,"")</f>
        <v/>
      </c>
      <c r="J1059" s="51" t="str">
        <f aca="false">IF(AND($E1059="A",ISNUMBER($F1059),ISNUMBER($G1059)),$F1059*(1+$G1059/30),"")</f>
        <v/>
      </c>
      <c r="K1059" s="56"/>
      <c r="L1059" s="56"/>
    </row>
    <row r="1060" customFormat="false" ht="15.75" hidden="false" customHeight="true" outlineLevel="0" collapsed="false">
      <c r="A1060" s="78" t="str">
        <f aca="false">IFERROR(IF($B1060="","",IF(INDEX(Einheiten!$B$4:$B$63,MATCH($B1060,Einheiten!$A$4:$A$63,0))=0,"",INDEX(Einheiten!$B$4:$B$63,MATCH($B1060,Einheiten!$A$4:$A$63,0)))),"")</f>
        <v/>
      </c>
      <c r="B1060" s="54"/>
      <c r="C1060" s="79" t="str">
        <f aca="false">IFERROR(IF($D1060="","",INDEX(Übungen!$B$4:$B$23,MATCH($D1060,Übungen!$A$4:$A$23,0))),"")</f>
        <v/>
      </c>
      <c r="D1060" s="56"/>
      <c r="E1060" s="73"/>
      <c r="F1060" s="55"/>
      <c r="G1060" s="74"/>
      <c r="H1060" s="55"/>
      <c r="I1060" s="49" t="str">
        <f aca="false">IF(AND(ISNUMBER($F1060),ISNUMBER($G1060),$E1060&lt;&gt;"R"),$F1060*$G1060,"")</f>
        <v/>
      </c>
      <c r="J1060" s="51" t="str">
        <f aca="false">IF(AND($E1060="A",ISNUMBER($F1060),ISNUMBER($G1060)),$F1060*(1+$G1060/30),"")</f>
        <v/>
      </c>
      <c r="K1060" s="56"/>
      <c r="L1060" s="56"/>
    </row>
    <row r="1061" customFormat="false" ht="15.75" hidden="false" customHeight="true" outlineLevel="0" collapsed="false">
      <c r="A1061" s="78" t="str">
        <f aca="false">IFERROR(IF($B1061="","",IF(INDEX(Einheiten!$B$4:$B$63,MATCH($B1061,Einheiten!$A$4:$A$63,0))=0,"",INDEX(Einheiten!$B$4:$B$63,MATCH($B1061,Einheiten!$A$4:$A$63,0)))),"")</f>
        <v/>
      </c>
      <c r="B1061" s="54"/>
      <c r="C1061" s="79" t="str">
        <f aca="false">IFERROR(IF($D1061="","",INDEX(Übungen!$B$4:$B$23,MATCH($D1061,Übungen!$A$4:$A$23,0))),"")</f>
        <v/>
      </c>
      <c r="D1061" s="56"/>
      <c r="E1061" s="73"/>
      <c r="F1061" s="55"/>
      <c r="G1061" s="74"/>
      <c r="H1061" s="55"/>
      <c r="I1061" s="49" t="str">
        <f aca="false">IF(AND(ISNUMBER($F1061),ISNUMBER($G1061),$E1061&lt;&gt;"R"),$F1061*$G1061,"")</f>
        <v/>
      </c>
      <c r="J1061" s="51" t="str">
        <f aca="false">IF(AND($E1061="A",ISNUMBER($F1061),ISNUMBER($G1061)),$F1061*(1+$G1061/30),"")</f>
        <v/>
      </c>
      <c r="K1061" s="56"/>
      <c r="L1061" s="56"/>
    </row>
    <row r="1062" customFormat="false" ht="15.75" hidden="false" customHeight="true" outlineLevel="0" collapsed="false">
      <c r="A1062" s="78" t="str">
        <f aca="false">IFERROR(IF($B1062="","",IF(INDEX(Einheiten!$B$4:$B$63,MATCH($B1062,Einheiten!$A$4:$A$63,0))=0,"",INDEX(Einheiten!$B$4:$B$63,MATCH($B1062,Einheiten!$A$4:$A$63,0)))),"")</f>
        <v/>
      </c>
      <c r="B1062" s="54"/>
      <c r="C1062" s="79" t="str">
        <f aca="false">IFERROR(IF($D1062="","",INDEX(Übungen!$B$4:$B$23,MATCH($D1062,Übungen!$A$4:$A$23,0))),"")</f>
        <v/>
      </c>
      <c r="D1062" s="56"/>
      <c r="E1062" s="73"/>
      <c r="F1062" s="55"/>
      <c r="G1062" s="74"/>
      <c r="H1062" s="55"/>
      <c r="I1062" s="49" t="str">
        <f aca="false">IF(AND(ISNUMBER($F1062),ISNUMBER($G1062),$E1062&lt;&gt;"R"),$F1062*$G1062,"")</f>
        <v/>
      </c>
      <c r="J1062" s="51" t="str">
        <f aca="false">IF(AND($E1062="A",ISNUMBER($F1062),ISNUMBER($G1062)),$F1062*(1+$G1062/30),"")</f>
        <v/>
      </c>
      <c r="K1062" s="56"/>
      <c r="L1062" s="56"/>
    </row>
    <row r="1063" customFormat="false" ht="15.75" hidden="false" customHeight="true" outlineLevel="0" collapsed="false">
      <c r="A1063" s="78" t="str">
        <f aca="false">IFERROR(IF($B1063="","",IF(INDEX(Einheiten!$B$4:$B$63,MATCH($B1063,Einheiten!$A$4:$A$63,0))=0,"",INDEX(Einheiten!$B$4:$B$63,MATCH($B1063,Einheiten!$A$4:$A$63,0)))),"")</f>
        <v/>
      </c>
      <c r="B1063" s="54"/>
      <c r="C1063" s="79" t="str">
        <f aca="false">IFERROR(IF($D1063="","",INDEX(Übungen!$B$4:$B$23,MATCH($D1063,Übungen!$A$4:$A$23,0))),"")</f>
        <v/>
      </c>
      <c r="D1063" s="56"/>
      <c r="E1063" s="73"/>
      <c r="F1063" s="55"/>
      <c r="G1063" s="74"/>
      <c r="H1063" s="55"/>
      <c r="I1063" s="49" t="str">
        <f aca="false">IF(AND(ISNUMBER($F1063),ISNUMBER($G1063),$E1063&lt;&gt;"R"),$F1063*$G1063,"")</f>
        <v/>
      </c>
      <c r="J1063" s="51" t="str">
        <f aca="false">IF(AND($E1063="A",ISNUMBER($F1063),ISNUMBER($G1063)),$F1063*(1+$G1063/30),"")</f>
        <v/>
      </c>
      <c r="K1063" s="56"/>
      <c r="L1063" s="56"/>
    </row>
    <row r="1064" customFormat="false" ht="15.75" hidden="false" customHeight="true" outlineLevel="0" collapsed="false">
      <c r="A1064" s="78" t="str">
        <f aca="false">IFERROR(IF($B1064="","",IF(INDEX(Einheiten!$B$4:$B$63,MATCH($B1064,Einheiten!$A$4:$A$63,0))=0,"",INDEX(Einheiten!$B$4:$B$63,MATCH($B1064,Einheiten!$A$4:$A$63,0)))),"")</f>
        <v/>
      </c>
      <c r="B1064" s="54"/>
      <c r="C1064" s="79" t="str">
        <f aca="false">IFERROR(IF($D1064="","",INDEX(Übungen!$B$4:$B$23,MATCH($D1064,Übungen!$A$4:$A$23,0))),"")</f>
        <v/>
      </c>
      <c r="D1064" s="56"/>
      <c r="E1064" s="73"/>
      <c r="F1064" s="55"/>
      <c r="G1064" s="74"/>
      <c r="H1064" s="55"/>
      <c r="I1064" s="49" t="str">
        <f aca="false">IF(AND(ISNUMBER($F1064),ISNUMBER($G1064),$E1064&lt;&gt;"R"),$F1064*$G1064,"")</f>
        <v/>
      </c>
      <c r="J1064" s="51" t="str">
        <f aca="false">IF(AND($E1064="A",ISNUMBER($F1064),ISNUMBER($G1064)),$F1064*(1+$G1064/30),"")</f>
        <v/>
      </c>
      <c r="K1064" s="56"/>
      <c r="L1064" s="56"/>
    </row>
    <row r="1065" customFormat="false" ht="15.75" hidden="false" customHeight="true" outlineLevel="0" collapsed="false">
      <c r="A1065" s="78" t="str">
        <f aca="false">IFERROR(IF($B1065="","",IF(INDEX(Einheiten!$B$4:$B$63,MATCH($B1065,Einheiten!$A$4:$A$63,0))=0,"",INDEX(Einheiten!$B$4:$B$63,MATCH($B1065,Einheiten!$A$4:$A$63,0)))),"")</f>
        <v/>
      </c>
      <c r="B1065" s="54"/>
      <c r="C1065" s="79" t="str">
        <f aca="false">IFERROR(IF($D1065="","",INDEX(Übungen!$B$4:$B$23,MATCH($D1065,Übungen!$A$4:$A$23,0))),"")</f>
        <v/>
      </c>
      <c r="D1065" s="56"/>
      <c r="E1065" s="73"/>
      <c r="F1065" s="55"/>
      <c r="G1065" s="74"/>
      <c r="H1065" s="55"/>
      <c r="I1065" s="49" t="str">
        <f aca="false">IF(AND(ISNUMBER($F1065),ISNUMBER($G1065),$E1065&lt;&gt;"R"),$F1065*$G1065,"")</f>
        <v/>
      </c>
      <c r="J1065" s="51" t="str">
        <f aca="false">IF(AND($E1065="A",ISNUMBER($F1065),ISNUMBER($G1065)),$F1065*(1+$G1065/30),"")</f>
        <v/>
      </c>
      <c r="K1065" s="56"/>
      <c r="L1065" s="56"/>
    </row>
    <row r="1066" customFormat="false" ht="15.75" hidden="false" customHeight="true" outlineLevel="0" collapsed="false">
      <c r="A1066" s="78" t="str">
        <f aca="false">IFERROR(IF($B1066="","",IF(INDEX(Einheiten!$B$4:$B$63,MATCH($B1066,Einheiten!$A$4:$A$63,0))=0,"",INDEX(Einheiten!$B$4:$B$63,MATCH($B1066,Einheiten!$A$4:$A$63,0)))),"")</f>
        <v/>
      </c>
      <c r="B1066" s="54"/>
      <c r="C1066" s="79" t="str">
        <f aca="false">IFERROR(IF($D1066="","",INDEX(Übungen!$B$4:$B$23,MATCH($D1066,Übungen!$A$4:$A$23,0))),"")</f>
        <v/>
      </c>
      <c r="D1066" s="56"/>
      <c r="E1066" s="73"/>
      <c r="F1066" s="55"/>
      <c r="G1066" s="74"/>
      <c r="H1066" s="55"/>
      <c r="I1066" s="49" t="str">
        <f aca="false">IF(AND(ISNUMBER($F1066),ISNUMBER($G1066),$E1066&lt;&gt;"R"),$F1066*$G1066,"")</f>
        <v/>
      </c>
      <c r="J1066" s="51" t="str">
        <f aca="false">IF(AND($E1066="A",ISNUMBER($F1066),ISNUMBER($G1066)),$F1066*(1+$G1066/30),"")</f>
        <v/>
      </c>
      <c r="K1066" s="56"/>
      <c r="L1066" s="56"/>
    </row>
    <row r="1067" customFormat="false" ht="15.75" hidden="false" customHeight="true" outlineLevel="0" collapsed="false">
      <c r="A1067" s="78" t="str">
        <f aca="false">IFERROR(IF($B1067="","",IF(INDEX(Einheiten!$B$4:$B$63,MATCH($B1067,Einheiten!$A$4:$A$63,0))=0,"",INDEX(Einheiten!$B$4:$B$63,MATCH($B1067,Einheiten!$A$4:$A$63,0)))),"")</f>
        <v/>
      </c>
      <c r="B1067" s="54"/>
      <c r="C1067" s="79" t="str">
        <f aca="false">IFERROR(IF($D1067="","",INDEX(Übungen!$B$4:$B$23,MATCH($D1067,Übungen!$A$4:$A$23,0))),"")</f>
        <v/>
      </c>
      <c r="D1067" s="56"/>
      <c r="E1067" s="73"/>
      <c r="F1067" s="55"/>
      <c r="G1067" s="74"/>
      <c r="H1067" s="55"/>
      <c r="I1067" s="49" t="str">
        <f aca="false">IF(AND(ISNUMBER($F1067),ISNUMBER($G1067),$E1067&lt;&gt;"R"),$F1067*$G1067,"")</f>
        <v/>
      </c>
      <c r="J1067" s="51" t="str">
        <f aca="false">IF(AND($E1067="A",ISNUMBER($F1067),ISNUMBER($G1067)),$F1067*(1+$G1067/30),"")</f>
        <v/>
      </c>
      <c r="K1067" s="56"/>
      <c r="L1067" s="56"/>
    </row>
    <row r="1068" customFormat="false" ht="15.75" hidden="false" customHeight="true" outlineLevel="0" collapsed="false">
      <c r="A1068" s="78" t="str">
        <f aca="false">IFERROR(IF($B1068="","",IF(INDEX(Einheiten!$B$4:$B$63,MATCH($B1068,Einheiten!$A$4:$A$63,0))=0,"",INDEX(Einheiten!$B$4:$B$63,MATCH($B1068,Einheiten!$A$4:$A$63,0)))),"")</f>
        <v/>
      </c>
      <c r="B1068" s="54"/>
      <c r="C1068" s="79" t="str">
        <f aca="false">IFERROR(IF($D1068="","",INDEX(Übungen!$B$4:$B$23,MATCH($D1068,Übungen!$A$4:$A$23,0))),"")</f>
        <v/>
      </c>
      <c r="D1068" s="56"/>
      <c r="E1068" s="73"/>
      <c r="F1068" s="55"/>
      <c r="G1068" s="74"/>
      <c r="H1068" s="55"/>
      <c r="I1068" s="49" t="str">
        <f aca="false">IF(AND(ISNUMBER($F1068),ISNUMBER($G1068),$E1068&lt;&gt;"R"),$F1068*$G1068,"")</f>
        <v/>
      </c>
      <c r="J1068" s="51" t="str">
        <f aca="false">IF(AND($E1068="A",ISNUMBER($F1068),ISNUMBER($G1068)),$F1068*(1+$G1068/30),"")</f>
        <v/>
      </c>
      <c r="K1068" s="56"/>
      <c r="L1068" s="56"/>
    </row>
    <row r="1069" customFormat="false" ht="15.75" hidden="false" customHeight="true" outlineLevel="0" collapsed="false">
      <c r="A1069" s="78" t="str">
        <f aca="false">IFERROR(IF($B1069="","",IF(INDEX(Einheiten!$B$4:$B$63,MATCH($B1069,Einheiten!$A$4:$A$63,0))=0,"",INDEX(Einheiten!$B$4:$B$63,MATCH($B1069,Einheiten!$A$4:$A$63,0)))),"")</f>
        <v/>
      </c>
      <c r="B1069" s="54"/>
      <c r="C1069" s="79" t="str">
        <f aca="false">IFERROR(IF($D1069="","",INDEX(Übungen!$B$4:$B$23,MATCH($D1069,Übungen!$A$4:$A$23,0))),"")</f>
        <v/>
      </c>
      <c r="D1069" s="56"/>
      <c r="E1069" s="73"/>
      <c r="F1069" s="55"/>
      <c r="G1069" s="74"/>
      <c r="H1069" s="55"/>
      <c r="I1069" s="49" t="str">
        <f aca="false">IF(AND(ISNUMBER($F1069),ISNUMBER($G1069),$E1069&lt;&gt;"R"),$F1069*$G1069,"")</f>
        <v/>
      </c>
      <c r="J1069" s="51" t="str">
        <f aca="false">IF(AND($E1069="A",ISNUMBER($F1069),ISNUMBER($G1069)),$F1069*(1+$G1069/30),"")</f>
        <v/>
      </c>
      <c r="K1069" s="56"/>
      <c r="L1069" s="56"/>
    </row>
    <row r="1070" customFormat="false" ht="15.75" hidden="false" customHeight="true" outlineLevel="0" collapsed="false">
      <c r="A1070" s="78" t="str">
        <f aca="false">IFERROR(IF($B1070="","",IF(INDEX(Einheiten!$B$4:$B$63,MATCH($B1070,Einheiten!$A$4:$A$63,0))=0,"",INDEX(Einheiten!$B$4:$B$63,MATCH($B1070,Einheiten!$A$4:$A$63,0)))),"")</f>
        <v/>
      </c>
      <c r="B1070" s="54"/>
      <c r="C1070" s="79" t="str">
        <f aca="false">IFERROR(IF($D1070="","",INDEX(Übungen!$B$4:$B$23,MATCH($D1070,Übungen!$A$4:$A$23,0))),"")</f>
        <v/>
      </c>
      <c r="D1070" s="56"/>
      <c r="E1070" s="73"/>
      <c r="F1070" s="55"/>
      <c r="G1070" s="74"/>
      <c r="H1070" s="55"/>
      <c r="I1070" s="49" t="str">
        <f aca="false">IF(AND(ISNUMBER($F1070),ISNUMBER($G1070),$E1070&lt;&gt;"R"),$F1070*$G1070,"")</f>
        <v/>
      </c>
      <c r="J1070" s="51" t="str">
        <f aca="false">IF(AND($E1070="A",ISNUMBER($F1070),ISNUMBER($G1070)),$F1070*(1+$G1070/30),"")</f>
        <v/>
      </c>
      <c r="K1070" s="56"/>
      <c r="L1070" s="56"/>
    </row>
    <row r="1071" customFormat="false" ht="15.75" hidden="false" customHeight="true" outlineLevel="0" collapsed="false">
      <c r="A1071" s="78" t="str">
        <f aca="false">IFERROR(IF($B1071="","",IF(INDEX(Einheiten!$B$4:$B$63,MATCH($B1071,Einheiten!$A$4:$A$63,0))=0,"",INDEX(Einheiten!$B$4:$B$63,MATCH($B1071,Einheiten!$A$4:$A$63,0)))),"")</f>
        <v/>
      </c>
      <c r="B1071" s="54"/>
      <c r="C1071" s="79" t="str">
        <f aca="false">IFERROR(IF($D1071="","",INDEX(Übungen!$B$4:$B$23,MATCH($D1071,Übungen!$A$4:$A$23,0))),"")</f>
        <v/>
      </c>
      <c r="D1071" s="56"/>
      <c r="E1071" s="73"/>
      <c r="F1071" s="55"/>
      <c r="G1071" s="74"/>
      <c r="H1071" s="55"/>
      <c r="I1071" s="49" t="str">
        <f aca="false">IF(AND(ISNUMBER($F1071),ISNUMBER($G1071),$E1071&lt;&gt;"R"),$F1071*$G1071,"")</f>
        <v/>
      </c>
      <c r="J1071" s="51" t="str">
        <f aca="false">IF(AND($E1071="A",ISNUMBER($F1071),ISNUMBER($G1071)),$F1071*(1+$G1071/30),"")</f>
        <v/>
      </c>
      <c r="K1071" s="56"/>
      <c r="L1071" s="56"/>
    </row>
    <row r="1072" customFormat="false" ht="15.75" hidden="false" customHeight="true" outlineLevel="0" collapsed="false">
      <c r="A1072" s="78" t="str">
        <f aca="false">IFERROR(IF($B1072="","",IF(INDEX(Einheiten!$B$4:$B$63,MATCH($B1072,Einheiten!$A$4:$A$63,0))=0,"",INDEX(Einheiten!$B$4:$B$63,MATCH($B1072,Einheiten!$A$4:$A$63,0)))),"")</f>
        <v/>
      </c>
      <c r="B1072" s="54"/>
      <c r="C1072" s="79" t="str">
        <f aca="false">IFERROR(IF($D1072="","",INDEX(Übungen!$B$4:$B$23,MATCH($D1072,Übungen!$A$4:$A$23,0))),"")</f>
        <v/>
      </c>
      <c r="D1072" s="56"/>
      <c r="E1072" s="73"/>
      <c r="F1072" s="55"/>
      <c r="G1072" s="74"/>
      <c r="H1072" s="55"/>
      <c r="I1072" s="49" t="str">
        <f aca="false">IF(AND(ISNUMBER($F1072),ISNUMBER($G1072),$E1072&lt;&gt;"R"),$F1072*$G1072,"")</f>
        <v/>
      </c>
      <c r="J1072" s="51" t="str">
        <f aca="false">IF(AND($E1072="A",ISNUMBER($F1072),ISNUMBER($G1072)),$F1072*(1+$G1072/30),"")</f>
        <v/>
      </c>
      <c r="K1072" s="56"/>
      <c r="L1072" s="56"/>
    </row>
    <row r="1073" customFormat="false" ht="15.75" hidden="false" customHeight="true" outlineLevel="0" collapsed="false">
      <c r="A1073" s="78" t="str">
        <f aca="false">IFERROR(IF($B1073="","",IF(INDEX(Einheiten!$B$4:$B$63,MATCH($B1073,Einheiten!$A$4:$A$63,0))=0,"",INDEX(Einheiten!$B$4:$B$63,MATCH($B1073,Einheiten!$A$4:$A$63,0)))),"")</f>
        <v/>
      </c>
      <c r="B1073" s="54"/>
      <c r="C1073" s="79" t="str">
        <f aca="false">IFERROR(IF($D1073="","",INDEX(Übungen!$B$4:$B$23,MATCH($D1073,Übungen!$A$4:$A$23,0))),"")</f>
        <v/>
      </c>
      <c r="D1073" s="56"/>
      <c r="E1073" s="73"/>
      <c r="F1073" s="55"/>
      <c r="G1073" s="74"/>
      <c r="H1073" s="55"/>
      <c r="I1073" s="49" t="str">
        <f aca="false">IF(AND(ISNUMBER($F1073),ISNUMBER($G1073),$E1073&lt;&gt;"R"),$F1073*$G1073,"")</f>
        <v/>
      </c>
      <c r="J1073" s="51" t="str">
        <f aca="false">IF(AND($E1073="A",ISNUMBER($F1073),ISNUMBER($G1073)),$F1073*(1+$G1073/30),"")</f>
        <v/>
      </c>
      <c r="K1073" s="56"/>
      <c r="L1073" s="56"/>
    </row>
    <row r="1074" customFormat="false" ht="15.75" hidden="false" customHeight="true" outlineLevel="0" collapsed="false">
      <c r="A1074" s="78" t="str">
        <f aca="false">IFERROR(IF($B1074="","",IF(INDEX(Einheiten!$B$4:$B$63,MATCH($B1074,Einheiten!$A$4:$A$63,0))=0,"",INDEX(Einheiten!$B$4:$B$63,MATCH($B1074,Einheiten!$A$4:$A$63,0)))),"")</f>
        <v/>
      </c>
      <c r="B1074" s="54"/>
      <c r="C1074" s="79" t="str">
        <f aca="false">IFERROR(IF($D1074="","",INDEX(Übungen!$B$4:$B$23,MATCH($D1074,Übungen!$A$4:$A$23,0))),"")</f>
        <v/>
      </c>
      <c r="D1074" s="56"/>
      <c r="E1074" s="73"/>
      <c r="F1074" s="55"/>
      <c r="G1074" s="74"/>
      <c r="H1074" s="55"/>
      <c r="I1074" s="49" t="str">
        <f aca="false">IF(AND(ISNUMBER($F1074),ISNUMBER($G1074),$E1074&lt;&gt;"R"),$F1074*$G1074,"")</f>
        <v/>
      </c>
      <c r="J1074" s="51" t="str">
        <f aca="false">IF(AND($E1074="A",ISNUMBER($F1074),ISNUMBER($G1074)),$F1074*(1+$G1074/30),"")</f>
        <v/>
      </c>
      <c r="K1074" s="56"/>
      <c r="L1074" s="56"/>
    </row>
    <row r="1075" customFormat="false" ht="15.75" hidden="false" customHeight="true" outlineLevel="0" collapsed="false">
      <c r="A1075" s="78" t="str">
        <f aca="false">IFERROR(IF($B1075="","",IF(INDEX(Einheiten!$B$4:$B$63,MATCH($B1075,Einheiten!$A$4:$A$63,0))=0,"",INDEX(Einheiten!$B$4:$B$63,MATCH($B1075,Einheiten!$A$4:$A$63,0)))),"")</f>
        <v/>
      </c>
      <c r="B1075" s="54"/>
      <c r="C1075" s="79" t="str">
        <f aca="false">IFERROR(IF($D1075="","",INDEX(Übungen!$B$4:$B$23,MATCH($D1075,Übungen!$A$4:$A$23,0))),"")</f>
        <v/>
      </c>
      <c r="D1075" s="56"/>
      <c r="E1075" s="73"/>
      <c r="F1075" s="55"/>
      <c r="G1075" s="74"/>
      <c r="H1075" s="55"/>
      <c r="I1075" s="49" t="str">
        <f aca="false">IF(AND(ISNUMBER($F1075),ISNUMBER($G1075),$E1075&lt;&gt;"R"),$F1075*$G1075,"")</f>
        <v/>
      </c>
      <c r="J1075" s="51" t="str">
        <f aca="false">IF(AND($E1075="A",ISNUMBER($F1075),ISNUMBER($G1075)),$F1075*(1+$G1075/30),"")</f>
        <v/>
      </c>
      <c r="K1075" s="56"/>
      <c r="L1075" s="56"/>
    </row>
    <row r="1076" customFormat="false" ht="15.75" hidden="false" customHeight="true" outlineLevel="0" collapsed="false">
      <c r="A1076" s="78" t="str">
        <f aca="false">IFERROR(IF($B1076="","",IF(INDEX(Einheiten!$B$4:$B$63,MATCH($B1076,Einheiten!$A$4:$A$63,0))=0,"",INDEX(Einheiten!$B$4:$B$63,MATCH($B1076,Einheiten!$A$4:$A$63,0)))),"")</f>
        <v/>
      </c>
      <c r="B1076" s="54"/>
      <c r="C1076" s="79" t="str">
        <f aca="false">IFERROR(IF($D1076="","",INDEX(Übungen!$B$4:$B$23,MATCH($D1076,Übungen!$A$4:$A$23,0))),"")</f>
        <v/>
      </c>
      <c r="D1076" s="56"/>
      <c r="E1076" s="73"/>
      <c r="F1076" s="55"/>
      <c r="G1076" s="74"/>
      <c r="H1076" s="55"/>
      <c r="I1076" s="49" t="str">
        <f aca="false">IF(AND(ISNUMBER($F1076),ISNUMBER($G1076),$E1076&lt;&gt;"R"),$F1076*$G1076,"")</f>
        <v/>
      </c>
      <c r="J1076" s="51" t="str">
        <f aca="false">IF(AND($E1076="A",ISNUMBER($F1076),ISNUMBER($G1076)),$F1076*(1+$G1076/30),"")</f>
        <v/>
      </c>
      <c r="K1076" s="56"/>
      <c r="L1076" s="56"/>
    </row>
    <row r="1077" customFormat="false" ht="15.75" hidden="false" customHeight="true" outlineLevel="0" collapsed="false">
      <c r="A1077" s="78" t="str">
        <f aca="false">IFERROR(IF($B1077="","",IF(INDEX(Einheiten!$B$4:$B$63,MATCH($B1077,Einheiten!$A$4:$A$63,0))=0,"",INDEX(Einheiten!$B$4:$B$63,MATCH($B1077,Einheiten!$A$4:$A$63,0)))),"")</f>
        <v/>
      </c>
      <c r="B1077" s="54"/>
      <c r="C1077" s="79" t="str">
        <f aca="false">IFERROR(IF($D1077="","",INDEX(Übungen!$B$4:$B$23,MATCH($D1077,Übungen!$A$4:$A$23,0))),"")</f>
        <v/>
      </c>
      <c r="D1077" s="56"/>
      <c r="E1077" s="73"/>
      <c r="F1077" s="55"/>
      <c r="G1077" s="74"/>
      <c r="H1077" s="55"/>
      <c r="I1077" s="49" t="str">
        <f aca="false">IF(AND(ISNUMBER($F1077),ISNUMBER($G1077),$E1077&lt;&gt;"R"),$F1077*$G1077,"")</f>
        <v/>
      </c>
      <c r="J1077" s="51" t="str">
        <f aca="false">IF(AND($E1077="A",ISNUMBER($F1077),ISNUMBER($G1077)),$F1077*(1+$G1077/30),"")</f>
        <v/>
      </c>
      <c r="K1077" s="56"/>
      <c r="L1077" s="56"/>
    </row>
    <row r="1078" customFormat="false" ht="15.75" hidden="false" customHeight="true" outlineLevel="0" collapsed="false">
      <c r="A1078" s="78" t="str">
        <f aca="false">IFERROR(IF($B1078="","",IF(INDEX(Einheiten!$B$4:$B$63,MATCH($B1078,Einheiten!$A$4:$A$63,0))=0,"",INDEX(Einheiten!$B$4:$B$63,MATCH($B1078,Einheiten!$A$4:$A$63,0)))),"")</f>
        <v/>
      </c>
      <c r="B1078" s="54"/>
      <c r="C1078" s="79" t="str">
        <f aca="false">IFERROR(IF($D1078="","",INDEX(Übungen!$B$4:$B$23,MATCH($D1078,Übungen!$A$4:$A$23,0))),"")</f>
        <v/>
      </c>
      <c r="D1078" s="56"/>
      <c r="E1078" s="73"/>
      <c r="F1078" s="55"/>
      <c r="G1078" s="74"/>
      <c r="H1078" s="55"/>
      <c r="I1078" s="49" t="str">
        <f aca="false">IF(AND(ISNUMBER($F1078),ISNUMBER($G1078),$E1078&lt;&gt;"R"),$F1078*$G1078,"")</f>
        <v/>
      </c>
      <c r="J1078" s="51" t="str">
        <f aca="false">IF(AND($E1078="A",ISNUMBER($F1078),ISNUMBER($G1078)),$F1078*(1+$G1078/30),"")</f>
        <v/>
      </c>
      <c r="K1078" s="56"/>
      <c r="L1078" s="56"/>
    </row>
    <row r="1079" customFormat="false" ht="15.75" hidden="false" customHeight="true" outlineLevel="0" collapsed="false">
      <c r="A1079" s="78" t="str">
        <f aca="false">IFERROR(IF($B1079="","",IF(INDEX(Einheiten!$B$4:$B$63,MATCH($B1079,Einheiten!$A$4:$A$63,0))=0,"",INDEX(Einheiten!$B$4:$B$63,MATCH($B1079,Einheiten!$A$4:$A$63,0)))),"")</f>
        <v/>
      </c>
      <c r="B1079" s="54"/>
      <c r="C1079" s="79" t="str">
        <f aca="false">IFERROR(IF($D1079="","",INDEX(Übungen!$B$4:$B$23,MATCH($D1079,Übungen!$A$4:$A$23,0))),"")</f>
        <v/>
      </c>
      <c r="D1079" s="56"/>
      <c r="E1079" s="73"/>
      <c r="F1079" s="55"/>
      <c r="G1079" s="74"/>
      <c r="H1079" s="55"/>
      <c r="I1079" s="49" t="str">
        <f aca="false">IF(AND(ISNUMBER($F1079),ISNUMBER($G1079),$E1079&lt;&gt;"R"),$F1079*$G1079,"")</f>
        <v/>
      </c>
      <c r="J1079" s="51" t="str">
        <f aca="false">IF(AND($E1079="A",ISNUMBER($F1079),ISNUMBER($G1079)),$F1079*(1+$G1079/30),"")</f>
        <v/>
      </c>
      <c r="K1079" s="56"/>
      <c r="L1079" s="56"/>
    </row>
    <row r="1080" customFormat="false" ht="15.75" hidden="false" customHeight="true" outlineLevel="0" collapsed="false">
      <c r="A1080" s="78" t="str">
        <f aca="false">IFERROR(IF($B1080="","",IF(INDEX(Einheiten!$B$4:$B$63,MATCH($B1080,Einheiten!$A$4:$A$63,0))=0,"",INDEX(Einheiten!$B$4:$B$63,MATCH($B1080,Einheiten!$A$4:$A$63,0)))),"")</f>
        <v/>
      </c>
      <c r="B1080" s="54"/>
      <c r="C1080" s="79" t="str">
        <f aca="false">IFERROR(IF($D1080="","",INDEX(Übungen!$B$4:$B$23,MATCH($D1080,Übungen!$A$4:$A$23,0))),"")</f>
        <v/>
      </c>
      <c r="D1080" s="56"/>
      <c r="E1080" s="73"/>
      <c r="F1080" s="55"/>
      <c r="G1080" s="74"/>
      <c r="H1080" s="55"/>
      <c r="I1080" s="49" t="str">
        <f aca="false">IF(AND(ISNUMBER($F1080),ISNUMBER($G1080),$E1080&lt;&gt;"R"),$F1080*$G1080,"")</f>
        <v/>
      </c>
      <c r="J1080" s="51" t="str">
        <f aca="false">IF(AND($E1080="A",ISNUMBER($F1080),ISNUMBER($G1080)),$F1080*(1+$G1080/30),"")</f>
        <v/>
      </c>
      <c r="K1080" s="56"/>
      <c r="L1080" s="56"/>
    </row>
    <row r="1081" customFormat="false" ht="15.75" hidden="false" customHeight="true" outlineLevel="0" collapsed="false">
      <c r="A1081" s="78" t="str">
        <f aca="false">IFERROR(IF($B1081="","",IF(INDEX(Einheiten!$B$4:$B$63,MATCH($B1081,Einheiten!$A$4:$A$63,0))=0,"",INDEX(Einheiten!$B$4:$B$63,MATCH($B1081,Einheiten!$A$4:$A$63,0)))),"")</f>
        <v/>
      </c>
      <c r="B1081" s="54"/>
      <c r="C1081" s="79" t="str">
        <f aca="false">IFERROR(IF($D1081="","",INDEX(Übungen!$B$4:$B$23,MATCH($D1081,Übungen!$A$4:$A$23,0))),"")</f>
        <v/>
      </c>
      <c r="D1081" s="56"/>
      <c r="E1081" s="73"/>
      <c r="F1081" s="55"/>
      <c r="G1081" s="74"/>
      <c r="H1081" s="55"/>
      <c r="I1081" s="49" t="str">
        <f aca="false">IF(AND(ISNUMBER($F1081),ISNUMBER($G1081),$E1081&lt;&gt;"R"),$F1081*$G1081,"")</f>
        <v/>
      </c>
      <c r="J1081" s="51" t="str">
        <f aca="false">IF(AND($E1081="A",ISNUMBER($F1081),ISNUMBER($G1081)),$F1081*(1+$G1081/30),"")</f>
        <v/>
      </c>
      <c r="K1081" s="56"/>
      <c r="L1081" s="56"/>
    </row>
    <row r="1082" customFormat="false" ht="15.75" hidden="false" customHeight="true" outlineLevel="0" collapsed="false">
      <c r="A1082" s="78" t="str">
        <f aca="false">IFERROR(IF($B1082="","",IF(INDEX(Einheiten!$B$4:$B$63,MATCH($B1082,Einheiten!$A$4:$A$63,0))=0,"",INDEX(Einheiten!$B$4:$B$63,MATCH($B1082,Einheiten!$A$4:$A$63,0)))),"")</f>
        <v/>
      </c>
      <c r="B1082" s="54"/>
      <c r="C1082" s="79" t="str">
        <f aca="false">IFERROR(IF($D1082="","",INDEX(Übungen!$B$4:$B$23,MATCH($D1082,Übungen!$A$4:$A$23,0))),"")</f>
        <v/>
      </c>
      <c r="D1082" s="56"/>
      <c r="E1082" s="73"/>
      <c r="F1082" s="55"/>
      <c r="G1082" s="74"/>
      <c r="H1082" s="55"/>
      <c r="I1082" s="49" t="str">
        <f aca="false">IF(AND(ISNUMBER($F1082),ISNUMBER($G1082),$E1082&lt;&gt;"R"),$F1082*$G1082,"")</f>
        <v/>
      </c>
      <c r="J1082" s="51" t="str">
        <f aca="false">IF(AND($E1082="A",ISNUMBER($F1082),ISNUMBER($G1082)),$F1082*(1+$G1082/30),"")</f>
        <v/>
      </c>
      <c r="K1082" s="56"/>
      <c r="L1082" s="56"/>
    </row>
    <row r="1083" customFormat="false" ht="15.75" hidden="false" customHeight="true" outlineLevel="0" collapsed="false">
      <c r="A1083" s="78" t="str">
        <f aca="false">IFERROR(IF($B1083="","",IF(INDEX(Einheiten!$B$4:$B$63,MATCH($B1083,Einheiten!$A$4:$A$63,0))=0,"",INDEX(Einheiten!$B$4:$B$63,MATCH($B1083,Einheiten!$A$4:$A$63,0)))),"")</f>
        <v/>
      </c>
      <c r="B1083" s="54"/>
      <c r="C1083" s="79" t="str">
        <f aca="false">IFERROR(IF($D1083="","",INDEX(Übungen!$B$4:$B$23,MATCH($D1083,Übungen!$A$4:$A$23,0))),"")</f>
        <v/>
      </c>
      <c r="D1083" s="56"/>
      <c r="E1083" s="73"/>
      <c r="F1083" s="55"/>
      <c r="G1083" s="74"/>
      <c r="H1083" s="55"/>
      <c r="I1083" s="49" t="str">
        <f aca="false">IF(AND(ISNUMBER($F1083),ISNUMBER($G1083),$E1083&lt;&gt;"R"),$F1083*$G1083,"")</f>
        <v/>
      </c>
      <c r="J1083" s="51" t="str">
        <f aca="false">IF(AND($E1083="A",ISNUMBER($F1083),ISNUMBER($G1083)),$F1083*(1+$G1083/30),"")</f>
        <v/>
      </c>
      <c r="K1083" s="56"/>
      <c r="L1083" s="56"/>
    </row>
    <row r="1084" customFormat="false" ht="15.75" hidden="false" customHeight="true" outlineLevel="0" collapsed="false">
      <c r="A1084" s="78" t="str">
        <f aca="false">IFERROR(IF($B1084="","",IF(INDEX(Einheiten!$B$4:$B$63,MATCH($B1084,Einheiten!$A$4:$A$63,0))=0,"",INDEX(Einheiten!$B$4:$B$63,MATCH($B1084,Einheiten!$A$4:$A$63,0)))),"")</f>
        <v/>
      </c>
      <c r="B1084" s="54"/>
      <c r="C1084" s="79" t="str">
        <f aca="false">IFERROR(IF($D1084="","",INDEX(Übungen!$B$4:$B$23,MATCH($D1084,Übungen!$A$4:$A$23,0))),"")</f>
        <v/>
      </c>
      <c r="D1084" s="56"/>
      <c r="E1084" s="73"/>
      <c r="F1084" s="55"/>
      <c r="G1084" s="74"/>
      <c r="H1084" s="55"/>
      <c r="I1084" s="49" t="str">
        <f aca="false">IF(AND(ISNUMBER($F1084),ISNUMBER($G1084),$E1084&lt;&gt;"R"),$F1084*$G1084,"")</f>
        <v/>
      </c>
      <c r="J1084" s="51" t="str">
        <f aca="false">IF(AND($E1084="A",ISNUMBER($F1084),ISNUMBER($G1084)),$F1084*(1+$G1084/30),"")</f>
        <v/>
      </c>
      <c r="K1084" s="56"/>
      <c r="L1084" s="56"/>
    </row>
    <row r="1085" customFormat="false" ht="15.75" hidden="false" customHeight="true" outlineLevel="0" collapsed="false">
      <c r="A1085" s="78" t="str">
        <f aca="false">IFERROR(IF($B1085="","",IF(INDEX(Einheiten!$B$4:$B$63,MATCH($B1085,Einheiten!$A$4:$A$63,0))=0,"",INDEX(Einheiten!$B$4:$B$63,MATCH($B1085,Einheiten!$A$4:$A$63,0)))),"")</f>
        <v/>
      </c>
      <c r="B1085" s="54"/>
      <c r="C1085" s="79" t="str">
        <f aca="false">IFERROR(IF($D1085="","",INDEX(Übungen!$B$4:$B$23,MATCH($D1085,Übungen!$A$4:$A$23,0))),"")</f>
        <v/>
      </c>
      <c r="D1085" s="56"/>
      <c r="E1085" s="73"/>
      <c r="F1085" s="55"/>
      <c r="G1085" s="74"/>
      <c r="H1085" s="55"/>
      <c r="I1085" s="49" t="str">
        <f aca="false">IF(AND(ISNUMBER($F1085),ISNUMBER($G1085),$E1085&lt;&gt;"R"),$F1085*$G1085,"")</f>
        <v/>
      </c>
      <c r="J1085" s="51" t="str">
        <f aca="false">IF(AND($E1085="A",ISNUMBER($F1085),ISNUMBER($G1085)),$F1085*(1+$G1085/30),"")</f>
        <v/>
      </c>
      <c r="K1085" s="56"/>
      <c r="L1085" s="56"/>
    </row>
    <row r="1086" customFormat="false" ht="15.75" hidden="false" customHeight="true" outlineLevel="0" collapsed="false">
      <c r="A1086" s="78" t="str">
        <f aca="false">IFERROR(IF($B1086="","",IF(INDEX(Einheiten!$B$4:$B$63,MATCH($B1086,Einheiten!$A$4:$A$63,0))=0,"",INDEX(Einheiten!$B$4:$B$63,MATCH($B1086,Einheiten!$A$4:$A$63,0)))),"")</f>
        <v/>
      </c>
      <c r="B1086" s="54"/>
      <c r="C1086" s="79" t="str">
        <f aca="false">IFERROR(IF($D1086="","",INDEX(Übungen!$B$4:$B$23,MATCH($D1086,Übungen!$A$4:$A$23,0))),"")</f>
        <v/>
      </c>
      <c r="D1086" s="56"/>
      <c r="E1086" s="73"/>
      <c r="F1086" s="55"/>
      <c r="G1086" s="74"/>
      <c r="H1086" s="55"/>
      <c r="I1086" s="49" t="str">
        <f aca="false">IF(AND(ISNUMBER($F1086),ISNUMBER($G1086),$E1086&lt;&gt;"R"),$F1086*$G1086,"")</f>
        <v/>
      </c>
      <c r="J1086" s="51" t="str">
        <f aca="false">IF(AND($E1086="A",ISNUMBER($F1086),ISNUMBER($G1086)),$F1086*(1+$G1086/30),"")</f>
        <v/>
      </c>
      <c r="K1086" s="56"/>
      <c r="L1086" s="56"/>
    </row>
    <row r="1087" customFormat="false" ht="15.75" hidden="false" customHeight="true" outlineLevel="0" collapsed="false">
      <c r="A1087" s="78" t="str">
        <f aca="false">IFERROR(IF($B1087="","",IF(INDEX(Einheiten!$B$4:$B$63,MATCH($B1087,Einheiten!$A$4:$A$63,0))=0,"",INDEX(Einheiten!$B$4:$B$63,MATCH($B1087,Einheiten!$A$4:$A$63,0)))),"")</f>
        <v/>
      </c>
      <c r="B1087" s="54"/>
      <c r="C1087" s="79" t="str">
        <f aca="false">IFERROR(IF($D1087="","",INDEX(Übungen!$B$4:$B$23,MATCH($D1087,Übungen!$A$4:$A$23,0))),"")</f>
        <v/>
      </c>
      <c r="D1087" s="56"/>
      <c r="E1087" s="73"/>
      <c r="F1087" s="55"/>
      <c r="G1087" s="74"/>
      <c r="H1087" s="55"/>
      <c r="I1087" s="49" t="str">
        <f aca="false">IF(AND(ISNUMBER($F1087),ISNUMBER($G1087),$E1087&lt;&gt;"R"),$F1087*$G1087,"")</f>
        <v/>
      </c>
      <c r="J1087" s="51" t="str">
        <f aca="false">IF(AND($E1087="A",ISNUMBER($F1087),ISNUMBER($G1087)),$F1087*(1+$G1087/30),"")</f>
        <v/>
      </c>
      <c r="K1087" s="56"/>
      <c r="L1087" s="56"/>
    </row>
    <row r="1088" customFormat="false" ht="15.75" hidden="false" customHeight="true" outlineLevel="0" collapsed="false">
      <c r="A1088" s="78" t="str">
        <f aca="false">IFERROR(IF($B1088="","",IF(INDEX(Einheiten!$B$4:$B$63,MATCH($B1088,Einheiten!$A$4:$A$63,0))=0,"",INDEX(Einheiten!$B$4:$B$63,MATCH($B1088,Einheiten!$A$4:$A$63,0)))),"")</f>
        <v/>
      </c>
      <c r="B1088" s="54"/>
      <c r="C1088" s="79" t="str">
        <f aca="false">IFERROR(IF($D1088="","",INDEX(Übungen!$B$4:$B$23,MATCH($D1088,Übungen!$A$4:$A$23,0))),"")</f>
        <v/>
      </c>
      <c r="D1088" s="56"/>
      <c r="E1088" s="73"/>
      <c r="F1088" s="55"/>
      <c r="G1088" s="74"/>
      <c r="H1088" s="55"/>
      <c r="I1088" s="49" t="str">
        <f aca="false">IF(AND(ISNUMBER($F1088),ISNUMBER($G1088),$E1088&lt;&gt;"R"),$F1088*$G1088,"")</f>
        <v/>
      </c>
      <c r="J1088" s="51" t="str">
        <f aca="false">IF(AND($E1088="A",ISNUMBER($F1088),ISNUMBER($G1088)),$F1088*(1+$G1088/30),"")</f>
        <v/>
      </c>
      <c r="K1088" s="56"/>
      <c r="L1088" s="56"/>
    </row>
    <row r="1089" customFormat="false" ht="15.75" hidden="false" customHeight="true" outlineLevel="0" collapsed="false">
      <c r="A1089" s="78" t="str">
        <f aca="false">IFERROR(IF($B1089="","",IF(INDEX(Einheiten!$B$4:$B$63,MATCH($B1089,Einheiten!$A$4:$A$63,0))=0,"",INDEX(Einheiten!$B$4:$B$63,MATCH($B1089,Einheiten!$A$4:$A$63,0)))),"")</f>
        <v/>
      </c>
      <c r="B1089" s="54"/>
      <c r="C1089" s="79" t="str">
        <f aca="false">IFERROR(IF($D1089="","",INDEX(Übungen!$B$4:$B$23,MATCH($D1089,Übungen!$A$4:$A$23,0))),"")</f>
        <v/>
      </c>
      <c r="D1089" s="56"/>
      <c r="E1089" s="73"/>
      <c r="F1089" s="55"/>
      <c r="G1089" s="74"/>
      <c r="H1089" s="55"/>
      <c r="I1089" s="49" t="str">
        <f aca="false">IF(AND(ISNUMBER($F1089),ISNUMBER($G1089),$E1089&lt;&gt;"R"),$F1089*$G1089,"")</f>
        <v/>
      </c>
      <c r="J1089" s="51" t="str">
        <f aca="false">IF(AND($E1089="A",ISNUMBER($F1089),ISNUMBER($G1089)),$F1089*(1+$G1089/30),"")</f>
        <v/>
      </c>
      <c r="K1089" s="56"/>
      <c r="L1089" s="56"/>
    </row>
    <row r="1090" customFormat="false" ht="15.75" hidden="false" customHeight="true" outlineLevel="0" collapsed="false">
      <c r="A1090" s="78" t="str">
        <f aca="false">IFERROR(IF($B1090="","",IF(INDEX(Einheiten!$B$4:$B$63,MATCH($B1090,Einheiten!$A$4:$A$63,0))=0,"",INDEX(Einheiten!$B$4:$B$63,MATCH($B1090,Einheiten!$A$4:$A$63,0)))),"")</f>
        <v/>
      </c>
      <c r="B1090" s="54"/>
      <c r="C1090" s="79" t="str">
        <f aca="false">IFERROR(IF($D1090="","",INDEX(Übungen!$B$4:$B$23,MATCH($D1090,Übungen!$A$4:$A$23,0))),"")</f>
        <v/>
      </c>
      <c r="D1090" s="56"/>
      <c r="E1090" s="73"/>
      <c r="F1090" s="55"/>
      <c r="G1090" s="74"/>
      <c r="H1090" s="55"/>
      <c r="I1090" s="49" t="str">
        <f aca="false">IF(AND(ISNUMBER($F1090),ISNUMBER($G1090),$E1090&lt;&gt;"R"),$F1090*$G1090,"")</f>
        <v/>
      </c>
      <c r="J1090" s="51" t="str">
        <f aca="false">IF(AND($E1090="A",ISNUMBER($F1090),ISNUMBER($G1090)),$F1090*(1+$G1090/30),"")</f>
        <v/>
      </c>
      <c r="K1090" s="56"/>
      <c r="L1090" s="56"/>
    </row>
    <row r="1091" customFormat="false" ht="15.75" hidden="false" customHeight="true" outlineLevel="0" collapsed="false">
      <c r="A1091" s="78" t="str">
        <f aca="false">IFERROR(IF($B1091="","",IF(INDEX(Einheiten!$B$4:$B$63,MATCH($B1091,Einheiten!$A$4:$A$63,0))=0,"",INDEX(Einheiten!$B$4:$B$63,MATCH($B1091,Einheiten!$A$4:$A$63,0)))),"")</f>
        <v/>
      </c>
      <c r="B1091" s="54"/>
      <c r="C1091" s="79" t="str">
        <f aca="false">IFERROR(IF($D1091="","",INDEX(Übungen!$B$4:$B$23,MATCH($D1091,Übungen!$A$4:$A$23,0))),"")</f>
        <v/>
      </c>
      <c r="D1091" s="56"/>
      <c r="E1091" s="73"/>
      <c r="F1091" s="55"/>
      <c r="G1091" s="74"/>
      <c r="H1091" s="55"/>
      <c r="I1091" s="49" t="str">
        <f aca="false">IF(AND(ISNUMBER($F1091),ISNUMBER($G1091),$E1091&lt;&gt;"R"),$F1091*$G1091,"")</f>
        <v/>
      </c>
      <c r="J1091" s="51" t="str">
        <f aca="false">IF(AND($E1091="A",ISNUMBER($F1091),ISNUMBER($G1091)),$F1091*(1+$G1091/30),"")</f>
        <v/>
      </c>
      <c r="K1091" s="56"/>
      <c r="L1091" s="56"/>
    </row>
    <row r="1092" customFormat="false" ht="15.75" hidden="false" customHeight="true" outlineLevel="0" collapsed="false">
      <c r="A1092" s="78" t="str">
        <f aca="false">IFERROR(IF($B1092="","",IF(INDEX(Einheiten!$B$4:$B$63,MATCH($B1092,Einheiten!$A$4:$A$63,0))=0,"",INDEX(Einheiten!$B$4:$B$63,MATCH($B1092,Einheiten!$A$4:$A$63,0)))),"")</f>
        <v/>
      </c>
      <c r="B1092" s="54"/>
      <c r="C1092" s="79" t="str">
        <f aca="false">IFERROR(IF($D1092="","",INDEX(Übungen!$B$4:$B$23,MATCH($D1092,Übungen!$A$4:$A$23,0))),"")</f>
        <v/>
      </c>
      <c r="D1092" s="56"/>
      <c r="E1092" s="73"/>
      <c r="F1092" s="55"/>
      <c r="G1092" s="74"/>
      <c r="H1092" s="55"/>
      <c r="I1092" s="49" t="str">
        <f aca="false">IF(AND(ISNUMBER($F1092),ISNUMBER($G1092),$E1092&lt;&gt;"R"),$F1092*$G1092,"")</f>
        <v/>
      </c>
      <c r="J1092" s="51" t="str">
        <f aca="false">IF(AND($E1092="A",ISNUMBER($F1092),ISNUMBER($G1092)),$F1092*(1+$G1092/30),"")</f>
        <v/>
      </c>
      <c r="K1092" s="56"/>
      <c r="L1092" s="56"/>
    </row>
    <row r="1093" customFormat="false" ht="15.75" hidden="false" customHeight="true" outlineLevel="0" collapsed="false">
      <c r="A1093" s="78" t="str">
        <f aca="false">IFERROR(IF($B1093="","",IF(INDEX(Einheiten!$B$4:$B$63,MATCH($B1093,Einheiten!$A$4:$A$63,0))=0,"",INDEX(Einheiten!$B$4:$B$63,MATCH($B1093,Einheiten!$A$4:$A$63,0)))),"")</f>
        <v/>
      </c>
      <c r="B1093" s="54"/>
      <c r="C1093" s="79" t="str">
        <f aca="false">IFERROR(IF($D1093="","",INDEX(Übungen!$B$4:$B$23,MATCH($D1093,Übungen!$A$4:$A$23,0))),"")</f>
        <v/>
      </c>
      <c r="D1093" s="56"/>
      <c r="E1093" s="73"/>
      <c r="F1093" s="55"/>
      <c r="G1093" s="74"/>
      <c r="H1093" s="55"/>
      <c r="I1093" s="49" t="str">
        <f aca="false">IF(AND(ISNUMBER($F1093),ISNUMBER($G1093),$E1093&lt;&gt;"R"),$F1093*$G1093,"")</f>
        <v/>
      </c>
      <c r="J1093" s="51" t="str">
        <f aca="false">IF(AND($E1093="A",ISNUMBER($F1093),ISNUMBER($G1093)),$F1093*(1+$G1093/30),"")</f>
        <v/>
      </c>
      <c r="K1093" s="56"/>
      <c r="L1093" s="56"/>
    </row>
    <row r="1094" customFormat="false" ht="15.75" hidden="false" customHeight="true" outlineLevel="0" collapsed="false">
      <c r="A1094" s="78" t="str">
        <f aca="false">IFERROR(IF($B1094="","",IF(INDEX(Einheiten!$B$4:$B$63,MATCH($B1094,Einheiten!$A$4:$A$63,0))=0,"",INDEX(Einheiten!$B$4:$B$63,MATCH($B1094,Einheiten!$A$4:$A$63,0)))),"")</f>
        <v/>
      </c>
      <c r="B1094" s="54"/>
      <c r="C1094" s="79" t="str">
        <f aca="false">IFERROR(IF($D1094="","",INDEX(Übungen!$B$4:$B$23,MATCH($D1094,Übungen!$A$4:$A$23,0))),"")</f>
        <v/>
      </c>
      <c r="D1094" s="56"/>
      <c r="E1094" s="73"/>
      <c r="F1094" s="55"/>
      <c r="G1094" s="74"/>
      <c r="H1094" s="55"/>
      <c r="I1094" s="49" t="str">
        <f aca="false">IF(AND(ISNUMBER($F1094),ISNUMBER($G1094),$E1094&lt;&gt;"R"),$F1094*$G1094,"")</f>
        <v/>
      </c>
      <c r="J1094" s="51" t="str">
        <f aca="false">IF(AND($E1094="A",ISNUMBER($F1094),ISNUMBER($G1094)),$F1094*(1+$G1094/30),"")</f>
        <v/>
      </c>
      <c r="K1094" s="56"/>
      <c r="L1094" s="56"/>
    </row>
    <row r="1095" customFormat="false" ht="15.75" hidden="false" customHeight="true" outlineLevel="0" collapsed="false">
      <c r="A1095" s="78" t="str">
        <f aca="false">IFERROR(IF($B1095="","",IF(INDEX(Einheiten!$B$4:$B$63,MATCH($B1095,Einheiten!$A$4:$A$63,0))=0,"",INDEX(Einheiten!$B$4:$B$63,MATCH($B1095,Einheiten!$A$4:$A$63,0)))),"")</f>
        <v/>
      </c>
      <c r="B1095" s="54"/>
      <c r="C1095" s="79" t="str">
        <f aca="false">IFERROR(IF($D1095="","",INDEX(Übungen!$B$4:$B$23,MATCH($D1095,Übungen!$A$4:$A$23,0))),"")</f>
        <v/>
      </c>
      <c r="D1095" s="56"/>
      <c r="E1095" s="73"/>
      <c r="F1095" s="55"/>
      <c r="G1095" s="74"/>
      <c r="H1095" s="55"/>
      <c r="I1095" s="49" t="str">
        <f aca="false">IF(AND(ISNUMBER($F1095),ISNUMBER($G1095),$E1095&lt;&gt;"R"),$F1095*$G1095,"")</f>
        <v/>
      </c>
      <c r="J1095" s="51" t="str">
        <f aca="false">IF(AND($E1095="A",ISNUMBER($F1095),ISNUMBER($G1095)),$F1095*(1+$G1095/30),"")</f>
        <v/>
      </c>
      <c r="K1095" s="56"/>
      <c r="L1095" s="56"/>
    </row>
    <row r="1096" customFormat="false" ht="15.75" hidden="false" customHeight="true" outlineLevel="0" collapsed="false">
      <c r="A1096" s="78" t="str">
        <f aca="false">IFERROR(IF($B1096="","",IF(INDEX(Einheiten!$B$4:$B$63,MATCH($B1096,Einheiten!$A$4:$A$63,0))=0,"",INDEX(Einheiten!$B$4:$B$63,MATCH($B1096,Einheiten!$A$4:$A$63,0)))),"")</f>
        <v/>
      </c>
      <c r="B1096" s="54"/>
      <c r="C1096" s="79" t="str">
        <f aca="false">IFERROR(IF($D1096="","",INDEX(Übungen!$B$4:$B$23,MATCH($D1096,Übungen!$A$4:$A$23,0))),"")</f>
        <v/>
      </c>
      <c r="D1096" s="56"/>
      <c r="E1096" s="73"/>
      <c r="F1096" s="55"/>
      <c r="G1096" s="74"/>
      <c r="H1096" s="55"/>
      <c r="I1096" s="49" t="str">
        <f aca="false">IF(AND(ISNUMBER($F1096),ISNUMBER($G1096),$E1096&lt;&gt;"R"),$F1096*$G1096,"")</f>
        <v/>
      </c>
      <c r="J1096" s="51" t="str">
        <f aca="false">IF(AND($E1096="A",ISNUMBER($F1096),ISNUMBER($G1096)),$F1096*(1+$G1096/30),"")</f>
        <v/>
      </c>
      <c r="K1096" s="56"/>
      <c r="L1096" s="56"/>
    </row>
    <row r="1097" customFormat="false" ht="15.75" hidden="false" customHeight="true" outlineLevel="0" collapsed="false">
      <c r="A1097" s="78" t="str">
        <f aca="false">IFERROR(IF($B1097="","",IF(INDEX(Einheiten!$B$4:$B$63,MATCH($B1097,Einheiten!$A$4:$A$63,0))=0,"",INDEX(Einheiten!$B$4:$B$63,MATCH($B1097,Einheiten!$A$4:$A$63,0)))),"")</f>
        <v/>
      </c>
      <c r="B1097" s="54"/>
      <c r="C1097" s="79" t="str">
        <f aca="false">IFERROR(IF($D1097="","",INDEX(Übungen!$B$4:$B$23,MATCH($D1097,Übungen!$A$4:$A$23,0))),"")</f>
        <v/>
      </c>
      <c r="D1097" s="56"/>
      <c r="E1097" s="73"/>
      <c r="F1097" s="55"/>
      <c r="G1097" s="74"/>
      <c r="H1097" s="55"/>
      <c r="I1097" s="49" t="str">
        <f aca="false">IF(AND(ISNUMBER($F1097),ISNUMBER($G1097),$E1097&lt;&gt;"R"),$F1097*$G1097,"")</f>
        <v/>
      </c>
      <c r="J1097" s="51" t="str">
        <f aca="false">IF(AND($E1097="A",ISNUMBER($F1097),ISNUMBER($G1097)),$F1097*(1+$G1097/30),"")</f>
        <v/>
      </c>
      <c r="K1097" s="56"/>
      <c r="L1097" s="56"/>
    </row>
    <row r="1098" customFormat="false" ht="15.75" hidden="false" customHeight="true" outlineLevel="0" collapsed="false">
      <c r="A1098" s="78" t="str">
        <f aca="false">IFERROR(IF($B1098="","",IF(INDEX(Einheiten!$B$4:$B$63,MATCH($B1098,Einheiten!$A$4:$A$63,0))=0,"",INDEX(Einheiten!$B$4:$B$63,MATCH($B1098,Einheiten!$A$4:$A$63,0)))),"")</f>
        <v/>
      </c>
      <c r="B1098" s="54"/>
      <c r="C1098" s="79" t="str">
        <f aca="false">IFERROR(IF($D1098="","",INDEX(Übungen!$B$4:$B$23,MATCH($D1098,Übungen!$A$4:$A$23,0))),"")</f>
        <v/>
      </c>
      <c r="D1098" s="56"/>
      <c r="E1098" s="73"/>
      <c r="F1098" s="55"/>
      <c r="G1098" s="74"/>
      <c r="H1098" s="55"/>
      <c r="I1098" s="49" t="str">
        <f aca="false">IF(AND(ISNUMBER($F1098),ISNUMBER($G1098),$E1098&lt;&gt;"R"),$F1098*$G1098,"")</f>
        <v/>
      </c>
      <c r="J1098" s="51" t="str">
        <f aca="false">IF(AND($E1098="A",ISNUMBER($F1098),ISNUMBER($G1098)),$F1098*(1+$G1098/30),"")</f>
        <v/>
      </c>
      <c r="K1098" s="56"/>
      <c r="L1098" s="56"/>
    </row>
    <row r="1099" customFormat="false" ht="15.75" hidden="false" customHeight="true" outlineLevel="0" collapsed="false">
      <c r="A1099" s="78" t="str">
        <f aca="false">IFERROR(IF($B1099="","",IF(INDEX(Einheiten!$B$4:$B$63,MATCH($B1099,Einheiten!$A$4:$A$63,0))=0,"",INDEX(Einheiten!$B$4:$B$63,MATCH($B1099,Einheiten!$A$4:$A$63,0)))),"")</f>
        <v/>
      </c>
      <c r="B1099" s="54"/>
      <c r="C1099" s="79" t="str">
        <f aca="false">IFERROR(IF($D1099="","",INDEX(Übungen!$B$4:$B$23,MATCH($D1099,Übungen!$A$4:$A$23,0))),"")</f>
        <v/>
      </c>
      <c r="D1099" s="56"/>
      <c r="E1099" s="73"/>
      <c r="F1099" s="55"/>
      <c r="G1099" s="74"/>
      <c r="H1099" s="55"/>
      <c r="I1099" s="49" t="str">
        <f aca="false">IF(AND(ISNUMBER($F1099),ISNUMBER($G1099),$E1099&lt;&gt;"R"),$F1099*$G1099,"")</f>
        <v/>
      </c>
      <c r="J1099" s="51" t="str">
        <f aca="false">IF(AND($E1099="A",ISNUMBER($F1099),ISNUMBER($G1099)),$F1099*(1+$G1099/30),"")</f>
        <v/>
      </c>
      <c r="K1099" s="56"/>
      <c r="L1099" s="56"/>
    </row>
    <row r="1100" customFormat="false" ht="15.75" hidden="false" customHeight="true" outlineLevel="0" collapsed="false">
      <c r="A1100" s="78" t="str">
        <f aca="false">IFERROR(IF($B1100="","",IF(INDEX(Einheiten!$B$4:$B$63,MATCH($B1100,Einheiten!$A$4:$A$63,0))=0,"",INDEX(Einheiten!$B$4:$B$63,MATCH($B1100,Einheiten!$A$4:$A$63,0)))),"")</f>
        <v/>
      </c>
      <c r="B1100" s="54"/>
      <c r="C1100" s="79" t="str">
        <f aca="false">IFERROR(IF($D1100="","",INDEX(Übungen!$B$4:$B$23,MATCH($D1100,Übungen!$A$4:$A$23,0))),"")</f>
        <v/>
      </c>
      <c r="D1100" s="56"/>
      <c r="E1100" s="73"/>
      <c r="F1100" s="55"/>
      <c r="G1100" s="74"/>
      <c r="H1100" s="55"/>
      <c r="I1100" s="49" t="str">
        <f aca="false">IF(AND(ISNUMBER($F1100),ISNUMBER($G1100),$E1100&lt;&gt;"R"),$F1100*$G1100,"")</f>
        <v/>
      </c>
      <c r="J1100" s="51" t="str">
        <f aca="false">IF(AND($E1100="A",ISNUMBER($F1100),ISNUMBER($G1100)),$F1100*(1+$G1100/30),"")</f>
        <v/>
      </c>
      <c r="K1100" s="56"/>
      <c r="L1100" s="56"/>
    </row>
    <row r="1101" customFormat="false" ht="15.75" hidden="false" customHeight="true" outlineLevel="0" collapsed="false">
      <c r="A1101" s="78" t="str">
        <f aca="false">IFERROR(IF($B1101="","",IF(INDEX(Einheiten!$B$4:$B$63,MATCH($B1101,Einheiten!$A$4:$A$63,0))=0,"",INDEX(Einheiten!$B$4:$B$63,MATCH($B1101,Einheiten!$A$4:$A$63,0)))),"")</f>
        <v/>
      </c>
      <c r="B1101" s="54"/>
      <c r="C1101" s="79" t="str">
        <f aca="false">IFERROR(IF($D1101="","",INDEX(Übungen!$B$4:$B$23,MATCH($D1101,Übungen!$A$4:$A$23,0))),"")</f>
        <v/>
      </c>
      <c r="D1101" s="56"/>
      <c r="E1101" s="73"/>
      <c r="F1101" s="55"/>
      <c r="G1101" s="74"/>
      <c r="H1101" s="55"/>
      <c r="I1101" s="49" t="str">
        <f aca="false">IF(AND(ISNUMBER($F1101),ISNUMBER($G1101),$E1101&lt;&gt;"R"),$F1101*$G1101,"")</f>
        <v/>
      </c>
      <c r="J1101" s="51" t="str">
        <f aca="false">IF(AND($E1101="A",ISNUMBER($F1101),ISNUMBER($G1101)),$F1101*(1+$G1101/30),"")</f>
        <v/>
      </c>
      <c r="K1101" s="56"/>
      <c r="L1101" s="56"/>
    </row>
    <row r="1102" customFormat="false" ht="15.75" hidden="false" customHeight="true" outlineLevel="0" collapsed="false">
      <c r="A1102" s="78" t="str">
        <f aca="false">IFERROR(IF($B1102="","",IF(INDEX(Einheiten!$B$4:$B$63,MATCH($B1102,Einheiten!$A$4:$A$63,0))=0,"",INDEX(Einheiten!$B$4:$B$63,MATCH($B1102,Einheiten!$A$4:$A$63,0)))),"")</f>
        <v/>
      </c>
      <c r="B1102" s="54"/>
      <c r="C1102" s="79" t="str">
        <f aca="false">IFERROR(IF($D1102="","",INDEX(Übungen!$B$4:$B$23,MATCH($D1102,Übungen!$A$4:$A$23,0))),"")</f>
        <v/>
      </c>
      <c r="D1102" s="56"/>
      <c r="E1102" s="73"/>
      <c r="F1102" s="55"/>
      <c r="G1102" s="74"/>
      <c r="H1102" s="55"/>
      <c r="I1102" s="49" t="str">
        <f aca="false">IF(AND(ISNUMBER($F1102),ISNUMBER($G1102),$E1102&lt;&gt;"R"),$F1102*$G1102,"")</f>
        <v/>
      </c>
      <c r="J1102" s="51" t="str">
        <f aca="false">IF(AND($E1102="A",ISNUMBER($F1102),ISNUMBER($G1102)),$F1102*(1+$G1102/30),"")</f>
        <v/>
      </c>
      <c r="K1102" s="56"/>
      <c r="L1102" s="56"/>
    </row>
    <row r="1103" customFormat="false" ht="15.75" hidden="false" customHeight="true" outlineLevel="0" collapsed="false">
      <c r="A1103" s="78" t="str">
        <f aca="false">IFERROR(IF($B1103="","",IF(INDEX(Einheiten!$B$4:$B$63,MATCH($B1103,Einheiten!$A$4:$A$63,0))=0,"",INDEX(Einheiten!$B$4:$B$63,MATCH($B1103,Einheiten!$A$4:$A$63,0)))),"")</f>
        <v/>
      </c>
      <c r="B1103" s="54"/>
      <c r="C1103" s="79" t="str">
        <f aca="false">IFERROR(IF($D1103="","",INDEX(Übungen!$B$4:$B$23,MATCH($D1103,Übungen!$A$4:$A$23,0))),"")</f>
        <v/>
      </c>
      <c r="D1103" s="56"/>
      <c r="E1103" s="73"/>
      <c r="F1103" s="55"/>
      <c r="G1103" s="74"/>
      <c r="H1103" s="55"/>
      <c r="I1103" s="49" t="str">
        <f aca="false">IF(AND(ISNUMBER($F1103),ISNUMBER($G1103),$E1103&lt;&gt;"R"),$F1103*$G1103,"")</f>
        <v/>
      </c>
      <c r="J1103" s="51" t="str">
        <f aca="false">IF(AND($E1103="A",ISNUMBER($F1103),ISNUMBER($G1103)),$F1103*(1+$G1103/30),"")</f>
        <v/>
      </c>
      <c r="K1103" s="56"/>
      <c r="L1103" s="56"/>
    </row>
    <row r="1104" customFormat="false" ht="15.75" hidden="false" customHeight="true" outlineLevel="0" collapsed="false">
      <c r="A1104" s="78" t="str">
        <f aca="false">IFERROR(IF($B1104="","",IF(INDEX(Einheiten!$B$4:$B$63,MATCH($B1104,Einheiten!$A$4:$A$63,0))=0,"",INDEX(Einheiten!$B$4:$B$63,MATCH($B1104,Einheiten!$A$4:$A$63,0)))),"")</f>
        <v/>
      </c>
      <c r="B1104" s="54"/>
      <c r="C1104" s="79" t="str">
        <f aca="false">IFERROR(IF($D1104="","",INDEX(Übungen!$B$4:$B$23,MATCH($D1104,Übungen!$A$4:$A$23,0))),"")</f>
        <v/>
      </c>
      <c r="D1104" s="56"/>
      <c r="E1104" s="73"/>
      <c r="F1104" s="55"/>
      <c r="G1104" s="74"/>
      <c r="H1104" s="55"/>
      <c r="I1104" s="49" t="str">
        <f aca="false">IF(AND(ISNUMBER($F1104),ISNUMBER($G1104),$E1104&lt;&gt;"R"),$F1104*$G1104,"")</f>
        <v/>
      </c>
      <c r="J1104" s="51" t="str">
        <f aca="false">IF(AND($E1104="A",ISNUMBER($F1104),ISNUMBER($G1104)),$F1104*(1+$G1104/30),"")</f>
        <v/>
      </c>
      <c r="K1104" s="56"/>
      <c r="L1104" s="56"/>
    </row>
    <row r="1105" customFormat="false" ht="15.75" hidden="false" customHeight="true" outlineLevel="0" collapsed="false">
      <c r="A1105" s="78" t="str">
        <f aca="false">IFERROR(IF($B1105="","",IF(INDEX(Einheiten!$B$4:$B$63,MATCH($B1105,Einheiten!$A$4:$A$63,0))=0,"",INDEX(Einheiten!$B$4:$B$63,MATCH($B1105,Einheiten!$A$4:$A$63,0)))),"")</f>
        <v/>
      </c>
      <c r="B1105" s="54"/>
      <c r="C1105" s="79" t="str">
        <f aca="false">IFERROR(IF($D1105="","",INDEX(Übungen!$B$4:$B$23,MATCH($D1105,Übungen!$A$4:$A$23,0))),"")</f>
        <v/>
      </c>
      <c r="D1105" s="56"/>
      <c r="E1105" s="73"/>
      <c r="F1105" s="55"/>
      <c r="G1105" s="74"/>
      <c r="H1105" s="55"/>
      <c r="I1105" s="49" t="str">
        <f aca="false">IF(AND(ISNUMBER($F1105),ISNUMBER($G1105),$E1105&lt;&gt;"R"),$F1105*$G1105,"")</f>
        <v/>
      </c>
      <c r="J1105" s="51" t="str">
        <f aca="false">IF(AND($E1105="A",ISNUMBER($F1105),ISNUMBER($G1105)),$F1105*(1+$G1105/30),"")</f>
        <v/>
      </c>
      <c r="K1105" s="56"/>
      <c r="L1105" s="56"/>
    </row>
    <row r="1106" customFormat="false" ht="15.75" hidden="false" customHeight="true" outlineLevel="0" collapsed="false">
      <c r="A1106" s="78" t="str">
        <f aca="false">IFERROR(IF($B1106="","",IF(INDEX(Einheiten!$B$4:$B$63,MATCH($B1106,Einheiten!$A$4:$A$63,0))=0,"",INDEX(Einheiten!$B$4:$B$63,MATCH($B1106,Einheiten!$A$4:$A$63,0)))),"")</f>
        <v/>
      </c>
      <c r="B1106" s="54"/>
      <c r="C1106" s="79" t="str">
        <f aca="false">IFERROR(IF($D1106="","",INDEX(Übungen!$B$4:$B$23,MATCH($D1106,Übungen!$A$4:$A$23,0))),"")</f>
        <v/>
      </c>
      <c r="D1106" s="56"/>
      <c r="E1106" s="73"/>
      <c r="F1106" s="55"/>
      <c r="G1106" s="74"/>
      <c r="H1106" s="55"/>
      <c r="I1106" s="49" t="str">
        <f aca="false">IF(AND(ISNUMBER($F1106),ISNUMBER($G1106),$E1106&lt;&gt;"R"),$F1106*$G1106,"")</f>
        <v/>
      </c>
      <c r="J1106" s="51" t="str">
        <f aca="false">IF(AND($E1106="A",ISNUMBER($F1106),ISNUMBER($G1106)),$F1106*(1+$G1106/30),"")</f>
        <v/>
      </c>
      <c r="K1106" s="56"/>
      <c r="L1106" s="56"/>
    </row>
    <row r="1107" customFormat="false" ht="15.75" hidden="false" customHeight="true" outlineLevel="0" collapsed="false">
      <c r="A1107" s="78" t="str">
        <f aca="false">IFERROR(IF($B1107="","",IF(INDEX(Einheiten!$B$4:$B$63,MATCH($B1107,Einheiten!$A$4:$A$63,0))=0,"",INDEX(Einheiten!$B$4:$B$63,MATCH($B1107,Einheiten!$A$4:$A$63,0)))),"")</f>
        <v/>
      </c>
      <c r="B1107" s="54"/>
      <c r="C1107" s="79" t="str">
        <f aca="false">IFERROR(IF($D1107="","",INDEX(Übungen!$B$4:$B$23,MATCH($D1107,Übungen!$A$4:$A$23,0))),"")</f>
        <v/>
      </c>
      <c r="D1107" s="56"/>
      <c r="E1107" s="73"/>
      <c r="F1107" s="55"/>
      <c r="G1107" s="74"/>
      <c r="H1107" s="55"/>
      <c r="I1107" s="49" t="str">
        <f aca="false">IF(AND(ISNUMBER($F1107),ISNUMBER($G1107),$E1107&lt;&gt;"R"),$F1107*$G1107,"")</f>
        <v/>
      </c>
      <c r="J1107" s="51" t="str">
        <f aca="false">IF(AND($E1107="A",ISNUMBER($F1107),ISNUMBER($G1107)),$F1107*(1+$G1107/30),"")</f>
        <v/>
      </c>
      <c r="K1107" s="56"/>
      <c r="L1107" s="56"/>
    </row>
    <row r="1108" customFormat="false" ht="15.75" hidden="false" customHeight="true" outlineLevel="0" collapsed="false">
      <c r="A1108" s="78" t="str">
        <f aca="false">IFERROR(IF($B1108="","",IF(INDEX(Einheiten!$B$4:$B$63,MATCH($B1108,Einheiten!$A$4:$A$63,0))=0,"",INDEX(Einheiten!$B$4:$B$63,MATCH($B1108,Einheiten!$A$4:$A$63,0)))),"")</f>
        <v/>
      </c>
      <c r="B1108" s="54"/>
      <c r="C1108" s="79" t="str">
        <f aca="false">IFERROR(IF($D1108="","",INDEX(Übungen!$B$4:$B$23,MATCH($D1108,Übungen!$A$4:$A$23,0))),"")</f>
        <v/>
      </c>
      <c r="D1108" s="56"/>
      <c r="E1108" s="73"/>
      <c r="F1108" s="55"/>
      <c r="G1108" s="74"/>
      <c r="H1108" s="55"/>
      <c r="I1108" s="49" t="str">
        <f aca="false">IF(AND(ISNUMBER($F1108),ISNUMBER($G1108),$E1108&lt;&gt;"R"),$F1108*$G1108,"")</f>
        <v/>
      </c>
      <c r="J1108" s="51" t="str">
        <f aca="false">IF(AND($E1108="A",ISNUMBER($F1108),ISNUMBER($G1108)),$F1108*(1+$G1108/30),"")</f>
        <v/>
      </c>
      <c r="K1108" s="56"/>
      <c r="L1108" s="56"/>
    </row>
    <row r="1109" customFormat="false" ht="15.75" hidden="false" customHeight="true" outlineLevel="0" collapsed="false">
      <c r="A1109" s="78" t="str">
        <f aca="false">IFERROR(IF($B1109="","",IF(INDEX(Einheiten!$B$4:$B$63,MATCH($B1109,Einheiten!$A$4:$A$63,0))=0,"",INDEX(Einheiten!$B$4:$B$63,MATCH($B1109,Einheiten!$A$4:$A$63,0)))),"")</f>
        <v/>
      </c>
      <c r="B1109" s="54"/>
      <c r="C1109" s="79" t="str">
        <f aca="false">IFERROR(IF($D1109="","",INDEX(Übungen!$B$4:$B$23,MATCH($D1109,Übungen!$A$4:$A$23,0))),"")</f>
        <v/>
      </c>
      <c r="D1109" s="56"/>
      <c r="E1109" s="73"/>
      <c r="F1109" s="55"/>
      <c r="G1109" s="74"/>
      <c r="H1109" s="55"/>
      <c r="I1109" s="49" t="str">
        <f aca="false">IF(AND(ISNUMBER($F1109),ISNUMBER($G1109),$E1109&lt;&gt;"R"),$F1109*$G1109,"")</f>
        <v/>
      </c>
      <c r="J1109" s="51" t="str">
        <f aca="false">IF(AND($E1109="A",ISNUMBER($F1109),ISNUMBER($G1109)),$F1109*(1+$G1109/30),"")</f>
        <v/>
      </c>
      <c r="K1109" s="56"/>
      <c r="L1109" s="56"/>
    </row>
    <row r="1110" customFormat="false" ht="15.75" hidden="false" customHeight="true" outlineLevel="0" collapsed="false">
      <c r="A1110" s="78" t="str">
        <f aca="false">IFERROR(IF($B1110="","",IF(INDEX(Einheiten!$B$4:$B$63,MATCH($B1110,Einheiten!$A$4:$A$63,0))=0,"",INDEX(Einheiten!$B$4:$B$63,MATCH($B1110,Einheiten!$A$4:$A$63,0)))),"")</f>
        <v/>
      </c>
      <c r="B1110" s="54"/>
      <c r="C1110" s="79" t="str">
        <f aca="false">IFERROR(IF($D1110="","",INDEX(Übungen!$B$4:$B$23,MATCH($D1110,Übungen!$A$4:$A$23,0))),"")</f>
        <v/>
      </c>
      <c r="D1110" s="56"/>
      <c r="E1110" s="73"/>
      <c r="F1110" s="55"/>
      <c r="G1110" s="74"/>
      <c r="H1110" s="55"/>
      <c r="I1110" s="49" t="str">
        <f aca="false">IF(AND(ISNUMBER($F1110),ISNUMBER($G1110),$E1110&lt;&gt;"R"),$F1110*$G1110,"")</f>
        <v/>
      </c>
      <c r="J1110" s="51" t="str">
        <f aca="false">IF(AND($E1110="A",ISNUMBER($F1110),ISNUMBER($G1110)),$F1110*(1+$G1110/30),"")</f>
        <v/>
      </c>
      <c r="K1110" s="56"/>
      <c r="L1110" s="56"/>
    </row>
    <row r="1111" customFormat="false" ht="15.75" hidden="false" customHeight="true" outlineLevel="0" collapsed="false">
      <c r="A1111" s="78" t="str">
        <f aca="false">IFERROR(IF($B1111="","",IF(INDEX(Einheiten!$B$4:$B$63,MATCH($B1111,Einheiten!$A$4:$A$63,0))=0,"",INDEX(Einheiten!$B$4:$B$63,MATCH($B1111,Einheiten!$A$4:$A$63,0)))),"")</f>
        <v/>
      </c>
      <c r="B1111" s="54"/>
      <c r="C1111" s="79" t="str">
        <f aca="false">IFERROR(IF($D1111="","",INDEX(Übungen!$B$4:$B$23,MATCH($D1111,Übungen!$A$4:$A$23,0))),"")</f>
        <v/>
      </c>
      <c r="D1111" s="56"/>
      <c r="E1111" s="73"/>
      <c r="F1111" s="55"/>
      <c r="G1111" s="74"/>
      <c r="H1111" s="55"/>
      <c r="I1111" s="49" t="str">
        <f aca="false">IF(AND(ISNUMBER($F1111),ISNUMBER($G1111),$E1111&lt;&gt;"R"),$F1111*$G1111,"")</f>
        <v/>
      </c>
      <c r="J1111" s="51" t="str">
        <f aca="false">IF(AND($E1111="A",ISNUMBER($F1111),ISNUMBER($G1111)),$F1111*(1+$G1111/30),"")</f>
        <v/>
      </c>
      <c r="K1111" s="56"/>
      <c r="L1111" s="56"/>
    </row>
    <row r="1112" customFormat="false" ht="15.75" hidden="false" customHeight="true" outlineLevel="0" collapsed="false">
      <c r="A1112" s="78" t="str">
        <f aca="false">IFERROR(IF($B1112="","",IF(INDEX(Einheiten!$B$4:$B$63,MATCH($B1112,Einheiten!$A$4:$A$63,0))=0,"",INDEX(Einheiten!$B$4:$B$63,MATCH($B1112,Einheiten!$A$4:$A$63,0)))),"")</f>
        <v/>
      </c>
      <c r="B1112" s="54"/>
      <c r="C1112" s="79" t="str">
        <f aca="false">IFERROR(IF($D1112="","",INDEX(Übungen!$B$4:$B$23,MATCH($D1112,Übungen!$A$4:$A$23,0))),"")</f>
        <v/>
      </c>
      <c r="D1112" s="56"/>
      <c r="E1112" s="73"/>
      <c r="F1112" s="55"/>
      <c r="G1112" s="74"/>
      <c r="H1112" s="55"/>
      <c r="I1112" s="49" t="str">
        <f aca="false">IF(AND(ISNUMBER($F1112),ISNUMBER($G1112),$E1112&lt;&gt;"R"),$F1112*$G1112,"")</f>
        <v/>
      </c>
      <c r="J1112" s="51" t="str">
        <f aca="false">IF(AND($E1112="A",ISNUMBER($F1112),ISNUMBER($G1112)),$F1112*(1+$G1112/30),"")</f>
        <v/>
      </c>
      <c r="K1112" s="56"/>
      <c r="L1112" s="56"/>
    </row>
    <row r="1113" customFormat="false" ht="15.75" hidden="false" customHeight="true" outlineLevel="0" collapsed="false">
      <c r="A1113" s="78" t="str">
        <f aca="false">IFERROR(IF($B1113="","",IF(INDEX(Einheiten!$B$4:$B$63,MATCH($B1113,Einheiten!$A$4:$A$63,0))=0,"",INDEX(Einheiten!$B$4:$B$63,MATCH($B1113,Einheiten!$A$4:$A$63,0)))),"")</f>
        <v/>
      </c>
      <c r="B1113" s="54"/>
      <c r="C1113" s="79" t="str">
        <f aca="false">IFERROR(IF($D1113="","",INDEX(Übungen!$B$4:$B$23,MATCH($D1113,Übungen!$A$4:$A$23,0))),"")</f>
        <v/>
      </c>
      <c r="D1113" s="56"/>
      <c r="E1113" s="73"/>
      <c r="F1113" s="55"/>
      <c r="G1113" s="74"/>
      <c r="H1113" s="55"/>
      <c r="I1113" s="49" t="str">
        <f aca="false">IF(AND(ISNUMBER($F1113),ISNUMBER($G1113),$E1113&lt;&gt;"R"),$F1113*$G1113,"")</f>
        <v/>
      </c>
      <c r="J1113" s="51" t="str">
        <f aca="false">IF(AND($E1113="A",ISNUMBER($F1113),ISNUMBER($G1113)),$F1113*(1+$G1113/30),"")</f>
        <v/>
      </c>
      <c r="K1113" s="56"/>
      <c r="L1113" s="56"/>
    </row>
    <row r="1114" customFormat="false" ht="15.75" hidden="false" customHeight="true" outlineLevel="0" collapsed="false">
      <c r="A1114" s="78" t="str">
        <f aca="false">IFERROR(IF($B1114="","",IF(INDEX(Einheiten!$B$4:$B$63,MATCH($B1114,Einheiten!$A$4:$A$63,0))=0,"",INDEX(Einheiten!$B$4:$B$63,MATCH($B1114,Einheiten!$A$4:$A$63,0)))),"")</f>
        <v/>
      </c>
      <c r="B1114" s="54"/>
      <c r="C1114" s="79" t="str">
        <f aca="false">IFERROR(IF($D1114="","",INDEX(Übungen!$B$4:$B$23,MATCH($D1114,Übungen!$A$4:$A$23,0))),"")</f>
        <v/>
      </c>
      <c r="D1114" s="56"/>
      <c r="E1114" s="73"/>
      <c r="F1114" s="55"/>
      <c r="G1114" s="74"/>
      <c r="H1114" s="55"/>
      <c r="I1114" s="49" t="str">
        <f aca="false">IF(AND(ISNUMBER($F1114),ISNUMBER($G1114),$E1114&lt;&gt;"R"),$F1114*$G1114,"")</f>
        <v/>
      </c>
      <c r="J1114" s="51" t="str">
        <f aca="false">IF(AND($E1114="A",ISNUMBER($F1114),ISNUMBER($G1114)),$F1114*(1+$G1114/30),"")</f>
        <v/>
      </c>
      <c r="K1114" s="56"/>
      <c r="L1114" s="56"/>
    </row>
    <row r="1115" customFormat="false" ht="15.75" hidden="false" customHeight="true" outlineLevel="0" collapsed="false">
      <c r="A1115" s="78" t="str">
        <f aca="false">IFERROR(IF($B1115="","",IF(INDEX(Einheiten!$B$4:$B$63,MATCH($B1115,Einheiten!$A$4:$A$63,0))=0,"",INDEX(Einheiten!$B$4:$B$63,MATCH($B1115,Einheiten!$A$4:$A$63,0)))),"")</f>
        <v/>
      </c>
      <c r="B1115" s="54"/>
      <c r="C1115" s="79" t="str">
        <f aca="false">IFERROR(IF($D1115="","",INDEX(Übungen!$B$4:$B$23,MATCH($D1115,Übungen!$A$4:$A$23,0))),"")</f>
        <v/>
      </c>
      <c r="D1115" s="56"/>
      <c r="E1115" s="73"/>
      <c r="F1115" s="55"/>
      <c r="G1115" s="74"/>
      <c r="H1115" s="55"/>
      <c r="I1115" s="49" t="str">
        <f aca="false">IF(AND(ISNUMBER($F1115),ISNUMBER($G1115),$E1115&lt;&gt;"R"),$F1115*$G1115,"")</f>
        <v/>
      </c>
      <c r="J1115" s="51" t="str">
        <f aca="false">IF(AND($E1115="A",ISNUMBER($F1115),ISNUMBER($G1115)),$F1115*(1+$G1115/30),"")</f>
        <v/>
      </c>
      <c r="K1115" s="56"/>
      <c r="L1115" s="56"/>
    </row>
    <row r="1116" customFormat="false" ht="15.75" hidden="false" customHeight="true" outlineLevel="0" collapsed="false">
      <c r="A1116" s="78" t="str">
        <f aca="false">IFERROR(IF($B1116="","",IF(INDEX(Einheiten!$B$4:$B$63,MATCH($B1116,Einheiten!$A$4:$A$63,0))=0,"",INDEX(Einheiten!$B$4:$B$63,MATCH($B1116,Einheiten!$A$4:$A$63,0)))),"")</f>
        <v/>
      </c>
      <c r="B1116" s="54"/>
      <c r="C1116" s="79" t="str">
        <f aca="false">IFERROR(IF($D1116="","",INDEX(Übungen!$B$4:$B$23,MATCH($D1116,Übungen!$A$4:$A$23,0))),"")</f>
        <v/>
      </c>
      <c r="D1116" s="56"/>
      <c r="E1116" s="73"/>
      <c r="F1116" s="55"/>
      <c r="G1116" s="74"/>
      <c r="H1116" s="55"/>
      <c r="I1116" s="49" t="str">
        <f aca="false">IF(AND(ISNUMBER($F1116),ISNUMBER($G1116),$E1116&lt;&gt;"R"),$F1116*$G1116,"")</f>
        <v/>
      </c>
      <c r="J1116" s="51" t="str">
        <f aca="false">IF(AND($E1116="A",ISNUMBER($F1116),ISNUMBER($G1116)),$F1116*(1+$G1116/30),"")</f>
        <v/>
      </c>
      <c r="K1116" s="56"/>
      <c r="L1116" s="56"/>
    </row>
    <row r="1117" customFormat="false" ht="15.75" hidden="false" customHeight="true" outlineLevel="0" collapsed="false">
      <c r="A1117" s="78" t="str">
        <f aca="false">IFERROR(IF($B1117="","",IF(INDEX(Einheiten!$B$4:$B$63,MATCH($B1117,Einheiten!$A$4:$A$63,0))=0,"",INDEX(Einheiten!$B$4:$B$63,MATCH($B1117,Einheiten!$A$4:$A$63,0)))),"")</f>
        <v/>
      </c>
      <c r="B1117" s="54"/>
      <c r="C1117" s="79" t="str">
        <f aca="false">IFERROR(IF($D1117="","",INDEX(Übungen!$B$4:$B$23,MATCH($D1117,Übungen!$A$4:$A$23,0))),"")</f>
        <v/>
      </c>
      <c r="D1117" s="56"/>
      <c r="E1117" s="73"/>
      <c r="F1117" s="55"/>
      <c r="G1117" s="74"/>
      <c r="H1117" s="55"/>
      <c r="I1117" s="49" t="str">
        <f aca="false">IF(AND(ISNUMBER($F1117),ISNUMBER($G1117),$E1117&lt;&gt;"R"),$F1117*$G1117,"")</f>
        <v/>
      </c>
      <c r="J1117" s="51" t="str">
        <f aca="false">IF(AND($E1117="A",ISNUMBER($F1117),ISNUMBER($G1117)),$F1117*(1+$G1117/30),"")</f>
        <v/>
      </c>
      <c r="K1117" s="56"/>
      <c r="L1117" s="56"/>
    </row>
    <row r="1118" customFormat="false" ht="15.75" hidden="false" customHeight="true" outlineLevel="0" collapsed="false">
      <c r="A1118" s="78" t="str">
        <f aca="false">IFERROR(IF($B1118="","",IF(INDEX(Einheiten!$B$4:$B$63,MATCH($B1118,Einheiten!$A$4:$A$63,0))=0,"",INDEX(Einheiten!$B$4:$B$63,MATCH($B1118,Einheiten!$A$4:$A$63,0)))),"")</f>
        <v/>
      </c>
      <c r="B1118" s="54"/>
      <c r="C1118" s="79" t="str">
        <f aca="false">IFERROR(IF($D1118="","",INDEX(Übungen!$B$4:$B$23,MATCH($D1118,Übungen!$A$4:$A$23,0))),"")</f>
        <v/>
      </c>
      <c r="D1118" s="56"/>
      <c r="E1118" s="73"/>
      <c r="F1118" s="55"/>
      <c r="G1118" s="74"/>
      <c r="H1118" s="55"/>
      <c r="I1118" s="49" t="str">
        <f aca="false">IF(AND(ISNUMBER($F1118),ISNUMBER($G1118),$E1118&lt;&gt;"R"),$F1118*$G1118,"")</f>
        <v/>
      </c>
      <c r="J1118" s="51" t="str">
        <f aca="false">IF(AND($E1118="A",ISNUMBER($F1118),ISNUMBER($G1118)),$F1118*(1+$G1118/30),"")</f>
        <v/>
      </c>
      <c r="K1118" s="56"/>
      <c r="L1118" s="56"/>
    </row>
    <row r="1119" customFormat="false" ht="15.75" hidden="false" customHeight="true" outlineLevel="0" collapsed="false">
      <c r="A1119" s="78" t="str">
        <f aca="false">IFERROR(IF($B1119="","",IF(INDEX(Einheiten!$B$4:$B$63,MATCH($B1119,Einheiten!$A$4:$A$63,0))=0,"",INDEX(Einheiten!$B$4:$B$63,MATCH($B1119,Einheiten!$A$4:$A$63,0)))),"")</f>
        <v/>
      </c>
      <c r="B1119" s="54"/>
      <c r="C1119" s="79" t="str">
        <f aca="false">IFERROR(IF($D1119="","",INDEX(Übungen!$B$4:$B$23,MATCH($D1119,Übungen!$A$4:$A$23,0))),"")</f>
        <v/>
      </c>
      <c r="D1119" s="56"/>
      <c r="E1119" s="73"/>
      <c r="F1119" s="55"/>
      <c r="G1119" s="74"/>
      <c r="H1119" s="55"/>
      <c r="I1119" s="49" t="str">
        <f aca="false">IF(AND(ISNUMBER($F1119),ISNUMBER($G1119),$E1119&lt;&gt;"R"),$F1119*$G1119,"")</f>
        <v/>
      </c>
      <c r="J1119" s="51" t="str">
        <f aca="false">IF(AND($E1119="A",ISNUMBER($F1119),ISNUMBER($G1119)),$F1119*(1+$G1119/30),"")</f>
        <v/>
      </c>
      <c r="K1119" s="56"/>
      <c r="L1119" s="56"/>
    </row>
    <row r="1120" customFormat="false" ht="15.75" hidden="false" customHeight="true" outlineLevel="0" collapsed="false">
      <c r="A1120" s="78" t="str">
        <f aca="false">IFERROR(IF($B1120="","",IF(INDEX(Einheiten!$B$4:$B$63,MATCH($B1120,Einheiten!$A$4:$A$63,0))=0,"",INDEX(Einheiten!$B$4:$B$63,MATCH($B1120,Einheiten!$A$4:$A$63,0)))),"")</f>
        <v/>
      </c>
      <c r="B1120" s="54"/>
      <c r="C1120" s="79" t="str">
        <f aca="false">IFERROR(IF($D1120="","",INDEX(Übungen!$B$4:$B$23,MATCH($D1120,Übungen!$A$4:$A$23,0))),"")</f>
        <v/>
      </c>
      <c r="D1120" s="56"/>
      <c r="E1120" s="73"/>
      <c r="F1120" s="55"/>
      <c r="G1120" s="74"/>
      <c r="H1120" s="55"/>
      <c r="I1120" s="49" t="str">
        <f aca="false">IF(AND(ISNUMBER($F1120),ISNUMBER($G1120),$E1120&lt;&gt;"R"),$F1120*$G1120,"")</f>
        <v/>
      </c>
      <c r="J1120" s="51" t="str">
        <f aca="false">IF(AND($E1120="A",ISNUMBER($F1120),ISNUMBER($G1120)),$F1120*(1+$G1120/30),"")</f>
        <v/>
      </c>
      <c r="K1120" s="56"/>
      <c r="L1120" s="56"/>
    </row>
    <row r="1121" customFormat="false" ht="15.75" hidden="false" customHeight="true" outlineLevel="0" collapsed="false">
      <c r="A1121" s="78" t="str">
        <f aca="false">IFERROR(IF($B1121="","",IF(INDEX(Einheiten!$B$4:$B$63,MATCH($B1121,Einheiten!$A$4:$A$63,0))=0,"",INDEX(Einheiten!$B$4:$B$63,MATCH($B1121,Einheiten!$A$4:$A$63,0)))),"")</f>
        <v/>
      </c>
      <c r="B1121" s="54"/>
      <c r="C1121" s="79" t="str">
        <f aca="false">IFERROR(IF($D1121="","",INDEX(Übungen!$B$4:$B$23,MATCH($D1121,Übungen!$A$4:$A$23,0))),"")</f>
        <v/>
      </c>
      <c r="D1121" s="56"/>
      <c r="E1121" s="73"/>
      <c r="F1121" s="55"/>
      <c r="G1121" s="74"/>
      <c r="H1121" s="55"/>
      <c r="I1121" s="49" t="str">
        <f aca="false">IF(AND(ISNUMBER($F1121),ISNUMBER($G1121),$E1121&lt;&gt;"R"),$F1121*$G1121,"")</f>
        <v/>
      </c>
      <c r="J1121" s="51" t="str">
        <f aca="false">IF(AND($E1121="A",ISNUMBER($F1121),ISNUMBER($G1121)),$F1121*(1+$G1121/30),"")</f>
        <v/>
      </c>
      <c r="K1121" s="56"/>
      <c r="L1121" s="56"/>
    </row>
    <row r="1122" customFormat="false" ht="15.75" hidden="false" customHeight="true" outlineLevel="0" collapsed="false">
      <c r="A1122" s="78" t="str">
        <f aca="false">IFERROR(IF($B1122="","",IF(INDEX(Einheiten!$B$4:$B$63,MATCH($B1122,Einheiten!$A$4:$A$63,0))=0,"",INDEX(Einheiten!$B$4:$B$63,MATCH($B1122,Einheiten!$A$4:$A$63,0)))),"")</f>
        <v/>
      </c>
      <c r="B1122" s="54"/>
      <c r="C1122" s="79" t="str">
        <f aca="false">IFERROR(IF($D1122="","",INDEX(Übungen!$B$4:$B$23,MATCH($D1122,Übungen!$A$4:$A$23,0))),"")</f>
        <v/>
      </c>
      <c r="D1122" s="56"/>
      <c r="E1122" s="73"/>
      <c r="F1122" s="55"/>
      <c r="G1122" s="74"/>
      <c r="H1122" s="55"/>
      <c r="I1122" s="49" t="str">
        <f aca="false">IF(AND(ISNUMBER($F1122),ISNUMBER($G1122),$E1122&lt;&gt;"R"),$F1122*$G1122,"")</f>
        <v/>
      </c>
      <c r="J1122" s="51" t="str">
        <f aca="false">IF(AND($E1122="A",ISNUMBER($F1122),ISNUMBER($G1122)),$F1122*(1+$G1122/30),"")</f>
        <v/>
      </c>
      <c r="K1122" s="56"/>
      <c r="L1122" s="56"/>
    </row>
    <row r="1123" customFormat="false" ht="15.75" hidden="false" customHeight="true" outlineLevel="0" collapsed="false">
      <c r="A1123" s="78" t="str">
        <f aca="false">IFERROR(IF($B1123="","",IF(INDEX(Einheiten!$B$4:$B$63,MATCH($B1123,Einheiten!$A$4:$A$63,0))=0,"",INDEX(Einheiten!$B$4:$B$63,MATCH($B1123,Einheiten!$A$4:$A$63,0)))),"")</f>
        <v/>
      </c>
      <c r="B1123" s="54"/>
      <c r="C1123" s="79" t="str">
        <f aca="false">IFERROR(IF($D1123="","",INDEX(Übungen!$B$4:$B$23,MATCH($D1123,Übungen!$A$4:$A$23,0))),"")</f>
        <v/>
      </c>
      <c r="D1123" s="56"/>
      <c r="E1123" s="73"/>
      <c r="F1123" s="55"/>
      <c r="G1123" s="74"/>
      <c r="H1123" s="55"/>
      <c r="I1123" s="49" t="str">
        <f aca="false">IF(AND(ISNUMBER($F1123),ISNUMBER($G1123),$E1123&lt;&gt;"R"),$F1123*$G1123,"")</f>
        <v/>
      </c>
      <c r="J1123" s="51" t="str">
        <f aca="false">IF(AND($E1123="A",ISNUMBER($F1123),ISNUMBER($G1123)),$F1123*(1+$G1123/30),"")</f>
        <v/>
      </c>
      <c r="K1123" s="56"/>
      <c r="L1123" s="56"/>
    </row>
    <row r="1124" customFormat="false" ht="15.75" hidden="false" customHeight="true" outlineLevel="0" collapsed="false">
      <c r="A1124" s="78" t="str">
        <f aca="false">IFERROR(IF($B1124="","",IF(INDEX(Einheiten!$B$4:$B$63,MATCH($B1124,Einheiten!$A$4:$A$63,0))=0,"",INDEX(Einheiten!$B$4:$B$63,MATCH($B1124,Einheiten!$A$4:$A$63,0)))),"")</f>
        <v/>
      </c>
      <c r="B1124" s="54"/>
      <c r="C1124" s="79" t="str">
        <f aca="false">IFERROR(IF($D1124="","",INDEX(Übungen!$B$4:$B$23,MATCH($D1124,Übungen!$A$4:$A$23,0))),"")</f>
        <v/>
      </c>
      <c r="D1124" s="56"/>
      <c r="E1124" s="73"/>
      <c r="F1124" s="55"/>
      <c r="G1124" s="74"/>
      <c r="H1124" s="55"/>
      <c r="I1124" s="49" t="str">
        <f aca="false">IF(AND(ISNUMBER($F1124),ISNUMBER($G1124),$E1124&lt;&gt;"R"),$F1124*$G1124,"")</f>
        <v/>
      </c>
      <c r="J1124" s="51" t="str">
        <f aca="false">IF(AND($E1124="A",ISNUMBER($F1124),ISNUMBER($G1124)),$F1124*(1+$G1124/30),"")</f>
        <v/>
      </c>
      <c r="K1124" s="56"/>
      <c r="L1124" s="56"/>
    </row>
    <row r="1125" customFormat="false" ht="15.75" hidden="false" customHeight="true" outlineLevel="0" collapsed="false">
      <c r="A1125" s="78" t="str">
        <f aca="false">IFERROR(IF($B1125="","",IF(INDEX(Einheiten!$B$4:$B$63,MATCH($B1125,Einheiten!$A$4:$A$63,0))=0,"",INDEX(Einheiten!$B$4:$B$63,MATCH($B1125,Einheiten!$A$4:$A$63,0)))),"")</f>
        <v/>
      </c>
      <c r="B1125" s="54"/>
      <c r="C1125" s="79" t="str">
        <f aca="false">IFERROR(IF($D1125="","",INDEX(Übungen!$B$4:$B$23,MATCH($D1125,Übungen!$A$4:$A$23,0))),"")</f>
        <v/>
      </c>
      <c r="D1125" s="56"/>
      <c r="E1125" s="73"/>
      <c r="F1125" s="55"/>
      <c r="G1125" s="74"/>
      <c r="H1125" s="55"/>
      <c r="I1125" s="49" t="str">
        <f aca="false">IF(AND(ISNUMBER($F1125),ISNUMBER($G1125),$E1125&lt;&gt;"R"),$F1125*$G1125,"")</f>
        <v/>
      </c>
      <c r="J1125" s="51" t="str">
        <f aca="false">IF(AND($E1125="A",ISNUMBER($F1125),ISNUMBER($G1125)),$F1125*(1+$G1125/30),"")</f>
        <v/>
      </c>
      <c r="K1125" s="56"/>
      <c r="L1125" s="56"/>
    </row>
    <row r="1126" customFormat="false" ht="15.75" hidden="false" customHeight="true" outlineLevel="0" collapsed="false">
      <c r="A1126" s="78" t="str">
        <f aca="false">IFERROR(IF($B1126="","",IF(INDEX(Einheiten!$B$4:$B$63,MATCH($B1126,Einheiten!$A$4:$A$63,0))=0,"",INDEX(Einheiten!$B$4:$B$63,MATCH($B1126,Einheiten!$A$4:$A$63,0)))),"")</f>
        <v/>
      </c>
      <c r="B1126" s="54"/>
      <c r="C1126" s="79" t="str">
        <f aca="false">IFERROR(IF($D1126="","",INDEX(Übungen!$B$4:$B$23,MATCH($D1126,Übungen!$A$4:$A$23,0))),"")</f>
        <v/>
      </c>
      <c r="D1126" s="56"/>
      <c r="E1126" s="73"/>
      <c r="F1126" s="55"/>
      <c r="G1126" s="74"/>
      <c r="H1126" s="55"/>
      <c r="I1126" s="49" t="str">
        <f aca="false">IF(AND(ISNUMBER($F1126),ISNUMBER($G1126),$E1126&lt;&gt;"R"),$F1126*$G1126,"")</f>
        <v/>
      </c>
      <c r="J1126" s="51" t="str">
        <f aca="false">IF(AND($E1126="A",ISNUMBER($F1126),ISNUMBER($G1126)),$F1126*(1+$G1126/30),"")</f>
        <v/>
      </c>
      <c r="K1126" s="56"/>
      <c r="L1126" s="56"/>
    </row>
    <row r="1127" customFormat="false" ht="15.75" hidden="false" customHeight="true" outlineLevel="0" collapsed="false">
      <c r="A1127" s="78" t="str">
        <f aca="false">IFERROR(IF($B1127="","",IF(INDEX(Einheiten!$B$4:$B$63,MATCH($B1127,Einheiten!$A$4:$A$63,0))=0,"",INDEX(Einheiten!$B$4:$B$63,MATCH($B1127,Einheiten!$A$4:$A$63,0)))),"")</f>
        <v/>
      </c>
      <c r="B1127" s="54"/>
      <c r="C1127" s="79" t="str">
        <f aca="false">IFERROR(IF($D1127="","",INDEX(Übungen!$B$4:$B$23,MATCH($D1127,Übungen!$A$4:$A$23,0))),"")</f>
        <v/>
      </c>
      <c r="D1127" s="56"/>
      <c r="E1127" s="73"/>
      <c r="F1127" s="55"/>
      <c r="G1127" s="74"/>
      <c r="H1127" s="55"/>
      <c r="I1127" s="49" t="str">
        <f aca="false">IF(AND(ISNUMBER($F1127),ISNUMBER($G1127),$E1127&lt;&gt;"R"),$F1127*$G1127,"")</f>
        <v/>
      </c>
      <c r="J1127" s="51" t="str">
        <f aca="false">IF(AND($E1127="A",ISNUMBER($F1127),ISNUMBER($G1127)),$F1127*(1+$G1127/30),"")</f>
        <v/>
      </c>
      <c r="K1127" s="56"/>
      <c r="L1127" s="56"/>
    </row>
    <row r="1128" customFormat="false" ht="15.75" hidden="false" customHeight="true" outlineLevel="0" collapsed="false">
      <c r="A1128" s="78" t="str">
        <f aca="false">IFERROR(IF($B1128="","",IF(INDEX(Einheiten!$B$4:$B$63,MATCH($B1128,Einheiten!$A$4:$A$63,0))=0,"",INDEX(Einheiten!$B$4:$B$63,MATCH($B1128,Einheiten!$A$4:$A$63,0)))),"")</f>
        <v/>
      </c>
      <c r="B1128" s="54"/>
      <c r="C1128" s="79" t="str">
        <f aca="false">IFERROR(IF($D1128="","",INDEX(Übungen!$B$4:$B$23,MATCH($D1128,Übungen!$A$4:$A$23,0))),"")</f>
        <v/>
      </c>
      <c r="D1128" s="56"/>
      <c r="E1128" s="73"/>
      <c r="F1128" s="55"/>
      <c r="G1128" s="74"/>
      <c r="H1128" s="55"/>
      <c r="I1128" s="49" t="str">
        <f aca="false">IF(AND(ISNUMBER($F1128),ISNUMBER($G1128),$E1128&lt;&gt;"R"),$F1128*$G1128,"")</f>
        <v/>
      </c>
      <c r="J1128" s="51" t="str">
        <f aca="false">IF(AND($E1128="A",ISNUMBER($F1128),ISNUMBER($G1128)),$F1128*(1+$G1128/30),"")</f>
        <v/>
      </c>
      <c r="K1128" s="56"/>
      <c r="L1128" s="56"/>
    </row>
    <row r="1129" customFormat="false" ht="15.75" hidden="false" customHeight="true" outlineLevel="0" collapsed="false">
      <c r="A1129" s="78" t="str">
        <f aca="false">IFERROR(IF($B1129="","",IF(INDEX(Einheiten!$B$4:$B$63,MATCH($B1129,Einheiten!$A$4:$A$63,0))=0,"",INDEX(Einheiten!$B$4:$B$63,MATCH($B1129,Einheiten!$A$4:$A$63,0)))),"")</f>
        <v/>
      </c>
      <c r="B1129" s="54"/>
      <c r="C1129" s="79" t="str">
        <f aca="false">IFERROR(IF($D1129="","",INDEX(Übungen!$B$4:$B$23,MATCH($D1129,Übungen!$A$4:$A$23,0))),"")</f>
        <v/>
      </c>
      <c r="D1129" s="56"/>
      <c r="E1129" s="73"/>
      <c r="F1129" s="55"/>
      <c r="G1129" s="74"/>
      <c r="H1129" s="55"/>
      <c r="I1129" s="49" t="str">
        <f aca="false">IF(AND(ISNUMBER($F1129),ISNUMBER($G1129),$E1129&lt;&gt;"R"),$F1129*$G1129,"")</f>
        <v/>
      </c>
      <c r="J1129" s="51" t="str">
        <f aca="false">IF(AND($E1129="A",ISNUMBER($F1129),ISNUMBER($G1129)),$F1129*(1+$G1129/30),"")</f>
        <v/>
      </c>
      <c r="K1129" s="56"/>
      <c r="L1129" s="56"/>
    </row>
    <row r="1130" customFormat="false" ht="15.75" hidden="false" customHeight="true" outlineLevel="0" collapsed="false">
      <c r="A1130" s="78" t="str">
        <f aca="false">IFERROR(IF($B1130="","",IF(INDEX(Einheiten!$B$4:$B$63,MATCH($B1130,Einheiten!$A$4:$A$63,0))=0,"",INDEX(Einheiten!$B$4:$B$63,MATCH($B1130,Einheiten!$A$4:$A$63,0)))),"")</f>
        <v/>
      </c>
      <c r="B1130" s="54"/>
      <c r="C1130" s="79" t="str">
        <f aca="false">IFERROR(IF($D1130="","",INDEX(Übungen!$B$4:$B$23,MATCH($D1130,Übungen!$A$4:$A$23,0))),"")</f>
        <v/>
      </c>
      <c r="D1130" s="56"/>
      <c r="E1130" s="73"/>
      <c r="F1130" s="55"/>
      <c r="G1130" s="74"/>
      <c r="H1130" s="55"/>
      <c r="I1130" s="49" t="str">
        <f aca="false">IF(AND(ISNUMBER($F1130),ISNUMBER($G1130),$E1130&lt;&gt;"R"),$F1130*$G1130,"")</f>
        <v/>
      </c>
      <c r="J1130" s="51" t="str">
        <f aca="false">IF(AND($E1130="A",ISNUMBER($F1130),ISNUMBER($G1130)),$F1130*(1+$G1130/30),"")</f>
        <v/>
      </c>
      <c r="K1130" s="56"/>
      <c r="L1130" s="56"/>
    </row>
    <row r="1131" customFormat="false" ht="15.75" hidden="false" customHeight="true" outlineLevel="0" collapsed="false">
      <c r="A1131" s="78" t="str">
        <f aca="false">IFERROR(IF($B1131="","",IF(INDEX(Einheiten!$B$4:$B$63,MATCH($B1131,Einheiten!$A$4:$A$63,0))=0,"",INDEX(Einheiten!$B$4:$B$63,MATCH($B1131,Einheiten!$A$4:$A$63,0)))),"")</f>
        <v/>
      </c>
      <c r="B1131" s="54"/>
      <c r="C1131" s="79" t="str">
        <f aca="false">IFERROR(IF($D1131="","",INDEX(Übungen!$B$4:$B$23,MATCH($D1131,Übungen!$A$4:$A$23,0))),"")</f>
        <v/>
      </c>
      <c r="D1131" s="56"/>
      <c r="E1131" s="73"/>
      <c r="F1131" s="55"/>
      <c r="G1131" s="74"/>
      <c r="H1131" s="55"/>
      <c r="I1131" s="49" t="str">
        <f aca="false">IF(AND(ISNUMBER($F1131),ISNUMBER($G1131),$E1131&lt;&gt;"R"),$F1131*$G1131,"")</f>
        <v/>
      </c>
      <c r="J1131" s="51" t="str">
        <f aca="false">IF(AND($E1131="A",ISNUMBER($F1131),ISNUMBER($G1131)),$F1131*(1+$G1131/30),"")</f>
        <v/>
      </c>
      <c r="K1131" s="56"/>
      <c r="L1131" s="56"/>
    </row>
    <row r="1132" customFormat="false" ht="15.75" hidden="false" customHeight="true" outlineLevel="0" collapsed="false">
      <c r="A1132" s="78" t="str">
        <f aca="false">IFERROR(IF($B1132="","",IF(INDEX(Einheiten!$B$4:$B$63,MATCH($B1132,Einheiten!$A$4:$A$63,0))=0,"",INDEX(Einheiten!$B$4:$B$63,MATCH($B1132,Einheiten!$A$4:$A$63,0)))),"")</f>
        <v/>
      </c>
      <c r="B1132" s="54"/>
      <c r="C1132" s="79" t="str">
        <f aca="false">IFERROR(IF($D1132="","",INDEX(Übungen!$B$4:$B$23,MATCH($D1132,Übungen!$A$4:$A$23,0))),"")</f>
        <v/>
      </c>
      <c r="D1132" s="56"/>
      <c r="E1132" s="73"/>
      <c r="F1132" s="55"/>
      <c r="G1132" s="74"/>
      <c r="H1132" s="55"/>
      <c r="I1132" s="49" t="str">
        <f aca="false">IF(AND(ISNUMBER($F1132),ISNUMBER($G1132),$E1132&lt;&gt;"R"),$F1132*$G1132,"")</f>
        <v/>
      </c>
      <c r="J1132" s="51" t="str">
        <f aca="false">IF(AND($E1132="A",ISNUMBER($F1132),ISNUMBER($G1132)),$F1132*(1+$G1132/30),"")</f>
        <v/>
      </c>
      <c r="K1132" s="56"/>
      <c r="L1132" s="56"/>
    </row>
    <row r="1133" customFormat="false" ht="15.75" hidden="false" customHeight="true" outlineLevel="0" collapsed="false">
      <c r="A1133" s="78" t="str">
        <f aca="false">IFERROR(IF($B1133="","",IF(INDEX(Einheiten!$B$4:$B$63,MATCH($B1133,Einheiten!$A$4:$A$63,0))=0,"",INDEX(Einheiten!$B$4:$B$63,MATCH($B1133,Einheiten!$A$4:$A$63,0)))),"")</f>
        <v/>
      </c>
      <c r="B1133" s="54"/>
      <c r="C1133" s="79" t="str">
        <f aca="false">IFERROR(IF($D1133="","",INDEX(Übungen!$B$4:$B$23,MATCH($D1133,Übungen!$A$4:$A$23,0))),"")</f>
        <v/>
      </c>
      <c r="D1133" s="56"/>
      <c r="E1133" s="73"/>
      <c r="F1133" s="55"/>
      <c r="G1133" s="74"/>
      <c r="H1133" s="55"/>
      <c r="I1133" s="49" t="str">
        <f aca="false">IF(AND(ISNUMBER($F1133),ISNUMBER($G1133),$E1133&lt;&gt;"R"),$F1133*$G1133,"")</f>
        <v/>
      </c>
      <c r="J1133" s="51" t="str">
        <f aca="false">IF(AND($E1133="A",ISNUMBER($F1133),ISNUMBER($G1133)),$F1133*(1+$G1133/30),"")</f>
        <v/>
      </c>
      <c r="K1133" s="56"/>
      <c r="L1133" s="56"/>
    </row>
    <row r="1134" customFormat="false" ht="15.75" hidden="false" customHeight="true" outlineLevel="0" collapsed="false">
      <c r="A1134" s="78" t="str">
        <f aca="false">IFERROR(IF($B1134="","",IF(INDEX(Einheiten!$B$4:$B$63,MATCH($B1134,Einheiten!$A$4:$A$63,0))=0,"",INDEX(Einheiten!$B$4:$B$63,MATCH($B1134,Einheiten!$A$4:$A$63,0)))),"")</f>
        <v/>
      </c>
      <c r="B1134" s="54"/>
      <c r="C1134" s="79" t="str">
        <f aca="false">IFERROR(IF($D1134="","",INDEX(Übungen!$B$4:$B$23,MATCH($D1134,Übungen!$A$4:$A$23,0))),"")</f>
        <v/>
      </c>
      <c r="D1134" s="56"/>
      <c r="E1134" s="73"/>
      <c r="F1134" s="55"/>
      <c r="G1134" s="74"/>
      <c r="H1134" s="55"/>
      <c r="I1134" s="49" t="str">
        <f aca="false">IF(AND(ISNUMBER($F1134),ISNUMBER($G1134),$E1134&lt;&gt;"R"),$F1134*$G1134,"")</f>
        <v/>
      </c>
      <c r="J1134" s="51" t="str">
        <f aca="false">IF(AND($E1134="A",ISNUMBER($F1134),ISNUMBER($G1134)),$F1134*(1+$G1134/30),"")</f>
        <v/>
      </c>
      <c r="K1134" s="56"/>
      <c r="L1134" s="56"/>
    </row>
    <row r="1135" customFormat="false" ht="15.75" hidden="false" customHeight="true" outlineLevel="0" collapsed="false">
      <c r="A1135" s="78" t="str">
        <f aca="false">IFERROR(IF($B1135="","",IF(INDEX(Einheiten!$B$4:$B$63,MATCH($B1135,Einheiten!$A$4:$A$63,0))=0,"",INDEX(Einheiten!$B$4:$B$63,MATCH($B1135,Einheiten!$A$4:$A$63,0)))),"")</f>
        <v/>
      </c>
      <c r="B1135" s="54"/>
      <c r="C1135" s="79" t="str">
        <f aca="false">IFERROR(IF($D1135="","",INDEX(Übungen!$B$4:$B$23,MATCH($D1135,Übungen!$A$4:$A$23,0))),"")</f>
        <v/>
      </c>
      <c r="D1135" s="56"/>
      <c r="E1135" s="73"/>
      <c r="F1135" s="55"/>
      <c r="G1135" s="74"/>
      <c r="H1135" s="55"/>
      <c r="I1135" s="49" t="str">
        <f aca="false">IF(AND(ISNUMBER($F1135),ISNUMBER($G1135),$E1135&lt;&gt;"R"),$F1135*$G1135,"")</f>
        <v/>
      </c>
      <c r="J1135" s="51" t="str">
        <f aca="false">IF(AND($E1135="A",ISNUMBER($F1135),ISNUMBER($G1135)),$F1135*(1+$G1135/30),"")</f>
        <v/>
      </c>
      <c r="K1135" s="56"/>
      <c r="L1135" s="56"/>
    </row>
    <row r="1136" customFormat="false" ht="15.75" hidden="false" customHeight="true" outlineLevel="0" collapsed="false">
      <c r="A1136" s="78" t="str">
        <f aca="false">IFERROR(IF($B1136="","",IF(INDEX(Einheiten!$B$4:$B$63,MATCH($B1136,Einheiten!$A$4:$A$63,0))=0,"",INDEX(Einheiten!$B$4:$B$63,MATCH($B1136,Einheiten!$A$4:$A$63,0)))),"")</f>
        <v/>
      </c>
      <c r="B1136" s="54"/>
      <c r="C1136" s="79" t="str">
        <f aca="false">IFERROR(IF($D1136="","",INDEX(Übungen!$B$4:$B$23,MATCH($D1136,Übungen!$A$4:$A$23,0))),"")</f>
        <v/>
      </c>
      <c r="D1136" s="56"/>
      <c r="E1136" s="73"/>
      <c r="F1136" s="55"/>
      <c r="G1136" s="74"/>
      <c r="H1136" s="55"/>
      <c r="I1136" s="49" t="str">
        <f aca="false">IF(AND(ISNUMBER($F1136),ISNUMBER($G1136),$E1136&lt;&gt;"R"),$F1136*$G1136,"")</f>
        <v/>
      </c>
      <c r="J1136" s="51" t="str">
        <f aca="false">IF(AND($E1136="A",ISNUMBER($F1136),ISNUMBER($G1136)),$F1136*(1+$G1136/30),"")</f>
        <v/>
      </c>
      <c r="K1136" s="56"/>
      <c r="L1136" s="56"/>
    </row>
    <row r="1137" customFormat="false" ht="15.75" hidden="false" customHeight="true" outlineLevel="0" collapsed="false">
      <c r="A1137" s="78" t="str">
        <f aca="false">IFERROR(IF($B1137="","",IF(INDEX(Einheiten!$B$4:$B$63,MATCH($B1137,Einheiten!$A$4:$A$63,0))=0,"",INDEX(Einheiten!$B$4:$B$63,MATCH($B1137,Einheiten!$A$4:$A$63,0)))),"")</f>
        <v/>
      </c>
      <c r="B1137" s="54"/>
      <c r="C1137" s="79" t="str">
        <f aca="false">IFERROR(IF($D1137="","",INDEX(Übungen!$B$4:$B$23,MATCH($D1137,Übungen!$A$4:$A$23,0))),"")</f>
        <v/>
      </c>
      <c r="D1137" s="56"/>
      <c r="E1137" s="73"/>
      <c r="F1137" s="55"/>
      <c r="G1137" s="74"/>
      <c r="H1137" s="55"/>
      <c r="I1137" s="49" t="str">
        <f aca="false">IF(AND(ISNUMBER($F1137),ISNUMBER($G1137),$E1137&lt;&gt;"R"),$F1137*$G1137,"")</f>
        <v/>
      </c>
      <c r="J1137" s="51" t="str">
        <f aca="false">IF(AND($E1137="A",ISNUMBER($F1137),ISNUMBER($G1137)),$F1137*(1+$G1137/30),"")</f>
        <v/>
      </c>
      <c r="K1137" s="56"/>
      <c r="L1137" s="56"/>
    </row>
    <row r="1138" customFormat="false" ht="15.75" hidden="false" customHeight="true" outlineLevel="0" collapsed="false">
      <c r="A1138" s="78" t="str">
        <f aca="false">IFERROR(IF($B1138="","",IF(INDEX(Einheiten!$B$4:$B$63,MATCH($B1138,Einheiten!$A$4:$A$63,0))=0,"",INDEX(Einheiten!$B$4:$B$63,MATCH($B1138,Einheiten!$A$4:$A$63,0)))),"")</f>
        <v/>
      </c>
      <c r="B1138" s="54"/>
      <c r="C1138" s="79" t="str">
        <f aca="false">IFERROR(IF($D1138="","",INDEX(Übungen!$B$4:$B$23,MATCH($D1138,Übungen!$A$4:$A$23,0))),"")</f>
        <v/>
      </c>
      <c r="D1138" s="56"/>
      <c r="E1138" s="73"/>
      <c r="F1138" s="55"/>
      <c r="G1138" s="74"/>
      <c r="H1138" s="55"/>
      <c r="I1138" s="49" t="str">
        <f aca="false">IF(AND(ISNUMBER($F1138),ISNUMBER($G1138),$E1138&lt;&gt;"R"),$F1138*$G1138,"")</f>
        <v/>
      </c>
      <c r="J1138" s="51" t="str">
        <f aca="false">IF(AND($E1138="A",ISNUMBER($F1138),ISNUMBER($G1138)),$F1138*(1+$G1138/30),"")</f>
        <v/>
      </c>
      <c r="K1138" s="56"/>
      <c r="L1138" s="56"/>
    </row>
    <row r="1139" customFormat="false" ht="15.75" hidden="false" customHeight="true" outlineLevel="0" collapsed="false">
      <c r="A1139" s="78" t="str">
        <f aca="false">IFERROR(IF($B1139="","",IF(INDEX(Einheiten!$B$4:$B$63,MATCH($B1139,Einheiten!$A$4:$A$63,0))=0,"",INDEX(Einheiten!$B$4:$B$63,MATCH($B1139,Einheiten!$A$4:$A$63,0)))),"")</f>
        <v/>
      </c>
      <c r="B1139" s="54"/>
      <c r="C1139" s="79" t="str">
        <f aca="false">IFERROR(IF($D1139="","",INDEX(Übungen!$B$4:$B$23,MATCH($D1139,Übungen!$A$4:$A$23,0))),"")</f>
        <v/>
      </c>
      <c r="D1139" s="56"/>
      <c r="E1139" s="73"/>
      <c r="F1139" s="55"/>
      <c r="G1139" s="74"/>
      <c r="H1139" s="55"/>
      <c r="I1139" s="49" t="str">
        <f aca="false">IF(AND(ISNUMBER($F1139),ISNUMBER($G1139),$E1139&lt;&gt;"R"),$F1139*$G1139,"")</f>
        <v/>
      </c>
      <c r="J1139" s="51" t="str">
        <f aca="false">IF(AND($E1139="A",ISNUMBER($F1139),ISNUMBER($G1139)),$F1139*(1+$G1139/30),"")</f>
        <v/>
      </c>
      <c r="K1139" s="56"/>
      <c r="L1139" s="56"/>
    </row>
    <row r="1140" customFormat="false" ht="15.75" hidden="false" customHeight="true" outlineLevel="0" collapsed="false">
      <c r="A1140" s="78" t="str">
        <f aca="false">IFERROR(IF($B1140="","",IF(INDEX(Einheiten!$B$4:$B$63,MATCH($B1140,Einheiten!$A$4:$A$63,0))=0,"",INDEX(Einheiten!$B$4:$B$63,MATCH($B1140,Einheiten!$A$4:$A$63,0)))),"")</f>
        <v/>
      </c>
      <c r="B1140" s="54"/>
      <c r="C1140" s="79" t="str">
        <f aca="false">IFERROR(IF($D1140="","",INDEX(Übungen!$B$4:$B$23,MATCH($D1140,Übungen!$A$4:$A$23,0))),"")</f>
        <v/>
      </c>
      <c r="D1140" s="56"/>
      <c r="E1140" s="73"/>
      <c r="F1140" s="55"/>
      <c r="G1140" s="74"/>
      <c r="H1140" s="55"/>
      <c r="I1140" s="49" t="str">
        <f aca="false">IF(AND(ISNUMBER($F1140),ISNUMBER($G1140),$E1140&lt;&gt;"R"),$F1140*$G1140,"")</f>
        <v/>
      </c>
      <c r="J1140" s="51" t="str">
        <f aca="false">IF(AND($E1140="A",ISNUMBER($F1140),ISNUMBER($G1140)),$F1140*(1+$G1140/30),"")</f>
        <v/>
      </c>
      <c r="K1140" s="56"/>
      <c r="L1140" s="56"/>
    </row>
    <row r="1141" customFormat="false" ht="15.75" hidden="false" customHeight="true" outlineLevel="0" collapsed="false">
      <c r="A1141" s="78" t="str">
        <f aca="false">IFERROR(IF($B1141="","",IF(INDEX(Einheiten!$B$4:$B$63,MATCH($B1141,Einheiten!$A$4:$A$63,0))=0,"",INDEX(Einheiten!$B$4:$B$63,MATCH($B1141,Einheiten!$A$4:$A$63,0)))),"")</f>
        <v/>
      </c>
      <c r="B1141" s="54"/>
      <c r="C1141" s="79" t="str">
        <f aca="false">IFERROR(IF($D1141="","",INDEX(Übungen!$B$4:$B$23,MATCH($D1141,Übungen!$A$4:$A$23,0))),"")</f>
        <v/>
      </c>
      <c r="D1141" s="56"/>
      <c r="E1141" s="73"/>
      <c r="F1141" s="55"/>
      <c r="G1141" s="74"/>
      <c r="H1141" s="55"/>
      <c r="I1141" s="49" t="str">
        <f aca="false">IF(AND(ISNUMBER($F1141),ISNUMBER($G1141),$E1141&lt;&gt;"R"),$F1141*$G1141,"")</f>
        <v/>
      </c>
      <c r="J1141" s="51" t="str">
        <f aca="false">IF(AND($E1141="A",ISNUMBER($F1141),ISNUMBER($G1141)),$F1141*(1+$G1141/30),"")</f>
        <v/>
      </c>
      <c r="K1141" s="56"/>
      <c r="L1141" s="56"/>
    </row>
    <row r="1142" customFormat="false" ht="15.75" hidden="false" customHeight="true" outlineLevel="0" collapsed="false">
      <c r="A1142" s="78" t="str">
        <f aca="false">IFERROR(IF($B1142="","",IF(INDEX(Einheiten!$B$4:$B$63,MATCH($B1142,Einheiten!$A$4:$A$63,0))=0,"",INDEX(Einheiten!$B$4:$B$63,MATCH($B1142,Einheiten!$A$4:$A$63,0)))),"")</f>
        <v/>
      </c>
      <c r="B1142" s="54"/>
      <c r="C1142" s="79" t="str">
        <f aca="false">IFERROR(IF($D1142="","",INDEX(Übungen!$B$4:$B$23,MATCH($D1142,Übungen!$A$4:$A$23,0))),"")</f>
        <v/>
      </c>
      <c r="D1142" s="56"/>
      <c r="E1142" s="73"/>
      <c r="F1142" s="55"/>
      <c r="G1142" s="74"/>
      <c r="H1142" s="55"/>
      <c r="I1142" s="49" t="str">
        <f aca="false">IF(AND(ISNUMBER($F1142),ISNUMBER($G1142),$E1142&lt;&gt;"R"),$F1142*$G1142,"")</f>
        <v/>
      </c>
      <c r="J1142" s="51" t="str">
        <f aca="false">IF(AND($E1142="A",ISNUMBER($F1142),ISNUMBER($G1142)),$F1142*(1+$G1142/30),"")</f>
        <v/>
      </c>
      <c r="K1142" s="56"/>
      <c r="L1142" s="56"/>
    </row>
    <row r="1143" customFormat="false" ht="15.75" hidden="false" customHeight="true" outlineLevel="0" collapsed="false">
      <c r="A1143" s="78" t="str">
        <f aca="false">IFERROR(IF($B1143="","",IF(INDEX(Einheiten!$B$4:$B$63,MATCH($B1143,Einheiten!$A$4:$A$63,0))=0,"",INDEX(Einheiten!$B$4:$B$63,MATCH($B1143,Einheiten!$A$4:$A$63,0)))),"")</f>
        <v/>
      </c>
      <c r="B1143" s="54"/>
      <c r="C1143" s="79" t="str">
        <f aca="false">IFERROR(IF($D1143="","",INDEX(Übungen!$B$4:$B$23,MATCH($D1143,Übungen!$A$4:$A$23,0))),"")</f>
        <v/>
      </c>
      <c r="D1143" s="56"/>
      <c r="E1143" s="73"/>
      <c r="F1143" s="55"/>
      <c r="G1143" s="74"/>
      <c r="H1143" s="55"/>
      <c r="I1143" s="49" t="str">
        <f aca="false">IF(AND(ISNUMBER($F1143),ISNUMBER($G1143),$E1143&lt;&gt;"R"),$F1143*$G1143,"")</f>
        <v/>
      </c>
      <c r="J1143" s="51" t="str">
        <f aca="false">IF(AND($E1143="A",ISNUMBER($F1143),ISNUMBER($G1143)),$F1143*(1+$G1143/30),"")</f>
        <v/>
      </c>
      <c r="K1143" s="56"/>
      <c r="L1143" s="56"/>
    </row>
    <row r="1144" customFormat="false" ht="15.75" hidden="false" customHeight="true" outlineLevel="0" collapsed="false">
      <c r="A1144" s="78" t="str">
        <f aca="false">IFERROR(IF($B1144="","",IF(INDEX(Einheiten!$B$4:$B$63,MATCH($B1144,Einheiten!$A$4:$A$63,0))=0,"",INDEX(Einheiten!$B$4:$B$63,MATCH($B1144,Einheiten!$A$4:$A$63,0)))),"")</f>
        <v/>
      </c>
      <c r="B1144" s="54"/>
      <c r="C1144" s="79" t="str">
        <f aca="false">IFERROR(IF($D1144="","",INDEX(Übungen!$B$4:$B$23,MATCH($D1144,Übungen!$A$4:$A$23,0))),"")</f>
        <v/>
      </c>
      <c r="D1144" s="56"/>
      <c r="E1144" s="73"/>
      <c r="F1144" s="55"/>
      <c r="G1144" s="74"/>
      <c r="H1144" s="55"/>
      <c r="I1144" s="49" t="str">
        <f aca="false">IF(AND(ISNUMBER($F1144),ISNUMBER($G1144),$E1144&lt;&gt;"R"),$F1144*$G1144,"")</f>
        <v/>
      </c>
      <c r="J1144" s="51" t="str">
        <f aca="false">IF(AND($E1144="A",ISNUMBER($F1144),ISNUMBER($G1144)),$F1144*(1+$G1144/30),"")</f>
        <v/>
      </c>
      <c r="K1144" s="56"/>
      <c r="L1144" s="56"/>
    </row>
    <row r="1145" customFormat="false" ht="15.75" hidden="false" customHeight="true" outlineLevel="0" collapsed="false">
      <c r="A1145" s="78" t="str">
        <f aca="false">IFERROR(IF($B1145="","",IF(INDEX(Einheiten!$B$4:$B$63,MATCH($B1145,Einheiten!$A$4:$A$63,0))=0,"",INDEX(Einheiten!$B$4:$B$63,MATCH($B1145,Einheiten!$A$4:$A$63,0)))),"")</f>
        <v/>
      </c>
      <c r="B1145" s="54"/>
      <c r="C1145" s="79" t="str">
        <f aca="false">IFERROR(IF($D1145="","",INDEX(Übungen!$B$4:$B$23,MATCH($D1145,Übungen!$A$4:$A$23,0))),"")</f>
        <v/>
      </c>
      <c r="D1145" s="56"/>
      <c r="E1145" s="73"/>
      <c r="F1145" s="55"/>
      <c r="G1145" s="74"/>
      <c r="H1145" s="55"/>
      <c r="I1145" s="49" t="str">
        <f aca="false">IF(AND(ISNUMBER($F1145),ISNUMBER($G1145),$E1145&lt;&gt;"R"),$F1145*$G1145,"")</f>
        <v/>
      </c>
      <c r="J1145" s="51" t="str">
        <f aca="false">IF(AND($E1145="A",ISNUMBER($F1145),ISNUMBER($G1145)),$F1145*(1+$G1145/30),"")</f>
        <v/>
      </c>
      <c r="K1145" s="56"/>
      <c r="L1145" s="56"/>
    </row>
    <row r="1146" customFormat="false" ht="15.75" hidden="false" customHeight="true" outlineLevel="0" collapsed="false">
      <c r="A1146" s="78" t="str">
        <f aca="false">IFERROR(IF($B1146="","",IF(INDEX(Einheiten!$B$4:$B$63,MATCH($B1146,Einheiten!$A$4:$A$63,0))=0,"",INDEX(Einheiten!$B$4:$B$63,MATCH($B1146,Einheiten!$A$4:$A$63,0)))),"")</f>
        <v/>
      </c>
      <c r="B1146" s="54"/>
      <c r="C1146" s="79" t="str">
        <f aca="false">IFERROR(IF($D1146="","",INDEX(Übungen!$B$4:$B$23,MATCH($D1146,Übungen!$A$4:$A$23,0))),"")</f>
        <v/>
      </c>
      <c r="D1146" s="56"/>
      <c r="E1146" s="73"/>
      <c r="F1146" s="55"/>
      <c r="G1146" s="74"/>
      <c r="H1146" s="55"/>
      <c r="I1146" s="49" t="str">
        <f aca="false">IF(AND(ISNUMBER($F1146),ISNUMBER($G1146),$E1146&lt;&gt;"R"),$F1146*$G1146,"")</f>
        <v/>
      </c>
      <c r="J1146" s="51" t="str">
        <f aca="false">IF(AND($E1146="A",ISNUMBER($F1146),ISNUMBER($G1146)),$F1146*(1+$G1146/30),"")</f>
        <v/>
      </c>
      <c r="K1146" s="56"/>
      <c r="L1146" s="56"/>
    </row>
    <row r="1147" customFormat="false" ht="15.75" hidden="false" customHeight="true" outlineLevel="0" collapsed="false">
      <c r="A1147" s="78" t="str">
        <f aca="false">IFERROR(IF($B1147="","",IF(INDEX(Einheiten!$B$4:$B$63,MATCH($B1147,Einheiten!$A$4:$A$63,0))=0,"",INDEX(Einheiten!$B$4:$B$63,MATCH($B1147,Einheiten!$A$4:$A$63,0)))),"")</f>
        <v/>
      </c>
      <c r="B1147" s="54"/>
      <c r="C1147" s="79" t="str">
        <f aca="false">IFERROR(IF($D1147="","",INDEX(Übungen!$B$4:$B$23,MATCH($D1147,Übungen!$A$4:$A$23,0))),"")</f>
        <v/>
      </c>
      <c r="D1147" s="56"/>
      <c r="E1147" s="73"/>
      <c r="F1147" s="55"/>
      <c r="G1147" s="74"/>
      <c r="H1147" s="55"/>
      <c r="I1147" s="49" t="str">
        <f aca="false">IF(AND(ISNUMBER($F1147),ISNUMBER($G1147),$E1147&lt;&gt;"R"),$F1147*$G1147,"")</f>
        <v/>
      </c>
      <c r="J1147" s="51" t="str">
        <f aca="false">IF(AND($E1147="A",ISNUMBER($F1147),ISNUMBER($G1147)),$F1147*(1+$G1147/30),"")</f>
        <v/>
      </c>
      <c r="K1147" s="56"/>
      <c r="L1147" s="56"/>
    </row>
    <row r="1148" customFormat="false" ht="15.75" hidden="false" customHeight="true" outlineLevel="0" collapsed="false">
      <c r="A1148" s="78" t="str">
        <f aca="false">IFERROR(IF($B1148="","",IF(INDEX(Einheiten!$B$4:$B$63,MATCH($B1148,Einheiten!$A$4:$A$63,0))=0,"",INDEX(Einheiten!$B$4:$B$63,MATCH($B1148,Einheiten!$A$4:$A$63,0)))),"")</f>
        <v/>
      </c>
      <c r="B1148" s="54"/>
      <c r="C1148" s="79" t="str">
        <f aca="false">IFERROR(IF($D1148="","",INDEX(Übungen!$B$4:$B$23,MATCH($D1148,Übungen!$A$4:$A$23,0))),"")</f>
        <v/>
      </c>
      <c r="D1148" s="56"/>
      <c r="E1148" s="73"/>
      <c r="F1148" s="55"/>
      <c r="G1148" s="74"/>
      <c r="H1148" s="55"/>
      <c r="I1148" s="49" t="str">
        <f aca="false">IF(AND(ISNUMBER($F1148),ISNUMBER($G1148),$E1148&lt;&gt;"R"),$F1148*$G1148,"")</f>
        <v/>
      </c>
      <c r="J1148" s="51" t="str">
        <f aca="false">IF(AND($E1148="A",ISNUMBER($F1148),ISNUMBER($G1148)),$F1148*(1+$G1148/30),"")</f>
        <v/>
      </c>
      <c r="K1148" s="56"/>
      <c r="L1148" s="56"/>
    </row>
    <row r="1149" customFormat="false" ht="15.75" hidden="false" customHeight="true" outlineLevel="0" collapsed="false">
      <c r="A1149" s="78" t="str">
        <f aca="false">IFERROR(IF($B1149="","",IF(INDEX(Einheiten!$B$4:$B$63,MATCH($B1149,Einheiten!$A$4:$A$63,0))=0,"",INDEX(Einheiten!$B$4:$B$63,MATCH($B1149,Einheiten!$A$4:$A$63,0)))),"")</f>
        <v/>
      </c>
      <c r="B1149" s="54"/>
      <c r="C1149" s="79" t="str">
        <f aca="false">IFERROR(IF($D1149="","",INDEX(Übungen!$B$4:$B$23,MATCH($D1149,Übungen!$A$4:$A$23,0))),"")</f>
        <v/>
      </c>
      <c r="D1149" s="56"/>
      <c r="E1149" s="73"/>
      <c r="F1149" s="55"/>
      <c r="G1149" s="74"/>
      <c r="H1149" s="55"/>
      <c r="I1149" s="49" t="str">
        <f aca="false">IF(AND(ISNUMBER($F1149),ISNUMBER($G1149),$E1149&lt;&gt;"R"),$F1149*$G1149,"")</f>
        <v/>
      </c>
      <c r="J1149" s="51" t="str">
        <f aca="false">IF(AND($E1149="A",ISNUMBER($F1149),ISNUMBER($G1149)),$F1149*(1+$G1149/30),"")</f>
        <v/>
      </c>
      <c r="K1149" s="56"/>
      <c r="L1149" s="56"/>
    </row>
    <row r="1150" customFormat="false" ht="15.75" hidden="false" customHeight="true" outlineLevel="0" collapsed="false">
      <c r="A1150" s="78" t="str">
        <f aca="false">IFERROR(IF($B1150="","",IF(INDEX(Einheiten!$B$4:$B$63,MATCH($B1150,Einheiten!$A$4:$A$63,0))=0,"",INDEX(Einheiten!$B$4:$B$63,MATCH($B1150,Einheiten!$A$4:$A$63,0)))),"")</f>
        <v/>
      </c>
      <c r="B1150" s="54"/>
      <c r="C1150" s="79" t="str">
        <f aca="false">IFERROR(IF($D1150="","",INDEX(Übungen!$B$4:$B$23,MATCH($D1150,Übungen!$A$4:$A$23,0))),"")</f>
        <v/>
      </c>
      <c r="D1150" s="56"/>
      <c r="E1150" s="73"/>
      <c r="F1150" s="55"/>
      <c r="G1150" s="74"/>
      <c r="H1150" s="55"/>
      <c r="I1150" s="49" t="str">
        <f aca="false">IF(AND(ISNUMBER($F1150),ISNUMBER($G1150),$E1150&lt;&gt;"R"),$F1150*$G1150,"")</f>
        <v/>
      </c>
      <c r="J1150" s="51" t="str">
        <f aca="false">IF(AND($E1150="A",ISNUMBER($F1150),ISNUMBER($G1150)),$F1150*(1+$G1150/30),"")</f>
        <v/>
      </c>
      <c r="K1150" s="56"/>
      <c r="L1150" s="56"/>
    </row>
    <row r="1151" customFormat="false" ht="15.75" hidden="false" customHeight="true" outlineLevel="0" collapsed="false">
      <c r="A1151" s="78" t="str">
        <f aca="false">IFERROR(IF($B1151="","",IF(INDEX(Einheiten!$B$4:$B$63,MATCH($B1151,Einheiten!$A$4:$A$63,0))=0,"",INDEX(Einheiten!$B$4:$B$63,MATCH($B1151,Einheiten!$A$4:$A$63,0)))),"")</f>
        <v/>
      </c>
      <c r="B1151" s="54"/>
      <c r="C1151" s="79" t="str">
        <f aca="false">IFERROR(IF($D1151="","",INDEX(Übungen!$B$4:$B$23,MATCH($D1151,Übungen!$A$4:$A$23,0))),"")</f>
        <v/>
      </c>
      <c r="D1151" s="56"/>
      <c r="E1151" s="73"/>
      <c r="F1151" s="55"/>
      <c r="G1151" s="74"/>
      <c r="H1151" s="55"/>
      <c r="I1151" s="49" t="str">
        <f aca="false">IF(AND(ISNUMBER($F1151),ISNUMBER($G1151),$E1151&lt;&gt;"R"),$F1151*$G1151,"")</f>
        <v/>
      </c>
      <c r="J1151" s="51" t="str">
        <f aca="false">IF(AND($E1151="A",ISNUMBER($F1151),ISNUMBER($G1151)),$F1151*(1+$G1151/30),"")</f>
        <v/>
      </c>
      <c r="K1151" s="56"/>
      <c r="L1151" s="56"/>
    </row>
    <row r="1152" customFormat="false" ht="15.75" hidden="false" customHeight="true" outlineLevel="0" collapsed="false">
      <c r="A1152" s="78" t="str">
        <f aca="false">IFERROR(IF($B1152="","",IF(INDEX(Einheiten!$B$4:$B$63,MATCH($B1152,Einheiten!$A$4:$A$63,0))=0,"",INDEX(Einheiten!$B$4:$B$63,MATCH($B1152,Einheiten!$A$4:$A$63,0)))),"")</f>
        <v/>
      </c>
      <c r="B1152" s="54"/>
      <c r="C1152" s="79" t="str">
        <f aca="false">IFERROR(IF($D1152="","",INDEX(Übungen!$B$4:$B$23,MATCH($D1152,Übungen!$A$4:$A$23,0))),"")</f>
        <v/>
      </c>
      <c r="D1152" s="56"/>
      <c r="E1152" s="73"/>
      <c r="F1152" s="55"/>
      <c r="G1152" s="74"/>
      <c r="H1152" s="55"/>
      <c r="I1152" s="49" t="str">
        <f aca="false">IF(AND(ISNUMBER($F1152),ISNUMBER($G1152),$E1152&lt;&gt;"R"),$F1152*$G1152,"")</f>
        <v/>
      </c>
      <c r="J1152" s="51" t="str">
        <f aca="false">IF(AND($E1152="A",ISNUMBER($F1152),ISNUMBER($G1152)),$F1152*(1+$G1152/30),"")</f>
        <v/>
      </c>
      <c r="K1152" s="56"/>
      <c r="L1152" s="56"/>
    </row>
    <row r="1153" customFormat="false" ht="15.75" hidden="false" customHeight="true" outlineLevel="0" collapsed="false">
      <c r="A1153" s="78" t="str">
        <f aca="false">IFERROR(IF($B1153="","",IF(INDEX(Einheiten!$B$4:$B$63,MATCH($B1153,Einheiten!$A$4:$A$63,0))=0,"",INDEX(Einheiten!$B$4:$B$63,MATCH($B1153,Einheiten!$A$4:$A$63,0)))),"")</f>
        <v/>
      </c>
      <c r="B1153" s="54"/>
      <c r="C1153" s="79" t="str">
        <f aca="false">IFERROR(IF($D1153="","",INDEX(Übungen!$B$4:$B$23,MATCH($D1153,Übungen!$A$4:$A$23,0))),"")</f>
        <v/>
      </c>
      <c r="D1153" s="56"/>
      <c r="E1153" s="73"/>
      <c r="F1153" s="55"/>
      <c r="G1153" s="74"/>
      <c r="H1153" s="55"/>
      <c r="I1153" s="49" t="str">
        <f aca="false">IF(AND(ISNUMBER($F1153),ISNUMBER($G1153),$E1153&lt;&gt;"R"),$F1153*$G1153,"")</f>
        <v/>
      </c>
      <c r="J1153" s="51" t="str">
        <f aca="false">IF(AND($E1153="A",ISNUMBER($F1153),ISNUMBER($G1153)),$F1153*(1+$G1153/30),"")</f>
        <v/>
      </c>
      <c r="K1153" s="56"/>
      <c r="L1153" s="56"/>
    </row>
    <row r="1154" customFormat="false" ht="15.75" hidden="false" customHeight="true" outlineLevel="0" collapsed="false">
      <c r="A1154" s="78" t="str">
        <f aca="false">IFERROR(IF($B1154="","",IF(INDEX(Einheiten!$B$4:$B$63,MATCH($B1154,Einheiten!$A$4:$A$63,0))=0,"",INDEX(Einheiten!$B$4:$B$63,MATCH($B1154,Einheiten!$A$4:$A$63,0)))),"")</f>
        <v/>
      </c>
      <c r="B1154" s="54"/>
      <c r="C1154" s="79" t="str">
        <f aca="false">IFERROR(IF($D1154="","",INDEX(Übungen!$B$4:$B$23,MATCH($D1154,Übungen!$A$4:$A$23,0))),"")</f>
        <v/>
      </c>
      <c r="D1154" s="56"/>
      <c r="E1154" s="73"/>
      <c r="F1154" s="55"/>
      <c r="G1154" s="74"/>
      <c r="H1154" s="55"/>
      <c r="I1154" s="49" t="str">
        <f aca="false">IF(AND(ISNUMBER($F1154),ISNUMBER($G1154),$E1154&lt;&gt;"R"),$F1154*$G1154,"")</f>
        <v/>
      </c>
      <c r="J1154" s="51" t="str">
        <f aca="false">IF(AND($E1154="A",ISNUMBER($F1154),ISNUMBER($G1154)),$F1154*(1+$G1154/30),"")</f>
        <v/>
      </c>
      <c r="K1154" s="56"/>
      <c r="L1154" s="56"/>
    </row>
    <row r="1155" customFormat="false" ht="15.75" hidden="false" customHeight="true" outlineLevel="0" collapsed="false">
      <c r="A1155" s="78" t="str">
        <f aca="false">IFERROR(IF($B1155="","",IF(INDEX(Einheiten!$B$4:$B$63,MATCH($B1155,Einheiten!$A$4:$A$63,0))=0,"",INDEX(Einheiten!$B$4:$B$63,MATCH($B1155,Einheiten!$A$4:$A$63,0)))),"")</f>
        <v/>
      </c>
      <c r="B1155" s="54"/>
      <c r="C1155" s="79" t="str">
        <f aca="false">IFERROR(IF($D1155="","",INDEX(Übungen!$B$4:$B$23,MATCH($D1155,Übungen!$A$4:$A$23,0))),"")</f>
        <v/>
      </c>
      <c r="D1155" s="56"/>
      <c r="E1155" s="73"/>
      <c r="F1155" s="55"/>
      <c r="G1155" s="74"/>
      <c r="H1155" s="55"/>
      <c r="I1155" s="49" t="str">
        <f aca="false">IF(AND(ISNUMBER($F1155),ISNUMBER($G1155),$E1155&lt;&gt;"R"),$F1155*$G1155,"")</f>
        <v/>
      </c>
      <c r="J1155" s="51" t="str">
        <f aca="false">IF(AND($E1155="A",ISNUMBER($F1155),ISNUMBER($G1155)),$F1155*(1+$G1155/30),"")</f>
        <v/>
      </c>
      <c r="K1155" s="56"/>
      <c r="L1155" s="56"/>
    </row>
    <row r="1156" customFormat="false" ht="15.75" hidden="false" customHeight="true" outlineLevel="0" collapsed="false">
      <c r="A1156" s="78" t="str">
        <f aca="false">IFERROR(IF($B1156="","",IF(INDEX(Einheiten!$B$4:$B$63,MATCH($B1156,Einheiten!$A$4:$A$63,0))=0,"",INDEX(Einheiten!$B$4:$B$63,MATCH($B1156,Einheiten!$A$4:$A$63,0)))),"")</f>
        <v/>
      </c>
      <c r="B1156" s="54"/>
      <c r="C1156" s="79" t="str">
        <f aca="false">IFERROR(IF($D1156="","",INDEX(Übungen!$B$4:$B$23,MATCH($D1156,Übungen!$A$4:$A$23,0))),"")</f>
        <v/>
      </c>
      <c r="D1156" s="56"/>
      <c r="E1156" s="73"/>
      <c r="F1156" s="55"/>
      <c r="G1156" s="74"/>
      <c r="H1156" s="55"/>
      <c r="I1156" s="49" t="str">
        <f aca="false">IF(AND(ISNUMBER($F1156),ISNUMBER($G1156),$E1156&lt;&gt;"R"),$F1156*$G1156,"")</f>
        <v/>
      </c>
      <c r="J1156" s="51" t="str">
        <f aca="false">IF(AND($E1156="A",ISNUMBER($F1156),ISNUMBER($G1156)),$F1156*(1+$G1156/30),"")</f>
        <v/>
      </c>
      <c r="K1156" s="56"/>
      <c r="L1156" s="56"/>
    </row>
    <row r="1157" customFormat="false" ht="15.75" hidden="false" customHeight="true" outlineLevel="0" collapsed="false">
      <c r="A1157" s="78" t="str">
        <f aca="false">IFERROR(IF($B1157="","",IF(INDEX(Einheiten!$B$4:$B$63,MATCH($B1157,Einheiten!$A$4:$A$63,0))=0,"",INDEX(Einheiten!$B$4:$B$63,MATCH($B1157,Einheiten!$A$4:$A$63,0)))),"")</f>
        <v/>
      </c>
      <c r="B1157" s="54"/>
      <c r="C1157" s="79" t="str">
        <f aca="false">IFERROR(IF($D1157="","",INDEX(Übungen!$B$4:$B$23,MATCH($D1157,Übungen!$A$4:$A$23,0))),"")</f>
        <v/>
      </c>
      <c r="D1157" s="56"/>
      <c r="E1157" s="73"/>
      <c r="F1157" s="55"/>
      <c r="G1157" s="74"/>
      <c r="H1157" s="55"/>
      <c r="I1157" s="49" t="str">
        <f aca="false">IF(AND(ISNUMBER($F1157),ISNUMBER($G1157),$E1157&lt;&gt;"R"),$F1157*$G1157,"")</f>
        <v/>
      </c>
      <c r="J1157" s="51" t="str">
        <f aca="false">IF(AND($E1157="A",ISNUMBER($F1157),ISNUMBER($G1157)),$F1157*(1+$G1157/30),"")</f>
        <v/>
      </c>
      <c r="K1157" s="56"/>
      <c r="L1157" s="56"/>
    </row>
    <row r="1158" customFormat="false" ht="15.75" hidden="false" customHeight="true" outlineLevel="0" collapsed="false">
      <c r="A1158" s="78" t="str">
        <f aca="false">IFERROR(IF($B1158="","",IF(INDEX(Einheiten!$B$4:$B$63,MATCH($B1158,Einheiten!$A$4:$A$63,0))=0,"",INDEX(Einheiten!$B$4:$B$63,MATCH($B1158,Einheiten!$A$4:$A$63,0)))),"")</f>
        <v/>
      </c>
      <c r="B1158" s="54"/>
      <c r="C1158" s="79" t="str">
        <f aca="false">IFERROR(IF($D1158="","",INDEX(Übungen!$B$4:$B$23,MATCH($D1158,Übungen!$A$4:$A$23,0))),"")</f>
        <v/>
      </c>
      <c r="D1158" s="56"/>
      <c r="E1158" s="73"/>
      <c r="F1158" s="55"/>
      <c r="G1158" s="74"/>
      <c r="H1158" s="55"/>
      <c r="I1158" s="49" t="str">
        <f aca="false">IF(AND(ISNUMBER($F1158),ISNUMBER($G1158),$E1158&lt;&gt;"R"),$F1158*$G1158,"")</f>
        <v/>
      </c>
      <c r="J1158" s="51" t="str">
        <f aca="false">IF(AND($E1158="A",ISNUMBER($F1158),ISNUMBER($G1158)),$F1158*(1+$G1158/30),"")</f>
        <v/>
      </c>
      <c r="K1158" s="56"/>
      <c r="L1158" s="56"/>
    </row>
    <row r="1159" customFormat="false" ht="15.75" hidden="false" customHeight="true" outlineLevel="0" collapsed="false">
      <c r="A1159" s="78" t="str">
        <f aca="false">IFERROR(IF($B1159="","",IF(INDEX(Einheiten!$B$4:$B$63,MATCH($B1159,Einheiten!$A$4:$A$63,0))=0,"",INDEX(Einheiten!$B$4:$B$63,MATCH($B1159,Einheiten!$A$4:$A$63,0)))),"")</f>
        <v/>
      </c>
      <c r="B1159" s="54"/>
      <c r="C1159" s="79" t="str">
        <f aca="false">IFERROR(IF($D1159="","",INDEX(Übungen!$B$4:$B$23,MATCH($D1159,Übungen!$A$4:$A$23,0))),"")</f>
        <v/>
      </c>
      <c r="D1159" s="56"/>
      <c r="E1159" s="73"/>
      <c r="F1159" s="55"/>
      <c r="G1159" s="74"/>
      <c r="H1159" s="55"/>
      <c r="I1159" s="49" t="str">
        <f aca="false">IF(AND(ISNUMBER($F1159),ISNUMBER($G1159),$E1159&lt;&gt;"R"),$F1159*$G1159,"")</f>
        <v/>
      </c>
      <c r="J1159" s="51" t="str">
        <f aca="false">IF(AND($E1159="A",ISNUMBER($F1159),ISNUMBER($G1159)),$F1159*(1+$G1159/30),"")</f>
        <v/>
      </c>
      <c r="K1159" s="56"/>
      <c r="L1159" s="56"/>
    </row>
    <row r="1160" customFormat="false" ht="15.75" hidden="false" customHeight="true" outlineLevel="0" collapsed="false">
      <c r="A1160" s="78" t="str">
        <f aca="false">IFERROR(IF($B1160="","",IF(INDEX(Einheiten!$B$4:$B$63,MATCH($B1160,Einheiten!$A$4:$A$63,0))=0,"",INDEX(Einheiten!$B$4:$B$63,MATCH($B1160,Einheiten!$A$4:$A$63,0)))),"")</f>
        <v/>
      </c>
      <c r="B1160" s="54"/>
      <c r="C1160" s="79" t="str">
        <f aca="false">IFERROR(IF($D1160="","",INDEX(Übungen!$B$4:$B$23,MATCH($D1160,Übungen!$A$4:$A$23,0))),"")</f>
        <v/>
      </c>
      <c r="D1160" s="56"/>
      <c r="E1160" s="73"/>
      <c r="F1160" s="55"/>
      <c r="G1160" s="74"/>
      <c r="H1160" s="55"/>
      <c r="I1160" s="49" t="str">
        <f aca="false">IF(AND(ISNUMBER($F1160),ISNUMBER($G1160),$E1160&lt;&gt;"R"),$F1160*$G1160,"")</f>
        <v/>
      </c>
      <c r="J1160" s="51" t="str">
        <f aca="false">IF(AND($E1160="A",ISNUMBER($F1160),ISNUMBER($G1160)),$F1160*(1+$G1160/30),"")</f>
        <v/>
      </c>
      <c r="K1160" s="56"/>
      <c r="L1160" s="56"/>
    </row>
    <row r="1161" customFormat="false" ht="15.75" hidden="false" customHeight="true" outlineLevel="0" collapsed="false">
      <c r="A1161" s="78" t="str">
        <f aca="false">IFERROR(IF($B1161="","",IF(INDEX(Einheiten!$B$4:$B$63,MATCH($B1161,Einheiten!$A$4:$A$63,0))=0,"",INDEX(Einheiten!$B$4:$B$63,MATCH($B1161,Einheiten!$A$4:$A$63,0)))),"")</f>
        <v/>
      </c>
      <c r="B1161" s="54"/>
      <c r="C1161" s="79" t="str">
        <f aca="false">IFERROR(IF($D1161="","",INDEX(Übungen!$B$4:$B$23,MATCH($D1161,Übungen!$A$4:$A$23,0))),"")</f>
        <v/>
      </c>
      <c r="D1161" s="56"/>
      <c r="E1161" s="73"/>
      <c r="F1161" s="55"/>
      <c r="G1161" s="74"/>
      <c r="H1161" s="55"/>
      <c r="I1161" s="49" t="str">
        <f aca="false">IF(AND(ISNUMBER($F1161),ISNUMBER($G1161),$E1161&lt;&gt;"R"),$F1161*$G1161,"")</f>
        <v/>
      </c>
      <c r="J1161" s="51" t="str">
        <f aca="false">IF(AND($E1161="A",ISNUMBER($F1161),ISNUMBER($G1161)),$F1161*(1+$G1161/30),"")</f>
        <v/>
      </c>
      <c r="K1161" s="56"/>
      <c r="L1161" s="56"/>
    </row>
    <row r="1162" customFormat="false" ht="15.75" hidden="false" customHeight="true" outlineLevel="0" collapsed="false">
      <c r="A1162" s="78" t="str">
        <f aca="false">IFERROR(IF($B1162="","",IF(INDEX(Einheiten!$B$4:$B$63,MATCH($B1162,Einheiten!$A$4:$A$63,0))=0,"",INDEX(Einheiten!$B$4:$B$63,MATCH($B1162,Einheiten!$A$4:$A$63,0)))),"")</f>
        <v/>
      </c>
      <c r="B1162" s="54"/>
      <c r="C1162" s="79" t="str">
        <f aca="false">IFERROR(IF($D1162="","",INDEX(Übungen!$B$4:$B$23,MATCH($D1162,Übungen!$A$4:$A$23,0))),"")</f>
        <v/>
      </c>
      <c r="D1162" s="56"/>
      <c r="E1162" s="73"/>
      <c r="F1162" s="55"/>
      <c r="G1162" s="74"/>
      <c r="H1162" s="55"/>
      <c r="I1162" s="49" t="str">
        <f aca="false">IF(AND(ISNUMBER($F1162),ISNUMBER($G1162),$E1162&lt;&gt;"R"),$F1162*$G1162,"")</f>
        <v/>
      </c>
      <c r="J1162" s="51" t="str">
        <f aca="false">IF(AND($E1162="A",ISNUMBER($F1162),ISNUMBER($G1162)),$F1162*(1+$G1162/30),"")</f>
        <v/>
      </c>
      <c r="K1162" s="56"/>
      <c r="L1162" s="56"/>
    </row>
    <row r="1163" customFormat="false" ht="15.75" hidden="false" customHeight="true" outlineLevel="0" collapsed="false">
      <c r="A1163" s="78" t="str">
        <f aca="false">IFERROR(IF($B1163="","",IF(INDEX(Einheiten!$B$4:$B$63,MATCH($B1163,Einheiten!$A$4:$A$63,0))=0,"",INDEX(Einheiten!$B$4:$B$63,MATCH($B1163,Einheiten!$A$4:$A$63,0)))),"")</f>
        <v/>
      </c>
      <c r="B1163" s="54"/>
      <c r="C1163" s="79" t="str">
        <f aca="false">IFERROR(IF($D1163="","",INDEX(Übungen!$B$4:$B$23,MATCH($D1163,Übungen!$A$4:$A$23,0))),"")</f>
        <v/>
      </c>
      <c r="D1163" s="56"/>
      <c r="E1163" s="73"/>
      <c r="F1163" s="55"/>
      <c r="G1163" s="74"/>
      <c r="H1163" s="55"/>
      <c r="I1163" s="49" t="str">
        <f aca="false">IF(AND(ISNUMBER($F1163),ISNUMBER($G1163),$E1163&lt;&gt;"R"),$F1163*$G1163,"")</f>
        <v/>
      </c>
      <c r="J1163" s="51" t="str">
        <f aca="false">IF(AND($E1163="A",ISNUMBER($F1163),ISNUMBER($G1163)),$F1163*(1+$G1163/30),"")</f>
        <v/>
      </c>
      <c r="K1163" s="56"/>
      <c r="L1163" s="56"/>
    </row>
    <row r="1164" customFormat="false" ht="15.75" hidden="false" customHeight="true" outlineLevel="0" collapsed="false">
      <c r="A1164" s="78" t="str">
        <f aca="false">IFERROR(IF($B1164="","",IF(INDEX(Einheiten!$B$4:$B$63,MATCH($B1164,Einheiten!$A$4:$A$63,0))=0,"",INDEX(Einheiten!$B$4:$B$63,MATCH($B1164,Einheiten!$A$4:$A$63,0)))),"")</f>
        <v/>
      </c>
      <c r="B1164" s="54"/>
      <c r="C1164" s="79" t="str">
        <f aca="false">IFERROR(IF($D1164="","",INDEX(Übungen!$B$4:$B$23,MATCH($D1164,Übungen!$A$4:$A$23,0))),"")</f>
        <v/>
      </c>
      <c r="D1164" s="56"/>
      <c r="E1164" s="73"/>
      <c r="F1164" s="55"/>
      <c r="G1164" s="74"/>
      <c r="H1164" s="55"/>
      <c r="I1164" s="49" t="str">
        <f aca="false">IF(AND(ISNUMBER($F1164),ISNUMBER($G1164),$E1164&lt;&gt;"R"),$F1164*$G1164,"")</f>
        <v/>
      </c>
      <c r="J1164" s="51" t="str">
        <f aca="false">IF(AND($E1164="A",ISNUMBER($F1164),ISNUMBER($G1164)),$F1164*(1+$G1164/30),"")</f>
        <v/>
      </c>
      <c r="K1164" s="56"/>
      <c r="L1164" s="56"/>
    </row>
    <row r="1165" customFormat="false" ht="15.75" hidden="false" customHeight="true" outlineLevel="0" collapsed="false">
      <c r="A1165" s="78" t="str">
        <f aca="false">IFERROR(IF($B1165="","",IF(INDEX(Einheiten!$B$4:$B$63,MATCH($B1165,Einheiten!$A$4:$A$63,0))=0,"",INDEX(Einheiten!$B$4:$B$63,MATCH($B1165,Einheiten!$A$4:$A$63,0)))),"")</f>
        <v/>
      </c>
      <c r="B1165" s="54"/>
      <c r="C1165" s="79" t="str">
        <f aca="false">IFERROR(IF($D1165="","",INDEX(Übungen!$B$4:$B$23,MATCH($D1165,Übungen!$A$4:$A$23,0))),"")</f>
        <v/>
      </c>
      <c r="D1165" s="56"/>
      <c r="E1165" s="73"/>
      <c r="F1165" s="55"/>
      <c r="G1165" s="74"/>
      <c r="H1165" s="55"/>
      <c r="I1165" s="49" t="str">
        <f aca="false">IF(AND(ISNUMBER($F1165),ISNUMBER($G1165),$E1165&lt;&gt;"R"),$F1165*$G1165,"")</f>
        <v/>
      </c>
      <c r="J1165" s="51" t="str">
        <f aca="false">IF(AND($E1165="A",ISNUMBER($F1165),ISNUMBER($G1165)),$F1165*(1+$G1165/30),"")</f>
        <v/>
      </c>
      <c r="K1165" s="56"/>
      <c r="L1165" s="56"/>
    </row>
    <row r="1166" customFormat="false" ht="15.75" hidden="false" customHeight="true" outlineLevel="0" collapsed="false">
      <c r="A1166" s="78" t="str">
        <f aca="false">IFERROR(IF($B1166="","",IF(INDEX(Einheiten!$B$4:$B$63,MATCH($B1166,Einheiten!$A$4:$A$63,0))=0,"",INDEX(Einheiten!$B$4:$B$63,MATCH($B1166,Einheiten!$A$4:$A$63,0)))),"")</f>
        <v/>
      </c>
      <c r="B1166" s="54"/>
      <c r="C1166" s="79" t="str">
        <f aca="false">IFERROR(IF($D1166="","",INDEX(Übungen!$B$4:$B$23,MATCH($D1166,Übungen!$A$4:$A$23,0))),"")</f>
        <v/>
      </c>
      <c r="D1166" s="56"/>
      <c r="E1166" s="73"/>
      <c r="F1166" s="55"/>
      <c r="G1166" s="74"/>
      <c r="H1166" s="55"/>
      <c r="I1166" s="49" t="str">
        <f aca="false">IF(AND(ISNUMBER($F1166),ISNUMBER($G1166),$E1166&lt;&gt;"R"),$F1166*$G1166,"")</f>
        <v/>
      </c>
      <c r="J1166" s="51" t="str">
        <f aca="false">IF(AND($E1166="A",ISNUMBER($F1166),ISNUMBER($G1166)),$F1166*(1+$G1166/30),"")</f>
        <v/>
      </c>
      <c r="K1166" s="56"/>
      <c r="L1166" s="56"/>
    </row>
    <row r="1167" customFormat="false" ht="15.75" hidden="false" customHeight="true" outlineLevel="0" collapsed="false">
      <c r="A1167" s="78" t="str">
        <f aca="false">IFERROR(IF($B1167="","",IF(INDEX(Einheiten!$B$4:$B$63,MATCH($B1167,Einheiten!$A$4:$A$63,0))=0,"",INDEX(Einheiten!$B$4:$B$63,MATCH($B1167,Einheiten!$A$4:$A$63,0)))),"")</f>
        <v/>
      </c>
      <c r="B1167" s="54"/>
      <c r="C1167" s="79" t="str">
        <f aca="false">IFERROR(IF($D1167="","",INDEX(Übungen!$B$4:$B$23,MATCH($D1167,Übungen!$A$4:$A$23,0))),"")</f>
        <v/>
      </c>
      <c r="D1167" s="56"/>
      <c r="E1167" s="73"/>
      <c r="F1167" s="55"/>
      <c r="G1167" s="74"/>
      <c r="H1167" s="55"/>
      <c r="I1167" s="49" t="str">
        <f aca="false">IF(AND(ISNUMBER($F1167),ISNUMBER($G1167),$E1167&lt;&gt;"R"),$F1167*$G1167,"")</f>
        <v/>
      </c>
      <c r="J1167" s="51" t="str">
        <f aca="false">IF(AND($E1167="A",ISNUMBER($F1167),ISNUMBER($G1167)),$F1167*(1+$G1167/30),"")</f>
        <v/>
      </c>
      <c r="K1167" s="56"/>
      <c r="L1167" s="56"/>
    </row>
    <row r="1168" customFormat="false" ht="15.75" hidden="false" customHeight="true" outlineLevel="0" collapsed="false">
      <c r="A1168" s="78" t="str">
        <f aca="false">IFERROR(IF($B1168="","",IF(INDEX(Einheiten!$B$4:$B$63,MATCH($B1168,Einheiten!$A$4:$A$63,0))=0,"",INDEX(Einheiten!$B$4:$B$63,MATCH($B1168,Einheiten!$A$4:$A$63,0)))),"")</f>
        <v/>
      </c>
      <c r="B1168" s="54"/>
      <c r="C1168" s="79" t="str">
        <f aca="false">IFERROR(IF($D1168="","",INDEX(Übungen!$B$4:$B$23,MATCH($D1168,Übungen!$A$4:$A$23,0))),"")</f>
        <v/>
      </c>
      <c r="D1168" s="56"/>
      <c r="E1168" s="73"/>
      <c r="F1168" s="55"/>
      <c r="G1168" s="74"/>
      <c r="H1168" s="55"/>
      <c r="I1168" s="49" t="str">
        <f aca="false">IF(AND(ISNUMBER($F1168),ISNUMBER($G1168),$E1168&lt;&gt;"R"),$F1168*$G1168,"")</f>
        <v/>
      </c>
      <c r="J1168" s="51" t="str">
        <f aca="false">IF(AND($E1168="A",ISNUMBER($F1168),ISNUMBER($G1168)),$F1168*(1+$G1168/30),"")</f>
        <v/>
      </c>
      <c r="K1168" s="56"/>
      <c r="L1168" s="56"/>
    </row>
    <row r="1169" customFormat="false" ht="15.75" hidden="false" customHeight="true" outlineLevel="0" collapsed="false">
      <c r="A1169" s="78" t="str">
        <f aca="false">IFERROR(IF($B1169="","",IF(INDEX(Einheiten!$B$4:$B$63,MATCH($B1169,Einheiten!$A$4:$A$63,0))=0,"",INDEX(Einheiten!$B$4:$B$63,MATCH($B1169,Einheiten!$A$4:$A$63,0)))),"")</f>
        <v/>
      </c>
      <c r="B1169" s="54"/>
      <c r="C1169" s="79" t="str">
        <f aca="false">IFERROR(IF($D1169="","",INDEX(Übungen!$B$4:$B$23,MATCH($D1169,Übungen!$A$4:$A$23,0))),"")</f>
        <v/>
      </c>
      <c r="D1169" s="56"/>
      <c r="E1169" s="73"/>
      <c r="F1169" s="55"/>
      <c r="G1169" s="74"/>
      <c r="H1169" s="55"/>
      <c r="I1169" s="49" t="str">
        <f aca="false">IF(AND(ISNUMBER($F1169),ISNUMBER($G1169),$E1169&lt;&gt;"R"),$F1169*$G1169,"")</f>
        <v/>
      </c>
      <c r="J1169" s="51" t="str">
        <f aca="false">IF(AND($E1169="A",ISNUMBER($F1169),ISNUMBER($G1169)),$F1169*(1+$G1169/30),"")</f>
        <v/>
      </c>
      <c r="K1169" s="56"/>
      <c r="L1169" s="56"/>
    </row>
    <row r="1170" customFormat="false" ht="15.75" hidden="false" customHeight="true" outlineLevel="0" collapsed="false">
      <c r="A1170" s="78" t="str">
        <f aca="false">IFERROR(IF($B1170="","",IF(INDEX(Einheiten!$B$4:$B$63,MATCH($B1170,Einheiten!$A$4:$A$63,0))=0,"",INDEX(Einheiten!$B$4:$B$63,MATCH($B1170,Einheiten!$A$4:$A$63,0)))),"")</f>
        <v/>
      </c>
      <c r="B1170" s="54"/>
      <c r="C1170" s="79" t="str">
        <f aca="false">IFERROR(IF($D1170="","",INDEX(Übungen!$B$4:$B$23,MATCH($D1170,Übungen!$A$4:$A$23,0))),"")</f>
        <v/>
      </c>
      <c r="D1170" s="56"/>
      <c r="E1170" s="73"/>
      <c r="F1170" s="55"/>
      <c r="G1170" s="74"/>
      <c r="H1170" s="55"/>
      <c r="I1170" s="49" t="str">
        <f aca="false">IF(AND(ISNUMBER($F1170),ISNUMBER($G1170),$E1170&lt;&gt;"R"),$F1170*$G1170,"")</f>
        <v/>
      </c>
      <c r="J1170" s="51" t="str">
        <f aca="false">IF(AND($E1170="A",ISNUMBER($F1170),ISNUMBER($G1170)),$F1170*(1+$G1170/30),"")</f>
        <v/>
      </c>
      <c r="K1170" s="56"/>
      <c r="L1170" s="56"/>
    </row>
    <row r="1171" customFormat="false" ht="15.75" hidden="false" customHeight="true" outlineLevel="0" collapsed="false">
      <c r="A1171" s="78" t="str">
        <f aca="false">IFERROR(IF($B1171="","",IF(INDEX(Einheiten!$B$4:$B$63,MATCH($B1171,Einheiten!$A$4:$A$63,0))=0,"",INDEX(Einheiten!$B$4:$B$63,MATCH($B1171,Einheiten!$A$4:$A$63,0)))),"")</f>
        <v/>
      </c>
      <c r="B1171" s="54"/>
      <c r="C1171" s="79" t="str">
        <f aca="false">IFERROR(IF($D1171="","",INDEX(Übungen!$B$4:$B$23,MATCH($D1171,Übungen!$A$4:$A$23,0))),"")</f>
        <v/>
      </c>
      <c r="D1171" s="56"/>
      <c r="E1171" s="73"/>
      <c r="F1171" s="55"/>
      <c r="G1171" s="74"/>
      <c r="H1171" s="55"/>
      <c r="I1171" s="49" t="str">
        <f aca="false">IF(AND(ISNUMBER($F1171),ISNUMBER($G1171),$E1171&lt;&gt;"R"),$F1171*$G1171,"")</f>
        <v/>
      </c>
      <c r="J1171" s="51" t="str">
        <f aca="false">IF(AND($E1171="A",ISNUMBER($F1171),ISNUMBER($G1171)),$F1171*(1+$G1171/30),"")</f>
        <v/>
      </c>
      <c r="K1171" s="56"/>
      <c r="L1171" s="56"/>
    </row>
    <row r="1172" customFormat="false" ht="15.75" hidden="false" customHeight="true" outlineLevel="0" collapsed="false">
      <c r="A1172" s="78" t="str">
        <f aca="false">IFERROR(IF($B1172="","",IF(INDEX(Einheiten!$B$4:$B$63,MATCH($B1172,Einheiten!$A$4:$A$63,0))=0,"",INDEX(Einheiten!$B$4:$B$63,MATCH($B1172,Einheiten!$A$4:$A$63,0)))),"")</f>
        <v/>
      </c>
      <c r="B1172" s="54"/>
      <c r="C1172" s="79" t="str">
        <f aca="false">IFERROR(IF($D1172="","",INDEX(Übungen!$B$4:$B$23,MATCH($D1172,Übungen!$A$4:$A$23,0))),"")</f>
        <v/>
      </c>
      <c r="D1172" s="56"/>
      <c r="E1172" s="73"/>
      <c r="F1172" s="55"/>
      <c r="G1172" s="74"/>
      <c r="H1172" s="55"/>
      <c r="I1172" s="49" t="str">
        <f aca="false">IF(AND(ISNUMBER($F1172),ISNUMBER($G1172),$E1172&lt;&gt;"R"),$F1172*$G1172,"")</f>
        <v/>
      </c>
      <c r="J1172" s="51" t="str">
        <f aca="false">IF(AND($E1172="A",ISNUMBER($F1172),ISNUMBER($G1172)),$F1172*(1+$G1172/30),"")</f>
        <v/>
      </c>
      <c r="K1172" s="56"/>
      <c r="L1172" s="56"/>
    </row>
    <row r="1173" customFormat="false" ht="15.75" hidden="false" customHeight="true" outlineLevel="0" collapsed="false">
      <c r="A1173" s="78" t="str">
        <f aca="false">IFERROR(IF($B1173="","",IF(INDEX(Einheiten!$B$4:$B$63,MATCH($B1173,Einheiten!$A$4:$A$63,0))=0,"",INDEX(Einheiten!$B$4:$B$63,MATCH($B1173,Einheiten!$A$4:$A$63,0)))),"")</f>
        <v/>
      </c>
      <c r="B1173" s="54"/>
      <c r="C1173" s="79" t="str">
        <f aca="false">IFERROR(IF($D1173="","",INDEX(Übungen!$B$4:$B$23,MATCH($D1173,Übungen!$A$4:$A$23,0))),"")</f>
        <v/>
      </c>
      <c r="D1173" s="56"/>
      <c r="E1173" s="73"/>
      <c r="F1173" s="55"/>
      <c r="G1173" s="74"/>
      <c r="H1173" s="55"/>
      <c r="I1173" s="49" t="str">
        <f aca="false">IF(AND(ISNUMBER($F1173),ISNUMBER($G1173),$E1173&lt;&gt;"R"),$F1173*$G1173,"")</f>
        <v/>
      </c>
      <c r="J1173" s="51" t="str">
        <f aca="false">IF(AND($E1173="A",ISNUMBER($F1173),ISNUMBER($G1173)),$F1173*(1+$G1173/30),"")</f>
        <v/>
      </c>
      <c r="K1173" s="56"/>
      <c r="L1173" s="56"/>
    </row>
    <row r="1174" customFormat="false" ht="15.75" hidden="false" customHeight="true" outlineLevel="0" collapsed="false">
      <c r="A1174" s="78" t="str">
        <f aca="false">IFERROR(IF($B1174="","",IF(INDEX(Einheiten!$B$4:$B$63,MATCH($B1174,Einheiten!$A$4:$A$63,0))=0,"",INDEX(Einheiten!$B$4:$B$63,MATCH($B1174,Einheiten!$A$4:$A$63,0)))),"")</f>
        <v/>
      </c>
      <c r="B1174" s="54"/>
      <c r="C1174" s="79" t="str">
        <f aca="false">IFERROR(IF($D1174="","",INDEX(Übungen!$B$4:$B$23,MATCH($D1174,Übungen!$A$4:$A$23,0))),"")</f>
        <v/>
      </c>
      <c r="D1174" s="56"/>
      <c r="E1174" s="73"/>
      <c r="F1174" s="55"/>
      <c r="G1174" s="74"/>
      <c r="H1174" s="55"/>
      <c r="I1174" s="49" t="str">
        <f aca="false">IF(AND(ISNUMBER($F1174),ISNUMBER($G1174),$E1174&lt;&gt;"R"),$F1174*$G1174,"")</f>
        <v/>
      </c>
      <c r="J1174" s="51" t="str">
        <f aca="false">IF(AND($E1174="A",ISNUMBER($F1174),ISNUMBER($G1174)),$F1174*(1+$G1174/30),"")</f>
        <v/>
      </c>
      <c r="K1174" s="56"/>
      <c r="L1174" s="56"/>
    </row>
    <row r="1175" customFormat="false" ht="15.75" hidden="false" customHeight="true" outlineLevel="0" collapsed="false">
      <c r="A1175" s="78" t="str">
        <f aca="false">IFERROR(IF($B1175="","",IF(INDEX(Einheiten!$B$4:$B$63,MATCH($B1175,Einheiten!$A$4:$A$63,0))=0,"",INDEX(Einheiten!$B$4:$B$63,MATCH($B1175,Einheiten!$A$4:$A$63,0)))),"")</f>
        <v/>
      </c>
      <c r="B1175" s="54"/>
      <c r="C1175" s="79" t="str">
        <f aca="false">IFERROR(IF($D1175="","",INDEX(Übungen!$B$4:$B$23,MATCH($D1175,Übungen!$A$4:$A$23,0))),"")</f>
        <v/>
      </c>
      <c r="D1175" s="56"/>
      <c r="E1175" s="73"/>
      <c r="F1175" s="55"/>
      <c r="G1175" s="74"/>
      <c r="H1175" s="55"/>
      <c r="I1175" s="49" t="str">
        <f aca="false">IF(AND(ISNUMBER($F1175),ISNUMBER($G1175),$E1175&lt;&gt;"R"),$F1175*$G1175,"")</f>
        <v/>
      </c>
      <c r="J1175" s="51" t="str">
        <f aca="false">IF(AND($E1175="A",ISNUMBER($F1175),ISNUMBER($G1175)),$F1175*(1+$G1175/30),"")</f>
        <v/>
      </c>
      <c r="K1175" s="56"/>
      <c r="L1175" s="56"/>
    </row>
    <row r="1176" customFormat="false" ht="15.75" hidden="false" customHeight="true" outlineLevel="0" collapsed="false">
      <c r="A1176" s="78" t="str">
        <f aca="false">IFERROR(IF($B1176="","",IF(INDEX(Einheiten!$B$4:$B$63,MATCH($B1176,Einheiten!$A$4:$A$63,0))=0,"",INDEX(Einheiten!$B$4:$B$63,MATCH($B1176,Einheiten!$A$4:$A$63,0)))),"")</f>
        <v/>
      </c>
      <c r="B1176" s="54"/>
      <c r="C1176" s="79" t="str">
        <f aca="false">IFERROR(IF($D1176="","",INDEX(Übungen!$B$4:$B$23,MATCH($D1176,Übungen!$A$4:$A$23,0))),"")</f>
        <v/>
      </c>
      <c r="D1176" s="56"/>
      <c r="E1176" s="73"/>
      <c r="F1176" s="55"/>
      <c r="G1176" s="74"/>
      <c r="H1176" s="55"/>
      <c r="I1176" s="49" t="str">
        <f aca="false">IF(AND(ISNUMBER($F1176),ISNUMBER($G1176),$E1176&lt;&gt;"R"),$F1176*$G1176,"")</f>
        <v/>
      </c>
      <c r="J1176" s="51" t="str">
        <f aca="false">IF(AND($E1176="A",ISNUMBER($F1176),ISNUMBER($G1176)),$F1176*(1+$G1176/30),"")</f>
        <v/>
      </c>
      <c r="K1176" s="56"/>
      <c r="L1176" s="56"/>
    </row>
    <row r="1177" customFormat="false" ht="15.75" hidden="false" customHeight="true" outlineLevel="0" collapsed="false">
      <c r="A1177" s="78" t="str">
        <f aca="false">IFERROR(IF($B1177="","",IF(INDEX(Einheiten!$B$4:$B$63,MATCH($B1177,Einheiten!$A$4:$A$63,0))=0,"",INDEX(Einheiten!$B$4:$B$63,MATCH($B1177,Einheiten!$A$4:$A$63,0)))),"")</f>
        <v/>
      </c>
      <c r="B1177" s="54"/>
      <c r="C1177" s="79" t="str">
        <f aca="false">IFERROR(IF($D1177="","",INDEX(Übungen!$B$4:$B$23,MATCH($D1177,Übungen!$A$4:$A$23,0))),"")</f>
        <v/>
      </c>
      <c r="D1177" s="56"/>
      <c r="E1177" s="73"/>
      <c r="F1177" s="55"/>
      <c r="G1177" s="74"/>
      <c r="H1177" s="55"/>
      <c r="I1177" s="49" t="str">
        <f aca="false">IF(AND(ISNUMBER($F1177),ISNUMBER($G1177),$E1177&lt;&gt;"R"),$F1177*$G1177,"")</f>
        <v/>
      </c>
      <c r="J1177" s="51" t="str">
        <f aca="false">IF(AND($E1177="A",ISNUMBER($F1177),ISNUMBER($G1177)),$F1177*(1+$G1177/30),"")</f>
        <v/>
      </c>
      <c r="K1177" s="56"/>
      <c r="L1177" s="56"/>
    </row>
    <row r="1178" customFormat="false" ht="15.75" hidden="false" customHeight="true" outlineLevel="0" collapsed="false">
      <c r="A1178" s="78" t="str">
        <f aca="false">IFERROR(IF($B1178="","",IF(INDEX(Einheiten!$B$4:$B$63,MATCH($B1178,Einheiten!$A$4:$A$63,0))=0,"",INDEX(Einheiten!$B$4:$B$63,MATCH($B1178,Einheiten!$A$4:$A$63,0)))),"")</f>
        <v/>
      </c>
      <c r="B1178" s="54"/>
      <c r="C1178" s="79" t="str">
        <f aca="false">IFERROR(IF($D1178="","",INDEX(Übungen!$B$4:$B$23,MATCH($D1178,Übungen!$A$4:$A$23,0))),"")</f>
        <v/>
      </c>
      <c r="D1178" s="56"/>
      <c r="E1178" s="73"/>
      <c r="F1178" s="55"/>
      <c r="G1178" s="74"/>
      <c r="H1178" s="55"/>
      <c r="I1178" s="49" t="str">
        <f aca="false">IF(AND(ISNUMBER($F1178),ISNUMBER($G1178),$E1178&lt;&gt;"R"),$F1178*$G1178,"")</f>
        <v/>
      </c>
      <c r="J1178" s="51" t="str">
        <f aca="false">IF(AND($E1178="A",ISNUMBER($F1178),ISNUMBER($G1178)),$F1178*(1+$G1178/30),"")</f>
        <v/>
      </c>
      <c r="K1178" s="56"/>
      <c r="L1178" s="56"/>
    </row>
    <row r="1179" customFormat="false" ht="15.75" hidden="false" customHeight="true" outlineLevel="0" collapsed="false">
      <c r="A1179" s="78" t="str">
        <f aca="false">IFERROR(IF($B1179="","",IF(INDEX(Einheiten!$B$4:$B$63,MATCH($B1179,Einheiten!$A$4:$A$63,0))=0,"",INDEX(Einheiten!$B$4:$B$63,MATCH($B1179,Einheiten!$A$4:$A$63,0)))),"")</f>
        <v/>
      </c>
      <c r="B1179" s="54"/>
      <c r="C1179" s="79" t="str">
        <f aca="false">IFERROR(IF($D1179="","",INDEX(Übungen!$B$4:$B$23,MATCH($D1179,Übungen!$A$4:$A$23,0))),"")</f>
        <v/>
      </c>
      <c r="D1179" s="56"/>
      <c r="E1179" s="73"/>
      <c r="F1179" s="55"/>
      <c r="G1179" s="74"/>
      <c r="H1179" s="55"/>
      <c r="I1179" s="49" t="str">
        <f aca="false">IF(AND(ISNUMBER($F1179),ISNUMBER($G1179),$E1179&lt;&gt;"R"),$F1179*$G1179,"")</f>
        <v/>
      </c>
      <c r="J1179" s="51" t="str">
        <f aca="false">IF(AND($E1179="A",ISNUMBER($F1179),ISNUMBER($G1179)),$F1179*(1+$G1179/30),"")</f>
        <v/>
      </c>
      <c r="K1179" s="56"/>
      <c r="L1179" s="56"/>
    </row>
    <row r="1180" customFormat="false" ht="15.75" hidden="false" customHeight="true" outlineLevel="0" collapsed="false">
      <c r="A1180" s="78" t="str">
        <f aca="false">IFERROR(IF($B1180="","",IF(INDEX(Einheiten!$B$4:$B$63,MATCH($B1180,Einheiten!$A$4:$A$63,0))=0,"",INDEX(Einheiten!$B$4:$B$63,MATCH($B1180,Einheiten!$A$4:$A$63,0)))),"")</f>
        <v/>
      </c>
      <c r="B1180" s="54"/>
      <c r="C1180" s="79" t="str">
        <f aca="false">IFERROR(IF($D1180="","",INDEX(Übungen!$B$4:$B$23,MATCH($D1180,Übungen!$A$4:$A$23,0))),"")</f>
        <v/>
      </c>
      <c r="D1180" s="56"/>
      <c r="E1180" s="73"/>
      <c r="F1180" s="55"/>
      <c r="G1180" s="74"/>
      <c r="H1180" s="55"/>
      <c r="I1180" s="49" t="str">
        <f aca="false">IF(AND(ISNUMBER($F1180),ISNUMBER($G1180),$E1180&lt;&gt;"R"),$F1180*$G1180,"")</f>
        <v/>
      </c>
      <c r="J1180" s="51" t="str">
        <f aca="false">IF(AND($E1180="A",ISNUMBER($F1180),ISNUMBER($G1180)),$F1180*(1+$G1180/30),"")</f>
        <v/>
      </c>
      <c r="K1180" s="56"/>
      <c r="L1180" s="56"/>
    </row>
    <row r="1181" customFormat="false" ht="15.75" hidden="false" customHeight="true" outlineLevel="0" collapsed="false">
      <c r="A1181" s="78" t="str">
        <f aca="false">IFERROR(IF($B1181="","",IF(INDEX(Einheiten!$B$4:$B$63,MATCH($B1181,Einheiten!$A$4:$A$63,0))=0,"",INDEX(Einheiten!$B$4:$B$63,MATCH($B1181,Einheiten!$A$4:$A$63,0)))),"")</f>
        <v/>
      </c>
      <c r="B1181" s="54"/>
      <c r="C1181" s="79" t="str">
        <f aca="false">IFERROR(IF($D1181="","",INDEX(Übungen!$B$4:$B$23,MATCH($D1181,Übungen!$A$4:$A$23,0))),"")</f>
        <v/>
      </c>
      <c r="D1181" s="56"/>
      <c r="E1181" s="73"/>
      <c r="F1181" s="55"/>
      <c r="G1181" s="74"/>
      <c r="H1181" s="55"/>
      <c r="I1181" s="49" t="str">
        <f aca="false">IF(AND(ISNUMBER($F1181),ISNUMBER($G1181),$E1181&lt;&gt;"R"),$F1181*$G1181,"")</f>
        <v/>
      </c>
      <c r="J1181" s="51" t="str">
        <f aca="false">IF(AND($E1181="A",ISNUMBER($F1181),ISNUMBER($G1181)),$F1181*(1+$G1181/30),"")</f>
        <v/>
      </c>
      <c r="K1181" s="56"/>
      <c r="L1181" s="56"/>
    </row>
    <row r="1182" customFormat="false" ht="15.75" hidden="false" customHeight="true" outlineLevel="0" collapsed="false">
      <c r="A1182" s="78" t="str">
        <f aca="false">IFERROR(IF($B1182="","",IF(INDEX(Einheiten!$B$4:$B$63,MATCH($B1182,Einheiten!$A$4:$A$63,0))=0,"",INDEX(Einheiten!$B$4:$B$63,MATCH($B1182,Einheiten!$A$4:$A$63,0)))),"")</f>
        <v/>
      </c>
      <c r="B1182" s="54"/>
      <c r="C1182" s="79" t="str">
        <f aca="false">IFERROR(IF($D1182="","",INDEX(Übungen!$B$4:$B$23,MATCH($D1182,Übungen!$A$4:$A$23,0))),"")</f>
        <v/>
      </c>
      <c r="D1182" s="56"/>
      <c r="E1182" s="73"/>
      <c r="F1182" s="55"/>
      <c r="G1182" s="74"/>
      <c r="H1182" s="55"/>
      <c r="I1182" s="49" t="str">
        <f aca="false">IF(AND(ISNUMBER($F1182),ISNUMBER($G1182),$E1182&lt;&gt;"R"),$F1182*$G1182,"")</f>
        <v/>
      </c>
      <c r="J1182" s="51" t="str">
        <f aca="false">IF(AND($E1182="A",ISNUMBER($F1182),ISNUMBER($G1182)),$F1182*(1+$G1182/30),"")</f>
        <v/>
      </c>
      <c r="K1182" s="56"/>
      <c r="L1182" s="56"/>
    </row>
    <row r="1183" customFormat="false" ht="15.75" hidden="false" customHeight="true" outlineLevel="0" collapsed="false">
      <c r="A1183" s="78" t="str">
        <f aca="false">IFERROR(IF($B1183="","",IF(INDEX(Einheiten!$B$4:$B$63,MATCH($B1183,Einheiten!$A$4:$A$63,0))=0,"",INDEX(Einheiten!$B$4:$B$63,MATCH($B1183,Einheiten!$A$4:$A$63,0)))),"")</f>
        <v/>
      </c>
      <c r="B1183" s="54"/>
      <c r="C1183" s="79" t="str">
        <f aca="false">IFERROR(IF($D1183="","",INDEX(Übungen!$B$4:$B$23,MATCH($D1183,Übungen!$A$4:$A$23,0))),"")</f>
        <v/>
      </c>
      <c r="D1183" s="56"/>
      <c r="E1183" s="73"/>
      <c r="F1183" s="55"/>
      <c r="G1183" s="74"/>
      <c r="H1183" s="55"/>
      <c r="I1183" s="49" t="str">
        <f aca="false">IF(AND(ISNUMBER($F1183),ISNUMBER($G1183),$E1183&lt;&gt;"R"),$F1183*$G1183,"")</f>
        <v/>
      </c>
      <c r="J1183" s="51" t="str">
        <f aca="false">IF(AND($E1183="A",ISNUMBER($F1183),ISNUMBER($G1183)),$F1183*(1+$G1183/30),"")</f>
        <v/>
      </c>
      <c r="K1183" s="56"/>
      <c r="L1183" s="56"/>
    </row>
    <row r="1184" customFormat="false" ht="15.75" hidden="false" customHeight="true" outlineLevel="0" collapsed="false">
      <c r="A1184" s="78" t="str">
        <f aca="false">IFERROR(IF($B1184="","",IF(INDEX(Einheiten!$B$4:$B$63,MATCH($B1184,Einheiten!$A$4:$A$63,0))=0,"",INDEX(Einheiten!$B$4:$B$63,MATCH($B1184,Einheiten!$A$4:$A$63,0)))),"")</f>
        <v/>
      </c>
      <c r="B1184" s="54"/>
      <c r="C1184" s="79" t="str">
        <f aca="false">IFERROR(IF($D1184="","",INDEX(Übungen!$B$4:$B$23,MATCH($D1184,Übungen!$A$4:$A$23,0))),"")</f>
        <v/>
      </c>
      <c r="D1184" s="56"/>
      <c r="E1184" s="73"/>
      <c r="F1184" s="55"/>
      <c r="G1184" s="74"/>
      <c r="H1184" s="55"/>
      <c r="I1184" s="49" t="str">
        <f aca="false">IF(AND(ISNUMBER($F1184),ISNUMBER($G1184),$E1184&lt;&gt;"R"),$F1184*$G1184,"")</f>
        <v/>
      </c>
      <c r="J1184" s="51" t="str">
        <f aca="false">IF(AND($E1184="A",ISNUMBER($F1184),ISNUMBER($G1184)),$F1184*(1+$G1184/30),"")</f>
        <v/>
      </c>
      <c r="K1184" s="56"/>
      <c r="L1184" s="56"/>
    </row>
    <row r="1185" customFormat="false" ht="15.75" hidden="false" customHeight="true" outlineLevel="0" collapsed="false">
      <c r="A1185" s="78" t="str">
        <f aca="false">IFERROR(IF($B1185="","",IF(INDEX(Einheiten!$B$4:$B$63,MATCH($B1185,Einheiten!$A$4:$A$63,0))=0,"",INDEX(Einheiten!$B$4:$B$63,MATCH($B1185,Einheiten!$A$4:$A$63,0)))),"")</f>
        <v/>
      </c>
      <c r="B1185" s="54"/>
      <c r="C1185" s="79" t="str">
        <f aca="false">IFERROR(IF($D1185="","",INDEX(Übungen!$B$4:$B$23,MATCH($D1185,Übungen!$A$4:$A$23,0))),"")</f>
        <v/>
      </c>
      <c r="D1185" s="56"/>
      <c r="E1185" s="73"/>
      <c r="F1185" s="55"/>
      <c r="G1185" s="74"/>
      <c r="H1185" s="55"/>
      <c r="I1185" s="49" t="str">
        <f aca="false">IF(AND(ISNUMBER($F1185),ISNUMBER($G1185),$E1185&lt;&gt;"R"),$F1185*$G1185,"")</f>
        <v/>
      </c>
      <c r="J1185" s="51" t="str">
        <f aca="false">IF(AND($E1185="A",ISNUMBER($F1185),ISNUMBER($G1185)),$F1185*(1+$G1185/30),"")</f>
        <v/>
      </c>
      <c r="K1185" s="56"/>
      <c r="L1185" s="56"/>
    </row>
    <row r="1186" customFormat="false" ht="15.75" hidden="false" customHeight="true" outlineLevel="0" collapsed="false">
      <c r="A1186" s="78" t="str">
        <f aca="false">IFERROR(IF($B1186="","",IF(INDEX(Einheiten!$B$4:$B$63,MATCH($B1186,Einheiten!$A$4:$A$63,0))=0,"",INDEX(Einheiten!$B$4:$B$63,MATCH($B1186,Einheiten!$A$4:$A$63,0)))),"")</f>
        <v/>
      </c>
      <c r="B1186" s="54"/>
      <c r="C1186" s="79" t="str">
        <f aca="false">IFERROR(IF($D1186="","",INDEX(Übungen!$B$4:$B$23,MATCH($D1186,Übungen!$A$4:$A$23,0))),"")</f>
        <v/>
      </c>
      <c r="D1186" s="56"/>
      <c r="E1186" s="73"/>
      <c r="F1186" s="55"/>
      <c r="G1186" s="74"/>
      <c r="H1186" s="55"/>
      <c r="I1186" s="49" t="str">
        <f aca="false">IF(AND(ISNUMBER($F1186),ISNUMBER($G1186),$E1186&lt;&gt;"R"),$F1186*$G1186,"")</f>
        <v/>
      </c>
      <c r="J1186" s="51" t="str">
        <f aca="false">IF(AND($E1186="A",ISNUMBER($F1186),ISNUMBER($G1186)),$F1186*(1+$G1186/30),"")</f>
        <v/>
      </c>
      <c r="K1186" s="56"/>
      <c r="L1186" s="56"/>
    </row>
    <row r="1187" customFormat="false" ht="15.75" hidden="false" customHeight="true" outlineLevel="0" collapsed="false">
      <c r="A1187" s="78" t="str">
        <f aca="false">IFERROR(IF($B1187="","",IF(INDEX(Einheiten!$B$4:$B$63,MATCH($B1187,Einheiten!$A$4:$A$63,0))=0,"",INDEX(Einheiten!$B$4:$B$63,MATCH($B1187,Einheiten!$A$4:$A$63,0)))),"")</f>
        <v/>
      </c>
      <c r="B1187" s="54"/>
      <c r="C1187" s="79" t="str">
        <f aca="false">IFERROR(IF($D1187="","",INDEX(Übungen!$B$4:$B$23,MATCH($D1187,Übungen!$A$4:$A$23,0))),"")</f>
        <v/>
      </c>
      <c r="D1187" s="56"/>
      <c r="E1187" s="73"/>
      <c r="F1187" s="55"/>
      <c r="G1187" s="74"/>
      <c r="H1187" s="55"/>
      <c r="I1187" s="49" t="str">
        <f aca="false">IF(AND(ISNUMBER($F1187),ISNUMBER($G1187),$E1187&lt;&gt;"R"),$F1187*$G1187,"")</f>
        <v/>
      </c>
      <c r="J1187" s="51" t="str">
        <f aca="false">IF(AND($E1187="A",ISNUMBER($F1187),ISNUMBER($G1187)),$F1187*(1+$G1187/30),"")</f>
        <v/>
      </c>
      <c r="K1187" s="56"/>
      <c r="L1187" s="56"/>
    </row>
    <row r="1188" customFormat="false" ht="15.75" hidden="false" customHeight="true" outlineLevel="0" collapsed="false">
      <c r="A1188" s="78" t="str">
        <f aca="false">IFERROR(IF($B1188="","",IF(INDEX(Einheiten!$B$4:$B$63,MATCH($B1188,Einheiten!$A$4:$A$63,0))=0,"",INDEX(Einheiten!$B$4:$B$63,MATCH($B1188,Einheiten!$A$4:$A$63,0)))),"")</f>
        <v/>
      </c>
      <c r="B1188" s="54"/>
      <c r="C1188" s="79" t="str">
        <f aca="false">IFERROR(IF($D1188="","",INDEX(Übungen!$B$4:$B$23,MATCH($D1188,Übungen!$A$4:$A$23,0))),"")</f>
        <v/>
      </c>
      <c r="D1188" s="56"/>
      <c r="E1188" s="73"/>
      <c r="F1188" s="55"/>
      <c r="G1188" s="74"/>
      <c r="H1188" s="55"/>
      <c r="I1188" s="49" t="str">
        <f aca="false">IF(AND(ISNUMBER($F1188),ISNUMBER($G1188),$E1188&lt;&gt;"R"),$F1188*$G1188,"")</f>
        <v/>
      </c>
      <c r="J1188" s="51" t="str">
        <f aca="false">IF(AND($E1188="A",ISNUMBER($F1188),ISNUMBER($G1188)),$F1188*(1+$G1188/30),"")</f>
        <v/>
      </c>
      <c r="K1188" s="56"/>
      <c r="L1188" s="56"/>
    </row>
    <row r="1189" customFormat="false" ht="15.75" hidden="false" customHeight="true" outlineLevel="0" collapsed="false">
      <c r="A1189" s="78" t="str">
        <f aca="false">IFERROR(IF($B1189="","",IF(INDEX(Einheiten!$B$4:$B$63,MATCH($B1189,Einheiten!$A$4:$A$63,0))=0,"",INDEX(Einheiten!$B$4:$B$63,MATCH($B1189,Einheiten!$A$4:$A$63,0)))),"")</f>
        <v/>
      </c>
      <c r="B1189" s="54"/>
      <c r="C1189" s="79" t="str">
        <f aca="false">IFERROR(IF($D1189="","",INDEX(Übungen!$B$4:$B$23,MATCH($D1189,Übungen!$A$4:$A$23,0))),"")</f>
        <v/>
      </c>
      <c r="D1189" s="56"/>
      <c r="E1189" s="73"/>
      <c r="F1189" s="55"/>
      <c r="G1189" s="74"/>
      <c r="H1189" s="55"/>
      <c r="I1189" s="49" t="str">
        <f aca="false">IF(AND(ISNUMBER($F1189),ISNUMBER($G1189),$E1189&lt;&gt;"R"),$F1189*$G1189,"")</f>
        <v/>
      </c>
      <c r="J1189" s="51" t="str">
        <f aca="false">IF(AND($E1189="A",ISNUMBER($F1189),ISNUMBER($G1189)),$F1189*(1+$G1189/30),"")</f>
        <v/>
      </c>
      <c r="K1189" s="56"/>
      <c r="L1189" s="56"/>
    </row>
    <row r="1190" customFormat="false" ht="15.75" hidden="false" customHeight="true" outlineLevel="0" collapsed="false">
      <c r="A1190" s="78" t="str">
        <f aca="false">IFERROR(IF($B1190="","",IF(INDEX(Einheiten!$B$4:$B$63,MATCH($B1190,Einheiten!$A$4:$A$63,0))=0,"",INDEX(Einheiten!$B$4:$B$63,MATCH($B1190,Einheiten!$A$4:$A$63,0)))),"")</f>
        <v/>
      </c>
      <c r="B1190" s="54"/>
      <c r="C1190" s="79" t="str">
        <f aca="false">IFERROR(IF($D1190="","",INDEX(Übungen!$B$4:$B$23,MATCH($D1190,Übungen!$A$4:$A$23,0))),"")</f>
        <v/>
      </c>
      <c r="D1190" s="56"/>
      <c r="E1190" s="73"/>
      <c r="F1190" s="55"/>
      <c r="G1190" s="74"/>
      <c r="H1190" s="55"/>
      <c r="I1190" s="49" t="str">
        <f aca="false">IF(AND(ISNUMBER($F1190),ISNUMBER($G1190),$E1190&lt;&gt;"R"),$F1190*$G1190,"")</f>
        <v/>
      </c>
      <c r="J1190" s="51" t="str">
        <f aca="false">IF(AND($E1190="A",ISNUMBER($F1190),ISNUMBER($G1190)),$F1190*(1+$G1190/30),"")</f>
        <v/>
      </c>
      <c r="K1190" s="56"/>
      <c r="L1190" s="56"/>
    </row>
    <row r="1191" customFormat="false" ht="15.75" hidden="false" customHeight="true" outlineLevel="0" collapsed="false">
      <c r="A1191" s="78" t="str">
        <f aca="false">IFERROR(IF($B1191="","",IF(INDEX(Einheiten!$B$4:$B$63,MATCH($B1191,Einheiten!$A$4:$A$63,0))=0,"",INDEX(Einheiten!$B$4:$B$63,MATCH($B1191,Einheiten!$A$4:$A$63,0)))),"")</f>
        <v/>
      </c>
      <c r="B1191" s="54"/>
      <c r="C1191" s="79" t="str">
        <f aca="false">IFERROR(IF($D1191="","",INDEX(Übungen!$B$4:$B$23,MATCH($D1191,Übungen!$A$4:$A$23,0))),"")</f>
        <v/>
      </c>
      <c r="D1191" s="56"/>
      <c r="E1191" s="73"/>
      <c r="F1191" s="55"/>
      <c r="G1191" s="74"/>
      <c r="H1191" s="55"/>
      <c r="I1191" s="49" t="str">
        <f aca="false">IF(AND(ISNUMBER($F1191),ISNUMBER($G1191),$E1191&lt;&gt;"R"),$F1191*$G1191,"")</f>
        <v/>
      </c>
      <c r="J1191" s="51" t="str">
        <f aca="false">IF(AND($E1191="A",ISNUMBER($F1191),ISNUMBER($G1191)),$F1191*(1+$G1191/30),"")</f>
        <v/>
      </c>
      <c r="K1191" s="56"/>
      <c r="L1191" s="56"/>
    </row>
    <row r="1192" customFormat="false" ht="15.75" hidden="false" customHeight="true" outlineLevel="0" collapsed="false">
      <c r="A1192" s="78" t="str">
        <f aca="false">IFERROR(IF($B1192="","",IF(INDEX(Einheiten!$B$4:$B$63,MATCH($B1192,Einheiten!$A$4:$A$63,0))=0,"",INDEX(Einheiten!$B$4:$B$63,MATCH($B1192,Einheiten!$A$4:$A$63,0)))),"")</f>
        <v/>
      </c>
      <c r="B1192" s="54"/>
      <c r="C1192" s="79" t="str">
        <f aca="false">IFERROR(IF($D1192="","",INDEX(Übungen!$B$4:$B$23,MATCH($D1192,Übungen!$A$4:$A$23,0))),"")</f>
        <v/>
      </c>
      <c r="D1192" s="56"/>
      <c r="E1192" s="73"/>
      <c r="F1192" s="55"/>
      <c r="G1192" s="74"/>
      <c r="H1192" s="55"/>
      <c r="I1192" s="49" t="str">
        <f aca="false">IF(AND(ISNUMBER($F1192),ISNUMBER($G1192),$E1192&lt;&gt;"R"),$F1192*$G1192,"")</f>
        <v/>
      </c>
      <c r="J1192" s="51" t="str">
        <f aca="false">IF(AND($E1192="A",ISNUMBER($F1192),ISNUMBER($G1192)),$F1192*(1+$G1192/30),"")</f>
        <v/>
      </c>
      <c r="K1192" s="56"/>
      <c r="L1192" s="56"/>
    </row>
    <row r="1193" customFormat="false" ht="15.75" hidden="false" customHeight="true" outlineLevel="0" collapsed="false">
      <c r="A1193" s="78" t="str">
        <f aca="false">IFERROR(IF($B1193="","",IF(INDEX(Einheiten!$B$4:$B$63,MATCH($B1193,Einheiten!$A$4:$A$63,0))=0,"",INDEX(Einheiten!$B$4:$B$63,MATCH($B1193,Einheiten!$A$4:$A$63,0)))),"")</f>
        <v/>
      </c>
      <c r="B1193" s="54"/>
      <c r="C1193" s="79" t="str">
        <f aca="false">IFERROR(IF($D1193="","",INDEX(Übungen!$B$4:$B$23,MATCH($D1193,Übungen!$A$4:$A$23,0))),"")</f>
        <v/>
      </c>
      <c r="D1193" s="56"/>
      <c r="E1193" s="73"/>
      <c r="F1193" s="55"/>
      <c r="G1193" s="74"/>
      <c r="H1193" s="55"/>
      <c r="I1193" s="49" t="str">
        <f aca="false">IF(AND(ISNUMBER($F1193),ISNUMBER($G1193),$E1193&lt;&gt;"R"),$F1193*$G1193,"")</f>
        <v/>
      </c>
      <c r="J1193" s="51" t="str">
        <f aca="false">IF(AND($E1193="A",ISNUMBER($F1193),ISNUMBER($G1193)),$F1193*(1+$G1193/30),"")</f>
        <v/>
      </c>
      <c r="K1193" s="56"/>
      <c r="L1193" s="56"/>
    </row>
    <row r="1194" customFormat="false" ht="15.75" hidden="false" customHeight="true" outlineLevel="0" collapsed="false">
      <c r="A1194" s="78" t="str">
        <f aca="false">IFERROR(IF($B1194="","",IF(INDEX(Einheiten!$B$4:$B$63,MATCH($B1194,Einheiten!$A$4:$A$63,0))=0,"",INDEX(Einheiten!$B$4:$B$63,MATCH($B1194,Einheiten!$A$4:$A$63,0)))),"")</f>
        <v/>
      </c>
      <c r="B1194" s="54"/>
      <c r="C1194" s="79" t="str">
        <f aca="false">IFERROR(IF($D1194="","",INDEX(Übungen!$B$4:$B$23,MATCH($D1194,Übungen!$A$4:$A$23,0))),"")</f>
        <v/>
      </c>
      <c r="D1194" s="56"/>
      <c r="E1194" s="73"/>
      <c r="F1194" s="55"/>
      <c r="G1194" s="74"/>
      <c r="H1194" s="55"/>
      <c r="I1194" s="49" t="str">
        <f aca="false">IF(AND(ISNUMBER($F1194),ISNUMBER($G1194),$E1194&lt;&gt;"R"),$F1194*$G1194,"")</f>
        <v/>
      </c>
      <c r="J1194" s="51" t="str">
        <f aca="false">IF(AND($E1194="A",ISNUMBER($F1194),ISNUMBER($G1194)),$F1194*(1+$G1194/30),"")</f>
        <v/>
      </c>
      <c r="K1194" s="56"/>
      <c r="L1194" s="56"/>
    </row>
    <row r="1195" customFormat="false" ht="15.75" hidden="false" customHeight="true" outlineLevel="0" collapsed="false">
      <c r="A1195" s="78" t="str">
        <f aca="false">IFERROR(IF($B1195="","",IF(INDEX(Einheiten!$B$4:$B$63,MATCH($B1195,Einheiten!$A$4:$A$63,0))=0,"",INDEX(Einheiten!$B$4:$B$63,MATCH($B1195,Einheiten!$A$4:$A$63,0)))),"")</f>
        <v/>
      </c>
      <c r="B1195" s="54"/>
      <c r="C1195" s="79" t="str">
        <f aca="false">IFERROR(IF($D1195="","",INDEX(Übungen!$B$4:$B$23,MATCH($D1195,Übungen!$A$4:$A$23,0))),"")</f>
        <v/>
      </c>
      <c r="D1195" s="56"/>
      <c r="E1195" s="73"/>
      <c r="F1195" s="55"/>
      <c r="G1195" s="74"/>
      <c r="H1195" s="55"/>
      <c r="I1195" s="49" t="str">
        <f aca="false">IF(AND(ISNUMBER($F1195),ISNUMBER($G1195),$E1195&lt;&gt;"R"),$F1195*$G1195,"")</f>
        <v/>
      </c>
      <c r="J1195" s="51" t="str">
        <f aca="false">IF(AND($E1195="A",ISNUMBER($F1195),ISNUMBER($G1195)),$F1195*(1+$G1195/30),"")</f>
        <v/>
      </c>
      <c r="K1195" s="56"/>
      <c r="L1195" s="56"/>
    </row>
    <row r="1196" customFormat="false" ht="15.75" hidden="false" customHeight="true" outlineLevel="0" collapsed="false">
      <c r="A1196" s="78" t="str">
        <f aca="false">IFERROR(IF($B1196="","",IF(INDEX(Einheiten!$B$4:$B$63,MATCH($B1196,Einheiten!$A$4:$A$63,0))=0,"",INDEX(Einheiten!$B$4:$B$63,MATCH($B1196,Einheiten!$A$4:$A$63,0)))),"")</f>
        <v/>
      </c>
      <c r="B1196" s="54"/>
      <c r="C1196" s="79" t="str">
        <f aca="false">IFERROR(IF($D1196="","",INDEX(Übungen!$B$4:$B$23,MATCH($D1196,Übungen!$A$4:$A$23,0))),"")</f>
        <v/>
      </c>
      <c r="D1196" s="56"/>
      <c r="E1196" s="73"/>
      <c r="F1196" s="55"/>
      <c r="G1196" s="74"/>
      <c r="H1196" s="55"/>
      <c r="I1196" s="49" t="str">
        <f aca="false">IF(AND(ISNUMBER($F1196),ISNUMBER($G1196),$E1196&lt;&gt;"R"),$F1196*$G1196,"")</f>
        <v/>
      </c>
      <c r="J1196" s="51" t="str">
        <f aca="false">IF(AND($E1196="A",ISNUMBER($F1196),ISNUMBER($G1196)),$F1196*(1+$G1196/30),"")</f>
        <v/>
      </c>
      <c r="K1196" s="56"/>
      <c r="L1196" s="56"/>
    </row>
    <row r="1197" customFormat="false" ht="15.75" hidden="false" customHeight="true" outlineLevel="0" collapsed="false">
      <c r="A1197" s="78" t="str">
        <f aca="false">IFERROR(IF($B1197="","",IF(INDEX(Einheiten!$B$4:$B$63,MATCH($B1197,Einheiten!$A$4:$A$63,0))=0,"",INDEX(Einheiten!$B$4:$B$63,MATCH($B1197,Einheiten!$A$4:$A$63,0)))),"")</f>
        <v/>
      </c>
      <c r="B1197" s="54"/>
      <c r="C1197" s="79" t="str">
        <f aca="false">IFERROR(IF($D1197="","",INDEX(Übungen!$B$4:$B$23,MATCH($D1197,Übungen!$A$4:$A$23,0))),"")</f>
        <v/>
      </c>
      <c r="D1197" s="56"/>
      <c r="E1197" s="73"/>
      <c r="F1197" s="55"/>
      <c r="G1197" s="74"/>
      <c r="H1197" s="55"/>
      <c r="I1197" s="49" t="str">
        <f aca="false">IF(AND(ISNUMBER($F1197),ISNUMBER($G1197),$E1197&lt;&gt;"R"),$F1197*$G1197,"")</f>
        <v/>
      </c>
      <c r="J1197" s="51" t="str">
        <f aca="false">IF(AND($E1197="A",ISNUMBER($F1197),ISNUMBER($G1197)),$F1197*(1+$G1197/30),"")</f>
        <v/>
      </c>
      <c r="K1197" s="56"/>
      <c r="L1197" s="56"/>
    </row>
    <row r="1198" customFormat="false" ht="15.75" hidden="false" customHeight="true" outlineLevel="0" collapsed="false">
      <c r="A1198" s="78" t="str">
        <f aca="false">IFERROR(IF($B1198="","",IF(INDEX(Einheiten!$B$4:$B$63,MATCH($B1198,Einheiten!$A$4:$A$63,0))=0,"",INDEX(Einheiten!$B$4:$B$63,MATCH($B1198,Einheiten!$A$4:$A$63,0)))),"")</f>
        <v/>
      </c>
      <c r="B1198" s="54"/>
      <c r="C1198" s="79" t="str">
        <f aca="false">IFERROR(IF($D1198="","",INDEX(Übungen!$B$4:$B$23,MATCH($D1198,Übungen!$A$4:$A$23,0))),"")</f>
        <v/>
      </c>
      <c r="D1198" s="56"/>
      <c r="E1198" s="73"/>
      <c r="F1198" s="55"/>
      <c r="G1198" s="74"/>
      <c r="H1198" s="55"/>
      <c r="I1198" s="49" t="str">
        <f aca="false">IF(AND(ISNUMBER($F1198),ISNUMBER($G1198),$E1198&lt;&gt;"R"),$F1198*$G1198,"")</f>
        <v/>
      </c>
      <c r="J1198" s="51" t="str">
        <f aca="false">IF(AND($E1198="A",ISNUMBER($F1198),ISNUMBER($G1198)),$F1198*(1+$G1198/30),"")</f>
        <v/>
      </c>
      <c r="K1198" s="56"/>
      <c r="L1198" s="56"/>
    </row>
    <row r="1199" customFormat="false" ht="15.75" hidden="false" customHeight="true" outlineLevel="0" collapsed="false">
      <c r="A1199" s="78" t="str">
        <f aca="false">IFERROR(IF($B1199="","",IF(INDEX(Einheiten!$B$4:$B$63,MATCH($B1199,Einheiten!$A$4:$A$63,0))=0,"",INDEX(Einheiten!$B$4:$B$63,MATCH($B1199,Einheiten!$A$4:$A$63,0)))),"")</f>
        <v/>
      </c>
      <c r="B1199" s="54"/>
      <c r="C1199" s="79" t="str">
        <f aca="false">IFERROR(IF($D1199="","",INDEX(Übungen!$B$4:$B$23,MATCH($D1199,Übungen!$A$4:$A$23,0))),"")</f>
        <v/>
      </c>
      <c r="D1199" s="56"/>
      <c r="E1199" s="73"/>
      <c r="F1199" s="55"/>
      <c r="G1199" s="74"/>
      <c r="H1199" s="55"/>
      <c r="I1199" s="49" t="str">
        <f aca="false">IF(AND(ISNUMBER($F1199),ISNUMBER($G1199),$E1199&lt;&gt;"R"),$F1199*$G1199,"")</f>
        <v/>
      </c>
      <c r="J1199" s="51" t="str">
        <f aca="false">IF(AND($E1199="A",ISNUMBER($F1199),ISNUMBER($G1199)),$F1199*(1+$G1199/30),"")</f>
        <v/>
      </c>
      <c r="K1199" s="56"/>
      <c r="L1199" s="56"/>
    </row>
    <row r="1200" customFormat="false" ht="15.75" hidden="false" customHeight="true" outlineLevel="0" collapsed="false">
      <c r="A1200" s="78" t="str">
        <f aca="false">IFERROR(IF($B1200="","",IF(INDEX(Einheiten!$B$4:$B$63,MATCH($B1200,Einheiten!$A$4:$A$63,0))=0,"",INDEX(Einheiten!$B$4:$B$63,MATCH($B1200,Einheiten!$A$4:$A$63,0)))),"")</f>
        <v/>
      </c>
      <c r="B1200" s="54"/>
      <c r="C1200" s="79" t="str">
        <f aca="false">IFERROR(IF($D1200="","",INDEX(Übungen!$B$4:$B$23,MATCH($D1200,Übungen!$A$4:$A$23,0))),"")</f>
        <v/>
      </c>
      <c r="D1200" s="56"/>
      <c r="E1200" s="73"/>
      <c r="F1200" s="55"/>
      <c r="G1200" s="74"/>
      <c r="H1200" s="55"/>
      <c r="I1200" s="49" t="str">
        <f aca="false">IF(AND(ISNUMBER($F1200),ISNUMBER($G1200),$E1200&lt;&gt;"R"),$F1200*$G1200,"")</f>
        <v/>
      </c>
      <c r="J1200" s="51" t="str">
        <f aca="false">IF(AND($E1200="A",ISNUMBER($F1200),ISNUMBER($G1200)),$F1200*(1+$G1200/30),"")</f>
        <v/>
      </c>
      <c r="K1200" s="56"/>
      <c r="L1200" s="56"/>
    </row>
    <row r="1201" customFormat="false" ht="15.75" hidden="false" customHeight="true" outlineLevel="0" collapsed="false">
      <c r="A1201" s="78" t="str">
        <f aca="false">IFERROR(IF($B1201="","",IF(INDEX(Einheiten!$B$4:$B$63,MATCH($B1201,Einheiten!$A$4:$A$63,0))=0,"",INDEX(Einheiten!$B$4:$B$63,MATCH($B1201,Einheiten!$A$4:$A$63,0)))),"")</f>
        <v/>
      </c>
      <c r="B1201" s="54"/>
      <c r="C1201" s="79" t="str">
        <f aca="false">IFERROR(IF($D1201="","",INDEX(Übungen!$B$4:$B$23,MATCH($D1201,Übungen!$A$4:$A$23,0))),"")</f>
        <v/>
      </c>
      <c r="D1201" s="56"/>
      <c r="E1201" s="73"/>
      <c r="F1201" s="55"/>
      <c r="G1201" s="74"/>
      <c r="H1201" s="55"/>
      <c r="I1201" s="49" t="str">
        <f aca="false">IF(AND(ISNUMBER($F1201),ISNUMBER($G1201),$E1201&lt;&gt;"R"),$F1201*$G1201,"")</f>
        <v/>
      </c>
      <c r="J1201" s="51" t="str">
        <f aca="false">IF(AND($E1201="A",ISNUMBER($F1201),ISNUMBER($G1201)),$F1201*(1+$G1201/30),"")</f>
        <v/>
      </c>
      <c r="K1201" s="56"/>
      <c r="L1201" s="56"/>
    </row>
    <row r="1202" customFormat="false" ht="15.75" hidden="false" customHeight="true" outlineLevel="0" collapsed="false">
      <c r="A1202" s="78" t="str">
        <f aca="false">IFERROR(IF($B1202="","",IF(INDEX(Einheiten!$B$4:$B$63,MATCH($B1202,Einheiten!$A$4:$A$63,0))=0,"",INDEX(Einheiten!$B$4:$B$63,MATCH($B1202,Einheiten!$A$4:$A$63,0)))),"")</f>
        <v/>
      </c>
      <c r="B1202" s="54"/>
      <c r="C1202" s="79" t="str">
        <f aca="false">IFERROR(IF($D1202="","",INDEX(Übungen!$B$4:$B$23,MATCH($D1202,Übungen!$A$4:$A$23,0))),"")</f>
        <v/>
      </c>
      <c r="D1202" s="56"/>
      <c r="E1202" s="73"/>
      <c r="F1202" s="55"/>
      <c r="G1202" s="74"/>
      <c r="H1202" s="55"/>
      <c r="I1202" s="49" t="str">
        <f aca="false">IF(AND(ISNUMBER($F1202),ISNUMBER($G1202),$E1202&lt;&gt;"R"),$F1202*$G1202,"")</f>
        <v/>
      </c>
      <c r="J1202" s="51" t="str">
        <f aca="false">IF(AND($E1202="A",ISNUMBER($F1202),ISNUMBER($G1202)),$F1202*(1+$G1202/30),"")</f>
        <v/>
      </c>
      <c r="K1202" s="56"/>
      <c r="L1202" s="56"/>
    </row>
    <row r="1203" customFormat="false" ht="15.75" hidden="false" customHeight="true" outlineLevel="0" collapsed="false">
      <c r="A1203" s="78" t="str">
        <f aca="false">IFERROR(IF($B1203="","",IF(INDEX(Einheiten!$B$4:$B$63,MATCH($B1203,Einheiten!$A$4:$A$63,0))=0,"",INDEX(Einheiten!$B$4:$B$63,MATCH($B1203,Einheiten!$A$4:$A$63,0)))),"")</f>
        <v/>
      </c>
      <c r="B1203" s="54"/>
      <c r="C1203" s="79" t="str">
        <f aca="false">IFERROR(IF($D1203="","",INDEX(Übungen!$B$4:$B$23,MATCH($D1203,Übungen!$A$4:$A$23,0))),"")</f>
        <v/>
      </c>
      <c r="D1203" s="56"/>
      <c r="E1203" s="73"/>
      <c r="F1203" s="55"/>
      <c r="G1203" s="74"/>
      <c r="H1203" s="55"/>
      <c r="I1203" s="49" t="str">
        <f aca="false">IF(AND(ISNUMBER($F1203),ISNUMBER($G1203),$E1203&lt;&gt;"R"),$F1203*$G1203,"")</f>
        <v/>
      </c>
      <c r="J1203" s="51" t="str">
        <f aca="false">IF(AND($E1203="A",ISNUMBER($F1203),ISNUMBER($G1203)),$F1203*(1+$G1203/30),"")</f>
        <v/>
      </c>
      <c r="K1203" s="56"/>
      <c r="L1203" s="56"/>
    </row>
  </sheetData>
  <autoFilter ref="A3:L1203"/>
  <mergeCells count="2">
    <mergeCell ref="A1:L1"/>
    <mergeCell ref="A2:L2"/>
  </mergeCells>
  <conditionalFormatting sqref="A4:L1203">
    <cfRule type="expression" priority="2" aboveAverage="0" equalAverage="0" bottom="0" percent="0" rank="0" text="" dxfId="12">
      <formula>$E4="A"</formula>
    </cfRule>
    <cfRule type="expression" priority="3" aboveAverage="0" equalAverage="0" bottom="0" percent="0" rank="0" text="" dxfId="13">
      <formula>$E4="R"</formula>
    </cfRule>
  </conditionalFormatting>
  <dataValidations count="3">
    <dataValidation allowBlank="true" error="Bitte eine Übung aus dem Blatt 'Übungen' wählen." errorStyle="stop" errorTitle="Unbekannte Übung" operator="between" showDropDown="false" showErrorMessage="false" showInputMessage="false" sqref="D4:D1203" type="list">
      <formula1>Übungen!$A$4:$A$23</formula1>
      <formula2>0</formula2>
    </dataValidation>
    <dataValidation allowBlank="true" error="W = Warmup, A = Arbeitssatz, R = Reduktionssatz" errorStyle="stop" errorTitle="Satztyp" operator="between" showDropDown="false" showErrorMessage="false" showInputMessage="false" sqref="E4:E1203" type="list">
      <formula1>"W,A,R"</formula1>
      <formula2>0</formula2>
    </dataValidation>
    <dataValidation allowBlank="true" error="RPE zwischen 5 und 10 eintragen." errorStyle="stop" errorTitle="RPE" operator="between" showDropDown="false" showErrorMessage="false" showInputMessage="false" sqref="H4:H1203" type="decimal">
      <formula1>5</formula1>
      <formula2>10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&amp;K808080Log</oddHeader>
    <oddFooter>&amp;L&amp;8 &amp;K808080Grün = Arbeitssatz · Violett = Reduktionssatz&amp;R&amp;8 &amp;K808080Seite &amp;P von &amp;N</oddFooter>
  </headerFooter>
  <drawing r:id="rId2"/>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4"/>
    <col collapsed="false" customWidth="true" hidden="false" outlineLevel="0" max="18" min="18" style="0" width="12"/>
  </cols>
  <sheetData>
    <row r="1" customFormat="false" ht="30" hidden="false" customHeight="true" outlineLevel="0" collapsed="false">
      <c r="A1" s="1" t="s">
        <v>501</v>
      </c>
      <c r="B1" s="1"/>
      <c r="C1" s="1"/>
      <c r="D1" s="1"/>
      <c r="E1" s="1"/>
      <c r="F1" s="1"/>
      <c r="G1" s="1"/>
      <c r="H1" s="1"/>
      <c r="I1" s="1"/>
      <c r="J1" s="1"/>
      <c r="K1" s="1"/>
      <c r="L1" s="1"/>
      <c r="M1" s="1"/>
      <c r="N1" s="1"/>
      <c r="O1" s="1"/>
      <c r="P1" s="1"/>
      <c r="Q1" s="1"/>
      <c r="R1" s="1"/>
    </row>
    <row r="2" customFormat="false" ht="15" hidden="false" customHeight="true" outlineLevel="0" collapsed="false">
      <c r="A2" s="2" t="s">
        <v>502</v>
      </c>
      <c r="B2" s="2"/>
      <c r="C2" s="2"/>
      <c r="D2" s="2"/>
      <c r="E2" s="2"/>
      <c r="F2" s="2"/>
      <c r="G2" s="2"/>
      <c r="H2" s="2"/>
      <c r="I2" s="2"/>
      <c r="J2" s="2"/>
      <c r="K2" s="2"/>
      <c r="L2" s="2"/>
      <c r="M2" s="2"/>
      <c r="N2" s="2"/>
      <c r="O2" s="2"/>
      <c r="P2" s="2"/>
      <c r="Q2" s="2"/>
      <c r="R2" s="2"/>
    </row>
    <row r="3" customFormat="false" ht="18" hidden="false" customHeight="true" outlineLevel="0" collapsed="false">
      <c r="A3" s="30" t="s">
        <v>503</v>
      </c>
      <c r="B3" s="80" t="n">
        <v>1</v>
      </c>
      <c r="C3" s="81" t="str">
        <f aca="false">"zeigt Einheit "&amp;$B$3&amp;" bis "&amp;($B$3+15)&amp;".  Zahl links ändern, um weiter zu blättern - die Spalte ganz rechts rechnet immer über alle Einheiten."</f>
        <v>zeigt Einheit 1 bis 16.  Zahl links ändern, um weiter zu blättern - die Spalte ganz rechts rechnet immer über alle Einheiten.</v>
      </c>
      <c r="D3" s="81"/>
      <c r="E3" s="81"/>
      <c r="F3" s="81"/>
      <c r="G3" s="81"/>
      <c r="H3" s="81"/>
      <c r="I3" s="81"/>
      <c r="J3" s="81"/>
      <c r="K3" s="81"/>
      <c r="L3" s="81"/>
      <c r="M3" s="81"/>
      <c r="N3" s="81"/>
      <c r="O3" s="81"/>
      <c r="P3" s="81"/>
      <c r="Q3" s="81"/>
      <c r="R3" s="81"/>
    </row>
    <row r="4" customFormat="false" ht="19.5" hidden="false" customHeight="true" outlineLevel="0" collapsed="false">
      <c r="A4" s="3" t="s">
        <v>504</v>
      </c>
      <c r="B4" s="3"/>
      <c r="C4" s="3"/>
      <c r="D4" s="3"/>
      <c r="E4" s="3"/>
      <c r="F4" s="3"/>
      <c r="G4" s="3"/>
      <c r="H4" s="3"/>
      <c r="I4" s="3"/>
      <c r="J4" s="3"/>
      <c r="K4" s="3"/>
      <c r="L4" s="3"/>
      <c r="M4" s="3"/>
      <c r="N4" s="3"/>
      <c r="O4" s="3"/>
      <c r="P4" s="3"/>
      <c r="Q4" s="3"/>
      <c r="R4" s="3"/>
    </row>
    <row r="5" customFormat="false" ht="21.75" hidden="false" customHeight="true" outlineLevel="0" collapsed="false">
      <c r="A5" s="13" t="s">
        <v>170</v>
      </c>
      <c r="B5" s="82" t="n">
        <f aca="false">$B$3</f>
        <v>1</v>
      </c>
      <c r="C5" s="82" t="n">
        <f aca="false">B5+1</f>
        <v>2</v>
      </c>
      <c r="D5" s="82" t="n">
        <f aca="false">C5+1</f>
        <v>3</v>
      </c>
      <c r="E5" s="82" t="n">
        <f aca="false">D5+1</f>
        <v>4</v>
      </c>
      <c r="F5" s="82" t="n">
        <f aca="false">E5+1</f>
        <v>5</v>
      </c>
      <c r="G5" s="82" t="n">
        <f aca="false">F5+1</f>
        <v>6</v>
      </c>
      <c r="H5" s="82" t="n">
        <f aca="false">G5+1</f>
        <v>7</v>
      </c>
      <c r="I5" s="82" t="n">
        <f aca="false">H5+1</f>
        <v>8</v>
      </c>
      <c r="J5" s="82" t="n">
        <f aca="false">I5+1</f>
        <v>9</v>
      </c>
      <c r="K5" s="82" t="n">
        <f aca="false">J5+1</f>
        <v>10</v>
      </c>
      <c r="L5" s="82" t="n">
        <f aca="false">K5+1</f>
        <v>11</v>
      </c>
      <c r="M5" s="82" t="n">
        <f aca="false">L5+1</f>
        <v>12</v>
      </c>
      <c r="N5" s="82" t="n">
        <f aca="false">M5+1</f>
        <v>13</v>
      </c>
      <c r="O5" s="82" t="n">
        <f aca="false">N5+1</f>
        <v>14</v>
      </c>
      <c r="P5" s="82" t="n">
        <f aca="false">O5+1</f>
        <v>15</v>
      </c>
      <c r="Q5" s="82" t="n">
        <f aca="false">P5+1</f>
        <v>16</v>
      </c>
      <c r="R5" s="13" t="s">
        <v>505</v>
      </c>
    </row>
    <row r="6" customFormat="false" ht="16.5" hidden="false" customHeight="true" outlineLevel="0" collapsed="false">
      <c r="A6" s="34" t="str">
        <f aca="false">IF(Übungen!$A4="","",Übungen!$A4)</f>
        <v>Beinpresse eng</v>
      </c>
      <c r="B6" s="83" t="str">
        <f aca="false">IF($A6="","",IF(SUMIFS(Log!$I$4:$I$1203,Log!$D$4:$D$1203,$A6,Log!$B$4:$B$1203,B$5,Log!$E$4:$E$1203,"A")=0,"",SUMIFS(Log!$I$4:$I$1203,Log!$D$4:$D$1203,$A6,Log!$B$4:$B$1203,B$5,Log!$E$4:$E$1203,"A")))</f>
        <v/>
      </c>
      <c r="C6" s="83" t="str">
        <f aca="false">IF($A6="","",IF(SUMIFS(Log!$I$4:$I$1203,Log!$D$4:$D$1203,$A6,Log!$B$4:$B$1203,C$5,Log!$E$4:$E$1203,"A")=0,"",SUMIFS(Log!$I$4:$I$1203,Log!$D$4:$D$1203,$A6,Log!$B$4:$B$1203,C$5,Log!$E$4:$E$1203,"A")))</f>
        <v/>
      </c>
      <c r="D6" s="83" t="str">
        <f aca="false">IF($A6="","",IF(SUMIFS(Log!$I$4:$I$1203,Log!$D$4:$D$1203,$A6,Log!$B$4:$B$1203,D$5,Log!$E$4:$E$1203,"A")=0,"",SUMIFS(Log!$I$4:$I$1203,Log!$D$4:$D$1203,$A6,Log!$B$4:$B$1203,D$5,Log!$E$4:$E$1203,"A")))</f>
        <v/>
      </c>
      <c r="E6" s="83" t="str">
        <f aca="false">IF($A6="","",IF(SUMIFS(Log!$I$4:$I$1203,Log!$D$4:$D$1203,$A6,Log!$B$4:$B$1203,E$5,Log!$E$4:$E$1203,"A")=0,"",SUMIFS(Log!$I$4:$I$1203,Log!$D$4:$D$1203,$A6,Log!$B$4:$B$1203,E$5,Log!$E$4:$E$1203,"A")))</f>
        <v/>
      </c>
      <c r="F6" s="83" t="n">
        <f aca="false">IF($A6="","",IF(SUMIFS(Log!$I$4:$I$1203,Log!$D$4:$D$1203,$A6,Log!$B$4:$B$1203,F$5,Log!$E$4:$E$1203,"A")=0,"",SUMIFS(Log!$I$4:$I$1203,Log!$D$4:$D$1203,$A6,Log!$B$4:$B$1203,F$5,Log!$E$4:$E$1203,"A")))</f>
        <v>5766</v>
      </c>
      <c r="G6" s="83" t="n">
        <f aca="false">IF($A6="","",IF(SUMIFS(Log!$I$4:$I$1203,Log!$D$4:$D$1203,$A6,Log!$B$4:$B$1203,G$5,Log!$E$4:$E$1203,"A")=0,"",SUMIFS(Log!$I$4:$I$1203,Log!$D$4:$D$1203,$A6,Log!$B$4:$B$1203,G$5,Log!$E$4:$E$1203,"A")))</f>
        <v>7358</v>
      </c>
      <c r="H6" s="83" t="str">
        <f aca="false">IF($A6="","",IF(SUMIFS(Log!$I$4:$I$1203,Log!$D$4:$D$1203,$A6,Log!$B$4:$B$1203,H$5,Log!$E$4:$E$1203,"A")=0,"",SUMIFS(Log!$I$4:$I$1203,Log!$D$4:$D$1203,$A6,Log!$B$4:$B$1203,H$5,Log!$E$4:$E$1203,"A")))</f>
        <v/>
      </c>
      <c r="I6" s="83" t="n">
        <f aca="false">IF($A6="","",IF(SUMIFS(Log!$I$4:$I$1203,Log!$D$4:$D$1203,$A6,Log!$B$4:$B$1203,I$5,Log!$E$4:$E$1203,"A")=0,"",SUMIFS(Log!$I$4:$I$1203,Log!$D$4:$D$1203,$A6,Log!$B$4:$B$1203,I$5,Log!$E$4:$E$1203,"A")))</f>
        <v>7752</v>
      </c>
      <c r="J6" s="83" t="str">
        <f aca="false">IF($A6="","",IF(SUMIFS(Log!$I$4:$I$1203,Log!$D$4:$D$1203,$A6,Log!$B$4:$B$1203,J$5,Log!$E$4:$E$1203,"A")=0,"",SUMIFS(Log!$I$4:$I$1203,Log!$D$4:$D$1203,$A6,Log!$B$4:$B$1203,J$5,Log!$E$4:$E$1203,"A")))</f>
        <v/>
      </c>
      <c r="K6" s="83" t="n">
        <f aca="false">IF($A6="","",IF(SUMIFS(Log!$I$4:$I$1203,Log!$D$4:$D$1203,$A6,Log!$B$4:$B$1203,K$5,Log!$E$4:$E$1203,"A")=0,"",SUMIFS(Log!$I$4:$I$1203,Log!$D$4:$D$1203,$A6,Log!$B$4:$B$1203,K$5,Log!$E$4:$E$1203,"A")))</f>
        <v>8800</v>
      </c>
      <c r="L6" s="83" t="str">
        <f aca="false">IF($A6="","",IF(SUMIFS(Log!$I$4:$I$1203,Log!$D$4:$D$1203,$A6,Log!$B$4:$B$1203,L$5,Log!$E$4:$E$1203,"A")=0,"",SUMIFS(Log!$I$4:$I$1203,Log!$D$4:$D$1203,$A6,Log!$B$4:$B$1203,L$5,Log!$E$4:$E$1203,"A")))</f>
        <v/>
      </c>
      <c r="M6" s="83" t="n">
        <f aca="false">IF($A6="","",IF(SUMIFS(Log!$I$4:$I$1203,Log!$D$4:$D$1203,$A6,Log!$B$4:$B$1203,M$5,Log!$E$4:$E$1203,"A")=0,"",SUMIFS(Log!$I$4:$I$1203,Log!$D$4:$D$1203,$A6,Log!$B$4:$B$1203,M$5,Log!$E$4:$E$1203,"A")))</f>
        <v>6000</v>
      </c>
      <c r="N6" s="83" t="str">
        <f aca="false">IF($A6="","",IF(SUMIFS(Log!$I$4:$I$1203,Log!$D$4:$D$1203,$A6,Log!$B$4:$B$1203,N$5,Log!$E$4:$E$1203,"A")=0,"",SUMIFS(Log!$I$4:$I$1203,Log!$D$4:$D$1203,$A6,Log!$B$4:$B$1203,N$5,Log!$E$4:$E$1203,"A")))</f>
        <v/>
      </c>
      <c r="O6" s="83" t="str">
        <f aca="false">IF($A6="","",IF(SUMIFS(Log!$I$4:$I$1203,Log!$D$4:$D$1203,$A6,Log!$B$4:$B$1203,O$5,Log!$E$4:$E$1203,"A")=0,"",SUMIFS(Log!$I$4:$I$1203,Log!$D$4:$D$1203,$A6,Log!$B$4:$B$1203,O$5,Log!$E$4:$E$1203,"A")))</f>
        <v/>
      </c>
      <c r="P6" s="83" t="str">
        <f aca="false">IF($A6="","",IF(SUMIFS(Log!$I$4:$I$1203,Log!$D$4:$D$1203,$A6,Log!$B$4:$B$1203,P$5,Log!$E$4:$E$1203,"A")=0,"",SUMIFS(Log!$I$4:$I$1203,Log!$D$4:$D$1203,$A6,Log!$B$4:$B$1203,P$5,Log!$E$4:$E$1203,"A")))</f>
        <v/>
      </c>
      <c r="Q6" s="83" t="n">
        <f aca="false">IF($A6="","",IF(SUMIFS(Log!$I$4:$I$1203,Log!$D$4:$D$1203,$A6,Log!$B$4:$B$1203,Q$5,Log!$E$4:$E$1203,"A")=0,"",SUMIFS(Log!$I$4:$I$1203,Log!$D$4:$D$1203,$A6,Log!$B$4:$B$1203,Q$5,Log!$E$4:$E$1203,"A")))</f>
        <v>4100</v>
      </c>
      <c r="R6" s="84" t="n">
        <f aca="false">IF($A6="","",IF(SUMIFS(Log!$I$4:$I$1203,Log!$D$4:$D$1203,$A6,Log!$E$4:$E$1203,"A")=0,"",SUMIFS(Log!$I$4:$I$1203,Log!$D$4:$D$1203,$A6,Log!$E$4:$E$1203,"A")))</f>
        <v>45176</v>
      </c>
    </row>
    <row r="7" customFormat="false" ht="16.5" hidden="false" customHeight="true" outlineLevel="0" collapsed="false">
      <c r="A7" s="40" t="str">
        <f aca="false">IF(Übungen!$A5="","",Übungen!$A5)</f>
        <v>Split Squat</v>
      </c>
      <c r="B7" s="85" t="n">
        <f aca="false">IF($A7="","",IF(SUMIFS(Log!$I$4:$I$1203,Log!$D$4:$D$1203,$A7,Log!$B$4:$B$1203,B$5,Log!$E$4:$E$1203,"A")=0,"",SUMIFS(Log!$I$4:$I$1203,Log!$D$4:$D$1203,$A7,Log!$B$4:$B$1203,B$5,Log!$E$4:$E$1203,"A")))</f>
        <v>1610</v>
      </c>
      <c r="C7" s="85" t="n">
        <f aca="false">IF($A7="","",IF(SUMIFS(Log!$I$4:$I$1203,Log!$D$4:$D$1203,$A7,Log!$B$4:$B$1203,C$5,Log!$E$4:$E$1203,"A")=0,"",SUMIFS(Log!$I$4:$I$1203,Log!$D$4:$D$1203,$A7,Log!$B$4:$B$1203,C$5,Log!$E$4:$E$1203,"A")))</f>
        <v>1575</v>
      </c>
      <c r="D7" s="85" t="n">
        <f aca="false">IF($A7="","",IF(SUMIFS(Log!$I$4:$I$1203,Log!$D$4:$D$1203,$A7,Log!$B$4:$B$1203,D$5,Log!$E$4:$E$1203,"A")=0,"",SUMIFS(Log!$I$4:$I$1203,Log!$D$4:$D$1203,$A7,Log!$B$4:$B$1203,D$5,Log!$E$4:$E$1203,"A")))</f>
        <v>2275</v>
      </c>
      <c r="E7" s="85" t="n">
        <f aca="false">IF($A7="","",IF(SUMIFS(Log!$I$4:$I$1203,Log!$D$4:$D$1203,$A7,Log!$B$4:$B$1203,E$5,Log!$E$4:$E$1203,"A")=0,"",SUMIFS(Log!$I$4:$I$1203,Log!$D$4:$D$1203,$A7,Log!$B$4:$B$1203,E$5,Log!$E$4:$E$1203,"A")))</f>
        <v>1640</v>
      </c>
      <c r="F7" s="85" t="n">
        <f aca="false">IF($A7="","",IF(SUMIFS(Log!$I$4:$I$1203,Log!$D$4:$D$1203,$A7,Log!$B$4:$B$1203,F$5,Log!$E$4:$E$1203,"A")=0,"",SUMIFS(Log!$I$4:$I$1203,Log!$D$4:$D$1203,$A7,Log!$B$4:$B$1203,F$5,Log!$E$4:$E$1203,"A")))</f>
        <v>1760</v>
      </c>
      <c r="G7" s="85" t="n">
        <f aca="false">IF($A7="","",IF(SUMIFS(Log!$I$4:$I$1203,Log!$D$4:$D$1203,$A7,Log!$B$4:$B$1203,G$5,Log!$E$4:$E$1203,"A")=0,"",SUMIFS(Log!$I$4:$I$1203,Log!$D$4:$D$1203,$A7,Log!$B$4:$B$1203,G$5,Log!$E$4:$E$1203,"A")))</f>
        <v>2700</v>
      </c>
      <c r="H7" s="85" t="str">
        <f aca="false">IF($A7="","",IF(SUMIFS(Log!$I$4:$I$1203,Log!$D$4:$D$1203,$A7,Log!$B$4:$B$1203,H$5,Log!$E$4:$E$1203,"A")=0,"",SUMIFS(Log!$I$4:$I$1203,Log!$D$4:$D$1203,$A7,Log!$B$4:$B$1203,H$5,Log!$E$4:$E$1203,"A")))</f>
        <v/>
      </c>
      <c r="I7" s="85" t="n">
        <f aca="false">IF($A7="","",IF(SUMIFS(Log!$I$4:$I$1203,Log!$D$4:$D$1203,$A7,Log!$B$4:$B$1203,I$5,Log!$E$4:$E$1203,"A")=0,"",SUMIFS(Log!$I$4:$I$1203,Log!$D$4:$D$1203,$A7,Log!$B$4:$B$1203,I$5,Log!$E$4:$E$1203,"A")))</f>
        <v>2035</v>
      </c>
      <c r="J7" s="85" t="str">
        <f aca="false">IF($A7="","",IF(SUMIFS(Log!$I$4:$I$1203,Log!$D$4:$D$1203,$A7,Log!$B$4:$B$1203,J$5,Log!$E$4:$E$1203,"A")=0,"",SUMIFS(Log!$I$4:$I$1203,Log!$D$4:$D$1203,$A7,Log!$B$4:$B$1203,J$5,Log!$E$4:$E$1203,"A")))</f>
        <v/>
      </c>
      <c r="K7" s="85" t="n">
        <f aca="false">IF($A7="","",IF(SUMIFS(Log!$I$4:$I$1203,Log!$D$4:$D$1203,$A7,Log!$B$4:$B$1203,K$5,Log!$E$4:$E$1203,"A")=0,"",SUMIFS(Log!$I$4:$I$1203,Log!$D$4:$D$1203,$A7,Log!$B$4:$B$1203,K$5,Log!$E$4:$E$1203,"A")))</f>
        <v>1865</v>
      </c>
      <c r="L7" s="85" t="str">
        <f aca="false">IF($A7="","",IF(SUMIFS(Log!$I$4:$I$1203,Log!$D$4:$D$1203,$A7,Log!$B$4:$B$1203,L$5,Log!$E$4:$E$1203,"A")=0,"",SUMIFS(Log!$I$4:$I$1203,Log!$D$4:$D$1203,$A7,Log!$B$4:$B$1203,L$5,Log!$E$4:$E$1203,"A")))</f>
        <v/>
      </c>
      <c r="M7" s="85" t="n">
        <f aca="false">IF($A7="","",IF(SUMIFS(Log!$I$4:$I$1203,Log!$D$4:$D$1203,$A7,Log!$B$4:$B$1203,M$5,Log!$E$4:$E$1203,"A")=0,"",SUMIFS(Log!$I$4:$I$1203,Log!$D$4:$D$1203,$A7,Log!$B$4:$B$1203,M$5,Log!$E$4:$E$1203,"A")))</f>
        <v>1370</v>
      </c>
      <c r="N7" s="85" t="str">
        <f aca="false">IF($A7="","",IF(SUMIFS(Log!$I$4:$I$1203,Log!$D$4:$D$1203,$A7,Log!$B$4:$B$1203,N$5,Log!$E$4:$E$1203,"A")=0,"",SUMIFS(Log!$I$4:$I$1203,Log!$D$4:$D$1203,$A7,Log!$B$4:$B$1203,N$5,Log!$E$4:$E$1203,"A")))</f>
        <v/>
      </c>
      <c r="O7" s="85" t="str">
        <f aca="false">IF($A7="","",IF(SUMIFS(Log!$I$4:$I$1203,Log!$D$4:$D$1203,$A7,Log!$B$4:$B$1203,O$5,Log!$E$4:$E$1203,"A")=0,"",SUMIFS(Log!$I$4:$I$1203,Log!$D$4:$D$1203,$A7,Log!$B$4:$B$1203,O$5,Log!$E$4:$E$1203,"A")))</f>
        <v/>
      </c>
      <c r="P7" s="85" t="str">
        <f aca="false">IF($A7="","",IF(SUMIFS(Log!$I$4:$I$1203,Log!$D$4:$D$1203,$A7,Log!$B$4:$B$1203,P$5,Log!$E$4:$E$1203,"A")=0,"",SUMIFS(Log!$I$4:$I$1203,Log!$D$4:$D$1203,$A7,Log!$B$4:$B$1203,P$5,Log!$E$4:$E$1203,"A")))</f>
        <v/>
      </c>
      <c r="Q7" s="85" t="n">
        <f aca="false">IF($A7="","",IF(SUMIFS(Log!$I$4:$I$1203,Log!$D$4:$D$1203,$A7,Log!$B$4:$B$1203,Q$5,Log!$E$4:$E$1203,"A")=0,"",SUMIFS(Log!$I$4:$I$1203,Log!$D$4:$D$1203,$A7,Log!$B$4:$B$1203,Q$5,Log!$E$4:$E$1203,"A")))</f>
        <v>1760</v>
      </c>
      <c r="R7" s="84" t="n">
        <f aca="false">IF($A7="","",IF(SUMIFS(Log!$I$4:$I$1203,Log!$D$4:$D$1203,$A7,Log!$E$4:$E$1203,"A")=0,"",SUMIFS(Log!$I$4:$I$1203,Log!$D$4:$D$1203,$A7,Log!$E$4:$E$1203,"A")))</f>
        <v>20460</v>
      </c>
    </row>
    <row r="8" customFormat="false" ht="16.5" hidden="false" customHeight="true" outlineLevel="0" collapsed="false">
      <c r="A8" s="34" t="str">
        <f aca="false">IF(Übungen!$A6="","",Übungen!$A6)</f>
        <v>Beinstrecker</v>
      </c>
      <c r="B8" s="83" t="n">
        <f aca="false">IF($A8="","",IF(SUMIFS(Log!$I$4:$I$1203,Log!$D$4:$D$1203,$A8,Log!$B$4:$B$1203,B$5,Log!$E$4:$E$1203,"A")=0,"",SUMIFS(Log!$I$4:$I$1203,Log!$D$4:$D$1203,$A8,Log!$B$4:$B$1203,B$5,Log!$E$4:$E$1203,"A")))</f>
        <v>1205</v>
      </c>
      <c r="C8" s="83" t="n">
        <f aca="false">IF($A8="","",IF(SUMIFS(Log!$I$4:$I$1203,Log!$D$4:$D$1203,$A8,Log!$B$4:$B$1203,C$5,Log!$E$4:$E$1203,"A")=0,"",SUMIFS(Log!$I$4:$I$1203,Log!$D$4:$D$1203,$A8,Log!$B$4:$B$1203,C$5,Log!$E$4:$E$1203,"A")))</f>
        <v>1630</v>
      </c>
      <c r="D8" s="83" t="n">
        <f aca="false">IF($A8="","",IF(SUMIFS(Log!$I$4:$I$1203,Log!$D$4:$D$1203,$A8,Log!$B$4:$B$1203,D$5,Log!$E$4:$E$1203,"A")=0,"",SUMIFS(Log!$I$4:$I$1203,Log!$D$4:$D$1203,$A8,Log!$B$4:$B$1203,D$5,Log!$E$4:$E$1203,"A")))</f>
        <v>1430</v>
      </c>
      <c r="E8" s="83" t="n">
        <f aca="false">IF($A8="","",IF(SUMIFS(Log!$I$4:$I$1203,Log!$D$4:$D$1203,$A8,Log!$B$4:$B$1203,E$5,Log!$E$4:$E$1203,"A")=0,"",SUMIFS(Log!$I$4:$I$1203,Log!$D$4:$D$1203,$A8,Log!$B$4:$B$1203,E$5,Log!$E$4:$E$1203,"A")))</f>
        <v>1600</v>
      </c>
      <c r="F8" s="83" t="n">
        <f aca="false">IF($A8="","",IF(SUMIFS(Log!$I$4:$I$1203,Log!$D$4:$D$1203,$A8,Log!$B$4:$B$1203,F$5,Log!$E$4:$E$1203,"A")=0,"",SUMIFS(Log!$I$4:$I$1203,Log!$D$4:$D$1203,$A8,Log!$B$4:$B$1203,F$5,Log!$E$4:$E$1203,"A")))</f>
        <v>1570</v>
      </c>
      <c r="G8" s="83" t="n">
        <f aca="false">IF($A8="","",IF(SUMIFS(Log!$I$4:$I$1203,Log!$D$4:$D$1203,$A8,Log!$B$4:$B$1203,G$5,Log!$E$4:$E$1203,"A")=0,"",SUMIFS(Log!$I$4:$I$1203,Log!$D$4:$D$1203,$A8,Log!$B$4:$B$1203,G$5,Log!$E$4:$E$1203,"A")))</f>
        <v>1670</v>
      </c>
      <c r="H8" s="83" t="str">
        <f aca="false">IF($A8="","",IF(SUMIFS(Log!$I$4:$I$1203,Log!$D$4:$D$1203,$A8,Log!$B$4:$B$1203,H$5,Log!$E$4:$E$1203,"A")=0,"",SUMIFS(Log!$I$4:$I$1203,Log!$D$4:$D$1203,$A8,Log!$B$4:$B$1203,H$5,Log!$E$4:$E$1203,"A")))</f>
        <v/>
      </c>
      <c r="I8" s="83" t="n">
        <f aca="false">IF($A8="","",IF(SUMIFS(Log!$I$4:$I$1203,Log!$D$4:$D$1203,$A8,Log!$B$4:$B$1203,I$5,Log!$E$4:$E$1203,"A")=0,"",SUMIFS(Log!$I$4:$I$1203,Log!$D$4:$D$1203,$A8,Log!$B$4:$B$1203,I$5,Log!$E$4:$E$1203,"A")))</f>
        <v>1920</v>
      </c>
      <c r="J8" s="83" t="str">
        <f aca="false">IF($A8="","",IF(SUMIFS(Log!$I$4:$I$1203,Log!$D$4:$D$1203,$A8,Log!$B$4:$B$1203,J$5,Log!$E$4:$E$1203,"A")=0,"",SUMIFS(Log!$I$4:$I$1203,Log!$D$4:$D$1203,$A8,Log!$B$4:$B$1203,J$5,Log!$E$4:$E$1203,"A")))</f>
        <v/>
      </c>
      <c r="K8" s="83" t="n">
        <f aca="false">IF($A8="","",IF(SUMIFS(Log!$I$4:$I$1203,Log!$D$4:$D$1203,$A8,Log!$B$4:$B$1203,K$5,Log!$E$4:$E$1203,"A")=0,"",SUMIFS(Log!$I$4:$I$1203,Log!$D$4:$D$1203,$A8,Log!$B$4:$B$1203,K$5,Log!$E$4:$E$1203,"A")))</f>
        <v>2015</v>
      </c>
      <c r="L8" s="83" t="str">
        <f aca="false">IF($A8="","",IF(SUMIFS(Log!$I$4:$I$1203,Log!$D$4:$D$1203,$A8,Log!$B$4:$B$1203,L$5,Log!$E$4:$E$1203,"A")=0,"",SUMIFS(Log!$I$4:$I$1203,Log!$D$4:$D$1203,$A8,Log!$B$4:$B$1203,L$5,Log!$E$4:$E$1203,"A")))</f>
        <v/>
      </c>
      <c r="M8" s="83" t="n">
        <f aca="false">IF($A8="","",IF(SUMIFS(Log!$I$4:$I$1203,Log!$D$4:$D$1203,$A8,Log!$B$4:$B$1203,M$5,Log!$E$4:$E$1203,"A")=0,"",SUMIFS(Log!$I$4:$I$1203,Log!$D$4:$D$1203,$A8,Log!$B$4:$B$1203,M$5,Log!$E$4:$E$1203,"A")))</f>
        <v>1700</v>
      </c>
      <c r="N8" s="83" t="str">
        <f aca="false">IF($A8="","",IF(SUMIFS(Log!$I$4:$I$1203,Log!$D$4:$D$1203,$A8,Log!$B$4:$B$1203,N$5,Log!$E$4:$E$1203,"A")=0,"",SUMIFS(Log!$I$4:$I$1203,Log!$D$4:$D$1203,$A8,Log!$B$4:$B$1203,N$5,Log!$E$4:$E$1203,"A")))</f>
        <v/>
      </c>
      <c r="O8" s="83" t="str">
        <f aca="false">IF($A8="","",IF(SUMIFS(Log!$I$4:$I$1203,Log!$D$4:$D$1203,$A8,Log!$B$4:$B$1203,O$5,Log!$E$4:$E$1203,"A")=0,"",SUMIFS(Log!$I$4:$I$1203,Log!$D$4:$D$1203,$A8,Log!$B$4:$B$1203,O$5,Log!$E$4:$E$1203,"A")))</f>
        <v/>
      </c>
      <c r="P8" s="83" t="str">
        <f aca="false">IF($A8="","",IF(SUMIFS(Log!$I$4:$I$1203,Log!$D$4:$D$1203,$A8,Log!$B$4:$B$1203,P$5,Log!$E$4:$E$1203,"A")=0,"",SUMIFS(Log!$I$4:$I$1203,Log!$D$4:$D$1203,$A8,Log!$B$4:$B$1203,P$5,Log!$E$4:$E$1203,"A")))</f>
        <v/>
      </c>
      <c r="Q8" s="83" t="n">
        <f aca="false">IF($A8="","",IF(SUMIFS(Log!$I$4:$I$1203,Log!$D$4:$D$1203,$A8,Log!$B$4:$B$1203,Q$5,Log!$E$4:$E$1203,"A")=0,"",SUMIFS(Log!$I$4:$I$1203,Log!$D$4:$D$1203,$A8,Log!$B$4:$B$1203,Q$5,Log!$E$4:$E$1203,"A")))</f>
        <v>1395</v>
      </c>
      <c r="R8" s="84" t="n">
        <f aca="false">IF($A8="","",IF(SUMIFS(Log!$I$4:$I$1203,Log!$D$4:$D$1203,$A8,Log!$E$4:$E$1203,"A")=0,"",SUMIFS(Log!$I$4:$I$1203,Log!$D$4:$D$1203,$A8,Log!$E$4:$E$1203,"A")))</f>
        <v>17570</v>
      </c>
    </row>
    <row r="9" customFormat="false" ht="16.5" hidden="false" customHeight="true" outlineLevel="0" collapsed="false">
      <c r="A9" s="40" t="str">
        <f aca="false">IF(Übungen!$A7="","",Übungen!$A7)</f>
        <v>Adduktion</v>
      </c>
      <c r="B9" s="85" t="n">
        <f aca="false">IF($A9="","",IF(SUMIFS(Log!$I$4:$I$1203,Log!$D$4:$D$1203,$A9,Log!$B$4:$B$1203,B$5,Log!$E$4:$E$1203,"A")=0,"",SUMIFS(Log!$I$4:$I$1203,Log!$D$4:$D$1203,$A9,Log!$B$4:$B$1203,B$5,Log!$E$4:$E$1203,"A")))</f>
        <v>4117.5</v>
      </c>
      <c r="C9" s="85" t="n">
        <f aca="false">IF($A9="","",IF(SUMIFS(Log!$I$4:$I$1203,Log!$D$4:$D$1203,$A9,Log!$B$4:$B$1203,C$5,Log!$E$4:$E$1203,"A")=0,"",SUMIFS(Log!$I$4:$I$1203,Log!$D$4:$D$1203,$A9,Log!$B$4:$B$1203,C$5,Log!$E$4:$E$1203,"A")))</f>
        <v>5490</v>
      </c>
      <c r="D9" s="85" t="n">
        <f aca="false">IF($A9="","",IF(SUMIFS(Log!$I$4:$I$1203,Log!$D$4:$D$1203,$A9,Log!$B$4:$B$1203,D$5,Log!$E$4:$E$1203,"A")=0,"",SUMIFS(Log!$I$4:$I$1203,Log!$D$4:$D$1203,$A9,Log!$B$4:$B$1203,D$5,Log!$E$4:$E$1203,"A")))</f>
        <v>5337.5</v>
      </c>
      <c r="E9" s="85" t="n">
        <f aca="false">IF($A9="","",IF(SUMIFS(Log!$I$4:$I$1203,Log!$D$4:$D$1203,$A9,Log!$B$4:$B$1203,E$5,Log!$E$4:$E$1203,"A")=0,"",SUMIFS(Log!$I$4:$I$1203,Log!$D$4:$D$1203,$A9,Log!$B$4:$B$1203,E$5,Log!$E$4:$E$1203,"A")))</f>
        <v>6862.5</v>
      </c>
      <c r="F9" s="85" t="n">
        <f aca="false">IF($A9="","",IF(SUMIFS(Log!$I$4:$I$1203,Log!$D$4:$D$1203,$A9,Log!$B$4:$B$1203,F$5,Log!$E$4:$E$1203,"A")=0,"",SUMIFS(Log!$I$4:$I$1203,Log!$D$4:$D$1203,$A9,Log!$B$4:$B$1203,F$5,Log!$E$4:$E$1203,"A")))</f>
        <v>2600</v>
      </c>
      <c r="G9" s="85" t="n">
        <f aca="false">IF($A9="","",IF(SUMIFS(Log!$I$4:$I$1203,Log!$D$4:$D$1203,$A9,Log!$B$4:$B$1203,G$5,Log!$E$4:$E$1203,"A")=0,"",SUMIFS(Log!$I$4:$I$1203,Log!$D$4:$D$1203,$A9,Log!$B$4:$B$1203,G$5,Log!$E$4:$E$1203,"A")))</f>
        <v>2844</v>
      </c>
      <c r="H9" s="85" t="str">
        <f aca="false">IF($A9="","",IF(SUMIFS(Log!$I$4:$I$1203,Log!$D$4:$D$1203,$A9,Log!$B$4:$B$1203,H$5,Log!$E$4:$E$1203,"A")=0,"",SUMIFS(Log!$I$4:$I$1203,Log!$D$4:$D$1203,$A9,Log!$B$4:$B$1203,H$5,Log!$E$4:$E$1203,"A")))</f>
        <v/>
      </c>
      <c r="I9" s="85" t="n">
        <f aca="false">IF($A9="","",IF(SUMIFS(Log!$I$4:$I$1203,Log!$D$4:$D$1203,$A9,Log!$B$4:$B$1203,I$5,Log!$E$4:$E$1203,"A")=0,"",SUMIFS(Log!$I$4:$I$1203,Log!$D$4:$D$1203,$A9,Log!$B$4:$B$1203,I$5,Log!$E$4:$E$1203,"A")))</f>
        <v>3146.5</v>
      </c>
      <c r="J9" s="85" t="str">
        <f aca="false">IF($A9="","",IF(SUMIFS(Log!$I$4:$I$1203,Log!$D$4:$D$1203,$A9,Log!$B$4:$B$1203,J$5,Log!$E$4:$E$1203,"A")=0,"",SUMIFS(Log!$I$4:$I$1203,Log!$D$4:$D$1203,$A9,Log!$B$4:$B$1203,J$5,Log!$E$4:$E$1203,"A")))</f>
        <v/>
      </c>
      <c r="K9" s="85" t="str">
        <f aca="false">IF($A9="","",IF(SUMIFS(Log!$I$4:$I$1203,Log!$D$4:$D$1203,$A9,Log!$B$4:$B$1203,K$5,Log!$E$4:$E$1203,"A")=0,"",SUMIFS(Log!$I$4:$I$1203,Log!$D$4:$D$1203,$A9,Log!$B$4:$B$1203,K$5,Log!$E$4:$E$1203,"A")))</f>
        <v/>
      </c>
      <c r="L9" s="85" t="str">
        <f aca="false">IF($A9="","",IF(SUMIFS(Log!$I$4:$I$1203,Log!$D$4:$D$1203,$A9,Log!$B$4:$B$1203,L$5,Log!$E$4:$E$1203,"A")=0,"",SUMIFS(Log!$I$4:$I$1203,Log!$D$4:$D$1203,$A9,Log!$B$4:$B$1203,L$5,Log!$E$4:$E$1203,"A")))</f>
        <v/>
      </c>
      <c r="M9" s="85" t="str">
        <f aca="false">IF($A9="","",IF(SUMIFS(Log!$I$4:$I$1203,Log!$D$4:$D$1203,$A9,Log!$B$4:$B$1203,M$5,Log!$E$4:$E$1203,"A")=0,"",SUMIFS(Log!$I$4:$I$1203,Log!$D$4:$D$1203,$A9,Log!$B$4:$B$1203,M$5,Log!$E$4:$E$1203,"A")))</f>
        <v/>
      </c>
      <c r="N9" s="85" t="str">
        <f aca="false">IF($A9="","",IF(SUMIFS(Log!$I$4:$I$1203,Log!$D$4:$D$1203,$A9,Log!$B$4:$B$1203,N$5,Log!$E$4:$E$1203,"A")=0,"",SUMIFS(Log!$I$4:$I$1203,Log!$D$4:$D$1203,$A9,Log!$B$4:$B$1203,N$5,Log!$E$4:$E$1203,"A")))</f>
        <v/>
      </c>
      <c r="O9" s="85" t="str">
        <f aca="false">IF($A9="","",IF(SUMIFS(Log!$I$4:$I$1203,Log!$D$4:$D$1203,$A9,Log!$B$4:$B$1203,O$5,Log!$E$4:$E$1203,"A")=0,"",SUMIFS(Log!$I$4:$I$1203,Log!$D$4:$D$1203,$A9,Log!$B$4:$B$1203,O$5,Log!$E$4:$E$1203,"A")))</f>
        <v/>
      </c>
      <c r="P9" s="85" t="str">
        <f aca="false">IF($A9="","",IF(SUMIFS(Log!$I$4:$I$1203,Log!$D$4:$D$1203,$A9,Log!$B$4:$B$1203,P$5,Log!$E$4:$E$1203,"A")=0,"",SUMIFS(Log!$I$4:$I$1203,Log!$D$4:$D$1203,$A9,Log!$B$4:$B$1203,P$5,Log!$E$4:$E$1203,"A")))</f>
        <v/>
      </c>
      <c r="Q9" s="85" t="str">
        <f aca="false">IF($A9="","",IF(SUMIFS(Log!$I$4:$I$1203,Log!$D$4:$D$1203,$A9,Log!$B$4:$B$1203,Q$5,Log!$E$4:$E$1203,"A")=0,"",SUMIFS(Log!$I$4:$I$1203,Log!$D$4:$D$1203,$A9,Log!$B$4:$B$1203,Q$5,Log!$E$4:$E$1203,"A")))</f>
        <v/>
      </c>
      <c r="R9" s="84" t="n">
        <f aca="false">IF($A9="","",IF(SUMIFS(Log!$I$4:$I$1203,Log!$D$4:$D$1203,$A9,Log!$E$4:$E$1203,"A")=0,"",SUMIFS(Log!$I$4:$I$1203,Log!$D$4:$D$1203,$A9,Log!$E$4:$E$1203,"A")))</f>
        <v>32330</v>
      </c>
    </row>
    <row r="10" customFormat="false" ht="16.5" hidden="false" customHeight="true" outlineLevel="0" collapsed="false">
      <c r="A10" s="34" t="str">
        <f aca="false">IF(Übungen!$A8="","",Übungen!$A8)</f>
        <v>Reverse V-Squat</v>
      </c>
      <c r="B10" s="83" t="str">
        <f aca="false">IF($A10="","",IF(SUMIFS(Log!$I$4:$I$1203,Log!$D$4:$D$1203,$A10,Log!$B$4:$B$1203,B$5,Log!$E$4:$E$1203,"A")=0,"",SUMIFS(Log!$I$4:$I$1203,Log!$D$4:$D$1203,$A10,Log!$B$4:$B$1203,B$5,Log!$E$4:$E$1203,"A")))</f>
        <v/>
      </c>
      <c r="C10" s="83" t="str">
        <f aca="false">IF($A10="","",IF(SUMIFS(Log!$I$4:$I$1203,Log!$D$4:$D$1203,$A10,Log!$B$4:$B$1203,C$5,Log!$E$4:$E$1203,"A")=0,"",SUMIFS(Log!$I$4:$I$1203,Log!$D$4:$D$1203,$A10,Log!$B$4:$B$1203,C$5,Log!$E$4:$E$1203,"A")))</f>
        <v/>
      </c>
      <c r="D10" s="83" t="str">
        <f aca="false">IF($A10="","",IF(SUMIFS(Log!$I$4:$I$1203,Log!$D$4:$D$1203,$A10,Log!$B$4:$B$1203,D$5,Log!$E$4:$E$1203,"A")=0,"",SUMIFS(Log!$I$4:$I$1203,Log!$D$4:$D$1203,$A10,Log!$B$4:$B$1203,D$5,Log!$E$4:$E$1203,"A")))</f>
        <v/>
      </c>
      <c r="E10" s="83" t="str">
        <f aca="false">IF($A10="","",IF(SUMIFS(Log!$I$4:$I$1203,Log!$D$4:$D$1203,$A10,Log!$B$4:$B$1203,E$5,Log!$E$4:$E$1203,"A")=0,"",SUMIFS(Log!$I$4:$I$1203,Log!$D$4:$D$1203,$A10,Log!$B$4:$B$1203,E$5,Log!$E$4:$E$1203,"A")))</f>
        <v/>
      </c>
      <c r="F10" s="83" t="str">
        <f aca="false">IF($A10="","",IF(SUMIFS(Log!$I$4:$I$1203,Log!$D$4:$D$1203,$A10,Log!$B$4:$B$1203,F$5,Log!$E$4:$E$1203,"A")=0,"",SUMIFS(Log!$I$4:$I$1203,Log!$D$4:$D$1203,$A10,Log!$B$4:$B$1203,F$5,Log!$E$4:$E$1203,"A")))</f>
        <v/>
      </c>
      <c r="G10" s="83" t="str">
        <f aca="false">IF($A10="","",IF(SUMIFS(Log!$I$4:$I$1203,Log!$D$4:$D$1203,$A10,Log!$B$4:$B$1203,G$5,Log!$E$4:$E$1203,"A")=0,"",SUMIFS(Log!$I$4:$I$1203,Log!$D$4:$D$1203,$A10,Log!$B$4:$B$1203,G$5,Log!$E$4:$E$1203,"A")))</f>
        <v/>
      </c>
      <c r="H10" s="83" t="str">
        <f aca="false">IF($A10="","",IF(SUMIFS(Log!$I$4:$I$1203,Log!$D$4:$D$1203,$A10,Log!$B$4:$B$1203,H$5,Log!$E$4:$E$1203,"A")=0,"",SUMIFS(Log!$I$4:$I$1203,Log!$D$4:$D$1203,$A10,Log!$B$4:$B$1203,H$5,Log!$E$4:$E$1203,"A")))</f>
        <v/>
      </c>
      <c r="I10" s="83" t="str">
        <f aca="false">IF($A10="","",IF(SUMIFS(Log!$I$4:$I$1203,Log!$D$4:$D$1203,$A10,Log!$B$4:$B$1203,I$5,Log!$E$4:$E$1203,"A")=0,"",SUMIFS(Log!$I$4:$I$1203,Log!$D$4:$D$1203,$A10,Log!$B$4:$B$1203,I$5,Log!$E$4:$E$1203,"A")))</f>
        <v/>
      </c>
      <c r="J10" s="83" t="str">
        <f aca="false">IF($A10="","",IF(SUMIFS(Log!$I$4:$I$1203,Log!$D$4:$D$1203,$A10,Log!$B$4:$B$1203,J$5,Log!$E$4:$E$1203,"A")=0,"",SUMIFS(Log!$I$4:$I$1203,Log!$D$4:$D$1203,$A10,Log!$B$4:$B$1203,J$5,Log!$E$4:$E$1203,"A")))</f>
        <v/>
      </c>
      <c r="K10" s="83" t="str">
        <f aca="false">IF($A10="","",IF(SUMIFS(Log!$I$4:$I$1203,Log!$D$4:$D$1203,$A10,Log!$B$4:$B$1203,K$5,Log!$E$4:$E$1203,"A")=0,"",SUMIFS(Log!$I$4:$I$1203,Log!$D$4:$D$1203,$A10,Log!$B$4:$B$1203,K$5,Log!$E$4:$E$1203,"A")))</f>
        <v/>
      </c>
      <c r="L10" s="83" t="str">
        <f aca="false">IF($A10="","",IF(SUMIFS(Log!$I$4:$I$1203,Log!$D$4:$D$1203,$A10,Log!$B$4:$B$1203,L$5,Log!$E$4:$E$1203,"A")=0,"",SUMIFS(Log!$I$4:$I$1203,Log!$D$4:$D$1203,$A10,Log!$B$4:$B$1203,L$5,Log!$E$4:$E$1203,"A")))</f>
        <v/>
      </c>
      <c r="M10" s="83" t="str">
        <f aca="false">IF($A10="","",IF(SUMIFS(Log!$I$4:$I$1203,Log!$D$4:$D$1203,$A10,Log!$B$4:$B$1203,M$5,Log!$E$4:$E$1203,"A")=0,"",SUMIFS(Log!$I$4:$I$1203,Log!$D$4:$D$1203,$A10,Log!$B$4:$B$1203,M$5,Log!$E$4:$E$1203,"A")))</f>
        <v/>
      </c>
      <c r="N10" s="83" t="n">
        <f aca="false">IF($A10="","",IF(SUMIFS(Log!$I$4:$I$1203,Log!$D$4:$D$1203,$A10,Log!$B$4:$B$1203,N$5,Log!$E$4:$E$1203,"A")=0,"",SUMIFS(Log!$I$4:$I$1203,Log!$D$4:$D$1203,$A10,Log!$B$4:$B$1203,N$5,Log!$E$4:$E$1203,"A")))</f>
        <v>4220</v>
      </c>
      <c r="O10" s="83" t="n">
        <f aca="false">IF($A10="","",IF(SUMIFS(Log!$I$4:$I$1203,Log!$D$4:$D$1203,$A10,Log!$B$4:$B$1203,O$5,Log!$E$4:$E$1203,"A")=0,"",SUMIFS(Log!$I$4:$I$1203,Log!$D$4:$D$1203,$A10,Log!$B$4:$B$1203,O$5,Log!$E$4:$E$1203,"A")))</f>
        <v>3463</v>
      </c>
      <c r="P10" s="83" t="str">
        <f aca="false">IF($A10="","",IF(SUMIFS(Log!$I$4:$I$1203,Log!$D$4:$D$1203,$A10,Log!$B$4:$B$1203,P$5,Log!$E$4:$E$1203,"A")=0,"",SUMIFS(Log!$I$4:$I$1203,Log!$D$4:$D$1203,$A10,Log!$B$4:$B$1203,P$5,Log!$E$4:$E$1203,"A")))</f>
        <v/>
      </c>
      <c r="Q10" s="83" t="str">
        <f aca="false">IF($A10="","",IF(SUMIFS(Log!$I$4:$I$1203,Log!$D$4:$D$1203,$A10,Log!$B$4:$B$1203,Q$5,Log!$E$4:$E$1203,"A")=0,"",SUMIFS(Log!$I$4:$I$1203,Log!$D$4:$D$1203,$A10,Log!$B$4:$B$1203,Q$5,Log!$E$4:$E$1203,"A")))</f>
        <v/>
      </c>
      <c r="R10" s="84" t="n">
        <f aca="false">IF($A10="","",IF(SUMIFS(Log!$I$4:$I$1203,Log!$D$4:$D$1203,$A10,Log!$E$4:$E$1203,"A")=0,"",SUMIFS(Log!$I$4:$I$1203,Log!$D$4:$D$1203,$A10,Log!$E$4:$E$1203,"A")))</f>
        <v>7683</v>
      </c>
    </row>
    <row r="11" customFormat="false" ht="16.5" hidden="false" customHeight="true" outlineLevel="0" collapsed="false">
      <c r="A11" s="40" t="str">
        <f aca="false">IF(Übungen!$A9="","",Übungen!$A9)</f>
        <v>Rumänisches Kreuzheben</v>
      </c>
      <c r="B11" s="85" t="str">
        <f aca="false">IF($A11="","",IF(SUMIFS(Log!$I$4:$I$1203,Log!$D$4:$D$1203,$A11,Log!$B$4:$B$1203,B$5,Log!$E$4:$E$1203,"A")=0,"",SUMIFS(Log!$I$4:$I$1203,Log!$D$4:$D$1203,$A11,Log!$B$4:$B$1203,B$5,Log!$E$4:$E$1203,"A")))</f>
        <v/>
      </c>
      <c r="C11" s="85" t="str">
        <f aca="false">IF($A11="","",IF(SUMIFS(Log!$I$4:$I$1203,Log!$D$4:$D$1203,$A11,Log!$B$4:$B$1203,C$5,Log!$E$4:$E$1203,"A")=0,"",SUMIFS(Log!$I$4:$I$1203,Log!$D$4:$D$1203,$A11,Log!$B$4:$B$1203,C$5,Log!$E$4:$E$1203,"A")))</f>
        <v/>
      </c>
      <c r="D11" s="85" t="str">
        <f aca="false">IF($A11="","",IF(SUMIFS(Log!$I$4:$I$1203,Log!$D$4:$D$1203,$A11,Log!$B$4:$B$1203,D$5,Log!$E$4:$E$1203,"A")=0,"",SUMIFS(Log!$I$4:$I$1203,Log!$D$4:$D$1203,$A11,Log!$B$4:$B$1203,D$5,Log!$E$4:$E$1203,"A")))</f>
        <v/>
      </c>
      <c r="E11" s="85" t="str">
        <f aca="false">IF($A11="","",IF(SUMIFS(Log!$I$4:$I$1203,Log!$D$4:$D$1203,$A11,Log!$B$4:$B$1203,E$5,Log!$E$4:$E$1203,"A")=0,"",SUMIFS(Log!$I$4:$I$1203,Log!$D$4:$D$1203,$A11,Log!$B$4:$B$1203,E$5,Log!$E$4:$E$1203,"A")))</f>
        <v/>
      </c>
      <c r="F11" s="85" t="n">
        <f aca="false">IF($A11="","",IF(SUMIFS(Log!$I$4:$I$1203,Log!$D$4:$D$1203,$A11,Log!$B$4:$B$1203,F$5,Log!$E$4:$E$1203,"A")=0,"",SUMIFS(Log!$I$4:$I$1203,Log!$D$4:$D$1203,$A11,Log!$B$4:$B$1203,F$5,Log!$E$4:$E$1203,"A")))</f>
        <v>3740</v>
      </c>
      <c r="G11" s="85" t="str">
        <f aca="false">IF($A11="","",IF(SUMIFS(Log!$I$4:$I$1203,Log!$D$4:$D$1203,$A11,Log!$B$4:$B$1203,G$5,Log!$E$4:$E$1203,"A")=0,"",SUMIFS(Log!$I$4:$I$1203,Log!$D$4:$D$1203,$A11,Log!$B$4:$B$1203,G$5,Log!$E$4:$E$1203,"A")))</f>
        <v/>
      </c>
      <c r="H11" s="85" t="n">
        <f aca="false">IF($A11="","",IF(SUMIFS(Log!$I$4:$I$1203,Log!$D$4:$D$1203,$A11,Log!$B$4:$B$1203,H$5,Log!$E$4:$E$1203,"A")=0,"",SUMIFS(Log!$I$4:$I$1203,Log!$D$4:$D$1203,$A11,Log!$B$4:$B$1203,H$5,Log!$E$4:$E$1203,"A")))</f>
        <v>2810</v>
      </c>
      <c r="I11" s="85" t="str">
        <f aca="false">IF($A11="","",IF(SUMIFS(Log!$I$4:$I$1203,Log!$D$4:$D$1203,$A11,Log!$B$4:$B$1203,I$5,Log!$E$4:$E$1203,"A")=0,"",SUMIFS(Log!$I$4:$I$1203,Log!$D$4:$D$1203,$A11,Log!$B$4:$B$1203,I$5,Log!$E$4:$E$1203,"A")))</f>
        <v/>
      </c>
      <c r="J11" s="85" t="n">
        <f aca="false">IF($A11="","",IF(SUMIFS(Log!$I$4:$I$1203,Log!$D$4:$D$1203,$A11,Log!$B$4:$B$1203,J$5,Log!$E$4:$E$1203,"A")=0,"",SUMIFS(Log!$I$4:$I$1203,Log!$D$4:$D$1203,$A11,Log!$B$4:$B$1203,J$5,Log!$E$4:$E$1203,"A")))</f>
        <v>2665</v>
      </c>
      <c r="K11" s="85" t="str">
        <f aca="false">IF($A11="","",IF(SUMIFS(Log!$I$4:$I$1203,Log!$D$4:$D$1203,$A11,Log!$B$4:$B$1203,K$5,Log!$E$4:$E$1203,"A")=0,"",SUMIFS(Log!$I$4:$I$1203,Log!$D$4:$D$1203,$A11,Log!$B$4:$B$1203,K$5,Log!$E$4:$E$1203,"A")))</f>
        <v/>
      </c>
      <c r="L11" s="85" t="n">
        <f aca="false">IF($A11="","",IF(SUMIFS(Log!$I$4:$I$1203,Log!$D$4:$D$1203,$A11,Log!$B$4:$B$1203,L$5,Log!$E$4:$E$1203,"A")=0,"",SUMIFS(Log!$I$4:$I$1203,Log!$D$4:$D$1203,$A11,Log!$B$4:$B$1203,L$5,Log!$E$4:$E$1203,"A")))</f>
        <v>1540</v>
      </c>
      <c r="M11" s="85" t="str">
        <f aca="false">IF($A11="","",IF(SUMIFS(Log!$I$4:$I$1203,Log!$D$4:$D$1203,$A11,Log!$B$4:$B$1203,M$5,Log!$E$4:$E$1203,"A")=0,"",SUMIFS(Log!$I$4:$I$1203,Log!$D$4:$D$1203,$A11,Log!$B$4:$B$1203,M$5,Log!$E$4:$E$1203,"A")))</f>
        <v/>
      </c>
      <c r="N11" s="85" t="str">
        <f aca="false">IF($A11="","",IF(SUMIFS(Log!$I$4:$I$1203,Log!$D$4:$D$1203,$A11,Log!$B$4:$B$1203,N$5,Log!$E$4:$E$1203,"A")=0,"",SUMIFS(Log!$I$4:$I$1203,Log!$D$4:$D$1203,$A11,Log!$B$4:$B$1203,N$5,Log!$E$4:$E$1203,"A")))</f>
        <v/>
      </c>
      <c r="O11" s="85" t="str">
        <f aca="false">IF($A11="","",IF(SUMIFS(Log!$I$4:$I$1203,Log!$D$4:$D$1203,$A11,Log!$B$4:$B$1203,O$5,Log!$E$4:$E$1203,"A")=0,"",SUMIFS(Log!$I$4:$I$1203,Log!$D$4:$D$1203,$A11,Log!$B$4:$B$1203,O$5,Log!$E$4:$E$1203,"A")))</f>
        <v/>
      </c>
      <c r="P11" s="85" t="str">
        <f aca="false">IF($A11="","",IF(SUMIFS(Log!$I$4:$I$1203,Log!$D$4:$D$1203,$A11,Log!$B$4:$B$1203,P$5,Log!$E$4:$E$1203,"A")=0,"",SUMIFS(Log!$I$4:$I$1203,Log!$D$4:$D$1203,$A11,Log!$B$4:$B$1203,P$5,Log!$E$4:$E$1203,"A")))</f>
        <v/>
      </c>
      <c r="Q11" s="85" t="str">
        <f aca="false">IF($A11="","",IF(SUMIFS(Log!$I$4:$I$1203,Log!$D$4:$D$1203,$A11,Log!$B$4:$B$1203,Q$5,Log!$E$4:$E$1203,"A")=0,"",SUMIFS(Log!$I$4:$I$1203,Log!$D$4:$D$1203,$A11,Log!$B$4:$B$1203,Q$5,Log!$E$4:$E$1203,"A")))</f>
        <v/>
      </c>
      <c r="R11" s="84" t="n">
        <f aca="false">IF($A11="","",IF(SUMIFS(Log!$I$4:$I$1203,Log!$D$4:$D$1203,$A11,Log!$E$4:$E$1203,"A")=0,"",SUMIFS(Log!$I$4:$I$1203,Log!$D$4:$D$1203,$A11,Log!$E$4:$E$1203,"A")))</f>
        <v>10755</v>
      </c>
    </row>
    <row r="12" customFormat="false" ht="16.5" hidden="false" customHeight="true" outlineLevel="0" collapsed="false">
      <c r="A12" s="34" t="str">
        <f aca="false">IF(Übungen!$A10="","",Übungen!$A10)</f>
        <v>Rumänisches Kreuzheben KH</v>
      </c>
      <c r="B12" s="83" t="str">
        <f aca="false">IF($A12="","",IF(SUMIFS(Log!$I$4:$I$1203,Log!$D$4:$D$1203,$A12,Log!$B$4:$B$1203,B$5,Log!$E$4:$E$1203,"A")=0,"",SUMIFS(Log!$I$4:$I$1203,Log!$D$4:$D$1203,$A12,Log!$B$4:$B$1203,B$5,Log!$E$4:$E$1203,"A")))</f>
        <v/>
      </c>
      <c r="C12" s="83" t="str">
        <f aca="false">IF($A12="","",IF(SUMIFS(Log!$I$4:$I$1203,Log!$D$4:$D$1203,$A12,Log!$B$4:$B$1203,C$5,Log!$E$4:$E$1203,"A")=0,"",SUMIFS(Log!$I$4:$I$1203,Log!$D$4:$D$1203,$A12,Log!$B$4:$B$1203,C$5,Log!$E$4:$E$1203,"A")))</f>
        <v/>
      </c>
      <c r="D12" s="83" t="str">
        <f aca="false">IF($A12="","",IF(SUMIFS(Log!$I$4:$I$1203,Log!$D$4:$D$1203,$A12,Log!$B$4:$B$1203,D$5,Log!$E$4:$E$1203,"A")=0,"",SUMIFS(Log!$I$4:$I$1203,Log!$D$4:$D$1203,$A12,Log!$B$4:$B$1203,D$5,Log!$E$4:$E$1203,"A")))</f>
        <v/>
      </c>
      <c r="E12" s="83" t="str">
        <f aca="false">IF($A12="","",IF(SUMIFS(Log!$I$4:$I$1203,Log!$D$4:$D$1203,$A12,Log!$B$4:$B$1203,E$5,Log!$E$4:$E$1203,"A")=0,"",SUMIFS(Log!$I$4:$I$1203,Log!$D$4:$D$1203,$A12,Log!$B$4:$B$1203,E$5,Log!$E$4:$E$1203,"A")))</f>
        <v/>
      </c>
      <c r="F12" s="83" t="str">
        <f aca="false">IF($A12="","",IF(SUMIFS(Log!$I$4:$I$1203,Log!$D$4:$D$1203,$A12,Log!$B$4:$B$1203,F$5,Log!$E$4:$E$1203,"A")=0,"",SUMIFS(Log!$I$4:$I$1203,Log!$D$4:$D$1203,$A12,Log!$B$4:$B$1203,F$5,Log!$E$4:$E$1203,"A")))</f>
        <v/>
      </c>
      <c r="G12" s="83" t="str">
        <f aca="false">IF($A12="","",IF(SUMIFS(Log!$I$4:$I$1203,Log!$D$4:$D$1203,$A12,Log!$B$4:$B$1203,G$5,Log!$E$4:$E$1203,"A")=0,"",SUMIFS(Log!$I$4:$I$1203,Log!$D$4:$D$1203,$A12,Log!$B$4:$B$1203,G$5,Log!$E$4:$E$1203,"A")))</f>
        <v/>
      </c>
      <c r="H12" s="83" t="str">
        <f aca="false">IF($A12="","",IF(SUMIFS(Log!$I$4:$I$1203,Log!$D$4:$D$1203,$A12,Log!$B$4:$B$1203,H$5,Log!$E$4:$E$1203,"A")=0,"",SUMIFS(Log!$I$4:$I$1203,Log!$D$4:$D$1203,$A12,Log!$B$4:$B$1203,H$5,Log!$E$4:$E$1203,"A")))</f>
        <v/>
      </c>
      <c r="I12" s="83" t="str">
        <f aca="false">IF($A12="","",IF(SUMIFS(Log!$I$4:$I$1203,Log!$D$4:$D$1203,$A12,Log!$B$4:$B$1203,I$5,Log!$E$4:$E$1203,"A")=0,"",SUMIFS(Log!$I$4:$I$1203,Log!$D$4:$D$1203,$A12,Log!$B$4:$B$1203,I$5,Log!$E$4:$E$1203,"A")))</f>
        <v/>
      </c>
      <c r="J12" s="83" t="str">
        <f aca="false">IF($A12="","",IF(SUMIFS(Log!$I$4:$I$1203,Log!$D$4:$D$1203,$A12,Log!$B$4:$B$1203,J$5,Log!$E$4:$E$1203,"A")=0,"",SUMIFS(Log!$I$4:$I$1203,Log!$D$4:$D$1203,$A12,Log!$B$4:$B$1203,J$5,Log!$E$4:$E$1203,"A")))</f>
        <v/>
      </c>
      <c r="K12" s="83" t="str">
        <f aca="false">IF($A12="","",IF(SUMIFS(Log!$I$4:$I$1203,Log!$D$4:$D$1203,$A12,Log!$B$4:$B$1203,K$5,Log!$E$4:$E$1203,"A")=0,"",SUMIFS(Log!$I$4:$I$1203,Log!$D$4:$D$1203,$A12,Log!$B$4:$B$1203,K$5,Log!$E$4:$E$1203,"A")))</f>
        <v/>
      </c>
      <c r="L12" s="83" t="str">
        <f aca="false">IF($A12="","",IF(SUMIFS(Log!$I$4:$I$1203,Log!$D$4:$D$1203,$A12,Log!$B$4:$B$1203,L$5,Log!$E$4:$E$1203,"A")=0,"",SUMIFS(Log!$I$4:$I$1203,Log!$D$4:$D$1203,$A12,Log!$B$4:$B$1203,L$5,Log!$E$4:$E$1203,"A")))</f>
        <v/>
      </c>
      <c r="M12" s="83" t="str">
        <f aca="false">IF($A12="","",IF(SUMIFS(Log!$I$4:$I$1203,Log!$D$4:$D$1203,$A12,Log!$B$4:$B$1203,M$5,Log!$E$4:$E$1203,"A")=0,"",SUMIFS(Log!$I$4:$I$1203,Log!$D$4:$D$1203,$A12,Log!$B$4:$B$1203,M$5,Log!$E$4:$E$1203,"A")))</f>
        <v/>
      </c>
      <c r="N12" s="83" t="str">
        <f aca="false">IF($A12="","",IF(SUMIFS(Log!$I$4:$I$1203,Log!$D$4:$D$1203,$A12,Log!$B$4:$B$1203,N$5,Log!$E$4:$E$1203,"A")=0,"",SUMIFS(Log!$I$4:$I$1203,Log!$D$4:$D$1203,$A12,Log!$B$4:$B$1203,N$5,Log!$E$4:$E$1203,"A")))</f>
        <v/>
      </c>
      <c r="O12" s="83" t="n">
        <f aca="false">IF($A12="","",IF(SUMIFS(Log!$I$4:$I$1203,Log!$D$4:$D$1203,$A12,Log!$B$4:$B$1203,O$5,Log!$E$4:$E$1203,"A")=0,"",SUMIFS(Log!$I$4:$I$1203,Log!$D$4:$D$1203,$A12,Log!$B$4:$B$1203,O$5,Log!$E$4:$E$1203,"A")))</f>
        <v>480</v>
      </c>
      <c r="P12" s="83" t="str">
        <f aca="false">IF($A12="","",IF(SUMIFS(Log!$I$4:$I$1203,Log!$D$4:$D$1203,$A12,Log!$B$4:$B$1203,P$5,Log!$E$4:$E$1203,"A")=0,"",SUMIFS(Log!$I$4:$I$1203,Log!$D$4:$D$1203,$A12,Log!$B$4:$B$1203,P$5,Log!$E$4:$E$1203,"A")))</f>
        <v/>
      </c>
      <c r="Q12" s="83" t="str">
        <f aca="false">IF($A12="","",IF(SUMIFS(Log!$I$4:$I$1203,Log!$D$4:$D$1203,$A12,Log!$B$4:$B$1203,Q$5,Log!$E$4:$E$1203,"A")=0,"",SUMIFS(Log!$I$4:$I$1203,Log!$D$4:$D$1203,$A12,Log!$B$4:$B$1203,Q$5,Log!$E$4:$E$1203,"A")))</f>
        <v/>
      </c>
      <c r="R12" s="84" t="n">
        <f aca="false">IF($A12="","",IF(SUMIFS(Log!$I$4:$I$1203,Log!$D$4:$D$1203,$A12,Log!$E$4:$E$1203,"A")=0,"",SUMIFS(Log!$I$4:$I$1203,Log!$D$4:$D$1203,$A12,Log!$E$4:$E$1203,"A")))</f>
        <v>480</v>
      </c>
    </row>
    <row r="13" customFormat="false" ht="16.5" hidden="false" customHeight="true" outlineLevel="0" collapsed="false">
      <c r="A13" s="40" t="str">
        <f aca="false">IF(Übungen!$A11="","",Übungen!$A11)</f>
        <v>Beinpresse breit</v>
      </c>
      <c r="B13" s="85" t="str">
        <f aca="false">IF($A13="","",IF(SUMIFS(Log!$I$4:$I$1203,Log!$D$4:$D$1203,$A13,Log!$B$4:$B$1203,B$5,Log!$E$4:$E$1203,"A")=0,"",SUMIFS(Log!$I$4:$I$1203,Log!$D$4:$D$1203,$A13,Log!$B$4:$B$1203,B$5,Log!$E$4:$E$1203,"A")))</f>
        <v/>
      </c>
      <c r="C13" s="85" t="str">
        <f aca="false">IF($A13="","",IF(SUMIFS(Log!$I$4:$I$1203,Log!$D$4:$D$1203,$A13,Log!$B$4:$B$1203,C$5,Log!$E$4:$E$1203,"A")=0,"",SUMIFS(Log!$I$4:$I$1203,Log!$D$4:$D$1203,$A13,Log!$B$4:$B$1203,C$5,Log!$E$4:$E$1203,"A")))</f>
        <v/>
      </c>
      <c r="D13" s="85" t="str">
        <f aca="false">IF($A13="","",IF(SUMIFS(Log!$I$4:$I$1203,Log!$D$4:$D$1203,$A13,Log!$B$4:$B$1203,D$5,Log!$E$4:$E$1203,"A")=0,"",SUMIFS(Log!$I$4:$I$1203,Log!$D$4:$D$1203,$A13,Log!$B$4:$B$1203,D$5,Log!$E$4:$E$1203,"A")))</f>
        <v/>
      </c>
      <c r="E13" s="85" t="str">
        <f aca="false">IF($A13="","",IF(SUMIFS(Log!$I$4:$I$1203,Log!$D$4:$D$1203,$A13,Log!$B$4:$B$1203,E$5,Log!$E$4:$E$1203,"A")=0,"",SUMIFS(Log!$I$4:$I$1203,Log!$D$4:$D$1203,$A13,Log!$B$4:$B$1203,E$5,Log!$E$4:$E$1203,"A")))</f>
        <v/>
      </c>
      <c r="F13" s="85" t="str">
        <f aca="false">IF($A13="","",IF(SUMIFS(Log!$I$4:$I$1203,Log!$D$4:$D$1203,$A13,Log!$B$4:$B$1203,F$5,Log!$E$4:$E$1203,"A")=0,"",SUMIFS(Log!$I$4:$I$1203,Log!$D$4:$D$1203,$A13,Log!$B$4:$B$1203,F$5,Log!$E$4:$E$1203,"A")))</f>
        <v/>
      </c>
      <c r="G13" s="85" t="str">
        <f aca="false">IF($A13="","",IF(SUMIFS(Log!$I$4:$I$1203,Log!$D$4:$D$1203,$A13,Log!$B$4:$B$1203,G$5,Log!$E$4:$E$1203,"A")=0,"",SUMIFS(Log!$I$4:$I$1203,Log!$D$4:$D$1203,$A13,Log!$B$4:$B$1203,G$5,Log!$E$4:$E$1203,"A")))</f>
        <v/>
      </c>
      <c r="H13" s="85" t="str">
        <f aca="false">IF($A13="","",IF(SUMIFS(Log!$I$4:$I$1203,Log!$D$4:$D$1203,$A13,Log!$B$4:$B$1203,H$5,Log!$E$4:$E$1203,"A")=0,"",SUMIFS(Log!$I$4:$I$1203,Log!$D$4:$D$1203,$A13,Log!$B$4:$B$1203,H$5,Log!$E$4:$E$1203,"A")))</f>
        <v/>
      </c>
      <c r="I13" s="85" t="str">
        <f aca="false">IF($A13="","",IF(SUMIFS(Log!$I$4:$I$1203,Log!$D$4:$D$1203,$A13,Log!$B$4:$B$1203,I$5,Log!$E$4:$E$1203,"A")=0,"",SUMIFS(Log!$I$4:$I$1203,Log!$D$4:$D$1203,$A13,Log!$B$4:$B$1203,I$5,Log!$E$4:$E$1203,"A")))</f>
        <v/>
      </c>
      <c r="J13" s="85" t="str">
        <f aca="false">IF($A13="","",IF(SUMIFS(Log!$I$4:$I$1203,Log!$D$4:$D$1203,$A13,Log!$B$4:$B$1203,J$5,Log!$E$4:$E$1203,"A")=0,"",SUMIFS(Log!$I$4:$I$1203,Log!$D$4:$D$1203,$A13,Log!$B$4:$B$1203,J$5,Log!$E$4:$E$1203,"A")))</f>
        <v/>
      </c>
      <c r="K13" s="85" t="str">
        <f aca="false">IF($A13="","",IF(SUMIFS(Log!$I$4:$I$1203,Log!$D$4:$D$1203,$A13,Log!$B$4:$B$1203,K$5,Log!$E$4:$E$1203,"A")=0,"",SUMIFS(Log!$I$4:$I$1203,Log!$D$4:$D$1203,$A13,Log!$B$4:$B$1203,K$5,Log!$E$4:$E$1203,"A")))</f>
        <v/>
      </c>
      <c r="L13" s="85" t="str">
        <f aca="false">IF($A13="","",IF(SUMIFS(Log!$I$4:$I$1203,Log!$D$4:$D$1203,$A13,Log!$B$4:$B$1203,L$5,Log!$E$4:$E$1203,"A")=0,"",SUMIFS(Log!$I$4:$I$1203,Log!$D$4:$D$1203,$A13,Log!$B$4:$B$1203,L$5,Log!$E$4:$E$1203,"A")))</f>
        <v/>
      </c>
      <c r="M13" s="85" t="str">
        <f aca="false">IF($A13="","",IF(SUMIFS(Log!$I$4:$I$1203,Log!$D$4:$D$1203,$A13,Log!$B$4:$B$1203,M$5,Log!$E$4:$E$1203,"A")=0,"",SUMIFS(Log!$I$4:$I$1203,Log!$D$4:$D$1203,$A13,Log!$B$4:$B$1203,M$5,Log!$E$4:$E$1203,"A")))</f>
        <v/>
      </c>
      <c r="N13" s="85" t="str">
        <f aca="false">IF($A13="","",IF(SUMIFS(Log!$I$4:$I$1203,Log!$D$4:$D$1203,$A13,Log!$B$4:$B$1203,N$5,Log!$E$4:$E$1203,"A")=0,"",SUMIFS(Log!$I$4:$I$1203,Log!$D$4:$D$1203,$A13,Log!$B$4:$B$1203,N$5,Log!$E$4:$E$1203,"A")))</f>
        <v/>
      </c>
      <c r="O13" s="85" t="str">
        <f aca="false">IF($A13="","",IF(SUMIFS(Log!$I$4:$I$1203,Log!$D$4:$D$1203,$A13,Log!$B$4:$B$1203,O$5,Log!$E$4:$E$1203,"A")=0,"",SUMIFS(Log!$I$4:$I$1203,Log!$D$4:$D$1203,$A13,Log!$B$4:$B$1203,O$5,Log!$E$4:$E$1203,"A")))</f>
        <v/>
      </c>
      <c r="P13" s="85" t="str">
        <f aca="false">IF($A13="","",IF(SUMIFS(Log!$I$4:$I$1203,Log!$D$4:$D$1203,$A13,Log!$B$4:$B$1203,P$5,Log!$E$4:$E$1203,"A")=0,"",SUMIFS(Log!$I$4:$I$1203,Log!$D$4:$D$1203,$A13,Log!$B$4:$B$1203,P$5,Log!$E$4:$E$1203,"A")))</f>
        <v/>
      </c>
      <c r="Q13" s="85" t="str">
        <f aca="false">IF($A13="","",IF(SUMIFS(Log!$I$4:$I$1203,Log!$D$4:$D$1203,$A13,Log!$B$4:$B$1203,Q$5,Log!$E$4:$E$1203,"A")=0,"",SUMIFS(Log!$I$4:$I$1203,Log!$D$4:$D$1203,$A13,Log!$B$4:$B$1203,Q$5,Log!$E$4:$E$1203,"A")))</f>
        <v/>
      </c>
      <c r="R13" s="84" t="str">
        <f aca="false">IF($A13="","",IF(SUMIFS(Log!$I$4:$I$1203,Log!$D$4:$D$1203,$A13,Log!$E$4:$E$1203,"A")=0,"",SUMIFS(Log!$I$4:$I$1203,Log!$D$4:$D$1203,$A13,Log!$E$4:$E$1203,"A")))</f>
        <v/>
      </c>
    </row>
    <row r="14" customFormat="false" ht="16.5" hidden="false" customHeight="true" outlineLevel="0" collapsed="false">
      <c r="A14" s="34" t="str">
        <f aca="false">IF(Übungen!$A12="","",Übungen!$A12)</f>
        <v>Hip Thrust</v>
      </c>
      <c r="B14" s="83" t="n">
        <f aca="false">IF($A14="","",IF(SUMIFS(Log!$I$4:$I$1203,Log!$D$4:$D$1203,$A14,Log!$B$4:$B$1203,B$5,Log!$E$4:$E$1203,"A")=0,"",SUMIFS(Log!$I$4:$I$1203,Log!$D$4:$D$1203,$A14,Log!$B$4:$B$1203,B$5,Log!$E$4:$E$1203,"A")))</f>
        <v>4560</v>
      </c>
      <c r="C14" s="83" t="n">
        <f aca="false">IF($A14="","",IF(SUMIFS(Log!$I$4:$I$1203,Log!$D$4:$D$1203,$A14,Log!$B$4:$B$1203,C$5,Log!$E$4:$E$1203,"A")=0,"",SUMIFS(Log!$I$4:$I$1203,Log!$D$4:$D$1203,$A14,Log!$B$4:$B$1203,C$5,Log!$E$4:$E$1203,"A")))</f>
        <v>4080</v>
      </c>
      <c r="D14" s="83" t="n">
        <f aca="false">IF($A14="","",IF(SUMIFS(Log!$I$4:$I$1203,Log!$D$4:$D$1203,$A14,Log!$B$4:$B$1203,D$5,Log!$E$4:$E$1203,"A")=0,"",SUMIFS(Log!$I$4:$I$1203,Log!$D$4:$D$1203,$A14,Log!$B$4:$B$1203,D$5,Log!$E$4:$E$1203,"A")))</f>
        <v>4940</v>
      </c>
      <c r="E14" s="83" t="n">
        <f aca="false">IF($A14="","",IF(SUMIFS(Log!$I$4:$I$1203,Log!$D$4:$D$1203,$A14,Log!$B$4:$B$1203,E$5,Log!$E$4:$E$1203,"A")=0,"",SUMIFS(Log!$I$4:$I$1203,Log!$D$4:$D$1203,$A14,Log!$B$4:$B$1203,E$5,Log!$E$4:$E$1203,"A")))</f>
        <v>6480</v>
      </c>
      <c r="F14" s="83" t="n">
        <f aca="false">IF($A14="","",IF(SUMIFS(Log!$I$4:$I$1203,Log!$D$4:$D$1203,$A14,Log!$B$4:$B$1203,F$5,Log!$E$4:$E$1203,"A")=0,"",SUMIFS(Log!$I$4:$I$1203,Log!$D$4:$D$1203,$A14,Log!$B$4:$B$1203,F$5,Log!$E$4:$E$1203,"A")))</f>
        <v>5020</v>
      </c>
      <c r="G14" s="83" t="str">
        <f aca="false">IF($A14="","",IF(SUMIFS(Log!$I$4:$I$1203,Log!$D$4:$D$1203,$A14,Log!$B$4:$B$1203,G$5,Log!$E$4:$E$1203,"A")=0,"",SUMIFS(Log!$I$4:$I$1203,Log!$D$4:$D$1203,$A14,Log!$B$4:$B$1203,G$5,Log!$E$4:$E$1203,"A")))</f>
        <v/>
      </c>
      <c r="H14" s="83" t="n">
        <f aca="false">IF($A14="","",IF(SUMIFS(Log!$I$4:$I$1203,Log!$D$4:$D$1203,$A14,Log!$B$4:$B$1203,H$5,Log!$E$4:$E$1203,"A")=0,"",SUMIFS(Log!$I$4:$I$1203,Log!$D$4:$D$1203,$A14,Log!$B$4:$B$1203,H$5,Log!$E$4:$E$1203,"A")))</f>
        <v>6880</v>
      </c>
      <c r="I14" s="83" t="str">
        <f aca="false">IF($A14="","",IF(SUMIFS(Log!$I$4:$I$1203,Log!$D$4:$D$1203,$A14,Log!$B$4:$B$1203,I$5,Log!$E$4:$E$1203,"A")=0,"",SUMIFS(Log!$I$4:$I$1203,Log!$D$4:$D$1203,$A14,Log!$B$4:$B$1203,I$5,Log!$E$4:$E$1203,"A")))</f>
        <v/>
      </c>
      <c r="J14" s="83" t="str">
        <f aca="false">IF($A14="","",IF(SUMIFS(Log!$I$4:$I$1203,Log!$D$4:$D$1203,$A14,Log!$B$4:$B$1203,J$5,Log!$E$4:$E$1203,"A")=0,"",SUMIFS(Log!$I$4:$I$1203,Log!$D$4:$D$1203,$A14,Log!$B$4:$B$1203,J$5,Log!$E$4:$E$1203,"A")))</f>
        <v/>
      </c>
      <c r="K14" s="83" t="str">
        <f aca="false">IF($A14="","",IF(SUMIFS(Log!$I$4:$I$1203,Log!$D$4:$D$1203,$A14,Log!$B$4:$B$1203,K$5,Log!$E$4:$E$1203,"A")=0,"",SUMIFS(Log!$I$4:$I$1203,Log!$D$4:$D$1203,$A14,Log!$B$4:$B$1203,K$5,Log!$E$4:$E$1203,"A")))</f>
        <v/>
      </c>
      <c r="L14" s="83" t="n">
        <f aca="false">IF($A14="","",IF(SUMIFS(Log!$I$4:$I$1203,Log!$D$4:$D$1203,$A14,Log!$B$4:$B$1203,L$5,Log!$E$4:$E$1203,"A")=0,"",SUMIFS(Log!$I$4:$I$1203,Log!$D$4:$D$1203,$A14,Log!$B$4:$B$1203,L$5,Log!$E$4:$E$1203,"A")))</f>
        <v>5480</v>
      </c>
      <c r="M14" s="83" t="str">
        <f aca="false">IF($A14="","",IF(SUMIFS(Log!$I$4:$I$1203,Log!$D$4:$D$1203,$A14,Log!$B$4:$B$1203,M$5,Log!$E$4:$E$1203,"A")=0,"",SUMIFS(Log!$I$4:$I$1203,Log!$D$4:$D$1203,$A14,Log!$B$4:$B$1203,M$5,Log!$E$4:$E$1203,"A")))</f>
        <v/>
      </c>
      <c r="N14" s="83" t="n">
        <f aca="false">IF($A14="","",IF(SUMIFS(Log!$I$4:$I$1203,Log!$D$4:$D$1203,$A14,Log!$B$4:$B$1203,N$5,Log!$E$4:$E$1203,"A")=0,"",SUMIFS(Log!$I$4:$I$1203,Log!$D$4:$D$1203,$A14,Log!$B$4:$B$1203,N$5,Log!$E$4:$E$1203,"A")))</f>
        <v>6340</v>
      </c>
      <c r="O14" s="83" t="n">
        <f aca="false">IF($A14="","",IF(SUMIFS(Log!$I$4:$I$1203,Log!$D$4:$D$1203,$A14,Log!$B$4:$B$1203,O$5,Log!$E$4:$E$1203,"A")=0,"",SUMIFS(Log!$I$4:$I$1203,Log!$D$4:$D$1203,$A14,Log!$B$4:$B$1203,O$5,Log!$E$4:$E$1203,"A")))</f>
        <v>4590</v>
      </c>
      <c r="P14" s="83" t="str">
        <f aca="false">IF($A14="","",IF(SUMIFS(Log!$I$4:$I$1203,Log!$D$4:$D$1203,$A14,Log!$B$4:$B$1203,P$5,Log!$E$4:$E$1203,"A")=0,"",SUMIFS(Log!$I$4:$I$1203,Log!$D$4:$D$1203,$A14,Log!$B$4:$B$1203,P$5,Log!$E$4:$E$1203,"A")))</f>
        <v/>
      </c>
      <c r="Q14" s="83" t="str">
        <f aca="false">IF($A14="","",IF(SUMIFS(Log!$I$4:$I$1203,Log!$D$4:$D$1203,$A14,Log!$B$4:$B$1203,Q$5,Log!$E$4:$E$1203,"A")=0,"",SUMIFS(Log!$I$4:$I$1203,Log!$D$4:$D$1203,$A14,Log!$B$4:$B$1203,Q$5,Log!$E$4:$E$1203,"A")))</f>
        <v/>
      </c>
      <c r="R14" s="84" t="n">
        <f aca="false">IF($A14="","",IF(SUMIFS(Log!$I$4:$I$1203,Log!$D$4:$D$1203,$A14,Log!$E$4:$E$1203,"A")=0,"",SUMIFS(Log!$I$4:$I$1203,Log!$D$4:$D$1203,$A14,Log!$E$4:$E$1203,"A")))</f>
        <v>48370</v>
      </c>
    </row>
    <row r="15" customFormat="false" ht="16.5" hidden="false" customHeight="true" outlineLevel="0" collapsed="false">
      <c r="A15" s="40" t="str">
        <f aca="false">IF(Übungen!$A13="","",Übungen!$A13)</f>
        <v>Hip &amp; Glute</v>
      </c>
      <c r="B15" s="85" t="str">
        <f aca="false">IF($A15="","",IF(SUMIFS(Log!$I$4:$I$1203,Log!$D$4:$D$1203,$A15,Log!$B$4:$B$1203,B$5,Log!$E$4:$E$1203,"A")=0,"",SUMIFS(Log!$I$4:$I$1203,Log!$D$4:$D$1203,$A15,Log!$B$4:$B$1203,B$5,Log!$E$4:$E$1203,"A")))</f>
        <v/>
      </c>
      <c r="C15" s="85" t="str">
        <f aca="false">IF($A15="","",IF(SUMIFS(Log!$I$4:$I$1203,Log!$D$4:$D$1203,$A15,Log!$B$4:$B$1203,C$5,Log!$E$4:$E$1203,"A")=0,"",SUMIFS(Log!$I$4:$I$1203,Log!$D$4:$D$1203,$A15,Log!$B$4:$B$1203,C$5,Log!$E$4:$E$1203,"A")))</f>
        <v/>
      </c>
      <c r="D15" s="85" t="str">
        <f aca="false">IF($A15="","",IF(SUMIFS(Log!$I$4:$I$1203,Log!$D$4:$D$1203,$A15,Log!$B$4:$B$1203,D$5,Log!$E$4:$E$1203,"A")=0,"",SUMIFS(Log!$I$4:$I$1203,Log!$D$4:$D$1203,$A15,Log!$B$4:$B$1203,D$5,Log!$E$4:$E$1203,"A")))</f>
        <v/>
      </c>
      <c r="E15" s="85" t="str">
        <f aca="false">IF($A15="","",IF(SUMIFS(Log!$I$4:$I$1203,Log!$D$4:$D$1203,$A15,Log!$B$4:$B$1203,E$5,Log!$E$4:$E$1203,"A")=0,"",SUMIFS(Log!$I$4:$I$1203,Log!$D$4:$D$1203,$A15,Log!$B$4:$B$1203,E$5,Log!$E$4:$E$1203,"A")))</f>
        <v/>
      </c>
      <c r="F15" s="85" t="str">
        <f aca="false">IF($A15="","",IF(SUMIFS(Log!$I$4:$I$1203,Log!$D$4:$D$1203,$A15,Log!$B$4:$B$1203,F$5,Log!$E$4:$E$1203,"A")=0,"",SUMIFS(Log!$I$4:$I$1203,Log!$D$4:$D$1203,$A15,Log!$B$4:$B$1203,F$5,Log!$E$4:$E$1203,"A")))</f>
        <v/>
      </c>
      <c r="G15" s="85" t="str">
        <f aca="false">IF($A15="","",IF(SUMIFS(Log!$I$4:$I$1203,Log!$D$4:$D$1203,$A15,Log!$B$4:$B$1203,G$5,Log!$E$4:$E$1203,"A")=0,"",SUMIFS(Log!$I$4:$I$1203,Log!$D$4:$D$1203,$A15,Log!$B$4:$B$1203,G$5,Log!$E$4:$E$1203,"A")))</f>
        <v/>
      </c>
      <c r="H15" s="85" t="n">
        <f aca="false">IF($A15="","",IF(SUMIFS(Log!$I$4:$I$1203,Log!$D$4:$D$1203,$A15,Log!$B$4:$B$1203,H$5,Log!$E$4:$E$1203,"A")=0,"",SUMIFS(Log!$I$4:$I$1203,Log!$D$4:$D$1203,$A15,Log!$B$4:$B$1203,H$5,Log!$E$4:$E$1203,"A")))</f>
        <v>3732</v>
      </c>
      <c r="I15" s="85" t="str">
        <f aca="false">IF($A15="","",IF(SUMIFS(Log!$I$4:$I$1203,Log!$D$4:$D$1203,$A15,Log!$B$4:$B$1203,I$5,Log!$E$4:$E$1203,"A")=0,"",SUMIFS(Log!$I$4:$I$1203,Log!$D$4:$D$1203,$A15,Log!$B$4:$B$1203,I$5,Log!$E$4:$E$1203,"A")))</f>
        <v/>
      </c>
      <c r="J15" s="85" t="n">
        <f aca="false">IF($A15="","",IF(SUMIFS(Log!$I$4:$I$1203,Log!$D$4:$D$1203,$A15,Log!$B$4:$B$1203,J$5,Log!$E$4:$E$1203,"A")=0,"",SUMIFS(Log!$I$4:$I$1203,Log!$D$4:$D$1203,$A15,Log!$B$4:$B$1203,J$5,Log!$E$4:$E$1203,"A")))</f>
        <v>5190</v>
      </c>
      <c r="K15" s="85" t="str">
        <f aca="false">IF($A15="","",IF(SUMIFS(Log!$I$4:$I$1203,Log!$D$4:$D$1203,$A15,Log!$B$4:$B$1203,K$5,Log!$E$4:$E$1203,"A")=0,"",SUMIFS(Log!$I$4:$I$1203,Log!$D$4:$D$1203,$A15,Log!$B$4:$B$1203,K$5,Log!$E$4:$E$1203,"A")))</f>
        <v/>
      </c>
      <c r="L15" s="85" t="n">
        <f aca="false">IF($A15="","",IF(SUMIFS(Log!$I$4:$I$1203,Log!$D$4:$D$1203,$A15,Log!$B$4:$B$1203,L$5,Log!$E$4:$E$1203,"A")=0,"",SUMIFS(Log!$I$4:$I$1203,Log!$D$4:$D$1203,$A15,Log!$B$4:$B$1203,L$5,Log!$E$4:$E$1203,"A")))</f>
        <v>5202</v>
      </c>
      <c r="M15" s="85" t="str">
        <f aca="false">IF($A15="","",IF(SUMIFS(Log!$I$4:$I$1203,Log!$D$4:$D$1203,$A15,Log!$B$4:$B$1203,M$5,Log!$E$4:$E$1203,"A")=0,"",SUMIFS(Log!$I$4:$I$1203,Log!$D$4:$D$1203,$A15,Log!$B$4:$B$1203,M$5,Log!$E$4:$E$1203,"A")))</f>
        <v/>
      </c>
      <c r="N15" s="85" t="n">
        <f aca="false">IF($A15="","",IF(SUMIFS(Log!$I$4:$I$1203,Log!$D$4:$D$1203,$A15,Log!$B$4:$B$1203,N$5,Log!$E$4:$E$1203,"A")=0,"",SUMIFS(Log!$I$4:$I$1203,Log!$D$4:$D$1203,$A15,Log!$B$4:$B$1203,N$5,Log!$E$4:$E$1203,"A")))</f>
        <v>1176</v>
      </c>
      <c r="O15" s="85" t="n">
        <f aca="false">IF($A15="","",IF(SUMIFS(Log!$I$4:$I$1203,Log!$D$4:$D$1203,$A15,Log!$B$4:$B$1203,O$5,Log!$E$4:$E$1203,"A")=0,"",SUMIFS(Log!$I$4:$I$1203,Log!$D$4:$D$1203,$A15,Log!$B$4:$B$1203,O$5,Log!$E$4:$E$1203,"A")))</f>
        <v>2737</v>
      </c>
      <c r="P15" s="85" t="str">
        <f aca="false">IF($A15="","",IF(SUMIFS(Log!$I$4:$I$1203,Log!$D$4:$D$1203,$A15,Log!$B$4:$B$1203,P$5,Log!$E$4:$E$1203,"A")=0,"",SUMIFS(Log!$I$4:$I$1203,Log!$D$4:$D$1203,$A15,Log!$B$4:$B$1203,P$5,Log!$E$4:$E$1203,"A")))</f>
        <v/>
      </c>
      <c r="Q15" s="85" t="str">
        <f aca="false">IF($A15="","",IF(SUMIFS(Log!$I$4:$I$1203,Log!$D$4:$D$1203,$A15,Log!$B$4:$B$1203,Q$5,Log!$E$4:$E$1203,"A")=0,"",SUMIFS(Log!$I$4:$I$1203,Log!$D$4:$D$1203,$A15,Log!$B$4:$B$1203,Q$5,Log!$E$4:$E$1203,"A")))</f>
        <v/>
      </c>
      <c r="R15" s="84" t="n">
        <f aca="false">IF($A15="","",IF(SUMIFS(Log!$I$4:$I$1203,Log!$D$4:$D$1203,$A15,Log!$E$4:$E$1203,"A")=0,"",SUMIFS(Log!$I$4:$I$1203,Log!$D$4:$D$1203,$A15,Log!$E$4:$E$1203,"A")))</f>
        <v>18037</v>
      </c>
    </row>
    <row r="16" customFormat="false" ht="16.5" hidden="false" customHeight="true" outlineLevel="0" collapsed="false">
      <c r="A16" s="34" t="str">
        <f aca="false">IF(Übungen!$A14="","",Übungen!$A14)</f>
        <v>Beinbeuger</v>
      </c>
      <c r="B16" s="83" t="n">
        <f aca="false">IF($A16="","",IF(SUMIFS(Log!$I$4:$I$1203,Log!$D$4:$D$1203,$A16,Log!$B$4:$B$1203,B$5,Log!$E$4:$E$1203,"A")=0,"",SUMIFS(Log!$I$4:$I$1203,Log!$D$4:$D$1203,$A16,Log!$B$4:$B$1203,B$5,Log!$E$4:$E$1203,"A")))</f>
        <v>1130</v>
      </c>
      <c r="C16" s="83" t="n">
        <f aca="false">IF($A16="","",IF(SUMIFS(Log!$I$4:$I$1203,Log!$D$4:$D$1203,$A16,Log!$B$4:$B$1203,C$5,Log!$E$4:$E$1203,"A")=0,"",SUMIFS(Log!$I$4:$I$1203,Log!$D$4:$D$1203,$A16,Log!$B$4:$B$1203,C$5,Log!$E$4:$E$1203,"A")))</f>
        <v>1150</v>
      </c>
      <c r="D16" s="83" t="n">
        <f aca="false">IF($A16="","",IF(SUMIFS(Log!$I$4:$I$1203,Log!$D$4:$D$1203,$A16,Log!$B$4:$B$1203,D$5,Log!$E$4:$E$1203,"A")=0,"",SUMIFS(Log!$I$4:$I$1203,Log!$D$4:$D$1203,$A16,Log!$B$4:$B$1203,D$5,Log!$E$4:$E$1203,"A")))</f>
        <v>1275</v>
      </c>
      <c r="E16" s="83" t="str">
        <f aca="false">IF($A16="","",IF(SUMIFS(Log!$I$4:$I$1203,Log!$D$4:$D$1203,$A16,Log!$B$4:$B$1203,E$5,Log!$E$4:$E$1203,"A")=0,"",SUMIFS(Log!$I$4:$I$1203,Log!$D$4:$D$1203,$A16,Log!$B$4:$B$1203,E$5,Log!$E$4:$E$1203,"A")))</f>
        <v/>
      </c>
      <c r="F16" s="83" t="n">
        <f aca="false">IF($A16="","",IF(SUMIFS(Log!$I$4:$I$1203,Log!$D$4:$D$1203,$A16,Log!$B$4:$B$1203,F$5,Log!$E$4:$E$1203,"A")=0,"",SUMIFS(Log!$I$4:$I$1203,Log!$D$4:$D$1203,$A16,Log!$B$4:$B$1203,F$5,Log!$E$4:$E$1203,"A")))</f>
        <v>1080</v>
      </c>
      <c r="G16" s="83" t="str">
        <f aca="false">IF($A16="","",IF(SUMIFS(Log!$I$4:$I$1203,Log!$D$4:$D$1203,$A16,Log!$B$4:$B$1203,G$5,Log!$E$4:$E$1203,"A")=0,"",SUMIFS(Log!$I$4:$I$1203,Log!$D$4:$D$1203,$A16,Log!$B$4:$B$1203,G$5,Log!$E$4:$E$1203,"A")))</f>
        <v/>
      </c>
      <c r="H16" s="83" t="n">
        <f aca="false">IF($A16="","",IF(SUMIFS(Log!$I$4:$I$1203,Log!$D$4:$D$1203,$A16,Log!$B$4:$B$1203,H$5,Log!$E$4:$E$1203,"A")=0,"",SUMIFS(Log!$I$4:$I$1203,Log!$D$4:$D$1203,$A16,Log!$B$4:$B$1203,H$5,Log!$E$4:$E$1203,"A")))</f>
        <v>1025</v>
      </c>
      <c r="I16" s="83" t="str">
        <f aca="false">IF($A16="","",IF(SUMIFS(Log!$I$4:$I$1203,Log!$D$4:$D$1203,$A16,Log!$B$4:$B$1203,I$5,Log!$E$4:$E$1203,"A")=0,"",SUMIFS(Log!$I$4:$I$1203,Log!$D$4:$D$1203,$A16,Log!$B$4:$B$1203,I$5,Log!$E$4:$E$1203,"A")))</f>
        <v/>
      </c>
      <c r="J16" s="83" t="n">
        <f aca="false">IF($A16="","",IF(SUMIFS(Log!$I$4:$I$1203,Log!$D$4:$D$1203,$A16,Log!$B$4:$B$1203,J$5,Log!$E$4:$E$1203,"A")=0,"",SUMIFS(Log!$I$4:$I$1203,Log!$D$4:$D$1203,$A16,Log!$B$4:$B$1203,J$5,Log!$E$4:$E$1203,"A")))</f>
        <v>1010</v>
      </c>
      <c r="K16" s="83" t="str">
        <f aca="false">IF($A16="","",IF(SUMIFS(Log!$I$4:$I$1203,Log!$D$4:$D$1203,$A16,Log!$B$4:$B$1203,K$5,Log!$E$4:$E$1203,"A")=0,"",SUMIFS(Log!$I$4:$I$1203,Log!$D$4:$D$1203,$A16,Log!$B$4:$B$1203,K$5,Log!$E$4:$E$1203,"A")))</f>
        <v/>
      </c>
      <c r="L16" s="83" t="str">
        <f aca="false">IF($A16="","",IF(SUMIFS(Log!$I$4:$I$1203,Log!$D$4:$D$1203,$A16,Log!$B$4:$B$1203,L$5,Log!$E$4:$E$1203,"A")=0,"",SUMIFS(Log!$I$4:$I$1203,Log!$D$4:$D$1203,$A16,Log!$B$4:$B$1203,L$5,Log!$E$4:$E$1203,"A")))</f>
        <v/>
      </c>
      <c r="M16" s="83" t="str">
        <f aca="false">IF($A16="","",IF(SUMIFS(Log!$I$4:$I$1203,Log!$D$4:$D$1203,$A16,Log!$B$4:$B$1203,M$5,Log!$E$4:$E$1203,"A")=0,"",SUMIFS(Log!$I$4:$I$1203,Log!$D$4:$D$1203,$A16,Log!$B$4:$B$1203,M$5,Log!$E$4:$E$1203,"A")))</f>
        <v/>
      </c>
      <c r="N16" s="83" t="n">
        <f aca="false">IF($A16="","",IF(SUMIFS(Log!$I$4:$I$1203,Log!$D$4:$D$1203,$A16,Log!$B$4:$B$1203,N$5,Log!$E$4:$E$1203,"A")=0,"",SUMIFS(Log!$I$4:$I$1203,Log!$D$4:$D$1203,$A16,Log!$B$4:$B$1203,N$5,Log!$E$4:$E$1203,"A")))</f>
        <v>617.5</v>
      </c>
      <c r="O16" s="83" t="n">
        <f aca="false">IF($A16="","",IF(SUMIFS(Log!$I$4:$I$1203,Log!$D$4:$D$1203,$A16,Log!$B$4:$B$1203,O$5,Log!$E$4:$E$1203,"A")=0,"",SUMIFS(Log!$I$4:$I$1203,Log!$D$4:$D$1203,$A16,Log!$B$4:$B$1203,O$5,Log!$E$4:$E$1203,"A")))</f>
        <v>726</v>
      </c>
      <c r="P16" s="83" t="str">
        <f aca="false">IF($A16="","",IF(SUMIFS(Log!$I$4:$I$1203,Log!$D$4:$D$1203,$A16,Log!$B$4:$B$1203,P$5,Log!$E$4:$E$1203,"A")=0,"",SUMIFS(Log!$I$4:$I$1203,Log!$D$4:$D$1203,$A16,Log!$B$4:$B$1203,P$5,Log!$E$4:$E$1203,"A")))</f>
        <v/>
      </c>
      <c r="Q16" s="83" t="str">
        <f aca="false">IF($A16="","",IF(SUMIFS(Log!$I$4:$I$1203,Log!$D$4:$D$1203,$A16,Log!$B$4:$B$1203,Q$5,Log!$E$4:$E$1203,"A")=0,"",SUMIFS(Log!$I$4:$I$1203,Log!$D$4:$D$1203,$A16,Log!$B$4:$B$1203,Q$5,Log!$E$4:$E$1203,"A")))</f>
        <v/>
      </c>
      <c r="R16" s="84" t="n">
        <f aca="false">IF($A16="","",IF(SUMIFS(Log!$I$4:$I$1203,Log!$D$4:$D$1203,$A16,Log!$E$4:$E$1203,"A")=0,"",SUMIFS(Log!$I$4:$I$1203,Log!$D$4:$D$1203,$A16,Log!$E$4:$E$1203,"A")))</f>
        <v>8013.5</v>
      </c>
    </row>
    <row r="17" customFormat="false" ht="16.5" hidden="false" customHeight="true" outlineLevel="0" collapsed="false">
      <c r="A17" s="40" t="str">
        <f aca="false">IF(Übungen!$A15="","",Übungen!$A15)</f>
        <v>Seitliche Kickbacks</v>
      </c>
      <c r="B17" s="85" t="n">
        <f aca="false">IF($A17="","",IF(SUMIFS(Log!$I$4:$I$1203,Log!$D$4:$D$1203,$A17,Log!$B$4:$B$1203,B$5,Log!$E$4:$E$1203,"A")=0,"",SUMIFS(Log!$I$4:$I$1203,Log!$D$4:$D$1203,$A17,Log!$B$4:$B$1203,B$5,Log!$E$4:$E$1203,"A")))</f>
        <v>1078</v>
      </c>
      <c r="C17" s="85" t="n">
        <f aca="false">IF($A17="","",IF(SUMIFS(Log!$I$4:$I$1203,Log!$D$4:$D$1203,$A17,Log!$B$4:$B$1203,C$5,Log!$E$4:$E$1203,"A")=0,"",SUMIFS(Log!$I$4:$I$1203,Log!$D$4:$D$1203,$A17,Log!$B$4:$B$1203,C$5,Log!$E$4:$E$1203,"A")))</f>
        <v>975</v>
      </c>
      <c r="D17" s="85" t="str">
        <f aca="false">IF($A17="","",IF(SUMIFS(Log!$I$4:$I$1203,Log!$D$4:$D$1203,$A17,Log!$B$4:$B$1203,D$5,Log!$E$4:$E$1203,"A")=0,"",SUMIFS(Log!$I$4:$I$1203,Log!$D$4:$D$1203,$A17,Log!$B$4:$B$1203,D$5,Log!$E$4:$E$1203,"A")))</f>
        <v/>
      </c>
      <c r="E17" s="85" t="str">
        <f aca="false">IF($A17="","",IF(SUMIFS(Log!$I$4:$I$1203,Log!$D$4:$D$1203,$A17,Log!$B$4:$B$1203,E$5,Log!$E$4:$E$1203,"A")=0,"",SUMIFS(Log!$I$4:$I$1203,Log!$D$4:$D$1203,$A17,Log!$B$4:$B$1203,E$5,Log!$E$4:$E$1203,"A")))</f>
        <v/>
      </c>
      <c r="F17" s="85" t="n">
        <f aca="false">IF($A17="","",IF(SUMIFS(Log!$I$4:$I$1203,Log!$D$4:$D$1203,$A17,Log!$B$4:$B$1203,F$5,Log!$E$4:$E$1203,"A")=0,"",SUMIFS(Log!$I$4:$I$1203,Log!$D$4:$D$1203,$A17,Log!$B$4:$B$1203,F$5,Log!$E$4:$E$1203,"A")))</f>
        <v>720</v>
      </c>
      <c r="G17" s="85" t="str">
        <f aca="false">IF($A17="","",IF(SUMIFS(Log!$I$4:$I$1203,Log!$D$4:$D$1203,$A17,Log!$B$4:$B$1203,G$5,Log!$E$4:$E$1203,"A")=0,"",SUMIFS(Log!$I$4:$I$1203,Log!$D$4:$D$1203,$A17,Log!$B$4:$B$1203,G$5,Log!$E$4:$E$1203,"A")))</f>
        <v/>
      </c>
      <c r="H17" s="85" t="str">
        <f aca="false">IF($A17="","",IF(SUMIFS(Log!$I$4:$I$1203,Log!$D$4:$D$1203,$A17,Log!$B$4:$B$1203,H$5,Log!$E$4:$E$1203,"A")=0,"",SUMIFS(Log!$I$4:$I$1203,Log!$D$4:$D$1203,$A17,Log!$B$4:$B$1203,H$5,Log!$E$4:$E$1203,"A")))</f>
        <v/>
      </c>
      <c r="I17" s="85" t="str">
        <f aca="false">IF($A17="","",IF(SUMIFS(Log!$I$4:$I$1203,Log!$D$4:$D$1203,$A17,Log!$B$4:$B$1203,I$5,Log!$E$4:$E$1203,"A")=0,"",SUMIFS(Log!$I$4:$I$1203,Log!$D$4:$D$1203,$A17,Log!$B$4:$B$1203,I$5,Log!$E$4:$E$1203,"A")))</f>
        <v/>
      </c>
      <c r="J17" s="85" t="str">
        <f aca="false">IF($A17="","",IF(SUMIFS(Log!$I$4:$I$1203,Log!$D$4:$D$1203,$A17,Log!$B$4:$B$1203,J$5,Log!$E$4:$E$1203,"A")=0,"",SUMIFS(Log!$I$4:$I$1203,Log!$D$4:$D$1203,$A17,Log!$B$4:$B$1203,J$5,Log!$E$4:$E$1203,"A")))</f>
        <v/>
      </c>
      <c r="K17" s="85" t="str">
        <f aca="false">IF($A17="","",IF(SUMIFS(Log!$I$4:$I$1203,Log!$D$4:$D$1203,$A17,Log!$B$4:$B$1203,K$5,Log!$E$4:$E$1203,"A")=0,"",SUMIFS(Log!$I$4:$I$1203,Log!$D$4:$D$1203,$A17,Log!$B$4:$B$1203,K$5,Log!$E$4:$E$1203,"A")))</f>
        <v/>
      </c>
      <c r="L17" s="85" t="str">
        <f aca="false">IF($A17="","",IF(SUMIFS(Log!$I$4:$I$1203,Log!$D$4:$D$1203,$A17,Log!$B$4:$B$1203,L$5,Log!$E$4:$E$1203,"A")=0,"",SUMIFS(Log!$I$4:$I$1203,Log!$D$4:$D$1203,$A17,Log!$B$4:$B$1203,L$5,Log!$E$4:$E$1203,"A")))</f>
        <v/>
      </c>
      <c r="M17" s="85" t="str">
        <f aca="false">IF($A17="","",IF(SUMIFS(Log!$I$4:$I$1203,Log!$D$4:$D$1203,$A17,Log!$B$4:$B$1203,M$5,Log!$E$4:$E$1203,"A")=0,"",SUMIFS(Log!$I$4:$I$1203,Log!$D$4:$D$1203,$A17,Log!$B$4:$B$1203,M$5,Log!$E$4:$E$1203,"A")))</f>
        <v/>
      </c>
      <c r="N17" s="85" t="str">
        <f aca="false">IF($A17="","",IF(SUMIFS(Log!$I$4:$I$1203,Log!$D$4:$D$1203,$A17,Log!$B$4:$B$1203,N$5,Log!$E$4:$E$1203,"A")=0,"",SUMIFS(Log!$I$4:$I$1203,Log!$D$4:$D$1203,$A17,Log!$B$4:$B$1203,N$5,Log!$E$4:$E$1203,"A")))</f>
        <v/>
      </c>
      <c r="O17" s="85" t="str">
        <f aca="false">IF($A17="","",IF(SUMIFS(Log!$I$4:$I$1203,Log!$D$4:$D$1203,$A17,Log!$B$4:$B$1203,O$5,Log!$E$4:$E$1203,"A")=0,"",SUMIFS(Log!$I$4:$I$1203,Log!$D$4:$D$1203,$A17,Log!$B$4:$B$1203,O$5,Log!$E$4:$E$1203,"A")))</f>
        <v/>
      </c>
      <c r="P17" s="85" t="str">
        <f aca="false">IF($A17="","",IF(SUMIFS(Log!$I$4:$I$1203,Log!$D$4:$D$1203,$A17,Log!$B$4:$B$1203,P$5,Log!$E$4:$E$1203,"A")=0,"",SUMIFS(Log!$I$4:$I$1203,Log!$D$4:$D$1203,$A17,Log!$B$4:$B$1203,P$5,Log!$E$4:$E$1203,"A")))</f>
        <v/>
      </c>
      <c r="Q17" s="85" t="str">
        <f aca="false">IF($A17="","",IF(SUMIFS(Log!$I$4:$I$1203,Log!$D$4:$D$1203,$A17,Log!$B$4:$B$1203,Q$5,Log!$E$4:$E$1203,"A")=0,"",SUMIFS(Log!$I$4:$I$1203,Log!$D$4:$D$1203,$A17,Log!$B$4:$B$1203,Q$5,Log!$E$4:$E$1203,"A")))</f>
        <v/>
      </c>
      <c r="R17" s="84" t="n">
        <f aca="false">IF($A17="","",IF(SUMIFS(Log!$I$4:$I$1203,Log!$D$4:$D$1203,$A17,Log!$E$4:$E$1203,"A")=0,"",SUMIFS(Log!$I$4:$I$1203,Log!$D$4:$D$1203,$A17,Log!$E$4:$E$1203,"A")))</f>
        <v>2773</v>
      </c>
    </row>
    <row r="18" customFormat="false" ht="16.5" hidden="false" customHeight="true" outlineLevel="0" collapsed="false">
      <c r="A18" s="34" t="str">
        <f aca="false">IF(Übungen!$A16="","",Übungen!$A16)</f>
        <v>Waden</v>
      </c>
      <c r="B18" s="83" t="n">
        <f aca="false">IF($A18="","",IF(SUMIFS(Log!$I$4:$I$1203,Log!$D$4:$D$1203,$A18,Log!$B$4:$B$1203,B$5,Log!$E$4:$E$1203,"A")=0,"",SUMIFS(Log!$I$4:$I$1203,Log!$D$4:$D$1203,$A18,Log!$B$4:$B$1203,B$5,Log!$E$4:$E$1203,"A")))</f>
        <v>3465</v>
      </c>
      <c r="C18" s="83" t="n">
        <f aca="false">IF($A18="","",IF(SUMIFS(Log!$I$4:$I$1203,Log!$D$4:$D$1203,$A18,Log!$B$4:$B$1203,C$5,Log!$E$4:$E$1203,"A")=0,"",SUMIFS(Log!$I$4:$I$1203,Log!$D$4:$D$1203,$A18,Log!$B$4:$B$1203,C$5,Log!$E$4:$E$1203,"A")))</f>
        <v>3480</v>
      </c>
      <c r="D18" s="83" t="str">
        <f aca="false">IF($A18="","",IF(SUMIFS(Log!$I$4:$I$1203,Log!$D$4:$D$1203,$A18,Log!$B$4:$B$1203,D$5,Log!$E$4:$E$1203,"A")=0,"",SUMIFS(Log!$I$4:$I$1203,Log!$D$4:$D$1203,$A18,Log!$B$4:$B$1203,D$5,Log!$E$4:$E$1203,"A")))</f>
        <v/>
      </c>
      <c r="E18" s="83" t="str">
        <f aca="false">IF($A18="","",IF(SUMIFS(Log!$I$4:$I$1203,Log!$D$4:$D$1203,$A18,Log!$B$4:$B$1203,E$5,Log!$E$4:$E$1203,"A")=0,"",SUMIFS(Log!$I$4:$I$1203,Log!$D$4:$D$1203,$A18,Log!$B$4:$B$1203,E$5,Log!$E$4:$E$1203,"A")))</f>
        <v/>
      </c>
      <c r="F18" s="83" t="n">
        <f aca="false">IF($A18="","",IF(SUMIFS(Log!$I$4:$I$1203,Log!$D$4:$D$1203,$A18,Log!$B$4:$B$1203,F$5,Log!$E$4:$E$1203,"A")=0,"",SUMIFS(Log!$I$4:$I$1203,Log!$D$4:$D$1203,$A18,Log!$B$4:$B$1203,F$5,Log!$E$4:$E$1203,"A")))</f>
        <v>3105</v>
      </c>
      <c r="G18" s="83" t="str">
        <f aca="false">IF($A18="","",IF(SUMIFS(Log!$I$4:$I$1203,Log!$D$4:$D$1203,$A18,Log!$B$4:$B$1203,G$5,Log!$E$4:$E$1203,"A")=0,"",SUMIFS(Log!$I$4:$I$1203,Log!$D$4:$D$1203,$A18,Log!$B$4:$B$1203,G$5,Log!$E$4:$E$1203,"A")))</f>
        <v/>
      </c>
      <c r="H18" s="83" t="n">
        <f aca="false">IF($A18="","",IF(SUMIFS(Log!$I$4:$I$1203,Log!$D$4:$D$1203,$A18,Log!$B$4:$B$1203,H$5,Log!$E$4:$E$1203,"A")=0,"",SUMIFS(Log!$I$4:$I$1203,Log!$D$4:$D$1203,$A18,Log!$B$4:$B$1203,H$5,Log!$E$4:$E$1203,"A")))</f>
        <v>3720</v>
      </c>
      <c r="I18" s="83" t="str">
        <f aca="false">IF($A18="","",IF(SUMIFS(Log!$I$4:$I$1203,Log!$D$4:$D$1203,$A18,Log!$B$4:$B$1203,I$5,Log!$E$4:$E$1203,"A")=0,"",SUMIFS(Log!$I$4:$I$1203,Log!$D$4:$D$1203,$A18,Log!$B$4:$B$1203,I$5,Log!$E$4:$E$1203,"A")))</f>
        <v/>
      </c>
      <c r="J18" s="83" t="n">
        <f aca="false">IF($A18="","",IF(SUMIFS(Log!$I$4:$I$1203,Log!$D$4:$D$1203,$A18,Log!$B$4:$B$1203,J$5,Log!$E$4:$E$1203,"A")=0,"",SUMIFS(Log!$I$4:$I$1203,Log!$D$4:$D$1203,$A18,Log!$B$4:$B$1203,J$5,Log!$E$4:$E$1203,"A")))</f>
        <v>1650</v>
      </c>
      <c r="K18" s="83" t="str">
        <f aca="false">IF($A18="","",IF(SUMIFS(Log!$I$4:$I$1203,Log!$D$4:$D$1203,$A18,Log!$B$4:$B$1203,K$5,Log!$E$4:$E$1203,"A")=0,"",SUMIFS(Log!$I$4:$I$1203,Log!$D$4:$D$1203,$A18,Log!$B$4:$B$1203,K$5,Log!$E$4:$E$1203,"A")))</f>
        <v/>
      </c>
      <c r="L18" s="83" t="n">
        <f aca="false">IF($A18="","",IF(SUMIFS(Log!$I$4:$I$1203,Log!$D$4:$D$1203,$A18,Log!$B$4:$B$1203,L$5,Log!$E$4:$E$1203,"A")=0,"",SUMIFS(Log!$I$4:$I$1203,Log!$D$4:$D$1203,$A18,Log!$B$4:$B$1203,L$5,Log!$E$4:$E$1203,"A")))</f>
        <v>2880</v>
      </c>
      <c r="M18" s="83" t="str">
        <f aca="false">IF($A18="","",IF(SUMIFS(Log!$I$4:$I$1203,Log!$D$4:$D$1203,$A18,Log!$B$4:$B$1203,M$5,Log!$E$4:$E$1203,"A")=0,"",SUMIFS(Log!$I$4:$I$1203,Log!$D$4:$D$1203,$A18,Log!$B$4:$B$1203,M$5,Log!$E$4:$E$1203,"A")))</f>
        <v/>
      </c>
      <c r="N18" s="83" t="n">
        <f aca="false">IF($A18="","",IF(SUMIFS(Log!$I$4:$I$1203,Log!$D$4:$D$1203,$A18,Log!$B$4:$B$1203,N$5,Log!$E$4:$E$1203,"A")=0,"",SUMIFS(Log!$I$4:$I$1203,Log!$D$4:$D$1203,$A18,Log!$B$4:$B$1203,N$5,Log!$E$4:$E$1203,"A")))</f>
        <v>2160</v>
      </c>
      <c r="O18" s="83" t="n">
        <f aca="false">IF($A18="","",IF(SUMIFS(Log!$I$4:$I$1203,Log!$D$4:$D$1203,$A18,Log!$B$4:$B$1203,O$5,Log!$E$4:$E$1203,"A")=0,"",SUMIFS(Log!$I$4:$I$1203,Log!$D$4:$D$1203,$A18,Log!$B$4:$B$1203,O$5,Log!$E$4:$E$1203,"A")))</f>
        <v>3059</v>
      </c>
      <c r="P18" s="83" t="str">
        <f aca="false">IF($A18="","",IF(SUMIFS(Log!$I$4:$I$1203,Log!$D$4:$D$1203,$A18,Log!$B$4:$B$1203,P$5,Log!$E$4:$E$1203,"A")=0,"",SUMIFS(Log!$I$4:$I$1203,Log!$D$4:$D$1203,$A18,Log!$B$4:$B$1203,P$5,Log!$E$4:$E$1203,"A")))</f>
        <v/>
      </c>
      <c r="Q18" s="83" t="str">
        <f aca="false">IF($A18="","",IF(SUMIFS(Log!$I$4:$I$1203,Log!$D$4:$D$1203,$A18,Log!$B$4:$B$1203,Q$5,Log!$E$4:$E$1203,"A")=0,"",SUMIFS(Log!$I$4:$I$1203,Log!$D$4:$D$1203,$A18,Log!$B$4:$B$1203,Q$5,Log!$E$4:$E$1203,"A")))</f>
        <v/>
      </c>
      <c r="R18" s="84" t="n">
        <f aca="false">IF($A18="","",IF(SUMIFS(Log!$I$4:$I$1203,Log!$D$4:$D$1203,$A18,Log!$E$4:$E$1203,"A")=0,"",SUMIFS(Log!$I$4:$I$1203,Log!$D$4:$D$1203,$A18,Log!$E$4:$E$1203,"A")))</f>
        <v>23519</v>
      </c>
    </row>
    <row r="19" customFormat="false" ht="16.5" hidden="false" customHeight="true" outlineLevel="0" collapsed="false">
      <c r="A19" s="40" t="str">
        <f aca="false">IF(Übungen!$A17="","",Übungen!$A17)</f>
        <v>Squat Maschine Bülach</v>
      </c>
      <c r="B19" s="85" t="str">
        <f aca="false">IF($A19="","",IF(SUMIFS(Log!$I$4:$I$1203,Log!$D$4:$D$1203,$A19,Log!$B$4:$B$1203,B$5,Log!$E$4:$E$1203,"A")=0,"",SUMIFS(Log!$I$4:$I$1203,Log!$D$4:$D$1203,$A19,Log!$B$4:$B$1203,B$5,Log!$E$4:$E$1203,"A")))</f>
        <v/>
      </c>
      <c r="C19" s="85" t="str">
        <f aca="false">IF($A19="","",IF(SUMIFS(Log!$I$4:$I$1203,Log!$D$4:$D$1203,$A19,Log!$B$4:$B$1203,C$5,Log!$E$4:$E$1203,"A")=0,"",SUMIFS(Log!$I$4:$I$1203,Log!$D$4:$D$1203,$A19,Log!$B$4:$B$1203,C$5,Log!$E$4:$E$1203,"A")))</f>
        <v/>
      </c>
      <c r="D19" s="85" t="str">
        <f aca="false">IF($A19="","",IF(SUMIFS(Log!$I$4:$I$1203,Log!$D$4:$D$1203,$A19,Log!$B$4:$B$1203,D$5,Log!$E$4:$E$1203,"A")=0,"",SUMIFS(Log!$I$4:$I$1203,Log!$D$4:$D$1203,$A19,Log!$B$4:$B$1203,D$5,Log!$E$4:$E$1203,"A")))</f>
        <v/>
      </c>
      <c r="E19" s="85" t="str">
        <f aca="false">IF($A19="","",IF(SUMIFS(Log!$I$4:$I$1203,Log!$D$4:$D$1203,$A19,Log!$B$4:$B$1203,E$5,Log!$E$4:$E$1203,"A")=0,"",SUMIFS(Log!$I$4:$I$1203,Log!$D$4:$D$1203,$A19,Log!$B$4:$B$1203,E$5,Log!$E$4:$E$1203,"A")))</f>
        <v/>
      </c>
      <c r="F19" s="85" t="str">
        <f aca="false">IF($A19="","",IF(SUMIFS(Log!$I$4:$I$1203,Log!$D$4:$D$1203,$A19,Log!$B$4:$B$1203,F$5,Log!$E$4:$E$1203,"A")=0,"",SUMIFS(Log!$I$4:$I$1203,Log!$D$4:$D$1203,$A19,Log!$B$4:$B$1203,F$5,Log!$E$4:$E$1203,"A")))</f>
        <v/>
      </c>
      <c r="G19" s="85" t="str">
        <f aca="false">IF($A19="","",IF(SUMIFS(Log!$I$4:$I$1203,Log!$D$4:$D$1203,$A19,Log!$B$4:$B$1203,G$5,Log!$E$4:$E$1203,"A")=0,"",SUMIFS(Log!$I$4:$I$1203,Log!$D$4:$D$1203,$A19,Log!$B$4:$B$1203,G$5,Log!$E$4:$E$1203,"A")))</f>
        <v/>
      </c>
      <c r="H19" s="85" t="str">
        <f aca="false">IF($A19="","",IF(SUMIFS(Log!$I$4:$I$1203,Log!$D$4:$D$1203,$A19,Log!$B$4:$B$1203,H$5,Log!$E$4:$E$1203,"A")=0,"",SUMIFS(Log!$I$4:$I$1203,Log!$D$4:$D$1203,$A19,Log!$B$4:$B$1203,H$5,Log!$E$4:$E$1203,"A")))</f>
        <v/>
      </c>
      <c r="I19" s="85" t="str">
        <f aca="false">IF($A19="","",IF(SUMIFS(Log!$I$4:$I$1203,Log!$D$4:$D$1203,$A19,Log!$B$4:$B$1203,I$5,Log!$E$4:$E$1203,"A")=0,"",SUMIFS(Log!$I$4:$I$1203,Log!$D$4:$D$1203,$A19,Log!$B$4:$B$1203,I$5,Log!$E$4:$E$1203,"A")))</f>
        <v/>
      </c>
      <c r="J19" s="85" t="str">
        <f aca="false">IF($A19="","",IF(SUMIFS(Log!$I$4:$I$1203,Log!$D$4:$D$1203,$A19,Log!$B$4:$B$1203,J$5,Log!$E$4:$E$1203,"A")=0,"",SUMIFS(Log!$I$4:$I$1203,Log!$D$4:$D$1203,$A19,Log!$B$4:$B$1203,J$5,Log!$E$4:$E$1203,"A")))</f>
        <v/>
      </c>
      <c r="K19" s="85" t="str">
        <f aca="false">IF($A19="","",IF(SUMIFS(Log!$I$4:$I$1203,Log!$D$4:$D$1203,$A19,Log!$B$4:$B$1203,K$5,Log!$E$4:$E$1203,"A")=0,"",SUMIFS(Log!$I$4:$I$1203,Log!$D$4:$D$1203,$A19,Log!$B$4:$B$1203,K$5,Log!$E$4:$E$1203,"A")))</f>
        <v/>
      </c>
      <c r="L19" s="85" t="str">
        <f aca="false">IF($A19="","",IF(SUMIFS(Log!$I$4:$I$1203,Log!$D$4:$D$1203,$A19,Log!$B$4:$B$1203,L$5,Log!$E$4:$E$1203,"A")=0,"",SUMIFS(Log!$I$4:$I$1203,Log!$D$4:$D$1203,$A19,Log!$B$4:$B$1203,L$5,Log!$E$4:$E$1203,"A")))</f>
        <v/>
      </c>
      <c r="M19" s="85" t="str">
        <f aca="false">IF($A19="","",IF(SUMIFS(Log!$I$4:$I$1203,Log!$D$4:$D$1203,$A19,Log!$B$4:$B$1203,M$5,Log!$E$4:$E$1203,"A")=0,"",SUMIFS(Log!$I$4:$I$1203,Log!$D$4:$D$1203,$A19,Log!$B$4:$B$1203,M$5,Log!$E$4:$E$1203,"A")))</f>
        <v/>
      </c>
      <c r="N19" s="85" t="str">
        <f aca="false">IF($A19="","",IF(SUMIFS(Log!$I$4:$I$1203,Log!$D$4:$D$1203,$A19,Log!$B$4:$B$1203,N$5,Log!$E$4:$E$1203,"A")=0,"",SUMIFS(Log!$I$4:$I$1203,Log!$D$4:$D$1203,$A19,Log!$B$4:$B$1203,N$5,Log!$E$4:$E$1203,"A")))</f>
        <v/>
      </c>
      <c r="O19" s="85" t="str">
        <f aca="false">IF($A19="","",IF(SUMIFS(Log!$I$4:$I$1203,Log!$D$4:$D$1203,$A19,Log!$B$4:$B$1203,O$5,Log!$E$4:$E$1203,"A")=0,"",SUMIFS(Log!$I$4:$I$1203,Log!$D$4:$D$1203,$A19,Log!$B$4:$B$1203,O$5,Log!$E$4:$E$1203,"A")))</f>
        <v/>
      </c>
      <c r="P19" s="85" t="n">
        <f aca="false">IF($A19="","",IF(SUMIFS(Log!$I$4:$I$1203,Log!$D$4:$D$1203,$A19,Log!$B$4:$B$1203,P$5,Log!$E$4:$E$1203,"A")=0,"",SUMIFS(Log!$I$4:$I$1203,Log!$D$4:$D$1203,$A19,Log!$B$4:$B$1203,P$5,Log!$E$4:$E$1203,"A")))</f>
        <v>2200</v>
      </c>
      <c r="Q19" s="85" t="str">
        <f aca="false">IF($A19="","",IF(SUMIFS(Log!$I$4:$I$1203,Log!$D$4:$D$1203,$A19,Log!$B$4:$B$1203,Q$5,Log!$E$4:$E$1203,"A")=0,"",SUMIFS(Log!$I$4:$I$1203,Log!$D$4:$D$1203,$A19,Log!$B$4:$B$1203,Q$5,Log!$E$4:$E$1203,"A")))</f>
        <v/>
      </c>
      <c r="R19" s="84" t="n">
        <f aca="false">IF($A19="","",IF(SUMIFS(Log!$I$4:$I$1203,Log!$D$4:$D$1203,$A19,Log!$E$4:$E$1203,"A")=0,"",SUMIFS(Log!$I$4:$I$1203,Log!$D$4:$D$1203,$A19,Log!$E$4:$E$1203,"A")))</f>
        <v>2200</v>
      </c>
    </row>
    <row r="20" customFormat="false" ht="16.5" hidden="false" customHeight="true" outlineLevel="0" collapsed="false">
      <c r="A20" s="34" t="str">
        <f aca="false">IF(Übungen!$A18="","",Übungen!$A18)</f>
        <v>Hip Thrust Bülach</v>
      </c>
      <c r="B20" s="83" t="str">
        <f aca="false">IF($A20="","",IF(SUMIFS(Log!$I$4:$I$1203,Log!$D$4:$D$1203,$A20,Log!$B$4:$B$1203,B$5,Log!$E$4:$E$1203,"A")=0,"",SUMIFS(Log!$I$4:$I$1203,Log!$D$4:$D$1203,$A20,Log!$B$4:$B$1203,B$5,Log!$E$4:$E$1203,"A")))</f>
        <v/>
      </c>
      <c r="C20" s="83" t="str">
        <f aca="false">IF($A20="","",IF(SUMIFS(Log!$I$4:$I$1203,Log!$D$4:$D$1203,$A20,Log!$B$4:$B$1203,C$5,Log!$E$4:$E$1203,"A")=0,"",SUMIFS(Log!$I$4:$I$1203,Log!$D$4:$D$1203,$A20,Log!$B$4:$B$1203,C$5,Log!$E$4:$E$1203,"A")))</f>
        <v/>
      </c>
      <c r="D20" s="83" t="str">
        <f aca="false">IF($A20="","",IF(SUMIFS(Log!$I$4:$I$1203,Log!$D$4:$D$1203,$A20,Log!$B$4:$B$1203,D$5,Log!$E$4:$E$1203,"A")=0,"",SUMIFS(Log!$I$4:$I$1203,Log!$D$4:$D$1203,$A20,Log!$B$4:$B$1203,D$5,Log!$E$4:$E$1203,"A")))</f>
        <v/>
      </c>
      <c r="E20" s="83" t="str">
        <f aca="false">IF($A20="","",IF(SUMIFS(Log!$I$4:$I$1203,Log!$D$4:$D$1203,$A20,Log!$B$4:$B$1203,E$5,Log!$E$4:$E$1203,"A")=0,"",SUMIFS(Log!$I$4:$I$1203,Log!$D$4:$D$1203,$A20,Log!$B$4:$B$1203,E$5,Log!$E$4:$E$1203,"A")))</f>
        <v/>
      </c>
      <c r="F20" s="83" t="str">
        <f aca="false">IF($A20="","",IF(SUMIFS(Log!$I$4:$I$1203,Log!$D$4:$D$1203,$A20,Log!$B$4:$B$1203,F$5,Log!$E$4:$E$1203,"A")=0,"",SUMIFS(Log!$I$4:$I$1203,Log!$D$4:$D$1203,$A20,Log!$B$4:$B$1203,F$5,Log!$E$4:$E$1203,"A")))</f>
        <v/>
      </c>
      <c r="G20" s="83" t="str">
        <f aca="false">IF($A20="","",IF(SUMIFS(Log!$I$4:$I$1203,Log!$D$4:$D$1203,$A20,Log!$B$4:$B$1203,G$5,Log!$E$4:$E$1203,"A")=0,"",SUMIFS(Log!$I$4:$I$1203,Log!$D$4:$D$1203,$A20,Log!$B$4:$B$1203,G$5,Log!$E$4:$E$1203,"A")))</f>
        <v/>
      </c>
      <c r="H20" s="83" t="str">
        <f aca="false">IF($A20="","",IF(SUMIFS(Log!$I$4:$I$1203,Log!$D$4:$D$1203,$A20,Log!$B$4:$B$1203,H$5,Log!$E$4:$E$1203,"A")=0,"",SUMIFS(Log!$I$4:$I$1203,Log!$D$4:$D$1203,$A20,Log!$B$4:$B$1203,H$5,Log!$E$4:$E$1203,"A")))</f>
        <v/>
      </c>
      <c r="I20" s="83" t="str">
        <f aca="false">IF($A20="","",IF(SUMIFS(Log!$I$4:$I$1203,Log!$D$4:$D$1203,$A20,Log!$B$4:$B$1203,I$5,Log!$E$4:$E$1203,"A")=0,"",SUMIFS(Log!$I$4:$I$1203,Log!$D$4:$D$1203,$A20,Log!$B$4:$B$1203,I$5,Log!$E$4:$E$1203,"A")))</f>
        <v/>
      </c>
      <c r="J20" s="83" t="str">
        <f aca="false">IF($A20="","",IF(SUMIFS(Log!$I$4:$I$1203,Log!$D$4:$D$1203,$A20,Log!$B$4:$B$1203,J$5,Log!$E$4:$E$1203,"A")=0,"",SUMIFS(Log!$I$4:$I$1203,Log!$D$4:$D$1203,$A20,Log!$B$4:$B$1203,J$5,Log!$E$4:$E$1203,"A")))</f>
        <v/>
      </c>
      <c r="K20" s="83" t="str">
        <f aca="false">IF($A20="","",IF(SUMIFS(Log!$I$4:$I$1203,Log!$D$4:$D$1203,$A20,Log!$B$4:$B$1203,K$5,Log!$E$4:$E$1203,"A")=0,"",SUMIFS(Log!$I$4:$I$1203,Log!$D$4:$D$1203,$A20,Log!$B$4:$B$1203,K$5,Log!$E$4:$E$1203,"A")))</f>
        <v/>
      </c>
      <c r="L20" s="83" t="str">
        <f aca="false">IF($A20="","",IF(SUMIFS(Log!$I$4:$I$1203,Log!$D$4:$D$1203,$A20,Log!$B$4:$B$1203,L$5,Log!$E$4:$E$1203,"A")=0,"",SUMIFS(Log!$I$4:$I$1203,Log!$D$4:$D$1203,$A20,Log!$B$4:$B$1203,L$5,Log!$E$4:$E$1203,"A")))</f>
        <v/>
      </c>
      <c r="M20" s="83" t="str">
        <f aca="false">IF($A20="","",IF(SUMIFS(Log!$I$4:$I$1203,Log!$D$4:$D$1203,$A20,Log!$B$4:$B$1203,M$5,Log!$E$4:$E$1203,"A")=0,"",SUMIFS(Log!$I$4:$I$1203,Log!$D$4:$D$1203,$A20,Log!$B$4:$B$1203,M$5,Log!$E$4:$E$1203,"A")))</f>
        <v/>
      </c>
      <c r="N20" s="83" t="str">
        <f aca="false">IF($A20="","",IF(SUMIFS(Log!$I$4:$I$1203,Log!$D$4:$D$1203,$A20,Log!$B$4:$B$1203,N$5,Log!$E$4:$E$1203,"A")=0,"",SUMIFS(Log!$I$4:$I$1203,Log!$D$4:$D$1203,$A20,Log!$B$4:$B$1203,N$5,Log!$E$4:$E$1203,"A")))</f>
        <v/>
      </c>
      <c r="O20" s="83" t="str">
        <f aca="false">IF($A20="","",IF(SUMIFS(Log!$I$4:$I$1203,Log!$D$4:$D$1203,$A20,Log!$B$4:$B$1203,O$5,Log!$E$4:$E$1203,"A")=0,"",SUMIFS(Log!$I$4:$I$1203,Log!$D$4:$D$1203,$A20,Log!$B$4:$B$1203,O$5,Log!$E$4:$E$1203,"A")))</f>
        <v/>
      </c>
      <c r="P20" s="83" t="n">
        <f aca="false">IF($A20="","",IF(SUMIFS(Log!$I$4:$I$1203,Log!$D$4:$D$1203,$A20,Log!$B$4:$B$1203,P$5,Log!$E$4:$E$1203,"A")=0,"",SUMIFS(Log!$I$4:$I$1203,Log!$D$4:$D$1203,$A20,Log!$B$4:$B$1203,P$5,Log!$E$4:$E$1203,"A")))</f>
        <v>6000</v>
      </c>
      <c r="Q20" s="83" t="str">
        <f aca="false">IF($A20="","",IF(SUMIFS(Log!$I$4:$I$1203,Log!$D$4:$D$1203,$A20,Log!$B$4:$B$1203,Q$5,Log!$E$4:$E$1203,"A")=0,"",SUMIFS(Log!$I$4:$I$1203,Log!$D$4:$D$1203,$A20,Log!$B$4:$B$1203,Q$5,Log!$E$4:$E$1203,"A")))</f>
        <v/>
      </c>
      <c r="R20" s="84" t="n">
        <f aca="false">IF($A20="","",IF(SUMIFS(Log!$I$4:$I$1203,Log!$D$4:$D$1203,$A20,Log!$E$4:$E$1203,"A")=0,"",SUMIFS(Log!$I$4:$I$1203,Log!$D$4:$D$1203,$A20,Log!$E$4:$E$1203,"A")))</f>
        <v>6000</v>
      </c>
    </row>
    <row r="21" customFormat="false" ht="16.5" hidden="false" customHeight="true" outlineLevel="0" collapsed="false">
      <c r="A21" s="40" t="str">
        <f aca="false">IF(Übungen!$A19="","",Übungen!$A19)</f>
        <v>Beinbeuger Bülach</v>
      </c>
      <c r="B21" s="85" t="str">
        <f aca="false">IF($A21="","",IF(SUMIFS(Log!$I$4:$I$1203,Log!$D$4:$D$1203,$A21,Log!$B$4:$B$1203,B$5,Log!$E$4:$E$1203,"A")=0,"",SUMIFS(Log!$I$4:$I$1203,Log!$D$4:$D$1203,$A21,Log!$B$4:$B$1203,B$5,Log!$E$4:$E$1203,"A")))</f>
        <v/>
      </c>
      <c r="C21" s="85" t="str">
        <f aca="false">IF($A21="","",IF(SUMIFS(Log!$I$4:$I$1203,Log!$D$4:$D$1203,$A21,Log!$B$4:$B$1203,C$5,Log!$E$4:$E$1203,"A")=0,"",SUMIFS(Log!$I$4:$I$1203,Log!$D$4:$D$1203,$A21,Log!$B$4:$B$1203,C$5,Log!$E$4:$E$1203,"A")))</f>
        <v/>
      </c>
      <c r="D21" s="85" t="str">
        <f aca="false">IF($A21="","",IF(SUMIFS(Log!$I$4:$I$1203,Log!$D$4:$D$1203,$A21,Log!$B$4:$B$1203,D$5,Log!$E$4:$E$1203,"A")=0,"",SUMIFS(Log!$I$4:$I$1203,Log!$D$4:$D$1203,$A21,Log!$B$4:$B$1203,D$5,Log!$E$4:$E$1203,"A")))</f>
        <v/>
      </c>
      <c r="E21" s="85" t="str">
        <f aca="false">IF($A21="","",IF(SUMIFS(Log!$I$4:$I$1203,Log!$D$4:$D$1203,$A21,Log!$B$4:$B$1203,E$5,Log!$E$4:$E$1203,"A")=0,"",SUMIFS(Log!$I$4:$I$1203,Log!$D$4:$D$1203,$A21,Log!$B$4:$B$1203,E$5,Log!$E$4:$E$1203,"A")))</f>
        <v/>
      </c>
      <c r="F21" s="85" t="str">
        <f aca="false">IF($A21="","",IF(SUMIFS(Log!$I$4:$I$1203,Log!$D$4:$D$1203,$A21,Log!$B$4:$B$1203,F$5,Log!$E$4:$E$1203,"A")=0,"",SUMIFS(Log!$I$4:$I$1203,Log!$D$4:$D$1203,$A21,Log!$B$4:$B$1203,F$5,Log!$E$4:$E$1203,"A")))</f>
        <v/>
      </c>
      <c r="G21" s="85" t="str">
        <f aca="false">IF($A21="","",IF(SUMIFS(Log!$I$4:$I$1203,Log!$D$4:$D$1203,$A21,Log!$B$4:$B$1203,G$5,Log!$E$4:$E$1203,"A")=0,"",SUMIFS(Log!$I$4:$I$1203,Log!$D$4:$D$1203,$A21,Log!$B$4:$B$1203,G$5,Log!$E$4:$E$1203,"A")))</f>
        <v/>
      </c>
      <c r="H21" s="85" t="str">
        <f aca="false">IF($A21="","",IF(SUMIFS(Log!$I$4:$I$1203,Log!$D$4:$D$1203,$A21,Log!$B$4:$B$1203,H$5,Log!$E$4:$E$1203,"A")=0,"",SUMIFS(Log!$I$4:$I$1203,Log!$D$4:$D$1203,$A21,Log!$B$4:$B$1203,H$5,Log!$E$4:$E$1203,"A")))</f>
        <v/>
      </c>
      <c r="I21" s="85" t="str">
        <f aca="false">IF($A21="","",IF(SUMIFS(Log!$I$4:$I$1203,Log!$D$4:$D$1203,$A21,Log!$B$4:$B$1203,I$5,Log!$E$4:$E$1203,"A")=0,"",SUMIFS(Log!$I$4:$I$1203,Log!$D$4:$D$1203,$A21,Log!$B$4:$B$1203,I$5,Log!$E$4:$E$1203,"A")))</f>
        <v/>
      </c>
      <c r="J21" s="85" t="str">
        <f aca="false">IF($A21="","",IF(SUMIFS(Log!$I$4:$I$1203,Log!$D$4:$D$1203,$A21,Log!$B$4:$B$1203,J$5,Log!$E$4:$E$1203,"A")=0,"",SUMIFS(Log!$I$4:$I$1203,Log!$D$4:$D$1203,$A21,Log!$B$4:$B$1203,J$5,Log!$E$4:$E$1203,"A")))</f>
        <v/>
      </c>
      <c r="K21" s="85" t="str">
        <f aca="false">IF($A21="","",IF(SUMIFS(Log!$I$4:$I$1203,Log!$D$4:$D$1203,$A21,Log!$B$4:$B$1203,K$5,Log!$E$4:$E$1203,"A")=0,"",SUMIFS(Log!$I$4:$I$1203,Log!$D$4:$D$1203,$A21,Log!$B$4:$B$1203,K$5,Log!$E$4:$E$1203,"A")))</f>
        <v/>
      </c>
      <c r="L21" s="85" t="str">
        <f aca="false">IF($A21="","",IF(SUMIFS(Log!$I$4:$I$1203,Log!$D$4:$D$1203,$A21,Log!$B$4:$B$1203,L$5,Log!$E$4:$E$1203,"A")=0,"",SUMIFS(Log!$I$4:$I$1203,Log!$D$4:$D$1203,$A21,Log!$B$4:$B$1203,L$5,Log!$E$4:$E$1203,"A")))</f>
        <v/>
      </c>
      <c r="M21" s="85" t="str">
        <f aca="false">IF($A21="","",IF(SUMIFS(Log!$I$4:$I$1203,Log!$D$4:$D$1203,$A21,Log!$B$4:$B$1203,M$5,Log!$E$4:$E$1203,"A")=0,"",SUMIFS(Log!$I$4:$I$1203,Log!$D$4:$D$1203,$A21,Log!$B$4:$B$1203,M$5,Log!$E$4:$E$1203,"A")))</f>
        <v/>
      </c>
      <c r="N21" s="85" t="str">
        <f aca="false">IF($A21="","",IF(SUMIFS(Log!$I$4:$I$1203,Log!$D$4:$D$1203,$A21,Log!$B$4:$B$1203,N$5,Log!$E$4:$E$1203,"A")=0,"",SUMIFS(Log!$I$4:$I$1203,Log!$D$4:$D$1203,$A21,Log!$B$4:$B$1203,N$5,Log!$E$4:$E$1203,"A")))</f>
        <v/>
      </c>
      <c r="O21" s="85" t="str">
        <f aca="false">IF($A21="","",IF(SUMIFS(Log!$I$4:$I$1203,Log!$D$4:$D$1203,$A21,Log!$B$4:$B$1203,O$5,Log!$E$4:$E$1203,"A")=0,"",SUMIFS(Log!$I$4:$I$1203,Log!$D$4:$D$1203,$A21,Log!$B$4:$B$1203,O$5,Log!$E$4:$E$1203,"A")))</f>
        <v/>
      </c>
      <c r="P21" s="85" t="n">
        <f aca="false">IF($A21="","",IF(SUMIFS(Log!$I$4:$I$1203,Log!$D$4:$D$1203,$A21,Log!$B$4:$B$1203,P$5,Log!$E$4:$E$1203,"A")=0,"",SUMIFS(Log!$I$4:$I$1203,Log!$D$4:$D$1203,$A21,Log!$B$4:$B$1203,P$5,Log!$E$4:$E$1203,"A")))</f>
        <v>854</v>
      </c>
      <c r="Q21" s="85" t="str">
        <f aca="false">IF($A21="","",IF(SUMIFS(Log!$I$4:$I$1203,Log!$D$4:$D$1203,$A21,Log!$B$4:$B$1203,Q$5,Log!$E$4:$E$1203,"A")=0,"",SUMIFS(Log!$I$4:$I$1203,Log!$D$4:$D$1203,$A21,Log!$B$4:$B$1203,Q$5,Log!$E$4:$E$1203,"A")))</f>
        <v/>
      </c>
      <c r="R21" s="84" t="n">
        <f aca="false">IF($A21="","",IF(SUMIFS(Log!$I$4:$I$1203,Log!$D$4:$D$1203,$A21,Log!$E$4:$E$1203,"A")=0,"",SUMIFS(Log!$I$4:$I$1203,Log!$D$4:$D$1203,$A21,Log!$E$4:$E$1203,"A")))</f>
        <v>854</v>
      </c>
    </row>
    <row r="22" customFormat="false" ht="16.5" hidden="false" customHeight="true" outlineLevel="0" collapsed="false">
      <c r="A22" s="34" t="str">
        <f aca="false">IF(Übungen!$A20="","",Übungen!$A20)</f>
        <v>Lunges</v>
      </c>
      <c r="B22" s="83" t="str">
        <f aca="false">IF($A22="","",IF(SUMIFS(Log!$I$4:$I$1203,Log!$D$4:$D$1203,$A22,Log!$B$4:$B$1203,B$5,Log!$E$4:$E$1203,"A")=0,"",SUMIFS(Log!$I$4:$I$1203,Log!$D$4:$D$1203,$A22,Log!$B$4:$B$1203,B$5,Log!$E$4:$E$1203,"A")))</f>
        <v/>
      </c>
      <c r="C22" s="83" t="str">
        <f aca="false">IF($A22="","",IF(SUMIFS(Log!$I$4:$I$1203,Log!$D$4:$D$1203,$A22,Log!$B$4:$B$1203,C$5,Log!$E$4:$E$1203,"A")=0,"",SUMIFS(Log!$I$4:$I$1203,Log!$D$4:$D$1203,$A22,Log!$B$4:$B$1203,C$5,Log!$E$4:$E$1203,"A")))</f>
        <v/>
      </c>
      <c r="D22" s="83" t="str">
        <f aca="false">IF($A22="","",IF(SUMIFS(Log!$I$4:$I$1203,Log!$D$4:$D$1203,$A22,Log!$B$4:$B$1203,D$5,Log!$E$4:$E$1203,"A")=0,"",SUMIFS(Log!$I$4:$I$1203,Log!$D$4:$D$1203,$A22,Log!$B$4:$B$1203,D$5,Log!$E$4:$E$1203,"A")))</f>
        <v/>
      </c>
      <c r="E22" s="83" t="str">
        <f aca="false">IF($A22="","",IF(SUMIFS(Log!$I$4:$I$1203,Log!$D$4:$D$1203,$A22,Log!$B$4:$B$1203,E$5,Log!$E$4:$E$1203,"A")=0,"",SUMIFS(Log!$I$4:$I$1203,Log!$D$4:$D$1203,$A22,Log!$B$4:$B$1203,E$5,Log!$E$4:$E$1203,"A")))</f>
        <v/>
      </c>
      <c r="F22" s="83" t="str">
        <f aca="false">IF($A22="","",IF(SUMIFS(Log!$I$4:$I$1203,Log!$D$4:$D$1203,$A22,Log!$B$4:$B$1203,F$5,Log!$E$4:$E$1203,"A")=0,"",SUMIFS(Log!$I$4:$I$1203,Log!$D$4:$D$1203,$A22,Log!$B$4:$B$1203,F$5,Log!$E$4:$E$1203,"A")))</f>
        <v/>
      </c>
      <c r="G22" s="83" t="str">
        <f aca="false">IF($A22="","",IF(SUMIFS(Log!$I$4:$I$1203,Log!$D$4:$D$1203,$A22,Log!$B$4:$B$1203,G$5,Log!$E$4:$E$1203,"A")=0,"",SUMIFS(Log!$I$4:$I$1203,Log!$D$4:$D$1203,$A22,Log!$B$4:$B$1203,G$5,Log!$E$4:$E$1203,"A")))</f>
        <v/>
      </c>
      <c r="H22" s="83" t="str">
        <f aca="false">IF($A22="","",IF(SUMIFS(Log!$I$4:$I$1203,Log!$D$4:$D$1203,$A22,Log!$B$4:$B$1203,H$5,Log!$E$4:$E$1203,"A")=0,"",SUMIFS(Log!$I$4:$I$1203,Log!$D$4:$D$1203,$A22,Log!$B$4:$B$1203,H$5,Log!$E$4:$E$1203,"A")))</f>
        <v/>
      </c>
      <c r="I22" s="83" t="str">
        <f aca="false">IF($A22="","",IF(SUMIFS(Log!$I$4:$I$1203,Log!$D$4:$D$1203,$A22,Log!$B$4:$B$1203,I$5,Log!$E$4:$E$1203,"A")=0,"",SUMIFS(Log!$I$4:$I$1203,Log!$D$4:$D$1203,$A22,Log!$B$4:$B$1203,I$5,Log!$E$4:$E$1203,"A")))</f>
        <v/>
      </c>
      <c r="J22" s="83" t="str">
        <f aca="false">IF($A22="","",IF(SUMIFS(Log!$I$4:$I$1203,Log!$D$4:$D$1203,$A22,Log!$B$4:$B$1203,J$5,Log!$E$4:$E$1203,"A")=0,"",SUMIFS(Log!$I$4:$I$1203,Log!$D$4:$D$1203,$A22,Log!$B$4:$B$1203,J$5,Log!$E$4:$E$1203,"A")))</f>
        <v/>
      </c>
      <c r="K22" s="83" t="str">
        <f aca="false">IF($A22="","",IF(SUMIFS(Log!$I$4:$I$1203,Log!$D$4:$D$1203,$A22,Log!$B$4:$B$1203,K$5,Log!$E$4:$E$1203,"A")=0,"",SUMIFS(Log!$I$4:$I$1203,Log!$D$4:$D$1203,$A22,Log!$B$4:$B$1203,K$5,Log!$E$4:$E$1203,"A")))</f>
        <v/>
      </c>
      <c r="L22" s="83" t="str">
        <f aca="false">IF($A22="","",IF(SUMIFS(Log!$I$4:$I$1203,Log!$D$4:$D$1203,$A22,Log!$B$4:$B$1203,L$5,Log!$E$4:$E$1203,"A")=0,"",SUMIFS(Log!$I$4:$I$1203,Log!$D$4:$D$1203,$A22,Log!$B$4:$B$1203,L$5,Log!$E$4:$E$1203,"A")))</f>
        <v/>
      </c>
      <c r="M22" s="83" t="str">
        <f aca="false">IF($A22="","",IF(SUMIFS(Log!$I$4:$I$1203,Log!$D$4:$D$1203,$A22,Log!$B$4:$B$1203,M$5,Log!$E$4:$E$1203,"A")=0,"",SUMIFS(Log!$I$4:$I$1203,Log!$D$4:$D$1203,$A22,Log!$B$4:$B$1203,M$5,Log!$E$4:$E$1203,"A")))</f>
        <v/>
      </c>
      <c r="N22" s="83" t="str">
        <f aca="false">IF($A22="","",IF(SUMIFS(Log!$I$4:$I$1203,Log!$D$4:$D$1203,$A22,Log!$B$4:$B$1203,N$5,Log!$E$4:$E$1203,"A")=0,"",SUMIFS(Log!$I$4:$I$1203,Log!$D$4:$D$1203,$A22,Log!$B$4:$B$1203,N$5,Log!$E$4:$E$1203,"A")))</f>
        <v/>
      </c>
      <c r="O22" s="83" t="str">
        <f aca="false">IF($A22="","",IF(SUMIFS(Log!$I$4:$I$1203,Log!$D$4:$D$1203,$A22,Log!$B$4:$B$1203,O$5,Log!$E$4:$E$1203,"A")=0,"",SUMIFS(Log!$I$4:$I$1203,Log!$D$4:$D$1203,$A22,Log!$B$4:$B$1203,O$5,Log!$E$4:$E$1203,"A")))</f>
        <v/>
      </c>
      <c r="P22" s="83" t="str">
        <f aca="false">IF($A22="","",IF(SUMIFS(Log!$I$4:$I$1203,Log!$D$4:$D$1203,$A22,Log!$B$4:$B$1203,P$5,Log!$E$4:$E$1203,"A")=0,"",SUMIFS(Log!$I$4:$I$1203,Log!$D$4:$D$1203,$A22,Log!$B$4:$B$1203,P$5,Log!$E$4:$E$1203,"A")))</f>
        <v/>
      </c>
      <c r="Q22" s="83" t="str">
        <f aca="false">IF($A22="","",IF(SUMIFS(Log!$I$4:$I$1203,Log!$D$4:$D$1203,$A22,Log!$B$4:$B$1203,Q$5,Log!$E$4:$E$1203,"A")=0,"",SUMIFS(Log!$I$4:$I$1203,Log!$D$4:$D$1203,$A22,Log!$B$4:$B$1203,Q$5,Log!$E$4:$E$1203,"A")))</f>
        <v/>
      </c>
      <c r="R22" s="84" t="str">
        <f aca="false">IF($A22="","",IF(SUMIFS(Log!$I$4:$I$1203,Log!$D$4:$D$1203,$A22,Log!$E$4:$E$1203,"A")=0,"",SUMIFS(Log!$I$4:$I$1203,Log!$D$4:$D$1203,$A22,Log!$E$4:$E$1203,"A")))</f>
        <v/>
      </c>
    </row>
    <row r="23" customFormat="false" ht="16.5" hidden="false" customHeight="true" outlineLevel="0" collapsed="false">
      <c r="A23" s="40" t="str">
        <f aca="false">IF(Übungen!$A21="","",Übungen!$A21)</f>
        <v>Kickback</v>
      </c>
      <c r="B23" s="85" t="n">
        <f aca="false">IF($A23="","",IF(SUMIFS(Log!$I$4:$I$1203,Log!$D$4:$D$1203,$A23,Log!$B$4:$B$1203,B$5,Log!$E$4:$E$1203,"A")=0,"",SUMIFS(Log!$I$4:$I$1203,Log!$D$4:$D$1203,$A23,Log!$B$4:$B$1203,B$5,Log!$E$4:$E$1203,"A")))</f>
        <v>1974</v>
      </c>
      <c r="C23" s="85" t="n">
        <f aca="false">IF($A23="","",IF(SUMIFS(Log!$I$4:$I$1203,Log!$D$4:$D$1203,$A23,Log!$B$4:$B$1203,C$5,Log!$E$4:$E$1203,"A")=0,"",SUMIFS(Log!$I$4:$I$1203,Log!$D$4:$D$1203,$A23,Log!$B$4:$B$1203,C$5,Log!$E$4:$E$1203,"A")))</f>
        <v>1274</v>
      </c>
      <c r="D23" s="85" t="n">
        <f aca="false">IF($A23="","",IF(SUMIFS(Log!$I$4:$I$1203,Log!$D$4:$D$1203,$A23,Log!$B$4:$B$1203,D$5,Log!$E$4:$E$1203,"A")=0,"",SUMIFS(Log!$I$4:$I$1203,Log!$D$4:$D$1203,$A23,Log!$B$4:$B$1203,D$5,Log!$E$4:$E$1203,"A")))</f>
        <v>2086</v>
      </c>
      <c r="E23" s="85" t="n">
        <f aca="false">IF($A23="","",IF(SUMIFS(Log!$I$4:$I$1203,Log!$D$4:$D$1203,$A23,Log!$B$4:$B$1203,E$5,Log!$E$4:$E$1203,"A")=0,"",SUMIFS(Log!$I$4:$I$1203,Log!$D$4:$D$1203,$A23,Log!$B$4:$B$1203,E$5,Log!$E$4:$E$1203,"A")))</f>
        <v>1785</v>
      </c>
      <c r="F23" s="85" t="str">
        <f aca="false">IF($A23="","",IF(SUMIFS(Log!$I$4:$I$1203,Log!$D$4:$D$1203,$A23,Log!$B$4:$B$1203,F$5,Log!$E$4:$E$1203,"A")=0,"",SUMIFS(Log!$I$4:$I$1203,Log!$D$4:$D$1203,$A23,Log!$B$4:$B$1203,F$5,Log!$E$4:$E$1203,"A")))</f>
        <v/>
      </c>
      <c r="G23" s="85" t="str">
        <f aca="false">IF($A23="","",IF(SUMIFS(Log!$I$4:$I$1203,Log!$D$4:$D$1203,$A23,Log!$B$4:$B$1203,G$5,Log!$E$4:$E$1203,"A")=0,"",SUMIFS(Log!$I$4:$I$1203,Log!$D$4:$D$1203,$A23,Log!$B$4:$B$1203,G$5,Log!$E$4:$E$1203,"A")))</f>
        <v/>
      </c>
      <c r="H23" s="85" t="str">
        <f aca="false">IF($A23="","",IF(SUMIFS(Log!$I$4:$I$1203,Log!$D$4:$D$1203,$A23,Log!$B$4:$B$1203,H$5,Log!$E$4:$E$1203,"A")=0,"",SUMIFS(Log!$I$4:$I$1203,Log!$D$4:$D$1203,$A23,Log!$B$4:$B$1203,H$5,Log!$E$4:$E$1203,"A")))</f>
        <v/>
      </c>
      <c r="I23" s="85" t="str">
        <f aca="false">IF($A23="","",IF(SUMIFS(Log!$I$4:$I$1203,Log!$D$4:$D$1203,$A23,Log!$B$4:$B$1203,I$5,Log!$E$4:$E$1203,"A")=0,"",SUMIFS(Log!$I$4:$I$1203,Log!$D$4:$D$1203,$A23,Log!$B$4:$B$1203,I$5,Log!$E$4:$E$1203,"A")))</f>
        <v/>
      </c>
      <c r="J23" s="85" t="str">
        <f aca="false">IF($A23="","",IF(SUMIFS(Log!$I$4:$I$1203,Log!$D$4:$D$1203,$A23,Log!$B$4:$B$1203,J$5,Log!$E$4:$E$1203,"A")=0,"",SUMIFS(Log!$I$4:$I$1203,Log!$D$4:$D$1203,$A23,Log!$B$4:$B$1203,J$5,Log!$E$4:$E$1203,"A")))</f>
        <v/>
      </c>
      <c r="K23" s="85" t="str">
        <f aca="false">IF($A23="","",IF(SUMIFS(Log!$I$4:$I$1203,Log!$D$4:$D$1203,$A23,Log!$B$4:$B$1203,K$5,Log!$E$4:$E$1203,"A")=0,"",SUMIFS(Log!$I$4:$I$1203,Log!$D$4:$D$1203,$A23,Log!$B$4:$B$1203,K$5,Log!$E$4:$E$1203,"A")))</f>
        <v/>
      </c>
      <c r="L23" s="85" t="str">
        <f aca="false">IF($A23="","",IF(SUMIFS(Log!$I$4:$I$1203,Log!$D$4:$D$1203,$A23,Log!$B$4:$B$1203,L$5,Log!$E$4:$E$1203,"A")=0,"",SUMIFS(Log!$I$4:$I$1203,Log!$D$4:$D$1203,$A23,Log!$B$4:$B$1203,L$5,Log!$E$4:$E$1203,"A")))</f>
        <v/>
      </c>
      <c r="M23" s="85" t="str">
        <f aca="false">IF($A23="","",IF(SUMIFS(Log!$I$4:$I$1203,Log!$D$4:$D$1203,$A23,Log!$B$4:$B$1203,M$5,Log!$E$4:$E$1203,"A")=0,"",SUMIFS(Log!$I$4:$I$1203,Log!$D$4:$D$1203,$A23,Log!$B$4:$B$1203,M$5,Log!$E$4:$E$1203,"A")))</f>
        <v/>
      </c>
      <c r="N23" s="85" t="str">
        <f aca="false">IF($A23="","",IF(SUMIFS(Log!$I$4:$I$1203,Log!$D$4:$D$1203,$A23,Log!$B$4:$B$1203,N$5,Log!$E$4:$E$1203,"A")=0,"",SUMIFS(Log!$I$4:$I$1203,Log!$D$4:$D$1203,$A23,Log!$B$4:$B$1203,N$5,Log!$E$4:$E$1203,"A")))</f>
        <v/>
      </c>
      <c r="O23" s="85" t="str">
        <f aca="false">IF($A23="","",IF(SUMIFS(Log!$I$4:$I$1203,Log!$D$4:$D$1203,$A23,Log!$B$4:$B$1203,O$5,Log!$E$4:$E$1203,"A")=0,"",SUMIFS(Log!$I$4:$I$1203,Log!$D$4:$D$1203,$A23,Log!$B$4:$B$1203,O$5,Log!$E$4:$E$1203,"A")))</f>
        <v/>
      </c>
      <c r="P23" s="85" t="str">
        <f aca="false">IF($A23="","",IF(SUMIFS(Log!$I$4:$I$1203,Log!$D$4:$D$1203,$A23,Log!$B$4:$B$1203,P$5,Log!$E$4:$E$1203,"A")=0,"",SUMIFS(Log!$I$4:$I$1203,Log!$D$4:$D$1203,$A23,Log!$B$4:$B$1203,P$5,Log!$E$4:$E$1203,"A")))</f>
        <v/>
      </c>
      <c r="Q23" s="85" t="str">
        <f aca="false">IF($A23="","",IF(SUMIFS(Log!$I$4:$I$1203,Log!$D$4:$D$1203,$A23,Log!$B$4:$B$1203,Q$5,Log!$E$4:$E$1203,"A")=0,"",SUMIFS(Log!$I$4:$I$1203,Log!$D$4:$D$1203,$A23,Log!$B$4:$B$1203,Q$5,Log!$E$4:$E$1203,"A")))</f>
        <v/>
      </c>
      <c r="R23" s="84" t="n">
        <f aca="false">IF($A23="","",IF(SUMIFS(Log!$I$4:$I$1203,Log!$D$4:$D$1203,$A23,Log!$E$4:$E$1203,"A")=0,"",SUMIFS(Log!$I$4:$I$1203,Log!$D$4:$D$1203,$A23,Log!$E$4:$E$1203,"A")))</f>
        <v>7119</v>
      </c>
    </row>
    <row r="24" customFormat="false" ht="16.5" hidden="false" customHeight="true" outlineLevel="0" collapsed="false">
      <c r="A24" s="34" t="str">
        <f aca="false">IF(Übungen!$A22="","",Übungen!$A22)</f>
        <v/>
      </c>
      <c r="B24" s="83" t="str">
        <f aca="false">IF($A24="","",IF(SUMIFS(Log!$I$4:$I$1203,Log!$D$4:$D$1203,$A24,Log!$B$4:$B$1203,B$5,Log!$E$4:$E$1203,"A")=0,"",SUMIFS(Log!$I$4:$I$1203,Log!$D$4:$D$1203,$A24,Log!$B$4:$B$1203,B$5,Log!$E$4:$E$1203,"A")))</f>
        <v/>
      </c>
      <c r="C24" s="83" t="str">
        <f aca="false">IF($A24="","",IF(SUMIFS(Log!$I$4:$I$1203,Log!$D$4:$D$1203,$A24,Log!$B$4:$B$1203,C$5,Log!$E$4:$E$1203,"A")=0,"",SUMIFS(Log!$I$4:$I$1203,Log!$D$4:$D$1203,$A24,Log!$B$4:$B$1203,C$5,Log!$E$4:$E$1203,"A")))</f>
        <v/>
      </c>
      <c r="D24" s="83" t="str">
        <f aca="false">IF($A24="","",IF(SUMIFS(Log!$I$4:$I$1203,Log!$D$4:$D$1203,$A24,Log!$B$4:$B$1203,D$5,Log!$E$4:$E$1203,"A")=0,"",SUMIFS(Log!$I$4:$I$1203,Log!$D$4:$D$1203,$A24,Log!$B$4:$B$1203,D$5,Log!$E$4:$E$1203,"A")))</f>
        <v/>
      </c>
      <c r="E24" s="83" t="str">
        <f aca="false">IF($A24="","",IF(SUMIFS(Log!$I$4:$I$1203,Log!$D$4:$D$1203,$A24,Log!$B$4:$B$1203,E$5,Log!$E$4:$E$1203,"A")=0,"",SUMIFS(Log!$I$4:$I$1203,Log!$D$4:$D$1203,$A24,Log!$B$4:$B$1203,E$5,Log!$E$4:$E$1203,"A")))</f>
        <v/>
      </c>
      <c r="F24" s="83" t="str">
        <f aca="false">IF($A24="","",IF(SUMIFS(Log!$I$4:$I$1203,Log!$D$4:$D$1203,$A24,Log!$B$4:$B$1203,F$5,Log!$E$4:$E$1203,"A")=0,"",SUMIFS(Log!$I$4:$I$1203,Log!$D$4:$D$1203,$A24,Log!$B$4:$B$1203,F$5,Log!$E$4:$E$1203,"A")))</f>
        <v/>
      </c>
      <c r="G24" s="83" t="str">
        <f aca="false">IF($A24="","",IF(SUMIFS(Log!$I$4:$I$1203,Log!$D$4:$D$1203,$A24,Log!$B$4:$B$1203,G$5,Log!$E$4:$E$1203,"A")=0,"",SUMIFS(Log!$I$4:$I$1203,Log!$D$4:$D$1203,$A24,Log!$B$4:$B$1203,G$5,Log!$E$4:$E$1203,"A")))</f>
        <v/>
      </c>
      <c r="H24" s="83" t="str">
        <f aca="false">IF($A24="","",IF(SUMIFS(Log!$I$4:$I$1203,Log!$D$4:$D$1203,$A24,Log!$B$4:$B$1203,H$5,Log!$E$4:$E$1203,"A")=0,"",SUMIFS(Log!$I$4:$I$1203,Log!$D$4:$D$1203,$A24,Log!$B$4:$B$1203,H$5,Log!$E$4:$E$1203,"A")))</f>
        <v/>
      </c>
      <c r="I24" s="83" t="str">
        <f aca="false">IF($A24="","",IF(SUMIFS(Log!$I$4:$I$1203,Log!$D$4:$D$1203,$A24,Log!$B$4:$B$1203,I$5,Log!$E$4:$E$1203,"A")=0,"",SUMIFS(Log!$I$4:$I$1203,Log!$D$4:$D$1203,$A24,Log!$B$4:$B$1203,I$5,Log!$E$4:$E$1203,"A")))</f>
        <v/>
      </c>
      <c r="J24" s="83" t="str">
        <f aca="false">IF($A24="","",IF(SUMIFS(Log!$I$4:$I$1203,Log!$D$4:$D$1203,$A24,Log!$B$4:$B$1203,J$5,Log!$E$4:$E$1203,"A")=0,"",SUMIFS(Log!$I$4:$I$1203,Log!$D$4:$D$1203,$A24,Log!$B$4:$B$1203,J$5,Log!$E$4:$E$1203,"A")))</f>
        <v/>
      </c>
      <c r="K24" s="83" t="str">
        <f aca="false">IF($A24="","",IF(SUMIFS(Log!$I$4:$I$1203,Log!$D$4:$D$1203,$A24,Log!$B$4:$B$1203,K$5,Log!$E$4:$E$1203,"A")=0,"",SUMIFS(Log!$I$4:$I$1203,Log!$D$4:$D$1203,$A24,Log!$B$4:$B$1203,K$5,Log!$E$4:$E$1203,"A")))</f>
        <v/>
      </c>
      <c r="L24" s="83" t="str">
        <f aca="false">IF($A24="","",IF(SUMIFS(Log!$I$4:$I$1203,Log!$D$4:$D$1203,$A24,Log!$B$4:$B$1203,L$5,Log!$E$4:$E$1203,"A")=0,"",SUMIFS(Log!$I$4:$I$1203,Log!$D$4:$D$1203,$A24,Log!$B$4:$B$1203,L$5,Log!$E$4:$E$1203,"A")))</f>
        <v/>
      </c>
      <c r="M24" s="83" t="str">
        <f aca="false">IF($A24="","",IF(SUMIFS(Log!$I$4:$I$1203,Log!$D$4:$D$1203,$A24,Log!$B$4:$B$1203,M$5,Log!$E$4:$E$1203,"A")=0,"",SUMIFS(Log!$I$4:$I$1203,Log!$D$4:$D$1203,$A24,Log!$B$4:$B$1203,M$5,Log!$E$4:$E$1203,"A")))</f>
        <v/>
      </c>
      <c r="N24" s="83" t="str">
        <f aca="false">IF($A24="","",IF(SUMIFS(Log!$I$4:$I$1203,Log!$D$4:$D$1203,$A24,Log!$B$4:$B$1203,N$5,Log!$E$4:$E$1203,"A")=0,"",SUMIFS(Log!$I$4:$I$1203,Log!$D$4:$D$1203,$A24,Log!$B$4:$B$1203,N$5,Log!$E$4:$E$1203,"A")))</f>
        <v/>
      </c>
      <c r="O24" s="83" t="str">
        <f aca="false">IF($A24="","",IF(SUMIFS(Log!$I$4:$I$1203,Log!$D$4:$D$1203,$A24,Log!$B$4:$B$1203,O$5,Log!$E$4:$E$1203,"A")=0,"",SUMIFS(Log!$I$4:$I$1203,Log!$D$4:$D$1203,$A24,Log!$B$4:$B$1203,O$5,Log!$E$4:$E$1203,"A")))</f>
        <v/>
      </c>
      <c r="P24" s="83" t="str">
        <f aca="false">IF($A24="","",IF(SUMIFS(Log!$I$4:$I$1203,Log!$D$4:$D$1203,$A24,Log!$B$4:$B$1203,P$5,Log!$E$4:$E$1203,"A")=0,"",SUMIFS(Log!$I$4:$I$1203,Log!$D$4:$D$1203,$A24,Log!$B$4:$B$1203,P$5,Log!$E$4:$E$1203,"A")))</f>
        <v/>
      </c>
      <c r="Q24" s="83" t="str">
        <f aca="false">IF($A24="","",IF(SUMIFS(Log!$I$4:$I$1203,Log!$D$4:$D$1203,$A24,Log!$B$4:$B$1203,Q$5,Log!$E$4:$E$1203,"A")=0,"",SUMIFS(Log!$I$4:$I$1203,Log!$D$4:$D$1203,$A24,Log!$B$4:$B$1203,Q$5,Log!$E$4:$E$1203,"A")))</f>
        <v/>
      </c>
      <c r="R24" s="84" t="str">
        <f aca="false">IF($A24="","",IF(SUMIFS(Log!$I$4:$I$1203,Log!$D$4:$D$1203,$A24,Log!$E$4:$E$1203,"A")=0,"",SUMIFS(Log!$I$4:$I$1203,Log!$D$4:$D$1203,$A24,Log!$E$4:$E$1203,"A")))</f>
        <v/>
      </c>
    </row>
    <row r="25" customFormat="false" ht="16.5" hidden="false" customHeight="true" outlineLevel="0" collapsed="false">
      <c r="A25" s="40" t="str">
        <f aca="false">IF(Übungen!$A23="","",Übungen!$A23)</f>
        <v/>
      </c>
      <c r="B25" s="85" t="str">
        <f aca="false">IF($A25="","",IF(SUMIFS(Log!$I$4:$I$1203,Log!$D$4:$D$1203,$A25,Log!$B$4:$B$1203,B$5,Log!$E$4:$E$1203,"A")=0,"",SUMIFS(Log!$I$4:$I$1203,Log!$D$4:$D$1203,$A25,Log!$B$4:$B$1203,B$5,Log!$E$4:$E$1203,"A")))</f>
        <v/>
      </c>
      <c r="C25" s="85" t="str">
        <f aca="false">IF($A25="","",IF(SUMIFS(Log!$I$4:$I$1203,Log!$D$4:$D$1203,$A25,Log!$B$4:$B$1203,C$5,Log!$E$4:$E$1203,"A")=0,"",SUMIFS(Log!$I$4:$I$1203,Log!$D$4:$D$1203,$A25,Log!$B$4:$B$1203,C$5,Log!$E$4:$E$1203,"A")))</f>
        <v/>
      </c>
      <c r="D25" s="85" t="str">
        <f aca="false">IF($A25="","",IF(SUMIFS(Log!$I$4:$I$1203,Log!$D$4:$D$1203,$A25,Log!$B$4:$B$1203,D$5,Log!$E$4:$E$1203,"A")=0,"",SUMIFS(Log!$I$4:$I$1203,Log!$D$4:$D$1203,$A25,Log!$B$4:$B$1203,D$5,Log!$E$4:$E$1203,"A")))</f>
        <v/>
      </c>
      <c r="E25" s="85" t="str">
        <f aca="false">IF($A25="","",IF(SUMIFS(Log!$I$4:$I$1203,Log!$D$4:$D$1203,$A25,Log!$B$4:$B$1203,E$5,Log!$E$4:$E$1203,"A")=0,"",SUMIFS(Log!$I$4:$I$1203,Log!$D$4:$D$1203,$A25,Log!$B$4:$B$1203,E$5,Log!$E$4:$E$1203,"A")))</f>
        <v/>
      </c>
      <c r="F25" s="85" t="str">
        <f aca="false">IF($A25="","",IF(SUMIFS(Log!$I$4:$I$1203,Log!$D$4:$D$1203,$A25,Log!$B$4:$B$1203,F$5,Log!$E$4:$E$1203,"A")=0,"",SUMIFS(Log!$I$4:$I$1203,Log!$D$4:$D$1203,$A25,Log!$B$4:$B$1203,F$5,Log!$E$4:$E$1203,"A")))</f>
        <v/>
      </c>
      <c r="G25" s="85" t="str">
        <f aca="false">IF($A25="","",IF(SUMIFS(Log!$I$4:$I$1203,Log!$D$4:$D$1203,$A25,Log!$B$4:$B$1203,G$5,Log!$E$4:$E$1203,"A")=0,"",SUMIFS(Log!$I$4:$I$1203,Log!$D$4:$D$1203,$A25,Log!$B$4:$B$1203,G$5,Log!$E$4:$E$1203,"A")))</f>
        <v/>
      </c>
      <c r="H25" s="85" t="str">
        <f aca="false">IF($A25="","",IF(SUMIFS(Log!$I$4:$I$1203,Log!$D$4:$D$1203,$A25,Log!$B$4:$B$1203,H$5,Log!$E$4:$E$1203,"A")=0,"",SUMIFS(Log!$I$4:$I$1203,Log!$D$4:$D$1203,$A25,Log!$B$4:$B$1203,H$5,Log!$E$4:$E$1203,"A")))</f>
        <v/>
      </c>
      <c r="I25" s="85" t="str">
        <f aca="false">IF($A25="","",IF(SUMIFS(Log!$I$4:$I$1203,Log!$D$4:$D$1203,$A25,Log!$B$4:$B$1203,I$5,Log!$E$4:$E$1203,"A")=0,"",SUMIFS(Log!$I$4:$I$1203,Log!$D$4:$D$1203,$A25,Log!$B$4:$B$1203,I$5,Log!$E$4:$E$1203,"A")))</f>
        <v/>
      </c>
      <c r="J25" s="85" t="str">
        <f aca="false">IF($A25="","",IF(SUMIFS(Log!$I$4:$I$1203,Log!$D$4:$D$1203,$A25,Log!$B$4:$B$1203,J$5,Log!$E$4:$E$1203,"A")=0,"",SUMIFS(Log!$I$4:$I$1203,Log!$D$4:$D$1203,$A25,Log!$B$4:$B$1203,J$5,Log!$E$4:$E$1203,"A")))</f>
        <v/>
      </c>
      <c r="K25" s="85" t="str">
        <f aca="false">IF($A25="","",IF(SUMIFS(Log!$I$4:$I$1203,Log!$D$4:$D$1203,$A25,Log!$B$4:$B$1203,K$5,Log!$E$4:$E$1203,"A")=0,"",SUMIFS(Log!$I$4:$I$1203,Log!$D$4:$D$1203,$A25,Log!$B$4:$B$1203,K$5,Log!$E$4:$E$1203,"A")))</f>
        <v/>
      </c>
      <c r="L25" s="85" t="str">
        <f aca="false">IF($A25="","",IF(SUMIFS(Log!$I$4:$I$1203,Log!$D$4:$D$1203,$A25,Log!$B$4:$B$1203,L$5,Log!$E$4:$E$1203,"A")=0,"",SUMIFS(Log!$I$4:$I$1203,Log!$D$4:$D$1203,$A25,Log!$B$4:$B$1203,L$5,Log!$E$4:$E$1203,"A")))</f>
        <v/>
      </c>
      <c r="M25" s="85" t="str">
        <f aca="false">IF($A25="","",IF(SUMIFS(Log!$I$4:$I$1203,Log!$D$4:$D$1203,$A25,Log!$B$4:$B$1203,M$5,Log!$E$4:$E$1203,"A")=0,"",SUMIFS(Log!$I$4:$I$1203,Log!$D$4:$D$1203,$A25,Log!$B$4:$B$1203,M$5,Log!$E$4:$E$1203,"A")))</f>
        <v/>
      </c>
      <c r="N25" s="85" t="str">
        <f aca="false">IF($A25="","",IF(SUMIFS(Log!$I$4:$I$1203,Log!$D$4:$D$1203,$A25,Log!$B$4:$B$1203,N$5,Log!$E$4:$E$1203,"A")=0,"",SUMIFS(Log!$I$4:$I$1203,Log!$D$4:$D$1203,$A25,Log!$B$4:$B$1203,N$5,Log!$E$4:$E$1203,"A")))</f>
        <v/>
      </c>
      <c r="O25" s="85" t="str">
        <f aca="false">IF($A25="","",IF(SUMIFS(Log!$I$4:$I$1203,Log!$D$4:$D$1203,$A25,Log!$B$4:$B$1203,O$5,Log!$E$4:$E$1203,"A")=0,"",SUMIFS(Log!$I$4:$I$1203,Log!$D$4:$D$1203,$A25,Log!$B$4:$B$1203,O$5,Log!$E$4:$E$1203,"A")))</f>
        <v/>
      </c>
      <c r="P25" s="85" t="str">
        <f aca="false">IF($A25="","",IF(SUMIFS(Log!$I$4:$I$1203,Log!$D$4:$D$1203,$A25,Log!$B$4:$B$1203,P$5,Log!$E$4:$E$1203,"A")=0,"",SUMIFS(Log!$I$4:$I$1203,Log!$D$4:$D$1203,$A25,Log!$B$4:$B$1203,P$5,Log!$E$4:$E$1203,"A")))</f>
        <v/>
      </c>
      <c r="Q25" s="85" t="str">
        <f aca="false">IF($A25="","",IF(SUMIFS(Log!$I$4:$I$1203,Log!$D$4:$D$1203,$A25,Log!$B$4:$B$1203,Q$5,Log!$E$4:$E$1203,"A")=0,"",SUMIFS(Log!$I$4:$I$1203,Log!$D$4:$D$1203,$A25,Log!$B$4:$B$1203,Q$5,Log!$E$4:$E$1203,"A")))</f>
        <v/>
      </c>
      <c r="R25" s="84" t="str">
        <f aca="false">IF($A25="","",IF(SUMIFS(Log!$I$4:$I$1203,Log!$D$4:$D$1203,$A25,Log!$E$4:$E$1203,"A")=0,"",SUMIFS(Log!$I$4:$I$1203,Log!$D$4:$D$1203,$A25,Log!$E$4:$E$1203,"A")))</f>
        <v/>
      </c>
    </row>
    <row r="28" customFormat="false" ht="19.5" hidden="false" customHeight="true" outlineLevel="0" collapsed="false">
      <c r="A28" s="3" t="s">
        <v>506</v>
      </c>
      <c r="B28" s="3"/>
      <c r="C28" s="3"/>
      <c r="D28" s="3"/>
      <c r="E28" s="3"/>
      <c r="F28" s="3"/>
      <c r="G28" s="3"/>
      <c r="H28" s="3"/>
      <c r="I28" s="3"/>
      <c r="J28" s="3"/>
      <c r="K28" s="3"/>
      <c r="L28" s="3"/>
      <c r="M28" s="3"/>
      <c r="N28" s="3"/>
      <c r="O28" s="3"/>
      <c r="P28" s="3"/>
      <c r="Q28" s="3"/>
      <c r="R28" s="3"/>
    </row>
    <row r="29" customFormat="false" ht="21.75" hidden="false" customHeight="true" outlineLevel="0" collapsed="false">
      <c r="A29" s="13" t="s">
        <v>170</v>
      </c>
      <c r="B29" s="82" t="n">
        <f aca="false">$B$3</f>
        <v>1</v>
      </c>
      <c r="C29" s="82" t="n">
        <f aca="false">B29+1</f>
        <v>2</v>
      </c>
      <c r="D29" s="82" t="n">
        <f aca="false">C29+1</f>
        <v>3</v>
      </c>
      <c r="E29" s="82" t="n">
        <f aca="false">D29+1</f>
        <v>4</v>
      </c>
      <c r="F29" s="82" t="n">
        <f aca="false">E29+1</f>
        <v>5</v>
      </c>
      <c r="G29" s="82" t="n">
        <f aca="false">F29+1</f>
        <v>6</v>
      </c>
      <c r="H29" s="82" t="n">
        <f aca="false">G29+1</f>
        <v>7</v>
      </c>
      <c r="I29" s="82" t="n">
        <f aca="false">H29+1</f>
        <v>8</v>
      </c>
      <c r="J29" s="82" t="n">
        <f aca="false">I29+1</f>
        <v>9</v>
      </c>
      <c r="K29" s="82" t="n">
        <f aca="false">J29+1</f>
        <v>10</v>
      </c>
      <c r="L29" s="82" t="n">
        <f aca="false">K29+1</f>
        <v>11</v>
      </c>
      <c r="M29" s="82" t="n">
        <f aca="false">L29+1</f>
        <v>12</v>
      </c>
      <c r="N29" s="82" t="n">
        <f aca="false">M29+1</f>
        <v>13</v>
      </c>
      <c r="O29" s="82" t="n">
        <f aca="false">N29+1</f>
        <v>14</v>
      </c>
      <c r="P29" s="82" t="n">
        <f aca="false">O29+1</f>
        <v>15</v>
      </c>
      <c r="Q29" s="82" t="n">
        <f aca="false">P29+1</f>
        <v>16</v>
      </c>
      <c r="R29" s="13" t="s">
        <v>507</v>
      </c>
    </row>
    <row r="30" customFormat="false" ht="16.5" hidden="false" customHeight="true" outlineLevel="0" collapsed="false">
      <c r="A30" s="34" t="str">
        <f aca="false">IF(Übungen!$A4="","",Übungen!$A4)</f>
        <v>Beinpresse eng</v>
      </c>
      <c r="B30" s="86" t="str">
        <f aca="false">IF($A30="","",IF(SUMPRODUCT(MAX((Log!$D$4:$D$1203=$A30)*(Log!$B$4:$B$1203=B$29)*(Log!$E$4:$E$1203="A")*(Log!$F$4:$F$1203&lt;&gt;"")*Log!$F$4:$F$1203))=0,"",SUMPRODUCT(MAX((Log!$D$4:$D$1203=$A30)*(Log!$B$4:$B$1203=B$29)*(Log!$E$4:$E$1203="A")*(Log!$F$4:$F$1203&lt;&gt;"")*Log!$F$4:$F$1203))))</f>
        <v/>
      </c>
      <c r="C30" s="86" t="str">
        <f aca="false">IF($A30="","",IF(SUMPRODUCT(MAX((Log!$D$4:$D$1203=$A30)*(Log!$B$4:$B$1203=C$29)*(Log!$E$4:$E$1203="A")*(Log!$F$4:$F$1203&lt;&gt;"")*Log!$F$4:$F$1203))=0,"",SUMPRODUCT(MAX((Log!$D$4:$D$1203=$A30)*(Log!$B$4:$B$1203=C$29)*(Log!$E$4:$E$1203="A")*(Log!$F$4:$F$1203&lt;&gt;"")*Log!$F$4:$F$1203))))</f>
        <v/>
      </c>
      <c r="D30" s="86" t="str">
        <f aca="false">IF($A30="","",IF(SUMPRODUCT(MAX((Log!$D$4:$D$1203=$A30)*(Log!$B$4:$B$1203=D$29)*(Log!$E$4:$E$1203="A")*(Log!$F$4:$F$1203&lt;&gt;"")*Log!$F$4:$F$1203))=0,"",SUMPRODUCT(MAX((Log!$D$4:$D$1203=$A30)*(Log!$B$4:$B$1203=D$29)*(Log!$E$4:$E$1203="A")*(Log!$F$4:$F$1203&lt;&gt;"")*Log!$F$4:$F$1203))))</f>
        <v/>
      </c>
      <c r="E30" s="86" t="str">
        <f aca="false">IF($A30="","",IF(SUMPRODUCT(MAX((Log!$D$4:$D$1203=$A30)*(Log!$B$4:$B$1203=E$29)*(Log!$E$4:$E$1203="A")*(Log!$F$4:$F$1203&lt;&gt;"")*Log!$F$4:$F$1203))=0,"",SUMPRODUCT(MAX((Log!$D$4:$D$1203=$A30)*(Log!$B$4:$B$1203=E$29)*(Log!$E$4:$E$1203="A")*(Log!$F$4:$F$1203&lt;&gt;"")*Log!$F$4:$F$1203))))</f>
        <v/>
      </c>
      <c r="F30" s="86" t="n">
        <f aca="false">IF($A30="","",IF(SUMPRODUCT(MAX((Log!$D$4:$D$1203=$A30)*(Log!$B$4:$B$1203=F$29)*(Log!$E$4:$E$1203="A")*(Log!$F$4:$F$1203&lt;&gt;"")*Log!$F$4:$F$1203))=0,"",SUMPRODUCT(MAX((Log!$D$4:$D$1203=$A30)*(Log!$B$4:$B$1203=F$29)*(Log!$E$4:$E$1203="A")*(Log!$F$4:$F$1203&lt;&gt;"")*Log!$F$4:$F$1203))))</f>
        <v>273</v>
      </c>
      <c r="G30" s="86" t="n">
        <f aca="false">IF($A30="","",IF(SUMPRODUCT(MAX((Log!$D$4:$D$1203=$A30)*(Log!$B$4:$B$1203=G$29)*(Log!$E$4:$E$1203="A")*(Log!$F$4:$F$1203&lt;&gt;"")*Log!$F$4:$F$1203))=0,"",SUMPRODUCT(MAX((Log!$D$4:$D$1203=$A30)*(Log!$B$4:$B$1203=G$29)*(Log!$E$4:$E$1203="A")*(Log!$F$4:$F$1203&lt;&gt;"")*Log!$F$4:$F$1203))))</f>
        <v>303</v>
      </c>
      <c r="H30" s="86" t="str">
        <f aca="false">IF($A30="","",IF(SUMPRODUCT(MAX((Log!$D$4:$D$1203=$A30)*(Log!$B$4:$B$1203=H$29)*(Log!$E$4:$E$1203="A")*(Log!$F$4:$F$1203&lt;&gt;"")*Log!$F$4:$F$1203))=0,"",SUMPRODUCT(MAX((Log!$D$4:$D$1203=$A30)*(Log!$B$4:$B$1203=H$29)*(Log!$E$4:$E$1203="A")*(Log!$F$4:$F$1203&lt;&gt;"")*Log!$F$4:$F$1203))))</f>
        <v/>
      </c>
      <c r="I30" s="86" t="n">
        <f aca="false">IF($A30="","",IF(SUMPRODUCT(MAX((Log!$D$4:$D$1203=$A30)*(Log!$B$4:$B$1203=I$29)*(Log!$E$4:$E$1203="A")*(Log!$F$4:$F$1203&lt;&gt;"")*Log!$F$4:$F$1203))=0,"",SUMPRODUCT(MAX((Log!$D$4:$D$1203=$A30)*(Log!$B$4:$B$1203=I$29)*(Log!$E$4:$E$1203="A")*(Log!$F$4:$F$1203&lt;&gt;"")*Log!$F$4:$F$1203))))</f>
        <v>333</v>
      </c>
      <c r="J30" s="86" t="str">
        <f aca="false">IF($A30="","",IF(SUMPRODUCT(MAX((Log!$D$4:$D$1203=$A30)*(Log!$B$4:$B$1203=J$29)*(Log!$E$4:$E$1203="A")*(Log!$F$4:$F$1203&lt;&gt;"")*Log!$F$4:$F$1203))=0,"",SUMPRODUCT(MAX((Log!$D$4:$D$1203=$A30)*(Log!$B$4:$B$1203=J$29)*(Log!$E$4:$E$1203="A")*(Log!$F$4:$F$1203&lt;&gt;"")*Log!$F$4:$F$1203))))</f>
        <v/>
      </c>
      <c r="K30" s="86" t="n">
        <f aca="false">IF($A30="","",IF(SUMPRODUCT(MAX((Log!$D$4:$D$1203=$A30)*(Log!$B$4:$B$1203=K$29)*(Log!$E$4:$E$1203="A")*(Log!$F$4:$F$1203&lt;&gt;"")*Log!$F$4:$F$1203))=0,"",SUMPRODUCT(MAX((Log!$D$4:$D$1203=$A30)*(Log!$B$4:$B$1203=K$29)*(Log!$E$4:$E$1203="A")*(Log!$F$4:$F$1203&lt;&gt;"")*Log!$F$4:$F$1203))))</f>
        <v>330</v>
      </c>
      <c r="L30" s="86" t="str">
        <f aca="false">IF($A30="","",IF(SUMPRODUCT(MAX((Log!$D$4:$D$1203=$A30)*(Log!$B$4:$B$1203=L$29)*(Log!$E$4:$E$1203="A")*(Log!$F$4:$F$1203&lt;&gt;"")*Log!$F$4:$F$1203))=0,"",SUMPRODUCT(MAX((Log!$D$4:$D$1203=$A30)*(Log!$B$4:$B$1203=L$29)*(Log!$E$4:$E$1203="A")*(Log!$F$4:$F$1203&lt;&gt;"")*Log!$F$4:$F$1203))))</f>
        <v/>
      </c>
      <c r="M30" s="86" t="n">
        <f aca="false">IF($A30="","",IF(SUMPRODUCT(MAX((Log!$D$4:$D$1203=$A30)*(Log!$B$4:$B$1203=M$29)*(Log!$E$4:$E$1203="A")*(Log!$F$4:$F$1203&lt;&gt;"")*Log!$F$4:$F$1203))=0,"",SUMPRODUCT(MAX((Log!$D$4:$D$1203=$A30)*(Log!$B$4:$B$1203=M$29)*(Log!$E$4:$E$1203="A")*(Log!$F$4:$F$1203&lt;&gt;"")*Log!$F$4:$F$1203))))</f>
        <v>250</v>
      </c>
      <c r="N30" s="86" t="str">
        <f aca="false">IF($A30="","",IF(SUMPRODUCT(MAX((Log!$D$4:$D$1203=$A30)*(Log!$B$4:$B$1203=N$29)*(Log!$E$4:$E$1203="A")*(Log!$F$4:$F$1203&lt;&gt;"")*Log!$F$4:$F$1203))=0,"",SUMPRODUCT(MAX((Log!$D$4:$D$1203=$A30)*(Log!$B$4:$B$1203=N$29)*(Log!$E$4:$E$1203="A")*(Log!$F$4:$F$1203&lt;&gt;"")*Log!$F$4:$F$1203))))</f>
        <v/>
      </c>
      <c r="O30" s="86" t="str">
        <f aca="false">IF($A30="","",IF(SUMPRODUCT(MAX((Log!$D$4:$D$1203=$A30)*(Log!$B$4:$B$1203=O$29)*(Log!$E$4:$E$1203="A")*(Log!$F$4:$F$1203&lt;&gt;"")*Log!$F$4:$F$1203))=0,"",SUMPRODUCT(MAX((Log!$D$4:$D$1203=$A30)*(Log!$B$4:$B$1203=O$29)*(Log!$E$4:$E$1203="A")*(Log!$F$4:$F$1203&lt;&gt;"")*Log!$F$4:$F$1203))))</f>
        <v/>
      </c>
      <c r="P30" s="86" t="str">
        <f aca="false">IF($A30="","",IF(SUMPRODUCT(MAX((Log!$D$4:$D$1203=$A30)*(Log!$B$4:$B$1203=P$29)*(Log!$E$4:$E$1203="A")*(Log!$F$4:$F$1203&lt;&gt;"")*Log!$F$4:$F$1203))=0,"",SUMPRODUCT(MAX((Log!$D$4:$D$1203=$A30)*(Log!$B$4:$B$1203=P$29)*(Log!$E$4:$E$1203="A")*(Log!$F$4:$F$1203&lt;&gt;"")*Log!$F$4:$F$1203))))</f>
        <v/>
      </c>
      <c r="Q30" s="86" t="n">
        <f aca="false">IF($A30="","",IF(SUMPRODUCT(MAX((Log!$D$4:$D$1203=$A30)*(Log!$B$4:$B$1203=Q$29)*(Log!$E$4:$E$1203="A")*(Log!$F$4:$F$1203&lt;&gt;"")*Log!$F$4:$F$1203))=0,"",SUMPRODUCT(MAX((Log!$D$4:$D$1203=$A30)*(Log!$B$4:$B$1203=Q$29)*(Log!$E$4:$E$1203="A")*(Log!$F$4:$F$1203&lt;&gt;"")*Log!$F$4:$F$1203))))</f>
        <v>300</v>
      </c>
      <c r="R30" s="87" t="n">
        <f aca="false">IF($A30="","",IF(SUMPRODUCT(MAX((Log!$D$4:$D$1203=$A30)*(Log!$E$4:$E$1203="A")*(Log!$F$4:$F$1203&lt;&gt;"")*Log!$F$4:$F$1203))=0,"",SUMPRODUCT(MAX((Log!$D$4:$D$1203=$A30)*(Log!$E$4:$E$1203="A")*(Log!$F$4:$F$1203&lt;&gt;"")*Log!$F$4:$F$1203))))</f>
        <v>333</v>
      </c>
    </row>
    <row r="31" customFormat="false" ht="16.5" hidden="false" customHeight="true" outlineLevel="0" collapsed="false">
      <c r="A31" s="40" t="str">
        <f aca="false">IF(Übungen!$A5="","",Übungen!$A5)</f>
        <v>Split Squat</v>
      </c>
      <c r="B31" s="88" t="n">
        <f aca="false">IF($A31="","",IF(SUMPRODUCT(MAX((Log!$D$4:$D$1203=$A31)*(Log!$B$4:$B$1203=B$29)*(Log!$E$4:$E$1203="A")*(Log!$F$4:$F$1203&lt;&gt;"")*Log!$F$4:$F$1203))=0,"",SUMPRODUCT(MAX((Log!$D$4:$D$1203=$A31)*(Log!$B$4:$B$1203=B$29)*(Log!$E$4:$E$1203="A")*(Log!$F$4:$F$1203&lt;&gt;"")*Log!$F$4:$F$1203))))</f>
        <v>100</v>
      </c>
      <c r="C31" s="88" t="n">
        <f aca="false">IF($A31="","",IF(SUMPRODUCT(MAX((Log!$D$4:$D$1203=$A31)*(Log!$B$4:$B$1203=C$29)*(Log!$E$4:$E$1203="A")*(Log!$F$4:$F$1203&lt;&gt;"")*Log!$F$4:$F$1203))=0,"",SUMPRODUCT(MAX((Log!$D$4:$D$1203=$A31)*(Log!$B$4:$B$1203=C$29)*(Log!$E$4:$E$1203="A")*(Log!$F$4:$F$1203&lt;&gt;"")*Log!$F$4:$F$1203))))</f>
        <v>105</v>
      </c>
      <c r="D31" s="88" t="n">
        <f aca="false">IF($A31="","",IF(SUMPRODUCT(MAX((Log!$D$4:$D$1203=$A31)*(Log!$B$4:$B$1203=D$29)*(Log!$E$4:$E$1203="A")*(Log!$F$4:$F$1203&lt;&gt;"")*Log!$F$4:$F$1203))=0,"",SUMPRODUCT(MAX((Log!$D$4:$D$1203=$A31)*(Log!$B$4:$B$1203=D$29)*(Log!$E$4:$E$1203="A")*(Log!$F$4:$F$1203&lt;&gt;"")*Log!$F$4:$F$1203))))</f>
        <v>100</v>
      </c>
      <c r="E31" s="88" t="n">
        <f aca="false">IF($A31="","",IF(SUMPRODUCT(MAX((Log!$D$4:$D$1203=$A31)*(Log!$B$4:$B$1203=E$29)*(Log!$E$4:$E$1203="A")*(Log!$F$4:$F$1203&lt;&gt;"")*Log!$F$4:$F$1203))=0,"",SUMPRODUCT(MAX((Log!$D$4:$D$1203=$A31)*(Log!$B$4:$B$1203=E$29)*(Log!$E$4:$E$1203="A")*(Log!$F$4:$F$1203&lt;&gt;"")*Log!$F$4:$F$1203))))</f>
        <v>80</v>
      </c>
      <c r="F31" s="88" t="n">
        <f aca="false">IF($A31="","",IF(SUMPRODUCT(MAX((Log!$D$4:$D$1203=$A31)*(Log!$B$4:$B$1203=F$29)*(Log!$E$4:$E$1203="A")*(Log!$F$4:$F$1203&lt;&gt;"")*Log!$F$4:$F$1203))=0,"",SUMPRODUCT(MAX((Log!$D$4:$D$1203=$A31)*(Log!$B$4:$B$1203=F$29)*(Log!$E$4:$E$1203="A")*(Log!$F$4:$F$1203&lt;&gt;"")*Log!$F$4:$F$1203))))</f>
        <v>100</v>
      </c>
      <c r="G31" s="88" t="n">
        <f aca="false">IF($A31="","",IF(SUMPRODUCT(MAX((Log!$D$4:$D$1203=$A31)*(Log!$B$4:$B$1203=G$29)*(Log!$E$4:$E$1203="A")*(Log!$F$4:$F$1203&lt;&gt;"")*Log!$F$4:$F$1203))=0,"",SUMPRODUCT(MAX((Log!$D$4:$D$1203=$A31)*(Log!$B$4:$B$1203=G$29)*(Log!$E$4:$E$1203="A")*(Log!$F$4:$F$1203&lt;&gt;"")*Log!$F$4:$F$1203))))</f>
        <v>100</v>
      </c>
      <c r="H31" s="88" t="str">
        <f aca="false">IF($A31="","",IF(SUMPRODUCT(MAX((Log!$D$4:$D$1203=$A31)*(Log!$B$4:$B$1203=H$29)*(Log!$E$4:$E$1203="A")*(Log!$F$4:$F$1203&lt;&gt;"")*Log!$F$4:$F$1203))=0,"",SUMPRODUCT(MAX((Log!$D$4:$D$1203=$A31)*(Log!$B$4:$B$1203=H$29)*(Log!$E$4:$E$1203="A")*(Log!$F$4:$F$1203&lt;&gt;"")*Log!$F$4:$F$1203))))</f>
        <v/>
      </c>
      <c r="I31" s="88" t="n">
        <f aca="false">IF($A31="","",IF(SUMPRODUCT(MAX((Log!$D$4:$D$1203=$A31)*(Log!$B$4:$B$1203=I$29)*(Log!$E$4:$E$1203="A")*(Log!$F$4:$F$1203&lt;&gt;"")*Log!$F$4:$F$1203))=0,"",SUMPRODUCT(MAX((Log!$D$4:$D$1203=$A31)*(Log!$B$4:$B$1203=I$29)*(Log!$E$4:$E$1203="A")*(Log!$F$4:$F$1203&lt;&gt;"")*Log!$F$4:$F$1203))))</f>
        <v>115</v>
      </c>
      <c r="J31" s="88" t="str">
        <f aca="false">IF($A31="","",IF(SUMPRODUCT(MAX((Log!$D$4:$D$1203=$A31)*(Log!$B$4:$B$1203=J$29)*(Log!$E$4:$E$1203="A")*(Log!$F$4:$F$1203&lt;&gt;"")*Log!$F$4:$F$1203))=0,"",SUMPRODUCT(MAX((Log!$D$4:$D$1203=$A31)*(Log!$B$4:$B$1203=J$29)*(Log!$E$4:$E$1203="A")*(Log!$F$4:$F$1203&lt;&gt;"")*Log!$F$4:$F$1203))))</f>
        <v/>
      </c>
      <c r="K31" s="88" t="n">
        <f aca="false">IF($A31="","",IF(SUMPRODUCT(MAX((Log!$D$4:$D$1203=$A31)*(Log!$B$4:$B$1203=K$29)*(Log!$E$4:$E$1203="A")*(Log!$F$4:$F$1203&lt;&gt;"")*Log!$F$4:$F$1203))=0,"",SUMPRODUCT(MAX((Log!$D$4:$D$1203=$A31)*(Log!$B$4:$B$1203=K$29)*(Log!$E$4:$E$1203="A")*(Log!$F$4:$F$1203&lt;&gt;"")*Log!$F$4:$F$1203))))</f>
        <v>115</v>
      </c>
      <c r="L31" s="88" t="str">
        <f aca="false">IF($A31="","",IF(SUMPRODUCT(MAX((Log!$D$4:$D$1203=$A31)*(Log!$B$4:$B$1203=L$29)*(Log!$E$4:$E$1203="A")*(Log!$F$4:$F$1203&lt;&gt;"")*Log!$F$4:$F$1203))=0,"",SUMPRODUCT(MAX((Log!$D$4:$D$1203=$A31)*(Log!$B$4:$B$1203=L$29)*(Log!$E$4:$E$1203="A")*(Log!$F$4:$F$1203&lt;&gt;"")*Log!$F$4:$F$1203))))</f>
        <v/>
      </c>
      <c r="M31" s="88" t="n">
        <f aca="false">IF($A31="","",IF(SUMPRODUCT(MAX((Log!$D$4:$D$1203=$A31)*(Log!$B$4:$B$1203=M$29)*(Log!$E$4:$E$1203="A")*(Log!$F$4:$F$1203&lt;&gt;"")*Log!$F$4:$F$1203))=0,"",SUMPRODUCT(MAX((Log!$D$4:$D$1203=$A31)*(Log!$B$4:$B$1203=M$29)*(Log!$E$4:$E$1203="A")*(Log!$F$4:$F$1203&lt;&gt;"")*Log!$F$4:$F$1203))))</f>
        <v>80</v>
      </c>
      <c r="N31" s="88" t="str">
        <f aca="false">IF($A31="","",IF(SUMPRODUCT(MAX((Log!$D$4:$D$1203=$A31)*(Log!$B$4:$B$1203=N$29)*(Log!$E$4:$E$1203="A")*(Log!$F$4:$F$1203&lt;&gt;"")*Log!$F$4:$F$1203))=0,"",SUMPRODUCT(MAX((Log!$D$4:$D$1203=$A31)*(Log!$B$4:$B$1203=N$29)*(Log!$E$4:$E$1203="A")*(Log!$F$4:$F$1203&lt;&gt;"")*Log!$F$4:$F$1203))))</f>
        <v/>
      </c>
      <c r="O31" s="88" t="str">
        <f aca="false">IF($A31="","",IF(SUMPRODUCT(MAX((Log!$D$4:$D$1203=$A31)*(Log!$B$4:$B$1203=O$29)*(Log!$E$4:$E$1203="A")*(Log!$F$4:$F$1203&lt;&gt;"")*Log!$F$4:$F$1203))=0,"",SUMPRODUCT(MAX((Log!$D$4:$D$1203=$A31)*(Log!$B$4:$B$1203=O$29)*(Log!$E$4:$E$1203="A")*(Log!$F$4:$F$1203&lt;&gt;"")*Log!$F$4:$F$1203))))</f>
        <v/>
      </c>
      <c r="P31" s="88" t="str">
        <f aca="false">IF($A31="","",IF(SUMPRODUCT(MAX((Log!$D$4:$D$1203=$A31)*(Log!$B$4:$B$1203=P$29)*(Log!$E$4:$E$1203="A")*(Log!$F$4:$F$1203&lt;&gt;"")*Log!$F$4:$F$1203))=0,"",SUMPRODUCT(MAX((Log!$D$4:$D$1203=$A31)*(Log!$B$4:$B$1203=P$29)*(Log!$E$4:$E$1203="A")*(Log!$F$4:$F$1203&lt;&gt;"")*Log!$F$4:$F$1203))))</f>
        <v/>
      </c>
      <c r="Q31" s="88" t="n">
        <f aca="false">IF($A31="","",IF(SUMPRODUCT(MAX((Log!$D$4:$D$1203=$A31)*(Log!$B$4:$B$1203=Q$29)*(Log!$E$4:$E$1203="A")*(Log!$F$4:$F$1203&lt;&gt;"")*Log!$F$4:$F$1203))=0,"",SUMPRODUCT(MAX((Log!$D$4:$D$1203=$A31)*(Log!$B$4:$B$1203=Q$29)*(Log!$E$4:$E$1203="A")*(Log!$F$4:$F$1203&lt;&gt;"")*Log!$F$4:$F$1203))))</f>
        <v>100</v>
      </c>
      <c r="R31" s="87" t="n">
        <f aca="false">IF($A31="","",IF(SUMPRODUCT(MAX((Log!$D$4:$D$1203=$A31)*(Log!$E$4:$E$1203="A")*(Log!$F$4:$F$1203&lt;&gt;"")*Log!$F$4:$F$1203))=0,"",SUMPRODUCT(MAX((Log!$D$4:$D$1203=$A31)*(Log!$E$4:$E$1203="A")*(Log!$F$4:$F$1203&lt;&gt;"")*Log!$F$4:$F$1203))))</f>
        <v>120</v>
      </c>
    </row>
    <row r="32" customFormat="false" ht="16.5" hidden="false" customHeight="true" outlineLevel="0" collapsed="false">
      <c r="A32" s="34" t="str">
        <f aca="false">IF(Übungen!$A6="","",Übungen!$A6)</f>
        <v>Beinstrecker</v>
      </c>
      <c r="B32" s="86" t="n">
        <f aca="false">IF($A32="","",IF(SUMPRODUCT(MAX((Log!$D$4:$D$1203=$A32)*(Log!$B$4:$B$1203=B$29)*(Log!$E$4:$E$1203="A")*(Log!$F$4:$F$1203&lt;&gt;"")*Log!$F$4:$F$1203))=0,"",SUMPRODUCT(MAX((Log!$D$4:$D$1203=$A32)*(Log!$B$4:$B$1203=B$29)*(Log!$E$4:$E$1203="A")*(Log!$F$4:$F$1203&lt;&gt;"")*Log!$F$4:$F$1203))))</f>
        <v>75</v>
      </c>
      <c r="C32" s="86" t="n">
        <f aca="false">IF($A32="","",IF(SUMPRODUCT(MAX((Log!$D$4:$D$1203=$A32)*(Log!$B$4:$B$1203=C$29)*(Log!$E$4:$E$1203="A")*(Log!$F$4:$F$1203&lt;&gt;"")*Log!$F$4:$F$1203))=0,"",SUMPRODUCT(MAX((Log!$D$4:$D$1203=$A32)*(Log!$B$4:$B$1203=C$29)*(Log!$E$4:$E$1203="A")*(Log!$F$4:$F$1203&lt;&gt;"")*Log!$F$4:$F$1203))))</f>
        <v>80</v>
      </c>
      <c r="D32" s="86" t="n">
        <f aca="false">IF($A32="","",IF(SUMPRODUCT(MAX((Log!$D$4:$D$1203=$A32)*(Log!$B$4:$B$1203=D$29)*(Log!$E$4:$E$1203="A")*(Log!$F$4:$F$1203&lt;&gt;"")*Log!$F$4:$F$1203))=0,"",SUMPRODUCT(MAX((Log!$D$4:$D$1203=$A32)*(Log!$B$4:$B$1203=D$29)*(Log!$E$4:$E$1203="A")*(Log!$F$4:$F$1203&lt;&gt;"")*Log!$F$4:$F$1203))))</f>
        <v>85</v>
      </c>
      <c r="E32" s="86" t="n">
        <f aca="false">IF($A32="","",IF(SUMPRODUCT(MAX((Log!$D$4:$D$1203=$A32)*(Log!$B$4:$B$1203=E$29)*(Log!$E$4:$E$1203="A")*(Log!$F$4:$F$1203&lt;&gt;"")*Log!$F$4:$F$1203))=0,"",SUMPRODUCT(MAX((Log!$D$4:$D$1203=$A32)*(Log!$B$4:$B$1203=E$29)*(Log!$E$4:$E$1203="A")*(Log!$F$4:$F$1203&lt;&gt;"")*Log!$F$4:$F$1203))))</f>
        <v>80</v>
      </c>
      <c r="F32" s="86" t="n">
        <f aca="false">IF($A32="","",IF(SUMPRODUCT(MAX((Log!$D$4:$D$1203=$A32)*(Log!$B$4:$B$1203=F$29)*(Log!$E$4:$E$1203="A")*(Log!$F$4:$F$1203&lt;&gt;"")*Log!$F$4:$F$1203))=0,"",SUMPRODUCT(MAX((Log!$D$4:$D$1203=$A32)*(Log!$B$4:$B$1203=F$29)*(Log!$E$4:$E$1203="A")*(Log!$F$4:$F$1203&lt;&gt;"")*Log!$F$4:$F$1203))))</f>
        <v>80</v>
      </c>
      <c r="G32" s="86" t="n">
        <f aca="false">IF($A32="","",IF(SUMPRODUCT(MAX((Log!$D$4:$D$1203=$A32)*(Log!$B$4:$B$1203=G$29)*(Log!$E$4:$E$1203="A")*(Log!$F$4:$F$1203&lt;&gt;"")*Log!$F$4:$F$1203))=0,"",SUMPRODUCT(MAX((Log!$D$4:$D$1203=$A32)*(Log!$B$4:$B$1203=G$29)*(Log!$E$4:$E$1203="A")*(Log!$F$4:$F$1203&lt;&gt;"")*Log!$F$4:$F$1203))))</f>
        <v>95</v>
      </c>
      <c r="H32" s="86" t="str">
        <f aca="false">IF($A32="","",IF(SUMPRODUCT(MAX((Log!$D$4:$D$1203=$A32)*(Log!$B$4:$B$1203=H$29)*(Log!$E$4:$E$1203="A")*(Log!$F$4:$F$1203&lt;&gt;"")*Log!$F$4:$F$1203))=0,"",SUMPRODUCT(MAX((Log!$D$4:$D$1203=$A32)*(Log!$B$4:$B$1203=H$29)*(Log!$E$4:$E$1203="A")*(Log!$F$4:$F$1203&lt;&gt;"")*Log!$F$4:$F$1203))))</f>
        <v/>
      </c>
      <c r="I32" s="86" t="n">
        <f aca="false">IF($A32="","",IF(SUMPRODUCT(MAX((Log!$D$4:$D$1203=$A32)*(Log!$B$4:$B$1203=I$29)*(Log!$E$4:$E$1203="A")*(Log!$F$4:$F$1203&lt;&gt;"")*Log!$F$4:$F$1203))=0,"",SUMPRODUCT(MAX((Log!$D$4:$D$1203=$A32)*(Log!$B$4:$B$1203=I$29)*(Log!$E$4:$E$1203="A")*(Log!$F$4:$F$1203&lt;&gt;"")*Log!$F$4:$F$1203))))</f>
        <v>80</v>
      </c>
      <c r="J32" s="86" t="str">
        <f aca="false">IF($A32="","",IF(SUMPRODUCT(MAX((Log!$D$4:$D$1203=$A32)*(Log!$B$4:$B$1203=J$29)*(Log!$E$4:$E$1203="A")*(Log!$F$4:$F$1203&lt;&gt;"")*Log!$F$4:$F$1203))=0,"",SUMPRODUCT(MAX((Log!$D$4:$D$1203=$A32)*(Log!$B$4:$B$1203=J$29)*(Log!$E$4:$E$1203="A")*(Log!$F$4:$F$1203&lt;&gt;"")*Log!$F$4:$F$1203))))</f>
        <v/>
      </c>
      <c r="K32" s="86" t="n">
        <f aca="false">IF($A32="","",IF(SUMPRODUCT(MAX((Log!$D$4:$D$1203=$A32)*(Log!$B$4:$B$1203=K$29)*(Log!$E$4:$E$1203="A")*(Log!$F$4:$F$1203&lt;&gt;"")*Log!$F$4:$F$1203))=0,"",SUMPRODUCT(MAX((Log!$D$4:$D$1203=$A32)*(Log!$B$4:$B$1203=K$29)*(Log!$E$4:$E$1203="A")*(Log!$F$4:$F$1203&lt;&gt;"")*Log!$F$4:$F$1203))))</f>
        <v>90</v>
      </c>
      <c r="L32" s="86" t="str">
        <f aca="false">IF($A32="","",IF(SUMPRODUCT(MAX((Log!$D$4:$D$1203=$A32)*(Log!$B$4:$B$1203=L$29)*(Log!$E$4:$E$1203="A")*(Log!$F$4:$F$1203&lt;&gt;"")*Log!$F$4:$F$1203))=0,"",SUMPRODUCT(MAX((Log!$D$4:$D$1203=$A32)*(Log!$B$4:$B$1203=L$29)*(Log!$E$4:$E$1203="A")*(Log!$F$4:$F$1203&lt;&gt;"")*Log!$F$4:$F$1203))))</f>
        <v/>
      </c>
      <c r="M32" s="86" t="n">
        <f aca="false">IF($A32="","",IF(SUMPRODUCT(MAX((Log!$D$4:$D$1203=$A32)*(Log!$B$4:$B$1203=M$29)*(Log!$E$4:$E$1203="A")*(Log!$F$4:$F$1203&lt;&gt;"")*Log!$F$4:$F$1203))=0,"",SUMPRODUCT(MAX((Log!$D$4:$D$1203=$A32)*(Log!$B$4:$B$1203=M$29)*(Log!$E$4:$E$1203="A")*(Log!$F$4:$F$1203&lt;&gt;"")*Log!$F$4:$F$1203))))</f>
        <v>77.5</v>
      </c>
      <c r="N32" s="86" t="str">
        <f aca="false">IF($A32="","",IF(SUMPRODUCT(MAX((Log!$D$4:$D$1203=$A32)*(Log!$B$4:$B$1203=N$29)*(Log!$E$4:$E$1203="A")*(Log!$F$4:$F$1203&lt;&gt;"")*Log!$F$4:$F$1203))=0,"",SUMPRODUCT(MAX((Log!$D$4:$D$1203=$A32)*(Log!$B$4:$B$1203=N$29)*(Log!$E$4:$E$1203="A")*(Log!$F$4:$F$1203&lt;&gt;"")*Log!$F$4:$F$1203))))</f>
        <v/>
      </c>
      <c r="O32" s="86" t="str">
        <f aca="false">IF($A32="","",IF(SUMPRODUCT(MAX((Log!$D$4:$D$1203=$A32)*(Log!$B$4:$B$1203=O$29)*(Log!$E$4:$E$1203="A")*(Log!$F$4:$F$1203&lt;&gt;"")*Log!$F$4:$F$1203))=0,"",SUMPRODUCT(MAX((Log!$D$4:$D$1203=$A32)*(Log!$B$4:$B$1203=O$29)*(Log!$E$4:$E$1203="A")*(Log!$F$4:$F$1203&lt;&gt;"")*Log!$F$4:$F$1203))))</f>
        <v/>
      </c>
      <c r="P32" s="86" t="str">
        <f aca="false">IF($A32="","",IF(SUMPRODUCT(MAX((Log!$D$4:$D$1203=$A32)*(Log!$B$4:$B$1203=P$29)*(Log!$E$4:$E$1203="A")*(Log!$F$4:$F$1203&lt;&gt;"")*Log!$F$4:$F$1203))=0,"",SUMPRODUCT(MAX((Log!$D$4:$D$1203=$A32)*(Log!$B$4:$B$1203=P$29)*(Log!$E$4:$E$1203="A")*(Log!$F$4:$F$1203&lt;&gt;"")*Log!$F$4:$F$1203))))</f>
        <v/>
      </c>
      <c r="Q32" s="86" t="n">
        <f aca="false">IF($A32="","",IF(SUMPRODUCT(MAX((Log!$D$4:$D$1203=$A32)*(Log!$B$4:$B$1203=Q$29)*(Log!$E$4:$E$1203="A")*(Log!$F$4:$F$1203&lt;&gt;"")*Log!$F$4:$F$1203))=0,"",SUMPRODUCT(MAX((Log!$D$4:$D$1203=$A32)*(Log!$B$4:$B$1203=Q$29)*(Log!$E$4:$E$1203="A")*(Log!$F$4:$F$1203&lt;&gt;"")*Log!$F$4:$F$1203))))</f>
        <v>80</v>
      </c>
      <c r="R32" s="87" t="n">
        <f aca="false">IF($A32="","",IF(SUMPRODUCT(MAX((Log!$D$4:$D$1203=$A32)*(Log!$E$4:$E$1203="A")*(Log!$F$4:$F$1203&lt;&gt;"")*Log!$F$4:$F$1203))=0,"",SUMPRODUCT(MAX((Log!$D$4:$D$1203=$A32)*(Log!$E$4:$E$1203="A")*(Log!$F$4:$F$1203&lt;&gt;"")*Log!$F$4:$F$1203))))</f>
        <v>95</v>
      </c>
    </row>
    <row r="33" customFormat="false" ht="16.5" hidden="false" customHeight="true" outlineLevel="0" collapsed="false">
      <c r="A33" s="40" t="str">
        <f aca="false">IF(Übungen!$A7="","",Übungen!$A7)</f>
        <v>Adduktion</v>
      </c>
      <c r="B33" s="88" t="n">
        <f aca="false">IF($A33="","",IF(SUMPRODUCT(MAX((Log!$D$4:$D$1203=$A33)*(Log!$B$4:$B$1203=B$29)*(Log!$E$4:$E$1203="A")*(Log!$F$4:$F$1203&lt;&gt;"")*Log!$F$4:$F$1203))=0,"",SUMPRODUCT(MAX((Log!$D$4:$D$1203=$A33)*(Log!$B$4:$B$1203=B$29)*(Log!$E$4:$E$1203="A")*(Log!$F$4:$F$1203&lt;&gt;"")*Log!$F$4:$F$1203))))</f>
        <v>152.5</v>
      </c>
      <c r="C33" s="88" t="n">
        <f aca="false">IF($A33="","",IF(SUMPRODUCT(MAX((Log!$D$4:$D$1203=$A33)*(Log!$B$4:$B$1203=C$29)*(Log!$E$4:$E$1203="A")*(Log!$F$4:$F$1203&lt;&gt;"")*Log!$F$4:$F$1203))=0,"",SUMPRODUCT(MAX((Log!$D$4:$D$1203=$A33)*(Log!$B$4:$B$1203=C$29)*(Log!$E$4:$E$1203="A")*(Log!$F$4:$F$1203&lt;&gt;"")*Log!$F$4:$F$1203))))</f>
        <v>152.5</v>
      </c>
      <c r="D33" s="88" t="n">
        <f aca="false">IF($A33="","",IF(SUMPRODUCT(MAX((Log!$D$4:$D$1203=$A33)*(Log!$B$4:$B$1203=D$29)*(Log!$E$4:$E$1203="A")*(Log!$F$4:$F$1203&lt;&gt;"")*Log!$F$4:$F$1203))=0,"",SUMPRODUCT(MAX((Log!$D$4:$D$1203=$A33)*(Log!$B$4:$B$1203=D$29)*(Log!$E$4:$E$1203="A")*(Log!$F$4:$F$1203&lt;&gt;"")*Log!$F$4:$F$1203))))</f>
        <v>152.5</v>
      </c>
      <c r="E33" s="88" t="n">
        <f aca="false">IF($A33="","",IF(SUMPRODUCT(MAX((Log!$D$4:$D$1203=$A33)*(Log!$B$4:$B$1203=E$29)*(Log!$E$4:$E$1203="A")*(Log!$F$4:$F$1203&lt;&gt;"")*Log!$F$4:$F$1203))=0,"",SUMPRODUCT(MAX((Log!$D$4:$D$1203=$A33)*(Log!$B$4:$B$1203=E$29)*(Log!$E$4:$E$1203="A")*(Log!$F$4:$F$1203&lt;&gt;"")*Log!$F$4:$F$1203))))</f>
        <v>152.5</v>
      </c>
      <c r="F33" s="88" t="n">
        <f aca="false">IF($A33="","",IF(SUMPRODUCT(MAX((Log!$D$4:$D$1203=$A33)*(Log!$B$4:$B$1203=F$29)*(Log!$E$4:$E$1203="A")*(Log!$F$4:$F$1203&lt;&gt;"")*Log!$F$4:$F$1203))=0,"",SUMPRODUCT(MAX((Log!$D$4:$D$1203=$A33)*(Log!$B$4:$B$1203=F$29)*(Log!$E$4:$E$1203="A")*(Log!$F$4:$F$1203&lt;&gt;"")*Log!$F$4:$F$1203))))</f>
        <v>162.5</v>
      </c>
      <c r="G33" s="88" t="n">
        <f aca="false">IF($A33="","",IF(SUMPRODUCT(MAX((Log!$D$4:$D$1203=$A33)*(Log!$B$4:$B$1203=G$29)*(Log!$E$4:$E$1203="A")*(Log!$F$4:$F$1203&lt;&gt;"")*Log!$F$4:$F$1203))=0,"",SUMPRODUCT(MAX((Log!$D$4:$D$1203=$A33)*(Log!$B$4:$B$1203=G$29)*(Log!$E$4:$E$1203="A")*(Log!$F$4:$F$1203&lt;&gt;"")*Log!$F$4:$F$1203))))</f>
        <v>180</v>
      </c>
      <c r="H33" s="88" t="str">
        <f aca="false">IF($A33="","",IF(SUMPRODUCT(MAX((Log!$D$4:$D$1203=$A33)*(Log!$B$4:$B$1203=H$29)*(Log!$E$4:$E$1203="A")*(Log!$F$4:$F$1203&lt;&gt;"")*Log!$F$4:$F$1203))=0,"",SUMPRODUCT(MAX((Log!$D$4:$D$1203=$A33)*(Log!$B$4:$B$1203=H$29)*(Log!$E$4:$E$1203="A")*(Log!$F$4:$F$1203&lt;&gt;"")*Log!$F$4:$F$1203))))</f>
        <v/>
      </c>
      <c r="I33" s="88" t="n">
        <f aca="false">IF($A33="","",IF(SUMPRODUCT(MAX((Log!$D$4:$D$1203=$A33)*(Log!$B$4:$B$1203=I$29)*(Log!$E$4:$E$1203="A")*(Log!$F$4:$F$1203&lt;&gt;"")*Log!$F$4:$F$1203))=0,"",SUMPRODUCT(MAX((Log!$D$4:$D$1203=$A33)*(Log!$B$4:$B$1203=I$29)*(Log!$E$4:$E$1203="A")*(Log!$F$4:$F$1203&lt;&gt;"")*Log!$F$4:$F$1203))))</f>
        <v>185</v>
      </c>
      <c r="J33" s="88" t="str">
        <f aca="false">IF($A33="","",IF(SUMPRODUCT(MAX((Log!$D$4:$D$1203=$A33)*(Log!$B$4:$B$1203=J$29)*(Log!$E$4:$E$1203="A")*(Log!$F$4:$F$1203&lt;&gt;"")*Log!$F$4:$F$1203))=0,"",SUMPRODUCT(MAX((Log!$D$4:$D$1203=$A33)*(Log!$B$4:$B$1203=J$29)*(Log!$E$4:$E$1203="A")*(Log!$F$4:$F$1203&lt;&gt;"")*Log!$F$4:$F$1203))))</f>
        <v/>
      </c>
      <c r="K33" s="88" t="str">
        <f aca="false">IF($A33="","",IF(SUMPRODUCT(MAX((Log!$D$4:$D$1203=$A33)*(Log!$B$4:$B$1203=K$29)*(Log!$E$4:$E$1203="A")*(Log!$F$4:$F$1203&lt;&gt;"")*Log!$F$4:$F$1203))=0,"",SUMPRODUCT(MAX((Log!$D$4:$D$1203=$A33)*(Log!$B$4:$B$1203=K$29)*(Log!$E$4:$E$1203="A")*(Log!$F$4:$F$1203&lt;&gt;"")*Log!$F$4:$F$1203))))</f>
        <v/>
      </c>
      <c r="L33" s="88" t="str">
        <f aca="false">IF($A33="","",IF(SUMPRODUCT(MAX((Log!$D$4:$D$1203=$A33)*(Log!$B$4:$B$1203=L$29)*(Log!$E$4:$E$1203="A")*(Log!$F$4:$F$1203&lt;&gt;"")*Log!$F$4:$F$1203))=0,"",SUMPRODUCT(MAX((Log!$D$4:$D$1203=$A33)*(Log!$B$4:$B$1203=L$29)*(Log!$E$4:$E$1203="A")*(Log!$F$4:$F$1203&lt;&gt;"")*Log!$F$4:$F$1203))))</f>
        <v/>
      </c>
      <c r="M33" s="88" t="str">
        <f aca="false">IF($A33="","",IF(SUMPRODUCT(MAX((Log!$D$4:$D$1203=$A33)*(Log!$B$4:$B$1203=M$29)*(Log!$E$4:$E$1203="A")*(Log!$F$4:$F$1203&lt;&gt;"")*Log!$F$4:$F$1203))=0,"",SUMPRODUCT(MAX((Log!$D$4:$D$1203=$A33)*(Log!$B$4:$B$1203=M$29)*(Log!$E$4:$E$1203="A")*(Log!$F$4:$F$1203&lt;&gt;"")*Log!$F$4:$F$1203))))</f>
        <v/>
      </c>
      <c r="N33" s="88" t="str">
        <f aca="false">IF($A33="","",IF(SUMPRODUCT(MAX((Log!$D$4:$D$1203=$A33)*(Log!$B$4:$B$1203=N$29)*(Log!$E$4:$E$1203="A")*(Log!$F$4:$F$1203&lt;&gt;"")*Log!$F$4:$F$1203))=0,"",SUMPRODUCT(MAX((Log!$D$4:$D$1203=$A33)*(Log!$B$4:$B$1203=N$29)*(Log!$E$4:$E$1203="A")*(Log!$F$4:$F$1203&lt;&gt;"")*Log!$F$4:$F$1203))))</f>
        <v/>
      </c>
      <c r="O33" s="88" t="str">
        <f aca="false">IF($A33="","",IF(SUMPRODUCT(MAX((Log!$D$4:$D$1203=$A33)*(Log!$B$4:$B$1203=O$29)*(Log!$E$4:$E$1203="A")*(Log!$F$4:$F$1203&lt;&gt;"")*Log!$F$4:$F$1203))=0,"",SUMPRODUCT(MAX((Log!$D$4:$D$1203=$A33)*(Log!$B$4:$B$1203=O$29)*(Log!$E$4:$E$1203="A")*(Log!$F$4:$F$1203&lt;&gt;"")*Log!$F$4:$F$1203))))</f>
        <v/>
      </c>
      <c r="P33" s="88" t="str">
        <f aca="false">IF($A33="","",IF(SUMPRODUCT(MAX((Log!$D$4:$D$1203=$A33)*(Log!$B$4:$B$1203=P$29)*(Log!$E$4:$E$1203="A")*(Log!$F$4:$F$1203&lt;&gt;"")*Log!$F$4:$F$1203))=0,"",SUMPRODUCT(MAX((Log!$D$4:$D$1203=$A33)*(Log!$B$4:$B$1203=P$29)*(Log!$E$4:$E$1203="A")*(Log!$F$4:$F$1203&lt;&gt;"")*Log!$F$4:$F$1203))))</f>
        <v/>
      </c>
      <c r="Q33" s="88" t="str">
        <f aca="false">IF($A33="","",IF(SUMPRODUCT(MAX((Log!$D$4:$D$1203=$A33)*(Log!$B$4:$B$1203=Q$29)*(Log!$E$4:$E$1203="A")*(Log!$F$4:$F$1203&lt;&gt;"")*Log!$F$4:$F$1203))=0,"",SUMPRODUCT(MAX((Log!$D$4:$D$1203=$A33)*(Log!$B$4:$B$1203=Q$29)*(Log!$E$4:$E$1203="A")*(Log!$F$4:$F$1203&lt;&gt;"")*Log!$F$4:$F$1203))))</f>
        <v/>
      </c>
      <c r="R33" s="87" t="n">
        <f aca="false">IF($A33="","",IF(SUMPRODUCT(MAX((Log!$D$4:$D$1203=$A33)*(Log!$E$4:$E$1203="A")*(Log!$F$4:$F$1203&lt;&gt;"")*Log!$F$4:$F$1203))=0,"",SUMPRODUCT(MAX((Log!$D$4:$D$1203=$A33)*(Log!$E$4:$E$1203="A")*(Log!$F$4:$F$1203&lt;&gt;"")*Log!$F$4:$F$1203))))</f>
        <v>185</v>
      </c>
    </row>
    <row r="34" customFormat="false" ht="16.5" hidden="false" customHeight="true" outlineLevel="0" collapsed="false">
      <c r="A34" s="34" t="str">
        <f aca="false">IF(Übungen!$A8="","",Übungen!$A8)</f>
        <v>Reverse V-Squat</v>
      </c>
      <c r="B34" s="86" t="str">
        <f aca="false">IF($A34="","",IF(SUMPRODUCT(MAX((Log!$D$4:$D$1203=$A34)*(Log!$B$4:$B$1203=B$29)*(Log!$E$4:$E$1203="A")*(Log!$F$4:$F$1203&lt;&gt;"")*Log!$F$4:$F$1203))=0,"",SUMPRODUCT(MAX((Log!$D$4:$D$1203=$A34)*(Log!$B$4:$B$1203=B$29)*(Log!$E$4:$E$1203="A")*(Log!$F$4:$F$1203&lt;&gt;"")*Log!$F$4:$F$1203))))</f>
        <v/>
      </c>
      <c r="C34" s="86" t="str">
        <f aca="false">IF($A34="","",IF(SUMPRODUCT(MAX((Log!$D$4:$D$1203=$A34)*(Log!$B$4:$B$1203=C$29)*(Log!$E$4:$E$1203="A")*(Log!$F$4:$F$1203&lt;&gt;"")*Log!$F$4:$F$1203))=0,"",SUMPRODUCT(MAX((Log!$D$4:$D$1203=$A34)*(Log!$B$4:$B$1203=C$29)*(Log!$E$4:$E$1203="A")*(Log!$F$4:$F$1203&lt;&gt;"")*Log!$F$4:$F$1203))))</f>
        <v/>
      </c>
      <c r="D34" s="86" t="str">
        <f aca="false">IF($A34="","",IF(SUMPRODUCT(MAX((Log!$D$4:$D$1203=$A34)*(Log!$B$4:$B$1203=D$29)*(Log!$E$4:$E$1203="A")*(Log!$F$4:$F$1203&lt;&gt;"")*Log!$F$4:$F$1203))=0,"",SUMPRODUCT(MAX((Log!$D$4:$D$1203=$A34)*(Log!$B$4:$B$1203=D$29)*(Log!$E$4:$E$1203="A")*(Log!$F$4:$F$1203&lt;&gt;"")*Log!$F$4:$F$1203))))</f>
        <v/>
      </c>
      <c r="E34" s="86" t="str">
        <f aca="false">IF($A34="","",IF(SUMPRODUCT(MAX((Log!$D$4:$D$1203=$A34)*(Log!$B$4:$B$1203=E$29)*(Log!$E$4:$E$1203="A")*(Log!$F$4:$F$1203&lt;&gt;"")*Log!$F$4:$F$1203))=0,"",SUMPRODUCT(MAX((Log!$D$4:$D$1203=$A34)*(Log!$B$4:$B$1203=E$29)*(Log!$E$4:$E$1203="A")*(Log!$F$4:$F$1203&lt;&gt;"")*Log!$F$4:$F$1203))))</f>
        <v/>
      </c>
      <c r="F34" s="86" t="str">
        <f aca="false">IF($A34="","",IF(SUMPRODUCT(MAX((Log!$D$4:$D$1203=$A34)*(Log!$B$4:$B$1203=F$29)*(Log!$E$4:$E$1203="A")*(Log!$F$4:$F$1203&lt;&gt;"")*Log!$F$4:$F$1203))=0,"",SUMPRODUCT(MAX((Log!$D$4:$D$1203=$A34)*(Log!$B$4:$B$1203=F$29)*(Log!$E$4:$E$1203="A")*(Log!$F$4:$F$1203&lt;&gt;"")*Log!$F$4:$F$1203))))</f>
        <v/>
      </c>
      <c r="G34" s="86" t="str">
        <f aca="false">IF($A34="","",IF(SUMPRODUCT(MAX((Log!$D$4:$D$1203=$A34)*(Log!$B$4:$B$1203=G$29)*(Log!$E$4:$E$1203="A")*(Log!$F$4:$F$1203&lt;&gt;"")*Log!$F$4:$F$1203))=0,"",SUMPRODUCT(MAX((Log!$D$4:$D$1203=$A34)*(Log!$B$4:$B$1203=G$29)*(Log!$E$4:$E$1203="A")*(Log!$F$4:$F$1203&lt;&gt;"")*Log!$F$4:$F$1203))))</f>
        <v/>
      </c>
      <c r="H34" s="86" t="str">
        <f aca="false">IF($A34="","",IF(SUMPRODUCT(MAX((Log!$D$4:$D$1203=$A34)*(Log!$B$4:$B$1203=H$29)*(Log!$E$4:$E$1203="A")*(Log!$F$4:$F$1203&lt;&gt;"")*Log!$F$4:$F$1203))=0,"",SUMPRODUCT(MAX((Log!$D$4:$D$1203=$A34)*(Log!$B$4:$B$1203=H$29)*(Log!$E$4:$E$1203="A")*(Log!$F$4:$F$1203&lt;&gt;"")*Log!$F$4:$F$1203))))</f>
        <v/>
      </c>
      <c r="I34" s="86" t="str">
        <f aca="false">IF($A34="","",IF(SUMPRODUCT(MAX((Log!$D$4:$D$1203=$A34)*(Log!$B$4:$B$1203=I$29)*(Log!$E$4:$E$1203="A")*(Log!$F$4:$F$1203&lt;&gt;"")*Log!$F$4:$F$1203))=0,"",SUMPRODUCT(MAX((Log!$D$4:$D$1203=$A34)*(Log!$B$4:$B$1203=I$29)*(Log!$E$4:$E$1203="A")*(Log!$F$4:$F$1203&lt;&gt;"")*Log!$F$4:$F$1203))))</f>
        <v/>
      </c>
      <c r="J34" s="86" t="str">
        <f aca="false">IF($A34="","",IF(SUMPRODUCT(MAX((Log!$D$4:$D$1203=$A34)*(Log!$B$4:$B$1203=J$29)*(Log!$E$4:$E$1203="A")*(Log!$F$4:$F$1203&lt;&gt;"")*Log!$F$4:$F$1203))=0,"",SUMPRODUCT(MAX((Log!$D$4:$D$1203=$A34)*(Log!$B$4:$B$1203=J$29)*(Log!$E$4:$E$1203="A")*(Log!$F$4:$F$1203&lt;&gt;"")*Log!$F$4:$F$1203))))</f>
        <v/>
      </c>
      <c r="K34" s="86" t="str">
        <f aca="false">IF($A34="","",IF(SUMPRODUCT(MAX((Log!$D$4:$D$1203=$A34)*(Log!$B$4:$B$1203=K$29)*(Log!$E$4:$E$1203="A")*(Log!$F$4:$F$1203&lt;&gt;"")*Log!$F$4:$F$1203))=0,"",SUMPRODUCT(MAX((Log!$D$4:$D$1203=$A34)*(Log!$B$4:$B$1203=K$29)*(Log!$E$4:$E$1203="A")*(Log!$F$4:$F$1203&lt;&gt;"")*Log!$F$4:$F$1203))))</f>
        <v/>
      </c>
      <c r="L34" s="86" t="str">
        <f aca="false">IF($A34="","",IF(SUMPRODUCT(MAX((Log!$D$4:$D$1203=$A34)*(Log!$B$4:$B$1203=L$29)*(Log!$E$4:$E$1203="A")*(Log!$F$4:$F$1203&lt;&gt;"")*Log!$F$4:$F$1203))=0,"",SUMPRODUCT(MAX((Log!$D$4:$D$1203=$A34)*(Log!$B$4:$B$1203=L$29)*(Log!$E$4:$E$1203="A")*(Log!$F$4:$F$1203&lt;&gt;"")*Log!$F$4:$F$1203))))</f>
        <v/>
      </c>
      <c r="M34" s="86" t="str">
        <f aca="false">IF($A34="","",IF(SUMPRODUCT(MAX((Log!$D$4:$D$1203=$A34)*(Log!$B$4:$B$1203=M$29)*(Log!$E$4:$E$1203="A")*(Log!$F$4:$F$1203&lt;&gt;"")*Log!$F$4:$F$1203))=0,"",SUMPRODUCT(MAX((Log!$D$4:$D$1203=$A34)*(Log!$B$4:$B$1203=M$29)*(Log!$E$4:$E$1203="A")*(Log!$F$4:$F$1203&lt;&gt;"")*Log!$F$4:$F$1203))))</f>
        <v/>
      </c>
      <c r="N34" s="86" t="n">
        <f aca="false">IF($A34="","",IF(SUMPRODUCT(MAX((Log!$D$4:$D$1203=$A34)*(Log!$B$4:$B$1203=N$29)*(Log!$E$4:$E$1203="A")*(Log!$F$4:$F$1203&lt;&gt;"")*Log!$F$4:$F$1203))=0,"",SUMPRODUCT(MAX((Log!$D$4:$D$1203=$A34)*(Log!$B$4:$B$1203=N$29)*(Log!$E$4:$E$1203="A")*(Log!$F$4:$F$1203&lt;&gt;"")*Log!$F$4:$F$1203))))</f>
        <v>210</v>
      </c>
      <c r="O34" s="86" t="n">
        <f aca="false">IF($A34="","",IF(SUMPRODUCT(MAX((Log!$D$4:$D$1203=$A34)*(Log!$B$4:$B$1203=O$29)*(Log!$E$4:$E$1203="A")*(Log!$F$4:$F$1203&lt;&gt;"")*Log!$F$4:$F$1203))=0,"",SUMPRODUCT(MAX((Log!$D$4:$D$1203=$A34)*(Log!$B$4:$B$1203=O$29)*(Log!$E$4:$E$1203="A")*(Log!$F$4:$F$1203&lt;&gt;"")*Log!$F$4:$F$1203))))</f>
        <v>215</v>
      </c>
      <c r="P34" s="86" t="str">
        <f aca="false">IF($A34="","",IF(SUMPRODUCT(MAX((Log!$D$4:$D$1203=$A34)*(Log!$B$4:$B$1203=P$29)*(Log!$E$4:$E$1203="A")*(Log!$F$4:$F$1203&lt;&gt;"")*Log!$F$4:$F$1203))=0,"",SUMPRODUCT(MAX((Log!$D$4:$D$1203=$A34)*(Log!$B$4:$B$1203=P$29)*(Log!$E$4:$E$1203="A")*(Log!$F$4:$F$1203&lt;&gt;"")*Log!$F$4:$F$1203))))</f>
        <v/>
      </c>
      <c r="Q34" s="86" t="str">
        <f aca="false">IF($A34="","",IF(SUMPRODUCT(MAX((Log!$D$4:$D$1203=$A34)*(Log!$B$4:$B$1203=Q$29)*(Log!$E$4:$E$1203="A")*(Log!$F$4:$F$1203&lt;&gt;"")*Log!$F$4:$F$1203))=0,"",SUMPRODUCT(MAX((Log!$D$4:$D$1203=$A34)*(Log!$B$4:$B$1203=Q$29)*(Log!$E$4:$E$1203="A")*(Log!$F$4:$F$1203&lt;&gt;"")*Log!$F$4:$F$1203))))</f>
        <v/>
      </c>
      <c r="R34" s="87" t="n">
        <f aca="false">IF($A34="","",IF(SUMPRODUCT(MAX((Log!$D$4:$D$1203=$A34)*(Log!$E$4:$E$1203="A")*(Log!$F$4:$F$1203&lt;&gt;"")*Log!$F$4:$F$1203))=0,"",SUMPRODUCT(MAX((Log!$D$4:$D$1203=$A34)*(Log!$E$4:$E$1203="A")*(Log!$F$4:$F$1203&lt;&gt;"")*Log!$F$4:$F$1203))))</f>
        <v>215</v>
      </c>
    </row>
    <row r="35" customFormat="false" ht="16.5" hidden="false" customHeight="true" outlineLevel="0" collapsed="false">
      <c r="A35" s="40" t="str">
        <f aca="false">IF(Übungen!$A9="","",Übungen!$A9)</f>
        <v>Rumänisches Kreuzheben</v>
      </c>
      <c r="B35" s="88" t="str">
        <f aca="false">IF($A35="","",IF(SUMPRODUCT(MAX((Log!$D$4:$D$1203=$A35)*(Log!$B$4:$B$1203=B$29)*(Log!$E$4:$E$1203="A")*(Log!$F$4:$F$1203&lt;&gt;"")*Log!$F$4:$F$1203))=0,"",SUMPRODUCT(MAX((Log!$D$4:$D$1203=$A35)*(Log!$B$4:$B$1203=B$29)*(Log!$E$4:$E$1203="A")*(Log!$F$4:$F$1203&lt;&gt;"")*Log!$F$4:$F$1203))))</f>
        <v/>
      </c>
      <c r="C35" s="88" t="str">
        <f aca="false">IF($A35="","",IF(SUMPRODUCT(MAX((Log!$D$4:$D$1203=$A35)*(Log!$B$4:$B$1203=C$29)*(Log!$E$4:$E$1203="A")*(Log!$F$4:$F$1203&lt;&gt;"")*Log!$F$4:$F$1203))=0,"",SUMPRODUCT(MAX((Log!$D$4:$D$1203=$A35)*(Log!$B$4:$B$1203=C$29)*(Log!$E$4:$E$1203="A")*(Log!$F$4:$F$1203&lt;&gt;"")*Log!$F$4:$F$1203))))</f>
        <v/>
      </c>
      <c r="D35" s="88" t="str">
        <f aca="false">IF($A35="","",IF(SUMPRODUCT(MAX((Log!$D$4:$D$1203=$A35)*(Log!$B$4:$B$1203=D$29)*(Log!$E$4:$E$1203="A")*(Log!$F$4:$F$1203&lt;&gt;"")*Log!$F$4:$F$1203))=0,"",SUMPRODUCT(MAX((Log!$D$4:$D$1203=$A35)*(Log!$B$4:$B$1203=D$29)*(Log!$E$4:$E$1203="A")*(Log!$F$4:$F$1203&lt;&gt;"")*Log!$F$4:$F$1203))))</f>
        <v/>
      </c>
      <c r="E35" s="88" t="str">
        <f aca="false">IF($A35="","",IF(SUMPRODUCT(MAX((Log!$D$4:$D$1203=$A35)*(Log!$B$4:$B$1203=E$29)*(Log!$E$4:$E$1203="A")*(Log!$F$4:$F$1203&lt;&gt;"")*Log!$F$4:$F$1203))=0,"",SUMPRODUCT(MAX((Log!$D$4:$D$1203=$A35)*(Log!$B$4:$B$1203=E$29)*(Log!$E$4:$E$1203="A")*(Log!$F$4:$F$1203&lt;&gt;"")*Log!$F$4:$F$1203))))</f>
        <v/>
      </c>
      <c r="F35" s="88" t="n">
        <f aca="false">IF($A35="","",IF(SUMPRODUCT(MAX((Log!$D$4:$D$1203=$A35)*(Log!$B$4:$B$1203=F$29)*(Log!$E$4:$E$1203="A")*(Log!$F$4:$F$1203&lt;&gt;"")*Log!$F$4:$F$1203))=0,"",SUMPRODUCT(MAX((Log!$D$4:$D$1203=$A35)*(Log!$B$4:$B$1203=F$29)*(Log!$E$4:$E$1203="A")*(Log!$F$4:$F$1203&lt;&gt;"")*Log!$F$4:$F$1203))))</f>
        <v>110</v>
      </c>
      <c r="G35" s="88" t="str">
        <f aca="false">IF($A35="","",IF(SUMPRODUCT(MAX((Log!$D$4:$D$1203=$A35)*(Log!$B$4:$B$1203=G$29)*(Log!$E$4:$E$1203="A")*(Log!$F$4:$F$1203&lt;&gt;"")*Log!$F$4:$F$1203))=0,"",SUMPRODUCT(MAX((Log!$D$4:$D$1203=$A35)*(Log!$B$4:$B$1203=G$29)*(Log!$E$4:$E$1203="A")*(Log!$F$4:$F$1203&lt;&gt;"")*Log!$F$4:$F$1203))))</f>
        <v/>
      </c>
      <c r="H35" s="88" t="n">
        <f aca="false">IF($A35="","",IF(SUMPRODUCT(MAX((Log!$D$4:$D$1203=$A35)*(Log!$B$4:$B$1203=H$29)*(Log!$E$4:$E$1203="A")*(Log!$F$4:$F$1203&lt;&gt;"")*Log!$F$4:$F$1203))=0,"",SUMPRODUCT(MAX((Log!$D$4:$D$1203=$A35)*(Log!$B$4:$B$1203=H$29)*(Log!$E$4:$E$1203="A")*(Log!$F$4:$F$1203&lt;&gt;"")*Log!$F$4:$F$1203))))</f>
        <v>135</v>
      </c>
      <c r="I35" s="88" t="str">
        <f aca="false">IF($A35="","",IF(SUMPRODUCT(MAX((Log!$D$4:$D$1203=$A35)*(Log!$B$4:$B$1203=I$29)*(Log!$E$4:$E$1203="A")*(Log!$F$4:$F$1203&lt;&gt;"")*Log!$F$4:$F$1203))=0,"",SUMPRODUCT(MAX((Log!$D$4:$D$1203=$A35)*(Log!$B$4:$B$1203=I$29)*(Log!$E$4:$E$1203="A")*(Log!$F$4:$F$1203&lt;&gt;"")*Log!$F$4:$F$1203))))</f>
        <v/>
      </c>
      <c r="J35" s="88" t="n">
        <f aca="false">IF($A35="","",IF(SUMPRODUCT(MAX((Log!$D$4:$D$1203=$A35)*(Log!$B$4:$B$1203=J$29)*(Log!$E$4:$E$1203="A")*(Log!$F$4:$F$1203&lt;&gt;"")*Log!$F$4:$F$1203))=0,"",SUMPRODUCT(MAX((Log!$D$4:$D$1203=$A35)*(Log!$B$4:$B$1203=J$29)*(Log!$E$4:$E$1203="A")*(Log!$F$4:$F$1203&lt;&gt;"")*Log!$F$4:$F$1203))))</f>
        <v>135</v>
      </c>
      <c r="K35" s="88" t="str">
        <f aca="false">IF($A35="","",IF(SUMPRODUCT(MAX((Log!$D$4:$D$1203=$A35)*(Log!$B$4:$B$1203=K$29)*(Log!$E$4:$E$1203="A")*(Log!$F$4:$F$1203&lt;&gt;"")*Log!$F$4:$F$1203))=0,"",SUMPRODUCT(MAX((Log!$D$4:$D$1203=$A35)*(Log!$B$4:$B$1203=K$29)*(Log!$E$4:$E$1203="A")*(Log!$F$4:$F$1203&lt;&gt;"")*Log!$F$4:$F$1203))))</f>
        <v/>
      </c>
      <c r="L35" s="88" t="n">
        <f aca="false">IF($A35="","",IF(SUMPRODUCT(MAX((Log!$D$4:$D$1203=$A35)*(Log!$B$4:$B$1203=L$29)*(Log!$E$4:$E$1203="A")*(Log!$F$4:$F$1203&lt;&gt;"")*Log!$F$4:$F$1203))=0,"",SUMPRODUCT(MAX((Log!$D$4:$D$1203=$A35)*(Log!$B$4:$B$1203=L$29)*(Log!$E$4:$E$1203="A")*(Log!$F$4:$F$1203&lt;&gt;"")*Log!$F$4:$F$1203))))</f>
        <v>115</v>
      </c>
      <c r="M35" s="88" t="str">
        <f aca="false">IF($A35="","",IF(SUMPRODUCT(MAX((Log!$D$4:$D$1203=$A35)*(Log!$B$4:$B$1203=M$29)*(Log!$E$4:$E$1203="A")*(Log!$F$4:$F$1203&lt;&gt;"")*Log!$F$4:$F$1203))=0,"",SUMPRODUCT(MAX((Log!$D$4:$D$1203=$A35)*(Log!$B$4:$B$1203=M$29)*(Log!$E$4:$E$1203="A")*(Log!$F$4:$F$1203&lt;&gt;"")*Log!$F$4:$F$1203))))</f>
        <v/>
      </c>
      <c r="N35" s="88" t="str">
        <f aca="false">IF($A35="","",IF(SUMPRODUCT(MAX((Log!$D$4:$D$1203=$A35)*(Log!$B$4:$B$1203=N$29)*(Log!$E$4:$E$1203="A")*(Log!$F$4:$F$1203&lt;&gt;"")*Log!$F$4:$F$1203))=0,"",SUMPRODUCT(MAX((Log!$D$4:$D$1203=$A35)*(Log!$B$4:$B$1203=N$29)*(Log!$E$4:$E$1203="A")*(Log!$F$4:$F$1203&lt;&gt;"")*Log!$F$4:$F$1203))))</f>
        <v/>
      </c>
      <c r="O35" s="88" t="str">
        <f aca="false">IF($A35="","",IF(SUMPRODUCT(MAX((Log!$D$4:$D$1203=$A35)*(Log!$B$4:$B$1203=O$29)*(Log!$E$4:$E$1203="A")*(Log!$F$4:$F$1203&lt;&gt;"")*Log!$F$4:$F$1203))=0,"",SUMPRODUCT(MAX((Log!$D$4:$D$1203=$A35)*(Log!$B$4:$B$1203=O$29)*(Log!$E$4:$E$1203="A")*(Log!$F$4:$F$1203&lt;&gt;"")*Log!$F$4:$F$1203))))</f>
        <v/>
      </c>
      <c r="P35" s="88" t="str">
        <f aca="false">IF($A35="","",IF(SUMPRODUCT(MAX((Log!$D$4:$D$1203=$A35)*(Log!$B$4:$B$1203=P$29)*(Log!$E$4:$E$1203="A")*(Log!$F$4:$F$1203&lt;&gt;"")*Log!$F$4:$F$1203))=0,"",SUMPRODUCT(MAX((Log!$D$4:$D$1203=$A35)*(Log!$B$4:$B$1203=P$29)*(Log!$E$4:$E$1203="A")*(Log!$F$4:$F$1203&lt;&gt;"")*Log!$F$4:$F$1203))))</f>
        <v/>
      </c>
      <c r="Q35" s="88" t="str">
        <f aca="false">IF($A35="","",IF(SUMPRODUCT(MAX((Log!$D$4:$D$1203=$A35)*(Log!$B$4:$B$1203=Q$29)*(Log!$E$4:$E$1203="A")*(Log!$F$4:$F$1203&lt;&gt;"")*Log!$F$4:$F$1203))=0,"",SUMPRODUCT(MAX((Log!$D$4:$D$1203=$A35)*(Log!$B$4:$B$1203=Q$29)*(Log!$E$4:$E$1203="A")*(Log!$F$4:$F$1203&lt;&gt;"")*Log!$F$4:$F$1203))))</f>
        <v/>
      </c>
      <c r="R35" s="87" t="n">
        <f aca="false">IF($A35="","",IF(SUMPRODUCT(MAX((Log!$D$4:$D$1203=$A35)*(Log!$E$4:$E$1203="A")*(Log!$F$4:$F$1203&lt;&gt;"")*Log!$F$4:$F$1203))=0,"",SUMPRODUCT(MAX((Log!$D$4:$D$1203=$A35)*(Log!$E$4:$E$1203="A")*(Log!$F$4:$F$1203&lt;&gt;"")*Log!$F$4:$F$1203))))</f>
        <v>135</v>
      </c>
    </row>
    <row r="36" customFormat="false" ht="16.5" hidden="false" customHeight="true" outlineLevel="0" collapsed="false">
      <c r="A36" s="34" t="str">
        <f aca="false">IF(Übungen!$A10="","",Übungen!$A10)</f>
        <v>Rumänisches Kreuzheben KH</v>
      </c>
      <c r="B36" s="86" t="str">
        <f aca="false">IF($A36="","",IF(SUMPRODUCT(MAX((Log!$D$4:$D$1203=$A36)*(Log!$B$4:$B$1203=B$29)*(Log!$E$4:$E$1203="A")*(Log!$F$4:$F$1203&lt;&gt;"")*Log!$F$4:$F$1203))=0,"",SUMPRODUCT(MAX((Log!$D$4:$D$1203=$A36)*(Log!$B$4:$B$1203=B$29)*(Log!$E$4:$E$1203="A")*(Log!$F$4:$F$1203&lt;&gt;"")*Log!$F$4:$F$1203))))</f>
        <v/>
      </c>
      <c r="C36" s="86" t="str">
        <f aca="false">IF($A36="","",IF(SUMPRODUCT(MAX((Log!$D$4:$D$1203=$A36)*(Log!$B$4:$B$1203=C$29)*(Log!$E$4:$E$1203="A")*(Log!$F$4:$F$1203&lt;&gt;"")*Log!$F$4:$F$1203))=0,"",SUMPRODUCT(MAX((Log!$D$4:$D$1203=$A36)*(Log!$B$4:$B$1203=C$29)*(Log!$E$4:$E$1203="A")*(Log!$F$4:$F$1203&lt;&gt;"")*Log!$F$4:$F$1203))))</f>
        <v/>
      </c>
      <c r="D36" s="86" t="str">
        <f aca="false">IF($A36="","",IF(SUMPRODUCT(MAX((Log!$D$4:$D$1203=$A36)*(Log!$B$4:$B$1203=D$29)*(Log!$E$4:$E$1203="A")*(Log!$F$4:$F$1203&lt;&gt;"")*Log!$F$4:$F$1203))=0,"",SUMPRODUCT(MAX((Log!$D$4:$D$1203=$A36)*(Log!$B$4:$B$1203=D$29)*(Log!$E$4:$E$1203="A")*(Log!$F$4:$F$1203&lt;&gt;"")*Log!$F$4:$F$1203))))</f>
        <v/>
      </c>
      <c r="E36" s="86" t="str">
        <f aca="false">IF($A36="","",IF(SUMPRODUCT(MAX((Log!$D$4:$D$1203=$A36)*(Log!$B$4:$B$1203=E$29)*(Log!$E$4:$E$1203="A")*(Log!$F$4:$F$1203&lt;&gt;"")*Log!$F$4:$F$1203))=0,"",SUMPRODUCT(MAX((Log!$D$4:$D$1203=$A36)*(Log!$B$4:$B$1203=E$29)*(Log!$E$4:$E$1203="A")*(Log!$F$4:$F$1203&lt;&gt;"")*Log!$F$4:$F$1203))))</f>
        <v/>
      </c>
      <c r="F36" s="86" t="str">
        <f aca="false">IF($A36="","",IF(SUMPRODUCT(MAX((Log!$D$4:$D$1203=$A36)*(Log!$B$4:$B$1203=F$29)*(Log!$E$4:$E$1203="A")*(Log!$F$4:$F$1203&lt;&gt;"")*Log!$F$4:$F$1203))=0,"",SUMPRODUCT(MAX((Log!$D$4:$D$1203=$A36)*(Log!$B$4:$B$1203=F$29)*(Log!$E$4:$E$1203="A")*(Log!$F$4:$F$1203&lt;&gt;"")*Log!$F$4:$F$1203))))</f>
        <v/>
      </c>
      <c r="G36" s="86" t="str">
        <f aca="false">IF($A36="","",IF(SUMPRODUCT(MAX((Log!$D$4:$D$1203=$A36)*(Log!$B$4:$B$1203=G$29)*(Log!$E$4:$E$1203="A")*(Log!$F$4:$F$1203&lt;&gt;"")*Log!$F$4:$F$1203))=0,"",SUMPRODUCT(MAX((Log!$D$4:$D$1203=$A36)*(Log!$B$4:$B$1203=G$29)*(Log!$E$4:$E$1203="A")*(Log!$F$4:$F$1203&lt;&gt;"")*Log!$F$4:$F$1203))))</f>
        <v/>
      </c>
      <c r="H36" s="86" t="str">
        <f aca="false">IF($A36="","",IF(SUMPRODUCT(MAX((Log!$D$4:$D$1203=$A36)*(Log!$B$4:$B$1203=H$29)*(Log!$E$4:$E$1203="A")*(Log!$F$4:$F$1203&lt;&gt;"")*Log!$F$4:$F$1203))=0,"",SUMPRODUCT(MAX((Log!$D$4:$D$1203=$A36)*(Log!$B$4:$B$1203=H$29)*(Log!$E$4:$E$1203="A")*(Log!$F$4:$F$1203&lt;&gt;"")*Log!$F$4:$F$1203))))</f>
        <v/>
      </c>
      <c r="I36" s="86" t="str">
        <f aca="false">IF($A36="","",IF(SUMPRODUCT(MAX((Log!$D$4:$D$1203=$A36)*(Log!$B$4:$B$1203=I$29)*(Log!$E$4:$E$1203="A")*(Log!$F$4:$F$1203&lt;&gt;"")*Log!$F$4:$F$1203))=0,"",SUMPRODUCT(MAX((Log!$D$4:$D$1203=$A36)*(Log!$B$4:$B$1203=I$29)*(Log!$E$4:$E$1203="A")*(Log!$F$4:$F$1203&lt;&gt;"")*Log!$F$4:$F$1203))))</f>
        <v/>
      </c>
      <c r="J36" s="86" t="str">
        <f aca="false">IF($A36="","",IF(SUMPRODUCT(MAX((Log!$D$4:$D$1203=$A36)*(Log!$B$4:$B$1203=J$29)*(Log!$E$4:$E$1203="A")*(Log!$F$4:$F$1203&lt;&gt;"")*Log!$F$4:$F$1203))=0,"",SUMPRODUCT(MAX((Log!$D$4:$D$1203=$A36)*(Log!$B$4:$B$1203=J$29)*(Log!$E$4:$E$1203="A")*(Log!$F$4:$F$1203&lt;&gt;"")*Log!$F$4:$F$1203))))</f>
        <v/>
      </c>
      <c r="K36" s="86" t="str">
        <f aca="false">IF($A36="","",IF(SUMPRODUCT(MAX((Log!$D$4:$D$1203=$A36)*(Log!$B$4:$B$1203=K$29)*(Log!$E$4:$E$1203="A")*(Log!$F$4:$F$1203&lt;&gt;"")*Log!$F$4:$F$1203))=0,"",SUMPRODUCT(MAX((Log!$D$4:$D$1203=$A36)*(Log!$B$4:$B$1203=K$29)*(Log!$E$4:$E$1203="A")*(Log!$F$4:$F$1203&lt;&gt;"")*Log!$F$4:$F$1203))))</f>
        <v/>
      </c>
      <c r="L36" s="86" t="str">
        <f aca="false">IF($A36="","",IF(SUMPRODUCT(MAX((Log!$D$4:$D$1203=$A36)*(Log!$B$4:$B$1203=L$29)*(Log!$E$4:$E$1203="A")*(Log!$F$4:$F$1203&lt;&gt;"")*Log!$F$4:$F$1203))=0,"",SUMPRODUCT(MAX((Log!$D$4:$D$1203=$A36)*(Log!$B$4:$B$1203=L$29)*(Log!$E$4:$E$1203="A")*(Log!$F$4:$F$1203&lt;&gt;"")*Log!$F$4:$F$1203))))</f>
        <v/>
      </c>
      <c r="M36" s="86" t="str">
        <f aca="false">IF($A36="","",IF(SUMPRODUCT(MAX((Log!$D$4:$D$1203=$A36)*(Log!$B$4:$B$1203=M$29)*(Log!$E$4:$E$1203="A")*(Log!$F$4:$F$1203&lt;&gt;"")*Log!$F$4:$F$1203))=0,"",SUMPRODUCT(MAX((Log!$D$4:$D$1203=$A36)*(Log!$B$4:$B$1203=M$29)*(Log!$E$4:$E$1203="A")*(Log!$F$4:$F$1203&lt;&gt;"")*Log!$F$4:$F$1203))))</f>
        <v/>
      </c>
      <c r="N36" s="86" t="str">
        <f aca="false">IF($A36="","",IF(SUMPRODUCT(MAX((Log!$D$4:$D$1203=$A36)*(Log!$B$4:$B$1203=N$29)*(Log!$E$4:$E$1203="A")*(Log!$F$4:$F$1203&lt;&gt;"")*Log!$F$4:$F$1203))=0,"",SUMPRODUCT(MAX((Log!$D$4:$D$1203=$A36)*(Log!$B$4:$B$1203=N$29)*(Log!$E$4:$E$1203="A")*(Log!$F$4:$F$1203&lt;&gt;"")*Log!$F$4:$F$1203))))</f>
        <v/>
      </c>
      <c r="O36" s="86" t="n">
        <f aca="false">IF($A36="","",IF(SUMPRODUCT(MAX((Log!$D$4:$D$1203=$A36)*(Log!$B$4:$B$1203=O$29)*(Log!$E$4:$E$1203="A")*(Log!$F$4:$F$1203&lt;&gt;"")*Log!$F$4:$F$1203))=0,"",SUMPRODUCT(MAX((Log!$D$4:$D$1203=$A36)*(Log!$B$4:$B$1203=O$29)*(Log!$E$4:$E$1203="A")*(Log!$F$4:$F$1203&lt;&gt;"")*Log!$F$4:$F$1203))))</f>
        <v>34</v>
      </c>
      <c r="P36" s="86" t="str">
        <f aca="false">IF($A36="","",IF(SUMPRODUCT(MAX((Log!$D$4:$D$1203=$A36)*(Log!$B$4:$B$1203=P$29)*(Log!$E$4:$E$1203="A")*(Log!$F$4:$F$1203&lt;&gt;"")*Log!$F$4:$F$1203))=0,"",SUMPRODUCT(MAX((Log!$D$4:$D$1203=$A36)*(Log!$B$4:$B$1203=P$29)*(Log!$E$4:$E$1203="A")*(Log!$F$4:$F$1203&lt;&gt;"")*Log!$F$4:$F$1203))))</f>
        <v/>
      </c>
      <c r="Q36" s="86" t="str">
        <f aca="false">IF($A36="","",IF(SUMPRODUCT(MAX((Log!$D$4:$D$1203=$A36)*(Log!$B$4:$B$1203=Q$29)*(Log!$E$4:$E$1203="A")*(Log!$F$4:$F$1203&lt;&gt;"")*Log!$F$4:$F$1203))=0,"",SUMPRODUCT(MAX((Log!$D$4:$D$1203=$A36)*(Log!$B$4:$B$1203=Q$29)*(Log!$E$4:$E$1203="A")*(Log!$F$4:$F$1203&lt;&gt;"")*Log!$F$4:$F$1203))))</f>
        <v/>
      </c>
      <c r="R36" s="87" t="n">
        <f aca="false">IF($A36="","",IF(SUMPRODUCT(MAX((Log!$D$4:$D$1203=$A36)*(Log!$E$4:$E$1203="A")*(Log!$F$4:$F$1203&lt;&gt;"")*Log!$F$4:$F$1203))=0,"",SUMPRODUCT(MAX((Log!$D$4:$D$1203=$A36)*(Log!$E$4:$E$1203="A")*(Log!$F$4:$F$1203&lt;&gt;"")*Log!$F$4:$F$1203))))</f>
        <v>34</v>
      </c>
    </row>
    <row r="37" customFormat="false" ht="16.5" hidden="false" customHeight="true" outlineLevel="0" collapsed="false">
      <c r="A37" s="40" t="str">
        <f aca="false">IF(Übungen!$A11="","",Übungen!$A11)</f>
        <v>Beinpresse breit</v>
      </c>
      <c r="B37" s="88" t="str">
        <f aca="false">IF($A37="","",IF(SUMPRODUCT(MAX((Log!$D$4:$D$1203=$A37)*(Log!$B$4:$B$1203=B$29)*(Log!$E$4:$E$1203="A")*(Log!$F$4:$F$1203&lt;&gt;"")*Log!$F$4:$F$1203))=0,"",SUMPRODUCT(MAX((Log!$D$4:$D$1203=$A37)*(Log!$B$4:$B$1203=B$29)*(Log!$E$4:$E$1203="A")*(Log!$F$4:$F$1203&lt;&gt;"")*Log!$F$4:$F$1203))))</f>
        <v/>
      </c>
      <c r="C37" s="88" t="str">
        <f aca="false">IF($A37="","",IF(SUMPRODUCT(MAX((Log!$D$4:$D$1203=$A37)*(Log!$B$4:$B$1203=C$29)*(Log!$E$4:$E$1203="A")*(Log!$F$4:$F$1203&lt;&gt;"")*Log!$F$4:$F$1203))=0,"",SUMPRODUCT(MAX((Log!$D$4:$D$1203=$A37)*(Log!$B$4:$B$1203=C$29)*(Log!$E$4:$E$1203="A")*(Log!$F$4:$F$1203&lt;&gt;"")*Log!$F$4:$F$1203))))</f>
        <v/>
      </c>
      <c r="D37" s="88" t="str">
        <f aca="false">IF($A37="","",IF(SUMPRODUCT(MAX((Log!$D$4:$D$1203=$A37)*(Log!$B$4:$B$1203=D$29)*(Log!$E$4:$E$1203="A")*(Log!$F$4:$F$1203&lt;&gt;"")*Log!$F$4:$F$1203))=0,"",SUMPRODUCT(MAX((Log!$D$4:$D$1203=$A37)*(Log!$B$4:$B$1203=D$29)*(Log!$E$4:$E$1203="A")*(Log!$F$4:$F$1203&lt;&gt;"")*Log!$F$4:$F$1203))))</f>
        <v/>
      </c>
      <c r="E37" s="88" t="str">
        <f aca="false">IF($A37="","",IF(SUMPRODUCT(MAX((Log!$D$4:$D$1203=$A37)*(Log!$B$4:$B$1203=E$29)*(Log!$E$4:$E$1203="A")*(Log!$F$4:$F$1203&lt;&gt;"")*Log!$F$4:$F$1203))=0,"",SUMPRODUCT(MAX((Log!$D$4:$D$1203=$A37)*(Log!$B$4:$B$1203=E$29)*(Log!$E$4:$E$1203="A")*(Log!$F$4:$F$1203&lt;&gt;"")*Log!$F$4:$F$1203))))</f>
        <v/>
      </c>
      <c r="F37" s="88" t="str">
        <f aca="false">IF($A37="","",IF(SUMPRODUCT(MAX((Log!$D$4:$D$1203=$A37)*(Log!$B$4:$B$1203=F$29)*(Log!$E$4:$E$1203="A")*(Log!$F$4:$F$1203&lt;&gt;"")*Log!$F$4:$F$1203))=0,"",SUMPRODUCT(MAX((Log!$D$4:$D$1203=$A37)*(Log!$B$4:$B$1203=F$29)*(Log!$E$4:$E$1203="A")*(Log!$F$4:$F$1203&lt;&gt;"")*Log!$F$4:$F$1203))))</f>
        <v/>
      </c>
      <c r="G37" s="88" t="str">
        <f aca="false">IF($A37="","",IF(SUMPRODUCT(MAX((Log!$D$4:$D$1203=$A37)*(Log!$B$4:$B$1203=G$29)*(Log!$E$4:$E$1203="A")*(Log!$F$4:$F$1203&lt;&gt;"")*Log!$F$4:$F$1203))=0,"",SUMPRODUCT(MAX((Log!$D$4:$D$1203=$A37)*(Log!$B$4:$B$1203=G$29)*(Log!$E$4:$E$1203="A")*(Log!$F$4:$F$1203&lt;&gt;"")*Log!$F$4:$F$1203))))</f>
        <v/>
      </c>
      <c r="H37" s="88" t="str">
        <f aca="false">IF($A37="","",IF(SUMPRODUCT(MAX((Log!$D$4:$D$1203=$A37)*(Log!$B$4:$B$1203=H$29)*(Log!$E$4:$E$1203="A")*(Log!$F$4:$F$1203&lt;&gt;"")*Log!$F$4:$F$1203))=0,"",SUMPRODUCT(MAX((Log!$D$4:$D$1203=$A37)*(Log!$B$4:$B$1203=H$29)*(Log!$E$4:$E$1203="A")*(Log!$F$4:$F$1203&lt;&gt;"")*Log!$F$4:$F$1203))))</f>
        <v/>
      </c>
      <c r="I37" s="88" t="str">
        <f aca="false">IF($A37="","",IF(SUMPRODUCT(MAX((Log!$D$4:$D$1203=$A37)*(Log!$B$4:$B$1203=I$29)*(Log!$E$4:$E$1203="A")*(Log!$F$4:$F$1203&lt;&gt;"")*Log!$F$4:$F$1203))=0,"",SUMPRODUCT(MAX((Log!$D$4:$D$1203=$A37)*(Log!$B$4:$B$1203=I$29)*(Log!$E$4:$E$1203="A")*(Log!$F$4:$F$1203&lt;&gt;"")*Log!$F$4:$F$1203))))</f>
        <v/>
      </c>
      <c r="J37" s="88" t="str">
        <f aca="false">IF($A37="","",IF(SUMPRODUCT(MAX((Log!$D$4:$D$1203=$A37)*(Log!$B$4:$B$1203=J$29)*(Log!$E$4:$E$1203="A")*(Log!$F$4:$F$1203&lt;&gt;"")*Log!$F$4:$F$1203))=0,"",SUMPRODUCT(MAX((Log!$D$4:$D$1203=$A37)*(Log!$B$4:$B$1203=J$29)*(Log!$E$4:$E$1203="A")*(Log!$F$4:$F$1203&lt;&gt;"")*Log!$F$4:$F$1203))))</f>
        <v/>
      </c>
      <c r="K37" s="88" t="str">
        <f aca="false">IF($A37="","",IF(SUMPRODUCT(MAX((Log!$D$4:$D$1203=$A37)*(Log!$B$4:$B$1203=K$29)*(Log!$E$4:$E$1203="A")*(Log!$F$4:$F$1203&lt;&gt;"")*Log!$F$4:$F$1203))=0,"",SUMPRODUCT(MAX((Log!$D$4:$D$1203=$A37)*(Log!$B$4:$B$1203=K$29)*(Log!$E$4:$E$1203="A")*(Log!$F$4:$F$1203&lt;&gt;"")*Log!$F$4:$F$1203))))</f>
        <v/>
      </c>
      <c r="L37" s="88" t="str">
        <f aca="false">IF($A37="","",IF(SUMPRODUCT(MAX((Log!$D$4:$D$1203=$A37)*(Log!$B$4:$B$1203=L$29)*(Log!$E$4:$E$1203="A")*(Log!$F$4:$F$1203&lt;&gt;"")*Log!$F$4:$F$1203))=0,"",SUMPRODUCT(MAX((Log!$D$4:$D$1203=$A37)*(Log!$B$4:$B$1203=L$29)*(Log!$E$4:$E$1203="A")*(Log!$F$4:$F$1203&lt;&gt;"")*Log!$F$4:$F$1203))))</f>
        <v/>
      </c>
      <c r="M37" s="88" t="str">
        <f aca="false">IF($A37="","",IF(SUMPRODUCT(MAX((Log!$D$4:$D$1203=$A37)*(Log!$B$4:$B$1203=M$29)*(Log!$E$4:$E$1203="A")*(Log!$F$4:$F$1203&lt;&gt;"")*Log!$F$4:$F$1203))=0,"",SUMPRODUCT(MAX((Log!$D$4:$D$1203=$A37)*(Log!$B$4:$B$1203=M$29)*(Log!$E$4:$E$1203="A")*(Log!$F$4:$F$1203&lt;&gt;"")*Log!$F$4:$F$1203))))</f>
        <v/>
      </c>
      <c r="N37" s="88" t="str">
        <f aca="false">IF($A37="","",IF(SUMPRODUCT(MAX((Log!$D$4:$D$1203=$A37)*(Log!$B$4:$B$1203=N$29)*(Log!$E$4:$E$1203="A")*(Log!$F$4:$F$1203&lt;&gt;"")*Log!$F$4:$F$1203))=0,"",SUMPRODUCT(MAX((Log!$D$4:$D$1203=$A37)*(Log!$B$4:$B$1203=N$29)*(Log!$E$4:$E$1203="A")*(Log!$F$4:$F$1203&lt;&gt;"")*Log!$F$4:$F$1203))))</f>
        <v/>
      </c>
      <c r="O37" s="88" t="str">
        <f aca="false">IF($A37="","",IF(SUMPRODUCT(MAX((Log!$D$4:$D$1203=$A37)*(Log!$B$4:$B$1203=O$29)*(Log!$E$4:$E$1203="A")*(Log!$F$4:$F$1203&lt;&gt;"")*Log!$F$4:$F$1203))=0,"",SUMPRODUCT(MAX((Log!$D$4:$D$1203=$A37)*(Log!$B$4:$B$1203=O$29)*(Log!$E$4:$E$1203="A")*(Log!$F$4:$F$1203&lt;&gt;"")*Log!$F$4:$F$1203))))</f>
        <v/>
      </c>
      <c r="P37" s="88" t="str">
        <f aca="false">IF($A37="","",IF(SUMPRODUCT(MAX((Log!$D$4:$D$1203=$A37)*(Log!$B$4:$B$1203=P$29)*(Log!$E$4:$E$1203="A")*(Log!$F$4:$F$1203&lt;&gt;"")*Log!$F$4:$F$1203))=0,"",SUMPRODUCT(MAX((Log!$D$4:$D$1203=$A37)*(Log!$B$4:$B$1203=P$29)*(Log!$E$4:$E$1203="A")*(Log!$F$4:$F$1203&lt;&gt;"")*Log!$F$4:$F$1203))))</f>
        <v/>
      </c>
      <c r="Q37" s="88" t="str">
        <f aca="false">IF($A37="","",IF(SUMPRODUCT(MAX((Log!$D$4:$D$1203=$A37)*(Log!$B$4:$B$1203=Q$29)*(Log!$E$4:$E$1203="A")*(Log!$F$4:$F$1203&lt;&gt;"")*Log!$F$4:$F$1203))=0,"",SUMPRODUCT(MAX((Log!$D$4:$D$1203=$A37)*(Log!$B$4:$B$1203=Q$29)*(Log!$E$4:$E$1203="A")*(Log!$F$4:$F$1203&lt;&gt;"")*Log!$F$4:$F$1203))))</f>
        <v/>
      </c>
      <c r="R37" s="87" t="str">
        <f aca="false">IF($A37="","",IF(SUMPRODUCT(MAX((Log!$D$4:$D$1203=$A37)*(Log!$E$4:$E$1203="A")*(Log!$F$4:$F$1203&lt;&gt;"")*Log!$F$4:$F$1203))=0,"",SUMPRODUCT(MAX((Log!$D$4:$D$1203=$A37)*(Log!$E$4:$E$1203="A")*(Log!$F$4:$F$1203&lt;&gt;"")*Log!$F$4:$F$1203))))</f>
        <v/>
      </c>
    </row>
    <row r="38" customFormat="false" ht="16.5" hidden="false" customHeight="true" outlineLevel="0" collapsed="false">
      <c r="A38" s="34" t="str">
        <f aca="false">IF(Übungen!$A12="","",Übungen!$A12)</f>
        <v>Hip Thrust</v>
      </c>
      <c r="B38" s="86" t="n">
        <f aca="false">IF($A38="","",IF(SUMPRODUCT(MAX((Log!$D$4:$D$1203=$A38)*(Log!$B$4:$B$1203=B$29)*(Log!$E$4:$E$1203="A")*(Log!$F$4:$F$1203&lt;&gt;"")*Log!$F$4:$F$1203))=0,"",SUMPRODUCT(MAX((Log!$D$4:$D$1203=$A38)*(Log!$B$4:$B$1203=B$29)*(Log!$E$4:$E$1203="A")*(Log!$F$4:$F$1203&lt;&gt;"")*Log!$F$4:$F$1203))))</f>
        <v>240</v>
      </c>
      <c r="C38" s="86" t="n">
        <f aca="false">IF($A38="","",IF(SUMPRODUCT(MAX((Log!$D$4:$D$1203=$A38)*(Log!$B$4:$B$1203=C$29)*(Log!$E$4:$E$1203="A")*(Log!$F$4:$F$1203&lt;&gt;"")*Log!$F$4:$F$1203))=0,"",SUMPRODUCT(MAX((Log!$D$4:$D$1203=$A38)*(Log!$B$4:$B$1203=C$29)*(Log!$E$4:$E$1203="A")*(Log!$F$4:$F$1203&lt;&gt;"")*Log!$F$4:$F$1203))))</f>
        <v>280</v>
      </c>
      <c r="D38" s="86" t="n">
        <f aca="false">IF($A38="","",IF(SUMPRODUCT(MAX((Log!$D$4:$D$1203=$A38)*(Log!$B$4:$B$1203=D$29)*(Log!$E$4:$E$1203="A")*(Log!$F$4:$F$1203&lt;&gt;"")*Log!$F$4:$F$1203))=0,"",SUMPRODUCT(MAX((Log!$D$4:$D$1203=$A38)*(Log!$B$4:$B$1203=D$29)*(Log!$E$4:$E$1203="A")*(Log!$F$4:$F$1203&lt;&gt;"")*Log!$F$4:$F$1203))))</f>
        <v>280</v>
      </c>
      <c r="E38" s="86" t="n">
        <f aca="false">IF($A38="","",IF(SUMPRODUCT(MAX((Log!$D$4:$D$1203=$A38)*(Log!$B$4:$B$1203=E$29)*(Log!$E$4:$E$1203="A")*(Log!$F$4:$F$1203&lt;&gt;"")*Log!$F$4:$F$1203))=0,"",SUMPRODUCT(MAX((Log!$D$4:$D$1203=$A38)*(Log!$B$4:$B$1203=E$29)*(Log!$E$4:$E$1203="A")*(Log!$F$4:$F$1203&lt;&gt;"")*Log!$F$4:$F$1203))))</f>
        <v>270</v>
      </c>
      <c r="F38" s="86" t="n">
        <f aca="false">IF($A38="","",IF(SUMPRODUCT(MAX((Log!$D$4:$D$1203=$A38)*(Log!$B$4:$B$1203=F$29)*(Log!$E$4:$E$1203="A")*(Log!$F$4:$F$1203&lt;&gt;"")*Log!$F$4:$F$1203))=0,"",SUMPRODUCT(MAX((Log!$D$4:$D$1203=$A38)*(Log!$B$4:$B$1203=F$29)*(Log!$E$4:$E$1203="A")*(Log!$F$4:$F$1203&lt;&gt;"")*Log!$F$4:$F$1203))))</f>
        <v>190</v>
      </c>
      <c r="G38" s="86" t="str">
        <f aca="false">IF($A38="","",IF(SUMPRODUCT(MAX((Log!$D$4:$D$1203=$A38)*(Log!$B$4:$B$1203=G$29)*(Log!$E$4:$E$1203="A")*(Log!$F$4:$F$1203&lt;&gt;"")*Log!$F$4:$F$1203))=0,"",SUMPRODUCT(MAX((Log!$D$4:$D$1203=$A38)*(Log!$B$4:$B$1203=G$29)*(Log!$E$4:$E$1203="A")*(Log!$F$4:$F$1203&lt;&gt;"")*Log!$F$4:$F$1203))))</f>
        <v/>
      </c>
      <c r="H38" s="86" t="n">
        <f aca="false">IF($A38="","",IF(SUMPRODUCT(MAX((Log!$D$4:$D$1203=$A38)*(Log!$B$4:$B$1203=H$29)*(Log!$E$4:$E$1203="A")*(Log!$F$4:$F$1203&lt;&gt;"")*Log!$F$4:$F$1203))=0,"",SUMPRODUCT(MAX((Log!$D$4:$D$1203=$A38)*(Log!$B$4:$B$1203=H$29)*(Log!$E$4:$E$1203="A")*(Log!$F$4:$F$1203&lt;&gt;"")*Log!$F$4:$F$1203))))</f>
        <v>290</v>
      </c>
      <c r="I38" s="86" t="str">
        <f aca="false">IF($A38="","",IF(SUMPRODUCT(MAX((Log!$D$4:$D$1203=$A38)*(Log!$B$4:$B$1203=I$29)*(Log!$E$4:$E$1203="A")*(Log!$F$4:$F$1203&lt;&gt;"")*Log!$F$4:$F$1203))=0,"",SUMPRODUCT(MAX((Log!$D$4:$D$1203=$A38)*(Log!$B$4:$B$1203=I$29)*(Log!$E$4:$E$1203="A")*(Log!$F$4:$F$1203&lt;&gt;"")*Log!$F$4:$F$1203))))</f>
        <v/>
      </c>
      <c r="J38" s="86" t="str">
        <f aca="false">IF($A38="","",IF(SUMPRODUCT(MAX((Log!$D$4:$D$1203=$A38)*(Log!$B$4:$B$1203=J$29)*(Log!$E$4:$E$1203="A")*(Log!$F$4:$F$1203&lt;&gt;"")*Log!$F$4:$F$1203))=0,"",SUMPRODUCT(MAX((Log!$D$4:$D$1203=$A38)*(Log!$B$4:$B$1203=J$29)*(Log!$E$4:$E$1203="A")*(Log!$F$4:$F$1203&lt;&gt;"")*Log!$F$4:$F$1203))))</f>
        <v/>
      </c>
      <c r="K38" s="86" t="str">
        <f aca="false">IF($A38="","",IF(SUMPRODUCT(MAX((Log!$D$4:$D$1203=$A38)*(Log!$B$4:$B$1203=K$29)*(Log!$E$4:$E$1203="A")*(Log!$F$4:$F$1203&lt;&gt;"")*Log!$F$4:$F$1203))=0,"",SUMPRODUCT(MAX((Log!$D$4:$D$1203=$A38)*(Log!$B$4:$B$1203=K$29)*(Log!$E$4:$E$1203="A")*(Log!$F$4:$F$1203&lt;&gt;"")*Log!$F$4:$F$1203))))</f>
        <v/>
      </c>
      <c r="L38" s="86" t="n">
        <f aca="false">IF($A38="","",IF(SUMPRODUCT(MAX((Log!$D$4:$D$1203=$A38)*(Log!$B$4:$B$1203=L$29)*(Log!$E$4:$E$1203="A")*(Log!$F$4:$F$1203&lt;&gt;"")*Log!$F$4:$F$1203))=0,"",SUMPRODUCT(MAX((Log!$D$4:$D$1203=$A38)*(Log!$B$4:$B$1203=L$29)*(Log!$E$4:$E$1203="A")*(Log!$F$4:$F$1203&lt;&gt;"")*Log!$F$4:$F$1203))))</f>
        <v>250</v>
      </c>
      <c r="M38" s="86" t="str">
        <f aca="false">IF($A38="","",IF(SUMPRODUCT(MAX((Log!$D$4:$D$1203=$A38)*(Log!$B$4:$B$1203=M$29)*(Log!$E$4:$E$1203="A")*(Log!$F$4:$F$1203&lt;&gt;"")*Log!$F$4:$F$1203))=0,"",SUMPRODUCT(MAX((Log!$D$4:$D$1203=$A38)*(Log!$B$4:$B$1203=M$29)*(Log!$E$4:$E$1203="A")*(Log!$F$4:$F$1203&lt;&gt;"")*Log!$F$4:$F$1203))))</f>
        <v/>
      </c>
      <c r="N38" s="86" t="n">
        <f aca="false">IF($A38="","",IF(SUMPRODUCT(MAX((Log!$D$4:$D$1203=$A38)*(Log!$B$4:$B$1203=N$29)*(Log!$E$4:$E$1203="A")*(Log!$F$4:$F$1203&lt;&gt;"")*Log!$F$4:$F$1203))=0,"",SUMPRODUCT(MAX((Log!$D$4:$D$1203=$A38)*(Log!$B$4:$B$1203=N$29)*(Log!$E$4:$E$1203="A")*(Log!$F$4:$F$1203&lt;&gt;"")*Log!$F$4:$F$1203))))</f>
        <v>280</v>
      </c>
      <c r="O38" s="86" t="n">
        <f aca="false">IF($A38="","",IF(SUMPRODUCT(MAX((Log!$D$4:$D$1203=$A38)*(Log!$B$4:$B$1203=O$29)*(Log!$E$4:$E$1203="A")*(Log!$F$4:$F$1203&lt;&gt;"")*Log!$F$4:$F$1203))=0,"",SUMPRODUCT(MAX((Log!$D$4:$D$1203=$A38)*(Log!$B$4:$B$1203=O$29)*(Log!$E$4:$E$1203="A")*(Log!$F$4:$F$1203&lt;&gt;"")*Log!$F$4:$F$1203))))</f>
        <v>285</v>
      </c>
      <c r="P38" s="86" t="str">
        <f aca="false">IF($A38="","",IF(SUMPRODUCT(MAX((Log!$D$4:$D$1203=$A38)*(Log!$B$4:$B$1203=P$29)*(Log!$E$4:$E$1203="A")*(Log!$F$4:$F$1203&lt;&gt;"")*Log!$F$4:$F$1203))=0,"",SUMPRODUCT(MAX((Log!$D$4:$D$1203=$A38)*(Log!$B$4:$B$1203=P$29)*(Log!$E$4:$E$1203="A")*(Log!$F$4:$F$1203&lt;&gt;"")*Log!$F$4:$F$1203))))</f>
        <v/>
      </c>
      <c r="Q38" s="86" t="str">
        <f aca="false">IF($A38="","",IF(SUMPRODUCT(MAX((Log!$D$4:$D$1203=$A38)*(Log!$B$4:$B$1203=Q$29)*(Log!$E$4:$E$1203="A")*(Log!$F$4:$F$1203&lt;&gt;"")*Log!$F$4:$F$1203))=0,"",SUMPRODUCT(MAX((Log!$D$4:$D$1203=$A38)*(Log!$B$4:$B$1203=Q$29)*(Log!$E$4:$E$1203="A")*(Log!$F$4:$F$1203&lt;&gt;"")*Log!$F$4:$F$1203))))</f>
        <v/>
      </c>
      <c r="R38" s="87" t="n">
        <f aca="false">IF($A38="","",IF(SUMPRODUCT(MAX((Log!$D$4:$D$1203=$A38)*(Log!$E$4:$E$1203="A")*(Log!$F$4:$F$1203&lt;&gt;"")*Log!$F$4:$F$1203))=0,"",SUMPRODUCT(MAX((Log!$D$4:$D$1203=$A38)*(Log!$E$4:$E$1203="A")*(Log!$F$4:$F$1203&lt;&gt;"")*Log!$F$4:$F$1203))))</f>
        <v>290</v>
      </c>
    </row>
    <row r="39" customFormat="false" ht="16.5" hidden="false" customHeight="true" outlineLevel="0" collapsed="false">
      <c r="A39" s="40" t="str">
        <f aca="false">IF(Übungen!$A13="","",Übungen!$A13)</f>
        <v>Hip &amp; Glute</v>
      </c>
      <c r="B39" s="88" t="str">
        <f aca="false">IF($A39="","",IF(SUMPRODUCT(MAX((Log!$D$4:$D$1203=$A39)*(Log!$B$4:$B$1203=B$29)*(Log!$E$4:$E$1203="A")*(Log!$F$4:$F$1203&lt;&gt;"")*Log!$F$4:$F$1203))=0,"",SUMPRODUCT(MAX((Log!$D$4:$D$1203=$A39)*(Log!$B$4:$B$1203=B$29)*(Log!$E$4:$E$1203="A")*(Log!$F$4:$F$1203&lt;&gt;"")*Log!$F$4:$F$1203))))</f>
        <v/>
      </c>
      <c r="C39" s="88" t="str">
        <f aca="false">IF($A39="","",IF(SUMPRODUCT(MAX((Log!$D$4:$D$1203=$A39)*(Log!$B$4:$B$1203=C$29)*(Log!$E$4:$E$1203="A")*(Log!$F$4:$F$1203&lt;&gt;"")*Log!$F$4:$F$1203))=0,"",SUMPRODUCT(MAX((Log!$D$4:$D$1203=$A39)*(Log!$B$4:$B$1203=C$29)*(Log!$E$4:$E$1203="A")*(Log!$F$4:$F$1203&lt;&gt;"")*Log!$F$4:$F$1203))))</f>
        <v/>
      </c>
      <c r="D39" s="88" t="str">
        <f aca="false">IF($A39="","",IF(SUMPRODUCT(MAX((Log!$D$4:$D$1203=$A39)*(Log!$B$4:$B$1203=D$29)*(Log!$E$4:$E$1203="A")*(Log!$F$4:$F$1203&lt;&gt;"")*Log!$F$4:$F$1203))=0,"",SUMPRODUCT(MAX((Log!$D$4:$D$1203=$A39)*(Log!$B$4:$B$1203=D$29)*(Log!$E$4:$E$1203="A")*(Log!$F$4:$F$1203&lt;&gt;"")*Log!$F$4:$F$1203))))</f>
        <v/>
      </c>
      <c r="E39" s="88" t="str">
        <f aca="false">IF($A39="","",IF(SUMPRODUCT(MAX((Log!$D$4:$D$1203=$A39)*(Log!$B$4:$B$1203=E$29)*(Log!$E$4:$E$1203="A")*(Log!$F$4:$F$1203&lt;&gt;"")*Log!$F$4:$F$1203))=0,"",SUMPRODUCT(MAX((Log!$D$4:$D$1203=$A39)*(Log!$B$4:$B$1203=E$29)*(Log!$E$4:$E$1203="A")*(Log!$F$4:$F$1203&lt;&gt;"")*Log!$F$4:$F$1203))))</f>
        <v/>
      </c>
      <c r="F39" s="88" t="str">
        <f aca="false">IF($A39="","",IF(SUMPRODUCT(MAX((Log!$D$4:$D$1203=$A39)*(Log!$B$4:$B$1203=F$29)*(Log!$E$4:$E$1203="A")*(Log!$F$4:$F$1203&lt;&gt;"")*Log!$F$4:$F$1203))=0,"",SUMPRODUCT(MAX((Log!$D$4:$D$1203=$A39)*(Log!$B$4:$B$1203=F$29)*(Log!$E$4:$E$1203="A")*(Log!$F$4:$F$1203&lt;&gt;"")*Log!$F$4:$F$1203))))</f>
        <v/>
      </c>
      <c r="G39" s="88" t="str">
        <f aca="false">IF($A39="","",IF(SUMPRODUCT(MAX((Log!$D$4:$D$1203=$A39)*(Log!$B$4:$B$1203=G$29)*(Log!$E$4:$E$1203="A")*(Log!$F$4:$F$1203&lt;&gt;"")*Log!$F$4:$F$1203))=0,"",SUMPRODUCT(MAX((Log!$D$4:$D$1203=$A39)*(Log!$B$4:$B$1203=G$29)*(Log!$E$4:$E$1203="A")*(Log!$F$4:$F$1203&lt;&gt;"")*Log!$F$4:$F$1203))))</f>
        <v/>
      </c>
      <c r="H39" s="88" t="n">
        <f aca="false">IF($A39="","",IF(SUMPRODUCT(MAX((Log!$D$4:$D$1203=$A39)*(Log!$B$4:$B$1203=H$29)*(Log!$E$4:$E$1203="A")*(Log!$F$4:$F$1203&lt;&gt;"")*Log!$F$4:$F$1203))=0,"",SUMPRODUCT(MAX((Log!$D$4:$D$1203=$A39)*(Log!$B$4:$B$1203=H$29)*(Log!$E$4:$E$1203="A")*(Log!$F$4:$F$1203&lt;&gt;"")*Log!$F$4:$F$1203))))</f>
        <v>141</v>
      </c>
      <c r="I39" s="88" t="str">
        <f aca="false">IF($A39="","",IF(SUMPRODUCT(MAX((Log!$D$4:$D$1203=$A39)*(Log!$B$4:$B$1203=I$29)*(Log!$E$4:$E$1203="A")*(Log!$F$4:$F$1203&lt;&gt;"")*Log!$F$4:$F$1203))=0,"",SUMPRODUCT(MAX((Log!$D$4:$D$1203=$A39)*(Log!$B$4:$B$1203=I$29)*(Log!$E$4:$E$1203="A")*(Log!$F$4:$F$1203&lt;&gt;"")*Log!$F$4:$F$1203))))</f>
        <v/>
      </c>
      <c r="J39" s="88" t="n">
        <f aca="false">IF($A39="","",IF(SUMPRODUCT(MAX((Log!$D$4:$D$1203=$A39)*(Log!$B$4:$B$1203=J$29)*(Log!$E$4:$E$1203="A")*(Log!$F$4:$F$1203&lt;&gt;"")*Log!$F$4:$F$1203))=0,"",SUMPRODUCT(MAX((Log!$D$4:$D$1203=$A39)*(Log!$B$4:$B$1203=J$29)*(Log!$E$4:$E$1203="A")*(Log!$F$4:$F$1203&lt;&gt;"")*Log!$F$4:$F$1203))))</f>
        <v>176</v>
      </c>
      <c r="K39" s="88" t="str">
        <f aca="false">IF($A39="","",IF(SUMPRODUCT(MAX((Log!$D$4:$D$1203=$A39)*(Log!$B$4:$B$1203=K$29)*(Log!$E$4:$E$1203="A")*(Log!$F$4:$F$1203&lt;&gt;"")*Log!$F$4:$F$1203))=0,"",SUMPRODUCT(MAX((Log!$D$4:$D$1203=$A39)*(Log!$B$4:$B$1203=K$29)*(Log!$E$4:$E$1203="A")*(Log!$F$4:$F$1203&lt;&gt;"")*Log!$F$4:$F$1203))))</f>
        <v/>
      </c>
      <c r="L39" s="88" t="n">
        <f aca="false">IF($A39="","",IF(SUMPRODUCT(MAX((Log!$D$4:$D$1203=$A39)*(Log!$B$4:$B$1203=L$29)*(Log!$E$4:$E$1203="A")*(Log!$F$4:$F$1203&lt;&gt;"")*Log!$F$4:$F$1203))=0,"",SUMPRODUCT(MAX((Log!$D$4:$D$1203=$A39)*(Log!$B$4:$B$1203=L$29)*(Log!$E$4:$E$1203="A")*(Log!$F$4:$F$1203&lt;&gt;"")*Log!$F$4:$F$1203))))</f>
        <v>173</v>
      </c>
      <c r="M39" s="88" t="str">
        <f aca="false">IF($A39="","",IF(SUMPRODUCT(MAX((Log!$D$4:$D$1203=$A39)*(Log!$B$4:$B$1203=M$29)*(Log!$E$4:$E$1203="A")*(Log!$F$4:$F$1203&lt;&gt;"")*Log!$F$4:$F$1203))=0,"",SUMPRODUCT(MAX((Log!$D$4:$D$1203=$A39)*(Log!$B$4:$B$1203=M$29)*(Log!$E$4:$E$1203="A")*(Log!$F$4:$F$1203&lt;&gt;"")*Log!$F$4:$F$1203))))</f>
        <v/>
      </c>
      <c r="N39" s="88" t="n">
        <f aca="false">IF($A39="","",IF(SUMPRODUCT(MAX((Log!$D$4:$D$1203=$A39)*(Log!$B$4:$B$1203=N$29)*(Log!$E$4:$E$1203="A")*(Log!$F$4:$F$1203&lt;&gt;"")*Log!$F$4:$F$1203))=0,"",SUMPRODUCT(MAX((Log!$D$4:$D$1203=$A39)*(Log!$B$4:$B$1203=N$29)*(Log!$E$4:$E$1203="A")*(Log!$F$4:$F$1203&lt;&gt;"")*Log!$F$4:$F$1203))))</f>
        <v>168</v>
      </c>
      <c r="O39" s="88" t="n">
        <f aca="false">IF($A39="","",IF(SUMPRODUCT(MAX((Log!$D$4:$D$1203=$A39)*(Log!$B$4:$B$1203=O$29)*(Log!$E$4:$E$1203="A")*(Log!$F$4:$F$1203&lt;&gt;"")*Log!$F$4:$F$1203))=0,"",SUMPRODUCT(MAX((Log!$D$4:$D$1203=$A39)*(Log!$B$4:$B$1203=O$29)*(Log!$E$4:$E$1203="A")*(Log!$F$4:$F$1203&lt;&gt;"")*Log!$F$4:$F$1203))))</f>
        <v>170</v>
      </c>
      <c r="P39" s="88" t="str">
        <f aca="false">IF($A39="","",IF(SUMPRODUCT(MAX((Log!$D$4:$D$1203=$A39)*(Log!$B$4:$B$1203=P$29)*(Log!$E$4:$E$1203="A")*(Log!$F$4:$F$1203&lt;&gt;"")*Log!$F$4:$F$1203))=0,"",SUMPRODUCT(MAX((Log!$D$4:$D$1203=$A39)*(Log!$B$4:$B$1203=P$29)*(Log!$E$4:$E$1203="A")*(Log!$F$4:$F$1203&lt;&gt;"")*Log!$F$4:$F$1203))))</f>
        <v/>
      </c>
      <c r="Q39" s="88" t="str">
        <f aca="false">IF($A39="","",IF(SUMPRODUCT(MAX((Log!$D$4:$D$1203=$A39)*(Log!$B$4:$B$1203=Q$29)*(Log!$E$4:$E$1203="A")*(Log!$F$4:$F$1203&lt;&gt;"")*Log!$F$4:$F$1203))=0,"",SUMPRODUCT(MAX((Log!$D$4:$D$1203=$A39)*(Log!$B$4:$B$1203=Q$29)*(Log!$E$4:$E$1203="A")*(Log!$F$4:$F$1203&lt;&gt;"")*Log!$F$4:$F$1203))))</f>
        <v/>
      </c>
      <c r="R39" s="87" t="n">
        <f aca="false">IF($A39="","",IF(SUMPRODUCT(MAX((Log!$D$4:$D$1203=$A39)*(Log!$E$4:$E$1203="A")*(Log!$F$4:$F$1203&lt;&gt;"")*Log!$F$4:$F$1203))=0,"",SUMPRODUCT(MAX((Log!$D$4:$D$1203=$A39)*(Log!$E$4:$E$1203="A")*(Log!$F$4:$F$1203&lt;&gt;"")*Log!$F$4:$F$1203))))</f>
        <v>176</v>
      </c>
    </row>
    <row r="40" customFormat="false" ht="16.5" hidden="false" customHeight="true" outlineLevel="0" collapsed="false">
      <c r="A40" s="34" t="str">
        <f aca="false">IF(Übungen!$A14="","",Übungen!$A14)</f>
        <v>Beinbeuger</v>
      </c>
      <c r="B40" s="86" t="n">
        <f aca="false">IF($A40="","",IF(SUMPRODUCT(MAX((Log!$D$4:$D$1203=$A40)*(Log!$B$4:$B$1203=B$29)*(Log!$E$4:$E$1203="A")*(Log!$F$4:$F$1203&lt;&gt;"")*Log!$F$4:$F$1203))=0,"",SUMPRODUCT(MAX((Log!$D$4:$D$1203=$A40)*(Log!$B$4:$B$1203=B$29)*(Log!$E$4:$E$1203="A")*(Log!$F$4:$F$1203&lt;&gt;"")*Log!$F$4:$F$1203))))</f>
        <v>50</v>
      </c>
      <c r="C40" s="86" t="n">
        <f aca="false">IF($A40="","",IF(SUMPRODUCT(MAX((Log!$D$4:$D$1203=$A40)*(Log!$B$4:$B$1203=C$29)*(Log!$E$4:$E$1203="A")*(Log!$F$4:$F$1203&lt;&gt;"")*Log!$F$4:$F$1203))=0,"",SUMPRODUCT(MAX((Log!$D$4:$D$1203=$A40)*(Log!$B$4:$B$1203=C$29)*(Log!$E$4:$E$1203="A")*(Log!$F$4:$F$1203&lt;&gt;"")*Log!$F$4:$F$1203))))</f>
        <v>55</v>
      </c>
      <c r="D40" s="86" t="n">
        <f aca="false">IF($A40="","",IF(SUMPRODUCT(MAX((Log!$D$4:$D$1203=$A40)*(Log!$B$4:$B$1203=D$29)*(Log!$E$4:$E$1203="A")*(Log!$F$4:$F$1203&lt;&gt;"")*Log!$F$4:$F$1203))=0,"",SUMPRODUCT(MAX((Log!$D$4:$D$1203=$A40)*(Log!$B$4:$B$1203=D$29)*(Log!$E$4:$E$1203="A")*(Log!$F$4:$F$1203&lt;&gt;"")*Log!$F$4:$F$1203))))</f>
        <v>45</v>
      </c>
      <c r="E40" s="86" t="str">
        <f aca="false">IF($A40="","",IF(SUMPRODUCT(MAX((Log!$D$4:$D$1203=$A40)*(Log!$B$4:$B$1203=E$29)*(Log!$E$4:$E$1203="A")*(Log!$F$4:$F$1203&lt;&gt;"")*Log!$F$4:$F$1203))=0,"",SUMPRODUCT(MAX((Log!$D$4:$D$1203=$A40)*(Log!$B$4:$B$1203=E$29)*(Log!$E$4:$E$1203="A")*(Log!$F$4:$F$1203&lt;&gt;"")*Log!$F$4:$F$1203))))</f>
        <v/>
      </c>
      <c r="F40" s="86" t="n">
        <f aca="false">IF($A40="","",IF(SUMPRODUCT(MAX((Log!$D$4:$D$1203=$A40)*(Log!$B$4:$B$1203=F$29)*(Log!$E$4:$E$1203="A")*(Log!$F$4:$F$1203&lt;&gt;"")*Log!$F$4:$F$1203))=0,"",SUMPRODUCT(MAX((Log!$D$4:$D$1203=$A40)*(Log!$B$4:$B$1203=F$29)*(Log!$E$4:$E$1203="A")*(Log!$F$4:$F$1203&lt;&gt;"")*Log!$F$4:$F$1203))))</f>
        <v>45</v>
      </c>
      <c r="G40" s="86" t="str">
        <f aca="false">IF($A40="","",IF(SUMPRODUCT(MAX((Log!$D$4:$D$1203=$A40)*(Log!$B$4:$B$1203=G$29)*(Log!$E$4:$E$1203="A")*(Log!$F$4:$F$1203&lt;&gt;"")*Log!$F$4:$F$1203))=0,"",SUMPRODUCT(MAX((Log!$D$4:$D$1203=$A40)*(Log!$B$4:$B$1203=G$29)*(Log!$E$4:$E$1203="A")*(Log!$F$4:$F$1203&lt;&gt;"")*Log!$F$4:$F$1203))))</f>
        <v/>
      </c>
      <c r="H40" s="86" t="n">
        <f aca="false">IF($A40="","",IF(SUMPRODUCT(MAX((Log!$D$4:$D$1203=$A40)*(Log!$B$4:$B$1203=H$29)*(Log!$E$4:$E$1203="A")*(Log!$F$4:$F$1203&lt;&gt;"")*Log!$F$4:$F$1203))=0,"",SUMPRODUCT(MAX((Log!$D$4:$D$1203=$A40)*(Log!$B$4:$B$1203=H$29)*(Log!$E$4:$E$1203="A")*(Log!$F$4:$F$1203&lt;&gt;"")*Log!$F$4:$F$1203))))</f>
        <v>52.5</v>
      </c>
      <c r="I40" s="86" t="str">
        <f aca="false">IF($A40="","",IF(SUMPRODUCT(MAX((Log!$D$4:$D$1203=$A40)*(Log!$B$4:$B$1203=I$29)*(Log!$E$4:$E$1203="A")*(Log!$F$4:$F$1203&lt;&gt;"")*Log!$F$4:$F$1203))=0,"",SUMPRODUCT(MAX((Log!$D$4:$D$1203=$A40)*(Log!$B$4:$B$1203=I$29)*(Log!$E$4:$E$1203="A")*(Log!$F$4:$F$1203&lt;&gt;"")*Log!$F$4:$F$1203))))</f>
        <v/>
      </c>
      <c r="J40" s="86" t="n">
        <f aca="false">IF($A40="","",IF(SUMPRODUCT(MAX((Log!$D$4:$D$1203=$A40)*(Log!$B$4:$B$1203=J$29)*(Log!$E$4:$E$1203="A")*(Log!$F$4:$F$1203&lt;&gt;"")*Log!$F$4:$F$1203))=0,"",SUMPRODUCT(MAX((Log!$D$4:$D$1203=$A40)*(Log!$B$4:$B$1203=J$29)*(Log!$E$4:$E$1203="A")*(Log!$F$4:$F$1203&lt;&gt;"")*Log!$F$4:$F$1203))))</f>
        <v>57.5</v>
      </c>
      <c r="K40" s="86" t="str">
        <f aca="false">IF($A40="","",IF(SUMPRODUCT(MAX((Log!$D$4:$D$1203=$A40)*(Log!$B$4:$B$1203=K$29)*(Log!$E$4:$E$1203="A")*(Log!$F$4:$F$1203&lt;&gt;"")*Log!$F$4:$F$1203))=0,"",SUMPRODUCT(MAX((Log!$D$4:$D$1203=$A40)*(Log!$B$4:$B$1203=K$29)*(Log!$E$4:$E$1203="A")*(Log!$F$4:$F$1203&lt;&gt;"")*Log!$F$4:$F$1203))))</f>
        <v/>
      </c>
      <c r="L40" s="86" t="str">
        <f aca="false">IF($A40="","",IF(SUMPRODUCT(MAX((Log!$D$4:$D$1203=$A40)*(Log!$B$4:$B$1203=L$29)*(Log!$E$4:$E$1203="A")*(Log!$F$4:$F$1203&lt;&gt;"")*Log!$F$4:$F$1203))=0,"",SUMPRODUCT(MAX((Log!$D$4:$D$1203=$A40)*(Log!$B$4:$B$1203=L$29)*(Log!$E$4:$E$1203="A")*(Log!$F$4:$F$1203&lt;&gt;"")*Log!$F$4:$F$1203))))</f>
        <v/>
      </c>
      <c r="M40" s="86" t="str">
        <f aca="false">IF($A40="","",IF(SUMPRODUCT(MAX((Log!$D$4:$D$1203=$A40)*(Log!$B$4:$B$1203=M$29)*(Log!$E$4:$E$1203="A")*(Log!$F$4:$F$1203&lt;&gt;"")*Log!$F$4:$F$1203))=0,"",SUMPRODUCT(MAX((Log!$D$4:$D$1203=$A40)*(Log!$B$4:$B$1203=M$29)*(Log!$E$4:$E$1203="A")*(Log!$F$4:$F$1203&lt;&gt;"")*Log!$F$4:$F$1203))))</f>
        <v/>
      </c>
      <c r="N40" s="86" t="n">
        <f aca="false">IF($A40="","",IF(SUMPRODUCT(MAX((Log!$D$4:$D$1203=$A40)*(Log!$B$4:$B$1203=N$29)*(Log!$E$4:$E$1203="A")*(Log!$F$4:$F$1203&lt;&gt;"")*Log!$F$4:$F$1203))=0,"",SUMPRODUCT(MAX((Log!$D$4:$D$1203=$A40)*(Log!$B$4:$B$1203=N$29)*(Log!$E$4:$E$1203="A")*(Log!$F$4:$F$1203&lt;&gt;"")*Log!$F$4:$F$1203))))</f>
        <v>42.5</v>
      </c>
      <c r="O40" s="86" t="n">
        <f aca="false">IF($A40="","",IF(SUMPRODUCT(MAX((Log!$D$4:$D$1203=$A40)*(Log!$B$4:$B$1203=O$29)*(Log!$E$4:$E$1203="A")*(Log!$F$4:$F$1203&lt;&gt;"")*Log!$F$4:$F$1203))=0,"",SUMPRODUCT(MAX((Log!$D$4:$D$1203=$A40)*(Log!$B$4:$B$1203=O$29)*(Log!$E$4:$E$1203="A")*(Log!$F$4:$F$1203&lt;&gt;"")*Log!$F$4:$F$1203))))</f>
        <v>45</v>
      </c>
      <c r="P40" s="86" t="str">
        <f aca="false">IF($A40="","",IF(SUMPRODUCT(MAX((Log!$D$4:$D$1203=$A40)*(Log!$B$4:$B$1203=P$29)*(Log!$E$4:$E$1203="A")*(Log!$F$4:$F$1203&lt;&gt;"")*Log!$F$4:$F$1203))=0,"",SUMPRODUCT(MAX((Log!$D$4:$D$1203=$A40)*(Log!$B$4:$B$1203=P$29)*(Log!$E$4:$E$1203="A")*(Log!$F$4:$F$1203&lt;&gt;"")*Log!$F$4:$F$1203))))</f>
        <v/>
      </c>
      <c r="Q40" s="86" t="str">
        <f aca="false">IF($A40="","",IF(SUMPRODUCT(MAX((Log!$D$4:$D$1203=$A40)*(Log!$B$4:$B$1203=Q$29)*(Log!$E$4:$E$1203="A")*(Log!$F$4:$F$1203&lt;&gt;"")*Log!$F$4:$F$1203))=0,"",SUMPRODUCT(MAX((Log!$D$4:$D$1203=$A40)*(Log!$B$4:$B$1203=Q$29)*(Log!$E$4:$E$1203="A")*(Log!$F$4:$F$1203&lt;&gt;"")*Log!$F$4:$F$1203))))</f>
        <v/>
      </c>
      <c r="R40" s="87" t="n">
        <f aca="false">IF($A40="","",IF(SUMPRODUCT(MAX((Log!$D$4:$D$1203=$A40)*(Log!$E$4:$E$1203="A")*(Log!$F$4:$F$1203&lt;&gt;"")*Log!$F$4:$F$1203))=0,"",SUMPRODUCT(MAX((Log!$D$4:$D$1203=$A40)*(Log!$E$4:$E$1203="A")*(Log!$F$4:$F$1203&lt;&gt;"")*Log!$F$4:$F$1203))))</f>
        <v>57.5</v>
      </c>
    </row>
    <row r="41" customFormat="false" ht="16.5" hidden="false" customHeight="true" outlineLevel="0" collapsed="false">
      <c r="A41" s="40" t="str">
        <f aca="false">IF(Übungen!$A15="","",Übungen!$A15)</f>
        <v>Seitliche Kickbacks</v>
      </c>
      <c r="B41" s="88" t="n">
        <f aca="false">IF($A41="","",IF(SUMPRODUCT(MAX((Log!$D$4:$D$1203=$A41)*(Log!$B$4:$B$1203=B$29)*(Log!$E$4:$E$1203="A")*(Log!$F$4:$F$1203&lt;&gt;"")*Log!$F$4:$F$1203))=0,"",SUMPRODUCT(MAX((Log!$D$4:$D$1203=$A41)*(Log!$B$4:$B$1203=B$29)*(Log!$E$4:$E$1203="A")*(Log!$F$4:$F$1203&lt;&gt;"")*Log!$F$4:$F$1203))))</f>
        <v>49</v>
      </c>
      <c r="C41" s="88" t="n">
        <f aca="false">IF($A41="","",IF(SUMPRODUCT(MAX((Log!$D$4:$D$1203=$A41)*(Log!$B$4:$B$1203=C$29)*(Log!$E$4:$E$1203="A")*(Log!$F$4:$F$1203&lt;&gt;"")*Log!$F$4:$F$1203))=0,"",SUMPRODUCT(MAX((Log!$D$4:$D$1203=$A41)*(Log!$B$4:$B$1203=C$29)*(Log!$E$4:$E$1203="A")*(Log!$F$4:$F$1203&lt;&gt;"")*Log!$F$4:$F$1203))))</f>
        <v>35</v>
      </c>
      <c r="D41" s="88" t="str">
        <f aca="false">IF($A41="","",IF(SUMPRODUCT(MAX((Log!$D$4:$D$1203=$A41)*(Log!$B$4:$B$1203=D$29)*(Log!$E$4:$E$1203="A")*(Log!$F$4:$F$1203&lt;&gt;"")*Log!$F$4:$F$1203))=0,"",SUMPRODUCT(MAX((Log!$D$4:$D$1203=$A41)*(Log!$B$4:$B$1203=D$29)*(Log!$E$4:$E$1203="A")*(Log!$F$4:$F$1203&lt;&gt;"")*Log!$F$4:$F$1203))))</f>
        <v/>
      </c>
      <c r="E41" s="88" t="str">
        <f aca="false">IF($A41="","",IF(SUMPRODUCT(MAX((Log!$D$4:$D$1203=$A41)*(Log!$B$4:$B$1203=E$29)*(Log!$E$4:$E$1203="A")*(Log!$F$4:$F$1203&lt;&gt;"")*Log!$F$4:$F$1203))=0,"",SUMPRODUCT(MAX((Log!$D$4:$D$1203=$A41)*(Log!$B$4:$B$1203=E$29)*(Log!$E$4:$E$1203="A")*(Log!$F$4:$F$1203&lt;&gt;"")*Log!$F$4:$F$1203))))</f>
        <v/>
      </c>
      <c r="F41" s="88" t="n">
        <f aca="false">IF($A41="","",IF(SUMPRODUCT(MAX((Log!$D$4:$D$1203=$A41)*(Log!$B$4:$B$1203=F$29)*(Log!$E$4:$E$1203="A")*(Log!$F$4:$F$1203&lt;&gt;"")*Log!$F$4:$F$1203))=0,"",SUMPRODUCT(MAX((Log!$D$4:$D$1203=$A41)*(Log!$B$4:$B$1203=F$29)*(Log!$E$4:$E$1203="A")*(Log!$F$4:$F$1203&lt;&gt;"")*Log!$F$4:$F$1203))))</f>
        <v>36</v>
      </c>
      <c r="G41" s="88" t="str">
        <f aca="false">IF($A41="","",IF(SUMPRODUCT(MAX((Log!$D$4:$D$1203=$A41)*(Log!$B$4:$B$1203=G$29)*(Log!$E$4:$E$1203="A")*(Log!$F$4:$F$1203&lt;&gt;"")*Log!$F$4:$F$1203))=0,"",SUMPRODUCT(MAX((Log!$D$4:$D$1203=$A41)*(Log!$B$4:$B$1203=G$29)*(Log!$E$4:$E$1203="A")*(Log!$F$4:$F$1203&lt;&gt;"")*Log!$F$4:$F$1203))))</f>
        <v/>
      </c>
      <c r="H41" s="88" t="str">
        <f aca="false">IF($A41="","",IF(SUMPRODUCT(MAX((Log!$D$4:$D$1203=$A41)*(Log!$B$4:$B$1203=H$29)*(Log!$E$4:$E$1203="A")*(Log!$F$4:$F$1203&lt;&gt;"")*Log!$F$4:$F$1203))=0,"",SUMPRODUCT(MAX((Log!$D$4:$D$1203=$A41)*(Log!$B$4:$B$1203=H$29)*(Log!$E$4:$E$1203="A")*(Log!$F$4:$F$1203&lt;&gt;"")*Log!$F$4:$F$1203))))</f>
        <v/>
      </c>
      <c r="I41" s="88" t="str">
        <f aca="false">IF($A41="","",IF(SUMPRODUCT(MAX((Log!$D$4:$D$1203=$A41)*(Log!$B$4:$B$1203=I$29)*(Log!$E$4:$E$1203="A")*(Log!$F$4:$F$1203&lt;&gt;"")*Log!$F$4:$F$1203))=0,"",SUMPRODUCT(MAX((Log!$D$4:$D$1203=$A41)*(Log!$B$4:$B$1203=I$29)*(Log!$E$4:$E$1203="A")*(Log!$F$4:$F$1203&lt;&gt;"")*Log!$F$4:$F$1203))))</f>
        <v/>
      </c>
      <c r="J41" s="88" t="str">
        <f aca="false">IF($A41="","",IF(SUMPRODUCT(MAX((Log!$D$4:$D$1203=$A41)*(Log!$B$4:$B$1203=J$29)*(Log!$E$4:$E$1203="A")*(Log!$F$4:$F$1203&lt;&gt;"")*Log!$F$4:$F$1203))=0,"",SUMPRODUCT(MAX((Log!$D$4:$D$1203=$A41)*(Log!$B$4:$B$1203=J$29)*(Log!$E$4:$E$1203="A")*(Log!$F$4:$F$1203&lt;&gt;"")*Log!$F$4:$F$1203))))</f>
        <v/>
      </c>
      <c r="K41" s="88" t="str">
        <f aca="false">IF($A41="","",IF(SUMPRODUCT(MAX((Log!$D$4:$D$1203=$A41)*(Log!$B$4:$B$1203=K$29)*(Log!$E$4:$E$1203="A")*(Log!$F$4:$F$1203&lt;&gt;"")*Log!$F$4:$F$1203))=0,"",SUMPRODUCT(MAX((Log!$D$4:$D$1203=$A41)*(Log!$B$4:$B$1203=K$29)*(Log!$E$4:$E$1203="A")*(Log!$F$4:$F$1203&lt;&gt;"")*Log!$F$4:$F$1203))))</f>
        <v/>
      </c>
      <c r="L41" s="88" t="str">
        <f aca="false">IF($A41="","",IF(SUMPRODUCT(MAX((Log!$D$4:$D$1203=$A41)*(Log!$B$4:$B$1203=L$29)*(Log!$E$4:$E$1203="A")*(Log!$F$4:$F$1203&lt;&gt;"")*Log!$F$4:$F$1203))=0,"",SUMPRODUCT(MAX((Log!$D$4:$D$1203=$A41)*(Log!$B$4:$B$1203=L$29)*(Log!$E$4:$E$1203="A")*(Log!$F$4:$F$1203&lt;&gt;"")*Log!$F$4:$F$1203))))</f>
        <v/>
      </c>
      <c r="M41" s="88" t="str">
        <f aca="false">IF($A41="","",IF(SUMPRODUCT(MAX((Log!$D$4:$D$1203=$A41)*(Log!$B$4:$B$1203=M$29)*(Log!$E$4:$E$1203="A")*(Log!$F$4:$F$1203&lt;&gt;"")*Log!$F$4:$F$1203))=0,"",SUMPRODUCT(MAX((Log!$D$4:$D$1203=$A41)*(Log!$B$4:$B$1203=M$29)*(Log!$E$4:$E$1203="A")*(Log!$F$4:$F$1203&lt;&gt;"")*Log!$F$4:$F$1203))))</f>
        <v/>
      </c>
      <c r="N41" s="88" t="str">
        <f aca="false">IF($A41="","",IF(SUMPRODUCT(MAX((Log!$D$4:$D$1203=$A41)*(Log!$B$4:$B$1203=N$29)*(Log!$E$4:$E$1203="A")*(Log!$F$4:$F$1203&lt;&gt;"")*Log!$F$4:$F$1203))=0,"",SUMPRODUCT(MAX((Log!$D$4:$D$1203=$A41)*(Log!$B$4:$B$1203=N$29)*(Log!$E$4:$E$1203="A")*(Log!$F$4:$F$1203&lt;&gt;"")*Log!$F$4:$F$1203))))</f>
        <v/>
      </c>
      <c r="O41" s="88" t="str">
        <f aca="false">IF($A41="","",IF(SUMPRODUCT(MAX((Log!$D$4:$D$1203=$A41)*(Log!$B$4:$B$1203=O$29)*(Log!$E$4:$E$1203="A")*(Log!$F$4:$F$1203&lt;&gt;"")*Log!$F$4:$F$1203))=0,"",SUMPRODUCT(MAX((Log!$D$4:$D$1203=$A41)*(Log!$B$4:$B$1203=O$29)*(Log!$E$4:$E$1203="A")*(Log!$F$4:$F$1203&lt;&gt;"")*Log!$F$4:$F$1203))))</f>
        <v/>
      </c>
      <c r="P41" s="88" t="str">
        <f aca="false">IF($A41="","",IF(SUMPRODUCT(MAX((Log!$D$4:$D$1203=$A41)*(Log!$B$4:$B$1203=P$29)*(Log!$E$4:$E$1203="A")*(Log!$F$4:$F$1203&lt;&gt;"")*Log!$F$4:$F$1203))=0,"",SUMPRODUCT(MAX((Log!$D$4:$D$1203=$A41)*(Log!$B$4:$B$1203=P$29)*(Log!$E$4:$E$1203="A")*(Log!$F$4:$F$1203&lt;&gt;"")*Log!$F$4:$F$1203))))</f>
        <v/>
      </c>
      <c r="Q41" s="88" t="str">
        <f aca="false">IF($A41="","",IF(SUMPRODUCT(MAX((Log!$D$4:$D$1203=$A41)*(Log!$B$4:$B$1203=Q$29)*(Log!$E$4:$E$1203="A")*(Log!$F$4:$F$1203&lt;&gt;"")*Log!$F$4:$F$1203))=0,"",SUMPRODUCT(MAX((Log!$D$4:$D$1203=$A41)*(Log!$B$4:$B$1203=Q$29)*(Log!$E$4:$E$1203="A")*(Log!$F$4:$F$1203&lt;&gt;"")*Log!$F$4:$F$1203))))</f>
        <v/>
      </c>
      <c r="R41" s="87" t="n">
        <f aca="false">IF($A41="","",IF(SUMPRODUCT(MAX((Log!$D$4:$D$1203=$A41)*(Log!$E$4:$E$1203="A")*(Log!$F$4:$F$1203&lt;&gt;"")*Log!$F$4:$F$1203))=0,"",SUMPRODUCT(MAX((Log!$D$4:$D$1203=$A41)*(Log!$E$4:$E$1203="A")*(Log!$F$4:$F$1203&lt;&gt;"")*Log!$F$4:$F$1203))))</f>
        <v>49</v>
      </c>
    </row>
    <row r="42" customFormat="false" ht="16.5" hidden="false" customHeight="true" outlineLevel="0" collapsed="false">
      <c r="A42" s="34" t="str">
        <f aca="false">IF(Übungen!$A16="","",Übungen!$A16)</f>
        <v>Waden</v>
      </c>
      <c r="B42" s="86" t="n">
        <f aca="false">IF($A42="","",IF(SUMPRODUCT(MAX((Log!$D$4:$D$1203=$A42)*(Log!$B$4:$B$1203=B$29)*(Log!$E$4:$E$1203="A")*(Log!$F$4:$F$1203&lt;&gt;"")*Log!$F$4:$F$1203))=0,"",SUMPRODUCT(MAX((Log!$D$4:$D$1203=$A42)*(Log!$B$4:$B$1203=B$29)*(Log!$E$4:$E$1203="A")*(Log!$F$4:$F$1203&lt;&gt;"")*Log!$F$4:$F$1203))))</f>
        <v>145</v>
      </c>
      <c r="C42" s="86" t="n">
        <f aca="false">IF($A42="","",IF(SUMPRODUCT(MAX((Log!$D$4:$D$1203=$A42)*(Log!$B$4:$B$1203=C$29)*(Log!$E$4:$E$1203="A")*(Log!$F$4:$F$1203&lt;&gt;"")*Log!$F$4:$F$1203))=0,"",SUMPRODUCT(MAX((Log!$D$4:$D$1203=$A42)*(Log!$B$4:$B$1203=C$29)*(Log!$E$4:$E$1203="A")*(Log!$F$4:$F$1203&lt;&gt;"")*Log!$F$4:$F$1203))))</f>
        <v>150</v>
      </c>
      <c r="D42" s="86" t="str">
        <f aca="false">IF($A42="","",IF(SUMPRODUCT(MAX((Log!$D$4:$D$1203=$A42)*(Log!$B$4:$B$1203=D$29)*(Log!$E$4:$E$1203="A")*(Log!$F$4:$F$1203&lt;&gt;"")*Log!$F$4:$F$1203))=0,"",SUMPRODUCT(MAX((Log!$D$4:$D$1203=$A42)*(Log!$B$4:$B$1203=D$29)*(Log!$E$4:$E$1203="A")*(Log!$F$4:$F$1203&lt;&gt;"")*Log!$F$4:$F$1203))))</f>
        <v/>
      </c>
      <c r="E42" s="86" t="str">
        <f aca="false">IF($A42="","",IF(SUMPRODUCT(MAX((Log!$D$4:$D$1203=$A42)*(Log!$B$4:$B$1203=E$29)*(Log!$E$4:$E$1203="A")*(Log!$F$4:$F$1203&lt;&gt;"")*Log!$F$4:$F$1203))=0,"",SUMPRODUCT(MAX((Log!$D$4:$D$1203=$A42)*(Log!$B$4:$B$1203=E$29)*(Log!$E$4:$E$1203="A")*(Log!$F$4:$F$1203&lt;&gt;"")*Log!$F$4:$F$1203))))</f>
        <v/>
      </c>
      <c r="F42" s="86" t="n">
        <f aca="false">IF($A42="","",IF(SUMPRODUCT(MAX((Log!$D$4:$D$1203=$A42)*(Log!$B$4:$B$1203=F$29)*(Log!$E$4:$E$1203="A")*(Log!$F$4:$F$1203&lt;&gt;"")*Log!$F$4:$F$1203))=0,"",SUMPRODUCT(MAX((Log!$D$4:$D$1203=$A42)*(Log!$B$4:$B$1203=F$29)*(Log!$E$4:$E$1203="A")*(Log!$F$4:$F$1203&lt;&gt;"")*Log!$F$4:$F$1203))))</f>
        <v>135</v>
      </c>
      <c r="G42" s="86" t="str">
        <f aca="false">IF($A42="","",IF(SUMPRODUCT(MAX((Log!$D$4:$D$1203=$A42)*(Log!$B$4:$B$1203=G$29)*(Log!$E$4:$E$1203="A")*(Log!$F$4:$F$1203&lt;&gt;"")*Log!$F$4:$F$1203))=0,"",SUMPRODUCT(MAX((Log!$D$4:$D$1203=$A42)*(Log!$B$4:$B$1203=G$29)*(Log!$E$4:$E$1203="A")*(Log!$F$4:$F$1203&lt;&gt;"")*Log!$F$4:$F$1203))))</f>
        <v/>
      </c>
      <c r="H42" s="86" t="n">
        <f aca="false">IF($A42="","",IF(SUMPRODUCT(MAX((Log!$D$4:$D$1203=$A42)*(Log!$B$4:$B$1203=H$29)*(Log!$E$4:$E$1203="A")*(Log!$F$4:$F$1203&lt;&gt;"")*Log!$F$4:$F$1203))=0,"",SUMPRODUCT(MAX((Log!$D$4:$D$1203=$A42)*(Log!$B$4:$B$1203=H$29)*(Log!$E$4:$E$1203="A")*(Log!$F$4:$F$1203&lt;&gt;"")*Log!$F$4:$F$1203))))</f>
        <v>160</v>
      </c>
      <c r="I42" s="86" t="str">
        <f aca="false">IF($A42="","",IF(SUMPRODUCT(MAX((Log!$D$4:$D$1203=$A42)*(Log!$B$4:$B$1203=I$29)*(Log!$E$4:$E$1203="A")*(Log!$F$4:$F$1203&lt;&gt;"")*Log!$F$4:$F$1203))=0,"",SUMPRODUCT(MAX((Log!$D$4:$D$1203=$A42)*(Log!$B$4:$B$1203=I$29)*(Log!$E$4:$E$1203="A")*(Log!$F$4:$F$1203&lt;&gt;"")*Log!$F$4:$F$1203))))</f>
        <v/>
      </c>
      <c r="J42" s="86" t="n">
        <f aca="false">IF($A42="","",IF(SUMPRODUCT(MAX((Log!$D$4:$D$1203=$A42)*(Log!$B$4:$B$1203=J$29)*(Log!$E$4:$E$1203="A")*(Log!$F$4:$F$1203&lt;&gt;"")*Log!$F$4:$F$1203))=0,"",SUMPRODUCT(MAX((Log!$D$4:$D$1203=$A42)*(Log!$B$4:$B$1203=J$29)*(Log!$E$4:$E$1203="A")*(Log!$F$4:$F$1203&lt;&gt;"")*Log!$F$4:$F$1203))))</f>
        <v>165</v>
      </c>
      <c r="K42" s="86" t="str">
        <f aca="false">IF($A42="","",IF(SUMPRODUCT(MAX((Log!$D$4:$D$1203=$A42)*(Log!$B$4:$B$1203=K$29)*(Log!$E$4:$E$1203="A")*(Log!$F$4:$F$1203&lt;&gt;"")*Log!$F$4:$F$1203))=0,"",SUMPRODUCT(MAX((Log!$D$4:$D$1203=$A42)*(Log!$B$4:$B$1203=K$29)*(Log!$E$4:$E$1203="A")*(Log!$F$4:$F$1203&lt;&gt;"")*Log!$F$4:$F$1203))))</f>
        <v/>
      </c>
      <c r="L42" s="86" t="n">
        <f aca="false">IF($A42="","",IF(SUMPRODUCT(MAX((Log!$D$4:$D$1203=$A42)*(Log!$B$4:$B$1203=L$29)*(Log!$E$4:$E$1203="A")*(Log!$F$4:$F$1203&lt;&gt;"")*Log!$F$4:$F$1203))=0,"",SUMPRODUCT(MAX((Log!$D$4:$D$1203=$A42)*(Log!$B$4:$B$1203=L$29)*(Log!$E$4:$E$1203="A")*(Log!$F$4:$F$1203&lt;&gt;"")*Log!$F$4:$F$1203))))</f>
        <v>165</v>
      </c>
      <c r="M42" s="86" t="str">
        <f aca="false">IF($A42="","",IF(SUMPRODUCT(MAX((Log!$D$4:$D$1203=$A42)*(Log!$B$4:$B$1203=M$29)*(Log!$E$4:$E$1203="A")*(Log!$F$4:$F$1203&lt;&gt;"")*Log!$F$4:$F$1203))=0,"",SUMPRODUCT(MAX((Log!$D$4:$D$1203=$A42)*(Log!$B$4:$B$1203=M$29)*(Log!$E$4:$E$1203="A")*(Log!$F$4:$F$1203&lt;&gt;"")*Log!$F$4:$F$1203))))</f>
        <v/>
      </c>
      <c r="N42" s="86" t="n">
        <f aca="false">IF($A42="","",IF(SUMPRODUCT(MAX((Log!$D$4:$D$1203=$A42)*(Log!$B$4:$B$1203=N$29)*(Log!$E$4:$E$1203="A")*(Log!$F$4:$F$1203&lt;&gt;"")*Log!$F$4:$F$1203))=0,"",SUMPRODUCT(MAX((Log!$D$4:$D$1203=$A42)*(Log!$B$4:$B$1203=N$29)*(Log!$E$4:$E$1203="A")*(Log!$F$4:$F$1203&lt;&gt;"")*Log!$F$4:$F$1203))))</f>
        <v>185</v>
      </c>
      <c r="O42" s="86" t="n">
        <f aca="false">IF($A42="","",IF(SUMPRODUCT(MAX((Log!$D$4:$D$1203=$A42)*(Log!$B$4:$B$1203=O$29)*(Log!$E$4:$E$1203="A")*(Log!$F$4:$F$1203&lt;&gt;"")*Log!$F$4:$F$1203))=0,"",SUMPRODUCT(MAX((Log!$D$4:$D$1203=$A42)*(Log!$B$4:$B$1203=O$29)*(Log!$E$4:$E$1203="A")*(Log!$F$4:$F$1203&lt;&gt;"")*Log!$F$4:$F$1203))))</f>
        <v>190</v>
      </c>
      <c r="P42" s="86" t="str">
        <f aca="false">IF($A42="","",IF(SUMPRODUCT(MAX((Log!$D$4:$D$1203=$A42)*(Log!$B$4:$B$1203=P$29)*(Log!$E$4:$E$1203="A")*(Log!$F$4:$F$1203&lt;&gt;"")*Log!$F$4:$F$1203))=0,"",SUMPRODUCT(MAX((Log!$D$4:$D$1203=$A42)*(Log!$B$4:$B$1203=P$29)*(Log!$E$4:$E$1203="A")*(Log!$F$4:$F$1203&lt;&gt;"")*Log!$F$4:$F$1203))))</f>
        <v/>
      </c>
      <c r="Q42" s="86" t="str">
        <f aca="false">IF($A42="","",IF(SUMPRODUCT(MAX((Log!$D$4:$D$1203=$A42)*(Log!$B$4:$B$1203=Q$29)*(Log!$E$4:$E$1203="A")*(Log!$F$4:$F$1203&lt;&gt;"")*Log!$F$4:$F$1203))=0,"",SUMPRODUCT(MAX((Log!$D$4:$D$1203=$A42)*(Log!$B$4:$B$1203=Q$29)*(Log!$E$4:$E$1203="A")*(Log!$F$4:$F$1203&lt;&gt;"")*Log!$F$4:$F$1203))))</f>
        <v/>
      </c>
      <c r="R42" s="87" t="n">
        <f aca="false">IF($A42="","",IF(SUMPRODUCT(MAX((Log!$D$4:$D$1203=$A42)*(Log!$E$4:$E$1203="A")*(Log!$F$4:$F$1203&lt;&gt;"")*Log!$F$4:$F$1203))=0,"",SUMPRODUCT(MAX((Log!$D$4:$D$1203=$A42)*(Log!$E$4:$E$1203="A")*(Log!$F$4:$F$1203&lt;&gt;"")*Log!$F$4:$F$1203))))</f>
        <v>190</v>
      </c>
    </row>
    <row r="43" customFormat="false" ht="16.5" hidden="false" customHeight="true" outlineLevel="0" collapsed="false">
      <c r="A43" s="40" t="str">
        <f aca="false">IF(Übungen!$A17="","",Übungen!$A17)</f>
        <v>Squat Maschine Bülach</v>
      </c>
      <c r="B43" s="88" t="str">
        <f aca="false">IF($A43="","",IF(SUMPRODUCT(MAX((Log!$D$4:$D$1203=$A43)*(Log!$B$4:$B$1203=B$29)*(Log!$E$4:$E$1203="A")*(Log!$F$4:$F$1203&lt;&gt;"")*Log!$F$4:$F$1203))=0,"",SUMPRODUCT(MAX((Log!$D$4:$D$1203=$A43)*(Log!$B$4:$B$1203=B$29)*(Log!$E$4:$E$1203="A")*(Log!$F$4:$F$1203&lt;&gt;"")*Log!$F$4:$F$1203))))</f>
        <v/>
      </c>
      <c r="C43" s="88" t="str">
        <f aca="false">IF($A43="","",IF(SUMPRODUCT(MAX((Log!$D$4:$D$1203=$A43)*(Log!$B$4:$B$1203=C$29)*(Log!$E$4:$E$1203="A")*(Log!$F$4:$F$1203&lt;&gt;"")*Log!$F$4:$F$1203))=0,"",SUMPRODUCT(MAX((Log!$D$4:$D$1203=$A43)*(Log!$B$4:$B$1203=C$29)*(Log!$E$4:$E$1203="A")*(Log!$F$4:$F$1203&lt;&gt;"")*Log!$F$4:$F$1203))))</f>
        <v/>
      </c>
      <c r="D43" s="88" t="str">
        <f aca="false">IF($A43="","",IF(SUMPRODUCT(MAX((Log!$D$4:$D$1203=$A43)*(Log!$B$4:$B$1203=D$29)*(Log!$E$4:$E$1203="A")*(Log!$F$4:$F$1203&lt;&gt;"")*Log!$F$4:$F$1203))=0,"",SUMPRODUCT(MAX((Log!$D$4:$D$1203=$A43)*(Log!$B$4:$B$1203=D$29)*(Log!$E$4:$E$1203="A")*(Log!$F$4:$F$1203&lt;&gt;"")*Log!$F$4:$F$1203))))</f>
        <v/>
      </c>
      <c r="E43" s="88" t="str">
        <f aca="false">IF($A43="","",IF(SUMPRODUCT(MAX((Log!$D$4:$D$1203=$A43)*(Log!$B$4:$B$1203=E$29)*(Log!$E$4:$E$1203="A")*(Log!$F$4:$F$1203&lt;&gt;"")*Log!$F$4:$F$1203))=0,"",SUMPRODUCT(MAX((Log!$D$4:$D$1203=$A43)*(Log!$B$4:$B$1203=E$29)*(Log!$E$4:$E$1203="A")*(Log!$F$4:$F$1203&lt;&gt;"")*Log!$F$4:$F$1203))))</f>
        <v/>
      </c>
      <c r="F43" s="88" t="str">
        <f aca="false">IF($A43="","",IF(SUMPRODUCT(MAX((Log!$D$4:$D$1203=$A43)*(Log!$B$4:$B$1203=F$29)*(Log!$E$4:$E$1203="A")*(Log!$F$4:$F$1203&lt;&gt;"")*Log!$F$4:$F$1203))=0,"",SUMPRODUCT(MAX((Log!$D$4:$D$1203=$A43)*(Log!$B$4:$B$1203=F$29)*(Log!$E$4:$E$1203="A")*(Log!$F$4:$F$1203&lt;&gt;"")*Log!$F$4:$F$1203))))</f>
        <v/>
      </c>
      <c r="G43" s="88" t="str">
        <f aca="false">IF($A43="","",IF(SUMPRODUCT(MAX((Log!$D$4:$D$1203=$A43)*(Log!$B$4:$B$1203=G$29)*(Log!$E$4:$E$1203="A")*(Log!$F$4:$F$1203&lt;&gt;"")*Log!$F$4:$F$1203))=0,"",SUMPRODUCT(MAX((Log!$D$4:$D$1203=$A43)*(Log!$B$4:$B$1203=G$29)*(Log!$E$4:$E$1203="A")*(Log!$F$4:$F$1203&lt;&gt;"")*Log!$F$4:$F$1203))))</f>
        <v/>
      </c>
      <c r="H43" s="88" t="str">
        <f aca="false">IF($A43="","",IF(SUMPRODUCT(MAX((Log!$D$4:$D$1203=$A43)*(Log!$B$4:$B$1203=H$29)*(Log!$E$4:$E$1203="A")*(Log!$F$4:$F$1203&lt;&gt;"")*Log!$F$4:$F$1203))=0,"",SUMPRODUCT(MAX((Log!$D$4:$D$1203=$A43)*(Log!$B$4:$B$1203=H$29)*(Log!$E$4:$E$1203="A")*(Log!$F$4:$F$1203&lt;&gt;"")*Log!$F$4:$F$1203))))</f>
        <v/>
      </c>
      <c r="I43" s="88" t="str">
        <f aca="false">IF($A43="","",IF(SUMPRODUCT(MAX((Log!$D$4:$D$1203=$A43)*(Log!$B$4:$B$1203=I$29)*(Log!$E$4:$E$1203="A")*(Log!$F$4:$F$1203&lt;&gt;"")*Log!$F$4:$F$1203))=0,"",SUMPRODUCT(MAX((Log!$D$4:$D$1203=$A43)*(Log!$B$4:$B$1203=I$29)*(Log!$E$4:$E$1203="A")*(Log!$F$4:$F$1203&lt;&gt;"")*Log!$F$4:$F$1203))))</f>
        <v/>
      </c>
      <c r="J43" s="88" t="str">
        <f aca="false">IF($A43="","",IF(SUMPRODUCT(MAX((Log!$D$4:$D$1203=$A43)*(Log!$B$4:$B$1203=J$29)*(Log!$E$4:$E$1203="A")*(Log!$F$4:$F$1203&lt;&gt;"")*Log!$F$4:$F$1203))=0,"",SUMPRODUCT(MAX((Log!$D$4:$D$1203=$A43)*(Log!$B$4:$B$1203=J$29)*(Log!$E$4:$E$1203="A")*(Log!$F$4:$F$1203&lt;&gt;"")*Log!$F$4:$F$1203))))</f>
        <v/>
      </c>
      <c r="K43" s="88" t="str">
        <f aca="false">IF($A43="","",IF(SUMPRODUCT(MAX((Log!$D$4:$D$1203=$A43)*(Log!$B$4:$B$1203=K$29)*(Log!$E$4:$E$1203="A")*(Log!$F$4:$F$1203&lt;&gt;"")*Log!$F$4:$F$1203))=0,"",SUMPRODUCT(MAX((Log!$D$4:$D$1203=$A43)*(Log!$B$4:$B$1203=K$29)*(Log!$E$4:$E$1203="A")*(Log!$F$4:$F$1203&lt;&gt;"")*Log!$F$4:$F$1203))))</f>
        <v/>
      </c>
      <c r="L43" s="88" t="str">
        <f aca="false">IF($A43="","",IF(SUMPRODUCT(MAX((Log!$D$4:$D$1203=$A43)*(Log!$B$4:$B$1203=L$29)*(Log!$E$4:$E$1203="A")*(Log!$F$4:$F$1203&lt;&gt;"")*Log!$F$4:$F$1203))=0,"",SUMPRODUCT(MAX((Log!$D$4:$D$1203=$A43)*(Log!$B$4:$B$1203=L$29)*(Log!$E$4:$E$1203="A")*(Log!$F$4:$F$1203&lt;&gt;"")*Log!$F$4:$F$1203))))</f>
        <v/>
      </c>
      <c r="M43" s="88" t="str">
        <f aca="false">IF($A43="","",IF(SUMPRODUCT(MAX((Log!$D$4:$D$1203=$A43)*(Log!$B$4:$B$1203=M$29)*(Log!$E$4:$E$1203="A")*(Log!$F$4:$F$1203&lt;&gt;"")*Log!$F$4:$F$1203))=0,"",SUMPRODUCT(MAX((Log!$D$4:$D$1203=$A43)*(Log!$B$4:$B$1203=M$29)*(Log!$E$4:$E$1203="A")*(Log!$F$4:$F$1203&lt;&gt;"")*Log!$F$4:$F$1203))))</f>
        <v/>
      </c>
      <c r="N43" s="88" t="str">
        <f aca="false">IF($A43="","",IF(SUMPRODUCT(MAX((Log!$D$4:$D$1203=$A43)*(Log!$B$4:$B$1203=N$29)*(Log!$E$4:$E$1203="A")*(Log!$F$4:$F$1203&lt;&gt;"")*Log!$F$4:$F$1203))=0,"",SUMPRODUCT(MAX((Log!$D$4:$D$1203=$A43)*(Log!$B$4:$B$1203=N$29)*(Log!$E$4:$E$1203="A")*(Log!$F$4:$F$1203&lt;&gt;"")*Log!$F$4:$F$1203))))</f>
        <v/>
      </c>
      <c r="O43" s="88" t="str">
        <f aca="false">IF($A43="","",IF(SUMPRODUCT(MAX((Log!$D$4:$D$1203=$A43)*(Log!$B$4:$B$1203=O$29)*(Log!$E$4:$E$1203="A")*(Log!$F$4:$F$1203&lt;&gt;"")*Log!$F$4:$F$1203))=0,"",SUMPRODUCT(MAX((Log!$D$4:$D$1203=$A43)*(Log!$B$4:$B$1203=O$29)*(Log!$E$4:$E$1203="A")*(Log!$F$4:$F$1203&lt;&gt;"")*Log!$F$4:$F$1203))))</f>
        <v/>
      </c>
      <c r="P43" s="88" t="n">
        <f aca="false">IF($A43="","",IF(SUMPRODUCT(MAX((Log!$D$4:$D$1203=$A43)*(Log!$B$4:$B$1203=P$29)*(Log!$E$4:$E$1203="A")*(Log!$F$4:$F$1203&lt;&gt;"")*Log!$F$4:$F$1203))=0,"",SUMPRODUCT(MAX((Log!$D$4:$D$1203=$A43)*(Log!$B$4:$B$1203=P$29)*(Log!$E$4:$E$1203="A")*(Log!$F$4:$F$1203&lt;&gt;"")*Log!$F$4:$F$1203))))</f>
        <v>120</v>
      </c>
      <c r="Q43" s="88" t="str">
        <f aca="false">IF($A43="","",IF(SUMPRODUCT(MAX((Log!$D$4:$D$1203=$A43)*(Log!$B$4:$B$1203=Q$29)*(Log!$E$4:$E$1203="A")*(Log!$F$4:$F$1203&lt;&gt;"")*Log!$F$4:$F$1203))=0,"",SUMPRODUCT(MAX((Log!$D$4:$D$1203=$A43)*(Log!$B$4:$B$1203=Q$29)*(Log!$E$4:$E$1203="A")*(Log!$F$4:$F$1203&lt;&gt;"")*Log!$F$4:$F$1203))))</f>
        <v/>
      </c>
      <c r="R43" s="87" t="n">
        <f aca="false">IF($A43="","",IF(SUMPRODUCT(MAX((Log!$D$4:$D$1203=$A43)*(Log!$E$4:$E$1203="A")*(Log!$F$4:$F$1203&lt;&gt;"")*Log!$F$4:$F$1203))=0,"",SUMPRODUCT(MAX((Log!$D$4:$D$1203=$A43)*(Log!$E$4:$E$1203="A")*(Log!$F$4:$F$1203&lt;&gt;"")*Log!$F$4:$F$1203))))</f>
        <v>120</v>
      </c>
    </row>
    <row r="44" customFormat="false" ht="16.5" hidden="false" customHeight="true" outlineLevel="0" collapsed="false">
      <c r="A44" s="34" t="str">
        <f aca="false">IF(Übungen!$A18="","",Übungen!$A18)</f>
        <v>Hip Thrust Bülach</v>
      </c>
      <c r="B44" s="86" t="str">
        <f aca="false">IF($A44="","",IF(SUMPRODUCT(MAX((Log!$D$4:$D$1203=$A44)*(Log!$B$4:$B$1203=B$29)*(Log!$E$4:$E$1203="A")*(Log!$F$4:$F$1203&lt;&gt;"")*Log!$F$4:$F$1203))=0,"",SUMPRODUCT(MAX((Log!$D$4:$D$1203=$A44)*(Log!$B$4:$B$1203=B$29)*(Log!$E$4:$E$1203="A")*(Log!$F$4:$F$1203&lt;&gt;"")*Log!$F$4:$F$1203))))</f>
        <v/>
      </c>
      <c r="C44" s="86" t="str">
        <f aca="false">IF($A44="","",IF(SUMPRODUCT(MAX((Log!$D$4:$D$1203=$A44)*(Log!$B$4:$B$1203=C$29)*(Log!$E$4:$E$1203="A")*(Log!$F$4:$F$1203&lt;&gt;"")*Log!$F$4:$F$1203))=0,"",SUMPRODUCT(MAX((Log!$D$4:$D$1203=$A44)*(Log!$B$4:$B$1203=C$29)*(Log!$E$4:$E$1203="A")*(Log!$F$4:$F$1203&lt;&gt;"")*Log!$F$4:$F$1203))))</f>
        <v/>
      </c>
      <c r="D44" s="86" t="str">
        <f aca="false">IF($A44="","",IF(SUMPRODUCT(MAX((Log!$D$4:$D$1203=$A44)*(Log!$B$4:$B$1203=D$29)*(Log!$E$4:$E$1203="A")*(Log!$F$4:$F$1203&lt;&gt;"")*Log!$F$4:$F$1203))=0,"",SUMPRODUCT(MAX((Log!$D$4:$D$1203=$A44)*(Log!$B$4:$B$1203=D$29)*(Log!$E$4:$E$1203="A")*(Log!$F$4:$F$1203&lt;&gt;"")*Log!$F$4:$F$1203))))</f>
        <v/>
      </c>
      <c r="E44" s="86" t="str">
        <f aca="false">IF($A44="","",IF(SUMPRODUCT(MAX((Log!$D$4:$D$1203=$A44)*(Log!$B$4:$B$1203=E$29)*(Log!$E$4:$E$1203="A")*(Log!$F$4:$F$1203&lt;&gt;"")*Log!$F$4:$F$1203))=0,"",SUMPRODUCT(MAX((Log!$D$4:$D$1203=$A44)*(Log!$B$4:$B$1203=E$29)*(Log!$E$4:$E$1203="A")*(Log!$F$4:$F$1203&lt;&gt;"")*Log!$F$4:$F$1203))))</f>
        <v/>
      </c>
      <c r="F44" s="86" t="str">
        <f aca="false">IF($A44="","",IF(SUMPRODUCT(MAX((Log!$D$4:$D$1203=$A44)*(Log!$B$4:$B$1203=F$29)*(Log!$E$4:$E$1203="A")*(Log!$F$4:$F$1203&lt;&gt;"")*Log!$F$4:$F$1203))=0,"",SUMPRODUCT(MAX((Log!$D$4:$D$1203=$A44)*(Log!$B$4:$B$1203=F$29)*(Log!$E$4:$E$1203="A")*(Log!$F$4:$F$1203&lt;&gt;"")*Log!$F$4:$F$1203))))</f>
        <v/>
      </c>
      <c r="G44" s="86" t="str">
        <f aca="false">IF($A44="","",IF(SUMPRODUCT(MAX((Log!$D$4:$D$1203=$A44)*(Log!$B$4:$B$1203=G$29)*(Log!$E$4:$E$1203="A")*(Log!$F$4:$F$1203&lt;&gt;"")*Log!$F$4:$F$1203))=0,"",SUMPRODUCT(MAX((Log!$D$4:$D$1203=$A44)*(Log!$B$4:$B$1203=G$29)*(Log!$E$4:$E$1203="A")*(Log!$F$4:$F$1203&lt;&gt;"")*Log!$F$4:$F$1203))))</f>
        <v/>
      </c>
      <c r="H44" s="86" t="str">
        <f aca="false">IF($A44="","",IF(SUMPRODUCT(MAX((Log!$D$4:$D$1203=$A44)*(Log!$B$4:$B$1203=H$29)*(Log!$E$4:$E$1203="A")*(Log!$F$4:$F$1203&lt;&gt;"")*Log!$F$4:$F$1203))=0,"",SUMPRODUCT(MAX((Log!$D$4:$D$1203=$A44)*(Log!$B$4:$B$1203=H$29)*(Log!$E$4:$E$1203="A")*(Log!$F$4:$F$1203&lt;&gt;"")*Log!$F$4:$F$1203))))</f>
        <v/>
      </c>
      <c r="I44" s="86" t="str">
        <f aca="false">IF($A44="","",IF(SUMPRODUCT(MAX((Log!$D$4:$D$1203=$A44)*(Log!$B$4:$B$1203=I$29)*(Log!$E$4:$E$1203="A")*(Log!$F$4:$F$1203&lt;&gt;"")*Log!$F$4:$F$1203))=0,"",SUMPRODUCT(MAX((Log!$D$4:$D$1203=$A44)*(Log!$B$4:$B$1203=I$29)*(Log!$E$4:$E$1203="A")*(Log!$F$4:$F$1203&lt;&gt;"")*Log!$F$4:$F$1203))))</f>
        <v/>
      </c>
      <c r="J44" s="86" t="str">
        <f aca="false">IF($A44="","",IF(SUMPRODUCT(MAX((Log!$D$4:$D$1203=$A44)*(Log!$B$4:$B$1203=J$29)*(Log!$E$4:$E$1203="A")*(Log!$F$4:$F$1203&lt;&gt;"")*Log!$F$4:$F$1203))=0,"",SUMPRODUCT(MAX((Log!$D$4:$D$1203=$A44)*(Log!$B$4:$B$1203=J$29)*(Log!$E$4:$E$1203="A")*(Log!$F$4:$F$1203&lt;&gt;"")*Log!$F$4:$F$1203))))</f>
        <v/>
      </c>
      <c r="K44" s="86" t="str">
        <f aca="false">IF($A44="","",IF(SUMPRODUCT(MAX((Log!$D$4:$D$1203=$A44)*(Log!$B$4:$B$1203=K$29)*(Log!$E$4:$E$1203="A")*(Log!$F$4:$F$1203&lt;&gt;"")*Log!$F$4:$F$1203))=0,"",SUMPRODUCT(MAX((Log!$D$4:$D$1203=$A44)*(Log!$B$4:$B$1203=K$29)*(Log!$E$4:$E$1203="A")*(Log!$F$4:$F$1203&lt;&gt;"")*Log!$F$4:$F$1203))))</f>
        <v/>
      </c>
      <c r="L44" s="86" t="str">
        <f aca="false">IF($A44="","",IF(SUMPRODUCT(MAX((Log!$D$4:$D$1203=$A44)*(Log!$B$4:$B$1203=L$29)*(Log!$E$4:$E$1203="A")*(Log!$F$4:$F$1203&lt;&gt;"")*Log!$F$4:$F$1203))=0,"",SUMPRODUCT(MAX((Log!$D$4:$D$1203=$A44)*(Log!$B$4:$B$1203=L$29)*(Log!$E$4:$E$1203="A")*(Log!$F$4:$F$1203&lt;&gt;"")*Log!$F$4:$F$1203))))</f>
        <v/>
      </c>
      <c r="M44" s="86" t="str">
        <f aca="false">IF($A44="","",IF(SUMPRODUCT(MAX((Log!$D$4:$D$1203=$A44)*(Log!$B$4:$B$1203=M$29)*(Log!$E$4:$E$1203="A")*(Log!$F$4:$F$1203&lt;&gt;"")*Log!$F$4:$F$1203))=0,"",SUMPRODUCT(MAX((Log!$D$4:$D$1203=$A44)*(Log!$B$4:$B$1203=M$29)*(Log!$E$4:$E$1203="A")*(Log!$F$4:$F$1203&lt;&gt;"")*Log!$F$4:$F$1203))))</f>
        <v/>
      </c>
      <c r="N44" s="86" t="str">
        <f aca="false">IF($A44="","",IF(SUMPRODUCT(MAX((Log!$D$4:$D$1203=$A44)*(Log!$B$4:$B$1203=N$29)*(Log!$E$4:$E$1203="A")*(Log!$F$4:$F$1203&lt;&gt;"")*Log!$F$4:$F$1203))=0,"",SUMPRODUCT(MAX((Log!$D$4:$D$1203=$A44)*(Log!$B$4:$B$1203=N$29)*(Log!$E$4:$E$1203="A")*(Log!$F$4:$F$1203&lt;&gt;"")*Log!$F$4:$F$1203))))</f>
        <v/>
      </c>
      <c r="O44" s="86" t="str">
        <f aca="false">IF($A44="","",IF(SUMPRODUCT(MAX((Log!$D$4:$D$1203=$A44)*(Log!$B$4:$B$1203=O$29)*(Log!$E$4:$E$1203="A")*(Log!$F$4:$F$1203&lt;&gt;"")*Log!$F$4:$F$1203))=0,"",SUMPRODUCT(MAX((Log!$D$4:$D$1203=$A44)*(Log!$B$4:$B$1203=O$29)*(Log!$E$4:$E$1203="A")*(Log!$F$4:$F$1203&lt;&gt;"")*Log!$F$4:$F$1203))))</f>
        <v/>
      </c>
      <c r="P44" s="86" t="n">
        <f aca="false">IF($A44="","",IF(SUMPRODUCT(MAX((Log!$D$4:$D$1203=$A44)*(Log!$B$4:$B$1203=P$29)*(Log!$E$4:$E$1203="A")*(Log!$F$4:$F$1203&lt;&gt;"")*Log!$F$4:$F$1203))=0,"",SUMPRODUCT(MAX((Log!$D$4:$D$1203=$A44)*(Log!$B$4:$B$1203=P$29)*(Log!$E$4:$E$1203="A")*(Log!$F$4:$F$1203&lt;&gt;"")*Log!$F$4:$F$1203))))</f>
        <v>200</v>
      </c>
      <c r="Q44" s="86" t="str">
        <f aca="false">IF($A44="","",IF(SUMPRODUCT(MAX((Log!$D$4:$D$1203=$A44)*(Log!$B$4:$B$1203=Q$29)*(Log!$E$4:$E$1203="A")*(Log!$F$4:$F$1203&lt;&gt;"")*Log!$F$4:$F$1203))=0,"",SUMPRODUCT(MAX((Log!$D$4:$D$1203=$A44)*(Log!$B$4:$B$1203=Q$29)*(Log!$E$4:$E$1203="A")*(Log!$F$4:$F$1203&lt;&gt;"")*Log!$F$4:$F$1203))))</f>
        <v/>
      </c>
      <c r="R44" s="87" t="n">
        <f aca="false">IF($A44="","",IF(SUMPRODUCT(MAX((Log!$D$4:$D$1203=$A44)*(Log!$E$4:$E$1203="A")*(Log!$F$4:$F$1203&lt;&gt;"")*Log!$F$4:$F$1203))=0,"",SUMPRODUCT(MAX((Log!$D$4:$D$1203=$A44)*(Log!$E$4:$E$1203="A")*(Log!$F$4:$F$1203&lt;&gt;"")*Log!$F$4:$F$1203))))</f>
        <v>200</v>
      </c>
    </row>
    <row r="45" customFormat="false" ht="16.5" hidden="false" customHeight="true" outlineLevel="0" collapsed="false">
      <c r="A45" s="40" t="str">
        <f aca="false">IF(Übungen!$A19="","",Übungen!$A19)</f>
        <v>Beinbeuger Bülach</v>
      </c>
      <c r="B45" s="88" t="str">
        <f aca="false">IF($A45="","",IF(SUMPRODUCT(MAX((Log!$D$4:$D$1203=$A45)*(Log!$B$4:$B$1203=B$29)*(Log!$E$4:$E$1203="A")*(Log!$F$4:$F$1203&lt;&gt;"")*Log!$F$4:$F$1203))=0,"",SUMPRODUCT(MAX((Log!$D$4:$D$1203=$A45)*(Log!$B$4:$B$1203=B$29)*(Log!$E$4:$E$1203="A")*(Log!$F$4:$F$1203&lt;&gt;"")*Log!$F$4:$F$1203))))</f>
        <v/>
      </c>
      <c r="C45" s="88" t="str">
        <f aca="false">IF($A45="","",IF(SUMPRODUCT(MAX((Log!$D$4:$D$1203=$A45)*(Log!$B$4:$B$1203=C$29)*(Log!$E$4:$E$1203="A")*(Log!$F$4:$F$1203&lt;&gt;"")*Log!$F$4:$F$1203))=0,"",SUMPRODUCT(MAX((Log!$D$4:$D$1203=$A45)*(Log!$B$4:$B$1203=C$29)*(Log!$E$4:$E$1203="A")*(Log!$F$4:$F$1203&lt;&gt;"")*Log!$F$4:$F$1203))))</f>
        <v/>
      </c>
      <c r="D45" s="88" t="str">
        <f aca="false">IF($A45="","",IF(SUMPRODUCT(MAX((Log!$D$4:$D$1203=$A45)*(Log!$B$4:$B$1203=D$29)*(Log!$E$4:$E$1203="A")*(Log!$F$4:$F$1203&lt;&gt;"")*Log!$F$4:$F$1203))=0,"",SUMPRODUCT(MAX((Log!$D$4:$D$1203=$A45)*(Log!$B$4:$B$1203=D$29)*(Log!$E$4:$E$1203="A")*(Log!$F$4:$F$1203&lt;&gt;"")*Log!$F$4:$F$1203))))</f>
        <v/>
      </c>
      <c r="E45" s="88" t="str">
        <f aca="false">IF($A45="","",IF(SUMPRODUCT(MAX((Log!$D$4:$D$1203=$A45)*(Log!$B$4:$B$1203=E$29)*(Log!$E$4:$E$1203="A")*(Log!$F$4:$F$1203&lt;&gt;"")*Log!$F$4:$F$1203))=0,"",SUMPRODUCT(MAX((Log!$D$4:$D$1203=$A45)*(Log!$B$4:$B$1203=E$29)*(Log!$E$4:$E$1203="A")*(Log!$F$4:$F$1203&lt;&gt;"")*Log!$F$4:$F$1203))))</f>
        <v/>
      </c>
      <c r="F45" s="88" t="str">
        <f aca="false">IF($A45="","",IF(SUMPRODUCT(MAX((Log!$D$4:$D$1203=$A45)*(Log!$B$4:$B$1203=F$29)*(Log!$E$4:$E$1203="A")*(Log!$F$4:$F$1203&lt;&gt;"")*Log!$F$4:$F$1203))=0,"",SUMPRODUCT(MAX((Log!$D$4:$D$1203=$A45)*(Log!$B$4:$B$1203=F$29)*(Log!$E$4:$E$1203="A")*(Log!$F$4:$F$1203&lt;&gt;"")*Log!$F$4:$F$1203))))</f>
        <v/>
      </c>
      <c r="G45" s="88" t="str">
        <f aca="false">IF($A45="","",IF(SUMPRODUCT(MAX((Log!$D$4:$D$1203=$A45)*(Log!$B$4:$B$1203=G$29)*(Log!$E$4:$E$1203="A")*(Log!$F$4:$F$1203&lt;&gt;"")*Log!$F$4:$F$1203))=0,"",SUMPRODUCT(MAX((Log!$D$4:$D$1203=$A45)*(Log!$B$4:$B$1203=G$29)*(Log!$E$4:$E$1203="A")*(Log!$F$4:$F$1203&lt;&gt;"")*Log!$F$4:$F$1203))))</f>
        <v/>
      </c>
      <c r="H45" s="88" t="str">
        <f aca="false">IF($A45="","",IF(SUMPRODUCT(MAX((Log!$D$4:$D$1203=$A45)*(Log!$B$4:$B$1203=H$29)*(Log!$E$4:$E$1203="A")*(Log!$F$4:$F$1203&lt;&gt;"")*Log!$F$4:$F$1203))=0,"",SUMPRODUCT(MAX((Log!$D$4:$D$1203=$A45)*(Log!$B$4:$B$1203=H$29)*(Log!$E$4:$E$1203="A")*(Log!$F$4:$F$1203&lt;&gt;"")*Log!$F$4:$F$1203))))</f>
        <v/>
      </c>
      <c r="I45" s="88" t="str">
        <f aca="false">IF($A45="","",IF(SUMPRODUCT(MAX((Log!$D$4:$D$1203=$A45)*(Log!$B$4:$B$1203=I$29)*(Log!$E$4:$E$1203="A")*(Log!$F$4:$F$1203&lt;&gt;"")*Log!$F$4:$F$1203))=0,"",SUMPRODUCT(MAX((Log!$D$4:$D$1203=$A45)*(Log!$B$4:$B$1203=I$29)*(Log!$E$4:$E$1203="A")*(Log!$F$4:$F$1203&lt;&gt;"")*Log!$F$4:$F$1203))))</f>
        <v/>
      </c>
      <c r="J45" s="88" t="str">
        <f aca="false">IF($A45="","",IF(SUMPRODUCT(MAX((Log!$D$4:$D$1203=$A45)*(Log!$B$4:$B$1203=J$29)*(Log!$E$4:$E$1203="A")*(Log!$F$4:$F$1203&lt;&gt;"")*Log!$F$4:$F$1203))=0,"",SUMPRODUCT(MAX((Log!$D$4:$D$1203=$A45)*(Log!$B$4:$B$1203=J$29)*(Log!$E$4:$E$1203="A")*(Log!$F$4:$F$1203&lt;&gt;"")*Log!$F$4:$F$1203))))</f>
        <v/>
      </c>
      <c r="K45" s="88" t="str">
        <f aca="false">IF($A45="","",IF(SUMPRODUCT(MAX((Log!$D$4:$D$1203=$A45)*(Log!$B$4:$B$1203=K$29)*(Log!$E$4:$E$1203="A")*(Log!$F$4:$F$1203&lt;&gt;"")*Log!$F$4:$F$1203))=0,"",SUMPRODUCT(MAX((Log!$D$4:$D$1203=$A45)*(Log!$B$4:$B$1203=K$29)*(Log!$E$4:$E$1203="A")*(Log!$F$4:$F$1203&lt;&gt;"")*Log!$F$4:$F$1203))))</f>
        <v/>
      </c>
      <c r="L45" s="88" t="str">
        <f aca="false">IF($A45="","",IF(SUMPRODUCT(MAX((Log!$D$4:$D$1203=$A45)*(Log!$B$4:$B$1203=L$29)*(Log!$E$4:$E$1203="A")*(Log!$F$4:$F$1203&lt;&gt;"")*Log!$F$4:$F$1203))=0,"",SUMPRODUCT(MAX((Log!$D$4:$D$1203=$A45)*(Log!$B$4:$B$1203=L$29)*(Log!$E$4:$E$1203="A")*(Log!$F$4:$F$1203&lt;&gt;"")*Log!$F$4:$F$1203))))</f>
        <v/>
      </c>
      <c r="M45" s="88" t="str">
        <f aca="false">IF($A45="","",IF(SUMPRODUCT(MAX((Log!$D$4:$D$1203=$A45)*(Log!$B$4:$B$1203=M$29)*(Log!$E$4:$E$1203="A")*(Log!$F$4:$F$1203&lt;&gt;"")*Log!$F$4:$F$1203))=0,"",SUMPRODUCT(MAX((Log!$D$4:$D$1203=$A45)*(Log!$B$4:$B$1203=M$29)*(Log!$E$4:$E$1203="A")*(Log!$F$4:$F$1203&lt;&gt;"")*Log!$F$4:$F$1203))))</f>
        <v/>
      </c>
      <c r="N45" s="88" t="str">
        <f aca="false">IF($A45="","",IF(SUMPRODUCT(MAX((Log!$D$4:$D$1203=$A45)*(Log!$B$4:$B$1203=N$29)*(Log!$E$4:$E$1203="A")*(Log!$F$4:$F$1203&lt;&gt;"")*Log!$F$4:$F$1203))=0,"",SUMPRODUCT(MAX((Log!$D$4:$D$1203=$A45)*(Log!$B$4:$B$1203=N$29)*(Log!$E$4:$E$1203="A")*(Log!$F$4:$F$1203&lt;&gt;"")*Log!$F$4:$F$1203))))</f>
        <v/>
      </c>
      <c r="O45" s="88" t="str">
        <f aca="false">IF($A45="","",IF(SUMPRODUCT(MAX((Log!$D$4:$D$1203=$A45)*(Log!$B$4:$B$1203=O$29)*(Log!$E$4:$E$1203="A")*(Log!$F$4:$F$1203&lt;&gt;"")*Log!$F$4:$F$1203))=0,"",SUMPRODUCT(MAX((Log!$D$4:$D$1203=$A45)*(Log!$B$4:$B$1203=O$29)*(Log!$E$4:$E$1203="A")*(Log!$F$4:$F$1203&lt;&gt;"")*Log!$F$4:$F$1203))))</f>
        <v/>
      </c>
      <c r="P45" s="88" t="n">
        <f aca="false">IF($A45="","",IF(SUMPRODUCT(MAX((Log!$D$4:$D$1203=$A45)*(Log!$B$4:$B$1203=P$29)*(Log!$E$4:$E$1203="A")*(Log!$F$4:$F$1203&lt;&gt;"")*Log!$F$4:$F$1203))=0,"",SUMPRODUCT(MAX((Log!$D$4:$D$1203=$A45)*(Log!$B$4:$B$1203=P$29)*(Log!$E$4:$E$1203="A")*(Log!$F$4:$F$1203&lt;&gt;"")*Log!$F$4:$F$1203))))</f>
        <v>59</v>
      </c>
      <c r="Q45" s="88" t="str">
        <f aca="false">IF($A45="","",IF(SUMPRODUCT(MAX((Log!$D$4:$D$1203=$A45)*(Log!$B$4:$B$1203=Q$29)*(Log!$E$4:$E$1203="A")*(Log!$F$4:$F$1203&lt;&gt;"")*Log!$F$4:$F$1203))=0,"",SUMPRODUCT(MAX((Log!$D$4:$D$1203=$A45)*(Log!$B$4:$B$1203=Q$29)*(Log!$E$4:$E$1203="A")*(Log!$F$4:$F$1203&lt;&gt;"")*Log!$F$4:$F$1203))))</f>
        <v/>
      </c>
      <c r="R45" s="87" t="n">
        <f aca="false">IF($A45="","",IF(SUMPRODUCT(MAX((Log!$D$4:$D$1203=$A45)*(Log!$E$4:$E$1203="A")*(Log!$F$4:$F$1203&lt;&gt;"")*Log!$F$4:$F$1203))=0,"",SUMPRODUCT(MAX((Log!$D$4:$D$1203=$A45)*(Log!$E$4:$E$1203="A")*(Log!$F$4:$F$1203&lt;&gt;"")*Log!$F$4:$F$1203))))</f>
        <v>59</v>
      </c>
    </row>
    <row r="46" customFormat="false" ht="16.5" hidden="false" customHeight="true" outlineLevel="0" collapsed="false">
      <c r="A46" s="34" t="str">
        <f aca="false">IF(Übungen!$A20="","",Übungen!$A20)</f>
        <v>Lunges</v>
      </c>
      <c r="B46" s="86" t="n">
        <f aca="false">IF($A46="","",IF(SUMPRODUCT(MAX((Log!$D$4:$D$1203=$A46)*(Log!$B$4:$B$1203=B$29)*(Log!$E$4:$E$1203="A")*(Log!$F$4:$F$1203&lt;&gt;"")*Log!$F$4:$F$1203))=0,"",SUMPRODUCT(MAX((Log!$D$4:$D$1203=$A46)*(Log!$B$4:$B$1203=B$29)*(Log!$E$4:$E$1203="A")*(Log!$F$4:$F$1203&lt;&gt;"")*Log!$F$4:$F$1203))))</f>
        <v>10</v>
      </c>
      <c r="C46" s="86" t="n">
        <f aca="false">IF($A46="","",IF(SUMPRODUCT(MAX((Log!$D$4:$D$1203=$A46)*(Log!$B$4:$B$1203=C$29)*(Log!$E$4:$E$1203="A")*(Log!$F$4:$F$1203&lt;&gt;"")*Log!$F$4:$F$1203))=0,"",SUMPRODUCT(MAX((Log!$D$4:$D$1203=$A46)*(Log!$B$4:$B$1203=C$29)*(Log!$E$4:$E$1203="A")*(Log!$F$4:$F$1203&lt;&gt;"")*Log!$F$4:$F$1203))))</f>
        <v>16</v>
      </c>
      <c r="D46" s="86" t="n">
        <f aca="false">IF($A46="","",IF(SUMPRODUCT(MAX((Log!$D$4:$D$1203=$A46)*(Log!$B$4:$B$1203=D$29)*(Log!$E$4:$E$1203="A")*(Log!$F$4:$F$1203&lt;&gt;"")*Log!$F$4:$F$1203))=0,"",SUMPRODUCT(MAX((Log!$D$4:$D$1203=$A46)*(Log!$B$4:$B$1203=D$29)*(Log!$E$4:$E$1203="A")*(Log!$F$4:$F$1203&lt;&gt;"")*Log!$F$4:$F$1203))))</f>
        <v>18</v>
      </c>
      <c r="E46" s="86" t="str">
        <f aca="false">IF($A46="","",IF(SUMPRODUCT(MAX((Log!$D$4:$D$1203=$A46)*(Log!$B$4:$B$1203=E$29)*(Log!$E$4:$E$1203="A")*(Log!$F$4:$F$1203&lt;&gt;"")*Log!$F$4:$F$1203))=0,"",SUMPRODUCT(MAX((Log!$D$4:$D$1203=$A46)*(Log!$B$4:$B$1203=E$29)*(Log!$E$4:$E$1203="A")*(Log!$F$4:$F$1203&lt;&gt;"")*Log!$F$4:$F$1203))))</f>
        <v/>
      </c>
      <c r="F46" s="86" t="str">
        <f aca="false">IF($A46="","",IF(SUMPRODUCT(MAX((Log!$D$4:$D$1203=$A46)*(Log!$B$4:$B$1203=F$29)*(Log!$E$4:$E$1203="A")*(Log!$F$4:$F$1203&lt;&gt;"")*Log!$F$4:$F$1203))=0,"",SUMPRODUCT(MAX((Log!$D$4:$D$1203=$A46)*(Log!$B$4:$B$1203=F$29)*(Log!$E$4:$E$1203="A")*(Log!$F$4:$F$1203&lt;&gt;"")*Log!$F$4:$F$1203))))</f>
        <v/>
      </c>
      <c r="G46" s="86" t="str">
        <f aca="false">IF($A46="","",IF(SUMPRODUCT(MAX((Log!$D$4:$D$1203=$A46)*(Log!$B$4:$B$1203=G$29)*(Log!$E$4:$E$1203="A")*(Log!$F$4:$F$1203&lt;&gt;"")*Log!$F$4:$F$1203))=0,"",SUMPRODUCT(MAX((Log!$D$4:$D$1203=$A46)*(Log!$B$4:$B$1203=G$29)*(Log!$E$4:$E$1203="A")*(Log!$F$4:$F$1203&lt;&gt;"")*Log!$F$4:$F$1203))))</f>
        <v/>
      </c>
      <c r="H46" s="86" t="str">
        <f aca="false">IF($A46="","",IF(SUMPRODUCT(MAX((Log!$D$4:$D$1203=$A46)*(Log!$B$4:$B$1203=H$29)*(Log!$E$4:$E$1203="A")*(Log!$F$4:$F$1203&lt;&gt;"")*Log!$F$4:$F$1203))=0,"",SUMPRODUCT(MAX((Log!$D$4:$D$1203=$A46)*(Log!$B$4:$B$1203=H$29)*(Log!$E$4:$E$1203="A")*(Log!$F$4:$F$1203&lt;&gt;"")*Log!$F$4:$F$1203))))</f>
        <v/>
      </c>
      <c r="I46" s="86" t="str">
        <f aca="false">IF($A46="","",IF(SUMPRODUCT(MAX((Log!$D$4:$D$1203=$A46)*(Log!$B$4:$B$1203=I$29)*(Log!$E$4:$E$1203="A")*(Log!$F$4:$F$1203&lt;&gt;"")*Log!$F$4:$F$1203))=0,"",SUMPRODUCT(MAX((Log!$D$4:$D$1203=$A46)*(Log!$B$4:$B$1203=I$29)*(Log!$E$4:$E$1203="A")*(Log!$F$4:$F$1203&lt;&gt;"")*Log!$F$4:$F$1203))))</f>
        <v/>
      </c>
      <c r="J46" s="86" t="str">
        <f aca="false">IF($A46="","",IF(SUMPRODUCT(MAX((Log!$D$4:$D$1203=$A46)*(Log!$B$4:$B$1203=J$29)*(Log!$E$4:$E$1203="A")*(Log!$F$4:$F$1203&lt;&gt;"")*Log!$F$4:$F$1203))=0,"",SUMPRODUCT(MAX((Log!$D$4:$D$1203=$A46)*(Log!$B$4:$B$1203=J$29)*(Log!$E$4:$E$1203="A")*(Log!$F$4:$F$1203&lt;&gt;"")*Log!$F$4:$F$1203))))</f>
        <v/>
      </c>
      <c r="K46" s="86" t="str">
        <f aca="false">IF($A46="","",IF(SUMPRODUCT(MAX((Log!$D$4:$D$1203=$A46)*(Log!$B$4:$B$1203=K$29)*(Log!$E$4:$E$1203="A")*(Log!$F$4:$F$1203&lt;&gt;"")*Log!$F$4:$F$1203))=0,"",SUMPRODUCT(MAX((Log!$D$4:$D$1203=$A46)*(Log!$B$4:$B$1203=K$29)*(Log!$E$4:$E$1203="A")*(Log!$F$4:$F$1203&lt;&gt;"")*Log!$F$4:$F$1203))))</f>
        <v/>
      </c>
      <c r="L46" s="86" t="str">
        <f aca="false">IF($A46="","",IF(SUMPRODUCT(MAX((Log!$D$4:$D$1203=$A46)*(Log!$B$4:$B$1203=L$29)*(Log!$E$4:$E$1203="A")*(Log!$F$4:$F$1203&lt;&gt;"")*Log!$F$4:$F$1203))=0,"",SUMPRODUCT(MAX((Log!$D$4:$D$1203=$A46)*(Log!$B$4:$B$1203=L$29)*(Log!$E$4:$E$1203="A")*(Log!$F$4:$F$1203&lt;&gt;"")*Log!$F$4:$F$1203))))</f>
        <v/>
      </c>
      <c r="M46" s="86" t="str">
        <f aca="false">IF($A46="","",IF(SUMPRODUCT(MAX((Log!$D$4:$D$1203=$A46)*(Log!$B$4:$B$1203=M$29)*(Log!$E$4:$E$1203="A")*(Log!$F$4:$F$1203&lt;&gt;"")*Log!$F$4:$F$1203))=0,"",SUMPRODUCT(MAX((Log!$D$4:$D$1203=$A46)*(Log!$B$4:$B$1203=M$29)*(Log!$E$4:$E$1203="A")*(Log!$F$4:$F$1203&lt;&gt;"")*Log!$F$4:$F$1203))))</f>
        <v/>
      </c>
      <c r="N46" s="86" t="str">
        <f aca="false">IF($A46="","",IF(SUMPRODUCT(MAX((Log!$D$4:$D$1203=$A46)*(Log!$B$4:$B$1203=N$29)*(Log!$E$4:$E$1203="A")*(Log!$F$4:$F$1203&lt;&gt;"")*Log!$F$4:$F$1203))=0,"",SUMPRODUCT(MAX((Log!$D$4:$D$1203=$A46)*(Log!$B$4:$B$1203=N$29)*(Log!$E$4:$E$1203="A")*(Log!$F$4:$F$1203&lt;&gt;"")*Log!$F$4:$F$1203))))</f>
        <v/>
      </c>
      <c r="O46" s="86" t="str">
        <f aca="false">IF($A46="","",IF(SUMPRODUCT(MAX((Log!$D$4:$D$1203=$A46)*(Log!$B$4:$B$1203=O$29)*(Log!$E$4:$E$1203="A")*(Log!$F$4:$F$1203&lt;&gt;"")*Log!$F$4:$F$1203))=0,"",SUMPRODUCT(MAX((Log!$D$4:$D$1203=$A46)*(Log!$B$4:$B$1203=O$29)*(Log!$E$4:$E$1203="A")*(Log!$F$4:$F$1203&lt;&gt;"")*Log!$F$4:$F$1203))))</f>
        <v/>
      </c>
      <c r="P46" s="86" t="str">
        <f aca="false">IF($A46="","",IF(SUMPRODUCT(MAX((Log!$D$4:$D$1203=$A46)*(Log!$B$4:$B$1203=P$29)*(Log!$E$4:$E$1203="A")*(Log!$F$4:$F$1203&lt;&gt;"")*Log!$F$4:$F$1203))=0,"",SUMPRODUCT(MAX((Log!$D$4:$D$1203=$A46)*(Log!$B$4:$B$1203=P$29)*(Log!$E$4:$E$1203="A")*(Log!$F$4:$F$1203&lt;&gt;"")*Log!$F$4:$F$1203))))</f>
        <v/>
      </c>
      <c r="Q46" s="86" t="str">
        <f aca="false">IF($A46="","",IF(SUMPRODUCT(MAX((Log!$D$4:$D$1203=$A46)*(Log!$B$4:$B$1203=Q$29)*(Log!$E$4:$E$1203="A")*(Log!$F$4:$F$1203&lt;&gt;"")*Log!$F$4:$F$1203))=0,"",SUMPRODUCT(MAX((Log!$D$4:$D$1203=$A46)*(Log!$B$4:$B$1203=Q$29)*(Log!$E$4:$E$1203="A")*(Log!$F$4:$F$1203&lt;&gt;"")*Log!$F$4:$F$1203))))</f>
        <v/>
      </c>
      <c r="R46" s="87" t="n">
        <f aca="false">IF($A46="","",IF(SUMPRODUCT(MAX((Log!$D$4:$D$1203=$A46)*(Log!$E$4:$E$1203="A")*(Log!$F$4:$F$1203&lt;&gt;"")*Log!$F$4:$F$1203))=0,"",SUMPRODUCT(MAX((Log!$D$4:$D$1203=$A46)*(Log!$E$4:$E$1203="A")*(Log!$F$4:$F$1203&lt;&gt;"")*Log!$F$4:$F$1203))))</f>
        <v>18</v>
      </c>
    </row>
    <row r="47" customFormat="false" ht="16.5" hidden="false" customHeight="true" outlineLevel="0" collapsed="false">
      <c r="A47" s="40" t="str">
        <f aca="false">IF(Übungen!$A21="","",Übungen!$A21)</f>
        <v>Kickback</v>
      </c>
      <c r="B47" s="88" t="n">
        <f aca="false">IF($A47="","",IF(SUMPRODUCT(MAX((Log!$D$4:$D$1203=$A47)*(Log!$B$4:$B$1203=B$29)*(Log!$E$4:$E$1203="A")*(Log!$F$4:$F$1203&lt;&gt;"")*Log!$F$4:$F$1203))=0,"",SUMPRODUCT(MAX((Log!$D$4:$D$1203=$A47)*(Log!$B$4:$B$1203=B$29)*(Log!$E$4:$E$1203="A")*(Log!$F$4:$F$1203&lt;&gt;"")*Log!$F$4:$F$1203))))</f>
        <v>77</v>
      </c>
      <c r="C47" s="88" t="n">
        <f aca="false">IF($A47="","",IF(SUMPRODUCT(MAX((Log!$D$4:$D$1203=$A47)*(Log!$B$4:$B$1203=C$29)*(Log!$E$4:$E$1203="A")*(Log!$F$4:$F$1203&lt;&gt;"")*Log!$F$4:$F$1203))=0,"",SUMPRODUCT(MAX((Log!$D$4:$D$1203=$A47)*(Log!$B$4:$B$1203=C$29)*(Log!$E$4:$E$1203="A")*(Log!$F$4:$F$1203&lt;&gt;"")*Log!$F$4:$F$1203))))</f>
        <v>84</v>
      </c>
      <c r="D47" s="88" t="n">
        <f aca="false">IF($A47="","",IF(SUMPRODUCT(MAX((Log!$D$4:$D$1203=$A47)*(Log!$B$4:$B$1203=D$29)*(Log!$E$4:$E$1203="A")*(Log!$F$4:$F$1203&lt;&gt;"")*Log!$F$4:$F$1203))=0,"",SUMPRODUCT(MAX((Log!$D$4:$D$1203=$A47)*(Log!$B$4:$B$1203=D$29)*(Log!$E$4:$E$1203="A")*(Log!$F$4:$F$1203&lt;&gt;"")*Log!$F$4:$F$1203))))</f>
        <v>84</v>
      </c>
      <c r="E47" s="88" t="n">
        <f aca="false">IF($A47="","",IF(SUMPRODUCT(MAX((Log!$D$4:$D$1203=$A47)*(Log!$B$4:$B$1203=E$29)*(Log!$E$4:$E$1203="A")*(Log!$F$4:$F$1203&lt;&gt;"")*Log!$F$4:$F$1203))=0,"",SUMPRODUCT(MAX((Log!$D$4:$D$1203=$A47)*(Log!$B$4:$B$1203=E$29)*(Log!$E$4:$E$1203="A")*(Log!$F$4:$F$1203&lt;&gt;"")*Log!$F$4:$F$1203))))</f>
        <v>63</v>
      </c>
      <c r="F47" s="88" t="str">
        <f aca="false">IF($A47="","",IF(SUMPRODUCT(MAX((Log!$D$4:$D$1203=$A47)*(Log!$B$4:$B$1203=F$29)*(Log!$E$4:$E$1203="A")*(Log!$F$4:$F$1203&lt;&gt;"")*Log!$F$4:$F$1203))=0,"",SUMPRODUCT(MAX((Log!$D$4:$D$1203=$A47)*(Log!$B$4:$B$1203=F$29)*(Log!$E$4:$E$1203="A")*(Log!$F$4:$F$1203&lt;&gt;"")*Log!$F$4:$F$1203))))</f>
        <v/>
      </c>
      <c r="G47" s="88" t="str">
        <f aca="false">IF($A47="","",IF(SUMPRODUCT(MAX((Log!$D$4:$D$1203=$A47)*(Log!$B$4:$B$1203=G$29)*(Log!$E$4:$E$1203="A")*(Log!$F$4:$F$1203&lt;&gt;"")*Log!$F$4:$F$1203))=0,"",SUMPRODUCT(MAX((Log!$D$4:$D$1203=$A47)*(Log!$B$4:$B$1203=G$29)*(Log!$E$4:$E$1203="A")*(Log!$F$4:$F$1203&lt;&gt;"")*Log!$F$4:$F$1203))))</f>
        <v/>
      </c>
      <c r="H47" s="88" t="str">
        <f aca="false">IF($A47="","",IF(SUMPRODUCT(MAX((Log!$D$4:$D$1203=$A47)*(Log!$B$4:$B$1203=H$29)*(Log!$E$4:$E$1203="A")*(Log!$F$4:$F$1203&lt;&gt;"")*Log!$F$4:$F$1203))=0,"",SUMPRODUCT(MAX((Log!$D$4:$D$1203=$A47)*(Log!$B$4:$B$1203=H$29)*(Log!$E$4:$E$1203="A")*(Log!$F$4:$F$1203&lt;&gt;"")*Log!$F$4:$F$1203))))</f>
        <v/>
      </c>
      <c r="I47" s="88" t="str">
        <f aca="false">IF($A47="","",IF(SUMPRODUCT(MAX((Log!$D$4:$D$1203=$A47)*(Log!$B$4:$B$1203=I$29)*(Log!$E$4:$E$1203="A")*(Log!$F$4:$F$1203&lt;&gt;"")*Log!$F$4:$F$1203))=0,"",SUMPRODUCT(MAX((Log!$D$4:$D$1203=$A47)*(Log!$B$4:$B$1203=I$29)*(Log!$E$4:$E$1203="A")*(Log!$F$4:$F$1203&lt;&gt;"")*Log!$F$4:$F$1203))))</f>
        <v/>
      </c>
      <c r="J47" s="88" t="str">
        <f aca="false">IF($A47="","",IF(SUMPRODUCT(MAX((Log!$D$4:$D$1203=$A47)*(Log!$B$4:$B$1203=J$29)*(Log!$E$4:$E$1203="A")*(Log!$F$4:$F$1203&lt;&gt;"")*Log!$F$4:$F$1203))=0,"",SUMPRODUCT(MAX((Log!$D$4:$D$1203=$A47)*(Log!$B$4:$B$1203=J$29)*(Log!$E$4:$E$1203="A")*(Log!$F$4:$F$1203&lt;&gt;"")*Log!$F$4:$F$1203))))</f>
        <v/>
      </c>
      <c r="K47" s="88" t="str">
        <f aca="false">IF($A47="","",IF(SUMPRODUCT(MAX((Log!$D$4:$D$1203=$A47)*(Log!$B$4:$B$1203=K$29)*(Log!$E$4:$E$1203="A")*(Log!$F$4:$F$1203&lt;&gt;"")*Log!$F$4:$F$1203))=0,"",SUMPRODUCT(MAX((Log!$D$4:$D$1203=$A47)*(Log!$B$4:$B$1203=K$29)*(Log!$E$4:$E$1203="A")*(Log!$F$4:$F$1203&lt;&gt;"")*Log!$F$4:$F$1203))))</f>
        <v/>
      </c>
      <c r="L47" s="88" t="str">
        <f aca="false">IF($A47="","",IF(SUMPRODUCT(MAX((Log!$D$4:$D$1203=$A47)*(Log!$B$4:$B$1203=L$29)*(Log!$E$4:$E$1203="A")*(Log!$F$4:$F$1203&lt;&gt;"")*Log!$F$4:$F$1203))=0,"",SUMPRODUCT(MAX((Log!$D$4:$D$1203=$A47)*(Log!$B$4:$B$1203=L$29)*(Log!$E$4:$E$1203="A")*(Log!$F$4:$F$1203&lt;&gt;"")*Log!$F$4:$F$1203))))</f>
        <v/>
      </c>
      <c r="M47" s="88" t="str">
        <f aca="false">IF($A47="","",IF(SUMPRODUCT(MAX((Log!$D$4:$D$1203=$A47)*(Log!$B$4:$B$1203=M$29)*(Log!$E$4:$E$1203="A")*(Log!$F$4:$F$1203&lt;&gt;"")*Log!$F$4:$F$1203))=0,"",SUMPRODUCT(MAX((Log!$D$4:$D$1203=$A47)*(Log!$B$4:$B$1203=M$29)*(Log!$E$4:$E$1203="A")*(Log!$F$4:$F$1203&lt;&gt;"")*Log!$F$4:$F$1203))))</f>
        <v/>
      </c>
      <c r="N47" s="88" t="str">
        <f aca="false">IF($A47="","",IF(SUMPRODUCT(MAX((Log!$D$4:$D$1203=$A47)*(Log!$B$4:$B$1203=N$29)*(Log!$E$4:$E$1203="A")*(Log!$F$4:$F$1203&lt;&gt;"")*Log!$F$4:$F$1203))=0,"",SUMPRODUCT(MAX((Log!$D$4:$D$1203=$A47)*(Log!$B$4:$B$1203=N$29)*(Log!$E$4:$E$1203="A")*(Log!$F$4:$F$1203&lt;&gt;"")*Log!$F$4:$F$1203))))</f>
        <v/>
      </c>
      <c r="O47" s="88" t="str">
        <f aca="false">IF($A47="","",IF(SUMPRODUCT(MAX((Log!$D$4:$D$1203=$A47)*(Log!$B$4:$B$1203=O$29)*(Log!$E$4:$E$1203="A")*(Log!$F$4:$F$1203&lt;&gt;"")*Log!$F$4:$F$1203))=0,"",SUMPRODUCT(MAX((Log!$D$4:$D$1203=$A47)*(Log!$B$4:$B$1203=O$29)*(Log!$E$4:$E$1203="A")*(Log!$F$4:$F$1203&lt;&gt;"")*Log!$F$4:$F$1203))))</f>
        <v/>
      </c>
      <c r="P47" s="88" t="str">
        <f aca="false">IF($A47="","",IF(SUMPRODUCT(MAX((Log!$D$4:$D$1203=$A47)*(Log!$B$4:$B$1203=P$29)*(Log!$E$4:$E$1203="A")*(Log!$F$4:$F$1203&lt;&gt;"")*Log!$F$4:$F$1203))=0,"",SUMPRODUCT(MAX((Log!$D$4:$D$1203=$A47)*(Log!$B$4:$B$1203=P$29)*(Log!$E$4:$E$1203="A")*(Log!$F$4:$F$1203&lt;&gt;"")*Log!$F$4:$F$1203))))</f>
        <v/>
      </c>
      <c r="Q47" s="88" t="str">
        <f aca="false">IF($A47="","",IF(SUMPRODUCT(MAX((Log!$D$4:$D$1203=$A47)*(Log!$B$4:$B$1203=Q$29)*(Log!$E$4:$E$1203="A")*(Log!$F$4:$F$1203&lt;&gt;"")*Log!$F$4:$F$1203))=0,"",SUMPRODUCT(MAX((Log!$D$4:$D$1203=$A47)*(Log!$B$4:$B$1203=Q$29)*(Log!$E$4:$E$1203="A")*(Log!$F$4:$F$1203&lt;&gt;"")*Log!$F$4:$F$1203))))</f>
        <v/>
      </c>
      <c r="R47" s="87" t="n">
        <f aca="false">IF($A47="","",IF(SUMPRODUCT(MAX((Log!$D$4:$D$1203=$A47)*(Log!$E$4:$E$1203="A")*(Log!$F$4:$F$1203&lt;&gt;"")*Log!$F$4:$F$1203))=0,"",SUMPRODUCT(MAX((Log!$D$4:$D$1203=$A47)*(Log!$E$4:$E$1203="A")*(Log!$F$4:$F$1203&lt;&gt;"")*Log!$F$4:$F$1203))))</f>
        <v>84</v>
      </c>
    </row>
    <row r="48" customFormat="false" ht="16.5" hidden="false" customHeight="true" outlineLevel="0" collapsed="false">
      <c r="A48" s="34" t="str">
        <f aca="false">IF(Übungen!$A22="","",Übungen!$A22)</f>
        <v/>
      </c>
      <c r="B48" s="86" t="str">
        <f aca="false">IF($A48="","",IF(SUMPRODUCT(MAX((Log!$D$4:$D$1203=$A48)*(Log!$B$4:$B$1203=B$29)*(Log!$E$4:$E$1203="A")*(Log!$F$4:$F$1203&lt;&gt;"")*Log!$F$4:$F$1203))=0,"",SUMPRODUCT(MAX((Log!$D$4:$D$1203=$A48)*(Log!$B$4:$B$1203=B$29)*(Log!$E$4:$E$1203="A")*(Log!$F$4:$F$1203&lt;&gt;"")*Log!$F$4:$F$1203))))</f>
        <v/>
      </c>
      <c r="C48" s="86" t="str">
        <f aca="false">IF($A48="","",IF(SUMPRODUCT(MAX((Log!$D$4:$D$1203=$A48)*(Log!$B$4:$B$1203=C$29)*(Log!$E$4:$E$1203="A")*(Log!$F$4:$F$1203&lt;&gt;"")*Log!$F$4:$F$1203))=0,"",SUMPRODUCT(MAX((Log!$D$4:$D$1203=$A48)*(Log!$B$4:$B$1203=C$29)*(Log!$E$4:$E$1203="A")*(Log!$F$4:$F$1203&lt;&gt;"")*Log!$F$4:$F$1203))))</f>
        <v/>
      </c>
      <c r="D48" s="86" t="str">
        <f aca="false">IF($A48="","",IF(SUMPRODUCT(MAX((Log!$D$4:$D$1203=$A48)*(Log!$B$4:$B$1203=D$29)*(Log!$E$4:$E$1203="A")*(Log!$F$4:$F$1203&lt;&gt;"")*Log!$F$4:$F$1203))=0,"",SUMPRODUCT(MAX((Log!$D$4:$D$1203=$A48)*(Log!$B$4:$B$1203=D$29)*(Log!$E$4:$E$1203="A")*(Log!$F$4:$F$1203&lt;&gt;"")*Log!$F$4:$F$1203))))</f>
        <v/>
      </c>
      <c r="E48" s="86" t="str">
        <f aca="false">IF($A48="","",IF(SUMPRODUCT(MAX((Log!$D$4:$D$1203=$A48)*(Log!$B$4:$B$1203=E$29)*(Log!$E$4:$E$1203="A")*(Log!$F$4:$F$1203&lt;&gt;"")*Log!$F$4:$F$1203))=0,"",SUMPRODUCT(MAX((Log!$D$4:$D$1203=$A48)*(Log!$B$4:$B$1203=E$29)*(Log!$E$4:$E$1203="A")*(Log!$F$4:$F$1203&lt;&gt;"")*Log!$F$4:$F$1203))))</f>
        <v/>
      </c>
      <c r="F48" s="86" t="str">
        <f aca="false">IF($A48="","",IF(SUMPRODUCT(MAX((Log!$D$4:$D$1203=$A48)*(Log!$B$4:$B$1203=F$29)*(Log!$E$4:$E$1203="A")*(Log!$F$4:$F$1203&lt;&gt;"")*Log!$F$4:$F$1203))=0,"",SUMPRODUCT(MAX((Log!$D$4:$D$1203=$A48)*(Log!$B$4:$B$1203=F$29)*(Log!$E$4:$E$1203="A")*(Log!$F$4:$F$1203&lt;&gt;"")*Log!$F$4:$F$1203))))</f>
        <v/>
      </c>
      <c r="G48" s="86" t="str">
        <f aca="false">IF($A48="","",IF(SUMPRODUCT(MAX((Log!$D$4:$D$1203=$A48)*(Log!$B$4:$B$1203=G$29)*(Log!$E$4:$E$1203="A")*(Log!$F$4:$F$1203&lt;&gt;"")*Log!$F$4:$F$1203))=0,"",SUMPRODUCT(MAX((Log!$D$4:$D$1203=$A48)*(Log!$B$4:$B$1203=G$29)*(Log!$E$4:$E$1203="A")*(Log!$F$4:$F$1203&lt;&gt;"")*Log!$F$4:$F$1203))))</f>
        <v/>
      </c>
      <c r="H48" s="86" t="str">
        <f aca="false">IF($A48="","",IF(SUMPRODUCT(MAX((Log!$D$4:$D$1203=$A48)*(Log!$B$4:$B$1203=H$29)*(Log!$E$4:$E$1203="A")*(Log!$F$4:$F$1203&lt;&gt;"")*Log!$F$4:$F$1203))=0,"",SUMPRODUCT(MAX((Log!$D$4:$D$1203=$A48)*(Log!$B$4:$B$1203=H$29)*(Log!$E$4:$E$1203="A")*(Log!$F$4:$F$1203&lt;&gt;"")*Log!$F$4:$F$1203))))</f>
        <v/>
      </c>
      <c r="I48" s="86" t="str">
        <f aca="false">IF($A48="","",IF(SUMPRODUCT(MAX((Log!$D$4:$D$1203=$A48)*(Log!$B$4:$B$1203=I$29)*(Log!$E$4:$E$1203="A")*(Log!$F$4:$F$1203&lt;&gt;"")*Log!$F$4:$F$1203))=0,"",SUMPRODUCT(MAX((Log!$D$4:$D$1203=$A48)*(Log!$B$4:$B$1203=I$29)*(Log!$E$4:$E$1203="A")*(Log!$F$4:$F$1203&lt;&gt;"")*Log!$F$4:$F$1203))))</f>
        <v/>
      </c>
      <c r="J48" s="86" t="str">
        <f aca="false">IF($A48="","",IF(SUMPRODUCT(MAX((Log!$D$4:$D$1203=$A48)*(Log!$B$4:$B$1203=J$29)*(Log!$E$4:$E$1203="A")*(Log!$F$4:$F$1203&lt;&gt;"")*Log!$F$4:$F$1203))=0,"",SUMPRODUCT(MAX((Log!$D$4:$D$1203=$A48)*(Log!$B$4:$B$1203=J$29)*(Log!$E$4:$E$1203="A")*(Log!$F$4:$F$1203&lt;&gt;"")*Log!$F$4:$F$1203))))</f>
        <v/>
      </c>
      <c r="K48" s="86" t="str">
        <f aca="false">IF($A48="","",IF(SUMPRODUCT(MAX((Log!$D$4:$D$1203=$A48)*(Log!$B$4:$B$1203=K$29)*(Log!$E$4:$E$1203="A")*(Log!$F$4:$F$1203&lt;&gt;"")*Log!$F$4:$F$1203))=0,"",SUMPRODUCT(MAX((Log!$D$4:$D$1203=$A48)*(Log!$B$4:$B$1203=K$29)*(Log!$E$4:$E$1203="A")*(Log!$F$4:$F$1203&lt;&gt;"")*Log!$F$4:$F$1203))))</f>
        <v/>
      </c>
      <c r="L48" s="86" t="str">
        <f aca="false">IF($A48="","",IF(SUMPRODUCT(MAX((Log!$D$4:$D$1203=$A48)*(Log!$B$4:$B$1203=L$29)*(Log!$E$4:$E$1203="A")*(Log!$F$4:$F$1203&lt;&gt;"")*Log!$F$4:$F$1203))=0,"",SUMPRODUCT(MAX((Log!$D$4:$D$1203=$A48)*(Log!$B$4:$B$1203=L$29)*(Log!$E$4:$E$1203="A")*(Log!$F$4:$F$1203&lt;&gt;"")*Log!$F$4:$F$1203))))</f>
        <v/>
      </c>
      <c r="M48" s="86" t="str">
        <f aca="false">IF($A48="","",IF(SUMPRODUCT(MAX((Log!$D$4:$D$1203=$A48)*(Log!$B$4:$B$1203=M$29)*(Log!$E$4:$E$1203="A")*(Log!$F$4:$F$1203&lt;&gt;"")*Log!$F$4:$F$1203))=0,"",SUMPRODUCT(MAX((Log!$D$4:$D$1203=$A48)*(Log!$B$4:$B$1203=M$29)*(Log!$E$4:$E$1203="A")*(Log!$F$4:$F$1203&lt;&gt;"")*Log!$F$4:$F$1203))))</f>
        <v/>
      </c>
      <c r="N48" s="86" t="str">
        <f aca="false">IF($A48="","",IF(SUMPRODUCT(MAX((Log!$D$4:$D$1203=$A48)*(Log!$B$4:$B$1203=N$29)*(Log!$E$4:$E$1203="A")*(Log!$F$4:$F$1203&lt;&gt;"")*Log!$F$4:$F$1203))=0,"",SUMPRODUCT(MAX((Log!$D$4:$D$1203=$A48)*(Log!$B$4:$B$1203=N$29)*(Log!$E$4:$E$1203="A")*(Log!$F$4:$F$1203&lt;&gt;"")*Log!$F$4:$F$1203))))</f>
        <v/>
      </c>
      <c r="O48" s="86" t="str">
        <f aca="false">IF($A48="","",IF(SUMPRODUCT(MAX((Log!$D$4:$D$1203=$A48)*(Log!$B$4:$B$1203=O$29)*(Log!$E$4:$E$1203="A")*(Log!$F$4:$F$1203&lt;&gt;"")*Log!$F$4:$F$1203))=0,"",SUMPRODUCT(MAX((Log!$D$4:$D$1203=$A48)*(Log!$B$4:$B$1203=O$29)*(Log!$E$4:$E$1203="A")*(Log!$F$4:$F$1203&lt;&gt;"")*Log!$F$4:$F$1203))))</f>
        <v/>
      </c>
      <c r="P48" s="86" t="str">
        <f aca="false">IF($A48="","",IF(SUMPRODUCT(MAX((Log!$D$4:$D$1203=$A48)*(Log!$B$4:$B$1203=P$29)*(Log!$E$4:$E$1203="A")*(Log!$F$4:$F$1203&lt;&gt;"")*Log!$F$4:$F$1203))=0,"",SUMPRODUCT(MAX((Log!$D$4:$D$1203=$A48)*(Log!$B$4:$B$1203=P$29)*(Log!$E$4:$E$1203="A")*(Log!$F$4:$F$1203&lt;&gt;"")*Log!$F$4:$F$1203))))</f>
        <v/>
      </c>
      <c r="Q48" s="86" t="str">
        <f aca="false">IF($A48="","",IF(SUMPRODUCT(MAX((Log!$D$4:$D$1203=$A48)*(Log!$B$4:$B$1203=Q$29)*(Log!$E$4:$E$1203="A")*(Log!$F$4:$F$1203&lt;&gt;"")*Log!$F$4:$F$1203))=0,"",SUMPRODUCT(MAX((Log!$D$4:$D$1203=$A48)*(Log!$B$4:$B$1203=Q$29)*(Log!$E$4:$E$1203="A")*(Log!$F$4:$F$1203&lt;&gt;"")*Log!$F$4:$F$1203))))</f>
        <v/>
      </c>
      <c r="R48" s="87" t="str">
        <f aca="false">IF($A48="","",IF(SUMPRODUCT(MAX((Log!$D$4:$D$1203=$A48)*(Log!$E$4:$E$1203="A")*(Log!$F$4:$F$1203&lt;&gt;"")*Log!$F$4:$F$1203))=0,"",SUMPRODUCT(MAX((Log!$D$4:$D$1203=$A48)*(Log!$E$4:$E$1203="A")*(Log!$F$4:$F$1203&lt;&gt;"")*Log!$F$4:$F$1203))))</f>
        <v/>
      </c>
    </row>
    <row r="49" customFormat="false" ht="16.5" hidden="false" customHeight="true" outlineLevel="0" collapsed="false">
      <c r="A49" s="40" t="str">
        <f aca="false">IF(Übungen!$A23="","",Übungen!$A23)</f>
        <v/>
      </c>
      <c r="B49" s="88" t="str">
        <f aca="false">IF($A49="","",IF(SUMPRODUCT(MAX((Log!$D$4:$D$1203=$A49)*(Log!$B$4:$B$1203=B$29)*(Log!$E$4:$E$1203="A")*(Log!$F$4:$F$1203&lt;&gt;"")*Log!$F$4:$F$1203))=0,"",SUMPRODUCT(MAX((Log!$D$4:$D$1203=$A49)*(Log!$B$4:$B$1203=B$29)*(Log!$E$4:$E$1203="A")*(Log!$F$4:$F$1203&lt;&gt;"")*Log!$F$4:$F$1203))))</f>
        <v/>
      </c>
      <c r="C49" s="88" t="str">
        <f aca="false">IF($A49="","",IF(SUMPRODUCT(MAX((Log!$D$4:$D$1203=$A49)*(Log!$B$4:$B$1203=C$29)*(Log!$E$4:$E$1203="A")*(Log!$F$4:$F$1203&lt;&gt;"")*Log!$F$4:$F$1203))=0,"",SUMPRODUCT(MAX((Log!$D$4:$D$1203=$A49)*(Log!$B$4:$B$1203=C$29)*(Log!$E$4:$E$1203="A")*(Log!$F$4:$F$1203&lt;&gt;"")*Log!$F$4:$F$1203))))</f>
        <v/>
      </c>
      <c r="D49" s="88" t="str">
        <f aca="false">IF($A49="","",IF(SUMPRODUCT(MAX((Log!$D$4:$D$1203=$A49)*(Log!$B$4:$B$1203=D$29)*(Log!$E$4:$E$1203="A")*(Log!$F$4:$F$1203&lt;&gt;"")*Log!$F$4:$F$1203))=0,"",SUMPRODUCT(MAX((Log!$D$4:$D$1203=$A49)*(Log!$B$4:$B$1203=D$29)*(Log!$E$4:$E$1203="A")*(Log!$F$4:$F$1203&lt;&gt;"")*Log!$F$4:$F$1203))))</f>
        <v/>
      </c>
      <c r="E49" s="88" t="str">
        <f aca="false">IF($A49="","",IF(SUMPRODUCT(MAX((Log!$D$4:$D$1203=$A49)*(Log!$B$4:$B$1203=E$29)*(Log!$E$4:$E$1203="A")*(Log!$F$4:$F$1203&lt;&gt;"")*Log!$F$4:$F$1203))=0,"",SUMPRODUCT(MAX((Log!$D$4:$D$1203=$A49)*(Log!$B$4:$B$1203=E$29)*(Log!$E$4:$E$1203="A")*(Log!$F$4:$F$1203&lt;&gt;"")*Log!$F$4:$F$1203))))</f>
        <v/>
      </c>
      <c r="F49" s="88" t="str">
        <f aca="false">IF($A49="","",IF(SUMPRODUCT(MAX((Log!$D$4:$D$1203=$A49)*(Log!$B$4:$B$1203=F$29)*(Log!$E$4:$E$1203="A")*(Log!$F$4:$F$1203&lt;&gt;"")*Log!$F$4:$F$1203))=0,"",SUMPRODUCT(MAX((Log!$D$4:$D$1203=$A49)*(Log!$B$4:$B$1203=F$29)*(Log!$E$4:$E$1203="A")*(Log!$F$4:$F$1203&lt;&gt;"")*Log!$F$4:$F$1203))))</f>
        <v/>
      </c>
      <c r="G49" s="88" t="str">
        <f aca="false">IF($A49="","",IF(SUMPRODUCT(MAX((Log!$D$4:$D$1203=$A49)*(Log!$B$4:$B$1203=G$29)*(Log!$E$4:$E$1203="A")*(Log!$F$4:$F$1203&lt;&gt;"")*Log!$F$4:$F$1203))=0,"",SUMPRODUCT(MAX((Log!$D$4:$D$1203=$A49)*(Log!$B$4:$B$1203=G$29)*(Log!$E$4:$E$1203="A")*(Log!$F$4:$F$1203&lt;&gt;"")*Log!$F$4:$F$1203))))</f>
        <v/>
      </c>
      <c r="H49" s="88" t="str">
        <f aca="false">IF($A49="","",IF(SUMPRODUCT(MAX((Log!$D$4:$D$1203=$A49)*(Log!$B$4:$B$1203=H$29)*(Log!$E$4:$E$1203="A")*(Log!$F$4:$F$1203&lt;&gt;"")*Log!$F$4:$F$1203))=0,"",SUMPRODUCT(MAX((Log!$D$4:$D$1203=$A49)*(Log!$B$4:$B$1203=H$29)*(Log!$E$4:$E$1203="A")*(Log!$F$4:$F$1203&lt;&gt;"")*Log!$F$4:$F$1203))))</f>
        <v/>
      </c>
      <c r="I49" s="88" t="str">
        <f aca="false">IF($A49="","",IF(SUMPRODUCT(MAX((Log!$D$4:$D$1203=$A49)*(Log!$B$4:$B$1203=I$29)*(Log!$E$4:$E$1203="A")*(Log!$F$4:$F$1203&lt;&gt;"")*Log!$F$4:$F$1203))=0,"",SUMPRODUCT(MAX((Log!$D$4:$D$1203=$A49)*(Log!$B$4:$B$1203=I$29)*(Log!$E$4:$E$1203="A")*(Log!$F$4:$F$1203&lt;&gt;"")*Log!$F$4:$F$1203))))</f>
        <v/>
      </c>
      <c r="J49" s="88" t="str">
        <f aca="false">IF($A49="","",IF(SUMPRODUCT(MAX((Log!$D$4:$D$1203=$A49)*(Log!$B$4:$B$1203=J$29)*(Log!$E$4:$E$1203="A")*(Log!$F$4:$F$1203&lt;&gt;"")*Log!$F$4:$F$1203))=0,"",SUMPRODUCT(MAX((Log!$D$4:$D$1203=$A49)*(Log!$B$4:$B$1203=J$29)*(Log!$E$4:$E$1203="A")*(Log!$F$4:$F$1203&lt;&gt;"")*Log!$F$4:$F$1203))))</f>
        <v/>
      </c>
      <c r="K49" s="88" t="str">
        <f aca="false">IF($A49="","",IF(SUMPRODUCT(MAX((Log!$D$4:$D$1203=$A49)*(Log!$B$4:$B$1203=K$29)*(Log!$E$4:$E$1203="A")*(Log!$F$4:$F$1203&lt;&gt;"")*Log!$F$4:$F$1203))=0,"",SUMPRODUCT(MAX((Log!$D$4:$D$1203=$A49)*(Log!$B$4:$B$1203=K$29)*(Log!$E$4:$E$1203="A")*(Log!$F$4:$F$1203&lt;&gt;"")*Log!$F$4:$F$1203))))</f>
        <v/>
      </c>
      <c r="L49" s="88" t="str">
        <f aca="false">IF($A49="","",IF(SUMPRODUCT(MAX((Log!$D$4:$D$1203=$A49)*(Log!$B$4:$B$1203=L$29)*(Log!$E$4:$E$1203="A")*(Log!$F$4:$F$1203&lt;&gt;"")*Log!$F$4:$F$1203))=0,"",SUMPRODUCT(MAX((Log!$D$4:$D$1203=$A49)*(Log!$B$4:$B$1203=L$29)*(Log!$E$4:$E$1203="A")*(Log!$F$4:$F$1203&lt;&gt;"")*Log!$F$4:$F$1203))))</f>
        <v/>
      </c>
      <c r="M49" s="88" t="str">
        <f aca="false">IF($A49="","",IF(SUMPRODUCT(MAX((Log!$D$4:$D$1203=$A49)*(Log!$B$4:$B$1203=M$29)*(Log!$E$4:$E$1203="A")*(Log!$F$4:$F$1203&lt;&gt;"")*Log!$F$4:$F$1203))=0,"",SUMPRODUCT(MAX((Log!$D$4:$D$1203=$A49)*(Log!$B$4:$B$1203=M$29)*(Log!$E$4:$E$1203="A")*(Log!$F$4:$F$1203&lt;&gt;"")*Log!$F$4:$F$1203))))</f>
        <v/>
      </c>
      <c r="N49" s="88" t="str">
        <f aca="false">IF($A49="","",IF(SUMPRODUCT(MAX((Log!$D$4:$D$1203=$A49)*(Log!$B$4:$B$1203=N$29)*(Log!$E$4:$E$1203="A")*(Log!$F$4:$F$1203&lt;&gt;"")*Log!$F$4:$F$1203))=0,"",SUMPRODUCT(MAX((Log!$D$4:$D$1203=$A49)*(Log!$B$4:$B$1203=N$29)*(Log!$E$4:$E$1203="A")*(Log!$F$4:$F$1203&lt;&gt;"")*Log!$F$4:$F$1203))))</f>
        <v/>
      </c>
      <c r="O49" s="88" t="str">
        <f aca="false">IF($A49="","",IF(SUMPRODUCT(MAX((Log!$D$4:$D$1203=$A49)*(Log!$B$4:$B$1203=O$29)*(Log!$E$4:$E$1203="A")*(Log!$F$4:$F$1203&lt;&gt;"")*Log!$F$4:$F$1203))=0,"",SUMPRODUCT(MAX((Log!$D$4:$D$1203=$A49)*(Log!$B$4:$B$1203=O$29)*(Log!$E$4:$E$1203="A")*(Log!$F$4:$F$1203&lt;&gt;"")*Log!$F$4:$F$1203))))</f>
        <v/>
      </c>
      <c r="P49" s="88" t="str">
        <f aca="false">IF($A49="","",IF(SUMPRODUCT(MAX((Log!$D$4:$D$1203=$A49)*(Log!$B$4:$B$1203=P$29)*(Log!$E$4:$E$1203="A")*(Log!$F$4:$F$1203&lt;&gt;"")*Log!$F$4:$F$1203))=0,"",SUMPRODUCT(MAX((Log!$D$4:$D$1203=$A49)*(Log!$B$4:$B$1203=P$29)*(Log!$E$4:$E$1203="A")*(Log!$F$4:$F$1203&lt;&gt;"")*Log!$F$4:$F$1203))))</f>
        <v/>
      </c>
      <c r="Q49" s="88" t="str">
        <f aca="false">IF($A49="","",IF(SUMPRODUCT(MAX((Log!$D$4:$D$1203=$A49)*(Log!$B$4:$B$1203=Q$29)*(Log!$E$4:$E$1203="A")*(Log!$F$4:$F$1203&lt;&gt;"")*Log!$F$4:$F$1203))=0,"",SUMPRODUCT(MAX((Log!$D$4:$D$1203=$A49)*(Log!$B$4:$B$1203=Q$29)*(Log!$E$4:$E$1203="A")*(Log!$F$4:$F$1203&lt;&gt;"")*Log!$F$4:$F$1203))))</f>
        <v/>
      </c>
      <c r="R49" s="87" t="str">
        <f aca="false">IF($A49="","",IF(SUMPRODUCT(MAX((Log!$D$4:$D$1203=$A49)*(Log!$E$4:$E$1203="A")*(Log!$F$4:$F$1203&lt;&gt;"")*Log!$F$4:$F$1203))=0,"",SUMPRODUCT(MAX((Log!$D$4:$D$1203=$A49)*(Log!$E$4:$E$1203="A")*(Log!$F$4:$F$1203&lt;&gt;"")*Log!$F$4:$F$1203))))</f>
        <v/>
      </c>
    </row>
    <row r="52" customFormat="false" ht="19.5" hidden="false" customHeight="true" outlineLevel="0" collapsed="false">
      <c r="A52" s="3" t="s">
        <v>508</v>
      </c>
      <c r="B52" s="3"/>
      <c r="C52" s="3"/>
      <c r="D52" s="3"/>
      <c r="E52" s="3"/>
      <c r="F52" s="3"/>
      <c r="G52" s="3"/>
      <c r="H52" s="3"/>
      <c r="I52" s="3"/>
      <c r="J52" s="3"/>
      <c r="K52" s="3"/>
      <c r="L52" s="3"/>
      <c r="M52" s="3"/>
      <c r="N52" s="3"/>
      <c r="O52" s="3"/>
      <c r="P52" s="3"/>
      <c r="Q52" s="3"/>
      <c r="R52" s="3"/>
    </row>
    <row r="53" customFormat="false" ht="21.75" hidden="false" customHeight="true" outlineLevel="0" collapsed="false">
      <c r="A53" s="13" t="s">
        <v>170</v>
      </c>
      <c r="B53" s="82" t="n">
        <f aca="false">$B$3</f>
        <v>1</v>
      </c>
      <c r="C53" s="82" t="n">
        <f aca="false">B53+1</f>
        <v>2</v>
      </c>
      <c r="D53" s="82" t="n">
        <f aca="false">C53+1</f>
        <v>3</v>
      </c>
      <c r="E53" s="82" t="n">
        <f aca="false">D53+1</f>
        <v>4</v>
      </c>
      <c r="F53" s="82" t="n">
        <f aca="false">E53+1</f>
        <v>5</v>
      </c>
      <c r="G53" s="82" t="n">
        <f aca="false">F53+1</f>
        <v>6</v>
      </c>
      <c r="H53" s="82" t="n">
        <f aca="false">G53+1</f>
        <v>7</v>
      </c>
      <c r="I53" s="82" t="n">
        <f aca="false">H53+1</f>
        <v>8</v>
      </c>
      <c r="J53" s="82" t="n">
        <f aca="false">I53+1</f>
        <v>9</v>
      </c>
      <c r="K53" s="82" t="n">
        <f aca="false">J53+1</f>
        <v>10</v>
      </c>
      <c r="L53" s="82" t="n">
        <f aca="false">K53+1</f>
        <v>11</v>
      </c>
      <c r="M53" s="82" t="n">
        <f aca="false">L53+1</f>
        <v>12</v>
      </c>
      <c r="N53" s="82" t="n">
        <f aca="false">M53+1</f>
        <v>13</v>
      </c>
      <c r="O53" s="82" t="n">
        <f aca="false">N53+1</f>
        <v>14</v>
      </c>
      <c r="P53" s="82" t="n">
        <f aca="false">O53+1</f>
        <v>15</v>
      </c>
      <c r="Q53" s="82" t="n">
        <f aca="false">P53+1</f>
        <v>16</v>
      </c>
      <c r="R53" s="13" t="s">
        <v>507</v>
      </c>
    </row>
    <row r="54" customFormat="false" ht="16.5" hidden="false" customHeight="true" outlineLevel="0" collapsed="false">
      <c r="A54" s="34" t="str">
        <f aca="false">IF(Übungen!$A4="","",Übungen!$A4)</f>
        <v>Beinpresse eng</v>
      </c>
      <c r="B54" s="86" t="str">
        <f aca="false">IF($A54="","",IF(SUMPRODUCT(MAX((Log!$D$4:$D$1203=$A54)*(Log!$B$4:$B$1203=B$53)*(Log!$E$4:$E$1203="A")*(Log!$F$4:$F$1203&lt;&gt;"")*(Log!$G$4:$G$1203&lt;&gt;"")*Log!$F$4:$F$1203*(1+Log!$G$4:$G$1203/30)))=0,"",SUMPRODUCT(MAX((Log!$D$4:$D$1203=$A54)*(Log!$B$4:$B$1203=B$53)*(Log!$E$4:$E$1203="A")*(Log!$F$4:$F$1203&lt;&gt;"")*(Log!$G$4:$G$1203&lt;&gt;"")*Log!$F$4:$F$1203*(1+Log!$G$4:$G$1203/30)))))</f>
        <v/>
      </c>
      <c r="C54" s="86" t="str">
        <f aca="false">IF($A54="","",IF(SUMPRODUCT(MAX((Log!$D$4:$D$1203=$A54)*(Log!$B$4:$B$1203=C$53)*(Log!$E$4:$E$1203="A")*(Log!$F$4:$F$1203&lt;&gt;"")*(Log!$G$4:$G$1203&lt;&gt;"")*Log!$F$4:$F$1203*(1+Log!$G$4:$G$1203/30)))=0,"",SUMPRODUCT(MAX((Log!$D$4:$D$1203=$A54)*(Log!$B$4:$B$1203=C$53)*(Log!$E$4:$E$1203="A")*(Log!$F$4:$F$1203&lt;&gt;"")*(Log!$G$4:$G$1203&lt;&gt;"")*Log!$F$4:$F$1203*(1+Log!$G$4:$G$1203/30)))))</f>
        <v/>
      </c>
      <c r="D54" s="86" t="str">
        <f aca="false">IF($A54="","",IF(SUMPRODUCT(MAX((Log!$D$4:$D$1203=$A54)*(Log!$B$4:$B$1203=D$53)*(Log!$E$4:$E$1203="A")*(Log!$F$4:$F$1203&lt;&gt;"")*(Log!$G$4:$G$1203&lt;&gt;"")*Log!$F$4:$F$1203*(1+Log!$G$4:$G$1203/30)))=0,"",SUMPRODUCT(MAX((Log!$D$4:$D$1203=$A54)*(Log!$B$4:$B$1203=D$53)*(Log!$E$4:$E$1203="A")*(Log!$F$4:$F$1203&lt;&gt;"")*(Log!$G$4:$G$1203&lt;&gt;"")*Log!$F$4:$F$1203*(1+Log!$G$4:$G$1203/30)))))</f>
        <v/>
      </c>
      <c r="E54" s="86" t="str">
        <f aca="false">IF($A54="","",IF(SUMPRODUCT(MAX((Log!$D$4:$D$1203=$A54)*(Log!$B$4:$B$1203=E$53)*(Log!$E$4:$E$1203="A")*(Log!$F$4:$F$1203&lt;&gt;"")*(Log!$G$4:$G$1203&lt;&gt;"")*Log!$F$4:$F$1203*(1+Log!$G$4:$G$1203/30)))=0,"",SUMPRODUCT(MAX((Log!$D$4:$D$1203=$A54)*(Log!$B$4:$B$1203=E$53)*(Log!$E$4:$E$1203="A")*(Log!$F$4:$F$1203&lt;&gt;"")*(Log!$G$4:$G$1203&lt;&gt;"")*Log!$F$4:$F$1203*(1+Log!$G$4:$G$1203/30)))))</f>
        <v/>
      </c>
      <c r="F54" s="86" t="n">
        <f aca="false">IF($A54="","",IF(SUMPRODUCT(MAX((Log!$D$4:$D$1203=$A54)*(Log!$B$4:$B$1203=F$53)*(Log!$E$4:$E$1203="A")*(Log!$F$4:$F$1203&lt;&gt;"")*(Log!$G$4:$G$1203&lt;&gt;"")*Log!$F$4:$F$1203*(1+Log!$G$4:$G$1203/30)))=0,"",SUMPRODUCT(MAX((Log!$D$4:$D$1203=$A54)*(Log!$B$4:$B$1203=F$53)*(Log!$E$4:$E$1203="A")*(Log!$F$4:$F$1203&lt;&gt;"")*(Log!$G$4:$G$1203&lt;&gt;"")*Log!$F$4:$F$1203*(1+Log!$G$4:$G$1203/30)))))</f>
        <v>364</v>
      </c>
      <c r="G54" s="86" t="n">
        <f aca="false">IF($A54="","",IF(SUMPRODUCT(MAX((Log!$D$4:$D$1203=$A54)*(Log!$B$4:$B$1203=G$53)*(Log!$E$4:$E$1203="A")*(Log!$F$4:$F$1203&lt;&gt;"")*(Log!$G$4:$G$1203&lt;&gt;"")*Log!$F$4:$F$1203*(1+Log!$G$4:$G$1203/30)))=0,"",SUMPRODUCT(MAX((Log!$D$4:$D$1203=$A54)*(Log!$B$4:$B$1203=G$53)*(Log!$E$4:$E$1203="A")*(Log!$F$4:$F$1203&lt;&gt;"")*(Log!$G$4:$G$1203&lt;&gt;"")*Log!$F$4:$F$1203*(1+Log!$G$4:$G$1203/30)))))</f>
        <v>382.2</v>
      </c>
      <c r="H54" s="86" t="str">
        <f aca="false">IF($A54="","",IF(SUMPRODUCT(MAX((Log!$D$4:$D$1203=$A54)*(Log!$B$4:$B$1203=H$53)*(Log!$E$4:$E$1203="A")*(Log!$F$4:$F$1203&lt;&gt;"")*(Log!$G$4:$G$1203&lt;&gt;"")*Log!$F$4:$F$1203*(1+Log!$G$4:$G$1203/30)))=0,"",SUMPRODUCT(MAX((Log!$D$4:$D$1203=$A54)*(Log!$B$4:$B$1203=H$53)*(Log!$E$4:$E$1203="A")*(Log!$F$4:$F$1203&lt;&gt;"")*(Log!$G$4:$G$1203&lt;&gt;"")*Log!$F$4:$F$1203*(1+Log!$G$4:$G$1203/30)))))</f>
        <v/>
      </c>
      <c r="I54" s="86" t="n">
        <f aca="false">IF($A54="","",IF(SUMPRODUCT(MAX((Log!$D$4:$D$1203=$A54)*(Log!$B$4:$B$1203=I$53)*(Log!$E$4:$E$1203="A")*(Log!$F$4:$F$1203&lt;&gt;"")*(Log!$G$4:$G$1203&lt;&gt;"")*Log!$F$4:$F$1203*(1+Log!$G$4:$G$1203/30)))=0,"",SUMPRODUCT(MAX((Log!$D$4:$D$1203=$A54)*(Log!$B$4:$B$1203=I$53)*(Log!$E$4:$E$1203="A")*(Log!$F$4:$F$1203&lt;&gt;"")*(Log!$G$4:$G$1203&lt;&gt;"")*Log!$F$4:$F$1203*(1+Log!$G$4:$G$1203/30)))))</f>
        <v>421.8</v>
      </c>
      <c r="J54" s="86" t="str">
        <f aca="false">IF($A54="","",IF(SUMPRODUCT(MAX((Log!$D$4:$D$1203=$A54)*(Log!$B$4:$B$1203=J$53)*(Log!$E$4:$E$1203="A")*(Log!$F$4:$F$1203&lt;&gt;"")*(Log!$G$4:$G$1203&lt;&gt;"")*Log!$F$4:$F$1203*(1+Log!$G$4:$G$1203/30)))=0,"",SUMPRODUCT(MAX((Log!$D$4:$D$1203=$A54)*(Log!$B$4:$B$1203=J$53)*(Log!$E$4:$E$1203="A")*(Log!$F$4:$F$1203&lt;&gt;"")*(Log!$G$4:$G$1203&lt;&gt;"")*Log!$F$4:$F$1203*(1+Log!$G$4:$G$1203/30)))))</f>
        <v/>
      </c>
      <c r="K54" s="86" t="n">
        <f aca="false">IF($A54="","",IF(SUMPRODUCT(MAX((Log!$D$4:$D$1203=$A54)*(Log!$B$4:$B$1203=K$53)*(Log!$E$4:$E$1203="A")*(Log!$F$4:$F$1203&lt;&gt;"")*(Log!$G$4:$G$1203&lt;&gt;"")*Log!$F$4:$F$1203*(1+Log!$G$4:$G$1203/30)))=0,"",SUMPRODUCT(MAX((Log!$D$4:$D$1203=$A54)*(Log!$B$4:$B$1203=K$53)*(Log!$E$4:$E$1203="A")*(Log!$F$4:$F$1203&lt;&gt;"")*(Log!$G$4:$G$1203&lt;&gt;"")*Log!$F$4:$F$1203*(1+Log!$G$4:$G$1203/30)))))</f>
        <v>440</v>
      </c>
      <c r="L54" s="86" t="str">
        <f aca="false">IF($A54="","",IF(SUMPRODUCT(MAX((Log!$D$4:$D$1203=$A54)*(Log!$B$4:$B$1203=L$53)*(Log!$E$4:$E$1203="A")*(Log!$F$4:$F$1203&lt;&gt;"")*(Log!$G$4:$G$1203&lt;&gt;"")*Log!$F$4:$F$1203*(1+Log!$G$4:$G$1203/30)))=0,"",SUMPRODUCT(MAX((Log!$D$4:$D$1203=$A54)*(Log!$B$4:$B$1203=L$53)*(Log!$E$4:$E$1203="A")*(Log!$F$4:$F$1203&lt;&gt;"")*(Log!$G$4:$G$1203&lt;&gt;"")*Log!$F$4:$F$1203*(1+Log!$G$4:$G$1203/30)))))</f>
        <v/>
      </c>
      <c r="M54" s="86" t="n">
        <f aca="false">IF($A54="","",IF(SUMPRODUCT(MAX((Log!$D$4:$D$1203=$A54)*(Log!$B$4:$B$1203=M$53)*(Log!$E$4:$E$1203="A")*(Log!$F$4:$F$1203&lt;&gt;"")*(Log!$G$4:$G$1203&lt;&gt;"")*Log!$F$4:$F$1203*(1+Log!$G$4:$G$1203/30)))=0,"",SUMPRODUCT(MAX((Log!$D$4:$D$1203=$A54)*(Log!$B$4:$B$1203=M$53)*(Log!$E$4:$E$1203="A")*(Log!$F$4:$F$1203&lt;&gt;"")*(Log!$G$4:$G$1203&lt;&gt;"")*Log!$F$4:$F$1203*(1+Log!$G$4:$G$1203/30)))))</f>
        <v>316.666666666667</v>
      </c>
      <c r="N54" s="86" t="str">
        <f aca="false">IF($A54="","",IF(SUMPRODUCT(MAX((Log!$D$4:$D$1203=$A54)*(Log!$B$4:$B$1203=N$53)*(Log!$E$4:$E$1203="A")*(Log!$F$4:$F$1203&lt;&gt;"")*(Log!$G$4:$G$1203&lt;&gt;"")*Log!$F$4:$F$1203*(1+Log!$G$4:$G$1203/30)))=0,"",SUMPRODUCT(MAX((Log!$D$4:$D$1203=$A54)*(Log!$B$4:$B$1203=N$53)*(Log!$E$4:$E$1203="A")*(Log!$F$4:$F$1203&lt;&gt;"")*(Log!$G$4:$G$1203&lt;&gt;"")*Log!$F$4:$F$1203*(1+Log!$G$4:$G$1203/30)))))</f>
        <v/>
      </c>
      <c r="O54" s="86" t="str">
        <f aca="false">IF($A54="","",IF(SUMPRODUCT(MAX((Log!$D$4:$D$1203=$A54)*(Log!$B$4:$B$1203=O$53)*(Log!$E$4:$E$1203="A")*(Log!$F$4:$F$1203&lt;&gt;"")*(Log!$G$4:$G$1203&lt;&gt;"")*Log!$F$4:$F$1203*(1+Log!$G$4:$G$1203/30)))=0,"",SUMPRODUCT(MAX((Log!$D$4:$D$1203=$A54)*(Log!$B$4:$B$1203=O$53)*(Log!$E$4:$E$1203="A")*(Log!$F$4:$F$1203&lt;&gt;"")*(Log!$G$4:$G$1203&lt;&gt;"")*Log!$F$4:$F$1203*(1+Log!$G$4:$G$1203/30)))))</f>
        <v/>
      </c>
      <c r="P54" s="86" t="str">
        <f aca="false">IF($A54="","",IF(SUMPRODUCT(MAX((Log!$D$4:$D$1203=$A54)*(Log!$B$4:$B$1203=P$53)*(Log!$E$4:$E$1203="A")*(Log!$F$4:$F$1203&lt;&gt;"")*(Log!$G$4:$G$1203&lt;&gt;"")*Log!$F$4:$F$1203*(1+Log!$G$4:$G$1203/30)))=0,"",SUMPRODUCT(MAX((Log!$D$4:$D$1203=$A54)*(Log!$B$4:$B$1203=P$53)*(Log!$E$4:$E$1203="A")*(Log!$F$4:$F$1203&lt;&gt;"")*(Log!$G$4:$G$1203&lt;&gt;"")*Log!$F$4:$F$1203*(1+Log!$G$4:$G$1203/30)))))</f>
        <v/>
      </c>
      <c r="Q54" s="86" t="n">
        <f aca="false">IF($A54="","",IF(SUMPRODUCT(MAX((Log!$D$4:$D$1203=$A54)*(Log!$B$4:$B$1203=Q$53)*(Log!$E$4:$E$1203="A")*(Log!$F$4:$F$1203&lt;&gt;"")*(Log!$G$4:$G$1203&lt;&gt;"")*Log!$F$4:$F$1203*(1+Log!$G$4:$G$1203/30)))=0,"",SUMPRODUCT(MAX((Log!$D$4:$D$1203=$A54)*(Log!$B$4:$B$1203=Q$53)*(Log!$E$4:$E$1203="A")*(Log!$F$4:$F$1203&lt;&gt;"")*(Log!$G$4:$G$1203&lt;&gt;"")*Log!$F$4:$F$1203*(1+Log!$G$4:$G$1203/30)))))</f>
        <v>350</v>
      </c>
      <c r="R54" s="87" t="n">
        <f aca="false">IF($A54="","",IF(SUMPRODUCT(MAX((Log!$D$4:$D$1203=$A54)*(Log!$E$4:$E$1203="A")*(Log!$F$4:$F$1203&lt;&gt;"")*(Log!$G$4:$G$1203&lt;&gt;"")*Log!$F$4:$F$1203*(1+Log!$G$4:$G$1203/30)))=0,"",SUMPRODUCT(MAX((Log!$D$4:$D$1203=$A54)*(Log!$E$4:$E$1203="A")*(Log!$F$4:$F$1203&lt;&gt;"")*(Log!$G$4:$G$1203&lt;&gt;"")*Log!$F$4:$F$1203*(1+Log!$G$4:$G$1203/30)))))</f>
        <v>440</v>
      </c>
    </row>
    <row r="55" customFormat="false" ht="16.5" hidden="false" customHeight="true" outlineLevel="0" collapsed="false">
      <c r="A55" s="40" t="str">
        <f aca="false">IF(Übungen!$A5="","",Übungen!$A5)</f>
        <v>Split Squat</v>
      </c>
      <c r="B55" s="88" t="n">
        <f aca="false">IF($A55="","",IF(SUMPRODUCT(MAX((Log!$D$4:$D$1203=$A55)*(Log!$B$4:$B$1203=B$53)*(Log!$E$4:$E$1203="A")*(Log!$F$4:$F$1203&lt;&gt;"")*(Log!$G$4:$G$1203&lt;&gt;"")*Log!$F$4:$F$1203*(1+Log!$G$4:$G$1203/30)))=0,"",SUMPRODUCT(MAX((Log!$D$4:$D$1203=$A55)*(Log!$B$4:$B$1203=B$53)*(Log!$E$4:$E$1203="A")*(Log!$F$4:$F$1203&lt;&gt;"")*(Log!$G$4:$G$1203&lt;&gt;"")*Log!$F$4:$F$1203*(1+Log!$G$4:$G$1203/30)))))</f>
        <v>116.666666666667</v>
      </c>
      <c r="C55" s="88" t="n">
        <f aca="false">IF($A55="","",IF(SUMPRODUCT(MAX((Log!$D$4:$D$1203=$A55)*(Log!$B$4:$B$1203=C$53)*(Log!$E$4:$E$1203="A")*(Log!$F$4:$F$1203&lt;&gt;"")*(Log!$G$4:$G$1203&lt;&gt;"")*Log!$F$4:$F$1203*(1+Log!$G$4:$G$1203/30)))=0,"",SUMPRODUCT(MAX((Log!$D$4:$D$1203=$A55)*(Log!$B$4:$B$1203=C$53)*(Log!$E$4:$E$1203="A")*(Log!$F$4:$F$1203&lt;&gt;"")*(Log!$G$4:$G$1203&lt;&gt;"")*Log!$F$4:$F$1203*(1+Log!$G$4:$G$1203/30)))))</f>
        <v>119</v>
      </c>
      <c r="D55" s="88" t="n">
        <f aca="false">IF($A55="","",IF(SUMPRODUCT(MAX((Log!$D$4:$D$1203=$A55)*(Log!$B$4:$B$1203=D$53)*(Log!$E$4:$E$1203="A")*(Log!$F$4:$F$1203&lt;&gt;"")*(Log!$G$4:$G$1203&lt;&gt;"")*Log!$F$4:$F$1203*(1+Log!$G$4:$G$1203/30)))=0,"",SUMPRODUCT(MAX((Log!$D$4:$D$1203=$A55)*(Log!$B$4:$B$1203=D$53)*(Log!$E$4:$E$1203="A")*(Log!$F$4:$F$1203&lt;&gt;"")*(Log!$G$4:$G$1203&lt;&gt;"")*Log!$F$4:$F$1203*(1+Log!$G$4:$G$1203/30)))))</f>
        <v>123.5</v>
      </c>
      <c r="E55" s="88" t="n">
        <f aca="false">IF($A55="","",IF(SUMPRODUCT(MAX((Log!$D$4:$D$1203=$A55)*(Log!$B$4:$B$1203=E$53)*(Log!$E$4:$E$1203="A")*(Log!$F$4:$F$1203&lt;&gt;"")*(Log!$G$4:$G$1203&lt;&gt;"")*Log!$F$4:$F$1203*(1+Log!$G$4:$G$1203/30)))=0,"",SUMPRODUCT(MAX((Log!$D$4:$D$1203=$A55)*(Log!$B$4:$B$1203=E$53)*(Log!$E$4:$E$1203="A")*(Log!$F$4:$F$1203&lt;&gt;"")*(Log!$G$4:$G$1203&lt;&gt;"")*Log!$F$4:$F$1203*(1+Log!$G$4:$G$1203/30)))))</f>
        <v>101.333333333333</v>
      </c>
      <c r="F55" s="88" t="n">
        <f aca="false">IF($A55="","",IF(SUMPRODUCT(MAX((Log!$D$4:$D$1203=$A55)*(Log!$B$4:$B$1203=F$53)*(Log!$E$4:$E$1203="A")*(Log!$F$4:$F$1203&lt;&gt;"")*(Log!$G$4:$G$1203&lt;&gt;"")*Log!$F$4:$F$1203*(1+Log!$G$4:$G$1203/30)))=0,"",SUMPRODUCT(MAX((Log!$D$4:$D$1203=$A55)*(Log!$B$4:$B$1203=F$53)*(Log!$E$4:$E$1203="A")*(Log!$F$4:$F$1203&lt;&gt;"")*(Log!$G$4:$G$1203&lt;&gt;"")*Log!$F$4:$F$1203*(1+Log!$G$4:$G$1203/30)))))</f>
        <v>126.666666666667</v>
      </c>
      <c r="G55" s="88" t="n">
        <f aca="false">IF($A55="","",IF(SUMPRODUCT(MAX((Log!$D$4:$D$1203=$A55)*(Log!$B$4:$B$1203=G$53)*(Log!$E$4:$E$1203="A")*(Log!$F$4:$F$1203&lt;&gt;"")*(Log!$G$4:$G$1203&lt;&gt;"")*Log!$F$4:$F$1203*(1+Log!$G$4:$G$1203/30)))=0,"",SUMPRODUCT(MAX((Log!$D$4:$D$1203=$A55)*(Log!$B$4:$B$1203=G$53)*(Log!$E$4:$E$1203="A")*(Log!$F$4:$F$1203&lt;&gt;"")*(Log!$G$4:$G$1203&lt;&gt;"")*Log!$F$4:$F$1203*(1+Log!$G$4:$G$1203/30)))))</f>
        <v>133.333333333333</v>
      </c>
      <c r="H55" s="88" t="str">
        <f aca="false">IF($A55="","",IF(SUMPRODUCT(MAX((Log!$D$4:$D$1203=$A55)*(Log!$B$4:$B$1203=H$53)*(Log!$E$4:$E$1203="A")*(Log!$F$4:$F$1203&lt;&gt;"")*(Log!$G$4:$G$1203&lt;&gt;"")*Log!$F$4:$F$1203*(1+Log!$G$4:$G$1203/30)))=0,"",SUMPRODUCT(MAX((Log!$D$4:$D$1203=$A55)*(Log!$B$4:$B$1203=H$53)*(Log!$E$4:$E$1203="A")*(Log!$F$4:$F$1203&lt;&gt;"")*(Log!$G$4:$G$1203&lt;&gt;"")*Log!$F$4:$F$1203*(1+Log!$G$4:$G$1203/30)))))</f>
        <v/>
      </c>
      <c r="I55" s="88" t="n">
        <f aca="false">IF($A55="","",IF(SUMPRODUCT(MAX((Log!$D$4:$D$1203=$A55)*(Log!$B$4:$B$1203=I$53)*(Log!$E$4:$E$1203="A")*(Log!$F$4:$F$1203&lt;&gt;"")*(Log!$G$4:$G$1203&lt;&gt;"")*Log!$F$4:$F$1203*(1+Log!$G$4:$G$1203/30)))=0,"",SUMPRODUCT(MAX((Log!$D$4:$D$1203=$A55)*(Log!$B$4:$B$1203=I$53)*(Log!$E$4:$E$1203="A")*(Log!$F$4:$F$1203&lt;&gt;"")*(Log!$G$4:$G$1203&lt;&gt;"")*Log!$F$4:$F$1203*(1+Log!$G$4:$G$1203/30)))))</f>
        <v>138</v>
      </c>
      <c r="J55" s="88" t="str">
        <f aca="false">IF($A55="","",IF(SUMPRODUCT(MAX((Log!$D$4:$D$1203=$A55)*(Log!$B$4:$B$1203=J$53)*(Log!$E$4:$E$1203="A")*(Log!$F$4:$F$1203&lt;&gt;"")*(Log!$G$4:$G$1203&lt;&gt;"")*Log!$F$4:$F$1203*(1+Log!$G$4:$G$1203/30)))=0,"",SUMPRODUCT(MAX((Log!$D$4:$D$1203=$A55)*(Log!$B$4:$B$1203=J$53)*(Log!$E$4:$E$1203="A")*(Log!$F$4:$F$1203&lt;&gt;"")*(Log!$G$4:$G$1203&lt;&gt;"")*Log!$F$4:$F$1203*(1+Log!$G$4:$G$1203/30)))))</f>
        <v/>
      </c>
      <c r="K55" s="88" t="n">
        <f aca="false">IF($A55="","",IF(SUMPRODUCT(MAX((Log!$D$4:$D$1203=$A55)*(Log!$B$4:$B$1203=K$53)*(Log!$E$4:$E$1203="A")*(Log!$F$4:$F$1203&lt;&gt;"")*(Log!$G$4:$G$1203&lt;&gt;"")*Log!$F$4:$F$1203*(1+Log!$G$4:$G$1203/30)))=0,"",SUMPRODUCT(MAX((Log!$D$4:$D$1203=$A55)*(Log!$B$4:$B$1203=K$53)*(Log!$E$4:$E$1203="A")*(Log!$F$4:$F$1203&lt;&gt;"")*(Log!$G$4:$G$1203&lt;&gt;"")*Log!$F$4:$F$1203*(1+Log!$G$4:$G$1203/30)))))</f>
        <v>134.166666666667</v>
      </c>
      <c r="L55" s="88" t="str">
        <f aca="false">IF($A55="","",IF(SUMPRODUCT(MAX((Log!$D$4:$D$1203=$A55)*(Log!$B$4:$B$1203=L$53)*(Log!$E$4:$E$1203="A")*(Log!$F$4:$F$1203&lt;&gt;"")*(Log!$G$4:$G$1203&lt;&gt;"")*Log!$F$4:$F$1203*(1+Log!$G$4:$G$1203/30)))=0,"",SUMPRODUCT(MAX((Log!$D$4:$D$1203=$A55)*(Log!$B$4:$B$1203=L$53)*(Log!$E$4:$E$1203="A")*(Log!$F$4:$F$1203&lt;&gt;"")*(Log!$G$4:$G$1203&lt;&gt;"")*Log!$F$4:$F$1203*(1+Log!$G$4:$G$1203/30)))))</f>
        <v/>
      </c>
      <c r="M55" s="88" t="n">
        <f aca="false">IF($A55="","",IF(SUMPRODUCT(MAX((Log!$D$4:$D$1203=$A55)*(Log!$B$4:$B$1203=M$53)*(Log!$E$4:$E$1203="A")*(Log!$F$4:$F$1203&lt;&gt;"")*(Log!$G$4:$G$1203&lt;&gt;"")*Log!$F$4:$F$1203*(1+Log!$G$4:$G$1203/30)))=0,"",SUMPRODUCT(MAX((Log!$D$4:$D$1203=$A55)*(Log!$B$4:$B$1203=M$53)*(Log!$E$4:$E$1203="A")*(Log!$F$4:$F$1203&lt;&gt;"")*(Log!$G$4:$G$1203&lt;&gt;"")*Log!$F$4:$F$1203*(1+Log!$G$4:$G$1203/30)))))</f>
        <v>96</v>
      </c>
      <c r="N55" s="88" t="str">
        <f aca="false">IF($A55="","",IF(SUMPRODUCT(MAX((Log!$D$4:$D$1203=$A55)*(Log!$B$4:$B$1203=N$53)*(Log!$E$4:$E$1203="A")*(Log!$F$4:$F$1203&lt;&gt;"")*(Log!$G$4:$G$1203&lt;&gt;"")*Log!$F$4:$F$1203*(1+Log!$G$4:$G$1203/30)))=0,"",SUMPRODUCT(MAX((Log!$D$4:$D$1203=$A55)*(Log!$B$4:$B$1203=N$53)*(Log!$E$4:$E$1203="A")*(Log!$F$4:$F$1203&lt;&gt;"")*(Log!$G$4:$G$1203&lt;&gt;"")*Log!$F$4:$F$1203*(1+Log!$G$4:$G$1203/30)))))</f>
        <v/>
      </c>
      <c r="O55" s="88" t="str">
        <f aca="false">IF($A55="","",IF(SUMPRODUCT(MAX((Log!$D$4:$D$1203=$A55)*(Log!$B$4:$B$1203=O$53)*(Log!$E$4:$E$1203="A")*(Log!$F$4:$F$1203&lt;&gt;"")*(Log!$G$4:$G$1203&lt;&gt;"")*Log!$F$4:$F$1203*(1+Log!$G$4:$G$1203/30)))=0,"",SUMPRODUCT(MAX((Log!$D$4:$D$1203=$A55)*(Log!$B$4:$B$1203=O$53)*(Log!$E$4:$E$1203="A")*(Log!$F$4:$F$1203&lt;&gt;"")*(Log!$G$4:$G$1203&lt;&gt;"")*Log!$F$4:$F$1203*(1+Log!$G$4:$G$1203/30)))))</f>
        <v/>
      </c>
      <c r="P55" s="88" t="str">
        <f aca="false">IF($A55="","",IF(SUMPRODUCT(MAX((Log!$D$4:$D$1203=$A55)*(Log!$B$4:$B$1203=P$53)*(Log!$E$4:$E$1203="A")*(Log!$F$4:$F$1203&lt;&gt;"")*(Log!$G$4:$G$1203&lt;&gt;"")*Log!$F$4:$F$1203*(1+Log!$G$4:$G$1203/30)))=0,"",SUMPRODUCT(MAX((Log!$D$4:$D$1203=$A55)*(Log!$B$4:$B$1203=P$53)*(Log!$E$4:$E$1203="A")*(Log!$F$4:$F$1203&lt;&gt;"")*(Log!$G$4:$G$1203&lt;&gt;"")*Log!$F$4:$F$1203*(1+Log!$G$4:$G$1203/30)))))</f>
        <v/>
      </c>
      <c r="Q55" s="88" t="n">
        <f aca="false">IF($A55="","",IF(SUMPRODUCT(MAX((Log!$D$4:$D$1203=$A55)*(Log!$B$4:$B$1203=Q$53)*(Log!$E$4:$E$1203="A")*(Log!$F$4:$F$1203&lt;&gt;"")*(Log!$G$4:$G$1203&lt;&gt;"")*Log!$F$4:$F$1203*(1+Log!$G$4:$G$1203/30)))=0,"",SUMPRODUCT(MAX((Log!$D$4:$D$1203=$A55)*(Log!$B$4:$B$1203=Q$53)*(Log!$E$4:$E$1203="A")*(Log!$F$4:$F$1203&lt;&gt;"")*(Log!$G$4:$G$1203&lt;&gt;"")*Log!$F$4:$F$1203*(1+Log!$G$4:$G$1203/30)))))</f>
        <v>120.333333333333</v>
      </c>
      <c r="R55" s="87" t="n">
        <f aca="false">IF($A55="","",IF(SUMPRODUCT(MAX((Log!$D$4:$D$1203=$A55)*(Log!$E$4:$E$1203="A")*(Log!$F$4:$F$1203&lt;&gt;"")*(Log!$G$4:$G$1203&lt;&gt;"")*Log!$F$4:$F$1203*(1+Log!$G$4:$G$1203/30)))=0,"",SUMPRODUCT(MAX((Log!$D$4:$D$1203=$A55)*(Log!$E$4:$E$1203="A")*(Log!$F$4:$F$1203&lt;&gt;"")*(Log!$G$4:$G$1203&lt;&gt;"")*Log!$F$4:$F$1203*(1+Log!$G$4:$G$1203/30)))))</f>
        <v>144</v>
      </c>
    </row>
    <row r="56" customFormat="false" ht="16.5" hidden="false" customHeight="true" outlineLevel="0" collapsed="false">
      <c r="A56" s="34" t="str">
        <f aca="false">IF(Übungen!$A6="","",Übungen!$A6)</f>
        <v>Beinstrecker</v>
      </c>
      <c r="B56" s="86" t="n">
        <f aca="false">IF($A56="","",IF(SUMPRODUCT(MAX((Log!$D$4:$D$1203=$A56)*(Log!$B$4:$B$1203=B$53)*(Log!$E$4:$E$1203="A")*(Log!$F$4:$F$1203&lt;&gt;"")*(Log!$G$4:$G$1203&lt;&gt;"")*Log!$F$4:$F$1203*(1+Log!$G$4:$G$1203/30)))=0,"",SUMPRODUCT(MAX((Log!$D$4:$D$1203=$A56)*(Log!$B$4:$B$1203=B$53)*(Log!$E$4:$E$1203="A")*(Log!$F$4:$F$1203&lt;&gt;"")*(Log!$G$4:$G$1203&lt;&gt;"")*Log!$F$4:$F$1203*(1+Log!$G$4:$G$1203/30)))))</f>
        <v>100</v>
      </c>
      <c r="C56" s="86" t="n">
        <f aca="false">IF($A56="","",IF(SUMPRODUCT(MAX((Log!$D$4:$D$1203=$A56)*(Log!$B$4:$B$1203=C$53)*(Log!$E$4:$E$1203="A")*(Log!$F$4:$F$1203&lt;&gt;"")*(Log!$G$4:$G$1203&lt;&gt;"")*Log!$F$4:$F$1203*(1+Log!$G$4:$G$1203/30)))=0,"",SUMPRODUCT(MAX((Log!$D$4:$D$1203=$A56)*(Log!$B$4:$B$1203=C$53)*(Log!$E$4:$E$1203="A")*(Log!$F$4:$F$1203&lt;&gt;"")*(Log!$G$4:$G$1203&lt;&gt;"")*Log!$F$4:$F$1203*(1+Log!$G$4:$G$1203/30)))))</f>
        <v>104</v>
      </c>
      <c r="D56" s="86" t="n">
        <f aca="false">IF($A56="","",IF(SUMPRODUCT(MAX((Log!$D$4:$D$1203=$A56)*(Log!$B$4:$B$1203=D$53)*(Log!$E$4:$E$1203="A")*(Log!$F$4:$F$1203&lt;&gt;"")*(Log!$G$4:$G$1203&lt;&gt;"")*Log!$F$4:$F$1203*(1+Log!$G$4:$G$1203/30)))=0,"",SUMPRODUCT(MAX((Log!$D$4:$D$1203=$A56)*(Log!$B$4:$B$1203=D$53)*(Log!$E$4:$E$1203="A")*(Log!$F$4:$F$1203&lt;&gt;"")*(Log!$G$4:$G$1203&lt;&gt;"")*Log!$F$4:$F$1203*(1+Log!$G$4:$G$1203/30)))))</f>
        <v>107.666666666667</v>
      </c>
      <c r="E56" s="86" t="n">
        <f aca="false">IF($A56="","",IF(SUMPRODUCT(MAX((Log!$D$4:$D$1203=$A56)*(Log!$B$4:$B$1203=E$53)*(Log!$E$4:$E$1203="A")*(Log!$F$4:$F$1203&lt;&gt;"")*(Log!$G$4:$G$1203&lt;&gt;"")*Log!$F$4:$F$1203*(1+Log!$G$4:$G$1203/30)))=0,"",SUMPRODUCT(MAX((Log!$D$4:$D$1203=$A56)*(Log!$B$4:$B$1203=E$53)*(Log!$E$4:$E$1203="A")*(Log!$F$4:$F$1203&lt;&gt;"")*(Log!$G$4:$G$1203&lt;&gt;"")*Log!$F$4:$F$1203*(1+Log!$G$4:$G$1203/30)))))</f>
        <v>112</v>
      </c>
      <c r="F56" s="86" t="n">
        <f aca="false">IF($A56="","",IF(SUMPRODUCT(MAX((Log!$D$4:$D$1203=$A56)*(Log!$B$4:$B$1203=F$53)*(Log!$E$4:$E$1203="A")*(Log!$F$4:$F$1203&lt;&gt;"")*(Log!$G$4:$G$1203&lt;&gt;"")*Log!$F$4:$F$1203*(1+Log!$G$4:$G$1203/30)))=0,"",SUMPRODUCT(MAX((Log!$D$4:$D$1203=$A56)*(Log!$B$4:$B$1203=F$53)*(Log!$E$4:$E$1203="A")*(Log!$F$4:$F$1203&lt;&gt;"")*(Log!$G$4:$G$1203&lt;&gt;"")*Log!$F$4:$F$1203*(1+Log!$G$4:$G$1203/30)))))</f>
        <v>106.666666666667</v>
      </c>
      <c r="G56" s="86" t="n">
        <f aca="false">IF($A56="","",IF(SUMPRODUCT(MAX((Log!$D$4:$D$1203=$A56)*(Log!$B$4:$B$1203=G$53)*(Log!$E$4:$E$1203="A")*(Log!$F$4:$F$1203&lt;&gt;"")*(Log!$G$4:$G$1203&lt;&gt;"")*Log!$F$4:$F$1203*(1+Log!$G$4:$G$1203/30)))=0,"",SUMPRODUCT(MAX((Log!$D$4:$D$1203=$A56)*(Log!$B$4:$B$1203=G$53)*(Log!$E$4:$E$1203="A")*(Log!$F$4:$F$1203&lt;&gt;"")*(Log!$G$4:$G$1203&lt;&gt;"")*Log!$F$4:$F$1203*(1+Log!$G$4:$G$1203/30)))))</f>
        <v>114</v>
      </c>
      <c r="H56" s="86" t="str">
        <f aca="false">IF($A56="","",IF(SUMPRODUCT(MAX((Log!$D$4:$D$1203=$A56)*(Log!$B$4:$B$1203=H$53)*(Log!$E$4:$E$1203="A")*(Log!$F$4:$F$1203&lt;&gt;"")*(Log!$G$4:$G$1203&lt;&gt;"")*Log!$F$4:$F$1203*(1+Log!$G$4:$G$1203/30)))=0,"",SUMPRODUCT(MAX((Log!$D$4:$D$1203=$A56)*(Log!$B$4:$B$1203=H$53)*(Log!$E$4:$E$1203="A")*(Log!$F$4:$F$1203&lt;&gt;"")*(Log!$G$4:$G$1203&lt;&gt;"")*Log!$F$4:$F$1203*(1+Log!$G$4:$G$1203/30)))))</f>
        <v/>
      </c>
      <c r="I56" s="86" t="n">
        <f aca="false">IF($A56="","",IF(SUMPRODUCT(MAX((Log!$D$4:$D$1203=$A56)*(Log!$B$4:$B$1203=I$53)*(Log!$E$4:$E$1203="A")*(Log!$F$4:$F$1203&lt;&gt;"")*(Log!$G$4:$G$1203&lt;&gt;"")*Log!$F$4:$F$1203*(1+Log!$G$4:$G$1203/30)))=0,"",SUMPRODUCT(MAX((Log!$D$4:$D$1203=$A56)*(Log!$B$4:$B$1203=I$53)*(Log!$E$4:$E$1203="A")*(Log!$F$4:$F$1203&lt;&gt;"")*(Log!$G$4:$G$1203&lt;&gt;"")*Log!$F$4:$F$1203*(1+Log!$G$4:$G$1203/30)))))</f>
        <v>101.333333333333</v>
      </c>
      <c r="J56" s="86" t="str">
        <f aca="false">IF($A56="","",IF(SUMPRODUCT(MAX((Log!$D$4:$D$1203=$A56)*(Log!$B$4:$B$1203=J$53)*(Log!$E$4:$E$1203="A")*(Log!$F$4:$F$1203&lt;&gt;"")*(Log!$G$4:$G$1203&lt;&gt;"")*Log!$F$4:$F$1203*(1+Log!$G$4:$G$1203/30)))=0,"",SUMPRODUCT(MAX((Log!$D$4:$D$1203=$A56)*(Log!$B$4:$B$1203=J$53)*(Log!$E$4:$E$1203="A")*(Log!$F$4:$F$1203&lt;&gt;"")*(Log!$G$4:$G$1203&lt;&gt;"")*Log!$F$4:$F$1203*(1+Log!$G$4:$G$1203/30)))))</f>
        <v/>
      </c>
      <c r="K56" s="86" t="n">
        <f aca="false">IF($A56="","",IF(SUMPRODUCT(MAX((Log!$D$4:$D$1203=$A56)*(Log!$B$4:$B$1203=K$53)*(Log!$E$4:$E$1203="A")*(Log!$F$4:$F$1203&lt;&gt;"")*(Log!$G$4:$G$1203&lt;&gt;"")*Log!$F$4:$F$1203*(1+Log!$G$4:$G$1203/30)))=0,"",SUMPRODUCT(MAX((Log!$D$4:$D$1203=$A56)*(Log!$B$4:$B$1203=K$53)*(Log!$E$4:$E$1203="A")*(Log!$F$4:$F$1203&lt;&gt;"")*(Log!$G$4:$G$1203&lt;&gt;"")*Log!$F$4:$F$1203*(1+Log!$G$4:$G$1203/30)))))</f>
        <v>109.333333333333</v>
      </c>
      <c r="L56" s="86" t="str">
        <f aca="false">IF($A56="","",IF(SUMPRODUCT(MAX((Log!$D$4:$D$1203=$A56)*(Log!$B$4:$B$1203=L$53)*(Log!$E$4:$E$1203="A")*(Log!$F$4:$F$1203&lt;&gt;"")*(Log!$G$4:$G$1203&lt;&gt;"")*Log!$F$4:$F$1203*(1+Log!$G$4:$G$1203/30)))=0,"",SUMPRODUCT(MAX((Log!$D$4:$D$1203=$A56)*(Log!$B$4:$B$1203=L$53)*(Log!$E$4:$E$1203="A")*(Log!$F$4:$F$1203&lt;&gt;"")*(Log!$G$4:$G$1203&lt;&gt;"")*Log!$F$4:$F$1203*(1+Log!$G$4:$G$1203/30)))))</f>
        <v/>
      </c>
      <c r="M56" s="86" t="n">
        <f aca="false">IF($A56="","",IF(SUMPRODUCT(MAX((Log!$D$4:$D$1203=$A56)*(Log!$B$4:$B$1203=M$53)*(Log!$E$4:$E$1203="A")*(Log!$F$4:$F$1203&lt;&gt;"")*(Log!$G$4:$G$1203&lt;&gt;"")*Log!$F$4:$F$1203*(1+Log!$G$4:$G$1203/30)))=0,"",SUMPRODUCT(MAX((Log!$D$4:$D$1203=$A56)*(Log!$B$4:$B$1203=M$53)*(Log!$E$4:$E$1203="A")*(Log!$F$4:$F$1203&lt;&gt;"")*(Log!$G$4:$G$1203&lt;&gt;"")*Log!$F$4:$F$1203*(1+Log!$G$4:$G$1203/30)))))</f>
        <v>98.1666666666667</v>
      </c>
      <c r="N56" s="86" t="str">
        <f aca="false">IF($A56="","",IF(SUMPRODUCT(MAX((Log!$D$4:$D$1203=$A56)*(Log!$B$4:$B$1203=N$53)*(Log!$E$4:$E$1203="A")*(Log!$F$4:$F$1203&lt;&gt;"")*(Log!$G$4:$G$1203&lt;&gt;"")*Log!$F$4:$F$1203*(1+Log!$G$4:$G$1203/30)))=0,"",SUMPRODUCT(MAX((Log!$D$4:$D$1203=$A56)*(Log!$B$4:$B$1203=N$53)*(Log!$E$4:$E$1203="A")*(Log!$F$4:$F$1203&lt;&gt;"")*(Log!$G$4:$G$1203&lt;&gt;"")*Log!$F$4:$F$1203*(1+Log!$G$4:$G$1203/30)))))</f>
        <v/>
      </c>
      <c r="O56" s="86" t="str">
        <f aca="false">IF($A56="","",IF(SUMPRODUCT(MAX((Log!$D$4:$D$1203=$A56)*(Log!$B$4:$B$1203=O$53)*(Log!$E$4:$E$1203="A")*(Log!$F$4:$F$1203&lt;&gt;"")*(Log!$G$4:$G$1203&lt;&gt;"")*Log!$F$4:$F$1203*(1+Log!$G$4:$G$1203/30)))=0,"",SUMPRODUCT(MAX((Log!$D$4:$D$1203=$A56)*(Log!$B$4:$B$1203=O$53)*(Log!$E$4:$E$1203="A")*(Log!$F$4:$F$1203&lt;&gt;"")*(Log!$G$4:$G$1203&lt;&gt;"")*Log!$F$4:$F$1203*(1+Log!$G$4:$G$1203/30)))))</f>
        <v/>
      </c>
      <c r="P56" s="86" t="str">
        <f aca="false">IF($A56="","",IF(SUMPRODUCT(MAX((Log!$D$4:$D$1203=$A56)*(Log!$B$4:$B$1203=P$53)*(Log!$E$4:$E$1203="A")*(Log!$F$4:$F$1203&lt;&gt;"")*(Log!$G$4:$G$1203&lt;&gt;"")*Log!$F$4:$F$1203*(1+Log!$G$4:$G$1203/30)))=0,"",SUMPRODUCT(MAX((Log!$D$4:$D$1203=$A56)*(Log!$B$4:$B$1203=P$53)*(Log!$E$4:$E$1203="A")*(Log!$F$4:$F$1203&lt;&gt;"")*(Log!$G$4:$G$1203&lt;&gt;"")*Log!$F$4:$F$1203*(1+Log!$G$4:$G$1203/30)))))</f>
        <v/>
      </c>
      <c r="Q56" s="86" t="n">
        <f aca="false">IF($A56="","",IF(SUMPRODUCT(MAX((Log!$D$4:$D$1203=$A56)*(Log!$B$4:$B$1203=Q$53)*(Log!$E$4:$E$1203="A")*(Log!$F$4:$F$1203&lt;&gt;"")*(Log!$G$4:$G$1203&lt;&gt;"")*Log!$F$4:$F$1203*(1+Log!$G$4:$G$1203/30)))=0,"",SUMPRODUCT(MAX((Log!$D$4:$D$1203=$A56)*(Log!$B$4:$B$1203=Q$53)*(Log!$E$4:$E$1203="A")*(Log!$F$4:$F$1203&lt;&gt;"")*(Log!$G$4:$G$1203&lt;&gt;"")*Log!$F$4:$F$1203*(1+Log!$G$4:$G$1203/30)))))</f>
        <v>96</v>
      </c>
      <c r="R56" s="87" t="n">
        <f aca="false">IF($A56="","",IF(SUMPRODUCT(MAX((Log!$D$4:$D$1203=$A56)*(Log!$E$4:$E$1203="A")*(Log!$F$4:$F$1203&lt;&gt;"")*(Log!$G$4:$G$1203&lt;&gt;"")*Log!$F$4:$F$1203*(1+Log!$G$4:$G$1203/30)))=0,"",SUMPRODUCT(MAX((Log!$D$4:$D$1203=$A56)*(Log!$E$4:$E$1203="A")*(Log!$F$4:$F$1203&lt;&gt;"")*(Log!$G$4:$G$1203&lt;&gt;"")*Log!$F$4:$F$1203*(1+Log!$G$4:$G$1203/30)))))</f>
        <v>114</v>
      </c>
    </row>
    <row r="57" customFormat="false" ht="16.5" hidden="false" customHeight="true" outlineLevel="0" collapsed="false">
      <c r="A57" s="40" t="str">
        <f aca="false">IF(Übungen!$A7="","",Übungen!$A7)</f>
        <v>Adduktion</v>
      </c>
      <c r="B57" s="88" t="n">
        <f aca="false">IF($A57="","",IF(SUMPRODUCT(MAX((Log!$D$4:$D$1203=$A57)*(Log!$B$4:$B$1203=B$53)*(Log!$E$4:$E$1203="A")*(Log!$F$4:$F$1203&lt;&gt;"")*(Log!$G$4:$G$1203&lt;&gt;"")*Log!$F$4:$F$1203*(1+Log!$G$4:$G$1203/30)))=0,"",SUMPRODUCT(MAX((Log!$D$4:$D$1203=$A57)*(Log!$B$4:$B$1203=B$53)*(Log!$E$4:$E$1203="A")*(Log!$F$4:$F$1203&lt;&gt;"")*(Log!$G$4:$G$1203&lt;&gt;"")*Log!$F$4:$F$1203*(1+Log!$G$4:$G$1203/30)))))</f>
        <v>238.916666666667</v>
      </c>
      <c r="C57" s="88" t="n">
        <f aca="false">IF($A57="","",IF(SUMPRODUCT(MAX((Log!$D$4:$D$1203=$A57)*(Log!$B$4:$B$1203=C$53)*(Log!$E$4:$E$1203="A")*(Log!$F$4:$F$1203&lt;&gt;"")*(Log!$G$4:$G$1203&lt;&gt;"")*Log!$F$4:$F$1203*(1+Log!$G$4:$G$1203/30)))=0,"",SUMPRODUCT(MAX((Log!$D$4:$D$1203=$A57)*(Log!$B$4:$B$1203=C$53)*(Log!$E$4:$E$1203="A")*(Log!$F$4:$F$1203&lt;&gt;"")*(Log!$G$4:$G$1203&lt;&gt;"")*Log!$F$4:$F$1203*(1+Log!$G$4:$G$1203/30)))))</f>
        <v>254.166666666667</v>
      </c>
      <c r="D57" s="88" t="n">
        <f aca="false">IF($A57="","",IF(SUMPRODUCT(MAX((Log!$D$4:$D$1203=$A57)*(Log!$B$4:$B$1203=D$53)*(Log!$E$4:$E$1203="A")*(Log!$F$4:$F$1203&lt;&gt;"")*(Log!$G$4:$G$1203&lt;&gt;"")*Log!$F$4:$F$1203*(1+Log!$G$4:$G$1203/30)))=0,"",SUMPRODUCT(MAX((Log!$D$4:$D$1203=$A57)*(Log!$B$4:$B$1203=D$53)*(Log!$E$4:$E$1203="A")*(Log!$F$4:$F$1203&lt;&gt;"")*(Log!$G$4:$G$1203&lt;&gt;"")*Log!$F$4:$F$1203*(1+Log!$G$4:$G$1203/30)))))</f>
        <v>264.333333333333</v>
      </c>
      <c r="E57" s="88" t="n">
        <f aca="false">IF($A57="","",IF(SUMPRODUCT(MAX((Log!$D$4:$D$1203=$A57)*(Log!$B$4:$B$1203=E$53)*(Log!$E$4:$E$1203="A")*(Log!$F$4:$F$1203&lt;&gt;"")*(Log!$G$4:$G$1203&lt;&gt;"")*Log!$F$4:$F$1203*(1+Log!$G$4:$G$1203/30)))=0,"",SUMPRODUCT(MAX((Log!$D$4:$D$1203=$A57)*(Log!$B$4:$B$1203=E$53)*(Log!$E$4:$E$1203="A")*(Log!$F$4:$F$1203&lt;&gt;"")*(Log!$G$4:$G$1203&lt;&gt;"")*Log!$F$4:$F$1203*(1+Log!$G$4:$G$1203/30)))))</f>
        <v>279.583333333333</v>
      </c>
      <c r="F57" s="88" t="n">
        <f aca="false">IF($A57="","",IF(SUMPRODUCT(MAX((Log!$D$4:$D$1203=$A57)*(Log!$B$4:$B$1203=F$53)*(Log!$E$4:$E$1203="A")*(Log!$F$4:$F$1203&lt;&gt;"")*(Log!$G$4:$G$1203&lt;&gt;"")*Log!$F$4:$F$1203*(1+Log!$G$4:$G$1203/30)))=0,"",SUMPRODUCT(MAX((Log!$D$4:$D$1203=$A57)*(Log!$B$4:$B$1203=F$53)*(Log!$E$4:$E$1203="A")*(Log!$F$4:$F$1203&lt;&gt;"")*(Log!$G$4:$G$1203&lt;&gt;"")*Log!$F$4:$F$1203*(1+Log!$G$4:$G$1203/30)))))</f>
        <v>249.166666666667</v>
      </c>
      <c r="G57" s="88" t="n">
        <f aca="false">IF($A57="","",IF(SUMPRODUCT(MAX((Log!$D$4:$D$1203=$A57)*(Log!$B$4:$B$1203=G$53)*(Log!$E$4:$E$1203="A")*(Log!$F$4:$F$1203&lt;&gt;"")*(Log!$G$4:$G$1203&lt;&gt;"")*Log!$F$4:$F$1203*(1+Log!$G$4:$G$1203/30)))=0,"",SUMPRODUCT(MAX((Log!$D$4:$D$1203=$A57)*(Log!$B$4:$B$1203=G$53)*(Log!$E$4:$E$1203="A")*(Log!$F$4:$F$1203&lt;&gt;"")*(Log!$G$4:$G$1203&lt;&gt;"")*Log!$F$4:$F$1203*(1+Log!$G$4:$G$1203/30)))))</f>
        <v>228</v>
      </c>
      <c r="H57" s="88" t="str">
        <f aca="false">IF($A57="","",IF(SUMPRODUCT(MAX((Log!$D$4:$D$1203=$A57)*(Log!$B$4:$B$1203=H$53)*(Log!$E$4:$E$1203="A")*(Log!$F$4:$F$1203&lt;&gt;"")*(Log!$G$4:$G$1203&lt;&gt;"")*Log!$F$4:$F$1203*(1+Log!$G$4:$G$1203/30)))=0,"",SUMPRODUCT(MAX((Log!$D$4:$D$1203=$A57)*(Log!$B$4:$B$1203=H$53)*(Log!$E$4:$E$1203="A")*(Log!$F$4:$F$1203&lt;&gt;"")*(Log!$G$4:$G$1203&lt;&gt;"")*Log!$F$4:$F$1203*(1+Log!$G$4:$G$1203/30)))))</f>
        <v/>
      </c>
      <c r="I57" s="88" t="n">
        <f aca="false">IF($A57="","",IF(SUMPRODUCT(MAX((Log!$D$4:$D$1203=$A57)*(Log!$B$4:$B$1203=I$53)*(Log!$E$4:$E$1203="A")*(Log!$F$4:$F$1203&lt;&gt;"")*(Log!$G$4:$G$1203&lt;&gt;"")*Log!$F$4:$F$1203*(1+Log!$G$4:$G$1203/30)))=0,"",SUMPRODUCT(MAX((Log!$D$4:$D$1203=$A57)*(Log!$B$4:$B$1203=I$53)*(Log!$E$4:$E$1203="A")*(Log!$F$4:$F$1203&lt;&gt;"")*(Log!$G$4:$G$1203&lt;&gt;"")*Log!$F$4:$F$1203*(1+Log!$G$4:$G$1203/30)))))</f>
        <v>215.833333333333</v>
      </c>
      <c r="J57" s="88" t="str">
        <f aca="false">IF($A57="","",IF(SUMPRODUCT(MAX((Log!$D$4:$D$1203=$A57)*(Log!$B$4:$B$1203=J$53)*(Log!$E$4:$E$1203="A")*(Log!$F$4:$F$1203&lt;&gt;"")*(Log!$G$4:$G$1203&lt;&gt;"")*Log!$F$4:$F$1203*(1+Log!$G$4:$G$1203/30)))=0,"",SUMPRODUCT(MAX((Log!$D$4:$D$1203=$A57)*(Log!$B$4:$B$1203=J$53)*(Log!$E$4:$E$1203="A")*(Log!$F$4:$F$1203&lt;&gt;"")*(Log!$G$4:$G$1203&lt;&gt;"")*Log!$F$4:$F$1203*(1+Log!$G$4:$G$1203/30)))))</f>
        <v/>
      </c>
      <c r="K57" s="88" t="str">
        <f aca="false">IF($A57="","",IF(SUMPRODUCT(MAX((Log!$D$4:$D$1203=$A57)*(Log!$B$4:$B$1203=K$53)*(Log!$E$4:$E$1203="A")*(Log!$F$4:$F$1203&lt;&gt;"")*(Log!$G$4:$G$1203&lt;&gt;"")*Log!$F$4:$F$1203*(1+Log!$G$4:$G$1203/30)))=0,"",SUMPRODUCT(MAX((Log!$D$4:$D$1203=$A57)*(Log!$B$4:$B$1203=K$53)*(Log!$E$4:$E$1203="A")*(Log!$F$4:$F$1203&lt;&gt;"")*(Log!$G$4:$G$1203&lt;&gt;"")*Log!$F$4:$F$1203*(1+Log!$G$4:$G$1203/30)))))</f>
        <v/>
      </c>
      <c r="L57" s="88" t="str">
        <f aca="false">IF($A57="","",IF(SUMPRODUCT(MAX((Log!$D$4:$D$1203=$A57)*(Log!$B$4:$B$1203=L$53)*(Log!$E$4:$E$1203="A")*(Log!$F$4:$F$1203&lt;&gt;"")*(Log!$G$4:$G$1203&lt;&gt;"")*Log!$F$4:$F$1203*(1+Log!$G$4:$G$1203/30)))=0,"",SUMPRODUCT(MAX((Log!$D$4:$D$1203=$A57)*(Log!$B$4:$B$1203=L$53)*(Log!$E$4:$E$1203="A")*(Log!$F$4:$F$1203&lt;&gt;"")*(Log!$G$4:$G$1203&lt;&gt;"")*Log!$F$4:$F$1203*(1+Log!$G$4:$G$1203/30)))))</f>
        <v/>
      </c>
      <c r="M57" s="88" t="str">
        <f aca="false">IF($A57="","",IF(SUMPRODUCT(MAX((Log!$D$4:$D$1203=$A57)*(Log!$B$4:$B$1203=M$53)*(Log!$E$4:$E$1203="A")*(Log!$F$4:$F$1203&lt;&gt;"")*(Log!$G$4:$G$1203&lt;&gt;"")*Log!$F$4:$F$1203*(1+Log!$G$4:$G$1203/30)))=0,"",SUMPRODUCT(MAX((Log!$D$4:$D$1203=$A57)*(Log!$B$4:$B$1203=M$53)*(Log!$E$4:$E$1203="A")*(Log!$F$4:$F$1203&lt;&gt;"")*(Log!$G$4:$G$1203&lt;&gt;"")*Log!$F$4:$F$1203*(1+Log!$G$4:$G$1203/30)))))</f>
        <v/>
      </c>
      <c r="N57" s="88" t="str">
        <f aca="false">IF($A57="","",IF(SUMPRODUCT(MAX((Log!$D$4:$D$1203=$A57)*(Log!$B$4:$B$1203=N$53)*(Log!$E$4:$E$1203="A")*(Log!$F$4:$F$1203&lt;&gt;"")*(Log!$G$4:$G$1203&lt;&gt;"")*Log!$F$4:$F$1203*(1+Log!$G$4:$G$1203/30)))=0,"",SUMPRODUCT(MAX((Log!$D$4:$D$1203=$A57)*(Log!$B$4:$B$1203=N$53)*(Log!$E$4:$E$1203="A")*(Log!$F$4:$F$1203&lt;&gt;"")*(Log!$G$4:$G$1203&lt;&gt;"")*Log!$F$4:$F$1203*(1+Log!$G$4:$G$1203/30)))))</f>
        <v/>
      </c>
      <c r="O57" s="88" t="str">
        <f aca="false">IF($A57="","",IF(SUMPRODUCT(MAX((Log!$D$4:$D$1203=$A57)*(Log!$B$4:$B$1203=O$53)*(Log!$E$4:$E$1203="A")*(Log!$F$4:$F$1203&lt;&gt;"")*(Log!$G$4:$G$1203&lt;&gt;"")*Log!$F$4:$F$1203*(1+Log!$G$4:$G$1203/30)))=0,"",SUMPRODUCT(MAX((Log!$D$4:$D$1203=$A57)*(Log!$B$4:$B$1203=O$53)*(Log!$E$4:$E$1203="A")*(Log!$F$4:$F$1203&lt;&gt;"")*(Log!$G$4:$G$1203&lt;&gt;"")*Log!$F$4:$F$1203*(1+Log!$G$4:$G$1203/30)))))</f>
        <v/>
      </c>
      <c r="P57" s="88" t="str">
        <f aca="false">IF($A57="","",IF(SUMPRODUCT(MAX((Log!$D$4:$D$1203=$A57)*(Log!$B$4:$B$1203=P$53)*(Log!$E$4:$E$1203="A")*(Log!$F$4:$F$1203&lt;&gt;"")*(Log!$G$4:$G$1203&lt;&gt;"")*Log!$F$4:$F$1203*(1+Log!$G$4:$G$1203/30)))=0,"",SUMPRODUCT(MAX((Log!$D$4:$D$1203=$A57)*(Log!$B$4:$B$1203=P$53)*(Log!$E$4:$E$1203="A")*(Log!$F$4:$F$1203&lt;&gt;"")*(Log!$G$4:$G$1203&lt;&gt;"")*Log!$F$4:$F$1203*(1+Log!$G$4:$G$1203/30)))))</f>
        <v/>
      </c>
      <c r="Q57" s="88" t="str">
        <f aca="false">IF($A57="","",IF(SUMPRODUCT(MAX((Log!$D$4:$D$1203=$A57)*(Log!$B$4:$B$1203=Q$53)*(Log!$E$4:$E$1203="A")*(Log!$F$4:$F$1203&lt;&gt;"")*(Log!$G$4:$G$1203&lt;&gt;"")*Log!$F$4:$F$1203*(1+Log!$G$4:$G$1203/30)))=0,"",SUMPRODUCT(MAX((Log!$D$4:$D$1203=$A57)*(Log!$B$4:$B$1203=Q$53)*(Log!$E$4:$E$1203="A")*(Log!$F$4:$F$1203&lt;&gt;"")*(Log!$G$4:$G$1203&lt;&gt;"")*Log!$F$4:$F$1203*(1+Log!$G$4:$G$1203/30)))))</f>
        <v/>
      </c>
      <c r="R57" s="87" t="n">
        <f aca="false">IF($A57="","",IF(SUMPRODUCT(MAX((Log!$D$4:$D$1203=$A57)*(Log!$E$4:$E$1203="A")*(Log!$F$4:$F$1203&lt;&gt;"")*(Log!$G$4:$G$1203&lt;&gt;"")*Log!$F$4:$F$1203*(1+Log!$G$4:$G$1203/30)))=0,"",SUMPRODUCT(MAX((Log!$D$4:$D$1203=$A57)*(Log!$E$4:$E$1203="A")*(Log!$F$4:$F$1203&lt;&gt;"")*(Log!$G$4:$G$1203&lt;&gt;"")*Log!$F$4:$F$1203*(1+Log!$G$4:$G$1203/30)))))</f>
        <v>279.583333333333</v>
      </c>
    </row>
    <row r="58" customFormat="false" ht="16.5" hidden="false" customHeight="true" outlineLevel="0" collapsed="false">
      <c r="A58" s="34" t="str">
        <f aca="false">IF(Übungen!$A8="","",Übungen!$A8)</f>
        <v>Reverse V-Squat</v>
      </c>
      <c r="B58" s="86" t="str">
        <f aca="false">IF($A58="","",IF(SUMPRODUCT(MAX((Log!$D$4:$D$1203=$A58)*(Log!$B$4:$B$1203=B$53)*(Log!$E$4:$E$1203="A")*(Log!$F$4:$F$1203&lt;&gt;"")*(Log!$G$4:$G$1203&lt;&gt;"")*Log!$F$4:$F$1203*(1+Log!$G$4:$G$1203/30)))=0,"",SUMPRODUCT(MAX((Log!$D$4:$D$1203=$A58)*(Log!$B$4:$B$1203=B$53)*(Log!$E$4:$E$1203="A")*(Log!$F$4:$F$1203&lt;&gt;"")*(Log!$G$4:$G$1203&lt;&gt;"")*Log!$F$4:$F$1203*(1+Log!$G$4:$G$1203/30)))))</f>
        <v/>
      </c>
      <c r="C58" s="86" t="str">
        <f aca="false">IF($A58="","",IF(SUMPRODUCT(MAX((Log!$D$4:$D$1203=$A58)*(Log!$B$4:$B$1203=C$53)*(Log!$E$4:$E$1203="A")*(Log!$F$4:$F$1203&lt;&gt;"")*(Log!$G$4:$G$1203&lt;&gt;"")*Log!$F$4:$F$1203*(1+Log!$G$4:$G$1203/30)))=0,"",SUMPRODUCT(MAX((Log!$D$4:$D$1203=$A58)*(Log!$B$4:$B$1203=C$53)*(Log!$E$4:$E$1203="A")*(Log!$F$4:$F$1203&lt;&gt;"")*(Log!$G$4:$G$1203&lt;&gt;"")*Log!$F$4:$F$1203*(1+Log!$G$4:$G$1203/30)))))</f>
        <v/>
      </c>
      <c r="D58" s="86" t="str">
        <f aca="false">IF($A58="","",IF(SUMPRODUCT(MAX((Log!$D$4:$D$1203=$A58)*(Log!$B$4:$B$1203=D$53)*(Log!$E$4:$E$1203="A")*(Log!$F$4:$F$1203&lt;&gt;"")*(Log!$G$4:$G$1203&lt;&gt;"")*Log!$F$4:$F$1203*(1+Log!$G$4:$G$1203/30)))=0,"",SUMPRODUCT(MAX((Log!$D$4:$D$1203=$A58)*(Log!$B$4:$B$1203=D$53)*(Log!$E$4:$E$1203="A")*(Log!$F$4:$F$1203&lt;&gt;"")*(Log!$G$4:$G$1203&lt;&gt;"")*Log!$F$4:$F$1203*(1+Log!$G$4:$G$1203/30)))))</f>
        <v/>
      </c>
      <c r="E58" s="86" t="str">
        <f aca="false">IF($A58="","",IF(SUMPRODUCT(MAX((Log!$D$4:$D$1203=$A58)*(Log!$B$4:$B$1203=E$53)*(Log!$E$4:$E$1203="A")*(Log!$F$4:$F$1203&lt;&gt;"")*(Log!$G$4:$G$1203&lt;&gt;"")*Log!$F$4:$F$1203*(1+Log!$G$4:$G$1203/30)))=0,"",SUMPRODUCT(MAX((Log!$D$4:$D$1203=$A58)*(Log!$B$4:$B$1203=E$53)*(Log!$E$4:$E$1203="A")*(Log!$F$4:$F$1203&lt;&gt;"")*(Log!$G$4:$G$1203&lt;&gt;"")*Log!$F$4:$F$1203*(1+Log!$G$4:$G$1203/30)))))</f>
        <v/>
      </c>
      <c r="F58" s="86" t="str">
        <f aca="false">IF($A58="","",IF(SUMPRODUCT(MAX((Log!$D$4:$D$1203=$A58)*(Log!$B$4:$B$1203=F$53)*(Log!$E$4:$E$1203="A")*(Log!$F$4:$F$1203&lt;&gt;"")*(Log!$G$4:$G$1203&lt;&gt;"")*Log!$F$4:$F$1203*(1+Log!$G$4:$G$1203/30)))=0,"",SUMPRODUCT(MAX((Log!$D$4:$D$1203=$A58)*(Log!$B$4:$B$1203=F$53)*(Log!$E$4:$E$1203="A")*(Log!$F$4:$F$1203&lt;&gt;"")*(Log!$G$4:$G$1203&lt;&gt;"")*Log!$F$4:$F$1203*(1+Log!$G$4:$G$1203/30)))))</f>
        <v/>
      </c>
      <c r="G58" s="86" t="str">
        <f aca="false">IF($A58="","",IF(SUMPRODUCT(MAX((Log!$D$4:$D$1203=$A58)*(Log!$B$4:$B$1203=G$53)*(Log!$E$4:$E$1203="A")*(Log!$F$4:$F$1203&lt;&gt;"")*(Log!$G$4:$G$1203&lt;&gt;"")*Log!$F$4:$F$1203*(1+Log!$G$4:$G$1203/30)))=0,"",SUMPRODUCT(MAX((Log!$D$4:$D$1203=$A58)*(Log!$B$4:$B$1203=G$53)*(Log!$E$4:$E$1203="A")*(Log!$F$4:$F$1203&lt;&gt;"")*(Log!$G$4:$G$1203&lt;&gt;"")*Log!$F$4:$F$1203*(1+Log!$G$4:$G$1203/30)))))</f>
        <v/>
      </c>
      <c r="H58" s="86" t="str">
        <f aca="false">IF($A58="","",IF(SUMPRODUCT(MAX((Log!$D$4:$D$1203=$A58)*(Log!$B$4:$B$1203=H$53)*(Log!$E$4:$E$1203="A")*(Log!$F$4:$F$1203&lt;&gt;"")*(Log!$G$4:$G$1203&lt;&gt;"")*Log!$F$4:$F$1203*(1+Log!$G$4:$G$1203/30)))=0,"",SUMPRODUCT(MAX((Log!$D$4:$D$1203=$A58)*(Log!$B$4:$B$1203=H$53)*(Log!$E$4:$E$1203="A")*(Log!$F$4:$F$1203&lt;&gt;"")*(Log!$G$4:$G$1203&lt;&gt;"")*Log!$F$4:$F$1203*(1+Log!$G$4:$G$1203/30)))))</f>
        <v/>
      </c>
      <c r="I58" s="86" t="str">
        <f aca="false">IF($A58="","",IF(SUMPRODUCT(MAX((Log!$D$4:$D$1203=$A58)*(Log!$B$4:$B$1203=I$53)*(Log!$E$4:$E$1203="A")*(Log!$F$4:$F$1203&lt;&gt;"")*(Log!$G$4:$G$1203&lt;&gt;"")*Log!$F$4:$F$1203*(1+Log!$G$4:$G$1203/30)))=0,"",SUMPRODUCT(MAX((Log!$D$4:$D$1203=$A58)*(Log!$B$4:$B$1203=I$53)*(Log!$E$4:$E$1203="A")*(Log!$F$4:$F$1203&lt;&gt;"")*(Log!$G$4:$G$1203&lt;&gt;"")*Log!$F$4:$F$1203*(1+Log!$G$4:$G$1203/30)))))</f>
        <v/>
      </c>
      <c r="J58" s="86" t="str">
        <f aca="false">IF($A58="","",IF(SUMPRODUCT(MAX((Log!$D$4:$D$1203=$A58)*(Log!$B$4:$B$1203=J$53)*(Log!$E$4:$E$1203="A")*(Log!$F$4:$F$1203&lt;&gt;"")*(Log!$G$4:$G$1203&lt;&gt;"")*Log!$F$4:$F$1203*(1+Log!$G$4:$G$1203/30)))=0,"",SUMPRODUCT(MAX((Log!$D$4:$D$1203=$A58)*(Log!$B$4:$B$1203=J$53)*(Log!$E$4:$E$1203="A")*(Log!$F$4:$F$1203&lt;&gt;"")*(Log!$G$4:$G$1203&lt;&gt;"")*Log!$F$4:$F$1203*(1+Log!$G$4:$G$1203/30)))))</f>
        <v/>
      </c>
      <c r="K58" s="86" t="str">
        <f aca="false">IF($A58="","",IF(SUMPRODUCT(MAX((Log!$D$4:$D$1203=$A58)*(Log!$B$4:$B$1203=K$53)*(Log!$E$4:$E$1203="A")*(Log!$F$4:$F$1203&lt;&gt;"")*(Log!$G$4:$G$1203&lt;&gt;"")*Log!$F$4:$F$1203*(1+Log!$G$4:$G$1203/30)))=0,"",SUMPRODUCT(MAX((Log!$D$4:$D$1203=$A58)*(Log!$B$4:$B$1203=K$53)*(Log!$E$4:$E$1203="A")*(Log!$F$4:$F$1203&lt;&gt;"")*(Log!$G$4:$G$1203&lt;&gt;"")*Log!$F$4:$F$1203*(1+Log!$G$4:$G$1203/30)))))</f>
        <v/>
      </c>
      <c r="L58" s="86" t="str">
        <f aca="false">IF($A58="","",IF(SUMPRODUCT(MAX((Log!$D$4:$D$1203=$A58)*(Log!$B$4:$B$1203=L$53)*(Log!$E$4:$E$1203="A")*(Log!$F$4:$F$1203&lt;&gt;"")*(Log!$G$4:$G$1203&lt;&gt;"")*Log!$F$4:$F$1203*(1+Log!$G$4:$G$1203/30)))=0,"",SUMPRODUCT(MAX((Log!$D$4:$D$1203=$A58)*(Log!$B$4:$B$1203=L$53)*(Log!$E$4:$E$1203="A")*(Log!$F$4:$F$1203&lt;&gt;"")*(Log!$G$4:$G$1203&lt;&gt;"")*Log!$F$4:$F$1203*(1+Log!$G$4:$G$1203/30)))))</f>
        <v/>
      </c>
      <c r="M58" s="86" t="str">
        <f aca="false">IF($A58="","",IF(SUMPRODUCT(MAX((Log!$D$4:$D$1203=$A58)*(Log!$B$4:$B$1203=M$53)*(Log!$E$4:$E$1203="A")*(Log!$F$4:$F$1203&lt;&gt;"")*(Log!$G$4:$G$1203&lt;&gt;"")*Log!$F$4:$F$1203*(1+Log!$G$4:$G$1203/30)))=0,"",SUMPRODUCT(MAX((Log!$D$4:$D$1203=$A58)*(Log!$B$4:$B$1203=M$53)*(Log!$E$4:$E$1203="A")*(Log!$F$4:$F$1203&lt;&gt;"")*(Log!$G$4:$G$1203&lt;&gt;"")*Log!$F$4:$F$1203*(1+Log!$G$4:$G$1203/30)))))</f>
        <v/>
      </c>
      <c r="N58" s="86" t="n">
        <f aca="false">IF($A58="","",IF(SUMPRODUCT(MAX((Log!$D$4:$D$1203=$A58)*(Log!$B$4:$B$1203=N$53)*(Log!$E$4:$E$1203="A")*(Log!$F$4:$F$1203&lt;&gt;"")*(Log!$G$4:$G$1203&lt;&gt;"")*Log!$F$4:$F$1203*(1+Log!$G$4:$G$1203/30)))=0,"",SUMPRODUCT(MAX((Log!$D$4:$D$1203=$A58)*(Log!$B$4:$B$1203=N$53)*(Log!$E$4:$E$1203="A")*(Log!$F$4:$F$1203&lt;&gt;"")*(Log!$G$4:$G$1203&lt;&gt;"")*Log!$F$4:$F$1203*(1+Log!$G$4:$G$1203/30)))))</f>
        <v>252</v>
      </c>
      <c r="O58" s="86" t="n">
        <f aca="false">IF($A58="","",IF(SUMPRODUCT(MAX((Log!$D$4:$D$1203=$A58)*(Log!$B$4:$B$1203=O$53)*(Log!$E$4:$E$1203="A")*(Log!$F$4:$F$1203&lt;&gt;"")*(Log!$G$4:$G$1203&lt;&gt;"")*Log!$F$4:$F$1203*(1+Log!$G$4:$G$1203/30)))=0,"",SUMPRODUCT(MAX((Log!$D$4:$D$1203=$A58)*(Log!$B$4:$B$1203=O$53)*(Log!$E$4:$E$1203="A")*(Log!$F$4:$F$1203&lt;&gt;"")*(Log!$G$4:$G$1203&lt;&gt;"")*Log!$F$4:$F$1203*(1+Log!$G$4:$G$1203/30)))))</f>
        <v>250.833333333333</v>
      </c>
      <c r="P58" s="86" t="str">
        <f aca="false">IF($A58="","",IF(SUMPRODUCT(MAX((Log!$D$4:$D$1203=$A58)*(Log!$B$4:$B$1203=P$53)*(Log!$E$4:$E$1203="A")*(Log!$F$4:$F$1203&lt;&gt;"")*(Log!$G$4:$G$1203&lt;&gt;"")*Log!$F$4:$F$1203*(1+Log!$G$4:$G$1203/30)))=0,"",SUMPRODUCT(MAX((Log!$D$4:$D$1203=$A58)*(Log!$B$4:$B$1203=P$53)*(Log!$E$4:$E$1203="A")*(Log!$F$4:$F$1203&lt;&gt;"")*(Log!$G$4:$G$1203&lt;&gt;"")*Log!$F$4:$F$1203*(1+Log!$G$4:$G$1203/30)))))</f>
        <v/>
      </c>
      <c r="Q58" s="86" t="str">
        <f aca="false">IF($A58="","",IF(SUMPRODUCT(MAX((Log!$D$4:$D$1203=$A58)*(Log!$B$4:$B$1203=Q$53)*(Log!$E$4:$E$1203="A")*(Log!$F$4:$F$1203&lt;&gt;"")*(Log!$G$4:$G$1203&lt;&gt;"")*Log!$F$4:$F$1203*(1+Log!$G$4:$G$1203/30)))=0,"",SUMPRODUCT(MAX((Log!$D$4:$D$1203=$A58)*(Log!$B$4:$B$1203=Q$53)*(Log!$E$4:$E$1203="A")*(Log!$F$4:$F$1203&lt;&gt;"")*(Log!$G$4:$G$1203&lt;&gt;"")*Log!$F$4:$F$1203*(1+Log!$G$4:$G$1203/30)))))</f>
        <v/>
      </c>
      <c r="R58" s="87" t="n">
        <f aca="false">IF($A58="","",IF(SUMPRODUCT(MAX((Log!$D$4:$D$1203=$A58)*(Log!$E$4:$E$1203="A")*(Log!$F$4:$F$1203&lt;&gt;"")*(Log!$G$4:$G$1203&lt;&gt;"")*Log!$F$4:$F$1203*(1+Log!$G$4:$G$1203/30)))=0,"",SUMPRODUCT(MAX((Log!$D$4:$D$1203=$A58)*(Log!$E$4:$E$1203="A")*(Log!$F$4:$F$1203&lt;&gt;"")*(Log!$G$4:$G$1203&lt;&gt;"")*Log!$F$4:$F$1203*(1+Log!$G$4:$G$1203/30)))))</f>
        <v>252</v>
      </c>
    </row>
    <row r="59" customFormat="false" ht="16.5" hidden="false" customHeight="true" outlineLevel="0" collapsed="false">
      <c r="A59" s="40" t="str">
        <f aca="false">IF(Übungen!$A9="","",Übungen!$A9)</f>
        <v>Rumänisches Kreuzheben</v>
      </c>
      <c r="B59" s="88" t="str">
        <f aca="false">IF($A59="","",IF(SUMPRODUCT(MAX((Log!$D$4:$D$1203=$A59)*(Log!$B$4:$B$1203=B$53)*(Log!$E$4:$E$1203="A")*(Log!$F$4:$F$1203&lt;&gt;"")*(Log!$G$4:$G$1203&lt;&gt;"")*Log!$F$4:$F$1203*(1+Log!$G$4:$G$1203/30)))=0,"",SUMPRODUCT(MAX((Log!$D$4:$D$1203=$A59)*(Log!$B$4:$B$1203=B$53)*(Log!$E$4:$E$1203="A")*(Log!$F$4:$F$1203&lt;&gt;"")*(Log!$G$4:$G$1203&lt;&gt;"")*Log!$F$4:$F$1203*(1+Log!$G$4:$G$1203/30)))))</f>
        <v/>
      </c>
      <c r="C59" s="88" t="str">
        <f aca="false">IF($A59="","",IF(SUMPRODUCT(MAX((Log!$D$4:$D$1203=$A59)*(Log!$B$4:$B$1203=C$53)*(Log!$E$4:$E$1203="A")*(Log!$F$4:$F$1203&lt;&gt;"")*(Log!$G$4:$G$1203&lt;&gt;"")*Log!$F$4:$F$1203*(1+Log!$G$4:$G$1203/30)))=0,"",SUMPRODUCT(MAX((Log!$D$4:$D$1203=$A59)*(Log!$B$4:$B$1203=C$53)*(Log!$E$4:$E$1203="A")*(Log!$F$4:$F$1203&lt;&gt;"")*(Log!$G$4:$G$1203&lt;&gt;"")*Log!$F$4:$F$1203*(1+Log!$G$4:$G$1203/30)))))</f>
        <v/>
      </c>
      <c r="D59" s="88" t="str">
        <f aca="false">IF($A59="","",IF(SUMPRODUCT(MAX((Log!$D$4:$D$1203=$A59)*(Log!$B$4:$B$1203=D$53)*(Log!$E$4:$E$1203="A")*(Log!$F$4:$F$1203&lt;&gt;"")*(Log!$G$4:$G$1203&lt;&gt;"")*Log!$F$4:$F$1203*(1+Log!$G$4:$G$1203/30)))=0,"",SUMPRODUCT(MAX((Log!$D$4:$D$1203=$A59)*(Log!$B$4:$B$1203=D$53)*(Log!$E$4:$E$1203="A")*(Log!$F$4:$F$1203&lt;&gt;"")*(Log!$G$4:$G$1203&lt;&gt;"")*Log!$F$4:$F$1203*(1+Log!$G$4:$G$1203/30)))))</f>
        <v/>
      </c>
      <c r="E59" s="88" t="str">
        <f aca="false">IF($A59="","",IF(SUMPRODUCT(MAX((Log!$D$4:$D$1203=$A59)*(Log!$B$4:$B$1203=E$53)*(Log!$E$4:$E$1203="A")*(Log!$F$4:$F$1203&lt;&gt;"")*(Log!$G$4:$G$1203&lt;&gt;"")*Log!$F$4:$F$1203*(1+Log!$G$4:$G$1203/30)))=0,"",SUMPRODUCT(MAX((Log!$D$4:$D$1203=$A59)*(Log!$B$4:$B$1203=E$53)*(Log!$E$4:$E$1203="A")*(Log!$F$4:$F$1203&lt;&gt;"")*(Log!$G$4:$G$1203&lt;&gt;"")*Log!$F$4:$F$1203*(1+Log!$G$4:$G$1203/30)))))</f>
        <v/>
      </c>
      <c r="F59" s="88" t="n">
        <f aca="false">IF($A59="","",IF(SUMPRODUCT(MAX((Log!$D$4:$D$1203=$A59)*(Log!$B$4:$B$1203=F$53)*(Log!$E$4:$E$1203="A")*(Log!$F$4:$F$1203&lt;&gt;"")*(Log!$G$4:$G$1203&lt;&gt;"")*Log!$F$4:$F$1203*(1+Log!$G$4:$G$1203/30)))=0,"",SUMPRODUCT(MAX((Log!$D$4:$D$1203=$A59)*(Log!$B$4:$B$1203=F$53)*(Log!$E$4:$E$1203="A")*(Log!$F$4:$F$1203&lt;&gt;"")*(Log!$G$4:$G$1203&lt;&gt;"")*Log!$F$4:$F$1203*(1+Log!$G$4:$G$1203/30)))))</f>
        <v>154</v>
      </c>
      <c r="G59" s="88" t="str">
        <f aca="false">IF($A59="","",IF(SUMPRODUCT(MAX((Log!$D$4:$D$1203=$A59)*(Log!$B$4:$B$1203=G$53)*(Log!$E$4:$E$1203="A")*(Log!$F$4:$F$1203&lt;&gt;"")*(Log!$G$4:$G$1203&lt;&gt;"")*Log!$F$4:$F$1203*(1+Log!$G$4:$G$1203/30)))=0,"",SUMPRODUCT(MAX((Log!$D$4:$D$1203=$A59)*(Log!$B$4:$B$1203=G$53)*(Log!$E$4:$E$1203="A")*(Log!$F$4:$F$1203&lt;&gt;"")*(Log!$G$4:$G$1203&lt;&gt;"")*Log!$F$4:$F$1203*(1+Log!$G$4:$G$1203/30)))))</f>
        <v/>
      </c>
      <c r="H59" s="88" t="n">
        <f aca="false">IF($A59="","",IF(SUMPRODUCT(MAX((Log!$D$4:$D$1203=$A59)*(Log!$B$4:$B$1203=H$53)*(Log!$E$4:$E$1203="A")*(Log!$F$4:$F$1203&lt;&gt;"")*(Log!$G$4:$G$1203&lt;&gt;"")*Log!$F$4:$F$1203*(1+Log!$G$4:$G$1203/30)))=0,"",SUMPRODUCT(MAX((Log!$D$4:$D$1203=$A59)*(Log!$B$4:$B$1203=H$53)*(Log!$E$4:$E$1203="A")*(Log!$F$4:$F$1203&lt;&gt;"")*(Log!$G$4:$G$1203&lt;&gt;"")*Log!$F$4:$F$1203*(1+Log!$G$4:$G$1203/30)))))</f>
        <v>164.666666666667</v>
      </c>
      <c r="I59" s="88" t="str">
        <f aca="false">IF($A59="","",IF(SUMPRODUCT(MAX((Log!$D$4:$D$1203=$A59)*(Log!$B$4:$B$1203=I$53)*(Log!$E$4:$E$1203="A")*(Log!$F$4:$F$1203&lt;&gt;"")*(Log!$G$4:$G$1203&lt;&gt;"")*Log!$F$4:$F$1203*(1+Log!$G$4:$G$1203/30)))=0,"",SUMPRODUCT(MAX((Log!$D$4:$D$1203=$A59)*(Log!$B$4:$B$1203=I$53)*(Log!$E$4:$E$1203="A")*(Log!$F$4:$F$1203&lt;&gt;"")*(Log!$G$4:$G$1203&lt;&gt;"")*Log!$F$4:$F$1203*(1+Log!$G$4:$G$1203/30)))))</f>
        <v/>
      </c>
      <c r="J59" s="88" t="n">
        <f aca="false">IF($A59="","",IF(SUMPRODUCT(MAX((Log!$D$4:$D$1203=$A59)*(Log!$B$4:$B$1203=J$53)*(Log!$E$4:$E$1203="A")*(Log!$F$4:$F$1203&lt;&gt;"")*(Log!$G$4:$G$1203&lt;&gt;"")*Log!$F$4:$F$1203*(1+Log!$G$4:$G$1203/30)))=0,"",SUMPRODUCT(MAX((Log!$D$4:$D$1203=$A59)*(Log!$B$4:$B$1203=J$53)*(Log!$E$4:$E$1203="A")*(Log!$F$4:$F$1203&lt;&gt;"")*(Log!$G$4:$G$1203&lt;&gt;"")*Log!$F$4:$F$1203*(1+Log!$G$4:$G$1203/30)))))</f>
        <v>166.5</v>
      </c>
      <c r="K59" s="88" t="str">
        <f aca="false">IF($A59="","",IF(SUMPRODUCT(MAX((Log!$D$4:$D$1203=$A59)*(Log!$B$4:$B$1203=K$53)*(Log!$E$4:$E$1203="A")*(Log!$F$4:$F$1203&lt;&gt;"")*(Log!$G$4:$G$1203&lt;&gt;"")*Log!$F$4:$F$1203*(1+Log!$G$4:$G$1203/30)))=0,"",SUMPRODUCT(MAX((Log!$D$4:$D$1203=$A59)*(Log!$B$4:$B$1203=K$53)*(Log!$E$4:$E$1203="A")*(Log!$F$4:$F$1203&lt;&gt;"")*(Log!$G$4:$G$1203&lt;&gt;"")*Log!$F$4:$F$1203*(1+Log!$G$4:$G$1203/30)))))</f>
        <v/>
      </c>
      <c r="L59" s="88" t="n">
        <f aca="false">IF($A59="","",IF(SUMPRODUCT(MAX((Log!$D$4:$D$1203=$A59)*(Log!$B$4:$B$1203=L$53)*(Log!$E$4:$E$1203="A")*(Log!$F$4:$F$1203&lt;&gt;"")*(Log!$G$4:$G$1203&lt;&gt;"")*Log!$F$4:$F$1203*(1+Log!$G$4:$G$1203/30)))=0,"",SUMPRODUCT(MAX((Log!$D$4:$D$1203=$A59)*(Log!$B$4:$B$1203=L$53)*(Log!$E$4:$E$1203="A")*(Log!$F$4:$F$1203&lt;&gt;"")*(Log!$G$4:$G$1203&lt;&gt;"")*Log!$F$4:$F$1203*(1+Log!$G$4:$G$1203/30)))))</f>
        <v>141.833333333333</v>
      </c>
      <c r="M59" s="88" t="str">
        <f aca="false">IF($A59="","",IF(SUMPRODUCT(MAX((Log!$D$4:$D$1203=$A59)*(Log!$B$4:$B$1203=M$53)*(Log!$E$4:$E$1203="A")*(Log!$F$4:$F$1203&lt;&gt;"")*(Log!$G$4:$G$1203&lt;&gt;"")*Log!$F$4:$F$1203*(1+Log!$G$4:$G$1203/30)))=0,"",SUMPRODUCT(MAX((Log!$D$4:$D$1203=$A59)*(Log!$B$4:$B$1203=M$53)*(Log!$E$4:$E$1203="A")*(Log!$F$4:$F$1203&lt;&gt;"")*(Log!$G$4:$G$1203&lt;&gt;"")*Log!$F$4:$F$1203*(1+Log!$G$4:$G$1203/30)))))</f>
        <v/>
      </c>
      <c r="N59" s="88" t="str">
        <f aca="false">IF($A59="","",IF(SUMPRODUCT(MAX((Log!$D$4:$D$1203=$A59)*(Log!$B$4:$B$1203=N$53)*(Log!$E$4:$E$1203="A")*(Log!$F$4:$F$1203&lt;&gt;"")*(Log!$G$4:$G$1203&lt;&gt;"")*Log!$F$4:$F$1203*(1+Log!$G$4:$G$1203/30)))=0,"",SUMPRODUCT(MAX((Log!$D$4:$D$1203=$A59)*(Log!$B$4:$B$1203=N$53)*(Log!$E$4:$E$1203="A")*(Log!$F$4:$F$1203&lt;&gt;"")*(Log!$G$4:$G$1203&lt;&gt;"")*Log!$F$4:$F$1203*(1+Log!$G$4:$G$1203/30)))))</f>
        <v/>
      </c>
      <c r="O59" s="88" t="str">
        <f aca="false">IF($A59="","",IF(SUMPRODUCT(MAX((Log!$D$4:$D$1203=$A59)*(Log!$B$4:$B$1203=O$53)*(Log!$E$4:$E$1203="A")*(Log!$F$4:$F$1203&lt;&gt;"")*(Log!$G$4:$G$1203&lt;&gt;"")*Log!$F$4:$F$1203*(1+Log!$G$4:$G$1203/30)))=0,"",SUMPRODUCT(MAX((Log!$D$4:$D$1203=$A59)*(Log!$B$4:$B$1203=O$53)*(Log!$E$4:$E$1203="A")*(Log!$F$4:$F$1203&lt;&gt;"")*(Log!$G$4:$G$1203&lt;&gt;"")*Log!$F$4:$F$1203*(1+Log!$G$4:$G$1203/30)))))</f>
        <v/>
      </c>
      <c r="P59" s="88" t="str">
        <f aca="false">IF($A59="","",IF(SUMPRODUCT(MAX((Log!$D$4:$D$1203=$A59)*(Log!$B$4:$B$1203=P$53)*(Log!$E$4:$E$1203="A")*(Log!$F$4:$F$1203&lt;&gt;"")*(Log!$G$4:$G$1203&lt;&gt;"")*Log!$F$4:$F$1203*(1+Log!$G$4:$G$1203/30)))=0,"",SUMPRODUCT(MAX((Log!$D$4:$D$1203=$A59)*(Log!$B$4:$B$1203=P$53)*(Log!$E$4:$E$1203="A")*(Log!$F$4:$F$1203&lt;&gt;"")*(Log!$G$4:$G$1203&lt;&gt;"")*Log!$F$4:$F$1203*(1+Log!$G$4:$G$1203/30)))))</f>
        <v/>
      </c>
      <c r="Q59" s="88" t="str">
        <f aca="false">IF($A59="","",IF(SUMPRODUCT(MAX((Log!$D$4:$D$1203=$A59)*(Log!$B$4:$B$1203=Q$53)*(Log!$E$4:$E$1203="A")*(Log!$F$4:$F$1203&lt;&gt;"")*(Log!$G$4:$G$1203&lt;&gt;"")*Log!$F$4:$F$1203*(1+Log!$G$4:$G$1203/30)))=0,"",SUMPRODUCT(MAX((Log!$D$4:$D$1203=$A59)*(Log!$B$4:$B$1203=Q$53)*(Log!$E$4:$E$1203="A")*(Log!$F$4:$F$1203&lt;&gt;"")*(Log!$G$4:$G$1203&lt;&gt;"")*Log!$F$4:$F$1203*(1+Log!$G$4:$G$1203/30)))))</f>
        <v/>
      </c>
      <c r="R59" s="87" t="n">
        <f aca="false">IF($A59="","",IF(SUMPRODUCT(MAX((Log!$D$4:$D$1203=$A59)*(Log!$E$4:$E$1203="A")*(Log!$F$4:$F$1203&lt;&gt;"")*(Log!$G$4:$G$1203&lt;&gt;"")*Log!$F$4:$F$1203*(1+Log!$G$4:$G$1203/30)))=0,"",SUMPRODUCT(MAX((Log!$D$4:$D$1203=$A59)*(Log!$E$4:$E$1203="A")*(Log!$F$4:$F$1203&lt;&gt;"")*(Log!$G$4:$G$1203&lt;&gt;"")*Log!$F$4:$F$1203*(1+Log!$G$4:$G$1203/30)))))</f>
        <v>166.5</v>
      </c>
    </row>
    <row r="60" customFormat="false" ht="16.5" hidden="false" customHeight="true" outlineLevel="0" collapsed="false">
      <c r="A60" s="34" t="str">
        <f aca="false">IF(Übungen!$A10="","",Übungen!$A10)</f>
        <v>Rumänisches Kreuzheben KH</v>
      </c>
      <c r="B60" s="86" t="str">
        <f aca="false">IF($A60="","",IF(SUMPRODUCT(MAX((Log!$D$4:$D$1203=$A60)*(Log!$B$4:$B$1203=B$53)*(Log!$E$4:$E$1203="A")*(Log!$F$4:$F$1203&lt;&gt;"")*(Log!$G$4:$G$1203&lt;&gt;"")*Log!$F$4:$F$1203*(1+Log!$G$4:$G$1203/30)))=0,"",SUMPRODUCT(MAX((Log!$D$4:$D$1203=$A60)*(Log!$B$4:$B$1203=B$53)*(Log!$E$4:$E$1203="A")*(Log!$F$4:$F$1203&lt;&gt;"")*(Log!$G$4:$G$1203&lt;&gt;"")*Log!$F$4:$F$1203*(1+Log!$G$4:$G$1203/30)))))</f>
        <v/>
      </c>
      <c r="C60" s="86" t="str">
        <f aca="false">IF($A60="","",IF(SUMPRODUCT(MAX((Log!$D$4:$D$1203=$A60)*(Log!$B$4:$B$1203=C$53)*(Log!$E$4:$E$1203="A")*(Log!$F$4:$F$1203&lt;&gt;"")*(Log!$G$4:$G$1203&lt;&gt;"")*Log!$F$4:$F$1203*(1+Log!$G$4:$G$1203/30)))=0,"",SUMPRODUCT(MAX((Log!$D$4:$D$1203=$A60)*(Log!$B$4:$B$1203=C$53)*(Log!$E$4:$E$1203="A")*(Log!$F$4:$F$1203&lt;&gt;"")*(Log!$G$4:$G$1203&lt;&gt;"")*Log!$F$4:$F$1203*(1+Log!$G$4:$G$1203/30)))))</f>
        <v/>
      </c>
      <c r="D60" s="86" t="str">
        <f aca="false">IF($A60="","",IF(SUMPRODUCT(MAX((Log!$D$4:$D$1203=$A60)*(Log!$B$4:$B$1203=D$53)*(Log!$E$4:$E$1203="A")*(Log!$F$4:$F$1203&lt;&gt;"")*(Log!$G$4:$G$1203&lt;&gt;"")*Log!$F$4:$F$1203*(1+Log!$G$4:$G$1203/30)))=0,"",SUMPRODUCT(MAX((Log!$D$4:$D$1203=$A60)*(Log!$B$4:$B$1203=D$53)*(Log!$E$4:$E$1203="A")*(Log!$F$4:$F$1203&lt;&gt;"")*(Log!$G$4:$G$1203&lt;&gt;"")*Log!$F$4:$F$1203*(1+Log!$G$4:$G$1203/30)))))</f>
        <v/>
      </c>
      <c r="E60" s="86" t="str">
        <f aca="false">IF($A60="","",IF(SUMPRODUCT(MAX((Log!$D$4:$D$1203=$A60)*(Log!$B$4:$B$1203=E$53)*(Log!$E$4:$E$1203="A")*(Log!$F$4:$F$1203&lt;&gt;"")*(Log!$G$4:$G$1203&lt;&gt;"")*Log!$F$4:$F$1203*(1+Log!$G$4:$G$1203/30)))=0,"",SUMPRODUCT(MAX((Log!$D$4:$D$1203=$A60)*(Log!$B$4:$B$1203=E$53)*(Log!$E$4:$E$1203="A")*(Log!$F$4:$F$1203&lt;&gt;"")*(Log!$G$4:$G$1203&lt;&gt;"")*Log!$F$4:$F$1203*(1+Log!$G$4:$G$1203/30)))))</f>
        <v/>
      </c>
      <c r="F60" s="86" t="str">
        <f aca="false">IF($A60="","",IF(SUMPRODUCT(MAX((Log!$D$4:$D$1203=$A60)*(Log!$B$4:$B$1203=F$53)*(Log!$E$4:$E$1203="A")*(Log!$F$4:$F$1203&lt;&gt;"")*(Log!$G$4:$G$1203&lt;&gt;"")*Log!$F$4:$F$1203*(1+Log!$G$4:$G$1203/30)))=0,"",SUMPRODUCT(MAX((Log!$D$4:$D$1203=$A60)*(Log!$B$4:$B$1203=F$53)*(Log!$E$4:$E$1203="A")*(Log!$F$4:$F$1203&lt;&gt;"")*(Log!$G$4:$G$1203&lt;&gt;"")*Log!$F$4:$F$1203*(1+Log!$G$4:$G$1203/30)))))</f>
        <v/>
      </c>
      <c r="G60" s="86" t="str">
        <f aca="false">IF($A60="","",IF(SUMPRODUCT(MAX((Log!$D$4:$D$1203=$A60)*(Log!$B$4:$B$1203=G$53)*(Log!$E$4:$E$1203="A")*(Log!$F$4:$F$1203&lt;&gt;"")*(Log!$G$4:$G$1203&lt;&gt;"")*Log!$F$4:$F$1203*(1+Log!$G$4:$G$1203/30)))=0,"",SUMPRODUCT(MAX((Log!$D$4:$D$1203=$A60)*(Log!$B$4:$B$1203=G$53)*(Log!$E$4:$E$1203="A")*(Log!$F$4:$F$1203&lt;&gt;"")*(Log!$G$4:$G$1203&lt;&gt;"")*Log!$F$4:$F$1203*(1+Log!$G$4:$G$1203/30)))))</f>
        <v/>
      </c>
      <c r="H60" s="86" t="str">
        <f aca="false">IF($A60="","",IF(SUMPRODUCT(MAX((Log!$D$4:$D$1203=$A60)*(Log!$B$4:$B$1203=H$53)*(Log!$E$4:$E$1203="A")*(Log!$F$4:$F$1203&lt;&gt;"")*(Log!$G$4:$G$1203&lt;&gt;"")*Log!$F$4:$F$1203*(1+Log!$G$4:$G$1203/30)))=0,"",SUMPRODUCT(MAX((Log!$D$4:$D$1203=$A60)*(Log!$B$4:$B$1203=H$53)*(Log!$E$4:$E$1203="A")*(Log!$F$4:$F$1203&lt;&gt;"")*(Log!$G$4:$G$1203&lt;&gt;"")*Log!$F$4:$F$1203*(1+Log!$G$4:$G$1203/30)))))</f>
        <v/>
      </c>
      <c r="I60" s="86" t="str">
        <f aca="false">IF($A60="","",IF(SUMPRODUCT(MAX((Log!$D$4:$D$1203=$A60)*(Log!$B$4:$B$1203=I$53)*(Log!$E$4:$E$1203="A")*(Log!$F$4:$F$1203&lt;&gt;"")*(Log!$G$4:$G$1203&lt;&gt;"")*Log!$F$4:$F$1203*(1+Log!$G$4:$G$1203/30)))=0,"",SUMPRODUCT(MAX((Log!$D$4:$D$1203=$A60)*(Log!$B$4:$B$1203=I$53)*(Log!$E$4:$E$1203="A")*(Log!$F$4:$F$1203&lt;&gt;"")*(Log!$G$4:$G$1203&lt;&gt;"")*Log!$F$4:$F$1203*(1+Log!$G$4:$G$1203/30)))))</f>
        <v/>
      </c>
      <c r="J60" s="86" t="str">
        <f aca="false">IF($A60="","",IF(SUMPRODUCT(MAX((Log!$D$4:$D$1203=$A60)*(Log!$B$4:$B$1203=J$53)*(Log!$E$4:$E$1203="A")*(Log!$F$4:$F$1203&lt;&gt;"")*(Log!$G$4:$G$1203&lt;&gt;"")*Log!$F$4:$F$1203*(1+Log!$G$4:$G$1203/30)))=0,"",SUMPRODUCT(MAX((Log!$D$4:$D$1203=$A60)*(Log!$B$4:$B$1203=J$53)*(Log!$E$4:$E$1203="A")*(Log!$F$4:$F$1203&lt;&gt;"")*(Log!$G$4:$G$1203&lt;&gt;"")*Log!$F$4:$F$1203*(1+Log!$G$4:$G$1203/30)))))</f>
        <v/>
      </c>
      <c r="K60" s="86" t="str">
        <f aca="false">IF($A60="","",IF(SUMPRODUCT(MAX((Log!$D$4:$D$1203=$A60)*(Log!$B$4:$B$1203=K$53)*(Log!$E$4:$E$1203="A")*(Log!$F$4:$F$1203&lt;&gt;"")*(Log!$G$4:$G$1203&lt;&gt;"")*Log!$F$4:$F$1203*(1+Log!$G$4:$G$1203/30)))=0,"",SUMPRODUCT(MAX((Log!$D$4:$D$1203=$A60)*(Log!$B$4:$B$1203=K$53)*(Log!$E$4:$E$1203="A")*(Log!$F$4:$F$1203&lt;&gt;"")*(Log!$G$4:$G$1203&lt;&gt;"")*Log!$F$4:$F$1203*(1+Log!$G$4:$G$1203/30)))))</f>
        <v/>
      </c>
      <c r="L60" s="86" t="str">
        <f aca="false">IF($A60="","",IF(SUMPRODUCT(MAX((Log!$D$4:$D$1203=$A60)*(Log!$B$4:$B$1203=L$53)*(Log!$E$4:$E$1203="A")*(Log!$F$4:$F$1203&lt;&gt;"")*(Log!$G$4:$G$1203&lt;&gt;"")*Log!$F$4:$F$1203*(1+Log!$G$4:$G$1203/30)))=0,"",SUMPRODUCT(MAX((Log!$D$4:$D$1203=$A60)*(Log!$B$4:$B$1203=L$53)*(Log!$E$4:$E$1203="A")*(Log!$F$4:$F$1203&lt;&gt;"")*(Log!$G$4:$G$1203&lt;&gt;"")*Log!$F$4:$F$1203*(1+Log!$G$4:$G$1203/30)))))</f>
        <v/>
      </c>
      <c r="M60" s="86" t="str">
        <f aca="false">IF($A60="","",IF(SUMPRODUCT(MAX((Log!$D$4:$D$1203=$A60)*(Log!$B$4:$B$1203=M$53)*(Log!$E$4:$E$1203="A")*(Log!$F$4:$F$1203&lt;&gt;"")*(Log!$G$4:$G$1203&lt;&gt;"")*Log!$F$4:$F$1203*(1+Log!$G$4:$G$1203/30)))=0,"",SUMPRODUCT(MAX((Log!$D$4:$D$1203=$A60)*(Log!$B$4:$B$1203=M$53)*(Log!$E$4:$E$1203="A")*(Log!$F$4:$F$1203&lt;&gt;"")*(Log!$G$4:$G$1203&lt;&gt;"")*Log!$F$4:$F$1203*(1+Log!$G$4:$G$1203/30)))))</f>
        <v/>
      </c>
      <c r="N60" s="86" t="str">
        <f aca="false">IF($A60="","",IF(SUMPRODUCT(MAX((Log!$D$4:$D$1203=$A60)*(Log!$B$4:$B$1203=N$53)*(Log!$E$4:$E$1203="A")*(Log!$F$4:$F$1203&lt;&gt;"")*(Log!$G$4:$G$1203&lt;&gt;"")*Log!$F$4:$F$1203*(1+Log!$G$4:$G$1203/30)))=0,"",SUMPRODUCT(MAX((Log!$D$4:$D$1203=$A60)*(Log!$B$4:$B$1203=N$53)*(Log!$E$4:$E$1203="A")*(Log!$F$4:$F$1203&lt;&gt;"")*(Log!$G$4:$G$1203&lt;&gt;"")*Log!$F$4:$F$1203*(1+Log!$G$4:$G$1203/30)))))</f>
        <v/>
      </c>
      <c r="O60" s="86" t="n">
        <f aca="false">IF($A60="","",IF(SUMPRODUCT(MAX((Log!$D$4:$D$1203=$A60)*(Log!$B$4:$B$1203=O$53)*(Log!$E$4:$E$1203="A")*(Log!$F$4:$F$1203&lt;&gt;"")*(Log!$G$4:$G$1203&lt;&gt;"")*Log!$F$4:$F$1203*(1+Log!$G$4:$G$1203/30)))=0,"",SUMPRODUCT(MAX((Log!$D$4:$D$1203=$A60)*(Log!$B$4:$B$1203=O$53)*(Log!$E$4:$E$1203="A")*(Log!$F$4:$F$1203&lt;&gt;"")*(Log!$G$4:$G$1203&lt;&gt;"")*Log!$F$4:$F$1203*(1+Log!$G$4:$G$1203/30)))))</f>
        <v>39.6666666666667</v>
      </c>
      <c r="P60" s="86" t="str">
        <f aca="false">IF($A60="","",IF(SUMPRODUCT(MAX((Log!$D$4:$D$1203=$A60)*(Log!$B$4:$B$1203=P$53)*(Log!$E$4:$E$1203="A")*(Log!$F$4:$F$1203&lt;&gt;"")*(Log!$G$4:$G$1203&lt;&gt;"")*Log!$F$4:$F$1203*(1+Log!$G$4:$G$1203/30)))=0,"",SUMPRODUCT(MAX((Log!$D$4:$D$1203=$A60)*(Log!$B$4:$B$1203=P$53)*(Log!$E$4:$E$1203="A")*(Log!$F$4:$F$1203&lt;&gt;"")*(Log!$G$4:$G$1203&lt;&gt;"")*Log!$F$4:$F$1203*(1+Log!$G$4:$G$1203/30)))))</f>
        <v/>
      </c>
      <c r="Q60" s="86" t="str">
        <f aca="false">IF($A60="","",IF(SUMPRODUCT(MAX((Log!$D$4:$D$1203=$A60)*(Log!$B$4:$B$1203=Q$53)*(Log!$E$4:$E$1203="A")*(Log!$F$4:$F$1203&lt;&gt;"")*(Log!$G$4:$G$1203&lt;&gt;"")*Log!$F$4:$F$1203*(1+Log!$G$4:$G$1203/30)))=0,"",SUMPRODUCT(MAX((Log!$D$4:$D$1203=$A60)*(Log!$B$4:$B$1203=Q$53)*(Log!$E$4:$E$1203="A")*(Log!$F$4:$F$1203&lt;&gt;"")*(Log!$G$4:$G$1203&lt;&gt;"")*Log!$F$4:$F$1203*(1+Log!$G$4:$G$1203/30)))))</f>
        <v/>
      </c>
      <c r="R60" s="87" t="n">
        <f aca="false">IF($A60="","",IF(SUMPRODUCT(MAX((Log!$D$4:$D$1203=$A60)*(Log!$E$4:$E$1203="A")*(Log!$F$4:$F$1203&lt;&gt;"")*(Log!$G$4:$G$1203&lt;&gt;"")*Log!$F$4:$F$1203*(1+Log!$G$4:$G$1203/30)))=0,"",SUMPRODUCT(MAX((Log!$D$4:$D$1203=$A60)*(Log!$E$4:$E$1203="A")*(Log!$F$4:$F$1203&lt;&gt;"")*(Log!$G$4:$G$1203&lt;&gt;"")*Log!$F$4:$F$1203*(1+Log!$G$4:$G$1203/30)))))</f>
        <v>39.6666666666667</v>
      </c>
    </row>
    <row r="61" customFormat="false" ht="16.5" hidden="false" customHeight="true" outlineLevel="0" collapsed="false">
      <c r="A61" s="40" t="str">
        <f aca="false">IF(Übungen!$A11="","",Übungen!$A11)</f>
        <v>Beinpresse breit</v>
      </c>
      <c r="B61" s="88" t="str">
        <f aca="false">IF($A61="","",IF(SUMPRODUCT(MAX((Log!$D$4:$D$1203=$A61)*(Log!$B$4:$B$1203=B$53)*(Log!$E$4:$E$1203="A")*(Log!$F$4:$F$1203&lt;&gt;"")*(Log!$G$4:$G$1203&lt;&gt;"")*Log!$F$4:$F$1203*(1+Log!$G$4:$G$1203/30)))=0,"",SUMPRODUCT(MAX((Log!$D$4:$D$1203=$A61)*(Log!$B$4:$B$1203=B$53)*(Log!$E$4:$E$1203="A")*(Log!$F$4:$F$1203&lt;&gt;"")*(Log!$G$4:$G$1203&lt;&gt;"")*Log!$F$4:$F$1203*(1+Log!$G$4:$G$1203/30)))))</f>
        <v/>
      </c>
      <c r="C61" s="88" t="str">
        <f aca="false">IF($A61="","",IF(SUMPRODUCT(MAX((Log!$D$4:$D$1203=$A61)*(Log!$B$4:$B$1203=C$53)*(Log!$E$4:$E$1203="A")*(Log!$F$4:$F$1203&lt;&gt;"")*(Log!$G$4:$G$1203&lt;&gt;"")*Log!$F$4:$F$1203*(1+Log!$G$4:$G$1203/30)))=0,"",SUMPRODUCT(MAX((Log!$D$4:$D$1203=$A61)*(Log!$B$4:$B$1203=C$53)*(Log!$E$4:$E$1203="A")*(Log!$F$4:$F$1203&lt;&gt;"")*(Log!$G$4:$G$1203&lt;&gt;"")*Log!$F$4:$F$1203*(1+Log!$G$4:$G$1203/30)))))</f>
        <v/>
      </c>
      <c r="D61" s="88" t="str">
        <f aca="false">IF($A61="","",IF(SUMPRODUCT(MAX((Log!$D$4:$D$1203=$A61)*(Log!$B$4:$B$1203=D$53)*(Log!$E$4:$E$1203="A")*(Log!$F$4:$F$1203&lt;&gt;"")*(Log!$G$4:$G$1203&lt;&gt;"")*Log!$F$4:$F$1203*(1+Log!$G$4:$G$1203/30)))=0,"",SUMPRODUCT(MAX((Log!$D$4:$D$1203=$A61)*(Log!$B$4:$B$1203=D$53)*(Log!$E$4:$E$1203="A")*(Log!$F$4:$F$1203&lt;&gt;"")*(Log!$G$4:$G$1203&lt;&gt;"")*Log!$F$4:$F$1203*(1+Log!$G$4:$G$1203/30)))))</f>
        <v/>
      </c>
      <c r="E61" s="88" t="str">
        <f aca="false">IF($A61="","",IF(SUMPRODUCT(MAX((Log!$D$4:$D$1203=$A61)*(Log!$B$4:$B$1203=E$53)*(Log!$E$4:$E$1203="A")*(Log!$F$4:$F$1203&lt;&gt;"")*(Log!$G$4:$G$1203&lt;&gt;"")*Log!$F$4:$F$1203*(1+Log!$G$4:$G$1203/30)))=0,"",SUMPRODUCT(MAX((Log!$D$4:$D$1203=$A61)*(Log!$B$4:$B$1203=E$53)*(Log!$E$4:$E$1203="A")*(Log!$F$4:$F$1203&lt;&gt;"")*(Log!$G$4:$G$1203&lt;&gt;"")*Log!$F$4:$F$1203*(1+Log!$G$4:$G$1203/30)))))</f>
        <v/>
      </c>
      <c r="F61" s="88" t="str">
        <f aca="false">IF($A61="","",IF(SUMPRODUCT(MAX((Log!$D$4:$D$1203=$A61)*(Log!$B$4:$B$1203=F$53)*(Log!$E$4:$E$1203="A")*(Log!$F$4:$F$1203&lt;&gt;"")*(Log!$G$4:$G$1203&lt;&gt;"")*Log!$F$4:$F$1203*(1+Log!$G$4:$G$1203/30)))=0,"",SUMPRODUCT(MAX((Log!$D$4:$D$1203=$A61)*(Log!$B$4:$B$1203=F$53)*(Log!$E$4:$E$1203="A")*(Log!$F$4:$F$1203&lt;&gt;"")*(Log!$G$4:$G$1203&lt;&gt;"")*Log!$F$4:$F$1203*(1+Log!$G$4:$G$1203/30)))))</f>
        <v/>
      </c>
      <c r="G61" s="88" t="str">
        <f aca="false">IF($A61="","",IF(SUMPRODUCT(MAX((Log!$D$4:$D$1203=$A61)*(Log!$B$4:$B$1203=G$53)*(Log!$E$4:$E$1203="A")*(Log!$F$4:$F$1203&lt;&gt;"")*(Log!$G$4:$G$1203&lt;&gt;"")*Log!$F$4:$F$1203*(1+Log!$G$4:$G$1203/30)))=0,"",SUMPRODUCT(MAX((Log!$D$4:$D$1203=$A61)*(Log!$B$4:$B$1203=G$53)*(Log!$E$4:$E$1203="A")*(Log!$F$4:$F$1203&lt;&gt;"")*(Log!$G$4:$G$1203&lt;&gt;"")*Log!$F$4:$F$1203*(1+Log!$G$4:$G$1203/30)))))</f>
        <v/>
      </c>
      <c r="H61" s="88" t="str">
        <f aca="false">IF($A61="","",IF(SUMPRODUCT(MAX((Log!$D$4:$D$1203=$A61)*(Log!$B$4:$B$1203=H$53)*(Log!$E$4:$E$1203="A")*(Log!$F$4:$F$1203&lt;&gt;"")*(Log!$G$4:$G$1203&lt;&gt;"")*Log!$F$4:$F$1203*(1+Log!$G$4:$G$1203/30)))=0,"",SUMPRODUCT(MAX((Log!$D$4:$D$1203=$A61)*(Log!$B$4:$B$1203=H$53)*(Log!$E$4:$E$1203="A")*(Log!$F$4:$F$1203&lt;&gt;"")*(Log!$G$4:$G$1203&lt;&gt;"")*Log!$F$4:$F$1203*(1+Log!$G$4:$G$1203/30)))))</f>
        <v/>
      </c>
      <c r="I61" s="88" t="str">
        <f aca="false">IF($A61="","",IF(SUMPRODUCT(MAX((Log!$D$4:$D$1203=$A61)*(Log!$B$4:$B$1203=I$53)*(Log!$E$4:$E$1203="A")*(Log!$F$4:$F$1203&lt;&gt;"")*(Log!$G$4:$G$1203&lt;&gt;"")*Log!$F$4:$F$1203*(1+Log!$G$4:$G$1203/30)))=0,"",SUMPRODUCT(MAX((Log!$D$4:$D$1203=$A61)*(Log!$B$4:$B$1203=I$53)*(Log!$E$4:$E$1203="A")*(Log!$F$4:$F$1203&lt;&gt;"")*(Log!$G$4:$G$1203&lt;&gt;"")*Log!$F$4:$F$1203*(1+Log!$G$4:$G$1203/30)))))</f>
        <v/>
      </c>
      <c r="J61" s="88" t="str">
        <f aca="false">IF($A61="","",IF(SUMPRODUCT(MAX((Log!$D$4:$D$1203=$A61)*(Log!$B$4:$B$1203=J$53)*(Log!$E$4:$E$1203="A")*(Log!$F$4:$F$1203&lt;&gt;"")*(Log!$G$4:$G$1203&lt;&gt;"")*Log!$F$4:$F$1203*(1+Log!$G$4:$G$1203/30)))=0,"",SUMPRODUCT(MAX((Log!$D$4:$D$1203=$A61)*(Log!$B$4:$B$1203=J$53)*(Log!$E$4:$E$1203="A")*(Log!$F$4:$F$1203&lt;&gt;"")*(Log!$G$4:$G$1203&lt;&gt;"")*Log!$F$4:$F$1203*(1+Log!$G$4:$G$1203/30)))))</f>
        <v/>
      </c>
      <c r="K61" s="88" t="str">
        <f aca="false">IF($A61="","",IF(SUMPRODUCT(MAX((Log!$D$4:$D$1203=$A61)*(Log!$B$4:$B$1203=K$53)*(Log!$E$4:$E$1203="A")*(Log!$F$4:$F$1203&lt;&gt;"")*(Log!$G$4:$G$1203&lt;&gt;"")*Log!$F$4:$F$1203*(1+Log!$G$4:$G$1203/30)))=0,"",SUMPRODUCT(MAX((Log!$D$4:$D$1203=$A61)*(Log!$B$4:$B$1203=K$53)*(Log!$E$4:$E$1203="A")*(Log!$F$4:$F$1203&lt;&gt;"")*(Log!$G$4:$G$1203&lt;&gt;"")*Log!$F$4:$F$1203*(1+Log!$G$4:$G$1203/30)))))</f>
        <v/>
      </c>
      <c r="L61" s="88" t="str">
        <f aca="false">IF($A61="","",IF(SUMPRODUCT(MAX((Log!$D$4:$D$1203=$A61)*(Log!$B$4:$B$1203=L$53)*(Log!$E$4:$E$1203="A")*(Log!$F$4:$F$1203&lt;&gt;"")*(Log!$G$4:$G$1203&lt;&gt;"")*Log!$F$4:$F$1203*(1+Log!$G$4:$G$1203/30)))=0,"",SUMPRODUCT(MAX((Log!$D$4:$D$1203=$A61)*(Log!$B$4:$B$1203=L$53)*(Log!$E$4:$E$1203="A")*(Log!$F$4:$F$1203&lt;&gt;"")*(Log!$G$4:$G$1203&lt;&gt;"")*Log!$F$4:$F$1203*(1+Log!$G$4:$G$1203/30)))))</f>
        <v/>
      </c>
      <c r="M61" s="88" t="str">
        <f aca="false">IF($A61="","",IF(SUMPRODUCT(MAX((Log!$D$4:$D$1203=$A61)*(Log!$B$4:$B$1203=M$53)*(Log!$E$4:$E$1203="A")*(Log!$F$4:$F$1203&lt;&gt;"")*(Log!$G$4:$G$1203&lt;&gt;"")*Log!$F$4:$F$1203*(1+Log!$G$4:$G$1203/30)))=0,"",SUMPRODUCT(MAX((Log!$D$4:$D$1203=$A61)*(Log!$B$4:$B$1203=M$53)*(Log!$E$4:$E$1203="A")*(Log!$F$4:$F$1203&lt;&gt;"")*(Log!$G$4:$G$1203&lt;&gt;"")*Log!$F$4:$F$1203*(1+Log!$G$4:$G$1203/30)))))</f>
        <v/>
      </c>
      <c r="N61" s="88" t="str">
        <f aca="false">IF($A61="","",IF(SUMPRODUCT(MAX((Log!$D$4:$D$1203=$A61)*(Log!$B$4:$B$1203=N$53)*(Log!$E$4:$E$1203="A")*(Log!$F$4:$F$1203&lt;&gt;"")*(Log!$G$4:$G$1203&lt;&gt;"")*Log!$F$4:$F$1203*(1+Log!$G$4:$G$1203/30)))=0,"",SUMPRODUCT(MAX((Log!$D$4:$D$1203=$A61)*(Log!$B$4:$B$1203=N$53)*(Log!$E$4:$E$1203="A")*(Log!$F$4:$F$1203&lt;&gt;"")*(Log!$G$4:$G$1203&lt;&gt;"")*Log!$F$4:$F$1203*(1+Log!$G$4:$G$1203/30)))))</f>
        <v/>
      </c>
      <c r="O61" s="88" t="str">
        <f aca="false">IF($A61="","",IF(SUMPRODUCT(MAX((Log!$D$4:$D$1203=$A61)*(Log!$B$4:$B$1203=O$53)*(Log!$E$4:$E$1203="A")*(Log!$F$4:$F$1203&lt;&gt;"")*(Log!$G$4:$G$1203&lt;&gt;"")*Log!$F$4:$F$1203*(1+Log!$G$4:$G$1203/30)))=0,"",SUMPRODUCT(MAX((Log!$D$4:$D$1203=$A61)*(Log!$B$4:$B$1203=O$53)*(Log!$E$4:$E$1203="A")*(Log!$F$4:$F$1203&lt;&gt;"")*(Log!$G$4:$G$1203&lt;&gt;"")*Log!$F$4:$F$1203*(1+Log!$G$4:$G$1203/30)))))</f>
        <v/>
      </c>
      <c r="P61" s="88" t="str">
        <f aca="false">IF($A61="","",IF(SUMPRODUCT(MAX((Log!$D$4:$D$1203=$A61)*(Log!$B$4:$B$1203=P$53)*(Log!$E$4:$E$1203="A")*(Log!$F$4:$F$1203&lt;&gt;"")*(Log!$G$4:$G$1203&lt;&gt;"")*Log!$F$4:$F$1203*(1+Log!$G$4:$G$1203/30)))=0,"",SUMPRODUCT(MAX((Log!$D$4:$D$1203=$A61)*(Log!$B$4:$B$1203=P$53)*(Log!$E$4:$E$1203="A")*(Log!$F$4:$F$1203&lt;&gt;"")*(Log!$G$4:$G$1203&lt;&gt;"")*Log!$F$4:$F$1203*(1+Log!$G$4:$G$1203/30)))))</f>
        <v/>
      </c>
      <c r="Q61" s="88" t="str">
        <f aca="false">IF($A61="","",IF(SUMPRODUCT(MAX((Log!$D$4:$D$1203=$A61)*(Log!$B$4:$B$1203=Q$53)*(Log!$E$4:$E$1203="A")*(Log!$F$4:$F$1203&lt;&gt;"")*(Log!$G$4:$G$1203&lt;&gt;"")*Log!$F$4:$F$1203*(1+Log!$G$4:$G$1203/30)))=0,"",SUMPRODUCT(MAX((Log!$D$4:$D$1203=$A61)*(Log!$B$4:$B$1203=Q$53)*(Log!$E$4:$E$1203="A")*(Log!$F$4:$F$1203&lt;&gt;"")*(Log!$G$4:$G$1203&lt;&gt;"")*Log!$F$4:$F$1203*(1+Log!$G$4:$G$1203/30)))))</f>
        <v/>
      </c>
      <c r="R61" s="87" t="str">
        <f aca="false">IF($A61="","",IF(SUMPRODUCT(MAX((Log!$D$4:$D$1203=$A61)*(Log!$E$4:$E$1203="A")*(Log!$F$4:$F$1203&lt;&gt;"")*(Log!$G$4:$G$1203&lt;&gt;"")*Log!$F$4:$F$1203*(1+Log!$G$4:$G$1203/30)))=0,"",SUMPRODUCT(MAX((Log!$D$4:$D$1203=$A61)*(Log!$E$4:$E$1203="A")*(Log!$F$4:$F$1203&lt;&gt;"")*(Log!$G$4:$G$1203&lt;&gt;"")*Log!$F$4:$F$1203*(1+Log!$G$4:$G$1203/30)))))</f>
        <v/>
      </c>
    </row>
    <row r="62" customFormat="false" ht="16.5" hidden="false" customHeight="true" outlineLevel="0" collapsed="false">
      <c r="A62" s="34" t="str">
        <f aca="false">IF(Übungen!$A12="","",Übungen!$A12)</f>
        <v>Hip Thrust</v>
      </c>
      <c r="B62" s="86" t="n">
        <f aca="false">IF($A62="","",IF(SUMPRODUCT(MAX((Log!$D$4:$D$1203=$A62)*(Log!$B$4:$B$1203=B$53)*(Log!$E$4:$E$1203="A")*(Log!$F$4:$F$1203&lt;&gt;"")*(Log!$G$4:$G$1203&lt;&gt;"")*Log!$F$4:$F$1203*(1+Log!$G$4:$G$1203/30)))=0,"",SUMPRODUCT(MAX((Log!$D$4:$D$1203=$A62)*(Log!$B$4:$B$1203=B$53)*(Log!$E$4:$E$1203="A")*(Log!$F$4:$F$1203&lt;&gt;"")*(Log!$G$4:$G$1203&lt;&gt;"")*Log!$F$4:$F$1203*(1+Log!$G$4:$G$1203/30)))))</f>
        <v>308</v>
      </c>
      <c r="C62" s="86" t="n">
        <f aca="false">IF($A62="","",IF(SUMPRODUCT(MAX((Log!$D$4:$D$1203=$A62)*(Log!$B$4:$B$1203=C$53)*(Log!$E$4:$E$1203="A")*(Log!$F$4:$F$1203&lt;&gt;"")*(Log!$G$4:$G$1203&lt;&gt;"")*Log!$F$4:$F$1203*(1+Log!$G$4:$G$1203/30)))=0,"",SUMPRODUCT(MAX((Log!$D$4:$D$1203=$A62)*(Log!$B$4:$B$1203=C$53)*(Log!$E$4:$E$1203="A")*(Log!$F$4:$F$1203&lt;&gt;"")*(Log!$G$4:$G$1203&lt;&gt;"")*Log!$F$4:$F$1203*(1+Log!$G$4:$G$1203/30)))))</f>
        <v>336</v>
      </c>
      <c r="D62" s="86" t="n">
        <f aca="false">IF($A62="","",IF(SUMPRODUCT(MAX((Log!$D$4:$D$1203=$A62)*(Log!$B$4:$B$1203=D$53)*(Log!$E$4:$E$1203="A")*(Log!$F$4:$F$1203&lt;&gt;"")*(Log!$G$4:$G$1203&lt;&gt;"")*Log!$F$4:$F$1203*(1+Log!$G$4:$G$1203/30)))=0,"",SUMPRODUCT(MAX((Log!$D$4:$D$1203=$A62)*(Log!$B$4:$B$1203=D$53)*(Log!$E$4:$E$1203="A")*(Log!$F$4:$F$1203&lt;&gt;"")*(Log!$G$4:$G$1203&lt;&gt;"")*Log!$F$4:$F$1203*(1+Log!$G$4:$G$1203/30)))))</f>
        <v>360</v>
      </c>
      <c r="E62" s="86" t="n">
        <f aca="false">IF($A62="","",IF(SUMPRODUCT(MAX((Log!$D$4:$D$1203=$A62)*(Log!$B$4:$B$1203=E$53)*(Log!$E$4:$E$1203="A")*(Log!$F$4:$F$1203&lt;&gt;"")*(Log!$G$4:$G$1203&lt;&gt;"")*Log!$F$4:$F$1203*(1+Log!$G$4:$G$1203/30)))=0,"",SUMPRODUCT(MAX((Log!$D$4:$D$1203=$A62)*(Log!$B$4:$B$1203=E$53)*(Log!$E$4:$E$1203="A")*(Log!$F$4:$F$1203&lt;&gt;"")*(Log!$G$4:$G$1203&lt;&gt;"")*Log!$F$4:$F$1203*(1+Log!$G$4:$G$1203/30)))))</f>
        <v>342</v>
      </c>
      <c r="F62" s="86" t="n">
        <f aca="false">IF($A62="","",IF(SUMPRODUCT(MAX((Log!$D$4:$D$1203=$A62)*(Log!$B$4:$B$1203=F$53)*(Log!$E$4:$E$1203="A")*(Log!$F$4:$F$1203&lt;&gt;"")*(Log!$G$4:$G$1203&lt;&gt;"")*Log!$F$4:$F$1203*(1+Log!$G$4:$G$1203/30)))=0,"",SUMPRODUCT(MAX((Log!$D$4:$D$1203=$A62)*(Log!$B$4:$B$1203=F$53)*(Log!$E$4:$E$1203="A")*(Log!$F$4:$F$1203&lt;&gt;"")*(Log!$G$4:$G$1203&lt;&gt;"")*Log!$F$4:$F$1203*(1+Log!$G$4:$G$1203/30)))))</f>
        <v>240.666666666667</v>
      </c>
      <c r="G62" s="86" t="str">
        <f aca="false">IF($A62="","",IF(SUMPRODUCT(MAX((Log!$D$4:$D$1203=$A62)*(Log!$B$4:$B$1203=G$53)*(Log!$E$4:$E$1203="A")*(Log!$F$4:$F$1203&lt;&gt;"")*(Log!$G$4:$G$1203&lt;&gt;"")*Log!$F$4:$F$1203*(1+Log!$G$4:$G$1203/30)))=0,"",SUMPRODUCT(MAX((Log!$D$4:$D$1203=$A62)*(Log!$B$4:$B$1203=G$53)*(Log!$E$4:$E$1203="A")*(Log!$F$4:$F$1203&lt;&gt;"")*(Log!$G$4:$G$1203&lt;&gt;"")*Log!$F$4:$F$1203*(1+Log!$G$4:$G$1203/30)))))</f>
        <v/>
      </c>
      <c r="H62" s="86" t="n">
        <f aca="false">IF($A62="","",IF(SUMPRODUCT(MAX((Log!$D$4:$D$1203=$A62)*(Log!$B$4:$B$1203=H$53)*(Log!$E$4:$E$1203="A")*(Log!$F$4:$F$1203&lt;&gt;"")*(Log!$G$4:$G$1203&lt;&gt;"")*Log!$F$4:$F$1203*(1+Log!$G$4:$G$1203/30)))=0,"",SUMPRODUCT(MAX((Log!$D$4:$D$1203=$A62)*(Log!$B$4:$B$1203=H$53)*(Log!$E$4:$E$1203="A")*(Log!$F$4:$F$1203&lt;&gt;"")*(Log!$G$4:$G$1203&lt;&gt;"")*Log!$F$4:$F$1203*(1+Log!$G$4:$G$1203/30)))))</f>
        <v>367.333333333333</v>
      </c>
      <c r="I62" s="86" t="str">
        <f aca="false">IF($A62="","",IF(SUMPRODUCT(MAX((Log!$D$4:$D$1203=$A62)*(Log!$B$4:$B$1203=I$53)*(Log!$E$4:$E$1203="A")*(Log!$F$4:$F$1203&lt;&gt;"")*(Log!$G$4:$G$1203&lt;&gt;"")*Log!$F$4:$F$1203*(1+Log!$G$4:$G$1203/30)))=0,"",SUMPRODUCT(MAX((Log!$D$4:$D$1203=$A62)*(Log!$B$4:$B$1203=I$53)*(Log!$E$4:$E$1203="A")*(Log!$F$4:$F$1203&lt;&gt;"")*(Log!$G$4:$G$1203&lt;&gt;"")*Log!$F$4:$F$1203*(1+Log!$G$4:$G$1203/30)))))</f>
        <v/>
      </c>
      <c r="J62" s="86" t="str">
        <f aca="false">IF($A62="","",IF(SUMPRODUCT(MAX((Log!$D$4:$D$1203=$A62)*(Log!$B$4:$B$1203=J$53)*(Log!$E$4:$E$1203="A")*(Log!$F$4:$F$1203&lt;&gt;"")*(Log!$G$4:$G$1203&lt;&gt;"")*Log!$F$4:$F$1203*(1+Log!$G$4:$G$1203/30)))=0,"",SUMPRODUCT(MAX((Log!$D$4:$D$1203=$A62)*(Log!$B$4:$B$1203=J$53)*(Log!$E$4:$E$1203="A")*(Log!$F$4:$F$1203&lt;&gt;"")*(Log!$G$4:$G$1203&lt;&gt;"")*Log!$F$4:$F$1203*(1+Log!$G$4:$G$1203/30)))))</f>
        <v/>
      </c>
      <c r="K62" s="86" t="str">
        <f aca="false">IF($A62="","",IF(SUMPRODUCT(MAX((Log!$D$4:$D$1203=$A62)*(Log!$B$4:$B$1203=K$53)*(Log!$E$4:$E$1203="A")*(Log!$F$4:$F$1203&lt;&gt;"")*(Log!$G$4:$G$1203&lt;&gt;"")*Log!$F$4:$F$1203*(1+Log!$G$4:$G$1203/30)))=0,"",SUMPRODUCT(MAX((Log!$D$4:$D$1203=$A62)*(Log!$B$4:$B$1203=K$53)*(Log!$E$4:$E$1203="A")*(Log!$F$4:$F$1203&lt;&gt;"")*(Log!$G$4:$G$1203&lt;&gt;"")*Log!$F$4:$F$1203*(1+Log!$G$4:$G$1203/30)))))</f>
        <v/>
      </c>
      <c r="L62" s="86" t="n">
        <f aca="false">IF($A62="","",IF(SUMPRODUCT(MAX((Log!$D$4:$D$1203=$A62)*(Log!$B$4:$B$1203=L$53)*(Log!$E$4:$E$1203="A")*(Log!$F$4:$F$1203&lt;&gt;"")*(Log!$G$4:$G$1203&lt;&gt;"")*Log!$F$4:$F$1203*(1+Log!$G$4:$G$1203/30)))=0,"",SUMPRODUCT(MAX((Log!$D$4:$D$1203=$A62)*(Log!$B$4:$B$1203=L$53)*(Log!$E$4:$E$1203="A")*(Log!$F$4:$F$1203&lt;&gt;"")*(Log!$G$4:$G$1203&lt;&gt;"")*Log!$F$4:$F$1203*(1+Log!$G$4:$G$1203/30)))))</f>
        <v>306.666666666667</v>
      </c>
      <c r="M62" s="86" t="str">
        <f aca="false">IF($A62="","",IF(SUMPRODUCT(MAX((Log!$D$4:$D$1203=$A62)*(Log!$B$4:$B$1203=M$53)*(Log!$E$4:$E$1203="A")*(Log!$F$4:$F$1203&lt;&gt;"")*(Log!$G$4:$G$1203&lt;&gt;"")*Log!$F$4:$F$1203*(1+Log!$G$4:$G$1203/30)))=0,"",SUMPRODUCT(MAX((Log!$D$4:$D$1203=$A62)*(Log!$B$4:$B$1203=M$53)*(Log!$E$4:$E$1203="A")*(Log!$F$4:$F$1203&lt;&gt;"")*(Log!$G$4:$G$1203&lt;&gt;"")*Log!$F$4:$F$1203*(1+Log!$G$4:$G$1203/30)))))</f>
        <v/>
      </c>
      <c r="N62" s="86" t="n">
        <f aca="false">IF($A62="","",IF(SUMPRODUCT(MAX((Log!$D$4:$D$1203=$A62)*(Log!$B$4:$B$1203=N$53)*(Log!$E$4:$E$1203="A")*(Log!$F$4:$F$1203&lt;&gt;"")*(Log!$G$4:$G$1203&lt;&gt;"")*Log!$F$4:$F$1203*(1+Log!$G$4:$G$1203/30)))=0,"",SUMPRODUCT(MAX((Log!$D$4:$D$1203=$A62)*(Log!$B$4:$B$1203=N$53)*(Log!$E$4:$E$1203="A")*(Log!$F$4:$F$1203&lt;&gt;"")*(Log!$G$4:$G$1203&lt;&gt;"")*Log!$F$4:$F$1203*(1+Log!$G$4:$G$1203/30)))))</f>
        <v>342</v>
      </c>
      <c r="O62" s="86" t="n">
        <f aca="false">IF($A62="","",IF(SUMPRODUCT(MAX((Log!$D$4:$D$1203=$A62)*(Log!$B$4:$B$1203=O$53)*(Log!$E$4:$E$1203="A")*(Log!$F$4:$F$1203&lt;&gt;"")*(Log!$G$4:$G$1203&lt;&gt;"")*Log!$F$4:$F$1203*(1+Log!$G$4:$G$1203/30)))=0,"",SUMPRODUCT(MAX((Log!$D$4:$D$1203=$A62)*(Log!$B$4:$B$1203=O$53)*(Log!$E$4:$E$1203="A")*(Log!$F$4:$F$1203&lt;&gt;"")*(Log!$G$4:$G$1203&lt;&gt;"")*Log!$F$4:$F$1203*(1+Log!$G$4:$G$1203/30)))))</f>
        <v>332.5</v>
      </c>
      <c r="P62" s="86" t="str">
        <f aca="false">IF($A62="","",IF(SUMPRODUCT(MAX((Log!$D$4:$D$1203=$A62)*(Log!$B$4:$B$1203=P$53)*(Log!$E$4:$E$1203="A")*(Log!$F$4:$F$1203&lt;&gt;"")*(Log!$G$4:$G$1203&lt;&gt;"")*Log!$F$4:$F$1203*(1+Log!$G$4:$G$1203/30)))=0,"",SUMPRODUCT(MAX((Log!$D$4:$D$1203=$A62)*(Log!$B$4:$B$1203=P$53)*(Log!$E$4:$E$1203="A")*(Log!$F$4:$F$1203&lt;&gt;"")*(Log!$G$4:$G$1203&lt;&gt;"")*Log!$F$4:$F$1203*(1+Log!$G$4:$G$1203/30)))))</f>
        <v/>
      </c>
      <c r="Q62" s="86" t="str">
        <f aca="false">IF($A62="","",IF(SUMPRODUCT(MAX((Log!$D$4:$D$1203=$A62)*(Log!$B$4:$B$1203=Q$53)*(Log!$E$4:$E$1203="A")*(Log!$F$4:$F$1203&lt;&gt;"")*(Log!$G$4:$G$1203&lt;&gt;"")*Log!$F$4:$F$1203*(1+Log!$G$4:$G$1203/30)))=0,"",SUMPRODUCT(MAX((Log!$D$4:$D$1203=$A62)*(Log!$B$4:$B$1203=Q$53)*(Log!$E$4:$E$1203="A")*(Log!$F$4:$F$1203&lt;&gt;"")*(Log!$G$4:$G$1203&lt;&gt;"")*Log!$F$4:$F$1203*(1+Log!$G$4:$G$1203/30)))))</f>
        <v/>
      </c>
      <c r="R62" s="87" t="n">
        <f aca="false">IF($A62="","",IF(SUMPRODUCT(MAX((Log!$D$4:$D$1203=$A62)*(Log!$E$4:$E$1203="A")*(Log!$F$4:$F$1203&lt;&gt;"")*(Log!$G$4:$G$1203&lt;&gt;"")*Log!$F$4:$F$1203*(1+Log!$G$4:$G$1203/30)))=0,"",SUMPRODUCT(MAX((Log!$D$4:$D$1203=$A62)*(Log!$E$4:$E$1203="A")*(Log!$F$4:$F$1203&lt;&gt;"")*(Log!$G$4:$G$1203&lt;&gt;"")*Log!$F$4:$F$1203*(1+Log!$G$4:$G$1203/30)))))</f>
        <v>367.333333333333</v>
      </c>
    </row>
    <row r="63" customFormat="false" ht="16.5" hidden="false" customHeight="true" outlineLevel="0" collapsed="false">
      <c r="A63" s="40" t="str">
        <f aca="false">IF(Übungen!$A13="","",Übungen!$A13)</f>
        <v>Hip &amp; Glute</v>
      </c>
      <c r="B63" s="88" t="str">
        <f aca="false">IF($A63="","",IF(SUMPRODUCT(MAX((Log!$D$4:$D$1203=$A63)*(Log!$B$4:$B$1203=B$53)*(Log!$E$4:$E$1203="A")*(Log!$F$4:$F$1203&lt;&gt;"")*(Log!$G$4:$G$1203&lt;&gt;"")*Log!$F$4:$F$1203*(1+Log!$G$4:$G$1203/30)))=0,"",SUMPRODUCT(MAX((Log!$D$4:$D$1203=$A63)*(Log!$B$4:$B$1203=B$53)*(Log!$E$4:$E$1203="A")*(Log!$F$4:$F$1203&lt;&gt;"")*(Log!$G$4:$G$1203&lt;&gt;"")*Log!$F$4:$F$1203*(1+Log!$G$4:$G$1203/30)))))</f>
        <v/>
      </c>
      <c r="C63" s="88" t="str">
        <f aca="false">IF($A63="","",IF(SUMPRODUCT(MAX((Log!$D$4:$D$1203=$A63)*(Log!$B$4:$B$1203=C$53)*(Log!$E$4:$E$1203="A")*(Log!$F$4:$F$1203&lt;&gt;"")*(Log!$G$4:$G$1203&lt;&gt;"")*Log!$F$4:$F$1203*(1+Log!$G$4:$G$1203/30)))=0,"",SUMPRODUCT(MAX((Log!$D$4:$D$1203=$A63)*(Log!$B$4:$B$1203=C$53)*(Log!$E$4:$E$1203="A")*(Log!$F$4:$F$1203&lt;&gt;"")*(Log!$G$4:$G$1203&lt;&gt;"")*Log!$F$4:$F$1203*(1+Log!$G$4:$G$1203/30)))))</f>
        <v/>
      </c>
      <c r="D63" s="88" t="str">
        <f aca="false">IF($A63="","",IF(SUMPRODUCT(MAX((Log!$D$4:$D$1203=$A63)*(Log!$B$4:$B$1203=D$53)*(Log!$E$4:$E$1203="A")*(Log!$F$4:$F$1203&lt;&gt;"")*(Log!$G$4:$G$1203&lt;&gt;"")*Log!$F$4:$F$1203*(1+Log!$G$4:$G$1203/30)))=0,"",SUMPRODUCT(MAX((Log!$D$4:$D$1203=$A63)*(Log!$B$4:$B$1203=D$53)*(Log!$E$4:$E$1203="A")*(Log!$F$4:$F$1203&lt;&gt;"")*(Log!$G$4:$G$1203&lt;&gt;"")*Log!$F$4:$F$1203*(1+Log!$G$4:$G$1203/30)))))</f>
        <v/>
      </c>
      <c r="E63" s="88" t="str">
        <f aca="false">IF($A63="","",IF(SUMPRODUCT(MAX((Log!$D$4:$D$1203=$A63)*(Log!$B$4:$B$1203=E$53)*(Log!$E$4:$E$1203="A")*(Log!$F$4:$F$1203&lt;&gt;"")*(Log!$G$4:$G$1203&lt;&gt;"")*Log!$F$4:$F$1203*(1+Log!$G$4:$G$1203/30)))=0,"",SUMPRODUCT(MAX((Log!$D$4:$D$1203=$A63)*(Log!$B$4:$B$1203=E$53)*(Log!$E$4:$E$1203="A")*(Log!$F$4:$F$1203&lt;&gt;"")*(Log!$G$4:$G$1203&lt;&gt;"")*Log!$F$4:$F$1203*(1+Log!$G$4:$G$1203/30)))))</f>
        <v/>
      </c>
      <c r="F63" s="88" t="str">
        <f aca="false">IF($A63="","",IF(SUMPRODUCT(MAX((Log!$D$4:$D$1203=$A63)*(Log!$B$4:$B$1203=F$53)*(Log!$E$4:$E$1203="A")*(Log!$F$4:$F$1203&lt;&gt;"")*(Log!$G$4:$G$1203&lt;&gt;"")*Log!$F$4:$F$1203*(1+Log!$G$4:$G$1203/30)))=0,"",SUMPRODUCT(MAX((Log!$D$4:$D$1203=$A63)*(Log!$B$4:$B$1203=F$53)*(Log!$E$4:$E$1203="A")*(Log!$F$4:$F$1203&lt;&gt;"")*(Log!$G$4:$G$1203&lt;&gt;"")*Log!$F$4:$F$1203*(1+Log!$G$4:$G$1203/30)))))</f>
        <v/>
      </c>
      <c r="G63" s="88" t="str">
        <f aca="false">IF($A63="","",IF(SUMPRODUCT(MAX((Log!$D$4:$D$1203=$A63)*(Log!$B$4:$B$1203=G$53)*(Log!$E$4:$E$1203="A")*(Log!$F$4:$F$1203&lt;&gt;"")*(Log!$G$4:$G$1203&lt;&gt;"")*Log!$F$4:$F$1203*(1+Log!$G$4:$G$1203/30)))=0,"",SUMPRODUCT(MAX((Log!$D$4:$D$1203=$A63)*(Log!$B$4:$B$1203=G$53)*(Log!$E$4:$E$1203="A")*(Log!$F$4:$F$1203&lt;&gt;"")*(Log!$G$4:$G$1203&lt;&gt;"")*Log!$F$4:$F$1203*(1+Log!$G$4:$G$1203/30)))))</f>
        <v/>
      </c>
      <c r="H63" s="88" t="n">
        <f aca="false">IF($A63="","",IF(SUMPRODUCT(MAX((Log!$D$4:$D$1203=$A63)*(Log!$B$4:$B$1203=H$53)*(Log!$E$4:$E$1203="A")*(Log!$F$4:$F$1203&lt;&gt;"")*(Log!$G$4:$G$1203&lt;&gt;"")*Log!$F$4:$F$1203*(1+Log!$G$4:$G$1203/30)))=0,"",SUMPRODUCT(MAX((Log!$D$4:$D$1203=$A63)*(Log!$B$4:$B$1203=H$53)*(Log!$E$4:$E$1203="A")*(Log!$F$4:$F$1203&lt;&gt;"")*(Log!$G$4:$G$1203&lt;&gt;"")*Log!$F$4:$F$1203*(1+Log!$G$4:$G$1203/30)))))</f>
        <v>204</v>
      </c>
      <c r="I63" s="88" t="str">
        <f aca="false">IF($A63="","",IF(SUMPRODUCT(MAX((Log!$D$4:$D$1203=$A63)*(Log!$B$4:$B$1203=I$53)*(Log!$E$4:$E$1203="A")*(Log!$F$4:$F$1203&lt;&gt;"")*(Log!$G$4:$G$1203&lt;&gt;"")*Log!$F$4:$F$1203*(1+Log!$G$4:$G$1203/30)))=0,"",SUMPRODUCT(MAX((Log!$D$4:$D$1203=$A63)*(Log!$B$4:$B$1203=I$53)*(Log!$E$4:$E$1203="A")*(Log!$F$4:$F$1203&lt;&gt;"")*(Log!$G$4:$G$1203&lt;&gt;"")*Log!$F$4:$F$1203*(1+Log!$G$4:$G$1203/30)))))</f>
        <v/>
      </c>
      <c r="J63" s="88" t="n">
        <f aca="false">IF($A63="","",IF(SUMPRODUCT(MAX((Log!$D$4:$D$1203=$A63)*(Log!$B$4:$B$1203=J$53)*(Log!$E$4:$E$1203="A")*(Log!$F$4:$F$1203&lt;&gt;"")*(Log!$G$4:$G$1203&lt;&gt;"")*Log!$F$4:$F$1203*(1+Log!$G$4:$G$1203/30)))=0,"",SUMPRODUCT(MAX((Log!$D$4:$D$1203=$A63)*(Log!$B$4:$B$1203=J$53)*(Log!$E$4:$E$1203="A")*(Log!$F$4:$F$1203&lt;&gt;"")*(Log!$G$4:$G$1203&lt;&gt;"")*Log!$F$4:$F$1203*(1+Log!$G$4:$G$1203/30)))))</f>
        <v>234.666666666667</v>
      </c>
      <c r="K63" s="88" t="str">
        <f aca="false">IF($A63="","",IF(SUMPRODUCT(MAX((Log!$D$4:$D$1203=$A63)*(Log!$B$4:$B$1203=K$53)*(Log!$E$4:$E$1203="A")*(Log!$F$4:$F$1203&lt;&gt;"")*(Log!$G$4:$G$1203&lt;&gt;"")*Log!$F$4:$F$1203*(1+Log!$G$4:$G$1203/30)))=0,"",SUMPRODUCT(MAX((Log!$D$4:$D$1203=$A63)*(Log!$B$4:$B$1203=K$53)*(Log!$E$4:$E$1203="A")*(Log!$F$4:$F$1203&lt;&gt;"")*(Log!$G$4:$G$1203&lt;&gt;"")*Log!$F$4:$F$1203*(1+Log!$G$4:$G$1203/30)))))</f>
        <v/>
      </c>
      <c r="L63" s="88" t="n">
        <f aca="false">IF($A63="","",IF(SUMPRODUCT(MAX((Log!$D$4:$D$1203=$A63)*(Log!$B$4:$B$1203=L$53)*(Log!$E$4:$E$1203="A")*(Log!$F$4:$F$1203&lt;&gt;"")*(Log!$G$4:$G$1203&lt;&gt;"")*Log!$F$4:$F$1203*(1+Log!$G$4:$G$1203/30)))=0,"",SUMPRODUCT(MAX((Log!$D$4:$D$1203=$A63)*(Log!$B$4:$B$1203=L$53)*(Log!$E$4:$E$1203="A")*(Log!$F$4:$F$1203&lt;&gt;"")*(Log!$G$4:$G$1203&lt;&gt;"")*Log!$F$4:$F$1203*(1+Log!$G$4:$G$1203/30)))))</f>
        <v>207.6</v>
      </c>
      <c r="M63" s="88" t="str">
        <f aca="false">IF($A63="","",IF(SUMPRODUCT(MAX((Log!$D$4:$D$1203=$A63)*(Log!$B$4:$B$1203=M$53)*(Log!$E$4:$E$1203="A")*(Log!$F$4:$F$1203&lt;&gt;"")*(Log!$G$4:$G$1203&lt;&gt;"")*Log!$F$4:$F$1203*(1+Log!$G$4:$G$1203/30)))=0,"",SUMPRODUCT(MAX((Log!$D$4:$D$1203=$A63)*(Log!$B$4:$B$1203=M$53)*(Log!$E$4:$E$1203="A")*(Log!$F$4:$F$1203&lt;&gt;"")*(Log!$G$4:$G$1203&lt;&gt;"")*Log!$F$4:$F$1203*(1+Log!$G$4:$G$1203/30)))))</f>
        <v/>
      </c>
      <c r="N63" s="88" t="n">
        <f aca="false">IF($A63="","",IF(SUMPRODUCT(MAX((Log!$D$4:$D$1203=$A63)*(Log!$B$4:$B$1203=N$53)*(Log!$E$4:$E$1203="A")*(Log!$F$4:$F$1203&lt;&gt;"")*(Log!$G$4:$G$1203&lt;&gt;"")*Log!$F$4:$F$1203*(1+Log!$G$4:$G$1203/30)))=0,"",SUMPRODUCT(MAX((Log!$D$4:$D$1203=$A63)*(Log!$B$4:$B$1203=N$53)*(Log!$E$4:$E$1203="A")*(Log!$F$4:$F$1203&lt;&gt;"")*(Log!$G$4:$G$1203&lt;&gt;"")*Log!$F$4:$F$1203*(1+Log!$G$4:$G$1203/30)))))</f>
        <v>207.2</v>
      </c>
      <c r="O63" s="88" t="n">
        <f aca="false">IF($A63="","",IF(SUMPRODUCT(MAX((Log!$D$4:$D$1203=$A63)*(Log!$B$4:$B$1203=O$53)*(Log!$E$4:$E$1203="A")*(Log!$F$4:$F$1203&lt;&gt;"")*(Log!$G$4:$G$1203&lt;&gt;"")*Log!$F$4:$F$1203*(1+Log!$G$4:$G$1203/30)))=0,"",SUMPRODUCT(MAX((Log!$D$4:$D$1203=$A63)*(Log!$B$4:$B$1203=O$53)*(Log!$E$4:$E$1203="A")*(Log!$F$4:$F$1203&lt;&gt;"")*(Log!$G$4:$G$1203&lt;&gt;"")*Log!$F$4:$F$1203*(1+Log!$G$4:$G$1203/30)))))</f>
        <v>198.333333333333</v>
      </c>
      <c r="P63" s="88" t="str">
        <f aca="false">IF($A63="","",IF(SUMPRODUCT(MAX((Log!$D$4:$D$1203=$A63)*(Log!$B$4:$B$1203=P$53)*(Log!$E$4:$E$1203="A")*(Log!$F$4:$F$1203&lt;&gt;"")*(Log!$G$4:$G$1203&lt;&gt;"")*Log!$F$4:$F$1203*(1+Log!$G$4:$G$1203/30)))=0,"",SUMPRODUCT(MAX((Log!$D$4:$D$1203=$A63)*(Log!$B$4:$B$1203=P$53)*(Log!$E$4:$E$1203="A")*(Log!$F$4:$F$1203&lt;&gt;"")*(Log!$G$4:$G$1203&lt;&gt;"")*Log!$F$4:$F$1203*(1+Log!$G$4:$G$1203/30)))))</f>
        <v/>
      </c>
      <c r="Q63" s="88" t="str">
        <f aca="false">IF($A63="","",IF(SUMPRODUCT(MAX((Log!$D$4:$D$1203=$A63)*(Log!$B$4:$B$1203=Q$53)*(Log!$E$4:$E$1203="A")*(Log!$F$4:$F$1203&lt;&gt;"")*(Log!$G$4:$G$1203&lt;&gt;"")*Log!$F$4:$F$1203*(1+Log!$G$4:$G$1203/30)))=0,"",SUMPRODUCT(MAX((Log!$D$4:$D$1203=$A63)*(Log!$B$4:$B$1203=Q$53)*(Log!$E$4:$E$1203="A")*(Log!$F$4:$F$1203&lt;&gt;"")*(Log!$G$4:$G$1203&lt;&gt;"")*Log!$F$4:$F$1203*(1+Log!$G$4:$G$1203/30)))))</f>
        <v/>
      </c>
      <c r="R63" s="87" t="n">
        <f aca="false">IF($A63="","",IF(SUMPRODUCT(MAX((Log!$D$4:$D$1203=$A63)*(Log!$E$4:$E$1203="A")*(Log!$F$4:$F$1203&lt;&gt;"")*(Log!$G$4:$G$1203&lt;&gt;"")*Log!$F$4:$F$1203*(1+Log!$G$4:$G$1203/30)))=0,"",SUMPRODUCT(MAX((Log!$D$4:$D$1203=$A63)*(Log!$E$4:$E$1203="A")*(Log!$F$4:$F$1203&lt;&gt;"")*(Log!$G$4:$G$1203&lt;&gt;"")*Log!$F$4:$F$1203*(1+Log!$G$4:$G$1203/30)))))</f>
        <v>234.666666666667</v>
      </c>
    </row>
    <row r="64" customFormat="false" ht="16.5" hidden="false" customHeight="true" outlineLevel="0" collapsed="false">
      <c r="A64" s="34" t="str">
        <f aca="false">IF(Übungen!$A14="","",Übungen!$A14)</f>
        <v>Beinbeuger</v>
      </c>
      <c r="B64" s="86" t="n">
        <f aca="false">IF($A64="","",IF(SUMPRODUCT(MAX((Log!$D$4:$D$1203=$A64)*(Log!$B$4:$B$1203=B$53)*(Log!$E$4:$E$1203="A")*(Log!$F$4:$F$1203&lt;&gt;"")*(Log!$G$4:$G$1203&lt;&gt;"")*Log!$F$4:$F$1203*(1+Log!$G$4:$G$1203/30)))=0,"",SUMPRODUCT(MAX((Log!$D$4:$D$1203=$A64)*(Log!$B$4:$B$1203=B$53)*(Log!$E$4:$E$1203="A")*(Log!$F$4:$F$1203&lt;&gt;"")*(Log!$G$4:$G$1203&lt;&gt;"")*Log!$F$4:$F$1203*(1+Log!$G$4:$G$1203/30)))))</f>
        <v>66.6666666666667</v>
      </c>
      <c r="C64" s="86" t="n">
        <f aca="false">IF($A64="","",IF(SUMPRODUCT(MAX((Log!$D$4:$D$1203=$A64)*(Log!$B$4:$B$1203=C$53)*(Log!$E$4:$E$1203="A")*(Log!$F$4:$F$1203&lt;&gt;"")*(Log!$G$4:$G$1203&lt;&gt;"")*Log!$F$4:$F$1203*(1+Log!$G$4:$G$1203/30)))=0,"",SUMPRODUCT(MAX((Log!$D$4:$D$1203=$A64)*(Log!$B$4:$B$1203=C$53)*(Log!$E$4:$E$1203="A")*(Log!$F$4:$F$1203&lt;&gt;"")*(Log!$G$4:$G$1203&lt;&gt;"")*Log!$F$4:$F$1203*(1+Log!$G$4:$G$1203/30)))))</f>
        <v>73.3333333333333</v>
      </c>
      <c r="D64" s="86" t="n">
        <f aca="false">IF($A64="","",IF(SUMPRODUCT(MAX((Log!$D$4:$D$1203=$A64)*(Log!$B$4:$B$1203=D$53)*(Log!$E$4:$E$1203="A")*(Log!$F$4:$F$1203&lt;&gt;"")*(Log!$G$4:$G$1203&lt;&gt;"")*Log!$F$4:$F$1203*(1+Log!$G$4:$G$1203/30)))=0,"",SUMPRODUCT(MAX((Log!$D$4:$D$1203=$A64)*(Log!$B$4:$B$1203=D$53)*(Log!$E$4:$E$1203="A")*(Log!$F$4:$F$1203&lt;&gt;"")*(Log!$G$4:$G$1203&lt;&gt;"")*Log!$F$4:$F$1203*(1+Log!$G$4:$G$1203/30)))))</f>
        <v>67.5</v>
      </c>
      <c r="E64" s="86" t="str">
        <f aca="false">IF($A64="","",IF(SUMPRODUCT(MAX((Log!$D$4:$D$1203=$A64)*(Log!$B$4:$B$1203=E$53)*(Log!$E$4:$E$1203="A")*(Log!$F$4:$F$1203&lt;&gt;"")*(Log!$G$4:$G$1203&lt;&gt;"")*Log!$F$4:$F$1203*(1+Log!$G$4:$G$1203/30)))=0,"",SUMPRODUCT(MAX((Log!$D$4:$D$1203=$A64)*(Log!$B$4:$B$1203=E$53)*(Log!$E$4:$E$1203="A")*(Log!$F$4:$F$1203&lt;&gt;"")*(Log!$G$4:$G$1203&lt;&gt;"")*Log!$F$4:$F$1203*(1+Log!$G$4:$G$1203/30)))))</f>
        <v/>
      </c>
      <c r="F64" s="86" t="n">
        <f aca="false">IF($A64="","",IF(SUMPRODUCT(MAX((Log!$D$4:$D$1203=$A64)*(Log!$B$4:$B$1203=F$53)*(Log!$E$4:$E$1203="A")*(Log!$F$4:$F$1203&lt;&gt;"")*(Log!$G$4:$G$1203&lt;&gt;"")*Log!$F$4:$F$1203*(1+Log!$G$4:$G$1203/30)))=0,"",SUMPRODUCT(MAX((Log!$D$4:$D$1203=$A64)*(Log!$B$4:$B$1203=F$53)*(Log!$E$4:$E$1203="A")*(Log!$F$4:$F$1203&lt;&gt;"")*(Log!$G$4:$G$1203&lt;&gt;"")*Log!$F$4:$F$1203*(1+Log!$G$4:$G$1203/30)))))</f>
        <v>63</v>
      </c>
      <c r="G64" s="86" t="str">
        <f aca="false">IF($A64="","",IF(SUMPRODUCT(MAX((Log!$D$4:$D$1203=$A64)*(Log!$B$4:$B$1203=G$53)*(Log!$E$4:$E$1203="A")*(Log!$F$4:$F$1203&lt;&gt;"")*(Log!$G$4:$G$1203&lt;&gt;"")*Log!$F$4:$F$1203*(1+Log!$G$4:$G$1203/30)))=0,"",SUMPRODUCT(MAX((Log!$D$4:$D$1203=$A64)*(Log!$B$4:$B$1203=G$53)*(Log!$E$4:$E$1203="A")*(Log!$F$4:$F$1203&lt;&gt;"")*(Log!$G$4:$G$1203&lt;&gt;"")*Log!$F$4:$F$1203*(1+Log!$G$4:$G$1203/30)))))</f>
        <v/>
      </c>
      <c r="H64" s="86" t="n">
        <f aca="false">IF($A64="","",IF(SUMPRODUCT(MAX((Log!$D$4:$D$1203=$A64)*(Log!$B$4:$B$1203=H$53)*(Log!$E$4:$E$1203="A")*(Log!$F$4:$F$1203&lt;&gt;"")*(Log!$G$4:$G$1203&lt;&gt;"")*Log!$F$4:$F$1203*(1+Log!$G$4:$G$1203/30)))=0,"",SUMPRODUCT(MAX((Log!$D$4:$D$1203=$A64)*(Log!$B$4:$B$1203=H$53)*(Log!$E$4:$E$1203="A")*(Log!$F$4:$F$1203&lt;&gt;"")*(Log!$G$4:$G$1203&lt;&gt;"")*Log!$F$4:$F$1203*(1+Log!$G$4:$G$1203/30)))))</f>
        <v>70</v>
      </c>
      <c r="I64" s="86" t="str">
        <f aca="false">IF($A64="","",IF(SUMPRODUCT(MAX((Log!$D$4:$D$1203=$A64)*(Log!$B$4:$B$1203=I$53)*(Log!$E$4:$E$1203="A")*(Log!$F$4:$F$1203&lt;&gt;"")*(Log!$G$4:$G$1203&lt;&gt;"")*Log!$F$4:$F$1203*(1+Log!$G$4:$G$1203/30)))=0,"",SUMPRODUCT(MAX((Log!$D$4:$D$1203=$A64)*(Log!$B$4:$B$1203=I$53)*(Log!$E$4:$E$1203="A")*(Log!$F$4:$F$1203&lt;&gt;"")*(Log!$G$4:$G$1203&lt;&gt;"")*Log!$F$4:$F$1203*(1+Log!$G$4:$G$1203/30)))))</f>
        <v/>
      </c>
      <c r="J64" s="86" t="n">
        <f aca="false">IF($A64="","",IF(SUMPRODUCT(MAX((Log!$D$4:$D$1203=$A64)*(Log!$B$4:$B$1203=J$53)*(Log!$E$4:$E$1203="A")*(Log!$F$4:$F$1203&lt;&gt;"")*(Log!$G$4:$G$1203&lt;&gt;"")*Log!$F$4:$F$1203*(1+Log!$G$4:$G$1203/30)))=0,"",SUMPRODUCT(MAX((Log!$D$4:$D$1203=$A64)*(Log!$B$4:$B$1203=J$53)*(Log!$E$4:$E$1203="A")*(Log!$F$4:$F$1203&lt;&gt;"")*(Log!$G$4:$G$1203&lt;&gt;"")*Log!$F$4:$F$1203*(1+Log!$G$4:$G$1203/30)))))</f>
        <v>69</v>
      </c>
      <c r="K64" s="86" t="str">
        <f aca="false">IF($A64="","",IF(SUMPRODUCT(MAX((Log!$D$4:$D$1203=$A64)*(Log!$B$4:$B$1203=K$53)*(Log!$E$4:$E$1203="A")*(Log!$F$4:$F$1203&lt;&gt;"")*(Log!$G$4:$G$1203&lt;&gt;"")*Log!$F$4:$F$1203*(1+Log!$G$4:$G$1203/30)))=0,"",SUMPRODUCT(MAX((Log!$D$4:$D$1203=$A64)*(Log!$B$4:$B$1203=K$53)*(Log!$E$4:$E$1203="A")*(Log!$F$4:$F$1203&lt;&gt;"")*(Log!$G$4:$G$1203&lt;&gt;"")*Log!$F$4:$F$1203*(1+Log!$G$4:$G$1203/30)))))</f>
        <v/>
      </c>
      <c r="L64" s="86" t="str">
        <f aca="false">IF($A64="","",IF(SUMPRODUCT(MAX((Log!$D$4:$D$1203=$A64)*(Log!$B$4:$B$1203=L$53)*(Log!$E$4:$E$1203="A")*(Log!$F$4:$F$1203&lt;&gt;"")*(Log!$G$4:$G$1203&lt;&gt;"")*Log!$F$4:$F$1203*(1+Log!$G$4:$G$1203/30)))=0,"",SUMPRODUCT(MAX((Log!$D$4:$D$1203=$A64)*(Log!$B$4:$B$1203=L$53)*(Log!$E$4:$E$1203="A")*(Log!$F$4:$F$1203&lt;&gt;"")*(Log!$G$4:$G$1203&lt;&gt;"")*Log!$F$4:$F$1203*(1+Log!$G$4:$G$1203/30)))))</f>
        <v/>
      </c>
      <c r="M64" s="86" t="str">
        <f aca="false">IF($A64="","",IF(SUMPRODUCT(MAX((Log!$D$4:$D$1203=$A64)*(Log!$B$4:$B$1203=M$53)*(Log!$E$4:$E$1203="A")*(Log!$F$4:$F$1203&lt;&gt;"")*(Log!$G$4:$G$1203&lt;&gt;"")*Log!$F$4:$F$1203*(1+Log!$G$4:$G$1203/30)))=0,"",SUMPRODUCT(MAX((Log!$D$4:$D$1203=$A64)*(Log!$B$4:$B$1203=M$53)*(Log!$E$4:$E$1203="A")*(Log!$F$4:$F$1203&lt;&gt;"")*(Log!$G$4:$G$1203&lt;&gt;"")*Log!$F$4:$F$1203*(1+Log!$G$4:$G$1203/30)))))</f>
        <v/>
      </c>
      <c r="N64" s="86" t="n">
        <f aca="false">IF($A64="","",IF(SUMPRODUCT(MAX((Log!$D$4:$D$1203=$A64)*(Log!$B$4:$B$1203=N$53)*(Log!$E$4:$E$1203="A")*(Log!$F$4:$F$1203&lt;&gt;"")*(Log!$G$4:$G$1203&lt;&gt;"")*Log!$F$4:$F$1203*(1+Log!$G$4:$G$1203/30)))=0,"",SUMPRODUCT(MAX((Log!$D$4:$D$1203=$A64)*(Log!$B$4:$B$1203=N$53)*(Log!$E$4:$E$1203="A")*(Log!$F$4:$F$1203&lt;&gt;"")*(Log!$G$4:$G$1203&lt;&gt;"")*Log!$F$4:$F$1203*(1+Log!$G$4:$G$1203/30)))))</f>
        <v>52.4166666666667</v>
      </c>
      <c r="O64" s="86" t="n">
        <f aca="false">IF($A64="","",IF(SUMPRODUCT(MAX((Log!$D$4:$D$1203=$A64)*(Log!$B$4:$B$1203=O$53)*(Log!$E$4:$E$1203="A")*(Log!$F$4:$F$1203&lt;&gt;"")*(Log!$G$4:$G$1203&lt;&gt;"")*Log!$F$4:$F$1203*(1+Log!$G$4:$G$1203/30)))=0,"",SUMPRODUCT(MAX((Log!$D$4:$D$1203=$A64)*(Log!$B$4:$B$1203=O$53)*(Log!$E$4:$E$1203="A")*(Log!$F$4:$F$1203&lt;&gt;"")*(Log!$G$4:$G$1203&lt;&gt;"")*Log!$F$4:$F$1203*(1+Log!$G$4:$G$1203/30)))))</f>
        <v>52.5</v>
      </c>
      <c r="P64" s="86" t="str">
        <f aca="false">IF($A64="","",IF(SUMPRODUCT(MAX((Log!$D$4:$D$1203=$A64)*(Log!$B$4:$B$1203=P$53)*(Log!$E$4:$E$1203="A")*(Log!$F$4:$F$1203&lt;&gt;"")*(Log!$G$4:$G$1203&lt;&gt;"")*Log!$F$4:$F$1203*(1+Log!$G$4:$G$1203/30)))=0,"",SUMPRODUCT(MAX((Log!$D$4:$D$1203=$A64)*(Log!$B$4:$B$1203=P$53)*(Log!$E$4:$E$1203="A")*(Log!$F$4:$F$1203&lt;&gt;"")*(Log!$G$4:$G$1203&lt;&gt;"")*Log!$F$4:$F$1203*(1+Log!$G$4:$G$1203/30)))))</f>
        <v/>
      </c>
      <c r="Q64" s="86" t="str">
        <f aca="false">IF($A64="","",IF(SUMPRODUCT(MAX((Log!$D$4:$D$1203=$A64)*(Log!$B$4:$B$1203=Q$53)*(Log!$E$4:$E$1203="A")*(Log!$F$4:$F$1203&lt;&gt;"")*(Log!$G$4:$G$1203&lt;&gt;"")*Log!$F$4:$F$1203*(1+Log!$G$4:$G$1203/30)))=0,"",SUMPRODUCT(MAX((Log!$D$4:$D$1203=$A64)*(Log!$B$4:$B$1203=Q$53)*(Log!$E$4:$E$1203="A")*(Log!$F$4:$F$1203&lt;&gt;"")*(Log!$G$4:$G$1203&lt;&gt;"")*Log!$F$4:$F$1203*(1+Log!$G$4:$G$1203/30)))))</f>
        <v/>
      </c>
      <c r="R64" s="87" t="n">
        <f aca="false">IF($A64="","",IF(SUMPRODUCT(MAX((Log!$D$4:$D$1203=$A64)*(Log!$E$4:$E$1203="A")*(Log!$F$4:$F$1203&lt;&gt;"")*(Log!$G$4:$G$1203&lt;&gt;"")*Log!$F$4:$F$1203*(1+Log!$G$4:$G$1203/30)))=0,"",SUMPRODUCT(MAX((Log!$D$4:$D$1203=$A64)*(Log!$E$4:$E$1203="A")*(Log!$F$4:$F$1203&lt;&gt;"")*(Log!$G$4:$G$1203&lt;&gt;"")*Log!$F$4:$F$1203*(1+Log!$G$4:$G$1203/30)))))</f>
        <v>73.3333333333333</v>
      </c>
    </row>
    <row r="65" customFormat="false" ht="16.5" hidden="false" customHeight="true" outlineLevel="0" collapsed="false">
      <c r="A65" s="40" t="str">
        <f aca="false">IF(Übungen!$A15="","",Übungen!$A15)</f>
        <v>Seitliche Kickbacks</v>
      </c>
      <c r="B65" s="88" t="n">
        <f aca="false">IF($A65="","",IF(SUMPRODUCT(MAX((Log!$D$4:$D$1203=$A65)*(Log!$B$4:$B$1203=B$53)*(Log!$E$4:$E$1203="A")*(Log!$F$4:$F$1203&lt;&gt;"")*(Log!$G$4:$G$1203&lt;&gt;"")*Log!$F$4:$F$1203*(1+Log!$G$4:$G$1203/30)))=0,"",SUMPRODUCT(MAX((Log!$D$4:$D$1203=$A65)*(Log!$B$4:$B$1203=B$53)*(Log!$E$4:$E$1203="A")*(Log!$F$4:$F$1203&lt;&gt;"")*(Log!$G$4:$G$1203&lt;&gt;"")*Log!$F$4:$F$1203*(1+Log!$G$4:$G$1203/30)))))</f>
        <v>68.6</v>
      </c>
      <c r="C65" s="88" t="n">
        <f aca="false">IF($A65="","",IF(SUMPRODUCT(MAX((Log!$D$4:$D$1203=$A65)*(Log!$B$4:$B$1203=C$53)*(Log!$E$4:$E$1203="A")*(Log!$F$4:$F$1203&lt;&gt;"")*(Log!$G$4:$G$1203&lt;&gt;"")*Log!$F$4:$F$1203*(1+Log!$G$4:$G$1203/30)))=0,"",SUMPRODUCT(MAX((Log!$D$4:$D$1203=$A65)*(Log!$B$4:$B$1203=C$53)*(Log!$E$4:$E$1203="A")*(Log!$F$4:$F$1203&lt;&gt;"")*(Log!$G$4:$G$1203&lt;&gt;"")*Log!$F$4:$F$1203*(1+Log!$G$4:$G$1203/30)))))</f>
        <v>52.5</v>
      </c>
      <c r="D65" s="88" t="str">
        <f aca="false">IF($A65="","",IF(SUMPRODUCT(MAX((Log!$D$4:$D$1203=$A65)*(Log!$B$4:$B$1203=D$53)*(Log!$E$4:$E$1203="A")*(Log!$F$4:$F$1203&lt;&gt;"")*(Log!$G$4:$G$1203&lt;&gt;"")*Log!$F$4:$F$1203*(1+Log!$G$4:$G$1203/30)))=0,"",SUMPRODUCT(MAX((Log!$D$4:$D$1203=$A65)*(Log!$B$4:$B$1203=D$53)*(Log!$E$4:$E$1203="A")*(Log!$F$4:$F$1203&lt;&gt;"")*(Log!$G$4:$G$1203&lt;&gt;"")*Log!$F$4:$F$1203*(1+Log!$G$4:$G$1203/30)))))</f>
        <v/>
      </c>
      <c r="E65" s="88" t="str">
        <f aca="false">IF($A65="","",IF(SUMPRODUCT(MAX((Log!$D$4:$D$1203=$A65)*(Log!$B$4:$B$1203=E$53)*(Log!$E$4:$E$1203="A")*(Log!$F$4:$F$1203&lt;&gt;"")*(Log!$G$4:$G$1203&lt;&gt;"")*Log!$F$4:$F$1203*(1+Log!$G$4:$G$1203/30)))=0,"",SUMPRODUCT(MAX((Log!$D$4:$D$1203=$A65)*(Log!$B$4:$B$1203=E$53)*(Log!$E$4:$E$1203="A")*(Log!$F$4:$F$1203&lt;&gt;"")*(Log!$G$4:$G$1203&lt;&gt;"")*Log!$F$4:$F$1203*(1+Log!$G$4:$G$1203/30)))))</f>
        <v/>
      </c>
      <c r="F65" s="88" t="n">
        <f aca="false">IF($A65="","",IF(SUMPRODUCT(MAX((Log!$D$4:$D$1203=$A65)*(Log!$B$4:$B$1203=F$53)*(Log!$E$4:$E$1203="A")*(Log!$F$4:$F$1203&lt;&gt;"")*(Log!$G$4:$G$1203&lt;&gt;"")*Log!$F$4:$F$1203*(1+Log!$G$4:$G$1203/30)))=0,"",SUMPRODUCT(MAX((Log!$D$4:$D$1203=$A65)*(Log!$B$4:$B$1203=F$53)*(Log!$E$4:$E$1203="A")*(Log!$F$4:$F$1203&lt;&gt;"")*(Log!$G$4:$G$1203&lt;&gt;"")*Log!$F$4:$F$1203*(1+Log!$G$4:$G$1203/30)))))</f>
        <v>48</v>
      </c>
      <c r="G65" s="88" t="str">
        <f aca="false">IF($A65="","",IF(SUMPRODUCT(MAX((Log!$D$4:$D$1203=$A65)*(Log!$B$4:$B$1203=G$53)*(Log!$E$4:$E$1203="A")*(Log!$F$4:$F$1203&lt;&gt;"")*(Log!$G$4:$G$1203&lt;&gt;"")*Log!$F$4:$F$1203*(1+Log!$G$4:$G$1203/30)))=0,"",SUMPRODUCT(MAX((Log!$D$4:$D$1203=$A65)*(Log!$B$4:$B$1203=G$53)*(Log!$E$4:$E$1203="A")*(Log!$F$4:$F$1203&lt;&gt;"")*(Log!$G$4:$G$1203&lt;&gt;"")*Log!$F$4:$F$1203*(1+Log!$G$4:$G$1203/30)))))</f>
        <v/>
      </c>
      <c r="H65" s="88" t="str">
        <f aca="false">IF($A65="","",IF(SUMPRODUCT(MAX((Log!$D$4:$D$1203=$A65)*(Log!$B$4:$B$1203=H$53)*(Log!$E$4:$E$1203="A")*(Log!$F$4:$F$1203&lt;&gt;"")*(Log!$G$4:$G$1203&lt;&gt;"")*Log!$F$4:$F$1203*(1+Log!$G$4:$G$1203/30)))=0,"",SUMPRODUCT(MAX((Log!$D$4:$D$1203=$A65)*(Log!$B$4:$B$1203=H$53)*(Log!$E$4:$E$1203="A")*(Log!$F$4:$F$1203&lt;&gt;"")*(Log!$G$4:$G$1203&lt;&gt;"")*Log!$F$4:$F$1203*(1+Log!$G$4:$G$1203/30)))))</f>
        <v/>
      </c>
      <c r="I65" s="88" t="str">
        <f aca="false">IF($A65="","",IF(SUMPRODUCT(MAX((Log!$D$4:$D$1203=$A65)*(Log!$B$4:$B$1203=I$53)*(Log!$E$4:$E$1203="A")*(Log!$F$4:$F$1203&lt;&gt;"")*(Log!$G$4:$G$1203&lt;&gt;"")*Log!$F$4:$F$1203*(1+Log!$G$4:$G$1203/30)))=0,"",SUMPRODUCT(MAX((Log!$D$4:$D$1203=$A65)*(Log!$B$4:$B$1203=I$53)*(Log!$E$4:$E$1203="A")*(Log!$F$4:$F$1203&lt;&gt;"")*(Log!$G$4:$G$1203&lt;&gt;"")*Log!$F$4:$F$1203*(1+Log!$G$4:$G$1203/30)))))</f>
        <v/>
      </c>
      <c r="J65" s="88" t="str">
        <f aca="false">IF($A65="","",IF(SUMPRODUCT(MAX((Log!$D$4:$D$1203=$A65)*(Log!$B$4:$B$1203=J$53)*(Log!$E$4:$E$1203="A")*(Log!$F$4:$F$1203&lt;&gt;"")*(Log!$G$4:$G$1203&lt;&gt;"")*Log!$F$4:$F$1203*(1+Log!$G$4:$G$1203/30)))=0,"",SUMPRODUCT(MAX((Log!$D$4:$D$1203=$A65)*(Log!$B$4:$B$1203=J$53)*(Log!$E$4:$E$1203="A")*(Log!$F$4:$F$1203&lt;&gt;"")*(Log!$G$4:$G$1203&lt;&gt;"")*Log!$F$4:$F$1203*(1+Log!$G$4:$G$1203/30)))))</f>
        <v/>
      </c>
      <c r="K65" s="88" t="str">
        <f aca="false">IF($A65="","",IF(SUMPRODUCT(MAX((Log!$D$4:$D$1203=$A65)*(Log!$B$4:$B$1203=K$53)*(Log!$E$4:$E$1203="A")*(Log!$F$4:$F$1203&lt;&gt;"")*(Log!$G$4:$G$1203&lt;&gt;"")*Log!$F$4:$F$1203*(1+Log!$G$4:$G$1203/30)))=0,"",SUMPRODUCT(MAX((Log!$D$4:$D$1203=$A65)*(Log!$B$4:$B$1203=K$53)*(Log!$E$4:$E$1203="A")*(Log!$F$4:$F$1203&lt;&gt;"")*(Log!$G$4:$G$1203&lt;&gt;"")*Log!$F$4:$F$1203*(1+Log!$G$4:$G$1203/30)))))</f>
        <v/>
      </c>
      <c r="L65" s="88" t="str">
        <f aca="false">IF($A65="","",IF(SUMPRODUCT(MAX((Log!$D$4:$D$1203=$A65)*(Log!$B$4:$B$1203=L$53)*(Log!$E$4:$E$1203="A")*(Log!$F$4:$F$1203&lt;&gt;"")*(Log!$G$4:$G$1203&lt;&gt;"")*Log!$F$4:$F$1203*(1+Log!$G$4:$G$1203/30)))=0,"",SUMPRODUCT(MAX((Log!$D$4:$D$1203=$A65)*(Log!$B$4:$B$1203=L$53)*(Log!$E$4:$E$1203="A")*(Log!$F$4:$F$1203&lt;&gt;"")*(Log!$G$4:$G$1203&lt;&gt;"")*Log!$F$4:$F$1203*(1+Log!$G$4:$G$1203/30)))))</f>
        <v/>
      </c>
      <c r="M65" s="88" t="str">
        <f aca="false">IF($A65="","",IF(SUMPRODUCT(MAX((Log!$D$4:$D$1203=$A65)*(Log!$B$4:$B$1203=M$53)*(Log!$E$4:$E$1203="A")*(Log!$F$4:$F$1203&lt;&gt;"")*(Log!$G$4:$G$1203&lt;&gt;"")*Log!$F$4:$F$1203*(1+Log!$G$4:$G$1203/30)))=0,"",SUMPRODUCT(MAX((Log!$D$4:$D$1203=$A65)*(Log!$B$4:$B$1203=M$53)*(Log!$E$4:$E$1203="A")*(Log!$F$4:$F$1203&lt;&gt;"")*(Log!$G$4:$G$1203&lt;&gt;"")*Log!$F$4:$F$1203*(1+Log!$G$4:$G$1203/30)))))</f>
        <v/>
      </c>
      <c r="N65" s="88" t="str">
        <f aca="false">IF($A65="","",IF(SUMPRODUCT(MAX((Log!$D$4:$D$1203=$A65)*(Log!$B$4:$B$1203=N$53)*(Log!$E$4:$E$1203="A")*(Log!$F$4:$F$1203&lt;&gt;"")*(Log!$G$4:$G$1203&lt;&gt;"")*Log!$F$4:$F$1203*(1+Log!$G$4:$G$1203/30)))=0,"",SUMPRODUCT(MAX((Log!$D$4:$D$1203=$A65)*(Log!$B$4:$B$1203=N$53)*(Log!$E$4:$E$1203="A")*(Log!$F$4:$F$1203&lt;&gt;"")*(Log!$G$4:$G$1203&lt;&gt;"")*Log!$F$4:$F$1203*(1+Log!$G$4:$G$1203/30)))))</f>
        <v/>
      </c>
      <c r="O65" s="88" t="str">
        <f aca="false">IF($A65="","",IF(SUMPRODUCT(MAX((Log!$D$4:$D$1203=$A65)*(Log!$B$4:$B$1203=O$53)*(Log!$E$4:$E$1203="A")*(Log!$F$4:$F$1203&lt;&gt;"")*(Log!$G$4:$G$1203&lt;&gt;"")*Log!$F$4:$F$1203*(1+Log!$G$4:$G$1203/30)))=0,"",SUMPRODUCT(MAX((Log!$D$4:$D$1203=$A65)*(Log!$B$4:$B$1203=O$53)*(Log!$E$4:$E$1203="A")*(Log!$F$4:$F$1203&lt;&gt;"")*(Log!$G$4:$G$1203&lt;&gt;"")*Log!$F$4:$F$1203*(1+Log!$G$4:$G$1203/30)))))</f>
        <v/>
      </c>
      <c r="P65" s="88" t="str">
        <f aca="false">IF($A65="","",IF(SUMPRODUCT(MAX((Log!$D$4:$D$1203=$A65)*(Log!$B$4:$B$1203=P$53)*(Log!$E$4:$E$1203="A")*(Log!$F$4:$F$1203&lt;&gt;"")*(Log!$G$4:$G$1203&lt;&gt;"")*Log!$F$4:$F$1203*(1+Log!$G$4:$G$1203/30)))=0,"",SUMPRODUCT(MAX((Log!$D$4:$D$1203=$A65)*(Log!$B$4:$B$1203=P$53)*(Log!$E$4:$E$1203="A")*(Log!$F$4:$F$1203&lt;&gt;"")*(Log!$G$4:$G$1203&lt;&gt;"")*Log!$F$4:$F$1203*(1+Log!$G$4:$G$1203/30)))))</f>
        <v/>
      </c>
      <c r="Q65" s="88" t="str">
        <f aca="false">IF($A65="","",IF(SUMPRODUCT(MAX((Log!$D$4:$D$1203=$A65)*(Log!$B$4:$B$1203=Q$53)*(Log!$E$4:$E$1203="A")*(Log!$F$4:$F$1203&lt;&gt;"")*(Log!$G$4:$G$1203&lt;&gt;"")*Log!$F$4:$F$1203*(1+Log!$G$4:$G$1203/30)))=0,"",SUMPRODUCT(MAX((Log!$D$4:$D$1203=$A65)*(Log!$B$4:$B$1203=Q$53)*(Log!$E$4:$E$1203="A")*(Log!$F$4:$F$1203&lt;&gt;"")*(Log!$G$4:$G$1203&lt;&gt;"")*Log!$F$4:$F$1203*(1+Log!$G$4:$G$1203/30)))))</f>
        <v/>
      </c>
      <c r="R65" s="87" t="n">
        <f aca="false">IF($A65="","",IF(SUMPRODUCT(MAX((Log!$D$4:$D$1203=$A65)*(Log!$E$4:$E$1203="A")*(Log!$F$4:$F$1203&lt;&gt;"")*(Log!$G$4:$G$1203&lt;&gt;"")*Log!$F$4:$F$1203*(1+Log!$G$4:$G$1203/30)))=0,"",SUMPRODUCT(MAX((Log!$D$4:$D$1203=$A65)*(Log!$E$4:$E$1203="A")*(Log!$F$4:$F$1203&lt;&gt;"")*(Log!$G$4:$G$1203&lt;&gt;"")*Log!$F$4:$F$1203*(1+Log!$G$4:$G$1203/30)))))</f>
        <v>68.6</v>
      </c>
    </row>
    <row r="66" customFormat="false" ht="16.5" hidden="false" customHeight="true" outlineLevel="0" collapsed="false">
      <c r="A66" s="34" t="str">
        <f aca="false">IF(Übungen!$A16="","",Übungen!$A16)</f>
        <v>Waden</v>
      </c>
      <c r="B66" s="86" t="n">
        <f aca="false">IF($A66="","",IF(SUMPRODUCT(MAX((Log!$D$4:$D$1203=$A66)*(Log!$B$4:$B$1203=B$53)*(Log!$E$4:$E$1203="A")*(Log!$F$4:$F$1203&lt;&gt;"")*(Log!$G$4:$G$1203&lt;&gt;"")*Log!$F$4:$F$1203*(1+Log!$G$4:$G$1203/30)))=0,"",SUMPRODUCT(MAX((Log!$D$4:$D$1203=$A66)*(Log!$B$4:$B$1203=B$53)*(Log!$E$4:$E$1203="A")*(Log!$F$4:$F$1203&lt;&gt;"")*(Log!$G$4:$G$1203&lt;&gt;"")*Log!$F$4:$F$1203*(1+Log!$G$4:$G$1203/30)))))</f>
        <v>203</v>
      </c>
      <c r="C66" s="86" t="n">
        <f aca="false">IF($A66="","",IF(SUMPRODUCT(MAX((Log!$D$4:$D$1203=$A66)*(Log!$B$4:$B$1203=C$53)*(Log!$E$4:$E$1203="A")*(Log!$F$4:$F$1203&lt;&gt;"")*(Log!$G$4:$G$1203&lt;&gt;"")*Log!$F$4:$F$1203*(1+Log!$G$4:$G$1203/30)))=0,"",SUMPRODUCT(MAX((Log!$D$4:$D$1203=$A66)*(Log!$B$4:$B$1203=C$53)*(Log!$E$4:$E$1203="A")*(Log!$F$4:$F$1203&lt;&gt;"")*(Log!$G$4:$G$1203&lt;&gt;"")*Log!$F$4:$F$1203*(1+Log!$G$4:$G$1203/30)))))</f>
        <v>210</v>
      </c>
      <c r="D66" s="86" t="str">
        <f aca="false">IF($A66="","",IF(SUMPRODUCT(MAX((Log!$D$4:$D$1203=$A66)*(Log!$B$4:$B$1203=D$53)*(Log!$E$4:$E$1203="A")*(Log!$F$4:$F$1203&lt;&gt;"")*(Log!$G$4:$G$1203&lt;&gt;"")*Log!$F$4:$F$1203*(1+Log!$G$4:$G$1203/30)))=0,"",SUMPRODUCT(MAX((Log!$D$4:$D$1203=$A66)*(Log!$B$4:$B$1203=D$53)*(Log!$E$4:$E$1203="A")*(Log!$F$4:$F$1203&lt;&gt;"")*(Log!$G$4:$G$1203&lt;&gt;"")*Log!$F$4:$F$1203*(1+Log!$G$4:$G$1203/30)))))</f>
        <v/>
      </c>
      <c r="E66" s="86" t="str">
        <f aca="false">IF($A66="","",IF(SUMPRODUCT(MAX((Log!$D$4:$D$1203=$A66)*(Log!$B$4:$B$1203=E$53)*(Log!$E$4:$E$1203="A")*(Log!$F$4:$F$1203&lt;&gt;"")*(Log!$G$4:$G$1203&lt;&gt;"")*Log!$F$4:$F$1203*(1+Log!$G$4:$G$1203/30)))=0,"",SUMPRODUCT(MAX((Log!$D$4:$D$1203=$A66)*(Log!$B$4:$B$1203=E$53)*(Log!$E$4:$E$1203="A")*(Log!$F$4:$F$1203&lt;&gt;"")*(Log!$G$4:$G$1203&lt;&gt;"")*Log!$F$4:$F$1203*(1+Log!$G$4:$G$1203/30)))))</f>
        <v/>
      </c>
      <c r="F66" s="86" t="n">
        <f aca="false">IF($A66="","",IF(SUMPRODUCT(MAX((Log!$D$4:$D$1203=$A66)*(Log!$B$4:$B$1203=F$53)*(Log!$E$4:$E$1203="A")*(Log!$F$4:$F$1203&lt;&gt;"")*(Log!$G$4:$G$1203&lt;&gt;"")*Log!$F$4:$F$1203*(1+Log!$G$4:$G$1203/30)))=0,"",SUMPRODUCT(MAX((Log!$D$4:$D$1203=$A66)*(Log!$B$4:$B$1203=F$53)*(Log!$E$4:$E$1203="A")*(Log!$F$4:$F$1203&lt;&gt;"")*(Log!$G$4:$G$1203&lt;&gt;"")*Log!$F$4:$F$1203*(1+Log!$G$4:$G$1203/30)))))</f>
        <v>189</v>
      </c>
      <c r="G66" s="86" t="str">
        <f aca="false">IF($A66="","",IF(SUMPRODUCT(MAX((Log!$D$4:$D$1203=$A66)*(Log!$B$4:$B$1203=G$53)*(Log!$E$4:$E$1203="A")*(Log!$F$4:$F$1203&lt;&gt;"")*(Log!$G$4:$G$1203&lt;&gt;"")*Log!$F$4:$F$1203*(1+Log!$G$4:$G$1203/30)))=0,"",SUMPRODUCT(MAX((Log!$D$4:$D$1203=$A66)*(Log!$B$4:$B$1203=G$53)*(Log!$E$4:$E$1203="A")*(Log!$F$4:$F$1203&lt;&gt;"")*(Log!$G$4:$G$1203&lt;&gt;"")*Log!$F$4:$F$1203*(1+Log!$G$4:$G$1203/30)))))</f>
        <v/>
      </c>
      <c r="H66" s="86" t="n">
        <f aca="false">IF($A66="","",IF(SUMPRODUCT(MAX((Log!$D$4:$D$1203=$A66)*(Log!$B$4:$B$1203=H$53)*(Log!$E$4:$E$1203="A")*(Log!$F$4:$F$1203&lt;&gt;"")*(Log!$G$4:$G$1203&lt;&gt;"")*Log!$F$4:$F$1203*(1+Log!$G$4:$G$1203/30)))=0,"",SUMPRODUCT(MAX((Log!$D$4:$D$1203=$A66)*(Log!$B$4:$B$1203=H$53)*(Log!$E$4:$E$1203="A")*(Log!$F$4:$F$1203&lt;&gt;"")*(Log!$G$4:$G$1203&lt;&gt;"")*Log!$F$4:$F$1203*(1+Log!$G$4:$G$1203/30)))))</f>
        <v>224</v>
      </c>
      <c r="I66" s="86" t="str">
        <f aca="false">IF($A66="","",IF(SUMPRODUCT(MAX((Log!$D$4:$D$1203=$A66)*(Log!$B$4:$B$1203=I$53)*(Log!$E$4:$E$1203="A")*(Log!$F$4:$F$1203&lt;&gt;"")*(Log!$G$4:$G$1203&lt;&gt;"")*Log!$F$4:$F$1203*(1+Log!$G$4:$G$1203/30)))=0,"",SUMPRODUCT(MAX((Log!$D$4:$D$1203=$A66)*(Log!$B$4:$B$1203=I$53)*(Log!$E$4:$E$1203="A")*(Log!$F$4:$F$1203&lt;&gt;"")*(Log!$G$4:$G$1203&lt;&gt;"")*Log!$F$4:$F$1203*(1+Log!$G$4:$G$1203/30)))))</f>
        <v/>
      </c>
      <c r="J66" s="86" t="n">
        <f aca="false">IF($A66="","",IF(SUMPRODUCT(MAX((Log!$D$4:$D$1203=$A66)*(Log!$B$4:$B$1203=J$53)*(Log!$E$4:$E$1203="A")*(Log!$F$4:$F$1203&lt;&gt;"")*(Log!$G$4:$G$1203&lt;&gt;"")*Log!$F$4:$F$1203*(1+Log!$G$4:$G$1203/30)))=0,"",SUMPRODUCT(MAX((Log!$D$4:$D$1203=$A66)*(Log!$B$4:$B$1203=J$53)*(Log!$E$4:$E$1203="A")*(Log!$F$4:$F$1203&lt;&gt;"")*(Log!$G$4:$G$1203&lt;&gt;"")*Log!$F$4:$F$1203*(1+Log!$G$4:$G$1203/30)))))</f>
        <v>220</v>
      </c>
      <c r="K66" s="86" t="str">
        <f aca="false">IF($A66="","",IF(SUMPRODUCT(MAX((Log!$D$4:$D$1203=$A66)*(Log!$B$4:$B$1203=K$53)*(Log!$E$4:$E$1203="A")*(Log!$F$4:$F$1203&lt;&gt;"")*(Log!$G$4:$G$1203&lt;&gt;"")*Log!$F$4:$F$1203*(1+Log!$G$4:$G$1203/30)))=0,"",SUMPRODUCT(MAX((Log!$D$4:$D$1203=$A66)*(Log!$B$4:$B$1203=K$53)*(Log!$E$4:$E$1203="A")*(Log!$F$4:$F$1203&lt;&gt;"")*(Log!$G$4:$G$1203&lt;&gt;"")*Log!$F$4:$F$1203*(1+Log!$G$4:$G$1203/30)))))</f>
        <v/>
      </c>
      <c r="L66" s="86" t="n">
        <f aca="false">IF($A66="","",IF(SUMPRODUCT(MAX((Log!$D$4:$D$1203=$A66)*(Log!$B$4:$B$1203=L$53)*(Log!$E$4:$E$1203="A")*(Log!$F$4:$F$1203&lt;&gt;"")*(Log!$G$4:$G$1203&lt;&gt;"")*Log!$F$4:$F$1203*(1+Log!$G$4:$G$1203/30)))=0,"",SUMPRODUCT(MAX((Log!$D$4:$D$1203=$A66)*(Log!$B$4:$B$1203=L$53)*(Log!$E$4:$E$1203="A")*(Log!$F$4:$F$1203&lt;&gt;"")*(Log!$G$4:$G$1203&lt;&gt;"")*Log!$F$4:$F$1203*(1+Log!$G$4:$G$1203/30)))))</f>
        <v>214.5</v>
      </c>
      <c r="M66" s="86" t="str">
        <f aca="false">IF($A66="","",IF(SUMPRODUCT(MAX((Log!$D$4:$D$1203=$A66)*(Log!$B$4:$B$1203=M$53)*(Log!$E$4:$E$1203="A")*(Log!$F$4:$F$1203&lt;&gt;"")*(Log!$G$4:$G$1203&lt;&gt;"")*Log!$F$4:$F$1203*(1+Log!$G$4:$G$1203/30)))=0,"",SUMPRODUCT(MAX((Log!$D$4:$D$1203=$A66)*(Log!$B$4:$B$1203=M$53)*(Log!$E$4:$E$1203="A")*(Log!$F$4:$F$1203&lt;&gt;"")*(Log!$G$4:$G$1203&lt;&gt;"")*Log!$F$4:$F$1203*(1+Log!$G$4:$G$1203/30)))))</f>
        <v/>
      </c>
      <c r="N66" s="86" t="n">
        <f aca="false">IF($A66="","",IF(SUMPRODUCT(MAX((Log!$D$4:$D$1203=$A66)*(Log!$B$4:$B$1203=N$53)*(Log!$E$4:$E$1203="A")*(Log!$F$4:$F$1203&lt;&gt;"")*(Log!$G$4:$G$1203&lt;&gt;"")*Log!$F$4:$F$1203*(1+Log!$G$4:$G$1203/30)))=0,"",SUMPRODUCT(MAX((Log!$D$4:$D$1203=$A66)*(Log!$B$4:$B$1203=N$53)*(Log!$E$4:$E$1203="A")*(Log!$F$4:$F$1203&lt;&gt;"")*(Log!$G$4:$G$1203&lt;&gt;"")*Log!$F$4:$F$1203*(1+Log!$G$4:$G$1203/30)))))</f>
        <v>222</v>
      </c>
      <c r="O66" s="86" t="n">
        <f aca="false">IF($A66="","",IF(SUMPRODUCT(MAX((Log!$D$4:$D$1203=$A66)*(Log!$B$4:$B$1203=O$53)*(Log!$E$4:$E$1203="A")*(Log!$F$4:$F$1203&lt;&gt;"")*(Log!$G$4:$G$1203&lt;&gt;"")*Log!$F$4:$F$1203*(1+Log!$G$4:$G$1203/30)))=0,"",SUMPRODUCT(MAX((Log!$D$4:$D$1203=$A66)*(Log!$B$4:$B$1203=O$53)*(Log!$E$4:$E$1203="A")*(Log!$F$4:$F$1203&lt;&gt;"")*(Log!$G$4:$G$1203&lt;&gt;"")*Log!$F$4:$F$1203*(1+Log!$G$4:$G$1203/30)))))</f>
        <v>221.666666666667</v>
      </c>
      <c r="P66" s="86" t="str">
        <f aca="false">IF($A66="","",IF(SUMPRODUCT(MAX((Log!$D$4:$D$1203=$A66)*(Log!$B$4:$B$1203=P$53)*(Log!$E$4:$E$1203="A")*(Log!$F$4:$F$1203&lt;&gt;"")*(Log!$G$4:$G$1203&lt;&gt;"")*Log!$F$4:$F$1203*(1+Log!$G$4:$G$1203/30)))=0,"",SUMPRODUCT(MAX((Log!$D$4:$D$1203=$A66)*(Log!$B$4:$B$1203=P$53)*(Log!$E$4:$E$1203="A")*(Log!$F$4:$F$1203&lt;&gt;"")*(Log!$G$4:$G$1203&lt;&gt;"")*Log!$F$4:$F$1203*(1+Log!$G$4:$G$1203/30)))))</f>
        <v/>
      </c>
      <c r="Q66" s="86" t="str">
        <f aca="false">IF($A66="","",IF(SUMPRODUCT(MAX((Log!$D$4:$D$1203=$A66)*(Log!$B$4:$B$1203=Q$53)*(Log!$E$4:$E$1203="A")*(Log!$F$4:$F$1203&lt;&gt;"")*(Log!$G$4:$G$1203&lt;&gt;"")*Log!$F$4:$F$1203*(1+Log!$G$4:$G$1203/30)))=0,"",SUMPRODUCT(MAX((Log!$D$4:$D$1203=$A66)*(Log!$B$4:$B$1203=Q$53)*(Log!$E$4:$E$1203="A")*(Log!$F$4:$F$1203&lt;&gt;"")*(Log!$G$4:$G$1203&lt;&gt;"")*Log!$F$4:$F$1203*(1+Log!$G$4:$G$1203/30)))))</f>
        <v/>
      </c>
      <c r="R66" s="87" t="n">
        <f aca="false">IF($A66="","",IF(SUMPRODUCT(MAX((Log!$D$4:$D$1203=$A66)*(Log!$E$4:$E$1203="A")*(Log!$F$4:$F$1203&lt;&gt;"")*(Log!$G$4:$G$1203&lt;&gt;"")*Log!$F$4:$F$1203*(1+Log!$G$4:$G$1203/30)))=0,"",SUMPRODUCT(MAX((Log!$D$4:$D$1203=$A66)*(Log!$E$4:$E$1203="A")*(Log!$F$4:$F$1203&lt;&gt;"")*(Log!$G$4:$G$1203&lt;&gt;"")*Log!$F$4:$F$1203*(1+Log!$G$4:$G$1203/30)))))</f>
        <v>224</v>
      </c>
    </row>
    <row r="67" customFormat="false" ht="16.5" hidden="false" customHeight="true" outlineLevel="0" collapsed="false">
      <c r="A67" s="40" t="str">
        <f aca="false">IF(Übungen!$A17="","",Übungen!$A17)</f>
        <v>Squat Maschine Bülach</v>
      </c>
      <c r="B67" s="88" t="str">
        <f aca="false">IF($A67="","",IF(SUMPRODUCT(MAX((Log!$D$4:$D$1203=$A67)*(Log!$B$4:$B$1203=B$53)*(Log!$E$4:$E$1203="A")*(Log!$F$4:$F$1203&lt;&gt;"")*(Log!$G$4:$G$1203&lt;&gt;"")*Log!$F$4:$F$1203*(1+Log!$G$4:$G$1203/30)))=0,"",SUMPRODUCT(MAX((Log!$D$4:$D$1203=$A67)*(Log!$B$4:$B$1203=B$53)*(Log!$E$4:$E$1203="A")*(Log!$F$4:$F$1203&lt;&gt;"")*(Log!$G$4:$G$1203&lt;&gt;"")*Log!$F$4:$F$1203*(1+Log!$G$4:$G$1203/30)))))</f>
        <v/>
      </c>
      <c r="C67" s="88" t="str">
        <f aca="false">IF($A67="","",IF(SUMPRODUCT(MAX((Log!$D$4:$D$1203=$A67)*(Log!$B$4:$B$1203=C$53)*(Log!$E$4:$E$1203="A")*(Log!$F$4:$F$1203&lt;&gt;"")*(Log!$G$4:$G$1203&lt;&gt;"")*Log!$F$4:$F$1203*(1+Log!$G$4:$G$1203/30)))=0,"",SUMPRODUCT(MAX((Log!$D$4:$D$1203=$A67)*(Log!$B$4:$B$1203=C$53)*(Log!$E$4:$E$1203="A")*(Log!$F$4:$F$1203&lt;&gt;"")*(Log!$G$4:$G$1203&lt;&gt;"")*Log!$F$4:$F$1203*(1+Log!$G$4:$G$1203/30)))))</f>
        <v/>
      </c>
      <c r="D67" s="88" t="str">
        <f aca="false">IF($A67="","",IF(SUMPRODUCT(MAX((Log!$D$4:$D$1203=$A67)*(Log!$B$4:$B$1203=D$53)*(Log!$E$4:$E$1203="A")*(Log!$F$4:$F$1203&lt;&gt;"")*(Log!$G$4:$G$1203&lt;&gt;"")*Log!$F$4:$F$1203*(1+Log!$G$4:$G$1203/30)))=0,"",SUMPRODUCT(MAX((Log!$D$4:$D$1203=$A67)*(Log!$B$4:$B$1203=D$53)*(Log!$E$4:$E$1203="A")*(Log!$F$4:$F$1203&lt;&gt;"")*(Log!$G$4:$G$1203&lt;&gt;"")*Log!$F$4:$F$1203*(1+Log!$G$4:$G$1203/30)))))</f>
        <v/>
      </c>
      <c r="E67" s="88" t="str">
        <f aca="false">IF($A67="","",IF(SUMPRODUCT(MAX((Log!$D$4:$D$1203=$A67)*(Log!$B$4:$B$1203=E$53)*(Log!$E$4:$E$1203="A")*(Log!$F$4:$F$1203&lt;&gt;"")*(Log!$G$4:$G$1203&lt;&gt;"")*Log!$F$4:$F$1203*(1+Log!$G$4:$G$1203/30)))=0,"",SUMPRODUCT(MAX((Log!$D$4:$D$1203=$A67)*(Log!$B$4:$B$1203=E$53)*(Log!$E$4:$E$1203="A")*(Log!$F$4:$F$1203&lt;&gt;"")*(Log!$G$4:$G$1203&lt;&gt;"")*Log!$F$4:$F$1203*(1+Log!$G$4:$G$1203/30)))))</f>
        <v/>
      </c>
      <c r="F67" s="88" t="str">
        <f aca="false">IF($A67="","",IF(SUMPRODUCT(MAX((Log!$D$4:$D$1203=$A67)*(Log!$B$4:$B$1203=F$53)*(Log!$E$4:$E$1203="A")*(Log!$F$4:$F$1203&lt;&gt;"")*(Log!$G$4:$G$1203&lt;&gt;"")*Log!$F$4:$F$1203*(1+Log!$G$4:$G$1203/30)))=0,"",SUMPRODUCT(MAX((Log!$D$4:$D$1203=$A67)*(Log!$B$4:$B$1203=F$53)*(Log!$E$4:$E$1203="A")*(Log!$F$4:$F$1203&lt;&gt;"")*(Log!$G$4:$G$1203&lt;&gt;"")*Log!$F$4:$F$1203*(1+Log!$G$4:$G$1203/30)))))</f>
        <v/>
      </c>
      <c r="G67" s="88" t="str">
        <f aca="false">IF($A67="","",IF(SUMPRODUCT(MAX((Log!$D$4:$D$1203=$A67)*(Log!$B$4:$B$1203=G$53)*(Log!$E$4:$E$1203="A")*(Log!$F$4:$F$1203&lt;&gt;"")*(Log!$G$4:$G$1203&lt;&gt;"")*Log!$F$4:$F$1203*(1+Log!$G$4:$G$1203/30)))=0,"",SUMPRODUCT(MAX((Log!$D$4:$D$1203=$A67)*(Log!$B$4:$B$1203=G$53)*(Log!$E$4:$E$1203="A")*(Log!$F$4:$F$1203&lt;&gt;"")*(Log!$G$4:$G$1203&lt;&gt;"")*Log!$F$4:$F$1203*(1+Log!$G$4:$G$1203/30)))))</f>
        <v/>
      </c>
      <c r="H67" s="88" t="str">
        <f aca="false">IF($A67="","",IF(SUMPRODUCT(MAX((Log!$D$4:$D$1203=$A67)*(Log!$B$4:$B$1203=H$53)*(Log!$E$4:$E$1203="A")*(Log!$F$4:$F$1203&lt;&gt;"")*(Log!$G$4:$G$1203&lt;&gt;"")*Log!$F$4:$F$1203*(1+Log!$G$4:$G$1203/30)))=0,"",SUMPRODUCT(MAX((Log!$D$4:$D$1203=$A67)*(Log!$B$4:$B$1203=H$53)*(Log!$E$4:$E$1203="A")*(Log!$F$4:$F$1203&lt;&gt;"")*(Log!$G$4:$G$1203&lt;&gt;"")*Log!$F$4:$F$1203*(1+Log!$G$4:$G$1203/30)))))</f>
        <v/>
      </c>
      <c r="I67" s="88" t="str">
        <f aca="false">IF($A67="","",IF(SUMPRODUCT(MAX((Log!$D$4:$D$1203=$A67)*(Log!$B$4:$B$1203=I$53)*(Log!$E$4:$E$1203="A")*(Log!$F$4:$F$1203&lt;&gt;"")*(Log!$G$4:$G$1203&lt;&gt;"")*Log!$F$4:$F$1203*(1+Log!$G$4:$G$1203/30)))=0,"",SUMPRODUCT(MAX((Log!$D$4:$D$1203=$A67)*(Log!$B$4:$B$1203=I$53)*(Log!$E$4:$E$1203="A")*(Log!$F$4:$F$1203&lt;&gt;"")*(Log!$G$4:$G$1203&lt;&gt;"")*Log!$F$4:$F$1203*(1+Log!$G$4:$G$1203/30)))))</f>
        <v/>
      </c>
      <c r="J67" s="88" t="str">
        <f aca="false">IF($A67="","",IF(SUMPRODUCT(MAX((Log!$D$4:$D$1203=$A67)*(Log!$B$4:$B$1203=J$53)*(Log!$E$4:$E$1203="A")*(Log!$F$4:$F$1203&lt;&gt;"")*(Log!$G$4:$G$1203&lt;&gt;"")*Log!$F$4:$F$1203*(1+Log!$G$4:$G$1203/30)))=0,"",SUMPRODUCT(MAX((Log!$D$4:$D$1203=$A67)*(Log!$B$4:$B$1203=J$53)*(Log!$E$4:$E$1203="A")*(Log!$F$4:$F$1203&lt;&gt;"")*(Log!$G$4:$G$1203&lt;&gt;"")*Log!$F$4:$F$1203*(1+Log!$G$4:$G$1203/30)))))</f>
        <v/>
      </c>
      <c r="K67" s="88" t="str">
        <f aca="false">IF($A67="","",IF(SUMPRODUCT(MAX((Log!$D$4:$D$1203=$A67)*(Log!$B$4:$B$1203=K$53)*(Log!$E$4:$E$1203="A")*(Log!$F$4:$F$1203&lt;&gt;"")*(Log!$G$4:$G$1203&lt;&gt;"")*Log!$F$4:$F$1203*(1+Log!$G$4:$G$1203/30)))=0,"",SUMPRODUCT(MAX((Log!$D$4:$D$1203=$A67)*(Log!$B$4:$B$1203=K$53)*(Log!$E$4:$E$1203="A")*(Log!$F$4:$F$1203&lt;&gt;"")*(Log!$G$4:$G$1203&lt;&gt;"")*Log!$F$4:$F$1203*(1+Log!$G$4:$G$1203/30)))))</f>
        <v/>
      </c>
      <c r="L67" s="88" t="str">
        <f aca="false">IF($A67="","",IF(SUMPRODUCT(MAX((Log!$D$4:$D$1203=$A67)*(Log!$B$4:$B$1203=L$53)*(Log!$E$4:$E$1203="A")*(Log!$F$4:$F$1203&lt;&gt;"")*(Log!$G$4:$G$1203&lt;&gt;"")*Log!$F$4:$F$1203*(1+Log!$G$4:$G$1203/30)))=0,"",SUMPRODUCT(MAX((Log!$D$4:$D$1203=$A67)*(Log!$B$4:$B$1203=L$53)*(Log!$E$4:$E$1203="A")*(Log!$F$4:$F$1203&lt;&gt;"")*(Log!$G$4:$G$1203&lt;&gt;"")*Log!$F$4:$F$1203*(1+Log!$G$4:$G$1203/30)))))</f>
        <v/>
      </c>
      <c r="M67" s="88" t="str">
        <f aca="false">IF($A67="","",IF(SUMPRODUCT(MAX((Log!$D$4:$D$1203=$A67)*(Log!$B$4:$B$1203=M$53)*(Log!$E$4:$E$1203="A")*(Log!$F$4:$F$1203&lt;&gt;"")*(Log!$G$4:$G$1203&lt;&gt;"")*Log!$F$4:$F$1203*(1+Log!$G$4:$G$1203/30)))=0,"",SUMPRODUCT(MAX((Log!$D$4:$D$1203=$A67)*(Log!$B$4:$B$1203=M$53)*(Log!$E$4:$E$1203="A")*(Log!$F$4:$F$1203&lt;&gt;"")*(Log!$G$4:$G$1203&lt;&gt;"")*Log!$F$4:$F$1203*(1+Log!$G$4:$G$1203/30)))))</f>
        <v/>
      </c>
      <c r="N67" s="88" t="str">
        <f aca="false">IF($A67="","",IF(SUMPRODUCT(MAX((Log!$D$4:$D$1203=$A67)*(Log!$B$4:$B$1203=N$53)*(Log!$E$4:$E$1203="A")*(Log!$F$4:$F$1203&lt;&gt;"")*(Log!$G$4:$G$1203&lt;&gt;"")*Log!$F$4:$F$1203*(1+Log!$G$4:$G$1203/30)))=0,"",SUMPRODUCT(MAX((Log!$D$4:$D$1203=$A67)*(Log!$B$4:$B$1203=N$53)*(Log!$E$4:$E$1203="A")*(Log!$F$4:$F$1203&lt;&gt;"")*(Log!$G$4:$G$1203&lt;&gt;"")*Log!$F$4:$F$1203*(1+Log!$G$4:$G$1203/30)))))</f>
        <v/>
      </c>
      <c r="O67" s="88" t="str">
        <f aca="false">IF($A67="","",IF(SUMPRODUCT(MAX((Log!$D$4:$D$1203=$A67)*(Log!$B$4:$B$1203=O$53)*(Log!$E$4:$E$1203="A")*(Log!$F$4:$F$1203&lt;&gt;"")*(Log!$G$4:$G$1203&lt;&gt;"")*Log!$F$4:$F$1203*(1+Log!$G$4:$G$1203/30)))=0,"",SUMPRODUCT(MAX((Log!$D$4:$D$1203=$A67)*(Log!$B$4:$B$1203=O$53)*(Log!$E$4:$E$1203="A")*(Log!$F$4:$F$1203&lt;&gt;"")*(Log!$G$4:$G$1203&lt;&gt;"")*Log!$F$4:$F$1203*(1+Log!$G$4:$G$1203/30)))))</f>
        <v/>
      </c>
      <c r="P67" s="88" t="n">
        <f aca="false">IF($A67="","",IF(SUMPRODUCT(MAX((Log!$D$4:$D$1203=$A67)*(Log!$B$4:$B$1203=P$53)*(Log!$E$4:$E$1203="A")*(Log!$F$4:$F$1203&lt;&gt;"")*(Log!$G$4:$G$1203&lt;&gt;"")*Log!$F$4:$F$1203*(1+Log!$G$4:$G$1203/30)))=0,"",SUMPRODUCT(MAX((Log!$D$4:$D$1203=$A67)*(Log!$B$4:$B$1203=P$53)*(Log!$E$4:$E$1203="A")*(Log!$F$4:$F$1203&lt;&gt;"")*(Log!$G$4:$G$1203&lt;&gt;"")*Log!$F$4:$F$1203*(1+Log!$G$4:$G$1203/30)))))</f>
        <v>156</v>
      </c>
      <c r="Q67" s="88" t="str">
        <f aca="false">IF($A67="","",IF(SUMPRODUCT(MAX((Log!$D$4:$D$1203=$A67)*(Log!$B$4:$B$1203=Q$53)*(Log!$E$4:$E$1203="A")*(Log!$F$4:$F$1203&lt;&gt;"")*(Log!$G$4:$G$1203&lt;&gt;"")*Log!$F$4:$F$1203*(1+Log!$G$4:$G$1203/30)))=0,"",SUMPRODUCT(MAX((Log!$D$4:$D$1203=$A67)*(Log!$B$4:$B$1203=Q$53)*(Log!$E$4:$E$1203="A")*(Log!$F$4:$F$1203&lt;&gt;"")*(Log!$G$4:$G$1203&lt;&gt;"")*Log!$F$4:$F$1203*(1+Log!$G$4:$G$1203/30)))))</f>
        <v/>
      </c>
      <c r="R67" s="87" t="n">
        <f aca="false">IF($A67="","",IF(SUMPRODUCT(MAX((Log!$D$4:$D$1203=$A67)*(Log!$E$4:$E$1203="A")*(Log!$F$4:$F$1203&lt;&gt;"")*(Log!$G$4:$G$1203&lt;&gt;"")*Log!$F$4:$F$1203*(1+Log!$G$4:$G$1203/30)))=0,"",SUMPRODUCT(MAX((Log!$D$4:$D$1203=$A67)*(Log!$E$4:$E$1203="A")*(Log!$F$4:$F$1203&lt;&gt;"")*(Log!$G$4:$G$1203&lt;&gt;"")*Log!$F$4:$F$1203*(1+Log!$G$4:$G$1203/30)))))</f>
        <v>156</v>
      </c>
    </row>
    <row r="68" customFormat="false" ht="16.5" hidden="false" customHeight="true" outlineLevel="0" collapsed="false">
      <c r="A68" s="34" t="str">
        <f aca="false">IF(Übungen!$A18="","",Übungen!$A18)</f>
        <v>Hip Thrust Bülach</v>
      </c>
      <c r="B68" s="86" t="str">
        <f aca="false">IF($A68="","",IF(SUMPRODUCT(MAX((Log!$D$4:$D$1203=$A68)*(Log!$B$4:$B$1203=B$53)*(Log!$E$4:$E$1203="A")*(Log!$F$4:$F$1203&lt;&gt;"")*(Log!$G$4:$G$1203&lt;&gt;"")*Log!$F$4:$F$1203*(1+Log!$G$4:$G$1203/30)))=0,"",SUMPRODUCT(MAX((Log!$D$4:$D$1203=$A68)*(Log!$B$4:$B$1203=B$53)*(Log!$E$4:$E$1203="A")*(Log!$F$4:$F$1203&lt;&gt;"")*(Log!$G$4:$G$1203&lt;&gt;"")*Log!$F$4:$F$1203*(1+Log!$G$4:$G$1203/30)))))</f>
        <v/>
      </c>
      <c r="C68" s="86" t="str">
        <f aca="false">IF($A68="","",IF(SUMPRODUCT(MAX((Log!$D$4:$D$1203=$A68)*(Log!$B$4:$B$1203=C$53)*(Log!$E$4:$E$1203="A")*(Log!$F$4:$F$1203&lt;&gt;"")*(Log!$G$4:$G$1203&lt;&gt;"")*Log!$F$4:$F$1203*(1+Log!$G$4:$G$1203/30)))=0,"",SUMPRODUCT(MAX((Log!$D$4:$D$1203=$A68)*(Log!$B$4:$B$1203=C$53)*(Log!$E$4:$E$1203="A")*(Log!$F$4:$F$1203&lt;&gt;"")*(Log!$G$4:$G$1203&lt;&gt;"")*Log!$F$4:$F$1203*(1+Log!$G$4:$G$1203/30)))))</f>
        <v/>
      </c>
      <c r="D68" s="86" t="str">
        <f aca="false">IF($A68="","",IF(SUMPRODUCT(MAX((Log!$D$4:$D$1203=$A68)*(Log!$B$4:$B$1203=D$53)*(Log!$E$4:$E$1203="A")*(Log!$F$4:$F$1203&lt;&gt;"")*(Log!$G$4:$G$1203&lt;&gt;"")*Log!$F$4:$F$1203*(1+Log!$G$4:$G$1203/30)))=0,"",SUMPRODUCT(MAX((Log!$D$4:$D$1203=$A68)*(Log!$B$4:$B$1203=D$53)*(Log!$E$4:$E$1203="A")*(Log!$F$4:$F$1203&lt;&gt;"")*(Log!$G$4:$G$1203&lt;&gt;"")*Log!$F$4:$F$1203*(1+Log!$G$4:$G$1203/30)))))</f>
        <v/>
      </c>
      <c r="E68" s="86" t="str">
        <f aca="false">IF($A68="","",IF(SUMPRODUCT(MAX((Log!$D$4:$D$1203=$A68)*(Log!$B$4:$B$1203=E$53)*(Log!$E$4:$E$1203="A")*(Log!$F$4:$F$1203&lt;&gt;"")*(Log!$G$4:$G$1203&lt;&gt;"")*Log!$F$4:$F$1203*(1+Log!$G$4:$G$1203/30)))=0,"",SUMPRODUCT(MAX((Log!$D$4:$D$1203=$A68)*(Log!$B$4:$B$1203=E$53)*(Log!$E$4:$E$1203="A")*(Log!$F$4:$F$1203&lt;&gt;"")*(Log!$G$4:$G$1203&lt;&gt;"")*Log!$F$4:$F$1203*(1+Log!$G$4:$G$1203/30)))))</f>
        <v/>
      </c>
      <c r="F68" s="86" t="str">
        <f aca="false">IF($A68="","",IF(SUMPRODUCT(MAX((Log!$D$4:$D$1203=$A68)*(Log!$B$4:$B$1203=F$53)*(Log!$E$4:$E$1203="A")*(Log!$F$4:$F$1203&lt;&gt;"")*(Log!$G$4:$G$1203&lt;&gt;"")*Log!$F$4:$F$1203*(1+Log!$G$4:$G$1203/30)))=0,"",SUMPRODUCT(MAX((Log!$D$4:$D$1203=$A68)*(Log!$B$4:$B$1203=F$53)*(Log!$E$4:$E$1203="A")*(Log!$F$4:$F$1203&lt;&gt;"")*(Log!$G$4:$G$1203&lt;&gt;"")*Log!$F$4:$F$1203*(1+Log!$G$4:$G$1203/30)))))</f>
        <v/>
      </c>
      <c r="G68" s="86" t="str">
        <f aca="false">IF($A68="","",IF(SUMPRODUCT(MAX((Log!$D$4:$D$1203=$A68)*(Log!$B$4:$B$1203=G$53)*(Log!$E$4:$E$1203="A")*(Log!$F$4:$F$1203&lt;&gt;"")*(Log!$G$4:$G$1203&lt;&gt;"")*Log!$F$4:$F$1203*(1+Log!$G$4:$G$1203/30)))=0,"",SUMPRODUCT(MAX((Log!$D$4:$D$1203=$A68)*(Log!$B$4:$B$1203=G$53)*(Log!$E$4:$E$1203="A")*(Log!$F$4:$F$1203&lt;&gt;"")*(Log!$G$4:$G$1203&lt;&gt;"")*Log!$F$4:$F$1203*(1+Log!$G$4:$G$1203/30)))))</f>
        <v/>
      </c>
      <c r="H68" s="86" t="str">
        <f aca="false">IF($A68="","",IF(SUMPRODUCT(MAX((Log!$D$4:$D$1203=$A68)*(Log!$B$4:$B$1203=H$53)*(Log!$E$4:$E$1203="A")*(Log!$F$4:$F$1203&lt;&gt;"")*(Log!$G$4:$G$1203&lt;&gt;"")*Log!$F$4:$F$1203*(1+Log!$G$4:$G$1203/30)))=0,"",SUMPRODUCT(MAX((Log!$D$4:$D$1203=$A68)*(Log!$B$4:$B$1203=H$53)*(Log!$E$4:$E$1203="A")*(Log!$F$4:$F$1203&lt;&gt;"")*(Log!$G$4:$G$1203&lt;&gt;"")*Log!$F$4:$F$1203*(1+Log!$G$4:$G$1203/30)))))</f>
        <v/>
      </c>
      <c r="I68" s="86" t="str">
        <f aca="false">IF($A68="","",IF(SUMPRODUCT(MAX((Log!$D$4:$D$1203=$A68)*(Log!$B$4:$B$1203=I$53)*(Log!$E$4:$E$1203="A")*(Log!$F$4:$F$1203&lt;&gt;"")*(Log!$G$4:$G$1203&lt;&gt;"")*Log!$F$4:$F$1203*(1+Log!$G$4:$G$1203/30)))=0,"",SUMPRODUCT(MAX((Log!$D$4:$D$1203=$A68)*(Log!$B$4:$B$1203=I$53)*(Log!$E$4:$E$1203="A")*(Log!$F$4:$F$1203&lt;&gt;"")*(Log!$G$4:$G$1203&lt;&gt;"")*Log!$F$4:$F$1203*(1+Log!$G$4:$G$1203/30)))))</f>
        <v/>
      </c>
      <c r="J68" s="86" t="str">
        <f aca="false">IF($A68="","",IF(SUMPRODUCT(MAX((Log!$D$4:$D$1203=$A68)*(Log!$B$4:$B$1203=J$53)*(Log!$E$4:$E$1203="A")*(Log!$F$4:$F$1203&lt;&gt;"")*(Log!$G$4:$G$1203&lt;&gt;"")*Log!$F$4:$F$1203*(1+Log!$G$4:$G$1203/30)))=0,"",SUMPRODUCT(MAX((Log!$D$4:$D$1203=$A68)*(Log!$B$4:$B$1203=J$53)*(Log!$E$4:$E$1203="A")*(Log!$F$4:$F$1203&lt;&gt;"")*(Log!$G$4:$G$1203&lt;&gt;"")*Log!$F$4:$F$1203*(1+Log!$G$4:$G$1203/30)))))</f>
        <v/>
      </c>
      <c r="K68" s="86" t="str">
        <f aca="false">IF($A68="","",IF(SUMPRODUCT(MAX((Log!$D$4:$D$1203=$A68)*(Log!$B$4:$B$1203=K$53)*(Log!$E$4:$E$1203="A")*(Log!$F$4:$F$1203&lt;&gt;"")*(Log!$G$4:$G$1203&lt;&gt;"")*Log!$F$4:$F$1203*(1+Log!$G$4:$G$1203/30)))=0,"",SUMPRODUCT(MAX((Log!$D$4:$D$1203=$A68)*(Log!$B$4:$B$1203=K$53)*(Log!$E$4:$E$1203="A")*(Log!$F$4:$F$1203&lt;&gt;"")*(Log!$G$4:$G$1203&lt;&gt;"")*Log!$F$4:$F$1203*(1+Log!$G$4:$G$1203/30)))))</f>
        <v/>
      </c>
      <c r="L68" s="86" t="str">
        <f aca="false">IF($A68="","",IF(SUMPRODUCT(MAX((Log!$D$4:$D$1203=$A68)*(Log!$B$4:$B$1203=L$53)*(Log!$E$4:$E$1203="A")*(Log!$F$4:$F$1203&lt;&gt;"")*(Log!$G$4:$G$1203&lt;&gt;"")*Log!$F$4:$F$1203*(1+Log!$G$4:$G$1203/30)))=0,"",SUMPRODUCT(MAX((Log!$D$4:$D$1203=$A68)*(Log!$B$4:$B$1203=L$53)*(Log!$E$4:$E$1203="A")*(Log!$F$4:$F$1203&lt;&gt;"")*(Log!$G$4:$G$1203&lt;&gt;"")*Log!$F$4:$F$1203*(1+Log!$G$4:$G$1203/30)))))</f>
        <v/>
      </c>
      <c r="M68" s="86" t="str">
        <f aca="false">IF($A68="","",IF(SUMPRODUCT(MAX((Log!$D$4:$D$1203=$A68)*(Log!$B$4:$B$1203=M$53)*(Log!$E$4:$E$1203="A")*(Log!$F$4:$F$1203&lt;&gt;"")*(Log!$G$4:$G$1203&lt;&gt;"")*Log!$F$4:$F$1203*(1+Log!$G$4:$G$1203/30)))=0,"",SUMPRODUCT(MAX((Log!$D$4:$D$1203=$A68)*(Log!$B$4:$B$1203=M$53)*(Log!$E$4:$E$1203="A")*(Log!$F$4:$F$1203&lt;&gt;"")*(Log!$G$4:$G$1203&lt;&gt;"")*Log!$F$4:$F$1203*(1+Log!$G$4:$G$1203/30)))))</f>
        <v/>
      </c>
      <c r="N68" s="86" t="str">
        <f aca="false">IF($A68="","",IF(SUMPRODUCT(MAX((Log!$D$4:$D$1203=$A68)*(Log!$B$4:$B$1203=N$53)*(Log!$E$4:$E$1203="A")*(Log!$F$4:$F$1203&lt;&gt;"")*(Log!$G$4:$G$1203&lt;&gt;"")*Log!$F$4:$F$1203*(1+Log!$G$4:$G$1203/30)))=0,"",SUMPRODUCT(MAX((Log!$D$4:$D$1203=$A68)*(Log!$B$4:$B$1203=N$53)*(Log!$E$4:$E$1203="A")*(Log!$F$4:$F$1203&lt;&gt;"")*(Log!$G$4:$G$1203&lt;&gt;"")*Log!$F$4:$F$1203*(1+Log!$G$4:$G$1203/30)))))</f>
        <v/>
      </c>
      <c r="O68" s="86" t="str">
        <f aca="false">IF($A68="","",IF(SUMPRODUCT(MAX((Log!$D$4:$D$1203=$A68)*(Log!$B$4:$B$1203=O$53)*(Log!$E$4:$E$1203="A")*(Log!$F$4:$F$1203&lt;&gt;"")*(Log!$G$4:$G$1203&lt;&gt;"")*Log!$F$4:$F$1203*(1+Log!$G$4:$G$1203/30)))=0,"",SUMPRODUCT(MAX((Log!$D$4:$D$1203=$A68)*(Log!$B$4:$B$1203=O$53)*(Log!$E$4:$E$1203="A")*(Log!$F$4:$F$1203&lt;&gt;"")*(Log!$G$4:$G$1203&lt;&gt;"")*Log!$F$4:$F$1203*(1+Log!$G$4:$G$1203/30)))))</f>
        <v/>
      </c>
      <c r="P68" s="86" t="n">
        <f aca="false">IF($A68="","",IF(SUMPRODUCT(MAX((Log!$D$4:$D$1203=$A68)*(Log!$B$4:$B$1203=P$53)*(Log!$E$4:$E$1203="A")*(Log!$F$4:$F$1203&lt;&gt;"")*(Log!$G$4:$G$1203&lt;&gt;"")*Log!$F$4:$F$1203*(1+Log!$G$4:$G$1203/30)))=0,"",SUMPRODUCT(MAX((Log!$D$4:$D$1203=$A68)*(Log!$B$4:$B$1203=P$53)*(Log!$E$4:$E$1203="A")*(Log!$F$4:$F$1203&lt;&gt;"")*(Log!$G$4:$G$1203&lt;&gt;"")*Log!$F$4:$F$1203*(1+Log!$G$4:$G$1203/30)))))</f>
        <v>266.666666666667</v>
      </c>
      <c r="Q68" s="86" t="str">
        <f aca="false">IF($A68="","",IF(SUMPRODUCT(MAX((Log!$D$4:$D$1203=$A68)*(Log!$B$4:$B$1203=Q$53)*(Log!$E$4:$E$1203="A")*(Log!$F$4:$F$1203&lt;&gt;"")*(Log!$G$4:$G$1203&lt;&gt;"")*Log!$F$4:$F$1203*(1+Log!$G$4:$G$1203/30)))=0,"",SUMPRODUCT(MAX((Log!$D$4:$D$1203=$A68)*(Log!$B$4:$B$1203=Q$53)*(Log!$E$4:$E$1203="A")*(Log!$F$4:$F$1203&lt;&gt;"")*(Log!$G$4:$G$1203&lt;&gt;"")*Log!$F$4:$F$1203*(1+Log!$G$4:$G$1203/30)))))</f>
        <v/>
      </c>
      <c r="R68" s="87" t="n">
        <f aca="false">IF($A68="","",IF(SUMPRODUCT(MAX((Log!$D$4:$D$1203=$A68)*(Log!$E$4:$E$1203="A")*(Log!$F$4:$F$1203&lt;&gt;"")*(Log!$G$4:$G$1203&lt;&gt;"")*Log!$F$4:$F$1203*(1+Log!$G$4:$G$1203/30)))=0,"",SUMPRODUCT(MAX((Log!$D$4:$D$1203=$A68)*(Log!$E$4:$E$1203="A")*(Log!$F$4:$F$1203&lt;&gt;"")*(Log!$G$4:$G$1203&lt;&gt;"")*Log!$F$4:$F$1203*(1+Log!$G$4:$G$1203/30)))))</f>
        <v>266.666666666667</v>
      </c>
    </row>
    <row r="69" customFormat="false" ht="16.5" hidden="false" customHeight="true" outlineLevel="0" collapsed="false">
      <c r="A69" s="40" t="str">
        <f aca="false">IF(Übungen!$A19="","",Übungen!$A19)</f>
        <v>Beinbeuger Bülach</v>
      </c>
      <c r="B69" s="88" t="str">
        <f aca="false">IF($A69="","",IF(SUMPRODUCT(MAX((Log!$D$4:$D$1203=$A69)*(Log!$B$4:$B$1203=B$53)*(Log!$E$4:$E$1203="A")*(Log!$F$4:$F$1203&lt;&gt;"")*(Log!$G$4:$G$1203&lt;&gt;"")*Log!$F$4:$F$1203*(1+Log!$G$4:$G$1203/30)))=0,"",SUMPRODUCT(MAX((Log!$D$4:$D$1203=$A69)*(Log!$B$4:$B$1203=B$53)*(Log!$E$4:$E$1203="A")*(Log!$F$4:$F$1203&lt;&gt;"")*(Log!$G$4:$G$1203&lt;&gt;"")*Log!$F$4:$F$1203*(1+Log!$G$4:$G$1203/30)))))</f>
        <v/>
      </c>
      <c r="C69" s="88" t="str">
        <f aca="false">IF($A69="","",IF(SUMPRODUCT(MAX((Log!$D$4:$D$1203=$A69)*(Log!$B$4:$B$1203=C$53)*(Log!$E$4:$E$1203="A")*(Log!$F$4:$F$1203&lt;&gt;"")*(Log!$G$4:$G$1203&lt;&gt;"")*Log!$F$4:$F$1203*(1+Log!$G$4:$G$1203/30)))=0,"",SUMPRODUCT(MAX((Log!$D$4:$D$1203=$A69)*(Log!$B$4:$B$1203=C$53)*(Log!$E$4:$E$1203="A")*(Log!$F$4:$F$1203&lt;&gt;"")*(Log!$G$4:$G$1203&lt;&gt;"")*Log!$F$4:$F$1203*(1+Log!$G$4:$G$1203/30)))))</f>
        <v/>
      </c>
      <c r="D69" s="88" t="str">
        <f aca="false">IF($A69="","",IF(SUMPRODUCT(MAX((Log!$D$4:$D$1203=$A69)*(Log!$B$4:$B$1203=D$53)*(Log!$E$4:$E$1203="A")*(Log!$F$4:$F$1203&lt;&gt;"")*(Log!$G$4:$G$1203&lt;&gt;"")*Log!$F$4:$F$1203*(1+Log!$G$4:$G$1203/30)))=0,"",SUMPRODUCT(MAX((Log!$D$4:$D$1203=$A69)*(Log!$B$4:$B$1203=D$53)*(Log!$E$4:$E$1203="A")*(Log!$F$4:$F$1203&lt;&gt;"")*(Log!$G$4:$G$1203&lt;&gt;"")*Log!$F$4:$F$1203*(1+Log!$G$4:$G$1203/30)))))</f>
        <v/>
      </c>
      <c r="E69" s="88" t="str">
        <f aca="false">IF($A69="","",IF(SUMPRODUCT(MAX((Log!$D$4:$D$1203=$A69)*(Log!$B$4:$B$1203=E$53)*(Log!$E$4:$E$1203="A")*(Log!$F$4:$F$1203&lt;&gt;"")*(Log!$G$4:$G$1203&lt;&gt;"")*Log!$F$4:$F$1203*(1+Log!$G$4:$G$1203/30)))=0,"",SUMPRODUCT(MAX((Log!$D$4:$D$1203=$A69)*(Log!$B$4:$B$1203=E$53)*(Log!$E$4:$E$1203="A")*(Log!$F$4:$F$1203&lt;&gt;"")*(Log!$G$4:$G$1203&lt;&gt;"")*Log!$F$4:$F$1203*(1+Log!$G$4:$G$1203/30)))))</f>
        <v/>
      </c>
      <c r="F69" s="88" t="str">
        <f aca="false">IF($A69="","",IF(SUMPRODUCT(MAX((Log!$D$4:$D$1203=$A69)*(Log!$B$4:$B$1203=F$53)*(Log!$E$4:$E$1203="A")*(Log!$F$4:$F$1203&lt;&gt;"")*(Log!$G$4:$G$1203&lt;&gt;"")*Log!$F$4:$F$1203*(1+Log!$G$4:$G$1203/30)))=0,"",SUMPRODUCT(MAX((Log!$D$4:$D$1203=$A69)*(Log!$B$4:$B$1203=F$53)*(Log!$E$4:$E$1203="A")*(Log!$F$4:$F$1203&lt;&gt;"")*(Log!$G$4:$G$1203&lt;&gt;"")*Log!$F$4:$F$1203*(1+Log!$G$4:$G$1203/30)))))</f>
        <v/>
      </c>
      <c r="G69" s="88" t="str">
        <f aca="false">IF($A69="","",IF(SUMPRODUCT(MAX((Log!$D$4:$D$1203=$A69)*(Log!$B$4:$B$1203=G$53)*(Log!$E$4:$E$1203="A")*(Log!$F$4:$F$1203&lt;&gt;"")*(Log!$G$4:$G$1203&lt;&gt;"")*Log!$F$4:$F$1203*(1+Log!$G$4:$G$1203/30)))=0,"",SUMPRODUCT(MAX((Log!$D$4:$D$1203=$A69)*(Log!$B$4:$B$1203=G$53)*(Log!$E$4:$E$1203="A")*(Log!$F$4:$F$1203&lt;&gt;"")*(Log!$G$4:$G$1203&lt;&gt;"")*Log!$F$4:$F$1203*(1+Log!$G$4:$G$1203/30)))))</f>
        <v/>
      </c>
      <c r="H69" s="88" t="str">
        <f aca="false">IF($A69="","",IF(SUMPRODUCT(MAX((Log!$D$4:$D$1203=$A69)*(Log!$B$4:$B$1203=H$53)*(Log!$E$4:$E$1203="A")*(Log!$F$4:$F$1203&lt;&gt;"")*(Log!$G$4:$G$1203&lt;&gt;"")*Log!$F$4:$F$1203*(1+Log!$G$4:$G$1203/30)))=0,"",SUMPRODUCT(MAX((Log!$D$4:$D$1203=$A69)*(Log!$B$4:$B$1203=H$53)*(Log!$E$4:$E$1203="A")*(Log!$F$4:$F$1203&lt;&gt;"")*(Log!$G$4:$G$1203&lt;&gt;"")*Log!$F$4:$F$1203*(1+Log!$G$4:$G$1203/30)))))</f>
        <v/>
      </c>
      <c r="I69" s="88" t="str">
        <f aca="false">IF($A69="","",IF(SUMPRODUCT(MAX((Log!$D$4:$D$1203=$A69)*(Log!$B$4:$B$1203=I$53)*(Log!$E$4:$E$1203="A")*(Log!$F$4:$F$1203&lt;&gt;"")*(Log!$G$4:$G$1203&lt;&gt;"")*Log!$F$4:$F$1203*(1+Log!$G$4:$G$1203/30)))=0,"",SUMPRODUCT(MAX((Log!$D$4:$D$1203=$A69)*(Log!$B$4:$B$1203=I$53)*(Log!$E$4:$E$1203="A")*(Log!$F$4:$F$1203&lt;&gt;"")*(Log!$G$4:$G$1203&lt;&gt;"")*Log!$F$4:$F$1203*(1+Log!$G$4:$G$1203/30)))))</f>
        <v/>
      </c>
      <c r="J69" s="88" t="str">
        <f aca="false">IF($A69="","",IF(SUMPRODUCT(MAX((Log!$D$4:$D$1203=$A69)*(Log!$B$4:$B$1203=J$53)*(Log!$E$4:$E$1203="A")*(Log!$F$4:$F$1203&lt;&gt;"")*(Log!$G$4:$G$1203&lt;&gt;"")*Log!$F$4:$F$1203*(1+Log!$G$4:$G$1203/30)))=0,"",SUMPRODUCT(MAX((Log!$D$4:$D$1203=$A69)*(Log!$B$4:$B$1203=J$53)*(Log!$E$4:$E$1203="A")*(Log!$F$4:$F$1203&lt;&gt;"")*(Log!$G$4:$G$1203&lt;&gt;"")*Log!$F$4:$F$1203*(1+Log!$G$4:$G$1203/30)))))</f>
        <v/>
      </c>
      <c r="K69" s="88" t="str">
        <f aca="false">IF($A69="","",IF(SUMPRODUCT(MAX((Log!$D$4:$D$1203=$A69)*(Log!$B$4:$B$1203=K$53)*(Log!$E$4:$E$1203="A")*(Log!$F$4:$F$1203&lt;&gt;"")*(Log!$G$4:$G$1203&lt;&gt;"")*Log!$F$4:$F$1203*(1+Log!$G$4:$G$1203/30)))=0,"",SUMPRODUCT(MAX((Log!$D$4:$D$1203=$A69)*(Log!$B$4:$B$1203=K$53)*(Log!$E$4:$E$1203="A")*(Log!$F$4:$F$1203&lt;&gt;"")*(Log!$G$4:$G$1203&lt;&gt;"")*Log!$F$4:$F$1203*(1+Log!$G$4:$G$1203/30)))))</f>
        <v/>
      </c>
      <c r="L69" s="88" t="str">
        <f aca="false">IF($A69="","",IF(SUMPRODUCT(MAX((Log!$D$4:$D$1203=$A69)*(Log!$B$4:$B$1203=L$53)*(Log!$E$4:$E$1203="A")*(Log!$F$4:$F$1203&lt;&gt;"")*(Log!$G$4:$G$1203&lt;&gt;"")*Log!$F$4:$F$1203*(1+Log!$G$4:$G$1203/30)))=0,"",SUMPRODUCT(MAX((Log!$D$4:$D$1203=$A69)*(Log!$B$4:$B$1203=L$53)*(Log!$E$4:$E$1203="A")*(Log!$F$4:$F$1203&lt;&gt;"")*(Log!$G$4:$G$1203&lt;&gt;"")*Log!$F$4:$F$1203*(1+Log!$G$4:$G$1203/30)))))</f>
        <v/>
      </c>
      <c r="M69" s="88" t="str">
        <f aca="false">IF($A69="","",IF(SUMPRODUCT(MAX((Log!$D$4:$D$1203=$A69)*(Log!$B$4:$B$1203=M$53)*(Log!$E$4:$E$1203="A")*(Log!$F$4:$F$1203&lt;&gt;"")*(Log!$G$4:$G$1203&lt;&gt;"")*Log!$F$4:$F$1203*(1+Log!$G$4:$G$1203/30)))=0,"",SUMPRODUCT(MAX((Log!$D$4:$D$1203=$A69)*(Log!$B$4:$B$1203=M$53)*(Log!$E$4:$E$1203="A")*(Log!$F$4:$F$1203&lt;&gt;"")*(Log!$G$4:$G$1203&lt;&gt;"")*Log!$F$4:$F$1203*(1+Log!$G$4:$G$1203/30)))))</f>
        <v/>
      </c>
      <c r="N69" s="88" t="str">
        <f aca="false">IF($A69="","",IF(SUMPRODUCT(MAX((Log!$D$4:$D$1203=$A69)*(Log!$B$4:$B$1203=N$53)*(Log!$E$4:$E$1203="A")*(Log!$F$4:$F$1203&lt;&gt;"")*(Log!$G$4:$G$1203&lt;&gt;"")*Log!$F$4:$F$1203*(1+Log!$G$4:$G$1203/30)))=0,"",SUMPRODUCT(MAX((Log!$D$4:$D$1203=$A69)*(Log!$B$4:$B$1203=N$53)*(Log!$E$4:$E$1203="A")*(Log!$F$4:$F$1203&lt;&gt;"")*(Log!$G$4:$G$1203&lt;&gt;"")*Log!$F$4:$F$1203*(1+Log!$G$4:$G$1203/30)))))</f>
        <v/>
      </c>
      <c r="O69" s="88" t="str">
        <f aca="false">IF($A69="","",IF(SUMPRODUCT(MAX((Log!$D$4:$D$1203=$A69)*(Log!$B$4:$B$1203=O$53)*(Log!$E$4:$E$1203="A")*(Log!$F$4:$F$1203&lt;&gt;"")*(Log!$G$4:$G$1203&lt;&gt;"")*Log!$F$4:$F$1203*(1+Log!$G$4:$G$1203/30)))=0,"",SUMPRODUCT(MAX((Log!$D$4:$D$1203=$A69)*(Log!$B$4:$B$1203=O$53)*(Log!$E$4:$E$1203="A")*(Log!$F$4:$F$1203&lt;&gt;"")*(Log!$G$4:$G$1203&lt;&gt;"")*Log!$F$4:$F$1203*(1+Log!$G$4:$G$1203/30)))))</f>
        <v/>
      </c>
      <c r="P69" s="88" t="n">
        <f aca="false">IF($A69="","",IF(SUMPRODUCT(MAX((Log!$D$4:$D$1203=$A69)*(Log!$B$4:$B$1203=P$53)*(Log!$E$4:$E$1203="A")*(Log!$F$4:$F$1203&lt;&gt;"")*(Log!$G$4:$G$1203&lt;&gt;"")*Log!$F$4:$F$1203*(1+Log!$G$4:$G$1203/30)))=0,"",SUMPRODUCT(MAX((Log!$D$4:$D$1203=$A69)*(Log!$B$4:$B$1203=P$53)*(Log!$E$4:$E$1203="A")*(Log!$F$4:$F$1203&lt;&gt;"")*(Log!$G$4:$G$1203&lt;&gt;"")*Log!$F$4:$F$1203*(1+Log!$G$4:$G$1203/30)))))</f>
        <v>70.8</v>
      </c>
      <c r="Q69" s="88" t="str">
        <f aca="false">IF($A69="","",IF(SUMPRODUCT(MAX((Log!$D$4:$D$1203=$A69)*(Log!$B$4:$B$1203=Q$53)*(Log!$E$4:$E$1203="A")*(Log!$F$4:$F$1203&lt;&gt;"")*(Log!$G$4:$G$1203&lt;&gt;"")*Log!$F$4:$F$1203*(1+Log!$G$4:$G$1203/30)))=0,"",SUMPRODUCT(MAX((Log!$D$4:$D$1203=$A69)*(Log!$B$4:$B$1203=Q$53)*(Log!$E$4:$E$1203="A")*(Log!$F$4:$F$1203&lt;&gt;"")*(Log!$G$4:$G$1203&lt;&gt;"")*Log!$F$4:$F$1203*(1+Log!$G$4:$G$1203/30)))))</f>
        <v/>
      </c>
      <c r="R69" s="87" t="n">
        <f aca="false">IF($A69="","",IF(SUMPRODUCT(MAX((Log!$D$4:$D$1203=$A69)*(Log!$E$4:$E$1203="A")*(Log!$F$4:$F$1203&lt;&gt;"")*(Log!$G$4:$G$1203&lt;&gt;"")*Log!$F$4:$F$1203*(1+Log!$G$4:$G$1203/30)))=0,"",SUMPRODUCT(MAX((Log!$D$4:$D$1203=$A69)*(Log!$E$4:$E$1203="A")*(Log!$F$4:$F$1203&lt;&gt;"")*(Log!$G$4:$G$1203&lt;&gt;"")*Log!$F$4:$F$1203*(1+Log!$G$4:$G$1203/30)))))</f>
        <v>70.8</v>
      </c>
    </row>
    <row r="70" customFormat="false" ht="16.5" hidden="false" customHeight="true" outlineLevel="0" collapsed="false">
      <c r="A70" s="34" t="str">
        <f aca="false">IF(Übungen!$A20="","",Übungen!$A20)</f>
        <v>Lunges</v>
      </c>
      <c r="B70" s="86" t="str">
        <f aca="false">IF($A70="","",IF(SUMPRODUCT(MAX((Log!$D$4:$D$1203=$A70)*(Log!$B$4:$B$1203=B$53)*(Log!$E$4:$E$1203="A")*(Log!$F$4:$F$1203&lt;&gt;"")*(Log!$G$4:$G$1203&lt;&gt;"")*Log!$F$4:$F$1203*(1+Log!$G$4:$G$1203/30)))=0,"",SUMPRODUCT(MAX((Log!$D$4:$D$1203=$A70)*(Log!$B$4:$B$1203=B$53)*(Log!$E$4:$E$1203="A")*(Log!$F$4:$F$1203&lt;&gt;"")*(Log!$G$4:$G$1203&lt;&gt;"")*Log!$F$4:$F$1203*(1+Log!$G$4:$G$1203/30)))))</f>
        <v/>
      </c>
      <c r="C70" s="86" t="str">
        <f aca="false">IF($A70="","",IF(SUMPRODUCT(MAX((Log!$D$4:$D$1203=$A70)*(Log!$B$4:$B$1203=C$53)*(Log!$E$4:$E$1203="A")*(Log!$F$4:$F$1203&lt;&gt;"")*(Log!$G$4:$G$1203&lt;&gt;"")*Log!$F$4:$F$1203*(1+Log!$G$4:$G$1203/30)))=0,"",SUMPRODUCT(MAX((Log!$D$4:$D$1203=$A70)*(Log!$B$4:$B$1203=C$53)*(Log!$E$4:$E$1203="A")*(Log!$F$4:$F$1203&lt;&gt;"")*(Log!$G$4:$G$1203&lt;&gt;"")*Log!$F$4:$F$1203*(1+Log!$G$4:$G$1203/30)))))</f>
        <v/>
      </c>
      <c r="D70" s="86" t="str">
        <f aca="false">IF($A70="","",IF(SUMPRODUCT(MAX((Log!$D$4:$D$1203=$A70)*(Log!$B$4:$B$1203=D$53)*(Log!$E$4:$E$1203="A")*(Log!$F$4:$F$1203&lt;&gt;"")*(Log!$G$4:$G$1203&lt;&gt;"")*Log!$F$4:$F$1203*(1+Log!$G$4:$G$1203/30)))=0,"",SUMPRODUCT(MAX((Log!$D$4:$D$1203=$A70)*(Log!$B$4:$B$1203=D$53)*(Log!$E$4:$E$1203="A")*(Log!$F$4:$F$1203&lt;&gt;"")*(Log!$G$4:$G$1203&lt;&gt;"")*Log!$F$4:$F$1203*(1+Log!$G$4:$G$1203/30)))))</f>
        <v/>
      </c>
      <c r="E70" s="86" t="str">
        <f aca="false">IF($A70="","",IF(SUMPRODUCT(MAX((Log!$D$4:$D$1203=$A70)*(Log!$B$4:$B$1203=E$53)*(Log!$E$4:$E$1203="A")*(Log!$F$4:$F$1203&lt;&gt;"")*(Log!$G$4:$G$1203&lt;&gt;"")*Log!$F$4:$F$1203*(1+Log!$G$4:$G$1203/30)))=0,"",SUMPRODUCT(MAX((Log!$D$4:$D$1203=$A70)*(Log!$B$4:$B$1203=E$53)*(Log!$E$4:$E$1203="A")*(Log!$F$4:$F$1203&lt;&gt;"")*(Log!$G$4:$G$1203&lt;&gt;"")*Log!$F$4:$F$1203*(1+Log!$G$4:$G$1203/30)))))</f>
        <v/>
      </c>
      <c r="F70" s="86" t="str">
        <f aca="false">IF($A70="","",IF(SUMPRODUCT(MAX((Log!$D$4:$D$1203=$A70)*(Log!$B$4:$B$1203=F$53)*(Log!$E$4:$E$1203="A")*(Log!$F$4:$F$1203&lt;&gt;"")*(Log!$G$4:$G$1203&lt;&gt;"")*Log!$F$4:$F$1203*(1+Log!$G$4:$G$1203/30)))=0,"",SUMPRODUCT(MAX((Log!$D$4:$D$1203=$A70)*(Log!$B$4:$B$1203=F$53)*(Log!$E$4:$E$1203="A")*(Log!$F$4:$F$1203&lt;&gt;"")*(Log!$G$4:$G$1203&lt;&gt;"")*Log!$F$4:$F$1203*(1+Log!$G$4:$G$1203/30)))))</f>
        <v/>
      </c>
      <c r="G70" s="86" t="str">
        <f aca="false">IF($A70="","",IF(SUMPRODUCT(MAX((Log!$D$4:$D$1203=$A70)*(Log!$B$4:$B$1203=G$53)*(Log!$E$4:$E$1203="A")*(Log!$F$4:$F$1203&lt;&gt;"")*(Log!$G$4:$G$1203&lt;&gt;"")*Log!$F$4:$F$1203*(1+Log!$G$4:$G$1203/30)))=0,"",SUMPRODUCT(MAX((Log!$D$4:$D$1203=$A70)*(Log!$B$4:$B$1203=G$53)*(Log!$E$4:$E$1203="A")*(Log!$F$4:$F$1203&lt;&gt;"")*(Log!$G$4:$G$1203&lt;&gt;"")*Log!$F$4:$F$1203*(1+Log!$G$4:$G$1203/30)))))</f>
        <v/>
      </c>
      <c r="H70" s="86" t="str">
        <f aca="false">IF($A70="","",IF(SUMPRODUCT(MAX((Log!$D$4:$D$1203=$A70)*(Log!$B$4:$B$1203=H$53)*(Log!$E$4:$E$1203="A")*(Log!$F$4:$F$1203&lt;&gt;"")*(Log!$G$4:$G$1203&lt;&gt;"")*Log!$F$4:$F$1203*(1+Log!$G$4:$G$1203/30)))=0,"",SUMPRODUCT(MAX((Log!$D$4:$D$1203=$A70)*(Log!$B$4:$B$1203=H$53)*(Log!$E$4:$E$1203="A")*(Log!$F$4:$F$1203&lt;&gt;"")*(Log!$G$4:$G$1203&lt;&gt;"")*Log!$F$4:$F$1203*(1+Log!$G$4:$G$1203/30)))))</f>
        <v/>
      </c>
      <c r="I70" s="86" t="str">
        <f aca="false">IF($A70="","",IF(SUMPRODUCT(MAX((Log!$D$4:$D$1203=$A70)*(Log!$B$4:$B$1203=I$53)*(Log!$E$4:$E$1203="A")*(Log!$F$4:$F$1203&lt;&gt;"")*(Log!$G$4:$G$1203&lt;&gt;"")*Log!$F$4:$F$1203*(1+Log!$G$4:$G$1203/30)))=0,"",SUMPRODUCT(MAX((Log!$D$4:$D$1203=$A70)*(Log!$B$4:$B$1203=I$53)*(Log!$E$4:$E$1203="A")*(Log!$F$4:$F$1203&lt;&gt;"")*(Log!$G$4:$G$1203&lt;&gt;"")*Log!$F$4:$F$1203*(1+Log!$G$4:$G$1203/30)))))</f>
        <v/>
      </c>
      <c r="J70" s="86" t="str">
        <f aca="false">IF($A70="","",IF(SUMPRODUCT(MAX((Log!$D$4:$D$1203=$A70)*(Log!$B$4:$B$1203=J$53)*(Log!$E$4:$E$1203="A")*(Log!$F$4:$F$1203&lt;&gt;"")*(Log!$G$4:$G$1203&lt;&gt;"")*Log!$F$4:$F$1203*(1+Log!$G$4:$G$1203/30)))=0,"",SUMPRODUCT(MAX((Log!$D$4:$D$1203=$A70)*(Log!$B$4:$B$1203=J$53)*(Log!$E$4:$E$1203="A")*(Log!$F$4:$F$1203&lt;&gt;"")*(Log!$G$4:$G$1203&lt;&gt;"")*Log!$F$4:$F$1203*(1+Log!$G$4:$G$1203/30)))))</f>
        <v/>
      </c>
      <c r="K70" s="86" t="str">
        <f aca="false">IF($A70="","",IF(SUMPRODUCT(MAX((Log!$D$4:$D$1203=$A70)*(Log!$B$4:$B$1203=K$53)*(Log!$E$4:$E$1203="A")*(Log!$F$4:$F$1203&lt;&gt;"")*(Log!$G$4:$G$1203&lt;&gt;"")*Log!$F$4:$F$1203*(1+Log!$G$4:$G$1203/30)))=0,"",SUMPRODUCT(MAX((Log!$D$4:$D$1203=$A70)*(Log!$B$4:$B$1203=K$53)*(Log!$E$4:$E$1203="A")*(Log!$F$4:$F$1203&lt;&gt;"")*(Log!$G$4:$G$1203&lt;&gt;"")*Log!$F$4:$F$1203*(1+Log!$G$4:$G$1203/30)))))</f>
        <v/>
      </c>
      <c r="L70" s="86" t="str">
        <f aca="false">IF($A70="","",IF(SUMPRODUCT(MAX((Log!$D$4:$D$1203=$A70)*(Log!$B$4:$B$1203=L$53)*(Log!$E$4:$E$1203="A")*(Log!$F$4:$F$1203&lt;&gt;"")*(Log!$G$4:$G$1203&lt;&gt;"")*Log!$F$4:$F$1203*(1+Log!$G$4:$G$1203/30)))=0,"",SUMPRODUCT(MAX((Log!$D$4:$D$1203=$A70)*(Log!$B$4:$B$1203=L$53)*(Log!$E$4:$E$1203="A")*(Log!$F$4:$F$1203&lt;&gt;"")*(Log!$G$4:$G$1203&lt;&gt;"")*Log!$F$4:$F$1203*(1+Log!$G$4:$G$1203/30)))))</f>
        <v/>
      </c>
      <c r="M70" s="86" t="str">
        <f aca="false">IF($A70="","",IF(SUMPRODUCT(MAX((Log!$D$4:$D$1203=$A70)*(Log!$B$4:$B$1203=M$53)*(Log!$E$4:$E$1203="A")*(Log!$F$4:$F$1203&lt;&gt;"")*(Log!$G$4:$G$1203&lt;&gt;"")*Log!$F$4:$F$1203*(1+Log!$G$4:$G$1203/30)))=0,"",SUMPRODUCT(MAX((Log!$D$4:$D$1203=$A70)*(Log!$B$4:$B$1203=M$53)*(Log!$E$4:$E$1203="A")*(Log!$F$4:$F$1203&lt;&gt;"")*(Log!$G$4:$G$1203&lt;&gt;"")*Log!$F$4:$F$1203*(1+Log!$G$4:$G$1203/30)))))</f>
        <v/>
      </c>
      <c r="N70" s="86" t="str">
        <f aca="false">IF($A70="","",IF(SUMPRODUCT(MAX((Log!$D$4:$D$1203=$A70)*(Log!$B$4:$B$1203=N$53)*(Log!$E$4:$E$1203="A")*(Log!$F$4:$F$1203&lt;&gt;"")*(Log!$G$4:$G$1203&lt;&gt;"")*Log!$F$4:$F$1203*(1+Log!$G$4:$G$1203/30)))=0,"",SUMPRODUCT(MAX((Log!$D$4:$D$1203=$A70)*(Log!$B$4:$B$1203=N$53)*(Log!$E$4:$E$1203="A")*(Log!$F$4:$F$1203&lt;&gt;"")*(Log!$G$4:$G$1203&lt;&gt;"")*Log!$F$4:$F$1203*(1+Log!$G$4:$G$1203/30)))))</f>
        <v/>
      </c>
      <c r="O70" s="86" t="str">
        <f aca="false">IF($A70="","",IF(SUMPRODUCT(MAX((Log!$D$4:$D$1203=$A70)*(Log!$B$4:$B$1203=O$53)*(Log!$E$4:$E$1203="A")*(Log!$F$4:$F$1203&lt;&gt;"")*(Log!$G$4:$G$1203&lt;&gt;"")*Log!$F$4:$F$1203*(1+Log!$G$4:$G$1203/30)))=0,"",SUMPRODUCT(MAX((Log!$D$4:$D$1203=$A70)*(Log!$B$4:$B$1203=O$53)*(Log!$E$4:$E$1203="A")*(Log!$F$4:$F$1203&lt;&gt;"")*(Log!$G$4:$G$1203&lt;&gt;"")*Log!$F$4:$F$1203*(1+Log!$G$4:$G$1203/30)))))</f>
        <v/>
      </c>
      <c r="P70" s="86" t="str">
        <f aca="false">IF($A70="","",IF(SUMPRODUCT(MAX((Log!$D$4:$D$1203=$A70)*(Log!$B$4:$B$1203=P$53)*(Log!$E$4:$E$1203="A")*(Log!$F$4:$F$1203&lt;&gt;"")*(Log!$G$4:$G$1203&lt;&gt;"")*Log!$F$4:$F$1203*(1+Log!$G$4:$G$1203/30)))=0,"",SUMPRODUCT(MAX((Log!$D$4:$D$1203=$A70)*(Log!$B$4:$B$1203=P$53)*(Log!$E$4:$E$1203="A")*(Log!$F$4:$F$1203&lt;&gt;"")*(Log!$G$4:$G$1203&lt;&gt;"")*Log!$F$4:$F$1203*(1+Log!$G$4:$G$1203/30)))))</f>
        <v/>
      </c>
      <c r="Q70" s="86" t="str">
        <f aca="false">IF($A70="","",IF(SUMPRODUCT(MAX((Log!$D$4:$D$1203=$A70)*(Log!$B$4:$B$1203=Q$53)*(Log!$E$4:$E$1203="A")*(Log!$F$4:$F$1203&lt;&gt;"")*(Log!$G$4:$G$1203&lt;&gt;"")*Log!$F$4:$F$1203*(1+Log!$G$4:$G$1203/30)))=0,"",SUMPRODUCT(MAX((Log!$D$4:$D$1203=$A70)*(Log!$B$4:$B$1203=Q$53)*(Log!$E$4:$E$1203="A")*(Log!$F$4:$F$1203&lt;&gt;"")*(Log!$G$4:$G$1203&lt;&gt;"")*Log!$F$4:$F$1203*(1+Log!$G$4:$G$1203/30)))))</f>
        <v/>
      </c>
      <c r="R70" s="87" t="str">
        <f aca="false">IF($A70="","",IF(SUMPRODUCT(MAX((Log!$D$4:$D$1203=$A70)*(Log!$E$4:$E$1203="A")*(Log!$F$4:$F$1203&lt;&gt;"")*(Log!$G$4:$G$1203&lt;&gt;"")*Log!$F$4:$F$1203*(1+Log!$G$4:$G$1203/30)))=0,"",SUMPRODUCT(MAX((Log!$D$4:$D$1203=$A70)*(Log!$E$4:$E$1203="A")*(Log!$F$4:$F$1203&lt;&gt;"")*(Log!$G$4:$G$1203&lt;&gt;"")*Log!$F$4:$F$1203*(1+Log!$G$4:$G$1203/30)))))</f>
        <v/>
      </c>
    </row>
    <row r="71" customFormat="false" ht="16.5" hidden="false" customHeight="true" outlineLevel="0" collapsed="false">
      <c r="A71" s="40" t="str">
        <f aca="false">IF(Übungen!$A21="","",Übungen!$A21)</f>
        <v>Kickback</v>
      </c>
      <c r="B71" s="88" t="n">
        <f aca="false">IF($A71="","",IF(SUMPRODUCT(MAX((Log!$D$4:$D$1203=$A71)*(Log!$B$4:$B$1203=B$53)*(Log!$E$4:$E$1203="A")*(Log!$F$4:$F$1203&lt;&gt;"")*(Log!$G$4:$G$1203&lt;&gt;"")*Log!$F$4:$F$1203*(1+Log!$G$4:$G$1203/30)))=0,"",SUMPRODUCT(MAX((Log!$D$4:$D$1203=$A71)*(Log!$B$4:$B$1203=B$53)*(Log!$E$4:$E$1203="A")*(Log!$F$4:$F$1203&lt;&gt;"")*(Log!$G$4:$G$1203&lt;&gt;"")*Log!$F$4:$F$1203*(1+Log!$G$4:$G$1203/30)))))</f>
        <v>107.8</v>
      </c>
      <c r="C71" s="88" t="n">
        <f aca="false">IF($A71="","",IF(SUMPRODUCT(MAX((Log!$D$4:$D$1203=$A71)*(Log!$B$4:$B$1203=C$53)*(Log!$E$4:$E$1203="A")*(Log!$F$4:$F$1203&lt;&gt;"")*(Log!$G$4:$G$1203&lt;&gt;"")*Log!$F$4:$F$1203*(1+Log!$G$4:$G$1203/30)))=0,"",SUMPRODUCT(MAX((Log!$D$4:$D$1203=$A71)*(Log!$B$4:$B$1203=C$53)*(Log!$E$4:$E$1203="A")*(Log!$F$4:$F$1203&lt;&gt;"")*(Log!$G$4:$G$1203&lt;&gt;"")*Log!$F$4:$F$1203*(1+Log!$G$4:$G$1203/30)))))</f>
        <v>102.666666666667</v>
      </c>
      <c r="D71" s="88" t="n">
        <f aca="false">IF($A71="","",IF(SUMPRODUCT(MAX((Log!$D$4:$D$1203=$A71)*(Log!$B$4:$B$1203=D$53)*(Log!$E$4:$E$1203="A")*(Log!$F$4:$F$1203&lt;&gt;"")*(Log!$G$4:$G$1203&lt;&gt;"")*Log!$F$4:$F$1203*(1+Log!$G$4:$G$1203/30)))=0,"",SUMPRODUCT(MAX((Log!$D$4:$D$1203=$A71)*(Log!$B$4:$B$1203=D$53)*(Log!$E$4:$E$1203="A")*(Log!$F$4:$F$1203&lt;&gt;"")*(Log!$G$4:$G$1203&lt;&gt;"")*Log!$F$4:$F$1203*(1+Log!$G$4:$G$1203/30)))))</f>
        <v>117.6</v>
      </c>
      <c r="E71" s="88" t="n">
        <f aca="false">IF($A71="","",IF(SUMPRODUCT(MAX((Log!$D$4:$D$1203=$A71)*(Log!$B$4:$B$1203=E$53)*(Log!$E$4:$E$1203="A")*(Log!$F$4:$F$1203&lt;&gt;"")*(Log!$G$4:$G$1203&lt;&gt;"")*Log!$F$4:$F$1203*(1+Log!$G$4:$G$1203/30)))=0,"",SUMPRODUCT(MAX((Log!$D$4:$D$1203=$A71)*(Log!$B$4:$B$1203=E$53)*(Log!$E$4:$E$1203="A")*(Log!$F$4:$F$1203&lt;&gt;"")*(Log!$G$4:$G$1203&lt;&gt;"")*Log!$F$4:$F$1203*(1+Log!$G$4:$G$1203/30)))))</f>
        <v>94.5</v>
      </c>
      <c r="F71" s="88" t="str">
        <f aca="false">IF($A71="","",IF(SUMPRODUCT(MAX((Log!$D$4:$D$1203=$A71)*(Log!$B$4:$B$1203=F$53)*(Log!$E$4:$E$1203="A")*(Log!$F$4:$F$1203&lt;&gt;"")*(Log!$G$4:$G$1203&lt;&gt;"")*Log!$F$4:$F$1203*(1+Log!$G$4:$G$1203/30)))=0,"",SUMPRODUCT(MAX((Log!$D$4:$D$1203=$A71)*(Log!$B$4:$B$1203=F$53)*(Log!$E$4:$E$1203="A")*(Log!$F$4:$F$1203&lt;&gt;"")*(Log!$G$4:$G$1203&lt;&gt;"")*Log!$F$4:$F$1203*(1+Log!$G$4:$G$1203/30)))))</f>
        <v/>
      </c>
      <c r="G71" s="88" t="str">
        <f aca="false">IF($A71="","",IF(SUMPRODUCT(MAX((Log!$D$4:$D$1203=$A71)*(Log!$B$4:$B$1203=G$53)*(Log!$E$4:$E$1203="A")*(Log!$F$4:$F$1203&lt;&gt;"")*(Log!$G$4:$G$1203&lt;&gt;"")*Log!$F$4:$F$1203*(1+Log!$G$4:$G$1203/30)))=0,"",SUMPRODUCT(MAX((Log!$D$4:$D$1203=$A71)*(Log!$B$4:$B$1203=G$53)*(Log!$E$4:$E$1203="A")*(Log!$F$4:$F$1203&lt;&gt;"")*(Log!$G$4:$G$1203&lt;&gt;"")*Log!$F$4:$F$1203*(1+Log!$G$4:$G$1203/30)))))</f>
        <v/>
      </c>
      <c r="H71" s="88" t="str">
        <f aca="false">IF($A71="","",IF(SUMPRODUCT(MAX((Log!$D$4:$D$1203=$A71)*(Log!$B$4:$B$1203=H$53)*(Log!$E$4:$E$1203="A")*(Log!$F$4:$F$1203&lt;&gt;"")*(Log!$G$4:$G$1203&lt;&gt;"")*Log!$F$4:$F$1203*(1+Log!$G$4:$G$1203/30)))=0,"",SUMPRODUCT(MAX((Log!$D$4:$D$1203=$A71)*(Log!$B$4:$B$1203=H$53)*(Log!$E$4:$E$1203="A")*(Log!$F$4:$F$1203&lt;&gt;"")*(Log!$G$4:$G$1203&lt;&gt;"")*Log!$F$4:$F$1203*(1+Log!$G$4:$G$1203/30)))))</f>
        <v/>
      </c>
      <c r="I71" s="88" t="str">
        <f aca="false">IF($A71="","",IF(SUMPRODUCT(MAX((Log!$D$4:$D$1203=$A71)*(Log!$B$4:$B$1203=I$53)*(Log!$E$4:$E$1203="A")*(Log!$F$4:$F$1203&lt;&gt;"")*(Log!$G$4:$G$1203&lt;&gt;"")*Log!$F$4:$F$1203*(1+Log!$G$4:$G$1203/30)))=0,"",SUMPRODUCT(MAX((Log!$D$4:$D$1203=$A71)*(Log!$B$4:$B$1203=I$53)*(Log!$E$4:$E$1203="A")*(Log!$F$4:$F$1203&lt;&gt;"")*(Log!$G$4:$G$1203&lt;&gt;"")*Log!$F$4:$F$1203*(1+Log!$G$4:$G$1203/30)))))</f>
        <v/>
      </c>
      <c r="J71" s="88" t="str">
        <f aca="false">IF($A71="","",IF(SUMPRODUCT(MAX((Log!$D$4:$D$1203=$A71)*(Log!$B$4:$B$1203=J$53)*(Log!$E$4:$E$1203="A")*(Log!$F$4:$F$1203&lt;&gt;"")*(Log!$G$4:$G$1203&lt;&gt;"")*Log!$F$4:$F$1203*(1+Log!$G$4:$G$1203/30)))=0,"",SUMPRODUCT(MAX((Log!$D$4:$D$1203=$A71)*(Log!$B$4:$B$1203=J$53)*(Log!$E$4:$E$1203="A")*(Log!$F$4:$F$1203&lt;&gt;"")*(Log!$G$4:$G$1203&lt;&gt;"")*Log!$F$4:$F$1203*(1+Log!$G$4:$G$1203/30)))))</f>
        <v/>
      </c>
      <c r="K71" s="88" t="str">
        <f aca="false">IF($A71="","",IF(SUMPRODUCT(MAX((Log!$D$4:$D$1203=$A71)*(Log!$B$4:$B$1203=K$53)*(Log!$E$4:$E$1203="A")*(Log!$F$4:$F$1203&lt;&gt;"")*(Log!$G$4:$G$1203&lt;&gt;"")*Log!$F$4:$F$1203*(1+Log!$G$4:$G$1203/30)))=0,"",SUMPRODUCT(MAX((Log!$D$4:$D$1203=$A71)*(Log!$B$4:$B$1203=K$53)*(Log!$E$4:$E$1203="A")*(Log!$F$4:$F$1203&lt;&gt;"")*(Log!$G$4:$G$1203&lt;&gt;"")*Log!$F$4:$F$1203*(1+Log!$G$4:$G$1203/30)))))</f>
        <v/>
      </c>
      <c r="L71" s="88" t="str">
        <f aca="false">IF($A71="","",IF(SUMPRODUCT(MAX((Log!$D$4:$D$1203=$A71)*(Log!$B$4:$B$1203=L$53)*(Log!$E$4:$E$1203="A")*(Log!$F$4:$F$1203&lt;&gt;"")*(Log!$G$4:$G$1203&lt;&gt;"")*Log!$F$4:$F$1203*(1+Log!$G$4:$G$1203/30)))=0,"",SUMPRODUCT(MAX((Log!$D$4:$D$1203=$A71)*(Log!$B$4:$B$1203=L$53)*(Log!$E$4:$E$1203="A")*(Log!$F$4:$F$1203&lt;&gt;"")*(Log!$G$4:$G$1203&lt;&gt;"")*Log!$F$4:$F$1203*(1+Log!$G$4:$G$1203/30)))))</f>
        <v/>
      </c>
      <c r="M71" s="88" t="str">
        <f aca="false">IF($A71="","",IF(SUMPRODUCT(MAX((Log!$D$4:$D$1203=$A71)*(Log!$B$4:$B$1203=M$53)*(Log!$E$4:$E$1203="A")*(Log!$F$4:$F$1203&lt;&gt;"")*(Log!$G$4:$G$1203&lt;&gt;"")*Log!$F$4:$F$1203*(1+Log!$G$4:$G$1203/30)))=0,"",SUMPRODUCT(MAX((Log!$D$4:$D$1203=$A71)*(Log!$B$4:$B$1203=M$53)*(Log!$E$4:$E$1203="A")*(Log!$F$4:$F$1203&lt;&gt;"")*(Log!$G$4:$G$1203&lt;&gt;"")*Log!$F$4:$F$1203*(1+Log!$G$4:$G$1203/30)))))</f>
        <v/>
      </c>
      <c r="N71" s="88" t="str">
        <f aca="false">IF($A71="","",IF(SUMPRODUCT(MAX((Log!$D$4:$D$1203=$A71)*(Log!$B$4:$B$1203=N$53)*(Log!$E$4:$E$1203="A")*(Log!$F$4:$F$1203&lt;&gt;"")*(Log!$G$4:$G$1203&lt;&gt;"")*Log!$F$4:$F$1203*(1+Log!$G$4:$G$1203/30)))=0,"",SUMPRODUCT(MAX((Log!$D$4:$D$1203=$A71)*(Log!$B$4:$B$1203=N$53)*(Log!$E$4:$E$1203="A")*(Log!$F$4:$F$1203&lt;&gt;"")*(Log!$G$4:$G$1203&lt;&gt;"")*Log!$F$4:$F$1203*(1+Log!$G$4:$G$1203/30)))))</f>
        <v/>
      </c>
      <c r="O71" s="88" t="str">
        <f aca="false">IF($A71="","",IF(SUMPRODUCT(MAX((Log!$D$4:$D$1203=$A71)*(Log!$B$4:$B$1203=O$53)*(Log!$E$4:$E$1203="A")*(Log!$F$4:$F$1203&lt;&gt;"")*(Log!$G$4:$G$1203&lt;&gt;"")*Log!$F$4:$F$1203*(1+Log!$G$4:$G$1203/30)))=0,"",SUMPRODUCT(MAX((Log!$D$4:$D$1203=$A71)*(Log!$B$4:$B$1203=O$53)*(Log!$E$4:$E$1203="A")*(Log!$F$4:$F$1203&lt;&gt;"")*(Log!$G$4:$G$1203&lt;&gt;"")*Log!$F$4:$F$1203*(1+Log!$G$4:$G$1203/30)))))</f>
        <v/>
      </c>
      <c r="P71" s="88" t="str">
        <f aca="false">IF($A71="","",IF(SUMPRODUCT(MAX((Log!$D$4:$D$1203=$A71)*(Log!$B$4:$B$1203=P$53)*(Log!$E$4:$E$1203="A")*(Log!$F$4:$F$1203&lt;&gt;"")*(Log!$G$4:$G$1203&lt;&gt;"")*Log!$F$4:$F$1203*(1+Log!$G$4:$G$1203/30)))=0,"",SUMPRODUCT(MAX((Log!$D$4:$D$1203=$A71)*(Log!$B$4:$B$1203=P$53)*(Log!$E$4:$E$1203="A")*(Log!$F$4:$F$1203&lt;&gt;"")*(Log!$G$4:$G$1203&lt;&gt;"")*Log!$F$4:$F$1203*(1+Log!$G$4:$G$1203/30)))))</f>
        <v/>
      </c>
      <c r="Q71" s="88" t="str">
        <f aca="false">IF($A71="","",IF(SUMPRODUCT(MAX((Log!$D$4:$D$1203=$A71)*(Log!$B$4:$B$1203=Q$53)*(Log!$E$4:$E$1203="A")*(Log!$F$4:$F$1203&lt;&gt;"")*(Log!$G$4:$G$1203&lt;&gt;"")*Log!$F$4:$F$1203*(1+Log!$G$4:$G$1203/30)))=0,"",SUMPRODUCT(MAX((Log!$D$4:$D$1203=$A71)*(Log!$B$4:$B$1203=Q$53)*(Log!$E$4:$E$1203="A")*(Log!$F$4:$F$1203&lt;&gt;"")*(Log!$G$4:$G$1203&lt;&gt;"")*Log!$F$4:$F$1203*(1+Log!$G$4:$G$1203/30)))))</f>
        <v/>
      </c>
      <c r="R71" s="87" t="n">
        <f aca="false">IF($A71="","",IF(SUMPRODUCT(MAX((Log!$D$4:$D$1203=$A71)*(Log!$E$4:$E$1203="A")*(Log!$F$4:$F$1203&lt;&gt;"")*(Log!$G$4:$G$1203&lt;&gt;"")*Log!$F$4:$F$1203*(1+Log!$G$4:$G$1203/30)))=0,"",SUMPRODUCT(MAX((Log!$D$4:$D$1203=$A71)*(Log!$E$4:$E$1203="A")*(Log!$F$4:$F$1203&lt;&gt;"")*(Log!$G$4:$G$1203&lt;&gt;"")*Log!$F$4:$F$1203*(1+Log!$G$4:$G$1203/30)))))</f>
        <v>117.6</v>
      </c>
    </row>
    <row r="72" customFormat="false" ht="16.5" hidden="false" customHeight="true" outlineLevel="0" collapsed="false">
      <c r="A72" s="34" t="str">
        <f aca="false">IF(Übungen!$A22="","",Übungen!$A22)</f>
        <v/>
      </c>
      <c r="B72" s="86" t="str">
        <f aca="false">IF($A72="","",IF(SUMPRODUCT(MAX((Log!$D$4:$D$1203=$A72)*(Log!$B$4:$B$1203=B$53)*(Log!$E$4:$E$1203="A")*(Log!$F$4:$F$1203&lt;&gt;"")*(Log!$G$4:$G$1203&lt;&gt;"")*Log!$F$4:$F$1203*(1+Log!$G$4:$G$1203/30)))=0,"",SUMPRODUCT(MAX((Log!$D$4:$D$1203=$A72)*(Log!$B$4:$B$1203=B$53)*(Log!$E$4:$E$1203="A")*(Log!$F$4:$F$1203&lt;&gt;"")*(Log!$G$4:$G$1203&lt;&gt;"")*Log!$F$4:$F$1203*(1+Log!$G$4:$G$1203/30)))))</f>
        <v/>
      </c>
      <c r="C72" s="86" t="str">
        <f aca="false">IF($A72="","",IF(SUMPRODUCT(MAX((Log!$D$4:$D$1203=$A72)*(Log!$B$4:$B$1203=C$53)*(Log!$E$4:$E$1203="A")*(Log!$F$4:$F$1203&lt;&gt;"")*(Log!$G$4:$G$1203&lt;&gt;"")*Log!$F$4:$F$1203*(1+Log!$G$4:$G$1203/30)))=0,"",SUMPRODUCT(MAX((Log!$D$4:$D$1203=$A72)*(Log!$B$4:$B$1203=C$53)*(Log!$E$4:$E$1203="A")*(Log!$F$4:$F$1203&lt;&gt;"")*(Log!$G$4:$G$1203&lt;&gt;"")*Log!$F$4:$F$1203*(1+Log!$G$4:$G$1203/30)))))</f>
        <v/>
      </c>
      <c r="D72" s="86" t="str">
        <f aca="false">IF($A72="","",IF(SUMPRODUCT(MAX((Log!$D$4:$D$1203=$A72)*(Log!$B$4:$B$1203=D$53)*(Log!$E$4:$E$1203="A")*(Log!$F$4:$F$1203&lt;&gt;"")*(Log!$G$4:$G$1203&lt;&gt;"")*Log!$F$4:$F$1203*(1+Log!$G$4:$G$1203/30)))=0,"",SUMPRODUCT(MAX((Log!$D$4:$D$1203=$A72)*(Log!$B$4:$B$1203=D$53)*(Log!$E$4:$E$1203="A")*(Log!$F$4:$F$1203&lt;&gt;"")*(Log!$G$4:$G$1203&lt;&gt;"")*Log!$F$4:$F$1203*(1+Log!$G$4:$G$1203/30)))))</f>
        <v/>
      </c>
      <c r="E72" s="86" t="str">
        <f aca="false">IF($A72="","",IF(SUMPRODUCT(MAX((Log!$D$4:$D$1203=$A72)*(Log!$B$4:$B$1203=E$53)*(Log!$E$4:$E$1203="A")*(Log!$F$4:$F$1203&lt;&gt;"")*(Log!$G$4:$G$1203&lt;&gt;"")*Log!$F$4:$F$1203*(1+Log!$G$4:$G$1203/30)))=0,"",SUMPRODUCT(MAX((Log!$D$4:$D$1203=$A72)*(Log!$B$4:$B$1203=E$53)*(Log!$E$4:$E$1203="A")*(Log!$F$4:$F$1203&lt;&gt;"")*(Log!$G$4:$G$1203&lt;&gt;"")*Log!$F$4:$F$1203*(1+Log!$G$4:$G$1203/30)))))</f>
        <v/>
      </c>
      <c r="F72" s="86" t="str">
        <f aca="false">IF($A72="","",IF(SUMPRODUCT(MAX((Log!$D$4:$D$1203=$A72)*(Log!$B$4:$B$1203=F$53)*(Log!$E$4:$E$1203="A")*(Log!$F$4:$F$1203&lt;&gt;"")*(Log!$G$4:$G$1203&lt;&gt;"")*Log!$F$4:$F$1203*(1+Log!$G$4:$G$1203/30)))=0,"",SUMPRODUCT(MAX((Log!$D$4:$D$1203=$A72)*(Log!$B$4:$B$1203=F$53)*(Log!$E$4:$E$1203="A")*(Log!$F$4:$F$1203&lt;&gt;"")*(Log!$G$4:$G$1203&lt;&gt;"")*Log!$F$4:$F$1203*(1+Log!$G$4:$G$1203/30)))))</f>
        <v/>
      </c>
      <c r="G72" s="86" t="str">
        <f aca="false">IF($A72="","",IF(SUMPRODUCT(MAX((Log!$D$4:$D$1203=$A72)*(Log!$B$4:$B$1203=G$53)*(Log!$E$4:$E$1203="A")*(Log!$F$4:$F$1203&lt;&gt;"")*(Log!$G$4:$G$1203&lt;&gt;"")*Log!$F$4:$F$1203*(1+Log!$G$4:$G$1203/30)))=0,"",SUMPRODUCT(MAX((Log!$D$4:$D$1203=$A72)*(Log!$B$4:$B$1203=G$53)*(Log!$E$4:$E$1203="A")*(Log!$F$4:$F$1203&lt;&gt;"")*(Log!$G$4:$G$1203&lt;&gt;"")*Log!$F$4:$F$1203*(1+Log!$G$4:$G$1203/30)))))</f>
        <v/>
      </c>
      <c r="H72" s="86" t="str">
        <f aca="false">IF($A72="","",IF(SUMPRODUCT(MAX((Log!$D$4:$D$1203=$A72)*(Log!$B$4:$B$1203=H$53)*(Log!$E$4:$E$1203="A")*(Log!$F$4:$F$1203&lt;&gt;"")*(Log!$G$4:$G$1203&lt;&gt;"")*Log!$F$4:$F$1203*(1+Log!$G$4:$G$1203/30)))=0,"",SUMPRODUCT(MAX((Log!$D$4:$D$1203=$A72)*(Log!$B$4:$B$1203=H$53)*(Log!$E$4:$E$1203="A")*(Log!$F$4:$F$1203&lt;&gt;"")*(Log!$G$4:$G$1203&lt;&gt;"")*Log!$F$4:$F$1203*(1+Log!$G$4:$G$1203/30)))))</f>
        <v/>
      </c>
      <c r="I72" s="86" t="str">
        <f aca="false">IF($A72="","",IF(SUMPRODUCT(MAX((Log!$D$4:$D$1203=$A72)*(Log!$B$4:$B$1203=I$53)*(Log!$E$4:$E$1203="A")*(Log!$F$4:$F$1203&lt;&gt;"")*(Log!$G$4:$G$1203&lt;&gt;"")*Log!$F$4:$F$1203*(1+Log!$G$4:$G$1203/30)))=0,"",SUMPRODUCT(MAX((Log!$D$4:$D$1203=$A72)*(Log!$B$4:$B$1203=I$53)*(Log!$E$4:$E$1203="A")*(Log!$F$4:$F$1203&lt;&gt;"")*(Log!$G$4:$G$1203&lt;&gt;"")*Log!$F$4:$F$1203*(1+Log!$G$4:$G$1203/30)))))</f>
        <v/>
      </c>
      <c r="J72" s="86" t="str">
        <f aca="false">IF($A72="","",IF(SUMPRODUCT(MAX((Log!$D$4:$D$1203=$A72)*(Log!$B$4:$B$1203=J$53)*(Log!$E$4:$E$1203="A")*(Log!$F$4:$F$1203&lt;&gt;"")*(Log!$G$4:$G$1203&lt;&gt;"")*Log!$F$4:$F$1203*(1+Log!$G$4:$G$1203/30)))=0,"",SUMPRODUCT(MAX((Log!$D$4:$D$1203=$A72)*(Log!$B$4:$B$1203=J$53)*(Log!$E$4:$E$1203="A")*(Log!$F$4:$F$1203&lt;&gt;"")*(Log!$G$4:$G$1203&lt;&gt;"")*Log!$F$4:$F$1203*(1+Log!$G$4:$G$1203/30)))))</f>
        <v/>
      </c>
      <c r="K72" s="86" t="str">
        <f aca="false">IF($A72="","",IF(SUMPRODUCT(MAX((Log!$D$4:$D$1203=$A72)*(Log!$B$4:$B$1203=K$53)*(Log!$E$4:$E$1203="A")*(Log!$F$4:$F$1203&lt;&gt;"")*(Log!$G$4:$G$1203&lt;&gt;"")*Log!$F$4:$F$1203*(1+Log!$G$4:$G$1203/30)))=0,"",SUMPRODUCT(MAX((Log!$D$4:$D$1203=$A72)*(Log!$B$4:$B$1203=K$53)*(Log!$E$4:$E$1203="A")*(Log!$F$4:$F$1203&lt;&gt;"")*(Log!$G$4:$G$1203&lt;&gt;"")*Log!$F$4:$F$1203*(1+Log!$G$4:$G$1203/30)))))</f>
        <v/>
      </c>
      <c r="L72" s="86" t="str">
        <f aca="false">IF($A72="","",IF(SUMPRODUCT(MAX((Log!$D$4:$D$1203=$A72)*(Log!$B$4:$B$1203=L$53)*(Log!$E$4:$E$1203="A")*(Log!$F$4:$F$1203&lt;&gt;"")*(Log!$G$4:$G$1203&lt;&gt;"")*Log!$F$4:$F$1203*(1+Log!$G$4:$G$1203/30)))=0,"",SUMPRODUCT(MAX((Log!$D$4:$D$1203=$A72)*(Log!$B$4:$B$1203=L$53)*(Log!$E$4:$E$1203="A")*(Log!$F$4:$F$1203&lt;&gt;"")*(Log!$G$4:$G$1203&lt;&gt;"")*Log!$F$4:$F$1203*(1+Log!$G$4:$G$1203/30)))))</f>
        <v/>
      </c>
      <c r="M72" s="86" t="str">
        <f aca="false">IF($A72="","",IF(SUMPRODUCT(MAX((Log!$D$4:$D$1203=$A72)*(Log!$B$4:$B$1203=M$53)*(Log!$E$4:$E$1203="A")*(Log!$F$4:$F$1203&lt;&gt;"")*(Log!$G$4:$G$1203&lt;&gt;"")*Log!$F$4:$F$1203*(1+Log!$G$4:$G$1203/30)))=0,"",SUMPRODUCT(MAX((Log!$D$4:$D$1203=$A72)*(Log!$B$4:$B$1203=M$53)*(Log!$E$4:$E$1203="A")*(Log!$F$4:$F$1203&lt;&gt;"")*(Log!$G$4:$G$1203&lt;&gt;"")*Log!$F$4:$F$1203*(1+Log!$G$4:$G$1203/30)))))</f>
        <v/>
      </c>
      <c r="N72" s="86" t="str">
        <f aca="false">IF($A72="","",IF(SUMPRODUCT(MAX((Log!$D$4:$D$1203=$A72)*(Log!$B$4:$B$1203=N$53)*(Log!$E$4:$E$1203="A")*(Log!$F$4:$F$1203&lt;&gt;"")*(Log!$G$4:$G$1203&lt;&gt;"")*Log!$F$4:$F$1203*(1+Log!$G$4:$G$1203/30)))=0,"",SUMPRODUCT(MAX((Log!$D$4:$D$1203=$A72)*(Log!$B$4:$B$1203=N$53)*(Log!$E$4:$E$1203="A")*(Log!$F$4:$F$1203&lt;&gt;"")*(Log!$G$4:$G$1203&lt;&gt;"")*Log!$F$4:$F$1203*(1+Log!$G$4:$G$1203/30)))))</f>
        <v/>
      </c>
      <c r="O72" s="86" t="str">
        <f aca="false">IF($A72="","",IF(SUMPRODUCT(MAX((Log!$D$4:$D$1203=$A72)*(Log!$B$4:$B$1203=O$53)*(Log!$E$4:$E$1203="A")*(Log!$F$4:$F$1203&lt;&gt;"")*(Log!$G$4:$G$1203&lt;&gt;"")*Log!$F$4:$F$1203*(1+Log!$G$4:$G$1203/30)))=0,"",SUMPRODUCT(MAX((Log!$D$4:$D$1203=$A72)*(Log!$B$4:$B$1203=O$53)*(Log!$E$4:$E$1203="A")*(Log!$F$4:$F$1203&lt;&gt;"")*(Log!$G$4:$G$1203&lt;&gt;"")*Log!$F$4:$F$1203*(1+Log!$G$4:$G$1203/30)))))</f>
        <v/>
      </c>
      <c r="P72" s="86" t="str">
        <f aca="false">IF($A72="","",IF(SUMPRODUCT(MAX((Log!$D$4:$D$1203=$A72)*(Log!$B$4:$B$1203=P$53)*(Log!$E$4:$E$1203="A")*(Log!$F$4:$F$1203&lt;&gt;"")*(Log!$G$4:$G$1203&lt;&gt;"")*Log!$F$4:$F$1203*(1+Log!$G$4:$G$1203/30)))=0,"",SUMPRODUCT(MAX((Log!$D$4:$D$1203=$A72)*(Log!$B$4:$B$1203=P$53)*(Log!$E$4:$E$1203="A")*(Log!$F$4:$F$1203&lt;&gt;"")*(Log!$G$4:$G$1203&lt;&gt;"")*Log!$F$4:$F$1203*(1+Log!$G$4:$G$1203/30)))))</f>
        <v/>
      </c>
      <c r="Q72" s="86" t="str">
        <f aca="false">IF($A72="","",IF(SUMPRODUCT(MAX((Log!$D$4:$D$1203=$A72)*(Log!$B$4:$B$1203=Q$53)*(Log!$E$4:$E$1203="A")*(Log!$F$4:$F$1203&lt;&gt;"")*(Log!$G$4:$G$1203&lt;&gt;"")*Log!$F$4:$F$1203*(1+Log!$G$4:$G$1203/30)))=0,"",SUMPRODUCT(MAX((Log!$D$4:$D$1203=$A72)*(Log!$B$4:$B$1203=Q$53)*(Log!$E$4:$E$1203="A")*(Log!$F$4:$F$1203&lt;&gt;"")*(Log!$G$4:$G$1203&lt;&gt;"")*Log!$F$4:$F$1203*(1+Log!$G$4:$G$1203/30)))))</f>
        <v/>
      </c>
      <c r="R72" s="87" t="str">
        <f aca="false">IF($A72="","",IF(SUMPRODUCT(MAX((Log!$D$4:$D$1203=$A72)*(Log!$E$4:$E$1203="A")*(Log!$F$4:$F$1203&lt;&gt;"")*(Log!$G$4:$G$1203&lt;&gt;"")*Log!$F$4:$F$1203*(1+Log!$G$4:$G$1203/30)))=0,"",SUMPRODUCT(MAX((Log!$D$4:$D$1203=$A72)*(Log!$E$4:$E$1203="A")*(Log!$F$4:$F$1203&lt;&gt;"")*(Log!$G$4:$G$1203&lt;&gt;"")*Log!$F$4:$F$1203*(1+Log!$G$4:$G$1203/30)))))</f>
        <v/>
      </c>
    </row>
    <row r="73" customFormat="false" ht="16.5" hidden="false" customHeight="true" outlineLevel="0" collapsed="false">
      <c r="A73" s="40" t="str">
        <f aca="false">IF(Übungen!$A23="","",Übungen!$A23)</f>
        <v/>
      </c>
      <c r="B73" s="88" t="str">
        <f aca="false">IF($A73="","",IF(SUMPRODUCT(MAX((Log!$D$4:$D$1203=$A73)*(Log!$B$4:$B$1203=B$53)*(Log!$E$4:$E$1203="A")*(Log!$F$4:$F$1203&lt;&gt;"")*(Log!$G$4:$G$1203&lt;&gt;"")*Log!$F$4:$F$1203*(1+Log!$G$4:$G$1203/30)))=0,"",SUMPRODUCT(MAX((Log!$D$4:$D$1203=$A73)*(Log!$B$4:$B$1203=B$53)*(Log!$E$4:$E$1203="A")*(Log!$F$4:$F$1203&lt;&gt;"")*(Log!$G$4:$G$1203&lt;&gt;"")*Log!$F$4:$F$1203*(1+Log!$G$4:$G$1203/30)))))</f>
        <v/>
      </c>
      <c r="C73" s="88" t="str">
        <f aca="false">IF($A73="","",IF(SUMPRODUCT(MAX((Log!$D$4:$D$1203=$A73)*(Log!$B$4:$B$1203=C$53)*(Log!$E$4:$E$1203="A")*(Log!$F$4:$F$1203&lt;&gt;"")*(Log!$G$4:$G$1203&lt;&gt;"")*Log!$F$4:$F$1203*(1+Log!$G$4:$G$1203/30)))=0,"",SUMPRODUCT(MAX((Log!$D$4:$D$1203=$A73)*(Log!$B$4:$B$1203=C$53)*(Log!$E$4:$E$1203="A")*(Log!$F$4:$F$1203&lt;&gt;"")*(Log!$G$4:$G$1203&lt;&gt;"")*Log!$F$4:$F$1203*(1+Log!$G$4:$G$1203/30)))))</f>
        <v/>
      </c>
      <c r="D73" s="88" t="str">
        <f aca="false">IF($A73="","",IF(SUMPRODUCT(MAX((Log!$D$4:$D$1203=$A73)*(Log!$B$4:$B$1203=D$53)*(Log!$E$4:$E$1203="A")*(Log!$F$4:$F$1203&lt;&gt;"")*(Log!$G$4:$G$1203&lt;&gt;"")*Log!$F$4:$F$1203*(1+Log!$G$4:$G$1203/30)))=0,"",SUMPRODUCT(MAX((Log!$D$4:$D$1203=$A73)*(Log!$B$4:$B$1203=D$53)*(Log!$E$4:$E$1203="A")*(Log!$F$4:$F$1203&lt;&gt;"")*(Log!$G$4:$G$1203&lt;&gt;"")*Log!$F$4:$F$1203*(1+Log!$G$4:$G$1203/30)))))</f>
        <v/>
      </c>
      <c r="E73" s="88" t="str">
        <f aca="false">IF($A73="","",IF(SUMPRODUCT(MAX((Log!$D$4:$D$1203=$A73)*(Log!$B$4:$B$1203=E$53)*(Log!$E$4:$E$1203="A")*(Log!$F$4:$F$1203&lt;&gt;"")*(Log!$G$4:$G$1203&lt;&gt;"")*Log!$F$4:$F$1203*(1+Log!$G$4:$G$1203/30)))=0,"",SUMPRODUCT(MAX((Log!$D$4:$D$1203=$A73)*(Log!$B$4:$B$1203=E$53)*(Log!$E$4:$E$1203="A")*(Log!$F$4:$F$1203&lt;&gt;"")*(Log!$G$4:$G$1203&lt;&gt;"")*Log!$F$4:$F$1203*(1+Log!$G$4:$G$1203/30)))))</f>
        <v/>
      </c>
      <c r="F73" s="88" t="str">
        <f aca="false">IF($A73="","",IF(SUMPRODUCT(MAX((Log!$D$4:$D$1203=$A73)*(Log!$B$4:$B$1203=F$53)*(Log!$E$4:$E$1203="A")*(Log!$F$4:$F$1203&lt;&gt;"")*(Log!$G$4:$G$1203&lt;&gt;"")*Log!$F$4:$F$1203*(1+Log!$G$4:$G$1203/30)))=0,"",SUMPRODUCT(MAX((Log!$D$4:$D$1203=$A73)*(Log!$B$4:$B$1203=F$53)*(Log!$E$4:$E$1203="A")*(Log!$F$4:$F$1203&lt;&gt;"")*(Log!$G$4:$G$1203&lt;&gt;"")*Log!$F$4:$F$1203*(1+Log!$G$4:$G$1203/30)))))</f>
        <v/>
      </c>
      <c r="G73" s="88" t="str">
        <f aca="false">IF($A73="","",IF(SUMPRODUCT(MAX((Log!$D$4:$D$1203=$A73)*(Log!$B$4:$B$1203=G$53)*(Log!$E$4:$E$1203="A")*(Log!$F$4:$F$1203&lt;&gt;"")*(Log!$G$4:$G$1203&lt;&gt;"")*Log!$F$4:$F$1203*(1+Log!$G$4:$G$1203/30)))=0,"",SUMPRODUCT(MAX((Log!$D$4:$D$1203=$A73)*(Log!$B$4:$B$1203=G$53)*(Log!$E$4:$E$1203="A")*(Log!$F$4:$F$1203&lt;&gt;"")*(Log!$G$4:$G$1203&lt;&gt;"")*Log!$F$4:$F$1203*(1+Log!$G$4:$G$1203/30)))))</f>
        <v/>
      </c>
      <c r="H73" s="88" t="str">
        <f aca="false">IF($A73="","",IF(SUMPRODUCT(MAX((Log!$D$4:$D$1203=$A73)*(Log!$B$4:$B$1203=H$53)*(Log!$E$4:$E$1203="A")*(Log!$F$4:$F$1203&lt;&gt;"")*(Log!$G$4:$G$1203&lt;&gt;"")*Log!$F$4:$F$1203*(1+Log!$G$4:$G$1203/30)))=0,"",SUMPRODUCT(MAX((Log!$D$4:$D$1203=$A73)*(Log!$B$4:$B$1203=H$53)*(Log!$E$4:$E$1203="A")*(Log!$F$4:$F$1203&lt;&gt;"")*(Log!$G$4:$G$1203&lt;&gt;"")*Log!$F$4:$F$1203*(1+Log!$G$4:$G$1203/30)))))</f>
        <v/>
      </c>
      <c r="I73" s="88" t="str">
        <f aca="false">IF($A73="","",IF(SUMPRODUCT(MAX((Log!$D$4:$D$1203=$A73)*(Log!$B$4:$B$1203=I$53)*(Log!$E$4:$E$1203="A")*(Log!$F$4:$F$1203&lt;&gt;"")*(Log!$G$4:$G$1203&lt;&gt;"")*Log!$F$4:$F$1203*(1+Log!$G$4:$G$1203/30)))=0,"",SUMPRODUCT(MAX((Log!$D$4:$D$1203=$A73)*(Log!$B$4:$B$1203=I$53)*(Log!$E$4:$E$1203="A")*(Log!$F$4:$F$1203&lt;&gt;"")*(Log!$G$4:$G$1203&lt;&gt;"")*Log!$F$4:$F$1203*(1+Log!$G$4:$G$1203/30)))))</f>
        <v/>
      </c>
      <c r="J73" s="88" t="str">
        <f aca="false">IF($A73="","",IF(SUMPRODUCT(MAX((Log!$D$4:$D$1203=$A73)*(Log!$B$4:$B$1203=J$53)*(Log!$E$4:$E$1203="A")*(Log!$F$4:$F$1203&lt;&gt;"")*(Log!$G$4:$G$1203&lt;&gt;"")*Log!$F$4:$F$1203*(1+Log!$G$4:$G$1203/30)))=0,"",SUMPRODUCT(MAX((Log!$D$4:$D$1203=$A73)*(Log!$B$4:$B$1203=J$53)*(Log!$E$4:$E$1203="A")*(Log!$F$4:$F$1203&lt;&gt;"")*(Log!$G$4:$G$1203&lt;&gt;"")*Log!$F$4:$F$1203*(1+Log!$G$4:$G$1203/30)))))</f>
        <v/>
      </c>
      <c r="K73" s="88" t="str">
        <f aca="false">IF($A73="","",IF(SUMPRODUCT(MAX((Log!$D$4:$D$1203=$A73)*(Log!$B$4:$B$1203=K$53)*(Log!$E$4:$E$1203="A")*(Log!$F$4:$F$1203&lt;&gt;"")*(Log!$G$4:$G$1203&lt;&gt;"")*Log!$F$4:$F$1203*(1+Log!$G$4:$G$1203/30)))=0,"",SUMPRODUCT(MAX((Log!$D$4:$D$1203=$A73)*(Log!$B$4:$B$1203=K$53)*(Log!$E$4:$E$1203="A")*(Log!$F$4:$F$1203&lt;&gt;"")*(Log!$G$4:$G$1203&lt;&gt;"")*Log!$F$4:$F$1203*(1+Log!$G$4:$G$1203/30)))))</f>
        <v/>
      </c>
      <c r="L73" s="88" t="str">
        <f aca="false">IF($A73="","",IF(SUMPRODUCT(MAX((Log!$D$4:$D$1203=$A73)*(Log!$B$4:$B$1203=L$53)*(Log!$E$4:$E$1203="A")*(Log!$F$4:$F$1203&lt;&gt;"")*(Log!$G$4:$G$1203&lt;&gt;"")*Log!$F$4:$F$1203*(1+Log!$G$4:$G$1203/30)))=0,"",SUMPRODUCT(MAX((Log!$D$4:$D$1203=$A73)*(Log!$B$4:$B$1203=L$53)*(Log!$E$4:$E$1203="A")*(Log!$F$4:$F$1203&lt;&gt;"")*(Log!$G$4:$G$1203&lt;&gt;"")*Log!$F$4:$F$1203*(1+Log!$G$4:$G$1203/30)))))</f>
        <v/>
      </c>
      <c r="M73" s="88" t="str">
        <f aca="false">IF($A73="","",IF(SUMPRODUCT(MAX((Log!$D$4:$D$1203=$A73)*(Log!$B$4:$B$1203=M$53)*(Log!$E$4:$E$1203="A")*(Log!$F$4:$F$1203&lt;&gt;"")*(Log!$G$4:$G$1203&lt;&gt;"")*Log!$F$4:$F$1203*(1+Log!$G$4:$G$1203/30)))=0,"",SUMPRODUCT(MAX((Log!$D$4:$D$1203=$A73)*(Log!$B$4:$B$1203=M$53)*(Log!$E$4:$E$1203="A")*(Log!$F$4:$F$1203&lt;&gt;"")*(Log!$G$4:$G$1203&lt;&gt;"")*Log!$F$4:$F$1203*(1+Log!$G$4:$G$1203/30)))))</f>
        <v/>
      </c>
      <c r="N73" s="88" t="str">
        <f aca="false">IF($A73="","",IF(SUMPRODUCT(MAX((Log!$D$4:$D$1203=$A73)*(Log!$B$4:$B$1203=N$53)*(Log!$E$4:$E$1203="A")*(Log!$F$4:$F$1203&lt;&gt;"")*(Log!$G$4:$G$1203&lt;&gt;"")*Log!$F$4:$F$1203*(1+Log!$G$4:$G$1203/30)))=0,"",SUMPRODUCT(MAX((Log!$D$4:$D$1203=$A73)*(Log!$B$4:$B$1203=N$53)*(Log!$E$4:$E$1203="A")*(Log!$F$4:$F$1203&lt;&gt;"")*(Log!$G$4:$G$1203&lt;&gt;"")*Log!$F$4:$F$1203*(1+Log!$G$4:$G$1203/30)))))</f>
        <v/>
      </c>
      <c r="O73" s="88" t="str">
        <f aca="false">IF($A73="","",IF(SUMPRODUCT(MAX((Log!$D$4:$D$1203=$A73)*(Log!$B$4:$B$1203=O$53)*(Log!$E$4:$E$1203="A")*(Log!$F$4:$F$1203&lt;&gt;"")*(Log!$G$4:$G$1203&lt;&gt;"")*Log!$F$4:$F$1203*(1+Log!$G$4:$G$1203/30)))=0,"",SUMPRODUCT(MAX((Log!$D$4:$D$1203=$A73)*(Log!$B$4:$B$1203=O$53)*(Log!$E$4:$E$1203="A")*(Log!$F$4:$F$1203&lt;&gt;"")*(Log!$G$4:$G$1203&lt;&gt;"")*Log!$F$4:$F$1203*(1+Log!$G$4:$G$1203/30)))))</f>
        <v/>
      </c>
      <c r="P73" s="88" t="str">
        <f aca="false">IF($A73="","",IF(SUMPRODUCT(MAX((Log!$D$4:$D$1203=$A73)*(Log!$B$4:$B$1203=P$53)*(Log!$E$4:$E$1203="A")*(Log!$F$4:$F$1203&lt;&gt;"")*(Log!$G$4:$G$1203&lt;&gt;"")*Log!$F$4:$F$1203*(1+Log!$G$4:$G$1203/30)))=0,"",SUMPRODUCT(MAX((Log!$D$4:$D$1203=$A73)*(Log!$B$4:$B$1203=P$53)*(Log!$E$4:$E$1203="A")*(Log!$F$4:$F$1203&lt;&gt;"")*(Log!$G$4:$G$1203&lt;&gt;"")*Log!$F$4:$F$1203*(1+Log!$G$4:$G$1203/30)))))</f>
        <v/>
      </c>
      <c r="Q73" s="88" t="str">
        <f aca="false">IF($A73="","",IF(SUMPRODUCT(MAX((Log!$D$4:$D$1203=$A73)*(Log!$B$4:$B$1203=Q$53)*(Log!$E$4:$E$1203="A")*(Log!$F$4:$F$1203&lt;&gt;"")*(Log!$G$4:$G$1203&lt;&gt;"")*Log!$F$4:$F$1203*(1+Log!$G$4:$G$1203/30)))=0,"",SUMPRODUCT(MAX((Log!$D$4:$D$1203=$A73)*(Log!$B$4:$B$1203=Q$53)*(Log!$E$4:$E$1203="A")*(Log!$F$4:$F$1203&lt;&gt;"")*(Log!$G$4:$G$1203&lt;&gt;"")*Log!$F$4:$F$1203*(1+Log!$G$4:$G$1203/30)))))</f>
        <v/>
      </c>
      <c r="R73" s="87" t="str">
        <f aca="false">IF($A73="","",IF(SUMPRODUCT(MAX((Log!$D$4:$D$1203=$A73)*(Log!$E$4:$E$1203="A")*(Log!$F$4:$F$1203&lt;&gt;"")*(Log!$G$4:$G$1203&lt;&gt;"")*Log!$F$4:$F$1203*(1+Log!$G$4:$G$1203/30)))=0,"",SUMPRODUCT(MAX((Log!$D$4:$D$1203=$A73)*(Log!$E$4:$E$1203="A")*(Log!$F$4:$F$1203&lt;&gt;"")*(Log!$G$4:$G$1203&lt;&gt;"")*Log!$F$4:$F$1203*(1+Log!$G$4:$G$1203/30)))))</f>
        <v/>
      </c>
    </row>
  </sheetData>
  <mergeCells count="6">
    <mergeCell ref="A1:R1"/>
    <mergeCell ref="A2:R2"/>
    <mergeCell ref="C3:R3"/>
    <mergeCell ref="A4:R4"/>
    <mergeCell ref="A28:R28"/>
    <mergeCell ref="A52:R52"/>
  </mergeCells>
  <conditionalFormatting sqref="A6:A25">
    <cfRule type="expression" priority="2" aboveAverage="0" equalAverage="0" bottom="0" percent="0" rank="0" text="" dxfId="2">
      <formula>Übungen!$L4="nein"</formula>
    </cfRule>
  </conditionalFormatting>
  <conditionalFormatting sqref="B6:Q25">
    <cfRule type="colorScale" priority="3">
      <colorScale>
        <cfvo type="min" val="0"/>
        <cfvo type="max" val="0"/>
        <color rgb="FFFFFFFF"/>
        <color rgb="FF9EC5E8"/>
      </colorScale>
    </cfRule>
  </conditionalFormatting>
  <conditionalFormatting sqref="A30:A49">
    <cfRule type="expression" priority="4" aboveAverage="0" equalAverage="0" bottom="0" percent="0" rank="0" text="" dxfId="2">
      <formula>Übungen!$L4="nein"</formula>
    </cfRule>
  </conditionalFormatting>
  <conditionalFormatting sqref="B30:Q49">
    <cfRule type="colorScale" priority="5">
      <colorScale>
        <cfvo type="min" val="0"/>
        <cfvo type="max" val="0"/>
        <color rgb="FFFFFFFF"/>
        <color rgb="FF9EC5E8"/>
      </colorScale>
    </cfRule>
  </conditionalFormatting>
  <conditionalFormatting sqref="A54:A73">
    <cfRule type="expression" priority="6" aboveAverage="0" equalAverage="0" bottom="0" percent="0" rank="0" text="" dxfId="2">
      <formula>Übungen!$L4="nein"</formula>
    </cfRule>
  </conditionalFormatting>
  <conditionalFormatting sqref="B54:Q73">
    <cfRule type="colorScale" priority="7">
      <colorScale>
        <cfvo type="min" val="0"/>
        <cfvo type="max" val="0"/>
        <color rgb="FFFFFFFF"/>
        <color rgb="FF9EC5E8"/>
      </colorScale>
    </cfRule>
  </conditionalFormatting>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&amp;K808080Auswertung</oddHeader>
    <oddFooter>&amp;L&amp;8 &amp;K808080Quelle: Löwin_Training_260727.pdf&amp;R&amp;8 &amp;K808080Seite &amp;P von &amp;N</oddFooter>
  </headerFooter>
  <rowBreaks count="2" manualBreakCount="2">
    <brk id="27" man="true" max="16383" min="0"/>
    <brk id="51" man="true" max="16383" min="0"/>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8"/>
    <col collapsed="false" customWidth="true" hidden="false" outlineLevel="0" max="3" min="3" style="0" width="11"/>
    <col collapsed="false" customWidth="true" hidden="false" outlineLevel="0" max="4" min="4" style="0" width="8"/>
    <col collapsed="false" customWidth="true" hidden="false" outlineLevel="0" max="7" min="5" style="0" width="11"/>
    <col collapsed="false" customWidth="true" hidden="false" outlineLevel="0" max="10" min="8" style="0" width="12"/>
    <col collapsed="false" customWidth="true" hidden="false" outlineLevel="0" max="11" min="11" style="0" width="11"/>
    <col collapsed="false" customWidth="true" hidden="false" outlineLevel="0" max="12" min="12" style="0" width="12"/>
    <col collapsed="false" customWidth="true" hidden="false" outlineLevel="0" max="13" min="13" style="0" width="28"/>
    <col collapsed="false" customWidth="true" hidden="false" outlineLevel="0" max="14" min="14" style="0" width="12"/>
  </cols>
  <sheetData>
    <row r="1" customFormat="false" ht="30" hidden="false" customHeight="true" outlineLevel="0" collapsed="false">
      <c r="A1" s="1" t="s">
        <v>509</v>
      </c>
      <c r="B1" s="1"/>
      <c r="C1" s="1"/>
      <c r="D1" s="1"/>
      <c r="E1" s="1"/>
      <c r="F1" s="1"/>
      <c r="G1" s="1"/>
      <c r="H1" s="1"/>
      <c r="I1" s="1"/>
      <c r="J1" s="1"/>
      <c r="K1" s="1"/>
    </row>
    <row r="2" customFormat="false" ht="15" hidden="false" customHeight="true" outlineLevel="0" collapsed="false">
      <c r="A2" s="2" t="s">
        <v>510</v>
      </c>
      <c r="B2" s="2"/>
      <c r="C2" s="2"/>
      <c r="D2" s="2"/>
      <c r="E2" s="2"/>
      <c r="F2" s="2"/>
      <c r="G2" s="2"/>
      <c r="H2" s="2"/>
      <c r="I2" s="2"/>
      <c r="J2" s="2"/>
      <c r="K2" s="2"/>
    </row>
    <row r="3" customFormat="false" ht="33.75" hidden="false" customHeight="true" outlineLevel="0" collapsed="false">
      <c r="A3" s="13" t="s">
        <v>170</v>
      </c>
      <c r="B3" s="13" t="s">
        <v>511</v>
      </c>
      <c r="C3" s="13" t="s">
        <v>512</v>
      </c>
      <c r="D3" s="13" t="s">
        <v>513</v>
      </c>
      <c r="E3" s="13" t="s">
        <v>514</v>
      </c>
      <c r="F3" s="13" t="s">
        <v>515</v>
      </c>
      <c r="G3" s="13" t="s">
        <v>516</v>
      </c>
      <c r="H3" s="13" t="s">
        <v>517</v>
      </c>
      <c r="I3" s="13" t="s">
        <v>518</v>
      </c>
      <c r="J3" s="13" t="s">
        <v>519</v>
      </c>
      <c r="K3" s="13" t="s">
        <v>520</v>
      </c>
      <c r="L3" s="13" t="s">
        <v>521</v>
      </c>
      <c r="M3" s="13" t="s">
        <v>522</v>
      </c>
      <c r="N3" s="13" t="s">
        <v>523</v>
      </c>
    </row>
    <row r="4" customFormat="false" ht="25.5" hidden="false" customHeight="true" outlineLevel="0" collapsed="false">
      <c r="A4" s="34" t="str">
        <f aca="false">IF(Übungen!$A4="","",Übungen!$A4)</f>
        <v>Beinpresse eng</v>
      </c>
      <c r="B4" s="83" t="n">
        <f aca="false">IF($A4="","",IF(SUMPRODUCT(MAX((Log!$D$4:$D$1203=$A4)*(Log!$E$4:$E$1203="A")*Log!$B$4:$B$1203))=0,"",SUMPRODUCT(MIN((Log!$D$4:$D$1203=$A4)*(Log!$E$4:$E$1203="A")*Log!$B$4:$B$1203+((Log!$D$4:$D$1203&lt;&gt;$A4)+(Log!$E$4:$E$1203&lt;&gt;"A")&gt;0)*9999))))</f>
        <v>5</v>
      </c>
      <c r="C4" s="83" t="n">
        <f aca="false">IF($B4="","",SUMIFS(Log!$I$4:$I$1203,Log!$D$4:$D$1203,$A4,Log!$B$4:$B$1203,$B4,Log!$E$4:$E$1203,"A"))</f>
        <v>5766</v>
      </c>
      <c r="D4" s="83" t="n">
        <f aca="false">IF($A4="","",IF(SUMPRODUCT(MAX((Log!$D$4:$D$1203=$A4)*(Log!$E$4:$E$1203="A")*Log!$B$4:$B$1203))=0,"",SUMPRODUCT(MAX((Log!$D$4:$D$1203=$A4)*(Log!$E$4:$E$1203="A")*Log!$B$4:$B$1203))))</f>
        <v>17</v>
      </c>
      <c r="E4" s="83" t="n">
        <f aca="false">IF($D4="","",SUMIFS(Log!$I$4:$I$1203,Log!$D$4:$D$1203,$A4,Log!$B$4:$B$1203,$D4,Log!$E$4:$E$1203,"A"))</f>
        <v>5400</v>
      </c>
      <c r="F4" s="83" t="n">
        <f aca="false">IF(OR($C4="",$E4=""),"",$E4-$C4)</f>
        <v>-366</v>
      </c>
      <c r="G4" s="89" t="n">
        <f aca="false">IF(OR($C4="",$E4="",$C4=0),"",$E4/$C4-1)</f>
        <v>-0.0634755463059313</v>
      </c>
      <c r="H4" s="86" t="n">
        <f aca="false">IF($D4="","",IF(SUMPRODUCT(MAX((Log!$D$4:$D$1203=$A4)*(Log!$B$4:$B$1203=$D4)*(Log!$E$4:$E$1203="A")*(Log!$F$4:$F$1203&lt;&gt;"")*Log!$F$4:$F$1203))=0,"",SUMPRODUCT(MAX((Log!$D$4:$D$1203=$A4)*(Log!$B$4:$B$1203=$D4)*(Log!$E$4:$E$1203="A")*(Log!$F$4:$F$1203&lt;&gt;"")*Log!$F$4:$F$1203))))</f>
        <v>300</v>
      </c>
      <c r="I4" s="86" t="n">
        <f aca="false">IF($A4="","",IF(SUMPRODUCT(MAX((Log!$D$4:$D$1203=$A4)*(Log!$E$4:$E$1203="A")*(Log!$F$4:$F$1203&lt;&gt;"")*Log!$F$4:$F$1203))=0,"",SUMPRODUCT(MAX((Log!$D$4:$D$1203=$A4)*(Log!$E$4:$E$1203="A")*(Log!$F$4:$F$1203&lt;&gt;"")*Log!$F$4:$F$1203))))</f>
        <v>333</v>
      </c>
      <c r="J4" s="86" t="n">
        <f aca="false">IF(OR($H4="",$I4=""),"",$H4-$I4)</f>
        <v>-33</v>
      </c>
      <c r="K4" s="90" t="str">
        <f aca="false">IF($G4="","",IF($G4&gt;0.05,"steigend",IF($G4&lt;-0.05,"fallend","stabil")))</f>
        <v>fallend</v>
      </c>
      <c r="L4" s="83" t="n">
        <f aca="false">IF($H4="","",SUMPRODUCT((COUNTIFS(Log!$D$4:$D$1203,$A4,Log!$E$4:$E$1203,"A",Log!$F$4:$F$1203,$H4,Log!$B$4:$B$1203,Einheiten!$A$4:$A$63)&gt;0)*1))</f>
        <v>3</v>
      </c>
      <c r="M4" s="91" t="str">
        <f aca="false">IFERROR(INDEX(Rekorde!$Q$4:$Q$23,MATCH($A4,Rekorde!$A$4:$A$23,0)),"")</f>
        <v>Gewicht +5 kg (1.7%), Wdh zurück auf 5</v>
      </c>
      <c r="N4" s="92" t="n">
        <f aca="false">IF(OR($H4="",Übungen!$J4=""),"",CEILING($H4*1.01^12/Übungen!$J4,1)*Übungen!$J4)</f>
        <v>340</v>
      </c>
    </row>
    <row r="5" customFormat="false" ht="25.5" hidden="false" customHeight="true" outlineLevel="0" collapsed="false">
      <c r="A5" s="40" t="str">
        <f aca="false">IF(Übungen!$A5="","",Übungen!$A5)</f>
        <v>Split Squat</v>
      </c>
      <c r="B5" s="85" t="n">
        <f aca="false">IF($A5="","",IF(SUMPRODUCT(MAX((Log!$D$4:$D$1203=$A5)*(Log!$E$4:$E$1203="A")*Log!$B$4:$B$1203))=0,"",SUMPRODUCT(MIN((Log!$D$4:$D$1203=$A5)*(Log!$E$4:$E$1203="A")*Log!$B$4:$B$1203+((Log!$D$4:$D$1203&lt;&gt;$A5)+(Log!$E$4:$E$1203&lt;&gt;"A")&gt;0)*9999))))</f>
        <v>1</v>
      </c>
      <c r="C5" s="85" t="n">
        <f aca="false">IF($B5="","",SUMIFS(Log!$I$4:$I$1203,Log!$D$4:$D$1203,$A5,Log!$B$4:$B$1203,$B5,Log!$E$4:$E$1203,"A"))</f>
        <v>1610</v>
      </c>
      <c r="D5" s="85" t="n">
        <f aca="false">IF($A5="","",IF(SUMPRODUCT(MAX((Log!$D$4:$D$1203=$A5)*(Log!$E$4:$E$1203="A")*Log!$B$4:$B$1203))=0,"",SUMPRODUCT(MAX((Log!$D$4:$D$1203=$A5)*(Log!$E$4:$E$1203="A")*Log!$B$4:$B$1203))))</f>
        <v>17</v>
      </c>
      <c r="E5" s="85" t="n">
        <f aca="false">IF($D5="","",SUMIFS(Log!$I$4:$I$1203,Log!$D$4:$D$1203,$A5,Log!$B$4:$B$1203,$D5,Log!$E$4:$E$1203,"A"))</f>
        <v>1870</v>
      </c>
      <c r="F5" s="85" t="n">
        <f aca="false">IF(OR($C5="",$E5=""),"",$E5-$C5)</f>
        <v>260</v>
      </c>
      <c r="G5" s="93" t="n">
        <f aca="false">IF(OR($C5="",$E5="",$C5=0),"",$E5/$C5-1)</f>
        <v>0.161490683229814</v>
      </c>
      <c r="H5" s="88" t="n">
        <f aca="false">IF($D5="","",IF(SUMPRODUCT(MAX((Log!$D$4:$D$1203=$A5)*(Log!$B$4:$B$1203=$D5)*(Log!$E$4:$E$1203="A")*(Log!$F$4:$F$1203&lt;&gt;"")*Log!$F$4:$F$1203))=0,"",SUMPRODUCT(MAX((Log!$D$4:$D$1203=$A5)*(Log!$B$4:$B$1203=$D5)*(Log!$E$4:$E$1203="A")*(Log!$F$4:$F$1203&lt;&gt;"")*Log!$F$4:$F$1203))))</f>
        <v>120</v>
      </c>
      <c r="I5" s="88" t="n">
        <f aca="false">IF($A5="","",IF(SUMPRODUCT(MAX((Log!$D$4:$D$1203=$A5)*(Log!$E$4:$E$1203="A")*(Log!$F$4:$F$1203&lt;&gt;"")*Log!$F$4:$F$1203))=0,"",SUMPRODUCT(MAX((Log!$D$4:$D$1203=$A5)*(Log!$E$4:$E$1203="A")*(Log!$F$4:$F$1203&lt;&gt;"")*Log!$F$4:$F$1203))))</f>
        <v>120</v>
      </c>
      <c r="J5" s="88" t="n">
        <f aca="false">IF(OR($H5="",$I5=""),"",$H5-$I5)</f>
        <v>0</v>
      </c>
      <c r="K5" s="94" t="str">
        <f aca="false">IF($G5="","",IF($G5&gt;0.05,"steigend",IF($G5&lt;-0.05,"fallend","stabil")))</f>
        <v>steigend</v>
      </c>
      <c r="L5" s="85" t="n">
        <f aca="false">IF($H5="","",SUMPRODUCT((COUNTIFS(Log!$D$4:$D$1203,$A5,Log!$E$4:$E$1203,"A",Log!$F$4:$F$1203,$H5,Log!$B$4:$B$1203,Einheiten!$A$4:$A$63)&gt;0)*1))</f>
        <v>1</v>
      </c>
      <c r="M5" s="95" t="str">
        <f aca="false">IFERROR(INDEX(Rekorde!$Q$4:$Q$23,MATCH($A5,Rekorde!$A$4:$A$23,0)),"")</f>
        <v>Gewicht +2.5 kg (2.1%), Wdh zurück auf 5</v>
      </c>
      <c r="N5" s="96" t="n">
        <f aca="false">IF(OR($H5="",Übungen!$J5=""),"",CEILING($H5*1.01^12/Übungen!$J5,1)*Übungen!$J5)</f>
        <v>137.5</v>
      </c>
    </row>
    <row r="6" customFormat="false" ht="25.5" hidden="false" customHeight="true" outlineLevel="0" collapsed="false">
      <c r="A6" s="34" t="str">
        <f aca="false">IF(Übungen!$A6="","",Übungen!$A6)</f>
        <v>Beinstrecker</v>
      </c>
      <c r="B6" s="83" t="n">
        <f aca="false">IF($A6="","",IF(SUMPRODUCT(MAX((Log!$D$4:$D$1203=$A6)*(Log!$E$4:$E$1203="A")*Log!$B$4:$B$1203))=0,"",SUMPRODUCT(MIN((Log!$D$4:$D$1203=$A6)*(Log!$E$4:$E$1203="A")*Log!$B$4:$B$1203+((Log!$D$4:$D$1203&lt;&gt;$A6)+(Log!$E$4:$E$1203&lt;&gt;"A")&gt;0)*9999))))</f>
        <v>1</v>
      </c>
      <c r="C6" s="83" t="n">
        <f aca="false">IF($B6="","",SUMIFS(Log!$I$4:$I$1203,Log!$D$4:$D$1203,$A6,Log!$B$4:$B$1203,$B6,Log!$E$4:$E$1203,"A"))</f>
        <v>1205</v>
      </c>
      <c r="D6" s="83" t="n">
        <f aca="false">IF($A6="","",IF(SUMPRODUCT(MAX((Log!$D$4:$D$1203=$A6)*(Log!$E$4:$E$1203="A")*Log!$B$4:$B$1203))=0,"",SUMPRODUCT(MAX((Log!$D$4:$D$1203=$A6)*(Log!$E$4:$E$1203="A")*Log!$B$4:$B$1203))))</f>
        <v>17</v>
      </c>
      <c r="E6" s="83" t="n">
        <f aca="false">IF($D6="","",SUMIFS(Log!$I$4:$I$1203,Log!$D$4:$D$1203,$A6,Log!$B$4:$B$1203,$D6,Log!$E$4:$E$1203,"A"))</f>
        <v>1435</v>
      </c>
      <c r="F6" s="83" t="n">
        <f aca="false">IF(OR($C6="",$E6=""),"",$E6-$C6)</f>
        <v>230</v>
      </c>
      <c r="G6" s="89" t="n">
        <f aca="false">IF(OR($C6="",$E6="",$C6=0),"",$E6/$C6-1)</f>
        <v>0.190871369294606</v>
      </c>
      <c r="H6" s="86" t="n">
        <f aca="false">IF($D6="","",IF(SUMPRODUCT(MAX((Log!$D$4:$D$1203=$A6)*(Log!$B$4:$B$1203=$D6)*(Log!$E$4:$E$1203="A")*(Log!$F$4:$F$1203&lt;&gt;"")*Log!$F$4:$F$1203))=0,"",SUMPRODUCT(MAX((Log!$D$4:$D$1203=$A6)*(Log!$B$4:$B$1203=$D6)*(Log!$E$4:$E$1203="A")*(Log!$F$4:$F$1203&lt;&gt;"")*Log!$F$4:$F$1203))))</f>
        <v>95</v>
      </c>
      <c r="I6" s="86" t="n">
        <f aca="false">IF($A6="","",IF(SUMPRODUCT(MAX((Log!$D$4:$D$1203=$A6)*(Log!$E$4:$E$1203="A")*(Log!$F$4:$F$1203&lt;&gt;"")*Log!$F$4:$F$1203))=0,"",SUMPRODUCT(MAX((Log!$D$4:$D$1203=$A6)*(Log!$E$4:$E$1203="A")*(Log!$F$4:$F$1203&lt;&gt;"")*Log!$F$4:$F$1203))))</f>
        <v>95</v>
      </c>
      <c r="J6" s="86" t="n">
        <f aca="false">IF(OR($H6="",$I6=""),"",$H6-$I6)</f>
        <v>0</v>
      </c>
      <c r="K6" s="90" t="str">
        <f aca="false">IF($G6="","",IF($G6&gt;0.05,"steigend",IF($G6&lt;-0.05,"fallend","stabil")))</f>
        <v>steigend</v>
      </c>
      <c r="L6" s="83" t="n">
        <f aca="false">IF($H6="","",SUMPRODUCT((COUNTIFS(Log!$D$4:$D$1203,$A6,Log!$E$4:$E$1203,"A",Log!$F$4:$F$1203,$H6,Log!$B$4:$B$1203,Einheiten!$A$4:$A$63)&gt;0)*1))</f>
        <v>2</v>
      </c>
      <c r="M6" s="91" t="str">
        <f aca="false">IFERROR(INDEX(Rekorde!$Q$4:$Q$23,MATCH($A6,Rekorde!$A$4:$A$23,0)),"")</f>
        <v>Wdh +1 auf 6 bei gleichem Gewicht</v>
      </c>
      <c r="N6" s="92" t="n">
        <f aca="false">IF(OR($H6="",Übungen!$J6=""),"",CEILING($H6*1.01^12/Übungen!$J6,1)*Übungen!$J6)</f>
        <v>110</v>
      </c>
    </row>
    <row r="7" customFormat="false" ht="25.5" hidden="false" customHeight="true" outlineLevel="0" collapsed="false">
      <c r="A7" s="40" t="str">
        <f aca="false">IF(Übungen!$A7="","",Übungen!$A7)</f>
        <v>Adduktion</v>
      </c>
      <c r="B7" s="85" t="n">
        <f aca="false">IF($A7="","",IF(SUMPRODUCT(MAX((Log!$D$4:$D$1203=$A7)*(Log!$E$4:$E$1203="A")*Log!$B$4:$B$1203))=0,"",SUMPRODUCT(MIN((Log!$D$4:$D$1203=$A7)*(Log!$E$4:$E$1203="A")*Log!$B$4:$B$1203+((Log!$D$4:$D$1203&lt;&gt;$A7)+(Log!$E$4:$E$1203&lt;&gt;"A")&gt;0)*9999))))</f>
        <v>1</v>
      </c>
      <c r="C7" s="85" t="n">
        <f aca="false">IF($B7="","",SUMIFS(Log!$I$4:$I$1203,Log!$D$4:$D$1203,$A7,Log!$B$4:$B$1203,$B7,Log!$E$4:$E$1203,"A"))</f>
        <v>4117.5</v>
      </c>
      <c r="D7" s="85" t="n">
        <f aca="false">IF($A7="","",IF(SUMPRODUCT(MAX((Log!$D$4:$D$1203=$A7)*(Log!$E$4:$E$1203="A")*Log!$B$4:$B$1203))=0,"",SUMPRODUCT(MAX((Log!$D$4:$D$1203=$A7)*(Log!$E$4:$E$1203="A")*Log!$B$4:$B$1203))))</f>
        <v>17</v>
      </c>
      <c r="E7" s="85" t="n">
        <f aca="false">IF($D7="","",SUMIFS(Log!$I$4:$I$1203,Log!$D$4:$D$1203,$A7,Log!$B$4:$B$1203,$D7,Log!$E$4:$E$1203,"A"))</f>
        <v>1932</v>
      </c>
      <c r="F7" s="85" t="n">
        <f aca="false">IF(OR($C7="",$E7=""),"",$E7-$C7)</f>
        <v>-2185.5</v>
      </c>
      <c r="G7" s="93" t="n">
        <f aca="false">IF(OR($C7="",$E7="",$C7=0),"",$E7/$C7-1)</f>
        <v>-0.530783242258652</v>
      </c>
      <c r="H7" s="88" t="n">
        <f aca="false">IF($D7="","",IF(SUMPRODUCT(MAX((Log!$D$4:$D$1203=$A7)*(Log!$B$4:$B$1203=$D7)*(Log!$E$4:$E$1203="A")*(Log!$F$4:$F$1203&lt;&gt;"")*Log!$F$4:$F$1203))=0,"",SUMPRODUCT(MAX((Log!$D$4:$D$1203=$A7)*(Log!$B$4:$B$1203=$D7)*(Log!$E$4:$E$1203="A")*(Log!$F$4:$F$1203&lt;&gt;"")*Log!$F$4:$F$1203))))</f>
        <v>165</v>
      </c>
      <c r="I7" s="88" t="n">
        <f aca="false">IF($A7="","",IF(SUMPRODUCT(MAX((Log!$D$4:$D$1203=$A7)*(Log!$E$4:$E$1203="A")*(Log!$F$4:$F$1203&lt;&gt;"")*Log!$F$4:$F$1203))=0,"",SUMPRODUCT(MAX((Log!$D$4:$D$1203=$A7)*(Log!$E$4:$E$1203="A")*(Log!$F$4:$F$1203&lt;&gt;"")*Log!$F$4:$F$1203))))</f>
        <v>185</v>
      </c>
      <c r="J7" s="88" t="n">
        <f aca="false">IF(OR($H7="",$I7=""),"",$H7-$I7)</f>
        <v>-20</v>
      </c>
      <c r="K7" s="94" t="str">
        <f aca="false">IF($G7="","",IF($G7&gt;0.05,"steigend",IF($G7&lt;-0.05,"fallend","stabil")))</f>
        <v>fallend</v>
      </c>
      <c r="L7" s="85" t="n">
        <f aca="false">IF($H7="","",SUMPRODUCT((COUNTIFS(Log!$D$4:$D$1203,$A7,Log!$E$4:$E$1203,"A",Log!$F$4:$F$1203,$H7,Log!$B$4:$B$1203,Einheiten!$A$4:$A$63)&gt;0)*1))</f>
        <v>1</v>
      </c>
      <c r="M7" s="95" t="str">
        <f aca="false">IFERROR(INDEX(Rekorde!$Q$4:$Q$23,MATCH($A7,Rekorde!$A$4:$A$23,0)),"")</f>
        <v>Gewicht +2.5 kg (1.5%), Wdh zurück auf 5</v>
      </c>
      <c r="N7" s="96" t="n">
        <f aca="false">IF(OR($H7="",Übungen!$J7=""),"",CEILING($H7*1.01^12/Übungen!$J7,1)*Übungen!$J7)</f>
        <v>187.5</v>
      </c>
    </row>
    <row r="8" customFormat="false" ht="25.5" hidden="false" customHeight="true" outlineLevel="0" collapsed="false">
      <c r="A8" s="34" t="str">
        <f aca="false">IF(Übungen!$A8="","",Übungen!$A8)</f>
        <v>Reverse V-Squat</v>
      </c>
      <c r="B8" s="83" t="n">
        <f aca="false">IF($A8="","",IF(SUMPRODUCT(MAX((Log!$D$4:$D$1203=$A8)*(Log!$E$4:$E$1203="A")*Log!$B$4:$B$1203))=0,"",SUMPRODUCT(MIN((Log!$D$4:$D$1203=$A8)*(Log!$E$4:$E$1203="A")*Log!$B$4:$B$1203+((Log!$D$4:$D$1203&lt;&gt;$A8)+(Log!$E$4:$E$1203&lt;&gt;"A")&gt;0)*9999))))</f>
        <v>13</v>
      </c>
      <c r="C8" s="83" t="n">
        <f aca="false">IF($B8="","",SUMIFS(Log!$I$4:$I$1203,Log!$D$4:$D$1203,$A8,Log!$B$4:$B$1203,$B8,Log!$E$4:$E$1203,"A"))</f>
        <v>4220</v>
      </c>
      <c r="D8" s="83" t="n">
        <f aca="false">IF($A8="","",IF(SUMPRODUCT(MAX((Log!$D$4:$D$1203=$A8)*(Log!$E$4:$E$1203="A")*Log!$B$4:$B$1203))=0,"",SUMPRODUCT(MAX((Log!$D$4:$D$1203=$A8)*(Log!$E$4:$E$1203="A")*Log!$B$4:$B$1203))))</f>
        <v>14</v>
      </c>
      <c r="E8" s="83" t="n">
        <f aca="false">IF($D8="","",SUMIFS(Log!$I$4:$I$1203,Log!$D$4:$D$1203,$A8,Log!$B$4:$B$1203,$D8,Log!$E$4:$E$1203,"A"))</f>
        <v>3463</v>
      </c>
      <c r="F8" s="83" t="n">
        <f aca="false">IF(OR($C8="",$E8=""),"",$E8-$C8)</f>
        <v>-757</v>
      </c>
      <c r="G8" s="89" t="n">
        <f aca="false">IF(OR($C8="",$E8="",$C8=0),"",$E8/$C8-1)</f>
        <v>-0.179383886255924</v>
      </c>
      <c r="H8" s="86" t="n">
        <f aca="false">IF($D8="","",IF(SUMPRODUCT(MAX((Log!$D$4:$D$1203=$A8)*(Log!$B$4:$B$1203=$D8)*(Log!$E$4:$E$1203="A")*(Log!$F$4:$F$1203&lt;&gt;"")*Log!$F$4:$F$1203))=0,"",SUMPRODUCT(MAX((Log!$D$4:$D$1203=$A8)*(Log!$B$4:$B$1203=$D8)*(Log!$E$4:$E$1203="A")*(Log!$F$4:$F$1203&lt;&gt;"")*Log!$F$4:$F$1203))))</f>
        <v>215</v>
      </c>
      <c r="I8" s="86" t="n">
        <f aca="false">IF($A8="","",IF(SUMPRODUCT(MAX((Log!$D$4:$D$1203=$A8)*(Log!$E$4:$E$1203="A")*(Log!$F$4:$F$1203&lt;&gt;"")*Log!$F$4:$F$1203))=0,"",SUMPRODUCT(MAX((Log!$D$4:$D$1203=$A8)*(Log!$E$4:$E$1203="A")*(Log!$F$4:$F$1203&lt;&gt;"")*Log!$F$4:$F$1203))))</f>
        <v>215</v>
      </c>
      <c r="J8" s="86" t="n">
        <f aca="false">IF(OR($H8="",$I8=""),"",$H8-$I8)</f>
        <v>0</v>
      </c>
      <c r="K8" s="90" t="str">
        <f aca="false">IF($G8="","",IF($G8&gt;0.05,"steigend",IF($G8&lt;-0.05,"fallend","stabil")))</f>
        <v>fallend</v>
      </c>
      <c r="L8" s="83" t="n">
        <f aca="false">IF($H8="","",SUMPRODUCT((COUNTIFS(Log!$D$4:$D$1203,$A8,Log!$E$4:$E$1203,"A",Log!$F$4:$F$1203,$H8,Log!$B$4:$B$1203,Einheiten!$A$4:$A$63)&gt;0)*1))</f>
        <v>1</v>
      </c>
      <c r="M8" s="91" t="str">
        <f aca="false">IFERROR(INDEX(Rekorde!$Q$4:$Q$23,MATCH($A8,Rekorde!$A$4:$A$23,0)),"")</f>
        <v>Wdh +1 auf 6 bei gleichem Gewicht</v>
      </c>
      <c r="N8" s="92" t="n">
        <f aca="false">IF(OR($H8="",Übungen!$J8=""),"",CEILING($H8*1.01^12/Übungen!$J8,1)*Übungen!$J8)</f>
        <v>245</v>
      </c>
    </row>
    <row r="9" customFormat="false" ht="25.5" hidden="false" customHeight="true" outlineLevel="0" collapsed="false">
      <c r="A9" s="40" t="str">
        <f aca="false">IF(Übungen!$A9="","",Übungen!$A9)</f>
        <v>Rumänisches Kreuzheben</v>
      </c>
      <c r="B9" s="85" t="n">
        <f aca="false">IF($A9="","",IF(SUMPRODUCT(MAX((Log!$D$4:$D$1203=$A9)*(Log!$E$4:$E$1203="A")*Log!$B$4:$B$1203))=0,"",SUMPRODUCT(MIN((Log!$D$4:$D$1203=$A9)*(Log!$E$4:$E$1203="A")*Log!$B$4:$B$1203+((Log!$D$4:$D$1203&lt;&gt;$A9)+(Log!$E$4:$E$1203&lt;&gt;"A")&gt;0)*9999))))</f>
        <v>5</v>
      </c>
      <c r="C9" s="85" t="n">
        <f aca="false">IF($B9="","",SUMIFS(Log!$I$4:$I$1203,Log!$D$4:$D$1203,$A9,Log!$B$4:$B$1203,$B9,Log!$E$4:$E$1203,"A"))</f>
        <v>3740</v>
      </c>
      <c r="D9" s="85" t="n">
        <f aca="false">IF($A9="","",IF(SUMPRODUCT(MAX((Log!$D$4:$D$1203=$A9)*(Log!$E$4:$E$1203="A")*Log!$B$4:$B$1203))=0,"",SUMPRODUCT(MAX((Log!$D$4:$D$1203=$A9)*(Log!$E$4:$E$1203="A")*Log!$B$4:$B$1203))))</f>
        <v>11</v>
      </c>
      <c r="E9" s="85" t="n">
        <f aca="false">IF($D9="","",SUMIFS(Log!$I$4:$I$1203,Log!$D$4:$D$1203,$A9,Log!$B$4:$B$1203,$D9,Log!$E$4:$E$1203,"A"))</f>
        <v>1540</v>
      </c>
      <c r="F9" s="85" t="n">
        <f aca="false">IF(OR($C9="",$E9=""),"",$E9-$C9)</f>
        <v>-2200</v>
      </c>
      <c r="G9" s="93" t="n">
        <f aca="false">IF(OR($C9="",$E9="",$C9=0),"",$E9/$C9-1)</f>
        <v>-0.588235294117647</v>
      </c>
      <c r="H9" s="88" t="n">
        <f aca="false">IF($D9="","",IF(SUMPRODUCT(MAX((Log!$D$4:$D$1203=$A9)*(Log!$B$4:$B$1203=$D9)*(Log!$E$4:$E$1203="A")*(Log!$F$4:$F$1203&lt;&gt;"")*Log!$F$4:$F$1203))=0,"",SUMPRODUCT(MAX((Log!$D$4:$D$1203=$A9)*(Log!$B$4:$B$1203=$D9)*(Log!$E$4:$E$1203="A")*(Log!$F$4:$F$1203&lt;&gt;"")*Log!$F$4:$F$1203))))</f>
        <v>115</v>
      </c>
      <c r="I9" s="88" t="n">
        <f aca="false">IF($A9="","",IF(SUMPRODUCT(MAX((Log!$D$4:$D$1203=$A9)*(Log!$E$4:$E$1203="A")*(Log!$F$4:$F$1203&lt;&gt;"")*Log!$F$4:$F$1203))=0,"",SUMPRODUCT(MAX((Log!$D$4:$D$1203=$A9)*(Log!$E$4:$E$1203="A")*(Log!$F$4:$F$1203&lt;&gt;"")*Log!$F$4:$F$1203))))</f>
        <v>135</v>
      </c>
      <c r="J9" s="88" t="n">
        <f aca="false">IF(OR($H9="",$I9=""),"",$H9-$I9)</f>
        <v>-20</v>
      </c>
      <c r="K9" s="94" t="str">
        <f aca="false">IF($G9="","",IF($G9&gt;0.05,"steigend",IF($G9&lt;-0.05,"fallend","stabil")))</f>
        <v>fallend</v>
      </c>
      <c r="L9" s="85" t="n">
        <f aca="false">IF($H9="","",SUMPRODUCT((COUNTIFS(Log!$D$4:$D$1203,$A9,Log!$E$4:$E$1203,"A",Log!$F$4:$F$1203,$H9,Log!$B$4:$B$1203,Einheiten!$A$4:$A$63)&gt;0)*1))</f>
        <v>1</v>
      </c>
      <c r="M9" s="95" t="str">
        <f aca="false">IFERROR(INDEX(Rekorde!$Q$4:$Q$23,MATCH($A9,Rekorde!$A$4:$A$23,0)),"")</f>
        <v>Gewicht +2.5 kg (2.2%), Wdh zurück auf 5</v>
      </c>
      <c r="N9" s="96" t="n">
        <f aca="false">IF(OR($H9="",Übungen!$J9=""),"",CEILING($H9*1.01^12/Übungen!$J9,1)*Übungen!$J9)</f>
        <v>130</v>
      </c>
    </row>
    <row r="10" customFormat="false" ht="25.5" hidden="false" customHeight="true" outlineLevel="0" collapsed="false">
      <c r="A10" s="34" t="str">
        <f aca="false">IF(Übungen!$A10="","",Übungen!$A10)</f>
        <v>Rumänisches Kreuzheben KH</v>
      </c>
      <c r="B10" s="83" t="n">
        <f aca="false">IF($A10="","",IF(SUMPRODUCT(MAX((Log!$D$4:$D$1203=$A10)*(Log!$E$4:$E$1203="A")*Log!$B$4:$B$1203))=0,"",SUMPRODUCT(MIN((Log!$D$4:$D$1203=$A10)*(Log!$E$4:$E$1203="A")*Log!$B$4:$B$1203+((Log!$D$4:$D$1203&lt;&gt;$A10)+(Log!$E$4:$E$1203&lt;&gt;"A")&gt;0)*9999))))</f>
        <v>14</v>
      </c>
      <c r="C10" s="83" t="n">
        <f aca="false">IF($B10="","",SUMIFS(Log!$I$4:$I$1203,Log!$D$4:$D$1203,$A10,Log!$B$4:$B$1203,$B10,Log!$E$4:$E$1203,"A"))</f>
        <v>480</v>
      </c>
      <c r="D10" s="83" t="n">
        <f aca="false">IF($A10="","",IF(SUMPRODUCT(MAX((Log!$D$4:$D$1203=$A10)*(Log!$E$4:$E$1203="A")*Log!$B$4:$B$1203))=0,"",SUMPRODUCT(MAX((Log!$D$4:$D$1203=$A10)*(Log!$E$4:$E$1203="A")*Log!$B$4:$B$1203))))</f>
        <v>14</v>
      </c>
      <c r="E10" s="83" t="n">
        <f aca="false">IF($D10="","",SUMIFS(Log!$I$4:$I$1203,Log!$D$4:$D$1203,$A10,Log!$B$4:$B$1203,$D10,Log!$E$4:$E$1203,"A"))</f>
        <v>480</v>
      </c>
      <c r="F10" s="83" t="n">
        <f aca="false">IF(OR($C10="",$E10=""),"",$E10-$C10)</f>
        <v>0</v>
      </c>
      <c r="G10" s="89" t="n">
        <f aca="false">IF(OR($C10="",$E10="",$C10=0),"",$E10/$C10-1)</f>
        <v>0</v>
      </c>
      <c r="H10" s="86" t="n">
        <f aca="false">IF($D10="","",IF(SUMPRODUCT(MAX((Log!$D$4:$D$1203=$A10)*(Log!$B$4:$B$1203=$D10)*(Log!$E$4:$E$1203="A")*(Log!$F$4:$F$1203&lt;&gt;"")*Log!$F$4:$F$1203))=0,"",SUMPRODUCT(MAX((Log!$D$4:$D$1203=$A10)*(Log!$B$4:$B$1203=$D10)*(Log!$E$4:$E$1203="A")*(Log!$F$4:$F$1203&lt;&gt;"")*Log!$F$4:$F$1203))))</f>
        <v>34</v>
      </c>
      <c r="I10" s="86" t="n">
        <f aca="false">IF($A10="","",IF(SUMPRODUCT(MAX((Log!$D$4:$D$1203=$A10)*(Log!$E$4:$E$1203="A")*(Log!$F$4:$F$1203&lt;&gt;"")*Log!$F$4:$F$1203))=0,"",SUMPRODUCT(MAX((Log!$D$4:$D$1203=$A10)*(Log!$E$4:$E$1203="A")*(Log!$F$4:$F$1203&lt;&gt;"")*Log!$F$4:$F$1203))))</f>
        <v>34</v>
      </c>
      <c r="J10" s="86" t="n">
        <f aca="false">IF(OR($H10="",$I10=""),"",$H10-$I10)</f>
        <v>0</v>
      </c>
      <c r="K10" s="90" t="str">
        <f aca="false">IF($G10="","",IF($G10&gt;0.05,"steigend",IF($G10&lt;-0.05,"fallend","stabil")))</f>
        <v>stabil</v>
      </c>
      <c r="L10" s="83" t="n">
        <f aca="false">IF($H10="","",SUMPRODUCT((COUNTIFS(Log!$D$4:$D$1203,$A10,Log!$E$4:$E$1203,"A",Log!$F$4:$F$1203,$H10,Log!$B$4:$B$1203,Einheiten!$A$4:$A$63)&gt;0)*1))</f>
        <v>1</v>
      </c>
      <c r="M10" s="91" t="str">
        <f aca="false">IFERROR(INDEX(Rekorde!$Q$4:$Q$23,MATCH($A10,Rekorde!$A$4:$A$23,0)),"")</f>
        <v>Wdh +1 auf 6 bei gleichem Gewicht</v>
      </c>
      <c r="N10" s="92" t="n">
        <f aca="false">IF(OR($H10="",Übungen!$J10=""),"",CEILING($H10*1.01^12/Übungen!$J10,1)*Übungen!$J10)</f>
        <v>40</v>
      </c>
    </row>
    <row r="11" customFormat="false" ht="25.5" hidden="false" customHeight="true" outlineLevel="0" collapsed="false">
      <c r="A11" s="40" t="str">
        <f aca="false">IF(Übungen!$A11="","",Übungen!$A11)</f>
        <v>Beinpresse breit</v>
      </c>
      <c r="B11" s="85" t="str">
        <f aca="false">IF($A11="","",IF(SUMPRODUCT(MAX((Log!$D$4:$D$1203=$A11)*(Log!$E$4:$E$1203="A")*Log!$B$4:$B$1203))=0,"",SUMPRODUCT(MIN((Log!$D$4:$D$1203=$A11)*(Log!$E$4:$E$1203="A")*Log!$B$4:$B$1203+((Log!$D$4:$D$1203&lt;&gt;$A11)+(Log!$E$4:$E$1203&lt;&gt;"A")&gt;0)*9999))))</f>
        <v/>
      </c>
      <c r="C11" s="85" t="str">
        <f aca="false">IF($B11="","",SUMIFS(Log!$I$4:$I$1203,Log!$D$4:$D$1203,$A11,Log!$B$4:$B$1203,$B11,Log!$E$4:$E$1203,"A"))</f>
        <v/>
      </c>
      <c r="D11" s="85" t="str">
        <f aca="false">IF($A11="","",IF(SUMPRODUCT(MAX((Log!$D$4:$D$1203=$A11)*(Log!$E$4:$E$1203="A")*Log!$B$4:$B$1203))=0,"",SUMPRODUCT(MAX((Log!$D$4:$D$1203=$A11)*(Log!$E$4:$E$1203="A")*Log!$B$4:$B$1203))))</f>
        <v/>
      </c>
      <c r="E11" s="85" t="str">
        <f aca="false">IF($D11="","",SUMIFS(Log!$I$4:$I$1203,Log!$D$4:$D$1203,$A11,Log!$B$4:$B$1203,$D11,Log!$E$4:$E$1203,"A"))</f>
        <v/>
      </c>
      <c r="F11" s="85" t="str">
        <f aca="false">IF(OR($C11="",$E11=""),"",$E11-$C11)</f>
        <v/>
      </c>
      <c r="G11" s="93" t="str">
        <f aca="false">IF(OR($C11="",$E11="",$C11=0),"",$E11/$C11-1)</f>
        <v/>
      </c>
      <c r="H11" s="88" t="str">
        <f aca="false">IF($D11="","",IF(SUMPRODUCT(MAX((Log!$D$4:$D$1203=$A11)*(Log!$B$4:$B$1203=$D11)*(Log!$E$4:$E$1203="A")*(Log!$F$4:$F$1203&lt;&gt;"")*Log!$F$4:$F$1203))=0,"",SUMPRODUCT(MAX((Log!$D$4:$D$1203=$A11)*(Log!$B$4:$B$1203=$D11)*(Log!$E$4:$E$1203="A")*(Log!$F$4:$F$1203&lt;&gt;"")*Log!$F$4:$F$1203))))</f>
        <v/>
      </c>
      <c r="I11" s="88" t="str">
        <f aca="false">IF($A11="","",IF(SUMPRODUCT(MAX((Log!$D$4:$D$1203=$A11)*(Log!$E$4:$E$1203="A")*(Log!$F$4:$F$1203&lt;&gt;"")*Log!$F$4:$F$1203))=0,"",SUMPRODUCT(MAX((Log!$D$4:$D$1203=$A11)*(Log!$E$4:$E$1203="A")*(Log!$F$4:$F$1203&lt;&gt;"")*Log!$F$4:$F$1203))))</f>
        <v/>
      </c>
      <c r="J11" s="88" t="str">
        <f aca="false">IF(OR($H11="",$I11=""),"",$H11-$I11)</f>
        <v/>
      </c>
      <c r="K11" s="94" t="str">
        <f aca="false">IF($G11="","",IF($G11&gt;0.05,"steigend",IF($G11&lt;-0.05,"fallend","stabil")))</f>
        <v/>
      </c>
      <c r="L11" s="85" t="str">
        <f aca="false">IF($H11="","",SUMPRODUCT((COUNTIFS(Log!$D$4:$D$1203,$A11,Log!$E$4:$E$1203,"A",Log!$F$4:$F$1203,$H11,Log!$B$4:$B$1203,Einheiten!$A$4:$A$63)&gt;0)*1))</f>
        <v/>
      </c>
      <c r="M11" s="95" t="str">
        <f aca="false">IFERROR(INDEX(Rekorde!$Q$4:$Q$23,MATCH($A11,Rekorde!$A$4:$A$23,0)),"")</f>
        <v>Einstieg mit Startgewicht</v>
      </c>
      <c r="N11" s="96" t="str">
        <f aca="false">IF(OR($H11="",Übungen!$J11=""),"",CEILING($H11*1.01^12/Übungen!$J11,1)*Übungen!$J11)</f>
        <v/>
      </c>
    </row>
    <row r="12" customFormat="false" ht="25.5" hidden="false" customHeight="true" outlineLevel="0" collapsed="false">
      <c r="A12" s="34" t="str">
        <f aca="false">IF(Übungen!$A12="","",Übungen!$A12)</f>
        <v>Hip Thrust</v>
      </c>
      <c r="B12" s="83" t="n">
        <f aca="false">IF($A12="","",IF(SUMPRODUCT(MAX((Log!$D$4:$D$1203=$A12)*(Log!$E$4:$E$1203="A")*Log!$B$4:$B$1203))=0,"",SUMPRODUCT(MIN((Log!$D$4:$D$1203=$A12)*(Log!$E$4:$E$1203="A")*Log!$B$4:$B$1203+((Log!$D$4:$D$1203&lt;&gt;$A12)+(Log!$E$4:$E$1203&lt;&gt;"A")&gt;0)*9999))))</f>
        <v>1</v>
      </c>
      <c r="C12" s="83" t="n">
        <f aca="false">IF($B12="","",SUMIFS(Log!$I$4:$I$1203,Log!$D$4:$D$1203,$A12,Log!$B$4:$B$1203,$B12,Log!$E$4:$E$1203,"A"))</f>
        <v>4560</v>
      </c>
      <c r="D12" s="83" t="n">
        <f aca="false">IF($A12="","",IF(SUMPRODUCT(MAX((Log!$D$4:$D$1203=$A12)*(Log!$E$4:$E$1203="A")*Log!$B$4:$B$1203))=0,"",SUMPRODUCT(MAX((Log!$D$4:$D$1203=$A12)*(Log!$E$4:$E$1203="A")*Log!$B$4:$B$1203))))</f>
        <v>14</v>
      </c>
      <c r="E12" s="83" t="n">
        <f aca="false">IF($D12="","",SUMIFS(Log!$I$4:$I$1203,Log!$D$4:$D$1203,$A12,Log!$B$4:$B$1203,$D12,Log!$E$4:$E$1203,"A"))</f>
        <v>4590</v>
      </c>
      <c r="F12" s="83" t="n">
        <f aca="false">IF(OR($C12="",$E12=""),"",$E12-$C12)</f>
        <v>30</v>
      </c>
      <c r="G12" s="89" t="n">
        <f aca="false">IF(OR($C12="",$E12="",$C12=0),"",$E12/$C12-1)</f>
        <v>0.00657894736842102</v>
      </c>
      <c r="H12" s="86" t="n">
        <f aca="false">IF($D12="","",IF(SUMPRODUCT(MAX((Log!$D$4:$D$1203=$A12)*(Log!$B$4:$B$1203=$D12)*(Log!$E$4:$E$1203="A")*(Log!$F$4:$F$1203&lt;&gt;"")*Log!$F$4:$F$1203))=0,"",SUMPRODUCT(MAX((Log!$D$4:$D$1203=$A12)*(Log!$B$4:$B$1203=$D12)*(Log!$E$4:$E$1203="A")*(Log!$F$4:$F$1203&lt;&gt;"")*Log!$F$4:$F$1203))))</f>
        <v>285</v>
      </c>
      <c r="I12" s="86" t="n">
        <f aca="false">IF($A12="","",IF(SUMPRODUCT(MAX((Log!$D$4:$D$1203=$A12)*(Log!$E$4:$E$1203="A")*(Log!$F$4:$F$1203&lt;&gt;"")*Log!$F$4:$F$1203))=0,"",SUMPRODUCT(MAX((Log!$D$4:$D$1203=$A12)*(Log!$E$4:$E$1203="A")*(Log!$F$4:$F$1203&lt;&gt;"")*Log!$F$4:$F$1203))))</f>
        <v>290</v>
      </c>
      <c r="J12" s="86" t="n">
        <f aca="false">IF(OR($H12="",$I12=""),"",$H12-$I12)</f>
        <v>-5</v>
      </c>
      <c r="K12" s="90" t="str">
        <f aca="false">IF($G12="","",IF($G12&gt;0.05,"steigend",IF($G12&lt;-0.05,"fallend","stabil")))</f>
        <v>stabil</v>
      </c>
      <c r="L12" s="83" t="n">
        <f aca="false">IF($H12="","",SUMPRODUCT((COUNTIFS(Log!$D$4:$D$1203,$A12,Log!$E$4:$E$1203,"A",Log!$F$4:$F$1203,$H12,Log!$B$4:$B$1203,Einheiten!$A$4:$A$63)&gt;0)*1))</f>
        <v>1</v>
      </c>
      <c r="M12" s="91" t="str">
        <f aca="false">IFERROR(INDEX(Rekorde!$Q$4:$Q$23,MATCH($A12,Rekorde!$A$4:$A$23,0)),"")</f>
        <v>Wdh +1 auf 6 bei gleichem Gewicht</v>
      </c>
      <c r="N12" s="92" t="n">
        <f aca="false">IF(OR($H12="",Übungen!$J12=""),"",CEILING($H12*1.01^12/Übungen!$J12,1)*Übungen!$J12)</f>
        <v>325</v>
      </c>
    </row>
    <row r="13" customFormat="false" ht="25.5" hidden="false" customHeight="true" outlineLevel="0" collapsed="false">
      <c r="A13" s="40" t="str">
        <f aca="false">IF(Übungen!$A13="","",Übungen!$A13)</f>
        <v>Hip &amp; Glute</v>
      </c>
      <c r="B13" s="85" t="n">
        <f aca="false">IF($A13="","",IF(SUMPRODUCT(MAX((Log!$D$4:$D$1203=$A13)*(Log!$E$4:$E$1203="A")*Log!$B$4:$B$1203))=0,"",SUMPRODUCT(MIN((Log!$D$4:$D$1203=$A13)*(Log!$E$4:$E$1203="A")*Log!$B$4:$B$1203+((Log!$D$4:$D$1203&lt;&gt;$A13)+(Log!$E$4:$E$1203&lt;&gt;"A")&gt;0)*9999))))</f>
        <v>7</v>
      </c>
      <c r="C13" s="85" t="n">
        <f aca="false">IF($B13="","",SUMIFS(Log!$I$4:$I$1203,Log!$D$4:$D$1203,$A13,Log!$B$4:$B$1203,$B13,Log!$E$4:$E$1203,"A"))</f>
        <v>3732</v>
      </c>
      <c r="D13" s="85" t="n">
        <f aca="false">IF($A13="","",IF(SUMPRODUCT(MAX((Log!$D$4:$D$1203=$A13)*(Log!$E$4:$E$1203="A")*Log!$B$4:$B$1203))=0,"",SUMPRODUCT(MAX((Log!$D$4:$D$1203=$A13)*(Log!$E$4:$E$1203="A")*Log!$B$4:$B$1203))))</f>
        <v>14</v>
      </c>
      <c r="E13" s="85" t="n">
        <f aca="false">IF($D13="","",SUMIFS(Log!$I$4:$I$1203,Log!$D$4:$D$1203,$A13,Log!$B$4:$B$1203,$D13,Log!$E$4:$E$1203,"A"))</f>
        <v>2737</v>
      </c>
      <c r="F13" s="85" t="n">
        <f aca="false">IF(OR($C13="",$E13=""),"",$E13-$C13)</f>
        <v>-995</v>
      </c>
      <c r="G13" s="93" t="n">
        <f aca="false">IF(OR($C13="",$E13="",$C13=0),"",$E13/$C13-1)</f>
        <v>-0.266613076098607</v>
      </c>
      <c r="H13" s="88" t="n">
        <f aca="false">IF($D13="","",IF(SUMPRODUCT(MAX((Log!$D$4:$D$1203=$A13)*(Log!$B$4:$B$1203=$D13)*(Log!$E$4:$E$1203="A")*(Log!$F$4:$F$1203&lt;&gt;"")*Log!$F$4:$F$1203))=0,"",SUMPRODUCT(MAX((Log!$D$4:$D$1203=$A13)*(Log!$B$4:$B$1203=$D13)*(Log!$E$4:$E$1203="A")*(Log!$F$4:$F$1203&lt;&gt;"")*Log!$F$4:$F$1203))))</f>
        <v>170</v>
      </c>
      <c r="I13" s="88" t="n">
        <f aca="false">IF($A13="","",IF(SUMPRODUCT(MAX((Log!$D$4:$D$1203=$A13)*(Log!$E$4:$E$1203="A")*(Log!$F$4:$F$1203&lt;&gt;"")*Log!$F$4:$F$1203))=0,"",SUMPRODUCT(MAX((Log!$D$4:$D$1203=$A13)*(Log!$E$4:$E$1203="A")*(Log!$F$4:$F$1203&lt;&gt;"")*Log!$F$4:$F$1203))))</f>
        <v>176</v>
      </c>
      <c r="J13" s="88" t="n">
        <f aca="false">IF(OR($H13="",$I13=""),"",$H13-$I13)</f>
        <v>-6</v>
      </c>
      <c r="K13" s="94" t="str">
        <f aca="false">IF($G13="","",IF($G13&gt;0.05,"steigend",IF($G13&lt;-0.05,"fallend","stabil")))</f>
        <v>fallend</v>
      </c>
      <c r="L13" s="85" t="n">
        <f aca="false">IF($H13="","",SUMPRODUCT((COUNTIFS(Log!$D$4:$D$1203,$A13,Log!$E$4:$E$1203,"A",Log!$F$4:$F$1203,$H13,Log!$B$4:$B$1203,Einheiten!$A$4:$A$63)&gt;0)*1))</f>
        <v>1</v>
      </c>
      <c r="M13" s="95" t="str">
        <f aca="false">IFERROR(INDEX(Rekorde!$Q$4:$Q$23,MATCH($A13,Rekorde!$A$4:$A$23,0)),"")</f>
        <v>Wdh +1 auf 6 bei gleichem Gewicht</v>
      </c>
      <c r="N13" s="96" t="n">
        <f aca="false">IF(OR($H13="",Übungen!$J13=""),"",CEILING($H13*1.01^12/Übungen!$J13,1)*Übungen!$J13)</f>
        <v>195</v>
      </c>
    </row>
    <row r="14" customFormat="false" ht="25.5" hidden="false" customHeight="true" outlineLevel="0" collapsed="false">
      <c r="A14" s="34" t="str">
        <f aca="false">IF(Übungen!$A14="","",Übungen!$A14)</f>
        <v>Beinbeuger</v>
      </c>
      <c r="B14" s="83" t="n">
        <f aca="false">IF($A14="","",IF(SUMPRODUCT(MAX((Log!$D$4:$D$1203=$A14)*(Log!$E$4:$E$1203="A")*Log!$B$4:$B$1203))=0,"",SUMPRODUCT(MIN((Log!$D$4:$D$1203=$A14)*(Log!$E$4:$E$1203="A")*Log!$B$4:$B$1203+((Log!$D$4:$D$1203&lt;&gt;$A14)+(Log!$E$4:$E$1203&lt;&gt;"A")&gt;0)*9999))))</f>
        <v>1</v>
      </c>
      <c r="C14" s="83" t="n">
        <f aca="false">IF($B14="","",SUMIFS(Log!$I$4:$I$1203,Log!$D$4:$D$1203,$A14,Log!$B$4:$B$1203,$B14,Log!$E$4:$E$1203,"A"))</f>
        <v>1130</v>
      </c>
      <c r="D14" s="83" t="n">
        <f aca="false">IF($A14="","",IF(SUMPRODUCT(MAX((Log!$D$4:$D$1203=$A14)*(Log!$E$4:$E$1203="A")*Log!$B$4:$B$1203))=0,"",SUMPRODUCT(MAX((Log!$D$4:$D$1203=$A14)*(Log!$E$4:$E$1203="A")*Log!$B$4:$B$1203))))</f>
        <v>14</v>
      </c>
      <c r="E14" s="83" t="n">
        <f aca="false">IF($D14="","",SUMIFS(Log!$I$4:$I$1203,Log!$D$4:$D$1203,$A14,Log!$B$4:$B$1203,$D14,Log!$E$4:$E$1203,"A"))</f>
        <v>726</v>
      </c>
      <c r="F14" s="83" t="n">
        <f aca="false">IF(OR($C14="",$E14=""),"",$E14-$C14)</f>
        <v>-404</v>
      </c>
      <c r="G14" s="89" t="n">
        <f aca="false">IF(OR($C14="",$E14="",$C14=0),"",$E14/$C14-1)</f>
        <v>-0.357522123893805</v>
      </c>
      <c r="H14" s="86" t="n">
        <f aca="false">IF($D14="","",IF(SUMPRODUCT(MAX((Log!$D$4:$D$1203=$A14)*(Log!$B$4:$B$1203=$D14)*(Log!$E$4:$E$1203="A")*(Log!$F$4:$F$1203&lt;&gt;"")*Log!$F$4:$F$1203))=0,"",SUMPRODUCT(MAX((Log!$D$4:$D$1203=$A14)*(Log!$B$4:$B$1203=$D14)*(Log!$E$4:$E$1203="A")*(Log!$F$4:$F$1203&lt;&gt;"")*Log!$F$4:$F$1203))))</f>
        <v>45</v>
      </c>
      <c r="I14" s="86" t="n">
        <f aca="false">IF($A14="","",IF(SUMPRODUCT(MAX((Log!$D$4:$D$1203=$A14)*(Log!$E$4:$E$1203="A")*(Log!$F$4:$F$1203&lt;&gt;"")*Log!$F$4:$F$1203))=0,"",SUMPRODUCT(MAX((Log!$D$4:$D$1203=$A14)*(Log!$E$4:$E$1203="A")*(Log!$F$4:$F$1203&lt;&gt;"")*Log!$F$4:$F$1203))))</f>
        <v>57.5</v>
      </c>
      <c r="J14" s="86" t="n">
        <f aca="false">IF(OR($H14="",$I14=""),"",$H14-$I14)</f>
        <v>-12.5</v>
      </c>
      <c r="K14" s="90" t="str">
        <f aca="false">IF($G14="","",IF($G14&gt;0.05,"steigend",IF($G14&lt;-0.05,"fallend","stabil")))</f>
        <v>fallend</v>
      </c>
      <c r="L14" s="83" t="n">
        <f aca="false">IF($H14="","",SUMPRODUCT((COUNTIFS(Log!$D$4:$D$1203,$A14,Log!$E$4:$E$1203,"A",Log!$F$4:$F$1203,$H14,Log!$B$4:$B$1203,Einheiten!$A$4:$A$63)&gt;0)*1))</f>
        <v>4</v>
      </c>
      <c r="M14" s="91" t="str">
        <f aca="false">IFERROR(INDEX(Rekorde!$Q$4:$Q$23,MATCH($A14,Rekorde!$A$4:$A$23,0)),"")</f>
        <v>Wdh +1 auf 6 bei gleichem Gewicht</v>
      </c>
      <c r="N14" s="92" t="n">
        <f aca="false">IF(OR($H14="",Übungen!$J14=""),"",CEILING($H14*1.01^12/Übungen!$J14,1)*Übungen!$J14)</f>
        <v>52.5</v>
      </c>
    </row>
    <row r="15" customFormat="false" ht="25.5" hidden="false" customHeight="true" outlineLevel="0" collapsed="false">
      <c r="A15" s="40" t="str">
        <f aca="false">IF(Übungen!$A15="","",Übungen!$A15)</f>
        <v>Seitliche Kickbacks</v>
      </c>
      <c r="B15" s="85" t="n">
        <f aca="false">IF($A15="","",IF(SUMPRODUCT(MAX((Log!$D$4:$D$1203=$A15)*(Log!$E$4:$E$1203="A")*Log!$B$4:$B$1203))=0,"",SUMPRODUCT(MIN((Log!$D$4:$D$1203=$A15)*(Log!$E$4:$E$1203="A")*Log!$B$4:$B$1203+((Log!$D$4:$D$1203&lt;&gt;$A15)+(Log!$E$4:$E$1203&lt;&gt;"A")&gt;0)*9999))))</f>
        <v>1</v>
      </c>
      <c r="C15" s="85" t="n">
        <f aca="false">IF($B15="","",SUMIFS(Log!$I$4:$I$1203,Log!$D$4:$D$1203,$A15,Log!$B$4:$B$1203,$B15,Log!$E$4:$E$1203,"A"))</f>
        <v>1078</v>
      </c>
      <c r="D15" s="85" t="n">
        <f aca="false">IF($A15="","",IF(SUMPRODUCT(MAX((Log!$D$4:$D$1203=$A15)*(Log!$E$4:$E$1203="A")*Log!$B$4:$B$1203))=0,"",SUMPRODUCT(MAX((Log!$D$4:$D$1203=$A15)*(Log!$E$4:$E$1203="A")*Log!$B$4:$B$1203))))</f>
        <v>5</v>
      </c>
      <c r="E15" s="85" t="n">
        <f aca="false">IF($D15="","",SUMIFS(Log!$I$4:$I$1203,Log!$D$4:$D$1203,$A15,Log!$B$4:$B$1203,$D15,Log!$E$4:$E$1203,"A"))</f>
        <v>720</v>
      </c>
      <c r="F15" s="85" t="n">
        <f aca="false">IF(OR($C15="",$E15=""),"",$E15-$C15)</f>
        <v>-358</v>
      </c>
      <c r="G15" s="93" t="n">
        <f aca="false">IF(OR($C15="",$E15="",$C15=0),"",$E15/$C15-1)</f>
        <v>-0.332096474953618</v>
      </c>
      <c r="H15" s="88" t="n">
        <f aca="false">IF($D15="","",IF(SUMPRODUCT(MAX((Log!$D$4:$D$1203=$A15)*(Log!$B$4:$B$1203=$D15)*(Log!$E$4:$E$1203="A")*(Log!$F$4:$F$1203&lt;&gt;"")*Log!$F$4:$F$1203))=0,"",SUMPRODUCT(MAX((Log!$D$4:$D$1203=$A15)*(Log!$B$4:$B$1203=$D15)*(Log!$E$4:$E$1203="A")*(Log!$F$4:$F$1203&lt;&gt;"")*Log!$F$4:$F$1203))))</f>
        <v>36</v>
      </c>
      <c r="I15" s="88" t="n">
        <f aca="false">IF($A15="","",IF(SUMPRODUCT(MAX((Log!$D$4:$D$1203=$A15)*(Log!$E$4:$E$1203="A")*(Log!$F$4:$F$1203&lt;&gt;"")*Log!$F$4:$F$1203))=0,"",SUMPRODUCT(MAX((Log!$D$4:$D$1203=$A15)*(Log!$E$4:$E$1203="A")*(Log!$F$4:$F$1203&lt;&gt;"")*Log!$F$4:$F$1203))))</f>
        <v>49</v>
      </c>
      <c r="J15" s="88" t="n">
        <f aca="false">IF(OR($H15="",$I15=""),"",$H15-$I15)</f>
        <v>-13</v>
      </c>
      <c r="K15" s="94" t="str">
        <f aca="false">IF($G15="","",IF($G15&gt;0.05,"steigend",IF($G15&lt;-0.05,"fallend","stabil")))</f>
        <v>fallend</v>
      </c>
      <c r="L15" s="85" t="n">
        <f aca="false">IF($H15="","",SUMPRODUCT((COUNTIFS(Log!$D$4:$D$1203,$A15,Log!$E$4:$E$1203,"A",Log!$F$4:$F$1203,$H15,Log!$B$4:$B$1203,Einheiten!$A$4:$A$63)&gt;0)*1))</f>
        <v>1</v>
      </c>
      <c r="M15" s="95" t="str">
        <f aca="false">IFERROR(INDEX(Rekorde!$Q$4:$Q$23,MATCH($A15,Rekorde!$A$4:$A$23,0)),"")</f>
        <v>RM-Korrektur nach 10 Wdh: +4 kg (11.1%), Wdh zurück auf 5</v>
      </c>
      <c r="N15" s="96" t="n">
        <f aca="false">IF(OR($H15="",Übungen!$J15=""),"",CEILING($H15*1.01^12/Übungen!$J15,1)*Übungen!$J15)</f>
        <v>42</v>
      </c>
    </row>
    <row r="16" customFormat="false" ht="25.5" hidden="false" customHeight="true" outlineLevel="0" collapsed="false">
      <c r="A16" s="34" t="str">
        <f aca="false">IF(Übungen!$A16="","",Übungen!$A16)</f>
        <v>Waden</v>
      </c>
      <c r="B16" s="83" t="n">
        <f aca="false">IF($A16="","",IF(SUMPRODUCT(MAX((Log!$D$4:$D$1203=$A16)*(Log!$E$4:$E$1203="A")*Log!$B$4:$B$1203))=0,"",SUMPRODUCT(MIN((Log!$D$4:$D$1203=$A16)*(Log!$E$4:$E$1203="A")*Log!$B$4:$B$1203+((Log!$D$4:$D$1203&lt;&gt;$A16)+(Log!$E$4:$E$1203&lt;&gt;"A")&gt;0)*9999))))</f>
        <v>1</v>
      </c>
      <c r="C16" s="83" t="n">
        <f aca="false">IF($B16="","",SUMIFS(Log!$I$4:$I$1203,Log!$D$4:$D$1203,$A16,Log!$B$4:$B$1203,$B16,Log!$E$4:$E$1203,"A"))</f>
        <v>3465</v>
      </c>
      <c r="D16" s="83" t="n">
        <f aca="false">IF($A16="","",IF(SUMPRODUCT(MAX((Log!$D$4:$D$1203=$A16)*(Log!$E$4:$E$1203="A")*Log!$B$4:$B$1203))=0,"",SUMPRODUCT(MAX((Log!$D$4:$D$1203=$A16)*(Log!$E$4:$E$1203="A")*Log!$B$4:$B$1203))))</f>
        <v>14</v>
      </c>
      <c r="E16" s="83" t="n">
        <f aca="false">IF($D16="","",SUMIFS(Log!$I$4:$I$1203,Log!$D$4:$D$1203,$A16,Log!$B$4:$B$1203,$D16,Log!$E$4:$E$1203,"A"))</f>
        <v>3059</v>
      </c>
      <c r="F16" s="83" t="n">
        <f aca="false">IF(OR($C16="",$E16=""),"",$E16-$C16)</f>
        <v>-406</v>
      </c>
      <c r="G16" s="89" t="n">
        <f aca="false">IF(OR($C16="",$E16="",$C16=0),"",$E16/$C16-1)</f>
        <v>-0.117171717171717</v>
      </c>
      <c r="H16" s="86" t="n">
        <f aca="false">IF($D16="","",IF(SUMPRODUCT(MAX((Log!$D$4:$D$1203=$A16)*(Log!$B$4:$B$1203=$D16)*(Log!$E$4:$E$1203="A")*(Log!$F$4:$F$1203&lt;&gt;"")*Log!$F$4:$F$1203))=0,"",SUMPRODUCT(MAX((Log!$D$4:$D$1203=$A16)*(Log!$B$4:$B$1203=$D16)*(Log!$E$4:$E$1203="A")*(Log!$F$4:$F$1203&lt;&gt;"")*Log!$F$4:$F$1203))))</f>
        <v>190</v>
      </c>
      <c r="I16" s="86" t="n">
        <f aca="false">IF($A16="","",IF(SUMPRODUCT(MAX((Log!$D$4:$D$1203=$A16)*(Log!$E$4:$E$1203="A")*(Log!$F$4:$F$1203&lt;&gt;"")*Log!$F$4:$F$1203))=0,"",SUMPRODUCT(MAX((Log!$D$4:$D$1203=$A16)*(Log!$E$4:$E$1203="A")*(Log!$F$4:$F$1203&lt;&gt;"")*Log!$F$4:$F$1203))))</f>
        <v>190</v>
      </c>
      <c r="J16" s="86" t="n">
        <f aca="false">IF(OR($H16="",$I16=""),"",$H16-$I16)</f>
        <v>0</v>
      </c>
      <c r="K16" s="90" t="str">
        <f aca="false">IF($G16="","",IF($G16&gt;0.05,"steigend",IF($G16&lt;-0.05,"fallend","stabil")))</f>
        <v>fallend</v>
      </c>
      <c r="L16" s="83" t="n">
        <f aca="false">IF($H16="","",SUMPRODUCT((COUNTIFS(Log!$D$4:$D$1203,$A16,Log!$E$4:$E$1203,"A",Log!$F$4:$F$1203,$H16,Log!$B$4:$B$1203,Einheiten!$A$4:$A$63)&gt;0)*1))</f>
        <v>1</v>
      </c>
      <c r="M16" s="91" t="str">
        <f aca="false">IFERROR(INDEX(Rekorde!$Q$4:$Q$23,MATCH($A16,Rekorde!$A$4:$A$23,0)),"")</f>
        <v>Wdh +1 auf 6 bei gleichem Gewicht</v>
      </c>
      <c r="N16" s="92" t="n">
        <f aca="false">IF(OR($H16="",Übungen!$J16=""),"",CEILING($H16*1.01^12/Übungen!$J16,1)*Übungen!$J16)</f>
        <v>215</v>
      </c>
    </row>
    <row r="17" customFormat="false" ht="25.5" hidden="false" customHeight="true" outlineLevel="0" collapsed="false">
      <c r="A17" s="40" t="str">
        <f aca="false">IF(Übungen!$A17="","",Übungen!$A17)</f>
        <v>Squat Maschine Bülach</v>
      </c>
      <c r="B17" s="85" t="n">
        <f aca="false">IF($A17="","",IF(SUMPRODUCT(MAX((Log!$D$4:$D$1203=$A17)*(Log!$E$4:$E$1203="A")*Log!$B$4:$B$1203))=0,"",SUMPRODUCT(MIN((Log!$D$4:$D$1203=$A17)*(Log!$E$4:$E$1203="A")*Log!$B$4:$B$1203+((Log!$D$4:$D$1203&lt;&gt;$A17)+(Log!$E$4:$E$1203&lt;&gt;"A")&gt;0)*9999))))</f>
        <v>15</v>
      </c>
      <c r="C17" s="85" t="n">
        <f aca="false">IF($B17="","",SUMIFS(Log!$I$4:$I$1203,Log!$D$4:$D$1203,$A17,Log!$B$4:$B$1203,$B17,Log!$E$4:$E$1203,"A"))</f>
        <v>2200</v>
      </c>
      <c r="D17" s="85" t="n">
        <f aca="false">IF($A17="","",IF(SUMPRODUCT(MAX((Log!$D$4:$D$1203=$A17)*(Log!$E$4:$E$1203="A")*Log!$B$4:$B$1203))=0,"",SUMPRODUCT(MAX((Log!$D$4:$D$1203=$A17)*(Log!$E$4:$E$1203="A")*Log!$B$4:$B$1203))))</f>
        <v>15</v>
      </c>
      <c r="E17" s="85" t="n">
        <f aca="false">IF($D17="","",SUMIFS(Log!$I$4:$I$1203,Log!$D$4:$D$1203,$A17,Log!$B$4:$B$1203,$D17,Log!$E$4:$E$1203,"A"))</f>
        <v>2200</v>
      </c>
      <c r="F17" s="85" t="n">
        <f aca="false">IF(OR($C17="",$E17=""),"",$E17-$C17)</f>
        <v>0</v>
      </c>
      <c r="G17" s="93" t="n">
        <f aca="false">IF(OR($C17="",$E17="",$C17=0),"",$E17/$C17-1)</f>
        <v>0</v>
      </c>
      <c r="H17" s="88" t="n">
        <f aca="false">IF($D17="","",IF(SUMPRODUCT(MAX((Log!$D$4:$D$1203=$A17)*(Log!$B$4:$B$1203=$D17)*(Log!$E$4:$E$1203="A")*(Log!$F$4:$F$1203&lt;&gt;"")*Log!$F$4:$F$1203))=0,"",SUMPRODUCT(MAX((Log!$D$4:$D$1203=$A17)*(Log!$B$4:$B$1203=$D17)*(Log!$E$4:$E$1203="A")*(Log!$F$4:$F$1203&lt;&gt;"")*Log!$F$4:$F$1203))))</f>
        <v>120</v>
      </c>
      <c r="I17" s="88" t="n">
        <f aca="false">IF($A17="","",IF(SUMPRODUCT(MAX((Log!$D$4:$D$1203=$A17)*(Log!$E$4:$E$1203="A")*(Log!$F$4:$F$1203&lt;&gt;"")*Log!$F$4:$F$1203))=0,"",SUMPRODUCT(MAX((Log!$D$4:$D$1203=$A17)*(Log!$E$4:$E$1203="A")*(Log!$F$4:$F$1203&lt;&gt;"")*Log!$F$4:$F$1203))))</f>
        <v>120</v>
      </c>
      <c r="J17" s="88" t="n">
        <f aca="false">IF(OR($H17="",$I17=""),"",$H17-$I17)</f>
        <v>0</v>
      </c>
      <c r="K17" s="94" t="str">
        <f aca="false">IF($G17="","",IF($G17&gt;0.05,"steigend",IF($G17&lt;-0.05,"fallend","stabil")))</f>
        <v>stabil</v>
      </c>
      <c r="L17" s="85" t="n">
        <f aca="false">IF($H17="","",SUMPRODUCT((COUNTIFS(Log!$D$4:$D$1203,$A17,Log!$E$4:$E$1203,"A",Log!$F$4:$F$1203,$H17,Log!$B$4:$B$1203,Einheiten!$A$4:$A$63)&gt;0)*1))</f>
        <v>1</v>
      </c>
      <c r="M17" s="95" t="str">
        <f aca="false">IFERROR(INDEX(Rekorde!$Q$4:$Q$23,MATCH($A17,Rekorde!$A$4:$A$23,0)),"")</f>
        <v>RM-Korrektur nach 9 Wdh: +10 kg (8.3%), Wdh zurück auf 5</v>
      </c>
      <c r="N17" s="96" t="n">
        <f aca="false">IF(OR($H17="",Übungen!$J17=""),"",CEILING($H17*1.01^12/Übungen!$J17,1)*Übungen!$J17)</f>
        <v>140</v>
      </c>
    </row>
    <row r="18" customFormat="false" ht="25.5" hidden="false" customHeight="true" outlineLevel="0" collapsed="false">
      <c r="A18" s="34" t="str">
        <f aca="false">IF(Übungen!$A18="","",Übungen!$A18)</f>
        <v>Hip Thrust Bülach</v>
      </c>
      <c r="B18" s="83" t="n">
        <f aca="false">IF($A18="","",IF(SUMPRODUCT(MAX((Log!$D$4:$D$1203=$A18)*(Log!$E$4:$E$1203="A")*Log!$B$4:$B$1203))=0,"",SUMPRODUCT(MIN((Log!$D$4:$D$1203=$A18)*(Log!$E$4:$E$1203="A")*Log!$B$4:$B$1203+((Log!$D$4:$D$1203&lt;&gt;$A18)+(Log!$E$4:$E$1203&lt;&gt;"A")&gt;0)*9999))))</f>
        <v>15</v>
      </c>
      <c r="C18" s="83" t="n">
        <f aca="false">IF($B18="","",SUMIFS(Log!$I$4:$I$1203,Log!$D$4:$D$1203,$A18,Log!$B$4:$B$1203,$B18,Log!$E$4:$E$1203,"A"))</f>
        <v>6000</v>
      </c>
      <c r="D18" s="83" t="n">
        <f aca="false">IF($A18="","",IF(SUMPRODUCT(MAX((Log!$D$4:$D$1203=$A18)*(Log!$E$4:$E$1203="A")*Log!$B$4:$B$1203))=0,"",SUMPRODUCT(MAX((Log!$D$4:$D$1203=$A18)*(Log!$E$4:$E$1203="A")*Log!$B$4:$B$1203))))</f>
        <v>15</v>
      </c>
      <c r="E18" s="83" t="n">
        <f aca="false">IF($D18="","",SUMIFS(Log!$I$4:$I$1203,Log!$D$4:$D$1203,$A18,Log!$B$4:$B$1203,$D18,Log!$E$4:$E$1203,"A"))</f>
        <v>6000</v>
      </c>
      <c r="F18" s="83" t="n">
        <f aca="false">IF(OR($C18="",$E18=""),"",$E18-$C18)</f>
        <v>0</v>
      </c>
      <c r="G18" s="89" t="n">
        <f aca="false">IF(OR($C18="",$E18="",$C18=0),"",$E18/$C18-1)</f>
        <v>0</v>
      </c>
      <c r="H18" s="86" t="n">
        <f aca="false">IF($D18="","",IF(SUMPRODUCT(MAX((Log!$D$4:$D$1203=$A18)*(Log!$B$4:$B$1203=$D18)*(Log!$E$4:$E$1203="A")*(Log!$F$4:$F$1203&lt;&gt;"")*Log!$F$4:$F$1203))=0,"",SUMPRODUCT(MAX((Log!$D$4:$D$1203=$A18)*(Log!$B$4:$B$1203=$D18)*(Log!$E$4:$E$1203="A")*(Log!$F$4:$F$1203&lt;&gt;"")*Log!$F$4:$F$1203))))</f>
        <v>200</v>
      </c>
      <c r="I18" s="86" t="n">
        <f aca="false">IF($A18="","",IF(SUMPRODUCT(MAX((Log!$D$4:$D$1203=$A18)*(Log!$E$4:$E$1203="A")*(Log!$F$4:$F$1203&lt;&gt;"")*Log!$F$4:$F$1203))=0,"",SUMPRODUCT(MAX((Log!$D$4:$D$1203=$A18)*(Log!$E$4:$E$1203="A")*(Log!$F$4:$F$1203&lt;&gt;"")*Log!$F$4:$F$1203))))</f>
        <v>200</v>
      </c>
      <c r="J18" s="86" t="n">
        <f aca="false">IF(OR($H18="",$I18=""),"",$H18-$I18)</f>
        <v>0</v>
      </c>
      <c r="K18" s="90" t="str">
        <f aca="false">IF($G18="","",IF($G18&gt;0.05,"steigend",IF($G18&lt;-0.05,"fallend","stabil")))</f>
        <v>stabil</v>
      </c>
      <c r="L18" s="83" t="n">
        <f aca="false">IF($H18="","",SUMPRODUCT((COUNTIFS(Log!$D$4:$D$1203,$A18,Log!$E$4:$E$1203,"A",Log!$F$4:$F$1203,$H18,Log!$B$4:$B$1203,Einheiten!$A$4:$A$63)&gt;0)*1))</f>
        <v>1</v>
      </c>
      <c r="M18" s="91" t="str">
        <f aca="false">IFERROR(INDEX(Rekorde!$Q$4:$Q$23,MATCH($A18,Rekorde!$A$4:$A$23,0)),"")</f>
        <v>RM-Korrektur nach 10 Wdh: +20 kg (10.0%), Wdh zurück auf 5</v>
      </c>
      <c r="N18" s="92" t="n">
        <f aca="false">IF(OR($H18="",Übungen!$J18=""),"",CEILING($H18*1.01^12/Übungen!$J18,1)*Übungen!$J18)</f>
        <v>230</v>
      </c>
    </row>
    <row r="19" customFormat="false" ht="25.5" hidden="false" customHeight="true" outlineLevel="0" collapsed="false">
      <c r="A19" s="40" t="str">
        <f aca="false">IF(Übungen!$A19="","",Übungen!$A19)</f>
        <v>Beinbeuger Bülach</v>
      </c>
      <c r="B19" s="85" t="n">
        <f aca="false">IF($A19="","",IF(SUMPRODUCT(MAX((Log!$D$4:$D$1203=$A19)*(Log!$E$4:$E$1203="A")*Log!$B$4:$B$1203))=0,"",SUMPRODUCT(MIN((Log!$D$4:$D$1203=$A19)*(Log!$E$4:$E$1203="A")*Log!$B$4:$B$1203+((Log!$D$4:$D$1203&lt;&gt;$A19)+(Log!$E$4:$E$1203&lt;&gt;"A")&gt;0)*9999))))</f>
        <v>15</v>
      </c>
      <c r="C19" s="85" t="n">
        <f aca="false">IF($B19="","",SUMIFS(Log!$I$4:$I$1203,Log!$D$4:$D$1203,$A19,Log!$B$4:$B$1203,$B19,Log!$E$4:$E$1203,"A"))</f>
        <v>854</v>
      </c>
      <c r="D19" s="85" t="n">
        <f aca="false">IF($A19="","",IF(SUMPRODUCT(MAX((Log!$D$4:$D$1203=$A19)*(Log!$E$4:$E$1203="A")*Log!$B$4:$B$1203))=0,"",SUMPRODUCT(MAX((Log!$D$4:$D$1203=$A19)*(Log!$E$4:$E$1203="A")*Log!$B$4:$B$1203))))</f>
        <v>15</v>
      </c>
      <c r="E19" s="85" t="n">
        <f aca="false">IF($D19="","",SUMIFS(Log!$I$4:$I$1203,Log!$D$4:$D$1203,$A19,Log!$B$4:$B$1203,$D19,Log!$E$4:$E$1203,"A"))</f>
        <v>854</v>
      </c>
      <c r="F19" s="85" t="n">
        <f aca="false">IF(OR($C19="",$E19=""),"",$E19-$C19)</f>
        <v>0</v>
      </c>
      <c r="G19" s="93" t="n">
        <f aca="false">IF(OR($C19="",$E19="",$C19=0),"",$E19/$C19-1)</f>
        <v>0</v>
      </c>
      <c r="H19" s="88" t="n">
        <f aca="false">IF($D19="","",IF(SUMPRODUCT(MAX((Log!$D$4:$D$1203=$A19)*(Log!$B$4:$B$1203=$D19)*(Log!$E$4:$E$1203="A")*(Log!$F$4:$F$1203&lt;&gt;"")*Log!$F$4:$F$1203))=0,"",SUMPRODUCT(MAX((Log!$D$4:$D$1203=$A19)*(Log!$B$4:$B$1203=$D19)*(Log!$E$4:$E$1203="A")*(Log!$F$4:$F$1203&lt;&gt;"")*Log!$F$4:$F$1203))))</f>
        <v>59</v>
      </c>
      <c r="I19" s="88" t="n">
        <f aca="false">IF($A19="","",IF(SUMPRODUCT(MAX((Log!$D$4:$D$1203=$A19)*(Log!$E$4:$E$1203="A")*(Log!$F$4:$F$1203&lt;&gt;"")*Log!$F$4:$F$1203))=0,"",SUMPRODUCT(MAX((Log!$D$4:$D$1203=$A19)*(Log!$E$4:$E$1203="A")*(Log!$F$4:$F$1203&lt;&gt;"")*Log!$F$4:$F$1203))))</f>
        <v>59</v>
      </c>
      <c r="J19" s="88" t="n">
        <f aca="false">IF(OR($H19="",$I19=""),"",$H19-$I19)</f>
        <v>0</v>
      </c>
      <c r="K19" s="94" t="str">
        <f aca="false">IF($G19="","",IF($G19&gt;0.05,"steigend",IF($G19&lt;-0.05,"fallend","stabil")))</f>
        <v>stabil</v>
      </c>
      <c r="L19" s="85" t="n">
        <f aca="false">IF($H19="","",SUMPRODUCT((COUNTIFS(Log!$D$4:$D$1203,$A19,Log!$E$4:$E$1203,"A",Log!$F$4:$F$1203,$H19,Log!$B$4:$B$1203,Einheiten!$A$4:$A$63)&gt;0)*1))</f>
        <v>1</v>
      </c>
      <c r="M19" s="95" t="str">
        <f aca="false">IFERROR(INDEX(Rekorde!$Q$4:$Q$23,MATCH($A19,Rekorde!$A$4:$A$23,0)),"")</f>
        <v>Gewicht +4 kg (6.8%), Wdh zurück auf 5</v>
      </c>
      <c r="N19" s="96" t="n">
        <f aca="false">IF(OR($H19="",Übungen!$J19=""),"",CEILING($H19*1.01^12/Übungen!$J19,1)*Übungen!$J19)</f>
        <v>67.5</v>
      </c>
    </row>
    <row r="20" customFormat="false" ht="25.5" hidden="false" customHeight="true" outlineLevel="0" collapsed="false">
      <c r="A20" s="34" t="str">
        <f aca="false">IF(Übungen!$A20="","",Übungen!$A20)</f>
        <v>Lunges</v>
      </c>
      <c r="B20" s="83" t="n">
        <f aca="false">IF($A20="","",IF(SUMPRODUCT(MAX((Log!$D$4:$D$1203=$A20)*(Log!$E$4:$E$1203="A")*Log!$B$4:$B$1203))=0,"",SUMPRODUCT(MIN((Log!$D$4:$D$1203=$A20)*(Log!$E$4:$E$1203="A")*Log!$B$4:$B$1203+((Log!$D$4:$D$1203&lt;&gt;$A20)+(Log!$E$4:$E$1203&lt;&gt;"A")&gt;0)*9999))))</f>
        <v>1</v>
      </c>
      <c r="C20" s="83" t="n">
        <f aca="false">IF($B20="","",SUMIFS(Log!$I$4:$I$1203,Log!$D$4:$D$1203,$A20,Log!$B$4:$B$1203,$B20,Log!$E$4:$E$1203,"A"))</f>
        <v>0</v>
      </c>
      <c r="D20" s="83" t="n">
        <f aca="false">IF($A20="","",IF(SUMPRODUCT(MAX((Log!$D$4:$D$1203=$A20)*(Log!$E$4:$E$1203="A")*Log!$B$4:$B$1203))=0,"",SUMPRODUCT(MAX((Log!$D$4:$D$1203=$A20)*(Log!$E$4:$E$1203="A")*Log!$B$4:$B$1203))))</f>
        <v>3</v>
      </c>
      <c r="E20" s="83" t="n">
        <f aca="false">IF($D20="","",SUMIFS(Log!$I$4:$I$1203,Log!$D$4:$D$1203,$A20,Log!$B$4:$B$1203,$D20,Log!$E$4:$E$1203,"A"))</f>
        <v>0</v>
      </c>
      <c r="F20" s="83" t="n">
        <f aca="false">IF(OR($C20="",$E20=""),"",$E20-$C20)</f>
        <v>0</v>
      </c>
      <c r="G20" s="89" t="str">
        <f aca="false">IF(OR($C20="",$E20="",$C20=0),"",$E20/$C20-1)</f>
        <v/>
      </c>
      <c r="H20" s="86" t="n">
        <f aca="false">IF($D20="","",IF(SUMPRODUCT(MAX((Log!$D$4:$D$1203=$A20)*(Log!$B$4:$B$1203=$D20)*(Log!$E$4:$E$1203="A")*(Log!$F$4:$F$1203&lt;&gt;"")*Log!$F$4:$F$1203))=0,"",SUMPRODUCT(MAX((Log!$D$4:$D$1203=$A20)*(Log!$B$4:$B$1203=$D20)*(Log!$E$4:$E$1203="A")*(Log!$F$4:$F$1203&lt;&gt;"")*Log!$F$4:$F$1203))))</f>
        <v>18</v>
      </c>
      <c r="I20" s="86" t="n">
        <f aca="false">IF($A20="","",IF(SUMPRODUCT(MAX((Log!$D$4:$D$1203=$A20)*(Log!$E$4:$E$1203="A")*(Log!$F$4:$F$1203&lt;&gt;"")*Log!$F$4:$F$1203))=0,"",SUMPRODUCT(MAX((Log!$D$4:$D$1203=$A20)*(Log!$E$4:$E$1203="A")*(Log!$F$4:$F$1203&lt;&gt;"")*Log!$F$4:$F$1203))))</f>
        <v>18</v>
      </c>
      <c r="J20" s="86" t="n">
        <f aca="false">IF(OR($H20="",$I20=""),"",$H20-$I20)</f>
        <v>0</v>
      </c>
      <c r="K20" s="90" t="str">
        <f aca="false">IF($G20="","",IF($G20&gt;0.05,"steigend",IF($G20&lt;-0.05,"fallend","stabil")))</f>
        <v/>
      </c>
      <c r="L20" s="83" t="n">
        <f aca="false">IF($H20="","",SUMPRODUCT((COUNTIFS(Log!$D$4:$D$1203,$A20,Log!$E$4:$E$1203,"A",Log!$F$4:$F$1203,$H20,Log!$B$4:$B$1203,Einheiten!$A$4:$A$63)&gt;0)*1))</f>
        <v>1</v>
      </c>
      <c r="M20" s="91" t="str">
        <f aca="false">IFERROR(INDEX(Rekorde!$Q$4:$Q$23,MATCH($A20,Rekorde!$A$4:$A$23,0)),"")</f>
        <v>Gewicht halten, erst 5 Wdh sauber schaffen</v>
      </c>
      <c r="N20" s="92" t="str">
        <f aca="false">IF(OR($H20="",Übungen!$J20=""),"",CEILING($H20*1.01^12/Übungen!$J20,1)*Übungen!$J20)</f>
        <v/>
      </c>
    </row>
    <row r="21" customFormat="false" ht="25.5" hidden="false" customHeight="true" outlineLevel="0" collapsed="false">
      <c r="A21" s="40" t="str">
        <f aca="false">IF(Übungen!$A21="","",Übungen!$A21)</f>
        <v>Kickback</v>
      </c>
      <c r="B21" s="85" t="n">
        <f aca="false">IF($A21="","",IF(SUMPRODUCT(MAX((Log!$D$4:$D$1203=$A21)*(Log!$E$4:$E$1203="A")*Log!$B$4:$B$1203))=0,"",SUMPRODUCT(MIN((Log!$D$4:$D$1203=$A21)*(Log!$E$4:$E$1203="A")*Log!$B$4:$B$1203+((Log!$D$4:$D$1203&lt;&gt;$A21)+(Log!$E$4:$E$1203&lt;&gt;"A")&gt;0)*9999))))</f>
        <v>1</v>
      </c>
      <c r="C21" s="85" t="n">
        <f aca="false">IF($B21="","",SUMIFS(Log!$I$4:$I$1203,Log!$D$4:$D$1203,$A21,Log!$B$4:$B$1203,$B21,Log!$E$4:$E$1203,"A"))</f>
        <v>1974</v>
      </c>
      <c r="D21" s="85" t="n">
        <f aca="false">IF($A21="","",IF(SUMPRODUCT(MAX((Log!$D$4:$D$1203=$A21)*(Log!$E$4:$E$1203="A")*Log!$B$4:$B$1203))=0,"",SUMPRODUCT(MAX((Log!$D$4:$D$1203=$A21)*(Log!$E$4:$E$1203="A")*Log!$B$4:$B$1203))))</f>
        <v>4</v>
      </c>
      <c r="E21" s="85" t="n">
        <f aca="false">IF($D21="","",SUMIFS(Log!$I$4:$I$1203,Log!$D$4:$D$1203,$A21,Log!$B$4:$B$1203,$D21,Log!$E$4:$E$1203,"A"))</f>
        <v>1785</v>
      </c>
      <c r="F21" s="85" t="n">
        <f aca="false">IF(OR($C21="",$E21=""),"",$E21-$C21)</f>
        <v>-189</v>
      </c>
      <c r="G21" s="93" t="n">
        <f aca="false">IF(OR($C21="",$E21="",$C21=0),"",$E21/$C21-1)</f>
        <v>-0.0957446808510638</v>
      </c>
      <c r="H21" s="88" t="n">
        <f aca="false">IF($D21="","",IF(SUMPRODUCT(MAX((Log!$D$4:$D$1203=$A21)*(Log!$B$4:$B$1203=$D21)*(Log!$E$4:$E$1203="A")*(Log!$F$4:$F$1203&lt;&gt;"")*Log!$F$4:$F$1203))=0,"",SUMPRODUCT(MAX((Log!$D$4:$D$1203=$A21)*(Log!$B$4:$B$1203=$D21)*(Log!$E$4:$E$1203="A")*(Log!$F$4:$F$1203&lt;&gt;"")*Log!$F$4:$F$1203))))</f>
        <v>63</v>
      </c>
      <c r="I21" s="88" t="n">
        <f aca="false">IF($A21="","",IF(SUMPRODUCT(MAX((Log!$D$4:$D$1203=$A21)*(Log!$E$4:$E$1203="A")*(Log!$F$4:$F$1203&lt;&gt;"")*Log!$F$4:$F$1203))=0,"",SUMPRODUCT(MAX((Log!$D$4:$D$1203=$A21)*(Log!$E$4:$E$1203="A")*(Log!$F$4:$F$1203&lt;&gt;"")*Log!$F$4:$F$1203))))</f>
        <v>84</v>
      </c>
      <c r="J21" s="88" t="n">
        <f aca="false">IF(OR($H21="",$I21=""),"",$H21-$I21)</f>
        <v>-21</v>
      </c>
      <c r="K21" s="94" t="str">
        <f aca="false">IF($G21="","",IF($G21&gt;0.05,"steigend",IF($G21&lt;-0.05,"fallend","stabil")))</f>
        <v>fallend</v>
      </c>
      <c r="L21" s="85" t="n">
        <f aca="false">IF($H21="","",SUMPRODUCT((COUNTIFS(Log!$D$4:$D$1203,$A21,Log!$E$4:$E$1203,"A",Log!$F$4:$F$1203,$H21,Log!$B$4:$B$1203,Einheiten!$A$4:$A$63)&gt;0)*1))</f>
        <v>1</v>
      </c>
      <c r="M21" s="95" t="str">
        <f aca="false">IFERROR(INDEX(Rekorde!$Q$4:$Q$23,MATCH($A21,Rekorde!$A$4:$A$23,0)),"")</f>
        <v>RM-Korrektur nach 15 Wdh: +16 kg (25.4%), Wdh zurück auf 5</v>
      </c>
      <c r="N21" s="96" t="str">
        <f aca="false">IF(OR($H21="",Übungen!$J21=""),"",CEILING($H21*1.01^12/Übungen!$J21,1)*Übungen!$J21)</f>
        <v/>
      </c>
    </row>
    <row r="22" customFormat="false" ht="25.5" hidden="false" customHeight="true" outlineLevel="0" collapsed="false">
      <c r="A22" s="34" t="str">
        <f aca="false">IF(Übungen!$A22="","",Übungen!$A22)</f>
        <v/>
      </c>
      <c r="B22" s="83" t="str">
        <f aca="false">IF($A22="","",IF(SUMPRODUCT(MAX((Log!$D$4:$D$1203=$A22)*(Log!$E$4:$E$1203="A")*Log!$B$4:$B$1203))=0,"",SUMPRODUCT(MIN((Log!$D$4:$D$1203=$A22)*(Log!$E$4:$E$1203="A")*Log!$B$4:$B$1203+((Log!$D$4:$D$1203&lt;&gt;$A22)+(Log!$E$4:$E$1203&lt;&gt;"A")&gt;0)*9999))))</f>
        <v/>
      </c>
      <c r="C22" s="83" t="str">
        <f aca="false">IF($B22="","",SUMIFS(Log!$I$4:$I$1203,Log!$D$4:$D$1203,$A22,Log!$B$4:$B$1203,$B22,Log!$E$4:$E$1203,"A"))</f>
        <v/>
      </c>
      <c r="D22" s="83" t="str">
        <f aca="false">IF($A22="","",IF(SUMPRODUCT(MAX((Log!$D$4:$D$1203=$A22)*(Log!$E$4:$E$1203="A")*Log!$B$4:$B$1203))=0,"",SUMPRODUCT(MAX((Log!$D$4:$D$1203=$A22)*(Log!$E$4:$E$1203="A")*Log!$B$4:$B$1203))))</f>
        <v/>
      </c>
      <c r="E22" s="83" t="str">
        <f aca="false">IF($D22="","",SUMIFS(Log!$I$4:$I$1203,Log!$D$4:$D$1203,$A22,Log!$B$4:$B$1203,$D22,Log!$E$4:$E$1203,"A"))</f>
        <v/>
      </c>
      <c r="F22" s="83" t="str">
        <f aca="false">IF(OR($C22="",$E22=""),"",$E22-$C22)</f>
        <v/>
      </c>
      <c r="G22" s="89" t="str">
        <f aca="false">IF(OR($C22="",$E22="",$C22=0),"",$E22/$C22-1)</f>
        <v/>
      </c>
      <c r="H22" s="86" t="str">
        <f aca="false">IF($D22="","",IF(SUMPRODUCT(MAX((Log!$D$4:$D$1203=$A22)*(Log!$B$4:$B$1203=$D22)*(Log!$E$4:$E$1203="A")*(Log!$F$4:$F$1203&lt;&gt;"")*Log!$F$4:$F$1203))=0,"",SUMPRODUCT(MAX((Log!$D$4:$D$1203=$A22)*(Log!$B$4:$B$1203=$D22)*(Log!$E$4:$E$1203="A")*(Log!$F$4:$F$1203&lt;&gt;"")*Log!$F$4:$F$1203))))</f>
        <v/>
      </c>
      <c r="I22" s="86" t="str">
        <f aca="false">IF($A22="","",IF(SUMPRODUCT(MAX((Log!$D$4:$D$1203=$A22)*(Log!$E$4:$E$1203="A")*(Log!$F$4:$F$1203&lt;&gt;"")*Log!$F$4:$F$1203))=0,"",SUMPRODUCT(MAX((Log!$D$4:$D$1203=$A22)*(Log!$E$4:$E$1203="A")*(Log!$F$4:$F$1203&lt;&gt;"")*Log!$F$4:$F$1203))))</f>
        <v/>
      </c>
      <c r="J22" s="86" t="str">
        <f aca="false">IF(OR($H22="",$I22=""),"",$H22-$I22)</f>
        <v/>
      </c>
      <c r="K22" s="90" t="str">
        <f aca="false">IF($G22="","",IF($G22&gt;0.05,"steigend",IF($G22&lt;-0.05,"fallend","stabil")))</f>
        <v/>
      </c>
      <c r="L22" s="83" t="str">
        <f aca="false">IF($H22="","",SUMPRODUCT((COUNTIFS(Log!$D$4:$D$1203,$A22,Log!$E$4:$E$1203,"A",Log!$F$4:$F$1203,$H22,Log!$B$4:$B$1203,Einheiten!$A$4:$A$63)&gt;0)*1))</f>
        <v/>
      </c>
      <c r="M22" s="91" t="str">
        <f aca="false">IFERROR(INDEX(Rekorde!$Q$4:$Q$23,MATCH($A22,Rekorde!$A$4:$A$23,0)),"")</f>
        <v/>
      </c>
      <c r="N22" s="92" t="str">
        <f aca="false">IF(OR($H22="",Übungen!$J22=""),"",CEILING($H22*1.01^12/Übungen!$J22,1)*Übungen!$J22)</f>
        <v/>
      </c>
    </row>
    <row r="23" customFormat="false" ht="25.5" hidden="false" customHeight="true" outlineLevel="0" collapsed="false">
      <c r="A23" s="40" t="str">
        <f aca="false">IF(Übungen!$A23="","",Übungen!$A23)</f>
        <v/>
      </c>
      <c r="B23" s="85" t="str">
        <f aca="false">IF($A23="","",IF(SUMPRODUCT(MAX((Log!$D$4:$D$1203=$A23)*(Log!$E$4:$E$1203="A")*Log!$B$4:$B$1203))=0,"",SUMPRODUCT(MIN((Log!$D$4:$D$1203=$A23)*(Log!$E$4:$E$1203="A")*Log!$B$4:$B$1203+((Log!$D$4:$D$1203&lt;&gt;$A23)+(Log!$E$4:$E$1203&lt;&gt;"A")&gt;0)*9999))))</f>
        <v/>
      </c>
      <c r="C23" s="85" t="str">
        <f aca="false">IF($B23="","",SUMIFS(Log!$I$4:$I$1203,Log!$D$4:$D$1203,$A23,Log!$B$4:$B$1203,$B23,Log!$E$4:$E$1203,"A"))</f>
        <v/>
      </c>
      <c r="D23" s="85" t="str">
        <f aca="false">IF($A23="","",IF(SUMPRODUCT(MAX((Log!$D$4:$D$1203=$A23)*(Log!$E$4:$E$1203="A")*Log!$B$4:$B$1203))=0,"",SUMPRODUCT(MAX((Log!$D$4:$D$1203=$A23)*(Log!$E$4:$E$1203="A")*Log!$B$4:$B$1203))))</f>
        <v/>
      </c>
      <c r="E23" s="85" t="str">
        <f aca="false">IF($D23="","",SUMIFS(Log!$I$4:$I$1203,Log!$D$4:$D$1203,$A23,Log!$B$4:$B$1203,$D23,Log!$E$4:$E$1203,"A"))</f>
        <v/>
      </c>
      <c r="F23" s="85" t="str">
        <f aca="false">IF(OR($C23="",$E23=""),"",$E23-$C23)</f>
        <v/>
      </c>
      <c r="G23" s="93" t="str">
        <f aca="false">IF(OR($C23="",$E23="",$C23=0),"",$E23/$C23-1)</f>
        <v/>
      </c>
      <c r="H23" s="88" t="str">
        <f aca="false">IF($D23="","",IF(SUMPRODUCT(MAX((Log!$D$4:$D$1203=$A23)*(Log!$B$4:$B$1203=$D23)*(Log!$E$4:$E$1203="A")*(Log!$F$4:$F$1203&lt;&gt;"")*Log!$F$4:$F$1203))=0,"",SUMPRODUCT(MAX((Log!$D$4:$D$1203=$A23)*(Log!$B$4:$B$1203=$D23)*(Log!$E$4:$E$1203="A")*(Log!$F$4:$F$1203&lt;&gt;"")*Log!$F$4:$F$1203))))</f>
        <v/>
      </c>
      <c r="I23" s="88" t="str">
        <f aca="false">IF($A23="","",IF(SUMPRODUCT(MAX((Log!$D$4:$D$1203=$A23)*(Log!$E$4:$E$1203="A")*(Log!$F$4:$F$1203&lt;&gt;"")*Log!$F$4:$F$1203))=0,"",SUMPRODUCT(MAX((Log!$D$4:$D$1203=$A23)*(Log!$E$4:$E$1203="A")*(Log!$F$4:$F$1203&lt;&gt;"")*Log!$F$4:$F$1203))))</f>
        <v/>
      </c>
      <c r="J23" s="88" t="str">
        <f aca="false">IF(OR($H23="",$I23=""),"",$H23-$I23)</f>
        <v/>
      </c>
      <c r="K23" s="94" t="str">
        <f aca="false">IF($G23="","",IF($G23&gt;0.05,"steigend",IF($G23&lt;-0.05,"fallend","stabil")))</f>
        <v/>
      </c>
      <c r="L23" s="85" t="str">
        <f aca="false">IF($H23="","",SUMPRODUCT((COUNTIFS(Log!$D$4:$D$1203,$A23,Log!$E$4:$E$1203,"A",Log!$F$4:$F$1203,$H23,Log!$B$4:$B$1203,Einheiten!$A$4:$A$63)&gt;0)*1))</f>
        <v/>
      </c>
      <c r="M23" s="95" t="str">
        <f aca="false">IFERROR(INDEX(Rekorde!$Q$4:$Q$23,MATCH($A23,Rekorde!$A$4:$A$23,0)),"")</f>
        <v/>
      </c>
      <c r="N23" s="96" t="str">
        <f aca="false">IF(OR($H23="",Übungen!$J23=""),"",CEILING($H23*1.01^12/Übungen!$J23,1)*Übungen!$J23)</f>
        <v/>
      </c>
    </row>
    <row r="25" customFormat="false" ht="25.5" hidden="false" customHeight="true" outlineLevel="0" collapsed="false">
      <c r="A25" s="43" t="s">
        <v>524</v>
      </c>
      <c r="B25" s="43"/>
      <c r="C25" s="43"/>
      <c r="D25" s="43"/>
      <c r="E25" s="43"/>
      <c r="F25" s="43"/>
      <c r="G25" s="43"/>
      <c r="H25" s="43"/>
      <c r="I25" s="43"/>
      <c r="J25" s="43"/>
      <c r="K25" s="43"/>
      <c r="L25" s="43"/>
      <c r="M25" s="43"/>
      <c r="N25" s="43"/>
    </row>
  </sheetData>
  <mergeCells count="3">
    <mergeCell ref="A1:K1"/>
    <mergeCell ref="A2:K2"/>
    <mergeCell ref="A25:N25"/>
  </mergeCells>
  <conditionalFormatting sqref="F4:G23">
    <cfRule type="expression" priority="2" aboveAverage="0" equalAverage="0" bottom="0" percent="0" rank="0" text="" dxfId="1">
      <formula>AND($G4&lt;&gt;"",$G4&gt;0.05)</formula>
    </cfRule>
    <cfRule type="expression" priority="3" aboveAverage="0" equalAverage="0" bottom="0" percent="0" rank="0" text="" dxfId="14">
      <formula>AND($G4&lt;&gt;"",$G4&lt;-0.05)</formula>
    </cfRule>
  </conditionalFormatting>
  <conditionalFormatting sqref="K4:K23">
    <cfRule type="expression" priority="4" aboveAverage="0" equalAverage="0" bottom="0" percent="0" rank="0" text="" dxfId="1">
      <formula>$K4="steigend"</formula>
    </cfRule>
    <cfRule type="expression" priority="5" aboveAverage="0" equalAverage="0" bottom="0" percent="0" rank="0" text="" dxfId="14">
      <formula>$K4="fallend"</formula>
    </cfRule>
  </conditionalFormatting>
  <conditionalFormatting sqref="L4:M23">
    <cfRule type="expression" priority="6" aboveAverage="0" equalAverage="0" bottom="0" percent="0" rank="0" text="" dxfId="15">
      <formula>AND($L4&lt;&gt;"",$L4&gt;=4)</formula>
    </cfRule>
  </conditionalFormatting>
  <conditionalFormatting sqref="H4:J23">
    <cfRule type="expression" priority="7" aboveAverage="0" equalAverage="0" bottom="0" percent="0" rank="0" text="" dxfId="4">
      <formula>AND($H4&lt;&gt;"",$I4&lt;&gt;"",$H4&lt;$I4*0.9)</formula>
    </cfRule>
  </conditionalFormatting>
  <conditionalFormatting sqref="A4:N23">
    <cfRule type="expression" priority="8" aboveAverage="0" equalAverage="0" bottom="0" percent="0" rank="0" text="" dxfId="2">
      <formula>Übungen!$L4="nein"</formula>
    </cfRule>
  </conditionalFormatting>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&amp;K808080Progression</oddHeader>
    <oddFooter>&amp;L&amp;8 &amp;K808080Quelle: Löwin_Training_260727.pdf&amp;R&amp;8 &amp;K808080Seite &amp;P von &amp;N</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13"/>
    <col collapsed="false" customWidth="true" hidden="false" outlineLevel="0" max="3" min="3" style="0" width="7"/>
    <col collapsed="false" customWidth="true" hidden="false" outlineLevel="0" max="4" min="4" style="0" width="8"/>
    <col collapsed="false" customWidth="true" hidden="false" outlineLevel="0" max="5" min="5" style="0" width="12"/>
    <col collapsed="false" customWidth="true" hidden="false" outlineLevel="0" max="6" min="6" style="0" width="11"/>
    <col collapsed="false" customWidth="true" hidden="false" outlineLevel="0" max="7" min="7" style="0" width="7"/>
    <col collapsed="false" customWidth="true" hidden="false" outlineLevel="0" max="8" min="8" style="0" width="11"/>
    <col collapsed="false" customWidth="true" hidden="false" outlineLevel="0" max="9" min="9" style="0" width="7"/>
    <col collapsed="false" customWidth="true" hidden="false" outlineLevel="0" max="10" min="10" style="0" width="12"/>
    <col collapsed="false" customWidth="true" hidden="false" outlineLevel="0" max="11" min="11" style="0" width="8"/>
    <col collapsed="false" customWidth="true" hidden="false" outlineLevel="0" max="12" min="12" style="0" width="11"/>
    <col collapsed="false" customWidth="true" hidden="false" outlineLevel="0" max="13" min="13" style="0" width="8"/>
    <col collapsed="false" customWidth="true" hidden="false" outlineLevel="0" max="15" min="14" style="0" width="10"/>
    <col collapsed="false" customWidth="true" hidden="false" outlineLevel="0" max="16" min="16" style="0" width="11"/>
    <col collapsed="false" customWidth="true" hidden="false" outlineLevel="0" max="17" min="17" style="0" width="26"/>
  </cols>
  <sheetData>
    <row r="1" customFormat="false" ht="30" hidden="false" customHeight="true" outlineLevel="0" collapsed="false">
      <c r="A1" s="1" t="s">
        <v>525</v>
      </c>
      <c r="B1" s="1"/>
      <c r="C1" s="1"/>
      <c r="D1" s="1"/>
      <c r="E1" s="1"/>
      <c r="F1" s="1"/>
      <c r="G1" s="1"/>
      <c r="H1" s="1"/>
      <c r="I1" s="1"/>
      <c r="J1" s="1"/>
      <c r="K1" s="1"/>
      <c r="L1" s="1"/>
      <c r="M1" s="1"/>
      <c r="N1" s="1"/>
    </row>
    <row r="2" customFormat="false" ht="15" hidden="false" customHeight="true" outlineLevel="0" collapsed="false">
      <c r="A2" s="2" t="s">
        <v>526</v>
      </c>
      <c r="B2" s="2"/>
      <c r="C2" s="2"/>
      <c r="D2" s="2"/>
      <c r="E2" s="2"/>
      <c r="F2" s="2"/>
      <c r="G2" s="2"/>
      <c r="H2" s="2"/>
      <c r="I2" s="2"/>
      <c r="J2" s="2"/>
      <c r="K2" s="2"/>
      <c r="L2" s="2"/>
      <c r="M2" s="2"/>
      <c r="N2" s="2"/>
    </row>
    <row r="3" customFormat="false" ht="33.75" hidden="false" customHeight="true" outlineLevel="0" collapsed="false">
      <c r="A3" s="13" t="s">
        <v>170</v>
      </c>
      <c r="B3" s="13" t="s">
        <v>451</v>
      </c>
      <c r="C3" s="13" t="s">
        <v>527</v>
      </c>
      <c r="D3" s="13" t="s">
        <v>443</v>
      </c>
      <c r="E3" s="13" t="s">
        <v>528</v>
      </c>
      <c r="F3" s="13" t="s">
        <v>529</v>
      </c>
      <c r="G3" s="13" t="s">
        <v>530</v>
      </c>
      <c r="H3" s="13" t="s">
        <v>531</v>
      </c>
      <c r="I3" s="13" t="s">
        <v>530</v>
      </c>
      <c r="J3" s="13" t="s">
        <v>532</v>
      </c>
      <c r="K3" s="13" t="s">
        <v>513</v>
      </c>
      <c r="L3" s="13" t="s">
        <v>517</v>
      </c>
      <c r="M3" s="13" t="s">
        <v>533</v>
      </c>
      <c r="N3" s="13" t="s">
        <v>534</v>
      </c>
      <c r="O3" s="13" t="s">
        <v>535</v>
      </c>
      <c r="P3" s="13" t="s">
        <v>536</v>
      </c>
      <c r="Q3" s="13" t="s">
        <v>522</v>
      </c>
    </row>
    <row r="4" customFormat="false" ht="18" hidden="false" customHeight="true" outlineLevel="0" collapsed="false">
      <c r="A4" s="34" t="str">
        <f aca="false">IF(Übungen!$A4="","",Übungen!$A4)</f>
        <v>Beinpresse eng</v>
      </c>
      <c r="B4" s="97" t="str">
        <f aca="false">IF(Übungen!$B4="","",Übungen!$B4)</f>
        <v>Beine vorne</v>
      </c>
      <c r="C4" s="83" t="n">
        <f aca="false">IF($D4="","",SUMPRODUCT((COUNTIFS(Log!$D$4:$D$1203,$A4,Log!$E$4:$E$1203,"A",Log!$B$4:$B$1203,Einheiten!$A$4:$A$63)&gt;0)*1))</f>
        <v>7</v>
      </c>
      <c r="D4" s="83" t="n">
        <f aca="false">IF($A4="","",IF(COUNTIFS(Log!$D$4:$D$1203,$A4,Log!$E$4:$E$1203,"A")=0,"",COUNTIFS(Log!$D$4:$D$1203,$A4,Log!$E$4:$E$1203,"A")))</f>
        <v>20</v>
      </c>
      <c r="E4" s="83" t="n">
        <f aca="false">IF($D4="","",SUMIFS(Log!$I$4:$I$1203,Log!$D$4:$D$1203,$A4,Log!$E$4:$E$1203,"A"))</f>
        <v>45176</v>
      </c>
      <c r="F4" s="98" t="n">
        <f aca="false">IF($D4="","",IF(SUMPRODUCT(MAX((Log!$D$4:$D$1203=$A4)*(Log!$E$4:$E$1203="A")*(Log!$F$4:$F$1203&lt;&gt;"")*Log!$F$4:$F$1203))=0,"",SUMPRODUCT(MAX((Log!$D$4:$D$1203=$A4)*(Log!$E$4:$E$1203="A")*(Log!$F$4:$F$1203&lt;&gt;"")*Log!$F$4:$F$1203))))</f>
        <v>333</v>
      </c>
      <c r="G4" s="83" t="n">
        <f aca="false">IF($F4="","",SUMPRODUCT(MAX((Log!$D$4:$D$1203=$A4)*(Log!$E$4:$E$1203="A")*(Log!$F$4:$F$1203=$F4)*Log!$B$4:$B$1203)))</f>
        <v>8</v>
      </c>
      <c r="H4" s="98" t="n">
        <f aca="false">IF($D4="","",IF(SUMPRODUCT(MAX((Log!$D$4:$D$1203=$A4)*(Log!$E$4:$E$1203="A")*(Log!$F$4:$F$1203&lt;&gt;"")*(Log!$G$4:$G$1203&lt;&gt;"")*Log!$F$4:$F$1203*(1+Log!$G$4:$G$1203/30)))=0,"",SUMPRODUCT(MAX((Log!$D$4:$D$1203=$A4)*(Log!$E$4:$E$1203="A")*(Log!$F$4:$F$1203&lt;&gt;"")*(Log!$G$4:$G$1203&lt;&gt;"")*Log!$F$4:$F$1203*(1+Log!$G$4:$G$1203/30)))))</f>
        <v>440</v>
      </c>
      <c r="I4" s="83" t="n">
        <f aca="false">IF($H4="","",SUMPRODUCT(MAX((Log!$D$4:$D$1203=$A4)*(Log!$E$4:$E$1203="A")*(Log!$F$4:$F$1203&lt;&gt;"")*(Log!$G$4:$G$1203&lt;&gt;"")*(ROUND(Log!$F$4:$F$1203*(1+Log!$G$4:$G$1203/30),6)=ROUND($H4,6))*Log!$B$4:$B$1203)))</f>
        <v>10</v>
      </c>
      <c r="J4" s="83" t="n">
        <f aca="false">IF($D4="","",IF(SUMPRODUCT(MAX((Log!$D$4:$D$1203=$A4)*(Log!$E$4:$E$1203="A")*(Log!$F$4:$F$1203&lt;&gt;"")*(Log!$G$4:$G$1203&lt;&gt;"")*Log!$F$4:$F$1203*Log!$G$4:$G$1203))=0,"",SUMPRODUCT(MAX((Log!$D$4:$D$1203=$A4)*(Log!$E$4:$E$1203="A")*(Log!$F$4:$F$1203&lt;&gt;"")*(Log!$G$4:$G$1203&lt;&gt;"")*Log!$F$4:$F$1203*Log!$G$4:$G$1203))))</f>
        <v>3300</v>
      </c>
      <c r="K4" s="83" t="n">
        <f aca="false">IF($D4="","",IF(SUMPRODUCT(MAX((Log!$D$4:$D$1203=$A4)*(Log!$E$4:$E$1203="A")*Log!$B$4:$B$1203))=0,"",SUMPRODUCT(MAX((Log!$D$4:$D$1203=$A4)*(Log!$E$4:$E$1203="A")*Log!$B$4:$B$1203))))</f>
        <v>17</v>
      </c>
      <c r="L4" s="86" t="n">
        <f aca="false">IF($K4="","",IF(SUMPRODUCT(MAX((Log!$D$4:$D$1203=$A4)*(Log!$B$4:$B$1203=$K4)*(Log!$E$4:$E$1203="A")*(Log!$F$4:$F$1203&lt;&gt;"")*Log!$F$4:$F$1203))=0,"",SUMPRODUCT(MAX((Log!$D$4:$D$1203=$A4)*(Log!$B$4:$B$1203=$K4)*(Log!$E$4:$E$1203="A")*(Log!$F$4:$F$1203&lt;&gt;"")*Log!$F$4:$F$1203))))</f>
        <v>300</v>
      </c>
      <c r="M4" s="83" t="n">
        <f aca="false">IF($L4="","",IF(SUMPRODUCT(MAX((Log!$D$4:$D$1203=$A4)*(Log!$B$4:$B$1203=$K4)*(Log!$E$4:$E$1203="A")*(Log!$F$4:$F$1203=$L4)*Log!$G$4:$G$1203))=0,"",SUMPRODUCT(MAX((Log!$D$4:$D$1203=$A4)*(Log!$B$4:$B$1203=$K4)*(Log!$E$4:$E$1203="A")*(Log!$F$4:$F$1203=$L4)*Log!$G$4:$G$1203))))</f>
        <v>6</v>
      </c>
      <c r="N4" s="83" t="n">
        <f aca="false">IF($L4="","",IF(SUMPRODUCT(MIN((Log!$D$4:$D$1203=$A4)*(Log!$B$4:$B$1203=$K4)*(Log!$E$4:$E$1203="A")*(Log!$F$4:$F$1203=$L4)*Log!$G$4:$G$1203+((Log!$D$4:$D$1203&lt;&gt;$A4)+(Log!$B$4:$B$1203&lt;&gt;$K4)+(Log!$E$4:$E$1203&lt;&gt;"A")+(Log!$F$4:$F$1203&lt;&gt;$L4)+(Log!$G$4:$G$1203="")&gt;0)*999))&gt;=999,"",SUMPRODUCT(MIN((Log!$D$4:$D$1203=$A4)*(Log!$B$4:$B$1203=$K4)*(Log!$E$4:$E$1203="A")*(Log!$F$4:$F$1203=$L4)*Log!$G$4:$G$1203+((Log!$D$4:$D$1203&lt;&gt;$A4)+(Log!$B$4:$B$1203&lt;&gt;$K4)+(Log!$E$4:$E$1203&lt;&gt;"A")+(Log!$F$4:$F$1203&lt;&gt;$L4)+(Log!$G$4:$G$1203="")&gt;0)*999))))</f>
        <v>6</v>
      </c>
      <c r="O4" s="99" t="n">
        <f aca="false">IF(IF($L4="",IF(Übungen!$H4="","",Übungen!$H4),IF(AND($L4&lt;&gt;"",$N4&lt;&gt;"",Übungen!$E4&lt;&gt;"",$N4&gt;=Übungen!$E4+2),IF(Übungen!$I4="",MAX(IF(IF(Übungen!$J4="",0,Übungen!$J4)=0,ROUND($L4*1.01*2,0)/2,CEILING($L4*1.01/IF(Übungen!$J4="",0,Übungen!$J4),1)*IF(Übungen!$J4="",0,Übungen!$J4)),IF(IF(Übungen!$J4="",0,Übungen!$J4)=0,ROUND((($L4*(1+$N4/30))/(1+Übungen!$E4/30))*2,0)/2,FLOOR((($L4*(1+$N4/30))/(1+Übungen!$E4/30))/IF(Übungen!$J4="",0,Übungen!$J4),1)*IF(Übungen!$J4="",0,Übungen!$J4))),MIN(MAX(IF(IF(Übungen!$J4="",0,Übungen!$J4)=0,ROUND($L4*1.01*2,0)/2,CEILING($L4*1.01/IF(Übungen!$J4="",0,Übungen!$J4),1)*IF(Übungen!$J4="",0,Übungen!$J4)),IF(IF(Übungen!$J4="",0,Übungen!$J4)=0,ROUND((($L4*(1+$N4/30))/(1+Übungen!$E4/30))*2,0)/2,FLOOR((($L4*(1+$N4/30))/(1+Übungen!$E4/30))/IF(Übungen!$J4="",0,Übungen!$J4),1)*IF(Übungen!$J4="",0,Übungen!$J4))),Übungen!$I4)),IF(AND($N4&lt;&gt;"",Übungen!$E4&lt;&gt;"",$N4&gt;=Übungen!$E4),IF(Übungen!$I4="",IF(IF(Übungen!$J4="",0,Übungen!$J4)=0,ROUND($L4*1.01*2,0)/2,CEILING($L4*1.01/IF(Übungen!$J4="",0,Übungen!$J4),1)*IF(Übungen!$J4="",0,Übungen!$J4)),MIN(IF(IF(Übungen!$J4="",0,Übungen!$J4)=0,ROUND($L4*1.01*2,0)/2,CEILING($L4*1.01/IF(Übungen!$J4="",0,Übungen!$J4),1)*IF(Übungen!$J4="",0,Übungen!$J4)),Übungen!$I4)),$L4)))="","",IF(OR(Übungen!$K4="",Übungen!$K4=100),IF($L4="",IF(Übungen!$H4="","",Übungen!$H4),IF(AND($L4&lt;&gt;"",$N4&lt;&gt;"",Übungen!$E4&lt;&gt;"",$N4&gt;=Übungen!$E4+2),IF(Übungen!$I4="",MAX(IF(IF(Übungen!$J4="",0,Übungen!$J4)=0,ROUND($L4*1.01*2,0)/2,CEILING($L4*1.01/IF(Übungen!$J4="",0,Übungen!$J4),1)*IF(Übungen!$J4="",0,Übungen!$J4)),IF(IF(Übungen!$J4="",0,Übungen!$J4)=0,ROUND((($L4*(1+$N4/30))/(1+Übungen!$E4/30))*2,0)/2,FLOOR((($L4*(1+$N4/30))/(1+Übungen!$E4/30))/IF(Übungen!$J4="",0,Übungen!$J4),1)*IF(Übungen!$J4="",0,Übungen!$J4))),MIN(MAX(IF(IF(Übungen!$J4="",0,Übungen!$J4)=0,ROUND($L4*1.01*2,0)/2,CEILING($L4*1.01/IF(Übungen!$J4="",0,Übungen!$J4),1)*IF(Übungen!$J4="",0,Übungen!$J4)),IF(IF(Übungen!$J4="",0,Übungen!$J4)=0,ROUND((($L4*(1+$N4/30))/(1+Übungen!$E4/30))*2,0)/2,FLOOR((($L4*(1+$N4/30))/(1+Übungen!$E4/30))/IF(Übungen!$J4="",0,Übungen!$J4),1)*IF(Übungen!$J4="",0,Übungen!$J4))),Übungen!$I4)),IF(AND($N4&lt;&gt;"",Übungen!$E4&lt;&gt;"",$N4&gt;=Übungen!$E4),IF(Übungen!$I4="",IF(IF(Übungen!$J4="",0,Übungen!$J4)=0,ROUND($L4*1.01*2,0)/2,CEILING($L4*1.01/IF(Übungen!$J4="",0,Übungen!$J4),1)*IF(Übungen!$J4="",0,Übungen!$J4)),MIN(IF(IF(Übungen!$J4="",0,Übungen!$J4)=0,ROUND($L4*1.01*2,0)/2,CEILING($L4*1.01/IF(Übungen!$J4="",0,Übungen!$J4),1)*IF(Übungen!$J4="",0,Übungen!$J4)),Übungen!$I4)),$L4))),FLOOR(IF($L4="",IF(Übungen!$H4="","",Übungen!$H4),IF(AND($L4&lt;&gt;"",$N4&lt;&gt;"",Übungen!$E4&lt;&gt;"",$N4&gt;=Übungen!$E4+2),IF(Übungen!$I4="",MAX(IF(IF(Übungen!$J4="",0,Übungen!$J4)=0,ROUND($L4*1.01*2,0)/2,CEILING($L4*1.01/IF(Übungen!$J4="",0,Übungen!$J4),1)*IF(Übungen!$J4="",0,Übungen!$J4)),IF(IF(Übungen!$J4="",0,Übungen!$J4)=0,ROUND((($L4*(1+$N4/30))/(1+Übungen!$E4/30))*2,0)/2,FLOOR((($L4*(1+$N4/30))/(1+Übungen!$E4/30))/IF(Übungen!$J4="",0,Übungen!$J4),1)*IF(Übungen!$J4="",0,Übungen!$J4))),MIN(MAX(IF(IF(Übungen!$J4="",0,Übungen!$J4)=0,ROUND($L4*1.01*2,0)/2,CEILING($L4*1.01/IF(Übungen!$J4="",0,Übungen!$J4),1)*IF(Übungen!$J4="",0,Übungen!$J4)),IF(IF(Übungen!$J4="",0,Übungen!$J4)=0,ROUND((($L4*(1+$N4/30))/(1+Übungen!$E4/30))*2,0)/2,FLOOR((($L4*(1+$N4/30))/(1+Übungen!$E4/30))/IF(Übungen!$J4="",0,Übungen!$J4),1)*IF(Übungen!$J4="",0,Übungen!$J4))),Übungen!$I4)),IF(AND($N4&lt;&gt;"",Übungen!$E4&lt;&gt;"",$N4&gt;=Übungen!$E4),IF(Übungen!$I4="",IF(IF(Übungen!$J4="",0,Übungen!$J4)=0,ROUND($L4*1.01*2,0)/2,CEILING($L4*1.01/IF(Übungen!$J4="",0,Übungen!$J4),1)*IF(Übungen!$J4="",0,Übungen!$J4)),MIN(IF(IF(Übungen!$J4="",0,Übungen!$J4)=0,ROUND($L4*1.01*2,0)/2,CEILING($L4*1.01/IF(Übungen!$J4="",0,Übungen!$J4),1)*IF(Übungen!$J4="",0,Übungen!$J4)),Übungen!$I4)),$L4)))*Übungen!$K4/100/Übungen!$J4,1)*Übungen!$J4))</f>
        <v>305</v>
      </c>
      <c r="P4" s="100" t="n">
        <f aca="false">IF(Übungen!$D4="","",IF($O4="","",IF($L4="",Übungen!$D4,IF(AND($N4&lt;&gt;"",Übungen!$E4&lt;&gt;"",$N4&gt;=Übungen!$E4),Übungen!$D4,IF(OR($N4="",$N4&lt;Übungen!$D4),Übungen!$D4,MIN(Übungen!$E4,$N4+1))))))</f>
        <v>5</v>
      </c>
      <c r="Q4" s="91" t="str">
        <f aca="false">IF(AND(AND($L4&lt;&gt;"",$N4&lt;&gt;"",Übungen!$E4&lt;&gt;"",$N4&gt;=Übungen!$E4+2),$O4&gt;$L4),"RM-Korrektur nach "&amp;TEXT($N4,"0")&amp;" Wdh: +"&amp;TEXT($O4-$L4,"0.#")&amp;" kg ("&amp;TEXT(($O4-$L4)/$L4,"0.0%")&amp;"), Wdh zurück auf "&amp;Übungen!$D4,IF($O4="","",IF($L4="","Einstieg mit Startgewicht",IF(AND(AND($N4&lt;&gt;"",Übungen!$E4&lt;&gt;"",$N4&gt;=Übungen!$E4),$O4&gt;$L4),"Gewicht +"&amp;TEXT($O4-$L4,"0.#")&amp;" kg ("&amp;TEXT(($O4-$L4)/$L4,"0.0%")&amp;"), Wdh zurück auf "&amp;Übungen!$D4,IF(AND(AND($N4&lt;&gt;"",Übungen!$E4&lt;&gt;"",$N4&gt;=Übungen!$E4),Übungen!$J4=""),"Zielbereich voll - dafür fehlt 'Schritt (kg)' im Blatt Übungen",IF(AND($N4&lt;&gt;"",Übungen!$E4&lt;&gt;"",$N4&gt;=Übungen!$E4),"Obergrenze erreicht - über Tempo und Pausen steigern",IF(OR($N4="",$N4&lt;Übungen!$D4),"Gewicht halten, erst "&amp;Übungen!$D4&amp;" Wdh sauber schaffen","Wdh +1 auf "&amp;$P4&amp;" bei gleichem Gewicht")))))))</f>
        <v>Gewicht +5 kg (1.7%), Wdh zurück auf 5</v>
      </c>
    </row>
    <row r="5" customFormat="false" ht="18" hidden="false" customHeight="true" outlineLevel="0" collapsed="false">
      <c r="A5" s="40" t="str">
        <f aca="false">IF(Übungen!$A5="","",Übungen!$A5)</f>
        <v>Split Squat</v>
      </c>
      <c r="B5" s="4" t="str">
        <f aca="false">IF(Übungen!$B5="","",Übungen!$B5)</f>
        <v>Beine vorne</v>
      </c>
      <c r="C5" s="85" t="n">
        <f aca="false">IF($D5="","",SUMPRODUCT((COUNTIFS(Log!$D$4:$D$1203,$A5,Log!$E$4:$E$1203,"A",Log!$B$4:$B$1203,Einheiten!$A$4:$A$63)&gt;0)*1))</f>
        <v>11</v>
      </c>
      <c r="D5" s="85" t="n">
        <f aca="false">IF($A5="","",IF(COUNTIFS(Log!$D$4:$D$1203,$A5,Log!$E$4:$E$1203,"A")=0,"",COUNTIFS(Log!$D$4:$D$1203,$A5,Log!$E$4:$E$1203,"A")))</f>
        <v>32</v>
      </c>
      <c r="E5" s="85" t="n">
        <f aca="false">IF($D5="","",SUMIFS(Log!$I$4:$I$1203,Log!$D$4:$D$1203,$A5,Log!$E$4:$E$1203,"A"))</f>
        <v>20460</v>
      </c>
      <c r="F5" s="101" t="n">
        <f aca="false">IF($D5="","",IF(SUMPRODUCT(MAX((Log!$D$4:$D$1203=$A5)*(Log!$E$4:$E$1203="A")*(Log!$F$4:$F$1203&lt;&gt;"")*Log!$F$4:$F$1203))=0,"",SUMPRODUCT(MAX((Log!$D$4:$D$1203=$A5)*(Log!$E$4:$E$1203="A")*(Log!$F$4:$F$1203&lt;&gt;"")*Log!$F$4:$F$1203))))</f>
        <v>120</v>
      </c>
      <c r="G5" s="85" t="n">
        <f aca="false">IF($F5="","",SUMPRODUCT(MAX((Log!$D$4:$D$1203=$A5)*(Log!$E$4:$E$1203="A")*(Log!$F$4:$F$1203=$F5)*Log!$B$4:$B$1203)))</f>
        <v>17</v>
      </c>
      <c r="H5" s="101" t="n">
        <f aca="false">IF($D5="","",IF(SUMPRODUCT(MAX((Log!$D$4:$D$1203=$A5)*(Log!$E$4:$E$1203="A")*(Log!$F$4:$F$1203&lt;&gt;"")*(Log!$G$4:$G$1203&lt;&gt;"")*Log!$F$4:$F$1203*(1+Log!$G$4:$G$1203/30)))=0,"",SUMPRODUCT(MAX((Log!$D$4:$D$1203=$A5)*(Log!$E$4:$E$1203="A")*(Log!$F$4:$F$1203&lt;&gt;"")*(Log!$G$4:$G$1203&lt;&gt;"")*Log!$F$4:$F$1203*(1+Log!$G$4:$G$1203/30)))))</f>
        <v>144</v>
      </c>
      <c r="I5" s="85" t="n">
        <f aca="false">IF($H5="","",SUMPRODUCT(MAX((Log!$D$4:$D$1203=$A5)*(Log!$E$4:$E$1203="A")*(Log!$F$4:$F$1203&lt;&gt;"")*(Log!$G$4:$G$1203&lt;&gt;"")*(ROUND(Log!$F$4:$F$1203*(1+Log!$G$4:$G$1203/30),6)=ROUND($H5,6))*Log!$B$4:$B$1203)))</f>
        <v>17</v>
      </c>
      <c r="J5" s="85" t="n">
        <f aca="false">IF($D5="","",IF(SUMPRODUCT(MAX((Log!$D$4:$D$1203=$A5)*(Log!$E$4:$E$1203="A")*(Log!$F$4:$F$1203&lt;&gt;"")*(Log!$G$4:$G$1203&lt;&gt;"")*Log!$F$4:$F$1203*Log!$G$4:$G$1203))=0,"",SUMPRODUCT(MAX((Log!$D$4:$D$1203=$A5)*(Log!$E$4:$E$1203="A")*(Log!$F$4:$F$1203&lt;&gt;"")*(Log!$G$4:$G$1203&lt;&gt;"")*Log!$F$4:$F$1203*Log!$G$4:$G$1203))))</f>
        <v>1000</v>
      </c>
      <c r="K5" s="85" t="n">
        <f aca="false">IF($D5="","",IF(SUMPRODUCT(MAX((Log!$D$4:$D$1203=$A5)*(Log!$E$4:$E$1203="A")*Log!$B$4:$B$1203))=0,"",SUMPRODUCT(MAX((Log!$D$4:$D$1203=$A5)*(Log!$E$4:$E$1203="A")*Log!$B$4:$B$1203))))</f>
        <v>17</v>
      </c>
      <c r="L5" s="88" t="n">
        <f aca="false">IF($K5="","",IF(SUMPRODUCT(MAX((Log!$D$4:$D$1203=$A5)*(Log!$B$4:$B$1203=$K5)*(Log!$E$4:$E$1203="A")*(Log!$F$4:$F$1203&lt;&gt;"")*Log!$F$4:$F$1203))=0,"",SUMPRODUCT(MAX((Log!$D$4:$D$1203=$A5)*(Log!$B$4:$B$1203=$K5)*(Log!$E$4:$E$1203="A")*(Log!$F$4:$F$1203&lt;&gt;"")*Log!$F$4:$F$1203))))</f>
        <v>120</v>
      </c>
      <c r="M5" s="85" t="n">
        <f aca="false">IF($L5="","",IF(SUMPRODUCT(MAX((Log!$D$4:$D$1203=$A5)*(Log!$B$4:$B$1203=$K5)*(Log!$E$4:$E$1203="A")*(Log!$F$4:$F$1203=$L5)*Log!$G$4:$G$1203))=0,"",SUMPRODUCT(MAX((Log!$D$4:$D$1203=$A5)*(Log!$B$4:$B$1203=$K5)*(Log!$E$4:$E$1203="A")*(Log!$F$4:$F$1203=$L5)*Log!$G$4:$G$1203))))</f>
        <v>6</v>
      </c>
      <c r="N5" s="85" t="n">
        <f aca="false">IF($L5="","",IF(SUMPRODUCT(MIN((Log!$D$4:$D$1203=$A5)*(Log!$B$4:$B$1203=$K5)*(Log!$E$4:$E$1203="A")*(Log!$F$4:$F$1203=$L5)*Log!$G$4:$G$1203+((Log!$D$4:$D$1203&lt;&gt;$A5)+(Log!$B$4:$B$1203&lt;&gt;$K5)+(Log!$E$4:$E$1203&lt;&gt;"A")+(Log!$F$4:$F$1203&lt;&gt;$L5)+(Log!$G$4:$G$1203="")&gt;0)*999))&gt;=999,"",SUMPRODUCT(MIN((Log!$D$4:$D$1203=$A5)*(Log!$B$4:$B$1203=$K5)*(Log!$E$4:$E$1203="A")*(Log!$F$4:$F$1203=$L5)*Log!$G$4:$G$1203+((Log!$D$4:$D$1203&lt;&gt;$A5)+(Log!$B$4:$B$1203&lt;&gt;$K5)+(Log!$E$4:$E$1203&lt;&gt;"A")+(Log!$F$4:$F$1203&lt;&gt;$L5)+(Log!$G$4:$G$1203="")&gt;0)*999))))</f>
        <v>6</v>
      </c>
      <c r="O5" s="102" t="n">
        <f aca="false">IF(IF($L5="",IF(Übungen!$H5="","",Übungen!$H5),IF(AND($L5&lt;&gt;"",$N5&lt;&gt;"",Übungen!$E5&lt;&gt;"",$N5&gt;=Übungen!$E5+2),IF(Übungen!$I5="",MAX(IF(IF(Übungen!$J5="",0,Übungen!$J5)=0,ROUND($L5*1.01*2,0)/2,CEILING($L5*1.01/IF(Übungen!$J5="",0,Übungen!$J5),1)*IF(Übungen!$J5="",0,Übungen!$J5)),IF(IF(Übungen!$J5="",0,Übungen!$J5)=0,ROUND((($L5*(1+$N5/30))/(1+Übungen!$E5/30))*2,0)/2,FLOOR((($L5*(1+$N5/30))/(1+Übungen!$E5/30))/IF(Übungen!$J5="",0,Übungen!$J5),1)*IF(Übungen!$J5="",0,Übungen!$J5))),MIN(MAX(IF(IF(Übungen!$J5="",0,Übungen!$J5)=0,ROUND($L5*1.01*2,0)/2,CEILING($L5*1.01/IF(Übungen!$J5="",0,Übungen!$J5),1)*IF(Übungen!$J5="",0,Übungen!$J5)),IF(IF(Übungen!$J5="",0,Übungen!$J5)=0,ROUND((($L5*(1+$N5/30))/(1+Übungen!$E5/30))*2,0)/2,FLOOR((($L5*(1+$N5/30))/(1+Übungen!$E5/30))/IF(Übungen!$J5="",0,Übungen!$J5),1)*IF(Übungen!$J5="",0,Übungen!$J5))),Übungen!$I5)),IF(AND($N5&lt;&gt;"",Übungen!$E5&lt;&gt;"",$N5&gt;=Übungen!$E5),IF(Übungen!$I5="",IF(IF(Übungen!$J5="",0,Übungen!$J5)=0,ROUND($L5*1.01*2,0)/2,CEILING($L5*1.01/IF(Übungen!$J5="",0,Übungen!$J5),1)*IF(Übungen!$J5="",0,Übungen!$J5)),MIN(IF(IF(Übungen!$J5="",0,Übungen!$J5)=0,ROUND($L5*1.01*2,0)/2,CEILING($L5*1.01/IF(Übungen!$J5="",0,Übungen!$J5),1)*IF(Übungen!$J5="",0,Übungen!$J5)),Übungen!$I5)),$L5)))="","",IF(OR(Übungen!$K5="",Übungen!$K5=100),IF($L5="",IF(Übungen!$H5="","",Übungen!$H5),IF(AND($L5&lt;&gt;"",$N5&lt;&gt;"",Übungen!$E5&lt;&gt;"",$N5&gt;=Übungen!$E5+2),IF(Übungen!$I5="",MAX(IF(IF(Übungen!$J5="",0,Übungen!$J5)=0,ROUND($L5*1.01*2,0)/2,CEILING($L5*1.01/IF(Übungen!$J5="",0,Übungen!$J5),1)*IF(Übungen!$J5="",0,Übungen!$J5)),IF(IF(Übungen!$J5="",0,Übungen!$J5)=0,ROUND((($L5*(1+$N5/30))/(1+Übungen!$E5/30))*2,0)/2,FLOOR((($L5*(1+$N5/30))/(1+Übungen!$E5/30))/IF(Übungen!$J5="",0,Übungen!$J5),1)*IF(Übungen!$J5="",0,Übungen!$J5))),MIN(MAX(IF(IF(Übungen!$J5="",0,Übungen!$J5)=0,ROUND($L5*1.01*2,0)/2,CEILING($L5*1.01/IF(Übungen!$J5="",0,Übungen!$J5),1)*IF(Übungen!$J5="",0,Übungen!$J5)),IF(IF(Übungen!$J5="",0,Übungen!$J5)=0,ROUND((($L5*(1+$N5/30))/(1+Übungen!$E5/30))*2,0)/2,FLOOR((($L5*(1+$N5/30))/(1+Übungen!$E5/30))/IF(Übungen!$J5="",0,Übungen!$J5),1)*IF(Übungen!$J5="",0,Übungen!$J5))),Übungen!$I5)),IF(AND($N5&lt;&gt;"",Übungen!$E5&lt;&gt;"",$N5&gt;=Übungen!$E5),IF(Übungen!$I5="",IF(IF(Übungen!$J5="",0,Übungen!$J5)=0,ROUND($L5*1.01*2,0)/2,CEILING($L5*1.01/IF(Übungen!$J5="",0,Übungen!$J5),1)*IF(Übungen!$J5="",0,Übungen!$J5)),MIN(IF(IF(Übungen!$J5="",0,Übungen!$J5)=0,ROUND($L5*1.01*2,0)/2,CEILING($L5*1.01/IF(Übungen!$J5="",0,Übungen!$J5),1)*IF(Übungen!$J5="",0,Übungen!$J5)),Übungen!$I5)),$L5))),FLOOR(IF($L5="",IF(Übungen!$H5="","",Übungen!$H5),IF(AND($L5&lt;&gt;"",$N5&lt;&gt;"",Übungen!$E5&lt;&gt;"",$N5&gt;=Übungen!$E5+2),IF(Übungen!$I5="",MAX(IF(IF(Übungen!$J5="",0,Übungen!$J5)=0,ROUND($L5*1.01*2,0)/2,CEILING($L5*1.01/IF(Übungen!$J5="",0,Übungen!$J5),1)*IF(Übungen!$J5="",0,Übungen!$J5)),IF(IF(Übungen!$J5="",0,Übungen!$J5)=0,ROUND((($L5*(1+$N5/30))/(1+Übungen!$E5/30))*2,0)/2,FLOOR((($L5*(1+$N5/30))/(1+Übungen!$E5/30))/IF(Übungen!$J5="",0,Übungen!$J5),1)*IF(Übungen!$J5="",0,Übungen!$J5))),MIN(MAX(IF(IF(Übungen!$J5="",0,Übungen!$J5)=0,ROUND($L5*1.01*2,0)/2,CEILING($L5*1.01/IF(Übungen!$J5="",0,Übungen!$J5),1)*IF(Übungen!$J5="",0,Übungen!$J5)),IF(IF(Übungen!$J5="",0,Übungen!$J5)=0,ROUND((($L5*(1+$N5/30))/(1+Übungen!$E5/30))*2,0)/2,FLOOR((($L5*(1+$N5/30))/(1+Übungen!$E5/30))/IF(Übungen!$J5="",0,Übungen!$J5),1)*IF(Übungen!$J5="",0,Übungen!$J5))),Übungen!$I5)),IF(AND($N5&lt;&gt;"",Übungen!$E5&lt;&gt;"",$N5&gt;=Übungen!$E5),IF(Übungen!$I5="",IF(IF(Übungen!$J5="",0,Übungen!$J5)=0,ROUND($L5*1.01*2,0)/2,CEILING($L5*1.01/IF(Übungen!$J5="",0,Übungen!$J5),1)*IF(Übungen!$J5="",0,Übungen!$J5)),MIN(IF(IF(Übungen!$J5="",0,Übungen!$J5)=0,ROUND($L5*1.01*2,0)/2,CEILING($L5*1.01/IF(Übungen!$J5="",0,Übungen!$J5),1)*IF(Übungen!$J5="",0,Übungen!$J5)),Übungen!$I5)),$L5)))*Übungen!$K5/100/Übungen!$J5,1)*Übungen!$J5))</f>
        <v>122.5</v>
      </c>
      <c r="P5" s="103" t="n">
        <f aca="false">IF(Übungen!$D5="","",IF($O5="","",IF($L5="",Übungen!$D5,IF(AND($N5&lt;&gt;"",Übungen!$E5&lt;&gt;"",$N5&gt;=Übungen!$E5),Übungen!$D5,IF(OR($N5="",$N5&lt;Übungen!$D5),Übungen!$D5,MIN(Übungen!$E5,$N5+1))))))</f>
        <v>5</v>
      </c>
      <c r="Q5" s="95" t="str">
        <f aca="false">IF(AND(AND($L5&lt;&gt;"",$N5&lt;&gt;"",Übungen!$E5&lt;&gt;"",$N5&gt;=Übungen!$E5+2),$O5&gt;$L5),"RM-Korrektur nach "&amp;TEXT($N5,"0")&amp;" Wdh: +"&amp;TEXT($O5-$L5,"0.#")&amp;" kg ("&amp;TEXT(($O5-$L5)/$L5,"0.0%")&amp;"), Wdh zurück auf "&amp;Übungen!$D5,IF($O5="","",IF($L5="","Einstieg mit Startgewicht",IF(AND(AND($N5&lt;&gt;"",Übungen!$E5&lt;&gt;"",$N5&gt;=Übungen!$E5),$O5&gt;$L5),"Gewicht +"&amp;TEXT($O5-$L5,"0.#")&amp;" kg ("&amp;TEXT(($O5-$L5)/$L5,"0.0%")&amp;"), Wdh zurück auf "&amp;Übungen!$D5,IF(AND(AND($N5&lt;&gt;"",Übungen!$E5&lt;&gt;"",$N5&gt;=Übungen!$E5),Übungen!$J5=""),"Zielbereich voll - dafür fehlt 'Schritt (kg)' im Blatt Übungen",IF(AND($N5&lt;&gt;"",Übungen!$E5&lt;&gt;"",$N5&gt;=Übungen!$E5),"Obergrenze erreicht - über Tempo und Pausen steigern",IF(OR($N5="",$N5&lt;Übungen!$D5),"Gewicht halten, erst "&amp;Übungen!$D5&amp;" Wdh sauber schaffen","Wdh +1 auf "&amp;$P5&amp;" bei gleichem Gewicht")))))))</f>
        <v>Gewicht +2.5 kg (2.1%), Wdh zurück auf 5</v>
      </c>
    </row>
    <row r="6" customFormat="false" ht="18" hidden="false" customHeight="true" outlineLevel="0" collapsed="false">
      <c r="A6" s="34" t="str">
        <f aca="false">IF(Übungen!$A6="","",Übungen!$A6)</f>
        <v>Beinstrecker</v>
      </c>
      <c r="B6" s="97" t="str">
        <f aca="false">IF(Übungen!$B6="","",Übungen!$B6)</f>
        <v>Beine vorne</v>
      </c>
      <c r="C6" s="83" t="n">
        <f aca="false">IF($D6="","",SUMPRODUCT((COUNTIFS(Log!$D$4:$D$1203,$A6,Log!$E$4:$E$1203,"A",Log!$B$4:$B$1203,Einheiten!$A$4:$A$63)&gt;0)*1))</f>
        <v>11</v>
      </c>
      <c r="D6" s="83" t="n">
        <f aca="false">IF($A6="","",IF(COUNTIFS(Log!$D$4:$D$1203,$A6,Log!$E$4:$E$1203,"A")=0,"",COUNTIFS(Log!$D$4:$D$1203,$A6,Log!$E$4:$E$1203,"A")))</f>
        <v>28</v>
      </c>
      <c r="E6" s="83" t="n">
        <f aca="false">IF($D6="","",SUMIFS(Log!$I$4:$I$1203,Log!$D$4:$D$1203,$A6,Log!$E$4:$E$1203,"A"))</f>
        <v>17570</v>
      </c>
      <c r="F6" s="98" t="n">
        <f aca="false">IF($D6="","",IF(SUMPRODUCT(MAX((Log!$D$4:$D$1203=$A6)*(Log!$E$4:$E$1203="A")*(Log!$F$4:$F$1203&lt;&gt;"")*Log!$F$4:$F$1203))=0,"",SUMPRODUCT(MAX((Log!$D$4:$D$1203=$A6)*(Log!$E$4:$E$1203="A")*(Log!$F$4:$F$1203&lt;&gt;"")*Log!$F$4:$F$1203))))</f>
        <v>95</v>
      </c>
      <c r="G6" s="83" t="n">
        <f aca="false">IF($F6="","",SUMPRODUCT(MAX((Log!$D$4:$D$1203=$A6)*(Log!$E$4:$E$1203="A")*(Log!$F$4:$F$1203=$F6)*Log!$B$4:$B$1203)))</f>
        <v>17</v>
      </c>
      <c r="H6" s="98" t="n">
        <f aca="false">IF($D6="","",IF(SUMPRODUCT(MAX((Log!$D$4:$D$1203=$A6)*(Log!$E$4:$E$1203="A")*(Log!$F$4:$F$1203&lt;&gt;"")*(Log!$G$4:$G$1203&lt;&gt;"")*Log!$F$4:$F$1203*(1+Log!$G$4:$G$1203/30)))=0,"",SUMPRODUCT(MAX((Log!$D$4:$D$1203=$A6)*(Log!$E$4:$E$1203="A")*(Log!$F$4:$F$1203&lt;&gt;"")*(Log!$G$4:$G$1203&lt;&gt;"")*Log!$F$4:$F$1203*(1+Log!$G$4:$G$1203/30)))))</f>
        <v>114</v>
      </c>
      <c r="I6" s="83" t="n">
        <f aca="false">IF($H6="","",SUMPRODUCT(MAX((Log!$D$4:$D$1203=$A6)*(Log!$E$4:$E$1203="A")*(Log!$F$4:$F$1203&lt;&gt;"")*(Log!$G$4:$G$1203&lt;&gt;"")*(ROUND(Log!$F$4:$F$1203*(1+Log!$G$4:$G$1203/30),6)=ROUND($H6,6))*Log!$B$4:$B$1203)))</f>
        <v>6</v>
      </c>
      <c r="J6" s="83" t="n">
        <f aca="false">IF($D6="","",IF(SUMPRODUCT(MAX((Log!$D$4:$D$1203=$A6)*(Log!$E$4:$E$1203="A")*(Log!$F$4:$F$1203&lt;&gt;"")*(Log!$G$4:$G$1203&lt;&gt;"")*Log!$F$4:$F$1203*Log!$G$4:$G$1203))=0,"",SUMPRODUCT(MAX((Log!$D$4:$D$1203=$A6)*(Log!$E$4:$E$1203="A")*(Log!$F$4:$F$1203&lt;&gt;"")*(Log!$G$4:$G$1203&lt;&gt;"")*Log!$F$4:$F$1203*Log!$G$4:$G$1203))))</f>
        <v>960</v>
      </c>
      <c r="K6" s="83" t="n">
        <f aca="false">IF($D6="","",IF(SUMPRODUCT(MAX((Log!$D$4:$D$1203=$A6)*(Log!$E$4:$E$1203="A")*Log!$B$4:$B$1203))=0,"",SUMPRODUCT(MAX((Log!$D$4:$D$1203=$A6)*(Log!$E$4:$E$1203="A")*Log!$B$4:$B$1203))))</f>
        <v>17</v>
      </c>
      <c r="L6" s="86" t="n">
        <f aca="false">IF($K6="","",IF(SUMPRODUCT(MAX((Log!$D$4:$D$1203=$A6)*(Log!$B$4:$B$1203=$K6)*(Log!$E$4:$E$1203="A")*(Log!$F$4:$F$1203&lt;&gt;"")*Log!$F$4:$F$1203))=0,"",SUMPRODUCT(MAX((Log!$D$4:$D$1203=$A6)*(Log!$B$4:$B$1203=$K6)*(Log!$E$4:$E$1203="A")*(Log!$F$4:$F$1203&lt;&gt;"")*Log!$F$4:$F$1203))))</f>
        <v>95</v>
      </c>
      <c r="M6" s="83" t="n">
        <f aca="false">IF($L6="","",IF(SUMPRODUCT(MAX((Log!$D$4:$D$1203=$A6)*(Log!$B$4:$B$1203=$K6)*(Log!$E$4:$E$1203="A")*(Log!$F$4:$F$1203=$L6)*Log!$G$4:$G$1203))=0,"",SUMPRODUCT(MAX((Log!$D$4:$D$1203=$A6)*(Log!$B$4:$B$1203=$K6)*(Log!$E$4:$E$1203="A")*(Log!$F$4:$F$1203=$L6)*Log!$G$4:$G$1203))))</f>
        <v>5</v>
      </c>
      <c r="N6" s="83" t="n">
        <f aca="false">IF($L6="","",IF(SUMPRODUCT(MIN((Log!$D$4:$D$1203=$A6)*(Log!$B$4:$B$1203=$K6)*(Log!$E$4:$E$1203="A")*(Log!$F$4:$F$1203=$L6)*Log!$G$4:$G$1203+((Log!$D$4:$D$1203&lt;&gt;$A6)+(Log!$B$4:$B$1203&lt;&gt;$K6)+(Log!$E$4:$E$1203&lt;&gt;"A")+(Log!$F$4:$F$1203&lt;&gt;$L6)+(Log!$G$4:$G$1203="")&gt;0)*999))&gt;=999,"",SUMPRODUCT(MIN((Log!$D$4:$D$1203=$A6)*(Log!$B$4:$B$1203=$K6)*(Log!$E$4:$E$1203="A")*(Log!$F$4:$F$1203=$L6)*Log!$G$4:$G$1203+((Log!$D$4:$D$1203&lt;&gt;$A6)+(Log!$B$4:$B$1203&lt;&gt;$K6)+(Log!$E$4:$E$1203&lt;&gt;"A")+(Log!$F$4:$F$1203&lt;&gt;$L6)+(Log!$G$4:$G$1203="")&gt;0)*999))))</f>
        <v>5</v>
      </c>
      <c r="O6" s="99" t="n">
        <f aca="false">IF(IF($L6="",IF(Übungen!$H6="","",Übungen!$H6),IF(AND($L6&lt;&gt;"",$N6&lt;&gt;"",Übungen!$E6&lt;&gt;"",$N6&gt;=Übungen!$E6+2),IF(Übungen!$I6="",MAX(IF(IF(Übungen!$J6="",0,Übungen!$J6)=0,ROUND($L6*1.01*2,0)/2,CEILING($L6*1.01/IF(Übungen!$J6="",0,Übungen!$J6),1)*IF(Übungen!$J6="",0,Übungen!$J6)),IF(IF(Übungen!$J6="",0,Übungen!$J6)=0,ROUND((($L6*(1+$N6/30))/(1+Übungen!$E6/30))*2,0)/2,FLOOR((($L6*(1+$N6/30))/(1+Übungen!$E6/30))/IF(Übungen!$J6="",0,Übungen!$J6),1)*IF(Übungen!$J6="",0,Übungen!$J6))),MIN(MAX(IF(IF(Übungen!$J6="",0,Übungen!$J6)=0,ROUND($L6*1.01*2,0)/2,CEILING($L6*1.01/IF(Übungen!$J6="",0,Übungen!$J6),1)*IF(Übungen!$J6="",0,Übungen!$J6)),IF(IF(Übungen!$J6="",0,Übungen!$J6)=0,ROUND((($L6*(1+$N6/30))/(1+Übungen!$E6/30))*2,0)/2,FLOOR((($L6*(1+$N6/30))/(1+Übungen!$E6/30))/IF(Übungen!$J6="",0,Übungen!$J6),1)*IF(Übungen!$J6="",0,Übungen!$J6))),Übungen!$I6)),IF(AND($N6&lt;&gt;"",Übungen!$E6&lt;&gt;"",$N6&gt;=Übungen!$E6),IF(Übungen!$I6="",IF(IF(Übungen!$J6="",0,Übungen!$J6)=0,ROUND($L6*1.01*2,0)/2,CEILING($L6*1.01/IF(Übungen!$J6="",0,Übungen!$J6),1)*IF(Übungen!$J6="",0,Übungen!$J6)),MIN(IF(IF(Übungen!$J6="",0,Übungen!$J6)=0,ROUND($L6*1.01*2,0)/2,CEILING($L6*1.01/IF(Übungen!$J6="",0,Übungen!$J6),1)*IF(Übungen!$J6="",0,Übungen!$J6)),Übungen!$I6)),$L6)))="","",IF(OR(Übungen!$K6="",Übungen!$K6=100),IF($L6="",IF(Übungen!$H6="","",Übungen!$H6),IF(AND($L6&lt;&gt;"",$N6&lt;&gt;"",Übungen!$E6&lt;&gt;"",$N6&gt;=Übungen!$E6+2),IF(Übungen!$I6="",MAX(IF(IF(Übungen!$J6="",0,Übungen!$J6)=0,ROUND($L6*1.01*2,0)/2,CEILING($L6*1.01/IF(Übungen!$J6="",0,Übungen!$J6),1)*IF(Übungen!$J6="",0,Übungen!$J6)),IF(IF(Übungen!$J6="",0,Übungen!$J6)=0,ROUND((($L6*(1+$N6/30))/(1+Übungen!$E6/30))*2,0)/2,FLOOR((($L6*(1+$N6/30))/(1+Übungen!$E6/30))/IF(Übungen!$J6="",0,Übungen!$J6),1)*IF(Übungen!$J6="",0,Übungen!$J6))),MIN(MAX(IF(IF(Übungen!$J6="",0,Übungen!$J6)=0,ROUND($L6*1.01*2,0)/2,CEILING($L6*1.01/IF(Übungen!$J6="",0,Übungen!$J6),1)*IF(Übungen!$J6="",0,Übungen!$J6)),IF(IF(Übungen!$J6="",0,Übungen!$J6)=0,ROUND((($L6*(1+$N6/30))/(1+Übungen!$E6/30))*2,0)/2,FLOOR((($L6*(1+$N6/30))/(1+Übungen!$E6/30))/IF(Übungen!$J6="",0,Übungen!$J6),1)*IF(Übungen!$J6="",0,Übungen!$J6))),Übungen!$I6)),IF(AND($N6&lt;&gt;"",Übungen!$E6&lt;&gt;"",$N6&gt;=Übungen!$E6),IF(Übungen!$I6="",IF(IF(Übungen!$J6="",0,Übungen!$J6)=0,ROUND($L6*1.01*2,0)/2,CEILING($L6*1.01/IF(Übungen!$J6="",0,Übungen!$J6),1)*IF(Übungen!$J6="",0,Übungen!$J6)),MIN(IF(IF(Übungen!$J6="",0,Übungen!$J6)=0,ROUND($L6*1.01*2,0)/2,CEILING($L6*1.01/IF(Übungen!$J6="",0,Übungen!$J6),1)*IF(Übungen!$J6="",0,Übungen!$J6)),Übungen!$I6)),$L6))),FLOOR(IF($L6="",IF(Übungen!$H6="","",Übungen!$H6),IF(AND($L6&lt;&gt;"",$N6&lt;&gt;"",Übungen!$E6&lt;&gt;"",$N6&gt;=Übungen!$E6+2),IF(Übungen!$I6="",MAX(IF(IF(Übungen!$J6="",0,Übungen!$J6)=0,ROUND($L6*1.01*2,0)/2,CEILING($L6*1.01/IF(Übungen!$J6="",0,Übungen!$J6),1)*IF(Übungen!$J6="",0,Übungen!$J6)),IF(IF(Übungen!$J6="",0,Übungen!$J6)=0,ROUND((($L6*(1+$N6/30))/(1+Übungen!$E6/30))*2,0)/2,FLOOR((($L6*(1+$N6/30))/(1+Übungen!$E6/30))/IF(Übungen!$J6="",0,Übungen!$J6),1)*IF(Übungen!$J6="",0,Übungen!$J6))),MIN(MAX(IF(IF(Übungen!$J6="",0,Übungen!$J6)=0,ROUND($L6*1.01*2,0)/2,CEILING($L6*1.01/IF(Übungen!$J6="",0,Übungen!$J6),1)*IF(Übungen!$J6="",0,Übungen!$J6)),IF(IF(Übungen!$J6="",0,Übungen!$J6)=0,ROUND((($L6*(1+$N6/30))/(1+Übungen!$E6/30))*2,0)/2,FLOOR((($L6*(1+$N6/30))/(1+Übungen!$E6/30))/IF(Übungen!$J6="",0,Übungen!$J6),1)*IF(Übungen!$J6="",0,Übungen!$J6))),Übungen!$I6)),IF(AND($N6&lt;&gt;"",Übungen!$E6&lt;&gt;"",$N6&gt;=Übungen!$E6),IF(Übungen!$I6="",IF(IF(Übungen!$J6="",0,Übungen!$J6)=0,ROUND($L6*1.01*2,0)/2,CEILING($L6*1.01/IF(Übungen!$J6="",0,Übungen!$J6),1)*IF(Übungen!$J6="",0,Übungen!$J6)),MIN(IF(IF(Übungen!$J6="",0,Übungen!$J6)=0,ROUND($L6*1.01*2,0)/2,CEILING($L6*1.01/IF(Übungen!$J6="",0,Übungen!$J6),1)*IF(Übungen!$J6="",0,Übungen!$J6)),Übungen!$I6)),$L6)))*Übungen!$K6/100/Übungen!$J6,1)*Übungen!$J6))</f>
        <v>95</v>
      </c>
      <c r="P6" s="100" t="n">
        <f aca="false">IF(Übungen!$D6="","",IF($O6="","",IF($L6="",Übungen!$D6,IF(AND($N6&lt;&gt;"",Übungen!$E6&lt;&gt;"",$N6&gt;=Übungen!$E6),Übungen!$D6,IF(OR($N6="",$N6&lt;Übungen!$D6),Übungen!$D6,MIN(Übungen!$E6,$N6+1))))))</f>
        <v>6</v>
      </c>
      <c r="Q6" s="91" t="str">
        <f aca="false">IF(AND(AND($L6&lt;&gt;"",$N6&lt;&gt;"",Übungen!$E6&lt;&gt;"",$N6&gt;=Übungen!$E6+2),$O6&gt;$L6),"RM-Korrektur nach "&amp;TEXT($N6,"0")&amp;" Wdh: +"&amp;TEXT($O6-$L6,"0.#")&amp;" kg ("&amp;TEXT(($O6-$L6)/$L6,"0.0%")&amp;"), Wdh zurück auf "&amp;Übungen!$D6,IF($O6="","",IF($L6="","Einstieg mit Startgewicht",IF(AND(AND($N6&lt;&gt;"",Übungen!$E6&lt;&gt;"",$N6&gt;=Übungen!$E6),$O6&gt;$L6),"Gewicht +"&amp;TEXT($O6-$L6,"0.#")&amp;" kg ("&amp;TEXT(($O6-$L6)/$L6,"0.0%")&amp;"), Wdh zurück auf "&amp;Übungen!$D6,IF(AND(AND($N6&lt;&gt;"",Übungen!$E6&lt;&gt;"",$N6&gt;=Übungen!$E6),Übungen!$J6=""),"Zielbereich voll - dafür fehlt 'Schritt (kg)' im Blatt Übungen",IF(AND($N6&lt;&gt;"",Übungen!$E6&lt;&gt;"",$N6&gt;=Übungen!$E6),"Obergrenze erreicht - über Tempo und Pausen steigern",IF(OR($N6="",$N6&lt;Übungen!$D6),"Gewicht halten, erst "&amp;Übungen!$D6&amp;" Wdh sauber schaffen","Wdh +1 auf "&amp;$P6&amp;" bei gleichem Gewicht")))))))</f>
        <v>Wdh +1 auf 6 bei gleichem Gewicht</v>
      </c>
    </row>
    <row r="7" customFormat="false" ht="18" hidden="false" customHeight="true" outlineLevel="0" collapsed="false">
      <c r="A7" s="40" t="str">
        <f aca="false">IF(Übungen!$A7="","",Übungen!$A7)</f>
        <v>Adduktion</v>
      </c>
      <c r="B7" s="4" t="str">
        <f aca="false">IF(Übungen!$B7="","",Übungen!$B7)</f>
        <v>Beine vorne</v>
      </c>
      <c r="C7" s="85" t="n">
        <f aca="false">IF($D7="","",SUMPRODUCT((COUNTIFS(Log!$D$4:$D$1203,$A7,Log!$E$4:$E$1203,"A",Log!$B$4:$B$1203,Einheiten!$A$4:$A$63)&gt;0)*1))</f>
        <v>8</v>
      </c>
      <c r="D7" s="85" t="n">
        <f aca="false">IF($A7="","",IF(COUNTIFS(Log!$D$4:$D$1203,$A7,Log!$E$4:$E$1203,"A")=0,"",COUNTIFS(Log!$D$4:$D$1203,$A7,Log!$E$4:$E$1203,"A")))</f>
        <v>17</v>
      </c>
      <c r="E7" s="85" t="n">
        <f aca="false">IF($D7="","",SUMIFS(Log!$I$4:$I$1203,Log!$D$4:$D$1203,$A7,Log!$E$4:$E$1203,"A"))</f>
        <v>32330</v>
      </c>
      <c r="F7" s="101" t="n">
        <f aca="false">IF($D7="","",IF(SUMPRODUCT(MAX((Log!$D$4:$D$1203=$A7)*(Log!$E$4:$E$1203="A")*(Log!$F$4:$F$1203&lt;&gt;"")*Log!$F$4:$F$1203))=0,"",SUMPRODUCT(MAX((Log!$D$4:$D$1203=$A7)*(Log!$E$4:$E$1203="A")*(Log!$F$4:$F$1203&lt;&gt;"")*Log!$F$4:$F$1203))))</f>
        <v>185</v>
      </c>
      <c r="G7" s="85" t="n">
        <f aca="false">IF($F7="","",SUMPRODUCT(MAX((Log!$D$4:$D$1203=$A7)*(Log!$E$4:$E$1203="A")*(Log!$F$4:$F$1203=$F7)*Log!$B$4:$B$1203)))</f>
        <v>8</v>
      </c>
      <c r="H7" s="101" t="n">
        <f aca="false">IF($D7="","",IF(SUMPRODUCT(MAX((Log!$D$4:$D$1203=$A7)*(Log!$E$4:$E$1203="A")*(Log!$F$4:$F$1203&lt;&gt;"")*(Log!$G$4:$G$1203&lt;&gt;"")*Log!$F$4:$F$1203*(1+Log!$G$4:$G$1203/30)))=0,"",SUMPRODUCT(MAX((Log!$D$4:$D$1203=$A7)*(Log!$E$4:$E$1203="A")*(Log!$F$4:$F$1203&lt;&gt;"")*(Log!$G$4:$G$1203&lt;&gt;"")*Log!$F$4:$F$1203*(1+Log!$G$4:$G$1203/30)))))</f>
        <v>279.583333333333</v>
      </c>
      <c r="I7" s="85" t="n">
        <f aca="false">IF($H7="","",SUMPRODUCT(MAX((Log!$D$4:$D$1203=$A7)*(Log!$E$4:$E$1203="A")*(Log!$F$4:$F$1203&lt;&gt;"")*(Log!$G$4:$G$1203&lt;&gt;"")*(ROUND(Log!$F$4:$F$1203*(1+Log!$G$4:$G$1203/30),6)=ROUND($H7,6))*Log!$B$4:$B$1203)))</f>
        <v>4</v>
      </c>
      <c r="J7" s="85" t="n">
        <f aca="false">IF($D7="","",IF(SUMPRODUCT(MAX((Log!$D$4:$D$1203=$A7)*(Log!$E$4:$E$1203="A")*(Log!$F$4:$F$1203&lt;&gt;"")*(Log!$G$4:$G$1203&lt;&gt;"")*Log!$F$4:$F$1203*Log!$G$4:$G$1203))=0,"",SUMPRODUCT(MAX((Log!$D$4:$D$1203=$A7)*(Log!$E$4:$E$1203="A")*(Log!$F$4:$F$1203&lt;&gt;"")*(Log!$G$4:$G$1203&lt;&gt;"")*Log!$F$4:$F$1203*Log!$G$4:$G$1203))))</f>
        <v>3812.5</v>
      </c>
      <c r="K7" s="85" t="n">
        <f aca="false">IF($D7="","",IF(SUMPRODUCT(MAX((Log!$D$4:$D$1203=$A7)*(Log!$E$4:$E$1203="A")*Log!$B$4:$B$1203))=0,"",SUMPRODUCT(MAX((Log!$D$4:$D$1203=$A7)*(Log!$E$4:$E$1203="A")*Log!$B$4:$B$1203))))</f>
        <v>17</v>
      </c>
      <c r="L7" s="88" t="n">
        <f aca="false">IF($K7="","",IF(SUMPRODUCT(MAX((Log!$D$4:$D$1203=$A7)*(Log!$B$4:$B$1203=$K7)*(Log!$E$4:$E$1203="A")*(Log!$F$4:$F$1203&lt;&gt;"")*Log!$F$4:$F$1203))=0,"",SUMPRODUCT(MAX((Log!$D$4:$D$1203=$A7)*(Log!$B$4:$B$1203=$K7)*(Log!$E$4:$E$1203="A")*(Log!$F$4:$F$1203&lt;&gt;"")*Log!$F$4:$F$1203))))</f>
        <v>165</v>
      </c>
      <c r="M7" s="85" t="n">
        <f aca="false">IF($L7="","",IF(SUMPRODUCT(MAX((Log!$D$4:$D$1203=$A7)*(Log!$B$4:$B$1203=$K7)*(Log!$E$4:$E$1203="A")*(Log!$F$4:$F$1203=$L7)*Log!$G$4:$G$1203))=0,"",SUMPRODUCT(MAX((Log!$D$4:$D$1203=$A7)*(Log!$B$4:$B$1203=$K7)*(Log!$E$4:$E$1203="A")*(Log!$F$4:$F$1203=$L7)*Log!$G$4:$G$1203))))</f>
        <v>6</v>
      </c>
      <c r="N7" s="85" t="n">
        <f aca="false">IF($L7="","",IF(SUMPRODUCT(MIN((Log!$D$4:$D$1203=$A7)*(Log!$B$4:$B$1203=$K7)*(Log!$E$4:$E$1203="A")*(Log!$F$4:$F$1203=$L7)*Log!$G$4:$G$1203+((Log!$D$4:$D$1203&lt;&gt;$A7)+(Log!$B$4:$B$1203&lt;&gt;$K7)+(Log!$E$4:$E$1203&lt;&gt;"A")+(Log!$F$4:$F$1203&lt;&gt;$L7)+(Log!$G$4:$G$1203="")&gt;0)*999))&gt;=999,"",SUMPRODUCT(MIN((Log!$D$4:$D$1203=$A7)*(Log!$B$4:$B$1203=$K7)*(Log!$E$4:$E$1203="A")*(Log!$F$4:$F$1203=$L7)*Log!$G$4:$G$1203+((Log!$D$4:$D$1203&lt;&gt;$A7)+(Log!$B$4:$B$1203&lt;&gt;$K7)+(Log!$E$4:$E$1203&lt;&gt;"A")+(Log!$F$4:$F$1203&lt;&gt;$L7)+(Log!$G$4:$G$1203="")&gt;0)*999))))</f>
        <v>6</v>
      </c>
      <c r="O7" s="102" t="n">
        <f aca="false">IF(IF($L7="",IF(Übungen!$H7="","",Übungen!$H7),IF(AND($L7&lt;&gt;"",$N7&lt;&gt;"",Übungen!$E7&lt;&gt;"",$N7&gt;=Übungen!$E7+2),IF(Übungen!$I7="",MAX(IF(IF(Übungen!$J7="",0,Übungen!$J7)=0,ROUND($L7*1.01*2,0)/2,CEILING($L7*1.01/IF(Übungen!$J7="",0,Übungen!$J7),1)*IF(Übungen!$J7="",0,Übungen!$J7)),IF(IF(Übungen!$J7="",0,Übungen!$J7)=0,ROUND((($L7*(1+$N7/30))/(1+Übungen!$E7/30))*2,0)/2,FLOOR((($L7*(1+$N7/30))/(1+Übungen!$E7/30))/IF(Übungen!$J7="",0,Übungen!$J7),1)*IF(Übungen!$J7="",0,Übungen!$J7))),MIN(MAX(IF(IF(Übungen!$J7="",0,Übungen!$J7)=0,ROUND($L7*1.01*2,0)/2,CEILING($L7*1.01/IF(Übungen!$J7="",0,Übungen!$J7),1)*IF(Übungen!$J7="",0,Übungen!$J7)),IF(IF(Übungen!$J7="",0,Übungen!$J7)=0,ROUND((($L7*(1+$N7/30))/(1+Übungen!$E7/30))*2,0)/2,FLOOR((($L7*(1+$N7/30))/(1+Übungen!$E7/30))/IF(Übungen!$J7="",0,Übungen!$J7),1)*IF(Übungen!$J7="",0,Übungen!$J7))),Übungen!$I7)),IF(AND($N7&lt;&gt;"",Übungen!$E7&lt;&gt;"",$N7&gt;=Übungen!$E7),IF(Übungen!$I7="",IF(IF(Übungen!$J7="",0,Übungen!$J7)=0,ROUND($L7*1.01*2,0)/2,CEILING($L7*1.01/IF(Übungen!$J7="",0,Übungen!$J7),1)*IF(Übungen!$J7="",0,Übungen!$J7)),MIN(IF(IF(Übungen!$J7="",0,Übungen!$J7)=0,ROUND($L7*1.01*2,0)/2,CEILING($L7*1.01/IF(Übungen!$J7="",0,Übungen!$J7),1)*IF(Übungen!$J7="",0,Übungen!$J7)),Übungen!$I7)),$L7)))="","",IF(OR(Übungen!$K7="",Übungen!$K7=100),IF($L7="",IF(Übungen!$H7="","",Übungen!$H7),IF(AND($L7&lt;&gt;"",$N7&lt;&gt;"",Übungen!$E7&lt;&gt;"",$N7&gt;=Übungen!$E7+2),IF(Übungen!$I7="",MAX(IF(IF(Übungen!$J7="",0,Übungen!$J7)=0,ROUND($L7*1.01*2,0)/2,CEILING($L7*1.01/IF(Übungen!$J7="",0,Übungen!$J7),1)*IF(Übungen!$J7="",0,Übungen!$J7)),IF(IF(Übungen!$J7="",0,Übungen!$J7)=0,ROUND((($L7*(1+$N7/30))/(1+Übungen!$E7/30))*2,0)/2,FLOOR((($L7*(1+$N7/30))/(1+Übungen!$E7/30))/IF(Übungen!$J7="",0,Übungen!$J7),1)*IF(Übungen!$J7="",0,Übungen!$J7))),MIN(MAX(IF(IF(Übungen!$J7="",0,Übungen!$J7)=0,ROUND($L7*1.01*2,0)/2,CEILING($L7*1.01/IF(Übungen!$J7="",0,Übungen!$J7),1)*IF(Übungen!$J7="",0,Übungen!$J7)),IF(IF(Übungen!$J7="",0,Übungen!$J7)=0,ROUND((($L7*(1+$N7/30))/(1+Übungen!$E7/30))*2,0)/2,FLOOR((($L7*(1+$N7/30))/(1+Übungen!$E7/30))/IF(Übungen!$J7="",0,Übungen!$J7),1)*IF(Übungen!$J7="",0,Übungen!$J7))),Übungen!$I7)),IF(AND($N7&lt;&gt;"",Übungen!$E7&lt;&gt;"",$N7&gt;=Übungen!$E7),IF(Übungen!$I7="",IF(IF(Übungen!$J7="",0,Übungen!$J7)=0,ROUND($L7*1.01*2,0)/2,CEILING($L7*1.01/IF(Übungen!$J7="",0,Übungen!$J7),1)*IF(Übungen!$J7="",0,Übungen!$J7)),MIN(IF(IF(Übungen!$J7="",0,Übungen!$J7)=0,ROUND($L7*1.01*2,0)/2,CEILING($L7*1.01/IF(Übungen!$J7="",0,Übungen!$J7),1)*IF(Übungen!$J7="",0,Übungen!$J7)),Übungen!$I7)),$L7))),FLOOR(IF($L7="",IF(Übungen!$H7="","",Übungen!$H7),IF(AND($L7&lt;&gt;"",$N7&lt;&gt;"",Übungen!$E7&lt;&gt;"",$N7&gt;=Übungen!$E7+2),IF(Übungen!$I7="",MAX(IF(IF(Übungen!$J7="",0,Übungen!$J7)=0,ROUND($L7*1.01*2,0)/2,CEILING($L7*1.01/IF(Übungen!$J7="",0,Übungen!$J7),1)*IF(Übungen!$J7="",0,Übungen!$J7)),IF(IF(Übungen!$J7="",0,Übungen!$J7)=0,ROUND((($L7*(1+$N7/30))/(1+Übungen!$E7/30))*2,0)/2,FLOOR((($L7*(1+$N7/30))/(1+Übungen!$E7/30))/IF(Übungen!$J7="",0,Übungen!$J7),1)*IF(Übungen!$J7="",0,Übungen!$J7))),MIN(MAX(IF(IF(Übungen!$J7="",0,Übungen!$J7)=0,ROUND($L7*1.01*2,0)/2,CEILING($L7*1.01/IF(Übungen!$J7="",0,Übungen!$J7),1)*IF(Übungen!$J7="",0,Übungen!$J7)),IF(IF(Übungen!$J7="",0,Übungen!$J7)=0,ROUND((($L7*(1+$N7/30))/(1+Übungen!$E7/30))*2,0)/2,FLOOR((($L7*(1+$N7/30))/(1+Übungen!$E7/30))/IF(Übungen!$J7="",0,Übungen!$J7),1)*IF(Übungen!$J7="",0,Übungen!$J7))),Übungen!$I7)),IF(AND($N7&lt;&gt;"",Übungen!$E7&lt;&gt;"",$N7&gt;=Übungen!$E7),IF(Übungen!$I7="",IF(IF(Übungen!$J7="",0,Übungen!$J7)=0,ROUND($L7*1.01*2,0)/2,CEILING($L7*1.01/IF(Übungen!$J7="",0,Übungen!$J7),1)*IF(Übungen!$J7="",0,Übungen!$J7)),MIN(IF(IF(Übungen!$J7="",0,Übungen!$J7)=0,ROUND($L7*1.01*2,0)/2,CEILING($L7*1.01/IF(Übungen!$J7="",0,Übungen!$J7),1)*IF(Übungen!$J7="",0,Übungen!$J7)),Übungen!$I7)),$L7)))*Übungen!$K7/100/Übungen!$J7,1)*Übungen!$J7))</f>
        <v>167.5</v>
      </c>
      <c r="P7" s="103" t="n">
        <f aca="false">IF(Übungen!$D7="","",IF($O7="","",IF($L7="",Übungen!$D7,IF(AND($N7&lt;&gt;"",Übungen!$E7&lt;&gt;"",$N7&gt;=Übungen!$E7),Übungen!$D7,IF(OR($N7="",$N7&lt;Übungen!$D7),Übungen!$D7,MIN(Übungen!$E7,$N7+1))))))</f>
        <v>5</v>
      </c>
      <c r="Q7" s="95" t="str">
        <f aca="false">IF(AND(AND($L7&lt;&gt;"",$N7&lt;&gt;"",Übungen!$E7&lt;&gt;"",$N7&gt;=Übungen!$E7+2),$O7&gt;$L7),"RM-Korrektur nach "&amp;TEXT($N7,"0")&amp;" Wdh: +"&amp;TEXT($O7-$L7,"0.#")&amp;" kg ("&amp;TEXT(($O7-$L7)/$L7,"0.0%")&amp;"), Wdh zurück auf "&amp;Übungen!$D7,IF($O7="","",IF($L7="","Einstieg mit Startgewicht",IF(AND(AND($N7&lt;&gt;"",Übungen!$E7&lt;&gt;"",$N7&gt;=Übungen!$E7),$O7&gt;$L7),"Gewicht +"&amp;TEXT($O7-$L7,"0.#")&amp;" kg ("&amp;TEXT(($O7-$L7)/$L7,"0.0%")&amp;"), Wdh zurück auf "&amp;Übungen!$D7,IF(AND(AND($N7&lt;&gt;"",Übungen!$E7&lt;&gt;"",$N7&gt;=Übungen!$E7),Übungen!$J7=""),"Zielbereich voll - dafür fehlt 'Schritt (kg)' im Blatt Übungen",IF(AND($N7&lt;&gt;"",Übungen!$E7&lt;&gt;"",$N7&gt;=Übungen!$E7),"Obergrenze erreicht - über Tempo und Pausen steigern",IF(OR($N7="",$N7&lt;Übungen!$D7),"Gewicht halten, erst "&amp;Übungen!$D7&amp;" Wdh sauber schaffen","Wdh +1 auf "&amp;$P7&amp;" bei gleichem Gewicht")))))))</f>
        <v>Gewicht +2.5 kg (1.5%), Wdh zurück auf 5</v>
      </c>
    </row>
    <row r="8" customFormat="false" ht="18" hidden="false" customHeight="true" outlineLevel="0" collapsed="false">
      <c r="A8" s="34" t="str">
        <f aca="false">IF(Übungen!$A8="","",Übungen!$A8)</f>
        <v>Reverse V-Squat</v>
      </c>
      <c r="B8" s="97" t="str">
        <f aca="false">IF(Übungen!$B8="","",Übungen!$B8)</f>
        <v>Beine hinten</v>
      </c>
      <c r="C8" s="83" t="n">
        <f aca="false">IF($D8="","",SUMPRODUCT((COUNTIFS(Log!$D$4:$D$1203,$A8,Log!$E$4:$E$1203,"A",Log!$B$4:$B$1203,Einheiten!$A$4:$A$63)&gt;0)*1))</f>
        <v>2</v>
      </c>
      <c r="D8" s="83" t="n">
        <f aca="false">IF($A8="","",IF(COUNTIFS(Log!$D$4:$D$1203,$A8,Log!$E$4:$E$1203,"A")=0,"",COUNTIFS(Log!$D$4:$D$1203,$A8,Log!$E$4:$E$1203,"A")))</f>
        <v>6</v>
      </c>
      <c r="E8" s="83" t="n">
        <f aca="false">IF($D8="","",SUMIFS(Log!$I$4:$I$1203,Log!$D$4:$D$1203,$A8,Log!$E$4:$E$1203,"A"))</f>
        <v>7683</v>
      </c>
      <c r="F8" s="98" t="n">
        <f aca="false">IF($D8="","",IF(SUMPRODUCT(MAX((Log!$D$4:$D$1203=$A8)*(Log!$E$4:$E$1203="A")*(Log!$F$4:$F$1203&lt;&gt;"")*Log!$F$4:$F$1203))=0,"",SUMPRODUCT(MAX((Log!$D$4:$D$1203=$A8)*(Log!$E$4:$E$1203="A")*(Log!$F$4:$F$1203&lt;&gt;"")*Log!$F$4:$F$1203))))</f>
        <v>215</v>
      </c>
      <c r="G8" s="83" t="n">
        <f aca="false">IF($F8="","",SUMPRODUCT(MAX((Log!$D$4:$D$1203=$A8)*(Log!$E$4:$E$1203="A")*(Log!$F$4:$F$1203=$F8)*Log!$B$4:$B$1203)))</f>
        <v>14</v>
      </c>
      <c r="H8" s="98" t="n">
        <f aca="false">IF($D8="","",IF(SUMPRODUCT(MAX((Log!$D$4:$D$1203=$A8)*(Log!$E$4:$E$1203="A")*(Log!$F$4:$F$1203&lt;&gt;"")*(Log!$G$4:$G$1203&lt;&gt;"")*Log!$F$4:$F$1203*(1+Log!$G$4:$G$1203/30)))=0,"",SUMPRODUCT(MAX((Log!$D$4:$D$1203=$A8)*(Log!$E$4:$E$1203="A")*(Log!$F$4:$F$1203&lt;&gt;"")*(Log!$G$4:$G$1203&lt;&gt;"")*Log!$F$4:$F$1203*(1+Log!$G$4:$G$1203/30)))))</f>
        <v>252</v>
      </c>
      <c r="I8" s="83" t="n">
        <f aca="false">IF($H8="","",SUMPRODUCT(MAX((Log!$D$4:$D$1203=$A8)*(Log!$E$4:$E$1203="A")*(Log!$F$4:$F$1203&lt;&gt;"")*(Log!$G$4:$G$1203&lt;&gt;"")*(ROUND(Log!$F$4:$F$1203*(1+Log!$G$4:$G$1203/30),6)=ROUND($H8,6))*Log!$B$4:$B$1203)))</f>
        <v>13</v>
      </c>
      <c r="J8" s="83" t="n">
        <f aca="false">IF($D8="","",IF(SUMPRODUCT(MAX((Log!$D$4:$D$1203=$A8)*(Log!$E$4:$E$1203="A")*(Log!$F$4:$F$1203&lt;&gt;"")*(Log!$G$4:$G$1203&lt;&gt;"")*Log!$F$4:$F$1203*Log!$G$4:$G$1203))=0,"",SUMPRODUCT(MAX((Log!$D$4:$D$1203=$A8)*(Log!$E$4:$E$1203="A")*(Log!$F$4:$F$1203&lt;&gt;"")*(Log!$G$4:$G$1203&lt;&gt;"")*Log!$F$4:$F$1203*Log!$G$4:$G$1203))))</f>
        <v>1520</v>
      </c>
      <c r="K8" s="83" t="n">
        <f aca="false">IF($D8="","",IF(SUMPRODUCT(MAX((Log!$D$4:$D$1203=$A8)*(Log!$E$4:$E$1203="A")*Log!$B$4:$B$1203))=0,"",SUMPRODUCT(MAX((Log!$D$4:$D$1203=$A8)*(Log!$E$4:$E$1203="A")*Log!$B$4:$B$1203))))</f>
        <v>14</v>
      </c>
      <c r="L8" s="86" t="n">
        <f aca="false">IF($K8="","",IF(SUMPRODUCT(MAX((Log!$D$4:$D$1203=$A8)*(Log!$B$4:$B$1203=$K8)*(Log!$E$4:$E$1203="A")*(Log!$F$4:$F$1203&lt;&gt;"")*Log!$F$4:$F$1203))=0,"",SUMPRODUCT(MAX((Log!$D$4:$D$1203=$A8)*(Log!$B$4:$B$1203=$K8)*(Log!$E$4:$E$1203="A")*(Log!$F$4:$F$1203&lt;&gt;"")*Log!$F$4:$F$1203))))</f>
        <v>215</v>
      </c>
      <c r="M8" s="83" t="n">
        <f aca="false">IF($L8="","",IF(SUMPRODUCT(MAX((Log!$D$4:$D$1203=$A8)*(Log!$B$4:$B$1203=$K8)*(Log!$E$4:$E$1203="A")*(Log!$F$4:$F$1203=$L8)*Log!$G$4:$G$1203))=0,"",SUMPRODUCT(MAX((Log!$D$4:$D$1203=$A8)*(Log!$B$4:$B$1203=$K8)*(Log!$E$4:$E$1203="A")*(Log!$F$4:$F$1203=$L8)*Log!$G$4:$G$1203))))</f>
        <v>5</v>
      </c>
      <c r="N8" s="83" t="n">
        <f aca="false">IF($L8="","",IF(SUMPRODUCT(MIN((Log!$D$4:$D$1203=$A8)*(Log!$B$4:$B$1203=$K8)*(Log!$E$4:$E$1203="A")*(Log!$F$4:$F$1203=$L8)*Log!$G$4:$G$1203+((Log!$D$4:$D$1203&lt;&gt;$A8)+(Log!$B$4:$B$1203&lt;&gt;$K8)+(Log!$E$4:$E$1203&lt;&gt;"A")+(Log!$F$4:$F$1203&lt;&gt;$L8)+(Log!$G$4:$G$1203="")&gt;0)*999))&gt;=999,"",SUMPRODUCT(MIN((Log!$D$4:$D$1203=$A8)*(Log!$B$4:$B$1203=$K8)*(Log!$E$4:$E$1203="A")*(Log!$F$4:$F$1203=$L8)*Log!$G$4:$G$1203+((Log!$D$4:$D$1203&lt;&gt;$A8)+(Log!$B$4:$B$1203&lt;&gt;$K8)+(Log!$E$4:$E$1203&lt;&gt;"A")+(Log!$F$4:$F$1203&lt;&gt;$L8)+(Log!$G$4:$G$1203="")&gt;0)*999))))</f>
        <v>5</v>
      </c>
      <c r="O8" s="99" t="n">
        <f aca="false">IF(IF($L8="",IF(Übungen!$H8="","",Übungen!$H8),IF(AND($L8&lt;&gt;"",$N8&lt;&gt;"",Übungen!$E8&lt;&gt;"",$N8&gt;=Übungen!$E8+2),IF(Übungen!$I8="",MAX(IF(IF(Übungen!$J8="",0,Übungen!$J8)=0,ROUND($L8*1.01*2,0)/2,CEILING($L8*1.01/IF(Übungen!$J8="",0,Übungen!$J8),1)*IF(Übungen!$J8="",0,Übungen!$J8)),IF(IF(Übungen!$J8="",0,Übungen!$J8)=0,ROUND((($L8*(1+$N8/30))/(1+Übungen!$E8/30))*2,0)/2,FLOOR((($L8*(1+$N8/30))/(1+Übungen!$E8/30))/IF(Übungen!$J8="",0,Übungen!$J8),1)*IF(Übungen!$J8="",0,Übungen!$J8))),MIN(MAX(IF(IF(Übungen!$J8="",0,Übungen!$J8)=0,ROUND($L8*1.01*2,0)/2,CEILING($L8*1.01/IF(Übungen!$J8="",0,Übungen!$J8),1)*IF(Übungen!$J8="",0,Übungen!$J8)),IF(IF(Übungen!$J8="",0,Übungen!$J8)=0,ROUND((($L8*(1+$N8/30))/(1+Übungen!$E8/30))*2,0)/2,FLOOR((($L8*(1+$N8/30))/(1+Übungen!$E8/30))/IF(Übungen!$J8="",0,Übungen!$J8),1)*IF(Übungen!$J8="",0,Übungen!$J8))),Übungen!$I8)),IF(AND($N8&lt;&gt;"",Übungen!$E8&lt;&gt;"",$N8&gt;=Übungen!$E8),IF(Übungen!$I8="",IF(IF(Übungen!$J8="",0,Übungen!$J8)=0,ROUND($L8*1.01*2,0)/2,CEILING($L8*1.01/IF(Übungen!$J8="",0,Übungen!$J8),1)*IF(Übungen!$J8="",0,Übungen!$J8)),MIN(IF(IF(Übungen!$J8="",0,Übungen!$J8)=0,ROUND($L8*1.01*2,0)/2,CEILING($L8*1.01/IF(Übungen!$J8="",0,Übungen!$J8),1)*IF(Übungen!$J8="",0,Übungen!$J8)),Übungen!$I8)),$L8)))="","",IF(OR(Übungen!$K8="",Übungen!$K8=100),IF($L8="",IF(Übungen!$H8="","",Übungen!$H8),IF(AND($L8&lt;&gt;"",$N8&lt;&gt;"",Übungen!$E8&lt;&gt;"",$N8&gt;=Übungen!$E8+2),IF(Übungen!$I8="",MAX(IF(IF(Übungen!$J8="",0,Übungen!$J8)=0,ROUND($L8*1.01*2,0)/2,CEILING($L8*1.01/IF(Übungen!$J8="",0,Übungen!$J8),1)*IF(Übungen!$J8="",0,Übungen!$J8)),IF(IF(Übungen!$J8="",0,Übungen!$J8)=0,ROUND((($L8*(1+$N8/30))/(1+Übungen!$E8/30))*2,0)/2,FLOOR((($L8*(1+$N8/30))/(1+Übungen!$E8/30))/IF(Übungen!$J8="",0,Übungen!$J8),1)*IF(Übungen!$J8="",0,Übungen!$J8))),MIN(MAX(IF(IF(Übungen!$J8="",0,Übungen!$J8)=0,ROUND($L8*1.01*2,0)/2,CEILING($L8*1.01/IF(Übungen!$J8="",0,Übungen!$J8),1)*IF(Übungen!$J8="",0,Übungen!$J8)),IF(IF(Übungen!$J8="",0,Übungen!$J8)=0,ROUND((($L8*(1+$N8/30))/(1+Übungen!$E8/30))*2,0)/2,FLOOR((($L8*(1+$N8/30))/(1+Übungen!$E8/30))/IF(Übungen!$J8="",0,Übungen!$J8),1)*IF(Übungen!$J8="",0,Übungen!$J8))),Übungen!$I8)),IF(AND($N8&lt;&gt;"",Übungen!$E8&lt;&gt;"",$N8&gt;=Übungen!$E8),IF(Übungen!$I8="",IF(IF(Übungen!$J8="",0,Übungen!$J8)=0,ROUND($L8*1.01*2,0)/2,CEILING($L8*1.01/IF(Übungen!$J8="",0,Übungen!$J8),1)*IF(Übungen!$J8="",0,Übungen!$J8)),MIN(IF(IF(Übungen!$J8="",0,Übungen!$J8)=0,ROUND($L8*1.01*2,0)/2,CEILING($L8*1.01/IF(Übungen!$J8="",0,Übungen!$J8),1)*IF(Übungen!$J8="",0,Übungen!$J8)),Übungen!$I8)),$L8))),FLOOR(IF($L8="",IF(Übungen!$H8="","",Übungen!$H8),IF(AND($L8&lt;&gt;"",$N8&lt;&gt;"",Übungen!$E8&lt;&gt;"",$N8&gt;=Übungen!$E8+2),IF(Übungen!$I8="",MAX(IF(IF(Übungen!$J8="",0,Übungen!$J8)=0,ROUND($L8*1.01*2,0)/2,CEILING($L8*1.01/IF(Übungen!$J8="",0,Übungen!$J8),1)*IF(Übungen!$J8="",0,Übungen!$J8)),IF(IF(Übungen!$J8="",0,Übungen!$J8)=0,ROUND((($L8*(1+$N8/30))/(1+Übungen!$E8/30))*2,0)/2,FLOOR((($L8*(1+$N8/30))/(1+Übungen!$E8/30))/IF(Übungen!$J8="",0,Übungen!$J8),1)*IF(Übungen!$J8="",0,Übungen!$J8))),MIN(MAX(IF(IF(Übungen!$J8="",0,Übungen!$J8)=0,ROUND($L8*1.01*2,0)/2,CEILING($L8*1.01/IF(Übungen!$J8="",0,Übungen!$J8),1)*IF(Übungen!$J8="",0,Übungen!$J8)),IF(IF(Übungen!$J8="",0,Übungen!$J8)=0,ROUND((($L8*(1+$N8/30))/(1+Übungen!$E8/30))*2,0)/2,FLOOR((($L8*(1+$N8/30))/(1+Übungen!$E8/30))/IF(Übungen!$J8="",0,Übungen!$J8),1)*IF(Übungen!$J8="",0,Übungen!$J8))),Übungen!$I8)),IF(AND($N8&lt;&gt;"",Übungen!$E8&lt;&gt;"",$N8&gt;=Übungen!$E8),IF(Übungen!$I8="",IF(IF(Übungen!$J8="",0,Übungen!$J8)=0,ROUND($L8*1.01*2,0)/2,CEILING($L8*1.01/IF(Übungen!$J8="",0,Übungen!$J8),1)*IF(Übungen!$J8="",0,Übungen!$J8)),MIN(IF(IF(Übungen!$J8="",0,Übungen!$J8)=0,ROUND($L8*1.01*2,0)/2,CEILING($L8*1.01/IF(Übungen!$J8="",0,Übungen!$J8),1)*IF(Übungen!$J8="",0,Übungen!$J8)),Übungen!$I8)),$L8)))*Übungen!$K8/100/Übungen!$J8,1)*Übungen!$J8))</f>
        <v>215</v>
      </c>
      <c r="P8" s="100" t="n">
        <f aca="false">IF(Übungen!$D8="","",IF($O8="","",IF($L8="",Übungen!$D8,IF(AND($N8&lt;&gt;"",Übungen!$E8&lt;&gt;"",$N8&gt;=Übungen!$E8),Übungen!$D8,IF(OR($N8="",$N8&lt;Übungen!$D8),Übungen!$D8,MIN(Übungen!$E8,$N8+1))))))</f>
        <v>6</v>
      </c>
      <c r="Q8" s="91" t="str">
        <f aca="false">IF(AND(AND($L8&lt;&gt;"",$N8&lt;&gt;"",Übungen!$E8&lt;&gt;"",$N8&gt;=Übungen!$E8+2),$O8&gt;$L8),"RM-Korrektur nach "&amp;TEXT($N8,"0")&amp;" Wdh: +"&amp;TEXT($O8-$L8,"0.#")&amp;" kg ("&amp;TEXT(($O8-$L8)/$L8,"0.0%")&amp;"), Wdh zurück auf "&amp;Übungen!$D8,IF($O8="","",IF($L8="","Einstieg mit Startgewicht",IF(AND(AND($N8&lt;&gt;"",Übungen!$E8&lt;&gt;"",$N8&gt;=Übungen!$E8),$O8&gt;$L8),"Gewicht +"&amp;TEXT($O8-$L8,"0.#")&amp;" kg ("&amp;TEXT(($O8-$L8)/$L8,"0.0%")&amp;"), Wdh zurück auf "&amp;Übungen!$D8,IF(AND(AND($N8&lt;&gt;"",Übungen!$E8&lt;&gt;"",$N8&gt;=Übungen!$E8),Übungen!$J8=""),"Zielbereich voll - dafür fehlt 'Schritt (kg)' im Blatt Übungen",IF(AND($N8&lt;&gt;"",Übungen!$E8&lt;&gt;"",$N8&gt;=Übungen!$E8),"Obergrenze erreicht - über Tempo und Pausen steigern",IF(OR($N8="",$N8&lt;Übungen!$D8),"Gewicht halten, erst "&amp;Übungen!$D8&amp;" Wdh sauber schaffen","Wdh +1 auf "&amp;$P8&amp;" bei gleichem Gewicht")))))))</f>
        <v>Wdh +1 auf 6 bei gleichem Gewicht</v>
      </c>
    </row>
    <row r="9" customFormat="false" ht="18" hidden="false" customHeight="true" outlineLevel="0" collapsed="false">
      <c r="A9" s="40" t="str">
        <f aca="false">IF(Übungen!$A9="","",Übungen!$A9)</f>
        <v>Rumänisches Kreuzheben</v>
      </c>
      <c r="B9" s="4" t="str">
        <f aca="false">IF(Übungen!$B9="","",Übungen!$B9)</f>
        <v>Beine hinten</v>
      </c>
      <c r="C9" s="85" t="n">
        <f aca="false">IF($D9="","",SUMPRODUCT((COUNTIFS(Log!$D$4:$D$1203,$A9,Log!$E$4:$E$1203,"A",Log!$B$4:$B$1203,Einheiten!$A$4:$A$63)&gt;0)*1))</f>
        <v>4</v>
      </c>
      <c r="D9" s="85" t="n">
        <f aca="false">IF($A9="","",IF(COUNTIFS(Log!$D$4:$D$1203,$A9,Log!$E$4:$E$1203,"A")=0,"",COUNTIFS(Log!$D$4:$D$1203,$A9,Log!$E$4:$E$1203,"A")))</f>
        <v>11</v>
      </c>
      <c r="E9" s="85" t="n">
        <f aca="false">IF($D9="","",SUMIFS(Log!$I$4:$I$1203,Log!$D$4:$D$1203,$A9,Log!$E$4:$E$1203,"A"))</f>
        <v>10755</v>
      </c>
      <c r="F9" s="101" t="n">
        <f aca="false">IF($D9="","",IF(SUMPRODUCT(MAX((Log!$D$4:$D$1203=$A9)*(Log!$E$4:$E$1203="A")*(Log!$F$4:$F$1203&lt;&gt;"")*Log!$F$4:$F$1203))=0,"",SUMPRODUCT(MAX((Log!$D$4:$D$1203=$A9)*(Log!$E$4:$E$1203="A")*(Log!$F$4:$F$1203&lt;&gt;"")*Log!$F$4:$F$1203))))</f>
        <v>135</v>
      </c>
      <c r="G9" s="85" t="n">
        <f aca="false">IF($F9="","",SUMPRODUCT(MAX((Log!$D$4:$D$1203=$A9)*(Log!$E$4:$E$1203="A")*(Log!$F$4:$F$1203=$F9)*Log!$B$4:$B$1203)))</f>
        <v>9</v>
      </c>
      <c r="H9" s="101" t="n">
        <f aca="false">IF($D9="","",IF(SUMPRODUCT(MAX((Log!$D$4:$D$1203=$A9)*(Log!$E$4:$E$1203="A")*(Log!$F$4:$F$1203&lt;&gt;"")*(Log!$G$4:$G$1203&lt;&gt;"")*Log!$F$4:$F$1203*(1+Log!$G$4:$G$1203/30)))=0,"",SUMPRODUCT(MAX((Log!$D$4:$D$1203=$A9)*(Log!$E$4:$E$1203="A")*(Log!$F$4:$F$1203&lt;&gt;"")*(Log!$G$4:$G$1203&lt;&gt;"")*Log!$F$4:$F$1203*(1+Log!$G$4:$G$1203/30)))))</f>
        <v>166.5</v>
      </c>
      <c r="I9" s="85" t="n">
        <f aca="false">IF($H9="","",SUMPRODUCT(MAX((Log!$D$4:$D$1203=$A9)*(Log!$E$4:$E$1203="A")*(Log!$F$4:$F$1203&lt;&gt;"")*(Log!$G$4:$G$1203&lt;&gt;"")*(ROUND(Log!$F$4:$F$1203*(1+Log!$G$4:$G$1203/30),6)=ROUND($H9,6))*Log!$B$4:$B$1203)))</f>
        <v>9</v>
      </c>
      <c r="J9" s="85" t="n">
        <f aca="false">IF($D9="","",IF(SUMPRODUCT(MAX((Log!$D$4:$D$1203=$A9)*(Log!$E$4:$E$1203="A")*(Log!$F$4:$F$1203&lt;&gt;"")*(Log!$G$4:$G$1203&lt;&gt;"")*Log!$F$4:$F$1203*Log!$G$4:$G$1203))=0,"",SUMPRODUCT(MAX((Log!$D$4:$D$1203=$A9)*(Log!$E$4:$E$1203="A")*(Log!$F$4:$F$1203&lt;&gt;"")*(Log!$G$4:$G$1203&lt;&gt;"")*Log!$F$4:$F$1203*Log!$G$4:$G$1203))))</f>
        <v>1320</v>
      </c>
      <c r="K9" s="85" t="n">
        <f aca="false">IF($D9="","",IF(SUMPRODUCT(MAX((Log!$D$4:$D$1203=$A9)*(Log!$E$4:$E$1203="A")*Log!$B$4:$B$1203))=0,"",SUMPRODUCT(MAX((Log!$D$4:$D$1203=$A9)*(Log!$E$4:$E$1203="A")*Log!$B$4:$B$1203))))</f>
        <v>11</v>
      </c>
      <c r="L9" s="88" t="n">
        <f aca="false">IF($K9="","",IF(SUMPRODUCT(MAX((Log!$D$4:$D$1203=$A9)*(Log!$B$4:$B$1203=$K9)*(Log!$E$4:$E$1203="A")*(Log!$F$4:$F$1203&lt;&gt;"")*Log!$F$4:$F$1203))=0,"",SUMPRODUCT(MAX((Log!$D$4:$D$1203=$A9)*(Log!$B$4:$B$1203=$K9)*(Log!$E$4:$E$1203="A")*(Log!$F$4:$F$1203&lt;&gt;"")*Log!$F$4:$F$1203))))</f>
        <v>115</v>
      </c>
      <c r="M9" s="85" t="n">
        <f aca="false">IF($L9="","",IF(SUMPRODUCT(MAX((Log!$D$4:$D$1203=$A9)*(Log!$B$4:$B$1203=$K9)*(Log!$E$4:$E$1203="A")*(Log!$F$4:$F$1203=$L9)*Log!$G$4:$G$1203))=0,"",SUMPRODUCT(MAX((Log!$D$4:$D$1203=$A9)*(Log!$B$4:$B$1203=$K9)*(Log!$E$4:$E$1203="A")*(Log!$F$4:$F$1203=$L9)*Log!$G$4:$G$1203))))</f>
        <v>7</v>
      </c>
      <c r="N9" s="85" t="n">
        <f aca="false">IF($L9="","",IF(SUMPRODUCT(MIN((Log!$D$4:$D$1203=$A9)*(Log!$B$4:$B$1203=$K9)*(Log!$E$4:$E$1203="A")*(Log!$F$4:$F$1203=$L9)*Log!$G$4:$G$1203+((Log!$D$4:$D$1203&lt;&gt;$A9)+(Log!$B$4:$B$1203&lt;&gt;$K9)+(Log!$E$4:$E$1203&lt;&gt;"A")+(Log!$F$4:$F$1203&lt;&gt;$L9)+(Log!$G$4:$G$1203="")&gt;0)*999))&gt;=999,"",SUMPRODUCT(MIN((Log!$D$4:$D$1203=$A9)*(Log!$B$4:$B$1203=$K9)*(Log!$E$4:$E$1203="A")*(Log!$F$4:$F$1203=$L9)*Log!$G$4:$G$1203+((Log!$D$4:$D$1203&lt;&gt;$A9)+(Log!$B$4:$B$1203&lt;&gt;$K9)+(Log!$E$4:$E$1203&lt;&gt;"A")+(Log!$F$4:$F$1203&lt;&gt;$L9)+(Log!$G$4:$G$1203="")&gt;0)*999))))</f>
        <v>7</v>
      </c>
      <c r="O9" s="102" t="n">
        <f aca="false">IF(IF($L9="",IF(Übungen!$H9="","",Übungen!$H9),IF(AND($L9&lt;&gt;"",$N9&lt;&gt;"",Übungen!$E9&lt;&gt;"",$N9&gt;=Übungen!$E9+2),IF(Übungen!$I9="",MAX(IF(IF(Übungen!$J9="",0,Übungen!$J9)=0,ROUND($L9*1.01*2,0)/2,CEILING($L9*1.01/IF(Übungen!$J9="",0,Übungen!$J9),1)*IF(Übungen!$J9="",0,Übungen!$J9)),IF(IF(Übungen!$J9="",0,Übungen!$J9)=0,ROUND((($L9*(1+$N9/30))/(1+Übungen!$E9/30))*2,0)/2,FLOOR((($L9*(1+$N9/30))/(1+Übungen!$E9/30))/IF(Übungen!$J9="",0,Übungen!$J9),1)*IF(Übungen!$J9="",0,Übungen!$J9))),MIN(MAX(IF(IF(Übungen!$J9="",0,Übungen!$J9)=0,ROUND($L9*1.01*2,0)/2,CEILING($L9*1.01/IF(Übungen!$J9="",0,Übungen!$J9),1)*IF(Übungen!$J9="",0,Übungen!$J9)),IF(IF(Übungen!$J9="",0,Übungen!$J9)=0,ROUND((($L9*(1+$N9/30))/(1+Übungen!$E9/30))*2,0)/2,FLOOR((($L9*(1+$N9/30))/(1+Übungen!$E9/30))/IF(Übungen!$J9="",0,Übungen!$J9),1)*IF(Übungen!$J9="",0,Übungen!$J9))),Übungen!$I9)),IF(AND($N9&lt;&gt;"",Übungen!$E9&lt;&gt;"",$N9&gt;=Übungen!$E9),IF(Übungen!$I9="",IF(IF(Übungen!$J9="",0,Übungen!$J9)=0,ROUND($L9*1.01*2,0)/2,CEILING($L9*1.01/IF(Übungen!$J9="",0,Übungen!$J9),1)*IF(Übungen!$J9="",0,Übungen!$J9)),MIN(IF(IF(Übungen!$J9="",0,Übungen!$J9)=0,ROUND($L9*1.01*2,0)/2,CEILING($L9*1.01/IF(Übungen!$J9="",0,Übungen!$J9),1)*IF(Übungen!$J9="",0,Übungen!$J9)),Übungen!$I9)),$L9)))="","",IF(OR(Übungen!$K9="",Übungen!$K9=100),IF($L9="",IF(Übungen!$H9="","",Übungen!$H9),IF(AND($L9&lt;&gt;"",$N9&lt;&gt;"",Übungen!$E9&lt;&gt;"",$N9&gt;=Übungen!$E9+2),IF(Übungen!$I9="",MAX(IF(IF(Übungen!$J9="",0,Übungen!$J9)=0,ROUND($L9*1.01*2,0)/2,CEILING($L9*1.01/IF(Übungen!$J9="",0,Übungen!$J9),1)*IF(Übungen!$J9="",0,Übungen!$J9)),IF(IF(Übungen!$J9="",0,Übungen!$J9)=0,ROUND((($L9*(1+$N9/30))/(1+Übungen!$E9/30))*2,0)/2,FLOOR((($L9*(1+$N9/30))/(1+Übungen!$E9/30))/IF(Übungen!$J9="",0,Übungen!$J9),1)*IF(Übungen!$J9="",0,Übungen!$J9))),MIN(MAX(IF(IF(Übungen!$J9="",0,Übungen!$J9)=0,ROUND($L9*1.01*2,0)/2,CEILING($L9*1.01/IF(Übungen!$J9="",0,Übungen!$J9),1)*IF(Übungen!$J9="",0,Übungen!$J9)),IF(IF(Übungen!$J9="",0,Übungen!$J9)=0,ROUND((($L9*(1+$N9/30))/(1+Übungen!$E9/30))*2,0)/2,FLOOR((($L9*(1+$N9/30))/(1+Übungen!$E9/30))/IF(Übungen!$J9="",0,Übungen!$J9),1)*IF(Übungen!$J9="",0,Übungen!$J9))),Übungen!$I9)),IF(AND($N9&lt;&gt;"",Übungen!$E9&lt;&gt;"",$N9&gt;=Übungen!$E9),IF(Übungen!$I9="",IF(IF(Übungen!$J9="",0,Übungen!$J9)=0,ROUND($L9*1.01*2,0)/2,CEILING($L9*1.01/IF(Übungen!$J9="",0,Übungen!$J9),1)*IF(Übungen!$J9="",0,Übungen!$J9)),MIN(IF(IF(Übungen!$J9="",0,Übungen!$J9)=0,ROUND($L9*1.01*2,0)/2,CEILING($L9*1.01/IF(Übungen!$J9="",0,Übungen!$J9),1)*IF(Übungen!$J9="",0,Übungen!$J9)),Übungen!$I9)),$L9))),FLOOR(IF($L9="",IF(Übungen!$H9="","",Übungen!$H9),IF(AND($L9&lt;&gt;"",$N9&lt;&gt;"",Übungen!$E9&lt;&gt;"",$N9&gt;=Übungen!$E9+2),IF(Übungen!$I9="",MAX(IF(IF(Übungen!$J9="",0,Übungen!$J9)=0,ROUND($L9*1.01*2,0)/2,CEILING($L9*1.01/IF(Übungen!$J9="",0,Übungen!$J9),1)*IF(Übungen!$J9="",0,Übungen!$J9)),IF(IF(Übungen!$J9="",0,Übungen!$J9)=0,ROUND((($L9*(1+$N9/30))/(1+Übungen!$E9/30))*2,0)/2,FLOOR((($L9*(1+$N9/30))/(1+Übungen!$E9/30))/IF(Übungen!$J9="",0,Übungen!$J9),1)*IF(Übungen!$J9="",0,Übungen!$J9))),MIN(MAX(IF(IF(Übungen!$J9="",0,Übungen!$J9)=0,ROUND($L9*1.01*2,0)/2,CEILING($L9*1.01/IF(Übungen!$J9="",0,Übungen!$J9),1)*IF(Übungen!$J9="",0,Übungen!$J9)),IF(IF(Übungen!$J9="",0,Übungen!$J9)=0,ROUND((($L9*(1+$N9/30))/(1+Übungen!$E9/30))*2,0)/2,FLOOR((($L9*(1+$N9/30))/(1+Übungen!$E9/30))/IF(Übungen!$J9="",0,Übungen!$J9),1)*IF(Übungen!$J9="",0,Übungen!$J9))),Übungen!$I9)),IF(AND($N9&lt;&gt;"",Übungen!$E9&lt;&gt;"",$N9&gt;=Übungen!$E9),IF(Übungen!$I9="",IF(IF(Übungen!$J9="",0,Übungen!$J9)=0,ROUND($L9*1.01*2,0)/2,CEILING($L9*1.01/IF(Übungen!$J9="",0,Übungen!$J9),1)*IF(Übungen!$J9="",0,Übungen!$J9)),MIN(IF(IF(Übungen!$J9="",0,Übungen!$J9)=0,ROUND($L9*1.01*2,0)/2,CEILING($L9*1.01/IF(Übungen!$J9="",0,Übungen!$J9),1)*IF(Übungen!$J9="",0,Übungen!$J9)),Übungen!$I9)),$L9)))*Übungen!$K9/100/Übungen!$J9,1)*Übungen!$J9))</f>
        <v>117.5</v>
      </c>
      <c r="P9" s="103" t="n">
        <f aca="false">IF(Übungen!$D9="","",IF($O9="","",IF($L9="",Übungen!$D9,IF(AND($N9&lt;&gt;"",Übungen!$E9&lt;&gt;"",$N9&gt;=Übungen!$E9),Übungen!$D9,IF(OR($N9="",$N9&lt;Übungen!$D9),Übungen!$D9,MIN(Übungen!$E9,$N9+1))))))</f>
        <v>5</v>
      </c>
      <c r="Q9" s="95" t="str">
        <f aca="false">IF(AND(AND($L9&lt;&gt;"",$N9&lt;&gt;"",Übungen!$E9&lt;&gt;"",$N9&gt;=Übungen!$E9+2),$O9&gt;$L9),"RM-Korrektur nach "&amp;TEXT($N9,"0")&amp;" Wdh: +"&amp;TEXT($O9-$L9,"0.#")&amp;" kg ("&amp;TEXT(($O9-$L9)/$L9,"0.0%")&amp;"), Wdh zurück auf "&amp;Übungen!$D9,IF($O9="","",IF($L9="","Einstieg mit Startgewicht",IF(AND(AND($N9&lt;&gt;"",Übungen!$E9&lt;&gt;"",$N9&gt;=Übungen!$E9),$O9&gt;$L9),"Gewicht +"&amp;TEXT($O9-$L9,"0.#")&amp;" kg ("&amp;TEXT(($O9-$L9)/$L9,"0.0%")&amp;"), Wdh zurück auf "&amp;Übungen!$D9,IF(AND(AND($N9&lt;&gt;"",Übungen!$E9&lt;&gt;"",$N9&gt;=Übungen!$E9),Übungen!$J9=""),"Zielbereich voll - dafür fehlt 'Schritt (kg)' im Blatt Übungen",IF(AND($N9&lt;&gt;"",Übungen!$E9&lt;&gt;"",$N9&gt;=Übungen!$E9),"Obergrenze erreicht - über Tempo und Pausen steigern",IF(OR($N9="",$N9&lt;Übungen!$D9),"Gewicht halten, erst "&amp;Übungen!$D9&amp;" Wdh sauber schaffen","Wdh +1 auf "&amp;$P9&amp;" bei gleichem Gewicht")))))))</f>
        <v>Gewicht +2.5 kg (2.2%), Wdh zurück auf 5</v>
      </c>
    </row>
    <row r="10" customFormat="false" ht="18" hidden="false" customHeight="true" outlineLevel="0" collapsed="false">
      <c r="A10" s="34" t="str">
        <f aca="false">IF(Übungen!$A10="","",Übungen!$A10)</f>
        <v>Rumänisches Kreuzheben KH</v>
      </c>
      <c r="B10" s="97" t="str">
        <f aca="false">IF(Übungen!$B10="","",Übungen!$B10)</f>
        <v>Beine hinten</v>
      </c>
      <c r="C10" s="83" t="n">
        <f aca="false">IF($D10="","",SUMPRODUCT((COUNTIFS(Log!$D$4:$D$1203,$A10,Log!$E$4:$E$1203,"A",Log!$B$4:$B$1203,Einheiten!$A$4:$A$63)&gt;0)*1))</f>
        <v>1</v>
      </c>
      <c r="D10" s="83" t="n">
        <f aca="false">IF($A10="","",IF(COUNTIFS(Log!$D$4:$D$1203,$A10,Log!$E$4:$E$1203,"A")=0,"",COUNTIFS(Log!$D$4:$D$1203,$A10,Log!$E$4:$E$1203,"A")))</f>
        <v>3</v>
      </c>
      <c r="E10" s="83" t="n">
        <f aca="false">IF($D10="","",SUMIFS(Log!$I$4:$I$1203,Log!$D$4:$D$1203,$A10,Log!$E$4:$E$1203,"A"))</f>
        <v>480</v>
      </c>
      <c r="F10" s="98" t="n">
        <f aca="false">IF($D10="","",IF(SUMPRODUCT(MAX((Log!$D$4:$D$1203=$A10)*(Log!$E$4:$E$1203="A")*(Log!$F$4:$F$1203&lt;&gt;"")*Log!$F$4:$F$1203))=0,"",SUMPRODUCT(MAX((Log!$D$4:$D$1203=$A10)*(Log!$E$4:$E$1203="A")*(Log!$F$4:$F$1203&lt;&gt;"")*Log!$F$4:$F$1203))))</f>
        <v>34</v>
      </c>
      <c r="G10" s="83" t="n">
        <f aca="false">IF($F10="","",SUMPRODUCT(MAX((Log!$D$4:$D$1203=$A10)*(Log!$E$4:$E$1203="A")*(Log!$F$4:$F$1203=$F10)*Log!$B$4:$B$1203)))</f>
        <v>14</v>
      </c>
      <c r="H10" s="98" t="n">
        <f aca="false">IF($D10="","",IF(SUMPRODUCT(MAX((Log!$D$4:$D$1203=$A10)*(Log!$E$4:$E$1203="A")*(Log!$F$4:$F$1203&lt;&gt;"")*(Log!$G$4:$G$1203&lt;&gt;"")*Log!$F$4:$F$1203*(1+Log!$G$4:$G$1203/30)))=0,"",SUMPRODUCT(MAX((Log!$D$4:$D$1203=$A10)*(Log!$E$4:$E$1203="A")*(Log!$F$4:$F$1203&lt;&gt;"")*(Log!$G$4:$G$1203&lt;&gt;"")*Log!$F$4:$F$1203*(1+Log!$G$4:$G$1203/30)))))</f>
        <v>39.6666666666667</v>
      </c>
      <c r="I10" s="83" t="n">
        <f aca="false">IF($H10="","",SUMPRODUCT(MAX((Log!$D$4:$D$1203=$A10)*(Log!$E$4:$E$1203="A")*(Log!$F$4:$F$1203&lt;&gt;"")*(Log!$G$4:$G$1203&lt;&gt;"")*(ROUND(Log!$F$4:$F$1203*(1+Log!$G$4:$G$1203/30),6)=ROUND($H10,6))*Log!$B$4:$B$1203)))</f>
        <v>14</v>
      </c>
      <c r="J10" s="83" t="n">
        <f aca="false">IF($D10="","",IF(SUMPRODUCT(MAX((Log!$D$4:$D$1203=$A10)*(Log!$E$4:$E$1203="A")*(Log!$F$4:$F$1203&lt;&gt;"")*(Log!$G$4:$G$1203&lt;&gt;"")*Log!$F$4:$F$1203*Log!$G$4:$G$1203))=0,"",SUMPRODUCT(MAX((Log!$D$4:$D$1203=$A10)*(Log!$E$4:$E$1203="A")*(Log!$F$4:$F$1203&lt;&gt;"")*(Log!$G$4:$G$1203&lt;&gt;"")*Log!$F$4:$F$1203*Log!$G$4:$G$1203))))</f>
        <v>170</v>
      </c>
      <c r="K10" s="83" t="n">
        <f aca="false">IF($D10="","",IF(SUMPRODUCT(MAX((Log!$D$4:$D$1203=$A10)*(Log!$E$4:$E$1203="A")*Log!$B$4:$B$1203))=0,"",SUMPRODUCT(MAX((Log!$D$4:$D$1203=$A10)*(Log!$E$4:$E$1203="A")*Log!$B$4:$B$1203))))</f>
        <v>14</v>
      </c>
      <c r="L10" s="86" t="n">
        <f aca="false">IF($K10="","",IF(SUMPRODUCT(MAX((Log!$D$4:$D$1203=$A10)*(Log!$B$4:$B$1203=$K10)*(Log!$E$4:$E$1203="A")*(Log!$F$4:$F$1203&lt;&gt;"")*Log!$F$4:$F$1203))=0,"",SUMPRODUCT(MAX((Log!$D$4:$D$1203=$A10)*(Log!$B$4:$B$1203=$K10)*(Log!$E$4:$E$1203="A")*(Log!$F$4:$F$1203&lt;&gt;"")*Log!$F$4:$F$1203))))</f>
        <v>34</v>
      </c>
      <c r="M10" s="83" t="n">
        <f aca="false">IF($L10="","",IF(SUMPRODUCT(MAX((Log!$D$4:$D$1203=$A10)*(Log!$B$4:$B$1203=$K10)*(Log!$E$4:$E$1203="A")*(Log!$F$4:$F$1203=$L10)*Log!$G$4:$G$1203))=0,"",SUMPRODUCT(MAX((Log!$D$4:$D$1203=$A10)*(Log!$B$4:$B$1203=$K10)*(Log!$E$4:$E$1203="A")*(Log!$F$4:$F$1203=$L10)*Log!$G$4:$G$1203))))</f>
        <v>5</v>
      </c>
      <c r="N10" s="83" t="n">
        <f aca="false">IF($L10="","",IF(SUMPRODUCT(MIN((Log!$D$4:$D$1203=$A10)*(Log!$B$4:$B$1203=$K10)*(Log!$E$4:$E$1203="A")*(Log!$F$4:$F$1203=$L10)*Log!$G$4:$G$1203+((Log!$D$4:$D$1203&lt;&gt;$A10)+(Log!$B$4:$B$1203&lt;&gt;$K10)+(Log!$E$4:$E$1203&lt;&gt;"A")+(Log!$F$4:$F$1203&lt;&gt;$L10)+(Log!$G$4:$G$1203="")&gt;0)*999))&gt;=999,"",SUMPRODUCT(MIN((Log!$D$4:$D$1203=$A10)*(Log!$B$4:$B$1203=$K10)*(Log!$E$4:$E$1203="A")*(Log!$F$4:$F$1203=$L10)*Log!$G$4:$G$1203+((Log!$D$4:$D$1203&lt;&gt;$A10)+(Log!$B$4:$B$1203&lt;&gt;$K10)+(Log!$E$4:$E$1203&lt;&gt;"A")+(Log!$F$4:$F$1203&lt;&gt;$L10)+(Log!$G$4:$G$1203="")&gt;0)*999))))</f>
        <v>5</v>
      </c>
      <c r="O10" s="99" t="n">
        <f aca="false">IF(IF($L10="",IF(Übungen!$H10="","",Übungen!$H10),IF(AND($L10&lt;&gt;"",$N10&lt;&gt;"",Übungen!$E10&lt;&gt;"",$N10&gt;=Übungen!$E10+2),IF(Übungen!$I10="",MAX(IF(IF(Übungen!$J10="",0,Übungen!$J10)=0,ROUND($L10*1.01*2,0)/2,CEILING($L10*1.01/IF(Übungen!$J10="",0,Übungen!$J10),1)*IF(Übungen!$J10="",0,Übungen!$J10)),IF(IF(Übungen!$J10="",0,Übungen!$J10)=0,ROUND((($L10*(1+$N10/30))/(1+Übungen!$E10/30))*2,0)/2,FLOOR((($L10*(1+$N10/30))/(1+Übungen!$E10/30))/IF(Übungen!$J10="",0,Übungen!$J10),1)*IF(Übungen!$J10="",0,Übungen!$J10))),MIN(MAX(IF(IF(Übungen!$J10="",0,Übungen!$J10)=0,ROUND($L10*1.01*2,0)/2,CEILING($L10*1.01/IF(Übungen!$J10="",0,Übungen!$J10),1)*IF(Übungen!$J10="",0,Übungen!$J10)),IF(IF(Übungen!$J10="",0,Übungen!$J10)=0,ROUND((($L10*(1+$N10/30))/(1+Übungen!$E10/30))*2,0)/2,FLOOR((($L10*(1+$N10/30))/(1+Übungen!$E10/30))/IF(Übungen!$J10="",0,Übungen!$J10),1)*IF(Übungen!$J10="",0,Übungen!$J10))),Übungen!$I10)),IF(AND($N10&lt;&gt;"",Übungen!$E10&lt;&gt;"",$N10&gt;=Übungen!$E10),IF(Übungen!$I10="",IF(IF(Übungen!$J10="",0,Übungen!$J10)=0,ROUND($L10*1.01*2,0)/2,CEILING($L10*1.01/IF(Übungen!$J10="",0,Übungen!$J10),1)*IF(Übungen!$J10="",0,Übungen!$J10)),MIN(IF(IF(Übungen!$J10="",0,Übungen!$J10)=0,ROUND($L10*1.01*2,0)/2,CEILING($L10*1.01/IF(Übungen!$J10="",0,Übungen!$J10),1)*IF(Übungen!$J10="",0,Übungen!$J10)),Übungen!$I10)),$L10)))="","",IF(OR(Übungen!$K10="",Übungen!$K10=100),IF($L10="",IF(Übungen!$H10="","",Übungen!$H10),IF(AND($L10&lt;&gt;"",$N10&lt;&gt;"",Übungen!$E10&lt;&gt;"",$N10&gt;=Übungen!$E10+2),IF(Übungen!$I10="",MAX(IF(IF(Übungen!$J10="",0,Übungen!$J10)=0,ROUND($L10*1.01*2,0)/2,CEILING($L10*1.01/IF(Übungen!$J10="",0,Übungen!$J10),1)*IF(Übungen!$J10="",0,Übungen!$J10)),IF(IF(Übungen!$J10="",0,Übungen!$J10)=0,ROUND((($L10*(1+$N10/30))/(1+Übungen!$E10/30))*2,0)/2,FLOOR((($L10*(1+$N10/30))/(1+Übungen!$E10/30))/IF(Übungen!$J10="",0,Übungen!$J10),1)*IF(Übungen!$J10="",0,Übungen!$J10))),MIN(MAX(IF(IF(Übungen!$J10="",0,Übungen!$J10)=0,ROUND($L10*1.01*2,0)/2,CEILING($L10*1.01/IF(Übungen!$J10="",0,Übungen!$J10),1)*IF(Übungen!$J10="",0,Übungen!$J10)),IF(IF(Übungen!$J10="",0,Übungen!$J10)=0,ROUND((($L10*(1+$N10/30))/(1+Übungen!$E10/30))*2,0)/2,FLOOR((($L10*(1+$N10/30))/(1+Übungen!$E10/30))/IF(Übungen!$J10="",0,Übungen!$J10),1)*IF(Übungen!$J10="",0,Übungen!$J10))),Übungen!$I10)),IF(AND($N10&lt;&gt;"",Übungen!$E10&lt;&gt;"",$N10&gt;=Übungen!$E10),IF(Übungen!$I10="",IF(IF(Übungen!$J10="",0,Übungen!$J10)=0,ROUND($L10*1.01*2,0)/2,CEILING($L10*1.01/IF(Übungen!$J10="",0,Übungen!$J10),1)*IF(Übungen!$J10="",0,Übungen!$J10)),MIN(IF(IF(Übungen!$J10="",0,Übungen!$J10)=0,ROUND($L10*1.01*2,0)/2,CEILING($L10*1.01/IF(Übungen!$J10="",0,Übungen!$J10),1)*IF(Übungen!$J10="",0,Übungen!$J10)),Übungen!$I10)),$L10))),FLOOR(IF($L10="",IF(Übungen!$H10="","",Übungen!$H10),IF(AND($L10&lt;&gt;"",$N10&lt;&gt;"",Übungen!$E10&lt;&gt;"",$N10&gt;=Übungen!$E10+2),IF(Übungen!$I10="",MAX(IF(IF(Übungen!$J10="",0,Übungen!$J10)=0,ROUND($L10*1.01*2,0)/2,CEILING($L10*1.01/IF(Übungen!$J10="",0,Übungen!$J10),1)*IF(Übungen!$J10="",0,Übungen!$J10)),IF(IF(Übungen!$J10="",0,Übungen!$J10)=0,ROUND((($L10*(1+$N10/30))/(1+Übungen!$E10/30))*2,0)/2,FLOOR((($L10*(1+$N10/30))/(1+Übungen!$E10/30))/IF(Übungen!$J10="",0,Übungen!$J10),1)*IF(Übungen!$J10="",0,Übungen!$J10))),MIN(MAX(IF(IF(Übungen!$J10="",0,Übungen!$J10)=0,ROUND($L10*1.01*2,0)/2,CEILING($L10*1.01/IF(Übungen!$J10="",0,Übungen!$J10),1)*IF(Übungen!$J10="",0,Übungen!$J10)),IF(IF(Übungen!$J10="",0,Übungen!$J10)=0,ROUND((($L10*(1+$N10/30))/(1+Übungen!$E10/30))*2,0)/2,FLOOR((($L10*(1+$N10/30))/(1+Übungen!$E10/30))/IF(Übungen!$J10="",0,Übungen!$J10),1)*IF(Übungen!$J10="",0,Übungen!$J10))),Übungen!$I10)),IF(AND($N10&lt;&gt;"",Übungen!$E10&lt;&gt;"",$N10&gt;=Übungen!$E10),IF(Übungen!$I10="",IF(IF(Übungen!$J10="",0,Übungen!$J10)=0,ROUND($L10*1.01*2,0)/2,CEILING($L10*1.01/IF(Übungen!$J10="",0,Übungen!$J10),1)*IF(Übungen!$J10="",0,Übungen!$J10)),MIN(IF(IF(Übungen!$J10="",0,Übungen!$J10)=0,ROUND($L10*1.01*2,0)/2,CEILING($L10*1.01/IF(Übungen!$J10="",0,Übungen!$J10),1)*IF(Übungen!$J10="",0,Übungen!$J10)),Übungen!$I10)),$L10)))*Übungen!$K10/100/Übungen!$J10,1)*Übungen!$J10))</f>
        <v>34</v>
      </c>
      <c r="P10" s="100" t="n">
        <f aca="false">IF(Übungen!$D10="","",IF($O10="","",IF($L10="",Übungen!$D10,IF(AND($N10&lt;&gt;"",Übungen!$E10&lt;&gt;"",$N10&gt;=Übungen!$E10),Übungen!$D10,IF(OR($N10="",$N10&lt;Übungen!$D10),Übungen!$D10,MIN(Übungen!$E10,$N10+1))))))</f>
        <v>6</v>
      </c>
      <c r="Q10" s="91" t="str">
        <f aca="false">IF(AND(AND($L10&lt;&gt;"",$N10&lt;&gt;"",Übungen!$E10&lt;&gt;"",$N10&gt;=Übungen!$E10+2),$O10&gt;$L10),"RM-Korrektur nach "&amp;TEXT($N10,"0")&amp;" Wdh: +"&amp;TEXT($O10-$L10,"0.#")&amp;" kg ("&amp;TEXT(($O10-$L10)/$L10,"0.0%")&amp;"), Wdh zurück auf "&amp;Übungen!$D10,IF($O10="","",IF($L10="","Einstieg mit Startgewicht",IF(AND(AND($N10&lt;&gt;"",Übungen!$E10&lt;&gt;"",$N10&gt;=Übungen!$E10),$O10&gt;$L10),"Gewicht +"&amp;TEXT($O10-$L10,"0.#")&amp;" kg ("&amp;TEXT(($O10-$L10)/$L10,"0.0%")&amp;"), Wdh zurück auf "&amp;Übungen!$D10,IF(AND(AND($N10&lt;&gt;"",Übungen!$E10&lt;&gt;"",$N10&gt;=Übungen!$E10),Übungen!$J10=""),"Zielbereich voll - dafür fehlt 'Schritt (kg)' im Blatt Übungen",IF(AND($N10&lt;&gt;"",Übungen!$E10&lt;&gt;"",$N10&gt;=Übungen!$E10),"Obergrenze erreicht - über Tempo und Pausen steigern",IF(OR($N10="",$N10&lt;Übungen!$D10),"Gewicht halten, erst "&amp;Übungen!$D10&amp;" Wdh sauber schaffen","Wdh +1 auf "&amp;$P10&amp;" bei gleichem Gewicht")))))))</f>
        <v>Wdh +1 auf 6 bei gleichem Gewicht</v>
      </c>
    </row>
    <row r="11" customFormat="false" ht="18" hidden="false" customHeight="true" outlineLevel="0" collapsed="false">
      <c r="A11" s="40" t="str">
        <f aca="false">IF(Übungen!$A11="","",Übungen!$A11)</f>
        <v>Beinpresse breit</v>
      </c>
      <c r="B11" s="4" t="str">
        <f aca="false">IF(Übungen!$B11="","",Übungen!$B11)</f>
        <v>Beine hinten</v>
      </c>
      <c r="C11" s="85" t="str">
        <f aca="false">IF($D11="","",SUMPRODUCT((COUNTIFS(Log!$D$4:$D$1203,$A11,Log!$E$4:$E$1203,"A",Log!$B$4:$B$1203,Einheiten!$A$4:$A$63)&gt;0)*1))</f>
        <v/>
      </c>
      <c r="D11" s="85" t="str">
        <f aca="false">IF($A11="","",IF(COUNTIFS(Log!$D$4:$D$1203,$A11,Log!$E$4:$E$1203,"A")=0,"",COUNTIFS(Log!$D$4:$D$1203,$A11,Log!$E$4:$E$1203,"A")))</f>
        <v/>
      </c>
      <c r="E11" s="85" t="str">
        <f aca="false">IF($D11="","",SUMIFS(Log!$I$4:$I$1203,Log!$D$4:$D$1203,$A11,Log!$E$4:$E$1203,"A"))</f>
        <v/>
      </c>
      <c r="F11" s="101" t="str">
        <f aca="false">IF($D11="","",IF(SUMPRODUCT(MAX((Log!$D$4:$D$1203=$A11)*(Log!$E$4:$E$1203="A")*(Log!$F$4:$F$1203&lt;&gt;"")*Log!$F$4:$F$1203))=0,"",SUMPRODUCT(MAX((Log!$D$4:$D$1203=$A11)*(Log!$E$4:$E$1203="A")*(Log!$F$4:$F$1203&lt;&gt;"")*Log!$F$4:$F$1203))))</f>
        <v/>
      </c>
      <c r="G11" s="85" t="str">
        <f aca="false">IF($F11="","",SUMPRODUCT(MAX((Log!$D$4:$D$1203=$A11)*(Log!$E$4:$E$1203="A")*(Log!$F$4:$F$1203=$F11)*Log!$B$4:$B$1203)))</f>
        <v/>
      </c>
      <c r="H11" s="101" t="str">
        <f aca="false">IF($D11="","",IF(SUMPRODUCT(MAX((Log!$D$4:$D$1203=$A11)*(Log!$E$4:$E$1203="A")*(Log!$F$4:$F$1203&lt;&gt;"")*(Log!$G$4:$G$1203&lt;&gt;"")*Log!$F$4:$F$1203*(1+Log!$G$4:$G$1203/30)))=0,"",SUMPRODUCT(MAX((Log!$D$4:$D$1203=$A11)*(Log!$E$4:$E$1203="A")*(Log!$F$4:$F$1203&lt;&gt;"")*(Log!$G$4:$G$1203&lt;&gt;"")*Log!$F$4:$F$1203*(1+Log!$G$4:$G$1203/30)))))</f>
        <v/>
      </c>
      <c r="I11" s="85" t="str">
        <f aca="false">IF($H11="","",SUMPRODUCT(MAX((Log!$D$4:$D$1203=$A11)*(Log!$E$4:$E$1203="A")*(Log!$F$4:$F$1203&lt;&gt;"")*(Log!$G$4:$G$1203&lt;&gt;"")*(ROUND(Log!$F$4:$F$1203*(1+Log!$G$4:$G$1203/30),6)=ROUND($H11,6))*Log!$B$4:$B$1203)))</f>
        <v/>
      </c>
      <c r="J11" s="85" t="str">
        <f aca="false">IF($D11="","",IF(SUMPRODUCT(MAX((Log!$D$4:$D$1203=$A11)*(Log!$E$4:$E$1203="A")*(Log!$F$4:$F$1203&lt;&gt;"")*(Log!$G$4:$G$1203&lt;&gt;"")*Log!$F$4:$F$1203*Log!$G$4:$G$1203))=0,"",SUMPRODUCT(MAX((Log!$D$4:$D$1203=$A11)*(Log!$E$4:$E$1203="A")*(Log!$F$4:$F$1203&lt;&gt;"")*(Log!$G$4:$G$1203&lt;&gt;"")*Log!$F$4:$F$1203*Log!$G$4:$G$1203))))</f>
        <v/>
      </c>
      <c r="K11" s="85" t="str">
        <f aca="false">IF($D11="","",IF(SUMPRODUCT(MAX((Log!$D$4:$D$1203=$A11)*(Log!$E$4:$E$1203="A")*Log!$B$4:$B$1203))=0,"",SUMPRODUCT(MAX((Log!$D$4:$D$1203=$A11)*(Log!$E$4:$E$1203="A")*Log!$B$4:$B$1203))))</f>
        <v/>
      </c>
      <c r="L11" s="88" t="str">
        <f aca="false">IF($K11="","",IF(SUMPRODUCT(MAX((Log!$D$4:$D$1203=$A11)*(Log!$B$4:$B$1203=$K11)*(Log!$E$4:$E$1203="A")*(Log!$F$4:$F$1203&lt;&gt;"")*Log!$F$4:$F$1203))=0,"",SUMPRODUCT(MAX((Log!$D$4:$D$1203=$A11)*(Log!$B$4:$B$1203=$K11)*(Log!$E$4:$E$1203="A")*(Log!$F$4:$F$1203&lt;&gt;"")*Log!$F$4:$F$1203))))</f>
        <v/>
      </c>
      <c r="M11" s="85" t="str">
        <f aca="false">IF($L11="","",IF(SUMPRODUCT(MAX((Log!$D$4:$D$1203=$A11)*(Log!$B$4:$B$1203=$K11)*(Log!$E$4:$E$1203="A")*(Log!$F$4:$F$1203=$L11)*Log!$G$4:$G$1203))=0,"",SUMPRODUCT(MAX((Log!$D$4:$D$1203=$A11)*(Log!$B$4:$B$1203=$K11)*(Log!$E$4:$E$1203="A")*(Log!$F$4:$F$1203=$L11)*Log!$G$4:$G$1203))))</f>
        <v/>
      </c>
      <c r="N11" s="85" t="str">
        <f aca="false">IF($L11="","",IF(SUMPRODUCT(MIN((Log!$D$4:$D$1203=$A11)*(Log!$B$4:$B$1203=$K11)*(Log!$E$4:$E$1203="A")*(Log!$F$4:$F$1203=$L11)*Log!$G$4:$G$1203+((Log!$D$4:$D$1203&lt;&gt;$A11)+(Log!$B$4:$B$1203&lt;&gt;$K11)+(Log!$E$4:$E$1203&lt;&gt;"A")+(Log!$F$4:$F$1203&lt;&gt;$L11)+(Log!$G$4:$G$1203="")&gt;0)*999))&gt;=999,"",SUMPRODUCT(MIN((Log!$D$4:$D$1203=$A11)*(Log!$B$4:$B$1203=$K11)*(Log!$E$4:$E$1203="A")*(Log!$F$4:$F$1203=$L11)*Log!$G$4:$G$1203+((Log!$D$4:$D$1203&lt;&gt;$A11)+(Log!$B$4:$B$1203&lt;&gt;$K11)+(Log!$E$4:$E$1203&lt;&gt;"A")+(Log!$F$4:$F$1203&lt;&gt;$L11)+(Log!$G$4:$G$1203="")&gt;0)*999))))</f>
        <v/>
      </c>
      <c r="O11" s="102" t="n">
        <f aca="false">IF(IF($L11="",IF(Übungen!$H11="","",Übungen!$H11),IF(AND($L11&lt;&gt;"",$N11&lt;&gt;"",Übungen!$E11&lt;&gt;"",$N11&gt;=Übungen!$E11+2),IF(Übungen!$I11="",MAX(IF(IF(Übungen!$J11="",0,Übungen!$J11)=0,ROUND($L11*1.01*2,0)/2,CEILING($L11*1.01/IF(Übungen!$J11="",0,Übungen!$J11),1)*IF(Übungen!$J11="",0,Übungen!$J11)),IF(IF(Übungen!$J11="",0,Übungen!$J11)=0,ROUND((($L11*(1+$N11/30))/(1+Übungen!$E11/30))*2,0)/2,FLOOR((($L11*(1+$N11/30))/(1+Übungen!$E11/30))/IF(Übungen!$J11="",0,Übungen!$J11),1)*IF(Übungen!$J11="",0,Übungen!$J11))),MIN(MAX(IF(IF(Übungen!$J11="",0,Übungen!$J11)=0,ROUND($L11*1.01*2,0)/2,CEILING($L11*1.01/IF(Übungen!$J11="",0,Übungen!$J11),1)*IF(Übungen!$J11="",0,Übungen!$J11)),IF(IF(Übungen!$J11="",0,Übungen!$J11)=0,ROUND((($L11*(1+$N11/30))/(1+Übungen!$E11/30))*2,0)/2,FLOOR((($L11*(1+$N11/30))/(1+Übungen!$E11/30))/IF(Übungen!$J11="",0,Übungen!$J11),1)*IF(Übungen!$J11="",0,Übungen!$J11))),Übungen!$I11)),IF(AND($N11&lt;&gt;"",Übungen!$E11&lt;&gt;"",$N11&gt;=Übungen!$E11),IF(Übungen!$I11="",IF(IF(Übungen!$J11="",0,Übungen!$J11)=0,ROUND($L11*1.01*2,0)/2,CEILING($L11*1.01/IF(Übungen!$J11="",0,Übungen!$J11),1)*IF(Übungen!$J11="",0,Übungen!$J11)),MIN(IF(IF(Übungen!$J11="",0,Übungen!$J11)=0,ROUND($L11*1.01*2,0)/2,CEILING($L11*1.01/IF(Übungen!$J11="",0,Übungen!$J11),1)*IF(Übungen!$J11="",0,Übungen!$J11)),Übungen!$I11)),$L11)))="","",IF(OR(Übungen!$K11="",Übungen!$K11=100),IF($L11="",IF(Übungen!$H11="","",Übungen!$H11),IF(AND($L11&lt;&gt;"",$N11&lt;&gt;"",Übungen!$E11&lt;&gt;"",$N11&gt;=Übungen!$E11+2),IF(Übungen!$I11="",MAX(IF(IF(Übungen!$J11="",0,Übungen!$J11)=0,ROUND($L11*1.01*2,0)/2,CEILING($L11*1.01/IF(Übungen!$J11="",0,Übungen!$J11),1)*IF(Übungen!$J11="",0,Übungen!$J11)),IF(IF(Übungen!$J11="",0,Übungen!$J11)=0,ROUND((($L11*(1+$N11/30))/(1+Übungen!$E11/30))*2,0)/2,FLOOR((($L11*(1+$N11/30))/(1+Übungen!$E11/30))/IF(Übungen!$J11="",0,Übungen!$J11),1)*IF(Übungen!$J11="",0,Übungen!$J11))),MIN(MAX(IF(IF(Übungen!$J11="",0,Übungen!$J11)=0,ROUND($L11*1.01*2,0)/2,CEILING($L11*1.01/IF(Übungen!$J11="",0,Übungen!$J11),1)*IF(Übungen!$J11="",0,Übungen!$J11)),IF(IF(Übungen!$J11="",0,Übungen!$J11)=0,ROUND((($L11*(1+$N11/30))/(1+Übungen!$E11/30))*2,0)/2,FLOOR((($L11*(1+$N11/30))/(1+Übungen!$E11/30))/IF(Übungen!$J11="",0,Übungen!$J11),1)*IF(Übungen!$J11="",0,Übungen!$J11))),Übungen!$I11)),IF(AND($N11&lt;&gt;"",Übungen!$E11&lt;&gt;"",$N11&gt;=Übungen!$E11),IF(Übungen!$I11="",IF(IF(Übungen!$J11="",0,Übungen!$J11)=0,ROUND($L11*1.01*2,0)/2,CEILING($L11*1.01/IF(Übungen!$J11="",0,Übungen!$J11),1)*IF(Übungen!$J11="",0,Übungen!$J11)),MIN(IF(IF(Übungen!$J11="",0,Übungen!$J11)=0,ROUND($L11*1.01*2,0)/2,CEILING($L11*1.01/IF(Übungen!$J11="",0,Übungen!$J11),1)*IF(Übungen!$J11="",0,Übungen!$J11)),Übungen!$I11)),$L11))),FLOOR(IF($L11="",IF(Übungen!$H11="","",Übungen!$H11),IF(AND($L11&lt;&gt;"",$N11&lt;&gt;"",Übungen!$E11&lt;&gt;"",$N11&gt;=Übungen!$E11+2),IF(Übungen!$I11="",MAX(IF(IF(Übungen!$J11="",0,Übungen!$J11)=0,ROUND($L11*1.01*2,0)/2,CEILING($L11*1.01/IF(Übungen!$J11="",0,Übungen!$J11),1)*IF(Übungen!$J11="",0,Übungen!$J11)),IF(IF(Übungen!$J11="",0,Übungen!$J11)=0,ROUND((($L11*(1+$N11/30))/(1+Übungen!$E11/30))*2,0)/2,FLOOR((($L11*(1+$N11/30))/(1+Übungen!$E11/30))/IF(Übungen!$J11="",0,Übungen!$J11),1)*IF(Übungen!$J11="",0,Übungen!$J11))),MIN(MAX(IF(IF(Übungen!$J11="",0,Übungen!$J11)=0,ROUND($L11*1.01*2,0)/2,CEILING($L11*1.01/IF(Übungen!$J11="",0,Übungen!$J11),1)*IF(Übungen!$J11="",0,Übungen!$J11)),IF(IF(Übungen!$J11="",0,Übungen!$J11)=0,ROUND((($L11*(1+$N11/30))/(1+Übungen!$E11/30))*2,0)/2,FLOOR((($L11*(1+$N11/30))/(1+Übungen!$E11/30))/IF(Übungen!$J11="",0,Übungen!$J11),1)*IF(Übungen!$J11="",0,Übungen!$J11))),Übungen!$I11)),IF(AND($N11&lt;&gt;"",Übungen!$E11&lt;&gt;"",$N11&gt;=Übungen!$E11),IF(Übungen!$I11="",IF(IF(Übungen!$J11="",0,Übungen!$J11)=0,ROUND($L11*1.01*2,0)/2,CEILING($L11*1.01/IF(Übungen!$J11="",0,Übungen!$J11),1)*IF(Übungen!$J11="",0,Übungen!$J11)),MIN(IF(IF(Übungen!$J11="",0,Übungen!$J11)=0,ROUND($L11*1.01*2,0)/2,CEILING($L11*1.01/IF(Übungen!$J11="",0,Übungen!$J11),1)*IF(Übungen!$J11="",0,Übungen!$J11)),Übungen!$I11)),$L11)))*Übungen!$K11/100/Übungen!$J11,1)*Übungen!$J11))</f>
        <v>220</v>
      </c>
      <c r="P11" s="103" t="n">
        <f aca="false">IF(Übungen!$D11="","",IF($O11="","",IF($L11="",Übungen!$D11,IF(AND($N11&lt;&gt;"",Übungen!$E11&lt;&gt;"",$N11&gt;=Übungen!$E11),Übungen!$D11,IF(OR($N11="",$N11&lt;Übungen!$D11),Übungen!$D11,MIN(Übungen!$E11,$N11+1))))))</f>
        <v>5</v>
      </c>
      <c r="Q11" s="95" t="str">
        <f aca="false">IF(AND(AND($L11&lt;&gt;"",$N11&lt;&gt;"",Übungen!$E11&lt;&gt;"",$N11&gt;=Übungen!$E11+2),$O11&gt;$L11),"RM-Korrektur nach "&amp;TEXT($N11,"0")&amp;" Wdh: +"&amp;TEXT($O11-$L11,"0.#")&amp;" kg ("&amp;TEXT(($O11-$L11)/$L11,"0.0%")&amp;"), Wdh zurück auf "&amp;Übungen!$D11,IF($O11="","",IF($L11="","Einstieg mit Startgewicht",IF(AND(AND($N11&lt;&gt;"",Übungen!$E11&lt;&gt;"",$N11&gt;=Übungen!$E11),$O11&gt;$L11),"Gewicht +"&amp;TEXT($O11-$L11,"0.#")&amp;" kg ("&amp;TEXT(($O11-$L11)/$L11,"0.0%")&amp;"), Wdh zurück auf "&amp;Übungen!$D11,IF(AND(AND($N11&lt;&gt;"",Übungen!$E11&lt;&gt;"",$N11&gt;=Übungen!$E11),Übungen!$J11=""),"Zielbereich voll - dafür fehlt 'Schritt (kg)' im Blatt Übungen",IF(AND($N11&lt;&gt;"",Übungen!$E11&lt;&gt;"",$N11&gt;=Übungen!$E11),"Obergrenze erreicht - über Tempo und Pausen steigern",IF(OR($N11="",$N11&lt;Übungen!$D11),"Gewicht halten, erst "&amp;Übungen!$D11&amp;" Wdh sauber schaffen","Wdh +1 auf "&amp;$P11&amp;" bei gleichem Gewicht")))))))</f>
        <v>Einstieg mit Startgewicht</v>
      </c>
    </row>
    <row r="12" customFormat="false" ht="18" hidden="false" customHeight="true" outlineLevel="0" collapsed="false">
      <c r="A12" s="34" t="str">
        <f aca="false">IF(Übungen!$A12="","",Übungen!$A12)</f>
        <v>Hip Thrust</v>
      </c>
      <c r="B12" s="97" t="str">
        <f aca="false">IF(Übungen!$B12="","",Übungen!$B12)</f>
        <v>Beine hinten</v>
      </c>
      <c r="C12" s="83" t="n">
        <f aca="false">IF($D12="","",SUMPRODUCT((COUNTIFS(Log!$D$4:$D$1203,$A12,Log!$E$4:$E$1203,"A",Log!$B$4:$B$1203,Einheiten!$A$4:$A$63)&gt;0)*1))</f>
        <v>9</v>
      </c>
      <c r="D12" s="83" t="n">
        <f aca="false">IF($A12="","",IF(COUNTIFS(Log!$D$4:$D$1203,$A12,Log!$E$4:$E$1203,"A")=0,"",COUNTIFS(Log!$D$4:$D$1203,$A12,Log!$E$4:$E$1203,"A")))</f>
        <v>24</v>
      </c>
      <c r="E12" s="83" t="n">
        <f aca="false">IF($D12="","",SUMIFS(Log!$I$4:$I$1203,Log!$D$4:$D$1203,$A12,Log!$E$4:$E$1203,"A"))</f>
        <v>48370</v>
      </c>
      <c r="F12" s="98" t="n">
        <f aca="false">IF($D12="","",IF(SUMPRODUCT(MAX((Log!$D$4:$D$1203=$A12)*(Log!$E$4:$E$1203="A")*(Log!$F$4:$F$1203&lt;&gt;"")*Log!$F$4:$F$1203))=0,"",SUMPRODUCT(MAX((Log!$D$4:$D$1203=$A12)*(Log!$E$4:$E$1203="A")*(Log!$F$4:$F$1203&lt;&gt;"")*Log!$F$4:$F$1203))))</f>
        <v>290</v>
      </c>
      <c r="G12" s="83" t="n">
        <f aca="false">IF($F12="","",SUMPRODUCT(MAX((Log!$D$4:$D$1203=$A12)*(Log!$E$4:$E$1203="A")*(Log!$F$4:$F$1203=$F12)*Log!$B$4:$B$1203)))</f>
        <v>7</v>
      </c>
      <c r="H12" s="98" t="n">
        <f aca="false">IF($D12="","",IF(SUMPRODUCT(MAX((Log!$D$4:$D$1203=$A12)*(Log!$E$4:$E$1203="A")*(Log!$F$4:$F$1203&lt;&gt;"")*(Log!$G$4:$G$1203&lt;&gt;"")*Log!$F$4:$F$1203*(1+Log!$G$4:$G$1203/30)))=0,"",SUMPRODUCT(MAX((Log!$D$4:$D$1203=$A12)*(Log!$E$4:$E$1203="A")*(Log!$F$4:$F$1203&lt;&gt;"")*(Log!$G$4:$G$1203&lt;&gt;"")*Log!$F$4:$F$1203*(1+Log!$G$4:$G$1203/30)))))</f>
        <v>367.333333333333</v>
      </c>
      <c r="I12" s="83" t="n">
        <f aca="false">IF($H12="","",SUMPRODUCT(MAX((Log!$D$4:$D$1203=$A12)*(Log!$E$4:$E$1203="A")*(Log!$F$4:$F$1203&lt;&gt;"")*(Log!$G$4:$G$1203&lt;&gt;"")*(ROUND(Log!$F$4:$F$1203*(1+Log!$G$4:$G$1203/30),6)=ROUND($H12,6))*Log!$B$4:$B$1203)))</f>
        <v>7</v>
      </c>
      <c r="J12" s="83" t="n">
        <f aca="false">IF($D12="","",IF(SUMPRODUCT(MAX((Log!$D$4:$D$1203=$A12)*(Log!$E$4:$E$1203="A")*(Log!$F$4:$F$1203&lt;&gt;"")*(Log!$G$4:$G$1203&lt;&gt;"")*Log!$F$4:$F$1203*Log!$G$4:$G$1203))=0,"",SUMPRODUCT(MAX((Log!$D$4:$D$1203=$A12)*(Log!$E$4:$E$1203="A")*(Log!$F$4:$F$1203&lt;&gt;"")*(Log!$G$4:$G$1203&lt;&gt;"")*Log!$F$4:$F$1203*Log!$G$4:$G$1203))))</f>
        <v>2700</v>
      </c>
      <c r="K12" s="83" t="n">
        <f aca="false">IF($D12="","",IF(SUMPRODUCT(MAX((Log!$D$4:$D$1203=$A12)*(Log!$E$4:$E$1203="A")*Log!$B$4:$B$1203))=0,"",SUMPRODUCT(MAX((Log!$D$4:$D$1203=$A12)*(Log!$E$4:$E$1203="A")*Log!$B$4:$B$1203))))</f>
        <v>14</v>
      </c>
      <c r="L12" s="86" t="n">
        <f aca="false">IF($K12="","",IF(SUMPRODUCT(MAX((Log!$D$4:$D$1203=$A12)*(Log!$B$4:$B$1203=$K12)*(Log!$E$4:$E$1203="A")*(Log!$F$4:$F$1203&lt;&gt;"")*Log!$F$4:$F$1203))=0,"",SUMPRODUCT(MAX((Log!$D$4:$D$1203=$A12)*(Log!$B$4:$B$1203=$K12)*(Log!$E$4:$E$1203="A")*(Log!$F$4:$F$1203&lt;&gt;"")*Log!$F$4:$F$1203))))</f>
        <v>285</v>
      </c>
      <c r="M12" s="83" t="n">
        <f aca="false">IF($L12="","",IF(SUMPRODUCT(MAX((Log!$D$4:$D$1203=$A12)*(Log!$B$4:$B$1203=$K12)*(Log!$E$4:$E$1203="A")*(Log!$F$4:$F$1203=$L12)*Log!$G$4:$G$1203))=0,"",SUMPRODUCT(MAX((Log!$D$4:$D$1203=$A12)*(Log!$B$4:$B$1203=$K12)*(Log!$E$4:$E$1203="A")*(Log!$F$4:$F$1203=$L12)*Log!$G$4:$G$1203))))</f>
        <v>5</v>
      </c>
      <c r="N12" s="83" t="n">
        <f aca="false">IF($L12="","",IF(SUMPRODUCT(MIN((Log!$D$4:$D$1203=$A12)*(Log!$B$4:$B$1203=$K12)*(Log!$E$4:$E$1203="A")*(Log!$F$4:$F$1203=$L12)*Log!$G$4:$G$1203+((Log!$D$4:$D$1203&lt;&gt;$A12)+(Log!$B$4:$B$1203&lt;&gt;$K12)+(Log!$E$4:$E$1203&lt;&gt;"A")+(Log!$F$4:$F$1203&lt;&gt;$L12)+(Log!$G$4:$G$1203="")&gt;0)*999))&gt;=999,"",SUMPRODUCT(MIN((Log!$D$4:$D$1203=$A12)*(Log!$B$4:$B$1203=$K12)*(Log!$E$4:$E$1203="A")*(Log!$F$4:$F$1203=$L12)*Log!$G$4:$G$1203+((Log!$D$4:$D$1203&lt;&gt;$A12)+(Log!$B$4:$B$1203&lt;&gt;$K12)+(Log!$E$4:$E$1203&lt;&gt;"A")+(Log!$F$4:$F$1203&lt;&gt;$L12)+(Log!$G$4:$G$1203="")&gt;0)*999))))</f>
        <v>5</v>
      </c>
      <c r="O12" s="99" t="n">
        <f aca="false">IF(IF($L12="",IF(Übungen!$H12="","",Übungen!$H12),IF(AND($L12&lt;&gt;"",$N12&lt;&gt;"",Übungen!$E12&lt;&gt;"",$N12&gt;=Übungen!$E12+2),IF(Übungen!$I12="",MAX(IF(IF(Übungen!$J12="",0,Übungen!$J12)=0,ROUND($L12*1.01*2,0)/2,CEILING($L12*1.01/IF(Übungen!$J12="",0,Übungen!$J12),1)*IF(Übungen!$J12="",0,Übungen!$J12)),IF(IF(Übungen!$J12="",0,Übungen!$J12)=0,ROUND((($L12*(1+$N12/30))/(1+Übungen!$E12/30))*2,0)/2,FLOOR((($L12*(1+$N12/30))/(1+Übungen!$E12/30))/IF(Übungen!$J12="",0,Übungen!$J12),1)*IF(Übungen!$J12="",0,Übungen!$J12))),MIN(MAX(IF(IF(Übungen!$J12="",0,Übungen!$J12)=0,ROUND($L12*1.01*2,0)/2,CEILING($L12*1.01/IF(Übungen!$J12="",0,Übungen!$J12),1)*IF(Übungen!$J12="",0,Übungen!$J12)),IF(IF(Übungen!$J12="",0,Übungen!$J12)=0,ROUND((($L12*(1+$N12/30))/(1+Übungen!$E12/30))*2,0)/2,FLOOR((($L12*(1+$N12/30))/(1+Übungen!$E12/30))/IF(Übungen!$J12="",0,Übungen!$J12),1)*IF(Übungen!$J12="",0,Übungen!$J12))),Übungen!$I12)),IF(AND($N12&lt;&gt;"",Übungen!$E12&lt;&gt;"",$N12&gt;=Übungen!$E12),IF(Übungen!$I12="",IF(IF(Übungen!$J12="",0,Übungen!$J12)=0,ROUND($L12*1.01*2,0)/2,CEILING($L12*1.01/IF(Übungen!$J12="",0,Übungen!$J12),1)*IF(Übungen!$J12="",0,Übungen!$J12)),MIN(IF(IF(Übungen!$J12="",0,Übungen!$J12)=0,ROUND($L12*1.01*2,0)/2,CEILING($L12*1.01/IF(Übungen!$J12="",0,Übungen!$J12),1)*IF(Übungen!$J12="",0,Übungen!$J12)),Übungen!$I12)),$L12)))="","",IF(OR(Übungen!$K12="",Übungen!$K12=100),IF($L12="",IF(Übungen!$H12="","",Übungen!$H12),IF(AND($L12&lt;&gt;"",$N12&lt;&gt;"",Übungen!$E12&lt;&gt;"",$N12&gt;=Übungen!$E12+2),IF(Übungen!$I12="",MAX(IF(IF(Übungen!$J12="",0,Übungen!$J12)=0,ROUND($L12*1.01*2,0)/2,CEILING($L12*1.01/IF(Übungen!$J12="",0,Übungen!$J12),1)*IF(Übungen!$J12="",0,Übungen!$J12)),IF(IF(Übungen!$J12="",0,Übungen!$J12)=0,ROUND((($L12*(1+$N12/30))/(1+Übungen!$E12/30))*2,0)/2,FLOOR((($L12*(1+$N12/30))/(1+Übungen!$E12/30))/IF(Übungen!$J12="",0,Übungen!$J12),1)*IF(Übungen!$J12="",0,Übungen!$J12))),MIN(MAX(IF(IF(Übungen!$J12="",0,Übungen!$J12)=0,ROUND($L12*1.01*2,0)/2,CEILING($L12*1.01/IF(Übungen!$J12="",0,Übungen!$J12),1)*IF(Übungen!$J12="",0,Übungen!$J12)),IF(IF(Übungen!$J12="",0,Übungen!$J12)=0,ROUND((($L12*(1+$N12/30))/(1+Übungen!$E12/30))*2,0)/2,FLOOR((($L12*(1+$N12/30))/(1+Übungen!$E12/30))/IF(Übungen!$J12="",0,Übungen!$J12),1)*IF(Übungen!$J12="",0,Übungen!$J12))),Übungen!$I12)),IF(AND($N12&lt;&gt;"",Übungen!$E12&lt;&gt;"",$N12&gt;=Übungen!$E12),IF(Übungen!$I12="",IF(IF(Übungen!$J12="",0,Übungen!$J12)=0,ROUND($L12*1.01*2,0)/2,CEILING($L12*1.01/IF(Übungen!$J12="",0,Übungen!$J12),1)*IF(Übungen!$J12="",0,Übungen!$J12)),MIN(IF(IF(Übungen!$J12="",0,Übungen!$J12)=0,ROUND($L12*1.01*2,0)/2,CEILING($L12*1.01/IF(Übungen!$J12="",0,Übungen!$J12),1)*IF(Übungen!$J12="",0,Übungen!$J12)),Übungen!$I12)),$L12))),FLOOR(IF($L12="",IF(Übungen!$H12="","",Übungen!$H12),IF(AND($L12&lt;&gt;"",$N12&lt;&gt;"",Übungen!$E12&lt;&gt;"",$N12&gt;=Übungen!$E12+2),IF(Übungen!$I12="",MAX(IF(IF(Übungen!$J12="",0,Übungen!$J12)=0,ROUND($L12*1.01*2,0)/2,CEILING($L12*1.01/IF(Übungen!$J12="",0,Übungen!$J12),1)*IF(Übungen!$J12="",0,Übungen!$J12)),IF(IF(Übungen!$J12="",0,Übungen!$J12)=0,ROUND((($L12*(1+$N12/30))/(1+Übungen!$E12/30))*2,0)/2,FLOOR((($L12*(1+$N12/30))/(1+Übungen!$E12/30))/IF(Übungen!$J12="",0,Übungen!$J12),1)*IF(Übungen!$J12="",0,Übungen!$J12))),MIN(MAX(IF(IF(Übungen!$J12="",0,Übungen!$J12)=0,ROUND($L12*1.01*2,0)/2,CEILING($L12*1.01/IF(Übungen!$J12="",0,Übungen!$J12),1)*IF(Übungen!$J12="",0,Übungen!$J12)),IF(IF(Übungen!$J12="",0,Übungen!$J12)=0,ROUND((($L12*(1+$N12/30))/(1+Übungen!$E12/30))*2,0)/2,FLOOR((($L12*(1+$N12/30))/(1+Übungen!$E12/30))/IF(Übungen!$J12="",0,Übungen!$J12),1)*IF(Übungen!$J12="",0,Übungen!$J12))),Übungen!$I12)),IF(AND($N12&lt;&gt;"",Übungen!$E12&lt;&gt;"",$N12&gt;=Übungen!$E12),IF(Übungen!$I12="",IF(IF(Übungen!$J12="",0,Übungen!$J12)=0,ROUND($L12*1.01*2,0)/2,CEILING($L12*1.01/IF(Übungen!$J12="",0,Übungen!$J12),1)*IF(Übungen!$J12="",0,Übungen!$J12)),MIN(IF(IF(Übungen!$J12="",0,Übungen!$J12)=0,ROUND($L12*1.01*2,0)/2,CEILING($L12*1.01/IF(Übungen!$J12="",0,Übungen!$J12),1)*IF(Übungen!$J12="",0,Übungen!$J12)),Übungen!$I12)),$L12)))*Übungen!$K12/100/Übungen!$J12,1)*Übungen!$J12))</f>
        <v>285</v>
      </c>
      <c r="P12" s="100" t="n">
        <f aca="false">IF(Übungen!$D12="","",IF($O12="","",IF($L12="",Übungen!$D12,IF(AND($N12&lt;&gt;"",Übungen!$E12&lt;&gt;"",$N12&gt;=Übungen!$E12),Übungen!$D12,IF(OR($N12="",$N12&lt;Übungen!$D12),Übungen!$D12,MIN(Übungen!$E12,$N12+1))))))</f>
        <v>6</v>
      </c>
      <c r="Q12" s="91" t="str">
        <f aca="false">IF(AND(AND($L12&lt;&gt;"",$N12&lt;&gt;"",Übungen!$E12&lt;&gt;"",$N12&gt;=Übungen!$E12+2),$O12&gt;$L12),"RM-Korrektur nach "&amp;TEXT($N12,"0")&amp;" Wdh: +"&amp;TEXT($O12-$L12,"0.#")&amp;" kg ("&amp;TEXT(($O12-$L12)/$L12,"0.0%")&amp;"), Wdh zurück auf "&amp;Übungen!$D12,IF($O12="","",IF($L12="","Einstieg mit Startgewicht",IF(AND(AND($N12&lt;&gt;"",Übungen!$E12&lt;&gt;"",$N12&gt;=Übungen!$E12),$O12&gt;$L12),"Gewicht +"&amp;TEXT($O12-$L12,"0.#")&amp;" kg ("&amp;TEXT(($O12-$L12)/$L12,"0.0%")&amp;"), Wdh zurück auf "&amp;Übungen!$D12,IF(AND(AND($N12&lt;&gt;"",Übungen!$E12&lt;&gt;"",$N12&gt;=Übungen!$E12),Übungen!$J12=""),"Zielbereich voll - dafür fehlt 'Schritt (kg)' im Blatt Übungen",IF(AND($N12&lt;&gt;"",Übungen!$E12&lt;&gt;"",$N12&gt;=Übungen!$E12),"Obergrenze erreicht - über Tempo und Pausen steigern",IF(OR($N12="",$N12&lt;Übungen!$D12),"Gewicht halten, erst "&amp;Übungen!$D12&amp;" Wdh sauber schaffen","Wdh +1 auf "&amp;$P12&amp;" bei gleichem Gewicht")))))))</f>
        <v>Wdh +1 auf 6 bei gleichem Gewicht</v>
      </c>
    </row>
    <row r="13" customFormat="false" ht="18" hidden="false" customHeight="true" outlineLevel="0" collapsed="false">
      <c r="A13" s="40" t="str">
        <f aca="false">IF(Übungen!$A13="","",Übungen!$A13)</f>
        <v>Hip &amp; Glute</v>
      </c>
      <c r="B13" s="4" t="str">
        <f aca="false">IF(Übungen!$B13="","",Übungen!$B13)</f>
        <v>Beine hinten</v>
      </c>
      <c r="C13" s="85" t="n">
        <f aca="false">IF($D13="","",SUMPRODUCT((COUNTIFS(Log!$D$4:$D$1203,$A13,Log!$E$4:$E$1203,"A",Log!$B$4:$B$1203,Einheiten!$A$4:$A$63)&gt;0)*1))</f>
        <v>5</v>
      </c>
      <c r="D13" s="85" t="n">
        <f aca="false">IF($A13="","",IF(COUNTIFS(Log!$D$4:$D$1203,$A13,Log!$E$4:$E$1203,"A")=0,"",COUNTIFS(Log!$D$4:$D$1203,$A13,Log!$E$4:$E$1203,"A")))</f>
        <v>14</v>
      </c>
      <c r="E13" s="85" t="n">
        <f aca="false">IF($D13="","",SUMIFS(Log!$I$4:$I$1203,Log!$D$4:$D$1203,$A13,Log!$E$4:$E$1203,"A"))</f>
        <v>18037</v>
      </c>
      <c r="F13" s="101" t="n">
        <f aca="false">IF($D13="","",IF(SUMPRODUCT(MAX((Log!$D$4:$D$1203=$A13)*(Log!$E$4:$E$1203="A")*(Log!$F$4:$F$1203&lt;&gt;"")*Log!$F$4:$F$1203))=0,"",SUMPRODUCT(MAX((Log!$D$4:$D$1203=$A13)*(Log!$E$4:$E$1203="A")*(Log!$F$4:$F$1203&lt;&gt;"")*Log!$F$4:$F$1203))))</f>
        <v>176</v>
      </c>
      <c r="G13" s="85" t="n">
        <f aca="false">IF($F13="","",SUMPRODUCT(MAX((Log!$D$4:$D$1203=$A13)*(Log!$E$4:$E$1203="A")*(Log!$F$4:$F$1203=$F13)*Log!$B$4:$B$1203)))</f>
        <v>9</v>
      </c>
      <c r="H13" s="101" t="n">
        <f aca="false">IF($D13="","",IF(SUMPRODUCT(MAX((Log!$D$4:$D$1203=$A13)*(Log!$E$4:$E$1203="A")*(Log!$F$4:$F$1203&lt;&gt;"")*(Log!$G$4:$G$1203&lt;&gt;"")*Log!$F$4:$F$1203*(1+Log!$G$4:$G$1203/30)))=0,"",SUMPRODUCT(MAX((Log!$D$4:$D$1203=$A13)*(Log!$E$4:$E$1203="A")*(Log!$F$4:$F$1203&lt;&gt;"")*(Log!$G$4:$G$1203&lt;&gt;"")*Log!$F$4:$F$1203*(1+Log!$G$4:$G$1203/30)))))</f>
        <v>234.666666666667</v>
      </c>
      <c r="I13" s="85" t="n">
        <f aca="false">IF($H13="","",SUMPRODUCT(MAX((Log!$D$4:$D$1203=$A13)*(Log!$E$4:$E$1203="A")*(Log!$F$4:$F$1203&lt;&gt;"")*(Log!$G$4:$G$1203&lt;&gt;"")*(ROUND(Log!$F$4:$F$1203*(1+Log!$G$4:$G$1203/30),6)=ROUND($H13,6))*Log!$B$4:$B$1203)))</f>
        <v>9</v>
      </c>
      <c r="J13" s="85" t="n">
        <f aca="false">IF($D13="","",IF(SUMPRODUCT(MAX((Log!$D$4:$D$1203=$A13)*(Log!$E$4:$E$1203="A")*(Log!$F$4:$F$1203&lt;&gt;"")*(Log!$G$4:$G$1203&lt;&gt;"")*Log!$F$4:$F$1203*Log!$G$4:$G$1203))=0,"",SUMPRODUCT(MAX((Log!$D$4:$D$1203=$A13)*(Log!$E$4:$E$1203="A")*(Log!$F$4:$F$1203&lt;&gt;"")*(Log!$G$4:$G$1203&lt;&gt;"")*Log!$F$4:$F$1203*Log!$G$4:$G$1203))))</f>
        <v>2040</v>
      </c>
      <c r="K13" s="85" t="n">
        <f aca="false">IF($D13="","",IF(SUMPRODUCT(MAX((Log!$D$4:$D$1203=$A13)*(Log!$E$4:$E$1203="A")*Log!$B$4:$B$1203))=0,"",SUMPRODUCT(MAX((Log!$D$4:$D$1203=$A13)*(Log!$E$4:$E$1203="A")*Log!$B$4:$B$1203))))</f>
        <v>14</v>
      </c>
      <c r="L13" s="88" t="n">
        <f aca="false">IF($K13="","",IF(SUMPRODUCT(MAX((Log!$D$4:$D$1203=$A13)*(Log!$B$4:$B$1203=$K13)*(Log!$E$4:$E$1203="A")*(Log!$F$4:$F$1203&lt;&gt;"")*Log!$F$4:$F$1203))=0,"",SUMPRODUCT(MAX((Log!$D$4:$D$1203=$A13)*(Log!$B$4:$B$1203=$K13)*(Log!$E$4:$E$1203="A")*(Log!$F$4:$F$1203&lt;&gt;"")*Log!$F$4:$F$1203))))</f>
        <v>170</v>
      </c>
      <c r="M13" s="85" t="n">
        <f aca="false">IF($L13="","",IF(SUMPRODUCT(MAX((Log!$D$4:$D$1203=$A13)*(Log!$B$4:$B$1203=$K13)*(Log!$E$4:$E$1203="A")*(Log!$F$4:$F$1203=$L13)*Log!$G$4:$G$1203))=0,"",SUMPRODUCT(MAX((Log!$D$4:$D$1203=$A13)*(Log!$B$4:$B$1203=$K13)*(Log!$E$4:$E$1203="A")*(Log!$F$4:$F$1203=$L13)*Log!$G$4:$G$1203))))</f>
        <v>5</v>
      </c>
      <c r="N13" s="85" t="n">
        <f aca="false">IF($L13="","",IF(SUMPRODUCT(MIN((Log!$D$4:$D$1203=$A13)*(Log!$B$4:$B$1203=$K13)*(Log!$E$4:$E$1203="A")*(Log!$F$4:$F$1203=$L13)*Log!$G$4:$G$1203+((Log!$D$4:$D$1203&lt;&gt;$A13)+(Log!$B$4:$B$1203&lt;&gt;$K13)+(Log!$E$4:$E$1203&lt;&gt;"A")+(Log!$F$4:$F$1203&lt;&gt;$L13)+(Log!$G$4:$G$1203="")&gt;0)*999))&gt;=999,"",SUMPRODUCT(MIN((Log!$D$4:$D$1203=$A13)*(Log!$B$4:$B$1203=$K13)*(Log!$E$4:$E$1203="A")*(Log!$F$4:$F$1203=$L13)*Log!$G$4:$G$1203+((Log!$D$4:$D$1203&lt;&gt;$A13)+(Log!$B$4:$B$1203&lt;&gt;$K13)+(Log!$E$4:$E$1203&lt;&gt;"A")+(Log!$F$4:$F$1203&lt;&gt;$L13)+(Log!$G$4:$G$1203="")&gt;0)*999))))</f>
        <v>5</v>
      </c>
      <c r="O13" s="102" t="n">
        <f aca="false">IF(IF($L13="",IF(Übungen!$H13="","",Übungen!$H13),IF(AND($L13&lt;&gt;"",$N13&lt;&gt;"",Übungen!$E13&lt;&gt;"",$N13&gt;=Übungen!$E13+2),IF(Übungen!$I13="",MAX(IF(IF(Übungen!$J13="",0,Übungen!$J13)=0,ROUND($L13*1.01*2,0)/2,CEILING($L13*1.01/IF(Übungen!$J13="",0,Übungen!$J13),1)*IF(Übungen!$J13="",0,Übungen!$J13)),IF(IF(Übungen!$J13="",0,Übungen!$J13)=0,ROUND((($L13*(1+$N13/30))/(1+Übungen!$E13/30))*2,0)/2,FLOOR((($L13*(1+$N13/30))/(1+Übungen!$E13/30))/IF(Übungen!$J13="",0,Übungen!$J13),1)*IF(Übungen!$J13="",0,Übungen!$J13))),MIN(MAX(IF(IF(Übungen!$J13="",0,Übungen!$J13)=0,ROUND($L13*1.01*2,0)/2,CEILING($L13*1.01/IF(Übungen!$J13="",0,Übungen!$J13),1)*IF(Übungen!$J13="",0,Übungen!$J13)),IF(IF(Übungen!$J13="",0,Übungen!$J13)=0,ROUND((($L13*(1+$N13/30))/(1+Übungen!$E13/30))*2,0)/2,FLOOR((($L13*(1+$N13/30))/(1+Übungen!$E13/30))/IF(Übungen!$J13="",0,Übungen!$J13),1)*IF(Übungen!$J13="",0,Übungen!$J13))),Übungen!$I13)),IF(AND($N13&lt;&gt;"",Übungen!$E13&lt;&gt;"",$N13&gt;=Übungen!$E13),IF(Übungen!$I13="",IF(IF(Übungen!$J13="",0,Übungen!$J13)=0,ROUND($L13*1.01*2,0)/2,CEILING($L13*1.01/IF(Übungen!$J13="",0,Übungen!$J13),1)*IF(Übungen!$J13="",0,Übungen!$J13)),MIN(IF(IF(Übungen!$J13="",0,Übungen!$J13)=0,ROUND($L13*1.01*2,0)/2,CEILING($L13*1.01/IF(Übungen!$J13="",0,Übungen!$J13),1)*IF(Übungen!$J13="",0,Übungen!$J13)),Übungen!$I13)),$L13)))="","",IF(OR(Übungen!$K13="",Übungen!$K13=100),IF($L13="",IF(Übungen!$H13="","",Übungen!$H13),IF(AND($L13&lt;&gt;"",$N13&lt;&gt;"",Übungen!$E13&lt;&gt;"",$N13&gt;=Übungen!$E13+2),IF(Übungen!$I13="",MAX(IF(IF(Übungen!$J13="",0,Übungen!$J13)=0,ROUND($L13*1.01*2,0)/2,CEILING($L13*1.01/IF(Übungen!$J13="",0,Übungen!$J13),1)*IF(Übungen!$J13="",0,Übungen!$J13)),IF(IF(Übungen!$J13="",0,Übungen!$J13)=0,ROUND((($L13*(1+$N13/30))/(1+Übungen!$E13/30))*2,0)/2,FLOOR((($L13*(1+$N13/30))/(1+Übungen!$E13/30))/IF(Übungen!$J13="",0,Übungen!$J13),1)*IF(Übungen!$J13="",0,Übungen!$J13))),MIN(MAX(IF(IF(Übungen!$J13="",0,Übungen!$J13)=0,ROUND($L13*1.01*2,0)/2,CEILING($L13*1.01/IF(Übungen!$J13="",0,Übungen!$J13),1)*IF(Übungen!$J13="",0,Übungen!$J13)),IF(IF(Übungen!$J13="",0,Übungen!$J13)=0,ROUND((($L13*(1+$N13/30))/(1+Übungen!$E13/30))*2,0)/2,FLOOR((($L13*(1+$N13/30))/(1+Übungen!$E13/30))/IF(Übungen!$J13="",0,Übungen!$J13),1)*IF(Übungen!$J13="",0,Übungen!$J13))),Übungen!$I13)),IF(AND($N13&lt;&gt;"",Übungen!$E13&lt;&gt;"",$N13&gt;=Übungen!$E13),IF(Übungen!$I13="",IF(IF(Übungen!$J13="",0,Übungen!$J13)=0,ROUND($L13*1.01*2,0)/2,CEILING($L13*1.01/IF(Übungen!$J13="",0,Übungen!$J13),1)*IF(Übungen!$J13="",0,Übungen!$J13)),MIN(IF(IF(Übungen!$J13="",0,Übungen!$J13)=0,ROUND($L13*1.01*2,0)/2,CEILING($L13*1.01/IF(Übungen!$J13="",0,Übungen!$J13),1)*IF(Übungen!$J13="",0,Übungen!$J13)),Übungen!$I13)),$L13))),FLOOR(IF($L13="",IF(Übungen!$H13="","",Übungen!$H13),IF(AND($L13&lt;&gt;"",$N13&lt;&gt;"",Übungen!$E13&lt;&gt;"",$N13&gt;=Übungen!$E13+2),IF(Übungen!$I13="",MAX(IF(IF(Übungen!$J13="",0,Übungen!$J13)=0,ROUND($L13*1.01*2,0)/2,CEILING($L13*1.01/IF(Übungen!$J13="",0,Übungen!$J13),1)*IF(Übungen!$J13="",0,Übungen!$J13)),IF(IF(Übungen!$J13="",0,Übungen!$J13)=0,ROUND((($L13*(1+$N13/30))/(1+Übungen!$E13/30))*2,0)/2,FLOOR((($L13*(1+$N13/30))/(1+Übungen!$E13/30))/IF(Übungen!$J13="",0,Übungen!$J13),1)*IF(Übungen!$J13="",0,Übungen!$J13))),MIN(MAX(IF(IF(Übungen!$J13="",0,Übungen!$J13)=0,ROUND($L13*1.01*2,0)/2,CEILING($L13*1.01/IF(Übungen!$J13="",0,Übungen!$J13),1)*IF(Übungen!$J13="",0,Übungen!$J13)),IF(IF(Übungen!$J13="",0,Übungen!$J13)=0,ROUND((($L13*(1+$N13/30))/(1+Übungen!$E13/30))*2,0)/2,FLOOR((($L13*(1+$N13/30))/(1+Übungen!$E13/30))/IF(Übungen!$J13="",0,Übungen!$J13),1)*IF(Übungen!$J13="",0,Übungen!$J13))),Übungen!$I13)),IF(AND($N13&lt;&gt;"",Übungen!$E13&lt;&gt;"",$N13&gt;=Übungen!$E13),IF(Übungen!$I13="",IF(IF(Übungen!$J13="",0,Übungen!$J13)=0,ROUND($L13*1.01*2,0)/2,CEILING($L13*1.01/IF(Übungen!$J13="",0,Übungen!$J13),1)*IF(Übungen!$J13="",0,Übungen!$J13)),MIN(IF(IF(Übungen!$J13="",0,Übungen!$J13)=0,ROUND($L13*1.01*2,0)/2,CEILING($L13*1.01/IF(Übungen!$J13="",0,Übungen!$J13),1)*IF(Übungen!$J13="",0,Übungen!$J13)),Übungen!$I13)),$L13)))*Übungen!$K13/100/Übungen!$J13,1)*Übungen!$J13))</f>
        <v>170</v>
      </c>
      <c r="P13" s="103" t="n">
        <f aca="false">IF(Übungen!$D13="","",IF($O13="","",IF($L13="",Übungen!$D13,IF(AND($N13&lt;&gt;"",Übungen!$E13&lt;&gt;"",$N13&gt;=Übungen!$E13),Übungen!$D13,IF(OR($N13="",$N13&lt;Übungen!$D13),Übungen!$D13,MIN(Übungen!$E13,$N13+1))))))</f>
        <v>6</v>
      </c>
      <c r="Q13" s="95" t="str">
        <f aca="false">IF(AND(AND($L13&lt;&gt;"",$N13&lt;&gt;"",Übungen!$E13&lt;&gt;"",$N13&gt;=Übungen!$E13+2),$O13&gt;$L13),"RM-Korrektur nach "&amp;TEXT($N13,"0")&amp;" Wdh: +"&amp;TEXT($O13-$L13,"0.#")&amp;" kg ("&amp;TEXT(($O13-$L13)/$L13,"0.0%")&amp;"), Wdh zurück auf "&amp;Übungen!$D13,IF($O13="","",IF($L13="","Einstieg mit Startgewicht",IF(AND(AND($N13&lt;&gt;"",Übungen!$E13&lt;&gt;"",$N13&gt;=Übungen!$E13),$O13&gt;$L13),"Gewicht +"&amp;TEXT($O13-$L13,"0.#")&amp;" kg ("&amp;TEXT(($O13-$L13)/$L13,"0.0%")&amp;"), Wdh zurück auf "&amp;Übungen!$D13,IF(AND(AND($N13&lt;&gt;"",Übungen!$E13&lt;&gt;"",$N13&gt;=Übungen!$E13),Übungen!$J13=""),"Zielbereich voll - dafür fehlt 'Schritt (kg)' im Blatt Übungen",IF(AND($N13&lt;&gt;"",Übungen!$E13&lt;&gt;"",$N13&gt;=Übungen!$E13),"Obergrenze erreicht - über Tempo und Pausen steigern",IF(OR($N13="",$N13&lt;Übungen!$D13),"Gewicht halten, erst "&amp;Übungen!$D13&amp;" Wdh sauber schaffen","Wdh +1 auf "&amp;$P13&amp;" bei gleichem Gewicht")))))))</f>
        <v>Wdh +1 auf 6 bei gleichem Gewicht</v>
      </c>
    </row>
    <row r="14" customFormat="false" ht="18" hidden="false" customHeight="true" outlineLevel="0" collapsed="false">
      <c r="A14" s="34" t="str">
        <f aca="false">IF(Übungen!$A14="","",Übungen!$A14)</f>
        <v>Beinbeuger</v>
      </c>
      <c r="B14" s="97" t="str">
        <f aca="false">IF(Übungen!$B14="","",Übungen!$B14)</f>
        <v>Beine hinten</v>
      </c>
      <c r="C14" s="83" t="n">
        <f aca="false">IF($D14="","",SUMPRODUCT((COUNTIFS(Log!$D$4:$D$1203,$A14,Log!$E$4:$E$1203,"A",Log!$B$4:$B$1203,Einheiten!$A$4:$A$63)&gt;0)*1))</f>
        <v>8</v>
      </c>
      <c r="D14" s="83" t="n">
        <f aca="false">IF($A14="","",IF(COUNTIFS(Log!$D$4:$D$1203,$A14,Log!$E$4:$E$1203,"A")=0,"",COUNTIFS(Log!$D$4:$D$1203,$A14,Log!$E$4:$E$1203,"A")))</f>
        <v>18</v>
      </c>
      <c r="E14" s="83" t="n">
        <f aca="false">IF($D14="","",SUMIFS(Log!$I$4:$I$1203,Log!$D$4:$D$1203,$A14,Log!$E$4:$E$1203,"A"))</f>
        <v>8013.5</v>
      </c>
      <c r="F14" s="98" t="n">
        <f aca="false">IF($D14="","",IF(SUMPRODUCT(MAX((Log!$D$4:$D$1203=$A14)*(Log!$E$4:$E$1203="A")*(Log!$F$4:$F$1203&lt;&gt;"")*Log!$F$4:$F$1203))=0,"",SUMPRODUCT(MAX((Log!$D$4:$D$1203=$A14)*(Log!$E$4:$E$1203="A")*(Log!$F$4:$F$1203&lt;&gt;"")*Log!$F$4:$F$1203))))</f>
        <v>57.5</v>
      </c>
      <c r="G14" s="83" t="n">
        <f aca="false">IF($F14="","",SUMPRODUCT(MAX((Log!$D$4:$D$1203=$A14)*(Log!$E$4:$E$1203="A")*(Log!$F$4:$F$1203=$F14)*Log!$B$4:$B$1203)))</f>
        <v>9</v>
      </c>
      <c r="H14" s="98" t="n">
        <f aca="false">IF($D14="","",IF(SUMPRODUCT(MAX((Log!$D$4:$D$1203=$A14)*(Log!$E$4:$E$1203="A")*(Log!$F$4:$F$1203&lt;&gt;"")*(Log!$G$4:$G$1203&lt;&gt;"")*Log!$F$4:$F$1203*(1+Log!$G$4:$G$1203/30)))=0,"",SUMPRODUCT(MAX((Log!$D$4:$D$1203=$A14)*(Log!$E$4:$E$1203="A")*(Log!$F$4:$F$1203&lt;&gt;"")*(Log!$G$4:$G$1203&lt;&gt;"")*Log!$F$4:$F$1203*(1+Log!$G$4:$G$1203/30)))))</f>
        <v>73.3333333333333</v>
      </c>
      <c r="I14" s="83" t="n">
        <f aca="false">IF($H14="","",SUMPRODUCT(MAX((Log!$D$4:$D$1203=$A14)*(Log!$E$4:$E$1203="A")*(Log!$F$4:$F$1203&lt;&gt;"")*(Log!$G$4:$G$1203&lt;&gt;"")*(ROUND(Log!$F$4:$F$1203*(1+Log!$G$4:$G$1203/30),6)=ROUND($H14,6))*Log!$B$4:$B$1203)))</f>
        <v>2</v>
      </c>
      <c r="J14" s="83" t="n">
        <f aca="false">IF($D14="","",IF(SUMPRODUCT(MAX((Log!$D$4:$D$1203=$A14)*(Log!$E$4:$E$1203="A")*(Log!$F$4:$F$1203&lt;&gt;"")*(Log!$G$4:$G$1203&lt;&gt;"")*Log!$F$4:$F$1203*Log!$G$4:$G$1203))=0,"",SUMPRODUCT(MAX((Log!$D$4:$D$1203=$A14)*(Log!$E$4:$E$1203="A")*(Log!$F$4:$F$1203&lt;&gt;"")*(Log!$G$4:$G$1203&lt;&gt;"")*Log!$F$4:$F$1203*Log!$G$4:$G$1203))))</f>
        <v>675</v>
      </c>
      <c r="K14" s="83" t="n">
        <f aca="false">IF($D14="","",IF(SUMPRODUCT(MAX((Log!$D$4:$D$1203=$A14)*(Log!$E$4:$E$1203="A")*Log!$B$4:$B$1203))=0,"",SUMPRODUCT(MAX((Log!$D$4:$D$1203=$A14)*(Log!$E$4:$E$1203="A")*Log!$B$4:$B$1203))))</f>
        <v>14</v>
      </c>
      <c r="L14" s="86" t="n">
        <f aca="false">IF($K14="","",IF(SUMPRODUCT(MAX((Log!$D$4:$D$1203=$A14)*(Log!$B$4:$B$1203=$K14)*(Log!$E$4:$E$1203="A")*(Log!$F$4:$F$1203&lt;&gt;"")*Log!$F$4:$F$1203))=0,"",SUMPRODUCT(MAX((Log!$D$4:$D$1203=$A14)*(Log!$B$4:$B$1203=$K14)*(Log!$E$4:$E$1203="A")*(Log!$F$4:$F$1203&lt;&gt;"")*Log!$F$4:$F$1203))))</f>
        <v>45</v>
      </c>
      <c r="M14" s="83" t="n">
        <f aca="false">IF($L14="","",IF(SUMPRODUCT(MAX((Log!$D$4:$D$1203=$A14)*(Log!$B$4:$B$1203=$K14)*(Log!$E$4:$E$1203="A")*(Log!$F$4:$F$1203=$L14)*Log!$G$4:$G$1203))=0,"",SUMPRODUCT(MAX((Log!$D$4:$D$1203=$A14)*(Log!$B$4:$B$1203=$K14)*(Log!$E$4:$E$1203="A")*(Log!$F$4:$F$1203=$L14)*Log!$G$4:$G$1203))))</f>
        <v>5</v>
      </c>
      <c r="N14" s="83" t="n">
        <f aca="false">IF($L14="","",IF(SUMPRODUCT(MIN((Log!$D$4:$D$1203=$A14)*(Log!$B$4:$B$1203=$K14)*(Log!$E$4:$E$1203="A")*(Log!$F$4:$F$1203=$L14)*Log!$G$4:$G$1203+((Log!$D$4:$D$1203&lt;&gt;$A14)+(Log!$B$4:$B$1203&lt;&gt;$K14)+(Log!$E$4:$E$1203&lt;&gt;"A")+(Log!$F$4:$F$1203&lt;&gt;$L14)+(Log!$G$4:$G$1203="")&gt;0)*999))&gt;=999,"",SUMPRODUCT(MIN((Log!$D$4:$D$1203=$A14)*(Log!$B$4:$B$1203=$K14)*(Log!$E$4:$E$1203="A")*(Log!$F$4:$F$1203=$L14)*Log!$G$4:$G$1203+((Log!$D$4:$D$1203&lt;&gt;$A14)+(Log!$B$4:$B$1203&lt;&gt;$K14)+(Log!$E$4:$E$1203&lt;&gt;"A")+(Log!$F$4:$F$1203&lt;&gt;$L14)+(Log!$G$4:$G$1203="")&gt;0)*999))))</f>
        <v>5</v>
      </c>
      <c r="O14" s="99" t="n">
        <f aca="false">IF(IF($L14="",IF(Übungen!$H14="","",Übungen!$H14),IF(AND($L14&lt;&gt;"",$N14&lt;&gt;"",Übungen!$E14&lt;&gt;"",$N14&gt;=Übungen!$E14+2),IF(Übungen!$I14="",MAX(IF(IF(Übungen!$J14="",0,Übungen!$J14)=0,ROUND($L14*1.01*2,0)/2,CEILING($L14*1.01/IF(Übungen!$J14="",0,Übungen!$J14),1)*IF(Übungen!$J14="",0,Übungen!$J14)),IF(IF(Übungen!$J14="",0,Übungen!$J14)=0,ROUND((($L14*(1+$N14/30))/(1+Übungen!$E14/30))*2,0)/2,FLOOR((($L14*(1+$N14/30))/(1+Übungen!$E14/30))/IF(Übungen!$J14="",0,Übungen!$J14),1)*IF(Übungen!$J14="",0,Übungen!$J14))),MIN(MAX(IF(IF(Übungen!$J14="",0,Übungen!$J14)=0,ROUND($L14*1.01*2,0)/2,CEILING($L14*1.01/IF(Übungen!$J14="",0,Übungen!$J14),1)*IF(Übungen!$J14="",0,Übungen!$J14)),IF(IF(Übungen!$J14="",0,Übungen!$J14)=0,ROUND((($L14*(1+$N14/30))/(1+Übungen!$E14/30))*2,0)/2,FLOOR((($L14*(1+$N14/30))/(1+Übungen!$E14/30))/IF(Übungen!$J14="",0,Übungen!$J14),1)*IF(Übungen!$J14="",0,Übungen!$J14))),Übungen!$I14)),IF(AND($N14&lt;&gt;"",Übungen!$E14&lt;&gt;"",$N14&gt;=Übungen!$E14),IF(Übungen!$I14="",IF(IF(Übungen!$J14="",0,Übungen!$J14)=0,ROUND($L14*1.01*2,0)/2,CEILING($L14*1.01/IF(Übungen!$J14="",0,Übungen!$J14),1)*IF(Übungen!$J14="",0,Übungen!$J14)),MIN(IF(IF(Übungen!$J14="",0,Übungen!$J14)=0,ROUND($L14*1.01*2,0)/2,CEILING($L14*1.01/IF(Übungen!$J14="",0,Übungen!$J14),1)*IF(Übungen!$J14="",0,Übungen!$J14)),Übungen!$I14)),$L14)))="","",IF(OR(Übungen!$K14="",Übungen!$K14=100),IF($L14="",IF(Übungen!$H14="","",Übungen!$H14),IF(AND($L14&lt;&gt;"",$N14&lt;&gt;"",Übungen!$E14&lt;&gt;"",$N14&gt;=Übungen!$E14+2),IF(Übungen!$I14="",MAX(IF(IF(Übungen!$J14="",0,Übungen!$J14)=0,ROUND($L14*1.01*2,0)/2,CEILING($L14*1.01/IF(Übungen!$J14="",0,Übungen!$J14),1)*IF(Übungen!$J14="",0,Übungen!$J14)),IF(IF(Übungen!$J14="",0,Übungen!$J14)=0,ROUND((($L14*(1+$N14/30))/(1+Übungen!$E14/30))*2,0)/2,FLOOR((($L14*(1+$N14/30))/(1+Übungen!$E14/30))/IF(Übungen!$J14="",0,Übungen!$J14),1)*IF(Übungen!$J14="",0,Übungen!$J14))),MIN(MAX(IF(IF(Übungen!$J14="",0,Übungen!$J14)=0,ROUND($L14*1.01*2,0)/2,CEILING($L14*1.01/IF(Übungen!$J14="",0,Übungen!$J14),1)*IF(Übungen!$J14="",0,Übungen!$J14)),IF(IF(Übungen!$J14="",0,Übungen!$J14)=0,ROUND((($L14*(1+$N14/30))/(1+Übungen!$E14/30))*2,0)/2,FLOOR((($L14*(1+$N14/30))/(1+Übungen!$E14/30))/IF(Übungen!$J14="",0,Übungen!$J14),1)*IF(Übungen!$J14="",0,Übungen!$J14))),Übungen!$I14)),IF(AND($N14&lt;&gt;"",Übungen!$E14&lt;&gt;"",$N14&gt;=Übungen!$E14),IF(Übungen!$I14="",IF(IF(Übungen!$J14="",0,Übungen!$J14)=0,ROUND($L14*1.01*2,0)/2,CEILING($L14*1.01/IF(Übungen!$J14="",0,Übungen!$J14),1)*IF(Übungen!$J14="",0,Übungen!$J14)),MIN(IF(IF(Übungen!$J14="",0,Übungen!$J14)=0,ROUND($L14*1.01*2,0)/2,CEILING($L14*1.01/IF(Übungen!$J14="",0,Übungen!$J14),1)*IF(Übungen!$J14="",0,Übungen!$J14)),Übungen!$I14)),$L14))),FLOOR(IF($L14="",IF(Übungen!$H14="","",Übungen!$H14),IF(AND($L14&lt;&gt;"",$N14&lt;&gt;"",Übungen!$E14&lt;&gt;"",$N14&gt;=Übungen!$E14+2),IF(Übungen!$I14="",MAX(IF(IF(Übungen!$J14="",0,Übungen!$J14)=0,ROUND($L14*1.01*2,0)/2,CEILING($L14*1.01/IF(Übungen!$J14="",0,Übungen!$J14),1)*IF(Übungen!$J14="",0,Übungen!$J14)),IF(IF(Übungen!$J14="",0,Übungen!$J14)=0,ROUND((($L14*(1+$N14/30))/(1+Übungen!$E14/30))*2,0)/2,FLOOR((($L14*(1+$N14/30))/(1+Übungen!$E14/30))/IF(Übungen!$J14="",0,Übungen!$J14),1)*IF(Übungen!$J14="",0,Übungen!$J14))),MIN(MAX(IF(IF(Übungen!$J14="",0,Übungen!$J14)=0,ROUND($L14*1.01*2,0)/2,CEILING($L14*1.01/IF(Übungen!$J14="",0,Übungen!$J14),1)*IF(Übungen!$J14="",0,Übungen!$J14)),IF(IF(Übungen!$J14="",0,Übungen!$J14)=0,ROUND((($L14*(1+$N14/30))/(1+Übungen!$E14/30))*2,0)/2,FLOOR((($L14*(1+$N14/30))/(1+Übungen!$E14/30))/IF(Übungen!$J14="",0,Übungen!$J14),1)*IF(Übungen!$J14="",0,Übungen!$J14))),Übungen!$I14)),IF(AND($N14&lt;&gt;"",Übungen!$E14&lt;&gt;"",$N14&gt;=Übungen!$E14),IF(Übungen!$I14="",IF(IF(Übungen!$J14="",0,Übungen!$J14)=0,ROUND($L14*1.01*2,0)/2,CEILING($L14*1.01/IF(Übungen!$J14="",0,Übungen!$J14),1)*IF(Übungen!$J14="",0,Übungen!$J14)),MIN(IF(IF(Übungen!$J14="",0,Übungen!$J14)=0,ROUND($L14*1.01*2,0)/2,CEILING($L14*1.01/IF(Übungen!$J14="",0,Übungen!$J14),1)*IF(Übungen!$J14="",0,Übungen!$J14)),Übungen!$I14)),$L14)))*Übungen!$K14/100/Übungen!$J14,1)*Übungen!$J14))</f>
        <v>45</v>
      </c>
      <c r="P14" s="100" t="n">
        <f aca="false">IF(Übungen!$D14="","",IF($O14="","",IF($L14="",Übungen!$D14,IF(AND($N14&lt;&gt;"",Übungen!$E14&lt;&gt;"",$N14&gt;=Übungen!$E14),Übungen!$D14,IF(OR($N14="",$N14&lt;Übungen!$D14),Übungen!$D14,MIN(Übungen!$E14,$N14+1))))))</f>
        <v>6</v>
      </c>
      <c r="Q14" s="91" t="str">
        <f aca="false">IF(AND(AND($L14&lt;&gt;"",$N14&lt;&gt;"",Übungen!$E14&lt;&gt;"",$N14&gt;=Übungen!$E14+2),$O14&gt;$L14),"RM-Korrektur nach "&amp;TEXT($N14,"0")&amp;" Wdh: +"&amp;TEXT($O14-$L14,"0.#")&amp;" kg ("&amp;TEXT(($O14-$L14)/$L14,"0.0%")&amp;"), Wdh zurück auf "&amp;Übungen!$D14,IF($O14="","",IF($L14="","Einstieg mit Startgewicht",IF(AND(AND($N14&lt;&gt;"",Übungen!$E14&lt;&gt;"",$N14&gt;=Übungen!$E14),$O14&gt;$L14),"Gewicht +"&amp;TEXT($O14-$L14,"0.#")&amp;" kg ("&amp;TEXT(($O14-$L14)/$L14,"0.0%")&amp;"), Wdh zurück auf "&amp;Übungen!$D14,IF(AND(AND($N14&lt;&gt;"",Übungen!$E14&lt;&gt;"",$N14&gt;=Übungen!$E14),Übungen!$J14=""),"Zielbereich voll - dafür fehlt 'Schritt (kg)' im Blatt Übungen",IF(AND($N14&lt;&gt;"",Übungen!$E14&lt;&gt;"",$N14&gt;=Übungen!$E14),"Obergrenze erreicht - über Tempo und Pausen steigern",IF(OR($N14="",$N14&lt;Übungen!$D14),"Gewicht halten, erst "&amp;Übungen!$D14&amp;" Wdh sauber schaffen","Wdh +1 auf "&amp;$P14&amp;" bei gleichem Gewicht")))))))</f>
        <v>Wdh +1 auf 6 bei gleichem Gewicht</v>
      </c>
    </row>
    <row r="15" customFormat="false" ht="18" hidden="false" customHeight="true" outlineLevel="0" collapsed="false">
      <c r="A15" s="40" t="str">
        <f aca="false">IF(Übungen!$A15="","",Übungen!$A15)</f>
        <v>Seitliche Kickbacks</v>
      </c>
      <c r="B15" s="4" t="str">
        <f aca="false">IF(Übungen!$B15="","",Übungen!$B15)</f>
        <v>Beine hinten</v>
      </c>
      <c r="C15" s="85" t="n">
        <f aca="false">IF($D15="","",SUMPRODUCT((COUNTIFS(Log!$D$4:$D$1203,$A15,Log!$E$4:$E$1203,"A",Log!$B$4:$B$1203,Einheiten!$A$4:$A$63)&gt;0)*1))</f>
        <v>3</v>
      </c>
      <c r="D15" s="85" t="n">
        <f aca="false">IF($A15="","",IF(COUNTIFS(Log!$D$4:$D$1203,$A15,Log!$E$4:$E$1203,"A")=0,"",COUNTIFS(Log!$D$4:$D$1203,$A15,Log!$E$4:$E$1203,"A")))</f>
        <v>6</v>
      </c>
      <c r="E15" s="85" t="n">
        <f aca="false">IF($D15="","",SUMIFS(Log!$I$4:$I$1203,Log!$D$4:$D$1203,$A15,Log!$E$4:$E$1203,"A"))</f>
        <v>2773</v>
      </c>
      <c r="F15" s="101" t="n">
        <f aca="false">IF($D15="","",IF(SUMPRODUCT(MAX((Log!$D$4:$D$1203=$A15)*(Log!$E$4:$E$1203="A")*(Log!$F$4:$F$1203&lt;&gt;"")*Log!$F$4:$F$1203))=0,"",SUMPRODUCT(MAX((Log!$D$4:$D$1203=$A15)*(Log!$E$4:$E$1203="A")*(Log!$F$4:$F$1203&lt;&gt;"")*Log!$F$4:$F$1203))))</f>
        <v>49</v>
      </c>
      <c r="G15" s="85" t="n">
        <f aca="false">IF($F15="","",SUMPRODUCT(MAX((Log!$D$4:$D$1203=$A15)*(Log!$E$4:$E$1203="A")*(Log!$F$4:$F$1203=$F15)*Log!$B$4:$B$1203)))</f>
        <v>1</v>
      </c>
      <c r="H15" s="101" t="n">
        <f aca="false">IF($D15="","",IF(SUMPRODUCT(MAX((Log!$D$4:$D$1203=$A15)*(Log!$E$4:$E$1203="A")*(Log!$F$4:$F$1203&lt;&gt;"")*(Log!$G$4:$G$1203&lt;&gt;"")*Log!$F$4:$F$1203*(1+Log!$G$4:$G$1203/30)))=0,"",SUMPRODUCT(MAX((Log!$D$4:$D$1203=$A15)*(Log!$E$4:$E$1203="A")*(Log!$F$4:$F$1203&lt;&gt;"")*(Log!$G$4:$G$1203&lt;&gt;"")*Log!$F$4:$F$1203*(1+Log!$G$4:$G$1203/30)))))</f>
        <v>68.6</v>
      </c>
      <c r="I15" s="85" t="n">
        <f aca="false">IF($H15="","",SUMPRODUCT(MAX((Log!$D$4:$D$1203=$A15)*(Log!$E$4:$E$1203="A")*(Log!$F$4:$F$1203&lt;&gt;"")*(Log!$G$4:$G$1203&lt;&gt;"")*(ROUND(Log!$F$4:$F$1203*(1+Log!$G$4:$G$1203/30),6)=ROUND($H15,6))*Log!$B$4:$B$1203)))</f>
        <v>1</v>
      </c>
      <c r="J15" s="85" t="n">
        <f aca="false">IF($D15="","",IF(SUMPRODUCT(MAX((Log!$D$4:$D$1203=$A15)*(Log!$E$4:$E$1203="A")*(Log!$F$4:$F$1203&lt;&gt;"")*(Log!$G$4:$G$1203&lt;&gt;"")*Log!$F$4:$F$1203*Log!$G$4:$G$1203))=0,"",SUMPRODUCT(MAX((Log!$D$4:$D$1203=$A15)*(Log!$E$4:$E$1203="A")*(Log!$F$4:$F$1203&lt;&gt;"")*(Log!$G$4:$G$1203&lt;&gt;"")*Log!$F$4:$F$1203*Log!$G$4:$G$1203))))</f>
        <v>588</v>
      </c>
      <c r="K15" s="85" t="n">
        <f aca="false">IF($D15="","",IF(SUMPRODUCT(MAX((Log!$D$4:$D$1203=$A15)*(Log!$E$4:$E$1203="A")*Log!$B$4:$B$1203))=0,"",SUMPRODUCT(MAX((Log!$D$4:$D$1203=$A15)*(Log!$E$4:$E$1203="A")*Log!$B$4:$B$1203))))</f>
        <v>5</v>
      </c>
      <c r="L15" s="88" t="n">
        <f aca="false">IF($K15="","",IF(SUMPRODUCT(MAX((Log!$D$4:$D$1203=$A15)*(Log!$B$4:$B$1203=$K15)*(Log!$E$4:$E$1203="A")*(Log!$F$4:$F$1203&lt;&gt;"")*Log!$F$4:$F$1203))=0,"",SUMPRODUCT(MAX((Log!$D$4:$D$1203=$A15)*(Log!$B$4:$B$1203=$K15)*(Log!$E$4:$E$1203="A")*(Log!$F$4:$F$1203&lt;&gt;"")*Log!$F$4:$F$1203))))</f>
        <v>36</v>
      </c>
      <c r="M15" s="85" t="n">
        <f aca="false">IF($L15="","",IF(SUMPRODUCT(MAX((Log!$D$4:$D$1203=$A15)*(Log!$B$4:$B$1203=$K15)*(Log!$E$4:$E$1203="A")*(Log!$F$4:$F$1203=$L15)*Log!$G$4:$G$1203))=0,"",SUMPRODUCT(MAX((Log!$D$4:$D$1203=$A15)*(Log!$B$4:$B$1203=$K15)*(Log!$E$4:$E$1203="A")*(Log!$F$4:$F$1203=$L15)*Log!$G$4:$G$1203))))</f>
        <v>10</v>
      </c>
      <c r="N15" s="85" t="n">
        <f aca="false">IF($L15="","",IF(SUMPRODUCT(MIN((Log!$D$4:$D$1203=$A15)*(Log!$B$4:$B$1203=$K15)*(Log!$E$4:$E$1203="A")*(Log!$F$4:$F$1203=$L15)*Log!$G$4:$G$1203+((Log!$D$4:$D$1203&lt;&gt;$A15)+(Log!$B$4:$B$1203&lt;&gt;$K15)+(Log!$E$4:$E$1203&lt;&gt;"A")+(Log!$F$4:$F$1203&lt;&gt;$L15)+(Log!$G$4:$G$1203="")&gt;0)*999))&gt;=999,"",SUMPRODUCT(MIN((Log!$D$4:$D$1203=$A15)*(Log!$B$4:$B$1203=$K15)*(Log!$E$4:$E$1203="A")*(Log!$F$4:$F$1203=$L15)*Log!$G$4:$G$1203+((Log!$D$4:$D$1203&lt;&gt;$A15)+(Log!$B$4:$B$1203&lt;&gt;$K15)+(Log!$E$4:$E$1203&lt;&gt;"A")+(Log!$F$4:$F$1203&lt;&gt;$L15)+(Log!$G$4:$G$1203="")&gt;0)*999))))</f>
        <v>10</v>
      </c>
      <c r="O15" s="102" t="n">
        <f aca="false">IF(IF($L15="",IF(Übungen!$H15="","",Übungen!$H15),IF(AND($L15&lt;&gt;"",$N15&lt;&gt;"",Übungen!$E15&lt;&gt;"",$N15&gt;=Übungen!$E15+2),IF(Übungen!$I15="",MAX(IF(IF(Übungen!$J15="",0,Übungen!$J15)=0,ROUND($L15*1.01*2,0)/2,CEILING($L15*1.01/IF(Übungen!$J15="",0,Übungen!$J15),1)*IF(Übungen!$J15="",0,Übungen!$J15)),IF(IF(Übungen!$J15="",0,Übungen!$J15)=0,ROUND((($L15*(1+$N15/30))/(1+Übungen!$E15/30))*2,0)/2,FLOOR((($L15*(1+$N15/30))/(1+Übungen!$E15/30))/IF(Übungen!$J15="",0,Übungen!$J15),1)*IF(Übungen!$J15="",0,Übungen!$J15))),MIN(MAX(IF(IF(Übungen!$J15="",0,Übungen!$J15)=0,ROUND($L15*1.01*2,0)/2,CEILING($L15*1.01/IF(Übungen!$J15="",0,Übungen!$J15),1)*IF(Übungen!$J15="",0,Übungen!$J15)),IF(IF(Übungen!$J15="",0,Übungen!$J15)=0,ROUND((($L15*(1+$N15/30))/(1+Übungen!$E15/30))*2,0)/2,FLOOR((($L15*(1+$N15/30))/(1+Übungen!$E15/30))/IF(Übungen!$J15="",0,Übungen!$J15),1)*IF(Übungen!$J15="",0,Übungen!$J15))),Übungen!$I15)),IF(AND($N15&lt;&gt;"",Übungen!$E15&lt;&gt;"",$N15&gt;=Übungen!$E15),IF(Übungen!$I15="",IF(IF(Übungen!$J15="",0,Übungen!$J15)=0,ROUND($L15*1.01*2,0)/2,CEILING($L15*1.01/IF(Übungen!$J15="",0,Übungen!$J15),1)*IF(Übungen!$J15="",0,Übungen!$J15)),MIN(IF(IF(Übungen!$J15="",0,Übungen!$J15)=0,ROUND($L15*1.01*2,0)/2,CEILING($L15*1.01/IF(Übungen!$J15="",0,Übungen!$J15),1)*IF(Übungen!$J15="",0,Übungen!$J15)),Übungen!$I15)),$L15)))="","",IF(OR(Übungen!$K15="",Übungen!$K15=100),IF($L15="",IF(Übungen!$H15="","",Übungen!$H15),IF(AND($L15&lt;&gt;"",$N15&lt;&gt;"",Übungen!$E15&lt;&gt;"",$N15&gt;=Übungen!$E15+2),IF(Übungen!$I15="",MAX(IF(IF(Übungen!$J15="",0,Übungen!$J15)=0,ROUND($L15*1.01*2,0)/2,CEILING($L15*1.01/IF(Übungen!$J15="",0,Übungen!$J15),1)*IF(Übungen!$J15="",0,Übungen!$J15)),IF(IF(Übungen!$J15="",0,Übungen!$J15)=0,ROUND((($L15*(1+$N15/30))/(1+Übungen!$E15/30))*2,0)/2,FLOOR((($L15*(1+$N15/30))/(1+Übungen!$E15/30))/IF(Übungen!$J15="",0,Übungen!$J15),1)*IF(Übungen!$J15="",0,Übungen!$J15))),MIN(MAX(IF(IF(Übungen!$J15="",0,Übungen!$J15)=0,ROUND($L15*1.01*2,0)/2,CEILING($L15*1.01/IF(Übungen!$J15="",0,Übungen!$J15),1)*IF(Übungen!$J15="",0,Übungen!$J15)),IF(IF(Übungen!$J15="",0,Übungen!$J15)=0,ROUND((($L15*(1+$N15/30))/(1+Übungen!$E15/30))*2,0)/2,FLOOR((($L15*(1+$N15/30))/(1+Übungen!$E15/30))/IF(Übungen!$J15="",0,Übungen!$J15),1)*IF(Übungen!$J15="",0,Übungen!$J15))),Übungen!$I15)),IF(AND($N15&lt;&gt;"",Übungen!$E15&lt;&gt;"",$N15&gt;=Übungen!$E15),IF(Übungen!$I15="",IF(IF(Übungen!$J15="",0,Übungen!$J15)=0,ROUND($L15*1.01*2,0)/2,CEILING($L15*1.01/IF(Übungen!$J15="",0,Übungen!$J15),1)*IF(Übungen!$J15="",0,Übungen!$J15)),MIN(IF(IF(Übungen!$J15="",0,Übungen!$J15)=0,ROUND($L15*1.01*2,0)/2,CEILING($L15*1.01/IF(Übungen!$J15="",0,Übungen!$J15),1)*IF(Übungen!$J15="",0,Übungen!$J15)),Übungen!$I15)),$L15))),FLOOR(IF($L15="",IF(Übungen!$H15="","",Übungen!$H15),IF(AND($L15&lt;&gt;"",$N15&lt;&gt;"",Übungen!$E15&lt;&gt;"",$N15&gt;=Übungen!$E15+2),IF(Übungen!$I15="",MAX(IF(IF(Übungen!$J15="",0,Übungen!$J15)=0,ROUND($L15*1.01*2,0)/2,CEILING($L15*1.01/IF(Übungen!$J15="",0,Übungen!$J15),1)*IF(Übungen!$J15="",0,Übungen!$J15)),IF(IF(Übungen!$J15="",0,Übungen!$J15)=0,ROUND((($L15*(1+$N15/30))/(1+Übungen!$E15/30))*2,0)/2,FLOOR((($L15*(1+$N15/30))/(1+Übungen!$E15/30))/IF(Übungen!$J15="",0,Übungen!$J15),1)*IF(Übungen!$J15="",0,Übungen!$J15))),MIN(MAX(IF(IF(Übungen!$J15="",0,Übungen!$J15)=0,ROUND($L15*1.01*2,0)/2,CEILING($L15*1.01/IF(Übungen!$J15="",0,Übungen!$J15),1)*IF(Übungen!$J15="",0,Übungen!$J15)),IF(IF(Übungen!$J15="",0,Übungen!$J15)=0,ROUND((($L15*(1+$N15/30))/(1+Übungen!$E15/30))*2,0)/2,FLOOR((($L15*(1+$N15/30))/(1+Übungen!$E15/30))/IF(Übungen!$J15="",0,Übungen!$J15),1)*IF(Übungen!$J15="",0,Übungen!$J15))),Übungen!$I15)),IF(AND($N15&lt;&gt;"",Übungen!$E15&lt;&gt;"",$N15&gt;=Übungen!$E15),IF(Übungen!$I15="",IF(IF(Übungen!$J15="",0,Übungen!$J15)=0,ROUND($L15*1.01*2,0)/2,CEILING($L15*1.01/IF(Übungen!$J15="",0,Übungen!$J15),1)*IF(Übungen!$J15="",0,Übungen!$J15)),MIN(IF(IF(Übungen!$J15="",0,Übungen!$J15)=0,ROUND($L15*1.01*2,0)/2,CEILING($L15*1.01/IF(Übungen!$J15="",0,Übungen!$J15),1)*IF(Übungen!$J15="",0,Übungen!$J15)),Übungen!$I15)),$L15)))*Übungen!$K15/100/Übungen!$J15,1)*Übungen!$J15))</f>
        <v>40</v>
      </c>
      <c r="P15" s="103" t="n">
        <f aca="false">IF(Übungen!$D15="","",IF($O15="","",IF($L15="",Übungen!$D15,IF(AND($N15&lt;&gt;"",Übungen!$E15&lt;&gt;"",$N15&gt;=Übungen!$E15),Übungen!$D15,IF(OR($N15="",$N15&lt;Übungen!$D15),Übungen!$D15,MIN(Übungen!$E15,$N15+1))))))</f>
        <v>5</v>
      </c>
      <c r="Q15" s="95" t="str">
        <f aca="false">IF(AND(AND($L15&lt;&gt;"",$N15&lt;&gt;"",Übungen!$E15&lt;&gt;"",$N15&gt;=Übungen!$E15+2),$O15&gt;$L15),"RM-Korrektur nach "&amp;TEXT($N15,"0")&amp;" Wdh: +"&amp;TEXT($O15-$L15,"0.#")&amp;" kg ("&amp;TEXT(($O15-$L15)/$L15,"0.0%")&amp;"), Wdh zurück auf "&amp;Übungen!$D15,IF($O15="","",IF($L15="","Einstieg mit Startgewicht",IF(AND(AND($N15&lt;&gt;"",Übungen!$E15&lt;&gt;"",$N15&gt;=Übungen!$E15),$O15&gt;$L15),"Gewicht +"&amp;TEXT($O15-$L15,"0.#")&amp;" kg ("&amp;TEXT(($O15-$L15)/$L15,"0.0%")&amp;"), Wdh zurück auf "&amp;Übungen!$D15,IF(AND(AND($N15&lt;&gt;"",Übungen!$E15&lt;&gt;"",$N15&gt;=Übungen!$E15),Übungen!$J15=""),"Zielbereich voll - dafür fehlt 'Schritt (kg)' im Blatt Übungen",IF(AND($N15&lt;&gt;"",Übungen!$E15&lt;&gt;"",$N15&gt;=Übungen!$E15),"Obergrenze erreicht - über Tempo und Pausen steigern",IF(OR($N15="",$N15&lt;Übungen!$D15),"Gewicht halten, erst "&amp;Übungen!$D15&amp;" Wdh sauber schaffen","Wdh +1 auf "&amp;$P15&amp;" bei gleichem Gewicht")))))))</f>
        <v>RM-Korrektur nach 10 Wdh: +4 kg (11.1%), Wdh zurück auf 5</v>
      </c>
    </row>
    <row r="16" customFormat="false" ht="18" hidden="false" customHeight="true" outlineLevel="0" collapsed="false">
      <c r="A16" s="34" t="str">
        <f aca="false">IF(Übungen!$A16="","",Übungen!$A16)</f>
        <v>Waden</v>
      </c>
      <c r="B16" s="97" t="str">
        <f aca="false">IF(Übungen!$B16="","",Übungen!$B16)</f>
        <v>Beine hinten</v>
      </c>
      <c r="C16" s="83" t="n">
        <f aca="false">IF($D16="","",SUMPRODUCT((COUNTIFS(Log!$D$4:$D$1203,$A16,Log!$E$4:$E$1203,"A",Log!$B$4:$B$1203,Einheiten!$A$4:$A$63)&gt;0)*1))</f>
        <v>8</v>
      </c>
      <c r="D16" s="83" t="n">
        <f aca="false">IF($A16="","",IF(COUNTIFS(Log!$D$4:$D$1203,$A16,Log!$E$4:$E$1203,"A")=0,"",COUNTIFS(Log!$D$4:$D$1203,$A16,Log!$E$4:$E$1203,"A")))</f>
        <v>16</v>
      </c>
      <c r="E16" s="83" t="n">
        <f aca="false">IF($D16="","",SUMIFS(Log!$I$4:$I$1203,Log!$D$4:$D$1203,$A16,Log!$E$4:$E$1203,"A"))</f>
        <v>23519</v>
      </c>
      <c r="F16" s="98" t="n">
        <f aca="false">IF($D16="","",IF(SUMPRODUCT(MAX((Log!$D$4:$D$1203=$A16)*(Log!$E$4:$E$1203="A")*(Log!$F$4:$F$1203&lt;&gt;"")*Log!$F$4:$F$1203))=0,"",SUMPRODUCT(MAX((Log!$D$4:$D$1203=$A16)*(Log!$E$4:$E$1203="A")*(Log!$F$4:$F$1203&lt;&gt;"")*Log!$F$4:$F$1203))))</f>
        <v>190</v>
      </c>
      <c r="G16" s="83" t="n">
        <f aca="false">IF($F16="","",SUMPRODUCT(MAX((Log!$D$4:$D$1203=$A16)*(Log!$E$4:$E$1203="A")*(Log!$F$4:$F$1203=$F16)*Log!$B$4:$B$1203)))</f>
        <v>14</v>
      </c>
      <c r="H16" s="98" t="n">
        <f aca="false">IF($D16="","",IF(SUMPRODUCT(MAX((Log!$D$4:$D$1203=$A16)*(Log!$E$4:$E$1203="A")*(Log!$F$4:$F$1203&lt;&gt;"")*(Log!$G$4:$G$1203&lt;&gt;"")*Log!$F$4:$F$1203*(1+Log!$G$4:$G$1203/30)))=0,"",SUMPRODUCT(MAX((Log!$D$4:$D$1203=$A16)*(Log!$E$4:$E$1203="A")*(Log!$F$4:$F$1203&lt;&gt;"")*(Log!$G$4:$G$1203&lt;&gt;"")*Log!$F$4:$F$1203*(1+Log!$G$4:$G$1203/30)))))</f>
        <v>224</v>
      </c>
      <c r="I16" s="83" t="n">
        <f aca="false">IF($H16="","",SUMPRODUCT(MAX((Log!$D$4:$D$1203=$A16)*(Log!$E$4:$E$1203="A")*(Log!$F$4:$F$1203&lt;&gt;"")*(Log!$G$4:$G$1203&lt;&gt;"")*(ROUND(Log!$F$4:$F$1203*(1+Log!$G$4:$G$1203/30),6)=ROUND($H16,6))*Log!$B$4:$B$1203)))</f>
        <v>7</v>
      </c>
      <c r="J16" s="83" t="n">
        <f aca="false">IF($D16="","",IF(SUMPRODUCT(MAX((Log!$D$4:$D$1203=$A16)*(Log!$E$4:$E$1203="A")*(Log!$F$4:$F$1203&lt;&gt;"")*(Log!$G$4:$G$1203&lt;&gt;"")*Log!$F$4:$F$1203*Log!$G$4:$G$1203))=0,"",SUMPRODUCT(MAX((Log!$D$4:$D$1203=$A16)*(Log!$E$4:$E$1203="A")*(Log!$F$4:$F$1203&lt;&gt;"")*(Log!$G$4:$G$1203&lt;&gt;"")*Log!$F$4:$F$1203*Log!$G$4:$G$1203))))</f>
        <v>1920</v>
      </c>
      <c r="K16" s="83" t="n">
        <f aca="false">IF($D16="","",IF(SUMPRODUCT(MAX((Log!$D$4:$D$1203=$A16)*(Log!$E$4:$E$1203="A")*Log!$B$4:$B$1203))=0,"",SUMPRODUCT(MAX((Log!$D$4:$D$1203=$A16)*(Log!$E$4:$E$1203="A")*Log!$B$4:$B$1203))))</f>
        <v>14</v>
      </c>
      <c r="L16" s="86" t="n">
        <f aca="false">IF($K16="","",IF(SUMPRODUCT(MAX((Log!$D$4:$D$1203=$A16)*(Log!$B$4:$B$1203=$K16)*(Log!$E$4:$E$1203="A")*(Log!$F$4:$F$1203&lt;&gt;"")*Log!$F$4:$F$1203))=0,"",SUMPRODUCT(MAX((Log!$D$4:$D$1203=$A16)*(Log!$B$4:$B$1203=$K16)*(Log!$E$4:$E$1203="A")*(Log!$F$4:$F$1203&lt;&gt;"")*Log!$F$4:$F$1203))))</f>
        <v>190</v>
      </c>
      <c r="M16" s="83" t="n">
        <f aca="false">IF($L16="","",IF(SUMPRODUCT(MAX((Log!$D$4:$D$1203=$A16)*(Log!$B$4:$B$1203=$K16)*(Log!$E$4:$E$1203="A")*(Log!$F$4:$F$1203=$L16)*Log!$G$4:$G$1203))=0,"",SUMPRODUCT(MAX((Log!$D$4:$D$1203=$A16)*(Log!$B$4:$B$1203=$K16)*(Log!$E$4:$E$1203="A")*(Log!$F$4:$F$1203=$L16)*Log!$G$4:$G$1203))))</f>
        <v>5</v>
      </c>
      <c r="N16" s="83" t="n">
        <f aca="false">IF($L16="","",IF(SUMPRODUCT(MIN((Log!$D$4:$D$1203=$A16)*(Log!$B$4:$B$1203=$K16)*(Log!$E$4:$E$1203="A")*(Log!$F$4:$F$1203=$L16)*Log!$G$4:$G$1203+((Log!$D$4:$D$1203&lt;&gt;$A16)+(Log!$B$4:$B$1203&lt;&gt;$K16)+(Log!$E$4:$E$1203&lt;&gt;"A")+(Log!$F$4:$F$1203&lt;&gt;$L16)+(Log!$G$4:$G$1203="")&gt;0)*999))&gt;=999,"",SUMPRODUCT(MIN((Log!$D$4:$D$1203=$A16)*(Log!$B$4:$B$1203=$K16)*(Log!$E$4:$E$1203="A")*(Log!$F$4:$F$1203=$L16)*Log!$G$4:$G$1203+((Log!$D$4:$D$1203&lt;&gt;$A16)+(Log!$B$4:$B$1203&lt;&gt;$K16)+(Log!$E$4:$E$1203&lt;&gt;"A")+(Log!$F$4:$F$1203&lt;&gt;$L16)+(Log!$G$4:$G$1203="")&gt;0)*999))))</f>
        <v>5</v>
      </c>
      <c r="O16" s="99" t="n">
        <f aca="false">IF(IF($L16="",IF(Übungen!$H16="","",Übungen!$H16),IF(AND($L16&lt;&gt;"",$N16&lt;&gt;"",Übungen!$E16&lt;&gt;"",$N16&gt;=Übungen!$E16+2),IF(Übungen!$I16="",MAX(IF(IF(Übungen!$J16="",0,Übungen!$J16)=0,ROUND($L16*1.01*2,0)/2,CEILING($L16*1.01/IF(Übungen!$J16="",0,Übungen!$J16),1)*IF(Übungen!$J16="",0,Übungen!$J16)),IF(IF(Übungen!$J16="",0,Übungen!$J16)=0,ROUND((($L16*(1+$N16/30))/(1+Übungen!$E16/30))*2,0)/2,FLOOR((($L16*(1+$N16/30))/(1+Übungen!$E16/30))/IF(Übungen!$J16="",0,Übungen!$J16),1)*IF(Übungen!$J16="",0,Übungen!$J16))),MIN(MAX(IF(IF(Übungen!$J16="",0,Übungen!$J16)=0,ROUND($L16*1.01*2,0)/2,CEILING($L16*1.01/IF(Übungen!$J16="",0,Übungen!$J16),1)*IF(Übungen!$J16="",0,Übungen!$J16)),IF(IF(Übungen!$J16="",0,Übungen!$J16)=0,ROUND((($L16*(1+$N16/30))/(1+Übungen!$E16/30))*2,0)/2,FLOOR((($L16*(1+$N16/30))/(1+Übungen!$E16/30))/IF(Übungen!$J16="",0,Übungen!$J16),1)*IF(Übungen!$J16="",0,Übungen!$J16))),Übungen!$I16)),IF(AND($N16&lt;&gt;"",Übungen!$E16&lt;&gt;"",$N16&gt;=Übungen!$E16),IF(Übungen!$I16="",IF(IF(Übungen!$J16="",0,Übungen!$J16)=0,ROUND($L16*1.01*2,0)/2,CEILING($L16*1.01/IF(Übungen!$J16="",0,Übungen!$J16),1)*IF(Übungen!$J16="",0,Übungen!$J16)),MIN(IF(IF(Übungen!$J16="",0,Übungen!$J16)=0,ROUND($L16*1.01*2,0)/2,CEILING($L16*1.01/IF(Übungen!$J16="",0,Übungen!$J16),1)*IF(Übungen!$J16="",0,Übungen!$J16)),Übungen!$I16)),$L16)))="","",IF(OR(Übungen!$K16="",Übungen!$K16=100),IF($L16="",IF(Übungen!$H16="","",Übungen!$H16),IF(AND($L16&lt;&gt;"",$N16&lt;&gt;"",Übungen!$E16&lt;&gt;"",$N16&gt;=Übungen!$E16+2),IF(Übungen!$I16="",MAX(IF(IF(Übungen!$J16="",0,Übungen!$J16)=0,ROUND($L16*1.01*2,0)/2,CEILING($L16*1.01/IF(Übungen!$J16="",0,Übungen!$J16),1)*IF(Übungen!$J16="",0,Übungen!$J16)),IF(IF(Übungen!$J16="",0,Übungen!$J16)=0,ROUND((($L16*(1+$N16/30))/(1+Übungen!$E16/30))*2,0)/2,FLOOR((($L16*(1+$N16/30))/(1+Übungen!$E16/30))/IF(Übungen!$J16="",0,Übungen!$J16),1)*IF(Übungen!$J16="",0,Übungen!$J16))),MIN(MAX(IF(IF(Übungen!$J16="",0,Übungen!$J16)=0,ROUND($L16*1.01*2,0)/2,CEILING($L16*1.01/IF(Übungen!$J16="",0,Übungen!$J16),1)*IF(Übungen!$J16="",0,Übungen!$J16)),IF(IF(Übungen!$J16="",0,Übungen!$J16)=0,ROUND((($L16*(1+$N16/30))/(1+Übungen!$E16/30))*2,0)/2,FLOOR((($L16*(1+$N16/30))/(1+Übungen!$E16/30))/IF(Übungen!$J16="",0,Übungen!$J16),1)*IF(Übungen!$J16="",0,Übungen!$J16))),Übungen!$I16)),IF(AND($N16&lt;&gt;"",Übungen!$E16&lt;&gt;"",$N16&gt;=Übungen!$E16),IF(Übungen!$I16="",IF(IF(Übungen!$J16="",0,Übungen!$J16)=0,ROUND($L16*1.01*2,0)/2,CEILING($L16*1.01/IF(Übungen!$J16="",0,Übungen!$J16),1)*IF(Übungen!$J16="",0,Übungen!$J16)),MIN(IF(IF(Übungen!$J16="",0,Übungen!$J16)=0,ROUND($L16*1.01*2,0)/2,CEILING($L16*1.01/IF(Übungen!$J16="",0,Übungen!$J16),1)*IF(Übungen!$J16="",0,Übungen!$J16)),Übungen!$I16)),$L16))),FLOOR(IF($L16="",IF(Übungen!$H16="","",Übungen!$H16),IF(AND($L16&lt;&gt;"",$N16&lt;&gt;"",Übungen!$E16&lt;&gt;"",$N16&gt;=Übungen!$E16+2),IF(Übungen!$I16="",MAX(IF(IF(Übungen!$J16="",0,Übungen!$J16)=0,ROUND($L16*1.01*2,0)/2,CEILING($L16*1.01/IF(Übungen!$J16="",0,Übungen!$J16),1)*IF(Übungen!$J16="",0,Übungen!$J16)),IF(IF(Übungen!$J16="",0,Übungen!$J16)=0,ROUND((($L16*(1+$N16/30))/(1+Übungen!$E16/30))*2,0)/2,FLOOR((($L16*(1+$N16/30))/(1+Übungen!$E16/30))/IF(Übungen!$J16="",0,Übungen!$J16),1)*IF(Übungen!$J16="",0,Übungen!$J16))),MIN(MAX(IF(IF(Übungen!$J16="",0,Übungen!$J16)=0,ROUND($L16*1.01*2,0)/2,CEILING($L16*1.01/IF(Übungen!$J16="",0,Übungen!$J16),1)*IF(Übungen!$J16="",0,Übungen!$J16)),IF(IF(Übungen!$J16="",0,Übungen!$J16)=0,ROUND((($L16*(1+$N16/30))/(1+Übungen!$E16/30))*2,0)/2,FLOOR((($L16*(1+$N16/30))/(1+Übungen!$E16/30))/IF(Übungen!$J16="",0,Übungen!$J16),1)*IF(Übungen!$J16="",0,Übungen!$J16))),Übungen!$I16)),IF(AND($N16&lt;&gt;"",Übungen!$E16&lt;&gt;"",$N16&gt;=Übungen!$E16),IF(Übungen!$I16="",IF(IF(Übungen!$J16="",0,Übungen!$J16)=0,ROUND($L16*1.01*2,0)/2,CEILING($L16*1.01/IF(Übungen!$J16="",0,Übungen!$J16),1)*IF(Übungen!$J16="",0,Übungen!$J16)),MIN(IF(IF(Übungen!$J16="",0,Übungen!$J16)=0,ROUND($L16*1.01*2,0)/2,CEILING($L16*1.01/IF(Übungen!$J16="",0,Übungen!$J16),1)*IF(Übungen!$J16="",0,Übungen!$J16)),Übungen!$I16)),$L16)))*Übungen!$K16/100/Übungen!$J16,1)*Übungen!$J16))</f>
        <v>190</v>
      </c>
      <c r="P16" s="100" t="n">
        <f aca="false">IF(Übungen!$D16="","",IF($O16="","",IF($L16="",Übungen!$D16,IF(AND($N16&lt;&gt;"",Übungen!$E16&lt;&gt;"",$N16&gt;=Übungen!$E16),Übungen!$D16,IF(OR($N16="",$N16&lt;Übungen!$D16),Übungen!$D16,MIN(Übungen!$E16,$N16+1))))))</f>
        <v>6</v>
      </c>
      <c r="Q16" s="91" t="str">
        <f aca="false">IF(AND(AND($L16&lt;&gt;"",$N16&lt;&gt;"",Übungen!$E16&lt;&gt;"",$N16&gt;=Übungen!$E16+2),$O16&gt;$L16),"RM-Korrektur nach "&amp;TEXT($N16,"0")&amp;" Wdh: +"&amp;TEXT($O16-$L16,"0.#")&amp;" kg ("&amp;TEXT(($O16-$L16)/$L16,"0.0%")&amp;"), Wdh zurück auf "&amp;Übungen!$D16,IF($O16="","",IF($L16="","Einstieg mit Startgewicht",IF(AND(AND($N16&lt;&gt;"",Übungen!$E16&lt;&gt;"",$N16&gt;=Übungen!$E16),$O16&gt;$L16),"Gewicht +"&amp;TEXT($O16-$L16,"0.#")&amp;" kg ("&amp;TEXT(($O16-$L16)/$L16,"0.0%")&amp;"), Wdh zurück auf "&amp;Übungen!$D16,IF(AND(AND($N16&lt;&gt;"",Übungen!$E16&lt;&gt;"",$N16&gt;=Übungen!$E16),Übungen!$J16=""),"Zielbereich voll - dafür fehlt 'Schritt (kg)' im Blatt Übungen",IF(AND($N16&lt;&gt;"",Übungen!$E16&lt;&gt;"",$N16&gt;=Übungen!$E16),"Obergrenze erreicht - über Tempo und Pausen steigern",IF(OR($N16="",$N16&lt;Übungen!$D16),"Gewicht halten, erst "&amp;Übungen!$D16&amp;" Wdh sauber schaffen","Wdh +1 auf "&amp;$P16&amp;" bei gleichem Gewicht")))))))</f>
        <v>Wdh +1 auf 6 bei gleichem Gewicht</v>
      </c>
    </row>
    <row r="17" customFormat="false" ht="18" hidden="false" customHeight="true" outlineLevel="0" collapsed="false">
      <c r="A17" s="40" t="str">
        <f aca="false">IF(Übungen!$A17="","",Übungen!$A17)</f>
        <v>Squat Maschine Bülach</v>
      </c>
      <c r="B17" s="4" t="str">
        <f aca="false">IF(Übungen!$B17="","",Übungen!$B17)</f>
        <v>Auswärts Bülach</v>
      </c>
      <c r="C17" s="85" t="n">
        <f aca="false">IF($D17="","",SUMPRODUCT((COUNTIFS(Log!$D$4:$D$1203,$A17,Log!$E$4:$E$1203,"A",Log!$B$4:$B$1203,Einheiten!$A$4:$A$63)&gt;0)*1))</f>
        <v>1</v>
      </c>
      <c r="D17" s="85" t="n">
        <f aca="false">IF($A17="","",IF(COUNTIFS(Log!$D$4:$D$1203,$A17,Log!$E$4:$E$1203,"A")=0,"",COUNTIFS(Log!$D$4:$D$1203,$A17,Log!$E$4:$E$1203,"A")))</f>
        <v>3</v>
      </c>
      <c r="E17" s="85" t="n">
        <f aca="false">IF($D17="","",SUMIFS(Log!$I$4:$I$1203,Log!$D$4:$D$1203,$A17,Log!$E$4:$E$1203,"A"))</f>
        <v>2200</v>
      </c>
      <c r="F17" s="101" t="n">
        <f aca="false">IF($D17="","",IF(SUMPRODUCT(MAX((Log!$D$4:$D$1203=$A17)*(Log!$E$4:$E$1203="A")*(Log!$F$4:$F$1203&lt;&gt;"")*Log!$F$4:$F$1203))=0,"",SUMPRODUCT(MAX((Log!$D$4:$D$1203=$A17)*(Log!$E$4:$E$1203="A")*(Log!$F$4:$F$1203&lt;&gt;"")*Log!$F$4:$F$1203))))</f>
        <v>120</v>
      </c>
      <c r="G17" s="85" t="n">
        <f aca="false">IF($F17="","",SUMPRODUCT(MAX((Log!$D$4:$D$1203=$A17)*(Log!$E$4:$E$1203="A")*(Log!$F$4:$F$1203=$F17)*Log!$B$4:$B$1203)))</f>
        <v>15</v>
      </c>
      <c r="H17" s="101" t="n">
        <f aca="false">IF($D17="","",IF(SUMPRODUCT(MAX((Log!$D$4:$D$1203=$A17)*(Log!$E$4:$E$1203="A")*(Log!$F$4:$F$1203&lt;&gt;"")*(Log!$G$4:$G$1203&lt;&gt;"")*Log!$F$4:$F$1203*(1+Log!$G$4:$G$1203/30)))=0,"",SUMPRODUCT(MAX((Log!$D$4:$D$1203=$A17)*(Log!$E$4:$E$1203="A")*(Log!$F$4:$F$1203&lt;&gt;"")*(Log!$G$4:$G$1203&lt;&gt;"")*Log!$F$4:$F$1203*(1+Log!$G$4:$G$1203/30)))))</f>
        <v>156</v>
      </c>
      <c r="I17" s="85" t="n">
        <f aca="false">IF($H17="","",SUMPRODUCT(MAX((Log!$D$4:$D$1203=$A17)*(Log!$E$4:$E$1203="A")*(Log!$F$4:$F$1203&lt;&gt;"")*(Log!$G$4:$G$1203&lt;&gt;"")*(ROUND(Log!$F$4:$F$1203*(1+Log!$G$4:$G$1203/30),6)=ROUND($H17,6))*Log!$B$4:$B$1203)))</f>
        <v>15</v>
      </c>
      <c r="J17" s="85" t="n">
        <f aca="false">IF($D17="","",IF(SUMPRODUCT(MAX((Log!$D$4:$D$1203=$A17)*(Log!$E$4:$E$1203="A")*(Log!$F$4:$F$1203&lt;&gt;"")*(Log!$G$4:$G$1203&lt;&gt;"")*Log!$F$4:$F$1203*Log!$G$4:$G$1203))=0,"",SUMPRODUCT(MAX((Log!$D$4:$D$1203=$A17)*(Log!$E$4:$E$1203="A")*(Log!$F$4:$F$1203&lt;&gt;"")*(Log!$G$4:$G$1203&lt;&gt;"")*Log!$F$4:$F$1203*Log!$G$4:$G$1203))))</f>
        <v>1080</v>
      </c>
      <c r="K17" s="85" t="n">
        <f aca="false">IF($D17="","",IF(SUMPRODUCT(MAX((Log!$D$4:$D$1203=$A17)*(Log!$E$4:$E$1203="A")*Log!$B$4:$B$1203))=0,"",SUMPRODUCT(MAX((Log!$D$4:$D$1203=$A17)*(Log!$E$4:$E$1203="A")*Log!$B$4:$B$1203))))</f>
        <v>15</v>
      </c>
      <c r="L17" s="88" t="n">
        <f aca="false">IF($K17="","",IF(SUMPRODUCT(MAX((Log!$D$4:$D$1203=$A17)*(Log!$B$4:$B$1203=$K17)*(Log!$E$4:$E$1203="A")*(Log!$F$4:$F$1203&lt;&gt;"")*Log!$F$4:$F$1203))=0,"",SUMPRODUCT(MAX((Log!$D$4:$D$1203=$A17)*(Log!$B$4:$B$1203=$K17)*(Log!$E$4:$E$1203="A")*(Log!$F$4:$F$1203&lt;&gt;"")*Log!$F$4:$F$1203))))</f>
        <v>120</v>
      </c>
      <c r="M17" s="85" t="n">
        <f aca="false">IF($L17="","",IF(SUMPRODUCT(MAX((Log!$D$4:$D$1203=$A17)*(Log!$B$4:$B$1203=$K17)*(Log!$E$4:$E$1203="A")*(Log!$F$4:$F$1203=$L17)*Log!$G$4:$G$1203))=0,"",SUMPRODUCT(MAX((Log!$D$4:$D$1203=$A17)*(Log!$B$4:$B$1203=$K17)*(Log!$E$4:$E$1203="A")*(Log!$F$4:$F$1203=$L17)*Log!$G$4:$G$1203))))</f>
        <v>9</v>
      </c>
      <c r="N17" s="85" t="n">
        <f aca="false">IF($L17="","",IF(SUMPRODUCT(MIN((Log!$D$4:$D$1203=$A17)*(Log!$B$4:$B$1203=$K17)*(Log!$E$4:$E$1203="A")*(Log!$F$4:$F$1203=$L17)*Log!$G$4:$G$1203+((Log!$D$4:$D$1203&lt;&gt;$A17)+(Log!$B$4:$B$1203&lt;&gt;$K17)+(Log!$E$4:$E$1203&lt;&gt;"A")+(Log!$F$4:$F$1203&lt;&gt;$L17)+(Log!$G$4:$G$1203="")&gt;0)*999))&gt;=999,"",SUMPRODUCT(MIN((Log!$D$4:$D$1203=$A17)*(Log!$B$4:$B$1203=$K17)*(Log!$E$4:$E$1203="A")*(Log!$F$4:$F$1203=$L17)*Log!$G$4:$G$1203+((Log!$D$4:$D$1203&lt;&gt;$A17)+(Log!$B$4:$B$1203&lt;&gt;$K17)+(Log!$E$4:$E$1203&lt;&gt;"A")+(Log!$F$4:$F$1203&lt;&gt;$L17)+(Log!$G$4:$G$1203="")&gt;0)*999))))</f>
        <v>9</v>
      </c>
      <c r="O17" s="102" t="n">
        <f aca="false">IF(IF($L17="",IF(Übungen!$H17="","",Übungen!$H17),IF(AND($L17&lt;&gt;"",$N17&lt;&gt;"",Übungen!$E17&lt;&gt;"",$N17&gt;=Übungen!$E17+2),IF(Übungen!$I17="",MAX(IF(IF(Übungen!$J17="",0,Übungen!$J17)=0,ROUND($L17*1.01*2,0)/2,CEILING($L17*1.01/IF(Übungen!$J17="",0,Übungen!$J17),1)*IF(Übungen!$J17="",0,Übungen!$J17)),IF(IF(Übungen!$J17="",0,Übungen!$J17)=0,ROUND((($L17*(1+$N17/30))/(1+Übungen!$E17/30))*2,0)/2,FLOOR((($L17*(1+$N17/30))/(1+Übungen!$E17/30))/IF(Übungen!$J17="",0,Übungen!$J17),1)*IF(Übungen!$J17="",0,Übungen!$J17))),MIN(MAX(IF(IF(Übungen!$J17="",0,Übungen!$J17)=0,ROUND($L17*1.01*2,0)/2,CEILING($L17*1.01/IF(Übungen!$J17="",0,Übungen!$J17),1)*IF(Übungen!$J17="",0,Übungen!$J17)),IF(IF(Übungen!$J17="",0,Übungen!$J17)=0,ROUND((($L17*(1+$N17/30))/(1+Übungen!$E17/30))*2,0)/2,FLOOR((($L17*(1+$N17/30))/(1+Übungen!$E17/30))/IF(Übungen!$J17="",0,Übungen!$J17),1)*IF(Übungen!$J17="",0,Übungen!$J17))),Übungen!$I17)),IF(AND($N17&lt;&gt;"",Übungen!$E17&lt;&gt;"",$N17&gt;=Übungen!$E17),IF(Übungen!$I17="",IF(IF(Übungen!$J17="",0,Übungen!$J17)=0,ROUND($L17*1.01*2,0)/2,CEILING($L17*1.01/IF(Übungen!$J17="",0,Übungen!$J17),1)*IF(Übungen!$J17="",0,Übungen!$J17)),MIN(IF(IF(Übungen!$J17="",0,Übungen!$J17)=0,ROUND($L17*1.01*2,0)/2,CEILING($L17*1.01/IF(Übungen!$J17="",0,Übungen!$J17),1)*IF(Übungen!$J17="",0,Übungen!$J17)),Übungen!$I17)),$L17)))="","",IF(OR(Übungen!$K17="",Übungen!$K17=100),IF($L17="",IF(Übungen!$H17="","",Übungen!$H17),IF(AND($L17&lt;&gt;"",$N17&lt;&gt;"",Übungen!$E17&lt;&gt;"",$N17&gt;=Übungen!$E17+2),IF(Übungen!$I17="",MAX(IF(IF(Übungen!$J17="",0,Übungen!$J17)=0,ROUND($L17*1.01*2,0)/2,CEILING($L17*1.01/IF(Übungen!$J17="",0,Übungen!$J17),1)*IF(Übungen!$J17="",0,Übungen!$J17)),IF(IF(Übungen!$J17="",0,Übungen!$J17)=0,ROUND((($L17*(1+$N17/30))/(1+Übungen!$E17/30))*2,0)/2,FLOOR((($L17*(1+$N17/30))/(1+Übungen!$E17/30))/IF(Übungen!$J17="",0,Übungen!$J17),1)*IF(Übungen!$J17="",0,Übungen!$J17))),MIN(MAX(IF(IF(Übungen!$J17="",0,Übungen!$J17)=0,ROUND($L17*1.01*2,0)/2,CEILING($L17*1.01/IF(Übungen!$J17="",0,Übungen!$J17),1)*IF(Übungen!$J17="",0,Übungen!$J17)),IF(IF(Übungen!$J17="",0,Übungen!$J17)=0,ROUND((($L17*(1+$N17/30))/(1+Übungen!$E17/30))*2,0)/2,FLOOR((($L17*(1+$N17/30))/(1+Übungen!$E17/30))/IF(Übungen!$J17="",0,Übungen!$J17),1)*IF(Übungen!$J17="",0,Übungen!$J17))),Übungen!$I17)),IF(AND($N17&lt;&gt;"",Übungen!$E17&lt;&gt;"",$N17&gt;=Übungen!$E17),IF(Übungen!$I17="",IF(IF(Übungen!$J17="",0,Übungen!$J17)=0,ROUND($L17*1.01*2,0)/2,CEILING($L17*1.01/IF(Übungen!$J17="",0,Übungen!$J17),1)*IF(Übungen!$J17="",0,Übungen!$J17)),MIN(IF(IF(Übungen!$J17="",0,Übungen!$J17)=0,ROUND($L17*1.01*2,0)/2,CEILING($L17*1.01/IF(Übungen!$J17="",0,Übungen!$J17),1)*IF(Übungen!$J17="",0,Übungen!$J17)),Übungen!$I17)),$L17))),FLOOR(IF($L17="",IF(Übungen!$H17="","",Übungen!$H17),IF(AND($L17&lt;&gt;"",$N17&lt;&gt;"",Übungen!$E17&lt;&gt;"",$N17&gt;=Übungen!$E17+2),IF(Übungen!$I17="",MAX(IF(IF(Übungen!$J17="",0,Übungen!$J17)=0,ROUND($L17*1.01*2,0)/2,CEILING($L17*1.01/IF(Übungen!$J17="",0,Übungen!$J17),1)*IF(Übungen!$J17="",0,Übungen!$J17)),IF(IF(Übungen!$J17="",0,Übungen!$J17)=0,ROUND((($L17*(1+$N17/30))/(1+Übungen!$E17/30))*2,0)/2,FLOOR((($L17*(1+$N17/30))/(1+Übungen!$E17/30))/IF(Übungen!$J17="",0,Übungen!$J17),1)*IF(Übungen!$J17="",0,Übungen!$J17))),MIN(MAX(IF(IF(Übungen!$J17="",0,Übungen!$J17)=0,ROUND($L17*1.01*2,0)/2,CEILING($L17*1.01/IF(Übungen!$J17="",0,Übungen!$J17),1)*IF(Übungen!$J17="",0,Übungen!$J17)),IF(IF(Übungen!$J17="",0,Übungen!$J17)=0,ROUND((($L17*(1+$N17/30))/(1+Übungen!$E17/30))*2,0)/2,FLOOR((($L17*(1+$N17/30))/(1+Übungen!$E17/30))/IF(Übungen!$J17="",0,Übungen!$J17),1)*IF(Übungen!$J17="",0,Übungen!$J17))),Übungen!$I17)),IF(AND($N17&lt;&gt;"",Übungen!$E17&lt;&gt;"",$N17&gt;=Übungen!$E17),IF(Übungen!$I17="",IF(IF(Übungen!$J17="",0,Übungen!$J17)=0,ROUND($L17*1.01*2,0)/2,CEILING($L17*1.01/IF(Übungen!$J17="",0,Übungen!$J17),1)*IF(Übungen!$J17="",0,Übungen!$J17)),MIN(IF(IF(Übungen!$J17="",0,Übungen!$J17)=0,ROUND($L17*1.01*2,0)/2,CEILING($L17*1.01/IF(Übungen!$J17="",0,Übungen!$J17),1)*IF(Übungen!$J17="",0,Übungen!$J17)),Übungen!$I17)),$L17)))*Übungen!$K17/100/Übungen!$J17,1)*Übungen!$J17))</f>
        <v>130</v>
      </c>
      <c r="P17" s="103" t="n">
        <f aca="false">IF(Übungen!$D17="","",IF($O17="","",IF($L17="",Übungen!$D17,IF(AND($N17&lt;&gt;"",Übungen!$E17&lt;&gt;"",$N17&gt;=Übungen!$E17),Übungen!$D17,IF(OR($N17="",$N17&lt;Übungen!$D17),Übungen!$D17,MIN(Übungen!$E17,$N17+1))))))</f>
        <v>5</v>
      </c>
      <c r="Q17" s="95" t="str">
        <f aca="false">IF(AND(AND($L17&lt;&gt;"",$N17&lt;&gt;"",Übungen!$E17&lt;&gt;"",$N17&gt;=Übungen!$E17+2),$O17&gt;$L17),"RM-Korrektur nach "&amp;TEXT($N17,"0")&amp;" Wdh: +"&amp;TEXT($O17-$L17,"0.#")&amp;" kg ("&amp;TEXT(($O17-$L17)/$L17,"0.0%")&amp;"), Wdh zurück auf "&amp;Übungen!$D17,IF($O17="","",IF($L17="","Einstieg mit Startgewicht",IF(AND(AND($N17&lt;&gt;"",Übungen!$E17&lt;&gt;"",$N17&gt;=Übungen!$E17),$O17&gt;$L17),"Gewicht +"&amp;TEXT($O17-$L17,"0.#")&amp;" kg ("&amp;TEXT(($O17-$L17)/$L17,"0.0%")&amp;"), Wdh zurück auf "&amp;Übungen!$D17,IF(AND(AND($N17&lt;&gt;"",Übungen!$E17&lt;&gt;"",$N17&gt;=Übungen!$E17),Übungen!$J17=""),"Zielbereich voll - dafür fehlt 'Schritt (kg)' im Blatt Übungen",IF(AND($N17&lt;&gt;"",Übungen!$E17&lt;&gt;"",$N17&gt;=Übungen!$E17),"Obergrenze erreicht - über Tempo und Pausen steigern",IF(OR($N17="",$N17&lt;Übungen!$D17),"Gewicht halten, erst "&amp;Übungen!$D17&amp;" Wdh sauber schaffen","Wdh +1 auf "&amp;$P17&amp;" bei gleichem Gewicht")))))))</f>
        <v>RM-Korrektur nach 9 Wdh: +10 kg (8.3%), Wdh zurück auf 5</v>
      </c>
    </row>
    <row r="18" customFormat="false" ht="18" hidden="false" customHeight="true" outlineLevel="0" collapsed="false">
      <c r="A18" s="34" t="str">
        <f aca="false">IF(Übungen!$A18="","",Übungen!$A18)</f>
        <v>Hip Thrust Bülach</v>
      </c>
      <c r="B18" s="97" t="str">
        <f aca="false">IF(Übungen!$B18="","",Übungen!$B18)</f>
        <v>Auswärts Bülach</v>
      </c>
      <c r="C18" s="83" t="n">
        <f aca="false">IF($D18="","",SUMPRODUCT((COUNTIFS(Log!$D$4:$D$1203,$A18,Log!$E$4:$E$1203,"A",Log!$B$4:$B$1203,Einheiten!$A$4:$A$63)&gt;0)*1))</f>
        <v>1</v>
      </c>
      <c r="D18" s="83" t="n">
        <f aca="false">IF($A18="","",IF(COUNTIFS(Log!$D$4:$D$1203,$A18,Log!$E$4:$E$1203,"A")=0,"",COUNTIFS(Log!$D$4:$D$1203,$A18,Log!$E$4:$E$1203,"A")))</f>
        <v>3</v>
      </c>
      <c r="E18" s="83" t="n">
        <f aca="false">IF($D18="","",SUMIFS(Log!$I$4:$I$1203,Log!$D$4:$D$1203,$A18,Log!$E$4:$E$1203,"A"))</f>
        <v>6000</v>
      </c>
      <c r="F18" s="98" t="n">
        <f aca="false">IF($D18="","",IF(SUMPRODUCT(MAX((Log!$D$4:$D$1203=$A18)*(Log!$E$4:$E$1203="A")*(Log!$F$4:$F$1203&lt;&gt;"")*Log!$F$4:$F$1203))=0,"",SUMPRODUCT(MAX((Log!$D$4:$D$1203=$A18)*(Log!$E$4:$E$1203="A")*(Log!$F$4:$F$1203&lt;&gt;"")*Log!$F$4:$F$1203))))</f>
        <v>200</v>
      </c>
      <c r="G18" s="83" t="n">
        <f aca="false">IF($F18="","",SUMPRODUCT(MAX((Log!$D$4:$D$1203=$A18)*(Log!$E$4:$E$1203="A")*(Log!$F$4:$F$1203=$F18)*Log!$B$4:$B$1203)))</f>
        <v>15</v>
      </c>
      <c r="H18" s="98" t="n">
        <f aca="false">IF($D18="","",IF(SUMPRODUCT(MAX((Log!$D$4:$D$1203=$A18)*(Log!$E$4:$E$1203="A")*(Log!$F$4:$F$1203&lt;&gt;"")*(Log!$G$4:$G$1203&lt;&gt;"")*Log!$F$4:$F$1203*(1+Log!$G$4:$G$1203/30)))=0,"",SUMPRODUCT(MAX((Log!$D$4:$D$1203=$A18)*(Log!$E$4:$E$1203="A")*(Log!$F$4:$F$1203&lt;&gt;"")*(Log!$G$4:$G$1203&lt;&gt;"")*Log!$F$4:$F$1203*(1+Log!$G$4:$G$1203/30)))))</f>
        <v>266.666666666667</v>
      </c>
      <c r="I18" s="83" t="n">
        <f aca="false">IF($H18="","",SUMPRODUCT(MAX((Log!$D$4:$D$1203=$A18)*(Log!$E$4:$E$1203="A")*(Log!$F$4:$F$1203&lt;&gt;"")*(Log!$G$4:$G$1203&lt;&gt;"")*(ROUND(Log!$F$4:$F$1203*(1+Log!$G$4:$G$1203/30),6)=ROUND($H18,6))*Log!$B$4:$B$1203)))</f>
        <v>15</v>
      </c>
      <c r="J18" s="83" t="n">
        <f aca="false">IF($D18="","",IF(SUMPRODUCT(MAX((Log!$D$4:$D$1203=$A18)*(Log!$E$4:$E$1203="A")*(Log!$F$4:$F$1203&lt;&gt;"")*(Log!$G$4:$G$1203&lt;&gt;"")*Log!$F$4:$F$1203*Log!$G$4:$G$1203))=0,"",SUMPRODUCT(MAX((Log!$D$4:$D$1203=$A18)*(Log!$E$4:$E$1203="A")*(Log!$F$4:$F$1203&lt;&gt;"")*(Log!$G$4:$G$1203&lt;&gt;"")*Log!$F$4:$F$1203*Log!$G$4:$G$1203))))</f>
        <v>2000</v>
      </c>
      <c r="K18" s="83" t="n">
        <f aca="false">IF($D18="","",IF(SUMPRODUCT(MAX((Log!$D$4:$D$1203=$A18)*(Log!$E$4:$E$1203="A")*Log!$B$4:$B$1203))=0,"",SUMPRODUCT(MAX((Log!$D$4:$D$1203=$A18)*(Log!$E$4:$E$1203="A")*Log!$B$4:$B$1203))))</f>
        <v>15</v>
      </c>
      <c r="L18" s="86" t="n">
        <f aca="false">IF($K18="","",IF(SUMPRODUCT(MAX((Log!$D$4:$D$1203=$A18)*(Log!$B$4:$B$1203=$K18)*(Log!$E$4:$E$1203="A")*(Log!$F$4:$F$1203&lt;&gt;"")*Log!$F$4:$F$1203))=0,"",SUMPRODUCT(MAX((Log!$D$4:$D$1203=$A18)*(Log!$B$4:$B$1203=$K18)*(Log!$E$4:$E$1203="A")*(Log!$F$4:$F$1203&lt;&gt;"")*Log!$F$4:$F$1203))))</f>
        <v>200</v>
      </c>
      <c r="M18" s="83" t="n">
        <f aca="false">IF($L18="","",IF(SUMPRODUCT(MAX((Log!$D$4:$D$1203=$A18)*(Log!$B$4:$B$1203=$K18)*(Log!$E$4:$E$1203="A")*(Log!$F$4:$F$1203=$L18)*Log!$G$4:$G$1203))=0,"",SUMPRODUCT(MAX((Log!$D$4:$D$1203=$A18)*(Log!$B$4:$B$1203=$K18)*(Log!$E$4:$E$1203="A")*(Log!$F$4:$F$1203=$L18)*Log!$G$4:$G$1203))))</f>
        <v>10</v>
      </c>
      <c r="N18" s="83" t="n">
        <f aca="false">IF($L18="","",IF(SUMPRODUCT(MIN((Log!$D$4:$D$1203=$A18)*(Log!$B$4:$B$1203=$K18)*(Log!$E$4:$E$1203="A")*(Log!$F$4:$F$1203=$L18)*Log!$G$4:$G$1203+((Log!$D$4:$D$1203&lt;&gt;$A18)+(Log!$B$4:$B$1203&lt;&gt;$K18)+(Log!$E$4:$E$1203&lt;&gt;"A")+(Log!$F$4:$F$1203&lt;&gt;$L18)+(Log!$G$4:$G$1203="")&gt;0)*999))&gt;=999,"",SUMPRODUCT(MIN((Log!$D$4:$D$1203=$A18)*(Log!$B$4:$B$1203=$K18)*(Log!$E$4:$E$1203="A")*(Log!$F$4:$F$1203=$L18)*Log!$G$4:$G$1203+((Log!$D$4:$D$1203&lt;&gt;$A18)+(Log!$B$4:$B$1203&lt;&gt;$K18)+(Log!$E$4:$E$1203&lt;&gt;"A")+(Log!$F$4:$F$1203&lt;&gt;$L18)+(Log!$G$4:$G$1203="")&gt;0)*999))))</f>
        <v>10</v>
      </c>
      <c r="O18" s="99" t="n">
        <f aca="false">IF(IF($L18="",IF(Übungen!$H18="","",Übungen!$H18),IF(AND($L18&lt;&gt;"",$N18&lt;&gt;"",Übungen!$E18&lt;&gt;"",$N18&gt;=Übungen!$E18+2),IF(Übungen!$I18="",MAX(IF(IF(Übungen!$J18="",0,Übungen!$J18)=0,ROUND($L18*1.01*2,0)/2,CEILING($L18*1.01/IF(Übungen!$J18="",0,Übungen!$J18),1)*IF(Übungen!$J18="",0,Übungen!$J18)),IF(IF(Übungen!$J18="",0,Übungen!$J18)=0,ROUND((($L18*(1+$N18/30))/(1+Übungen!$E18/30))*2,0)/2,FLOOR((($L18*(1+$N18/30))/(1+Übungen!$E18/30))/IF(Übungen!$J18="",0,Übungen!$J18),1)*IF(Übungen!$J18="",0,Übungen!$J18))),MIN(MAX(IF(IF(Übungen!$J18="",0,Übungen!$J18)=0,ROUND($L18*1.01*2,0)/2,CEILING($L18*1.01/IF(Übungen!$J18="",0,Übungen!$J18),1)*IF(Übungen!$J18="",0,Übungen!$J18)),IF(IF(Übungen!$J18="",0,Übungen!$J18)=0,ROUND((($L18*(1+$N18/30))/(1+Übungen!$E18/30))*2,0)/2,FLOOR((($L18*(1+$N18/30))/(1+Übungen!$E18/30))/IF(Übungen!$J18="",0,Übungen!$J18),1)*IF(Übungen!$J18="",0,Übungen!$J18))),Übungen!$I18)),IF(AND($N18&lt;&gt;"",Übungen!$E18&lt;&gt;"",$N18&gt;=Übungen!$E18),IF(Übungen!$I18="",IF(IF(Übungen!$J18="",0,Übungen!$J18)=0,ROUND($L18*1.01*2,0)/2,CEILING($L18*1.01/IF(Übungen!$J18="",0,Übungen!$J18),1)*IF(Übungen!$J18="",0,Übungen!$J18)),MIN(IF(IF(Übungen!$J18="",0,Übungen!$J18)=0,ROUND($L18*1.01*2,0)/2,CEILING($L18*1.01/IF(Übungen!$J18="",0,Übungen!$J18),1)*IF(Übungen!$J18="",0,Übungen!$J18)),Übungen!$I18)),$L18)))="","",IF(OR(Übungen!$K18="",Übungen!$K18=100),IF($L18="",IF(Übungen!$H18="","",Übungen!$H18),IF(AND($L18&lt;&gt;"",$N18&lt;&gt;"",Übungen!$E18&lt;&gt;"",$N18&gt;=Übungen!$E18+2),IF(Übungen!$I18="",MAX(IF(IF(Übungen!$J18="",0,Übungen!$J18)=0,ROUND($L18*1.01*2,0)/2,CEILING($L18*1.01/IF(Übungen!$J18="",0,Übungen!$J18),1)*IF(Übungen!$J18="",0,Übungen!$J18)),IF(IF(Übungen!$J18="",0,Übungen!$J18)=0,ROUND((($L18*(1+$N18/30))/(1+Übungen!$E18/30))*2,0)/2,FLOOR((($L18*(1+$N18/30))/(1+Übungen!$E18/30))/IF(Übungen!$J18="",0,Übungen!$J18),1)*IF(Übungen!$J18="",0,Übungen!$J18))),MIN(MAX(IF(IF(Übungen!$J18="",0,Übungen!$J18)=0,ROUND($L18*1.01*2,0)/2,CEILING($L18*1.01/IF(Übungen!$J18="",0,Übungen!$J18),1)*IF(Übungen!$J18="",0,Übungen!$J18)),IF(IF(Übungen!$J18="",0,Übungen!$J18)=0,ROUND((($L18*(1+$N18/30))/(1+Übungen!$E18/30))*2,0)/2,FLOOR((($L18*(1+$N18/30))/(1+Übungen!$E18/30))/IF(Übungen!$J18="",0,Übungen!$J18),1)*IF(Übungen!$J18="",0,Übungen!$J18))),Übungen!$I18)),IF(AND($N18&lt;&gt;"",Übungen!$E18&lt;&gt;"",$N18&gt;=Übungen!$E18),IF(Übungen!$I18="",IF(IF(Übungen!$J18="",0,Übungen!$J18)=0,ROUND($L18*1.01*2,0)/2,CEILING($L18*1.01/IF(Übungen!$J18="",0,Übungen!$J18),1)*IF(Übungen!$J18="",0,Übungen!$J18)),MIN(IF(IF(Übungen!$J18="",0,Übungen!$J18)=0,ROUND($L18*1.01*2,0)/2,CEILING($L18*1.01/IF(Übungen!$J18="",0,Übungen!$J18),1)*IF(Übungen!$J18="",0,Übungen!$J18)),Übungen!$I18)),$L18))),FLOOR(IF($L18="",IF(Übungen!$H18="","",Übungen!$H18),IF(AND($L18&lt;&gt;"",$N18&lt;&gt;"",Übungen!$E18&lt;&gt;"",$N18&gt;=Übungen!$E18+2),IF(Übungen!$I18="",MAX(IF(IF(Übungen!$J18="",0,Übungen!$J18)=0,ROUND($L18*1.01*2,0)/2,CEILING($L18*1.01/IF(Übungen!$J18="",0,Übungen!$J18),1)*IF(Übungen!$J18="",0,Übungen!$J18)),IF(IF(Übungen!$J18="",0,Übungen!$J18)=0,ROUND((($L18*(1+$N18/30))/(1+Übungen!$E18/30))*2,0)/2,FLOOR((($L18*(1+$N18/30))/(1+Übungen!$E18/30))/IF(Übungen!$J18="",0,Übungen!$J18),1)*IF(Übungen!$J18="",0,Übungen!$J18))),MIN(MAX(IF(IF(Übungen!$J18="",0,Übungen!$J18)=0,ROUND($L18*1.01*2,0)/2,CEILING($L18*1.01/IF(Übungen!$J18="",0,Übungen!$J18),1)*IF(Übungen!$J18="",0,Übungen!$J18)),IF(IF(Übungen!$J18="",0,Übungen!$J18)=0,ROUND((($L18*(1+$N18/30))/(1+Übungen!$E18/30))*2,0)/2,FLOOR((($L18*(1+$N18/30))/(1+Übungen!$E18/30))/IF(Übungen!$J18="",0,Übungen!$J18),1)*IF(Übungen!$J18="",0,Übungen!$J18))),Übungen!$I18)),IF(AND($N18&lt;&gt;"",Übungen!$E18&lt;&gt;"",$N18&gt;=Übungen!$E18),IF(Übungen!$I18="",IF(IF(Übungen!$J18="",0,Übungen!$J18)=0,ROUND($L18*1.01*2,0)/2,CEILING($L18*1.01/IF(Übungen!$J18="",0,Übungen!$J18),1)*IF(Übungen!$J18="",0,Übungen!$J18)),MIN(IF(IF(Übungen!$J18="",0,Übungen!$J18)=0,ROUND($L18*1.01*2,0)/2,CEILING($L18*1.01/IF(Übungen!$J18="",0,Übungen!$J18),1)*IF(Übungen!$J18="",0,Übungen!$J18)),Übungen!$I18)),$L18)))*Übungen!$K18/100/Übungen!$J18,1)*Übungen!$J18))</f>
        <v>220</v>
      </c>
      <c r="P18" s="100" t="n">
        <f aca="false">IF(Übungen!$D18="","",IF($O18="","",IF($L18="",Übungen!$D18,IF(AND($N18&lt;&gt;"",Übungen!$E18&lt;&gt;"",$N18&gt;=Übungen!$E18),Übungen!$D18,IF(OR($N18="",$N18&lt;Übungen!$D18),Übungen!$D18,MIN(Übungen!$E18,$N18+1))))))</f>
        <v>5</v>
      </c>
      <c r="Q18" s="91" t="str">
        <f aca="false">IF(AND(AND($L18&lt;&gt;"",$N18&lt;&gt;"",Übungen!$E18&lt;&gt;"",$N18&gt;=Übungen!$E18+2),$O18&gt;$L18),"RM-Korrektur nach "&amp;TEXT($N18,"0")&amp;" Wdh: +"&amp;TEXT($O18-$L18,"0.#")&amp;" kg ("&amp;TEXT(($O18-$L18)/$L18,"0.0%")&amp;"), Wdh zurück auf "&amp;Übungen!$D18,IF($O18="","",IF($L18="","Einstieg mit Startgewicht",IF(AND(AND($N18&lt;&gt;"",Übungen!$E18&lt;&gt;"",$N18&gt;=Übungen!$E18),$O18&gt;$L18),"Gewicht +"&amp;TEXT($O18-$L18,"0.#")&amp;" kg ("&amp;TEXT(($O18-$L18)/$L18,"0.0%")&amp;"), Wdh zurück auf "&amp;Übungen!$D18,IF(AND(AND($N18&lt;&gt;"",Übungen!$E18&lt;&gt;"",$N18&gt;=Übungen!$E18),Übungen!$J18=""),"Zielbereich voll - dafür fehlt 'Schritt (kg)' im Blatt Übungen",IF(AND($N18&lt;&gt;"",Übungen!$E18&lt;&gt;"",$N18&gt;=Übungen!$E18),"Obergrenze erreicht - über Tempo und Pausen steigern",IF(OR($N18="",$N18&lt;Übungen!$D18),"Gewicht halten, erst "&amp;Übungen!$D18&amp;" Wdh sauber schaffen","Wdh +1 auf "&amp;$P18&amp;" bei gleichem Gewicht")))))))</f>
        <v>RM-Korrektur nach 10 Wdh: +20 kg (10.0%), Wdh zurück auf 5</v>
      </c>
    </row>
    <row r="19" customFormat="false" ht="18" hidden="false" customHeight="true" outlineLevel="0" collapsed="false">
      <c r="A19" s="40" t="str">
        <f aca="false">IF(Übungen!$A19="","",Übungen!$A19)</f>
        <v>Beinbeuger Bülach</v>
      </c>
      <c r="B19" s="4" t="str">
        <f aca="false">IF(Übungen!$B19="","",Übungen!$B19)</f>
        <v>Auswärts Bülach</v>
      </c>
      <c r="C19" s="85" t="n">
        <f aca="false">IF($D19="","",SUMPRODUCT((COUNTIFS(Log!$D$4:$D$1203,$A19,Log!$E$4:$E$1203,"A",Log!$B$4:$B$1203,Einheiten!$A$4:$A$63)&gt;0)*1))</f>
        <v>1</v>
      </c>
      <c r="D19" s="85" t="n">
        <f aca="false">IF($A19="","",IF(COUNTIFS(Log!$D$4:$D$1203,$A19,Log!$E$4:$E$1203,"A")=0,"",COUNTIFS(Log!$D$4:$D$1203,$A19,Log!$E$4:$E$1203,"A")))</f>
        <v>2</v>
      </c>
      <c r="E19" s="85" t="n">
        <f aca="false">IF($D19="","",SUMIFS(Log!$I$4:$I$1203,Log!$D$4:$D$1203,$A19,Log!$E$4:$E$1203,"A"))</f>
        <v>854</v>
      </c>
      <c r="F19" s="101" t="n">
        <f aca="false">IF($D19="","",IF(SUMPRODUCT(MAX((Log!$D$4:$D$1203=$A19)*(Log!$E$4:$E$1203="A")*(Log!$F$4:$F$1203&lt;&gt;"")*Log!$F$4:$F$1203))=0,"",SUMPRODUCT(MAX((Log!$D$4:$D$1203=$A19)*(Log!$E$4:$E$1203="A")*(Log!$F$4:$F$1203&lt;&gt;"")*Log!$F$4:$F$1203))))</f>
        <v>59</v>
      </c>
      <c r="G19" s="85" t="n">
        <f aca="false">IF($F19="","",SUMPRODUCT(MAX((Log!$D$4:$D$1203=$A19)*(Log!$E$4:$E$1203="A")*(Log!$F$4:$F$1203=$F19)*Log!$B$4:$B$1203)))</f>
        <v>15</v>
      </c>
      <c r="H19" s="101" t="n">
        <f aca="false">IF($D19="","",IF(SUMPRODUCT(MAX((Log!$D$4:$D$1203=$A19)*(Log!$E$4:$E$1203="A")*(Log!$F$4:$F$1203&lt;&gt;"")*(Log!$G$4:$G$1203&lt;&gt;"")*Log!$F$4:$F$1203*(1+Log!$G$4:$G$1203/30)))=0,"",SUMPRODUCT(MAX((Log!$D$4:$D$1203=$A19)*(Log!$E$4:$E$1203="A")*(Log!$F$4:$F$1203&lt;&gt;"")*(Log!$G$4:$G$1203&lt;&gt;"")*Log!$F$4:$F$1203*(1+Log!$G$4:$G$1203/30)))))</f>
        <v>70.8</v>
      </c>
      <c r="I19" s="85" t="n">
        <f aca="false">IF($H19="","",SUMPRODUCT(MAX((Log!$D$4:$D$1203=$A19)*(Log!$E$4:$E$1203="A")*(Log!$F$4:$F$1203&lt;&gt;"")*(Log!$G$4:$G$1203&lt;&gt;"")*(ROUND(Log!$F$4:$F$1203*(1+Log!$G$4:$G$1203/30),6)=ROUND($H19,6))*Log!$B$4:$B$1203)))</f>
        <v>15</v>
      </c>
      <c r="J19" s="85" t="n">
        <f aca="false">IF($D19="","",IF(SUMPRODUCT(MAX((Log!$D$4:$D$1203=$A19)*(Log!$E$4:$E$1203="A")*(Log!$F$4:$F$1203&lt;&gt;"")*(Log!$G$4:$G$1203&lt;&gt;"")*Log!$F$4:$F$1203*Log!$G$4:$G$1203))=0,"",SUMPRODUCT(MAX((Log!$D$4:$D$1203=$A19)*(Log!$E$4:$E$1203="A")*(Log!$F$4:$F$1203&lt;&gt;"")*(Log!$G$4:$G$1203&lt;&gt;"")*Log!$F$4:$F$1203*Log!$G$4:$G$1203))))</f>
        <v>500</v>
      </c>
      <c r="K19" s="85" t="n">
        <f aca="false">IF($D19="","",IF(SUMPRODUCT(MAX((Log!$D$4:$D$1203=$A19)*(Log!$E$4:$E$1203="A")*Log!$B$4:$B$1203))=0,"",SUMPRODUCT(MAX((Log!$D$4:$D$1203=$A19)*(Log!$E$4:$E$1203="A")*Log!$B$4:$B$1203))))</f>
        <v>15</v>
      </c>
      <c r="L19" s="88" t="n">
        <f aca="false">IF($K19="","",IF(SUMPRODUCT(MAX((Log!$D$4:$D$1203=$A19)*(Log!$B$4:$B$1203=$K19)*(Log!$E$4:$E$1203="A")*(Log!$F$4:$F$1203&lt;&gt;"")*Log!$F$4:$F$1203))=0,"",SUMPRODUCT(MAX((Log!$D$4:$D$1203=$A19)*(Log!$B$4:$B$1203=$K19)*(Log!$E$4:$E$1203="A")*(Log!$F$4:$F$1203&lt;&gt;"")*Log!$F$4:$F$1203))))</f>
        <v>59</v>
      </c>
      <c r="M19" s="85" t="n">
        <f aca="false">IF($L19="","",IF(SUMPRODUCT(MAX((Log!$D$4:$D$1203=$A19)*(Log!$B$4:$B$1203=$K19)*(Log!$E$4:$E$1203="A")*(Log!$F$4:$F$1203=$L19)*Log!$G$4:$G$1203))=0,"",SUMPRODUCT(MAX((Log!$D$4:$D$1203=$A19)*(Log!$B$4:$B$1203=$K19)*(Log!$E$4:$E$1203="A")*(Log!$F$4:$F$1203=$L19)*Log!$G$4:$G$1203))))</f>
        <v>6</v>
      </c>
      <c r="N19" s="85" t="n">
        <f aca="false">IF($L19="","",IF(SUMPRODUCT(MIN((Log!$D$4:$D$1203=$A19)*(Log!$B$4:$B$1203=$K19)*(Log!$E$4:$E$1203="A")*(Log!$F$4:$F$1203=$L19)*Log!$G$4:$G$1203+((Log!$D$4:$D$1203&lt;&gt;$A19)+(Log!$B$4:$B$1203&lt;&gt;$K19)+(Log!$E$4:$E$1203&lt;&gt;"A")+(Log!$F$4:$F$1203&lt;&gt;$L19)+(Log!$G$4:$G$1203="")&gt;0)*999))&gt;=999,"",SUMPRODUCT(MIN((Log!$D$4:$D$1203=$A19)*(Log!$B$4:$B$1203=$K19)*(Log!$E$4:$E$1203="A")*(Log!$F$4:$F$1203=$L19)*Log!$G$4:$G$1203+((Log!$D$4:$D$1203&lt;&gt;$A19)+(Log!$B$4:$B$1203&lt;&gt;$K19)+(Log!$E$4:$E$1203&lt;&gt;"A")+(Log!$F$4:$F$1203&lt;&gt;$L19)+(Log!$G$4:$G$1203="")&gt;0)*999))))</f>
        <v>6</v>
      </c>
      <c r="O19" s="102" t="n">
        <f aca="false">IF(IF($L19="",IF(Übungen!$H19="","",Übungen!$H19),IF(AND($L19&lt;&gt;"",$N19&lt;&gt;"",Übungen!$E19&lt;&gt;"",$N19&gt;=Übungen!$E19+2),IF(Übungen!$I19="",MAX(IF(IF(Übungen!$J19="",0,Übungen!$J19)=0,ROUND($L19*1.01*2,0)/2,CEILING($L19*1.01/IF(Übungen!$J19="",0,Übungen!$J19),1)*IF(Übungen!$J19="",0,Übungen!$J19)),IF(IF(Übungen!$J19="",0,Übungen!$J19)=0,ROUND((($L19*(1+$N19/30))/(1+Übungen!$E19/30))*2,0)/2,FLOOR((($L19*(1+$N19/30))/(1+Übungen!$E19/30))/IF(Übungen!$J19="",0,Übungen!$J19),1)*IF(Übungen!$J19="",0,Übungen!$J19))),MIN(MAX(IF(IF(Übungen!$J19="",0,Übungen!$J19)=0,ROUND($L19*1.01*2,0)/2,CEILING($L19*1.01/IF(Übungen!$J19="",0,Übungen!$J19),1)*IF(Übungen!$J19="",0,Übungen!$J19)),IF(IF(Übungen!$J19="",0,Übungen!$J19)=0,ROUND((($L19*(1+$N19/30))/(1+Übungen!$E19/30))*2,0)/2,FLOOR((($L19*(1+$N19/30))/(1+Übungen!$E19/30))/IF(Übungen!$J19="",0,Übungen!$J19),1)*IF(Übungen!$J19="",0,Übungen!$J19))),Übungen!$I19)),IF(AND($N19&lt;&gt;"",Übungen!$E19&lt;&gt;"",$N19&gt;=Übungen!$E19),IF(Übungen!$I19="",IF(IF(Übungen!$J19="",0,Übungen!$J19)=0,ROUND($L19*1.01*2,0)/2,CEILING($L19*1.01/IF(Übungen!$J19="",0,Übungen!$J19),1)*IF(Übungen!$J19="",0,Übungen!$J19)),MIN(IF(IF(Übungen!$J19="",0,Übungen!$J19)=0,ROUND($L19*1.01*2,0)/2,CEILING($L19*1.01/IF(Übungen!$J19="",0,Übungen!$J19),1)*IF(Übungen!$J19="",0,Übungen!$J19)),Übungen!$I19)),$L19)))="","",IF(OR(Übungen!$K19="",Übungen!$K19=100),IF($L19="",IF(Übungen!$H19="","",Übungen!$H19),IF(AND($L19&lt;&gt;"",$N19&lt;&gt;"",Übungen!$E19&lt;&gt;"",$N19&gt;=Übungen!$E19+2),IF(Übungen!$I19="",MAX(IF(IF(Übungen!$J19="",0,Übungen!$J19)=0,ROUND($L19*1.01*2,0)/2,CEILING($L19*1.01/IF(Übungen!$J19="",0,Übungen!$J19),1)*IF(Übungen!$J19="",0,Übungen!$J19)),IF(IF(Übungen!$J19="",0,Übungen!$J19)=0,ROUND((($L19*(1+$N19/30))/(1+Übungen!$E19/30))*2,0)/2,FLOOR((($L19*(1+$N19/30))/(1+Übungen!$E19/30))/IF(Übungen!$J19="",0,Übungen!$J19),1)*IF(Übungen!$J19="",0,Übungen!$J19))),MIN(MAX(IF(IF(Übungen!$J19="",0,Übungen!$J19)=0,ROUND($L19*1.01*2,0)/2,CEILING($L19*1.01/IF(Übungen!$J19="",0,Übungen!$J19),1)*IF(Übungen!$J19="",0,Übungen!$J19)),IF(IF(Übungen!$J19="",0,Übungen!$J19)=0,ROUND((($L19*(1+$N19/30))/(1+Übungen!$E19/30))*2,0)/2,FLOOR((($L19*(1+$N19/30))/(1+Übungen!$E19/30))/IF(Übungen!$J19="",0,Übungen!$J19),1)*IF(Übungen!$J19="",0,Übungen!$J19))),Übungen!$I19)),IF(AND($N19&lt;&gt;"",Übungen!$E19&lt;&gt;"",$N19&gt;=Übungen!$E19),IF(Übungen!$I19="",IF(IF(Übungen!$J19="",0,Übungen!$J19)=0,ROUND($L19*1.01*2,0)/2,CEILING($L19*1.01/IF(Übungen!$J19="",0,Übungen!$J19),1)*IF(Übungen!$J19="",0,Übungen!$J19)),MIN(IF(IF(Übungen!$J19="",0,Übungen!$J19)=0,ROUND($L19*1.01*2,0)/2,CEILING($L19*1.01/IF(Übungen!$J19="",0,Übungen!$J19),1)*IF(Übungen!$J19="",0,Übungen!$J19)),Übungen!$I19)),$L19))),FLOOR(IF($L19="",IF(Übungen!$H19="","",Übungen!$H19),IF(AND($L19&lt;&gt;"",$N19&lt;&gt;"",Übungen!$E19&lt;&gt;"",$N19&gt;=Übungen!$E19+2),IF(Übungen!$I19="",MAX(IF(IF(Übungen!$J19="",0,Übungen!$J19)=0,ROUND($L19*1.01*2,0)/2,CEILING($L19*1.01/IF(Übungen!$J19="",0,Übungen!$J19),1)*IF(Übungen!$J19="",0,Übungen!$J19)),IF(IF(Übungen!$J19="",0,Übungen!$J19)=0,ROUND((($L19*(1+$N19/30))/(1+Übungen!$E19/30))*2,0)/2,FLOOR((($L19*(1+$N19/30))/(1+Übungen!$E19/30))/IF(Übungen!$J19="",0,Übungen!$J19),1)*IF(Übungen!$J19="",0,Übungen!$J19))),MIN(MAX(IF(IF(Übungen!$J19="",0,Übungen!$J19)=0,ROUND($L19*1.01*2,0)/2,CEILING($L19*1.01/IF(Übungen!$J19="",0,Übungen!$J19),1)*IF(Übungen!$J19="",0,Übungen!$J19)),IF(IF(Übungen!$J19="",0,Übungen!$J19)=0,ROUND((($L19*(1+$N19/30))/(1+Übungen!$E19/30))*2,0)/2,FLOOR((($L19*(1+$N19/30))/(1+Übungen!$E19/30))/IF(Übungen!$J19="",0,Übungen!$J19),1)*IF(Übungen!$J19="",0,Übungen!$J19))),Übungen!$I19)),IF(AND($N19&lt;&gt;"",Übungen!$E19&lt;&gt;"",$N19&gt;=Übungen!$E19),IF(Übungen!$I19="",IF(IF(Übungen!$J19="",0,Übungen!$J19)=0,ROUND($L19*1.01*2,0)/2,CEILING($L19*1.01/IF(Übungen!$J19="",0,Übungen!$J19),1)*IF(Übungen!$J19="",0,Übungen!$J19)),MIN(IF(IF(Übungen!$J19="",0,Übungen!$J19)=0,ROUND($L19*1.01*2,0)/2,CEILING($L19*1.01/IF(Übungen!$J19="",0,Übungen!$J19),1)*IF(Übungen!$J19="",0,Übungen!$J19)),Übungen!$I19)),$L19)))*Übungen!$K19/100/Übungen!$J19,1)*Übungen!$J19))</f>
        <v>63</v>
      </c>
      <c r="P19" s="103" t="n">
        <f aca="false">IF(Übungen!$D19="","",IF($O19="","",IF($L19="",Übungen!$D19,IF(AND($N19&lt;&gt;"",Übungen!$E19&lt;&gt;"",$N19&gt;=Übungen!$E19),Übungen!$D19,IF(OR($N19="",$N19&lt;Übungen!$D19),Übungen!$D19,MIN(Übungen!$E19,$N19+1))))))</f>
        <v>5</v>
      </c>
      <c r="Q19" s="95" t="str">
        <f aca="false">IF(AND(AND($L19&lt;&gt;"",$N19&lt;&gt;"",Übungen!$E19&lt;&gt;"",$N19&gt;=Übungen!$E19+2),$O19&gt;$L19),"RM-Korrektur nach "&amp;TEXT($N19,"0")&amp;" Wdh: +"&amp;TEXT($O19-$L19,"0.#")&amp;" kg ("&amp;TEXT(($O19-$L19)/$L19,"0.0%")&amp;"), Wdh zurück auf "&amp;Übungen!$D19,IF($O19="","",IF($L19="","Einstieg mit Startgewicht",IF(AND(AND($N19&lt;&gt;"",Übungen!$E19&lt;&gt;"",$N19&gt;=Übungen!$E19),$O19&gt;$L19),"Gewicht +"&amp;TEXT($O19-$L19,"0.#")&amp;" kg ("&amp;TEXT(($O19-$L19)/$L19,"0.0%")&amp;"), Wdh zurück auf "&amp;Übungen!$D19,IF(AND(AND($N19&lt;&gt;"",Übungen!$E19&lt;&gt;"",$N19&gt;=Übungen!$E19),Übungen!$J19=""),"Zielbereich voll - dafür fehlt 'Schritt (kg)' im Blatt Übungen",IF(AND($N19&lt;&gt;"",Übungen!$E19&lt;&gt;"",$N19&gt;=Übungen!$E19),"Obergrenze erreicht - über Tempo und Pausen steigern",IF(OR($N19="",$N19&lt;Übungen!$D19),"Gewicht halten, erst "&amp;Übungen!$D19&amp;" Wdh sauber schaffen","Wdh +1 auf "&amp;$P19&amp;" bei gleichem Gewicht")))))))</f>
        <v>Gewicht +4 kg (6.8%), Wdh zurück auf 5</v>
      </c>
    </row>
    <row r="20" customFormat="false" ht="18" hidden="false" customHeight="true" outlineLevel="0" collapsed="false">
      <c r="A20" s="34" t="str">
        <f aca="false">IF(Übungen!$A20="","",Übungen!$A20)</f>
        <v>Lunges</v>
      </c>
      <c r="B20" s="97" t="str">
        <f aca="false">IF(Übungen!$B20="","",Übungen!$B20)</f>
        <v>Beine vorne</v>
      </c>
      <c r="C20" s="83" t="n">
        <f aca="false">IF($D20="","",SUMPRODUCT((COUNTIFS(Log!$D$4:$D$1203,$A20,Log!$E$4:$E$1203,"A",Log!$B$4:$B$1203,Einheiten!$A$4:$A$63)&gt;0)*1))</f>
        <v>3</v>
      </c>
      <c r="D20" s="83" t="n">
        <f aca="false">IF($A20="","",IF(COUNTIFS(Log!$D$4:$D$1203,$A20,Log!$E$4:$E$1203,"A")=0,"",COUNTIFS(Log!$D$4:$D$1203,$A20,Log!$E$4:$E$1203,"A")))</f>
        <v>3</v>
      </c>
      <c r="E20" s="83" t="n">
        <f aca="false">IF($D20="","",SUMIFS(Log!$I$4:$I$1203,Log!$D$4:$D$1203,$A20,Log!$E$4:$E$1203,"A"))</f>
        <v>0</v>
      </c>
      <c r="F20" s="98" t="n">
        <f aca="false">IF($D20="","",IF(SUMPRODUCT(MAX((Log!$D$4:$D$1203=$A20)*(Log!$E$4:$E$1203="A")*(Log!$F$4:$F$1203&lt;&gt;"")*Log!$F$4:$F$1203))=0,"",SUMPRODUCT(MAX((Log!$D$4:$D$1203=$A20)*(Log!$E$4:$E$1203="A")*(Log!$F$4:$F$1203&lt;&gt;"")*Log!$F$4:$F$1203))))</f>
        <v>18</v>
      </c>
      <c r="G20" s="83" t="n">
        <f aca="false">IF($F20="","",SUMPRODUCT(MAX((Log!$D$4:$D$1203=$A20)*(Log!$E$4:$E$1203="A")*(Log!$F$4:$F$1203=$F20)*Log!$B$4:$B$1203)))</f>
        <v>3</v>
      </c>
      <c r="H20" s="98" t="str">
        <f aca="false">IF($D20="","",IF(SUMPRODUCT(MAX((Log!$D$4:$D$1203=$A20)*(Log!$E$4:$E$1203="A")*(Log!$F$4:$F$1203&lt;&gt;"")*(Log!$G$4:$G$1203&lt;&gt;"")*Log!$F$4:$F$1203*(1+Log!$G$4:$G$1203/30)))=0,"",SUMPRODUCT(MAX((Log!$D$4:$D$1203=$A20)*(Log!$E$4:$E$1203="A")*(Log!$F$4:$F$1203&lt;&gt;"")*(Log!$G$4:$G$1203&lt;&gt;"")*Log!$F$4:$F$1203*(1+Log!$G$4:$G$1203/30)))))</f>
        <v/>
      </c>
      <c r="I20" s="83" t="str">
        <f aca="false">IF($H20="","",SUMPRODUCT(MAX((Log!$D$4:$D$1203=$A20)*(Log!$E$4:$E$1203="A")*(Log!$F$4:$F$1203&lt;&gt;"")*(Log!$G$4:$G$1203&lt;&gt;"")*(ROUND(Log!$F$4:$F$1203*(1+Log!$G$4:$G$1203/30),6)=ROUND($H20,6))*Log!$B$4:$B$1203)))</f>
        <v/>
      </c>
      <c r="J20" s="83" t="str">
        <f aca="false">IF($D20="","",IF(SUMPRODUCT(MAX((Log!$D$4:$D$1203=$A20)*(Log!$E$4:$E$1203="A")*(Log!$F$4:$F$1203&lt;&gt;"")*(Log!$G$4:$G$1203&lt;&gt;"")*Log!$F$4:$F$1203*Log!$G$4:$G$1203))=0,"",SUMPRODUCT(MAX((Log!$D$4:$D$1203=$A20)*(Log!$E$4:$E$1203="A")*(Log!$F$4:$F$1203&lt;&gt;"")*(Log!$G$4:$G$1203&lt;&gt;"")*Log!$F$4:$F$1203*Log!$G$4:$G$1203))))</f>
        <v/>
      </c>
      <c r="K20" s="83" t="n">
        <f aca="false">IF($D20="","",IF(SUMPRODUCT(MAX((Log!$D$4:$D$1203=$A20)*(Log!$E$4:$E$1203="A")*Log!$B$4:$B$1203))=0,"",SUMPRODUCT(MAX((Log!$D$4:$D$1203=$A20)*(Log!$E$4:$E$1203="A")*Log!$B$4:$B$1203))))</f>
        <v>3</v>
      </c>
      <c r="L20" s="86" t="n">
        <f aca="false">IF($K20="","",IF(SUMPRODUCT(MAX((Log!$D$4:$D$1203=$A20)*(Log!$B$4:$B$1203=$K20)*(Log!$E$4:$E$1203="A")*(Log!$F$4:$F$1203&lt;&gt;"")*Log!$F$4:$F$1203))=0,"",SUMPRODUCT(MAX((Log!$D$4:$D$1203=$A20)*(Log!$B$4:$B$1203=$K20)*(Log!$E$4:$E$1203="A")*(Log!$F$4:$F$1203&lt;&gt;"")*Log!$F$4:$F$1203))))</f>
        <v>18</v>
      </c>
      <c r="M20" s="83" t="str">
        <f aca="false">IF($L20="","",IF(SUMPRODUCT(MAX((Log!$D$4:$D$1203=$A20)*(Log!$B$4:$B$1203=$K20)*(Log!$E$4:$E$1203="A")*(Log!$F$4:$F$1203=$L20)*Log!$G$4:$G$1203))=0,"",SUMPRODUCT(MAX((Log!$D$4:$D$1203=$A20)*(Log!$B$4:$B$1203=$K20)*(Log!$E$4:$E$1203="A")*(Log!$F$4:$F$1203=$L20)*Log!$G$4:$G$1203))))</f>
        <v/>
      </c>
      <c r="N20" s="83" t="str">
        <f aca="false">IF($L20="","",IF(SUMPRODUCT(MIN((Log!$D$4:$D$1203=$A20)*(Log!$B$4:$B$1203=$K20)*(Log!$E$4:$E$1203="A")*(Log!$F$4:$F$1203=$L20)*Log!$G$4:$G$1203+((Log!$D$4:$D$1203&lt;&gt;$A20)+(Log!$B$4:$B$1203&lt;&gt;$K20)+(Log!$E$4:$E$1203&lt;&gt;"A")+(Log!$F$4:$F$1203&lt;&gt;$L20)+(Log!$G$4:$G$1203="")&gt;0)*999))&gt;=999,"",SUMPRODUCT(MIN((Log!$D$4:$D$1203=$A20)*(Log!$B$4:$B$1203=$K20)*(Log!$E$4:$E$1203="A")*(Log!$F$4:$F$1203=$L20)*Log!$G$4:$G$1203+((Log!$D$4:$D$1203&lt;&gt;$A20)+(Log!$B$4:$B$1203&lt;&gt;$K20)+(Log!$E$4:$E$1203&lt;&gt;"A")+(Log!$F$4:$F$1203&lt;&gt;$L20)+(Log!$G$4:$G$1203="")&gt;0)*999))))</f>
        <v/>
      </c>
      <c r="O20" s="99" t="n">
        <f aca="false">IF(IF($L20="",IF(Übungen!$H20="","",Übungen!$H20),IF(AND($L20&lt;&gt;"",$N20&lt;&gt;"",Übungen!$E20&lt;&gt;"",$N20&gt;=Übungen!$E20+2),IF(Übungen!$I20="",MAX(IF(IF(Übungen!$J20="",0,Übungen!$J20)=0,ROUND($L20*1.01*2,0)/2,CEILING($L20*1.01/IF(Übungen!$J20="",0,Übungen!$J20),1)*IF(Übungen!$J20="",0,Übungen!$J20)),IF(IF(Übungen!$J20="",0,Übungen!$J20)=0,ROUND((($L20*(1+$N20/30))/(1+Übungen!$E20/30))*2,0)/2,FLOOR((($L20*(1+$N20/30))/(1+Übungen!$E20/30))/IF(Übungen!$J20="",0,Übungen!$J20),1)*IF(Übungen!$J20="",0,Übungen!$J20))),MIN(MAX(IF(IF(Übungen!$J20="",0,Übungen!$J20)=0,ROUND($L20*1.01*2,0)/2,CEILING($L20*1.01/IF(Übungen!$J20="",0,Übungen!$J20),1)*IF(Übungen!$J20="",0,Übungen!$J20)),IF(IF(Übungen!$J20="",0,Übungen!$J20)=0,ROUND((($L20*(1+$N20/30))/(1+Übungen!$E20/30))*2,0)/2,FLOOR((($L20*(1+$N20/30))/(1+Übungen!$E20/30))/IF(Übungen!$J20="",0,Übungen!$J20),1)*IF(Übungen!$J20="",0,Übungen!$J20))),Übungen!$I20)),IF(AND($N20&lt;&gt;"",Übungen!$E20&lt;&gt;"",$N20&gt;=Übungen!$E20),IF(Übungen!$I20="",IF(IF(Übungen!$J20="",0,Übungen!$J20)=0,ROUND($L20*1.01*2,0)/2,CEILING($L20*1.01/IF(Übungen!$J20="",0,Übungen!$J20),1)*IF(Übungen!$J20="",0,Übungen!$J20)),MIN(IF(IF(Übungen!$J20="",0,Übungen!$J20)=0,ROUND($L20*1.01*2,0)/2,CEILING($L20*1.01/IF(Übungen!$J20="",0,Übungen!$J20),1)*IF(Übungen!$J20="",0,Übungen!$J20)),Übungen!$I20)),$L20)))="","",IF(OR(Übungen!$K20="",Übungen!$K20=100),IF($L20="",IF(Übungen!$H20="","",Übungen!$H20),IF(AND($L20&lt;&gt;"",$N20&lt;&gt;"",Übungen!$E20&lt;&gt;"",$N20&gt;=Übungen!$E20+2),IF(Übungen!$I20="",MAX(IF(IF(Übungen!$J20="",0,Übungen!$J20)=0,ROUND($L20*1.01*2,0)/2,CEILING($L20*1.01/IF(Übungen!$J20="",0,Übungen!$J20),1)*IF(Übungen!$J20="",0,Übungen!$J20)),IF(IF(Übungen!$J20="",0,Übungen!$J20)=0,ROUND((($L20*(1+$N20/30))/(1+Übungen!$E20/30))*2,0)/2,FLOOR((($L20*(1+$N20/30))/(1+Übungen!$E20/30))/IF(Übungen!$J20="",0,Übungen!$J20),1)*IF(Übungen!$J20="",0,Übungen!$J20))),MIN(MAX(IF(IF(Übungen!$J20="",0,Übungen!$J20)=0,ROUND($L20*1.01*2,0)/2,CEILING($L20*1.01/IF(Übungen!$J20="",0,Übungen!$J20),1)*IF(Übungen!$J20="",0,Übungen!$J20)),IF(IF(Übungen!$J20="",0,Übungen!$J20)=0,ROUND((($L20*(1+$N20/30))/(1+Übungen!$E20/30))*2,0)/2,FLOOR((($L20*(1+$N20/30))/(1+Übungen!$E20/30))/IF(Übungen!$J20="",0,Übungen!$J20),1)*IF(Übungen!$J20="",0,Übungen!$J20))),Übungen!$I20)),IF(AND($N20&lt;&gt;"",Übungen!$E20&lt;&gt;"",$N20&gt;=Übungen!$E20),IF(Übungen!$I20="",IF(IF(Übungen!$J20="",0,Übungen!$J20)=0,ROUND($L20*1.01*2,0)/2,CEILING($L20*1.01/IF(Übungen!$J20="",0,Übungen!$J20),1)*IF(Übungen!$J20="",0,Übungen!$J20)),MIN(IF(IF(Übungen!$J20="",0,Übungen!$J20)=0,ROUND($L20*1.01*2,0)/2,CEILING($L20*1.01/IF(Übungen!$J20="",0,Übungen!$J20),1)*IF(Übungen!$J20="",0,Übungen!$J20)),Übungen!$I20)),$L20))),FLOOR(IF($L20="",IF(Übungen!$H20="","",Übungen!$H20),IF(AND($L20&lt;&gt;"",$N20&lt;&gt;"",Übungen!$E20&lt;&gt;"",$N20&gt;=Übungen!$E20+2),IF(Übungen!$I20="",MAX(IF(IF(Übungen!$J20="",0,Übungen!$J20)=0,ROUND($L20*1.01*2,0)/2,CEILING($L20*1.01/IF(Übungen!$J20="",0,Übungen!$J20),1)*IF(Übungen!$J20="",0,Übungen!$J20)),IF(IF(Übungen!$J20="",0,Übungen!$J20)=0,ROUND((($L20*(1+$N20/30))/(1+Übungen!$E20/30))*2,0)/2,FLOOR((($L20*(1+$N20/30))/(1+Übungen!$E20/30))/IF(Übungen!$J20="",0,Übungen!$J20),1)*IF(Übungen!$J20="",0,Übungen!$J20))),MIN(MAX(IF(IF(Übungen!$J20="",0,Übungen!$J20)=0,ROUND($L20*1.01*2,0)/2,CEILING($L20*1.01/IF(Übungen!$J20="",0,Übungen!$J20),1)*IF(Übungen!$J20="",0,Übungen!$J20)),IF(IF(Übungen!$J20="",0,Übungen!$J20)=0,ROUND((($L20*(1+$N20/30))/(1+Übungen!$E20/30))*2,0)/2,FLOOR((($L20*(1+$N20/30))/(1+Übungen!$E20/30))/IF(Übungen!$J20="",0,Übungen!$J20),1)*IF(Übungen!$J20="",0,Übungen!$J20))),Übungen!$I20)),IF(AND($N20&lt;&gt;"",Übungen!$E20&lt;&gt;"",$N20&gt;=Übungen!$E20),IF(Übungen!$I20="",IF(IF(Übungen!$J20="",0,Übungen!$J20)=0,ROUND($L20*1.01*2,0)/2,CEILING($L20*1.01/IF(Übungen!$J20="",0,Übungen!$J20),1)*IF(Übungen!$J20="",0,Übungen!$J20)),MIN(IF(IF(Übungen!$J20="",0,Übungen!$J20)=0,ROUND($L20*1.01*2,0)/2,CEILING($L20*1.01/IF(Übungen!$J20="",0,Übungen!$J20),1)*IF(Übungen!$J20="",0,Übungen!$J20)),Übungen!$I20)),$L20)))*Übungen!$K20/100/Übungen!$J20,1)*Übungen!$J20))</f>
        <v>18</v>
      </c>
      <c r="P20" s="100" t="n">
        <f aca="false">IF(Übungen!$D20="","",IF($O20="","",IF($L20="",Übungen!$D20,IF(AND($N20&lt;&gt;"",Übungen!$E20&lt;&gt;"",$N20&gt;=Übungen!$E20),Übungen!$D20,IF(OR($N20="",$N20&lt;Übungen!$D20),Übungen!$D20,MIN(Übungen!$E20,$N20+1))))))</f>
        <v>5</v>
      </c>
      <c r="Q20" s="91" t="str">
        <f aca="false">IF(AND(AND($L20&lt;&gt;"",$N20&lt;&gt;"",Übungen!$E20&lt;&gt;"",$N20&gt;=Übungen!$E20+2),$O20&gt;$L20),"RM-Korrektur nach "&amp;TEXT($N20,"0")&amp;" Wdh: +"&amp;TEXT($O20-$L20,"0.#")&amp;" kg ("&amp;TEXT(($O20-$L20)/$L20,"0.0%")&amp;"), Wdh zurück auf "&amp;Übungen!$D20,IF($O20="","",IF($L20="","Einstieg mit Startgewicht",IF(AND(AND($N20&lt;&gt;"",Übungen!$E20&lt;&gt;"",$N20&gt;=Übungen!$E20),$O20&gt;$L20),"Gewicht +"&amp;TEXT($O20-$L20,"0.#")&amp;" kg ("&amp;TEXT(($O20-$L20)/$L20,"0.0%")&amp;"), Wdh zurück auf "&amp;Übungen!$D20,IF(AND(AND($N20&lt;&gt;"",Übungen!$E20&lt;&gt;"",$N20&gt;=Übungen!$E20),Übungen!$J20=""),"Zielbereich voll - dafür fehlt 'Schritt (kg)' im Blatt Übungen",IF(AND($N20&lt;&gt;"",Übungen!$E20&lt;&gt;"",$N20&gt;=Übungen!$E20),"Obergrenze erreicht - über Tempo und Pausen steigern",IF(OR($N20="",$N20&lt;Übungen!$D20),"Gewicht halten, erst "&amp;Übungen!$D20&amp;" Wdh sauber schaffen","Wdh +1 auf "&amp;$P20&amp;" bei gleichem Gewicht")))))))</f>
        <v>Gewicht halten, erst 5 Wdh sauber schaffen</v>
      </c>
    </row>
    <row r="21" customFormat="false" ht="18" hidden="false" customHeight="true" outlineLevel="0" collapsed="false">
      <c r="A21" s="40" t="str">
        <f aca="false">IF(Übungen!$A21="","",Übungen!$A21)</f>
        <v>Kickback</v>
      </c>
      <c r="B21" s="4" t="str">
        <f aca="false">IF(Übungen!$B21="","",Übungen!$B21)</f>
        <v>Beine hinten</v>
      </c>
      <c r="C21" s="85" t="n">
        <f aca="false">IF($D21="","",SUMPRODUCT((COUNTIFS(Log!$D$4:$D$1203,$A21,Log!$E$4:$E$1203,"A",Log!$B$4:$B$1203,Einheiten!$A$4:$A$63)&gt;0)*1))</f>
        <v>4</v>
      </c>
      <c r="D21" s="85" t="n">
        <f aca="false">IF($A21="","",IF(COUNTIFS(Log!$D$4:$D$1203,$A21,Log!$E$4:$E$1203,"A")=0,"",COUNTIFS(Log!$D$4:$D$1203,$A21,Log!$E$4:$E$1203,"A")))</f>
        <v>8</v>
      </c>
      <c r="E21" s="85" t="n">
        <f aca="false">IF($D21="","",SUMIFS(Log!$I$4:$I$1203,Log!$D$4:$D$1203,$A21,Log!$E$4:$E$1203,"A"))</f>
        <v>7119</v>
      </c>
      <c r="F21" s="101" t="n">
        <f aca="false">IF($D21="","",IF(SUMPRODUCT(MAX((Log!$D$4:$D$1203=$A21)*(Log!$E$4:$E$1203="A")*(Log!$F$4:$F$1203&lt;&gt;"")*Log!$F$4:$F$1203))=0,"",SUMPRODUCT(MAX((Log!$D$4:$D$1203=$A21)*(Log!$E$4:$E$1203="A")*(Log!$F$4:$F$1203&lt;&gt;"")*Log!$F$4:$F$1203))))</f>
        <v>84</v>
      </c>
      <c r="G21" s="85" t="n">
        <f aca="false">IF($F21="","",SUMPRODUCT(MAX((Log!$D$4:$D$1203=$A21)*(Log!$E$4:$E$1203="A")*(Log!$F$4:$F$1203=$F21)*Log!$B$4:$B$1203)))</f>
        <v>3</v>
      </c>
      <c r="H21" s="101" t="n">
        <f aca="false">IF($D21="","",IF(SUMPRODUCT(MAX((Log!$D$4:$D$1203=$A21)*(Log!$E$4:$E$1203="A")*(Log!$F$4:$F$1203&lt;&gt;"")*(Log!$G$4:$G$1203&lt;&gt;"")*Log!$F$4:$F$1203*(1+Log!$G$4:$G$1203/30)))=0,"",SUMPRODUCT(MAX((Log!$D$4:$D$1203=$A21)*(Log!$E$4:$E$1203="A")*(Log!$F$4:$F$1203&lt;&gt;"")*(Log!$G$4:$G$1203&lt;&gt;"")*Log!$F$4:$F$1203*(1+Log!$G$4:$G$1203/30)))))</f>
        <v>117.6</v>
      </c>
      <c r="I21" s="85" t="n">
        <f aca="false">IF($H21="","",SUMPRODUCT(MAX((Log!$D$4:$D$1203=$A21)*(Log!$E$4:$E$1203="A")*(Log!$F$4:$F$1203&lt;&gt;"")*(Log!$G$4:$G$1203&lt;&gt;"")*(ROUND(Log!$F$4:$F$1203*(1+Log!$G$4:$G$1203/30),6)=ROUND($H21,6))*Log!$B$4:$B$1203)))</f>
        <v>3</v>
      </c>
      <c r="J21" s="85" t="n">
        <f aca="false">IF($D21="","",IF(SUMPRODUCT(MAX((Log!$D$4:$D$1203=$A21)*(Log!$E$4:$E$1203="A")*(Log!$F$4:$F$1203&lt;&gt;"")*(Log!$G$4:$G$1203&lt;&gt;"")*Log!$F$4:$F$1203*Log!$G$4:$G$1203))=0,"",SUMPRODUCT(MAX((Log!$D$4:$D$1203=$A21)*(Log!$E$4:$E$1203="A")*(Log!$F$4:$F$1203&lt;&gt;"")*(Log!$G$4:$G$1203&lt;&gt;"")*Log!$F$4:$F$1203*Log!$G$4:$G$1203))))</f>
        <v>1078</v>
      </c>
      <c r="K21" s="85" t="n">
        <f aca="false">IF($D21="","",IF(SUMPRODUCT(MAX((Log!$D$4:$D$1203=$A21)*(Log!$E$4:$E$1203="A")*Log!$B$4:$B$1203))=0,"",SUMPRODUCT(MAX((Log!$D$4:$D$1203=$A21)*(Log!$E$4:$E$1203="A")*Log!$B$4:$B$1203))))</f>
        <v>4</v>
      </c>
      <c r="L21" s="88" t="n">
        <f aca="false">IF($K21="","",IF(SUMPRODUCT(MAX((Log!$D$4:$D$1203=$A21)*(Log!$B$4:$B$1203=$K21)*(Log!$E$4:$E$1203="A")*(Log!$F$4:$F$1203&lt;&gt;"")*Log!$F$4:$F$1203))=0,"",SUMPRODUCT(MAX((Log!$D$4:$D$1203=$A21)*(Log!$B$4:$B$1203=$K21)*(Log!$E$4:$E$1203="A")*(Log!$F$4:$F$1203&lt;&gt;"")*Log!$F$4:$F$1203))))</f>
        <v>63</v>
      </c>
      <c r="M21" s="85" t="n">
        <f aca="false">IF($L21="","",IF(SUMPRODUCT(MAX((Log!$D$4:$D$1203=$A21)*(Log!$B$4:$B$1203=$K21)*(Log!$E$4:$E$1203="A")*(Log!$F$4:$F$1203=$L21)*Log!$G$4:$G$1203))=0,"",SUMPRODUCT(MAX((Log!$D$4:$D$1203=$A21)*(Log!$B$4:$B$1203=$K21)*(Log!$E$4:$E$1203="A")*(Log!$F$4:$F$1203=$L21)*Log!$G$4:$G$1203))))</f>
        <v>15</v>
      </c>
      <c r="N21" s="85" t="n">
        <f aca="false">IF($L21="","",IF(SUMPRODUCT(MIN((Log!$D$4:$D$1203=$A21)*(Log!$B$4:$B$1203=$K21)*(Log!$E$4:$E$1203="A")*(Log!$F$4:$F$1203=$L21)*Log!$G$4:$G$1203+((Log!$D$4:$D$1203&lt;&gt;$A21)+(Log!$B$4:$B$1203&lt;&gt;$K21)+(Log!$E$4:$E$1203&lt;&gt;"A")+(Log!$F$4:$F$1203&lt;&gt;$L21)+(Log!$G$4:$G$1203="")&gt;0)*999))&gt;=999,"",SUMPRODUCT(MIN((Log!$D$4:$D$1203=$A21)*(Log!$B$4:$B$1203=$K21)*(Log!$E$4:$E$1203="A")*(Log!$F$4:$F$1203=$L21)*Log!$G$4:$G$1203+((Log!$D$4:$D$1203&lt;&gt;$A21)+(Log!$B$4:$B$1203&lt;&gt;$K21)+(Log!$E$4:$E$1203&lt;&gt;"A")+(Log!$F$4:$F$1203&lt;&gt;$L21)+(Log!$G$4:$G$1203="")&gt;0)*999))))</f>
        <v>15</v>
      </c>
      <c r="O21" s="102" t="n">
        <f aca="false">IF(IF($L21="",IF(Übungen!$H21="","",Übungen!$H21),IF(AND($L21&lt;&gt;"",$N21&lt;&gt;"",Übungen!$E21&lt;&gt;"",$N21&gt;=Übungen!$E21+2),IF(Übungen!$I21="",MAX(IF(IF(Übungen!$J21="",0,Übungen!$J21)=0,ROUND($L21*1.01*2,0)/2,CEILING($L21*1.01/IF(Übungen!$J21="",0,Übungen!$J21),1)*IF(Übungen!$J21="",0,Übungen!$J21)),IF(IF(Übungen!$J21="",0,Übungen!$J21)=0,ROUND((($L21*(1+$N21/30))/(1+Übungen!$E21/30))*2,0)/2,FLOOR((($L21*(1+$N21/30))/(1+Übungen!$E21/30))/IF(Übungen!$J21="",0,Übungen!$J21),1)*IF(Übungen!$J21="",0,Übungen!$J21))),MIN(MAX(IF(IF(Übungen!$J21="",0,Übungen!$J21)=0,ROUND($L21*1.01*2,0)/2,CEILING($L21*1.01/IF(Übungen!$J21="",0,Übungen!$J21),1)*IF(Übungen!$J21="",0,Übungen!$J21)),IF(IF(Übungen!$J21="",0,Übungen!$J21)=0,ROUND((($L21*(1+$N21/30))/(1+Übungen!$E21/30))*2,0)/2,FLOOR((($L21*(1+$N21/30))/(1+Übungen!$E21/30))/IF(Übungen!$J21="",0,Übungen!$J21),1)*IF(Übungen!$J21="",0,Übungen!$J21))),Übungen!$I21)),IF(AND($N21&lt;&gt;"",Übungen!$E21&lt;&gt;"",$N21&gt;=Übungen!$E21),IF(Übungen!$I21="",IF(IF(Übungen!$J21="",0,Übungen!$J21)=0,ROUND($L21*1.01*2,0)/2,CEILING($L21*1.01/IF(Übungen!$J21="",0,Übungen!$J21),1)*IF(Übungen!$J21="",0,Übungen!$J21)),MIN(IF(IF(Übungen!$J21="",0,Übungen!$J21)=0,ROUND($L21*1.01*2,0)/2,CEILING($L21*1.01/IF(Übungen!$J21="",0,Übungen!$J21),1)*IF(Übungen!$J21="",0,Übungen!$J21)),Übungen!$I21)),$L21)))="","",IF(OR(Übungen!$K21="",Übungen!$K21=100),IF($L21="",IF(Übungen!$H21="","",Übungen!$H21),IF(AND($L21&lt;&gt;"",$N21&lt;&gt;"",Übungen!$E21&lt;&gt;"",$N21&gt;=Übungen!$E21+2),IF(Übungen!$I21="",MAX(IF(IF(Übungen!$J21="",0,Übungen!$J21)=0,ROUND($L21*1.01*2,0)/2,CEILING($L21*1.01/IF(Übungen!$J21="",0,Übungen!$J21),1)*IF(Übungen!$J21="",0,Übungen!$J21)),IF(IF(Übungen!$J21="",0,Übungen!$J21)=0,ROUND((($L21*(1+$N21/30))/(1+Übungen!$E21/30))*2,0)/2,FLOOR((($L21*(1+$N21/30))/(1+Übungen!$E21/30))/IF(Übungen!$J21="",0,Übungen!$J21),1)*IF(Übungen!$J21="",0,Übungen!$J21))),MIN(MAX(IF(IF(Übungen!$J21="",0,Übungen!$J21)=0,ROUND($L21*1.01*2,0)/2,CEILING($L21*1.01/IF(Übungen!$J21="",0,Übungen!$J21),1)*IF(Übungen!$J21="",0,Übungen!$J21)),IF(IF(Übungen!$J21="",0,Übungen!$J21)=0,ROUND((($L21*(1+$N21/30))/(1+Übungen!$E21/30))*2,0)/2,FLOOR((($L21*(1+$N21/30))/(1+Übungen!$E21/30))/IF(Übungen!$J21="",0,Übungen!$J21),1)*IF(Übungen!$J21="",0,Übungen!$J21))),Übungen!$I21)),IF(AND($N21&lt;&gt;"",Übungen!$E21&lt;&gt;"",$N21&gt;=Übungen!$E21),IF(Übungen!$I21="",IF(IF(Übungen!$J21="",0,Übungen!$J21)=0,ROUND($L21*1.01*2,0)/2,CEILING($L21*1.01/IF(Übungen!$J21="",0,Übungen!$J21),1)*IF(Übungen!$J21="",0,Übungen!$J21)),MIN(IF(IF(Übungen!$J21="",0,Übungen!$J21)=0,ROUND($L21*1.01*2,0)/2,CEILING($L21*1.01/IF(Übungen!$J21="",0,Übungen!$J21),1)*IF(Übungen!$J21="",0,Übungen!$J21)),Übungen!$I21)),$L21))),FLOOR(IF($L21="",IF(Übungen!$H21="","",Übungen!$H21),IF(AND($L21&lt;&gt;"",$N21&lt;&gt;"",Übungen!$E21&lt;&gt;"",$N21&gt;=Übungen!$E21+2),IF(Übungen!$I21="",MAX(IF(IF(Übungen!$J21="",0,Übungen!$J21)=0,ROUND($L21*1.01*2,0)/2,CEILING($L21*1.01/IF(Übungen!$J21="",0,Übungen!$J21),1)*IF(Übungen!$J21="",0,Übungen!$J21)),IF(IF(Übungen!$J21="",0,Übungen!$J21)=0,ROUND((($L21*(1+$N21/30))/(1+Übungen!$E21/30))*2,0)/2,FLOOR((($L21*(1+$N21/30))/(1+Übungen!$E21/30))/IF(Übungen!$J21="",0,Übungen!$J21),1)*IF(Übungen!$J21="",0,Übungen!$J21))),MIN(MAX(IF(IF(Übungen!$J21="",0,Übungen!$J21)=0,ROUND($L21*1.01*2,0)/2,CEILING($L21*1.01/IF(Übungen!$J21="",0,Übungen!$J21),1)*IF(Übungen!$J21="",0,Übungen!$J21)),IF(IF(Übungen!$J21="",0,Übungen!$J21)=0,ROUND((($L21*(1+$N21/30))/(1+Übungen!$E21/30))*2,0)/2,FLOOR((($L21*(1+$N21/30))/(1+Übungen!$E21/30))/IF(Übungen!$J21="",0,Übungen!$J21),1)*IF(Übungen!$J21="",0,Übungen!$J21))),Übungen!$I21)),IF(AND($N21&lt;&gt;"",Übungen!$E21&lt;&gt;"",$N21&gt;=Übungen!$E21),IF(Übungen!$I21="",IF(IF(Übungen!$J21="",0,Übungen!$J21)=0,ROUND($L21*1.01*2,0)/2,CEILING($L21*1.01/IF(Übungen!$J21="",0,Übungen!$J21),1)*IF(Übungen!$J21="",0,Übungen!$J21)),MIN(IF(IF(Übungen!$J21="",0,Übungen!$J21)=0,ROUND($L21*1.01*2,0)/2,CEILING($L21*1.01/IF(Übungen!$J21="",0,Übungen!$J21),1)*IF(Übungen!$J21="",0,Übungen!$J21)),Übungen!$I21)),$L21)))*Übungen!$K21/100/Übungen!$J21,1)*Übungen!$J21))</f>
        <v>79</v>
      </c>
      <c r="P21" s="103" t="n">
        <f aca="false">IF(Übungen!$D21="","",IF($O21="","",IF($L21="",Übungen!$D21,IF(AND($N21&lt;&gt;"",Übungen!$E21&lt;&gt;"",$N21&gt;=Übungen!$E21),Übungen!$D21,IF(OR($N21="",$N21&lt;Übungen!$D21),Übungen!$D21,MIN(Übungen!$E21,$N21+1))))))</f>
        <v>5</v>
      </c>
      <c r="Q21" s="95" t="str">
        <f aca="false">IF(AND(AND($L21&lt;&gt;"",$N21&lt;&gt;"",Übungen!$E21&lt;&gt;"",$N21&gt;=Übungen!$E21+2),$O21&gt;$L21),"RM-Korrektur nach "&amp;TEXT($N21,"0")&amp;" Wdh: +"&amp;TEXT($O21-$L21,"0.#")&amp;" kg ("&amp;TEXT(($O21-$L21)/$L21,"0.0%")&amp;"), Wdh zurück auf "&amp;Übungen!$D21,IF($O21="","",IF($L21="","Einstieg mit Startgewicht",IF(AND(AND($N21&lt;&gt;"",Übungen!$E21&lt;&gt;"",$N21&gt;=Übungen!$E21),$O21&gt;$L21),"Gewicht +"&amp;TEXT($O21-$L21,"0.#")&amp;" kg ("&amp;TEXT(($O21-$L21)/$L21,"0.0%")&amp;"), Wdh zurück auf "&amp;Übungen!$D21,IF(AND(AND($N21&lt;&gt;"",Übungen!$E21&lt;&gt;"",$N21&gt;=Übungen!$E21),Übungen!$J21=""),"Zielbereich voll - dafür fehlt 'Schritt (kg)' im Blatt Übungen",IF(AND($N21&lt;&gt;"",Übungen!$E21&lt;&gt;"",$N21&gt;=Übungen!$E21),"Obergrenze erreicht - über Tempo und Pausen steigern",IF(OR($N21="",$N21&lt;Übungen!$D21),"Gewicht halten, erst "&amp;Übungen!$D21&amp;" Wdh sauber schaffen","Wdh +1 auf "&amp;$P21&amp;" bei gleichem Gewicht")))))))</f>
        <v>RM-Korrektur nach 15 Wdh: +16 kg (25.4%), Wdh zurück auf 5</v>
      </c>
    </row>
    <row r="22" customFormat="false" ht="18" hidden="false" customHeight="true" outlineLevel="0" collapsed="false">
      <c r="A22" s="34" t="str">
        <f aca="false">IF(Übungen!$A22="","",Übungen!$A22)</f>
        <v/>
      </c>
      <c r="B22" s="97" t="str">
        <f aca="false">IF(Übungen!$B22="","",Übungen!$B22)</f>
        <v/>
      </c>
      <c r="C22" s="83" t="str">
        <f aca="false">IF($D22="","",SUMPRODUCT((COUNTIFS(Log!$D$4:$D$1203,$A22,Log!$E$4:$E$1203,"A",Log!$B$4:$B$1203,Einheiten!$A$4:$A$63)&gt;0)*1))</f>
        <v/>
      </c>
      <c r="D22" s="83" t="str">
        <f aca="false">IF($A22="","",IF(COUNTIFS(Log!$D$4:$D$1203,$A22,Log!$E$4:$E$1203,"A")=0,"",COUNTIFS(Log!$D$4:$D$1203,$A22,Log!$E$4:$E$1203,"A")))</f>
        <v/>
      </c>
      <c r="E22" s="83" t="str">
        <f aca="false">IF($D22="","",SUMIFS(Log!$I$4:$I$1203,Log!$D$4:$D$1203,$A22,Log!$E$4:$E$1203,"A"))</f>
        <v/>
      </c>
      <c r="F22" s="98" t="str">
        <f aca="false">IF($D22="","",IF(SUMPRODUCT(MAX((Log!$D$4:$D$1203=$A22)*(Log!$E$4:$E$1203="A")*(Log!$F$4:$F$1203&lt;&gt;"")*Log!$F$4:$F$1203))=0,"",SUMPRODUCT(MAX((Log!$D$4:$D$1203=$A22)*(Log!$E$4:$E$1203="A")*(Log!$F$4:$F$1203&lt;&gt;"")*Log!$F$4:$F$1203))))</f>
        <v/>
      </c>
      <c r="G22" s="83" t="str">
        <f aca="false">IF($F22="","",SUMPRODUCT(MAX((Log!$D$4:$D$1203=$A22)*(Log!$E$4:$E$1203="A")*(Log!$F$4:$F$1203=$F22)*Log!$B$4:$B$1203)))</f>
        <v/>
      </c>
      <c r="H22" s="98" t="str">
        <f aca="false">IF($D22="","",IF(SUMPRODUCT(MAX((Log!$D$4:$D$1203=$A22)*(Log!$E$4:$E$1203="A")*(Log!$F$4:$F$1203&lt;&gt;"")*(Log!$G$4:$G$1203&lt;&gt;"")*Log!$F$4:$F$1203*(1+Log!$G$4:$G$1203/30)))=0,"",SUMPRODUCT(MAX((Log!$D$4:$D$1203=$A22)*(Log!$E$4:$E$1203="A")*(Log!$F$4:$F$1203&lt;&gt;"")*(Log!$G$4:$G$1203&lt;&gt;"")*Log!$F$4:$F$1203*(1+Log!$G$4:$G$1203/30)))))</f>
        <v/>
      </c>
      <c r="I22" s="83" t="str">
        <f aca="false">IF($H22="","",SUMPRODUCT(MAX((Log!$D$4:$D$1203=$A22)*(Log!$E$4:$E$1203="A")*(Log!$F$4:$F$1203&lt;&gt;"")*(Log!$G$4:$G$1203&lt;&gt;"")*(ROUND(Log!$F$4:$F$1203*(1+Log!$G$4:$G$1203/30),6)=ROUND($H22,6))*Log!$B$4:$B$1203)))</f>
        <v/>
      </c>
      <c r="J22" s="83" t="str">
        <f aca="false">IF($D22="","",IF(SUMPRODUCT(MAX((Log!$D$4:$D$1203=$A22)*(Log!$E$4:$E$1203="A")*(Log!$F$4:$F$1203&lt;&gt;"")*(Log!$G$4:$G$1203&lt;&gt;"")*Log!$F$4:$F$1203*Log!$G$4:$G$1203))=0,"",SUMPRODUCT(MAX((Log!$D$4:$D$1203=$A22)*(Log!$E$4:$E$1203="A")*(Log!$F$4:$F$1203&lt;&gt;"")*(Log!$G$4:$G$1203&lt;&gt;"")*Log!$F$4:$F$1203*Log!$G$4:$G$1203))))</f>
        <v/>
      </c>
      <c r="K22" s="83" t="str">
        <f aca="false">IF($D22="","",IF(SUMPRODUCT(MAX((Log!$D$4:$D$1203=$A22)*(Log!$E$4:$E$1203="A")*Log!$B$4:$B$1203))=0,"",SUMPRODUCT(MAX((Log!$D$4:$D$1203=$A22)*(Log!$E$4:$E$1203="A")*Log!$B$4:$B$1203))))</f>
        <v/>
      </c>
      <c r="L22" s="86" t="str">
        <f aca="false">IF($K22="","",IF(SUMPRODUCT(MAX((Log!$D$4:$D$1203=$A22)*(Log!$B$4:$B$1203=$K22)*(Log!$E$4:$E$1203="A")*(Log!$F$4:$F$1203&lt;&gt;"")*Log!$F$4:$F$1203))=0,"",SUMPRODUCT(MAX((Log!$D$4:$D$1203=$A22)*(Log!$B$4:$B$1203=$K22)*(Log!$E$4:$E$1203="A")*(Log!$F$4:$F$1203&lt;&gt;"")*Log!$F$4:$F$1203))))</f>
        <v/>
      </c>
      <c r="M22" s="83" t="str">
        <f aca="false">IF($L22="","",IF(SUMPRODUCT(MAX((Log!$D$4:$D$1203=$A22)*(Log!$B$4:$B$1203=$K22)*(Log!$E$4:$E$1203="A")*(Log!$F$4:$F$1203=$L22)*Log!$G$4:$G$1203))=0,"",SUMPRODUCT(MAX((Log!$D$4:$D$1203=$A22)*(Log!$B$4:$B$1203=$K22)*(Log!$E$4:$E$1203="A")*(Log!$F$4:$F$1203=$L22)*Log!$G$4:$G$1203))))</f>
        <v/>
      </c>
      <c r="N22" s="83" t="str">
        <f aca="false">IF($L22="","",IF(SUMPRODUCT(MIN((Log!$D$4:$D$1203=$A22)*(Log!$B$4:$B$1203=$K22)*(Log!$E$4:$E$1203="A")*(Log!$F$4:$F$1203=$L22)*Log!$G$4:$G$1203+((Log!$D$4:$D$1203&lt;&gt;$A22)+(Log!$B$4:$B$1203&lt;&gt;$K22)+(Log!$E$4:$E$1203&lt;&gt;"A")+(Log!$F$4:$F$1203&lt;&gt;$L22)+(Log!$G$4:$G$1203="")&gt;0)*999))&gt;=999,"",SUMPRODUCT(MIN((Log!$D$4:$D$1203=$A22)*(Log!$B$4:$B$1203=$K22)*(Log!$E$4:$E$1203="A")*(Log!$F$4:$F$1203=$L22)*Log!$G$4:$G$1203+((Log!$D$4:$D$1203&lt;&gt;$A22)+(Log!$B$4:$B$1203&lt;&gt;$K22)+(Log!$E$4:$E$1203&lt;&gt;"A")+(Log!$F$4:$F$1203&lt;&gt;$L22)+(Log!$G$4:$G$1203="")&gt;0)*999))))</f>
        <v/>
      </c>
      <c r="O22" s="99" t="str">
        <f aca="false">IF(IF($L22="",IF(Übungen!$H22="","",Übungen!$H22),IF(AND($L22&lt;&gt;"",$N22&lt;&gt;"",Übungen!$E22&lt;&gt;"",$N22&gt;=Übungen!$E22+2),IF(Übungen!$I22="",MAX(IF(IF(Übungen!$J22="",0,Übungen!$J22)=0,ROUND($L22*1.01*2,0)/2,CEILING($L22*1.01/IF(Übungen!$J22="",0,Übungen!$J22),1)*IF(Übungen!$J22="",0,Übungen!$J22)),IF(IF(Übungen!$J22="",0,Übungen!$J22)=0,ROUND((($L22*(1+$N22/30))/(1+Übungen!$E22/30))*2,0)/2,FLOOR((($L22*(1+$N22/30))/(1+Übungen!$E22/30))/IF(Übungen!$J22="",0,Übungen!$J22),1)*IF(Übungen!$J22="",0,Übungen!$J22))),MIN(MAX(IF(IF(Übungen!$J22="",0,Übungen!$J22)=0,ROUND($L22*1.01*2,0)/2,CEILING($L22*1.01/IF(Übungen!$J22="",0,Übungen!$J22),1)*IF(Übungen!$J22="",0,Übungen!$J22)),IF(IF(Übungen!$J22="",0,Übungen!$J22)=0,ROUND((($L22*(1+$N22/30))/(1+Übungen!$E22/30))*2,0)/2,FLOOR((($L22*(1+$N22/30))/(1+Übungen!$E22/30))/IF(Übungen!$J22="",0,Übungen!$J22),1)*IF(Übungen!$J22="",0,Übungen!$J22))),Übungen!$I22)),IF(AND($N22&lt;&gt;"",Übungen!$E22&lt;&gt;"",$N22&gt;=Übungen!$E22),IF(Übungen!$I22="",IF(IF(Übungen!$J22="",0,Übungen!$J22)=0,ROUND($L22*1.01*2,0)/2,CEILING($L22*1.01/IF(Übungen!$J22="",0,Übungen!$J22),1)*IF(Übungen!$J22="",0,Übungen!$J22)),MIN(IF(IF(Übungen!$J22="",0,Übungen!$J22)=0,ROUND($L22*1.01*2,0)/2,CEILING($L22*1.01/IF(Übungen!$J22="",0,Übungen!$J22),1)*IF(Übungen!$J22="",0,Übungen!$J22)),Übungen!$I22)),$L22)))="","",IF(OR(Übungen!$K22="",Übungen!$K22=100),IF($L22="",IF(Übungen!$H22="","",Übungen!$H22),IF(AND($L22&lt;&gt;"",$N22&lt;&gt;"",Übungen!$E22&lt;&gt;"",$N22&gt;=Übungen!$E22+2),IF(Übungen!$I22="",MAX(IF(IF(Übungen!$J22="",0,Übungen!$J22)=0,ROUND($L22*1.01*2,0)/2,CEILING($L22*1.01/IF(Übungen!$J22="",0,Übungen!$J22),1)*IF(Übungen!$J22="",0,Übungen!$J22)),IF(IF(Übungen!$J22="",0,Übungen!$J22)=0,ROUND((($L22*(1+$N22/30))/(1+Übungen!$E22/30))*2,0)/2,FLOOR((($L22*(1+$N22/30))/(1+Übungen!$E22/30))/IF(Übungen!$J22="",0,Übungen!$J22),1)*IF(Übungen!$J22="",0,Übungen!$J22))),MIN(MAX(IF(IF(Übungen!$J22="",0,Übungen!$J22)=0,ROUND($L22*1.01*2,0)/2,CEILING($L22*1.01/IF(Übungen!$J22="",0,Übungen!$J22),1)*IF(Übungen!$J22="",0,Übungen!$J22)),IF(IF(Übungen!$J22="",0,Übungen!$J22)=0,ROUND((($L22*(1+$N22/30))/(1+Übungen!$E22/30))*2,0)/2,FLOOR((($L22*(1+$N22/30))/(1+Übungen!$E22/30))/IF(Übungen!$J22="",0,Übungen!$J22),1)*IF(Übungen!$J22="",0,Übungen!$J22))),Übungen!$I22)),IF(AND($N22&lt;&gt;"",Übungen!$E22&lt;&gt;"",$N22&gt;=Übungen!$E22),IF(Übungen!$I22="",IF(IF(Übungen!$J22="",0,Übungen!$J22)=0,ROUND($L22*1.01*2,0)/2,CEILING($L22*1.01/IF(Übungen!$J22="",0,Übungen!$J22),1)*IF(Übungen!$J22="",0,Übungen!$J22)),MIN(IF(IF(Übungen!$J22="",0,Übungen!$J22)=0,ROUND($L22*1.01*2,0)/2,CEILING($L22*1.01/IF(Übungen!$J22="",0,Übungen!$J22),1)*IF(Übungen!$J22="",0,Übungen!$J22)),Übungen!$I22)),$L22))),FLOOR(IF($L22="",IF(Übungen!$H22="","",Übungen!$H22),IF(AND($L22&lt;&gt;"",$N22&lt;&gt;"",Übungen!$E22&lt;&gt;"",$N22&gt;=Übungen!$E22+2),IF(Übungen!$I22="",MAX(IF(IF(Übungen!$J22="",0,Übungen!$J22)=0,ROUND($L22*1.01*2,0)/2,CEILING($L22*1.01/IF(Übungen!$J22="",0,Übungen!$J22),1)*IF(Übungen!$J22="",0,Übungen!$J22)),IF(IF(Übungen!$J22="",0,Übungen!$J22)=0,ROUND((($L22*(1+$N22/30))/(1+Übungen!$E22/30))*2,0)/2,FLOOR((($L22*(1+$N22/30))/(1+Übungen!$E22/30))/IF(Übungen!$J22="",0,Übungen!$J22),1)*IF(Übungen!$J22="",0,Übungen!$J22))),MIN(MAX(IF(IF(Übungen!$J22="",0,Übungen!$J22)=0,ROUND($L22*1.01*2,0)/2,CEILING($L22*1.01/IF(Übungen!$J22="",0,Übungen!$J22),1)*IF(Übungen!$J22="",0,Übungen!$J22)),IF(IF(Übungen!$J22="",0,Übungen!$J22)=0,ROUND((($L22*(1+$N22/30))/(1+Übungen!$E22/30))*2,0)/2,FLOOR((($L22*(1+$N22/30))/(1+Übungen!$E22/30))/IF(Übungen!$J22="",0,Übungen!$J22),1)*IF(Übungen!$J22="",0,Übungen!$J22))),Übungen!$I22)),IF(AND($N22&lt;&gt;"",Übungen!$E22&lt;&gt;"",$N22&gt;=Übungen!$E22),IF(Übungen!$I22="",IF(IF(Übungen!$J22="",0,Übungen!$J22)=0,ROUND($L22*1.01*2,0)/2,CEILING($L22*1.01/IF(Übungen!$J22="",0,Übungen!$J22),1)*IF(Übungen!$J22="",0,Übungen!$J22)),MIN(IF(IF(Übungen!$J22="",0,Übungen!$J22)=0,ROUND($L22*1.01*2,0)/2,CEILING($L22*1.01/IF(Übungen!$J22="",0,Übungen!$J22),1)*IF(Übungen!$J22="",0,Übungen!$J22)),Übungen!$I22)),$L22)))*Übungen!$K22/100/Übungen!$J22,1)*Übungen!$J22))</f>
        <v/>
      </c>
      <c r="P22" s="100" t="str">
        <f aca="false">IF(Übungen!$D22="","",IF($O22="","",IF($L22="",Übungen!$D22,IF(AND($N22&lt;&gt;"",Übungen!$E22&lt;&gt;"",$N22&gt;=Übungen!$E22),Übungen!$D22,IF(OR($N22="",$N22&lt;Übungen!$D22),Übungen!$D22,MIN(Übungen!$E22,$N22+1))))))</f>
        <v/>
      </c>
      <c r="Q22" s="91" t="str">
        <f aca="false">IF(AND(AND($L22&lt;&gt;"",$N22&lt;&gt;"",Übungen!$E22&lt;&gt;"",$N22&gt;=Übungen!$E22+2),$O22&gt;$L22),"RM-Korrektur nach "&amp;TEXT($N22,"0")&amp;" Wdh: +"&amp;TEXT($O22-$L22,"0.#")&amp;" kg ("&amp;TEXT(($O22-$L22)/$L22,"0.0%")&amp;"), Wdh zurück auf "&amp;Übungen!$D22,IF($O22="","",IF($L22="","Einstieg mit Startgewicht",IF(AND(AND($N22&lt;&gt;"",Übungen!$E22&lt;&gt;"",$N22&gt;=Übungen!$E22),$O22&gt;$L22),"Gewicht +"&amp;TEXT($O22-$L22,"0.#")&amp;" kg ("&amp;TEXT(($O22-$L22)/$L22,"0.0%")&amp;"), Wdh zurück auf "&amp;Übungen!$D22,IF(AND(AND($N22&lt;&gt;"",Übungen!$E22&lt;&gt;"",$N22&gt;=Übungen!$E22),Übungen!$J22=""),"Zielbereich voll - dafür fehlt 'Schritt (kg)' im Blatt Übungen",IF(AND($N22&lt;&gt;"",Übungen!$E22&lt;&gt;"",$N22&gt;=Übungen!$E22),"Obergrenze erreicht - über Tempo und Pausen steigern",IF(OR($N22="",$N22&lt;Übungen!$D22),"Gewicht halten, erst "&amp;Übungen!$D22&amp;" Wdh sauber schaffen","Wdh +1 auf "&amp;$P22&amp;" bei gleichem Gewicht")))))))</f>
        <v/>
      </c>
    </row>
    <row r="23" customFormat="false" ht="18" hidden="false" customHeight="true" outlineLevel="0" collapsed="false">
      <c r="A23" s="40" t="str">
        <f aca="false">IF(Übungen!$A23="","",Übungen!$A23)</f>
        <v/>
      </c>
      <c r="B23" s="4" t="str">
        <f aca="false">IF(Übungen!$B23="","",Übungen!$B23)</f>
        <v/>
      </c>
      <c r="C23" s="85" t="str">
        <f aca="false">IF($D23="","",SUMPRODUCT((COUNTIFS(Log!$D$4:$D$1203,$A23,Log!$E$4:$E$1203,"A",Log!$B$4:$B$1203,Einheiten!$A$4:$A$63)&gt;0)*1))</f>
        <v/>
      </c>
      <c r="D23" s="85" t="str">
        <f aca="false">IF($A23="","",IF(COUNTIFS(Log!$D$4:$D$1203,$A23,Log!$E$4:$E$1203,"A")=0,"",COUNTIFS(Log!$D$4:$D$1203,$A23,Log!$E$4:$E$1203,"A")))</f>
        <v/>
      </c>
      <c r="E23" s="85" t="str">
        <f aca="false">IF($D23="","",SUMIFS(Log!$I$4:$I$1203,Log!$D$4:$D$1203,$A23,Log!$E$4:$E$1203,"A"))</f>
        <v/>
      </c>
      <c r="F23" s="101" t="str">
        <f aca="false">IF($D23="","",IF(SUMPRODUCT(MAX((Log!$D$4:$D$1203=$A23)*(Log!$E$4:$E$1203="A")*(Log!$F$4:$F$1203&lt;&gt;"")*Log!$F$4:$F$1203))=0,"",SUMPRODUCT(MAX((Log!$D$4:$D$1203=$A23)*(Log!$E$4:$E$1203="A")*(Log!$F$4:$F$1203&lt;&gt;"")*Log!$F$4:$F$1203))))</f>
        <v/>
      </c>
      <c r="G23" s="85" t="str">
        <f aca="false">IF($F23="","",SUMPRODUCT(MAX((Log!$D$4:$D$1203=$A23)*(Log!$E$4:$E$1203="A")*(Log!$F$4:$F$1203=$F23)*Log!$B$4:$B$1203)))</f>
        <v/>
      </c>
      <c r="H23" s="101" t="str">
        <f aca="false">IF($D23="","",IF(SUMPRODUCT(MAX((Log!$D$4:$D$1203=$A23)*(Log!$E$4:$E$1203="A")*(Log!$F$4:$F$1203&lt;&gt;"")*(Log!$G$4:$G$1203&lt;&gt;"")*Log!$F$4:$F$1203*(1+Log!$G$4:$G$1203/30)))=0,"",SUMPRODUCT(MAX((Log!$D$4:$D$1203=$A23)*(Log!$E$4:$E$1203="A")*(Log!$F$4:$F$1203&lt;&gt;"")*(Log!$G$4:$G$1203&lt;&gt;"")*Log!$F$4:$F$1203*(1+Log!$G$4:$G$1203/30)))))</f>
        <v/>
      </c>
      <c r="I23" s="85" t="str">
        <f aca="false">IF($H23="","",SUMPRODUCT(MAX((Log!$D$4:$D$1203=$A23)*(Log!$E$4:$E$1203="A")*(Log!$F$4:$F$1203&lt;&gt;"")*(Log!$G$4:$G$1203&lt;&gt;"")*(ROUND(Log!$F$4:$F$1203*(1+Log!$G$4:$G$1203/30),6)=ROUND($H23,6))*Log!$B$4:$B$1203)))</f>
        <v/>
      </c>
      <c r="J23" s="85" t="str">
        <f aca="false">IF($D23="","",IF(SUMPRODUCT(MAX((Log!$D$4:$D$1203=$A23)*(Log!$E$4:$E$1203="A")*(Log!$F$4:$F$1203&lt;&gt;"")*(Log!$G$4:$G$1203&lt;&gt;"")*Log!$F$4:$F$1203*Log!$G$4:$G$1203))=0,"",SUMPRODUCT(MAX((Log!$D$4:$D$1203=$A23)*(Log!$E$4:$E$1203="A")*(Log!$F$4:$F$1203&lt;&gt;"")*(Log!$G$4:$G$1203&lt;&gt;"")*Log!$F$4:$F$1203*Log!$G$4:$G$1203))))</f>
        <v/>
      </c>
      <c r="K23" s="85" t="str">
        <f aca="false">IF($D23="","",IF(SUMPRODUCT(MAX((Log!$D$4:$D$1203=$A23)*(Log!$E$4:$E$1203="A")*Log!$B$4:$B$1203))=0,"",SUMPRODUCT(MAX((Log!$D$4:$D$1203=$A23)*(Log!$E$4:$E$1203="A")*Log!$B$4:$B$1203))))</f>
        <v/>
      </c>
      <c r="L23" s="88" t="str">
        <f aca="false">IF($K23="","",IF(SUMPRODUCT(MAX((Log!$D$4:$D$1203=$A23)*(Log!$B$4:$B$1203=$K23)*(Log!$E$4:$E$1203="A")*(Log!$F$4:$F$1203&lt;&gt;"")*Log!$F$4:$F$1203))=0,"",SUMPRODUCT(MAX((Log!$D$4:$D$1203=$A23)*(Log!$B$4:$B$1203=$K23)*(Log!$E$4:$E$1203="A")*(Log!$F$4:$F$1203&lt;&gt;"")*Log!$F$4:$F$1203))))</f>
        <v/>
      </c>
      <c r="M23" s="85" t="str">
        <f aca="false">IF($L23="","",IF(SUMPRODUCT(MAX((Log!$D$4:$D$1203=$A23)*(Log!$B$4:$B$1203=$K23)*(Log!$E$4:$E$1203="A")*(Log!$F$4:$F$1203=$L23)*Log!$G$4:$G$1203))=0,"",SUMPRODUCT(MAX((Log!$D$4:$D$1203=$A23)*(Log!$B$4:$B$1203=$K23)*(Log!$E$4:$E$1203="A")*(Log!$F$4:$F$1203=$L23)*Log!$G$4:$G$1203))))</f>
        <v/>
      </c>
      <c r="N23" s="85" t="str">
        <f aca="false">IF($L23="","",IF(SUMPRODUCT(MIN((Log!$D$4:$D$1203=$A23)*(Log!$B$4:$B$1203=$K23)*(Log!$E$4:$E$1203="A")*(Log!$F$4:$F$1203=$L23)*Log!$G$4:$G$1203+((Log!$D$4:$D$1203&lt;&gt;$A23)+(Log!$B$4:$B$1203&lt;&gt;$K23)+(Log!$E$4:$E$1203&lt;&gt;"A")+(Log!$F$4:$F$1203&lt;&gt;$L23)+(Log!$G$4:$G$1203="")&gt;0)*999))&gt;=999,"",SUMPRODUCT(MIN((Log!$D$4:$D$1203=$A23)*(Log!$B$4:$B$1203=$K23)*(Log!$E$4:$E$1203="A")*(Log!$F$4:$F$1203=$L23)*Log!$G$4:$G$1203+((Log!$D$4:$D$1203&lt;&gt;$A23)+(Log!$B$4:$B$1203&lt;&gt;$K23)+(Log!$E$4:$E$1203&lt;&gt;"A")+(Log!$F$4:$F$1203&lt;&gt;$L23)+(Log!$G$4:$G$1203="")&gt;0)*999))))</f>
        <v/>
      </c>
      <c r="O23" s="102" t="str">
        <f aca="false">IF(IF($L23="",IF(Übungen!$H23="","",Übungen!$H23),IF(AND($L23&lt;&gt;"",$N23&lt;&gt;"",Übungen!$E23&lt;&gt;"",$N23&gt;=Übungen!$E23+2),IF(Übungen!$I23="",MAX(IF(IF(Übungen!$J23="",0,Übungen!$J23)=0,ROUND($L23*1.01*2,0)/2,CEILING($L23*1.01/IF(Übungen!$J23="",0,Übungen!$J23),1)*IF(Übungen!$J23="",0,Übungen!$J23)),IF(IF(Übungen!$J23="",0,Übungen!$J23)=0,ROUND((($L23*(1+$N23/30))/(1+Übungen!$E23/30))*2,0)/2,FLOOR((($L23*(1+$N23/30))/(1+Übungen!$E23/30))/IF(Übungen!$J23="",0,Übungen!$J23),1)*IF(Übungen!$J23="",0,Übungen!$J23))),MIN(MAX(IF(IF(Übungen!$J23="",0,Übungen!$J23)=0,ROUND($L23*1.01*2,0)/2,CEILING($L23*1.01/IF(Übungen!$J23="",0,Übungen!$J23),1)*IF(Übungen!$J23="",0,Übungen!$J23)),IF(IF(Übungen!$J23="",0,Übungen!$J23)=0,ROUND((($L23*(1+$N23/30))/(1+Übungen!$E23/30))*2,0)/2,FLOOR((($L23*(1+$N23/30))/(1+Übungen!$E23/30))/IF(Übungen!$J23="",0,Übungen!$J23),1)*IF(Übungen!$J23="",0,Übungen!$J23))),Übungen!$I23)),IF(AND($N23&lt;&gt;"",Übungen!$E23&lt;&gt;"",$N23&gt;=Übungen!$E23),IF(Übungen!$I23="",IF(IF(Übungen!$J23="",0,Übungen!$J23)=0,ROUND($L23*1.01*2,0)/2,CEILING($L23*1.01/IF(Übungen!$J23="",0,Übungen!$J23),1)*IF(Übungen!$J23="",0,Übungen!$J23)),MIN(IF(IF(Übungen!$J23="",0,Übungen!$J23)=0,ROUND($L23*1.01*2,0)/2,CEILING($L23*1.01/IF(Übungen!$J23="",0,Übungen!$J23),1)*IF(Übungen!$J23="",0,Übungen!$J23)),Übungen!$I23)),$L23)))="","",IF(OR(Übungen!$K23="",Übungen!$K23=100),IF($L23="",IF(Übungen!$H23="","",Übungen!$H23),IF(AND($L23&lt;&gt;"",$N23&lt;&gt;"",Übungen!$E23&lt;&gt;"",$N23&gt;=Übungen!$E23+2),IF(Übungen!$I23="",MAX(IF(IF(Übungen!$J23="",0,Übungen!$J23)=0,ROUND($L23*1.01*2,0)/2,CEILING($L23*1.01/IF(Übungen!$J23="",0,Übungen!$J23),1)*IF(Übungen!$J23="",0,Übungen!$J23)),IF(IF(Übungen!$J23="",0,Übungen!$J23)=0,ROUND((($L23*(1+$N23/30))/(1+Übungen!$E23/30))*2,0)/2,FLOOR((($L23*(1+$N23/30))/(1+Übungen!$E23/30))/IF(Übungen!$J23="",0,Übungen!$J23),1)*IF(Übungen!$J23="",0,Übungen!$J23))),MIN(MAX(IF(IF(Übungen!$J23="",0,Übungen!$J23)=0,ROUND($L23*1.01*2,0)/2,CEILING($L23*1.01/IF(Übungen!$J23="",0,Übungen!$J23),1)*IF(Übungen!$J23="",0,Übungen!$J23)),IF(IF(Übungen!$J23="",0,Übungen!$J23)=0,ROUND((($L23*(1+$N23/30))/(1+Übungen!$E23/30))*2,0)/2,FLOOR((($L23*(1+$N23/30))/(1+Übungen!$E23/30))/IF(Übungen!$J23="",0,Übungen!$J23),1)*IF(Übungen!$J23="",0,Übungen!$J23))),Übungen!$I23)),IF(AND($N23&lt;&gt;"",Übungen!$E23&lt;&gt;"",$N23&gt;=Übungen!$E23),IF(Übungen!$I23="",IF(IF(Übungen!$J23="",0,Übungen!$J23)=0,ROUND($L23*1.01*2,0)/2,CEILING($L23*1.01/IF(Übungen!$J23="",0,Übungen!$J23),1)*IF(Übungen!$J23="",0,Übungen!$J23)),MIN(IF(IF(Übungen!$J23="",0,Übungen!$J23)=0,ROUND($L23*1.01*2,0)/2,CEILING($L23*1.01/IF(Übungen!$J23="",0,Übungen!$J23),1)*IF(Übungen!$J23="",0,Übungen!$J23)),Übungen!$I23)),$L23))),FLOOR(IF($L23="",IF(Übungen!$H23="","",Übungen!$H23),IF(AND($L23&lt;&gt;"",$N23&lt;&gt;"",Übungen!$E23&lt;&gt;"",$N23&gt;=Übungen!$E23+2),IF(Übungen!$I23="",MAX(IF(IF(Übungen!$J23="",0,Übungen!$J23)=0,ROUND($L23*1.01*2,0)/2,CEILING($L23*1.01/IF(Übungen!$J23="",0,Übungen!$J23),1)*IF(Übungen!$J23="",0,Übungen!$J23)),IF(IF(Übungen!$J23="",0,Übungen!$J23)=0,ROUND((($L23*(1+$N23/30))/(1+Übungen!$E23/30))*2,0)/2,FLOOR((($L23*(1+$N23/30))/(1+Übungen!$E23/30))/IF(Übungen!$J23="",0,Übungen!$J23),1)*IF(Übungen!$J23="",0,Übungen!$J23))),MIN(MAX(IF(IF(Übungen!$J23="",0,Übungen!$J23)=0,ROUND($L23*1.01*2,0)/2,CEILING($L23*1.01/IF(Übungen!$J23="",0,Übungen!$J23),1)*IF(Übungen!$J23="",0,Übungen!$J23)),IF(IF(Übungen!$J23="",0,Übungen!$J23)=0,ROUND((($L23*(1+$N23/30))/(1+Übungen!$E23/30))*2,0)/2,FLOOR((($L23*(1+$N23/30))/(1+Übungen!$E23/30))/IF(Übungen!$J23="",0,Übungen!$J23),1)*IF(Übungen!$J23="",0,Übungen!$J23))),Übungen!$I23)),IF(AND($N23&lt;&gt;"",Übungen!$E23&lt;&gt;"",$N23&gt;=Übungen!$E23),IF(Übungen!$I23="",IF(IF(Übungen!$J23="",0,Übungen!$J23)=0,ROUND($L23*1.01*2,0)/2,CEILING($L23*1.01/IF(Übungen!$J23="",0,Übungen!$J23),1)*IF(Übungen!$J23="",0,Übungen!$J23)),MIN(IF(IF(Übungen!$J23="",0,Übungen!$J23)=0,ROUND($L23*1.01*2,0)/2,CEILING($L23*1.01/IF(Übungen!$J23="",0,Übungen!$J23),1)*IF(Übungen!$J23="",0,Übungen!$J23)),Übungen!$I23)),$L23)))*Übungen!$K23/100/Übungen!$J23,1)*Übungen!$J23))</f>
        <v/>
      </c>
      <c r="P23" s="103" t="str">
        <f aca="false">IF(Übungen!$D23="","",IF($O23="","",IF($L23="",Übungen!$D23,IF(AND($N23&lt;&gt;"",Übungen!$E23&lt;&gt;"",$N23&gt;=Übungen!$E23),Übungen!$D23,IF(OR($N23="",$N23&lt;Übungen!$D23),Übungen!$D23,MIN(Übungen!$E23,$N23+1))))))</f>
        <v/>
      </c>
      <c r="Q23" s="95" t="str">
        <f aca="false">IF(AND(AND($L23&lt;&gt;"",$N23&lt;&gt;"",Übungen!$E23&lt;&gt;"",$N23&gt;=Übungen!$E23+2),$O23&gt;$L23),"RM-Korrektur nach "&amp;TEXT($N23,"0")&amp;" Wdh: +"&amp;TEXT($O23-$L23,"0.#")&amp;" kg ("&amp;TEXT(($O23-$L23)/$L23,"0.0%")&amp;"), Wdh zurück auf "&amp;Übungen!$D23,IF($O23="","",IF($L23="","Einstieg mit Startgewicht",IF(AND(AND($N23&lt;&gt;"",Übungen!$E23&lt;&gt;"",$N23&gt;=Übungen!$E23),$O23&gt;$L23),"Gewicht +"&amp;TEXT($O23-$L23,"0.#")&amp;" kg ("&amp;TEXT(($O23-$L23)/$L23,"0.0%")&amp;"), Wdh zurück auf "&amp;Übungen!$D23,IF(AND(AND($N23&lt;&gt;"",Übungen!$E23&lt;&gt;"",$N23&gt;=Übungen!$E23),Übungen!$J23=""),"Zielbereich voll - dafür fehlt 'Schritt (kg)' im Blatt Übungen",IF(AND($N23&lt;&gt;"",Übungen!$E23&lt;&gt;"",$N23&gt;=Übungen!$E23),"Obergrenze erreicht - über Tempo und Pausen steigern",IF(OR($N23="",$N23&lt;Übungen!$D23),"Gewicht halten, erst "&amp;Übungen!$D23&amp;" Wdh sauber schaffen","Wdh +1 auf "&amp;$P23&amp;" bei gleichem Gewicht")))))))</f>
        <v/>
      </c>
    </row>
    <row r="25" customFormat="false" ht="30" hidden="false" customHeight="true" outlineLevel="0" collapsed="false">
      <c r="A25" s="43" t="s">
        <v>537</v>
      </c>
      <c r="B25" s="43"/>
      <c r="C25" s="43"/>
      <c r="D25" s="43"/>
      <c r="E25" s="43"/>
      <c r="F25" s="43"/>
      <c r="G25" s="43"/>
      <c r="H25" s="43"/>
      <c r="I25" s="43"/>
      <c r="J25" s="43"/>
      <c r="K25" s="43"/>
      <c r="L25" s="43"/>
      <c r="M25" s="43"/>
      <c r="N25" s="43"/>
      <c r="O25" s="43"/>
      <c r="P25" s="43"/>
      <c r="Q25" s="43"/>
    </row>
  </sheetData>
  <mergeCells count="3">
    <mergeCell ref="A1:N1"/>
    <mergeCell ref="A2:N2"/>
    <mergeCell ref="A25:Q25"/>
  </mergeCells>
  <conditionalFormatting sqref="A4:Q23">
    <cfRule type="expression" priority="2" aboveAverage="0" equalAverage="0" bottom="0" percent="0" rank="0" text="" dxfId="2">
      <formula>Übungen!$L4="nein"</formula>
    </cfRule>
  </conditionalFormatting>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&amp;K808080Rekorde</oddHeader>
    <oddFooter>&amp;L&amp;8 &amp;K808080Quelle: Löwin_Training_260727.pdf&amp;R&amp;8 &amp;K808080Seite &amp;P von &amp;N</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7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5"/>
    <col collapsed="false" customWidth="true" hidden="false" outlineLevel="0" max="3" min="3" style="0" width="11"/>
    <col collapsed="false" customWidth="true" hidden="false" outlineLevel="0" max="4" min="4" style="0" width="9"/>
    <col collapsed="false" customWidth="true" hidden="false" outlineLevel="0" max="5" min="5" style="0" width="13"/>
    <col collapsed="false" customWidth="true" hidden="false" outlineLevel="0" max="6" min="6" style="0" width="9"/>
    <col collapsed="false" customWidth="true" hidden="false" outlineLevel="0" max="7" min="7" style="0" width="8"/>
    <col collapsed="false" customWidth="true" hidden="false" outlineLevel="0" max="8" min="8" style="0" width="6"/>
    <col collapsed="false" customWidth="true" hidden="false" outlineLevel="0" max="9" min="9" style="0" width="43"/>
  </cols>
  <sheetData>
    <row r="1" customFormat="false" ht="27.75" hidden="false" customHeight="true" outlineLevel="0" collapsed="false">
      <c r="A1" s="1" t="s">
        <v>538</v>
      </c>
      <c r="B1" s="1"/>
      <c r="C1" s="1"/>
      <c r="D1" s="1"/>
      <c r="E1" s="1"/>
      <c r="F1" s="1"/>
      <c r="G1" s="1"/>
      <c r="H1" s="1"/>
      <c r="I1" s="1"/>
    </row>
    <row r="2" customFormat="false" ht="12" hidden="false" customHeight="true" outlineLevel="0" collapsed="false">
      <c r="A2" s="104" t="s">
        <v>75</v>
      </c>
      <c r="B2" s="104"/>
      <c r="C2" s="105" t="s">
        <v>539</v>
      </c>
      <c r="D2" s="105" t="s">
        <v>540</v>
      </c>
      <c r="E2" s="104" t="s">
        <v>541</v>
      </c>
      <c r="F2" s="104"/>
      <c r="G2" s="104" t="s">
        <v>542</v>
      </c>
      <c r="H2" s="104"/>
    </row>
    <row r="3" customFormat="false" ht="18" hidden="false" customHeight="true" outlineLevel="0" collapsed="false">
      <c r="A3" s="106"/>
      <c r="B3" s="106"/>
      <c r="C3" s="106"/>
      <c r="D3" s="106"/>
      <c r="E3" s="106"/>
      <c r="F3" s="106"/>
      <c r="G3" s="106"/>
      <c r="H3" s="106"/>
    </row>
    <row r="5" customFormat="false" ht="18.75" hidden="false" customHeight="true" outlineLevel="0" collapsed="false">
      <c r="A5" s="107" t="str">
        <f aca="false">Übungen!$A$4</f>
        <v>Beinpresse eng</v>
      </c>
      <c r="B5" s="107"/>
      <c r="C5" s="107"/>
      <c r="D5" s="107"/>
      <c r="E5" s="107"/>
      <c r="F5" s="107"/>
      <c r="G5" s="107"/>
      <c r="H5" s="107"/>
      <c r="I5" s="107"/>
    </row>
    <row r="6" customFormat="false" ht="13.5" hidden="false" customHeight="true" outlineLevel="0" collapsed="false">
      <c r="A6" s="108" t="str">
        <f aca="false">IF(OR(FALSE(),Übungen!$L$4="pause"),IF(Übungen!$L$4="pause","PAUSE - vorübergehend ausgesetzt, Grund im Blatt 'Übungen'     ·     ",""),IF(IFERROR(INDEX(Rekorde!$L$4:$L$23,MATCH(Übungen!$A$4,Rekorde!$A$4:$A$23,0)),"")="",IF(IFERROR(INDEX(Rekorde!$O$4:$O$23,MATCH(Übungen!$A$4,Rekorde!$A$4:$A$23,0)),"")="","Neu im Plan - Startgewicht im Blatt 'Übungen' eintragen     ·     ","Neu im Plan     ·     Start: "&amp;TEXT(IFERROR(INDEX(Rekorde!$O$4:$O$23,MATCH(Übungen!$A$4,Rekorde!$A$4:$A$23,0)),""),"0.#")&amp;" kg     ·     "),"Zuletzt: "&amp;TEXT(IFERROR(INDEX(Rekorde!$L$4:$L$23,MATCH(Übungen!$A$4,Rekorde!$A$4:$A$23,0)),""),"0.#")&amp;" kg × "&amp;IF(IFERROR(INDEX(Rekorde!$M$4:$M$23,MATCH(Übungen!$A$4,Rekorde!$A$4:$A$23,0)),"")="","?",TEXT(IFERROR(INDEX(Rekorde!$M$4:$M$23,MATCH(Übungen!$A$4,Rekorde!$A$4:$A$23,0)),""),"0"))&amp;" Wdh     ·     Bestwert: "&amp;TEXT(IFERROR(INDEX(Rekorde!$F$4:$F$23,MATCH(Übungen!$A$4,Rekorde!$A$4:$A$23,0)),""),"0.#")&amp;" kg     ·     "&amp;IF(IFERROR(INDEX(Rekorde!$O$4:$O$23,MATCH(Übungen!$A$4,Rekorde!$A$4:$A$23,0)),"")="","","Ziel heute: "&amp;TEXT(IFERROR(INDEX(Rekorde!$O$4:$O$23,MATCH(Übungen!$A$4,Rekorde!$A$4:$A$23,0)),""),"0.#")&amp;" kg × "&amp;IF(IFERROR(INDEX(Rekorde!$P$4:$P$23,MATCH(Übungen!$A$4,Rekorde!$A$4:$A$23,0)),"")="","",TEXT(IFERROR(INDEX(Rekorde!$P$4:$P$23,MATCH(Übungen!$A$4,Rekorde!$A$4:$A$23,0)),""),"0")&amp;" Wdh")&amp;"     ·     ")&amp;IF(AND(Übungen!$I$4&lt;&gt;"",IFERROR(INDEX(Rekorde!$O$4:$O$23,MATCH(Übungen!$A$4,Rekorde!$A$4:$A$23,0)),"")&lt;&gt;"",IFERROR(INDEX(Rekorde!$O$4:$O$23,MATCH(Übungen!$A$4,Rekorde!$A$4:$A$23,0)),"")&gt;=Übungen!$I$4),"Stackende, über Tempo und Pausen steigern     ·     ","")))</f>
        <v>Zuletzt: 300 kg × 6 Wdh     ·     Bestwert: 333 kg     ·     Ziel heute: 305 kg × 5 Wdh     ·     </v>
      </c>
      <c r="B6" s="108"/>
      <c r="C6" s="108"/>
      <c r="D6" s="108"/>
      <c r="E6" s="108"/>
      <c r="F6" s="108"/>
      <c r="G6" s="108"/>
      <c r="H6" s="108"/>
      <c r="I6" s="108"/>
    </row>
    <row r="7" customFormat="false" ht="13.5" hidden="false" customHeight="true" outlineLevel="0" collapsed="false">
      <c r="A7" s="109" t="str">
        <f aca="false">"Vorgabe: "&amp;Übungen!$F$4&amp;" × "&amp;Übungen!$D$4&amp;"-"&amp;Übungen!$E$4&amp;" Wdh @ RPE "&amp;Übungen!$G$4&amp;IF(OR(Übungen!$M$4="",Übungen!$M$4&lt;=1),"","     ·     nach OP gesperrt bis Woche "&amp;Übungen!$M$4)&amp;IF(OR(FALSE(),Übungen!$L$4="pause"),"",IF(AND(Übungen!$K$4&lt;&gt;"",Übungen!$K$4&lt;&gt;100),"     ·     Wiedereinstieg: "&amp;TEXT(Übungen!$K$4,"0")&amp;" % des berechneten Ziels",IF(IFERROR(INDEX(Rekorde!$Q$4:$Q$23,MATCH(Übungen!$A$4,Rekorde!$A$4:$A$23,0)),"")="","","     ·     Schritt: "&amp;IFERROR(INDEX(Rekorde!$Q$4:$Q$23,MATCH(Übungen!$A$4,Rekorde!$A$4:$A$23,0)),""))))</f>
        <v>Vorgabe: 3 × 5-6 Wdh @ RPE 8-9     ·     nach OP gesperrt bis Woche 6     ·     Schritt: Gewicht +5 kg (1.7%), Wdh zurück auf 5</v>
      </c>
      <c r="B7" s="109"/>
      <c r="C7" s="109"/>
      <c r="D7" s="109"/>
      <c r="E7" s="109"/>
      <c r="F7" s="109"/>
      <c r="G7" s="109"/>
      <c r="H7" s="109"/>
      <c r="I7" s="109"/>
    </row>
    <row r="8" customFormat="false" ht="18" hidden="false" customHeight="true" outlineLevel="0" collapsed="false">
      <c r="A8" s="110" t="s">
        <v>543</v>
      </c>
      <c r="B8" s="110" t="s">
        <v>544</v>
      </c>
      <c r="C8" s="110" t="s">
        <v>545</v>
      </c>
      <c r="D8" s="110" t="s">
        <v>546</v>
      </c>
      <c r="E8" s="110" t="s">
        <v>547</v>
      </c>
      <c r="F8" s="110" t="s">
        <v>454</v>
      </c>
      <c r="G8" s="110" t="s">
        <v>50</v>
      </c>
      <c r="H8" s="110" t="s">
        <v>548</v>
      </c>
      <c r="I8" s="110" t="s">
        <v>256</v>
      </c>
    </row>
    <row r="9" customFormat="false" ht="18" hidden="false" customHeight="true" outlineLevel="0" collapsed="false">
      <c r="A9" s="72" t="n">
        <v>1</v>
      </c>
      <c r="B9" s="70" t="s">
        <v>549</v>
      </c>
      <c r="C9" s="111" t="n">
        <f aca="false">IF(OR(FALSE(),Übungen!$L$4="pause"),"",IF(IFERROR(INDEX(Rekorde!$O$4:$O$23,MATCH(Übungen!$A$4,Rekorde!$A$4:$A$23,0)),"")="","",ROUND(IFERROR(INDEX(Rekorde!$O$4:$O$23,MATCH(Übungen!$A$4,Rekorde!$A$4:$A$23,0)),"")*0.4*2,0)/2))</f>
        <v>122</v>
      </c>
      <c r="D9" s="112"/>
      <c r="E9" s="113"/>
      <c r="F9" s="113"/>
      <c r="G9" s="113"/>
      <c r="H9" s="113"/>
      <c r="I9" s="113"/>
    </row>
    <row r="10" customFormat="false" ht="18" hidden="false" customHeight="true" outlineLevel="0" collapsed="false">
      <c r="A10" s="72" t="n">
        <v>2</v>
      </c>
      <c r="B10" s="70" t="s">
        <v>550</v>
      </c>
      <c r="C10" s="111" t="n">
        <f aca="false">IF(OR(FALSE(),Übungen!$L$4="pause"),"",IF(IFERROR(INDEX(Rekorde!$O$4:$O$23,MATCH(Übungen!$A$4,Rekorde!$A$4:$A$23,0)),"")="","",ROUND(IFERROR(INDEX(Rekorde!$O$4:$O$23,MATCH(Übungen!$A$4,Rekorde!$A$4:$A$23,0)),"")*0.7*2,0)/2))</f>
        <v>213.5</v>
      </c>
      <c r="D10" s="112"/>
      <c r="E10" s="113"/>
      <c r="F10" s="113"/>
      <c r="G10" s="113"/>
      <c r="H10" s="113"/>
      <c r="I10" s="113"/>
    </row>
    <row r="11" customFormat="false" ht="18" hidden="false" customHeight="true" outlineLevel="0" collapsed="false">
      <c r="A11" s="72" t="n">
        <v>3</v>
      </c>
      <c r="B11" s="114" t="s">
        <v>551</v>
      </c>
      <c r="C11" s="115" t="n">
        <f aca="false">IF(OR(FALSE(),Übungen!$L$4="pause"),"",IF(IFERROR(INDEX(Rekorde!$O$4:$O$23,MATCH(Übungen!$A$4,Rekorde!$A$4:$A$23,0)),"")="","",ROUND(IFERROR(INDEX(Rekorde!$O$4:$O$23,MATCH(Übungen!$A$4,Rekorde!$A$4:$A$23,0)),"")*1*2,0)/2))</f>
        <v>305</v>
      </c>
      <c r="D11" s="116" t="n">
        <f aca="false">IF(OR(FALSE(),Übungen!$L$4="pause"),"",IF(IFERROR(INDEX(Rekorde!$P$4:$P$23,MATCH(Übungen!$A$4,Rekorde!$A$4:$A$23,0)),"")="","",MIN(Übungen!$E$4,IFERROR(INDEX(Rekorde!$P$4:$P$23,MATCH(Übungen!$A$4,Rekorde!$A$4:$A$23,0)),"")+0)))</f>
        <v>5</v>
      </c>
      <c r="E11" s="113"/>
      <c r="F11" s="113"/>
      <c r="G11" s="113"/>
      <c r="H11" s="113"/>
      <c r="I11" s="113"/>
    </row>
    <row r="12" customFormat="false" ht="18" hidden="false" customHeight="true" outlineLevel="0" collapsed="false">
      <c r="A12" s="72" t="n">
        <v>4</v>
      </c>
      <c r="B12" s="114" t="s">
        <v>552</v>
      </c>
      <c r="C12" s="111" t="n">
        <f aca="false">IF(OR(FALSE(),Übungen!$L$4="pause"),"",IF(IFERROR(INDEX(Rekorde!$O$4:$O$23,MATCH(Übungen!$A$4,Rekorde!$A$4:$A$23,0)),"")="","",ROUND(IFERROR(INDEX(Rekorde!$O$4:$O$23,MATCH(Übungen!$A$4,Rekorde!$A$4:$A$23,0)),"")*0.95*2,0)/2))</f>
        <v>290</v>
      </c>
      <c r="D12" s="116" t="n">
        <f aca="false">IF(OR(FALSE(),Übungen!$L$4="pause"),"",IF(IFERROR(INDEX(Rekorde!$P$4:$P$23,MATCH(Übungen!$A$4,Rekorde!$A$4:$A$23,0)),"")="","",MIN(Übungen!$E$4,IFERROR(INDEX(Rekorde!$P$4:$P$23,MATCH(Übungen!$A$4,Rekorde!$A$4:$A$23,0)),"")+1)))</f>
        <v>6</v>
      </c>
      <c r="E12" s="113"/>
      <c r="F12" s="113"/>
      <c r="G12" s="113"/>
      <c r="H12" s="113"/>
      <c r="I12" s="113"/>
    </row>
    <row r="13" customFormat="false" ht="18" hidden="false" customHeight="true" outlineLevel="0" collapsed="false">
      <c r="A13" s="72" t="n">
        <v>5</v>
      </c>
      <c r="B13" s="114" t="s">
        <v>553</v>
      </c>
      <c r="C13" s="111" t="n">
        <f aca="false">IF(OR(FALSE(),Übungen!$L$4="pause"),"",IF(IFERROR(INDEX(Rekorde!$O$4:$O$23,MATCH(Übungen!$A$4,Rekorde!$A$4:$A$23,0)),"")="","",ROUND(IFERROR(INDEX(Rekorde!$O$4:$O$23,MATCH(Übungen!$A$4,Rekorde!$A$4:$A$23,0)),"")*0.9*2,0)/2))</f>
        <v>274.5</v>
      </c>
      <c r="D13" s="116" t="n">
        <f aca="false">IF(OR(FALSE(),Übungen!$L$4="pause"),"",IF(IFERROR(INDEX(Rekorde!$P$4:$P$23,MATCH(Übungen!$A$4,Rekorde!$A$4:$A$23,0)),"")="","",MIN(Übungen!$E$4,IFERROR(INDEX(Rekorde!$P$4:$P$23,MATCH(Übungen!$A$4,Rekorde!$A$4:$A$23,0)),"")+2)))</f>
        <v>6</v>
      </c>
      <c r="E13" s="113"/>
      <c r="F13" s="113"/>
      <c r="G13" s="113"/>
      <c r="H13" s="113"/>
      <c r="I13" s="113"/>
    </row>
    <row r="15" customFormat="false" ht="18.75" hidden="false" customHeight="true" outlineLevel="0" collapsed="false">
      <c r="A15" s="107" t="str">
        <f aca="false">Übungen!$A$5</f>
        <v>Split Squat</v>
      </c>
      <c r="B15" s="107"/>
      <c r="C15" s="107"/>
      <c r="D15" s="107"/>
      <c r="E15" s="107"/>
      <c r="F15" s="107"/>
      <c r="G15" s="107"/>
      <c r="H15" s="107"/>
      <c r="I15" s="107"/>
    </row>
    <row r="16" customFormat="false" ht="13.5" hidden="false" customHeight="true" outlineLevel="0" collapsed="false">
      <c r="A16" s="108" t="str">
        <f aca="false">IF(OR(FALSE(),Übungen!$L$5="pause"),IF(Übungen!$L$5="pause","PAUSE - vorübergehend ausgesetzt, Grund im Blatt 'Übungen'     ·     ",""),IF(IFERROR(INDEX(Rekorde!$L$4:$L$23,MATCH(Übungen!$A$5,Rekorde!$A$4:$A$23,0)),"")="",IF(IFERROR(INDEX(Rekorde!$O$4:$O$23,MATCH(Übungen!$A$5,Rekorde!$A$4:$A$23,0)),"")="","Neu im Plan - Startgewicht im Blatt 'Übungen' eintragen     ·     ","Neu im Plan     ·     Start: "&amp;TEXT(IFERROR(INDEX(Rekorde!$O$4:$O$23,MATCH(Übungen!$A$5,Rekorde!$A$4:$A$23,0)),""),"0.#")&amp;" kg     ·     "),"Zuletzt: "&amp;TEXT(IFERROR(INDEX(Rekorde!$L$4:$L$23,MATCH(Übungen!$A$5,Rekorde!$A$4:$A$23,0)),""),"0.#")&amp;" kg × "&amp;IF(IFERROR(INDEX(Rekorde!$M$4:$M$23,MATCH(Übungen!$A$5,Rekorde!$A$4:$A$23,0)),"")="","?",TEXT(IFERROR(INDEX(Rekorde!$M$4:$M$23,MATCH(Übungen!$A$5,Rekorde!$A$4:$A$23,0)),""),"0"))&amp;" Wdh     ·     Bestwert: "&amp;TEXT(IFERROR(INDEX(Rekorde!$F$4:$F$23,MATCH(Übungen!$A$5,Rekorde!$A$4:$A$23,0)),""),"0.#")&amp;" kg     ·     "&amp;IF(IFERROR(INDEX(Rekorde!$O$4:$O$23,MATCH(Übungen!$A$5,Rekorde!$A$4:$A$23,0)),"")="","","Ziel heute: "&amp;TEXT(IFERROR(INDEX(Rekorde!$O$4:$O$23,MATCH(Übungen!$A$5,Rekorde!$A$4:$A$23,0)),""),"0.#")&amp;" kg × "&amp;IF(IFERROR(INDEX(Rekorde!$P$4:$P$23,MATCH(Übungen!$A$5,Rekorde!$A$4:$A$23,0)),"")="","",TEXT(IFERROR(INDEX(Rekorde!$P$4:$P$23,MATCH(Übungen!$A$5,Rekorde!$A$4:$A$23,0)),""),"0")&amp;" Wdh")&amp;"     ·     ")&amp;IF(AND(Übungen!$I$5&lt;&gt;"",IFERROR(INDEX(Rekorde!$O$4:$O$23,MATCH(Übungen!$A$5,Rekorde!$A$4:$A$23,0)),"")&lt;&gt;"",IFERROR(INDEX(Rekorde!$O$4:$O$23,MATCH(Übungen!$A$5,Rekorde!$A$4:$A$23,0)),"")&gt;=Übungen!$I$5),"Stackende, über Tempo und Pausen steigern     ·     ","")))</f>
        <v>Zuletzt: 120 kg × 6 Wdh     ·     Bestwert: 120 kg     ·     Ziel heute: 122.5 kg × 5 Wdh     ·     </v>
      </c>
      <c r="B16" s="108"/>
      <c r="C16" s="108"/>
      <c r="D16" s="108"/>
      <c r="E16" s="108"/>
      <c r="F16" s="108"/>
      <c r="G16" s="108"/>
      <c r="H16" s="108"/>
      <c r="I16" s="108"/>
    </row>
    <row r="17" customFormat="false" ht="13.5" hidden="false" customHeight="true" outlineLevel="0" collapsed="false">
      <c r="A17" s="109" t="str">
        <f aca="false">"Vorgabe: "&amp;Übungen!$F$5&amp;" × "&amp;Übungen!$D$5&amp;"-"&amp;Übungen!$E$5&amp;" Wdh @ RPE "&amp;Übungen!$G$5&amp;IF(OR(Übungen!$M$5="",Übungen!$M$5&lt;=1),"","     ·     nach OP gesperrt bis Woche "&amp;Übungen!$M$5)&amp;IF(OR(FALSE(),Übungen!$L$5="pause"),"",IF(AND(Übungen!$K$5&lt;&gt;"",Übungen!$K$5&lt;&gt;100),"     ·     Wiedereinstieg: "&amp;TEXT(Übungen!$K$5,"0")&amp;" % des berechneten Ziels",IF(IFERROR(INDEX(Rekorde!$Q$4:$Q$23,MATCH(Übungen!$A$5,Rekorde!$A$4:$A$23,0)),"")="","","     ·     Schritt: "&amp;IFERROR(INDEX(Rekorde!$Q$4:$Q$23,MATCH(Übungen!$A$5,Rekorde!$A$4:$A$23,0)),""))))</f>
        <v>Vorgabe: 3 × 5-6 Wdh @ RPE 8     ·     nach OP gesperrt bis Woche 12     ·     Schritt: Gewicht +2.5 kg (2.1%), Wdh zurück auf 5</v>
      </c>
      <c r="B17" s="109"/>
      <c r="C17" s="109"/>
      <c r="D17" s="109"/>
      <c r="E17" s="109"/>
      <c r="F17" s="109"/>
      <c r="G17" s="109"/>
      <c r="H17" s="109"/>
      <c r="I17" s="109"/>
    </row>
    <row r="18" customFormat="false" ht="18" hidden="false" customHeight="true" outlineLevel="0" collapsed="false">
      <c r="A18" s="110" t="s">
        <v>543</v>
      </c>
      <c r="B18" s="110" t="s">
        <v>544</v>
      </c>
      <c r="C18" s="110" t="s">
        <v>545</v>
      </c>
      <c r="D18" s="110" t="s">
        <v>546</v>
      </c>
      <c r="E18" s="110" t="s">
        <v>547</v>
      </c>
      <c r="F18" s="110" t="s">
        <v>454</v>
      </c>
      <c r="G18" s="110" t="s">
        <v>50</v>
      </c>
      <c r="H18" s="110" t="s">
        <v>548</v>
      </c>
      <c r="I18" s="110" t="s">
        <v>256</v>
      </c>
    </row>
    <row r="19" customFormat="false" ht="18" hidden="false" customHeight="true" outlineLevel="0" collapsed="false">
      <c r="A19" s="72" t="n">
        <v>1</v>
      </c>
      <c r="B19" s="70" t="s">
        <v>549</v>
      </c>
      <c r="C19" s="111" t="n">
        <f aca="false">IF(OR(FALSE(),Übungen!$L$5="pause"),"",IF(IFERROR(INDEX(Rekorde!$O$4:$O$23,MATCH(Übungen!$A$5,Rekorde!$A$4:$A$23,0)),"")="","",ROUND(IFERROR(INDEX(Rekorde!$O$4:$O$23,MATCH(Übungen!$A$5,Rekorde!$A$4:$A$23,0)),"")*0.4*2,0)/2))</f>
        <v>49</v>
      </c>
      <c r="D19" s="112"/>
      <c r="E19" s="113"/>
      <c r="F19" s="113"/>
      <c r="G19" s="113"/>
      <c r="H19" s="113"/>
      <c r="I19" s="113"/>
    </row>
    <row r="20" customFormat="false" ht="18" hidden="false" customHeight="true" outlineLevel="0" collapsed="false">
      <c r="A20" s="72" t="n">
        <v>2</v>
      </c>
      <c r="B20" s="70" t="s">
        <v>550</v>
      </c>
      <c r="C20" s="111" t="n">
        <f aca="false">IF(OR(FALSE(),Übungen!$L$5="pause"),"",IF(IFERROR(INDEX(Rekorde!$O$4:$O$23,MATCH(Übungen!$A$5,Rekorde!$A$4:$A$23,0)),"")="","",ROUND(IFERROR(INDEX(Rekorde!$O$4:$O$23,MATCH(Übungen!$A$5,Rekorde!$A$4:$A$23,0)),"")*0.7*2,0)/2))</f>
        <v>86</v>
      </c>
      <c r="D20" s="112"/>
      <c r="E20" s="113"/>
      <c r="F20" s="113"/>
      <c r="G20" s="113"/>
      <c r="H20" s="113"/>
      <c r="I20" s="113"/>
    </row>
    <row r="21" customFormat="false" ht="18" hidden="false" customHeight="true" outlineLevel="0" collapsed="false">
      <c r="A21" s="72" t="n">
        <v>3</v>
      </c>
      <c r="B21" s="114" t="s">
        <v>551</v>
      </c>
      <c r="C21" s="115" t="n">
        <f aca="false">IF(OR(FALSE(),Übungen!$L$5="pause"),"",IF(IFERROR(INDEX(Rekorde!$O$4:$O$23,MATCH(Übungen!$A$5,Rekorde!$A$4:$A$23,0)),"")="","",ROUND(IFERROR(INDEX(Rekorde!$O$4:$O$23,MATCH(Übungen!$A$5,Rekorde!$A$4:$A$23,0)),"")*1*2,0)/2))</f>
        <v>122.5</v>
      </c>
      <c r="D21" s="116" t="n">
        <f aca="false">IF(OR(FALSE(),Übungen!$L$5="pause"),"",IF(IFERROR(INDEX(Rekorde!$P$4:$P$23,MATCH(Übungen!$A$5,Rekorde!$A$4:$A$23,0)),"")="","",MIN(Übungen!$E$5,IFERROR(INDEX(Rekorde!$P$4:$P$23,MATCH(Übungen!$A$5,Rekorde!$A$4:$A$23,0)),"")+0)))</f>
        <v>5</v>
      </c>
      <c r="E21" s="113"/>
      <c r="F21" s="113"/>
      <c r="G21" s="113"/>
      <c r="H21" s="113"/>
      <c r="I21" s="113"/>
    </row>
    <row r="22" customFormat="false" ht="18" hidden="false" customHeight="true" outlineLevel="0" collapsed="false">
      <c r="A22" s="72" t="n">
        <v>4</v>
      </c>
      <c r="B22" s="114" t="s">
        <v>552</v>
      </c>
      <c r="C22" s="111" t="n">
        <f aca="false">IF(OR(FALSE(),Übungen!$L$5="pause"),"",IF(IFERROR(INDEX(Rekorde!$O$4:$O$23,MATCH(Übungen!$A$5,Rekorde!$A$4:$A$23,0)),"")="","",ROUND(IFERROR(INDEX(Rekorde!$O$4:$O$23,MATCH(Übungen!$A$5,Rekorde!$A$4:$A$23,0)),"")*0.95*2,0)/2))</f>
        <v>116.5</v>
      </c>
      <c r="D22" s="116" t="n">
        <f aca="false">IF(OR(FALSE(),Übungen!$L$5="pause"),"",IF(IFERROR(INDEX(Rekorde!$P$4:$P$23,MATCH(Übungen!$A$5,Rekorde!$A$4:$A$23,0)),"")="","",MIN(Übungen!$E$5,IFERROR(INDEX(Rekorde!$P$4:$P$23,MATCH(Übungen!$A$5,Rekorde!$A$4:$A$23,0)),"")+1)))</f>
        <v>6</v>
      </c>
      <c r="E22" s="113"/>
      <c r="F22" s="113"/>
      <c r="G22" s="113"/>
      <c r="H22" s="113"/>
      <c r="I22" s="113"/>
    </row>
    <row r="23" customFormat="false" ht="18" hidden="false" customHeight="true" outlineLevel="0" collapsed="false">
      <c r="A23" s="72" t="n">
        <v>5</v>
      </c>
      <c r="B23" s="114" t="s">
        <v>553</v>
      </c>
      <c r="C23" s="111" t="n">
        <f aca="false">IF(OR(FALSE(),Übungen!$L$5="pause"),"",IF(IFERROR(INDEX(Rekorde!$O$4:$O$23,MATCH(Übungen!$A$5,Rekorde!$A$4:$A$23,0)),"")="","",ROUND(IFERROR(INDEX(Rekorde!$O$4:$O$23,MATCH(Übungen!$A$5,Rekorde!$A$4:$A$23,0)),"")*0.9*2,0)/2))</f>
        <v>110.5</v>
      </c>
      <c r="D23" s="116" t="n">
        <f aca="false">IF(OR(FALSE(),Übungen!$L$5="pause"),"",IF(IFERROR(INDEX(Rekorde!$P$4:$P$23,MATCH(Übungen!$A$5,Rekorde!$A$4:$A$23,0)),"")="","",MIN(Übungen!$E$5,IFERROR(INDEX(Rekorde!$P$4:$P$23,MATCH(Übungen!$A$5,Rekorde!$A$4:$A$23,0)),"")+2)))</f>
        <v>6</v>
      </c>
      <c r="E23" s="113"/>
      <c r="F23" s="113"/>
      <c r="G23" s="113"/>
      <c r="H23" s="113"/>
      <c r="I23" s="113"/>
    </row>
    <row r="25" customFormat="false" ht="18.75" hidden="false" customHeight="true" outlineLevel="0" collapsed="false">
      <c r="A25" s="107" t="str">
        <f aca="false">Übungen!$A$6</f>
        <v>Beinstrecker</v>
      </c>
      <c r="B25" s="107"/>
      <c r="C25" s="107"/>
      <c r="D25" s="107"/>
      <c r="E25" s="107"/>
      <c r="F25" s="107"/>
      <c r="G25" s="107"/>
      <c r="H25" s="107"/>
      <c r="I25" s="107"/>
    </row>
    <row r="26" customFormat="false" ht="13.5" hidden="false" customHeight="true" outlineLevel="0" collapsed="false">
      <c r="A26" s="108" t="str">
        <f aca="false">IF(OR(FALSE(),Übungen!$L$6="pause"),IF(Übungen!$L$6="pause","PAUSE - vorübergehend ausgesetzt, Grund im Blatt 'Übungen'     ·     ",""),IF(IFERROR(INDEX(Rekorde!$L$4:$L$23,MATCH(Übungen!$A$6,Rekorde!$A$4:$A$23,0)),"")="",IF(IFERROR(INDEX(Rekorde!$O$4:$O$23,MATCH(Übungen!$A$6,Rekorde!$A$4:$A$23,0)),"")="","Neu im Plan - Startgewicht im Blatt 'Übungen' eintragen     ·     ","Neu im Plan     ·     Start: "&amp;TEXT(IFERROR(INDEX(Rekorde!$O$4:$O$23,MATCH(Übungen!$A$6,Rekorde!$A$4:$A$23,0)),""),"0.#")&amp;" kg     ·     "),"Zuletzt: "&amp;TEXT(IFERROR(INDEX(Rekorde!$L$4:$L$23,MATCH(Übungen!$A$6,Rekorde!$A$4:$A$23,0)),""),"0.#")&amp;" kg × "&amp;IF(IFERROR(INDEX(Rekorde!$M$4:$M$23,MATCH(Übungen!$A$6,Rekorde!$A$4:$A$23,0)),"")="","?",TEXT(IFERROR(INDEX(Rekorde!$M$4:$M$23,MATCH(Übungen!$A$6,Rekorde!$A$4:$A$23,0)),""),"0"))&amp;" Wdh     ·     Bestwert: "&amp;TEXT(IFERROR(INDEX(Rekorde!$F$4:$F$23,MATCH(Übungen!$A$6,Rekorde!$A$4:$A$23,0)),""),"0.#")&amp;" kg     ·     "&amp;IF(IFERROR(INDEX(Rekorde!$O$4:$O$23,MATCH(Übungen!$A$6,Rekorde!$A$4:$A$23,0)),"")="","","Ziel heute: "&amp;TEXT(IFERROR(INDEX(Rekorde!$O$4:$O$23,MATCH(Übungen!$A$6,Rekorde!$A$4:$A$23,0)),""),"0.#")&amp;" kg × "&amp;IF(IFERROR(INDEX(Rekorde!$P$4:$P$23,MATCH(Übungen!$A$6,Rekorde!$A$4:$A$23,0)),"")="","",TEXT(IFERROR(INDEX(Rekorde!$P$4:$P$23,MATCH(Übungen!$A$6,Rekorde!$A$4:$A$23,0)),""),"0")&amp;" Wdh")&amp;"     ·     ")&amp;IF(AND(Übungen!$I$6&lt;&gt;"",IFERROR(INDEX(Rekorde!$O$4:$O$23,MATCH(Übungen!$A$6,Rekorde!$A$4:$A$23,0)),"")&lt;&gt;"",IFERROR(INDEX(Rekorde!$O$4:$O$23,MATCH(Übungen!$A$6,Rekorde!$A$4:$A$23,0)),"")&gt;=Übungen!$I$6),"Stackende, über Tempo und Pausen steigern     ·     ","")))</f>
        <v>Zuletzt: 95 kg × 5 Wdh     ·     Bestwert: 95 kg     ·     Ziel heute: 95 kg × 6 Wdh     ·     </v>
      </c>
      <c r="B26" s="108"/>
      <c r="C26" s="108"/>
      <c r="D26" s="108"/>
      <c r="E26" s="108"/>
      <c r="F26" s="108"/>
      <c r="G26" s="108"/>
      <c r="H26" s="108"/>
      <c r="I26" s="108"/>
    </row>
    <row r="27" customFormat="false" ht="13.5" hidden="false" customHeight="true" outlineLevel="0" collapsed="false">
      <c r="A27" s="109" t="str">
        <f aca="false">"Vorgabe: "&amp;Übungen!$F$6&amp;" × "&amp;Übungen!$D$6&amp;"-"&amp;Übungen!$E$6&amp;" Wdh @ RPE "&amp;Übungen!$G$6&amp;IF(OR(Übungen!$M$6="",Übungen!$M$6&lt;=1),"","     ·     nach OP gesperrt bis Woche "&amp;Übungen!$M$6)&amp;IF(OR(FALSE(),Übungen!$L$6="pause"),"",IF(AND(Übungen!$K$6&lt;&gt;"",Übungen!$K$6&lt;&gt;100),"     ·     Wiedereinstieg: "&amp;TEXT(Übungen!$K$6,"0")&amp;" % des berechneten Ziels",IF(IFERROR(INDEX(Rekorde!$Q$4:$Q$23,MATCH(Übungen!$A$6,Rekorde!$A$4:$A$23,0)),"")="","","     ·     Schritt: "&amp;IFERROR(INDEX(Rekorde!$Q$4:$Q$23,MATCH(Übungen!$A$6,Rekorde!$A$4:$A$23,0)),""))))</f>
        <v>Vorgabe: 3 × 5-6 Wdh @ RPE 9     ·     nach OP gesperrt bis Woche 2     ·     Schritt: Wdh +1 auf 6 bei gleichem Gewicht</v>
      </c>
      <c r="B27" s="109"/>
      <c r="C27" s="109"/>
      <c r="D27" s="109"/>
      <c r="E27" s="109"/>
      <c r="F27" s="109"/>
      <c r="G27" s="109"/>
      <c r="H27" s="109"/>
      <c r="I27" s="109"/>
    </row>
    <row r="28" customFormat="false" ht="18" hidden="false" customHeight="true" outlineLevel="0" collapsed="false">
      <c r="A28" s="110" t="s">
        <v>543</v>
      </c>
      <c r="B28" s="110" t="s">
        <v>544</v>
      </c>
      <c r="C28" s="110" t="s">
        <v>545</v>
      </c>
      <c r="D28" s="110" t="s">
        <v>546</v>
      </c>
      <c r="E28" s="110" t="s">
        <v>547</v>
      </c>
      <c r="F28" s="110" t="s">
        <v>454</v>
      </c>
      <c r="G28" s="110" t="s">
        <v>50</v>
      </c>
      <c r="H28" s="110" t="s">
        <v>548</v>
      </c>
      <c r="I28" s="110" t="s">
        <v>256</v>
      </c>
    </row>
    <row r="29" customFormat="false" ht="18" hidden="false" customHeight="true" outlineLevel="0" collapsed="false">
      <c r="A29" s="72" t="n">
        <v>1</v>
      </c>
      <c r="B29" s="70" t="s">
        <v>549</v>
      </c>
      <c r="C29" s="111" t="n">
        <f aca="false">IF(OR(FALSE(),Übungen!$L$6="pause"),"",IF(IFERROR(INDEX(Rekorde!$O$4:$O$23,MATCH(Übungen!$A$6,Rekorde!$A$4:$A$23,0)),"")="","",ROUND(IFERROR(INDEX(Rekorde!$O$4:$O$23,MATCH(Übungen!$A$6,Rekorde!$A$4:$A$23,0)),"")*0.4*2,0)/2))</f>
        <v>38</v>
      </c>
      <c r="D29" s="112"/>
      <c r="E29" s="113"/>
      <c r="F29" s="113"/>
      <c r="G29" s="113"/>
      <c r="H29" s="113"/>
      <c r="I29" s="113"/>
    </row>
    <row r="30" customFormat="false" ht="18" hidden="false" customHeight="true" outlineLevel="0" collapsed="false">
      <c r="A30" s="72" t="n">
        <v>2</v>
      </c>
      <c r="B30" s="70" t="s">
        <v>550</v>
      </c>
      <c r="C30" s="111" t="n">
        <f aca="false">IF(OR(FALSE(),Übungen!$L$6="pause"),"",IF(IFERROR(INDEX(Rekorde!$O$4:$O$23,MATCH(Übungen!$A$6,Rekorde!$A$4:$A$23,0)),"")="","",ROUND(IFERROR(INDEX(Rekorde!$O$4:$O$23,MATCH(Übungen!$A$6,Rekorde!$A$4:$A$23,0)),"")*0.7*2,0)/2))</f>
        <v>66.5</v>
      </c>
      <c r="D30" s="112"/>
      <c r="E30" s="113"/>
      <c r="F30" s="113"/>
      <c r="G30" s="113"/>
      <c r="H30" s="113"/>
      <c r="I30" s="113"/>
    </row>
    <row r="31" customFormat="false" ht="18" hidden="false" customHeight="true" outlineLevel="0" collapsed="false">
      <c r="A31" s="72" t="n">
        <v>3</v>
      </c>
      <c r="B31" s="114" t="s">
        <v>551</v>
      </c>
      <c r="C31" s="115" t="n">
        <f aca="false">IF(OR(FALSE(),Übungen!$L$6="pause"),"",IF(IFERROR(INDEX(Rekorde!$O$4:$O$23,MATCH(Übungen!$A$6,Rekorde!$A$4:$A$23,0)),"")="","",ROUND(IFERROR(INDEX(Rekorde!$O$4:$O$23,MATCH(Übungen!$A$6,Rekorde!$A$4:$A$23,0)),"")*1*2,0)/2))</f>
        <v>95</v>
      </c>
      <c r="D31" s="116" t="n">
        <f aca="false">IF(OR(FALSE(),Übungen!$L$6="pause"),"",IF(IFERROR(INDEX(Rekorde!$P$4:$P$23,MATCH(Übungen!$A$6,Rekorde!$A$4:$A$23,0)),"")="","",MIN(Übungen!$E$6,IFERROR(INDEX(Rekorde!$P$4:$P$23,MATCH(Übungen!$A$6,Rekorde!$A$4:$A$23,0)),"")+0)))</f>
        <v>6</v>
      </c>
      <c r="E31" s="113"/>
      <c r="F31" s="113"/>
      <c r="G31" s="113"/>
      <c r="H31" s="113"/>
      <c r="I31" s="113"/>
    </row>
    <row r="32" customFormat="false" ht="18" hidden="false" customHeight="true" outlineLevel="0" collapsed="false">
      <c r="A32" s="72" t="n">
        <v>4</v>
      </c>
      <c r="B32" s="114" t="s">
        <v>552</v>
      </c>
      <c r="C32" s="111" t="n">
        <f aca="false">IF(OR(FALSE(),Übungen!$L$6="pause"),"",IF(IFERROR(INDEX(Rekorde!$O$4:$O$23,MATCH(Übungen!$A$6,Rekorde!$A$4:$A$23,0)),"")="","",ROUND(IFERROR(INDEX(Rekorde!$O$4:$O$23,MATCH(Übungen!$A$6,Rekorde!$A$4:$A$23,0)),"")*0.95*2,0)/2))</f>
        <v>90.5</v>
      </c>
      <c r="D32" s="116" t="n">
        <f aca="false">IF(OR(FALSE(),Übungen!$L$6="pause"),"",IF(IFERROR(INDEX(Rekorde!$P$4:$P$23,MATCH(Übungen!$A$6,Rekorde!$A$4:$A$23,0)),"")="","",MIN(Übungen!$E$6,IFERROR(INDEX(Rekorde!$P$4:$P$23,MATCH(Übungen!$A$6,Rekorde!$A$4:$A$23,0)),"")+1)))</f>
        <v>6</v>
      </c>
      <c r="E32" s="113"/>
      <c r="F32" s="113"/>
      <c r="G32" s="113"/>
      <c r="H32" s="113"/>
      <c r="I32" s="113"/>
    </row>
    <row r="33" customFormat="false" ht="18" hidden="false" customHeight="true" outlineLevel="0" collapsed="false">
      <c r="A33" s="72" t="n">
        <v>5</v>
      </c>
      <c r="B33" s="114" t="s">
        <v>553</v>
      </c>
      <c r="C33" s="111" t="n">
        <f aca="false">IF(OR(FALSE(),Übungen!$L$6="pause"),"",IF(IFERROR(INDEX(Rekorde!$O$4:$O$23,MATCH(Übungen!$A$6,Rekorde!$A$4:$A$23,0)),"")="","",ROUND(IFERROR(INDEX(Rekorde!$O$4:$O$23,MATCH(Übungen!$A$6,Rekorde!$A$4:$A$23,0)),"")*0.9*2,0)/2))</f>
        <v>85.5</v>
      </c>
      <c r="D33" s="116" t="n">
        <f aca="false">IF(OR(FALSE(),Übungen!$L$6="pause"),"",IF(IFERROR(INDEX(Rekorde!$P$4:$P$23,MATCH(Übungen!$A$6,Rekorde!$A$4:$A$23,0)),"")="","",MIN(Übungen!$E$6,IFERROR(INDEX(Rekorde!$P$4:$P$23,MATCH(Übungen!$A$6,Rekorde!$A$4:$A$23,0)),"")+2)))</f>
        <v>6</v>
      </c>
      <c r="E33" s="113"/>
      <c r="F33" s="113"/>
      <c r="G33" s="113"/>
      <c r="H33" s="113"/>
      <c r="I33" s="113"/>
    </row>
    <row r="35" customFormat="false" ht="18.75" hidden="false" customHeight="true" outlineLevel="0" collapsed="false">
      <c r="A35" s="107" t="str">
        <f aca="false">Übungen!$A$7</f>
        <v>Adduktion</v>
      </c>
      <c r="B35" s="107"/>
      <c r="C35" s="107"/>
      <c r="D35" s="107"/>
      <c r="E35" s="107"/>
      <c r="F35" s="107"/>
      <c r="G35" s="107"/>
      <c r="H35" s="107"/>
      <c r="I35" s="107"/>
    </row>
    <row r="36" customFormat="false" ht="13.5" hidden="false" customHeight="true" outlineLevel="0" collapsed="false">
      <c r="A36" s="108" t="str">
        <f aca="false">IF(OR(FALSE(),Übungen!$L$7="pause"),IF(Übungen!$L$7="pause","PAUSE - vorübergehend ausgesetzt, Grund im Blatt 'Übungen'     ·     ",""),IF(IFERROR(INDEX(Rekorde!$L$4:$L$23,MATCH(Übungen!$A$7,Rekorde!$A$4:$A$23,0)),"")="",IF(IFERROR(INDEX(Rekorde!$O$4:$O$23,MATCH(Übungen!$A$7,Rekorde!$A$4:$A$23,0)),"")="","Neu im Plan - Startgewicht im Blatt 'Übungen' eintragen     ·     ","Neu im Plan     ·     Start: "&amp;TEXT(IFERROR(INDEX(Rekorde!$O$4:$O$23,MATCH(Übungen!$A$7,Rekorde!$A$4:$A$23,0)),""),"0.#")&amp;" kg     ·     "),"Zuletzt: "&amp;TEXT(IFERROR(INDEX(Rekorde!$L$4:$L$23,MATCH(Übungen!$A$7,Rekorde!$A$4:$A$23,0)),""),"0.#")&amp;" kg × "&amp;IF(IFERROR(INDEX(Rekorde!$M$4:$M$23,MATCH(Übungen!$A$7,Rekorde!$A$4:$A$23,0)),"")="","?",TEXT(IFERROR(INDEX(Rekorde!$M$4:$M$23,MATCH(Übungen!$A$7,Rekorde!$A$4:$A$23,0)),""),"0"))&amp;" Wdh     ·     Bestwert: "&amp;TEXT(IFERROR(INDEX(Rekorde!$F$4:$F$23,MATCH(Übungen!$A$7,Rekorde!$A$4:$A$23,0)),""),"0.#")&amp;" kg     ·     "&amp;IF(IFERROR(INDEX(Rekorde!$O$4:$O$23,MATCH(Übungen!$A$7,Rekorde!$A$4:$A$23,0)),"")="","","Ziel heute: "&amp;TEXT(IFERROR(INDEX(Rekorde!$O$4:$O$23,MATCH(Übungen!$A$7,Rekorde!$A$4:$A$23,0)),""),"0.#")&amp;" kg × "&amp;IF(IFERROR(INDEX(Rekorde!$P$4:$P$23,MATCH(Übungen!$A$7,Rekorde!$A$4:$A$23,0)),"")="","",TEXT(IFERROR(INDEX(Rekorde!$P$4:$P$23,MATCH(Übungen!$A$7,Rekorde!$A$4:$A$23,0)),""),"0")&amp;" Wdh")&amp;"     ·     ")&amp;IF(AND(Übungen!$I$7&lt;&gt;"",IFERROR(INDEX(Rekorde!$O$4:$O$23,MATCH(Übungen!$A$7,Rekorde!$A$4:$A$23,0)),"")&lt;&gt;"",IFERROR(INDEX(Rekorde!$O$4:$O$23,MATCH(Übungen!$A$7,Rekorde!$A$4:$A$23,0)),"")&gt;=Übungen!$I$7),"Stackende, über Tempo und Pausen steigern     ·     ","")))</f>
        <v>Zuletzt: 165 kg × 6 Wdh     ·     Bestwert: 185 kg     ·     Ziel heute: 167.5 kg × 5 Wdh     ·     </v>
      </c>
      <c r="B36" s="108"/>
      <c r="C36" s="108"/>
      <c r="D36" s="108"/>
      <c r="E36" s="108"/>
      <c r="F36" s="108"/>
      <c r="G36" s="108"/>
      <c r="H36" s="108"/>
      <c r="I36" s="108"/>
    </row>
    <row r="37" customFormat="false" ht="13.5" hidden="false" customHeight="true" outlineLevel="0" collapsed="false">
      <c r="A37" s="109" t="str">
        <f aca="false">"Vorgabe: "&amp;Übungen!$F$7&amp;" × "&amp;Übungen!$D$7&amp;"-"&amp;Übungen!$E$7&amp;" Wdh @ RPE "&amp;Übungen!$G$7&amp;IF(OR(Übungen!$M$7="",Übungen!$M$7&lt;=1),"","     ·     nach OP gesperrt bis Woche "&amp;Übungen!$M$7)&amp;IF(OR(FALSE(),Übungen!$L$7="pause"),"",IF(AND(Übungen!$K$7&lt;&gt;"",Übungen!$K$7&lt;&gt;100),"     ·     Wiedereinstieg: "&amp;TEXT(Übungen!$K$7,"0")&amp;" % des berechneten Ziels",IF(IFERROR(INDEX(Rekorde!$Q$4:$Q$23,MATCH(Übungen!$A$7,Rekorde!$A$4:$A$23,0)),"")="","","     ·     Schritt: "&amp;IFERROR(INDEX(Rekorde!$Q$4:$Q$23,MATCH(Übungen!$A$7,Rekorde!$A$4:$A$23,0)),""))))</f>
        <v>Vorgabe: 3 × 5-6 Wdh @ RPE 9     ·     nach OP gesperrt bis Woche 2     ·     Schritt: Gewicht +2.5 kg (1.5%), Wdh zurück auf 5</v>
      </c>
      <c r="B37" s="109"/>
      <c r="C37" s="109"/>
      <c r="D37" s="109"/>
      <c r="E37" s="109"/>
      <c r="F37" s="109"/>
      <c r="G37" s="109"/>
      <c r="H37" s="109"/>
      <c r="I37" s="109"/>
    </row>
    <row r="38" customFormat="false" ht="18" hidden="false" customHeight="true" outlineLevel="0" collapsed="false">
      <c r="A38" s="110" t="s">
        <v>543</v>
      </c>
      <c r="B38" s="110" t="s">
        <v>544</v>
      </c>
      <c r="C38" s="110" t="s">
        <v>545</v>
      </c>
      <c r="D38" s="110" t="s">
        <v>546</v>
      </c>
      <c r="E38" s="110" t="s">
        <v>547</v>
      </c>
      <c r="F38" s="110" t="s">
        <v>454</v>
      </c>
      <c r="G38" s="110" t="s">
        <v>50</v>
      </c>
      <c r="H38" s="110" t="s">
        <v>548</v>
      </c>
      <c r="I38" s="110" t="s">
        <v>256</v>
      </c>
    </row>
    <row r="39" customFormat="false" ht="18" hidden="false" customHeight="true" outlineLevel="0" collapsed="false">
      <c r="A39" s="72" t="n">
        <v>1</v>
      </c>
      <c r="B39" s="70" t="s">
        <v>549</v>
      </c>
      <c r="C39" s="111" t="n">
        <f aca="false">IF(OR(FALSE(),Übungen!$L$7="pause"),"",IF(IFERROR(INDEX(Rekorde!$O$4:$O$23,MATCH(Übungen!$A$7,Rekorde!$A$4:$A$23,0)),"")="","",ROUND(IFERROR(INDEX(Rekorde!$O$4:$O$23,MATCH(Übungen!$A$7,Rekorde!$A$4:$A$23,0)),"")*0.4*2,0)/2))</f>
        <v>67</v>
      </c>
      <c r="D39" s="112"/>
      <c r="E39" s="113"/>
      <c r="F39" s="113"/>
      <c r="G39" s="113"/>
      <c r="H39" s="113"/>
      <c r="I39" s="113"/>
    </row>
    <row r="40" customFormat="false" ht="18" hidden="false" customHeight="true" outlineLevel="0" collapsed="false">
      <c r="A40" s="72" t="n">
        <v>2</v>
      </c>
      <c r="B40" s="70" t="s">
        <v>550</v>
      </c>
      <c r="C40" s="111" t="n">
        <f aca="false">IF(OR(FALSE(),Übungen!$L$7="pause"),"",IF(IFERROR(INDEX(Rekorde!$O$4:$O$23,MATCH(Übungen!$A$7,Rekorde!$A$4:$A$23,0)),"")="","",ROUND(IFERROR(INDEX(Rekorde!$O$4:$O$23,MATCH(Übungen!$A$7,Rekorde!$A$4:$A$23,0)),"")*0.7*2,0)/2))</f>
        <v>117</v>
      </c>
      <c r="D40" s="112"/>
      <c r="E40" s="113"/>
      <c r="F40" s="113"/>
      <c r="G40" s="113"/>
      <c r="H40" s="113"/>
      <c r="I40" s="113"/>
    </row>
    <row r="41" customFormat="false" ht="18" hidden="false" customHeight="true" outlineLevel="0" collapsed="false">
      <c r="A41" s="72" t="n">
        <v>3</v>
      </c>
      <c r="B41" s="114" t="s">
        <v>551</v>
      </c>
      <c r="C41" s="115" t="n">
        <f aca="false">IF(OR(FALSE(),Übungen!$L$7="pause"),"",IF(IFERROR(INDEX(Rekorde!$O$4:$O$23,MATCH(Übungen!$A$7,Rekorde!$A$4:$A$23,0)),"")="","",ROUND(IFERROR(INDEX(Rekorde!$O$4:$O$23,MATCH(Übungen!$A$7,Rekorde!$A$4:$A$23,0)),"")*1*2,0)/2))</f>
        <v>167.5</v>
      </c>
      <c r="D41" s="116" t="n">
        <f aca="false">IF(OR(FALSE(),Übungen!$L$7="pause"),"",IF(IFERROR(INDEX(Rekorde!$P$4:$P$23,MATCH(Übungen!$A$7,Rekorde!$A$4:$A$23,0)),"")="","",MIN(Übungen!$E$7,IFERROR(INDEX(Rekorde!$P$4:$P$23,MATCH(Übungen!$A$7,Rekorde!$A$4:$A$23,0)),"")+0)))</f>
        <v>5</v>
      </c>
      <c r="E41" s="113"/>
      <c r="F41" s="113"/>
      <c r="G41" s="113"/>
      <c r="H41" s="113"/>
      <c r="I41" s="113"/>
    </row>
    <row r="42" customFormat="false" ht="18" hidden="false" customHeight="true" outlineLevel="0" collapsed="false">
      <c r="A42" s="72" t="n">
        <v>4</v>
      </c>
      <c r="B42" s="114" t="s">
        <v>552</v>
      </c>
      <c r="C42" s="111" t="n">
        <f aca="false">IF(OR(FALSE(),Übungen!$L$7="pause"),"",IF(IFERROR(INDEX(Rekorde!$O$4:$O$23,MATCH(Übungen!$A$7,Rekorde!$A$4:$A$23,0)),"")="","",ROUND(IFERROR(INDEX(Rekorde!$O$4:$O$23,MATCH(Übungen!$A$7,Rekorde!$A$4:$A$23,0)),"")*0.95*2,0)/2))</f>
        <v>159</v>
      </c>
      <c r="D42" s="116" t="n">
        <f aca="false">IF(OR(FALSE(),Übungen!$L$7="pause"),"",IF(IFERROR(INDEX(Rekorde!$P$4:$P$23,MATCH(Übungen!$A$7,Rekorde!$A$4:$A$23,0)),"")="","",MIN(Übungen!$E$7,IFERROR(INDEX(Rekorde!$P$4:$P$23,MATCH(Übungen!$A$7,Rekorde!$A$4:$A$23,0)),"")+1)))</f>
        <v>6</v>
      </c>
      <c r="E42" s="113"/>
      <c r="F42" s="113"/>
      <c r="G42" s="113"/>
      <c r="H42" s="113"/>
      <c r="I42" s="113"/>
    </row>
    <row r="43" customFormat="false" ht="18" hidden="false" customHeight="true" outlineLevel="0" collapsed="false">
      <c r="A43" s="72" t="n">
        <v>5</v>
      </c>
      <c r="B43" s="114" t="s">
        <v>553</v>
      </c>
      <c r="C43" s="111" t="n">
        <f aca="false">IF(OR(FALSE(),Übungen!$L$7="pause"),"",IF(IFERROR(INDEX(Rekorde!$O$4:$O$23,MATCH(Übungen!$A$7,Rekorde!$A$4:$A$23,0)),"")="","",ROUND(IFERROR(INDEX(Rekorde!$O$4:$O$23,MATCH(Übungen!$A$7,Rekorde!$A$4:$A$23,0)),"")*0.9*2,0)/2))</f>
        <v>151</v>
      </c>
      <c r="D43" s="116" t="n">
        <f aca="false">IF(OR(FALSE(),Übungen!$L$7="pause"),"",IF(IFERROR(INDEX(Rekorde!$P$4:$P$23,MATCH(Übungen!$A$7,Rekorde!$A$4:$A$23,0)),"")="","",MIN(Übungen!$E$7,IFERROR(INDEX(Rekorde!$P$4:$P$23,MATCH(Übungen!$A$7,Rekorde!$A$4:$A$23,0)),"")+2)))</f>
        <v>6</v>
      </c>
      <c r="E43" s="113"/>
      <c r="F43" s="113"/>
      <c r="G43" s="113"/>
      <c r="H43" s="113"/>
      <c r="I43" s="113"/>
    </row>
    <row r="45" customFormat="false" ht="15.75" hidden="false" customHeight="true" outlineLevel="0" collapsed="false">
      <c r="A45" s="3" t="s">
        <v>554</v>
      </c>
      <c r="B45" s="3"/>
      <c r="C45" s="3"/>
      <c r="D45" s="3"/>
      <c r="E45" s="3"/>
      <c r="F45" s="3"/>
      <c r="G45" s="3"/>
      <c r="H45" s="3"/>
      <c r="I45" s="3"/>
    </row>
    <row r="46" customFormat="false" ht="18" hidden="false" customHeight="true" outlineLevel="0" collapsed="false">
      <c r="A46" s="117"/>
      <c r="B46" s="117"/>
      <c r="C46" s="117"/>
      <c r="D46" s="117"/>
      <c r="E46" s="117"/>
      <c r="F46" s="117"/>
      <c r="G46" s="117"/>
      <c r="H46" s="117"/>
      <c r="I46" s="117"/>
    </row>
    <row r="47" customFormat="false" ht="18" hidden="false" customHeight="true" outlineLevel="0" collapsed="false">
      <c r="A47" s="117"/>
      <c r="B47" s="117"/>
      <c r="C47" s="117"/>
      <c r="D47" s="117"/>
      <c r="E47" s="117"/>
      <c r="F47" s="117"/>
      <c r="G47" s="117"/>
      <c r="H47" s="117"/>
      <c r="I47" s="117"/>
    </row>
    <row r="49" customFormat="false" ht="27.75" hidden="false" customHeight="true" outlineLevel="0" collapsed="false">
      <c r="A49" s="1" t="s">
        <v>555</v>
      </c>
      <c r="B49" s="1"/>
      <c r="C49" s="1"/>
      <c r="D49" s="1"/>
      <c r="E49" s="1"/>
      <c r="F49" s="1"/>
      <c r="G49" s="1"/>
      <c r="H49" s="1"/>
      <c r="I49" s="1"/>
    </row>
    <row r="50" customFormat="false" ht="12" hidden="false" customHeight="true" outlineLevel="0" collapsed="false">
      <c r="A50" s="104" t="s">
        <v>75</v>
      </c>
      <c r="B50" s="104"/>
      <c r="C50" s="105" t="s">
        <v>539</v>
      </c>
      <c r="D50" s="105" t="s">
        <v>540</v>
      </c>
      <c r="E50" s="104" t="s">
        <v>541</v>
      </c>
      <c r="F50" s="104"/>
      <c r="G50" s="104" t="s">
        <v>542</v>
      </c>
      <c r="H50" s="104"/>
    </row>
    <row r="51" customFormat="false" ht="18" hidden="false" customHeight="true" outlineLevel="0" collapsed="false">
      <c r="A51" s="106"/>
      <c r="B51" s="106"/>
      <c r="C51" s="106"/>
      <c r="D51" s="106"/>
      <c r="E51" s="106"/>
      <c r="F51" s="106"/>
      <c r="G51" s="106"/>
      <c r="H51" s="106"/>
    </row>
    <row r="53" customFormat="false" ht="18.75" hidden="false" customHeight="true" outlineLevel="0" collapsed="false">
      <c r="A53" s="107" t="str">
        <f aca="false">Übungen!$A$8</f>
        <v>Reverse V-Squat</v>
      </c>
      <c r="B53" s="107"/>
      <c r="C53" s="107"/>
      <c r="D53" s="107"/>
      <c r="E53" s="107"/>
      <c r="F53" s="107"/>
      <c r="G53" s="107"/>
      <c r="H53" s="107"/>
      <c r="I53" s="107"/>
    </row>
    <row r="54" customFormat="false" ht="13.5" hidden="false" customHeight="true" outlineLevel="0" collapsed="false">
      <c r="A54" s="108" t="str">
        <f aca="false">IF(OR(FALSE(),Übungen!$L$8="pause"),IF(Übungen!$L$8="pause","PAUSE - vorübergehend ausgesetzt, Grund im Blatt 'Übungen'     ·     ",""),IF(IFERROR(INDEX(Rekorde!$L$4:$L$23,MATCH(Übungen!$A$8,Rekorde!$A$4:$A$23,0)),"")="",IF(IFERROR(INDEX(Rekorde!$O$4:$O$23,MATCH(Übungen!$A$8,Rekorde!$A$4:$A$23,0)),"")="","Neu im Plan - Startgewicht im Blatt 'Übungen' eintragen     ·     ","Neu im Plan     ·     Start: "&amp;TEXT(IFERROR(INDEX(Rekorde!$O$4:$O$23,MATCH(Übungen!$A$8,Rekorde!$A$4:$A$23,0)),""),"0.#")&amp;" kg     ·     "),"Zuletzt: "&amp;TEXT(IFERROR(INDEX(Rekorde!$L$4:$L$23,MATCH(Übungen!$A$8,Rekorde!$A$4:$A$23,0)),""),"0.#")&amp;" kg × "&amp;IF(IFERROR(INDEX(Rekorde!$M$4:$M$23,MATCH(Übungen!$A$8,Rekorde!$A$4:$A$23,0)),"")="","?",TEXT(IFERROR(INDEX(Rekorde!$M$4:$M$23,MATCH(Übungen!$A$8,Rekorde!$A$4:$A$23,0)),""),"0"))&amp;" Wdh     ·     Bestwert: "&amp;TEXT(IFERROR(INDEX(Rekorde!$F$4:$F$23,MATCH(Übungen!$A$8,Rekorde!$A$4:$A$23,0)),""),"0.#")&amp;" kg     ·     "&amp;IF(IFERROR(INDEX(Rekorde!$O$4:$O$23,MATCH(Übungen!$A$8,Rekorde!$A$4:$A$23,0)),"")="","","Ziel heute: "&amp;TEXT(IFERROR(INDEX(Rekorde!$O$4:$O$23,MATCH(Übungen!$A$8,Rekorde!$A$4:$A$23,0)),""),"0.#")&amp;" kg × "&amp;IF(IFERROR(INDEX(Rekorde!$P$4:$P$23,MATCH(Übungen!$A$8,Rekorde!$A$4:$A$23,0)),"")="","",TEXT(IFERROR(INDEX(Rekorde!$P$4:$P$23,MATCH(Übungen!$A$8,Rekorde!$A$4:$A$23,0)),""),"0")&amp;" Wdh")&amp;"     ·     ")&amp;IF(AND(Übungen!$I$8&lt;&gt;"",IFERROR(INDEX(Rekorde!$O$4:$O$23,MATCH(Übungen!$A$8,Rekorde!$A$4:$A$23,0)),"")&lt;&gt;"",IFERROR(INDEX(Rekorde!$O$4:$O$23,MATCH(Übungen!$A$8,Rekorde!$A$4:$A$23,0)),"")&gt;=Übungen!$I$8),"Stackende, über Tempo und Pausen steigern     ·     ","")))</f>
        <v>Zuletzt: 215 kg × 5 Wdh     ·     Bestwert: 215 kg     ·     Ziel heute: 215 kg × 6 Wdh     ·     </v>
      </c>
      <c r="B54" s="108"/>
      <c r="C54" s="108"/>
      <c r="D54" s="108"/>
      <c r="E54" s="108"/>
      <c r="F54" s="108"/>
      <c r="G54" s="108"/>
      <c r="H54" s="108"/>
      <c r="I54" s="108"/>
    </row>
    <row r="55" customFormat="false" ht="13.5" hidden="false" customHeight="true" outlineLevel="0" collapsed="false">
      <c r="A55" s="109" t="str">
        <f aca="false">"Vorgabe: "&amp;Übungen!$F$8&amp;" × "&amp;Übungen!$D$8&amp;"-"&amp;Übungen!$E$8&amp;" Wdh @ RPE "&amp;Übungen!$G$8&amp;IF(OR(Übungen!$M$8="",Übungen!$M$8&lt;=1),"","     ·     nach OP gesperrt bis Woche "&amp;Übungen!$M$8)&amp;IF(OR(FALSE(),Übungen!$L$8="pause"),"",IF(AND(Übungen!$K$8&lt;&gt;"",Übungen!$K$8&lt;&gt;100),"     ·     Wiedereinstieg: "&amp;TEXT(Übungen!$K$8,"0")&amp;" % des berechneten Ziels",IF(IFERROR(INDEX(Rekorde!$Q$4:$Q$23,MATCH(Übungen!$A$8,Rekorde!$A$4:$A$23,0)),"")="","","     ·     Schritt: "&amp;IFERROR(INDEX(Rekorde!$Q$4:$Q$23,MATCH(Übungen!$A$8,Rekorde!$A$4:$A$23,0)),""))))</f>
        <v>Vorgabe: 3 × 5-6 Wdh @ RPE 8-9     ·     nach OP gesperrt bis Woche 12     ·     Schritt: Wdh +1 auf 6 bei gleichem Gewicht</v>
      </c>
      <c r="B55" s="109"/>
      <c r="C55" s="109"/>
      <c r="D55" s="109"/>
      <c r="E55" s="109"/>
      <c r="F55" s="109"/>
      <c r="G55" s="109"/>
      <c r="H55" s="109"/>
      <c r="I55" s="109"/>
    </row>
    <row r="56" customFormat="false" ht="18" hidden="false" customHeight="true" outlineLevel="0" collapsed="false">
      <c r="A56" s="110" t="s">
        <v>543</v>
      </c>
      <c r="B56" s="110" t="s">
        <v>544</v>
      </c>
      <c r="C56" s="110" t="s">
        <v>545</v>
      </c>
      <c r="D56" s="110" t="s">
        <v>546</v>
      </c>
      <c r="E56" s="110" t="s">
        <v>547</v>
      </c>
      <c r="F56" s="110" t="s">
        <v>454</v>
      </c>
      <c r="G56" s="110" t="s">
        <v>50</v>
      </c>
      <c r="H56" s="110" t="s">
        <v>548</v>
      </c>
      <c r="I56" s="110" t="s">
        <v>256</v>
      </c>
    </row>
    <row r="57" customFormat="false" ht="18" hidden="false" customHeight="true" outlineLevel="0" collapsed="false">
      <c r="A57" s="72" t="n">
        <v>1</v>
      </c>
      <c r="B57" s="70" t="s">
        <v>549</v>
      </c>
      <c r="C57" s="111" t="n">
        <f aca="false">IF(OR(FALSE(),Übungen!$L$8="pause"),"",IF(IFERROR(INDEX(Rekorde!$O$4:$O$23,MATCH(Übungen!$A$8,Rekorde!$A$4:$A$23,0)),"")="","",ROUND(IFERROR(INDEX(Rekorde!$O$4:$O$23,MATCH(Übungen!$A$8,Rekorde!$A$4:$A$23,0)),"")*0.4*2,0)/2))</f>
        <v>86</v>
      </c>
      <c r="D57" s="112"/>
      <c r="E57" s="113"/>
      <c r="F57" s="113"/>
      <c r="G57" s="113"/>
      <c r="H57" s="113"/>
      <c r="I57" s="113"/>
    </row>
    <row r="58" customFormat="false" ht="18" hidden="false" customHeight="true" outlineLevel="0" collapsed="false">
      <c r="A58" s="72" t="n">
        <v>2</v>
      </c>
      <c r="B58" s="70" t="s">
        <v>550</v>
      </c>
      <c r="C58" s="111" t="n">
        <f aca="false">IF(OR(FALSE(),Übungen!$L$8="pause"),"",IF(IFERROR(INDEX(Rekorde!$O$4:$O$23,MATCH(Übungen!$A$8,Rekorde!$A$4:$A$23,0)),"")="","",ROUND(IFERROR(INDEX(Rekorde!$O$4:$O$23,MATCH(Übungen!$A$8,Rekorde!$A$4:$A$23,0)),"")*0.7*2,0)/2))</f>
        <v>150.5</v>
      </c>
      <c r="D58" s="112"/>
      <c r="E58" s="113"/>
      <c r="F58" s="113"/>
      <c r="G58" s="113"/>
      <c r="H58" s="113"/>
      <c r="I58" s="113"/>
    </row>
    <row r="59" customFormat="false" ht="18" hidden="false" customHeight="true" outlineLevel="0" collapsed="false">
      <c r="A59" s="72" t="n">
        <v>3</v>
      </c>
      <c r="B59" s="114" t="s">
        <v>551</v>
      </c>
      <c r="C59" s="115" t="n">
        <f aca="false">IF(OR(FALSE(),Übungen!$L$8="pause"),"",IF(IFERROR(INDEX(Rekorde!$O$4:$O$23,MATCH(Übungen!$A$8,Rekorde!$A$4:$A$23,0)),"")="","",ROUND(IFERROR(INDEX(Rekorde!$O$4:$O$23,MATCH(Übungen!$A$8,Rekorde!$A$4:$A$23,0)),"")*1*2,0)/2))</f>
        <v>215</v>
      </c>
      <c r="D59" s="116" t="n">
        <f aca="false">IF(OR(FALSE(),Übungen!$L$8="pause"),"",IF(IFERROR(INDEX(Rekorde!$P$4:$P$23,MATCH(Übungen!$A$8,Rekorde!$A$4:$A$23,0)),"")="","",MIN(Übungen!$E$8,IFERROR(INDEX(Rekorde!$P$4:$P$23,MATCH(Übungen!$A$8,Rekorde!$A$4:$A$23,0)),"")+0)))</f>
        <v>6</v>
      </c>
      <c r="E59" s="113"/>
      <c r="F59" s="113"/>
      <c r="G59" s="113"/>
      <c r="H59" s="113"/>
      <c r="I59" s="113"/>
    </row>
    <row r="60" customFormat="false" ht="18" hidden="false" customHeight="true" outlineLevel="0" collapsed="false">
      <c r="A60" s="72" t="n">
        <v>4</v>
      </c>
      <c r="B60" s="114" t="s">
        <v>552</v>
      </c>
      <c r="C60" s="111" t="n">
        <f aca="false">IF(OR(FALSE(),Übungen!$L$8="pause"),"",IF(IFERROR(INDEX(Rekorde!$O$4:$O$23,MATCH(Übungen!$A$8,Rekorde!$A$4:$A$23,0)),"")="","",ROUND(IFERROR(INDEX(Rekorde!$O$4:$O$23,MATCH(Übungen!$A$8,Rekorde!$A$4:$A$23,0)),"")*0.95*2,0)/2))</f>
        <v>204.5</v>
      </c>
      <c r="D60" s="116" t="n">
        <f aca="false">IF(OR(FALSE(),Übungen!$L$8="pause"),"",IF(IFERROR(INDEX(Rekorde!$P$4:$P$23,MATCH(Übungen!$A$8,Rekorde!$A$4:$A$23,0)),"")="","",MIN(Übungen!$E$8,IFERROR(INDEX(Rekorde!$P$4:$P$23,MATCH(Übungen!$A$8,Rekorde!$A$4:$A$23,0)),"")+1)))</f>
        <v>6</v>
      </c>
      <c r="E60" s="113"/>
      <c r="F60" s="113"/>
      <c r="G60" s="113"/>
      <c r="H60" s="113"/>
      <c r="I60" s="113"/>
    </row>
    <row r="61" customFormat="false" ht="18" hidden="false" customHeight="true" outlineLevel="0" collapsed="false">
      <c r="A61" s="72" t="n">
        <v>5</v>
      </c>
      <c r="B61" s="114" t="s">
        <v>553</v>
      </c>
      <c r="C61" s="111" t="n">
        <f aca="false">IF(OR(FALSE(),Übungen!$L$8="pause"),"",IF(IFERROR(INDEX(Rekorde!$O$4:$O$23,MATCH(Übungen!$A$8,Rekorde!$A$4:$A$23,0)),"")="","",ROUND(IFERROR(INDEX(Rekorde!$O$4:$O$23,MATCH(Übungen!$A$8,Rekorde!$A$4:$A$23,0)),"")*0.9*2,0)/2))</f>
        <v>193.5</v>
      </c>
      <c r="D61" s="116" t="n">
        <f aca="false">IF(OR(FALSE(),Übungen!$L$8="pause"),"",IF(IFERROR(INDEX(Rekorde!$P$4:$P$23,MATCH(Übungen!$A$8,Rekorde!$A$4:$A$23,0)),"")="","",MIN(Übungen!$E$8,IFERROR(INDEX(Rekorde!$P$4:$P$23,MATCH(Übungen!$A$8,Rekorde!$A$4:$A$23,0)),"")+2)))</f>
        <v>6</v>
      </c>
      <c r="E61" s="113"/>
      <c r="F61" s="113"/>
      <c r="G61" s="113"/>
      <c r="H61" s="113"/>
      <c r="I61" s="113"/>
    </row>
    <row r="63" customFormat="false" ht="18.75" hidden="false" customHeight="true" outlineLevel="0" collapsed="false">
      <c r="A63" s="107" t="str">
        <f aca="false">Übungen!$A$9</f>
        <v>Rumänisches Kreuzheben</v>
      </c>
      <c r="B63" s="107"/>
      <c r="C63" s="107"/>
      <c r="D63" s="107"/>
      <c r="E63" s="107"/>
      <c r="F63" s="107"/>
      <c r="G63" s="107"/>
      <c r="H63" s="107"/>
      <c r="I63" s="107"/>
    </row>
    <row r="64" customFormat="false" ht="13.5" hidden="false" customHeight="true" outlineLevel="0" collapsed="false">
      <c r="A64" s="108" t="str">
        <f aca="false">IF(OR(FALSE(),Übungen!$L$9="pause"),IF(Übungen!$L$9="pause","PAUSE - vorübergehend ausgesetzt, Grund im Blatt 'Übungen'     ·     ",""),IF(IFERROR(INDEX(Rekorde!$L$4:$L$23,MATCH(Übungen!$A$9,Rekorde!$A$4:$A$23,0)),"")="",IF(IFERROR(INDEX(Rekorde!$O$4:$O$23,MATCH(Übungen!$A$9,Rekorde!$A$4:$A$23,0)),"")="","Neu im Plan - Startgewicht im Blatt 'Übungen' eintragen     ·     ","Neu im Plan     ·     Start: "&amp;TEXT(IFERROR(INDEX(Rekorde!$O$4:$O$23,MATCH(Übungen!$A$9,Rekorde!$A$4:$A$23,0)),""),"0.#")&amp;" kg     ·     "),"Zuletzt: "&amp;TEXT(IFERROR(INDEX(Rekorde!$L$4:$L$23,MATCH(Übungen!$A$9,Rekorde!$A$4:$A$23,0)),""),"0.#")&amp;" kg × "&amp;IF(IFERROR(INDEX(Rekorde!$M$4:$M$23,MATCH(Übungen!$A$9,Rekorde!$A$4:$A$23,0)),"")="","?",TEXT(IFERROR(INDEX(Rekorde!$M$4:$M$23,MATCH(Übungen!$A$9,Rekorde!$A$4:$A$23,0)),""),"0"))&amp;" Wdh     ·     Bestwert: "&amp;TEXT(IFERROR(INDEX(Rekorde!$F$4:$F$23,MATCH(Übungen!$A$9,Rekorde!$A$4:$A$23,0)),""),"0.#")&amp;" kg     ·     "&amp;IF(IFERROR(INDEX(Rekorde!$O$4:$O$23,MATCH(Übungen!$A$9,Rekorde!$A$4:$A$23,0)),"")="","","Ziel heute: "&amp;TEXT(IFERROR(INDEX(Rekorde!$O$4:$O$23,MATCH(Übungen!$A$9,Rekorde!$A$4:$A$23,0)),""),"0.#")&amp;" kg × "&amp;IF(IFERROR(INDEX(Rekorde!$P$4:$P$23,MATCH(Übungen!$A$9,Rekorde!$A$4:$A$23,0)),"")="","",TEXT(IFERROR(INDEX(Rekorde!$P$4:$P$23,MATCH(Übungen!$A$9,Rekorde!$A$4:$A$23,0)),""),"0")&amp;" Wdh")&amp;"     ·     ")&amp;IF(AND(Übungen!$I$9&lt;&gt;"",IFERROR(INDEX(Rekorde!$O$4:$O$23,MATCH(Übungen!$A$9,Rekorde!$A$4:$A$23,0)),"")&lt;&gt;"",IFERROR(INDEX(Rekorde!$O$4:$O$23,MATCH(Übungen!$A$9,Rekorde!$A$4:$A$23,0)),"")&gt;=Übungen!$I$9),"Stackende, über Tempo und Pausen steigern     ·     ","")))</f>
        <v>PAUSE - vorübergehend ausgesetzt, Grund im Blatt 'Übungen'     ·     </v>
      </c>
      <c r="B64" s="108"/>
      <c r="C64" s="108"/>
      <c r="D64" s="108"/>
      <c r="E64" s="108"/>
      <c r="F64" s="108"/>
      <c r="G64" s="108"/>
      <c r="H64" s="108"/>
      <c r="I64" s="108"/>
    </row>
    <row r="65" customFormat="false" ht="13.5" hidden="false" customHeight="true" outlineLevel="0" collapsed="false">
      <c r="A65" s="109" t="str">
        <f aca="false">"Vorgabe: "&amp;Übungen!$F$9&amp;" × "&amp;Übungen!$D$9&amp;"-"&amp;Übungen!$E$9&amp;" Wdh @ RPE "&amp;Übungen!$G$9&amp;IF(OR(Übungen!$M$9="",Übungen!$M$9&lt;=1),"","     ·     nach OP gesperrt bis Woche "&amp;Übungen!$M$9)&amp;IF(OR(FALSE(),Übungen!$L$9="pause"),"",IF(AND(Übungen!$K$9&lt;&gt;"",Übungen!$K$9&lt;&gt;100),"     ·     Wiedereinstieg: "&amp;TEXT(Übungen!$K$9,"0")&amp;" % des berechneten Ziels",IF(IFERROR(INDEX(Rekorde!$Q$4:$Q$23,MATCH(Übungen!$A$9,Rekorde!$A$4:$A$23,0)),"")="","","     ·     Schritt: "&amp;IFERROR(INDEX(Rekorde!$Q$4:$Q$23,MATCH(Übungen!$A$9,Rekorde!$A$4:$A$23,0)),""))))</f>
        <v>Vorgabe: 3 × 5-6 Wdh @ RPE 8     ·     nach OP gesperrt bis Woche 16</v>
      </c>
      <c r="B65" s="109"/>
      <c r="C65" s="109"/>
      <c r="D65" s="109"/>
      <c r="E65" s="109"/>
      <c r="F65" s="109"/>
      <c r="G65" s="109"/>
      <c r="H65" s="109"/>
      <c r="I65" s="109"/>
    </row>
    <row r="66" customFormat="false" ht="18" hidden="false" customHeight="true" outlineLevel="0" collapsed="false">
      <c r="A66" s="110" t="s">
        <v>543</v>
      </c>
      <c r="B66" s="110" t="s">
        <v>544</v>
      </c>
      <c r="C66" s="110" t="s">
        <v>545</v>
      </c>
      <c r="D66" s="110" t="s">
        <v>546</v>
      </c>
      <c r="E66" s="110" t="s">
        <v>547</v>
      </c>
      <c r="F66" s="110" t="s">
        <v>454</v>
      </c>
      <c r="G66" s="110" t="s">
        <v>50</v>
      </c>
      <c r="H66" s="110" t="s">
        <v>548</v>
      </c>
      <c r="I66" s="110" t="s">
        <v>256</v>
      </c>
    </row>
    <row r="67" customFormat="false" ht="18" hidden="false" customHeight="true" outlineLevel="0" collapsed="false">
      <c r="A67" s="72" t="n">
        <v>1</v>
      </c>
      <c r="B67" s="70" t="s">
        <v>549</v>
      </c>
      <c r="C67" s="111" t="str">
        <f aca="false">IF(OR(FALSE(),Übungen!$L$9="pause"),"",IF(IFERROR(INDEX(Rekorde!$O$4:$O$23,MATCH(Übungen!$A$9,Rekorde!$A$4:$A$23,0)),"")="","",ROUND(IFERROR(INDEX(Rekorde!$O$4:$O$23,MATCH(Übungen!$A$9,Rekorde!$A$4:$A$23,0)),"")*0.4*2,0)/2))</f>
        <v/>
      </c>
      <c r="D67" s="112"/>
      <c r="E67" s="113"/>
      <c r="F67" s="113"/>
      <c r="G67" s="113"/>
      <c r="H67" s="113"/>
      <c r="I67" s="113"/>
    </row>
    <row r="68" customFormat="false" ht="18" hidden="false" customHeight="true" outlineLevel="0" collapsed="false">
      <c r="A68" s="72" t="n">
        <v>2</v>
      </c>
      <c r="B68" s="70" t="s">
        <v>550</v>
      </c>
      <c r="C68" s="111" t="str">
        <f aca="false">IF(OR(FALSE(),Übungen!$L$9="pause"),"",IF(IFERROR(INDEX(Rekorde!$O$4:$O$23,MATCH(Übungen!$A$9,Rekorde!$A$4:$A$23,0)),"")="","",ROUND(IFERROR(INDEX(Rekorde!$O$4:$O$23,MATCH(Übungen!$A$9,Rekorde!$A$4:$A$23,0)),"")*0.7*2,0)/2))</f>
        <v/>
      </c>
      <c r="D68" s="112"/>
      <c r="E68" s="113"/>
      <c r="F68" s="113"/>
      <c r="G68" s="113"/>
      <c r="H68" s="113"/>
      <c r="I68" s="113"/>
    </row>
    <row r="69" customFormat="false" ht="18" hidden="false" customHeight="true" outlineLevel="0" collapsed="false">
      <c r="A69" s="72" t="n">
        <v>3</v>
      </c>
      <c r="B69" s="114" t="s">
        <v>551</v>
      </c>
      <c r="C69" s="115" t="str">
        <f aca="false">IF(OR(FALSE(),Übungen!$L$9="pause"),"",IF(IFERROR(INDEX(Rekorde!$O$4:$O$23,MATCH(Übungen!$A$9,Rekorde!$A$4:$A$23,0)),"")="","",ROUND(IFERROR(INDEX(Rekorde!$O$4:$O$23,MATCH(Übungen!$A$9,Rekorde!$A$4:$A$23,0)),"")*1*2,0)/2))</f>
        <v/>
      </c>
      <c r="D69" s="116" t="str">
        <f aca="false">IF(OR(FALSE(),Übungen!$L$9="pause"),"",IF(IFERROR(INDEX(Rekorde!$P$4:$P$23,MATCH(Übungen!$A$9,Rekorde!$A$4:$A$23,0)),"")="","",MIN(Übungen!$E$9,IFERROR(INDEX(Rekorde!$P$4:$P$23,MATCH(Übungen!$A$9,Rekorde!$A$4:$A$23,0)),"")+0)))</f>
        <v/>
      </c>
      <c r="E69" s="113"/>
      <c r="F69" s="113"/>
      <c r="G69" s="113"/>
      <c r="H69" s="113"/>
      <c r="I69" s="113"/>
    </row>
    <row r="70" customFormat="false" ht="18" hidden="false" customHeight="true" outlineLevel="0" collapsed="false">
      <c r="A70" s="72" t="n">
        <v>4</v>
      </c>
      <c r="B70" s="114" t="s">
        <v>552</v>
      </c>
      <c r="C70" s="111" t="str">
        <f aca="false">IF(OR(FALSE(),Übungen!$L$9="pause"),"",IF(IFERROR(INDEX(Rekorde!$O$4:$O$23,MATCH(Übungen!$A$9,Rekorde!$A$4:$A$23,0)),"")="","",ROUND(IFERROR(INDEX(Rekorde!$O$4:$O$23,MATCH(Übungen!$A$9,Rekorde!$A$4:$A$23,0)),"")*0.95*2,0)/2))</f>
        <v/>
      </c>
      <c r="D70" s="116" t="str">
        <f aca="false">IF(OR(FALSE(),Übungen!$L$9="pause"),"",IF(IFERROR(INDEX(Rekorde!$P$4:$P$23,MATCH(Übungen!$A$9,Rekorde!$A$4:$A$23,0)),"")="","",MIN(Übungen!$E$9,IFERROR(INDEX(Rekorde!$P$4:$P$23,MATCH(Übungen!$A$9,Rekorde!$A$4:$A$23,0)),"")+1)))</f>
        <v/>
      </c>
      <c r="E70" s="113"/>
      <c r="F70" s="113"/>
      <c r="G70" s="113"/>
      <c r="H70" s="113"/>
      <c r="I70" s="113"/>
    </row>
    <row r="71" customFormat="false" ht="18" hidden="false" customHeight="true" outlineLevel="0" collapsed="false">
      <c r="A71" s="72" t="n">
        <v>5</v>
      </c>
      <c r="B71" s="114" t="s">
        <v>553</v>
      </c>
      <c r="C71" s="111" t="str">
        <f aca="false">IF(OR(FALSE(),Übungen!$L$9="pause"),"",IF(IFERROR(INDEX(Rekorde!$O$4:$O$23,MATCH(Übungen!$A$9,Rekorde!$A$4:$A$23,0)),"")="","",ROUND(IFERROR(INDEX(Rekorde!$O$4:$O$23,MATCH(Übungen!$A$9,Rekorde!$A$4:$A$23,0)),"")*0.9*2,0)/2))</f>
        <v/>
      </c>
      <c r="D71" s="116" t="str">
        <f aca="false">IF(OR(FALSE(),Übungen!$L$9="pause"),"",IF(IFERROR(INDEX(Rekorde!$P$4:$P$23,MATCH(Übungen!$A$9,Rekorde!$A$4:$A$23,0)),"")="","",MIN(Übungen!$E$9,IFERROR(INDEX(Rekorde!$P$4:$P$23,MATCH(Übungen!$A$9,Rekorde!$A$4:$A$23,0)),"")+2)))</f>
        <v/>
      </c>
      <c r="E71" s="113"/>
      <c r="F71" s="113"/>
      <c r="G71" s="113"/>
      <c r="H71" s="113"/>
      <c r="I71" s="113"/>
    </row>
    <row r="73" customFormat="false" ht="18.75" hidden="false" customHeight="true" outlineLevel="0" collapsed="false">
      <c r="A73" s="107" t="str">
        <f aca="false">Übungen!$A$10</f>
        <v>Rumänisches Kreuzheben KH</v>
      </c>
      <c r="B73" s="107"/>
      <c r="C73" s="107"/>
      <c r="D73" s="107"/>
      <c r="E73" s="107"/>
      <c r="F73" s="107"/>
      <c r="G73" s="107"/>
      <c r="H73" s="107"/>
      <c r="I73" s="107"/>
    </row>
    <row r="74" customFormat="false" ht="13.5" hidden="false" customHeight="true" outlineLevel="0" collapsed="false">
      <c r="A74" s="108" t="str">
        <f aca="false">IF(OR(FALSE(),Übungen!$L$10="pause"),IF(Übungen!$L$10="pause","PAUSE - vorübergehend ausgesetzt, Grund im Blatt 'Übungen'     ·     ",""),IF(IFERROR(INDEX(Rekorde!$L$4:$L$23,MATCH(Übungen!$A$10,Rekorde!$A$4:$A$23,0)),"")="",IF(IFERROR(INDEX(Rekorde!$O$4:$O$23,MATCH(Übungen!$A$10,Rekorde!$A$4:$A$23,0)),"")="","Neu im Plan - Startgewicht im Blatt 'Übungen' eintragen     ·     ","Neu im Plan     ·     Start: "&amp;TEXT(IFERROR(INDEX(Rekorde!$O$4:$O$23,MATCH(Übungen!$A$10,Rekorde!$A$4:$A$23,0)),""),"0.#")&amp;" kg     ·     "),"Zuletzt: "&amp;TEXT(IFERROR(INDEX(Rekorde!$L$4:$L$23,MATCH(Übungen!$A$10,Rekorde!$A$4:$A$23,0)),""),"0.#")&amp;" kg × "&amp;IF(IFERROR(INDEX(Rekorde!$M$4:$M$23,MATCH(Übungen!$A$10,Rekorde!$A$4:$A$23,0)),"")="","?",TEXT(IFERROR(INDEX(Rekorde!$M$4:$M$23,MATCH(Übungen!$A$10,Rekorde!$A$4:$A$23,0)),""),"0"))&amp;" Wdh     ·     Bestwert: "&amp;TEXT(IFERROR(INDEX(Rekorde!$F$4:$F$23,MATCH(Übungen!$A$10,Rekorde!$A$4:$A$23,0)),""),"0.#")&amp;" kg     ·     "&amp;IF(IFERROR(INDEX(Rekorde!$O$4:$O$23,MATCH(Übungen!$A$10,Rekorde!$A$4:$A$23,0)),"")="","","Ziel heute: "&amp;TEXT(IFERROR(INDEX(Rekorde!$O$4:$O$23,MATCH(Übungen!$A$10,Rekorde!$A$4:$A$23,0)),""),"0.#")&amp;" kg × "&amp;IF(IFERROR(INDEX(Rekorde!$P$4:$P$23,MATCH(Übungen!$A$10,Rekorde!$A$4:$A$23,0)),"")="","",TEXT(IFERROR(INDEX(Rekorde!$P$4:$P$23,MATCH(Übungen!$A$10,Rekorde!$A$4:$A$23,0)),""),"0")&amp;" Wdh")&amp;"     ·     ")&amp;IF(AND(Übungen!$I$10&lt;&gt;"",IFERROR(INDEX(Rekorde!$O$4:$O$23,MATCH(Übungen!$A$10,Rekorde!$A$4:$A$23,0)),"")&lt;&gt;"",IFERROR(INDEX(Rekorde!$O$4:$O$23,MATCH(Übungen!$A$10,Rekorde!$A$4:$A$23,0)),"")&gt;=Übungen!$I$10),"Stackende, über Tempo und Pausen steigern     ·     ","")))</f>
        <v>Zuletzt: 34 kg × 5 Wdh     ·     Bestwert: 34 kg     ·     Ziel heute: 34 kg × 6 Wdh     ·     </v>
      </c>
      <c r="B74" s="108"/>
      <c r="C74" s="108"/>
      <c r="D74" s="108"/>
      <c r="E74" s="108"/>
      <c r="F74" s="108"/>
      <c r="G74" s="108"/>
      <c r="H74" s="108"/>
      <c r="I74" s="108"/>
    </row>
    <row r="75" customFormat="false" ht="13.5" hidden="false" customHeight="true" outlineLevel="0" collapsed="false">
      <c r="A75" s="109" t="str">
        <f aca="false">"Vorgabe: "&amp;Übungen!$F$10&amp;" × "&amp;Übungen!$D$10&amp;"-"&amp;Übungen!$E$10&amp;" Wdh @ RPE "&amp;Übungen!$G$10&amp;IF(OR(Übungen!$M$10="",Übungen!$M$10&lt;=1),"","     ·     nach OP gesperrt bis Woche "&amp;Übungen!$M$10)&amp;IF(OR(FALSE(),Übungen!$L$10="pause"),"",IF(AND(Übungen!$K$10&lt;&gt;"",Übungen!$K$10&lt;&gt;100),"     ·     Wiedereinstieg: "&amp;TEXT(Übungen!$K$10,"0")&amp;" % des berechneten Ziels",IF(IFERROR(INDEX(Rekorde!$Q$4:$Q$23,MATCH(Übungen!$A$10,Rekorde!$A$4:$A$23,0)),"")="","","     ·     Schritt: "&amp;IFERROR(INDEX(Rekorde!$Q$4:$Q$23,MATCH(Übungen!$A$10,Rekorde!$A$4:$A$23,0)),""))))</f>
        <v>Vorgabe: 3 × 5-6 Wdh @ RPE 8     ·     nach OP gesperrt bis Woche 16     ·     Schritt: Wdh +1 auf 6 bei gleichem Gewicht</v>
      </c>
      <c r="B75" s="109"/>
      <c r="C75" s="109"/>
      <c r="D75" s="109"/>
      <c r="E75" s="109"/>
      <c r="F75" s="109"/>
      <c r="G75" s="109"/>
      <c r="H75" s="109"/>
      <c r="I75" s="109"/>
    </row>
    <row r="76" customFormat="false" ht="18" hidden="false" customHeight="true" outlineLevel="0" collapsed="false">
      <c r="A76" s="110" t="s">
        <v>543</v>
      </c>
      <c r="B76" s="110" t="s">
        <v>544</v>
      </c>
      <c r="C76" s="110" t="s">
        <v>545</v>
      </c>
      <c r="D76" s="110" t="s">
        <v>546</v>
      </c>
      <c r="E76" s="110" t="s">
        <v>547</v>
      </c>
      <c r="F76" s="110" t="s">
        <v>454</v>
      </c>
      <c r="G76" s="110" t="s">
        <v>50</v>
      </c>
      <c r="H76" s="110" t="s">
        <v>548</v>
      </c>
      <c r="I76" s="110" t="s">
        <v>256</v>
      </c>
    </row>
    <row r="77" customFormat="false" ht="18" hidden="false" customHeight="true" outlineLevel="0" collapsed="false">
      <c r="A77" s="72" t="n">
        <v>1</v>
      </c>
      <c r="B77" s="70" t="s">
        <v>549</v>
      </c>
      <c r="C77" s="111" t="n">
        <f aca="false">IF(OR(FALSE(),Übungen!$L$10="pause"),"",IF(IFERROR(INDEX(Rekorde!$O$4:$O$23,MATCH(Übungen!$A$10,Rekorde!$A$4:$A$23,0)),"")="","",ROUND(IFERROR(INDEX(Rekorde!$O$4:$O$23,MATCH(Übungen!$A$10,Rekorde!$A$4:$A$23,0)),"")*0.4*2,0)/2))</f>
        <v>13.5</v>
      </c>
      <c r="D77" s="112"/>
      <c r="E77" s="113"/>
      <c r="F77" s="113"/>
      <c r="G77" s="113"/>
      <c r="H77" s="113"/>
      <c r="I77" s="113"/>
    </row>
    <row r="78" customFormat="false" ht="18" hidden="false" customHeight="true" outlineLevel="0" collapsed="false">
      <c r="A78" s="72" t="n">
        <v>2</v>
      </c>
      <c r="B78" s="70" t="s">
        <v>550</v>
      </c>
      <c r="C78" s="111" t="n">
        <f aca="false">IF(OR(FALSE(),Übungen!$L$10="pause"),"",IF(IFERROR(INDEX(Rekorde!$O$4:$O$23,MATCH(Übungen!$A$10,Rekorde!$A$4:$A$23,0)),"")="","",ROUND(IFERROR(INDEX(Rekorde!$O$4:$O$23,MATCH(Übungen!$A$10,Rekorde!$A$4:$A$23,0)),"")*0.7*2,0)/2))</f>
        <v>24</v>
      </c>
      <c r="D78" s="112"/>
      <c r="E78" s="113"/>
      <c r="F78" s="113"/>
      <c r="G78" s="113"/>
      <c r="H78" s="113"/>
      <c r="I78" s="113"/>
    </row>
    <row r="79" customFormat="false" ht="18" hidden="false" customHeight="true" outlineLevel="0" collapsed="false">
      <c r="A79" s="72" t="n">
        <v>3</v>
      </c>
      <c r="B79" s="114" t="s">
        <v>551</v>
      </c>
      <c r="C79" s="115" t="n">
        <f aca="false">IF(OR(FALSE(),Übungen!$L$10="pause"),"",IF(IFERROR(INDEX(Rekorde!$O$4:$O$23,MATCH(Übungen!$A$10,Rekorde!$A$4:$A$23,0)),"")="","",ROUND(IFERROR(INDEX(Rekorde!$O$4:$O$23,MATCH(Übungen!$A$10,Rekorde!$A$4:$A$23,0)),"")*1*2,0)/2))</f>
        <v>34</v>
      </c>
      <c r="D79" s="116" t="n">
        <f aca="false">IF(OR(FALSE(),Übungen!$L$10="pause"),"",IF(IFERROR(INDEX(Rekorde!$P$4:$P$23,MATCH(Übungen!$A$10,Rekorde!$A$4:$A$23,0)),"")="","",MIN(Übungen!$E$10,IFERROR(INDEX(Rekorde!$P$4:$P$23,MATCH(Übungen!$A$10,Rekorde!$A$4:$A$23,0)),"")+0)))</f>
        <v>6</v>
      </c>
      <c r="E79" s="113"/>
      <c r="F79" s="113"/>
      <c r="G79" s="113"/>
      <c r="H79" s="113"/>
      <c r="I79" s="113"/>
    </row>
    <row r="80" customFormat="false" ht="18" hidden="false" customHeight="true" outlineLevel="0" collapsed="false">
      <c r="A80" s="72" t="n">
        <v>4</v>
      </c>
      <c r="B80" s="114" t="s">
        <v>552</v>
      </c>
      <c r="C80" s="111" t="n">
        <f aca="false">IF(OR(FALSE(),Übungen!$L$10="pause"),"",IF(IFERROR(INDEX(Rekorde!$O$4:$O$23,MATCH(Übungen!$A$10,Rekorde!$A$4:$A$23,0)),"")="","",ROUND(IFERROR(INDEX(Rekorde!$O$4:$O$23,MATCH(Übungen!$A$10,Rekorde!$A$4:$A$23,0)),"")*0.95*2,0)/2))</f>
        <v>32.5</v>
      </c>
      <c r="D80" s="116" t="n">
        <f aca="false">IF(OR(FALSE(),Übungen!$L$10="pause"),"",IF(IFERROR(INDEX(Rekorde!$P$4:$P$23,MATCH(Übungen!$A$10,Rekorde!$A$4:$A$23,0)),"")="","",MIN(Übungen!$E$10,IFERROR(INDEX(Rekorde!$P$4:$P$23,MATCH(Übungen!$A$10,Rekorde!$A$4:$A$23,0)),"")+1)))</f>
        <v>6</v>
      </c>
      <c r="E80" s="113"/>
      <c r="F80" s="113"/>
      <c r="G80" s="113"/>
      <c r="H80" s="113"/>
      <c r="I80" s="113"/>
    </row>
    <row r="81" customFormat="false" ht="18" hidden="false" customHeight="true" outlineLevel="0" collapsed="false">
      <c r="A81" s="72" t="n">
        <v>5</v>
      </c>
      <c r="B81" s="114" t="s">
        <v>553</v>
      </c>
      <c r="C81" s="111" t="n">
        <f aca="false">IF(OR(FALSE(),Übungen!$L$10="pause"),"",IF(IFERROR(INDEX(Rekorde!$O$4:$O$23,MATCH(Übungen!$A$10,Rekorde!$A$4:$A$23,0)),"")="","",ROUND(IFERROR(INDEX(Rekorde!$O$4:$O$23,MATCH(Übungen!$A$10,Rekorde!$A$4:$A$23,0)),"")*0.9*2,0)/2))</f>
        <v>30.5</v>
      </c>
      <c r="D81" s="116" t="n">
        <f aca="false">IF(OR(FALSE(),Übungen!$L$10="pause"),"",IF(IFERROR(INDEX(Rekorde!$P$4:$P$23,MATCH(Übungen!$A$10,Rekorde!$A$4:$A$23,0)),"")="","",MIN(Übungen!$E$10,IFERROR(INDEX(Rekorde!$P$4:$P$23,MATCH(Übungen!$A$10,Rekorde!$A$4:$A$23,0)),"")+2)))</f>
        <v>6</v>
      </c>
      <c r="E81" s="113"/>
      <c r="F81" s="113"/>
      <c r="G81" s="113"/>
      <c r="H81" s="113"/>
      <c r="I81" s="113"/>
    </row>
    <row r="83" customFormat="false" ht="18.75" hidden="false" customHeight="true" outlineLevel="0" collapsed="false">
      <c r="A83" s="107" t="str">
        <f aca="false">Übungen!$A$11</f>
        <v>Beinpresse breit</v>
      </c>
      <c r="B83" s="107"/>
      <c r="C83" s="107"/>
      <c r="D83" s="107"/>
      <c r="E83" s="107"/>
      <c r="F83" s="107"/>
      <c r="G83" s="107"/>
      <c r="H83" s="107"/>
      <c r="I83" s="107"/>
    </row>
    <row r="84" customFormat="false" ht="13.5" hidden="false" customHeight="true" outlineLevel="0" collapsed="false">
      <c r="A84" s="108" t="str">
        <f aca="false">IF(OR(FALSE(),Übungen!$L$11="pause"),IF(Übungen!$L$11="pause","PAUSE - vorübergehend ausgesetzt, Grund im Blatt 'Übungen'     ·     ",""),IF(IFERROR(INDEX(Rekorde!$L$4:$L$23,MATCH(Übungen!$A$11,Rekorde!$A$4:$A$23,0)),"")="",IF(IFERROR(INDEX(Rekorde!$O$4:$O$23,MATCH(Übungen!$A$11,Rekorde!$A$4:$A$23,0)),"")="","Neu im Plan - Startgewicht im Blatt 'Übungen' eintragen     ·     ","Neu im Plan     ·     Start: "&amp;TEXT(IFERROR(INDEX(Rekorde!$O$4:$O$23,MATCH(Übungen!$A$11,Rekorde!$A$4:$A$23,0)),""),"0.#")&amp;" kg     ·     "),"Zuletzt: "&amp;TEXT(IFERROR(INDEX(Rekorde!$L$4:$L$23,MATCH(Übungen!$A$11,Rekorde!$A$4:$A$23,0)),""),"0.#")&amp;" kg × "&amp;IF(IFERROR(INDEX(Rekorde!$M$4:$M$23,MATCH(Übungen!$A$11,Rekorde!$A$4:$A$23,0)),"")="","?",TEXT(IFERROR(INDEX(Rekorde!$M$4:$M$23,MATCH(Übungen!$A$11,Rekorde!$A$4:$A$23,0)),""),"0"))&amp;" Wdh     ·     Bestwert: "&amp;TEXT(IFERROR(INDEX(Rekorde!$F$4:$F$23,MATCH(Übungen!$A$11,Rekorde!$A$4:$A$23,0)),""),"0.#")&amp;" kg     ·     "&amp;IF(IFERROR(INDEX(Rekorde!$O$4:$O$23,MATCH(Übungen!$A$11,Rekorde!$A$4:$A$23,0)),"")="","","Ziel heute: "&amp;TEXT(IFERROR(INDEX(Rekorde!$O$4:$O$23,MATCH(Übungen!$A$11,Rekorde!$A$4:$A$23,0)),""),"0.#")&amp;" kg × "&amp;IF(IFERROR(INDEX(Rekorde!$P$4:$P$23,MATCH(Übungen!$A$11,Rekorde!$A$4:$A$23,0)),"")="","",TEXT(IFERROR(INDEX(Rekorde!$P$4:$P$23,MATCH(Übungen!$A$11,Rekorde!$A$4:$A$23,0)),""),"0")&amp;" Wdh")&amp;"     ·     ")&amp;IF(AND(Übungen!$I$11&lt;&gt;"",IFERROR(INDEX(Rekorde!$O$4:$O$23,MATCH(Übungen!$A$11,Rekorde!$A$4:$A$23,0)),"")&lt;&gt;"",IFERROR(INDEX(Rekorde!$O$4:$O$23,MATCH(Übungen!$A$11,Rekorde!$A$4:$A$23,0)),"")&gt;=Übungen!$I$11),"Stackende, über Tempo und Pausen steigern     ·     ","")))</f>
        <v>Neu im Plan     ·     Start: 220 kg     ·     </v>
      </c>
      <c r="B84" s="108"/>
      <c r="C84" s="108"/>
      <c r="D84" s="108"/>
      <c r="E84" s="108"/>
      <c r="F84" s="108"/>
      <c r="G84" s="108"/>
      <c r="H84" s="108"/>
      <c r="I84" s="108"/>
    </row>
    <row r="85" customFormat="false" ht="13.5" hidden="false" customHeight="true" outlineLevel="0" collapsed="false">
      <c r="A85" s="109" t="str">
        <f aca="false">"Vorgabe: "&amp;Übungen!$F$11&amp;" × "&amp;Übungen!$D$11&amp;"-"&amp;Übungen!$E$11&amp;" Wdh @ RPE "&amp;Übungen!$G$11&amp;IF(OR(Übungen!$M$11="",Übungen!$M$11&lt;=1),"","     ·     nach OP gesperrt bis Woche "&amp;Übungen!$M$11)&amp;IF(OR(FALSE(),Übungen!$L$11="pause"),"",IF(AND(Übungen!$K$11&lt;&gt;"",Übungen!$K$11&lt;&gt;100),"     ·     Wiedereinstieg: "&amp;TEXT(Übungen!$K$11,"0")&amp;" % des berechneten Ziels",IF(IFERROR(INDEX(Rekorde!$Q$4:$Q$23,MATCH(Übungen!$A$11,Rekorde!$A$4:$A$23,0)),"")="","","     ·     Schritt: "&amp;IFERROR(INDEX(Rekorde!$Q$4:$Q$23,MATCH(Übungen!$A$11,Rekorde!$A$4:$A$23,0)),""))))</f>
        <v>Vorgabe: 3 × 5-6 Wdh @ RPE 8-9     ·     nach OP gesperrt bis Woche 6     ·     Schritt: Einstieg mit Startgewicht</v>
      </c>
      <c r="B85" s="109"/>
      <c r="C85" s="109"/>
      <c r="D85" s="109"/>
      <c r="E85" s="109"/>
      <c r="F85" s="109"/>
      <c r="G85" s="109"/>
      <c r="H85" s="109"/>
      <c r="I85" s="109"/>
    </row>
    <row r="86" customFormat="false" ht="18" hidden="false" customHeight="true" outlineLevel="0" collapsed="false">
      <c r="A86" s="110" t="s">
        <v>543</v>
      </c>
      <c r="B86" s="110" t="s">
        <v>544</v>
      </c>
      <c r="C86" s="110" t="s">
        <v>545</v>
      </c>
      <c r="D86" s="110" t="s">
        <v>546</v>
      </c>
      <c r="E86" s="110" t="s">
        <v>547</v>
      </c>
      <c r="F86" s="110" t="s">
        <v>454</v>
      </c>
      <c r="G86" s="110" t="s">
        <v>50</v>
      </c>
      <c r="H86" s="110" t="s">
        <v>548</v>
      </c>
      <c r="I86" s="110" t="s">
        <v>256</v>
      </c>
    </row>
    <row r="87" customFormat="false" ht="18" hidden="false" customHeight="true" outlineLevel="0" collapsed="false">
      <c r="A87" s="72" t="n">
        <v>1</v>
      </c>
      <c r="B87" s="70" t="s">
        <v>549</v>
      </c>
      <c r="C87" s="111" t="n">
        <f aca="false">IF(OR(FALSE(),Übungen!$L$11="pause"),"",IF(IFERROR(INDEX(Rekorde!$O$4:$O$23,MATCH(Übungen!$A$11,Rekorde!$A$4:$A$23,0)),"")="","",ROUND(IFERROR(INDEX(Rekorde!$O$4:$O$23,MATCH(Übungen!$A$11,Rekorde!$A$4:$A$23,0)),"")*0.4*2,0)/2))</f>
        <v>88</v>
      </c>
      <c r="D87" s="112"/>
      <c r="E87" s="113"/>
      <c r="F87" s="113"/>
      <c r="G87" s="113"/>
      <c r="H87" s="113"/>
      <c r="I87" s="113"/>
    </row>
    <row r="88" customFormat="false" ht="18" hidden="false" customHeight="true" outlineLevel="0" collapsed="false">
      <c r="A88" s="72" t="n">
        <v>2</v>
      </c>
      <c r="B88" s="70" t="s">
        <v>550</v>
      </c>
      <c r="C88" s="111" t="n">
        <f aca="false">IF(OR(FALSE(),Übungen!$L$11="pause"),"",IF(IFERROR(INDEX(Rekorde!$O$4:$O$23,MATCH(Übungen!$A$11,Rekorde!$A$4:$A$23,0)),"")="","",ROUND(IFERROR(INDEX(Rekorde!$O$4:$O$23,MATCH(Übungen!$A$11,Rekorde!$A$4:$A$23,0)),"")*0.7*2,0)/2))</f>
        <v>154</v>
      </c>
      <c r="D88" s="112"/>
      <c r="E88" s="113"/>
      <c r="F88" s="113"/>
      <c r="G88" s="113"/>
      <c r="H88" s="113"/>
      <c r="I88" s="113"/>
    </row>
    <row r="89" customFormat="false" ht="18" hidden="false" customHeight="true" outlineLevel="0" collapsed="false">
      <c r="A89" s="72" t="n">
        <v>3</v>
      </c>
      <c r="B89" s="114" t="s">
        <v>551</v>
      </c>
      <c r="C89" s="115" t="n">
        <f aca="false">IF(OR(FALSE(),Übungen!$L$11="pause"),"",IF(IFERROR(INDEX(Rekorde!$O$4:$O$23,MATCH(Übungen!$A$11,Rekorde!$A$4:$A$23,0)),"")="","",ROUND(IFERROR(INDEX(Rekorde!$O$4:$O$23,MATCH(Übungen!$A$11,Rekorde!$A$4:$A$23,0)),"")*1*2,0)/2))</f>
        <v>220</v>
      </c>
      <c r="D89" s="116" t="n">
        <f aca="false">IF(OR(FALSE(),Übungen!$L$11="pause"),"",IF(IFERROR(INDEX(Rekorde!$P$4:$P$23,MATCH(Übungen!$A$11,Rekorde!$A$4:$A$23,0)),"")="","",MIN(Übungen!$E$11,IFERROR(INDEX(Rekorde!$P$4:$P$23,MATCH(Übungen!$A$11,Rekorde!$A$4:$A$23,0)),"")+0)))</f>
        <v>5</v>
      </c>
      <c r="E89" s="113"/>
      <c r="F89" s="113"/>
      <c r="G89" s="113"/>
      <c r="H89" s="113"/>
      <c r="I89" s="113"/>
    </row>
    <row r="90" customFormat="false" ht="18" hidden="false" customHeight="true" outlineLevel="0" collapsed="false">
      <c r="A90" s="72" t="n">
        <v>4</v>
      </c>
      <c r="B90" s="114" t="s">
        <v>552</v>
      </c>
      <c r="C90" s="111" t="n">
        <f aca="false">IF(OR(FALSE(),Übungen!$L$11="pause"),"",IF(IFERROR(INDEX(Rekorde!$O$4:$O$23,MATCH(Übungen!$A$11,Rekorde!$A$4:$A$23,0)),"")="","",ROUND(IFERROR(INDEX(Rekorde!$O$4:$O$23,MATCH(Übungen!$A$11,Rekorde!$A$4:$A$23,0)),"")*0.95*2,0)/2))</f>
        <v>209</v>
      </c>
      <c r="D90" s="116" t="n">
        <f aca="false">IF(OR(FALSE(),Übungen!$L$11="pause"),"",IF(IFERROR(INDEX(Rekorde!$P$4:$P$23,MATCH(Übungen!$A$11,Rekorde!$A$4:$A$23,0)),"")="","",MIN(Übungen!$E$11,IFERROR(INDEX(Rekorde!$P$4:$P$23,MATCH(Übungen!$A$11,Rekorde!$A$4:$A$23,0)),"")+1)))</f>
        <v>6</v>
      </c>
      <c r="E90" s="113"/>
      <c r="F90" s="113"/>
      <c r="G90" s="113"/>
      <c r="H90" s="113"/>
      <c r="I90" s="113"/>
    </row>
    <row r="91" customFormat="false" ht="18" hidden="false" customHeight="true" outlineLevel="0" collapsed="false">
      <c r="A91" s="72" t="n">
        <v>5</v>
      </c>
      <c r="B91" s="114" t="s">
        <v>553</v>
      </c>
      <c r="C91" s="111" t="n">
        <f aca="false">IF(OR(FALSE(),Übungen!$L$11="pause"),"",IF(IFERROR(INDEX(Rekorde!$O$4:$O$23,MATCH(Übungen!$A$11,Rekorde!$A$4:$A$23,0)),"")="","",ROUND(IFERROR(INDEX(Rekorde!$O$4:$O$23,MATCH(Übungen!$A$11,Rekorde!$A$4:$A$23,0)),"")*0.9*2,0)/2))</f>
        <v>198</v>
      </c>
      <c r="D91" s="116" t="n">
        <f aca="false">IF(OR(FALSE(),Übungen!$L$11="pause"),"",IF(IFERROR(INDEX(Rekorde!$P$4:$P$23,MATCH(Übungen!$A$11,Rekorde!$A$4:$A$23,0)),"")="","",MIN(Übungen!$E$11,IFERROR(INDEX(Rekorde!$P$4:$P$23,MATCH(Übungen!$A$11,Rekorde!$A$4:$A$23,0)),"")+2)))</f>
        <v>6</v>
      </c>
      <c r="E91" s="113"/>
      <c r="F91" s="113"/>
      <c r="G91" s="113"/>
      <c r="H91" s="113"/>
      <c r="I91" s="113"/>
    </row>
    <row r="93" customFormat="false" ht="18.75" hidden="false" customHeight="true" outlineLevel="0" collapsed="false">
      <c r="A93" s="107" t="str">
        <f aca="false">Übungen!$A$12</f>
        <v>Hip Thrust</v>
      </c>
      <c r="B93" s="107"/>
      <c r="C93" s="107"/>
      <c r="D93" s="107"/>
      <c r="E93" s="107"/>
      <c r="F93" s="107"/>
      <c r="G93" s="107"/>
      <c r="H93" s="107"/>
      <c r="I93" s="107"/>
    </row>
    <row r="94" customFormat="false" ht="13.5" hidden="false" customHeight="true" outlineLevel="0" collapsed="false">
      <c r="A94" s="108" t="str">
        <f aca="false">IF(OR(FALSE(),Übungen!$L$12="pause"),IF(Übungen!$L$12="pause","PAUSE - vorübergehend ausgesetzt, Grund im Blatt 'Übungen'     ·     ",""),IF(IFERROR(INDEX(Rekorde!$L$4:$L$23,MATCH(Übungen!$A$12,Rekorde!$A$4:$A$23,0)),"")="",IF(IFERROR(INDEX(Rekorde!$O$4:$O$23,MATCH(Übungen!$A$12,Rekorde!$A$4:$A$23,0)),"")="","Neu im Plan - Startgewicht im Blatt 'Übungen' eintragen     ·     ","Neu im Plan     ·     Start: "&amp;TEXT(IFERROR(INDEX(Rekorde!$O$4:$O$23,MATCH(Übungen!$A$12,Rekorde!$A$4:$A$23,0)),""),"0.#")&amp;" kg     ·     "),"Zuletzt: "&amp;TEXT(IFERROR(INDEX(Rekorde!$L$4:$L$23,MATCH(Übungen!$A$12,Rekorde!$A$4:$A$23,0)),""),"0.#")&amp;" kg × "&amp;IF(IFERROR(INDEX(Rekorde!$M$4:$M$23,MATCH(Übungen!$A$12,Rekorde!$A$4:$A$23,0)),"")="","?",TEXT(IFERROR(INDEX(Rekorde!$M$4:$M$23,MATCH(Übungen!$A$12,Rekorde!$A$4:$A$23,0)),""),"0"))&amp;" Wdh     ·     Bestwert: "&amp;TEXT(IFERROR(INDEX(Rekorde!$F$4:$F$23,MATCH(Übungen!$A$12,Rekorde!$A$4:$A$23,0)),""),"0.#")&amp;" kg     ·     "&amp;IF(IFERROR(INDEX(Rekorde!$O$4:$O$23,MATCH(Übungen!$A$12,Rekorde!$A$4:$A$23,0)),"")="","","Ziel heute: "&amp;TEXT(IFERROR(INDEX(Rekorde!$O$4:$O$23,MATCH(Übungen!$A$12,Rekorde!$A$4:$A$23,0)),""),"0.#")&amp;" kg × "&amp;IF(IFERROR(INDEX(Rekorde!$P$4:$P$23,MATCH(Übungen!$A$12,Rekorde!$A$4:$A$23,0)),"")="","",TEXT(IFERROR(INDEX(Rekorde!$P$4:$P$23,MATCH(Übungen!$A$12,Rekorde!$A$4:$A$23,0)),""),"0")&amp;" Wdh")&amp;"     ·     ")&amp;IF(AND(Übungen!$I$12&lt;&gt;"",IFERROR(INDEX(Rekorde!$O$4:$O$23,MATCH(Übungen!$A$12,Rekorde!$A$4:$A$23,0)),"")&lt;&gt;"",IFERROR(INDEX(Rekorde!$O$4:$O$23,MATCH(Übungen!$A$12,Rekorde!$A$4:$A$23,0)),"")&gt;=Übungen!$I$12),"Stackende, über Tempo und Pausen steigern     ·     ","")))</f>
        <v>Zuletzt: 285 kg × 5 Wdh     ·     Bestwert: 290 kg     ·     Ziel heute: 285 kg × 6 Wdh     ·     </v>
      </c>
      <c r="B94" s="108"/>
      <c r="C94" s="108"/>
      <c r="D94" s="108"/>
      <c r="E94" s="108"/>
      <c r="F94" s="108"/>
      <c r="G94" s="108"/>
      <c r="H94" s="108"/>
      <c r="I94" s="108"/>
    </row>
    <row r="95" customFormat="false" ht="13.5" hidden="false" customHeight="true" outlineLevel="0" collapsed="false">
      <c r="A95" s="109" t="str">
        <f aca="false">"Vorgabe: "&amp;Übungen!$F$12&amp;" × "&amp;Übungen!$D$12&amp;"-"&amp;Übungen!$E$12&amp;" Wdh @ RPE "&amp;Übungen!$G$12&amp;IF(OR(Übungen!$M$12="",Übungen!$M$12&lt;=1),"","     ·     nach OP gesperrt bis Woche "&amp;Übungen!$M$12)&amp;IF(OR(FALSE(),Übungen!$L$12="pause"),"",IF(AND(Übungen!$K$12&lt;&gt;"",Übungen!$K$12&lt;&gt;100),"     ·     Wiedereinstieg: "&amp;TEXT(Übungen!$K$12,"0")&amp;" % des berechneten Ziels",IF(IFERROR(INDEX(Rekorde!$Q$4:$Q$23,MATCH(Übungen!$A$12,Rekorde!$A$4:$A$23,0)),"")="","","     ·     Schritt: "&amp;IFERROR(INDEX(Rekorde!$Q$4:$Q$23,MATCH(Übungen!$A$12,Rekorde!$A$4:$A$23,0)),""))))</f>
        <v>Vorgabe: 3 × 5-6 Wdh @ RPE 8-9     ·     nach OP gesperrt bis Woche 12     ·     Schritt: Wdh +1 auf 6 bei gleichem Gewicht</v>
      </c>
      <c r="B95" s="109"/>
      <c r="C95" s="109"/>
      <c r="D95" s="109"/>
      <c r="E95" s="109"/>
      <c r="F95" s="109"/>
      <c r="G95" s="109"/>
      <c r="H95" s="109"/>
      <c r="I95" s="109"/>
    </row>
    <row r="96" customFormat="false" ht="18" hidden="false" customHeight="true" outlineLevel="0" collapsed="false">
      <c r="A96" s="110" t="s">
        <v>543</v>
      </c>
      <c r="B96" s="110" t="s">
        <v>544</v>
      </c>
      <c r="C96" s="110" t="s">
        <v>545</v>
      </c>
      <c r="D96" s="110" t="s">
        <v>546</v>
      </c>
      <c r="E96" s="110" t="s">
        <v>547</v>
      </c>
      <c r="F96" s="110" t="s">
        <v>454</v>
      </c>
      <c r="G96" s="110" t="s">
        <v>50</v>
      </c>
      <c r="H96" s="110" t="s">
        <v>548</v>
      </c>
      <c r="I96" s="110" t="s">
        <v>256</v>
      </c>
    </row>
    <row r="97" customFormat="false" ht="18" hidden="false" customHeight="true" outlineLevel="0" collapsed="false">
      <c r="A97" s="72" t="n">
        <v>1</v>
      </c>
      <c r="B97" s="70" t="s">
        <v>549</v>
      </c>
      <c r="C97" s="111" t="n">
        <f aca="false">IF(OR(FALSE(),Übungen!$L$12="pause"),"",IF(IFERROR(INDEX(Rekorde!$O$4:$O$23,MATCH(Übungen!$A$12,Rekorde!$A$4:$A$23,0)),"")="","",ROUND(IFERROR(INDEX(Rekorde!$O$4:$O$23,MATCH(Übungen!$A$12,Rekorde!$A$4:$A$23,0)),"")*0.4*2,0)/2))</f>
        <v>114</v>
      </c>
      <c r="D97" s="112"/>
      <c r="E97" s="113"/>
      <c r="F97" s="113"/>
      <c r="G97" s="113"/>
      <c r="H97" s="113"/>
      <c r="I97" s="113"/>
    </row>
    <row r="98" customFormat="false" ht="18" hidden="false" customHeight="true" outlineLevel="0" collapsed="false">
      <c r="A98" s="72" t="n">
        <v>2</v>
      </c>
      <c r="B98" s="70" t="s">
        <v>550</v>
      </c>
      <c r="C98" s="111" t="n">
        <f aca="false">IF(OR(FALSE(),Übungen!$L$12="pause"),"",IF(IFERROR(INDEX(Rekorde!$O$4:$O$23,MATCH(Übungen!$A$12,Rekorde!$A$4:$A$23,0)),"")="","",ROUND(IFERROR(INDEX(Rekorde!$O$4:$O$23,MATCH(Übungen!$A$12,Rekorde!$A$4:$A$23,0)),"")*0.7*2,0)/2))</f>
        <v>199.5</v>
      </c>
      <c r="D98" s="112"/>
      <c r="E98" s="113"/>
      <c r="F98" s="113"/>
      <c r="G98" s="113"/>
      <c r="H98" s="113"/>
      <c r="I98" s="113"/>
    </row>
    <row r="99" customFormat="false" ht="18" hidden="false" customHeight="true" outlineLevel="0" collapsed="false">
      <c r="A99" s="72" t="n">
        <v>3</v>
      </c>
      <c r="B99" s="114" t="s">
        <v>551</v>
      </c>
      <c r="C99" s="115" t="n">
        <f aca="false">IF(OR(FALSE(),Übungen!$L$12="pause"),"",IF(IFERROR(INDEX(Rekorde!$O$4:$O$23,MATCH(Übungen!$A$12,Rekorde!$A$4:$A$23,0)),"")="","",ROUND(IFERROR(INDEX(Rekorde!$O$4:$O$23,MATCH(Übungen!$A$12,Rekorde!$A$4:$A$23,0)),"")*1*2,0)/2))</f>
        <v>285</v>
      </c>
      <c r="D99" s="116" t="n">
        <f aca="false">IF(OR(FALSE(),Übungen!$L$12="pause"),"",IF(IFERROR(INDEX(Rekorde!$P$4:$P$23,MATCH(Übungen!$A$12,Rekorde!$A$4:$A$23,0)),"")="","",MIN(Übungen!$E$12,IFERROR(INDEX(Rekorde!$P$4:$P$23,MATCH(Übungen!$A$12,Rekorde!$A$4:$A$23,0)),"")+0)))</f>
        <v>6</v>
      </c>
      <c r="E99" s="113"/>
      <c r="F99" s="113"/>
      <c r="G99" s="113"/>
      <c r="H99" s="113"/>
      <c r="I99" s="113"/>
    </row>
    <row r="100" customFormat="false" ht="18" hidden="false" customHeight="true" outlineLevel="0" collapsed="false">
      <c r="A100" s="72" t="n">
        <v>4</v>
      </c>
      <c r="B100" s="114" t="s">
        <v>552</v>
      </c>
      <c r="C100" s="111" t="n">
        <f aca="false">IF(OR(FALSE(),Übungen!$L$12="pause"),"",IF(IFERROR(INDEX(Rekorde!$O$4:$O$23,MATCH(Übungen!$A$12,Rekorde!$A$4:$A$23,0)),"")="","",ROUND(IFERROR(INDEX(Rekorde!$O$4:$O$23,MATCH(Übungen!$A$12,Rekorde!$A$4:$A$23,0)),"")*0.95*2,0)/2))</f>
        <v>271</v>
      </c>
      <c r="D100" s="116" t="n">
        <f aca="false">IF(OR(FALSE(),Übungen!$L$12="pause"),"",IF(IFERROR(INDEX(Rekorde!$P$4:$P$23,MATCH(Übungen!$A$12,Rekorde!$A$4:$A$23,0)),"")="","",MIN(Übungen!$E$12,IFERROR(INDEX(Rekorde!$P$4:$P$23,MATCH(Übungen!$A$12,Rekorde!$A$4:$A$23,0)),"")+1)))</f>
        <v>6</v>
      </c>
      <c r="E100" s="113"/>
      <c r="F100" s="113"/>
      <c r="G100" s="113"/>
      <c r="H100" s="113"/>
      <c r="I100" s="113"/>
    </row>
    <row r="101" customFormat="false" ht="18" hidden="false" customHeight="true" outlineLevel="0" collapsed="false">
      <c r="A101" s="72" t="n">
        <v>5</v>
      </c>
      <c r="B101" s="114" t="s">
        <v>553</v>
      </c>
      <c r="C101" s="111" t="n">
        <f aca="false">IF(OR(FALSE(),Übungen!$L$12="pause"),"",IF(IFERROR(INDEX(Rekorde!$O$4:$O$23,MATCH(Übungen!$A$12,Rekorde!$A$4:$A$23,0)),"")="","",ROUND(IFERROR(INDEX(Rekorde!$O$4:$O$23,MATCH(Übungen!$A$12,Rekorde!$A$4:$A$23,0)),"")*0.9*2,0)/2))</f>
        <v>256.5</v>
      </c>
      <c r="D101" s="116" t="n">
        <f aca="false">IF(OR(FALSE(),Übungen!$L$12="pause"),"",IF(IFERROR(INDEX(Rekorde!$P$4:$P$23,MATCH(Übungen!$A$12,Rekorde!$A$4:$A$23,0)),"")="","",MIN(Übungen!$E$12,IFERROR(INDEX(Rekorde!$P$4:$P$23,MATCH(Übungen!$A$12,Rekorde!$A$4:$A$23,0)),"")+2)))</f>
        <v>6</v>
      </c>
      <c r="E101" s="113"/>
      <c r="F101" s="113"/>
      <c r="G101" s="113"/>
      <c r="H101" s="113"/>
      <c r="I101" s="113"/>
    </row>
    <row r="103" customFormat="false" ht="18.75" hidden="false" customHeight="true" outlineLevel="0" collapsed="false">
      <c r="A103" s="107" t="str">
        <f aca="false">Übungen!$A$13</f>
        <v>Hip &amp; Glute</v>
      </c>
      <c r="B103" s="107"/>
      <c r="C103" s="107"/>
      <c r="D103" s="107"/>
      <c r="E103" s="107"/>
      <c r="F103" s="107"/>
      <c r="G103" s="107"/>
      <c r="H103" s="107"/>
      <c r="I103" s="107"/>
    </row>
    <row r="104" customFormat="false" ht="13.5" hidden="false" customHeight="true" outlineLevel="0" collapsed="false">
      <c r="A104" s="108" t="str">
        <f aca="false">IF(OR(FALSE(),Übungen!$L$13="pause"),IF(Übungen!$L$13="pause","PAUSE - vorübergehend ausgesetzt, Grund im Blatt 'Übungen'     ·     ",""),IF(IFERROR(INDEX(Rekorde!$L$4:$L$23,MATCH(Übungen!$A$13,Rekorde!$A$4:$A$23,0)),"")="",IF(IFERROR(INDEX(Rekorde!$O$4:$O$23,MATCH(Übungen!$A$13,Rekorde!$A$4:$A$23,0)),"")="","Neu im Plan - Startgewicht im Blatt 'Übungen' eintragen     ·     ","Neu im Plan     ·     Start: "&amp;TEXT(IFERROR(INDEX(Rekorde!$O$4:$O$23,MATCH(Übungen!$A$13,Rekorde!$A$4:$A$23,0)),""),"0.#")&amp;" kg     ·     "),"Zuletzt: "&amp;TEXT(IFERROR(INDEX(Rekorde!$L$4:$L$23,MATCH(Übungen!$A$13,Rekorde!$A$4:$A$23,0)),""),"0.#")&amp;" kg × "&amp;IF(IFERROR(INDEX(Rekorde!$M$4:$M$23,MATCH(Übungen!$A$13,Rekorde!$A$4:$A$23,0)),"")="","?",TEXT(IFERROR(INDEX(Rekorde!$M$4:$M$23,MATCH(Übungen!$A$13,Rekorde!$A$4:$A$23,0)),""),"0"))&amp;" Wdh     ·     Bestwert: "&amp;TEXT(IFERROR(INDEX(Rekorde!$F$4:$F$23,MATCH(Übungen!$A$13,Rekorde!$A$4:$A$23,0)),""),"0.#")&amp;" kg     ·     "&amp;IF(IFERROR(INDEX(Rekorde!$O$4:$O$23,MATCH(Übungen!$A$13,Rekorde!$A$4:$A$23,0)),"")="","","Ziel heute: "&amp;TEXT(IFERROR(INDEX(Rekorde!$O$4:$O$23,MATCH(Übungen!$A$13,Rekorde!$A$4:$A$23,0)),""),"0.#")&amp;" kg × "&amp;IF(IFERROR(INDEX(Rekorde!$P$4:$P$23,MATCH(Übungen!$A$13,Rekorde!$A$4:$A$23,0)),"")="","",TEXT(IFERROR(INDEX(Rekorde!$P$4:$P$23,MATCH(Übungen!$A$13,Rekorde!$A$4:$A$23,0)),""),"0")&amp;" Wdh")&amp;"     ·     ")&amp;IF(AND(Übungen!$I$13&lt;&gt;"",IFERROR(INDEX(Rekorde!$O$4:$O$23,MATCH(Übungen!$A$13,Rekorde!$A$4:$A$23,0)),"")&lt;&gt;"",IFERROR(INDEX(Rekorde!$O$4:$O$23,MATCH(Übungen!$A$13,Rekorde!$A$4:$A$23,0)),"")&gt;=Übungen!$I$13),"Stackende, über Tempo und Pausen steigern     ·     ","")))</f>
        <v>Zuletzt: 170 kg × 5 Wdh     ·     Bestwert: 176 kg     ·     Ziel heute: 170 kg × 6 Wdh     ·     </v>
      </c>
      <c r="B104" s="108"/>
      <c r="C104" s="108"/>
      <c r="D104" s="108"/>
      <c r="E104" s="108"/>
      <c r="F104" s="108"/>
      <c r="G104" s="108"/>
      <c r="H104" s="108"/>
      <c r="I104" s="108"/>
    </row>
    <row r="105" customFormat="false" ht="13.5" hidden="false" customHeight="true" outlineLevel="0" collapsed="false">
      <c r="A105" s="109" t="str">
        <f aca="false">"Vorgabe: "&amp;Übungen!$F$13&amp;" × "&amp;Übungen!$D$13&amp;"-"&amp;Übungen!$E$13&amp;" Wdh @ RPE "&amp;Übungen!$G$13&amp;IF(OR(Übungen!$M$13="",Übungen!$M$13&lt;=1),"","     ·     nach OP gesperrt bis Woche "&amp;Übungen!$M$13)&amp;IF(OR(FALSE(),Übungen!$L$13="pause"),"",IF(AND(Übungen!$K$13&lt;&gt;"",Übungen!$K$13&lt;&gt;100),"     ·     Wiedereinstieg: "&amp;TEXT(Übungen!$K$13,"0")&amp;" % des berechneten Ziels",IF(IFERROR(INDEX(Rekorde!$Q$4:$Q$23,MATCH(Übungen!$A$13,Rekorde!$A$4:$A$23,0)),"")="","","     ·     Schritt: "&amp;IFERROR(INDEX(Rekorde!$Q$4:$Q$23,MATCH(Übungen!$A$13,Rekorde!$A$4:$A$23,0)),""))))</f>
        <v>Vorgabe: 3 × 5-6 Wdh @ RPE 8-9     ·     nach OP gesperrt bis Woche 6     ·     Schritt: Wdh +1 auf 6 bei gleichem Gewicht</v>
      </c>
      <c r="B105" s="109"/>
      <c r="C105" s="109"/>
      <c r="D105" s="109"/>
      <c r="E105" s="109"/>
      <c r="F105" s="109"/>
      <c r="G105" s="109"/>
      <c r="H105" s="109"/>
      <c r="I105" s="109"/>
    </row>
    <row r="106" customFormat="false" ht="18" hidden="false" customHeight="true" outlineLevel="0" collapsed="false">
      <c r="A106" s="110" t="s">
        <v>543</v>
      </c>
      <c r="B106" s="110" t="s">
        <v>544</v>
      </c>
      <c r="C106" s="110" t="s">
        <v>545</v>
      </c>
      <c r="D106" s="110" t="s">
        <v>546</v>
      </c>
      <c r="E106" s="110" t="s">
        <v>547</v>
      </c>
      <c r="F106" s="110" t="s">
        <v>454</v>
      </c>
      <c r="G106" s="110" t="s">
        <v>50</v>
      </c>
      <c r="H106" s="110" t="s">
        <v>548</v>
      </c>
      <c r="I106" s="110" t="s">
        <v>256</v>
      </c>
    </row>
    <row r="107" customFormat="false" ht="18" hidden="false" customHeight="true" outlineLevel="0" collapsed="false">
      <c r="A107" s="72" t="n">
        <v>1</v>
      </c>
      <c r="B107" s="70" t="s">
        <v>549</v>
      </c>
      <c r="C107" s="111" t="n">
        <f aca="false">IF(OR(FALSE(),Übungen!$L$13="pause"),"",IF(IFERROR(INDEX(Rekorde!$O$4:$O$23,MATCH(Übungen!$A$13,Rekorde!$A$4:$A$23,0)),"")="","",ROUND(IFERROR(INDEX(Rekorde!$O$4:$O$23,MATCH(Übungen!$A$13,Rekorde!$A$4:$A$23,0)),"")*0.4*2,0)/2))</f>
        <v>68</v>
      </c>
      <c r="D107" s="112"/>
      <c r="E107" s="113"/>
      <c r="F107" s="113"/>
      <c r="G107" s="113"/>
      <c r="H107" s="113"/>
      <c r="I107" s="113"/>
    </row>
    <row r="108" customFormat="false" ht="18" hidden="false" customHeight="true" outlineLevel="0" collapsed="false">
      <c r="A108" s="72" t="n">
        <v>2</v>
      </c>
      <c r="B108" s="70" t="s">
        <v>550</v>
      </c>
      <c r="C108" s="111" t="n">
        <f aca="false">IF(OR(FALSE(),Übungen!$L$13="pause"),"",IF(IFERROR(INDEX(Rekorde!$O$4:$O$23,MATCH(Übungen!$A$13,Rekorde!$A$4:$A$23,0)),"")="","",ROUND(IFERROR(INDEX(Rekorde!$O$4:$O$23,MATCH(Übungen!$A$13,Rekorde!$A$4:$A$23,0)),"")*0.7*2,0)/2))</f>
        <v>119</v>
      </c>
      <c r="D108" s="112"/>
      <c r="E108" s="113"/>
      <c r="F108" s="113"/>
      <c r="G108" s="113"/>
      <c r="H108" s="113"/>
      <c r="I108" s="113"/>
    </row>
    <row r="109" customFormat="false" ht="18" hidden="false" customHeight="true" outlineLevel="0" collapsed="false">
      <c r="A109" s="72" t="n">
        <v>3</v>
      </c>
      <c r="B109" s="114" t="s">
        <v>551</v>
      </c>
      <c r="C109" s="115" t="n">
        <f aca="false">IF(OR(FALSE(),Übungen!$L$13="pause"),"",IF(IFERROR(INDEX(Rekorde!$O$4:$O$23,MATCH(Übungen!$A$13,Rekorde!$A$4:$A$23,0)),"")="","",ROUND(IFERROR(INDEX(Rekorde!$O$4:$O$23,MATCH(Übungen!$A$13,Rekorde!$A$4:$A$23,0)),"")*1*2,0)/2))</f>
        <v>170</v>
      </c>
      <c r="D109" s="116" t="n">
        <f aca="false">IF(OR(FALSE(),Übungen!$L$13="pause"),"",IF(IFERROR(INDEX(Rekorde!$P$4:$P$23,MATCH(Übungen!$A$13,Rekorde!$A$4:$A$23,0)),"")="","",MIN(Übungen!$E$13,IFERROR(INDEX(Rekorde!$P$4:$P$23,MATCH(Übungen!$A$13,Rekorde!$A$4:$A$23,0)),"")+0)))</f>
        <v>6</v>
      </c>
      <c r="E109" s="113"/>
      <c r="F109" s="113"/>
      <c r="G109" s="113"/>
      <c r="H109" s="113"/>
      <c r="I109" s="113"/>
    </row>
    <row r="110" customFormat="false" ht="18" hidden="false" customHeight="true" outlineLevel="0" collapsed="false">
      <c r="A110" s="72" t="n">
        <v>4</v>
      </c>
      <c r="B110" s="114" t="s">
        <v>552</v>
      </c>
      <c r="C110" s="111" t="n">
        <f aca="false">IF(OR(FALSE(),Übungen!$L$13="pause"),"",IF(IFERROR(INDEX(Rekorde!$O$4:$O$23,MATCH(Übungen!$A$13,Rekorde!$A$4:$A$23,0)),"")="","",ROUND(IFERROR(INDEX(Rekorde!$O$4:$O$23,MATCH(Übungen!$A$13,Rekorde!$A$4:$A$23,0)),"")*0.95*2,0)/2))</f>
        <v>161.5</v>
      </c>
      <c r="D110" s="116" t="n">
        <f aca="false">IF(OR(FALSE(),Übungen!$L$13="pause"),"",IF(IFERROR(INDEX(Rekorde!$P$4:$P$23,MATCH(Übungen!$A$13,Rekorde!$A$4:$A$23,0)),"")="","",MIN(Übungen!$E$13,IFERROR(INDEX(Rekorde!$P$4:$P$23,MATCH(Übungen!$A$13,Rekorde!$A$4:$A$23,0)),"")+1)))</f>
        <v>6</v>
      </c>
      <c r="E110" s="113"/>
      <c r="F110" s="113"/>
      <c r="G110" s="113"/>
      <c r="H110" s="113"/>
      <c r="I110" s="113"/>
    </row>
    <row r="111" customFormat="false" ht="18" hidden="false" customHeight="true" outlineLevel="0" collapsed="false">
      <c r="A111" s="72" t="n">
        <v>5</v>
      </c>
      <c r="B111" s="114" t="s">
        <v>553</v>
      </c>
      <c r="C111" s="111" t="n">
        <f aca="false">IF(OR(FALSE(),Übungen!$L$13="pause"),"",IF(IFERROR(INDEX(Rekorde!$O$4:$O$23,MATCH(Übungen!$A$13,Rekorde!$A$4:$A$23,0)),"")="","",ROUND(IFERROR(INDEX(Rekorde!$O$4:$O$23,MATCH(Übungen!$A$13,Rekorde!$A$4:$A$23,0)),"")*0.9*2,0)/2))</f>
        <v>153</v>
      </c>
      <c r="D111" s="116" t="n">
        <f aca="false">IF(OR(FALSE(),Übungen!$L$13="pause"),"",IF(IFERROR(INDEX(Rekorde!$P$4:$P$23,MATCH(Übungen!$A$13,Rekorde!$A$4:$A$23,0)),"")="","",MIN(Übungen!$E$13,IFERROR(INDEX(Rekorde!$P$4:$P$23,MATCH(Übungen!$A$13,Rekorde!$A$4:$A$23,0)),"")+2)))</f>
        <v>6</v>
      </c>
      <c r="E111" s="113"/>
      <c r="F111" s="113"/>
      <c r="G111" s="113"/>
      <c r="H111" s="113"/>
      <c r="I111" s="113"/>
    </row>
    <row r="113" customFormat="false" ht="18.75" hidden="false" customHeight="true" outlineLevel="0" collapsed="false">
      <c r="A113" s="107" t="str">
        <f aca="false">Übungen!$A$14</f>
        <v>Beinbeuger</v>
      </c>
      <c r="B113" s="107"/>
      <c r="C113" s="107"/>
      <c r="D113" s="107"/>
      <c r="E113" s="107"/>
      <c r="F113" s="107"/>
      <c r="G113" s="107"/>
      <c r="H113" s="107"/>
      <c r="I113" s="107"/>
    </row>
    <row r="114" customFormat="false" ht="13.5" hidden="false" customHeight="true" outlineLevel="0" collapsed="false">
      <c r="A114" s="108" t="str">
        <f aca="false">IF(OR(FALSE(),Übungen!$L$14="pause"),IF(Übungen!$L$14="pause","PAUSE - vorübergehend ausgesetzt, Grund im Blatt 'Übungen'     ·     ",""),IF(IFERROR(INDEX(Rekorde!$L$4:$L$23,MATCH(Übungen!$A$14,Rekorde!$A$4:$A$23,0)),"")="",IF(IFERROR(INDEX(Rekorde!$O$4:$O$23,MATCH(Übungen!$A$14,Rekorde!$A$4:$A$23,0)),"")="","Neu im Plan - Startgewicht im Blatt 'Übungen' eintragen     ·     ","Neu im Plan     ·     Start: "&amp;TEXT(IFERROR(INDEX(Rekorde!$O$4:$O$23,MATCH(Übungen!$A$14,Rekorde!$A$4:$A$23,0)),""),"0.#")&amp;" kg     ·     "),"Zuletzt: "&amp;TEXT(IFERROR(INDEX(Rekorde!$L$4:$L$23,MATCH(Übungen!$A$14,Rekorde!$A$4:$A$23,0)),""),"0.#")&amp;" kg × "&amp;IF(IFERROR(INDEX(Rekorde!$M$4:$M$23,MATCH(Übungen!$A$14,Rekorde!$A$4:$A$23,0)),"")="","?",TEXT(IFERROR(INDEX(Rekorde!$M$4:$M$23,MATCH(Übungen!$A$14,Rekorde!$A$4:$A$23,0)),""),"0"))&amp;" Wdh     ·     Bestwert: "&amp;TEXT(IFERROR(INDEX(Rekorde!$F$4:$F$23,MATCH(Übungen!$A$14,Rekorde!$A$4:$A$23,0)),""),"0.#")&amp;" kg     ·     "&amp;IF(IFERROR(INDEX(Rekorde!$O$4:$O$23,MATCH(Übungen!$A$14,Rekorde!$A$4:$A$23,0)),"")="","","Ziel heute: "&amp;TEXT(IFERROR(INDEX(Rekorde!$O$4:$O$23,MATCH(Übungen!$A$14,Rekorde!$A$4:$A$23,0)),""),"0.#")&amp;" kg × "&amp;IF(IFERROR(INDEX(Rekorde!$P$4:$P$23,MATCH(Übungen!$A$14,Rekorde!$A$4:$A$23,0)),"")="","",TEXT(IFERROR(INDEX(Rekorde!$P$4:$P$23,MATCH(Übungen!$A$14,Rekorde!$A$4:$A$23,0)),""),"0")&amp;" Wdh")&amp;"     ·     ")&amp;IF(AND(Übungen!$I$14&lt;&gt;"",IFERROR(INDEX(Rekorde!$O$4:$O$23,MATCH(Übungen!$A$14,Rekorde!$A$4:$A$23,0)),"")&lt;&gt;"",IFERROR(INDEX(Rekorde!$O$4:$O$23,MATCH(Übungen!$A$14,Rekorde!$A$4:$A$23,0)),"")&gt;=Übungen!$I$14),"Stackende, über Tempo und Pausen steigern     ·     ","")))</f>
        <v>Zuletzt: 45 kg × 5 Wdh     ·     Bestwert: 57.5 kg     ·     Ziel heute: 45 kg × 6 Wdh     ·     </v>
      </c>
      <c r="B114" s="108"/>
      <c r="C114" s="108"/>
      <c r="D114" s="108"/>
      <c r="E114" s="108"/>
      <c r="F114" s="108"/>
      <c r="G114" s="108"/>
      <c r="H114" s="108"/>
      <c r="I114" s="108"/>
    </row>
    <row r="115" customFormat="false" ht="13.5" hidden="false" customHeight="true" outlineLevel="0" collapsed="false">
      <c r="A115" s="109" t="str">
        <f aca="false">"Vorgabe: "&amp;Übungen!$F$14&amp;" × "&amp;Übungen!$D$14&amp;"-"&amp;Übungen!$E$14&amp;" Wdh @ RPE "&amp;Übungen!$G$14&amp;IF(OR(Übungen!$M$14="",Übungen!$M$14&lt;=1),"","     ·     nach OP gesperrt bis Woche "&amp;Übungen!$M$14)&amp;IF(OR(FALSE(),Übungen!$L$14="pause"),"",IF(AND(Übungen!$K$14&lt;&gt;"",Übungen!$K$14&lt;&gt;100),"     ·     Wiedereinstieg: "&amp;TEXT(Übungen!$K$14,"0")&amp;" % des berechneten Ziels",IF(IFERROR(INDEX(Rekorde!$Q$4:$Q$23,MATCH(Übungen!$A$14,Rekorde!$A$4:$A$23,0)),"")="","","     ·     Schritt: "&amp;IFERROR(INDEX(Rekorde!$Q$4:$Q$23,MATCH(Übungen!$A$14,Rekorde!$A$4:$A$23,0)),""))))</f>
        <v>Vorgabe: 3 × 5-6 Wdh @ RPE 9     ·     nach OP gesperrt bis Woche 2     ·     Schritt: Wdh +1 auf 6 bei gleichem Gewicht</v>
      </c>
      <c r="B115" s="109"/>
      <c r="C115" s="109"/>
      <c r="D115" s="109"/>
      <c r="E115" s="109"/>
      <c r="F115" s="109"/>
      <c r="G115" s="109"/>
      <c r="H115" s="109"/>
      <c r="I115" s="109"/>
    </row>
    <row r="116" customFormat="false" ht="18" hidden="false" customHeight="true" outlineLevel="0" collapsed="false">
      <c r="A116" s="110" t="s">
        <v>543</v>
      </c>
      <c r="B116" s="110" t="s">
        <v>544</v>
      </c>
      <c r="C116" s="110" t="s">
        <v>545</v>
      </c>
      <c r="D116" s="110" t="s">
        <v>546</v>
      </c>
      <c r="E116" s="110" t="s">
        <v>547</v>
      </c>
      <c r="F116" s="110" t="s">
        <v>454</v>
      </c>
      <c r="G116" s="110" t="s">
        <v>50</v>
      </c>
      <c r="H116" s="110" t="s">
        <v>548</v>
      </c>
      <c r="I116" s="110" t="s">
        <v>256</v>
      </c>
    </row>
    <row r="117" customFormat="false" ht="18" hidden="false" customHeight="true" outlineLevel="0" collapsed="false">
      <c r="A117" s="72" t="n">
        <v>1</v>
      </c>
      <c r="B117" s="70" t="s">
        <v>549</v>
      </c>
      <c r="C117" s="111" t="n">
        <f aca="false">IF(OR(FALSE(),Übungen!$L$14="pause"),"",IF(IFERROR(INDEX(Rekorde!$O$4:$O$23,MATCH(Übungen!$A$14,Rekorde!$A$4:$A$23,0)),"")="","",ROUND(IFERROR(INDEX(Rekorde!$O$4:$O$23,MATCH(Übungen!$A$14,Rekorde!$A$4:$A$23,0)),"")*0.4*2,0)/2))</f>
        <v>18</v>
      </c>
      <c r="D117" s="112"/>
      <c r="E117" s="113"/>
      <c r="F117" s="113"/>
      <c r="G117" s="113"/>
      <c r="H117" s="113"/>
      <c r="I117" s="113"/>
    </row>
    <row r="118" customFormat="false" ht="18" hidden="false" customHeight="true" outlineLevel="0" collapsed="false">
      <c r="A118" s="72" t="n">
        <v>2</v>
      </c>
      <c r="B118" s="70" t="s">
        <v>550</v>
      </c>
      <c r="C118" s="111" t="n">
        <f aca="false">IF(OR(FALSE(),Übungen!$L$14="pause"),"",IF(IFERROR(INDEX(Rekorde!$O$4:$O$23,MATCH(Übungen!$A$14,Rekorde!$A$4:$A$23,0)),"")="","",ROUND(IFERROR(INDEX(Rekorde!$O$4:$O$23,MATCH(Übungen!$A$14,Rekorde!$A$4:$A$23,0)),"")*0.7*2,0)/2))</f>
        <v>31.5</v>
      </c>
      <c r="D118" s="112"/>
      <c r="E118" s="113"/>
      <c r="F118" s="113"/>
      <c r="G118" s="113"/>
      <c r="H118" s="113"/>
      <c r="I118" s="113"/>
    </row>
    <row r="119" customFormat="false" ht="18" hidden="false" customHeight="true" outlineLevel="0" collapsed="false">
      <c r="A119" s="72" t="n">
        <v>3</v>
      </c>
      <c r="B119" s="114" t="s">
        <v>551</v>
      </c>
      <c r="C119" s="115" t="n">
        <f aca="false">IF(OR(FALSE(),Übungen!$L$14="pause"),"",IF(IFERROR(INDEX(Rekorde!$O$4:$O$23,MATCH(Übungen!$A$14,Rekorde!$A$4:$A$23,0)),"")="","",ROUND(IFERROR(INDEX(Rekorde!$O$4:$O$23,MATCH(Übungen!$A$14,Rekorde!$A$4:$A$23,0)),"")*1*2,0)/2))</f>
        <v>45</v>
      </c>
      <c r="D119" s="116" t="n">
        <f aca="false">IF(OR(FALSE(),Übungen!$L$14="pause"),"",IF(IFERROR(INDEX(Rekorde!$P$4:$P$23,MATCH(Übungen!$A$14,Rekorde!$A$4:$A$23,0)),"")="","",MIN(Übungen!$E$14,IFERROR(INDEX(Rekorde!$P$4:$P$23,MATCH(Übungen!$A$14,Rekorde!$A$4:$A$23,0)),"")+0)))</f>
        <v>6</v>
      </c>
      <c r="E119" s="113"/>
      <c r="F119" s="113"/>
      <c r="G119" s="113"/>
      <c r="H119" s="113"/>
      <c r="I119" s="113"/>
    </row>
    <row r="120" customFormat="false" ht="18" hidden="false" customHeight="true" outlineLevel="0" collapsed="false">
      <c r="A120" s="72" t="n">
        <v>4</v>
      </c>
      <c r="B120" s="114" t="s">
        <v>552</v>
      </c>
      <c r="C120" s="111" t="n">
        <f aca="false">IF(OR(FALSE(),Übungen!$L$14="pause"),"",IF(IFERROR(INDEX(Rekorde!$O$4:$O$23,MATCH(Übungen!$A$14,Rekorde!$A$4:$A$23,0)),"")="","",ROUND(IFERROR(INDEX(Rekorde!$O$4:$O$23,MATCH(Übungen!$A$14,Rekorde!$A$4:$A$23,0)),"")*0.95*2,0)/2))</f>
        <v>43</v>
      </c>
      <c r="D120" s="116" t="n">
        <f aca="false">IF(OR(FALSE(),Übungen!$L$14="pause"),"",IF(IFERROR(INDEX(Rekorde!$P$4:$P$23,MATCH(Übungen!$A$14,Rekorde!$A$4:$A$23,0)),"")="","",MIN(Übungen!$E$14,IFERROR(INDEX(Rekorde!$P$4:$P$23,MATCH(Übungen!$A$14,Rekorde!$A$4:$A$23,0)),"")+1)))</f>
        <v>6</v>
      </c>
      <c r="E120" s="113"/>
      <c r="F120" s="113"/>
      <c r="G120" s="113"/>
      <c r="H120" s="113"/>
      <c r="I120" s="113"/>
    </row>
    <row r="121" customFormat="false" ht="18" hidden="false" customHeight="true" outlineLevel="0" collapsed="false">
      <c r="A121" s="72" t="n">
        <v>5</v>
      </c>
      <c r="B121" s="114" t="s">
        <v>553</v>
      </c>
      <c r="C121" s="111" t="n">
        <f aca="false">IF(OR(FALSE(),Übungen!$L$14="pause"),"",IF(IFERROR(INDEX(Rekorde!$O$4:$O$23,MATCH(Übungen!$A$14,Rekorde!$A$4:$A$23,0)),"")="","",ROUND(IFERROR(INDEX(Rekorde!$O$4:$O$23,MATCH(Übungen!$A$14,Rekorde!$A$4:$A$23,0)),"")*0.9*2,0)/2))</f>
        <v>40.5</v>
      </c>
      <c r="D121" s="116" t="n">
        <f aca="false">IF(OR(FALSE(),Übungen!$L$14="pause"),"",IF(IFERROR(INDEX(Rekorde!$P$4:$P$23,MATCH(Übungen!$A$14,Rekorde!$A$4:$A$23,0)),"")="","",MIN(Übungen!$E$14,IFERROR(INDEX(Rekorde!$P$4:$P$23,MATCH(Übungen!$A$14,Rekorde!$A$4:$A$23,0)),"")+2)))</f>
        <v>6</v>
      </c>
      <c r="E121" s="113"/>
      <c r="F121" s="113"/>
      <c r="G121" s="113"/>
      <c r="H121" s="113"/>
      <c r="I121" s="113"/>
    </row>
    <row r="123" customFormat="false" ht="18.75" hidden="false" customHeight="true" outlineLevel="0" collapsed="false">
      <c r="A123" s="107" t="str">
        <f aca="false">Übungen!$A$15</f>
        <v>Seitliche Kickbacks</v>
      </c>
      <c r="B123" s="107"/>
      <c r="C123" s="107"/>
      <c r="D123" s="107"/>
      <c r="E123" s="107"/>
      <c r="F123" s="107"/>
      <c r="G123" s="107"/>
      <c r="H123" s="107"/>
      <c r="I123" s="107"/>
    </row>
    <row r="124" customFormat="false" ht="13.5" hidden="false" customHeight="true" outlineLevel="0" collapsed="false">
      <c r="A124" s="108" t="str">
        <f aca="false">IF(OR(FALSE(),Übungen!$L$15="pause"),IF(Übungen!$L$15="pause","PAUSE - vorübergehend ausgesetzt, Grund im Blatt 'Übungen'     ·     ",""),IF(IFERROR(INDEX(Rekorde!$L$4:$L$23,MATCH(Übungen!$A$15,Rekorde!$A$4:$A$23,0)),"")="",IF(IFERROR(INDEX(Rekorde!$O$4:$O$23,MATCH(Übungen!$A$15,Rekorde!$A$4:$A$23,0)),"")="","Neu im Plan - Startgewicht im Blatt 'Übungen' eintragen     ·     ","Neu im Plan     ·     Start: "&amp;TEXT(IFERROR(INDEX(Rekorde!$O$4:$O$23,MATCH(Übungen!$A$15,Rekorde!$A$4:$A$23,0)),""),"0.#")&amp;" kg     ·     "),"Zuletzt: "&amp;TEXT(IFERROR(INDEX(Rekorde!$L$4:$L$23,MATCH(Übungen!$A$15,Rekorde!$A$4:$A$23,0)),""),"0.#")&amp;" kg × "&amp;IF(IFERROR(INDEX(Rekorde!$M$4:$M$23,MATCH(Übungen!$A$15,Rekorde!$A$4:$A$23,0)),"")="","?",TEXT(IFERROR(INDEX(Rekorde!$M$4:$M$23,MATCH(Übungen!$A$15,Rekorde!$A$4:$A$23,0)),""),"0"))&amp;" Wdh     ·     Bestwert: "&amp;TEXT(IFERROR(INDEX(Rekorde!$F$4:$F$23,MATCH(Übungen!$A$15,Rekorde!$A$4:$A$23,0)),""),"0.#")&amp;" kg     ·     "&amp;IF(IFERROR(INDEX(Rekorde!$O$4:$O$23,MATCH(Übungen!$A$15,Rekorde!$A$4:$A$23,0)),"")="","","Ziel heute: "&amp;TEXT(IFERROR(INDEX(Rekorde!$O$4:$O$23,MATCH(Übungen!$A$15,Rekorde!$A$4:$A$23,0)),""),"0.#")&amp;" kg × "&amp;IF(IFERROR(INDEX(Rekorde!$P$4:$P$23,MATCH(Übungen!$A$15,Rekorde!$A$4:$A$23,0)),"")="","",TEXT(IFERROR(INDEX(Rekorde!$P$4:$P$23,MATCH(Übungen!$A$15,Rekorde!$A$4:$A$23,0)),""),"0")&amp;" Wdh")&amp;"     ·     ")&amp;IF(AND(Übungen!$I$15&lt;&gt;"",IFERROR(INDEX(Rekorde!$O$4:$O$23,MATCH(Übungen!$A$15,Rekorde!$A$4:$A$23,0)),"")&lt;&gt;"",IFERROR(INDEX(Rekorde!$O$4:$O$23,MATCH(Übungen!$A$15,Rekorde!$A$4:$A$23,0)),"")&gt;=Übungen!$I$15),"Stackende, über Tempo und Pausen steigern     ·     ","")))</f>
        <v>Zuletzt: 36 kg × 10 Wdh     ·     Bestwert: 49 kg     ·     Ziel heute: 40 kg × 5 Wdh     ·     </v>
      </c>
      <c r="B124" s="108"/>
      <c r="C124" s="108"/>
      <c r="D124" s="108"/>
      <c r="E124" s="108"/>
      <c r="F124" s="108"/>
      <c r="G124" s="108"/>
      <c r="H124" s="108"/>
      <c r="I124" s="108"/>
    </row>
    <row r="125" customFormat="false" ht="13.5" hidden="false" customHeight="true" outlineLevel="0" collapsed="false">
      <c r="A125" s="109" t="str">
        <f aca="false">"Vorgabe: "&amp;Übungen!$F$15&amp;" × "&amp;Übungen!$D$15&amp;"-"&amp;Übungen!$E$15&amp;" Wdh @ RPE "&amp;Übungen!$G$15&amp;IF(OR(Übungen!$M$15="",Übungen!$M$15&lt;=1),"","     ·     nach OP gesperrt bis Woche "&amp;Übungen!$M$15)&amp;IF(OR(FALSE(),Übungen!$L$15="pause"),"",IF(AND(Übungen!$K$15&lt;&gt;"",Übungen!$K$15&lt;&gt;100),"     ·     Wiedereinstieg: "&amp;TEXT(Übungen!$K$15,"0")&amp;" % des berechneten Ziels",IF(IFERROR(INDEX(Rekorde!$Q$4:$Q$23,MATCH(Übungen!$A$15,Rekorde!$A$4:$A$23,0)),"")="","","     ·     Schritt: "&amp;IFERROR(INDEX(Rekorde!$Q$4:$Q$23,MATCH(Übungen!$A$15,Rekorde!$A$4:$A$23,0)),""))))</f>
        <v>Vorgabe: 3 × 5-6 Wdh @ RPE 9     ·     nach OP gesperrt bis Woche 6     ·     Schritt: RM-Korrektur nach 10 Wdh: +4 kg (11.1%), Wdh zurück auf 5</v>
      </c>
      <c r="B125" s="109"/>
      <c r="C125" s="109"/>
      <c r="D125" s="109"/>
      <c r="E125" s="109"/>
      <c r="F125" s="109"/>
      <c r="G125" s="109"/>
      <c r="H125" s="109"/>
      <c r="I125" s="109"/>
    </row>
    <row r="126" customFormat="false" ht="18" hidden="false" customHeight="true" outlineLevel="0" collapsed="false">
      <c r="A126" s="110" t="s">
        <v>543</v>
      </c>
      <c r="B126" s="110" t="s">
        <v>544</v>
      </c>
      <c r="C126" s="110" t="s">
        <v>545</v>
      </c>
      <c r="D126" s="110" t="s">
        <v>546</v>
      </c>
      <c r="E126" s="110" t="s">
        <v>547</v>
      </c>
      <c r="F126" s="110" t="s">
        <v>454</v>
      </c>
      <c r="G126" s="110" t="s">
        <v>50</v>
      </c>
      <c r="H126" s="110" t="s">
        <v>548</v>
      </c>
      <c r="I126" s="110" t="s">
        <v>256</v>
      </c>
    </row>
    <row r="127" customFormat="false" ht="18" hidden="false" customHeight="true" outlineLevel="0" collapsed="false">
      <c r="A127" s="72" t="n">
        <v>1</v>
      </c>
      <c r="B127" s="70" t="s">
        <v>549</v>
      </c>
      <c r="C127" s="111" t="n">
        <f aca="false">IF(OR(FALSE(),Übungen!$L$15="pause"),"",IF(IFERROR(INDEX(Rekorde!$O$4:$O$23,MATCH(Übungen!$A$15,Rekorde!$A$4:$A$23,0)),"")="","",ROUND(IFERROR(INDEX(Rekorde!$O$4:$O$23,MATCH(Übungen!$A$15,Rekorde!$A$4:$A$23,0)),"")*0.4*2,0)/2))</f>
        <v>16</v>
      </c>
      <c r="D127" s="112"/>
      <c r="E127" s="113"/>
      <c r="F127" s="113"/>
      <c r="G127" s="113"/>
      <c r="H127" s="113"/>
      <c r="I127" s="113"/>
    </row>
    <row r="128" customFormat="false" ht="18" hidden="false" customHeight="true" outlineLevel="0" collapsed="false">
      <c r="A128" s="72" t="n">
        <v>2</v>
      </c>
      <c r="B128" s="70" t="s">
        <v>550</v>
      </c>
      <c r="C128" s="111" t="n">
        <f aca="false">IF(OR(FALSE(),Übungen!$L$15="pause"),"",IF(IFERROR(INDEX(Rekorde!$O$4:$O$23,MATCH(Übungen!$A$15,Rekorde!$A$4:$A$23,0)),"")="","",ROUND(IFERROR(INDEX(Rekorde!$O$4:$O$23,MATCH(Übungen!$A$15,Rekorde!$A$4:$A$23,0)),"")*0.7*2,0)/2))</f>
        <v>28</v>
      </c>
      <c r="D128" s="112"/>
      <c r="E128" s="113"/>
      <c r="F128" s="113"/>
      <c r="G128" s="113"/>
      <c r="H128" s="113"/>
      <c r="I128" s="113"/>
    </row>
    <row r="129" customFormat="false" ht="18" hidden="false" customHeight="true" outlineLevel="0" collapsed="false">
      <c r="A129" s="72" t="n">
        <v>3</v>
      </c>
      <c r="B129" s="114" t="s">
        <v>551</v>
      </c>
      <c r="C129" s="115" t="n">
        <f aca="false">IF(OR(FALSE(),Übungen!$L$15="pause"),"",IF(IFERROR(INDEX(Rekorde!$O$4:$O$23,MATCH(Übungen!$A$15,Rekorde!$A$4:$A$23,0)),"")="","",ROUND(IFERROR(INDEX(Rekorde!$O$4:$O$23,MATCH(Übungen!$A$15,Rekorde!$A$4:$A$23,0)),"")*1*2,0)/2))</f>
        <v>40</v>
      </c>
      <c r="D129" s="116" t="n">
        <f aca="false">IF(OR(FALSE(),Übungen!$L$15="pause"),"",IF(IFERROR(INDEX(Rekorde!$P$4:$P$23,MATCH(Übungen!$A$15,Rekorde!$A$4:$A$23,0)),"")="","",MIN(Übungen!$E$15,IFERROR(INDEX(Rekorde!$P$4:$P$23,MATCH(Übungen!$A$15,Rekorde!$A$4:$A$23,0)),"")+0)))</f>
        <v>5</v>
      </c>
      <c r="E129" s="113"/>
      <c r="F129" s="113"/>
      <c r="G129" s="113"/>
      <c r="H129" s="113"/>
      <c r="I129" s="113"/>
    </row>
    <row r="130" customFormat="false" ht="18" hidden="false" customHeight="true" outlineLevel="0" collapsed="false">
      <c r="A130" s="72" t="n">
        <v>4</v>
      </c>
      <c r="B130" s="114" t="s">
        <v>552</v>
      </c>
      <c r="C130" s="111" t="n">
        <f aca="false">IF(OR(FALSE(),Übungen!$L$15="pause"),"",IF(IFERROR(INDEX(Rekorde!$O$4:$O$23,MATCH(Übungen!$A$15,Rekorde!$A$4:$A$23,0)),"")="","",ROUND(IFERROR(INDEX(Rekorde!$O$4:$O$23,MATCH(Übungen!$A$15,Rekorde!$A$4:$A$23,0)),"")*0.95*2,0)/2))</f>
        <v>38</v>
      </c>
      <c r="D130" s="116" t="n">
        <f aca="false">IF(OR(FALSE(),Übungen!$L$15="pause"),"",IF(IFERROR(INDEX(Rekorde!$P$4:$P$23,MATCH(Übungen!$A$15,Rekorde!$A$4:$A$23,0)),"")="","",MIN(Übungen!$E$15,IFERROR(INDEX(Rekorde!$P$4:$P$23,MATCH(Übungen!$A$15,Rekorde!$A$4:$A$23,0)),"")+1)))</f>
        <v>6</v>
      </c>
      <c r="E130" s="113"/>
      <c r="F130" s="113"/>
      <c r="G130" s="113"/>
      <c r="H130" s="113"/>
      <c r="I130" s="113"/>
    </row>
    <row r="131" customFormat="false" ht="18" hidden="false" customHeight="true" outlineLevel="0" collapsed="false">
      <c r="A131" s="72" t="n">
        <v>5</v>
      </c>
      <c r="B131" s="114" t="s">
        <v>553</v>
      </c>
      <c r="C131" s="111" t="n">
        <f aca="false">IF(OR(FALSE(),Übungen!$L$15="pause"),"",IF(IFERROR(INDEX(Rekorde!$O$4:$O$23,MATCH(Übungen!$A$15,Rekorde!$A$4:$A$23,0)),"")="","",ROUND(IFERROR(INDEX(Rekorde!$O$4:$O$23,MATCH(Übungen!$A$15,Rekorde!$A$4:$A$23,0)),"")*0.9*2,0)/2))</f>
        <v>36</v>
      </c>
      <c r="D131" s="116" t="n">
        <f aca="false">IF(OR(FALSE(),Übungen!$L$15="pause"),"",IF(IFERROR(INDEX(Rekorde!$P$4:$P$23,MATCH(Übungen!$A$15,Rekorde!$A$4:$A$23,0)),"")="","",MIN(Übungen!$E$15,IFERROR(INDEX(Rekorde!$P$4:$P$23,MATCH(Übungen!$A$15,Rekorde!$A$4:$A$23,0)),"")+2)))</f>
        <v>6</v>
      </c>
      <c r="E131" s="113"/>
      <c r="F131" s="113"/>
      <c r="G131" s="113"/>
      <c r="H131" s="113"/>
      <c r="I131" s="113"/>
    </row>
    <row r="133" customFormat="false" ht="18.75" hidden="false" customHeight="true" outlineLevel="0" collapsed="false">
      <c r="A133" s="107" t="str">
        <f aca="false">Übungen!$A$16</f>
        <v>Waden</v>
      </c>
      <c r="B133" s="107"/>
      <c r="C133" s="107"/>
      <c r="D133" s="107"/>
      <c r="E133" s="107"/>
      <c r="F133" s="107"/>
      <c r="G133" s="107"/>
      <c r="H133" s="107"/>
      <c r="I133" s="107"/>
    </row>
    <row r="134" customFormat="false" ht="13.5" hidden="false" customHeight="true" outlineLevel="0" collapsed="false">
      <c r="A134" s="108" t="str">
        <f aca="false">IF(OR(FALSE(),Übungen!$L$16="pause"),IF(Übungen!$L$16="pause","PAUSE - vorübergehend ausgesetzt, Grund im Blatt 'Übungen'     ·     ",""),IF(IFERROR(INDEX(Rekorde!$L$4:$L$23,MATCH(Übungen!$A$16,Rekorde!$A$4:$A$23,0)),"")="",IF(IFERROR(INDEX(Rekorde!$O$4:$O$23,MATCH(Übungen!$A$16,Rekorde!$A$4:$A$23,0)),"")="","Neu im Plan - Startgewicht im Blatt 'Übungen' eintragen     ·     ","Neu im Plan     ·     Start: "&amp;TEXT(IFERROR(INDEX(Rekorde!$O$4:$O$23,MATCH(Übungen!$A$16,Rekorde!$A$4:$A$23,0)),""),"0.#")&amp;" kg     ·     "),"Zuletzt: "&amp;TEXT(IFERROR(INDEX(Rekorde!$L$4:$L$23,MATCH(Übungen!$A$16,Rekorde!$A$4:$A$23,0)),""),"0.#")&amp;" kg × "&amp;IF(IFERROR(INDEX(Rekorde!$M$4:$M$23,MATCH(Übungen!$A$16,Rekorde!$A$4:$A$23,0)),"")="","?",TEXT(IFERROR(INDEX(Rekorde!$M$4:$M$23,MATCH(Übungen!$A$16,Rekorde!$A$4:$A$23,0)),""),"0"))&amp;" Wdh     ·     Bestwert: "&amp;TEXT(IFERROR(INDEX(Rekorde!$F$4:$F$23,MATCH(Übungen!$A$16,Rekorde!$A$4:$A$23,0)),""),"0.#")&amp;" kg     ·     "&amp;IF(IFERROR(INDEX(Rekorde!$O$4:$O$23,MATCH(Übungen!$A$16,Rekorde!$A$4:$A$23,0)),"")="","","Ziel heute: "&amp;TEXT(IFERROR(INDEX(Rekorde!$O$4:$O$23,MATCH(Übungen!$A$16,Rekorde!$A$4:$A$23,0)),""),"0.#")&amp;" kg × "&amp;IF(IFERROR(INDEX(Rekorde!$P$4:$P$23,MATCH(Übungen!$A$16,Rekorde!$A$4:$A$23,0)),"")="","",TEXT(IFERROR(INDEX(Rekorde!$P$4:$P$23,MATCH(Übungen!$A$16,Rekorde!$A$4:$A$23,0)),""),"0")&amp;" Wdh")&amp;"     ·     ")&amp;IF(AND(Übungen!$I$16&lt;&gt;"",IFERROR(INDEX(Rekorde!$O$4:$O$23,MATCH(Übungen!$A$16,Rekorde!$A$4:$A$23,0)),"")&lt;&gt;"",IFERROR(INDEX(Rekorde!$O$4:$O$23,MATCH(Übungen!$A$16,Rekorde!$A$4:$A$23,0)),"")&gt;=Übungen!$I$16),"Stackende, über Tempo und Pausen steigern     ·     ","")))</f>
        <v>Zuletzt: 190 kg × 5 Wdh     ·     Bestwert: 190 kg     ·     Ziel heute: 190 kg × 6 Wdh     ·     </v>
      </c>
      <c r="B134" s="108"/>
      <c r="C134" s="108"/>
      <c r="D134" s="108"/>
      <c r="E134" s="108"/>
      <c r="F134" s="108"/>
      <c r="G134" s="108"/>
      <c r="H134" s="108"/>
      <c r="I134" s="108"/>
    </row>
    <row r="135" customFormat="false" ht="13.5" hidden="false" customHeight="true" outlineLevel="0" collapsed="false">
      <c r="A135" s="109" t="str">
        <f aca="false">"Vorgabe: "&amp;Übungen!$F$16&amp;" × "&amp;Übungen!$D$16&amp;"-"&amp;Übungen!$E$16&amp;" Wdh @ RPE "&amp;Übungen!$G$16&amp;IF(OR(Übungen!$M$16="",Übungen!$M$16&lt;=1),"","     ·     nach OP gesperrt bis Woche "&amp;Übungen!$M$16)&amp;IF(OR(FALSE(),Übungen!$L$16="pause"),"",IF(AND(Übungen!$K$16&lt;&gt;"",Übungen!$K$16&lt;&gt;100),"     ·     Wiedereinstieg: "&amp;TEXT(Übungen!$K$16,"0")&amp;" % des berechneten Ziels",IF(IFERROR(INDEX(Rekorde!$Q$4:$Q$23,MATCH(Übungen!$A$16,Rekorde!$A$4:$A$23,0)),"")="","","     ·     Schritt: "&amp;IFERROR(INDEX(Rekorde!$Q$4:$Q$23,MATCH(Übungen!$A$16,Rekorde!$A$4:$A$23,0)),""))))</f>
        <v>Vorgabe: 3 × 5-6 Wdh @ RPE 9     ·     nach OP gesperrt bis Woche 2     ·     Schritt: Wdh +1 auf 6 bei gleichem Gewicht</v>
      </c>
      <c r="B135" s="109"/>
      <c r="C135" s="109"/>
      <c r="D135" s="109"/>
      <c r="E135" s="109"/>
      <c r="F135" s="109"/>
      <c r="G135" s="109"/>
      <c r="H135" s="109"/>
      <c r="I135" s="109"/>
    </row>
    <row r="136" customFormat="false" ht="18" hidden="false" customHeight="true" outlineLevel="0" collapsed="false">
      <c r="A136" s="110" t="s">
        <v>543</v>
      </c>
      <c r="B136" s="110" t="s">
        <v>544</v>
      </c>
      <c r="C136" s="110" t="s">
        <v>545</v>
      </c>
      <c r="D136" s="110" t="s">
        <v>546</v>
      </c>
      <c r="E136" s="110" t="s">
        <v>547</v>
      </c>
      <c r="F136" s="110" t="s">
        <v>454</v>
      </c>
      <c r="G136" s="110" t="s">
        <v>50</v>
      </c>
      <c r="H136" s="110" t="s">
        <v>548</v>
      </c>
      <c r="I136" s="110" t="s">
        <v>256</v>
      </c>
    </row>
    <row r="137" customFormat="false" ht="18" hidden="false" customHeight="true" outlineLevel="0" collapsed="false">
      <c r="A137" s="72" t="n">
        <v>1</v>
      </c>
      <c r="B137" s="70" t="s">
        <v>549</v>
      </c>
      <c r="C137" s="111" t="n">
        <f aca="false">IF(OR(FALSE(),Übungen!$L$16="pause"),"",IF(IFERROR(INDEX(Rekorde!$O$4:$O$23,MATCH(Übungen!$A$16,Rekorde!$A$4:$A$23,0)),"")="","",ROUND(IFERROR(INDEX(Rekorde!$O$4:$O$23,MATCH(Übungen!$A$16,Rekorde!$A$4:$A$23,0)),"")*0.4*2,0)/2))</f>
        <v>76</v>
      </c>
      <c r="D137" s="112"/>
      <c r="E137" s="113"/>
      <c r="F137" s="113"/>
      <c r="G137" s="113"/>
      <c r="H137" s="113"/>
      <c r="I137" s="113"/>
    </row>
    <row r="138" customFormat="false" ht="18" hidden="false" customHeight="true" outlineLevel="0" collapsed="false">
      <c r="A138" s="72" t="n">
        <v>2</v>
      </c>
      <c r="B138" s="70" t="s">
        <v>550</v>
      </c>
      <c r="C138" s="111" t="n">
        <f aca="false">IF(OR(FALSE(),Übungen!$L$16="pause"),"",IF(IFERROR(INDEX(Rekorde!$O$4:$O$23,MATCH(Übungen!$A$16,Rekorde!$A$4:$A$23,0)),"")="","",ROUND(IFERROR(INDEX(Rekorde!$O$4:$O$23,MATCH(Übungen!$A$16,Rekorde!$A$4:$A$23,0)),"")*0.7*2,0)/2))</f>
        <v>133</v>
      </c>
      <c r="D138" s="112"/>
      <c r="E138" s="113"/>
      <c r="F138" s="113"/>
      <c r="G138" s="113"/>
      <c r="H138" s="113"/>
      <c r="I138" s="113"/>
    </row>
    <row r="139" customFormat="false" ht="18" hidden="false" customHeight="true" outlineLevel="0" collapsed="false">
      <c r="A139" s="72" t="n">
        <v>3</v>
      </c>
      <c r="B139" s="114" t="s">
        <v>551</v>
      </c>
      <c r="C139" s="115" t="n">
        <f aca="false">IF(OR(FALSE(),Übungen!$L$16="pause"),"",IF(IFERROR(INDEX(Rekorde!$O$4:$O$23,MATCH(Übungen!$A$16,Rekorde!$A$4:$A$23,0)),"")="","",ROUND(IFERROR(INDEX(Rekorde!$O$4:$O$23,MATCH(Übungen!$A$16,Rekorde!$A$4:$A$23,0)),"")*1*2,0)/2))</f>
        <v>190</v>
      </c>
      <c r="D139" s="116" t="n">
        <f aca="false">IF(OR(FALSE(),Übungen!$L$16="pause"),"",IF(IFERROR(INDEX(Rekorde!$P$4:$P$23,MATCH(Übungen!$A$16,Rekorde!$A$4:$A$23,0)),"")="","",MIN(Übungen!$E$16,IFERROR(INDEX(Rekorde!$P$4:$P$23,MATCH(Übungen!$A$16,Rekorde!$A$4:$A$23,0)),"")+0)))</f>
        <v>6</v>
      </c>
      <c r="E139" s="113"/>
      <c r="F139" s="113"/>
      <c r="G139" s="113"/>
      <c r="H139" s="113"/>
      <c r="I139" s="113"/>
    </row>
    <row r="140" customFormat="false" ht="18" hidden="false" customHeight="true" outlineLevel="0" collapsed="false">
      <c r="A140" s="72" t="n">
        <v>4</v>
      </c>
      <c r="B140" s="114" t="s">
        <v>552</v>
      </c>
      <c r="C140" s="111" t="n">
        <f aca="false">IF(OR(FALSE(),Übungen!$L$16="pause"),"",IF(IFERROR(INDEX(Rekorde!$O$4:$O$23,MATCH(Übungen!$A$16,Rekorde!$A$4:$A$23,0)),"")="","",ROUND(IFERROR(INDEX(Rekorde!$O$4:$O$23,MATCH(Übungen!$A$16,Rekorde!$A$4:$A$23,0)),"")*0.95*2,0)/2))</f>
        <v>180.5</v>
      </c>
      <c r="D140" s="116" t="n">
        <f aca="false">IF(OR(FALSE(),Übungen!$L$16="pause"),"",IF(IFERROR(INDEX(Rekorde!$P$4:$P$23,MATCH(Übungen!$A$16,Rekorde!$A$4:$A$23,0)),"")="","",MIN(Übungen!$E$16,IFERROR(INDEX(Rekorde!$P$4:$P$23,MATCH(Übungen!$A$16,Rekorde!$A$4:$A$23,0)),"")+1)))</f>
        <v>6</v>
      </c>
      <c r="E140" s="113"/>
      <c r="F140" s="113"/>
      <c r="G140" s="113"/>
      <c r="H140" s="113"/>
      <c r="I140" s="113"/>
    </row>
    <row r="141" customFormat="false" ht="18" hidden="false" customHeight="true" outlineLevel="0" collapsed="false">
      <c r="A141" s="72" t="n">
        <v>5</v>
      </c>
      <c r="B141" s="114" t="s">
        <v>553</v>
      </c>
      <c r="C141" s="111" t="n">
        <f aca="false">IF(OR(FALSE(),Übungen!$L$16="pause"),"",IF(IFERROR(INDEX(Rekorde!$O$4:$O$23,MATCH(Übungen!$A$16,Rekorde!$A$4:$A$23,0)),"")="","",ROUND(IFERROR(INDEX(Rekorde!$O$4:$O$23,MATCH(Übungen!$A$16,Rekorde!$A$4:$A$23,0)),"")*0.9*2,0)/2))</f>
        <v>171</v>
      </c>
      <c r="D141" s="116" t="n">
        <f aca="false">IF(OR(FALSE(),Übungen!$L$16="pause"),"",IF(IFERROR(INDEX(Rekorde!$P$4:$P$23,MATCH(Übungen!$A$16,Rekorde!$A$4:$A$23,0)),"")="","",MIN(Übungen!$E$16,IFERROR(INDEX(Rekorde!$P$4:$P$23,MATCH(Übungen!$A$16,Rekorde!$A$4:$A$23,0)),"")+2)))</f>
        <v>6</v>
      </c>
      <c r="E141" s="113"/>
      <c r="F141" s="113"/>
      <c r="G141" s="113"/>
      <c r="H141" s="113"/>
      <c r="I141" s="113"/>
    </row>
    <row r="143" customFormat="false" ht="15.75" hidden="false" customHeight="true" outlineLevel="0" collapsed="false">
      <c r="A143" s="3" t="s">
        <v>554</v>
      </c>
      <c r="B143" s="3"/>
      <c r="C143" s="3"/>
      <c r="D143" s="3"/>
      <c r="E143" s="3"/>
      <c r="F143" s="3"/>
      <c r="G143" s="3"/>
      <c r="H143" s="3"/>
      <c r="I143" s="3"/>
    </row>
    <row r="144" customFormat="false" ht="18" hidden="false" customHeight="true" outlineLevel="0" collapsed="false">
      <c r="A144" s="117"/>
      <c r="B144" s="117"/>
      <c r="C144" s="117"/>
      <c r="D144" s="117"/>
      <c r="E144" s="117"/>
      <c r="F144" s="117"/>
      <c r="G144" s="117"/>
      <c r="H144" s="117"/>
      <c r="I144" s="117"/>
    </row>
    <row r="145" customFormat="false" ht="18" hidden="false" customHeight="true" outlineLevel="0" collapsed="false">
      <c r="A145" s="117"/>
      <c r="B145" s="117"/>
      <c r="C145" s="117"/>
      <c r="D145" s="117"/>
      <c r="E145" s="117"/>
      <c r="F145" s="117"/>
      <c r="G145" s="117"/>
      <c r="H145" s="117"/>
      <c r="I145" s="117"/>
    </row>
    <row r="147" customFormat="false" ht="27.75" hidden="false" customHeight="true" outlineLevel="0" collapsed="false">
      <c r="A147" s="1" t="s">
        <v>556</v>
      </c>
      <c r="B147" s="1"/>
      <c r="C147" s="1"/>
      <c r="D147" s="1"/>
      <c r="E147" s="1"/>
      <c r="F147" s="1"/>
      <c r="G147" s="1"/>
      <c r="H147" s="1"/>
      <c r="I147" s="1"/>
    </row>
    <row r="148" customFormat="false" ht="12" hidden="false" customHeight="true" outlineLevel="0" collapsed="false">
      <c r="A148" s="104" t="s">
        <v>75</v>
      </c>
      <c r="B148" s="104"/>
      <c r="C148" s="105" t="s">
        <v>539</v>
      </c>
      <c r="D148" s="105" t="s">
        <v>540</v>
      </c>
      <c r="E148" s="104" t="s">
        <v>541</v>
      </c>
      <c r="F148" s="104"/>
      <c r="G148" s="104" t="s">
        <v>542</v>
      </c>
      <c r="H148" s="104"/>
    </row>
    <row r="149" customFormat="false" ht="18" hidden="false" customHeight="true" outlineLevel="0" collapsed="false">
      <c r="A149" s="106"/>
      <c r="B149" s="106"/>
      <c r="C149" s="106"/>
      <c r="D149" s="106"/>
      <c r="E149" s="106"/>
      <c r="F149" s="106"/>
      <c r="G149" s="106"/>
      <c r="H149" s="106"/>
    </row>
    <row r="151" customFormat="false" ht="18.75" hidden="false" customHeight="true" outlineLevel="0" collapsed="false">
      <c r="A151" s="107" t="str">
        <f aca="false">Übungen!$A$17</f>
        <v>Squat Maschine Bülach</v>
      </c>
      <c r="B151" s="107"/>
      <c r="C151" s="107"/>
      <c r="D151" s="107"/>
      <c r="E151" s="107"/>
      <c r="F151" s="107"/>
      <c r="G151" s="107"/>
      <c r="H151" s="107"/>
      <c r="I151" s="107"/>
    </row>
    <row r="152" customFormat="false" ht="13.5" hidden="false" customHeight="true" outlineLevel="0" collapsed="false">
      <c r="A152" s="108" t="str">
        <f aca="false">IF(OR(FALSE(),Übungen!$L$17="pause"),IF(Übungen!$L$17="pause","PAUSE - vorübergehend ausgesetzt, Grund im Blatt 'Übungen'     ·     ",""),IF(IFERROR(INDEX(Rekorde!$L$4:$L$23,MATCH(Übungen!$A$17,Rekorde!$A$4:$A$23,0)),"")="",IF(IFERROR(INDEX(Rekorde!$O$4:$O$23,MATCH(Übungen!$A$17,Rekorde!$A$4:$A$23,0)),"")="","Neu im Plan - Startgewicht im Blatt 'Übungen' eintragen     ·     ","Neu im Plan     ·     Start: "&amp;TEXT(IFERROR(INDEX(Rekorde!$O$4:$O$23,MATCH(Übungen!$A$17,Rekorde!$A$4:$A$23,0)),""),"0.#")&amp;" kg     ·     "),"Zuletzt: "&amp;TEXT(IFERROR(INDEX(Rekorde!$L$4:$L$23,MATCH(Übungen!$A$17,Rekorde!$A$4:$A$23,0)),""),"0.#")&amp;" kg × "&amp;IF(IFERROR(INDEX(Rekorde!$M$4:$M$23,MATCH(Übungen!$A$17,Rekorde!$A$4:$A$23,0)),"")="","?",TEXT(IFERROR(INDEX(Rekorde!$M$4:$M$23,MATCH(Übungen!$A$17,Rekorde!$A$4:$A$23,0)),""),"0"))&amp;" Wdh     ·     Bestwert: "&amp;TEXT(IFERROR(INDEX(Rekorde!$F$4:$F$23,MATCH(Übungen!$A$17,Rekorde!$A$4:$A$23,0)),""),"0.#")&amp;" kg     ·     "&amp;IF(IFERROR(INDEX(Rekorde!$O$4:$O$23,MATCH(Übungen!$A$17,Rekorde!$A$4:$A$23,0)),"")="","","Ziel heute: "&amp;TEXT(IFERROR(INDEX(Rekorde!$O$4:$O$23,MATCH(Übungen!$A$17,Rekorde!$A$4:$A$23,0)),""),"0.#")&amp;" kg × "&amp;IF(IFERROR(INDEX(Rekorde!$P$4:$P$23,MATCH(Übungen!$A$17,Rekorde!$A$4:$A$23,0)),"")="","",TEXT(IFERROR(INDEX(Rekorde!$P$4:$P$23,MATCH(Übungen!$A$17,Rekorde!$A$4:$A$23,0)),""),"0")&amp;" Wdh")&amp;"     ·     ")&amp;IF(AND(Übungen!$I$17&lt;&gt;"",IFERROR(INDEX(Rekorde!$O$4:$O$23,MATCH(Übungen!$A$17,Rekorde!$A$4:$A$23,0)),"")&lt;&gt;"",IFERROR(INDEX(Rekorde!$O$4:$O$23,MATCH(Übungen!$A$17,Rekorde!$A$4:$A$23,0)),"")&gt;=Übungen!$I$17),"Stackende, über Tempo und Pausen steigern     ·     ","")))</f>
        <v>Zuletzt: 120 kg × 9 Wdh     ·     Bestwert: 120 kg     ·     Ziel heute: 130 kg × 5 Wdh     ·     </v>
      </c>
      <c r="B152" s="108"/>
      <c r="C152" s="108"/>
      <c r="D152" s="108"/>
      <c r="E152" s="108"/>
      <c r="F152" s="108"/>
      <c r="G152" s="108"/>
      <c r="H152" s="108"/>
      <c r="I152" s="108"/>
    </row>
    <row r="153" customFormat="false" ht="13.5" hidden="false" customHeight="true" outlineLevel="0" collapsed="false">
      <c r="A153" s="109" t="str">
        <f aca="false">"Vorgabe: "&amp;Übungen!$F$17&amp;" × "&amp;Übungen!$D$17&amp;"-"&amp;Übungen!$E$17&amp;" Wdh @ RPE "&amp;Übungen!$G$17&amp;IF(OR(Übungen!$M$17="",Übungen!$M$17&lt;=1),"","     ·     nach OP gesperrt bis Woche "&amp;Übungen!$M$17)&amp;IF(OR(FALSE(),Übungen!$L$17="pause"),"",IF(AND(Übungen!$K$17&lt;&gt;"",Übungen!$K$17&lt;&gt;100),"     ·     Wiedereinstieg: "&amp;TEXT(Übungen!$K$17,"0")&amp;" % des berechneten Ziels",IF(IFERROR(INDEX(Rekorde!$Q$4:$Q$23,MATCH(Übungen!$A$17,Rekorde!$A$4:$A$23,0)),"")="","","     ·     Schritt: "&amp;IFERROR(INDEX(Rekorde!$Q$4:$Q$23,MATCH(Übungen!$A$17,Rekorde!$A$4:$A$23,0)),""))))</f>
        <v>Vorgabe: 3 × 5-6 Wdh @ RPE 8-9     ·     nach OP gesperrt bis Woche 12     ·     Schritt: RM-Korrektur nach 9 Wdh: +10 kg (8.3%), Wdh zurück auf 5</v>
      </c>
      <c r="B153" s="109"/>
      <c r="C153" s="109"/>
      <c r="D153" s="109"/>
      <c r="E153" s="109"/>
      <c r="F153" s="109"/>
      <c r="G153" s="109"/>
      <c r="H153" s="109"/>
      <c r="I153" s="109"/>
    </row>
    <row r="154" customFormat="false" ht="18" hidden="false" customHeight="true" outlineLevel="0" collapsed="false">
      <c r="A154" s="110" t="s">
        <v>543</v>
      </c>
      <c r="B154" s="110" t="s">
        <v>544</v>
      </c>
      <c r="C154" s="110" t="s">
        <v>545</v>
      </c>
      <c r="D154" s="110" t="s">
        <v>546</v>
      </c>
      <c r="E154" s="110" t="s">
        <v>547</v>
      </c>
      <c r="F154" s="110" t="s">
        <v>454</v>
      </c>
      <c r="G154" s="110" t="s">
        <v>50</v>
      </c>
      <c r="H154" s="110" t="s">
        <v>548</v>
      </c>
      <c r="I154" s="110" t="s">
        <v>256</v>
      </c>
    </row>
    <row r="155" customFormat="false" ht="18" hidden="false" customHeight="true" outlineLevel="0" collapsed="false">
      <c r="A155" s="72" t="n">
        <v>1</v>
      </c>
      <c r="B155" s="70" t="s">
        <v>549</v>
      </c>
      <c r="C155" s="111" t="n">
        <f aca="false">IF(OR(FALSE(),Übungen!$L$17="pause"),"",IF(IFERROR(INDEX(Rekorde!$O$4:$O$23,MATCH(Übungen!$A$17,Rekorde!$A$4:$A$23,0)),"")="","",ROUND(IFERROR(INDEX(Rekorde!$O$4:$O$23,MATCH(Übungen!$A$17,Rekorde!$A$4:$A$23,0)),"")*0.4*2,0)/2))</f>
        <v>52</v>
      </c>
      <c r="D155" s="112"/>
      <c r="E155" s="113"/>
      <c r="F155" s="113"/>
      <c r="G155" s="113"/>
      <c r="H155" s="113"/>
      <c r="I155" s="113"/>
    </row>
    <row r="156" customFormat="false" ht="18" hidden="false" customHeight="true" outlineLevel="0" collapsed="false">
      <c r="A156" s="72" t="n">
        <v>2</v>
      </c>
      <c r="B156" s="70" t="s">
        <v>550</v>
      </c>
      <c r="C156" s="111" t="n">
        <f aca="false">IF(OR(FALSE(),Übungen!$L$17="pause"),"",IF(IFERROR(INDEX(Rekorde!$O$4:$O$23,MATCH(Übungen!$A$17,Rekorde!$A$4:$A$23,0)),"")="","",ROUND(IFERROR(INDEX(Rekorde!$O$4:$O$23,MATCH(Übungen!$A$17,Rekorde!$A$4:$A$23,0)),"")*0.7*2,0)/2))</f>
        <v>91</v>
      </c>
      <c r="D156" s="112"/>
      <c r="E156" s="113"/>
      <c r="F156" s="113"/>
      <c r="G156" s="113"/>
      <c r="H156" s="113"/>
      <c r="I156" s="113"/>
    </row>
    <row r="157" customFormat="false" ht="18" hidden="false" customHeight="true" outlineLevel="0" collapsed="false">
      <c r="A157" s="72" t="n">
        <v>3</v>
      </c>
      <c r="B157" s="114" t="s">
        <v>551</v>
      </c>
      <c r="C157" s="115" t="n">
        <f aca="false">IF(OR(FALSE(),Übungen!$L$17="pause"),"",IF(IFERROR(INDEX(Rekorde!$O$4:$O$23,MATCH(Übungen!$A$17,Rekorde!$A$4:$A$23,0)),"")="","",ROUND(IFERROR(INDEX(Rekorde!$O$4:$O$23,MATCH(Übungen!$A$17,Rekorde!$A$4:$A$23,0)),"")*1*2,0)/2))</f>
        <v>130</v>
      </c>
      <c r="D157" s="116" t="n">
        <f aca="false">IF(OR(FALSE(),Übungen!$L$17="pause"),"",IF(IFERROR(INDEX(Rekorde!$P$4:$P$23,MATCH(Übungen!$A$17,Rekorde!$A$4:$A$23,0)),"")="","",MIN(Übungen!$E$17,IFERROR(INDEX(Rekorde!$P$4:$P$23,MATCH(Übungen!$A$17,Rekorde!$A$4:$A$23,0)),"")+0)))</f>
        <v>5</v>
      </c>
      <c r="E157" s="113"/>
      <c r="F157" s="113"/>
      <c r="G157" s="113"/>
      <c r="H157" s="113"/>
      <c r="I157" s="113"/>
    </row>
    <row r="158" customFormat="false" ht="18" hidden="false" customHeight="true" outlineLevel="0" collapsed="false">
      <c r="A158" s="72" t="n">
        <v>4</v>
      </c>
      <c r="B158" s="114" t="s">
        <v>552</v>
      </c>
      <c r="C158" s="111" t="n">
        <f aca="false">IF(OR(FALSE(),Übungen!$L$17="pause"),"",IF(IFERROR(INDEX(Rekorde!$O$4:$O$23,MATCH(Übungen!$A$17,Rekorde!$A$4:$A$23,0)),"")="","",ROUND(IFERROR(INDEX(Rekorde!$O$4:$O$23,MATCH(Übungen!$A$17,Rekorde!$A$4:$A$23,0)),"")*0.95*2,0)/2))</f>
        <v>123.5</v>
      </c>
      <c r="D158" s="116" t="n">
        <f aca="false">IF(OR(FALSE(),Übungen!$L$17="pause"),"",IF(IFERROR(INDEX(Rekorde!$P$4:$P$23,MATCH(Übungen!$A$17,Rekorde!$A$4:$A$23,0)),"")="","",MIN(Übungen!$E$17,IFERROR(INDEX(Rekorde!$P$4:$P$23,MATCH(Übungen!$A$17,Rekorde!$A$4:$A$23,0)),"")+1)))</f>
        <v>6</v>
      </c>
      <c r="E158" s="113"/>
      <c r="F158" s="113"/>
      <c r="G158" s="113"/>
      <c r="H158" s="113"/>
      <c r="I158" s="113"/>
    </row>
    <row r="159" customFormat="false" ht="18" hidden="false" customHeight="true" outlineLevel="0" collapsed="false">
      <c r="A159" s="72" t="n">
        <v>5</v>
      </c>
      <c r="B159" s="114" t="s">
        <v>553</v>
      </c>
      <c r="C159" s="111" t="n">
        <f aca="false">IF(OR(FALSE(),Übungen!$L$17="pause"),"",IF(IFERROR(INDEX(Rekorde!$O$4:$O$23,MATCH(Übungen!$A$17,Rekorde!$A$4:$A$23,0)),"")="","",ROUND(IFERROR(INDEX(Rekorde!$O$4:$O$23,MATCH(Übungen!$A$17,Rekorde!$A$4:$A$23,0)),"")*0.9*2,0)/2))</f>
        <v>117</v>
      </c>
      <c r="D159" s="116" t="n">
        <f aca="false">IF(OR(FALSE(),Übungen!$L$17="pause"),"",IF(IFERROR(INDEX(Rekorde!$P$4:$P$23,MATCH(Übungen!$A$17,Rekorde!$A$4:$A$23,0)),"")="","",MIN(Übungen!$E$17,IFERROR(INDEX(Rekorde!$P$4:$P$23,MATCH(Übungen!$A$17,Rekorde!$A$4:$A$23,0)),"")+2)))</f>
        <v>6</v>
      </c>
      <c r="E159" s="113"/>
      <c r="F159" s="113"/>
      <c r="G159" s="113"/>
      <c r="H159" s="113"/>
      <c r="I159" s="113"/>
    </row>
    <row r="161" customFormat="false" ht="18.75" hidden="false" customHeight="true" outlineLevel="0" collapsed="false">
      <c r="A161" s="107" t="str">
        <f aca="false">Übungen!$A$18</f>
        <v>Hip Thrust Bülach</v>
      </c>
      <c r="B161" s="107"/>
      <c r="C161" s="107"/>
      <c r="D161" s="107"/>
      <c r="E161" s="107"/>
      <c r="F161" s="107"/>
      <c r="G161" s="107"/>
      <c r="H161" s="107"/>
      <c r="I161" s="107"/>
    </row>
    <row r="162" customFormat="false" ht="13.5" hidden="false" customHeight="true" outlineLevel="0" collapsed="false">
      <c r="A162" s="108" t="str">
        <f aca="false">IF(OR(FALSE(),Übungen!$L$18="pause"),IF(Übungen!$L$18="pause","PAUSE - vorübergehend ausgesetzt, Grund im Blatt 'Übungen'     ·     ",""),IF(IFERROR(INDEX(Rekorde!$L$4:$L$23,MATCH(Übungen!$A$18,Rekorde!$A$4:$A$23,0)),"")="",IF(IFERROR(INDEX(Rekorde!$O$4:$O$23,MATCH(Übungen!$A$18,Rekorde!$A$4:$A$23,0)),"")="","Neu im Plan - Startgewicht im Blatt 'Übungen' eintragen     ·     ","Neu im Plan     ·     Start: "&amp;TEXT(IFERROR(INDEX(Rekorde!$O$4:$O$23,MATCH(Übungen!$A$18,Rekorde!$A$4:$A$23,0)),""),"0.#")&amp;" kg     ·     "),"Zuletzt: "&amp;TEXT(IFERROR(INDEX(Rekorde!$L$4:$L$23,MATCH(Übungen!$A$18,Rekorde!$A$4:$A$23,0)),""),"0.#")&amp;" kg × "&amp;IF(IFERROR(INDEX(Rekorde!$M$4:$M$23,MATCH(Übungen!$A$18,Rekorde!$A$4:$A$23,0)),"")="","?",TEXT(IFERROR(INDEX(Rekorde!$M$4:$M$23,MATCH(Übungen!$A$18,Rekorde!$A$4:$A$23,0)),""),"0"))&amp;" Wdh     ·     Bestwert: "&amp;TEXT(IFERROR(INDEX(Rekorde!$F$4:$F$23,MATCH(Übungen!$A$18,Rekorde!$A$4:$A$23,0)),""),"0.#")&amp;" kg     ·     "&amp;IF(IFERROR(INDEX(Rekorde!$O$4:$O$23,MATCH(Übungen!$A$18,Rekorde!$A$4:$A$23,0)),"")="","","Ziel heute: "&amp;TEXT(IFERROR(INDEX(Rekorde!$O$4:$O$23,MATCH(Übungen!$A$18,Rekorde!$A$4:$A$23,0)),""),"0.#")&amp;" kg × "&amp;IF(IFERROR(INDEX(Rekorde!$P$4:$P$23,MATCH(Übungen!$A$18,Rekorde!$A$4:$A$23,0)),"")="","",TEXT(IFERROR(INDEX(Rekorde!$P$4:$P$23,MATCH(Übungen!$A$18,Rekorde!$A$4:$A$23,0)),""),"0")&amp;" Wdh")&amp;"     ·     ")&amp;IF(AND(Übungen!$I$18&lt;&gt;"",IFERROR(INDEX(Rekorde!$O$4:$O$23,MATCH(Übungen!$A$18,Rekorde!$A$4:$A$23,0)),"")&lt;&gt;"",IFERROR(INDEX(Rekorde!$O$4:$O$23,MATCH(Übungen!$A$18,Rekorde!$A$4:$A$23,0)),"")&gt;=Übungen!$I$18),"Stackende, über Tempo und Pausen steigern     ·     ","")))</f>
        <v>Zuletzt: 200 kg × 10 Wdh     ·     Bestwert: 200 kg     ·     Ziel heute: 220 kg × 5 Wdh     ·     </v>
      </c>
      <c r="B162" s="108"/>
      <c r="C162" s="108"/>
      <c r="D162" s="108"/>
      <c r="E162" s="108"/>
      <c r="F162" s="108"/>
      <c r="G162" s="108"/>
      <c r="H162" s="108"/>
      <c r="I162" s="108"/>
    </row>
    <row r="163" customFormat="false" ht="13.5" hidden="false" customHeight="true" outlineLevel="0" collapsed="false">
      <c r="A163" s="109" t="str">
        <f aca="false">"Vorgabe: "&amp;Übungen!$F$18&amp;" × "&amp;Übungen!$D$18&amp;"-"&amp;Übungen!$E$18&amp;" Wdh @ RPE "&amp;Übungen!$G$18&amp;IF(OR(Übungen!$M$18="",Übungen!$M$18&lt;=1),"","     ·     nach OP gesperrt bis Woche "&amp;Übungen!$M$18)&amp;IF(OR(FALSE(),Übungen!$L$18="pause"),"",IF(AND(Übungen!$K$18&lt;&gt;"",Übungen!$K$18&lt;&gt;100),"     ·     Wiedereinstieg: "&amp;TEXT(Übungen!$K$18,"0")&amp;" % des berechneten Ziels",IF(IFERROR(INDEX(Rekorde!$Q$4:$Q$23,MATCH(Übungen!$A$18,Rekorde!$A$4:$A$23,0)),"")="","","     ·     Schritt: "&amp;IFERROR(INDEX(Rekorde!$Q$4:$Q$23,MATCH(Übungen!$A$18,Rekorde!$A$4:$A$23,0)),""))))</f>
        <v>Vorgabe: 3 × 5-6 Wdh @ RPE 8-9     ·     nach OP gesperrt bis Woche 12     ·     Schritt: RM-Korrektur nach 10 Wdh: +20 kg (10.0%), Wdh zurück auf 5</v>
      </c>
      <c r="B163" s="109"/>
      <c r="C163" s="109"/>
      <c r="D163" s="109"/>
      <c r="E163" s="109"/>
      <c r="F163" s="109"/>
      <c r="G163" s="109"/>
      <c r="H163" s="109"/>
      <c r="I163" s="109"/>
    </row>
    <row r="164" customFormat="false" ht="18" hidden="false" customHeight="true" outlineLevel="0" collapsed="false">
      <c r="A164" s="110" t="s">
        <v>543</v>
      </c>
      <c r="B164" s="110" t="s">
        <v>544</v>
      </c>
      <c r="C164" s="110" t="s">
        <v>545</v>
      </c>
      <c r="D164" s="110" t="s">
        <v>546</v>
      </c>
      <c r="E164" s="110" t="s">
        <v>547</v>
      </c>
      <c r="F164" s="110" t="s">
        <v>454</v>
      </c>
      <c r="G164" s="110" t="s">
        <v>50</v>
      </c>
      <c r="H164" s="110" t="s">
        <v>548</v>
      </c>
      <c r="I164" s="110" t="s">
        <v>256</v>
      </c>
    </row>
    <row r="165" customFormat="false" ht="18" hidden="false" customHeight="true" outlineLevel="0" collapsed="false">
      <c r="A165" s="72" t="n">
        <v>1</v>
      </c>
      <c r="B165" s="70" t="s">
        <v>549</v>
      </c>
      <c r="C165" s="111" t="n">
        <f aca="false">IF(OR(FALSE(),Übungen!$L$18="pause"),"",IF(IFERROR(INDEX(Rekorde!$O$4:$O$23,MATCH(Übungen!$A$18,Rekorde!$A$4:$A$23,0)),"")="","",ROUND(IFERROR(INDEX(Rekorde!$O$4:$O$23,MATCH(Übungen!$A$18,Rekorde!$A$4:$A$23,0)),"")*0.4*2,0)/2))</f>
        <v>88</v>
      </c>
      <c r="D165" s="112"/>
      <c r="E165" s="113"/>
      <c r="F165" s="113"/>
      <c r="G165" s="113"/>
      <c r="H165" s="113"/>
      <c r="I165" s="113"/>
    </row>
    <row r="166" customFormat="false" ht="18" hidden="false" customHeight="true" outlineLevel="0" collapsed="false">
      <c r="A166" s="72" t="n">
        <v>2</v>
      </c>
      <c r="B166" s="70" t="s">
        <v>550</v>
      </c>
      <c r="C166" s="111" t="n">
        <f aca="false">IF(OR(FALSE(),Übungen!$L$18="pause"),"",IF(IFERROR(INDEX(Rekorde!$O$4:$O$23,MATCH(Übungen!$A$18,Rekorde!$A$4:$A$23,0)),"")="","",ROUND(IFERROR(INDEX(Rekorde!$O$4:$O$23,MATCH(Übungen!$A$18,Rekorde!$A$4:$A$23,0)),"")*0.7*2,0)/2))</f>
        <v>154</v>
      </c>
      <c r="D166" s="112"/>
      <c r="E166" s="113"/>
      <c r="F166" s="113"/>
      <c r="G166" s="113"/>
      <c r="H166" s="113"/>
      <c r="I166" s="113"/>
    </row>
    <row r="167" customFormat="false" ht="18" hidden="false" customHeight="true" outlineLevel="0" collapsed="false">
      <c r="A167" s="72" t="n">
        <v>3</v>
      </c>
      <c r="B167" s="114" t="s">
        <v>551</v>
      </c>
      <c r="C167" s="115" t="n">
        <f aca="false">IF(OR(FALSE(),Übungen!$L$18="pause"),"",IF(IFERROR(INDEX(Rekorde!$O$4:$O$23,MATCH(Übungen!$A$18,Rekorde!$A$4:$A$23,0)),"")="","",ROUND(IFERROR(INDEX(Rekorde!$O$4:$O$23,MATCH(Übungen!$A$18,Rekorde!$A$4:$A$23,0)),"")*1*2,0)/2))</f>
        <v>220</v>
      </c>
      <c r="D167" s="116" t="n">
        <f aca="false">IF(OR(FALSE(),Übungen!$L$18="pause"),"",IF(IFERROR(INDEX(Rekorde!$P$4:$P$23,MATCH(Übungen!$A$18,Rekorde!$A$4:$A$23,0)),"")="","",MIN(Übungen!$E$18,IFERROR(INDEX(Rekorde!$P$4:$P$23,MATCH(Übungen!$A$18,Rekorde!$A$4:$A$23,0)),"")+0)))</f>
        <v>5</v>
      </c>
      <c r="E167" s="113"/>
      <c r="F167" s="113"/>
      <c r="G167" s="113"/>
      <c r="H167" s="113"/>
      <c r="I167" s="113"/>
    </row>
    <row r="168" customFormat="false" ht="18" hidden="false" customHeight="true" outlineLevel="0" collapsed="false">
      <c r="A168" s="72" t="n">
        <v>4</v>
      </c>
      <c r="B168" s="114" t="s">
        <v>552</v>
      </c>
      <c r="C168" s="111" t="n">
        <f aca="false">IF(OR(FALSE(),Übungen!$L$18="pause"),"",IF(IFERROR(INDEX(Rekorde!$O$4:$O$23,MATCH(Übungen!$A$18,Rekorde!$A$4:$A$23,0)),"")="","",ROUND(IFERROR(INDEX(Rekorde!$O$4:$O$23,MATCH(Übungen!$A$18,Rekorde!$A$4:$A$23,0)),"")*0.95*2,0)/2))</f>
        <v>209</v>
      </c>
      <c r="D168" s="116" t="n">
        <f aca="false">IF(OR(FALSE(),Übungen!$L$18="pause"),"",IF(IFERROR(INDEX(Rekorde!$P$4:$P$23,MATCH(Übungen!$A$18,Rekorde!$A$4:$A$23,0)),"")="","",MIN(Übungen!$E$18,IFERROR(INDEX(Rekorde!$P$4:$P$23,MATCH(Übungen!$A$18,Rekorde!$A$4:$A$23,0)),"")+1)))</f>
        <v>6</v>
      </c>
      <c r="E168" s="113"/>
      <c r="F168" s="113"/>
      <c r="G168" s="113"/>
      <c r="H168" s="113"/>
      <c r="I168" s="113"/>
    </row>
    <row r="169" customFormat="false" ht="18" hidden="false" customHeight="true" outlineLevel="0" collapsed="false">
      <c r="A169" s="72" t="n">
        <v>5</v>
      </c>
      <c r="B169" s="114" t="s">
        <v>553</v>
      </c>
      <c r="C169" s="111" t="n">
        <f aca="false">IF(OR(FALSE(),Übungen!$L$18="pause"),"",IF(IFERROR(INDEX(Rekorde!$O$4:$O$23,MATCH(Übungen!$A$18,Rekorde!$A$4:$A$23,0)),"")="","",ROUND(IFERROR(INDEX(Rekorde!$O$4:$O$23,MATCH(Übungen!$A$18,Rekorde!$A$4:$A$23,0)),"")*0.9*2,0)/2))</f>
        <v>198</v>
      </c>
      <c r="D169" s="116" t="n">
        <f aca="false">IF(OR(FALSE(),Übungen!$L$18="pause"),"",IF(IFERROR(INDEX(Rekorde!$P$4:$P$23,MATCH(Übungen!$A$18,Rekorde!$A$4:$A$23,0)),"")="","",MIN(Übungen!$E$18,IFERROR(INDEX(Rekorde!$P$4:$P$23,MATCH(Übungen!$A$18,Rekorde!$A$4:$A$23,0)),"")+2)))</f>
        <v>6</v>
      </c>
      <c r="E169" s="113"/>
      <c r="F169" s="113"/>
      <c r="G169" s="113"/>
      <c r="H169" s="113"/>
      <c r="I169" s="113"/>
    </row>
    <row r="171" customFormat="false" ht="18.75" hidden="false" customHeight="true" outlineLevel="0" collapsed="false">
      <c r="A171" s="107" t="str">
        <f aca="false">Übungen!$A$19</f>
        <v>Beinbeuger Bülach</v>
      </c>
      <c r="B171" s="107"/>
      <c r="C171" s="107"/>
      <c r="D171" s="107"/>
      <c r="E171" s="107"/>
      <c r="F171" s="107"/>
      <c r="G171" s="107"/>
      <c r="H171" s="107"/>
      <c r="I171" s="107"/>
    </row>
    <row r="172" customFormat="false" ht="13.5" hidden="false" customHeight="true" outlineLevel="0" collapsed="false">
      <c r="A172" s="108" t="str">
        <f aca="false">IF(OR(FALSE(),Übungen!$L$19="pause"),IF(Übungen!$L$19="pause","PAUSE - vorübergehend ausgesetzt, Grund im Blatt 'Übungen'     ·     ",""),IF(IFERROR(INDEX(Rekorde!$L$4:$L$23,MATCH(Übungen!$A$19,Rekorde!$A$4:$A$23,0)),"")="",IF(IFERROR(INDEX(Rekorde!$O$4:$O$23,MATCH(Übungen!$A$19,Rekorde!$A$4:$A$23,0)),"")="","Neu im Plan - Startgewicht im Blatt 'Übungen' eintragen     ·     ","Neu im Plan     ·     Start: "&amp;TEXT(IFERROR(INDEX(Rekorde!$O$4:$O$23,MATCH(Übungen!$A$19,Rekorde!$A$4:$A$23,0)),""),"0.#")&amp;" kg     ·     "),"Zuletzt: "&amp;TEXT(IFERROR(INDEX(Rekorde!$L$4:$L$23,MATCH(Übungen!$A$19,Rekorde!$A$4:$A$23,0)),""),"0.#")&amp;" kg × "&amp;IF(IFERROR(INDEX(Rekorde!$M$4:$M$23,MATCH(Übungen!$A$19,Rekorde!$A$4:$A$23,0)),"")="","?",TEXT(IFERROR(INDEX(Rekorde!$M$4:$M$23,MATCH(Übungen!$A$19,Rekorde!$A$4:$A$23,0)),""),"0"))&amp;" Wdh     ·     Bestwert: "&amp;TEXT(IFERROR(INDEX(Rekorde!$F$4:$F$23,MATCH(Übungen!$A$19,Rekorde!$A$4:$A$23,0)),""),"0.#")&amp;" kg     ·     "&amp;IF(IFERROR(INDEX(Rekorde!$O$4:$O$23,MATCH(Übungen!$A$19,Rekorde!$A$4:$A$23,0)),"")="","","Ziel heute: "&amp;TEXT(IFERROR(INDEX(Rekorde!$O$4:$O$23,MATCH(Übungen!$A$19,Rekorde!$A$4:$A$23,0)),""),"0.#")&amp;" kg × "&amp;IF(IFERROR(INDEX(Rekorde!$P$4:$P$23,MATCH(Übungen!$A$19,Rekorde!$A$4:$A$23,0)),"")="","",TEXT(IFERROR(INDEX(Rekorde!$P$4:$P$23,MATCH(Übungen!$A$19,Rekorde!$A$4:$A$23,0)),""),"0")&amp;" Wdh")&amp;"     ·     ")&amp;IF(AND(Übungen!$I$19&lt;&gt;"",IFERROR(INDEX(Rekorde!$O$4:$O$23,MATCH(Übungen!$A$19,Rekorde!$A$4:$A$23,0)),"")&lt;&gt;"",IFERROR(INDEX(Rekorde!$O$4:$O$23,MATCH(Übungen!$A$19,Rekorde!$A$4:$A$23,0)),"")&gt;=Übungen!$I$19),"Stackende, über Tempo und Pausen steigern     ·     ","")))</f>
        <v>Zuletzt: 59 kg × 6 Wdh     ·     Bestwert: 59 kg     ·     Ziel heute: 63 kg × 5 Wdh     ·     </v>
      </c>
      <c r="B172" s="108"/>
      <c r="C172" s="108"/>
      <c r="D172" s="108"/>
      <c r="E172" s="108"/>
      <c r="F172" s="108"/>
      <c r="G172" s="108"/>
      <c r="H172" s="108"/>
      <c r="I172" s="108"/>
    </row>
    <row r="173" customFormat="false" ht="13.5" hidden="false" customHeight="true" outlineLevel="0" collapsed="false">
      <c r="A173" s="109" t="str">
        <f aca="false">"Vorgabe: "&amp;Übungen!$F$19&amp;" × "&amp;Übungen!$D$19&amp;"-"&amp;Übungen!$E$19&amp;" Wdh @ RPE "&amp;Übungen!$G$19&amp;IF(OR(Übungen!$M$19="",Übungen!$M$19&lt;=1),"","     ·     nach OP gesperrt bis Woche "&amp;Übungen!$M$19)&amp;IF(OR(FALSE(),Übungen!$L$19="pause"),"",IF(AND(Übungen!$K$19&lt;&gt;"",Übungen!$K$19&lt;&gt;100),"     ·     Wiedereinstieg: "&amp;TEXT(Übungen!$K$19,"0")&amp;" % des berechneten Ziels",IF(IFERROR(INDEX(Rekorde!$Q$4:$Q$23,MATCH(Übungen!$A$19,Rekorde!$A$4:$A$23,0)),"")="","","     ·     Schritt: "&amp;IFERROR(INDEX(Rekorde!$Q$4:$Q$23,MATCH(Übungen!$A$19,Rekorde!$A$4:$A$23,0)),""))))</f>
        <v>Vorgabe: 3 × 5-6 Wdh @ RPE 9     ·     nach OP gesperrt bis Woche 2     ·     Schritt: Gewicht +4 kg (6.8%), Wdh zurück auf 5</v>
      </c>
      <c r="B173" s="109"/>
      <c r="C173" s="109"/>
      <c r="D173" s="109"/>
      <c r="E173" s="109"/>
      <c r="F173" s="109"/>
      <c r="G173" s="109"/>
      <c r="H173" s="109"/>
      <c r="I173" s="109"/>
    </row>
    <row r="174" customFormat="false" ht="18" hidden="false" customHeight="true" outlineLevel="0" collapsed="false">
      <c r="A174" s="110" t="s">
        <v>543</v>
      </c>
      <c r="B174" s="110" t="s">
        <v>544</v>
      </c>
      <c r="C174" s="110" t="s">
        <v>545</v>
      </c>
      <c r="D174" s="110" t="s">
        <v>546</v>
      </c>
      <c r="E174" s="110" t="s">
        <v>547</v>
      </c>
      <c r="F174" s="110" t="s">
        <v>454</v>
      </c>
      <c r="G174" s="110" t="s">
        <v>50</v>
      </c>
      <c r="H174" s="110" t="s">
        <v>548</v>
      </c>
      <c r="I174" s="110" t="s">
        <v>256</v>
      </c>
    </row>
    <row r="175" customFormat="false" ht="18" hidden="false" customHeight="true" outlineLevel="0" collapsed="false">
      <c r="A175" s="72" t="n">
        <v>1</v>
      </c>
      <c r="B175" s="70" t="s">
        <v>549</v>
      </c>
      <c r="C175" s="111" t="n">
        <f aca="false">IF(OR(FALSE(),Übungen!$L$19="pause"),"",IF(IFERROR(INDEX(Rekorde!$O$4:$O$23,MATCH(Übungen!$A$19,Rekorde!$A$4:$A$23,0)),"")="","",ROUND(IFERROR(INDEX(Rekorde!$O$4:$O$23,MATCH(Übungen!$A$19,Rekorde!$A$4:$A$23,0)),"")*0.4*2,0)/2))</f>
        <v>25</v>
      </c>
      <c r="D175" s="112"/>
      <c r="E175" s="113"/>
      <c r="F175" s="113"/>
      <c r="G175" s="113"/>
      <c r="H175" s="113"/>
      <c r="I175" s="113"/>
    </row>
    <row r="176" customFormat="false" ht="18" hidden="false" customHeight="true" outlineLevel="0" collapsed="false">
      <c r="A176" s="72" t="n">
        <v>2</v>
      </c>
      <c r="B176" s="70" t="s">
        <v>550</v>
      </c>
      <c r="C176" s="111" t="n">
        <f aca="false">IF(OR(FALSE(),Übungen!$L$19="pause"),"",IF(IFERROR(INDEX(Rekorde!$O$4:$O$23,MATCH(Übungen!$A$19,Rekorde!$A$4:$A$23,0)),"")="","",ROUND(IFERROR(INDEX(Rekorde!$O$4:$O$23,MATCH(Übungen!$A$19,Rekorde!$A$4:$A$23,0)),"")*0.7*2,0)/2))</f>
        <v>44</v>
      </c>
      <c r="D176" s="112"/>
      <c r="E176" s="113"/>
      <c r="F176" s="113"/>
      <c r="G176" s="113"/>
      <c r="H176" s="113"/>
      <c r="I176" s="113"/>
    </row>
    <row r="177" customFormat="false" ht="18" hidden="false" customHeight="true" outlineLevel="0" collapsed="false">
      <c r="A177" s="72" t="n">
        <v>3</v>
      </c>
      <c r="B177" s="114" t="s">
        <v>551</v>
      </c>
      <c r="C177" s="115" t="n">
        <f aca="false">IF(OR(FALSE(),Übungen!$L$19="pause"),"",IF(IFERROR(INDEX(Rekorde!$O$4:$O$23,MATCH(Übungen!$A$19,Rekorde!$A$4:$A$23,0)),"")="","",ROUND(IFERROR(INDEX(Rekorde!$O$4:$O$23,MATCH(Übungen!$A$19,Rekorde!$A$4:$A$23,0)),"")*1*2,0)/2))</f>
        <v>63</v>
      </c>
      <c r="D177" s="116" t="n">
        <f aca="false">IF(OR(FALSE(),Übungen!$L$19="pause"),"",IF(IFERROR(INDEX(Rekorde!$P$4:$P$23,MATCH(Übungen!$A$19,Rekorde!$A$4:$A$23,0)),"")="","",MIN(Übungen!$E$19,IFERROR(INDEX(Rekorde!$P$4:$P$23,MATCH(Übungen!$A$19,Rekorde!$A$4:$A$23,0)),"")+0)))</f>
        <v>5</v>
      </c>
      <c r="E177" s="113"/>
      <c r="F177" s="113"/>
      <c r="G177" s="113"/>
      <c r="H177" s="113"/>
      <c r="I177" s="113"/>
    </row>
    <row r="178" customFormat="false" ht="18" hidden="false" customHeight="true" outlineLevel="0" collapsed="false">
      <c r="A178" s="72" t="n">
        <v>4</v>
      </c>
      <c r="B178" s="114" t="s">
        <v>552</v>
      </c>
      <c r="C178" s="111" t="n">
        <f aca="false">IF(OR(FALSE(),Übungen!$L$19="pause"),"",IF(IFERROR(INDEX(Rekorde!$O$4:$O$23,MATCH(Übungen!$A$19,Rekorde!$A$4:$A$23,0)),"")="","",ROUND(IFERROR(INDEX(Rekorde!$O$4:$O$23,MATCH(Übungen!$A$19,Rekorde!$A$4:$A$23,0)),"")*0.95*2,0)/2))</f>
        <v>60</v>
      </c>
      <c r="D178" s="116" t="n">
        <f aca="false">IF(OR(FALSE(),Übungen!$L$19="pause"),"",IF(IFERROR(INDEX(Rekorde!$P$4:$P$23,MATCH(Übungen!$A$19,Rekorde!$A$4:$A$23,0)),"")="","",MIN(Übungen!$E$19,IFERROR(INDEX(Rekorde!$P$4:$P$23,MATCH(Übungen!$A$19,Rekorde!$A$4:$A$23,0)),"")+1)))</f>
        <v>6</v>
      </c>
      <c r="E178" s="113"/>
      <c r="F178" s="113"/>
      <c r="G178" s="113"/>
      <c r="H178" s="113"/>
      <c r="I178" s="113"/>
    </row>
    <row r="179" customFormat="false" ht="18" hidden="false" customHeight="true" outlineLevel="0" collapsed="false">
      <c r="A179" s="72" t="n">
        <v>5</v>
      </c>
      <c r="B179" s="114" t="s">
        <v>553</v>
      </c>
      <c r="C179" s="111" t="n">
        <f aca="false">IF(OR(FALSE(),Übungen!$L$19="pause"),"",IF(IFERROR(INDEX(Rekorde!$O$4:$O$23,MATCH(Übungen!$A$19,Rekorde!$A$4:$A$23,0)),"")="","",ROUND(IFERROR(INDEX(Rekorde!$O$4:$O$23,MATCH(Übungen!$A$19,Rekorde!$A$4:$A$23,0)),"")*0.9*2,0)/2))</f>
        <v>56.5</v>
      </c>
      <c r="D179" s="116" t="n">
        <f aca="false">IF(OR(FALSE(),Übungen!$L$19="pause"),"",IF(IFERROR(INDEX(Rekorde!$P$4:$P$23,MATCH(Übungen!$A$19,Rekorde!$A$4:$A$23,0)),"")="","",MIN(Übungen!$E$19,IFERROR(INDEX(Rekorde!$P$4:$P$23,MATCH(Übungen!$A$19,Rekorde!$A$4:$A$23,0)),"")+2)))</f>
        <v>6</v>
      </c>
      <c r="E179" s="113"/>
      <c r="F179" s="113"/>
      <c r="G179" s="113"/>
      <c r="H179" s="113"/>
      <c r="I179" s="113"/>
    </row>
    <row r="181" customFormat="false" ht="15.75" hidden="false" customHeight="true" outlineLevel="0" collapsed="false">
      <c r="A181" s="3" t="s">
        <v>554</v>
      </c>
      <c r="B181" s="3"/>
      <c r="C181" s="3"/>
      <c r="D181" s="3"/>
      <c r="E181" s="3"/>
      <c r="F181" s="3"/>
      <c r="G181" s="3"/>
      <c r="H181" s="3"/>
      <c r="I181" s="3"/>
    </row>
    <row r="182" customFormat="false" ht="18" hidden="false" customHeight="true" outlineLevel="0" collapsed="false">
      <c r="A182" s="117"/>
      <c r="B182" s="117"/>
      <c r="C182" s="117"/>
      <c r="D182" s="117"/>
      <c r="E182" s="117"/>
      <c r="F182" s="117"/>
      <c r="G182" s="117"/>
      <c r="H182" s="117"/>
      <c r="I182" s="117"/>
    </row>
    <row r="183" customFormat="false" ht="18" hidden="false" customHeight="true" outlineLevel="0" collapsed="false">
      <c r="A183" s="117"/>
      <c r="B183" s="117"/>
      <c r="C183" s="117"/>
      <c r="D183" s="117"/>
      <c r="E183" s="117"/>
      <c r="F183" s="117"/>
      <c r="G183" s="117"/>
      <c r="H183" s="117"/>
      <c r="I183" s="117"/>
    </row>
    <row r="185" customFormat="false" ht="27.75" hidden="false" customHeight="true" outlineLevel="0" collapsed="false">
      <c r="A185" s="1" t="s">
        <v>557</v>
      </c>
      <c r="B185" s="1"/>
      <c r="C185" s="1"/>
      <c r="D185" s="1"/>
      <c r="E185" s="1"/>
      <c r="F185" s="1"/>
      <c r="G185" s="1"/>
      <c r="H185" s="1"/>
      <c r="I185" s="1"/>
    </row>
    <row r="186" customFormat="false" ht="12" hidden="false" customHeight="true" outlineLevel="0" collapsed="false">
      <c r="A186" s="104" t="s">
        <v>75</v>
      </c>
      <c r="B186" s="104"/>
      <c r="C186" s="105" t="s">
        <v>539</v>
      </c>
      <c r="D186" s="105" t="s">
        <v>540</v>
      </c>
      <c r="E186" s="104" t="s">
        <v>541</v>
      </c>
      <c r="F186" s="104"/>
      <c r="G186" s="104" t="s">
        <v>542</v>
      </c>
      <c r="H186" s="104"/>
    </row>
    <row r="187" customFormat="false" ht="18" hidden="false" customHeight="true" outlineLevel="0" collapsed="false">
      <c r="A187" s="106"/>
      <c r="B187" s="106"/>
      <c r="C187" s="106"/>
      <c r="D187" s="106"/>
      <c r="E187" s="106"/>
      <c r="F187" s="106"/>
      <c r="G187" s="106"/>
      <c r="H187" s="106"/>
    </row>
    <row r="189" customFormat="false" ht="18.75" hidden="false" customHeight="true" outlineLevel="0" collapsed="false">
      <c r="A189" s="107" t="str">
        <f aca="false">Übungen!$A$4</f>
        <v>Beinpresse eng</v>
      </c>
      <c r="B189" s="107"/>
      <c r="C189" s="107"/>
      <c r="D189" s="107"/>
      <c r="E189" s="107"/>
      <c r="F189" s="107"/>
      <c r="G189" s="107"/>
      <c r="H189" s="107"/>
      <c r="I189" s="107"/>
    </row>
    <row r="190" customFormat="false" ht="13.5" hidden="false" customHeight="true" outlineLevel="0" collapsed="false">
      <c r="A190" s="108" t="str">
        <f aca="false">IF(OR(FALSE(),Übungen!$L$4="pause"),IF(Übungen!$L$4="pause","PAUSE - vorübergehend ausgesetzt, Grund im Blatt 'Übungen'     ·     ",""),IF(IFERROR(INDEX(Rekorde!$L$4:$L$23,MATCH(Übungen!$A$4,Rekorde!$A$4:$A$23,0)),"")="",IF(IFERROR(INDEX(Rekorde!$O$4:$O$23,MATCH(Übungen!$A$4,Rekorde!$A$4:$A$23,0)),"")="","Neu im Plan - Startgewicht im Blatt 'Übungen' eintragen     ·     ","Neu im Plan     ·     Start: "&amp;TEXT(IFERROR(INDEX(Rekorde!$O$4:$O$23,MATCH(Übungen!$A$4,Rekorde!$A$4:$A$23,0)),""),"0.#")&amp;" kg     ·     "),"Zuletzt: "&amp;TEXT(IFERROR(INDEX(Rekorde!$L$4:$L$23,MATCH(Übungen!$A$4,Rekorde!$A$4:$A$23,0)),""),"0.#")&amp;" kg × "&amp;IF(IFERROR(INDEX(Rekorde!$M$4:$M$23,MATCH(Übungen!$A$4,Rekorde!$A$4:$A$23,0)),"")="","?",TEXT(IFERROR(INDEX(Rekorde!$M$4:$M$23,MATCH(Übungen!$A$4,Rekorde!$A$4:$A$23,0)),""),"0"))&amp;" Wdh     ·     Bestwert: "&amp;TEXT(IFERROR(INDEX(Rekorde!$F$4:$F$23,MATCH(Übungen!$A$4,Rekorde!$A$4:$A$23,0)),""),"0.#")&amp;" kg     ·     "&amp;IF(IFERROR(INDEX(Rekorde!$O$4:$O$23,MATCH(Übungen!$A$4,Rekorde!$A$4:$A$23,0)),"")="","","Ziel heute: "&amp;TEXT(IFERROR(INDEX(Rekorde!$O$4:$O$23,MATCH(Übungen!$A$4,Rekorde!$A$4:$A$23,0)),""),"0.#")&amp;" kg × "&amp;IF(IFERROR(INDEX(Rekorde!$P$4:$P$23,MATCH(Übungen!$A$4,Rekorde!$A$4:$A$23,0)),"")="","",TEXT(IFERROR(INDEX(Rekorde!$P$4:$P$23,MATCH(Übungen!$A$4,Rekorde!$A$4:$A$23,0)),""),"0")&amp;" Wdh")&amp;"     ·     ")&amp;IF(AND(Übungen!$I$4&lt;&gt;"",IFERROR(INDEX(Rekorde!$O$4:$O$23,MATCH(Übungen!$A$4,Rekorde!$A$4:$A$23,0)),"")&lt;&gt;"",IFERROR(INDEX(Rekorde!$O$4:$O$23,MATCH(Übungen!$A$4,Rekorde!$A$4:$A$23,0)),"")&gt;=Übungen!$I$4),"Stackende, über Tempo und Pausen steigern     ·     ","")))</f>
        <v>Zuletzt: 300 kg × 6 Wdh     ·     Bestwert: 333 kg     ·     Ziel heute: 305 kg × 5 Wdh     ·     </v>
      </c>
      <c r="B190" s="108"/>
      <c r="C190" s="108"/>
      <c r="D190" s="108"/>
      <c r="E190" s="108"/>
      <c r="F190" s="108"/>
      <c r="G190" s="108"/>
      <c r="H190" s="108"/>
      <c r="I190" s="108"/>
    </row>
    <row r="191" customFormat="false" ht="13.5" hidden="false" customHeight="true" outlineLevel="0" collapsed="false">
      <c r="A191" s="109" t="str">
        <f aca="false">"Vorgabe: "&amp;Übungen!$F$4&amp;" × "&amp;Übungen!$D$4&amp;"-"&amp;Übungen!$E$4&amp;" Wdh @ RPE "&amp;Übungen!$G$4&amp;IF(OR(Übungen!$M$4="",Übungen!$M$4&lt;=1),"","     ·     nach OP gesperrt bis Woche "&amp;Übungen!$M$4)&amp;IF(OR(FALSE(),Übungen!$L$4="pause"),"",IF(AND(Übungen!$K$4&lt;&gt;"",Übungen!$K$4&lt;&gt;100),"     ·     Wiedereinstieg: "&amp;TEXT(Übungen!$K$4,"0")&amp;" % des berechneten Ziels",IF(IFERROR(INDEX(Rekorde!$Q$4:$Q$23,MATCH(Übungen!$A$4,Rekorde!$A$4:$A$23,0)),"")="","","     ·     Schritt: "&amp;IFERROR(INDEX(Rekorde!$Q$4:$Q$23,MATCH(Übungen!$A$4,Rekorde!$A$4:$A$23,0)),""))))</f>
        <v>Vorgabe: 3 × 5-6 Wdh @ RPE 8-9     ·     nach OP gesperrt bis Woche 6     ·     Schritt: Gewicht +5 kg (1.7%), Wdh zurück auf 5</v>
      </c>
      <c r="B191" s="109"/>
      <c r="C191" s="109"/>
      <c r="D191" s="109"/>
      <c r="E191" s="109"/>
      <c r="F191" s="109"/>
      <c r="G191" s="109"/>
      <c r="H191" s="109"/>
      <c r="I191" s="109"/>
    </row>
    <row r="192" customFormat="false" ht="18" hidden="false" customHeight="true" outlineLevel="0" collapsed="false">
      <c r="A192" s="110" t="s">
        <v>543</v>
      </c>
      <c r="B192" s="110" t="s">
        <v>544</v>
      </c>
      <c r="C192" s="110" t="s">
        <v>545</v>
      </c>
      <c r="D192" s="110" t="s">
        <v>546</v>
      </c>
      <c r="E192" s="110" t="s">
        <v>547</v>
      </c>
      <c r="F192" s="110" t="s">
        <v>454</v>
      </c>
      <c r="G192" s="110" t="s">
        <v>50</v>
      </c>
      <c r="H192" s="110" t="s">
        <v>548</v>
      </c>
      <c r="I192" s="110" t="s">
        <v>256</v>
      </c>
    </row>
    <row r="193" customFormat="false" ht="18" hidden="false" customHeight="true" outlineLevel="0" collapsed="false">
      <c r="A193" s="72" t="n">
        <v>1</v>
      </c>
      <c r="B193" s="70" t="s">
        <v>549</v>
      </c>
      <c r="C193" s="111" t="n">
        <f aca="false">IF(OR(FALSE(),Übungen!$L$4="pause"),"",IF(IFERROR(INDEX(Rekorde!$O$4:$O$23,MATCH(Übungen!$A$4,Rekorde!$A$4:$A$23,0)),"")="","",ROUND(IFERROR(INDEX(Rekorde!$O$4:$O$23,MATCH(Übungen!$A$4,Rekorde!$A$4:$A$23,0)),"")*0.4*2,0)/2))</f>
        <v>122</v>
      </c>
      <c r="D193" s="112"/>
      <c r="E193" s="113"/>
      <c r="F193" s="113"/>
      <c r="G193" s="113"/>
      <c r="H193" s="113"/>
      <c r="I193" s="113"/>
    </row>
    <row r="194" customFormat="false" ht="18" hidden="false" customHeight="true" outlineLevel="0" collapsed="false">
      <c r="A194" s="72" t="n">
        <v>2</v>
      </c>
      <c r="B194" s="70" t="s">
        <v>550</v>
      </c>
      <c r="C194" s="111" t="n">
        <f aca="false">IF(OR(FALSE(),Übungen!$L$4="pause"),"",IF(IFERROR(INDEX(Rekorde!$O$4:$O$23,MATCH(Übungen!$A$4,Rekorde!$A$4:$A$23,0)),"")="","",ROUND(IFERROR(INDEX(Rekorde!$O$4:$O$23,MATCH(Übungen!$A$4,Rekorde!$A$4:$A$23,0)),"")*0.7*2,0)/2))</f>
        <v>213.5</v>
      </c>
      <c r="D194" s="112"/>
      <c r="E194" s="113"/>
      <c r="F194" s="113"/>
      <c r="G194" s="113"/>
      <c r="H194" s="113"/>
      <c r="I194" s="113"/>
    </row>
    <row r="195" customFormat="false" ht="18" hidden="false" customHeight="true" outlineLevel="0" collapsed="false">
      <c r="A195" s="72" t="n">
        <v>3</v>
      </c>
      <c r="B195" s="114" t="s">
        <v>551</v>
      </c>
      <c r="C195" s="115" t="n">
        <f aca="false">IF(OR(FALSE(),Übungen!$L$4="pause"),"",IF(IFERROR(INDEX(Rekorde!$O$4:$O$23,MATCH(Übungen!$A$4,Rekorde!$A$4:$A$23,0)),"")="","",ROUND(IFERROR(INDEX(Rekorde!$O$4:$O$23,MATCH(Übungen!$A$4,Rekorde!$A$4:$A$23,0)),"")*1*2,0)/2))</f>
        <v>305</v>
      </c>
      <c r="D195" s="116" t="n">
        <f aca="false">IF(OR(FALSE(),Übungen!$L$4="pause"),"",IF(IFERROR(INDEX(Rekorde!$P$4:$P$23,MATCH(Übungen!$A$4,Rekorde!$A$4:$A$23,0)),"")="","",MIN(Übungen!$E$4,IFERROR(INDEX(Rekorde!$P$4:$P$23,MATCH(Übungen!$A$4,Rekorde!$A$4:$A$23,0)),"")+0)))</f>
        <v>5</v>
      </c>
      <c r="E195" s="113"/>
      <c r="F195" s="113"/>
      <c r="G195" s="113"/>
      <c r="H195" s="113"/>
      <c r="I195" s="113"/>
    </row>
    <row r="196" customFormat="false" ht="18" hidden="false" customHeight="true" outlineLevel="0" collapsed="false">
      <c r="A196" s="72" t="n">
        <v>4</v>
      </c>
      <c r="B196" s="114" t="s">
        <v>552</v>
      </c>
      <c r="C196" s="111" t="n">
        <f aca="false">IF(OR(FALSE(),Übungen!$L$4="pause"),"",IF(IFERROR(INDEX(Rekorde!$O$4:$O$23,MATCH(Übungen!$A$4,Rekorde!$A$4:$A$23,0)),"")="","",ROUND(IFERROR(INDEX(Rekorde!$O$4:$O$23,MATCH(Übungen!$A$4,Rekorde!$A$4:$A$23,0)),"")*0.95*2,0)/2))</f>
        <v>290</v>
      </c>
      <c r="D196" s="116" t="n">
        <f aca="false">IF(OR(FALSE(),Übungen!$L$4="pause"),"",IF(IFERROR(INDEX(Rekorde!$P$4:$P$23,MATCH(Übungen!$A$4,Rekorde!$A$4:$A$23,0)),"")="","",MIN(Übungen!$E$4,IFERROR(INDEX(Rekorde!$P$4:$P$23,MATCH(Übungen!$A$4,Rekorde!$A$4:$A$23,0)),"")+1)))</f>
        <v>6</v>
      </c>
      <c r="E196" s="113"/>
      <c r="F196" s="113"/>
      <c r="G196" s="113"/>
      <c r="H196" s="113"/>
      <c r="I196" s="113"/>
    </row>
    <row r="197" customFormat="false" ht="18" hidden="false" customHeight="true" outlineLevel="0" collapsed="false">
      <c r="A197" s="72" t="n">
        <v>5</v>
      </c>
      <c r="B197" s="114" t="s">
        <v>553</v>
      </c>
      <c r="C197" s="111" t="n">
        <f aca="false">IF(OR(FALSE(),Übungen!$L$4="pause"),"",IF(IFERROR(INDEX(Rekorde!$O$4:$O$23,MATCH(Übungen!$A$4,Rekorde!$A$4:$A$23,0)),"")="","",ROUND(IFERROR(INDEX(Rekorde!$O$4:$O$23,MATCH(Übungen!$A$4,Rekorde!$A$4:$A$23,0)),"")*0.9*2,0)/2))</f>
        <v>274.5</v>
      </c>
      <c r="D197" s="116" t="n">
        <f aca="false">IF(OR(FALSE(),Übungen!$L$4="pause"),"",IF(IFERROR(INDEX(Rekorde!$P$4:$P$23,MATCH(Übungen!$A$4,Rekorde!$A$4:$A$23,0)),"")="","",MIN(Übungen!$E$4,IFERROR(INDEX(Rekorde!$P$4:$P$23,MATCH(Übungen!$A$4,Rekorde!$A$4:$A$23,0)),"")+2)))</f>
        <v>6</v>
      </c>
      <c r="E197" s="113"/>
      <c r="F197" s="113"/>
      <c r="G197" s="113"/>
      <c r="H197" s="113"/>
      <c r="I197" s="113"/>
    </row>
    <row r="199" customFormat="false" ht="18.75" hidden="false" customHeight="true" outlineLevel="0" collapsed="false">
      <c r="A199" s="107" t="str">
        <f aca="false">Übungen!$A$5</f>
        <v>Split Squat</v>
      </c>
      <c r="B199" s="107"/>
      <c r="C199" s="107"/>
      <c r="D199" s="107"/>
      <c r="E199" s="107"/>
      <c r="F199" s="107"/>
      <c r="G199" s="107"/>
      <c r="H199" s="107"/>
      <c r="I199" s="107"/>
    </row>
    <row r="200" customFormat="false" ht="13.5" hidden="false" customHeight="true" outlineLevel="0" collapsed="false">
      <c r="A200" s="108" t="str">
        <f aca="false">IF(OR(FALSE(),Übungen!$L$5="pause"),IF(Übungen!$L$5="pause","PAUSE - vorübergehend ausgesetzt, Grund im Blatt 'Übungen'     ·     ",""),IF(IFERROR(INDEX(Rekorde!$L$4:$L$23,MATCH(Übungen!$A$5,Rekorde!$A$4:$A$23,0)),"")="",IF(IFERROR(INDEX(Rekorde!$O$4:$O$23,MATCH(Übungen!$A$5,Rekorde!$A$4:$A$23,0)),"")="","Neu im Plan - Startgewicht im Blatt 'Übungen' eintragen     ·     ","Neu im Plan     ·     Start: "&amp;TEXT(IFERROR(INDEX(Rekorde!$O$4:$O$23,MATCH(Übungen!$A$5,Rekorde!$A$4:$A$23,0)),""),"0.#")&amp;" kg     ·     "),"Zuletzt: "&amp;TEXT(IFERROR(INDEX(Rekorde!$L$4:$L$23,MATCH(Übungen!$A$5,Rekorde!$A$4:$A$23,0)),""),"0.#")&amp;" kg × "&amp;IF(IFERROR(INDEX(Rekorde!$M$4:$M$23,MATCH(Übungen!$A$5,Rekorde!$A$4:$A$23,0)),"")="","?",TEXT(IFERROR(INDEX(Rekorde!$M$4:$M$23,MATCH(Übungen!$A$5,Rekorde!$A$4:$A$23,0)),""),"0"))&amp;" Wdh     ·     Bestwert: "&amp;TEXT(IFERROR(INDEX(Rekorde!$F$4:$F$23,MATCH(Übungen!$A$5,Rekorde!$A$4:$A$23,0)),""),"0.#")&amp;" kg     ·     "&amp;IF(IFERROR(INDEX(Rekorde!$O$4:$O$23,MATCH(Übungen!$A$5,Rekorde!$A$4:$A$23,0)),"")="","","Ziel heute: "&amp;TEXT(IFERROR(INDEX(Rekorde!$O$4:$O$23,MATCH(Übungen!$A$5,Rekorde!$A$4:$A$23,0)),""),"0.#")&amp;" kg × "&amp;IF(IFERROR(INDEX(Rekorde!$P$4:$P$23,MATCH(Übungen!$A$5,Rekorde!$A$4:$A$23,0)),"")="","",TEXT(IFERROR(INDEX(Rekorde!$P$4:$P$23,MATCH(Übungen!$A$5,Rekorde!$A$4:$A$23,0)),""),"0")&amp;" Wdh")&amp;"     ·     ")&amp;IF(AND(Übungen!$I$5&lt;&gt;"",IFERROR(INDEX(Rekorde!$O$4:$O$23,MATCH(Übungen!$A$5,Rekorde!$A$4:$A$23,0)),"")&lt;&gt;"",IFERROR(INDEX(Rekorde!$O$4:$O$23,MATCH(Übungen!$A$5,Rekorde!$A$4:$A$23,0)),"")&gt;=Übungen!$I$5),"Stackende, über Tempo und Pausen steigern     ·     ","")))</f>
        <v>Zuletzt: 120 kg × 6 Wdh     ·     Bestwert: 120 kg     ·     Ziel heute: 122.5 kg × 5 Wdh     ·     </v>
      </c>
      <c r="B200" s="108"/>
      <c r="C200" s="108"/>
      <c r="D200" s="108"/>
      <c r="E200" s="108"/>
      <c r="F200" s="108"/>
      <c r="G200" s="108"/>
      <c r="H200" s="108"/>
      <c r="I200" s="108"/>
    </row>
    <row r="201" customFormat="false" ht="13.5" hidden="false" customHeight="true" outlineLevel="0" collapsed="false">
      <c r="A201" s="109" t="str">
        <f aca="false">"Vorgabe: "&amp;Übungen!$F$5&amp;" × "&amp;Übungen!$D$5&amp;"-"&amp;Übungen!$E$5&amp;" Wdh @ RPE "&amp;Übungen!$G$5&amp;IF(OR(Übungen!$M$5="",Übungen!$M$5&lt;=1),"","     ·     nach OP gesperrt bis Woche "&amp;Übungen!$M$5)&amp;IF(OR(FALSE(),Übungen!$L$5="pause"),"",IF(AND(Übungen!$K$5&lt;&gt;"",Übungen!$K$5&lt;&gt;100),"     ·     Wiedereinstieg: "&amp;TEXT(Übungen!$K$5,"0")&amp;" % des berechneten Ziels",IF(IFERROR(INDEX(Rekorde!$Q$4:$Q$23,MATCH(Übungen!$A$5,Rekorde!$A$4:$A$23,0)),"")="","","     ·     Schritt: "&amp;IFERROR(INDEX(Rekorde!$Q$4:$Q$23,MATCH(Übungen!$A$5,Rekorde!$A$4:$A$23,0)),""))))</f>
        <v>Vorgabe: 3 × 5-6 Wdh @ RPE 8     ·     nach OP gesperrt bis Woche 12     ·     Schritt: Gewicht +2.5 kg (2.1%), Wdh zurück auf 5</v>
      </c>
      <c r="B201" s="109"/>
      <c r="C201" s="109"/>
      <c r="D201" s="109"/>
      <c r="E201" s="109"/>
      <c r="F201" s="109"/>
      <c r="G201" s="109"/>
      <c r="H201" s="109"/>
      <c r="I201" s="109"/>
    </row>
    <row r="202" customFormat="false" ht="18" hidden="false" customHeight="true" outlineLevel="0" collapsed="false">
      <c r="A202" s="110" t="s">
        <v>543</v>
      </c>
      <c r="B202" s="110" t="s">
        <v>544</v>
      </c>
      <c r="C202" s="110" t="s">
        <v>545</v>
      </c>
      <c r="D202" s="110" t="s">
        <v>546</v>
      </c>
      <c r="E202" s="110" t="s">
        <v>547</v>
      </c>
      <c r="F202" s="110" t="s">
        <v>454</v>
      </c>
      <c r="G202" s="110" t="s">
        <v>50</v>
      </c>
      <c r="H202" s="110" t="s">
        <v>548</v>
      </c>
      <c r="I202" s="110" t="s">
        <v>256</v>
      </c>
    </row>
    <row r="203" customFormat="false" ht="18" hidden="false" customHeight="true" outlineLevel="0" collapsed="false">
      <c r="A203" s="72" t="n">
        <v>1</v>
      </c>
      <c r="B203" s="70" t="s">
        <v>549</v>
      </c>
      <c r="C203" s="111" t="n">
        <f aca="false">IF(OR(FALSE(),Übungen!$L$5="pause"),"",IF(IFERROR(INDEX(Rekorde!$O$4:$O$23,MATCH(Übungen!$A$5,Rekorde!$A$4:$A$23,0)),"")="","",ROUND(IFERROR(INDEX(Rekorde!$O$4:$O$23,MATCH(Übungen!$A$5,Rekorde!$A$4:$A$23,0)),"")*0.4*2,0)/2))</f>
        <v>49</v>
      </c>
      <c r="D203" s="112"/>
      <c r="E203" s="113"/>
      <c r="F203" s="113"/>
      <c r="G203" s="113"/>
      <c r="H203" s="113"/>
      <c r="I203" s="113"/>
    </row>
    <row r="204" customFormat="false" ht="18" hidden="false" customHeight="true" outlineLevel="0" collapsed="false">
      <c r="A204" s="72" t="n">
        <v>2</v>
      </c>
      <c r="B204" s="70" t="s">
        <v>550</v>
      </c>
      <c r="C204" s="111" t="n">
        <f aca="false">IF(OR(FALSE(),Übungen!$L$5="pause"),"",IF(IFERROR(INDEX(Rekorde!$O$4:$O$23,MATCH(Übungen!$A$5,Rekorde!$A$4:$A$23,0)),"")="","",ROUND(IFERROR(INDEX(Rekorde!$O$4:$O$23,MATCH(Übungen!$A$5,Rekorde!$A$4:$A$23,0)),"")*0.7*2,0)/2))</f>
        <v>86</v>
      </c>
      <c r="D204" s="112"/>
      <c r="E204" s="113"/>
      <c r="F204" s="113"/>
      <c r="G204" s="113"/>
      <c r="H204" s="113"/>
      <c r="I204" s="113"/>
    </row>
    <row r="205" customFormat="false" ht="18" hidden="false" customHeight="true" outlineLevel="0" collapsed="false">
      <c r="A205" s="72" t="n">
        <v>3</v>
      </c>
      <c r="B205" s="114" t="s">
        <v>551</v>
      </c>
      <c r="C205" s="115" t="n">
        <f aca="false">IF(OR(FALSE(),Übungen!$L$5="pause"),"",IF(IFERROR(INDEX(Rekorde!$O$4:$O$23,MATCH(Übungen!$A$5,Rekorde!$A$4:$A$23,0)),"")="","",ROUND(IFERROR(INDEX(Rekorde!$O$4:$O$23,MATCH(Übungen!$A$5,Rekorde!$A$4:$A$23,0)),"")*1*2,0)/2))</f>
        <v>122.5</v>
      </c>
      <c r="D205" s="116" t="n">
        <f aca="false">IF(OR(FALSE(),Übungen!$L$5="pause"),"",IF(IFERROR(INDEX(Rekorde!$P$4:$P$23,MATCH(Übungen!$A$5,Rekorde!$A$4:$A$23,0)),"")="","",MIN(Übungen!$E$5,IFERROR(INDEX(Rekorde!$P$4:$P$23,MATCH(Übungen!$A$5,Rekorde!$A$4:$A$23,0)),"")+0)))</f>
        <v>5</v>
      </c>
      <c r="E205" s="113"/>
      <c r="F205" s="113"/>
      <c r="G205" s="113"/>
      <c r="H205" s="113"/>
      <c r="I205" s="113"/>
    </row>
    <row r="206" customFormat="false" ht="18" hidden="false" customHeight="true" outlineLevel="0" collapsed="false">
      <c r="A206" s="72" t="n">
        <v>4</v>
      </c>
      <c r="B206" s="114" t="s">
        <v>552</v>
      </c>
      <c r="C206" s="111" t="n">
        <f aca="false">IF(OR(FALSE(),Übungen!$L$5="pause"),"",IF(IFERROR(INDEX(Rekorde!$O$4:$O$23,MATCH(Übungen!$A$5,Rekorde!$A$4:$A$23,0)),"")="","",ROUND(IFERROR(INDEX(Rekorde!$O$4:$O$23,MATCH(Übungen!$A$5,Rekorde!$A$4:$A$23,0)),"")*0.95*2,0)/2))</f>
        <v>116.5</v>
      </c>
      <c r="D206" s="116" t="n">
        <f aca="false">IF(OR(FALSE(),Übungen!$L$5="pause"),"",IF(IFERROR(INDEX(Rekorde!$P$4:$P$23,MATCH(Übungen!$A$5,Rekorde!$A$4:$A$23,0)),"")="","",MIN(Übungen!$E$5,IFERROR(INDEX(Rekorde!$P$4:$P$23,MATCH(Übungen!$A$5,Rekorde!$A$4:$A$23,0)),"")+1)))</f>
        <v>6</v>
      </c>
      <c r="E206" s="113"/>
      <c r="F206" s="113"/>
      <c r="G206" s="113"/>
      <c r="H206" s="113"/>
      <c r="I206" s="113"/>
    </row>
    <row r="207" customFormat="false" ht="18" hidden="false" customHeight="true" outlineLevel="0" collapsed="false">
      <c r="A207" s="72" t="n">
        <v>5</v>
      </c>
      <c r="B207" s="114" t="s">
        <v>553</v>
      </c>
      <c r="C207" s="111" t="n">
        <f aca="false">IF(OR(FALSE(),Übungen!$L$5="pause"),"",IF(IFERROR(INDEX(Rekorde!$O$4:$O$23,MATCH(Übungen!$A$5,Rekorde!$A$4:$A$23,0)),"")="","",ROUND(IFERROR(INDEX(Rekorde!$O$4:$O$23,MATCH(Übungen!$A$5,Rekorde!$A$4:$A$23,0)),"")*0.9*2,0)/2))</f>
        <v>110.5</v>
      </c>
      <c r="D207" s="116" t="n">
        <f aca="false">IF(OR(FALSE(),Übungen!$L$5="pause"),"",IF(IFERROR(INDEX(Rekorde!$P$4:$P$23,MATCH(Übungen!$A$5,Rekorde!$A$4:$A$23,0)),"")="","",MIN(Übungen!$E$5,IFERROR(INDEX(Rekorde!$P$4:$P$23,MATCH(Übungen!$A$5,Rekorde!$A$4:$A$23,0)),"")+2)))</f>
        <v>6</v>
      </c>
      <c r="E207" s="113"/>
      <c r="F207" s="113"/>
      <c r="G207" s="113"/>
      <c r="H207" s="113"/>
      <c r="I207" s="113"/>
    </row>
    <row r="209" customFormat="false" ht="18.75" hidden="false" customHeight="true" outlineLevel="0" collapsed="false">
      <c r="A209" s="107" t="str">
        <f aca="false">Übungen!$A$6</f>
        <v>Beinstrecker</v>
      </c>
      <c r="B209" s="107"/>
      <c r="C209" s="107"/>
      <c r="D209" s="107"/>
      <c r="E209" s="107"/>
      <c r="F209" s="107"/>
      <c r="G209" s="107"/>
      <c r="H209" s="107"/>
      <c r="I209" s="107"/>
    </row>
    <row r="210" customFormat="false" ht="13.5" hidden="false" customHeight="true" outlineLevel="0" collapsed="false">
      <c r="A210" s="108" t="str">
        <f aca="false">IF(OR(FALSE(),Übungen!$L$6="pause"),IF(Übungen!$L$6="pause","PAUSE - vorübergehend ausgesetzt, Grund im Blatt 'Übungen'     ·     ",""),IF(IFERROR(INDEX(Rekorde!$L$4:$L$23,MATCH(Übungen!$A$6,Rekorde!$A$4:$A$23,0)),"")="",IF(IFERROR(INDEX(Rekorde!$O$4:$O$23,MATCH(Übungen!$A$6,Rekorde!$A$4:$A$23,0)),"")="","Neu im Plan - Startgewicht im Blatt 'Übungen' eintragen     ·     ","Neu im Plan     ·     Start: "&amp;TEXT(IFERROR(INDEX(Rekorde!$O$4:$O$23,MATCH(Übungen!$A$6,Rekorde!$A$4:$A$23,0)),""),"0.#")&amp;" kg     ·     "),"Zuletzt: "&amp;TEXT(IFERROR(INDEX(Rekorde!$L$4:$L$23,MATCH(Übungen!$A$6,Rekorde!$A$4:$A$23,0)),""),"0.#")&amp;" kg × "&amp;IF(IFERROR(INDEX(Rekorde!$M$4:$M$23,MATCH(Übungen!$A$6,Rekorde!$A$4:$A$23,0)),"")="","?",TEXT(IFERROR(INDEX(Rekorde!$M$4:$M$23,MATCH(Übungen!$A$6,Rekorde!$A$4:$A$23,0)),""),"0"))&amp;" Wdh     ·     Bestwert: "&amp;TEXT(IFERROR(INDEX(Rekorde!$F$4:$F$23,MATCH(Übungen!$A$6,Rekorde!$A$4:$A$23,0)),""),"0.#")&amp;" kg     ·     "&amp;IF(IFERROR(INDEX(Rekorde!$O$4:$O$23,MATCH(Übungen!$A$6,Rekorde!$A$4:$A$23,0)),"")="","","Ziel heute: "&amp;TEXT(IFERROR(INDEX(Rekorde!$O$4:$O$23,MATCH(Übungen!$A$6,Rekorde!$A$4:$A$23,0)),""),"0.#")&amp;" kg × "&amp;IF(IFERROR(INDEX(Rekorde!$P$4:$P$23,MATCH(Übungen!$A$6,Rekorde!$A$4:$A$23,0)),"")="","",TEXT(IFERROR(INDEX(Rekorde!$P$4:$P$23,MATCH(Übungen!$A$6,Rekorde!$A$4:$A$23,0)),""),"0")&amp;" Wdh")&amp;"     ·     ")&amp;IF(AND(Übungen!$I$6&lt;&gt;"",IFERROR(INDEX(Rekorde!$O$4:$O$23,MATCH(Übungen!$A$6,Rekorde!$A$4:$A$23,0)),"")&lt;&gt;"",IFERROR(INDEX(Rekorde!$O$4:$O$23,MATCH(Übungen!$A$6,Rekorde!$A$4:$A$23,0)),"")&gt;=Übungen!$I$6),"Stackende, über Tempo und Pausen steigern     ·     ","")))</f>
        <v>Zuletzt: 95 kg × 5 Wdh     ·     Bestwert: 95 kg     ·     Ziel heute: 95 kg × 6 Wdh     ·     </v>
      </c>
      <c r="B210" s="108"/>
      <c r="C210" s="108"/>
      <c r="D210" s="108"/>
      <c r="E210" s="108"/>
      <c r="F210" s="108"/>
      <c r="G210" s="108"/>
      <c r="H210" s="108"/>
      <c r="I210" s="108"/>
    </row>
    <row r="211" customFormat="false" ht="13.5" hidden="false" customHeight="true" outlineLevel="0" collapsed="false">
      <c r="A211" s="109" t="str">
        <f aca="false">"Vorgabe: "&amp;Übungen!$F$6&amp;" × "&amp;Übungen!$D$6&amp;"-"&amp;Übungen!$E$6&amp;" Wdh @ RPE "&amp;Übungen!$G$6&amp;IF(OR(Übungen!$M$6="",Übungen!$M$6&lt;=1),"","     ·     nach OP gesperrt bis Woche "&amp;Übungen!$M$6)&amp;IF(OR(FALSE(),Übungen!$L$6="pause"),"",IF(AND(Übungen!$K$6&lt;&gt;"",Übungen!$K$6&lt;&gt;100),"     ·     Wiedereinstieg: "&amp;TEXT(Übungen!$K$6,"0")&amp;" % des berechneten Ziels",IF(IFERROR(INDEX(Rekorde!$Q$4:$Q$23,MATCH(Übungen!$A$6,Rekorde!$A$4:$A$23,0)),"")="","","     ·     Schritt: "&amp;IFERROR(INDEX(Rekorde!$Q$4:$Q$23,MATCH(Übungen!$A$6,Rekorde!$A$4:$A$23,0)),""))))</f>
        <v>Vorgabe: 3 × 5-6 Wdh @ RPE 9     ·     nach OP gesperrt bis Woche 2     ·     Schritt: Wdh +1 auf 6 bei gleichem Gewicht</v>
      </c>
      <c r="B211" s="109"/>
      <c r="C211" s="109"/>
      <c r="D211" s="109"/>
      <c r="E211" s="109"/>
      <c r="F211" s="109"/>
      <c r="G211" s="109"/>
      <c r="H211" s="109"/>
      <c r="I211" s="109"/>
    </row>
    <row r="212" customFormat="false" ht="18" hidden="false" customHeight="true" outlineLevel="0" collapsed="false">
      <c r="A212" s="110" t="s">
        <v>543</v>
      </c>
      <c r="B212" s="110" t="s">
        <v>544</v>
      </c>
      <c r="C212" s="110" t="s">
        <v>545</v>
      </c>
      <c r="D212" s="110" t="s">
        <v>546</v>
      </c>
      <c r="E212" s="110" t="s">
        <v>547</v>
      </c>
      <c r="F212" s="110" t="s">
        <v>454</v>
      </c>
      <c r="G212" s="110" t="s">
        <v>50</v>
      </c>
      <c r="H212" s="110" t="s">
        <v>548</v>
      </c>
      <c r="I212" s="110" t="s">
        <v>256</v>
      </c>
    </row>
    <row r="213" customFormat="false" ht="18" hidden="false" customHeight="true" outlineLevel="0" collapsed="false">
      <c r="A213" s="72" t="n">
        <v>1</v>
      </c>
      <c r="B213" s="70" t="s">
        <v>549</v>
      </c>
      <c r="C213" s="111" t="n">
        <f aca="false">IF(OR(FALSE(),Übungen!$L$6="pause"),"",IF(IFERROR(INDEX(Rekorde!$O$4:$O$23,MATCH(Übungen!$A$6,Rekorde!$A$4:$A$23,0)),"")="","",ROUND(IFERROR(INDEX(Rekorde!$O$4:$O$23,MATCH(Übungen!$A$6,Rekorde!$A$4:$A$23,0)),"")*0.4*2,0)/2))</f>
        <v>38</v>
      </c>
      <c r="D213" s="112"/>
      <c r="E213" s="113"/>
      <c r="F213" s="113"/>
      <c r="G213" s="113"/>
      <c r="H213" s="113"/>
      <c r="I213" s="113"/>
    </row>
    <row r="214" customFormat="false" ht="18" hidden="false" customHeight="true" outlineLevel="0" collapsed="false">
      <c r="A214" s="72" t="n">
        <v>2</v>
      </c>
      <c r="B214" s="70" t="s">
        <v>550</v>
      </c>
      <c r="C214" s="111" t="n">
        <f aca="false">IF(OR(FALSE(),Übungen!$L$6="pause"),"",IF(IFERROR(INDEX(Rekorde!$O$4:$O$23,MATCH(Übungen!$A$6,Rekorde!$A$4:$A$23,0)),"")="","",ROUND(IFERROR(INDEX(Rekorde!$O$4:$O$23,MATCH(Übungen!$A$6,Rekorde!$A$4:$A$23,0)),"")*0.7*2,0)/2))</f>
        <v>66.5</v>
      </c>
      <c r="D214" s="112"/>
      <c r="E214" s="113"/>
      <c r="F214" s="113"/>
      <c r="G214" s="113"/>
      <c r="H214" s="113"/>
      <c r="I214" s="113"/>
    </row>
    <row r="215" customFormat="false" ht="18" hidden="false" customHeight="true" outlineLevel="0" collapsed="false">
      <c r="A215" s="72" t="n">
        <v>3</v>
      </c>
      <c r="B215" s="114" t="s">
        <v>551</v>
      </c>
      <c r="C215" s="115" t="n">
        <f aca="false">IF(OR(FALSE(),Übungen!$L$6="pause"),"",IF(IFERROR(INDEX(Rekorde!$O$4:$O$23,MATCH(Übungen!$A$6,Rekorde!$A$4:$A$23,0)),"")="","",ROUND(IFERROR(INDEX(Rekorde!$O$4:$O$23,MATCH(Übungen!$A$6,Rekorde!$A$4:$A$23,0)),"")*1*2,0)/2))</f>
        <v>95</v>
      </c>
      <c r="D215" s="116" t="n">
        <f aca="false">IF(OR(FALSE(),Übungen!$L$6="pause"),"",IF(IFERROR(INDEX(Rekorde!$P$4:$P$23,MATCH(Übungen!$A$6,Rekorde!$A$4:$A$23,0)),"")="","",MIN(Übungen!$E$6,IFERROR(INDEX(Rekorde!$P$4:$P$23,MATCH(Übungen!$A$6,Rekorde!$A$4:$A$23,0)),"")+0)))</f>
        <v>6</v>
      </c>
      <c r="E215" s="113"/>
      <c r="F215" s="113"/>
      <c r="G215" s="113"/>
      <c r="H215" s="113"/>
      <c r="I215" s="113"/>
    </row>
    <row r="216" customFormat="false" ht="18" hidden="false" customHeight="true" outlineLevel="0" collapsed="false">
      <c r="A216" s="72" t="n">
        <v>4</v>
      </c>
      <c r="B216" s="114" t="s">
        <v>552</v>
      </c>
      <c r="C216" s="111" t="n">
        <f aca="false">IF(OR(FALSE(),Übungen!$L$6="pause"),"",IF(IFERROR(INDEX(Rekorde!$O$4:$O$23,MATCH(Übungen!$A$6,Rekorde!$A$4:$A$23,0)),"")="","",ROUND(IFERROR(INDEX(Rekorde!$O$4:$O$23,MATCH(Übungen!$A$6,Rekorde!$A$4:$A$23,0)),"")*0.95*2,0)/2))</f>
        <v>90.5</v>
      </c>
      <c r="D216" s="116" t="n">
        <f aca="false">IF(OR(FALSE(),Übungen!$L$6="pause"),"",IF(IFERROR(INDEX(Rekorde!$P$4:$P$23,MATCH(Übungen!$A$6,Rekorde!$A$4:$A$23,0)),"")="","",MIN(Übungen!$E$6,IFERROR(INDEX(Rekorde!$P$4:$P$23,MATCH(Übungen!$A$6,Rekorde!$A$4:$A$23,0)),"")+1)))</f>
        <v>6</v>
      </c>
      <c r="E216" s="113"/>
      <c r="F216" s="113"/>
      <c r="G216" s="113"/>
      <c r="H216" s="113"/>
      <c r="I216" s="113"/>
    </row>
    <row r="217" customFormat="false" ht="18" hidden="false" customHeight="true" outlineLevel="0" collapsed="false">
      <c r="A217" s="72" t="n">
        <v>5</v>
      </c>
      <c r="B217" s="114" t="s">
        <v>553</v>
      </c>
      <c r="C217" s="111" t="n">
        <f aca="false">IF(OR(FALSE(),Übungen!$L$6="pause"),"",IF(IFERROR(INDEX(Rekorde!$O$4:$O$23,MATCH(Übungen!$A$6,Rekorde!$A$4:$A$23,0)),"")="","",ROUND(IFERROR(INDEX(Rekorde!$O$4:$O$23,MATCH(Übungen!$A$6,Rekorde!$A$4:$A$23,0)),"")*0.9*2,0)/2))</f>
        <v>85.5</v>
      </c>
      <c r="D217" s="116" t="n">
        <f aca="false">IF(OR(FALSE(),Übungen!$L$6="pause"),"",IF(IFERROR(INDEX(Rekorde!$P$4:$P$23,MATCH(Übungen!$A$6,Rekorde!$A$4:$A$23,0)),"")="","",MIN(Übungen!$E$6,IFERROR(INDEX(Rekorde!$P$4:$P$23,MATCH(Übungen!$A$6,Rekorde!$A$4:$A$23,0)),"")+2)))</f>
        <v>6</v>
      </c>
      <c r="E217" s="113"/>
      <c r="F217" s="113"/>
      <c r="G217" s="113"/>
      <c r="H217" s="113"/>
      <c r="I217" s="113"/>
    </row>
    <row r="219" customFormat="false" ht="18.75" hidden="false" customHeight="true" outlineLevel="0" collapsed="false">
      <c r="A219" s="107" t="str">
        <f aca="false">Übungen!$A$7</f>
        <v>Adduktion</v>
      </c>
      <c r="B219" s="107"/>
      <c r="C219" s="107"/>
      <c r="D219" s="107"/>
      <c r="E219" s="107"/>
      <c r="F219" s="107"/>
      <c r="G219" s="107"/>
      <c r="H219" s="107"/>
      <c r="I219" s="107"/>
    </row>
    <row r="220" customFormat="false" ht="13.5" hidden="false" customHeight="true" outlineLevel="0" collapsed="false">
      <c r="A220" s="108" t="str">
        <f aca="false">IF(OR(FALSE(),Übungen!$L$7="pause"),IF(Übungen!$L$7="pause","PAUSE - vorübergehend ausgesetzt, Grund im Blatt 'Übungen'     ·     ",""),IF(IFERROR(INDEX(Rekorde!$L$4:$L$23,MATCH(Übungen!$A$7,Rekorde!$A$4:$A$23,0)),"")="",IF(IFERROR(INDEX(Rekorde!$O$4:$O$23,MATCH(Übungen!$A$7,Rekorde!$A$4:$A$23,0)),"")="","Neu im Plan - Startgewicht im Blatt 'Übungen' eintragen     ·     ","Neu im Plan     ·     Start: "&amp;TEXT(IFERROR(INDEX(Rekorde!$O$4:$O$23,MATCH(Übungen!$A$7,Rekorde!$A$4:$A$23,0)),""),"0.#")&amp;" kg     ·     "),"Zuletzt: "&amp;TEXT(IFERROR(INDEX(Rekorde!$L$4:$L$23,MATCH(Übungen!$A$7,Rekorde!$A$4:$A$23,0)),""),"0.#")&amp;" kg × "&amp;IF(IFERROR(INDEX(Rekorde!$M$4:$M$23,MATCH(Übungen!$A$7,Rekorde!$A$4:$A$23,0)),"")="","?",TEXT(IFERROR(INDEX(Rekorde!$M$4:$M$23,MATCH(Übungen!$A$7,Rekorde!$A$4:$A$23,0)),""),"0"))&amp;" Wdh     ·     Bestwert: "&amp;TEXT(IFERROR(INDEX(Rekorde!$F$4:$F$23,MATCH(Übungen!$A$7,Rekorde!$A$4:$A$23,0)),""),"0.#")&amp;" kg     ·     "&amp;IF(IFERROR(INDEX(Rekorde!$O$4:$O$23,MATCH(Übungen!$A$7,Rekorde!$A$4:$A$23,0)),"")="","","Ziel heute: "&amp;TEXT(IFERROR(INDEX(Rekorde!$O$4:$O$23,MATCH(Übungen!$A$7,Rekorde!$A$4:$A$23,0)),""),"0.#")&amp;" kg × "&amp;IF(IFERROR(INDEX(Rekorde!$P$4:$P$23,MATCH(Übungen!$A$7,Rekorde!$A$4:$A$23,0)),"")="","",TEXT(IFERROR(INDEX(Rekorde!$P$4:$P$23,MATCH(Übungen!$A$7,Rekorde!$A$4:$A$23,0)),""),"0")&amp;" Wdh")&amp;"     ·     ")&amp;IF(AND(Übungen!$I$7&lt;&gt;"",IFERROR(INDEX(Rekorde!$O$4:$O$23,MATCH(Übungen!$A$7,Rekorde!$A$4:$A$23,0)),"")&lt;&gt;"",IFERROR(INDEX(Rekorde!$O$4:$O$23,MATCH(Übungen!$A$7,Rekorde!$A$4:$A$23,0)),"")&gt;=Übungen!$I$7),"Stackende, über Tempo und Pausen steigern     ·     ","")))</f>
        <v>Zuletzt: 165 kg × 6 Wdh     ·     Bestwert: 185 kg     ·     Ziel heute: 167.5 kg × 5 Wdh     ·     </v>
      </c>
      <c r="B220" s="108"/>
      <c r="C220" s="108"/>
      <c r="D220" s="108"/>
      <c r="E220" s="108"/>
      <c r="F220" s="108"/>
      <c r="G220" s="108"/>
      <c r="H220" s="108"/>
      <c r="I220" s="108"/>
    </row>
    <row r="221" customFormat="false" ht="13.5" hidden="false" customHeight="true" outlineLevel="0" collapsed="false">
      <c r="A221" s="109" t="str">
        <f aca="false">"Vorgabe: "&amp;Übungen!$F$7&amp;" × "&amp;Übungen!$D$7&amp;"-"&amp;Übungen!$E$7&amp;" Wdh @ RPE "&amp;Übungen!$G$7&amp;IF(OR(Übungen!$M$7="",Übungen!$M$7&lt;=1),"","     ·     nach OP gesperrt bis Woche "&amp;Übungen!$M$7)&amp;IF(OR(FALSE(),Übungen!$L$7="pause"),"",IF(AND(Übungen!$K$7&lt;&gt;"",Übungen!$K$7&lt;&gt;100),"     ·     Wiedereinstieg: "&amp;TEXT(Übungen!$K$7,"0")&amp;" % des berechneten Ziels",IF(IFERROR(INDEX(Rekorde!$Q$4:$Q$23,MATCH(Übungen!$A$7,Rekorde!$A$4:$A$23,0)),"")="","","     ·     Schritt: "&amp;IFERROR(INDEX(Rekorde!$Q$4:$Q$23,MATCH(Übungen!$A$7,Rekorde!$A$4:$A$23,0)),""))))</f>
        <v>Vorgabe: 3 × 5-6 Wdh @ RPE 9     ·     nach OP gesperrt bis Woche 2     ·     Schritt: Gewicht +2.5 kg (1.5%), Wdh zurück auf 5</v>
      </c>
      <c r="B221" s="109"/>
      <c r="C221" s="109"/>
      <c r="D221" s="109"/>
      <c r="E221" s="109"/>
      <c r="F221" s="109"/>
      <c r="G221" s="109"/>
      <c r="H221" s="109"/>
      <c r="I221" s="109"/>
    </row>
    <row r="222" customFormat="false" ht="18" hidden="false" customHeight="true" outlineLevel="0" collapsed="false">
      <c r="A222" s="110" t="s">
        <v>543</v>
      </c>
      <c r="B222" s="110" t="s">
        <v>544</v>
      </c>
      <c r="C222" s="110" t="s">
        <v>545</v>
      </c>
      <c r="D222" s="110" t="s">
        <v>546</v>
      </c>
      <c r="E222" s="110" t="s">
        <v>547</v>
      </c>
      <c r="F222" s="110" t="s">
        <v>454</v>
      </c>
      <c r="G222" s="110" t="s">
        <v>50</v>
      </c>
      <c r="H222" s="110" t="s">
        <v>548</v>
      </c>
      <c r="I222" s="110" t="s">
        <v>256</v>
      </c>
    </row>
    <row r="223" customFormat="false" ht="18" hidden="false" customHeight="true" outlineLevel="0" collapsed="false">
      <c r="A223" s="72" t="n">
        <v>1</v>
      </c>
      <c r="B223" s="70" t="s">
        <v>549</v>
      </c>
      <c r="C223" s="111" t="n">
        <f aca="false">IF(OR(FALSE(),Übungen!$L$7="pause"),"",IF(IFERROR(INDEX(Rekorde!$O$4:$O$23,MATCH(Übungen!$A$7,Rekorde!$A$4:$A$23,0)),"")="","",ROUND(IFERROR(INDEX(Rekorde!$O$4:$O$23,MATCH(Übungen!$A$7,Rekorde!$A$4:$A$23,0)),"")*0.4*2,0)/2))</f>
        <v>67</v>
      </c>
      <c r="D223" s="112"/>
      <c r="E223" s="113"/>
      <c r="F223" s="113"/>
      <c r="G223" s="113"/>
      <c r="H223" s="113"/>
      <c r="I223" s="113"/>
    </row>
    <row r="224" customFormat="false" ht="18" hidden="false" customHeight="true" outlineLevel="0" collapsed="false">
      <c r="A224" s="72" t="n">
        <v>2</v>
      </c>
      <c r="B224" s="70" t="s">
        <v>550</v>
      </c>
      <c r="C224" s="111" t="n">
        <f aca="false">IF(OR(FALSE(),Übungen!$L$7="pause"),"",IF(IFERROR(INDEX(Rekorde!$O$4:$O$23,MATCH(Übungen!$A$7,Rekorde!$A$4:$A$23,0)),"")="","",ROUND(IFERROR(INDEX(Rekorde!$O$4:$O$23,MATCH(Übungen!$A$7,Rekorde!$A$4:$A$23,0)),"")*0.7*2,0)/2))</f>
        <v>117</v>
      </c>
      <c r="D224" s="112"/>
      <c r="E224" s="113"/>
      <c r="F224" s="113"/>
      <c r="G224" s="113"/>
      <c r="H224" s="113"/>
      <c r="I224" s="113"/>
    </row>
    <row r="225" customFormat="false" ht="18" hidden="false" customHeight="true" outlineLevel="0" collapsed="false">
      <c r="A225" s="72" t="n">
        <v>3</v>
      </c>
      <c r="B225" s="114" t="s">
        <v>551</v>
      </c>
      <c r="C225" s="115" t="n">
        <f aca="false">IF(OR(FALSE(),Übungen!$L$7="pause"),"",IF(IFERROR(INDEX(Rekorde!$O$4:$O$23,MATCH(Übungen!$A$7,Rekorde!$A$4:$A$23,0)),"")="","",ROUND(IFERROR(INDEX(Rekorde!$O$4:$O$23,MATCH(Übungen!$A$7,Rekorde!$A$4:$A$23,0)),"")*1*2,0)/2))</f>
        <v>167.5</v>
      </c>
      <c r="D225" s="116" t="n">
        <f aca="false">IF(OR(FALSE(),Übungen!$L$7="pause"),"",IF(IFERROR(INDEX(Rekorde!$P$4:$P$23,MATCH(Übungen!$A$7,Rekorde!$A$4:$A$23,0)),"")="","",MIN(Übungen!$E$7,IFERROR(INDEX(Rekorde!$P$4:$P$23,MATCH(Übungen!$A$7,Rekorde!$A$4:$A$23,0)),"")+0)))</f>
        <v>5</v>
      </c>
      <c r="E225" s="113"/>
      <c r="F225" s="113"/>
      <c r="G225" s="113"/>
      <c r="H225" s="113"/>
      <c r="I225" s="113"/>
    </row>
    <row r="226" customFormat="false" ht="18" hidden="false" customHeight="true" outlineLevel="0" collapsed="false">
      <c r="A226" s="72" t="n">
        <v>4</v>
      </c>
      <c r="B226" s="114" t="s">
        <v>552</v>
      </c>
      <c r="C226" s="111" t="n">
        <f aca="false">IF(OR(FALSE(),Übungen!$L$7="pause"),"",IF(IFERROR(INDEX(Rekorde!$O$4:$O$23,MATCH(Übungen!$A$7,Rekorde!$A$4:$A$23,0)),"")="","",ROUND(IFERROR(INDEX(Rekorde!$O$4:$O$23,MATCH(Übungen!$A$7,Rekorde!$A$4:$A$23,0)),"")*0.95*2,0)/2))</f>
        <v>159</v>
      </c>
      <c r="D226" s="116" t="n">
        <f aca="false">IF(OR(FALSE(),Übungen!$L$7="pause"),"",IF(IFERROR(INDEX(Rekorde!$P$4:$P$23,MATCH(Übungen!$A$7,Rekorde!$A$4:$A$23,0)),"")="","",MIN(Übungen!$E$7,IFERROR(INDEX(Rekorde!$P$4:$P$23,MATCH(Übungen!$A$7,Rekorde!$A$4:$A$23,0)),"")+1)))</f>
        <v>6</v>
      </c>
      <c r="E226" s="113"/>
      <c r="F226" s="113"/>
      <c r="G226" s="113"/>
      <c r="H226" s="113"/>
      <c r="I226" s="113"/>
    </row>
    <row r="227" customFormat="false" ht="18" hidden="false" customHeight="true" outlineLevel="0" collapsed="false">
      <c r="A227" s="72" t="n">
        <v>5</v>
      </c>
      <c r="B227" s="114" t="s">
        <v>553</v>
      </c>
      <c r="C227" s="111" t="n">
        <f aca="false">IF(OR(FALSE(),Übungen!$L$7="pause"),"",IF(IFERROR(INDEX(Rekorde!$O$4:$O$23,MATCH(Übungen!$A$7,Rekorde!$A$4:$A$23,0)),"")="","",ROUND(IFERROR(INDEX(Rekorde!$O$4:$O$23,MATCH(Übungen!$A$7,Rekorde!$A$4:$A$23,0)),"")*0.9*2,0)/2))</f>
        <v>151</v>
      </c>
      <c r="D227" s="116" t="n">
        <f aca="false">IF(OR(FALSE(),Übungen!$L$7="pause"),"",IF(IFERROR(INDEX(Rekorde!$P$4:$P$23,MATCH(Übungen!$A$7,Rekorde!$A$4:$A$23,0)),"")="","",MIN(Übungen!$E$7,IFERROR(INDEX(Rekorde!$P$4:$P$23,MATCH(Übungen!$A$7,Rekorde!$A$4:$A$23,0)),"")+2)))</f>
        <v>6</v>
      </c>
      <c r="E227" s="113"/>
      <c r="F227" s="113"/>
      <c r="G227" s="113"/>
      <c r="H227" s="113"/>
      <c r="I227" s="113"/>
    </row>
    <row r="229" customFormat="false" ht="15.75" hidden="false" customHeight="true" outlineLevel="0" collapsed="false">
      <c r="A229" s="3" t="s">
        <v>554</v>
      </c>
      <c r="B229" s="3"/>
      <c r="C229" s="3"/>
      <c r="D229" s="3"/>
      <c r="E229" s="3"/>
      <c r="F229" s="3"/>
      <c r="G229" s="3"/>
      <c r="H229" s="3"/>
      <c r="I229" s="3"/>
    </row>
    <row r="230" customFormat="false" ht="18" hidden="false" customHeight="true" outlineLevel="0" collapsed="false">
      <c r="A230" s="117"/>
      <c r="B230" s="117"/>
      <c r="C230" s="117"/>
      <c r="D230" s="117"/>
      <c r="E230" s="117"/>
      <c r="F230" s="117"/>
      <c r="G230" s="117"/>
      <c r="H230" s="117"/>
      <c r="I230" s="117"/>
    </row>
    <row r="231" customFormat="false" ht="18" hidden="false" customHeight="true" outlineLevel="0" collapsed="false">
      <c r="A231" s="117"/>
      <c r="B231" s="117"/>
      <c r="C231" s="117"/>
      <c r="D231" s="117"/>
      <c r="E231" s="117"/>
      <c r="F231" s="117"/>
      <c r="G231" s="117"/>
      <c r="H231" s="117"/>
      <c r="I231" s="117"/>
    </row>
    <row r="233" customFormat="false" ht="27.75" hidden="false" customHeight="true" outlineLevel="0" collapsed="false">
      <c r="A233" s="1" t="s">
        <v>558</v>
      </c>
      <c r="B233" s="1"/>
      <c r="C233" s="1"/>
      <c r="D233" s="1"/>
      <c r="E233" s="1"/>
      <c r="F233" s="1"/>
      <c r="G233" s="1"/>
      <c r="H233" s="1"/>
      <c r="I233" s="1"/>
    </row>
    <row r="234" customFormat="false" ht="12" hidden="false" customHeight="true" outlineLevel="0" collapsed="false">
      <c r="A234" s="104" t="s">
        <v>75</v>
      </c>
      <c r="B234" s="104"/>
      <c r="C234" s="105" t="s">
        <v>539</v>
      </c>
      <c r="D234" s="105" t="s">
        <v>540</v>
      </c>
      <c r="E234" s="104" t="s">
        <v>541</v>
      </c>
      <c r="F234" s="104"/>
      <c r="G234" s="104" t="s">
        <v>542</v>
      </c>
      <c r="H234" s="104"/>
    </row>
    <row r="235" customFormat="false" ht="18" hidden="false" customHeight="true" outlineLevel="0" collapsed="false">
      <c r="A235" s="106"/>
      <c r="B235" s="106"/>
      <c r="C235" s="106"/>
      <c r="D235" s="106"/>
      <c r="E235" s="106"/>
      <c r="F235" s="106"/>
      <c r="G235" s="106"/>
      <c r="H235" s="106"/>
    </row>
    <row r="237" customFormat="false" ht="18.75" hidden="false" customHeight="true" outlineLevel="0" collapsed="false">
      <c r="A237" s="107" t="str">
        <f aca="false">Übungen!$A$8</f>
        <v>Reverse V-Squat</v>
      </c>
      <c r="B237" s="107"/>
      <c r="C237" s="107"/>
      <c r="D237" s="107"/>
      <c r="E237" s="107"/>
      <c r="F237" s="107"/>
      <c r="G237" s="107"/>
      <c r="H237" s="107"/>
      <c r="I237" s="107"/>
    </row>
    <row r="238" customFormat="false" ht="13.5" hidden="false" customHeight="true" outlineLevel="0" collapsed="false">
      <c r="A238" s="108" t="str">
        <f aca="false">IF(OR(FALSE(),Übungen!$L$8="pause"),IF(Übungen!$L$8="pause","PAUSE - vorübergehend ausgesetzt, Grund im Blatt 'Übungen'     ·     ",""),IF(IFERROR(INDEX(Rekorde!$L$4:$L$23,MATCH(Übungen!$A$8,Rekorde!$A$4:$A$23,0)),"")="",IF(IFERROR(INDEX(Rekorde!$O$4:$O$23,MATCH(Übungen!$A$8,Rekorde!$A$4:$A$23,0)),"")="","Neu im Plan - Startgewicht im Blatt 'Übungen' eintragen     ·     ","Neu im Plan     ·     Start: "&amp;TEXT(IFERROR(INDEX(Rekorde!$O$4:$O$23,MATCH(Übungen!$A$8,Rekorde!$A$4:$A$23,0)),""),"0.#")&amp;" kg     ·     "),"Zuletzt: "&amp;TEXT(IFERROR(INDEX(Rekorde!$L$4:$L$23,MATCH(Übungen!$A$8,Rekorde!$A$4:$A$23,0)),""),"0.#")&amp;" kg × "&amp;IF(IFERROR(INDEX(Rekorde!$M$4:$M$23,MATCH(Übungen!$A$8,Rekorde!$A$4:$A$23,0)),"")="","?",TEXT(IFERROR(INDEX(Rekorde!$M$4:$M$23,MATCH(Übungen!$A$8,Rekorde!$A$4:$A$23,0)),""),"0"))&amp;" Wdh     ·     Bestwert: "&amp;TEXT(IFERROR(INDEX(Rekorde!$F$4:$F$23,MATCH(Übungen!$A$8,Rekorde!$A$4:$A$23,0)),""),"0.#")&amp;" kg     ·     "&amp;IF(IFERROR(INDEX(Rekorde!$O$4:$O$23,MATCH(Übungen!$A$8,Rekorde!$A$4:$A$23,0)),"")="","","Ziel heute: "&amp;TEXT(IFERROR(INDEX(Rekorde!$O$4:$O$23,MATCH(Übungen!$A$8,Rekorde!$A$4:$A$23,0)),""),"0.#")&amp;" kg × "&amp;IF(IFERROR(INDEX(Rekorde!$P$4:$P$23,MATCH(Übungen!$A$8,Rekorde!$A$4:$A$23,0)),"")="","",TEXT(IFERROR(INDEX(Rekorde!$P$4:$P$23,MATCH(Übungen!$A$8,Rekorde!$A$4:$A$23,0)),""),"0")&amp;" Wdh")&amp;"     ·     ")&amp;IF(AND(Übungen!$I$8&lt;&gt;"",IFERROR(INDEX(Rekorde!$O$4:$O$23,MATCH(Übungen!$A$8,Rekorde!$A$4:$A$23,0)),"")&lt;&gt;"",IFERROR(INDEX(Rekorde!$O$4:$O$23,MATCH(Übungen!$A$8,Rekorde!$A$4:$A$23,0)),"")&gt;=Übungen!$I$8),"Stackende, über Tempo und Pausen steigern     ·     ","")))</f>
        <v>Zuletzt: 215 kg × 5 Wdh     ·     Bestwert: 215 kg     ·     Ziel heute: 215 kg × 6 Wdh     ·     </v>
      </c>
      <c r="B238" s="108"/>
      <c r="C238" s="108"/>
      <c r="D238" s="108"/>
      <c r="E238" s="108"/>
      <c r="F238" s="108"/>
      <c r="G238" s="108"/>
      <c r="H238" s="108"/>
      <c r="I238" s="108"/>
    </row>
    <row r="239" customFormat="false" ht="13.5" hidden="false" customHeight="true" outlineLevel="0" collapsed="false">
      <c r="A239" s="109" t="str">
        <f aca="false">"Vorgabe: "&amp;Übungen!$F$8&amp;" × "&amp;Übungen!$D$8&amp;"-"&amp;Übungen!$E$8&amp;" Wdh @ RPE "&amp;Übungen!$G$8&amp;IF(OR(Übungen!$M$8="",Übungen!$M$8&lt;=1),"","     ·     nach OP gesperrt bis Woche "&amp;Übungen!$M$8)&amp;IF(OR(FALSE(),Übungen!$L$8="pause"),"",IF(AND(Übungen!$K$8&lt;&gt;"",Übungen!$K$8&lt;&gt;100),"     ·     Wiedereinstieg: "&amp;TEXT(Übungen!$K$8,"0")&amp;" % des berechneten Ziels",IF(IFERROR(INDEX(Rekorde!$Q$4:$Q$23,MATCH(Übungen!$A$8,Rekorde!$A$4:$A$23,0)),"")="","","     ·     Schritt: "&amp;IFERROR(INDEX(Rekorde!$Q$4:$Q$23,MATCH(Übungen!$A$8,Rekorde!$A$4:$A$23,0)),""))))</f>
        <v>Vorgabe: 3 × 5-6 Wdh @ RPE 8-9     ·     nach OP gesperrt bis Woche 12     ·     Schritt: Wdh +1 auf 6 bei gleichem Gewicht</v>
      </c>
      <c r="B239" s="109"/>
      <c r="C239" s="109"/>
      <c r="D239" s="109"/>
      <c r="E239" s="109"/>
      <c r="F239" s="109"/>
      <c r="G239" s="109"/>
      <c r="H239" s="109"/>
      <c r="I239" s="109"/>
    </row>
    <row r="240" customFormat="false" ht="18" hidden="false" customHeight="true" outlineLevel="0" collapsed="false">
      <c r="A240" s="110" t="s">
        <v>543</v>
      </c>
      <c r="B240" s="110" t="s">
        <v>544</v>
      </c>
      <c r="C240" s="110" t="s">
        <v>545</v>
      </c>
      <c r="D240" s="110" t="s">
        <v>546</v>
      </c>
      <c r="E240" s="110" t="s">
        <v>547</v>
      </c>
      <c r="F240" s="110" t="s">
        <v>454</v>
      </c>
      <c r="G240" s="110" t="s">
        <v>50</v>
      </c>
      <c r="H240" s="110" t="s">
        <v>548</v>
      </c>
      <c r="I240" s="110" t="s">
        <v>256</v>
      </c>
    </row>
    <row r="241" customFormat="false" ht="18" hidden="false" customHeight="true" outlineLevel="0" collapsed="false">
      <c r="A241" s="72" t="n">
        <v>1</v>
      </c>
      <c r="B241" s="70" t="s">
        <v>549</v>
      </c>
      <c r="C241" s="111" t="n">
        <f aca="false">IF(OR(FALSE(),Übungen!$L$8="pause"),"",IF(IFERROR(INDEX(Rekorde!$O$4:$O$23,MATCH(Übungen!$A$8,Rekorde!$A$4:$A$23,0)),"")="","",ROUND(IFERROR(INDEX(Rekorde!$O$4:$O$23,MATCH(Übungen!$A$8,Rekorde!$A$4:$A$23,0)),"")*0.4*2,0)/2))</f>
        <v>86</v>
      </c>
      <c r="D241" s="112"/>
      <c r="E241" s="113"/>
      <c r="F241" s="113"/>
      <c r="G241" s="113"/>
      <c r="H241" s="113"/>
      <c r="I241" s="113"/>
    </row>
    <row r="242" customFormat="false" ht="18" hidden="false" customHeight="true" outlineLevel="0" collapsed="false">
      <c r="A242" s="72" t="n">
        <v>2</v>
      </c>
      <c r="B242" s="70" t="s">
        <v>550</v>
      </c>
      <c r="C242" s="111" t="n">
        <f aca="false">IF(OR(FALSE(),Übungen!$L$8="pause"),"",IF(IFERROR(INDEX(Rekorde!$O$4:$O$23,MATCH(Übungen!$A$8,Rekorde!$A$4:$A$23,0)),"")="","",ROUND(IFERROR(INDEX(Rekorde!$O$4:$O$23,MATCH(Übungen!$A$8,Rekorde!$A$4:$A$23,0)),"")*0.7*2,0)/2))</f>
        <v>150.5</v>
      </c>
      <c r="D242" s="112"/>
      <c r="E242" s="113"/>
      <c r="F242" s="113"/>
      <c r="G242" s="113"/>
      <c r="H242" s="113"/>
      <c r="I242" s="113"/>
    </row>
    <row r="243" customFormat="false" ht="18" hidden="false" customHeight="true" outlineLevel="0" collapsed="false">
      <c r="A243" s="72" t="n">
        <v>3</v>
      </c>
      <c r="B243" s="114" t="s">
        <v>551</v>
      </c>
      <c r="C243" s="115" t="n">
        <f aca="false">IF(OR(FALSE(),Übungen!$L$8="pause"),"",IF(IFERROR(INDEX(Rekorde!$O$4:$O$23,MATCH(Übungen!$A$8,Rekorde!$A$4:$A$23,0)),"")="","",ROUND(IFERROR(INDEX(Rekorde!$O$4:$O$23,MATCH(Übungen!$A$8,Rekorde!$A$4:$A$23,0)),"")*1*2,0)/2))</f>
        <v>215</v>
      </c>
      <c r="D243" s="116" t="n">
        <f aca="false">IF(OR(FALSE(),Übungen!$L$8="pause"),"",IF(IFERROR(INDEX(Rekorde!$P$4:$P$23,MATCH(Übungen!$A$8,Rekorde!$A$4:$A$23,0)),"")="","",MIN(Übungen!$E$8,IFERROR(INDEX(Rekorde!$P$4:$P$23,MATCH(Übungen!$A$8,Rekorde!$A$4:$A$23,0)),"")+0)))</f>
        <v>6</v>
      </c>
      <c r="E243" s="113"/>
      <c r="F243" s="113"/>
      <c r="G243" s="113"/>
      <c r="H243" s="113"/>
      <c r="I243" s="113"/>
    </row>
    <row r="244" customFormat="false" ht="18" hidden="false" customHeight="true" outlineLevel="0" collapsed="false">
      <c r="A244" s="72" t="n">
        <v>4</v>
      </c>
      <c r="B244" s="114" t="s">
        <v>552</v>
      </c>
      <c r="C244" s="111" t="n">
        <f aca="false">IF(OR(FALSE(),Übungen!$L$8="pause"),"",IF(IFERROR(INDEX(Rekorde!$O$4:$O$23,MATCH(Übungen!$A$8,Rekorde!$A$4:$A$23,0)),"")="","",ROUND(IFERROR(INDEX(Rekorde!$O$4:$O$23,MATCH(Übungen!$A$8,Rekorde!$A$4:$A$23,0)),"")*0.95*2,0)/2))</f>
        <v>204.5</v>
      </c>
      <c r="D244" s="116" t="n">
        <f aca="false">IF(OR(FALSE(),Übungen!$L$8="pause"),"",IF(IFERROR(INDEX(Rekorde!$P$4:$P$23,MATCH(Übungen!$A$8,Rekorde!$A$4:$A$23,0)),"")="","",MIN(Übungen!$E$8,IFERROR(INDEX(Rekorde!$P$4:$P$23,MATCH(Übungen!$A$8,Rekorde!$A$4:$A$23,0)),"")+1)))</f>
        <v>6</v>
      </c>
      <c r="E244" s="113"/>
      <c r="F244" s="113"/>
      <c r="G244" s="113"/>
      <c r="H244" s="113"/>
      <c r="I244" s="113"/>
    </row>
    <row r="245" customFormat="false" ht="18" hidden="false" customHeight="true" outlineLevel="0" collapsed="false">
      <c r="A245" s="72" t="n">
        <v>5</v>
      </c>
      <c r="B245" s="114" t="s">
        <v>553</v>
      </c>
      <c r="C245" s="111" t="n">
        <f aca="false">IF(OR(FALSE(),Übungen!$L$8="pause"),"",IF(IFERROR(INDEX(Rekorde!$O$4:$O$23,MATCH(Übungen!$A$8,Rekorde!$A$4:$A$23,0)),"")="","",ROUND(IFERROR(INDEX(Rekorde!$O$4:$O$23,MATCH(Übungen!$A$8,Rekorde!$A$4:$A$23,0)),"")*0.9*2,0)/2))</f>
        <v>193.5</v>
      </c>
      <c r="D245" s="116" t="n">
        <f aca="false">IF(OR(FALSE(),Übungen!$L$8="pause"),"",IF(IFERROR(INDEX(Rekorde!$P$4:$P$23,MATCH(Übungen!$A$8,Rekorde!$A$4:$A$23,0)),"")="","",MIN(Übungen!$E$8,IFERROR(INDEX(Rekorde!$P$4:$P$23,MATCH(Übungen!$A$8,Rekorde!$A$4:$A$23,0)),"")+2)))</f>
        <v>6</v>
      </c>
      <c r="E245" s="113"/>
      <c r="F245" s="113"/>
      <c r="G245" s="113"/>
      <c r="H245" s="113"/>
      <c r="I245" s="113"/>
    </row>
    <row r="247" customFormat="false" ht="18.75" hidden="false" customHeight="true" outlineLevel="0" collapsed="false">
      <c r="A247" s="107" t="str">
        <f aca="false">Übungen!$A$9</f>
        <v>Rumänisches Kreuzheben</v>
      </c>
      <c r="B247" s="107"/>
      <c r="C247" s="107"/>
      <c r="D247" s="107"/>
      <c r="E247" s="107"/>
      <c r="F247" s="107"/>
      <c r="G247" s="107"/>
      <c r="H247" s="107"/>
      <c r="I247" s="107"/>
    </row>
    <row r="248" customFormat="false" ht="13.5" hidden="false" customHeight="true" outlineLevel="0" collapsed="false">
      <c r="A248" s="108" t="str">
        <f aca="false">IF(OR(FALSE(),Übungen!$L$9="pause"),IF(Übungen!$L$9="pause","PAUSE - vorübergehend ausgesetzt, Grund im Blatt 'Übungen'     ·     ",""),IF(IFERROR(INDEX(Rekorde!$L$4:$L$23,MATCH(Übungen!$A$9,Rekorde!$A$4:$A$23,0)),"")="",IF(IFERROR(INDEX(Rekorde!$O$4:$O$23,MATCH(Übungen!$A$9,Rekorde!$A$4:$A$23,0)),"")="","Neu im Plan - Startgewicht im Blatt 'Übungen' eintragen     ·     ","Neu im Plan     ·     Start: "&amp;TEXT(IFERROR(INDEX(Rekorde!$O$4:$O$23,MATCH(Übungen!$A$9,Rekorde!$A$4:$A$23,0)),""),"0.#")&amp;" kg     ·     "),"Zuletzt: "&amp;TEXT(IFERROR(INDEX(Rekorde!$L$4:$L$23,MATCH(Übungen!$A$9,Rekorde!$A$4:$A$23,0)),""),"0.#")&amp;" kg × "&amp;IF(IFERROR(INDEX(Rekorde!$M$4:$M$23,MATCH(Übungen!$A$9,Rekorde!$A$4:$A$23,0)),"")="","?",TEXT(IFERROR(INDEX(Rekorde!$M$4:$M$23,MATCH(Übungen!$A$9,Rekorde!$A$4:$A$23,0)),""),"0"))&amp;" Wdh     ·     Bestwert: "&amp;TEXT(IFERROR(INDEX(Rekorde!$F$4:$F$23,MATCH(Übungen!$A$9,Rekorde!$A$4:$A$23,0)),""),"0.#")&amp;" kg     ·     "&amp;IF(IFERROR(INDEX(Rekorde!$O$4:$O$23,MATCH(Übungen!$A$9,Rekorde!$A$4:$A$23,0)),"")="","","Ziel heute: "&amp;TEXT(IFERROR(INDEX(Rekorde!$O$4:$O$23,MATCH(Übungen!$A$9,Rekorde!$A$4:$A$23,0)),""),"0.#")&amp;" kg × "&amp;IF(IFERROR(INDEX(Rekorde!$P$4:$P$23,MATCH(Übungen!$A$9,Rekorde!$A$4:$A$23,0)),"")="","",TEXT(IFERROR(INDEX(Rekorde!$P$4:$P$23,MATCH(Übungen!$A$9,Rekorde!$A$4:$A$23,0)),""),"0")&amp;" Wdh")&amp;"     ·     ")&amp;IF(AND(Übungen!$I$9&lt;&gt;"",IFERROR(INDEX(Rekorde!$O$4:$O$23,MATCH(Übungen!$A$9,Rekorde!$A$4:$A$23,0)),"")&lt;&gt;"",IFERROR(INDEX(Rekorde!$O$4:$O$23,MATCH(Übungen!$A$9,Rekorde!$A$4:$A$23,0)),"")&gt;=Übungen!$I$9),"Stackende, über Tempo und Pausen steigern     ·     ","")))</f>
        <v>PAUSE - vorübergehend ausgesetzt, Grund im Blatt 'Übungen'     ·     </v>
      </c>
      <c r="B248" s="108"/>
      <c r="C248" s="108"/>
      <c r="D248" s="108"/>
      <c r="E248" s="108"/>
      <c r="F248" s="108"/>
      <c r="G248" s="108"/>
      <c r="H248" s="108"/>
      <c r="I248" s="108"/>
    </row>
    <row r="249" customFormat="false" ht="13.5" hidden="false" customHeight="true" outlineLevel="0" collapsed="false">
      <c r="A249" s="109" t="str">
        <f aca="false">"Vorgabe: "&amp;Übungen!$F$9&amp;" × "&amp;Übungen!$D$9&amp;"-"&amp;Übungen!$E$9&amp;" Wdh @ RPE "&amp;Übungen!$G$9&amp;IF(OR(Übungen!$M$9="",Übungen!$M$9&lt;=1),"","     ·     nach OP gesperrt bis Woche "&amp;Übungen!$M$9)&amp;IF(OR(FALSE(),Übungen!$L$9="pause"),"",IF(AND(Übungen!$K$9&lt;&gt;"",Übungen!$K$9&lt;&gt;100),"     ·     Wiedereinstieg: "&amp;TEXT(Übungen!$K$9,"0")&amp;" % des berechneten Ziels",IF(IFERROR(INDEX(Rekorde!$Q$4:$Q$23,MATCH(Übungen!$A$9,Rekorde!$A$4:$A$23,0)),"")="","","     ·     Schritt: "&amp;IFERROR(INDEX(Rekorde!$Q$4:$Q$23,MATCH(Übungen!$A$9,Rekorde!$A$4:$A$23,0)),""))))</f>
        <v>Vorgabe: 3 × 5-6 Wdh @ RPE 8     ·     nach OP gesperrt bis Woche 16</v>
      </c>
      <c r="B249" s="109"/>
      <c r="C249" s="109"/>
      <c r="D249" s="109"/>
      <c r="E249" s="109"/>
      <c r="F249" s="109"/>
      <c r="G249" s="109"/>
      <c r="H249" s="109"/>
      <c r="I249" s="109"/>
    </row>
    <row r="250" customFormat="false" ht="18" hidden="false" customHeight="true" outlineLevel="0" collapsed="false">
      <c r="A250" s="110" t="s">
        <v>543</v>
      </c>
      <c r="B250" s="110" t="s">
        <v>544</v>
      </c>
      <c r="C250" s="110" t="s">
        <v>545</v>
      </c>
      <c r="D250" s="110" t="s">
        <v>546</v>
      </c>
      <c r="E250" s="110" t="s">
        <v>547</v>
      </c>
      <c r="F250" s="110" t="s">
        <v>454</v>
      </c>
      <c r="G250" s="110" t="s">
        <v>50</v>
      </c>
      <c r="H250" s="110" t="s">
        <v>548</v>
      </c>
      <c r="I250" s="110" t="s">
        <v>256</v>
      </c>
    </row>
    <row r="251" customFormat="false" ht="18" hidden="false" customHeight="true" outlineLevel="0" collapsed="false">
      <c r="A251" s="72" t="n">
        <v>1</v>
      </c>
      <c r="B251" s="70" t="s">
        <v>549</v>
      </c>
      <c r="C251" s="111" t="str">
        <f aca="false">IF(OR(FALSE(),Übungen!$L$9="pause"),"",IF(IFERROR(INDEX(Rekorde!$O$4:$O$23,MATCH(Übungen!$A$9,Rekorde!$A$4:$A$23,0)),"")="","",ROUND(IFERROR(INDEX(Rekorde!$O$4:$O$23,MATCH(Übungen!$A$9,Rekorde!$A$4:$A$23,0)),"")*0.4*2,0)/2))</f>
        <v/>
      </c>
      <c r="D251" s="112"/>
      <c r="E251" s="113"/>
      <c r="F251" s="113"/>
      <c r="G251" s="113"/>
      <c r="H251" s="113"/>
      <c r="I251" s="113"/>
    </row>
    <row r="252" customFormat="false" ht="18" hidden="false" customHeight="true" outlineLevel="0" collapsed="false">
      <c r="A252" s="72" t="n">
        <v>2</v>
      </c>
      <c r="B252" s="70" t="s">
        <v>550</v>
      </c>
      <c r="C252" s="111" t="str">
        <f aca="false">IF(OR(FALSE(),Übungen!$L$9="pause"),"",IF(IFERROR(INDEX(Rekorde!$O$4:$O$23,MATCH(Übungen!$A$9,Rekorde!$A$4:$A$23,0)),"")="","",ROUND(IFERROR(INDEX(Rekorde!$O$4:$O$23,MATCH(Übungen!$A$9,Rekorde!$A$4:$A$23,0)),"")*0.7*2,0)/2))</f>
        <v/>
      </c>
      <c r="D252" s="112"/>
      <c r="E252" s="113"/>
      <c r="F252" s="113"/>
      <c r="G252" s="113"/>
      <c r="H252" s="113"/>
      <c r="I252" s="113"/>
    </row>
    <row r="253" customFormat="false" ht="18" hidden="false" customHeight="true" outlineLevel="0" collapsed="false">
      <c r="A253" s="72" t="n">
        <v>3</v>
      </c>
      <c r="B253" s="114" t="s">
        <v>551</v>
      </c>
      <c r="C253" s="115" t="str">
        <f aca="false">IF(OR(FALSE(),Übungen!$L$9="pause"),"",IF(IFERROR(INDEX(Rekorde!$O$4:$O$23,MATCH(Übungen!$A$9,Rekorde!$A$4:$A$23,0)),"")="","",ROUND(IFERROR(INDEX(Rekorde!$O$4:$O$23,MATCH(Übungen!$A$9,Rekorde!$A$4:$A$23,0)),"")*1*2,0)/2))</f>
        <v/>
      </c>
      <c r="D253" s="116" t="str">
        <f aca="false">IF(OR(FALSE(),Übungen!$L$9="pause"),"",IF(IFERROR(INDEX(Rekorde!$P$4:$P$23,MATCH(Übungen!$A$9,Rekorde!$A$4:$A$23,0)),"")="","",MIN(Übungen!$E$9,IFERROR(INDEX(Rekorde!$P$4:$P$23,MATCH(Übungen!$A$9,Rekorde!$A$4:$A$23,0)),"")+0)))</f>
        <v/>
      </c>
      <c r="E253" s="113"/>
      <c r="F253" s="113"/>
      <c r="G253" s="113"/>
      <c r="H253" s="113"/>
      <c r="I253" s="113"/>
    </row>
    <row r="254" customFormat="false" ht="18" hidden="false" customHeight="true" outlineLevel="0" collapsed="false">
      <c r="A254" s="72" t="n">
        <v>4</v>
      </c>
      <c r="B254" s="114" t="s">
        <v>552</v>
      </c>
      <c r="C254" s="111" t="str">
        <f aca="false">IF(OR(FALSE(),Übungen!$L$9="pause"),"",IF(IFERROR(INDEX(Rekorde!$O$4:$O$23,MATCH(Übungen!$A$9,Rekorde!$A$4:$A$23,0)),"")="","",ROUND(IFERROR(INDEX(Rekorde!$O$4:$O$23,MATCH(Übungen!$A$9,Rekorde!$A$4:$A$23,0)),"")*0.95*2,0)/2))</f>
        <v/>
      </c>
      <c r="D254" s="116" t="str">
        <f aca="false">IF(OR(FALSE(),Übungen!$L$9="pause"),"",IF(IFERROR(INDEX(Rekorde!$P$4:$P$23,MATCH(Übungen!$A$9,Rekorde!$A$4:$A$23,0)),"")="","",MIN(Übungen!$E$9,IFERROR(INDEX(Rekorde!$P$4:$P$23,MATCH(Übungen!$A$9,Rekorde!$A$4:$A$23,0)),"")+1)))</f>
        <v/>
      </c>
      <c r="E254" s="113"/>
      <c r="F254" s="113"/>
      <c r="G254" s="113"/>
      <c r="H254" s="113"/>
      <c r="I254" s="113"/>
    </row>
    <row r="255" customFormat="false" ht="18" hidden="false" customHeight="true" outlineLevel="0" collapsed="false">
      <c r="A255" s="72" t="n">
        <v>5</v>
      </c>
      <c r="B255" s="114" t="s">
        <v>553</v>
      </c>
      <c r="C255" s="111" t="str">
        <f aca="false">IF(OR(FALSE(),Übungen!$L$9="pause"),"",IF(IFERROR(INDEX(Rekorde!$O$4:$O$23,MATCH(Übungen!$A$9,Rekorde!$A$4:$A$23,0)),"")="","",ROUND(IFERROR(INDEX(Rekorde!$O$4:$O$23,MATCH(Übungen!$A$9,Rekorde!$A$4:$A$23,0)),"")*0.9*2,0)/2))</f>
        <v/>
      </c>
      <c r="D255" s="116" t="str">
        <f aca="false">IF(OR(FALSE(),Übungen!$L$9="pause"),"",IF(IFERROR(INDEX(Rekorde!$P$4:$P$23,MATCH(Übungen!$A$9,Rekorde!$A$4:$A$23,0)),"")="","",MIN(Übungen!$E$9,IFERROR(INDEX(Rekorde!$P$4:$P$23,MATCH(Übungen!$A$9,Rekorde!$A$4:$A$23,0)),"")+2)))</f>
        <v/>
      </c>
      <c r="E255" s="113"/>
      <c r="F255" s="113"/>
      <c r="G255" s="113"/>
      <c r="H255" s="113"/>
      <c r="I255" s="113"/>
    </row>
    <row r="257" customFormat="false" ht="18.75" hidden="false" customHeight="true" outlineLevel="0" collapsed="false">
      <c r="A257" s="107" t="str">
        <f aca="false">Übungen!$A$10</f>
        <v>Rumänisches Kreuzheben KH</v>
      </c>
      <c r="B257" s="107"/>
      <c r="C257" s="107"/>
      <c r="D257" s="107"/>
      <c r="E257" s="107"/>
      <c r="F257" s="107"/>
      <c r="G257" s="107"/>
      <c r="H257" s="107"/>
      <c r="I257" s="107"/>
    </row>
    <row r="258" customFormat="false" ht="13.5" hidden="false" customHeight="true" outlineLevel="0" collapsed="false">
      <c r="A258" s="108" t="str">
        <f aca="false">IF(OR(FALSE(),Übungen!$L$10="pause"),IF(Übungen!$L$10="pause","PAUSE - vorübergehend ausgesetzt, Grund im Blatt 'Übungen'     ·     ",""),IF(IFERROR(INDEX(Rekorde!$L$4:$L$23,MATCH(Übungen!$A$10,Rekorde!$A$4:$A$23,0)),"")="",IF(IFERROR(INDEX(Rekorde!$O$4:$O$23,MATCH(Übungen!$A$10,Rekorde!$A$4:$A$23,0)),"")="","Neu im Plan - Startgewicht im Blatt 'Übungen' eintragen     ·     ","Neu im Plan     ·     Start: "&amp;TEXT(IFERROR(INDEX(Rekorde!$O$4:$O$23,MATCH(Übungen!$A$10,Rekorde!$A$4:$A$23,0)),""),"0.#")&amp;" kg     ·     "),"Zuletzt: "&amp;TEXT(IFERROR(INDEX(Rekorde!$L$4:$L$23,MATCH(Übungen!$A$10,Rekorde!$A$4:$A$23,0)),""),"0.#")&amp;" kg × "&amp;IF(IFERROR(INDEX(Rekorde!$M$4:$M$23,MATCH(Übungen!$A$10,Rekorde!$A$4:$A$23,0)),"")="","?",TEXT(IFERROR(INDEX(Rekorde!$M$4:$M$23,MATCH(Übungen!$A$10,Rekorde!$A$4:$A$23,0)),""),"0"))&amp;" Wdh     ·     Bestwert: "&amp;TEXT(IFERROR(INDEX(Rekorde!$F$4:$F$23,MATCH(Übungen!$A$10,Rekorde!$A$4:$A$23,0)),""),"0.#")&amp;" kg     ·     "&amp;IF(IFERROR(INDEX(Rekorde!$O$4:$O$23,MATCH(Übungen!$A$10,Rekorde!$A$4:$A$23,0)),"")="","","Ziel heute: "&amp;TEXT(IFERROR(INDEX(Rekorde!$O$4:$O$23,MATCH(Übungen!$A$10,Rekorde!$A$4:$A$23,0)),""),"0.#")&amp;" kg × "&amp;IF(IFERROR(INDEX(Rekorde!$P$4:$P$23,MATCH(Übungen!$A$10,Rekorde!$A$4:$A$23,0)),"")="","",TEXT(IFERROR(INDEX(Rekorde!$P$4:$P$23,MATCH(Übungen!$A$10,Rekorde!$A$4:$A$23,0)),""),"0")&amp;" Wdh")&amp;"     ·     ")&amp;IF(AND(Übungen!$I$10&lt;&gt;"",IFERROR(INDEX(Rekorde!$O$4:$O$23,MATCH(Übungen!$A$10,Rekorde!$A$4:$A$23,0)),"")&lt;&gt;"",IFERROR(INDEX(Rekorde!$O$4:$O$23,MATCH(Übungen!$A$10,Rekorde!$A$4:$A$23,0)),"")&gt;=Übungen!$I$10),"Stackende, über Tempo und Pausen steigern     ·     ","")))</f>
        <v>Zuletzt: 34 kg × 5 Wdh     ·     Bestwert: 34 kg     ·     Ziel heute: 34 kg × 6 Wdh     ·     </v>
      </c>
      <c r="B258" s="108"/>
      <c r="C258" s="108"/>
      <c r="D258" s="108"/>
      <c r="E258" s="108"/>
      <c r="F258" s="108"/>
      <c r="G258" s="108"/>
      <c r="H258" s="108"/>
      <c r="I258" s="108"/>
    </row>
    <row r="259" customFormat="false" ht="13.5" hidden="false" customHeight="true" outlineLevel="0" collapsed="false">
      <c r="A259" s="109" t="str">
        <f aca="false">"Vorgabe: "&amp;Übungen!$F$10&amp;" × "&amp;Übungen!$D$10&amp;"-"&amp;Übungen!$E$10&amp;" Wdh @ RPE "&amp;Übungen!$G$10&amp;IF(OR(Übungen!$M$10="",Übungen!$M$10&lt;=1),"","     ·     nach OP gesperrt bis Woche "&amp;Übungen!$M$10)&amp;IF(OR(FALSE(),Übungen!$L$10="pause"),"",IF(AND(Übungen!$K$10&lt;&gt;"",Übungen!$K$10&lt;&gt;100),"     ·     Wiedereinstieg: "&amp;TEXT(Übungen!$K$10,"0")&amp;" % des berechneten Ziels",IF(IFERROR(INDEX(Rekorde!$Q$4:$Q$23,MATCH(Übungen!$A$10,Rekorde!$A$4:$A$23,0)),"")="","","     ·     Schritt: "&amp;IFERROR(INDEX(Rekorde!$Q$4:$Q$23,MATCH(Übungen!$A$10,Rekorde!$A$4:$A$23,0)),""))))</f>
        <v>Vorgabe: 3 × 5-6 Wdh @ RPE 8     ·     nach OP gesperrt bis Woche 16     ·     Schritt: Wdh +1 auf 6 bei gleichem Gewicht</v>
      </c>
      <c r="B259" s="109"/>
      <c r="C259" s="109"/>
      <c r="D259" s="109"/>
      <c r="E259" s="109"/>
      <c r="F259" s="109"/>
      <c r="G259" s="109"/>
      <c r="H259" s="109"/>
      <c r="I259" s="109"/>
    </row>
    <row r="260" customFormat="false" ht="18" hidden="false" customHeight="true" outlineLevel="0" collapsed="false">
      <c r="A260" s="110" t="s">
        <v>543</v>
      </c>
      <c r="B260" s="110" t="s">
        <v>544</v>
      </c>
      <c r="C260" s="110" t="s">
        <v>545</v>
      </c>
      <c r="D260" s="110" t="s">
        <v>546</v>
      </c>
      <c r="E260" s="110" t="s">
        <v>547</v>
      </c>
      <c r="F260" s="110" t="s">
        <v>454</v>
      </c>
      <c r="G260" s="110" t="s">
        <v>50</v>
      </c>
      <c r="H260" s="110" t="s">
        <v>548</v>
      </c>
      <c r="I260" s="110" t="s">
        <v>256</v>
      </c>
    </row>
    <row r="261" customFormat="false" ht="18" hidden="false" customHeight="true" outlineLevel="0" collapsed="false">
      <c r="A261" s="72" t="n">
        <v>1</v>
      </c>
      <c r="B261" s="70" t="s">
        <v>549</v>
      </c>
      <c r="C261" s="111" t="n">
        <f aca="false">IF(OR(FALSE(),Übungen!$L$10="pause"),"",IF(IFERROR(INDEX(Rekorde!$O$4:$O$23,MATCH(Übungen!$A$10,Rekorde!$A$4:$A$23,0)),"")="","",ROUND(IFERROR(INDEX(Rekorde!$O$4:$O$23,MATCH(Übungen!$A$10,Rekorde!$A$4:$A$23,0)),"")*0.4*2,0)/2))</f>
        <v>13.5</v>
      </c>
      <c r="D261" s="112"/>
      <c r="E261" s="113"/>
      <c r="F261" s="113"/>
      <c r="G261" s="113"/>
      <c r="H261" s="113"/>
      <c r="I261" s="113"/>
    </row>
    <row r="262" customFormat="false" ht="18" hidden="false" customHeight="true" outlineLevel="0" collapsed="false">
      <c r="A262" s="72" t="n">
        <v>2</v>
      </c>
      <c r="B262" s="70" t="s">
        <v>550</v>
      </c>
      <c r="C262" s="111" t="n">
        <f aca="false">IF(OR(FALSE(),Übungen!$L$10="pause"),"",IF(IFERROR(INDEX(Rekorde!$O$4:$O$23,MATCH(Übungen!$A$10,Rekorde!$A$4:$A$23,0)),"")="","",ROUND(IFERROR(INDEX(Rekorde!$O$4:$O$23,MATCH(Übungen!$A$10,Rekorde!$A$4:$A$23,0)),"")*0.7*2,0)/2))</f>
        <v>24</v>
      </c>
      <c r="D262" s="112"/>
      <c r="E262" s="113"/>
      <c r="F262" s="113"/>
      <c r="G262" s="113"/>
      <c r="H262" s="113"/>
      <c r="I262" s="113"/>
    </row>
    <row r="263" customFormat="false" ht="18" hidden="false" customHeight="true" outlineLevel="0" collapsed="false">
      <c r="A263" s="72" t="n">
        <v>3</v>
      </c>
      <c r="B263" s="114" t="s">
        <v>551</v>
      </c>
      <c r="C263" s="115" t="n">
        <f aca="false">IF(OR(FALSE(),Übungen!$L$10="pause"),"",IF(IFERROR(INDEX(Rekorde!$O$4:$O$23,MATCH(Übungen!$A$10,Rekorde!$A$4:$A$23,0)),"")="","",ROUND(IFERROR(INDEX(Rekorde!$O$4:$O$23,MATCH(Übungen!$A$10,Rekorde!$A$4:$A$23,0)),"")*1*2,0)/2))</f>
        <v>34</v>
      </c>
      <c r="D263" s="116" t="n">
        <f aca="false">IF(OR(FALSE(),Übungen!$L$10="pause"),"",IF(IFERROR(INDEX(Rekorde!$P$4:$P$23,MATCH(Übungen!$A$10,Rekorde!$A$4:$A$23,0)),"")="","",MIN(Übungen!$E$10,IFERROR(INDEX(Rekorde!$P$4:$P$23,MATCH(Übungen!$A$10,Rekorde!$A$4:$A$23,0)),"")+0)))</f>
        <v>6</v>
      </c>
      <c r="E263" s="113"/>
      <c r="F263" s="113"/>
      <c r="G263" s="113"/>
      <c r="H263" s="113"/>
      <c r="I263" s="113"/>
    </row>
    <row r="264" customFormat="false" ht="18" hidden="false" customHeight="true" outlineLevel="0" collapsed="false">
      <c r="A264" s="72" t="n">
        <v>4</v>
      </c>
      <c r="B264" s="114" t="s">
        <v>552</v>
      </c>
      <c r="C264" s="111" t="n">
        <f aca="false">IF(OR(FALSE(),Übungen!$L$10="pause"),"",IF(IFERROR(INDEX(Rekorde!$O$4:$O$23,MATCH(Übungen!$A$10,Rekorde!$A$4:$A$23,0)),"")="","",ROUND(IFERROR(INDEX(Rekorde!$O$4:$O$23,MATCH(Übungen!$A$10,Rekorde!$A$4:$A$23,0)),"")*0.95*2,0)/2))</f>
        <v>32.5</v>
      </c>
      <c r="D264" s="116" t="n">
        <f aca="false">IF(OR(FALSE(),Übungen!$L$10="pause"),"",IF(IFERROR(INDEX(Rekorde!$P$4:$P$23,MATCH(Übungen!$A$10,Rekorde!$A$4:$A$23,0)),"")="","",MIN(Übungen!$E$10,IFERROR(INDEX(Rekorde!$P$4:$P$23,MATCH(Übungen!$A$10,Rekorde!$A$4:$A$23,0)),"")+1)))</f>
        <v>6</v>
      </c>
      <c r="E264" s="113"/>
      <c r="F264" s="113"/>
      <c r="G264" s="113"/>
      <c r="H264" s="113"/>
      <c r="I264" s="113"/>
    </row>
    <row r="265" customFormat="false" ht="18" hidden="false" customHeight="true" outlineLevel="0" collapsed="false">
      <c r="A265" s="72" t="n">
        <v>5</v>
      </c>
      <c r="B265" s="114" t="s">
        <v>553</v>
      </c>
      <c r="C265" s="111" t="n">
        <f aca="false">IF(OR(FALSE(),Übungen!$L$10="pause"),"",IF(IFERROR(INDEX(Rekorde!$O$4:$O$23,MATCH(Übungen!$A$10,Rekorde!$A$4:$A$23,0)),"")="","",ROUND(IFERROR(INDEX(Rekorde!$O$4:$O$23,MATCH(Übungen!$A$10,Rekorde!$A$4:$A$23,0)),"")*0.9*2,0)/2))</f>
        <v>30.5</v>
      </c>
      <c r="D265" s="116" t="n">
        <f aca="false">IF(OR(FALSE(),Übungen!$L$10="pause"),"",IF(IFERROR(INDEX(Rekorde!$P$4:$P$23,MATCH(Übungen!$A$10,Rekorde!$A$4:$A$23,0)),"")="","",MIN(Übungen!$E$10,IFERROR(INDEX(Rekorde!$P$4:$P$23,MATCH(Übungen!$A$10,Rekorde!$A$4:$A$23,0)),"")+2)))</f>
        <v>6</v>
      </c>
      <c r="E265" s="113"/>
      <c r="F265" s="113"/>
      <c r="G265" s="113"/>
      <c r="H265" s="113"/>
      <c r="I265" s="113"/>
    </row>
    <row r="267" customFormat="false" ht="18.75" hidden="false" customHeight="true" outlineLevel="0" collapsed="false">
      <c r="A267" s="107" t="str">
        <f aca="false">Übungen!$A$11</f>
        <v>Beinpresse breit</v>
      </c>
      <c r="B267" s="107"/>
      <c r="C267" s="107"/>
      <c r="D267" s="107"/>
      <c r="E267" s="107"/>
      <c r="F267" s="107"/>
      <c r="G267" s="107"/>
      <c r="H267" s="107"/>
      <c r="I267" s="107"/>
    </row>
    <row r="268" customFormat="false" ht="13.5" hidden="false" customHeight="true" outlineLevel="0" collapsed="false">
      <c r="A268" s="108" t="str">
        <f aca="false">IF(OR(FALSE(),Übungen!$L$11="pause"),IF(Übungen!$L$11="pause","PAUSE - vorübergehend ausgesetzt, Grund im Blatt 'Übungen'     ·     ",""),IF(IFERROR(INDEX(Rekorde!$L$4:$L$23,MATCH(Übungen!$A$11,Rekorde!$A$4:$A$23,0)),"")="",IF(IFERROR(INDEX(Rekorde!$O$4:$O$23,MATCH(Übungen!$A$11,Rekorde!$A$4:$A$23,0)),"")="","Neu im Plan - Startgewicht im Blatt 'Übungen' eintragen     ·     ","Neu im Plan     ·     Start: "&amp;TEXT(IFERROR(INDEX(Rekorde!$O$4:$O$23,MATCH(Übungen!$A$11,Rekorde!$A$4:$A$23,0)),""),"0.#")&amp;" kg     ·     "),"Zuletzt: "&amp;TEXT(IFERROR(INDEX(Rekorde!$L$4:$L$23,MATCH(Übungen!$A$11,Rekorde!$A$4:$A$23,0)),""),"0.#")&amp;" kg × "&amp;IF(IFERROR(INDEX(Rekorde!$M$4:$M$23,MATCH(Übungen!$A$11,Rekorde!$A$4:$A$23,0)),"")="","?",TEXT(IFERROR(INDEX(Rekorde!$M$4:$M$23,MATCH(Übungen!$A$11,Rekorde!$A$4:$A$23,0)),""),"0"))&amp;" Wdh     ·     Bestwert: "&amp;TEXT(IFERROR(INDEX(Rekorde!$F$4:$F$23,MATCH(Übungen!$A$11,Rekorde!$A$4:$A$23,0)),""),"0.#")&amp;" kg     ·     "&amp;IF(IFERROR(INDEX(Rekorde!$O$4:$O$23,MATCH(Übungen!$A$11,Rekorde!$A$4:$A$23,0)),"")="","","Ziel heute: "&amp;TEXT(IFERROR(INDEX(Rekorde!$O$4:$O$23,MATCH(Übungen!$A$11,Rekorde!$A$4:$A$23,0)),""),"0.#")&amp;" kg × "&amp;IF(IFERROR(INDEX(Rekorde!$P$4:$P$23,MATCH(Übungen!$A$11,Rekorde!$A$4:$A$23,0)),"")="","",TEXT(IFERROR(INDEX(Rekorde!$P$4:$P$23,MATCH(Übungen!$A$11,Rekorde!$A$4:$A$23,0)),""),"0")&amp;" Wdh")&amp;"     ·     ")&amp;IF(AND(Übungen!$I$11&lt;&gt;"",IFERROR(INDEX(Rekorde!$O$4:$O$23,MATCH(Übungen!$A$11,Rekorde!$A$4:$A$23,0)),"")&lt;&gt;"",IFERROR(INDEX(Rekorde!$O$4:$O$23,MATCH(Übungen!$A$11,Rekorde!$A$4:$A$23,0)),"")&gt;=Übungen!$I$11),"Stackende, über Tempo und Pausen steigern     ·     ","")))</f>
        <v>Neu im Plan     ·     Start: 220 kg     ·     </v>
      </c>
      <c r="B268" s="108"/>
      <c r="C268" s="108"/>
      <c r="D268" s="108"/>
      <c r="E268" s="108"/>
      <c r="F268" s="108"/>
      <c r="G268" s="108"/>
      <c r="H268" s="108"/>
      <c r="I268" s="108"/>
    </row>
    <row r="269" customFormat="false" ht="13.5" hidden="false" customHeight="true" outlineLevel="0" collapsed="false">
      <c r="A269" s="109" t="str">
        <f aca="false">"Vorgabe: "&amp;Übungen!$F$11&amp;" × "&amp;Übungen!$D$11&amp;"-"&amp;Übungen!$E$11&amp;" Wdh @ RPE "&amp;Übungen!$G$11&amp;IF(OR(Übungen!$M$11="",Übungen!$M$11&lt;=1),"","     ·     nach OP gesperrt bis Woche "&amp;Übungen!$M$11)&amp;IF(OR(FALSE(),Übungen!$L$11="pause"),"",IF(AND(Übungen!$K$11&lt;&gt;"",Übungen!$K$11&lt;&gt;100),"     ·     Wiedereinstieg: "&amp;TEXT(Übungen!$K$11,"0")&amp;" % des berechneten Ziels",IF(IFERROR(INDEX(Rekorde!$Q$4:$Q$23,MATCH(Übungen!$A$11,Rekorde!$A$4:$A$23,0)),"")="","","     ·     Schritt: "&amp;IFERROR(INDEX(Rekorde!$Q$4:$Q$23,MATCH(Übungen!$A$11,Rekorde!$A$4:$A$23,0)),""))))</f>
        <v>Vorgabe: 3 × 5-6 Wdh @ RPE 8-9     ·     nach OP gesperrt bis Woche 6     ·     Schritt: Einstieg mit Startgewicht</v>
      </c>
      <c r="B269" s="109"/>
      <c r="C269" s="109"/>
      <c r="D269" s="109"/>
      <c r="E269" s="109"/>
      <c r="F269" s="109"/>
      <c r="G269" s="109"/>
      <c r="H269" s="109"/>
      <c r="I269" s="109"/>
    </row>
    <row r="270" customFormat="false" ht="18" hidden="false" customHeight="true" outlineLevel="0" collapsed="false">
      <c r="A270" s="110" t="s">
        <v>543</v>
      </c>
      <c r="B270" s="110" t="s">
        <v>544</v>
      </c>
      <c r="C270" s="110" t="s">
        <v>545</v>
      </c>
      <c r="D270" s="110" t="s">
        <v>546</v>
      </c>
      <c r="E270" s="110" t="s">
        <v>547</v>
      </c>
      <c r="F270" s="110" t="s">
        <v>454</v>
      </c>
      <c r="G270" s="110" t="s">
        <v>50</v>
      </c>
      <c r="H270" s="110" t="s">
        <v>548</v>
      </c>
      <c r="I270" s="110" t="s">
        <v>256</v>
      </c>
    </row>
    <row r="271" customFormat="false" ht="18" hidden="false" customHeight="true" outlineLevel="0" collapsed="false">
      <c r="A271" s="72" t="n">
        <v>1</v>
      </c>
      <c r="B271" s="70" t="s">
        <v>549</v>
      </c>
      <c r="C271" s="111" t="n">
        <f aca="false">IF(OR(FALSE(),Übungen!$L$11="pause"),"",IF(IFERROR(INDEX(Rekorde!$O$4:$O$23,MATCH(Übungen!$A$11,Rekorde!$A$4:$A$23,0)),"")="","",ROUND(IFERROR(INDEX(Rekorde!$O$4:$O$23,MATCH(Übungen!$A$11,Rekorde!$A$4:$A$23,0)),"")*0.4*2,0)/2))</f>
        <v>88</v>
      </c>
      <c r="D271" s="112"/>
      <c r="E271" s="113"/>
      <c r="F271" s="113"/>
      <c r="G271" s="113"/>
      <c r="H271" s="113"/>
      <c r="I271" s="113"/>
    </row>
    <row r="272" customFormat="false" ht="18" hidden="false" customHeight="true" outlineLevel="0" collapsed="false">
      <c r="A272" s="72" t="n">
        <v>2</v>
      </c>
      <c r="B272" s="70" t="s">
        <v>550</v>
      </c>
      <c r="C272" s="111" t="n">
        <f aca="false">IF(OR(FALSE(),Übungen!$L$11="pause"),"",IF(IFERROR(INDEX(Rekorde!$O$4:$O$23,MATCH(Übungen!$A$11,Rekorde!$A$4:$A$23,0)),"")="","",ROUND(IFERROR(INDEX(Rekorde!$O$4:$O$23,MATCH(Übungen!$A$11,Rekorde!$A$4:$A$23,0)),"")*0.7*2,0)/2))</f>
        <v>154</v>
      </c>
      <c r="D272" s="112"/>
      <c r="E272" s="113"/>
      <c r="F272" s="113"/>
      <c r="G272" s="113"/>
      <c r="H272" s="113"/>
      <c r="I272" s="113"/>
    </row>
    <row r="273" customFormat="false" ht="18" hidden="false" customHeight="true" outlineLevel="0" collapsed="false">
      <c r="A273" s="72" t="n">
        <v>3</v>
      </c>
      <c r="B273" s="114" t="s">
        <v>551</v>
      </c>
      <c r="C273" s="115" t="n">
        <f aca="false">IF(OR(FALSE(),Übungen!$L$11="pause"),"",IF(IFERROR(INDEX(Rekorde!$O$4:$O$23,MATCH(Übungen!$A$11,Rekorde!$A$4:$A$23,0)),"")="","",ROUND(IFERROR(INDEX(Rekorde!$O$4:$O$23,MATCH(Übungen!$A$11,Rekorde!$A$4:$A$23,0)),"")*1*2,0)/2))</f>
        <v>220</v>
      </c>
      <c r="D273" s="116" t="n">
        <f aca="false">IF(OR(FALSE(),Übungen!$L$11="pause"),"",IF(IFERROR(INDEX(Rekorde!$P$4:$P$23,MATCH(Übungen!$A$11,Rekorde!$A$4:$A$23,0)),"")="","",MIN(Übungen!$E$11,IFERROR(INDEX(Rekorde!$P$4:$P$23,MATCH(Übungen!$A$11,Rekorde!$A$4:$A$23,0)),"")+0)))</f>
        <v>5</v>
      </c>
      <c r="E273" s="113"/>
      <c r="F273" s="113"/>
      <c r="G273" s="113"/>
      <c r="H273" s="113"/>
      <c r="I273" s="113"/>
    </row>
    <row r="274" customFormat="false" ht="18" hidden="false" customHeight="true" outlineLevel="0" collapsed="false">
      <c r="A274" s="72" t="n">
        <v>4</v>
      </c>
      <c r="B274" s="114" t="s">
        <v>552</v>
      </c>
      <c r="C274" s="111" t="n">
        <f aca="false">IF(OR(FALSE(),Übungen!$L$11="pause"),"",IF(IFERROR(INDEX(Rekorde!$O$4:$O$23,MATCH(Übungen!$A$11,Rekorde!$A$4:$A$23,0)),"")="","",ROUND(IFERROR(INDEX(Rekorde!$O$4:$O$23,MATCH(Übungen!$A$11,Rekorde!$A$4:$A$23,0)),"")*0.95*2,0)/2))</f>
        <v>209</v>
      </c>
      <c r="D274" s="116" t="n">
        <f aca="false">IF(OR(FALSE(),Übungen!$L$11="pause"),"",IF(IFERROR(INDEX(Rekorde!$P$4:$P$23,MATCH(Übungen!$A$11,Rekorde!$A$4:$A$23,0)),"")="","",MIN(Übungen!$E$11,IFERROR(INDEX(Rekorde!$P$4:$P$23,MATCH(Übungen!$A$11,Rekorde!$A$4:$A$23,0)),"")+1)))</f>
        <v>6</v>
      </c>
      <c r="E274" s="113"/>
      <c r="F274" s="113"/>
      <c r="G274" s="113"/>
      <c r="H274" s="113"/>
      <c r="I274" s="113"/>
    </row>
    <row r="275" customFormat="false" ht="18" hidden="false" customHeight="true" outlineLevel="0" collapsed="false">
      <c r="A275" s="72" t="n">
        <v>5</v>
      </c>
      <c r="B275" s="114" t="s">
        <v>553</v>
      </c>
      <c r="C275" s="111" t="n">
        <f aca="false">IF(OR(FALSE(),Übungen!$L$11="pause"),"",IF(IFERROR(INDEX(Rekorde!$O$4:$O$23,MATCH(Übungen!$A$11,Rekorde!$A$4:$A$23,0)),"")="","",ROUND(IFERROR(INDEX(Rekorde!$O$4:$O$23,MATCH(Übungen!$A$11,Rekorde!$A$4:$A$23,0)),"")*0.9*2,0)/2))</f>
        <v>198</v>
      </c>
      <c r="D275" s="116" t="n">
        <f aca="false">IF(OR(FALSE(),Übungen!$L$11="pause"),"",IF(IFERROR(INDEX(Rekorde!$P$4:$P$23,MATCH(Übungen!$A$11,Rekorde!$A$4:$A$23,0)),"")="","",MIN(Übungen!$E$11,IFERROR(INDEX(Rekorde!$P$4:$P$23,MATCH(Übungen!$A$11,Rekorde!$A$4:$A$23,0)),"")+2)))</f>
        <v>6</v>
      </c>
      <c r="E275" s="113"/>
      <c r="F275" s="113"/>
      <c r="G275" s="113"/>
      <c r="H275" s="113"/>
      <c r="I275" s="113"/>
    </row>
    <row r="277" customFormat="false" ht="18.75" hidden="false" customHeight="true" outlineLevel="0" collapsed="false">
      <c r="A277" s="107" t="str">
        <f aca="false">Übungen!$A$12</f>
        <v>Hip Thrust</v>
      </c>
      <c r="B277" s="107"/>
      <c r="C277" s="107"/>
      <c r="D277" s="107"/>
      <c r="E277" s="107"/>
      <c r="F277" s="107"/>
      <c r="G277" s="107"/>
      <c r="H277" s="107"/>
      <c r="I277" s="107"/>
    </row>
    <row r="278" customFormat="false" ht="13.5" hidden="false" customHeight="true" outlineLevel="0" collapsed="false">
      <c r="A278" s="108" t="str">
        <f aca="false">IF(OR(FALSE(),Übungen!$L$12="pause"),IF(Übungen!$L$12="pause","PAUSE - vorübergehend ausgesetzt, Grund im Blatt 'Übungen'     ·     ",""),IF(IFERROR(INDEX(Rekorde!$L$4:$L$23,MATCH(Übungen!$A$12,Rekorde!$A$4:$A$23,0)),"")="",IF(IFERROR(INDEX(Rekorde!$O$4:$O$23,MATCH(Übungen!$A$12,Rekorde!$A$4:$A$23,0)),"")="","Neu im Plan - Startgewicht im Blatt 'Übungen' eintragen     ·     ","Neu im Plan     ·     Start: "&amp;TEXT(IFERROR(INDEX(Rekorde!$O$4:$O$23,MATCH(Übungen!$A$12,Rekorde!$A$4:$A$23,0)),""),"0.#")&amp;" kg     ·     "),"Zuletzt: "&amp;TEXT(IFERROR(INDEX(Rekorde!$L$4:$L$23,MATCH(Übungen!$A$12,Rekorde!$A$4:$A$23,0)),""),"0.#")&amp;" kg × "&amp;IF(IFERROR(INDEX(Rekorde!$M$4:$M$23,MATCH(Übungen!$A$12,Rekorde!$A$4:$A$23,0)),"")="","?",TEXT(IFERROR(INDEX(Rekorde!$M$4:$M$23,MATCH(Übungen!$A$12,Rekorde!$A$4:$A$23,0)),""),"0"))&amp;" Wdh     ·     Bestwert: "&amp;TEXT(IFERROR(INDEX(Rekorde!$F$4:$F$23,MATCH(Übungen!$A$12,Rekorde!$A$4:$A$23,0)),""),"0.#")&amp;" kg     ·     "&amp;IF(IFERROR(INDEX(Rekorde!$O$4:$O$23,MATCH(Übungen!$A$12,Rekorde!$A$4:$A$23,0)),"")="","","Ziel heute: "&amp;TEXT(IFERROR(INDEX(Rekorde!$O$4:$O$23,MATCH(Übungen!$A$12,Rekorde!$A$4:$A$23,0)),""),"0.#")&amp;" kg × "&amp;IF(IFERROR(INDEX(Rekorde!$P$4:$P$23,MATCH(Übungen!$A$12,Rekorde!$A$4:$A$23,0)),"")="","",TEXT(IFERROR(INDEX(Rekorde!$P$4:$P$23,MATCH(Übungen!$A$12,Rekorde!$A$4:$A$23,0)),""),"0")&amp;" Wdh")&amp;"     ·     ")&amp;IF(AND(Übungen!$I$12&lt;&gt;"",IFERROR(INDEX(Rekorde!$O$4:$O$23,MATCH(Übungen!$A$12,Rekorde!$A$4:$A$23,0)),"")&lt;&gt;"",IFERROR(INDEX(Rekorde!$O$4:$O$23,MATCH(Übungen!$A$12,Rekorde!$A$4:$A$23,0)),"")&gt;=Übungen!$I$12),"Stackende, über Tempo und Pausen steigern     ·     ","")))</f>
        <v>Zuletzt: 285 kg × 5 Wdh     ·     Bestwert: 290 kg     ·     Ziel heute: 285 kg × 6 Wdh     ·     </v>
      </c>
      <c r="B278" s="108"/>
      <c r="C278" s="108"/>
      <c r="D278" s="108"/>
      <c r="E278" s="108"/>
      <c r="F278" s="108"/>
      <c r="G278" s="108"/>
      <c r="H278" s="108"/>
      <c r="I278" s="108"/>
    </row>
    <row r="279" customFormat="false" ht="13.5" hidden="false" customHeight="true" outlineLevel="0" collapsed="false">
      <c r="A279" s="109" t="str">
        <f aca="false">"Vorgabe: "&amp;Übungen!$F$12&amp;" × "&amp;Übungen!$D$12&amp;"-"&amp;Übungen!$E$12&amp;" Wdh @ RPE "&amp;Übungen!$G$12&amp;IF(OR(Übungen!$M$12="",Übungen!$M$12&lt;=1),"","     ·     nach OP gesperrt bis Woche "&amp;Übungen!$M$12)&amp;IF(OR(FALSE(),Übungen!$L$12="pause"),"",IF(AND(Übungen!$K$12&lt;&gt;"",Übungen!$K$12&lt;&gt;100),"     ·     Wiedereinstieg: "&amp;TEXT(Übungen!$K$12,"0")&amp;" % des berechneten Ziels",IF(IFERROR(INDEX(Rekorde!$Q$4:$Q$23,MATCH(Übungen!$A$12,Rekorde!$A$4:$A$23,0)),"")="","","     ·     Schritt: "&amp;IFERROR(INDEX(Rekorde!$Q$4:$Q$23,MATCH(Übungen!$A$12,Rekorde!$A$4:$A$23,0)),""))))</f>
        <v>Vorgabe: 3 × 5-6 Wdh @ RPE 8-9     ·     nach OP gesperrt bis Woche 12     ·     Schritt: Wdh +1 auf 6 bei gleichem Gewicht</v>
      </c>
      <c r="B279" s="109"/>
      <c r="C279" s="109"/>
      <c r="D279" s="109"/>
      <c r="E279" s="109"/>
      <c r="F279" s="109"/>
      <c r="G279" s="109"/>
      <c r="H279" s="109"/>
      <c r="I279" s="109"/>
    </row>
    <row r="280" customFormat="false" ht="18" hidden="false" customHeight="true" outlineLevel="0" collapsed="false">
      <c r="A280" s="110" t="s">
        <v>543</v>
      </c>
      <c r="B280" s="110" t="s">
        <v>544</v>
      </c>
      <c r="C280" s="110" t="s">
        <v>545</v>
      </c>
      <c r="D280" s="110" t="s">
        <v>546</v>
      </c>
      <c r="E280" s="110" t="s">
        <v>547</v>
      </c>
      <c r="F280" s="110" t="s">
        <v>454</v>
      </c>
      <c r="G280" s="110" t="s">
        <v>50</v>
      </c>
      <c r="H280" s="110" t="s">
        <v>548</v>
      </c>
      <c r="I280" s="110" t="s">
        <v>256</v>
      </c>
    </row>
    <row r="281" customFormat="false" ht="18" hidden="false" customHeight="true" outlineLevel="0" collapsed="false">
      <c r="A281" s="72" t="n">
        <v>1</v>
      </c>
      <c r="B281" s="70" t="s">
        <v>549</v>
      </c>
      <c r="C281" s="111" t="n">
        <f aca="false">IF(OR(FALSE(),Übungen!$L$12="pause"),"",IF(IFERROR(INDEX(Rekorde!$O$4:$O$23,MATCH(Übungen!$A$12,Rekorde!$A$4:$A$23,0)),"")="","",ROUND(IFERROR(INDEX(Rekorde!$O$4:$O$23,MATCH(Übungen!$A$12,Rekorde!$A$4:$A$23,0)),"")*0.4*2,0)/2))</f>
        <v>114</v>
      </c>
      <c r="D281" s="112"/>
      <c r="E281" s="113"/>
      <c r="F281" s="113"/>
      <c r="G281" s="113"/>
      <c r="H281" s="113"/>
      <c r="I281" s="113"/>
    </row>
    <row r="282" customFormat="false" ht="18" hidden="false" customHeight="true" outlineLevel="0" collapsed="false">
      <c r="A282" s="72" t="n">
        <v>2</v>
      </c>
      <c r="B282" s="70" t="s">
        <v>550</v>
      </c>
      <c r="C282" s="111" t="n">
        <f aca="false">IF(OR(FALSE(),Übungen!$L$12="pause"),"",IF(IFERROR(INDEX(Rekorde!$O$4:$O$23,MATCH(Übungen!$A$12,Rekorde!$A$4:$A$23,0)),"")="","",ROUND(IFERROR(INDEX(Rekorde!$O$4:$O$23,MATCH(Übungen!$A$12,Rekorde!$A$4:$A$23,0)),"")*0.7*2,0)/2))</f>
        <v>199.5</v>
      </c>
      <c r="D282" s="112"/>
      <c r="E282" s="113"/>
      <c r="F282" s="113"/>
      <c r="G282" s="113"/>
      <c r="H282" s="113"/>
      <c r="I282" s="113"/>
    </row>
    <row r="283" customFormat="false" ht="18" hidden="false" customHeight="true" outlineLevel="0" collapsed="false">
      <c r="A283" s="72" t="n">
        <v>3</v>
      </c>
      <c r="B283" s="114" t="s">
        <v>551</v>
      </c>
      <c r="C283" s="115" t="n">
        <f aca="false">IF(OR(FALSE(),Übungen!$L$12="pause"),"",IF(IFERROR(INDEX(Rekorde!$O$4:$O$23,MATCH(Übungen!$A$12,Rekorde!$A$4:$A$23,0)),"")="","",ROUND(IFERROR(INDEX(Rekorde!$O$4:$O$23,MATCH(Übungen!$A$12,Rekorde!$A$4:$A$23,0)),"")*1*2,0)/2))</f>
        <v>285</v>
      </c>
      <c r="D283" s="116" t="n">
        <f aca="false">IF(OR(FALSE(),Übungen!$L$12="pause"),"",IF(IFERROR(INDEX(Rekorde!$P$4:$P$23,MATCH(Übungen!$A$12,Rekorde!$A$4:$A$23,0)),"")="","",MIN(Übungen!$E$12,IFERROR(INDEX(Rekorde!$P$4:$P$23,MATCH(Übungen!$A$12,Rekorde!$A$4:$A$23,0)),"")+0)))</f>
        <v>6</v>
      </c>
      <c r="E283" s="113"/>
      <c r="F283" s="113"/>
      <c r="G283" s="113"/>
      <c r="H283" s="113"/>
      <c r="I283" s="113"/>
    </row>
    <row r="284" customFormat="false" ht="18" hidden="false" customHeight="true" outlineLevel="0" collapsed="false">
      <c r="A284" s="72" t="n">
        <v>4</v>
      </c>
      <c r="B284" s="114" t="s">
        <v>552</v>
      </c>
      <c r="C284" s="111" t="n">
        <f aca="false">IF(OR(FALSE(),Übungen!$L$12="pause"),"",IF(IFERROR(INDEX(Rekorde!$O$4:$O$23,MATCH(Übungen!$A$12,Rekorde!$A$4:$A$23,0)),"")="","",ROUND(IFERROR(INDEX(Rekorde!$O$4:$O$23,MATCH(Übungen!$A$12,Rekorde!$A$4:$A$23,0)),"")*0.95*2,0)/2))</f>
        <v>271</v>
      </c>
      <c r="D284" s="116" t="n">
        <f aca="false">IF(OR(FALSE(),Übungen!$L$12="pause"),"",IF(IFERROR(INDEX(Rekorde!$P$4:$P$23,MATCH(Übungen!$A$12,Rekorde!$A$4:$A$23,0)),"")="","",MIN(Übungen!$E$12,IFERROR(INDEX(Rekorde!$P$4:$P$23,MATCH(Übungen!$A$12,Rekorde!$A$4:$A$23,0)),"")+1)))</f>
        <v>6</v>
      </c>
      <c r="E284" s="113"/>
      <c r="F284" s="113"/>
      <c r="G284" s="113"/>
      <c r="H284" s="113"/>
      <c r="I284" s="113"/>
    </row>
    <row r="285" customFormat="false" ht="18" hidden="false" customHeight="true" outlineLevel="0" collapsed="false">
      <c r="A285" s="72" t="n">
        <v>5</v>
      </c>
      <c r="B285" s="114" t="s">
        <v>553</v>
      </c>
      <c r="C285" s="111" t="n">
        <f aca="false">IF(OR(FALSE(),Übungen!$L$12="pause"),"",IF(IFERROR(INDEX(Rekorde!$O$4:$O$23,MATCH(Übungen!$A$12,Rekorde!$A$4:$A$23,0)),"")="","",ROUND(IFERROR(INDEX(Rekorde!$O$4:$O$23,MATCH(Übungen!$A$12,Rekorde!$A$4:$A$23,0)),"")*0.9*2,0)/2))</f>
        <v>256.5</v>
      </c>
      <c r="D285" s="116" t="n">
        <f aca="false">IF(OR(FALSE(),Übungen!$L$12="pause"),"",IF(IFERROR(INDEX(Rekorde!$P$4:$P$23,MATCH(Übungen!$A$12,Rekorde!$A$4:$A$23,0)),"")="","",MIN(Übungen!$E$12,IFERROR(INDEX(Rekorde!$P$4:$P$23,MATCH(Übungen!$A$12,Rekorde!$A$4:$A$23,0)),"")+2)))</f>
        <v>6</v>
      </c>
      <c r="E285" s="113"/>
      <c r="F285" s="113"/>
      <c r="G285" s="113"/>
      <c r="H285" s="113"/>
      <c r="I285" s="113"/>
    </row>
    <row r="287" customFormat="false" ht="18.75" hidden="false" customHeight="true" outlineLevel="0" collapsed="false">
      <c r="A287" s="107" t="str">
        <f aca="false">Übungen!$A$13</f>
        <v>Hip &amp; Glute</v>
      </c>
      <c r="B287" s="107"/>
      <c r="C287" s="107"/>
      <c r="D287" s="107"/>
      <c r="E287" s="107"/>
      <c r="F287" s="107"/>
      <c r="G287" s="107"/>
      <c r="H287" s="107"/>
      <c r="I287" s="107"/>
    </row>
    <row r="288" customFormat="false" ht="13.5" hidden="false" customHeight="true" outlineLevel="0" collapsed="false">
      <c r="A288" s="108" t="str">
        <f aca="false">IF(OR(FALSE(),Übungen!$L$13="pause"),IF(Übungen!$L$13="pause","PAUSE - vorübergehend ausgesetzt, Grund im Blatt 'Übungen'     ·     ",""),IF(IFERROR(INDEX(Rekorde!$L$4:$L$23,MATCH(Übungen!$A$13,Rekorde!$A$4:$A$23,0)),"")="",IF(IFERROR(INDEX(Rekorde!$O$4:$O$23,MATCH(Übungen!$A$13,Rekorde!$A$4:$A$23,0)),"")="","Neu im Plan - Startgewicht im Blatt 'Übungen' eintragen     ·     ","Neu im Plan     ·     Start: "&amp;TEXT(IFERROR(INDEX(Rekorde!$O$4:$O$23,MATCH(Übungen!$A$13,Rekorde!$A$4:$A$23,0)),""),"0.#")&amp;" kg     ·     "),"Zuletzt: "&amp;TEXT(IFERROR(INDEX(Rekorde!$L$4:$L$23,MATCH(Übungen!$A$13,Rekorde!$A$4:$A$23,0)),""),"0.#")&amp;" kg × "&amp;IF(IFERROR(INDEX(Rekorde!$M$4:$M$23,MATCH(Übungen!$A$13,Rekorde!$A$4:$A$23,0)),"")="","?",TEXT(IFERROR(INDEX(Rekorde!$M$4:$M$23,MATCH(Übungen!$A$13,Rekorde!$A$4:$A$23,0)),""),"0"))&amp;" Wdh     ·     Bestwert: "&amp;TEXT(IFERROR(INDEX(Rekorde!$F$4:$F$23,MATCH(Übungen!$A$13,Rekorde!$A$4:$A$23,0)),""),"0.#")&amp;" kg     ·     "&amp;IF(IFERROR(INDEX(Rekorde!$O$4:$O$23,MATCH(Übungen!$A$13,Rekorde!$A$4:$A$23,0)),"")="","","Ziel heute: "&amp;TEXT(IFERROR(INDEX(Rekorde!$O$4:$O$23,MATCH(Übungen!$A$13,Rekorde!$A$4:$A$23,0)),""),"0.#")&amp;" kg × "&amp;IF(IFERROR(INDEX(Rekorde!$P$4:$P$23,MATCH(Übungen!$A$13,Rekorde!$A$4:$A$23,0)),"")="","",TEXT(IFERROR(INDEX(Rekorde!$P$4:$P$23,MATCH(Übungen!$A$13,Rekorde!$A$4:$A$23,0)),""),"0")&amp;" Wdh")&amp;"     ·     ")&amp;IF(AND(Übungen!$I$13&lt;&gt;"",IFERROR(INDEX(Rekorde!$O$4:$O$23,MATCH(Übungen!$A$13,Rekorde!$A$4:$A$23,0)),"")&lt;&gt;"",IFERROR(INDEX(Rekorde!$O$4:$O$23,MATCH(Übungen!$A$13,Rekorde!$A$4:$A$23,0)),"")&gt;=Übungen!$I$13),"Stackende, über Tempo und Pausen steigern     ·     ","")))</f>
        <v>Zuletzt: 170 kg × 5 Wdh     ·     Bestwert: 176 kg     ·     Ziel heute: 170 kg × 6 Wdh     ·     </v>
      </c>
      <c r="B288" s="108"/>
      <c r="C288" s="108"/>
      <c r="D288" s="108"/>
      <c r="E288" s="108"/>
      <c r="F288" s="108"/>
      <c r="G288" s="108"/>
      <c r="H288" s="108"/>
      <c r="I288" s="108"/>
    </row>
    <row r="289" customFormat="false" ht="13.5" hidden="false" customHeight="true" outlineLevel="0" collapsed="false">
      <c r="A289" s="109" t="str">
        <f aca="false">"Vorgabe: "&amp;Übungen!$F$13&amp;" × "&amp;Übungen!$D$13&amp;"-"&amp;Übungen!$E$13&amp;" Wdh @ RPE "&amp;Übungen!$G$13&amp;IF(OR(Übungen!$M$13="",Übungen!$M$13&lt;=1),"","     ·     nach OP gesperrt bis Woche "&amp;Übungen!$M$13)&amp;IF(OR(FALSE(),Übungen!$L$13="pause"),"",IF(AND(Übungen!$K$13&lt;&gt;"",Übungen!$K$13&lt;&gt;100),"     ·     Wiedereinstieg: "&amp;TEXT(Übungen!$K$13,"0")&amp;" % des berechneten Ziels",IF(IFERROR(INDEX(Rekorde!$Q$4:$Q$23,MATCH(Übungen!$A$13,Rekorde!$A$4:$A$23,0)),"")="","","     ·     Schritt: "&amp;IFERROR(INDEX(Rekorde!$Q$4:$Q$23,MATCH(Übungen!$A$13,Rekorde!$A$4:$A$23,0)),""))))</f>
        <v>Vorgabe: 3 × 5-6 Wdh @ RPE 8-9     ·     nach OP gesperrt bis Woche 6     ·     Schritt: Wdh +1 auf 6 bei gleichem Gewicht</v>
      </c>
      <c r="B289" s="109"/>
      <c r="C289" s="109"/>
      <c r="D289" s="109"/>
      <c r="E289" s="109"/>
      <c r="F289" s="109"/>
      <c r="G289" s="109"/>
      <c r="H289" s="109"/>
      <c r="I289" s="109"/>
    </row>
    <row r="290" customFormat="false" ht="18" hidden="false" customHeight="true" outlineLevel="0" collapsed="false">
      <c r="A290" s="110" t="s">
        <v>543</v>
      </c>
      <c r="B290" s="110" t="s">
        <v>544</v>
      </c>
      <c r="C290" s="110" t="s">
        <v>545</v>
      </c>
      <c r="D290" s="110" t="s">
        <v>546</v>
      </c>
      <c r="E290" s="110" t="s">
        <v>547</v>
      </c>
      <c r="F290" s="110" t="s">
        <v>454</v>
      </c>
      <c r="G290" s="110" t="s">
        <v>50</v>
      </c>
      <c r="H290" s="110" t="s">
        <v>548</v>
      </c>
      <c r="I290" s="110" t="s">
        <v>256</v>
      </c>
    </row>
    <row r="291" customFormat="false" ht="18" hidden="false" customHeight="true" outlineLevel="0" collapsed="false">
      <c r="A291" s="72" t="n">
        <v>1</v>
      </c>
      <c r="B291" s="70" t="s">
        <v>549</v>
      </c>
      <c r="C291" s="111" t="n">
        <f aca="false">IF(OR(FALSE(),Übungen!$L$13="pause"),"",IF(IFERROR(INDEX(Rekorde!$O$4:$O$23,MATCH(Übungen!$A$13,Rekorde!$A$4:$A$23,0)),"")="","",ROUND(IFERROR(INDEX(Rekorde!$O$4:$O$23,MATCH(Übungen!$A$13,Rekorde!$A$4:$A$23,0)),"")*0.4*2,0)/2))</f>
        <v>68</v>
      </c>
      <c r="D291" s="112"/>
      <c r="E291" s="113"/>
      <c r="F291" s="113"/>
      <c r="G291" s="113"/>
      <c r="H291" s="113"/>
      <c r="I291" s="113"/>
    </row>
    <row r="292" customFormat="false" ht="18" hidden="false" customHeight="true" outlineLevel="0" collapsed="false">
      <c r="A292" s="72" t="n">
        <v>2</v>
      </c>
      <c r="B292" s="70" t="s">
        <v>550</v>
      </c>
      <c r="C292" s="111" t="n">
        <f aca="false">IF(OR(FALSE(),Übungen!$L$13="pause"),"",IF(IFERROR(INDEX(Rekorde!$O$4:$O$23,MATCH(Übungen!$A$13,Rekorde!$A$4:$A$23,0)),"")="","",ROUND(IFERROR(INDEX(Rekorde!$O$4:$O$23,MATCH(Übungen!$A$13,Rekorde!$A$4:$A$23,0)),"")*0.7*2,0)/2))</f>
        <v>119</v>
      </c>
      <c r="D292" s="112"/>
      <c r="E292" s="113"/>
      <c r="F292" s="113"/>
      <c r="G292" s="113"/>
      <c r="H292" s="113"/>
      <c r="I292" s="113"/>
    </row>
    <row r="293" customFormat="false" ht="18" hidden="false" customHeight="true" outlineLevel="0" collapsed="false">
      <c r="A293" s="72" t="n">
        <v>3</v>
      </c>
      <c r="B293" s="114" t="s">
        <v>551</v>
      </c>
      <c r="C293" s="115" t="n">
        <f aca="false">IF(OR(FALSE(),Übungen!$L$13="pause"),"",IF(IFERROR(INDEX(Rekorde!$O$4:$O$23,MATCH(Übungen!$A$13,Rekorde!$A$4:$A$23,0)),"")="","",ROUND(IFERROR(INDEX(Rekorde!$O$4:$O$23,MATCH(Übungen!$A$13,Rekorde!$A$4:$A$23,0)),"")*1*2,0)/2))</f>
        <v>170</v>
      </c>
      <c r="D293" s="116" t="n">
        <f aca="false">IF(OR(FALSE(),Übungen!$L$13="pause"),"",IF(IFERROR(INDEX(Rekorde!$P$4:$P$23,MATCH(Übungen!$A$13,Rekorde!$A$4:$A$23,0)),"")="","",MIN(Übungen!$E$13,IFERROR(INDEX(Rekorde!$P$4:$P$23,MATCH(Übungen!$A$13,Rekorde!$A$4:$A$23,0)),"")+0)))</f>
        <v>6</v>
      </c>
      <c r="E293" s="113"/>
      <c r="F293" s="113"/>
      <c r="G293" s="113"/>
      <c r="H293" s="113"/>
      <c r="I293" s="113"/>
    </row>
    <row r="294" customFormat="false" ht="18" hidden="false" customHeight="true" outlineLevel="0" collapsed="false">
      <c r="A294" s="72" t="n">
        <v>4</v>
      </c>
      <c r="B294" s="114" t="s">
        <v>552</v>
      </c>
      <c r="C294" s="111" t="n">
        <f aca="false">IF(OR(FALSE(),Übungen!$L$13="pause"),"",IF(IFERROR(INDEX(Rekorde!$O$4:$O$23,MATCH(Übungen!$A$13,Rekorde!$A$4:$A$23,0)),"")="","",ROUND(IFERROR(INDEX(Rekorde!$O$4:$O$23,MATCH(Übungen!$A$13,Rekorde!$A$4:$A$23,0)),"")*0.95*2,0)/2))</f>
        <v>161.5</v>
      </c>
      <c r="D294" s="116" t="n">
        <f aca="false">IF(OR(FALSE(),Übungen!$L$13="pause"),"",IF(IFERROR(INDEX(Rekorde!$P$4:$P$23,MATCH(Übungen!$A$13,Rekorde!$A$4:$A$23,0)),"")="","",MIN(Übungen!$E$13,IFERROR(INDEX(Rekorde!$P$4:$P$23,MATCH(Übungen!$A$13,Rekorde!$A$4:$A$23,0)),"")+1)))</f>
        <v>6</v>
      </c>
      <c r="E294" s="113"/>
      <c r="F294" s="113"/>
      <c r="G294" s="113"/>
      <c r="H294" s="113"/>
      <c r="I294" s="113"/>
    </row>
    <row r="295" customFormat="false" ht="18" hidden="false" customHeight="true" outlineLevel="0" collapsed="false">
      <c r="A295" s="72" t="n">
        <v>5</v>
      </c>
      <c r="B295" s="114" t="s">
        <v>553</v>
      </c>
      <c r="C295" s="111" t="n">
        <f aca="false">IF(OR(FALSE(),Übungen!$L$13="pause"),"",IF(IFERROR(INDEX(Rekorde!$O$4:$O$23,MATCH(Übungen!$A$13,Rekorde!$A$4:$A$23,0)),"")="","",ROUND(IFERROR(INDEX(Rekorde!$O$4:$O$23,MATCH(Übungen!$A$13,Rekorde!$A$4:$A$23,0)),"")*0.9*2,0)/2))</f>
        <v>153</v>
      </c>
      <c r="D295" s="116" t="n">
        <f aca="false">IF(OR(FALSE(),Übungen!$L$13="pause"),"",IF(IFERROR(INDEX(Rekorde!$P$4:$P$23,MATCH(Übungen!$A$13,Rekorde!$A$4:$A$23,0)),"")="","",MIN(Übungen!$E$13,IFERROR(INDEX(Rekorde!$P$4:$P$23,MATCH(Übungen!$A$13,Rekorde!$A$4:$A$23,0)),"")+2)))</f>
        <v>6</v>
      </c>
      <c r="E295" s="113"/>
      <c r="F295" s="113"/>
      <c r="G295" s="113"/>
      <c r="H295" s="113"/>
      <c r="I295" s="113"/>
    </row>
    <row r="297" customFormat="false" ht="18.75" hidden="false" customHeight="true" outlineLevel="0" collapsed="false">
      <c r="A297" s="107" t="str">
        <f aca="false">Übungen!$A$14</f>
        <v>Beinbeuger</v>
      </c>
      <c r="B297" s="107"/>
      <c r="C297" s="107"/>
      <c r="D297" s="107"/>
      <c r="E297" s="107"/>
      <c r="F297" s="107"/>
      <c r="G297" s="107"/>
      <c r="H297" s="107"/>
      <c r="I297" s="107"/>
    </row>
    <row r="298" customFormat="false" ht="13.5" hidden="false" customHeight="true" outlineLevel="0" collapsed="false">
      <c r="A298" s="108" t="str">
        <f aca="false">IF(OR(FALSE(),Übungen!$L$14="pause"),IF(Übungen!$L$14="pause","PAUSE - vorübergehend ausgesetzt, Grund im Blatt 'Übungen'     ·     ",""),IF(IFERROR(INDEX(Rekorde!$L$4:$L$23,MATCH(Übungen!$A$14,Rekorde!$A$4:$A$23,0)),"")="",IF(IFERROR(INDEX(Rekorde!$O$4:$O$23,MATCH(Übungen!$A$14,Rekorde!$A$4:$A$23,0)),"")="","Neu im Plan - Startgewicht im Blatt 'Übungen' eintragen     ·     ","Neu im Plan     ·     Start: "&amp;TEXT(IFERROR(INDEX(Rekorde!$O$4:$O$23,MATCH(Übungen!$A$14,Rekorde!$A$4:$A$23,0)),""),"0.#")&amp;" kg     ·     "),"Zuletzt: "&amp;TEXT(IFERROR(INDEX(Rekorde!$L$4:$L$23,MATCH(Übungen!$A$14,Rekorde!$A$4:$A$23,0)),""),"0.#")&amp;" kg × "&amp;IF(IFERROR(INDEX(Rekorde!$M$4:$M$23,MATCH(Übungen!$A$14,Rekorde!$A$4:$A$23,0)),"")="","?",TEXT(IFERROR(INDEX(Rekorde!$M$4:$M$23,MATCH(Übungen!$A$14,Rekorde!$A$4:$A$23,0)),""),"0"))&amp;" Wdh     ·     Bestwert: "&amp;TEXT(IFERROR(INDEX(Rekorde!$F$4:$F$23,MATCH(Übungen!$A$14,Rekorde!$A$4:$A$23,0)),""),"0.#")&amp;" kg     ·     "&amp;IF(IFERROR(INDEX(Rekorde!$O$4:$O$23,MATCH(Übungen!$A$14,Rekorde!$A$4:$A$23,0)),"")="","","Ziel heute: "&amp;TEXT(IFERROR(INDEX(Rekorde!$O$4:$O$23,MATCH(Übungen!$A$14,Rekorde!$A$4:$A$23,0)),""),"0.#")&amp;" kg × "&amp;IF(IFERROR(INDEX(Rekorde!$P$4:$P$23,MATCH(Übungen!$A$14,Rekorde!$A$4:$A$23,0)),"")="","",TEXT(IFERROR(INDEX(Rekorde!$P$4:$P$23,MATCH(Übungen!$A$14,Rekorde!$A$4:$A$23,0)),""),"0")&amp;" Wdh")&amp;"     ·     ")&amp;IF(AND(Übungen!$I$14&lt;&gt;"",IFERROR(INDEX(Rekorde!$O$4:$O$23,MATCH(Übungen!$A$14,Rekorde!$A$4:$A$23,0)),"")&lt;&gt;"",IFERROR(INDEX(Rekorde!$O$4:$O$23,MATCH(Übungen!$A$14,Rekorde!$A$4:$A$23,0)),"")&gt;=Übungen!$I$14),"Stackende, über Tempo und Pausen steigern     ·     ","")))</f>
        <v>Zuletzt: 45 kg × 5 Wdh     ·     Bestwert: 57.5 kg     ·     Ziel heute: 45 kg × 6 Wdh     ·     </v>
      </c>
      <c r="B298" s="108"/>
      <c r="C298" s="108"/>
      <c r="D298" s="108"/>
      <c r="E298" s="108"/>
      <c r="F298" s="108"/>
      <c r="G298" s="108"/>
      <c r="H298" s="108"/>
      <c r="I298" s="108"/>
    </row>
    <row r="299" customFormat="false" ht="13.5" hidden="false" customHeight="true" outlineLevel="0" collapsed="false">
      <c r="A299" s="109" t="str">
        <f aca="false">"Vorgabe: "&amp;Übungen!$F$14&amp;" × "&amp;Übungen!$D$14&amp;"-"&amp;Übungen!$E$14&amp;" Wdh @ RPE "&amp;Übungen!$G$14&amp;IF(OR(Übungen!$M$14="",Übungen!$M$14&lt;=1),"","     ·     nach OP gesperrt bis Woche "&amp;Übungen!$M$14)&amp;IF(OR(FALSE(),Übungen!$L$14="pause"),"",IF(AND(Übungen!$K$14&lt;&gt;"",Übungen!$K$14&lt;&gt;100),"     ·     Wiedereinstieg: "&amp;TEXT(Übungen!$K$14,"0")&amp;" % des berechneten Ziels",IF(IFERROR(INDEX(Rekorde!$Q$4:$Q$23,MATCH(Übungen!$A$14,Rekorde!$A$4:$A$23,0)),"")="","","     ·     Schritt: "&amp;IFERROR(INDEX(Rekorde!$Q$4:$Q$23,MATCH(Übungen!$A$14,Rekorde!$A$4:$A$23,0)),""))))</f>
        <v>Vorgabe: 3 × 5-6 Wdh @ RPE 9     ·     nach OP gesperrt bis Woche 2     ·     Schritt: Wdh +1 auf 6 bei gleichem Gewicht</v>
      </c>
      <c r="B299" s="109"/>
      <c r="C299" s="109"/>
      <c r="D299" s="109"/>
      <c r="E299" s="109"/>
      <c r="F299" s="109"/>
      <c r="G299" s="109"/>
      <c r="H299" s="109"/>
      <c r="I299" s="109"/>
    </row>
    <row r="300" customFormat="false" ht="18" hidden="false" customHeight="true" outlineLevel="0" collapsed="false">
      <c r="A300" s="110" t="s">
        <v>543</v>
      </c>
      <c r="B300" s="110" t="s">
        <v>544</v>
      </c>
      <c r="C300" s="110" t="s">
        <v>545</v>
      </c>
      <c r="D300" s="110" t="s">
        <v>546</v>
      </c>
      <c r="E300" s="110" t="s">
        <v>547</v>
      </c>
      <c r="F300" s="110" t="s">
        <v>454</v>
      </c>
      <c r="G300" s="110" t="s">
        <v>50</v>
      </c>
      <c r="H300" s="110" t="s">
        <v>548</v>
      </c>
      <c r="I300" s="110" t="s">
        <v>256</v>
      </c>
    </row>
    <row r="301" customFormat="false" ht="18" hidden="false" customHeight="true" outlineLevel="0" collapsed="false">
      <c r="A301" s="72" t="n">
        <v>1</v>
      </c>
      <c r="B301" s="70" t="s">
        <v>549</v>
      </c>
      <c r="C301" s="111" t="n">
        <f aca="false">IF(OR(FALSE(),Übungen!$L$14="pause"),"",IF(IFERROR(INDEX(Rekorde!$O$4:$O$23,MATCH(Übungen!$A$14,Rekorde!$A$4:$A$23,0)),"")="","",ROUND(IFERROR(INDEX(Rekorde!$O$4:$O$23,MATCH(Übungen!$A$14,Rekorde!$A$4:$A$23,0)),"")*0.4*2,0)/2))</f>
        <v>18</v>
      </c>
      <c r="D301" s="112"/>
      <c r="E301" s="113"/>
      <c r="F301" s="113"/>
      <c r="G301" s="113"/>
      <c r="H301" s="113"/>
      <c r="I301" s="113"/>
    </row>
    <row r="302" customFormat="false" ht="18" hidden="false" customHeight="true" outlineLevel="0" collapsed="false">
      <c r="A302" s="72" t="n">
        <v>2</v>
      </c>
      <c r="B302" s="70" t="s">
        <v>550</v>
      </c>
      <c r="C302" s="111" t="n">
        <f aca="false">IF(OR(FALSE(),Übungen!$L$14="pause"),"",IF(IFERROR(INDEX(Rekorde!$O$4:$O$23,MATCH(Übungen!$A$14,Rekorde!$A$4:$A$23,0)),"")="","",ROUND(IFERROR(INDEX(Rekorde!$O$4:$O$23,MATCH(Übungen!$A$14,Rekorde!$A$4:$A$23,0)),"")*0.7*2,0)/2))</f>
        <v>31.5</v>
      </c>
      <c r="D302" s="112"/>
      <c r="E302" s="113"/>
      <c r="F302" s="113"/>
      <c r="G302" s="113"/>
      <c r="H302" s="113"/>
      <c r="I302" s="113"/>
    </row>
    <row r="303" customFormat="false" ht="18" hidden="false" customHeight="true" outlineLevel="0" collapsed="false">
      <c r="A303" s="72" t="n">
        <v>3</v>
      </c>
      <c r="B303" s="114" t="s">
        <v>551</v>
      </c>
      <c r="C303" s="115" t="n">
        <f aca="false">IF(OR(FALSE(),Übungen!$L$14="pause"),"",IF(IFERROR(INDEX(Rekorde!$O$4:$O$23,MATCH(Übungen!$A$14,Rekorde!$A$4:$A$23,0)),"")="","",ROUND(IFERROR(INDEX(Rekorde!$O$4:$O$23,MATCH(Übungen!$A$14,Rekorde!$A$4:$A$23,0)),"")*1*2,0)/2))</f>
        <v>45</v>
      </c>
      <c r="D303" s="116" t="n">
        <f aca="false">IF(OR(FALSE(),Übungen!$L$14="pause"),"",IF(IFERROR(INDEX(Rekorde!$P$4:$P$23,MATCH(Übungen!$A$14,Rekorde!$A$4:$A$23,0)),"")="","",MIN(Übungen!$E$14,IFERROR(INDEX(Rekorde!$P$4:$P$23,MATCH(Übungen!$A$14,Rekorde!$A$4:$A$23,0)),"")+0)))</f>
        <v>6</v>
      </c>
      <c r="E303" s="113"/>
      <c r="F303" s="113"/>
      <c r="G303" s="113"/>
      <c r="H303" s="113"/>
      <c r="I303" s="113"/>
    </row>
    <row r="304" customFormat="false" ht="18" hidden="false" customHeight="true" outlineLevel="0" collapsed="false">
      <c r="A304" s="72" t="n">
        <v>4</v>
      </c>
      <c r="B304" s="114" t="s">
        <v>552</v>
      </c>
      <c r="C304" s="111" t="n">
        <f aca="false">IF(OR(FALSE(),Übungen!$L$14="pause"),"",IF(IFERROR(INDEX(Rekorde!$O$4:$O$23,MATCH(Übungen!$A$14,Rekorde!$A$4:$A$23,0)),"")="","",ROUND(IFERROR(INDEX(Rekorde!$O$4:$O$23,MATCH(Übungen!$A$14,Rekorde!$A$4:$A$23,0)),"")*0.95*2,0)/2))</f>
        <v>43</v>
      </c>
      <c r="D304" s="116" t="n">
        <f aca="false">IF(OR(FALSE(),Übungen!$L$14="pause"),"",IF(IFERROR(INDEX(Rekorde!$P$4:$P$23,MATCH(Übungen!$A$14,Rekorde!$A$4:$A$23,0)),"")="","",MIN(Übungen!$E$14,IFERROR(INDEX(Rekorde!$P$4:$P$23,MATCH(Übungen!$A$14,Rekorde!$A$4:$A$23,0)),"")+1)))</f>
        <v>6</v>
      </c>
      <c r="E304" s="113"/>
      <c r="F304" s="113"/>
      <c r="G304" s="113"/>
      <c r="H304" s="113"/>
      <c r="I304" s="113"/>
    </row>
    <row r="305" customFormat="false" ht="18" hidden="false" customHeight="true" outlineLevel="0" collapsed="false">
      <c r="A305" s="72" t="n">
        <v>5</v>
      </c>
      <c r="B305" s="114" t="s">
        <v>553</v>
      </c>
      <c r="C305" s="111" t="n">
        <f aca="false">IF(OR(FALSE(),Übungen!$L$14="pause"),"",IF(IFERROR(INDEX(Rekorde!$O$4:$O$23,MATCH(Übungen!$A$14,Rekorde!$A$4:$A$23,0)),"")="","",ROUND(IFERROR(INDEX(Rekorde!$O$4:$O$23,MATCH(Übungen!$A$14,Rekorde!$A$4:$A$23,0)),"")*0.9*2,0)/2))</f>
        <v>40.5</v>
      </c>
      <c r="D305" s="116" t="n">
        <f aca="false">IF(OR(FALSE(),Übungen!$L$14="pause"),"",IF(IFERROR(INDEX(Rekorde!$P$4:$P$23,MATCH(Übungen!$A$14,Rekorde!$A$4:$A$23,0)),"")="","",MIN(Übungen!$E$14,IFERROR(INDEX(Rekorde!$P$4:$P$23,MATCH(Übungen!$A$14,Rekorde!$A$4:$A$23,0)),"")+2)))</f>
        <v>6</v>
      </c>
      <c r="E305" s="113"/>
      <c r="F305" s="113"/>
      <c r="G305" s="113"/>
      <c r="H305" s="113"/>
      <c r="I305" s="113"/>
    </row>
    <row r="307" customFormat="false" ht="18.75" hidden="false" customHeight="true" outlineLevel="0" collapsed="false">
      <c r="A307" s="107" t="str">
        <f aca="false">Übungen!$A$15</f>
        <v>Seitliche Kickbacks</v>
      </c>
      <c r="B307" s="107"/>
      <c r="C307" s="107"/>
      <c r="D307" s="107"/>
      <c r="E307" s="107"/>
      <c r="F307" s="107"/>
      <c r="G307" s="107"/>
      <c r="H307" s="107"/>
      <c r="I307" s="107"/>
    </row>
    <row r="308" customFormat="false" ht="13.5" hidden="false" customHeight="true" outlineLevel="0" collapsed="false">
      <c r="A308" s="108" t="str">
        <f aca="false">IF(OR(FALSE(),Übungen!$L$15="pause"),IF(Übungen!$L$15="pause","PAUSE - vorübergehend ausgesetzt, Grund im Blatt 'Übungen'     ·     ",""),IF(IFERROR(INDEX(Rekorde!$L$4:$L$23,MATCH(Übungen!$A$15,Rekorde!$A$4:$A$23,0)),"")="",IF(IFERROR(INDEX(Rekorde!$O$4:$O$23,MATCH(Übungen!$A$15,Rekorde!$A$4:$A$23,0)),"")="","Neu im Plan - Startgewicht im Blatt 'Übungen' eintragen     ·     ","Neu im Plan     ·     Start: "&amp;TEXT(IFERROR(INDEX(Rekorde!$O$4:$O$23,MATCH(Übungen!$A$15,Rekorde!$A$4:$A$23,0)),""),"0.#")&amp;" kg     ·     "),"Zuletzt: "&amp;TEXT(IFERROR(INDEX(Rekorde!$L$4:$L$23,MATCH(Übungen!$A$15,Rekorde!$A$4:$A$23,0)),""),"0.#")&amp;" kg × "&amp;IF(IFERROR(INDEX(Rekorde!$M$4:$M$23,MATCH(Übungen!$A$15,Rekorde!$A$4:$A$23,0)),"")="","?",TEXT(IFERROR(INDEX(Rekorde!$M$4:$M$23,MATCH(Übungen!$A$15,Rekorde!$A$4:$A$23,0)),""),"0"))&amp;" Wdh     ·     Bestwert: "&amp;TEXT(IFERROR(INDEX(Rekorde!$F$4:$F$23,MATCH(Übungen!$A$15,Rekorde!$A$4:$A$23,0)),""),"0.#")&amp;" kg     ·     "&amp;IF(IFERROR(INDEX(Rekorde!$O$4:$O$23,MATCH(Übungen!$A$15,Rekorde!$A$4:$A$23,0)),"")="","","Ziel heute: "&amp;TEXT(IFERROR(INDEX(Rekorde!$O$4:$O$23,MATCH(Übungen!$A$15,Rekorde!$A$4:$A$23,0)),""),"0.#")&amp;" kg × "&amp;IF(IFERROR(INDEX(Rekorde!$P$4:$P$23,MATCH(Übungen!$A$15,Rekorde!$A$4:$A$23,0)),"")="","",TEXT(IFERROR(INDEX(Rekorde!$P$4:$P$23,MATCH(Übungen!$A$15,Rekorde!$A$4:$A$23,0)),""),"0")&amp;" Wdh")&amp;"     ·     ")&amp;IF(AND(Übungen!$I$15&lt;&gt;"",IFERROR(INDEX(Rekorde!$O$4:$O$23,MATCH(Übungen!$A$15,Rekorde!$A$4:$A$23,0)),"")&lt;&gt;"",IFERROR(INDEX(Rekorde!$O$4:$O$23,MATCH(Übungen!$A$15,Rekorde!$A$4:$A$23,0)),"")&gt;=Übungen!$I$15),"Stackende, über Tempo und Pausen steigern     ·     ","")))</f>
        <v>Zuletzt: 36 kg × 10 Wdh     ·     Bestwert: 49 kg     ·     Ziel heute: 40 kg × 5 Wdh     ·     </v>
      </c>
      <c r="B308" s="108"/>
      <c r="C308" s="108"/>
      <c r="D308" s="108"/>
      <c r="E308" s="108"/>
      <c r="F308" s="108"/>
      <c r="G308" s="108"/>
      <c r="H308" s="108"/>
      <c r="I308" s="108"/>
    </row>
    <row r="309" customFormat="false" ht="13.5" hidden="false" customHeight="true" outlineLevel="0" collapsed="false">
      <c r="A309" s="109" t="str">
        <f aca="false">"Vorgabe: "&amp;Übungen!$F$15&amp;" × "&amp;Übungen!$D$15&amp;"-"&amp;Übungen!$E$15&amp;" Wdh @ RPE "&amp;Übungen!$G$15&amp;IF(OR(Übungen!$M$15="",Übungen!$M$15&lt;=1),"","     ·     nach OP gesperrt bis Woche "&amp;Übungen!$M$15)&amp;IF(OR(FALSE(),Übungen!$L$15="pause"),"",IF(AND(Übungen!$K$15&lt;&gt;"",Übungen!$K$15&lt;&gt;100),"     ·     Wiedereinstieg: "&amp;TEXT(Übungen!$K$15,"0")&amp;" % des berechneten Ziels",IF(IFERROR(INDEX(Rekorde!$Q$4:$Q$23,MATCH(Übungen!$A$15,Rekorde!$A$4:$A$23,0)),"")="","","     ·     Schritt: "&amp;IFERROR(INDEX(Rekorde!$Q$4:$Q$23,MATCH(Übungen!$A$15,Rekorde!$A$4:$A$23,0)),""))))</f>
        <v>Vorgabe: 3 × 5-6 Wdh @ RPE 9     ·     nach OP gesperrt bis Woche 6     ·     Schritt: RM-Korrektur nach 10 Wdh: +4 kg (11.1%), Wdh zurück auf 5</v>
      </c>
      <c r="B309" s="109"/>
      <c r="C309" s="109"/>
      <c r="D309" s="109"/>
      <c r="E309" s="109"/>
      <c r="F309" s="109"/>
      <c r="G309" s="109"/>
      <c r="H309" s="109"/>
      <c r="I309" s="109"/>
    </row>
    <row r="310" customFormat="false" ht="18" hidden="false" customHeight="true" outlineLevel="0" collapsed="false">
      <c r="A310" s="110" t="s">
        <v>543</v>
      </c>
      <c r="B310" s="110" t="s">
        <v>544</v>
      </c>
      <c r="C310" s="110" t="s">
        <v>545</v>
      </c>
      <c r="D310" s="110" t="s">
        <v>546</v>
      </c>
      <c r="E310" s="110" t="s">
        <v>547</v>
      </c>
      <c r="F310" s="110" t="s">
        <v>454</v>
      </c>
      <c r="G310" s="110" t="s">
        <v>50</v>
      </c>
      <c r="H310" s="110" t="s">
        <v>548</v>
      </c>
      <c r="I310" s="110" t="s">
        <v>256</v>
      </c>
    </row>
    <row r="311" customFormat="false" ht="18" hidden="false" customHeight="true" outlineLevel="0" collapsed="false">
      <c r="A311" s="72" t="n">
        <v>1</v>
      </c>
      <c r="B311" s="70" t="s">
        <v>549</v>
      </c>
      <c r="C311" s="111" t="n">
        <f aca="false">IF(OR(FALSE(),Übungen!$L$15="pause"),"",IF(IFERROR(INDEX(Rekorde!$O$4:$O$23,MATCH(Übungen!$A$15,Rekorde!$A$4:$A$23,0)),"")="","",ROUND(IFERROR(INDEX(Rekorde!$O$4:$O$23,MATCH(Übungen!$A$15,Rekorde!$A$4:$A$23,0)),"")*0.4*2,0)/2))</f>
        <v>16</v>
      </c>
      <c r="D311" s="112"/>
      <c r="E311" s="113"/>
      <c r="F311" s="113"/>
      <c r="G311" s="113"/>
      <c r="H311" s="113"/>
      <c r="I311" s="113"/>
    </row>
    <row r="312" customFormat="false" ht="18" hidden="false" customHeight="true" outlineLevel="0" collapsed="false">
      <c r="A312" s="72" t="n">
        <v>2</v>
      </c>
      <c r="B312" s="70" t="s">
        <v>550</v>
      </c>
      <c r="C312" s="111" t="n">
        <f aca="false">IF(OR(FALSE(),Übungen!$L$15="pause"),"",IF(IFERROR(INDEX(Rekorde!$O$4:$O$23,MATCH(Übungen!$A$15,Rekorde!$A$4:$A$23,0)),"")="","",ROUND(IFERROR(INDEX(Rekorde!$O$4:$O$23,MATCH(Übungen!$A$15,Rekorde!$A$4:$A$23,0)),"")*0.7*2,0)/2))</f>
        <v>28</v>
      </c>
      <c r="D312" s="112"/>
      <c r="E312" s="113"/>
      <c r="F312" s="113"/>
      <c r="G312" s="113"/>
      <c r="H312" s="113"/>
      <c r="I312" s="113"/>
    </row>
    <row r="313" customFormat="false" ht="18" hidden="false" customHeight="true" outlineLevel="0" collapsed="false">
      <c r="A313" s="72" t="n">
        <v>3</v>
      </c>
      <c r="B313" s="114" t="s">
        <v>551</v>
      </c>
      <c r="C313" s="115" t="n">
        <f aca="false">IF(OR(FALSE(),Übungen!$L$15="pause"),"",IF(IFERROR(INDEX(Rekorde!$O$4:$O$23,MATCH(Übungen!$A$15,Rekorde!$A$4:$A$23,0)),"")="","",ROUND(IFERROR(INDEX(Rekorde!$O$4:$O$23,MATCH(Übungen!$A$15,Rekorde!$A$4:$A$23,0)),"")*1*2,0)/2))</f>
        <v>40</v>
      </c>
      <c r="D313" s="116" t="n">
        <f aca="false">IF(OR(FALSE(),Übungen!$L$15="pause"),"",IF(IFERROR(INDEX(Rekorde!$P$4:$P$23,MATCH(Übungen!$A$15,Rekorde!$A$4:$A$23,0)),"")="","",MIN(Übungen!$E$15,IFERROR(INDEX(Rekorde!$P$4:$P$23,MATCH(Übungen!$A$15,Rekorde!$A$4:$A$23,0)),"")+0)))</f>
        <v>5</v>
      </c>
      <c r="E313" s="113"/>
      <c r="F313" s="113"/>
      <c r="G313" s="113"/>
      <c r="H313" s="113"/>
      <c r="I313" s="113"/>
    </row>
    <row r="314" customFormat="false" ht="18" hidden="false" customHeight="true" outlineLevel="0" collapsed="false">
      <c r="A314" s="72" t="n">
        <v>4</v>
      </c>
      <c r="B314" s="114" t="s">
        <v>552</v>
      </c>
      <c r="C314" s="111" t="n">
        <f aca="false">IF(OR(FALSE(),Übungen!$L$15="pause"),"",IF(IFERROR(INDEX(Rekorde!$O$4:$O$23,MATCH(Übungen!$A$15,Rekorde!$A$4:$A$23,0)),"")="","",ROUND(IFERROR(INDEX(Rekorde!$O$4:$O$23,MATCH(Übungen!$A$15,Rekorde!$A$4:$A$23,0)),"")*0.95*2,0)/2))</f>
        <v>38</v>
      </c>
      <c r="D314" s="116" t="n">
        <f aca="false">IF(OR(FALSE(),Übungen!$L$15="pause"),"",IF(IFERROR(INDEX(Rekorde!$P$4:$P$23,MATCH(Übungen!$A$15,Rekorde!$A$4:$A$23,0)),"")="","",MIN(Übungen!$E$15,IFERROR(INDEX(Rekorde!$P$4:$P$23,MATCH(Übungen!$A$15,Rekorde!$A$4:$A$23,0)),"")+1)))</f>
        <v>6</v>
      </c>
      <c r="E314" s="113"/>
      <c r="F314" s="113"/>
      <c r="G314" s="113"/>
      <c r="H314" s="113"/>
      <c r="I314" s="113"/>
    </row>
    <row r="315" customFormat="false" ht="18" hidden="false" customHeight="true" outlineLevel="0" collapsed="false">
      <c r="A315" s="72" t="n">
        <v>5</v>
      </c>
      <c r="B315" s="114" t="s">
        <v>553</v>
      </c>
      <c r="C315" s="111" t="n">
        <f aca="false">IF(OR(FALSE(),Übungen!$L$15="pause"),"",IF(IFERROR(INDEX(Rekorde!$O$4:$O$23,MATCH(Übungen!$A$15,Rekorde!$A$4:$A$23,0)),"")="","",ROUND(IFERROR(INDEX(Rekorde!$O$4:$O$23,MATCH(Übungen!$A$15,Rekorde!$A$4:$A$23,0)),"")*0.9*2,0)/2))</f>
        <v>36</v>
      </c>
      <c r="D315" s="116" t="n">
        <f aca="false">IF(OR(FALSE(),Übungen!$L$15="pause"),"",IF(IFERROR(INDEX(Rekorde!$P$4:$P$23,MATCH(Übungen!$A$15,Rekorde!$A$4:$A$23,0)),"")="","",MIN(Übungen!$E$15,IFERROR(INDEX(Rekorde!$P$4:$P$23,MATCH(Übungen!$A$15,Rekorde!$A$4:$A$23,0)),"")+2)))</f>
        <v>6</v>
      </c>
      <c r="E315" s="113"/>
      <c r="F315" s="113"/>
      <c r="G315" s="113"/>
      <c r="H315" s="113"/>
      <c r="I315" s="113"/>
    </row>
    <row r="317" customFormat="false" ht="18.75" hidden="false" customHeight="true" outlineLevel="0" collapsed="false">
      <c r="A317" s="107" t="str">
        <f aca="false">Übungen!$A$16</f>
        <v>Waden</v>
      </c>
      <c r="B317" s="107"/>
      <c r="C317" s="107"/>
      <c r="D317" s="107"/>
      <c r="E317" s="107"/>
      <c r="F317" s="107"/>
      <c r="G317" s="107"/>
      <c r="H317" s="107"/>
      <c r="I317" s="107"/>
    </row>
    <row r="318" customFormat="false" ht="13.5" hidden="false" customHeight="true" outlineLevel="0" collapsed="false">
      <c r="A318" s="108" t="str">
        <f aca="false">IF(OR(FALSE(),Übungen!$L$16="pause"),IF(Übungen!$L$16="pause","PAUSE - vorübergehend ausgesetzt, Grund im Blatt 'Übungen'     ·     ",""),IF(IFERROR(INDEX(Rekorde!$L$4:$L$23,MATCH(Übungen!$A$16,Rekorde!$A$4:$A$23,0)),"")="",IF(IFERROR(INDEX(Rekorde!$O$4:$O$23,MATCH(Übungen!$A$16,Rekorde!$A$4:$A$23,0)),"")="","Neu im Plan - Startgewicht im Blatt 'Übungen' eintragen     ·     ","Neu im Plan     ·     Start: "&amp;TEXT(IFERROR(INDEX(Rekorde!$O$4:$O$23,MATCH(Übungen!$A$16,Rekorde!$A$4:$A$23,0)),""),"0.#")&amp;" kg     ·     "),"Zuletzt: "&amp;TEXT(IFERROR(INDEX(Rekorde!$L$4:$L$23,MATCH(Übungen!$A$16,Rekorde!$A$4:$A$23,0)),""),"0.#")&amp;" kg × "&amp;IF(IFERROR(INDEX(Rekorde!$M$4:$M$23,MATCH(Übungen!$A$16,Rekorde!$A$4:$A$23,0)),"")="","?",TEXT(IFERROR(INDEX(Rekorde!$M$4:$M$23,MATCH(Übungen!$A$16,Rekorde!$A$4:$A$23,0)),""),"0"))&amp;" Wdh     ·     Bestwert: "&amp;TEXT(IFERROR(INDEX(Rekorde!$F$4:$F$23,MATCH(Übungen!$A$16,Rekorde!$A$4:$A$23,0)),""),"0.#")&amp;" kg     ·     "&amp;IF(IFERROR(INDEX(Rekorde!$O$4:$O$23,MATCH(Übungen!$A$16,Rekorde!$A$4:$A$23,0)),"")="","","Ziel heute: "&amp;TEXT(IFERROR(INDEX(Rekorde!$O$4:$O$23,MATCH(Übungen!$A$16,Rekorde!$A$4:$A$23,0)),""),"0.#")&amp;" kg × "&amp;IF(IFERROR(INDEX(Rekorde!$P$4:$P$23,MATCH(Übungen!$A$16,Rekorde!$A$4:$A$23,0)),"")="","",TEXT(IFERROR(INDEX(Rekorde!$P$4:$P$23,MATCH(Übungen!$A$16,Rekorde!$A$4:$A$23,0)),""),"0")&amp;" Wdh")&amp;"     ·     ")&amp;IF(AND(Übungen!$I$16&lt;&gt;"",IFERROR(INDEX(Rekorde!$O$4:$O$23,MATCH(Übungen!$A$16,Rekorde!$A$4:$A$23,0)),"")&lt;&gt;"",IFERROR(INDEX(Rekorde!$O$4:$O$23,MATCH(Übungen!$A$16,Rekorde!$A$4:$A$23,0)),"")&gt;=Übungen!$I$16),"Stackende, über Tempo und Pausen steigern     ·     ","")))</f>
        <v>Zuletzt: 190 kg × 5 Wdh     ·     Bestwert: 190 kg     ·     Ziel heute: 190 kg × 6 Wdh     ·     </v>
      </c>
      <c r="B318" s="108"/>
      <c r="C318" s="108"/>
      <c r="D318" s="108"/>
      <c r="E318" s="108"/>
      <c r="F318" s="108"/>
      <c r="G318" s="108"/>
      <c r="H318" s="108"/>
      <c r="I318" s="108"/>
    </row>
    <row r="319" customFormat="false" ht="13.5" hidden="false" customHeight="true" outlineLevel="0" collapsed="false">
      <c r="A319" s="109" t="str">
        <f aca="false">"Vorgabe: "&amp;Übungen!$F$16&amp;" × "&amp;Übungen!$D$16&amp;"-"&amp;Übungen!$E$16&amp;" Wdh @ RPE "&amp;Übungen!$G$16&amp;IF(OR(Übungen!$M$16="",Übungen!$M$16&lt;=1),"","     ·     nach OP gesperrt bis Woche "&amp;Übungen!$M$16)&amp;IF(OR(FALSE(),Übungen!$L$16="pause"),"",IF(AND(Übungen!$K$16&lt;&gt;"",Übungen!$K$16&lt;&gt;100),"     ·     Wiedereinstieg: "&amp;TEXT(Übungen!$K$16,"0")&amp;" % des berechneten Ziels",IF(IFERROR(INDEX(Rekorde!$Q$4:$Q$23,MATCH(Übungen!$A$16,Rekorde!$A$4:$A$23,0)),"")="","","     ·     Schritt: "&amp;IFERROR(INDEX(Rekorde!$Q$4:$Q$23,MATCH(Übungen!$A$16,Rekorde!$A$4:$A$23,0)),""))))</f>
        <v>Vorgabe: 3 × 5-6 Wdh @ RPE 9     ·     nach OP gesperrt bis Woche 2     ·     Schritt: Wdh +1 auf 6 bei gleichem Gewicht</v>
      </c>
      <c r="B319" s="109"/>
      <c r="C319" s="109"/>
      <c r="D319" s="109"/>
      <c r="E319" s="109"/>
      <c r="F319" s="109"/>
      <c r="G319" s="109"/>
      <c r="H319" s="109"/>
      <c r="I319" s="109"/>
    </row>
    <row r="320" customFormat="false" ht="18" hidden="false" customHeight="true" outlineLevel="0" collapsed="false">
      <c r="A320" s="110" t="s">
        <v>543</v>
      </c>
      <c r="B320" s="110" t="s">
        <v>544</v>
      </c>
      <c r="C320" s="110" t="s">
        <v>545</v>
      </c>
      <c r="D320" s="110" t="s">
        <v>546</v>
      </c>
      <c r="E320" s="110" t="s">
        <v>547</v>
      </c>
      <c r="F320" s="110" t="s">
        <v>454</v>
      </c>
      <c r="G320" s="110" t="s">
        <v>50</v>
      </c>
      <c r="H320" s="110" t="s">
        <v>548</v>
      </c>
      <c r="I320" s="110" t="s">
        <v>256</v>
      </c>
    </row>
    <row r="321" customFormat="false" ht="18" hidden="false" customHeight="true" outlineLevel="0" collapsed="false">
      <c r="A321" s="72" t="n">
        <v>1</v>
      </c>
      <c r="B321" s="70" t="s">
        <v>549</v>
      </c>
      <c r="C321" s="111" t="n">
        <f aca="false">IF(OR(FALSE(),Übungen!$L$16="pause"),"",IF(IFERROR(INDEX(Rekorde!$O$4:$O$23,MATCH(Übungen!$A$16,Rekorde!$A$4:$A$23,0)),"")="","",ROUND(IFERROR(INDEX(Rekorde!$O$4:$O$23,MATCH(Übungen!$A$16,Rekorde!$A$4:$A$23,0)),"")*0.4*2,0)/2))</f>
        <v>76</v>
      </c>
      <c r="D321" s="112"/>
      <c r="E321" s="113"/>
      <c r="F321" s="113"/>
      <c r="G321" s="113"/>
      <c r="H321" s="113"/>
      <c r="I321" s="113"/>
    </row>
    <row r="322" customFormat="false" ht="18" hidden="false" customHeight="true" outlineLevel="0" collapsed="false">
      <c r="A322" s="72" t="n">
        <v>2</v>
      </c>
      <c r="B322" s="70" t="s">
        <v>550</v>
      </c>
      <c r="C322" s="111" t="n">
        <f aca="false">IF(OR(FALSE(),Übungen!$L$16="pause"),"",IF(IFERROR(INDEX(Rekorde!$O$4:$O$23,MATCH(Übungen!$A$16,Rekorde!$A$4:$A$23,0)),"")="","",ROUND(IFERROR(INDEX(Rekorde!$O$4:$O$23,MATCH(Übungen!$A$16,Rekorde!$A$4:$A$23,0)),"")*0.7*2,0)/2))</f>
        <v>133</v>
      </c>
      <c r="D322" s="112"/>
      <c r="E322" s="113"/>
      <c r="F322" s="113"/>
      <c r="G322" s="113"/>
      <c r="H322" s="113"/>
      <c r="I322" s="113"/>
    </row>
    <row r="323" customFormat="false" ht="18" hidden="false" customHeight="true" outlineLevel="0" collapsed="false">
      <c r="A323" s="72" t="n">
        <v>3</v>
      </c>
      <c r="B323" s="114" t="s">
        <v>551</v>
      </c>
      <c r="C323" s="115" t="n">
        <f aca="false">IF(OR(FALSE(),Übungen!$L$16="pause"),"",IF(IFERROR(INDEX(Rekorde!$O$4:$O$23,MATCH(Übungen!$A$16,Rekorde!$A$4:$A$23,0)),"")="","",ROUND(IFERROR(INDEX(Rekorde!$O$4:$O$23,MATCH(Übungen!$A$16,Rekorde!$A$4:$A$23,0)),"")*1*2,0)/2))</f>
        <v>190</v>
      </c>
      <c r="D323" s="116" t="n">
        <f aca="false">IF(OR(FALSE(),Übungen!$L$16="pause"),"",IF(IFERROR(INDEX(Rekorde!$P$4:$P$23,MATCH(Übungen!$A$16,Rekorde!$A$4:$A$23,0)),"")="","",MIN(Übungen!$E$16,IFERROR(INDEX(Rekorde!$P$4:$P$23,MATCH(Übungen!$A$16,Rekorde!$A$4:$A$23,0)),"")+0)))</f>
        <v>6</v>
      </c>
      <c r="E323" s="113"/>
      <c r="F323" s="113"/>
      <c r="G323" s="113"/>
      <c r="H323" s="113"/>
      <c r="I323" s="113"/>
    </row>
    <row r="324" customFormat="false" ht="18" hidden="false" customHeight="true" outlineLevel="0" collapsed="false">
      <c r="A324" s="72" t="n">
        <v>4</v>
      </c>
      <c r="B324" s="114" t="s">
        <v>552</v>
      </c>
      <c r="C324" s="111" t="n">
        <f aca="false">IF(OR(FALSE(),Übungen!$L$16="pause"),"",IF(IFERROR(INDEX(Rekorde!$O$4:$O$23,MATCH(Übungen!$A$16,Rekorde!$A$4:$A$23,0)),"")="","",ROUND(IFERROR(INDEX(Rekorde!$O$4:$O$23,MATCH(Übungen!$A$16,Rekorde!$A$4:$A$23,0)),"")*0.95*2,0)/2))</f>
        <v>180.5</v>
      </c>
      <c r="D324" s="116" t="n">
        <f aca="false">IF(OR(FALSE(),Übungen!$L$16="pause"),"",IF(IFERROR(INDEX(Rekorde!$P$4:$P$23,MATCH(Übungen!$A$16,Rekorde!$A$4:$A$23,0)),"")="","",MIN(Übungen!$E$16,IFERROR(INDEX(Rekorde!$P$4:$P$23,MATCH(Übungen!$A$16,Rekorde!$A$4:$A$23,0)),"")+1)))</f>
        <v>6</v>
      </c>
      <c r="E324" s="113"/>
      <c r="F324" s="113"/>
      <c r="G324" s="113"/>
      <c r="H324" s="113"/>
      <c r="I324" s="113"/>
    </row>
    <row r="325" customFormat="false" ht="18" hidden="false" customHeight="true" outlineLevel="0" collapsed="false">
      <c r="A325" s="72" t="n">
        <v>5</v>
      </c>
      <c r="B325" s="114" t="s">
        <v>553</v>
      </c>
      <c r="C325" s="111" t="n">
        <f aca="false">IF(OR(FALSE(),Übungen!$L$16="pause"),"",IF(IFERROR(INDEX(Rekorde!$O$4:$O$23,MATCH(Übungen!$A$16,Rekorde!$A$4:$A$23,0)),"")="","",ROUND(IFERROR(INDEX(Rekorde!$O$4:$O$23,MATCH(Übungen!$A$16,Rekorde!$A$4:$A$23,0)),"")*0.9*2,0)/2))</f>
        <v>171</v>
      </c>
      <c r="D325" s="116" t="n">
        <f aca="false">IF(OR(FALSE(),Übungen!$L$16="pause"),"",IF(IFERROR(INDEX(Rekorde!$P$4:$P$23,MATCH(Übungen!$A$16,Rekorde!$A$4:$A$23,0)),"")="","",MIN(Übungen!$E$16,IFERROR(INDEX(Rekorde!$P$4:$P$23,MATCH(Übungen!$A$16,Rekorde!$A$4:$A$23,0)),"")+2)))</f>
        <v>6</v>
      </c>
      <c r="E325" s="113"/>
      <c r="F325" s="113"/>
      <c r="G325" s="113"/>
      <c r="H325" s="113"/>
      <c r="I325" s="113"/>
    </row>
    <row r="327" customFormat="false" ht="15.75" hidden="false" customHeight="true" outlineLevel="0" collapsed="false">
      <c r="A327" s="3" t="s">
        <v>554</v>
      </c>
      <c r="B327" s="3"/>
      <c r="C327" s="3"/>
      <c r="D327" s="3"/>
      <c r="E327" s="3"/>
      <c r="F327" s="3"/>
      <c r="G327" s="3"/>
      <c r="H327" s="3"/>
      <c r="I327" s="3"/>
    </row>
    <row r="328" customFormat="false" ht="18" hidden="false" customHeight="true" outlineLevel="0" collapsed="false">
      <c r="A328" s="117"/>
      <c r="B328" s="117"/>
      <c r="C328" s="117"/>
      <c r="D328" s="117"/>
      <c r="E328" s="117"/>
      <c r="F328" s="117"/>
      <c r="G328" s="117"/>
      <c r="H328" s="117"/>
      <c r="I328" s="117"/>
    </row>
    <row r="329" customFormat="false" ht="18" hidden="false" customHeight="true" outlineLevel="0" collapsed="false">
      <c r="A329" s="117"/>
      <c r="B329" s="117"/>
      <c r="C329" s="117"/>
      <c r="D329" s="117"/>
      <c r="E329" s="117"/>
      <c r="F329" s="117"/>
      <c r="G329" s="117"/>
      <c r="H329" s="117"/>
      <c r="I329" s="117"/>
    </row>
    <row r="331" customFormat="false" ht="27.75" hidden="false" customHeight="true" outlineLevel="0" collapsed="false">
      <c r="A331" s="1" t="s">
        <v>559</v>
      </c>
      <c r="B331" s="1"/>
      <c r="C331" s="1"/>
      <c r="D331" s="1"/>
      <c r="E331" s="1"/>
      <c r="F331" s="1"/>
      <c r="G331" s="1"/>
      <c r="H331" s="1"/>
      <c r="I331" s="1"/>
    </row>
    <row r="332" customFormat="false" ht="12" hidden="false" customHeight="true" outlineLevel="0" collapsed="false">
      <c r="A332" s="104" t="s">
        <v>75</v>
      </c>
      <c r="B332" s="104"/>
      <c r="C332" s="105" t="s">
        <v>539</v>
      </c>
      <c r="D332" s="105" t="s">
        <v>540</v>
      </c>
      <c r="E332" s="104" t="s">
        <v>541</v>
      </c>
      <c r="F332" s="104"/>
      <c r="G332" s="104" t="s">
        <v>542</v>
      </c>
      <c r="H332" s="104"/>
    </row>
    <row r="333" customFormat="false" ht="18" hidden="false" customHeight="true" outlineLevel="0" collapsed="false">
      <c r="A333" s="106"/>
      <c r="B333" s="106"/>
      <c r="C333" s="106"/>
      <c r="D333" s="106"/>
      <c r="E333" s="106"/>
      <c r="F333" s="106"/>
      <c r="G333" s="106"/>
      <c r="H333" s="106"/>
    </row>
    <row r="335" customFormat="false" ht="18.75" hidden="false" customHeight="true" outlineLevel="0" collapsed="false">
      <c r="A335" s="107" t="str">
        <f aca="false">Übungen!$A$17</f>
        <v>Squat Maschine Bülach</v>
      </c>
      <c r="B335" s="107"/>
      <c r="C335" s="107"/>
      <c r="D335" s="107"/>
      <c r="E335" s="107"/>
      <c r="F335" s="107"/>
      <c r="G335" s="107"/>
      <c r="H335" s="107"/>
      <c r="I335" s="107"/>
    </row>
    <row r="336" customFormat="false" ht="13.5" hidden="false" customHeight="true" outlineLevel="0" collapsed="false">
      <c r="A336" s="108" t="str">
        <f aca="false">IF(OR(FALSE(),Übungen!$L$17="pause"),IF(Übungen!$L$17="pause","PAUSE - vorübergehend ausgesetzt, Grund im Blatt 'Übungen'     ·     ",""),IF(IFERROR(INDEX(Rekorde!$L$4:$L$23,MATCH(Übungen!$A$17,Rekorde!$A$4:$A$23,0)),"")="",IF(IFERROR(INDEX(Rekorde!$O$4:$O$23,MATCH(Übungen!$A$17,Rekorde!$A$4:$A$23,0)),"")="","Neu im Plan - Startgewicht im Blatt 'Übungen' eintragen     ·     ","Neu im Plan     ·     Start: "&amp;TEXT(IFERROR(INDEX(Rekorde!$O$4:$O$23,MATCH(Übungen!$A$17,Rekorde!$A$4:$A$23,0)),""),"0.#")&amp;" kg     ·     "),"Zuletzt: "&amp;TEXT(IFERROR(INDEX(Rekorde!$L$4:$L$23,MATCH(Übungen!$A$17,Rekorde!$A$4:$A$23,0)),""),"0.#")&amp;" kg × "&amp;IF(IFERROR(INDEX(Rekorde!$M$4:$M$23,MATCH(Übungen!$A$17,Rekorde!$A$4:$A$23,0)),"")="","?",TEXT(IFERROR(INDEX(Rekorde!$M$4:$M$23,MATCH(Übungen!$A$17,Rekorde!$A$4:$A$23,0)),""),"0"))&amp;" Wdh     ·     Bestwert: "&amp;TEXT(IFERROR(INDEX(Rekorde!$F$4:$F$23,MATCH(Übungen!$A$17,Rekorde!$A$4:$A$23,0)),""),"0.#")&amp;" kg     ·     "&amp;IF(IFERROR(INDEX(Rekorde!$O$4:$O$23,MATCH(Übungen!$A$17,Rekorde!$A$4:$A$23,0)),"")="","","Ziel heute: "&amp;TEXT(IFERROR(INDEX(Rekorde!$O$4:$O$23,MATCH(Übungen!$A$17,Rekorde!$A$4:$A$23,0)),""),"0.#")&amp;" kg × "&amp;IF(IFERROR(INDEX(Rekorde!$P$4:$P$23,MATCH(Übungen!$A$17,Rekorde!$A$4:$A$23,0)),"")="","",TEXT(IFERROR(INDEX(Rekorde!$P$4:$P$23,MATCH(Übungen!$A$17,Rekorde!$A$4:$A$23,0)),""),"0")&amp;" Wdh")&amp;"     ·     ")&amp;IF(AND(Übungen!$I$17&lt;&gt;"",IFERROR(INDEX(Rekorde!$O$4:$O$23,MATCH(Übungen!$A$17,Rekorde!$A$4:$A$23,0)),"")&lt;&gt;"",IFERROR(INDEX(Rekorde!$O$4:$O$23,MATCH(Übungen!$A$17,Rekorde!$A$4:$A$23,0)),"")&gt;=Übungen!$I$17),"Stackende, über Tempo und Pausen steigern     ·     ","")))</f>
        <v>Zuletzt: 120 kg × 9 Wdh     ·     Bestwert: 120 kg     ·     Ziel heute: 130 kg × 5 Wdh     ·     </v>
      </c>
      <c r="B336" s="108"/>
      <c r="C336" s="108"/>
      <c r="D336" s="108"/>
      <c r="E336" s="108"/>
      <c r="F336" s="108"/>
      <c r="G336" s="108"/>
      <c r="H336" s="108"/>
      <c r="I336" s="108"/>
    </row>
    <row r="337" customFormat="false" ht="13.5" hidden="false" customHeight="true" outlineLevel="0" collapsed="false">
      <c r="A337" s="109" t="str">
        <f aca="false">"Vorgabe: "&amp;Übungen!$F$17&amp;" × "&amp;Übungen!$D$17&amp;"-"&amp;Übungen!$E$17&amp;" Wdh @ RPE "&amp;Übungen!$G$17&amp;IF(OR(Übungen!$M$17="",Übungen!$M$17&lt;=1),"","     ·     nach OP gesperrt bis Woche "&amp;Übungen!$M$17)&amp;IF(OR(FALSE(),Übungen!$L$17="pause"),"",IF(AND(Übungen!$K$17&lt;&gt;"",Übungen!$K$17&lt;&gt;100),"     ·     Wiedereinstieg: "&amp;TEXT(Übungen!$K$17,"0")&amp;" % des berechneten Ziels",IF(IFERROR(INDEX(Rekorde!$Q$4:$Q$23,MATCH(Übungen!$A$17,Rekorde!$A$4:$A$23,0)),"")="","","     ·     Schritt: "&amp;IFERROR(INDEX(Rekorde!$Q$4:$Q$23,MATCH(Übungen!$A$17,Rekorde!$A$4:$A$23,0)),""))))</f>
        <v>Vorgabe: 3 × 5-6 Wdh @ RPE 8-9     ·     nach OP gesperrt bis Woche 12     ·     Schritt: RM-Korrektur nach 9 Wdh: +10 kg (8.3%), Wdh zurück auf 5</v>
      </c>
      <c r="B337" s="109"/>
      <c r="C337" s="109"/>
      <c r="D337" s="109"/>
      <c r="E337" s="109"/>
      <c r="F337" s="109"/>
      <c r="G337" s="109"/>
      <c r="H337" s="109"/>
      <c r="I337" s="109"/>
    </row>
    <row r="338" customFormat="false" ht="18" hidden="false" customHeight="true" outlineLevel="0" collapsed="false">
      <c r="A338" s="110" t="s">
        <v>543</v>
      </c>
      <c r="B338" s="110" t="s">
        <v>544</v>
      </c>
      <c r="C338" s="110" t="s">
        <v>545</v>
      </c>
      <c r="D338" s="110" t="s">
        <v>546</v>
      </c>
      <c r="E338" s="110" t="s">
        <v>547</v>
      </c>
      <c r="F338" s="110" t="s">
        <v>454</v>
      </c>
      <c r="G338" s="110" t="s">
        <v>50</v>
      </c>
      <c r="H338" s="110" t="s">
        <v>548</v>
      </c>
      <c r="I338" s="110" t="s">
        <v>256</v>
      </c>
    </row>
    <row r="339" customFormat="false" ht="18" hidden="false" customHeight="true" outlineLevel="0" collapsed="false">
      <c r="A339" s="72" t="n">
        <v>1</v>
      </c>
      <c r="B339" s="70" t="s">
        <v>549</v>
      </c>
      <c r="C339" s="111" t="n">
        <f aca="false">IF(OR(FALSE(),Übungen!$L$17="pause"),"",IF(IFERROR(INDEX(Rekorde!$O$4:$O$23,MATCH(Übungen!$A$17,Rekorde!$A$4:$A$23,0)),"")="","",ROUND(IFERROR(INDEX(Rekorde!$O$4:$O$23,MATCH(Übungen!$A$17,Rekorde!$A$4:$A$23,0)),"")*0.4*2,0)/2))</f>
        <v>52</v>
      </c>
      <c r="D339" s="112"/>
      <c r="E339" s="113"/>
      <c r="F339" s="113"/>
      <c r="G339" s="113"/>
      <c r="H339" s="113"/>
      <c r="I339" s="113"/>
    </row>
    <row r="340" customFormat="false" ht="18" hidden="false" customHeight="true" outlineLevel="0" collapsed="false">
      <c r="A340" s="72" t="n">
        <v>2</v>
      </c>
      <c r="B340" s="70" t="s">
        <v>550</v>
      </c>
      <c r="C340" s="111" t="n">
        <f aca="false">IF(OR(FALSE(),Übungen!$L$17="pause"),"",IF(IFERROR(INDEX(Rekorde!$O$4:$O$23,MATCH(Übungen!$A$17,Rekorde!$A$4:$A$23,0)),"")="","",ROUND(IFERROR(INDEX(Rekorde!$O$4:$O$23,MATCH(Übungen!$A$17,Rekorde!$A$4:$A$23,0)),"")*0.7*2,0)/2))</f>
        <v>91</v>
      </c>
      <c r="D340" s="112"/>
      <c r="E340" s="113"/>
      <c r="F340" s="113"/>
      <c r="G340" s="113"/>
      <c r="H340" s="113"/>
      <c r="I340" s="113"/>
    </row>
    <row r="341" customFormat="false" ht="18" hidden="false" customHeight="true" outlineLevel="0" collapsed="false">
      <c r="A341" s="72" t="n">
        <v>3</v>
      </c>
      <c r="B341" s="114" t="s">
        <v>551</v>
      </c>
      <c r="C341" s="115" t="n">
        <f aca="false">IF(OR(FALSE(),Übungen!$L$17="pause"),"",IF(IFERROR(INDEX(Rekorde!$O$4:$O$23,MATCH(Übungen!$A$17,Rekorde!$A$4:$A$23,0)),"")="","",ROUND(IFERROR(INDEX(Rekorde!$O$4:$O$23,MATCH(Übungen!$A$17,Rekorde!$A$4:$A$23,0)),"")*1*2,0)/2))</f>
        <v>130</v>
      </c>
      <c r="D341" s="116" t="n">
        <f aca="false">IF(OR(FALSE(),Übungen!$L$17="pause"),"",IF(IFERROR(INDEX(Rekorde!$P$4:$P$23,MATCH(Übungen!$A$17,Rekorde!$A$4:$A$23,0)),"")="","",MIN(Übungen!$E$17,IFERROR(INDEX(Rekorde!$P$4:$P$23,MATCH(Übungen!$A$17,Rekorde!$A$4:$A$23,0)),"")+0)))</f>
        <v>5</v>
      </c>
      <c r="E341" s="113"/>
      <c r="F341" s="113"/>
      <c r="G341" s="113"/>
      <c r="H341" s="113"/>
      <c r="I341" s="113"/>
    </row>
    <row r="342" customFormat="false" ht="18" hidden="false" customHeight="true" outlineLevel="0" collapsed="false">
      <c r="A342" s="72" t="n">
        <v>4</v>
      </c>
      <c r="B342" s="114" t="s">
        <v>552</v>
      </c>
      <c r="C342" s="111" t="n">
        <f aca="false">IF(OR(FALSE(),Übungen!$L$17="pause"),"",IF(IFERROR(INDEX(Rekorde!$O$4:$O$23,MATCH(Übungen!$A$17,Rekorde!$A$4:$A$23,0)),"")="","",ROUND(IFERROR(INDEX(Rekorde!$O$4:$O$23,MATCH(Übungen!$A$17,Rekorde!$A$4:$A$23,0)),"")*0.95*2,0)/2))</f>
        <v>123.5</v>
      </c>
      <c r="D342" s="116" t="n">
        <f aca="false">IF(OR(FALSE(),Übungen!$L$17="pause"),"",IF(IFERROR(INDEX(Rekorde!$P$4:$P$23,MATCH(Übungen!$A$17,Rekorde!$A$4:$A$23,0)),"")="","",MIN(Übungen!$E$17,IFERROR(INDEX(Rekorde!$P$4:$P$23,MATCH(Übungen!$A$17,Rekorde!$A$4:$A$23,0)),"")+1)))</f>
        <v>6</v>
      </c>
      <c r="E342" s="113"/>
      <c r="F342" s="113"/>
      <c r="G342" s="113"/>
      <c r="H342" s="113"/>
      <c r="I342" s="113"/>
    </row>
    <row r="343" customFormat="false" ht="18" hidden="false" customHeight="true" outlineLevel="0" collapsed="false">
      <c r="A343" s="72" t="n">
        <v>5</v>
      </c>
      <c r="B343" s="114" t="s">
        <v>553</v>
      </c>
      <c r="C343" s="111" t="n">
        <f aca="false">IF(OR(FALSE(),Übungen!$L$17="pause"),"",IF(IFERROR(INDEX(Rekorde!$O$4:$O$23,MATCH(Übungen!$A$17,Rekorde!$A$4:$A$23,0)),"")="","",ROUND(IFERROR(INDEX(Rekorde!$O$4:$O$23,MATCH(Übungen!$A$17,Rekorde!$A$4:$A$23,0)),"")*0.9*2,0)/2))</f>
        <v>117</v>
      </c>
      <c r="D343" s="116" t="n">
        <f aca="false">IF(OR(FALSE(),Übungen!$L$17="pause"),"",IF(IFERROR(INDEX(Rekorde!$P$4:$P$23,MATCH(Übungen!$A$17,Rekorde!$A$4:$A$23,0)),"")="","",MIN(Übungen!$E$17,IFERROR(INDEX(Rekorde!$P$4:$P$23,MATCH(Übungen!$A$17,Rekorde!$A$4:$A$23,0)),"")+2)))</f>
        <v>6</v>
      </c>
      <c r="E343" s="113"/>
      <c r="F343" s="113"/>
      <c r="G343" s="113"/>
      <c r="H343" s="113"/>
      <c r="I343" s="113"/>
    </row>
    <row r="345" customFormat="false" ht="18.75" hidden="false" customHeight="true" outlineLevel="0" collapsed="false">
      <c r="A345" s="107" t="str">
        <f aca="false">Übungen!$A$18</f>
        <v>Hip Thrust Bülach</v>
      </c>
      <c r="B345" s="107"/>
      <c r="C345" s="107"/>
      <c r="D345" s="107"/>
      <c r="E345" s="107"/>
      <c r="F345" s="107"/>
      <c r="G345" s="107"/>
      <c r="H345" s="107"/>
      <c r="I345" s="107"/>
    </row>
    <row r="346" customFormat="false" ht="13.5" hidden="false" customHeight="true" outlineLevel="0" collapsed="false">
      <c r="A346" s="108" t="str">
        <f aca="false">IF(OR(FALSE(),Übungen!$L$18="pause"),IF(Übungen!$L$18="pause","PAUSE - vorübergehend ausgesetzt, Grund im Blatt 'Übungen'     ·     ",""),IF(IFERROR(INDEX(Rekorde!$L$4:$L$23,MATCH(Übungen!$A$18,Rekorde!$A$4:$A$23,0)),"")="",IF(IFERROR(INDEX(Rekorde!$O$4:$O$23,MATCH(Übungen!$A$18,Rekorde!$A$4:$A$23,0)),"")="","Neu im Plan - Startgewicht im Blatt 'Übungen' eintragen     ·     ","Neu im Plan     ·     Start: "&amp;TEXT(IFERROR(INDEX(Rekorde!$O$4:$O$23,MATCH(Übungen!$A$18,Rekorde!$A$4:$A$23,0)),""),"0.#")&amp;" kg     ·     "),"Zuletzt: "&amp;TEXT(IFERROR(INDEX(Rekorde!$L$4:$L$23,MATCH(Übungen!$A$18,Rekorde!$A$4:$A$23,0)),""),"0.#")&amp;" kg × "&amp;IF(IFERROR(INDEX(Rekorde!$M$4:$M$23,MATCH(Übungen!$A$18,Rekorde!$A$4:$A$23,0)),"")="","?",TEXT(IFERROR(INDEX(Rekorde!$M$4:$M$23,MATCH(Übungen!$A$18,Rekorde!$A$4:$A$23,0)),""),"0"))&amp;" Wdh     ·     Bestwert: "&amp;TEXT(IFERROR(INDEX(Rekorde!$F$4:$F$23,MATCH(Übungen!$A$18,Rekorde!$A$4:$A$23,0)),""),"0.#")&amp;" kg     ·     "&amp;IF(IFERROR(INDEX(Rekorde!$O$4:$O$23,MATCH(Übungen!$A$18,Rekorde!$A$4:$A$23,0)),"")="","","Ziel heute: "&amp;TEXT(IFERROR(INDEX(Rekorde!$O$4:$O$23,MATCH(Übungen!$A$18,Rekorde!$A$4:$A$23,0)),""),"0.#")&amp;" kg × "&amp;IF(IFERROR(INDEX(Rekorde!$P$4:$P$23,MATCH(Übungen!$A$18,Rekorde!$A$4:$A$23,0)),"")="","",TEXT(IFERROR(INDEX(Rekorde!$P$4:$P$23,MATCH(Übungen!$A$18,Rekorde!$A$4:$A$23,0)),""),"0")&amp;" Wdh")&amp;"     ·     ")&amp;IF(AND(Übungen!$I$18&lt;&gt;"",IFERROR(INDEX(Rekorde!$O$4:$O$23,MATCH(Übungen!$A$18,Rekorde!$A$4:$A$23,0)),"")&lt;&gt;"",IFERROR(INDEX(Rekorde!$O$4:$O$23,MATCH(Übungen!$A$18,Rekorde!$A$4:$A$23,0)),"")&gt;=Übungen!$I$18),"Stackende, über Tempo und Pausen steigern     ·     ","")))</f>
        <v>Zuletzt: 200 kg × 10 Wdh     ·     Bestwert: 200 kg     ·     Ziel heute: 220 kg × 5 Wdh     ·     </v>
      </c>
      <c r="B346" s="108"/>
      <c r="C346" s="108"/>
      <c r="D346" s="108"/>
      <c r="E346" s="108"/>
      <c r="F346" s="108"/>
      <c r="G346" s="108"/>
      <c r="H346" s="108"/>
      <c r="I346" s="108"/>
    </row>
    <row r="347" customFormat="false" ht="13.5" hidden="false" customHeight="true" outlineLevel="0" collapsed="false">
      <c r="A347" s="109" t="str">
        <f aca="false">"Vorgabe: "&amp;Übungen!$F$18&amp;" × "&amp;Übungen!$D$18&amp;"-"&amp;Übungen!$E$18&amp;" Wdh @ RPE "&amp;Übungen!$G$18&amp;IF(OR(Übungen!$M$18="",Übungen!$M$18&lt;=1),"","     ·     nach OP gesperrt bis Woche "&amp;Übungen!$M$18)&amp;IF(OR(FALSE(),Übungen!$L$18="pause"),"",IF(AND(Übungen!$K$18&lt;&gt;"",Übungen!$K$18&lt;&gt;100),"     ·     Wiedereinstieg: "&amp;TEXT(Übungen!$K$18,"0")&amp;" % des berechneten Ziels",IF(IFERROR(INDEX(Rekorde!$Q$4:$Q$23,MATCH(Übungen!$A$18,Rekorde!$A$4:$A$23,0)),"")="","","     ·     Schritt: "&amp;IFERROR(INDEX(Rekorde!$Q$4:$Q$23,MATCH(Übungen!$A$18,Rekorde!$A$4:$A$23,0)),""))))</f>
        <v>Vorgabe: 3 × 5-6 Wdh @ RPE 8-9     ·     nach OP gesperrt bis Woche 12     ·     Schritt: RM-Korrektur nach 10 Wdh: +20 kg (10.0%), Wdh zurück auf 5</v>
      </c>
      <c r="B347" s="109"/>
      <c r="C347" s="109"/>
      <c r="D347" s="109"/>
      <c r="E347" s="109"/>
      <c r="F347" s="109"/>
      <c r="G347" s="109"/>
      <c r="H347" s="109"/>
      <c r="I347" s="109"/>
    </row>
    <row r="348" customFormat="false" ht="18" hidden="false" customHeight="true" outlineLevel="0" collapsed="false">
      <c r="A348" s="110" t="s">
        <v>543</v>
      </c>
      <c r="B348" s="110" t="s">
        <v>544</v>
      </c>
      <c r="C348" s="110" t="s">
        <v>545</v>
      </c>
      <c r="D348" s="110" t="s">
        <v>546</v>
      </c>
      <c r="E348" s="110" t="s">
        <v>547</v>
      </c>
      <c r="F348" s="110" t="s">
        <v>454</v>
      </c>
      <c r="G348" s="110" t="s">
        <v>50</v>
      </c>
      <c r="H348" s="110" t="s">
        <v>548</v>
      </c>
      <c r="I348" s="110" t="s">
        <v>256</v>
      </c>
    </row>
    <row r="349" customFormat="false" ht="18" hidden="false" customHeight="true" outlineLevel="0" collapsed="false">
      <c r="A349" s="72" t="n">
        <v>1</v>
      </c>
      <c r="B349" s="70" t="s">
        <v>549</v>
      </c>
      <c r="C349" s="111" t="n">
        <f aca="false">IF(OR(FALSE(),Übungen!$L$18="pause"),"",IF(IFERROR(INDEX(Rekorde!$O$4:$O$23,MATCH(Übungen!$A$18,Rekorde!$A$4:$A$23,0)),"")="","",ROUND(IFERROR(INDEX(Rekorde!$O$4:$O$23,MATCH(Übungen!$A$18,Rekorde!$A$4:$A$23,0)),"")*0.4*2,0)/2))</f>
        <v>88</v>
      </c>
      <c r="D349" s="112"/>
      <c r="E349" s="113"/>
      <c r="F349" s="113"/>
      <c r="G349" s="113"/>
      <c r="H349" s="113"/>
      <c r="I349" s="113"/>
    </row>
    <row r="350" customFormat="false" ht="18" hidden="false" customHeight="true" outlineLevel="0" collapsed="false">
      <c r="A350" s="72" t="n">
        <v>2</v>
      </c>
      <c r="B350" s="70" t="s">
        <v>550</v>
      </c>
      <c r="C350" s="111" t="n">
        <f aca="false">IF(OR(FALSE(),Übungen!$L$18="pause"),"",IF(IFERROR(INDEX(Rekorde!$O$4:$O$23,MATCH(Übungen!$A$18,Rekorde!$A$4:$A$23,0)),"")="","",ROUND(IFERROR(INDEX(Rekorde!$O$4:$O$23,MATCH(Übungen!$A$18,Rekorde!$A$4:$A$23,0)),"")*0.7*2,0)/2))</f>
        <v>154</v>
      </c>
      <c r="D350" s="112"/>
      <c r="E350" s="113"/>
      <c r="F350" s="113"/>
      <c r="G350" s="113"/>
      <c r="H350" s="113"/>
      <c r="I350" s="113"/>
    </row>
    <row r="351" customFormat="false" ht="18" hidden="false" customHeight="true" outlineLevel="0" collapsed="false">
      <c r="A351" s="72" t="n">
        <v>3</v>
      </c>
      <c r="B351" s="114" t="s">
        <v>551</v>
      </c>
      <c r="C351" s="115" t="n">
        <f aca="false">IF(OR(FALSE(),Übungen!$L$18="pause"),"",IF(IFERROR(INDEX(Rekorde!$O$4:$O$23,MATCH(Übungen!$A$18,Rekorde!$A$4:$A$23,0)),"")="","",ROUND(IFERROR(INDEX(Rekorde!$O$4:$O$23,MATCH(Übungen!$A$18,Rekorde!$A$4:$A$23,0)),"")*1*2,0)/2))</f>
        <v>220</v>
      </c>
      <c r="D351" s="116" t="n">
        <f aca="false">IF(OR(FALSE(),Übungen!$L$18="pause"),"",IF(IFERROR(INDEX(Rekorde!$P$4:$P$23,MATCH(Übungen!$A$18,Rekorde!$A$4:$A$23,0)),"")="","",MIN(Übungen!$E$18,IFERROR(INDEX(Rekorde!$P$4:$P$23,MATCH(Übungen!$A$18,Rekorde!$A$4:$A$23,0)),"")+0)))</f>
        <v>5</v>
      </c>
      <c r="E351" s="113"/>
      <c r="F351" s="113"/>
      <c r="G351" s="113"/>
      <c r="H351" s="113"/>
      <c r="I351" s="113"/>
    </row>
    <row r="352" customFormat="false" ht="18" hidden="false" customHeight="true" outlineLevel="0" collapsed="false">
      <c r="A352" s="72" t="n">
        <v>4</v>
      </c>
      <c r="B352" s="114" t="s">
        <v>552</v>
      </c>
      <c r="C352" s="111" t="n">
        <f aca="false">IF(OR(FALSE(),Übungen!$L$18="pause"),"",IF(IFERROR(INDEX(Rekorde!$O$4:$O$23,MATCH(Übungen!$A$18,Rekorde!$A$4:$A$23,0)),"")="","",ROUND(IFERROR(INDEX(Rekorde!$O$4:$O$23,MATCH(Übungen!$A$18,Rekorde!$A$4:$A$23,0)),"")*0.95*2,0)/2))</f>
        <v>209</v>
      </c>
      <c r="D352" s="116" t="n">
        <f aca="false">IF(OR(FALSE(),Übungen!$L$18="pause"),"",IF(IFERROR(INDEX(Rekorde!$P$4:$P$23,MATCH(Übungen!$A$18,Rekorde!$A$4:$A$23,0)),"")="","",MIN(Übungen!$E$18,IFERROR(INDEX(Rekorde!$P$4:$P$23,MATCH(Übungen!$A$18,Rekorde!$A$4:$A$23,0)),"")+1)))</f>
        <v>6</v>
      </c>
      <c r="E352" s="113"/>
      <c r="F352" s="113"/>
      <c r="G352" s="113"/>
      <c r="H352" s="113"/>
      <c r="I352" s="113"/>
    </row>
    <row r="353" customFormat="false" ht="18" hidden="false" customHeight="true" outlineLevel="0" collapsed="false">
      <c r="A353" s="72" t="n">
        <v>5</v>
      </c>
      <c r="B353" s="114" t="s">
        <v>553</v>
      </c>
      <c r="C353" s="111" t="n">
        <f aca="false">IF(OR(FALSE(),Übungen!$L$18="pause"),"",IF(IFERROR(INDEX(Rekorde!$O$4:$O$23,MATCH(Übungen!$A$18,Rekorde!$A$4:$A$23,0)),"")="","",ROUND(IFERROR(INDEX(Rekorde!$O$4:$O$23,MATCH(Übungen!$A$18,Rekorde!$A$4:$A$23,0)),"")*0.9*2,0)/2))</f>
        <v>198</v>
      </c>
      <c r="D353" s="116" t="n">
        <f aca="false">IF(OR(FALSE(),Übungen!$L$18="pause"),"",IF(IFERROR(INDEX(Rekorde!$P$4:$P$23,MATCH(Übungen!$A$18,Rekorde!$A$4:$A$23,0)),"")="","",MIN(Übungen!$E$18,IFERROR(INDEX(Rekorde!$P$4:$P$23,MATCH(Übungen!$A$18,Rekorde!$A$4:$A$23,0)),"")+2)))</f>
        <v>6</v>
      </c>
      <c r="E353" s="113"/>
      <c r="F353" s="113"/>
      <c r="G353" s="113"/>
      <c r="H353" s="113"/>
      <c r="I353" s="113"/>
    </row>
    <row r="355" customFormat="false" ht="18.75" hidden="false" customHeight="true" outlineLevel="0" collapsed="false">
      <c r="A355" s="107" t="str">
        <f aca="false">Übungen!$A$19</f>
        <v>Beinbeuger Bülach</v>
      </c>
      <c r="B355" s="107"/>
      <c r="C355" s="107"/>
      <c r="D355" s="107"/>
      <c r="E355" s="107"/>
      <c r="F355" s="107"/>
      <c r="G355" s="107"/>
      <c r="H355" s="107"/>
      <c r="I355" s="107"/>
    </row>
    <row r="356" customFormat="false" ht="13.5" hidden="false" customHeight="true" outlineLevel="0" collapsed="false">
      <c r="A356" s="108" t="str">
        <f aca="false">IF(OR(FALSE(),Übungen!$L$19="pause"),IF(Übungen!$L$19="pause","PAUSE - vorübergehend ausgesetzt, Grund im Blatt 'Übungen'     ·     ",""),IF(IFERROR(INDEX(Rekorde!$L$4:$L$23,MATCH(Übungen!$A$19,Rekorde!$A$4:$A$23,0)),"")="",IF(IFERROR(INDEX(Rekorde!$O$4:$O$23,MATCH(Übungen!$A$19,Rekorde!$A$4:$A$23,0)),"")="","Neu im Plan - Startgewicht im Blatt 'Übungen' eintragen     ·     ","Neu im Plan     ·     Start: "&amp;TEXT(IFERROR(INDEX(Rekorde!$O$4:$O$23,MATCH(Übungen!$A$19,Rekorde!$A$4:$A$23,0)),""),"0.#")&amp;" kg     ·     "),"Zuletzt: "&amp;TEXT(IFERROR(INDEX(Rekorde!$L$4:$L$23,MATCH(Übungen!$A$19,Rekorde!$A$4:$A$23,0)),""),"0.#")&amp;" kg × "&amp;IF(IFERROR(INDEX(Rekorde!$M$4:$M$23,MATCH(Übungen!$A$19,Rekorde!$A$4:$A$23,0)),"")="","?",TEXT(IFERROR(INDEX(Rekorde!$M$4:$M$23,MATCH(Übungen!$A$19,Rekorde!$A$4:$A$23,0)),""),"0"))&amp;" Wdh     ·     Bestwert: "&amp;TEXT(IFERROR(INDEX(Rekorde!$F$4:$F$23,MATCH(Übungen!$A$19,Rekorde!$A$4:$A$23,0)),""),"0.#")&amp;" kg     ·     "&amp;IF(IFERROR(INDEX(Rekorde!$O$4:$O$23,MATCH(Übungen!$A$19,Rekorde!$A$4:$A$23,0)),"")="","","Ziel heute: "&amp;TEXT(IFERROR(INDEX(Rekorde!$O$4:$O$23,MATCH(Übungen!$A$19,Rekorde!$A$4:$A$23,0)),""),"0.#")&amp;" kg × "&amp;IF(IFERROR(INDEX(Rekorde!$P$4:$P$23,MATCH(Übungen!$A$19,Rekorde!$A$4:$A$23,0)),"")="","",TEXT(IFERROR(INDEX(Rekorde!$P$4:$P$23,MATCH(Übungen!$A$19,Rekorde!$A$4:$A$23,0)),""),"0")&amp;" Wdh")&amp;"     ·     ")&amp;IF(AND(Übungen!$I$19&lt;&gt;"",IFERROR(INDEX(Rekorde!$O$4:$O$23,MATCH(Übungen!$A$19,Rekorde!$A$4:$A$23,0)),"")&lt;&gt;"",IFERROR(INDEX(Rekorde!$O$4:$O$23,MATCH(Übungen!$A$19,Rekorde!$A$4:$A$23,0)),"")&gt;=Übungen!$I$19),"Stackende, über Tempo und Pausen steigern     ·     ","")))</f>
        <v>Zuletzt: 59 kg × 6 Wdh     ·     Bestwert: 59 kg     ·     Ziel heute: 63 kg × 5 Wdh     ·     </v>
      </c>
      <c r="B356" s="108"/>
      <c r="C356" s="108"/>
      <c r="D356" s="108"/>
      <c r="E356" s="108"/>
      <c r="F356" s="108"/>
      <c r="G356" s="108"/>
      <c r="H356" s="108"/>
      <c r="I356" s="108"/>
    </row>
    <row r="357" customFormat="false" ht="13.5" hidden="false" customHeight="true" outlineLevel="0" collapsed="false">
      <c r="A357" s="109" t="str">
        <f aca="false">"Vorgabe: "&amp;Übungen!$F$19&amp;" × "&amp;Übungen!$D$19&amp;"-"&amp;Übungen!$E$19&amp;" Wdh @ RPE "&amp;Übungen!$G$19&amp;IF(OR(Übungen!$M$19="",Übungen!$M$19&lt;=1),"","     ·     nach OP gesperrt bis Woche "&amp;Übungen!$M$19)&amp;IF(OR(FALSE(),Übungen!$L$19="pause"),"",IF(AND(Übungen!$K$19&lt;&gt;"",Übungen!$K$19&lt;&gt;100),"     ·     Wiedereinstieg: "&amp;TEXT(Übungen!$K$19,"0")&amp;" % des berechneten Ziels",IF(IFERROR(INDEX(Rekorde!$Q$4:$Q$23,MATCH(Übungen!$A$19,Rekorde!$A$4:$A$23,0)),"")="","","     ·     Schritt: "&amp;IFERROR(INDEX(Rekorde!$Q$4:$Q$23,MATCH(Übungen!$A$19,Rekorde!$A$4:$A$23,0)),""))))</f>
        <v>Vorgabe: 3 × 5-6 Wdh @ RPE 9     ·     nach OP gesperrt bis Woche 2     ·     Schritt: Gewicht +4 kg (6.8%), Wdh zurück auf 5</v>
      </c>
      <c r="B357" s="109"/>
      <c r="C357" s="109"/>
      <c r="D357" s="109"/>
      <c r="E357" s="109"/>
      <c r="F357" s="109"/>
      <c r="G357" s="109"/>
      <c r="H357" s="109"/>
      <c r="I357" s="109"/>
    </row>
    <row r="358" customFormat="false" ht="18" hidden="false" customHeight="true" outlineLevel="0" collapsed="false">
      <c r="A358" s="110" t="s">
        <v>543</v>
      </c>
      <c r="B358" s="110" t="s">
        <v>544</v>
      </c>
      <c r="C358" s="110" t="s">
        <v>545</v>
      </c>
      <c r="D358" s="110" t="s">
        <v>546</v>
      </c>
      <c r="E358" s="110" t="s">
        <v>547</v>
      </c>
      <c r="F358" s="110" t="s">
        <v>454</v>
      </c>
      <c r="G358" s="110" t="s">
        <v>50</v>
      </c>
      <c r="H358" s="110" t="s">
        <v>548</v>
      </c>
      <c r="I358" s="110" t="s">
        <v>256</v>
      </c>
    </row>
    <row r="359" customFormat="false" ht="18" hidden="false" customHeight="true" outlineLevel="0" collapsed="false">
      <c r="A359" s="72" t="n">
        <v>1</v>
      </c>
      <c r="B359" s="70" t="s">
        <v>549</v>
      </c>
      <c r="C359" s="111" t="n">
        <f aca="false">IF(OR(FALSE(),Übungen!$L$19="pause"),"",IF(IFERROR(INDEX(Rekorde!$O$4:$O$23,MATCH(Übungen!$A$19,Rekorde!$A$4:$A$23,0)),"")="","",ROUND(IFERROR(INDEX(Rekorde!$O$4:$O$23,MATCH(Übungen!$A$19,Rekorde!$A$4:$A$23,0)),"")*0.4*2,0)/2))</f>
        <v>25</v>
      </c>
      <c r="D359" s="112"/>
      <c r="E359" s="113"/>
      <c r="F359" s="113"/>
      <c r="G359" s="113"/>
      <c r="H359" s="113"/>
      <c r="I359" s="113"/>
    </row>
    <row r="360" customFormat="false" ht="18" hidden="false" customHeight="true" outlineLevel="0" collapsed="false">
      <c r="A360" s="72" t="n">
        <v>2</v>
      </c>
      <c r="B360" s="70" t="s">
        <v>550</v>
      </c>
      <c r="C360" s="111" t="n">
        <f aca="false">IF(OR(FALSE(),Übungen!$L$19="pause"),"",IF(IFERROR(INDEX(Rekorde!$O$4:$O$23,MATCH(Übungen!$A$19,Rekorde!$A$4:$A$23,0)),"")="","",ROUND(IFERROR(INDEX(Rekorde!$O$4:$O$23,MATCH(Übungen!$A$19,Rekorde!$A$4:$A$23,0)),"")*0.7*2,0)/2))</f>
        <v>44</v>
      </c>
      <c r="D360" s="112"/>
      <c r="E360" s="113"/>
      <c r="F360" s="113"/>
      <c r="G360" s="113"/>
      <c r="H360" s="113"/>
      <c r="I360" s="113"/>
    </row>
    <row r="361" customFormat="false" ht="18" hidden="false" customHeight="true" outlineLevel="0" collapsed="false">
      <c r="A361" s="72" t="n">
        <v>3</v>
      </c>
      <c r="B361" s="114" t="s">
        <v>551</v>
      </c>
      <c r="C361" s="115" t="n">
        <f aca="false">IF(OR(FALSE(),Übungen!$L$19="pause"),"",IF(IFERROR(INDEX(Rekorde!$O$4:$O$23,MATCH(Übungen!$A$19,Rekorde!$A$4:$A$23,0)),"")="","",ROUND(IFERROR(INDEX(Rekorde!$O$4:$O$23,MATCH(Übungen!$A$19,Rekorde!$A$4:$A$23,0)),"")*1*2,0)/2))</f>
        <v>63</v>
      </c>
      <c r="D361" s="116" t="n">
        <f aca="false">IF(OR(FALSE(),Übungen!$L$19="pause"),"",IF(IFERROR(INDEX(Rekorde!$P$4:$P$23,MATCH(Übungen!$A$19,Rekorde!$A$4:$A$23,0)),"")="","",MIN(Übungen!$E$19,IFERROR(INDEX(Rekorde!$P$4:$P$23,MATCH(Übungen!$A$19,Rekorde!$A$4:$A$23,0)),"")+0)))</f>
        <v>5</v>
      </c>
      <c r="E361" s="113"/>
      <c r="F361" s="113"/>
      <c r="G361" s="113"/>
      <c r="H361" s="113"/>
      <c r="I361" s="113"/>
    </row>
    <row r="362" customFormat="false" ht="18" hidden="false" customHeight="true" outlineLevel="0" collapsed="false">
      <c r="A362" s="72" t="n">
        <v>4</v>
      </c>
      <c r="B362" s="114" t="s">
        <v>552</v>
      </c>
      <c r="C362" s="111" t="n">
        <f aca="false">IF(OR(FALSE(),Übungen!$L$19="pause"),"",IF(IFERROR(INDEX(Rekorde!$O$4:$O$23,MATCH(Übungen!$A$19,Rekorde!$A$4:$A$23,0)),"")="","",ROUND(IFERROR(INDEX(Rekorde!$O$4:$O$23,MATCH(Übungen!$A$19,Rekorde!$A$4:$A$23,0)),"")*0.95*2,0)/2))</f>
        <v>60</v>
      </c>
      <c r="D362" s="116" t="n">
        <f aca="false">IF(OR(FALSE(),Übungen!$L$19="pause"),"",IF(IFERROR(INDEX(Rekorde!$P$4:$P$23,MATCH(Übungen!$A$19,Rekorde!$A$4:$A$23,0)),"")="","",MIN(Übungen!$E$19,IFERROR(INDEX(Rekorde!$P$4:$P$23,MATCH(Übungen!$A$19,Rekorde!$A$4:$A$23,0)),"")+1)))</f>
        <v>6</v>
      </c>
      <c r="E362" s="113"/>
      <c r="F362" s="113"/>
      <c r="G362" s="113"/>
      <c r="H362" s="113"/>
      <c r="I362" s="113"/>
    </row>
    <row r="363" customFormat="false" ht="18" hidden="false" customHeight="true" outlineLevel="0" collapsed="false">
      <c r="A363" s="72" t="n">
        <v>5</v>
      </c>
      <c r="B363" s="114" t="s">
        <v>553</v>
      </c>
      <c r="C363" s="111" t="n">
        <f aca="false">IF(OR(FALSE(),Übungen!$L$19="pause"),"",IF(IFERROR(INDEX(Rekorde!$O$4:$O$23,MATCH(Übungen!$A$19,Rekorde!$A$4:$A$23,0)),"")="","",ROUND(IFERROR(INDEX(Rekorde!$O$4:$O$23,MATCH(Übungen!$A$19,Rekorde!$A$4:$A$23,0)),"")*0.9*2,0)/2))</f>
        <v>56.5</v>
      </c>
      <c r="D363" s="116" t="n">
        <f aca="false">IF(OR(FALSE(),Übungen!$L$19="pause"),"",IF(IFERROR(INDEX(Rekorde!$P$4:$P$23,MATCH(Übungen!$A$19,Rekorde!$A$4:$A$23,0)),"")="","",MIN(Übungen!$E$19,IFERROR(INDEX(Rekorde!$P$4:$P$23,MATCH(Übungen!$A$19,Rekorde!$A$4:$A$23,0)),"")+2)))</f>
        <v>6</v>
      </c>
      <c r="E363" s="113"/>
      <c r="F363" s="113"/>
      <c r="G363" s="113"/>
      <c r="H363" s="113"/>
      <c r="I363" s="113"/>
    </row>
    <row r="365" customFormat="false" ht="15.75" hidden="false" customHeight="true" outlineLevel="0" collapsed="false">
      <c r="A365" s="3" t="s">
        <v>554</v>
      </c>
      <c r="B365" s="3"/>
      <c r="C365" s="3"/>
      <c r="D365" s="3"/>
      <c r="E365" s="3"/>
      <c r="F365" s="3"/>
      <c r="G365" s="3"/>
      <c r="H365" s="3"/>
      <c r="I365" s="3"/>
    </row>
    <row r="366" customFormat="false" ht="18" hidden="false" customHeight="true" outlineLevel="0" collapsed="false">
      <c r="A366" s="117"/>
      <c r="B366" s="117"/>
      <c r="C366" s="117"/>
      <c r="D366" s="117"/>
      <c r="E366" s="117"/>
      <c r="F366" s="117"/>
      <c r="G366" s="117"/>
      <c r="H366" s="117"/>
      <c r="I366" s="117"/>
    </row>
    <row r="367" customFormat="false" ht="18" hidden="false" customHeight="true" outlineLevel="0" collapsed="false">
      <c r="A367" s="117"/>
      <c r="B367" s="117"/>
      <c r="C367" s="117"/>
      <c r="D367" s="117"/>
      <c r="E367" s="117"/>
      <c r="F367" s="117"/>
      <c r="G367" s="117"/>
      <c r="H367" s="117"/>
      <c r="I367" s="117"/>
    </row>
    <row r="369" customFormat="false" ht="27.75" hidden="false" customHeight="true" outlineLevel="0" collapsed="false">
      <c r="A369" s="1" t="s">
        <v>560</v>
      </c>
      <c r="B369" s="1"/>
      <c r="C369" s="1"/>
      <c r="D369" s="1"/>
      <c r="E369" s="1"/>
      <c r="F369" s="1"/>
      <c r="G369" s="1"/>
      <c r="H369" s="1"/>
      <c r="I369" s="1"/>
    </row>
    <row r="370" customFormat="false" ht="12" hidden="false" customHeight="true" outlineLevel="0" collapsed="false">
      <c r="A370" s="104" t="s">
        <v>75</v>
      </c>
      <c r="B370" s="104"/>
      <c r="C370" s="105" t="s">
        <v>539</v>
      </c>
      <c r="D370" s="105" t="s">
        <v>540</v>
      </c>
      <c r="E370" s="104" t="s">
        <v>541</v>
      </c>
      <c r="F370" s="104"/>
      <c r="G370" s="104" t="s">
        <v>542</v>
      </c>
      <c r="H370" s="104"/>
    </row>
    <row r="371" customFormat="false" ht="18" hidden="false" customHeight="true" outlineLevel="0" collapsed="false">
      <c r="A371" s="106"/>
      <c r="B371" s="106"/>
      <c r="C371" s="106"/>
      <c r="D371" s="106"/>
      <c r="E371" s="106"/>
      <c r="F371" s="106"/>
      <c r="G371" s="106"/>
      <c r="H371" s="106"/>
    </row>
    <row r="373" customFormat="false" ht="18.75" hidden="false" customHeight="true" outlineLevel="0" collapsed="false">
      <c r="A373" s="107" t="str">
        <f aca="false">Übungen!$A$4</f>
        <v>Beinpresse eng</v>
      </c>
      <c r="B373" s="107"/>
      <c r="C373" s="107"/>
      <c r="D373" s="107"/>
      <c r="E373" s="107"/>
      <c r="F373" s="107"/>
      <c r="G373" s="107"/>
      <c r="H373" s="107"/>
      <c r="I373" s="107"/>
    </row>
    <row r="374" customFormat="false" ht="13.5" hidden="false" customHeight="true" outlineLevel="0" collapsed="false">
      <c r="A374" s="108" t="str">
        <f aca="false">IF(OR(FALSE(),Übungen!$L$4="pause"),IF(Übungen!$L$4="pause","PAUSE - vorübergehend ausgesetzt, Grund im Blatt 'Übungen'     ·     ",""),IF(IFERROR(INDEX(Rekorde!$L$4:$L$23,MATCH(Übungen!$A$4,Rekorde!$A$4:$A$23,0)),"")="",IF(IFERROR(INDEX(Rekorde!$O$4:$O$23,MATCH(Übungen!$A$4,Rekorde!$A$4:$A$23,0)),"")="","Neu im Plan - Startgewicht im Blatt 'Übungen' eintragen     ·     ","Neu im Plan     ·     Start: "&amp;TEXT(IFERROR(INDEX(Rekorde!$O$4:$O$23,MATCH(Übungen!$A$4,Rekorde!$A$4:$A$23,0)),""),"0.#")&amp;" kg     ·     "),"Zuletzt: "&amp;TEXT(IFERROR(INDEX(Rekorde!$L$4:$L$23,MATCH(Übungen!$A$4,Rekorde!$A$4:$A$23,0)),""),"0.#")&amp;" kg × "&amp;IF(IFERROR(INDEX(Rekorde!$M$4:$M$23,MATCH(Übungen!$A$4,Rekorde!$A$4:$A$23,0)),"")="","?",TEXT(IFERROR(INDEX(Rekorde!$M$4:$M$23,MATCH(Übungen!$A$4,Rekorde!$A$4:$A$23,0)),""),"0"))&amp;" Wdh     ·     Bestwert: "&amp;TEXT(IFERROR(INDEX(Rekorde!$F$4:$F$23,MATCH(Übungen!$A$4,Rekorde!$A$4:$A$23,0)),""),"0.#")&amp;" kg     ·     "&amp;IF(IFERROR(INDEX(Rekorde!$O$4:$O$23,MATCH(Übungen!$A$4,Rekorde!$A$4:$A$23,0)),"")="","","Ziel heute: "&amp;TEXT(IFERROR(INDEX(Rekorde!$O$4:$O$23,MATCH(Übungen!$A$4,Rekorde!$A$4:$A$23,0)),""),"0.#")&amp;" kg × "&amp;IF(IFERROR(INDEX(Rekorde!$P$4:$P$23,MATCH(Übungen!$A$4,Rekorde!$A$4:$A$23,0)),"")="","",TEXT(IFERROR(INDEX(Rekorde!$P$4:$P$23,MATCH(Übungen!$A$4,Rekorde!$A$4:$A$23,0)),""),"0")&amp;" Wdh")&amp;"     ·     ")&amp;IF(AND(Übungen!$I$4&lt;&gt;"",IFERROR(INDEX(Rekorde!$O$4:$O$23,MATCH(Übungen!$A$4,Rekorde!$A$4:$A$23,0)),"")&lt;&gt;"",IFERROR(INDEX(Rekorde!$O$4:$O$23,MATCH(Übungen!$A$4,Rekorde!$A$4:$A$23,0)),"")&gt;=Übungen!$I$4),"Stackende, über Tempo und Pausen steigern     ·     ","")))</f>
        <v>Zuletzt: 300 kg × 6 Wdh     ·     Bestwert: 333 kg     ·     Ziel heute: 305 kg × 5 Wdh     ·     </v>
      </c>
      <c r="B374" s="108"/>
      <c r="C374" s="108"/>
      <c r="D374" s="108"/>
      <c r="E374" s="108"/>
      <c r="F374" s="108"/>
      <c r="G374" s="108"/>
      <c r="H374" s="108"/>
      <c r="I374" s="108"/>
    </row>
    <row r="375" customFormat="false" ht="13.5" hidden="false" customHeight="true" outlineLevel="0" collapsed="false">
      <c r="A375" s="109" t="str">
        <f aca="false">"Vorgabe: "&amp;Übungen!$F$4&amp;" × "&amp;Übungen!$D$4&amp;"-"&amp;Übungen!$E$4&amp;" Wdh @ RPE "&amp;Übungen!$G$4&amp;IF(OR(Übungen!$M$4="",Übungen!$M$4&lt;=1),"","     ·     nach OP gesperrt bis Woche "&amp;Übungen!$M$4)&amp;IF(OR(FALSE(),Übungen!$L$4="pause"),"",IF(AND(Übungen!$K$4&lt;&gt;"",Übungen!$K$4&lt;&gt;100),"     ·     Wiedereinstieg: "&amp;TEXT(Übungen!$K$4,"0")&amp;" % des berechneten Ziels",IF(IFERROR(INDEX(Rekorde!$Q$4:$Q$23,MATCH(Übungen!$A$4,Rekorde!$A$4:$A$23,0)),"")="","","     ·     Schritt: "&amp;IFERROR(INDEX(Rekorde!$Q$4:$Q$23,MATCH(Übungen!$A$4,Rekorde!$A$4:$A$23,0)),""))))</f>
        <v>Vorgabe: 3 × 5-6 Wdh @ RPE 8-9     ·     nach OP gesperrt bis Woche 6     ·     Schritt: Gewicht +5 kg (1.7%), Wdh zurück auf 5</v>
      </c>
      <c r="B375" s="109"/>
      <c r="C375" s="109"/>
      <c r="D375" s="109"/>
      <c r="E375" s="109"/>
      <c r="F375" s="109"/>
      <c r="G375" s="109"/>
      <c r="H375" s="109"/>
      <c r="I375" s="109"/>
    </row>
    <row r="376" customFormat="false" ht="18" hidden="false" customHeight="true" outlineLevel="0" collapsed="false">
      <c r="A376" s="110" t="s">
        <v>543</v>
      </c>
      <c r="B376" s="110" t="s">
        <v>544</v>
      </c>
      <c r="C376" s="110" t="s">
        <v>545</v>
      </c>
      <c r="D376" s="110" t="s">
        <v>546</v>
      </c>
      <c r="E376" s="110" t="s">
        <v>547</v>
      </c>
      <c r="F376" s="110" t="s">
        <v>454</v>
      </c>
      <c r="G376" s="110" t="s">
        <v>50</v>
      </c>
      <c r="H376" s="110" t="s">
        <v>548</v>
      </c>
      <c r="I376" s="110" t="s">
        <v>256</v>
      </c>
    </row>
    <row r="377" customFormat="false" ht="18" hidden="false" customHeight="true" outlineLevel="0" collapsed="false">
      <c r="A377" s="72" t="n">
        <v>1</v>
      </c>
      <c r="B377" s="70" t="s">
        <v>549</v>
      </c>
      <c r="C377" s="111" t="n">
        <f aca="false">IF(OR(FALSE(),Übungen!$L$4="pause"),"",IF(IFERROR(INDEX(Rekorde!$O$4:$O$23,MATCH(Übungen!$A$4,Rekorde!$A$4:$A$23,0)),"")="","",ROUND(IFERROR(INDEX(Rekorde!$O$4:$O$23,MATCH(Übungen!$A$4,Rekorde!$A$4:$A$23,0)),"")*0.4*2,0)/2))</f>
        <v>122</v>
      </c>
      <c r="D377" s="112"/>
      <c r="E377" s="113"/>
      <c r="F377" s="113"/>
      <c r="G377" s="113"/>
      <c r="H377" s="113"/>
      <c r="I377" s="113"/>
    </row>
    <row r="378" customFormat="false" ht="18" hidden="false" customHeight="true" outlineLevel="0" collapsed="false">
      <c r="A378" s="72" t="n">
        <v>2</v>
      </c>
      <c r="B378" s="70" t="s">
        <v>550</v>
      </c>
      <c r="C378" s="111" t="n">
        <f aca="false">IF(OR(FALSE(),Übungen!$L$4="pause"),"",IF(IFERROR(INDEX(Rekorde!$O$4:$O$23,MATCH(Übungen!$A$4,Rekorde!$A$4:$A$23,0)),"")="","",ROUND(IFERROR(INDEX(Rekorde!$O$4:$O$23,MATCH(Übungen!$A$4,Rekorde!$A$4:$A$23,0)),"")*0.7*2,0)/2))</f>
        <v>213.5</v>
      </c>
      <c r="D378" s="112"/>
      <c r="E378" s="113"/>
      <c r="F378" s="113"/>
      <c r="G378" s="113"/>
      <c r="H378" s="113"/>
      <c r="I378" s="113"/>
    </row>
    <row r="379" customFormat="false" ht="18" hidden="false" customHeight="true" outlineLevel="0" collapsed="false">
      <c r="A379" s="72" t="n">
        <v>3</v>
      </c>
      <c r="B379" s="114" t="s">
        <v>551</v>
      </c>
      <c r="C379" s="115" t="n">
        <f aca="false">IF(OR(FALSE(),Übungen!$L$4="pause"),"",IF(IFERROR(INDEX(Rekorde!$O$4:$O$23,MATCH(Übungen!$A$4,Rekorde!$A$4:$A$23,0)),"")="","",ROUND(IFERROR(INDEX(Rekorde!$O$4:$O$23,MATCH(Übungen!$A$4,Rekorde!$A$4:$A$23,0)),"")*1*2,0)/2))</f>
        <v>305</v>
      </c>
      <c r="D379" s="116" t="n">
        <f aca="false">IF(OR(FALSE(),Übungen!$L$4="pause"),"",IF(IFERROR(INDEX(Rekorde!$P$4:$P$23,MATCH(Übungen!$A$4,Rekorde!$A$4:$A$23,0)),"")="","",MIN(Übungen!$E$4,IFERROR(INDEX(Rekorde!$P$4:$P$23,MATCH(Übungen!$A$4,Rekorde!$A$4:$A$23,0)),"")+0)))</f>
        <v>5</v>
      </c>
      <c r="E379" s="113"/>
      <c r="F379" s="113"/>
      <c r="G379" s="113"/>
      <c r="H379" s="113"/>
      <c r="I379" s="113"/>
    </row>
    <row r="380" customFormat="false" ht="18" hidden="false" customHeight="true" outlineLevel="0" collapsed="false">
      <c r="A380" s="72" t="n">
        <v>4</v>
      </c>
      <c r="B380" s="114" t="s">
        <v>552</v>
      </c>
      <c r="C380" s="111" t="n">
        <f aca="false">IF(OR(FALSE(),Übungen!$L$4="pause"),"",IF(IFERROR(INDEX(Rekorde!$O$4:$O$23,MATCH(Übungen!$A$4,Rekorde!$A$4:$A$23,0)),"")="","",ROUND(IFERROR(INDEX(Rekorde!$O$4:$O$23,MATCH(Übungen!$A$4,Rekorde!$A$4:$A$23,0)),"")*0.95*2,0)/2))</f>
        <v>290</v>
      </c>
      <c r="D380" s="116" t="n">
        <f aca="false">IF(OR(FALSE(),Übungen!$L$4="pause"),"",IF(IFERROR(INDEX(Rekorde!$P$4:$P$23,MATCH(Übungen!$A$4,Rekorde!$A$4:$A$23,0)),"")="","",MIN(Übungen!$E$4,IFERROR(INDEX(Rekorde!$P$4:$P$23,MATCH(Übungen!$A$4,Rekorde!$A$4:$A$23,0)),"")+1)))</f>
        <v>6</v>
      </c>
      <c r="E380" s="113"/>
      <c r="F380" s="113"/>
      <c r="G380" s="113"/>
      <c r="H380" s="113"/>
      <c r="I380" s="113"/>
    </row>
    <row r="381" customFormat="false" ht="18" hidden="false" customHeight="true" outlineLevel="0" collapsed="false">
      <c r="A381" s="72" t="n">
        <v>5</v>
      </c>
      <c r="B381" s="114" t="s">
        <v>553</v>
      </c>
      <c r="C381" s="111" t="n">
        <f aca="false">IF(OR(FALSE(),Übungen!$L$4="pause"),"",IF(IFERROR(INDEX(Rekorde!$O$4:$O$23,MATCH(Übungen!$A$4,Rekorde!$A$4:$A$23,0)),"")="","",ROUND(IFERROR(INDEX(Rekorde!$O$4:$O$23,MATCH(Übungen!$A$4,Rekorde!$A$4:$A$23,0)),"")*0.9*2,0)/2))</f>
        <v>274.5</v>
      </c>
      <c r="D381" s="116" t="n">
        <f aca="false">IF(OR(FALSE(),Übungen!$L$4="pause"),"",IF(IFERROR(INDEX(Rekorde!$P$4:$P$23,MATCH(Übungen!$A$4,Rekorde!$A$4:$A$23,0)),"")="","",MIN(Übungen!$E$4,IFERROR(INDEX(Rekorde!$P$4:$P$23,MATCH(Übungen!$A$4,Rekorde!$A$4:$A$23,0)),"")+2)))</f>
        <v>6</v>
      </c>
      <c r="E381" s="113"/>
      <c r="F381" s="113"/>
      <c r="G381" s="113"/>
      <c r="H381" s="113"/>
      <c r="I381" s="113"/>
    </row>
    <row r="383" customFormat="false" ht="18.75" hidden="false" customHeight="true" outlineLevel="0" collapsed="false">
      <c r="A383" s="107" t="str">
        <f aca="false">Übungen!$A$5</f>
        <v>Split Squat</v>
      </c>
      <c r="B383" s="107"/>
      <c r="C383" s="107"/>
      <c r="D383" s="107"/>
      <c r="E383" s="107"/>
      <c r="F383" s="107"/>
      <c r="G383" s="107"/>
      <c r="H383" s="107"/>
      <c r="I383" s="107"/>
    </row>
    <row r="384" customFormat="false" ht="13.5" hidden="false" customHeight="true" outlineLevel="0" collapsed="false">
      <c r="A384" s="108" t="str">
        <f aca="false">IF(OR(FALSE(),Übungen!$L$5="pause"),IF(Übungen!$L$5="pause","PAUSE - vorübergehend ausgesetzt, Grund im Blatt 'Übungen'     ·     ",""),IF(IFERROR(INDEX(Rekorde!$L$4:$L$23,MATCH(Übungen!$A$5,Rekorde!$A$4:$A$23,0)),"")="",IF(IFERROR(INDEX(Rekorde!$O$4:$O$23,MATCH(Übungen!$A$5,Rekorde!$A$4:$A$23,0)),"")="","Neu im Plan - Startgewicht im Blatt 'Übungen' eintragen     ·     ","Neu im Plan     ·     Start: "&amp;TEXT(IFERROR(INDEX(Rekorde!$O$4:$O$23,MATCH(Übungen!$A$5,Rekorde!$A$4:$A$23,0)),""),"0.#")&amp;" kg     ·     "),"Zuletzt: "&amp;TEXT(IFERROR(INDEX(Rekorde!$L$4:$L$23,MATCH(Übungen!$A$5,Rekorde!$A$4:$A$23,0)),""),"0.#")&amp;" kg × "&amp;IF(IFERROR(INDEX(Rekorde!$M$4:$M$23,MATCH(Übungen!$A$5,Rekorde!$A$4:$A$23,0)),"")="","?",TEXT(IFERROR(INDEX(Rekorde!$M$4:$M$23,MATCH(Übungen!$A$5,Rekorde!$A$4:$A$23,0)),""),"0"))&amp;" Wdh     ·     Bestwert: "&amp;TEXT(IFERROR(INDEX(Rekorde!$F$4:$F$23,MATCH(Übungen!$A$5,Rekorde!$A$4:$A$23,0)),""),"0.#")&amp;" kg     ·     "&amp;IF(IFERROR(INDEX(Rekorde!$O$4:$O$23,MATCH(Übungen!$A$5,Rekorde!$A$4:$A$23,0)),"")="","","Ziel heute: "&amp;TEXT(IFERROR(INDEX(Rekorde!$O$4:$O$23,MATCH(Übungen!$A$5,Rekorde!$A$4:$A$23,0)),""),"0.#")&amp;" kg × "&amp;IF(IFERROR(INDEX(Rekorde!$P$4:$P$23,MATCH(Übungen!$A$5,Rekorde!$A$4:$A$23,0)),"")="","",TEXT(IFERROR(INDEX(Rekorde!$P$4:$P$23,MATCH(Übungen!$A$5,Rekorde!$A$4:$A$23,0)),""),"0")&amp;" Wdh")&amp;"     ·     ")&amp;IF(AND(Übungen!$I$5&lt;&gt;"",IFERROR(INDEX(Rekorde!$O$4:$O$23,MATCH(Übungen!$A$5,Rekorde!$A$4:$A$23,0)),"")&lt;&gt;"",IFERROR(INDEX(Rekorde!$O$4:$O$23,MATCH(Übungen!$A$5,Rekorde!$A$4:$A$23,0)),"")&gt;=Übungen!$I$5),"Stackende, über Tempo und Pausen steigern     ·     ","")))</f>
        <v>Zuletzt: 120 kg × 6 Wdh     ·     Bestwert: 120 kg     ·     Ziel heute: 122.5 kg × 5 Wdh     ·     </v>
      </c>
      <c r="B384" s="108"/>
      <c r="C384" s="108"/>
      <c r="D384" s="108"/>
      <c r="E384" s="108"/>
      <c r="F384" s="108"/>
      <c r="G384" s="108"/>
      <c r="H384" s="108"/>
      <c r="I384" s="108"/>
    </row>
    <row r="385" customFormat="false" ht="13.5" hidden="false" customHeight="true" outlineLevel="0" collapsed="false">
      <c r="A385" s="109" t="str">
        <f aca="false">"Vorgabe: "&amp;Übungen!$F$5&amp;" × "&amp;Übungen!$D$5&amp;"-"&amp;Übungen!$E$5&amp;" Wdh @ RPE "&amp;Übungen!$G$5&amp;IF(OR(Übungen!$M$5="",Übungen!$M$5&lt;=1),"","     ·     nach OP gesperrt bis Woche "&amp;Übungen!$M$5)&amp;IF(OR(FALSE(),Übungen!$L$5="pause"),"",IF(AND(Übungen!$K$5&lt;&gt;"",Übungen!$K$5&lt;&gt;100),"     ·     Wiedereinstieg: "&amp;TEXT(Übungen!$K$5,"0")&amp;" % des berechneten Ziels",IF(IFERROR(INDEX(Rekorde!$Q$4:$Q$23,MATCH(Übungen!$A$5,Rekorde!$A$4:$A$23,0)),"")="","","     ·     Schritt: "&amp;IFERROR(INDEX(Rekorde!$Q$4:$Q$23,MATCH(Übungen!$A$5,Rekorde!$A$4:$A$23,0)),""))))</f>
        <v>Vorgabe: 3 × 5-6 Wdh @ RPE 8     ·     nach OP gesperrt bis Woche 12     ·     Schritt: Gewicht +2.5 kg (2.1%), Wdh zurück auf 5</v>
      </c>
      <c r="B385" s="109"/>
      <c r="C385" s="109"/>
      <c r="D385" s="109"/>
      <c r="E385" s="109"/>
      <c r="F385" s="109"/>
      <c r="G385" s="109"/>
      <c r="H385" s="109"/>
      <c r="I385" s="109"/>
    </row>
    <row r="386" customFormat="false" ht="18" hidden="false" customHeight="true" outlineLevel="0" collapsed="false">
      <c r="A386" s="110" t="s">
        <v>543</v>
      </c>
      <c r="B386" s="110" t="s">
        <v>544</v>
      </c>
      <c r="C386" s="110" t="s">
        <v>545</v>
      </c>
      <c r="D386" s="110" t="s">
        <v>546</v>
      </c>
      <c r="E386" s="110" t="s">
        <v>547</v>
      </c>
      <c r="F386" s="110" t="s">
        <v>454</v>
      </c>
      <c r="G386" s="110" t="s">
        <v>50</v>
      </c>
      <c r="H386" s="110" t="s">
        <v>548</v>
      </c>
      <c r="I386" s="110" t="s">
        <v>256</v>
      </c>
    </row>
    <row r="387" customFormat="false" ht="18" hidden="false" customHeight="true" outlineLevel="0" collapsed="false">
      <c r="A387" s="72" t="n">
        <v>1</v>
      </c>
      <c r="B387" s="70" t="s">
        <v>549</v>
      </c>
      <c r="C387" s="111" t="n">
        <f aca="false">IF(OR(FALSE(),Übungen!$L$5="pause"),"",IF(IFERROR(INDEX(Rekorde!$O$4:$O$23,MATCH(Übungen!$A$5,Rekorde!$A$4:$A$23,0)),"")="","",ROUND(IFERROR(INDEX(Rekorde!$O$4:$O$23,MATCH(Übungen!$A$5,Rekorde!$A$4:$A$23,0)),"")*0.4*2,0)/2))</f>
        <v>49</v>
      </c>
      <c r="D387" s="112"/>
      <c r="E387" s="113"/>
      <c r="F387" s="113"/>
      <c r="G387" s="113"/>
      <c r="H387" s="113"/>
      <c r="I387" s="113"/>
    </row>
    <row r="388" customFormat="false" ht="18" hidden="false" customHeight="true" outlineLevel="0" collapsed="false">
      <c r="A388" s="72" t="n">
        <v>2</v>
      </c>
      <c r="B388" s="70" t="s">
        <v>550</v>
      </c>
      <c r="C388" s="111" t="n">
        <f aca="false">IF(OR(FALSE(),Übungen!$L$5="pause"),"",IF(IFERROR(INDEX(Rekorde!$O$4:$O$23,MATCH(Übungen!$A$5,Rekorde!$A$4:$A$23,0)),"")="","",ROUND(IFERROR(INDEX(Rekorde!$O$4:$O$23,MATCH(Übungen!$A$5,Rekorde!$A$4:$A$23,0)),"")*0.7*2,0)/2))</f>
        <v>86</v>
      </c>
      <c r="D388" s="112"/>
      <c r="E388" s="113"/>
      <c r="F388" s="113"/>
      <c r="G388" s="113"/>
      <c r="H388" s="113"/>
      <c r="I388" s="113"/>
    </row>
    <row r="389" customFormat="false" ht="18" hidden="false" customHeight="true" outlineLevel="0" collapsed="false">
      <c r="A389" s="72" t="n">
        <v>3</v>
      </c>
      <c r="B389" s="114" t="s">
        <v>551</v>
      </c>
      <c r="C389" s="115" t="n">
        <f aca="false">IF(OR(FALSE(),Übungen!$L$5="pause"),"",IF(IFERROR(INDEX(Rekorde!$O$4:$O$23,MATCH(Übungen!$A$5,Rekorde!$A$4:$A$23,0)),"")="","",ROUND(IFERROR(INDEX(Rekorde!$O$4:$O$23,MATCH(Übungen!$A$5,Rekorde!$A$4:$A$23,0)),"")*1*2,0)/2))</f>
        <v>122.5</v>
      </c>
      <c r="D389" s="116" t="n">
        <f aca="false">IF(OR(FALSE(),Übungen!$L$5="pause"),"",IF(IFERROR(INDEX(Rekorde!$P$4:$P$23,MATCH(Übungen!$A$5,Rekorde!$A$4:$A$23,0)),"")="","",MIN(Übungen!$E$5,IFERROR(INDEX(Rekorde!$P$4:$P$23,MATCH(Übungen!$A$5,Rekorde!$A$4:$A$23,0)),"")+0)))</f>
        <v>5</v>
      </c>
      <c r="E389" s="113"/>
      <c r="F389" s="113"/>
      <c r="G389" s="113"/>
      <c r="H389" s="113"/>
      <c r="I389" s="113"/>
    </row>
    <row r="390" customFormat="false" ht="18" hidden="false" customHeight="true" outlineLevel="0" collapsed="false">
      <c r="A390" s="72" t="n">
        <v>4</v>
      </c>
      <c r="B390" s="114" t="s">
        <v>552</v>
      </c>
      <c r="C390" s="111" t="n">
        <f aca="false">IF(OR(FALSE(),Übungen!$L$5="pause"),"",IF(IFERROR(INDEX(Rekorde!$O$4:$O$23,MATCH(Übungen!$A$5,Rekorde!$A$4:$A$23,0)),"")="","",ROUND(IFERROR(INDEX(Rekorde!$O$4:$O$23,MATCH(Übungen!$A$5,Rekorde!$A$4:$A$23,0)),"")*0.95*2,0)/2))</f>
        <v>116.5</v>
      </c>
      <c r="D390" s="116" t="n">
        <f aca="false">IF(OR(FALSE(),Übungen!$L$5="pause"),"",IF(IFERROR(INDEX(Rekorde!$P$4:$P$23,MATCH(Übungen!$A$5,Rekorde!$A$4:$A$23,0)),"")="","",MIN(Übungen!$E$5,IFERROR(INDEX(Rekorde!$P$4:$P$23,MATCH(Übungen!$A$5,Rekorde!$A$4:$A$23,0)),"")+1)))</f>
        <v>6</v>
      </c>
      <c r="E390" s="113"/>
      <c r="F390" s="113"/>
      <c r="G390" s="113"/>
      <c r="H390" s="113"/>
      <c r="I390" s="113"/>
    </row>
    <row r="391" customFormat="false" ht="18" hidden="false" customHeight="true" outlineLevel="0" collapsed="false">
      <c r="A391" s="72" t="n">
        <v>5</v>
      </c>
      <c r="B391" s="114" t="s">
        <v>553</v>
      </c>
      <c r="C391" s="111" t="n">
        <f aca="false">IF(OR(FALSE(),Übungen!$L$5="pause"),"",IF(IFERROR(INDEX(Rekorde!$O$4:$O$23,MATCH(Übungen!$A$5,Rekorde!$A$4:$A$23,0)),"")="","",ROUND(IFERROR(INDEX(Rekorde!$O$4:$O$23,MATCH(Übungen!$A$5,Rekorde!$A$4:$A$23,0)),"")*0.9*2,0)/2))</f>
        <v>110.5</v>
      </c>
      <c r="D391" s="116" t="n">
        <f aca="false">IF(OR(FALSE(),Übungen!$L$5="pause"),"",IF(IFERROR(INDEX(Rekorde!$P$4:$P$23,MATCH(Übungen!$A$5,Rekorde!$A$4:$A$23,0)),"")="","",MIN(Übungen!$E$5,IFERROR(INDEX(Rekorde!$P$4:$P$23,MATCH(Übungen!$A$5,Rekorde!$A$4:$A$23,0)),"")+2)))</f>
        <v>6</v>
      </c>
      <c r="E391" s="113"/>
      <c r="F391" s="113"/>
      <c r="G391" s="113"/>
      <c r="H391" s="113"/>
      <c r="I391" s="113"/>
    </row>
    <row r="393" customFormat="false" ht="18.75" hidden="false" customHeight="true" outlineLevel="0" collapsed="false">
      <c r="A393" s="107" t="str">
        <f aca="false">Übungen!$A$6</f>
        <v>Beinstrecker</v>
      </c>
      <c r="B393" s="107"/>
      <c r="C393" s="107"/>
      <c r="D393" s="107"/>
      <c r="E393" s="107"/>
      <c r="F393" s="107"/>
      <c r="G393" s="107"/>
      <c r="H393" s="107"/>
      <c r="I393" s="107"/>
    </row>
    <row r="394" customFormat="false" ht="13.5" hidden="false" customHeight="true" outlineLevel="0" collapsed="false">
      <c r="A394" s="108" t="str">
        <f aca="false">IF(OR(FALSE(),Übungen!$L$6="pause"),IF(Übungen!$L$6="pause","PAUSE - vorübergehend ausgesetzt, Grund im Blatt 'Übungen'     ·     ",""),IF(IFERROR(INDEX(Rekorde!$L$4:$L$23,MATCH(Übungen!$A$6,Rekorde!$A$4:$A$23,0)),"")="",IF(IFERROR(INDEX(Rekorde!$O$4:$O$23,MATCH(Übungen!$A$6,Rekorde!$A$4:$A$23,0)),"")="","Neu im Plan - Startgewicht im Blatt 'Übungen' eintragen     ·     ","Neu im Plan     ·     Start: "&amp;TEXT(IFERROR(INDEX(Rekorde!$O$4:$O$23,MATCH(Übungen!$A$6,Rekorde!$A$4:$A$23,0)),""),"0.#")&amp;" kg     ·     "),"Zuletzt: "&amp;TEXT(IFERROR(INDEX(Rekorde!$L$4:$L$23,MATCH(Übungen!$A$6,Rekorde!$A$4:$A$23,0)),""),"0.#")&amp;" kg × "&amp;IF(IFERROR(INDEX(Rekorde!$M$4:$M$23,MATCH(Übungen!$A$6,Rekorde!$A$4:$A$23,0)),"")="","?",TEXT(IFERROR(INDEX(Rekorde!$M$4:$M$23,MATCH(Übungen!$A$6,Rekorde!$A$4:$A$23,0)),""),"0"))&amp;" Wdh     ·     Bestwert: "&amp;TEXT(IFERROR(INDEX(Rekorde!$F$4:$F$23,MATCH(Übungen!$A$6,Rekorde!$A$4:$A$23,0)),""),"0.#")&amp;" kg     ·     "&amp;IF(IFERROR(INDEX(Rekorde!$O$4:$O$23,MATCH(Übungen!$A$6,Rekorde!$A$4:$A$23,0)),"")="","","Ziel heute: "&amp;TEXT(IFERROR(INDEX(Rekorde!$O$4:$O$23,MATCH(Übungen!$A$6,Rekorde!$A$4:$A$23,0)),""),"0.#")&amp;" kg × "&amp;IF(IFERROR(INDEX(Rekorde!$P$4:$P$23,MATCH(Übungen!$A$6,Rekorde!$A$4:$A$23,0)),"")="","",TEXT(IFERROR(INDEX(Rekorde!$P$4:$P$23,MATCH(Übungen!$A$6,Rekorde!$A$4:$A$23,0)),""),"0")&amp;" Wdh")&amp;"     ·     ")&amp;IF(AND(Übungen!$I$6&lt;&gt;"",IFERROR(INDEX(Rekorde!$O$4:$O$23,MATCH(Übungen!$A$6,Rekorde!$A$4:$A$23,0)),"")&lt;&gt;"",IFERROR(INDEX(Rekorde!$O$4:$O$23,MATCH(Übungen!$A$6,Rekorde!$A$4:$A$23,0)),"")&gt;=Übungen!$I$6),"Stackende, über Tempo und Pausen steigern     ·     ","")))</f>
        <v>Zuletzt: 95 kg × 5 Wdh     ·     Bestwert: 95 kg     ·     Ziel heute: 95 kg × 6 Wdh     ·     </v>
      </c>
      <c r="B394" s="108"/>
      <c r="C394" s="108"/>
      <c r="D394" s="108"/>
      <c r="E394" s="108"/>
      <c r="F394" s="108"/>
      <c r="G394" s="108"/>
      <c r="H394" s="108"/>
      <c r="I394" s="108"/>
    </row>
    <row r="395" customFormat="false" ht="13.5" hidden="false" customHeight="true" outlineLevel="0" collapsed="false">
      <c r="A395" s="109" t="str">
        <f aca="false">"Vorgabe: "&amp;Übungen!$F$6&amp;" × "&amp;Übungen!$D$6&amp;"-"&amp;Übungen!$E$6&amp;" Wdh @ RPE "&amp;Übungen!$G$6&amp;IF(OR(Übungen!$M$6="",Übungen!$M$6&lt;=1),"","     ·     nach OP gesperrt bis Woche "&amp;Übungen!$M$6)&amp;IF(OR(FALSE(),Übungen!$L$6="pause"),"",IF(AND(Übungen!$K$6&lt;&gt;"",Übungen!$K$6&lt;&gt;100),"     ·     Wiedereinstieg: "&amp;TEXT(Übungen!$K$6,"0")&amp;" % des berechneten Ziels",IF(IFERROR(INDEX(Rekorde!$Q$4:$Q$23,MATCH(Übungen!$A$6,Rekorde!$A$4:$A$23,0)),"")="","","     ·     Schritt: "&amp;IFERROR(INDEX(Rekorde!$Q$4:$Q$23,MATCH(Übungen!$A$6,Rekorde!$A$4:$A$23,0)),""))))</f>
        <v>Vorgabe: 3 × 5-6 Wdh @ RPE 9     ·     nach OP gesperrt bis Woche 2     ·     Schritt: Wdh +1 auf 6 bei gleichem Gewicht</v>
      </c>
      <c r="B395" s="109"/>
      <c r="C395" s="109"/>
      <c r="D395" s="109"/>
      <c r="E395" s="109"/>
      <c r="F395" s="109"/>
      <c r="G395" s="109"/>
      <c r="H395" s="109"/>
      <c r="I395" s="109"/>
    </row>
    <row r="396" customFormat="false" ht="18" hidden="false" customHeight="true" outlineLevel="0" collapsed="false">
      <c r="A396" s="110" t="s">
        <v>543</v>
      </c>
      <c r="B396" s="110" t="s">
        <v>544</v>
      </c>
      <c r="C396" s="110" t="s">
        <v>545</v>
      </c>
      <c r="D396" s="110" t="s">
        <v>546</v>
      </c>
      <c r="E396" s="110" t="s">
        <v>547</v>
      </c>
      <c r="F396" s="110" t="s">
        <v>454</v>
      </c>
      <c r="G396" s="110" t="s">
        <v>50</v>
      </c>
      <c r="H396" s="110" t="s">
        <v>548</v>
      </c>
      <c r="I396" s="110" t="s">
        <v>256</v>
      </c>
    </row>
    <row r="397" customFormat="false" ht="18" hidden="false" customHeight="true" outlineLevel="0" collapsed="false">
      <c r="A397" s="72" t="n">
        <v>1</v>
      </c>
      <c r="B397" s="70" t="s">
        <v>549</v>
      </c>
      <c r="C397" s="111" t="n">
        <f aca="false">IF(OR(FALSE(),Übungen!$L$6="pause"),"",IF(IFERROR(INDEX(Rekorde!$O$4:$O$23,MATCH(Übungen!$A$6,Rekorde!$A$4:$A$23,0)),"")="","",ROUND(IFERROR(INDEX(Rekorde!$O$4:$O$23,MATCH(Übungen!$A$6,Rekorde!$A$4:$A$23,0)),"")*0.4*2,0)/2))</f>
        <v>38</v>
      </c>
      <c r="D397" s="112"/>
      <c r="E397" s="113"/>
      <c r="F397" s="113"/>
      <c r="G397" s="113"/>
      <c r="H397" s="113"/>
      <c r="I397" s="113"/>
    </row>
    <row r="398" customFormat="false" ht="18" hidden="false" customHeight="true" outlineLevel="0" collapsed="false">
      <c r="A398" s="72" t="n">
        <v>2</v>
      </c>
      <c r="B398" s="70" t="s">
        <v>550</v>
      </c>
      <c r="C398" s="111" t="n">
        <f aca="false">IF(OR(FALSE(),Übungen!$L$6="pause"),"",IF(IFERROR(INDEX(Rekorde!$O$4:$O$23,MATCH(Übungen!$A$6,Rekorde!$A$4:$A$23,0)),"")="","",ROUND(IFERROR(INDEX(Rekorde!$O$4:$O$23,MATCH(Übungen!$A$6,Rekorde!$A$4:$A$23,0)),"")*0.7*2,0)/2))</f>
        <v>66.5</v>
      </c>
      <c r="D398" s="112"/>
      <c r="E398" s="113"/>
      <c r="F398" s="113"/>
      <c r="G398" s="113"/>
      <c r="H398" s="113"/>
      <c r="I398" s="113"/>
    </row>
    <row r="399" customFormat="false" ht="18" hidden="false" customHeight="true" outlineLevel="0" collapsed="false">
      <c r="A399" s="72" t="n">
        <v>3</v>
      </c>
      <c r="B399" s="114" t="s">
        <v>551</v>
      </c>
      <c r="C399" s="115" t="n">
        <f aca="false">IF(OR(FALSE(),Übungen!$L$6="pause"),"",IF(IFERROR(INDEX(Rekorde!$O$4:$O$23,MATCH(Übungen!$A$6,Rekorde!$A$4:$A$23,0)),"")="","",ROUND(IFERROR(INDEX(Rekorde!$O$4:$O$23,MATCH(Übungen!$A$6,Rekorde!$A$4:$A$23,0)),"")*1*2,0)/2))</f>
        <v>95</v>
      </c>
      <c r="D399" s="116" t="n">
        <f aca="false">IF(OR(FALSE(),Übungen!$L$6="pause"),"",IF(IFERROR(INDEX(Rekorde!$P$4:$P$23,MATCH(Übungen!$A$6,Rekorde!$A$4:$A$23,0)),"")="","",MIN(Übungen!$E$6,IFERROR(INDEX(Rekorde!$P$4:$P$23,MATCH(Übungen!$A$6,Rekorde!$A$4:$A$23,0)),"")+0)))</f>
        <v>6</v>
      </c>
      <c r="E399" s="113"/>
      <c r="F399" s="113"/>
      <c r="G399" s="113"/>
      <c r="H399" s="113"/>
      <c r="I399" s="113"/>
    </row>
    <row r="400" customFormat="false" ht="18" hidden="false" customHeight="true" outlineLevel="0" collapsed="false">
      <c r="A400" s="72" t="n">
        <v>4</v>
      </c>
      <c r="B400" s="114" t="s">
        <v>552</v>
      </c>
      <c r="C400" s="111" t="n">
        <f aca="false">IF(OR(FALSE(),Übungen!$L$6="pause"),"",IF(IFERROR(INDEX(Rekorde!$O$4:$O$23,MATCH(Übungen!$A$6,Rekorde!$A$4:$A$23,0)),"")="","",ROUND(IFERROR(INDEX(Rekorde!$O$4:$O$23,MATCH(Übungen!$A$6,Rekorde!$A$4:$A$23,0)),"")*0.95*2,0)/2))</f>
        <v>90.5</v>
      </c>
      <c r="D400" s="116" t="n">
        <f aca="false">IF(OR(FALSE(),Übungen!$L$6="pause"),"",IF(IFERROR(INDEX(Rekorde!$P$4:$P$23,MATCH(Übungen!$A$6,Rekorde!$A$4:$A$23,0)),"")="","",MIN(Übungen!$E$6,IFERROR(INDEX(Rekorde!$P$4:$P$23,MATCH(Übungen!$A$6,Rekorde!$A$4:$A$23,0)),"")+1)))</f>
        <v>6</v>
      </c>
      <c r="E400" s="113"/>
      <c r="F400" s="113"/>
      <c r="G400" s="113"/>
      <c r="H400" s="113"/>
      <c r="I400" s="113"/>
    </row>
    <row r="401" customFormat="false" ht="18" hidden="false" customHeight="true" outlineLevel="0" collapsed="false">
      <c r="A401" s="72" t="n">
        <v>5</v>
      </c>
      <c r="B401" s="114" t="s">
        <v>553</v>
      </c>
      <c r="C401" s="111" t="n">
        <f aca="false">IF(OR(FALSE(),Übungen!$L$6="pause"),"",IF(IFERROR(INDEX(Rekorde!$O$4:$O$23,MATCH(Übungen!$A$6,Rekorde!$A$4:$A$23,0)),"")="","",ROUND(IFERROR(INDEX(Rekorde!$O$4:$O$23,MATCH(Übungen!$A$6,Rekorde!$A$4:$A$23,0)),"")*0.9*2,0)/2))</f>
        <v>85.5</v>
      </c>
      <c r="D401" s="116" t="n">
        <f aca="false">IF(OR(FALSE(),Übungen!$L$6="pause"),"",IF(IFERROR(INDEX(Rekorde!$P$4:$P$23,MATCH(Übungen!$A$6,Rekorde!$A$4:$A$23,0)),"")="","",MIN(Übungen!$E$6,IFERROR(INDEX(Rekorde!$P$4:$P$23,MATCH(Übungen!$A$6,Rekorde!$A$4:$A$23,0)),"")+2)))</f>
        <v>6</v>
      </c>
      <c r="E401" s="113"/>
      <c r="F401" s="113"/>
      <c r="G401" s="113"/>
      <c r="H401" s="113"/>
      <c r="I401" s="113"/>
    </row>
    <row r="403" customFormat="false" ht="18.75" hidden="false" customHeight="true" outlineLevel="0" collapsed="false">
      <c r="A403" s="107" t="str">
        <f aca="false">Übungen!$A$7</f>
        <v>Adduktion</v>
      </c>
      <c r="B403" s="107"/>
      <c r="C403" s="107"/>
      <c r="D403" s="107"/>
      <c r="E403" s="107"/>
      <c r="F403" s="107"/>
      <c r="G403" s="107"/>
      <c r="H403" s="107"/>
      <c r="I403" s="107"/>
    </row>
    <row r="404" customFormat="false" ht="13.5" hidden="false" customHeight="true" outlineLevel="0" collapsed="false">
      <c r="A404" s="108" t="str">
        <f aca="false">IF(OR(FALSE(),Übungen!$L$7="pause"),IF(Übungen!$L$7="pause","PAUSE - vorübergehend ausgesetzt, Grund im Blatt 'Übungen'     ·     ",""),IF(IFERROR(INDEX(Rekorde!$L$4:$L$23,MATCH(Übungen!$A$7,Rekorde!$A$4:$A$23,0)),"")="",IF(IFERROR(INDEX(Rekorde!$O$4:$O$23,MATCH(Übungen!$A$7,Rekorde!$A$4:$A$23,0)),"")="","Neu im Plan - Startgewicht im Blatt 'Übungen' eintragen     ·     ","Neu im Plan     ·     Start: "&amp;TEXT(IFERROR(INDEX(Rekorde!$O$4:$O$23,MATCH(Übungen!$A$7,Rekorde!$A$4:$A$23,0)),""),"0.#")&amp;" kg     ·     "),"Zuletzt: "&amp;TEXT(IFERROR(INDEX(Rekorde!$L$4:$L$23,MATCH(Übungen!$A$7,Rekorde!$A$4:$A$23,0)),""),"0.#")&amp;" kg × "&amp;IF(IFERROR(INDEX(Rekorde!$M$4:$M$23,MATCH(Übungen!$A$7,Rekorde!$A$4:$A$23,0)),"")="","?",TEXT(IFERROR(INDEX(Rekorde!$M$4:$M$23,MATCH(Übungen!$A$7,Rekorde!$A$4:$A$23,0)),""),"0"))&amp;" Wdh     ·     Bestwert: "&amp;TEXT(IFERROR(INDEX(Rekorde!$F$4:$F$23,MATCH(Übungen!$A$7,Rekorde!$A$4:$A$23,0)),""),"0.#")&amp;" kg     ·     "&amp;IF(IFERROR(INDEX(Rekorde!$O$4:$O$23,MATCH(Übungen!$A$7,Rekorde!$A$4:$A$23,0)),"")="","","Ziel heute: "&amp;TEXT(IFERROR(INDEX(Rekorde!$O$4:$O$23,MATCH(Übungen!$A$7,Rekorde!$A$4:$A$23,0)),""),"0.#")&amp;" kg × "&amp;IF(IFERROR(INDEX(Rekorde!$P$4:$P$23,MATCH(Übungen!$A$7,Rekorde!$A$4:$A$23,0)),"")="","",TEXT(IFERROR(INDEX(Rekorde!$P$4:$P$23,MATCH(Übungen!$A$7,Rekorde!$A$4:$A$23,0)),""),"0")&amp;" Wdh")&amp;"     ·     ")&amp;IF(AND(Übungen!$I$7&lt;&gt;"",IFERROR(INDEX(Rekorde!$O$4:$O$23,MATCH(Übungen!$A$7,Rekorde!$A$4:$A$23,0)),"")&lt;&gt;"",IFERROR(INDEX(Rekorde!$O$4:$O$23,MATCH(Übungen!$A$7,Rekorde!$A$4:$A$23,0)),"")&gt;=Übungen!$I$7),"Stackende, über Tempo und Pausen steigern     ·     ","")))</f>
        <v>Zuletzt: 165 kg × 6 Wdh     ·     Bestwert: 185 kg     ·     Ziel heute: 167.5 kg × 5 Wdh     ·     </v>
      </c>
      <c r="B404" s="108"/>
      <c r="C404" s="108"/>
      <c r="D404" s="108"/>
      <c r="E404" s="108"/>
      <c r="F404" s="108"/>
      <c r="G404" s="108"/>
      <c r="H404" s="108"/>
      <c r="I404" s="108"/>
    </row>
    <row r="405" customFormat="false" ht="13.5" hidden="false" customHeight="true" outlineLevel="0" collapsed="false">
      <c r="A405" s="109" t="str">
        <f aca="false">"Vorgabe: "&amp;Übungen!$F$7&amp;" × "&amp;Übungen!$D$7&amp;"-"&amp;Übungen!$E$7&amp;" Wdh @ RPE "&amp;Übungen!$G$7&amp;IF(OR(Übungen!$M$7="",Übungen!$M$7&lt;=1),"","     ·     nach OP gesperrt bis Woche "&amp;Übungen!$M$7)&amp;IF(OR(FALSE(),Übungen!$L$7="pause"),"",IF(AND(Übungen!$K$7&lt;&gt;"",Übungen!$K$7&lt;&gt;100),"     ·     Wiedereinstieg: "&amp;TEXT(Übungen!$K$7,"0")&amp;" % des berechneten Ziels",IF(IFERROR(INDEX(Rekorde!$Q$4:$Q$23,MATCH(Übungen!$A$7,Rekorde!$A$4:$A$23,0)),"")="","","     ·     Schritt: "&amp;IFERROR(INDEX(Rekorde!$Q$4:$Q$23,MATCH(Übungen!$A$7,Rekorde!$A$4:$A$23,0)),""))))</f>
        <v>Vorgabe: 3 × 5-6 Wdh @ RPE 9     ·     nach OP gesperrt bis Woche 2     ·     Schritt: Gewicht +2.5 kg (1.5%), Wdh zurück auf 5</v>
      </c>
      <c r="B405" s="109"/>
      <c r="C405" s="109"/>
      <c r="D405" s="109"/>
      <c r="E405" s="109"/>
      <c r="F405" s="109"/>
      <c r="G405" s="109"/>
      <c r="H405" s="109"/>
      <c r="I405" s="109"/>
    </row>
    <row r="406" customFormat="false" ht="18" hidden="false" customHeight="true" outlineLevel="0" collapsed="false">
      <c r="A406" s="110" t="s">
        <v>543</v>
      </c>
      <c r="B406" s="110" t="s">
        <v>544</v>
      </c>
      <c r="C406" s="110" t="s">
        <v>545</v>
      </c>
      <c r="D406" s="110" t="s">
        <v>546</v>
      </c>
      <c r="E406" s="110" t="s">
        <v>547</v>
      </c>
      <c r="F406" s="110" t="s">
        <v>454</v>
      </c>
      <c r="G406" s="110" t="s">
        <v>50</v>
      </c>
      <c r="H406" s="110" t="s">
        <v>548</v>
      </c>
      <c r="I406" s="110" t="s">
        <v>256</v>
      </c>
    </row>
    <row r="407" customFormat="false" ht="18" hidden="false" customHeight="true" outlineLevel="0" collapsed="false">
      <c r="A407" s="72" t="n">
        <v>1</v>
      </c>
      <c r="B407" s="70" t="s">
        <v>549</v>
      </c>
      <c r="C407" s="111" t="n">
        <f aca="false">IF(OR(FALSE(),Übungen!$L$7="pause"),"",IF(IFERROR(INDEX(Rekorde!$O$4:$O$23,MATCH(Übungen!$A$7,Rekorde!$A$4:$A$23,0)),"")="","",ROUND(IFERROR(INDEX(Rekorde!$O$4:$O$23,MATCH(Übungen!$A$7,Rekorde!$A$4:$A$23,0)),"")*0.4*2,0)/2))</f>
        <v>67</v>
      </c>
      <c r="D407" s="112"/>
      <c r="E407" s="113"/>
      <c r="F407" s="113"/>
      <c r="G407" s="113"/>
      <c r="H407" s="113"/>
      <c r="I407" s="113"/>
    </row>
    <row r="408" customFormat="false" ht="18" hidden="false" customHeight="true" outlineLevel="0" collapsed="false">
      <c r="A408" s="72" t="n">
        <v>2</v>
      </c>
      <c r="B408" s="70" t="s">
        <v>550</v>
      </c>
      <c r="C408" s="111" t="n">
        <f aca="false">IF(OR(FALSE(),Übungen!$L$7="pause"),"",IF(IFERROR(INDEX(Rekorde!$O$4:$O$23,MATCH(Übungen!$A$7,Rekorde!$A$4:$A$23,0)),"")="","",ROUND(IFERROR(INDEX(Rekorde!$O$4:$O$23,MATCH(Übungen!$A$7,Rekorde!$A$4:$A$23,0)),"")*0.7*2,0)/2))</f>
        <v>117</v>
      </c>
      <c r="D408" s="112"/>
      <c r="E408" s="113"/>
      <c r="F408" s="113"/>
      <c r="G408" s="113"/>
      <c r="H408" s="113"/>
      <c r="I408" s="113"/>
    </row>
    <row r="409" customFormat="false" ht="18" hidden="false" customHeight="true" outlineLevel="0" collapsed="false">
      <c r="A409" s="72" t="n">
        <v>3</v>
      </c>
      <c r="B409" s="114" t="s">
        <v>551</v>
      </c>
      <c r="C409" s="115" t="n">
        <f aca="false">IF(OR(FALSE(),Übungen!$L$7="pause"),"",IF(IFERROR(INDEX(Rekorde!$O$4:$O$23,MATCH(Übungen!$A$7,Rekorde!$A$4:$A$23,0)),"")="","",ROUND(IFERROR(INDEX(Rekorde!$O$4:$O$23,MATCH(Übungen!$A$7,Rekorde!$A$4:$A$23,0)),"")*1*2,0)/2))</f>
        <v>167.5</v>
      </c>
      <c r="D409" s="116" t="n">
        <f aca="false">IF(OR(FALSE(),Übungen!$L$7="pause"),"",IF(IFERROR(INDEX(Rekorde!$P$4:$P$23,MATCH(Übungen!$A$7,Rekorde!$A$4:$A$23,0)),"")="","",MIN(Übungen!$E$7,IFERROR(INDEX(Rekorde!$P$4:$P$23,MATCH(Übungen!$A$7,Rekorde!$A$4:$A$23,0)),"")+0)))</f>
        <v>5</v>
      </c>
      <c r="E409" s="113"/>
      <c r="F409" s="113"/>
      <c r="G409" s="113"/>
      <c r="H409" s="113"/>
      <c r="I409" s="113"/>
    </row>
    <row r="410" customFormat="false" ht="18" hidden="false" customHeight="true" outlineLevel="0" collapsed="false">
      <c r="A410" s="72" t="n">
        <v>4</v>
      </c>
      <c r="B410" s="114" t="s">
        <v>552</v>
      </c>
      <c r="C410" s="111" t="n">
        <f aca="false">IF(OR(FALSE(),Übungen!$L$7="pause"),"",IF(IFERROR(INDEX(Rekorde!$O$4:$O$23,MATCH(Übungen!$A$7,Rekorde!$A$4:$A$23,0)),"")="","",ROUND(IFERROR(INDEX(Rekorde!$O$4:$O$23,MATCH(Übungen!$A$7,Rekorde!$A$4:$A$23,0)),"")*0.95*2,0)/2))</f>
        <v>159</v>
      </c>
      <c r="D410" s="116" t="n">
        <f aca="false">IF(OR(FALSE(),Übungen!$L$7="pause"),"",IF(IFERROR(INDEX(Rekorde!$P$4:$P$23,MATCH(Übungen!$A$7,Rekorde!$A$4:$A$23,0)),"")="","",MIN(Übungen!$E$7,IFERROR(INDEX(Rekorde!$P$4:$P$23,MATCH(Übungen!$A$7,Rekorde!$A$4:$A$23,0)),"")+1)))</f>
        <v>6</v>
      </c>
      <c r="E410" s="113"/>
      <c r="F410" s="113"/>
      <c r="G410" s="113"/>
      <c r="H410" s="113"/>
      <c r="I410" s="113"/>
    </row>
    <row r="411" customFormat="false" ht="18" hidden="false" customHeight="true" outlineLevel="0" collapsed="false">
      <c r="A411" s="72" t="n">
        <v>5</v>
      </c>
      <c r="B411" s="114" t="s">
        <v>553</v>
      </c>
      <c r="C411" s="111" t="n">
        <f aca="false">IF(OR(FALSE(),Übungen!$L$7="pause"),"",IF(IFERROR(INDEX(Rekorde!$O$4:$O$23,MATCH(Übungen!$A$7,Rekorde!$A$4:$A$23,0)),"")="","",ROUND(IFERROR(INDEX(Rekorde!$O$4:$O$23,MATCH(Übungen!$A$7,Rekorde!$A$4:$A$23,0)),"")*0.9*2,0)/2))</f>
        <v>151</v>
      </c>
      <c r="D411" s="116" t="n">
        <f aca="false">IF(OR(FALSE(),Übungen!$L$7="pause"),"",IF(IFERROR(INDEX(Rekorde!$P$4:$P$23,MATCH(Übungen!$A$7,Rekorde!$A$4:$A$23,0)),"")="","",MIN(Übungen!$E$7,IFERROR(INDEX(Rekorde!$P$4:$P$23,MATCH(Übungen!$A$7,Rekorde!$A$4:$A$23,0)),"")+2)))</f>
        <v>6</v>
      </c>
      <c r="E411" s="113"/>
      <c r="F411" s="113"/>
      <c r="G411" s="113"/>
      <c r="H411" s="113"/>
      <c r="I411" s="113"/>
    </row>
    <row r="413" customFormat="false" ht="15.75" hidden="false" customHeight="true" outlineLevel="0" collapsed="false">
      <c r="A413" s="3" t="s">
        <v>554</v>
      </c>
      <c r="B413" s="3"/>
      <c r="C413" s="3"/>
      <c r="D413" s="3"/>
      <c r="E413" s="3"/>
      <c r="F413" s="3"/>
      <c r="G413" s="3"/>
      <c r="H413" s="3"/>
      <c r="I413" s="3"/>
    </row>
    <row r="414" customFormat="false" ht="18" hidden="false" customHeight="true" outlineLevel="0" collapsed="false">
      <c r="A414" s="117"/>
      <c r="B414" s="117"/>
      <c r="C414" s="117"/>
      <c r="D414" s="117"/>
      <c r="E414" s="117"/>
      <c r="F414" s="117"/>
      <c r="G414" s="117"/>
      <c r="H414" s="117"/>
      <c r="I414" s="117"/>
    </row>
    <row r="415" customFormat="false" ht="18" hidden="false" customHeight="true" outlineLevel="0" collapsed="false">
      <c r="A415" s="117"/>
      <c r="B415" s="117"/>
      <c r="C415" s="117"/>
      <c r="D415" s="117"/>
      <c r="E415" s="117"/>
      <c r="F415" s="117"/>
      <c r="G415" s="117"/>
      <c r="H415" s="117"/>
      <c r="I415" s="117"/>
    </row>
    <row r="417" customFormat="false" ht="27.75" hidden="false" customHeight="true" outlineLevel="0" collapsed="false">
      <c r="A417" s="1" t="s">
        <v>561</v>
      </c>
      <c r="B417" s="1"/>
      <c r="C417" s="1"/>
      <c r="D417" s="1"/>
      <c r="E417" s="1"/>
      <c r="F417" s="1"/>
      <c r="G417" s="1"/>
      <c r="H417" s="1"/>
      <c r="I417" s="1"/>
    </row>
    <row r="418" customFormat="false" ht="12" hidden="false" customHeight="true" outlineLevel="0" collapsed="false">
      <c r="A418" s="104" t="s">
        <v>75</v>
      </c>
      <c r="B418" s="104"/>
      <c r="C418" s="105" t="s">
        <v>539</v>
      </c>
      <c r="D418" s="105" t="s">
        <v>540</v>
      </c>
      <c r="E418" s="104" t="s">
        <v>541</v>
      </c>
      <c r="F418" s="104"/>
      <c r="G418" s="104" t="s">
        <v>542</v>
      </c>
      <c r="H418" s="104"/>
    </row>
    <row r="419" customFormat="false" ht="18" hidden="false" customHeight="true" outlineLevel="0" collapsed="false">
      <c r="A419" s="106"/>
      <c r="B419" s="106"/>
      <c r="C419" s="106"/>
      <c r="D419" s="106"/>
      <c r="E419" s="106"/>
      <c r="F419" s="106"/>
      <c r="G419" s="106"/>
      <c r="H419" s="106"/>
    </row>
    <row r="421" customFormat="false" ht="18.75" hidden="false" customHeight="true" outlineLevel="0" collapsed="false">
      <c r="A421" s="107" t="str">
        <f aca="false">Übungen!$A$8</f>
        <v>Reverse V-Squat</v>
      </c>
      <c r="B421" s="107"/>
      <c r="C421" s="107"/>
      <c r="D421" s="107"/>
      <c r="E421" s="107"/>
      <c r="F421" s="107"/>
      <c r="G421" s="107"/>
      <c r="H421" s="107"/>
      <c r="I421" s="107"/>
    </row>
    <row r="422" customFormat="false" ht="13.5" hidden="false" customHeight="true" outlineLevel="0" collapsed="false">
      <c r="A422" s="108" t="str">
        <f aca="false">IF(OR(FALSE(),Übungen!$L$8="pause"),IF(Übungen!$L$8="pause","PAUSE - vorübergehend ausgesetzt, Grund im Blatt 'Übungen'     ·     ",""),IF(IFERROR(INDEX(Rekorde!$L$4:$L$23,MATCH(Übungen!$A$8,Rekorde!$A$4:$A$23,0)),"")="",IF(IFERROR(INDEX(Rekorde!$O$4:$O$23,MATCH(Übungen!$A$8,Rekorde!$A$4:$A$23,0)),"")="","Neu im Plan - Startgewicht im Blatt 'Übungen' eintragen     ·     ","Neu im Plan     ·     Start: "&amp;TEXT(IFERROR(INDEX(Rekorde!$O$4:$O$23,MATCH(Übungen!$A$8,Rekorde!$A$4:$A$23,0)),""),"0.#")&amp;" kg     ·     "),"Zuletzt: "&amp;TEXT(IFERROR(INDEX(Rekorde!$L$4:$L$23,MATCH(Übungen!$A$8,Rekorde!$A$4:$A$23,0)),""),"0.#")&amp;" kg × "&amp;IF(IFERROR(INDEX(Rekorde!$M$4:$M$23,MATCH(Übungen!$A$8,Rekorde!$A$4:$A$23,0)),"")="","?",TEXT(IFERROR(INDEX(Rekorde!$M$4:$M$23,MATCH(Übungen!$A$8,Rekorde!$A$4:$A$23,0)),""),"0"))&amp;" Wdh     ·     Bestwert: "&amp;TEXT(IFERROR(INDEX(Rekorde!$F$4:$F$23,MATCH(Übungen!$A$8,Rekorde!$A$4:$A$23,0)),""),"0.#")&amp;" kg     ·     "&amp;IF(IFERROR(INDEX(Rekorde!$O$4:$O$23,MATCH(Übungen!$A$8,Rekorde!$A$4:$A$23,0)),"")="","","Ziel heute: "&amp;TEXT(IFERROR(INDEX(Rekorde!$O$4:$O$23,MATCH(Übungen!$A$8,Rekorde!$A$4:$A$23,0)),""),"0.#")&amp;" kg × "&amp;IF(IFERROR(INDEX(Rekorde!$P$4:$P$23,MATCH(Übungen!$A$8,Rekorde!$A$4:$A$23,0)),"")="","",TEXT(IFERROR(INDEX(Rekorde!$P$4:$P$23,MATCH(Übungen!$A$8,Rekorde!$A$4:$A$23,0)),""),"0")&amp;" Wdh")&amp;"     ·     ")&amp;IF(AND(Übungen!$I$8&lt;&gt;"",IFERROR(INDEX(Rekorde!$O$4:$O$23,MATCH(Übungen!$A$8,Rekorde!$A$4:$A$23,0)),"")&lt;&gt;"",IFERROR(INDEX(Rekorde!$O$4:$O$23,MATCH(Übungen!$A$8,Rekorde!$A$4:$A$23,0)),"")&gt;=Übungen!$I$8),"Stackende, über Tempo und Pausen steigern     ·     ","")))</f>
        <v>Zuletzt: 215 kg × 5 Wdh     ·     Bestwert: 215 kg     ·     Ziel heute: 215 kg × 6 Wdh     ·     </v>
      </c>
      <c r="B422" s="108"/>
      <c r="C422" s="108"/>
      <c r="D422" s="108"/>
      <c r="E422" s="108"/>
      <c r="F422" s="108"/>
      <c r="G422" s="108"/>
      <c r="H422" s="108"/>
      <c r="I422" s="108"/>
    </row>
    <row r="423" customFormat="false" ht="13.5" hidden="false" customHeight="true" outlineLevel="0" collapsed="false">
      <c r="A423" s="109" t="str">
        <f aca="false">"Vorgabe: "&amp;Übungen!$F$8&amp;" × "&amp;Übungen!$D$8&amp;"-"&amp;Übungen!$E$8&amp;" Wdh @ RPE "&amp;Übungen!$G$8&amp;IF(OR(Übungen!$M$8="",Übungen!$M$8&lt;=1),"","     ·     nach OP gesperrt bis Woche "&amp;Übungen!$M$8)&amp;IF(OR(FALSE(),Übungen!$L$8="pause"),"",IF(AND(Übungen!$K$8&lt;&gt;"",Übungen!$K$8&lt;&gt;100),"     ·     Wiedereinstieg: "&amp;TEXT(Übungen!$K$8,"0")&amp;" % des berechneten Ziels",IF(IFERROR(INDEX(Rekorde!$Q$4:$Q$23,MATCH(Übungen!$A$8,Rekorde!$A$4:$A$23,0)),"")="","","     ·     Schritt: "&amp;IFERROR(INDEX(Rekorde!$Q$4:$Q$23,MATCH(Übungen!$A$8,Rekorde!$A$4:$A$23,0)),""))))</f>
        <v>Vorgabe: 3 × 5-6 Wdh @ RPE 8-9     ·     nach OP gesperrt bis Woche 12     ·     Schritt: Wdh +1 auf 6 bei gleichem Gewicht</v>
      </c>
      <c r="B423" s="109"/>
      <c r="C423" s="109"/>
      <c r="D423" s="109"/>
      <c r="E423" s="109"/>
      <c r="F423" s="109"/>
      <c r="G423" s="109"/>
      <c r="H423" s="109"/>
      <c r="I423" s="109"/>
    </row>
    <row r="424" customFormat="false" ht="18" hidden="false" customHeight="true" outlineLevel="0" collapsed="false">
      <c r="A424" s="110" t="s">
        <v>543</v>
      </c>
      <c r="B424" s="110" t="s">
        <v>544</v>
      </c>
      <c r="C424" s="110" t="s">
        <v>545</v>
      </c>
      <c r="D424" s="110" t="s">
        <v>546</v>
      </c>
      <c r="E424" s="110" t="s">
        <v>547</v>
      </c>
      <c r="F424" s="110" t="s">
        <v>454</v>
      </c>
      <c r="G424" s="110" t="s">
        <v>50</v>
      </c>
      <c r="H424" s="110" t="s">
        <v>548</v>
      </c>
      <c r="I424" s="110" t="s">
        <v>256</v>
      </c>
    </row>
    <row r="425" customFormat="false" ht="18" hidden="false" customHeight="true" outlineLevel="0" collapsed="false">
      <c r="A425" s="72" t="n">
        <v>1</v>
      </c>
      <c r="B425" s="70" t="s">
        <v>549</v>
      </c>
      <c r="C425" s="111" t="n">
        <f aca="false">IF(OR(FALSE(),Übungen!$L$8="pause"),"",IF(IFERROR(INDEX(Rekorde!$O$4:$O$23,MATCH(Übungen!$A$8,Rekorde!$A$4:$A$23,0)),"")="","",ROUND(IFERROR(INDEX(Rekorde!$O$4:$O$23,MATCH(Übungen!$A$8,Rekorde!$A$4:$A$23,0)),"")*0.4*2,0)/2))</f>
        <v>86</v>
      </c>
      <c r="D425" s="112"/>
      <c r="E425" s="113"/>
      <c r="F425" s="113"/>
      <c r="G425" s="113"/>
      <c r="H425" s="113"/>
      <c r="I425" s="113"/>
    </row>
    <row r="426" customFormat="false" ht="18" hidden="false" customHeight="true" outlineLevel="0" collapsed="false">
      <c r="A426" s="72" t="n">
        <v>2</v>
      </c>
      <c r="B426" s="70" t="s">
        <v>550</v>
      </c>
      <c r="C426" s="111" t="n">
        <f aca="false">IF(OR(FALSE(),Übungen!$L$8="pause"),"",IF(IFERROR(INDEX(Rekorde!$O$4:$O$23,MATCH(Übungen!$A$8,Rekorde!$A$4:$A$23,0)),"")="","",ROUND(IFERROR(INDEX(Rekorde!$O$4:$O$23,MATCH(Übungen!$A$8,Rekorde!$A$4:$A$23,0)),"")*0.7*2,0)/2))</f>
        <v>150.5</v>
      </c>
      <c r="D426" s="112"/>
      <c r="E426" s="113"/>
      <c r="F426" s="113"/>
      <c r="G426" s="113"/>
      <c r="H426" s="113"/>
      <c r="I426" s="113"/>
    </row>
    <row r="427" customFormat="false" ht="18" hidden="false" customHeight="true" outlineLevel="0" collapsed="false">
      <c r="A427" s="72" t="n">
        <v>3</v>
      </c>
      <c r="B427" s="114" t="s">
        <v>551</v>
      </c>
      <c r="C427" s="115" t="n">
        <f aca="false">IF(OR(FALSE(),Übungen!$L$8="pause"),"",IF(IFERROR(INDEX(Rekorde!$O$4:$O$23,MATCH(Übungen!$A$8,Rekorde!$A$4:$A$23,0)),"")="","",ROUND(IFERROR(INDEX(Rekorde!$O$4:$O$23,MATCH(Übungen!$A$8,Rekorde!$A$4:$A$23,0)),"")*1*2,0)/2))</f>
        <v>215</v>
      </c>
      <c r="D427" s="116" t="n">
        <f aca="false">IF(OR(FALSE(),Übungen!$L$8="pause"),"",IF(IFERROR(INDEX(Rekorde!$P$4:$P$23,MATCH(Übungen!$A$8,Rekorde!$A$4:$A$23,0)),"")="","",MIN(Übungen!$E$8,IFERROR(INDEX(Rekorde!$P$4:$P$23,MATCH(Übungen!$A$8,Rekorde!$A$4:$A$23,0)),"")+0)))</f>
        <v>6</v>
      </c>
      <c r="E427" s="113"/>
      <c r="F427" s="113"/>
      <c r="G427" s="113"/>
      <c r="H427" s="113"/>
      <c r="I427" s="113"/>
    </row>
    <row r="428" customFormat="false" ht="18" hidden="false" customHeight="true" outlineLevel="0" collapsed="false">
      <c r="A428" s="72" t="n">
        <v>4</v>
      </c>
      <c r="B428" s="114" t="s">
        <v>552</v>
      </c>
      <c r="C428" s="111" t="n">
        <f aca="false">IF(OR(FALSE(),Übungen!$L$8="pause"),"",IF(IFERROR(INDEX(Rekorde!$O$4:$O$23,MATCH(Übungen!$A$8,Rekorde!$A$4:$A$23,0)),"")="","",ROUND(IFERROR(INDEX(Rekorde!$O$4:$O$23,MATCH(Übungen!$A$8,Rekorde!$A$4:$A$23,0)),"")*0.95*2,0)/2))</f>
        <v>204.5</v>
      </c>
      <c r="D428" s="116" t="n">
        <f aca="false">IF(OR(FALSE(),Übungen!$L$8="pause"),"",IF(IFERROR(INDEX(Rekorde!$P$4:$P$23,MATCH(Übungen!$A$8,Rekorde!$A$4:$A$23,0)),"")="","",MIN(Übungen!$E$8,IFERROR(INDEX(Rekorde!$P$4:$P$23,MATCH(Übungen!$A$8,Rekorde!$A$4:$A$23,0)),"")+1)))</f>
        <v>6</v>
      </c>
      <c r="E428" s="113"/>
      <c r="F428" s="113"/>
      <c r="G428" s="113"/>
      <c r="H428" s="113"/>
      <c r="I428" s="113"/>
    </row>
    <row r="429" customFormat="false" ht="18" hidden="false" customHeight="true" outlineLevel="0" collapsed="false">
      <c r="A429" s="72" t="n">
        <v>5</v>
      </c>
      <c r="B429" s="114" t="s">
        <v>553</v>
      </c>
      <c r="C429" s="111" t="n">
        <f aca="false">IF(OR(FALSE(),Übungen!$L$8="pause"),"",IF(IFERROR(INDEX(Rekorde!$O$4:$O$23,MATCH(Übungen!$A$8,Rekorde!$A$4:$A$23,0)),"")="","",ROUND(IFERROR(INDEX(Rekorde!$O$4:$O$23,MATCH(Übungen!$A$8,Rekorde!$A$4:$A$23,0)),"")*0.9*2,0)/2))</f>
        <v>193.5</v>
      </c>
      <c r="D429" s="116" t="n">
        <f aca="false">IF(OR(FALSE(),Übungen!$L$8="pause"),"",IF(IFERROR(INDEX(Rekorde!$P$4:$P$23,MATCH(Übungen!$A$8,Rekorde!$A$4:$A$23,0)),"")="","",MIN(Übungen!$E$8,IFERROR(INDEX(Rekorde!$P$4:$P$23,MATCH(Übungen!$A$8,Rekorde!$A$4:$A$23,0)),"")+2)))</f>
        <v>6</v>
      </c>
      <c r="E429" s="113"/>
      <c r="F429" s="113"/>
      <c r="G429" s="113"/>
      <c r="H429" s="113"/>
      <c r="I429" s="113"/>
    </row>
    <row r="431" customFormat="false" ht="18.75" hidden="false" customHeight="true" outlineLevel="0" collapsed="false">
      <c r="A431" s="107" t="str">
        <f aca="false">Übungen!$A$9</f>
        <v>Rumänisches Kreuzheben</v>
      </c>
      <c r="B431" s="107"/>
      <c r="C431" s="107"/>
      <c r="D431" s="107"/>
      <c r="E431" s="107"/>
      <c r="F431" s="107"/>
      <c r="G431" s="107"/>
      <c r="H431" s="107"/>
      <c r="I431" s="107"/>
    </row>
    <row r="432" customFormat="false" ht="13.5" hidden="false" customHeight="true" outlineLevel="0" collapsed="false">
      <c r="A432" s="108" t="str">
        <f aca="false">IF(OR(FALSE(),Übungen!$L$9="pause"),IF(Übungen!$L$9="pause","PAUSE - vorübergehend ausgesetzt, Grund im Blatt 'Übungen'     ·     ",""),IF(IFERROR(INDEX(Rekorde!$L$4:$L$23,MATCH(Übungen!$A$9,Rekorde!$A$4:$A$23,0)),"")="",IF(IFERROR(INDEX(Rekorde!$O$4:$O$23,MATCH(Übungen!$A$9,Rekorde!$A$4:$A$23,0)),"")="","Neu im Plan - Startgewicht im Blatt 'Übungen' eintragen     ·     ","Neu im Plan     ·     Start: "&amp;TEXT(IFERROR(INDEX(Rekorde!$O$4:$O$23,MATCH(Übungen!$A$9,Rekorde!$A$4:$A$23,0)),""),"0.#")&amp;" kg     ·     "),"Zuletzt: "&amp;TEXT(IFERROR(INDEX(Rekorde!$L$4:$L$23,MATCH(Übungen!$A$9,Rekorde!$A$4:$A$23,0)),""),"0.#")&amp;" kg × "&amp;IF(IFERROR(INDEX(Rekorde!$M$4:$M$23,MATCH(Übungen!$A$9,Rekorde!$A$4:$A$23,0)),"")="","?",TEXT(IFERROR(INDEX(Rekorde!$M$4:$M$23,MATCH(Übungen!$A$9,Rekorde!$A$4:$A$23,0)),""),"0"))&amp;" Wdh     ·     Bestwert: "&amp;TEXT(IFERROR(INDEX(Rekorde!$F$4:$F$23,MATCH(Übungen!$A$9,Rekorde!$A$4:$A$23,0)),""),"0.#")&amp;" kg     ·     "&amp;IF(IFERROR(INDEX(Rekorde!$O$4:$O$23,MATCH(Übungen!$A$9,Rekorde!$A$4:$A$23,0)),"")="","","Ziel heute: "&amp;TEXT(IFERROR(INDEX(Rekorde!$O$4:$O$23,MATCH(Übungen!$A$9,Rekorde!$A$4:$A$23,0)),""),"0.#")&amp;" kg × "&amp;IF(IFERROR(INDEX(Rekorde!$P$4:$P$23,MATCH(Übungen!$A$9,Rekorde!$A$4:$A$23,0)),"")="","",TEXT(IFERROR(INDEX(Rekorde!$P$4:$P$23,MATCH(Übungen!$A$9,Rekorde!$A$4:$A$23,0)),""),"0")&amp;" Wdh")&amp;"     ·     ")&amp;IF(AND(Übungen!$I$9&lt;&gt;"",IFERROR(INDEX(Rekorde!$O$4:$O$23,MATCH(Übungen!$A$9,Rekorde!$A$4:$A$23,0)),"")&lt;&gt;"",IFERROR(INDEX(Rekorde!$O$4:$O$23,MATCH(Übungen!$A$9,Rekorde!$A$4:$A$23,0)),"")&gt;=Übungen!$I$9),"Stackende, über Tempo und Pausen steigern     ·     ","")))</f>
        <v>PAUSE - vorübergehend ausgesetzt, Grund im Blatt 'Übungen'     ·     </v>
      </c>
      <c r="B432" s="108"/>
      <c r="C432" s="108"/>
      <c r="D432" s="108"/>
      <c r="E432" s="108"/>
      <c r="F432" s="108"/>
      <c r="G432" s="108"/>
      <c r="H432" s="108"/>
      <c r="I432" s="108"/>
    </row>
    <row r="433" customFormat="false" ht="13.5" hidden="false" customHeight="true" outlineLevel="0" collapsed="false">
      <c r="A433" s="109" t="str">
        <f aca="false">"Vorgabe: "&amp;Übungen!$F$9&amp;" × "&amp;Übungen!$D$9&amp;"-"&amp;Übungen!$E$9&amp;" Wdh @ RPE "&amp;Übungen!$G$9&amp;IF(OR(Übungen!$M$9="",Übungen!$M$9&lt;=1),"","     ·     nach OP gesperrt bis Woche "&amp;Übungen!$M$9)&amp;IF(OR(FALSE(),Übungen!$L$9="pause"),"",IF(AND(Übungen!$K$9&lt;&gt;"",Übungen!$K$9&lt;&gt;100),"     ·     Wiedereinstieg: "&amp;TEXT(Übungen!$K$9,"0")&amp;" % des berechneten Ziels",IF(IFERROR(INDEX(Rekorde!$Q$4:$Q$23,MATCH(Übungen!$A$9,Rekorde!$A$4:$A$23,0)),"")="","","     ·     Schritt: "&amp;IFERROR(INDEX(Rekorde!$Q$4:$Q$23,MATCH(Übungen!$A$9,Rekorde!$A$4:$A$23,0)),""))))</f>
        <v>Vorgabe: 3 × 5-6 Wdh @ RPE 8     ·     nach OP gesperrt bis Woche 16</v>
      </c>
      <c r="B433" s="109"/>
      <c r="C433" s="109"/>
      <c r="D433" s="109"/>
      <c r="E433" s="109"/>
      <c r="F433" s="109"/>
      <c r="G433" s="109"/>
      <c r="H433" s="109"/>
      <c r="I433" s="109"/>
    </row>
    <row r="434" customFormat="false" ht="18" hidden="false" customHeight="true" outlineLevel="0" collapsed="false">
      <c r="A434" s="110" t="s">
        <v>543</v>
      </c>
      <c r="B434" s="110" t="s">
        <v>544</v>
      </c>
      <c r="C434" s="110" t="s">
        <v>545</v>
      </c>
      <c r="D434" s="110" t="s">
        <v>546</v>
      </c>
      <c r="E434" s="110" t="s">
        <v>547</v>
      </c>
      <c r="F434" s="110" t="s">
        <v>454</v>
      </c>
      <c r="G434" s="110" t="s">
        <v>50</v>
      </c>
      <c r="H434" s="110" t="s">
        <v>548</v>
      </c>
      <c r="I434" s="110" t="s">
        <v>256</v>
      </c>
    </row>
    <row r="435" customFormat="false" ht="18" hidden="false" customHeight="true" outlineLevel="0" collapsed="false">
      <c r="A435" s="72" t="n">
        <v>1</v>
      </c>
      <c r="B435" s="70" t="s">
        <v>549</v>
      </c>
      <c r="C435" s="111" t="str">
        <f aca="false">IF(OR(FALSE(),Übungen!$L$9="pause"),"",IF(IFERROR(INDEX(Rekorde!$O$4:$O$23,MATCH(Übungen!$A$9,Rekorde!$A$4:$A$23,0)),"")="","",ROUND(IFERROR(INDEX(Rekorde!$O$4:$O$23,MATCH(Übungen!$A$9,Rekorde!$A$4:$A$23,0)),"")*0.4*2,0)/2))</f>
        <v/>
      </c>
      <c r="D435" s="112"/>
      <c r="E435" s="113"/>
      <c r="F435" s="113"/>
      <c r="G435" s="113"/>
      <c r="H435" s="113"/>
      <c r="I435" s="113"/>
    </row>
    <row r="436" customFormat="false" ht="18" hidden="false" customHeight="true" outlineLevel="0" collapsed="false">
      <c r="A436" s="72" t="n">
        <v>2</v>
      </c>
      <c r="B436" s="70" t="s">
        <v>550</v>
      </c>
      <c r="C436" s="111" t="str">
        <f aca="false">IF(OR(FALSE(),Übungen!$L$9="pause"),"",IF(IFERROR(INDEX(Rekorde!$O$4:$O$23,MATCH(Übungen!$A$9,Rekorde!$A$4:$A$23,0)),"")="","",ROUND(IFERROR(INDEX(Rekorde!$O$4:$O$23,MATCH(Übungen!$A$9,Rekorde!$A$4:$A$23,0)),"")*0.7*2,0)/2))</f>
        <v/>
      </c>
      <c r="D436" s="112"/>
      <c r="E436" s="113"/>
      <c r="F436" s="113"/>
      <c r="G436" s="113"/>
      <c r="H436" s="113"/>
      <c r="I436" s="113"/>
    </row>
    <row r="437" customFormat="false" ht="18" hidden="false" customHeight="true" outlineLevel="0" collapsed="false">
      <c r="A437" s="72" t="n">
        <v>3</v>
      </c>
      <c r="B437" s="114" t="s">
        <v>551</v>
      </c>
      <c r="C437" s="115" t="str">
        <f aca="false">IF(OR(FALSE(),Übungen!$L$9="pause"),"",IF(IFERROR(INDEX(Rekorde!$O$4:$O$23,MATCH(Übungen!$A$9,Rekorde!$A$4:$A$23,0)),"")="","",ROUND(IFERROR(INDEX(Rekorde!$O$4:$O$23,MATCH(Übungen!$A$9,Rekorde!$A$4:$A$23,0)),"")*1*2,0)/2))</f>
        <v/>
      </c>
      <c r="D437" s="116" t="str">
        <f aca="false">IF(OR(FALSE(),Übungen!$L$9="pause"),"",IF(IFERROR(INDEX(Rekorde!$P$4:$P$23,MATCH(Übungen!$A$9,Rekorde!$A$4:$A$23,0)),"")="","",MIN(Übungen!$E$9,IFERROR(INDEX(Rekorde!$P$4:$P$23,MATCH(Übungen!$A$9,Rekorde!$A$4:$A$23,0)),"")+0)))</f>
        <v/>
      </c>
      <c r="E437" s="113"/>
      <c r="F437" s="113"/>
      <c r="G437" s="113"/>
      <c r="H437" s="113"/>
      <c r="I437" s="113"/>
    </row>
    <row r="438" customFormat="false" ht="18" hidden="false" customHeight="true" outlineLevel="0" collapsed="false">
      <c r="A438" s="72" t="n">
        <v>4</v>
      </c>
      <c r="B438" s="114" t="s">
        <v>552</v>
      </c>
      <c r="C438" s="111" t="str">
        <f aca="false">IF(OR(FALSE(),Übungen!$L$9="pause"),"",IF(IFERROR(INDEX(Rekorde!$O$4:$O$23,MATCH(Übungen!$A$9,Rekorde!$A$4:$A$23,0)),"")="","",ROUND(IFERROR(INDEX(Rekorde!$O$4:$O$23,MATCH(Übungen!$A$9,Rekorde!$A$4:$A$23,0)),"")*0.95*2,0)/2))</f>
        <v/>
      </c>
      <c r="D438" s="116" t="str">
        <f aca="false">IF(OR(FALSE(),Übungen!$L$9="pause"),"",IF(IFERROR(INDEX(Rekorde!$P$4:$P$23,MATCH(Übungen!$A$9,Rekorde!$A$4:$A$23,0)),"")="","",MIN(Übungen!$E$9,IFERROR(INDEX(Rekorde!$P$4:$P$23,MATCH(Übungen!$A$9,Rekorde!$A$4:$A$23,0)),"")+1)))</f>
        <v/>
      </c>
      <c r="E438" s="113"/>
      <c r="F438" s="113"/>
      <c r="G438" s="113"/>
      <c r="H438" s="113"/>
      <c r="I438" s="113"/>
    </row>
    <row r="439" customFormat="false" ht="18" hidden="false" customHeight="true" outlineLevel="0" collapsed="false">
      <c r="A439" s="72" t="n">
        <v>5</v>
      </c>
      <c r="B439" s="114" t="s">
        <v>553</v>
      </c>
      <c r="C439" s="111" t="str">
        <f aca="false">IF(OR(FALSE(),Übungen!$L$9="pause"),"",IF(IFERROR(INDEX(Rekorde!$O$4:$O$23,MATCH(Übungen!$A$9,Rekorde!$A$4:$A$23,0)),"")="","",ROUND(IFERROR(INDEX(Rekorde!$O$4:$O$23,MATCH(Übungen!$A$9,Rekorde!$A$4:$A$23,0)),"")*0.9*2,0)/2))</f>
        <v/>
      </c>
      <c r="D439" s="116" t="str">
        <f aca="false">IF(OR(FALSE(),Übungen!$L$9="pause"),"",IF(IFERROR(INDEX(Rekorde!$P$4:$P$23,MATCH(Übungen!$A$9,Rekorde!$A$4:$A$23,0)),"")="","",MIN(Übungen!$E$9,IFERROR(INDEX(Rekorde!$P$4:$P$23,MATCH(Übungen!$A$9,Rekorde!$A$4:$A$23,0)),"")+2)))</f>
        <v/>
      </c>
      <c r="E439" s="113"/>
      <c r="F439" s="113"/>
      <c r="G439" s="113"/>
      <c r="H439" s="113"/>
      <c r="I439" s="113"/>
    </row>
    <row r="441" customFormat="false" ht="18.75" hidden="false" customHeight="true" outlineLevel="0" collapsed="false">
      <c r="A441" s="107" t="str">
        <f aca="false">Übungen!$A$10</f>
        <v>Rumänisches Kreuzheben KH</v>
      </c>
      <c r="B441" s="107"/>
      <c r="C441" s="107"/>
      <c r="D441" s="107"/>
      <c r="E441" s="107"/>
      <c r="F441" s="107"/>
      <c r="G441" s="107"/>
      <c r="H441" s="107"/>
      <c r="I441" s="107"/>
    </row>
    <row r="442" customFormat="false" ht="13.5" hidden="false" customHeight="true" outlineLevel="0" collapsed="false">
      <c r="A442" s="108" t="str">
        <f aca="false">IF(OR(FALSE(),Übungen!$L$10="pause"),IF(Übungen!$L$10="pause","PAUSE - vorübergehend ausgesetzt, Grund im Blatt 'Übungen'     ·     ",""),IF(IFERROR(INDEX(Rekorde!$L$4:$L$23,MATCH(Übungen!$A$10,Rekorde!$A$4:$A$23,0)),"")="",IF(IFERROR(INDEX(Rekorde!$O$4:$O$23,MATCH(Übungen!$A$10,Rekorde!$A$4:$A$23,0)),"")="","Neu im Plan - Startgewicht im Blatt 'Übungen' eintragen     ·     ","Neu im Plan     ·     Start: "&amp;TEXT(IFERROR(INDEX(Rekorde!$O$4:$O$23,MATCH(Übungen!$A$10,Rekorde!$A$4:$A$23,0)),""),"0.#")&amp;" kg     ·     "),"Zuletzt: "&amp;TEXT(IFERROR(INDEX(Rekorde!$L$4:$L$23,MATCH(Übungen!$A$10,Rekorde!$A$4:$A$23,0)),""),"0.#")&amp;" kg × "&amp;IF(IFERROR(INDEX(Rekorde!$M$4:$M$23,MATCH(Übungen!$A$10,Rekorde!$A$4:$A$23,0)),"")="","?",TEXT(IFERROR(INDEX(Rekorde!$M$4:$M$23,MATCH(Übungen!$A$10,Rekorde!$A$4:$A$23,0)),""),"0"))&amp;" Wdh     ·     Bestwert: "&amp;TEXT(IFERROR(INDEX(Rekorde!$F$4:$F$23,MATCH(Übungen!$A$10,Rekorde!$A$4:$A$23,0)),""),"0.#")&amp;" kg     ·     "&amp;IF(IFERROR(INDEX(Rekorde!$O$4:$O$23,MATCH(Übungen!$A$10,Rekorde!$A$4:$A$23,0)),"")="","","Ziel heute: "&amp;TEXT(IFERROR(INDEX(Rekorde!$O$4:$O$23,MATCH(Übungen!$A$10,Rekorde!$A$4:$A$23,0)),""),"0.#")&amp;" kg × "&amp;IF(IFERROR(INDEX(Rekorde!$P$4:$P$23,MATCH(Übungen!$A$10,Rekorde!$A$4:$A$23,0)),"")="","",TEXT(IFERROR(INDEX(Rekorde!$P$4:$P$23,MATCH(Übungen!$A$10,Rekorde!$A$4:$A$23,0)),""),"0")&amp;" Wdh")&amp;"     ·     ")&amp;IF(AND(Übungen!$I$10&lt;&gt;"",IFERROR(INDEX(Rekorde!$O$4:$O$23,MATCH(Übungen!$A$10,Rekorde!$A$4:$A$23,0)),"")&lt;&gt;"",IFERROR(INDEX(Rekorde!$O$4:$O$23,MATCH(Übungen!$A$10,Rekorde!$A$4:$A$23,0)),"")&gt;=Übungen!$I$10),"Stackende, über Tempo und Pausen steigern     ·     ","")))</f>
        <v>Zuletzt: 34 kg × 5 Wdh     ·     Bestwert: 34 kg     ·     Ziel heute: 34 kg × 6 Wdh     ·     </v>
      </c>
      <c r="B442" s="108"/>
      <c r="C442" s="108"/>
      <c r="D442" s="108"/>
      <c r="E442" s="108"/>
      <c r="F442" s="108"/>
      <c r="G442" s="108"/>
      <c r="H442" s="108"/>
      <c r="I442" s="108"/>
    </row>
    <row r="443" customFormat="false" ht="13.5" hidden="false" customHeight="true" outlineLevel="0" collapsed="false">
      <c r="A443" s="109" t="str">
        <f aca="false">"Vorgabe: "&amp;Übungen!$F$10&amp;" × "&amp;Übungen!$D$10&amp;"-"&amp;Übungen!$E$10&amp;" Wdh @ RPE "&amp;Übungen!$G$10&amp;IF(OR(Übungen!$M$10="",Übungen!$M$10&lt;=1),"","     ·     nach OP gesperrt bis Woche "&amp;Übungen!$M$10)&amp;IF(OR(FALSE(),Übungen!$L$10="pause"),"",IF(AND(Übungen!$K$10&lt;&gt;"",Übungen!$K$10&lt;&gt;100),"     ·     Wiedereinstieg: "&amp;TEXT(Übungen!$K$10,"0")&amp;" % des berechneten Ziels",IF(IFERROR(INDEX(Rekorde!$Q$4:$Q$23,MATCH(Übungen!$A$10,Rekorde!$A$4:$A$23,0)),"")="","","     ·     Schritt: "&amp;IFERROR(INDEX(Rekorde!$Q$4:$Q$23,MATCH(Übungen!$A$10,Rekorde!$A$4:$A$23,0)),""))))</f>
        <v>Vorgabe: 3 × 5-6 Wdh @ RPE 8     ·     nach OP gesperrt bis Woche 16     ·     Schritt: Wdh +1 auf 6 bei gleichem Gewicht</v>
      </c>
      <c r="B443" s="109"/>
      <c r="C443" s="109"/>
      <c r="D443" s="109"/>
      <c r="E443" s="109"/>
      <c r="F443" s="109"/>
      <c r="G443" s="109"/>
      <c r="H443" s="109"/>
      <c r="I443" s="109"/>
    </row>
    <row r="444" customFormat="false" ht="18" hidden="false" customHeight="true" outlineLevel="0" collapsed="false">
      <c r="A444" s="110" t="s">
        <v>543</v>
      </c>
      <c r="B444" s="110" t="s">
        <v>544</v>
      </c>
      <c r="C444" s="110" t="s">
        <v>545</v>
      </c>
      <c r="D444" s="110" t="s">
        <v>546</v>
      </c>
      <c r="E444" s="110" t="s">
        <v>547</v>
      </c>
      <c r="F444" s="110" t="s">
        <v>454</v>
      </c>
      <c r="G444" s="110" t="s">
        <v>50</v>
      </c>
      <c r="H444" s="110" t="s">
        <v>548</v>
      </c>
      <c r="I444" s="110" t="s">
        <v>256</v>
      </c>
    </row>
    <row r="445" customFormat="false" ht="18" hidden="false" customHeight="true" outlineLevel="0" collapsed="false">
      <c r="A445" s="72" t="n">
        <v>1</v>
      </c>
      <c r="B445" s="70" t="s">
        <v>549</v>
      </c>
      <c r="C445" s="111" t="n">
        <f aca="false">IF(OR(FALSE(),Übungen!$L$10="pause"),"",IF(IFERROR(INDEX(Rekorde!$O$4:$O$23,MATCH(Übungen!$A$10,Rekorde!$A$4:$A$23,0)),"")="","",ROUND(IFERROR(INDEX(Rekorde!$O$4:$O$23,MATCH(Übungen!$A$10,Rekorde!$A$4:$A$23,0)),"")*0.4*2,0)/2))</f>
        <v>13.5</v>
      </c>
      <c r="D445" s="112"/>
      <c r="E445" s="113"/>
      <c r="F445" s="113"/>
      <c r="G445" s="113"/>
      <c r="H445" s="113"/>
      <c r="I445" s="113"/>
    </row>
    <row r="446" customFormat="false" ht="18" hidden="false" customHeight="true" outlineLevel="0" collapsed="false">
      <c r="A446" s="72" t="n">
        <v>2</v>
      </c>
      <c r="B446" s="70" t="s">
        <v>550</v>
      </c>
      <c r="C446" s="111" t="n">
        <f aca="false">IF(OR(FALSE(),Übungen!$L$10="pause"),"",IF(IFERROR(INDEX(Rekorde!$O$4:$O$23,MATCH(Übungen!$A$10,Rekorde!$A$4:$A$23,0)),"")="","",ROUND(IFERROR(INDEX(Rekorde!$O$4:$O$23,MATCH(Übungen!$A$10,Rekorde!$A$4:$A$23,0)),"")*0.7*2,0)/2))</f>
        <v>24</v>
      </c>
      <c r="D446" s="112"/>
      <c r="E446" s="113"/>
      <c r="F446" s="113"/>
      <c r="G446" s="113"/>
      <c r="H446" s="113"/>
      <c r="I446" s="113"/>
    </row>
    <row r="447" customFormat="false" ht="18" hidden="false" customHeight="true" outlineLevel="0" collapsed="false">
      <c r="A447" s="72" t="n">
        <v>3</v>
      </c>
      <c r="B447" s="114" t="s">
        <v>551</v>
      </c>
      <c r="C447" s="115" t="n">
        <f aca="false">IF(OR(FALSE(),Übungen!$L$10="pause"),"",IF(IFERROR(INDEX(Rekorde!$O$4:$O$23,MATCH(Übungen!$A$10,Rekorde!$A$4:$A$23,0)),"")="","",ROUND(IFERROR(INDEX(Rekorde!$O$4:$O$23,MATCH(Übungen!$A$10,Rekorde!$A$4:$A$23,0)),"")*1*2,0)/2))</f>
        <v>34</v>
      </c>
      <c r="D447" s="116" t="n">
        <f aca="false">IF(OR(FALSE(),Übungen!$L$10="pause"),"",IF(IFERROR(INDEX(Rekorde!$P$4:$P$23,MATCH(Übungen!$A$10,Rekorde!$A$4:$A$23,0)),"")="","",MIN(Übungen!$E$10,IFERROR(INDEX(Rekorde!$P$4:$P$23,MATCH(Übungen!$A$10,Rekorde!$A$4:$A$23,0)),"")+0)))</f>
        <v>6</v>
      </c>
      <c r="E447" s="113"/>
      <c r="F447" s="113"/>
      <c r="G447" s="113"/>
      <c r="H447" s="113"/>
      <c r="I447" s="113"/>
    </row>
    <row r="448" customFormat="false" ht="18" hidden="false" customHeight="true" outlineLevel="0" collapsed="false">
      <c r="A448" s="72" t="n">
        <v>4</v>
      </c>
      <c r="B448" s="114" t="s">
        <v>552</v>
      </c>
      <c r="C448" s="111" t="n">
        <f aca="false">IF(OR(FALSE(),Übungen!$L$10="pause"),"",IF(IFERROR(INDEX(Rekorde!$O$4:$O$23,MATCH(Übungen!$A$10,Rekorde!$A$4:$A$23,0)),"")="","",ROUND(IFERROR(INDEX(Rekorde!$O$4:$O$23,MATCH(Übungen!$A$10,Rekorde!$A$4:$A$23,0)),"")*0.95*2,0)/2))</f>
        <v>32.5</v>
      </c>
      <c r="D448" s="116" t="n">
        <f aca="false">IF(OR(FALSE(),Übungen!$L$10="pause"),"",IF(IFERROR(INDEX(Rekorde!$P$4:$P$23,MATCH(Übungen!$A$10,Rekorde!$A$4:$A$23,0)),"")="","",MIN(Übungen!$E$10,IFERROR(INDEX(Rekorde!$P$4:$P$23,MATCH(Übungen!$A$10,Rekorde!$A$4:$A$23,0)),"")+1)))</f>
        <v>6</v>
      </c>
      <c r="E448" s="113"/>
      <c r="F448" s="113"/>
      <c r="G448" s="113"/>
      <c r="H448" s="113"/>
      <c r="I448" s="113"/>
    </row>
    <row r="449" customFormat="false" ht="18" hidden="false" customHeight="true" outlineLevel="0" collapsed="false">
      <c r="A449" s="72" t="n">
        <v>5</v>
      </c>
      <c r="B449" s="114" t="s">
        <v>553</v>
      </c>
      <c r="C449" s="111" t="n">
        <f aca="false">IF(OR(FALSE(),Übungen!$L$10="pause"),"",IF(IFERROR(INDEX(Rekorde!$O$4:$O$23,MATCH(Übungen!$A$10,Rekorde!$A$4:$A$23,0)),"")="","",ROUND(IFERROR(INDEX(Rekorde!$O$4:$O$23,MATCH(Übungen!$A$10,Rekorde!$A$4:$A$23,0)),"")*0.9*2,0)/2))</f>
        <v>30.5</v>
      </c>
      <c r="D449" s="116" t="n">
        <f aca="false">IF(OR(FALSE(),Übungen!$L$10="pause"),"",IF(IFERROR(INDEX(Rekorde!$P$4:$P$23,MATCH(Übungen!$A$10,Rekorde!$A$4:$A$23,0)),"")="","",MIN(Übungen!$E$10,IFERROR(INDEX(Rekorde!$P$4:$P$23,MATCH(Übungen!$A$10,Rekorde!$A$4:$A$23,0)),"")+2)))</f>
        <v>6</v>
      </c>
      <c r="E449" s="113"/>
      <c r="F449" s="113"/>
      <c r="G449" s="113"/>
      <c r="H449" s="113"/>
      <c r="I449" s="113"/>
    </row>
    <row r="451" customFormat="false" ht="18.75" hidden="false" customHeight="true" outlineLevel="0" collapsed="false">
      <c r="A451" s="107" t="str">
        <f aca="false">Übungen!$A$11</f>
        <v>Beinpresse breit</v>
      </c>
      <c r="B451" s="107"/>
      <c r="C451" s="107"/>
      <c r="D451" s="107"/>
      <c r="E451" s="107"/>
      <c r="F451" s="107"/>
      <c r="G451" s="107"/>
      <c r="H451" s="107"/>
      <c r="I451" s="107"/>
    </row>
    <row r="452" customFormat="false" ht="13.5" hidden="false" customHeight="true" outlineLevel="0" collapsed="false">
      <c r="A452" s="108" t="str">
        <f aca="false">IF(OR(FALSE(),Übungen!$L$11="pause"),IF(Übungen!$L$11="pause","PAUSE - vorübergehend ausgesetzt, Grund im Blatt 'Übungen'     ·     ",""),IF(IFERROR(INDEX(Rekorde!$L$4:$L$23,MATCH(Übungen!$A$11,Rekorde!$A$4:$A$23,0)),"")="",IF(IFERROR(INDEX(Rekorde!$O$4:$O$23,MATCH(Übungen!$A$11,Rekorde!$A$4:$A$23,0)),"")="","Neu im Plan - Startgewicht im Blatt 'Übungen' eintragen     ·     ","Neu im Plan     ·     Start: "&amp;TEXT(IFERROR(INDEX(Rekorde!$O$4:$O$23,MATCH(Übungen!$A$11,Rekorde!$A$4:$A$23,0)),""),"0.#")&amp;" kg     ·     "),"Zuletzt: "&amp;TEXT(IFERROR(INDEX(Rekorde!$L$4:$L$23,MATCH(Übungen!$A$11,Rekorde!$A$4:$A$23,0)),""),"0.#")&amp;" kg × "&amp;IF(IFERROR(INDEX(Rekorde!$M$4:$M$23,MATCH(Übungen!$A$11,Rekorde!$A$4:$A$23,0)),"")="","?",TEXT(IFERROR(INDEX(Rekorde!$M$4:$M$23,MATCH(Übungen!$A$11,Rekorde!$A$4:$A$23,0)),""),"0"))&amp;" Wdh     ·     Bestwert: "&amp;TEXT(IFERROR(INDEX(Rekorde!$F$4:$F$23,MATCH(Übungen!$A$11,Rekorde!$A$4:$A$23,0)),""),"0.#")&amp;" kg     ·     "&amp;IF(IFERROR(INDEX(Rekorde!$O$4:$O$23,MATCH(Übungen!$A$11,Rekorde!$A$4:$A$23,0)),"")="","","Ziel heute: "&amp;TEXT(IFERROR(INDEX(Rekorde!$O$4:$O$23,MATCH(Übungen!$A$11,Rekorde!$A$4:$A$23,0)),""),"0.#")&amp;" kg × "&amp;IF(IFERROR(INDEX(Rekorde!$P$4:$P$23,MATCH(Übungen!$A$11,Rekorde!$A$4:$A$23,0)),"")="","",TEXT(IFERROR(INDEX(Rekorde!$P$4:$P$23,MATCH(Übungen!$A$11,Rekorde!$A$4:$A$23,0)),""),"0")&amp;" Wdh")&amp;"     ·     ")&amp;IF(AND(Übungen!$I$11&lt;&gt;"",IFERROR(INDEX(Rekorde!$O$4:$O$23,MATCH(Übungen!$A$11,Rekorde!$A$4:$A$23,0)),"")&lt;&gt;"",IFERROR(INDEX(Rekorde!$O$4:$O$23,MATCH(Übungen!$A$11,Rekorde!$A$4:$A$23,0)),"")&gt;=Übungen!$I$11),"Stackende, über Tempo und Pausen steigern     ·     ","")))</f>
        <v>Neu im Plan     ·     Start: 220 kg     ·     </v>
      </c>
      <c r="B452" s="108"/>
      <c r="C452" s="108"/>
      <c r="D452" s="108"/>
      <c r="E452" s="108"/>
      <c r="F452" s="108"/>
      <c r="G452" s="108"/>
      <c r="H452" s="108"/>
      <c r="I452" s="108"/>
    </row>
    <row r="453" customFormat="false" ht="13.5" hidden="false" customHeight="true" outlineLevel="0" collapsed="false">
      <c r="A453" s="109" t="str">
        <f aca="false">"Vorgabe: "&amp;Übungen!$F$11&amp;" × "&amp;Übungen!$D$11&amp;"-"&amp;Übungen!$E$11&amp;" Wdh @ RPE "&amp;Übungen!$G$11&amp;IF(OR(Übungen!$M$11="",Übungen!$M$11&lt;=1),"","     ·     nach OP gesperrt bis Woche "&amp;Übungen!$M$11)&amp;IF(OR(FALSE(),Übungen!$L$11="pause"),"",IF(AND(Übungen!$K$11&lt;&gt;"",Übungen!$K$11&lt;&gt;100),"     ·     Wiedereinstieg: "&amp;TEXT(Übungen!$K$11,"0")&amp;" % des berechneten Ziels",IF(IFERROR(INDEX(Rekorde!$Q$4:$Q$23,MATCH(Übungen!$A$11,Rekorde!$A$4:$A$23,0)),"")="","","     ·     Schritt: "&amp;IFERROR(INDEX(Rekorde!$Q$4:$Q$23,MATCH(Übungen!$A$11,Rekorde!$A$4:$A$23,0)),""))))</f>
        <v>Vorgabe: 3 × 5-6 Wdh @ RPE 8-9     ·     nach OP gesperrt bis Woche 6     ·     Schritt: Einstieg mit Startgewicht</v>
      </c>
      <c r="B453" s="109"/>
      <c r="C453" s="109"/>
      <c r="D453" s="109"/>
      <c r="E453" s="109"/>
      <c r="F453" s="109"/>
      <c r="G453" s="109"/>
      <c r="H453" s="109"/>
      <c r="I453" s="109"/>
    </row>
    <row r="454" customFormat="false" ht="18" hidden="false" customHeight="true" outlineLevel="0" collapsed="false">
      <c r="A454" s="110" t="s">
        <v>543</v>
      </c>
      <c r="B454" s="110" t="s">
        <v>544</v>
      </c>
      <c r="C454" s="110" t="s">
        <v>545</v>
      </c>
      <c r="D454" s="110" t="s">
        <v>546</v>
      </c>
      <c r="E454" s="110" t="s">
        <v>547</v>
      </c>
      <c r="F454" s="110" t="s">
        <v>454</v>
      </c>
      <c r="G454" s="110" t="s">
        <v>50</v>
      </c>
      <c r="H454" s="110" t="s">
        <v>548</v>
      </c>
      <c r="I454" s="110" t="s">
        <v>256</v>
      </c>
    </row>
    <row r="455" customFormat="false" ht="18" hidden="false" customHeight="true" outlineLevel="0" collapsed="false">
      <c r="A455" s="72" t="n">
        <v>1</v>
      </c>
      <c r="B455" s="70" t="s">
        <v>549</v>
      </c>
      <c r="C455" s="111" t="n">
        <f aca="false">IF(OR(FALSE(),Übungen!$L$11="pause"),"",IF(IFERROR(INDEX(Rekorde!$O$4:$O$23,MATCH(Übungen!$A$11,Rekorde!$A$4:$A$23,0)),"")="","",ROUND(IFERROR(INDEX(Rekorde!$O$4:$O$23,MATCH(Übungen!$A$11,Rekorde!$A$4:$A$23,0)),"")*0.4*2,0)/2))</f>
        <v>88</v>
      </c>
      <c r="D455" s="112"/>
      <c r="E455" s="113"/>
      <c r="F455" s="113"/>
      <c r="G455" s="113"/>
      <c r="H455" s="113"/>
      <c r="I455" s="113"/>
    </row>
    <row r="456" customFormat="false" ht="18" hidden="false" customHeight="true" outlineLevel="0" collapsed="false">
      <c r="A456" s="72" t="n">
        <v>2</v>
      </c>
      <c r="B456" s="70" t="s">
        <v>550</v>
      </c>
      <c r="C456" s="111" t="n">
        <f aca="false">IF(OR(FALSE(),Übungen!$L$11="pause"),"",IF(IFERROR(INDEX(Rekorde!$O$4:$O$23,MATCH(Übungen!$A$11,Rekorde!$A$4:$A$23,0)),"")="","",ROUND(IFERROR(INDEX(Rekorde!$O$4:$O$23,MATCH(Übungen!$A$11,Rekorde!$A$4:$A$23,0)),"")*0.7*2,0)/2))</f>
        <v>154</v>
      </c>
      <c r="D456" s="112"/>
      <c r="E456" s="113"/>
      <c r="F456" s="113"/>
      <c r="G456" s="113"/>
      <c r="H456" s="113"/>
      <c r="I456" s="113"/>
    </row>
    <row r="457" customFormat="false" ht="18" hidden="false" customHeight="true" outlineLevel="0" collapsed="false">
      <c r="A457" s="72" t="n">
        <v>3</v>
      </c>
      <c r="B457" s="114" t="s">
        <v>551</v>
      </c>
      <c r="C457" s="115" t="n">
        <f aca="false">IF(OR(FALSE(),Übungen!$L$11="pause"),"",IF(IFERROR(INDEX(Rekorde!$O$4:$O$23,MATCH(Übungen!$A$11,Rekorde!$A$4:$A$23,0)),"")="","",ROUND(IFERROR(INDEX(Rekorde!$O$4:$O$23,MATCH(Übungen!$A$11,Rekorde!$A$4:$A$23,0)),"")*1*2,0)/2))</f>
        <v>220</v>
      </c>
      <c r="D457" s="116" t="n">
        <f aca="false">IF(OR(FALSE(),Übungen!$L$11="pause"),"",IF(IFERROR(INDEX(Rekorde!$P$4:$P$23,MATCH(Übungen!$A$11,Rekorde!$A$4:$A$23,0)),"")="","",MIN(Übungen!$E$11,IFERROR(INDEX(Rekorde!$P$4:$P$23,MATCH(Übungen!$A$11,Rekorde!$A$4:$A$23,0)),"")+0)))</f>
        <v>5</v>
      </c>
      <c r="E457" s="113"/>
      <c r="F457" s="113"/>
      <c r="G457" s="113"/>
      <c r="H457" s="113"/>
      <c r="I457" s="113"/>
    </row>
    <row r="458" customFormat="false" ht="18" hidden="false" customHeight="true" outlineLevel="0" collapsed="false">
      <c r="A458" s="72" t="n">
        <v>4</v>
      </c>
      <c r="B458" s="114" t="s">
        <v>552</v>
      </c>
      <c r="C458" s="111" t="n">
        <f aca="false">IF(OR(FALSE(),Übungen!$L$11="pause"),"",IF(IFERROR(INDEX(Rekorde!$O$4:$O$23,MATCH(Übungen!$A$11,Rekorde!$A$4:$A$23,0)),"")="","",ROUND(IFERROR(INDEX(Rekorde!$O$4:$O$23,MATCH(Übungen!$A$11,Rekorde!$A$4:$A$23,0)),"")*0.95*2,0)/2))</f>
        <v>209</v>
      </c>
      <c r="D458" s="116" t="n">
        <f aca="false">IF(OR(FALSE(),Übungen!$L$11="pause"),"",IF(IFERROR(INDEX(Rekorde!$P$4:$P$23,MATCH(Übungen!$A$11,Rekorde!$A$4:$A$23,0)),"")="","",MIN(Übungen!$E$11,IFERROR(INDEX(Rekorde!$P$4:$P$23,MATCH(Übungen!$A$11,Rekorde!$A$4:$A$23,0)),"")+1)))</f>
        <v>6</v>
      </c>
      <c r="E458" s="113"/>
      <c r="F458" s="113"/>
      <c r="G458" s="113"/>
      <c r="H458" s="113"/>
      <c r="I458" s="113"/>
    </row>
    <row r="459" customFormat="false" ht="18" hidden="false" customHeight="true" outlineLevel="0" collapsed="false">
      <c r="A459" s="72" t="n">
        <v>5</v>
      </c>
      <c r="B459" s="114" t="s">
        <v>553</v>
      </c>
      <c r="C459" s="111" t="n">
        <f aca="false">IF(OR(FALSE(),Übungen!$L$11="pause"),"",IF(IFERROR(INDEX(Rekorde!$O$4:$O$23,MATCH(Übungen!$A$11,Rekorde!$A$4:$A$23,0)),"")="","",ROUND(IFERROR(INDEX(Rekorde!$O$4:$O$23,MATCH(Übungen!$A$11,Rekorde!$A$4:$A$23,0)),"")*0.9*2,0)/2))</f>
        <v>198</v>
      </c>
      <c r="D459" s="116" t="n">
        <f aca="false">IF(OR(FALSE(),Übungen!$L$11="pause"),"",IF(IFERROR(INDEX(Rekorde!$P$4:$P$23,MATCH(Übungen!$A$11,Rekorde!$A$4:$A$23,0)),"")="","",MIN(Übungen!$E$11,IFERROR(INDEX(Rekorde!$P$4:$P$23,MATCH(Übungen!$A$11,Rekorde!$A$4:$A$23,0)),"")+2)))</f>
        <v>6</v>
      </c>
      <c r="E459" s="113"/>
      <c r="F459" s="113"/>
      <c r="G459" s="113"/>
      <c r="H459" s="113"/>
      <c r="I459" s="113"/>
    </row>
    <row r="461" customFormat="false" ht="18.75" hidden="false" customHeight="true" outlineLevel="0" collapsed="false">
      <c r="A461" s="107" t="str">
        <f aca="false">Übungen!$A$12</f>
        <v>Hip Thrust</v>
      </c>
      <c r="B461" s="107"/>
      <c r="C461" s="107"/>
      <c r="D461" s="107"/>
      <c r="E461" s="107"/>
      <c r="F461" s="107"/>
      <c r="G461" s="107"/>
      <c r="H461" s="107"/>
      <c r="I461" s="107"/>
    </row>
    <row r="462" customFormat="false" ht="13.5" hidden="false" customHeight="true" outlineLevel="0" collapsed="false">
      <c r="A462" s="108" t="str">
        <f aca="false">IF(OR(FALSE(),Übungen!$L$12="pause"),IF(Übungen!$L$12="pause","PAUSE - vorübergehend ausgesetzt, Grund im Blatt 'Übungen'     ·     ",""),IF(IFERROR(INDEX(Rekorde!$L$4:$L$23,MATCH(Übungen!$A$12,Rekorde!$A$4:$A$23,0)),"")="",IF(IFERROR(INDEX(Rekorde!$O$4:$O$23,MATCH(Übungen!$A$12,Rekorde!$A$4:$A$23,0)),"")="","Neu im Plan - Startgewicht im Blatt 'Übungen' eintragen     ·     ","Neu im Plan     ·     Start: "&amp;TEXT(IFERROR(INDEX(Rekorde!$O$4:$O$23,MATCH(Übungen!$A$12,Rekorde!$A$4:$A$23,0)),""),"0.#")&amp;" kg     ·     "),"Zuletzt: "&amp;TEXT(IFERROR(INDEX(Rekorde!$L$4:$L$23,MATCH(Übungen!$A$12,Rekorde!$A$4:$A$23,0)),""),"0.#")&amp;" kg × "&amp;IF(IFERROR(INDEX(Rekorde!$M$4:$M$23,MATCH(Übungen!$A$12,Rekorde!$A$4:$A$23,0)),"")="","?",TEXT(IFERROR(INDEX(Rekorde!$M$4:$M$23,MATCH(Übungen!$A$12,Rekorde!$A$4:$A$23,0)),""),"0"))&amp;" Wdh     ·     Bestwert: "&amp;TEXT(IFERROR(INDEX(Rekorde!$F$4:$F$23,MATCH(Übungen!$A$12,Rekorde!$A$4:$A$23,0)),""),"0.#")&amp;" kg     ·     "&amp;IF(IFERROR(INDEX(Rekorde!$O$4:$O$23,MATCH(Übungen!$A$12,Rekorde!$A$4:$A$23,0)),"")="","","Ziel heute: "&amp;TEXT(IFERROR(INDEX(Rekorde!$O$4:$O$23,MATCH(Übungen!$A$12,Rekorde!$A$4:$A$23,0)),""),"0.#")&amp;" kg × "&amp;IF(IFERROR(INDEX(Rekorde!$P$4:$P$23,MATCH(Übungen!$A$12,Rekorde!$A$4:$A$23,0)),"")="","",TEXT(IFERROR(INDEX(Rekorde!$P$4:$P$23,MATCH(Übungen!$A$12,Rekorde!$A$4:$A$23,0)),""),"0")&amp;" Wdh")&amp;"     ·     ")&amp;IF(AND(Übungen!$I$12&lt;&gt;"",IFERROR(INDEX(Rekorde!$O$4:$O$23,MATCH(Übungen!$A$12,Rekorde!$A$4:$A$23,0)),"")&lt;&gt;"",IFERROR(INDEX(Rekorde!$O$4:$O$23,MATCH(Übungen!$A$12,Rekorde!$A$4:$A$23,0)),"")&gt;=Übungen!$I$12),"Stackende, über Tempo und Pausen steigern     ·     ","")))</f>
        <v>Zuletzt: 285 kg × 5 Wdh     ·     Bestwert: 290 kg     ·     Ziel heute: 285 kg × 6 Wdh     ·     </v>
      </c>
      <c r="B462" s="108"/>
      <c r="C462" s="108"/>
      <c r="D462" s="108"/>
      <c r="E462" s="108"/>
      <c r="F462" s="108"/>
      <c r="G462" s="108"/>
      <c r="H462" s="108"/>
      <c r="I462" s="108"/>
    </row>
    <row r="463" customFormat="false" ht="13.5" hidden="false" customHeight="true" outlineLevel="0" collapsed="false">
      <c r="A463" s="109" t="str">
        <f aca="false">"Vorgabe: "&amp;Übungen!$F$12&amp;" × "&amp;Übungen!$D$12&amp;"-"&amp;Übungen!$E$12&amp;" Wdh @ RPE "&amp;Übungen!$G$12&amp;IF(OR(Übungen!$M$12="",Übungen!$M$12&lt;=1),"","     ·     nach OP gesperrt bis Woche "&amp;Übungen!$M$12)&amp;IF(OR(FALSE(),Übungen!$L$12="pause"),"",IF(AND(Übungen!$K$12&lt;&gt;"",Übungen!$K$12&lt;&gt;100),"     ·     Wiedereinstieg: "&amp;TEXT(Übungen!$K$12,"0")&amp;" % des berechneten Ziels",IF(IFERROR(INDEX(Rekorde!$Q$4:$Q$23,MATCH(Übungen!$A$12,Rekorde!$A$4:$A$23,0)),"")="","","     ·     Schritt: "&amp;IFERROR(INDEX(Rekorde!$Q$4:$Q$23,MATCH(Übungen!$A$12,Rekorde!$A$4:$A$23,0)),""))))</f>
        <v>Vorgabe: 3 × 5-6 Wdh @ RPE 8-9     ·     nach OP gesperrt bis Woche 12     ·     Schritt: Wdh +1 auf 6 bei gleichem Gewicht</v>
      </c>
      <c r="B463" s="109"/>
      <c r="C463" s="109"/>
      <c r="D463" s="109"/>
      <c r="E463" s="109"/>
      <c r="F463" s="109"/>
      <c r="G463" s="109"/>
      <c r="H463" s="109"/>
      <c r="I463" s="109"/>
    </row>
    <row r="464" customFormat="false" ht="18" hidden="false" customHeight="true" outlineLevel="0" collapsed="false">
      <c r="A464" s="110" t="s">
        <v>543</v>
      </c>
      <c r="B464" s="110" t="s">
        <v>544</v>
      </c>
      <c r="C464" s="110" t="s">
        <v>545</v>
      </c>
      <c r="D464" s="110" t="s">
        <v>546</v>
      </c>
      <c r="E464" s="110" t="s">
        <v>547</v>
      </c>
      <c r="F464" s="110" t="s">
        <v>454</v>
      </c>
      <c r="G464" s="110" t="s">
        <v>50</v>
      </c>
      <c r="H464" s="110" t="s">
        <v>548</v>
      </c>
      <c r="I464" s="110" t="s">
        <v>256</v>
      </c>
    </row>
    <row r="465" customFormat="false" ht="18" hidden="false" customHeight="true" outlineLevel="0" collapsed="false">
      <c r="A465" s="72" t="n">
        <v>1</v>
      </c>
      <c r="B465" s="70" t="s">
        <v>549</v>
      </c>
      <c r="C465" s="111" t="n">
        <f aca="false">IF(OR(FALSE(),Übungen!$L$12="pause"),"",IF(IFERROR(INDEX(Rekorde!$O$4:$O$23,MATCH(Übungen!$A$12,Rekorde!$A$4:$A$23,0)),"")="","",ROUND(IFERROR(INDEX(Rekorde!$O$4:$O$23,MATCH(Übungen!$A$12,Rekorde!$A$4:$A$23,0)),"")*0.4*2,0)/2))</f>
        <v>114</v>
      </c>
      <c r="D465" s="112"/>
      <c r="E465" s="113"/>
      <c r="F465" s="113"/>
      <c r="G465" s="113"/>
      <c r="H465" s="113"/>
      <c r="I465" s="113"/>
    </row>
    <row r="466" customFormat="false" ht="18" hidden="false" customHeight="true" outlineLevel="0" collapsed="false">
      <c r="A466" s="72" t="n">
        <v>2</v>
      </c>
      <c r="B466" s="70" t="s">
        <v>550</v>
      </c>
      <c r="C466" s="111" t="n">
        <f aca="false">IF(OR(FALSE(),Übungen!$L$12="pause"),"",IF(IFERROR(INDEX(Rekorde!$O$4:$O$23,MATCH(Übungen!$A$12,Rekorde!$A$4:$A$23,0)),"")="","",ROUND(IFERROR(INDEX(Rekorde!$O$4:$O$23,MATCH(Übungen!$A$12,Rekorde!$A$4:$A$23,0)),"")*0.7*2,0)/2))</f>
        <v>199.5</v>
      </c>
      <c r="D466" s="112"/>
      <c r="E466" s="113"/>
      <c r="F466" s="113"/>
      <c r="G466" s="113"/>
      <c r="H466" s="113"/>
      <c r="I466" s="113"/>
    </row>
    <row r="467" customFormat="false" ht="18" hidden="false" customHeight="true" outlineLevel="0" collapsed="false">
      <c r="A467" s="72" t="n">
        <v>3</v>
      </c>
      <c r="B467" s="114" t="s">
        <v>551</v>
      </c>
      <c r="C467" s="115" t="n">
        <f aca="false">IF(OR(FALSE(),Übungen!$L$12="pause"),"",IF(IFERROR(INDEX(Rekorde!$O$4:$O$23,MATCH(Übungen!$A$12,Rekorde!$A$4:$A$23,0)),"")="","",ROUND(IFERROR(INDEX(Rekorde!$O$4:$O$23,MATCH(Übungen!$A$12,Rekorde!$A$4:$A$23,0)),"")*1*2,0)/2))</f>
        <v>285</v>
      </c>
      <c r="D467" s="116" t="n">
        <f aca="false">IF(OR(FALSE(),Übungen!$L$12="pause"),"",IF(IFERROR(INDEX(Rekorde!$P$4:$P$23,MATCH(Übungen!$A$12,Rekorde!$A$4:$A$23,0)),"")="","",MIN(Übungen!$E$12,IFERROR(INDEX(Rekorde!$P$4:$P$23,MATCH(Übungen!$A$12,Rekorde!$A$4:$A$23,0)),"")+0)))</f>
        <v>6</v>
      </c>
      <c r="E467" s="113"/>
      <c r="F467" s="113"/>
      <c r="G467" s="113"/>
      <c r="H467" s="113"/>
      <c r="I467" s="113"/>
    </row>
    <row r="468" customFormat="false" ht="18" hidden="false" customHeight="true" outlineLevel="0" collapsed="false">
      <c r="A468" s="72" t="n">
        <v>4</v>
      </c>
      <c r="B468" s="114" t="s">
        <v>552</v>
      </c>
      <c r="C468" s="111" t="n">
        <f aca="false">IF(OR(FALSE(),Übungen!$L$12="pause"),"",IF(IFERROR(INDEX(Rekorde!$O$4:$O$23,MATCH(Übungen!$A$12,Rekorde!$A$4:$A$23,0)),"")="","",ROUND(IFERROR(INDEX(Rekorde!$O$4:$O$23,MATCH(Übungen!$A$12,Rekorde!$A$4:$A$23,0)),"")*0.95*2,0)/2))</f>
        <v>271</v>
      </c>
      <c r="D468" s="116" t="n">
        <f aca="false">IF(OR(FALSE(),Übungen!$L$12="pause"),"",IF(IFERROR(INDEX(Rekorde!$P$4:$P$23,MATCH(Übungen!$A$12,Rekorde!$A$4:$A$23,0)),"")="","",MIN(Übungen!$E$12,IFERROR(INDEX(Rekorde!$P$4:$P$23,MATCH(Übungen!$A$12,Rekorde!$A$4:$A$23,0)),"")+1)))</f>
        <v>6</v>
      </c>
      <c r="E468" s="113"/>
      <c r="F468" s="113"/>
      <c r="G468" s="113"/>
      <c r="H468" s="113"/>
      <c r="I468" s="113"/>
    </row>
    <row r="469" customFormat="false" ht="18" hidden="false" customHeight="true" outlineLevel="0" collapsed="false">
      <c r="A469" s="72" t="n">
        <v>5</v>
      </c>
      <c r="B469" s="114" t="s">
        <v>553</v>
      </c>
      <c r="C469" s="111" t="n">
        <f aca="false">IF(OR(FALSE(),Übungen!$L$12="pause"),"",IF(IFERROR(INDEX(Rekorde!$O$4:$O$23,MATCH(Übungen!$A$12,Rekorde!$A$4:$A$23,0)),"")="","",ROUND(IFERROR(INDEX(Rekorde!$O$4:$O$23,MATCH(Übungen!$A$12,Rekorde!$A$4:$A$23,0)),"")*0.9*2,0)/2))</f>
        <v>256.5</v>
      </c>
      <c r="D469" s="116" t="n">
        <f aca="false">IF(OR(FALSE(),Übungen!$L$12="pause"),"",IF(IFERROR(INDEX(Rekorde!$P$4:$P$23,MATCH(Übungen!$A$12,Rekorde!$A$4:$A$23,0)),"")="","",MIN(Übungen!$E$12,IFERROR(INDEX(Rekorde!$P$4:$P$23,MATCH(Übungen!$A$12,Rekorde!$A$4:$A$23,0)),"")+2)))</f>
        <v>6</v>
      </c>
      <c r="E469" s="113"/>
      <c r="F469" s="113"/>
      <c r="G469" s="113"/>
      <c r="H469" s="113"/>
      <c r="I469" s="113"/>
    </row>
    <row r="471" customFormat="false" ht="18.75" hidden="false" customHeight="true" outlineLevel="0" collapsed="false">
      <c r="A471" s="107" t="str">
        <f aca="false">Übungen!$A$13</f>
        <v>Hip &amp; Glute</v>
      </c>
      <c r="B471" s="107"/>
      <c r="C471" s="107"/>
      <c r="D471" s="107"/>
      <c r="E471" s="107"/>
      <c r="F471" s="107"/>
      <c r="G471" s="107"/>
      <c r="H471" s="107"/>
      <c r="I471" s="107"/>
    </row>
    <row r="472" customFormat="false" ht="13.5" hidden="false" customHeight="true" outlineLevel="0" collapsed="false">
      <c r="A472" s="108" t="str">
        <f aca="false">IF(OR(FALSE(),Übungen!$L$13="pause"),IF(Übungen!$L$13="pause","PAUSE - vorübergehend ausgesetzt, Grund im Blatt 'Übungen'     ·     ",""),IF(IFERROR(INDEX(Rekorde!$L$4:$L$23,MATCH(Übungen!$A$13,Rekorde!$A$4:$A$23,0)),"")="",IF(IFERROR(INDEX(Rekorde!$O$4:$O$23,MATCH(Übungen!$A$13,Rekorde!$A$4:$A$23,0)),"")="","Neu im Plan - Startgewicht im Blatt 'Übungen' eintragen     ·     ","Neu im Plan     ·     Start: "&amp;TEXT(IFERROR(INDEX(Rekorde!$O$4:$O$23,MATCH(Übungen!$A$13,Rekorde!$A$4:$A$23,0)),""),"0.#")&amp;" kg     ·     "),"Zuletzt: "&amp;TEXT(IFERROR(INDEX(Rekorde!$L$4:$L$23,MATCH(Übungen!$A$13,Rekorde!$A$4:$A$23,0)),""),"0.#")&amp;" kg × "&amp;IF(IFERROR(INDEX(Rekorde!$M$4:$M$23,MATCH(Übungen!$A$13,Rekorde!$A$4:$A$23,0)),"")="","?",TEXT(IFERROR(INDEX(Rekorde!$M$4:$M$23,MATCH(Übungen!$A$13,Rekorde!$A$4:$A$23,0)),""),"0"))&amp;" Wdh     ·     Bestwert: "&amp;TEXT(IFERROR(INDEX(Rekorde!$F$4:$F$23,MATCH(Übungen!$A$13,Rekorde!$A$4:$A$23,0)),""),"0.#")&amp;" kg     ·     "&amp;IF(IFERROR(INDEX(Rekorde!$O$4:$O$23,MATCH(Übungen!$A$13,Rekorde!$A$4:$A$23,0)),"")="","","Ziel heute: "&amp;TEXT(IFERROR(INDEX(Rekorde!$O$4:$O$23,MATCH(Übungen!$A$13,Rekorde!$A$4:$A$23,0)),""),"0.#")&amp;" kg × "&amp;IF(IFERROR(INDEX(Rekorde!$P$4:$P$23,MATCH(Übungen!$A$13,Rekorde!$A$4:$A$23,0)),"")="","",TEXT(IFERROR(INDEX(Rekorde!$P$4:$P$23,MATCH(Übungen!$A$13,Rekorde!$A$4:$A$23,0)),""),"0")&amp;" Wdh")&amp;"     ·     ")&amp;IF(AND(Übungen!$I$13&lt;&gt;"",IFERROR(INDEX(Rekorde!$O$4:$O$23,MATCH(Übungen!$A$13,Rekorde!$A$4:$A$23,0)),"")&lt;&gt;"",IFERROR(INDEX(Rekorde!$O$4:$O$23,MATCH(Übungen!$A$13,Rekorde!$A$4:$A$23,0)),"")&gt;=Übungen!$I$13),"Stackende, über Tempo und Pausen steigern     ·     ","")))</f>
        <v>Zuletzt: 170 kg × 5 Wdh     ·     Bestwert: 176 kg     ·     Ziel heute: 170 kg × 6 Wdh     ·     </v>
      </c>
      <c r="B472" s="108"/>
      <c r="C472" s="108"/>
      <c r="D472" s="108"/>
      <c r="E472" s="108"/>
      <c r="F472" s="108"/>
      <c r="G472" s="108"/>
      <c r="H472" s="108"/>
      <c r="I472" s="108"/>
    </row>
    <row r="473" customFormat="false" ht="13.5" hidden="false" customHeight="true" outlineLevel="0" collapsed="false">
      <c r="A473" s="109" t="str">
        <f aca="false">"Vorgabe: "&amp;Übungen!$F$13&amp;" × "&amp;Übungen!$D$13&amp;"-"&amp;Übungen!$E$13&amp;" Wdh @ RPE "&amp;Übungen!$G$13&amp;IF(OR(Übungen!$M$13="",Übungen!$M$13&lt;=1),"","     ·     nach OP gesperrt bis Woche "&amp;Übungen!$M$13)&amp;IF(OR(FALSE(),Übungen!$L$13="pause"),"",IF(AND(Übungen!$K$13&lt;&gt;"",Übungen!$K$13&lt;&gt;100),"     ·     Wiedereinstieg: "&amp;TEXT(Übungen!$K$13,"0")&amp;" % des berechneten Ziels",IF(IFERROR(INDEX(Rekorde!$Q$4:$Q$23,MATCH(Übungen!$A$13,Rekorde!$A$4:$A$23,0)),"")="","","     ·     Schritt: "&amp;IFERROR(INDEX(Rekorde!$Q$4:$Q$23,MATCH(Übungen!$A$13,Rekorde!$A$4:$A$23,0)),""))))</f>
        <v>Vorgabe: 3 × 5-6 Wdh @ RPE 8-9     ·     nach OP gesperrt bis Woche 6     ·     Schritt: Wdh +1 auf 6 bei gleichem Gewicht</v>
      </c>
      <c r="B473" s="109"/>
      <c r="C473" s="109"/>
      <c r="D473" s="109"/>
      <c r="E473" s="109"/>
      <c r="F473" s="109"/>
      <c r="G473" s="109"/>
      <c r="H473" s="109"/>
      <c r="I473" s="109"/>
    </row>
    <row r="474" customFormat="false" ht="18" hidden="false" customHeight="true" outlineLevel="0" collapsed="false">
      <c r="A474" s="110" t="s">
        <v>543</v>
      </c>
      <c r="B474" s="110" t="s">
        <v>544</v>
      </c>
      <c r="C474" s="110" t="s">
        <v>545</v>
      </c>
      <c r="D474" s="110" t="s">
        <v>546</v>
      </c>
      <c r="E474" s="110" t="s">
        <v>547</v>
      </c>
      <c r="F474" s="110" t="s">
        <v>454</v>
      </c>
      <c r="G474" s="110" t="s">
        <v>50</v>
      </c>
      <c r="H474" s="110" t="s">
        <v>548</v>
      </c>
      <c r="I474" s="110" t="s">
        <v>256</v>
      </c>
    </row>
    <row r="475" customFormat="false" ht="18" hidden="false" customHeight="true" outlineLevel="0" collapsed="false">
      <c r="A475" s="72" t="n">
        <v>1</v>
      </c>
      <c r="B475" s="70" t="s">
        <v>549</v>
      </c>
      <c r="C475" s="111" t="n">
        <f aca="false">IF(OR(FALSE(),Übungen!$L$13="pause"),"",IF(IFERROR(INDEX(Rekorde!$O$4:$O$23,MATCH(Übungen!$A$13,Rekorde!$A$4:$A$23,0)),"")="","",ROUND(IFERROR(INDEX(Rekorde!$O$4:$O$23,MATCH(Übungen!$A$13,Rekorde!$A$4:$A$23,0)),"")*0.4*2,0)/2))</f>
        <v>68</v>
      </c>
      <c r="D475" s="112"/>
      <c r="E475" s="113"/>
      <c r="F475" s="113"/>
      <c r="G475" s="113"/>
      <c r="H475" s="113"/>
      <c r="I475" s="113"/>
    </row>
    <row r="476" customFormat="false" ht="18" hidden="false" customHeight="true" outlineLevel="0" collapsed="false">
      <c r="A476" s="72" t="n">
        <v>2</v>
      </c>
      <c r="B476" s="70" t="s">
        <v>550</v>
      </c>
      <c r="C476" s="111" t="n">
        <f aca="false">IF(OR(FALSE(),Übungen!$L$13="pause"),"",IF(IFERROR(INDEX(Rekorde!$O$4:$O$23,MATCH(Übungen!$A$13,Rekorde!$A$4:$A$23,0)),"")="","",ROUND(IFERROR(INDEX(Rekorde!$O$4:$O$23,MATCH(Übungen!$A$13,Rekorde!$A$4:$A$23,0)),"")*0.7*2,0)/2))</f>
        <v>119</v>
      </c>
      <c r="D476" s="112"/>
      <c r="E476" s="113"/>
      <c r="F476" s="113"/>
      <c r="G476" s="113"/>
      <c r="H476" s="113"/>
      <c r="I476" s="113"/>
    </row>
    <row r="477" customFormat="false" ht="18" hidden="false" customHeight="true" outlineLevel="0" collapsed="false">
      <c r="A477" s="72" t="n">
        <v>3</v>
      </c>
      <c r="B477" s="114" t="s">
        <v>551</v>
      </c>
      <c r="C477" s="115" t="n">
        <f aca="false">IF(OR(FALSE(),Übungen!$L$13="pause"),"",IF(IFERROR(INDEX(Rekorde!$O$4:$O$23,MATCH(Übungen!$A$13,Rekorde!$A$4:$A$23,0)),"")="","",ROUND(IFERROR(INDEX(Rekorde!$O$4:$O$23,MATCH(Übungen!$A$13,Rekorde!$A$4:$A$23,0)),"")*1*2,0)/2))</f>
        <v>170</v>
      </c>
      <c r="D477" s="116" t="n">
        <f aca="false">IF(OR(FALSE(),Übungen!$L$13="pause"),"",IF(IFERROR(INDEX(Rekorde!$P$4:$P$23,MATCH(Übungen!$A$13,Rekorde!$A$4:$A$23,0)),"")="","",MIN(Übungen!$E$13,IFERROR(INDEX(Rekorde!$P$4:$P$23,MATCH(Übungen!$A$13,Rekorde!$A$4:$A$23,0)),"")+0)))</f>
        <v>6</v>
      </c>
      <c r="E477" s="113"/>
      <c r="F477" s="113"/>
      <c r="G477" s="113"/>
      <c r="H477" s="113"/>
      <c r="I477" s="113"/>
    </row>
    <row r="478" customFormat="false" ht="18" hidden="false" customHeight="true" outlineLevel="0" collapsed="false">
      <c r="A478" s="72" t="n">
        <v>4</v>
      </c>
      <c r="B478" s="114" t="s">
        <v>552</v>
      </c>
      <c r="C478" s="111" t="n">
        <f aca="false">IF(OR(FALSE(),Übungen!$L$13="pause"),"",IF(IFERROR(INDEX(Rekorde!$O$4:$O$23,MATCH(Übungen!$A$13,Rekorde!$A$4:$A$23,0)),"")="","",ROUND(IFERROR(INDEX(Rekorde!$O$4:$O$23,MATCH(Übungen!$A$13,Rekorde!$A$4:$A$23,0)),"")*0.95*2,0)/2))</f>
        <v>161.5</v>
      </c>
      <c r="D478" s="116" t="n">
        <f aca="false">IF(OR(FALSE(),Übungen!$L$13="pause"),"",IF(IFERROR(INDEX(Rekorde!$P$4:$P$23,MATCH(Übungen!$A$13,Rekorde!$A$4:$A$23,0)),"")="","",MIN(Übungen!$E$13,IFERROR(INDEX(Rekorde!$P$4:$P$23,MATCH(Übungen!$A$13,Rekorde!$A$4:$A$23,0)),"")+1)))</f>
        <v>6</v>
      </c>
      <c r="E478" s="113"/>
      <c r="F478" s="113"/>
      <c r="G478" s="113"/>
      <c r="H478" s="113"/>
      <c r="I478" s="113"/>
    </row>
    <row r="479" customFormat="false" ht="18" hidden="false" customHeight="true" outlineLevel="0" collapsed="false">
      <c r="A479" s="72" t="n">
        <v>5</v>
      </c>
      <c r="B479" s="114" t="s">
        <v>553</v>
      </c>
      <c r="C479" s="111" t="n">
        <f aca="false">IF(OR(FALSE(),Übungen!$L$13="pause"),"",IF(IFERROR(INDEX(Rekorde!$O$4:$O$23,MATCH(Übungen!$A$13,Rekorde!$A$4:$A$23,0)),"")="","",ROUND(IFERROR(INDEX(Rekorde!$O$4:$O$23,MATCH(Übungen!$A$13,Rekorde!$A$4:$A$23,0)),"")*0.9*2,0)/2))</f>
        <v>153</v>
      </c>
      <c r="D479" s="116" t="n">
        <f aca="false">IF(OR(FALSE(),Übungen!$L$13="pause"),"",IF(IFERROR(INDEX(Rekorde!$P$4:$P$23,MATCH(Übungen!$A$13,Rekorde!$A$4:$A$23,0)),"")="","",MIN(Übungen!$E$13,IFERROR(INDEX(Rekorde!$P$4:$P$23,MATCH(Übungen!$A$13,Rekorde!$A$4:$A$23,0)),"")+2)))</f>
        <v>6</v>
      </c>
      <c r="E479" s="113"/>
      <c r="F479" s="113"/>
      <c r="G479" s="113"/>
      <c r="H479" s="113"/>
      <c r="I479" s="113"/>
    </row>
    <row r="481" customFormat="false" ht="18.75" hidden="false" customHeight="true" outlineLevel="0" collapsed="false">
      <c r="A481" s="107" t="str">
        <f aca="false">Übungen!$A$14</f>
        <v>Beinbeuger</v>
      </c>
      <c r="B481" s="107"/>
      <c r="C481" s="107"/>
      <c r="D481" s="107"/>
      <c r="E481" s="107"/>
      <c r="F481" s="107"/>
      <c r="G481" s="107"/>
      <c r="H481" s="107"/>
      <c r="I481" s="107"/>
    </row>
    <row r="482" customFormat="false" ht="13.5" hidden="false" customHeight="true" outlineLevel="0" collapsed="false">
      <c r="A482" s="108" t="str">
        <f aca="false">IF(OR(FALSE(),Übungen!$L$14="pause"),IF(Übungen!$L$14="pause","PAUSE - vorübergehend ausgesetzt, Grund im Blatt 'Übungen'     ·     ",""),IF(IFERROR(INDEX(Rekorde!$L$4:$L$23,MATCH(Übungen!$A$14,Rekorde!$A$4:$A$23,0)),"")="",IF(IFERROR(INDEX(Rekorde!$O$4:$O$23,MATCH(Übungen!$A$14,Rekorde!$A$4:$A$23,0)),"")="","Neu im Plan - Startgewicht im Blatt 'Übungen' eintragen     ·     ","Neu im Plan     ·     Start: "&amp;TEXT(IFERROR(INDEX(Rekorde!$O$4:$O$23,MATCH(Übungen!$A$14,Rekorde!$A$4:$A$23,0)),""),"0.#")&amp;" kg     ·     "),"Zuletzt: "&amp;TEXT(IFERROR(INDEX(Rekorde!$L$4:$L$23,MATCH(Übungen!$A$14,Rekorde!$A$4:$A$23,0)),""),"0.#")&amp;" kg × "&amp;IF(IFERROR(INDEX(Rekorde!$M$4:$M$23,MATCH(Übungen!$A$14,Rekorde!$A$4:$A$23,0)),"")="","?",TEXT(IFERROR(INDEX(Rekorde!$M$4:$M$23,MATCH(Übungen!$A$14,Rekorde!$A$4:$A$23,0)),""),"0"))&amp;" Wdh     ·     Bestwert: "&amp;TEXT(IFERROR(INDEX(Rekorde!$F$4:$F$23,MATCH(Übungen!$A$14,Rekorde!$A$4:$A$23,0)),""),"0.#")&amp;" kg     ·     "&amp;IF(IFERROR(INDEX(Rekorde!$O$4:$O$23,MATCH(Übungen!$A$14,Rekorde!$A$4:$A$23,0)),"")="","","Ziel heute: "&amp;TEXT(IFERROR(INDEX(Rekorde!$O$4:$O$23,MATCH(Übungen!$A$14,Rekorde!$A$4:$A$23,0)),""),"0.#")&amp;" kg × "&amp;IF(IFERROR(INDEX(Rekorde!$P$4:$P$23,MATCH(Übungen!$A$14,Rekorde!$A$4:$A$23,0)),"")="","",TEXT(IFERROR(INDEX(Rekorde!$P$4:$P$23,MATCH(Übungen!$A$14,Rekorde!$A$4:$A$23,0)),""),"0")&amp;" Wdh")&amp;"     ·     ")&amp;IF(AND(Übungen!$I$14&lt;&gt;"",IFERROR(INDEX(Rekorde!$O$4:$O$23,MATCH(Übungen!$A$14,Rekorde!$A$4:$A$23,0)),"")&lt;&gt;"",IFERROR(INDEX(Rekorde!$O$4:$O$23,MATCH(Übungen!$A$14,Rekorde!$A$4:$A$23,0)),"")&gt;=Übungen!$I$14),"Stackende, über Tempo und Pausen steigern     ·     ","")))</f>
        <v>Zuletzt: 45 kg × 5 Wdh     ·     Bestwert: 57.5 kg     ·     Ziel heute: 45 kg × 6 Wdh     ·     </v>
      </c>
      <c r="B482" s="108"/>
      <c r="C482" s="108"/>
      <c r="D482" s="108"/>
      <c r="E482" s="108"/>
      <c r="F482" s="108"/>
      <c r="G482" s="108"/>
      <c r="H482" s="108"/>
      <c r="I482" s="108"/>
    </row>
    <row r="483" customFormat="false" ht="13.5" hidden="false" customHeight="true" outlineLevel="0" collapsed="false">
      <c r="A483" s="109" t="str">
        <f aca="false">"Vorgabe: "&amp;Übungen!$F$14&amp;" × "&amp;Übungen!$D$14&amp;"-"&amp;Übungen!$E$14&amp;" Wdh @ RPE "&amp;Übungen!$G$14&amp;IF(OR(Übungen!$M$14="",Übungen!$M$14&lt;=1),"","     ·     nach OP gesperrt bis Woche "&amp;Übungen!$M$14)&amp;IF(OR(FALSE(),Übungen!$L$14="pause"),"",IF(AND(Übungen!$K$14&lt;&gt;"",Übungen!$K$14&lt;&gt;100),"     ·     Wiedereinstieg: "&amp;TEXT(Übungen!$K$14,"0")&amp;" % des berechneten Ziels",IF(IFERROR(INDEX(Rekorde!$Q$4:$Q$23,MATCH(Übungen!$A$14,Rekorde!$A$4:$A$23,0)),"")="","","     ·     Schritt: "&amp;IFERROR(INDEX(Rekorde!$Q$4:$Q$23,MATCH(Übungen!$A$14,Rekorde!$A$4:$A$23,0)),""))))</f>
        <v>Vorgabe: 3 × 5-6 Wdh @ RPE 9     ·     nach OP gesperrt bis Woche 2     ·     Schritt: Wdh +1 auf 6 bei gleichem Gewicht</v>
      </c>
      <c r="B483" s="109"/>
      <c r="C483" s="109"/>
      <c r="D483" s="109"/>
      <c r="E483" s="109"/>
      <c r="F483" s="109"/>
      <c r="G483" s="109"/>
      <c r="H483" s="109"/>
      <c r="I483" s="109"/>
    </row>
    <row r="484" customFormat="false" ht="18" hidden="false" customHeight="true" outlineLevel="0" collapsed="false">
      <c r="A484" s="110" t="s">
        <v>543</v>
      </c>
      <c r="B484" s="110" t="s">
        <v>544</v>
      </c>
      <c r="C484" s="110" t="s">
        <v>545</v>
      </c>
      <c r="D484" s="110" t="s">
        <v>546</v>
      </c>
      <c r="E484" s="110" t="s">
        <v>547</v>
      </c>
      <c r="F484" s="110" t="s">
        <v>454</v>
      </c>
      <c r="G484" s="110" t="s">
        <v>50</v>
      </c>
      <c r="H484" s="110" t="s">
        <v>548</v>
      </c>
      <c r="I484" s="110" t="s">
        <v>256</v>
      </c>
    </row>
    <row r="485" customFormat="false" ht="18" hidden="false" customHeight="true" outlineLevel="0" collapsed="false">
      <c r="A485" s="72" t="n">
        <v>1</v>
      </c>
      <c r="B485" s="70" t="s">
        <v>549</v>
      </c>
      <c r="C485" s="111" t="n">
        <f aca="false">IF(OR(FALSE(),Übungen!$L$14="pause"),"",IF(IFERROR(INDEX(Rekorde!$O$4:$O$23,MATCH(Übungen!$A$14,Rekorde!$A$4:$A$23,0)),"")="","",ROUND(IFERROR(INDEX(Rekorde!$O$4:$O$23,MATCH(Übungen!$A$14,Rekorde!$A$4:$A$23,0)),"")*0.4*2,0)/2))</f>
        <v>18</v>
      </c>
      <c r="D485" s="112"/>
      <c r="E485" s="113"/>
      <c r="F485" s="113"/>
      <c r="G485" s="113"/>
      <c r="H485" s="113"/>
      <c r="I485" s="113"/>
    </row>
    <row r="486" customFormat="false" ht="18" hidden="false" customHeight="true" outlineLevel="0" collapsed="false">
      <c r="A486" s="72" t="n">
        <v>2</v>
      </c>
      <c r="B486" s="70" t="s">
        <v>550</v>
      </c>
      <c r="C486" s="111" t="n">
        <f aca="false">IF(OR(FALSE(),Übungen!$L$14="pause"),"",IF(IFERROR(INDEX(Rekorde!$O$4:$O$23,MATCH(Übungen!$A$14,Rekorde!$A$4:$A$23,0)),"")="","",ROUND(IFERROR(INDEX(Rekorde!$O$4:$O$23,MATCH(Übungen!$A$14,Rekorde!$A$4:$A$23,0)),"")*0.7*2,0)/2))</f>
        <v>31.5</v>
      </c>
      <c r="D486" s="112"/>
      <c r="E486" s="113"/>
      <c r="F486" s="113"/>
      <c r="G486" s="113"/>
      <c r="H486" s="113"/>
      <c r="I486" s="113"/>
    </row>
    <row r="487" customFormat="false" ht="18" hidden="false" customHeight="true" outlineLevel="0" collapsed="false">
      <c r="A487" s="72" t="n">
        <v>3</v>
      </c>
      <c r="B487" s="114" t="s">
        <v>551</v>
      </c>
      <c r="C487" s="115" t="n">
        <f aca="false">IF(OR(FALSE(),Übungen!$L$14="pause"),"",IF(IFERROR(INDEX(Rekorde!$O$4:$O$23,MATCH(Übungen!$A$14,Rekorde!$A$4:$A$23,0)),"")="","",ROUND(IFERROR(INDEX(Rekorde!$O$4:$O$23,MATCH(Übungen!$A$14,Rekorde!$A$4:$A$23,0)),"")*1*2,0)/2))</f>
        <v>45</v>
      </c>
      <c r="D487" s="116" t="n">
        <f aca="false">IF(OR(FALSE(),Übungen!$L$14="pause"),"",IF(IFERROR(INDEX(Rekorde!$P$4:$P$23,MATCH(Übungen!$A$14,Rekorde!$A$4:$A$23,0)),"")="","",MIN(Übungen!$E$14,IFERROR(INDEX(Rekorde!$P$4:$P$23,MATCH(Übungen!$A$14,Rekorde!$A$4:$A$23,0)),"")+0)))</f>
        <v>6</v>
      </c>
      <c r="E487" s="113"/>
      <c r="F487" s="113"/>
      <c r="G487" s="113"/>
      <c r="H487" s="113"/>
      <c r="I487" s="113"/>
    </row>
    <row r="488" customFormat="false" ht="18" hidden="false" customHeight="true" outlineLevel="0" collapsed="false">
      <c r="A488" s="72" t="n">
        <v>4</v>
      </c>
      <c r="B488" s="114" t="s">
        <v>552</v>
      </c>
      <c r="C488" s="111" t="n">
        <f aca="false">IF(OR(FALSE(),Übungen!$L$14="pause"),"",IF(IFERROR(INDEX(Rekorde!$O$4:$O$23,MATCH(Übungen!$A$14,Rekorde!$A$4:$A$23,0)),"")="","",ROUND(IFERROR(INDEX(Rekorde!$O$4:$O$23,MATCH(Übungen!$A$14,Rekorde!$A$4:$A$23,0)),"")*0.95*2,0)/2))</f>
        <v>43</v>
      </c>
      <c r="D488" s="116" t="n">
        <f aca="false">IF(OR(FALSE(),Übungen!$L$14="pause"),"",IF(IFERROR(INDEX(Rekorde!$P$4:$P$23,MATCH(Übungen!$A$14,Rekorde!$A$4:$A$23,0)),"")="","",MIN(Übungen!$E$14,IFERROR(INDEX(Rekorde!$P$4:$P$23,MATCH(Übungen!$A$14,Rekorde!$A$4:$A$23,0)),"")+1)))</f>
        <v>6</v>
      </c>
      <c r="E488" s="113"/>
      <c r="F488" s="113"/>
      <c r="G488" s="113"/>
      <c r="H488" s="113"/>
      <c r="I488" s="113"/>
    </row>
    <row r="489" customFormat="false" ht="18" hidden="false" customHeight="true" outlineLevel="0" collapsed="false">
      <c r="A489" s="72" t="n">
        <v>5</v>
      </c>
      <c r="B489" s="114" t="s">
        <v>553</v>
      </c>
      <c r="C489" s="111" t="n">
        <f aca="false">IF(OR(FALSE(),Übungen!$L$14="pause"),"",IF(IFERROR(INDEX(Rekorde!$O$4:$O$23,MATCH(Übungen!$A$14,Rekorde!$A$4:$A$23,0)),"")="","",ROUND(IFERROR(INDEX(Rekorde!$O$4:$O$23,MATCH(Übungen!$A$14,Rekorde!$A$4:$A$23,0)),"")*0.9*2,0)/2))</f>
        <v>40.5</v>
      </c>
      <c r="D489" s="116" t="n">
        <f aca="false">IF(OR(FALSE(),Übungen!$L$14="pause"),"",IF(IFERROR(INDEX(Rekorde!$P$4:$P$23,MATCH(Übungen!$A$14,Rekorde!$A$4:$A$23,0)),"")="","",MIN(Übungen!$E$14,IFERROR(INDEX(Rekorde!$P$4:$P$23,MATCH(Übungen!$A$14,Rekorde!$A$4:$A$23,0)),"")+2)))</f>
        <v>6</v>
      </c>
      <c r="E489" s="113"/>
      <c r="F489" s="113"/>
      <c r="G489" s="113"/>
      <c r="H489" s="113"/>
      <c r="I489" s="113"/>
    </row>
    <row r="491" customFormat="false" ht="18.75" hidden="false" customHeight="true" outlineLevel="0" collapsed="false">
      <c r="A491" s="107" t="str">
        <f aca="false">Übungen!$A$15</f>
        <v>Seitliche Kickbacks</v>
      </c>
      <c r="B491" s="107"/>
      <c r="C491" s="107"/>
      <c r="D491" s="107"/>
      <c r="E491" s="107"/>
      <c r="F491" s="107"/>
      <c r="G491" s="107"/>
      <c r="H491" s="107"/>
      <c r="I491" s="107"/>
    </row>
    <row r="492" customFormat="false" ht="13.5" hidden="false" customHeight="true" outlineLevel="0" collapsed="false">
      <c r="A492" s="108" t="str">
        <f aca="false">IF(OR(FALSE(),Übungen!$L$15="pause"),IF(Übungen!$L$15="pause","PAUSE - vorübergehend ausgesetzt, Grund im Blatt 'Übungen'     ·     ",""),IF(IFERROR(INDEX(Rekorde!$L$4:$L$23,MATCH(Übungen!$A$15,Rekorde!$A$4:$A$23,0)),"")="",IF(IFERROR(INDEX(Rekorde!$O$4:$O$23,MATCH(Übungen!$A$15,Rekorde!$A$4:$A$23,0)),"")="","Neu im Plan - Startgewicht im Blatt 'Übungen' eintragen     ·     ","Neu im Plan     ·     Start: "&amp;TEXT(IFERROR(INDEX(Rekorde!$O$4:$O$23,MATCH(Übungen!$A$15,Rekorde!$A$4:$A$23,0)),""),"0.#")&amp;" kg     ·     "),"Zuletzt: "&amp;TEXT(IFERROR(INDEX(Rekorde!$L$4:$L$23,MATCH(Übungen!$A$15,Rekorde!$A$4:$A$23,0)),""),"0.#")&amp;" kg × "&amp;IF(IFERROR(INDEX(Rekorde!$M$4:$M$23,MATCH(Übungen!$A$15,Rekorde!$A$4:$A$23,0)),"")="","?",TEXT(IFERROR(INDEX(Rekorde!$M$4:$M$23,MATCH(Übungen!$A$15,Rekorde!$A$4:$A$23,0)),""),"0"))&amp;" Wdh     ·     Bestwert: "&amp;TEXT(IFERROR(INDEX(Rekorde!$F$4:$F$23,MATCH(Übungen!$A$15,Rekorde!$A$4:$A$23,0)),""),"0.#")&amp;" kg     ·     "&amp;IF(IFERROR(INDEX(Rekorde!$O$4:$O$23,MATCH(Übungen!$A$15,Rekorde!$A$4:$A$23,0)),"")="","","Ziel heute: "&amp;TEXT(IFERROR(INDEX(Rekorde!$O$4:$O$23,MATCH(Übungen!$A$15,Rekorde!$A$4:$A$23,0)),""),"0.#")&amp;" kg × "&amp;IF(IFERROR(INDEX(Rekorde!$P$4:$P$23,MATCH(Übungen!$A$15,Rekorde!$A$4:$A$23,0)),"")="","",TEXT(IFERROR(INDEX(Rekorde!$P$4:$P$23,MATCH(Übungen!$A$15,Rekorde!$A$4:$A$23,0)),""),"0")&amp;" Wdh")&amp;"     ·     ")&amp;IF(AND(Übungen!$I$15&lt;&gt;"",IFERROR(INDEX(Rekorde!$O$4:$O$23,MATCH(Übungen!$A$15,Rekorde!$A$4:$A$23,0)),"")&lt;&gt;"",IFERROR(INDEX(Rekorde!$O$4:$O$23,MATCH(Übungen!$A$15,Rekorde!$A$4:$A$23,0)),"")&gt;=Übungen!$I$15),"Stackende, über Tempo und Pausen steigern     ·     ","")))</f>
        <v>Zuletzt: 36 kg × 10 Wdh     ·     Bestwert: 49 kg     ·     Ziel heute: 40 kg × 5 Wdh     ·     </v>
      </c>
      <c r="B492" s="108"/>
      <c r="C492" s="108"/>
      <c r="D492" s="108"/>
      <c r="E492" s="108"/>
      <c r="F492" s="108"/>
      <c r="G492" s="108"/>
      <c r="H492" s="108"/>
      <c r="I492" s="108"/>
    </row>
    <row r="493" customFormat="false" ht="13.5" hidden="false" customHeight="true" outlineLevel="0" collapsed="false">
      <c r="A493" s="109" t="str">
        <f aca="false">"Vorgabe: "&amp;Übungen!$F$15&amp;" × "&amp;Übungen!$D$15&amp;"-"&amp;Übungen!$E$15&amp;" Wdh @ RPE "&amp;Übungen!$G$15&amp;IF(OR(Übungen!$M$15="",Übungen!$M$15&lt;=1),"","     ·     nach OP gesperrt bis Woche "&amp;Übungen!$M$15)&amp;IF(OR(FALSE(),Übungen!$L$15="pause"),"",IF(AND(Übungen!$K$15&lt;&gt;"",Übungen!$K$15&lt;&gt;100),"     ·     Wiedereinstieg: "&amp;TEXT(Übungen!$K$15,"0")&amp;" % des berechneten Ziels",IF(IFERROR(INDEX(Rekorde!$Q$4:$Q$23,MATCH(Übungen!$A$15,Rekorde!$A$4:$A$23,0)),"")="","","     ·     Schritt: "&amp;IFERROR(INDEX(Rekorde!$Q$4:$Q$23,MATCH(Übungen!$A$15,Rekorde!$A$4:$A$23,0)),""))))</f>
        <v>Vorgabe: 3 × 5-6 Wdh @ RPE 9     ·     nach OP gesperrt bis Woche 6     ·     Schritt: RM-Korrektur nach 10 Wdh: +4 kg (11.1%), Wdh zurück auf 5</v>
      </c>
      <c r="B493" s="109"/>
      <c r="C493" s="109"/>
      <c r="D493" s="109"/>
      <c r="E493" s="109"/>
      <c r="F493" s="109"/>
      <c r="G493" s="109"/>
      <c r="H493" s="109"/>
      <c r="I493" s="109"/>
    </row>
    <row r="494" customFormat="false" ht="18" hidden="false" customHeight="true" outlineLevel="0" collapsed="false">
      <c r="A494" s="110" t="s">
        <v>543</v>
      </c>
      <c r="B494" s="110" t="s">
        <v>544</v>
      </c>
      <c r="C494" s="110" t="s">
        <v>545</v>
      </c>
      <c r="D494" s="110" t="s">
        <v>546</v>
      </c>
      <c r="E494" s="110" t="s">
        <v>547</v>
      </c>
      <c r="F494" s="110" t="s">
        <v>454</v>
      </c>
      <c r="G494" s="110" t="s">
        <v>50</v>
      </c>
      <c r="H494" s="110" t="s">
        <v>548</v>
      </c>
      <c r="I494" s="110" t="s">
        <v>256</v>
      </c>
    </row>
    <row r="495" customFormat="false" ht="18" hidden="false" customHeight="true" outlineLevel="0" collapsed="false">
      <c r="A495" s="72" t="n">
        <v>1</v>
      </c>
      <c r="B495" s="70" t="s">
        <v>549</v>
      </c>
      <c r="C495" s="111" t="n">
        <f aca="false">IF(OR(FALSE(),Übungen!$L$15="pause"),"",IF(IFERROR(INDEX(Rekorde!$O$4:$O$23,MATCH(Übungen!$A$15,Rekorde!$A$4:$A$23,0)),"")="","",ROUND(IFERROR(INDEX(Rekorde!$O$4:$O$23,MATCH(Übungen!$A$15,Rekorde!$A$4:$A$23,0)),"")*0.4*2,0)/2))</f>
        <v>16</v>
      </c>
      <c r="D495" s="112"/>
      <c r="E495" s="113"/>
      <c r="F495" s="113"/>
      <c r="G495" s="113"/>
      <c r="H495" s="113"/>
      <c r="I495" s="113"/>
    </row>
    <row r="496" customFormat="false" ht="18" hidden="false" customHeight="true" outlineLevel="0" collapsed="false">
      <c r="A496" s="72" t="n">
        <v>2</v>
      </c>
      <c r="B496" s="70" t="s">
        <v>550</v>
      </c>
      <c r="C496" s="111" t="n">
        <f aca="false">IF(OR(FALSE(),Übungen!$L$15="pause"),"",IF(IFERROR(INDEX(Rekorde!$O$4:$O$23,MATCH(Übungen!$A$15,Rekorde!$A$4:$A$23,0)),"")="","",ROUND(IFERROR(INDEX(Rekorde!$O$4:$O$23,MATCH(Übungen!$A$15,Rekorde!$A$4:$A$23,0)),"")*0.7*2,0)/2))</f>
        <v>28</v>
      </c>
      <c r="D496" s="112"/>
      <c r="E496" s="113"/>
      <c r="F496" s="113"/>
      <c r="G496" s="113"/>
      <c r="H496" s="113"/>
      <c r="I496" s="113"/>
    </row>
    <row r="497" customFormat="false" ht="18" hidden="false" customHeight="true" outlineLevel="0" collapsed="false">
      <c r="A497" s="72" t="n">
        <v>3</v>
      </c>
      <c r="B497" s="114" t="s">
        <v>551</v>
      </c>
      <c r="C497" s="115" t="n">
        <f aca="false">IF(OR(FALSE(),Übungen!$L$15="pause"),"",IF(IFERROR(INDEX(Rekorde!$O$4:$O$23,MATCH(Übungen!$A$15,Rekorde!$A$4:$A$23,0)),"")="","",ROUND(IFERROR(INDEX(Rekorde!$O$4:$O$23,MATCH(Übungen!$A$15,Rekorde!$A$4:$A$23,0)),"")*1*2,0)/2))</f>
        <v>40</v>
      </c>
      <c r="D497" s="116" t="n">
        <f aca="false">IF(OR(FALSE(),Übungen!$L$15="pause"),"",IF(IFERROR(INDEX(Rekorde!$P$4:$P$23,MATCH(Übungen!$A$15,Rekorde!$A$4:$A$23,0)),"")="","",MIN(Übungen!$E$15,IFERROR(INDEX(Rekorde!$P$4:$P$23,MATCH(Übungen!$A$15,Rekorde!$A$4:$A$23,0)),"")+0)))</f>
        <v>5</v>
      </c>
      <c r="E497" s="113"/>
      <c r="F497" s="113"/>
      <c r="G497" s="113"/>
      <c r="H497" s="113"/>
      <c r="I497" s="113"/>
    </row>
    <row r="498" customFormat="false" ht="18" hidden="false" customHeight="true" outlineLevel="0" collapsed="false">
      <c r="A498" s="72" t="n">
        <v>4</v>
      </c>
      <c r="B498" s="114" t="s">
        <v>552</v>
      </c>
      <c r="C498" s="111" t="n">
        <f aca="false">IF(OR(FALSE(),Übungen!$L$15="pause"),"",IF(IFERROR(INDEX(Rekorde!$O$4:$O$23,MATCH(Übungen!$A$15,Rekorde!$A$4:$A$23,0)),"")="","",ROUND(IFERROR(INDEX(Rekorde!$O$4:$O$23,MATCH(Übungen!$A$15,Rekorde!$A$4:$A$23,0)),"")*0.95*2,0)/2))</f>
        <v>38</v>
      </c>
      <c r="D498" s="116" t="n">
        <f aca="false">IF(OR(FALSE(),Übungen!$L$15="pause"),"",IF(IFERROR(INDEX(Rekorde!$P$4:$P$23,MATCH(Übungen!$A$15,Rekorde!$A$4:$A$23,0)),"")="","",MIN(Übungen!$E$15,IFERROR(INDEX(Rekorde!$P$4:$P$23,MATCH(Übungen!$A$15,Rekorde!$A$4:$A$23,0)),"")+1)))</f>
        <v>6</v>
      </c>
      <c r="E498" s="113"/>
      <c r="F498" s="113"/>
      <c r="G498" s="113"/>
      <c r="H498" s="113"/>
      <c r="I498" s="113"/>
    </row>
    <row r="499" customFormat="false" ht="18" hidden="false" customHeight="true" outlineLevel="0" collapsed="false">
      <c r="A499" s="72" t="n">
        <v>5</v>
      </c>
      <c r="B499" s="114" t="s">
        <v>553</v>
      </c>
      <c r="C499" s="111" t="n">
        <f aca="false">IF(OR(FALSE(),Übungen!$L$15="pause"),"",IF(IFERROR(INDEX(Rekorde!$O$4:$O$23,MATCH(Übungen!$A$15,Rekorde!$A$4:$A$23,0)),"")="","",ROUND(IFERROR(INDEX(Rekorde!$O$4:$O$23,MATCH(Übungen!$A$15,Rekorde!$A$4:$A$23,0)),"")*0.9*2,0)/2))</f>
        <v>36</v>
      </c>
      <c r="D499" s="116" t="n">
        <f aca="false">IF(OR(FALSE(),Übungen!$L$15="pause"),"",IF(IFERROR(INDEX(Rekorde!$P$4:$P$23,MATCH(Übungen!$A$15,Rekorde!$A$4:$A$23,0)),"")="","",MIN(Übungen!$E$15,IFERROR(INDEX(Rekorde!$P$4:$P$23,MATCH(Übungen!$A$15,Rekorde!$A$4:$A$23,0)),"")+2)))</f>
        <v>6</v>
      </c>
      <c r="E499" s="113"/>
      <c r="F499" s="113"/>
      <c r="G499" s="113"/>
      <c r="H499" s="113"/>
      <c r="I499" s="113"/>
    </row>
    <row r="501" customFormat="false" ht="18.75" hidden="false" customHeight="true" outlineLevel="0" collapsed="false">
      <c r="A501" s="107" t="str">
        <f aca="false">Übungen!$A$16</f>
        <v>Waden</v>
      </c>
      <c r="B501" s="107"/>
      <c r="C501" s="107"/>
      <c r="D501" s="107"/>
      <c r="E501" s="107"/>
      <c r="F501" s="107"/>
      <c r="G501" s="107"/>
      <c r="H501" s="107"/>
      <c r="I501" s="107"/>
    </row>
    <row r="502" customFormat="false" ht="13.5" hidden="false" customHeight="true" outlineLevel="0" collapsed="false">
      <c r="A502" s="108" t="str">
        <f aca="false">IF(OR(FALSE(),Übungen!$L$16="pause"),IF(Übungen!$L$16="pause","PAUSE - vorübergehend ausgesetzt, Grund im Blatt 'Übungen'     ·     ",""),IF(IFERROR(INDEX(Rekorde!$L$4:$L$23,MATCH(Übungen!$A$16,Rekorde!$A$4:$A$23,0)),"")="",IF(IFERROR(INDEX(Rekorde!$O$4:$O$23,MATCH(Übungen!$A$16,Rekorde!$A$4:$A$23,0)),"")="","Neu im Plan - Startgewicht im Blatt 'Übungen' eintragen     ·     ","Neu im Plan     ·     Start: "&amp;TEXT(IFERROR(INDEX(Rekorde!$O$4:$O$23,MATCH(Übungen!$A$16,Rekorde!$A$4:$A$23,0)),""),"0.#")&amp;" kg     ·     "),"Zuletzt: "&amp;TEXT(IFERROR(INDEX(Rekorde!$L$4:$L$23,MATCH(Übungen!$A$16,Rekorde!$A$4:$A$23,0)),""),"0.#")&amp;" kg × "&amp;IF(IFERROR(INDEX(Rekorde!$M$4:$M$23,MATCH(Übungen!$A$16,Rekorde!$A$4:$A$23,0)),"")="","?",TEXT(IFERROR(INDEX(Rekorde!$M$4:$M$23,MATCH(Übungen!$A$16,Rekorde!$A$4:$A$23,0)),""),"0"))&amp;" Wdh     ·     Bestwert: "&amp;TEXT(IFERROR(INDEX(Rekorde!$F$4:$F$23,MATCH(Übungen!$A$16,Rekorde!$A$4:$A$23,0)),""),"0.#")&amp;" kg     ·     "&amp;IF(IFERROR(INDEX(Rekorde!$O$4:$O$23,MATCH(Übungen!$A$16,Rekorde!$A$4:$A$23,0)),"")="","","Ziel heute: "&amp;TEXT(IFERROR(INDEX(Rekorde!$O$4:$O$23,MATCH(Übungen!$A$16,Rekorde!$A$4:$A$23,0)),""),"0.#")&amp;" kg × "&amp;IF(IFERROR(INDEX(Rekorde!$P$4:$P$23,MATCH(Übungen!$A$16,Rekorde!$A$4:$A$23,0)),"")="","",TEXT(IFERROR(INDEX(Rekorde!$P$4:$P$23,MATCH(Übungen!$A$16,Rekorde!$A$4:$A$23,0)),""),"0")&amp;" Wdh")&amp;"     ·     ")&amp;IF(AND(Übungen!$I$16&lt;&gt;"",IFERROR(INDEX(Rekorde!$O$4:$O$23,MATCH(Übungen!$A$16,Rekorde!$A$4:$A$23,0)),"")&lt;&gt;"",IFERROR(INDEX(Rekorde!$O$4:$O$23,MATCH(Übungen!$A$16,Rekorde!$A$4:$A$23,0)),"")&gt;=Übungen!$I$16),"Stackende, über Tempo und Pausen steigern     ·     ","")))</f>
        <v>Zuletzt: 190 kg × 5 Wdh     ·     Bestwert: 190 kg     ·     Ziel heute: 190 kg × 6 Wdh     ·     </v>
      </c>
      <c r="B502" s="108"/>
      <c r="C502" s="108"/>
      <c r="D502" s="108"/>
      <c r="E502" s="108"/>
      <c r="F502" s="108"/>
      <c r="G502" s="108"/>
      <c r="H502" s="108"/>
      <c r="I502" s="108"/>
    </row>
    <row r="503" customFormat="false" ht="13.5" hidden="false" customHeight="true" outlineLevel="0" collapsed="false">
      <c r="A503" s="109" t="str">
        <f aca="false">"Vorgabe: "&amp;Übungen!$F$16&amp;" × "&amp;Übungen!$D$16&amp;"-"&amp;Übungen!$E$16&amp;" Wdh @ RPE "&amp;Übungen!$G$16&amp;IF(OR(Übungen!$M$16="",Übungen!$M$16&lt;=1),"","     ·     nach OP gesperrt bis Woche "&amp;Übungen!$M$16)&amp;IF(OR(FALSE(),Übungen!$L$16="pause"),"",IF(AND(Übungen!$K$16&lt;&gt;"",Übungen!$K$16&lt;&gt;100),"     ·     Wiedereinstieg: "&amp;TEXT(Übungen!$K$16,"0")&amp;" % des berechneten Ziels",IF(IFERROR(INDEX(Rekorde!$Q$4:$Q$23,MATCH(Übungen!$A$16,Rekorde!$A$4:$A$23,0)),"")="","","     ·     Schritt: "&amp;IFERROR(INDEX(Rekorde!$Q$4:$Q$23,MATCH(Übungen!$A$16,Rekorde!$A$4:$A$23,0)),""))))</f>
        <v>Vorgabe: 3 × 5-6 Wdh @ RPE 9     ·     nach OP gesperrt bis Woche 2     ·     Schritt: Wdh +1 auf 6 bei gleichem Gewicht</v>
      </c>
      <c r="B503" s="109"/>
      <c r="C503" s="109"/>
      <c r="D503" s="109"/>
      <c r="E503" s="109"/>
      <c r="F503" s="109"/>
      <c r="G503" s="109"/>
      <c r="H503" s="109"/>
      <c r="I503" s="109"/>
    </row>
    <row r="504" customFormat="false" ht="18" hidden="false" customHeight="true" outlineLevel="0" collapsed="false">
      <c r="A504" s="110" t="s">
        <v>543</v>
      </c>
      <c r="B504" s="110" t="s">
        <v>544</v>
      </c>
      <c r="C504" s="110" t="s">
        <v>545</v>
      </c>
      <c r="D504" s="110" t="s">
        <v>546</v>
      </c>
      <c r="E504" s="110" t="s">
        <v>547</v>
      </c>
      <c r="F504" s="110" t="s">
        <v>454</v>
      </c>
      <c r="G504" s="110" t="s">
        <v>50</v>
      </c>
      <c r="H504" s="110" t="s">
        <v>548</v>
      </c>
      <c r="I504" s="110" t="s">
        <v>256</v>
      </c>
    </row>
    <row r="505" customFormat="false" ht="18" hidden="false" customHeight="true" outlineLevel="0" collapsed="false">
      <c r="A505" s="72" t="n">
        <v>1</v>
      </c>
      <c r="B505" s="70" t="s">
        <v>549</v>
      </c>
      <c r="C505" s="111" t="n">
        <f aca="false">IF(OR(FALSE(),Übungen!$L$16="pause"),"",IF(IFERROR(INDEX(Rekorde!$O$4:$O$23,MATCH(Übungen!$A$16,Rekorde!$A$4:$A$23,0)),"")="","",ROUND(IFERROR(INDEX(Rekorde!$O$4:$O$23,MATCH(Übungen!$A$16,Rekorde!$A$4:$A$23,0)),"")*0.4*2,0)/2))</f>
        <v>76</v>
      </c>
      <c r="D505" s="112"/>
      <c r="E505" s="113"/>
      <c r="F505" s="113"/>
      <c r="G505" s="113"/>
      <c r="H505" s="113"/>
      <c r="I505" s="113"/>
    </row>
    <row r="506" customFormat="false" ht="18" hidden="false" customHeight="true" outlineLevel="0" collapsed="false">
      <c r="A506" s="72" t="n">
        <v>2</v>
      </c>
      <c r="B506" s="70" t="s">
        <v>550</v>
      </c>
      <c r="C506" s="111" t="n">
        <f aca="false">IF(OR(FALSE(),Übungen!$L$16="pause"),"",IF(IFERROR(INDEX(Rekorde!$O$4:$O$23,MATCH(Übungen!$A$16,Rekorde!$A$4:$A$23,0)),"")="","",ROUND(IFERROR(INDEX(Rekorde!$O$4:$O$23,MATCH(Übungen!$A$16,Rekorde!$A$4:$A$23,0)),"")*0.7*2,0)/2))</f>
        <v>133</v>
      </c>
      <c r="D506" s="112"/>
      <c r="E506" s="113"/>
      <c r="F506" s="113"/>
      <c r="G506" s="113"/>
      <c r="H506" s="113"/>
      <c r="I506" s="113"/>
    </row>
    <row r="507" customFormat="false" ht="18" hidden="false" customHeight="true" outlineLevel="0" collapsed="false">
      <c r="A507" s="72" t="n">
        <v>3</v>
      </c>
      <c r="B507" s="114" t="s">
        <v>551</v>
      </c>
      <c r="C507" s="115" t="n">
        <f aca="false">IF(OR(FALSE(),Übungen!$L$16="pause"),"",IF(IFERROR(INDEX(Rekorde!$O$4:$O$23,MATCH(Übungen!$A$16,Rekorde!$A$4:$A$23,0)),"")="","",ROUND(IFERROR(INDEX(Rekorde!$O$4:$O$23,MATCH(Übungen!$A$16,Rekorde!$A$4:$A$23,0)),"")*1*2,0)/2))</f>
        <v>190</v>
      </c>
      <c r="D507" s="116" t="n">
        <f aca="false">IF(OR(FALSE(),Übungen!$L$16="pause"),"",IF(IFERROR(INDEX(Rekorde!$P$4:$P$23,MATCH(Übungen!$A$16,Rekorde!$A$4:$A$23,0)),"")="","",MIN(Übungen!$E$16,IFERROR(INDEX(Rekorde!$P$4:$P$23,MATCH(Übungen!$A$16,Rekorde!$A$4:$A$23,0)),"")+0)))</f>
        <v>6</v>
      </c>
      <c r="E507" s="113"/>
      <c r="F507" s="113"/>
      <c r="G507" s="113"/>
      <c r="H507" s="113"/>
      <c r="I507" s="113"/>
    </row>
    <row r="508" customFormat="false" ht="18" hidden="false" customHeight="true" outlineLevel="0" collapsed="false">
      <c r="A508" s="72" t="n">
        <v>4</v>
      </c>
      <c r="B508" s="114" t="s">
        <v>552</v>
      </c>
      <c r="C508" s="111" t="n">
        <f aca="false">IF(OR(FALSE(),Übungen!$L$16="pause"),"",IF(IFERROR(INDEX(Rekorde!$O$4:$O$23,MATCH(Übungen!$A$16,Rekorde!$A$4:$A$23,0)),"")="","",ROUND(IFERROR(INDEX(Rekorde!$O$4:$O$23,MATCH(Übungen!$A$16,Rekorde!$A$4:$A$23,0)),"")*0.95*2,0)/2))</f>
        <v>180.5</v>
      </c>
      <c r="D508" s="116" t="n">
        <f aca="false">IF(OR(FALSE(),Übungen!$L$16="pause"),"",IF(IFERROR(INDEX(Rekorde!$P$4:$P$23,MATCH(Übungen!$A$16,Rekorde!$A$4:$A$23,0)),"")="","",MIN(Übungen!$E$16,IFERROR(INDEX(Rekorde!$P$4:$P$23,MATCH(Übungen!$A$16,Rekorde!$A$4:$A$23,0)),"")+1)))</f>
        <v>6</v>
      </c>
      <c r="E508" s="113"/>
      <c r="F508" s="113"/>
      <c r="G508" s="113"/>
      <c r="H508" s="113"/>
      <c r="I508" s="113"/>
    </row>
    <row r="509" customFormat="false" ht="18" hidden="false" customHeight="true" outlineLevel="0" collapsed="false">
      <c r="A509" s="72" t="n">
        <v>5</v>
      </c>
      <c r="B509" s="114" t="s">
        <v>553</v>
      </c>
      <c r="C509" s="111" t="n">
        <f aca="false">IF(OR(FALSE(),Übungen!$L$16="pause"),"",IF(IFERROR(INDEX(Rekorde!$O$4:$O$23,MATCH(Übungen!$A$16,Rekorde!$A$4:$A$23,0)),"")="","",ROUND(IFERROR(INDEX(Rekorde!$O$4:$O$23,MATCH(Übungen!$A$16,Rekorde!$A$4:$A$23,0)),"")*0.9*2,0)/2))</f>
        <v>171</v>
      </c>
      <c r="D509" s="116" t="n">
        <f aca="false">IF(OR(FALSE(),Übungen!$L$16="pause"),"",IF(IFERROR(INDEX(Rekorde!$P$4:$P$23,MATCH(Übungen!$A$16,Rekorde!$A$4:$A$23,0)),"")="","",MIN(Übungen!$E$16,IFERROR(INDEX(Rekorde!$P$4:$P$23,MATCH(Übungen!$A$16,Rekorde!$A$4:$A$23,0)),"")+2)))</f>
        <v>6</v>
      </c>
      <c r="E509" s="113"/>
      <c r="F509" s="113"/>
      <c r="G509" s="113"/>
      <c r="H509" s="113"/>
      <c r="I509" s="113"/>
    </row>
    <row r="511" customFormat="false" ht="15.75" hidden="false" customHeight="true" outlineLevel="0" collapsed="false">
      <c r="A511" s="3" t="s">
        <v>554</v>
      </c>
      <c r="B511" s="3"/>
      <c r="C511" s="3"/>
      <c r="D511" s="3"/>
      <c r="E511" s="3"/>
      <c r="F511" s="3"/>
      <c r="G511" s="3"/>
      <c r="H511" s="3"/>
      <c r="I511" s="3"/>
    </row>
    <row r="512" customFormat="false" ht="18" hidden="false" customHeight="true" outlineLevel="0" collapsed="false">
      <c r="A512" s="117"/>
      <c r="B512" s="117"/>
      <c r="C512" s="117"/>
      <c r="D512" s="117"/>
      <c r="E512" s="117"/>
      <c r="F512" s="117"/>
      <c r="G512" s="117"/>
      <c r="H512" s="117"/>
      <c r="I512" s="117"/>
    </row>
    <row r="513" customFormat="false" ht="18" hidden="false" customHeight="true" outlineLevel="0" collapsed="false">
      <c r="A513" s="117"/>
      <c r="B513" s="117"/>
      <c r="C513" s="117"/>
      <c r="D513" s="117"/>
      <c r="E513" s="117"/>
      <c r="F513" s="117"/>
      <c r="G513" s="117"/>
      <c r="H513" s="117"/>
      <c r="I513" s="117"/>
    </row>
    <row r="515" customFormat="false" ht="27.75" hidden="false" customHeight="true" outlineLevel="0" collapsed="false">
      <c r="A515" s="1" t="s">
        <v>562</v>
      </c>
      <c r="B515" s="1"/>
      <c r="C515" s="1"/>
      <c r="D515" s="1"/>
      <c r="E515" s="1"/>
      <c r="F515" s="1"/>
      <c r="G515" s="1"/>
      <c r="H515" s="1"/>
      <c r="I515" s="1"/>
    </row>
    <row r="516" customFormat="false" ht="12" hidden="false" customHeight="true" outlineLevel="0" collapsed="false">
      <c r="A516" s="104" t="s">
        <v>75</v>
      </c>
      <c r="B516" s="104"/>
      <c r="C516" s="105" t="s">
        <v>539</v>
      </c>
      <c r="D516" s="105" t="s">
        <v>540</v>
      </c>
      <c r="E516" s="104" t="s">
        <v>541</v>
      </c>
      <c r="F516" s="104"/>
      <c r="G516" s="104" t="s">
        <v>542</v>
      </c>
      <c r="H516" s="104"/>
    </row>
    <row r="517" customFormat="false" ht="18" hidden="false" customHeight="true" outlineLevel="0" collapsed="false">
      <c r="A517" s="106"/>
      <c r="B517" s="106"/>
      <c r="C517" s="106"/>
      <c r="D517" s="106"/>
      <c r="E517" s="106"/>
      <c r="F517" s="106"/>
      <c r="G517" s="106"/>
      <c r="H517" s="106"/>
    </row>
    <row r="519" customFormat="false" ht="18.75" hidden="false" customHeight="true" outlineLevel="0" collapsed="false">
      <c r="A519" s="107" t="str">
        <f aca="false">Übungen!$A$17</f>
        <v>Squat Maschine Bülach</v>
      </c>
      <c r="B519" s="107"/>
      <c r="C519" s="107"/>
      <c r="D519" s="107"/>
      <c r="E519" s="107"/>
      <c r="F519" s="107"/>
      <c r="G519" s="107"/>
      <c r="H519" s="107"/>
      <c r="I519" s="107"/>
    </row>
    <row r="520" customFormat="false" ht="13.5" hidden="false" customHeight="true" outlineLevel="0" collapsed="false">
      <c r="A520" s="108" t="str">
        <f aca="false">IF(OR(FALSE(),Übungen!$L$17="pause"),IF(Übungen!$L$17="pause","PAUSE - vorübergehend ausgesetzt, Grund im Blatt 'Übungen'     ·     ",""),IF(IFERROR(INDEX(Rekorde!$L$4:$L$23,MATCH(Übungen!$A$17,Rekorde!$A$4:$A$23,0)),"")="",IF(IFERROR(INDEX(Rekorde!$O$4:$O$23,MATCH(Übungen!$A$17,Rekorde!$A$4:$A$23,0)),"")="","Neu im Plan - Startgewicht im Blatt 'Übungen' eintragen     ·     ","Neu im Plan     ·     Start: "&amp;TEXT(IFERROR(INDEX(Rekorde!$O$4:$O$23,MATCH(Übungen!$A$17,Rekorde!$A$4:$A$23,0)),""),"0.#")&amp;" kg     ·     "),"Zuletzt: "&amp;TEXT(IFERROR(INDEX(Rekorde!$L$4:$L$23,MATCH(Übungen!$A$17,Rekorde!$A$4:$A$23,0)),""),"0.#")&amp;" kg × "&amp;IF(IFERROR(INDEX(Rekorde!$M$4:$M$23,MATCH(Übungen!$A$17,Rekorde!$A$4:$A$23,0)),"")="","?",TEXT(IFERROR(INDEX(Rekorde!$M$4:$M$23,MATCH(Übungen!$A$17,Rekorde!$A$4:$A$23,0)),""),"0"))&amp;" Wdh     ·     Bestwert: "&amp;TEXT(IFERROR(INDEX(Rekorde!$F$4:$F$23,MATCH(Übungen!$A$17,Rekorde!$A$4:$A$23,0)),""),"0.#")&amp;" kg     ·     "&amp;IF(IFERROR(INDEX(Rekorde!$O$4:$O$23,MATCH(Übungen!$A$17,Rekorde!$A$4:$A$23,0)),"")="","","Ziel heute: "&amp;TEXT(IFERROR(INDEX(Rekorde!$O$4:$O$23,MATCH(Übungen!$A$17,Rekorde!$A$4:$A$23,0)),""),"0.#")&amp;" kg × "&amp;IF(IFERROR(INDEX(Rekorde!$P$4:$P$23,MATCH(Übungen!$A$17,Rekorde!$A$4:$A$23,0)),"")="","",TEXT(IFERROR(INDEX(Rekorde!$P$4:$P$23,MATCH(Übungen!$A$17,Rekorde!$A$4:$A$23,0)),""),"0")&amp;" Wdh")&amp;"     ·     ")&amp;IF(AND(Übungen!$I$17&lt;&gt;"",IFERROR(INDEX(Rekorde!$O$4:$O$23,MATCH(Übungen!$A$17,Rekorde!$A$4:$A$23,0)),"")&lt;&gt;"",IFERROR(INDEX(Rekorde!$O$4:$O$23,MATCH(Übungen!$A$17,Rekorde!$A$4:$A$23,0)),"")&gt;=Übungen!$I$17),"Stackende, über Tempo und Pausen steigern     ·     ","")))</f>
        <v>Zuletzt: 120 kg × 9 Wdh     ·     Bestwert: 120 kg     ·     Ziel heute: 130 kg × 5 Wdh     ·     </v>
      </c>
      <c r="B520" s="108"/>
      <c r="C520" s="108"/>
      <c r="D520" s="108"/>
      <c r="E520" s="108"/>
      <c r="F520" s="108"/>
      <c r="G520" s="108"/>
      <c r="H520" s="108"/>
      <c r="I520" s="108"/>
    </row>
    <row r="521" customFormat="false" ht="13.5" hidden="false" customHeight="true" outlineLevel="0" collapsed="false">
      <c r="A521" s="109" t="str">
        <f aca="false">"Vorgabe: "&amp;Übungen!$F$17&amp;" × "&amp;Übungen!$D$17&amp;"-"&amp;Übungen!$E$17&amp;" Wdh @ RPE "&amp;Übungen!$G$17&amp;IF(OR(Übungen!$M$17="",Übungen!$M$17&lt;=1),"","     ·     nach OP gesperrt bis Woche "&amp;Übungen!$M$17)&amp;IF(OR(FALSE(),Übungen!$L$17="pause"),"",IF(AND(Übungen!$K$17&lt;&gt;"",Übungen!$K$17&lt;&gt;100),"     ·     Wiedereinstieg: "&amp;TEXT(Übungen!$K$17,"0")&amp;" % des berechneten Ziels",IF(IFERROR(INDEX(Rekorde!$Q$4:$Q$23,MATCH(Übungen!$A$17,Rekorde!$A$4:$A$23,0)),"")="","","     ·     Schritt: "&amp;IFERROR(INDEX(Rekorde!$Q$4:$Q$23,MATCH(Übungen!$A$17,Rekorde!$A$4:$A$23,0)),""))))</f>
        <v>Vorgabe: 3 × 5-6 Wdh @ RPE 8-9     ·     nach OP gesperrt bis Woche 12     ·     Schritt: RM-Korrektur nach 9 Wdh: +10 kg (8.3%), Wdh zurück auf 5</v>
      </c>
      <c r="B521" s="109"/>
      <c r="C521" s="109"/>
      <c r="D521" s="109"/>
      <c r="E521" s="109"/>
      <c r="F521" s="109"/>
      <c r="G521" s="109"/>
      <c r="H521" s="109"/>
      <c r="I521" s="109"/>
    </row>
    <row r="522" customFormat="false" ht="18" hidden="false" customHeight="true" outlineLevel="0" collapsed="false">
      <c r="A522" s="110" t="s">
        <v>543</v>
      </c>
      <c r="B522" s="110" t="s">
        <v>544</v>
      </c>
      <c r="C522" s="110" t="s">
        <v>545</v>
      </c>
      <c r="D522" s="110" t="s">
        <v>546</v>
      </c>
      <c r="E522" s="110" t="s">
        <v>547</v>
      </c>
      <c r="F522" s="110" t="s">
        <v>454</v>
      </c>
      <c r="G522" s="110" t="s">
        <v>50</v>
      </c>
      <c r="H522" s="110" t="s">
        <v>548</v>
      </c>
      <c r="I522" s="110" t="s">
        <v>256</v>
      </c>
    </row>
    <row r="523" customFormat="false" ht="18" hidden="false" customHeight="true" outlineLevel="0" collapsed="false">
      <c r="A523" s="72" t="n">
        <v>1</v>
      </c>
      <c r="B523" s="70" t="s">
        <v>549</v>
      </c>
      <c r="C523" s="111" t="n">
        <f aca="false">IF(OR(FALSE(),Übungen!$L$17="pause"),"",IF(IFERROR(INDEX(Rekorde!$O$4:$O$23,MATCH(Übungen!$A$17,Rekorde!$A$4:$A$23,0)),"")="","",ROUND(IFERROR(INDEX(Rekorde!$O$4:$O$23,MATCH(Übungen!$A$17,Rekorde!$A$4:$A$23,0)),"")*0.4*2,0)/2))</f>
        <v>52</v>
      </c>
      <c r="D523" s="112"/>
      <c r="E523" s="113"/>
      <c r="F523" s="113"/>
      <c r="G523" s="113"/>
      <c r="H523" s="113"/>
      <c r="I523" s="113"/>
    </row>
    <row r="524" customFormat="false" ht="18" hidden="false" customHeight="true" outlineLevel="0" collapsed="false">
      <c r="A524" s="72" t="n">
        <v>2</v>
      </c>
      <c r="B524" s="70" t="s">
        <v>550</v>
      </c>
      <c r="C524" s="111" t="n">
        <f aca="false">IF(OR(FALSE(),Übungen!$L$17="pause"),"",IF(IFERROR(INDEX(Rekorde!$O$4:$O$23,MATCH(Übungen!$A$17,Rekorde!$A$4:$A$23,0)),"")="","",ROUND(IFERROR(INDEX(Rekorde!$O$4:$O$23,MATCH(Übungen!$A$17,Rekorde!$A$4:$A$23,0)),"")*0.7*2,0)/2))</f>
        <v>91</v>
      </c>
      <c r="D524" s="112"/>
      <c r="E524" s="113"/>
      <c r="F524" s="113"/>
      <c r="G524" s="113"/>
      <c r="H524" s="113"/>
      <c r="I524" s="113"/>
    </row>
    <row r="525" customFormat="false" ht="18" hidden="false" customHeight="true" outlineLevel="0" collapsed="false">
      <c r="A525" s="72" t="n">
        <v>3</v>
      </c>
      <c r="B525" s="114" t="s">
        <v>551</v>
      </c>
      <c r="C525" s="115" t="n">
        <f aca="false">IF(OR(FALSE(),Übungen!$L$17="pause"),"",IF(IFERROR(INDEX(Rekorde!$O$4:$O$23,MATCH(Übungen!$A$17,Rekorde!$A$4:$A$23,0)),"")="","",ROUND(IFERROR(INDEX(Rekorde!$O$4:$O$23,MATCH(Übungen!$A$17,Rekorde!$A$4:$A$23,0)),"")*1*2,0)/2))</f>
        <v>130</v>
      </c>
      <c r="D525" s="116" t="n">
        <f aca="false">IF(OR(FALSE(),Übungen!$L$17="pause"),"",IF(IFERROR(INDEX(Rekorde!$P$4:$P$23,MATCH(Übungen!$A$17,Rekorde!$A$4:$A$23,0)),"")="","",MIN(Übungen!$E$17,IFERROR(INDEX(Rekorde!$P$4:$P$23,MATCH(Übungen!$A$17,Rekorde!$A$4:$A$23,0)),"")+0)))</f>
        <v>5</v>
      </c>
      <c r="E525" s="113"/>
      <c r="F525" s="113"/>
      <c r="G525" s="113"/>
      <c r="H525" s="113"/>
      <c r="I525" s="113"/>
    </row>
    <row r="526" customFormat="false" ht="18" hidden="false" customHeight="true" outlineLevel="0" collapsed="false">
      <c r="A526" s="72" t="n">
        <v>4</v>
      </c>
      <c r="B526" s="114" t="s">
        <v>552</v>
      </c>
      <c r="C526" s="111" t="n">
        <f aca="false">IF(OR(FALSE(),Übungen!$L$17="pause"),"",IF(IFERROR(INDEX(Rekorde!$O$4:$O$23,MATCH(Übungen!$A$17,Rekorde!$A$4:$A$23,0)),"")="","",ROUND(IFERROR(INDEX(Rekorde!$O$4:$O$23,MATCH(Übungen!$A$17,Rekorde!$A$4:$A$23,0)),"")*0.95*2,0)/2))</f>
        <v>123.5</v>
      </c>
      <c r="D526" s="116" t="n">
        <f aca="false">IF(OR(FALSE(),Übungen!$L$17="pause"),"",IF(IFERROR(INDEX(Rekorde!$P$4:$P$23,MATCH(Übungen!$A$17,Rekorde!$A$4:$A$23,0)),"")="","",MIN(Übungen!$E$17,IFERROR(INDEX(Rekorde!$P$4:$P$23,MATCH(Übungen!$A$17,Rekorde!$A$4:$A$23,0)),"")+1)))</f>
        <v>6</v>
      </c>
      <c r="E526" s="113"/>
      <c r="F526" s="113"/>
      <c r="G526" s="113"/>
      <c r="H526" s="113"/>
      <c r="I526" s="113"/>
    </row>
    <row r="527" customFormat="false" ht="18" hidden="false" customHeight="true" outlineLevel="0" collapsed="false">
      <c r="A527" s="72" t="n">
        <v>5</v>
      </c>
      <c r="B527" s="114" t="s">
        <v>553</v>
      </c>
      <c r="C527" s="111" t="n">
        <f aca="false">IF(OR(FALSE(),Übungen!$L$17="pause"),"",IF(IFERROR(INDEX(Rekorde!$O$4:$O$23,MATCH(Übungen!$A$17,Rekorde!$A$4:$A$23,0)),"")="","",ROUND(IFERROR(INDEX(Rekorde!$O$4:$O$23,MATCH(Übungen!$A$17,Rekorde!$A$4:$A$23,0)),"")*0.9*2,0)/2))</f>
        <v>117</v>
      </c>
      <c r="D527" s="116" t="n">
        <f aca="false">IF(OR(FALSE(),Übungen!$L$17="pause"),"",IF(IFERROR(INDEX(Rekorde!$P$4:$P$23,MATCH(Übungen!$A$17,Rekorde!$A$4:$A$23,0)),"")="","",MIN(Übungen!$E$17,IFERROR(INDEX(Rekorde!$P$4:$P$23,MATCH(Übungen!$A$17,Rekorde!$A$4:$A$23,0)),"")+2)))</f>
        <v>6</v>
      </c>
      <c r="E527" s="113"/>
      <c r="F527" s="113"/>
      <c r="G527" s="113"/>
      <c r="H527" s="113"/>
      <c r="I527" s="113"/>
    </row>
    <row r="529" customFormat="false" ht="18.75" hidden="false" customHeight="true" outlineLevel="0" collapsed="false">
      <c r="A529" s="107" t="str">
        <f aca="false">Übungen!$A$18</f>
        <v>Hip Thrust Bülach</v>
      </c>
      <c r="B529" s="107"/>
      <c r="C529" s="107"/>
      <c r="D529" s="107"/>
      <c r="E529" s="107"/>
      <c r="F529" s="107"/>
      <c r="G529" s="107"/>
      <c r="H529" s="107"/>
      <c r="I529" s="107"/>
    </row>
    <row r="530" customFormat="false" ht="13.5" hidden="false" customHeight="true" outlineLevel="0" collapsed="false">
      <c r="A530" s="108" t="str">
        <f aca="false">IF(OR(FALSE(),Übungen!$L$18="pause"),IF(Übungen!$L$18="pause","PAUSE - vorübergehend ausgesetzt, Grund im Blatt 'Übungen'     ·     ",""),IF(IFERROR(INDEX(Rekorde!$L$4:$L$23,MATCH(Übungen!$A$18,Rekorde!$A$4:$A$23,0)),"")="",IF(IFERROR(INDEX(Rekorde!$O$4:$O$23,MATCH(Übungen!$A$18,Rekorde!$A$4:$A$23,0)),"")="","Neu im Plan - Startgewicht im Blatt 'Übungen' eintragen     ·     ","Neu im Plan     ·     Start: "&amp;TEXT(IFERROR(INDEX(Rekorde!$O$4:$O$23,MATCH(Übungen!$A$18,Rekorde!$A$4:$A$23,0)),""),"0.#")&amp;" kg     ·     "),"Zuletzt: "&amp;TEXT(IFERROR(INDEX(Rekorde!$L$4:$L$23,MATCH(Übungen!$A$18,Rekorde!$A$4:$A$23,0)),""),"0.#")&amp;" kg × "&amp;IF(IFERROR(INDEX(Rekorde!$M$4:$M$23,MATCH(Übungen!$A$18,Rekorde!$A$4:$A$23,0)),"")="","?",TEXT(IFERROR(INDEX(Rekorde!$M$4:$M$23,MATCH(Übungen!$A$18,Rekorde!$A$4:$A$23,0)),""),"0"))&amp;" Wdh     ·     Bestwert: "&amp;TEXT(IFERROR(INDEX(Rekorde!$F$4:$F$23,MATCH(Übungen!$A$18,Rekorde!$A$4:$A$23,0)),""),"0.#")&amp;" kg     ·     "&amp;IF(IFERROR(INDEX(Rekorde!$O$4:$O$23,MATCH(Übungen!$A$18,Rekorde!$A$4:$A$23,0)),"")="","","Ziel heute: "&amp;TEXT(IFERROR(INDEX(Rekorde!$O$4:$O$23,MATCH(Übungen!$A$18,Rekorde!$A$4:$A$23,0)),""),"0.#")&amp;" kg × "&amp;IF(IFERROR(INDEX(Rekorde!$P$4:$P$23,MATCH(Übungen!$A$18,Rekorde!$A$4:$A$23,0)),"")="","",TEXT(IFERROR(INDEX(Rekorde!$P$4:$P$23,MATCH(Übungen!$A$18,Rekorde!$A$4:$A$23,0)),""),"0")&amp;" Wdh")&amp;"     ·     ")&amp;IF(AND(Übungen!$I$18&lt;&gt;"",IFERROR(INDEX(Rekorde!$O$4:$O$23,MATCH(Übungen!$A$18,Rekorde!$A$4:$A$23,0)),"")&lt;&gt;"",IFERROR(INDEX(Rekorde!$O$4:$O$23,MATCH(Übungen!$A$18,Rekorde!$A$4:$A$23,0)),"")&gt;=Übungen!$I$18),"Stackende, über Tempo und Pausen steigern     ·     ","")))</f>
        <v>Zuletzt: 200 kg × 10 Wdh     ·     Bestwert: 200 kg     ·     Ziel heute: 220 kg × 5 Wdh     ·     </v>
      </c>
      <c r="B530" s="108"/>
      <c r="C530" s="108"/>
      <c r="D530" s="108"/>
      <c r="E530" s="108"/>
      <c r="F530" s="108"/>
      <c r="G530" s="108"/>
      <c r="H530" s="108"/>
      <c r="I530" s="108"/>
    </row>
    <row r="531" customFormat="false" ht="13.5" hidden="false" customHeight="true" outlineLevel="0" collapsed="false">
      <c r="A531" s="109" t="str">
        <f aca="false">"Vorgabe: "&amp;Übungen!$F$18&amp;" × "&amp;Übungen!$D$18&amp;"-"&amp;Übungen!$E$18&amp;" Wdh @ RPE "&amp;Übungen!$G$18&amp;IF(OR(Übungen!$M$18="",Übungen!$M$18&lt;=1),"","     ·     nach OP gesperrt bis Woche "&amp;Übungen!$M$18)&amp;IF(OR(FALSE(),Übungen!$L$18="pause"),"",IF(AND(Übungen!$K$18&lt;&gt;"",Übungen!$K$18&lt;&gt;100),"     ·     Wiedereinstieg: "&amp;TEXT(Übungen!$K$18,"0")&amp;" % des berechneten Ziels",IF(IFERROR(INDEX(Rekorde!$Q$4:$Q$23,MATCH(Übungen!$A$18,Rekorde!$A$4:$A$23,0)),"")="","","     ·     Schritt: "&amp;IFERROR(INDEX(Rekorde!$Q$4:$Q$23,MATCH(Übungen!$A$18,Rekorde!$A$4:$A$23,0)),""))))</f>
        <v>Vorgabe: 3 × 5-6 Wdh @ RPE 8-9     ·     nach OP gesperrt bis Woche 12     ·     Schritt: RM-Korrektur nach 10 Wdh: +20 kg (10.0%), Wdh zurück auf 5</v>
      </c>
      <c r="B531" s="109"/>
      <c r="C531" s="109"/>
      <c r="D531" s="109"/>
      <c r="E531" s="109"/>
      <c r="F531" s="109"/>
      <c r="G531" s="109"/>
      <c r="H531" s="109"/>
      <c r="I531" s="109"/>
    </row>
    <row r="532" customFormat="false" ht="18" hidden="false" customHeight="true" outlineLevel="0" collapsed="false">
      <c r="A532" s="110" t="s">
        <v>543</v>
      </c>
      <c r="B532" s="110" t="s">
        <v>544</v>
      </c>
      <c r="C532" s="110" t="s">
        <v>545</v>
      </c>
      <c r="D532" s="110" t="s">
        <v>546</v>
      </c>
      <c r="E532" s="110" t="s">
        <v>547</v>
      </c>
      <c r="F532" s="110" t="s">
        <v>454</v>
      </c>
      <c r="G532" s="110" t="s">
        <v>50</v>
      </c>
      <c r="H532" s="110" t="s">
        <v>548</v>
      </c>
      <c r="I532" s="110" t="s">
        <v>256</v>
      </c>
    </row>
    <row r="533" customFormat="false" ht="18" hidden="false" customHeight="true" outlineLevel="0" collapsed="false">
      <c r="A533" s="72" t="n">
        <v>1</v>
      </c>
      <c r="B533" s="70" t="s">
        <v>549</v>
      </c>
      <c r="C533" s="111" t="n">
        <f aca="false">IF(OR(FALSE(),Übungen!$L$18="pause"),"",IF(IFERROR(INDEX(Rekorde!$O$4:$O$23,MATCH(Übungen!$A$18,Rekorde!$A$4:$A$23,0)),"")="","",ROUND(IFERROR(INDEX(Rekorde!$O$4:$O$23,MATCH(Übungen!$A$18,Rekorde!$A$4:$A$23,0)),"")*0.4*2,0)/2))</f>
        <v>88</v>
      </c>
      <c r="D533" s="112"/>
      <c r="E533" s="113"/>
      <c r="F533" s="113"/>
      <c r="G533" s="113"/>
      <c r="H533" s="113"/>
      <c r="I533" s="113"/>
    </row>
    <row r="534" customFormat="false" ht="18" hidden="false" customHeight="true" outlineLevel="0" collapsed="false">
      <c r="A534" s="72" t="n">
        <v>2</v>
      </c>
      <c r="B534" s="70" t="s">
        <v>550</v>
      </c>
      <c r="C534" s="111" t="n">
        <f aca="false">IF(OR(FALSE(),Übungen!$L$18="pause"),"",IF(IFERROR(INDEX(Rekorde!$O$4:$O$23,MATCH(Übungen!$A$18,Rekorde!$A$4:$A$23,0)),"")="","",ROUND(IFERROR(INDEX(Rekorde!$O$4:$O$23,MATCH(Übungen!$A$18,Rekorde!$A$4:$A$23,0)),"")*0.7*2,0)/2))</f>
        <v>154</v>
      </c>
      <c r="D534" s="112"/>
      <c r="E534" s="113"/>
      <c r="F534" s="113"/>
      <c r="G534" s="113"/>
      <c r="H534" s="113"/>
      <c r="I534" s="113"/>
    </row>
    <row r="535" customFormat="false" ht="18" hidden="false" customHeight="true" outlineLevel="0" collapsed="false">
      <c r="A535" s="72" t="n">
        <v>3</v>
      </c>
      <c r="B535" s="114" t="s">
        <v>551</v>
      </c>
      <c r="C535" s="115" t="n">
        <f aca="false">IF(OR(FALSE(),Übungen!$L$18="pause"),"",IF(IFERROR(INDEX(Rekorde!$O$4:$O$23,MATCH(Übungen!$A$18,Rekorde!$A$4:$A$23,0)),"")="","",ROUND(IFERROR(INDEX(Rekorde!$O$4:$O$23,MATCH(Übungen!$A$18,Rekorde!$A$4:$A$23,0)),"")*1*2,0)/2))</f>
        <v>220</v>
      </c>
      <c r="D535" s="116" t="n">
        <f aca="false">IF(OR(FALSE(),Übungen!$L$18="pause"),"",IF(IFERROR(INDEX(Rekorde!$P$4:$P$23,MATCH(Übungen!$A$18,Rekorde!$A$4:$A$23,0)),"")="","",MIN(Übungen!$E$18,IFERROR(INDEX(Rekorde!$P$4:$P$23,MATCH(Übungen!$A$18,Rekorde!$A$4:$A$23,0)),"")+0)))</f>
        <v>5</v>
      </c>
      <c r="E535" s="113"/>
      <c r="F535" s="113"/>
      <c r="G535" s="113"/>
      <c r="H535" s="113"/>
      <c r="I535" s="113"/>
    </row>
    <row r="536" customFormat="false" ht="18" hidden="false" customHeight="true" outlineLevel="0" collapsed="false">
      <c r="A536" s="72" t="n">
        <v>4</v>
      </c>
      <c r="B536" s="114" t="s">
        <v>552</v>
      </c>
      <c r="C536" s="111" t="n">
        <f aca="false">IF(OR(FALSE(),Übungen!$L$18="pause"),"",IF(IFERROR(INDEX(Rekorde!$O$4:$O$23,MATCH(Übungen!$A$18,Rekorde!$A$4:$A$23,0)),"")="","",ROUND(IFERROR(INDEX(Rekorde!$O$4:$O$23,MATCH(Übungen!$A$18,Rekorde!$A$4:$A$23,0)),"")*0.95*2,0)/2))</f>
        <v>209</v>
      </c>
      <c r="D536" s="116" t="n">
        <f aca="false">IF(OR(FALSE(),Übungen!$L$18="pause"),"",IF(IFERROR(INDEX(Rekorde!$P$4:$P$23,MATCH(Übungen!$A$18,Rekorde!$A$4:$A$23,0)),"")="","",MIN(Übungen!$E$18,IFERROR(INDEX(Rekorde!$P$4:$P$23,MATCH(Übungen!$A$18,Rekorde!$A$4:$A$23,0)),"")+1)))</f>
        <v>6</v>
      </c>
      <c r="E536" s="113"/>
      <c r="F536" s="113"/>
      <c r="G536" s="113"/>
      <c r="H536" s="113"/>
      <c r="I536" s="113"/>
    </row>
    <row r="537" customFormat="false" ht="18" hidden="false" customHeight="true" outlineLevel="0" collapsed="false">
      <c r="A537" s="72" t="n">
        <v>5</v>
      </c>
      <c r="B537" s="114" t="s">
        <v>553</v>
      </c>
      <c r="C537" s="111" t="n">
        <f aca="false">IF(OR(FALSE(),Übungen!$L$18="pause"),"",IF(IFERROR(INDEX(Rekorde!$O$4:$O$23,MATCH(Übungen!$A$18,Rekorde!$A$4:$A$23,0)),"")="","",ROUND(IFERROR(INDEX(Rekorde!$O$4:$O$23,MATCH(Übungen!$A$18,Rekorde!$A$4:$A$23,0)),"")*0.9*2,0)/2))</f>
        <v>198</v>
      </c>
      <c r="D537" s="116" t="n">
        <f aca="false">IF(OR(FALSE(),Übungen!$L$18="pause"),"",IF(IFERROR(INDEX(Rekorde!$P$4:$P$23,MATCH(Übungen!$A$18,Rekorde!$A$4:$A$23,0)),"")="","",MIN(Übungen!$E$18,IFERROR(INDEX(Rekorde!$P$4:$P$23,MATCH(Übungen!$A$18,Rekorde!$A$4:$A$23,0)),"")+2)))</f>
        <v>6</v>
      </c>
      <c r="E537" s="113"/>
      <c r="F537" s="113"/>
      <c r="G537" s="113"/>
      <c r="H537" s="113"/>
      <c r="I537" s="113"/>
    </row>
    <row r="539" customFormat="false" ht="18.75" hidden="false" customHeight="true" outlineLevel="0" collapsed="false">
      <c r="A539" s="107" t="str">
        <f aca="false">Übungen!$A$19</f>
        <v>Beinbeuger Bülach</v>
      </c>
      <c r="B539" s="107"/>
      <c r="C539" s="107"/>
      <c r="D539" s="107"/>
      <c r="E539" s="107"/>
      <c r="F539" s="107"/>
      <c r="G539" s="107"/>
      <c r="H539" s="107"/>
      <c r="I539" s="107"/>
    </row>
    <row r="540" customFormat="false" ht="13.5" hidden="false" customHeight="true" outlineLevel="0" collapsed="false">
      <c r="A540" s="108" t="str">
        <f aca="false">IF(OR(FALSE(),Übungen!$L$19="pause"),IF(Übungen!$L$19="pause","PAUSE - vorübergehend ausgesetzt, Grund im Blatt 'Übungen'     ·     ",""),IF(IFERROR(INDEX(Rekorde!$L$4:$L$23,MATCH(Übungen!$A$19,Rekorde!$A$4:$A$23,0)),"")="",IF(IFERROR(INDEX(Rekorde!$O$4:$O$23,MATCH(Übungen!$A$19,Rekorde!$A$4:$A$23,0)),"")="","Neu im Plan - Startgewicht im Blatt 'Übungen' eintragen     ·     ","Neu im Plan     ·     Start: "&amp;TEXT(IFERROR(INDEX(Rekorde!$O$4:$O$23,MATCH(Übungen!$A$19,Rekorde!$A$4:$A$23,0)),""),"0.#")&amp;" kg     ·     "),"Zuletzt: "&amp;TEXT(IFERROR(INDEX(Rekorde!$L$4:$L$23,MATCH(Übungen!$A$19,Rekorde!$A$4:$A$23,0)),""),"0.#")&amp;" kg × "&amp;IF(IFERROR(INDEX(Rekorde!$M$4:$M$23,MATCH(Übungen!$A$19,Rekorde!$A$4:$A$23,0)),"")="","?",TEXT(IFERROR(INDEX(Rekorde!$M$4:$M$23,MATCH(Übungen!$A$19,Rekorde!$A$4:$A$23,0)),""),"0"))&amp;" Wdh     ·     Bestwert: "&amp;TEXT(IFERROR(INDEX(Rekorde!$F$4:$F$23,MATCH(Übungen!$A$19,Rekorde!$A$4:$A$23,0)),""),"0.#")&amp;" kg     ·     "&amp;IF(IFERROR(INDEX(Rekorde!$O$4:$O$23,MATCH(Übungen!$A$19,Rekorde!$A$4:$A$23,0)),"")="","","Ziel heute: "&amp;TEXT(IFERROR(INDEX(Rekorde!$O$4:$O$23,MATCH(Übungen!$A$19,Rekorde!$A$4:$A$23,0)),""),"0.#")&amp;" kg × "&amp;IF(IFERROR(INDEX(Rekorde!$P$4:$P$23,MATCH(Übungen!$A$19,Rekorde!$A$4:$A$23,0)),"")="","",TEXT(IFERROR(INDEX(Rekorde!$P$4:$P$23,MATCH(Übungen!$A$19,Rekorde!$A$4:$A$23,0)),""),"0")&amp;" Wdh")&amp;"     ·     ")&amp;IF(AND(Übungen!$I$19&lt;&gt;"",IFERROR(INDEX(Rekorde!$O$4:$O$23,MATCH(Übungen!$A$19,Rekorde!$A$4:$A$23,0)),"")&lt;&gt;"",IFERROR(INDEX(Rekorde!$O$4:$O$23,MATCH(Übungen!$A$19,Rekorde!$A$4:$A$23,0)),"")&gt;=Übungen!$I$19),"Stackende, über Tempo und Pausen steigern     ·     ","")))</f>
        <v>Zuletzt: 59 kg × 6 Wdh     ·     Bestwert: 59 kg     ·     Ziel heute: 63 kg × 5 Wdh     ·     </v>
      </c>
      <c r="B540" s="108"/>
      <c r="C540" s="108"/>
      <c r="D540" s="108"/>
      <c r="E540" s="108"/>
      <c r="F540" s="108"/>
      <c r="G540" s="108"/>
      <c r="H540" s="108"/>
      <c r="I540" s="108"/>
    </row>
    <row r="541" customFormat="false" ht="13.5" hidden="false" customHeight="true" outlineLevel="0" collapsed="false">
      <c r="A541" s="109" t="str">
        <f aca="false">"Vorgabe: "&amp;Übungen!$F$19&amp;" × "&amp;Übungen!$D$19&amp;"-"&amp;Übungen!$E$19&amp;" Wdh @ RPE "&amp;Übungen!$G$19&amp;IF(OR(Übungen!$M$19="",Übungen!$M$19&lt;=1),"","     ·     nach OP gesperrt bis Woche "&amp;Übungen!$M$19)&amp;IF(OR(FALSE(),Übungen!$L$19="pause"),"",IF(AND(Übungen!$K$19&lt;&gt;"",Übungen!$K$19&lt;&gt;100),"     ·     Wiedereinstieg: "&amp;TEXT(Übungen!$K$19,"0")&amp;" % des berechneten Ziels",IF(IFERROR(INDEX(Rekorde!$Q$4:$Q$23,MATCH(Übungen!$A$19,Rekorde!$A$4:$A$23,0)),"")="","","     ·     Schritt: "&amp;IFERROR(INDEX(Rekorde!$Q$4:$Q$23,MATCH(Übungen!$A$19,Rekorde!$A$4:$A$23,0)),""))))</f>
        <v>Vorgabe: 3 × 5-6 Wdh @ RPE 9     ·     nach OP gesperrt bis Woche 2     ·     Schritt: Gewicht +4 kg (6.8%), Wdh zurück auf 5</v>
      </c>
      <c r="B541" s="109"/>
      <c r="C541" s="109"/>
      <c r="D541" s="109"/>
      <c r="E541" s="109"/>
      <c r="F541" s="109"/>
      <c r="G541" s="109"/>
      <c r="H541" s="109"/>
      <c r="I541" s="109"/>
    </row>
    <row r="542" customFormat="false" ht="18" hidden="false" customHeight="true" outlineLevel="0" collapsed="false">
      <c r="A542" s="110" t="s">
        <v>543</v>
      </c>
      <c r="B542" s="110" t="s">
        <v>544</v>
      </c>
      <c r="C542" s="110" t="s">
        <v>545</v>
      </c>
      <c r="D542" s="110" t="s">
        <v>546</v>
      </c>
      <c r="E542" s="110" t="s">
        <v>547</v>
      </c>
      <c r="F542" s="110" t="s">
        <v>454</v>
      </c>
      <c r="G542" s="110" t="s">
        <v>50</v>
      </c>
      <c r="H542" s="110" t="s">
        <v>548</v>
      </c>
      <c r="I542" s="110" t="s">
        <v>256</v>
      </c>
    </row>
    <row r="543" customFormat="false" ht="18" hidden="false" customHeight="true" outlineLevel="0" collapsed="false">
      <c r="A543" s="72" t="n">
        <v>1</v>
      </c>
      <c r="B543" s="70" t="s">
        <v>549</v>
      </c>
      <c r="C543" s="111" t="n">
        <f aca="false">IF(OR(FALSE(),Übungen!$L$19="pause"),"",IF(IFERROR(INDEX(Rekorde!$O$4:$O$23,MATCH(Übungen!$A$19,Rekorde!$A$4:$A$23,0)),"")="","",ROUND(IFERROR(INDEX(Rekorde!$O$4:$O$23,MATCH(Übungen!$A$19,Rekorde!$A$4:$A$23,0)),"")*0.4*2,0)/2))</f>
        <v>25</v>
      </c>
      <c r="D543" s="112"/>
      <c r="E543" s="113"/>
      <c r="F543" s="113"/>
      <c r="G543" s="113"/>
      <c r="H543" s="113"/>
      <c r="I543" s="113"/>
    </row>
    <row r="544" customFormat="false" ht="18" hidden="false" customHeight="true" outlineLevel="0" collapsed="false">
      <c r="A544" s="72" t="n">
        <v>2</v>
      </c>
      <c r="B544" s="70" t="s">
        <v>550</v>
      </c>
      <c r="C544" s="111" t="n">
        <f aca="false">IF(OR(FALSE(),Übungen!$L$19="pause"),"",IF(IFERROR(INDEX(Rekorde!$O$4:$O$23,MATCH(Übungen!$A$19,Rekorde!$A$4:$A$23,0)),"")="","",ROUND(IFERROR(INDEX(Rekorde!$O$4:$O$23,MATCH(Übungen!$A$19,Rekorde!$A$4:$A$23,0)),"")*0.7*2,0)/2))</f>
        <v>44</v>
      </c>
      <c r="D544" s="112"/>
      <c r="E544" s="113"/>
      <c r="F544" s="113"/>
      <c r="G544" s="113"/>
      <c r="H544" s="113"/>
      <c r="I544" s="113"/>
    </row>
    <row r="545" customFormat="false" ht="18" hidden="false" customHeight="true" outlineLevel="0" collapsed="false">
      <c r="A545" s="72" t="n">
        <v>3</v>
      </c>
      <c r="B545" s="114" t="s">
        <v>551</v>
      </c>
      <c r="C545" s="115" t="n">
        <f aca="false">IF(OR(FALSE(),Übungen!$L$19="pause"),"",IF(IFERROR(INDEX(Rekorde!$O$4:$O$23,MATCH(Übungen!$A$19,Rekorde!$A$4:$A$23,0)),"")="","",ROUND(IFERROR(INDEX(Rekorde!$O$4:$O$23,MATCH(Übungen!$A$19,Rekorde!$A$4:$A$23,0)),"")*1*2,0)/2))</f>
        <v>63</v>
      </c>
      <c r="D545" s="116" t="n">
        <f aca="false">IF(OR(FALSE(),Übungen!$L$19="pause"),"",IF(IFERROR(INDEX(Rekorde!$P$4:$P$23,MATCH(Übungen!$A$19,Rekorde!$A$4:$A$23,0)),"")="","",MIN(Übungen!$E$19,IFERROR(INDEX(Rekorde!$P$4:$P$23,MATCH(Übungen!$A$19,Rekorde!$A$4:$A$23,0)),"")+0)))</f>
        <v>5</v>
      </c>
      <c r="E545" s="113"/>
      <c r="F545" s="113"/>
      <c r="G545" s="113"/>
      <c r="H545" s="113"/>
      <c r="I545" s="113"/>
    </row>
    <row r="546" customFormat="false" ht="18" hidden="false" customHeight="true" outlineLevel="0" collapsed="false">
      <c r="A546" s="72" t="n">
        <v>4</v>
      </c>
      <c r="B546" s="114" t="s">
        <v>552</v>
      </c>
      <c r="C546" s="111" t="n">
        <f aca="false">IF(OR(FALSE(),Übungen!$L$19="pause"),"",IF(IFERROR(INDEX(Rekorde!$O$4:$O$23,MATCH(Übungen!$A$19,Rekorde!$A$4:$A$23,0)),"")="","",ROUND(IFERROR(INDEX(Rekorde!$O$4:$O$23,MATCH(Übungen!$A$19,Rekorde!$A$4:$A$23,0)),"")*0.95*2,0)/2))</f>
        <v>60</v>
      </c>
      <c r="D546" s="116" t="n">
        <f aca="false">IF(OR(FALSE(),Übungen!$L$19="pause"),"",IF(IFERROR(INDEX(Rekorde!$P$4:$P$23,MATCH(Übungen!$A$19,Rekorde!$A$4:$A$23,0)),"")="","",MIN(Übungen!$E$19,IFERROR(INDEX(Rekorde!$P$4:$P$23,MATCH(Übungen!$A$19,Rekorde!$A$4:$A$23,0)),"")+1)))</f>
        <v>6</v>
      </c>
      <c r="E546" s="113"/>
      <c r="F546" s="113"/>
      <c r="G546" s="113"/>
      <c r="H546" s="113"/>
      <c r="I546" s="113"/>
    </row>
    <row r="547" customFormat="false" ht="18" hidden="false" customHeight="true" outlineLevel="0" collapsed="false">
      <c r="A547" s="72" t="n">
        <v>5</v>
      </c>
      <c r="B547" s="114" t="s">
        <v>553</v>
      </c>
      <c r="C547" s="111" t="n">
        <f aca="false">IF(OR(FALSE(),Übungen!$L$19="pause"),"",IF(IFERROR(INDEX(Rekorde!$O$4:$O$23,MATCH(Übungen!$A$19,Rekorde!$A$4:$A$23,0)),"")="","",ROUND(IFERROR(INDEX(Rekorde!$O$4:$O$23,MATCH(Übungen!$A$19,Rekorde!$A$4:$A$23,0)),"")*0.9*2,0)/2))</f>
        <v>56.5</v>
      </c>
      <c r="D547" s="116" t="n">
        <f aca="false">IF(OR(FALSE(),Übungen!$L$19="pause"),"",IF(IFERROR(INDEX(Rekorde!$P$4:$P$23,MATCH(Übungen!$A$19,Rekorde!$A$4:$A$23,0)),"")="","",MIN(Übungen!$E$19,IFERROR(INDEX(Rekorde!$P$4:$P$23,MATCH(Übungen!$A$19,Rekorde!$A$4:$A$23,0)),"")+2)))</f>
        <v>6</v>
      </c>
      <c r="E547" s="113"/>
      <c r="F547" s="113"/>
      <c r="G547" s="113"/>
      <c r="H547" s="113"/>
      <c r="I547" s="113"/>
    </row>
    <row r="549" customFormat="false" ht="15.75" hidden="false" customHeight="true" outlineLevel="0" collapsed="false">
      <c r="A549" s="3" t="s">
        <v>554</v>
      </c>
      <c r="B549" s="3"/>
      <c r="C549" s="3"/>
      <c r="D549" s="3"/>
      <c r="E549" s="3"/>
      <c r="F549" s="3"/>
      <c r="G549" s="3"/>
      <c r="H549" s="3"/>
      <c r="I549" s="3"/>
    </row>
    <row r="550" customFormat="false" ht="18" hidden="false" customHeight="true" outlineLevel="0" collapsed="false">
      <c r="A550" s="117"/>
      <c r="B550" s="117"/>
      <c r="C550" s="117"/>
      <c r="D550" s="117"/>
      <c r="E550" s="117"/>
      <c r="F550" s="117"/>
      <c r="G550" s="117"/>
      <c r="H550" s="117"/>
      <c r="I550" s="117"/>
    </row>
    <row r="551" customFormat="false" ht="18" hidden="false" customHeight="true" outlineLevel="0" collapsed="false">
      <c r="A551" s="117"/>
      <c r="B551" s="117"/>
      <c r="C551" s="117"/>
      <c r="D551" s="117"/>
      <c r="E551" s="117"/>
      <c r="F551" s="117"/>
      <c r="G551" s="117"/>
      <c r="H551" s="117"/>
      <c r="I551" s="117"/>
    </row>
    <row r="553" customFormat="false" ht="27.75" hidden="false" customHeight="true" outlineLevel="0" collapsed="false">
      <c r="A553" s="1" t="s">
        <v>563</v>
      </c>
      <c r="B553" s="1"/>
      <c r="C553" s="1"/>
      <c r="D553" s="1"/>
      <c r="E553" s="1"/>
      <c r="F553" s="1"/>
      <c r="G553" s="1"/>
      <c r="H553" s="1"/>
      <c r="I553" s="1"/>
    </row>
    <row r="554" customFormat="false" ht="12" hidden="false" customHeight="true" outlineLevel="0" collapsed="false">
      <c r="A554" s="104" t="s">
        <v>75</v>
      </c>
      <c r="B554" s="104"/>
      <c r="C554" s="105" t="s">
        <v>539</v>
      </c>
      <c r="D554" s="105" t="s">
        <v>540</v>
      </c>
      <c r="E554" s="104" t="s">
        <v>541</v>
      </c>
      <c r="F554" s="104"/>
      <c r="G554" s="104" t="s">
        <v>542</v>
      </c>
      <c r="H554" s="104"/>
    </row>
    <row r="555" customFormat="false" ht="18" hidden="false" customHeight="true" outlineLevel="0" collapsed="false">
      <c r="A555" s="106"/>
      <c r="B555" s="106"/>
      <c r="C555" s="106"/>
      <c r="D555" s="106"/>
      <c r="E555" s="106"/>
      <c r="F555" s="106"/>
      <c r="G555" s="106"/>
      <c r="H555" s="106"/>
    </row>
    <row r="557" customFormat="false" ht="18.75" hidden="false" customHeight="true" outlineLevel="0" collapsed="false">
      <c r="A557" s="107" t="str">
        <f aca="false">Übungen!$A$4</f>
        <v>Beinpresse eng</v>
      </c>
      <c r="B557" s="107"/>
      <c r="C557" s="107"/>
      <c r="D557" s="107"/>
      <c r="E557" s="107"/>
      <c r="F557" s="107"/>
      <c r="G557" s="107"/>
      <c r="H557" s="107"/>
      <c r="I557" s="107"/>
    </row>
    <row r="558" customFormat="false" ht="13.5" hidden="false" customHeight="true" outlineLevel="0" collapsed="false">
      <c r="A558" s="108" t="str">
        <f aca="false">IF(OR(FALSE(),Übungen!$L$4="pause"),IF(Übungen!$L$4="pause","PAUSE - vorübergehend ausgesetzt, Grund im Blatt 'Übungen'     ·     ",""),IF(IFERROR(INDEX(Rekorde!$L$4:$L$23,MATCH(Übungen!$A$4,Rekorde!$A$4:$A$23,0)),"")="",IF(IFERROR(INDEX(Rekorde!$O$4:$O$23,MATCH(Übungen!$A$4,Rekorde!$A$4:$A$23,0)),"")="","Neu im Plan - Startgewicht im Blatt 'Übungen' eintragen     ·     ","Neu im Plan     ·     Start: "&amp;TEXT(IFERROR(INDEX(Rekorde!$O$4:$O$23,MATCH(Übungen!$A$4,Rekorde!$A$4:$A$23,0)),""),"0.#")&amp;" kg     ·     "),"Zuletzt: "&amp;TEXT(IFERROR(INDEX(Rekorde!$L$4:$L$23,MATCH(Übungen!$A$4,Rekorde!$A$4:$A$23,0)),""),"0.#")&amp;" kg × "&amp;IF(IFERROR(INDEX(Rekorde!$M$4:$M$23,MATCH(Übungen!$A$4,Rekorde!$A$4:$A$23,0)),"")="","?",TEXT(IFERROR(INDEX(Rekorde!$M$4:$M$23,MATCH(Übungen!$A$4,Rekorde!$A$4:$A$23,0)),""),"0"))&amp;" Wdh     ·     Bestwert: "&amp;TEXT(IFERROR(INDEX(Rekorde!$F$4:$F$23,MATCH(Übungen!$A$4,Rekorde!$A$4:$A$23,0)),""),"0.#")&amp;" kg     ·     "&amp;IF(IFERROR(INDEX(Rekorde!$O$4:$O$23,MATCH(Übungen!$A$4,Rekorde!$A$4:$A$23,0)),"")="","","Ziel heute: "&amp;TEXT(IFERROR(INDEX(Rekorde!$O$4:$O$23,MATCH(Übungen!$A$4,Rekorde!$A$4:$A$23,0)),""),"0.#")&amp;" kg × "&amp;IF(IFERROR(INDEX(Rekorde!$P$4:$P$23,MATCH(Übungen!$A$4,Rekorde!$A$4:$A$23,0)),"")="","",TEXT(IFERROR(INDEX(Rekorde!$P$4:$P$23,MATCH(Übungen!$A$4,Rekorde!$A$4:$A$23,0)),""),"0")&amp;" Wdh")&amp;"     ·     ")&amp;IF(AND(Übungen!$I$4&lt;&gt;"",IFERROR(INDEX(Rekorde!$O$4:$O$23,MATCH(Übungen!$A$4,Rekorde!$A$4:$A$23,0)),"")&lt;&gt;"",IFERROR(INDEX(Rekorde!$O$4:$O$23,MATCH(Übungen!$A$4,Rekorde!$A$4:$A$23,0)),"")&gt;=Übungen!$I$4),"Stackende, über Tempo und Pausen steigern     ·     ","")))</f>
        <v>Zuletzt: 300 kg × 6 Wdh     ·     Bestwert: 333 kg     ·     Ziel heute: 305 kg × 5 Wdh     ·     </v>
      </c>
      <c r="B558" s="108"/>
      <c r="C558" s="108"/>
      <c r="D558" s="108"/>
      <c r="E558" s="108"/>
      <c r="F558" s="108"/>
      <c r="G558" s="108"/>
      <c r="H558" s="108"/>
      <c r="I558" s="108"/>
    </row>
    <row r="559" customFormat="false" ht="13.5" hidden="false" customHeight="true" outlineLevel="0" collapsed="false">
      <c r="A559" s="109" t="str">
        <f aca="false">"Vorgabe: "&amp;Übungen!$F$4&amp;" × "&amp;Übungen!$D$4&amp;"-"&amp;Übungen!$E$4&amp;" Wdh @ RPE "&amp;Übungen!$G$4&amp;IF(OR(Übungen!$M$4="",Übungen!$M$4&lt;=1),"","     ·     nach OP gesperrt bis Woche "&amp;Übungen!$M$4)&amp;IF(OR(FALSE(),Übungen!$L$4="pause"),"",IF(AND(Übungen!$K$4&lt;&gt;"",Übungen!$K$4&lt;&gt;100),"     ·     Wiedereinstieg: "&amp;TEXT(Übungen!$K$4,"0")&amp;" % des berechneten Ziels",IF(IFERROR(INDEX(Rekorde!$Q$4:$Q$23,MATCH(Übungen!$A$4,Rekorde!$A$4:$A$23,0)),"")="","","     ·     Schritt: "&amp;IFERROR(INDEX(Rekorde!$Q$4:$Q$23,MATCH(Übungen!$A$4,Rekorde!$A$4:$A$23,0)),""))))</f>
        <v>Vorgabe: 3 × 5-6 Wdh @ RPE 8-9     ·     nach OP gesperrt bis Woche 6     ·     Schritt: Gewicht +5 kg (1.7%), Wdh zurück auf 5</v>
      </c>
      <c r="B559" s="109"/>
      <c r="C559" s="109"/>
      <c r="D559" s="109"/>
      <c r="E559" s="109"/>
      <c r="F559" s="109"/>
      <c r="G559" s="109"/>
      <c r="H559" s="109"/>
      <c r="I559" s="109"/>
    </row>
    <row r="560" customFormat="false" ht="18" hidden="false" customHeight="true" outlineLevel="0" collapsed="false">
      <c r="A560" s="110" t="s">
        <v>543</v>
      </c>
      <c r="B560" s="110" t="s">
        <v>544</v>
      </c>
      <c r="C560" s="110" t="s">
        <v>545</v>
      </c>
      <c r="D560" s="110" t="s">
        <v>546</v>
      </c>
      <c r="E560" s="110" t="s">
        <v>547</v>
      </c>
      <c r="F560" s="110" t="s">
        <v>454</v>
      </c>
      <c r="G560" s="110" t="s">
        <v>50</v>
      </c>
      <c r="H560" s="110" t="s">
        <v>548</v>
      </c>
      <c r="I560" s="110" t="s">
        <v>256</v>
      </c>
    </row>
    <row r="561" customFormat="false" ht="18" hidden="false" customHeight="true" outlineLevel="0" collapsed="false">
      <c r="A561" s="72" t="n">
        <v>1</v>
      </c>
      <c r="B561" s="70" t="s">
        <v>549</v>
      </c>
      <c r="C561" s="111" t="n">
        <f aca="false">IF(OR(FALSE(),Übungen!$L$4="pause"),"",IF(IFERROR(INDEX(Rekorde!$O$4:$O$23,MATCH(Übungen!$A$4,Rekorde!$A$4:$A$23,0)),"")="","",ROUND(IFERROR(INDEX(Rekorde!$O$4:$O$23,MATCH(Übungen!$A$4,Rekorde!$A$4:$A$23,0)),"")*0.4*2,0)/2))</f>
        <v>122</v>
      </c>
      <c r="D561" s="112"/>
      <c r="E561" s="113"/>
      <c r="F561" s="113"/>
      <c r="G561" s="113"/>
      <c r="H561" s="113"/>
      <c r="I561" s="113"/>
    </row>
    <row r="562" customFormat="false" ht="18" hidden="false" customHeight="true" outlineLevel="0" collapsed="false">
      <c r="A562" s="72" t="n">
        <v>2</v>
      </c>
      <c r="B562" s="70" t="s">
        <v>550</v>
      </c>
      <c r="C562" s="111" t="n">
        <f aca="false">IF(OR(FALSE(),Übungen!$L$4="pause"),"",IF(IFERROR(INDEX(Rekorde!$O$4:$O$23,MATCH(Übungen!$A$4,Rekorde!$A$4:$A$23,0)),"")="","",ROUND(IFERROR(INDEX(Rekorde!$O$4:$O$23,MATCH(Übungen!$A$4,Rekorde!$A$4:$A$23,0)),"")*0.7*2,0)/2))</f>
        <v>213.5</v>
      </c>
      <c r="D562" s="112"/>
      <c r="E562" s="113"/>
      <c r="F562" s="113"/>
      <c r="G562" s="113"/>
      <c r="H562" s="113"/>
      <c r="I562" s="113"/>
    </row>
    <row r="563" customFormat="false" ht="18" hidden="false" customHeight="true" outlineLevel="0" collapsed="false">
      <c r="A563" s="72" t="n">
        <v>3</v>
      </c>
      <c r="B563" s="114" t="s">
        <v>551</v>
      </c>
      <c r="C563" s="115" t="n">
        <f aca="false">IF(OR(FALSE(),Übungen!$L$4="pause"),"",IF(IFERROR(INDEX(Rekorde!$O$4:$O$23,MATCH(Übungen!$A$4,Rekorde!$A$4:$A$23,0)),"")="","",ROUND(IFERROR(INDEX(Rekorde!$O$4:$O$23,MATCH(Übungen!$A$4,Rekorde!$A$4:$A$23,0)),"")*1*2,0)/2))</f>
        <v>305</v>
      </c>
      <c r="D563" s="116" t="n">
        <f aca="false">IF(OR(FALSE(),Übungen!$L$4="pause"),"",IF(IFERROR(INDEX(Rekorde!$P$4:$P$23,MATCH(Übungen!$A$4,Rekorde!$A$4:$A$23,0)),"")="","",MIN(Übungen!$E$4,IFERROR(INDEX(Rekorde!$P$4:$P$23,MATCH(Übungen!$A$4,Rekorde!$A$4:$A$23,0)),"")+0)))</f>
        <v>5</v>
      </c>
      <c r="E563" s="113"/>
      <c r="F563" s="113"/>
      <c r="G563" s="113"/>
      <c r="H563" s="113"/>
      <c r="I563" s="113"/>
    </row>
    <row r="564" customFormat="false" ht="18" hidden="false" customHeight="true" outlineLevel="0" collapsed="false">
      <c r="A564" s="72" t="n">
        <v>4</v>
      </c>
      <c r="B564" s="114" t="s">
        <v>552</v>
      </c>
      <c r="C564" s="111" t="n">
        <f aca="false">IF(OR(FALSE(),Übungen!$L$4="pause"),"",IF(IFERROR(INDEX(Rekorde!$O$4:$O$23,MATCH(Übungen!$A$4,Rekorde!$A$4:$A$23,0)),"")="","",ROUND(IFERROR(INDEX(Rekorde!$O$4:$O$23,MATCH(Übungen!$A$4,Rekorde!$A$4:$A$23,0)),"")*0.95*2,0)/2))</f>
        <v>290</v>
      </c>
      <c r="D564" s="116" t="n">
        <f aca="false">IF(OR(FALSE(),Übungen!$L$4="pause"),"",IF(IFERROR(INDEX(Rekorde!$P$4:$P$23,MATCH(Übungen!$A$4,Rekorde!$A$4:$A$23,0)),"")="","",MIN(Übungen!$E$4,IFERROR(INDEX(Rekorde!$P$4:$P$23,MATCH(Übungen!$A$4,Rekorde!$A$4:$A$23,0)),"")+1)))</f>
        <v>6</v>
      </c>
      <c r="E564" s="113"/>
      <c r="F564" s="113"/>
      <c r="G564" s="113"/>
      <c r="H564" s="113"/>
      <c r="I564" s="113"/>
    </row>
    <row r="565" customFormat="false" ht="18" hidden="false" customHeight="true" outlineLevel="0" collapsed="false">
      <c r="A565" s="72" t="n">
        <v>5</v>
      </c>
      <c r="B565" s="114" t="s">
        <v>553</v>
      </c>
      <c r="C565" s="111" t="n">
        <f aca="false">IF(OR(FALSE(),Übungen!$L$4="pause"),"",IF(IFERROR(INDEX(Rekorde!$O$4:$O$23,MATCH(Übungen!$A$4,Rekorde!$A$4:$A$23,0)),"")="","",ROUND(IFERROR(INDEX(Rekorde!$O$4:$O$23,MATCH(Übungen!$A$4,Rekorde!$A$4:$A$23,0)),"")*0.9*2,0)/2))</f>
        <v>274.5</v>
      </c>
      <c r="D565" s="116" t="n">
        <f aca="false">IF(OR(FALSE(),Übungen!$L$4="pause"),"",IF(IFERROR(INDEX(Rekorde!$P$4:$P$23,MATCH(Übungen!$A$4,Rekorde!$A$4:$A$23,0)),"")="","",MIN(Übungen!$E$4,IFERROR(INDEX(Rekorde!$P$4:$P$23,MATCH(Übungen!$A$4,Rekorde!$A$4:$A$23,0)),"")+2)))</f>
        <v>6</v>
      </c>
      <c r="E565" s="113"/>
      <c r="F565" s="113"/>
      <c r="G565" s="113"/>
      <c r="H565" s="113"/>
      <c r="I565" s="113"/>
    </row>
    <row r="567" customFormat="false" ht="18.75" hidden="false" customHeight="true" outlineLevel="0" collapsed="false">
      <c r="A567" s="107" t="str">
        <f aca="false">Übungen!$A$5</f>
        <v>Split Squat</v>
      </c>
      <c r="B567" s="107"/>
      <c r="C567" s="107"/>
      <c r="D567" s="107"/>
      <c r="E567" s="107"/>
      <c r="F567" s="107"/>
      <c r="G567" s="107"/>
      <c r="H567" s="107"/>
      <c r="I567" s="107"/>
    </row>
    <row r="568" customFormat="false" ht="13.5" hidden="false" customHeight="true" outlineLevel="0" collapsed="false">
      <c r="A568" s="108" t="str">
        <f aca="false">IF(OR(FALSE(),Übungen!$L$5="pause"),IF(Übungen!$L$5="pause","PAUSE - vorübergehend ausgesetzt, Grund im Blatt 'Übungen'     ·     ",""),IF(IFERROR(INDEX(Rekorde!$L$4:$L$23,MATCH(Übungen!$A$5,Rekorde!$A$4:$A$23,0)),"")="",IF(IFERROR(INDEX(Rekorde!$O$4:$O$23,MATCH(Übungen!$A$5,Rekorde!$A$4:$A$23,0)),"")="","Neu im Plan - Startgewicht im Blatt 'Übungen' eintragen     ·     ","Neu im Plan     ·     Start: "&amp;TEXT(IFERROR(INDEX(Rekorde!$O$4:$O$23,MATCH(Übungen!$A$5,Rekorde!$A$4:$A$23,0)),""),"0.#")&amp;" kg     ·     "),"Zuletzt: "&amp;TEXT(IFERROR(INDEX(Rekorde!$L$4:$L$23,MATCH(Übungen!$A$5,Rekorde!$A$4:$A$23,0)),""),"0.#")&amp;" kg × "&amp;IF(IFERROR(INDEX(Rekorde!$M$4:$M$23,MATCH(Übungen!$A$5,Rekorde!$A$4:$A$23,0)),"")="","?",TEXT(IFERROR(INDEX(Rekorde!$M$4:$M$23,MATCH(Übungen!$A$5,Rekorde!$A$4:$A$23,0)),""),"0"))&amp;" Wdh     ·     Bestwert: "&amp;TEXT(IFERROR(INDEX(Rekorde!$F$4:$F$23,MATCH(Übungen!$A$5,Rekorde!$A$4:$A$23,0)),""),"0.#")&amp;" kg     ·     "&amp;IF(IFERROR(INDEX(Rekorde!$O$4:$O$23,MATCH(Übungen!$A$5,Rekorde!$A$4:$A$23,0)),"")="","","Ziel heute: "&amp;TEXT(IFERROR(INDEX(Rekorde!$O$4:$O$23,MATCH(Übungen!$A$5,Rekorde!$A$4:$A$23,0)),""),"0.#")&amp;" kg × "&amp;IF(IFERROR(INDEX(Rekorde!$P$4:$P$23,MATCH(Übungen!$A$5,Rekorde!$A$4:$A$23,0)),"")="","",TEXT(IFERROR(INDEX(Rekorde!$P$4:$P$23,MATCH(Übungen!$A$5,Rekorde!$A$4:$A$23,0)),""),"0")&amp;" Wdh")&amp;"     ·     ")&amp;IF(AND(Übungen!$I$5&lt;&gt;"",IFERROR(INDEX(Rekorde!$O$4:$O$23,MATCH(Übungen!$A$5,Rekorde!$A$4:$A$23,0)),"")&lt;&gt;"",IFERROR(INDEX(Rekorde!$O$4:$O$23,MATCH(Übungen!$A$5,Rekorde!$A$4:$A$23,0)),"")&gt;=Übungen!$I$5),"Stackende, über Tempo und Pausen steigern     ·     ","")))</f>
        <v>Zuletzt: 120 kg × 6 Wdh     ·     Bestwert: 120 kg     ·     Ziel heute: 122.5 kg × 5 Wdh     ·     </v>
      </c>
      <c r="B568" s="108"/>
      <c r="C568" s="108"/>
      <c r="D568" s="108"/>
      <c r="E568" s="108"/>
      <c r="F568" s="108"/>
      <c r="G568" s="108"/>
      <c r="H568" s="108"/>
      <c r="I568" s="108"/>
    </row>
    <row r="569" customFormat="false" ht="13.5" hidden="false" customHeight="true" outlineLevel="0" collapsed="false">
      <c r="A569" s="109" t="str">
        <f aca="false">"Vorgabe: "&amp;Übungen!$F$5&amp;" × "&amp;Übungen!$D$5&amp;"-"&amp;Übungen!$E$5&amp;" Wdh @ RPE "&amp;Übungen!$G$5&amp;IF(OR(Übungen!$M$5="",Übungen!$M$5&lt;=1),"","     ·     nach OP gesperrt bis Woche "&amp;Übungen!$M$5)&amp;IF(OR(FALSE(),Übungen!$L$5="pause"),"",IF(AND(Übungen!$K$5&lt;&gt;"",Übungen!$K$5&lt;&gt;100),"     ·     Wiedereinstieg: "&amp;TEXT(Übungen!$K$5,"0")&amp;" % des berechneten Ziels",IF(IFERROR(INDEX(Rekorde!$Q$4:$Q$23,MATCH(Übungen!$A$5,Rekorde!$A$4:$A$23,0)),"")="","","     ·     Schritt: "&amp;IFERROR(INDEX(Rekorde!$Q$4:$Q$23,MATCH(Übungen!$A$5,Rekorde!$A$4:$A$23,0)),""))))</f>
        <v>Vorgabe: 3 × 5-6 Wdh @ RPE 8     ·     nach OP gesperrt bis Woche 12     ·     Schritt: Gewicht +2.5 kg (2.1%), Wdh zurück auf 5</v>
      </c>
      <c r="B569" s="109"/>
      <c r="C569" s="109"/>
      <c r="D569" s="109"/>
      <c r="E569" s="109"/>
      <c r="F569" s="109"/>
      <c r="G569" s="109"/>
      <c r="H569" s="109"/>
      <c r="I569" s="109"/>
    </row>
    <row r="570" customFormat="false" ht="18" hidden="false" customHeight="true" outlineLevel="0" collapsed="false">
      <c r="A570" s="110" t="s">
        <v>543</v>
      </c>
      <c r="B570" s="110" t="s">
        <v>544</v>
      </c>
      <c r="C570" s="110" t="s">
        <v>545</v>
      </c>
      <c r="D570" s="110" t="s">
        <v>546</v>
      </c>
      <c r="E570" s="110" t="s">
        <v>547</v>
      </c>
      <c r="F570" s="110" t="s">
        <v>454</v>
      </c>
      <c r="G570" s="110" t="s">
        <v>50</v>
      </c>
      <c r="H570" s="110" t="s">
        <v>548</v>
      </c>
      <c r="I570" s="110" t="s">
        <v>256</v>
      </c>
    </row>
    <row r="571" customFormat="false" ht="18" hidden="false" customHeight="true" outlineLevel="0" collapsed="false">
      <c r="A571" s="72" t="n">
        <v>1</v>
      </c>
      <c r="B571" s="70" t="s">
        <v>549</v>
      </c>
      <c r="C571" s="111" t="n">
        <f aca="false">IF(OR(FALSE(),Übungen!$L$5="pause"),"",IF(IFERROR(INDEX(Rekorde!$O$4:$O$23,MATCH(Übungen!$A$5,Rekorde!$A$4:$A$23,0)),"")="","",ROUND(IFERROR(INDEX(Rekorde!$O$4:$O$23,MATCH(Übungen!$A$5,Rekorde!$A$4:$A$23,0)),"")*0.4*2,0)/2))</f>
        <v>49</v>
      </c>
      <c r="D571" s="112"/>
      <c r="E571" s="113"/>
      <c r="F571" s="113"/>
      <c r="G571" s="113"/>
      <c r="H571" s="113"/>
      <c r="I571" s="113"/>
    </row>
    <row r="572" customFormat="false" ht="18" hidden="false" customHeight="true" outlineLevel="0" collapsed="false">
      <c r="A572" s="72" t="n">
        <v>2</v>
      </c>
      <c r="B572" s="70" t="s">
        <v>550</v>
      </c>
      <c r="C572" s="111" t="n">
        <f aca="false">IF(OR(FALSE(),Übungen!$L$5="pause"),"",IF(IFERROR(INDEX(Rekorde!$O$4:$O$23,MATCH(Übungen!$A$5,Rekorde!$A$4:$A$23,0)),"")="","",ROUND(IFERROR(INDEX(Rekorde!$O$4:$O$23,MATCH(Übungen!$A$5,Rekorde!$A$4:$A$23,0)),"")*0.7*2,0)/2))</f>
        <v>86</v>
      </c>
      <c r="D572" s="112"/>
      <c r="E572" s="113"/>
      <c r="F572" s="113"/>
      <c r="G572" s="113"/>
      <c r="H572" s="113"/>
      <c r="I572" s="113"/>
    </row>
    <row r="573" customFormat="false" ht="18" hidden="false" customHeight="true" outlineLevel="0" collapsed="false">
      <c r="A573" s="72" t="n">
        <v>3</v>
      </c>
      <c r="B573" s="114" t="s">
        <v>551</v>
      </c>
      <c r="C573" s="115" t="n">
        <f aca="false">IF(OR(FALSE(),Übungen!$L$5="pause"),"",IF(IFERROR(INDEX(Rekorde!$O$4:$O$23,MATCH(Übungen!$A$5,Rekorde!$A$4:$A$23,0)),"")="","",ROUND(IFERROR(INDEX(Rekorde!$O$4:$O$23,MATCH(Übungen!$A$5,Rekorde!$A$4:$A$23,0)),"")*1*2,0)/2))</f>
        <v>122.5</v>
      </c>
      <c r="D573" s="116" t="n">
        <f aca="false">IF(OR(FALSE(),Übungen!$L$5="pause"),"",IF(IFERROR(INDEX(Rekorde!$P$4:$P$23,MATCH(Übungen!$A$5,Rekorde!$A$4:$A$23,0)),"")="","",MIN(Übungen!$E$5,IFERROR(INDEX(Rekorde!$P$4:$P$23,MATCH(Übungen!$A$5,Rekorde!$A$4:$A$23,0)),"")+0)))</f>
        <v>5</v>
      </c>
      <c r="E573" s="113"/>
      <c r="F573" s="113"/>
      <c r="G573" s="113"/>
      <c r="H573" s="113"/>
      <c r="I573" s="113"/>
    </row>
    <row r="574" customFormat="false" ht="18" hidden="false" customHeight="true" outlineLevel="0" collapsed="false">
      <c r="A574" s="72" t="n">
        <v>4</v>
      </c>
      <c r="B574" s="114" t="s">
        <v>552</v>
      </c>
      <c r="C574" s="111" t="n">
        <f aca="false">IF(OR(FALSE(),Übungen!$L$5="pause"),"",IF(IFERROR(INDEX(Rekorde!$O$4:$O$23,MATCH(Übungen!$A$5,Rekorde!$A$4:$A$23,0)),"")="","",ROUND(IFERROR(INDEX(Rekorde!$O$4:$O$23,MATCH(Übungen!$A$5,Rekorde!$A$4:$A$23,0)),"")*0.95*2,0)/2))</f>
        <v>116.5</v>
      </c>
      <c r="D574" s="116" t="n">
        <f aca="false">IF(OR(FALSE(),Übungen!$L$5="pause"),"",IF(IFERROR(INDEX(Rekorde!$P$4:$P$23,MATCH(Übungen!$A$5,Rekorde!$A$4:$A$23,0)),"")="","",MIN(Übungen!$E$5,IFERROR(INDEX(Rekorde!$P$4:$P$23,MATCH(Übungen!$A$5,Rekorde!$A$4:$A$23,0)),"")+1)))</f>
        <v>6</v>
      </c>
      <c r="E574" s="113"/>
      <c r="F574" s="113"/>
      <c r="G574" s="113"/>
      <c r="H574" s="113"/>
      <c r="I574" s="113"/>
    </row>
    <row r="575" customFormat="false" ht="18" hidden="false" customHeight="true" outlineLevel="0" collapsed="false">
      <c r="A575" s="72" t="n">
        <v>5</v>
      </c>
      <c r="B575" s="114" t="s">
        <v>553</v>
      </c>
      <c r="C575" s="111" t="n">
        <f aca="false">IF(OR(FALSE(),Übungen!$L$5="pause"),"",IF(IFERROR(INDEX(Rekorde!$O$4:$O$23,MATCH(Übungen!$A$5,Rekorde!$A$4:$A$23,0)),"")="","",ROUND(IFERROR(INDEX(Rekorde!$O$4:$O$23,MATCH(Übungen!$A$5,Rekorde!$A$4:$A$23,0)),"")*0.9*2,0)/2))</f>
        <v>110.5</v>
      </c>
      <c r="D575" s="116" t="n">
        <f aca="false">IF(OR(FALSE(),Übungen!$L$5="pause"),"",IF(IFERROR(INDEX(Rekorde!$P$4:$P$23,MATCH(Übungen!$A$5,Rekorde!$A$4:$A$23,0)),"")="","",MIN(Übungen!$E$5,IFERROR(INDEX(Rekorde!$P$4:$P$23,MATCH(Übungen!$A$5,Rekorde!$A$4:$A$23,0)),"")+2)))</f>
        <v>6</v>
      </c>
      <c r="E575" s="113"/>
      <c r="F575" s="113"/>
      <c r="G575" s="113"/>
      <c r="H575" s="113"/>
      <c r="I575" s="113"/>
    </row>
    <row r="577" customFormat="false" ht="18.75" hidden="false" customHeight="true" outlineLevel="0" collapsed="false">
      <c r="A577" s="107" t="str">
        <f aca="false">Übungen!$A$6</f>
        <v>Beinstrecker</v>
      </c>
      <c r="B577" s="107"/>
      <c r="C577" s="107"/>
      <c r="D577" s="107"/>
      <c r="E577" s="107"/>
      <c r="F577" s="107"/>
      <c r="G577" s="107"/>
      <c r="H577" s="107"/>
      <c r="I577" s="107"/>
    </row>
    <row r="578" customFormat="false" ht="13.5" hidden="false" customHeight="true" outlineLevel="0" collapsed="false">
      <c r="A578" s="108" t="str">
        <f aca="false">IF(OR(FALSE(),Übungen!$L$6="pause"),IF(Übungen!$L$6="pause","PAUSE - vorübergehend ausgesetzt, Grund im Blatt 'Übungen'     ·     ",""),IF(IFERROR(INDEX(Rekorde!$L$4:$L$23,MATCH(Übungen!$A$6,Rekorde!$A$4:$A$23,0)),"")="",IF(IFERROR(INDEX(Rekorde!$O$4:$O$23,MATCH(Übungen!$A$6,Rekorde!$A$4:$A$23,0)),"")="","Neu im Plan - Startgewicht im Blatt 'Übungen' eintragen     ·     ","Neu im Plan     ·     Start: "&amp;TEXT(IFERROR(INDEX(Rekorde!$O$4:$O$23,MATCH(Übungen!$A$6,Rekorde!$A$4:$A$23,0)),""),"0.#")&amp;" kg     ·     "),"Zuletzt: "&amp;TEXT(IFERROR(INDEX(Rekorde!$L$4:$L$23,MATCH(Übungen!$A$6,Rekorde!$A$4:$A$23,0)),""),"0.#")&amp;" kg × "&amp;IF(IFERROR(INDEX(Rekorde!$M$4:$M$23,MATCH(Übungen!$A$6,Rekorde!$A$4:$A$23,0)),"")="","?",TEXT(IFERROR(INDEX(Rekorde!$M$4:$M$23,MATCH(Übungen!$A$6,Rekorde!$A$4:$A$23,0)),""),"0"))&amp;" Wdh     ·     Bestwert: "&amp;TEXT(IFERROR(INDEX(Rekorde!$F$4:$F$23,MATCH(Übungen!$A$6,Rekorde!$A$4:$A$23,0)),""),"0.#")&amp;" kg     ·     "&amp;IF(IFERROR(INDEX(Rekorde!$O$4:$O$23,MATCH(Übungen!$A$6,Rekorde!$A$4:$A$23,0)),"")="","","Ziel heute: "&amp;TEXT(IFERROR(INDEX(Rekorde!$O$4:$O$23,MATCH(Übungen!$A$6,Rekorde!$A$4:$A$23,0)),""),"0.#")&amp;" kg × "&amp;IF(IFERROR(INDEX(Rekorde!$P$4:$P$23,MATCH(Übungen!$A$6,Rekorde!$A$4:$A$23,0)),"")="","",TEXT(IFERROR(INDEX(Rekorde!$P$4:$P$23,MATCH(Übungen!$A$6,Rekorde!$A$4:$A$23,0)),""),"0")&amp;" Wdh")&amp;"     ·     ")&amp;IF(AND(Übungen!$I$6&lt;&gt;"",IFERROR(INDEX(Rekorde!$O$4:$O$23,MATCH(Übungen!$A$6,Rekorde!$A$4:$A$23,0)),"")&lt;&gt;"",IFERROR(INDEX(Rekorde!$O$4:$O$23,MATCH(Übungen!$A$6,Rekorde!$A$4:$A$23,0)),"")&gt;=Übungen!$I$6),"Stackende, über Tempo und Pausen steigern     ·     ","")))</f>
        <v>Zuletzt: 95 kg × 5 Wdh     ·     Bestwert: 95 kg     ·     Ziel heute: 95 kg × 6 Wdh     ·     </v>
      </c>
      <c r="B578" s="108"/>
      <c r="C578" s="108"/>
      <c r="D578" s="108"/>
      <c r="E578" s="108"/>
      <c r="F578" s="108"/>
      <c r="G578" s="108"/>
      <c r="H578" s="108"/>
      <c r="I578" s="108"/>
    </row>
    <row r="579" customFormat="false" ht="13.5" hidden="false" customHeight="true" outlineLevel="0" collapsed="false">
      <c r="A579" s="109" t="str">
        <f aca="false">"Vorgabe: "&amp;Übungen!$F$6&amp;" × "&amp;Übungen!$D$6&amp;"-"&amp;Übungen!$E$6&amp;" Wdh @ RPE "&amp;Übungen!$G$6&amp;IF(OR(Übungen!$M$6="",Übungen!$M$6&lt;=1),"","     ·     nach OP gesperrt bis Woche "&amp;Übungen!$M$6)&amp;IF(OR(FALSE(),Übungen!$L$6="pause"),"",IF(AND(Übungen!$K$6&lt;&gt;"",Übungen!$K$6&lt;&gt;100),"     ·     Wiedereinstieg: "&amp;TEXT(Übungen!$K$6,"0")&amp;" % des berechneten Ziels",IF(IFERROR(INDEX(Rekorde!$Q$4:$Q$23,MATCH(Übungen!$A$6,Rekorde!$A$4:$A$23,0)),"")="","","     ·     Schritt: "&amp;IFERROR(INDEX(Rekorde!$Q$4:$Q$23,MATCH(Übungen!$A$6,Rekorde!$A$4:$A$23,0)),""))))</f>
        <v>Vorgabe: 3 × 5-6 Wdh @ RPE 9     ·     nach OP gesperrt bis Woche 2     ·     Schritt: Wdh +1 auf 6 bei gleichem Gewicht</v>
      </c>
      <c r="B579" s="109"/>
      <c r="C579" s="109"/>
      <c r="D579" s="109"/>
      <c r="E579" s="109"/>
      <c r="F579" s="109"/>
      <c r="G579" s="109"/>
      <c r="H579" s="109"/>
      <c r="I579" s="109"/>
    </row>
    <row r="580" customFormat="false" ht="18" hidden="false" customHeight="true" outlineLevel="0" collapsed="false">
      <c r="A580" s="110" t="s">
        <v>543</v>
      </c>
      <c r="B580" s="110" t="s">
        <v>544</v>
      </c>
      <c r="C580" s="110" t="s">
        <v>545</v>
      </c>
      <c r="D580" s="110" t="s">
        <v>546</v>
      </c>
      <c r="E580" s="110" t="s">
        <v>547</v>
      </c>
      <c r="F580" s="110" t="s">
        <v>454</v>
      </c>
      <c r="G580" s="110" t="s">
        <v>50</v>
      </c>
      <c r="H580" s="110" t="s">
        <v>548</v>
      </c>
      <c r="I580" s="110" t="s">
        <v>256</v>
      </c>
    </row>
    <row r="581" customFormat="false" ht="18" hidden="false" customHeight="true" outlineLevel="0" collapsed="false">
      <c r="A581" s="72" t="n">
        <v>1</v>
      </c>
      <c r="B581" s="70" t="s">
        <v>549</v>
      </c>
      <c r="C581" s="111" t="n">
        <f aca="false">IF(OR(FALSE(),Übungen!$L$6="pause"),"",IF(IFERROR(INDEX(Rekorde!$O$4:$O$23,MATCH(Übungen!$A$6,Rekorde!$A$4:$A$23,0)),"")="","",ROUND(IFERROR(INDEX(Rekorde!$O$4:$O$23,MATCH(Übungen!$A$6,Rekorde!$A$4:$A$23,0)),"")*0.4*2,0)/2))</f>
        <v>38</v>
      </c>
      <c r="D581" s="112"/>
      <c r="E581" s="113"/>
      <c r="F581" s="113"/>
      <c r="G581" s="113"/>
      <c r="H581" s="113"/>
      <c r="I581" s="113"/>
    </row>
    <row r="582" customFormat="false" ht="18" hidden="false" customHeight="true" outlineLevel="0" collapsed="false">
      <c r="A582" s="72" t="n">
        <v>2</v>
      </c>
      <c r="B582" s="70" t="s">
        <v>550</v>
      </c>
      <c r="C582" s="111" t="n">
        <f aca="false">IF(OR(FALSE(),Übungen!$L$6="pause"),"",IF(IFERROR(INDEX(Rekorde!$O$4:$O$23,MATCH(Übungen!$A$6,Rekorde!$A$4:$A$23,0)),"")="","",ROUND(IFERROR(INDEX(Rekorde!$O$4:$O$23,MATCH(Übungen!$A$6,Rekorde!$A$4:$A$23,0)),"")*0.7*2,0)/2))</f>
        <v>66.5</v>
      </c>
      <c r="D582" s="112"/>
      <c r="E582" s="113"/>
      <c r="F582" s="113"/>
      <c r="G582" s="113"/>
      <c r="H582" s="113"/>
      <c r="I582" s="113"/>
    </row>
    <row r="583" customFormat="false" ht="18" hidden="false" customHeight="true" outlineLevel="0" collapsed="false">
      <c r="A583" s="72" t="n">
        <v>3</v>
      </c>
      <c r="B583" s="114" t="s">
        <v>551</v>
      </c>
      <c r="C583" s="115" t="n">
        <f aca="false">IF(OR(FALSE(),Übungen!$L$6="pause"),"",IF(IFERROR(INDEX(Rekorde!$O$4:$O$23,MATCH(Übungen!$A$6,Rekorde!$A$4:$A$23,0)),"")="","",ROUND(IFERROR(INDEX(Rekorde!$O$4:$O$23,MATCH(Übungen!$A$6,Rekorde!$A$4:$A$23,0)),"")*1*2,0)/2))</f>
        <v>95</v>
      </c>
      <c r="D583" s="116" t="n">
        <f aca="false">IF(OR(FALSE(),Übungen!$L$6="pause"),"",IF(IFERROR(INDEX(Rekorde!$P$4:$P$23,MATCH(Übungen!$A$6,Rekorde!$A$4:$A$23,0)),"")="","",MIN(Übungen!$E$6,IFERROR(INDEX(Rekorde!$P$4:$P$23,MATCH(Übungen!$A$6,Rekorde!$A$4:$A$23,0)),"")+0)))</f>
        <v>6</v>
      </c>
      <c r="E583" s="113"/>
      <c r="F583" s="113"/>
      <c r="G583" s="113"/>
      <c r="H583" s="113"/>
      <c r="I583" s="113"/>
    </row>
    <row r="584" customFormat="false" ht="18" hidden="false" customHeight="true" outlineLevel="0" collapsed="false">
      <c r="A584" s="72" t="n">
        <v>4</v>
      </c>
      <c r="B584" s="114" t="s">
        <v>552</v>
      </c>
      <c r="C584" s="111" t="n">
        <f aca="false">IF(OR(FALSE(),Übungen!$L$6="pause"),"",IF(IFERROR(INDEX(Rekorde!$O$4:$O$23,MATCH(Übungen!$A$6,Rekorde!$A$4:$A$23,0)),"")="","",ROUND(IFERROR(INDEX(Rekorde!$O$4:$O$23,MATCH(Übungen!$A$6,Rekorde!$A$4:$A$23,0)),"")*0.95*2,0)/2))</f>
        <v>90.5</v>
      </c>
      <c r="D584" s="116" t="n">
        <f aca="false">IF(OR(FALSE(),Übungen!$L$6="pause"),"",IF(IFERROR(INDEX(Rekorde!$P$4:$P$23,MATCH(Übungen!$A$6,Rekorde!$A$4:$A$23,0)),"")="","",MIN(Übungen!$E$6,IFERROR(INDEX(Rekorde!$P$4:$P$23,MATCH(Übungen!$A$6,Rekorde!$A$4:$A$23,0)),"")+1)))</f>
        <v>6</v>
      </c>
      <c r="E584" s="113"/>
      <c r="F584" s="113"/>
      <c r="G584" s="113"/>
      <c r="H584" s="113"/>
      <c r="I584" s="113"/>
    </row>
    <row r="585" customFormat="false" ht="18" hidden="false" customHeight="true" outlineLevel="0" collapsed="false">
      <c r="A585" s="72" t="n">
        <v>5</v>
      </c>
      <c r="B585" s="114" t="s">
        <v>553</v>
      </c>
      <c r="C585" s="111" t="n">
        <f aca="false">IF(OR(FALSE(),Übungen!$L$6="pause"),"",IF(IFERROR(INDEX(Rekorde!$O$4:$O$23,MATCH(Übungen!$A$6,Rekorde!$A$4:$A$23,0)),"")="","",ROUND(IFERROR(INDEX(Rekorde!$O$4:$O$23,MATCH(Übungen!$A$6,Rekorde!$A$4:$A$23,0)),"")*0.9*2,0)/2))</f>
        <v>85.5</v>
      </c>
      <c r="D585" s="116" t="n">
        <f aca="false">IF(OR(FALSE(),Übungen!$L$6="pause"),"",IF(IFERROR(INDEX(Rekorde!$P$4:$P$23,MATCH(Übungen!$A$6,Rekorde!$A$4:$A$23,0)),"")="","",MIN(Übungen!$E$6,IFERROR(INDEX(Rekorde!$P$4:$P$23,MATCH(Übungen!$A$6,Rekorde!$A$4:$A$23,0)),"")+2)))</f>
        <v>6</v>
      </c>
      <c r="E585" s="113"/>
      <c r="F585" s="113"/>
      <c r="G585" s="113"/>
      <c r="H585" s="113"/>
      <c r="I585" s="113"/>
    </row>
    <row r="587" customFormat="false" ht="18.75" hidden="false" customHeight="true" outlineLevel="0" collapsed="false">
      <c r="A587" s="107" t="str">
        <f aca="false">Übungen!$A$7</f>
        <v>Adduktion</v>
      </c>
      <c r="B587" s="107"/>
      <c r="C587" s="107"/>
      <c r="D587" s="107"/>
      <c r="E587" s="107"/>
      <c r="F587" s="107"/>
      <c r="G587" s="107"/>
      <c r="H587" s="107"/>
      <c r="I587" s="107"/>
    </row>
    <row r="588" customFormat="false" ht="13.5" hidden="false" customHeight="true" outlineLevel="0" collapsed="false">
      <c r="A588" s="108" t="str">
        <f aca="false">IF(OR(FALSE(),Übungen!$L$7="pause"),IF(Übungen!$L$7="pause","PAUSE - vorübergehend ausgesetzt, Grund im Blatt 'Übungen'     ·     ",""),IF(IFERROR(INDEX(Rekorde!$L$4:$L$23,MATCH(Übungen!$A$7,Rekorde!$A$4:$A$23,0)),"")="",IF(IFERROR(INDEX(Rekorde!$O$4:$O$23,MATCH(Übungen!$A$7,Rekorde!$A$4:$A$23,0)),"")="","Neu im Plan - Startgewicht im Blatt 'Übungen' eintragen     ·     ","Neu im Plan     ·     Start: "&amp;TEXT(IFERROR(INDEX(Rekorde!$O$4:$O$23,MATCH(Übungen!$A$7,Rekorde!$A$4:$A$23,0)),""),"0.#")&amp;" kg     ·     "),"Zuletzt: "&amp;TEXT(IFERROR(INDEX(Rekorde!$L$4:$L$23,MATCH(Übungen!$A$7,Rekorde!$A$4:$A$23,0)),""),"0.#")&amp;" kg × "&amp;IF(IFERROR(INDEX(Rekorde!$M$4:$M$23,MATCH(Übungen!$A$7,Rekorde!$A$4:$A$23,0)),"")="","?",TEXT(IFERROR(INDEX(Rekorde!$M$4:$M$23,MATCH(Übungen!$A$7,Rekorde!$A$4:$A$23,0)),""),"0"))&amp;" Wdh     ·     Bestwert: "&amp;TEXT(IFERROR(INDEX(Rekorde!$F$4:$F$23,MATCH(Übungen!$A$7,Rekorde!$A$4:$A$23,0)),""),"0.#")&amp;" kg     ·     "&amp;IF(IFERROR(INDEX(Rekorde!$O$4:$O$23,MATCH(Übungen!$A$7,Rekorde!$A$4:$A$23,0)),"")="","","Ziel heute: "&amp;TEXT(IFERROR(INDEX(Rekorde!$O$4:$O$23,MATCH(Übungen!$A$7,Rekorde!$A$4:$A$23,0)),""),"0.#")&amp;" kg × "&amp;IF(IFERROR(INDEX(Rekorde!$P$4:$P$23,MATCH(Übungen!$A$7,Rekorde!$A$4:$A$23,0)),"")="","",TEXT(IFERROR(INDEX(Rekorde!$P$4:$P$23,MATCH(Übungen!$A$7,Rekorde!$A$4:$A$23,0)),""),"0")&amp;" Wdh")&amp;"     ·     ")&amp;IF(AND(Übungen!$I$7&lt;&gt;"",IFERROR(INDEX(Rekorde!$O$4:$O$23,MATCH(Übungen!$A$7,Rekorde!$A$4:$A$23,0)),"")&lt;&gt;"",IFERROR(INDEX(Rekorde!$O$4:$O$23,MATCH(Übungen!$A$7,Rekorde!$A$4:$A$23,0)),"")&gt;=Übungen!$I$7),"Stackende, über Tempo und Pausen steigern     ·     ","")))</f>
        <v>Zuletzt: 165 kg × 6 Wdh     ·     Bestwert: 185 kg     ·     Ziel heute: 167.5 kg × 5 Wdh     ·     </v>
      </c>
      <c r="B588" s="108"/>
      <c r="C588" s="108"/>
      <c r="D588" s="108"/>
      <c r="E588" s="108"/>
      <c r="F588" s="108"/>
      <c r="G588" s="108"/>
      <c r="H588" s="108"/>
      <c r="I588" s="108"/>
    </row>
    <row r="589" customFormat="false" ht="13.5" hidden="false" customHeight="true" outlineLevel="0" collapsed="false">
      <c r="A589" s="109" t="str">
        <f aca="false">"Vorgabe: "&amp;Übungen!$F$7&amp;" × "&amp;Übungen!$D$7&amp;"-"&amp;Übungen!$E$7&amp;" Wdh @ RPE "&amp;Übungen!$G$7&amp;IF(OR(Übungen!$M$7="",Übungen!$M$7&lt;=1),"","     ·     nach OP gesperrt bis Woche "&amp;Übungen!$M$7)&amp;IF(OR(FALSE(),Übungen!$L$7="pause"),"",IF(AND(Übungen!$K$7&lt;&gt;"",Übungen!$K$7&lt;&gt;100),"     ·     Wiedereinstieg: "&amp;TEXT(Übungen!$K$7,"0")&amp;" % des berechneten Ziels",IF(IFERROR(INDEX(Rekorde!$Q$4:$Q$23,MATCH(Übungen!$A$7,Rekorde!$A$4:$A$23,0)),"")="","","     ·     Schritt: "&amp;IFERROR(INDEX(Rekorde!$Q$4:$Q$23,MATCH(Übungen!$A$7,Rekorde!$A$4:$A$23,0)),""))))</f>
        <v>Vorgabe: 3 × 5-6 Wdh @ RPE 9     ·     nach OP gesperrt bis Woche 2     ·     Schritt: Gewicht +2.5 kg (1.5%), Wdh zurück auf 5</v>
      </c>
      <c r="B589" s="109"/>
      <c r="C589" s="109"/>
      <c r="D589" s="109"/>
      <c r="E589" s="109"/>
      <c r="F589" s="109"/>
      <c r="G589" s="109"/>
      <c r="H589" s="109"/>
      <c r="I589" s="109"/>
    </row>
    <row r="590" customFormat="false" ht="18" hidden="false" customHeight="true" outlineLevel="0" collapsed="false">
      <c r="A590" s="110" t="s">
        <v>543</v>
      </c>
      <c r="B590" s="110" t="s">
        <v>544</v>
      </c>
      <c r="C590" s="110" t="s">
        <v>545</v>
      </c>
      <c r="D590" s="110" t="s">
        <v>546</v>
      </c>
      <c r="E590" s="110" t="s">
        <v>547</v>
      </c>
      <c r="F590" s="110" t="s">
        <v>454</v>
      </c>
      <c r="G590" s="110" t="s">
        <v>50</v>
      </c>
      <c r="H590" s="110" t="s">
        <v>548</v>
      </c>
      <c r="I590" s="110" t="s">
        <v>256</v>
      </c>
    </row>
    <row r="591" customFormat="false" ht="18" hidden="false" customHeight="true" outlineLevel="0" collapsed="false">
      <c r="A591" s="72" t="n">
        <v>1</v>
      </c>
      <c r="B591" s="70" t="s">
        <v>549</v>
      </c>
      <c r="C591" s="111" t="n">
        <f aca="false">IF(OR(FALSE(),Übungen!$L$7="pause"),"",IF(IFERROR(INDEX(Rekorde!$O$4:$O$23,MATCH(Übungen!$A$7,Rekorde!$A$4:$A$23,0)),"")="","",ROUND(IFERROR(INDEX(Rekorde!$O$4:$O$23,MATCH(Übungen!$A$7,Rekorde!$A$4:$A$23,0)),"")*0.4*2,0)/2))</f>
        <v>67</v>
      </c>
      <c r="D591" s="112"/>
      <c r="E591" s="113"/>
      <c r="F591" s="113"/>
      <c r="G591" s="113"/>
      <c r="H591" s="113"/>
      <c r="I591" s="113"/>
    </row>
    <row r="592" customFormat="false" ht="18" hidden="false" customHeight="true" outlineLevel="0" collapsed="false">
      <c r="A592" s="72" t="n">
        <v>2</v>
      </c>
      <c r="B592" s="70" t="s">
        <v>550</v>
      </c>
      <c r="C592" s="111" t="n">
        <f aca="false">IF(OR(FALSE(),Übungen!$L$7="pause"),"",IF(IFERROR(INDEX(Rekorde!$O$4:$O$23,MATCH(Übungen!$A$7,Rekorde!$A$4:$A$23,0)),"")="","",ROUND(IFERROR(INDEX(Rekorde!$O$4:$O$23,MATCH(Übungen!$A$7,Rekorde!$A$4:$A$23,0)),"")*0.7*2,0)/2))</f>
        <v>117</v>
      </c>
      <c r="D592" s="112"/>
      <c r="E592" s="113"/>
      <c r="F592" s="113"/>
      <c r="G592" s="113"/>
      <c r="H592" s="113"/>
      <c r="I592" s="113"/>
    </row>
    <row r="593" customFormat="false" ht="18" hidden="false" customHeight="true" outlineLevel="0" collapsed="false">
      <c r="A593" s="72" t="n">
        <v>3</v>
      </c>
      <c r="B593" s="114" t="s">
        <v>551</v>
      </c>
      <c r="C593" s="115" t="n">
        <f aca="false">IF(OR(FALSE(),Übungen!$L$7="pause"),"",IF(IFERROR(INDEX(Rekorde!$O$4:$O$23,MATCH(Übungen!$A$7,Rekorde!$A$4:$A$23,0)),"")="","",ROUND(IFERROR(INDEX(Rekorde!$O$4:$O$23,MATCH(Übungen!$A$7,Rekorde!$A$4:$A$23,0)),"")*1*2,0)/2))</f>
        <v>167.5</v>
      </c>
      <c r="D593" s="116" t="n">
        <f aca="false">IF(OR(FALSE(),Übungen!$L$7="pause"),"",IF(IFERROR(INDEX(Rekorde!$P$4:$P$23,MATCH(Übungen!$A$7,Rekorde!$A$4:$A$23,0)),"")="","",MIN(Übungen!$E$7,IFERROR(INDEX(Rekorde!$P$4:$P$23,MATCH(Übungen!$A$7,Rekorde!$A$4:$A$23,0)),"")+0)))</f>
        <v>5</v>
      </c>
      <c r="E593" s="113"/>
      <c r="F593" s="113"/>
      <c r="G593" s="113"/>
      <c r="H593" s="113"/>
      <c r="I593" s="113"/>
    </row>
    <row r="594" customFormat="false" ht="18" hidden="false" customHeight="true" outlineLevel="0" collapsed="false">
      <c r="A594" s="72" t="n">
        <v>4</v>
      </c>
      <c r="B594" s="114" t="s">
        <v>552</v>
      </c>
      <c r="C594" s="111" t="n">
        <f aca="false">IF(OR(FALSE(),Übungen!$L$7="pause"),"",IF(IFERROR(INDEX(Rekorde!$O$4:$O$23,MATCH(Übungen!$A$7,Rekorde!$A$4:$A$23,0)),"")="","",ROUND(IFERROR(INDEX(Rekorde!$O$4:$O$23,MATCH(Übungen!$A$7,Rekorde!$A$4:$A$23,0)),"")*0.95*2,0)/2))</f>
        <v>159</v>
      </c>
      <c r="D594" s="116" t="n">
        <f aca="false">IF(OR(FALSE(),Übungen!$L$7="pause"),"",IF(IFERROR(INDEX(Rekorde!$P$4:$P$23,MATCH(Übungen!$A$7,Rekorde!$A$4:$A$23,0)),"")="","",MIN(Übungen!$E$7,IFERROR(INDEX(Rekorde!$P$4:$P$23,MATCH(Übungen!$A$7,Rekorde!$A$4:$A$23,0)),"")+1)))</f>
        <v>6</v>
      </c>
      <c r="E594" s="113"/>
      <c r="F594" s="113"/>
      <c r="G594" s="113"/>
      <c r="H594" s="113"/>
      <c r="I594" s="113"/>
    </row>
    <row r="595" customFormat="false" ht="18" hidden="false" customHeight="true" outlineLevel="0" collapsed="false">
      <c r="A595" s="72" t="n">
        <v>5</v>
      </c>
      <c r="B595" s="114" t="s">
        <v>553</v>
      </c>
      <c r="C595" s="111" t="n">
        <f aca="false">IF(OR(FALSE(),Übungen!$L$7="pause"),"",IF(IFERROR(INDEX(Rekorde!$O$4:$O$23,MATCH(Übungen!$A$7,Rekorde!$A$4:$A$23,0)),"")="","",ROUND(IFERROR(INDEX(Rekorde!$O$4:$O$23,MATCH(Übungen!$A$7,Rekorde!$A$4:$A$23,0)),"")*0.9*2,0)/2))</f>
        <v>151</v>
      </c>
      <c r="D595" s="116" t="n">
        <f aca="false">IF(OR(FALSE(),Übungen!$L$7="pause"),"",IF(IFERROR(INDEX(Rekorde!$P$4:$P$23,MATCH(Übungen!$A$7,Rekorde!$A$4:$A$23,0)),"")="","",MIN(Übungen!$E$7,IFERROR(INDEX(Rekorde!$P$4:$P$23,MATCH(Übungen!$A$7,Rekorde!$A$4:$A$23,0)),"")+2)))</f>
        <v>6</v>
      </c>
      <c r="E595" s="113"/>
      <c r="F595" s="113"/>
      <c r="G595" s="113"/>
      <c r="H595" s="113"/>
      <c r="I595" s="113"/>
    </row>
    <row r="597" customFormat="false" ht="15.75" hidden="false" customHeight="true" outlineLevel="0" collapsed="false">
      <c r="A597" s="3" t="s">
        <v>554</v>
      </c>
      <c r="B597" s="3"/>
      <c r="C597" s="3"/>
      <c r="D597" s="3"/>
      <c r="E597" s="3"/>
      <c r="F597" s="3"/>
      <c r="G597" s="3"/>
      <c r="H597" s="3"/>
      <c r="I597" s="3"/>
    </row>
    <row r="598" customFormat="false" ht="18" hidden="false" customHeight="true" outlineLevel="0" collapsed="false">
      <c r="A598" s="117"/>
      <c r="B598" s="117"/>
      <c r="C598" s="117"/>
      <c r="D598" s="117"/>
      <c r="E598" s="117"/>
      <c r="F598" s="117"/>
      <c r="G598" s="117"/>
      <c r="H598" s="117"/>
      <c r="I598" s="117"/>
    </row>
    <row r="599" customFormat="false" ht="18" hidden="false" customHeight="true" outlineLevel="0" collapsed="false">
      <c r="A599" s="117"/>
      <c r="B599" s="117"/>
      <c r="C599" s="117"/>
      <c r="D599" s="117"/>
      <c r="E599" s="117"/>
      <c r="F599" s="117"/>
      <c r="G599" s="117"/>
      <c r="H599" s="117"/>
      <c r="I599" s="117"/>
    </row>
    <row r="601" customFormat="false" ht="27.75" hidden="false" customHeight="true" outlineLevel="0" collapsed="false">
      <c r="A601" s="1" t="s">
        <v>564</v>
      </c>
      <c r="B601" s="1"/>
      <c r="C601" s="1"/>
      <c r="D601" s="1"/>
      <c r="E601" s="1"/>
      <c r="F601" s="1"/>
      <c r="G601" s="1"/>
      <c r="H601" s="1"/>
      <c r="I601" s="1"/>
    </row>
    <row r="602" customFormat="false" ht="12" hidden="false" customHeight="true" outlineLevel="0" collapsed="false">
      <c r="A602" s="104" t="s">
        <v>75</v>
      </c>
      <c r="B602" s="104"/>
      <c r="C602" s="105" t="s">
        <v>539</v>
      </c>
      <c r="D602" s="105" t="s">
        <v>540</v>
      </c>
      <c r="E602" s="104" t="s">
        <v>541</v>
      </c>
      <c r="F602" s="104"/>
      <c r="G602" s="104" t="s">
        <v>542</v>
      </c>
      <c r="H602" s="104"/>
    </row>
    <row r="603" customFormat="false" ht="18" hidden="false" customHeight="true" outlineLevel="0" collapsed="false">
      <c r="A603" s="106"/>
      <c r="B603" s="106"/>
      <c r="C603" s="106"/>
      <c r="D603" s="106"/>
      <c r="E603" s="106"/>
      <c r="F603" s="106"/>
      <c r="G603" s="106"/>
      <c r="H603" s="106"/>
    </row>
    <row r="605" customFormat="false" ht="18.75" hidden="false" customHeight="true" outlineLevel="0" collapsed="false">
      <c r="A605" s="107" t="str">
        <f aca="false">Übungen!$A$8</f>
        <v>Reverse V-Squat</v>
      </c>
      <c r="B605" s="107"/>
      <c r="C605" s="107"/>
      <c r="D605" s="107"/>
      <c r="E605" s="107"/>
      <c r="F605" s="107"/>
      <c r="G605" s="107"/>
      <c r="H605" s="107"/>
      <c r="I605" s="107"/>
    </row>
    <row r="606" customFormat="false" ht="13.5" hidden="false" customHeight="true" outlineLevel="0" collapsed="false">
      <c r="A606" s="108" t="str">
        <f aca="false">IF(OR(FALSE(),Übungen!$L$8="pause"),IF(Übungen!$L$8="pause","PAUSE - vorübergehend ausgesetzt, Grund im Blatt 'Übungen'     ·     ",""),IF(IFERROR(INDEX(Rekorde!$L$4:$L$23,MATCH(Übungen!$A$8,Rekorde!$A$4:$A$23,0)),"")="",IF(IFERROR(INDEX(Rekorde!$O$4:$O$23,MATCH(Übungen!$A$8,Rekorde!$A$4:$A$23,0)),"")="","Neu im Plan - Startgewicht im Blatt 'Übungen' eintragen     ·     ","Neu im Plan     ·     Start: "&amp;TEXT(IFERROR(INDEX(Rekorde!$O$4:$O$23,MATCH(Übungen!$A$8,Rekorde!$A$4:$A$23,0)),""),"0.#")&amp;" kg     ·     "),"Zuletzt: "&amp;TEXT(IFERROR(INDEX(Rekorde!$L$4:$L$23,MATCH(Übungen!$A$8,Rekorde!$A$4:$A$23,0)),""),"0.#")&amp;" kg × "&amp;IF(IFERROR(INDEX(Rekorde!$M$4:$M$23,MATCH(Übungen!$A$8,Rekorde!$A$4:$A$23,0)),"")="","?",TEXT(IFERROR(INDEX(Rekorde!$M$4:$M$23,MATCH(Übungen!$A$8,Rekorde!$A$4:$A$23,0)),""),"0"))&amp;" Wdh     ·     Bestwert: "&amp;TEXT(IFERROR(INDEX(Rekorde!$F$4:$F$23,MATCH(Übungen!$A$8,Rekorde!$A$4:$A$23,0)),""),"0.#")&amp;" kg     ·     "&amp;IF(IFERROR(INDEX(Rekorde!$O$4:$O$23,MATCH(Übungen!$A$8,Rekorde!$A$4:$A$23,0)),"")="","","Ziel heute: "&amp;TEXT(IFERROR(INDEX(Rekorde!$O$4:$O$23,MATCH(Übungen!$A$8,Rekorde!$A$4:$A$23,0)),""),"0.#")&amp;" kg × "&amp;IF(IFERROR(INDEX(Rekorde!$P$4:$P$23,MATCH(Übungen!$A$8,Rekorde!$A$4:$A$23,0)),"")="","",TEXT(IFERROR(INDEX(Rekorde!$P$4:$P$23,MATCH(Übungen!$A$8,Rekorde!$A$4:$A$23,0)),""),"0")&amp;" Wdh")&amp;"     ·     ")&amp;IF(AND(Übungen!$I$8&lt;&gt;"",IFERROR(INDEX(Rekorde!$O$4:$O$23,MATCH(Übungen!$A$8,Rekorde!$A$4:$A$23,0)),"")&lt;&gt;"",IFERROR(INDEX(Rekorde!$O$4:$O$23,MATCH(Übungen!$A$8,Rekorde!$A$4:$A$23,0)),"")&gt;=Übungen!$I$8),"Stackende, über Tempo und Pausen steigern     ·     ","")))</f>
        <v>Zuletzt: 215 kg × 5 Wdh     ·     Bestwert: 215 kg     ·     Ziel heute: 215 kg × 6 Wdh     ·     </v>
      </c>
      <c r="B606" s="108"/>
      <c r="C606" s="108"/>
      <c r="D606" s="108"/>
      <c r="E606" s="108"/>
      <c r="F606" s="108"/>
      <c r="G606" s="108"/>
      <c r="H606" s="108"/>
      <c r="I606" s="108"/>
    </row>
    <row r="607" customFormat="false" ht="13.5" hidden="false" customHeight="true" outlineLevel="0" collapsed="false">
      <c r="A607" s="109" t="str">
        <f aca="false">"Vorgabe: "&amp;Übungen!$F$8&amp;" × "&amp;Übungen!$D$8&amp;"-"&amp;Übungen!$E$8&amp;" Wdh @ RPE "&amp;Übungen!$G$8&amp;IF(OR(Übungen!$M$8="",Übungen!$M$8&lt;=1),"","     ·     nach OP gesperrt bis Woche "&amp;Übungen!$M$8)&amp;IF(OR(FALSE(),Übungen!$L$8="pause"),"",IF(AND(Übungen!$K$8&lt;&gt;"",Übungen!$K$8&lt;&gt;100),"     ·     Wiedereinstieg: "&amp;TEXT(Übungen!$K$8,"0")&amp;" % des berechneten Ziels",IF(IFERROR(INDEX(Rekorde!$Q$4:$Q$23,MATCH(Übungen!$A$8,Rekorde!$A$4:$A$23,0)),"")="","","     ·     Schritt: "&amp;IFERROR(INDEX(Rekorde!$Q$4:$Q$23,MATCH(Übungen!$A$8,Rekorde!$A$4:$A$23,0)),""))))</f>
        <v>Vorgabe: 3 × 5-6 Wdh @ RPE 8-9     ·     nach OP gesperrt bis Woche 12     ·     Schritt: Wdh +1 auf 6 bei gleichem Gewicht</v>
      </c>
      <c r="B607" s="109"/>
      <c r="C607" s="109"/>
      <c r="D607" s="109"/>
      <c r="E607" s="109"/>
      <c r="F607" s="109"/>
      <c r="G607" s="109"/>
      <c r="H607" s="109"/>
      <c r="I607" s="109"/>
    </row>
    <row r="608" customFormat="false" ht="18" hidden="false" customHeight="true" outlineLevel="0" collapsed="false">
      <c r="A608" s="110" t="s">
        <v>543</v>
      </c>
      <c r="B608" s="110" t="s">
        <v>544</v>
      </c>
      <c r="C608" s="110" t="s">
        <v>545</v>
      </c>
      <c r="D608" s="110" t="s">
        <v>546</v>
      </c>
      <c r="E608" s="110" t="s">
        <v>547</v>
      </c>
      <c r="F608" s="110" t="s">
        <v>454</v>
      </c>
      <c r="G608" s="110" t="s">
        <v>50</v>
      </c>
      <c r="H608" s="110" t="s">
        <v>548</v>
      </c>
      <c r="I608" s="110" t="s">
        <v>256</v>
      </c>
    </row>
    <row r="609" customFormat="false" ht="18" hidden="false" customHeight="true" outlineLevel="0" collapsed="false">
      <c r="A609" s="72" t="n">
        <v>1</v>
      </c>
      <c r="B609" s="70" t="s">
        <v>549</v>
      </c>
      <c r="C609" s="111" t="n">
        <f aca="false">IF(OR(FALSE(),Übungen!$L$8="pause"),"",IF(IFERROR(INDEX(Rekorde!$O$4:$O$23,MATCH(Übungen!$A$8,Rekorde!$A$4:$A$23,0)),"")="","",ROUND(IFERROR(INDEX(Rekorde!$O$4:$O$23,MATCH(Übungen!$A$8,Rekorde!$A$4:$A$23,0)),"")*0.4*2,0)/2))</f>
        <v>86</v>
      </c>
      <c r="D609" s="112"/>
      <c r="E609" s="113"/>
      <c r="F609" s="113"/>
      <c r="G609" s="113"/>
      <c r="H609" s="113"/>
      <c r="I609" s="113"/>
    </row>
    <row r="610" customFormat="false" ht="18" hidden="false" customHeight="true" outlineLevel="0" collapsed="false">
      <c r="A610" s="72" t="n">
        <v>2</v>
      </c>
      <c r="B610" s="70" t="s">
        <v>550</v>
      </c>
      <c r="C610" s="111" t="n">
        <f aca="false">IF(OR(FALSE(),Übungen!$L$8="pause"),"",IF(IFERROR(INDEX(Rekorde!$O$4:$O$23,MATCH(Übungen!$A$8,Rekorde!$A$4:$A$23,0)),"")="","",ROUND(IFERROR(INDEX(Rekorde!$O$4:$O$23,MATCH(Übungen!$A$8,Rekorde!$A$4:$A$23,0)),"")*0.7*2,0)/2))</f>
        <v>150.5</v>
      </c>
      <c r="D610" s="112"/>
      <c r="E610" s="113"/>
      <c r="F610" s="113"/>
      <c r="G610" s="113"/>
      <c r="H610" s="113"/>
      <c r="I610" s="113"/>
    </row>
    <row r="611" customFormat="false" ht="18" hidden="false" customHeight="true" outlineLevel="0" collapsed="false">
      <c r="A611" s="72" t="n">
        <v>3</v>
      </c>
      <c r="B611" s="114" t="s">
        <v>551</v>
      </c>
      <c r="C611" s="115" t="n">
        <f aca="false">IF(OR(FALSE(),Übungen!$L$8="pause"),"",IF(IFERROR(INDEX(Rekorde!$O$4:$O$23,MATCH(Übungen!$A$8,Rekorde!$A$4:$A$23,0)),"")="","",ROUND(IFERROR(INDEX(Rekorde!$O$4:$O$23,MATCH(Übungen!$A$8,Rekorde!$A$4:$A$23,0)),"")*1*2,0)/2))</f>
        <v>215</v>
      </c>
      <c r="D611" s="116" t="n">
        <f aca="false">IF(OR(FALSE(),Übungen!$L$8="pause"),"",IF(IFERROR(INDEX(Rekorde!$P$4:$P$23,MATCH(Übungen!$A$8,Rekorde!$A$4:$A$23,0)),"")="","",MIN(Übungen!$E$8,IFERROR(INDEX(Rekorde!$P$4:$P$23,MATCH(Übungen!$A$8,Rekorde!$A$4:$A$23,0)),"")+0)))</f>
        <v>6</v>
      </c>
      <c r="E611" s="113"/>
      <c r="F611" s="113"/>
      <c r="G611" s="113"/>
      <c r="H611" s="113"/>
      <c r="I611" s="113"/>
    </row>
    <row r="612" customFormat="false" ht="18" hidden="false" customHeight="true" outlineLevel="0" collapsed="false">
      <c r="A612" s="72" t="n">
        <v>4</v>
      </c>
      <c r="B612" s="114" t="s">
        <v>552</v>
      </c>
      <c r="C612" s="111" t="n">
        <f aca="false">IF(OR(FALSE(),Übungen!$L$8="pause"),"",IF(IFERROR(INDEX(Rekorde!$O$4:$O$23,MATCH(Übungen!$A$8,Rekorde!$A$4:$A$23,0)),"")="","",ROUND(IFERROR(INDEX(Rekorde!$O$4:$O$23,MATCH(Übungen!$A$8,Rekorde!$A$4:$A$23,0)),"")*0.95*2,0)/2))</f>
        <v>204.5</v>
      </c>
      <c r="D612" s="116" t="n">
        <f aca="false">IF(OR(FALSE(),Übungen!$L$8="pause"),"",IF(IFERROR(INDEX(Rekorde!$P$4:$P$23,MATCH(Übungen!$A$8,Rekorde!$A$4:$A$23,0)),"")="","",MIN(Übungen!$E$8,IFERROR(INDEX(Rekorde!$P$4:$P$23,MATCH(Übungen!$A$8,Rekorde!$A$4:$A$23,0)),"")+1)))</f>
        <v>6</v>
      </c>
      <c r="E612" s="113"/>
      <c r="F612" s="113"/>
      <c r="G612" s="113"/>
      <c r="H612" s="113"/>
      <c r="I612" s="113"/>
    </row>
    <row r="613" customFormat="false" ht="18" hidden="false" customHeight="true" outlineLevel="0" collapsed="false">
      <c r="A613" s="72" t="n">
        <v>5</v>
      </c>
      <c r="B613" s="114" t="s">
        <v>553</v>
      </c>
      <c r="C613" s="111" t="n">
        <f aca="false">IF(OR(FALSE(),Übungen!$L$8="pause"),"",IF(IFERROR(INDEX(Rekorde!$O$4:$O$23,MATCH(Übungen!$A$8,Rekorde!$A$4:$A$23,0)),"")="","",ROUND(IFERROR(INDEX(Rekorde!$O$4:$O$23,MATCH(Übungen!$A$8,Rekorde!$A$4:$A$23,0)),"")*0.9*2,0)/2))</f>
        <v>193.5</v>
      </c>
      <c r="D613" s="116" t="n">
        <f aca="false">IF(OR(FALSE(),Übungen!$L$8="pause"),"",IF(IFERROR(INDEX(Rekorde!$P$4:$P$23,MATCH(Übungen!$A$8,Rekorde!$A$4:$A$23,0)),"")="","",MIN(Übungen!$E$8,IFERROR(INDEX(Rekorde!$P$4:$P$23,MATCH(Übungen!$A$8,Rekorde!$A$4:$A$23,0)),"")+2)))</f>
        <v>6</v>
      </c>
      <c r="E613" s="113"/>
      <c r="F613" s="113"/>
      <c r="G613" s="113"/>
      <c r="H613" s="113"/>
      <c r="I613" s="113"/>
    </row>
    <row r="615" customFormat="false" ht="18.75" hidden="false" customHeight="true" outlineLevel="0" collapsed="false">
      <c r="A615" s="107" t="str">
        <f aca="false">Übungen!$A$9</f>
        <v>Rumänisches Kreuzheben</v>
      </c>
      <c r="B615" s="107"/>
      <c r="C615" s="107"/>
      <c r="D615" s="107"/>
      <c r="E615" s="107"/>
      <c r="F615" s="107"/>
      <c r="G615" s="107"/>
      <c r="H615" s="107"/>
      <c r="I615" s="107"/>
    </row>
    <row r="616" customFormat="false" ht="13.5" hidden="false" customHeight="true" outlineLevel="0" collapsed="false">
      <c r="A616" s="108" t="str">
        <f aca="false">IF(OR(FALSE(),Übungen!$L$9="pause"),IF(Übungen!$L$9="pause","PAUSE - vorübergehend ausgesetzt, Grund im Blatt 'Übungen'     ·     ",""),IF(IFERROR(INDEX(Rekorde!$L$4:$L$23,MATCH(Übungen!$A$9,Rekorde!$A$4:$A$23,0)),"")="",IF(IFERROR(INDEX(Rekorde!$O$4:$O$23,MATCH(Übungen!$A$9,Rekorde!$A$4:$A$23,0)),"")="","Neu im Plan - Startgewicht im Blatt 'Übungen' eintragen     ·     ","Neu im Plan     ·     Start: "&amp;TEXT(IFERROR(INDEX(Rekorde!$O$4:$O$23,MATCH(Übungen!$A$9,Rekorde!$A$4:$A$23,0)),""),"0.#")&amp;" kg     ·     "),"Zuletzt: "&amp;TEXT(IFERROR(INDEX(Rekorde!$L$4:$L$23,MATCH(Übungen!$A$9,Rekorde!$A$4:$A$23,0)),""),"0.#")&amp;" kg × "&amp;IF(IFERROR(INDEX(Rekorde!$M$4:$M$23,MATCH(Übungen!$A$9,Rekorde!$A$4:$A$23,0)),"")="","?",TEXT(IFERROR(INDEX(Rekorde!$M$4:$M$23,MATCH(Übungen!$A$9,Rekorde!$A$4:$A$23,0)),""),"0"))&amp;" Wdh     ·     Bestwert: "&amp;TEXT(IFERROR(INDEX(Rekorde!$F$4:$F$23,MATCH(Übungen!$A$9,Rekorde!$A$4:$A$23,0)),""),"0.#")&amp;" kg     ·     "&amp;IF(IFERROR(INDEX(Rekorde!$O$4:$O$23,MATCH(Übungen!$A$9,Rekorde!$A$4:$A$23,0)),"")="","","Ziel heute: "&amp;TEXT(IFERROR(INDEX(Rekorde!$O$4:$O$23,MATCH(Übungen!$A$9,Rekorde!$A$4:$A$23,0)),""),"0.#")&amp;" kg × "&amp;IF(IFERROR(INDEX(Rekorde!$P$4:$P$23,MATCH(Übungen!$A$9,Rekorde!$A$4:$A$23,0)),"")="","",TEXT(IFERROR(INDEX(Rekorde!$P$4:$P$23,MATCH(Übungen!$A$9,Rekorde!$A$4:$A$23,0)),""),"0")&amp;" Wdh")&amp;"     ·     ")&amp;IF(AND(Übungen!$I$9&lt;&gt;"",IFERROR(INDEX(Rekorde!$O$4:$O$23,MATCH(Übungen!$A$9,Rekorde!$A$4:$A$23,0)),"")&lt;&gt;"",IFERROR(INDEX(Rekorde!$O$4:$O$23,MATCH(Übungen!$A$9,Rekorde!$A$4:$A$23,0)),"")&gt;=Übungen!$I$9),"Stackende, über Tempo und Pausen steigern     ·     ","")))</f>
        <v>PAUSE - vorübergehend ausgesetzt, Grund im Blatt 'Übungen'     ·     </v>
      </c>
      <c r="B616" s="108"/>
      <c r="C616" s="108"/>
      <c r="D616" s="108"/>
      <c r="E616" s="108"/>
      <c r="F616" s="108"/>
      <c r="G616" s="108"/>
      <c r="H616" s="108"/>
      <c r="I616" s="108"/>
    </row>
    <row r="617" customFormat="false" ht="13.5" hidden="false" customHeight="true" outlineLevel="0" collapsed="false">
      <c r="A617" s="109" t="str">
        <f aca="false">"Vorgabe: "&amp;Übungen!$F$9&amp;" × "&amp;Übungen!$D$9&amp;"-"&amp;Übungen!$E$9&amp;" Wdh @ RPE "&amp;Übungen!$G$9&amp;IF(OR(Übungen!$M$9="",Übungen!$M$9&lt;=1),"","     ·     nach OP gesperrt bis Woche "&amp;Übungen!$M$9)&amp;IF(OR(FALSE(),Übungen!$L$9="pause"),"",IF(AND(Übungen!$K$9&lt;&gt;"",Übungen!$K$9&lt;&gt;100),"     ·     Wiedereinstieg: "&amp;TEXT(Übungen!$K$9,"0")&amp;" % des berechneten Ziels",IF(IFERROR(INDEX(Rekorde!$Q$4:$Q$23,MATCH(Übungen!$A$9,Rekorde!$A$4:$A$23,0)),"")="","","     ·     Schritt: "&amp;IFERROR(INDEX(Rekorde!$Q$4:$Q$23,MATCH(Übungen!$A$9,Rekorde!$A$4:$A$23,0)),""))))</f>
        <v>Vorgabe: 3 × 5-6 Wdh @ RPE 8     ·     nach OP gesperrt bis Woche 16</v>
      </c>
      <c r="B617" s="109"/>
      <c r="C617" s="109"/>
      <c r="D617" s="109"/>
      <c r="E617" s="109"/>
      <c r="F617" s="109"/>
      <c r="G617" s="109"/>
      <c r="H617" s="109"/>
      <c r="I617" s="109"/>
    </row>
    <row r="618" customFormat="false" ht="18" hidden="false" customHeight="true" outlineLevel="0" collapsed="false">
      <c r="A618" s="110" t="s">
        <v>543</v>
      </c>
      <c r="B618" s="110" t="s">
        <v>544</v>
      </c>
      <c r="C618" s="110" t="s">
        <v>545</v>
      </c>
      <c r="D618" s="110" t="s">
        <v>546</v>
      </c>
      <c r="E618" s="110" t="s">
        <v>547</v>
      </c>
      <c r="F618" s="110" t="s">
        <v>454</v>
      </c>
      <c r="G618" s="110" t="s">
        <v>50</v>
      </c>
      <c r="H618" s="110" t="s">
        <v>548</v>
      </c>
      <c r="I618" s="110" t="s">
        <v>256</v>
      </c>
    </row>
    <row r="619" customFormat="false" ht="18" hidden="false" customHeight="true" outlineLevel="0" collapsed="false">
      <c r="A619" s="72" t="n">
        <v>1</v>
      </c>
      <c r="B619" s="70" t="s">
        <v>549</v>
      </c>
      <c r="C619" s="111" t="str">
        <f aca="false">IF(OR(FALSE(),Übungen!$L$9="pause"),"",IF(IFERROR(INDEX(Rekorde!$O$4:$O$23,MATCH(Übungen!$A$9,Rekorde!$A$4:$A$23,0)),"")="","",ROUND(IFERROR(INDEX(Rekorde!$O$4:$O$23,MATCH(Übungen!$A$9,Rekorde!$A$4:$A$23,0)),"")*0.4*2,0)/2))</f>
        <v/>
      </c>
      <c r="D619" s="112"/>
      <c r="E619" s="113"/>
      <c r="F619" s="113"/>
      <c r="G619" s="113"/>
      <c r="H619" s="113"/>
      <c r="I619" s="113"/>
    </row>
    <row r="620" customFormat="false" ht="18" hidden="false" customHeight="true" outlineLevel="0" collapsed="false">
      <c r="A620" s="72" t="n">
        <v>2</v>
      </c>
      <c r="B620" s="70" t="s">
        <v>550</v>
      </c>
      <c r="C620" s="111" t="str">
        <f aca="false">IF(OR(FALSE(),Übungen!$L$9="pause"),"",IF(IFERROR(INDEX(Rekorde!$O$4:$O$23,MATCH(Übungen!$A$9,Rekorde!$A$4:$A$23,0)),"")="","",ROUND(IFERROR(INDEX(Rekorde!$O$4:$O$23,MATCH(Übungen!$A$9,Rekorde!$A$4:$A$23,0)),"")*0.7*2,0)/2))</f>
        <v/>
      </c>
      <c r="D620" s="112"/>
      <c r="E620" s="113"/>
      <c r="F620" s="113"/>
      <c r="G620" s="113"/>
      <c r="H620" s="113"/>
      <c r="I620" s="113"/>
    </row>
    <row r="621" customFormat="false" ht="18" hidden="false" customHeight="true" outlineLevel="0" collapsed="false">
      <c r="A621" s="72" t="n">
        <v>3</v>
      </c>
      <c r="B621" s="114" t="s">
        <v>551</v>
      </c>
      <c r="C621" s="115" t="str">
        <f aca="false">IF(OR(FALSE(),Übungen!$L$9="pause"),"",IF(IFERROR(INDEX(Rekorde!$O$4:$O$23,MATCH(Übungen!$A$9,Rekorde!$A$4:$A$23,0)),"")="","",ROUND(IFERROR(INDEX(Rekorde!$O$4:$O$23,MATCH(Übungen!$A$9,Rekorde!$A$4:$A$23,0)),"")*1*2,0)/2))</f>
        <v/>
      </c>
      <c r="D621" s="116" t="str">
        <f aca="false">IF(OR(FALSE(),Übungen!$L$9="pause"),"",IF(IFERROR(INDEX(Rekorde!$P$4:$P$23,MATCH(Übungen!$A$9,Rekorde!$A$4:$A$23,0)),"")="","",MIN(Übungen!$E$9,IFERROR(INDEX(Rekorde!$P$4:$P$23,MATCH(Übungen!$A$9,Rekorde!$A$4:$A$23,0)),"")+0)))</f>
        <v/>
      </c>
      <c r="E621" s="113"/>
      <c r="F621" s="113"/>
      <c r="G621" s="113"/>
      <c r="H621" s="113"/>
      <c r="I621" s="113"/>
    </row>
    <row r="622" customFormat="false" ht="18" hidden="false" customHeight="true" outlineLevel="0" collapsed="false">
      <c r="A622" s="72" t="n">
        <v>4</v>
      </c>
      <c r="B622" s="114" t="s">
        <v>552</v>
      </c>
      <c r="C622" s="111" t="str">
        <f aca="false">IF(OR(FALSE(),Übungen!$L$9="pause"),"",IF(IFERROR(INDEX(Rekorde!$O$4:$O$23,MATCH(Übungen!$A$9,Rekorde!$A$4:$A$23,0)),"")="","",ROUND(IFERROR(INDEX(Rekorde!$O$4:$O$23,MATCH(Übungen!$A$9,Rekorde!$A$4:$A$23,0)),"")*0.95*2,0)/2))</f>
        <v/>
      </c>
      <c r="D622" s="116" t="str">
        <f aca="false">IF(OR(FALSE(),Übungen!$L$9="pause"),"",IF(IFERROR(INDEX(Rekorde!$P$4:$P$23,MATCH(Übungen!$A$9,Rekorde!$A$4:$A$23,0)),"")="","",MIN(Übungen!$E$9,IFERROR(INDEX(Rekorde!$P$4:$P$23,MATCH(Übungen!$A$9,Rekorde!$A$4:$A$23,0)),"")+1)))</f>
        <v/>
      </c>
      <c r="E622" s="113"/>
      <c r="F622" s="113"/>
      <c r="G622" s="113"/>
      <c r="H622" s="113"/>
      <c r="I622" s="113"/>
    </row>
    <row r="623" customFormat="false" ht="18" hidden="false" customHeight="true" outlineLevel="0" collapsed="false">
      <c r="A623" s="72" t="n">
        <v>5</v>
      </c>
      <c r="B623" s="114" t="s">
        <v>553</v>
      </c>
      <c r="C623" s="111" t="str">
        <f aca="false">IF(OR(FALSE(),Übungen!$L$9="pause"),"",IF(IFERROR(INDEX(Rekorde!$O$4:$O$23,MATCH(Übungen!$A$9,Rekorde!$A$4:$A$23,0)),"")="","",ROUND(IFERROR(INDEX(Rekorde!$O$4:$O$23,MATCH(Übungen!$A$9,Rekorde!$A$4:$A$23,0)),"")*0.9*2,0)/2))</f>
        <v/>
      </c>
      <c r="D623" s="116" t="str">
        <f aca="false">IF(OR(FALSE(),Übungen!$L$9="pause"),"",IF(IFERROR(INDEX(Rekorde!$P$4:$P$23,MATCH(Übungen!$A$9,Rekorde!$A$4:$A$23,0)),"")="","",MIN(Übungen!$E$9,IFERROR(INDEX(Rekorde!$P$4:$P$23,MATCH(Übungen!$A$9,Rekorde!$A$4:$A$23,0)),"")+2)))</f>
        <v/>
      </c>
      <c r="E623" s="113"/>
      <c r="F623" s="113"/>
      <c r="G623" s="113"/>
      <c r="H623" s="113"/>
      <c r="I623" s="113"/>
    </row>
    <row r="625" customFormat="false" ht="18.75" hidden="false" customHeight="true" outlineLevel="0" collapsed="false">
      <c r="A625" s="107" t="str">
        <f aca="false">Übungen!$A$10</f>
        <v>Rumänisches Kreuzheben KH</v>
      </c>
      <c r="B625" s="107"/>
      <c r="C625" s="107"/>
      <c r="D625" s="107"/>
      <c r="E625" s="107"/>
      <c r="F625" s="107"/>
      <c r="G625" s="107"/>
      <c r="H625" s="107"/>
      <c r="I625" s="107"/>
    </row>
    <row r="626" customFormat="false" ht="13.5" hidden="false" customHeight="true" outlineLevel="0" collapsed="false">
      <c r="A626" s="108" t="str">
        <f aca="false">IF(OR(FALSE(),Übungen!$L$10="pause"),IF(Übungen!$L$10="pause","PAUSE - vorübergehend ausgesetzt, Grund im Blatt 'Übungen'     ·     ",""),IF(IFERROR(INDEX(Rekorde!$L$4:$L$23,MATCH(Übungen!$A$10,Rekorde!$A$4:$A$23,0)),"")="",IF(IFERROR(INDEX(Rekorde!$O$4:$O$23,MATCH(Übungen!$A$10,Rekorde!$A$4:$A$23,0)),"")="","Neu im Plan - Startgewicht im Blatt 'Übungen' eintragen     ·     ","Neu im Plan     ·     Start: "&amp;TEXT(IFERROR(INDEX(Rekorde!$O$4:$O$23,MATCH(Übungen!$A$10,Rekorde!$A$4:$A$23,0)),""),"0.#")&amp;" kg     ·     "),"Zuletzt: "&amp;TEXT(IFERROR(INDEX(Rekorde!$L$4:$L$23,MATCH(Übungen!$A$10,Rekorde!$A$4:$A$23,0)),""),"0.#")&amp;" kg × "&amp;IF(IFERROR(INDEX(Rekorde!$M$4:$M$23,MATCH(Übungen!$A$10,Rekorde!$A$4:$A$23,0)),"")="","?",TEXT(IFERROR(INDEX(Rekorde!$M$4:$M$23,MATCH(Übungen!$A$10,Rekorde!$A$4:$A$23,0)),""),"0"))&amp;" Wdh     ·     Bestwert: "&amp;TEXT(IFERROR(INDEX(Rekorde!$F$4:$F$23,MATCH(Übungen!$A$10,Rekorde!$A$4:$A$23,0)),""),"0.#")&amp;" kg     ·     "&amp;IF(IFERROR(INDEX(Rekorde!$O$4:$O$23,MATCH(Übungen!$A$10,Rekorde!$A$4:$A$23,0)),"")="","","Ziel heute: "&amp;TEXT(IFERROR(INDEX(Rekorde!$O$4:$O$23,MATCH(Übungen!$A$10,Rekorde!$A$4:$A$23,0)),""),"0.#")&amp;" kg × "&amp;IF(IFERROR(INDEX(Rekorde!$P$4:$P$23,MATCH(Übungen!$A$10,Rekorde!$A$4:$A$23,0)),"")="","",TEXT(IFERROR(INDEX(Rekorde!$P$4:$P$23,MATCH(Übungen!$A$10,Rekorde!$A$4:$A$23,0)),""),"0")&amp;" Wdh")&amp;"     ·     ")&amp;IF(AND(Übungen!$I$10&lt;&gt;"",IFERROR(INDEX(Rekorde!$O$4:$O$23,MATCH(Übungen!$A$10,Rekorde!$A$4:$A$23,0)),"")&lt;&gt;"",IFERROR(INDEX(Rekorde!$O$4:$O$23,MATCH(Übungen!$A$10,Rekorde!$A$4:$A$23,0)),"")&gt;=Übungen!$I$10),"Stackende, über Tempo und Pausen steigern     ·     ","")))</f>
        <v>Zuletzt: 34 kg × 5 Wdh     ·     Bestwert: 34 kg     ·     Ziel heute: 34 kg × 6 Wdh     ·     </v>
      </c>
      <c r="B626" s="108"/>
      <c r="C626" s="108"/>
      <c r="D626" s="108"/>
      <c r="E626" s="108"/>
      <c r="F626" s="108"/>
      <c r="G626" s="108"/>
      <c r="H626" s="108"/>
      <c r="I626" s="108"/>
    </row>
    <row r="627" customFormat="false" ht="13.5" hidden="false" customHeight="true" outlineLevel="0" collapsed="false">
      <c r="A627" s="109" t="str">
        <f aca="false">"Vorgabe: "&amp;Übungen!$F$10&amp;" × "&amp;Übungen!$D$10&amp;"-"&amp;Übungen!$E$10&amp;" Wdh @ RPE "&amp;Übungen!$G$10&amp;IF(OR(Übungen!$M$10="",Übungen!$M$10&lt;=1),"","     ·     nach OP gesperrt bis Woche "&amp;Übungen!$M$10)&amp;IF(OR(FALSE(),Übungen!$L$10="pause"),"",IF(AND(Übungen!$K$10&lt;&gt;"",Übungen!$K$10&lt;&gt;100),"     ·     Wiedereinstieg: "&amp;TEXT(Übungen!$K$10,"0")&amp;" % des berechneten Ziels",IF(IFERROR(INDEX(Rekorde!$Q$4:$Q$23,MATCH(Übungen!$A$10,Rekorde!$A$4:$A$23,0)),"")="","","     ·     Schritt: "&amp;IFERROR(INDEX(Rekorde!$Q$4:$Q$23,MATCH(Übungen!$A$10,Rekorde!$A$4:$A$23,0)),""))))</f>
        <v>Vorgabe: 3 × 5-6 Wdh @ RPE 8     ·     nach OP gesperrt bis Woche 16     ·     Schritt: Wdh +1 auf 6 bei gleichem Gewicht</v>
      </c>
      <c r="B627" s="109"/>
      <c r="C627" s="109"/>
      <c r="D627" s="109"/>
      <c r="E627" s="109"/>
      <c r="F627" s="109"/>
      <c r="G627" s="109"/>
      <c r="H627" s="109"/>
      <c r="I627" s="109"/>
    </row>
    <row r="628" customFormat="false" ht="18" hidden="false" customHeight="true" outlineLevel="0" collapsed="false">
      <c r="A628" s="110" t="s">
        <v>543</v>
      </c>
      <c r="B628" s="110" t="s">
        <v>544</v>
      </c>
      <c r="C628" s="110" t="s">
        <v>545</v>
      </c>
      <c r="D628" s="110" t="s">
        <v>546</v>
      </c>
      <c r="E628" s="110" t="s">
        <v>547</v>
      </c>
      <c r="F628" s="110" t="s">
        <v>454</v>
      </c>
      <c r="G628" s="110" t="s">
        <v>50</v>
      </c>
      <c r="H628" s="110" t="s">
        <v>548</v>
      </c>
      <c r="I628" s="110" t="s">
        <v>256</v>
      </c>
    </row>
    <row r="629" customFormat="false" ht="18" hidden="false" customHeight="true" outlineLevel="0" collapsed="false">
      <c r="A629" s="72" t="n">
        <v>1</v>
      </c>
      <c r="B629" s="70" t="s">
        <v>549</v>
      </c>
      <c r="C629" s="111" t="n">
        <f aca="false">IF(OR(FALSE(),Übungen!$L$10="pause"),"",IF(IFERROR(INDEX(Rekorde!$O$4:$O$23,MATCH(Übungen!$A$10,Rekorde!$A$4:$A$23,0)),"")="","",ROUND(IFERROR(INDEX(Rekorde!$O$4:$O$23,MATCH(Übungen!$A$10,Rekorde!$A$4:$A$23,0)),"")*0.4*2,0)/2))</f>
        <v>13.5</v>
      </c>
      <c r="D629" s="112"/>
      <c r="E629" s="113"/>
      <c r="F629" s="113"/>
      <c r="G629" s="113"/>
      <c r="H629" s="113"/>
      <c r="I629" s="113"/>
    </row>
    <row r="630" customFormat="false" ht="18" hidden="false" customHeight="true" outlineLevel="0" collapsed="false">
      <c r="A630" s="72" t="n">
        <v>2</v>
      </c>
      <c r="B630" s="70" t="s">
        <v>550</v>
      </c>
      <c r="C630" s="111" t="n">
        <f aca="false">IF(OR(FALSE(),Übungen!$L$10="pause"),"",IF(IFERROR(INDEX(Rekorde!$O$4:$O$23,MATCH(Übungen!$A$10,Rekorde!$A$4:$A$23,0)),"")="","",ROUND(IFERROR(INDEX(Rekorde!$O$4:$O$23,MATCH(Übungen!$A$10,Rekorde!$A$4:$A$23,0)),"")*0.7*2,0)/2))</f>
        <v>24</v>
      </c>
      <c r="D630" s="112"/>
      <c r="E630" s="113"/>
      <c r="F630" s="113"/>
      <c r="G630" s="113"/>
      <c r="H630" s="113"/>
      <c r="I630" s="113"/>
    </row>
    <row r="631" customFormat="false" ht="18" hidden="false" customHeight="true" outlineLevel="0" collapsed="false">
      <c r="A631" s="72" t="n">
        <v>3</v>
      </c>
      <c r="B631" s="114" t="s">
        <v>551</v>
      </c>
      <c r="C631" s="115" t="n">
        <f aca="false">IF(OR(FALSE(),Übungen!$L$10="pause"),"",IF(IFERROR(INDEX(Rekorde!$O$4:$O$23,MATCH(Übungen!$A$10,Rekorde!$A$4:$A$23,0)),"")="","",ROUND(IFERROR(INDEX(Rekorde!$O$4:$O$23,MATCH(Übungen!$A$10,Rekorde!$A$4:$A$23,0)),"")*1*2,0)/2))</f>
        <v>34</v>
      </c>
      <c r="D631" s="116" t="n">
        <f aca="false">IF(OR(FALSE(),Übungen!$L$10="pause"),"",IF(IFERROR(INDEX(Rekorde!$P$4:$P$23,MATCH(Übungen!$A$10,Rekorde!$A$4:$A$23,0)),"")="","",MIN(Übungen!$E$10,IFERROR(INDEX(Rekorde!$P$4:$P$23,MATCH(Übungen!$A$10,Rekorde!$A$4:$A$23,0)),"")+0)))</f>
        <v>6</v>
      </c>
      <c r="E631" s="113"/>
      <c r="F631" s="113"/>
      <c r="G631" s="113"/>
      <c r="H631" s="113"/>
      <c r="I631" s="113"/>
    </row>
    <row r="632" customFormat="false" ht="18" hidden="false" customHeight="true" outlineLevel="0" collapsed="false">
      <c r="A632" s="72" t="n">
        <v>4</v>
      </c>
      <c r="B632" s="114" t="s">
        <v>552</v>
      </c>
      <c r="C632" s="111" t="n">
        <f aca="false">IF(OR(FALSE(),Übungen!$L$10="pause"),"",IF(IFERROR(INDEX(Rekorde!$O$4:$O$23,MATCH(Übungen!$A$10,Rekorde!$A$4:$A$23,0)),"")="","",ROUND(IFERROR(INDEX(Rekorde!$O$4:$O$23,MATCH(Übungen!$A$10,Rekorde!$A$4:$A$23,0)),"")*0.95*2,0)/2))</f>
        <v>32.5</v>
      </c>
      <c r="D632" s="116" t="n">
        <f aca="false">IF(OR(FALSE(),Übungen!$L$10="pause"),"",IF(IFERROR(INDEX(Rekorde!$P$4:$P$23,MATCH(Übungen!$A$10,Rekorde!$A$4:$A$23,0)),"")="","",MIN(Übungen!$E$10,IFERROR(INDEX(Rekorde!$P$4:$P$23,MATCH(Übungen!$A$10,Rekorde!$A$4:$A$23,0)),"")+1)))</f>
        <v>6</v>
      </c>
      <c r="E632" s="113"/>
      <c r="F632" s="113"/>
      <c r="G632" s="113"/>
      <c r="H632" s="113"/>
      <c r="I632" s="113"/>
    </row>
    <row r="633" customFormat="false" ht="18" hidden="false" customHeight="true" outlineLevel="0" collapsed="false">
      <c r="A633" s="72" t="n">
        <v>5</v>
      </c>
      <c r="B633" s="114" t="s">
        <v>553</v>
      </c>
      <c r="C633" s="111" t="n">
        <f aca="false">IF(OR(FALSE(),Übungen!$L$10="pause"),"",IF(IFERROR(INDEX(Rekorde!$O$4:$O$23,MATCH(Übungen!$A$10,Rekorde!$A$4:$A$23,0)),"")="","",ROUND(IFERROR(INDEX(Rekorde!$O$4:$O$23,MATCH(Übungen!$A$10,Rekorde!$A$4:$A$23,0)),"")*0.9*2,0)/2))</f>
        <v>30.5</v>
      </c>
      <c r="D633" s="116" t="n">
        <f aca="false">IF(OR(FALSE(),Übungen!$L$10="pause"),"",IF(IFERROR(INDEX(Rekorde!$P$4:$P$23,MATCH(Übungen!$A$10,Rekorde!$A$4:$A$23,0)),"")="","",MIN(Übungen!$E$10,IFERROR(INDEX(Rekorde!$P$4:$P$23,MATCH(Übungen!$A$10,Rekorde!$A$4:$A$23,0)),"")+2)))</f>
        <v>6</v>
      </c>
      <c r="E633" s="113"/>
      <c r="F633" s="113"/>
      <c r="G633" s="113"/>
      <c r="H633" s="113"/>
      <c r="I633" s="113"/>
    </row>
    <row r="635" customFormat="false" ht="18.75" hidden="false" customHeight="true" outlineLevel="0" collapsed="false">
      <c r="A635" s="107" t="str">
        <f aca="false">Übungen!$A$11</f>
        <v>Beinpresse breit</v>
      </c>
      <c r="B635" s="107"/>
      <c r="C635" s="107"/>
      <c r="D635" s="107"/>
      <c r="E635" s="107"/>
      <c r="F635" s="107"/>
      <c r="G635" s="107"/>
      <c r="H635" s="107"/>
      <c r="I635" s="107"/>
    </row>
    <row r="636" customFormat="false" ht="13.5" hidden="false" customHeight="true" outlineLevel="0" collapsed="false">
      <c r="A636" s="108" t="str">
        <f aca="false">IF(OR(FALSE(),Übungen!$L$11="pause"),IF(Übungen!$L$11="pause","PAUSE - vorübergehend ausgesetzt, Grund im Blatt 'Übungen'     ·     ",""),IF(IFERROR(INDEX(Rekorde!$L$4:$L$23,MATCH(Übungen!$A$11,Rekorde!$A$4:$A$23,0)),"")="",IF(IFERROR(INDEX(Rekorde!$O$4:$O$23,MATCH(Übungen!$A$11,Rekorde!$A$4:$A$23,0)),"")="","Neu im Plan - Startgewicht im Blatt 'Übungen' eintragen     ·     ","Neu im Plan     ·     Start: "&amp;TEXT(IFERROR(INDEX(Rekorde!$O$4:$O$23,MATCH(Übungen!$A$11,Rekorde!$A$4:$A$23,0)),""),"0.#")&amp;" kg     ·     "),"Zuletzt: "&amp;TEXT(IFERROR(INDEX(Rekorde!$L$4:$L$23,MATCH(Übungen!$A$11,Rekorde!$A$4:$A$23,0)),""),"0.#")&amp;" kg × "&amp;IF(IFERROR(INDEX(Rekorde!$M$4:$M$23,MATCH(Übungen!$A$11,Rekorde!$A$4:$A$23,0)),"")="","?",TEXT(IFERROR(INDEX(Rekorde!$M$4:$M$23,MATCH(Übungen!$A$11,Rekorde!$A$4:$A$23,0)),""),"0"))&amp;" Wdh     ·     Bestwert: "&amp;TEXT(IFERROR(INDEX(Rekorde!$F$4:$F$23,MATCH(Übungen!$A$11,Rekorde!$A$4:$A$23,0)),""),"0.#")&amp;" kg     ·     "&amp;IF(IFERROR(INDEX(Rekorde!$O$4:$O$23,MATCH(Übungen!$A$11,Rekorde!$A$4:$A$23,0)),"")="","","Ziel heute: "&amp;TEXT(IFERROR(INDEX(Rekorde!$O$4:$O$23,MATCH(Übungen!$A$11,Rekorde!$A$4:$A$23,0)),""),"0.#")&amp;" kg × "&amp;IF(IFERROR(INDEX(Rekorde!$P$4:$P$23,MATCH(Übungen!$A$11,Rekorde!$A$4:$A$23,0)),"")="","",TEXT(IFERROR(INDEX(Rekorde!$P$4:$P$23,MATCH(Übungen!$A$11,Rekorde!$A$4:$A$23,0)),""),"0")&amp;" Wdh")&amp;"     ·     ")&amp;IF(AND(Übungen!$I$11&lt;&gt;"",IFERROR(INDEX(Rekorde!$O$4:$O$23,MATCH(Übungen!$A$11,Rekorde!$A$4:$A$23,0)),"")&lt;&gt;"",IFERROR(INDEX(Rekorde!$O$4:$O$23,MATCH(Übungen!$A$11,Rekorde!$A$4:$A$23,0)),"")&gt;=Übungen!$I$11),"Stackende, über Tempo und Pausen steigern     ·     ","")))</f>
        <v>Neu im Plan     ·     Start: 220 kg     ·     </v>
      </c>
      <c r="B636" s="108"/>
      <c r="C636" s="108"/>
      <c r="D636" s="108"/>
      <c r="E636" s="108"/>
      <c r="F636" s="108"/>
      <c r="G636" s="108"/>
      <c r="H636" s="108"/>
      <c r="I636" s="108"/>
    </row>
    <row r="637" customFormat="false" ht="13.5" hidden="false" customHeight="true" outlineLevel="0" collapsed="false">
      <c r="A637" s="109" t="str">
        <f aca="false">"Vorgabe: "&amp;Übungen!$F$11&amp;" × "&amp;Übungen!$D$11&amp;"-"&amp;Übungen!$E$11&amp;" Wdh @ RPE "&amp;Übungen!$G$11&amp;IF(OR(Übungen!$M$11="",Übungen!$M$11&lt;=1),"","     ·     nach OP gesperrt bis Woche "&amp;Übungen!$M$11)&amp;IF(OR(FALSE(),Übungen!$L$11="pause"),"",IF(AND(Übungen!$K$11&lt;&gt;"",Übungen!$K$11&lt;&gt;100),"     ·     Wiedereinstieg: "&amp;TEXT(Übungen!$K$11,"0")&amp;" % des berechneten Ziels",IF(IFERROR(INDEX(Rekorde!$Q$4:$Q$23,MATCH(Übungen!$A$11,Rekorde!$A$4:$A$23,0)),"")="","","     ·     Schritt: "&amp;IFERROR(INDEX(Rekorde!$Q$4:$Q$23,MATCH(Übungen!$A$11,Rekorde!$A$4:$A$23,0)),""))))</f>
        <v>Vorgabe: 3 × 5-6 Wdh @ RPE 8-9     ·     nach OP gesperrt bis Woche 6     ·     Schritt: Einstieg mit Startgewicht</v>
      </c>
      <c r="B637" s="109"/>
      <c r="C637" s="109"/>
      <c r="D637" s="109"/>
      <c r="E637" s="109"/>
      <c r="F637" s="109"/>
      <c r="G637" s="109"/>
      <c r="H637" s="109"/>
      <c r="I637" s="109"/>
    </row>
    <row r="638" customFormat="false" ht="18" hidden="false" customHeight="true" outlineLevel="0" collapsed="false">
      <c r="A638" s="110" t="s">
        <v>543</v>
      </c>
      <c r="B638" s="110" t="s">
        <v>544</v>
      </c>
      <c r="C638" s="110" t="s">
        <v>545</v>
      </c>
      <c r="D638" s="110" t="s">
        <v>546</v>
      </c>
      <c r="E638" s="110" t="s">
        <v>547</v>
      </c>
      <c r="F638" s="110" t="s">
        <v>454</v>
      </c>
      <c r="G638" s="110" t="s">
        <v>50</v>
      </c>
      <c r="H638" s="110" t="s">
        <v>548</v>
      </c>
      <c r="I638" s="110" t="s">
        <v>256</v>
      </c>
    </row>
    <row r="639" customFormat="false" ht="18" hidden="false" customHeight="true" outlineLevel="0" collapsed="false">
      <c r="A639" s="72" t="n">
        <v>1</v>
      </c>
      <c r="B639" s="70" t="s">
        <v>549</v>
      </c>
      <c r="C639" s="111" t="n">
        <f aca="false">IF(OR(FALSE(),Übungen!$L$11="pause"),"",IF(IFERROR(INDEX(Rekorde!$O$4:$O$23,MATCH(Übungen!$A$11,Rekorde!$A$4:$A$23,0)),"")="","",ROUND(IFERROR(INDEX(Rekorde!$O$4:$O$23,MATCH(Übungen!$A$11,Rekorde!$A$4:$A$23,0)),"")*0.4*2,0)/2))</f>
        <v>88</v>
      </c>
      <c r="D639" s="112"/>
      <c r="E639" s="113"/>
      <c r="F639" s="113"/>
      <c r="G639" s="113"/>
      <c r="H639" s="113"/>
      <c r="I639" s="113"/>
    </row>
    <row r="640" customFormat="false" ht="18" hidden="false" customHeight="true" outlineLevel="0" collapsed="false">
      <c r="A640" s="72" t="n">
        <v>2</v>
      </c>
      <c r="B640" s="70" t="s">
        <v>550</v>
      </c>
      <c r="C640" s="111" t="n">
        <f aca="false">IF(OR(FALSE(),Übungen!$L$11="pause"),"",IF(IFERROR(INDEX(Rekorde!$O$4:$O$23,MATCH(Übungen!$A$11,Rekorde!$A$4:$A$23,0)),"")="","",ROUND(IFERROR(INDEX(Rekorde!$O$4:$O$23,MATCH(Übungen!$A$11,Rekorde!$A$4:$A$23,0)),"")*0.7*2,0)/2))</f>
        <v>154</v>
      </c>
      <c r="D640" s="112"/>
      <c r="E640" s="113"/>
      <c r="F640" s="113"/>
      <c r="G640" s="113"/>
      <c r="H640" s="113"/>
      <c r="I640" s="113"/>
    </row>
    <row r="641" customFormat="false" ht="18" hidden="false" customHeight="true" outlineLevel="0" collapsed="false">
      <c r="A641" s="72" t="n">
        <v>3</v>
      </c>
      <c r="B641" s="114" t="s">
        <v>551</v>
      </c>
      <c r="C641" s="115" t="n">
        <f aca="false">IF(OR(FALSE(),Übungen!$L$11="pause"),"",IF(IFERROR(INDEX(Rekorde!$O$4:$O$23,MATCH(Übungen!$A$11,Rekorde!$A$4:$A$23,0)),"")="","",ROUND(IFERROR(INDEX(Rekorde!$O$4:$O$23,MATCH(Übungen!$A$11,Rekorde!$A$4:$A$23,0)),"")*1*2,0)/2))</f>
        <v>220</v>
      </c>
      <c r="D641" s="116" t="n">
        <f aca="false">IF(OR(FALSE(),Übungen!$L$11="pause"),"",IF(IFERROR(INDEX(Rekorde!$P$4:$P$23,MATCH(Übungen!$A$11,Rekorde!$A$4:$A$23,0)),"")="","",MIN(Übungen!$E$11,IFERROR(INDEX(Rekorde!$P$4:$P$23,MATCH(Übungen!$A$11,Rekorde!$A$4:$A$23,0)),"")+0)))</f>
        <v>5</v>
      </c>
      <c r="E641" s="113"/>
      <c r="F641" s="113"/>
      <c r="G641" s="113"/>
      <c r="H641" s="113"/>
      <c r="I641" s="113"/>
    </row>
    <row r="642" customFormat="false" ht="18" hidden="false" customHeight="true" outlineLevel="0" collapsed="false">
      <c r="A642" s="72" t="n">
        <v>4</v>
      </c>
      <c r="B642" s="114" t="s">
        <v>552</v>
      </c>
      <c r="C642" s="111" t="n">
        <f aca="false">IF(OR(FALSE(),Übungen!$L$11="pause"),"",IF(IFERROR(INDEX(Rekorde!$O$4:$O$23,MATCH(Übungen!$A$11,Rekorde!$A$4:$A$23,0)),"")="","",ROUND(IFERROR(INDEX(Rekorde!$O$4:$O$23,MATCH(Übungen!$A$11,Rekorde!$A$4:$A$23,0)),"")*0.95*2,0)/2))</f>
        <v>209</v>
      </c>
      <c r="D642" s="116" t="n">
        <f aca="false">IF(OR(FALSE(),Übungen!$L$11="pause"),"",IF(IFERROR(INDEX(Rekorde!$P$4:$P$23,MATCH(Übungen!$A$11,Rekorde!$A$4:$A$23,0)),"")="","",MIN(Übungen!$E$11,IFERROR(INDEX(Rekorde!$P$4:$P$23,MATCH(Übungen!$A$11,Rekorde!$A$4:$A$23,0)),"")+1)))</f>
        <v>6</v>
      </c>
      <c r="E642" s="113"/>
      <c r="F642" s="113"/>
      <c r="G642" s="113"/>
      <c r="H642" s="113"/>
      <c r="I642" s="113"/>
    </row>
    <row r="643" customFormat="false" ht="18" hidden="false" customHeight="true" outlineLevel="0" collapsed="false">
      <c r="A643" s="72" t="n">
        <v>5</v>
      </c>
      <c r="B643" s="114" t="s">
        <v>553</v>
      </c>
      <c r="C643" s="111" t="n">
        <f aca="false">IF(OR(FALSE(),Übungen!$L$11="pause"),"",IF(IFERROR(INDEX(Rekorde!$O$4:$O$23,MATCH(Übungen!$A$11,Rekorde!$A$4:$A$23,0)),"")="","",ROUND(IFERROR(INDEX(Rekorde!$O$4:$O$23,MATCH(Übungen!$A$11,Rekorde!$A$4:$A$23,0)),"")*0.9*2,0)/2))</f>
        <v>198</v>
      </c>
      <c r="D643" s="116" t="n">
        <f aca="false">IF(OR(FALSE(),Übungen!$L$11="pause"),"",IF(IFERROR(INDEX(Rekorde!$P$4:$P$23,MATCH(Übungen!$A$11,Rekorde!$A$4:$A$23,0)),"")="","",MIN(Übungen!$E$11,IFERROR(INDEX(Rekorde!$P$4:$P$23,MATCH(Übungen!$A$11,Rekorde!$A$4:$A$23,0)),"")+2)))</f>
        <v>6</v>
      </c>
      <c r="E643" s="113"/>
      <c r="F643" s="113"/>
      <c r="G643" s="113"/>
      <c r="H643" s="113"/>
      <c r="I643" s="113"/>
    </row>
    <row r="645" customFormat="false" ht="18.75" hidden="false" customHeight="true" outlineLevel="0" collapsed="false">
      <c r="A645" s="107" t="str">
        <f aca="false">Übungen!$A$12</f>
        <v>Hip Thrust</v>
      </c>
      <c r="B645" s="107"/>
      <c r="C645" s="107"/>
      <c r="D645" s="107"/>
      <c r="E645" s="107"/>
      <c r="F645" s="107"/>
      <c r="G645" s="107"/>
      <c r="H645" s="107"/>
      <c r="I645" s="107"/>
    </row>
    <row r="646" customFormat="false" ht="13.5" hidden="false" customHeight="true" outlineLevel="0" collapsed="false">
      <c r="A646" s="108" t="str">
        <f aca="false">IF(OR(FALSE(),Übungen!$L$12="pause"),IF(Übungen!$L$12="pause","PAUSE - vorübergehend ausgesetzt, Grund im Blatt 'Übungen'     ·     ",""),IF(IFERROR(INDEX(Rekorde!$L$4:$L$23,MATCH(Übungen!$A$12,Rekorde!$A$4:$A$23,0)),"")="",IF(IFERROR(INDEX(Rekorde!$O$4:$O$23,MATCH(Übungen!$A$12,Rekorde!$A$4:$A$23,0)),"")="","Neu im Plan - Startgewicht im Blatt 'Übungen' eintragen     ·     ","Neu im Plan     ·     Start: "&amp;TEXT(IFERROR(INDEX(Rekorde!$O$4:$O$23,MATCH(Übungen!$A$12,Rekorde!$A$4:$A$23,0)),""),"0.#")&amp;" kg     ·     "),"Zuletzt: "&amp;TEXT(IFERROR(INDEX(Rekorde!$L$4:$L$23,MATCH(Übungen!$A$12,Rekorde!$A$4:$A$23,0)),""),"0.#")&amp;" kg × "&amp;IF(IFERROR(INDEX(Rekorde!$M$4:$M$23,MATCH(Übungen!$A$12,Rekorde!$A$4:$A$23,0)),"")="","?",TEXT(IFERROR(INDEX(Rekorde!$M$4:$M$23,MATCH(Übungen!$A$12,Rekorde!$A$4:$A$23,0)),""),"0"))&amp;" Wdh     ·     Bestwert: "&amp;TEXT(IFERROR(INDEX(Rekorde!$F$4:$F$23,MATCH(Übungen!$A$12,Rekorde!$A$4:$A$23,0)),""),"0.#")&amp;" kg     ·     "&amp;IF(IFERROR(INDEX(Rekorde!$O$4:$O$23,MATCH(Übungen!$A$12,Rekorde!$A$4:$A$23,0)),"")="","","Ziel heute: "&amp;TEXT(IFERROR(INDEX(Rekorde!$O$4:$O$23,MATCH(Übungen!$A$12,Rekorde!$A$4:$A$23,0)),""),"0.#")&amp;" kg × "&amp;IF(IFERROR(INDEX(Rekorde!$P$4:$P$23,MATCH(Übungen!$A$12,Rekorde!$A$4:$A$23,0)),"")="","",TEXT(IFERROR(INDEX(Rekorde!$P$4:$P$23,MATCH(Übungen!$A$12,Rekorde!$A$4:$A$23,0)),""),"0")&amp;" Wdh")&amp;"     ·     ")&amp;IF(AND(Übungen!$I$12&lt;&gt;"",IFERROR(INDEX(Rekorde!$O$4:$O$23,MATCH(Übungen!$A$12,Rekorde!$A$4:$A$23,0)),"")&lt;&gt;"",IFERROR(INDEX(Rekorde!$O$4:$O$23,MATCH(Übungen!$A$12,Rekorde!$A$4:$A$23,0)),"")&gt;=Übungen!$I$12),"Stackende, über Tempo und Pausen steigern     ·     ","")))</f>
        <v>Zuletzt: 285 kg × 5 Wdh     ·     Bestwert: 290 kg     ·     Ziel heute: 285 kg × 6 Wdh     ·     </v>
      </c>
      <c r="B646" s="108"/>
      <c r="C646" s="108"/>
      <c r="D646" s="108"/>
      <c r="E646" s="108"/>
      <c r="F646" s="108"/>
      <c r="G646" s="108"/>
      <c r="H646" s="108"/>
      <c r="I646" s="108"/>
    </row>
    <row r="647" customFormat="false" ht="13.5" hidden="false" customHeight="true" outlineLevel="0" collapsed="false">
      <c r="A647" s="109" t="str">
        <f aca="false">"Vorgabe: "&amp;Übungen!$F$12&amp;" × "&amp;Übungen!$D$12&amp;"-"&amp;Übungen!$E$12&amp;" Wdh @ RPE "&amp;Übungen!$G$12&amp;IF(OR(Übungen!$M$12="",Übungen!$M$12&lt;=1),"","     ·     nach OP gesperrt bis Woche "&amp;Übungen!$M$12)&amp;IF(OR(FALSE(),Übungen!$L$12="pause"),"",IF(AND(Übungen!$K$12&lt;&gt;"",Übungen!$K$12&lt;&gt;100),"     ·     Wiedereinstieg: "&amp;TEXT(Übungen!$K$12,"0")&amp;" % des berechneten Ziels",IF(IFERROR(INDEX(Rekorde!$Q$4:$Q$23,MATCH(Übungen!$A$12,Rekorde!$A$4:$A$23,0)),"")="","","     ·     Schritt: "&amp;IFERROR(INDEX(Rekorde!$Q$4:$Q$23,MATCH(Übungen!$A$12,Rekorde!$A$4:$A$23,0)),""))))</f>
        <v>Vorgabe: 3 × 5-6 Wdh @ RPE 8-9     ·     nach OP gesperrt bis Woche 12     ·     Schritt: Wdh +1 auf 6 bei gleichem Gewicht</v>
      </c>
      <c r="B647" s="109"/>
      <c r="C647" s="109"/>
      <c r="D647" s="109"/>
      <c r="E647" s="109"/>
      <c r="F647" s="109"/>
      <c r="G647" s="109"/>
      <c r="H647" s="109"/>
      <c r="I647" s="109"/>
    </row>
    <row r="648" customFormat="false" ht="18" hidden="false" customHeight="true" outlineLevel="0" collapsed="false">
      <c r="A648" s="110" t="s">
        <v>543</v>
      </c>
      <c r="B648" s="110" t="s">
        <v>544</v>
      </c>
      <c r="C648" s="110" t="s">
        <v>545</v>
      </c>
      <c r="D648" s="110" t="s">
        <v>546</v>
      </c>
      <c r="E648" s="110" t="s">
        <v>547</v>
      </c>
      <c r="F648" s="110" t="s">
        <v>454</v>
      </c>
      <c r="G648" s="110" t="s">
        <v>50</v>
      </c>
      <c r="H648" s="110" t="s">
        <v>548</v>
      </c>
      <c r="I648" s="110" t="s">
        <v>256</v>
      </c>
    </row>
    <row r="649" customFormat="false" ht="18" hidden="false" customHeight="true" outlineLevel="0" collapsed="false">
      <c r="A649" s="72" t="n">
        <v>1</v>
      </c>
      <c r="B649" s="70" t="s">
        <v>549</v>
      </c>
      <c r="C649" s="111" t="n">
        <f aca="false">IF(OR(FALSE(),Übungen!$L$12="pause"),"",IF(IFERROR(INDEX(Rekorde!$O$4:$O$23,MATCH(Übungen!$A$12,Rekorde!$A$4:$A$23,0)),"")="","",ROUND(IFERROR(INDEX(Rekorde!$O$4:$O$23,MATCH(Übungen!$A$12,Rekorde!$A$4:$A$23,0)),"")*0.4*2,0)/2))</f>
        <v>114</v>
      </c>
      <c r="D649" s="112"/>
      <c r="E649" s="113"/>
      <c r="F649" s="113"/>
      <c r="G649" s="113"/>
      <c r="H649" s="113"/>
      <c r="I649" s="113"/>
    </row>
    <row r="650" customFormat="false" ht="18" hidden="false" customHeight="true" outlineLevel="0" collapsed="false">
      <c r="A650" s="72" t="n">
        <v>2</v>
      </c>
      <c r="B650" s="70" t="s">
        <v>550</v>
      </c>
      <c r="C650" s="111" t="n">
        <f aca="false">IF(OR(FALSE(),Übungen!$L$12="pause"),"",IF(IFERROR(INDEX(Rekorde!$O$4:$O$23,MATCH(Übungen!$A$12,Rekorde!$A$4:$A$23,0)),"")="","",ROUND(IFERROR(INDEX(Rekorde!$O$4:$O$23,MATCH(Übungen!$A$12,Rekorde!$A$4:$A$23,0)),"")*0.7*2,0)/2))</f>
        <v>199.5</v>
      </c>
      <c r="D650" s="112"/>
      <c r="E650" s="113"/>
      <c r="F650" s="113"/>
      <c r="G650" s="113"/>
      <c r="H650" s="113"/>
      <c r="I650" s="113"/>
    </row>
    <row r="651" customFormat="false" ht="18" hidden="false" customHeight="true" outlineLevel="0" collapsed="false">
      <c r="A651" s="72" t="n">
        <v>3</v>
      </c>
      <c r="B651" s="114" t="s">
        <v>551</v>
      </c>
      <c r="C651" s="115" t="n">
        <f aca="false">IF(OR(FALSE(),Übungen!$L$12="pause"),"",IF(IFERROR(INDEX(Rekorde!$O$4:$O$23,MATCH(Übungen!$A$12,Rekorde!$A$4:$A$23,0)),"")="","",ROUND(IFERROR(INDEX(Rekorde!$O$4:$O$23,MATCH(Übungen!$A$12,Rekorde!$A$4:$A$23,0)),"")*1*2,0)/2))</f>
        <v>285</v>
      </c>
      <c r="D651" s="116" t="n">
        <f aca="false">IF(OR(FALSE(),Übungen!$L$12="pause"),"",IF(IFERROR(INDEX(Rekorde!$P$4:$P$23,MATCH(Übungen!$A$12,Rekorde!$A$4:$A$23,0)),"")="","",MIN(Übungen!$E$12,IFERROR(INDEX(Rekorde!$P$4:$P$23,MATCH(Übungen!$A$12,Rekorde!$A$4:$A$23,0)),"")+0)))</f>
        <v>6</v>
      </c>
      <c r="E651" s="113"/>
      <c r="F651" s="113"/>
      <c r="G651" s="113"/>
      <c r="H651" s="113"/>
      <c r="I651" s="113"/>
    </row>
    <row r="652" customFormat="false" ht="18" hidden="false" customHeight="true" outlineLevel="0" collapsed="false">
      <c r="A652" s="72" t="n">
        <v>4</v>
      </c>
      <c r="B652" s="114" t="s">
        <v>552</v>
      </c>
      <c r="C652" s="111" t="n">
        <f aca="false">IF(OR(FALSE(),Übungen!$L$12="pause"),"",IF(IFERROR(INDEX(Rekorde!$O$4:$O$23,MATCH(Übungen!$A$12,Rekorde!$A$4:$A$23,0)),"")="","",ROUND(IFERROR(INDEX(Rekorde!$O$4:$O$23,MATCH(Übungen!$A$12,Rekorde!$A$4:$A$23,0)),"")*0.95*2,0)/2))</f>
        <v>271</v>
      </c>
      <c r="D652" s="116" t="n">
        <f aca="false">IF(OR(FALSE(),Übungen!$L$12="pause"),"",IF(IFERROR(INDEX(Rekorde!$P$4:$P$23,MATCH(Übungen!$A$12,Rekorde!$A$4:$A$23,0)),"")="","",MIN(Übungen!$E$12,IFERROR(INDEX(Rekorde!$P$4:$P$23,MATCH(Übungen!$A$12,Rekorde!$A$4:$A$23,0)),"")+1)))</f>
        <v>6</v>
      </c>
      <c r="E652" s="113"/>
      <c r="F652" s="113"/>
      <c r="G652" s="113"/>
      <c r="H652" s="113"/>
      <c r="I652" s="113"/>
    </row>
    <row r="653" customFormat="false" ht="18" hidden="false" customHeight="true" outlineLevel="0" collapsed="false">
      <c r="A653" s="72" t="n">
        <v>5</v>
      </c>
      <c r="B653" s="114" t="s">
        <v>553</v>
      </c>
      <c r="C653" s="111" t="n">
        <f aca="false">IF(OR(FALSE(),Übungen!$L$12="pause"),"",IF(IFERROR(INDEX(Rekorde!$O$4:$O$23,MATCH(Übungen!$A$12,Rekorde!$A$4:$A$23,0)),"")="","",ROUND(IFERROR(INDEX(Rekorde!$O$4:$O$23,MATCH(Übungen!$A$12,Rekorde!$A$4:$A$23,0)),"")*0.9*2,0)/2))</f>
        <v>256.5</v>
      </c>
      <c r="D653" s="116" t="n">
        <f aca="false">IF(OR(FALSE(),Übungen!$L$12="pause"),"",IF(IFERROR(INDEX(Rekorde!$P$4:$P$23,MATCH(Übungen!$A$12,Rekorde!$A$4:$A$23,0)),"")="","",MIN(Übungen!$E$12,IFERROR(INDEX(Rekorde!$P$4:$P$23,MATCH(Übungen!$A$12,Rekorde!$A$4:$A$23,0)),"")+2)))</f>
        <v>6</v>
      </c>
      <c r="E653" s="113"/>
      <c r="F653" s="113"/>
      <c r="G653" s="113"/>
      <c r="H653" s="113"/>
      <c r="I653" s="113"/>
    </row>
    <row r="655" customFormat="false" ht="18.75" hidden="false" customHeight="true" outlineLevel="0" collapsed="false">
      <c r="A655" s="107" t="str">
        <f aca="false">Übungen!$A$13</f>
        <v>Hip &amp; Glute</v>
      </c>
      <c r="B655" s="107"/>
      <c r="C655" s="107"/>
      <c r="D655" s="107"/>
      <c r="E655" s="107"/>
      <c r="F655" s="107"/>
      <c r="G655" s="107"/>
      <c r="H655" s="107"/>
      <c r="I655" s="107"/>
    </row>
    <row r="656" customFormat="false" ht="13.5" hidden="false" customHeight="true" outlineLevel="0" collapsed="false">
      <c r="A656" s="108" t="str">
        <f aca="false">IF(OR(FALSE(),Übungen!$L$13="pause"),IF(Übungen!$L$13="pause","PAUSE - vorübergehend ausgesetzt, Grund im Blatt 'Übungen'     ·     ",""),IF(IFERROR(INDEX(Rekorde!$L$4:$L$23,MATCH(Übungen!$A$13,Rekorde!$A$4:$A$23,0)),"")="",IF(IFERROR(INDEX(Rekorde!$O$4:$O$23,MATCH(Übungen!$A$13,Rekorde!$A$4:$A$23,0)),"")="","Neu im Plan - Startgewicht im Blatt 'Übungen' eintragen     ·     ","Neu im Plan     ·     Start: "&amp;TEXT(IFERROR(INDEX(Rekorde!$O$4:$O$23,MATCH(Übungen!$A$13,Rekorde!$A$4:$A$23,0)),""),"0.#")&amp;" kg     ·     "),"Zuletzt: "&amp;TEXT(IFERROR(INDEX(Rekorde!$L$4:$L$23,MATCH(Übungen!$A$13,Rekorde!$A$4:$A$23,0)),""),"0.#")&amp;" kg × "&amp;IF(IFERROR(INDEX(Rekorde!$M$4:$M$23,MATCH(Übungen!$A$13,Rekorde!$A$4:$A$23,0)),"")="","?",TEXT(IFERROR(INDEX(Rekorde!$M$4:$M$23,MATCH(Übungen!$A$13,Rekorde!$A$4:$A$23,0)),""),"0"))&amp;" Wdh     ·     Bestwert: "&amp;TEXT(IFERROR(INDEX(Rekorde!$F$4:$F$23,MATCH(Übungen!$A$13,Rekorde!$A$4:$A$23,0)),""),"0.#")&amp;" kg     ·     "&amp;IF(IFERROR(INDEX(Rekorde!$O$4:$O$23,MATCH(Übungen!$A$13,Rekorde!$A$4:$A$23,0)),"")="","","Ziel heute: "&amp;TEXT(IFERROR(INDEX(Rekorde!$O$4:$O$23,MATCH(Übungen!$A$13,Rekorde!$A$4:$A$23,0)),""),"0.#")&amp;" kg × "&amp;IF(IFERROR(INDEX(Rekorde!$P$4:$P$23,MATCH(Übungen!$A$13,Rekorde!$A$4:$A$23,0)),"")="","",TEXT(IFERROR(INDEX(Rekorde!$P$4:$P$23,MATCH(Übungen!$A$13,Rekorde!$A$4:$A$23,0)),""),"0")&amp;" Wdh")&amp;"     ·     ")&amp;IF(AND(Übungen!$I$13&lt;&gt;"",IFERROR(INDEX(Rekorde!$O$4:$O$23,MATCH(Übungen!$A$13,Rekorde!$A$4:$A$23,0)),"")&lt;&gt;"",IFERROR(INDEX(Rekorde!$O$4:$O$23,MATCH(Übungen!$A$13,Rekorde!$A$4:$A$23,0)),"")&gt;=Übungen!$I$13),"Stackende, über Tempo und Pausen steigern     ·     ","")))</f>
        <v>Zuletzt: 170 kg × 5 Wdh     ·     Bestwert: 176 kg     ·     Ziel heute: 170 kg × 6 Wdh     ·     </v>
      </c>
      <c r="B656" s="108"/>
      <c r="C656" s="108"/>
      <c r="D656" s="108"/>
      <c r="E656" s="108"/>
      <c r="F656" s="108"/>
      <c r="G656" s="108"/>
      <c r="H656" s="108"/>
      <c r="I656" s="108"/>
    </row>
    <row r="657" customFormat="false" ht="13.5" hidden="false" customHeight="true" outlineLevel="0" collapsed="false">
      <c r="A657" s="109" t="str">
        <f aca="false">"Vorgabe: "&amp;Übungen!$F$13&amp;" × "&amp;Übungen!$D$13&amp;"-"&amp;Übungen!$E$13&amp;" Wdh @ RPE "&amp;Übungen!$G$13&amp;IF(OR(Übungen!$M$13="",Übungen!$M$13&lt;=1),"","     ·     nach OP gesperrt bis Woche "&amp;Übungen!$M$13)&amp;IF(OR(FALSE(),Übungen!$L$13="pause"),"",IF(AND(Übungen!$K$13&lt;&gt;"",Übungen!$K$13&lt;&gt;100),"     ·     Wiedereinstieg: "&amp;TEXT(Übungen!$K$13,"0")&amp;" % des berechneten Ziels",IF(IFERROR(INDEX(Rekorde!$Q$4:$Q$23,MATCH(Übungen!$A$13,Rekorde!$A$4:$A$23,0)),"")="","","     ·     Schritt: "&amp;IFERROR(INDEX(Rekorde!$Q$4:$Q$23,MATCH(Übungen!$A$13,Rekorde!$A$4:$A$23,0)),""))))</f>
        <v>Vorgabe: 3 × 5-6 Wdh @ RPE 8-9     ·     nach OP gesperrt bis Woche 6     ·     Schritt: Wdh +1 auf 6 bei gleichem Gewicht</v>
      </c>
      <c r="B657" s="109"/>
      <c r="C657" s="109"/>
      <c r="D657" s="109"/>
      <c r="E657" s="109"/>
      <c r="F657" s="109"/>
      <c r="G657" s="109"/>
      <c r="H657" s="109"/>
      <c r="I657" s="109"/>
    </row>
    <row r="658" customFormat="false" ht="18" hidden="false" customHeight="true" outlineLevel="0" collapsed="false">
      <c r="A658" s="110" t="s">
        <v>543</v>
      </c>
      <c r="B658" s="110" t="s">
        <v>544</v>
      </c>
      <c r="C658" s="110" t="s">
        <v>545</v>
      </c>
      <c r="D658" s="110" t="s">
        <v>546</v>
      </c>
      <c r="E658" s="110" t="s">
        <v>547</v>
      </c>
      <c r="F658" s="110" t="s">
        <v>454</v>
      </c>
      <c r="G658" s="110" t="s">
        <v>50</v>
      </c>
      <c r="H658" s="110" t="s">
        <v>548</v>
      </c>
      <c r="I658" s="110" t="s">
        <v>256</v>
      </c>
    </row>
    <row r="659" customFormat="false" ht="18" hidden="false" customHeight="true" outlineLevel="0" collapsed="false">
      <c r="A659" s="72" t="n">
        <v>1</v>
      </c>
      <c r="B659" s="70" t="s">
        <v>549</v>
      </c>
      <c r="C659" s="111" t="n">
        <f aca="false">IF(OR(FALSE(),Übungen!$L$13="pause"),"",IF(IFERROR(INDEX(Rekorde!$O$4:$O$23,MATCH(Übungen!$A$13,Rekorde!$A$4:$A$23,0)),"")="","",ROUND(IFERROR(INDEX(Rekorde!$O$4:$O$23,MATCH(Übungen!$A$13,Rekorde!$A$4:$A$23,0)),"")*0.4*2,0)/2))</f>
        <v>68</v>
      </c>
      <c r="D659" s="112"/>
      <c r="E659" s="113"/>
      <c r="F659" s="113"/>
      <c r="G659" s="113"/>
      <c r="H659" s="113"/>
      <c r="I659" s="113"/>
    </row>
    <row r="660" customFormat="false" ht="18" hidden="false" customHeight="true" outlineLevel="0" collapsed="false">
      <c r="A660" s="72" t="n">
        <v>2</v>
      </c>
      <c r="B660" s="70" t="s">
        <v>550</v>
      </c>
      <c r="C660" s="111" t="n">
        <f aca="false">IF(OR(FALSE(),Übungen!$L$13="pause"),"",IF(IFERROR(INDEX(Rekorde!$O$4:$O$23,MATCH(Übungen!$A$13,Rekorde!$A$4:$A$23,0)),"")="","",ROUND(IFERROR(INDEX(Rekorde!$O$4:$O$23,MATCH(Übungen!$A$13,Rekorde!$A$4:$A$23,0)),"")*0.7*2,0)/2))</f>
        <v>119</v>
      </c>
      <c r="D660" s="112"/>
      <c r="E660" s="113"/>
      <c r="F660" s="113"/>
      <c r="G660" s="113"/>
      <c r="H660" s="113"/>
      <c r="I660" s="113"/>
    </row>
    <row r="661" customFormat="false" ht="18" hidden="false" customHeight="true" outlineLevel="0" collapsed="false">
      <c r="A661" s="72" t="n">
        <v>3</v>
      </c>
      <c r="B661" s="114" t="s">
        <v>551</v>
      </c>
      <c r="C661" s="115" t="n">
        <f aca="false">IF(OR(FALSE(),Übungen!$L$13="pause"),"",IF(IFERROR(INDEX(Rekorde!$O$4:$O$23,MATCH(Übungen!$A$13,Rekorde!$A$4:$A$23,0)),"")="","",ROUND(IFERROR(INDEX(Rekorde!$O$4:$O$23,MATCH(Übungen!$A$13,Rekorde!$A$4:$A$23,0)),"")*1*2,0)/2))</f>
        <v>170</v>
      </c>
      <c r="D661" s="116" t="n">
        <f aca="false">IF(OR(FALSE(),Übungen!$L$13="pause"),"",IF(IFERROR(INDEX(Rekorde!$P$4:$P$23,MATCH(Übungen!$A$13,Rekorde!$A$4:$A$23,0)),"")="","",MIN(Übungen!$E$13,IFERROR(INDEX(Rekorde!$P$4:$P$23,MATCH(Übungen!$A$13,Rekorde!$A$4:$A$23,0)),"")+0)))</f>
        <v>6</v>
      </c>
      <c r="E661" s="113"/>
      <c r="F661" s="113"/>
      <c r="G661" s="113"/>
      <c r="H661" s="113"/>
      <c r="I661" s="113"/>
    </row>
    <row r="662" customFormat="false" ht="18" hidden="false" customHeight="true" outlineLevel="0" collapsed="false">
      <c r="A662" s="72" t="n">
        <v>4</v>
      </c>
      <c r="B662" s="114" t="s">
        <v>552</v>
      </c>
      <c r="C662" s="111" t="n">
        <f aca="false">IF(OR(FALSE(),Übungen!$L$13="pause"),"",IF(IFERROR(INDEX(Rekorde!$O$4:$O$23,MATCH(Übungen!$A$13,Rekorde!$A$4:$A$23,0)),"")="","",ROUND(IFERROR(INDEX(Rekorde!$O$4:$O$23,MATCH(Übungen!$A$13,Rekorde!$A$4:$A$23,0)),"")*0.95*2,0)/2))</f>
        <v>161.5</v>
      </c>
      <c r="D662" s="116" t="n">
        <f aca="false">IF(OR(FALSE(),Übungen!$L$13="pause"),"",IF(IFERROR(INDEX(Rekorde!$P$4:$P$23,MATCH(Übungen!$A$13,Rekorde!$A$4:$A$23,0)),"")="","",MIN(Übungen!$E$13,IFERROR(INDEX(Rekorde!$P$4:$P$23,MATCH(Übungen!$A$13,Rekorde!$A$4:$A$23,0)),"")+1)))</f>
        <v>6</v>
      </c>
      <c r="E662" s="113"/>
      <c r="F662" s="113"/>
      <c r="G662" s="113"/>
      <c r="H662" s="113"/>
      <c r="I662" s="113"/>
    </row>
    <row r="663" customFormat="false" ht="18" hidden="false" customHeight="true" outlineLevel="0" collapsed="false">
      <c r="A663" s="72" t="n">
        <v>5</v>
      </c>
      <c r="B663" s="114" t="s">
        <v>553</v>
      </c>
      <c r="C663" s="111" t="n">
        <f aca="false">IF(OR(FALSE(),Übungen!$L$13="pause"),"",IF(IFERROR(INDEX(Rekorde!$O$4:$O$23,MATCH(Übungen!$A$13,Rekorde!$A$4:$A$23,0)),"")="","",ROUND(IFERROR(INDEX(Rekorde!$O$4:$O$23,MATCH(Übungen!$A$13,Rekorde!$A$4:$A$23,0)),"")*0.9*2,0)/2))</f>
        <v>153</v>
      </c>
      <c r="D663" s="116" t="n">
        <f aca="false">IF(OR(FALSE(),Übungen!$L$13="pause"),"",IF(IFERROR(INDEX(Rekorde!$P$4:$P$23,MATCH(Übungen!$A$13,Rekorde!$A$4:$A$23,0)),"")="","",MIN(Übungen!$E$13,IFERROR(INDEX(Rekorde!$P$4:$P$23,MATCH(Übungen!$A$13,Rekorde!$A$4:$A$23,0)),"")+2)))</f>
        <v>6</v>
      </c>
      <c r="E663" s="113"/>
      <c r="F663" s="113"/>
      <c r="G663" s="113"/>
      <c r="H663" s="113"/>
      <c r="I663" s="113"/>
    </row>
    <row r="665" customFormat="false" ht="18.75" hidden="false" customHeight="true" outlineLevel="0" collapsed="false">
      <c r="A665" s="107" t="str">
        <f aca="false">Übungen!$A$14</f>
        <v>Beinbeuger</v>
      </c>
      <c r="B665" s="107"/>
      <c r="C665" s="107"/>
      <c r="D665" s="107"/>
      <c r="E665" s="107"/>
      <c r="F665" s="107"/>
      <c r="G665" s="107"/>
      <c r="H665" s="107"/>
      <c r="I665" s="107"/>
    </row>
    <row r="666" customFormat="false" ht="13.5" hidden="false" customHeight="true" outlineLevel="0" collapsed="false">
      <c r="A666" s="108" t="str">
        <f aca="false">IF(OR(FALSE(),Übungen!$L$14="pause"),IF(Übungen!$L$14="pause","PAUSE - vorübergehend ausgesetzt, Grund im Blatt 'Übungen'     ·     ",""),IF(IFERROR(INDEX(Rekorde!$L$4:$L$23,MATCH(Übungen!$A$14,Rekorde!$A$4:$A$23,0)),"")="",IF(IFERROR(INDEX(Rekorde!$O$4:$O$23,MATCH(Übungen!$A$14,Rekorde!$A$4:$A$23,0)),"")="","Neu im Plan - Startgewicht im Blatt 'Übungen' eintragen     ·     ","Neu im Plan     ·     Start: "&amp;TEXT(IFERROR(INDEX(Rekorde!$O$4:$O$23,MATCH(Übungen!$A$14,Rekorde!$A$4:$A$23,0)),""),"0.#")&amp;" kg     ·     "),"Zuletzt: "&amp;TEXT(IFERROR(INDEX(Rekorde!$L$4:$L$23,MATCH(Übungen!$A$14,Rekorde!$A$4:$A$23,0)),""),"0.#")&amp;" kg × "&amp;IF(IFERROR(INDEX(Rekorde!$M$4:$M$23,MATCH(Übungen!$A$14,Rekorde!$A$4:$A$23,0)),"")="","?",TEXT(IFERROR(INDEX(Rekorde!$M$4:$M$23,MATCH(Übungen!$A$14,Rekorde!$A$4:$A$23,0)),""),"0"))&amp;" Wdh     ·     Bestwert: "&amp;TEXT(IFERROR(INDEX(Rekorde!$F$4:$F$23,MATCH(Übungen!$A$14,Rekorde!$A$4:$A$23,0)),""),"0.#")&amp;" kg     ·     "&amp;IF(IFERROR(INDEX(Rekorde!$O$4:$O$23,MATCH(Übungen!$A$14,Rekorde!$A$4:$A$23,0)),"")="","","Ziel heute: "&amp;TEXT(IFERROR(INDEX(Rekorde!$O$4:$O$23,MATCH(Übungen!$A$14,Rekorde!$A$4:$A$23,0)),""),"0.#")&amp;" kg × "&amp;IF(IFERROR(INDEX(Rekorde!$P$4:$P$23,MATCH(Übungen!$A$14,Rekorde!$A$4:$A$23,0)),"")="","",TEXT(IFERROR(INDEX(Rekorde!$P$4:$P$23,MATCH(Übungen!$A$14,Rekorde!$A$4:$A$23,0)),""),"0")&amp;" Wdh")&amp;"     ·     ")&amp;IF(AND(Übungen!$I$14&lt;&gt;"",IFERROR(INDEX(Rekorde!$O$4:$O$23,MATCH(Übungen!$A$14,Rekorde!$A$4:$A$23,0)),"")&lt;&gt;"",IFERROR(INDEX(Rekorde!$O$4:$O$23,MATCH(Übungen!$A$14,Rekorde!$A$4:$A$23,0)),"")&gt;=Übungen!$I$14),"Stackende, über Tempo und Pausen steigern     ·     ","")))</f>
        <v>Zuletzt: 45 kg × 5 Wdh     ·     Bestwert: 57.5 kg     ·     Ziel heute: 45 kg × 6 Wdh     ·     </v>
      </c>
      <c r="B666" s="108"/>
      <c r="C666" s="108"/>
      <c r="D666" s="108"/>
      <c r="E666" s="108"/>
      <c r="F666" s="108"/>
      <c r="G666" s="108"/>
      <c r="H666" s="108"/>
      <c r="I666" s="108"/>
    </row>
    <row r="667" customFormat="false" ht="13.5" hidden="false" customHeight="true" outlineLevel="0" collapsed="false">
      <c r="A667" s="109" t="str">
        <f aca="false">"Vorgabe: "&amp;Übungen!$F$14&amp;" × "&amp;Übungen!$D$14&amp;"-"&amp;Übungen!$E$14&amp;" Wdh @ RPE "&amp;Übungen!$G$14&amp;IF(OR(Übungen!$M$14="",Übungen!$M$14&lt;=1),"","     ·     nach OP gesperrt bis Woche "&amp;Übungen!$M$14)&amp;IF(OR(FALSE(),Übungen!$L$14="pause"),"",IF(AND(Übungen!$K$14&lt;&gt;"",Übungen!$K$14&lt;&gt;100),"     ·     Wiedereinstieg: "&amp;TEXT(Übungen!$K$14,"0")&amp;" % des berechneten Ziels",IF(IFERROR(INDEX(Rekorde!$Q$4:$Q$23,MATCH(Übungen!$A$14,Rekorde!$A$4:$A$23,0)),"")="","","     ·     Schritt: "&amp;IFERROR(INDEX(Rekorde!$Q$4:$Q$23,MATCH(Übungen!$A$14,Rekorde!$A$4:$A$23,0)),""))))</f>
        <v>Vorgabe: 3 × 5-6 Wdh @ RPE 9     ·     nach OP gesperrt bis Woche 2     ·     Schritt: Wdh +1 auf 6 bei gleichem Gewicht</v>
      </c>
      <c r="B667" s="109"/>
      <c r="C667" s="109"/>
      <c r="D667" s="109"/>
      <c r="E667" s="109"/>
      <c r="F667" s="109"/>
      <c r="G667" s="109"/>
      <c r="H667" s="109"/>
      <c r="I667" s="109"/>
    </row>
    <row r="668" customFormat="false" ht="18" hidden="false" customHeight="true" outlineLevel="0" collapsed="false">
      <c r="A668" s="110" t="s">
        <v>543</v>
      </c>
      <c r="B668" s="110" t="s">
        <v>544</v>
      </c>
      <c r="C668" s="110" t="s">
        <v>545</v>
      </c>
      <c r="D668" s="110" t="s">
        <v>546</v>
      </c>
      <c r="E668" s="110" t="s">
        <v>547</v>
      </c>
      <c r="F668" s="110" t="s">
        <v>454</v>
      </c>
      <c r="G668" s="110" t="s">
        <v>50</v>
      </c>
      <c r="H668" s="110" t="s">
        <v>548</v>
      </c>
      <c r="I668" s="110" t="s">
        <v>256</v>
      </c>
    </row>
    <row r="669" customFormat="false" ht="18" hidden="false" customHeight="true" outlineLevel="0" collapsed="false">
      <c r="A669" s="72" t="n">
        <v>1</v>
      </c>
      <c r="B669" s="70" t="s">
        <v>549</v>
      </c>
      <c r="C669" s="111" t="n">
        <f aca="false">IF(OR(FALSE(),Übungen!$L$14="pause"),"",IF(IFERROR(INDEX(Rekorde!$O$4:$O$23,MATCH(Übungen!$A$14,Rekorde!$A$4:$A$23,0)),"")="","",ROUND(IFERROR(INDEX(Rekorde!$O$4:$O$23,MATCH(Übungen!$A$14,Rekorde!$A$4:$A$23,0)),"")*0.4*2,0)/2))</f>
        <v>18</v>
      </c>
      <c r="D669" s="112"/>
      <c r="E669" s="113"/>
      <c r="F669" s="113"/>
      <c r="G669" s="113"/>
      <c r="H669" s="113"/>
      <c r="I669" s="113"/>
    </row>
    <row r="670" customFormat="false" ht="18" hidden="false" customHeight="true" outlineLevel="0" collapsed="false">
      <c r="A670" s="72" t="n">
        <v>2</v>
      </c>
      <c r="B670" s="70" t="s">
        <v>550</v>
      </c>
      <c r="C670" s="111" t="n">
        <f aca="false">IF(OR(FALSE(),Übungen!$L$14="pause"),"",IF(IFERROR(INDEX(Rekorde!$O$4:$O$23,MATCH(Übungen!$A$14,Rekorde!$A$4:$A$23,0)),"")="","",ROUND(IFERROR(INDEX(Rekorde!$O$4:$O$23,MATCH(Übungen!$A$14,Rekorde!$A$4:$A$23,0)),"")*0.7*2,0)/2))</f>
        <v>31.5</v>
      </c>
      <c r="D670" s="112"/>
      <c r="E670" s="113"/>
      <c r="F670" s="113"/>
      <c r="G670" s="113"/>
      <c r="H670" s="113"/>
      <c r="I670" s="113"/>
    </row>
    <row r="671" customFormat="false" ht="18" hidden="false" customHeight="true" outlineLevel="0" collapsed="false">
      <c r="A671" s="72" t="n">
        <v>3</v>
      </c>
      <c r="B671" s="114" t="s">
        <v>551</v>
      </c>
      <c r="C671" s="115" t="n">
        <f aca="false">IF(OR(FALSE(),Übungen!$L$14="pause"),"",IF(IFERROR(INDEX(Rekorde!$O$4:$O$23,MATCH(Übungen!$A$14,Rekorde!$A$4:$A$23,0)),"")="","",ROUND(IFERROR(INDEX(Rekorde!$O$4:$O$23,MATCH(Übungen!$A$14,Rekorde!$A$4:$A$23,0)),"")*1*2,0)/2))</f>
        <v>45</v>
      </c>
      <c r="D671" s="116" t="n">
        <f aca="false">IF(OR(FALSE(),Übungen!$L$14="pause"),"",IF(IFERROR(INDEX(Rekorde!$P$4:$P$23,MATCH(Übungen!$A$14,Rekorde!$A$4:$A$23,0)),"")="","",MIN(Übungen!$E$14,IFERROR(INDEX(Rekorde!$P$4:$P$23,MATCH(Übungen!$A$14,Rekorde!$A$4:$A$23,0)),"")+0)))</f>
        <v>6</v>
      </c>
      <c r="E671" s="113"/>
      <c r="F671" s="113"/>
      <c r="G671" s="113"/>
      <c r="H671" s="113"/>
      <c r="I671" s="113"/>
    </row>
    <row r="672" customFormat="false" ht="18" hidden="false" customHeight="true" outlineLevel="0" collapsed="false">
      <c r="A672" s="72" t="n">
        <v>4</v>
      </c>
      <c r="B672" s="114" t="s">
        <v>552</v>
      </c>
      <c r="C672" s="111" t="n">
        <f aca="false">IF(OR(FALSE(),Übungen!$L$14="pause"),"",IF(IFERROR(INDEX(Rekorde!$O$4:$O$23,MATCH(Übungen!$A$14,Rekorde!$A$4:$A$23,0)),"")="","",ROUND(IFERROR(INDEX(Rekorde!$O$4:$O$23,MATCH(Übungen!$A$14,Rekorde!$A$4:$A$23,0)),"")*0.95*2,0)/2))</f>
        <v>43</v>
      </c>
      <c r="D672" s="116" t="n">
        <f aca="false">IF(OR(FALSE(),Übungen!$L$14="pause"),"",IF(IFERROR(INDEX(Rekorde!$P$4:$P$23,MATCH(Übungen!$A$14,Rekorde!$A$4:$A$23,0)),"")="","",MIN(Übungen!$E$14,IFERROR(INDEX(Rekorde!$P$4:$P$23,MATCH(Übungen!$A$14,Rekorde!$A$4:$A$23,0)),"")+1)))</f>
        <v>6</v>
      </c>
      <c r="E672" s="113"/>
      <c r="F672" s="113"/>
      <c r="G672" s="113"/>
      <c r="H672" s="113"/>
      <c r="I672" s="113"/>
    </row>
    <row r="673" customFormat="false" ht="18" hidden="false" customHeight="true" outlineLevel="0" collapsed="false">
      <c r="A673" s="72" t="n">
        <v>5</v>
      </c>
      <c r="B673" s="114" t="s">
        <v>553</v>
      </c>
      <c r="C673" s="111" t="n">
        <f aca="false">IF(OR(FALSE(),Übungen!$L$14="pause"),"",IF(IFERROR(INDEX(Rekorde!$O$4:$O$23,MATCH(Übungen!$A$14,Rekorde!$A$4:$A$23,0)),"")="","",ROUND(IFERROR(INDEX(Rekorde!$O$4:$O$23,MATCH(Übungen!$A$14,Rekorde!$A$4:$A$23,0)),"")*0.9*2,0)/2))</f>
        <v>40.5</v>
      </c>
      <c r="D673" s="116" t="n">
        <f aca="false">IF(OR(FALSE(),Übungen!$L$14="pause"),"",IF(IFERROR(INDEX(Rekorde!$P$4:$P$23,MATCH(Übungen!$A$14,Rekorde!$A$4:$A$23,0)),"")="","",MIN(Übungen!$E$14,IFERROR(INDEX(Rekorde!$P$4:$P$23,MATCH(Übungen!$A$14,Rekorde!$A$4:$A$23,0)),"")+2)))</f>
        <v>6</v>
      </c>
      <c r="E673" s="113"/>
      <c r="F673" s="113"/>
      <c r="G673" s="113"/>
      <c r="H673" s="113"/>
      <c r="I673" s="113"/>
    </row>
    <row r="675" customFormat="false" ht="18.75" hidden="false" customHeight="true" outlineLevel="0" collapsed="false">
      <c r="A675" s="107" t="str">
        <f aca="false">Übungen!$A$15</f>
        <v>Seitliche Kickbacks</v>
      </c>
      <c r="B675" s="107"/>
      <c r="C675" s="107"/>
      <c r="D675" s="107"/>
      <c r="E675" s="107"/>
      <c r="F675" s="107"/>
      <c r="G675" s="107"/>
      <c r="H675" s="107"/>
      <c r="I675" s="107"/>
    </row>
    <row r="676" customFormat="false" ht="13.5" hidden="false" customHeight="true" outlineLevel="0" collapsed="false">
      <c r="A676" s="108" t="str">
        <f aca="false">IF(OR(FALSE(),Übungen!$L$15="pause"),IF(Übungen!$L$15="pause","PAUSE - vorübergehend ausgesetzt, Grund im Blatt 'Übungen'     ·     ",""),IF(IFERROR(INDEX(Rekorde!$L$4:$L$23,MATCH(Übungen!$A$15,Rekorde!$A$4:$A$23,0)),"")="",IF(IFERROR(INDEX(Rekorde!$O$4:$O$23,MATCH(Übungen!$A$15,Rekorde!$A$4:$A$23,0)),"")="","Neu im Plan - Startgewicht im Blatt 'Übungen' eintragen     ·     ","Neu im Plan     ·     Start: "&amp;TEXT(IFERROR(INDEX(Rekorde!$O$4:$O$23,MATCH(Übungen!$A$15,Rekorde!$A$4:$A$23,0)),""),"0.#")&amp;" kg     ·     "),"Zuletzt: "&amp;TEXT(IFERROR(INDEX(Rekorde!$L$4:$L$23,MATCH(Übungen!$A$15,Rekorde!$A$4:$A$23,0)),""),"0.#")&amp;" kg × "&amp;IF(IFERROR(INDEX(Rekorde!$M$4:$M$23,MATCH(Übungen!$A$15,Rekorde!$A$4:$A$23,0)),"")="","?",TEXT(IFERROR(INDEX(Rekorde!$M$4:$M$23,MATCH(Übungen!$A$15,Rekorde!$A$4:$A$23,0)),""),"0"))&amp;" Wdh     ·     Bestwert: "&amp;TEXT(IFERROR(INDEX(Rekorde!$F$4:$F$23,MATCH(Übungen!$A$15,Rekorde!$A$4:$A$23,0)),""),"0.#")&amp;" kg     ·     "&amp;IF(IFERROR(INDEX(Rekorde!$O$4:$O$23,MATCH(Übungen!$A$15,Rekorde!$A$4:$A$23,0)),"")="","","Ziel heute: "&amp;TEXT(IFERROR(INDEX(Rekorde!$O$4:$O$23,MATCH(Übungen!$A$15,Rekorde!$A$4:$A$23,0)),""),"0.#")&amp;" kg × "&amp;IF(IFERROR(INDEX(Rekorde!$P$4:$P$23,MATCH(Übungen!$A$15,Rekorde!$A$4:$A$23,0)),"")="","",TEXT(IFERROR(INDEX(Rekorde!$P$4:$P$23,MATCH(Übungen!$A$15,Rekorde!$A$4:$A$23,0)),""),"0")&amp;" Wdh")&amp;"     ·     ")&amp;IF(AND(Übungen!$I$15&lt;&gt;"",IFERROR(INDEX(Rekorde!$O$4:$O$23,MATCH(Übungen!$A$15,Rekorde!$A$4:$A$23,0)),"")&lt;&gt;"",IFERROR(INDEX(Rekorde!$O$4:$O$23,MATCH(Übungen!$A$15,Rekorde!$A$4:$A$23,0)),"")&gt;=Übungen!$I$15),"Stackende, über Tempo und Pausen steigern     ·     ","")))</f>
        <v>Zuletzt: 36 kg × 10 Wdh     ·     Bestwert: 49 kg     ·     Ziel heute: 40 kg × 5 Wdh     ·     </v>
      </c>
      <c r="B676" s="108"/>
      <c r="C676" s="108"/>
      <c r="D676" s="108"/>
      <c r="E676" s="108"/>
      <c r="F676" s="108"/>
      <c r="G676" s="108"/>
      <c r="H676" s="108"/>
      <c r="I676" s="108"/>
    </row>
    <row r="677" customFormat="false" ht="13.5" hidden="false" customHeight="true" outlineLevel="0" collapsed="false">
      <c r="A677" s="109" t="str">
        <f aca="false">"Vorgabe: "&amp;Übungen!$F$15&amp;" × "&amp;Übungen!$D$15&amp;"-"&amp;Übungen!$E$15&amp;" Wdh @ RPE "&amp;Übungen!$G$15&amp;IF(OR(Übungen!$M$15="",Übungen!$M$15&lt;=1),"","     ·     nach OP gesperrt bis Woche "&amp;Übungen!$M$15)&amp;IF(OR(FALSE(),Übungen!$L$15="pause"),"",IF(AND(Übungen!$K$15&lt;&gt;"",Übungen!$K$15&lt;&gt;100),"     ·     Wiedereinstieg: "&amp;TEXT(Übungen!$K$15,"0")&amp;" % des berechneten Ziels",IF(IFERROR(INDEX(Rekorde!$Q$4:$Q$23,MATCH(Übungen!$A$15,Rekorde!$A$4:$A$23,0)),"")="","","     ·     Schritt: "&amp;IFERROR(INDEX(Rekorde!$Q$4:$Q$23,MATCH(Übungen!$A$15,Rekorde!$A$4:$A$23,0)),""))))</f>
        <v>Vorgabe: 3 × 5-6 Wdh @ RPE 9     ·     nach OP gesperrt bis Woche 6     ·     Schritt: RM-Korrektur nach 10 Wdh: +4 kg (11.1%), Wdh zurück auf 5</v>
      </c>
      <c r="B677" s="109"/>
      <c r="C677" s="109"/>
      <c r="D677" s="109"/>
      <c r="E677" s="109"/>
      <c r="F677" s="109"/>
      <c r="G677" s="109"/>
      <c r="H677" s="109"/>
      <c r="I677" s="109"/>
    </row>
    <row r="678" customFormat="false" ht="18" hidden="false" customHeight="true" outlineLevel="0" collapsed="false">
      <c r="A678" s="110" t="s">
        <v>543</v>
      </c>
      <c r="B678" s="110" t="s">
        <v>544</v>
      </c>
      <c r="C678" s="110" t="s">
        <v>545</v>
      </c>
      <c r="D678" s="110" t="s">
        <v>546</v>
      </c>
      <c r="E678" s="110" t="s">
        <v>547</v>
      </c>
      <c r="F678" s="110" t="s">
        <v>454</v>
      </c>
      <c r="G678" s="110" t="s">
        <v>50</v>
      </c>
      <c r="H678" s="110" t="s">
        <v>548</v>
      </c>
      <c r="I678" s="110" t="s">
        <v>256</v>
      </c>
    </row>
    <row r="679" customFormat="false" ht="18" hidden="false" customHeight="true" outlineLevel="0" collapsed="false">
      <c r="A679" s="72" t="n">
        <v>1</v>
      </c>
      <c r="B679" s="70" t="s">
        <v>549</v>
      </c>
      <c r="C679" s="111" t="n">
        <f aca="false">IF(OR(FALSE(),Übungen!$L$15="pause"),"",IF(IFERROR(INDEX(Rekorde!$O$4:$O$23,MATCH(Übungen!$A$15,Rekorde!$A$4:$A$23,0)),"")="","",ROUND(IFERROR(INDEX(Rekorde!$O$4:$O$23,MATCH(Übungen!$A$15,Rekorde!$A$4:$A$23,0)),"")*0.4*2,0)/2))</f>
        <v>16</v>
      </c>
      <c r="D679" s="112"/>
      <c r="E679" s="113"/>
      <c r="F679" s="113"/>
      <c r="G679" s="113"/>
      <c r="H679" s="113"/>
      <c r="I679" s="113"/>
    </row>
    <row r="680" customFormat="false" ht="18" hidden="false" customHeight="true" outlineLevel="0" collapsed="false">
      <c r="A680" s="72" t="n">
        <v>2</v>
      </c>
      <c r="B680" s="70" t="s">
        <v>550</v>
      </c>
      <c r="C680" s="111" t="n">
        <f aca="false">IF(OR(FALSE(),Übungen!$L$15="pause"),"",IF(IFERROR(INDEX(Rekorde!$O$4:$O$23,MATCH(Übungen!$A$15,Rekorde!$A$4:$A$23,0)),"")="","",ROUND(IFERROR(INDEX(Rekorde!$O$4:$O$23,MATCH(Übungen!$A$15,Rekorde!$A$4:$A$23,0)),"")*0.7*2,0)/2))</f>
        <v>28</v>
      </c>
      <c r="D680" s="112"/>
      <c r="E680" s="113"/>
      <c r="F680" s="113"/>
      <c r="G680" s="113"/>
      <c r="H680" s="113"/>
      <c r="I680" s="113"/>
    </row>
    <row r="681" customFormat="false" ht="18" hidden="false" customHeight="true" outlineLevel="0" collapsed="false">
      <c r="A681" s="72" t="n">
        <v>3</v>
      </c>
      <c r="B681" s="114" t="s">
        <v>551</v>
      </c>
      <c r="C681" s="115" t="n">
        <f aca="false">IF(OR(FALSE(),Übungen!$L$15="pause"),"",IF(IFERROR(INDEX(Rekorde!$O$4:$O$23,MATCH(Übungen!$A$15,Rekorde!$A$4:$A$23,0)),"")="","",ROUND(IFERROR(INDEX(Rekorde!$O$4:$O$23,MATCH(Übungen!$A$15,Rekorde!$A$4:$A$23,0)),"")*1*2,0)/2))</f>
        <v>40</v>
      </c>
      <c r="D681" s="116" t="n">
        <f aca="false">IF(OR(FALSE(),Übungen!$L$15="pause"),"",IF(IFERROR(INDEX(Rekorde!$P$4:$P$23,MATCH(Übungen!$A$15,Rekorde!$A$4:$A$23,0)),"")="","",MIN(Übungen!$E$15,IFERROR(INDEX(Rekorde!$P$4:$P$23,MATCH(Übungen!$A$15,Rekorde!$A$4:$A$23,0)),"")+0)))</f>
        <v>5</v>
      </c>
      <c r="E681" s="113"/>
      <c r="F681" s="113"/>
      <c r="G681" s="113"/>
      <c r="H681" s="113"/>
      <c r="I681" s="113"/>
    </row>
    <row r="682" customFormat="false" ht="18" hidden="false" customHeight="true" outlineLevel="0" collapsed="false">
      <c r="A682" s="72" t="n">
        <v>4</v>
      </c>
      <c r="B682" s="114" t="s">
        <v>552</v>
      </c>
      <c r="C682" s="111" t="n">
        <f aca="false">IF(OR(FALSE(),Übungen!$L$15="pause"),"",IF(IFERROR(INDEX(Rekorde!$O$4:$O$23,MATCH(Übungen!$A$15,Rekorde!$A$4:$A$23,0)),"")="","",ROUND(IFERROR(INDEX(Rekorde!$O$4:$O$23,MATCH(Übungen!$A$15,Rekorde!$A$4:$A$23,0)),"")*0.95*2,0)/2))</f>
        <v>38</v>
      </c>
      <c r="D682" s="116" t="n">
        <f aca="false">IF(OR(FALSE(),Übungen!$L$15="pause"),"",IF(IFERROR(INDEX(Rekorde!$P$4:$P$23,MATCH(Übungen!$A$15,Rekorde!$A$4:$A$23,0)),"")="","",MIN(Übungen!$E$15,IFERROR(INDEX(Rekorde!$P$4:$P$23,MATCH(Übungen!$A$15,Rekorde!$A$4:$A$23,0)),"")+1)))</f>
        <v>6</v>
      </c>
      <c r="E682" s="113"/>
      <c r="F682" s="113"/>
      <c r="G682" s="113"/>
      <c r="H682" s="113"/>
      <c r="I682" s="113"/>
    </row>
    <row r="683" customFormat="false" ht="18" hidden="false" customHeight="true" outlineLevel="0" collapsed="false">
      <c r="A683" s="72" t="n">
        <v>5</v>
      </c>
      <c r="B683" s="114" t="s">
        <v>553</v>
      </c>
      <c r="C683" s="111" t="n">
        <f aca="false">IF(OR(FALSE(),Übungen!$L$15="pause"),"",IF(IFERROR(INDEX(Rekorde!$O$4:$O$23,MATCH(Übungen!$A$15,Rekorde!$A$4:$A$23,0)),"")="","",ROUND(IFERROR(INDEX(Rekorde!$O$4:$O$23,MATCH(Übungen!$A$15,Rekorde!$A$4:$A$23,0)),"")*0.9*2,0)/2))</f>
        <v>36</v>
      </c>
      <c r="D683" s="116" t="n">
        <f aca="false">IF(OR(FALSE(),Übungen!$L$15="pause"),"",IF(IFERROR(INDEX(Rekorde!$P$4:$P$23,MATCH(Übungen!$A$15,Rekorde!$A$4:$A$23,0)),"")="","",MIN(Übungen!$E$15,IFERROR(INDEX(Rekorde!$P$4:$P$23,MATCH(Übungen!$A$15,Rekorde!$A$4:$A$23,0)),"")+2)))</f>
        <v>6</v>
      </c>
      <c r="E683" s="113"/>
      <c r="F683" s="113"/>
      <c r="G683" s="113"/>
      <c r="H683" s="113"/>
      <c r="I683" s="113"/>
    </row>
    <row r="685" customFormat="false" ht="18.75" hidden="false" customHeight="true" outlineLevel="0" collapsed="false">
      <c r="A685" s="107" t="str">
        <f aca="false">Übungen!$A$16</f>
        <v>Waden</v>
      </c>
      <c r="B685" s="107"/>
      <c r="C685" s="107"/>
      <c r="D685" s="107"/>
      <c r="E685" s="107"/>
      <c r="F685" s="107"/>
      <c r="G685" s="107"/>
      <c r="H685" s="107"/>
      <c r="I685" s="107"/>
    </row>
    <row r="686" customFormat="false" ht="13.5" hidden="false" customHeight="true" outlineLevel="0" collapsed="false">
      <c r="A686" s="108" t="str">
        <f aca="false">IF(OR(FALSE(),Übungen!$L$16="pause"),IF(Übungen!$L$16="pause","PAUSE - vorübergehend ausgesetzt, Grund im Blatt 'Übungen'     ·     ",""),IF(IFERROR(INDEX(Rekorde!$L$4:$L$23,MATCH(Übungen!$A$16,Rekorde!$A$4:$A$23,0)),"")="",IF(IFERROR(INDEX(Rekorde!$O$4:$O$23,MATCH(Übungen!$A$16,Rekorde!$A$4:$A$23,0)),"")="","Neu im Plan - Startgewicht im Blatt 'Übungen' eintragen     ·     ","Neu im Plan     ·     Start: "&amp;TEXT(IFERROR(INDEX(Rekorde!$O$4:$O$23,MATCH(Übungen!$A$16,Rekorde!$A$4:$A$23,0)),""),"0.#")&amp;" kg     ·     "),"Zuletzt: "&amp;TEXT(IFERROR(INDEX(Rekorde!$L$4:$L$23,MATCH(Übungen!$A$16,Rekorde!$A$4:$A$23,0)),""),"0.#")&amp;" kg × "&amp;IF(IFERROR(INDEX(Rekorde!$M$4:$M$23,MATCH(Übungen!$A$16,Rekorde!$A$4:$A$23,0)),"")="","?",TEXT(IFERROR(INDEX(Rekorde!$M$4:$M$23,MATCH(Übungen!$A$16,Rekorde!$A$4:$A$23,0)),""),"0"))&amp;" Wdh     ·     Bestwert: "&amp;TEXT(IFERROR(INDEX(Rekorde!$F$4:$F$23,MATCH(Übungen!$A$16,Rekorde!$A$4:$A$23,0)),""),"0.#")&amp;" kg     ·     "&amp;IF(IFERROR(INDEX(Rekorde!$O$4:$O$23,MATCH(Übungen!$A$16,Rekorde!$A$4:$A$23,0)),"")="","","Ziel heute: "&amp;TEXT(IFERROR(INDEX(Rekorde!$O$4:$O$23,MATCH(Übungen!$A$16,Rekorde!$A$4:$A$23,0)),""),"0.#")&amp;" kg × "&amp;IF(IFERROR(INDEX(Rekorde!$P$4:$P$23,MATCH(Übungen!$A$16,Rekorde!$A$4:$A$23,0)),"")="","",TEXT(IFERROR(INDEX(Rekorde!$P$4:$P$23,MATCH(Übungen!$A$16,Rekorde!$A$4:$A$23,0)),""),"0")&amp;" Wdh")&amp;"     ·     ")&amp;IF(AND(Übungen!$I$16&lt;&gt;"",IFERROR(INDEX(Rekorde!$O$4:$O$23,MATCH(Übungen!$A$16,Rekorde!$A$4:$A$23,0)),"")&lt;&gt;"",IFERROR(INDEX(Rekorde!$O$4:$O$23,MATCH(Übungen!$A$16,Rekorde!$A$4:$A$23,0)),"")&gt;=Übungen!$I$16),"Stackende, über Tempo und Pausen steigern     ·     ","")))</f>
        <v>Zuletzt: 190 kg × 5 Wdh     ·     Bestwert: 190 kg     ·     Ziel heute: 190 kg × 6 Wdh     ·     </v>
      </c>
      <c r="B686" s="108"/>
      <c r="C686" s="108"/>
      <c r="D686" s="108"/>
      <c r="E686" s="108"/>
      <c r="F686" s="108"/>
      <c r="G686" s="108"/>
      <c r="H686" s="108"/>
      <c r="I686" s="108"/>
    </row>
    <row r="687" customFormat="false" ht="13.5" hidden="false" customHeight="true" outlineLevel="0" collapsed="false">
      <c r="A687" s="109" t="str">
        <f aca="false">"Vorgabe: "&amp;Übungen!$F$16&amp;" × "&amp;Übungen!$D$16&amp;"-"&amp;Übungen!$E$16&amp;" Wdh @ RPE "&amp;Übungen!$G$16&amp;IF(OR(Übungen!$M$16="",Übungen!$M$16&lt;=1),"","     ·     nach OP gesperrt bis Woche "&amp;Übungen!$M$16)&amp;IF(OR(FALSE(),Übungen!$L$16="pause"),"",IF(AND(Übungen!$K$16&lt;&gt;"",Übungen!$K$16&lt;&gt;100),"     ·     Wiedereinstieg: "&amp;TEXT(Übungen!$K$16,"0")&amp;" % des berechneten Ziels",IF(IFERROR(INDEX(Rekorde!$Q$4:$Q$23,MATCH(Übungen!$A$16,Rekorde!$A$4:$A$23,0)),"")="","","     ·     Schritt: "&amp;IFERROR(INDEX(Rekorde!$Q$4:$Q$23,MATCH(Übungen!$A$16,Rekorde!$A$4:$A$23,0)),""))))</f>
        <v>Vorgabe: 3 × 5-6 Wdh @ RPE 9     ·     nach OP gesperrt bis Woche 2     ·     Schritt: Wdh +1 auf 6 bei gleichem Gewicht</v>
      </c>
      <c r="B687" s="109"/>
      <c r="C687" s="109"/>
      <c r="D687" s="109"/>
      <c r="E687" s="109"/>
      <c r="F687" s="109"/>
      <c r="G687" s="109"/>
      <c r="H687" s="109"/>
      <c r="I687" s="109"/>
    </row>
    <row r="688" customFormat="false" ht="18" hidden="false" customHeight="true" outlineLevel="0" collapsed="false">
      <c r="A688" s="110" t="s">
        <v>543</v>
      </c>
      <c r="B688" s="110" t="s">
        <v>544</v>
      </c>
      <c r="C688" s="110" t="s">
        <v>545</v>
      </c>
      <c r="D688" s="110" t="s">
        <v>546</v>
      </c>
      <c r="E688" s="110" t="s">
        <v>547</v>
      </c>
      <c r="F688" s="110" t="s">
        <v>454</v>
      </c>
      <c r="G688" s="110" t="s">
        <v>50</v>
      </c>
      <c r="H688" s="110" t="s">
        <v>548</v>
      </c>
      <c r="I688" s="110" t="s">
        <v>256</v>
      </c>
    </row>
    <row r="689" customFormat="false" ht="18" hidden="false" customHeight="true" outlineLevel="0" collapsed="false">
      <c r="A689" s="72" t="n">
        <v>1</v>
      </c>
      <c r="B689" s="70" t="s">
        <v>549</v>
      </c>
      <c r="C689" s="111" t="n">
        <f aca="false">IF(OR(FALSE(),Übungen!$L$16="pause"),"",IF(IFERROR(INDEX(Rekorde!$O$4:$O$23,MATCH(Übungen!$A$16,Rekorde!$A$4:$A$23,0)),"")="","",ROUND(IFERROR(INDEX(Rekorde!$O$4:$O$23,MATCH(Übungen!$A$16,Rekorde!$A$4:$A$23,0)),"")*0.4*2,0)/2))</f>
        <v>76</v>
      </c>
      <c r="D689" s="112"/>
      <c r="E689" s="113"/>
      <c r="F689" s="113"/>
      <c r="G689" s="113"/>
      <c r="H689" s="113"/>
      <c r="I689" s="113"/>
    </row>
    <row r="690" customFormat="false" ht="18" hidden="false" customHeight="true" outlineLevel="0" collapsed="false">
      <c r="A690" s="72" t="n">
        <v>2</v>
      </c>
      <c r="B690" s="70" t="s">
        <v>550</v>
      </c>
      <c r="C690" s="111" t="n">
        <f aca="false">IF(OR(FALSE(),Übungen!$L$16="pause"),"",IF(IFERROR(INDEX(Rekorde!$O$4:$O$23,MATCH(Übungen!$A$16,Rekorde!$A$4:$A$23,0)),"")="","",ROUND(IFERROR(INDEX(Rekorde!$O$4:$O$23,MATCH(Übungen!$A$16,Rekorde!$A$4:$A$23,0)),"")*0.7*2,0)/2))</f>
        <v>133</v>
      </c>
      <c r="D690" s="112"/>
      <c r="E690" s="113"/>
      <c r="F690" s="113"/>
      <c r="G690" s="113"/>
      <c r="H690" s="113"/>
      <c r="I690" s="113"/>
    </row>
    <row r="691" customFormat="false" ht="18" hidden="false" customHeight="true" outlineLevel="0" collapsed="false">
      <c r="A691" s="72" t="n">
        <v>3</v>
      </c>
      <c r="B691" s="114" t="s">
        <v>551</v>
      </c>
      <c r="C691" s="115" t="n">
        <f aca="false">IF(OR(FALSE(),Übungen!$L$16="pause"),"",IF(IFERROR(INDEX(Rekorde!$O$4:$O$23,MATCH(Übungen!$A$16,Rekorde!$A$4:$A$23,0)),"")="","",ROUND(IFERROR(INDEX(Rekorde!$O$4:$O$23,MATCH(Übungen!$A$16,Rekorde!$A$4:$A$23,0)),"")*1*2,0)/2))</f>
        <v>190</v>
      </c>
      <c r="D691" s="116" t="n">
        <f aca="false">IF(OR(FALSE(),Übungen!$L$16="pause"),"",IF(IFERROR(INDEX(Rekorde!$P$4:$P$23,MATCH(Übungen!$A$16,Rekorde!$A$4:$A$23,0)),"")="","",MIN(Übungen!$E$16,IFERROR(INDEX(Rekorde!$P$4:$P$23,MATCH(Übungen!$A$16,Rekorde!$A$4:$A$23,0)),"")+0)))</f>
        <v>6</v>
      </c>
      <c r="E691" s="113"/>
      <c r="F691" s="113"/>
      <c r="G691" s="113"/>
      <c r="H691" s="113"/>
      <c r="I691" s="113"/>
    </row>
    <row r="692" customFormat="false" ht="18" hidden="false" customHeight="true" outlineLevel="0" collapsed="false">
      <c r="A692" s="72" t="n">
        <v>4</v>
      </c>
      <c r="B692" s="114" t="s">
        <v>552</v>
      </c>
      <c r="C692" s="111" t="n">
        <f aca="false">IF(OR(FALSE(),Übungen!$L$16="pause"),"",IF(IFERROR(INDEX(Rekorde!$O$4:$O$23,MATCH(Übungen!$A$16,Rekorde!$A$4:$A$23,0)),"")="","",ROUND(IFERROR(INDEX(Rekorde!$O$4:$O$23,MATCH(Übungen!$A$16,Rekorde!$A$4:$A$23,0)),"")*0.95*2,0)/2))</f>
        <v>180.5</v>
      </c>
      <c r="D692" s="116" t="n">
        <f aca="false">IF(OR(FALSE(),Übungen!$L$16="pause"),"",IF(IFERROR(INDEX(Rekorde!$P$4:$P$23,MATCH(Übungen!$A$16,Rekorde!$A$4:$A$23,0)),"")="","",MIN(Übungen!$E$16,IFERROR(INDEX(Rekorde!$P$4:$P$23,MATCH(Übungen!$A$16,Rekorde!$A$4:$A$23,0)),"")+1)))</f>
        <v>6</v>
      </c>
      <c r="E692" s="113"/>
      <c r="F692" s="113"/>
      <c r="G692" s="113"/>
      <c r="H692" s="113"/>
      <c r="I692" s="113"/>
    </row>
    <row r="693" customFormat="false" ht="18" hidden="false" customHeight="true" outlineLevel="0" collapsed="false">
      <c r="A693" s="72" t="n">
        <v>5</v>
      </c>
      <c r="B693" s="114" t="s">
        <v>553</v>
      </c>
      <c r="C693" s="111" t="n">
        <f aca="false">IF(OR(FALSE(),Übungen!$L$16="pause"),"",IF(IFERROR(INDEX(Rekorde!$O$4:$O$23,MATCH(Übungen!$A$16,Rekorde!$A$4:$A$23,0)),"")="","",ROUND(IFERROR(INDEX(Rekorde!$O$4:$O$23,MATCH(Übungen!$A$16,Rekorde!$A$4:$A$23,0)),"")*0.9*2,0)/2))</f>
        <v>171</v>
      </c>
      <c r="D693" s="116" t="n">
        <f aca="false">IF(OR(FALSE(),Übungen!$L$16="pause"),"",IF(IFERROR(INDEX(Rekorde!$P$4:$P$23,MATCH(Übungen!$A$16,Rekorde!$A$4:$A$23,0)),"")="","",MIN(Übungen!$E$16,IFERROR(INDEX(Rekorde!$P$4:$P$23,MATCH(Übungen!$A$16,Rekorde!$A$4:$A$23,0)),"")+2)))</f>
        <v>6</v>
      </c>
      <c r="E693" s="113"/>
      <c r="F693" s="113"/>
      <c r="G693" s="113"/>
      <c r="H693" s="113"/>
      <c r="I693" s="113"/>
    </row>
    <row r="695" customFormat="false" ht="15.75" hidden="false" customHeight="true" outlineLevel="0" collapsed="false">
      <c r="A695" s="3" t="s">
        <v>554</v>
      </c>
      <c r="B695" s="3"/>
      <c r="C695" s="3"/>
      <c r="D695" s="3"/>
      <c r="E695" s="3"/>
      <c r="F695" s="3"/>
      <c r="G695" s="3"/>
      <c r="H695" s="3"/>
      <c r="I695" s="3"/>
    </row>
    <row r="696" customFormat="false" ht="18" hidden="false" customHeight="true" outlineLevel="0" collapsed="false">
      <c r="A696" s="117"/>
      <c r="B696" s="117"/>
      <c r="C696" s="117"/>
      <c r="D696" s="117"/>
      <c r="E696" s="117"/>
      <c r="F696" s="117"/>
      <c r="G696" s="117"/>
      <c r="H696" s="117"/>
      <c r="I696" s="117"/>
    </row>
    <row r="697" customFormat="false" ht="18" hidden="false" customHeight="true" outlineLevel="0" collapsed="false">
      <c r="A697" s="117"/>
      <c r="B697" s="117"/>
      <c r="C697" s="117"/>
      <c r="D697" s="117"/>
      <c r="E697" s="117"/>
      <c r="F697" s="117"/>
      <c r="G697" s="117"/>
      <c r="H697" s="117"/>
      <c r="I697" s="117"/>
    </row>
    <row r="699" customFormat="false" ht="27.75" hidden="false" customHeight="true" outlineLevel="0" collapsed="false">
      <c r="A699" s="1" t="s">
        <v>565</v>
      </c>
      <c r="B699" s="1"/>
      <c r="C699" s="1"/>
      <c r="D699" s="1"/>
      <c r="E699" s="1"/>
      <c r="F699" s="1"/>
      <c r="G699" s="1"/>
      <c r="H699" s="1"/>
      <c r="I699" s="1"/>
    </row>
    <row r="700" customFormat="false" ht="12" hidden="false" customHeight="true" outlineLevel="0" collapsed="false">
      <c r="A700" s="104" t="s">
        <v>75</v>
      </c>
      <c r="B700" s="104"/>
      <c r="C700" s="105" t="s">
        <v>539</v>
      </c>
      <c r="D700" s="105" t="s">
        <v>540</v>
      </c>
      <c r="E700" s="104" t="s">
        <v>541</v>
      </c>
      <c r="F700" s="104"/>
      <c r="G700" s="104" t="s">
        <v>542</v>
      </c>
      <c r="H700" s="104"/>
    </row>
    <row r="701" customFormat="false" ht="18" hidden="false" customHeight="true" outlineLevel="0" collapsed="false">
      <c r="A701" s="106"/>
      <c r="B701" s="106"/>
      <c r="C701" s="106"/>
      <c r="D701" s="106"/>
      <c r="E701" s="106"/>
      <c r="F701" s="106"/>
      <c r="G701" s="106"/>
      <c r="H701" s="106"/>
    </row>
    <row r="703" customFormat="false" ht="18.75" hidden="false" customHeight="true" outlineLevel="0" collapsed="false">
      <c r="A703" s="107" t="str">
        <f aca="false">Übungen!$A$17</f>
        <v>Squat Maschine Bülach</v>
      </c>
      <c r="B703" s="107"/>
      <c r="C703" s="107"/>
      <c r="D703" s="107"/>
      <c r="E703" s="107"/>
      <c r="F703" s="107"/>
      <c r="G703" s="107"/>
      <c r="H703" s="107"/>
      <c r="I703" s="107"/>
    </row>
    <row r="704" customFormat="false" ht="13.5" hidden="false" customHeight="true" outlineLevel="0" collapsed="false">
      <c r="A704" s="108" t="str">
        <f aca="false">IF(OR(FALSE(),Übungen!$L$17="pause"),IF(Übungen!$L$17="pause","PAUSE - vorübergehend ausgesetzt, Grund im Blatt 'Übungen'     ·     ",""),IF(IFERROR(INDEX(Rekorde!$L$4:$L$23,MATCH(Übungen!$A$17,Rekorde!$A$4:$A$23,0)),"")="",IF(IFERROR(INDEX(Rekorde!$O$4:$O$23,MATCH(Übungen!$A$17,Rekorde!$A$4:$A$23,0)),"")="","Neu im Plan - Startgewicht im Blatt 'Übungen' eintragen     ·     ","Neu im Plan     ·     Start: "&amp;TEXT(IFERROR(INDEX(Rekorde!$O$4:$O$23,MATCH(Übungen!$A$17,Rekorde!$A$4:$A$23,0)),""),"0.#")&amp;" kg     ·     "),"Zuletzt: "&amp;TEXT(IFERROR(INDEX(Rekorde!$L$4:$L$23,MATCH(Übungen!$A$17,Rekorde!$A$4:$A$23,0)),""),"0.#")&amp;" kg × "&amp;IF(IFERROR(INDEX(Rekorde!$M$4:$M$23,MATCH(Übungen!$A$17,Rekorde!$A$4:$A$23,0)),"")="","?",TEXT(IFERROR(INDEX(Rekorde!$M$4:$M$23,MATCH(Übungen!$A$17,Rekorde!$A$4:$A$23,0)),""),"0"))&amp;" Wdh     ·     Bestwert: "&amp;TEXT(IFERROR(INDEX(Rekorde!$F$4:$F$23,MATCH(Übungen!$A$17,Rekorde!$A$4:$A$23,0)),""),"0.#")&amp;" kg     ·     "&amp;IF(IFERROR(INDEX(Rekorde!$O$4:$O$23,MATCH(Übungen!$A$17,Rekorde!$A$4:$A$23,0)),"")="","","Ziel heute: "&amp;TEXT(IFERROR(INDEX(Rekorde!$O$4:$O$23,MATCH(Übungen!$A$17,Rekorde!$A$4:$A$23,0)),""),"0.#")&amp;" kg × "&amp;IF(IFERROR(INDEX(Rekorde!$P$4:$P$23,MATCH(Übungen!$A$17,Rekorde!$A$4:$A$23,0)),"")="","",TEXT(IFERROR(INDEX(Rekorde!$P$4:$P$23,MATCH(Übungen!$A$17,Rekorde!$A$4:$A$23,0)),""),"0")&amp;" Wdh")&amp;"     ·     ")&amp;IF(AND(Übungen!$I$17&lt;&gt;"",IFERROR(INDEX(Rekorde!$O$4:$O$23,MATCH(Übungen!$A$17,Rekorde!$A$4:$A$23,0)),"")&lt;&gt;"",IFERROR(INDEX(Rekorde!$O$4:$O$23,MATCH(Übungen!$A$17,Rekorde!$A$4:$A$23,0)),"")&gt;=Übungen!$I$17),"Stackende, über Tempo und Pausen steigern     ·     ","")))</f>
        <v>Zuletzt: 120 kg × 9 Wdh     ·     Bestwert: 120 kg     ·     Ziel heute: 130 kg × 5 Wdh     ·     </v>
      </c>
      <c r="B704" s="108"/>
      <c r="C704" s="108"/>
      <c r="D704" s="108"/>
      <c r="E704" s="108"/>
      <c r="F704" s="108"/>
      <c r="G704" s="108"/>
      <c r="H704" s="108"/>
      <c r="I704" s="108"/>
    </row>
    <row r="705" customFormat="false" ht="13.5" hidden="false" customHeight="true" outlineLevel="0" collapsed="false">
      <c r="A705" s="109" t="str">
        <f aca="false">"Vorgabe: "&amp;Übungen!$F$17&amp;" × "&amp;Übungen!$D$17&amp;"-"&amp;Übungen!$E$17&amp;" Wdh @ RPE "&amp;Übungen!$G$17&amp;IF(OR(Übungen!$M$17="",Übungen!$M$17&lt;=1),"","     ·     nach OP gesperrt bis Woche "&amp;Übungen!$M$17)&amp;IF(OR(FALSE(),Übungen!$L$17="pause"),"",IF(AND(Übungen!$K$17&lt;&gt;"",Übungen!$K$17&lt;&gt;100),"     ·     Wiedereinstieg: "&amp;TEXT(Übungen!$K$17,"0")&amp;" % des berechneten Ziels",IF(IFERROR(INDEX(Rekorde!$Q$4:$Q$23,MATCH(Übungen!$A$17,Rekorde!$A$4:$A$23,0)),"")="","","     ·     Schritt: "&amp;IFERROR(INDEX(Rekorde!$Q$4:$Q$23,MATCH(Übungen!$A$17,Rekorde!$A$4:$A$23,0)),""))))</f>
        <v>Vorgabe: 3 × 5-6 Wdh @ RPE 8-9     ·     nach OP gesperrt bis Woche 12     ·     Schritt: RM-Korrektur nach 9 Wdh: +10 kg (8.3%), Wdh zurück auf 5</v>
      </c>
      <c r="B705" s="109"/>
      <c r="C705" s="109"/>
      <c r="D705" s="109"/>
      <c r="E705" s="109"/>
      <c r="F705" s="109"/>
      <c r="G705" s="109"/>
      <c r="H705" s="109"/>
      <c r="I705" s="109"/>
    </row>
    <row r="706" customFormat="false" ht="18" hidden="false" customHeight="true" outlineLevel="0" collapsed="false">
      <c r="A706" s="110" t="s">
        <v>543</v>
      </c>
      <c r="B706" s="110" t="s">
        <v>544</v>
      </c>
      <c r="C706" s="110" t="s">
        <v>545</v>
      </c>
      <c r="D706" s="110" t="s">
        <v>546</v>
      </c>
      <c r="E706" s="110" t="s">
        <v>547</v>
      </c>
      <c r="F706" s="110" t="s">
        <v>454</v>
      </c>
      <c r="G706" s="110" t="s">
        <v>50</v>
      </c>
      <c r="H706" s="110" t="s">
        <v>548</v>
      </c>
      <c r="I706" s="110" t="s">
        <v>256</v>
      </c>
    </row>
    <row r="707" customFormat="false" ht="18" hidden="false" customHeight="true" outlineLevel="0" collapsed="false">
      <c r="A707" s="72" t="n">
        <v>1</v>
      </c>
      <c r="B707" s="70" t="s">
        <v>549</v>
      </c>
      <c r="C707" s="111" t="n">
        <f aca="false">IF(OR(FALSE(),Übungen!$L$17="pause"),"",IF(IFERROR(INDEX(Rekorde!$O$4:$O$23,MATCH(Übungen!$A$17,Rekorde!$A$4:$A$23,0)),"")="","",ROUND(IFERROR(INDEX(Rekorde!$O$4:$O$23,MATCH(Übungen!$A$17,Rekorde!$A$4:$A$23,0)),"")*0.4*2,0)/2))</f>
        <v>52</v>
      </c>
      <c r="D707" s="112"/>
      <c r="E707" s="113"/>
      <c r="F707" s="113"/>
      <c r="G707" s="113"/>
      <c r="H707" s="113"/>
      <c r="I707" s="113"/>
    </row>
    <row r="708" customFormat="false" ht="18" hidden="false" customHeight="true" outlineLevel="0" collapsed="false">
      <c r="A708" s="72" t="n">
        <v>2</v>
      </c>
      <c r="B708" s="70" t="s">
        <v>550</v>
      </c>
      <c r="C708" s="111" t="n">
        <f aca="false">IF(OR(FALSE(),Übungen!$L$17="pause"),"",IF(IFERROR(INDEX(Rekorde!$O$4:$O$23,MATCH(Übungen!$A$17,Rekorde!$A$4:$A$23,0)),"")="","",ROUND(IFERROR(INDEX(Rekorde!$O$4:$O$23,MATCH(Übungen!$A$17,Rekorde!$A$4:$A$23,0)),"")*0.7*2,0)/2))</f>
        <v>91</v>
      </c>
      <c r="D708" s="112"/>
      <c r="E708" s="113"/>
      <c r="F708" s="113"/>
      <c r="G708" s="113"/>
      <c r="H708" s="113"/>
      <c r="I708" s="113"/>
    </row>
    <row r="709" customFormat="false" ht="18" hidden="false" customHeight="true" outlineLevel="0" collapsed="false">
      <c r="A709" s="72" t="n">
        <v>3</v>
      </c>
      <c r="B709" s="114" t="s">
        <v>551</v>
      </c>
      <c r="C709" s="115" t="n">
        <f aca="false">IF(OR(FALSE(),Übungen!$L$17="pause"),"",IF(IFERROR(INDEX(Rekorde!$O$4:$O$23,MATCH(Übungen!$A$17,Rekorde!$A$4:$A$23,0)),"")="","",ROUND(IFERROR(INDEX(Rekorde!$O$4:$O$23,MATCH(Übungen!$A$17,Rekorde!$A$4:$A$23,0)),"")*1*2,0)/2))</f>
        <v>130</v>
      </c>
      <c r="D709" s="116" t="n">
        <f aca="false">IF(OR(FALSE(),Übungen!$L$17="pause"),"",IF(IFERROR(INDEX(Rekorde!$P$4:$P$23,MATCH(Übungen!$A$17,Rekorde!$A$4:$A$23,0)),"")="","",MIN(Übungen!$E$17,IFERROR(INDEX(Rekorde!$P$4:$P$23,MATCH(Übungen!$A$17,Rekorde!$A$4:$A$23,0)),"")+0)))</f>
        <v>5</v>
      </c>
      <c r="E709" s="113"/>
      <c r="F709" s="113"/>
      <c r="G709" s="113"/>
      <c r="H709" s="113"/>
      <c r="I709" s="113"/>
    </row>
    <row r="710" customFormat="false" ht="18" hidden="false" customHeight="true" outlineLevel="0" collapsed="false">
      <c r="A710" s="72" t="n">
        <v>4</v>
      </c>
      <c r="B710" s="114" t="s">
        <v>552</v>
      </c>
      <c r="C710" s="111" t="n">
        <f aca="false">IF(OR(FALSE(),Übungen!$L$17="pause"),"",IF(IFERROR(INDEX(Rekorde!$O$4:$O$23,MATCH(Übungen!$A$17,Rekorde!$A$4:$A$23,0)),"")="","",ROUND(IFERROR(INDEX(Rekorde!$O$4:$O$23,MATCH(Übungen!$A$17,Rekorde!$A$4:$A$23,0)),"")*0.95*2,0)/2))</f>
        <v>123.5</v>
      </c>
      <c r="D710" s="116" t="n">
        <f aca="false">IF(OR(FALSE(),Übungen!$L$17="pause"),"",IF(IFERROR(INDEX(Rekorde!$P$4:$P$23,MATCH(Übungen!$A$17,Rekorde!$A$4:$A$23,0)),"")="","",MIN(Übungen!$E$17,IFERROR(INDEX(Rekorde!$P$4:$P$23,MATCH(Übungen!$A$17,Rekorde!$A$4:$A$23,0)),"")+1)))</f>
        <v>6</v>
      </c>
      <c r="E710" s="113"/>
      <c r="F710" s="113"/>
      <c r="G710" s="113"/>
      <c r="H710" s="113"/>
      <c r="I710" s="113"/>
    </row>
    <row r="711" customFormat="false" ht="18" hidden="false" customHeight="true" outlineLevel="0" collapsed="false">
      <c r="A711" s="72" t="n">
        <v>5</v>
      </c>
      <c r="B711" s="114" t="s">
        <v>553</v>
      </c>
      <c r="C711" s="111" t="n">
        <f aca="false">IF(OR(FALSE(),Übungen!$L$17="pause"),"",IF(IFERROR(INDEX(Rekorde!$O$4:$O$23,MATCH(Übungen!$A$17,Rekorde!$A$4:$A$23,0)),"")="","",ROUND(IFERROR(INDEX(Rekorde!$O$4:$O$23,MATCH(Übungen!$A$17,Rekorde!$A$4:$A$23,0)),"")*0.9*2,0)/2))</f>
        <v>117</v>
      </c>
      <c r="D711" s="116" t="n">
        <f aca="false">IF(OR(FALSE(),Übungen!$L$17="pause"),"",IF(IFERROR(INDEX(Rekorde!$P$4:$P$23,MATCH(Übungen!$A$17,Rekorde!$A$4:$A$23,0)),"")="","",MIN(Übungen!$E$17,IFERROR(INDEX(Rekorde!$P$4:$P$23,MATCH(Übungen!$A$17,Rekorde!$A$4:$A$23,0)),"")+2)))</f>
        <v>6</v>
      </c>
      <c r="E711" s="113"/>
      <c r="F711" s="113"/>
      <c r="G711" s="113"/>
      <c r="H711" s="113"/>
      <c r="I711" s="113"/>
    </row>
    <row r="713" customFormat="false" ht="18.75" hidden="false" customHeight="true" outlineLevel="0" collapsed="false">
      <c r="A713" s="107" t="str">
        <f aca="false">Übungen!$A$18</f>
        <v>Hip Thrust Bülach</v>
      </c>
      <c r="B713" s="107"/>
      <c r="C713" s="107"/>
      <c r="D713" s="107"/>
      <c r="E713" s="107"/>
      <c r="F713" s="107"/>
      <c r="G713" s="107"/>
      <c r="H713" s="107"/>
      <c r="I713" s="107"/>
    </row>
    <row r="714" customFormat="false" ht="13.5" hidden="false" customHeight="true" outlineLevel="0" collapsed="false">
      <c r="A714" s="108" t="str">
        <f aca="false">IF(OR(FALSE(),Übungen!$L$18="pause"),IF(Übungen!$L$18="pause","PAUSE - vorübergehend ausgesetzt, Grund im Blatt 'Übungen'     ·     ",""),IF(IFERROR(INDEX(Rekorde!$L$4:$L$23,MATCH(Übungen!$A$18,Rekorde!$A$4:$A$23,0)),"")="",IF(IFERROR(INDEX(Rekorde!$O$4:$O$23,MATCH(Übungen!$A$18,Rekorde!$A$4:$A$23,0)),"")="","Neu im Plan - Startgewicht im Blatt 'Übungen' eintragen     ·     ","Neu im Plan     ·     Start: "&amp;TEXT(IFERROR(INDEX(Rekorde!$O$4:$O$23,MATCH(Übungen!$A$18,Rekorde!$A$4:$A$23,0)),""),"0.#")&amp;" kg     ·     "),"Zuletzt: "&amp;TEXT(IFERROR(INDEX(Rekorde!$L$4:$L$23,MATCH(Übungen!$A$18,Rekorde!$A$4:$A$23,0)),""),"0.#")&amp;" kg × "&amp;IF(IFERROR(INDEX(Rekorde!$M$4:$M$23,MATCH(Übungen!$A$18,Rekorde!$A$4:$A$23,0)),"")="","?",TEXT(IFERROR(INDEX(Rekorde!$M$4:$M$23,MATCH(Übungen!$A$18,Rekorde!$A$4:$A$23,0)),""),"0"))&amp;" Wdh     ·     Bestwert: "&amp;TEXT(IFERROR(INDEX(Rekorde!$F$4:$F$23,MATCH(Übungen!$A$18,Rekorde!$A$4:$A$23,0)),""),"0.#")&amp;" kg     ·     "&amp;IF(IFERROR(INDEX(Rekorde!$O$4:$O$23,MATCH(Übungen!$A$18,Rekorde!$A$4:$A$23,0)),"")="","","Ziel heute: "&amp;TEXT(IFERROR(INDEX(Rekorde!$O$4:$O$23,MATCH(Übungen!$A$18,Rekorde!$A$4:$A$23,0)),""),"0.#")&amp;" kg × "&amp;IF(IFERROR(INDEX(Rekorde!$P$4:$P$23,MATCH(Übungen!$A$18,Rekorde!$A$4:$A$23,0)),"")="","",TEXT(IFERROR(INDEX(Rekorde!$P$4:$P$23,MATCH(Übungen!$A$18,Rekorde!$A$4:$A$23,0)),""),"0")&amp;" Wdh")&amp;"     ·     ")&amp;IF(AND(Übungen!$I$18&lt;&gt;"",IFERROR(INDEX(Rekorde!$O$4:$O$23,MATCH(Übungen!$A$18,Rekorde!$A$4:$A$23,0)),"")&lt;&gt;"",IFERROR(INDEX(Rekorde!$O$4:$O$23,MATCH(Übungen!$A$18,Rekorde!$A$4:$A$23,0)),"")&gt;=Übungen!$I$18),"Stackende, über Tempo und Pausen steigern     ·     ","")))</f>
        <v>Zuletzt: 200 kg × 10 Wdh     ·     Bestwert: 200 kg     ·     Ziel heute: 220 kg × 5 Wdh     ·     </v>
      </c>
      <c r="B714" s="108"/>
      <c r="C714" s="108"/>
      <c r="D714" s="108"/>
      <c r="E714" s="108"/>
      <c r="F714" s="108"/>
      <c r="G714" s="108"/>
      <c r="H714" s="108"/>
      <c r="I714" s="108"/>
    </row>
    <row r="715" customFormat="false" ht="13.5" hidden="false" customHeight="true" outlineLevel="0" collapsed="false">
      <c r="A715" s="109" t="str">
        <f aca="false">"Vorgabe: "&amp;Übungen!$F$18&amp;" × "&amp;Übungen!$D$18&amp;"-"&amp;Übungen!$E$18&amp;" Wdh @ RPE "&amp;Übungen!$G$18&amp;IF(OR(Übungen!$M$18="",Übungen!$M$18&lt;=1),"","     ·     nach OP gesperrt bis Woche "&amp;Übungen!$M$18)&amp;IF(OR(FALSE(),Übungen!$L$18="pause"),"",IF(AND(Übungen!$K$18&lt;&gt;"",Übungen!$K$18&lt;&gt;100),"     ·     Wiedereinstieg: "&amp;TEXT(Übungen!$K$18,"0")&amp;" % des berechneten Ziels",IF(IFERROR(INDEX(Rekorde!$Q$4:$Q$23,MATCH(Übungen!$A$18,Rekorde!$A$4:$A$23,0)),"")="","","     ·     Schritt: "&amp;IFERROR(INDEX(Rekorde!$Q$4:$Q$23,MATCH(Übungen!$A$18,Rekorde!$A$4:$A$23,0)),""))))</f>
        <v>Vorgabe: 3 × 5-6 Wdh @ RPE 8-9     ·     nach OP gesperrt bis Woche 12     ·     Schritt: RM-Korrektur nach 10 Wdh: +20 kg (10.0%), Wdh zurück auf 5</v>
      </c>
      <c r="B715" s="109"/>
      <c r="C715" s="109"/>
      <c r="D715" s="109"/>
      <c r="E715" s="109"/>
      <c r="F715" s="109"/>
      <c r="G715" s="109"/>
      <c r="H715" s="109"/>
      <c r="I715" s="109"/>
    </row>
    <row r="716" customFormat="false" ht="18" hidden="false" customHeight="true" outlineLevel="0" collapsed="false">
      <c r="A716" s="110" t="s">
        <v>543</v>
      </c>
      <c r="B716" s="110" t="s">
        <v>544</v>
      </c>
      <c r="C716" s="110" t="s">
        <v>545</v>
      </c>
      <c r="D716" s="110" t="s">
        <v>546</v>
      </c>
      <c r="E716" s="110" t="s">
        <v>547</v>
      </c>
      <c r="F716" s="110" t="s">
        <v>454</v>
      </c>
      <c r="G716" s="110" t="s">
        <v>50</v>
      </c>
      <c r="H716" s="110" t="s">
        <v>548</v>
      </c>
      <c r="I716" s="110" t="s">
        <v>256</v>
      </c>
    </row>
    <row r="717" customFormat="false" ht="18" hidden="false" customHeight="true" outlineLevel="0" collapsed="false">
      <c r="A717" s="72" t="n">
        <v>1</v>
      </c>
      <c r="B717" s="70" t="s">
        <v>549</v>
      </c>
      <c r="C717" s="111" t="n">
        <f aca="false">IF(OR(FALSE(),Übungen!$L$18="pause"),"",IF(IFERROR(INDEX(Rekorde!$O$4:$O$23,MATCH(Übungen!$A$18,Rekorde!$A$4:$A$23,0)),"")="","",ROUND(IFERROR(INDEX(Rekorde!$O$4:$O$23,MATCH(Übungen!$A$18,Rekorde!$A$4:$A$23,0)),"")*0.4*2,0)/2))</f>
        <v>88</v>
      </c>
      <c r="D717" s="112"/>
      <c r="E717" s="113"/>
      <c r="F717" s="113"/>
      <c r="G717" s="113"/>
      <c r="H717" s="113"/>
      <c r="I717" s="113"/>
    </row>
    <row r="718" customFormat="false" ht="18" hidden="false" customHeight="true" outlineLevel="0" collapsed="false">
      <c r="A718" s="72" t="n">
        <v>2</v>
      </c>
      <c r="B718" s="70" t="s">
        <v>550</v>
      </c>
      <c r="C718" s="111" t="n">
        <f aca="false">IF(OR(FALSE(),Übungen!$L$18="pause"),"",IF(IFERROR(INDEX(Rekorde!$O$4:$O$23,MATCH(Übungen!$A$18,Rekorde!$A$4:$A$23,0)),"")="","",ROUND(IFERROR(INDEX(Rekorde!$O$4:$O$23,MATCH(Übungen!$A$18,Rekorde!$A$4:$A$23,0)),"")*0.7*2,0)/2))</f>
        <v>154</v>
      </c>
      <c r="D718" s="112"/>
      <c r="E718" s="113"/>
      <c r="F718" s="113"/>
      <c r="G718" s="113"/>
      <c r="H718" s="113"/>
      <c r="I718" s="113"/>
    </row>
    <row r="719" customFormat="false" ht="18" hidden="false" customHeight="true" outlineLevel="0" collapsed="false">
      <c r="A719" s="72" t="n">
        <v>3</v>
      </c>
      <c r="B719" s="114" t="s">
        <v>551</v>
      </c>
      <c r="C719" s="115" t="n">
        <f aca="false">IF(OR(FALSE(),Übungen!$L$18="pause"),"",IF(IFERROR(INDEX(Rekorde!$O$4:$O$23,MATCH(Übungen!$A$18,Rekorde!$A$4:$A$23,0)),"")="","",ROUND(IFERROR(INDEX(Rekorde!$O$4:$O$23,MATCH(Übungen!$A$18,Rekorde!$A$4:$A$23,0)),"")*1*2,0)/2))</f>
        <v>220</v>
      </c>
      <c r="D719" s="116" t="n">
        <f aca="false">IF(OR(FALSE(),Übungen!$L$18="pause"),"",IF(IFERROR(INDEX(Rekorde!$P$4:$P$23,MATCH(Übungen!$A$18,Rekorde!$A$4:$A$23,0)),"")="","",MIN(Übungen!$E$18,IFERROR(INDEX(Rekorde!$P$4:$P$23,MATCH(Übungen!$A$18,Rekorde!$A$4:$A$23,0)),"")+0)))</f>
        <v>5</v>
      </c>
      <c r="E719" s="113"/>
      <c r="F719" s="113"/>
      <c r="G719" s="113"/>
      <c r="H719" s="113"/>
      <c r="I719" s="113"/>
    </row>
    <row r="720" customFormat="false" ht="18" hidden="false" customHeight="true" outlineLevel="0" collapsed="false">
      <c r="A720" s="72" t="n">
        <v>4</v>
      </c>
      <c r="B720" s="114" t="s">
        <v>552</v>
      </c>
      <c r="C720" s="111" t="n">
        <f aca="false">IF(OR(FALSE(),Übungen!$L$18="pause"),"",IF(IFERROR(INDEX(Rekorde!$O$4:$O$23,MATCH(Übungen!$A$18,Rekorde!$A$4:$A$23,0)),"")="","",ROUND(IFERROR(INDEX(Rekorde!$O$4:$O$23,MATCH(Übungen!$A$18,Rekorde!$A$4:$A$23,0)),"")*0.95*2,0)/2))</f>
        <v>209</v>
      </c>
      <c r="D720" s="116" t="n">
        <f aca="false">IF(OR(FALSE(),Übungen!$L$18="pause"),"",IF(IFERROR(INDEX(Rekorde!$P$4:$P$23,MATCH(Übungen!$A$18,Rekorde!$A$4:$A$23,0)),"")="","",MIN(Übungen!$E$18,IFERROR(INDEX(Rekorde!$P$4:$P$23,MATCH(Übungen!$A$18,Rekorde!$A$4:$A$23,0)),"")+1)))</f>
        <v>6</v>
      </c>
      <c r="E720" s="113"/>
      <c r="F720" s="113"/>
      <c r="G720" s="113"/>
      <c r="H720" s="113"/>
      <c r="I720" s="113"/>
    </row>
    <row r="721" customFormat="false" ht="18" hidden="false" customHeight="true" outlineLevel="0" collapsed="false">
      <c r="A721" s="72" t="n">
        <v>5</v>
      </c>
      <c r="B721" s="114" t="s">
        <v>553</v>
      </c>
      <c r="C721" s="111" t="n">
        <f aca="false">IF(OR(FALSE(),Übungen!$L$18="pause"),"",IF(IFERROR(INDEX(Rekorde!$O$4:$O$23,MATCH(Übungen!$A$18,Rekorde!$A$4:$A$23,0)),"")="","",ROUND(IFERROR(INDEX(Rekorde!$O$4:$O$23,MATCH(Übungen!$A$18,Rekorde!$A$4:$A$23,0)),"")*0.9*2,0)/2))</f>
        <v>198</v>
      </c>
      <c r="D721" s="116" t="n">
        <f aca="false">IF(OR(FALSE(),Übungen!$L$18="pause"),"",IF(IFERROR(INDEX(Rekorde!$P$4:$P$23,MATCH(Übungen!$A$18,Rekorde!$A$4:$A$23,0)),"")="","",MIN(Übungen!$E$18,IFERROR(INDEX(Rekorde!$P$4:$P$23,MATCH(Übungen!$A$18,Rekorde!$A$4:$A$23,0)),"")+2)))</f>
        <v>6</v>
      </c>
      <c r="E721" s="113"/>
      <c r="F721" s="113"/>
      <c r="G721" s="113"/>
      <c r="H721" s="113"/>
      <c r="I721" s="113"/>
    </row>
    <row r="723" customFormat="false" ht="18.75" hidden="false" customHeight="true" outlineLevel="0" collapsed="false">
      <c r="A723" s="107" t="str">
        <f aca="false">Übungen!$A$19</f>
        <v>Beinbeuger Bülach</v>
      </c>
      <c r="B723" s="107"/>
      <c r="C723" s="107"/>
      <c r="D723" s="107"/>
      <c r="E723" s="107"/>
      <c r="F723" s="107"/>
      <c r="G723" s="107"/>
      <c r="H723" s="107"/>
      <c r="I723" s="107"/>
    </row>
    <row r="724" customFormat="false" ht="13.5" hidden="false" customHeight="true" outlineLevel="0" collapsed="false">
      <c r="A724" s="108" t="str">
        <f aca="false">IF(OR(FALSE(),Übungen!$L$19="pause"),IF(Übungen!$L$19="pause","PAUSE - vorübergehend ausgesetzt, Grund im Blatt 'Übungen'     ·     ",""),IF(IFERROR(INDEX(Rekorde!$L$4:$L$23,MATCH(Übungen!$A$19,Rekorde!$A$4:$A$23,0)),"")="",IF(IFERROR(INDEX(Rekorde!$O$4:$O$23,MATCH(Übungen!$A$19,Rekorde!$A$4:$A$23,0)),"")="","Neu im Plan - Startgewicht im Blatt 'Übungen' eintragen     ·     ","Neu im Plan     ·     Start: "&amp;TEXT(IFERROR(INDEX(Rekorde!$O$4:$O$23,MATCH(Übungen!$A$19,Rekorde!$A$4:$A$23,0)),""),"0.#")&amp;" kg     ·     "),"Zuletzt: "&amp;TEXT(IFERROR(INDEX(Rekorde!$L$4:$L$23,MATCH(Übungen!$A$19,Rekorde!$A$4:$A$23,0)),""),"0.#")&amp;" kg × "&amp;IF(IFERROR(INDEX(Rekorde!$M$4:$M$23,MATCH(Übungen!$A$19,Rekorde!$A$4:$A$23,0)),"")="","?",TEXT(IFERROR(INDEX(Rekorde!$M$4:$M$23,MATCH(Übungen!$A$19,Rekorde!$A$4:$A$23,0)),""),"0"))&amp;" Wdh     ·     Bestwert: "&amp;TEXT(IFERROR(INDEX(Rekorde!$F$4:$F$23,MATCH(Übungen!$A$19,Rekorde!$A$4:$A$23,0)),""),"0.#")&amp;" kg     ·     "&amp;IF(IFERROR(INDEX(Rekorde!$O$4:$O$23,MATCH(Übungen!$A$19,Rekorde!$A$4:$A$23,0)),"")="","","Ziel heute: "&amp;TEXT(IFERROR(INDEX(Rekorde!$O$4:$O$23,MATCH(Übungen!$A$19,Rekorde!$A$4:$A$23,0)),""),"0.#")&amp;" kg × "&amp;IF(IFERROR(INDEX(Rekorde!$P$4:$P$23,MATCH(Übungen!$A$19,Rekorde!$A$4:$A$23,0)),"")="","",TEXT(IFERROR(INDEX(Rekorde!$P$4:$P$23,MATCH(Übungen!$A$19,Rekorde!$A$4:$A$23,0)),""),"0")&amp;" Wdh")&amp;"     ·     ")&amp;IF(AND(Übungen!$I$19&lt;&gt;"",IFERROR(INDEX(Rekorde!$O$4:$O$23,MATCH(Übungen!$A$19,Rekorde!$A$4:$A$23,0)),"")&lt;&gt;"",IFERROR(INDEX(Rekorde!$O$4:$O$23,MATCH(Übungen!$A$19,Rekorde!$A$4:$A$23,0)),"")&gt;=Übungen!$I$19),"Stackende, über Tempo und Pausen steigern     ·     ","")))</f>
        <v>Zuletzt: 59 kg × 6 Wdh     ·     Bestwert: 59 kg     ·     Ziel heute: 63 kg × 5 Wdh     ·     </v>
      </c>
      <c r="B724" s="108"/>
      <c r="C724" s="108"/>
      <c r="D724" s="108"/>
      <c r="E724" s="108"/>
      <c r="F724" s="108"/>
      <c r="G724" s="108"/>
      <c r="H724" s="108"/>
      <c r="I724" s="108"/>
    </row>
    <row r="725" customFormat="false" ht="13.5" hidden="false" customHeight="true" outlineLevel="0" collapsed="false">
      <c r="A725" s="109" t="str">
        <f aca="false">"Vorgabe: "&amp;Übungen!$F$19&amp;" × "&amp;Übungen!$D$19&amp;"-"&amp;Übungen!$E$19&amp;" Wdh @ RPE "&amp;Übungen!$G$19&amp;IF(OR(Übungen!$M$19="",Übungen!$M$19&lt;=1),"","     ·     nach OP gesperrt bis Woche "&amp;Übungen!$M$19)&amp;IF(OR(FALSE(),Übungen!$L$19="pause"),"",IF(AND(Übungen!$K$19&lt;&gt;"",Übungen!$K$19&lt;&gt;100),"     ·     Wiedereinstieg: "&amp;TEXT(Übungen!$K$19,"0")&amp;" % des berechneten Ziels",IF(IFERROR(INDEX(Rekorde!$Q$4:$Q$23,MATCH(Übungen!$A$19,Rekorde!$A$4:$A$23,0)),"")="","","     ·     Schritt: "&amp;IFERROR(INDEX(Rekorde!$Q$4:$Q$23,MATCH(Übungen!$A$19,Rekorde!$A$4:$A$23,0)),""))))</f>
        <v>Vorgabe: 3 × 5-6 Wdh @ RPE 9     ·     nach OP gesperrt bis Woche 2     ·     Schritt: Gewicht +4 kg (6.8%), Wdh zurück auf 5</v>
      </c>
      <c r="B725" s="109"/>
      <c r="C725" s="109"/>
      <c r="D725" s="109"/>
      <c r="E725" s="109"/>
      <c r="F725" s="109"/>
      <c r="G725" s="109"/>
      <c r="H725" s="109"/>
      <c r="I725" s="109"/>
    </row>
    <row r="726" customFormat="false" ht="18" hidden="false" customHeight="true" outlineLevel="0" collapsed="false">
      <c r="A726" s="110" t="s">
        <v>543</v>
      </c>
      <c r="B726" s="110" t="s">
        <v>544</v>
      </c>
      <c r="C726" s="110" t="s">
        <v>545</v>
      </c>
      <c r="D726" s="110" t="s">
        <v>546</v>
      </c>
      <c r="E726" s="110" t="s">
        <v>547</v>
      </c>
      <c r="F726" s="110" t="s">
        <v>454</v>
      </c>
      <c r="G726" s="110" t="s">
        <v>50</v>
      </c>
      <c r="H726" s="110" t="s">
        <v>548</v>
      </c>
      <c r="I726" s="110" t="s">
        <v>256</v>
      </c>
    </row>
    <row r="727" customFormat="false" ht="18" hidden="false" customHeight="true" outlineLevel="0" collapsed="false">
      <c r="A727" s="72" t="n">
        <v>1</v>
      </c>
      <c r="B727" s="70" t="s">
        <v>549</v>
      </c>
      <c r="C727" s="111" t="n">
        <f aca="false">IF(OR(FALSE(),Übungen!$L$19="pause"),"",IF(IFERROR(INDEX(Rekorde!$O$4:$O$23,MATCH(Übungen!$A$19,Rekorde!$A$4:$A$23,0)),"")="","",ROUND(IFERROR(INDEX(Rekorde!$O$4:$O$23,MATCH(Übungen!$A$19,Rekorde!$A$4:$A$23,0)),"")*0.4*2,0)/2))</f>
        <v>25</v>
      </c>
      <c r="D727" s="112"/>
      <c r="E727" s="113"/>
      <c r="F727" s="113"/>
      <c r="G727" s="113"/>
      <c r="H727" s="113"/>
      <c r="I727" s="113"/>
    </row>
    <row r="728" customFormat="false" ht="18" hidden="false" customHeight="true" outlineLevel="0" collapsed="false">
      <c r="A728" s="72" t="n">
        <v>2</v>
      </c>
      <c r="B728" s="70" t="s">
        <v>550</v>
      </c>
      <c r="C728" s="111" t="n">
        <f aca="false">IF(OR(FALSE(),Übungen!$L$19="pause"),"",IF(IFERROR(INDEX(Rekorde!$O$4:$O$23,MATCH(Übungen!$A$19,Rekorde!$A$4:$A$23,0)),"")="","",ROUND(IFERROR(INDEX(Rekorde!$O$4:$O$23,MATCH(Übungen!$A$19,Rekorde!$A$4:$A$23,0)),"")*0.7*2,0)/2))</f>
        <v>44</v>
      </c>
      <c r="D728" s="112"/>
      <c r="E728" s="113"/>
      <c r="F728" s="113"/>
      <c r="G728" s="113"/>
      <c r="H728" s="113"/>
      <c r="I728" s="113"/>
    </row>
    <row r="729" customFormat="false" ht="18" hidden="false" customHeight="true" outlineLevel="0" collapsed="false">
      <c r="A729" s="72" t="n">
        <v>3</v>
      </c>
      <c r="B729" s="114" t="s">
        <v>551</v>
      </c>
      <c r="C729" s="115" t="n">
        <f aca="false">IF(OR(FALSE(),Übungen!$L$19="pause"),"",IF(IFERROR(INDEX(Rekorde!$O$4:$O$23,MATCH(Übungen!$A$19,Rekorde!$A$4:$A$23,0)),"")="","",ROUND(IFERROR(INDEX(Rekorde!$O$4:$O$23,MATCH(Übungen!$A$19,Rekorde!$A$4:$A$23,0)),"")*1*2,0)/2))</f>
        <v>63</v>
      </c>
      <c r="D729" s="116" t="n">
        <f aca="false">IF(OR(FALSE(),Übungen!$L$19="pause"),"",IF(IFERROR(INDEX(Rekorde!$P$4:$P$23,MATCH(Übungen!$A$19,Rekorde!$A$4:$A$23,0)),"")="","",MIN(Übungen!$E$19,IFERROR(INDEX(Rekorde!$P$4:$P$23,MATCH(Übungen!$A$19,Rekorde!$A$4:$A$23,0)),"")+0)))</f>
        <v>5</v>
      </c>
      <c r="E729" s="113"/>
      <c r="F729" s="113"/>
      <c r="G729" s="113"/>
      <c r="H729" s="113"/>
      <c r="I729" s="113"/>
    </row>
    <row r="730" customFormat="false" ht="18" hidden="false" customHeight="true" outlineLevel="0" collapsed="false">
      <c r="A730" s="72" t="n">
        <v>4</v>
      </c>
      <c r="B730" s="114" t="s">
        <v>552</v>
      </c>
      <c r="C730" s="111" t="n">
        <f aca="false">IF(OR(FALSE(),Übungen!$L$19="pause"),"",IF(IFERROR(INDEX(Rekorde!$O$4:$O$23,MATCH(Übungen!$A$19,Rekorde!$A$4:$A$23,0)),"")="","",ROUND(IFERROR(INDEX(Rekorde!$O$4:$O$23,MATCH(Übungen!$A$19,Rekorde!$A$4:$A$23,0)),"")*0.95*2,0)/2))</f>
        <v>60</v>
      </c>
      <c r="D730" s="116" t="n">
        <f aca="false">IF(OR(FALSE(),Übungen!$L$19="pause"),"",IF(IFERROR(INDEX(Rekorde!$P$4:$P$23,MATCH(Übungen!$A$19,Rekorde!$A$4:$A$23,0)),"")="","",MIN(Übungen!$E$19,IFERROR(INDEX(Rekorde!$P$4:$P$23,MATCH(Übungen!$A$19,Rekorde!$A$4:$A$23,0)),"")+1)))</f>
        <v>6</v>
      </c>
      <c r="E730" s="113"/>
      <c r="F730" s="113"/>
      <c r="G730" s="113"/>
      <c r="H730" s="113"/>
      <c r="I730" s="113"/>
    </row>
    <row r="731" customFormat="false" ht="18" hidden="false" customHeight="true" outlineLevel="0" collapsed="false">
      <c r="A731" s="72" t="n">
        <v>5</v>
      </c>
      <c r="B731" s="114" t="s">
        <v>553</v>
      </c>
      <c r="C731" s="111" t="n">
        <f aca="false">IF(OR(FALSE(),Übungen!$L$19="pause"),"",IF(IFERROR(INDEX(Rekorde!$O$4:$O$23,MATCH(Übungen!$A$19,Rekorde!$A$4:$A$23,0)),"")="","",ROUND(IFERROR(INDEX(Rekorde!$O$4:$O$23,MATCH(Übungen!$A$19,Rekorde!$A$4:$A$23,0)),"")*0.9*2,0)/2))</f>
        <v>56.5</v>
      </c>
      <c r="D731" s="116" t="n">
        <f aca="false">IF(OR(FALSE(),Übungen!$L$19="pause"),"",IF(IFERROR(INDEX(Rekorde!$P$4:$P$23,MATCH(Übungen!$A$19,Rekorde!$A$4:$A$23,0)),"")="","",MIN(Übungen!$E$19,IFERROR(INDEX(Rekorde!$P$4:$P$23,MATCH(Übungen!$A$19,Rekorde!$A$4:$A$23,0)),"")+2)))</f>
        <v>6</v>
      </c>
      <c r="E731" s="113"/>
      <c r="F731" s="113"/>
      <c r="G731" s="113"/>
      <c r="H731" s="113"/>
      <c r="I731" s="113"/>
    </row>
    <row r="733" customFormat="false" ht="15.75" hidden="false" customHeight="true" outlineLevel="0" collapsed="false">
      <c r="A733" s="3" t="s">
        <v>554</v>
      </c>
      <c r="B733" s="3"/>
      <c r="C733" s="3"/>
      <c r="D733" s="3"/>
      <c r="E733" s="3"/>
      <c r="F733" s="3"/>
      <c r="G733" s="3"/>
      <c r="H733" s="3"/>
      <c r="I733" s="3"/>
    </row>
    <row r="734" customFormat="false" ht="18" hidden="false" customHeight="true" outlineLevel="0" collapsed="false">
      <c r="A734" s="117"/>
      <c r="B734" s="117"/>
      <c r="C734" s="117"/>
      <c r="D734" s="117"/>
      <c r="E734" s="117"/>
      <c r="F734" s="117"/>
      <c r="G734" s="117"/>
      <c r="H734" s="117"/>
      <c r="I734" s="117"/>
    </row>
    <row r="735" customFormat="false" ht="18" hidden="false" customHeight="true" outlineLevel="0" collapsed="false">
      <c r="A735" s="117"/>
      <c r="B735" s="117"/>
      <c r="C735" s="117"/>
      <c r="D735" s="117"/>
      <c r="E735" s="117"/>
      <c r="F735" s="117"/>
      <c r="G735" s="117"/>
      <c r="H735" s="117"/>
      <c r="I735" s="117"/>
    </row>
  </sheetData>
  <mergeCells count="312">
    <mergeCell ref="A1:I1"/>
    <mergeCell ref="A2:B2"/>
    <mergeCell ref="E2:F2"/>
    <mergeCell ref="G2:H2"/>
    <mergeCell ref="A3:B3"/>
    <mergeCell ref="E3:F3"/>
    <mergeCell ref="G3:H3"/>
    <mergeCell ref="A5:I5"/>
    <mergeCell ref="A6:I6"/>
    <mergeCell ref="A7:I7"/>
    <mergeCell ref="A15:I15"/>
    <mergeCell ref="A16:I16"/>
    <mergeCell ref="A17:I17"/>
    <mergeCell ref="A25:I25"/>
    <mergeCell ref="A26:I26"/>
    <mergeCell ref="A27:I27"/>
    <mergeCell ref="A35:I35"/>
    <mergeCell ref="A36:I36"/>
    <mergeCell ref="A37:I37"/>
    <mergeCell ref="A45:I45"/>
    <mergeCell ref="A46:I46"/>
    <mergeCell ref="A47:I47"/>
    <mergeCell ref="A49:I49"/>
    <mergeCell ref="A50:B50"/>
    <mergeCell ref="E50:F50"/>
    <mergeCell ref="G50:H50"/>
    <mergeCell ref="A51:B51"/>
    <mergeCell ref="E51:F51"/>
    <mergeCell ref="G51:H51"/>
    <mergeCell ref="A53:I53"/>
    <mergeCell ref="A54:I54"/>
    <mergeCell ref="A55:I55"/>
    <mergeCell ref="A63:I63"/>
    <mergeCell ref="A64:I64"/>
    <mergeCell ref="A65:I65"/>
    <mergeCell ref="A73:I73"/>
    <mergeCell ref="A74:I74"/>
    <mergeCell ref="A75:I75"/>
    <mergeCell ref="A83:I83"/>
    <mergeCell ref="A84:I84"/>
    <mergeCell ref="A85:I85"/>
    <mergeCell ref="A93:I93"/>
    <mergeCell ref="A94:I94"/>
    <mergeCell ref="A95:I95"/>
    <mergeCell ref="A103:I103"/>
    <mergeCell ref="A104:I104"/>
    <mergeCell ref="A105:I105"/>
    <mergeCell ref="A113:I113"/>
    <mergeCell ref="A114:I114"/>
    <mergeCell ref="A115:I115"/>
    <mergeCell ref="A123:I123"/>
    <mergeCell ref="A124:I124"/>
    <mergeCell ref="A125:I125"/>
    <mergeCell ref="A133:I133"/>
    <mergeCell ref="A134:I134"/>
    <mergeCell ref="A135:I135"/>
    <mergeCell ref="A143:I143"/>
    <mergeCell ref="A144:I144"/>
    <mergeCell ref="A145:I145"/>
    <mergeCell ref="A147:I147"/>
    <mergeCell ref="A148:B148"/>
    <mergeCell ref="E148:F148"/>
    <mergeCell ref="G148:H148"/>
    <mergeCell ref="A149:B149"/>
    <mergeCell ref="E149:F149"/>
    <mergeCell ref="G149:H149"/>
    <mergeCell ref="A151:I151"/>
    <mergeCell ref="A152:I152"/>
    <mergeCell ref="A153:I153"/>
    <mergeCell ref="A161:I161"/>
    <mergeCell ref="A162:I162"/>
    <mergeCell ref="A163:I163"/>
    <mergeCell ref="A171:I171"/>
    <mergeCell ref="A172:I172"/>
    <mergeCell ref="A173:I173"/>
    <mergeCell ref="A181:I181"/>
    <mergeCell ref="A182:I182"/>
    <mergeCell ref="A183:I183"/>
    <mergeCell ref="A185:I185"/>
    <mergeCell ref="A186:B186"/>
    <mergeCell ref="E186:F186"/>
    <mergeCell ref="G186:H186"/>
    <mergeCell ref="A187:B187"/>
    <mergeCell ref="E187:F187"/>
    <mergeCell ref="G187:H187"/>
    <mergeCell ref="A189:I189"/>
    <mergeCell ref="A190:I190"/>
    <mergeCell ref="A191:I191"/>
    <mergeCell ref="A199:I199"/>
    <mergeCell ref="A200:I200"/>
    <mergeCell ref="A201:I201"/>
    <mergeCell ref="A209:I209"/>
    <mergeCell ref="A210:I210"/>
    <mergeCell ref="A211:I211"/>
    <mergeCell ref="A219:I219"/>
    <mergeCell ref="A220:I220"/>
    <mergeCell ref="A221:I221"/>
    <mergeCell ref="A229:I229"/>
    <mergeCell ref="A230:I230"/>
    <mergeCell ref="A231:I231"/>
    <mergeCell ref="A233:I233"/>
    <mergeCell ref="A234:B234"/>
    <mergeCell ref="E234:F234"/>
    <mergeCell ref="G234:H234"/>
    <mergeCell ref="A235:B235"/>
    <mergeCell ref="E235:F235"/>
    <mergeCell ref="G235:H235"/>
    <mergeCell ref="A237:I237"/>
    <mergeCell ref="A238:I238"/>
    <mergeCell ref="A239:I239"/>
    <mergeCell ref="A247:I247"/>
    <mergeCell ref="A248:I248"/>
    <mergeCell ref="A249:I249"/>
    <mergeCell ref="A257:I257"/>
    <mergeCell ref="A258:I258"/>
    <mergeCell ref="A259:I259"/>
    <mergeCell ref="A267:I267"/>
    <mergeCell ref="A268:I268"/>
    <mergeCell ref="A269:I269"/>
    <mergeCell ref="A277:I277"/>
    <mergeCell ref="A278:I278"/>
    <mergeCell ref="A279:I279"/>
    <mergeCell ref="A287:I287"/>
    <mergeCell ref="A288:I288"/>
    <mergeCell ref="A289:I289"/>
    <mergeCell ref="A297:I297"/>
    <mergeCell ref="A298:I298"/>
    <mergeCell ref="A299:I299"/>
    <mergeCell ref="A307:I307"/>
    <mergeCell ref="A308:I308"/>
    <mergeCell ref="A309:I309"/>
    <mergeCell ref="A317:I317"/>
    <mergeCell ref="A318:I318"/>
    <mergeCell ref="A319:I319"/>
    <mergeCell ref="A327:I327"/>
    <mergeCell ref="A328:I328"/>
    <mergeCell ref="A329:I329"/>
    <mergeCell ref="A331:I331"/>
    <mergeCell ref="A332:B332"/>
    <mergeCell ref="E332:F332"/>
    <mergeCell ref="G332:H332"/>
    <mergeCell ref="A333:B333"/>
    <mergeCell ref="E333:F333"/>
    <mergeCell ref="G333:H333"/>
    <mergeCell ref="A335:I335"/>
    <mergeCell ref="A336:I336"/>
    <mergeCell ref="A337:I337"/>
    <mergeCell ref="A345:I345"/>
    <mergeCell ref="A346:I346"/>
    <mergeCell ref="A347:I347"/>
    <mergeCell ref="A355:I355"/>
    <mergeCell ref="A356:I356"/>
    <mergeCell ref="A357:I357"/>
    <mergeCell ref="A365:I365"/>
    <mergeCell ref="A366:I366"/>
    <mergeCell ref="A367:I367"/>
    <mergeCell ref="A369:I369"/>
    <mergeCell ref="A370:B370"/>
    <mergeCell ref="E370:F370"/>
    <mergeCell ref="G370:H370"/>
    <mergeCell ref="A371:B371"/>
    <mergeCell ref="E371:F371"/>
    <mergeCell ref="G371:H371"/>
    <mergeCell ref="A373:I373"/>
    <mergeCell ref="A374:I374"/>
    <mergeCell ref="A375:I375"/>
    <mergeCell ref="A383:I383"/>
    <mergeCell ref="A384:I384"/>
    <mergeCell ref="A385:I385"/>
    <mergeCell ref="A393:I393"/>
    <mergeCell ref="A394:I394"/>
    <mergeCell ref="A395:I395"/>
    <mergeCell ref="A403:I403"/>
    <mergeCell ref="A404:I404"/>
    <mergeCell ref="A405:I405"/>
    <mergeCell ref="A413:I413"/>
    <mergeCell ref="A414:I414"/>
    <mergeCell ref="A415:I415"/>
    <mergeCell ref="A417:I417"/>
    <mergeCell ref="A418:B418"/>
    <mergeCell ref="E418:F418"/>
    <mergeCell ref="G418:H418"/>
    <mergeCell ref="A419:B419"/>
    <mergeCell ref="E419:F419"/>
    <mergeCell ref="G419:H419"/>
    <mergeCell ref="A421:I421"/>
    <mergeCell ref="A422:I422"/>
    <mergeCell ref="A423:I423"/>
    <mergeCell ref="A431:I431"/>
    <mergeCell ref="A432:I432"/>
    <mergeCell ref="A433:I433"/>
    <mergeCell ref="A441:I441"/>
    <mergeCell ref="A442:I442"/>
    <mergeCell ref="A443:I443"/>
    <mergeCell ref="A451:I451"/>
    <mergeCell ref="A452:I452"/>
    <mergeCell ref="A453:I453"/>
    <mergeCell ref="A461:I461"/>
    <mergeCell ref="A462:I462"/>
    <mergeCell ref="A463:I463"/>
    <mergeCell ref="A471:I471"/>
    <mergeCell ref="A472:I472"/>
    <mergeCell ref="A473:I473"/>
    <mergeCell ref="A481:I481"/>
    <mergeCell ref="A482:I482"/>
    <mergeCell ref="A483:I483"/>
    <mergeCell ref="A491:I491"/>
    <mergeCell ref="A492:I492"/>
    <mergeCell ref="A493:I493"/>
    <mergeCell ref="A501:I501"/>
    <mergeCell ref="A502:I502"/>
    <mergeCell ref="A503:I503"/>
    <mergeCell ref="A511:I511"/>
    <mergeCell ref="A512:I512"/>
    <mergeCell ref="A513:I513"/>
    <mergeCell ref="A515:I515"/>
    <mergeCell ref="A516:B516"/>
    <mergeCell ref="E516:F516"/>
    <mergeCell ref="G516:H516"/>
    <mergeCell ref="A517:B517"/>
    <mergeCell ref="E517:F517"/>
    <mergeCell ref="G517:H517"/>
    <mergeCell ref="A519:I519"/>
    <mergeCell ref="A520:I520"/>
    <mergeCell ref="A521:I521"/>
    <mergeCell ref="A529:I529"/>
    <mergeCell ref="A530:I530"/>
    <mergeCell ref="A531:I531"/>
    <mergeCell ref="A539:I539"/>
    <mergeCell ref="A540:I540"/>
    <mergeCell ref="A541:I541"/>
    <mergeCell ref="A549:I549"/>
    <mergeCell ref="A550:I550"/>
    <mergeCell ref="A551:I551"/>
    <mergeCell ref="A553:I553"/>
    <mergeCell ref="A554:B554"/>
    <mergeCell ref="E554:F554"/>
    <mergeCell ref="G554:H554"/>
    <mergeCell ref="A555:B555"/>
    <mergeCell ref="E555:F555"/>
    <mergeCell ref="G555:H555"/>
    <mergeCell ref="A557:I557"/>
    <mergeCell ref="A558:I558"/>
    <mergeCell ref="A559:I559"/>
    <mergeCell ref="A567:I567"/>
    <mergeCell ref="A568:I568"/>
    <mergeCell ref="A569:I569"/>
    <mergeCell ref="A577:I577"/>
    <mergeCell ref="A578:I578"/>
    <mergeCell ref="A579:I579"/>
    <mergeCell ref="A587:I587"/>
    <mergeCell ref="A588:I588"/>
    <mergeCell ref="A589:I589"/>
    <mergeCell ref="A597:I597"/>
    <mergeCell ref="A598:I598"/>
    <mergeCell ref="A599:I599"/>
    <mergeCell ref="A601:I601"/>
    <mergeCell ref="A602:B602"/>
    <mergeCell ref="E602:F602"/>
    <mergeCell ref="G602:H602"/>
    <mergeCell ref="A603:B603"/>
    <mergeCell ref="E603:F603"/>
    <mergeCell ref="G603:H603"/>
    <mergeCell ref="A605:I605"/>
    <mergeCell ref="A606:I606"/>
    <mergeCell ref="A607:I607"/>
    <mergeCell ref="A615:I615"/>
    <mergeCell ref="A616:I616"/>
    <mergeCell ref="A617:I617"/>
    <mergeCell ref="A625:I625"/>
    <mergeCell ref="A626:I626"/>
    <mergeCell ref="A627:I627"/>
    <mergeCell ref="A635:I635"/>
    <mergeCell ref="A636:I636"/>
    <mergeCell ref="A637:I637"/>
    <mergeCell ref="A645:I645"/>
    <mergeCell ref="A646:I646"/>
    <mergeCell ref="A647:I647"/>
    <mergeCell ref="A655:I655"/>
    <mergeCell ref="A656:I656"/>
    <mergeCell ref="A657:I657"/>
    <mergeCell ref="A665:I665"/>
    <mergeCell ref="A666:I666"/>
    <mergeCell ref="A667:I667"/>
    <mergeCell ref="A675:I675"/>
    <mergeCell ref="A676:I676"/>
    <mergeCell ref="A677:I677"/>
    <mergeCell ref="A685:I685"/>
    <mergeCell ref="A686:I686"/>
    <mergeCell ref="A687:I687"/>
    <mergeCell ref="A695:I695"/>
    <mergeCell ref="A696:I696"/>
    <mergeCell ref="A697:I697"/>
    <mergeCell ref="A699:I699"/>
    <mergeCell ref="A700:B700"/>
    <mergeCell ref="E700:F700"/>
    <mergeCell ref="G700:H700"/>
    <mergeCell ref="A701:B701"/>
    <mergeCell ref="E701:F701"/>
    <mergeCell ref="G701:H701"/>
    <mergeCell ref="A703:I703"/>
    <mergeCell ref="A704:I704"/>
    <mergeCell ref="A705:I705"/>
    <mergeCell ref="A713:I713"/>
    <mergeCell ref="A714:I714"/>
    <mergeCell ref="A715:I715"/>
    <mergeCell ref="A723:I723"/>
    <mergeCell ref="A724:I724"/>
    <mergeCell ref="A725:I725"/>
    <mergeCell ref="A733:I733"/>
    <mergeCell ref="A734:I734"/>
    <mergeCell ref="A735:I735"/>
  </mergeCells>
  <conditionalFormatting sqref="A1:I735">
    <cfRule type="expression" priority="2" aboveAverage="0" equalAverage="0" bottom="0" percent="0" rank="0" text="" dxfId="16">
      <formula>LEFT($A1,8)="GESPERRT"</formula>
    </cfRule>
  </conditionalFormatting>
  <printOptions headings="false" gridLines="false" gridLinesSet="true" horizontalCentered="true" verticalCentered="false"/>
  <pageMargins left="0.45" right="0.35" top="0.45" bottom="0.45" header="0.3" footer="0.3"/>
  <pageSetup paperSize="9" scale="100" fitToWidth="1" fitToHeight="0" pageOrder="downThenOver" orientation="portrait" blackAndWhite="false" draft="false" cellComments="none" horizontalDpi="300" verticalDpi="300" copies="1"/>
  <headerFooter differentFirst="false" differentOddEven="false">
    <oddHeader>&amp;L&amp;8 &amp;K808080Gym Logbuch  |  Beintraining&amp;R&amp;8 &amp;K808080Trainingsblatt</oddHeader>
    <oddFooter>&amp;L&amp;8 &amp;K808080Warmup 1 = 40 %, Warmup 2 = 70 %  ·  Arbeitssatz 1 = 100 % (Top-Satz), 2 = 95 %, 3 = 90 %  ·  alle Arbeitssätze 5-6 Wdh&amp;R&amp;8 &amp;K808080Seite &amp;P von &amp;N</oddFooter>
  </headerFooter>
  <rowBreaks count="11" manualBreakCount="11">
    <brk id="47" man="true" max="16383" min="0"/>
    <brk id="145" man="true" max="16383" min="0"/>
    <brk id="183" man="true" max="16383" min="0"/>
    <brk id="231" man="true" max="16383" min="0"/>
    <brk id="329" man="true" max="16383" min="0"/>
    <brk id="367" man="true" max="16383" min="0"/>
    <brk id="415" man="true" max="16383" min="0"/>
    <brk id="513" man="true" max="16383" min="0"/>
    <brk id="551" man="true" max="16383" min="0"/>
    <brk id="599" man="true" max="16383" min="0"/>
    <brk id="697" man="true" max="16383" min="0"/>
  </row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23"/>
    <col collapsed="false" customWidth="true" hidden="false" outlineLevel="0" max="2" min="2" style="0" width="13"/>
    <col collapsed="false" customWidth="true" hidden="false" outlineLevel="0" max="3" min="3" style="0" width="19"/>
    <col collapsed="false" customWidth="true" hidden="false" outlineLevel="0" max="5" min="4" style="0" width="6"/>
    <col collapsed="false" customWidth="true" hidden="false" outlineLevel="0" max="7" min="6" style="0" width="7"/>
    <col collapsed="false" customWidth="true" hidden="false" outlineLevel="0" max="10" min="8" style="0" width="8"/>
    <col collapsed="false" customWidth="true" hidden="false" outlineLevel="0" max="11" min="11" style="0" width="7"/>
    <col collapsed="false" customWidth="true" hidden="false" outlineLevel="0" max="12" min="12" style="0" width="9"/>
    <col collapsed="false" customWidth="true" hidden="false" outlineLevel="0" max="13" min="13" style="0" width="32"/>
    <col collapsed="false" customWidth="true" hidden="false" outlineLevel="0" max="14" min="14" style="0" width="30"/>
    <col collapsed="false" customWidth="true" hidden="false" outlineLevel="0" max="15" min="15" style="0" width="34"/>
  </cols>
  <sheetData>
    <row r="1" customFormat="false" ht="30" hidden="false" customHeight="true" outlineLevel="0" collapsed="false">
      <c r="A1" s="1" t="s">
        <v>566</v>
      </c>
      <c r="B1" s="1"/>
      <c r="C1" s="1"/>
      <c r="D1" s="1"/>
      <c r="E1" s="1"/>
      <c r="F1" s="1"/>
      <c r="G1" s="1"/>
      <c r="H1" s="1"/>
      <c r="I1" s="1"/>
      <c r="J1" s="1"/>
      <c r="K1" s="1"/>
      <c r="L1" s="1"/>
      <c r="M1" s="1"/>
      <c r="N1" s="1"/>
      <c r="O1" s="1"/>
      <c r="P1" s="1"/>
    </row>
    <row r="2" customFormat="false" ht="15" hidden="false" customHeight="true" outlineLevel="0" collapsed="false">
      <c r="A2" s="2" t="s">
        <v>567</v>
      </c>
      <c r="B2" s="2"/>
      <c r="C2" s="2"/>
      <c r="D2" s="2"/>
      <c r="E2" s="2"/>
      <c r="F2" s="2"/>
      <c r="G2" s="2"/>
      <c r="H2" s="2"/>
      <c r="I2" s="2"/>
      <c r="J2" s="2"/>
      <c r="K2" s="2"/>
      <c r="L2" s="2"/>
      <c r="M2" s="2"/>
      <c r="N2" s="2"/>
      <c r="O2" s="2"/>
      <c r="P2" s="2"/>
    </row>
    <row r="3" customFormat="false" ht="31.5" hidden="false" customHeight="true" outlineLevel="0" collapsed="false">
      <c r="A3" s="13" t="s">
        <v>170</v>
      </c>
      <c r="B3" s="13" t="s">
        <v>451</v>
      </c>
      <c r="C3" s="13" t="s">
        <v>568</v>
      </c>
      <c r="D3" s="13" t="s">
        <v>569</v>
      </c>
      <c r="E3" s="13" t="s">
        <v>570</v>
      </c>
      <c r="F3" s="13" t="s">
        <v>571</v>
      </c>
      <c r="G3" s="13" t="s">
        <v>572</v>
      </c>
      <c r="H3" s="13" t="s">
        <v>573</v>
      </c>
      <c r="I3" s="13" t="s">
        <v>574</v>
      </c>
      <c r="J3" s="13" t="s">
        <v>575</v>
      </c>
      <c r="K3" s="13" t="s">
        <v>576</v>
      </c>
      <c r="L3" s="13" t="s">
        <v>577</v>
      </c>
      <c r="M3" s="13" t="s">
        <v>256</v>
      </c>
      <c r="N3" s="13" t="s">
        <v>578</v>
      </c>
      <c r="O3" s="13" t="s">
        <v>579</v>
      </c>
    </row>
    <row r="4" customFormat="false" ht="57.75" hidden="false" customHeight="true" outlineLevel="0" collapsed="false">
      <c r="A4" s="56" t="s">
        <v>386</v>
      </c>
      <c r="B4" s="56" t="s">
        <v>94</v>
      </c>
      <c r="C4" s="56" t="s">
        <v>580</v>
      </c>
      <c r="D4" s="54" t="n">
        <v>5</v>
      </c>
      <c r="E4" s="54" t="n">
        <v>6</v>
      </c>
      <c r="F4" s="54" t="n">
        <v>3</v>
      </c>
      <c r="G4" s="54" t="s">
        <v>581</v>
      </c>
      <c r="H4" s="55"/>
      <c r="I4" s="55"/>
      <c r="J4" s="55" t="n">
        <v>5</v>
      </c>
      <c r="K4" s="74" t="n">
        <v>100</v>
      </c>
      <c r="L4" s="54" t="s">
        <v>582</v>
      </c>
      <c r="M4" s="54" t="n">
        <v>6</v>
      </c>
      <c r="N4" s="118" t="s">
        <v>583</v>
      </c>
      <c r="O4" s="118" t="s">
        <v>584</v>
      </c>
      <c r="P4" s="118" t="s">
        <v>585</v>
      </c>
    </row>
    <row r="5" customFormat="false" ht="57.75" hidden="false" customHeight="true" outlineLevel="0" collapsed="false">
      <c r="A5" s="56" t="s">
        <v>415</v>
      </c>
      <c r="B5" s="56" t="s">
        <v>94</v>
      </c>
      <c r="C5" s="56" t="s">
        <v>586</v>
      </c>
      <c r="D5" s="54" t="n">
        <v>5</v>
      </c>
      <c r="E5" s="54" t="n">
        <v>6</v>
      </c>
      <c r="F5" s="54" t="n">
        <v>3</v>
      </c>
      <c r="G5" s="54" t="s">
        <v>587</v>
      </c>
      <c r="H5" s="55"/>
      <c r="I5" s="55"/>
      <c r="J5" s="55" t="n">
        <v>2.5</v>
      </c>
      <c r="K5" s="74" t="n">
        <v>100</v>
      </c>
      <c r="L5" s="54" t="s">
        <v>582</v>
      </c>
      <c r="M5" s="54" t="n">
        <v>12</v>
      </c>
      <c r="N5" s="118" t="s">
        <v>588</v>
      </c>
      <c r="O5" s="118" t="s">
        <v>589</v>
      </c>
      <c r="P5" s="118" t="s">
        <v>590</v>
      </c>
    </row>
    <row r="6" customFormat="false" ht="57.75" hidden="false" customHeight="true" outlineLevel="0" collapsed="false">
      <c r="A6" s="56" t="s">
        <v>369</v>
      </c>
      <c r="B6" s="56" t="s">
        <v>94</v>
      </c>
      <c r="C6" s="56" t="s">
        <v>591</v>
      </c>
      <c r="D6" s="54" t="n">
        <v>5</v>
      </c>
      <c r="E6" s="54" t="n">
        <v>6</v>
      </c>
      <c r="F6" s="54" t="n">
        <v>3</v>
      </c>
      <c r="G6" s="54" t="s">
        <v>592</v>
      </c>
      <c r="H6" s="55"/>
      <c r="I6" s="55"/>
      <c r="J6" s="55" t="n">
        <v>5</v>
      </c>
      <c r="K6" s="74" t="n">
        <v>100</v>
      </c>
      <c r="L6" s="54" t="s">
        <v>582</v>
      </c>
      <c r="M6" s="54" t="n">
        <v>2</v>
      </c>
      <c r="N6" s="118" t="s">
        <v>593</v>
      </c>
      <c r="O6" s="118" t="s">
        <v>594</v>
      </c>
      <c r="P6" s="118" t="s">
        <v>595</v>
      </c>
    </row>
    <row r="7" customFormat="false" ht="57.75" hidden="false" customHeight="true" outlineLevel="0" collapsed="false">
      <c r="A7" s="56" t="s">
        <v>377</v>
      </c>
      <c r="B7" s="56" t="s">
        <v>94</v>
      </c>
      <c r="C7" s="56" t="s">
        <v>591</v>
      </c>
      <c r="D7" s="54" t="n">
        <v>5</v>
      </c>
      <c r="E7" s="54" t="n">
        <v>6</v>
      </c>
      <c r="F7" s="54" t="n">
        <v>3</v>
      </c>
      <c r="G7" s="54" t="s">
        <v>592</v>
      </c>
      <c r="H7" s="55"/>
      <c r="I7" s="55"/>
      <c r="J7" s="55" t="n">
        <v>2.5</v>
      </c>
      <c r="K7" s="74" t="n">
        <v>100</v>
      </c>
      <c r="L7" s="54" t="s">
        <v>582</v>
      </c>
      <c r="M7" s="54" t="n">
        <v>2</v>
      </c>
      <c r="N7" s="118" t="s">
        <v>596</v>
      </c>
      <c r="O7" s="118" t="s">
        <v>594</v>
      </c>
      <c r="P7" s="118" t="s">
        <v>597</v>
      </c>
    </row>
    <row r="8" customFormat="false" ht="57.75" hidden="false" customHeight="true" outlineLevel="0" collapsed="false">
      <c r="A8" s="56" t="s">
        <v>407</v>
      </c>
      <c r="B8" s="56" t="s">
        <v>105</v>
      </c>
      <c r="C8" s="56" t="s">
        <v>598</v>
      </c>
      <c r="D8" s="54" t="n">
        <v>5</v>
      </c>
      <c r="E8" s="54" t="n">
        <v>6</v>
      </c>
      <c r="F8" s="54" t="n">
        <v>3</v>
      </c>
      <c r="G8" s="54" t="s">
        <v>581</v>
      </c>
      <c r="H8" s="55"/>
      <c r="I8" s="55"/>
      <c r="J8" s="55" t="n">
        <v>5</v>
      </c>
      <c r="K8" s="74" t="n">
        <v>100</v>
      </c>
      <c r="L8" s="54" t="s">
        <v>582</v>
      </c>
      <c r="M8" s="54" t="n">
        <v>12</v>
      </c>
      <c r="N8" s="118" t="s">
        <v>599</v>
      </c>
      <c r="O8" s="118" t="s">
        <v>600</v>
      </c>
      <c r="P8" s="118" t="s">
        <v>601</v>
      </c>
    </row>
    <row r="9" customFormat="false" ht="57.75" hidden="false" customHeight="true" outlineLevel="0" collapsed="false">
      <c r="A9" s="56" t="s">
        <v>480</v>
      </c>
      <c r="B9" s="56" t="s">
        <v>105</v>
      </c>
      <c r="C9" s="56" t="s">
        <v>481</v>
      </c>
      <c r="D9" s="54" t="n">
        <v>5</v>
      </c>
      <c r="E9" s="54" t="n">
        <v>6</v>
      </c>
      <c r="F9" s="54" t="n">
        <v>3</v>
      </c>
      <c r="G9" s="54" t="s">
        <v>587</v>
      </c>
      <c r="H9" s="55"/>
      <c r="I9" s="55"/>
      <c r="J9" s="55" t="n">
        <v>2.5</v>
      </c>
      <c r="K9" s="74" t="n">
        <v>100</v>
      </c>
      <c r="L9" s="54" t="s">
        <v>602</v>
      </c>
      <c r="M9" s="54" t="n">
        <v>16</v>
      </c>
      <c r="N9" s="118" t="s">
        <v>603</v>
      </c>
      <c r="O9" s="118" t="s">
        <v>604</v>
      </c>
      <c r="P9" s="118" t="s">
        <v>605</v>
      </c>
    </row>
    <row r="10" customFormat="false" ht="57.75" hidden="false" customHeight="true" outlineLevel="0" collapsed="false">
      <c r="A10" s="56" t="s">
        <v>424</v>
      </c>
      <c r="B10" s="56" t="s">
        <v>105</v>
      </c>
      <c r="C10" s="56" t="s">
        <v>425</v>
      </c>
      <c r="D10" s="54" t="n">
        <v>5</v>
      </c>
      <c r="E10" s="54" t="n">
        <v>6</v>
      </c>
      <c r="F10" s="54" t="n">
        <v>3</v>
      </c>
      <c r="G10" s="54" t="s">
        <v>587</v>
      </c>
      <c r="H10" s="55"/>
      <c r="I10" s="55"/>
      <c r="J10" s="55" t="n">
        <v>2</v>
      </c>
      <c r="K10" s="74" t="n">
        <v>100</v>
      </c>
      <c r="L10" s="54" t="s">
        <v>582</v>
      </c>
      <c r="M10" s="54" t="n">
        <v>16</v>
      </c>
      <c r="N10" s="118" t="s">
        <v>606</v>
      </c>
      <c r="O10" s="118" t="s">
        <v>604</v>
      </c>
      <c r="P10" s="118" t="s">
        <v>607</v>
      </c>
    </row>
    <row r="11" customFormat="false" ht="57.75" hidden="false" customHeight="true" outlineLevel="0" collapsed="false">
      <c r="A11" s="56" t="s">
        <v>391</v>
      </c>
      <c r="B11" s="56" t="s">
        <v>105</v>
      </c>
      <c r="C11" s="56" t="s">
        <v>608</v>
      </c>
      <c r="D11" s="54" t="n">
        <v>5</v>
      </c>
      <c r="E11" s="54" t="n">
        <v>6</v>
      </c>
      <c r="F11" s="54" t="n">
        <v>3</v>
      </c>
      <c r="G11" s="54" t="s">
        <v>581</v>
      </c>
      <c r="H11" s="55" t="n">
        <v>220</v>
      </c>
      <c r="I11" s="55"/>
      <c r="J11" s="55" t="n">
        <v>5</v>
      </c>
      <c r="K11" s="74" t="n">
        <v>100</v>
      </c>
      <c r="L11" s="54" t="s">
        <v>582</v>
      </c>
      <c r="M11" s="54" t="n">
        <v>6</v>
      </c>
      <c r="N11" s="118" t="s">
        <v>609</v>
      </c>
      <c r="O11" s="118" t="s">
        <v>584</v>
      </c>
      <c r="P11" s="118" t="s">
        <v>610</v>
      </c>
    </row>
    <row r="12" customFormat="false" ht="57.75" hidden="false" customHeight="true" outlineLevel="0" collapsed="false">
      <c r="A12" s="56" t="s">
        <v>412</v>
      </c>
      <c r="B12" s="56" t="s">
        <v>105</v>
      </c>
      <c r="C12" s="56" t="s">
        <v>481</v>
      </c>
      <c r="D12" s="54" t="n">
        <v>5</v>
      </c>
      <c r="E12" s="54" t="n">
        <v>6</v>
      </c>
      <c r="F12" s="54" t="n">
        <v>3</v>
      </c>
      <c r="G12" s="54" t="s">
        <v>581</v>
      </c>
      <c r="H12" s="55"/>
      <c r="I12" s="55"/>
      <c r="J12" s="55" t="n">
        <v>5</v>
      </c>
      <c r="K12" s="74" t="n">
        <v>100</v>
      </c>
      <c r="L12" s="54" t="s">
        <v>582</v>
      </c>
      <c r="M12" s="54" t="n">
        <v>12</v>
      </c>
      <c r="N12" s="118" t="s">
        <v>611</v>
      </c>
      <c r="O12" s="118" t="s">
        <v>612</v>
      </c>
      <c r="P12" s="118" t="s">
        <v>613</v>
      </c>
    </row>
    <row r="13" customFormat="false" ht="57.75" hidden="false" customHeight="true" outlineLevel="0" collapsed="false">
      <c r="A13" s="56" t="s">
        <v>394</v>
      </c>
      <c r="B13" s="56" t="s">
        <v>105</v>
      </c>
      <c r="C13" s="56" t="s">
        <v>591</v>
      </c>
      <c r="D13" s="54" t="n">
        <v>5</v>
      </c>
      <c r="E13" s="54" t="n">
        <v>6</v>
      </c>
      <c r="F13" s="54" t="n">
        <v>3</v>
      </c>
      <c r="G13" s="54" t="s">
        <v>581</v>
      </c>
      <c r="H13" s="55"/>
      <c r="I13" s="55"/>
      <c r="J13" s="55" t="n">
        <v>5</v>
      </c>
      <c r="K13" s="74" t="n">
        <v>100</v>
      </c>
      <c r="L13" s="54" t="s">
        <v>582</v>
      </c>
      <c r="M13" s="54" t="n">
        <v>6</v>
      </c>
      <c r="N13" s="118" t="s">
        <v>614</v>
      </c>
      <c r="O13" s="118" t="s">
        <v>615</v>
      </c>
      <c r="P13" s="118" t="s">
        <v>616</v>
      </c>
    </row>
    <row r="14" customFormat="false" ht="57.75" hidden="false" customHeight="true" outlineLevel="0" collapsed="false">
      <c r="A14" s="56" t="s">
        <v>374</v>
      </c>
      <c r="B14" s="56" t="s">
        <v>105</v>
      </c>
      <c r="C14" s="56" t="s">
        <v>617</v>
      </c>
      <c r="D14" s="54" t="n">
        <v>5</v>
      </c>
      <c r="E14" s="54" t="n">
        <v>6</v>
      </c>
      <c r="F14" s="54" t="n">
        <v>3</v>
      </c>
      <c r="G14" s="54" t="s">
        <v>592</v>
      </c>
      <c r="H14" s="55"/>
      <c r="I14" s="55"/>
      <c r="J14" s="55" t="n">
        <v>2.5</v>
      </c>
      <c r="K14" s="74" t="n">
        <v>100</v>
      </c>
      <c r="L14" s="54" t="s">
        <v>582</v>
      </c>
      <c r="M14" s="54" t="n">
        <v>2</v>
      </c>
      <c r="N14" s="118" t="s">
        <v>618</v>
      </c>
      <c r="O14" s="118" t="s">
        <v>594</v>
      </c>
      <c r="P14" s="118" t="s">
        <v>619</v>
      </c>
    </row>
    <row r="15" customFormat="false" ht="57.75" hidden="false" customHeight="true" outlineLevel="0" collapsed="false">
      <c r="A15" s="56" t="s">
        <v>397</v>
      </c>
      <c r="B15" s="56" t="s">
        <v>105</v>
      </c>
      <c r="C15" s="56" t="s">
        <v>620</v>
      </c>
      <c r="D15" s="54" t="n">
        <v>5</v>
      </c>
      <c r="E15" s="54" t="n">
        <v>6</v>
      </c>
      <c r="F15" s="54" t="n">
        <v>3</v>
      </c>
      <c r="G15" s="54" t="s">
        <v>592</v>
      </c>
      <c r="H15" s="55"/>
      <c r="I15" s="55"/>
      <c r="J15" s="55" t="n">
        <v>2</v>
      </c>
      <c r="K15" s="74" t="n">
        <v>100</v>
      </c>
      <c r="L15" s="54" t="s">
        <v>582</v>
      </c>
      <c r="M15" s="54" t="n">
        <v>6</v>
      </c>
      <c r="N15" s="118" t="s">
        <v>621</v>
      </c>
      <c r="O15" s="118" t="s">
        <v>622</v>
      </c>
      <c r="P15" s="118" t="s">
        <v>623</v>
      </c>
    </row>
    <row r="16" customFormat="false" ht="57.75" hidden="false" customHeight="true" outlineLevel="0" collapsed="false">
      <c r="A16" s="56" t="s">
        <v>380</v>
      </c>
      <c r="B16" s="56" t="s">
        <v>105</v>
      </c>
      <c r="C16" s="56" t="s">
        <v>591</v>
      </c>
      <c r="D16" s="54" t="n">
        <v>5</v>
      </c>
      <c r="E16" s="54" t="n">
        <v>6</v>
      </c>
      <c r="F16" s="54" t="n">
        <v>3</v>
      </c>
      <c r="G16" s="54" t="s">
        <v>592</v>
      </c>
      <c r="H16" s="55"/>
      <c r="I16" s="55"/>
      <c r="J16" s="55" t="n">
        <v>5</v>
      </c>
      <c r="K16" s="74" t="n">
        <v>100</v>
      </c>
      <c r="L16" s="54" t="s">
        <v>582</v>
      </c>
      <c r="M16" s="54" t="n">
        <v>2</v>
      </c>
      <c r="N16" s="118" t="s">
        <v>624</v>
      </c>
      <c r="O16" s="118" t="s">
        <v>625</v>
      </c>
      <c r="P16" s="118" t="s">
        <v>626</v>
      </c>
    </row>
    <row r="17" customFormat="false" ht="57.75" hidden="false" customHeight="true" outlineLevel="0" collapsed="false">
      <c r="A17" s="56" t="s">
        <v>493</v>
      </c>
      <c r="B17" s="56" t="s">
        <v>627</v>
      </c>
      <c r="C17" s="56" t="s">
        <v>628</v>
      </c>
      <c r="D17" s="54" t="n">
        <v>5</v>
      </c>
      <c r="E17" s="54" t="n">
        <v>6</v>
      </c>
      <c r="F17" s="54" t="n">
        <v>3</v>
      </c>
      <c r="G17" s="54" t="s">
        <v>581</v>
      </c>
      <c r="H17" s="55"/>
      <c r="I17" s="55"/>
      <c r="J17" s="55" t="n">
        <v>10</v>
      </c>
      <c r="K17" s="74" t="n">
        <v>100</v>
      </c>
      <c r="L17" s="54" t="s">
        <v>582</v>
      </c>
      <c r="M17" s="54" t="n">
        <v>12</v>
      </c>
      <c r="N17" s="118" t="s">
        <v>629</v>
      </c>
      <c r="O17" s="118" t="s">
        <v>600</v>
      </c>
      <c r="P17" s="118" t="s">
        <v>630</v>
      </c>
    </row>
    <row r="18" customFormat="false" ht="57.75" hidden="false" customHeight="true" outlineLevel="0" collapsed="false">
      <c r="A18" s="56" t="s">
        <v>492</v>
      </c>
      <c r="B18" s="56" t="s">
        <v>627</v>
      </c>
      <c r="C18" s="56" t="s">
        <v>631</v>
      </c>
      <c r="D18" s="54" t="n">
        <v>5</v>
      </c>
      <c r="E18" s="54" t="n">
        <v>6</v>
      </c>
      <c r="F18" s="54" t="n">
        <v>3</v>
      </c>
      <c r="G18" s="54" t="s">
        <v>581</v>
      </c>
      <c r="H18" s="55"/>
      <c r="I18" s="55"/>
      <c r="J18" s="55" t="n">
        <v>5</v>
      </c>
      <c r="K18" s="74" t="n">
        <v>100</v>
      </c>
      <c r="L18" s="54" t="s">
        <v>582</v>
      </c>
      <c r="M18" s="54" t="n">
        <v>12</v>
      </c>
      <c r="N18" s="118" t="s">
        <v>632</v>
      </c>
      <c r="O18" s="118" t="s">
        <v>612</v>
      </c>
      <c r="P18" s="118" t="s">
        <v>633</v>
      </c>
    </row>
    <row r="19" customFormat="false" ht="57.75" hidden="false" customHeight="true" outlineLevel="0" collapsed="false">
      <c r="A19" s="56" t="s">
        <v>494</v>
      </c>
      <c r="B19" s="56" t="s">
        <v>627</v>
      </c>
      <c r="C19" s="56" t="s">
        <v>634</v>
      </c>
      <c r="D19" s="54" t="n">
        <v>5</v>
      </c>
      <c r="E19" s="54" t="n">
        <v>6</v>
      </c>
      <c r="F19" s="54" t="n">
        <v>3</v>
      </c>
      <c r="G19" s="54" t="s">
        <v>592</v>
      </c>
      <c r="H19" s="55"/>
      <c r="I19" s="55"/>
      <c r="J19" s="55" t="n">
        <v>4.5</v>
      </c>
      <c r="K19" s="74" t="n">
        <v>100</v>
      </c>
      <c r="L19" s="54" t="s">
        <v>582</v>
      </c>
      <c r="M19" s="54" t="n">
        <v>2</v>
      </c>
      <c r="N19" s="118" t="s">
        <v>635</v>
      </c>
      <c r="O19" s="118" t="s">
        <v>594</v>
      </c>
      <c r="P19" s="118" t="s">
        <v>636</v>
      </c>
    </row>
    <row r="20" customFormat="false" ht="57.75" hidden="false" customHeight="true" outlineLevel="0" collapsed="false">
      <c r="A20" s="119" t="s">
        <v>73</v>
      </c>
      <c r="B20" s="119" t="s">
        <v>94</v>
      </c>
      <c r="C20" s="119" t="s">
        <v>637</v>
      </c>
      <c r="D20" s="120" t="n">
        <v>5</v>
      </c>
      <c r="E20" s="120" t="n">
        <v>6</v>
      </c>
      <c r="F20" s="120"/>
      <c r="G20" s="120"/>
      <c r="H20" s="121"/>
      <c r="I20" s="121"/>
      <c r="J20" s="121"/>
      <c r="K20" s="122" t="n">
        <v>100</v>
      </c>
      <c r="L20" s="120" t="s">
        <v>638</v>
      </c>
      <c r="M20" s="120"/>
      <c r="N20" s="123" t="s">
        <v>639</v>
      </c>
      <c r="O20" s="123" t="s">
        <v>640</v>
      </c>
      <c r="P20" s="123" t="s">
        <v>641</v>
      </c>
    </row>
    <row r="21" customFormat="false" ht="57.75" hidden="false" customHeight="true" outlineLevel="0" collapsed="false">
      <c r="A21" s="119" t="s">
        <v>473</v>
      </c>
      <c r="B21" s="119" t="s">
        <v>105</v>
      </c>
      <c r="C21" s="119" t="s">
        <v>642</v>
      </c>
      <c r="D21" s="120" t="n">
        <v>5</v>
      </c>
      <c r="E21" s="120" t="n">
        <v>6</v>
      </c>
      <c r="F21" s="120"/>
      <c r="G21" s="120"/>
      <c r="H21" s="121"/>
      <c r="I21" s="121"/>
      <c r="J21" s="121"/>
      <c r="K21" s="122" t="n">
        <v>100</v>
      </c>
      <c r="L21" s="120" t="s">
        <v>638</v>
      </c>
      <c r="M21" s="120"/>
      <c r="N21" s="123" t="s">
        <v>643</v>
      </c>
      <c r="O21" s="123" t="s">
        <v>640</v>
      </c>
      <c r="P21" s="123" t="s">
        <v>641</v>
      </c>
    </row>
    <row r="22" customFormat="false" ht="18" hidden="false" customHeight="true" outlineLevel="0" collapsed="false">
      <c r="A22" s="56"/>
      <c r="B22" s="56"/>
      <c r="C22" s="56"/>
      <c r="D22" s="54"/>
      <c r="E22" s="54"/>
      <c r="F22" s="54"/>
      <c r="G22" s="54"/>
      <c r="H22" s="55"/>
      <c r="I22" s="55"/>
      <c r="J22" s="55"/>
      <c r="K22" s="74"/>
      <c r="L22" s="54"/>
      <c r="M22" s="54"/>
      <c r="N22" s="118"/>
      <c r="O22" s="118"/>
      <c r="P22" s="118"/>
    </row>
    <row r="23" customFormat="false" ht="18" hidden="false" customHeight="true" outlineLevel="0" collapsed="false">
      <c r="A23" s="56"/>
      <c r="B23" s="56"/>
      <c r="C23" s="56"/>
      <c r="D23" s="54"/>
      <c r="E23" s="54"/>
      <c r="F23" s="54"/>
      <c r="G23" s="54"/>
      <c r="H23" s="55"/>
      <c r="I23" s="55"/>
      <c r="J23" s="55"/>
      <c r="K23" s="74"/>
      <c r="L23" s="54"/>
      <c r="M23" s="54"/>
      <c r="N23" s="118"/>
      <c r="O23" s="118"/>
      <c r="P23" s="118"/>
    </row>
    <row r="25" customFormat="false" ht="39.75" hidden="false" customHeight="true" outlineLevel="0" collapsed="false">
      <c r="A25" s="43" t="s">
        <v>644</v>
      </c>
      <c r="B25" s="43"/>
      <c r="C25" s="43"/>
      <c r="D25" s="43"/>
      <c r="E25" s="43"/>
      <c r="F25" s="43"/>
      <c r="G25" s="43"/>
      <c r="H25" s="43"/>
      <c r="I25" s="43"/>
      <c r="J25" s="43"/>
      <c r="K25" s="43"/>
      <c r="L25" s="43"/>
      <c r="M25" s="43"/>
      <c r="N25" s="43"/>
      <c r="O25" s="43"/>
      <c r="P25" s="43"/>
    </row>
  </sheetData>
  <mergeCells count="3">
    <mergeCell ref="A1:P1"/>
    <mergeCell ref="A2:P2"/>
    <mergeCell ref="A25:P25"/>
  </mergeCells>
  <dataValidations count="2">
    <dataValidation allowBlank="true" errorStyle="stop" operator="between" showDropDown="false" showErrorMessage="false" showInputMessage="false" sqref="B4:B23" type="list">
      <formula1>"Beine vorne,Beine hinten,Auswärts Bülach"</formula1>
      <formula2>0</formula2>
    </dataValidation>
    <dataValidation allowBlank="true" error="ja = im Plan, pause = vorübergehend ausgesetzt, z.B. bei einer Verletzung, nein = Archiv. Die Historie bleibt in allen drei Fällen erhalten." errorStyle="stop" errorTitle="Aktiv" operator="between" showDropDown="false" showErrorMessage="false" showInputMessage="false" sqref="L4:L23" type="list">
      <formula1>"ja,pause,nein"</formula1>
      <formula2>0</formula2>
    </dataValidation>
  </dataValidations>
  <printOptions headings="false" gridLines="false" gridLinesSet="true" horizontalCentered="true" verticalCentered="false"/>
  <pageMargins left="0.5" right="0.4" top="0.7" bottom="0.6" header="0.3" footer="0.3"/>
  <pageSetup paperSize="9" scale="100" fitToWidth="1" fitToHeight="0" pageOrder="downThenOver" orientation="landscape" blackAndWhite="false" draft="false" cellComments="none" horizontalDpi="300" verticalDpi="300" copies="1"/>
  <headerFooter differentFirst="false" differentOddEven="false">
    <oddHeader>&amp;L&amp;8 &amp;K808080Gym Logbuch  |  Beintraining&amp;R&amp;8 &amp;K808080Übungen</oddHeader>
    <oddFooter>&amp;L&amp;8 &amp;K808080Quelle: Löwin_Training_260727.pdf&amp;R&amp;8 &amp;K808080Seite &amp;P von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2026-10-08T19:43:22Z</dcterms:created>
  <dc:creator>openpyxl</dc:creator>
  <dc:description/>
  <dc:language>en-US</dc:language>
  <cp:lastModifiedBy/>
  <dcterms:modified xsi:type="dcterms:W3CDTF">2026-10-08T19:43:28Z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